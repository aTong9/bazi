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d905ad664c42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阅读说明" sheetId="1" r:id="R2812f0cf67e24c02"/>
    <x:sheet xmlns:r="http://schemas.openxmlformats.org/officeDocument/2006/relationships" name="01_十神表达速查" sheetId="2" r:id="R43ace195a4694dfc"/>
    <x:sheet xmlns:r="http://schemas.openxmlformats.org/officeDocument/2006/relationships" name="02_过程维度矩阵" sheetId="3" r:id="Rb2ce0c3644e64cc1"/>
    <x:sheet xmlns:r="http://schemas.openxmlformats.org/officeDocument/2006/relationships" name="03_表达路径矩阵" sheetId="4" r:id="R1456f4984d8d466b"/>
    <x:sheet xmlns:r="http://schemas.openxmlformats.org/officeDocument/2006/relationships" name="04_状态修正矩阵" sheetId="5" r:id="Re1dc4af432e94c4d"/>
    <x:sheet xmlns:r="http://schemas.openxmlformats.org/officeDocument/2006/relationships" name="05_接口与去重" sheetId="6" r:id="Rd760dcaca4f64e2d"/>
    <x:sheet xmlns:r="http://schemas.openxmlformats.org/officeDocument/2006/relationships" name="06_原子规则" sheetId="7" r:id="Rb12f3380ae7449be"/>
    <x:sheet xmlns:r="http://schemas.openxmlformats.org/officeDocument/2006/relationships" name="07_门控与停止" sheetId="8" r:id="Rc0a1e4a5e8d648e3"/>
    <x:sheet xmlns:r="http://schemas.openxmlformats.org/officeDocument/2006/relationships" name="08_输出模板与句库" sheetId="9" r:id="R12020e5578dc4d4a"/>
    <x:sheet xmlns:r="http://schemas.openxmlformats.org/officeDocument/2006/relationships" name="09_案例验证" sheetId="10" r:id="Rebc7bb131a4743e8"/>
    <x:sheet xmlns:r="http://schemas.openxmlformats.org/officeDocument/2006/relationships" name="10_字段词典" sheetId="11" r:id="R0de2e8fac86240f3"/>
    <x:sheet xmlns:r="http://schemas.openxmlformats.org/officeDocument/2006/relationships" name="11_版本与验证" sheetId="12" r:id="R81573f8b67744c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95959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1"/>
      <x:color rgb="FF9C0006"/>
      <x:name val="Carlito"/>
    </x:font>
    <x:font>
      <x:sz val="11"/>
      <x:color rgb="FF595959"/>
      <x:name val="Carlito"/>
    </x:font>
    <x:font>
      <x:b/>
      <x:sz val="11"/>
      <x:color rgb="FF375623"/>
      <x:name val="Carlito"/>
    </x:font>
    <x:font>
      <x:b/>
      <x:sz val="9"/>
      <x:color rgb="FF1F4E78"/>
      <x:name val="Carlito"/>
    </x:font>
    <x:font>
      <x:sz val="9"/>
      <x:name val="Carlito"/>
    </x:font>
    <x:font>
      <x:b/>
      <x:sz val="9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1F7A8C"/>
      </x:patternFill>
    </x:fill>
    <x:fill>
      <x:patternFill patternType="solid">
        <x:fgColor rgb="FFFCE4D6"/>
      </x:patternFill>
    </x:fill>
    <x:fill>
      <x:patternFill patternType="solid">
        <x:fgColor rgb="FFC65911"/>
      </x:patternFill>
    </x:fill>
    <x:fill>
      <x:patternFill patternType="solid">
        <x:fgColor rgb="FFEEF6FC"/>
      </x:patternFill>
    </x:fill>
    <x:fill>
      <x:patternFill patternType="solid">
        <x:fgColor rgb="FFE2F0D9"/>
      </x:patternFill>
    </x:fill>
  </x:fills>
  <x:borders count="40">
    <x:border/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hair">
        <x:color rgb="FFD9D9D9"/>
      </x:left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top style="hair">
        <x:color rgb="FFD9D9D9"/>
      </x:top>
    </x:border>
    <x:border>
      <x:bottom style="hair">
        <x:color rgb="FFD9D9D9"/>
      </x:bottom>
    </x:border>
    <x:border>
      <x:top style="hair">
        <x:color rgb="FFD9D9D9"/>
      </x:top>
    </x:border>
    <x:border>
      <x:bottom style="hair">
        <x:color rgb="FFD9D9D9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3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left"/>
    </x:xf>
    <x:xf numFmtId="0" fontId="3" fillId="4" borderId="18" xfId="0" applyNumberFormat="1" applyFont="1" applyFill="1" applyBorder="1"/>
    <x:xf numFmtId="0" fontId="3" fillId="4" borderId="18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horizontal="center" wrapText="1"/>
    </x:xf>
    <x:xf numFmtId="0" fontId="3" fillId="4" borderId="18" xfId="0" applyNumberFormat="1" applyFont="1" applyFill="1" applyBorder="1" applyAlignment="1">
      <x:alignment horizontal="center" vertical="center" wrapText="1"/>
    </x:xf>
    <x:xf numFmtId="0" fontId="3" fillId="4" borderId="19" xfId="0" applyNumberFormat="1" applyFont="1" applyFill="1" applyBorder="1"/>
    <x:xf numFmtId="0" fontId="3" fillId="4" borderId="19" xfId="0" applyNumberFormat="1" applyFont="1" applyFill="1" applyBorder="1" applyAlignment="1">
      <x:alignment wrapText="1"/>
    </x:xf>
    <x:xf numFmtId="0" fontId="3" fillId="4" borderId="19" xfId="0" applyNumberFormat="1" applyFont="1" applyFill="1" applyBorder="1" applyAlignment="1">
      <x:alignment horizontal="center" wrapText="1"/>
    </x:xf>
    <x:xf numFmtId="0" fontId="3" fillId="4" borderId="19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/>
    <x:xf numFmtId="0" fontId="0" fillId="0" borderId="0" xfId="0" applyNumberFormat="1" applyFont="1" applyFill="1" applyBorder="1"/>
    <x:xf numFmtId="0" fontId="0" fillId="0" borderId="21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3" fillId="7" borderId="2" xfId="0" applyNumberFormat="1" applyFont="1" applyFill="1" applyBorder="1" applyAlignment="1">
      <x:alignment wrapText="1"/>
    </x:xf>
    <x:xf numFmtId="0" fontId="3" fillId="7" borderId="3" xfId="0" applyNumberFormat="1" applyFont="1" applyFill="1" applyBorder="1" applyAlignment="1">
      <x:alignment wrapText="1"/>
    </x:xf>
    <x:xf numFmtId="0" fontId="3" fillId="7" borderId="2" xfId="0" applyNumberFormat="1" applyFont="1" applyFill="1" applyBorder="1" applyAlignment="1">
      <x:alignment horizontal="center" wrapText="1"/>
    </x:xf>
    <x:xf numFmtId="0" fontId="3" fillId="7" borderId="3" xfId="0" applyNumberFormat="1" applyFont="1" applyFill="1" applyBorder="1" applyAlignment="1">
      <x:alignment horizontal="center" wrapText="1"/>
    </x:xf>
    <x:xf numFmtId="0" fontId="3" fillId="7" borderId="2" xfId="0" applyNumberFormat="1" applyFont="1" applyFill="1" applyBorder="1" applyAlignment="1">
      <x:alignment horizontal="center" vertical="center" wrapText="1"/>
    </x:xf>
    <x:xf numFmtId="0" fontId="3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4" xfId="0" applyNumberFormat="1" applyFont="1" applyFill="1" applyBorder="1"/>
    <x:xf numFmtId="0" fontId="3" fillId="7" borderId="5" xfId="0" applyNumberFormat="1" applyFont="1" applyFill="1" applyBorder="1"/>
    <x:xf numFmtId="0" fontId="3" fillId="7" borderId="4" xfId="0" applyNumberFormat="1" applyFont="1" applyFill="1" applyBorder="1" applyAlignment="1">
      <x:alignment wrapText="1"/>
    </x:xf>
    <x:xf numFmtId="0" fontId="3" fillId="7" borderId="5" xfId="0" applyNumberFormat="1" applyFont="1" applyFill="1" applyBorder="1" applyAlignment="1">
      <x:alignment wrapText="1"/>
    </x:xf>
    <x:xf numFmtId="0" fontId="3" fillId="7" borderId="4" xfId="0" applyNumberFormat="1" applyFont="1" applyFill="1" applyBorder="1" applyAlignment="1">
      <x:alignment horizontal="center" wrapText="1"/>
    </x:xf>
    <x:xf numFmtId="0" fontId="3" fillId="7" borderId="5" xfId="0" applyNumberFormat="1" applyFont="1" applyFill="1" applyBorder="1" applyAlignment="1">
      <x:alignment horizont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24" xfId="0" applyNumberFormat="1" applyFont="1" applyFill="1" applyBorder="1"/>
    <x:xf numFmtId="0" fontId="6" fillId="8" borderId="25" xfId="0" applyNumberFormat="1" applyFont="1" applyFill="1" applyBorder="1"/>
    <x:xf numFmtId="0" fontId="6" fillId="8" borderId="26" xfId="0" applyNumberFormat="1" applyFont="1" applyFill="1" applyBorder="1"/>
    <x:xf numFmtId="0" fontId="6" fillId="8" borderId="27" xfId="0" applyNumberFormat="1" applyFont="1" applyFill="1" applyBorder="1"/>
    <x:xf numFmtId="0" fontId="6" fillId="8" borderId="28" xfId="0" applyNumberFormat="1" applyFont="1" applyFill="1" applyBorder="1"/>
    <x:xf numFmtId="0" fontId="6" fillId="8" borderId="29" xfId="0" applyNumberFormat="1" applyFont="1" applyFill="1" applyBorder="1"/>
    <x:xf numFmtId="0" fontId="6" fillId="8" borderId="30" xfId="0" applyNumberFormat="1" applyFont="1" applyFill="1" applyBorder="1"/>
    <x:xf numFmtId="0" fontId="6" fillId="8" borderId="31" xfId="0" applyNumberFormat="1" applyFont="1" applyFill="1" applyBorder="1"/>
    <x:xf numFmtId="0" fontId="6" fillId="8" borderId="24" xfId="0" applyNumberFormat="1" applyFont="1" applyFill="1" applyBorder="1" applyAlignment="1">
      <x:alignment wrapText="1"/>
    </x:xf>
    <x:xf numFmtId="0" fontId="6" fillId="8" borderId="25" xfId="0" applyNumberFormat="1" applyFont="1" applyFill="1" applyBorder="1" applyAlignment="1">
      <x:alignment wrapText="1"/>
    </x:xf>
    <x:xf numFmtId="0" fontId="6" fillId="8" borderId="26" xfId="0" applyNumberFormat="1" applyFont="1" applyFill="1" applyBorder="1" applyAlignment="1">
      <x:alignment wrapText="1"/>
    </x:xf>
    <x:xf numFmtId="0" fontId="6" fillId="8" borderId="27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wrapText="1"/>
    </x:xf>
    <x:xf numFmtId="0" fontId="6" fillId="8" borderId="28" xfId="0" applyNumberFormat="1" applyFont="1" applyFill="1" applyBorder="1" applyAlignment="1">
      <x:alignment wrapText="1"/>
    </x:xf>
    <x:xf numFmtId="0" fontId="6" fillId="8" borderId="29" xfId="0" applyNumberFormat="1" applyFont="1" applyFill="1" applyBorder="1" applyAlignment="1">
      <x:alignment wrapText="1"/>
    </x:xf>
    <x:xf numFmtId="0" fontId="6" fillId="8" borderId="30" xfId="0" applyNumberFormat="1" applyFont="1" applyFill="1" applyBorder="1" applyAlignment="1">
      <x:alignment wrapText="1"/>
    </x:xf>
    <x:xf numFmtId="0" fontId="6" fillId="8" borderId="31" xfId="0" applyNumberFormat="1" applyFont="1" applyFill="1" applyBorder="1" applyAlignment="1">
      <x:alignment wrapText="1"/>
    </x:xf>
    <x:xf numFmtId="0" fontId="6" fillId="8" borderId="24" xfId="0" applyNumberFormat="1" applyFont="1" applyFill="1" applyBorder="1" applyAlignment="1">
      <x:alignment vertical="top" wrapText="1"/>
    </x:xf>
    <x:xf numFmtId="0" fontId="6" fillId="8" borderId="25" xfId="0" applyNumberFormat="1" applyFont="1" applyFill="1" applyBorder="1" applyAlignment="1">
      <x:alignment vertical="top" wrapText="1"/>
    </x:xf>
    <x:xf numFmtId="0" fontId="6" fillId="8" borderId="26" xfId="0" applyNumberFormat="1" applyFont="1" applyFill="1" applyBorder="1" applyAlignment="1">
      <x:alignment vertical="top" wrapText="1"/>
    </x:xf>
    <x:xf numFmtId="0" fontId="6" fillId="8" borderId="27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8" borderId="28" xfId="0" applyNumberFormat="1" applyFont="1" applyFill="1" applyBorder="1" applyAlignment="1">
      <x:alignment vertical="top" wrapText="1"/>
    </x:xf>
    <x:xf numFmtId="0" fontId="6" fillId="8" borderId="29" xfId="0" applyNumberFormat="1" applyFont="1" applyFill="1" applyBorder="1" applyAlignment="1">
      <x:alignment vertical="top" wrapText="1"/>
    </x:xf>
    <x:xf numFmtId="0" fontId="6" fillId="8" borderId="30" xfId="0" applyNumberFormat="1" applyFont="1" applyFill="1" applyBorder="1" applyAlignment="1">
      <x:alignment vertical="top" wrapText="1"/>
    </x:xf>
    <x:xf numFmtId="0" fontId="6" fillId="8" borderId="31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32" xfId="0" applyNumberFormat="1" applyFont="1" applyFill="1" applyBorder="1"/>
    <x:xf numFmtId="0" fontId="6" fillId="8" borderId="33" xfId="0" applyNumberFormat="1" applyFont="1" applyFill="1" applyBorder="1"/>
    <x:xf numFmtId="0" fontId="6" fillId="8" borderId="34" xfId="0" applyNumberFormat="1" applyFont="1" applyFill="1" applyBorder="1"/>
    <x:xf numFmtId="0" fontId="6" fillId="8" borderId="35" xfId="0" applyNumberFormat="1" applyFont="1" applyFill="1" applyBorder="1"/>
    <x:xf numFmtId="0" fontId="6" fillId="8" borderId="36" xfId="0" applyNumberFormat="1" applyFont="1" applyFill="1" applyBorder="1"/>
    <x:xf numFmtId="0" fontId="6" fillId="8" borderId="37" xfId="0" applyNumberFormat="1" applyFont="1" applyFill="1" applyBorder="1"/>
    <x:xf numFmtId="0" fontId="6" fillId="8" borderId="38" xfId="0" applyNumberFormat="1" applyFont="1" applyFill="1" applyBorder="1"/>
    <x:xf numFmtId="0" fontId="6" fillId="8" borderId="39" xfId="0" applyNumberFormat="1" applyFont="1" applyFill="1" applyBorder="1"/>
    <x:xf numFmtId="0" fontId="6" fillId="8" borderId="32" xfId="0" applyNumberFormat="1" applyFont="1" applyFill="1" applyBorder="1" applyAlignment="1">
      <x:alignment wrapText="1"/>
    </x:xf>
    <x:xf numFmtId="0" fontId="6" fillId="8" borderId="33" xfId="0" applyNumberFormat="1" applyFont="1" applyFill="1" applyBorder="1" applyAlignment="1">
      <x:alignment wrapText="1"/>
    </x:xf>
    <x:xf numFmtId="0" fontId="6" fillId="8" borderId="34" xfId="0" applyNumberFormat="1" applyFont="1" applyFill="1" applyBorder="1" applyAlignment="1">
      <x:alignment wrapText="1"/>
    </x:xf>
    <x:xf numFmtId="0" fontId="6" fillId="8" borderId="35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wrapText="1"/>
    </x:xf>
    <x:xf numFmtId="0" fontId="6" fillId="8" borderId="36" xfId="0" applyNumberFormat="1" applyFont="1" applyFill="1" applyBorder="1" applyAlignment="1">
      <x:alignment wrapText="1"/>
    </x:xf>
    <x:xf numFmtId="0" fontId="6" fillId="8" borderId="37" xfId="0" applyNumberFormat="1" applyFont="1" applyFill="1" applyBorder="1" applyAlignment="1">
      <x:alignment wrapText="1"/>
    </x:xf>
    <x:xf numFmtId="0" fontId="6" fillId="8" borderId="38" xfId="0" applyNumberFormat="1" applyFont="1" applyFill="1" applyBorder="1" applyAlignment="1">
      <x:alignment wrapText="1"/>
    </x:xf>
    <x:xf numFmtId="0" fontId="6" fillId="8" borderId="39" xfId="0" applyNumberFormat="1" applyFont="1" applyFill="1" applyBorder="1" applyAlignment="1">
      <x:alignment wrapText="1"/>
    </x:xf>
    <x:xf numFmtId="0" fontId="6" fillId="8" borderId="32" xfId="0" applyNumberFormat="1" applyFont="1" applyFill="1" applyBorder="1" applyAlignment="1">
      <x:alignment vertical="top" wrapText="1"/>
    </x:xf>
    <x:xf numFmtId="0" fontId="6" fillId="8" borderId="33" xfId="0" applyNumberFormat="1" applyFont="1" applyFill="1" applyBorder="1" applyAlignment="1">
      <x:alignment vertical="top" wrapText="1"/>
    </x:xf>
    <x:xf numFmtId="0" fontId="6" fillId="8" borderId="34" xfId="0" applyNumberFormat="1" applyFont="1" applyFill="1" applyBorder="1" applyAlignment="1">
      <x:alignment vertical="top" wrapText="1"/>
    </x:xf>
    <x:xf numFmtId="0" fontId="6" fillId="8" borderId="35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6" fillId="8" borderId="36" xfId="0" applyNumberFormat="1" applyFont="1" applyFill="1" applyBorder="1" applyAlignment="1">
      <x:alignment vertical="top" wrapText="1"/>
    </x:xf>
    <x:xf numFmtId="0" fontId="6" fillId="8" borderId="37" xfId="0" applyNumberFormat="1" applyFont="1" applyFill="1" applyBorder="1" applyAlignment="1">
      <x:alignment vertical="top" wrapText="1"/>
    </x:xf>
    <x:xf numFmtId="0" fontId="6" fillId="8" borderId="38" xfId="0" applyNumberFormat="1" applyFont="1" applyFill="1" applyBorder="1" applyAlignment="1">
      <x:alignment vertical="top" wrapText="1"/>
    </x:xf>
    <x:xf numFmtId="0" fontId="6" fillId="8" borderId="39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24" xfId="0" applyNumberFormat="1" applyFont="1" applyFill="1" applyBorder="1"/>
    <x:xf numFmtId="0" fontId="7" fillId="9" borderId="25" xfId="0" applyNumberFormat="1" applyFont="1" applyFill="1" applyBorder="1"/>
    <x:xf numFmtId="0" fontId="7" fillId="9" borderId="26" xfId="0" applyNumberFormat="1" applyFont="1" applyFill="1" applyBorder="1"/>
    <x:xf numFmtId="0" fontId="7" fillId="9" borderId="27" xfId="0" applyNumberFormat="1" applyFont="1" applyFill="1" applyBorder="1"/>
    <x:xf numFmtId="0" fontId="7" fillId="9" borderId="28" xfId="0" applyNumberFormat="1" applyFont="1" applyFill="1" applyBorder="1"/>
    <x:xf numFmtId="0" fontId="7" fillId="9" borderId="29" xfId="0" applyNumberFormat="1" applyFont="1" applyFill="1" applyBorder="1"/>
    <x:xf numFmtId="0" fontId="7" fillId="9" borderId="30" xfId="0" applyNumberFormat="1" applyFont="1" applyFill="1" applyBorder="1"/>
    <x:xf numFmtId="0" fontId="7" fillId="9" borderId="31" xfId="0" applyNumberFormat="1" applyFont="1" applyFill="1" applyBorder="1"/>
    <x:xf numFmtId="0" fontId="7" fillId="9" borderId="24" xfId="0" applyNumberFormat="1" applyFont="1" applyFill="1" applyBorder="1" applyAlignment="1">
      <x:alignment wrapText="1"/>
    </x:xf>
    <x:xf numFmtId="0" fontId="7" fillId="9" borderId="25" xfId="0" applyNumberFormat="1" applyFont="1" applyFill="1" applyBorder="1" applyAlignment="1">
      <x:alignment wrapText="1"/>
    </x:xf>
    <x:xf numFmtId="0" fontId="7" fillId="9" borderId="26" xfId="0" applyNumberFormat="1" applyFont="1" applyFill="1" applyBorder="1" applyAlignment="1">
      <x:alignment wrapText="1"/>
    </x:xf>
    <x:xf numFmtId="0" fontId="7" fillId="9" borderId="27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  <x:xf numFmtId="0" fontId="7" fillId="9" borderId="28" xfId="0" applyNumberFormat="1" applyFont="1" applyFill="1" applyBorder="1" applyAlignment="1">
      <x:alignment wrapText="1"/>
    </x:xf>
    <x:xf numFmtId="0" fontId="7" fillId="9" borderId="29" xfId="0" applyNumberFormat="1" applyFont="1" applyFill="1" applyBorder="1" applyAlignment="1">
      <x:alignment wrapText="1"/>
    </x:xf>
    <x:xf numFmtId="0" fontId="7" fillId="9" borderId="30" xfId="0" applyNumberFormat="1" applyFont="1" applyFill="1" applyBorder="1" applyAlignment="1">
      <x:alignment wrapText="1"/>
    </x:xf>
    <x:xf numFmtId="0" fontId="7" fillId="9" borderId="31" xfId="0" applyNumberFormat="1" applyFont="1" applyFill="1" applyBorder="1" applyAlignment="1">
      <x:alignment wrapText="1"/>
    </x:xf>
    <x:xf numFmtId="0" fontId="7" fillId="9" borderId="24" xfId="0" applyNumberFormat="1" applyFont="1" applyFill="1" applyBorder="1" applyAlignment="1">
      <x:alignment vertical="top" wrapText="1"/>
    </x:xf>
    <x:xf numFmtId="0" fontId="7" fillId="9" borderId="25" xfId="0" applyNumberFormat="1" applyFont="1" applyFill="1" applyBorder="1" applyAlignment="1">
      <x:alignment vertical="top" wrapText="1"/>
    </x:xf>
    <x:xf numFmtId="0" fontId="7" fillId="9" borderId="26" xfId="0" applyNumberFormat="1" applyFont="1" applyFill="1" applyBorder="1" applyAlignment="1">
      <x:alignment vertical="top" wrapText="1"/>
    </x:xf>
    <x:xf numFmtId="0" fontId="7" fillId="9" borderId="27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vertical="top" wrapText="1"/>
    </x:xf>
    <x:xf numFmtId="0" fontId="7" fillId="9" borderId="28" xfId="0" applyNumberFormat="1" applyFont="1" applyFill="1" applyBorder="1" applyAlignment="1">
      <x:alignment vertical="top" wrapText="1"/>
    </x:xf>
    <x:xf numFmtId="0" fontId="7" fillId="9" borderId="29" xfId="0" applyNumberFormat="1" applyFont="1" applyFill="1" applyBorder="1" applyAlignment="1">
      <x:alignment vertical="top" wrapText="1"/>
    </x:xf>
    <x:xf numFmtId="0" fontId="7" fillId="9" borderId="30" xfId="0" applyNumberFormat="1" applyFont="1" applyFill="1" applyBorder="1" applyAlignment="1">
      <x:alignment vertical="top" wrapText="1"/>
    </x:xf>
    <x:xf numFmtId="0" fontId="7" fillId="9" borderId="31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32" xfId="0" applyNumberFormat="1" applyFont="1" applyFill="1" applyBorder="1"/>
    <x:xf numFmtId="0" fontId="7" fillId="9" borderId="33" xfId="0" applyNumberFormat="1" applyFont="1" applyFill="1" applyBorder="1"/>
    <x:xf numFmtId="0" fontId="7" fillId="9" borderId="34" xfId="0" applyNumberFormat="1" applyFont="1" applyFill="1" applyBorder="1"/>
    <x:xf numFmtId="0" fontId="7" fillId="9" borderId="35" xfId="0" applyNumberFormat="1" applyFont="1" applyFill="1" applyBorder="1"/>
    <x:xf numFmtId="0" fontId="7" fillId="9" borderId="36" xfId="0" applyNumberFormat="1" applyFont="1" applyFill="1" applyBorder="1"/>
    <x:xf numFmtId="0" fontId="7" fillId="9" borderId="37" xfId="0" applyNumberFormat="1" applyFont="1" applyFill="1" applyBorder="1"/>
    <x:xf numFmtId="0" fontId="7" fillId="9" borderId="38" xfId="0" applyNumberFormat="1" applyFont="1" applyFill="1" applyBorder="1"/>
    <x:xf numFmtId="0" fontId="7" fillId="9" borderId="39" xfId="0" applyNumberFormat="1" applyFont="1" applyFill="1" applyBorder="1"/>
    <x:xf numFmtId="0" fontId="7" fillId="9" borderId="32" xfId="0" applyNumberFormat="1" applyFont="1" applyFill="1" applyBorder="1" applyAlignment="1">
      <x:alignment wrapText="1"/>
    </x:xf>
    <x:xf numFmtId="0" fontId="7" fillId="9" borderId="33" xfId="0" applyNumberFormat="1" applyFont="1" applyFill="1" applyBorder="1" applyAlignment="1">
      <x:alignment wrapText="1"/>
    </x:xf>
    <x:xf numFmtId="0" fontId="7" fillId="9" borderId="34" xfId="0" applyNumberFormat="1" applyFont="1" applyFill="1" applyBorder="1" applyAlignment="1">
      <x:alignment wrapText="1"/>
    </x:xf>
    <x:xf numFmtId="0" fontId="7" fillId="9" borderId="35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wrapText="1"/>
    </x:xf>
    <x:xf numFmtId="0" fontId="7" fillId="9" borderId="36" xfId="0" applyNumberFormat="1" applyFont="1" applyFill="1" applyBorder="1" applyAlignment="1">
      <x:alignment wrapText="1"/>
    </x:xf>
    <x:xf numFmtId="0" fontId="7" fillId="9" borderId="37" xfId="0" applyNumberFormat="1" applyFont="1" applyFill="1" applyBorder="1" applyAlignment="1">
      <x:alignment wrapText="1"/>
    </x:xf>
    <x:xf numFmtId="0" fontId="7" fillId="9" borderId="38" xfId="0" applyNumberFormat="1" applyFont="1" applyFill="1" applyBorder="1" applyAlignment="1">
      <x:alignment wrapText="1"/>
    </x:xf>
    <x:xf numFmtId="0" fontId="7" fillId="9" borderId="39" xfId="0" applyNumberFormat="1" applyFont="1" applyFill="1" applyBorder="1" applyAlignment="1">
      <x:alignment wrapText="1"/>
    </x:xf>
    <x:xf numFmtId="0" fontId="7" fillId="9" borderId="32" xfId="0" applyNumberFormat="1" applyFont="1" applyFill="1" applyBorder="1" applyAlignment="1">
      <x:alignment vertical="top" wrapText="1"/>
    </x:xf>
    <x:xf numFmtId="0" fontId="7" fillId="9" borderId="33" xfId="0" applyNumberFormat="1" applyFont="1" applyFill="1" applyBorder="1" applyAlignment="1">
      <x:alignment vertical="top" wrapText="1"/>
    </x:xf>
    <x:xf numFmtId="0" fontId="7" fillId="9" borderId="34" xfId="0" applyNumberFormat="1" applyFont="1" applyFill="1" applyBorder="1" applyAlignment="1">
      <x:alignment vertical="top" wrapText="1"/>
    </x:xf>
    <x:xf numFmtId="0" fontId="7" fillId="9" borderId="35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7" fillId="9" borderId="36" xfId="0" applyNumberFormat="1" applyFont="1" applyFill="1" applyBorder="1" applyAlignment="1">
      <x:alignment vertical="top" wrapText="1"/>
    </x:xf>
    <x:xf numFmtId="0" fontId="7" fillId="9" borderId="37" xfId="0" applyNumberFormat="1" applyFont="1" applyFill="1" applyBorder="1" applyAlignment="1">
      <x:alignment vertical="top" wrapText="1"/>
    </x:xf>
    <x:xf numFmtId="0" fontId="7" fillId="9" borderId="38" xfId="0" applyNumberFormat="1" applyFont="1" applyFill="1" applyBorder="1" applyAlignment="1">
      <x:alignment vertical="top" wrapText="1"/>
    </x:xf>
    <x:xf numFmtId="0" fontId="7" fillId="9" borderId="3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3" fillId="5" borderId="0" xfId="0" applyNumberFormat="1" applyFont="1" applyFill="1" applyBorder="1" applyAlignment="1">
      <x:alignment horizontal="left" wrapText="1"/>
    </x:xf>
    <x:xf numFmtId="0" fontId="5" fillId="6" borderId="0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5" borderId="1" xfId="0" applyNumberFormat="1" applyFont="1" applyFill="1" applyBorder="1" applyAlignment="1">
      <x:alignment horizontal="left" wrapText="1"/>
    </x:xf>
    <x:xf numFmtId="0" fontId="5" fillId="6" borderId="1" xfId="0" applyNumberFormat="1" applyFont="1" applyFill="1" applyBorder="1" applyAlignment="1">
      <x:alignment horizontal="left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10" xfId="0" applyNumberFormat="1" applyFont="1" applyFill="1" applyBorder="1" applyAlignment="1">
      <x:alignment vertical="top" wrapText="1"/>
    </x:xf>
    <x:xf numFmtId="0" fontId="4" fillId="3" borderId="12" xfId="0" applyNumberFormat="1" applyFont="1" applyFill="1" applyBorder="1" applyAlignment="1">
      <x:alignment vertical="top" wrapText="1"/>
    </x:xf>
    <x:xf numFmtId="0" fontId="4" fillId="3" borderId="14" xfId="0" applyNumberFormat="1" applyFont="1" applyFill="1" applyBorder="1" applyAlignment="1">
      <x:alignment vertical="top" wrapText="1"/>
    </x:xf>
    <x:xf numFmtId="0" fontId="4" fillId="3" borderId="16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20" xfId="0" applyNumberFormat="1" applyFont="1" applyFill="1" applyBorder="1" applyAlignment="1">
      <x:alignment vertical="top" wrapText="1"/>
    </x:xf>
    <x:xf numFmtId="0" fontId="9" fillId="0" borderId="20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9" xfId="0" applyNumberFormat="1" applyFont="1" applyFill="1" applyBorder="1" applyAlignment="1">
      <x:alignment vertical="top" wrapText="1"/>
    </x:xf>
    <x:xf numFmtId="0" fontId="8" fillId="0" borderId="10" xfId="0" applyNumberFormat="1" applyFont="1" applyFill="1" applyBorder="1" applyAlignment="1">
      <x:alignment vertical="top" wrapText="1"/>
    </x:xf>
    <x:xf numFmtId="0" fontId="8" fillId="0" borderId="21" xfId="0" applyNumberFormat="1" applyFont="1" applyFill="1" applyBorder="1" applyAlignment="1">
      <x:alignment vertical="top" wrapText="1"/>
    </x:xf>
    <x:xf numFmtId="0" fontId="9" fillId="0" borderId="21" xfId="0" applyNumberFormat="1" applyFont="1" applyFill="1" applyBorder="1" applyAlignment="1">
      <x:alignment vertical="top" wrapText="1"/>
    </x:xf>
    <x:xf numFmtId="0" fontId="9" fillId="0" borderId="11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vertical="top" wrapText="1"/>
    </x:xf>
    <x:xf numFmtId="0" fontId="8" fillId="0" borderId="22" xfId="0" applyNumberFormat="1" applyFont="1" applyFill="1" applyBorder="1" applyAlignment="1">
      <x:alignment vertical="top" wrapText="1"/>
    </x:xf>
    <x:xf numFmtId="0" fontId="9" fillId="0" borderId="22" xfId="0" applyNumberFormat="1" applyFont="1" applyFill="1" applyBorder="1" applyAlignment="1">
      <x:alignment vertical="top" wrapText="1"/>
    </x:xf>
    <x:xf numFmtId="0" fontId="9" fillId="0" borderId="13" xfId="0" applyNumberFormat="1" applyFont="1" applyFill="1" applyBorder="1" applyAlignment="1">
      <x:alignment vertical="top" wrapText="1"/>
    </x:xf>
    <x:xf numFmtId="0" fontId="8" fillId="0" borderId="14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0" borderId="15" xfId="0" applyNumberFormat="1" applyFont="1" applyFill="1" applyBorder="1" applyAlignment="1">
      <x:alignment vertical="top" wrapText="1"/>
    </x:xf>
    <x:xf numFmtId="0" fontId="8" fillId="0" borderId="16" xfId="0" applyNumberFormat="1" applyFont="1" applyFill="1" applyBorder="1" applyAlignment="1">
      <x:alignment vertical="top" wrapText="1"/>
    </x:xf>
    <x:xf numFmtId="0" fontId="8" fillId="0" borderId="23" xfId="0" applyNumberFormat="1" applyFont="1" applyFill="1" applyBorder="1" applyAlignment="1">
      <x:alignment vertical="top" wrapText="1"/>
    </x:xf>
    <x:xf numFmtId="0" fontId="9" fillId="0" borderId="23" xfId="0" applyNumberFormat="1" applyFont="1" applyFill="1" applyBorder="1" applyAlignment="1">
      <x:alignment vertical="top" wrapText="1"/>
    </x:xf>
    <x:xf numFmtId="0" fontId="9" fillId="0" borderId="17" xfId="0" applyNumberFormat="1" applyFont="1" applyFill="1" applyBorder="1" applyAlignment="1">
      <x:alignment vertical="top" wrapText="1"/>
    </x:xf>
    <x:xf numFmtId="0" fontId="10" fillId="4" borderId="2" xfId="0" applyNumberFormat="1" applyFont="1" applyFill="1" applyBorder="1" applyAlignment="1">
      <x:alignment horizontal="center" vertical="center" wrapText="1"/>
    </x:xf>
    <x:xf numFmtId="0" fontId="10" fillId="4" borderId="18" xfId="0" applyNumberFormat="1" applyFont="1" applyFill="1" applyBorder="1" applyAlignment="1">
      <x:alignment horizontal="center" vertical="center" wrapText="1"/>
    </x:xf>
    <x:xf numFmtId="0" fontId="10" fillId="4" borderId="3" xfId="0" applyNumberFormat="1" applyFont="1" applyFill="1" applyBorder="1" applyAlignment="1">
      <x:alignment horizontal="center" vertical="center" wrapText="1"/>
    </x:xf>
    <x:xf numFmtId="0" fontId="10" fillId="4" borderId="4" xfId="0" applyNumberFormat="1" applyFont="1" applyFill="1" applyBorder="1" applyAlignment="1">
      <x:alignment horizontal="center" vertical="center" wrapText="1"/>
    </x:xf>
    <x:xf numFmtId="0" fontId="10" fillId="4" borderId="19" xfId="0" applyNumberFormat="1" applyFont="1" applyFill="1" applyBorder="1" applyAlignment="1">
      <x:alignment horizontal="center" vertical="center" wrapText="1"/>
    </x:xf>
    <x:xf numFmtId="0" fontId="10" fillId="4" borderId="5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/>
    </x:xf>
    <x:xf numFmtId="0" fontId="3" fillId="7" borderId="0" xfId="0" applyNumberFormat="1" applyFont="1" applyFill="1" applyBorder="1" applyAlignment="1">
      <x:alignment horizontal="left"/>
    </x:xf>
    <x:xf numFmtId="0" fontId="3" fillId="7" borderId="1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wrapText="1"/>
    </x:xf>
    <x:xf numFmtId="0" fontId="3" fillId="7" borderId="0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7" borderId="1" xfId="0" applyNumberFormat="1" applyFont="1" applyFill="1" applyBorder="1" applyAlignment="1">
      <x:alignment horizontal="left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wrapText="1"/>
    </x:xf>
    <x:xf numFmtId="0" fontId="3" fillId="2" borderId="1" xfId="0" applyNumberFormat="1" applyFont="1" applyFill="1" applyBorder="1" applyAlignment="1">
      <x:alignment horizontal="left" wrapText="1"/>
    </x:xf>
    <x:xf numFmtId="0" fontId="3" fillId="7" borderId="18" xfId="0" applyNumberFormat="1" applyFont="1" applyFill="1" applyBorder="1"/>
    <x:xf numFmtId="0" fontId="3" fillId="7" borderId="18" xfId="0" applyNumberFormat="1" applyFont="1" applyFill="1" applyBorder="1" applyAlignment="1">
      <x:alignment wrapText="1"/>
    </x:xf>
    <x:xf numFmtId="0" fontId="3" fillId="7" borderId="18" xfId="0" applyNumberFormat="1" applyFont="1" applyFill="1" applyBorder="1" applyAlignment="1">
      <x:alignment horizontal="center" wrapText="1"/>
    </x:xf>
    <x:xf numFmtId="0" fontId="3" fillId="7" borderId="18" xfId="0" applyNumberFormat="1" applyFont="1" applyFill="1" applyBorder="1" applyAlignment="1">
      <x:alignment horizontal="center" vertical="center" wrapText="1"/>
    </x:xf>
    <x:xf numFmtId="0" fontId="3" fillId="7" borderId="19" xfId="0" applyNumberFormat="1" applyFont="1" applyFill="1" applyBorder="1"/>
    <x:xf numFmtId="0" fontId="3" fillId="7" borderId="19" xfId="0" applyNumberFormat="1" applyFont="1" applyFill="1" applyBorder="1" applyAlignment="1">
      <x:alignment wrapText="1"/>
    </x:xf>
    <x:xf numFmtId="0" fontId="3" fillId="7" borderId="19" xfId="0" applyNumberFormat="1" applyFont="1" applyFill="1" applyBorder="1" applyAlignment="1">
      <x:alignment horizontal="center" wrapText="1"/>
    </x:xf>
    <x:xf numFmtId="0" fontId="3" fillId="7" borderId="1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8"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bc83e845784528" /><Relationship Type="http://schemas.openxmlformats.org/officeDocument/2006/relationships/theme" Target="/xl/theme/theme1.xml" Id="Rcca6033e48a74bb4" /><Relationship Type="http://schemas.openxmlformats.org/officeDocument/2006/relationships/sharedStrings" Target="/xl/sharedStrings.xml" Id="R3019c96e59cf434a" /><Relationship Type="http://schemas.openxmlformats.org/officeDocument/2006/relationships/worksheet" Target="/xl/worksheets/sheet1.xml" Id="R2812f0cf67e24c02" /><Relationship Type="http://schemas.openxmlformats.org/officeDocument/2006/relationships/worksheet" Target="/xl/worksheets/sheet2.xml" Id="R43ace195a4694dfc" /><Relationship Type="http://schemas.openxmlformats.org/officeDocument/2006/relationships/worksheet" Target="/xl/worksheets/sheet3.xml" Id="Rb2ce0c3644e64cc1" /><Relationship Type="http://schemas.openxmlformats.org/officeDocument/2006/relationships/worksheet" Target="/xl/worksheets/sheet4.xml" Id="R1456f4984d8d466b" /><Relationship Type="http://schemas.openxmlformats.org/officeDocument/2006/relationships/worksheet" Target="/xl/worksheets/sheet5.xml" Id="Re1dc4af432e94c4d" /><Relationship Type="http://schemas.openxmlformats.org/officeDocument/2006/relationships/worksheet" Target="/xl/worksheets/sheet6.xml" Id="Rd760dcaca4f64e2d" /><Relationship Type="http://schemas.openxmlformats.org/officeDocument/2006/relationships/worksheet" Target="/xl/worksheets/sheet7.xml" Id="Rb12f3380ae7449be" /><Relationship Type="http://schemas.openxmlformats.org/officeDocument/2006/relationships/worksheet" Target="/xl/worksheets/sheet8.xml" Id="Rc0a1e4a5e8d648e3" /><Relationship Type="http://schemas.openxmlformats.org/officeDocument/2006/relationships/worksheet" Target="/xl/worksheets/sheet9.xml" Id="R12020e5578dc4d4a" /><Relationship Type="http://schemas.openxmlformats.org/officeDocument/2006/relationships/worksheet" Target="/xl/worksheets/sheet10.xml" Id="Rebc7bb131a4743e8" /><Relationship Type="http://schemas.openxmlformats.org/officeDocument/2006/relationships/worksheet" Target="/xl/worksheets/sheet11.xml" Id="R0de2e8fac86240f3" /><Relationship Type="http://schemas.openxmlformats.org/officeDocument/2006/relationships/worksheet" Target="/xl/worksheets/sheet12.xml" Id="R81573f8b67744c5d" /></Relationships>
</file>

<file path=xl/tables/table1.xml><?xml version="1.0" encoding="utf-8"?>
<x:table xmlns:x="http://schemas.openxmlformats.org/spreadsheetml/2006/main" id="1" name="ExprChannelQuick" displayName="ExprChannelQuick" ref="A4:J14" headerRowCount="1" totalsRowCount="0" totalsRowShown="0">
  <x:tableColumns count="10">
    <x:tableColumn id="1" name="通道ID"/>
    <x:tableColumn id="2" name="十神"/>
    <x:tableColumn id="3" name="功能系统"/>
    <x:tableColumn id="4" name="正式名称"/>
    <x:tableColumn id="5" name="核心表达逻辑"/>
    <x:tableColumn id="6" name="在意表达"/>
    <x:tableColumn id="7" name="情绪表达"/>
    <x:tableColumn id="8" name="需求表达"/>
    <x:tableColumn id="9" name="回应方式"/>
    <x:tableColumn id="10" name="禁止误读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prDimensionMatrix" displayName="ExprDimensionMatrix" ref="A4:I36" headerRowCount="1" totalsRowCount="0" totalsRowShown="0">
  <x:tableColumns count="9">
    <x:tableColumn id="1" name="维度ID"/>
    <x:tableColumn id="2" name="维度"/>
    <x:tableColumn id="3" name="输出字段"/>
    <x:tableColumn id="4" name="状态"/>
    <x:tableColumn id="5" name="成立条件"/>
    <x:tableColumn id="6" name="内部解释"/>
    <x:tableColumn id="7" name="用户可见解释"/>
    <x:tableColumn id="8" name="分值／作用"/>
    <x:tableColumn id="9" name="基础置信度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prPathMatrix" displayName="ExprPathMatrix" ref="A4:F16" headerRowCount="1" totalsRowCount="0" totalsRowShown="0">
  <x:tableColumns count="6">
    <x:tableColumn id="1" name="路径ID"/>
    <x:tableColumn id="2" name="路径名称"/>
    <x:tableColumn id="3" name="主要信号"/>
    <x:tableColumn id="4" name="基本顺序"/>
    <x:tableColumn id="5" name="标准用户解释"/>
    <x:tableColumn id="6" name="排除／停止条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prStateMatrix" displayName="ExprStateMatrix" ref="A4:I32" headerRowCount="1" totalsRowCount="0" totalsRowShown="0">
  <x:tableColumns count="9">
    <x:tableColumn id="1" name="规则ID"/>
    <x:tableColumn id="2" name="规则名称"/>
    <x:tableColumn id="3" name="类型"/>
    <x:tableColumn id="4" name="主信号"/>
    <x:tableColumn id="5" name="成立条件"/>
    <x:tableColumn id="6" name="分值／作用"/>
    <x:tableColumn id="7" name="用户解释"/>
    <x:tableColumn id="8" name="输出字段"/>
    <x:tableColumn id="9" name="置信度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prInterfaceMatrix" displayName="ExprInterfaceMatrix" ref="A4:J28" headerRowCount="1" totalsRowCount="0" totalsRowShown="0">
  <x:tableColumns count="10">
    <x:tableColumn id="1" name="规则ID"/>
    <x:tableColumn id="2" name="规则名称"/>
    <x:tableColumn id="3" name="类型"/>
    <x:tableColumn id="4" name="主信号"/>
    <x:tableColumn id="5" name="成立条件"/>
    <x:tableColumn id="6" name="内部处理"/>
    <x:tableColumn id="7" name="用户解释"/>
    <x:tableColumn id="8" name="作用"/>
    <x:tableColumn id="9" name="输出字段"/>
    <x:tableColumn id="10" name="置信度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prAtomicRules" displayName="ExprAtomicRules" ref="A4:AE224" headerRowCount="1" totalsRowCount="0" totalsRowShown="0">
  <x:tableColumns count="31">
    <x:tableColumn id="1" name="rule_id"/>
    <x:tableColumn id="2" name="rule_name"/>
    <x:tableColumn id="3" name="layer"/>
    <x:tableColumn id="4" name="module"/>
    <x:tableColumn id="5" name="applicable_group"/>
    <x:tableColumn id="6" name="rule_type"/>
    <x:tableColumn id="7" name="main_signal"/>
    <x:tableColumn id="8" name="secondary_signal"/>
    <x:tableColumn id="9" name="required_conditions"/>
    <x:tableColumn id="10" name="excluded_conditions"/>
    <x:tableColumn id="11" name="self_strength_status"/>
    <x:tableColumn id="12" name="spouse_star_status"/>
    <x:tableColumn id="13" name="palace_signal"/>
    <x:tableColumn id="14" name="flow_path"/>
    <x:tableColumn id="15" name="signal_position"/>
    <x:tableColumn id="16" name="root_status"/>
    <x:tableColumn id="17" name="strength_level"/>
    <x:tableColumn id="18" name="favorability"/>
    <x:tableColumn id="19" name="transformation_status"/>
    <x:tableColumn id="20" name="distance_level"/>
    <x:tableColumn id="21" name="priority"/>
    <x:tableColumn id="22" name="score_effect"/>
    <x:tableColumn id="23" name="output_slot"/>
    <x:tableColumn id="24" name="internal_logic"/>
    <x:tableColumn id="25" name="user_explanation"/>
    <x:tableColumn id="26" name="forbidden_inference"/>
    <x:tableColumn id="27" name="confidence_base"/>
    <x:tableColumn id="28" name="validation_status"/>
    <x:tableColumn id="29" name="case_refs"/>
    <x:tableColumn id="30" name="notes"/>
    <x:tableColumn id="31" name="vers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xprGateStop" displayName="ExprGateStop" ref="A4:K66" headerRowCount="1" totalsRowCount="0" totalsRowShown="0">
  <x:tableColumns count="11">
    <x:tableColumn id="1" name="规则ID"/>
    <x:tableColumn id="2" name="规则名称"/>
    <x:tableColumn id="3" name="模块"/>
    <x:tableColumn id="4" name="类型"/>
    <x:tableColumn id="5" name="成立条件"/>
    <x:tableColumn id="6" name="排除条件"/>
    <x:tableColumn id="7" name="系统处理"/>
    <x:tableColumn id="8" name="输出字段"/>
    <x:tableColumn id="9" name="用户解释"/>
    <x:tableColumn id="10" name="禁止推出"/>
    <x:tableColumn id="11" name="置信度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xprCaseValidation" displayName="ExprCaseValidation" ref="A4:N32" headerRowCount="1" totalsRowCount="0" totalsRowShown="0">
  <x:tableColumns count="14">
    <x:tableColumn id="1" name="案例ID"/>
    <x:tableColumn id="2" name="记录类型"/>
    <x:tableColumn id="3" name="命盘事实摘要"/>
    <x:tableColumn id="4" name="预测主通道"/>
    <x:tableColumn id="5" name="预测次通道"/>
    <x:tableColumn id="6" name="预测路径"/>
    <x:tableColumn id="7" name="关键过程维度"/>
    <x:tableColumn id="8" name="用户自述"/>
    <x:tableColumn id="9" name="伴侣／关系对象反馈"/>
    <x:tableColumn id="10" name="匹配级别"/>
    <x:tableColumn id="11" name="偏差类型"/>
    <x:tableColumn id="12" name="影响规则ID"/>
    <x:tableColumn id="13" name="处理动作"/>
    <x:tableColumn id="1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78e0acdac048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3df4cba0e744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463c0e6ce84e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54663bf17a46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b14ba6562a4b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0bb8763a9c4c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36512c15b447d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026358883da445e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251" t="str">
        <x:v>M3-EXPR 情感表达与沟通原子规则库 V0.3</x:v>
      </x:c>
      <x:c r="B1" s="251"/>
      <x:c r="C1" s="251"/>
      <x:c r="D1" s="251"/>
      <x:c r="E1" s="251"/>
      <x:c r="F1" s="251"/>
      <x:c r="G1" s="251"/>
      <x:c r="H1" s="251"/>
    </x:row>
    <x:row r="2" ht="28" customHeight="1">
      <x:c r="A2" s="13" t="str">
        <x:v>用途：快速学习、案例分析、规则检索与后续程序迁移。当前全部规则为待验证、provisional=true。</x:v>
      </x:c>
      <x:c r="B2" s="13"/>
      <x:c r="C2" s="13"/>
      <x:c r="D2" s="13"/>
      <x:c r="E2" s="13"/>
      <x:c r="F2" s="13"/>
      <x:c r="G2" s="13"/>
      <x:c r="H2" s="13"/>
    </x:row>
    <x:row r="3">
      <x:c r="A3" s="100"/>
      <x:c r="B3" s="100"/>
      <x:c r="C3" s="100"/>
      <x:c r="D3" s="100"/>
      <x:c r="E3" s="100"/>
      <x:c r="F3" s="100"/>
      <x:c r="G3" s="100"/>
      <x:c r="H3" s="100"/>
    </x:row>
    <x:row r="4">
      <x:c r="A4" s="74" t="str">
        <x:v>项目</x:v>
      </x:c>
      <x:c r="B4" s="27" t="str">
        <x:v>内容</x:v>
      </x:c>
      <x:c r="C4" s="100"/>
      <x:c r="D4" s="100"/>
      <x:c r="E4" s="100"/>
      <x:c r="F4" s="100"/>
      <x:c r="G4" s="100"/>
      <x:c r="H4" s="100"/>
    </x:row>
    <x:row r="5">
      <x:c r="A5" s="75" t="str">
        <x:v>模型问题</x:v>
      </x:c>
      <x:c r="B5" s="51" t="str">
        <x:v>进入关系后，用户通常怎样让在意、感受、需求和观点被对方接收？</x:v>
      </x:c>
      <x:c r="C5" s="100"/>
      <x:c r="D5" s="100"/>
      <x:c r="E5" s="100"/>
      <x:c r="F5" s="100"/>
      <x:c r="G5" s="100"/>
      <x:c r="H5" s="100"/>
    </x:row>
    <x:row r="6">
      <x:c r="A6" s="76" t="str">
        <x:v>本模块输出</x:v>
      </x:c>
      <x:c r="B6" s="53" t="str">
        <x:v>主表达通道、次表达通道、在意表达、情绪表达、需求表达、沟通方式、时序、回应方式与表达路径</x:v>
      </x:c>
      <x:c r="C6" s="100"/>
      <x:c r="D6" s="100"/>
      <x:c r="E6" s="100"/>
      <x:c r="F6" s="100"/>
      <x:c r="G6" s="100"/>
      <x:c r="H6" s="100"/>
    </x:row>
    <x:row r="7">
      <x:c r="A7" s="76" t="str">
        <x:v>规则数量</x:v>
      </x:c>
      <x:c r="B7" s="53" t="n">
        <x:v>220</x:v>
      </x:c>
      <x:c r="C7" s="100"/>
      <x:c r="D7" s="100"/>
      <x:c r="E7" s="100"/>
      <x:c r="F7" s="100"/>
      <x:c r="G7" s="100"/>
      <x:c r="H7" s="100"/>
    </x:row>
    <x:row r="8">
      <x:c r="A8" s="76" t="str">
        <x:v>正式规则编号</x:v>
      </x:c>
      <x:c r="B8" s="53" t="str">
        <x:v>M3-EXPR-001—M3-EXPR-220</x:v>
      </x:c>
      <x:c r="C8" s="100"/>
      <x:c r="D8" s="100"/>
      <x:c r="E8" s="100"/>
      <x:c r="F8" s="100"/>
      <x:c r="G8" s="100"/>
      <x:c r="H8" s="100"/>
    </x:row>
    <x:row r="9">
      <x:c r="A9" s="77" t="str">
        <x:v>版本日期</x:v>
      </x:c>
      <x:c r="B9" s="55" t="str">
        <x:v>2026-08-26</x:v>
      </x:c>
      <x:c r="C9" s="100"/>
      <x:c r="D9" s="100"/>
      <x:c r="E9" s="100"/>
      <x:c r="F9" s="100"/>
      <x:c r="G9" s="100"/>
      <x:c r="H9" s="100"/>
    </x:row>
    <x:row r="10">
      <x:c r="A10" s="100"/>
      <x:c r="B10" s="100"/>
      <x:c r="C10" s="100"/>
      <x:c r="D10" s="100"/>
      <x:c r="E10" s="100"/>
      <x:c r="F10" s="100"/>
      <x:c r="G10" s="100"/>
      <x:c r="H10" s="100"/>
    </x:row>
    <x:row r="11" ht="22" customHeight="1">
      <x:c r="A11" s="252" t="str">
        <x:v>90秒案例分析顺序</x:v>
      </x:c>
      <x:c r="B11" s="252"/>
      <x:c r="C11" s="252"/>
      <x:c r="D11" s="252"/>
      <x:c r="E11" s="252"/>
      <x:c r="F11" s="252"/>
      <x:c r="G11" s="252"/>
      <x:c r="H11" s="252"/>
    </x:row>
    <x:row r="12">
      <x:c r="A12" s="26" t="str">
        <x:v>步骤</x:v>
      </x:c>
      <x:c r="B12" s="91" t="str">
        <x:v>任务</x:v>
      </x:c>
      <x:c r="C12" s="27" t="str">
        <x:v>检查重点</x:v>
      </x:c>
      <x:c r="D12" s="158" t="str">
        <x:v>快速检索提示
• Ctrl+F 搜索：食神、伤官、正印、偏印、XQ03、XP06、真合化、食伤弱、同源去重。
• 先看 01—05 速查矩阵，再到 06_原子规则 查具体规则ID。
• 输出前必须再看 07_门控与停止 与 08_输出模板与句库。
• 所有分值与阈值均为初始知识工程参数，不是统计概率。</x:v>
      </x:c>
      <x:c r="E12" s="159"/>
      <x:c r="F12" s="159"/>
      <x:c r="G12" s="159"/>
      <x:c r="H12" s="160"/>
    </x:row>
    <x:row r="13">
      <x:c r="A13" s="50" t="str">
        <x:v>1</x:v>
      </x:c>
      <x:c r="B13" s="102" t="str">
        <x:v>确认M3-BASE有效</x:v>
      </x:c>
      <x:c r="C13" s="51" t="str">
        <x:v>日支主气、合化和共享基础状态必须先可靠。</x:v>
      </x:c>
      <x:c r="D13" s="161"/>
      <x:c r="E13" s="162"/>
      <x:c r="F13" s="162"/>
      <x:c r="G13" s="162"/>
      <x:c r="H13" s="163"/>
    </x:row>
    <x:row r="14">
      <x:c r="A14" s="52" t="str">
        <x:v>2</x:v>
      </x:c>
      <x:c r="B14" s="103" t="str">
        <x:v>标记十类表达候选</x:v>
      </x:c>
      <x:c r="C14" s="53" t="str">
        <x:v>X01—X10：比劫、食伤、财、官杀、印各自承担什么表达功能。</x:v>
      </x:c>
      <x:c r="D14" s="161"/>
      <x:c r="E14" s="162"/>
      <x:c r="F14" s="162"/>
      <x:c r="G14" s="162"/>
      <x:c r="H14" s="163"/>
    </x:row>
    <x:row r="15">
      <x:c r="A15" s="52" t="str">
        <x:v>3</x:v>
      </x:c>
      <x:c r="B15" s="103" t="str">
        <x:v>判断过程维度</x:v>
      </x:c>
      <x:c r="C15" s="53" t="str">
        <x:v>XQ01—XQ08：可见度、语言显性、情绪时序、需求明确度、启动和回应。</x:v>
      </x:c>
      <x:c r="D15" s="161"/>
      <x:c r="E15" s="162"/>
      <x:c r="F15" s="162"/>
      <x:c r="G15" s="162"/>
      <x:c r="H15" s="163"/>
    </x:row>
    <x:row r="16">
      <x:c r="A16" s="52" t="str">
        <x:v>4</x:v>
      </x:c>
      <x:c r="B16" s="103" t="str">
        <x:v>建立表达路径</x:v>
      </x:c>
      <x:c r="C16" s="53" t="str">
        <x:v>XP01—XP12：直接说、先整理、先行动、先听、先表达后落实等。</x:v>
      </x:c>
      <x:c r="D16" s="161"/>
      <x:c r="E16" s="162"/>
      <x:c r="F16" s="162"/>
      <x:c r="G16" s="162"/>
      <x:c r="H16" s="163"/>
    </x:row>
    <x:row r="17">
      <x:c r="A17" s="52" t="str">
        <x:v>5</x:v>
      </x:c>
      <x:c r="B17" s="103" t="str">
        <x:v>应用状态修正</x:v>
      </x:c>
      <x:c r="C17" s="53" t="str">
        <x:v>透藏、根气、旺弱、喜忌、制化、位置与合化。</x:v>
      </x:c>
      <x:c r="D17" s="161"/>
      <x:c r="E17" s="162"/>
      <x:c r="F17" s="162"/>
      <x:c r="G17" s="162"/>
      <x:c r="H17" s="163"/>
    </x:row>
    <x:row r="18">
      <x:c r="A18" s="52" t="str">
        <x:v>6</x:v>
      </x:c>
      <x:c r="B18" s="103" t="str">
        <x:v>完成source_id去重</x:v>
      </x:c>
      <x:c r="C18" s="53" t="str">
        <x:v>同一日支、同根透干和同系统正偏信号不能重复计证据。</x:v>
      </x:c>
      <x:c r="D18" s="161"/>
      <x:c r="E18" s="162"/>
      <x:c r="F18" s="162"/>
      <x:c r="G18" s="162"/>
      <x:c r="H18" s="163"/>
    </x:row>
    <x:row r="19">
      <x:c r="A19" s="54" t="str">
        <x:v>7</x:v>
      </x:c>
      <x:c r="B19" s="104" t="str">
        <x:v>判断主次与置信度</x:v>
      </x:c>
      <x:c r="C19" s="55" t="str">
        <x:v>正文只保留一个主通道、一个有效次通道和一条主路径。</x:v>
      </x:c>
      <x:c r="D19" s="164"/>
      <x:c r="E19" s="165"/>
      <x:c r="F19" s="165"/>
      <x:c r="G19" s="165"/>
      <x:c r="H19" s="166"/>
    </x:row>
    <x:row r="20">
      <x:c r="A20" s="100" t="str">
        <x:v>8</x:v>
      </x:c>
      <x:c r="B20" s="100" t="str">
        <x:v>生成用户语言</x:v>
      </x:c>
      <x:c r="C20" s="100" t="str">
        <x:v>按“通道—可观察行为—时序—条件”输出，并执行禁止断语检查。</x:v>
      </x:c>
      <x:c r="D20" s="100"/>
      <x:c r="E20" s="100"/>
      <x:c r="F20" s="100"/>
      <x:c r="G20" s="100"/>
      <x:c r="H20" s="100"/>
    </x:row>
    <x:row r="21" ht="22" customHeight="1">
      <x:c r="A21" s="253" t="str">
        <x:v>四条硬边界</x:v>
      </x:c>
      <x:c r="B21" s="253"/>
      <x:c r="C21" s="253"/>
      <x:c r="D21" s="253"/>
      <x:c r="E21" s="253"/>
      <x:c r="F21" s="253"/>
      <x:c r="G21" s="253"/>
      <x:c r="H21" s="253"/>
    </x:row>
    <x:row r="22">
      <x:c r="A22" s="127" t="str">
        <x:v>情形</x:v>
      </x:c>
      <x:c r="B22" s="128" t="str">
        <x:v>正确处理</x:v>
      </x:c>
      <x:c r="C22" s="100"/>
      <x:c r="D22" s="214" t="str">
        <x:v>核心记忆句
印先接收和整理；比劫形成立场；食伤完成外化；财把表达落到现实；官杀把现实组织成责任和行动。
M3-EXPR只回答“怎样表达”，不回答“这样表达会不会出问题、适不适合谁”。</x:v>
      </x:c>
      <x:c r="E22" s="215"/>
      <x:c r="F22" s="215"/>
      <x:c r="G22" s="215"/>
      <x:c r="H22" s="216"/>
    </x:row>
    <x:row r="23">
      <x:c r="A23" s="50" t="str">
        <x:v>食伤弱</x:v>
      </x:c>
      <x:c r="B23" s="51" t="str">
        <x:v>不等于不会表达；继续检查行动、责任、倾听与平等陈述通道。</x:v>
      </x:c>
      <x:c r="C23" s="100"/>
      <x:c r="D23" s="217"/>
      <x:c r="E23" s="218"/>
      <x:c r="F23" s="218"/>
      <x:c r="G23" s="218"/>
      <x:c r="H23" s="219"/>
    </x:row>
    <x:row r="24">
      <x:c r="A24" s="52" t="str">
        <x:v>行动表达</x:v>
      </x:c>
      <x:c r="B24" s="53" t="str">
        <x:v>不等于长期投入；持续性与交换方式交给M3-CARE。</x:v>
      </x:c>
      <x:c r="C24" s="100"/>
      <x:c r="D24" s="217"/>
      <x:c r="E24" s="218"/>
      <x:c r="F24" s="218"/>
      <x:c r="G24" s="218"/>
      <x:c r="H24" s="219"/>
    </x:row>
    <x:row r="25">
      <x:c r="A25" s="52" t="str">
        <x:v>能说边界</x:v>
      </x:c>
      <x:c r="B25" s="53" t="str">
        <x:v>不等于能执行边界；执行与亲密距离交给M3-BOUND。</x:v>
      </x:c>
      <x:c r="C25" s="100"/>
      <x:c r="D25" s="217"/>
      <x:c r="E25" s="218"/>
      <x:c r="F25" s="218"/>
      <x:c r="G25" s="218"/>
      <x:c r="H25" s="219"/>
    </x:row>
    <x:row r="26">
      <x:c r="A26" s="54" t="str">
        <x:v>日常沟通</x:v>
      </x:c>
      <x:c r="B26" s="55" t="str">
        <x:v>不等于分歧、修复和压力状态；分别交给CONFLICT、REPAIR和STATE。</x:v>
      </x:c>
      <x:c r="C26" s="100"/>
      <x:c r="D26" s="220"/>
      <x:c r="E26" s="221"/>
      <x:c r="F26" s="221"/>
      <x:c r="G26" s="221"/>
      <x:c r="H26" s="222"/>
    </x:row>
    <x:row r="27">
      <x:c r="A27" s="100"/>
      <x:c r="B27" s="100"/>
      <x:c r="C27" s="100"/>
      <x:c r="D27" s="100"/>
      <x:c r="E27" s="100"/>
      <x:c r="F27" s="100"/>
      <x:c r="G27" s="100"/>
      <x:c r="H27" s="100"/>
    </x:row>
    <x:row r="28">
      <x:c r="A28" s="100"/>
      <x:c r="B28" s="100"/>
      <x:c r="C28" s="100"/>
      <x:c r="D28" s="100"/>
      <x:c r="E28" s="100"/>
      <x:c r="F28" s="100"/>
      <x:c r="G28" s="100"/>
      <x:c r="H28" s="100"/>
    </x:row>
    <x:row r="29">
      <x:c r="A29" s="100"/>
      <x:c r="B29" s="100"/>
      <x:c r="C29" s="100"/>
      <x:c r="D29" s="100"/>
      <x:c r="E29" s="100"/>
      <x:c r="F29" s="100"/>
      <x:c r="G29" s="100"/>
      <x:c r="H29" s="100"/>
    </x:row>
    <x:row r="30">
      <x:c r="A30" s="100"/>
      <x:c r="B30" s="100"/>
      <x:c r="C30" s="100"/>
      <x:c r="D30" s="100"/>
      <x:c r="E30" s="100"/>
      <x:c r="F30" s="100"/>
      <x:c r="G30" s="100"/>
      <x:c r="H30" s="100"/>
    </x:row>
  </x:sheetData>
  <x:mergeCells>
    <x:mergeCell ref="A1:H1"/>
    <x:mergeCell ref="A2:H2"/>
    <x:mergeCell ref="A11:H11"/>
    <x:mergeCell ref="A21:H21"/>
    <x:mergeCell ref="D12:H19"/>
    <x:mergeCell ref="D22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19" hidden="0" customWidth="1"/>
    <x:col min="4" max="4" width="1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</x:cols>
  <x:sheetData>
    <x:row r="1" ht="30" customHeight="1">
      <x:c r="A1" s="5" t="str">
        <x:v>十类表达通道速查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13" t="str">
        <x:v>先确定主要通道，再结合过程维度、表达路径与状态修正。十神只负责功能，不直接等于人格好坏。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26" t="str">
        <x:v>通道ID</x:v>
      </x:c>
      <x:c r="B4" s="91" t="str">
        <x:v>十神</x:v>
      </x:c>
      <x:c r="C4" s="91" t="str">
        <x:v>功能系统</x:v>
      </x:c>
      <x:c r="D4" s="91" t="str">
        <x:v>正式名称</x:v>
      </x:c>
      <x:c r="E4" s="91" t="str">
        <x:v>核心表达逻辑</x:v>
      </x:c>
      <x:c r="F4" s="91" t="str">
        <x:v>在意表达</x:v>
      </x:c>
      <x:c r="G4" s="91" t="str">
        <x:v>情绪表达</x:v>
      </x:c>
      <x:c r="H4" s="91" t="str">
        <x:v>需求表达</x:v>
      </x:c>
      <x:c r="I4" s="91" t="str">
        <x:v>回应方式</x:v>
      </x:c>
      <x:c r="J4" s="27" t="str">
        <x:v>禁止误读</x:v>
      </x:c>
    </x:row>
    <x:row r="5">
      <x:c r="A5" s="263" t="str">
        <x:v>X01</x:v>
      </x:c>
      <x:c r="B5" s="257" t="str">
        <x:v>比肩</x:v>
      </x:c>
      <x:c r="C5" s="257" t="str">
        <x:v>SYS01 自我边界系统</x:v>
      </x:c>
      <x:c r="D5" s="257" t="str">
        <x:v>平等陈述</x:v>
      </x:c>
      <x:c r="E5" s="102" t="str">
        <x:v>以第一人称、平等协商和边界清楚的方式说明想法，不喜欢让一方替另一方定义感受或做决定。</x:v>
      </x:c>
      <x:c r="F5" s="102" t="str">
        <x:v>通过尊重选择、并肩陪伴、把对方当作可以共同商量的伙伴来表达在意。</x:v>
      </x:c>
      <x:c r="G5" s="102" t="str">
        <x:v>愿意说明自己的真实感受和立场，但通常不需要用夸张、黏附或自我牺牲式语言证明亲密。</x:v>
      </x:c>
      <x:c r="H5" s="102" t="str">
        <x:v>倾向把需求说成可协商的条件，例如需要什么空间、怎样分工、哪些事情希望共同决定。</x:v>
      </x:c>
      <x:c r="I5" s="102" t="str">
        <x:v>更容易接收清楚、平等、不给自己贴标签，也不替自己做决定的表达。</x:v>
      </x:c>
      <x:c r="J5" s="51" t="str">
        <x:v>不得推出用户自私、强势、缺少共情、只顾自己或一定排斥依赖。</x:v>
      </x:c>
    </x:row>
    <x:row r="6">
      <x:c r="A6" s="264" t="str">
        <x:v>X02</x:v>
      </x:c>
      <x:c r="B6" s="258" t="str">
        <x:v>劫财</x:v>
      </x:c>
      <x:c r="C6" s="258" t="str">
        <x:v>SYS01 自我边界系统</x:v>
      </x:c>
      <x:c r="D6" s="258" t="str">
        <x:v>即时互动</x:v>
      </x:c>
      <x:c r="E6" s="103" t="str">
        <x:v>通过快速回应、共同参与和边做边沟通让关系保持活力，表达往往带有明显的现场感。</x:v>
      </x:c>
      <x:c r="F6" s="103" t="str">
        <x:v>通过加入对方的事情、主动邀约、一起行动或及时站到对方身边来表达在意。</x:v>
      </x:c>
      <x:c r="G6" s="103" t="str">
        <x:v>情绪更容易在互动中被带出来，可能先通过语气、行动和即时反馈表现，再逐渐说清。</x:v>
      </x:c>
      <x:c r="H6" s="103" t="str">
        <x:v>倾向用提议、邀请、共同计划或直接推动来表达需求，希望对方给出即时回应。</x:v>
      </x:c>
      <x:c r="I6" s="103" t="str">
        <x:v>更容易对有参与感、节奏明确、愿意一起做点什么的表达产生回应。</x:v>
      </x:c>
      <x:c r="J6" s="53" t="str">
        <x:v>不得推出用户冲动、争抢、爱竞争、容易出现第三者或一定喜欢控制节奏。</x:v>
      </x:c>
    </x:row>
    <x:row r="7">
      <x:c r="A7" s="264" t="str">
        <x:v>X03</x:v>
      </x:c>
      <x:c r="B7" s="258" t="str">
        <x:v>食神</x:v>
      </x:c>
      <x:c r="C7" s="258" t="str">
        <x:v>SYS02 表达交流系统</x:v>
      </x:c>
      <x:c r="D7" s="258" t="str">
        <x:v>温和分享</x:v>
      </x:c>
      <x:c r="E7" s="103" t="str">
        <x:v>通过温和叙述、轻松交流、日常分享和让气氛舒服的方式传递感受。</x:v>
      </x:c>
      <x:c r="F7" s="103" t="str">
        <x:v>通过陪伴、分享生活细节、照顾氛围、幽默和让对方放松来表达喜欢。</x:v>
      </x:c>
      <x:c r="G7" s="103" t="str">
        <x:v>更愿意在情绪稍微稳定后，用柔和、可被接住的方式说明自己的感受。</x:v>
      </x:c>
      <x:c r="H7" s="103" t="str">
        <x:v>需求常会经过缓和、铺垫或体贴化表达，不一定一开始就用强硬或命令式语言。</x:v>
      </x:c>
      <x:c r="I7" s="103" t="str">
        <x:v>更容易接收温和、不带压迫感、允许慢慢说和慢慢回应的沟通。</x:v>
      </x:c>
      <x:c r="J7" s="53" t="str">
        <x:v>不得推出用户一定好脾气、不会生气、过度讨好、只爱享受或缺乏原则。</x:v>
      </x:c>
    </x:row>
    <x:row r="8">
      <x:c r="A8" s="264" t="str">
        <x:v>X04</x:v>
      </x:c>
      <x:c r="B8" s="258" t="str">
        <x:v>伤官</x:v>
      </x:c>
      <x:c r="C8" s="258" t="str">
        <x:v>SYS02 表达交流系统</x:v>
      </x:c>
      <x:c r="D8" s="258" t="str">
        <x:v>分析澄清</x:v>
      </x:c>
      <x:c r="E8" s="103" t="str">
        <x:v>通过说清逻辑、指出差异、提出问题和完整表达观点来建立理解。</x:v>
      </x:c>
      <x:c r="F8" s="103" t="str">
        <x:v>通过分享想法、认真讨论、坦率反馈和让对方进入自己的认知世界来表达重视。</x:v>
      </x:c>
      <x:c r="G8" s="103" t="str">
        <x:v>更容易把情绪拆成原因、事实和感受进行说明，希望对方真正听懂，而不只是给安慰。</x:v>
      </x:c>
      <x:c r="H8" s="103" t="str">
        <x:v>倾向直接说明需求、理由和不合理之处，也会通过提问确认对方是否理解。</x:v>
      </x:c>
      <x:c r="I8" s="103" t="str">
        <x:v>更容易接收有内容、能回应具体问题、允许讨论和解释的沟通。</x:v>
      </x:c>
      <x:c r="J8" s="53" t="str">
        <x:v>不得推出用户说话刻薄、爱否定、一定吵架、缺乏尊重或感情不稳定。</x:v>
      </x:c>
    </x:row>
    <x:row r="9">
      <x:c r="A9" s="264" t="str">
        <x:v>X05</x:v>
      </x:c>
      <x:c r="B9" s="258" t="str">
        <x:v>正财</x:v>
      </x:c>
      <x:c r="C9" s="258" t="str">
        <x:v>SYS03 投入经营系统</x:v>
      </x:c>
      <x:c r="D9" s="258" t="str">
        <x:v>实际落实</x:v>
      </x:c>
      <x:c r="E9" s="103" t="str">
        <x:v>更习惯把在意转化为具体安排、持续行动和可执行的日常细节。</x:v>
      </x:c>
      <x:c r="F9" s="103" t="str">
        <x:v>通过记得承诺、安排时间、处理生活事务、稳定出现和持续做小事表达重视。</x:v>
      </x:c>
      <x:c r="G9" s="103" t="str">
        <x:v>情绪表达往往会落到“接下来怎么做、需要怎样安排”上，事实与行动比抽象表态更重要。</x:v>
      </x:c>
      <x:c r="H9" s="103" t="str">
        <x:v>倾向把需求说成具体事项、时间安排和可落实的分工，希望对方给出稳定回应。</x:v>
      </x:c>
      <x:c r="I9" s="103" t="str">
        <x:v>更容易通过对方是否持续行动、是否把话落实到日常来判断自己是否被理解。</x:v>
      </x:c>
      <x:c r="J9" s="53" t="str">
        <x:v>不得推出用户功利、只看物质、不浪漫、算计付出或一定传统保守。</x:v>
      </x:c>
    </x:row>
    <x:row r="10">
      <x:c r="A10" s="264" t="str">
        <x:v>X06</x:v>
      </x:c>
      <x:c r="B10" s="258" t="str">
        <x:v>偏财</x:v>
      </x:c>
      <x:c r="C10" s="258" t="str">
        <x:v>SYS03 投入经营系统</x:v>
      </x:c>
      <x:c r="D10" s="258" t="str">
        <x:v>氛围回应</x:v>
      </x:c>
      <x:c r="E10" s="103" t="str">
        <x:v>通过灵活互动、共同体验、及时回应和营造有来有往的氛围表达感受。</x:v>
      </x:c>
      <x:c r="F10" s="103" t="str">
        <x:v>通过邀约、制造惊喜、分享新鲜体验、慷慨回应和让相处有活力来表达喜欢。</x:v>
      </x:c>
      <x:c r="G10" s="103" t="str">
        <x:v>更容易借互动氛围、语气、现场反馈和共同体验传递情绪，而不是长时间停留在抽象分析。</x:v>
      </x:c>
      <x:c r="H10" s="103" t="str">
        <x:v>需求常以邀请、建议、当下想法或共同体验的形式提出，表达较灵活。</x:v>
      </x:c>
      <x:c r="I10" s="103" t="str">
        <x:v>更容易接收有回应、有变化、能接住当下气氛并愿意参与的表达。</x:v>
      </x:c>
      <x:c r="J10" s="53" t="str">
        <x:v>不得推出用户花心、只追求新鲜、不会长期投入、爱暧昧或一定外向。</x:v>
      </x:c>
    </x:row>
    <x:row r="11">
      <x:c r="A11" s="264" t="str">
        <x:v>X07</x:v>
      </x:c>
      <x:c r="B11" s="258" t="str">
        <x:v>正官</x:v>
      </x:c>
      <x:c r="C11" s="258" t="str">
        <x:v>SYS04 责任行动系统</x:v>
      </x:c>
      <x:c r="D11" s="258" t="str">
        <x:v>责任表态</x:v>
      </x:c>
      <x:c r="E11" s="103" t="str">
        <x:v>通过明确关系、守约、说明责任和建立可执行规则来表达重视。</x:v>
      </x:c>
      <x:c r="F11" s="103" t="str">
        <x:v>通过稳定承诺、按约完成、主动承担和把对方纳入正式安排来表达在意。</x:v>
      </x:c>
      <x:c r="G11" s="103" t="str">
        <x:v>情绪可能先被整理成较克制、清楚和有分寸的表达，重点是“我会怎样负责”。</x:v>
      </x:c>
      <x:c r="H11" s="103" t="str">
        <x:v>倾向把需求说成规则、责任、边界和双方应当怎样配合，希望关系有清楚的秩序。</x:v>
      </x:c>
      <x:c r="I11" s="103" t="str">
        <x:v>更容易接收有交代、前后一致、承诺和行为能够对应的表达。</x:v>
      </x:c>
      <x:c r="J11" s="53" t="str">
        <x:v>不得推出用户古板、爱管人、没有情绪、服从权威或一定要求传统角色。</x:v>
      </x:c>
    </x:row>
    <x:row r="12">
      <x:c r="A12" s="264" t="str">
        <x:v>X08</x:v>
      </x:c>
      <x:c r="B12" s="258" t="str">
        <x:v>七杀</x:v>
      </x:c>
      <x:c r="C12" s="258" t="str">
        <x:v>SYS04 责任行动系统</x:v>
      </x:c>
      <x:c r="D12" s="258" t="str">
        <x:v>行动表态</x:v>
      </x:c>
      <x:c r="E12" s="103" t="str">
        <x:v>通过快速处理、明确决定、保护性行动和解决问题来表达态度。</x:v>
      </x:c>
      <x:c r="F12" s="103" t="str">
        <x:v>通过在关键时刻出现、替关系推进、处理困难或立即提供实际支持表达在意。</x:v>
      </x:c>
      <x:c r="G12" s="103" t="str">
        <x:v>情绪容易先压缩成行动、结论或明确态度，详细解释可能在事情稳定后才出现。</x:v>
      </x:c>
      <x:c r="H12" s="103" t="str">
        <x:v>倾向直接说重点、给出方向或推动决定，希望沟通能迅速进入可执行层面。</x:v>
      </x:c>
      <x:c r="I12" s="103" t="str">
        <x:v>更容易接收清楚、果断、有行动配合、不过度拖延的表达。</x:v>
      </x:c>
      <x:c r="J12" s="53" t="str">
        <x:v>不得推出用户暴躁、控制、强迫、缺乏温柔、一定压制伴侣或关系有暴力风险。</x:v>
      </x:c>
    </x:row>
    <x:row r="13">
      <x:c r="A13" s="264" t="str">
        <x:v>X09</x:v>
      </x:c>
      <x:c r="B13" s="258" t="str">
        <x:v>正印</x:v>
      </x:c>
      <x:c r="C13" s="258" t="str">
        <x:v>SYS05 承接内化系统</x:v>
      </x:c>
      <x:c r="D13" s="258" t="str">
        <x:v>倾听承接</x:v>
      </x:c>
      <x:c r="E13" s="103" t="str">
        <x:v>通过倾听、理解、安抚和先接住对方的感受来建立沟通。</x:v>
      </x:c>
      <x:c r="F13" s="103" t="str">
        <x:v>通过耐心听、记住对方的需要、提供支持、照顾情绪和让对方安心表达在意。</x:v>
      </x:c>
      <x:c r="G13" s="103" t="str">
        <x:v>更容易先确认自己是否安全、是否被理解，再逐步说出感受；表达节奏可能偏缓。</x:v>
      </x:c>
      <x:c r="H13" s="103" t="str">
        <x:v>需求有时会以“希望被理解、希望有时间、希望得到支持”的方式出现，可能需要更安全的语境才会说清。</x:v>
      </x:c>
      <x:c r="I13" s="103" t="str">
        <x:v>更容易接收耐心、稳定、愿意听完、不急着纠正或推动的表达。</x:v>
      </x:c>
      <x:c r="J13" s="53" t="str">
        <x:v>不得推出用户依赖、软弱、没有立场、只想被照顾或一定承担母性／父性角色。</x:v>
      </x:c>
    </x:row>
    <x:row r="14">
      <x:c r="A14" s="265" t="str">
        <x:v>X10</x:v>
      </x:c>
      <x:c r="B14" s="259" t="str">
        <x:v>偏印</x:v>
      </x:c>
      <x:c r="C14" s="259" t="str">
        <x:v>SYS05 承接内化系统</x:v>
      </x:c>
      <x:c r="D14" s="259" t="str">
        <x:v>深度内化</x:v>
      </x:c>
      <x:c r="E14" s="104" t="str">
        <x:v>先在内部整理复杂感受和意义，再选择性地进行有深度、较私人或较精确的表达。</x:v>
      </x:c>
      <x:c r="F14" s="104" t="str">
        <x:v>通过分享私密想法、专业兴趣、独特理解、安静陪伴和允许彼此独处表达亲近。</x:v>
      </x:c>
      <x:c r="G14" s="104" t="str">
        <x:v>情绪常需要先独立消化，确认自己真正怎么想以后才会开口；表达可能不连续但内容较深。</x:v>
      </x:c>
      <x:c r="H14" s="104" t="str">
        <x:v>需求可能较含蓄、细致或难以用常规语言概括，需要信任、时间或特定问题帮助外化。</x:v>
      </x:c>
      <x:c r="I14" s="104" t="str">
        <x:v>更容易接收不强迫即时回答、尊重复杂性、愿意深入理解且允许保留空间的表达。</x:v>
      </x:c>
      <x:c r="J14" s="55" t="str">
        <x:v>不得推出用户冷漠、孤僻、神秘、回避亲密、精神异常或故意让人猜。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578e0acdac048d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7" hidden="0" customWidth="1"/>
    <x:col min="3" max="3" width="22" hidden="0" customWidth="1"/>
    <x:col min="4" max="4" width="18" hidden="0" customWidth="1"/>
    <x:col min="5" max="5" width="38" hidden="0" customWidth="1"/>
    <x:col min="6" max="6" width="38" hidden="0" customWidth="1"/>
    <x:col min="7" max="7" width="38" hidden="0" customWidth="1"/>
    <x:col min="8" max="8" width="18" hidden="0" customWidth="1"/>
    <x:col min="9" max="9" width="12" hidden="0" customWidth="1"/>
  </x:cols>
  <x:sheetData>
    <x:row r="1" ht="30" customHeight="1">
      <x:c r="A1" s="5" t="str">
        <x:v>八项表达过程维度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13" t="str">
        <x:v>过程维度回答：表达有多可见、语言有多显性、情绪何时外化、需求怎样说、谁先启动沟通以及怎样回应。</x:v>
      </x:c>
      <x:c r="B2" s="13"/>
      <x:c r="C2" s="13"/>
      <x:c r="D2" s="13"/>
      <x:c r="E2" s="13"/>
      <x:c r="F2" s="13"/>
      <x:c r="G2" s="13"/>
      <x:c r="H2" s="13"/>
      <x:c r="I2" s="13"/>
    </x:row>
    <x:row r="4">
      <x:c r="A4" s="26" t="str">
        <x:v>维度ID</x:v>
      </x:c>
      <x:c r="B4" s="91" t="str">
        <x:v>维度</x:v>
      </x:c>
      <x:c r="C4" s="91" t="str">
        <x:v>输出字段</x:v>
      </x:c>
      <x:c r="D4" s="91" t="str">
        <x:v>状态</x:v>
      </x:c>
      <x:c r="E4" s="91" t="str">
        <x:v>成立条件</x:v>
      </x:c>
      <x:c r="F4" s="91" t="str">
        <x:v>内部解释</x:v>
      </x:c>
      <x:c r="G4" s="91" t="str">
        <x:v>用户可见解释</x:v>
      </x:c>
      <x:c r="H4" s="91" t="str">
        <x:v>分值／作用</x:v>
      </x:c>
      <x:c r="I4" s="27" t="str">
        <x:v>基础置信度</x:v>
      </x:c>
    </x:row>
    <x:row r="5">
      <x:c r="A5" s="75" t="str">
        <x:v>XQ01</x:v>
      </x:c>
      <x:c r="B5" s="257" t="str">
        <x:v>表达可见度</x:v>
      </x:c>
      <x:c r="C5" s="257" t="str">
        <x:v>expression_visibility</x:v>
      </x:c>
      <x:c r="D5" s="257" t="str">
        <x:v>高可见</x:v>
      </x:c>
      <x:c r="E5" s="102" t="str">
        <x:v>近位透干有根，或日支主气与外显信号相互支持；主通道未被强制内化。</x:v>
      </x:c>
      <x:c r="F5" s="102" t="str">
        <x:v>表达通道更容易被对方直接观察到，不必依赖长期猜测。</x:v>
      </x:c>
      <x:c r="G5" s="102" t="str">
        <x:v>你的在意通常比较容易被对方看见；即使表达方式不一定热烈，也会留下清楚的行为或语言信号。</x:v>
      </x:c>
      <x:c r="H5" s="102" t="str">
        <x:v>+8</x:v>
      </x:c>
      <x:c r="I5" s="51" t="str">
        <x:v>中高</x:v>
      </x:c>
    </x:row>
    <x:row r="6">
      <x:c r="A6" s="76" t="str">
        <x:v>XQ01</x:v>
      </x:c>
      <x:c r="B6" s="258" t="str">
        <x:v>表达可见度</x:v>
      </x:c>
      <x:c r="C6" s="258" t="str">
        <x:v>expression_visibility</x:v>
      </x:c>
      <x:c r="D6" s="258" t="str">
        <x:v>关系内显现</x:v>
      </x:c>
      <x:c r="E6" s="103" t="str">
        <x:v>信号主要藏于日支或近位藏干，有根但外部透出有限。</x:v>
      </x:c>
      <x:c r="F6" s="103" t="str">
        <x:v>表达在亲密关系内部比在一般人际中更明显，熟悉以后可见度提高。</x:v>
      </x:c>
      <x:c r="G6" s="103" t="str">
        <x:v>你不一定会在刚认识或公开场合表现很多，但真正进入关系后，表达通常会逐渐清楚。</x:v>
      </x:c>
      <x:c r="H6" s="103" t="str">
        <x:v>+4</x:v>
      </x:c>
      <x:c r="I6" s="53" t="str">
        <x:v>中</x:v>
      </x:c>
    </x:row>
    <x:row r="7">
      <x:c r="A7" s="76" t="str">
        <x:v>XQ01</x:v>
      </x:c>
      <x:c r="B7" s="258" t="str">
        <x:v>表达可见度</x:v>
      </x:c>
      <x:c r="C7" s="258" t="str">
        <x:v>expression_visibility</x:v>
      </x:c>
      <x:c r="D7" s="258" t="str">
        <x:v>低可见／间接</x:v>
      </x:c>
      <x:c r="E7" s="103" t="str">
        <x:v>信号偏弱、无根或主要通过行动、承接、空间等间接通道表达。</x:v>
      </x:c>
      <x:c r="F7" s="103" t="str">
        <x:v>表达存在，但需要从持续行为、细节或特定情境中识别。</x:v>
      </x:c>
      <x:c r="G7" s="103" t="str">
        <x:v>你的在意未必总是直接说出来，更多可能藏在做事、回应、陪伴或留出空间这些细节里。</x:v>
      </x:c>
      <x:c r="H7" s="103" t="str">
        <x:v>-2；不等于无表达</x:v>
      </x:c>
      <x:c r="I7" s="53" t="str">
        <x:v>中低</x:v>
      </x:c>
    </x:row>
    <x:row r="8">
      <x:c r="A8" s="76" t="str">
        <x:v>XQ01</x:v>
      </x:c>
      <x:c r="B8" s="258" t="str">
        <x:v>表达可见度</x:v>
      </x:c>
      <x:c r="C8" s="258" t="str">
        <x:v>expression_visibility</x:v>
      </x:c>
      <x:c r="D8" s="258" t="str">
        <x:v>未决</x:v>
      </x:c>
      <x:c r="E8" s="103" t="str">
        <x:v>外显与内化证据冲突，或真合化、强弱、位置尚未确定。</x:v>
      </x:c>
      <x:c r="F8" s="103" t="str">
        <x:v>当前无法可靠确定表达可见度，必须停止强结论。</x:v>
      </x:c>
      <x:c r="G8" s="103" t="str">
        <x:v>目前可以看出你有自己的表达通道，但它究竟有多外显，仍需要更多命盘和现实信息确认。</x:v>
      </x:c>
      <x:c r="H8" s="103" t="str">
        <x:v>停止</x:v>
      </x:c>
      <x:c r="I8" s="53" t="str">
        <x:v>停止</x:v>
      </x:c>
    </x:row>
    <x:row r="9">
      <x:c r="A9" s="76" t="str">
        <x:v>XQ02</x:v>
      </x:c>
      <x:c r="B9" s="258" t="str">
        <x:v>语言显性度</x:v>
      </x:c>
      <x:c r="C9" s="258" t="str">
        <x:v>verbal_explicitness</x:v>
      </x:c>
      <x:c r="D9" s="258" t="str">
        <x:v>高语言显性</x:v>
      </x:c>
      <x:c r="E9" s="103" t="str">
        <x:v>有效伤官、食神或比肩透出近位并有根，且未被强内化结构完全过滤。</x:v>
      </x:c>
      <x:c r="F9" s="103" t="str">
        <x:v>感受、观点或需要较容易被组织成语言。</x:v>
      </x:c>
      <x:c r="G9" s="103" t="str">
        <x:v>你通常能够把想法或需求说出来，尤其当你觉得事情需要被讲清楚时。</x:v>
      </x:c>
      <x:c r="H9" s="103" t="str">
        <x:v>+8</x:v>
      </x:c>
      <x:c r="I9" s="53" t="str">
        <x:v>中高</x:v>
      </x:c>
    </x:row>
    <x:row r="10">
      <x:c r="A10" s="76" t="str">
        <x:v>XQ02</x:v>
      </x:c>
      <x:c r="B10" s="258" t="str">
        <x:v>语言显性度</x:v>
      </x:c>
      <x:c r="C10" s="258" t="str">
        <x:v>verbal_explicitness</x:v>
      </x:c>
      <x:c r="D10" s="258" t="str">
        <x:v>中等语言显性</x:v>
      </x:c>
      <x:c r="E10" s="103" t="str">
        <x:v>食神、比肩、正官等通道有效，但表达需要适当氛围、结构或铺垫。</x:v>
      </x:c>
      <x:c r="F10" s="103" t="str">
        <x:v>语言可用，但不一定即时或无条件外显。</x:v>
      </x:c>
      <x:c r="G10" s="103" t="str">
        <x:v>你并非不说，而是更看重时机和说法；条件合适时，你能把事情说明白。</x:v>
      </x:c>
      <x:c r="H10" s="103" t="str">
        <x:v>+4</x:v>
      </x:c>
      <x:c r="I10" s="53" t="str">
        <x:v>中</x:v>
      </x:c>
    </x:row>
    <x:row r="11">
      <x:c r="A11" s="76" t="str">
        <x:v>XQ02</x:v>
      </x:c>
      <x:c r="B11" s="258" t="str">
        <x:v>语言显性度</x:v>
      </x:c>
      <x:c r="C11" s="258" t="str">
        <x:v>verbal_explicitness</x:v>
      </x:c>
      <x:c r="D11" s="258" t="str">
        <x:v>行动／承接主导</x:v>
      </x:c>
      <x:c r="E11" s="103" t="str">
        <x:v>财、官杀、印类通道明显，食伤语言桥较弱或只作次级。</x:v>
      </x:c>
      <x:c r="F11" s="103" t="str">
        <x:v>主要信息先通过行动、承担、倾听或安排传递，语言处于补充位置。</x:v>
      </x:c>
      <x:c r="G11" s="103" t="str">
        <x:v>比起长篇表达，你更可能先用行动、安排或倾听让对方感受到态度，之后再补充说明。</x:v>
      </x:c>
      <x:c r="H11" s="103" t="str">
        <x:v>语言-2；行动/承接+5</x:v>
      </x:c>
      <x:c r="I11" s="53" t="str">
        <x:v>中</x:v>
      </x:c>
    </x:row>
    <x:row r="12">
      <x:c r="A12" s="76" t="str">
        <x:v>XQ02</x:v>
      </x:c>
      <x:c r="B12" s="258" t="str">
        <x:v>语言显性度</x:v>
      </x:c>
      <x:c r="C12" s="258" t="str">
        <x:v>verbal_explicitness</x:v>
      </x:c>
      <x:c r="D12" s="258" t="str">
        <x:v>未决</x:v>
      </x:c>
      <x:c r="E12" s="103" t="str">
        <x:v>食伤状态、合化或表达桥接关系不清。</x:v>
      </x:c>
      <x:c r="F12" s="103" t="str">
        <x:v>不能仅凭食伤强弱断定语言能力。</x:v>
      </x:c>
      <x:c r="G12" s="103" t="str">
        <x:v>目前不足以判断你是更偏语言表达，还是更偏行动与承接表达。</x:v>
      </x:c>
      <x:c r="H12" s="103" t="str">
        <x:v>停止</x:v>
      </x:c>
      <x:c r="I12" s="53" t="str">
        <x:v>停止</x:v>
      </x:c>
    </x:row>
    <x:row r="13">
      <x:c r="A13" s="76" t="str">
        <x:v>XQ03</x:v>
      </x:c>
      <x:c r="B13" s="258" t="str">
        <x:v>情绪处理时序</x:v>
      </x:c>
      <x:c r="C13" s="258" t="str">
        <x:v>expression_timing</x:v>
      </x:c>
      <x:c r="D13" s="258" t="str">
        <x:v>即时外化</x:v>
      </x:c>
      <x:c r="E13" s="103" t="str">
        <x:v>食伤、劫财或偏财通道有效，外显度高，且没有更强的印星过滤或状态门控。</x:v>
      </x:c>
      <x:c r="F13" s="103" t="str">
        <x:v>情绪较容易在当下通过话语、语气、互动或即时回应被表达。</x:v>
      </x:c>
      <x:c r="G13" s="103" t="str">
        <x:v>你有感受时，往往会比较早让对方知道，哪怕一开始只是语气、反应或一句直接的话。</x:v>
      </x:c>
      <x:c r="H13" s="103" t="str">
        <x:v>即时+8</x:v>
      </x:c>
      <x:c r="I13" s="53" t="str">
        <x:v>中</x:v>
      </x:c>
    </x:row>
    <x:row r="14">
      <x:c r="A14" s="76" t="str">
        <x:v>XQ03</x:v>
      </x:c>
      <x:c r="B14" s="258" t="str">
        <x:v>情绪处理时序</x:v>
      </x:c>
      <x:c r="C14" s="258" t="str">
        <x:v>expression_timing</x:v>
      </x:c>
      <x:c r="D14" s="258" t="str">
        <x:v>先整理后表达</x:v>
      </x:c>
      <x:c r="E14" s="103" t="str">
        <x:v>正印、偏印有效，并存在通往食伤、比劫或其他表达通道的桥梁。</x:v>
      </x:c>
      <x:c r="F14" s="103" t="str">
        <x:v>先在内部辨认感受、确认安全与立场，再外化。</x:v>
      </x:c>
      <x:c r="G14" s="103" t="str">
        <x:v>你通常需要先想清楚自己到底怎么了，等感受有了轮廓后，才更愿意完整说出来。</x:v>
      </x:c>
      <x:c r="H14" s="103" t="str">
        <x:v>延迟但清晰+8</x:v>
      </x:c>
      <x:c r="I14" s="53" t="str">
        <x:v>中高</x:v>
      </x:c>
    </x:row>
    <x:row r="15">
      <x:c r="A15" s="76" t="str">
        <x:v>XQ03</x:v>
      </x:c>
      <x:c r="B15" s="258" t="str">
        <x:v>情绪处理时序</x:v>
      </x:c>
      <x:c r="C15" s="258" t="str">
        <x:v>expression_timing</x:v>
      </x:c>
      <x:c r="D15" s="258" t="str">
        <x:v>先行动／先承接后表达</x:v>
      </x:c>
      <x:c r="E15" s="103" t="str">
        <x:v>财、官杀或印类通道主导，语言通道为次级。</x:v>
      </x:c>
      <x:c r="F15" s="103" t="str">
        <x:v>用户先处理事情、提供支持或接住对方，语言解释在后。</x:v>
      </x:c>
      <x:c r="G15" s="103" t="str">
        <x:v>你可能会先把事情处理好、先照顾现场或先听完对方，之后才回到自己的情绪表达。</x:v>
      </x:c>
      <x:c r="H15" s="103" t="str">
        <x:v>行动/承接+6</x:v>
      </x:c>
      <x:c r="I15" s="53" t="str">
        <x:v>中</x:v>
      </x:c>
    </x:row>
    <x:row r="16">
      <x:c r="A16" s="76" t="str">
        <x:v>XQ03</x:v>
      </x:c>
      <x:c r="B16" s="258" t="str">
        <x:v>情绪处理时序</x:v>
      </x:c>
      <x:c r="C16" s="258" t="str">
        <x:v>expression_timing</x:v>
      </x:c>
      <x:c r="D16" s="258" t="str">
        <x:v>情境未定</x:v>
      </x:c>
      <x:c r="E16" s="103" t="str">
        <x:v>即时、内化和行动证据势均或随场景明显切换。</x:v>
      </x:c>
      <x:c r="F16" s="103" t="str">
        <x:v>当前只适合输出情境化时序。</x:v>
      </x:c>
      <x:c r="G16" s="103" t="str">
        <x:v>你的表达时序会随事情类型变化：有些事会马上说，有些事则需要先整理或先处理。</x:v>
      </x:c>
      <x:c r="H16" s="103" t="str">
        <x:v>情境候选</x:v>
      </x:c>
      <x:c r="I16" s="53" t="str">
        <x:v>中低</x:v>
      </x:c>
    </x:row>
    <x:row r="17">
      <x:c r="A17" s="76" t="str">
        <x:v>XQ04</x:v>
      </x:c>
      <x:c r="B17" s="258" t="str">
        <x:v>需求明确度</x:v>
      </x:c>
      <x:c r="C17" s="258" t="str">
        <x:v>need_explicitness</x:v>
      </x:c>
      <x:c r="D17" s="258" t="str">
        <x:v>需求清楚</x:v>
      </x:c>
      <x:c r="E17" s="103" t="str">
        <x:v>比肩、伤官、正官等信号有效，且有语言或结构化通道支持。</x:v>
      </x:c>
      <x:c r="F17" s="103" t="str">
        <x:v>用户较容易把需求转成明确条件、请求或安排。</x:v>
      </x:c>
      <x:c r="G17" s="103" t="str">
        <x:v>你通常能说明自己需要什么、不同意什么，或希望双方怎样配合。</x:v>
      </x:c>
      <x:c r="H17" s="103" t="str">
        <x:v>+8</x:v>
      </x:c>
      <x:c r="I17" s="53" t="str">
        <x:v>中高</x:v>
      </x:c>
    </x:row>
    <x:row r="18">
      <x:c r="A18" s="76" t="str">
        <x:v>XQ04</x:v>
      </x:c>
      <x:c r="B18" s="258" t="str">
        <x:v>需求明确度</x:v>
      </x:c>
      <x:c r="C18" s="258" t="str">
        <x:v>need_explicitness</x:v>
      </x:c>
      <x:c r="D18" s="258" t="str">
        <x:v>柔化表达</x:v>
      </x:c>
      <x:c r="E18" s="103" t="str">
        <x:v>食神、偏财或正印明显，需求常通过铺垫、建议、体贴化语言或氛围传递。</x:v>
      </x:c>
      <x:c r="F18" s="103" t="str">
        <x:v>需求存在但表达较柔和，可能避免给对方压迫感。</x:v>
      </x:c>
      <x:c r="G18" s="103" t="str">
        <x:v>你会表达需要，但通常会留出余地，用建议、铺垫或较温和的方式说出来。</x:v>
      </x:c>
      <x:c r="H18" s="103" t="str">
        <x:v>+4</x:v>
      </x:c>
      <x:c r="I18" s="53" t="str">
        <x:v>中</x:v>
      </x:c>
    </x:row>
    <x:row r="19">
      <x:c r="A19" s="76" t="str">
        <x:v>XQ04</x:v>
      </x:c>
      <x:c r="B19" s="258" t="str">
        <x:v>需求明确度</x:v>
      </x:c>
      <x:c r="C19" s="258" t="str">
        <x:v>need_explicitness</x:v>
      </x:c>
      <x:c r="D19" s="258" t="str">
        <x:v>间接／行为化</x:v>
      </x:c>
      <x:c r="E19" s="103" t="str">
        <x:v>正财、七杀、偏印等通道主导，缺少稳定语言桥。</x:v>
      </x:c>
      <x:c r="F19" s="103" t="str">
        <x:v>需求可能被转成行动、安排、沉默后的调整或等待对方观察。</x:v>
      </x:c>
      <x:c r="G19" s="103" t="str">
        <x:v>有些需要你不会先直接说，而是通过安排、行动或相处节奏表现出来；这不等于你没有需要。</x:v>
      </x:c>
      <x:c r="H19" s="103" t="str">
        <x:v>显性-3；行为+4</x:v>
      </x:c>
      <x:c r="I19" s="53" t="str">
        <x:v>中低</x:v>
      </x:c>
    </x:row>
    <x:row r="20">
      <x:c r="A20" s="76" t="str">
        <x:v>XQ04</x:v>
      </x:c>
      <x:c r="B20" s="258" t="str">
        <x:v>需求明确度</x:v>
      </x:c>
      <x:c r="C20" s="258" t="str">
        <x:v>need_explicitness</x:v>
      </x:c>
      <x:c r="D20" s="258" t="str">
        <x:v>未决</x:v>
      </x:c>
      <x:c r="E20" s="103" t="str">
        <x:v>需求表达信号弱、冲突或仅同源重复。</x:v>
      </x:c>
      <x:c r="F20" s="103" t="str">
        <x:v>不宜固定为直接或含蓄。</x:v>
      </x:c>
      <x:c r="G20" s="103" t="str">
        <x:v>目前只能看出你有自己的需求表达方式，但直接程度仍需结合现实反馈。</x:v>
      </x:c>
      <x:c r="H20" s="103" t="str">
        <x:v>停止</x:v>
      </x:c>
      <x:c r="I20" s="53" t="str">
        <x:v>停止</x:v>
      </x:c>
    </x:row>
    <x:row r="21">
      <x:c r="A21" s="76" t="str">
        <x:v>XQ05</x:v>
      </x:c>
      <x:c r="B21" s="258" t="str">
        <x:v>观点与边界陈述</x:v>
      </x:c>
      <x:c r="C21" s="258" t="str">
        <x:v>position_expression</x:v>
      </x:c>
      <x:c r="D21" s="258" t="str">
        <x:v>平等直接</x:v>
      </x:c>
      <x:c r="E21" s="103" t="str">
        <x:v>比肩、伤官支持明显，表达通道外显。</x:v>
      </x:c>
      <x:c r="F21" s="103" t="str">
        <x:v>用户倾向用第一人称说明立场，并期待双方同样表达。</x:v>
      </x:c>
      <x:c r="G21" s="103" t="str">
        <x:v>你较愿意直接说明自己的看法和可接受范围，也希望对方把真实立场讲出来。</x:v>
      </x:c>
      <x:c r="H21" s="103" t="str">
        <x:v>+8</x:v>
      </x:c>
      <x:c r="I21" s="53" t="str">
        <x:v>中高</x:v>
      </x:c>
    </x:row>
    <x:row r="22">
      <x:c r="A22" s="76" t="str">
        <x:v>XQ05</x:v>
      </x:c>
      <x:c r="B22" s="258" t="str">
        <x:v>观点与边界陈述</x:v>
      </x:c>
      <x:c r="C22" s="258" t="str">
        <x:v>position_expression</x:v>
      </x:c>
      <x:c r="D22" s="258" t="str">
        <x:v>结构化陈述</x:v>
      </x:c>
      <x:c r="E22" s="103" t="str">
        <x:v>正官、正财或七杀提供规则、事实与执行框架。</x:v>
      </x:c>
      <x:c r="F22" s="103" t="str">
        <x:v>观点以责任、安排、事实或下一步方案呈现。</x:v>
      </x:c>
      <x:c r="G22" s="103" t="str">
        <x:v>你表达立场时往往会落到规则、事实或具体安排上，希望沟通最后能形成可执行的结论。</x:v>
      </x:c>
      <x:c r="H22" s="103" t="str">
        <x:v>+6</x:v>
      </x:c>
      <x:c r="I22" s="53" t="str">
        <x:v>中</x:v>
      </x:c>
    </x:row>
    <x:row r="23">
      <x:c r="A23" s="76" t="str">
        <x:v>XQ05</x:v>
      </x:c>
      <x:c r="B23" s="258" t="str">
        <x:v>观点与边界陈述</x:v>
      </x:c>
      <x:c r="C23" s="258" t="str">
        <x:v>position_expression</x:v>
      </x:c>
      <x:c r="D23" s="258" t="str">
        <x:v>内化后陈述</x:v>
      </x:c>
      <x:c r="E23" s="103" t="str">
        <x:v>正印、偏印明显，且有后续表达桥。</x:v>
      </x:c>
      <x:c r="F23" s="103" t="str">
        <x:v>先确认内在判断，再选择性陈述立场。</x:v>
      </x:c>
      <x:c r="G23" s="103" t="str">
        <x:v>你通常不会为了马上回应而随口表态，更可能先确认自己真正怎么想，再说出立场。</x:v>
      </x:c>
      <x:c r="H23" s="103" t="str">
        <x:v>+5</x:v>
      </x:c>
      <x:c r="I23" s="53" t="str">
        <x:v>中</x:v>
      </x:c>
    </x:row>
    <x:row r="24">
      <x:c r="A24" s="76" t="str">
        <x:v>XQ05</x:v>
      </x:c>
      <x:c r="B24" s="258" t="str">
        <x:v>观点与边界陈述</x:v>
      </x:c>
      <x:c r="C24" s="258" t="str">
        <x:v>position_expression</x:v>
      </x:c>
      <x:c r="D24" s="258" t="str">
        <x:v>未决</x:v>
      </x:c>
      <x:c r="E24" s="103" t="str">
        <x:v>比劫、印、食伤与官杀证据相互冲突或基础未定。</x:v>
      </x:c>
      <x:c r="F24" s="103" t="str">
        <x:v>暂不判断观点外显度与边界陈述方式。</x:v>
      </x:c>
      <x:c r="G24" s="103" t="str">
        <x:v>目前不宜把你的立场表达固定成直接、结构化或含蓄中的某一种。</x:v>
      </x:c>
      <x:c r="H24" s="103" t="str">
        <x:v>停止</x:v>
      </x:c>
      <x:c r="I24" s="53" t="str">
        <x:v>停止</x:v>
      </x:c>
    </x:row>
    <x:row r="25">
      <x:c r="A25" s="76" t="str">
        <x:v>XQ06</x:v>
      </x:c>
      <x:c r="B25" s="258" t="str">
        <x:v>沟通启动方式</x:v>
      </x:c>
      <x:c r="C25" s="258" t="str">
        <x:v>communication_initiation</x:v>
      </x:c>
      <x:c r="D25" s="258" t="str">
        <x:v>主动发起</x:v>
      </x:c>
      <x:c r="E25" s="103" t="str">
        <x:v>伤官、比肩、七杀等启动信号有效且外显。</x:v>
      </x:c>
      <x:c r="F25" s="103" t="str">
        <x:v>用户较容易主动提出话题、问题、决定或需要说明的事项。</x:v>
      </x:c>
      <x:c r="G25" s="103" t="str">
        <x:v>当你觉得有必要时，往往会主动把话题提出来，而不是一直等待对方发现。</x:v>
      </x:c>
      <x:c r="H25" s="103" t="str">
        <x:v>+8</x:v>
      </x:c>
      <x:c r="I25" s="53" t="str">
        <x:v>中</x:v>
      </x:c>
    </x:row>
    <x:row r="26">
      <x:c r="A26" s="76" t="str">
        <x:v>XQ06</x:v>
      </x:c>
      <x:c r="B26" s="258" t="str">
        <x:v>沟通启动方式</x:v>
      </x:c>
      <x:c r="C26" s="258" t="str">
        <x:v>communication_initiation</x:v>
      </x:c>
      <x:c r="D26" s="258" t="str">
        <x:v>互动邀请</x:v>
      </x:c>
      <x:c r="E26" s="103" t="str">
        <x:v>食神、劫财、偏财明显。</x:v>
      </x:c>
      <x:c r="F26" s="103" t="str">
        <x:v>通过分享、邀约、玩笑、共同活动或即时回应启动沟通。</x:v>
      </x:c>
      <x:c r="G26" s="103" t="str">
        <x:v>你更容易在轻松互动、一起做事或分享当下时自然打开话题。</x:v>
      </x:c>
      <x:c r="H26" s="103" t="str">
        <x:v>+6</x:v>
      </x:c>
      <x:c r="I26" s="53" t="str">
        <x:v>中</x:v>
      </x:c>
    </x:row>
    <x:row r="27">
      <x:c r="A27" s="76" t="str">
        <x:v>XQ06</x:v>
      </x:c>
      <x:c r="B27" s="258" t="str">
        <x:v>沟通启动方式</x:v>
      </x:c>
      <x:c r="C27" s="258" t="str">
        <x:v>communication_initiation</x:v>
      </x:c>
      <x:c r="D27" s="258" t="str">
        <x:v>回应触发</x:v>
      </x:c>
      <x:c r="E27" s="103" t="str">
        <x:v>正印、偏印、正财、正官等信号明显。</x:v>
      </x:c>
      <x:c r="F27" s="103" t="str">
        <x:v>用户更容易在对方表达、现实事件或责任议题出现后进入沟通。</x:v>
      </x:c>
      <x:c r="G27" s="103" t="str">
        <x:v>你不一定总是先开口，但当对方认真表达或现实问题需要处理时，你会进入回应。</x:v>
      </x:c>
      <x:c r="H27" s="103" t="str">
        <x:v>+4</x:v>
      </x:c>
      <x:c r="I27" s="53" t="str">
        <x:v>中</x:v>
      </x:c>
    </x:row>
    <x:row r="28">
      <x:c r="A28" s="76" t="str">
        <x:v>XQ06</x:v>
      </x:c>
      <x:c r="B28" s="258" t="str">
        <x:v>沟通启动方式</x:v>
      </x:c>
      <x:c r="C28" s="258" t="str">
        <x:v>communication_initiation</x:v>
      </x:c>
      <x:c r="D28" s="258" t="str">
        <x:v>未决</x:v>
      </x:c>
      <x:c r="E28" s="103" t="str">
        <x:v>启动证据分散或状态切换明显。</x:v>
      </x:c>
      <x:c r="F28" s="103" t="str">
        <x:v>只能输出情境候选。</x:v>
      </x:c>
      <x:c r="G28" s="103" t="str">
        <x:v>你会不会先开口，较依赖话题类型和当时的关系状态。</x:v>
      </x:c>
      <x:c r="H28" s="103" t="str">
        <x:v>情境候选</x:v>
      </x:c>
      <x:c r="I28" s="53" t="str">
        <x:v>中低</x:v>
      </x:c>
    </x:row>
    <x:row r="29">
      <x:c r="A29" s="76" t="str">
        <x:v>XQ07</x:v>
      </x:c>
      <x:c r="B29" s="258" t="str">
        <x:v>回应与接收方式</x:v>
      </x:c>
      <x:c r="C29" s="258" t="str">
        <x:v>response_style</x:v>
      </x:c>
      <x:c r="D29" s="258" t="str">
        <x:v>倾听承接</x:v>
      </x:c>
      <x:c r="E29" s="103" t="str">
        <x:v>正印、偏印或食神承接信号有效。</x:v>
      </x:c>
      <x:c r="F29" s="103" t="str">
        <x:v>先听、理解、安抚或给对方表达空间，再组织自己的回应。</x:v>
      </x:c>
      <x:c r="G29" s="103" t="str">
        <x:v>你回应对方时，通常会先听懂对方在意什么，再决定怎样说或怎样做。</x:v>
      </x:c>
      <x:c r="H29" s="103" t="str">
        <x:v>+8</x:v>
      </x:c>
      <x:c r="I29" s="53" t="str">
        <x:v>中高</x:v>
      </x:c>
    </x:row>
    <x:row r="30">
      <x:c r="A30" s="76" t="str">
        <x:v>XQ07</x:v>
      </x:c>
      <x:c r="B30" s="258" t="str">
        <x:v>回应与接收方式</x:v>
      </x:c>
      <x:c r="C30" s="258" t="str">
        <x:v>response_style</x:v>
      </x:c>
      <x:c r="D30" s="258" t="str">
        <x:v>互动澄清</x:v>
      </x:c>
      <x:c r="E30" s="103" t="str">
        <x:v>比肩、食神、伤官、偏财等交换信号有效。</x:v>
      </x:c>
      <x:c r="F30" s="103" t="str">
        <x:v>通过问答、补充、反馈和来回讨论建立理解。</x:v>
      </x:c>
      <x:c r="G30" s="103" t="str">
        <x:v>你更习惯在有来有往的沟通中逐步弄清彼此，而不是只听一方单向陈述。</x:v>
      </x:c>
      <x:c r="H30" s="103" t="str">
        <x:v>+6</x:v>
      </x:c>
      <x:c r="I30" s="53" t="str">
        <x:v>中</x:v>
      </x:c>
    </x:row>
    <x:row r="31">
      <x:c r="A31" s="76" t="str">
        <x:v>XQ07</x:v>
      </x:c>
      <x:c r="B31" s="258" t="str">
        <x:v>回应与接收方式</x:v>
      </x:c>
      <x:c r="C31" s="258" t="str">
        <x:v>response_style</x:v>
      </x:c>
      <x:c r="D31" s="258" t="str">
        <x:v>方案行动</x:v>
      </x:c>
      <x:c r="E31" s="103" t="str">
        <x:v>正财、正官、七杀等信号有效。</x:v>
      </x:c>
      <x:c r="F31" s="103" t="str">
        <x:v>回应重点落在事实、安排、解决方案和后续行动。</x:v>
      </x:c>
      <x:c r="G31" s="103" t="str">
        <x:v>你听到对方的需要后，常会先想可以怎样处理、怎样安排或怎样把事情落实。</x:v>
      </x:c>
      <x:c r="H31" s="103" t="str">
        <x:v>+6</x:v>
      </x:c>
      <x:c r="I31" s="53" t="str">
        <x:v>中</x:v>
      </x:c>
    </x:row>
    <x:row r="32">
      <x:c r="A32" s="76" t="str">
        <x:v>XQ07</x:v>
      </x:c>
      <x:c r="B32" s="258" t="str">
        <x:v>回应与接收方式</x:v>
      </x:c>
      <x:c r="C32" s="258" t="str">
        <x:v>response_style</x:v>
      </x:c>
      <x:c r="D32" s="258" t="str">
        <x:v>未决</x:v>
      </x:c>
      <x:c r="E32" s="103" t="str">
        <x:v>接收通道不清或多通道势均。</x:v>
      </x:c>
      <x:c r="F32" s="103" t="str">
        <x:v>不固定单一回应方式。</x:v>
      </x:c>
      <x:c r="G32" s="103" t="str">
        <x:v>你回应对方的方式可能随内容变化：情绪议题、现实议题和原则议题会触发不同通道。</x:v>
      </x:c>
      <x:c r="H32" s="103" t="str">
        <x:v>情境候选</x:v>
      </x:c>
      <x:c r="I32" s="53" t="str">
        <x:v>中低</x:v>
      </x:c>
    </x:row>
    <x:row r="33">
      <x:c r="A33" s="76" t="str">
        <x:v>XQ08</x:v>
      </x:c>
      <x:c r="B33" s="258" t="str">
        <x:v>行动转译程度</x:v>
      </x:c>
      <x:c r="C33" s="258" t="str">
        <x:v>action_translation</x:v>
      </x:c>
      <x:c r="D33" s="258" t="str">
        <x:v>高行动转译</x:v>
      </x:c>
      <x:c r="E33" s="103" t="str">
        <x:v>正财、偏财、正官或七杀有效且有根；或食伤生财、财生官杀路径成立。</x:v>
      </x:c>
      <x:c r="F33" s="103" t="str">
        <x:v>语言、情绪和意图较容易转化为具体行动、安排或承担。</x:v>
      </x:c>
      <x:c r="G33" s="103" t="str">
        <x:v>你表达完以后，通常会继续用行动、安排或兑现来让态度落地。</x:v>
      </x:c>
      <x:c r="H33" s="103" t="str">
        <x:v>+8</x:v>
      </x:c>
      <x:c r="I33" s="53" t="str">
        <x:v>中高</x:v>
      </x:c>
    </x:row>
    <x:row r="34">
      <x:c r="A34" s="76" t="str">
        <x:v>XQ08</x:v>
      </x:c>
      <x:c r="B34" s="258" t="str">
        <x:v>行动转译程度</x:v>
      </x:c>
      <x:c r="C34" s="258" t="str">
        <x:v>action_translation</x:v>
      </x:c>
      <x:c r="D34" s="258" t="str">
        <x:v>语言—行动桥接</x:v>
      </x:c>
      <x:c r="E34" s="103" t="str">
        <x:v>食伤与财星形成有效桥，且两端均可用。</x:v>
      </x:c>
      <x:c r="F34" s="103" t="str">
        <x:v>先说明再落实，或行动后回到语言解释，形成双向互证。</x:v>
      </x:c>
      <x:c r="G34" s="103" t="str">
        <x:v>你较容易把“说清楚”和“做出来”连接在一起，让对方既听得到，也看得到。</x:v>
      </x:c>
      <x:c r="H34" s="103" t="str">
        <x:v>+7</x:v>
      </x:c>
      <x:c r="I34" s="53" t="str">
        <x:v>中高</x:v>
      </x:c>
    </x:row>
    <x:row r="35">
      <x:c r="A35" s="76" t="str">
        <x:v>XQ08</x:v>
      </x:c>
      <x:c r="B35" s="258" t="str">
        <x:v>行动转译程度</x:v>
      </x:c>
      <x:c r="C35" s="258" t="str">
        <x:v>action_translation</x:v>
      </x:c>
      <x:c r="D35" s="258" t="str">
        <x:v>语言／内化为主</x:v>
      </x:c>
      <x:c r="E35" s="103" t="str">
        <x:v>食伤或印类通道有效，但财官行动桥弱。</x:v>
      </x:c>
      <x:c r="F35" s="103" t="str">
        <x:v>表达主要通过说明、倾听或内部确认完成，行动转译不宜过度推断。</x:v>
      </x:c>
      <x:c r="G35" s="103" t="str">
        <x:v>你的表达重点更可能是说清、听懂或形成内在理解；是否进一步转成持续行动，需要另外判断。</x:v>
      </x:c>
      <x:c r="H35" s="103" t="str">
        <x:v>行动不加分</x:v>
      </x:c>
      <x:c r="I35" s="53" t="str">
        <x:v>中</x:v>
      </x:c>
    </x:row>
    <x:row r="36">
      <x:c r="A36" s="77" t="str">
        <x:v>XQ08</x:v>
      </x:c>
      <x:c r="B36" s="259" t="str">
        <x:v>行动转译程度</x:v>
      </x:c>
      <x:c r="C36" s="259" t="str">
        <x:v>action_translation</x:v>
      </x:c>
      <x:c r="D36" s="259" t="str">
        <x:v>未决</x:v>
      </x:c>
      <x:c r="E36" s="104" t="str">
        <x:v>行动链、根气或强弱状态未定。</x:v>
      </x:c>
      <x:c r="F36" s="104" t="str">
        <x:v>不判断行动转译程度。</x:v>
      </x:c>
      <x:c r="G36" s="104" t="str">
        <x:v>目前不足以确定你的表达是否会稳定转成行动。</x:v>
      </x:c>
      <x:c r="H36" s="104" t="str">
        <x:v>停止</x:v>
      </x:c>
      <x:c r="I36" s="55" t="str">
        <x:v>停止</x:v>
      </x:c>
    </x:row>
  </x:sheetData>
  <x:mergeCells>
    <x:mergeCell ref="A1:I1"/>
    <x:mergeCell ref="A2:I2"/>
  </x:mergeCells>
  <x:conditionalFormatting sqref="D5:D36">
    <x:cfRule type="expression" dxfId="0" priority="1">
      <x:formula>OR(ISNUMBER(SEARCH("高",D5)),ISNUMBER(SEARCH("清楚",D5)),ISNUMBER(SEARCH("即时",D5)))</x:formula>
    </x:cfRule>
    <x:cfRule type="expression" dxfId="1" priority="2">
      <x:formula>OR(ISNUMBER(SEARCH("未决",D5)),ISNUMBER(SEARCH("停止",D5)))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23df4cba0e744b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0" hidden="0" customWidth="1"/>
    <x:col min="4" max="4" width="46" hidden="0" customWidth="1"/>
    <x:col min="5" max="5" width="42" hidden="0" customWidth="1"/>
    <x:col min="6" max="6" width="40" hidden="0" customWidth="1"/>
  </x:cols>
  <x:sheetData>
    <x:row r="1" ht="30" customHeight="1">
      <x:c r="A1" s="5" t="str">
        <x:v>十二类表达路径</x:v>
      </x:c>
      <x:c r="B1" s="5"/>
      <x:c r="C1" s="5"/>
      <x:c r="D1" s="5"/>
      <x:c r="E1" s="5"/>
      <x:c r="F1" s="5"/>
    </x:row>
    <x:row r="2" ht="28" customHeight="1">
      <x:c r="A2" s="13" t="str">
        <x:v>路径必须有起点、转换和输出；不能只凭五行相生、十神同时出现或柱位顺序制造现实时间线。</x:v>
      </x:c>
      <x:c r="B2" s="13"/>
      <x:c r="C2" s="13"/>
      <x:c r="D2" s="13"/>
      <x:c r="E2" s="13"/>
      <x:c r="F2" s="13"/>
    </x:row>
    <x:row r="4">
      <x:c r="A4" s="26" t="str">
        <x:v>路径ID</x:v>
      </x:c>
      <x:c r="B4" s="91" t="str">
        <x:v>路径名称</x:v>
      </x:c>
      <x:c r="C4" s="91" t="str">
        <x:v>主要信号</x:v>
      </x:c>
      <x:c r="D4" s="91" t="str">
        <x:v>基本顺序</x:v>
      </x:c>
      <x:c r="E4" s="91" t="str">
        <x:v>标准用户解释</x:v>
      </x:c>
      <x:c r="F4" s="27" t="str">
        <x:v>排除／停止条件</x:v>
      </x:c>
    </x:row>
    <x:row r="5">
      <x:c r="A5" s="263" t="str">
        <x:v>XP01</x:v>
      </x:c>
      <x:c r="B5" s="257" t="str">
        <x:v>直接说清型</x:v>
      </x:c>
      <x:c r="C5" s="102" t="str">
        <x:v>伤官／比肩为主，食神或正官提供结构；近位透干有根优先</x:v>
      </x:c>
      <x:c r="D5" s="102" t="str">
        <x:v>感受到问题或需要 → 较早组织语言 → 说明观点、感受或请求 → 根据回应继续澄清</x:v>
      </x:c>
      <x:c r="E5" s="102" t="str">
        <x:v>当你觉得事情需要被理解时，通常会比较早把重点说出来，并通过补充、解释或提问让双方真正听懂。</x:v>
      </x:c>
      <x:c r="F5" s="51" t="str">
        <x:v>只有单一透干无根；表达信号仅在远位；印类内化明显占优且没有外化桥。</x:v>
      </x:c>
    </x:row>
    <x:row r="6">
      <x:c r="A6" s="264" t="str">
        <x:v>XP02</x:v>
      </x:c>
      <x:c r="B6" s="258" t="str">
        <x:v>温和铺垫型</x:v>
      </x:c>
      <x:c r="C6" s="103" t="str">
        <x:v>食神为主，正印、偏财或正财提供氛围与现实承接</x:v>
      </x:c>
      <x:c r="D6" s="103" t="str">
        <x:v>先创造安全或轻松氛围 → 通过日常分享和铺垫表达 → 再逐步进入核心需要</x:v>
      </x:c>
      <x:c r="E6" s="103" t="str">
        <x:v>你更容易先让气氛变得舒服、可交流，再逐步说到真正的感受和需要。</x:v>
      </x:c>
      <x:c r="F6" s="53" t="str">
        <x:v>食神弱远无根；伤官、七杀等直接启动信号明显压倒且无食神支持。</x:v>
      </x:c>
    </x:row>
    <x:row r="7">
      <x:c r="A7" s="264" t="str">
        <x:v>XP03</x:v>
      </x:c>
      <x:c r="B7" s="258" t="str">
        <x:v>先整理后说型</x:v>
      </x:c>
      <x:c r="C7" s="103" t="str">
        <x:v>正印／偏印主导，存在印→比劫→食伤或印→食伤的有效桥</x:v>
      </x:c>
      <x:c r="D7" s="103" t="str">
        <x:v>先内部辨认感受与原因 → 确认安全和立场 → 选择合适语言外化</x:v>
      </x:c>
      <x:c r="E7" s="103" t="str">
        <x:v>你通常需要先想清楚自己真正的感受和判断，等内在有了答案后，才更愿意完整表达。</x:v>
      </x:c>
      <x:c r="F7" s="53" t="str">
        <x:v>印星只弱远无根；没有任何外化桥；此时只能输出“内化候选”，不能断最终会说出。</x:v>
      </x:c>
    </x:row>
    <x:row r="8">
      <x:c r="A8" s="264" t="str">
        <x:v>XP04</x:v>
      </x:c>
      <x:c r="B8" s="258" t="str">
        <x:v>先立场后说明型</x:v>
      </x:c>
      <x:c r="C8" s="103" t="str">
        <x:v>比肩／劫财先形成自我位置，再由食神／伤官完成表达</x:v>
      </x:c>
      <x:c r="D8" s="103" t="str">
        <x:v>先确认自己接受什么、不接受什么 → 再解释原因和具体需要 → 进入协商</x:v>
      </x:c>
      <x:c r="E8" s="103" t="str">
        <x:v>你更容易先确认自己的立场和边界，再把原因、条件和可以商量的部分说清楚。</x:v>
      </x:c>
      <x:c r="F8" s="53" t="str">
        <x:v>比劫过弱且无支持；只有伤官单一信号；边界执行仍需BOUND复核。</x:v>
      </x:c>
    </x:row>
    <x:row r="9">
      <x:c r="A9" s="264" t="str">
        <x:v>XP05</x:v>
      </x:c>
      <x:c r="B9" s="258" t="str">
        <x:v>先倾听后回应型</x:v>
      </x:c>
      <x:c r="C9" s="103" t="str">
        <x:v>正印／偏印负责接收，食神／伤官／财星负责后续回应</x:v>
      </x:c>
      <x:c r="D9" s="103" t="str">
        <x:v>先让对方说完并理解其重点 → 内部整理 → 再用语言、行动或安排回应</x:v>
      </x:c>
      <x:c r="E9" s="103" t="str">
        <x:v>你通常会先听懂对方真正想表达什么，再决定是安慰、解释、商量还是直接做出回应。</x:v>
      </x:c>
      <x:c r="F9" s="53" t="str">
        <x:v>印星未形成有效接收通道；只有礼貌沉默但无后续回应证据；不得把沉默自动写成倾听。</x:v>
      </x:c>
    </x:row>
    <x:row r="10">
      <x:c r="A10" s="264" t="str">
        <x:v>XP06</x:v>
      </x:c>
      <x:c r="B10" s="258" t="str">
        <x:v>先行动后解释型</x:v>
      </x:c>
      <x:c r="C10" s="103" t="str">
        <x:v>正财／偏财／正官／七杀主导，后接食伤或印类解释桥</x:v>
      </x:c>
      <x:c r="D10" s="103" t="str">
        <x:v>先处理现实问题、做出安排或提供支持 → 事情稳定后再说明态度和感受</x:v>
      </x:c>
      <x:c r="E10" s="103" t="str">
        <x:v>你可能会先把事情处理好、先做出实际回应，等局面稳定后再解释自己为什么这样做。</x:v>
      </x:c>
      <x:c r="F10" s="53" t="str">
        <x:v>财官杀仅一处弱远；没有后续语言或承接桥时，只能写行动表达，不能保证会解释。</x:v>
      </x:c>
    </x:row>
    <x:row r="11">
      <x:c r="A11" s="264" t="str">
        <x:v>XP07</x:v>
      </x:c>
      <x:c r="B11" s="258" t="str">
        <x:v>先表达后落实型</x:v>
      </x:c>
      <x:c r="C11" s="103" t="str">
        <x:v>食神／伤官有效，并形成食伤→财或食伤→财→官杀的现实桥</x:v>
      </x:c>
      <x:c r="D11" s="103" t="str">
        <x:v>先说清感受、需要或计划 → 形成具体安排 → 通过持续行动或承担完成验证</x:v>
      </x:c>
      <x:c r="E11" s="103" t="str">
        <x:v>你通常希望先把话说明白，再用行动、安排或兑现让表达真正落地。</x:v>
      </x:c>
      <x:c r="F11" s="53" t="str">
        <x:v>食伤与财星不连通；财星弱远无根；只有口头表达不能推出稳定落实。</x:v>
      </x:c>
    </x:row>
    <x:row r="12">
      <x:c r="A12" s="264" t="str">
        <x:v>XP08</x:v>
      </x:c>
      <x:c r="B12" s="258" t="str">
        <x:v>责任框架表达型</x:v>
      </x:c>
      <x:c r="C12" s="103" t="str">
        <x:v>正官／七杀主导，食伤或比劫负责说明责任、规则和执行边界</x:v>
      </x:c>
      <x:c r="D12" s="103" t="str">
        <x:v>先确认事情需要怎样负责或推进 → 明确规则、分工和下一步 → 再补充感受</x:v>
      </x:c>
      <x:c r="E12" s="103" t="str">
        <x:v>你表达重要事情时，常会先把责任、安排和下一步说清楚，让双方知道这件事怎样继续。</x:v>
      </x:c>
      <x:c r="F12" s="53" t="str">
        <x:v>官杀状态失真或真合化；只有官杀强而无任何表达桥时，不宜断语言结构完整。</x:v>
      </x:c>
    </x:row>
    <x:row r="13">
      <x:c r="A13" s="264" t="str">
        <x:v>XP09</x:v>
      </x:c>
      <x:c r="B13" s="258" t="str">
        <x:v>共同体验表达型</x:v>
      </x:c>
      <x:c r="C13" s="103" t="str">
        <x:v>劫财／偏财／食神形成互动与共同活动通道</x:v>
      </x:c>
      <x:c r="D13" s="103" t="str">
        <x:v>通过邀约、一起做事或共同体验建立联结 → 在互动中自然表达感受和需要</x:v>
      </x:c>
      <x:c r="E13" s="103" t="str">
        <x:v>你更容易在一起做事、共同体验或轻松互动中让感情自然显现，而不一定先进行正式谈话。</x:v>
      </x:c>
      <x:c r="F13" s="53" t="str">
        <x:v>相关信号弱远无根；只有偏财单一出现不得推出依赖新鲜感或不愿正式沟通。</x:v>
      </x:c>
    </x:row>
    <x:row r="14">
      <x:c r="A14" s="264" t="str">
        <x:v>XP10</x:v>
      </x:c>
      <x:c r="B14" s="258" t="str">
        <x:v>深度选择表达型</x:v>
      </x:c>
      <x:c r="C14" s="103" t="str">
        <x:v>偏印主导，伤官／食神提供选择性外化；信任和内容质量是启动条件</x:v>
      </x:c>
      <x:c r="D14" s="103" t="str">
        <x:v>先观察与内部整理 → 只在足够信任或话题有深度时开放 → 表达较少但内容集中</x:v>
      </x:c>
      <x:c r="E14" s="103" t="str">
        <x:v>你不一定对所有话题都大量表达，但在足够信任、值得深入的情境里，会分享更私密、更有深度的内容。</x:v>
      </x:c>
      <x:c r="F14" s="53" t="str">
        <x:v>偏印弱远无根；无外化桥；不得把选择性表达写成冷漠或故意保持神秘。</x:v>
      </x:c>
    </x:row>
    <x:row r="15">
      <x:c r="A15" s="264" t="str">
        <x:v>XP11</x:v>
      </x:c>
      <x:c r="B15" s="258" t="str">
        <x:v>双通道往返型</x:v>
      </x:c>
      <x:c r="C15" s="103" t="str">
        <x:v>两个不同功能系统均有独立证据，且一项负责表达、另一项负责行动／承接／结构</x:v>
      </x:c>
      <x:c r="D15" s="103" t="str">
        <x:v>第一通道发出信息 → 第二通道验证或落实 → 根据反馈回到第一通道继续校准</x:v>
      </x:c>
      <x:c r="E15" s="103" t="str">
        <x:v>你的表达往往不是只靠一种方式，而是会在“说出来”和“做出来”、或“先听懂”和“再回应”之间往返确认。</x:v>
      </x:c>
      <x:c r="F15" s="53" t="str">
        <x:v>两个通道来自同一source_id；属于同系统正偏重复；第二通道未达独立证据阈值。</x:v>
      </x:c>
    </x:row>
    <x:row r="16">
      <x:c r="A16" s="265" t="str">
        <x:v>XP12</x:v>
      </x:c>
      <x:c r="B16" s="259" t="str">
        <x:v>情境切换候选</x:v>
      </x:c>
      <x:c r="C16" s="104" t="str">
        <x:v>不同关系任务稳定触发不同通道，或平稳、压力、恢复状态有明确分层证据</x:v>
      </x:c>
      <x:c r="D16" s="104" t="str">
        <x:v>日常议题使用A通道 → 现实任务使用B通道 → 情绪或压力增加时可能再切换</x:v>
      </x:c>
      <x:c r="E16" s="104" t="str">
        <x:v>你的表达方式会随话题和关系状态切换：有些事情你会说，有些事情你更习惯先做、先听或先整理。</x:v>
      </x:c>
      <x:c r="F16" s="55" t="str">
        <x:v>只是多个弱信号并列；没有稳定场景分工；最终状态切换必须由M3-STATE复核。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2463c0e6ce84e4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12" hidden="0" customWidth="1"/>
    <x:col min="4" max="4" width="24" hidden="0" customWidth="1"/>
    <x:col min="5" max="5" width="44" hidden="0" customWidth="1"/>
    <x:col min="6" max="6" width="24" hidden="0" customWidth="1"/>
    <x:col min="7" max="7" width="42" hidden="0" customWidth="1"/>
    <x:col min="8" max="8" width="24" hidden="0" customWidth="1"/>
    <x:col min="9" max="9" width="11" hidden="0" customWidth="1"/>
  </x:cols>
  <x:sheetData>
    <x:row r="1" ht="30" customHeight="1">
      <x:c r="A1" s="5" t="str">
        <x:v>表达状态、位置与流向修正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13" t="str">
        <x:v>旺衰、喜忌、透藏、根气、位置和制化只修正表达的可见度、顺序、强度与稳定度，不直接评价好坏。</x:v>
      </x:c>
      <x:c r="B2" s="13"/>
      <x:c r="C2" s="13"/>
      <x:c r="D2" s="13"/>
      <x:c r="E2" s="13"/>
      <x:c r="F2" s="13"/>
      <x:c r="G2" s="13"/>
      <x:c r="H2" s="13"/>
      <x:c r="I2" s="13"/>
    </x:row>
    <x:row r="4">
      <x:c r="A4" s="26" t="str">
        <x:v>规则ID</x:v>
      </x:c>
      <x:c r="B4" s="91" t="str">
        <x:v>规则名称</x:v>
      </x:c>
      <x:c r="C4" s="91" t="str">
        <x:v>类型</x:v>
      </x:c>
      <x:c r="D4" s="91" t="str">
        <x:v>主信号</x:v>
      </x:c>
      <x:c r="E4" s="91" t="str">
        <x:v>成立条件</x:v>
      </x:c>
      <x:c r="F4" s="91" t="str">
        <x:v>分值／作用</x:v>
      </x:c>
      <x:c r="G4" s="91" t="str">
        <x:v>用户解释</x:v>
      </x:c>
      <x:c r="H4" s="91" t="str">
        <x:v>输出字段</x:v>
      </x:c>
      <x:c r="I4" s="27" t="str">
        <x:v>置信度</x:v>
      </x:c>
    </x:row>
    <x:row r="5">
      <x:c r="A5" s="75" t="str">
        <x:v>M3-EXPR-153</x:v>
      </x:c>
      <x:c r="B5" s="257" t="str">
        <x:v>透干且有根｜表达外显与重复性提高</x:v>
      </x:c>
      <x:c r="C5" s="257" t="str">
        <x:v>修正</x:v>
      </x:c>
      <x:c r="D5" s="102" t="str">
        <x:v>有效表达十神透干且有根</x:v>
      </x:c>
      <x:c r="E5" s="102" t="str">
        <x:v>表达信号透于天干，并在地支有可靠根气；未被合化替代。</x:v>
      </x:c>
      <x:c r="F5" s="102" t="str">
        <x:v>可见度+8；稳定度+6</x:v>
      </x:c>
      <x:c r="G5" s="102" t="str">
        <x:v>这套表达方式通常比较容易被别人看见，也更容易在关系里持续出现。</x:v>
      </x:c>
      <x:c r="H5" s="102" t="str">
        <x:v>expression_visibility／confidence</x:v>
      </x:c>
      <x:c r="I5" s="51" t="str">
        <x:v>中高</x:v>
      </x:c>
    </x:row>
    <x:row r="6">
      <x:c r="A6" s="76" t="str">
        <x:v>M3-EXPR-154</x:v>
      </x:c>
      <x:c r="B6" s="258" t="str">
        <x:v>透干无根｜外显快但持续性待定</x:v>
      </x:c>
      <x:c r="C6" s="258" t="str">
        <x:v>修正</x:v>
      </x:c>
      <x:c r="D6" s="103" t="str">
        <x:v>表达十神透干但无可靠根气</x:v>
      </x:c>
      <x:c r="E6" s="103" t="str">
        <x:v>表达信号透干，根气不足或无根；没有第二类稳定支持。</x:v>
      </x:c>
      <x:c r="F6" s="103" t="str">
        <x:v>可见度+6；稳定度-4</x:v>
      </x:c>
      <x:c r="G6" s="103" t="str">
        <x:v>你有时会很直接地表现出这套方式，但是否长期保持同样强度，要看具体情境。</x:v>
      </x:c>
      <x:c r="H6" s="103" t="str">
        <x:v>expression_visibility</x:v>
      </x:c>
      <x:c r="I6" s="53" t="str">
        <x:v>中</x:v>
      </x:c>
    </x:row>
    <x:row r="7">
      <x:c r="A7" s="76" t="str">
        <x:v>M3-EXPR-155</x:v>
      </x:c>
      <x:c r="B7" s="258" t="str">
        <x:v>藏支有根｜亲密关系内稳定显现</x:v>
      </x:c>
      <x:c r="C7" s="258" t="str">
        <x:v>修正</x:v>
      </x:c>
      <x:c r="D7" s="103" t="str">
        <x:v>表达信号藏支且有根</x:v>
      </x:c>
      <x:c r="E7" s="103" t="str">
        <x:v>表达信号主要藏于日支或近位地支，并有可靠根气；外透有限。</x:v>
      </x:c>
      <x:c r="F7" s="103" t="str">
        <x:v>关系内显现+7；稳定度+5</x:v>
      </x:c>
      <x:c r="G7" s="103" t="str">
        <x:v>你不一定一开始就表现很多，但真正亲近后，这套表达方式会更稳定地显现。</x:v>
      </x:c>
      <x:c r="H7" s="103" t="str">
        <x:v>expression_visibility</x:v>
      </x:c>
      <x:c r="I7" s="53" t="str">
        <x:v>中高</x:v>
      </x:c>
    </x:row>
    <x:row r="8">
      <x:c r="A8" s="76" t="str">
        <x:v>M3-EXPR-156</x:v>
      </x:c>
      <x:c r="B8" s="258" t="str">
        <x:v>仅藏无根｜低权重情境候选</x:v>
      </x:c>
      <x:c r="C8" s="258" t="str">
        <x:v>修正</x:v>
      </x:c>
      <x:c r="D8" s="103" t="str">
        <x:v>表达信号仅藏且无根</x:v>
      </x:c>
      <x:c r="E8" s="103" t="str">
        <x:v>信号仅见于弱藏干或余气，无透无根，也无独立流向支持。</x:v>
      </x:c>
      <x:c r="F8" s="103" t="str">
        <x:v>主通道-10；confidence-1级</x:v>
      </x:c>
      <x:c r="G8" s="103" t="str">
        <x:v>这项表达方式可能在少数情境下出现，但目前不宜把它写成你的固定习惯。</x:v>
      </x:c>
      <x:c r="H8" s="103" t="str">
        <x:v>confidence</x:v>
      </x:c>
      <x:c r="I8" s="53" t="str">
        <x:v>中低</x:v>
      </x:c>
    </x:row>
    <x:row r="9">
      <x:c r="A9" s="76" t="str">
        <x:v>M3-EXPR-157</x:v>
      </x:c>
      <x:c r="B9" s="258" t="str">
        <x:v>日支或日柱近位｜亲密关系特异性提高</x:v>
      </x:c>
      <x:c r="C9" s="258" t="str">
        <x:v>修正</x:v>
      </x:c>
      <x:c r="D9" s="103" t="str">
        <x:v>表达信号靠近日柱</x:v>
      </x:c>
      <x:c r="E9" s="103" t="str">
        <x:v>信号位于日支、日干邻近位置，或直接参与日柱结构。</x:v>
      </x:c>
      <x:c r="F9" s="103" t="str">
        <x:v>关系特异性+7</x:v>
      </x:c>
      <x:c r="G9" s="103" t="str">
        <x:v>这套表达方式在亲密关系里会比在一般人际中更容易被启动。</x:v>
      </x:c>
      <x:c r="H9" s="103" t="str">
        <x:v>primary_expression_channel</x:v>
      </x:c>
      <x:c r="I9" s="53" t="str">
        <x:v>中高</x:v>
      </x:c>
    </x:row>
    <x:row r="10">
      <x:c r="A10" s="76" t="str">
        <x:v>M3-EXPR-158</x:v>
      </x:c>
      <x:c r="B10" s="258" t="str">
        <x:v>时柱近位｜私下与深入相处中显现</x:v>
      </x:c>
      <x:c r="C10" s="258" t="str">
        <x:v>修正</x:v>
      </x:c>
      <x:c r="D10" s="103" t="str">
        <x:v>时柱有效表达信号</x:v>
      </x:c>
      <x:c r="E10" s="103" t="str">
        <x:v>时柱信号与日柱有实际联系、得根或参与有效流向。</x:v>
      </x:c>
      <x:c r="F10" s="103" t="str">
        <x:v>私下显现+4</x:v>
      </x:c>
      <x:c r="G10" s="103" t="str">
        <x:v>这套方式可能在私下、熟悉以后或关系更深入时更明显。</x:v>
      </x:c>
      <x:c r="H10" s="103" t="str">
        <x:v>expression_visibility</x:v>
      </x:c>
      <x:c r="I10" s="53" t="str">
        <x:v>中</x:v>
      </x:c>
    </x:row>
    <x:row r="11">
      <x:c r="A11" s="76" t="str">
        <x:v>M3-EXPR-159</x:v>
      </x:c>
      <x:c r="B11" s="258" t="str">
        <x:v>月柱中位｜现实环境与日常角色修正</x:v>
      </x:c>
      <x:c r="C11" s="258" t="str">
        <x:v>修正</x:v>
      </x:c>
      <x:c r="D11" s="103" t="str">
        <x:v>月柱有效表达信号</x:v>
      </x:c>
      <x:c r="E11" s="103" t="str">
        <x:v>月柱信号有效并与日柱有连接；不是单一远位背景。</x:v>
      </x:c>
      <x:c r="F11" s="103" t="str">
        <x:v>情境支持+3</x:v>
      </x:c>
      <x:c r="G11" s="103" t="str">
        <x:v>在日常事务或现实角色中，你可能更容易使用这套沟通方式。</x:v>
      </x:c>
      <x:c r="H11" s="103" t="str">
        <x:v>communication_style</x:v>
      </x:c>
      <x:c r="I11" s="53" t="str">
        <x:v>中</x:v>
      </x:c>
    </x:row>
    <x:row r="12">
      <x:c r="A12" s="76" t="str">
        <x:v>M3-EXPR-160</x:v>
      </x:c>
      <x:c r="B12" s="258" t="str">
        <x:v>年柱远位｜社会化背景不定核心</x:v>
      </x:c>
      <x:c r="C12" s="258" t="str">
        <x:v>修正</x:v>
      </x:c>
      <x:c r="D12" s="103" t="str">
        <x:v>年柱表达信号</x:v>
      </x:c>
      <x:c r="E12" s="103" t="str">
        <x:v>信号主要位于年柱，距离日柱较远，缺少近位根或流向连接。</x:v>
      </x:c>
      <x:c r="F12" s="103" t="str">
        <x:v>背景+1；不得定核心</x:v>
      </x:c>
      <x:c r="G12" s="103" t="str">
        <x:v>这一信号更像背景影响，不能单独决定你在亲密关系里的主要表达方式。</x:v>
      </x:c>
      <x:c r="H12" s="103" t="str">
        <x:v>basis_summary</x:v>
      </x:c>
      <x:c r="I12" s="53" t="str">
        <x:v>中高</x:v>
      </x:c>
    </x:row>
    <x:row r="13">
      <x:c r="A13" s="76" t="str">
        <x:v>M3-EXPR-161</x:v>
      </x:c>
      <x:c r="B13" s="258" t="str">
        <x:v>同类信号重复｜浓度提高不增加独立证据</x:v>
      </x:c>
      <x:c r="C13" s="258" t="str">
        <x:v>去重</x:v>
      </x:c>
      <x:c r="D13" s="103" t="str">
        <x:v>同一十神或同一功能系统重复出现</x:v>
      </x:c>
      <x:c r="E13" s="103" t="str">
        <x:v>多个同类信号有效，但共享根源、同一source_id或同一证据簇。</x:v>
      </x:c>
      <x:c r="F13" s="103" t="str">
        <x:v>系统浓度+5；证据数封顶</x:v>
      </x:c>
      <x:c r="G13" s="103" t="str">
        <x:v>这套表达方向较集中，但不会因为出现多次就被当成多套不同方式。</x:v>
      </x:c>
      <x:c r="H13" s="103" t="str">
        <x:v>dedup_log</x:v>
      </x:c>
      <x:c r="I13" s="53" t="str">
        <x:v>高</x:v>
      </x:c>
    </x:row>
    <x:row r="14">
      <x:c r="A14" s="76" t="str">
        <x:v>M3-EXPR-162</x:v>
      </x:c>
      <x:c r="B14" s="258" t="str">
        <x:v>正偏同系统并见｜风格分工而非双模式</x:v>
      </x:c>
      <x:c r="C14" s="258" t="str">
        <x:v>去重</x:v>
      </x:c>
      <x:c r="D14" s="103" t="str">
        <x:v>同一功能系统正偏十神同时有效</x:v>
      </x:c>
      <x:c r="E14" s="103" t="str">
        <x:v>如食神与伤官、正印与偏印、正财与偏财等同时有效；未形成跨系统独立分工。</x:v>
      </x:c>
      <x:c r="F14" s="103" t="str">
        <x:v>系统封顶；风格保留</x:v>
      </x:c>
      <x:c r="G14" s="103" t="str">
        <x:v>你的表达核心方向较一致，只是在同一方向中可能既有温和的一面，也有直接或灵活的一面。</x:v>
      </x:c>
      <x:c r="H14" s="103" t="str">
        <x:v>primary_expression_channel</x:v>
      </x:c>
      <x:c r="I14" s="53" t="str">
        <x:v>高</x:v>
      </x:c>
    </x:row>
    <x:row r="15">
      <x:c r="A15" s="76" t="str">
        <x:v>M3-EXPR-163</x:v>
      </x:c>
      <x:c r="B15" s="258" t="str">
        <x:v>旺而平衡｜通道自然可用</x:v>
      </x:c>
      <x:c r="C15" s="258" t="str">
        <x:v>修正</x:v>
      </x:c>
      <x:c r="D15" s="103" t="str">
        <x:v>表达信号旺而不失衡</x:v>
      </x:c>
      <x:c r="E15" s="103" t="str">
        <x:v>共享引擎判定信号旺且结构平衡，有承载和调节。</x:v>
      </x:c>
      <x:c r="F15" s="103" t="str">
        <x:v>稳定度+8；顺畅度+6</x:v>
      </x:c>
      <x:c r="G15" s="103" t="str">
        <x:v>这套表达方式通常比较自然，不需要很强的外部刺激也能被你使用。</x:v>
      </x:c>
      <x:c r="H15" s="103" t="str">
        <x:v>confidence</x:v>
      </x:c>
      <x:c r="I15" s="53" t="str">
        <x:v>中高</x:v>
      </x:c>
    </x:row>
    <x:row r="16">
      <x:c r="A16" s="76" t="str">
        <x:v>M3-EXPR-164</x:v>
      </x:c>
      <x:c r="B16" s="258" t="str">
        <x:v>过旺失衡｜通道抢先与占位增加</x:v>
      </x:c>
      <x:c r="C16" s="258" t="str">
        <x:v>修正</x:v>
      </x:c>
      <x:c r="D16" s="103" t="str">
        <x:v>表达信号过旺失衡</x:v>
      </x:c>
      <x:c r="E16" s="103" t="str">
        <x:v>信号明显过旺，缺少足够制化或承载；原十神性质仍有效。</x:v>
      </x:c>
      <x:c r="F16" s="103" t="str">
        <x:v>优先级+7；STATE候选+6</x:v>
      </x:c>
      <x:c r="G16" s="103" t="str">
        <x:v>这套方式可能更容易抢先启动，尤其在事情重要或压力增加时更明显。</x:v>
      </x:c>
      <x:c r="H16" s="103" t="str">
        <x:v>stress_shift</x:v>
      </x:c>
      <x:c r="I16" s="53" t="str">
        <x:v>中</x:v>
      </x:c>
    </x:row>
    <x:row r="17">
      <x:c r="A17" s="76" t="str">
        <x:v>M3-EXPR-165</x:v>
      </x:c>
      <x:c r="B17" s="258" t="str">
        <x:v>中和｜稳定候选</x:v>
      </x:c>
      <x:c r="C17" s="258" t="str">
        <x:v>修正</x:v>
      </x:c>
      <x:c r="D17" s="103" t="str">
        <x:v>表达信号中和</x:v>
      </x:c>
      <x:c r="E17" s="103" t="str">
        <x:v>信号力量适中，根气和位置足以支持表达。</x:v>
      </x:c>
      <x:c r="F17" s="103" t="str">
        <x:v>稳定度+5</x:v>
      </x:c>
      <x:c r="G17" s="103" t="str">
        <x:v>这套表达方式较可能以稳定、不过度强烈的形式出现。</x:v>
      </x:c>
      <x:c r="H17" s="103" t="str">
        <x:v>confidence</x:v>
      </x:c>
      <x:c r="I17" s="53" t="str">
        <x:v>中</x:v>
      </x:c>
    </x:row>
    <x:row r="18">
      <x:c r="A18" s="76" t="str">
        <x:v>M3-EXPR-166</x:v>
      </x:c>
      <x:c r="B18" s="258" t="str">
        <x:v>偏弱但有助｜条件性调用</x:v>
      </x:c>
      <x:c r="C18" s="258" t="str">
        <x:v>修正</x:v>
      </x:c>
      <x:c r="D18" s="103" t="str">
        <x:v>表达信号偏弱但有支持</x:v>
      </x:c>
      <x:c r="E18" s="103" t="str">
        <x:v>信号本身偏弱，但有近位生助、流向桥或日支支持。</x:v>
      </x:c>
      <x:c r="F18" s="103" t="str">
        <x:v>保留；情境性+6；confidence-1级</x:v>
      </x:c>
      <x:c r="G18" s="103" t="str">
        <x:v>这套方式在关系条件合适、对方回应到位或话题足够重要时会更明显。</x:v>
      </x:c>
      <x:c r="H18" s="103" t="str">
        <x:v>communication_style</x:v>
      </x:c>
      <x:c r="I18" s="53" t="str">
        <x:v>中</x:v>
      </x:c>
    </x:row>
    <x:row r="19">
      <x:c r="A19" s="76" t="str">
        <x:v>M3-EXPR-167</x:v>
      </x:c>
      <x:c r="B19" s="258" t="str">
        <x:v>偏弱且无助｜仅背景保留</x:v>
      </x:c>
      <x:c r="C19" s="258" t="str">
        <x:v>修正</x:v>
      </x:c>
      <x:c r="D19" s="103" t="str">
        <x:v>表达信号偏弱无助</x:v>
      </x:c>
      <x:c r="E19" s="103" t="str">
        <x:v>信号弱、无根、远位，缺少日支、流向或第二证据支持。</x:v>
      </x:c>
      <x:c r="F19" s="103" t="str">
        <x:v>主通道-12；仅日志</x:v>
      </x:c>
      <x:c r="G19" s="103" t="str">
        <x:v>目前不足以把这项表达方式写成你的稳定习惯。</x:v>
      </x:c>
      <x:c r="H19" s="103" t="str">
        <x:v>confidence</x:v>
      </x:c>
      <x:c r="I19" s="53" t="str">
        <x:v>中低</x:v>
      </x:c>
    </x:row>
    <x:row r="20">
      <x:c r="A20" s="76" t="str">
        <x:v>M3-EXPR-168</x:v>
      </x:c>
      <x:c r="B20" s="258" t="str">
        <x:v>为喜且平衡｜调用较顺畅</x:v>
      </x:c>
      <x:c r="C20" s="258" t="str">
        <x:v>修正</x:v>
      </x:c>
      <x:c r="D20" s="103" t="str">
        <x:v>表达信号为喜且平衡</x:v>
      </x:c>
      <x:c r="E20" s="103" t="str">
        <x:v>喜忌已可靠判定，信号为喜且力量不过度。</x:v>
      </x:c>
      <x:c r="F20" s="103" t="str">
        <x:v>顺畅度+6</x:v>
      </x:c>
      <x:c r="G20" s="103" t="str">
        <x:v>这套表达方式更容易以自然、可协调、对方较容易接收的形式出现。</x:v>
      </x:c>
      <x:c r="H20" s="103" t="str">
        <x:v>communication_style</x:v>
      </x:c>
      <x:c r="I20" s="53" t="str">
        <x:v>中</x:v>
      </x:c>
    </x:row>
    <x:row r="21">
      <x:c r="A21" s="76" t="str">
        <x:v>M3-EXPR-169</x:v>
      </x:c>
      <x:c r="B21" s="258" t="str">
        <x:v>为忌且过旺｜强度提高不自动负面</x:v>
      </x:c>
      <x:c r="C21" s="258" t="str">
        <x:v>修正</x:v>
      </x:c>
      <x:c r="D21" s="103" t="str">
        <x:v>表达信号为忌且过旺</x:v>
      </x:c>
      <x:c r="E21" s="103" t="str">
        <x:v>喜忌与旺衰可靠，信号为忌且明显过旺。</x:v>
      </x:c>
      <x:c r="F21" s="103" t="str">
        <x:v>强度+6；STATE候选+6</x:v>
      </x:c>
      <x:c r="G21" s="103" t="str">
        <x:v>这套表达方式可能更快、更强地出现，但它是否带来关系压力，需要另行判断。</x:v>
      </x:c>
      <x:c r="H21" s="103" t="str">
        <x:v>stress_shift</x:v>
      </x:c>
      <x:c r="I21" s="53" t="str">
        <x:v>中</x:v>
      </x:c>
    </x:row>
    <x:row r="22">
      <x:c r="A22" s="76" t="str">
        <x:v>M3-EXPR-170</x:v>
      </x:c>
      <x:c r="B22" s="258" t="str">
        <x:v>有制有化｜表达经过调节与转译</x:v>
      </x:c>
      <x:c r="C22" s="258" t="str">
        <x:v>修正</x:v>
      </x:c>
      <x:c r="D22" s="103" t="str">
        <x:v>表达信号有有效制化</x:v>
      </x:c>
      <x:c r="E22" s="103" t="str">
        <x:v>制化关系由共享引擎确认，参与双方均有效且不构成真合化替换。</x:v>
      </x:c>
      <x:c r="F22" s="103" t="str">
        <x:v>调节度+7；桥接候选+6</x:v>
      </x:c>
      <x:c r="G22" s="103" t="str">
        <x:v>你的表达往往不是单一路径，而会先经过整理、协商、行动或规则化后再显现。</x:v>
      </x:c>
      <x:c r="H22" s="103" t="str">
        <x:v>expression_path</x:v>
      </x:c>
      <x:c r="I22" s="53" t="str">
        <x:v>中高</x:v>
      </x:c>
    </x:row>
    <x:row r="23">
      <x:c r="A23" s="76" t="str">
        <x:v>M3-EXPR-171</x:v>
      </x:c>
      <x:c r="B23" s="258" t="str">
        <x:v>无制且过强｜第一通道占位较高</x:v>
      </x:c>
      <x:c r="C23" s="258" t="str">
        <x:v>修正</x:v>
      </x:c>
      <x:c r="D23" s="103" t="str">
        <x:v>表达信号无制且过强</x:v>
      </x:c>
      <x:c r="E23" s="103" t="str">
        <x:v>信号过强且缺少有效调节；基础性质明确。</x:v>
      </x:c>
      <x:c r="F23" s="103" t="str">
        <x:v>主通道优先级+7；STATE候选</x:v>
      </x:c>
      <x:c r="G23" s="103" t="str">
        <x:v>遇到重要议题时，你可能更快回到这套最熟悉的表达方式。</x:v>
      </x:c>
      <x:c r="H23" s="103" t="str">
        <x:v>stress_shift</x:v>
      </x:c>
      <x:c r="I23" s="53" t="str">
        <x:v>中</x:v>
      </x:c>
    </x:row>
    <x:row r="24">
      <x:c r="A24" s="76" t="str">
        <x:v>M3-EXPR-172</x:v>
      </x:c>
      <x:c r="B24" s="258" t="str">
        <x:v>合而不化｜保留原通道并增加联动</x:v>
      </x:c>
      <x:c r="C24" s="258" t="str">
        <x:v>修正</x:v>
      </x:c>
      <x:c r="D24" s="103" t="str">
        <x:v>表达信号参与有效合但不化</x:v>
      </x:c>
      <x:c r="E24" s="103" t="str">
        <x:v>合而不化或合绊成立；原十神性质仍保留。</x:v>
      </x:c>
      <x:c r="F24" s="103" t="str">
        <x:v>原通道保留；联动+5</x:v>
      </x:c>
      <x:c r="G24" s="103" t="str">
        <x:v>你的原有表达方式仍在，但有时需要先协调对方、环境或另一项考虑，才会完整表现。</x:v>
      </x:c>
      <x:c r="H24" s="103" t="str">
        <x:v>expression_path</x:v>
      </x:c>
      <x:c r="I24" s="53" t="str">
        <x:v>中</x:v>
      </x:c>
    </x:row>
    <x:row r="25">
      <x:c r="A25" s="76" t="str">
        <x:v>M3-EXPR-173</x:v>
      </x:c>
      <x:c r="B25" s="258" t="str">
        <x:v>真合化｜停止原通道并路由化神</x:v>
      </x:c>
      <x:c r="C25" s="258" t="str">
        <x:v>停止</x:v>
      </x:c>
      <x:c r="D25" s="103" t="str">
        <x:v>表达信号真合化</x:v>
      </x:c>
      <x:c r="E25" s="103" t="str">
        <x:v>共享引擎确认真合化成立，原十神功能被有效替换。</x:v>
      </x:c>
      <x:c r="F25" s="103" t="str">
        <x:v>原通道清零；路由化神</x:v>
      </x:c>
      <x:c r="G25" s="103" t="str">
        <x:v>原来的表达标签暂不直接使用，需要按转化后的功能方向重新判断。</x:v>
      </x:c>
      <x:c r="H25" s="103" t="str">
        <x:v>primary_expression_channel</x:v>
      </x:c>
      <x:c r="I25" s="53" t="str">
        <x:v>停止</x:v>
      </x:c>
    </x:row>
    <x:row r="26">
      <x:c r="A26" s="76" t="str">
        <x:v>M3-EXPR-174</x:v>
      </x:c>
      <x:c r="B26" s="258" t="str">
        <x:v>合化争议｜停止强表达结论</x:v>
      </x:c>
      <x:c r="C26" s="258" t="str">
        <x:v>停止</x:v>
      </x:c>
      <x:c r="D26" s="103" t="str">
        <x:v>表达信号合化状态有争议</x:v>
      </x:c>
      <x:c r="E26" s="103" t="str">
        <x:v>合化是否成立会改变主要表达通道，但当前证据不足。</x:v>
      </x:c>
      <x:c r="F26" s="103" t="str">
        <x:v>主通道停止；confidence低</x:v>
      </x:c>
      <x:c r="G26" s="103" t="str">
        <x:v>当前结构会直接影响表达方式的判断，因此暂不把你固定为某一种表达类型。</x:v>
      </x:c>
      <x:c r="H26" s="103" t="str">
        <x:v>confidence</x:v>
      </x:c>
      <x:c r="I26" s="53" t="str">
        <x:v>停止</x:v>
      </x:c>
    </x:row>
    <x:row r="27">
      <x:c r="A27" s="76" t="str">
        <x:v>M3-EXPR-175</x:v>
      </x:c>
      <x:c r="B27" s="258" t="str">
        <x:v>印生比劫｜理解转为自我立场</x:v>
      </x:c>
      <x:c r="C27" s="258" t="str">
        <x:v>路径修正</x:v>
      </x:c>
      <x:c r="D27" s="103" t="str">
        <x:v>印→比劫有效</x:v>
      </x:c>
      <x:c r="E27" s="103" t="str">
        <x:v>印星与比劫均有效，生助流向成立，且不是同一事实重复。</x:v>
      </x:c>
      <x:c r="F27" s="103" t="str">
        <x:v>XP03/XP04候选+6</x:v>
      </x:c>
      <x:c r="G27" s="103" t="str">
        <x:v>你往往先弄清自己真正怎么想，再把它转成更清楚的立场和条件。</x:v>
      </x:c>
      <x:c r="H27" s="103" t="str">
        <x:v>expression_path</x:v>
      </x:c>
      <x:c r="I27" s="53" t="str">
        <x:v>中</x:v>
      </x:c>
    </x:row>
    <x:row r="28">
      <x:c r="A28" s="76" t="str">
        <x:v>M3-EXPR-176</x:v>
      </x:c>
      <x:c r="B28" s="258" t="str">
        <x:v>比劫生食伤｜立场转为语言表达</x:v>
      </x:c>
      <x:c r="C28" s="258" t="str">
        <x:v>路径修正</x:v>
      </x:c>
      <x:c r="D28" s="103" t="str">
        <x:v>比劫→食伤有效</x:v>
      </x:c>
      <x:c r="E28" s="103" t="str">
        <x:v>比劫与食伤两端有效，路径成立，来源独立。</x:v>
      </x:c>
      <x:c r="F28" s="103" t="str">
        <x:v>XP04/XP01候选+7</x:v>
      </x:c>
      <x:c r="G28" s="103" t="str">
        <x:v>你较容易先确认自己的立场，再把原因、感受和可协商部分说出来。</x:v>
      </x:c>
      <x:c r="H28" s="103" t="str">
        <x:v>expression_path</x:v>
      </x:c>
      <x:c r="I28" s="53" t="str">
        <x:v>中高</x:v>
      </x:c>
    </x:row>
    <x:row r="29">
      <x:c r="A29" s="76" t="str">
        <x:v>M3-EXPR-177</x:v>
      </x:c>
      <x:c r="B29" s="258" t="str">
        <x:v>食伤生财｜表达转为实际行动</x:v>
      </x:c>
      <x:c r="C29" s="258" t="str">
        <x:v>路径修正</x:v>
      </x:c>
      <x:c r="D29" s="103" t="str">
        <x:v>食伤→财有效</x:v>
      </x:c>
      <x:c r="E29" s="103" t="str">
        <x:v>食伤与财星有效，存在实际生助和近位连接。</x:v>
      </x:c>
      <x:c r="F29" s="103" t="str">
        <x:v>XP07候选+8；行动转译+7</x:v>
      </x:c>
      <x:c r="G29" s="103" t="str">
        <x:v>你不只希望把话说清，也较容易继续用实际安排和行动把表达落地。</x:v>
      </x:c>
      <x:c r="H29" s="103" t="str">
        <x:v>action_translation</x:v>
      </x:c>
      <x:c r="I29" s="53" t="str">
        <x:v>中高</x:v>
      </x:c>
    </x:row>
    <x:row r="30">
      <x:c r="A30" s="76" t="str">
        <x:v>M3-EXPR-178</x:v>
      </x:c>
      <x:c r="B30" s="258" t="str">
        <x:v>财生官杀｜投入转为责任与承诺</x:v>
      </x:c>
      <x:c r="C30" s="258" t="str">
        <x:v>路径修正</x:v>
      </x:c>
      <x:c r="D30" s="103" t="str">
        <x:v>财→官杀有效</x:v>
      </x:c>
      <x:c r="E30" s="103" t="str">
        <x:v>财星与官杀均有效，生助链成立，非同源重复。</x:v>
      </x:c>
      <x:c r="F30" s="103" t="str">
        <x:v>XP08候选+6</x:v>
      </x:c>
      <x:c r="G30" s="103" t="str">
        <x:v>你的实际付出较容易继续变成明确安排、责任和可兑现的承诺。</x:v>
      </x:c>
      <x:c r="H30" s="103" t="str">
        <x:v>expression_path</x:v>
      </x:c>
      <x:c r="I30" s="53" t="str">
        <x:v>中</x:v>
      </x:c>
    </x:row>
    <x:row r="31">
      <x:c r="A31" s="76" t="str">
        <x:v>M3-EXPR-179</x:v>
      </x:c>
      <x:c r="B31" s="258" t="str">
        <x:v>官杀生印｜兑现形成安全与理解</x:v>
      </x:c>
      <x:c r="C31" s="258" t="str">
        <x:v>路径修正</x:v>
      </x:c>
      <x:c r="D31" s="103" t="str">
        <x:v>官杀→印有效</x:v>
      </x:c>
      <x:c r="E31" s="103" t="str">
        <x:v>官杀与印星均有效，生助链成立。</x:v>
      </x:c>
      <x:c r="F31" s="103" t="str">
        <x:v>XP05/XP03候选+6</x:v>
      </x:c>
      <x:c r="G31" s="103" t="str">
        <x:v>当事情被负责地处理、承诺真正兑现后，你会更容易安心，也更愿意表达更深的感受。</x:v>
      </x:c>
      <x:c r="H31" s="103" t="str">
        <x:v>expression_path</x:v>
      </x:c>
      <x:c r="I31" s="53" t="str">
        <x:v>中</x:v>
      </x:c>
    </x:row>
    <x:row r="32">
      <x:c r="A32" s="77" t="str">
        <x:v>M3-EXPR-180</x:v>
      </x:c>
      <x:c r="B32" s="259" t="str">
        <x:v>制约筛选链总则｜先检验再表达</x:v>
      </x:c>
      <x:c r="C32" s="259" t="str">
        <x:v>门控</x:v>
      </x:c>
      <x:c r="D32" s="104" t="str">
        <x:v>有效制约关系</x:v>
      </x:c>
      <x:c r="E32" s="104" t="str">
        <x:v>制约双方均有效，力量可承载，且不是一方完全压倒另一方。</x:v>
      </x:c>
      <x:c r="F32" s="104" t="str">
        <x:v>筛选路径候选+6</x:v>
      </x:c>
      <x:c r="G32" s="104" t="str">
        <x:v>你的表达可能会先经过一道检查：先确认安全、逻辑、边界、事实或责任，再决定怎样说。</x:v>
      </x:c>
      <x:c r="H32" s="104" t="str">
        <x:v>expression_path</x:v>
      </x:c>
      <x:c r="I32" s="55" t="str">
        <x:v>中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354663bf17a46e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12" hidden="0" customWidth="1"/>
    <x:col min="4" max="4" width="24" hidden="0" customWidth="1"/>
    <x:col min="5" max="5" width="42" hidden="0" customWidth="1"/>
    <x:col min="6" max="6" width="44" hidden="0" customWidth="1"/>
    <x:col min="7" max="7" width="40" hidden="0" customWidth="1"/>
    <x:col min="8" max="8" width="22" hidden="0" customWidth="1"/>
    <x:col min="9" max="9" width="26" hidden="0" customWidth="1"/>
    <x:col min="10" max="10" width="11" hidden="0" customWidth="1"/>
  </x:cols>
  <x:sheetData>
    <x:row r="1" ht="30" customHeight="1">
      <x:c r="A1" s="5" t="str">
        <x:v>跨模块接口、同源去重与停止规则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13" t="str">
        <x:v>这一页决定哪些信号只能路由、哪些必须去重、哪些情况要停止，防止M3-EXPR越权或重复计分。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26" t="str">
        <x:v>规则ID</x:v>
      </x:c>
      <x:c r="B4" s="91" t="str">
        <x:v>规则名称</x:v>
      </x:c>
      <x:c r="C4" s="91" t="str">
        <x:v>类型</x:v>
      </x:c>
      <x:c r="D4" s="91" t="str">
        <x:v>主信号</x:v>
      </x:c>
      <x:c r="E4" s="91" t="str">
        <x:v>成立条件</x:v>
      </x:c>
      <x:c r="F4" s="91" t="str">
        <x:v>内部处理</x:v>
      </x:c>
      <x:c r="G4" s="91" t="str">
        <x:v>用户解释</x:v>
      </x:c>
      <x:c r="H4" s="91" t="str">
        <x:v>作用</x:v>
      </x:c>
      <x:c r="I4" s="91" t="str">
        <x:v>输出字段</x:v>
      </x:c>
      <x:c r="J4" s="27" t="str">
        <x:v>置信度</x:v>
      </x:c>
    </x:row>
    <x:row r="5">
      <x:c r="A5" s="75" t="str">
        <x:v>M3-EXPR-181</x:v>
      </x:c>
      <x:c r="B5" s="257" t="str">
        <x:v>印制食伤｜先内部筛选再外化</x:v>
      </x:c>
      <x:c r="C5" s="257" t="str">
        <x:v>路径修正</x:v>
      </x:c>
      <x:c r="D5" s="102" t="str">
        <x:v>印制食伤</x:v>
      </x:c>
      <x:c r="E5" s="102" t="str">
        <x:v>印与食伤均有效，制约可承载，食伤未被完全压制。</x:v>
      </x:c>
      <x:c r="F5" s="102" t="str">
        <x:v>印星对食伤的作用在EXPR中解释为：先确认安全、意义和表达方式，再把感受外化；不是“不会说”。</x:v>
      </x:c>
      <x:c r="G5" s="102" t="str">
        <x:v>你通常会先在心里筛选和整理，确认怎样说更合适后，再把真正想表达的内容说出来。</x:v>
      </x:c>
      <x:c r="H5" s="102" t="str">
        <x:v>XP03候选+7；即时性-3</x:v>
      </x:c>
      <x:c r="I5" s="102" t="str">
        <x:v>expression_path</x:v>
      </x:c>
      <x:c r="J5" s="51" t="str">
        <x:v>中高</x:v>
      </x:c>
    </x:row>
    <x:row r="6">
      <x:c r="A6" s="76" t="str">
        <x:v>M3-EXPR-182</x:v>
      </x:c>
      <x:c r="B6" s="258" t="str">
        <x:v>食伤制官杀｜先说明逻辑再接受框架</x:v>
      </x:c>
      <x:c r="C6" s="258" t="str">
        <x:v>路径修正</x:v>
      </x:c>
      <x:c r="D6" s="103" t="str">
        <x:v>食伤制官杀</x:v>
      </x:c>
      <x:c r="E6" s="103" t="str">
        <x:v>食伤与官杀均有效，制约关系成立且不构成一方彻底失效。</x:v>
      </x:c>
      <x:c r="F6" s="103" t="str">
        <x:v>用户会通过解释、提问和澄清来检验规则、责任或行动安排，再决定怎样配合。</x:v>
      </x:c>
      <x:c r="G6" s="103" t="str">
        <x:v>面对责任、规则或重要安排时，你往往需要先把理由和细节说清楚，再确认怎样执行。</x:v>
      </x:c>
      <x:c r="H6" s="103" t="str">
        <x:v>XP01/XP08桥接+7</x:v>
      </x:c>
      <x:c r="I6" s="103" t="str">
        <x:v>communication_style</x:v>
      </x:c>
      <x:c r="J6" s="53" t="str">
        <x:v>中高</x:v>
      </x:c>
    </x:row>
    <x:row r="7">
      <x:c r="A7" s="76" t="str">
        <x:v>M3-EXPR-183</x:v>
      </x:c>
      <x:c r="B7" s="258" t="str">
        <x:v>官杀制比劫｜责任框架组织自我表达</x:v>
      </x:c>
      <x:c r="C7" s="258" t="str">
        <x:v>路径修正</x:v>
      </x:c>
      <x:c r="D7" s="103" t="str">
        <x:v>官杀制比劫</x:v>
      </x:c>
      <x:c r="E7" s="103" t="str">
        <x:v>官杀与比劫均有效，制约可承载，比劫未完全失效。</x:v>
      </x:c>
      <x:c r="F7" s="103" t="str">
        <x:v>责任、现实任务或关系规则会先组织用户的立场表达，使其更偏向可执行和有边界的陈述。</x:v>
      </x:c>
      <x:c r="G7" s="103" t="str">
        <x:v>你表达个人立场时，常会同时考虑责任、后果和双方怎样把事情继续推进。</x:v>
      </x:c>
      <x:c r="H7" s="103" t="str">
        <x:v>XP08候选+6</x:v>
      </x:c>
      <x:c r="I7" s="103" t="str">
        <x:v>communication_style</x:v>
      </x:c>
      <x:c r="J7" s="53" t="str">
        <x:v>中</x:v>
      </x:c>
    </x:row>
    <x:row r="8">
      <x:c r="A8" s="76" t="str">
        <x:v>M3-EXPR-184</x:v>
      </x:c>
      <x:c r="B8" s="258" t="str">
        <x:v>比劫制财｜先确认边界再给出行动</x:v>
      </x:c>
      <x:c r="C8" s="258" t="str">
        <x:v>路径修正</x:v>
      </x:c>
      <x:c r="D8" s="103" t="str">
        <x:v>比劫制财</x:v>
      </x:c>
      <x:c r="E8" s="103" t="str">
        <x:v>比劫与财星均有效，制约可承载，财星未被完全压倒。</x:v>
      </x:c>
      <x:c r="F8" s="103" t="str">
        <x:v>用户在投入、安排或答应事情前，先确认自主、分工和资源边界。</x:v>
      </x:c>
      <x:c r="G8" s="103" t="str">
        <x:v>你在用行动或安排表达之前，通常会先确认这件事是否尊重双方边界、分工是否合理。</x:v>
      </x:c>
      <x:c r="H8" s="103" t="str">
        <x:v>XP04→XP07候选+6</x:v>
      </x:c>
      <x:c r="I8" s="103" t="str">
        <x:v>expression_path</x:v>
      </x:c>
      <x:c r="J8" s="53" t="str">
        <x:v>中</x:v>
      </x:c>
    </x:row>
    <x:row r="9">
      <x:c r="A9" s="76" t="str">
        <x:v>M3-EXPR-185</x:v>
      </x:c>
      <x:c r="B9" s="258" t="str">
        <x:v>财制印｜先看事实再形成情绪确认</x:v>
      </x:c>
      <x:c r="C9" s="258" t="str">
        <x:v>路径修正</x:v>
      </x:c>
      <x:c r="D9" s="103" t="str">
        <x:v>财制印</x:v>
      </x:c>
      <x:c r="E9" s="103" t="str">
        <x:v>财星与印星均有效，制约可承载，印星未完全失效。</x:v>
      </x:c>
      <x:c r="F9" s="103" t="str">
        <x:v>用户更容易通过具体行为、稳定事实和现实安排确认自己是否被理解，而非只凭安慰。</x:v>
      </x:c>
      <x:c r="G9" s="103" t="str">
        <x:v>对你来说，实际行动和持续事实常常比单纯安慰更能让你安心，也更容易打开后续表达。</x:v>
      </x:c>
      <x:c r="H9" s="103" t="str">
        <x:v>XP06/XP05候选+6</x:v>
      </x:c>
      <x:c r="I9" s="103" t="str">
        <x:v>response_style</x:v>
      </x:c>
      <x:c r="J9" s="53" t="str">
        <x:v>中</x:v>
      </x:c>
    </x:row>
    <x:row r="10">
      <x:c r="A10" s="76" t="str">
        <x:v>M3-EXPR-186</x:v>
      </x:c>
      <x:c r="B10" s="258" t="str">
        <x:v>BASE同源接口｜日支底盘只算一次</x:v>
      </x:c>
      <x:c r="C10" s="258" t="str">
        <x:v>去重</x:v>
      </x:c>
      <x:c r="D10" s="103" t="str">
        <x:v>M3-BASE与M3-EXPR共享日支事实</x:v>
      </x:c>
      <x:c r="E10" s="103" t="str">
        <x:v>EXPR读取的主通道来自同一日支主气或同一日柱事实。</x:v>
      </x:c>
      <x:c r="F10" s="103" t="str">
        <x:v>BASE负责关系运行底盘，EXPR负责表达细节；可保留两种解释，但基础证据只计一次。</x:v>
      </x:c>
      <x:c r="G10" s="103" t="str">
        <x:v>同一个日支信号会同时说明关系底盘和表达方式，但不会被重复算成两份独立证据。</x:v>
      </x:c>
      <x:c r="H10" s="103" t="str">
        <x:v>基础分只算一次；保留两个字段解释</x:v>
      </x:c>
      <x:c r="I10" s="103" t="str">
        <x:v>dedup_log</x:v>
      </x:c>
      <x:c r="J10" s="53" t="str">
        <x:v>高</x:v>
      </x:c>
    </x:row>
    <x:row r="11">
      <x:c r="A11" s="76" t="str">
        <x:v>M3-EXPR-187</x:v>
      </x:c>
      <x:c r="B11" s="258" t="str">
        <x:v>BASE独立复核｜全局表达信号可确认或否决候选</x:v>
      </x:c>
      <x:c r="C11" s="258" t="str">
        <x:v>接口</x:v>
      </x:c>
      <x:c r="D11" s="103" t="str">
        <x:v>M3-BASE候选＋独立EXPR证据</x:v>
      </x:c>
      <x:c r="E11" s="103" t="str">
        <x:v>BASE已给出表达候选；EXPR另有透干、根气、流向或不同位置的独立支持／反证。</x:v>
      </x:c>
      <x:c r="F11" s="103" t="str">
        <x:v>独立EXPR证据可以确认、降级或否决BASE的过程候选；后续模块对具体字段拥有更高权威。</x:v>
      </x:c>
      <x:c r="G11" s="103" t="str">
        <x:v>关系底盘会提供一个初步方向，但最终怎样表达，还要看更直接的表达信号是否支持。</x:v>
      </x:c>
      <x:c r="H11" s="103" t="str">
        <x:v>独立支持+8；反证则降级</x:v>
      </x:c>
      <x:c r="I11" s="103" t="str">
        <x:v>primary_expression_channel</x:v>
      </x:c>
      <x:c r="J11" s="53" t="str">
        <x:v>高</x:v>
      </x:c>
    </x:row>
    <x:row r="12">
      <x:c r="A12" s="76" t="str">
        <x:v>M3-EXPR-188</x:v>
      </x:c>
      <x:c r="B12" s="258" t="str">
        <x:v>CARE接口｜行动表达路由到投入模块</x:v>
      </x:c>
      <x:c r="C12" s="258" t="str">
        <x:v>接口</x:v>
      </x:c>
      <x:c r="D12" s="103" t="str">
        <x:v>财、官杀或行动转译通道成立</x:v>
      </x:c>
      <x:c r="E12" s="103" t="str">
        <x:v>EXPR已识别行动、安排、承担或共同体验为表达方式。</x:v>
      </x:c>
      <x:c r="F12" s="103" t="str">
        <x:v>将行动表达作为M3-CARE输入候选，但不在EXPR中判断持续频率、资源分配或付出交换。</x:v>
      </x:c>
      <x:c r="G12" s="103" t="str">
        <x:v>你可能会用行动表达在意；后续还要继续看这种投入怎样持续、怎样分配和怎样被接收。</x:v>
      </x:c>
      <x:c r="H12" s="103" t="str">
        <x:v>route_to_CARE</x:v>
      </x:c>
      <x:c r="I12" s="103" t="str">
        <x:v>care_investment（候选）</x:v>
      </x:c>
      <x:c r="J12" s="53" t="str">
        <x:v>高</x:v>
      </x:c>
    </x:row>
    <x:row r="13">
      <x:c r="A13" s="76" t="str">
        <x:v>M3-EXPR-189</x:v>
      </x:c>
      <x:c r="B13" s="258" t="str">
        <x:v>BOUND接口｜需求表达路由到边界模块</x:v>
      </x:c>
      <x:c r="C13" s="258" t="str">
        <x:v>接口</x:v>
      </x:c>
      <x:c r="D13" s="103" t="str">
        <x:v>need_expression或position_expression成立</x:v>
      </x:c>
      <x:c r="E13" s="103" t="str">
        <x:v>用户能说明需求、条件、立场或希望协商的范围。</x:v>
      </x:c>
      <x:c r="F13" s="103" t="str">
        <x:v>将表达内容路由到M3-BOUND复核执行、距离和拒绝；EXPR不把“说得出”当“守得住”。</x:v>
      </x:c>
      <x:c r="G13" s="103" t="str">
        <x:v>你能否把条件说出来，会作为边界分析的输入；真正怎样执行仍需继续判断。</x:v>
      </x:c>
      <x:c r="H13" s="103" t="str">
        <x:v>route_to_BOUND</x:v>
      </x:c>
      <x:c r="I13" s="103" t="str">
        <x:v>closeness_boundary（候选）</x:v>
      </x:c>
      <x:c r="J13" s="53" t="str">
        <x:v>高</x:v>
      </x:c>
    </x:row>
    <x:row r="14">
      <x:c r="A14" s="76" t="str">
        <x:v>M3-EXPR-190</x:v>
      </x:c>
      <x:c r="B14" s="258" t="str">
        <x:v>CONFLICT接口｜平稳沟通仅作分歧候选</x:v>
      </x:c>
      <x:c r="C14" s="258" t="str">
        <x:v>接口</x:v>
      </x:c>
      <x:c r="D14" s="103" t="str">
        <x:v>communication_style或expression_path成立</x:v>
      </x:c>
      <x:c r="E14" s="103" t="str">
        <x:v>已得到平稳或一般情境的沟通方式。</x:v>
      </x:c>
      <x:c r="F14" s="103" t="str">
        <x:v>将主通道作为M3-CONFLICT的基线输入；发生分歧时是否同样使用，必须由冲突证据重新裁定。</x:v>
      </x:c>
      <x:c r="G14" s="103" t="str">
        <x:v>你平时的沟通方式会成为分歧分析的参考，但不能直接当作你争执时的固定反应。</x:v>
      </x:c>
      <x:c r="H14" s="103" t="str">
        <x:v>route_to_CONFLICT</x:v>
      </x:c>
      <x:c r="I14" s="103" t="str">
        <x:v>conflict_response（候选）</x:v>
      </x:c>
      <x:c r="J14" s="53" t="str">
        <x:v>高</x:v>
      </x:c>
    </x:row>
    <x:row r="15">
      <x:c r="A15" s="76" t="str">
        <x:v>M3-EXPR-191</x:v>
      </x:c>
      <x:c r="B15" s="258" t="str">
        <x:v>REPAIR接口｜表达工具不等于修复路径</x:v>
      </x:c>
      <x:c r="C15" s="258" t="str">
        <x:v>接口</x:v>
      </x:c>
      <x:c r="D15" s="103" t="str">
        <x:v>倾听、解释、行动或责任通道成立</x:v>
      </x:c>
      <x:c r="E15" s="103" t="str">
        <x:v>某表达通道可被用于恢复联结。</x:v>
      </x:c>
      <x:c r="F15" s="103" t="str">
        <x:v>将可用表达工具路由到M3-REPAIR，但修复启动、顺序和有效性必须有独立证据。</x:v>
      </x:c>
      <x:c r="G15" s="103" t="str">
        <x:v>倾听、解释、行动或承诺可能成为你的修复工具，但能否真正恢复关系需要继续分析。</x:v>
      </x:c>
      <x:c r="H15" s="103" t="str">
        <x:v>route_to_REPAIR</x:v>
      </x:c>
      <x:c r="I15" s="103" t="str">
        <x:v>repair_path（候选）</x:v>
      </x:c>
      <x:c r="J15" s="53" t="str">
        <x:v>高</x:v>
      </x:c>
    </x:row>
    <x:row r="16">
      <x:c r="A16" s="76" t="str">
        <x:v>M3-EXPR-192</x:v>
      </x:c>
      <x:c r="B16" s="258" t="str">
        <x:v>STATE接口｜压力与恢复状态必须复核</x:v>
      </x:c>
      <x:c r="C16" s="258" t="str">
        <x:v>接口</x:v>
      </x:c>
      <x:c r="D16" s="103" t="str">
        <x:v>过旺、受制、宫位动态或多通道切换候选成立</x:v>
      </x:c>
      <x:c r="E16" s="103" t="str">
        <x:v>存在表达通道抢先、关闭、延迟或状态切换迹象。</x:v>
      </x:c>
      <x:c r="F16" s="103" t="str">
        <x:v>EXPR只记录state_candidate，不改写基线；M3-STATE决定平稳、压力和恢复状态的最终通道。</x:v>
      </x:c>
      <x:c r="G16" s="103" t="str">
        <x:v>你的平时表达和压力下表达可能不同；当前只记录这个可能性，后续再判断具体怎样切换。</x:v>
      </x:c>
      <x:c r="H16" s="103" t="str">
        <x:v>route_to_STATE</x:v>
      </x:c>
      <x:c r="I16" s="103" t="str">
        <x:v>stress_shift（候选）</x:v>
      </x:c>
      <x:c r="J16" s="53" t="str">
        <x:v>高</x:v>
      </x:c>
    </x:row>
    <x:row r="17">
      <x:c r="A17" s="76" t="str">
        <x:v>M3-EXPR-193</x:v>
      </x:c>
      <x:c r="B17" s="258" t="str">
        <x:v>M2接口｜关系资格证据不抬高表达置信</x:v>
      </x:c>
      <x:c r="C17" s="258" t="str">
        <x:v>跨模型去重</x:v>
      </x:c>
      <x:c r="D17" s="103" t="str">
        <x:v>M2-CORE或GATE与EXPR同维度</x:v>
      </x:c>
      <x:c r="E17" s="103" t="str">
        <x:v>同一夫妻星、日支或行为主题同时出现在M2和M3。</x:v>
      </x:c>
      <x:c r="F17" s="103" t="str">
        <x:v>M2可提供选择—相处连续性说明，但不能给M3表达通道增加独立证据数。</x:v>
      </x:c>
      <x:c r="G17" s="103" t="str">
        <x:v>你选择关系时看重的表现可能延续为相处表达，但这不会被重复计算成更高置信度。</x:v>
      </x:c>
      <x:c r="H17" s="103" t="str">
        <x:v>跨模型不加分；仅连续性</x:v>
      </x:c>
      <x:c r="I17" s="103" t="str">
        <x:v>cross_model_ref</x:v>
      </x:c>
      <x:c r="J17" s="53" t="str">
        <x:v>高</x:v>
      </x:c>
    </x:row>
    <x:row r="18">
      <x:c r="A18" s="76" t="str">
        <x:v>M3-EXPR-194</x:v>
      </x:c>
      <x:c r="B18" s="258" t="str">
        <x:v>source_id强制去重｜同一来源只计一次</x:v>
      </x:c>
      <x:c r="C18" s="258" t="str">
        <x:v>去重</x:v>
      </x:c>
      <x:c r="D18" s="103" t="str">
        <x:v>同一source_id进入多个EXPR规则</x:v>
      </x:c>
      <x:c r="E18" s="103" t="str">
        <x:v>多个规则读取同一透干、藏干、日支、根或合化事实。</x:v>
      </x:c>
      <x:c r="F18" s="103" t="str">
        <x:v>基础分只计一次；不同字段可引用同一证据，但独立证据数不增加。</x:v>
      </x:c>
      <x:c r="G18" s="103" t="str">
        <x:v>同一项命理依据会支持多个说明，但不会被重复当成多条验证。</x:v>
      </x:c>
      <x:c r="H18" s="103" t="str">
        <x:v>基础分封顶</x:v>
      </x:c>
      <x:c r="I18" s="103" t="str">
        <x:v>dedup_log</x:v>
      </x:c>
      <x:c r="J18" s="53" t="str">
        <x:v>高</x:v>
      </x:c>
    </x:row>
    <x:row r="19">
      <x:c r="A19" s="76" t="str">
        <x:v>M3-EXPR-195</x:v>
      </x:c>
      <x:c r="B19" s="258" t="str">
        <x:v>日支＋同根透干｜证据簇封顶</x:v>
      </x:c>
      <x:c r="C19" s="258" t="str">
        <x:v>去重</x:v>
      </x:c>
      <x:c r="D19" s="103" t="str">
        <x:v>日支藏干为根且同类十神透干</x:v>
      </x:c>
      <x:c r="E19" s="103" t="str">
        <x:v>透干与根来自同一证据簇。</x:v>
      </x:c>
      <x:c r="F19" s="103" t="str">
        <x:v>日支提供关系内核心，透干只增加可见度和可调用性，不再增加一份完整基础权重。</x:v>
      </x:c>
      <x:c r="G19" s="103" t="str">
        <x:v>这套方式既有内在基础，也比较容易显现；但仍属于同一表达通道。</x:v>
      </x:c>
      <x:c r="H19" s="103" t="str">
        <x:v>基础一次；外显+8</x:v>
      </x:c>
      <x:c r="I19" s="103" t="str">
        <x:v>dedup_log</x:v>
      </x:c>
      <x:c r="J19" s="53" t="str">
        <x:v>高</x:v>
      </x:c>
    </x:row>
    <x:row r="20">
      <x:c r="A20" s="76" t="str">
        <x:v>M3-EXPR-196</x:v>
      </x:c>
      <x:c r="B20" s="258" t="str">
        <x:v>同系统收敛｜正偏风格合并</x:v>
      </x:c>
      <x:c r="C20" s="258" t="str">
        <x:v>去重</x:v>
      </x:c>
      <x:c r="D20" s="103" t="str">
        <x:v>同一五系统内两个十神同时有效</x:v>
      </x:c>
      <x:c r="E20" s="103" t="str">
        <x:v>两项信号主要承担同一表达功能，缺乏跨系统独立分工。</x:v>
      </x:c>
      <x:c r="F20" s="103" t="str">
        <x:v>先合并为系统主通道，再按正偏、位置、强弱写风格，不生成两套主模式。</x:v>
      </x:c>
      <x:c r="G20" s="103" t="str">
        <x:v>你的核心表达方向一致，只是具体说法、节奏或外显程度可能有两种风格。</x:v>
      </x:c>
      <x:c r="H20" s="103" t="str">
        <x:v>系统封顶</x:v>
      </x:c>
      <x:c r="I20" s="103" t="str">
        <x:v>primary_expression_channel</x:v>
      </x:c>
      <x:c r="J20" s="53" t="str">
        <x:v>高</x:v>
      </x:c>
    </x:row>
    <x:row r="21">
      <x:c r="A21" s="76" t="str">
        <x:v>M3-EXPR-197</x:v>
      </x:c>
      <x:c r="B21" s="258" t="str">
        <x:v>跨系统次通道｜独立性门槛</x:v>
      </x:c>
      <x:c r="C21" s="258" t="str">
        <x:v>门控</x:v>
      </x:c>
      <x:c r="D21" s="103" t="str">
        <x:v>第二表达系统候选</x:v>
      </x:c>
      <x:c r="E21" s="103" t="str">
        <x:v>第二系统来源独立、承担不同字段、达到最低分，并非同义重复。</x:v>
      </x:c>
      <x:c r="F21" s="103" t="str">
        <x:v>满足才进入secondary_expression_channel；否则仅写为主通道修饰。</x:v>
      </x:c>
      <x:c r="G21" s="103" t="str">
        <x:v>只有当第二种方式真正承担不同任务时，才会把它作为独立的补充通道。</x:v>
      </x:c>
      <x:c r="H21" s="103" t="str">
        <x:v>次通道门槛</x:v>
      </x:c>
      <x:c r="I21" s="103" t="str">
        <x:v>secondary_expression_channel</x:v>
      </x:c>
      <x:c r="J21" s="53" t="str">
        <x:v>高</x:v>
      </x:c>
    </x:row>
    <x:row r="22">
      <x:c r="A22" s="76" t="str">
        <x:v>M3-EXPR-198</x:v>
      </x:c>
      <x:c r="B22" s="258" t="str">
        <x:v>主通道证据门槛｜至少两类支持</x:v>
      </x:c>
      <x:c r="C22" s="258" t="str">
        <x:v>门控</x:v>
      </x:c>
      <x:c r="D22" s="103" t="str">
        <x:v>主表达通道候选</x:v>
      </x:c>
      <x:c r="E22" s="103" t="str">
        <x:v>暂定要求：总分达到32；至少两类独立来源，或一项高权威日支／近位证据加一项状态验证；领先第二名至少8分。</x:v>
      </x:c>
      <x:c r="F22" s="103" t="str">
        <x:v>防止单一弱信号直接锁定主通道。阈值为工程参数，必须案例校准。</x:v>
      </x:c>
      <x:c r="G22" s="103" t="str">
        <x:v>只有当一套表达方式获得足够、相互独立的支持时，才会写成你的主要通道。</x:v>
      </x:c>
      <x:c r="H22" s="103" t="str">
        <x:v>主通道阈值</x:v>
      </x:c>
      <x:c r="I22" s="103" t="str">
        <x:v>primary_expression_channel</x:v>
      </x:c>
      <x:c r="J22" s="53" t="str">
        <x:v>高</x:v>
      </x:c>
    </x:row>
    <x:row r="23">
      <x:c r="A23" s="76" t="str">
        <x:v>M3-EXPR-199</x:v>
      </x:c>
      <x:c r="B23" s="258" t="str">
        <x:v>次通道证据门槛｜功能不同且达到阈值</x:v>
      </x:c>
      <x:c r="C23" s="258" t="str">
        <x:v>门控</x:v>
      </x:c>
      <x:c r="D23" s="103" t="str">
        <x:v>次表达通道候选</x:v>
      </x:c>
      <x:c r="E23" s="103" t="str">
        <x:v>暂定要求：总分达到22；来源独立；与主通道承担不同功能；不是同系统重复。</x:v>
      </x:c>
      <x:c r="F23" s="103" t="str">
        <x:v>第二通道只在确有不同作用时保留。</x:v>
      </x:c>
      <x:c r="G23" s="103" t="str">
        <x:v>补充通道必须有自己的证据和作用，不能只是为了让画像看起来更丰富。</x:v>
      </x:c>
      <x:c r="H23" s="103" t="str">
        <x:v>次通道阈值</x:v>
      </x:c>
      <x:c r="I23" s="103" t="str">
        <x:v>secondary_expression_channel</x:v>
      </x:c>
      <x:c r="J23" s="53" t="str">
        <x:v>高</x:v>
      </x:c>
    </x:row>
    <x:row r="24">
      <x:c r="A24" s="76" t="str">
        <x:v>M3-EXPR-200</x:v>
      </x:c>
      <x:c r="B24" s="258" t="str">
        <x:v>食伤弱不等于沟通停止｜转查其他通道</x:v>
      </x:c>
      <x:c r="C24" s="258" t="str">
        <x:v>门控</x:v>
      </x:c>
      <x:c r="D24" s="103" t="str">
        <x:v>食伤弱或不现</x:v>
      </x:c>
      <x:c r="E24" s="103" t="str">
        <x:v>食伤未形成主通道，但财、官杀、印、比劫中至少一类有效。</x:v>
      </x:c>
      <x:c r="F24" s="103" t="str">
        <x:v>转向行动表达、责任表态、倾听承接或平等陈述，不输出“不会表达”。</x:v>
      </x:c>
      <x:c r="G24" s="103" t="str">
        <x:v>你可能不是主要靠长篇语言表达，而会通过行动、承担、倾听或清楚立场让对方理解。</x:v>
      </x:c>
      <x:c r="H24" s="103" t="str">
        <x:v>语言降级；其他通道路由</x:v>
      </x:c>
      <x:c r="I24" s="103" t="str">
        <x:v>communication_style</x:v>
      </x:c>
      <x:c r="J24" s="53" t="str">
        <x:v>高</x:v>
      </x:c>
    </x:row>
    <x:row r="25">
      <x:c r="A25" s="76" t="str">
        <x:v>M3-EXPR-201</x:v>
      </x:c>
      <x:c r="B25" s="258" t="str">
        <x:v>禁止风险与人格标签｜M3-EXPR中性输出</x:v>
      </x:c>
      <x:c r="C25" s="258" t="str">
        <x:v>边界</x:v>
      </x:c>
      <x:c r="D25" s="103" t="str">
        <x:v>任何表达结论</x:v>
      </x:c>
      <x:c r="E25" s="103" t="str">
        <x:v>生成用户正文前执行边界审查。</x:v>
      </x:c>
      <x:c r="F25" s="103" t="str">
        <x:v>拦截“冷漠、恋爱脑、控制、嘴毒、回避、依赖、情商低”等标签，改写为通道与时序。</x:v>
      </x:c>
      <x:c r="G25" s="103" t="str">
        <x:v>报告只描述你更常怎样表达、何时表达以及通过什么让对方理解，不把这些方式直接变成负面性格标签。</x:v>
      </x:c>
      <x:c r="H25" s="103" t="str">
        <x:v>强制边界</x:v>
      </x:c>
      <x:c r="I25" s="103" t="str">
        <x:v>boundary_note</x:v>
      </x:c>
      <x:c r="J25" s="53" t="str">
        <x:v>高</x:v>
      </x:c>
    </x:row>
    <x:row r="26">
      <x:c r="A26" s="76" t="str">
        <x:v>M3-EXPR-202</x:v>
      </x:c>
      <x:c r="B26" s="258" t="str">
        <x:v>真合化未完成路由｜停止相关通道</x:v>
      </x:c>
      <x:c r="C26" s="258" t="str">
        <x:v>停止</x:v>
      </x:c>
      <x:c r="D26" s="103" t="str">
        <x:v>关键表达信号真合化</x:v>
      </x:c>
      <x:c r="E26" s="103" t="str">
        <x:v>真合化成立但化神系统、阴阳或承载尚未可靠确定。</x:v>
      </x:c>
      <x:c r="F26" s="103" t="str">
        <x:v>原通道清零；相关主通道、路径和维度停止，等待共享引擎完成路由。</x:v>
      </x:c>
      <x:c r="G26" s="103" t="str">
        <x:v>当前转化会改变表达方向，因此暂不保留原来的表达结论。</x:v>
      </x:c>
      <x:c r="H26" s="103" t="str">
        <x:v>相关字段停止</x:v>
      </x:c>
      <x:c r="I26" s="103" t="str">
        <x:v>report_status</x:v>
      </x:c>
      <x:c r="J26" s="53" t="str">
        <x:v>停止</x:v>
      </x:c>
    </x:row>
    <x:row r="27">
      <x:c r="A27" s="76" t="str">
        <x:v>M3-EXPR-203</x:v>
      </x:c>
      <x:c r="B27" s="258" t="str">
        <x:v>基础输入不足｜停止M3-EXPR核心</x:v>
      </x:c>
      <x:c r="C27" s="258" t="str">
        <x:v>停止</x:v>
      </x:c>
      <x:c r="D27" s="103" t="str">
        <x:v>十神／日支／状态关键输入缺失</x:v>
      </x:c>
      <x:c r="E27" s="103" t="str">
        <x:v>基础十神映射、日支主气或关键合化状态缺失，且无法用独立全局证据有限回退。</x:v>
      </x:c>
      <x:c r="F27" s="103" t="str">
        <x:v>停止主通道、路径和高置信行为结论；只允许输出“证据不足”。</x:v>
      </x:c>
      <x:c r="G27" s="103" t="str">
        <x:v>目前基础信息不足，不宜把你的表达方式固定为某一种类型。</x:v>
      </x:c>
      <x:c r="H27" s="103" t="str">
        <x:v>M3-EXPR核心停止</x:v>
      </x:c>
      <x:c r="I27" s="103" t="str">
        <x:v>report_status</x:v>
      </x:c>
      <x:c r="J27" s="53" t="str">
        <x:v>停止</x:v>
      </x:c>
    </x:row>
    <x:row r="28">
      <x:c r="A28" s="77" t="str">
        <x:v>M3-EXPR-204</x:v>
      </x:c>
      <x:c r="B28" s="259" t="str">
        <x:v>多通道竞争未决｜停止单一画像</x:v>
      </x:c>
      <x:c r="C28" s="259" t="str">
        <x:v>停止</x:v>
      </x:c>
      <x:c r="D28" s="104" t="str">
        <x:v>三个以上通道得分接近且无稳定分工</x:v>
      </x:c>
      <x:c r="E28" s="104" t="str">
        <x:v>通道来源独立但主次、时序或状态分工未确定。</x:v>
      </x:c>
      <x:c r="F28" s="104" t="str">
        <x:v>改写为情境化候选，降低置信，等待M3-STATE或案例反馈。</x:v>
      </x:c>
      <x:c r="G28" s="104" t="str">
        <x:v>你可能会根据话题和关系状态使用不同方式；目前不宜把其中任何一种写成固定主模式。</x:v>
      </x:c>
      <x:c r="H28" s="104" t="str">
        <x:v>主通道停止或转XP12</x:v>
      </x:c>
      <x:c r="I28" s="104" t="str">
        <x:v>confidence</x:v>
      </x:c>
      <x:c r="J28" s="55" t="str">
        <x:v>停止</x:v>
      </x:c>
    </x:row>
  </x:sheetData>
  <x:mergeCells>
    <x:mergeCell ref="A1:J1"/>
    <x:mergeCell ref="A2:J2"/>
  </x:mergeCells>
  <x:conditionalFormatting sqref="C5:C28">
    <x:cfRule type="expression" dxfId="2" priority="1">
      <x:formula>C5="停止"</x:formula>
    </x:cfRule>
    <x:cfRule type="expression" dxfId="3" priority="2">
      <x:formula>C5="去重"</x:formula>
    </x:cfRule>
    <x:cfRule type="expression" dxfId="4" priority="3">
      <x:formula>C5="接口"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7b14ba6562a4bd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" hidden="0" customWidth="1"/>
    <x:col min="3" max="3" width="20" hidden="0" customWidth="1"/>
    <x:col min="4" max="4" width="22" hidden="0" customWidth="1"/>
    <x:col min="5" max="5" width="12" hidden="0" customWidth="1"/>
    <x:col min="6" max="6" width="14" hidden="0" customWidth="1"/>
    <x:col min="7" max="7" width="28" hidden="0" customWidth="1"/>
    <x:col min="8" max="8" width="28" hidden="0" customWidth="1"/>
    <x:col min="9" max="9" width="48" hidden="0" customWidth="1"/>
    <x:col min="10" max="10" width="44" hidden="0" customWidth="1"/>
    <x:col min="11" max="11" width="22" hidden="0" customWidth="1"/>
    <x:col min="12" max="12" width="22" hidden="0" customWidth="1"/>
    <x:col min="13" max="13" width="24" hidden="0" customWidth="1"/>
    <x:col min="14" max="14" width="32" hidden="0" customWidth="1"/>
    <x:col min="15" max="15" width="24" hidden="0" customWidth="1"/>
    <x:col min="16" max="16" width="18" hidden="0" customWidth="1"/>
    <x:col min="17" max="17" width="18" hidden="0" customWidth="1"/>
    <x:col min="18" max="18" width="24" hidden="0" customWidth="1"/>
    <x:col min="19" max="19" width="30" hidden="0" customWidth="1"/>
    <x:col min="20" max="20" width="16" hidden="0" customWidth="1"/>
    <x:col min="21" max="21" width="10" hidden="0" customWidth="1"/>
    <x:col min="22" max="22" width="24" hidden="0" customWidth="1"/>
    <x:col min="23" max="23" width="28" hidden="0" customWidth="1"/>
    <x:col min="24" max="24" width="54" hidden="0" customWidth="1"/>
    <x:col min="25" max="25" width="48" hidden="0" customWidth="1"/>
    <x:col min="26" max="26" width="48" hidden="0" customWidth="1"/>
    <x:col min="27" max="27" width="12" hidden="0" customWidth="1"/>
    <x:col min="28" max="28" width="14" hidden="0" customWidth="1"/>
    <x:col min="29" max="29" width="18" hidden="0" customWidth="1"/>
    <x:col min="30" max="30" width="36" hidden="0" customWidth="1"/>
    <x:col min="31" max="31" width="10" hidden="0" customWidth="1"/>
  </x:cols>
  <x:sheetData>
    <x:row r="1" ht="30" customHeight="1">
      <x:c r="A1" s="5" t="str">
        <x:v>M3-EXPR 原子规则主表（唯一正式真源）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</x:row>
    <x:row r="2" ht="28" customHeight="1">
      <x:c r="A2" s="13" t="str">
        <x:v>220条规则，31个统一字段。请优先按rule_id、module、rule_type、main_signal和output_slot筛选。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</x:row>
    <x:row r="4">
      <x:c r="A4" s="293" t="str">
        <x:v>rule_id</x:v>
      </x:c>
      <x:c r="B4" s="294" t="str">
        <x:v>rule_name</x:v>
      </x:c>
      <x:c r="C4" s="294" t="str">
        <x:v>layer</x:v>
      </x:c>
      <x:c r="D4" s="294" t="str">
        <x:v>module</x:v>
      </x:c>
      <x:c r="E4" s="294" t="str">
        <x:v>applicable_group</x:v>
      </x:c>
      <x:c r="F4" s="294" t="str">
        <x:v>rule_type</x:v>
      </x:c>
      <x:c r="G4" s="294" t="str">
        <x:v>main_signal</x:v>
      </x:c>
      <x:c r="H4" s="294" t="str">
        <x:v>secondary_signal</x:v>
      </x:c>
      <x:c r="I4" s="294" t="str">
        <x:v>required_conditions</x:v>
      </x:c>
      <x:c r="J4" s="294" t="str">
        <x:v>excluded_conditions</x:v>
      </x:c>
      <x:c r="K4" s="294" t="str">
        <x:v>self_strength_status</x:v>
      </x:c>
      <x:c r="L4" s="294" t="str">
        <x:v>spouse_star_status</x:v>
      </x:c>
      <x:c r="M4" s="294" t="str">
        <x:v>palace_signal</x:v>
      </x:c>
      <x:c r="N4" s="294" t="str">
        <x:v>flow_path</x:v>
      </x:c>
      <x:c r="O4" s="294" t="str">
        <x:v>signal_position</x:v>
      </x:c>
      <x:c r="P4" s="294" t="str">
        <x:v>root_status</x:v>
      </x:c>
      <x:c r="Q4" s="294" t="str">
        <x:v>strength_level</x:v>
      </x:c>
      <x:c r="R4" s="294" t="str">
        <x:v>favorability</x:v>
      </x:c>
      <x:c r="S4" s="294" t="str">
        <x:v>transformation_status</x:v>
      </x:c>
      <x:c r="T4" s="294" t="str">
        <x:v>distance_level</x:v>
      </x:c>
      <x:c r="U4" s="294" t="str">
        <x:v>priority</x:v>
      </x:c>
      <x:c r="V4" s="294" t="str">
        <x:v>score_effect</x:v>
      </x:c>
      <x:c r="W4" s="294" t="str">
        <x:v>output_slot</x:v>
      </x:c>
      <x:c r="X4" s="294" t="str">
        <x:v>internal_logic</x:v>
      </x:c>
      <x:c r="Y4" s="294" t="str">
        <x:v>user_explanation</x:v>
      </x:c>
      <x:c r="Z4" s="294" t="str">
        <x:v>forbidden_inference</x:v>
      </x:c>
      <x:c r="AA4" s="294" t="str">
        <x:v>confidence_base</x:v>
      </x:c>
      <x:c r="AB4" s="294" t="str">
        <x:v>validation_status</x:v>
      </x:c>
      <x:c r="AC4" s="294" t="str">
        <x:v>case_refs</x:v>
      </x:c>
      <x:c r="AD4" s="294" t="str">
        <x:v>notes</x:v>
      </x:c>
      <x:c r="AE4" s="295" t="str">
        <x:v>version</x:v>
      </x:c>
    </x:row>
    <x:row r="5">
      <x:c r="A5" s="269" t="str">
        <x:v>M3-EXPR-001</x:v>
      </x:c>
      <x:c r="B5" s="270" t="str">
        <x:v>M3-EXPR正式定义｜关系建立后的表达与沟通</x:v>
      </x:c>
      <x:c r="C5" s="271" t="str">
        <x:v>L0 模型边界与证据</x:v>
      </x:c>
      <x:c r="D5" s="271" t="str">
        <x:v>EXPR-定义边界</x:v>
      </x:c>
      <x:c r="E5" s="271" t="str">
        <x:v>通用</x:v>
      </x:c>
      <x:c r="F5" s="271" t="str">
        <x:v>定义</x:v>
      </x:c>
      <x:c r="G5" s="271" t="str">
        <x:v>M3-EXPR模块规则</x:v>
      </x:c>
      <x:c r="H5" s="271" t="str"/>
      <x:c r="I5" s="271" t="str">
        <x:v>M3-EXPR模块已被调用；分析对象为关系建立后的日常互动，而非追求期、择偶期或关系结果。</x:v>
      </x:c>
      <x:c r="J5" s="271" t="str">
        <x:v>基础信号未定；真合化后原信号已失效；只有单一弱远争议信号。</x:v>
      </x:c>
      <x:c r="K5" s="271" t="str">
        <x:v>不限定；由共享基础引擎与M3-STATE修正</x:v>
      </x:c>
      <x:c r="L5" s="271" t="str">
        <x:v>不限定；M3-EXPR不以夫妻星为唯一主轴</x:v>
      </x:c>
      <x:c r="M5" s="271" t="str">
        <x:v>由M3-BASE、日支结构及共享引擎提供</x:v>
      </x:c>
      <x:c r="N5" s="271" t="str">
        <x:v>无／待表达路径规则组合</x:v>
      </x:c>
      <x:c r="O5" s="271" t="str">
        <x:v>全局有效信号；日柱及亲密关系近位优先</x:v>
      </x:c>
      <x:c r="P5" s="271" t="str">
        <x:v>由共享基础引擎判定</x:v>
      </x:c>
      <x:c r="Q5" s="271" t="str">
        <x:v>由共享基础引擎判定</x:v>
      </x:c>
      <x:c r="R5" s="271" t="str">
        <x:v>喜忌不直接等于会不会表达；只修正调用顺畅度与强度</x:v>
      </x:c>
      <x:c r="S5" s="271" t="str">
        <x:v>原十神性质有效；真合化成立时按化神路由</x:v>
      </x:c>
      <x:c r="T5" s="271" t="str">
        <x:v>由共享基础引擎判定</x:v>
      </x:c>
      <x:c r="U5" s="271" t="str">
        <x:v>99</x:v>
      </x:c>
      <x:c r="V5" s="271" t="str">
        <x:v>不加分；门控／路由</x:v>
      </x:c>
      <x:c r="W5" s="271" t="str">
        <x:v>report_status</x:v>
      </x:c>
      <x:c r="X5" s="271" t="str">
        <x:v>M3-EXPR只描述用户如何让在意、感受、需求和观点变得可被对方接收，以及用户如何接收对方的表达。</x:v>
      </x:c>
      <x:c r="Y5" s="271" t="str">
        <x:v>模型三这一部分关注的不是你会不会爱，而是你通常怎样让对方看见你的在意、听懂你的感受和理解你的需求。</x:v>
      </x:c>
      <x:c r="Z5" s="271" t="str">
        <x:v>不得由本规则推出人格诊断、感情结果、忠诚度、适配度或关系风险；不得把表达方式等同于爱得多少。</x:v>
      </x:c>
      <x:c r="AA5" s="271" t="str">
        <x:v>高</x:v>
      </x:c>
      <x:c r="AB5" s="271" t="str">
        <x:v>待验证</x:v>
      </x:c>
      <x:c r="AC5" s="271" t="str"/>
      <x:c r="AD5" s="271" t="str">
        <x:v>provisional=true; rule_group=DEFINITION_01</x:v>
      </x:c>
      <x:c r="AE5" s="272" t="str">
        <x:v>0.3</x:v>
      </x:c>
    </x:row>
    <x:row r="6">
      <x:c r="A6" s="273" t="str">
        <x:v>M3-EXPR-002</x:v>
      </x:c>
      <x:c r="B6" s="274" t="str">
        <x:v>M3-EXPR核心问题｜怎样表达而非表达好坏</x:v>
      </x:c>
      <x:c r="C6" s="275" t="str">
        <x:v>L0 模型边界与证据</x:v>
      </x:c>
      <x:c r="D6" s="275" t="str">
        <x:v>EXPR-定义边界</x:v>
      </x:c>
      <x:c r="E6" s="275" t="str">
        <x:v>通用</x:v>
      </x:c>
      <x:c r="F6" s="275" t="str">
        <x:v>边界</x:v>
      </x:c>
      <x:c r="G6" s="275" t="str">
        <x:v>M3-EXPR模块规则</x:v>
      </x:c>
      <x:c r="H6" s="275" t="str"/>
      <x:c r="I6" s="275" t="str">
        <x:v>需要判断情感表达、情绪表达、需求表达或观点沟通。</x:v>
      </x:c>
      <x:c r="J6" s="275" t="str">
        <x:v>基础信号未定；真合化后原信号已失效；只有单一弱远争议信号。</x:v>
      </x:c>
      <x:c r="K6" s="275" t="str">
        <x:v>不限定；由共享基础引擎与M3-STATE修正</x:v>
      </x:c>
      <x:c r="L6" s="275" t="str">
        <x:v>不限定；M3-EXPR不以夫妻星为唯一主轴</x:v>
      </x:c>
      <x:c r="M6" s="275" t="str">
        <x:v>由M3-BASE、日支结构及共享引擎提供</x:v>
      </x:c>
      <x:c r="N6" s="275" t="str">
        <x:v>无／待表达路径规则组合</x:v>
      </x:c>
      <x:c r="O6" s="275" t="str">
        <x:v>全局有效信号；日柱及亲密关系近位优先</x:v>
      </x:c>
      <x:c r="P6" s="275" t="str">
        <x:v>由共享基础引擎判定</x:v>
      </x:c>
      <x:c r="Q6" s="275" t="str">
        <x:v>由共享基础引擎判定</x:v>
      </x:c>
      <x:c r="R6" s="275" t="str">
        <x:v>喜忌不直接等于会不会表达；只修正调用顺畅度与强度</x:v>
      </x:c>
      <x:c r="S6" s="275" t="str">
        <x:v>原十神性质有效；真合化成立时按化神路由</x:v>
      </x:c>
      <x:c r="T6" s="275" t="str">
        <x:v>由共享基础引擎判定</x:v>
      </x:c>
      <x:c r="U6" s="275" t="str">
        <x:v>98</x:v>
      </x:c>
      <x:c r="V6" s="275" t="str">
        <x:v>不加分；门控／路由</x:v>
      </x:c>
      <x:c r="W6" s="275" t="str">
        <x:v>boundary_note</x:v>
      </x:c>
      <x:c r="X6" s="275" t="str">
        <x:v>表达方式只有通道、顺序、显隐和稳定度差异，不在本模块内评价成熟、幼稚、正确或错误。</x:v>
      </x:c>
      <x:c r="Y6" s="275" t="str">
        <x:v>你的表达方式有自己的顺序和习惯；这里先说明“你通常怎样表达”，不把它简单评成好或不好。</x:v>
      </x:c>
      <x:c r="Z6" s="275" t="str">
        <x:v>不得由本规则推出人格诊断、感情结果、忠诚度、适配度或关系风险；不得把表达方式等同于爱得多少。</x:v>
      </x:c>
      <x:c r="AA6" s="275" t="str">
        <x:v>高</x:v>
      </x:c>
      <x:c r="AB6" s="275" t="str">
        <x:v>待验证</x:v>
      </x:c>
      <x:c r="AC6" s="275" t="str"/>
      <x:c r="AD6" s="275" t="str">
        <x:v>provisional=true; rule_group=DEFINITION_02</x:v>
      </x:c>
      <x:c r="AE6" s="276" t="str">
        <x:v>0.3</x:v>
      </x:c>
    </x:row>
    <x:row r="7">
      <x:c r="A7" s="273" t="str">
        <x:v>M3-EXPR-003</x:v>
      </x:c>
      <x:c r="B7" s="274" t="str">
        <x:v>M3-EXPR标准输入｜共享基础引擎</x:v>
      </x:c>
      <x:c r="C7" s="275" t="str">
        <x:v>L0 模型边界与证据</x:v>
      </x:c>
      <x:c r="D7" s="275" t="str">
        <x:v>EXPR-定义边界</x:v>
      </x:c>
      <x:c r="E7" s="275" t="str">
        <x:v>通用</x:v>
      </x:c>
      <x:c r="F7" s="275" t="str">
        <x:v>输入门控</x:v>
      </x:c>
      <x:c r="G7" s="275" t="str">
        <x:v>M3-EXPR模块规则</x:v>
      </x:c>
      <x:c r="H7" s="275" t="str"/>
      <x:c r="I7" s="275" t="str">
        <x:v>排盘、十神、日支藏干、透藏、根气、旺弱、喜忌、合化和有效流向已由共享引擎提供。</x:v>
      </x:c>
      <x:c r="J7" s="275" t="str">
        <x:v>基础信号未定；真合化后原信号已失效；只有单一弱远争议信号。</x:v>
      </x:c>
      <x:c r="K7" s="275" t="str">
        <x:v>不限定；由共享基础引擎与M3-STATE修正</x:v>
      </x:c>
      <x:c r="L7" s="275" t="str">
        <x:v>不限定；M3-EXPR不以夫妻星为唯一主轴</x:v>
      </x:c>
      <x:c r="M7" s="275" t="str">
        <x:v>由M3-BASE、日支结构及共享引擎提供</x:v>
      </x:c>
      <x:c r="N7" s="275" t="str">
        <x:v>无／待表达路径规则组合</x:v>
      </x:c>
      <x:c r="O7" s="275" t="str">
        <x:v>全局有效信号；日柱及亲密关系近位优先</x:v>
      </x:c>
      <x:c r="P7" s="275" t="str">
        <x:v>由共享基础引擎判定</x:v>
      </x:c>
      <x:c r="Q7" s="275" t="str">
        <x:v>由共享基础引擎判定</x:v>
      </x:c>
      <x:c r="R7" s="275" t="str">
        <x:v>喜忌不直接等于会不会表达；只修正调用顺畅度与强度</x:v>
      </x:c>
      <x:c r="S7" s="275" t="str">
        <x:v>原十神性质有效；真合化成立时按化神路由</x:v>
      </x:c>
      <x:c r="T7" s="275" t="str">
        <x:v>由共享基础引擎判定</x:v>
      </x:c>
      <x:c r="U7" s="275" t="str">
        <x:v>97</x:v>
      </x:c>
      <x:c r="V7" s="275" t="str">
        <x:v>不加分；门控／路由</x:v>
      </x:c>
      <x:c r="W7" s="275" t="str">
        <x:v>report_status</x:v>
      </x:c>
      <x:c r="X7" s="275" t="str">
        <x:v>M3-EXPR不重新排盘，不独立裁定旺衰和合化；它只把可靠的基础事实翻译成表达行为。</x:v>
      </x:c>
      <x:c r="Y7" s="275" t="str">
        <x:v>这部分判断会建立在已经确认的命盘结构上；基础信息有争议时，会保留不确定性而不是硬下结论。</x:v>
      </x:c>
      <x:c r="Z7" s="275" t="str">
        <x:v>不得由本规则推出人格诊断、感情结果、忠诚度、适配度或关系风险；不得把表达方式等同于爱得多少。</x:v>
      </x:c>
      <x:c r="AA7" s="275" t="str">
        <x:v>高</x:v>
      </x:c>
      <x:c r="AB7" s="275" t="str">
        <x:v>待验证</x:v>
      </x:c>
      <x:c r="AC7" s="275" t="str"/>
      <x:c r="AD7" s="275" t="str">
        <x:v>provisional=true; rule_group=DEFINITION_03</x:v>
      </x:c>
      <x:c r="AE7" s="276" t="str">
        <x:v>0.3</x:v>
      </x:c>
    </x:row>
    <x:row r="8">
      <x:c r="A8" s="273" t="str">
        <x:v>M3-EXPR-004</x:v>
      </x:c>
      <x:c r="B8" s="274" t="str">
        <x:v>M3-EXPR标准输出｜八个表达字段</x:v>
      </x:c>
      <x:c r="C8" s="275" t="str">
        <x:v>L0 模型边界与证据</x:v>
      </x:c>
      <x:c r="D8" s="275" t="str">
        <x:v>EXPR-定义边界</x:v>
      </x:c>
      <x:c r="E8" s="275" t="str">
        <x:v>通用</x:v>
      </x:c>
      <x:c r="F8" s="275" t="str">
        <x:v>输出合同</x:v>
      </x:c>
      <x:c r="G8" s="275" t="str">
        <x:v>M3-EXPR模块规则</x:v>
      </x:c>
      <x:c r="H8" s="275" t="str"/>
      <x:c r="I8" s="275" t="str">
        <x:v>至少一项有效表达信号成立，且关键基础字段未停止。</x:v>
      </x:c>
      <x:c r="J8" s="275" t="str">
        <x:v>基础信号未定；真合化后原信号已失效；只有单一弱远争议信号。</x:v>
      </x:c>
      <x:c r="K8" s="275" t="str">
        <x:v>不限定；由共享基础引擎与M3-STATE修正</x:v>
      </x:c>
      <x:c r="L8" s="275" t="str">
        <x:v>不限定；M3-EXPR不以夫妻星为唯一主轴</x:v>
      </x:c>
      <x:c r="M8" s="275" t="str">
        <x:v>由M3-BASE、日支结构及共享引擎提供</x:v>
      </x:c>
      <x:c r="N8" s="275" t="str">
        <x:v>无／待表达路径规则组合</x:v>
      </x:c>
      <x:c r="O8" s="275" t="str">
        <x:v>全局有效信号；日柱及亲密关系近位优先</x:v>
      </x:c>
      <x:c r="P8" s="275" t="str">
        <x:v>由共享基础引擎判定</x:v>
      </x:c>
      <x:c r="Q8" s="275" t="str">
        <x:v>由共享基础引擎判定</x:v>
      </x:c>
      <x:c r="R8" s="275" t="str">
        <x:v>喜忌不直接等于会不会表达；只修正调用顺畅度与强度</x:v>
      </x:c>
      <x:c r="S8" s="275" t="str">
        <x:v>原十神性质有效；真合化成立时按化神路由</x:v>
      </x:c>
      <x:c r="T8" s="275" t="str">
        <x:v>由共享基础引擎判定</x:v>
      </x:c>
      <x:c r="U8" s="275" t="str">
        <x:v>96</x:v>
      </x:c>
      <x:c r="V8" s="275" t="str">
        <x:v>不加分；门控／路由</x:v>
      </x:c>
      <x:c r="W8" s="275" t="str">
        <x:v>boundary_note</x:v>
      </x:c>
      <x:c r="X8" s="275" t="str">
        <x:v>模块输出主表达通道、次表达通道、在意表达、情绪表达、需求表达、沟通方式、表达时序和回应方式。</x:v>
      </x:c>
      <x:c r="Y8" s="275" t="str">
        <x:v>最终会回答：你更常用什么方式表达在意、什么时候愿意说、需求怎样说出口，以及你更容易怎样回应对方。</x:v>
      </x:c>
      <x:c r="Z8" s="275" t="str">
        <x:v>不得由本规则推出人格诊断、感情结果、忠诚度、适配度或关系风险；不得把表达方式等同于爱得多少。</x:v>
      </x:c>
      <x:c r="AA8" s="275" t="str">
        <x:v>中高</x:v>
      </x:c>
      <x:c r="AB8" s="275" t="str">
        <x:v>待验证</x:v>
      </x:c>
      <x:c r="AC8" s="275" t="str"/>
      <x:c r="AD8" s="275" t="str">
        <x:v>provisional=true; rule_group=DEFINITION_04</x:v>
      </x:c>
      <x:c r="AE8" s="276" t="str">
        <x:v>0.3</x:v>
      </x:c>
    </x:row>
    <x:row r="9">
      <x:c r="A9" s="273" t="str">
        <x:v>M3-EXPR-005</x:v>
      </x:c>
      <x:c r="B9" s="274" t="str">
        <x:v>M1边界｜心动偏好不得进入EXPR核心</x:v>
      </x:c>
      <x:c r="C9" s="275" t="str">
        <x:v>L0 模型边界与证据</x:v>
      </x:c>
      <x:c r="D9" s="275" t="str">
        <x:v>EXPR-定义边界</x:v>
      </x:c>
      <x:c r="E9" s="275" t="str">
        <x:v>通用</x:v>
      </x:c>
      <x:c r="F9" s="275" t="str">
        <x:v>跨模型边界</x:v>
      </x:c>
      <x:c r="G9" s="275" t="str">
        <x:v>M3-EXPR模块规则</x:v>
      </x:c>
      <x:c r="H9" s="275" t="str"/>
      <x:c r="I9" s="275" t="str">
        <x:v>M1心动偏好与M3表达方式同时可见。</x:v>
      </x:c>
      <x:c r="J9" s="275" t="str">
        <x:v>基础信号未定；真合化后原信号已失效；只有单一弱远争议信号。</x:v>
      </x:c>
      <x:c r="K9" s="275" t="str">
        <x:v>不限定；由共享基础引擎与M3-STATE修正</x:v>
      </x:c>
      <x:c r="L9" s="275" t="str">
        <x:v>不限定；M3-EXPR不以夫妻星为唯一主轴</x:v>
      </x:c>
      <x:c r="M9" s="275" t="str">
        <x:v>由M3-BASE、日支结构及共享引擎提供</x:v>
      </x:c>
      <x:c r="N9" s="275" t="str">
        <x:v>无／待表达路径规则组合</x:v>
      </x:c>
      <x:c r="O9" s="275" t="str">
        <x:v>全局有效信号；日柱及亲密关系近位优先</x:v>
      </x:c>
      <x:c r="P9" s="275" t="str">
        <x:v>由共享基础引擎判定</x:v>
      </x:c>
      <x:c r="Q9" s="275" t="str">
        <x:v>由共享基础引擎判定</x:v>
      </x:c>
      <x:c r="R9" s="275" t="str">
        <x:v>喜忌不直接等于会不会表达；只修正调用顺畅度与强度</x:v>
      </x:c>
      <x:c r="S9" s="275" t="str">
        <x:v>原十神性质有效；真合化成立时按化神路由</x:v>
      </x:c>
      <x:c r="T9" s="275" t="str">
        <x:v>由共享基础引擎判定</x:v>
      </x:c>
      <x:c r="U9" s="275" t="str">
        <x:v>95</x:v>
      </x:c>
      <x:c r="V9" s="275" t="str">
        <x:v>不加分；门控／路由</x:v>
      </x:c>
      <x:c r="W9" s="275" t="str">
        <x:v>boundary_note</x:v>
      </x:c>
      <x:c r="X9" s="275" t="str">
        <x:v>被什么特质吸引与进入关系后如何表达是两个字段；M1只能作为比较信息，不能给M3表达通道加基础分。</x:v>
      </x:c>
      <x:c r="Y9" s="275" t="str">
        <x:v>让你心动的特质，未必就是你表达感情时使用的方式；两者会分开判断。</x:v>
      </x:c>
      <x:c r="Z9" s="275" t="str">
        <x:v>不得由本规则推出人格诊断、感情结果、忠诚度、适配度或关系风险；不得把表达方式等同于爱得多少。</x:v>
      </x:c>
      <x:c r="AA9" s="275" t="str">
        <x:v>高</x:v>
      </x:c>
      <x:c r="AB9" s="275" t="str">
        <x:v>待验证</x:v>
      </x:c>
      <x:c r="AC9" s="275" t="str"/>
      <x:c r="AD9" s="275" t="str">
        <x:v>provisional=true; rule_group=DEFINITION_05</x:v>
      </x:c>
      <x:c r="AE9" s="276" t="str">
        <x:v>0.3</x:v>
      </x:c>
    </x:row>
    <x:row r="10">
      <x:c r="A10" s="273" t="str">
        <x:v>M3-EXPR-006</x:v>
      </x:c>
      <x:c r="B10" s="274" t="str">
        <x:v>M2边界｜选择标准不等于表达习惯</x:v>
      </x:c>
      <x:c r="C10" s="275" t="str">
        <x:v>L0 模型边界与证据</x:v>
      </x:c>
      <x:c r="D10" s="275" t="str">
        <x:v>EXPR-定义边界</x:v>
      </x:c>
      <x:c r="E10" s="275" t="str">
        <x:v>通用</x:v>
      </x:c>
      <x:c r="F10" s="275" t="str">
        <x:v>跨模型边界</x:v>
      </x:c>
      <x:c r="G10" s="275" t="str">
        <x:v>M3-EXPR模块规则</x:v>
      </x:c>
      <x:c r="H10" s="275" t="str"/>
      <x:c r="I10" s="275" t="str">
        <x:v>M2关系门槛或资格证据与M3表达信号同时出现。</x:v>
      </x:c>
      <x:c r="J10" s="275" t="str">
        <x:v>基础信号未定；真合化后原信号已失效；只有单一弱远争议信号。</x:v>
      </x:c>
      <x:c r="K10" s="275" t="str">
        <x:v>不限定；由共享基础引擎与M3-STATE修正</x:v>
      </x:c>
      <x:c r="L10" s="275" t="str">
        <x:v>不限定；M3-EXPR不以夫妻星为唯一主轴</x:v>
      </x:c>
      <x:c r="M10" s="275" t="str">
        <x:v>由M3-BASE、日支结构及共享引擎提供</x:v>
      </x:c>
      <x:c r="N10" s="275" t="str">
        <x:v>无／待表达路径规则组合</x:v>
      </x:c>
      <x:c r="O10" s="275" t="str">
        <x:v>全局有效信号；日柱及亲密关系近位优先</x:v>
      </x:c>
      <x:c r="P10" s="275" t="str">
        <x:v>由共享基础引擎判定</x:v>
      </x:c>
      <x:c r="Q10" s="275" t="str">
        <x:v>由共享基础引擎判定</x:v>
      </x:c>
      <x:c r="R10" s="275" t="str">
        <x:v>喜忌不直接等于会不会表达；只修正调用顺畅度与强度</x:v>
      </x:c>
      <x:c r="S10" s="275" t="str">
        <x:v>原十神性质有效；真合化成立时按化神路由</x:v>
      </x:c>
      <x:c r="T10" s="275" t="str">
        <x:v>由共享基础引擎判定</x:v>
      </x:c>
      <x:c r="U10" s="275" t="str">
        <x:v>94</x:v>
      </x:c>
      <x:c r="V10" s="275" t="str">
        <x:v>不加分；门控／路由</x:v>
      </x:c>
      <x:c r="W10" s="275" t="str">
        <x:v>boundary_note</x:v>
      </x:c>
      <x:c r="X10" s="275" t="str">
        <x:v>用户用什么标准选择伴侣，不自动等于关系建立后用同样方式表达；只有独立M3证据才能形成表达结论。</x:v>
      </x:c>
      <x:c r="Y10" s="275" t="str">
        <x:v>你选择关系时看重的条件，可能会延续到相处中，也可能只是准入标准；不能直接当成你的表达习惯。</x:v>
      </x:c>
      <x:c r="Z10" s="275" t="str">
        <x:v>不得由本规则推出人格诊断、感情结果、忠诚度、适配度或关系风险；不得把表达方式等同于爱得多少。</x:v>
      </x:c>
      <x:c r="AA10" s="275" t="str">
        <x:v>高</x:v>
      </x:c>
      <x:c r="AB10" s="275" t="str">
        <x:v>待验证</x:v>
      </x:c>
      <x:c r="AC10" s="275" t="str"/>
      <x:c r="AD10" s="275" t="str">
        <x:v>provisional=true; rule_group=DEFINITION_06</x:v>
      </x:c>
      <x:c r="AE10" s="276" t="str">
        <x:v>0.3</x:v>
      </x:c>
    </x:row>
    <x:row r="11">
      <x:c r="A11" s="273" t="str">
        <x:v>M3-EXPR-007</x:v>
      </x:c>
      <x:c r="B11" s="274" t="str">
        <x:v>M3-CARE边界｜行动表达不等于持续投入</x:v>
      </x:c>
      <x:c r="C11" s="275" t="str">
        <x:v>L0 模型边界与证据</x:v>
      </x:c>
      <x:c r="D11" s="275" t="str">
        <x:v>EXPR-定义边界</x:v>
      </x:c>
      <x:c r="E11" s="275" t="str">
        <x:v>通用</x:v>
      </x:c>
      <x:c r="F11" s="275" t="str">
        <x:v>模块边界</x:v>
      </x:c>
      <x:c r="G11" s="275" t="str">
        <x:v>M3-EXPR模块规则</x:v>
      </x:c>
      <x:c r="H11" s="275" t="str"/>
      <x:c r="I11" s="275" t="str">
        <x:v>财星、官杀或行动类表达被识别。</x:v>
      </x:c>
      <x:c r="J11" s="275" t="str">
        <x:v>基础信号未定；真合化后原信号已失效；只有单一弱远争议信号。</x:v>
      </x:c>
      <x:c r="K11" s="275" t="str">
        <x:v>不限定；由共享基础引擎与M3-STATE修正</x:v>
      </x:c>
      <x:c r="L11" s="275" t="str">
        <x:v>不限定；M3-EXPR不以夫妻星为唯一主轴</x:v>
      </x:c>
      <x:c r="M11" s="275" t="str">
        <x:v>由M3-BASE、日支结构及共享引擎提供</x:v>
      </x:c>
      <x:c r="N11" s="275" t="str">
        <x:v>无／待表达路径规则组合</x:v>
      </x:c>
      <x:c r="O11" s="275" t="str">
        <x:v>全局有效信号；日柱及亲密关系近位优先</x:v>
      </x:c>
      <x:c r="P11" s="275" t="str">
        <x:v>由共享基础引擎判定</x:v>
      </x:c>
      <x:c r="Q11" s="275" t="str">
        <x:v>由共享基础引擎判定</x:v>
      </x:c>
      <x:c r="R11" s="275" t="str">
        <x:v>喜忌不直接等于会不会表达；只修正调用顺畅度与强度</x:v>
      </x:c>
      <x:c r="S11" s="275" t="str">
        <x:v>原十神性质有效；真合化成立时按化神路由</x:v>
      </x:c>
      <x:c r="T11" s="275" t="str">
        <x:v>由共享基础引擎判定</x:v>
      </x:c>
      <x:c r="U11" s="275" t="str">
        <x:v>93</x:v>
      </x:c>
      <x:c r="V11" s="275" t="str">
        <x:v>不加分；门控／路由</x:v>
      </x:c>
      <x:c r="W11" s="275" t="str">
        <x:v>boundary_note</x:v>
      </x:c>
      <x:c r="X11" s="275" t="str">
        <x:v>M3-EXPR可以说明用户用行动、安排或承担表达在意，但持续投入的频率、稳定性和交换方式由M3-CARE判断。</x:v>
      </x:c>
      <x:c r="Y11" s="275" t="str">
        <x:v>你可能会用做事、安排和承担表达在意；至于这种投入是否长期、稳定以及怎样交换，需要在付出模块里继续判断。</x:v>
      </x:c>
      <x:c r="Z11" s="275" t="str">
        <x:v>不得由本规则推出人格诊断、感情结果、忠诚度、适配度或关系风险；不得把表达方式等同于爱得多少。</x:v>
      </x:c>
      <x:c r="AA11" s="275" t="str">
        <x:v>高</x:v>
      </x:c>
      <x:c r="AB11" s="275" t="str">
        <x:v>待验证</x:v>
      </x:c>
      <x:c r="AC11" s="275" t="str"/>
      <x:c r="AD11" s="275" t="str">
        <x:v>provisional=true; rule_group=DEFINITION_07</x:v>
      </x:c>
      <x:c r="AE11" s="276" t="str">
        <x:v>0.3</x:v>
      </x:c>
    </x:row>
    <x:row r="12">
      <x:c r="A12" s="273" t="str">
        <x:v>M3-EXPR-008</x:v>
      </x:c>
      <x:c r="B12" s="274" t="str">
        <x:v>M3-BOUND边界｜说出边界不等于执行边界</x:v>
      </x:c>
      <x:c r="C12" s="275" t="str">
        <x:v>L0 模型边界与证据</x:v>
      </x:c>
      <x:c r="D12" s="275" t="str">
        <x:v>EXPR-定义边界</x:v>
      </x:c>
      <x:c r="E12" s="275" t="str">
        <x:v>通用</x:v>
      </x:c>
      <x:c r="F12" s="275" t="str">
        <x:v>模块边界</x:v>
      </x:c>
      <x:c r="G12" s="275" t="str">
        <x:v>M3-EXPR模块规则</x:v>
      </x:c>
      <x:c r="H12" s="275" t="str"/>
      <x:c r="I12" s="275" t="str">
        <x:v>比劫、伤官或正官支持需求和立场表达。</x:v>
      </x:c>
      <x:c r="J12" s="275" t="str">
        <x:v>基础信号未定；真合化后原信号已失效；只有单一弱远争议信号。</x:v>
      </x:c>
      <x:c r="K12" s="275" t="str">
        <x:v>不限定；由共享基础引擎与M3-STATE修正</x:v>
      </x:c>
      <x:c r="L12" s="275" t="str">
        <x:v>不限定；M3-EXPR不以夫妻星为唯一主轴</x:v>
      </x:c>
      <x:c r="M12" s="275" t="str">
        <x:v>由M3-BASE、日支结构及共享引擎提供</x:v>
      </x:c>
      <x:c r="N12" s="275" t="str">
        <x:v>无／待表达路径规则组合</x:v>
      </x:c>
      <x:c r="O12" s="275" t="str">
        <x:v>全局有效信号；日柱及亲密关系近位优先</x:v>
      </x:c>
      <x:c r="P12" s="275" t="str">
        <x:v>由共享基础引擎判定</x:v>
      </x:c>
      <x:c r="Q12" s="275" t="str">
        <x:v>由共享基础引擎判定</x:v>
      </x:c>
      <x:c r="R12" s="275" t="str">
        <x:v>喜忌不直接等于会不会表达；只修正调用顺畅度与强度</x:v>
      </x:c>
      <x:c r="S12" s="275" t="str">
        <x:v>原十神性质有效；真合化成立时按化神路由</x:v>
      </x:c>
      <x:c r="T12" s="275" t="str">
        <x:v>由共享基础引擎判定</x:v>
      </x:c>
      <x:c r="U12" s="275" t="str">
        <x:v>92</x:v>
      </x:c>
      <x:c r="V12" s="275" t="str">
        <x:v>不加分；门控／路由</x:v>
      </x:c>
      <x:c r="W12" s="275" t="str">
        <x:v>boundary_note</x:v>
      </x:c>
      <x:c r="X12" s="275" t="str">
        <x:v>M3-EXPR只判断用户是否倾向说清条件和立场；能否持续执行、调整距离和保留拒绝权由M3-BOUND判断。</x:v>
      </x:c>
      <x:c r="Y12" s="275" t="str">
        <x:v>你是否愿意把边界说出来，和你能否长期守住边界不是同一件事；这里先看表达，后续再看执行。</x:v>
      </x:c>
      <x:c r="Z12" s="275" t="str">
        <x:v>不得由本规则推出人格诊断、感情结果、忠诚度、适配度或关系风险；不得把表达方式等同于爱得多少。</x:v>
      </x:c>
      <x:c r="AA12" s="275" t="str">
        <x:v>高</x:v>
      </x:c>
      <x:c r="AB12" s="275" t="str">
        <x:v>待验证</x:v>
      </x:c>
      <x:c r="AC12" s="275" t="str"/>
      <x:c r="AD12" s="275" t="str">
        <x:v>provisional=true; rule_group=DEFINITION_08</x:v>
      </x:c>
      <x:c r="AE12" s="276" t="str">
        <x:v>0.3</x:v>
      </x:c>
    </x:row>
    <x:row r="13">
      <x:c r="A13" s="273" t="str">
        <x:v>M3-EXPR-009</x:v>
      </x:c>
      <x:c r="B13" s="274" t="str">
        <x:v>M3-CONFLICT边界｜日常沟通不等于分歧应对</x:v>
      </x:c>
      <x:c r="C13" s="275" t="str">
        <x:v>L0 模型边界与证据</x:v>
      </x:c>
      <x:c r="D13" s="275" t="str">
        <x:v>EXPR-定义边界</x:v>
      </x:c>
      <x:c r="E13" s="275" t="str">
        <x:v>通用</x:v>
      </x:c>
      <x:c r="F13" s="275" t="str">
        <x:v>模块边界</x:v>
      </x:c>
      <x:c r="G13" s="275" t="str">
        <x:v>M3-EXPR模块规则</x:v>
      </x:c>
      <x:c r="H13" s="275" t="str"/>
      <x:c r="I13" s="275" t="str">
        <x:v>已形成日常沟通方式候选。</x:v>
      </x:c>
      <x:c r="J13" s="275" t="str">
        <x:v>基础信号未定；真合化后原信号已失效；只有单一弱远争议信号。</x:v>
      </x:c>
      <x:c r="K13" s="275" t="str">
        <x:v>不限定；由共享基础引擎与M3-STATE修正</x:v>
      </x:c>
      <x:c r="L13" s="275" t="str">
        <x:v>不限定；M3-EXPR不以夫妻星为唯一主轴</x:v>
      </x:c>
      <x:c r="M13" s="275" t="str">
        <x:v>由M3-BASE、日支结构及共享引擎提供</x:v>
      </x:c>
      <x:c r="N13" s="275" t="str">
        <x:v>无／待表达路径规则组合</x:v>
      </x:c>
      <x:c r="O13" s="275" t="str">
        <x:v>全局有效信号；日柱及亲密关系近位优先</x:v>
      </x:c>
      <x:c r="P13" s="275" t="str">
        <x:v>由共享基础引擎判定</x:v>
      </x:c>
      <x:c r="Q13" s="275" t="str">
        <x:v>由共享基础引擎判定</x:v>
      </x:c>
      <x:c r="R13" s="275" t="str">
        <x:v>喜忌不直接等于会不会表达；只修正调用顺畅度与强度</x:v>
      </x:c>
      <x:c r="S13" s="275" t="str">
        <x:v>原十神性质有效；真合化成立时按化神路由</x:v>
      </x:c>
      <x:c r="T13" s="275" t="str">
        <x:v>由共享基础引擎判定</x:v>
      </x:c>
      <x:c r="U13" s="275" t="str">
        <x:v>91</x:v>
      </x:c>
      <x:c r="V13" s="275" t="str">
        <x:v>不加分；门控／路由</x:v>
      </x:c>
      <x:c r="W13" s="275" t="str">
        <x:v>boundary_note</x:v>
      </x:c>
      <x:c r="X13" s="275" t="str">
        <x:v>平稳状态下会说明、倾听或行动，不等于发生冲突时仍以同样顺序处理；冲突场景由M3-CONFLICT单独判断。</x:v>
      </x:c>
      <x:c r="Y13" s="275" t="str">
        <x:v>平时好沟通，不代表分歧时一定马上说；平时话少，也不代表冲突时不会直接处理。两种场景会分开分析。</x:v>
      </x:c>
      <x:c r="Z13" s="275" t="str">
        <x:v>不得由本规则推出人格诊断、感情结果、忠诚度、适配度或关系风险；不得把表达方式等同于爱得多少。</x:v>
      </x:c>
      <x:c r="AA13" s="275" t="str">
        <x:v>高</x:v>
      </x:c>
      <x:c r="AB13" s="275" t="str">
        <x:v>待验证</x:v>
      </x:c>
      <x:c r="AC13" s="275" t="str"/>
      <x:c r="AD13" s="275" t="str">
        <x:v>provisional=true; rule_group=DEFINITION_09</x:v>
      </x:c>
      <x:c r="AE13" s="276" t="str">
        <x:v>0.3</x:v>
      </x:c>
    </x:row>
    <x:row r="14">
      <x:c r="A14" s="273" t="str">
        <x:v>M3-EXPR-010</x:v>
      </x:c>
      <x:c r="B14" s="274" t="str">
        <x:v>M3-REPAIR边界｜沟通通道不等于修复成功</x:v>
      </x:c>
      <x:c r="C14" s="275" t="str">
        <x:v>L0 模型边界与证据</x:v>
      </x:c>
      <x:c r="D14" s="275" t="str">
        <x:v>EXPR-定义边界</x:v>
      </x:c>
      <x:c r="E14" s="275" t="str">
        <x:v>通用</x:v>
      </x:c>
      <x:c r="F14" s="275" t="str">
        <x:v>模块边界</x:v>
      </x:c>
      <x:c r="G14" s="275" t="str">
        <x:v>M3-EXPR模块规则</x:v>
      </x:c>
      <x:c r="H14" s="275" t="str"/>
      <x:c r="I14" s="275" t="str">
        <x:v>表达通道可为修复模块提供候选。</x:v>
      </x:c>
      <x:c r="J14" s="275" t="str">
        <x:v>基础信号未定；真合化后原信号已失效；只有单一弱远争议信号。</x:v>
      </x:c>
      <x:c r="K14" s="275" t="str">
        <x:v>不限定；由共享基础引擎与M3-STATE修正</x:v>
      </x:c>
      <x:c r="L14" s="275" t="str">
        <x:v>不限定；M3-EXPR不以夫妻星为唯一主轴</x:v>
      </x:c>
      <x:c r="M14" s="275" t="str">
        <x:v>由M3-BASE、日支结构及共享引擎提供</x:v>
      </x:c>
      <x:c r="N14" s="275" t="str">
        <x:v>无／待表达路径规则组合</x:v>
      </x:c>
      <x:c r="O14" s="275" t="str">
        <x:v>全局有效信号；日柱及亲密关系近位优先</x:v>
      </x:c>
      <x:c r="P14" s="275" t="str">
        <x:v>由共享基础引擎判定</x:v>
      </x:c>
      <x:c r="Q14" s="275" t="str">
        <x:v>由共享基础引擎判定</x:v>
      </x:c>
      <x:c r="R14" s="275" t="str">
        <x:v>喜忌不直接等于会不会表达；只修正调用顺畅度与强度</x:v>
      </x:c>
      <x:c r="S14" s="275" t="str">
        <x:v>原十神性质有效；真合化成立时按化神路由</x:v>
      </x:c>
      <x:c r="T14" s="275" t="str">
        <x:v>由共享基础引擎判定</x:v>
      </x:c>
      <x:c r="U14" s="275" t="str">
        <x:v>90</x:v>
      </x:c>
      <x:c r="V14" s="275" t="str">
        <x:v>不加分；门控／路由</x:v>
      </x:c>
      <x:c r="W14" s="275" t="str">
        <x:v>boundary_note</x:v>
      </x:c>
      <x:c r="X14" s="275" t="str">
        <x:v>倾听、解释、行动、承诺都只能作为潜在修复工具，不能在EXPR阶段推出关系能够修复或修复有效。</x:v>
      </x:c>
      <x:c r="Y14" s="275" t="str">
        <x:v>你常用的表达方式可能成为修复关系的工具，但能不能真正恢复联结，需要再看修复路径。</x:v>
      </x:c>
      <x:c r="Z14" s="275" t="str">
        <x:v>不得由本规则推出人格诊断、感情结果、忠诚度、适配度或关系风险；不得把表达方式等同于爱得多少。</x:v>
      </x:c>
      <x:c r="AA14" s="275" t="str">
        <x:v>高</x:v>
      </x:c>
      <x:c r="AB14" s="275" t="str">
        <x:v>待验证</x:v>
      </x:c>
      <x:c r="AC14" s="275" t="str"/>
      <x:c r="AD14" s="275" t="str">
        <x:v>provisional=true; rule_group=DEFINITION_10</x:v>
      </x:c>
      <x:c r="AE14" s="276" t="str">
        <x:v>0.3</x:v>
      </x:c>
    </x:row>
    <x:row r="15">
      <x:c r="A15" s="273" t="str">
        <x:v>M3-EXPR-011</x:v>
      </x:c>
      <x:c r="B15" s="274" t="str">
        <x:v>M3-STATE边界｜基线表达不等于压力表达</x:v>
      </x:c>
      <x:c r="C15" s="275" t="str">
        <x:v>L0 模型边界与证据</x:v>
      </x:c>
      <x:c r="D15" s="275" t="str">
        <x:v>EXPR-定义边界</x:v>
      </x:c>
      <x:c r="E15" s="275" t="str">
        <x:v>通用</x:v>
      </x:c>
      <x:c r="F15" s="275" t="str">
        <x:v>状态边界</x:v>
      </x:c>
      <x:c r="G15" s="275" t="str">
        <x:v>M3-EXPR模块规则</x:v>
      </x:c>
      <x:c r="H15" s="275" t="str"/>
      <x:c r="I15" s="275" t="str">
        <x:v>需要输出表达习惯，但压力状态尚未建模。</x:v>
      </x:c>
      <x:c r="J15" s="275" t="str">
        <x:v>基础信号未定；真合化后原信号已失效；只有单一弱远争议信号。</x:v>
      </x:c>
      <x:c r="K15" s="275" t="str">
        <x:v>不限定；由共享基础引擎与M3-STATE修正</x:v>
      </x:c>
      <x:c r="L15" s="275" t="str">
        <x:v>不限定；M3-EXPR不以夫妻星为唯一主轴</x:v>
      </x:c>
      <x:c r="M15" s="275" t="str">
        <x:v>由M3-BASE、日支结构及共享引擎提供</x:v>
      </x:c>
      <x:c r="N15" s="275" t="str">
        <x:v>无／待表达路径规则组合</x:v>
      </x:c>
      <x:c r="O15" s="275" t="str">
        <x:v>全局有效信号；日柱及亲密关系近位优先</x:v>
      </x:c>
      <x:c r="P15" s="275" t="str">
        <x:v>由共享基础引擎判定</x:v>
      </x:c>
      <x:c r="Q15" s="275" t="str">
        <x:v>由共享基础引擎判定</x:v>
      </x:c>
      <x:c r="R15" s="275" t="str">
        <x:v>喜忌不直接等于会不会表达；只修正调用顺畅度与强度</x:v>
      </x:c>
      <x:c r="S15" s="275" t="str">
        <x:v>原十神性质有效；真合化成立时按化神路由</x:v>
      </x:c>
      <x:c r="T15" s="275" t="str">
        <x:v>由共享基础引擎判定</x:v>
      </x:c>
      <x:c r="U15" s="275" t="str">
        <x:v>89</x:v>
      </x:c>
      <x:c r="V15" s="275" t="str">
        <x:v>不加分；门控／路由</x:v>
      </x:c>
      <x:c r="W15" s="275" t="str">
        <x:v>boundary_note</x:v>
      </x:c>
      <x:c r="X15" s="275" t="str">
        <x:v>EXPR优先描述平稳或一般关系情境；压力下的抢先通道、关闭通道和恢复通道由M3-STATE裁定。</x:v>
      </x:c>
      <x:c r="Y15" s="275" t="str">
        <x:v>这里先看你在一般相处中的表达习惯；压力增加时是否切换成另一种方式，会在状态模块里单独判断。</x:v>
      </x:c>
      <x:c r="Z15" s="275" t="str">
        <x:v>不得由本规则推出人格诊断、感情结果、忠诚度、适配度或关系风险；不得把表达方式等同于爱得多少。</x:v>
      </x:c>
      <x:c r="AA15" s="275" t="str">
        <x:v>高</x:v>
      </x:c>
      <x:c r="AB15" s="275" t="str">
        <x:v>待验证</x:v>
      </x:c>
      <x:c r="AC15" s="275" t="str"/>
      <x:c r="AD15" s="275" t="str">
        <x:v>provisional=true; rule_group=DEFINITION_11</x:v>
      </x:c>
      <x:c r="AE15" s="276" t="str">
        <x:v>0.3</x:v>
      </x:c>
    </x:row>
    <x:row r="16">
      <x:c r="A16" s="273" t="str">
        <x:v>M3-EXPR-012</x:v>
      </x:c>
      <x:c r="B16" s="274" t="str">
        <x:v>禁止心理诊断｜表达慢不等于回避</x:v>
      </x:c>
      <x:c r="C16" s="275" t="str">
        <x:v>L0 模型边界与证据</x:v>
      </x:c>
      <x:c r="D16" s="275" t="str">
        <x:v>EXPR-定义边界</x:v>
      </x:c>
      <x:c r="E16" s="275" t="str">
        <x:v>通用</x:v>
      </x:c>
      <x:c r="F16" s="275" t="str">
        <x:v>禁止推断</x:v>
      </x:c>
      <x:c r="G16" s="275" t="str">
        <x:v>M3-EXPR模块规则</x:v>
      </x:c>
      <x:c r="H16" s="275" t="str"/>
      <x:c r="I16" s="275" t="str">
        <x:v>出现先整理后表达、选择性表达或语言显性度较低。</x:v>
      </x:c>
      <x:c r="J16" s="275" t="str">
        <x:v>基础信号未定；真合化后原信号已失效；只有单一弱远争议信号。</x:v>
      </x:c>
      <x:c r="K16" s="275" t="str">
        <x:v>不限定；由共享基础引擎与M3-STATE修正</x:v>
      </x:c>
      <x:c r="L16" s="275" t="str">
        <x:v>不限定；M3-EXPR不以夫妻星为唯一主轴</x:v>
      </x:c>
      <x:c r="M16" s="275" t="str">
        <x:v>由M3-BASE、日支结构及共享引擎提供</x:v>
      </x:c>
      <x:c r="N16" s="275" t="str">
        <x:v>无／待表达路径规则组合</x:v>
      </x:c>
      <x:c r="O16" s="275" t="str">
        <x:v>全局有效信号；日柱及亲密关系近位优先</x:v>
      </x:c>
      <x:c r="P16" s="275" t="str">
        <x:v>由共享基础引擎判定</x:v>
      </x:c>
      <x:c r="Q16" s="275" t="str">
        <x:v>由共享基础引擎判定</x:v>
      </x:c>
      <x:c r="R16" s="275" t="str">
        <x:v>喜忌不直接等于会不会表达；只修正调用顺畅度与强度</x:v>
      </x:c>
      <x:c r="S16" s="275" t="str">
        <x:v>原十神性质有效；真合化成立时按化神路由</x:v>
      </x:c>
      <x:c r="T16" s="275" t="str">
        <x:v>由共享基础引擎判定</x:v>
      </x:c>
      <x:c r="U16" s="275" t="str">
        <x:v>88</x:v>
      </x:c>
      <x:c r="V16" s="275" t="str">
        <x:v>不加分；门控／路由</x:v>
      </x:c>
      <x:c r="W16" s="275" t="str">
        <x:v>boundary_note</x:v>
      </x:c>
      <x:c r="X16" s="275" t="str">
        <x:v>八字只能描述表达顺序和通道，不能据此诊断回避型依恋、情感障碍、沟通障碍或人格问题。</x:v>
      </x:c>
      <x:c r="Y16" s="275" t="str">
        <x:v>你可能需要更多时间整理，或更习惯通过行动表达；这不等于你没有情感，也不等于存在心理问题。</x:v>
      </x:c>
      <x:c r="Z16" s="275" t="str">
        <x:v>不得由本规则推出人格诊断、感情结果、忠诚度、适配度或关系风险；不得把表达方式等同于爱得多少。</x:v>
      </x:c>
      <x:c r="AA16" s="275" t="str">
        <x:v>高</x:v>
      </x:c>
      <x:c r="AB16" s="275" t="str">
        <x:v>待验证</x:v>
      </x:c>
      <x:c r="AC16" s="275" t="str"/>
      <x:c r="AD16" s="275" t="str">
        <x:v>provisional=true; rule_group=DEFINITION_12</x:v>
      </x:c>
      <x:c r="AE16" s="276" t="str">
        <x:v>0.3</x:v>
      </x:c>
    </x:row>
    <x:row r="17">
      <x:c r="A17" s="273" t="str">
        <x:v>M3-EXPR-013</x:v>
      </x:c>
      <x:c r="B17" s="274" t="str">
        <x:v>食伤弱门控｜不得写成不会表达</x:v>
      </x:c>
      <x:c r="C17" s="275" t="str">
        <x:v>L0 模型边界与证据</x:v>
      </x:c>
      <x:c r="D17" s="275" t="str">
        <x:v>EXPR-定义边界</x:v>
      </x:c>
      <x:c r="E17" s="275" t="str">
        <x:v>通用</x:v>
      </x:c>
      <x:c r="F17" s="275" t="str">
        <x:v>禁止推断</x:v>
      </x:c>
      <x:c r="G17" s="275" t="str">
        <x:v>M3-EXPR模块规则</x:v>
      </x:c>
      <x:c r="H17" s="275" t="str"/>
      <x:c r="I17" s="275" t="str">
        <x:v>食神、伤官信号弱、藏或未形成主通道。</x:v>
      </x:c>
      <x:c r="J17" s="275" t="str">
        <x:v>基础信号未定；真合化后原信号已失效；只有单一弱远争议信号。</x:v>
      </x:c>
      <x:c r="K17" s="275" t="str">
        <x:v>不限定；由共享基础引擎与M3-STATE修正</x:v>
      </x:c>
      <x:c r="L17" s="275" t="str">
        <x:v>不限定；M3-EXPR不以夫妻星为唯一主轴</x:v>
      </x:c>
      <x:c r="M17" s="275" t="str">
        <x:v>由M3-BASE、日支结构及共享引擎提供</x:v>
      </x:c>
      <x:c r="N17" s="275" t="str">
        <x:v>无／待表达路径规则组合</x:v>
      </x:c>
      <x:c r="O17" s="275" t="str">
        <x:v>全局有效信号；日柱及亲密关系近位优先</x:v>
      </x:c>
      <x:c r="P17" s="275" t="str">
        <x:v>由共享基础引擎判定</x:v>
      </x:c>
      <x:c r="Q17" s="275" t="str">
        <x:v>由共享基础引擎判定</x:v>
      </x:c>
      <x:c r="R17" s="275" t="str">
        <x:v>喜忌不直接等于会不会表达；只修正调用顺畅度与强度</x:v>
      </x:c>
      <x:c r="S17" s="275" t="str">
        <x:v>原十神性质有效；真合化成立时按化神路由</x:v>
      </x:c>
      <x:c r="T17" s="275" t="str">
        <x:v>由共享基础引擎判定</x:v>
      </x:c>
      <x:c r="U17" s="275" t="str">
        <x:v>87</x:v>
      </x:c>
      <x:c r="V17" s="275" t="str">
        <x:v>不加分；门控／路由</x:v>
      </x:c>
      <x:c r="W17" s="275" t="str">
        <x:v>boundary_note</x:v>
      </x:c>
      <x:c r="X17" s="275" t="str">
        <x:v>语言与情绪外显通道较弱时，应继续检查财、官杀、印、比劫等行动、责任、倾听和立场通道。</x:v>
      </x:c>
      <x:c r="Y17" s="275" t="str">
        <x:v>即使你不总是直接说出来，也可能通过做事、陪伴、承担、倾听或尊重对方来表达在意。</x:v>
      </x:c>
      <x:c r="Z17" s="275" t="str">
        <x:v>不得由本规则推出人格诊断、感情结果、忠诚度、适配度或关系风险；不得把表达方式等同于爱得多少。</x:v>
      </x:c>
      <x:c r="AA17" s="275" t="str">
        <x:v>高</x:v>
      </x:c>
      <x:c r="AB17" s="275" t="str">
        <x:v>待验证</x:v>
      </x:c>
      <x:c r="AC17" s="275" t="str"/>
      <x:c r="AD17" s="275" t="str">
        <x:v>provisional=true; rule_group=DEFINITION_13</x:v>
      </x:c>
      <x:c r="AE17" s="276" t="str">
        <x:v>0.3</x:v>
      </x:c>
    </x:row>
    <x:row r="18">
      <x:c r="A18" s="273" t="str">
        <x:v>M3-EXPR-014</x:v>
      </x:c>
      <x:c r="B18" s="274" t="str">
        <x:v>透干门控｜外显不等于所有情境都直说</x:v>
      </x:c>
      <x:c r="C18" s="275" t="str">
        <x:v>L0 模型边界与证据</x:v>
      </x:c>
      <x:c r="D18" s="275" t="str">
        <x:v>EXPR-定义边界</x:v>
      </x:c>
      <x:c r="E18" s="275" t="str">
        <x:v>通用</x:v>
      </x:c>
      <x:c r="F18" s="275" t="str">
        <x:v>禁止推断</x:v>
      </x:c>
      <x:c r="G18" s="275" t="str">
        <x:v>M3-EXPR模块规则</x:v>
      </x:c>
      <x:c r="H18" s="275" t="str"/>
      <x:c r="I18" s="275" t="str">
        <x:v>某表达十神透干。</x:v>
      </x:c>
      <x:c r="J18" s="275" t="str">
        <x:v>基础信号未定；真合化后原信号已失效；只有单一弱远争议信号。</x:v>
      </x:c>
      <x:c r="K18" s="275" t="str">
        <x:v>不限定；由共享基础引擎与M3-STATE修正</x:v>
      </x:c>
      <x:c r="L18" s="275" t="str">
        <x:v>不限定；M3-EXPR不以夫妻星为唯一主轴</x:v>
      </x:c>
      <x:c r="M18" s="275" t="str">
        <x:v>由M3-BASE、日支结构及共享引擎提供</x:v>
      </x:c>
      <x:c r="N18" s="275" t="str">
        <x:v>无／待表达路径规则组合</x:v>
      </x:c>
      <x:c r="O18" s="275" t="str">
        <x:v>全局有效信号；日柱及亲密关系近位优先</x:v>
      </x:c>
      <x:c r="P18" s="275" t="str">
        <x:v>由共享基础引擎判定</x:v>
      </x:c>
      <x:c r="Q18" s="275" t="str">
        <x:v>由共享基础引擎判定</x:v>
      </x:c>
      <x:c r="R18" s="275" t="str">
        <x:v>喜忌不直接等于会不会表达；只修正调用顺畅度与强度</x:v>
      </x:c>
      <x:c r="S18" s="275" t="str">
        <x:v>原十神性质有效；真合化成立时按化神路由</x:v>
      </x:c>
      <x:c r="T18" s="275" t="str">
        <x:v>由共享基础引擎判定</x:v>
      </x:c>
      <x:c r="U18" s="275" t="str">
        <x:v>86</x:v>
      </x:c>
      <x:c r="V18" s="275" t="str">
        <x:v>不加分；门控／路由</x:v>
      </x:c>
      <x:c r="W18" s="275" t="str">
        <x:v>boundary_note</x:v>
      </x:c>
      <x:c r="X18" s="275" t="str">
        <x:v>透干只提高可见度和可调用性；是否直接、完整和持续，还需根气、旺弱、位置、制化与关系情境支持。</x:v>
      </x:c>
      <x:c r="Y18" s="275" t="str">
        <x:v>某种表达方式比较容易被看见，但不代表你在任何人、任何场景下都会毫无保留地说出来。</x:v>
      </x:c>
      <x:c r="Z18" s="275" t="str">
        <x:v>不得由本规则推出人格诊断、感情结果、忠诚度、适配度或关系风险；不得把表达方式等同于爱得多少。</x:v>
      </x:c>
      <x:c r="AA18" s="275" t="str">
        <x:v>高</x:v>
      </x:c>
      <x:c r="AB18" s="275" t="str">
        <x:v>待验证</x:v>
      </x:c>
      <x:c r="AC18" s="275" t="str"/>
      <x:c r="AD18" s="275" t="str">
        <x:v>provisional=true; rule_group=DEFINITION_14</x:v>
      </x:c>
      <x:c r="AE18" s="276" t="str">
        <x:v>0.3</x:v>
      </x:c>
    </x:row>
    <x:row r="19">
      <x:c r="A19" s="273" t="str">
        <x:v>M3-EXPR-015</x:v>
      </x:c>
      <x:c r="B19" s="274" t="str">
        <x:v>同源去重总则｜一个事实只计一次基础权重</x:v>
      </x:c>
      <x:c r="C19" s="275" t="str">
        <x:v>L0 模型边界与证据</x:v>
      </x:c>
      <x:c r="D19" s="275" t="str">
        <x:v>EXPR-定义边界</x:v>
      </x:c>
      <x:c r="E19" s="275" t="str">
        <x:v>通用</x:v>
      </x:c>
      <x:c r="F19" s="275" t="str">
        <x:v>去重</x:v>
      </x:c>
      <x:c r="G19" s="275" t="str">
        <x:v>M3-EXPR模块规则</x:v>
      </x:c>
      <x:c r="H19" s="275" t="str"/>
      <x:c r="I19" s="275" t="str">
        <x:v>同一十神、同一藏干、同一透干根源或同一日支事实被多个规则读取。</x:v>
      </x:c>
      <x:c r="J19" s="275" t="str">
        <x:v>基础信号未定；真合化后原信号已失效；只有单一弱远争议信号。</x:v>
      </x:c>
      <x:c r="K19" s="275" t="str">
        <x:v>不限定；由共享基础引擎与M3-STATE修正</x:v>
      </x:c>
      <x:c r="L19" s="275" t="str">
        <x:v>不限定；M3-EXPR不以夫妻星为唯一主轴</x:v>
      </x:c>
      <x:c r="M19" s="275" t="str">
        <x:v>由M3-BASE、日支结构及共享引擎提供</x:v>
      </x:c>
      <x:c r="N19" s="275" t="str">
        <x:v>无／待表达路径规则组合</x:v>
      </x:c>
      <x:c r="O19" s="275" t="str">
        <x:v>全局有效信号；日柱及亲密关系近位优先</x:v>
      </x:c>
      <x:c r="P19" s="275" t="str">
        <x:v>由共享基础引擎判定</x:v>
      </x:c>
      <x:c r="Q19" s="275" t="str">
        <x:v>由共享基础引擎判定</x:v>
      </x:c>
      <x:c r="R19" s="275" t="str">
        <x:v>喜忌不直接等于会不会表达；只修正调用顺畅度与强度</x:v>
      </x:c>
      <x:c r="S19" s="275" t="str">
        <x:v>原十神性质有效；真合化成立时按化神路由</x:v>
      </x:c>
      <x:c r="T19" s="275" t="str">
        <x:v>由共享基础引擎判定</x:v>
      </x:c>
      <x:c r="U19" s="275" t="str">
        <x:v>85</x:v>
      </x:c>
      <x:c r="V19" s="275" t="str">
        <x:v>不加分；门控／路由</x:v>
      </x:c>
      <x:c r="W19" s="275" t="str">
        <x:v>boundary_note</x:v>
      </x:c>
      <x:c r="X19" s="275" t="str">
        <x:v>同一source_id可支持多个字段解释，但基础证据数量只计算一次，避免把一项命理事实误当多项独立验证。</x:v>
      </x:c>
      <x:c r="Y19" s="275" t="str">
        <x:v>同一个命理信号可以从不同角度解释你的表达，但不会因为被重复描述就被当成更多证据。</x:v>
      </x:c>
      <x:c r="Z19" s="275" t="str">
        <x:v>不得由本规则推出人格诊断、感情结果、忠诚度、适配度或关系风险；不得把表达方式等同于爱得多少。</x:v>
      </x:c>
      <x:c r="AA19" s="275" t="str">
        <x:v>高</x:v>
      </x:c>
      <x:c r="AB19" s="275" t="str">
        <x:v>待验证</x:v>
      </x:c>
      <x:c r="AC19" s="275" t="str"/>
      <x:c r="AD19" s="275" t="str">
        <x:v>provisional=true; rule_group=DEFINITION_15</x:v>
      </x:c>
      <x:c r="AE19" s="276" t="str">
        <x:v>0.3</x:v>
      </x:c>
    </x:row>
    <x:row r="20">
      <x:c r="A20" s="273" t="str">
        <x:v>M3-EXPR-016</x:v>
      </x:c>
      <x:c r="B20" s="274" t="str">
        <x:v>主表达通道数量上限｜正文只保留一个</x:v>
      </x:c>
      <x:c r="C20" s="275" t="str">
        <x:v>L0 模型边界与证据</x:v>
      </x:c>
      <x:c r="D20" s="275" t="str">
        <x:v>EXPR-定义边界</x:v>
      </x:c>
      <x:c r="E20" s="275" t="str">
        <x:v>通用</x:v>
      </x:c>
      <x:c r="F20" s="275" t="str">
        <x:v>输出门控</x:v>
      </x:c>
      <x:c r="G20" s="275" t="str">
        <x:v>M3-EXPR模块规则</x:v>
      </x:c>
      <x:c r="H20" s="275" t="str"/>
      <x:c r="I20" s="275" t="str">
        <x:v>多个表达通道同时获得候选分。</x:v>
      </x:c>
      <x:c r="J20" s="275" t="str">
        <x:v>基础信号未定；真合化后原信号已失效；只有单一弱远争议信号。</x:v>
      </x:c>
      <x:c r="K20" s="275" t="str">
        <x:v>不限定；由共享基础引擎与M3-STATE修正</x:v>
      </x:c>
      <x:c r="L20" s="275" t="str">
        <x:v>不限定；M3-EXPR不以夫妻星为唯一主轴</x:v>
      </x:c>
      <x:c r="M20" s="275" t="str">
        <x:v>由M3-BASE、日支结构及共享引擎提供</x:v>
      </x:c>
      <x:c r="N20" s="275" t="str">
        <x:v>无／待表达路径规则组合</x:v>
      </x:c>
      <x:c r="O20" s="275" t="str">
        <x:v>全局有效信号；日柱及亲密关系近位优先</x:v>
      </x:c>
      <x:c r="P20" s="275" t="str">
        <x:v>由共享基础引擎判定</x:v>
      </x:c>
      <x:c r="Q20" s="275" t="str">
        <x:v>由共享基础引擎判定</x:v>
      </x:c>
      <x:c r="R20" s="275" t="str">
        <x:v>喜忌不直接等于会不会表达；只修正调用顺畅度与强度</x:v>
      </x:c>
      <x:c r="S20" s="275" t="str">
        <x:v>原十神性质有效；真合化成立时按化神路由</x:v>
      </x:c>
      <x:c r="T20" s="275" t="str">
        <x:v>由共享基础引擎判定</x:v>
      </x:c>
      <x:c r="U20" s="275" t="str">
        <x:v>84</x:v>
      </x:c>
      <x:c r="V20" s="275" t="str">
        <x:v>不加分；门控／路由</x:v>
      </x:c>
      <x:c r="W20" s="275" t="str">
        <x:v>output_limit</x:v>
      </x:c>
      <x:c r="X20" s="275" t="str">
        <x:v>最终正文优先保留一个最能解释日常表达的主通道；其他信号按独立性降为次通道或证据日志。</x:v>
      </x:c>
      <x:c r="Y20" s="275" t="str">
        <x:v>最终会先抓住你最常使用的一种表达方式，避免把所有可能性都堆成没有辨识度的画像。</x:v>
      </x:c>
      <x:c r="Z20" s="275" t="str">
        <x:v>不得由本规则推出人格诊断、感情结果、忠诚度、适配度或关系风险；不得把表达方式等同于爱得多少。</x:v>
      </x:c>
      <x:c r="AA20" s="275" t="str">
        <x:v>高</x:v>
      </x:c>
      <x:c r="AB20" s="275" t="str">
        <x:v>待验证</x:v>
      </x:c>
      <x:c r="AC20" s="275" t="str"/>
      <x:c r="AD20" s="275" t="str">
        <x:v>provisional=true; rule_group=DEFINITION_16</x:v>
      </x:c>
      <x:c r="AE20" s="276" t="str">
        <x:v>0.3</x:v>
      </x:c>
    </x:row>
    <x:row r="21">
      <x:c r="A21" s="273" t="str">
        <x:v>M3-EXPR-017</x:v>
      </x:c>
      <x:c r="B21" s="274" t="str">
        <x:v>次表达通道数量上限｜正文最多一个</x:v>
      </x:c>
      <x:c r="C21" s="275" t="str">
        <x:v>L0 模型边界与证据</x:v>
      </x:c>
      <x:c r="D21" s="275" t="str">
        <x:v>EXPR-定义边界</x:v>
      </x:c>
      <x:c r="E21" s="275" t="str">
        <x:v>通用</x:v>
      </x:c>
      <x:c r="F21" s="275" t="str">
        <x:v>输出门控</x:v>
      </x:c>
      <x:c r="G21" s="275" t="str">
        <x:v>M3-EXPR模块规则</x:v>
      </x:c>
      <x:c r="H21" s="275" t="str"/>
      <x:c r="I21" s="275" t="str">
        <x:v>存在第二表达通道候选。</x:v>
      </x:c>
      <x:c r="J21" s="275" t="str">
        <x:v>基础信号未定；真合化后原信号已失效；只有单一弱远争议信号。</x:v>
      </x:c>
      <x:c r="K21" s="275" t="str">
        <x:v>不限定；由共享基础引擎与M3-STATE修正</x:v>
      </x:c>
      <x:c r="L21" s="275" t="str">
        <x:v>不限定；M3-EXPR不以夫妻星为唯一主轴</x:v>
      </x:c>
      <x:c r="M21" s="275" t="str">
        <x:v>由M3-BASE、日支结构及共享引擎提供</x:v>
      </x:c>
      <x:c r="N21" s="275" t="str">
        <x:v>无／待表达路径规则组合</x:v>
      </x:c>
      <x:c r="O21" s="275" t="str">
        <x:v>全局有效信号；日柱及亲密关系近位优先</x:v>
      </x:c>
      <x:c r="P21" s="275" t="str">
        <x:v>由共享基础引擎判定</x:v>
      </x:c>
      <x:c r="Q21" s="275" t="str">
        <x:v>由共享基础引擎判定</x:v>
      </x:c>
      <x:c r="R21" s="275" t="str">
        <x:v>喜忌不直接等于会不会表达；只修正调用顺畅度与强度</x:v>
      </x:c>
      <x:c r="S21" s="275" t="str">
        <x:v>原十神性质有效；真合化成立时按化神路由</x:v>
      </x:c>
      <x:c r="T21" s="275" t="str">
        <x:v>由共享基础引擎判定</x:v>
      </x:c>
      <x:c r="U21" s="275" t="str">
        <x:v>83</x:v>
      </x:c>
      <x:c r="V21" s="275" t="str">
        <x:v>不加分；门控／路由</x:v>
      </x:c>
      <x:c r="W21" s="275" t="str">
        <x:v>output_limit</x:v>
      </x:c>
      <x:c r="X21" s="275" t="str">
        <x:v>第二通道必须承担不同功能、来自独立证据，并达到最低阈值；否则并入主通道的风格说明。</x:v>
      </x:c>
      <x:c r="Y21" s="275" t="str">
        <x:v>除主要方式外，正文最多再保留一种真正有不同作用的补充表达方式。</x:v>
      </x:c>
      <x:c r="Z21" s="275" t="str">
        <x:v>不得由本规则推出人格诊断、感情结果、忠诚度、适配度或关系风险；不得把表达方式等同于爱得多少。</x:v>
      </x:c>
      <x:c r="AA21" s="275" t="str">
        <x:v>高</x:v>
      </x:c>
      <x:c r="AB21" s="275" t="str">
        <x:v>待验证</x:v>
      </x:c>
      <x:c r="AC21" s="275" t="str"/>
      <x:c r="AD21" s="275" t="str">
        <x:v>provisional=true; rule_group=DEFINITION_17</x:v>
      </x:c>
      <x:c r="AE21" s="276" t="str">
        <x:v>0.3</x:v>
      </x:c>
    </x:row>
    <x:row r="22">
      <x:c r="A22" s="273" t="str">
        <x:v>M3-EXPR-018</x:v>
      </x:c>
      <x:c r="B22" s="274" t="str">
        <x:v>EXPR只输出基线｜阶段信息单独记录</x:v>
      </x:c>
      <x:c r="C22" s="275" t="str">
        <x:v>L0 模型边界与证据</x:v>
      </x:c>
      <x:c r="D22" s="275" t="str">
        <x:v>EXPR-定义边界</x:v>
      </x:c>
      <x:c r="E22" s="275" t="str">
        <x:v>通用</x:v>
      </x:c>
      <x:c r="F22" s="275" t="str">
        <x:v>状态门控</x:v>
      </x:c>
      <x:c r="G22" s="275" t="str">
        <x:v>M3-EXPR模块规则</x:v>
      </x:c>
      <x:c r="H22" s="275" t="str"/>
      <x:c r="I22" s="275" t="str">
        <x:v>同时输入原局和大运流年信息。</x:v>
      </x:c>
      <x:c r="J22" s="275" t="str">
        <x:v>基础信号未定；真合化后原信号已失效；只有单一弱远争议信号。</x:v>
      </x:c>
      <x:c r="K22" s="275" t="str">
        <x:v>不限定；由共享基础引擎与M3-STATE修正</x:v>
      </x:c>
      <x:c r="L22" s="275" t="str">
        <x:v>不限定；M3-EXPR不以夫妻星为唯一主轴</x:v>
      </x:c>
      <x:c r="M22" s="275" t="str">
        <x:v>由M3-BASE、日支结构及共享引擎提供</x:v>
      </x:c>
      <x:c r="N22" s="275" t="str">
        <x:v>无／待表达路径规则组合</x:v>
      </x:c>
      <x:c r="O22" s="275" t="str">
        <x:v>全局有效信号；日柱及亲密关系近位优先</x:v>
      </x:c>
      <x:c r="P22" s="275" t="str">
        <x:v>由共享基础引擎判定</x:v>
      </x:c>
      <x:c r="Q22" s="275" t="str">
        <x:v>由共享基础引擎判定</x:v>
      </x:c>
      <x:c r="R22" s="275" t="str">
        <x:v>喜忌不直接等于会不会表达；只修正调用顺畅度与强度</x:v>
      </x:c>
      <x:c r="S22" s="275" t="str">
        <x:v>原十神性质有效；真合化成立时按化神路由</x:v>
      </x:c>
      <x:c r="T22" s="275" t="str">
        <x:v>由共享基础引擎判定</x:v>
      </x:c>
      <x:c r="U22" s="275" t="str">
        <x:v>82</x:v>
      </x:c>
      <x:c r="V22" s="275" t="str">
        <x:v>不加分；门控／路由</x:v>
      </x:c>
      <x:c r="W22" s="275" t="str">
        <x:v>boundary_note</x:v>
      </x:c>
      <x:c r="X22" s="275" t="str">
        <x:v>原局表达惯性与阶段性表达覆盖必须分层保存；阶段信号不能改写长期基线。</x:v>
      </x:c>
      <x:c r="Y22" s="275" t="str">
        <x:v>你长期的表达习惯和某一阶段暂时变得更直接、谨慎或行动化，会分开说明。</x:v>
      </x:c>
      <x:c r="Z22" s="275" t="str">
        <x:v>不得由本规则推出人格诊断、感情结果、忠诚度、适配度或关系风险；不得把表达方式等同于爱得多少。</x:v>
      </x:c>
      <x:c r="AA22" s="275" t="str">
        <x:v>中高</x:v>
      </x:c>
      <x:c r="AB22" s="275" t="str">
        <x:v>待验证</x:v>
      </x:c>
      <x:c r="AC22" s="275" t="str"/>
      <x:c r="AD22" s="275" t="str">
        <x:v>provisional=true; rule_group=DEFINITION_18</x:v>
      </x:c>
      <x:c r="AE22" s="276" t="str">
        <x:v>0.3</x:v>
      </x:c>
    </x:row>
    <x:row r="23">
      <x:c r="A23" s="273" t="str">
        <x:v>M3-EXPR-019</x:v>
      </x:c>
      <x:c r="B23" s="274" t="str">
        <x:v>用户语言规范｜行为化、过程化、中性化</x:v>
      </x:c>
      <x:c r="C23" s="275" t="str">
        <x:v>L0 模型边界与证据</x:v>
      </x:c>
      <x:c r="D23" s="275" t="str">
        <x:v>EXPR-定义边界</x:v>
      </x:c>
      <x:c r="E23" s="275" t="str">
        <x:v>通用</x:v>
      </x:c>
      <x:c r="F23" s="275" t="str">
        <x:v>输出规范</x:v>
      </x:c>
      <x:c r="G23" s="275" t="str">
        <x:v>M3-EXPR模块规则</x:v>
      </x:c>
      <x:c r="H23" s="275" t="str"/>
      <x:c r="I23" s="275" t="str">
        <x:v>生成用户可见文案。</x:v>
      </x:c>
      <x:c r="J23" s="275" t="str">
        <x:v>基础信号未定；真合化后原信号已失效；只有单一弱远争议信号。</x:v>
      </x:c>
      <x:c r="K23" s="275" t="str">
        <x:v>不限定；由共享基础引擎与M3-STATE修正</x:v>
      </x:c>
      <x:c r="L23" s="275" t="str">
        <x:v>不限定；M3-EXPR不以夫妻星为唯一主轴</x:v>
      </x:c>
      <x:c r="M23" s="275" t="str">
        <x:v>由M3-BASE、日支结构及共享引擎提供</x:v>
      </x:c>
      <x:c r="N23" s="275" t="str">
        <x:v>无／待表达路径规则组合</x:v>
      </x:c>
      <x:c r="O23" s="275" t="str">
        <x:v>全局有效信号；日柱及亲密关系近位优先</x:v>
      </x:c>
      <x:c r="P23" s="275" t="str">
        <x:v>由共享基础引擎判定</x:v>
      </x:c>
      <x:c r="Q23" s="275" t="str">
        <x:v>由共享基础引擎判定</x:v>
      </x:c>
      <x:c r="R23" s="275" t="str">
        <x:v>喜忌不直接等于会不会表达；只修正调用顺畅度与强度</x:v>
      </x:c>
      <x:c r="S23" s="275" t="str">
        <x:v>原十神性质有效；真合化成立时按化神路由</x:v>
      </x:c>
      <x:c r="T23" s="275" t="str">
        <x:v>由共享基础引擎判定</x:v>
      </x:c>
      <x:c r="U23" s="275" t="str">
        <x:v>81</x:v>
      </x:c>
      <x:c r="V23" s="275" t="str">
        <x:v>不加分；门控／路由</x:v>
      </x:c>
      <x:c r="W23" s="275" t="str">
        <x:v>boundary_note</x:v>
      </x:c>
      <x:c r="X23" s="275" t="str">
        <x:v>文案必须使用“更习惯、往往先、较容易、在某些条件下”等过程词，并写明可观察行为，避免人格标签。</x:v>
      </x:c>
      <x:c r="Y23" s="275" t="str">
        <x:v>报告会尽量说清你“通常先做什么、再做什么”，而不是给你贴一个固定性格标签。</x:v>
      </x:c>
      <x:c r="Z23" s="275" t="str">
        <x:v>不得由本规则推出人格诊断、感情结果、忠诚度、适配度或关系风险；不得把表达方式等同于爱得多少。</x:v>
      </x:c>
      <x:c r="AA23" s="275" t="str">
        <x:v>高</x:v>
      </x:c>
      <x:c r="AB23" s="275" t="str">
        <x:v>待验证</x:v>
      </x:c>
      <x:c r="AC23" s="275" t="str"/>
      <x:c r="AD23" s="275" t="str">
        <x:v>provisional=true; rule_group=DEFINITION_19</x:v>
      </x:c>
      <x:c r="AE23" s="276" t="str">
        <x:v>0.3</x:v>
      </x:c>
    </x:row>
    <x:row r="24">
      <x:c r="A24" s="273" t="str">
        <x:v>M3-EXPR-020</x:v>
      </x:c>
      <x:c r="B24" s="274" t="str">
        <x:v>发布状态｜全部规则待案例校准</x:v>
      </x:c>
      <x:c r="C24" s="275" t="str">
        <x:v>L0 模型边界与证据</x:v>
      </x:c>
      <x:c r="D24" s="275" t="str">
        <x:v>EXPR-定义边界</x:v>
      </x:c>
      <x:c r="E24" s="275" t="str">
        <x:v>通用</x:v>
      </x:c>
      <x:c r="F24" s="275" t="str">
        <x:v>版本门控</x:v>
      </x:c>
      <x:c r="G24" s="275" t="str">
        <x:v>M3-EXPR模块规则</x:v>
      </x:c>
      <x:c r="H24" s="275" t="str"/>
      <x:c r="I24" s="275" t="str">
        <x:v>M3-EXPR V0.3进入知识库。</x:v>
      </x:c>
      <x:c r="J24" s="275" t="str">
        <x:v>基础信号未定；真合化后原信号已失效；只有单一弱远争议信号。</x:v>
      </x:c>
      <x:c r="K24" s="275" t="str">
        <x:v>不限定；由共享基础引擎与M3-STATE修正</x:v>
      </x:c>
      <x:c r="L24" s="275" t="str">
        <x:v>不限定；M3-EXPR不以夫妻星为唯一主轴</x:v>
      </x:c>
      <x:c r="M24" s="275" t="str">
        <x:v>由M3-BASE、日支结构及共享引擎提供</x:v>
      </x:c>
      <x:c r="N24" s="275" t="str">
        <x:v>无／待表达路径规则组合</x:v>
      </x:c>
      <x:c r="O24" s="275" t="str">
        <x:v>全局有效信号；日柱及亲密关系近位优先</x:v>
      </x:c>
      <x:c r="P24" s="275" t="str">
        <x:v>由共享基础引擎判定</x:v>
      </x:c>
      <x:c r="Q24" s="275" t="str">
        <x:v>由共享基础引擎判定</x:v>
      </x:c>
      <x:c r="R24" s="275" t="str">
        <x:v>喜忌不直接等于会不会表达；只修正调用顺畅度与强度</x:v>
      </x:c>
      <x:c r="S24" s="275" t="str">
        <x:v>原十神性质有效；真合化成立时按化神路由</x:v>
      </x:c>
      <x:c r="T24" s="275" t="str">
        <x:v>由共享基础引擎判定</x:v>
      </x:c>
      <x:c r="U24" s="275" t="str">
        <x:v>80</x:v>
      </x:c>
      <x:c r="V24" s="275" t="str">
        <x:v>不加分；门控／路由</x:v>
      </x:c>
      <x:c r="W24" s="275" t="str">
        <x:v>report_status</x:v>
      </x:c>
      <x:c r="X24" s="275" t="str">
        <x:v>当前分值、阈值和规则关系均为知识工程初始参数，必须通过真实案例和伴侣反馈校准。</x:v>
      </x:c>
      <x:c r="Y24" s="275" t="str">
        <x:v>当前内容用于结构化分析和案例验证，不代表统计概率或科学测量结果。</x:v>
      </x:c>
      <x:c r="Z24" s="275" t="str">
        <x:v>不得由本规则推出人格诊断、感情结果、忠诚度、适配度或关系风险；不得把表达方式等同于爱得多少。</x:v>
      </x:c>
      <x:c r="AA24" s="275" t="str">
        <x:v>高</x:v>
      </x:c>
      <x:c r="AB24" s="275" t="str">
        <x:v>待验证</x:v>
      </x:c>
      <x:c r="AC24" s="275" t="str"/>
      <x:c r="AD24" s="275" t="str">
        <x:v>provisional=true; rule_group=DEFINITION_20</x:v>
      </x:c>
      <x:c r="AE24" s="276" t="str">
        <x:v>0.3</x:v>
      </x:c>
    </x:row>
    <x:row r="25">
      <x:c r="A25" s="273" t="str">
        <x:v>M3-EXPR-021</x:v>
      </x:c>
      <x:c r="B25" s="274" t="str">
        <x:v>比肩｜X01 平等陈述核心表达通道</x:v>
      </x:c>
      <x:c r="C25" s="275" t="str">
        <x:v>L1 主要表达通道</x:v>
      </x:c>
      <x:c r="D25" s="275" t="str">
        <x:v>EXPR-十神通道</x:v>
      </x:c>
      <x:c r="E25" s="275" t="str">
        <x:v>通用</x:v>
      </x:c>
      <x:c r="F25" s="275" t="str">
        <x:v>基础</x:v>
      </x:c>
      <x:c r="G25" s="275" t="str">
        <x:v>有效比肩表达信号／X01 平等陈述</x:v>
      </x:c>
      <x:c r="H25" s="275" t="str"/>
      <x:c r="I25" s="275" t="str">
        <x:v>比肩在M3中形成有效功能信号；至少由日支主／中气、亲密关系近位透干有根、独立流向或两类相互支持证据之一确认；原十神性质未被真合化替代。</x:v>
      </x:c>
      <x:c r="J25" s="275" t="str">
        <x:v>比肩仅为单一弱远、无根或争议信号；基础十神映射未定；真合化后原十神性质失效；仅由同一source_id重复支持。</x:v>
      </x:c>
      <x:c r="K25" s="275" t="str">
        <x:v>不限定；由共享基础引擎与M3-STATE修正</x:v>
      </x:c>
      <x:c r="L25" s="275" t="str">
        <x:v>不限定；M3-EXPR不以夫妻星为唯一主轴</x:v>
      </x:c>
      <x:c r="M25" s="275" t="str">
        <x:v>由M3-BASE、日支结构及共享引擎提供</x:v>
      </x:c>
      <x:c r="N25" s="275" t="str">
        <x:v>无／待表达路径规则组合</x:v>
      </x:c>
      <x:c r="O25" s="275" t="str">
        <x:v>全局有效信号；日柱及亲密关系近位优先</x:v>
      </x:c>
      <x:c r="P25" s="275" t="str">
        <x:v>由共享基础引擎判定</x:v>
      </x:c>
      <x:c r="Q25" s="275" t="str">
        <x:v>由共享基础引擎判定</x:v>
      </x:c>
      <x:c r="R25" s="275" t="str">
        <x:v>喜忌不直接等于会不会表达；只修正调用顺畅度与强度</x:v>
      </x:c>
      <x:c r="S25" s="275" t="str">
        <x:v>原十神性质有效；真合化成立时按化神路由</x:v>
      </x:c>
      <x:c r="T25" s="275" t="str">
        <x:v>由共享基础引擎判定</x:v>
      </x:c>
      <x:c r="U25" s="275" t="str">
        <x:v>94</x:v>
      </x:c>
      <x:c r="V25" s="275" t="str">
        <x:v>X01主通道 +22</x:v>
      </x:c>
      <x:c r="W25" s="275" t="str">
        <x:v>primary_expression_channel</x:v>
      </x:c>
      <x:c r="X25" s="275" t="str">
        <x:v>比肩属于SYS01 自我边界系统。在M3-EXPR中，其核心功能为：以第一人称、平等协商和边界清楚的方式说明想法，不喜欢让一方替另一方定义感受或做决定。该规则只确定主要表达通道候选，不单独锁定频率、压力表现和沟通结果。</x:v>
      </x:c>
      <x:c r="Y25" s="275" t="str">
        <x:v>你更习惯以第一人称、平等协商和边界清楚的方式说明想法，不喜欢让一方替另一方定义感受或做决定。</x:v>
      </x:c>
      <x:c r="Z25" s="275" t="str">
        <x:v>不得推出用户自私、强势、缺少共情、只顾自己或一定排斥依赖。 不得把该通道等同于感情深浅、沟通效果或关系结果。</x:v>
      </x:c>
      <x:c r="AA25" s="275" t="str">
        <x:v>中高</x:v>
      </x:c>
      <x:c r="AB25" s="275" t="str">
        <x:v>待验证</x:v>
      </x:c>
      <x:c r="AC25" s="275" t="str"/>
      <x:c r="AD25" s="275" t="str">
        <x:v>provisional=true; channel=X01; deity=比肩; facet=core</x:v>
      </x:c>
      <x:c r="AE25" s="276" t="str">
        <x:v>0.3</x:v>
      </x:c>
    </x:row>
    <x:row r="26">
      <x:c r="A26" s="273" t="str">
        <x:v>M3-EXPR-022</x:v>
      </x:c>
      <x:c r="B26" s="274" t="str">
        <x:v>比肩｜在意与喜欢的表达</x:v>
      </x:c>
      <x:c r="C26" s="275" t="str">
        <x:v>L2 情感表达</x:v>
      </x:c>
      <x:c r="D26" s="275" t="str">
        <x:v>EXPR-十神通道</x:v>
      </x:c>
      <x:c r="E26" s="275" t="str">
        <x:v>通用</x:v>
      </x:c>
      <x:c r="F26" s="275" t="str">
        <x:v>行为映射</x:v>
      </x:c>
      <x:c r="G26" s="275" t="str">
        <x:v>X01 平等陈述</x:v>
      </x:c>
      <x:c r="H26" s="275" t="str">
        <x:v>affection_expression</x:v>
      </x:c>
      <x:c r="I26" s="275" t="str">
        <x:v>比肩在M3中形成有效功能信号；至少由日支主／中气、亲密关系近位透干有根、独立流向或两类相互支持证据之一确认；原十神性质未被真合化替代。</x:v>
      </x:c>
      <x:c r="J26" s="275" t="str">
        <x:v>比肩仅为单一弱远、无根或争议信号；基础十神映射未定；真合化后原十神性质失效；仅由同一source_id重复支持。</x:v>
      </x:c>
      <x:c r="K26" s="275" t="str">
        <x:v>不限定；由共享基础引擎与M3-STATE修正</x:v>
      </x:c>
      <x:c r="L26" s="275" t="str">
        <x:v>不限定；M3-EXPR不以夫妻星为唯一主轴</x:v>
      </x:c>
      <x:c r="M26" s="275" t="str">
        <x:v>由M3-BASE、日支结构及共享引擎提供</x:v>
      </x:c>
      <x:c r="N26" s="275" t="str">
        <x:v>无／待表达路径规则组合</x:v>
      </x:c>
      <x:c r="O26" s="275" t="str">
        <x:v>全局有效信号；日柱及亲密关系近位优先</x:v>
      </x:c>
      <x:c r="P26" s="275" t="str">
        <x:v>由共享基础引擎判定</x:v>
      </x:c>
      <x:c r="Q26" s="275" t="str">
        <x:v>由共享基础引擎判定</x:v>
      </x:c>
      <x:c r="R26" s="275" t="str">
        <x:v>喜忌不直接等于会不会表达；只修正调用顺畅度与强度</x:v>
      </x:c>
      <x:c r="S26" s="275" t="str">
        <x:v>原十神性质有效；真合化成立时按化神路由</x:v>
      </x:c>
      <x:c r="T26" s="275" t="str">
        <x:v>由共享基础引擎判定</x:v>
      </x:c>
      <x:c r="U26" s="275" t="str">
        <x:v>86</x:v>
      </x:c>
      <x:c r="V26" s="275" t="str">
        <x:v>affection_expression +12</x:v>
      </x:c>
      <x:c r="W26" s="275" t="str">
        <x:v>affection_expression</x:v>
      </x:c>
      <x:c r="X26" s="275" t="str">
        <x:v>比肩通道在情感表达上的可观察形式为：通过尊重选择、并肩陪伴、把对方当作可以共同商量的伙伴来表达在意。是否高频、持续或被对方识别，仍需CARE、状态和案例反馈复核。</x:v>
      </x:c>
      <x:c r="Y26" s="275" t="str">
        <x:v>你往往会通过尊重选择、并肩陪伴、把对方当作可以共同商量的伙伴来表达在意。</x:v>
      </x:c>
      <x:c r="Z26" s="275" t="str">
        <x:v>不得推出用户自私、强势、缺少共情、只顾自己或一定排斥依赖。 不得据此定量判断谁付出更多，也不得推出对方一定能识别这份表达。</x:v>
      </x:c>
      <x:c r="AA26" s="275" t="str">
        <x:v>中</x:v>
      </x:c>
      <x:c r="AB26" s="275" t="str">
        <x:v>待验证</x:v>
      </x:c>
      <x:c r="AC26" s="275" t="str"/>
      <x:c r="AD26" s="275" t="str">
        <x:v>provisional=true; channel=X01; deity=比肩; facet=affection</x:v>
      </x:c>
      <x:c r="AE26" s="276" t="str">
        <x:v>0.3</x:v>
      </x:c>
    </x:row>
    <x:row r="27">
      <x:c r="A27" s="273" t="str">
        <x:v>M3-EXPR-023</x:v>
      </x:c>
      <x:c r="B27" s="274" t="str">
        <x:v>比肩｜情绪外化方式</x:v>
      </x:c>
      <x:c r="C27" s="275" t="str">
        <x:v>L3 情绪与需求表达</x:v>
      </x:c>
      <x:c r="D27" s="275" t="str">
        <x:v>EXPR-十神通道</x:v>
      </x:c>
      <x:c r="E27" s="275" t="str">
        <x:v>通用</x:v>
      </x:c>
      <x:c r="F27" s="275" t="str">
        <x:v>行为映射</x:v>
      </x:c>
      <x:c r="G27" s="275" t="str">
        <x:v>X01 平等陈述</x:v>
      </x:c>
      <x:c r="H27" s="275" t="str">
        <x:v>emotion_expression</x:v>
      </x:c>
      <x:c r="I27" s="275" t="str">
        <x:v>比肩在M3中形成有效功能信号；至少由日支主／中气、亲密关系近位透干有根、独立流向或两类相互支持证据之一确认；原十神性质未被真合化替代。</x:v>
      </x:c>
      <x:c r="J27" s="275" t="str">
        <x:v>比肩仅为单一弱远、无根或争议信号；基础十神映射未定；真合化后原十神性质失效；仅由同一source_id重复支持。</x:v>
      </x:c>
      <x:c r="K27" s="275" t="str">
        <x:v>不限定；由共享基础引擎与M3-STATE修正</x:v>
      </x:c>
      <x:c r="L27" s="275" t="str">
        <x:v>不限定；M3-EXPR不以夫妻星为唯一主轴</x:v>
      </x:c>
      <x:c r="M27" s="275" t="str">
        <x:v>由M3-BASE、日支结构及共享引擎提供</x:v>
      </x:c>
      <x:c r="N27" s="275" t="str">
        <x:v>无／待表达路径规则组合</x:v>
      </x:c>
      <x:c r="O27" s="275" t="str">
        <x:v>全局有效信号；日柱及亲密关系近位优先</x:v>
      </x:c>
      <x:c r="P27" s="275" t="str">
        <x:v>由共享基础引擎判定</x:v>
      </x:c>
      <x:c r="Q27" s="275" t="str">
        <x:v>由共享基础引擎判定</x:v>
      </x:c>
      <x:c r="R27" s="275" t="str">
        <x:v>喜忌不直接等于会不会表达；只修正调用顺畅度与强度</x:v>
      </x:c>
      <x:c r="S27" s="275" t="str">
        <x:v>原十神性质有效；真合化成立时按化神路由</x:v>
      </x:c>
      <x:c r="T27" s="275" t="str">
        <x:v>由共享基础引擎判定</x:v>
      </x:c>
      <x:c r="U27" s="275" t="str">
        <x:v>84</x:v>
      </x:c>
      <x:c r="V27" s="275" t="str">
        <x:v>emotion_expression +10</x:v>
      </x:c>
      <x:c r="W27" s="275" t="str">
        <x:v>emotion_expression</x:v>
      </x:c>
      <x:c r="X27" s="275" t="str">
        <x:v>比肩通道对情绪外化的修正为：愿意说明自己的真实感受和立场，但通常不需要用夸张、黏附或自我牺牲式语言证明亲密。该规则描述平稳和一般情境的时序，不直接推断冲突时表现。</x:v>
      </x:c>
      <x:c r="Y27" s="275" t="str">
        <x:v>当你有情绪时，通常更可能愿意说明自己的真实感受和立场，但通常不需要用夸张、黏附或自我牺牲式语言证明亲密。</x:v>
      </x:c>
      <x:c r="Z27" s="275" t="str">
        <x:v>不得推出用户自私、强势、缺少共情、只顾自己或一定排斥依赖。 不得把表达较慢、较简短或偏行动化解释为没有情绪或拒绝沟通。</x:v>
      </x:c>
      <x:c r="AA27" s="275" t="str">
        <x:v>中</x:v>
      </x:c>
      <x:c r="AB27" s="275" t="str">
        <x:v>待验证</x:v>
      </x:c>
      <x:c r="AC27" s="275" t="str"/>
      <x:c r="AD27" s="275" t="str">
        <x:v>provisional=true; channel=X01; deity=比肩; facet=emotion</x:v>
      </x:c>
      <x:c r="AE27" s="276" t="str">
        <x:v>0.3</x:v>
      </x:c>
    </x:row>
    <x:row r="28">
      <x:c r="A28" s="273" t="str">
        <x:v>M3-EXPR-024</x:v>
      </x:c>
      <x:c r="B28" s="274" t="str">
        <x:v>比肩｜需求与观点表达</x:v>
      </x:c>
      <x:c r="C28" s="275" t="str">
        <x:v>L3 情绪与需求表达</x:v>
      </x:c>
      <x:c r="D28" s="275" t="str">
        <x:v>EXPR-十神通道</x:v>
      </x:c>
      <x:c r="E28" s="275" t="str">
        <x:v>通用</x:v>
      </x:c>
      <x:c r="F28" s="275" t="str">
        <x:v>行为映射</x:v>
      </x:c>
      <x:c r="G28" s="275" t="str">
        <x:v>X01 平等陈述</x:v>
      </x:c>
      <x:c r="H28" s="275" t="str">
        <x:v>need_expression</x:v>
      </x:c>
      <x:c r="I28" s="275" t="str">
        <x:v>比肩在M3中形成有效功能信号；至少由日支主／中气、亲密关系近位透干有根、独立流向或两类相互支持证据之一确认；原十神性质未被真合化替代。</x:v>
      </x:c>
      <x:c r="J28" s="275" t="str">
        <x:v>比肩仅为单一弱远、无根或争议信号；基础十神映射未定；真合化后原十神性质失效；仅由同一source_id重复支持。</x:v>
      </x:c>
      <x:c r="K28" s="275" t="str">
        <x:v>不限定；由共享基础引擎与M3-STATE修正</x:v>
      </x:c>
      <x:c r="L28" s="275" t="str">
        <x:v>不限定；M3-EXPR不以夫妻星为唯一主轴</x:v>
      </x:c>
      <x:c r="M28" s="275" t="str">
        <x:v>由M3-BASE、日支结构及共享引擎提供</x:v>
      </x:c>
      <x:c r="N28" s="275" t="str">
        <x:v>无／待表达路径规则组合</x:v>
      </x:c>
      <x:c r="O28" s="275" t="str">
        <x:v>全局有效信号；日柱及亲密关系近位优先</x:v>
      </x:c>
      <x:c r="P28" s="275" t="str">
        <x:v>由共享基础引擎判定</x:v>
      </x:c>
      <x:c r="Q28" s="275" t="str">
        <x:v>由共享基础引擎判定</x:v>
      </x:c>
      <x:c r="R28" s="275" t="str">
        <x:v>喜忌不直接等于会不会表达；只修正调用顺畅度与强度</x:v>
      </x:c>
      <x:c r="S28" s="275" t="str">
        <x:v>原十神性质有效；真合化成立时按化神路由</x:v>
      </x:c>
      <x:c r="T28" s="275" t="str">
        <x:v>由共享基础引擎判定</x:v>
      </x:c>
      <x:c r="U28" s="275" t="str">
        <x:v>83</x:v>
      </x:c>
      <x:c r="V28" s="275" t="str">
        <x:v>need_expression +10</x:v>
      </x:c>
      <x:c r="W28" s="275" t="str">
        <x:v>need_expression／communication_style</x:v>
      </x:c>
      <x:c r="X28" s="275" t="str">
        <x:v>比肩通道在需求和观点表达上的常见形式为：倾向把需求说成可协商的条件，例如需要什么空间、怎样分工、哪些事情希望共同决定。能否长期执行这些条件由BOUND模块判断。</x:v>
      </x:c>
      <x:c r="Y28" s="275" t="str">
        <x:v>当你需要说明自己的需要或想法时，通常更倾向倾向把需求说成可协商的条件，例如需要什么空间、怎样分工、哪些事情希望共同决定。</x:v>
      </x:c>
      <x:c r="Z28" s="275" t="str">
        <x:v>不得推出用户自私、强势、缺少共情、只顾自己或一定排斥依赖。 不得把能说清条件等同于一定能执行边界，也不得把含蓄表达等同于让人猜。</x:v>
      </x:c>
      <x:c r="AA28" s="275" t="str">
        <x:v>中</x:v>
      </x:c>
      <x:c r="AB28" s="275" t="str">
        <x:v>待验证</x:v>
      </x:c>
      <x:c r="AC28" s="275" t="str"/>
      <x:c r="AD28" s="275" t="str">
        <x:v>provisional=true; channel=X01; deity=比肩; facet=need</x:v>
      </x:c>
      <x:c r="AE28" s="276" t="str">
        <x:v>0.3</x:v>
      </x:c>
    </x:row>
    <x:row r="29">
      <x:c r="A29" s="273" t="str">
        <x:v>M3-EXPR-025</x:v>
      </x:c>
      <x:c r="B29" s="274" t="str">
        <x:v>比肩｜接收与回应对方表达</x:v>
      </x:c>
      <x:c r="C29" s="275" t="str">
        <x:v>L4 沟通顺序与回应</x:v>
      </x:c>
      <x:c r="D29" s="275" t="str">
        <x:v>EXPR-十神通道</x:v>
      </x:c>
      <x:c r="E29" s="275" t="str">
        <x:v>通用</x:v>
      </x:c>
      <x:c r="F29" s="275" t="str">
        <x:v>回应映射</x:v>
      </x:c>
      <x:c r="G29" s="275" t="str">
        <x:v>X01 平等陈述</x:v>
      </x:c>
      <x:c r="H29" s="275" t="str">
        <x:v>response_style</x:v>
      </x:c>
      <x:c r="I29" s="275" t="str">
        <x:v>比肩在M3中形成有效功能信号；至少由日支主／中气、亲密关系近位透干有根、独立流向或两类相互支持证据之一确认；原十神性质未被真合化替代。</x:v>
      </x:c>
      <x:c r="J29" s="275" t="str">
        <x:v>比肩仅为单一弱远、无根或争议信号；基础十神映射未定；真合化后原十神性质失效；仅由同一source_id重复支持。</x:v>
      </x:c>
      <x:c r="K29" s="275" t="str">
        <x:v>不限定；由共享基础引擎与M3-STATE修正</x:v>
      </x:c>
      <x:c r="L29" s="275" t="str">
        <x:v>不限定；M3-EXPR不以夫妻星为唯一主轴</x:v>
      </x:c>
      <x:c r="M29" s="275" t="str">
        <x:v>由M3-BASE、日支结构及共享引擎提供</x:v>
      </x:c>
      <x:c r="N29" s="275" t="str">
        <x:v>无／待表达路径规则组合</x:v>
      </x:c>
      <x:c r="O29" s="275" t="str">
        <x:v>全局有效信号；日柱及亲密关系近位优先</x:v>
      </x:c>
      <x:c r="P29" s="275" t="str">
        <x:v>由共享基础引擎判定</x:v>
      </x:c>
      <x:c r="Q29" s="275" t="str">
        <x:v>由共享基础引擎判定</x:v>
      </x:c>
      <x:c r="R29" s="275" t="str">
        <x:v>喜忌不直接等于会不会表达；只修正调用顺畅度与强度</x:v>
      </x:c>
      <x:c r="S29" s="275" t="str">
        <x:v>原十神性质有效；真合化成立时按化神路由</x:v>
      </x:c>
      <x:c r="T29" s="275" t="str">
        <x:v>由共享基础引擎判定</x:v>
      </x:c>
      <x:c r="U29" s="275" t="str">
        <x:v>78</x:v>
      </x:c>
      <x:c r="V29" s="275" t="str">
        <x:v>response_style +8</x:v>
      </x:c>
      <x:c r="W29" s="275" t="str">
        <x:v>response_style</x:v>
      </x:c>
      <x:c r="X29" s="275" t="str">
        <x:v>比肩通道会影响用户更容易接收怎样的表达：更容易接收清楚、平等、不给自己贴标签，也不替自己做决定的表达。这里只描述接收偏好与回应入口，不评价对方表达是否正确。</x:v>
      </x:c>
      <x:c r="Y29" s="275" t="str">
        <x:v>你通常更容易回应这样的沟通：更容易接收清楚、平等、不给自己贴标签，也不替自己做决定的表达。</x:v>
      </x:c>
      <x:c r="Z29" s="275" t="str">
        <x:v>不得推出用户自私、强势、缺少共情、只顾自己或一定排斥依赖。 不得据此要求伴侣只能用单一方式沟通，也不得推出其他方式一定无效。</x:v>
      </x:c>
      <x:c r="AA29" s="275" t="str">
        <x:v>中低</x:v>
      </x:c>
      <x:c r="AB29" s="275" t="str">
        <x:v>待验证</x:v>
      </x:c>
      <x:c r="AC29" s="275" t="str"/>
      <x:c r="AD29" s="275" t="str">
        <x:v>provisional=true; channel=X01; deity=比肩; facet=response</x:v>
      </x:c>
      <x:c r="AE29" s="276" t="str">
        <x:v>0.3</x:v>
      </x:c>
    </x:row>
    <x:row r="30">
      <x:c r="A30" s="273" t="str">
        <x:v>M3-EXPR-026</x:v>
      </x:c>
      <x:c r="B30" s="274" t="str">
        <x:v>比肩｜平等陈述用户摘要</x:v>
      </x:c>
      <x:c r="C30" s="275" t="str">
        <x:v>L7 总合成与边界审查</x:v>
      </x:c>
      <x:c r="D30" s="275" t="str">
        <x:v>EXPR-十神通道</x:v>
      </x:c>
      <x:c r="E30" s="275" t="str">
        <x:v>通用</x:v>
      </x:c>
      <x:c r="F30" s="275" t="str">
        <x:v>输出</x:v>
      </x:c>
      <x:c r="G30" s="275" t="str">
        <x:v>X01 平等陈述</x:v>
      </x:c>
      <x:c r="H30" s="275" t="str"/>
      <x:c r="I30" s="275" t="str">
        <x:v>X01已进入主通道或有效次通道，且未被去重、停止或真合化替代。</x:v>
      </x:c>
      <x:c r="J30" s="275" t="str">
        <x:v>X01已被删除、降为仅内部候选或基础状态停止。</x:v>
      </x:c>
      <x:c r="K30" s="275" t="str">
        <x:v>不限定；由共享基础引擎与M3-STATE修正</x:v>
      </x:c>
      <x:c r="L30" s="275" t="str">
        <x:v>不限定；M3-EXPR不以夫妻星为唯一主轴</x:v>
      </x:c>
      <x:c r="M30" s="275" t="str">
        <x:v>由M3-BASE、日支结构及共享引擎提供</x:v>
      </x:c>
      <x:c r="N30" s="275" t="str">
        <x:v>无／待表达路径规则组合</x:v>
      </x:c>
      <x:c r="O30" s="275" t="str">
        <x:v>全局有效信号；日柱及亲密关系近位优先</x:v>
      </x:c>
      <x:c r="P30" s="275" t="str">
        <x:v>由共享基础引擎判定</x:v>
      </x:c>
      <x:c r="Q30" s="275" t="str">
        <x:v>由共享基础引擎判定</x:v>
      </x:c>
      <x:c r="R30" s="275" t="str">
        <x:v>喜忌不直接等于会不会表达；只修正调用顺畅度与强度</x:v>
      </x:c>
      <x:c r="S30" s="275" t="str">
        <x:v>原十神性质有效；真合化成立时按化神路由</x:v>
      </x:c>
      <x:c r="T30" s="275" t="str">
        <x:v>由共享基础引擎判定</x:v>
      </x:c>
      <x:c r="U30" s="275" t="str">
        <x:v>66</x:v>
      </x:c>
      <x:c r="V30" s="275" t="str">
        <x:v>不加分</x:v>
      </x:c>
      <x:c r="W30" s="275" t="str">
        <x:v>basis_summary</x:v>
      </x:c>
      <x:c r="X30" s="275" t="str">
        <x:v>生成比肩表达通道的折叠依据：核心为以第一人称、平等协商和边界清楚的方式说明想法，不喜欢让一方替另一方定义感受或做决定。并保留正偏风格，而不把十神名称直接展示为人格标签。</x:v>
      </x:c>
      <x:c r="Y30" s="275" t="str">
        <x:v>从传统八字取象看，你的表达方式更接近“平等陈述”：以第一人称、平等协商和边界清楚的方式说明想法，不喜欢让一方替另一方定义感受或做决定。</x:v>
      </x:c>
      <x:c r="Z30" s="275" t="str">
        <x:v>不得推出用户自私、强势、缺少共情、只顾自己或一定排斥依赖。 折叠依据只用于解释，不得在正文堆叠十神术语。</x:v>
      </x:c>
      <x:c r="AA30" s="275" t="str">
        <x:v>中</x:v>
      </x:c>
      <x:c r="AB30" s="275" t="str">
        <x:v>待验证</x:v>
      </x:c>
      <x:c r="AC30" s="275" t="str"/>
      <x:c r="AD30" s="275" t="str">
        <x:v>provisional=true; channel=X01; deity=比肩; facet=summary</x:v>
      </x:c>
      <x:c r="AE30" s="276" t="str">
        <x:v>0.3</x:v>
      </x:c>
    </x:row>
    <x:row r="31">
      <x:c r="A31" s="273" t="str">
        <x:v>M3-EXPR-027</x:v>
      </x:c>
      <x:c r="B31" s="274" t="str">
        <x:v>劫财｜X02 即时互动核心表达通道</x:v>
      </x:c>
      <x:c r="C31" s="275" t="str">
        <x:v>L1 主要表达通道</x:v>
      </x:c>
      <x:c r="D31" s="275" t="str">
        <x:v>EXPR-十神通道</x:v>
      </x:c>
      <x:c r="E31" s="275" t="str">
        <x:v>通用</x:v>
      </x:c>
      <x:c r="F31" s="275" t="str">
        <x:v>基础</x:v>
      </x:c>
      <x:c r="G31" s="275" t="str">
        <x:v>有效劫财表达信号／X02 即时互动</x:v>
      </x:c>
      <x:c r="H31" s="275" t="str"/>
      <x:c r="I31" s="275" t="str">
        <x:v>劫财在M3中形成有效功能信号；至少由日支主／中气、亲密关系近位透干有根、独立流向或两类相互支持证据之一确认；原十神性质未被真合化替代。</x:v>
      </x:c>
      <x:c r="J31" s="275" t="str">
        <x:v>劫财仅为单一弱远、无根或争议信号；基础十神映射未定；真合化后原十神性质失效；仅由同一source_id重复支持。</x:v>
      </x:c>
      <x:c r="K31" s="275" t="str">
        <x:v>不限定；由共享基础引擎与M3-STATE修正</x:v>
      </x:c>
      <x:c r="L31" s="275" t="str">
        <x:v>不限定；M3-EXPR不以夫妻星为唯一主轴</x:v>
      </x:c>
      <x:c r="M31" s="275" t="str">
        <x:v>由M3-BASE、日支结构及共享引擎提供</x:v>
      </x:c>
      <x:c r="N31" s="275" t="str">
        <x:v>无／待表达路径规则组合</x:v>
      </x:c>
      <x:c r="O31" s="275" t="str">
        <x:v>全局有效信号；日柱及亲密关系近位优先</x:v>
      </x:c>
      <x:c r="P31" s="275" t="str">
        <x:v>由共享基础引擎判定</x:v>
      </x:c>
      <x:c r="Q31" s="275" t="str">
        <x:v>由共享基础引擎判定</x:v>
      </x:c>
      <x:c r="R31" s="275" t="str">
        <x:v>喜忌不直接等于会不会表达；只修正调用顺畅度与强度</x:v>
      </x:c>
      <x:c r="S31" s="275" t="str">
        <x:v>原十神性质有效；真合化成立时按化神路由</x:v>
      </x:c>
      <x:c r="T31" s="275" t="str">
        <x:v>由共享基础引擎判定</x:v>
      </x:c>
      <x:c r="U31" s="275" t="str">
        <x:v>94</x:v>
      </x:c>
      <x:c r="V31" s="275" t="str">
        <x:v>X02主通道 +22</x:v>
      </x:c>
      <x:c r="W31" s="275" t="str">
        <x:v>primary_expression_channel</x:v>
      </x:c>
      <x:c r="X31" s="275" t="str">
        <x:v>劫财属于SYS01 自我边界系统。在M3-EXPR中，其核心功能为：通过快速回应、共同参与和边做边沟通让关系保持活力，表达往往带有明显的现场感。该规则只确定主要表达通道候选，不单独锁定频率、压力表现和沟通结果。</x:v>
      </x:c>
      <x:c r="Y31" s="275" t="str">
        <x:v>你更习惯通过快速回应、共同参与和边做边沟通让关系保持活力，表达往往带有明显的现场感。</x:v>
      </x:c>
      <x:c r="Z31" s="275" t="str">
        <x:v>不得推出用户冲动、争抢、爱竞争、容易出现第三者或一定喜欢控制节奏。 不得把该通道等同于感情深浅、沟通效果或关系结果。</x:v>
      </x:c>
      <x:c r="AA31" s="275" t="str">
        <x:v>中高</x:v>
      </x:c>
      <x:c r="AB31" s="275" t="str">
        <x:v>待验证</x:v>
      </x:c>
      <x:c r="AC31" s="275" t="str"/>
      <x:c r="AD31" s="275" t="str">
        <x:v>provisional=true; channel=X02; deity=劫财; facet=core</x:v>
      </x:c>
      <x:c r="AE31" s="276" t="str">
        <x:v>0.3</x:v>
      </x:c>
    </x:row>
    <x:row r="32">
      <x:c r="A32" s="273" t="str">
        <x:v>M3-EXPR-028</x:v>
      </x:c>
      <x:c r="B32" s="274" t="str">
        <x:v>劫财｜在意与喜欢的表达</x:v>
      </x:c>
      <x:c r="C32" s="275" t="str">
        <x:v>L2 情感表达</x:v>
      </x:c>
      <x:c r="D32" s="275" t="str">
        <x:v>EXPR-十神通道</x:v>
      </x:c>
      <x:c r="E32" s="275" t="str">
        <x:v>通用</x:v>
      </x:c>
      <x:c r="F32" s="275" t="str">
        <x:v>行为映射</x:v>
      </x:c>
      <x:c r="G32" s="275" t="str">
        <x:v>X02 即时互动</x:v>
      </x:c>
      <x:c r="H32" s="275" t="str">
        <x:v>affection_expression</x:v>
      </x:c>
      <x:c r="I32" s="275" t="str">
        <x:v>劫财在M3中形成有效功能信号；至少由日支主／中气、亲密关系近位透干有根、独立流向或两类相互支持证据之一确认；原十神性质未被真合化替代。</x:v>
      </x:c>
      <x:c r="J32" s="275" t="str">
        <x:v>劫财仅为单一弱远、无根或争议信号；基础十神映射未定；真合化后原十神性质失效；仅由同一source_id重复支持。</x:v>
      </x:c>
      <x:c r="K32" s="275" t="str">
        <x:v>不限定；由共享基础引擎与M3-STATE修正</x:v>
      </x:c>
      <x:c r="L32" s="275" t="str">
        <x:v>不限定；M3-EXPR不以夫妻星为唯一主轴</x:v>
      </x:c>
      <x:c r="M32" s="275" t="str">
        <x:v>由M3-BASE、日支结构及共享引擎提供</x:v>
      </x:c>
      <x:c r="N32" s="275" t="str">
        <x:v>无／待表达路径规则组合</x:v>
      </x:c>
      <x:c r="O32" s="275" t="str">
        <x:v>全局有效信号；日柱及亲密关系近位优先</x:v>
      </x:c>
      <x:c r="P32" s="275" t="str">
        <x:v>由共享基础引擎判定</x:v>
      </x:c>
      <x:c r="Q32" s="275" t="str">
        <x:v>由共享基础引擎判定</x:v>
      </x:c>
      <x:c r="R32" s="275" t="str">
        <x:v>喜忌不直接等于会不会表达；只修正调用顺畅度与强度</x:v>
      </x:c>
      <x:c r="S32" s="275" t="str">
        <x:v>原十神性质有效；真合化成立时按化神路由</x:v>
      </x:c>
      <x:c r="T32" s="275" t="str">
        <x:v>由共享基础引擎判定</x:v>
      </x:c>
      <x:c r="U32" s="275" t="str">
        <x:v>86</x:v>
      </x:c>
      <x:c r="V32" s="275" t="str">
        <x:v>affection_expression +12</x:v>
      </x:c>
      <x:c r="W32" s="275" t="str">
        <x:v>affection_expression</x:v>
      </x:c>
      <x:c r="X32" s="275" t="str">
        <x:v>劫财通道在情感表达上的可观察形式为：通过加入对方的事情、主动邀约、一起行动或及时站到对方身边来表达在意。是否高频、持续或被对方识别，仍需CARE、状态和案例反馈复核。</x:v>
      </x:c>
      <x:c r="Y32" s="275" t="str">
        <x:v>你往往会通过加入对方的事情、主动邀约、一起行动或及时站到对方身边来表达在意。</x:v>
      </x:c>
      <x:c r="Z32" s="275" t="str">
        <x:v>不得推出用户冲动、争抢、爱竞争、容易出现第三者或一定喜欢控制节奏。 不得据此定量判断谁付出更多，也不得推出对方一定能识别这份表达。</x:v>
      </x:c>
      <x:c r="AA32" s="275" t="str">
        <x:v>中</x:v>
      </x:c>
      <x:c r="AB32" s="275" t="str">
        <x:v>待验证</x:v>
      </x:c>
      <x:c r="AC32" s="275" t="str"/>
      <x:c r="AD32" s="275" t="str">
        <x:v>provisional=true; channel=X02; deity=劫财; facet=affection</x:v>
      </x:c>
      <x:c r="AE32" s="276" t="str">
        <x:v>0.3</x:v>
      </x:c>
    </x:row>
    <x:row r="33">
      <x:c r="A33" s="273" t="str">
        <x:v>M3-EXPR-029</x:v>
      </x:c>
      <x:c r="B33" s="274" t="str">
        <x:v>劫财｜情绪外化方式</x:v>
      </x:c>
      <x:c r="C33" s="275" t="str">
        <x:v>L3 情绪与需求表达</x:v>
      </x:c>
      <x:c r="D33" s="275" t="str">
        <x:v>EXPR-十神通道</x:v>
      </x:c>
      <x:c r="E33" s="275" t="str">
        <x:v>通用</x:v>
      </x:c>
      <x:c r="F33" s="275" t="str">
        <x:v>行为映射</x:v>
      </x:c>
      <x:c r="G33" s="275" t="str">
        <x:v>X02 即时互动</x:v>
      </x:c>
      <x:c r="H33" s="275" t="str">
        <x:v>emotion_expression</x:v>
      </x:c>
      <x:c r="I33" s="275" t="str">
        <x:v>劫财在M3中形成有效功能信号；至少由日支主／中气、亲密关系近位透干有根、独立流向或两类相互支持证据之一确认；原十神性质未被真合化替代。</x:v>
      </x:c>
      <x:c r="J33" s="275" t="str">
        <x:v>劫财仅为单一弱远、无根或争议信号；基础十神映射未定；真合化后原十神性质失效；仅由同一source_id重复支持。</x:v>
      </x:c>
      <x:c r="K33" s="275" t="str">
        <x:v>不限定；由共享基础引擎与M3-STATE修正</x:v>
      </x:c>
      <x:c r="L33" s="275" t="str">
        <x:v>不限定；M3-EXPR不以夫妻星为唯一主轴</x:v>
      </x:c>
      <x:c r="M33" s="275" t="str">
        <x:v>由M3-BASE、日支结构及共享引擎提供</x:v>
      </x:c>
      <x:c r="N33" s="275" t="str">
        <x:v>无／待表达路径规则组合</x:v>
      </x:c>
      <x:c r="O33" s="275" t="str">
        <x:v>全局有效信号；日柱及亲密关系近位优先</x:v>
      </x:c>
      <x:c r="P33" s="275" t="str">
        <x:v>由共享基础引擎判定</x:v>
      </x:c>
      <x:c r="Q33" s="275" t="str">
        <x:v>由共享基础引擎判定</x:v>
      </x:c>
      <x:c r="R33" s="275" t="str">
        <x:v>喜忌不直接等于会不会表达；只修正调用顺畅度与强度</x:v>
      </x:c>
      <x:c r="S33" s="275" t="str">
        <x:v>原十神性质有效；真合化成立时按化神路由</x:v>
      </x:c>
      <x:c r="T33" s="275" t="str">
        <x:v>由共享基础引擎判定</x:v>
      </x:c>
      <x:c r="U33" s="275" t="str">
        <x:v>84</x:v>
      </x:c>
      <x:c r="V33" s="275" t="str">
        <x:v>emotion_expression +10</x:v>
      </x:c>
      <x:c r="W33" s="275" t="str">
        <x:v>emotion_expression</x:v>
      </x:c>
      <x:c r="X33" s="275" t="str">
        <x:v>劫财通道对情绪外化的修正为：情绪更容易在互动中被带出来，可能先通过语气、行动和即时反馈表现，再逐渐说清。该规则描述平稳和一般情境的时序，不直接推断冲突时表现。</x:v>
      </x:c>
      <x:c r="Y33" s="275" t="str">
        <x:v>当你有情绪时，通常更可能情绪更容易在互动中被带出来，可能先通过语气、行动和即时反馈表现，再逐渐说清。</x:v>
      </x:c>
      <x:c r="Z33" s="275" t="str">
        <x:v>不得推出用户冲动、争抢、爱竞争、容易出现第三者或一定喜欢控制节奏。 不得把表达较慢、较简短或偏行动化解释为没有情绪或拒绝沟通。</x:v>
      </x:c>
      <x:c r="AA33" s="275" t="str">
        <x:v>中</x:v>
      </x:c>
      <x:c r="AB33" s="275" t="str">
        <x:v>待验证</x:v>
      </x:c>
      <x:c r="AC33" s="275" t="str"/>
      <x:c r="AD33" s="275" t="str">
        <x:v>provisional=true; channel=X02; deity=劫财; facet=emotion</x:v>
      </x:c>
      <x:c r="AE33" s="276" t="str">
        <x:v>0.3</x:v>
      </x:c>
    </x:row>
    <x:row r="34">
      <x:c r="A34" s="273" t="str">
        <x:v>M3-EXPR-030</x:v>
      </x:c>
      <x:c r="B34" s="274" t="str">
        <x:v>劫财｜需求与观点表达</x:v>
      </x:c>
      <x:c r="C34" s="275" t="str">
        <x:v>L3 情绪与需求表达</x:v>
      </x:c>
      <x:c r="D34" s="275" t="str">
        <x:v>EXPR-十神通道</x:v>
      </x:c>
      <x:c r="E34" s="275" t="str">
        <x:v>通用</x:v>
      </x:c>
      <x:c r="F34" s="275" t="str">
        <x:v>行为映射</x:v>
      </x:c>
      <x:c r="G34" s="275" t="str">
        <x:v>X02 即时互动</x:v>
      </x:c>
      <x:c r="H34" s="275" t="str">
        <x:v>need_expression</x:v>
      </x:c>
      <x:c r="I34" s="275" t="str">
        <x:v>劫财在M3中形成有效功能信号；至少由日支主／中气、亲密关系近位透干有根、独立流向或两类相互支持证据之一确认；原十神性质未被真合化替代。</x:v>
      </x:c>
      <x:c r="J34" s="275" t="str">
        <x:v>劫财仅为单一弱远、无根或争议信号；基础十神映射未定；真合化后原十神性质失效；仅由同一source_id重复支持。</x:v>
      </x:c>
      <x:c r="K34" s="275" t="str">
        <x:v>不限定；由共享基础引擎与M3-STATE修正</x:v>
      </x:c>
      <x:c r="L34" s="275" t="str">
        <x:v>不限定；M3-EXPR不以夫妻星为唯一主轴</x:v>
      </x:c>
      <x:c r="M34" s="275" t="str">
        <x:v>由M3-BASE、日支结构及共享引擎提供</x:v>
      </x:c>
      <x:c r="N34" s="275" t="str">
        <x:v>无／待表达路径规则组合</x:v>
      </x:c>
      <x:c r="O34" s="275" t="str">
        <x:v>全局有效信号；日柱及亲密关系近位优先</x:v>
      </x:c>
      <x:c r="P34" s="275" t="str">
        <x:v>由共享基础引擎判定</x:v>
      </x:c>
      <x:c r="Q34" s="275" t="str">
        <x:v>由共享基础引擎判定</x:v>
      </x:c>
      <x:c r="R34" s="275" t="str">
        <x:v>喜忌不直接等于会不会表达；只修正调用顺畅度与强度</x:v>
      </x:c>
      <x:c r="S34" s="275" t="str">
        <x:v>原十神性质有效；真合化成立时按化神路由</x:v>
      </x:c>
      <x:c r="T34" s="275" t="str">
        <x:v>由共享基础引擎判定</x:v>
      </x:c>
      <x:c r="U34" s="275" t="str">
        <x:v>83</x:v>
      </x:c>
      <x:c r="V34" s="275" t="str">
        <x:v>need_expression +10</x:v>
      </x:c>
      <x:c r="W34" s="275" t="str">
        <x:v>need_expression／communication_style</x:v>
      </x:c>
      <x:c r="X34" s="275" t="str">
        <x:v>劫财通道在需求和观点表达上的常见形式为：倾向用提议、邀请、共同计划或直接推动来表达需求，希望对方给出即时回应。能否长期执行这些条件由BOUND模块判断。</x:v>
      </x:c>
      <x:c r="Y34" s="275" t="str">
        <x:v>当你需要说明自己的需要或想法时，通常更倾向倾向用提议、邀请、共同计划或直接推动来表达需求，希望对方给出即时回应。</x:v>
      </x:c>
      <x:c r="Z34" s="275" t="str">
        <x:v>不得推出用户冲动、争抢、爱竞争、容易出现第三者或一定喜欢控制节奏。 不得把能说清条件等同于一定能执行边界，也不得把含蓄表达等同于让人猜。</x:v>
      </x:c>
      <x:c r="AA34" s="275" t="str">
        <x:v>中</x:v>
      </x:c>
      <x:c r="AB34" s="275" t="str">
        <x:v>待验证</x:v>
      </x:c>
      <x:c r="AC34" s="275" t="str"/>
      <x:c r="AD34" s="275" t="str">
        <x:v>provisional=true; channel=X02; deity=劫财; facet=need</x:v>
      </x:c>
      <x:c r="AE34" s="276" t="str">
        <x:v>0.3</x:v>
      </x:c>
    </x:row>
    <x:row r="35">
      <x:c r="A35" s="273" t="str">
        <x:v>M3-EXPR-031</x:v>
      </x:c>
      <x:c r="B35" s="274" t="str">
        <x:v>劫财｜接收与回应对方表达</x:v>
      </x:c>
      <x:c r="C35" s="275" t="str">
        <x:v>L4 沟通顺序与回应</x:v>
      </x:c>
      <x:c r="D35" s="275" t="str">
        <x:v>EXPR-十神通道</x:v>
      </x:c>
      <x:c r="E35" s="275" t="str">
        <x:v>通用</x:v>
      </x:c>
      <x:c r="F35" s="275" t="str">
        <x:v>回应映射</x:v>
      </x:c>
      <x:c r="G35" s="275" t="str">
        <x:v>X02 即时互动</x:v>
      </x:c>
      <x:c r="H35" s="275" t="str">
        <x:v>response_style</x:v>
      </x:c>
      <x:c r="I35" s="275" t="str">
        <x:v>劫财在M3中形成有效功能信号；至少由日支主／中气、亲密关系近位透干有根、独立流向或两类相互支持证据之一确认；原十神性质未被真合化替代。</x:v>
      </x:c>
      <x:c r="J35" s="275" t="str">
        <x:v>劫财仅为单一弱远、无根或争议信号；基础十神映射未定；真合化后原十神性质失效；仅由同一source_id重复支持。</x:v>
      </x:c>
      <x:c r="K35" s="275" t="str">
        <x:v>不限定；由共享基础引擎与M3-STATE修正</x:v>
      </x:c>
      <x:c r="L35" s="275" t="str">
        <x:v>不限定；M3-EXPR不以夫妻星为唯一主轴</x:v>
      </x:c>
      <x:c r="M35" s="275" t="str">
        <x:v>由M3-BASE、日支结构及共享引擎提供</x:v>
      </x:c>
      <x:c r="N35" s="275" t="str">
        <x:v>无／待表达路径规则组合</x:v>
      </x:c>
      <x:c r="O35" s="275" t="str">
        <x:v>全局有效信号；日柱及亲密关系近位优先</x:v>
      </x:c>
      <x:c r="P35" s="275" t="str">
        <x:v>由共享基础引擎判定</x:v>
      </x:c>
      <x:c r="Q35" s="275" t="str">
        <x:v>由共享基础引擎判定</x:v>
      </x:c>
      <x:c r="R35" s="275" t="str">
        <x:v>喜忌不直接等于会不会表达；只修正调用顺畅度与强度</x:v>
      </x:c>
      <x:c r="S35" s="275" t="str">
        <x:v>原十神性质有效；真合化成立时按化神路由</x:v>
      </x:c>
      <x:c r="T35" s="275" t="str">
        <x:v>由共享基础引擎判定</x:v>
      </x:c>
      <x:c r="U35" s="275" t="str">
        <x:v>78</x:v>
      </x:c>
      <x:c r="V35" s="275" t="str">
        <x:v>response_style +8</x:v>
      </x:c>
      <x:c r="W35" s="275" t="str">
        <x:v>response_style</x:v>
      </x:c>
      <x:c r="X35" s="275" t="str">
        <x:v>劫财通道会影响用户更容易接收怎样的表达：更容易对有参与感、节奏明确、愿意一起做点什么的表达产生回应。这里只描述接收偏好与回应入口，不评价对方表达是否正确。</x:v>
      </x:c>
      <x:c r="Y35" s="275" t="str">
        <x:v>你通常更容易回应这样的沟通：更容易对有参与感、节奏明确、愿意一起做点什么的表达产生回应。</x:v>
      </x:c>
      <x:c r="Z35" s="275" t="str">
        <x:v>不得推出用户冲动、争抢、爱竞争、容易出现第三者或一定喜欢控制节奏。 不得据此要求伴侣只能用单一方式沟通，也不得推出其他方式一定无效。</x:v>
      </x:c>
      <x:c r="AA35" s="275" t="str">
        <x:v>中低</x:v>
      </x:c>
      <x:c r="AB35" s="275" t="str">
        <x:v>待验证</x:v>
      </x:c>
      <x:c r="AC35" s="275" t="str"/>
      <x:c r="AD35" s="275" t="str">
        <x:v>provisional=true; channel=X02; deity=劫财; facet=response</x:v>
      </x:c>
      <x:c r="AE35" s="276" t="str">
        <x:v>0.3</x:v>
      </x:c>
    </x:row>
    <x:row r="36">
      <x:c r="A36" s="273" t="str">
        <x:v>M3-EXPR-032</x:v>
      </x:c>
      <x:c r="B36" s="274" t="str">
        <x:v>劫财｜即时互动用户摘要</x:v>
      </x:c>
      <x:c r="C36" s="275" t="str">
        <x:v>L7 总合成与边界审查</x:v>
      </x:c>
      <x:c r="D36" s="275" t="str">
        <x:v>EXPR-十神通道</x:v>
      </x:c>
      <x:c r="E36" s="275" t="str">
        <x:v>通用</x:v>
      </x:c>
      <x:c r="F36" s="275" t="str">
        <x:v>输出</x:v>
      </x:c>
      <x:c r="G36" s="275" t="str">
        <x:v>X02 即时互动</x:v>
      </x:c>
      <x:c r="H36" s="275" t="str"/>
      <x:c r="I36" s="275" t="str">
        <x:v>X02已进入主通道或有效次通道，且未被去重、停止或真合化替代。</x:v>
      </x:c>
      <x:c r="J36" s="275" t="str">
        <x:v>X02已被删除、降为仅内部候选或基础状态停止。</x:v>
      </x:c>
      <x:c r="K36" s="275" t="str">
        <x:v>不限定；由共享基础引擎与M3-STATE修正</x:v>
      </x:c>
      <x:c r="L36" s="275" t="str">
        <x:v>不限定；M3-EXPR不以夫妻星为唯一主轴</x:v>
      </x:c>
      <x:c r="M36" s="275" t="str">
        <x:v>由M3-BASE、日支结构及共享引擎提供</x:v>
      </x:c>
      <x:c r="N36" s="275" t="str">
        <x:v>无／待表达路径规则组合</x:v>
      </x:c>
      <x:c r="O36" s="275" t="str">
        <x:v>全局有效信号；日柱及亲密关系近位优先</x:v>
      </x:c>
      <x:c r="P36" s="275" t="str">
        <x:v>由共享基础引擎判定</x:v>
      </x:c>
      <x:c r="Q36" s="275" t="str">
        <x:v>由共享基础引擎判定</x:v>
      </x:c>
      <x:c r="R36" s="275" t="str">
        <x:v>喜忌不直接等于会不会表达；只修正调用顺畅度与强度</x:v>
      </x:c>
      <x:c r="S36" s="275" t="str">
        <x:v>原十神性质有效；真合化成立时按化神路由</x:v>
      </x:c>
      <x:c r="T36" s="275" t="str">
        <x:v>由共享基础引擎判定</x:v>
      </x:c>
      <x:c r="U36" s="275" t="str">
        <x:v>66</x:v>
      </x:c>
      <x:c r="V36" s="275" t="str">
        <x:v>不加分</x:v>
      </x:c>
      <x:c r="W36" s="275" t="str">
        <x:v>basis_summary</x:v>
      </x:c>
      <x:c r="X36" s="275" t="str">
        <x:v>生成劫财表达通道的折叠依据：核心为通过快速回应、共同参与和边做边沟通让关系保持活力，表达往往带有明显的现场感。并保留正偏风格，而不把十神名称直接展示为人格标签。</x:v>
      </x:c>
      <x:c r="Y36" s="275" t="str">
        <x:v>从传统八字取象看，你的表达方式更接近“即时互动”：通过快速回应、共同参与和边做边沟通让关系保持活力，表达往往带有明显的现场感。</x:v>
      </x:c>
      <x:c r="Z36" s="275" t="str">
        <x:v>不得推出用户冲动、争抢、爱竞争、容易出现第三者或一定喜欢控制节奏。 折叠依据只用于解释，不得在正文堆叠十神术语。</x:v>
      </x:c>
      <x:c r="AA36" s="275" t="str">
        <x:v>中</x:v>
      </x:c>
      <x:c r="AB36" s="275" t="str">
        <x:v>待验证</x:v>
      </x:c>
      <x:c r="AC36" s="275" t="str"/>
      <x:c r="AD36" s="275" t="str">
        <x:v>provisional=true; channel=X02; deity=劫财; facet=summary</x:v>
      </x:c>
      <x:c r="AE36" s="276" t="str">
        <x:v>0.3</x:v>
      </x:c>
    </x:row>
    <x:row r="37">
      <x:c r="A37" s="273" t="str">
        <x:v>M3-EXPR-033</x:v>
      </x:c>
      <x:c r="B37" s="274" t="str">
        <x:v>食神｜X03 温和分享核心表达通道</x:v>
      </x:c>
      <x:c r="C37" s="275" t="str">
        <x:v>L1 主要表达通道</x:v>
      </x:c>
      <x:c r="D37" s="275" t="str">
        <x:v>EXPR-十神通道</x:v>
      </x:c>
      <x:c r="E37" s="275" t="str">
        <x:v>通用</x:v>
      </x:c>
      <x:c r="F37" s="275" t="str">
        <x:v>基础</x:v>
      </x:c>
      <x:c r="G37" s="275" t="str">
        <x:v>有效食神表达信号／X03 温和分享</x:v>
      </x:c>
      <x:c r="H37" s="275" t="str"/>
      <x:c r="I37" s="275" t="str">
        <x:v>食神在M3中形成有效功能信号；至少由日支主／中气、亲密关系近位透干有根、独立流向或两类相互支持证据之一确认；原十神性质未被真合化替代。</x:v>
      </x:c>
      <x:c r="J37" s="275" t="str">
        <x:v>食神仅为单一弱远、无根或争议信号；基础十神映射未定；真合化后原十神性质失效；仅由同一source_id重复支持。</x:v>
      </x:c>
      <x:c r="K37" s="275" t="str">
        <x:v>不限定；由共享基础引擎与M3-STATE修正</x:v>
      </x:c>
      <x:c r="L37" s="275" t="str">
        <x:v>不限定；M3-EXPR不以夫妻星为唯一主轴</x:v>
      </x:c>
      <x:c r="M37" s="275" t="str">
        <x:v>由M3-BASE、日支结构及共享引擎提供</x:v>
      </x:c>
      <x:c r="N37" s="275" t="str">
        <x:v>无／待表达路径规则组合</x:v>
      </x:c>
      <x:c r="O37" s="275" t="str">
        <x:v>全局有效信号；日柱及亲密关系近位优先</x:v>
      </x:c>
      <x:c r="P37" s="275" t="str">
        <x:v>由共享基础引擎判定</x:v>
      </x:c>
      <x:c r="Q37" s="275" t="str">
        <x:v>由共享基础引擎判定</x:v>
      </x:c>
      <x:c r="R37" s="275" t="str">
        <x:v>喜忌不直接等于会不会表达；只修正调用顺畅度与强度</x:v>
      </x:c>
      <x:c r="S37" s="275" t="str">
        <x:v>原十神性质有效；真合化成立时按化神路由</x:v>
      </x:c>
      <x:c r="T37" s="275" t="str">
        <x:v>由共享基础引擎判定</x:v>
      </x:c>
      <x:c r="U37" s="275" t="str">
        <x:v>94</x:v>
      </x:c>
      <x:c r="V37" s="275" t="str">
        <x:v>X03主通道 +22</x:v>
      </x:c>
      <x:c r="W37" s="275" t="str">
        <x:v>primary_expression_channel</x:v>
      </x:c>
      <x:c r="X37" s="275" t="str">
        <x:v>食神属于SYS02 表达交流系统。在M3-EXPR中，其核心功能为：通过温和叙述、轻松交流、日常分享和让气氛舒服的方式传递感受。该规则只确定主要表达通道候选，不单独锁定频率、压力表现和沟通结果。</x:v>
      </x:c>
      <x:c r="Y37" s="275" t="str">
        <x:v>你更习惯通过温和叙述、轻松交流、日常分享和让气氛舒服的方式传递感受。</x:v>
      </x:c>
      <x:c r="Z37" s="275" t="str">
        <x:v>不得推出用户一定好脾气、不会生气、过度讨好、只爱享受或缺乏原则。 不得把该通道等同于感情深浅、沟通效果或关系结果。</x:v>
      </x:c>
      <x:c r="AA37" s="275" t="str">
        <x:v>中高</x:v>
      </x:c>
      <x:c r="AB37" s="275" t="str">
        <x:v>待验证</x:v>
      </x:c>
      <x:c r="AC37" s="275" t="str"/>
      <x:c r="AD37" s="275" t="str">
        <x:v>provisional=true; channel=X03; deity=食神; facet=core</x:v>
      </x:c>
      <x:c r="AE37" s="276" t="str">
        <x:v>0.3</x:v>
      </x:c>
    </x:row>
    <x:row r="38">
      <x:c r="A38" s="273" t="str">
        <x:v>M3-EXPR-034</x:v>
      </x:c>
      <x:c r="B38" s="274" t="str">
        <x:v>食神｜在意与喜欢的表达</x:v>
      </x:c>
      <x:c r="C38" s="275" t="str">
        <x:v>L2 情感表达</x:v>
      </x:c>
      <x:c r="D38" s="275" t="str">
        <x:v>EXPR-十神通道</x:v>
      </x:c>
      <x:c r="E38" s="275" t="str">
        <x:v>通用</x:v>
      </x:c>
      <x:c r="F38" s="275" t="str">
        <x:v>行为映射</x:v>
      </x:c>
      <x:c r="G38" s="275" t="str">
        <x:v>X03 温和分享</x:v>
      </x:c>
      <x:c r="H38" s="275" t="str">
        <x:v>affection_expression</x:v>
      </x:c>
      <x:c r="I38" s="275" t="str">
        <x:v>食神在M3中形成有效功能信号；至少由日支主／中气、亲密关系近位透干有根、独立流向或两类相互支持证据之一确认；原十神性质未被真合化替代。</x:v>
      </x:c>
      <x:c r="J38" s="275" t="str">
        <x:v>食神仅为单一弱远、无根或争议信号；基础十神映射未定；真合化后原十神性质失效；仅由同一source_id重复支持。</x:v>
      </x:c>
      <x:c r="K38" s="275" t="str">
        <x:v>不限定；由共享基础引擎与M3-STATE修正</x:v>
      </x:c>
      <x:c r="L38" s="275" t="str">
        <x:v>不限定；M3-EXPR不以夫妻星为唯一主轴</x:v>
      </x:c>
      <x:c r="M38" s="275" t="str">
        <x:v>由M3-BASE、日支结构及共享引擎提供</x:v>
      </x:c>
      <x:c r="N38" s="275" t="str">
        <x:v>无／待表达路径规则组合</x:v>
      </x:c>
      <x:c r="O38" s="275" t="str">
        <x:v>全局有效信号；日柱及亲密关系近位优先</x:v>
      </x:c>
      <x:c r="P38" s="275" t="str">
        <x:v>由共享基础引擎判定</x:v>
      </x:c>
      <x:c r="Q38" s="275" t="str">
        <x:v>由共享基础引擎判定</x:v>
      </x:c>
      <x:c r="R38" s="275" t="str">
        <x:v>喜忌不直接等于会不会表达；只修正调用顺畅度与强度</x:v>
      </x:c>
      <x:c r="S38" s="275" t="str">
        <x:v>原十神性质有效；真合化成立时按化神路由</x:v>
      </x:c>
      <x:c r="T38" s="275" t="str">
        <x:v>由共享基础引擎判定</x:v>
      </x:c>
      <x:c r="U38" s="275" t="str">
        <x:v>86</x:v>
      </x:c>
      <x:c r="V38" s="275" t="str">
        <x:v>affection_expression +12</x:v>
      </x:c>
      <x:c r="W38" s="275" t="str">
        <x:v>affection_expression</x:v>
      </x:c>
      <x:c r="X38" s="275" t="str">
        <x:v>食神通道在情感表达上的可观察形式为：通过陪伴、分享生活细节、照顾氛围、幽默和让对方放松来表达喜欢。是否高频、持续或被对方识别，仍需CARE、状态和案例反馈复核。</x:v>
      </x:c>
      <x:c r="Y38" s="275" t="str">
        <x:v>你往往会通过陪伴、分享生活细节、照顾氛围、幽默和让对方放松来表达喜欢。</x:v>
      </x:c>
      <x:c r="Z38" s="275" t="str">
        <x:v>不得推出用户一定好脾气、不会生气、过度讨好、只爱享受或缺乏原则。 不得据此定量判断谁付出更多，也不得推出对方一定能识别这份表达。</x:v>
      </x:c>
      <x:c r="AA38" s="275" t="str">
        <x:v>中</x:v>
      </x:c>
      <x:c r="AB38" s="275" t="str">
        <x:v>待验证</x:v>
      </x:c>
      <x:c r="AC38" s="275" t="str"/>
      <x:c r="AD38" s="275" t="str">
        <x:v>provisional=true; channel=X03; deity=食神; facet=affection</x:v>
      </x:c>
      <x:c r="AE38" s="276" t="str">
        <x:v>0.3</x:v>
      </x:c>
    </x:row>
    <x:row r="39">
      <x:c r="A39" s="273" t="str">
        <x:v>M3-EXPR-035</x:v>
      </x:c>
      <x:c r="B39" s="274" t="str">
        <x:v>食神｜情绪外化方式</x:v>
      </x:c>
      <x:c r="C39" s="275" t="str">
        <x:v>L3 情绪与需求表达</x:v>
      </x:c>
      <x:c r="D39" s="275" t="str">
        <x:v>EXPR-十神通道</x:v>
      </x:c>
      <x:c r="E39" s="275" t="str">
        <x:v>通用</x:v>
      </x:c>
      <x:c r="F39" s="275" t="str">
        <x:v>行为映射</x:v>
      </x:c>
      <x:c r="G39" s="275" t="str">
        <x:v>X03 温和分享</x:v>
      </x:c>
      <x:c r="H39" s="275" t="str">
        <x:v>emotion_expression</x:v>
      </x:c>
      <x:c r="I39" s="275" t="str">
        <x:v>食神在M3中形成有效功能信号；至少由日支主／中气、亲密关系近位透干有根、独立流向或两类相互支持证据之一确认；原十神性质未被真合化替代。</x:v>
      </x:c>
      <x:c r="J39" s="275" t="str">
        <x:v>食神仅为单一弱远、无根或争议信号；基础十神映射未定；真合化后原十神性质失效；仅由同一source_id重复支持。</x:v>
      </x:c>
      <x:c r="K39" s="275" t="str">
        <x:v>不限定；由共享基础引擎与M3-STATE修正</x:v>
      </x:c>
      <x:c r="L39" s="275" t="str">
        <x:v>不限定；M3-EXPR不以夫妻星为唯一主轴</x:v>
      </x:c>
      <x:c r="M39" s="275" t="str">
        <x:v>由M3-BASE、日支结构及共享引擎提供</x:v>
      </x:c>
      <x:c r="N39" s="275" t="str">
        <x:v>无／待表达路径规则组合</x:v>
      </x:c>
      <x:c r="O39" s="275" t="str">
        <x:v>全局有效信号；日柱及亲密关系近位优先</x:v>
      </x:c>
      <x:c r="P39" s="275" t="str">
        <x:v>由共享基础引擎判定</x:v>
      </x:c>
      <x:c r="Q39" s="275" t="str">
        <x:v>由共享基础引擎判定</x:v>
      </x:c>
      <x:c r="R39" s="275" t="str">
        <x:v>喜忌不直接等于会不会表达；只修正调用顺畅度与强度</x:v>
      </x:c>
      <x:c r="S39" s="275" t="str">
        <x:v>原十神性质有效；真合化成立时按化神路由</x:v>
      </x:c>
      <x:c r="T39" s="275" t="str">
        <x:v>由共享基础引擎判定</x:v>
      </x:c>
      <x:c r="U39" s="275" t="str">
        <x:v>84</x:v>
      </x:c>
      <x:c r="V39" s="275" t="str">
        <x:v>emotion_expression +10</x:v>
      </x:c>
      <x:c r="W39" s="275" t="str">
        <x:v>emotion_expression</x:v>
      </x:c>
      <x:c r="X39" s="275" t="str">
        <x:v>食神通道对情绪外化的修正为：更愿意在情绪稍微稳定后，用柔和、可被接住的方式说明自己的感受。该规则描述平稳和一般情境的时序，不直接推断冲突时表现。</x:v>
      </x:c>
      <x:c r="Y39" s="275" t="str">
        <x:v>当你有情绪时，通常更可能更愿意在情绪稍微稳定后，用柔和、可被接住的方式说明自己的感受。</x:v>
      </x:c>
      <x:c r="Z39" s="275" t="str">
        <x:v>不得推出用户一定好脾气、不会生气、过度讨好、只爱享受或缺乏原则。 不得把表达较慢、较简短或偏行动化解释为没有情绪或拒绝沟通。</x:v>
      </x:c>
      <x:c r="AA39" s="275" t="str">
        <x:v>中</x:v>
      </x:c>
      <x:c r="AB39" s="275" t="str">
        <x:v>待验证</x:v>
      </x:c>
      <x:c r="AC39" s="275" t="str"/>
      <x:c r="AD39" s="275" t="str">
        <x:v>provisional=true; channel=X03; deity=食神; facet=emotion</x:v>
      </x:c>
      <x:c r="AE39" s="276" t="str">
        <x:v>0.3</x:v>
      </x:c>
    </x:row>
    <x:row r="40">
      <x:c r="A40" s="273" t="str">
        <x:v>M3-EXPR-036</x:v>
      </x:c>
      <x:c r="B40" s="274" t="str">
        <x:v>食神｜需求与观点表达</x:v>
      </x:c>
      <x:c r="C40" s="275" t="str">
        <x:v>L3 情绪与需求表达</x:v>
      </x:c>
      <x:c r="D40" s="275" t="str">
        <x:v>EXPR-十神通道</x:v>
      </x:c>
      <x:c r="E40" s="275" t="str">
        <x:v>通用</x:v>
      </x:c>
      <x:c r="F40" s="275" t="str">
        <x:v>行为映射</x:v>
      </x:c>
      <x:c r="G40" s="275" t="str">
        <x:v>X03 温和分享</x:v>
      </x:c>
      <x:c r="H40" s="275" t="str">
        <x:v>need_expression</x:v>
      </x:c>
      <x:c r="I40" s="275" t="str">
        <x:v>食神在M3中形成有效功能信号；至少由日支主／中气、亲密关系近位透干有根、独立流向或两类相互支持证据之一确认；原十神性质未被真合化替代。</x:v>
      </x:c>
      <x:c r="J40" s="275" t="str">
        <x:v>食神仅为单一弱远、无根或争议信号；基础十神映射未定；真合化后原十神性质失效；仅由同一source_id重复支持。</x:v>
      </x:c>
      <x:c r="K40" s="275" t="str">
        <x:v>不限定；由共享基础引擎与M3-STATE修正</x:v>
      </x:c>
      <x:c r="L40" s="275" t="str">
        <x:v>不限定；M3-EXPR不以夫妻星为唯一主轴</x:v>
      </x:c>
      <x:c r="M40" s="275" t="str">
        <x:v>由M3-BASE、日支结构及共享引擎提供</x:v>
      </x:c>
      <x:c r="N40" s="275" t="str">
        <x:v>无／待表达路径规则组合</x:v>
      </x:c>
      <x:c r="O40" s="275" t="str">
        <x:v>全局有效信号；日柱及亲密关系近位优先</x:v>
      </x:c>
      <x:c r="P40" s="275" t="str">
        <x:v>由共享基础引擎判定</x:v>
      </x:c>
      <x:c r="Q40" s="275" t="str">
        <x:v>由共享基础引擎判定</x:v>
      </x:c>
      <x:c r="R40" s="275" t="str">
        <x:v>喜忌不直接等于会不会表达；只修正调用顺畅度与强度</x:v>
      </x:c>
      <x:c r="S40" s="275" t="str">
        <x:v>原十神性质有效；真合化成立时按化神路由</x:v>
      </x:c>
      <x:c r="T40" s="275" t="str">
        <x:v>由共享基础引擎判定</x:v>
      </x:c>
      <x:c r="U40" s="275" t="str">
        <x:v>83</x:v>
      </x:c>
      <x:c r="V40" s="275" t="str">
        <x:v>need_expression +10</x:v>
      </x:c>
      <x:c r="W40" s="275" t="str">
        <x:v>need_expression／communication_style</x:v>
      </x:c>
      <x:c r="X40" s="275" t="str">
        <x:v>食神通道在需求和观点表达上的常见形式为：需求常会经过缓和、铺垫或体贴化表达，不一定一开始就用强硬或命令式语言。能否长期执行这些条件由BOUND模块判断。</x:v>
      </x:c>
      <x:c r="Y40" s="275" t="str">
        <x:v>当你需要说明自己的需要或想法时，通常更倾向需求常会经过缓和、铺垫或体贴化表达，不一定一开始就用强硬或命令式语言。</x:v>
      </x:c>
      <x:c r="Z40" s="275" t="str">
        <x:v>不得推出用户一定好脾气、不会生气、过度讨好、只爱享受或缺乏原则。 不得把能说清条件等同于一定能执行边界，也不得把含蓄表达等同于让人猜。</x:v>
      </x:c>
      <x:c r="AA40" s="275" t="str">
        <x:v>中</x:v>
      </x:c>
      <x:c r="AB40" s="275" t="str">
        <x:v>待验证</x:v>
      </x:c>
      <x:c r="AC40" s="275" t="str"/>
      <x:c r="AD40" s="275" t="str">
        <x:v>provisional=true; channel=X03; deity=食神; facet=need</x:v>
      </x:c>
      <x:c r="AE40" s="276" t="str">
        <x:v>0.3</x:v>
      </x:c>
    </x:row>
    <x:row r="41">
      <x:c r="A41" s="273" t="str">
        <x:v>M3-EXPR-037</x:v>
      </x:c>
      <x:c r="B41" s="274" t="str">
        <x:v>食神｜接收与回应对方表达</x:v>
      </x:c>
      <x:c r="C41" s="275" t="str">
        <x:v>L4 沟通顺序与回应</x:v>
      </x:c>
      <x:c r="D41" s="275" t="str">
        <x:v>EXPR-十神通道</x:v>
      </x:c>
      <x:c r="E41" s="275" t="str">
        <x:v>通用</x:v>
      </x:c>
      <x:c r="F41" s="275" t="str">
        <x:v>回应映射</x:v>
      </x:c>
      <x:c r="G41" s="275" t="str">
        <x:v>X03 温和分享</x:v>
      </x:c>
      <x:c r="H41" s="275" t="str">
        <x:v>response_style</x:v>
      </x:c>
      <x:c r="I41" s="275" t="str">
        <x:v>食神在M3中形成有效功能信号；至少由日支主／中气、亲密关系近位透干有根、独立流向或两类相互支持证据之一确认；原十神性质未被真合化替代。</x:v>
      </x:c>
      <x:c r="J41" s="275" t="str">
        <x:v>食神仅为单一弱远、无根或争议信号；基础十神映射未定；真合化后原十神性质失效；仅由同一source_id重复支持。</x:v>
      </x:c>
      <x:c r="K41" s="275" t="str">
        <x:v>不限定；由共享基础引擎与M3-STATE修正</x:v>
      </x:c>
      <x:c r="L41" s="275" t="str">
        <x:v>不限定；M3-EXPR不以夫妻星为唯一主轴</x:v>
      </x:c>
      <x:c r="M41" s="275" t="str">
        <x:v>由M3-BASE、日支结构及共享引擎提供</x:v>
      </x:c>
      <x:c r="N41" s="275" t="str">
        <x:v>无／待表达路径规则组合</x:v>
      </x:c>
      <x:c r="O41" s="275" t="str">
        <x:v>全局有效信号；日柱及亲密关系近位优先</x:v>
      </x:c>
      <x:c r="P41" s="275" t="str">
        <x:v>由共享基础引擎判定</x:v>
      </x:c>
      <x:c r="Q41" s="275" t="str">
        <x:v>由共享基础引擎判定</x:v>
      </x:c>
      <x:c r="R41" s="275" t="str">
        <x:v>喜忌不直接等于会不会表达；只修正调用顺畅度与强度</x:v>
      </x:c>
      <x:c r="S41" s="275" t="str">
        <x:v>原十神性质有效；真合化成立时按化神路由</x:v>
      </x:c>
      <x:c r="T41" s="275" t="str">
        <x:v>由共享基础引擎判定</x:v>
      </x:c>
      <x:c r="U41" s="275" t="str">
        <x:v>78</x:v>
      </x:c>
      <x:c r="V41" s="275" t="str">
        <x:v>response_style +8</x:v>
      </x:c>
      <x:c r="W41" s="275" t="str">
        <x:v>response_style</x:v>
      </x:c>
      <x:c r="X41" s="275" t="str">
        <x:v>食神通道会影响用户更容易接收怎样的表达：更容易接收温和、不带压迫感、允许慢慢说和慢慢回应的沟通。这里只描述接收偏好与回应入口，不评价对方表达是否正确。</x:v>
      </x:c>
      <x:c r="Y41" s="275" t="str">
        <x:v>你通常更容易回应这样的沟通：更容易接收温和、不带压迫感、允许慢慢说和慢慢回应的沟通。</x:v>
      </x:c>
      <x:c r="Z41" s="275" t="str">
        <x:v>不得推出用户一定好脾气、不会生气、过度讨好、只爱享受或缺乏原则。 不得据此要求伴侣只能用单一方式沟通，也不得推出其他方式一定无效。</x:v>
      </x:c>
      <x:c r="AA41" s="275" t="str">
        <x:v>中低</x:v>
      </x:c>
      <x:c r="AB41" s="275" t="str">
        <x:v>待验证</x:v>
      </x:c>
      <x:c r="AC41" s="275" t="str"/>
      <x:c r="AD41" s="275" t="str">
        <x:v>provisional=true; channel=X03; deity=食神; facet=response</x:v>
      </x:c>
      <x:c r="AE41" s="276" t="str">
        <x:v>0.3</x:v>
      </x:c>
    </x:row>
    <x:row r="42">
      <x:c r="A42" s="273" t="str">
        <x:v>M3-EXPR-038</x:v>
      </x:c>
      <x:c r="B42" s="274" t="str">
        <x:v>食神｜温和分享用户摘要</x:v>
      </x:c>
      <x:c r="C42" s="275" t="str">
        <x:v>L7 总合成与边界审查</x:v>
      </x:c>
      <x:c r="D42" s="275" t="str">
        <x:v>EXPR-十神通道</x:v>
      </x:c>
      <x:c r="E42" s="275" t="str">
        <x:v>通用</x:v>
      </x:c>
      <x:c r="F42" s="275" t="str">
        <x:v>输出</x:v>
      </x:c>
      <x:c r="G42" s="275" t="str">
        <x:v>X03 温和分享</x:v>
      </x:c>
      <x:c r="H42" s="275" t="str"/>
      <x:c r="I42" s="275" t="str">
        <x:v>X03已进入主通道或有效次通道，且未被去重、停止或真合化替代。</x:v>
      </x:c>
      <x:c r="J42" s="275" t="str">
        <x:v>X03已被删除、降为仅内部候选或基础状态停止。</x:v>
      </x:c>
      <x:c r="K42" s="275" t="str">
        <x:v>不限定；由共享基础引擎与M3-STATE修正</x:v>
      </x:c>
      <x:c r="L42" s="275" t="str">
        <x:v>不限定；M3-EXPR不以夫妻星为唯一主轴</x:v>
      </x:c>
      <x:c r="M42" s="275" t="str">
        <x:v>由M3-BASE、日支结构及共享引擎提供</x:v>
      </x:c>
      <x:c r="N42" s="275" t="str">
        <x:v>无／待表达路径规则组合</x:v>
      </x:c>
      <x:c r="O42" s="275" t="str">
        <x:v>全局有效信号；日柱及亲密关系近位优先</x:v>
      </x:c>
      <x:c r="P42" s="275" t="str">
        <x:v>由共享基础引擎判定</x:v>
      </x:c>
      <x:c r="Q42" s="275" t="str">
        <x:v>由共享基础引擎判定</x:v>
      </x:c>
      <x:c r="R42" s="275" t="str">
        <x:v>喜忌不直接等于会不会表达；只修正调用顺畅度与强度</x:v>
      </x:c>
      <x:c r="S42" s="275" t="str">
        <x:v>原十神性质有效；真合化成立时按化神路由</x:v>
      </x:c>
      <x:c r="T42" s="275" t="str">
        <x:v>由共享基础引擎判定</x:v>
      </x:c>
      <x:c r="U42" s="275" t="str">
        <x:v>66</x:v>
      </x:c>
      <x:c r="V42" s="275" t="str">
        <x:v>不加分</x:v>
      </x:c>
      <x:c r="W42" s="275" t="str">
        <x:v>basis_summary</x:v>
      </x:c>
      <x:c r="X42" s="275" t="str">
        <x:v>生成食神表达通道的折叠依据：核心为通过温和叙述、轻松交流、日常分享和让气氛舒服的方式传递感受。并保留正偏风格，而不把十神名称直接展示为人格标签。</x:v>
      </x:c>
      <x:c r="Y42" s="275" t="str">
        <x:v>从传统八字取象看，你的表达方式更接近“温和分享”：通过温和叙述、轻松交流、日常分享和让气氛舒服的方式传递感受。</x:v>
      </x:c>
      <x:c r="Z42" s="275" t="str">
        <x:v>不得推出用户一定好脾气、不会生气、过度讨好、只爱享受或缺乏原则。 折叠依据只用于解释，不得在正文堆叠十神术语。</x:v>
      </x:c>
      <x:c r="AA42" s="275" t="str">
        <x:v>中</x:v>
      </x:c>
      <x:c r="AB42" s="275" t="str">
        <x:v>待验证</x:v>
      </x:c>
      <x:c r="AC42" s="275" t="str"/>
      <x:c r="AD42" s="275" t="str">
        <x:v>provisional=true; channel=X03; deity=食神; facet=summary</x:v>
      </x:c>
      <x:c r="AE42" s="276" t="str">
        <x:v>0.3</x:v>
      </x:c>
    </x:row>
    <x:row r="43">
      <x:c r="A43" s="273" t="str">
        <x:v>M3-EXPR-039</x:v>
      </x:c>
      <x:c r="B43" s="274" t="str">
        <x:v>伤官｜X04 分析澄清核心表达通道</x:v>
      </x:c>
      <x:c r="C43" s="275" t="str">
        <x:v>L1 主要表达通道</x:v>
      </x:c>
      <x:c r="D43" s="275" t="str">
        <x:v>EXPR-十神通道</x:v>
      </x:c>
      <x:c r="E43" s="275" t="str">
        <x:v>通用</x:v>
      </x:c>
      <x:c r="F43" s="275" t="str">
        <x:v>基础</x:v>
      </x:c>
      <x:c r="G43" s="275" t="str">
        <x:v>有效伤官表达信号／X04 分析澄清</x:v>
      </x:c>
      <x:c r="H43" s="275" t="str"/>
      <x:c r="I43" s="275" t="str">
        <x:v>伤官在M3中形成有效功能信号；至少由日支主／中气、亲密关系近位透干有根、独立流向或两类相互支持证据之一确认；原十神性质未被真合化替代。</x:v>
      </x:c>
      <x:c r="J43" s="275" t="str">
        <x:v>伤官仅为单一弱远、无根或争议信号；基础十神映射未定；真合化后原十神性质失效；仅由同一source_id重复支持。</x:v>
      </x:c>
      <x:c r="K43" s="275" t="str">
        <x:v>不限定；由共享基础引擎与M3-STATE修正</x:v>
      </x:c>
      <x:c r="L43" s="275" t="str">
        <x:v>不限定；M3-EXPR不以夫妻星为唯一主轴</x:v>
      </x:c>
      <x:c r="M43" s="275" t="str">
        <x:v>由M3-BASE、日支结构及共享引擎提供</x:v>
      </x:c>
      <x:c r="N43" s="275" t="str">
        <x:v>无／待表达路径规则组合</x:v>
      </x:c>
      <x:c r="O43" s="275" t="str">
        <x:v>全局有效信号；日柱及亲密关系近位优先</x:v>
      </x:c>
      <x:c r="P43" s="275" t="str">
        <x:v>由共享基础引擎判定</x:v>
      </x:c>
      <x:c r="Q43" s="275" t="str">
        <x:v>由共享基础引擎判定</x:v>
      </x:c>
      <x:c r="R43" s="275" t="str">
        <x:v>喜忌不直接等于会不会表达；只修正调用顺畅度与强度</x:v>
      </x:c>
      <x:c r="S43" s="275" t="str">
        <x:v>原十神性质有效；真合化成立时按化神路由</x:v>
      </x:c>
      <x:c r="T43" s="275" t="str">
        <x:v>由共享基础引擎判定</x:v>
      </x:c>
      <x:c r="U43" s="275" t="str">
        <x:v>94</x:v>
      </x:c>
      <x:c r="V43" s="275" t="str">
        <x:v>X04主通道 +22</x:v>
      </x:c>
      <x:c r="W43" s="275" t="str">
        <x:v>primary_expression_channel</x:v>
      </x:c>
      <x:c r="X43" s="275" t="str">
        <x:v>伤官属于SYS02 表达交流系统。在M3-EXPR中，其核心功能为：通过说清逻辑、指出差异、提出问题和完整表达观点来建立理解。该规则只确定主要表达通道候选，不单独锁定频率、压力表现和沟通结果。</x:v>
      </x:c>
      <x:c r="Y43" s="275" t="str">
        <x:v>你更习惯通过说清逻辑、指出差异、提出问题和完整表达观点来建立理解。</x:v>
      </x:c>
      <x:c r="Z43" s="275" t="str">
        <x:v>不得推出用户说话刻薄、爱否定、一定吵架、缺乏尊重或感情不稳定。 不得把该通道等同于感情深浅、沟通效果或关系结果。</x:v>
      </x:c>
      <x:c r="AA43" s="275" t="str">
        <x:v>中高</x:v>
      </x:c>
      <x:c r="AB43" s="275" t="str">
        <x:v>待验证</x:v>
      </x:c>
      <x:c r="AC43" s="275" t="str"/>
      <x:c r="AD43" s="275" t="str">
        <x:v>provisional=true; channel=X04; deity=伤官; facet=core</x:v>
      </x:c>
      <x:c r="AE43" s="276" t="str">
        <x:v>0.3</x:v>
      </x:c>
    </x:row>
    <x:row r="44">
      <x:c r="A44" s="273" t="str">
        <x:v>M3-EXPR-040</x:v>
      </x:c>
      <x:c r="B44" s="274" t="str">
        <x:v>伤官｜在意与喜欢的表达</x:v>
      </x:c>
      <x:c r="C44" s="275" t="str">
        <x:v>L2 情感表达</x:v>
      </x:c>
      <x:c r="D44" s="275" t="str">
        <x:v>EXPR-十神通道</x:v>
      </x:c>
      <x:c r="E44" s="275" t="str">
        <x:v>通用</x:v>
      </x:c>
      <x:c r="F44" s="275" t="str">
        <x:v>行为映射</x:v>
      </x:c>
      <x:c r="G44" s="275" t="str">
        <x:v>X04 分析澄清</x:v>
      </x:c>
      <x:c r="H44" s="275" t="str">
        <x:v>affection_expression</x:v>
      </x:c>
      <x:c r="I44" s="275" t="str">
        <x:v>伤官在M3中形成有效功能信号；至少由日支主／中气、亲密关系近位透干有根、独立流向或两类相互支持证据之一确认；原十神性质未被真合化替代。</x:v>
      </x:c>
      <x:c r="J44" s="275" t="str">
        <x:v>伤官仅为单一弱远、无根或争议信号；基础十神映射未定；真合化后原十神性质失效；仅由同一source_id重复支持。</x:v>
      </x:c>
      <x:c r="K44" s="275" t="str">
        <x:v>不限定；由共享基础引擎与M3-STATE修正</x:v>
      </x:c>
      <x:c r="L44" s="275" t="str">
        <x:v>不限定；M3-EXPR不以夫妻星为唯一主轴</x:v>
      </x:c>
      <x:c r="M44" s="275" t="str">
        <x:v>由M3-BASE、日支结构及共享引擎提供</x:v>
      </x:c>
      <x:c r="N44" s="275" t="str">
        <x:v>无／待表达路径规则组合</x:v>
      </x:c>
      <x:c r="O44" s="275" t="str">
        <x:v>全局有效信号；日柱及亲密关系近位优先</x:v>
      </x:c>
      <x:c r="P44" s="275" t="str">
        <x:v>由共享基础引擎判定</x:v>
      </x:c>
      <x:c r="Q44" s="275" t="str">
        <x:v>由共享基础引擎判定</x:v>
      </x:c>
      <x:c r="R44" s="275" t="str">
        <x:v>喜忌不直接等于会不会表达；只修正调用顺畅度与强度</x:v>
      </x:c>
      <x:c r="S44" s="275" t="str">
        <x:v>原十神性质有效；真合化成立时按化神路由</x:v>
      </x:c>
      <x:c r="T44" s="275" t="str">
        <x:v>由共享基础引擎判定</x:v>
      </x:c>
      <x:c r="U44" s="275" t="str">
        <x:v>86</x:v>
      </x:c>
      <x:c r="V44" s="275" t="str">
        <x:v>affection_expression +12</x:v>
      </x:c>
      <x:c r="W44" s="275" t="str">
        <x:v>affection_expression</x:v>
      </x:c>
      <x:c r="X44" s="275" t="str">
        <x:v>伤官通道在情感表达上的可观察形式为：通过分享想法、认真讨论、坦率反馈和让对方进入自己的认知世界来表达重视。是否高频、持续或被对方识别，仍需CARE、状态和案例反馈复核。</x:v>
      </x:c>
      <x:c r="Y44" s="275" t="str">
        <x:v>你往往会通过分享想法、认真讨论、坦率反馈和让对方进入自己的认知世界来表达重视。</x:v>
      </x:c>
      <x:c r="Z44" s="275" t="str">
        <x:v>不得推出用户说话刻薄、爱否定、一定吵架、缺乏尊重或感情不稳定。 不得据此定量判断谁付出更多，也不得推出对方一定能识别这份表达。</x:v>
      </x:c>
      <x:c r="AA44" s="275" t="str">
        <x:v>中</x:v>
      </x:c>
      <x:c r="AB44" s="275" t="str">
        <x:v>待验证</x:v>
      </x:c>
      <x:c r="AC44" s="275" t="str"/>
      <x:c r="AD44" s="275" t="str">
        <x:v>provisional=true; channel=X04; deity=伤官; facet=affection</x:v>
      </x:c>
      <x:c r="AE44" s="276" t="str">
        <x:v>0.3</x:v>
      </x:c>
    </x:row>
    <x:row r="45">
      <x:c r="A45" s="273" t="str">
        <x:v>M3-EXPR-041</x:v>
      </x:c>
      <x:c r="B45" s="274" t="str">
        <x:v>伤官｜情绪外化方式</x:v>
      </x:c>
      <x:c r="C45" s="275" t="str">
        <x:v>L3 情绪与需求表达</x:v>
      </x:c>
      <x:c r="D45" s="275" t="str">
        <x:v>EXPR-十神通道</x:v>
      </x:c>
      <x:c r="E45" s="275" t="str">
        <x:v>通用</x:v>
      </x:c>
      <x:c r="F45" s="275" t="str">
        <x:v>行为映射</x:v>
      </x:c>
      <x:c r="G45" s="275" t="str">
        <x:v>X04 分析澄清</x:v>
      </x:c>
      <x:c r="H45" s="275" t="str">
        <x:v>emotion_expression</x:v>
      </x:c>
      <x:c r="I45" s="275" t="str">
        <x:v>伤官在M3中形成有效功能信号；至少由日支主／中气、亲密关系近位透干有根、独立流向或两类相互支持证据之一确认；原十神性质未被真合化替代。</x:v>
      </x:c>
      <x:c r="J45" s="275" t="str">
        <x:v>伤官仅为单一弱远、无根或争议信号；基础十神映射未定；真合化后原十神性质失效；仅由同一source_id重复支持。</x:v>
      </x:c>
      <x:c r="K45" s="275" t="str">
        <x:v>不限定；由共享基础引擎与M3-STATE修正</x:v>
      </x:c>
      <x:c r="L45" s="275" t="str">
        <x:v>不限定；M3-EXPR不以夫妻星为唯一主轴</x:v>
      </x:c>
      <x:c r="M45" s="275" t="str">
        <x:v>由M3-BASE、日支结构及共享引擎提供</x:v>
      </x:c>
      <x:c r="N45" s="275" t="str">
        <x:v>无／待表达路径规则组合</x:v>
      </x:c>
      <x:c r="O45" s="275" t="str">
        <x:v>全局有效信号；日柱及亲密关系近位优先</x:v>
      </x:c>
      <x:c r="P45" s="275" t="str">
        <x:v>由共享基础引擎判定</x:v>
      </x:c>
      <x:c r="Q45" s="275" t="str">
        <x:v>由共享基础引擎判定</x:v>
      </x:c>
      <x:c r="R45" s="275" t="str">
        <x:v>喜忌不直接等于会不会表达；只修正调用顺畅度与强度</x:v>
      </x:c>
      <x:c r="S45" s="275" t="str">
        <x:v>原十神性质有效；真合化成立时按化神路由</x:v>
      </x:c>
      <x:c r="T45" s="275" t="str">
        <x:v>由共享基础引擎判定</x:v>
      </x:c>
      <x:c r="U45" s="275" t="str">
        <x:v>84</x:v>
      </x:c>
      <x:c r="V45" s="275" t="str">
        <x:v>emotion_expression +10</x:v>
      </x:c>
      <x:c r="W45" s="275" t="str">
        <x:v>emotion_expression</x:v>
      </x:c>
      <x:c r="X45" s="275" t="str">
        <x:v>伤官通道对情绪外化的修正为：更容易把情绪拆成原因、事实和感受进行说明，希望对方真正听懂，而不只是给安慰。该规则描述平稳和一般情境的时序，不直接推断冲突时表现。</x:v>
      </x:c>
      <x:c r="Y45" s="275" t="str">
        <x:v>当你有情绪时，通常更可能更容易把情绪拆成原因、事实和感受进行说明，希望对方真正听懂，而不只是给安慰。</x:v>
      </x:c>
      <x:c r="Z45" s="275" t="str">
        <x:v>不得推出用户说话刻薄、爱否定、一定吵架、缺乏尊重或感情不稳定。 不得把表达较慢、较简短或偏行动化解释为没有情绪或拒绝沟通。</x:v>
      </x:c>
      <x:c r="AA45" s="275" t="str">
        <x:v>中</x:v>
      </x:c>
      <x:c r="AB45" s="275" t="str">
        <x:v>待验证</x:v>
      </x:c>
      <x:c r="AC45" s="275" t="str"/>
      <x:c r="AD45" s="275" t="str">
        <x:v>provisional=true; channel=X04; deity=伤官; facet=emotion</x:v>
      </x:c>
      <x:c r="AE45" s="276" t="str">
        <x:v>0.3</x:v>
      </x:c>
    </x:row>
    <x:row r="46">
      <x:c r="A46" s="273" t="str">
        <x:v>M3-EXPR-042</x:v>
      </x:c>
      <x:c r="B46" s="274" t="str">
        <x:v>伤官｜需求与观点表达</x:v>
      </x:c>
      <x:c r="C46" s="275" t="str">
        <x:v>L3 情绪与需求表达</x:v>
      </x:c>
      <x:c r="D46" s="275" t="str">
        <x:v>EXPR-十神通道</x:v>
      </x:c>
      <x:c r="E46" s="275" t="str">
        <x:v>通用</x:v>
      </x:c>
      <x:c r="F46" s="275" t="str">
        <x:v>行为映射</x:v>
      </x:c>
      <x:c r="G46" s="275" t="str">
        <x:v>X04 分析澄清</x:v>
      </x:c>
      <x:c r="H46" s="275" t="str">
        <x:v>need_expression</x:v>
      </x:c>
      <x:c r="I46" s="275" t="str">
        <x:v>伤官在M3中形成有效功能信号；至少由日支主／中气、亲密关系近位透干有根、独立流向或两类相互支持证据之一确认；原十神性质未被真合化替代。</x:v>
      </x:c>
      <x:c r="J46" s="275" t="str">
        <x:v>伤官仅为单一弱远、无根或争议信号；基础十神映射未定；真合化后原十神性质失效；仅由同一source_id重复支持。</x:v>
      </x:c>
      <x:c r="K46" s="275" t="str">
        <x:v>不限定；由共享基础引擎与M3-STATE修正</x:v>
      </x:c>
      <x:c r="L46" s="275" t="str">
        <x:v>不限定；M3-EXPR不以夫妻星为唯一主轴</x:v>
      </x:c>
      <x:c r="M46" s="275" t="str">
        <x:v>由M3-BASE、日支结构及共享引擎提供</x:v>
      </x:c>
      <x:c r="N46" s="275" t="str">
        <x:v>无／待表达路径规则组合</x:v>
      </x:c>
      <x:c r="O46" s="275" t="str">
        <x:v>全局有效信号；日柱及亲密关系近位优先</x:v>
      </x:c>
      <x:c r="P46" s="275" t="str">
        <x:v>由共享基础引擎判定</x:v>
      </x:c>
      <x:c r="Q46" s="275" t="str">
        <x:v>由共享基础引擎判定</x:v>
      </x:c>
      <x:c r="R46" s="275" t="str">
        <x:v>喜忌不直接等于会不会表达；只修正调用顺畅度与强度</x:v>
      </x:c>
      <x:c r="S46" s="275" t="str">
        <x:v>原十神性质有效；真合化成立时按化神路由</x:v>
      </x:c>
      <x:c r="T46" s="275" t="str">
        <x:v>由共享基础引擎判定</x:v>
      </x:c>
      <x:c r="U46" s="275" t="str">
        <x:v>83</x:v>
      </x:c>
      <x:c r="V46" s="275" t="str">
        <x:v>need_expression +10</x:v>
      </x:c>
      <x:c r="W46" s="275" t="str">
        <x:v>need_expression／communication_style</x:v>
      </x:c>
      <x:c r="X46" s="275" t="str">
        <x:v>伤官通道在需求和观点表达上的常见形式为：倾向直接说明需求、理由和不合理之处，也会通过提问确认对方是否理解。能否长期执行这些条件由BOUND模块判断。</x:v>
      </x:c>
      <x:c r="Y46" s="275" t="str">
        <x:v>当你需要说明自己的需要或想法时，通常更倾向倾向直接说明需求、理由和不合理之处，也会通过提问确认对方是否理解。</x:v>
      </x:c>
      <x:c r="Z46" s="275" t="str">
        <x:v>不得推出用户说话刻薄、爱否定、一定吵架、缺乏尊重或感情不稳定。 不得把能说清条件等同于一定能执行边界，也不得把含蓄表达等同于让人猜。</x:v>
      </x:c>
      <x:c r="AA46" s="275" t="str">
        <x:v>中</x:v>
      </x:c>
      <x:c r="AB46" s="275" t="str">
        <x:v>待验证</x:v>
      </x:c>
      <x:c r="AC46" s="275" t="str"/>
      <x:c r="AD46" s="275" t="str">
        <x:v>provisional=true; channel=X04; deity=伤官; facet=need</x:v>
      </x:c>
      <x:c r="AE46" s="276" t="str">
        <x:v>0.3</x:v>
      </x:c>
    </x:row>
    <x:row r="47">
      <x:c r="A47" s="273" t="str">
        <x:v>M3-EXPR-043</x:v>
      </x:c>
      <x:c r="B47" s="274" t="str">
        <x:v>伤官｜接收与回应对方表达</x:v>
      </x:c>
      <x:c r="C47" s="275" t="str">
        <x:v>L4 沟通顺序与回应</x:v>
      </x:c>
      <x:c r="D47" s="275" t="str">
        <x:v>EXPR-十神通道</x:v>
      </x:c>
      <x:c r="E47" s="275" t="str">
        <x:v>通用</x:v>
      </x:c>
      <x:c r="F47" s="275" t="str">
        <x:v>回应映射</x:v>
      </x:c>
      <x:c r="G47" s="275" t="str">
        <x:v>X04 分析澄清</x:v>
      </x:c>
      <x:c r="H47" s="275" t="str">
        <x:v>response_style</x:v>
      </x:c>
      <x:c r="I47" s="275" t="str">
        <x:v>伤官在M3中形成有效功能信号；至少由日支主／中气、亲密关系近位透干有根、独立流向或两类相互支持证据之一确认；原十神性质未被真合化替代。</x:v>
      </x:c>
      <x:c r="J47" s="275" t="str">
        <x:v>伤官仅为单一弱远、无根或争议信号；基础十神映射未定；真合化后原十神性质失效；仅由同一source_id重复支持。</x:v>
      </x:c>
      <x:c r="K47" s="275" t="str">
        <x:v>不限定；由共享基础引擎与M3-STATE修正</x:v>
      </x:c>
      <x:c r="L47" s="275" t="str">
        <x:v>不限定；M3-EXPR不以夫妻星为唯一主轴</x:v>
      </x:c>
      <x:c r="M47" s="275" t="str">
        <x:v>由M3-BASE、日支结构及共享引擎提供</x:v>
      </x:c>
      <x:c r="N47" s="275" t="str">
        <x:v>无／待表达路径规则组合</x:v>
      </x:c>
      <x:c r="O47" s="275" t="str">
        <x:v>全局有效信号；日柱及亲密关系近位优先</x:v>
      </x:c>
      <x:c r="P47" s="275" t="str">
        <x:v>由共享基础引擎判定</x:v>
      </x:c>
      <x:c r="Q47" s="275" t="str">
        <x:v>由共享基础引擎判定</x:v>
      </x:c>
      <x:c r="R47" s="275" t="str">
        <x:v>喜忌不直接等于会不会表达；只修正调用顺畅度与强度</x:v>
      </x:c>
      <x:c r="S47" s="275" t="str">
        <x:v>原十神性质有效；真合化成立时按化神路由</x:v>
      </x:c>
      <x:c r="T47" s="275" t="str">
        <x:v>由共享基础引擎判定</x:v>
      </x:c>
      <x:c r="U47" s="275" t="str">
        <x:v>78</x:v>
      </x:c>
      <x:c r="V47" s="275" t="str">
        <x:v>response_style +8</x:v>
      </x:c>
      <x:c r="W47" s="275" t="str">
        <x:v>response_style</x:v>
      </x:c>
      <x:c r="X47" s="275" t="str">
        <x:v>伤官通道会影响用户更容易接收怎样的表达：更容易接收有内容、能回应具体问题、允许讨论和解释的沟通。这里只描述接收偏好与回应入口，不评价对方表达是否正确。</x:v>
      </x:c>
      <x:c r="Y47" s="275" t="str">
        <x:v>你通常更容易回应这样的沟通：更容易接收有内容、能回应具体问题、允许讨论和解释的沟通。</x:v>
      </x:c>
      <x:c r="Z47" s="275" t="str">
        <x:v>不得推出用户说话刻薄、爱否定、一定吵架、缺乏尊重或感情不稳定。 不得据此要求伴侣只能用单一方式沟通，也不得推出其他方式一定无效。</x:v>
      </x:c>
      <x:c r="AA47" s="275" t="str">
        <x:v>中低</x:v>
      </x:c>
      <x:c r="AB47" s="275" t="str">
        <x:v>待验证</x:v>
      </x:c>
      <x:c r="AC47" s="275" t="str"/>
      <x:c r="AD47" s="275" t="str">
        <x:v>provisional=true; channel=X04; deity=伤官; facet=response</x:v>
      </x:c>
      <x:c r="AE47" s="276" t="str">
        <x:v>0.3</x:v>
      </x:c>
    </x:row>
    <x:row r="48">
      <x:c r="A48" s="273" t="str">
        <x:v>M3-EXPR-044</x:v>
      </x:c>
      <x:c r="B48" s="274" t="str">
        <x:v>伤官｜分析澄清用户摘要</x:v>
      </x:c>
      <x:c r="C48" s="275" t="str">
        <x:v>L7 总合成与边界审查</x:v>
      </x:c>
      <x:c r="D48" s="275" t="str">
        <x:v>EXPR-十神通道</x:v>
      </x:c>
      <x:c r="E48" s="275" t="str">
        <x:v>通用</x:v>
      </x:c>
      <x:c r="F48" s="275" t="str">
        <x:v>输出</x:v>
      </x:c>
      <x:c r="G48" s="275" t="str">
        <x:v>X04 分析澄清</x:v>
      </x:c>
      <x:c r="H48" s="275" t="str"/>
      <x:c r="I48" s="275" t="str">
        <x:v>X04已进入主通道或有效次通道，且未被去重、停止或真合化替代。</x:v>
      </x:c>
      <x:c r="J48" s="275" t="str">
        <x:v>X04已被删除、降为仅内部候选或基础状态停止。</x:v>
      </x:c>
      <x:c r="K48" s="275" t="str">
        <x:v>不限定；由共享基础引擎与M3-STATE修正</x:v>
      </x:c>
      <x:c r="L48" s="275" t="str">
        <x:v>不限定；M3-EXPR不以夫妻星为唯一主轴</x:v>
      </x:c>
      <x:c r="M48" s="275" t="str">
        <x:v>由M3-BASE、日支结构及共享引擎提供</x:v>
      </x:c>
      <x:c r="N48" s="275" t="str">
        <x:v>无／待表达路径规则组合</x:v>
      </x:c>
      <x:c r="O48" s="275" t="str">
        <x:v>全局有效信号；日柱及亲密关系近位优先</x:v>
      </x:c>
      <x:c r="P48" s="275" t="str">
        <x:v>由共享基础引擎判定</x:v>
      </x:c>
      <x:c r="Q48" s="275" t="str">
        <x:v>由共享基础引擎判定</x:v>
      </x:c>
      <x:c r="R48" s="275" t="str">
        <x:v>喜忌不直接等于会不会表达；只修正调用顺畅度与强度</x:v>
      </x:c>
      <x:c r="S48" s="275" t="str">
        <x:v>原十神性质有效；真合化成立时按化神路由</x:v>
      </x:c>
      <x:c r="T48" s="275" t="str">
        <x:v>由共享基础引擎判定</x:v>
      </x:c>
      <x:c r="U48" s="275" t="str">
        <x:v>66</x:v>
      </x:c>
      <x:c r="V48" s="275" t="str">
        <x:v>不加分</x:v>
      </x:c>
      <x:c r="W48" s="275" t="str">
        <x:v>basis_summary</x:v>
      </x:c>
      <x:c r="X48" s="275" t="str">
        <x:v>生成伤官表达通道的折叠依据：核心为通过说清逻辑、指出差异、提出问题和完整表达观点来建立理解。并保留正偏风格，而不把十神名称直接展示为人格标签。</x:v>
      </x:c>
      <x:c r="Y48" s="275" t="str">
        <x:v>从传统八字取象看，你的表达方式更接近“分析澄清”：通过说清逻辑、指出差异、提出问题和完整表达观点来建立理解。</x:v>
      </x:c>
      <x:c r="Z48" s="275" t="str">
        <x:v>不得推出用户说话刻薄、爱否定、一定吵架、缺乏尊重或感情不稳定。 折叠依据只用于解释，不得在正文堆叠十神术语。</x:v>
      </x:c>
      <x:c r="AA48" s="275" t="str">
        <x:v>中</x:v>
      </x:c>
      <x:c r="AB48" s="275" t="str">
        <x:v>待验证</x:v>
      </x:c>
      <x:c r="AC48" s="275" t="str"/>
      <x:c r="AD48" s="275" t="str">
        <x:v>provisional=true; channel=X04; deity=伤官; facet=summary</x:v>
      </x:c>
      <x:c r="AE48" s="276" t="str">
        <x:v>0.3</x:v>
      </x:c>
    </x:row>
    <x:row r="49">
      <x:c r="A49" s="273" t="str">
        <x:v>M3-EXPR-045</x:v>
      </x:c>
      <x:c r="B49" s="274" t="str">
        <x:v>正财｜X05 实际落实核心表达通道</x:v>
      </x:c>
      <x:c r="C49" s="275" t="str">
        <x:v>L1 主要表达通道</x:v>
      </x:c>
      <x:c r="D49" s="275" t="str">
        <x:v>EXPR-十神通道</x:v>
      </x:c>
      <x:c r="E49" s="275" t="str">
        <x:v>通用</x:v>
      </x:c>
      <x:c r="F49" s="275" t="str">
        <x:v>基础</x:v>
      </x:c>
      <x:c r="G49" s="275" t="str">
        <x:v>有效正财表达信号／X05 实际落实</x:v>
      </x:c>
      <x:c r="H49" s="275" t="str"/>
      <x:c r="I49" s="275" t="str">
        <x:v>正财在M3中形成有效功能信号；至少由日支主／中气、亲密关系近位透干有根、独立流向或两类相互支持证据之一确认；原十神性质未被真合化替代。</x:v>
      </x:c>
      <x:c r="J49" s="275" t="str">
        <x:v>正财仅为单一弱远、无根或争议信号；基础十神映射未定；真合化后原十神性质失效；仅由同一source_id重复支持。</x:v>
      </x:c>
      <x:c r="K49" s="275" t="str">
        <x:v>不限定；由共享基础引擎与M3-STATE修正</x:v>
      </x:c>
      <x:c r="L49" s="275" t="str">
        <x:v>不限定；M3-EXPR不以夫妻星为唯一主轴</x:v>
      </x:c>
      <x:c r="M49" s="275" t="str">
        <x:v>由M3-BASE、日支结构及共享引擎提供</x:v>
      </x:c>
      <x:c r="N49" s="275" t="str">
        <x:v>无／待表达路径规则组合</x:v>
      </x:c>
      <x:c r="O49" s="275" t="str">
        <x:v>全局有效信号；日柱及亲密关系近位优先</x:v>
      </x:c>
      <x:c r="P49" s="275" t="str">
        <x:v>由共享基础引擎判定</x:v>
      </x:c>
      <x:c r="Q49" s="275" t="str">
        <x:v>由共享基础引擎判定</x:v>
      </x:c>
      <x:c r="R49" s="275" t="str">
        <x:v>喜忌不直接等于会不会表达；只修正调用顺畅度与强度</x:v>
      </x:c>
      <x:c r="S49" s="275" t="str">
        <x:v>原十神性质有效；真合化成立时按化神路由</x:v>
      </x:c>
      <x:c r="T49" s="275" t="str">
        <x:v>由共享基础引擎判定</x:v>
      </x:c>
      <x:c r="U49" s="275" t="str">
        <x:v>94</x:v>
      </x:c>
      <x:c r="V49" s="275" t="str">
        <x:v>X05主通道 +22</x:v>
      </x:c>
      <x:c r="W49" s="275" t="str">
        <x:v>primary_expression_channel</x:v>
      </x:c>
      <x:c r="X49" s="275" t="str">
        <x:v>正财属于SYS03 投入经营系统。在M3-EXPR中，其核心功能为：更习惯把在意转化为具体安排、持续行动和可执行的日常细节。该规则只确定主要表达通道候选，不单独锁定频率、压力表现和沟通结果。</x:v>
      </x:c>
      <x:c r="Y49" s="275" t="str">
        <x:v>你更习惯更习惯把在意转化为具体安排、持续行动和可执行的日常细节。</x:v>
      </x:c>
      <x:c r="Z49" s="275" t="str">
        <x:v>不得推出用户功利、只看物质、不浪漫、算计付出或一定传统保守。 不得把该通道等同于感情深浅、沟通效果或关系结果。</x:v>
      </x:c>
      <x:c r="AA49" s="275" t="str">
        <x:v>中高</x:v>
      </x:c>
      <x:c r="AB49" s="275" t="str">
        <x:v>待验证</x:v>
      </x:c>
      <x:c r="AC49" s="275" t="str"/>
      <x:c r="AD49" s="275" t="str">
        <x:v>provisional=true; channel=X05; deity=正财; facet=core</x:v>
      </x:c>
      <x:c r="AE49" s="276" t="str">
        <x:v>0.3</x:v>
      </x:c>
    </x:row>
    <x:row r="50">
      <x:c r="A50" s="273" t="str">
        <x:v>M3-EXPR-046</x:v>
      </x:c>
      <x:c r="B50" s="274" t="str">
        <x:v>正财｜在意与喜欢的表达</x:v>
      </x:c>
      <x:c r="C50" s="275" t="str">
        <x:v>L2 情感表达</x:v>
      </x:c>
      <x:c r="D50" s="275" t="str">
        <x:v>EXPR-十神通道</x:v>
      </x:c>
      <x:c r="E50" s="275" t="str">
        <x:v>通用</x:v>
      </x:c>
      <x:c r="F50" s="275" t="str">
        <x:v>行为映射</x:v>
      </x:c>
      <x:c r="G50" s="275" t="str">
        <x:v>X05 实际落实</x:v>
      </x:c>
      <x:c r="H50" s="275" t="str">
        <x:v>affection_expression</x:v>
      </x:c>
      <x:c r="I50" s="275" t="str">
        <x:v>正财在M3中形成有效功能信号；至少由日支主／中气、亲密关系近位透干有根、独立流向或两类相互支持证据之一确认；原十神性质未被真合化替代。</x:v>
      </x:c>
      <x:c r="J50" s="275" t="str">
        <x:v>正财仅为单一弱远、无根或争议信号；基础十神映射未定；真合化后原十神性质失效；仅由同一source_id重复支持。</x:v>
      </x:c>
      <x:c r="K50" s="275" t="str">
        <x:v>不限定；由共享基础引擎与M3-STATE修正</x:v>
      </x:c>
      <x:c r="L50" s="275" t="str">
        <x:v>不限定；M3-EXPR不以夫妻星为唯一主轴</x:v>
      </x:c>
      <x:c r="M50" s="275" t="str">
        <x:v>由M3-BASE、日支结构及共享引擎提供</x:v>
      </x:c>
      <x:c r="N50" s="275" t="str">
        <x:v>无／待表达路径规则组合</x:v>
      </x:c>
      <x:c r="O50" s="275" t="str">
        <x:v>全局有效信号；日柱及亲密关系近位优先</x:v>
      </x:c>
      <x:c r="P50" s="275" t="str">
        <x:v>由共享基础引擎判定</x:v>
      </x:c>
      <x:c r="Q50" s="275" t="str">
        <x:v>由共享基础引擎判定</x:v>
      </x:c>
      <x:c r="R50" s="275" t="str">
        <x:v>喜忌不直接等于会不会表达；只修正调用顺畅度与强度</x:v>
      </x:c>
      <x:c r="S50" s="275" t="str">
        <x:v>原十神性质有效；真合化成立时按化神路由</x:v>
      </x:c>
      <x:c r="T50" s="275" t="str">
        <x:v>由共享基础引擎判定</x:v>
      </x:c>
      <x:c r="U50" s="275" t="str">
        <x:v>86</x:v>
      </x:c>
      <x:c r="V50" s="275" t="str">
        <x:v>affection_expression +12</x:v>
      </x:c>
      <x:c r="W50" s="275" t="str">
        <x:v>affection_expression</x:v>
      </x:c>
      <x:c r="X50" s="275" t="str">
        <x:v>正财通道在情感表达上的可观察形式为：通过记得承诺、安排时间、处理生活事务、稳定出现和持续做小事表达重视。是否高频、持续或被对方识别，仍需CARE、状态和案例反馈复核。</x:v>
      </x:c>
      <x:c r="Y50" s="275" t="str">
        <x:v>你往往会通过记得承诺、安排时间、处理生活事务、稳定出现和持续做小事表达重视。</x:v>
      </x:c>
      <x:c r="Z50" s="275" t="str">
        <x:v>不得推出用户功利、只看物质、不浪漫、算计付出或一定传统保守。 不得据此定量判断谁付出更多，也不得推出对方一定能识别这份表达。</x:v>
      </x:c>
      <x:c r="AA50" s="275" t="str">
        <x:v>中</x:v>
      </x:c>
      <x:c r="AB50" s="275" t="str">
        <x:v>待验证</x:v>
      </x:c>
      <x:c r="AC50" s="275" t="str"/>
      <x:c r="AD50" s="275" t="str">
        <x:v>provisional=true; channel=X05; deity=正财; facet=affection</x:v>
      </x:c>
      <x:c r="AE50" s="276" t="str">
        <x:v>0.3</x:v>
      </x:c>
    </x:row>
    <x:row r="51">
      <x:c r="A51" s="273" t="str">
        <x:v>M3-EXPR-047</x:v>
      </x:c>
      <x:c r="B51" s="274" t="str">
        <x:v>正财｜情绪外化方式</x:v>
      </x:c>
      <x:c r="C51" s="275" t="str">
        <x:v>L3 情绪与需求表达</x:v>
      </x:c>
      <x:c r="D51" s="275" t="str">
        <x:v>EXPR-十神通道</x:v>
      </x:c>
      <x:c r="E51" s="275" t="str">
        <x:v>通用</x:v>
      </x:c>
      <x:c r="F51" s="275" t="str">
        <x:v>行为映射</x:v>
      </x:c>
      <x:c r="G51" s="275" t="str">
        <x:v>X05 实际落实</x:v>
      </x:c>
      <x:c r="H51" s="275" t="str">
        <x:v>emotion_expression</x:v>
      </x:c>
      <x:c r="I51" s="275" t="str">
        <x:v>正财在M3中形成有效功能信号；至少由日支主／中气、亲密关系近位透干有根、独立流向或两类相互支持证据之一确认；原十神性质未被真合化替代。</x:v>
      </x:c>
      <x:c r="J51" s="275" t="str">
        <x:v>正财仅为单一弱远、无根或争议信号；基础十神映射未定；真合化后原十神性质失效；仅由同一source_id重复支持。</x:v>
      </x:c>
      <x:c r="K51" s="275" t="str">
        <x:v>不限定；由共享基础引擎与M3-STATE修正</x:v>
      </x:c>
      <x:c r="L51" s="275" t="str">
        <x:v>不限定；M3-EXPR不以夫妻星为唯一主轴</x:v>
      </x:c>
      <x:c r="M51" s="275" t="str">
        <x:v>由M3-BASE、日支结构及共享引擎提供</x:v>
      </x:c>
      <x:c r="N51" s="275" t="str">
        <x:v>无／待表达路径规则组合</x:v>
      </x:c>
      <x:c r="O51" s="275" t="str">
        <x:v>全局有效信号；日柱及亲密关系近位优先</x:v>
      </x:c>
      <x:c r="P51" s="275" t="str">
        <x:v>由共享基础引擎判定</x:v>
      </x:c>
      <x:c r="Q51" s="275" t="str">
        <x:v>由共享基础引擎判定</x:v>
      </x:c>
      <x:c r="R51" s="275" t="str">
        <x:v>喜忌不直接等于会不会表达；只修正调用顺畅度与强度</x:v>
      </x:c>
      <x:c r="S51" s="275" t="str">
        <x:v>原十神性质有效；真合化成立时按化神路由</x:v>
      </x:c>
      <x:c r="T51" s="275" t="str">
        <x:v>由共享基础引擎判定</x:v>
      </x:c>
      <x:c r="U51" s="275" t="str">
        <x:v>84</x:v>
      </x:c>
      <x:c r="V51" s="275" t="str">
        <x:v>emotion_expression +10</x:v>
      </x:c>
      <x:c r="W51" s="275" t="str">
        <x:v>emotion_expression</x:v>
      </x:c>
      <x:c r="X51" s="275" t="str">
        <x:v>正财通道对情绪外化的修正为：情绪表达往往会落到“接下来怎么做、需要怎样安排”上，事实与行动比抽象表态更重要。该规则描述平稳和一般情境的时序，不直接推断冲突时表现。</x:v>
      </x:c>
      <x:c r="Y51" s="275" t="str">
        <x:v>当你有情绪时，通常更可能情绪表达往往会落到“接下来怎么做、需要怎样安排”上，事实与行动比抽象表态更重要。</x:v>
      </x:c>
      <x:c r="Z51" s="275" t="str">
        <x:v>不得推出用户功利、只看物质、不浪漫、算计付出或一定传统保守。 不得把表达较慢、较简短或偏行动化解释为没有情绪或拒绝沟通。</x:v>
      </x:c>
      <x:c r="AA51" s="275" t="str">
        <x:v>中</x:v>
      </x:c>
      <x:c r="AB51" s="275" t="str">
        <x:v>待验证</x:v>
      </x:c>
      <x:c r="AC51" s="275" t="str"/>
      <x:c r="AD51" s="275" t="str">
        <x:v>provisional=true; channel=X05; deity=正财; facet=emotion</x:v>
      </x:c>
      <x:c r="AE51" s="276" t="str">
        <x:v>0.3</x:v>
      </x:c>
    </x:row>
    <x:row r="52">
      <x:c r="A52" s="273" t="str">
        <x:v>M3-EXPR-048</x:v>
      </x:c>
      <x:c r="B52" s="274" t="str">
        <x:v>正财｜需求与观点表达</x:v>
      </x:c>
      <x:c r="C52" s="275" t="str">
        <x:v>L3 情绪与需求表达</x:v>
      </x:c>
      <x:c r="D52" s="275" t="str">
        <x:v>EXPR-十神通道</x:v>
      </x:c>
      <x:c r="E52" s="275" t="str">
        <x:v>通用</x:v>
      </x:c>
      <x:c r="F52" s="275" t="str">
        <x:v>行为映射</x:v>
      </x:c>
      <x:c r="G52" s="275" t="str">
        <x:v>X05 实际落实</x:v>
      </x:c>
      <x:c r="H52" s="275" t="str">
        <x:v>need_expression</x:v>
      </x:c>
      <x:c r="I52" s="275" t="str">
        <x:v>正财在M3中形成有效功能信号；至少由日支主／中气、亲密关系近位透干有根、独立流向或两类相互支持证据之一确认；原十神性质未被真合化替代。</x:v>
      </x:c>
      <x:c r="J52" s="275" t="str">
        <x:v>正财仅为单一弱远、无根或争议信号；基础十神映射未定；真合化后原十神性质失效；仅由同一source_id重复支持。</x:v>
      </x:c>
      <x:c r="K52" s="275" t="str">
        <x:v>不限定；由共享基础引擎与M3-STATE修正</x:v>
      </x:c>
      <x:c r="L52" s="275" t="str">
        <x:v>不限定；M3-EXPR不以夫妻星为唯一主轴</x:v>
      </x:c>
      <x:c r="M52" s="275" t="str">
        <x:v>由M3-BASE、日支结构及共享引擎提供</x:v>
      </x:c>
      <x:c r="N52" s="275" t="str">
        <x:v>无／待表达路径规则组合</x:v>
      </x:c>
      <x:c r="O52" s="275" t="str">
        <x:v>全局有效信号；日柱及亲密关系近位优先</x:v>
      </x:c>
      <x:c r="P52" s="275" t="str">
        <x:v>由共享基础引擎判定</x:v>
      </x:c>
      <x:c r="Q52" s="275" t="str">
        <x:v>由共享基础引擎判定</x:v>
      </x:c>
      <x:c r="R52" s="275" t="str">
        <x:v>喜忌不直接等于会不会表达；只修正调用顺畅度与强度</x:v>
      </x:c>
      <x:c r="S52" s="275" t="str">
        <x:v>原十神性质有效；真合化成立时按化神路由</x:v>
      </x:c>
      <x:c r="T52" s="275" t="str">
        <x:v>由共享基础引擎判定</x:v>
      </x:c>
      <x:c r="U52" s="275" t="str">
        <x:v>83</x:v>
      </x:c>
      <x:c r="V52" s="275" t="str">
        <x:v>need_expression +10</x:v>
      </x:c>
      <x:c r="W52" s="275" t="str">
        <x:v>need_expression／communication_style</x:v>
      </x:c>
      <x:c r="X52" s="275" t="str">
        <x:v>正财通道在需求和观点表达上的常见形式为：倾向把需求说成具体事项、时间安排和可落实的分工，希望对方给出稳定回应。能否长期执行这些条件由BOUND模块判断。</x:v>
      </x:c>
      <x:c r="Y52" s="275" t="str">
        <x:v>当你需要说明自己的需要或想法时，通常更倾向倾向把需求说成具体事项、时间安排和可落实的分工，希望对方给出稳定回应。</x:v>
      </x:c>
      <x:c r="Z52" s="275" t="str">
        <x:v>不得推出用户功利、只看物质、不浪漫、算计付出或一定传统保守。 不得把能说清条件等同于一定能执行边界，也不得把含蓄表达等同于让人猜。</x:v>
      </x:c>
      <x:c r="AA52" s="275" t="str">
        <x:v>中</x:v>
      </x:c>
      <x:c r="AB52" s="275" t="str">
        <x:v>待验证</x:v>
      </x:c>
      <x:c r="AC52" s="275" t="str"/>
      <x:c r="AD52" s="275" t="str">
        <x:v>provisional=true; channel=X05; deity=正财; facet=need</x:v>
      </x:c>
      <x:c r="AE52" s="276" t="str">
        <x:v>0.3</x:v>
      </x:c>
    </x:row>
    <x:row r="53">
      <x:c r="A53" s="273" t="str">
        <x:v>M3-EXPR-049</x:v>
      </x:c>
      <x:c r="B53" s="274" t="str">
        <x:v>正财｜接收与回应对方表达</x:v>
      </x:c>
      <x:c r="C53" s="275" t="str">
        <x:v>L4 沟通顺序与回应</x:v>
      </x:c>
      <x:c r="D53" s="275" t="str">
        <x:v>EXPR-十神通道</x:v>
      </x:c>
      <x:c r="E53" s="275" t="str">
        <x:v>通用</x:v>
      </x:c>
      <x:c r="F53" s="275" t="str">
        <x:v>回应映射</x:v>
      </x:c>
      <x:c r="G53" s="275" t="str">
        <x:v>X05 实际落实</x:v>
      </x:c>
      <x:c r="H53" s="275" t="str">
        <x:v>response_style</x:v>
      </x:c>
      <x:c r="I53" s="275" t="str">
        <x:v>正财在M3中形成有效功能信号；至少由日支主／中气、亲密关系近位透干有根、独立流向或两类相互支持证据之一确认；原十神性质未被真合化替代。</x:v>
      </x:c>
      <x:c r="J53" s="275" t="str">
        <x:v>正财仅为单一弱远、无根或争议信号；基础十神映射未定；真合化后原十神性质失效；仅由同一source_id重复支持。</x:v>
      </x:c>
      <x:c r="K53" s="275" t="str">
        <x:v>不限定；由共享基础引擎与M3-STATE修正</x:v>
      </x:c>
      <x:c r="L53" s="275" t="str">
        <x:v>不限定；M3-EXPR不以夫妻星为唯一主轴</x:v>
      </x:c>
      <x:c r="M53" s="275" t="str">
        <x:v>由M3-BASE、日支结构及共享引擎提供</x:v>
      </x:c>
      <x:c r="N53" s="275" t="str">
        <x:v>无／待表达路径规则组合</x:v>
      </x:c>
      <x:c r="O53" s="275" t="str">
        <x:v>全局有效信号；日柱及亲密关系近位优先</x:v>
      </x:c>
      <x:c r="P53" s="275" t="str">
        <x:v>由共享基础引擎判定</x:v>
      </x:c>
      <x:c r="Q53" s="275" t="str">
        <x:v>由共享基础引擎判定</x:v>
      </x:c>
      <x:c r="R53" s="275" t="str">
        <x:v>喜忌不直接等于会不会表达；只修正调用顺畅度与强度</x:v>
      </x:c>
      <x:c r="S53" s="275" t="str">
        <x:v>原十神性质有效；真合化成立时按化神路由</x:v>
      </x:c>
      <x:c r="T53" s="275" t="str">
        <x:v>由共享基础引擎判定</x:v>
      </x:c>
      <x:c r="U53" s="275" t="str">
        <x:v>78</x:v>
      </x:c>
      <x:c r="V53" s="275" t="str">
        <x:v>response_style +8</x:v>
      </x:c>
      <x:c r="W53" s="275" t="str">
        <x:v>response_style</x:v>
      </x:c>
      <x:c r="X53" s="275" t="str">
        <x:v>正财通道会影响用户更容易接收怎样的表达：更容易通过对方是否持续行动、是否把话落实到日常来判断自己是否被理解。这里只描述接收偏好与回应入口，不评价对方表达是否正确。</x:v>
      </x:c>
      <x:c r="Y53" s="275" t="str">
        <x:v>你通常更容易回应这样的沟通：更容易通过对方是否持续行动、是否把话落实到日常来判断自己是否被理解。</x:v>
      </x:c>
      <x:c r="Z53" s="275" t="str">
        <x:v>不得推出用户功利、只看物质、不浪漫、算计付出或一定传统保守。 不得据此要求伴侣只能用单一方式沟通，也不得推出其他方式一定无效。</x:v>
      </x:c>
      <x:c r="AA53" s="275" t="str">
        <x:v>中低</x:v>
      </x:c>
      <x:c r="AB53" s="275" t="str">
        <x:v>待验证</x:v>
      </x:c>
      <x:c r="AC53" s="275" t="str"/>
      <x:c r="AD53" s="275" t="str">
        <x:v>provisional=true; channel=X05; deity=正财; facet=response</x:v>
      </x:c>
      <x:c r="AE53" s="276" t="str">
        <x:v>0.3</x:v>
      </x:c>
    </x:row>
    <x:row r="54">
      <x:c r="A54" s="273" t="str">
        <x:v>M3-EXPR-050</x:v>
      </x:c>
      <x:c r="B54" s="274" t="str">
        <x:v>正财｜实际落实用户摘要</x:v>
      </x:c>
      <x:c r="C54" s="275" t="str">
        <x:v>L7 总合成与边界审查</x:v>
      </x:c>
      <x:c r="D54" s="275" t="str">
        <x:v>EXPR-十神通道</x:v>
      </x:c>
      <x:c r="E54" s="275" t="str">
        <x:v>通用</x:v>
      </x:c>
      <x:c r="F54" s="275" t="str">
        <x:v>输出</x:v>
      </x:c>
      <x:c r="G54" s="275" t="str">
        <x:v>X05 实际落实</x:v>
      </x:c>
      <x:c r="H54" s="275" t="str"/>
      <x:c r="I54" s="275" t="str">
        <x:v>X05已进入主通道或有效次通道，且未被去重、停止或真合化替代。</x:v>
      </x:c>
      <x:c r="J54" s="275" t="str">
        <x:v>X05已被删除、降为仅内部候选或基础状态停止。</x:v>
      </x:c>
      <x:c r="K54" s="275" t="str">
        <x:v>不限定；由共享基础引擎与M3-STATE修正</x:v>
      </x:c>
      <x:c r="L54" s="275" t="str">
        <x:v>不限定；M3-EXPR不以夫妻星为唯一主轴</x:v>
      </x:c>
      <x:c r="M54" s="275" t="str">
        <x:v>由M3-BASE、日支结构及共享引擎提供</x:v>
      </x:c>
      <x:c r="N54" s="275" t="str">
        <x:v>无／待表达路径规则组合</x:v>
      </x:c>
      <x:c r="O54" s="275" t="str">
        <x:v>全局有效信号；日柱及亲密关系近位优先</x:v>
      </x:c>
      <x:c r="P54" s="275" t="str">
        <x:v>由共享基础引擎判定</x:v>
      </x:c>
      <x:c r="Q54" s="275" t="str">
        <x:v>由共享基础引擎判定</x:v>
      </x:c>
      <x:c r="R54" s="275" t="str">
        <x:v>喜忌不直接等于会不会表达；只修正调用顺畅度与强度</x:v>
      </x:c>
      <x:c r="S54" s="275" t="str">
        <x:v>原十神性质有效；真合化成立时按化神路由</x:v>
      </x:c>
      <x:c r="T54" s="275" t="str">
        <x:v>由共享基础引擎判定</x:v>
      </x:c>
      <x:c r="U54" s="275" t="str">
        <x:v>66</x:v>
      </x:c>
      <x:c r="V54" s="275" t="str">
        <x:v>不加分</x:v>
      </x:c>
      <x:c r="W54" s="275" t="str">
        <x:v>basis_summary</x:v>
      </x:c>
      <x:c r="X54" s="275" t="str">
        <x:v>生成正财表达通道的折叠依据：核心为更习惯把在意转化为具体安排、持续行动和可执行的日常细节。并保留正偏风格，而不把十神名称直接展示为人格标签。</x:v>
      </x:c>
      <x:c r="Y54" s="275" t="str">
        <x:v>从传统八字取象看，你的表达方式更接近“实际落实”：更习惯把在意转化为具体安排、持续行动和可执行的日常细节。</x:v>
      </x:c>
      <x:c r="Z54" s="275" t="str">
        <x:v>不得推出用户功利、只看物质、不浪漫、算计付出或一定传统保守。 折叠依据只用于解释，不得在正文堆叠十神术语。</x:v>
      </x:c>
      <x:c r="AA54" s="275" t="str">
        <x:v>中</x:v>
      </x:c>
      <x:c r="AB54" s="275" t="str">
        <x:v>待验证</x:v>
      </x:c>
      <x:c r="AC54" s="275" t="str"/>
      <x:c r="AD54" s="275" t="str">
        <x:v>provisional=true; channel=X05; deity=正财; facet=summary</x:v>
      </x:c>
      <x:c r="AE54" s="276" t="str">
        <x:v>0.3</x:v>
      </x:c>
    </x:row>
    <x:row r="55">
      <x:c r="A55" s="273" t="str">
        <x:v>M3-EXPR-051</x:v>
      </x:c>
      <x:c r="B55" s="274" t="str">
        <x:v>偏财｜X06 氛围回应核心表达通道</x:v>
      </x:c>
      <x:c r="C55" s="275" t="str">
        <x:v>L1 主要表达通道</x:v>
      </x:c>
      <x:c r="D55" s="275" t="str">
        <x:v>EXPR-十神通道</x:v>
      </x:c>
      <x:c r="E55" s="275" t="str">
        <x:v>通用</x:v>
      </x:c>
      <x:c r="F55" s="275" t="str">
        <x:v>基础</x:v>
      </x:c>
      <x:c r="G55" s="275" t="str">
        <x:v>有效偏财表达信号／X06 氛围回应</x:v>
      </x:c>
      <x:c r="H55" s="275" t="str"/>
      <x:c r="I55" s="275" t="str">
        <x:v>偏财在M3中形成有效功能信号；至少由日支主／中气、亲密关系近位透干有根、独立流向或两类相互支持证据之一确认；原十神性质未被真合化替代。</x:v>
      </x:c>
      <x:c r="J55" s="275" t="str">
        <x:v>偏财仅为单一弱远、无根或争议信号；基础十神映射未定；真合化后原十神性质失效；仅由同一source_id重复支持。</x:v>
      </x:c>
      <x:c r="K55" s="275" t="str">
        <x:v>不限定；由共享基础引擎与M3-STATE修正</x:v>
      </x:c>
      <x:c r="L55" s="275" t="str">
        <x:v>不限定；M3-EXPR不以夫妻星为唯一主轴</x:v>
      </x:c>
      <x:c r="M55" s="275" t="str">
        <x:v>由M3-BASE、日支结构及共享引擎提供</x:v>
      </x:c>
      <x:c r="N55" s="275" t="str">
        <x:v>无／待表达路径规则组合</x:v>
      </x:c>
      <x:c r="O55" s="275" t="str">
        <x:v>全局有效信号；日柱及亲密关系近位优先</x:v>
      </x:c>
      <x:c r="P55" s="275" t="str">
        <x:v>由共享基础引擎判定</x:v>
      </x:c>
      <x:c r="Q55" s="275" t="str">
        <x:v>由共享基础引擎判定</x:v>
      </x:c>
      <x:c r="R55" s="275" t="str">
        <x:v>喜忌不直接等于会不会表达；只修正调用顺畅度与强度</x:v>
      </x:c>
      <x:c r="S55" s="275" t="str">
        <x:v>原十神性质有效；真合化成立时按化神路由</x:v>
      </x:c>
      <x:c r="T55" s="275" t="str">
        <x:v>由共享基础引擎判定</x:v>
      </x:c>
      <x:c r="U55" s="275" t="str">
        <x:v>94</x:v>
      </x:c>
      <x:c r="V55" s="275" t="str">
        <x:v>X06主通道 +22</x:v>
      </x:c>
      <x:c r="W55" s="275" t="str">
        <x:v>primary_expression_channel</x:v>
      </x:c>
      <x:c r="X55" s="275" t="str">
        <x:v>偏财属于SYS03 投入经营系统。在M3-EXPR中，其核心功能为：通过灵活互动、共同体验、及时回应和营造有来有往的氛围表达感受。该规则只确定主要表达通道候选，不单独锁定频率、压力表现和沟通结果。</x:v>
      </x:c>
      <x:c r="Y55" s="275" t="str">
        <x:v>你更习惯通过灵活互动、共同体验、及时回应和营造有来有往的氛围表达感受。</x:v>
      </x:c>
      <x:c r="Z55" s="275" t="str">
        <x:v>不得推出用户花心、只追求新鲜、不会长期投入、爱暧昧或一定外向。 不得把该通道等同于感情深浅、沟通效果或关系结果。</x:v>
      </x:c>
      <x:c r="AA55" s="275" t="str">
        <x:v>中高</x:v>
      </x:c>
      <x:c r="AB55" s="275" t="str">
        <x:v>待验证</x:v>
      </x:c>
      <x:c r="AC55" s="275" t="str"/>
      <x:c r="AD55" s="275" t="str">
        <x:v>provisional=true; channel=X06; deity=偏财; facet=core</x:v>
      </x:c>
      <x:c r="AE55" s="276" t="str">
        <x:v>0.3</x:v>
      </x:c>
    </x:row>
    <x:row r="56">
      <x:c r="A56" s="273" t="str">
        <x:v>M3-EXPR-052</x:v>
      </x:c>
      <x:c r="B56" s="274" t="str">
        <x:v>偏财｜在意与喜欢的表达</x:v>
      </x:c>
      <x:c r="C56" s="275" t="str">
        <x:v>L2 情感表达</x:v>
      </x:c>
      <x:c r="D56" s="275" t="str">
        <x:v>EXPR-十神通道</x:v>
      </x:c>
      <x:c r="E56" s="275" t="str">
        <x:v>通用</x:v>
      </x:c>
      <x:c r="F56" s="275" t="str">
        <x:v>行为映射</x:v>
      </x:c>
      <x:c r="G56" s="275" t="str">
        <x:v>X06 氛围回应</x:v>
      </x:c>
      <x:c r="H56" s="275" t="str">
        <x:v>affection_expression</x:v>
      </x:c>
      <x:c r="I56" s="275" t="str">
        <x:v>偏财在M3中形成有效功能信号；至少由日支主／中气、亲密关系近位透干有根、独立流向或两类相互支持证据之一确认；原十神性质未被真合化替代。</x:v>
      </x:c>
      <x:c r="J56" s="275" t="str">
        <x:v>偏财仅为单一弱远、无根或争议信号；基础十神映射未定；真合化后原十神性质失效；仅由同一source_id重复支持。</x:v>
      </x:c>
      <x:c r="K56" s="275" t="str">
        <x:v>不限定；由共享基础引擎与M3-STATE修正</x:v>
      </x:c>
      <x:c r="L56" s="275" t="str">
        <x:v>不限定；M3-EXPR不以夫妻星为唯一主轴</x:v>
      </x:c>
      <x:c r="M56" s="275" t="str">
        <x:v>由M3-BASE、日支结构及共享引擎提供</x:v>
      </x:c>
      <x:c r="N56" s="275" t="str">
        <x:v>无／待表达路径规则组合</x:v>
      </x:c>
      <x:c r="O56" s="275" t="str">
        <x:v>全局有效信号；日柱及亲密关系近位优先</x:v>
      </x:c>
      <x:c r="P56" s="275" t="str">
        <x:v>由共享基础引擎判定</x:v>
      </x:c>
      <x:c r="Q56" s="275" t="str">
        <x:v>由共享基础引擎判定</x:v>
      </x:c>
      <x:c r="R56" s="275" t="str">
        <x:v>喜忌不直接等于会不会表达；只修正调用顺畅度与强度</x:v>
      </x:c>
      <x:c r="S56" s="275" t="str">
        <x:v>原十神性质有效；真合化成立时按化神路由</x:v>
      </x:c>
      <x:c r="T56" s="275" t="str">
        <x:v>由共享基础引擎判定</x:v>
      </x:c>
      <x:c r="U56" s="275" t="str">
        <x:v>86</x:v>
      </x:c>
      <x:c r="V56" s="275" t="str">
        <x:v>affection_expression +12</x:v>
      </x:c>
      <x:c r="W56" s="275" t="str">
        <x:v>affection_expression</x:v>
      </x:c>
      <x:c r="X56" s="275" t="str">
        <x:v>偏财通道在情感表达上的可观察形式为：通过邀约、制造惊喜、分享新鲜体验、慷慨回应和让相处有活力来表达喜欢。是否高频、持续或被对方识别，仍需CARE、状态和案例反馈复核。</x:v>
      </x:c>
      <x:c r="Y56" s="275" t="str">
        <x:v>你往往会通过邀约、制造惊喜、分享新鲜体验、慷慨回应和让相处有活力来表达喜欢。</x:v>
      </x:c>
      <x:c r="Z56" s="275" t="str">
        <x:v>不得推出用户花心、只追求新鲜、不会长期投入、爱暧昧或一定外向。 不得据此定量判断谁付出更多，也不得推出对方一定能识别这份表达。</x:v>
      </x:c>
      <x:c r="AA56" s="275" t="str">
        <x:v>中</x:v>
      </x:c>
      <x:c r="AB56" s="275" t="str">
        <x:v>待验证</x:v>
      </x:c>
      <x:c r="AC56" s="275" t="str"/>
      <x:c r="AD56" s="275" t="str">
        <x:v>provisional=true; channel=X06; deity=偏财; facet=affection</x:v>
      </x:c>
      <x:c r="AE56" s="276" t="str">
        <x:v>0.3</x:v>
      </x:c>
    </x:row>
    <x:row r="57">
      <x:c r="A57" s="273" t="str">
        <x:v>M3-EXPR-053</x:v>
      </x:c>
      <x:c r="B57" s="274" t="str">
        <x:v>偏财｜情绪外化方式</x:v>
      </x:c>
      <x:c r="C57" s="275" t="str">
        <x:v>L3 情绪与需求表达</x:v>
      </x:c>
      <x:c r="D57" s="275" t="str">
        <x:v>EXPR-十神通道</x:v>
      </x:c>
      <x:c r="E57" s="275" t="str">
        <x:v>通用</x:v>
      </x:c>
      <x:c r="F57" s="275" t="str">
        <x:v>行为映射</x:v>
      </x:c>
      <x:c r="G57" s="275" t="str">
        <x:v>X06 氛围回应</x:v>
      </x:c>
      <x:c r="H57" s="275" t="str">
        <x:v>emotion_expression</x:v>
      </x:c>
      <x:c r="I57" s="275" t="str">
        <x:v>偏财在M3中形成有效功能信号；至少由日支主／中气、亲密关系近位透干有根、独立流向或两类相互支持证据之一确认；原十神性质未被真合化替代。</x:v>
      </x:c>
      <x:c r="J57" s="275" t="str">
        <x:v>偏财仅为单一弱远、无根或争议信号；基础十神映射未定；真合化后原十神性质失效；仅由同一source_id重复支持。</x:v>
      </x:c>
      <x:c r="K57" s="275" t="str">
        <x:v>不限定；由共享基础引擎与M3-STATE修正</x:v>
      </x:c>
      <x:c r="L57" s="275" t="str">
        <x:v>不限定；M3-EXPR不以夫妻星为唯一主轴</x:v>
      </x:c>
      <x:c r="M57" s="275" t="str">
        <x:v>由M3-BASE、日支结构及共享引擎提供</x:v>
      </x:c>
      <x:c r="N57" s="275" t="str">
        <x:v>无／待表达路径规则组合</x:v>
      </x:c>
      <x:c r="O57" s="275" t="str">
        <x:v>全局有效信号；日柱及亲密关系近位优先</x:v>
      </x:c>
      <x:c r="P57" s="275" t="str">
        <x:v>由共享基础引擎判定</x:v>
      </x:c>
      <x:c r="Q57" s="275" t="str">
        <x:v>由共享基础引擎判定</x:v>
      </x:c>
      <x:c r="R57" s="275" t="str">
        <x:v>喜忌不直接等于会不会表达；只修正调用顺畅度与强度</x:v>
      </x:c>
      <x:c r="S57" s="275" t="str">
        <x:v>原十神性质有效；真合化成立时按化神路由</x:v>
      </x:c>
      <x:c r="T57" s="275" t="str">
        <x:v>由共享基础引擎判定</x:v>
      </x:c>
      <x:c r="U57" s="275" t="str">
        <x:v>84</x:v>
      </x:c>
      <x:c r="V57" s="275" t="str">
        <x:v>emotion_expression +10</x:v>
      </x:c>
      <x:c r="W57" s="275" t="str">
        <x:v>emotion_expression</x:v>
      </x:c>
      <x:c r="X57" s="275" t="str">
        <x:v>偏财通道对情绪外化的修正为：更容易借互动氛围、语气、现场反馈和共同体验传递情绪，而不是长时间停留在抽象分析。该规则描述平稳和一般情境的时序，不直接推断冲突时表现。</x:v>
      </x:c>
      <x:c r="Y57" s="275" t="str">
        <x:v>当你有情绪时，通常更可能更容易借互动氛围、语气、现场反馈和共同体验传递情绪，而不是长时间停留在抽象分析。</x:v>
      </x:c>
      <x:c r="Z57" s="275" t="str">
        <x:v>不得推出用户花心、只追求新鲜、不会长期投入、爱暧昧或一定外向。 不得把表达较慢、较简短或偏行动化解释为没有情绪或拒绝沟通。</x:v>
      </x:c>
      <x:c r="AA57" s="275" t="str">
        <x:v>中</x:v>
      </x:c>
      <x:c r="AB57" s="275" t="str">
        <x:v>待验证</x:v>
      </x:c>
      <x:c r="AC57" s="275" t="str"/>
      <x:c r="AD57" s="275" t="str">
        <x:v>provisional=true; channel=X06; deity=偏财; facet=emotion</x:v>
      </x:c>
      <x:c r="AE57" s="276" t="str">
        <x:v>0.3</x:v>
      </x:c>
    </x:row>
    <x:row r="58">
      <x:c r="A58" s="273" t="str">
        <x:v>M3-EXPR-054</x:v>
      </x:c>
      <x:c r="B58" s="274" t="str">
        <x:v>偏财｜需求与观点表达</x:v>
      </x:c>
      <x:c r="C58" s="275" t="str">
        <x:v>L3 情绪与需求表达</x:v>
      </x:c>
      <x:c r="D58" s="275" t="str">
        <x:v>EXPR-十神通道</x:v>
      </x:c>
      <x:c r="E58" s="275" t="str">
        <x:v>通用</x:v>
      </x:c>
      <x:c r="F58" s="275" t="str">
        <x:v>行为映射</x:v>
      </x:c>
      <x:c r="G58" s="275" t="str">
        <x:v>X06 氛围回应</x:v>
      </x:c>
      <x:c r="H58" s="275" t="str">
        <x:v>need_expression</x:v>
      </x:c>
      <x:c r="I58" s="275" t="str">
        <x:v>偏财在M3中形成有效功能信号；至少由日支主／中气、亲密关系近位透干有根、独立流向或两类相互支持证据之一确认；原十神性质未被真合化替代。</x:v>
      </x:c>
      <x:c r="J58" s="275" t="str">
        <x:v>偏财仅为单一弱远、无根或争议信号；基础十神映射未定；真合化后原十神性质失效；仅由同一source_id重复支持。</x:v>
      </x:c>
      <x:c r="K58" s="275" t="str">
        <x:v>不限定；由共享基础引擎与M3-STATE修正</x:v>
      </x:c>
      <x:c r="L58" s="275" t="str">
        <x:v>不限定；M3-EXPR不以夫妻星为唯一主轴</x:v>
      </x:c>
      <x:c r="M58" s="275" t="str">
        <x:v>由M3-BASE、日支结构及共享引擎提供</x:v>
      </x:c>
      <x:c r="N58" s="275" t="str">
        <x:v>无／待表达路径规则组合</x:v>
      </x:c>
      <x:c r="O58" s="275" t="str">
        <x:v>全局有效信号；日柱及亲密关系近位优先</x:v>
      </x:c>
      <x:c r="P58" s="275" t="str">
        <x:v>由共享基础引擎判定</x:v>
      </x:c>
      <x:c r="Q58" s="275" t="str">
        <x:v>由共享基础引擎判定</x:v>
      </x:c>
      <x:c r="R58" s="275" t="str">
        <x:v>喜忌不直接等于会不会表达；只修正调用顺畅度与强度</x:v>
      </x:c>
      <x:c r="S58" s="275" t="str">
        <x:v>原十神性质有效；真合化成立时按化神路由</x:v>
      </x:c>
      <x:c r="T58" s="275" t="str">
        <x:v>由共享基础引擎判定</x:v>
      </x:c>
      <x:c r="U58" s="275" t="str">
        <x:v>83</x:v>
      </x:c>
      <x:c r="V58" s="275" t="str">
        <x:v>need_expression +10</x:v>
      </x:c>
      <x:c r="W58" s="275" t="str">
        <x:v>need_expression／communication_style</x:v>
      </x:c>
      <x:c r="X58" s="275" t="str">
        <x:v>偏财通道在需求和观点表达上的常见形式为：需求常以邀请、建议、当下想法或共同体验的形式提出，表达较灵活。能否长期执行这些条件由BOUND模块判断。</x:v>
      </x:c>
      <x:c r="Y58" s="275" t="str">
        <x:v>当你需要说明自己的需要或想法时，通常更倾向需求常以邀请、建议、当下想法或共同体验的形式提出，表达较灵活。</x:v>
      </x:c>
      <x:c r="Z58" s="275" t="str">
        <x:v>不得推出用户花心、只追求新鲜、不会长期投入、爱暧昧或一定外向。 不得把能说清条件等同于一定能执行边界，也不得把含蓄表达等同于让人猜。</x:v>
      </x:c>
      <x:c r="AA58" s="275" t="str">
        <x:v>中</x:v>
      </x:c>
      <x:c r="AB58" s="275" t="str">
        <x:v>待验证</x:v>
      </x:c>
      <x:c r="AC58" s="275" t="str"/>
      <x:c r="AD58" s="275" t="str">
        <x:v>provisional=true; channel=X06; deity=偏财; facet=need</x:v>
      </x:c>
      <x:c r="AE58" s="276" t="str">
        <x:v>0.3</x:v>
      </x:c>
    </x:row>
    <x:row r="59">
      <x:c r="A59" s="273" t="str">
        <x:v>M3-EXPR-055</x:v>
      </x:c>
      <x:c r="B59" s="274" t="str">
        <x:v>偏财｜接收与回应对方表达</x:v>
      </x:c>
      <x:c r="C59" s="275" t="str">
        <x:v>L4 沟通顺序与回应</x:v>
      </x:c>
      <x:c r="D59" s="275" t="str">
        <x:v>EXPR-十神通道</x:v>
      </x:c>
      <x:c r="E59" s="275" t="str">
        <x:v>通用</x:v>
      </x:c>
      <x:c r="F59" s="275" t="str">
        <x:v>回应映射</x:v>
      </x:c>
      <x:c r="G59" s="275" t="str">
        <x:v>X06 氛围回应</x:v>
      </x:c>
      <x:c r="H59" s="275" t="str">
        <x:v>response_style</x:v>
      </x:c>
      <x:c r="I59" s="275" t="str">
        <x:v>偏财在M3中形成有效功能信号；至少由日支主／中气、亲密关系近位透干有根、独立流向或两类相互支持证据之一确认；原十神性质未被真合化替代。</x:v>
      </x:c>
      <x:c r="J59" s="275" t="str">
        <x:v>偏财仅为单一弱远、无根或争议信号；基础十神映射未定；真合化后原十神性质失效；仅由同一source_id重复支持。</x:v>
      </x:c>
      <x:c r="K59" s="275" t="str">
        <x:v>不限定；由共享基础引擎与M3-STATE修正</x:v>
      </x:c>
      <x:c r="L59" s="275" t="str">
        <x:v>不限定；M3-EXPR不以夫妻星为唯一主轴</x:v>
      </x:c>
      <x:c r="M59" s="275" t="str">
        <x:v>由M3-BASE、日支结构及共享引擎提供</x:v>
      </x:c>
      <x:c r="N59" s="275" t="str">
        <x:v>无／待表达路径规则组合</x:v>
      </x:c>
      <x:c r="O59" s="275" t="str">
        <x:v>全局有效信号；日柱及亲密关系近位优先</x:v>
      </x:c>
      <x:c r="P59" s="275" t="str">
        <x:v>由共享基础引擎判定</x:v>
      </x:c>
      <x:c r="Q59" s="275" t="str">
        <x:v>由共享基础引擎判定</x:v>
      </x:c>
      <x:c r="R59" s="275" t="str">
        <x:v>喜忌不直接等于会不会表达；只修正调用顺畅度与强度</x:v>
      </x:c>
      <x:c r="S59" s="275" t="str">
        <x:v>原十神性质有效；真合化成立时按化神路由</x:v>
      </x:c>
      <x:c r="T59" s="275" t="str">
        <x:v>由共享基础引擎判定</x:v>
      </x:c>
      <x:c r="U59" s="275" t="str">
        <x:v>78</x:v>
      </x:c>
      <x:c r="V59" s="275" t="str">
        <x:v>response_style +8</x:v>
      </x:c>
      <x:c r="W59" s="275" t="str">
        <x:v>response_style</x:v>
      </x:c>
      <x:c r="X59" s="275" t="str">
        <x:v>偏财通道会影响用户更容易接收怎样的表达：更容易接收有回应、有变化、能接住当下气氛并愿意参与的表达。这里只描述接收偏好与回应入口，不评价对方表达是否正确。</x:v>
      </x:c>
      <x:c r="Y59" s="275" t="str">
        <x:v>你通常更容易回应这样的沟通：更容易接收有回应、有变化、能接住当下气氛并愿意参与的表达。</x:v>
      </x:c>
      <x:c r="Z59" s="275" t="str">
        <x:v>不得推出用户花心、只追求新鲜、不会长期投入、爱暧昧或一定外向。 不得据此要求伴侣只能用单一方式沟通，也不得推出其他方式一定无效。</x:v>
      </x:c>
      <x:c r="AA59" s="275" t="str">
        <x:v>中低</x:v>
      </x:c>
      <x:c r="AB59" s="275" t="str">
        <x:v>待验证</x:v>
      </x:c>
      <x:c r="AC59" s="275" t="str"/>
      <x:c r="AD59" s="275" t="str">
        <x:v>provisional=true; channel=X06; deity=偏财; facet=response</x:v>
      </x:c>
      <x:c r="AE59" s="276" t="str">
        <x:v>0.3</x:v>
      </x:c>
    </x:row>
    <x:row r="60">
      <x:c r="A60" s="273" t="str">
        <x:v>M3-EXPR-056</x:v>
      </x:c>
      <x:c r="B60" s="274" t="str">
        <x:v>偏财｜氛围回应用户摘要</x:v>
      </x:c>
      <x:c r="C60" s="275" t="str">
        <x:v>L7 总合成与边界审查</x:v>
      </x:c>
      <x:c r="D60" s="275" t="str">
        <x:v>EXPR-十神通道</x:v>
      </x:c>
      <x:c r="E60" s="275" t="str">
        <x:v>通用</x:v>
      </x:c>
      <x:c r="F60" s="275" t="str">
        <x:v>输出</x:v>
      </x:c>
      <x:c r="G60" s="275" t="str">
        <x:v>X06 氛围回应</x:v>
      </x:c>
      <x:c r="H60" s="275" t="str"/>
      <x:c r="I60" s="275" t="str">
        <x:v>X06已进入主通道或有效次通道，且未被去重、停止或真合化替代。</x:v>
      </x:c>
      <x:c r="J60" s="275" t="str">
        <x:v>X06已被删除、降为仅内部候选或基础状态停止。</x:v>
      </x:c>
      <x:c r="K60" s="275" t="str">
        <x:v>不限定；由共享基础引擎与M3-STATE修正</x:v>
      </x:c>
      <x:c r="L60" s="275" t="str">
        <x:v>不限定；M3-EXPR不以夫妻星为唯一主轴</x:v>
      </x:c>
      <x:c r="M60" s="275" t="str">
        <x:v>由M3-BASE、日支结构及共享引擎提供</x:v>
      </x:c>
      <x:c r="N60" s="275" t="str">
        <x:v>无／待表达路径规则组合</x:v>
      </x:c>
      <x:c r="O60" s="275" t="str">
        <x:v>全局有效信号；日柱及亲密关系近位优先</x:v>
      </x:c>
      <x:c r="P60" s="275" t="str">
        <x:v>由共享基础引擎判定</x:v>
      </x:c>
      <x:c r="Q60" s="275" t="str">
        <x:v>由共享基础引擎判定</x:v>
      </x:c>
      <x:c r="R60" s="275" t="str">
        <x:v>喜忌不直接等于会不会表达；只修正调用顺畅度与强度</x:v>
      </x:c>
      <x:c r="S60" s="275" t="str">
        <x:v>原十神性质有效；真合化成立时按化神路由</x:v>
      </x:c>
      <x:c r="T60" s="275" t="str">
        <x:v>由共享基础引擎判定</x:v>
      </x:c>
      <x:c r="U60" s="275" t="str">
        <x:v>66</x:v>
      </x:c>
      <x:c r="V60" s="275" t="str">
        <x:v>不加分</x:v>
      </x:c>
      <x:c r="W60" s="275" t="str">
        <x:v>basis_summary</x:v>
      </x:c>
      <x:c r="X60" s="275" t="str">
        <x:v>生成偏财表达通道的折叠依据：核心为通过灵活互动、共同体验、及时回应和营造有来有往的氛围表达感受。并保留正偏风格，而不把十神名称直接展示为人格标签。</x:v>
      </x:c>
      <x:c r="Y60" s="275" t="str">
        <x:v>从传统八字取象看，你的表达方式更接近“氛围回应”：通过灵活互动、共同体验、及时回应和营造有来有往的氛围表达感受。</x:v>
      </x:c>
      <x:c r="Z60" s="275" t="str">
        <x:v>不得推出用户花心、只追求新鲜、不会长期投入、爱暧昧或一定外向。 折叠依据只用于解释，不得在正文堆叠十神术语。</x:v>
      </x:c>
      <x:c r="AA60" s="275" t="str">
        <x:v>中</x:v>
      </x:c>
      <x:c r="AB60" s="275" t="str">
        <x:v>待验证</x:v>
      </x:c>
      <x:c r="AC60" s="275" t="str"/>
      <x:c r="AD60" s="275" t="str">
        <x:v>provisional=true; channel=X06; deity=偏财; facet=summary</x:v>
      </x:c>
      <x:c r="AE60" s="276" t="str">
        <x:v>0.3</x:v>
      </x:c>
    </x:row>
    <x:row r="61">
      <x:c r="A61" s="273" t="str">
        <x:v>M3-EXPR-057</x:v>
      </x:c>
      <x:c r="B61" s="274" t="str">
        <x:v>正官｜X07 责任表态核心表达通道</x:v>
      </x:c>
      <x:c r="C61" s="275" t="str">
        <x:v>L1 主要表达通道</x:v>
      </x:c>
      <x:c r="D61" s="275" t="str">
        <x:v>EXPR-十神通道</x:v>
      </x:c>
      <x:c r="E61" s="275" t="str">
        <x:v>通用</x:v>
      </x:c>
      <x:c r="F61" s="275" t="str">
        <x:v>基础</x:v>
      </x:c>
      <x:c r="G61" s="275" t="str">
        <x:v>有效正官表达信号／X07 责任表态</x:v>
      </x:c>
      <x:c r="H61" s="275" t="str"/>
      <x:c r="I61" s="275" t="str">
        <x:v>正官在M3中形成有效功能信号；至少由日支主／中气、亲密关系近位透干有根、独立流向或两类相互支持证据之一确认；原十神性质未被真合化替代。</x:v>
      </x:c>
      <x:c r="J61" s="275" t="str">
        <x:v>正官仅为单一弱远、无根或争议信号；基础十神映射未定；真合化后原十神性质失效；仅由同一source_id重复支持。</x:v>
      </x:c>
      <x:c r="K61" s="275" t="str">
        <x:v>不限定；由共享基础引擎与M3-STATE修正</x:v>
      </x:c>
      <x:c r="L61" s="275" t="str">
        <x:v>不限定；M3-EXPR不以夫妻星为唯一主轴</x:v>
      </x:c>
      <x:c r="M61" s="275" t="str">
        <x:v>由M3-BASE、日支结构及共享引擎提供</x:v>
      </x:c>
      <x:c r="N61" s="275" t="str">
        <x:v>无／待表达路径规则组合</x:v>
      </x:c>
      <x:c r="O61" s="275" t="str">
        <x:v>全局有效信号；日柱及亲密关系近位优先</x:v>
      </x:c>
      <x:c r="P61" s="275" t="str">
        <x:v>由共享基础引擎判定</x:v>
      </x:c>
      <x:c r="Q61" s="275" t="str">
        <x:v>由共享基础引擎判定</x:v>
      </x:c>
      <x:c r="R61" s="275" t="str">
        <x:v>喜忌不直接等于会不会表达；只修正调用顺畅度与强度</x:v>
      </x:c>
      <x:c r="S61" s="275" t="str">
        <x:v>原十神性质有效；真合化成立时按化神路由</x:v>
      </x:c>
      <x:c r="T61" s="275" t="str">
        <x:v>由共享基础引擎判定</x:v>
      </x:c>
      <x:c r="U61" s="275" t="str">
        <x:v>94</x:v>
      </x:c>
      <x:c r="V61" s="275" t="str">
        <x:v>X07主通道 +22</x:v>
      </x:c>
      <x:c r="W61" s="275" t="str">
        <x:v>primary_expression_channel</x:v>
      </x:c>
      <x:c r="X61" s="275" t="str">
        <x:v>正官属于SYS04 责任行动系统。在M3-EXPR中，其核心功能为：通过明确关系、守约、说明责任和建立可执行规则来表达重视。该规则只确定主要表达通道候选，不单独锁定频率、压力表现和沟通结果。</x:v>
      </x:c>
      <x:c r="Y61" s="275" t="str">
        <x:v>你更习惯通过明确关系、守约、说明责任和建立可执行规则来表达重视。</x:v>
      </x:c>
      <x:c r="Z61" s="275" t="str">
        <x:v>不得推出用户古板、爱管人、没有情绪、服从权威或一定要求传统角色。 不得把该通道等同于感情深浅、沟通效果或关系结果。</x:v>
      </x:c>
      <x:c r="AA61" s="275" t="str">
        <x:v>中高</x:v>
      </x:c>
      <x:c r="AB61" s="275" t="str">
        <x:v>待验证</x:v>
      </x:c>
      <x:c r="AC61" s="275" t="str"/>
      <x:c r="AD61" s="275" t="str">
        <x:v>provisional=true; channel=X07; deity=正官; facet=core</x:v>
      </x:c>
      <x:c r="AE61" s="276" t="str">
        <x:v>0.3</x:v>
      </x:c>
    </x:row>
    <x:row r="62">
      <x:c r="A62" s="273" t="str">
        <x:v>M3-EXPR-058</x:v>
      </x:c>
      <x:c r="B62" s="274" t="str">
        <x:v>正官｜在意与喜欢的表达</x:v>
      </x:c>
      <x:c r="C62" s="275" t="str">
        <x:v>L2 情感表达</x:v>
      </x:c>
      <x:c r="D62" s="275" t="str">
        <x:v>EXPR-十神通道</x:v>
      </x:c>
      <x:c r="E62" s="275" t="str">
        <x:v>通用</x:v>
      </x:c>
      <x:c r="F62" s="275" t="str">
        <x:v>行为映射</x:v>
      </x:c>
      <x:c r="G62" s="275" t="str">
        <x:v>X07 责任表态</x:v>
      </x:c>
      <x:c r="H62" s="275" t="str">
        <x:v>affection_expression</x:v>
      </x:c>
      <x:c r="I62" s="275" t="str">
        <x:v>正官在M3中形成有效功能信号；至少由日支主／中气、亲密关系近位透干有根、独立流向或两类相互支持证据之一确认；原十神性质未被真合化替代。</x:v>
      </x:c>
      <x:c r="J62" s="275" t="str">
        <x:v>正官仅为单一弱远、无根或争议信号；基础十神映射未定；真合化后原十神性质失效；仅由同一source_id重复支持。</x:v>
      </x:c>
      <x:c r="K62" s="275" t="str">
        <x:v>不限定；由共享基础引擎与M3-STATE修正</x:v>
      </x:c>
      <x:c r="L62" s="275" t="str">
        <x:v>不限定；M3-EXPR不以夫妻星为唯一主轴</x:v>
      </x:c>
      <x:c r="M62" s="275" t="str">
        <x:v>由M3-BASE、日支结构及共享引擎提供</x:v>
      </x:c>
      <x:c r="N62" s="275" t="str">
        <x:v>无／待表达路径规则组合</x:v>
      </x:c>
      <x:c r="O62" s="275" t="str">
        <x:v>全局有效信号；日柱及亲密关系近位优先</x:v>
      </x:c>
      <x:c r="P62" s="275" t="str">
        <x:v>由共享基础引擎判定</x:v>
      </x:c>
      <x:c r="Q62" s="275" t="str">
        <x:v>由共享基础引擎判定</x:v>
      </x:c>
      <x:c r="R62" s="275" t="str">
        <x:v>喜忌不直接等于会不会表达；只修正调用顺畅度与强度</x:v>
      </x:c>
      <x:c r="S62" s="275" t="str">
        <x:v>原十神性质有效；真合化成立时按化神路由</x:v>
      </x:c>
      <x:c r="T62" s="275" t="str">
        <x:v>由共享基础引擎判定</x:v>
      </x:c>
      <x:c r="U62" s="275" t="str">
        <x:v>86</x:v>
      </x:c>
      <x:c r="V62" s="275" t="str">
        <x:v>affection_expression +12</x:v>
      </x:c>
      <x:c r="W62" s="275" t="str">
        <x:v>affection_expression</x:v>
      </x:c>
      <x:c r="X62" s="275" t="str">
        <x:v>正官通道在情感表达上的可观察形式为：通过稳定承诺、按约完成、主动承担和把对方纳入正式安排来表达在意。是否高频、持续或被对方识别，仍需CARE、状态和案例反馈复核。</x:v>
      </x:c>
      <x:c r="Y62" s="275" t="str">
        <x:v>你往往会通过稳定承诺、按约完成、主动承担和把对方纳入正式安排来表达在意。</x:v>
      </x:c>
      <x:c r="Z62" s="275" t="str">
        <x:v>不得推出用户古板、爱管人、没有情绪、服从权威或一定要求传统角色。 不得据此定量判断谁付出更多，也不得推出对方一定能识别这份表达。</x:v>
      </x:c>
      <x:c r="AA62" s="275" t="str">
        <x:v>中</x:v>
      </x:c>
      <x:c r="AB62" s="275" t="str">
        <x:v>待验证</x:v>
      </x:c>
      <x:c r="AC62" s="275" t="str"/>
      <x:c r="AD62" s="275" t="str">
        <x:v>provisional=true; channel=X07; deity=正官; facet=affection</x:v>
      </x:c>
      <x:c r="AE62" s="276" t="str">
        <x:v>0.3</x:v>
      </x:c>
    </x:row>
    <x:row r="63">
      <x:c r="A63" s="273" t="str">
        <x:v>M3-EXPR-059</x:v>
      </x:c>
      <x:c r="B63" s="274" t="str">
        <x:v>正官｜情绪外化方式</x:v>
      </x:c>
      <x:c r="C63" s="275" t="str">
        <x:v>L3 情绪与需求表达</x:v>
      </x:c>
      <x:c r="D63" s="275" t="str">
        <x:v>EXPR-十神通道</x:v>
      </x:c>
      <x:c r="E63" s="275" t="str">
        <x:v>通用</x:v>
      </x:c>
      <x:c r="F63" s="275" t="str">
        <x:v>行为映射</x:v>
      </x:c>
      <x:c r="G63" s="275" t="str">
        <x:v>X07 责任表态</x:v>
      </x:c>
      <x:c r="H63" s="275" t="str">
        <x:v>emotion_expression</x:v>
      </x:c>
      <x:c r="I63" s="275" t="str">
        <x:v>正官在M3中形成有效功能信号；至少由日支主／中气、亲密关系近位透干有根、独立流向或两类相互支持证据之一确认；原十神性质未被真合化替代。</x:v>
      </x:c>
      <x:c r="J63" s="275" t="str">
        <x:v>正官仅为单一弱远、无根或争议信号；基础十神映射未定；真合化后原十神性质失效；仅由同一source_id重复支持。</x:v>
      </x:c>
      <x:c r="K63" s="275" t="str">
        <x:v>不限定；由共享基础引擎与M3-STATE修正</x:v>
      </x:c>
      <x:c r="L63" s="275" t="str">
        <x:v>不限定；M3-EXPR不以夫妻星为唯一主轴</x:v>
      </x:c>
      <x:c r="M63" s="275" t="str">
        <x:v>由M3-BASE、日支结构及共享引擎提供</x:v>
      </x:c>
      <x:c r="N63" s="275" t="str">
        <x:v>无／待表达路径规则组合</x:v>
      </x:c>
      <x:c r="O63" s="275" t="str">
        <x:v>全局有效信号；日柱及亲密关系近位优先</x:v>
      </x:c>
      <x:c r="P63" s="275" t="str">
        <x:v>由共享基础引擎判定</x:v>
      </x:c>
      <x:c r="Q63" s="275" t="str">
        <x:v>由共享基础引擎判定</x:v>
      </x:c>
      <x:c r="R63" s="275" t="str">
        <x:v>喜忌不直接等于会不会表达；只修正调用顺畅度与强度</x:v>
      </x:c>
      <x:c r="S63" s="275" t="str">
        <x:v>原十神性质有效；真合化成立时按化神路由</x:v>
      </x:c>
      <x:c r="T63" s="275" t="str">
        <x:v>由共享基础引擎判定</x:v>
      </x:c>
      <x:c r="U63" s="275" t="str">
        <x:v>84</x:v>
      </x:c>
      <x:c r="V63" s="275" t="str">
        <x:v>emotion_expression +10</x:v>
      </x:c>
      <x:c r="W63" s="275" t="str">
        <x:v>emotion_expression</x:v>
      </x:c>
      <x:c r="X63" s="275" t="str">
        <x:v>正官通道对情绪外化的修正为：情绪可能先被整理成较克制、清楚和有分寸的表达，重点是“我会怎样负责”。该规则描述平稳和一般情境的时序，不直接推断冲突时表现。</x:v>
      </x:c>
      <x:c r="Y63" s="275" t="str">
        <x:v>当你有情绪时，通常更可能情绪可能先被整理成较克制、清楚和有分寸的表达，重点是“我会怎样负责”。</x:v>
      </x:c>
      <x:c r="Z63" s="275" t="str">
        <x:v>不得推出用户古板、爱管人、没有情绪、服从权威或一定要求传统角色。 不得把表达较慢、较简短或偏行动化解释为没有情绪或拒绝沟通。</x:v>
      </x:c>
      <x:c r="AA63" s="275" t="str">
        <x:v>中</x:v>
      </x:c>
      <x:c r="AB63" s="275" t="str">
        <x:v>待验证</x:v>
      </x:c>
      <x:c r="AC63" s="275" t="str"/>
      <x:c r="AD63" s="275" t="str">
        <x:v>provisional=true; channel=X07; deity=正官; facet=emotion</x:v>
      </x:c>
      <x:c r="AE63" s="276" t="str">
        <x:v>0.3</x:v>
      </x:c>
    </x:row>
    <x:row r="64">
      <x:c r="A64" s="273" t="str">
        <x:v>M3-EXPR-060</x:v>
      </x:c>
      <x:c r="B64" s="274" t="str">
        <x:v>正官｜需求与观点表达</x:v>
      </x:c>
      <x:c r="C64" s="275" t="str">
        <x:v>L3 情绪与需求表达</x:v>
      </x:c>
      <x:c r="D64" s="275" t="str">
        <x:v>EXPR-十神通道</x:v>
      </x:c>
      <x:c r="E64" s="275" t="str">
        <x:v>通用</x:v>
      </x:c>
      <x:c r="F64" s="275" t="str">
        <x:v>行为映射</x:v>
      </x:c>
      <x:c r="G64" s="275" t="str">
        <x:v>X07 责任表态</x:v>
      </x:c>
      <x:c r="H64" s="275" t="str">
        <x:v>need_expression</x:v>
      </x:c>
      <x:c r="I64" s="275" t="str">
        <x:v>正官在M3中形成有效功能信号；至少由日支主／中气、亲密关系近位透干有根、独立流向或两类相互支持证据之一确认；原十神性质未被真合化替代。</x:v>
      </x:c>
      <x:c r="J64" s="275" t="str">
        <x:v>正官仅为单一弱远、无根或争议信号；基础十神映射未定；真合化后原十神性质失效；仅由同一source_id重复支持。</x:v>
      </x:c>
      <x:c r="K64" s="275" t="str">
        <x:v>不限定；由共享基础引擎与M3-STATE修正</x:v>
      </x:c>
      <x:c r="L64" s="275" t="str">
        <x:v>不限定；M3-EXPR不以夫妻星为唯一主轴</x:v>
      </x:c>
      <x:c r="M64" s="275" t="str">
        <x:v>由M3-BASE、日支结构及共享引擎提供</x:v>
      </x:c>
      <x:c r="N64" s="275" t="str">
        <x:v>无／待表达路径规则组合</x:v>
      </x:c>
      <x:c r="O64" s="275" t="str">
        <x:v>全局有效信号；日柱及亲密关系近位优先</x:v>
      </x:c>
      <x:c r="P64" s="275" t="str">
        <x:v>由共享基础引擎判定</x:v>
      </x:c>
      <x:c r="Q64" s="275" t="str">
        <x:v>由共享基础引擎判定</x:v>
      </x:c>
      <x:c r="R64" s="275" t="str">
        <x:v>喜忌不直接等于会不会表达；只修正调用顺畅度与强度</x:v>
      </x:c>
      <x:c r="S64" s="275" t="str">
        <x:v>原十神性质有效；真合化成立时按化神路由</x:v>
      </x:c>
      <x:c r="T64" s="275" t="str">
        <x:v>由共享基础引擎判定</x:v>
      </x:c>
      <x:c r="U64" s="275" t="str">
        <x:v>83</x:v>
      </x:c>
      <x:c r="V64" s="275" t="str">
        <x:v>need_expression +10</x:v>
      </x:c>
      <x:c r="W64" s="275" t="str">
        <x:v>need_expression／communication_style</x:v>
      </x:c>
      <x:c r="X64" s="275" t="str">
        <x:v>正官通道在需求和观点表达上的常见形式为：倾向把需求说成规则、责任、边界和双方应当怎样配合，希望关系有清楚的秩序。能否长期执行这些条件由BOUND模块判断。</x:v>
      </x:c>
      <x:c r="Y64" s="275" t="str">
        <x:v>当你需要说明自己的需要或想法时，通常更倾向倾向把需求说成规则、责任、边界和双方应当怎样配合，希望关系有清楚的秩序。</x:v>
      </x:c>
      <x:c r="Z64" s="275" t="str">
        <x:v>不得推出用户古板、爱管人、没有情绪、服从权威或一定要求传统角色。 不得把能说清条件等同于一定能执行边界，也不得把含蓄表达等同于让人猜。</x:v>
      </x:c>
      <x:c r="AA64" s="275" t="str">
        <x:v>中</x:v>
      </x:c>
      <x:c r="AB64" s="275" t="str">
        <x:v>待验证</x:v>
      </x:c>
      <x:c r="AC64" s="275" t="str"/>
      <x:c r="AD64" s="275" t="str">
        <x:v>provisional=true; channel=X07; deity=正官; facet=need</x:v>
      </x:c>
      <x:c r="AE64" s="276" t="str">
        <x:v>0.3</x:v>
      </x:c>
    </x:row>
    <x:row r="65">
      <x:c r="A65" s="273" t="str">
        <x:v>M3-EXPR-061</x:v>
      </x:c>
      <x:c r="B65" s="274" t="str">
        <x:v>正官｜接收与回应对方表达</x:v>
      </x:c>
      <x:c r="C65" s="275" t="str">
        <x:v>L4 沟通顺序与回应</x:v>
      </x:c>
      <x:c r="D65" s="275" t="str">
        <x:v>EXPR-十神通道</x:v>
      </x:c>
      <x:c r="E65" s="275" t="str">
        <x:v>通用</x:v>
      </x:c>
      <x:c r="F65" s="275" t="str">
        <x:v>回应映射</x:v>
      </x:c>
      <x:c r="G65" s="275" t="str">
        <x:v>X07 责任表态</x:v>
      </x:c>
      <x:c r="H65" s="275" t="str">
        <x:v>response_style</x:v>
      </x:c>
      <x:c r="I65" s="275" t="str">
        <x:v>正官在M3中形成有效功能信号；至少由日支主／中气、亲密关系近位透干有根、独立流向或两类相互支持证据之一确认；原十神性质未被真合化替代。</x:v>
      </x:c>
      <x:c r="J65" s="275" t="str">
        <x:v>正官仅为单一弱远、无根或争议信号；基础十神映射未定；真合化后原十神性质失效；仅由同一source_id重复支持。</x:v>
      </x:c>
      <x:c r="K65" s="275" t="str">
        <x:v>不限定；由共享基础引擎与M3-STATE修正</x:v>
      </x:c>
      <x:c r="L65" s="275" t="str">
        <x:v>不限定；M3-EXPR不以夫妻星为唯一主轴</x:v>
      </x:c>
      <x:c r="M65" s="275" t="str">
        <x:v>由M3-BASE、日支结构及共享引擎提供</x:v>
      </x:c>
      <x:c r="N65" s="275" t="str">
        <x:v>无／待表达路径规则组合</x:v>
      </x:c>
      <x:c r="O65" s="275" t="str">
        <x:v>全局有效信号；日柱及亲密关系近位优先</x:v>
      </x:c>
      <x:c r="P65" s="275" t="str">
        <x:v>由共享基础引擎判定</x:v>
      </x:c>
      <x:c r="Q65" s="275" t="str">
        <x:v>由共享基础引擎判定</x:v>
      </x:c>
      <x:c r="R65" s="275" t="str">
        <x:v>喜忌不直接等于会不会表达；只修正调用顺畅度与强度</x:v>
      </x:c>
      <x:c r="S65" s="275" t="str">
        <x:v>原十神性质有效；真合化成立时按化神路由</x:v>
      </x:c>
      <x:c r="T65" s="275" t="str">
        <x:v>由共享基础引擎判定</x:v>
      </x:c>
      <x:c r="U65" s="275" t="str">
        <x:v>78</x:v>
      </x:c>
      <x:c r="V65" s="275" t="str">
        <x:v>response_style +8</x:v>
      </x:c>
      <x:c r="W65" s="275" t="str">
        <x:v>response_style</x:v>
      </x:c>
      <x:c r="X65" s="275" t="str">
        <x:v>正官通道会影响用户更容易接收怎样的表达：更容易接收有交代、前后一致、承诺和行为能够对应的表达。这里只描述接收偏好与回应入口，不评价对方表达是否正确。</x:v>
      </x:c>
      <x:c r="Y65" s="275" t="str">
        <x:v>你通常更容易回应这样的沟通：更容易接收有交代、前后一致、承诺和行为能够对应的表达。</x:v>
      </x:c>
      <x:c r="Z65" s="275" t="str">
        <x:v>不得推出用户古板、爱管人、没有情绪、服从权威或一定要求传统角色。 不得据此要求伴侣只能用单一方式沟通，也不得推出其他方式一定无效。</x:v>
      </x:c>
      <x:c r="AA65" s="275" t="str">
        <x:v>中低</x:v>
      </x:c>
      <x:c r="AB65" s="275" t="str">
        <x:v>待验证</x:v>
      </x:c>
      <x:c r="AC65" s="275" t="str"/>
      <x:c r="AD65" s="275" t="str">
        <x:v>provisional=true; channel=X07; deity=正官; facet=response</x:v>
      </x:c>
      <x:c r="AE65" s="276" t="str">
        <x:v>0.3</x:v>
      </x:c>
    </x:row>
    <x:row r="66">
      <x:c r="A66" s="273" t="str">
        <x:v>M3-EXPR-062</x:v>
      </x:c>
      <x:c r="B66" s="274" t="str">
        <x:v>正官｜责任表态用户摘要</x:v>
      </x:c>
      <x:c r="C66" s="275" t="str">
        <x:v>L7 总合成与边界审查</x:v>
      </x:c>
      <x:c r="D66" s="275" t="str">
        <x:v>EXPR-十神通道</x:v>
      </x:c>
      <x:c r="E66" s="275" t="str">
        <x:v>通用</x:v>
      </x:c>
      <x:c r="F66" s="275" t="str">
        <x:v>输出</x:v>
      </x:c>
      <x:c r="G66" s="275" t="str">
        <x:v>X07 责任表态</x:v>
      </x:c>
      <x:c r="H66" s="275" t="str"/>
      <x:c r="I66" s="275" t="str">
        <x:v>X07已进入主通道或有效次通道，且未被去重、停止或真合化替代。</x:v>
      </x:c>
      <x:c r="J66" s="275" t="str">
        <x:v>X07已被删除、降为仅内部候选或基础状态停止。</x:v>
      </x:c>
      <x:c r="K66" s="275" t="str">
        <x:v>不限定；由共享基础引擎与M3-STATE修正</x:v>
      </x:c>
      <x:c r="L66" s="275" t="str">
        <x:v>不限定；M3-EXPR不以夫妻星为唯一主轴</x:v>
      </x:c>
      <x:c r="M66" s="275" t="str">
        <x:v>由M3-BASE、日支结构及共享引擎提供</x:v>
      </x:c>
      <x:c r="N66" s="275" t="str">
        <x:v>无／待表达路径规则组合</x:v>
      </x:c>
      <x:c r="O66" s="275" t="str">
        <x:v>全局有效信号；日柱及亲密关系近位优先</x:v>
      </x:c>
      <x:c r="P66" s="275" t="str">
        <x:v>由共享基础引擎判定</x:v>
      </x:c>
      <x:c r="Q66" s="275" t="str">
        <x:v>由共享基础引擎判定</x:v>
      </x:c>
      <x:c r="R66" s="275" t="str">
        <x:v>喜忌不直接等于会不会表达；只修正调用顺畅度与强度</x:v>
      </x:c>
      <x:c r="S66" s="275" t="str">
        <x:v>原十神性质有效；真合化成立时按化神路由</x:v>
      </x:c>
      <x:c r="T66" s="275" t="str">
        <x:v>由共享基础引擎判定</x:v>
      </x:c>
      <x:c r="U66" s="275" t="str">
        <x:v>66</x:v>
      </x:c>
      <x:c r="V66" s="275" t="str">
        <x:v>不加分</x:v>
      </x:c>
      <x:c r="W66" s="275" t="str">
        <x:v>basis_summary</x:v>
      </x:c>
      <x:c r="X66" s="275" t="str">
        <x:v>生成正官表达通道的折叠依据：核心为通过明确关系、守约、说明责任和建立可执行规则来表达重视。并保留正偏风格，而不把十神名称直接展示为人格标签。</x:v>
      </x:c>
      <x:c r="Y66" s="275" t="str">
        <x:v>从传统八字取象看，你的表达方式更接近“责任表态”：通过明确关系、守约、说明责任和建立可执行规则来表达重视。</x:v>
      </x:c>
      <x:c r="Z66" s="275" t="str">
        <x:v>不得推出用户古板、爱管人、没有情绪、服从权威或一定要求传统角色。 折叠依据只用于解释，不得在正文堆叠十神术语。</x:v>
      </x:c>
      <x:c r="AA66" s="275" t="str">
        <x:v>中</x:v>
      </x:c>
      <x:c r="AB66" s="275" t="str">
        <x:v>待验证</x:v>
      </x:c>
      <x:c r="AC66" s="275" t="str"/>
      <x:c r="AD66" s="275" t="str">
        <x:v>provisional=true; channel=X07; deity=正官; facet=summary</x:v>
      </x:c>
      <x:c r="AE66" s="276" t="str">
        <x:v>0.3</x:v>
      </x:c>
    </x:row>
    <x:row r="67">
      <x:c r="A67" s="273" t="str">
        <x:v>M3-EXPR-063</x:v>
      </x:c>
      <x:c r="B67" s="274" t="str">
        <x:v>七杀｜X08 行动表态核心表达通道</x:v>
      </x:c>
      <x:c r="C67" s="275" t="str">
        <x:v>L1 主要表达通道</x:v>
      </x:c>
      <x:c r="D67" s="275" t="str">
        <x:v>EXPR-十神通道</x:v>
      </x:c>
      <x:c r="E67" s="275" t="str">
        <x:v>通用</x:v>
      </x:c>
      <x:c r="F67" s="275" t="str">
        <x:v>基础</x:v>
      </x:c>
      <x:c r="G67" s="275" t="str">
        <x:v>有效七杀表达信号／X08 行动表态</x:v>
      </x:c>
      <x:c r="H67" s="275" t="str"/>
      <x:c r="I67" s="275" t="str">
        <x:v>七杀在M3中形成有效功能信号；至少由日支主／中气、亲密关系近位透干有根、独立流向或两类相互支持证据之一确认；原十神性质未被真合化替代。</x:v>
      </x:c>
      <x:c r="J67" s="275" t="str">
        <x:v>七杀仅为单一弱远、无根或争议信号；基础十神映射未定；真合化后原十神性质失效；仅由同一source_id重复支持。</x:v>
      </x:c>
      <x:c r="K67" s="275" t="str">
        <x:v>不限定；由共享基础引擎与M3-STATE修正</x:v>
      </x:c>
      <x:c r="L67" s="275" t="str">
        <x:v>不限定；M3-EXPR不以夫妻星为唯一主轴</x:v>
      </x:c>
      <x:c r="M67" s="275" t="str">
        <x:v>由M3-BASE、日支结构及共享引擎提供</x:v>
      </x:c>
      <x:c r="N67" s="275" t="str">
        <x:v>无／待表达路径规则组合</x:v>
      </x:c>
      <x:c r="O67" s="275" t="str">
        <x:v>全局有效信号；日柱及亲密关系近位优先</x:v>
      </x:c>
      <x:c r="P67" s="275" t="str">
        <x:v>由共享基础引擎判定</x:v>
      </x:c>
      <x:c r="Q67" s="275" t="str">
        <x:v>由共享基础引擎判定</x:v>
      </x:c>
      <x:c r="R67" s="275" t="str">
        <x:v>喜忌不直接等于会不会表达；只修正调用顺畅度与强度</x:v>
      </x:c>
      <x:c r="S67" s="275" t="str">
        <x:v>原十神性质有效；真合化成立时按化神路由</x:v>
      </x:c>
      <x:c r="T67" s="275" t="str">
        <x:v>由共享基础引擎判定</x:v>
      </x:c>
      <x:c r="U67" s="275" t="str">
        <x:v>94</x:v>
      </x:c>
      <x:c r="V67" s="275" t="str">
        <x:v>X08主通道 +22</x:v>
      </x:c>
      <x:c r="W67" s="275" t="str">
        <x:v>primary_expression_channel</x:v>
      </x:c>
      <x:c r="X67" s="275" t="str">
        <x:v>七杀属于SYS04 责任行动系统。在M3-EXPR中，其核心功能为：通过快速处理、明确决定、保护性行动和解决问题来表达态度。该规则只确定主要表达通道候选，不单独锁定频率、压力表现和沟通结果。</x:v>
      </x:c>
      <x:c r="Y67" s="275" t="str">
        <x:v>你更习惯通过快速处理、明确决定、保护性行动和解决问题来表达态度。</x:v>
      </x:c>
      <x:c r="Z67" s="275" t="str">
        <x:v>不得推出用户暴躁、控制、强迫、缺乏温柔、一定压制伴侣或关系有暴力风险。 不得把该通道等同于感情深浅、沟通效果或关系结果。</x:v>
      </x:c>
      <x:c r="AA67" s="275" t="str">
        <x:v>中高</x:v>
      </x:c>
      <x:c r="AB67" s="275" t="str">
        <x:v>待验证</x:v>
      </x:c>
      <x:c r="AC67" s="275" t="str"/>
      <x:c r="AD67" s="275" t="str">
        <x:v>provisional=true; channel=X08; deity=七杀; facet=core</x:v>
      </x:c>
      <x:c r="AE67" s="276" t="str">
        <x:v>0.3</x:v>
      </x:c>
    </x:row>
    <x:row r="68">
      <x:c r="A68" s="273" t="str">
        <x:v>M3-EXPR-064</x:v>
      </x:c>
      <x:c r="B68" s="274" t="str">
        <x:v>七杀｜在意与喜欢的表达</x:v>
      </x:c>
      <x:c r="C68" s="275" t="str">
        <x:v>L2 情感表达</x:v>
      </x:c>
      <x:c r="D68" s="275" t="str">
        <x:v>EXPR-十神通道</x:v>
      </x:c>
      <x:c r="E68" s="275" t="str">
        <x:v>通用</x:v>
      </x:c>
      <x:c r="F68" s="275" t="str">
        <x:v>行为映射</x:v>
      </x:c>
      <x:c r="G68" s="275" t="str">
        <x:v>X08 行动表态</x:v>
      </x:c>
      <x:c r="H68" s="275" t="str">
        <x:v>affection_expression</x:v>
      </x:c>
      <x:c r="I68" s="275" t="str">
        <x:v>七杀在M3中形成有效功能信号；至少由日支主／中气、亲密关系近位透干有根、独立流向或两类相互支持证据之一确认；原十神性质未被真合化替代。</x:v>
      </x:c>
      <x:c r="J68" s="275" t="str">
        <x:v>七杀仅为单一弱远、无根或争议信号；基础十神映射未定；真合化后原十神性质失效；仅由同一source_id重复支持。</x:v>
      </x:c>
      <x:c r="K68" s="275" t="str">
        <x:v>不限定；由共享基础引擎与M3-STATE修正</x:v>
      </x:c>
      <x:c r="L68" s="275" t="str">
        <x:v>不限定；M3-EXPR不以夫妻星为唯一主轴</x:v>
      </x:c>
      <x:c r="M68" s="275" t="str">
        <x:v>由M3-BASE、日支结构及共享引擎提供</x:v>
      </x:c>
      <x:c r="N68" s="275" t="str">
        <x:v>无／待表达路径规则组合</x:v>
      </x:c>
      <x:c r="O68" s="275" t="str">
        <x:v>全局有效信号；日柱及亲密关系近位优先</x:v>
      </x:c>
      <x:c r="P68" s="275" t="str">
        <x:v>由共享基础引擎判定</x:v>
      </x:c>
      <x:c r="Q68" s="275" t="str">
        <x:v>由共享基础引擎判定</x:v>
      </x:c>
      <x:c r="R68" s="275" t="str">
        <x:v>喜忌不直接等于会不会表达；只修正调用顺畅度与强度</x:v>
      </x:c>
      <x:c r="S68" s="275" t="str">
        <x:v>原十神性质有效；真合化成立时按化神路由</x:v>
      </x:c>
      <x:c r="T68" s="275" t="str">
        <x:v>由共享基础引擎判定</x:v>
      </x:c>
      <x:c r="U68" s="275" t="str">
        <x:v>86</x:v>
      </x:c>
      <x:c r="V68" s="275" t="str">
        <x:v>affection_expression +12</x:v>
      </x:c>
      <x:c r="W68" s="275" t="str">
        <x:v>affection_expression</x:v>
      </x:c>
      <x:c r="X68" s="275" t="str">
        <x:v>七杀通道在情感表达上的可观察形式为：通过在关键时刻出现、替关系推进、处理困难或立即提供实际支持表达在意。是否高频、持续或被对方识别，仍需CARE、状态和案例反馈复核。</x:v>
      </x:c>
      <x:c r="Y68" s="275" t="str">
        <x:v>你往往会通过在关键时刻出现、替关系推进、处理困难或立即提供实际支持表达在意。</x:v>
      </x:c>
      <x:c r="Z68" s="275" t="str">
        <x:v>不得推出用户暴躁、控制、强迫、缺乏温柔、一定压制伴侣或关系有暴力风险。 不得据此定量判断谁付出更多，也不得推出对方一定能识别这份表达。</x:v>
      </x:c>
      <x:c r="AA68" s="275" t="str">
        <x:v>中</x:v>
      </x:c>
      <x:c r="AB68" s="275" t="str">
        <x:v>待验证</x:v>
      </x:c>
      <x:c r="AC68" s="275" t="str"/>
      <x:c r="AD68" s="275" t="str">
        <x:v>provisional=true; channel=X08; deity=七杀; facet=affection</x:v>
      </x:c>
      <x:c r="AE68" s="276" t="str">
        <x:v>0.3</x:v>
      </x:c>
    </x:row>
    <x:row r="69">
      <x:c r="A69" s="273" t="str">
        <x:v>M3-EXPR-065</x:v>
      </x:c>
      <x:c r="B69" s="274" t="str">
        <x:v>七杀｜情绪外化方式</x:v>
      </x:c>
      <x:c r="C69" s="275" t="str">
        <x:v>L3 情绪与需求表达</x:v>
      </x:c>
      <x:c r="D69" s="275" t="str">
        <x:v>EXPR-十神通道</x:v>
      </x:c>
      <x:c r="E69" s="275" t="str">
        <x:v>通用</x:v>
      </x:c>
      <x:c r="F69" s="275" t="str">
        <x:v>行为映射</x:v>
      </x:c>
      <x:c r="G69" s="275" t="str">
        <x:v>X08 行动表态</x:v>
      </x:c>
      <x:c r="H69" s="275" t="str">
        <x:v>emotion_expression</x:v>
      </x:c>
      <x:c r="I69" s="275" t="str">
        <x:v>七杀在M3中形成有效功能信号；至少由日支主／中气、亲密关系近位透干有根、独立流向或两类相互支持证据之一确认；原十神性质未被真合化替代。</x:v>
      </x:c>
      <x:c r="J69" s="275" t="str">
        <x:v>七杀仅为单一弱远、无根或争议信号；基础十神映射未定；真合化后原十神性质失效；仅由同一source_id重复支持。</x:v>
      </x:c>
      <x:c r="K69" s="275" t="str">
        <x:v>不限定；由共享基础引擎与M3-STATE修正</x:v>
      </x:c>
      <x:c r="L69" s="275" t="str">
        <x:v>不限定；M3-EXPR不以夫妻星为唯一主轴</x:v>
      </x:c>
      <x:c r="M69" s="275" t="str">
        <x:v>由M3-BASE、日支结构及共享引擎提供</x:v>
      </x:c>
      <x:c r="N69" s="275" t="str">
        <x:v>无／待表达路径规则组合</x:v>
      </x:c>
      <x:c r="O69" s="275" t="str">
        <x:v>全局有效信号；日柱及亲密关系近位优先</x:v>
      </x:c>
      <x:c r="P69" s="275" t="str">
        <x:v>由共享基础引擎判定</x:v>
      </x:c>
      <x:c r="Q69" s="275" t="str">
        <x:v>由共享基础引擎判定</x:v>
      </x:c>
      <x:c r="R69" s="275" t="str">
        <x:v>喜忌不直接等于会不会表达；只修正调用顺畅度与强度</x:v>
      </x:c>
      <x:c r="S69" s="275" t="str">
        <x:v>原十神性质有效；真合化成立时按化神路由</x:v>
      </x:c>
      <x:c r="T69" s="275" t="str">
        <x:v>由共享基础引擎判定</x:v>
      </x:c>
      <x:c r="U69" s="275" t="str">
        <x:v>84</x:v>
      </x:c>
      <x:c r="V69" s="275" t="str">
        <x:v>emotion_expression +10</x:v>
      </x:c>
      <x:c r="W69" s="275" t="str">
        <x:v>emotion_expression</x:v>
      </x:c>
      <x:c r="X69" s="275" t="str">
        <x:v>七杀通道对情绪外化的修正为：情绪容易先压缩成行动、结论或明确态度，详细解释可能在事情稳定后才出现。该规则描述平稳和一般情境的时序，不直接推断冲突时表现。</x:v>
      </x:c>
      <x:c r="Y69" s="275" t="str">
        <x:v>当你有情绪时，通常更可能情绪容易先压缩成行动、结论或明确态度，详细解释可能在事情稳定后才出现。</x:v>
      </x:c>
      <x:c r="Z69" s="275" t="str">
        <x:v>不得推出用户暴躁、控制、强迫、缺乏温柔、一定压制伴侣或关系有暴力风险。 不得把表达较慢、较简短或偏行动化解释为没有情绪或拒绝沟通。</x:v>
      </x:c>
      <x:c r="AA69" s="275" t="str">
        <x:v>中</x:v>
      </x:c>
      <x:c r="AB69" s="275" t="str">
        <x:v>待验证</x:v>
      </x:c>
      <x:c r="AC69" s="275" t="str"/>
      <x:c r="AD69" s="275" t="str">
        <x:v>provisional=true; channel=X08; deity=七杀; facet=emotion</x:v>
      </x:c>
      <x:c r="AE69" s="276" t="str">
        <x:v>0.3</x:v>
      </x:c>
    </x:row>
    <x:row r="70">
      <x:c r="A70" s="273" t="str">
        <x:v>M3-EXPR-066</x:v>
      </x:c>
      <x:c r="B70" s="274" t="str">
        <x:v>七杀｜需求与观点表达</x:v>
      </x:c>
      <x:c r="C70" s="275" t="str">
        <x:v>L3 情绪与需求表达</x:v>
      </x:c>
      <x:c r="D70" s="275" t="str">
        <x:v>EXPR-十神通道</x:v>
      </x:c>
      <x:c r="E70" s="275" t="str">
        <x:v>通用</x:v>
      </x:c>
      <x:c r="F70" s="275" t="str">
        <x:v>行为映射</x:v>
      </x:c>
      <x:c r="G70" s="275" t="str">
        <x:v>X08 行动表态</x:v>
      </x:c>
      <x:c r="H70" s="275" t="str">
        <x:v>need_expression</x:v>
      </x:c>
      <x:c r="I70" s="275" t="str">
        <x:v>七杀在M3中形成有效功能信号；至少由日支主／中气、亲密关系近位透干有根、独立流向或两类相互支持证据之一确认；原十神性质未被真合化替代。</x:v>
      </x:c>
      <x:c r="J70" s="275" t="str">
        <x:v>七杀仅为单一弱远、无根或争议信号；基础十神映射未定；真合化后原十神性质失效；仅由同一source_id重复支持。</x:v>
      </x:c>
      <x:c r="K70" s="275" t="str">
        <x:v>不限定；由共享基础引擎与M3-STATE修正</x:v>
      </x:c>
      <x:c r="L70" s="275" t="str">
        <x:v>不限定；M3-EXPR不以夫妻星为唯一主轴</x:v>
      </x:c>
      <x:c r="M70" s="275" t="str">
        <x:v>由M3-BASE、日支结构及共享引擎提供</x:v>
      </x:c>
      <x:c r="N70" s="275" t="str">
        <x:v>无／待表达路径规则组合</x:v>
      </x:c>
      <x:c r="O70" s="275" t="str">
        <x:v>全局有效信号；日柱及亲密关系近位优先</x:v>
      </x:c>
      <x:c r="P70" s="275" t="str">
        <x:v>由共享基础引擎判定</x:v>
      </x:c>
      <x:c r="Q70" s="275" t="str">
        <x:v>由共享基础引擎判定</x:v>
      </x:c>
      <x:c r="R70" s="275" t="str">
        <x:v>喜忌不直接等于会不会表达；只修正调用顺畅度与强度</x:v>
      </x:c>
      <x:c r="S70" s="275" t="str">
        <x:v>原十神性质有效；真合化成立时按化神路由</x:v>
      </x:c>
      <x:c r="T70" s="275" t="str">
        <x:v>由共享基础引擎判定</x:v>
      </x:c>
      <x:c r="U70" s="275" t="str">
        <x:v>83</x:v>
      </x:c>
      <x:c r="V70" s="275" t="str">
        <x:v>need_expression +10</x:v>
      </x:c>
      <x:c r="W70" s="275" t="str">
        <x:v>need_expression／communication_style</x:v>
      </x:c>
      <x:c r="X70" s="275" t="str">
        <x:v>七杀通道在需求和观点表达上的常见形式为：倾向直接说重点、给出方向或推动决定，希望沟通能迅速进入可执行层面。能否长期执行这些条件由BOUND模块判断。</x:v>
      </x:c>
      <x:c r="Y70" s="275" t="str">
        <x:v>当你需要说明自己的需要或想法时，通常更倾向倾向直接说重点、给出方向或推动决定，希望沟通能迅速进入可执行层面。</x:v>
      </x:c>
      <x:c r="Z70" s="275" t="str">
        <x:v>不得推出用户暴躁、控制、强迫、缺乏温柔、一定压制伴侣或关系有暴力风险。 不得把能说清条件等同于一定能执行边界，也不得把含蓄表达等同于让人猜。</x:v>
      </x:c>
      <x:c r="AA70" s="275" t="str">
        <x:v>中</x:v>
      </x:c>
      <x:c r="AB70" s="275" t="str">
        <x:v>待验证</x:v>
      </x:c>
      <x:c r="AC70" s="275" t="str"/>
      <x:c r="AD70" s="275" t="str">
        <x:v>provisional=true; channel=X08; deity=七杀; facet=need</x:v>
      </x:c>
      <x:c r="AE70" s="276" t="str">
        <x:v>0.3</x:v>
      </x:c>
    </x:row>
    <x:row r="71">
      <x:c r="A71" s="273" t="str">
        <x:v>M3-EXPR-067</x:v>
      </x:c>
      <x:c r="B71" s="274" t="str">
        <x:v>七杀｜接收与回应对方表达</x:v>
      </x:c>
      <x:c r="C71" s="275" t="str">
        <x:v>L4 沟通顺序与回应</x:v>
      </x:c>
      <x:c r="D71" s="275" t="str">
        <x:v>EXPR-十神通道</x:v>
      </x:c>
      <x:c r="E71" s="275" t="str">
        <x:v>通用</x:v>
      </x:c>
      <x:c r="F71" s="275" t="str">
        <x:v>回应映射</x:v>
      </x:c>
      <x:c r="G71" s="275" t="str">
        <x:v>X08 行动表态</x:v>
      </x:c>
      <x:c r="H71" s="275" t="str">
        <x:v>response_style</x:v>
      </x:c>
      <x:c r="I71" s="275" t="str">
        <x:v>七杀在M3中形成有效功能信号；至少由日支主／中气、亲密关系近位透干有根、独立流向或两类相互支持证据之一确认；原十神性质未被真合化替代。</x:v>
      </x:c>
      <x:c r="J71" s="275" t="str">
        <x:v>七杀仅为单一弱远、无根或争议信号；基础十神映射未定；真合化后原十神性质失效；仅由同一source_id重复支持。</x:v>
      </x:c>
      <x:c r="K71" s="275" t="str">
        <x:v>不限定；由共享基础引擎与M3-STATE修正</x:v>
      </x:c>
      <x:c r="L71" s="275" t="str">
        <x:v>不限定；M3-EXPR不以夫妻星为唯一主轴</x:v>
      </x:c>
      <x:c r="M71" s="275" t="str">
        <x:v>由M3-BASE、日支结构及共享引擎提供</x:v>
      </x:c>
      <x:c r="N71" s="275" t="str">
        <x:v>无／待表达路径规则组合</x:v>
      </x:c>
      <x:c r="O71" s="275" t="str">
        <x:v>全局有效信号；日柱及亲密关系近位优先</x:v>
      </x:c>
      <x:c r="P71" s="275" t="str">
        <x:v>由共享基础引擎判定</x:v>
      </x:c>
      <x:c r="Q71" s="275" t="str">
        <x:v>由共享基础引擎判定</x:v>
      </x:c>
      <x:c r="R71" s="275" t="str">
        <x:v>喜忌不直接等于会不会表达；只修正调用顺畅度与强度</x:v>
      </x:c>
      <x:c r="S71" s="275" t="str">
        <x:v>原十神性质有效；真合化成立时按化神路由</x:v>
      </x:c>
      <x:c r="T71" s="275" t="str">
        <x:v>由共享基础引擎判定</x:v>
      </x:c>
      <x:c r="U71" s="275" t="str">
        <x:v>78</x:v>
      </x:c>
      <x:c r="V71" s="275" t="str">
        <x:v>response_style +8</x:v>
      </x:c>
      <x:c r="W71" s="275" t="str">
        <x:v>response_style</x:v>
      </x:c>
      <x:c r="X71" s="275" t="str">
        <x:v>七杀通道会影响用户更容易接收怎样的表达：更容易接收清楚、果断、有行动配合、不过度拖延的表达。这里只描述接收偏好与回应入口，不评价对方表达是否正确。</x:v>
      </x:c>
      <x:c r="Y71" s="275" t="str">
        <x:v>你通常更容易回应这样的沟通：更容易接收清楚、果断、有行动配合、不过度拖延的表达。</x:v>
      </x:c>
      <x:c r="Z71" s="275" t="str">
        <x:v>不得推出用户暴躁、控制、强迫、缺乏温柔、一定压制伴侣或关系有暴力风险。 不得据此要求伴侣只能用单一方式沟通，也不得推出其他方式一定无效。</x:v>
      </x:c>
      <x:c r="AA71" s="275" t="str">
        <x:v>中低</x:v>
      </x:c>
      <x:c r="AB71" s="275" t="str">
        <x:v>待验证</x:v>
      </x:c>
      <x:c r="AC71" s="275" t="str"/>
      <x:c r="AD71" s="275" t="str">
        <x:v>provisional=true; channel=X08; deity=七杀; facet=response</x:v>
      </x:c>
      <x:c r="AE71" s="276" t="str">
        <x:v>0.3</x:v>
      </x:c>
    </x:row>
    <x:row r="72">
      <x:c r="A72" s="273" t="str">
        <x:v>M3-EXPR-068</x:v>
      </x:c>
      <x:c r="B72" s="274" t="str">
        <x:v>七杀｜行动表态用户摘要</x:v>
      </x:c>
      <x:c r="C72" s="275" t="str">
        <x:v>L7 总合成与边界审查</x:v>
      </x:c>
      <x:c r="D72" s="275" t="str">
        <x:v>EXPR-十神通道</x:v>
      </x:c>
      <x:c r="E72" s="275" t="str">
        <x:v>通用</x:v>
      </x:c>
      <x:c r="F72" s="275" t="str">
        <x:v>输出</x:v>
      </x:c>
      <x:c r="G72" s="275" t="str">
        <x:v>X08 行动表态</x:v>
      </x:c>
      <x:c r="H72" s="275" t="str"/>
      <x:c r="I72" s="275" t="str">
        <x:v>X08已进入主通道或有效次通道，且未被去重、停止或真合化替代。</x:v>
      </x:c>
      <x:c r="J72" s="275" t="str">
        <x:v>X08已被删除、降为仅内部候选或基础状态停止。</x:v>
      </x:c>
      <x:c r="K72" s="275" t="str">
        <x:v>不限定；由共享基础引擎与M3-STATE修正</x:v>
      </x:c>
      <x:c r="L72" s="275" t="str">
        <x:v>不限定；M3-EXPR不以夫妻星为唯一主轴</x:v>
      </x:c>
      <x:c r="M72" s="275" t="str">
        <x:v>由M3-BASE、日支结构及共享引擎提供</x:v>
      </x:c>
      <x:c r="N72" s="275" t="str">
        <x:v>无／待表达路径规则组合</x:v>
      </x:c>
      <x:c r="O72" s="275" t="str">
        <x:v>全局有效信号；日柱及亲密关系近位优先</x:v>
      </x:c>
      <x:c r="P72" s="275" t="str">
        <x:v>由共享基础引擎判定</x:v>
      </x:c>
      <x:c r="Q72" s="275" t="str">
        <x:v>由共享基础引擎判定</x:v>
      </x:c>
      <x:c r="R72" s="275" t="str">
        <x:v>喜忌不直接等于会不会表达；只修正调用顺畅度与强度</x:v>
      </x:c>
      <x:c r="S72" s="275" t="str">
        <x:v>原十神性质有效；真合化成立时按化神路由</x:v>
      </x:c>
      <x:c r="T72" s="275" t="str">
        <x:v>由共享基础引擎判定</x:v>
      </x:c>
      <x:c r="U72" s="275" t="str">
        <x:v>66</x:v>
      </x:c>
      <x:c r="V72" s="275" t="str">
        <x:v>不加分</x:v>
      </x:c>
      <x:c r="W72" s="275" t="str">
        <x:v>basis_summary</x:v>
      </x:c>
      <x:c r="X72" s="275" t="str">
        <x:v>生成七杀表达通道的折叠依据：核心为通过快速处理、明确决定、保护性行动和解决问题来表达态度。并保留正偏风格，而不把十神名称直接展示为人格标签。</x:v>
      </x:c>
      <x:c r="Y72" s="275" t="str">
        <x:v>从传统八字取象看，你的表达方式更接近“行动表态”：通过快速处理、明确决定、保护性行动和解决问题来表达态度。</x:v>
      </x:c>
      <x:c r="Z72" s="275" t="str">
        <x:v>不得推出用户暴躁、控制、强迫、缺乏温柔、一定压制伴侣或关系有暴力风险。 折叠依据只用于解释，不得在正文堆叠十神术语。</x:v>
      </x:c>
      <x:c r="AA72" s="275" t="str">
        <x:v>中</x:v>
      </x:c>
      <x:c r="AB72" s="275" t="str">
        <x:v>待验证</x:v>
      </x:c>
      <x:c r="AC72" s="275" t="str"/>
      <x:c r="AD72" s="275" t="str">
        <x:v>provisional=true; channel=X08; deity=七杀; facet=summary</x:v>
      </x:c>
      <x:c r="AE72" s="276" t="str">
        <x:v>0.3</x:v>
      </x:c>
    </x:row>
    <x:row r="73">
      <x:c r="A73" s="273" t="str">
        <x:v>M3-EXPR-069</x:v>
      </x:c>
      <x:c r="B73" s="274" t="str">
        <x:v>正印｜X09 倾听承接核心表达通道</x:v>
      </x:c>
      <x:c r="C73" s="275" t="str">
        <x:v>L1 主要表达通道</x:v>
      </x:c>
      <x:c r="D73" s="275" t="str">
        <x:v>EXPR-十神通道</x:v>
      </x:c>
      <x:c r="E73" s="275" t="str">
        <x:v>通用</x:v>
      </x:c>
      <x:c r="F73" s="275" t="str">
        <x:v>基础</x:v>
      </x:c>
      <x:c r="G73" s="275" t="str">
        <x:v>有效正印表达信号／X09 倾听承接</x:v>
      </x:c>
      <x:c r="H73" s="275" t="str"/>
      <x:c r="I73" s="275" t="str">
        <x:v>正印在M3中形成有效功能信号；至少由日支主／中气、亲密关系近位透干有根、独立流向或两类相互支持证据之一确认；原十神性质未被真合化替代。</x:v>
      </x:c>
      <x:c r="J73" s="275" t="str">
        <x:v>正印仅为单一弱远、无根或争议信号；基础十神映射未定；真合化后原十神性质失效；仅由同一source_id重复支持。</x:v>
      </x:c>
      <x:c r="K73" s="275" t="str">
        <x:v>不限定；由共享基础引擎与M3-STATE修正</x:v>
      </x:c>
      <x:c r="L73" s="275" t="str">
        <x:v>不限定；M3-EXPR不以夫妻星为唯一主轴</x:v>
      </x:c>
      <x:c r="M73" s="275" t="str">
        <x:v>由M3-BASE、日支结构及共享引擎提供</x:v>
      </x:c>
      <x:c r="N73" s="275" t="str">
        <x:v>无／待表达路径规则组合</x:v>
      </x:c>
      <x:c r="O73" s="275" t="str">
        <x:v>全局有效信号；日柱及亲密关系近位优先</x:v>
      </x:c>
      <x:c r="P73" s="275" t="str">
        <x:v>由共享基础引擎判定</x:v>
      </x:c>
      <x:c r="Q73" s="275" t="str">
        <x:v>由共享基础引擎判定</x:v>
      </x:c>
      <x:c r="R73" s="275" t="str">
        <x:v>喜忌不直接等于会不会表达；只修正调用顺畅度与强度</x:v>
      </x:c>
      <x:c r="S73" s="275" t="str">
        <x:v>原十神性质有效；真合化成立时按化神路由</x:v>
      </x:c>
      <x:c r="T73" s="275" t="str">
        <x:v>由共享基础引擎判定</x:v>
      </x:c>
      <x:c r="U73" s="275" t="str">
        <x:v>94</x:v>
      </x:c>
      <x:c r="V73" s="275" t="str">
        <x:v>X09主通道 +22</x:v>
      </x:c>
      <x:c r="W73" s="275" t="str">
        <x:v>primary_expression_channel</x:v>
      </x:c>
      <x:c r="X73" s="275" t="str">
        <x:v>正印属于SYS05 承接内化系统。在M3-EXPR中，其核心功能为：通过倾听、理解、安抚和先接住对方的感受来建立沟通。该规则只确定主要表达通道候选，不单独锁定频率、压力表现和沟通结果。</x:v>
      </x:c>
      <x:c r="Y73" s="275" t="str">
        <x:v>你更习惯通过倾听、理解、安抚和先接住对方的感受来建立沟通。</x:v>
      </x:c>
      <x:c r="Z73" s="275" t="str">
        <x:v>不得推出用户依赖、软弱、没有立场、只想被照顾或一定承担母性／父性角色。 不得把该通道等同于感情深浅、沟通效果或关系结果。</x:v>
      </x:c>
      <x:c r="AA73" s="275" t="str">
        <x:v>中高</x:v>
      </x:c>
      <x:c r="AB73" s="275" t="str">
        <x:v>待验证</x:v>
      </x:c>
      <x:c r="AC73" s="275" t="str"/>
      <x:c r="AD73" s="275" t="str">
        <x:v>provisional=true; channel=X09; deity=正印; facet=core</x:v>
      </x:c>
      <x:c r="AE73" s="276" t="str">
        <x:v>0.3</x:v>
      </x:c>
    </x:row>
    <x:row r="74">
      <x:c r="A74" s="273" t="str">
        <x:v>M3-EXPR-070</x:v>
      </x:c>
      <x:c r="B74" s="274" t="str">
        <x:v>正印｜在意与喜欢的表达</x:v>
      </x:c>
      <x:c r="C74" s="275" t="str">
        <x:v>L2 情感表达</x:v>
      </x:c>
      <x:c r="D74" s="275" t="str">
        <x:v>EXPR-十神通道</x:v>
      </x:c>
      <x:c r="E74" s="275" t="str">
        <x:v>通用</x:v>
      </x:c>
      <x:c r="F74" s="275" t="str">
        <x:v>行为映射</x:v>
      </x:c>
      <x:c r="G74" s="275" t="str">
        <x:v>X09 倾听承接</x:v>
      </x:c>
      <x:c r="H74" s="275" t="str">
        <x:v>affection_expression</x:v>
      </x:c>
      <x:c r="I74" s="275" t="str">
        <x:v>正印在M3中形成有效功能信号；至少由日支主／中气、亲密关系近位透干有根、独立流向或两类相互支持证据之一确认；原十神性质未被真合化替代。</x:v>
      </x:c>
      <x:c r="J74" s="275" t="str">
        <x:v>正印仅为单一弱远、无根或争议信号；基础十神映射未定；真合化后原十神性质失效；仅由同一source_id重复支持。</x:v>
      </x:c>
      <x:c r="K74" s="275" t="str">
        <x:v>不限定；由共享基础引擎与M3-STATE修正</x:v>
      </x:c>
      <x:c r="L74" s="275" t="str">
        <x:v>不限定；M3-EXPR不以夫妻星为唯一主轴</x:v>
      </x:c>
      <x:c r="M74" s="275" t="str">
        <x:v>由M3-BASE、日支结构及共享引擎提供</x:v>
      </x:c>
      <x:c r="N74" s="275" t="str">
        <x:v>无／待表达路径规则组合</x:v>
      </x:c>
      <x:c r="O74" s="275" t="str">
        <x:v>全局有效信号；日柱及亲密关系近位优先</x:v>
      </x:c>
      <x:c r="P74" s="275" t="str">
        <x:v>由共享基础引擎判定</x:v>
      </x:c>
      <x:c r="Q74" s="275" t="str">
        <x:v>由共享基础引擎判定</x:v>
      </x:c>
      <x:c r="R74" s="275" t="str">
        <x:v>喜忌不直接等于会不会表达；只修正调用顺畅度与强度</x:v>
      </x:c>
      <x:c r="S74" s="275" t="str">
        <x:v>原十神性质有效；真合化成立时按化神路由</x:v>
      </x:c>
      <x:c r="T74" s="275" t="str">
        <x:v>由共享基础引擎判定</x:v>
      </x:c>
      <x:c r="U74" s="275" t="str">
        <x:v>86</x:v>
      </x:c>
      <x:c r="V74" s="275" t="str">
        <x:v>affection_expression +12</x:v>
      </x:c>
      <x:c r="W74" s="275" t="str">
        <x:v>affection_expression</x:v>
      </x:c>
      <x:c r="X74" s="275" t="str">
        <x:v>正印通道在情感表达上的可观察形式为：通过耐心听、记住对方的需要、提供支持、照顾情绪和让对方安心表达在意。是否高频、持续或被对方识别，仍需CARE、状态和案例反馈复核。</x:v>
      </x:c>
      <x:c r="Y74" s="275" t="str">
        <x:v>你往往会通过耐心听、记住对方的需要、提供支持、照顾情绪和让对方安心表达在意。</x:v>
      </x:c>
      <x:c r="Z74" s="275" t="str">
        <x:v>不得推出用户依赖、软弱、没有立场、只想被照顾或一定承担母性／父性角色。 不得据此定量判断谁付出更多，也不得推出对方一定能识别这份表达。</x:v>
      </x:c>
      <x:c r="AA74" s="275" t="str">
        <x:v>中</x:v>
      </x:c>
      <x:c r="AB74" s="275" t="str">
        <x:v>待验证</x:v>
      </x:c>
      <x:c r="AC74" s="275" t="str"/>
      <x:c r="AD74" s="275" t="str">
        <x:v>provisional=true; channel=X09; deity=正印; facet=affection</x:v>
      </x:c>
      <x:c r="AE74" s="276" t="str">
        <x:v>0.3</x:v>
      </x:c>
    </x:row>
    <x:row r="75">
      <x:c r="A75" s="273" t="str">
        <x:v>M3-EXPR-071</x:v>
      </x:c>
      <x:c r="B75" s="274" t="str">
        <x:v>正印｜情绪外化方式</x:v>
      </x:c>
      <x:c r="C75" s="275" t="str">
        <x:v>L3 情绪与需求表达</x:v>
      </x:c>
      <x:c r="D75" s="275" t="str">
        <x:v>EXPR-十神通道</x:v>
      </x:c>
      <x:c r="E75" s="275" t="str">
        <x:v>通用</x:v>
      </x:c>
      <x:c r="F75" s="275" t="str">
        <x:v>行为映射</x:v>
      </x:c>
      <x:c r="G75" s="275" t="str">
        <x:v>X09 倾听承接</x:v>
      </x:c>
      <x:c r="H75" s="275" t="str">
        <x:v>emotion_expression</x:v>
      </x:c>
      <x:c r="I75" s="275" t="str">
        <x:v>正印在M3中形成有效功能信号；至少由日支主／中气、亲密关系近位透干有根、独立流向或两类相互支持证据之一确认；原十神性质未被真合化替代。</x:v>
      </x:c>
      <x:c r="J75" s="275" t="str">
        <x:v>正印仅为单一弱远、无根或争议信号；基础十神映射未定；真合化后原十神性质失效；仅由同一source_id重复支持。</x:v>
      </x:c>
      <x:c r="K75" s="275" t="str">
        <x:v>不限定；由共享基础引擎与M3-STATE修正</x:v>
      </x:c>
      <x:c r="L75" s="275" t="str">
        <x:v>不限定；M3-EXPR不以夫妻星为唯一主轴</x:v>
      </x:c>
      <x:c r="M75" s="275" t="str">
        <x:v>由M3-BASE、日支结构及共享引擎提供</x:v>
      </x:c>
      <x:c r="N75" s="275" t="str">
        <x:v>无／待表达路径规则组合</x:v>
      </x:c>
      <x:c r="O75" s="275" t="str">
        <x:v>全局有效信号；日柱及亲密关系近位优先</x:v>
      </x:c>
      <x:c r="P75" s="275" t="str">
        <x:v>由共享基础引擎判定</x:v>
      </x:c>
      <x:c r="Q75" s="275" t="str">
        <x:v>由共享基础引擎判定</x:v>
      </x:c>
      <x:c r="R75" s="275" t="str">
        <x:v>喜忌不直接等于会不会表达；只修正调用顺畅度与强度</x:v>
      </x:c>
      <x:c r="S75" s="275" t="str">
        <x:v>原十神性质有效；真合化成立时按化神路由</x:v>
      </x:c>
      <x:c r="T75" s="275" t="str">
        <x:v>由共享基础引擎判定</x:v>
      </x:c>
      <x:c r="U75" s="275" t="str">
        <x:v>84</x:v>
      </x:c>
      <x:c r="V75" s="275" t="str">
        <x:v>emotion_expression +10</x:v>
      </x:c>
      <x:c r="W75" s="275" t="str">
        <x:v>emotion_expression</x:v>
      </x:c>
      <x:c r="X75" s="275" t="str">
        <x:v>正印通道对情绪外化的修正为：更容易先确认自己是否安全、是否被理解，再逐步说出感受；表达节奏可能偏缓。该规则描述平稳和一般情境的时序，不直接推断冲突时表现。</x:v>
      </x:c>
      <x:c r="Y75" s="275" t="str">
        <x:v>当你有情绪时，通常更可能更容易先确认自己是否安全、是否被理解，再逐步说出感受；表达节奏可能偏缓。</x:v>
      </x:c>
      <x:c r="Z75" s="275" t="str">
        <x:v>不得推出用户依赖、软弱、没有立场、只想被照顾或一定承担母性／父性角色。 不得把表达较慢、较简短或偏行动化解释为没有情绪或拒绝沟通。</x:v>
      </x:c>
      <x:c r="AA75" s="275" t="str">
        <x:v>中</x:v>
      </x:c>
      <x:c r="AB75" s="275" t="str">
        <x:v>待验证</x:v>
      </x:c>
      <x:c r="AC75" s="275" t="str"/>
      <x:c r="AD75" s="275" t="str">
        <x:v>provisional=true; channel=X09; deity=正印; facet=emotion</x:v>
      </x:c>
      <x:c r="AE75" s="276" t="str">
        <x:v>0.3</x:v>
      </x:c>
    </x:row>
    <x:row r="76">
      <x:c r="A76" s="273" t="str">
        <x:v>M3-EXPR-072</x:v>
      </x:c>
      <x:c r="B76" s="274" t="str">
        <x:v>正印｜需求与观点表达</x:v>
      </x:c>
      <x:c r="C76" s="275" t="str">
        <x:v>L3 情绪与需求表达</x:v>
      </x:c>
      <x:c r="D76" s="275" t="str">
        <x:v>EXPR-十神通道</x:v>
      </x:c>
      <x:c r="E76" s="275" t="str">
        <x:v>通用</x:v>
      </x:c>
      <x:c r="F76" s="275" t="str">
        <x:v>行为映射</x:v>
      </x:c>
      <x:c r="G76" s="275" t="str">
        <x:v>X09 倾听承接</x:v>
      </x:c>
      <x:c r="H76" s="275" t="str">
        <x:v>need_expression</x:v>
      </x:c>
      <x:c r="I76" s="275" t="str">
        <x:v>正印在M3中形成有效功能信号；至少由日支主／中气、亲密关系近位透干有根、独立流向或两类相互支持证据之一确认；原十神性质未被真合化替代。</x:v>
      </x:c>
      <x:c r="J76" s="275" t="str">
        <x:v>正印仅为单一弱远、无根或争议信号；基础十神映射未定；真合化后原十神性质失效；仅由同一source_id重复支持。</x:v>
      </x:c>
      <x:c r="K76" s="275" t="str">
        <x:v>不限定；由共享基础引擎与M3-STATE修正</x:v>
      </x:c>
      <x:c r="L76" s="275" t="str">
        <x:v>不限定；M3-EXPR不以夫妻星为唯一主轴</x:v>
      </x:c>
      <x:c r="M76" s="275" t="str">
        <x:v>由M3-BASE、日支结构及共享引擎提供</x:v>
      </x:c>
      <x:c r="N76" s="275" t="str">
        <x:v>无／待表达路径规则组合</x:v>
      </x:c>
      <x:c r="O76" s="275" t="str">
        <x:v>全局有效信号；日柱及亲密关系近位优先</x:v>
      </x:c>
      <x:c r="P76" s="275" t="str">
        <x:v>由共享基础引擎判定</x:v>
      </x:c>
      <x:c r="Q76" s="275" t="str">
        <x:v>由共享基础引擎判定</x:v>
      </x:c>
      <x:c r="R76" s="275" t="str">
        <x:v>喜忌不直接等于会不会表达；只修正调用顺畅度与强度</x:v>
      </x:c>
      <x:c r="S76" s="275" t="str">
        <x:v>原十神性质有效；真合化成立时按化神路由</x:v>
      </x:c>
      <x:c r="T76" s="275" t="str">
        <x:v>由共享基础引擎判定</x:v>
      </x:c>
      <x:c r="U76" s="275" t="str">
        <x:v>83</x:v>
      </x:c>
      <x:c r="V76" s="275" t="str">
        <x:v>need_expression +10</x:v>
      </x:c>
      <x:c r="W76" s="275" t="str">
        <x:v>need_expression／communication_style</x:v>
      </x:c>
      <x:c r="X76" s="275" t="str">
        <x:v>正印通道在需求和观点表达上的常见形式为：需求有时会以“希望被理解、希望有时间、希望得到支持”的方式出现，可能需要更安全的语境才会说清。能否长期执行这些条件由BOUND模块判断。</x:v>
      </x:c>
      <x:c r="Y76" s="275" t="str">
        <x:v>当你需要说明自己的需要或想法时，通常更倾向需求有时会以“希望被理解、希望有时间、希望得到支持”的方式出现，可能需要更安全的语境才会说清。</x:v>
      </x:c>
      <x:c r="Z76" s="275" t="str">
        <x:v>不得推出用户依赖、软弱、没有立场、只想被照顾或一定承担母性／父性角色。 不得把能说清条件等同于一定能执行边界，也不得把含蓄表达等同于让人猜。</x:v>
      </x:c>
      <x:c r="AA76" s="275" t="str">
        <x:v>中</x:v>
      </x:c>
      <x:c r="AB76" s="275" t="str">
        <x:v>待验证</x:v>
      </x:c>
      <x:c r="AC76" s="275" t="str"/>
      <x:c r="AD76" s="275" t="str">
        <x:v>provisional=true; channel=X09; deity=正印; facet=need</x:v>
      </x:c>
      <x:c r="AE76" s="276" t="str">
        <x:v>0.3</x:v>
      </x:c>
    </x:row>
    <x:row r="77">
      <x:c r="A77" s="273" t="str">
        <x:v>M3-EXPR-073</x:v>
      </x:c>
      <x:c r="B77" s="274" t="str">
        <x:v>正印｜接收与回应对方表达</x:v>
      </x:c>
      <x:c r="C77" s="275" t="str">
        <x:v>L4 沟通顺序与回应</x:v>
      </x:c>
      <x:c r="D77" s="275" t="str">
        <x:v>EXPR-十神通道</x:v>
      </x:c>
      <x:c r="E77" s="275" t="str">
        <x:v>通用</x:v>
      </x:c>
      <x:c r="F77" s="275" t="str">
        <x:v>回应映射</x:v>
      </x:c>
      <x:c r="G77" s="275" t="str">
        <x:v>X09 倾听承接</x:v>
      </x:c>
      <x:c r="H77" s="275" t="str">
        <x:v>response_style</x:v>
      </x:c>
      <x:c r="I77" s="275" t="str">
        <x:v>正印在M3中形成有效功能信号；至少由日支主／中气、亲密关系近位透干有根、独立流向或两类相互支持证据之一确认；原十神性质未被真合化替代。</x:v>
      </x:c>
      <x:c r="J77" s="275" t="str">
        <x:v>正印仅为单一弱远、无根或争议信号；基础十神映射未定；真合化后原十神性质失效；仅由同一source_id重复支持。</x:v>
      </x:c>
      <x:c r="K77" s="275" t="str">
        <x:v>不限定；由共享基础引擎与M3-STATE修正</x:v>
      </x:c>
      <x:c r="L77" s="275" t="str">
        <x:v>不限定；M3-EXPR不以夫妻星为唯一主轴</x:v>
      </x:c>
      <x:c r="M77" s="275" t="str">
        <x:v>由M3-BASE、日支结构及共享引擎提供</x:v>
      </x:c>
      <x:c r="N77" s="275" t="str">
        <x:v>无／待表达路径规则组合</x:v>
      </x:c>
      <x:c r="O77" s="275" t="str">
        <x:v>全局有效信号；日柱及亲密关系近位优先</x:v>
      </x:c>
      <x:c r="P77" s="275" t="str">
        <x:v>由共享基础引擎判定</x:v>
      </x:c>
      <x:c r="Q77" s="275" t="str">
        <x:v>由共享基础引擎判定</x:v>
      </x:c>
      <x:c r="R77" s="275" t="str">
        <x:v>喜忌不直接等于会不会表达；只修正调用顺畅度与强度</x:v>
      </x:c>
      <x:c r="S77" s="275" t="str">
        <x:v>原十神性质有效；真合化成立时按化神路由</x:v>
      </x:c>
      <x:c r="T77" s="275" t="str">
        <x:v>由共享基础引擎判定</x:v>
      </x:c>
      <x:c r="U77" s="275" t="str">
        <x:v>78</x:v>
      </x:c>
      <x:c r="V77" s="275" t="str">
        <x:v>response_style +8</x:v>
      </x:c>
      <x:c r="W77" s="275" t="str">
        <x:v>response_style</x:v>
      </x:c>
      <x:c r="X77" s="275" t="str">
        <x:v>正印通道会影响用户更容易接收怎样的表达：更容易接收耐心、稳定、愿意听完、不急着纠正或推动的表达。这里只描述接收偏好与回应入口，不评价对方表达是否正确。</x:v>
      </x:c>
      <x:c r="Y77" s="275" t="str">
        <x:v>你通常更容易回应这样的沟通：更容易接收耐心、稳定、愿意听完、不急着纠正或推动的表达。</x:v>
      </x:c>
      <x:c r="Z77" s="275" t="str">
        <x:v>不得推出用户依赖、软弱、没有立场、只想被照顾或一定承担母性／父性角色。 不得据此要求伴侣只能用单一方式沟通，也不得推出其他方式一定无效。</x:v>
      </x:c>
      <x:c r="AA77" s="275" t="str">
        <x:v>中低</x:v>
      </x:c>
      <x:c r="AB77" s="275" t="str">
        <x:v>待验证</x:v>
      </x:c>
      <x:c r="AC77" s="275" t="str"/>
      <x:c r="AD77" s="275" t="str">
        <x:v>provisional=true; channel=X09; deity=正印; facet=response</x:v>
      </x:c>
      <x:c r="AE77" s="276" t="str">
        <x:v>0.3</x:v>
      </x:c>
    </x:row>
    <x:row r="78">
      <x:c r="A78" s="273" t="str">
        <x:v>M3-EXPR-074</x:v>
      </x:c>
      <x:c r="B78" s="274" t="str">
        <x:v>正印｜倾听承接用户摘要</x:v>
      </x:c>
      <x:c r="C78" s="275" t="str">
        <x:v>L7 总合成与边界审查</x:v>
      </x:c>
      <x:c r="D78" s="275" t="str">
        <x:v>EXPR-十神通道</x:v>
      </x:c>
      <x:c r="E78" s="275" t="str">
        <x:v>通用</x:v>
      </x:c>
      <x:c r="F78" s="275" t="str">
        <x:v>输出</x:v>
      </x:c>
      <x:c r="G78" s="275" t="str">
        <x:v>X09 倾听承接</x:v>
      </x:c>
      <x:c r="H78" s="275" t="str"/>
      <x:c r="I78" s="275" t="str">
        <x:v>X09已进入主通道或有效次通道，且未被去重、停止或真合化替代。</x:v>
      </x:c>
      <x:c r="J78" s="275" t="str">
        <x:v>X09已被删除、降为仅内部候选或基础状态停止。</x:v>
      </x:c>
      <x:c r="K78" s="275" t="str">
        <x:v>不限定；由共享基础引擎与M3-STATE修正</x:v>
      </x:c>
      <x:c r="L78" s="275" t="str">
        <x:v>不限定；M3-EXPR不以夫妻星为唯一主轴</x:v>
      </x:c>
      <x:c r="M78" s="275" t="str">
        <x:v>由M3-BASE、日支结构及共享引擎提供</x:v>
      </x:c>
      <x:c r="N78" s="275" t="str">
        <x:v>无／待表达路径规则组合</x:v>
      </x:c>
      <x:c r="O78" s="275" t="str">
        <x:v>全局有效信号；日柱及亲密关系近位优先</x:v>
      </x:c>
      <x:c r="P78" s="275" t="str">
        <x:v>由共享基础引擎判定</x:v>
      </x:c>
      <x:c r="Q78" s="275" t="str">
        <x:v>由共享基础引擎判定</x:v>
      </x:c>
      <x:c r="R78" s="275" t="str">
        <x:v>喜忌不直接等于会不会表达；只修正调用顺畅度与强度</x:v>
      </x:c>
      <x:c r="S78" s="275" t="str">
        <x:v>原十神性质有效；真合化成立时按化神路由</x:v>
      </x:c>
      <x:c r="T78" s="275" t="str">
        <x:v>由共享基础引擎判定</x:v>
      </x:c>
      <x:c r="U78" s="275" t="str">
        <x:v>66</x:v>
      </x:c>
      <x:c r="V78" s="275" t="str">
        <x:v>不加分</x:v>
      </x:c>
      <x:c r="W78" s="275" t="str">
        <x:v>basis_summary</x:v>
      </x:c>
      <x:c r="X78" s="275" t="str">
        <x:v>生成正印表达通道的折叠依据：核心为通过倾听、理解、安抚和先接住对方的感受来建立沟通。并保留正偏风格，而不把十神名称直接展示为人格标签。</x:v>
      </x:c>
      <x:c r="Y78" s="275" t="str">
        <x:v>从传统八字取象看，你的表达方式更接近“倾听承接”：通过倾听、理解、安抚和先接住对方的感受来建立沟通。</x:v>
      </x:c>
      <x:c r="Z78" s="275" t="str">
        <x:v>不得推出用户依赖、软弱、没有立场、只想被照顾或一定承担母性／父性角色。 折叠依据只用于解释，不得在正文堆叠十神术语。</x:v>
      </x:c>
      <x:c r="AA78" s="275" t="str">
        <x:v>中</x:v>
      </x:c>
      <x:c r="AB78" s="275" t="str">
        <x:v>待验证</x:v>
      </x:c>
      <x:c r="AC78" s="275" t="str"/>
      <x:c r="AD78" s="275" t="str">
        <x:v>provisional=true; channel=X09; deity=正印; facet=summary</x:v>
      </x:c>
      <x:c r="AE78" s="276" t="str">
        <x:v>0.3</x:v>
      </x:c>
    </x:row>
    <x:row r="79">
      <x:c r="A79" s="273" t="str">
        <x:v>M3-EXPR-075</x:v>
      </x:c>
      <x:c r="B79" s="274" t="str">
        <x:v>偏印｜X10 深度内化核心表达通道</x:v>
      </x:c>
      <x:c r="C79" s="275" t="str">
        <x:v>L1 主要表达通道</x:v>
      </x:c>
      <x:c r="D79" s="275" t="str">
        <x:v>EXPR-十神通道</x:v>
      </x:c>
      <x:c r="E79" s="275" t="str">
        <x:v>通用</x:v>
      </x:c>
      <x:c r="F79" s="275" t="str">
        <x:v>基础</x:v>
      </x:c>
      <x:c r="G79" s="275" t="str">
        <x:v>有效偏印表达信号／X10 深度内化</x:v>
      </x:c>
      <x:c r="H79" s="275" t="str"/>
      <x:c r="I79" s="275" t="str">
        <x:v>偏印在M3中形成有效功能信号；至少由日支主／中气、亲密关系近位透干有根、独立流向或两类相互支持证据之一确认；原十神性质未被真合化替代。</x:v>
      </x:c>
      <x:c r="J79" s="275" t="str">
        <x:v>偏印仅为单一弱远、无根或争议信号；基础十神映射未定；真合化后原十神性质失效；仅由同一source_id重复支持。</x:v>
      </x:c>
      <x:c r="K79" s="275" t="str">
        <x:v>不限定；由共享基础引擎与M3-STATE修正</x:v>
      </x:c>
      <x:c r="L79" s="275" t="str">
        <x:v>不限定；M3-EXPR不以夫妻星为唯一主轴</x:v>
      </x:c>
      <x:c r="M79" s="275" t="str">
        <x:v>由M3-BASE、日支结构及共享引擎提供</x:v>
      </x:c>
      <x:c r="N79" s="275" t="str">
        <x:v>无／待表达路径规则组合</x:v>
      </x:c>
      <x:c r="O79" s="275" t="str">
        <x:v>全局有效信号；日柱及亲密关系近位优先</x:v>
      </x:c>
      <x:c r="P79" s="275" t="str">
        <x:v>由共享基础引擎判定</x:v>
      </x:c>
      <x:c r="Q79" s="275" t="str">
        <x:v>由共享基础引擎判定</x:v>
      </x:c>
      <x:c r="R79" s="275" t="str">
        <x:v>喜忌不直接等于会不会表达；只修正调用顺畅度与强度</x:v>
      </x:c>
      <x:c r="S79" s="275" t="str">
        <x:v>原十神性质有效；真合化成立时按化神路由</x:v>
      </x:c>
      <x:c r="T79" s="275" t="str">
        <x:v>由共享基础引擎判定</x:v>
      </x:c>
      <x:c r="U79" s="275" t="str">
        <x:v>94</x:v>
      </x:c>
      <x:c r="V79" s="275" t="str">
        <x:v>X10主通道 +22</x:v>
      </x:c>
      <x:c r="W79" s="275" t="str">
        <x:v>primary_expression_channel</x:v>
      </x:c>
      <x:c r="X79" s="275" t="str">
        <x:v>偏印属于SYS05 承接内化系统。在M3-EXPR中，其核心功能为：先在内部整理复杂感受和意义，再选择性地进行有深度、较私人或较精确的表达。该规则只确定主要表达通道候选，不单独锁定频率、压力表现和沟通结果。</x:v>
      </x:c>
      <x:c r="Y79" s="275" t="str">
        <x:v>你更习惯先在内部整理复杂感受和意义，再选择性地进行有深度、较私人或较精确的表达。</x:v>
      </x:c>
      <x:c r="Z79" s="275" t="str">
        <x:v>不得推出用户冷漠、孤僻、神秘、回避亲密、精神异常或故意让人猜。 不得把该通道等同于感情深浅、沟通效果或关系结果。</x:v>
      </x:c>
      <x:c r="AA79" s="275" t="str">
        <x:v>中高</x:v>
      </x:c>
      <x:c r="AB79" s="275" t="str">
        <x:v>待验证</x:v>
      </x:c>
      <x:c r="AC79" s="275" t="str"/>
      <x:c r="AD79" s="275" t="str">
        <x:v>provisional=true; channel=X10; deity=偏印; facet=core</x:v>
      </x:c>
      <x:c r="AE79" s="276" t="str">
        <x:v>0.3</x:v>
      </x:c>
    </x:row>
    <x:row r="80">
      <x:c r="A80" s="273" t="str">
        <x:v>M3-EXPR-076</x:v>
      </x:c>
      <x:c r="B80" s="274" t="str">
        <x:v>偏印｜在意与喜欢的表达</x:v>
      </x:c>
      <x:c r="C80" s="275" t="str">
        <x:v>L2 情感表达</x:v>
      </x:c>
      <x:c r="D80" s="275" t="str">
        <x:v>EXPR-十神通道</x:v>
      </x:c>
      <x:c r="E80" s="275" t="str">
        <x:v>通用</x:v>
      </x:c>
      <x:c r="F80" s="275" t="str">
        <x:v>行为映射</x:v>
      </x:c>
      <x:c r="G80" s="275" t="str">
        <x:v>X10 深度内化</x:v>
      </x:c>
      <x:c r="H80" s="275" t="str">
        <x:v>affection_expression</x:v>
      </x:c>
      <x:c r="I80" s="275" t="str">
        <x:v>偏印在M3中形成有效功能信号；至少由日支主／中气、亲密关系近位透干有根、独立流向或两类相互支持证据之一确认；原十神性质未被真合化替代。</x:v>
      </x:c>
      <x:c r="J80" s="275" t="str">
        <x:v>偏印仅为单一弱远、无根或争议信号；基础十神映射未定；真合化后原十神性质失效；仅由同一source_id重复支持。</x:v>
      </x:c>
      <x:c r="K80" s="275" t="str">
        <x:v>不限定；由共享基础引擎与M3-STATE修正</x:v>
      </x:c>
      <x:c r="L80" s="275" t="str">
        <x:v>不限定；M3-EXPR不以夫妻星为唯一主轴</x:v>
      </x:c>
      <x:c r="M80" s="275" t="str">
        <x:v>由M3-BASE、日支结构及共享引擎提供</x:v>
      </x:c>
      <x:c r="N80" s="275" t="str">
        <x:v>无／待表达路径规则组合</x:v>
      </x:c>
      <x:c r="O80" s="275" t="str">
        <x:v>全局有效信号；日柱及亲密关系近位优先</x:v>
      </x:c>
      <x:c r="P80" s="275" t="str">
        <x:v>由共享基础引擎判定</x:v>
      </x:c>
      <x:c r="Q80" s="275" t="str">
        <x:v>由共享基础引擎判定</x:v>
      </x:c>
      <x:c r="R80" s="275" t="str">
        <x:v>喜忌不直接等于会不会表达；只修正调用顺畅度与强度</x:v>
      </x:c>
      <x:c r="S80" s="275" t="str">
        <x:v>原十神性质有效；真合化成立时按化神路由</x:v>
      </x:c>
      <x:c r="T80" s="275" t="str">
        <x:v>由共享基础引擎判定</x:v>
      </x:c>
      <x:c r="U80" s="275" t="str">
        <x:v>86</x:v>
      </x:c>
      <x:c r="V80" s="275" t="str">
        <x:v>affection_expression +12</x:v>
      </x:c>
      <x:c r="W80" s="275" t="str">
        <x:v>affection_expression</x:v>
      </x:c>
      <x:c r="X80" s="275" t="str">
        <x:v>偏印通道在情感表达上的可观察形式为：通过分享私密想法、专业兴趣、独特理解、安静陪伴和允许彼此独处表达亲近。是否高频、持续或被对方识别，仍需CARE、状态和案例反馈复核。</x:v>
      </x:c>
      <x:c r="Y80" s="275" t="str">
        <x:v>你往往会通过分享私密想法、专业兴趣、独特理解、安静陪伴和允许彼此独处表达亲近。</x:v>
      </x:c>
      <x:c r="Z80" s="275" t="str">
        <x:v>不得推出用户冷漠、孤僻、神秘、回避亲密、精神异常或故意让人猜。 不得据此定量判断谁付出更多，也不得推出对方一定能识别这份表达。</x:v>
      </x:c>
      <x:c r="AA80" s="275" t="str">
        <x:v>中</x:v>
      </x:c>
      <x:c r="AB80" s="275" t="str">
        <x:v>待验证</x:v>
      </x:c>
      <x:c r="AC80" s="275" t="str"/>
      <x:c r="AD80" s="275" t="str">
        <x:v>provisional=true; channel=X10; deity=偏印; facet=affection</x:v>
      </x:c>
      <x:c r="AE80" s="276" t="str">
        <x:v>0.3</x:v>
      </x:c>
    </x:row>
    <x:row r="81">
      <x:c r="A81" s="273" t="str">
        <x:v>M3-EXPR-077</x:v>
      </x:c>
      <x:c r="B81" s="274" t="str">
        <x:v>偏印｜情绪外化方式</x:v>
      </x:c>
      <x:c r="C81" s="275" t="str">
        <x:v>L3 情绪与需求表达</x:v>
      </x:c>
      <x:c r="D81" s="275" t="str">
        <x:v>EXPR-十神通道</x:v>
      </x:c>
      <x:c r="E81" s="275" t="str">
        <x:v>通用</x:v>
      </x:c>
      <x:c r="F81" s="275" t="str">
        <x:v>行为映射</x:v>
      </x:c>
      <x:c r="G81" s="275" t="str">
        <x:v>X10 深度内化</x:v>
      </x:c>
      <x:c r="H81" s="275" t="str">
        <x:v>emotion_expression</x:v>
      </x:c>
      <x:c r="I81" s="275" t="str">
        <x:v>偏印在M3中形成有效功能信号；至少由日支主／中气、亲密关系近位透干有根、独立流向或两类相互支持证据之一确认；原十神性质未被真合化替代。</x:v>
      </x:c>
      <x:c r="J81" s="275" t="str">
        <x:v>偏印仅为单一弱远、无根或争议信号；基础十神映射未定；真合化后原十神性质失效；仅由同一source_id重复支持。</x:v>
      </x:c>
      <x:c r="K81" s="275" t="str">
        <x:v>不限定；由共享基础引擎与M3-STATE修正</x:v>
      </x:c>
      <x:c r="L81" s="275" t="str">
        <x:v>不限定；M3-EXPR不以夫妻星为唯一主轴</x:v>
      </x:c>
      <x:c r="M81" s="275" t="str">
        <x:v>由M3-BASE、日支结构及共享引擎提供</x:v>
      </x:c>
      <x:c r="N81" s="275" t="str">
        <x:v>无／待表达路径规则组合</x:v>
      </x:c>
      <x:c r="O81" s="275" t="str">
        <x:v>全局有效信号；日柱及亲密关系近位优先</x:v>
      </x:c>
      <x:c r="P81" s="275" t="str">
        <x:v>由共享基础引擎判定</x:v>
      </x:c>
      <x:c r="Q81" s="275" t="str">
        <x:v>由共享基础引擎判定</x:v>
      </x:c>
      <x:c r="R81" s="275" t="str">
        <x:v>喜忌不直接等于会不会表达；只修正调用顺畅度与强度</x:v>
      </x:c>
      <x:c r="S81" s="275" t="str">
        <x:v>原十神性质有效；真合化成立时按化神路由</x:v>
      </x:c>
      <x:c r="T81" s="275" t="str">
        <x:v>由共享基础引擎判定</x:v>
      </x:c>
      <x:c r="U81" s="275" t="str">
        <x:v>84</x:v>
      </x:c>
      <x:c r="V81" s="275" t="str">
        <x:v>emotion_expression +10</x:v>
      </x:c>
      <x:c r="W81" s="275" t="str">
        <x:v>emotion_expression</x:v>
      </x:c>
      <x:c r="X81" s="275" t="str">
        <x:v>偏印通道对情绪外化的修正为：情绪常需要先独立消化，确认自己真正怎么想以后才会开口；表达可能不连续但内容较深。该规则描述平稳和一般情境的时序，不直接推断冲突时表现。</x:v>
      </x:c>
      <x:c r="Y81" s="275" t="str">
        <x:v>当你有情绪时，通常更可能情绪常需要先独立消化，确认自己真正怎么想以后才会开口；表达可能不连续但内容较深。</x:v>
      </x:c>
      <x:c r="Z81" s="275" t="str">
        <x:v>不得推出用户冷漠、孤僻、神秘、回避亲密、精神异常或故意让人猜。 不得把表达较慢、较简短或偏行动化解释为没有情绪或拒绝沟通。</x:v>
      </x:c>
      <x:c r="AA81" s="275" t="str">
        <x:v>中</x:v>
      </x:c>
      <x:c r="AB81" s="275" t="str">
        <x:v>待验证</x:v>
      </x:c>
      <x:c r="AC81" s="275" t="str"/>
      <x:c r="AD81" s="275" t="str">
        <x:v>provisional=true; channel=X10; deity=偏印; facet=emotion</x:v>
      </x:c>
      <x:c r="AE81" s="276" t="str">
        <x:v>0.3</x:v>
      </x:c>
    </x:row>
    <x:row r="82">
      <x:c r="A82" s="273" t="str">
        <x:v>M3-EXPR-078</x:v>
      </x:c>
      <x:c r="B82" s="274" t="str">
        <x:v>偏印｜需求与观点表达</x:v>
      </x:c>
      <x:c r="C82" s="275" t="str">
        <x:v>L3 情绪与需求表达</x:v>
      </x:c>
      <x:c r="D82" s="275" t="str">
        <x:v>EXPR-十神通道</x:v>
      </x:c>
      <x:c r="E82" s="275" t="str">
        <x:v>通用</x:v>
      </x:c>
      <x:c r="F82" s="275" t="str">
        <x:v>行为映射</x:v>
      </x:c>
      <x:c r="G82" s="275" t="str">
        <x:v>X10 深度内化</x:v>
      </x:c>
      <x:c r="H82" s="275" t="str">
        <x:v>need_expression</x:v>
      </x:c>
      <x:c r="I82" s="275" t="str">
        <x:v>偏印在M3中形成有效功能信号；至少由日支主／中气、亲密关系近位透干有根、独立流向或两类相互支持证据之一确认；原十神性质未被真合化替代。</x:v>
      </x:c>
      <x:c r="J82" s="275" t="str">
        <x:v>偏印仅为单一弱远、无根或争议信号；基础十神映射未定；真合化后原十神性质失效；仅由同一source_id重复支持。</x:v>
      </x:c>
      <x:c r="K82" s="275" t="str">
        <x:v>不限定；由共享基础引擎与M3-STATE修正</x:v>
      </x:c>
      <x:c r="L82" s="275" t="str">
        <x:v>不限定；M3-EXPR不以夫妻星为唯一主轴</x:v>
      </x:c>
      <x:c r="M82" s="275" t="str">
        <x:v>由M3-BASE、日支结构及共享引擎提供</x:v>
      </x:c>
      <x:c r="N82" s="275" t="str">
        <x:v>无／待表达路径规则组合</x:v>
      </x:c>
      <x:c r="O82" s="275" t="str">
        <x:v>全局有效信号；日柱及亲密关系近位优先</x:v>
      </x:c>
      <x:c r="P82" s="275" t="str">
        <x:v>由共享基础引擎判定</x:v>
      </x:c>
      <x:c r="Q82" s="275" t="str">
        <x:v>由共享基础引擎判定</x:v>
      </x:c>
      <x:c r="R82" s="275" t="str">
        <x:v>喜忌不直接等于会不会表达；只修正调用顺畅度与强度</x:v>
      </x:c>
      <x:c r="S82" s="275" t="str">
        <x:v>原十神性质有效；真合化成立时按化神路由</x:v>
      </x:c>
      <x:c r="T82" s="275" t="str">
        <x:v>由共享基础引擎判定</x:v>
      </x:c>
      <x:c r="U82" s="275" t="str">
        <x:v>83</x:v>
      </x:c>
      <x:c r="V82" s="275" t="str">
        <x:v>need_expression +10</x:v>
      </x:c>
      <x:c r="W82" s="275" t="str">
        <x:v>need_expression／communication_style</x:v>
      </x:c>
      <x:c r="X82" s="275" t="str">
        <x:v>偏印通道在需求和观点表达上的常见形式为：需求可能较含蓄、细致或难以用常规语言概括，需要信任、时间或特定问题帮助外化。能否长期执行这些条件由BOUND模块判断。</x:v>
      </x:c>
      <x:c r="Y82" s="275" t="str">
        <x:v>当你需要说明自己的需要或想法时，通常更倾向需求可能较含蓄、细致或难以用常规语言概括，需要信任、时间或特定问题帮助外化。</x:v>
      </x:c>
      <x:c r="Z82" s="275" t="str">
        <x:v>不得推出用户冷漠、孤僻、神秘、回避亲密、精神异常或故意让人猜。 不得把能说清条件等同于一定能执行边界，也不得把含蓄表达等同于让人猜。</x:v>
      </x:c>
      <x:c r="AA82" s="275" t="str">
        <x:v>中</x:v>
      </x:c>
      <x:c r="AB82" s="275" t="str">
        <x:v>待验证</x:v>
      </x:c>
      <x:c r="AC82" s="275" t="str"/>
      <x:c r="AD82" s="275" t="str">
        <x:v>provisional=true; channel=X10; deity=偏印; facet=need</x:v>
      </x:c>
      <x:c r="AE82" s="276" t="str">
        <x:v>0.3</x:v>
      </x:c>
    </x:row>
    <x:row r="83">
      <x:c r="A83" s="273" t="str">
        <x:v>M3-EXPR-079</x:v>
      </x:c>
      <x:c r="B83" s="274" t="str">
        <x:v>偏印｜接收与回应对方表达</x:v>
      </x:c>
      <x:c r="C83" s="275" t="str">
        <x:v>L4 沟通顺序与回应</x:v>
      </x:c>
      <x:c r="D83" s="275" t="str">
        <x:v>EXPR-十神通道</x:v>
      </x:c>
      <x:c r="E83" s="275" t="str">
        <x:v>通用</x:v>
      </x:c>
      <x:c r="F83" s="275" t="str">
        <x:v>回应映射</x:v>
      </x:c>
      <x:c r="G83" s="275" t="str">
        <x:v>X10 深度内化</x:v>
      </x:c>
      <x:c r="H83" s="275" t="str">
        <x:v>response_style</x:v>
      </x:c>
      <x:c r="I83" s="275" t="str">
        <x:v>偏印在M3中形成有效功能信号；至少由日支主／中气、亲密关系近位透干有根、独立流向或两类相互支持证据之一确认；原十神性质未被真合化替代。</x:v>
      </x:c>
      <x:c r="J83" s="275" t="str">
        <x:v>偏印仅为单一弱远、无根或争议信号；基础十神映射未定；真合化后原十神性质失效；仅由同一source_id重复支持。</x:v>
      </x:c>
      <x:c r="K83" s="275" t="str">
        <x:v>不限定；由共享基础引擎与M3-STATE修正</x:v>
      </x:c>
      <x:c r="L83" s="275" t="str">
        <x:v>不限定；M3-EXPR不以夫妻星为唯一主轴</x:v>
      </x:c>
      <x:c r="M83" s="275" t="str">
        <x:v>由M3-BASE、日支结构及共享引擎提供</x:v>
      </x:c>
      <x:c r="N83" s="275" t="str">
        <x:v>无／待表达路径规则组合</x:v>
      </x:c>
      <x:c r="O83" s="275" t="str">
        <x:v>全局有效信号；日柱及亲密关系近位优先</x:v>
      </x:c>
      <x:c r="P83" s="275" t="str">
        <x:v>由共享基础引擎判定</x:v>
      </x:c>
      <x:c r="Q83" s="275" t="str">
        <x:v>由共享基础引擎判定</x:v>
      </x:c>
      <x:c r="R83" s="275" t="str">
        <x:v>喜忌不直接等于会不会表达；只修正调用顺畅度与强度</x:v>
      </x:c>
      <x:c r="S83" s="275" t="str">
        <x:v>原十神性质有效；真合化成立时按化神路由</x:v>
      </x:c>
      <x:c r="T83" s="275" t="str">
        <x:v>由共享基础引擎判定</x:v>
      </x:c>
      <x:c r="U83" s="275" t="str">
        <x:v>78</x:v>
      </x:c>
      <x:c r="V83" s="275" t="str">
        <x:v>response_style +8</x:v>
      </x:c>
      <x:c r="W83" s="275" t="str">
        <x:v>response_style</x:v>
      </x:c>
      <x:c r="X83" s="275" t="str">
        <x:v>偏印通道会影响用户更容易接收怎样的表达：更容易接收不强迫即时回答、尊重复杂性、愿意深入理解且允许保留空间的表达。这里只描述接收偏好与回应入口，不评价对方表达是否正确。</x:v>
      </x:c>
      <x:c r="Y83" s="275" t="str">
        <x:v>你通常更容易回应这样的沟通：更容易接收不强迫即时回答、尊重复杂性、愿意深入理解且允许保留空间的表达。</x:v>
      </x:c>
      <x:c r="Z83" s="275" t="str">
        <x:v>不得推出用户冷漠、孤僻、神秘、回避亲密、精神异常或故意让人猜。 不得据此要求伴侣只能用单一方式沟通，也不得推出其他方式一定无效。</x:v>
      </x:c>
      <x:c r="AA83" s="275" t="str">
        <x:v>中低</x:v>
      </x:c>
      <x:c r="AB83" s="275" t="str">
        <x:v>待验证</x:v>
      </x:c>
      <x:c r="AC83" s="275" t="str"/>
      <x:c r="AD83" s="275" t="str">
        <x:v>provisional=true; channel=X10; deity=偏印; facet=response</x:v>
      </x:c>
      <x:c r="AE83" s="276" t="str">
        <x:v>0.3</x:v>
      </x:c>
    </x:row>
    <x:row r="84">
      <x:c r="A84" s="273" t="str">
        <x:v>M3-EXPR-080</x:v>
      </x:c>
      <x:c r="B84" s="274" t="str">
        <x:v>偏印｜深度内化用户摘要</x:v>
      </x:c>
      <x:c r="C84" s="275" t="str">
        <x:v>L7 总合成与边界审查</x:v>
      </x:c>
      <x:c r="D84" s="275" t="str">
        <x:v>EXPR-十神通道</x:v>
      </x:c>
      <x:c r="E84" s="275" t="str">
        <x:v>通用</x:v>
      </x:c>
      <x:c r="F84" s="275" t="str">
        <x:v>输出</x:v>
      </x:c>
      <x:c r="G84" s="275" t="str">
        <x:v>X10 深度内化</x:v>
      </x:c>
      <x:c r="H84" s="275" t="str"/>
      <x:c r="I84" s="275" t="str">
        <x:v>X10已进入主通道或有效次通道，且未被去重、停止或真合化替代。</x:v>
      </x:c>
      <x:c r="J84" s="275" t="str">
        <x:v>X10已被删除、降为仅内部候选或基础状态停止。</x:v>
      </x:c>
      <x:c r="K84" s="275" t="str">
        <x:v>不限定；由共享基础引擎与M3-STATE修正</x:v>
      </x:c>
      <x:c r="L84" s="275" t="str">
        <x:v>不限定；M3-EXPR不以夫妻星为唯一主轴</x:v>
      </x:c>
      <x:c r="M84" s="275" t="str">
        <x:v>由M3-BASE、日支结构及共享引擎提供</x:v>
      </x:c>
      <x:c r="N84" s="275" t="str">
        <x:v>无／待表达路径规则组合</x:v>
      </x:c>
      <x:c r="O84" s="275" t="str">
        <x:v>全局有效信号；日柱及亲密关系近位优先</x:v>
      </x:c>
      <x:c r="P84" s="275" t="str">
        <x:v>由共享基础引擎判定</x:v>
      </x:c>
      <x:c r="Q84" s="275" t="str">
        <x:v>由共享基础引擎判定</x:v>
      </x:c>
      <x:c r="R84" s="275" t="str">
        <x:v>喜忌不直接等于会不会表达；只修正调用顺畅度与强度</x:v>
      </x:c>
      <x:c r="S84" s="275" t="str">
        <x:v>原十神性质有效；真合化成立时按化神路由</x:v>
      </x:c>
      <x:c r="T84" s="275" t="str">
        <x:v>由共享基础引擎判定</x:v>
      </x:c>
      <x:c r="U84" s="275" t="str">
        <x:v>66</x:v>
      </x:c>
      <x:c r="V84" s="275" t="str">
        <x:v>不加分</x:v>
      </x:c>
      <x:c r="W84" s="275" t="str">
        <x:v>basis_summary</x:v>
      </x:c>
      <x:c r="X84" s="275" t="str">
        <x:v>生成偏印表达通道的折叠依据：核心为先在内部整理复杂感受和意义，再选择性地进行有深度、较私人或较精确的表达。并保留正偏风格，而不把十神名称直接展示为人格标签。</x:v>
      </x:c>
      <x:c r="Y84" s="275" t="str">
        <x:v>从传统八字取象看，你的表达方式更接近“深度内化”：先在内部整理复杂感受和意义，再选择性地进行有深度、较私人或较精确的表达。</x:v>
      </x:c>
      <x:c r="Z84" s="275" t="str">
        <x:v>不得推出用户冷漠、孤僻、神秘、回避亲密、精神异常或故意让人猜。 折叠依据只用于解释，不得在正文堆叠十神术语。</x:v>
      </x:c>
      <x:c r="AA84" s="275" t="str">
        <x:v>中</x:v>
      </x:c>
      <x:c r="AB84" s="275" t="str">
        <x:v>待验证</x:v>
      </x:c>
      <x:c r="AC84" s="275" t="str"/>
      <x:c r="AD84" s="275" t="str">
        <x:v>provisional=true; channel=X10; deity=偏印; facet=summary</x:v>
      </x:c>
      <x:c r="AE84" s="276" t="str">
        <x:v>0.3</x:v>
      </x:c>
    </x:row>
    <x:row r="85">
      <x:c r="A85" s="273" t="str">
        <x:v>M3-EXPR-081</x:v>
      </x:c>
      <x:c r="B85" s="274" t="str">
        <x:v>XQ01 表达可见度｜高可见</x:v>
      </x:c>
      <x:c r="C85" s="275" t="str">
        <x:v>L4 沟通顺序与回应</x:v>
      </x:c>
      <x:c r="D85" s="275" t="str">
        <x:v>EXPR-过程维度</x:v>
      </x:c>
      <x:c r="E85" s="275" t="str">
        <x:v>通用</x:v>
      </x:c>
      <x:c r="F85" s="275" t="str">
        <x:v>状态判定</x:v>
      </x:c>
      <x:c r="G85" s="275" t="str">
        <x:v>XQ01 表达可见度</x:v>
      </x:c>
      <x:c r="H85" s="275" t="str">
        <x:v>高可见</x:v>
      </x:c>
      <x:c r="I85" s="275" t="str">
        <x:v>近位透干有根，或日支主气与外显信号相互支持；主通道未被强制内化。</x:v>
      </x:c>
      <x:c r="J85" s="275" t="str">
        <x:v>基础十神或状态未定；只存在同一source_id重复；真合化会改变关键通道但尚未路由。</x:v>
      </x:c>
      <x:c r="K85" s="275" t="str">
        <x:v>不限定；由共享基础引擎与M3-STATE修正</x:v>
      </x:c>
      <x:c r="L85" s="275" t="str">
        <x:v>不限定；M3-EXPR不以夫妻星为唯一主轴</x:v>
      </x:c>
      <x:c r="M85" s="275" t="str">
        <x:v>由M3-BASE、日支结构及共享引擎提供</x:v>
      </x:c>
      <x:c r="N85" s="275" t="str">
        <x:v>无／待表达路径规则组合</x:v>
      </x:c>
      <x:c r="O85" s="275" t="str">
        <x:v>全局有效信号；日柱及亲密关系近位优先</x:v>
      </x:c>
      <x:c r="P85" s="275" t="str">
        <x:v>由共享基础引擎判定</x:v>
      </x:c>
      <x:c r="Q85" s="275" t="str">
        <x:v>由共享基础引擎判定</x:v>
      </x:c>
      <x:c r="R85" s="275" t="str">
        <x:v>喜忌不直接等于会不会表达；只修正调用顺畅度与强度</x:v>
      </x:c>
      <x:c r="S85" s="275" t="str">
        <x:v>原十神性质有效；真合化成立时按化神路由</x:v>
      </x:c>
      <x:c r="T85" s="275" t="str">
        <x:v>由共享基础引擎判定</x:v>
      </x:c>
      <x:c r="U85" s="275" t="str">
        <x:v>81</x:v>
      </x:c>
      <x:c r="V85" s="275" t="str">
        <x:v>expression_visibility +8</x:v>
      </x:c>
      <x:c r="W85" s="275" t="str">
        <x:v>expression_visibility</x:v>
      </x:c>
      <x:c r="X85" s="275" t="str">
        <x:v>表达通道更容易被对方直接观察到，不必依赖长期猜测。</x:v>
      </x:c>
      <x:c r="Y85" s="275" t="str">
        <x:v>你的在意通常比较容易被对方看见；即使表达方式不一定热烈，也会留下清楚的行为或语言信号。</x:v>
      </x:c>
      <x:c r="Z85" s="275" t="str">
        <x:v>不得把该过程维度直接解释为沟通能力高低、情绪成熟度、依恋类型或关系结果。</x:v>
      </x:c>
      <x:c r="AA85" s="275" t="str">
        <x:v>中高</x:v>
      </x:c>
      <x:c r="AB85" s="275" t="str">
        <x:v>待验证</x:v>
      </x:c>
      <x:c r="AC85" s="275" t="str"/>
      <x:c r="AD85" s="275" t="str">
        <x:v>provisional=true; dimension=XQ01; state=高可见</x:v>
      </x:c>
      <x:c r="AE85" s="276" t="str">
        <x:v>0.3</x:v>
      </x:c>
    </x:row>
    <x:row r="86">
      <x:c r="A86" s="273" t="str">
        <x:v>M3-EXPR-082</x:v>
      </x:c>
      <x:c r="B86" s="274" t="str">
        <x:v>XQ01 表达可见度｜关系内显现</x:v>
      </x:c>
      <x:c r="C86" s="275" t="str">
        <x:v>L4 沟通顺序与回应</x:v>
      </x:c>
      <x:c r="D86" s="275" t="str">
        <x:v>EXPR-过程维度</x:v>
      </x:c>
      <x:c r="E86" s="275" t="str">
        <x:v>通用</x:v>
      </x:c>
      <x:c r="F86" s="275" t="str">
        <x:v>状态判定</x:v>
      </x:c>
      <x:c r="G86" s="275" t="str">
        <x:v>XQ01 表达可见度</x:v>
      </x:c>
      <x:c r="H86" s="275" t="str">
        <x:v>关系内显现</x:v>
      </x:c>
      <x:c r="I86" s="275" t="str">
        <x:v>信号主要藏于日支或近位藏干，有根但外部透出有限。</x:v>
      </x:c>
      <x:c r="J86" s="275" t="str">
        <x:v>基础十神或状态未定；只存在同一source_id重复；真合化会改变关键通道但尚未路由。</x:v>
      </x:c>
      <x:c r="K86" s="275" t="str">
        <x:v>不限定；由共享基础引擎与M3-STATE修正</x:v>
      </x:c>
      <x:c r="L86" s="275" t="str">
        <x:v>不限定；M3-EXPR不以夫妻星为唯一主轴</x:v>
      </x:c>
      <x:c r="M86" s="275" t="str">
        <x:v>由M3-BASE、日支结构及共享引擎提供</x:v>
      </x:c>
      <x:c r="N86" s="275" t="str">
        <x:v>无／待表达路径规则组合</x:v>
      </x:c>
      <x:c r="O86" s="275" t="str">
        <x:v>全局有效信号；日柱及亲密关系近位优先</x:v>
      </x:c>
      <x:c r="P86" s="275" t="str">
        <x:v>由共享基础引擎判定</x:v>
      </x:c>
      <x:c r="Q86" s="275" t="str">
        <x:v>由共享基础引擎判定</x:v>
      </x:c>
      <x:c r="R86" s="275" t="str">
        <x:v>喜忌不直接等于会不会表达；只修正调用顺畅度与强度</x:v>
      </x:c>
      <x:c r="S86" s="275" t="str">
        <x:v>原十神性质有效；真合化成立时按化神路由</x:v>
      </x:c>
      <x:c r="T86" s="275" t="str">
        <x:v>由共享基础引擎判定</x:v>
      </x:c>
      <x:c r="U86" s="275" t="str">
        <x:v>80</x:v>
      </x:c>
      <x:c r="V86" s="275" t="str">
        <x:v>expression_visibility +4</x:v>
      </x:c>
      <x:c r="W86" s="275" t="str">
        <x:v>expression_visibility</x:v>
      </x:c>
      <x:c r="X86" s="275" t="str">
        <x:v>表达在亲密关系内部比在一般人际中更明显，熟悉以后可见度提高。</x:v>
      </x:c>
      <x:c r="Y86" s="275" t="str">
        <x:v>你不一定会在刚认识或公开场合表现很多，但真正进入关系后，表达通常会逐渐清楚。</x:v>
      </x:c>
      <x:c r="Z86" s="275" t="str">
        <x:v>不得把该过程维度直接解释为沟通能力高低、情绪成熟度、依恋类型或关系结果。</x:v>
      </x:c>
      <x:c r="AA86" s="275" t="str">
        <x:v>中</x:v>
      </x:c>
      <x:c r="AB86" s="275" t="str">
        <x:v>待验证</x:v>
      </x:c>
      <x:c r="AC86" s="275" t="str"/>
      <x:c r="AD86" s="275" t="str">
        <x:v>provisional=true; dimension=XQ01; state=关系内显现</x:v>
      </x:c>
      <x:c r="AE86" s="276" t="str">
        <x:v>0.3</x:v>
      </x:c>
    </x:row>
    <x:row r="87">
      <x:c r="A87" s="273" t="str">
        <x:v>M3-EXPR-083</x:v>
      </x:c>
      <x:c r="B87" s="274" t="str">
        <x:v>XQ01 表达可见度｜低可见／间接</x:v>
      </x:c>
      <x:c r="C87" s="275" t="str">
        <x:v>L4 沟通顺序与回应</x:v>
      </x:c>
      <x:c r="D87" s="275" t="str">
        <x:v>EXPR-过程维度</x:v>
      </x:c>
      <x:c r="E87" s="275" t="str">
        <x:v>通用</x:v>
      </x:c>
      <x:c r="F87" s="275" t="str">
        <x:v>状态判定</x:v>
      </x:c>
      <x:c r="G87" s="275" t="str">
        <x:v>XQ01 表达可见度</x:v>
      </x:c>
      <x:c r="H87" s="275" t="str">
        <x:v>低可见／间接</x:v>
      </x:c>
      <x:c r="I87" s="275" t="str">
        <x:v>信号偏弱、无根或主要通过行动、承接、空间等间接通道表达。</x:v>
      </x:c>
      <x:c r="J87" s="275" t="str">
        <x:v>基础十神或状态未定；只存在同一source_id重复；真合化会改变关键通道但尚未路由。</x:v>
      </x:c>
      <x:c r="K87" s="275" t="str">
        <x:v>不限定；由共享基础引擎与M3-STATE修正</x:v>
      </x:c>
      <x:c r="L87" s="275" t="str">
        <x:v>不限定；M3-EXPR不以夫妻星为唯一主轴</x:v>
      </x:c>
      <x:c r="M87" s="275" t="str">
        <x:v>由M3-BASE、日支结构及共享引擎提供</x:v>
      </x:c>
      <x:c r="N87" s="275" t="str">
        <x:v>无／待表达路径规则组合</x:v>
      </x:c>
      <x:c r="O87" s="275" t="str">
        <x:v>全局有效信号；日柱及亲密关系近位优先</x:v>
      </x:c>
      <x:c r="P87" s="275" t="str">
        <x:v>由共享基础引擎判定</x:v>
      </x:c>
      <x:c r="Q87" s="275" t="str">
        <x:v>由共享基础引擎判定</x:v>
      </x:c>
      <x:c r="R87" s="275" t="str">
        <x:v>喜忌不直接等于会不会表达；只修正调用顺畅度与强度</x:v>
      </x:c>
      <x:c r="S87" s="275" t="str">
        <x:v>原十神性质有效；真合化成立时按化神路由</x:v>
      </x:c>
      <x:c r="T87" s="275" t="str">
        <x:v>由共享基础引擎判定</x:v>
      </x:c>
      <x:c r="U87" s="275" t="str">
        <x:v>79</x:v>
      </x:c>
      <x:c r="V87" s="275" t="str">
        <x:v>expression_visibility -2；不等于无表达</x:v>
      </x:c>
      <x:c r="W87" s="275" t="str">
        <x:v>expression_visibility</x:v>
      </x:c>
      <x:c r="X87" s="275" t="str">
        <x:v>表达存在，但需要从持续行为、细节或特定情境中识别。</x:v>
      </x:c>
      <x:c r="Y87" s="275" t="str">
        <x:v>你的在意未必总是直接说出来，更多可能藏在做事、回应、陪伴或留出空间这些细节里。</x:v>
      </x:c>
      <x:c r="Z87" s="275" t="str">
        <x:v>不得把该过程维度直接解释为沟通能力高低、情绪成熟度、依恋类型或关系结果。</x:v>
      </x:c>
      <x:c r="AA87" s="275" t="str">
        <x:v>中低</x:v>
      </x:c>
      <x:c r="AB87" s="275" t="str">
        <x:v>待验证</x:v>
      </x:c>
      <x:c r="AC87" s="275" t="str"/>
      <x:c r="AD87" s="275" t="str">
        <x:v>provisional=true; dimension=XQ01; state=低可见／间接</x:v>
      </x:c>
      <x:c r="AE87" s="276" t="str">
        <x:v>0.3</x:v>
      </x:c>
    </x:row>
    <x:row r="88">
      <x:c r="A88" s="273" t="str">
        <x:v>M3-EXPR-084</x:v>
      </x:c>
      <x:c r="B88" s="274" t="str">
        <x:v>XQ01 表达可见度｜未决</x:v>
      </x:c>
      <x:c r="C88" s="275" t="str">
        <x:v>L4 沟通顺序与回应</x:v>
      </x:c>
      <x:c r="D88" s="275" t="str">
        <x:v>EXPR-过程维度</x:v>
      </x:c>
      <x:c r="E88" s="275" t="str">
        <x:v>通用</x:v>
      </x:c>
      <x:c r="F88" s="275" t="str">
        <x:v>停止</x:v>
      </x:c>
      <x:c r="G88" s="275" t="str">
        <x:v>XQ01 表达可见度</x:v>
      </x:c>
      <x:c r="H88" s="275" t="str">
        <x:v>未决</x:v>
      </x:c>
      <x:c r="I88" s="275" t="str">
        <x:v>外显与内化证据冲突，或真合化、强弱、位置尚未确定。</x:v>
      </x:c>
      <x:c r="J88" s="275" t="str">
        <x:v>基础十神或状态未定；只存在同一source_id重复；真合化会改变关键通道但尚未路由。</x:v>
      </x:c>
      <x:c r="K88" s="275" t="str">
        <x:v>不限定；由共享基础引擎与M3-STATE修正</x:v>
      </x:c>
      <x:c r="L88" s="275" t="str">
        <x:v>不限定；M3-EXPR不以夫妻星为唯一主轴</x:v>
      </x:c>
      <x:c r="M88" s="275" t="str">
        <x:v>由M3-BASE、日支结构及共享引擎提供</x:v>
      </x:c>
      <x:c r="N88" s="275" t="str">
        <x:v>无／待表达路径规则组合</x:v>
      </x:c>
      <x:c r="O88" s="275" t="str">
        <x:v>全局有效信号；日柱及亲密关系近位优先</x:v>
      </x:c>
      <x:c r="P88" s="275" t="str">
        <x:v>由共享基础引擎判定</x:v>
      </x:c>
      <x:c r="Q88" s="275" t="str">
        <x:v>由共享基础引擎判定</x:v>
      </x:c>
      <x:c r="R88" s="275" t="str">
        <x:v>喜忌不直接等于会不会表达；只修正调用顺畅度与强度</x:v>
      </x:c>
      <x:c r="S88" s="275" t="str">
        <x:v>原十神性质有效；真合化成立时按化神路由</x:v>
      </x:c>
      <x:c r="T88" s="275" t="str">
        <x:v>由共享基础引擎判定</x:v>
      </x:c>
      <x:c r="U88" s="275" t="str">
        <x:v>78</x:v>
      </x:c>
      <x:c r="V88" s="275" t="str">
        <x:v>expression_visibility 停止</x:v>
      </x:c>
      <x:c r="W88" s="275" t="str">
        <x:v>expression_visibility</x:v>
      </x:c>
      <x:c r="X88" s="275" t="str">
        <x:v>当前无法可靠确定表达可见度，必须停止强结论。</x:v>
      </x:c>
      <x:c r="Y88" s="275" t="str">
        <x:v>目前可以看出你有自己的表达通道，但它究竟有多外显，仍需要更多命盘和现实信息确认。</x:v>
      </x:c>
      <x:c r="Z88" s="275" t="str">
        <x:v>不得把该过程维度直接解释为沟通能力高低、情绪成熟度、依恋类型或关系结果。</x:v>
      </x:c>
      <x:c r="AA88" s="275" t="str">
        <x:v>停止</x:v>
      </x:c>
      <x:c r="AB88" s="275" t="str">
        <x:v>待验证</x:v>
      </x:c>
      <x:c r="AC88" s="275" t="str"/>
      <x:c r="AD88" s="275" t="str">
        <x:v>provisional=true; dimension=XQ01; state=未决</x:v>
      </x:c>
      <x:c r="AE88" s="276" t="str">
        <x:v>0.3</x:v>
      </x:c>
    </x:row>
    <x:row r="89">
      <x:c r="A89" s="273" t="str">
        <x:v>M3-EXPR-085</x:v>
      </x:c>
      <x:c r="B89" s="274" t="str">
        <x:v>XQ02 语言显性度｜高语言显性</x:v>
      </x:c>
      <x:c r="C89" s="275" t="str">
        <x:v>L4 沟通顺序与回应</x:v>
      </x:c>
      <x:c r="D89" s="275" t="str">
        <x:v>EXPR-过程维度</x:v>
      </x:c>
      <x:c r="E89" s="275" t="str">
        <x:v>通用</x:v>
      </x:c>
      <x:c r="F89" s="275" t="str">
        <x:v>状态判定</x:v>
      </x:c>
      <x:c r="G89" s="275" t="str">
        <x:v>XQ02 语言显性度</x:v>
      </x:c>
      <x:c r="H89" s="275" t="str">
        <x:v>高语言显性</x:v>
      </x:c>
      <x:c r="I89" s="275" t="str">
        <x:v>有效伤官、食神或比肩透出近位并有根，且未被强内化结构完全过滤。</x:v>
      </x:c>
      <x:c r="J89" s="275" t="str">
        <x:v>基础十神或状态未定；只存在同一source_id重复；真合化会改变关键通道但尚未路由。</x:v>
      </x:c>
      <x:c r="K89" s="275" t="str">
        <x:v>不限定；由共享基础引擎与M3-STATE修正</x:v>
      </x:c>
      <x:c r="L89" s="275" t="str">
        <x:v>不限定；M3-EXPR不以夫妻星为唯一主轴</x:v>
      </x:c>
      <x:c r="M89" s="275" t="str">
        <x:v>由M3-BASE、日支结构及共享引擎提供</x:v>
      </x:c>
      <x:c r="N89" s="275" t="str">
        <x:v>无／待表达路径规则组合</x:v>
      </x:c>
      <x:c r="O89" s="275" t="str">
        <x:v>全局有效信号；日柱及亲密关系近位优先</x:v>
      </x:c>
      <x:c r="P89" s="275" t="str">
        <x:v>由共享基础引擎判定</x:v>
      </x:c>
      <x:c r="Q89" s="275" t="str">
        <x:v>由共享基础引擎判定</x:v>
      </x:c>
      <x:c r="R89" s="275" t="str">
        <x:v>喜忌不直接等于会不会表达；只修正调用顺畅度与强度</x:v>
      </x:c>
      <x:c r="S89" s="275" t="str">
        <x:v>原十神性质有效；真合化成立时按化神路由</x:v>
      </x:c>
      <x:c r="T89" s="275" t="str">
        <x:v>由共享基础引擎判定</x:v>
      </x:c>
      <x:c r="U89" s="275" t="str">
        <x:v>81</x:v>
      </x:c>
      <x:c r="V89" s="275" t="str">
        <x:v>verbal_explicitness +8</x:v>
      </x:c>
      <x:c r="W89" s="275" t="str">
        <x:v>verbal_explicitness</x:v>
      </x:c>
      <x:c r="X89" s="275" t="str">
        <x:v>感受、观点或需要较容易被组织成语言。</x:v>
      </x:c>
      <x:c r="Y89" s="275" t="str">
        <x:v>你通常能够把想法或需求说出来，尤其当你觉得事情需要被讲清楚时。</x:v>
      </x:c>
      <x:c r="Z89" s="275" t="str">
        <x:v>不得把该过程维度直接解释为沟通能力高低、情绪成熟度、依恋类型或关系结果。</x:v>
      </x:c>
      <x:c r="AA89" s="275" t="str">
        <x:v>中高</x:v>
      </x:c>
      <x:c r="AB89" s="275" t="str">
        <x:v>待验证</x:v>
      </x:c>
      <x:c r="AC89" s="275" t="str"/>
      <x:c r="AD89" s="275" t="str">
        <x:v>provisional=true; dimension=XQ02; state=高语言显性</x:v>
      </x:c>
      <x:c r="AE89" s="276" t="str">
        <x:v>0.3</x:v>
      </x:c>
    </x:row>
    <x:row r="90">
      <x:c r="A90" s="273" t="str">
        <x:v>M3-EXPR-086</x:v>
      </x:c>
      <x:c r="B90" s="274" t="str">
        <x:v>XQ02 语言显性度｜中等语言显性</x:v>
      </x:c>
      <x:c r="C90" s="275" t="str">
        <x:v>L4 沟通顺序与回应</x:v>
      </x:c>
      <x:c r="D90" s="275" t="str">
        <x:v>EXPR-过程维度</x:v>
      </x:c>
      <x:c r="E90" s="275" t="str">
        <x:v>通用</x:v>
      </x:c>
      <x:c r="F90" s="275" t="str">
        <x:v>状态判定</x:v>
      </x:c>
      <x:c r="G90" s="275" t="str">
        <x:v>XQ02 语言显性度</x:v>
      </x:c>
      <x:c r="H90" s="275" t="str">
        <x:v>中等语言显性</x:v>
      </x:c>
      <x:c r="I90" s="275" t="str">
        <x:v>食神、比肩、正官等通道有效，但表达需要适当氛围、结构或铺垫。</x:v>
      </x:c>
      <x:c r="J90" s="275" t="str">
        <x:v>基础十神或状态未定；只存在同一source_id重复；真合化会改变关键通道但尚未路由。</x:v>
      </x:c>
      <x:c r="K90" s="275" t="str">
        <x:v>不限定；由共享基础引擎与M3-STATE修正</x:v>
      </x:c>
      <x:c r="L90" s="275" t="str">
        <x:v>不限定；M3-EXPR不以夫妻星为唯一主轴</x:v>
      </x:c>
      <x:c r="M90" s="275" t="str">
        <x:v>由M3-BASE、日支结构及共享引擎提供</x:v>
      </x:c>
      <x:c r="N90" s="275" t="str">
        <x:v>无／待表达路径规则组合</x:v>
      </x:c>
      <x:c r="O90" s="275" t="str">
        <x:v>全局有效信号；日柱及亲密关系近位优先</x:v>
      </x:c>
      <x:c r="P90" s="275" t="str">
        <x:v>由共享基础引擎判定</x:v>
      </x:c>
      <x:c r="Q90" s="275" t="str">
        <x:v>由共享基础引擎判定</x:v>
      </x:c>
      <x:c r="R90" s="275" t="str">
        <x:v>喜忌不直接等于会不会表达；只修正调用顺畅度与强度</x:v>
      </x:c>
      <x:c r="S90" s="275" t="str">
        <x:v>原十神性质有效；真合化成立时按化神路由</x:v>
      </x:c>
      <x:c r="T90" s="275" t="str">
        <x:v>由共享基础引擎判定</x:v>
      </x:c>
      <x:c r="U90" s="275" t="str">
        <x:v>80</x:v>
      </x:c>
      <x:c r="V90" s="275" t="str">
        <x:v>verbal_explicitness +4</x:v>
      </x:c>
      <x:c r="W90" s="275" t="str">
        <x:v>verbal_explicitness</x:v>
      </x:c>
      <x:c r="X90" s="275" t="str">
        <x:v>语言可用，但不一定即时或无条件外显。</x:v>
      </x:c>
      <x:c r="Y90" s="275" t="str">
        <x:v>你并非不说，而是更看重时机和说法；条件合适时，你能把事情说明白。</x:v>
      </x:c>
      <x:c r="Z90" s="275" t="str">
        <x:v>不得把该过程维度直接解释为沟通能力高低、情绪成熟度、依恋类型或关系结果。</x:v>
      </x:c>
      <x:c r="AA90" s="275" t="str">
        <x:v>中</x:v>
      </x:c>
      <x:c r="AB90" s="275" t="str">
        <x:v>待验证</x:v>
      </x:c>
      <x:c r="AC90" s="275" t="str"/>
      <x:c r="AD90" s="275" t="str">
        <x:v>provisional=true; dimension=XQ02; state=中等语言显性</x:v>
      </x:c>
      <x:c r="AE90" s="276" t="str">
        <x:v>0.3</x:v>
      </x:c>
    </x:row>
    <x:row r="91">
      <x:c r="A91" s="273" t="str">
        <x:v>M3-EXPR-087</x:v>
      </x:c>
      <x:c r="B91" s="274" t="str">
        <x:v>XQ02 语言显性度｜行动／承接主导</x:v>
      </x:c>
      <x:c r="C91" s="275" t="str">
        <x:v>L4 沟通顺序与回应</x:v>
      </x:c>
      <x:c r="D91" s="275" t="str">
        <x:v>EXPR-过程维度</x:v>
      </x:c>
      <x:c r="E91" s="275" t="str">
        <x:v>通用</x:v>
      </x:c>
      <x:c r="F91" s="275" t="str">
        <x:v>状态判定</x:v>
      </x:c>
      <x:c r="G91" s="275" t="str">
        <x:v>XQ02 语言显性度</x:v>
      </x:c>
      <x:c r="H91" s="275" t="str">
        <x:v>行动／承接主导</x:v>
      </x:c>
      <x:c r="I91" s="275" t="str">
        <x:v>财、官杀、印类通道明显，食伤语言桥较弱或只作次级。</x:v>
      </x:c>
      <x:c r="J91" s="275" t="str">
        <x:v>基础十神或状态未定；只存在同一source_id重复；真合化会改变关键通道但尚未路由。</x:v>
      </x:c>
      <x:c r="K91" s="275" t="str">
        <x:v>不限定；由共享基础引擎与M3-STATE修正</x:v>
      </x:c>
      <x:c r="L91" s="275" t="str">
        <x:v>不限定；M3-EXPR不以夫妻星为唯一主轴</x:v>
      </x:c>
      <x:c r="M91" s="275" t="str">
        <x:v>由M3-BASE、日支结构及共享引擎提供</x:v>
      </x:c>
      <x:c r="N91" s="275" t="str">
        <x:v>无／待表达路径规则组合</x:v>
      </x:c>
      <x:c r="O91" s="275" t="str">
        <x:v>全局有效信号；日柱及亲密关系近位优先</x:v>
      </x:c>
      <x:c r="P91" s="275" t="str">
        <x:v>由共享基础引擎判定</x:v>
      </x:c>
      <x:c r="Q91" s="275" t="str">
        <x:v>由共享基础引擎判定</x:v>
      </x:c>
      <x:c r="R91" s="275" t="str">
        <x:v>喜忌不直接等于会不会表达；只修正调用顺畅度与强度</x:v>
      </x:c>
      <x:c r="S91" s="275" t="str">
        <x:v>原十神性质有效；真合化成立时按化神路由</x:v>
      </x:c>
      <x:c r="T91" s="275" t="str">
        <x:v>由共享基础引擎判定</x:v>
      </x:c>
      <x:c r="U91" s="275" t="str">
        <x:v>79</x:v>
      </x:c>
      <x:c r="V91" s="275" t="str">
        <x:v>verbal_explicitness 语言-2；行动/承接+5</x:v>
      </x:c>
      <x:c r="W91" s="275" t="str">
        <x:v>verbal_explicitness</x:v>
      </x:c>
      <x:c r="X91" s="275" t="str">
        <x:v>主要信息先通过行动、承担、倾听或安排传递，语言处于补充位置。</x:v>
      </x:c>
      <x:c r="Y91" s="275" t="str">
        <x:v>比起长篇表达，你更可能先用行动、安排或倾听让对方感受到态度，之后再补充说明。</x:v>
      </x:c>
      <x:c r="Z91" s="275" t="str">
        <x:v>不得把该过程维度直接解释为沟通能力高低、情绪成熟度、依恋类型或关系结果。</x:v>
      </x:c>
      <x:c r="AA91" s="275" t="str">
        <x:v>中</x:v>
      </x:c>
      <x:c r="AB91" s="275" t="str">
        <x:v>待验证</x:v>
      </x:c>
      <x:c r="AC91" s="275" t="str"/>
      <x:c r="AD91" s="275" t="str">
        <x:v>provisional=true; dimension=XQ02; state=行动／承接主导</x:v>
      </x:c>
      <x:c r="AE91" s="276" t="str">
        <x:v>0.3</x:v>
      </x:c>
    </x:row>
    <x:row r="92">
      <x:c r="A92" s="273" t="str">
        <x:v>M3-EXPR-088</x:v>
      </x:c>
      <x:c r="B92" s="274" t="str">
        <x:v>XQ02 语言显性度｜未决</x:v>
      </x:c>
      <x:c r="C92" s="275" t="str">
        <x:v>L4 沟通顺序与回应</x:v>
      </x:c>
      <x:c r="D92" s="275" t="str">
        <x:v>EXPR-过程维度</x:v>
      </x:c>
      <x:c r="E92" s="275" t="str">
        <x:v>通用</x:v>
      </x:c>
      <x:c r="F92" s="275" t="str">
        <x:v>停止</x:v>
      </x:c>
      <x:c r="G92" s="275" t="str">
        <x:v>XQ02 语言显性度</x:v>
      </x:c>
      <x:c r="H92" s="275" t="str">
        <x:v>未决</x:v>
      </x:c>
      <x:c r="I92" s="275" t="str">
        <x:v>食伤状态、合化或表达桥接关系不清。</x:v>
      </x:c>
      <x:c r="J92" s="275" t="str">
        <x:v>基础十神或状态未定；只存在同一source_id重复；真合化会改变关键通道但尚未路由。</x:v>
      </x:c>
      <x:c r="K92" s="275" t="str">
        <x:v>不限定；由共享基础引擎与M3-STATE修正</x:v>
      </x:c>
      <x:c r="L92" s="275" t="str">
        <x:v>不限定；M3-EXPR不以夫妻星为唯一主轴</x:v>
      </x:c>
      <x:c r="M92" s="275" t="str">
        <x:v>由M3-BASE、日支结构及共享引擎提供</x:v>
      </x:c>
      <x:c r="N92" s="275" t="str">
        <x:v>无／待表达路径规则组合</x:v>
      </x:c>
      <x:c r="O92" s="275" t="str">
        <x:v>全局有效信号；日柱及亲密关系近位优先</x:v>
      </x:c>
      <x:c r="P92" s="275" t="str">
        <x:v>由共享基础引擎判定</x:v>
      </x:c>
      <x:c r="Q92" s="275" t="str">
        <x:v>由共享基础引擎判定</x:v>
      </x:c>
      <x:c r="R92" s="275" t="str">
        <x:v>喜忌不直接等于会不会表达；只修正调用顺畅度与强度</x:v>
      </x:c>
      <x:c r="S92" s="275" t="str">
        <x:v>原十神性质有效；真合化成立时按化神路由</x:v>
      </x:c>
      <x:c r="T92" s="275" t="str">
        <x:v>由共享基础引擎判定</x:v>
      </x:c>
      <x:c r="U92" s="275" t="str">
        <x:v>78</x:v>
      </x:c>
      <x:c r="V92" s="275" t="str">
        <x:v>verbal_explicitness 停止</x:v>
      </x:c>
      <x:c r="W92" s="275" t="str">
        <x:v>verbal_explicitness</x:v>
      </x:c>
      <x:c r="X92" s="275" t="str">
        <x:v>不能仅凭食伤强弱断定语言能力。</x:v>
      </x:c>
      <x:c r="Y92" s="275" t="str">
        <x:v>目前不足以判断你是更偏语言表达，还是更偏行动与承接表达。</x:v>
      </x:c>
      <x:c r="Z92" s="275" t="str">
        <x:v>不得把该过程维度直接解释为沟通能力高低、情绪成熟度、依恋类型或关系结果。</x:v>
      </x:c>
      <x:c r="AA92" s="275" t="str">
        <x:v>停止</x:v>
      </x:c>
      <x:c r="AB92" s="275" t="str">
        <x:v>待验证</x:v>
      </x:c>
      <x:c r="AC92" s="275" t="str"/>
      <x:c r="AD92" s="275" t="str">
        <x:v>provisional=true; dimension=XQ02; state=未决</x:v>
      </x:c>
      <x:c r="AE92" s="276" t="str">
        <x:v>0.3</x:v>
      </x:c>
    </x:row>
    <x:row r="93">
      <x:c r="A93" s="273" t="str">
        <x:v>M3-EXPR-089</x:v>
      </x:c>
      <x:c r="B93" s="274" t="str">
        <x:v>XQ03 情绪处理时序｜即时外化</x:v>
      </x:c>
      <x:c r="C93" s="275" t="str">
        <x:v>L3 情绪与需求表达</x:v>
      </x:c>
      <x:c r="D93" s="275" t="str">
        <x:v>EXPR-过程维度</x:v>
      </x:c>
      <x:c r="E93" s="275" t="str">
        <x:v>通用</x:v>
      </x:c>
      <x:c r="F93" s="275" t="str">
        <x:v>状态判定</x:v>
      </x:c>
      <x:c r="G93" s="275" t="str">
        <x:v>XQ03 情绪处理时序</x:v>
      </x:c>
      <x:c r="H93" s="275" t="str">
        <x:v>即时外化</x:v>
      </x:c>
      <x:c r="I93" s="275" t="str">
        <x:v>食伤、劫财或偏财通道有效，外显度高，且没有更强的印星过滤或状态门控。</x:v>
      </x:c>
      <x:c r="J93" s="275" t="str">
        <x:v>基础十神或状态未定；只存在同一source_id重复；真合化会改变关键通道但尚未路由。</x:v>
      </x:c>
      <x:c r="K93" s="275" t="str">
        <x:v>不限定；由共享基础引擎与M3-STATE修正</x:v>
      </x:c>
      <x:c r="L93" s="275" t="str">
        <x:v>不限定；M3-EXPR不以夫妻星为唯一主轴</x:v>
      </x:c>
      <x:c r="M93" s="275" t="str">
        <x:v>由M3-BASE、日支结构及共享引擎提供</x:v>
      </x:c>
      <x:c r="N93" s="275" t="str">
        <x:v>无／待表达路径规则组合</x:v>
      </x:c>
      <x:c r="O93" s="275" t="str">
        <x:v>全局有效信号；日柱及亲密关系近位优先</x:v>
      </x:c>
      <x:c r="P93" s="275" t="str">
        <x:v>由共享基础引擎判定</x:v>
      </x:c>
      <x:c r="Q93" s="275" t="str">
        <x:v>由共享基础引擎判定</x:v>
      </x:c>
      <x:c r="R93" s="275" t="str">
        <x:v>喜忌不直接等于会不会表达；只修正调用顺畅度与强度</x:v>
      </x:c>
      <x:c r="S93" s="275" t="str">
        <x:v>原十神性质有效；真合化成立时按化神路由</x:v>
      </x:c>
      <x:c r="T93" s="275" t="str">
        <x:v>由共享基础引擎判定</x:v>
      </x:c>
      <x:c r="U93" s="275" t="str">
        <x:v>81</x:v>
      </x:c>
      <x:c r="V93" s="275" t="str">
        <x:v>expression_timing 即时+8</x:v>
      </x:c>
      <x:c r="W93" s="275" t="str">
        <x:v>expression_timing</x:v>
      </x:c>
      <x:c r="X93" s="275" t="str">
        <x:v>情绪较容易在当下通过话语、语气、互动或即时回应被表达。</x:v>
      </x:c>
      <x:c r="Y93" s="275" t="str">
        <x:v>你有感受时，往往会比较早让对方知道，哪怕一开始只是语气、反应或一句直接的话。</x:v>
      </x:c>
      <x:c r="Z93" s="275" t="str">
        <x:v>不得把该过程维度直接解释为沟通能力高低、情绪成熟度、依恋类型或关系结果。</x:v>
      </x:c>
      <x:c r="AA93" s="275" t="str">
        <x:v>中</x:v>
      </x:c>
      <x:c r="AB93" s="275" t="str">
        <x:v>待验证</x:v>
      </x:c>
      <x:c r="AC93" s="275" t="str"/>
      <x:c r="AD93" s="275" t="str">
        <x:v>provisional=true; dimension=XQ03; state=即时外化</x:v>
      </x:c>
      <x:c r="AE93" s="276" t="str">
        <x:v>0.3</x:v>
      </x:c>
    </x:row>
    <x:row r="94">
      <x:c r="A94" s="273" t="str">
        <x:v>M3-EXPR-090</x:v>
      </x:c>
      <x:c r="B94" s="274" t="str">
        <x:v>XQ03 情绪处理时序｜先整理后表达</x:v>
      </x:c>
      <x:c r="C94" s="275" t="str">
        <x:v>L3 情绪与需求表达</x:v>
      </x:c>
      <x:c r="D94" s="275" t="str">
        <x:v>EXPR-过程维度</x:v>
      </x:c>
      <x:c r="E94" s="275" t="str">
        <x:v>通用</x:v>
      </x:c>
      <x:c r="F94" s="275" t="str">
        <x:v>状态判定</x:v>
      </x:c>
      <x:c r="G94" s="275" t="str">
        <x:v>XQ03 情绪处理时序</x:v>
      </x:c>
      <x:c r="H94" s="275" t="str">
        <x:v>先整理后表达</x:v>
      </x:c>
      <x:c r="I94" s="275" t="str">
        <x:v>正印、偏印有效，并存在通往食伤、比劫或其他表达通道的桥梁。</x:v>
      </x:c>
      <x:c r="J94" s="275" t="str">
        <x:v>基础十神或状态未定；只存在同一source_id重复；真合化会改变关键通道但尚未路由。</x:v>
      </x:c>
      <x:c r="K94" s="275" t="str">
        <x:v>不限定；由共享基础引擎与M3-STATE修正</x:v>
      </x:c>
      <x:c r="L94" s="275" t="str">
        <x:v>不限定；M3-EXPR不以夫妻星为唯一主轴</x:v>
      </x:c>
      <x:c r="M94" s="275" t="str">
        <x:v>由M3-BASE、日支结构及共享引擎提供</x:v>
      </x:c>
      <x:c r="N94" s="275" t="str">
        <x:v>无／待表达路径规则组合</x:v>
      </x:c>
      <x:c r="O94" s="275" t="str">
        <x:v>全局有效信号；日柱及亲密关系近位优先</x:v>
      </x:c>
      <x:c r="P94" s="275" t="str">
        <x:v>由共享基础引擎判定</x:v>
      </x:c>
      <x:c r="Q94" s="275" t="str">
        <x:v>由共享基础引擎判定</x:v>
      </x:c>
      <x:c r="R94" s="275" t="str">
        <x:v>喜忌不直接等于会不会表达；只修正调用顺畅度与强度</x:v>
      </x:c>
      <x:c r="S94" s="275" t="str">
        <x:v>原十神性质有效；真合化成立时按化神路由</x:v>
      </x:c>
      <x:c r="T94" s="275" t="str">
        <x:v>由共享基础引擎判定</x:v>
      </x:c>
      <x:c r="U94" s="275" t="str">
        <x:v>80</x:v>
      </x:c>
      <x:c r="V94" s="275" t="str">
        <x:v>expression_timing 延迟但清晰+8</x:v>
      </x:c>
      <x:c r="W94" s="275" t="str">
        <x:v>expression_timing</x:v>
      </x:c>
      <x:c r="X94" s="275" t="str">
        <x:v>先在内部辨认感受、确认安全与立场，再外化。</x:v>
      </x:c>
      <x:c r="Y94" s="275" t="str">
        <x:v>你通常需要先想清楚自己到底怎么了，等感受有了轮廓后，才更愿意完整说出来。</x:v>
      </x:c>
      <x:c r="Z94" s="275" t="str">
        <x:v>不得把该过程维度直接解释为沟通能力高低、情绪成熟度、依恋类型或关系结果。</x:v>
      </x:c>
      <x:c r="AA94" s="275" t="str">
        <x:v>中高</x:v>
      </x:c>
      <x:c r="AB94" s="275" t="str">
        <x:v>待验证</x:v>
      </x:c>
      <x:c r="AC94" s="275" t="str"/>
      <x:c r="AD94" s="275" t="str">
        <x:v>provisional=true; dimension=XQ03; state=先整理后表达</x:v>
      </x:c>
      <x:c r="AE94" s="276" t="str">
        <x:v>0.3</x:v>
      </x:c>
    </x:row>
    <x:row r="95">
      <x:c r="A95" s="273" t="str">
        <x:v>M3-EXPR-091</x:v>
      </x:c>
      <x:c r="B95" s="274" t="str">
        <x:v>XQ03 情绪处理时序｜先行动／先承接后表达</x:v>
      </x:c>
      <x:c r="C95" s="275" t="str">
        <x:v>L3 情绪与需求表达</x:v>
      </x:c>
      <x:c r="D95" s="275" t="str">
        <x:v>EXPR-过程维度</x:v>
      </x:c>
      <x:c r="E95" s="275" t="str">
        <x:v>通用</x:v>
      </x:c>
      <x:c r="F95" s="275" t="str">
        <x:v>状态判定</x:v>
      </x:c>
      <x:c r="G95" s="275" t="str">
        <x:v>XQ03 情绪处理时序</x:v>
      </x:c>
      <x:c r="H95" s="275" t="str">
        <x:v>先行动／先承接后表达</x:v>
      </x:c>
      <x:c r="I95" s="275" t="str">
        <x:v>财、官杀或印类通道主导，语言通道为次级。</x:v>
      </x:c>
      <x:c r="J95" s="275" t="str">
        <x:v>基础十神或状态未定；只存在同一source_id重复；真合化会改变关键通道但尚未路由。</x:v>
      </x:c>
      <x:c r="K95" s="275" t="str">
        <x:v>不限定；由共享基础引擎与M3-STATE修正</x:v>
      </x:c>
      <x:c r="L95" s="275" t="str">
        <x:v>不限定；M3-EXPR不以夫妻星为唯一主轴</x:v>
      </x:c>
      <x:c r="M95" s="275" t="str">
        <x:v>由M3-BASE、日支结构及共享引擎提供</x:v>
      </x:c>
      <x:c r="N95" s="275" t="str">
        <x:v>无／待表达路径规则组合</x:v>
      </x:c>
      <x:c r="O95" s="275" t="str">
        <x:v>全局有效信号；日柱及亲密关系近位优先</x:v>
      </x:c>
      <x:c r="P95" s="275" t="str">
        <x:v>由共享基础引擎判定</x:v>
      </x:c>
      <x:c r="Q95" s="275" t="str">
        <x:v>由共享基础引擎判定</x:v>
      </x:c>
      <x:c r="R95" s="275" t="str">
        <x:v>喜忌不直接等于会不会表达；只修正调用顺畅度与强度</x:v>
      </x:c>
      <x:c r="S95" s="275" t="str">
        <x:v>原十神性质有效；真合化成立时按化神路由</x:v>
      </x:c>
      <x:c r="T95" s="275" t="str">
        <x:v>由共享基础引擎判定</x:v>
      </x:c>
      <x:c r="U95" s="275" t="str">
        <x:v>79</x:v>
      </x:c>
      <x:c r="V95" s="275" t="str">
        <x:v>expression_timing 行动/承接+6</x:v>
      </x:c>
      <x:c r="W95" s="275" t="str">
        <x:v>expression_timing</x:v>
      </x:c>
      <x:c r="X95" s="275" t="str">
        <x:v>用户先处理事情、提供支持或接住对方，语言解释在后。</x:v>
      </x:c>
      <x:c r="Y95" s="275" t="str">
        <x:v>你可能会先把事情处理好、先照顾现场或先听完对方，之后才回到自己的情绪表达。</x:v>
      </x:c>
      <x:c r="Z95" s="275" t="str">
        <x:v>不得把该过程维度直接解释为沟通能力高低、情绪成熟度、依恋类型或关系结果。</x:v>
      </x:c>
      <x:c r="AA95" s="275" t="str">
        <x:v>中</x:v>
      </x:c>
      <x:c r="AB95" s="275" t="str">
        <x:v>待验证</x:v>
      </x:c>
      <x:c r="AC95" s="275" t="str"/>
      <x:c r="AD95" s="275" t="str">
        <x:v>provisional=true; dimension=XQ03; state=先行动／先承接后表达</x:v>
      </x:c>
      <x:c r="AE95" s="276" t="str">
        <x:v>0.3</x:v>
      </x:c>
    </x:row>
    <x:row r="96">
      <x:c r="A96" s="273" t="str">
        <x:v>M3-EXPR-092</x:v>
      </x:c>
      <x:c r="B96" s="274" t="str">
        <x:v>XQ03 情绪处理时序｜情境未定</x:v>
      </x:c>
      <x:c r="C96" s="275" t="str">
        <x:v>L3 情绪与需求表达</x:v>
      </x:c>
      <x:c r="D96" s="275" t="str">
        <x:v>EXPR-过程维度</x:v>
      </x:c>
      <x:c r="E96" s="275" t="str">
        <x:v>通用</x:v>
      </x:c>
      <x:c r="F96" s="275" t="str">
        <x:v>情境候选</x:v>
      </x:c>
      <x:c r="G96" s="275" t="str">
        <x:v>XQ03 情绪处理时序</x:v>
      </x:c>
      <x:c r="H96" s="275" t="str">
        <x:v>情境未定</x:v>
      </x:c>
      <x:c r="I96" s="275" t="str">
        <x:v>即时、内化和行动证据势均或随场景明显切换。</x:v>
      </x:c>
      <x:c r="J96" s="275" t="str">
        <x:v>基础十神或状态未定；只存在同一source_id重复；真合化会改变关键通道但尚未路由。</x:v>
      </x:c>
      <x:c r="K96" s="275" t="str">
        <x:v>不限定；由共享基础引擎与M3-STATE修正</x:v>
      </x:c>
      <x:c r="L96" s="275" t="str">
        <x:v>不限定；M3-EXPR不以夫妻星为唯一主轴</x:v>
      </x:c>
      <x:c r="M96" s="275" t="str">
        <x:v>由M3-BASE、日支结构及共享引擎提供</x:v>
      </x:c>
      <x:c r="N96" s="275" t="str">
        <x:v>无／待表达路径规则组合</x:v>
      </x:c>
      <x:c r="O96" s="275" t="str">
        <x:v>全局有效信号；日柱及亲密关系近位优先</x:v>
      </x:c>
      <x:c r="P96" s="275" t="str">
        <x:v>由共享基础引擎判定</x:v>
      </x:c>
      <x:c r="Q96" s="275" t="str">
        <x:v>由共享基础引擎判定</x:v>
      </x:c>
      <x:c r="R96" s="275" t="str">
        <x:v>喜忌不直接等于会不会表达；只修正调用顺畅度与强度</x:v>
      </x:c>
      <x:c r="S96" s="275" t="str">
        <x:v>原十神性质有效；真合化成立时按化神路由</x:v>
      </x:c>
      <x:c r="T96" s="275" t="str">
        <x:v>由共享基础引擎判定</x:v>
      </x:c>
      <x:c r="U96" s="275" t="str">
        <x:v>78</x:v>
      </x:c>
      <x:c r="V96" s="275" t="str">
        <x:v>expression_timing 情境候选</x:v>
      </x:c>
      <x:c r="W96" s="275" t="str">
        <x:v>expression_timing</x:v>
      </x:c>
      <x:c r="X96" s="275" t="str">
        <x:v>当前只适合输出情境化时序。</x:v>
      </x:c>
      <x:c r="Y96" s="275" t="str">
        <x:v>你的表达时序会随事情类型变化：有些事会马上说，有些事则需要先整理或先处理。</x:v>
      </x:c>
      <x:c r="Z96" s="275" t="str">
        <x:v>不得把该过程维度直接解释为沟通能力高低、情绪成熟度、依恋类型或关系结果。</x:v>
      </x:c>
      <x:c r="AA96" s="275" t="str">
        <x:v>中低</x:v>
      </x:c>
      <x:c r="AB96" s="275" t="str">
        <x:v>待验证</x:v>
      </x:c>
      <x:c r="AC96" s="275" t="str"/>
      <x:c r="AD96" s="275" t="str">
        <x:v>provisional=true; dimension=XQ03; state=情境未定</x:v>
      </x:c>
      <x:c r="AE96" s="276" t="str">
        <x:v>0.3</x:v>
      </x:c>
    </x:row>
    <x:row r="97">
      <x:c r="A97" s="273" t="str">
        <x:v>M3-EXPR-093</x:v>
      </x:c>
      <x:c r="B97" s="274" t="str">
        <x:v>XQ04 需求明确度｜需求清楚</x:v>
      </x:c>
      <x:c r="C97" s="275" t="str">
        <x:v>L3 情绪与需求表达</x:v>
      </x:c>
      <x:c r="D97" s="275" t="str">
        <x:v>EXPR-过程维度</x:v>
      </x:c>
      <x:c r="E97" s="275" t="str">
        <x:v>通用</x:v>
      </x:c>
      <x:c r="F97" s="275" t="str">
        <x:v>状态判定</x:v>
      </x:c>
      <x:c r="G97" s="275" t="str">
        <x:v>XQ04 需求明确度</x:v>
      </x:c>
      <x:c r="H97" s="275" t="str">
        <x:v>需求清楚</x:v>
      </x:c>
      <x:c r="I97" s="275" t="str">
        <x:v>比肩、伤官、正官等信号有效，且有语言或结构化通道支持。</x:v>
      </x:c>
      <x:c r="J97" s="275" t="str">
        <x:v>基础十神或状态未定；只存在同一source_id重复；真合化会改变关键通道但尚未路由。</x:v>
      </x:c>
      <x:c r="K97" s="275" t="str">
        <x:v>不限定；由共享基础引擎与M3-STATE修正</x:v>
      </x:c>
      <x:c r="L97" s="275" t="str">
        <x:v>不限定；M3-EXPR不以夫妻星为唯一主轴</x:v>
      </x:c>
      <x:c r="M97" s="275" t="str">
        <x:v>由M3-BASE、日支结构及共享引擎提供</x:v>
      </x:c>
      <x:c r="N97" s="275" t="str">
        <x:v>无／待表达路径规则组合</x:v>
      </x:c>
      <x:c r="O97" s="275" t="str">
        <x:v>全局有效信号；日柱及亲密关系近位优先</x:v>
      </x:c>
      <x:c r="P97" s="275" t="str">
        <x:v>由共享基础引擎判定</x:v>
      </x:c>
      <x:c r="Q97" s="275" t="str">
        <x:v>由共享基础引擎判定</x:v>
      </x:c>
      <x:c r="R97" s="275" t="str">
        <x:v>喜忌不直接等于会不会表达；只修正调用顺畅度与强度</x:v>
      </x:c>
      <x:c r="S97" s="275" t="str">
        <x:v>原十神性质有效；真合化成立时按化神路由</x:v>
      </x:c>
      <x:c r="T97" s="275" t="str">
        <x:v>由共享基础引擎判定</x:v>
      </x:c>
      <x:c r="U97" s="275" t="str">
        <x:v>81</x:v>
      </x:c>
      <x:c r="V97" s="275" t="str">
        <x:v>need_explicitness +8</x:v>
      </x:c>
      <x:c r="W97" s="275" t="str">
        <x:v>need_explicitness</x:v>
      </x:c>
      <x:c r="X97" s="275" t="str">
        <x:v>用户较容易把需求转成明确条件、请求或安排。</x:v>
      </x:c>
      <x:c r="Y97" s="275" t="str">
        <x:v>你通常能说明自己需要什么、不同意什么，或希望双方怎样配合。</x:v>
      </x:c>
      <x:c r="Z97" s="275" t="str">
        <x:v>不得把该过程维度直接解释为沟通能力高低、情绪成熟度、依恋类型或关系结果。</x:v>
      </x:c>
      <x:c r="AA97" s="275" t="str">
        <x:v>中高</x:v>
      </x:c>
      <x:c r="AB97" s="275" t="str">
        <x:v>待验证</x:v>
      </x:c>
      <x:c r="AC97" s="275" t="str"/>
      <x:c r="AD97" s="275" t="str">
        <x:v>provisional=true; dimension=XQ04; state=需求清楚</x:v>
      </x:c>
      <x:c r="AE97" s="276" t="str">
        <x:v>0.3</x:v>
      </x:c>
    </x:row>
    <x:row r="98">
      <x:c r="A98" s="273" t="str">
        <x:v>M3-EXPR-094</x:v>
      </x:c>
      <x:c r="B98" s="274" t="str">
        <x:v>XQ04 需求明确度｜柔化表达</x:v>
      </x:c>
      <x:c r="C98" s="275" t="str">
        <x:v>L3 情绪与需求表达</x:v>
      </x:c>
      <x:c r="D98" s="275" t="str">
        <x:v>EXPR-过程维度</x:v>
      </x:c>
      <x:c r="E98" s="275" t="str">
        <x:v>通用</x:v>
      </x:c>
      <x:c r="F98" s="275" t="str">
        <x:v>状态判定</x:v>
      </x:c>
      <x:c r="G98" s="275" t="str">
        <x:v>XQ04 需求明确度</x:v>
      </x:c>
      <x:c r="H98" s="275" t="str">
        <x:v>柔化表达</x:v>
      </x:c>
      <x:c r="I98" s="275" t="str">
        <x:v>食神、偏财或正印明显，需求常通过铺垫、建议、体贴化语言或氛围传递。</x:v>
      </x:c>
      <x:c r="J98" s="275" t="str">
        <x:v>基础十神或状态未定；只存在同一source_id重复；真合化会改变关键通道但尚未路由。</x:v>
      </x:c>
      <x:c r="K98" s="275" t="str">
        <x:v>不限定；由共享基础引擎与M3-STATE修正</x:v>
      </x:c>
      <x:c r="L98" s="275" t="str">
        <x:v>不限定；M3-EXPR不以夫妻星为唯一主轴</x:v>
      </x:c>
      <x:c r="M98" s="275" t="str">
        <x:v>由M3-BASE、日支结构及共享引擎提供</x:v>
      </x:c>
      <x:c r="N98" s="275" t="str">
        <x:v>无／待表达路径规则组合</x:v>
      </x:c>
      <x:c r="O98" s="275" t="str">
        <x:v>全局有效信号；日柱及亲密关系近位优先</x:v>
      </x:c>
      <x:c r="P98" s="275" t="str">
        <x:v>由共享基础引擎判定</x:v>
      </x:c>
      <x:c r="Q98" s="275" t="str">
        <x:v>由共享基础引擎判定</x:v>
      </x:c>
      <x:c r="R98" s="275" t="str">
        <x:v>喜忌不直接等于会不会表达；只修正调用顺畅度与强度</x:v>
      </x:c>
      <x:c r="S98" s="275" t="str">
        <x:v>原十神性质有效；真合化成立时按化神路由</x:v>
      </x:c>
      <x:c r="T98" s="275" t="str">
        <x:v>由共享基础引擎判定</x:v>
      </x:c>
      <x:c r="U98" s="275" t="str">
        <x:v>80</x:v>
      </x:c>
      <x:c r="V98" s="275" t="str">
        <x:v>need_explicitness +4</x:v>
      </x:c>
      <x:c r="W98" s="275" t="str">
        <x:v>need_explicitness</x:v>
      </x:c>
      <x:c r="X98" s="275" t="str">
        <x:v>需求存在但表达较柔和，可能避免给对方压迫感。</x:v>
      </x:c>
      <x:c r="Y98" s="275" t="str">
        <x:v>你会表达需要，但通常会留出余地，用建议、铺垫或较温和的方式说出来。</x:v>
      </x:c>
      <x:c r="Z98" s="275" t="str">
        <x:v>不得把该过程维度直接解释为沟通能力高低、情绪成熟度、依恋类型或关系结果。</x:v>
      </x:c>
      <x:c r="AA98" s="275" t="str">
        <x:v>中</x:v>
      </x:c>
      <x:c r="AB98" s="275" t="str">
        <x:v>待验证</x:v>
      </x:c>
      <x:c r="AC98" s="275" t="str"/>
      <x:c r="AD98" s="275" t="str">
        <x:v>provisional=true; dimension=XQ04; state=柔化表达</x:v>
      </x:c>
      <x:c r="AE98" s="276" t="str">
        <x:v>0.3</x:v>
      </x:c>
    </x:row>
    <x:row r="99">
      <x:c r="A99" s="273" t="str">
        <x:v>M3-EXPR-095</x:v>
      </x:c>
      <x:c r="B99" s="274" t="str">
        <x:v>XQ04 需求明确度｜间接／行为化</x:v>
      </x:c>
      <x:c r="C99" s="275" t="str">
        <x:v>L3 情绪与需求表达</x:v>
      </x:c>
      <x:c r="D99" s="275" t="str">
        <x:v>EXPR-过程维度</x:v>
      </x:c>
      <x:c r="E99" s="275" t="str">
        <x:v>通用</x:v>
      </x:c>
      <x:c r="F99" s="275" t="str">
        <x:v>状态判定</x:v>
      </x:c>
      <x:c r="G99" s="275" t="str">
        <x:v>XQ04 需求明确度</x:v>
      </x:c>
      <x:c r="H99" s="275" t="str">
        <x:v>间接／行为化</x:v>
      </x:c>
      <x:c r="I99" s="275" t="str">
        <x:v>正财、七杀、偏印等通道主导，缺少稳定语言桥。</x:v>
      </x:c>
      <x:c r="J99" s="275" t="str">
        <x:v>基础十神或状态未定；只存在同一source_id重复；真合化会改变关键通道但尚未路由。</x:v>
      </x:c>
      <x:c r="K99" s="275" t="str">
        <x:v>不限定；由共享基础引擎与M3-STATE修正</x:v>
      </x:c>
      <x:c r="L99" s="275" t="str">
        <x:v>不限定；M3-EXPR不以夫妻星为唯一主轴</x:v>
      </x:c>
      <x:c r="M99" s="275" t="str">
        <x:v>由M3-BASE、日支结构及共享引擎提供</x:v>
      </x:c>
      <x:c r="N99" s="275" t="str">
        <x:v>无／待表达路径规则组合</x:v>
      </x:c>
      <x:c r="O99" s="275" t="str">
        <x:v>全局有效信号；日柱及亲密关系近位优先</x:v>
      </x:c>
      <x:c r="P99" s="275" t="str">
        <x:v>由共享基础引擎判定</x:v>
      </x:c>
      <x:c r="Q99" s="275" t="str">
        <x:v>由共享基础引擎判定</x:v>
      </x:c>
      <x:c r="R99" s="275" t="str">
        <x:v>喜忌不直接等于会不会表达；只修正调用顺畅度与强度</x:v>
      </x:c>
      <x:c r="S99" s="275" t="str">
        <x:v>原十神性质有效；真合化成立时按化神路由</x:v>
      </x:c>
      <x:c r="T99" s="275" t="str">
        <x:v>由共享基础引擎判定</x:v>
      </x:c>
      <x:c r="U99" s="275" t="str">
        <x:v>79</x:v>
      </x:c>
      <x:c r="V99" s="275" t="str">
        <x:v>need_explicitness 显性-3；行为+4</x:v>
      </x:c>
      <x:c r="W99" s="275" t="str">
        <x:v>need_explicitness</x:v>
      </x:c>
      <x:c r="X99" s="275" t="str">
        <x:v>需求可能被转成行动、安排、沉默后的调整或等待对方观察。</x:v>
      </x:c>
      <x:c r="Y99" s="275" t="str">
        <x:v>有些需要你不会先直接说，而是通过安排、行动或相处节奏表现出来；这不等于你没有需要。</x:v>
      </x:c>
      <x:c r="Z99" s="275" t="str">
        <x:v>不得把该过程维度直接解释为沟通能力高低、情绪成熟度、依恋类型或关系结果。</x:v>
      </x:c>
      <x:c r="AA99" s="275" t="str">
        <x:v>中低</x:v>
      </x:c>
      <x:c r="AB99" s="275" t="str">
        <x:v>待验证</x:v>
      </x:c>
      <x:c r="AC99" s="275" t="str"/>
      <x:c r="AD99" s="275" t="str">
        <x:v>provisional=true; dimension=XQ04; state=间接／行为化</x:v>
      </x:c>
      <x:c r="AE99" s="276" t="str">
        <x:v>0.3</x:v>
      </x:c>
    </x:row>
    <x:row r="100">
      <x:c r="A100" s="273" t="str">
        <x:v>M3-EXPR-096</x:v>
      </x:c>
      <x:c r="B100" s="274" t="str">
        <x:v>XQ04 需求明确度｜未决</x:v>
      </x:c>
      <x:c r="C100" s="275" t="str">
        <x:v>L3 情绪与需求表达</x:v>
      </x:c>
      <x:c r="D100" s="275" t="str">
        <x:v>EXPR-过程维度</x:v>
      </x:c>
      <x:c r="E100" s="275" t="str">
        <x:v>通用</x:v>
      </x:c>
      <x:c r="F100" s="275" t="str">
        <x:v>停止</x:v>
      </x:c>
      <x:c r="G100" s="275" t="str">
        <x:v>XQ04 需求明确度</x:v>
      </x:c>
      <x:c r="H100" s="275" t="str">
        <x:v>未决</x:v>
      </x:c>
      <x:c r="I100" s="275" t="str">
        <x:v>需求表达信号弱、冲突或仅同源重复。</x:v>
      </x:c>
      <x:c r="J100" s="275" t="str">
        <x:v>基础十神或状态未定；只存在同一source_id重复；真合化会改变关键通道但尚未路由。</x:v>
      </x:c>
      <x:c r="K100" s="275" t="str">
        <x:v>不限定；由共享基础引擎与M3-STATE修正</x:v>
      </x:c>
      <x:c r="L100" s="275" t="str">
        <x:v>不限定；M3-EXPR不以夫妻星为唯一主轴</x:v>
      </x:c>
      <x:c r="M100" s="275" t="str">
        <x:v>由M3-BASE、日支结构及共享引擎提供</x:v>
      </x:c>
      <x:c r="N100" s="275" t="str">
        <x:v>无／待表达路径规则组合</x:v>
      </x:c>
      <x:c r="O100" s="275" t="str">
        <x:v>全局有效信号；日柱及亲密关系近位优先</x:v>
      </x:c>
      <x:c r="P100" s="275" t="str">
        <x:v>由共享基础引擎判定</x:v>
      </x:c>
      <x:c r="Q100" s="275" t="str">
        <x:v>由共享基础引擎判定</x:v>
      </x:c>
      <x:c r="R100" s="275" t="str">
        <x:v>喜忌不直接等于会不会表达；只修正调用顺畅度与强度</x:v>
      </x:c>
      <x:c r="S100" s="275" t="str">
        <x:v>原十神性质有效；真合化成立时按化神路由</x:v>
      </x:c>
      <x:c r="T100" s="275" t="str">
        <x:v>由共享基础引擎判定</x:v>
      </x:c>
      <x:c r="U100" s="275" t="str">
        <x:v>78</x:v>
      </x:c>
      <x:c r="V100" s="275" t="str">
        <x:v>need_explicitness 停止</x:v>
      </x:c>
      <x:c r="W100" s="275" t="str">
        <x:v>need_explicitness</x:v>
      </x:c>
      <x:c r="X100" s="275" t="str">
        <x:v>不宜固定为直接或含蓄。</x:v>
      </x:c>
      <x:c r="Y100" s="275" t="str">
        <x:v>目前只能看出你有自己的需求表达方式，但直接程度仍需结合现实反馈。</x:v>
      </x:c>
      <x:c r="Z100" s="275" t="str">
        <x:v>不得把该过程维度直接解释为沟通能力高低、情绪成熟度、依恋类型或关系结果。</x:v>
      </x:c>
      <x:c r="AA100" s="275" t="str">
        <x:v>停止</x:v>
      </x:c>
      <x:c r="AB100" s="275" t="str">
        <x:v>待验证</x:v>
      </x:c>
      <x:c r="AC100" s="275" t="str"/>
      <x:c r="AD100" s="275" t="str">
        <x:v>provisional=true; dimension=XQ04; state=未决</x:v>
      </x:c>
      <x:c r="AE100" s="276" t="str">
        <x:v>0.3</x:v>
      </x:c>
    </x:row>
    <x:row r="101">
      <x:c r="A101" s="273" t="str">
        <x:v>M3-EXPR-097</x:v>
      </x:c>
      <x:c r="B101" s="274" t="str">
        <x:v>XQ05 观点与边界陈述｜平等直接</x:v>
      </x:c>
      <x:c r="C101" s="275" t="str">
        <x:v>L3 情绪与需求表达</x:v>
      </x:c>
      <x:c r="D101" s="275" t="str">
        <x:v>EXPR-过程维度</x:v>
      </x:c>
      <x:c r="E101" s="275" t="str">
        <x:v>通用</x:v>
      </x:c>
      <x:c r="F101" s="275" t="str">
        <x:v>状态判定</x:v>
      </x:c>
      <x:c r="G101" s="275" t="str">
        <x:v>XQ05 观点与边界陈述</x:v>
      </x:c>
      <x:c r="H101" s="275" t="str">
        <x:v>平等直接</x:v>
      </x:c>
      <x:c r="I101" s="275" t="str">
        <x:v>比肩、伤官支持明显，表达通道外显。</x:v>
      </x:c>
      <x:c r="J101" s="275" t="str">
        <x:v>基础十神或状态未定；只存在同一source_id重复；真合化会改变关键通道但尚未路由。</x:v>
      </x:c>
      <x:c r="K101" s="275" t="str">
        <x:v>不限定；由共享基础引擎与M3-STATE修正</x:v>
      </x:c>
      <x:c r="L101" s="275" t="str">
        <x:v>不限定；M3-EXPR不以夫妻星为唯一主轴</x:v>
      </x:c>
      <x:c r="M101" s="275" t="str">
        <x:v>由M3-BASE、日支结构及共享引擎提供</x:v>
      </x:c>
      <x:c r="N101" s="275" t="str">
        <x:v>无／待表达路径规则组合</x:v>
      </x:c>
      <x:c r="O101" s="275" t="str">
        <x:v>全局有效信号；日柱及亲密关系近位优先</x:v>
      </x:c>
      <x:c r="P101" s="275" t="str">
        <x:v>由共享基础引擎判定</x:v>
      </x:c>
      <x:c r="Q101" s="275" t="str">
        <x:v>由共享基础引擎判定</x:v>
      </x:c>
      <x:c r="R101" s="275" t="str">
        <x:v>喜忌不直接等于会不会表达；只修正调用顺畅度与强度</x:v>
      </x:c>
      <x:c r="S101" s="275" t="str">
        <x:v>原十神性质有效；真合化成立时按化神路由</x:v>
      </x:c>
      <x:c r="T101" s="275" t="str">
        <x:v>由共享基础引擎判定</x:v>
      </x:c>
      <x:c r="U101" s="275" t="str">
        <x:v>81</x:v>
      </x:c>
      <x:c r="V101" s="275" t="str">
        <x:v>position_expression +8</x:v>
      </x:c>
      <x:c r="W101" s="275" t="str">
        <x:v>position_expression</x:v>
      </x:c>
      <x:c r="X101" s="275" t="str">
        <x:v>用户倾向用第一人称说明立场，并期待双方同样表达。</x:v>
      </x:c>
      <x:c r="Y101" s="275" t="str">
        <x:v>你较愿意直接说明自己的看法和可接受范围，也希望对方把真实立场讲出来。</x:v>
      </x:c>
      <x:c r="Z101" s="275" t="str">
        <x:v>不得把该过程维度直接解释为沟通能力高低、情绪成熟度、依恋类型或关系结果。</x:v>
      </x:c>
      <x:c r="AA101" s="275" t="str">
        <x:v>中高</x:v>
      </x:c>
      <x:c r="AB101" s="275" t="str">
        <x:v>待验证</x:v>
      </x:c>
      <x:c r="AC101" s="275" t="str"/>
      <x:c r="AD101" s="275" t="str">
        <x:v>provisional=true; dimension=XQ05; state=平等直接</x:v>
      </x:c>
      <x:c r="AE101" s="276" t="str">
        <x:v>0.3</x:v>
      </x:c>
    </x:row>
    <x:row r="102">
      <x:c r="A102" s="273" t="str">
        <x:v>M3-EXPR-098</x:v>
      </x:c>
      <x:c r="B102" s="274" t="str">
        <x:v>XQ05 观点与边界陈述｜结构化陈述</x:v>
      </x:c>
      <x:c r="C102" s="275" t="str">
        <x:v>L3 情绪与需求表达</x:v>
      </x:c>
      <x:c r="D102" s="275" t="str">
        <x:v>EXPR-过程维度</x:v>
      </x:c>
      <x:c r="E102" s="275" t="str">
        <x:v>通用</x:v>
      </x:c>
      <x:c r="F102" s="275" t="str">
        <x:v>状态判定</x:v>
      </x:c>
      <x:c r="G102" s="275" t="str">
        <x:v>XQ05 观点与边界陈述</x:v>
      </x:c>
      <x:c r="H102" s="275" t="str">
        <x:v>结构化陈述</x:v>
      </x:c>
      <x:c r="I102" s="275" t="str">
        <x:v>正官、正财或七杀提供规则、事实与执行框架。</x:v>
      </x:c>
      <x:c r="J102" s="275" t="str">
        <x:v>基础十神或状态未定；只存在同一source_id重复；真合化会改变关键通道但尚未路由。</x:v>
      </x:c>
      <x:c r="K102" s="275" t="str">
        <x:v>不限定；由共享基础引擎与M3-STATE修正</x:v>
      </x:c>
      <x:c r="L102" s="275" t="str">
        <x:v>不限定；M3-EXPR不以夫妻星为唯一主轴</x:v>
      </x:c>
      <x:c r="M102" s="275" t="str">
        <x:v>由M3-BASE、日支结构及共享引擎提供</x:v>
      </x:c>
      <x:c r="N102" s="275" t="str">
        <x:v>无／待表达路径规则组合</x:v>
      </x:c>
      <x:c r="O102" s="275" t="str">
        <x:v>全局有效信号；日柱及亲密关系近位优先</x:v>
      </x:c>
      <x:c r="P102" s="275" t="str">
        <x:v>由共享基础引擎判定</x:v>
      </x:c>
      <x:c r="Q102" s="275" t="str">
        <x:v>由共享基础引擎判定</x:v>
      </x:c>
      <x:c r="R102" s="275" t="str">
        <x:v>喜忌不直接等于会不会表达；只修正调用顺畅度与强度</x:v>
      </x:c>
      <x:c r="S102" s="275" t="str">
        <x:v>原十神性质有效；真合化成立时按化神路由</x:v>
      </x:c>
      <x:c r="T102" s="275" t="str">
        <x:v>由共享基础引擎判定</x:v>
      </x:c>
      <x:c r="U102" s="275" t="str">
        <x:v>80</x:v>
      </x:c>
      <x:c r="V102" s="275" t="str">
        <x:v>position_expression +6</x:v>
      </x:c>
      <x:c r="W102" s="275" t="str">
        <x:v>position_expression</x:v>
      </x:c>
      <x:c r="X102" s="275" t="str">
        <x:v>观点以责任、安排、事实或下一步方案呈现。</x:v>
      </x:c>
      <x:c r="Y102" s="275" t="str">
        <x:v>你表达立场时往往会落到规则、事实或具体安排上，希望沟通最后能形成可执行的结论。</x:v>
      </x:c>
      <x:c r="Z102" s="275" t="str">
        <x:v>不得把该过程维度直接解释为沟通能力高低、情绪成熟度、依恋类型或关系结果。</x:v>
      </x:c>
      <x:c r="AA102" s="275" t="str">
        <x:v>中</x:v>
      </x:c>
      <x:c r="AB102" s="275" t="str">
        <x:v>待验证</x:v>
      </x:c>
      <x:c r="AC102" s="275" t="str"/>
      <x:c r="AD102" s="275" t="str">
        <x:v>provisional=true; dimension=XQ05; state=结构化陈述</x:v>
      </x:c>
      <x:c r="AE102" s="276" t="str">
        <x:v>0.3</x:v>
      </x:c>
    </x:row>
    <x:row r="103">
      <x:c r="A103" s="273" t="str">
        <x:v>M3-EXPR-099</x:v>
      </x:c>
      <x:c r="B103" s="274" t="str">
        <x:v>XQ05 观点与边界陈述｜内化后陈述</x:v>
      </x:c>
      <x:c r="C103" s="275" t="str">
        <x:v>L3 情绪与需求表达</x:v>
      </x:c>
      <x:c r="D103" s="275" t="str">
        <x:v>EXPR-过程维度</x:v>
      </x:c>
      <x:c r="E103" s="275" t="str">
        <x:v>通用</x:v>
      </x:c>
      <x:c r="F103" s="275" t="str">
        <x:v>状态判定</x:v>
      </x:c>
      <x:c r="G103" s="275" t="str">
        <x:v>XQ05 观点与边界陈述</x:v>
      </x:c>
      <x:c r="H103" s="275" t="str">
        <x:v>内化后陈述</x:v>
      </x:c>
      <x:c r="I103" s="275" t="str">
        <x:v>正印、偏印明显，且有后续表达桥。</x:v>
      </x:c>
      <x:c r="J103" s="275" t="str">
        <x:v>基础十神或状态未定；只存在同一source_id重复；真合化会改变关键通道但尚未路由。</x:v>
      </x:c>
      <x:c r="K103" s="275" t="str">
        <x:v>不限定；由共享基础引擎与M3-STATE修正</x:v>
      </x:c>
      <x:c r="L103" s="275" t="str">
        <x:v>不限定；M3-EXPR不以夫妻星为唯一主轴</x:v>
      </x:c>
      <x:c r="M103" s="275" t="str">
        <x:v>由M3-BASE、日支结构及共享引擎提供</x:v>
      </x:c>
      <x:c r="N103" s="275" t="str">
        <x:v>无／待表达路径规则组合</x:v>
      </x:c>
      <x:c r="O103" s="275" t="str">
        <x:v>全局有效信号；日柱及亲密关系近位优先</x:v>
      </x:c>
      <x:c r="P103" s="275" t="str">
        <x:v>由共享基础引擎判定</x:v>
      </x:c>
      <x:c r="Q103" s="275" t="str">
        <x:v>由共享基础引擎判定</x:v>
      </x:c>
      <x:c r="R103" s="275" t="str">
        <x:v>喜忌不直接等于会不会表达；只修正调用顺畅度与强度</x:v>
      </x:c>
      <x:c r="S103" s="275" t="str">
        <x:v>原十神性质有效；真合化成立时按化神路由</x:v>
      </x:c>
      <x:c r="T103" s="275" t="str">
        <x:v>由共享基础引擎判定</x:v>
      </x:c>
      <x:c r="U103" s="275" t="str">
        <x:v>79</x:v>
      </x:c>
      <x:c r="V103" s="275" t="str">
        <x:v>position_expression +5</x:v>
      </x:c>
      <x:c r="W103" s="275" t="str">
        <x:v>position_expression</x:v>
      </x:c>
      <x:c r="X103" s="275" t="str">
        <x:v>先确认内在判断，再选择性陈述立场。</x:v>
      </x:c>
      <x:c r="Y103" s="275" t="str">
        <x:v>你通常不会为了马上回应而随口表态，更可能先确认自己真正怎么想，再说出立场。</x:v>
      </x:c>
      <x:c r="Z103" s="275" t="str">
        <x:v>不得把该过程维度直接解释为沟通能力高低、情绪成熟度、依恋类型或关系结果。</x:v>
      </x:c>
      <x:c r="AA103" s="275" t="str">
        <x:v>中</x:v>
      </x:c>
      <x:c r="AB103" s="275" t="str">
        <x:v>待验证</x:v>
      </x:c>
      <x:c r="AC103" s="275" t="str"/>
      <x:c r="AD103" s="275" t="str">
        <x:v>provisional=true; dimension=XQ05; state=内化后陈述</x:v>
      </x:c>
      <x:c r="AE103" s="276" t="str">
        <x:v>0.3</x:v>
      </x:c>
    </x:row>
    <x:row r="104">
      <x:c r="A104" s="273" t="str">
        <x:v>M3-EXPR-100</x:v>
      </x:c>
      <x:c r="B104" s="274" t="str">
        <x:v>XQ05 观点与边界陈述｜未决</x:v>
      </x:c>
      <x:c r="C104" s="275" t="str">
        <x:v>L3 情绪与需求表达</x:v>
      </x:c>
      <x:c r="D104" s="275" t="str">
        <x:v>EXPR-过程维度</x:v>
      </x:c>
      <x:c r="E104" s="275" t="str">
        <x:v>通用</x:v>
      </x:c>
      <x:c r="F104" s="275" t="str">
        <x:v>停止</x:v>
      </x:c>
      <x:c r="G104" s="275" t="str">
        <x:v>XQ05 观点与边界陈述</x:v>
      </x:c>
      <x:c r="H104" s="275" t="str">
        <x:v>未决</x:v>
      </x:c>
      <x:c r="I104" s="275" t="str">
        <x:v>比劫、印、食伤与官杀证据相互冲突或基础未定。</x:v>
      </x:c>
      <x:c r="J104" s="275" t="str">
        <x:v>基础十神或状态未定；只存在同一source_id重复；真合化会改变关键通道但尚未路由。</x:v>
      </x:c>
      <x:c r="K104" s="275" t="str">
        <x:v>不限定；由共享基础引擎与M3-STATE修正</x:v>
      </x:c>
      <x:c r="L104" s="275" t="str">
        <x:v>不限定；M3-EXPR不以夫妻星为唯一主轴</x:v>
      </x:c>
      <x:c r="M104" s="275" t="str">
        <x:v>由M3-BASE、日支结构及共享引擎提供</x:v>
      </x:c>
      <x:c r="N104" s="275" t="str">
        <x:v>无／待表达路径规则组合</x:v>
      </x:c>
      <x:c r="O104" s="275" t="str">
        <x:v>全局有效信号；日柱及亲密关系近位优先</x:v>
      </x:c>
      <x:c r="P104" s="275" t="str">
        <x:v>由共享基础引擎判定</x:v>
      </x:c>
      <x:c r="Q104" s="275" t="str">
        <x:v>由共享基础引擎判定</x:v>
      </x:c>
      <x:c r="R104" s="275" t="str">
        <x:v>喜忌不直接等于会不会表达；只修正调用顺畅度与强度</x:v>
      </x:c>
      <x:c r="S104" s="275" t="str">
        <x:v>原十神性质有效；真合化成立时按化神路由</x:v>
      </x:c>
      <x:c r="T104" s="275" t="str">
        <x:v>由共享基础引擎判定</x:v>
      </x:c>
      <x:c r="U104" s="275" t="str">
        <x:v>78</x:v>
      </x:c>
      <x:c r="V104" s="275" t="str">
        <x:v>position_expression 停止</x:v>
      </x:c>
      <x:c r="W104" s="275" t="str">
        <x:v>position_expression</x:v>
      </x:c>
      <x:c r="X104" s="275" t="str">
        <x:v>暂不判断观点外显度与边界陈述方式。</x:v>
      </x:c>
      <x:c r="Y104" s="275" t="str">
        <x:v>目前不宜把你的立场表达固定成直接、结构化或含蓄中的某一种。</x:v>
      </x:c>
      <x:c r="Z104" s="275" t="str">
        <x:v>不得把该过程维度直接解释为沟通能力高低、情绪成熟度、依恋类型或关系结果。</x:v>
      </x:c>
      <x:c r="AA104" s="275" t="str">
        <x:v>停止</x:v>
      </x:c>
      <x:c r="AB104" s="275" t="str">
        <x:v>待验证</x:v>
      </x:c>
      <x:c r="AC104" s="275" t="str"/>
      <x:c r="AD104" s="275" t="str">
        <x:v>provisional=true; dimension=XQ05; state=未决</x:v>
      </x:c>
      <x:c r="AE104" s="276" t="str">
        <x:v>0.3</x:v>
      </x:c>
    </x:row>
    <x:row r="105">
      <x:c r="A105" s="273" t="str">
        <x:v>M3-EXPR-101</x:v>
      </x:c>
      <x:c r="B105" s="274" t="str">
        <x:v>XQ06 沟通启动方式｜主动发起</x:v>
      </x:c>
      <x:c r="C105" s="275" t="str">
        <x:v>L4 沟通顺序与回应</x:v>
      </x:c>
      <x:c r="D105" s="275" t="str">
        <x:v>EXPR-过程维度</x:v>
      </x:c>
      <x:c r="E105" s="275" t="str">
        <x:v>通用</x:v>
      </x:c>
      <x:c r="F105" s="275" t="str">
        <x:v>状态判定</x:v>
      </x:c>
      <x:c r="G105" s="275" t="str">
        <x:v>XQ06 沟通启动方式</x:v>
      </x:c>
      <x:c r="H105" s="275" t="str">
        <x:v>主动发起</x:v>
      </x:c>
      <x:c r="I105" s="275" t="str">
        <x:v>伤官、比肩、七杀等启动信号有效且外显。</x:v>
      </x:c>
      <x:c r="J105" s="275" t="str">
        <x:v>基础十神或状态未定；只存在同一source_id重复；真合化会改变关键通道但尚未路由。</x:v>
      </x:c>
      <x:c r="K105" s="275" t="str">
        <x:v>不限定；由共享基础引擎与M3-STATE修正</x:v>
      </x:c>
      <x:c r="L105" s="275" t="str">
        <x:v>不限定；M3-EXPR不以夫妻星为唯一主轴</x:v>
      </x:c>
      <x:c r="M105" s="275" t="str">
        <x:v>由M3-BASE、日支结构及共享引擎提供</x:v>
      </x:c>
      <x:c r="N105" s="275" t="str">
        <x:v>无／待表达路径规则组合</x:v>
      </x:c>
      <x:c r="O105" s="275" t="str">
        <x:v>全局有效信号；日柱及亲密关系近位优先</x:v>
      </x:c>
      <x:c r="P105" s="275" t="str">
        <x:v>由共享基础引擎判定</x:v>
      </x:c>
      <x:c r="Q105" s="275" t="str">
        <x:v>由共享基础引擎判定</x:v>
      </x:c>
      <x:c r="R105" s="275" t="str">
        <x:v>喜忌不直接等于会不会表达；只修正调用顺畅度与强度</x:v>
      </x:c>
      <x:c r="S105" s="275" t="str">
        <x:v>原十神性质有效；真合化成立时按化神路由</x:v>
      </x:c>
      <x:c r="T105" s="275" t="str">
        <x:v>由共享基础引擎判定</x:v>
      </x:c>
      <x:c r="U105" s="275" t="str">
        <x:v>81</x:v>
      </x:c>
      <x:c r="V105" s="275" t="str">
        <x:v>communication_initiation +8</x:v>
      </x:c>
      <x:c r="W105" s="275" t="str">
        <x:v>communication_initiation</x:v>
      </x:c>
      <x:c r="X105" s="275" t="str">
        <x:v>用户较容易主动提出话题、问题、决定或需要说明的事项。</x:v>
      </x:c>
      <x:c r="Y105" s="275" t="str">
        <x:v>当你觉得有必要时，往往会主动把话题提出来，而不是一直等待对方发现。</x:v>
      </x:c>
      <x:c r="Z105" s="275" t="str">
        <x:v>不得把该过程维度直接解释为沟通能力高低、情绪成熟度、依恋类型或关系结果。</x:v>
      </x:c>
      <x:c r="AA105" s="275" t="str">
        <x:v>中</x:v>
      </x:c>
      <x:c r="AB105" s="275" t="str">
        <x:v>待验证</x:v>
      </x:c>
      <x:c r="AC105" s="275" t="str"/>
      <x:c r="AD105" s="275" t="str">
        <x:v>provisional=true; dimension=XQ06; state=主动发起</x:v>
      </x:c>
      <x:c r="AE105" s="276" t="str">
        <x:v>0.3</x:v>
      </x:c>
    </x:row>
    <x:row r="106">
      <x:c r="A106" s="273" t="str">
        <x:v>M3-EXPR-102</x:v>
      </x:c>
      <x:c r="B106" s="274" t="str">
        <x:v>XQ06 沟通启动方式｜互动邀请</x:v>
      </x:c>
      <x:c r="C106" s="275" t="str">
        <x:v>L4 沟通顺序与回应</x:v>
      </x:c>
      <x:c r="D106" s="275" t="str">
        <x:v>EXPR-过程维度</x:v>
      </x:c>
      <x:c r="E106" s="275" t="str">
        <x:v>通用</x:v>
      </x:c>
      <x:c r="F106" s="275" t="str">
        <x:v>状态判定</x:v>
      </x:c>
      <x:c r="G106" s="275" t="str">
        <x:v>XQ06 沟通启动方式</x:v>
      </x:c>
      <x:c r="H106" s="275" t="str">
        <x:v>互动邀请</x:v>
      </x:c>
      <x:c r="I106" s="275" t="str">
        <x:v>食神、劫财、偏财明显。</x:v>
      </x:c>
      <x:c r="J106" s="275" t="str">
        <x:v>基础十神或状态未定；只存在同一source_id重复；真合化会改变关键通道但尚未路由。</x:v>
      </x:c>
      <x:c r="K106" s="275" t="str">
        <x:v>不限定；由共享基础引擎与M3-STATE修正</x:v>
      </x:c>
      <x:c r="L106" s="275" t="str">
        <x:v>不限定；M3-EXPR不以夫妻星为唯一主轴</x:v>
      </x:c>
      <x:c r="M106" s="275" t="str">
        <x:v>由M3-BASE、日支结构及共享引擎提供</x:v>
      </x:c>
      <x:c r="N106" s="275" t="str">
        <x:v>无／待表达路径规则组合</x:v>
      </x:c>
      <x:c r="O106" s="275" t="str">
        <x:v>全局有效信号；日柱及亲密关系近位优先</x:v>
      </x:c>
      <x:c r="P106" s="275" t="str">
        <x:v>由共享基础引擎判定</x:v>
      </x:c>
      <x:c r="Q106" s="275" t="str">
        <x:v>由共享基础引擎判定</x:v>
      </x:c>
      <x:c r="R106" s="275" t="str">
        <x:v>喜忌不直接等于会不会表达；只修正调用顺畅度与强度</x:v>
      </x:c>
      <x:c r="S106" s="275" t="str">
        <x:v>原十神性质有效；真合化成立时按化神路由</x:v>
      </x:c>
      <x:c r="T106" s="275" t="str">
        <x:v>由共享基础引擎判定</x:v>
      </x:c>
      <x:c r="U106" s="275" t="str">
        <x:v>80</x:v>
      </x:c>
      <x:c r="V106" s="275" t="str">
        <x:v>communication_initiation +6</x:v>
      </x:c>
      <x:c r="W106" s="275" t="str">
        <x:v>communication_initiation</x:v>
      </x:c>
      <x:c r="X106" s="275" t="str">
        <x:v>通过分享、邀约、玩笑、共同活动或即时回应启动沟通。</x:v>
      </x:c>
      <x:c r="Y106" s="275" t="str">
        <x:v>你更容易在轻松互动、一起做事或分享当下时自然打开话题。</x:v>
      </x:c>
      <x:c r="Z106" s="275" t="str">
        <x:v>不得把该过程维度直接解释为沟通能力高低、情绪成熟度、依恋类型或关系结果。</x:v>
      </x:c>
      <x:c r="AA106" s="275" t="str">
        <x:v>中</x:v>
      </x:c>
      <x:c r="AB106" s="275" t="str">
        <x:v>待验证</x:v>
      </x:c>
      <x:c r="AC106" s="275" t="str"/>
      <x:c r="AD106" s="275" t="str">
        <x:v>provisional=true; dimension=XQ06; state=互动邀请</x:v>
      </x:c>
      <x:c r="AE106" s="276" t="str">
        <x:v>0.3</x:v>
      </x:c>
    </x:row>
    <x:row r="107">
      <x:c r="A107" s="273" t="str">
        <x:v>M3-EXPR-103</x:v>
      </x:c>
      <x:c r="B107" s="274" t="str">
        <x:v>XQ06 沟通启动方式｜回应触发</x:v>
      </x:c>
      <x:c r="C107" s="275" t="str">
        <x:v>L4 沟通顺序与回应</x:v>
      </x:c>
      <x:c r="D107" s="275" t="str">
        <x:v>EXPR-过程维度</x:v>
      </x:c>
      <x:c r="E107" s="275" t="str">
        <x:v>通用</x:v>
      </x:c>
      <x:c r="F107" s="275" t="str">
        <x:v>状态判定</x:v>
      </x:c>
      <x:c r="G107" s="275" t="str">
        <x:v>XQ06 沟通启动方式</x:v>
      </x:c>
      <x:c r="H107" s="275" t="str">
        <x:v>回应触发</x:v>
      </x:c>
      <x:c r="I107" s="275" t="str">
        <x:v>正印、偏印、正财、正官等信号明显。</x:v>
      </x:c>
      <x:c r="J107" s="275" t="str">
        <x:v>基础十神或状态未定；只存在同一source_id重复；真合化会改变关键通道但尚未路由。</x:v>
      </x:c>
      <x:c r="K107" s="275" t="str">
        <x:v>不限定；由共享基础引擎与M3-STATE修正</x:v>
      </x:c>
      <x:c r="L107" s="275" t="str">
        <x:v>不限定；M3-EXPR不以夫妻星为唯一主轴</x:v>
      </x:c>
      <x:c r="M107" s="275" t="str">
        <x:v>由M3-BASE、日支结构及共享引擎提供</x:v>
      </x:c>
      <x:c r="N107" s="275" t="str">
        <x:v>无／待表达路径规则组合</x:v>
      </x:c>
      <x:c r="O107" s="275" t="str">
        <x:v>全局有效信号；日柱及亲密关系近位优先</x:v>
      </x:c>
      <x:c r="P107" s="275" t="str">
        <x:v>由共享基础引擎判定</x:v>
      </x:c>
      <x:c r="Q107" s="275" t="str">
        <x:v>由共享基础引擎判定</x:v>
      </x:c>
      <x:c r="R107" s="275" t="str">
        <x:v>喜忌不直接等于会不会表达；只修正调用顺畅度与强度</x:v>
      </x:c>
      <x:c r="S107" s="275" t="str">
        <x:v>原十神性质有效；真合化成立时按化神路由</x:v>
      </x:c>
      <x:c r="T107" s="275" t="str">
        <x:v>由共享基础引擎判定</x:v>
      </x:c>
      <x:c r="U107" s="275" t="str">
        <x:v>79</x:v>
      </x:c>
      <x:c r="V107" s="275" t="str">
        <x:v>communication_initiation +4</x:v>
      </x:c>
      <x:c r="W107" s="275" t="str">
        <x:v>communication_initiation</x:v>
      </x:c>
      <x:c r="X107" s="275" t="str">
        <x:v>用户更容易在对方表达、现实事件或责任议题出现后进入沟通。</x:v>
      </x:c>
      <x:c r="Y107" s="275" t="str">
        <x:v>你不一定总是先开口，但当对方认真表达或现实问题需要处理时，你会进入回应。</x:v>
      </x:c>
      <x:c r="Z107" s="275" t="str">
        <x:v>不得把该过程维度直接解释为沟通能力高低、情绪成熟度、依恋类型或关系结果。</x:v>
      </x:c>
      <x:c r="AA107" s="275" t="str">
        <x:v>中</x:v>
      </x:c>
      <x:c r="AB107" s="275" t="str">
        <x:v>待验证</x:v>
      </x:c>
      <x:c r="AC107" s="275" t="str"/>
      <x:c r="AD107" s="275" t="str">
        <x:v>provisional=true; dimension=XQ06; state=回应触发</x:v>
      </x:c>
      <x:c r="AE107" s="276" t="str">
        <x:v>0.3</x:v>
      </x:c>
    </x:row>
    <x:row r="108">
      <x:c r="A108" s="273" t="str">
        <x:v>M3-EXPR-104</x:v>
      </x:c>
      <x:c r="B108" s="274" t="str">
        <x:v>XQ06 沟通启动方式｜未决</x:v>
      </x:c>
      <x:c r="C108" s="275" t="str">
        <x:v>L4 沟通顺序与回应</x:v>
      </x:c>
      <x:c r="D108" s="275" t="str">
        <x:v>EXPR-过程维度</x:v>
      </x:c>
      <x:c r="E108" s="275" t="str">
        <x:v>通用</x:v>
      </x:c>
      <x:c r="F108" s="275" t="str">
        <x:v>停止</x:v>
      </x:c>
      <x:c r="G108" s="275" t="str">
        <x:v>XQ06 沟通启动方式</x:v>
      </x:c>
      <x:c r="H108" s="275" t="str">
        <x:v>未决</x:v>
      </x:c>
      <x:c r="I108" s="275" t="str">
        <x:v>启动证据分散或状态切换明显。</x:v>
      </x:c>
      <x:c r="J108" s="275" t="str">
        <x:v>基础十神或状态未定；只存在同一source_id重复；真合化会改变关键通道但尚未路由。</x:v>
      </x:c>
      <x:c r="K108" s="275" t="str">
        <x:v>不限定；由共享基础引擎与M3-STATE修正</x:v>
      </x:c>
      <x:c r="L108" s="275" t="str">
        <x:v>不限定；M3-EXPR不以夫妻星为唯一主轴</x:v>
      </x:c>
      <x:c r="M108" s="275" t="str">
        <x:v>由M3-BASE、日支结构及共享引擎提供</x:v>
      </x:c>
      <x:c r="N108" s="275" t="str">
        <x:v>无／待表达路径规则组合</x:v>
      </x:c>
      <x:c r="O108" s="275" t="str">
        <x:v>全局有效信号；日柱及亲密关系近位优先</x:v>
      </x:c>
      <x:c r="P108" s="275" t="str">
        <x:v>由共享基础引擎判定</x:v>
      </x:c>
      <x:c r="Q108" s="275" t="str">
        <x:v>由共享基础引擎判定</x:v>
      </x:c>
      <x:c r="R108" s="275" t="str">
        <x:v>喜忌不直接等于会不会表达；只修正调用顺畅度与强度</x:v>
      </x:c>
      <x:c r="S108" s="275" t="str">
        <x:v>原十神性质有效；真合化成立时按化神路由</x:v>
      </x:c>
      <x:c r="T108" s="275" t="str">
        <x:v>由共享基础引擎判定</x:v>
      </x:c>
      <x:c r="U108" s="275" t="str">
        <x:v>78</x:v>
      </x:c>
      <x:c r="V108" s="275" t="str">
        <x:v>communication_initiation 情境候选</x:v>
      </x:c>
      <x:c r="W108" s="275" t="str">
        <x:v>communication_initiation</x:v>
      </x:c>
      <x:c r="X108" s="275" t="str">
        <x:v>只能输出情境候选。</x:v>
      </x:c>
      <x:c r="Y108" s="275" t="str">
        <x:v>你会不会先开口，较依赖话题类型和当时的关系状态。</x:v>
      </x:c>
      <x:c r="Z108" s="275" t="str">
        <x:v>不得把该过程维度直接解释为沟通能力高低、情绪成熟度、依恋类型或关系结果。</x:v>
      </x:c>
      <x:c r="AA108" s="275" t="str">
        <x:v>中低</x:v>
      </x:c>
      <x:c r="AB108" s="275" t="str">
        <x:v>待验证</x:v>
      </x:c>
      <x:c r="AC108" s="275" t="str"/>
      <x:c r="AD108" s="275" t="str">
        <x:v>provisional=true; dimension=XQ06; state=未决</x:v>
      </x:c>
      <x:c r="AE108" s="276" t="str">
        <x:v>0.3</x:v>
      </x:c>
    </x:row>
    <x:row r="109">
      <x:c r="A109" s="273" t="str">
        <x:v>M3-EXPR-105</x:v>
      </x:c>
      <x:c r="B109" s="274" t="str">
        <x:v>XQ07 回应与接收方式｜倾听承接</x:v>
      </x:c>
      <x:c r="C109" s="275" t="str">
        <x:v>L4 沟通顺序与回应</x:v>
      </x:c>
      <x:c r="D109" s="275" t="str">
        <x:v>EXPR-过程维度</x:v>
      </x:c>
      <x:c r="E109" s="275" t="str">
        <x:v>通用</x:v>
      </x:c>
      <x:c r="F109" s="275" t="str">
        <x:v>状态判定</x:v>
      </x:c>
      <x:c r="G109" s="275" t="str">
        <x:v>XQ07 回应与接收方式</x:v>
      </x:c>
      <x:c r="H109" s="275" t="str">
        <x:v>倾听承接</x:v>
      </x:c>
      <x:c r="I109" s="275" t="str">
        <x:v>正印、偏印或食神承接信号有效。</x:v>
      </x:c>
      <x:c r="J109" s="275" t="str">
        <x:v>基础十神或状态未定；只存在同一source_id重复；真合化会改变关键通道但尚未路由。</x:v>
      </x:c>
      <x:c r="K109" s="275" t="str">
        <x:v>不限定；由共享基础引擎与M3-STATE修正</x:v>
      </x:c>
      <x:c r="L109" s="275" t="str">
        <x:v>不限定；M3-EXPR不以夫妻星为唯一主轴</x:v>
      </x:c>
      <x:c r="M109" s="275" t="str">
        <x:v>由M3-BASE、日支结构及共享引擎提供</x:v>
      </x:c>
      <x:c r="N109" s="275" t="str">
        <x:v>无／待表达路径规则组合</x:v>
      </x:c>
      <x:c r="O109" s="275" t="str">
        <x:v>全局有效信号；日柱及亲密关系近位优先</x:v>
      </x:c>
      <x:c r="P109" s="275" t="str">
        <x:v>由共享基础引擎判定</x:v>
      </x:c>
      <x:c r="Q109" s="275" t="str">
        <x:v>由共享基础引擎判定</x:v>
      </x:c>
      <x:c r="R109" s="275" t="str">
        <x:v>喜忌不直接等于会不会表达；只修正调用顺畅度与强度</x:v>
      </x:c>
      <x:c r="S109" s="275" t="str">
        <x:v>原十神性质有效；真合化成立时按化神路由</x:v>
      </x:c>
      <x:c r="T109" s="275" t="str">
        <x:v>由共享基础引擎判定</x:v>
      </x:c>
      <x:c r="U109" s="275" t="str">
        <x:v>81</x:v>
      </x:c>
      <x:c r="V109" s="275" t="str">
        <x:v>response_style +8</x:v>
      </x:c>
      <x:c r="W109" s="275" t="str">
        <x:v>response_style</x:v>
      </x:c>
      <x:c r="X109" s="275" t="str">
        <x:v>先听、理解、安抚或给对方表达空间，再组织自己的回应。</x:v>
      </x:c>
      <x:c r="Y109" s="275" t="str">
        <x:v>你回应对方时，通常会先听懂对方在意什么，再决定怎样说或怎样做。</x:v>
      </x:c>
      <x:c r="Z109" s="275" t="str">
        <x:v>不得把该过程维度直接解释为沟通能力高低、情绪成熟度、依恋类型或关系结果。</x:v>
      </x:c>
      <x:c r="AA109" s="275" t="str">
        <x:v>中高</x:v>
      </x:c>
      <x:c r="AB109" s="275" t="str">
        <x:v>待验证</x:v>
      </x:c>
      <x:c r="AC109" s="275" t="str"/>
      <x:c r="AD109" s="275" t="str">
        <x:v>provisional=true; dimension=XQ07; state=倾听承接</x:v>
      </x:c>
      <x:c r="AE109" s="276" t="str">
        <x:v>0.3</x:v>
      </x:c>
    </x:row>
    <x:row r="110">
      <x:c r="A110" s="273" t="str">
        <x:v>M3-EXPR-106</x:v>
      </x:c>
      <x:c r="B110" s="274" t="str">
        <x:v>XQ07 回应与接收方式｜互动澄清</x:v>
      </x:c>
      <x:c r="C110" s="275" t="str">
        <x:v>L4 沟通顺序与回应</x:v>
      </x:c>
      <x:c r="D110" s="275" t="str">
        <x:v>EXPR-过程维度</x:v>
      </x:c>
      <x:c r="E110" s="275" t="str">
        <x:v>通用</x:v>
      </x:c>
      <x:c r="F110" s="275" t="str">
        <x:v>状态判定</x:v>
      </x:c>
      <x:c r="G110" s="275" t="str">
        <x:v>XQ07 回应与接收方式</x:v>
      </x:c>
      <x:c r="H110" s="275" t="str">
        <x:v>互动澄清</x:v>
      </x:c>
      <x:c r="I110" s="275" t="str">
        <x:v>比肩、食神、伤官、偏财等交换信号有效。</x:v>
      </x:c>
      <x:c r="J110" s="275" t="str">
        <x:v>基础十神或状态未定；只存在同一source_id重复；真合化会改变关键通道但尚未路由。</x:v>
      </x:c>
      <x:c r="K110" s="275" t="str">
        <x:v>不限定；由共享基础引擎与M3-STATE修正</x:v>
      </x:c>
      <x:c r="L110" s="275" t="str">
        <x:v>不限定；M3-EXPR不以夫妻星为唯一主轴</x:v>
      </x:c>
      <x:c r="M110" s="275" t="str">
        <x:v>由M3-BASE、日支结构及共享引擎提供</x:v>
      </x:c>
      <x:c r="N110" s="275" t="str">
        <x:v>无／待表达路径规则组合</x:v>
      </x:c>
      <x:c r="O110" s="275" t="str">
        <x:v>全局有效信号；日柱及亲密关系近位优先</x:v>
      </x:c>
      <x:c r="P110" s="275" t="str">
        <x:v>由共享基础引擎判定</x:v>
      </x:c>
      <x:c r="Q110" s="275" t="str">
        <x:v>由共享基础引擎判定</x:v>
      </x:c>
      <x:c r="R110" s="275" t="str">
        <x:v>喜忌不直接等于会不会表达；只修正调用顺畅度与强度</x:v>
      </x:c>
      <x:c r="S110" s="275" t="str">
        <x:v>原十神性质有效；真合化成立时按化神路由</x:v>
      </x:c>
      <x:c r="T110" s="275" t="str">
        <x:v>由共享基础引擎判定</x:v>
      </x:c>
      <x:c r="U110" s="275" t="str">
        <x:v>80</x:v>
      </x:c>
      <x:c r="V110" s="275" t="str">
        <x:v>response_style +6</x:v>
      </x:c>
      <x:c r="W110" s="275" t="str">
        <x:v>response_style</x:v>
      </x:c>
      <x:c r="X110" s="275" t="str">
        <x:v>通过问答、补充、反馈和来回讨论建立理解。</x:v>
      </x:c>
      <x:c r="Y110" s="275" t="str">
        <x:v>你更习惯在有来有往的沟通中逐步弄清彼此，而不是只听一方单向陈述。</x:v>
      </x:c>
      <x:c r="Z110" s="275" t="str">
        <x:v>不得把该过程维度直接解释为沟通能力高低、情绪成熟度、依恋类型或关系结果。</x:v>
      </x:c>
      <x:c r="AA110" s="275" t="str">
        <x:v>中</x:v>
      </x:c>
      <x:c r="AB110" s="275" t="str">
        <x:v>待验证</x:v>
      </x:c>
      <x:c r="AC110" s="275" t="str"/>
      <x:c r="AD110" s="275" t="str">
        <x:v>provisional=true; dimension=XQ07; state=互动澄清</x:v>
      </x:c>
      <x:c r="AE110" s="276" t="str">
        <x:v>0.3</x:v>
      </x:c>
    </x:row>
    <x:row r="111">
      <x:c r="A111" s="273" t="str">
        <x:v>M3-EXPR-107</x:v>
      </x:c>
      <x:c r="B111" s="274" t="str">
        <x:v>XQ07 回应与接收方式｜方案行动</x:v>
      </x:c>
      <x:c r="C111" s="275" t="str">
        <x:v>L4 沟通顺序与回应</x:v>
      </x:c>
      <x:c r="D111" s="275" t="str">
        <x:v>EXPR-过程维度</x:v>
      </x:c>
      <x:c r="E111" s="275" t="str">
        <x:v>通用</x:v>
      </x:c>
      <x:c r="F111" s="275" t="str">
        <x:v>状态判定</x:v>
      </x:c>
      <x:c r="G111" s="275" t="str">
        <x:v>XQ07 回应与接收方式</x:v>
      </x:c>
      <x:c r="H111" s="275" t="str">
        <x:v>方案行动</x:v>
      </x:c>
      <x:c r="I111" s="275" t="str">
        <x:v>正财、正官、七杀等信号有效。</x:v>
      </x:c>
      <x:c r="J111" s="275" t="str">
        <x:v>基础十神或状态未定；只存在同一source_id重复；真合化会改变关键通道但尚未路由。</x:v>
      </x:c>
      <x:c r="K111" s="275" t="str">
        <x:v>不限定；由共享基础引擎与M3-STATE修正</x:v>
      </x:c>
      <x:c r="L111" s="275" t="str">
        <x:v>不限定；M3-EXPR不以夫妻星为唯一主轴</x:v>
      </x:c>
      <x:c r="M111" s="275" t="str">
        <x:v>由M3-BASE、日支结构及共享引擎提供</x:v>
      </x:c>
      <x:c r="N111" s="275" t="str">
        <x:v>无／待表达路径规则组合</x:v>
      </x:c>
      <x:c r="O111" s="275" t="str">
        <x:v>全局有效信号；日柱及亲密关系近位优先</x:v>
      </x:c>
      <x:c r="P111" s="275" t="str">
        <x:v>由共享基础引擎判定</x:v>
      </x:c>
      <x:c r="Q111" s="275" t="str">
        <x:v>由共享基础引擎判定</x:v>
      </x:c>
      <x:c r="R111" s="275" t="str">
        <x:v>喜忌不直接等于会不会表达；只修正调用顺畅度与强度</x:v>
      </x:c>
      <x:c r="S111" s="275" t="str">
        <x:v>原十神性质有效；真合化成立时按化神路由</x:v>
      </x:c>
      <x:c r="T111" s="275" t="str">
        <x:v>由共享基础引擎判定</x:v>
      </x:c>
      <x:c r="U111" s="275" t="str">
        <x:v>79</x:v>
      </x:c>
      <x:c r="V111" s="275" t="str">
        <x:v>response_style +6</x:v>
      </x:c>
      <x:c r="W111" s="275" t="str">
        <x:v>response_style</x:v>
      </x:c>
      <x:c r="X111" s="275" t="str">
        <x:v>回应重点落在事实、安排、解决方案和后续行动。</x:v>
      </x:c>
      <x:c r="Y111" s="275" t="str">
        <x:v>你听到对方的需要后，常会先想可以怎样处理、怎样安排或怎样把事情落实。</x:v>
      </x:c>
      <x:c r="Z111" s="275" t="str">
        <x:v>不得把该过程维度直接解释为沟通能力高低、情绪成熟度、依恋类型或关系结果。</x:v>
      </x:c>
      <x:c r="AA111" s="275" t="str">
        <x:v>中</x:v>
      </x:c>
      <x:c r="AB111" s="275" t="str">
        <x:v>待验证</x:v>
      </x:c>
      <x:c r="AC111" s="275" t="str"/>
      <x:c r="AD111" s="275" t="str">
        <x:v>provisional=true; dimension=XQ07; state=方案行动</x:v>
      </x:c>
      <x:c r="AE111" s="276" t="str">
        <x:v>0.3</x:v>
      </x:c>
    </x:row>
    <x:row r="112">
      <x:c r="A112" s="273" t="str">
        <x:v>M3-EXPR-108</x:v>
      </x:c>
      <x:c r="B112" s="274" t="str">
        <x:v>XQ07 回应与接收方式｜未决</x:v>
      </x:c>
      <x:c r="C112" s="275" t="str">
        <x:v>L4 沟通顺序与回应</x:v>
      </x:c>
      <x:c r="D112" s="275" t="str">
        <x:v>EXPR-过程维度</x:v>
      </x:c>
      <x:c r="E112" s="275" t="str">
        <x:v>通用</x:v>
      </x:c>
      <x:c r="F112" s="275" t="str">
        <x:v>停止</x:v>
      </x:c>
      <x:c r="G112" s="275" t="str">
        <x:v>XQ07 回应与接收方式</x:v>
      </x:c>
      <x:c r="H112" s="275" t="str">
        <x:v>未决</x:v>
      </x:c>
      <x:c r="I112" s="275" t="str">
        <x:v>接收通道不清或多通道势均。</x:v>
      </x:c>
      <x:c r="J112" s="275" t="str">
        <x:v>基础十神或状态未定；只存在同一source_id重复；真合化会改变关键通道但尚未路由。</x:v>
      </x:c>
      <x:c r="K112" s="275" t="str">
        <x:v>不限定；由共享基础引擎与M3-STATE修正</x:v>
      </x:c>
      <x:c r="L112" s="275" t="str">
        <x:v>不限定；M3-EXPR不以夫妻星为唯一主轴</x:v>
      </x:c>
      <x:c r="M112" s="275" t="str">
        <x:v>由M3-BASE、日支结构及共享引擎提供</x:v>
      </x:c>
      <x:c r="N112" s="275" t="str">
        <x:v>无／待表达路径规则组合</x:v>
      </x:c>
      <x:c r="O112" s="275" t="str">
        <x:v>全局有效信号；日柱及亲密关系近位优先</x:v>
      </x:c>
      <x:c r="P112" s="275" t="str">
        <x:v>由共享基础引擎判定</x:v>
      </x:c>
      <x:c r="Q112" s="275" t="str">
        <x:v>由共享基础引擎判定</x:v>
      </x:c>
      <x:c r="R112" s="275" t="str">
        <x:v>喜忌不直接等于会不会表达；只修正调用顺畅度与强度</x:v>
      </x:c>
      <x:c r="S112" s="275" t="str">
        <x:v>原十神性质有效；真合化成立时按化神路由</x:v>
      </x:c>
      <x:c r="T112" s="275" t="str">
        <x:v>由共享基础引擎判定</x:v>
      </x:c>
      <x:c r="U112" s="275" t="str">
        <x:v>78</x:v>
      </x:c>
      <x:c r="V112" s="275" t="str">
        <x:v>response_style 情境候选</x:v>
      </x:c>
      <x:c r="W112" s="275" t="str">
        <x:v>response_style</x:v>
      </x:c>
      <x:c r="X112" s="275" t="str">
        <x:v>不固定单一回应方式。</x:v>
      </x:c>
      <x:c r="Y112" s="275" t="str">
        <x:v>你回应对方的方式可能随内容变化：情绪议题、现实议题和原则议题会触发不同通道。</x:v>
      </x:c>
      <x:c r="Z112" s="275" t="str">
        <x:v>不得把该过程维度直接解释为沟通能力高低、情绪成熟度、依恋类型或关系结果。</x:v>
      </x:c>
      <x:c r="AA112" s="275" t="str">
        <x:v>中低</x:v>
      </x:c>
      <x:c r="AB112" s="275" t="str">
        <x:v>待验证</x:v>
      </x:c>
      <x:c r="AC112" s="275" t="str"/>
      <x:c r="AD112" s="275" t="str">
        <x:v>provisional=true; dimension=XQ07; state=未决</x:v>
      </x:c>
      <x:c r="AE112" s="276" t="str">
        <x:v>0.3</x:v>
      </x:c>
    </x:row>
    <x:row r="113">
      <x:c r="A113" s="273" t="str">
        <x:v>M3-EXPR-109</x:v>
      </x:c>
      <x:c r="B113" s="274" t="str">
        <x:v>XQ08 行动转译程度｜高行动转译</x:v>
      </x:c>
      <x:c r="C113" s="275" t="str">
        <x:v>L4 沟通顺序与回应</x:v>
      </x:c>
      <x:c r="D113" s="275" t="str">
        <x:v>EXPR-过程维度</x:v>
      </x:c>
      <x:c r="E113" s="275" t="str">
        <x:v>通用</x:v>
      </x:c>
      <x:c r="F113" s="275" t="str">
        <x:v>状态判定</x:v>
      </x:c>
      <x:c r="G113" s="275" t="str">
        <x:v>XQ08 行动转译程度</x:v>
      </x:c>
      <x:c r="H113" s="275" t="str">
        <x:v>高行动转译</x:v>
      </x:c>
      <x:c r="I113" s="275" t="str">
        <x:v>正财、偏财、正官或七杀有效且有根；或食伤生财、财生官杀路径成立。</x:v>
      </x:c>
      <x:c r="J113" s="275" t="str">
        <x:v>基础十神或状态未定；只存在同一source_id重复；真合化会改变关键通道但尚未路由。</x:v>
      </x:c>
      <x:c r="K113" s="275" t="str">
        <x:v>不限定；由共享基础引擎与M3-STATE修正</x:v>
      </x:c>
      <x:c r="L113" s="275" t="str">
        <x:v>不限定；M3-EXPR不以夫妻星为唯一主轴</x:v>
      </x:c>
      <x:c r="M113" s="275" t="str">
        <x:v>由M3-BASE、日支结构及共享引擎提供</x:v>
      </x:c>
      <x:c r="N113" s="275" t="str">
        <x:v>无／待表达路径规则组合</x:v>
      </x:c>
      <x:c r="O113" s="275" t="str">
        <x:v>全局有效信号；日柱及亲密关系近位优先</x:v>
      </x:c>
      <x:c r="P113" s="275" t="str">
        <x:v>由共享基础引擎判定</x:v>
      </x:c>
      <x:c r="Q113" s="275" t="str">
        <x:v>由共享基础引擎判定</x:v>
      </x:c>
      <x:c r="R113" s="275" t="str">
        <x:v>喜忌不直接等于会不会表达；只修正调用顺畅度与强度</x:v>
      </x:c>
      <x:c r="S113" s="275" t="str">
        <x:v>原十神性质有效；真合化成立时按化神路由</x:v>
      </x:c>
      <x:c r="T113" s="275" t="str">
        <x:v>由共享基础引擎判定</x:v>
      </x:c>
      <x:c r="U113" s="275" t="str">
        <x:v>81</x:v>
      </x:c>
      <x:c r="V113" s="275" t="str">
        <x:v>action_translation +8</x:v>
      </x:c>
      <x:c r="W113" s="275" t="str">
        <x:v>action_translation</x:v>
      </x:c>
      <x:c r="X113" s="275" t="str">
        <x:v>语言、情绪和意图较容易转化为具体行动、安排或承担。</x:v>
      </x:c>
      <x:c r="Y113" s="275" t="str">
        <x:v>你表达完以后，通常会继续用行动、安排或兑现来让态度落地。</x:v>
      </x:c>
      <x:c r="Z113" s="275" t="str">
        <x:v>不得把该过程维度直接解释为沟通能力高低、情绪成熟度、依恋类型或关系结果。</x:v>
      </x:c>
      <x:c r="AA113" s="275" t="str">
        <x:v>中高</x:v>
      </x:c>
      <x:c r="AB113" s="275" t="str">
        <x:v>待验证</x:v>
      </x:c>
      <x:c r="AC113" s="275" t="str"/>
      <x:c r="AD113" s="275" t="str">
        <x:v>provisional=true; dimension=XQ08; state=高行动转译</x:v>
      </x:c>
      <x:c r="AE113" s="276" t="str">
        <x:v>0.3</x:v>
      </x:c>
    </x:row>
    <x:row r="114">
      <x:c r="A114" s="273" t="str">
        <x:v>M3-EXPR-110</x:v>
      </x:c>
      <x:c r="B114" s="274" t="str">
        <x:v>XQ08 行动转译程度｜语言—行动桥接</x:v>
      </x:c>
      <x:c r="C114" s="275" t="str">
        <x:v>L4 沟通顺序与回应</x:v>
      </x:c>
      <x:c r="D114" s="275" t="str">
        <x:v>EXPR-过程维度</x:v>
      </x:c>
      <x:c r="E114" s="275" t="str">
        <x:v>通用</x:v>
      </x:c>
      <x:c r="F114" s="275" t="str">
        <x:v>状态判定</x:v>
      </x:c>
      <x:c r="G114" s="275" t="str">
        <x:v>XQ08 行动转译程度</x:v>
      </x:c>
      <x:c r="H114" s="275" t="str">
        <x:v>语言—行动桥接</x:v>
      </x:c>
      <x:c r="I114" s="275" t="str">
        <x:v>食伤与财星形成有效桥，且两端均可用。</x:v>
      </x:c>
      <x:c r="J114" s="275" t="str">
        <x:v>基础十神或状态未定；只存在同一source_id重复；真合化会改变关键通道但尚未路由。</x:v>
      </x:c>
      <x:c r="K114" s="275" t="str">
        <x:v>不限定；由共享基础引擎与M3-STATE修正</x:v>
      </x:c>
      <x:c r="L114" s="275" t="str">
        <x:v>不限定；M3-EXPR不以夫妻星为唯一主轴</x:v>
      </x:c>
      <x:c r="M114" s="275" t="str">
        <x:v>由M3-BASE、日支结构及共享引擎提供</x:v>
      </x:c>
      <x:c r="N114" s="275" t="str">
        <x:v>无／待表达路径规则组合</x:v>
      </x:c>
      <x:c r="O114" s="275" t="str">
        <x:v>全局有效信号；日柱及亲密关系近位优先</x:v>
      </x:c>
      <x:c r="P114" s="275" t="str">
        <x:v>由共享基础引擎判定</x:v>
      </x:c>
      <x:c r="Q114" s="275" t="str">
        <x:v>由共享基础引擎判定</x:v>
      </x:c>
      <x:c r="R114" s="275" t="str">
        <x:v>喜忌不直接等于会不会表达；只修正调用顺畅度与强度</x:v>
      </x:c>
      <x:c r="S114" s="275" t="str">
        <x:v>原十神性质有效；真合化成立时按化神路由</x:v>
      </x:c>
      <x:c r="T114" s="275" t="str">
        <x:v>由共享基础引擎判定</x:v>
      </x:c>
      <x:c r="U114" s="275" t="str">
        <x:v>80</x:v>
      </x:c>
      <x:c r="V114" s="275" t="str">
        <x:v>action_translation +7</x:v>
      </x:c>
      <x:c r="W114" s="275" t="str">
        <x:v>action_translation</x:v>
      </x:c>
      <x:c r="X114" s="275" t="str">
        <x:v>先说明再落实，或行动后回到语言解释，形成双向互证。</x:v>
      </x:c>
      <x:c r="Y114" s="275" t="str">
        <x:v>你较容易把“说清楚”和“做出来”连接在一起，让对方既听得到，也看得到。</x:v>
      </x:c>
      <x:c r="Z114" s="275" t="str">
        <x:v>不得把该过程维度直接解释为沟通能力高低、情绪成熟度、依恋类型或关系结果。</x:v>
      </x:c>
      <x:c r="AA114" s="275" t="str">
        <x:v>中高</x:v>
      </x:c>
      <x:c r="AB114" s="275" t="str">
        <x:v>待验证</x:v>
      </x:c>
      <x:c r="AC114" s="275" t="str"/>
      <x:c r="AD114" s="275" t="str">
        <x:v>provisional=true; dimension=XQ08; state=语言—行动桥接</x:v>
      </x:c>
      <x:c r="AE114" s="276" t="str">
        <x:v>0.3</x:v>
      </x:c>
    </x:row>
    <x:row r="115">
      <x:c r="A115" s="273" t="str">
        <x:v>M3-EXPR-111</x:v>
      </x:c>
      <x:c r="B115" s="274" t="str">
        <x:v>XQ08 行动转译程度｜语言／内化为主</x:v>
      </x:c>
      <x:c r="C115" s="275" t="str">
        <x:v>L4 沟通顺序与回应</x:v>
      </x:c>
      <x:c r="D115" s="275" t="str">
        <x:v>EXPR-过程维度</x:v>
      </x:c>
      <x:c r="E115" s="275" t="str">
        <x:v>通用</x:v>
      </x:c>
      <x:c r="F115" s="275" t="str">
        <x:v>状态判定</x:v>
      </x:c>
      <x:c r="G115" s="275" t="str">
        <x:v>XQ08 行动转译程度</x:v>
      </x:c>
      <x:c r="H115" s="275" t="str">
        <x:v>语言／内化为主</x:v>
      </x:c>
      <x:c r="I115" s="275" t="str">
        <x:v>食伤或印类通道有效，但财官行动桥弱。</x:v>
      </x:c>
      <x:c r="J115" s="275" t="str">
        <x:v>基础十神或状态未定；只存在同一source_id重复；真合化会改变关键通道但尚未路由。</x:v>
      </x:c>
      <x:c r="K115" s="275" t="str">
        <x:v>不限定；由共享基础引擎与M3-STATE修正</x:v>
      </x:c>
      <x:c r="L115" s="275" t="str">
        <x:v>不限定；M3-EXPR不以夫妻星为唯一主轴</x:v>
      </x:c>
      <x:c r="M115" s="275" t="str">
        <x:v>由M3-BASE、日支结构及共享引擎提供</x:v>
      </x:c>
      <x:c r="N115" s="275" t="str">
        <x:v>无／待表达路径规则组合</x:v>
      </x:c>
      <x:c r="O115" s="275" t="str">
        <x:v>全局有效信号；日柱及亲密关系近位优先</x:v>
      </x:c>
      <x:c r="P115" s="275" t="str">
        <x:v>由共享基础引擎判定</x:v>
      </x:c>
      <x:c r="Q115" s="275" t="str">
        <x:v>由共享基础引擎判定</x:v>
      </x:c>
      <x:c r="R115" s="275" t="str">
        <x:v>喜忌不直接等于会不会表达；只修正调用顺畅度与强度</x:v>
      </x:c>
      <x:c r="S115" s="275" t="str">
        <x:v>原十神性质有效；真合化成立时按化神路由</x:v>
      </x:c>
      <x:c r="T115" s="275" t="str">
        <x:v>由共享基础引擎判定</x:v>
      </x:c>
      <x:c r="U115" s="275" t="str">
        <x:v>79</x:v>
      </x:c>
      <x:c r="V115" s="275" t="str">
        <x:v>action_translation 行动不加分</x:v>
      </x:c>
      <x:c r="W115" s="275" t="str">
        <x:v>action_translation</x:v>
      </x:c>
      <x:c r="X115" s="275" t="str">
        <x:v>表达主要通过说明、倾听或内部确认完成，行动转译不宜过度推断。</x:v>
      </x:c>
      <x:c r="Y115" s="275" t="str">
        <x:v>你的表达重点更可能是说清、听懂或形成内在理解；是否进一步转成持续行动，需要另外判断。</x:v>
      </x:c>
      <x:c r="Z115" s="275" t="str">
        <x:v>不得把该过程维度直接解释为沟通能力高低、情绪成熟度、依恋类型或关系结果。</x:v>
      </x:c>
      <x:c r="AA115" s="275" t="str">
        <x:v>中</x:v>
      </x:c>
      <x:c r="AB115" s="275" t="str">
        <x:v>待验证</x:v>
      </x:c>
      <x:c r="AC115" s="275" t="str"/>
      <x:c r="AD115" s="275" t="str">
        <x:v>provisional=true; dimension=XQ08; state=语言／内化为主</x:v>
      </x:c>
      <x:c r="AE115" s="276" t="str">
        <x:v>0.3</x:v>
      </x:c>
    </x:row>
    <x:row r="116">
      <x:c r="A116" s="273" t="str">
        <x:v>M3-EXPR-112</x:v>
      </x:c>
      <x:c r="B116" s="274" t="str">
        <x:v>XQ08 行动转译程度｜未决</x:v>
      </x:c>
      <x:c r="C116" s="275" t="str">
        <x:v>L4 沟通顺序与回应</x:v>
      </x:c>
      <x:c r="D116" s="275" t="str">
        <x:v>EXPR-过程维度</x:v>
      </x:c>
      <x:c r="E116" s="275" t="str">
        <x:v>通用</x:v>
      </x:c>
      <x:c r="F116" s="275" t="str">
        <x:v>停止</x:v>
      </x:c>
      <x:c r="G116" s="275" t="str">
        <x:v>XQ08 行动转译程度</x:v>
      </x:c>
      <x:c r="H116" s="275" t="str">
        <x:v>未决</x:v>
      </x:c>
      <x:c r="I116" s="275" t="str">
        <x:v>行动链、根气或强弱状态未定。</x:v>
      </x:c>
      <x:c r="J116" s="275" t="str">
        <x:v>基础十神或状态未定；只存在同一source_id重复；真合化会改变关键通道但尚未路由。</x:v>
      </x:c>
      <x:c r="K116" s="275" t="str">
        <x:v>不限定；由共享基础引擎与M3-STATE修正</x:v>
      </x:c>
      <x:c r="L116" s="275" t="str">
        <x:v>不限定；M3-EXPR不以夫妻星为唯一主轴</x:v>
      </x:c>
      <x:c r="M116" s="275" t="str">
        <x:v>由M3-BASE、日支结构及共享引擎提供</x:v>
      </x:c>
      <x:c r="N116" s="275" t="str">
        <x:v>无／待表达路径规则组合</x:v>
      </x:c>
      <x:c r="O116" s="275" t="str">
        <x:v>全局有效信号；日柱及亲密关系近位优先</x:v>
      </x:c>
      <x:c r="P116" s="275" t="str">
        <x:v>由共享基础引擎判定</x:v>
      </x:c>
      <x:c r="Q116" s="275" t="str">
        <x:v>由共享基础引擎判定</x:v>
      </x:c>
      <x:c r="R116" s="275" t="str">
        <x:v>喜忌不直接等于会不会表达；只修正调用顺畅度与强度</x:v>
      </x:c>
      <x:c r="S116" s="275" t="str">
        <x:v>原十神性质有效；真合化成立时按化神路由</x:v>
      </x:c>
      <x:c r="T116" s="275" t="str">
        <x:v>由共享基础引擎判定</x:v>
      </x:c>
      <x:c r="U116" s="275" t="str">
        <x:v>78</x:v>
      </x:c>
      <x:c r="V116" s="275" t="str">
        <x:v>action_translation 停止</x:v>
      </x:c>
      <x:c r="W116" s="275" t="str">
        <x:v>action_translation</x:v>
      </x:c>
      <x:c r="X116" s="275" t="str">
        <x:v>不判断行动转译程度。</x:v>
      </x:c>
      <x:c r="Y116" s="275" t="str">
        <x:v>目前不足以确定你的表达是否会稳定转成行动。</x:v>
      </x:c>
      <x:c r="Z116" s="275" t="str">
        <x:v>不得把该过程维度直接解释为沟通能力高低、情绪成熟度、依恋类型或关系结果。</x:v>
      </x:c>
      <x:c r="AA116" s="275" t="str">
        <x:v>停止</x:v>
      </x:c>
      <x:c r="AB116" s="275" t="str">
        <x:v>待验证</x:v>
      </x:c>
      <x:c r="AC116" s="275" t="str"/>
      <x:c r="AD116" s="275" t="str">
        <x:v>provisional=true; dimension=XQ08; state=未决</x:v>
      </x:c>
      <x:c r="AE116" s="276" t="str">
        <x:v>0.3</x:v>
      </x:c>
    </x:row>
    <x:row r="117">
      <x:c r="A117" s="273" t="str">
        <x:v>M3-EXPR-113</x:v>
      </x:c>
      <x:c r="B117" s="274" t="str">
        <x:v>XP01 直接说清型｜路径定义</x:v>
      </x:c>
      <x:c r="C117" s="275" t="str">
        <x:v>L4 沟通顺序与回应</x:v>
      </x:c>
      <x:c r="D117" s="275" t="str">
        <x:v>EXPR-表达路径</x:v>
      </x:c>
      <x:c r="E117" s="275" t="str">
        <x:v>通用</x:v>
      </x:c>
      <x:c r="F117" s="275" t="str">
        <x:v>路径候选</x:v>
      </x:c>
      <x:c r="G117" s="275" t="str">
        <x:v>XP01 直接说清型</x:v>
      </x:c>
      <x:c r="H117" s="275" t="str">
        <x:v>伤官／比肩为主，食神或正官提供结构；近位透干有根优先</x:v>
      </x:c>
      <x:c r="I117" s="275" t="str">
        <x:v>伤官／比肩为主，食神或正官提供结构；近位透干有根优先；至少两类相互支持证据或一项高权威近位证据加一项状态验证；路径中关键节点均有效。</x:v>
      </x:c>
      <x:c r="J117" s="275" t="str">
        <x:v>只有单一透干无根；表达信号仅在远位；印类内化明显占优且没有外化桥。</x:v>
      </x:c>
      <x:c r="K117" s="275" t="str">
        <x:v>不限定；由共享基础引擎与M3-STATE修正</x:v>
      </x:c>
      <x:c r="L117" s="275" t="str">
        <x:v>不限定；M3-EXPR不以夫妻星为唯一主轴</x:v>
      </x:c>
      <x:c r="M117" s="275" t="str">
        <x:v>由M3-BASE、日支结构及共享引擎提供</x:v>
      </x:c>
      <x:c r="N117" s="275" t="str">
        <x:v>感受到问题或需要 → 较早组织语言 → 说明观点、感受或请求 → 根据回应继续澄清</x:v>
      </x:c>
      <x:c r="O117" s="275" t="str">
        <x:v>全局有效信号；日柱及亲密关系近位优先</x:v>
      </x:c>
      <x:c r="P117" s="275" t="str">
        <x:v>由共享基础引擎判定</x:v>
      </x:c>
      <x:c r="Q117" s="275" t="str">
        <x:v>由共享基础引擎判定</x:v>
      </x:c>
      <x:c r="R117" s="275" t="str">
        <x:v>喜忌不直接等于会不会表达；只修正调用顺畅度与强度</x:v>
      </x:c>
      <x:c r="S117" s="275" t="str">
        <x:v>原十神性质有效；真合化成立时按化神路由</x:v>
      </x:c>
      <x:c r="T117" s="275" t="str">
        <x:v>由共享基础引擎判定</x:v>
      </x:c>
      <x:c r="U117" s="275" t="str">
        <x:v>88</x:v>
      </x:c>
      <x:c r="V117" s="275" t="str">
        <x:v>XP01路径 +18</x:v>
      </x:c>
      <x:c r="W117" s="275" t="str">
        <x:v>expression_path</x:v>
      </x:c>
      <x:c r="X117" s="275" t="str">
        <x:v>直接说清型的基本顺序为：感受到问题或需要 → 较早组织语言 → 说明观点、感受或请求 → 根据回应继续澄清。该路径描述平稳或一般关系情境的沟通顺序，不直接代表冲突和修复。</x:v>
      </x:c>
      <x:c r="Y117" s="275" t="str">
        <x:v>当你觉得事情需要被理解时，通常会比较早把重点说出来，并通过补充、解释或提问让双方真正听懂。</x:v>
      </x:c>
      <x:c r="Z117" s="275" t="str">
        <x:v>不得把沟通顺序解释为沟通能力高低、感情深浅、依恋类型或必然结果；不得把候选路径当作所有场景固定流程。</x:v>
      </x:c>
      <x:c r="AA117" s="275" t="str">
        <x:v>中</x:v>
      </x:c>
      <x:c r="AB117" s="275" t="str">
        <x:v>待验证</x:v>
      </x:c>
      <x:c r="AC117" s="275" t="str"/>
      <x:c r="AD117" s="275" t="str">
        <x:v>provisional=true; path=XP01; facet=definition</x:v>
      </x:c>
      <x:c r="AE117" s="276" t="str">
        <x:v>0.3</x:v>
      </x:c>
    </x:row>
    <x:row r="118">
      <x:c r="A118" s="273" t="str">
        <x:v>M3-EXPR-114</x:v>
      </x:c>
      <x:c r="B118" s="274" t="str">
        <x:v>XP01 直接说清型｜成立证据门槛</x:v>
      </x:c>
      <x:c r="C118" s="275" t="str">
        <x:v>L4 沟通顺序与回应</x:v>
      </x:c>
      <x:c r="D118" s="275" t="str">
        <x:v>EXPR-表达路径</x:v>
      </x:c>
      <x:c r="E118" s="275" t="str">
        <x:v>通用</x:v>
      </x:c>
      <x:c r="F118" s="275" t="str">
        <x:v>门控</x:v>
      </x:c>
      <x:c r="G118" s="275" t="str">
        <x:v>XP01 直接说清型</x:v>
      </x:c>
      <x:c r="H118" s="275" t="str">
        <x:v>证据独立性＋节点有效性</x:v>
      </x:c>
      <x:c r="I118" s="275" t="str">
        <x:v>路径主节点与终点分别有有效证据；至少一个信号来自日支／近位，另一个来自透干、根气、有效流向或独立功能系统。</x:v>
      </x:c>
      <x:c r="J118" s="275" t="str">
        <x:v>只有单一透干无根；表达信号仅在远位；印类内化明显占优且没有外化桥。 同一来源被重复计为多个节点。</x:v>
      </x:c>
      <x:c r="K118" s="275" t="str">
        <x:v>不限定；由共享基础引擎与M3-STATE修正</x:v>
      </x:c>
      <x:c r="L118" s="275" t="str">
        <x:v>不限定；M3-EXPR不以夫妻星为唯一主轴</x:v>
      </x:c>
      <x:c r="M118" s="275" t="str">
        <x:v>由M3-BASE、日支结构及共享引擎提供</x:v>
      </x:c>
      <x:c r="N118" s="275" t="str">
        <x:v>感受到问题或需要 → 较早组织语言 → 说明观点、感受或请求 → 根据回应继续澄清</x:v>
      </x:c>
      <x:c r="O118" s="275" t="str">
        <x:v>全局有效信号；日柱及亲密关系近位优先</x:v>
      </x:c>
      <x:c r="P118" s="275" t="str">
        <x:v>由共享基础引擎判定</x:v>
      </x:c>
      <x:c r="Q118" s="275" t="str">
        <x:v>由共享基础引擎判定</x:v>
      </x:c>
      <x:c r="R118" s="275" t="str">
        <x:v>喜忌不直接等于会不会表达；只修正调用顺畅度与强度</x:v>
      </x:c>
      <x:c r="S118" s="275" t="str">
        <x:v>原十神性质有效；真合化成立时按化神路由</x:v>
      </x:c>
      <x:c r="T118" s="275" t="str">
        <x:v>由共享基础引擎判定</x:v>
      </x:c>
      <x:c r="U118" s="275" t="str">
        <x:v>96</x:v>
      </x:c>
      <x:c r="V118" s="275" t="str">
        <x:v>路径证据门槛；不单独加分</x:v>
      </x:c>
      <x:c r="W118" s="275" t="str">
        <x:v>expression_path／confidence</x:v>
      </x:c>
      <x:c r="X118" s="275" t="str">
        <x:v>路径必须有“起点—转换—输出”结构。伤官／比肩为主，食神或正官提供结构；近位透干有根优先只提供候选，若中间桥梁不存在，则退回单通道描述。</x:v>
      </x:c>
      <x:c r="Y118" s="275" t="str">
        <x:v>只有当这套表达顺序在命盘中有连续支持时，才会把你概括为“直接说清型”；否则只保留其中最明确的一步。</x:v>
      </x:c>
      <x:c r="Z118" s="275" t="str">
        <x:v>不得仅凭五行相生、柱位先后或十神同时出现就制造现实时间线。</x:v>
      </x:c>
      <x:c r="AA118" s="275" t="str">
        <x:v>高</x:v>
      </x:c>
      <x:c r="AB118" s="275" t="str">
        <x:v>待验证</x:v>
      </x:c>
      <x:c r="AC118" s="275" t="str"/>
      <x:c r="AD118" s="275" t="str">
        <x:v>provisional=true; path=XP01; facet=evidence_gate</x:v>
      </x:c>
      <x:c r="AE118" s="276" t="str">
        <x:v>0.3</x:v>
      </x:c>
    </x:row>
    <x:row r="119">
      <x:c r="A119" s="273" t="str">
        <x:v>M3-EXPR-115</x:v>
      </x:c>
      <x:c r="B119" s="274" t="str">
        <x:v>XP01 直接说清型｜用户输出与边界</x:v>
      </x:c>
      <x:c r="C119" s="275" t="str">
        <x:v>L7 总合成与边界审查</x:v>
      </x:c>
      <x:c r="D119" s="275" t="str">
        <x:v>EXPR-表达路径</x:v>
      </x:c>
      <x:c r="E119" s="275" t="str">
        <x:v>通用</x:v>
      </x:c>
      <x:c r="F119" s="275" t="str">
        <x:v>输出</x:v>
      </x:c>
      <x:c r="G119" s="275" t="str">
        <x:v>XP01 直接说清型</x:v>
      </x:c>
      <x:c r="H119" s="275" t="str">
        <x:v>用户可见时序</x:v>
      </x:c>
      <x:c r="I119" s="275" t="str">
        <x:v>XP01已成为主路径或有效次路径；未被同义收敛、停止或M3-STATE改写。</x:v>
      </x:c>
      <x:c r="J119" s="275" t="str">
        <x:v>XP01仅为低分候选、证据同源或状态依赖未复核。</x:v>
      </x:c>
      <x:c r="K119" s="275" t="str">
        <x:v>不限定；由共享基础引擎与M3-STATE修正</x:v>
      </x:c>
      <x:c r="L119" s="275" t="str">
        <x:v>不限定；M3-EXPR不以夫妻星为唯一主轴</x:v>
      </x:c>
      <x:c r="M119" s="275" t="str">
        <x:v>由M3-BASE、日支结构及共享引擎提供</x:v>
      </x:c>
      <x:c r="N119" s="275" t="str">
        <x:v>感受到问题或需要 → 较早组织语言 → 说明观点、感受或请求 → 根据回应继续澄清</x:v>
      </x:c>
      <x:c r="O119" s="275" t="str">
        <x:v>全局有效信号；日柱及亲密关系近位优先</x:v>
      </x:c>
      <x:c r="P119" s="275" t="str">
        <x:v>由共享基础引擎判定</x:v>
      </x:c>
      <x:c r="Q119" s="275" t="str">
        <x:v>由共享基础引擎判定</x:v>
      </x:c>
      <x:c r="R119" s="275" t="str">
        <x:v>喜忌不直接等于会不会表达；只修正调用顺畅度与强度</x:v>
      </x:c>
      <x:c r="S119" s="275" t="str">
        <x:v>原十神性质有效；真合化成立时按化神路由</x:v>
      </x:c>
      <x:c r="T119" s="275" t="str">
        <x:v>由共享基础引擎判定</x:v>
      </x:c>
      <x:c r="U119" s="275" t="str">
        <x:v>68</x:v>
      </x:c>
      <x:c r="V119" s="275" t="str">
        <x:v>不加分</x:v>
      </x:c>
      <x:c r="W119" s="275" t="str">
        <x:v>communication_style／expression_timing</x:v>
      </x:c>
      <x:c r="X119" s="275" t="str">
        <x:v>最终文案只保留路径中的一至三步：感受到问题或需要 → 较早组织语言 → 说明观点、感受或请求 → 根据回应继续澄清，并明确这是更常见的顺序而非固定剧本。</x:v>
      </x:c>
      <x:c r="Y119" s="275" t="str">
        <x:v>当你觉得事情需要被理解时，通常会比较早把重点说出来，并通过补充、解释或提问让双方真正听懂。</x:v>
      </x:c>
      <x:c r="Z119" s="275" t="str">
        <x:v>正文不得堆叠超过一条主路径和一条次路径；不得写成“你一定先A再B”。</x:v>
      </x:c>
      <x:c r="AA119" s="275" t="str">
        <x:v>中</x:v>
      </x:c>
      <x:c r="AB119" s="275" t="str">
        <x:v>待验证</x:v>
      </x:c>
      <x:c r="AC119" s="275" t="str"/>
      <x:c r="AD119" s="275" t="str">
        <x:v>provisional=true; path=XP01; facet=output</x:v>
      </x:c>
      <x:c r="AE119" s="276" t="str">
        <x:v>0.3</x:v>
      </x:c>
    </x:row>
    <x:row r="120">
      <x:c r="A120" s="273" t="str">
        <x:v>M3-EXPR-116</x:v>
      </x:c>
      <x:c r="B120" s="274" t="str">
        <x:v>XP02 温和铺垫型｜路径定义</x:v>
      </x:c>
      <x:c r="C120" s="275" t="str">
        <x:v>L4 沟通顺序与回应</x:v>
      </x:c>
      <x:c r="D120" s="275" t="str">
        <x:v>EXPR-表达路径</x:v>
      </x:c>
      <x:c r="E120" s="275" t="str">
        <x:v>通用</x:v>
      </x:c>
      <x:c r="F120" s="275" t="str">
        <x:v>路径候选</x:v>
      </x:c>
      <x:c r="G120" s="275" t="str">
        <x:v>XP02 温和铺垫型</x:v>
      </x:c>
      <x:c r="H120" s="275" t="str">
        <x:v>食神为主，正印、偏财或正财提供氛围与现实承接</x:v>
      </x:c>
      <x:c r="I120" s="275" t="str">
        <x:v>食神为主，正印、偏财或正财提供氛围与现实承接；至少两类相互支持证据或一项高权威近位证据加一项状态验证；路径中关键节点均有效。</x:v>
      </x:c>
      <x:c r="J120" s="275" t="str">
        <x:v>食神弱远无根；伤官、七杀等直接启动信号明显压倒且无食神支持。</x:v>
      </x:c>
      <x:c r="K120" s="275" t="str">
        <x:v>不限定；由共享基础引擎与M3-STATE修正</x:v>
      </x:c>
      <x:c r="L120" s="275" t="str">
        <x:v>不限定；M3-EXPR不以夫妻星为唯一主轴</x:v>
      </x:c>
      <x:c r="M120" s="275" t="str">
        <x:v>由M3-BASE、日支结构及共享引擎提供</x:v>
      </x:c>
      <x:c r="N120" s="275" t="str">
        <x:v>先创造安全或轻松氛围 → 通过日常分享和铺垫表达 → 再逐步进入核心需要</x:v>
      </x:c>
      <x:c r="O120" s="275" t="str">
        <x:v>全局有效信号；日柱及亲密关系近位优先</x:v>
      </x:c>
      <x:c r="P120" s="275" t="str">
        <x:v>由共享基础引擎判定</x:v>
      </x:c>
      <x:c r="Q120" s="275" t="str">
        <x:v>由共享基础引擎判定</x:v>
      </x:c>
      <x:c r="R120" s="275" t="str">
        <x:v>喜忌不直接等于会不会表达；只修正调用顺畅度与强度</x:v>
      </x:c>
      <x:c r="S120" s="275" t="str">
        <x:v>原十神性质有效；真合化成立时按化神路由</x:v>
      </x:c>
      <x:c r="T120" s="275" t="str">
        <x:v>由共享基础引擎判定</x:v>
      </x:c>
      <x:c r="U120" s="275" t="str">
        <x:v>88</x:v>
      </x:c>
      <x:c r="V120" s="275" t="str">
        <x:v>XP02路径 +18</x:v>
      </x:c>
      <x:c r="W120" s="275" t="str">
        <x:v>expression_path</x:v>
      </x:c>
      <x:c r="X120" s="275" t="str">
        <x:v>温和铺垫型的基本顺序为：先创造安全或轻松氛围 → 通过日常分享和铺垫表达 → 再逐步进入核心需要。该路径描述平稳或一般关系情境的沟通顺序，不直接代表冲突和修复。</x:v>
      </x:c>
      <x:c r="Y120" s="275" t="str">
        <x:v>你更容易先让气氛变得舒服、可交流，再逐步说到真正的感受和需要。</x:v>
      </x:c>
      <x:c r="Z120" s="275" t="str">
        <x:v>不得把沟通顺序解释为沟通能力高低、感情深浅、依恋类型或必然结果；不得把候选路径当作所有场景固定流程。</x:v>
      </x:c>
      <x:c r="AA120" s="275" t="str">
        <x:v>中</x:v>
      </x:c>
      <x:c r="AB120" s="275" t="str">
        <x:v>待验证</x:v>
      </x:c>
      <x:c r="AC120" s="275" t="str"/>
      <x:c r="AD120" s="275" t="str">
        <x:v>provisional=true; path=XP02; facet=definition</x:v>
      </x:c>
      <x:c r="AE120" s="276" t="str">
        <x:v>0.3</x:v>
      </x:c>
    </x:row>
    <x:row r="121">
      <x:c r="A121" s="273" t="str">
        <x:v>M3-EXPR-117</x:v>
      </x:c>
      <x:c r="B121" s="274" t="str">
        <x:v>XP02 温和铺垫型｜成立证据门槛</x:v>
      </x:c>
      <x:c r="C121" s="275" t="str">
        <x:v>L4 沟通顺序与回应</x:v>
      </x:c>
      <x:c r="D121" s="275" t="str">
        <x:v>EXPR-表达路径</x:v>
      </x:c>
      <x:c r="E121" s="275" t="str">
        <x:v>通用</x:v>
      </x:c>
      <x:c r="F121" s="275" t="str">
        <x:v>门控</x:v>
      </x:c>
      <x:c r="G121" s="275" t="str">
        <x:v>XP02 温和铺垫型</x:v>
      </x:c>
      <x:c r="H121" s="275" t="str">
        <x:v>证据独立性＋节点有效性</x:v>
      </x:c>
      <x:c r="I121" s="275" t="str">
        <x:v>路径主节点与终点分别有有效证据；至少一个信号来自日支／近位，另一个来自透干、根气、有效流向或独立功能系统。</x:v>
      </x:c>
      <x:c r="J121" s="275" t="str">
        <x:v>食神弱远无根；伤官、七杀等直接启动信号明显压倒且无食神支持。 同一来源被重复计为多个节点。</x:v>
      </x:c>
      <x:c r="K121" s="275" t="str">
        <x:v>不限定；由共享基础引擎与M3-STATE修正</x:v>
      </x:c>
      <x:c r="L121" s="275" t="str">
        <x:v>不限定；M3-EXPR不以夫妻星为唯一主轴</x:v>
      </x:c>
      <x:c r="M121" s="275" t="str">
        <x:v>由M3-BASE、日支结构及共享引擎提供</x:v>
      </x:c>
      <x:c r="N121" s="275" t="str">
        <x:v>先创造安全或轻松氛围 → 通过日常分享和铺垫表达 → 再逐步进入核心需要</x:v>
      </x:c>
      <x:c r="O121" s="275" t="str">
        <x:v>全局有效信号；日柱及亲密关系近位优先</x:v>
      </x:c>
      <x:c r="P121" s="275" t="str">
        <x:v>由共享基础引擎判定</x:v>
      </x:c>
      <x:c r="Q121" s="275" t="str">
        <x:v>由共享基础引擎判定</x:v>
      </x:c>
      <x:c r="R121" s="275" t="str">
        <x:v>喜忌不直接等于会不会表达；只修正调用顺畅度与强度</x:v>
      </x:c>
      <x:c r="S121" s="275" t="str">
        <x:v>原十神性质有效；真合化成立时按化神路由</x:v>
      </x:c>
      <x:c r="T121" s="275" t="str">
        <x:v>由共享基础引擎判定</x:v>
      </x:c>
      <x:c r="U121" s="275" t="str">
        <x:v>96</x:v>
      </x:c>
      <x:c r="V121" s="275" t="str">
        <x:v>路径证据门槛；不单独加分</x:v>
      </x:c>
      <x:c r="W121" s="275" t="str">
        <x:v>expression_path／confidence</x:v>
      </x:c>
      <x:c r="X121" s="275" t="str">
        <x:v>路径必须有“起点—转换—输出”结构。食神为主，正印、偏财或正财提供氛围与现实承接只提供候选，若中间桥梁不存在，则退回单通道描述。</x:v>
      </x:c>
      <x:c r="Y121" s="275" t="str">
        <x:v>只有当这套表达顺序在命盘中有连续支持时，才会把你概括为“温和铺垫型”；否则只保留其中最明确的一步。</x:v>
      </x:c>
      <x:c r="Z121" s="275" t="str">
        <x:v>不得仅凭五行相生、柱位先后或十神同时出现就制造现实时间线。</x:v>
      </x:c>
      <x:c r="AA121" s="275" t="str">
        <x:v>高</x:v>
      </x:c>
      <x:c r="AB121" s="275" t="str">
        <x:v>待验证</x:v>
      </x:c>
      <x:c r="AC121" s="275" t="str"/>
      <x:c r="AD121" s="275" t="str">
        <x:v>provisional=true; path=XP02; facet=evidence_gate</x:v>
      </x:c>
      <x:c r="AE121" s="276" t="str">
        <x:v>0.3</x:v>
      </x:c>
    </x:row>
    <x:row r="122">
      <x:c r="A122" s="273" t="str">
        <x:v>M3-EXPR-118</x:v>
      </x:c>
      <x:c r="B122" s="274" t="str">
        <x:v>XP02 温和铺垫型｜用户输出与边界</x:v>
      </x:c>
      <x:c r="C122" s="275" t="str">
        <x:v>L7 总合成与边界审查</x:v>
      </x:c>
      <x:c r="D122" s="275" t="str">
        <x:v>EXPR-表达路径</x:v>
      </x:c>
      <x:c r="E122" s="275" t="str">
        <x:v>通用</x:v>
      </x:c>
      <x:c r="F122" s="275" t="str">
        <x:v>输出</x:v>
      </x:c>
      <x:c r="G122" s="275" t="str">
        <x:v>XP02 温和铺垫型</x:v>
      </x:c>
      <x:c r="H122" s="275" t="str">
        <x:v>用户可见时序</x:v>
      </x:c>
      <x:c r="I122" s="275" t="str">
        <x:v>XP02已成为主路径或有效次路径；未被同义收敛、停止或M3-STATE改写。</x:v>
      </x:c>
      <x:c r="J122" s="275" t="str">
        <x:v>XP02仅为低分候选、证据同源或状态依赖未复核。</x:v>
      </x:c>
      <x:c r="K122" s="275" t="str">
        <x:v>不限定；由共享基础引擎与M3-STATE修正</x:v>
      </x:c>
      <x:c r="L122" s="275" t="str">
        <x:v>不限定；M3-EXPR不以夫妻星为唯一主轴</x:v>
      </x:c>
      <x:c r="M122" s="275" t="str">
        <x:v>由M3-BASE、日支结构及共享引擎提供</x:v>
      </x:c>
      <x:c r="N122" s="275" t="str">
        <x:v>先创造安全或轻松氛围 → 通过日常分享和铺垫表达 → 再逐步进入核心需要</x:v>
      </x:c>
      <x:c r="O122" s="275" t="str">
        <x:v>全局有效信号；日柱及亲密关系近位优先</x:v>
      </x:c>
      <x:c r="P122" s="275" t="str">
        <x:v>由共享基础引擎判定</x:v>
      </x:c>
      <x:c r="Q122" s="275" t="str">
        <x:v>由共享基础引擎判定</x:v>
      </x:c>
      <x:c r="R122" s="275" t="str">
        <x:v>喜忌不直接等于会不会表达；只修正调用顺畅度与强度</x:v>
      </x:c>
      <x:c r="S122" s="275" t="str">
        <x:v>原十神性质有效；真合化成立时按化神路由</x:v>
      </x:c>
      <x:c r="T122" s="275" t="str">
        <x:v>由共享基础引擎判定</x:v>
      </x:c>
      <x:c r="U122" s="275" t="str">
        <x:v>68</x:v>
      </x:c>
      <x:c r="V122" s="275" t="str">
        <x:v>不加分</x:v>
      </x:c>
      <x:c r="W122" s="275" t="str">
        <x:v>communication_style／expression_timing</x:v>
      </x:c>
      <x:c r="X122" s="275" t="str">
        <x:v>最终文案只保留路径中的一至三步：先创造安全或轻松氛围 → 通过日常分享和铺垫表达 → 再逐步进入核心需要，并明确这是更常见的顺序而非固定剧本。</x:v>
      </x:c>
      <x:c r="Y122" s="275" t="str">
        <x:v>你更容易先让气氛变得舒服、可交流，再逐步说到真正的感受和需要。</x:v>
      </x:c>
      <x:c r="Z122" s="275" t="str">
        <x:v>正文不得堆叠超过一条主路径和一条次路径；不得写成“你一定先A再B”。</x:v>
      </x:c>
      <x:c r="AA122" s="275" t="str">
        <x:v>中</x:v>
      </x:c>
      <x:c r="AB122" s="275" t="str">
        <x:v>待验证</x:v>
      </x:c>
      <x:c r="AC122" s="275" t="str"/>
      <x:c r="AD122" s="275" t="str">
        <x:v>provisional=true; path=XP02; facet=output</x:v>
      </x:c>
      <x:c r="AE122" s="276" t="str">
        <x:v>0.3</x:v>
      </x:c>
    </x:row>
    <x:row r="123">
      <x:c r="A123" s="273" t="str">
        <x:v>M3-EXPR-119</x:v>
      </x:c>
      <x:c r="B123" s="274" t="str">
        <x:v>XP03 先整理后说型｜路径定义</x:v>
      </x:c>
      <x:c r="C123" s="275" t="str">
        <x:v>L4 沟通顺序与回应</x:v>
      </x:c>
      <x:c r="D123" s="275" t="str">
        <x:v>EXPR-表达路径</x:v>
      </x:c>
      <x:c r="E123" s="275" t="str">
        <x:v>通用</x:v>
      </x:c>
      <x:c r="F123" s="275" t="str">
        <x:v>路径候选</x:v>
      </x:c>
      <x:c r="G123" s="275" t="str">
        <x:v>XP03 先整理后说型</x:v>
      </x:c>
      <x:c r="H123" s="275" t="str">
        <x:v>正印／偏印主导，存在印→比劫→食伤或印→食伤的有效桥</x:v>
      </x:c>
      <x:c r="I123" s="275" t="str">
        <x:v>正印／偏印主导，存在印→比劫→食伤或印→食伤的有效桥；至少两类相互支持证据或一项高权威近位证据加一项状态验证；路径中关键节点均有效。</x:v>
      </x:c>
      <x:c r="J123" s="275" t="str">
        <x:v>印星只弱远无根；没有任何外化桥；此时只能输出“内化候选”，不能断最终会说出。</x:v>
      </x:c>
      <x:c r="K123" s="275" t="str">
        <x:v>不限定；由共享基础引擎与M3-STATE修正</x:v>
      </x:c>
      <x:c r="L123" s="275" t="str">
        <x:v>不限定；M3-EXPR不以夫妻星为唯一主轴</x:v>
      </x:c>
      <x:c r="M123" s="275" t="str">
        <x:v>由M3-BASE、日支结构及共享引擎提供</x:v>
      </x:c>
      <x:c r="N123" s="275" t="str">
        <x:v>先内部辨认感受与原因 → 确认安全和立场 → 选择合适语言外化</x:v>
      </x:c>
      <x:c r="O123" s="275" t="str">
        <x:v>全局有效信号；日柱及亲密关系近位优先</x:v>
      </x:c>
      <x:c r="P123" s="275" t="str">
        <x:v>由共享基础引擎判定</x:v>
      </x:c>
      <x:c r="Q123" s="275" t="str">
        <x:v>由共享基础引擎判定</x:v>
      </x:c>
      <x:c r="R123" s="275" t="str">
        <x:v>喜忌不直接等于会不会表达；只修正调用顺畅度与强度</x:v>
      </x:c>
      <x:c r="S123" s="275" t="str">
        <x:v>原十神性质有效；真合化成立时按化神路由</x:v>
      </x:c>
      <x:c r="T123" s="275" t="str">
        <x:v>由共享基础引擎判定</x:v>
      </x:c>
      <x:c r="U123" s="275" t="str">
        <x:v>88</x:v>
      </x:c>
      <x:c r="V123" s="275" t="str">
        <x:v>XP03路径 +18</x:v>
      </x:c>
      <x:c r="W123" s="275" t="str">
        <x:v>expression_path</x:v>
      </x:c>
      <x:c r="X123" s="275" t="str">
        <x:v>先整理后说型的基本顺序为：先内部辨认感受与原因 → 确认安全和立场 → 选择合适语言外化。该路径描述平稳或一般关系情境的沟通顺序，不直接代表冲突和修复。</x:v>
      </x:c>
      <x:c r="Y123" s="275" t="str">
        <x:v>你通常需要先想清楚自己真正的感受和判断，等内在有了答案后，才更愿意完整表达。</x:v>
      </x:c>
      <x:c r="Z123" s="275" t="str">
        <x:v>不得把沟通顺序解释为沟通能力高低、感情深浅、依恋类型或必然结果；不得把候选路径当作所有场景固定流程。</x:v>
      </x:c>
      <x:c r="AA123" s="275" t="str">
        <x:v>中</x:v>
      </x:c>
      <x:c r="AB123" s="275" t="str">
        <x:v>待验证</x:v>
      </x:c>
      <x:c r="AC123" s="275" t="str"/>
      <x:c r="AD123" s="275" t="str">
        <x:v>provisional=true; path=XP03; facet=definition</x:v>
      </x:c>
      <x:c r="AE123" s="276" t="str">
        <x:v>0.3</x:v>
      </x:c>
    </x:row>
    <x:row r="124">
      <x:c r="A124" s="273" t="str">
        <x:v>M3-EXPR-120</x:v>
      </x:c>
      <x:c r="B124" s="274" t="str">
        <x:v>XP03 先整理后说型｜成立证据门槛</x:v>
      </x:c>
      <x:c r="C124" s="275" t="str">
        <x:v>L4 沟通顺序与回应</x:v>
      </x:c>
      <x:c r="D124" s="275" t="str">
        <x:v>EXPR-表达路径</x:v>
      </x:c>
      <x:c r="E124" s="275" t="str">
        <x:v>通用</x:v>
      </x:c>
      <x:c r="F124" s="275" t="str">
        <x:v>门控</x:v>
      </x:c>
      <x:c r="G124" s="275" t="str">
        <x:v>XP03 先整理后说型</x:v>
      </x:c>
      <x:c r="H124" s="275" t="str">
        <x:v>证据独立性＋节点有效性</x:v>
      </x:c>
      <x:c r="I124" s="275" t="str">
        <x:v>路径主节点与终点分别有有效证据；至少一个信号来自日支／近位，另一个来自透干、根气、有效流向或独立功能系统。</x:v>
      </x:c>
      <x:c r="J124" s="275" t="str">
        <x:v>印星只弱远无根；没有任何外化桥；此时只能输出“内化候选”，不能断最终会说出。 同一来源被重复计为多个节点。</x:v>
      </x:c>
      <x:c r="K124" s="275" t="str">
        <x:v>不限定；由共享基础引擎与M3-STATE修正</x:v>
      </x:c>
      <x:c r="L124" s="275" t="str">
        <x:v>不限定；M3-EXPR不以夫妻星为唯一主轴</x:v>
      </x:c>
      <x:c r="M124" s="275" t="str">
        <x:v>由M3-BASE、日支结构及共享引擎提供</x:v>
      </x:c>
      <x:c r="N124" s="275" t="str">
        <x:v>先内部辨认感受与原因 → 确认安全和立场 → 选择合适语言外化</x:v>
      </x:c>
      <x:c r="O124" s="275" t="str">
        <x:v>全局有效信号；日柱及亲密关系近位优先</x:v>
      </x:c>
      <x:c r="P124" s="275" t="str">
        <x:v>由共享基础引擎判定</x:v>
      </x:c>
      <x:c r="Q124" s="275" t="str">
        <x:v>由共享基础引擎判定</x:v>
      </x:c>
      <x:c r="R124" s="275" t="str">
        <x:v>喜忌不直接等于会不会表达；只修正调用顺畅度与强度</x:v>
      </x:c>
      <x:c r="S124" s="275" t="str">
        <x:v>原十神性质有效；真合化成立时按化神路由</x:v>
      </x:c>
      <x:c r="T124" s="275" t="str">
        <x:v>由共享基础引擎判定</x:v>
      </x:c>
      <x:c r="U124" s="275" t="str">
        <x:v>96</x:v>
      </x:c>
      <x:c r="V124" s="275" t="str">
        <x:v>路径证据门槛；不单独加分</x:v>
      </x:c>
      <x:c r="W124" s="275" t="str">
        <x:v>expression_path／confidence</x:v>
      </x:c>
      <x:c r="X124" s="275" t="str">
        <x:v>路径必须有“起点—转换—输出”结构。正印／偏印主导，存在印→比劫→食伤或印→食伤的有效桥只提供候选，若中间桥梁不存在，则退回单通道描述。</x:v>
      </x:c>
      <x:c r="Y124" s="275" t="str">
        <x:v>只有当这套表达顺序在命盘中有连续支持时，才会把你概括为“先整理后说型”；否则只保留其中最明确的一步。</x:v>
      </x:c>
      <x:c r="Z124" s="275" t="str">
        <x:v>不得仅凭五行相生、柱位先后或十神同时出现就制造现实时间线。</x:v>
      </x:c>
      <x:c r="AA124" s="275" t="str">
        <x:v>高</x:v>
      </x:c>
      <x:c r="AB124" s="275" t="str">
        <x:v>待验证</x:v>
      </x:c>
      <x:c r="AC124" s="275" t="str"/>
      <x:c r="AD124" s="275" t="str">
        <x:v>provisional=true; path=XP03; facet=evidence_gate</x:v>
      </x:c>
      <x:c r="AE124" s="276" t="str">
        <x:v>0.3</x:v>
      </x:c>
    </x:row>
    <x:row r="125">
      <x:c r="A125" s="273" t="str">
        <x:v>M3-EXPR-121</x:v>
      </x:c>
      <x:c r="B125" s="274" t="str">
        <x:v>XP03 先整理后说型｜用户输出与边界</x:v>
      </x:c>
      <x:c r="C125" s="275" t="str">
        <x:v>L7 总合成与边界审查</x:v>
      </x:c>
      <x:c r="D125" s="275" t="str">
        <x:v>EXPR-表达路径</x:v>
      </x:c>
      <x:c r="E125" s="275" t="str">
        <x:v>通用</x:v>
      </x:c>
      <x:c r="F125" s="275" t="str">
        <x:v>输出</x:v>
      </x:c>
      <x:c r="G125" s="275" t="str">
        <x:v>XP03 先整理后说型</x:v>
      </x:c>
      <x:c r="H125" s="275" t="str">
        <x:v>用户可见时序</x:v>
      </x:c>
      <x:c r="I125" s="275" t="str">
        <x:v>XP03已成为主路径或有效次路径；未被同义收敛、停止或M3-STATE改写。</x:v>
      </x:c>
      <x:c r="J125" s="275" t="str">
        <x:v>XP03仅为低分候选、证据同源或状态依赖未复核。</x:v>
      </x:c>
      <x:c r="K125" s="275" t="str">
        <x:v>不限定；由共享基础引擎与M3-STATE修正</x:v>
      </x:c>
      <x:c r="L125" s="275" t="str">
        <x:v>不限定；M3-EXPR不以夫妻星为唯一主轴</x:v>
      </x:c>
      <x:c r="M125" s="275" t="str">
        <x:v>由M3-BASE、日支结构及共享引擎提供</x:v>
      </x:c>
      <x:c r="N125" s="275" t="str">
        <x:v>先内部辨认感受与原因 → 确认安全和立场 → 选择合适语言外化</x:v>
      </x:c>
      <x:c r="O125" s="275" t="str">
        <x:v>全局有效信号；日柱及亲密关系近位优先</x:v>
      </x:c>
      <x:c r="P125" s="275" t="str">
        <x:v>由共享基础引擎判定</x:v>
      </x:c>
      <x:c r="Q125" s="275" t="str">
        <x:v>由共享基础引擎判定</x:v>
      </x:c>
      <x:c r="R125" s="275" t="str">
        <x:v>喜忌不直接等于会不会表达；只修正调用顺畅度与强度</x:v>
      </x:c>
      <x:c r="S125" s="275" t="str">
        <x:v>原十神性质有效；真合化成立时按化神路由</x:v>
      </x:c>
      <x:c r="T125" s="275" t="str">
        <x:v>由共享基础引擎判定</x:v>
      </x:c>
      <x:c r="U125" s="275" t="str">
        <x:v>68</x:v>
      </x:c>
      <x:c r="V125" s="275" t="str">
        <x:v>不加分</x:v>
      </x:c>
      <x:c r="W125" s="275" t="str">
        <x:v>communication_style／expression_timing</x:v>
      </x:c>
      <x:c r="X125" s="275" t="str">
        <x:v>最终文案只保留路径中的一至三步：先内部辨认感受与原因 → 确认安全和立场 → 选择合适语言外化，并明确这是更常见的顺序而非固定剧本。</x:v>
      </x:c>
      <x:c r="Y125" s="275" t="str">
        <x:v>你通常需要先想清楚自己真正的感受和判断，等内在有了答案后，才更愿意完整表达。</x:v>
      </x:c>
      <x:c r="Z125" s="275" t="str">
        <x:v>正文不得堆叠超过一条主路径和一条次路径；不得写成“你一定先A再B”。</x:v>
      </x:c>
      <x:c r="AA125" s="275" t="str">
        <x:v>中</x:v>
      </x:c>
      <x:c r="AB125" s="275" t="str">
        <x:v>待验证</x:v>
      </x:c>
      <x:c r="AC125" s="275" t="str"/>
      <x:c r="AD125" s="275" t="str">
        <x:v>provisional=true; path=XP03; facet=output</x:v>
      </x:c>
      <x:c r="AE125" s="276" t="str">
        <x:v>0.3</x:v>
      </x:c>
    </x:row>
    <x:row r="126">
      <x:c r="A126" s="273" t="str">
        <x:v>M3-EXPR-122</x:v>
      </x:c>
      <x:c r="B126" s="274" t="str">
        <x:v>XP04 先立场后说明型｜路径定义</x:v>
      </x:c>
      <x:c r="C126" s="275" t="str">
        <x:v>L4 沟通顺序与回应</x:v>
      </x:c>
      <x:c r="D126" s="275" t="str">
        <x:v>EXPR-表达路径</x:v>
      </x:c>
      <x:c r="E126" s="275" t="str">
        <x:v>通用</x:v>
      </x:c>
      <x:c r="F126" s="275" t="str">
        <x:v>路径候选</x:v>
      </x:c>
      <x:c r="G126" s="275" t="str">
        <x:v>XP04 先立场后说明型</x:v>
      </x:c>
      <x:c r="H126" s="275" t="str">
        <x:v>比肩／劫财先形成自我位置，再由食神／伤官完成表达</x:v>
      </x:c>
      <x:c r="I126" s="275" t="str">
        <x:v>比肩／劫财先形成自我位置，再由食神／伤官完成表达；至少两类相互支持证据或一项高权威近位证据加一项状态验证；路径中关键节点均有效。</x:v>
      </x:c>
      <x:c r="J126" s="275" t="str">
        <x:v>比劫过弱且无支持；只有伤官单一信号；边界执行仍需BOUND复核。</x:v>
      </x:c>
      <x:c r="K126" s="275" t="str">
        <x:v>不限定；由共享基础引擎与M3-STATE修正</x:v>
      </x:c>
      <x:c r="L126" s="275" t="str">
        <x:v>不限定；M3-EXPR不以夫妻星为唯一主轴</x:v>
      </x:c>
      <x:c r="M126" s="275" t="str">
        <x:v>由M3-BASE、日支结构及共享引擎提供</x:v>
      </x:c>
      <x:c r="N126" s="275" t="str">
        <x:v>先确认自己接受什么、不接受什么 → 再解释原因和具体需要 → 进入协商</x:v>
      </x:c>
      <x:c r="O126" s="275" t="str">
        <x:v>全局有效信号；日柱及亲密关系近位优先</x:v>
      </x:c>
      <x:c r="P126" s="275" t="str">
        <x:v>由共享基础引擎判定</x:v>
      </x:c>
      <x:c r="Q126" s="275" t="str">
        <x:v>由共享基础引擎判定</x:v>
      </x:c>
      <x:c r="R126" s="275" t="str">
        <x:v>喜忌不直接等于会不会表达；只修正调用顺畅度与强度</x:v>
      </x:c>
      <x:c r="S126" s="275" t="str">
        <x:v>原十神性质有效；真合化成立时按化神路由</x:v>
      </x:c>
      <x:c r="T126" s="275" t="str">
        <x:v>由共享基础引擎判定</x:v>
      </x:c>
      <x:c r="U126" s="275" t="str">
        <x:v>88</x:v>
      </x:c>
      <x:c r="V126" s="275" t="str">
        <x:v>XP04路径 +18</x:v>
      </x:c>
      <x:c r="W126" s="275" t="str">
        <x:v>expression_path</x:v>
      </x:c>
      <x:c r="X126" s="275" t="str">
        <x:v>先立场后说明型的基本顺序为：先确认自己接受什么、不接受什么 → 再解释原因和具体需要 → 进入协商。该路径描述平稳或一般关系情境的沟通顺序，不直接代表冲突和修复。</x:v>
      </x:c>
      <x:c r="Y126" s="275" t="str">
        <x:v>你更容易先确认自己的立场和边界，再把原因、条件和可以商量的部分说清楚。</x:v>
      </x:c>
      <x:c r="Z126" s="275" t="str">
        <x:v>不得把沟通顺序解释为沟通能力高低、感情深浅、依恋类型或必然结果；不得把候选路径当作所有场景固定流程。</x:v>
      </x:c>
      <x:c r="AA126" s="275" t="str">
        <x:v>中</x:v>
      </x:c>
      <x:c r="AB126" s="275" t="str">
        <x:v>待验证</x:v>
      </x:c>
      <x:c r="AC126" s="275" t="str"/>
      <x:c r="AD126" s="275" t="str">
        <x:v>provisional=true; path=XP04; facet=definition</x:v>
      </x:c>
      <x:c r="AE126" s="276" t="str">
        <x:v>0.3</x:v>
      </x:c>
    </x:row>
    <x:row r="127">
      <x:c r="A127" s="273" t="str">
        <x:v>M3-EXPR-123</x:v>
      </x:c>
      <x:c r="B127" s="274" t="str">
        <x:v>XP04 先立场后说明型｜成立证据门槛</x:v>
      </x:c>
      <x:c r="C127" s="275" t="str">
        <x:v>L4 沟通顺序与回应</x:v>
      </x:c>
      <x:c r="D127" s="275" t="str">
        <x:v>EXPR-表达路径</x:v>
      </x:c>
      <x:c r="E127" s="275" t="str">
        <x:v>通用</x:v>
      </x:c>
      <x:c r="F127" s="275" t="str">
        <x:v>门控</x:v>
      </x:c>
      <x:c r="G127" s="275" t="str">
        <x:v>XP04 先立场后说明型</x:v>
      </x:c>
      <x:c r="H127" s="275" t="str">
        <x:v>证据独立性＋节点有效性</x:v>
      </x:c>
      <x:c r="I127" s="275" t="str">
        <x:v>路径主节点与终点分别有有效证据；至少一个信号来自日支／近位，另一个来自透干、根气、有效流向或独立功能系统。</x:v>
      </x:c>
      <x:c r="J127" s="275" t="str">
        <x:v>比劫过弱且无支持；只有伤官单一信号；边界执行仍需BOUND复核。 同一来源被重复计为多个节点。</x:v>
      </x:c>
      <x:c r="K127" s="275" t="str">
        <x:v>不限定；由共享基础引擎与M3-STATE修正</x:v>
      </x:c>
      <x:c r="L127" s="275" t="str">
        <x:v>不限定；M3-EXPR不以夫妻星为唯一主轴</x:v>
      </x:c>
      <x:c r="M127" s="275" t="str">
        <x:v>由M3-BASE、日支结构及共享引擎提供</x:v>
      </x:c>
      <x:c r="N127" s="275" t="str">
        <x:v>先确认自己接受什么、不接受什么 → 再解释原因和具体需要 → 进入协商</x:v>
      </x:c>
      <x:c r="O127" s="275" t="str">
        <x:v>全局有效信号；日柱及亲密关系近位优先</x:v>
      </x:c>
      <x:c r="P127" s="275" t="str">
        <x:v>由共享基础引擎判定</x:v>
      </x:c>
      <x:c r="Q127" s="275" t="str">
        <x:v>由共享基础引擎判定</x:v>
      </x:c>
      <x:c r="R127" s="275" t="str">
        <x:v>喜忌不直接等于会不会表达；只修正调用顺畅度与强度</x:v>
      </x:c>
      <x:c r="S127" s="275" t="str">
        <x:v>原十神性质有效；真合化成立时按化神路由</x:v>
      </x:c>
      <x:c r="T127" s="275" t="str">
        <x:v>由共享基础引擎判定</x:v>
      </x:c>
      <x:c r="U127" s="275" t="str">
        <x:v>96</x:v>
      </x:c>
      <x:c r="V127" s="275" t="str">
        <x:v>路径证据门槛；不单独加分</x:v>
      </x:c>
      <x:c r="W127" s="275" t="str">
        <x:v>expression_path／confidence</x:v>
      </x:c>
      <x:c r="X127" s="275" t="str">
        <x:v>路径必须有“起点—转换—输出”结构。比肩／劫财先形成自我位置，再由食神／伤官完成表达只提供候选，若中间桥梁不存在，则退回单通道描述。</x:v>
      </x:c>
      <x:c r="Y127" s="275" t="str">
        <x:v>只有当这套表达顺序在命盘中有连续支持时，才会把你概括为“先立场后说明型”；否则只保留其中最明确的一步。</x:v>
      </x:c>
      <x:c r="Z127" s="275" t="str">
        <x:v>不得仅凭五行相生、柱位先后或十神同时出现就制造现实时间线。</x:v>
      </x:c>
      <x:c r="AA127" s="275" t="str">
        <x:v>高</x:v>
      </x:c>
      <x:c r="AB127" s="275" t="str">
        <x:v>待验证</x:v>
      </x:c>
      <x:c r="AC127" s="275" t="str"/>
      <x:c r="AD127" s="275" t="str">
        <x:v>provisional=true; path=XP04; facet=evidence_gate</x:v>
      </x:c>
      <x:c r="AE127" s="276" t="str">
        <x:v>0.3</x:v>
      </x:c>
    </x:row>
    <x:row r="128">
      <x:c r="A128" s="273" t="str">
        <x:v>M3-EXPR-124</x:v>
      </x:c>
      <x:c r="B128" s="274" t="str">
        <x:v>XP04 先立场后说明型｜用户输出与边界</x:v>
      </x:c>
      <x:c r="C128" s="275" t="str">
        <x:v>L7 总合成与边界审查</x:v>
      </x:c>
      <x:c r="D128" s="275" t="str">
        <x:v>EXPR-表达路径</x:v>
      </x:c>
      <x:c r="E128" s="275" t="str">
        <x:v>通用</x:v>
      </x:c>
      <x:c r="F128" s="275" t="str">
        <x:v>输出</x:v>
      </x:c>
      <x:c r="G128" s="275" t="str">
        <x:v>XP04 先立场后说明型</x:v>
      </x:c>
      <x:c r="H128" s="275" t="str">
        <x:v>用户可见时序</x:v>
      </x:c>
      <x:c r="I128" s="275" t="str">
        <x:v>XP04已成为主路径或有效次路径；未被同义收敛、停止或M3-STATE改写。</x:v>
      </x:c>
      <x:c r="J128" s="275" t="str">
        <x:v>XP04仅为低分候选、证据同源或状态依赖未复核。</x:v>
      </x:c>
      <x:c r="K128" s="275" t="str">
        <x:v>不限定；由共享基础引擎与M3-STATE修正</x:v>
      </x:c>
      <x:c r="L128" s="275" t="str">
        <x:v>不限定；M3-EXPR不以夫妻星为唯一主轴</x:v>
      </x:c>
      <x:c r="M128" s="275" t="str">
        <x:v>由M3-BASE、日支结构及共享引擎提供</x:v>
      </x:c>
      <x:c r="N128" s="275" t="str">
        <x:v>先确认自己接受什么、不接受什么 → 再解释原因和具体需要 → 进入协商</x:v>
      </x:c>
      <x:c r="O128" s="275" t="str">
        <x:v>全局有效信号；日柱及亲密关系近位优先</x:v>
      </x:c>
      <x:c r="P128" s="275" t="str">
        <x:v>由共享基础引擎判定</x:v>
      </x:c>
      <x:c r="Q128" s="275" t="str">
        <x:v>由共享基础引擎判定</x:v>
      </x:c>
      <x:c r="R128" s="275" t="str">
        <x:v>喜忌不直接等于会不会表达；只修正调用顺畅度与强度</x:v>
      </x:c>
      <x:c r="S128" s="275" t="str">
        <x:v>原十神性质有效；真合化成立时按化神路由</x:v>
      </x:c>
      <x:c r="T128" s="275" t="str">
        <x:v>由共享基础引擎判定</x:v>
      </x:c>
      <x:c r="U128" s="275" t="str">
        <x:v>68</x:v>
      </x:c>
      <x:c r="V128" s="275" t="str">
        <x:v>不加分</x:v>
      </x:c>
      <x:c r="W128" s="275" t="str">
        <x:v>communication_style／expression_timing</x:v>
      </x:c>
      <x:c r="X128" s="275" t="str">
        <x:v>最终文案只保留路径中的一至三步：先确认自己接受什么、不接受什么 → 再解释原因和具体需要 → 进入协商，并明确这是更常见的顺序而非固定剧本。</x:v>
      </x:c>
      <x:c r="Y128" s="275" t="str">
        <x:v>你更容易先确认自己的立场和边界，再把原因、条件和可以商量的部分说清楚。</x:v>
      </x:c>
      <x:c r="Z128" s="275" t="str">
        <x:v>正文不得堆叠超过一条主路径和一条次路径；不得写成“你一定先A再B”。</x:v>
      </x:c>
      <x:c r="AA128" s="275" t="str">
        <x:v>中</x:v>
      </x:c>
      <x:c r="AB128" s="275" t="str">
        <x:v>待验证</x:v>
      </x:c>
      <x:c r="AC128" s="275" t="str"/>
      <x:c r="AD128" s="275" t="str">
        <x:v>provisional=true; path=XP04; facet=output</x:v>
      </x:c>
      <x:c r="AE128" s="276" t="str">
        <x:v>0.3</x:v>
      </x:c>
    </x:row>
    <x:row r="129">
      <x:c r="A129" s="273" t="str">
        <x:v>M3-EXPR-125</x:v>
      </x:c>
      <x:c r="B129" s="274" t="str">
        <x:v>XP05 先倾听后回应型｜路径定义</x:v>
      </x:c>
      <x:c r="C129" s="275" t="str">
        <x:v>L4 沟通顺序与回应</x:v>
      </x:c>
      <x:c r="D129" s="275" t="str">
        <x:v>EXPR-表达路径</x:v>
      </x:c>
      <x:c r="E129" s="275" t="str">
        <x:v>通用</x:v>
      </x:c>
      <x:c r="F129" s="275" t="str">
        <x:v>路径候选</x:v>
      </x:c>
      <x:c r="G129" s="275" t="str">
        <x:v>XP05 先倾听后回应型</x:v>
      </x:c>
      <x:c r="H129" s="275" t="str">
        <x:v>正印／偏印负责接收，食神／伤官／财星负责后续回应</x:v>
      </x:c>
      <x:c r="I129" s="275" t="str">
        <x:v>正印／偏印负责接收，食神／伤官／财星负责后续回应；至少两类相互支持证据或一项高权威近位证据加一项状态验证；路径中关键节点均有效。</x:v>
      </x:c>
      <x:c r="J129" s="275" t="str">
        <x:v>印星未形成有效接收通道；只有礼貌沉默但无后续回应证据；不得把沉默自动写成倾听。</x:v>
      </x:c>
      <x:c r="K129" s="275" t="str">
        <x:v>不限定；由共享基础引擎与M3-STATE修正</x:v>
      </x:c>
      <x:c r="L129" s="275" t="str">
        <x:v>不限定；M3-EXPR不以夫妻星为唯一主轴</x:v>
      </x:c>
      <x:c r="M129" s="275" t="str">
        <x:v>由M3-BASE、日支结构及共享引擎提供</x:v>
      </x:c>
      <x:c r="N129" s="275" t="str">
        <x:v>先让对方说完并理解其重点 → 内部整理 → 再用语言、行动或安排回应</x:v>
      </x:c>
      <x:c r="O129" s="275" t="str">
        <x:v>全局有效信号；日柱及亲密关系近位优先</x:v>
      </x:c>
      <x:c r="P129" s="275" t="str">
        <x:v>由共享基础引擎判定</x:v>
      </x:c>
      <x:c r="Q129" s="275" t="str">
        <x:v>由共享基础引擎判定</x:v>
      </x:c>
      <x:c r="R129" s="275" t="str">
        <x:v>喜忌不直接等于会不会表达；只修正调用顺畅度与强度</x:v>
      </x:c>
      <x:c r="S129" s="275" t="str">
        <x:v>原十神性质有效；真合化成立时按化神路由</x:v>
      </x:c>
      <x:c r="T129" s="275" t="str">
        <x:v>由共享基础引擎判定</x:v>
      </x:c>
      <x:c r="U129" s="275" t="str">
        <x:v>88</x:v>
      </x:c>
      <x:c r="V129" s="275" t="str">
        <x:v>XP05路径 +18</x:v>
      </x:c>
      <x:c r="W129" s="275" t="str">
        <x:v>expression_path</x:v>
      </x:c>
      <x:c r="X129" s="275" t="str">
        <x:v>先倾听后回应型的基本顺序为：先让对方说完并理解其重点 → 内部整理 → 再用语言、行动或安排回应。该路径描述平稳或一般关系情境的沟通顺序，不直接代表冲突和修复。</x:v>
      </x:c>
      <x:c r="Y129" s="275" t="str">
        <x:v>你通常会先听懂对方真正想表达什么，再决定是安慰、解释、商量还是直接做出回应。</x:v>
      </x:c>
      <x:c r="Z129" s="275" t="str">
        <x:v>不得把沟通顺序解释为沟通能力高低、感情深浅、依恋类型或必然结果；不得把候选路径当作所有场景固定流程。</x:v>
      </x:c>
      <x:c r="AA129" s="275" t="str">
        <x:v>中</x:v>
      </x:c>
      <x:c r="AB129" s="275" t="str">
        <x:v>待验证</x:v>
      </x:c>
      <x:c r="AC129" s="275" t="str"/>
      <x:c r="AD129" s="275" t="str">
        <x:v>provisional=true; path=XP05; facet=definition</x:v>
      </x:c>
      <x:c r="AE129" s="276" t="str">
        <x:v>0.3</x:v>
      </x:c>
    </x:row>
    <x:row r="130">
      <x:c r="A130" s="273" t="str">
        <x:v>M3-EXPR-126</x:v>
      </x:c>
      <x:c r="B130" s="274" t="str">
        <x:v>XP05 先倾听后回应型｜成立证据门槛</x:v>
      </x:c>
      <x:c r="C130" s="275" t="str">
        <x:v>L4 沟通顺序与回应</x:v>
      </x:c>
      <x:c r="D130" s="275" t="str">
        <x:v>EXPR-表达路径</x:v>
      </x:c>
      <x:c r="E130" s="275" t="str">
        <x:v>通用</x:v>
      </x:c>
      <x:c r="F130" s="275" t="str">
        <x:v>门控</x:v>
      </x:c>
      <x:c r="G130" s="275" t="str">
        <x:v>XP05 先倾听后回应型</x:v>
      </x:c>
      <x:c r="H130" s="275" t="str">
        <x:v>证据独立性＋节点有效性</x:v>
      </x:c>
      <x:c r="I130" s="275" t="str">
        <x:v>路径主节点与终点分别有有效证据；至少一个信号来自日支／近位，另一个来自透干、根气、有效流向或独立功能系统。</x:v>
      </x:c>
      <x:c r="J130" s="275" t="str">
        <x:v>印星未形成有效接收通道；只有礼貌沉默但无后续回应证据；不得把沉默自动写成倾听。 同一来源被重复计为多个节点。</x:v>
      </x:c>
      <x:c r="K130" s="275" t="str">
        <x:v>不限定；由共享基础引擎与M3-STATE修正</x:v>
      </x:c>
      <x:c r="L130" s="275" t="str">
        <x:v>不限定；M3-EXPR不以夫妻星为唯一主轴</x:v>
      </x:c>
      <x:c r="M130" s="275" t="str">
        <x:v>由M3-BASE、日支结构及共享引擎提供</x:v>
      </x:c>
      <x:c r="N130" s="275" t="str">
        <x:v>先让对方说完并理解其重点 → 内部整理 → 再用语言、行动或安排回应</x:v>
      </x:c>
      <x:c r="O130" s="275" t="str">
        <x:v>全局有效信号；日柱及亲密关系近位优先</x:v>
      </x:c>
      <x:c r="P130" s="275" t="str">
        <x:v>由共享基础引擎判定</x:v>
      </x:c>
      <x:c r="Q130" s="275" t="str">
        <x:v>由共享基础引擎判定</x:v>
      </x:c>
      <x:c r="R130" s="275" t="str">
        <x:v>喜忌不直接等于会不会表达；只修正调用顺畅度与强度</x:v>
      </x:c>
      <x:c r="S130" s="275" t="str">
        <x:v>原十神性质有效；真合化成立时按化神路由</x:v>
      </x:c>
      <x:c r="T130" s="275" t="str">
        <x:v>由共享基础引擎判定</x:v>
      </x:c>
      <x:c r="U130" s="275" t="str">
        <x:v>96</x:v>
      </x:c>
      <x:c r="V130" s="275" t="str">
        <x:v>路径证据门槛；不单独加分</x:v>
      </x:c>
      <x:c r="W130" s="275" t="str">
        <x:v>expression_path／confidence</x:v>
      </x:c>
      <x:c r="X130" s="275" t="str">
        <x:v>路径必须有“起点—转换—输出”结构。正印／偏印负责接收，食神／伤官／财星负责后续回应只提供候选，若中间桥梁不存在，则退回单通道描述。</x:v>
      </x:c>
      <x:c r="Y130" s="275" t="str">
        <x:v>只有当这套表达顺序在命盘中有连续支持时，才会把你概括为“先倾听后回应型”；否则只保留其中最明确的一步。</x:v>
      </x:c>
      <x:c r="Z130" s="275" t="str">
        <x:v>不得仅凭五行相生、柱位先后或十神同时出现就制造现实时间线。</x:v>
      </x:c>
      <x:c r="AA130" s="275" t="str">
        <x:v>高</x:v>
      </x:c>
      <x:c r="AB130" s="275" t="str">
        <x:v>待验证</x:v>
      </x:c>
      <x:c r="AC130" s="275" t="str"/>
      <x:c r="AD130" s="275" t="str">
        <x:v>provisional=true; path=XP05; facet=evidence_gate</x:v>
      </x:c>
      <x:c r="AE130" s="276" t="str">
        <x:v>0.3</x:v>
      </x:c>
    </x:row>
    <x:row r="131">
      <x:c r="A131" s="273" t="str">
        <x:v>M3-EXPR-127</x:v>
      </x:c>
      <x:c r="B131" s="274" t="str">
        <x:v>XP05 先倾听后回应型｜用户输出与边界</x:v>
      </x:c>
      <x:c r="C131" s="275" t="str">
        <x:v>L7 总合成与边界审查</x:v>
      </x:c>
      <x:c r="D131" s="275" t="str">
        <x:v>EXPR-表达路径</x:v>
      </x:c>
      <x:c r="E131" s="275" t="str">
        <x:v>通用</x:v>
      </x:c>
      <x:c r="F131" s="275" t="str">
        <x:v>输出</x:v>
      </x:c>
      <x:c r="G131" s="275" t="str">
        <x:v>XP05 先倾听后回应型</x:v>
      </x:c>
      <x:c r="H131" s="275" t="str">
        <x:v>用户可见时序</x:v>
      </x:c>
      <x:c r="I131" s="275" t="str">
        <x:v>XP05已成为主路径或有效次路径；未被同义收敛、停止或M3-STATE改写。</x:v>
      </x:c>
      <x:c r="J131" s="275" t="str">
        <x:v>XP05仅为低分候选、证据同源或状态依赖未复核。</x:v>
      </x:c>
      <x:c r="K131" s="275" t="str">
        <x:v>不限定；由共享基础引擎与M3-STATE修正</x:v>
      </x:c>
      <x:c r="L131" s="275" t="str">
        <x:v>不限定；M3-EXPR不以夫妻星为唯一主轴</x:v>
      </x:c>
      <x:c r="M131" s="275" t="str">
        <x:v>由M3-BASE、日支结构及共享引擎提供</x:v>
      </x:c>
      <x:c r="N131" s="275" t="str">
        <x:v>先让对方说完并理解其重点 → 内部整理 → 再用语言、行动或安排回应</x:v>
      </x:c>
      <x:c r="O131" s="275" t="str">
        <x:v>全局有效信号；日柱及亲密关系近位优先</x:v>
      </x:c>
      <x:c r="P131" s="275" t="str">
        <x:v>由共享基础引擎判定</x:v>
      </x:c>
      <x:c r="Q131" s="275" t="str">
        <x:v>由共享基础引擎判定</x:v>
      </x:c>
      <x:c r="R131" s="275" t="str">
        <x:v>喜忌不直接等于会不会表达；只修正调用顺畅度与强度</x:v>
      </x:c>
      <x:c r="S131" s="275" t="str">
        <x:v>原十神性质有效；真合化成立时按化神路由</x:v>
      </x:c>
      <x:c r="T131" s="275" t="str">
        <x:v>由共享基础引擎判定</x:v>
      </x:c>
      <x:c r="U131" s="275" t="str">
        <x:v>68</x:v>
      </x:c>
      <x:c r="V131" s="275" t="str">
        <x:v>不加分</x:v>
      </x:c>
      <x:c r="W131" s="275" t="str">
        <x:v>communication_style／expression_timing</x:v>
      </x:c>
      <x:c r="X131" s="275" t="str">
        <x:v>最终文案只保留路径中的一至三步：先让对方说完并理解其重点 → 内部整理 → 再用语言、行动或安排回应，并明确这是更常见的顺序而非固定剧本。</x:v>
      </x:c>
      <x:c r="Y131" s="275" t="str">
        <x:v>你通常会先听懂对方真正想表达什么，再决定是安慰、解释、商量还是直接做出回应。</x:v>
      </x:c>
      <x:c r="Z131" s="275" t="str">
        <x:v>正文不得堆叠超过一条主路径和一条次路径；不得写成“你一定先A再B”。</x:v>
      </x:c>
      <x:c r="AA131" s="275" t="str">
        <x:v>中</x:v>
      </x:c>
      <x:c r="AB131" s="275" t="str">
        <x:v>待验证</x:v>
      </x:c>
      <x:c r="AC131" s="275" t="str"/>
      <x:c r="AD131" s="275" t="str">
        <x:v>provisional=true; path=XP05; facet=output</x:v>
      </x:c>
      <x:c r="AE131" s="276" t="str">
        <x:v>0.3</x:v>
      </x:c>
    </x:row>
    <x:row r="132">
      <x:c r="A132" s="273" t="str">
        <x:v>M3-EXPR-128</x:v>
      </x:c>
      <x:c r="B132" s="274" t="str">
        <x:v>XP06 先行动后解释型｜路径定义</x:v>
      </x:c>
      <x:c r="C132" s="275" t="str">
        <x:v>L4 沟通顺序与回应</x:v>
      </x:c>
      <x:c r="D132" s="275" t="str">
        <x:v>EXPR-表达路径</x:v>
      </x:c>
      <x:c r="E132" s="275" t="str">
        <x:v>通用</x:v>
      </x:c>
      <x:c r="F132" s="275" t="str">
        <x:v>路径候选</x:v>
      </x:c>
      <x:c r="G132" s="275" t="str">
        <x:v>XP06 先行动后解释型</x:v>
      </x:c>
      <x:c r="H132" s="275" t="str">
        <x:v>正财／偏财／正官／七杀主导，后接食伤或印类解释桥</x:v>
      </x:c>
      <x:c r="I132" s="275" t="str">
        <x:v>正财／偏财／正官／七杀主导，后接食伤或印类解释桥；至少两类相互支持证据或一项高权威近位证据加一项状态验证；路径中关键节点均有效。</x:v>
      </x:c>
      <x:c r="J132" s="275" t="str">
        <x:v>财官杀仅一处弱远；没有后续语言或承接桥时，只能写行动表达，不能保证会解释。</x:v>
      </x:c>
      <x:c r="K132" s="275" t="str">
        <x:v>不限定；由共享基础引擎与M3-STATE修正</x:v>
      </x:c>
      <x:c r="L132" s="275" t="str">
        <x:v>不限定；M3-EXPR不以夫妻星为唯一主轴</x:v>
      </x:c>
      <x:c r="M132" s="275" t="str">
        <x:v>由M3-BASE、日支结构及共享引擎提供</x:v>
      </x:c>
      <x:c r="N132" s="275" t="str">
        <x:v>先处理现实问题、做出安排或提供支持 → 事情稳定后再说明态度和感受</x:v>
      </x:c>
      <x:c r="O132" s="275" t="str">
        <x:v>全局有效信号；日柱及亲密关系近位优先</x:v>
      </x:c>
      <x:c r="P132" s="275" t="str">
        <x:v>由共享基础引擎判定</x:v>
      </x:c>
      <x:c r="Q132" s="275" t="str">
        <x:v>由共享基础引擎判定</x:v>
      </x:c>
      <x:c r="R132" s="275" t="str">
        <x:v>喜忌不直接等于会不会表达；只修正调用顺畅度与强度</x:v>
      </x:c>
      <x:c r="S132" s="275" t="str">
        <x:v>原十神性质有效；真合化成立时按化神路由</x:v>
      </x:c>
      <x:c r="T132" s="275" t="str">
        <x:v>由共享基础引擎判定</x:v>
      </x:c>
      <x:c r="U132" s="275" t="str">
        <x:v>88</x:v>
      </x:c>
      <x:c r="V132" s="275" t="str">
        <x:v>XP06路径 +18</x:v>
      </x:c>
      <x:c r="W132" s="275" t="str">
        <x:v>expression_path</x:v>
      </x:c>
      <x:c r="X132" s="275" t="str">
        <x:v>先行动后解释型的基本顺序为：先处理现实问题、做出安排或提供支持 → 事情稳定后再说明态度和感受。该路径描述平稳或一般关系情境的沟通顺序，不直接代表冲突和修复。</x:v>
      </x:c>
      <x:c r="Y132" s="275" t="str">
        <x:v>你可能会先把事情处理好、先做出实际回应，等局面稳定后再解释自己为什么这样做。</x:v>
      </x:c>
      <x:c r="Z132" s="275" t="str">
        <x:v>不得把沟通顺序解释为沟通能力高低、感情深浅、依恋类型或必然结果；不得把候选路径当作所有场景固定流程。</x:v>
      </x:c>
      <x:c r="AA132" s="275" t="str">
        <x:v>中</x:v>
      </x:c>
      <x:c r="AB132" s="275" t="str">
        <x:v>待验证</x:v>
      </x:c>
      <x:c r="AC132" s="275" t="str"/>
      <x:c r="AD132" s="275" t="str">
        <x:v>provisional=true; path=XP06; facet=definition</x:v>
      </x:c>
      <x:c r="AE132" s="276" t="str">
        <x:v>0.3</x:v>
      </x:c>
    </x:row>
    <x:row r="133">
      <x:c r="A133" s="273" t="str">
        <x:v>M3-EXPR-129</x:v>
      </x:c>
      <x:c r="B133" s="274" t="str">
        <x:v>XP06 先行动后解释型｜成立证据门槛</x:v>
      </x:c>
      <x:c r="C133" s="275" t="str">
        <x:v>L4 沟通顺序与回应</x:v>
      </x:c>
      <x:c r="D133" s="275" t="str">
        <x:v>EXPR-表达路径</x:v>
      </x:c>
      <x:c r="E133" s="275" t="str">
        <x:v>通用</x:v>
      </x:c>
      <x:c r="F133" s="275" t="str">
        <x:v>门控</x:v>
      </x:c>
      <x:c r="G133" s="275" t="str">
        <x:v>XP06 先行动后解释型</x:v>
      </x:c>
      <x:c r="H133" s="275" t="str">
        <x:v>证据独立性＋节点有效性</x:v>
      </x:c>
      <x:c r="I133" s="275" t="str">
        <x:v>路径主节点与终点分别有有效证据；至少一个信号来自日支／近位，另一个来自透干、根气、有效流向或独立功能系统。</x:v>
      </x:c>
      <x:c r="J133" s="275" t="str">
        <x:v>财官杀仅一处弱远；没有后续语言或承接桥时，只能写行动表达，不能保证会解释。 同一来源被重复计为多个节点。</x:v>
      </x:c>
      <x:c r="K133" s="275" t="str">
        <x:v>不限定；由共享基础引擎与M3-STATE修正</x:v>
      </x:c>
      <x:c r="L133" s="275" t="str">
        <x:v>不限定；M3-EXPR不以夫妻星为唯一主轴</x:v>
      </x:c>
      <x:c r="M133" s="275" t="str">
        <x:v>由M3-BASE、日支结构及共享引擎提供</x:v>
      </x:c>
      <x:c r="N133" s="275" t="str">
        <x:v>先处理现实问题、做出安排或提供支持 → 事情稳定后再说明态度和感受</x:v>
      </x:c>
      <x:c r="O133" s="275" t="str">
        <x:v>全局有效信号；日柱及亲密关系近位优先</x:v>
      </x:c>
      <x:c r="P133" s="275" t="str">
        <x:v>由共享基础引擎判定</x:v>
      </x:c>
      <x:c r="Q133" s="275" t="str">
        <x:v>由共享基础引擎判定</x:v>
      </x:c>
      <x:c r="R133" s="275" t="str">
        <x:v>喜忌不直接等于会不会表达；只修正调用顺畅度与强度</x:v>
      </x:c>
      <x:c r="S133" s="275" t="str">
        <x:v>原十神性质有效；真合化成立时按化神路由</x:v>
      </x:c>
      <x:c r="T133" s="275" t="str">
        <x:v>由共享基础引擎判定</x:v>
      </x:c>
      <x:c r="U133" s="275" t="str">
        <x:v>96</x:v>
      </x:c>
      <x:c r="V133" s="275" t="str">
        <x:v>路径证据门槛；不单独加分</x:v>
      </x:c>
      <x:c r="W133" s="275" t="str">
        <x:v>expression_path／confidence</x:v>
      </x:c>
      <x:c r="X133" s="275" t="str">
        <x:v>路径必须有“起点—转换—输出”结构。正财／偏财／正官／七杀主导，后接食伤或印类解释桥只提供候选，若中间桥梁不存在，则退回单通道描述。</x:v>
      </x:c>
      <x:c r="Y133" s="275" t="str">
        <x:v>只有当这套表达顺序在命盘中有连续支持时，才会把你概括为“先行动后解释型”；否则只保留其中最明确的一步。</x:v>
      </x:c>
      <x:c r="Z133" s="275" t="str">
        <x:v>不得仅凭五行相生、柱位先后或十神同时出现就制造现实时间线。</x:v>
      </x:c>
      <x:c r="AA133" s="275" t="str">
        <x:v>高</x:v>
      </x:c>
      <x:c r="AB133" s="275" t="str">
        <x:v>待验证</x:v>
      </x:c>
      <x:c r="AC133" s="275" t="str"/>
      <x:c r="AD133" s="275" t="str">
        <x:v>provisional=true; path=XP06; facet=evidence_gate</x:v>
      </x:c>
      <x:c r="AE133" s="276" t="str">
        <x:v>0.3</x:v>
      </x:c>
    </x:row>
    <x:row r="134">
      <x:c r="A134" s="273" t="str">
        <x:v>M3-EXPR-130</x:v>
      </x:c>
      <x:c r="B134" s="274" t="str">
        <x:v>XP06 先行动后解释型｜用户输出与边界</x:v>
      </x:c>
      <x:c r="C134" s="275" t="str">
        <x:v>L7 总合成与边界审查</x:v>
      </x:c>
      <x:c r="D134" s="275" t="str">
        <x:v>EXPR-表达路径</x:v>
      </x:c>
      <x:c r="E134" s="275" t="str">
        <x:v>通用</x:v>
      </x:c>
      <x:c r="F134" s="275" t="str">
        <x:v>输出</x:v>
      </x:c>
      <x:c r="G134" s="275" t="str">
        <x:v>XP06 先行动后解释型</x:v>
      </x:c>
      <x:c r="H134" s="275" t="str">
        <x:v>用户可见时序</x:v>
      </x:c>
      <x:c r="I134" s="275" t="str">
        <x:v>XP06已成为主路径或有效次路径；未被同义收敛、停止或M3-STATE改写。</x:v>
      </x:c>
      <x:c r="J134" s="275" t="str">
        <x:v>XP06仅为低分候选、证据同源或状态依赖未复核。</x:v>
      </x:c>
      <x:c r="K134" s="275" t="str">
        <x:v>不限定；由共享基础引擎与M3-STATE修正</x:v>
      </x:c>
      <x:c r="L134" s="275" t="str">
        <x:v>不限定；M3-EXPR不以夫妻星为唯一主轴</x:v>
      </x:c>
      <x:c r="M134" s="275" t="str">
        <x:v>由M3-BASE、日支结构及共享引擎提供</x:v>
      </x:c>
      <x:c r="N134" s="275" t="str">
        <x:v>先处理现实问题、做出安排或提供支持 → 事情稳定后再说明态度和感受</x:v>
      </x:c>
      <x:c r="O134" s="275" t="str">
        <x:v>全局有效信号；日柱及亲密关系近位优先</x:v>
      </x:c>
      <x:c r="P134" s="275" t="str">
        <x:v>由共享基础引擎判定</x:v>
      </x:c>
      <x:c r="Q134" s="275" t="str">
        <x:v>由共享基础引擎判定</x:v>
      </x:c>
      <x:c r="R134" s="275" t="str">
        <x:v>喜忌不直接等于会不会表达；只修正调用顺畅度与强度</x:v>
      </x:c>
      <x:c r="S134" s="275" t="str">
        <x:v>原十神性质有效；真合化成立时按化神路由</x:v>
      </x:c>
      <x:c r="T134" s="275" t="str">
        <x:v>由共享基础引擎判定</x:v>
      </x:c>
      <x:c r="U134" s="275" t="str">
        <x:v>68</x:v>
      </x:c>
      <x:c r="V134" s="275" t="str">
        <x:v>不加分</x:v>
      </x:c>
      <x:c r="W134" s="275" t="str">
        <x:v>communication_style／expression_timing</x:v>
      </x:c>
      <x:c r="X134" s="275" t="str">
        <x:v>最终文案只保留路径中的一至三步：先处理现实问题、做出安排或提供支持 → 事情稳定后再说明态度和感受，并明确这是更常见的顺序而非固定剧本。</x:v>
      </x:c>
      <x:c r="Y134" s="275" t="str">
        <x:v>你可能会先把事情处理好、先做出实际回应，等局面稳定后再解释自己为什么这样做。</x:v>
      </x:c>
      <x:c r="Z134" s="275" t="str">
        <x:v>正文不得堆叠超过一条主路径和一条次路径；不得写成“你一定先A再B”。</x:v>
      </x:c>
      <x:c r="AA134" s="275" t="str">
        <x:v>中</x:v>
      </x:c>
      <x:c r="AB134" s="275" t="str">
        <x:v>待验证</x:v>
      </x:c>
      <x:c r="AC134" s="275" t="str"/>
      <x:c r="AD134" s="275" t="str">
        <x:v>provisional=true; path=XP06; facet=output</x:v>
      </x:c>
      <x:c r="AE134" s="276" t="str">
        <x:v>0.3</x:v>
      </x:c>
    </x:row>
    <x:row r="135">
      <x:c r="A135" s="273" t="str">
        <x:v>M3-EXPR-131</x:v>
      </x:c>
      <x:c r="B135" s="274" t="str">
        <x:v>XP07 先表达后落实型｜路径定义</x:v>
      </x:c>
      <x:c r="C135" s="275" t="str">
        <x:v>L4 沟通顺序与回应</x:v>
      </x:c>
      <x:c r="D135" s="275" t="str">
        <x:v>EXPR-表达路径</x:v>
      </x:c>
      <x:c r="E135" s="275" t="str">
        <x:v>通用</x:v>
      </x:c>
      <x:c r="F135" s="275" t="str">
        <x:v>路径候选</x:v>
      </x:c>
      <x:c r="G135" s="275" t="str">
        <x:v>XP07 先表达后落实型</x:v>
      </x:c>
      <x:c r="H135" s="275" t="str">
        <x:v>食神／伤官有效，并形成食伤→财或食伤→财→官杀的现实桥</x:v>
      </x:c>
      <x:c r="I135" s="275" t="str">
        <x:v>食神／伤官有效，并形成食伤→财或食伤→财→官杀的现实桥；至少两类相互支持证据或一项高权威近位证据加一项状态验证；路径中关键节点均有效。</x:v>
      </x:c>
      <x:c r="J135" s="275" t="str">
        <x:v>食伤与财星不连通；财星弱远无根；只有口头表达不能推出稳定落实。</x:v>
      </x:c>
      <x:c r="K135" s="275" t="str">
        <x:v>不限定；由共享基础引擎与M3-STATE修正</x:v>
      </x:c>
      <x:c r="L135" s="275" t="str">
        <x:v>不限定；M3-EXPR不以夫妻星为唯一主轴</x:v>
      </x:c>
      <x:c r="M135" s="275" t="str">
        <x:v>由M3-BASE、日支结构及共享引擎提供</x:v>
      </x:c>
      <x:c r="N135" s="275" t="str">
        <x:v>先说清感受、需要或计划 → 形成具体安排 → 通过持续行动或承担完成验证</x:v>
      </x:c>
      <x:c r="O135" s="275" t="str">
        <x:v>全局有效信号；日柱及亲密关系近位优先</x:v>
      </x:c>
      <x:c r="P135" s="275" t="str">
        <x:v>由共享基础引擎判定</x:v>
      </x:c>
      <x:c r="Q135" s="275" t="str">
        <x:v>由共享基础引擎判定</x:v>
      </x:c>
      <x:c r="R135" s="275" t="str">
        <x:v>喜忌不直接等于会不会表达；只修正调用顺畅度与强度</x:v>
      </x:c>
      <x:c r="S135" s="275" t="str">
        <x:v>原十神性质有效；真合化成立时按化神路由</x:v>
      </x:c>
      <x:c r="T135" s="275" t="str">
        <x:v>由共享基础引擎判定</x:v>
      </x:c>
      <x:c r="U135" s="275" t="str">
        <x:v>88</x:v>
      </x:c>
      <x:c r="V135" s="275" t="str">
        <x:v>XP07路径 +18</x:v>
      </x:c>
      <x:c r="W135" s="275" t="str">
        <x:v>expression_path</x:v>
      </x:c>
      <x:c r="X135" s="275" t="str">
        <x:v>先表达后落实型的基本顺序为：先说清感受、需要或计划 → 形成具体安排 → 通过持续行动或承担完成验证。该路径描述平稳或一般关系情境的沟通顺序，不直接代表冲突和修复。</x:v>
      </x:c>
      <x:c r="Y135" s="275" t="str">
        <x:v>你通常希望先把话说明白，再用行动、安排或兑现让表达真正落地。</x:v>
      </x:c>
      <x:c r="Z135" s="275" t="str">
        <x:v>不得把沟通顺序解释为沟通能力高低、感情深浅、依恋类型或必然结果；不得把候选路径当作所有场景固定流程。</x:v>
      </x:c>
      <x:c r="AA135" s="275" t="str">
        <x:v>中</x:v>
      </x:c>
      <x:c r="AB135" s="275" t="str">
        <x:v>待验证</x:v>
      </x:c>
      <x:c r="AC135" s="275" t="str"/>
      <x:c r="AD135" s="275" t="str">
        <x:v>provisional=true; path=XP07; facet=definition</x:v>
      </x:c>
      <x:c r="AE135" s="276" t="str">
        <x:v>0.3</x:v>
      </x:c>
    </x:row>
    <x:row r="136">
      <x:c r="A136" s="273" t="str">
        <x:v>M3-EXPR-132</x:v>
      </x:c>
      <x:c r="B136" s="274" t="str">
        <x:v>XP07 先表达后落实型｜成立证据门槛</x:v>
      </x:c>
      <x:c r="C136" s="275" t="str">
        <x:v>L4 沟通顺序与回应</x:v>
      </x:c>
      <x:c r="D136" s="275" t="str">
        <x:v>EXPR-表达路径</x:v>
      </x:c>
      <x:c r="E136" s="275" t="str">
        <x:v>通用</x:v>
      </x:c>
      <x:c r="F136" s="275" t="str">
        <x:v>门控</x:v>
      </x:c>
      <x:c r="G136" s="275" t="str">
        <x:v>XP07 先表达后落实型</x:v>
      </x:c>
      <x:c r="H136" s="275" t="str">
        <x:v>证据独立性＋节点有效性</x:v>
      </x:c>
      <x:c r="I136" s="275" t="str">
        <x:v>路径主节点与终点分别有有效证据；至少一个信号来自日支／近位，另一个来自透干、根气、有效流向或独立功能系统。</x:v>
      </x:c>
      <x:c r="J136" s="275" t="str">
        <x:v>食伤与财星不连通；财星弱远无根；只有口头表达不能推出稳定落实。 同一来源被重复计为多个节点。</x:v>
      </x:c>
      <x:c r="K136" s="275" t="str">
        <x:v>不限定；由共享基础引擎与M3-STATE修正</x:v>
      </x:c>
      <x:c r="L136" s="275" t="str">
        <x:v>不限定；M3-EXPR不以夫妻星为唯一主轴</x:v>
      </x:c>
      <x:c r="M136" s="275" t="str">
        <x:v>由M3-BASE、日支结构及共享引擎提供</x:v>
      </x:c>
      <x:c r="N136" s="275" t="str">
        <x:v>先说清感受、需要或计划 → 形成具体安排 → 通过持续行动或承担完成验证</x:v>
      </x:c>
      <x:c r="O136" s="275" t="str">
        <x:v>全局有效信号；日柱及亲密关系近位优先</x:v>
      </x:c>
      <x:c r="P136" s="275" t="str">
        <x:v>由共享基础引擎判定</x:v>
      </x:c>
      <x:c r="Q136" s="275" t="str">
        <x:v>由共享基础引擎判定</x:v>
      </x:c>
      <x:c r="R136" s="275" t="str">
        <x:v>喜忌不直接等于会不会表达；只修正调用顺畅度与强度</x:v>
      </x:c>
      <x:c r="S136" s="275" t="str">
        <x:v>原十神性质有效；真合化成立时按化神路由</x:v>
      </x:c>
      <x:c r="T136" s="275" t="str">
        <x:v>由共享基础引擎判定</x:v>
      </x:c>
      <x:c r="U136" s="275" t="str">
        <x:v>96</x:v>
      </x:c>
      <x:c r="V136" s="275" t="str">
        <x:v>路径证据门槛；不单独加分</x:v>
      </x:c>
      <x:c r="W136" s="275" t="str">
        <x:v>expression_path／confidence</x:v>
      </x:c>
      <x:c r="X136" s="275" t="str">
        <x:v>路径必须有“起点—转换—输出”结构。食神／伤官有效，并形成食伤→财或食伤→财→官杀的现实桥只提供候选，若中间桥梁不存在，则退回单通道描述。</x:v>
      </x:c>
      <x:c r="Y136" s="275" t="str">
        <x:v>只有当这套表达顺序在命盘中有连续支持时，才会把你概括为“先表达后落实型”；否则只保留其中最明确的一步。</x:v>
      </x:c>
      <x:c r="Z136" s="275" t="str">
        <x:v>不得仅凭五行相生、柱位先后或十神同时出现就制造现实时间线。</x:v>
      </x:c>
      <x:c r="AA136" s="275" t="str">
        <x:v>高</x:v>
      </x:c>
      <x:c r="AB136" s="275" t="str">
        <x:v>待验证</x:v>
      </x:c>
      <x:c r="AC136" s="275" t="str"/>
      <x:c r="AD136" s="275" t="str">
        <x:v>provisional=true; path=XP07; facet=evidence_gate</x:v>
      </x:c>
      <x:c r="AE136" s="276" t="str">
        <x:v>0.3</x:v>
      </x:c>
    </x:row>
    <x:row r="137">
      <x:c r="A137" s="273" t="str">
        <x:v>M3-EXPR-133</x:v>
      </x:c>
      <x:c r="B137" s="274" t="str">
        <x:v>XP07 先表达后落实型｜用户输出与边界</x:v>
      </x:c>
      <x:c r="C137" s="275" t="str">
        <x:v>L7 总合成与边界审查</x:v>
      </x:c>
      <x:c r="D137" s="275" t="str">
        <x:v>EXPR-表达路径</x:v>
      </x:c>
      <x:c r="E137" s="275" t="str">
        <x:v>通用</x:v>
      </x:c>
      <x:c r="F137" s="275" t="str">
        <x:v>输出</x:v>
      </x:c>
      <x:c r="G137" s="275" t="str">
        <x:v>XP07 先表达后落实型</x:v>
      </x:c>
      <x:c r="H137" s="275" t="str">
        <x:v>用户可见时序</x:v>
      </x:c>
      <x:c r="I137" s="275" t="str">
        <x:v>XP07已成为主路径或有效次路径；未被同义收敛、停止或M3-STATE改写。</x:v>
      </x:c>
      <x:c r="J137" s="275" t="str">
        <x:v>XP07仅为低分候选、证据同源或状态依赖未复核。</x:v>
      </x:c>
      <x:c r="K137" s="275" t="str">
        <x:v>不限定；由共享基础引擎与M3-STATE修正</x:v>
      </x:c>
      <x:c r="L137" s="275" t="str">
        <x:v>不限定；M3-EXPR不以夫妻星为唯一主轴</x:v>
      </x:c>
      <x:c r="M137" s="275" t="str">
        <x:v>由M3-BASE、日支结构及共享引擎提供</x:v>
      </x:c>
      <x:c r="N137" s="275" t="str">
        <x:v>先说清感受、需要或计划 → 形成具体安排 → 通过持续行动或承担完成验证</x:v>
      </x:c>
      <x:c r="O137" s="275" t="str">
        <x:v>全局有效信号；日柱及亲密关系近位优先</x:v>
      </x:c>
      <x:c r="P137" s="275" t="str">
        <x:v>由共享基础引擎判定</x:v>
      </x:c>
      <x:c r="Q137" s="275" t="str">
        <x:v>由共享基础引擎判定</x:v>
      </x:c>
      <x:c r="R137" s="275" t="str">
        <x:v>喜忌不直接等于会不会表达；只修正调用顺畅度与强度</x:v>
      </x:c>
      <x:c r="S137" s="275" t="str">
        <x:v>原十神性质有效；真合化成立时按化神路由</x:v>
      </x:c>
      <x:c r="T137" s="275" t="str">
        <x:v>由共享基础引擎判定</x:v>
      </x:c>
      <x:c r="U137" s="275" t="str">
        <x:v>68</x:v>
      </x:c>
      <x:c r="V137" s="275" t="str">
        <x:v>不加分</x:v>
      </x:c>
      <x:c r="W137" s="275" t="str">
        <x:v>communication_style／expression_timing</x:v>
      </x:c>
      <x:c r="X137" s="275" t="str">
        <x:v>最终文案只保留路径中的一至三步：先说清感受、需要或计划 → 形成具体安排 → 通过持续行动或承担完成验证，并明确这是更常见的顺序而非固定剧本。</x:v>
      </x:c>
      <x:c r="Y137" s="275" t="str">
        <x:v>你通常希望先把话说明白，再用行动、安排或兑现让表达真正落地。</x:v>
      </x:c>
      <x:c r="Z137" s="275" t="str">
        <x:v>正文不得堆叠超过一条主路径和一条次路径；不得写成“你一定先A再B”。</x:v>
      </x:c>
      <x:c r="AA137" s="275" t="str">
        <x:v>中</x:v>
      </x:c>
      <x:c r="AB137" s="275" t="str">
        <x:v>待验证</x:v>
      </x:c>
      <x:c r="AC137" s="275" t="str"/>
      <x:c r="AD137" s="275" t="str">
        <x:v>provisional=true; path=XP07; facet=output</x:v>
      </x:c>
      <x:c r="AE137" s="276" t="str">
        <x:v>0.3</x:v>
      </x:c>
    </x:row>
    <x:row r="138">
      <x:c r="A138" s="273" t="str">
        <x:v>M3-EXPR-134</x:v>
      </x:c>
      <x:c r="B138" s="274" t="str">
        <x:v>XP08 责任框架表达型｜路径定义</x:v>
      </x:c>
      <x:c r="C138" s="275" t="str">
        <x:v>L4 沟通顺序与回应</x:v>
      </x:c>
      <x:c r="D138" s="275" t="str">
        <x:v>EXPR-表达路径</x:v>
      </x:c>
      <x:c r="E138" s="275" t="str">
        <x:v>通用</x:v>
      </x:c>
      <x:c r="F138" s="275" t="str">
        <x:v>路径候选</x:v>
      </x:c>
      <x:c r="G138" s="275" t="str">
        <x:v>XP08 责任框架表达型</x:v>
      </x:c>
      <x:c r="H138" s="275" t="str">
        <x:v>正官／七杀主导，食伤或比劫负责说明责任、规则和执行边界</x:v>
      </x:c>
      <x:c r="I138" s="275" t="str">
        <x:v>正官／七杀主导，食伤或比劫负责说明责任、规则和执行边界；至少两类相互支持证据或一项高权威近位证据加一项状态验证；路径中关键节点均有效。</x:v>
      </x:c>
      <x:c r="J138" s="275" t="str">
        <x:v>官杀状态失真或真合化；只有官杀强而无任何表达桥时，不宜断语言结构完整。</x:v>
      </x:c>
      <x:c r="K138" s="275" t="str">
        <x:v>不限定；由共享基础引擎与M3-STATE修正</x:v>
      </x:c>
      <x:c r="L138" s="275" t="str">
        <x:v>不限定；M3-EXPR不以夫妻星为唯一主轴</x:v>
      </x:c>
      <x:c r="M138" s="275" t="str">
        <x:v>由M3-BASE、日支结构及共享引擎提供</x:v>
      </x:c>
      <x:c r="N138" s="275" t="str">
        <x:v>先确认事情需要怎样负责或推进 → 明确规则、分工和下一步 → 再补充感受</x:v>
      </x:c>
      <x:c r="O138" s="275" t="str">
        <x:v>全局有效信号；日柱及亲密关系近位优先</x:v>
      </x:c>
      <x:c r="P138" s="275" t="str">
        <x:v>由共享基础引擎判定</x:v>
      </x:c>
      <x:c r="Q138" s="275" t="str">
        <x:v>由共享基础引擎判定</x:v>
      </x:c>
      <x:c r="R138" s="275" t="str">
        <x:v>喜忌不直接等于会不会表达；只修正调用顺畅度与强度</x:v>
      </x:c>
      <x:c r="S138" s="275" t="str">
        <x:v>原十神性质有效；真合化成立时按化神路由</x:v>
      </x:c>
      <x:c r="T138" s="275" t="str">
        <x:v>由共享基础引擎判定</x:v>
      </x:c>
      <x:c r="U138" s="275" t="str">
        <x:v>88</x:v>
      </x:c>
      <x:c r="V138" s="275" t="str">
        <x:v>XP08路径 +18</x:v>
      </x:c>
      <x:c r="W138" s="275" t="str">
        <x:v>expression_path</x:v>
      </x:c>
      <x:c r="X138" s="275" t="str">
        <x:v>责任框架表达型的基本顺序为：先确认事情需要怎样负责或推进 → 明确规则、分工和下一步 → 再补充感受。该路径描述平稳或一般关系情境的沟通顺序，不直接代表冲突和修复。</x:v>
      </x:c>
      <x:c r="Y138" s="275" t="str">
        <x:v>你表达重要事情时，常会先把责任、安排和下一步说清楚，让双方知道这件事怎样继续。</x:v>
      </x:c>
      <x:c r="Z138" s="275" t="str">
        <x:v>不得把沟通顺序解释为沟通能力高低、感情深浅、依恋类型或必然结果；不得把候选路径当作所有场景固定流程。</x:v>
      </x:c>
      <x:c r="AA138" s="275" t="str">
        <x:v>中</x:v>
      </x:c>
      <x:c r="AB138" s="275" t="str">
        <x:v>待验证</x:v>
      </x:c>
      <x:c r="AC138" s="275" t="str"/>
      <x:c r="AD138" s="275" t="str">
        <x:v>provisional=true; path=XP08; facet=definition</x:v>
      </x:c>
      <x:c r="AE138" s="276" t="str">
        <x:v>0.3</x:v>
      </x:c>
    </x:row>
    <x:row r="139">
      <x:c r="A139" s="273" t="str">
        <x:v>M3-EXPR-135</x:v>
      </x:c>
      <x:c r="B139" s="274" t="str">
        <x:v>XP08 责任框架表达型｜成立证据门槛</x:v>
      </x:c>
      <x:c r="C139" s="275" t="str">
        <x:v>L4 沟通顺序与回应</x:v>
      </x:c>
      <x:c r="D139" s="275" t="str">
        <x:v>EXPR-表达路径</x:v>
      </x:c>
      <x:c r="E139" s="275" t="str">
        <x:v>通用</x:v>
      </x:c>
      <x:c r="F139" s="275" t="str">
        <x:v>门控</x:v>
      </x:c>
      <x:c r="G139" s="275" t="str">
        <x:v>XP08 责任框架表达型</x:v>
      </x:c>
      <x:c r="H139" s="275" t="str">
        <x:v>证据独立性＋节点有效性</x:v>
      </x:c>
      <x:c r="I139" s="275" t="str">
        <x:v>路径主节点与终点分别有有效证据；至少一个信号来自日支／近位，另一个来自透干、根气、有效流向或独立功能系统。</x:v>
      </x:c>
      <x:c r="J139" s="275" t="str">
        <x:v>官杀状态失真或真合化；只有官杀强而无任何表达桥时，不宜断语言结构完整。 同一来源被重复计为多个节点。</x:v>
      </x:c>
      <x:c r="K139" s="275" t="str">
        <x:v>不限定；由共享基础引擎与M3-STATE修正</x:v>
      </x:c>
      <x:c r="L139" s="275" t="str">
        <x:v>不限定；M3-EXPR不以夫妻星为唯一主轴</x:v>
      </x:c>
      <x:c r="M139" s="275" t="str">
        <x:v>由M3-BASE、日支结构及共享引擎提供</x:v>
      </x:c>
      <x:c r="N139" s="275" t="str">
        <x:v>先确认事情需要怎样负责或推进 → 明确规则、分工和下一步 → 再补充感受</x:v>
      </x:c>
      <x:c r="O139" s="275" t="str">
        <x:v>全局有效信号；日柱及亲密关系近位优先</x:v>
      </x:c>
      <x:c r="P139" s="275" t="str">
        <x:v>由共享基础引擎判定</x:v>
      </x:c>
      <x:c r="Q139" s="275" t="str">
        <x:v>由共享基础引擎判定</x:v>
      </x:c>
      <x:c r="R139" s="275" t="str">
        <x:v>喜忌不直接等于会不会表达；只修正调用顺畅度与强度</x:v>
      </x:c>
      <x:c r="S139" s="275" t="str">
        <x:v>原十神性质有效；真合化成立时按化神路由</x:v>
      </x:c>
      <x:c r="T139" s="275" t="str">
        <x:v>由共享基础引擎判定</x:v>
      </x:c>
      <x:c r="U139" s="275" t="str">
        <x:v>96</x:v>
      </x:c>
      <x:c r="V139" s="275" t="str">
        <x:v>路径证据门槛；不单独加分</x:v>
      </x:c>
      <x:c r="W139" s="275" t="str">
        <x:v>expression_path／confidence</x:v>
      </x:c>
      <x:c r="X139" s="275" t="str">
        <x:v>路径必须有“起点—转换—输出”结构。正官／七杀主导，食伤或比劫负责说明责任、规则和执行边界只提供候选，若中间桥梁不存在，则退回单通道描述。</x:v>
      </x:c>
      <x:c r="Y139" s="275" t="str">
        <x:v>只有当这套表达顺序在命盘中有连续支持时，才会把你概括为“责任框架表达型”；否则只保留其中最明确的一步。</x:v>
      </x:c>
      <x:c r="Z139" s="275" t="str">
        <x:v>不得仅凭五行相生、柱位先后或十神同时出现就制造现实时间线。</x:v>
      </x:c>
      <x:c r="AA139" s="275" t="str">
        <x:v>高</x:v>
      </x:c>
      <x:c r="AB139" s="275" t="str">
        <x:v>待验证</x:v>
      </x:c>
      <x:c r="AC139" s="275" t="str"/>
      <x:c r="AD139" s="275" t="str">
        <x:v>provisional=true; path=XP08; facet=evidence_gate</x:v>
      </x:c>
      <x:c r="AE139" s="276" t="str">
        <x:v>0.3</x:v>
      </x:c>
    </x:row>
    <x:row r="140">
      <x:c r="A140" s="273" t="str">
        <x:v>M3-EXPR-136</x:v>
      </x:c>
      <x:c r="B140" s="274" t="str">
        <x:v>XP08 责任框架表达型｜用户输出与边界</x:v>
      </x:c>
      <x:c r="C140" s="275" t="str">
        <x:v>L7 总合成与边界审查</x:v>
      </x:c>
      <x:c r="D140" s="275" t="str">
        <x:v>EXPR-表达路径</x:v>
      </x:c>
      <x:c r="E140" s="275" t="str">
        <x:v>通用</x:v>
      </x:c>
      <x:c r="F140" s="275" t="str">
        <x:v>输出</x:v>
      </x:c>
      <x:c r="G140" s="275" t="str">
        <x:v>XP08 责任框架表达型</x:v>
      </x:c>
      <x:c r="H140" s="275" t="str">
        <x:v>用户可见时序</x:v>
      </x:c>
      <x:c r="I140" s="275" t="str">
        <x:v>XP08已成为主路径或有效次路径；未被同义收敛、停止或M3-STATE改写。</x:v>
      </x:c>
      <x:c r="J140" s="275" t="str">
        <x:v>XP08仅为低分候选、证据同源或状态依赖未复核。</x:v>
      </x:c>
      <x:c r="K140" s="275" t="str">
        <x:v>不限定；由共享基础引擎与M3-STATE修正</x:v>
      </x:c>
      <x:c r="L140" s="275" t="str">
        <x:v>不限定；M3-EXPR不以夫妻星为唯一主轴</x:v>
      </x:c>
      <x:c r="M140" s="275" t="str">
        <x:v>由M3-BASE、日支结构及共享引擎提供</x:v>
      </x:c>
      <x:c r="N140" s="275" t="str">
        <x:v>先确认事情需要怎样负责或推进 → 明确规则、分工和下一步 → 再补充感受</x:v>
      </x:c>
      <x:c r="O140" s="275" t="str">
        <x:v>全局有效信号；日柱及亲密关系近位优先</x:v>
      </x:c>
      <x:c r="P140" s="275" t="str">
        <x:v>由共享基础引擎判定</x:v>
      </x:c>
      <x:c r="Q140" s="275" t="str">
        <x:v>由共享基础引擎判定</x:v>
      </x:c>
      <x:c r="R140" s="275" t="str">
        <x:v>喜忌不直接等于会不会表达；只修正调用顺畅度与强度</x:v>
      </x:c>
      <x:c r="S140" s="275" t="str">
        <x:v>原十神性质有效；真合化成立时按化神路由</x:v>
      </x:c>
      <x:c r="T140" s="275" t="str">
        <x:v>由共享基础引擎判定</x:v>
      </x:c>
      <x:c r="U140" s="275" t="str">
        <x:v>68</x:v>
      </x:c>
      <x:c r="V140" s="275" t="str">
        <x:v>不加分</x:v>
      </x:c>
      <x:c r="W140" s="275" t="str">
        <x:v>communication_style／expression_timing</x:v>
      </x:c>
      <x:c r="X140" s="275" t="str">
        <x:v>最终文案只保留路径中的一至三步：先确认事情需要怎样负责或推进 → 明确规则、分工和下一步 → 再补充感受，并明确这是更常见的顺序而非固定剧本。</x:v>
      </x:c>
      <x:c r="Y140" s="275" t="str">
        <x:v>你表达重要事情时，常会先把责任、安排和下一步说清楚，让双方知道这件事怎样继续。</x:v>
      </x:c>
      <x:c r="Z140" s="275" t="str">
        <x:v>正文不得堆叠超过一条主路径和一条次路径；不得写成“你一定先A再B”。</x:v>
      </x:c>
      <x:c r="AA140" s="275" t="str">
        <x:v>中</x:v>
      </x:c>
      <x:c r="AB140" s="275" t="str">
        <x:v>待验证</x:v>
      </x:c>
      <x:c r="AC140" s="275" t="str"/>
      <x:c r="AD140" s="275" t="str">
        <x:v>provisional=true; path=XP08; facet=output</x:v>
      </x:c>
      <x:c r="AE140" s="276" t="str">
        <x:v>0.3</x:v>
      </x:c>
    </x:row>
    <x:row r="141">
      <x:c r="A141" s="273" t="str">
        <x:v>M3-EXPR-137</x:v>
      </x:c>
      <x:c r="B141" s="274" t="str">
        <x:v>XP09 共同体验表达型｜路径定义</x:v>
      </x:c>
      <x:c r="C141" s="275" t="str">
        <x:v>L4 沟通顺序与回应</x:v>
      </x:c>
      <x:c r="D141" s="275" t="str">
        <x:v>EXPR-表达路径</x:v>
      </x:c>
      <x:c r="E141" s="275" t="str">
        <x:v>通用</x:v>
      </x:c>
      <x:c r="F141" s="275" t="str">
        <x:v>路径候选</x:v>
      </x:c>
      <x:c r="G141" s="275" t="str">
        <x:v>XP09 共同体验表达型</x:v>
      </x:c>
      <x:c r="H141" s="275" t="str">
        <x:v>劫财／偏财／食神形成互动与共同活动通道</x:v>
      </x:c>
      <x:c r="I141" s="275" t="str">
        <x:v>劫财／偏财／食神形成互动与共同活动通道；至少两类相互支持证据或一项高权威近位证据加一项状态验证；路径中关键节点均有效。</x:v>
      </x:c>
      <x:c r="J141" s="275" t="str">
        <x:v>相关信号弱远无根；只有偏财单一出现不得推出依赖新鲜感或不愿正式沟通。</x:v>
      </x:c>
      <x:c r="K141" s="275" t="str">
        <x:v>不限定；由共享基础引擎与M3-STATE修正</x:v>
      </x:c>
      <x:c r="L141" s="275" t="str">
        <x:v>不限定；M3-EXPR不以夫妻星为唯一主轴</x:v>
      </x:c>
      <x:c r="M141" s="275" t="str">
        <x:v>由M3-BASE、日支结构及共享引擎提供</x:v>
      </x:c>
      <x:c r="N141" s="275" t="str">
        <x:v>通过邀约、一起做事或共同体验建立联结 → 在互动中自然表达感受和需要</x:v>
      </x:c>
      <x:c r="O141" s="275" t="str">
        <x:v>全局有效信号；日柱及亲密关系近位优先</x:v>
      </x:c>
      <x:c r="P141" s="275" t="str">
        <x:v>由共享基础引擎判定</x:v>
      </x:c>
      <x:c r="Q141" s="275" t="str">
        <x:v>由共享基础引擎判定</x:v>
      </x:c>
      <x:c r="R141" s="275" t="str">
        <x:v>喜忌不直接等于会不会表达；只修正调用顺畅度与强度</x:v>
      </x:c>
      <x:c r="S141" s="275" t="str">
        <x:v>原十神性质有效；真合化成立时按化神路由</x:v>
      </x:c>
      <x:c r="T141" s="275" t="str">
        <x:v>由共享基础引擎判定</x:v>
      </x:c>
      <x:c r="U141" s="275" t="str">
        <x:v>88</x:v>
      </x:c>
      <x:c r="V141" s="275" t="str">
        <x:v>XP09路径 +18</x:v>
      </x:c>
      <x:c r="W141" s="275" t="str">
        <x:v>expression_path</x:v>
      </x:c>
      <x:c r="X141" s="275" t="str">
        <x:v>共同体验表达型的基本顺序为：通过邀约、一起做事或共同体验建立联结 → 在互动中自然表达感受和需要。该路径描述平稳或一般关系情境的沟通顺序，不直接代表冲突和修复。</x:v>
      </x:c>
      <x:c r="Y141" s="275" t="str">
        <x:v>你更容易在一起做事、共同体验或轻松互动中让感情自然显现，而不一定先进行正式谈话。</x:v>
      </x:c>
      <x:c r="Z141" s="275" t="str">
        <x:v>不得把沟通顺序解释为沟通能力高低、感情深浅、依恋类型或必然结果；不得把候选路径当作所有场景固定流程。</x:v>
      </x:c>
      <x:c r="AA141" s="275" t="str">
        <x:v>中</x:v>
      </x:c>
      <x:c r="AB141" s="275" t="str">
        <x:v>待验证</x:v>
      </x:c>
      <x:c r="AC141" s="275" t="str"/>
      <x:c r="AD141" s="275" t="str">
        <x:v>provisional=true; path=XP09; facet=definition</x:v>
      </x:c>
      <x:c r="AE141" s="276" t="str">
        <x:v>0.3</x:v>
      </x:c>
    </x:row>
    <x:row r="142">
      <x:c r="A142" s="273" t="str">
        <x:v>M3-EXPR-138</x:v>
      </x:c>
      <x:c r="B142" s="274" t="str">
        <x:v>XP09 共同体验表达型｜成立证据门槛</x:v>
      </x:c>
      <x:c r="C142" s="275" t="str">
        <x:v>L4 沟通顺序与回应</x:v>
      </x:c>
      <x:c r="D142" s="275" t="str">
        <x:v>EXPR-表达路径</x:v>
      </x:c>
      <x:c r="E142" s="275" t="str">
        <x:v>通用</x:v>
      </x:c>
      <x:c r="F142" s="275" t="str">
        <x:v>门控</x:v>
      </x:c>
      <x:c r="G142" s="275" t="str">
        <x:v>XP09 共同体验表达型</x:v>
      </x:c>
      <x:c r="H142" s="275" t="str">
        <x:v>证据独立性＋节点有效性</x:v>
      </x:c>
      <x:c r="I142" s="275" t="str">
        <x:v>路径主节点与终点分别有有效证据；至少一个信号来自日支／近位，另一个来自透干、根气、有效流向或独立功能系统。</x:v>
      </x:c>
      <x:c r="J142" s="275" t="str">
        <x:v>相关信号弱远无根；只有偏财单一出现不得推出依赖新鲜感或不愿正式沟通。 同一来源被重复计为多个节点。</x:v>
      </x:c>
      <x:c r="K142" s="275" t="str">
        <x:v>不限定；由共享基础引擎与M3-STATE修正</x:v>
      </x:c>
      <x:c r="L142" s="275" t="str">
        <x:v>不限定；M3-EXPR不以夫妻星为唯一主轴</x:v>
      </x:c>
      <x:c r="M142" s="275" t="str">
        <x:v>由M3-BASE、日支结构及共享引擎提供</x:v>
      </x:c>
      <x:c r="N142" s="275" t="str">
        <x:v>通过邀约、一起做事或共同体验建立联结 → 在互动中自然表达感受和需要</x:v>
      </x:c>
      <x:c r="O142" s="275" t="str">
        <x:v>全局有效信号；日柱及亲密关系近位优先</x:v>
      </x:c>
      <x:c r="P142" s="275" t="str">
        <x:v>由共享基础引擎判定</x:v>
      </x:c>
      <x:c r="Q142" s="275" t="str">
        <x:v>由共享基础引擎判定</x:v>
      </x:c>
      <x:c r="R142" s="275" t="str">
        <x:v>喜忌不直接等于会不会表达；只修正调用顺畅度与强度</x:v>
      </x:c>
      <x:c r="S142" s="275" t="str">
        <x:v>原十神性质有效；真合化成立时按化神路由</x:v>
      </x:c>
      <x:c r="T142" s="275" t="str">
        <x:v>由共享基础引擎判定</x:v>
      </x:c>
      <x:c r="U142" s="275" t="str">
        <x:v>96</x:v>
      </x:c>
      <x:c r="V142" s="275" t="str">
        <x:v>路径证据门槛；不单独加分</x:v>
      </x:c>
      <x:c r="W142" s="275" t="str">
        <x:v>expression_path／confidence</x:v>
      </x:c>
      <x:c r="X142" s="275" t="str">
        <x:v>路径必须有“起点—转换—输出”结构。劫财／偏财／食神形成互动与共同活动通道只提供候选，若中间桥梁不存在，则退回单通道描述。</x:v>
      </x:c>
      <x:c r="Y142" s="275" t="str">
        <x:v>只有当这套表达顺序在命盘中有连续支持时，才会把你概括为“共同体验表达型”；否则只保留其中最明确的一步。</x:v>
      </x:c>
      <x:c r="Z142" s="275" t="str">
        <x:v>不得仅凭五行相生、柱位先后或十神同时出现就制造现实时间线。</x:v>
      </x:c>
      <x:c r="AA142" s="275" t="str">
        <x:v>高</x:v>
      </x:c>
      <x:c r="AB142" s="275" t="str">
        <x:v>待验证</x:v>
      </x:c>
      <x:c r="AC142" s="275" t="str"/>
      <x:c r="AD142" s="275" t="str">
        <x:v>provisional=true; path=XP09; facet=evidence_gate</x:v>
      </x:c>
      <x:c r="AE142" s="276" t="str">
        <x:v>0.3</x:v>
      </x:c>
    </x:row>
    <x:row r="143">
      <x:c r="A143" s="273" t="str">
        <x:v>M3-EXPR-139</x:v>
      </x:c>
      <x:c r="B143" s="274" t="str">
        <x:v>XP09 共同体验表达型｜用户输出与边界</x:v>
      </x:c>
      <x:c r="C143" s="275" t="str">
        <x:v>L7 总合成与边界审查</x:v>
      </x:c>
      <x:c r="D143" s="275" t="str">
        <x:v>EXPR-表达路径</x:v>
      </x:c>
      <x:c r="E143" s="275" t="str">
        <x:v>通用</x:v>
      </x:c>
      <x:c r="F143" s="275" t="str">
        <x:v>输出</x:v>
      </x:c>
      <x:c r="G143" s="275" t="str">
        <x:v>XP09 共同体验表达型</x:v>
      </x:c>
      <x:c r="H143" s="275" t="str">
        <x:v>用户可见时序</x:v>
      </x:c>
      <x:c r="I143" s="275" t="str">
        <x:v>XP09已成为主路径或有效次路径；未被同义收敛、停止或M3-STATE改写。</x:v>
      </x:c>
      <x:c r="J143" s="275" t="str">
        <x:v>XP09仅为低分候选、证据同源或状态依赖未复核。</x:v>
      </x:c>
      <x:c r="K143" s="275" t="str">
        <x:v>不限定；由共享基础引擎与M3-STATE修正</x:v>
      </x:c>
      <x:c r="L143" s="275" t="str">
        <x:v>不限定；M3-EXPR不以夫妻星为唯一主轴</x:v>
      </x:c>
      <x:c r="M143" s="275" t="str">
        <x:v>由M3-BASE、日支结构及共享引擎提供</x:v>
      </x:c>
      <x:c r="N143" s="275" t="str">
        <x:v>通过邀约、一起做事或共同体验建立联结 → 在互动中自然表达感受和需要</x:v>
      </x:c>
      <x:c r="O143" s="275" t="str">
        <x:v>全局有效信号；日柱及亲密关系近位优先</x:v>
      </x:c>
      <x:c r="P143" s="275" t="str">
        <x:v>由共享基础引擎判定</x:v>
      </x:c>
      <x:c r="Q143" s="275" t="str">
        <x:v>由共享基础引擎判定</x:v>
      </x:c>
      <x:c r="R143" s="275" t="str">
        <x:v>喜忌不直接等于会不会表达；只修正调用顺畅度与强度</x:v>
      </x:c>
      <x:c r="S143" s="275" t="str">
        <x:v>原十神性质有效；真合化成立时按化神路由</x:v>
      </x:c>
      <x:c r="T143" s="275" t="str">
        <x:v>由共享基础引擎判定</x:v>
      </x:c>
      <x:c r="U143" s="275" t="str">
        <x:v>68</x:v>
      </x:c>
      <x:c r="V143" s="275" t="str">
        <x:v>不加分</x:v>
      </x:c>
      <x:c r="W143" s="275" t="str">
        <x:v>communication_style／expression_timing</x:v>
      </x:c>
      <x:c r="X143" s="275" t="str">
        <x:v>最终文案只保留路径中的一至三步：通过邀约、一起做事或共同体验建立联结 → 在互动中自然表达感受和需要，并明确这是更常见的顺序而非固定剧本。</x:v>
      </x:c>
      <x:c r="Y143" s="275" t="str">
        <x:v>你更容易在一起做事、共同体验或轻松互动中让感情自然显现，而不一定先进行正式谈话。</x:v>
      </x:c>
      <x:c r="Z143" s="275" t="str">
        <x:v>正文不得堆叠超过一条主路径和一条次路径；不得写成“你一定先A再B”。</x:v>
      </x:c>
      <x:c r="AA143" s="275" t="str">
        <x:v>中</x:v>
      </x:c>
      <x:c r="AB143" s="275" t="str">
        <x:v>待验证</x:v>
      </x:c>
      <x:c r="AC143" s="275" t="str"/>
      <x:c r="AD143" s="275" t="str">
        <x:v>provisional=true; path=XP09; facet=output</x:v>
      </x:c>
      <x:c r="AE143" s="276" t="str">
        <x:v>0.3</x:v>
      </x:c>
    </x:row>
    <x:row r="144">
      <x:c r="A144" s="273" t="str">
        <x:v>M3-EXPR-140</x:v>
      </x:c>
      <x:c r="B144" s="274" t="str">
        <x:v>XP10 深度选择表达型｜路径定义</x:v>
      </x:c>
      <x:c r="C144" s="275" t="str">
        <x:v>L4 沟通顺序与回应</x:v>
      </x:c>
      <x:c r="D144" s="275" t="str">
        <x:v>EXPR-表达路径</x:v>
      </x:c>
      <x:c r="E144" s="275" t="str">
        <x:v>通用</x:v>
      </x:c>
      <x:c r="F144" s="275" t="str">
        <x:v>路径候选</x:v>
      </x:c>
      <x:c r="G144" s="275" t="str">
        <x:v>XP10 深度选择表达型</x:v>
      </x:c>
      <x:c r="H144" s="275" t="str">
        <x:v>偏印主导，伤官／食神提供选择性外化；信任和内容质量是启动条件</x:v>
      </x:c>
      <x:c r="I144" s="275" t="str">
        <x:v>偏印主导，伤官／食神提供选择性外化；信任和内容质量是启动条件；至少两类相互支持证据或一项高权威近位证据加一项状态验证；路径中关键节点均有效。</x:v>
      </x:c>
      <x:c r="J144" s="275" t="str">
        <x:v>偏印弱远无根；无外化桥；不得把选择性表达写成冷漠或故意保持神秘。</x:v>
      </x:c>
      <x:c r="K144" s="275" t="str">
        <x:v>不限定；由共享基础引擎与M3-STATE修正</x:v>
      </x:c>
      <x:c r="L144" s="275" t="str">
        <x:v>不限定；M3-EXPR不以夫妻星为唯一主轴</x:v>
      </x:c>
      <x:c r="M144" s="275" t="str">
        <x:v>由M3-BASE、日支结构及共享引擎提供</x:v>
      </x:c>
      <x:c r="N144" s="275" t="str">
        <x:v>先观察与内部整理 → 只在足够信任或话题有深度时开放 → 表达较少但内容集中</x:v>
      </x:c>
      <x:c r="O144" s="275" t="str">
        <x:v>全局有效信号；日柱及亲密关系近位优先</x:v>
      </x:c>
      <x:c r="P144" s="275" t="str">
        <x:v>由共享基础引擎判定</x:v>
      </x:c>
      <x:c r="Q144" s="275" t="str">
        <x:v>由共享基础引擎判定</x:v>
      </x:c>
      <x:c r="R144" s="275" t="str">
        <x:v>喜忌不直接等于会不会表达；只修正调用顺畅度与强度</x:v>
      </x:c>
      <x:c r="S144" s="275" t="str">
        <x:v>原十神性质有效；真合化成立时按化神路由</x:v>
      </x:c>
      <x:c r="T144" s="275" t="str">
        <x:v>由共享基础引擎判定</x:v>
      </x:c>
      <x:c r="U144" s="275" t="str">
        <x:v>88</x:v>
      </x:c>
      <x:c r="V144" s="275" t="str">
        <x:v>XP10路径 +18</x:v>
      </x:c>
      <x:c r="W144" s="275" t="str">
        <x:v>expression_path</x:v>
      </x:c>
      <x:c r="X144" s="275" t="str">
        <x:v>深度选择表达型的基本顺序为：先观察与内部整理 → 只在足够信任或话题有深度时开放 → 表达较少但内容集中。该路径描述平稳或一般关系情境的沟通顺序，不直接代表冲突和修复。</x:v>
      </x:c>
      <x:c r="Y144" s="275" t="str">
        <x:v>你不一定对所有话题都大量表达，但在足够信任、值得深入的情境里，会分享更私密、更有深度的内容。</x:v>
      </x:c>
      <x:c r="Z144" s="275" t="str">
        <x:v>不得把沟通顺序解释为沟通能力高低、感情深浅、依恋类型或必然结果；不得把候选路径当作所有场景固定流程。</x:v>
      </x:c>
      <x:c r="AA144" s="275" t="str">
        <x:v>中</x:v>
      </x:c>
      <x:c r="AB144" s="275" t="str">
        <x:v>待验证</x:v>
      </x:c>
      <x:c r="AC144" s="275" t="str"/>
      <x:c r="AD144" s="275" t="str">
        <x:v>provisional=true; path=XP10; facet=definition</x:v>
      </x:c>
      <x:c r="AE144" s="276" t="str">
        <x:v>0.3</x:v>
      </x:c>
    </x:row>
    <x:row r="145">
      <x:c r="A145" s="273" t="str">
        <x:v>M3-EXPR-141</x:v>
      </x:c>
      <x:c r="B145" s="274" t="str">
        <x:v>XP10 深度选择表达型｜成立证据门槛</x:v>
      </x:c>
      <x:c r="C145" s="275" t="str">
        <x:v>L4 沟通顺序与回应</x:v>
      </x:c>
      <x:c r="D145" s="275" t="str">
        <x:v>EXPR-表达路径</x:v>
      </x:c>
      <x:c r="E145" s="275" t="str">
        <x:v>通用</x:v>
      </x:c>
      <x:c r="F145" s="275" t="str">
        <x:v>门控</x:v>
      </x:c>
      <x:c r="G145" s="275" t="str">
        <x:v>XP10 深度选择表达型</x:v>
      </x:c>
      <x:c r="H145" s="275" t="str">
        <x:v>证据独立性＋节点有效性</x:v>
      </x:c>
      <x:c r="I145" s="275" t="str">
        <x:v>路径主节点与终点分别有有效证据；至少一个信号来自日支／近位，另一个来自透干、根气、有效流向或独立功能系统。</x:v>
      </x:c>
      <x:c r="J145" s="275" t="str">
        <x:v>偏印弱远无根；无外化桥；不得把选择性表达写成冷漠或故意保持神秘。 同一来源被重复计为多个节点。</x:v>
      </x:c>
      <x:c r="K145" s="275" t="str">
        <x:v>不限定；由共享基础引擎与M3-STATE修正</x:v>
      </x:c>
      <x:c r="L145" s="275" t="str">
        <x:v>不限定；M3-EXPR不以夫妻星为唯一主轴</x:v>
      </x:c>
      <x:c r="M145" s="275" t="str">
        <x:v>由M3-BASE、日支结构及共享引擎提供</x:v>
      </x:c>
      <x:c r="N145" s="275" t="str">
        <x:v>先观察与内部整理 → 只在足够信任或话题有深度时开放 → 表达较少但内容集中</x:v>
      </x:c>
      <x:c r="O145" s="275" t="str">
        <x:v>全局有效信号；日柱及亲密关系近位优先</x:v>
      </x:c>
      <x:c r="P145" s="275" t="str">
        <x:v>由共享基础引擎判定</x:v>
      </x:c>
      <x:c r="Q145" s="275" t="str">
        <x:v>由共享基础引擎判定</x:v>
      </x:c>
      <x:c r="R145" s="275" t="str">
        <x:v>喜忌不直接等于会不会表达；只修正调用顺畅度与强度</x:v>
      </x:c>
      <x:c r="S145" s="275" t="str">
        <x:v>原十神性质有效；真合化成立时按化神路由</x:v>
      </x:c>
      <x:c r="T145" s="275" t="str">
        <x:v>由共享基础引擎判定</x:v>
      </x:c>
      <x:c r="U145" s="275" t="str">
        <x:v>96</x:v>
      </x:c>
      <x:c r="V145" s="275" t="str">
        <x:v>路径证据门槛；不单独加分</x:v>
      </x:c>
      <x:c r="W145" s="275" t="str">
        <x:v>expression_path／confidence</x:v>
      </x:c>
      <x:c r="X145" s="275" t="str">
        <x:v>路径必须有“起点—转换—输出”结构。偏印主导，伤官／食神提供选择性外化；信任和内容质量是启动条件只提供候选，若中间桥梁不存在，则退回单通道描述。</x:v>
      </x:c>
      <x:c r="Y145" s="275" t="str">
        <x:v>只有当这套表达顺序在命盘中有连续支持时，才会把你概括为“深度选择表达型”；否则只保留其中最明确的一步。</x:v>
      </x:c>
      <x:c r="Z145" s="275" t="str">
        <x:v>不得仅凭五行相生、柱位先后或十神同时出现就制造现实时间线。</x:v>
      </x:c>
      <x:c r="AA145" s="275" t="str">
        <x:v>高</x:v>
      </x:c>
      <x:c r="AB145" s="275" t="str">
        <x:v>待验证</x:v>
      </x:c>
      <x:c r="AC145" s="275" t="str"/>
      <x:c r="AD145" s="275" t="str">
        <x:v>provisional=true; path=XP10; facet=evidence_gate</x:v>
      </x:c>
      <x:c r="AE145" s="276" t="str">
        <x:v>0.3</x:v>
      </x:c>
    </x:row>
    <x:row r="146">
      <x:c r="A146" s="273" t="str">
        <x:v>M3-EXPR-142</x:v>
      </x:c>
      <x:c r="B146" s="274" t="str">
        <x:v>XP10 深度选择表达型｜用户输出与边界</x:v>
      </x:c>
      <x:c r="C146" s="275" t="str">
        <x:v>L7 总合成与边界审查</x:v>
      </x:c>
      <x:c r="D146" s="275" t="str">
        <x:v>EXPR-表达路径</x:v>
      </x:c>
      <x:c r="E146" s="275" t="str">
        <x:v>通用</x:v>
      </x:c>
      <x:c r="F146" s="275" t="str">
        <x:v>输出</x:v>
      </x:c>
      <x:c r="G146" s="275" t="str">
        <x:v>XP10 深度选择表达型</x:v>
      </x:c>
      <x:c r="H146" s="275" t="str">
        <x:v>用户可见时序</x:v>
      </x:c>
      <x:c r="I146" s="275" t="str">
        <x:v>XP10已成为主路径或有效次路径；未被同义收敛、停止或M3-STATE改写。</x:v>
      </x:c>
      <x:c r="J146" s="275" t="str">
        <x:v>XP10仅为低分候选、证据同源或状态依赖未复核。</x:v>
      </x:c>
      <x:c r="K146" s="275" t="str">
        <x:v>不限定；由共享基础引擎与M3-STATE修正</x:v>
      </x:c>
      <x:c r="L146" s="275" t="str">
        <x:v>不限定；M3-EXPR不以夫妻星为唯一主轴</x:v>
      </x:c>
      <x:c r="M146" s="275" t="str">
        <x:v>由M3-BASE、日支结构及共享引擎提供</x:v>
      </x:c>
      <x:c r="N146" s="275" t="str">
        <x:v>先观察与内部整理 → 只在足够信任或话题有深度时开放 → 表达较少但内容集中</x:v>
      </x:c>
      <x:c r="O146" s="275" t="str">
        <x:v>全局有效信号；日柱及亲密关系近位优先</x:v>
      </x:c>
      <x:c r="P146" s="275" t="str">
        <x:v>由共享基础引擎判定</x:v>
      </x:c>
      <x:c r="Q146" s="275" t="str">
        <x:v>由共享基础引擎判定</x:v>
      </x:c>
      <x:c r="R146" s="275" t="str">
        <x:v>喜忌不直接等于会不会表达；只修正调用顺畅度与强度</x:v>
      </x:c>
      <x:c r="S146" s="275" t="str">
        <x:v>原十神性质有效；真合化成立时按化神路由</x:v>
      </x:c>
      <x:c r="T146" s="275" t="str">
        <x:v>由共享基础引擎判定</x:v>
      </x:c>
      <x:c r="U146" s="275" t="str">
        <x:v>68</x:v>
      </x:c>
      <x:c r="V146" s="275" t="str">
        <x:v>不加分</x:v>
      </x:c>
      <x:c r="W146" s="275" t="str">
        <x:v>communication_style／expression_timing</x:v>
      </x:c>
      <x:c r="X146" s="275" t="str">
        <x:v>最终文案只保留路径中的一至三步：先观察与内部整理 → 只在足够信任或话题有深度时开放 → 表达较少但内容集中，并明确这是更常见的顺序而非固定剧本。</x:v>
      </x:c>
      <x:c r="Y146" s="275" t="str">
        <x:v>你不一定对所有话题都大量表达，但在足够信任、值得深入的情境里，会分享更私密、更有深度的内容。</x:v>
      </x:c>
      <x:c r="Z146" s="275" t="str">
        <x:v>正文不得堆叠超过一条主路径和一条次路径；不得写成“你一定先A再B”。</x:v>
      </x:c>
      <x:c r="AA146" s="275" t="str">
        <x:v>中</x:v>
      </x:c>
      <x:c r="AB146" s="275" t="str">
        <x:v>待验证</x:v>
      </x:c>
      <x:c r="AC146" s="275" t="str"/>
      <x:c r="AD146" s="275" t="str">
        <x:v>provisional=true; path=XP10; facet=output</x:v>
      </x:c>
      <x:c r="AE146" s="276" t="str">
        <x:v>0.3</x:v>
      </x:c>
    </x:row>
    <x:row r="147">
      <x:c r="A147" s="273" t="str">
        <x:v>M3-EXPR-143</x:v>
      </x:c>
      <x:c r="B147" s="274" t="str">
        <x:v>XP11 双通道往返型｜路径定义</x:v>
      </x:c>
      <x:c r="C147" s="275" t="str">
        <x:v>L4 沟通顺序与回应</x:v>
      </x:c>
      <x:c r="D147" s="275" t="str">
        <x:v>EXPR-表达路径</x:v>
      </x:c>
      <x:c r="E147" s="275" t="str">
        <x:v>通用</x:v>
      </x:c>
      <x:c r="F147" s="275" t="str">
        <x:v>路径候选</x:v>
      </x:c>
      <x:c r="G147" s="275" t="str">
        <x:v>XP11 双通道往返型</x:v>
      </x:c>
      <x:c r="H147" s="275" t="str">
        <x:v>两个不同功能系统均有独立证据，且一项负责表达、另一项负责行动／承接／结构</x:v>
      </x:c>
      <x:c r="I147" s="275" t="str">
        <x:v>两个不同功能系统均有独立证据，且一项负责表达、另一项负责行动／承接／结构；至少两类相互支持证据或一项高权威近位证据加一项状态验证；路径中关键节点均有效。</x:v>
      </x:c>
      <x:c r="J147" s="275" t="str">
        <x:v>两个通道来自同一source_id；属于同系统正偏重复；第二通道未达独立证据阈值。</x:v>
      </x:c>
      <x:c r="K147" s="275" t="str">
        <x:v>不限定；由共享基础引擎与M3-STATE修正</x:v>
      </x:c>
      <x:c r="L147" s="275" t="str">
        <x:v>不限定；M3-EXPR不以夫妻星为唯一主轴</x:v>
      </x:c>
      <x:c r="M147" s="275" t="str">
        <x:v>由M3-BASE、日支结构及共享引擎提供</x:v>
      </x:c>
      <x:c r="N147" s="275" t="str">
        <x:v>第一通道发出信息 → 第二通道验证或落实 → 根据反馈回到第一通道继续校准</x:v>
      </x:c>
      <x:c r="O147" s="275" t="str">
        <x:v>全局有效信号；日柱及亲密关系近位优先</x:v>
      </x:c>
      <x:c r="P147" s="275" t="str">
        <x:v>由共享基础引擎判定</x:v>
      </x:c>
      <x:c r="Q147" s="275" t="str">
        <x:v>由共享基础引擎判定</x:v>
      </x:c>
      <x:c r="R147" s="275" t="str">
        <x:v>喜忌不直接等于会不会表达；只修正调用顺畅度与强度</x:v>
      </x:c>
      <x:c r="S147" s="275" t="str">
        <x:v>原十神性质有效；真合化成立时按化神路由</x:v>
      </x:c>
      <x:c r="T147" s="275" t="str">
        <x:v>由共享基础引擎判定</x:v>
      </x:c>
      <x:c r="U147" s="275" t="str">
        <x:v>88</x:v>
      </x:c>
      <x:c r="V147" s="275" t="str">
        <x:v>XP11路径 +18</x:v>
      </x:c>
      <x:c r="W147" s="275" t="str">
        <x:v>expression_path</x:v>
      </x:c>
      <x:c r="X147" s="275" t="str">
        <x:v>双通道往返型的基本顺序为：第一通道发出信息 → 第二通道验证或落实 → 根据反馈回到第一通道继续校准。该路径描述平稳或一般关系情境的沟通顺序，不直接代表冲突和修复。</x:v>
      </x:c>
      <x:c r="Y147" s="275" t="str">
        <x:v>你的表达往往不是只靠一种方式，而是会在“说出来”和“做出来”、或“先听懂”和“再回应”之间往返确认。</x:v>
      </x:c>
      <x:c r="Z147" s="275" t="str">
        <x:v>不得把沟通顺序解释为沟通能力高低、感情深浅、依恋类型或必然结果；不得把候选路径当作所有场景固定流程。</x:v>
      </x:c>
      <x:c r="AA147" s="275" t="str">
        <x:v>中</x:v>
      </x:c>
      <x:c r="AB147" s="275" t="str">
        <x:v>待验证</x:v>
      </x:c>
      <x:c r="AC147" s="275" t="str"/>
      <x:c r="AD147" s="275" t="str">
        <x:v>provisional=true; path=XP11; facet=definition</x:v>
      </x:c>
      <x:c r="AE147" s="276" t="str">
        <x:v>0.3</x:v>
      </x:c>
    </x:row>
    <x:row r="148">
      <x:c r="A148" s="273" t="str">
        <x:v>M3-EXPR-144</x:v>
      </x:c>
      <x:c r="B148" s="274" t="str">
        <x:v>XP11 双通道往返型｜成立证据门槛</x:v>
      </x:c>
      <x:c r="C148" s="275" t="str">
        <x:v>L4 沟通顺序与回应</x:v>
      </x:c>
      <x:c r="D148" s="275" t="str">
        <x:v>EXPR-表达路径</x:v>
      </x:c>
      <x:c r="E148" s="275" t="str">
        <x:v>通用</x:v>
      </x:c>
      <x:c r="F148" s="275" t="str">
        <x:v>门控</x:v>
      </x:c>
      <x:c r="G148" s="275" t="str">
        <x:v>XP11 双通道往返型</x:v>
      </x:c>
      <x:c r="H148" s="275" t="str">
        <x:v>证据独立性＋节点有效性</x:v>
      </x:c>
      <x:c r="I148" s="275" t="str">
        <x:v>路径主节点与终点分别有有效证据；至少一个信号来自日支／近位，另一个来自透干、根气、有效流向或独立功能系统。</x:v>
      </x:c>
      <x:c r="J148" s="275" t="str">
        <x:v>两个通道来自同一source_id；属于同系统正偏重复；第二通道未达独立证据阈值。 同一来源被重复计为多个节点。</x:v>
      </x:c>
      <x:c r="K148" s="275" t="str">
        <x:v>不限定；由共享基础引擎与M3-STATE修正</x:v>
      </x:c>
      <x:c r="L148" s="275" t="str">
        <x:v>不限定；M3-EXPR不以夫妻星为唯一主轴</x:v>
      </x:c>
      <x:c r="M148" s="275" t="str">
        <x:v>由M3-BASE、日支结构及共享引擎提供</x:v>
      </x:c>
      <x:c r="N148" s="275" t="str">
        <x:v>第一通道发出信息 → 第二通道验证或落实 → 根据反馈回到第一通道继续校准</x:v>
      </x:c>
      <x:c r="O148" s="275" t="str">
        <x:v>全局有效信号；日柱及亲密关系近位优先</x:v>
      </x:c>
      <x:c r="P148" s="275" t="str">
        <x:v>由共享基础引擎判定</x:v>
      </x:c>
      <x:c r="Q148" s="275" t="str">
        <x:v>由共享基础引擎判定</x:v>
      </x:c>
      <x:c r="R148" s="275" t="str">
        <x:v>喜忌不直接等于会不会表达；只修正调用顺畅度与强度</x:v>
      </x:c>
      <x:c r="S148" s="275" t="str">
        <x:v>原十神性质有效；真合化成立时按化神路由</x:v>
      </x:c>
      <x:c r="T148" s="275" t="str">
        <x:v>由共享基础引擎判定</x:v>
      </x:c>
      <x:c r="U148" s="275" t="str">
        <x:v>96</x:v>
      </x:c>
      <x:c r="V148" s="275" t="str">
        <x:v>路径证据门槛；不单独加分</x:v>
      </x:c>
      <x:c r="W148" s="275" t="str">
        <x:v>expression_path／confidence</x:v>
      </x:c>
      <x:c r="X148" s="275" t="str">
        <x:v>路径必须有“起点—转换—输出”结构。两个不同功能系统均有独立证据，且一项负责表达、另一项负责行动／承接／结构只提供候选，若中间桥梁不存在，则退回单通道描述。</x:v>
      </x:c>
      <x:c r="Y148" s="275" t="str">
        <x:v>只有当这套表达顺序在命盘中有连续支持时，才会把你概括为“双通道往返型”；否则只保留其中最明确的一步。</x:v>
      </x:c>
      <x:c r="Z148" s="275" t="str">
        <x:v>不得仅凭五行相生、柱位先后或十神同时出现就制造现实时间线。</x:v>
      </x:c>
      <x:c r="AA148" s="275" t="str">
        <x:v>高</x:v>
      </x:c>
      <x:c r="AB148" s="275" t="str">
        <x:v>待验证</x:v>
      </x:c>
      <x:c r="AC148" s="275" t="str"/>
      <x:c r="AD148" s="275" t="str">
        <x:v>provisional=true; path=XP11; facet=evidence_gate</x:v>
      </x:c>
      <x:c r="AE148" s="276" t="str">
        <x:v>0.3</x:v>
      </x:c>
    </x:row>
    <x:row r="149">
      <x:c r="A149" s="273" t="str">
        <x:v>M3-EXPR-145</x:v>
      </x:c>
      <x:c r="B149" s="274" t="str">
        <x:v>XP11 双通道往返型｜用户输出与边界</x:v>
      </x:c>
      <x:c r="C149" s="275" t="str">
        <x:v>L7 总合成与边界审查</x:v>
      </x:c>
      <x:c r="D149" s="275" t="str">
        <x:v>EXPR-表达路径</x:v>
      </x:c>
      <x:c r="E149" s="275" t="str">
        <x:v>通用</x:v>
      </x:c>
      <x:c r="F149" s="275" t="str">
        <x:v>输出</x:v>
      </x:c>
      <x:c r="G149" s="275" t="str">
        <x:v>XP11 双通道往返型</x:v>
      </x:c>
      <x:c r="H149" s="275" t="str">
        <x:v>用户可见时序</x:v>
      </x:c>
      <x:c r="I149" s="275" t="str">
        <x:v>XP11已成为主路径或有效次路径；未被同义收敛、停止或M3-STATE改写。</x:v>
      </x:c>
      <x:c r="J149" s="275" t="str">
        <x:v>XP11仅为低分候选、证据同源或状态依赖未复核。</x:v>
      </x:c>
      <x:c r="K149" s="275" t="str">
        <x:v>不限定；由共享基础引擎与M3-STATE修正</x:v>
      </x:c>
      <x:c r="L149" s="275" t="str">
        <x:v>不限定；M3-EXPR不以夫妻星为唯一主轴</x:v>
      </x:c>
      <x:c r="M149" s="275" t="str">
        <x:v>由M3-BASE、日支结构及共享引擎提供</x:v>
      </x:c>
      <x:c r="N149" s="275" t="str">
        <x:v>第一通道发出信息 → 第二通道验证或落实 → 根据反馈回到第一通道继续校准</x:v>
      </x:c>
      <x:c r="O149" s="275" t="str">
        <x:v>全局有效信号；日柱及亲密关系近位优先</x:v>
      </x:c>
      <x:c r="P149" s="275" t="str">
        <x:v>由共享基础引擎判定</x:v>
      </x:c>
      <x:c r="Q149" s="275" t="str">
        <x:v>由共享基础引擎判定</x:v>
      </x:c>
      <x:c r="R149" s="275" t="str">
        <x:v>喜忌不直接等于会不会表达；只修正调用顺畅度与强度</x:v>
      </x:c>
      <x:c r="S149" s="275" t="str">
        <x:v>原十神性质有效；真合化成立时按化神路由</x:v>
      </x:c>
      <x:c r="T149" s="275" t="str">
        <x:v>由共享基础引擎判定</x:v>
      </x:c>
      <x:c r="U149" s="275" t="str">
        <x:v>68</x:v>
      </x:c>
      <x:c r="V149" s="275" t="str">
        <x:v>不加分</x:v>
      </x:c>
      <x:c r="W149" s="275" t="str">
        <x:v>communication_style／expression_timing</x:v>
      </x:c>
      <x:c r="X149" s="275" t="str">
        <x:v>最终文案只保留路径中的一至三步：第一通道发出信息 → 第二通道验证或落实 → 根据反馈回到第一通道继续校准，并明确这是更常见的顺序而非固定剧本。</x:v>
      </x:c>
      <x:c r="Y149" s="275" t="str">
        <x:v>你的表达往往不是只靠一种方式，而是会在“说出来”和“做出来”、或“先听懂”和“再回应”之间往返确认。</x:v>
      </x:c>
      <x:c r="Z149" s="275" t="str">
        <x:v>正文不得堆叠超过一条主路径和一条次路径；不得写成“你一定先A再B”。</x:v>
      </x:c>
      <x:c r="AA149" s="275" t="str">
        <x:v>中</x:v>
      </x:c>
      <x:c r="AB149" s="275" t="str">
        <x:v>待验证</x:v>
      </x:c>
      <x:c r="AC149" s="275" t="str"/>
      <x:c r="AD149" s="275" t="str">
        <x:v>provisional=true; path=XP11; facet=output</x:v>
      </x:c>
      <x:c r="AE149" s="276" t="str">
        <x:v>0.3</x:v>
      </x:c>
    </x:row>
    <x:row r="150">
      <x:c r="A150" s="273" t="str">
        <x:v>M3-EXPR-146</x:v>
      </x:c>
      <x:c r="B150" s="274" t="str">
        <x:v>XP12 情境切换候选｜路径定义</x:v>
      </x:c>
      <x:c r="C150" s="275" t="str">
        <x:v>L4 沟通顺序与回应</x:v>
      </x:c>
      <x:c r="D150" s="275" t="str">
        <x:v>EXPR-表达路径</x:v>
      </x:c>
      <x:c r="E150" s="275" t="str">
        <x:v>通用</x:v>
      </x:c>
      <x:c r="F150" s="275" t="str">
        <x:v>路径候选</x:v>
      </x:c>
      <x:c r="G150" s="275" t="str">
        <x:v>XP12 情境切换候选</x:v>
      </x:c>
      <x:c r="H150" s="275" t="str">
        <x:v>不同关系任务稳定触发不同通道，或平稳、压力、恢复状态有明确分层证据</x:v>
      </x:c>
      <x:c r="I150" s="275" t="str">
        <x:v>不同关系任务稳定触发不同通道，或平稳、压力、恢复状态有明确分层证据；至少两类相互支持证据或一项高权威近位证据加一项状态验证；路径中关键节点均有效。</x:v>
      </x:c>
      <x:c r="J150" s="275" t="str">
        <x:v>只是多个弱信号并列；没有稳定场景分工；最终状态切换必须由M3-STATE复核。</x:v>
      </x:c>
      <x:c r="K150" s="275" t="str">
        <x:v>不限定；由共享基础引擎与M3-STATE修正</x:v>
      </x:c>
      <x:c r="L150" s="275" t="str">
        <x:v>不限定；M3-EXPR不以夫妻星为唯一主轴</x:v>
      </x:c>
      <x:c r="M150" s="275" t="str">
        <x:v>由M3-BASE、日支结构及共享引擎提供</x:v>
      </x:c>
      <x:c r="N150" s="275" t="str">
        <x:v>日常议题使用A通道 → 现实任务使用B通道 → 情绪或压力增加时可能再切换</x:v>
      </x:c>
      <x:c r="O150" s="275" t="str">
        <x:v>全局有效信号；日柱及亲密关系近位优先</x:v>
      </x:c>
      <x:c r="P150" s="275" t="str">
        <x:v>由共享基础引擎判定</x:v>
      </x:c>
      <x:c r="Q150" s="275" t="str">
        <x:v>由共享基础引擎判定</x:v>
      </x:c>
      <x:c r="R150" s="275" t="str">
        <x:v>喜忌不直接等于会不会表达；只修正调用顺畅度与强度</x:v>
      </x:c>
      <x:c r="S150" s="275" t="str">
        <x:v>原十神性质有效；真合化成立时按化神路由</x:v>
      </x:c>
      <x:c r="T150" s="275" t="str">
        <x:v>由共享基础引擎判定</x:v>
      </x:c>
      <x:c r="U150" s="275" t="str">
        <x:v>88</x:v>
      </x:c>
      <x:c r="V150" s="275" t="str">
        <x:v>XP12路径 +18</x:v>
      </x:c>
      <x:c r="W150" s="275" t="str">
        <x:v>expression_path</x:v>
      </x:c>
      <x:c r="X150" s="275" t="str">
        <x:v>情境切换候选的基本顺序为：日常议题使用A通道 → 现实任务使用B通道 → 情绪或压力增加时可能再切换。该路径描述平稳或一般关系情境的沟通顺序，不直接代表冲突和修复。</x:v>
      </x:c>
      <x:c r="Y150" s="275" t="str">
        <x:v>你的表达方式会随话题和关系状态切换：有些事情你会说，有些事情你更习惯先做、先听或先整理。</x:v>
      </x:c>
      <x:c r="Z150" s="275" t="str">
        <x:v>不得把沟通顺序解释为沟通能力高低、感情深浅、依恋类型或必然结果；不得把候选路径当作所有场景固定流程。</x:v>
      </x:c>
      <x:c r="AA150" s="275" t="str">
        <x:v>中</x:v>
      </x:c>
      <x:c r="AB150" s="275" t="str">
        <x:v>待验证</x:v>
      </x:c>
      <x:c r="AC150" s="275" t="str"/>
      <x:c r="AD150" s="275" t="str">
        <x:v>provisional=true; path=XP12; facet=definition</x:v>
      </x:c>
      <x:c r="AE150" s="276" t="str">
        <x:v>0.3</x:v>
      </x:c>
    </x:row>
    <x:row r="151">
      <x:c r="A151" s="273" t="str">
        <x:v>M3-EXPR-147</x:v>
      </x:c>
      <x:c r="B151" s="274" t="str">
        <x:v>XP12 情境切换候选｜成立证据门槛</x:v>
      </x:c>
      <x:c r="C151" s="275" t="str">
        <x:v>L4 沟通顺序与回应</x:v>
      </x:c>
      <x:c r="D151" s="275" t="str">
        <x:v>EXPR-表达路径</x:v>
      </x:c>
      <x:c r="E151" s="275" t="str">
        <x:v>通用</x:v>
      </x:c>
      <x:c r="F151" s="275" t="str">
        <x:v>门控</x:v>
      </x:c>
      <x:c r="G151" s="275" t="str">
        <x:v>XP12 情境切换候选</x:v>
      </x:c>
      <x:c r="H151" s="275" t="str">
        <x:v>证据独立性＋节点有效性</x:v>
      </x:c>
      <x:c r="I151" s="275" t="str">
        <x:v>路径主节点与终点分别有有效证据；至少一个信号来自日支／近位，另一个来自透干、根气、有效流向或独立功能系统。</x:v>
      </x:c>
      <x:c r="J151" s="275" t="str">
        <x:v>只是多个弱信号并列；没有稳定场景分工；最终状态切换必须由M3-STATE复核。 同一来源被重复计为多个节点。</x:v>
      </x:c>
      <x:c r="K151" s="275" t="str">
        <x:v>不限定；由共享基础引擎与M3-STATE修正</x:v>
      </x:c>
      <x:c r="L151" s="275" t="str">
        <x:v>不限定；M3-EXPR不以夫妻星为唯一主轴</x:v>
      </x:c>
      <x:c r="M151" s="275" t="str">
        <x:v>由M3-BASE、日支结构及共享引擎提供</x:v>
      </x:c>
      <x:c r="N151" s="275" t="str">
        <x:v>日常议题使用A通道 → 现实任务使用B通道 → 情绪或压力增加时可能再切换</x:v>
      </x:c>
      <x:c r="O151" s="275" t="str">
        <x:v>全局有效信号；日柱及亲密关系近位优先</x:v>
      </x:c>
      <x:c r="P151" s="275" t="str">
        <x:v>由共享基础引擎判定</x:v>
      </x:c>
      <x:c r="Q151" s="275" t="str">
        <x:v>由共享基础引擎判定</x:v>
      </x:c>
      <x:c r="R151" s="275" t="str">
        <x:v>喜忌不直接等于会不会表达；只修正调用顺畅度与强度</x:v>
      </x:c>
      <x:c r="S151" s="275" t="str">
        <x:v>原十神性质有效；真合化成立时按化神路由</x:v>
      </x:c>
      <x:c r="T151" s="275" t="str">
        <x:v>由共享基础引擎判定</x:v>
      </x:c>
      <x:c r="U151" s="275" t="str">
        <x:v>96</x:v>
      </x:c>
      <x:c r="V151" s="275" t="str">
        <x:v>路径证据门槛；不单独加分</x:v>
      </x:c>
      <x:c r="W151" s="275" t="str">
        <x:v>expression_path／confidence</x:v>
      </x:c>
      <x:c r="X151" s="275" t="str">
        <x:v>路径必须有“起点—转换—输出”结构。不同关系任务稳定触发不同通道，或平稳、压力、恢复状态有明确分层证据只提供候选，若中间桥梁不存在，则退回单通道描述。</x:v>
      </x:c>
      <x:c r="Y151" s="275" t="str">
        <x:v>只有当这套表达顺序在命盘中有连续支持时，才会把你概括为“情境切换候选”；否则只保留其中最明确的一步。</x:v>
      </x:c>
      <x:c r="Z151" s="275" t="str">
        <x:v>不得仅凭五行相生、柱位先后或十神同时出现就制造现实时间线。</x:v>
      </x:c>
      <x:c r="AA151" s="275" t="str">
        <x:v>高</x:v>
      </x:c>
      <x:c r="AB151" s="275" t="str">
        <x:v>待验证</x:v>
      </x:c>
      <x:c r="AC151" s="275" t="str"/>
      <x:c r="AD151" s="275" t="str">
        <x:v>provisional=true; path=XP12; facet=evidence_gate</x:v>
      </x:c>
      <x:c r="AE151" s="276" t="str">
        <x:v>0.3</x:v>
      </x:c>
    </x:row>
    <x:row r="152">
      <x:c r="A152" s="273" t="str">
        <x:v>M3-EXPR-148</x:v>
      </x:c>
      <x:c r="B152" s="274" t="str">
        <x:v>XP12 情境切换候选｜用户输出与边界</x:v>
      </x:c>
      <x:c r="C152" s="275" t="str">
        <x:v>L7 总合成与边界审查</x:v>
      </x:c>
      <x:c r="D152" s="275" t="str">
        <x:v>EXPR-表达路径</x:v>
      </x:c>
      <x:c r="E152" s="275" t="str">
        <x:v>通用</x:v>
      </x:c>
      <x:c r="F152" s="275" t="str">
        <x:v>输出</x:v>
      </x:c>
      <x:c r="G152" s="275" t="str">
        <x:v>XP12 情境切换候选</x:v>
      </x:c>
      <x:c r="H152" s="275" t="str">
        <x:v>用户可见时序</x:v>
      </x:c>
      <x:c r="I152" s="275" t="str">
        <x:v>XP12已成为主路径或有效次路径；未被同义收敛、停止或M3-STATE改写。</x:v>
      </x:c>
      <x:c r="J152" s="275" t="str">
        <x:v>XP12仅为低分候选、证据同源或状态依赖未复核。</x:v>
      </x:c>
      <x:c r="K152" s="275" t="str">
        <x:v>不限定；由共享基础引擎与M3-STATE修正</x:v>
      </x:c>
      <x:c r="L152" s="275" t="str">
        <x:v>不限定；M3-EXPR不以夫妻星为唯一主轴</x:v>
      </x:c>
      <x:c r="M152" s="275" t="str">
        <x:v>由M3-BASE、日支结构及共享引擎提供</x:v>
      </x:c>
      <x:c r="N152" s="275" t="str">
        <x:v>日常议题使用A通道 → 现实任务使用B通道 → 情绪或压力增加时可能再切换</x:v>
      </x:c>
      <x:c r="O152" s="275" t="str">
        <x:v>全局有效信号；日柱及亲密关系近位优先</x:v>
      </x:c>
      <x:c r="P152" s="275" t="str">
        <x:v>由共享基础引擎判定</x:v>
      </x:c>
      <x:c r="Q152" s="275" t="str">
        <x:v>由共享基础引擎判定</x:v>
      </x:c>
      <x:c r="R152" s="275" t="str">
        <x:v>喜忌不直接等于会不会表达；只修正调用顺畅度与强度</x:v>
      </x:c>
      <x:c r="S152" s="275" t="str">
        <x:v>原十神性质有效；真合化成立时按化神路由</x:v>
      </x:c>
      <x:c r="T152" s="275" t="str">
        <x:v>由共享基础引擎判定</x:v>
      </x:c>
      <x:c r="U152" s="275" t="str">
        <x:v>68</x:v>
      </x:c>
      <x:c r="V152" s="275" t="str">
        <x:v>不加分</x:v>
      </x:c>
      <x:c r="W152" s="275" t="str">
        <x:v>communication_style／expression_timing</x:v>
      </x:c>
      <x:c r="X152" s="275" t="str">
        <x:v>最终文案只保留路径中的一至三步：日常议题使用A通道 → 现实任务使用B通道 → 情绪或压力增加时可能再切换，并明确这是更常见的顺序而非固定剧本。</x:v>
      </x:c>
      <x:c r="Y152" s="275" t="str">
        <x:v>你的表达方式会随话题和关系状态切换：有些事情你会说，有些事情你更习惯先做、先听或先整理。</x:v>
      </x:c>
      <x:c r="Z152" s="275" t="str">
        <x:v>正文不得堆叠超过一条主路径和一条次路径；不得写成“你一定先A再B”。</x:v>
      </x:c>
      <x:c r="AA152" s="275" t="str">
        <x:v>中</x:v>
      </x:c>
      <x:c r="AB152" s="275" t="str">
        <x:v>待验证</x:v>
      </x:c>
      <x:c r="AC152" s="275" t="str"/>
      <x:c r="AD152" s="275" t="str">
        <x:v>provisional=true; path=XP12; facet=output</x:v>
      </x:c>
      <x:c r="AE152" s="276" t="str">
        <x:v>0.3</x:v>
      </x:c>
    </x:row>
    <x:row r="153">
      <x:c r="A153" s="273" t="str">
        <x:v>M3-EXPR-149</x:v>
      </x:c>
      <x:c r="B153" s="274" t="str">
        <x:v>表达路径同系统收敛｜正偏风格不建两条路径</x:v>
      </x:c>
      <x:c r="C153" s="275" t="str">
        <x:v>L6 跨模块接口</x:v>
      </x:c>
      <x:c r="D153" s="275" t="str">
        <x:v>EXPR-表达路径</x:v>
      </x:c>
      <x:c r="E153" s="275" t="str">
        <x:v>通用</x:v>
      </x:c>
      <x:c r="F153" s="275" t="str">
        <x:v>去重</x:v>
      </x:c>
      <x:c r="G153" s="275" t="str">
        <x:v>多路径合成</x:v>
      </x:c>
      <x:c r="H153" s="275" t="str"/>
      <x:c r="I153" s="275" t="str">
        <x:v>两个候选路径来自同一功能系统或同一source_id，只是正偏风格不同。</x:v>
      </x:c>
      <x:c r="J153" s="275" t="str">
        <x:v>只有一个有效路径；基础证据未定；同一事实尚未完成source_id去重。</x:v>
      </x:c>
      <x:c r="K153" s="275" t="str">
        <x:v>不限定；由共享基础引擎与M3-STATE修正</x:v>
      </x:c>
      <x:c r="L153" s="275" t="str">
        <x:v>不限定；M3-EXPR不以夫妻星为唯一主轴</x:v>
      </x:c>
      <x:c r="M153" s="275" t="str">
        <x:v>由M3-BASE、日支结构及共享引擎提供</x:v>
      </x:c>
      <x:c r="N153" s="275" t="str">
        <x:v>无／待表达路径规则组合</x:v>
      </x:c>
      <x:c r="O153" s="275" t="str">
        <x:v>全局有效信号；日柱及亲密关系近位优先</x:v>
      </x:c>
      <x:c r="P153" s="275" t="str">
        <x:v>由共享基础引擎判定</x:v>
      </x:c>
      <x:c r="Q153" s="275" t="str">
        <x:v>由共享基础引擎判定</x:v>
      </x:c>
      <x:c r="R153" s="275" t="str">
        <x:v>喜忌不直接等于会不会表达；只修正调用顺畅度与强度</x:v>
      </x:c>
      <x:c r="S153" s="275" t="str">
        <x:v>原十神性质有效；真合化成立时按化神路由</x:v>
      </x:c>
      <x:c r="T153" s="275" t="str">
        <x:v>由共享基础引擎判定</x:v>
      </x:c>
      <x:c r="U153" s="275" t="str">
        <x:v>95</x:v>
      </x:c>
      <x:c r="V153" s="275" t="str">
        <x:v>同系统封顶；独立证据数不增加</x:v>
      </x:c>
      <x:c r="W153" s="275" t="str">
        <x:v>dedup_log</x:v>
      </x:c>
      <x:c r="X153" s="275" t="str">
        <x:v>将两条路径合并为一个主路径，在用户语言中保留风格差异，不重复计算独立证据。</x:v>
      </x:c>
      <x:c r="Y153" s="275" t="str">
        <x:v>你的核心表达方向较集中，只是在同一方式里可能同时带有两种不同风格。</x:v>
      </x:c>
      <x:c r="Z153" s="275" t="str">
        <x:v>不得把多路径解释为情绪反复、沟通复杂、感情不稳定或人格矛盾。</x:v>
      </x:c>
      <x:c r="AA153" s="275" t="str">
        <x:v>高</x:v>
      </x:c>
      <x:c r="AB153" s="275" t="str">
        <x:v>待验证</x:v>
      </x:c>
      <x:c r="AC153" s="275" t="str"/>
      <x:c r="AD153" s="275" t="str">
        <x:v>provisional=true; path_combo=去重</x:v>
      </x:c>
      <x:c r="AE153" s="276" t="str">
        <x:v>0.3</x:v>
      </x:c>
    </x:row>
    <x:row r="154">
      <x:c r="A154" s="273" t="str">
        <x:v>M3-EXPR-150</x:v>
      </x:c>
      <x:c r="B154" s="274" t="str">
        <x:v>表达路径先后桥接｜起点与终点均有效</x:v>
      </x:c>
      <x:c r="C154" s="275" t="str">
        <x:v>L6 跨模块接口</x:v>
      </x:c>
      <x:c r="D154" s="275" t="str">
        <x:v>EXPR-表达路径</x:v>
      </x:c>
      <x:c r="E154" s="275" t="str">
        <x:v>通用</x:v>
      </x:c>
      <x:c r="F154" s="275" t="str">
        <x:v>组合</x:v>
      </x:c>
      <x:c r="G154" s="275" t="str">
        <x:v>多路径合成</x:v>
      </x:c>
      <x:c r="H154" s="275" t="str"/>
      <x:c r="I154" s="275" t="str">
        <x:v>两个不同通道具有明确生助、现实转换或重复案例支持，并且中间节点不缺失。</x:v>
      </x:c>
      <x:c r="J154" s="275" t="str">
        <x:v>只有一个有效路径；基础证据未定；同一事实尚未完成source_id去重。</x:v>
      </x:c>
      <x:c r="K154" s="275" t="str">
        <x:v>不限定；由共享基础引擎与M3-STATE修正</x:v>
      </x:c>
      <x:c r="L154" s="275" t="str">
        <x:v>不限定；M3-EXPR不以夫妻星为唯一主轴</x:v>
      </x:c>
      <x:c r="M154" s="275" t="str">
        <x:v>由M3-BASE、日支结构及共享引擎提供</x:v>
      </x:c>
      <x:c r="N154" s="275" t="str">
        <x:v>无／待表达路径规则组合</x:v>
      </x:c>
      <x:c r="O154" s="275" t="str">
        <x:v>全局有效信号；日柱及亲密关系近位优先</x:v>
      </x:c>
      <x:c r="P154" s="275" t="str">
        <x:v>由共享基础引擎判定</x:v>
      </x:c>
      <x:c r="Q154" s="275" t="str">
        <x:v>由共享基础引擎判定</x:v>
      </x:c>
      <x:c r="R154" s="275" t="str">
        <x:v>喜忌不直接等于会不会表达；只修正调用顺畅度与强度</x:v>
      </x:c>
      <x:c r="S154" s="275" t="str">
        <x:v>原十神性质有效；真合化成立时按化神路由</x:v>
      </x:c>
      <x:c r="T154" s="275" t="str">
        <x:v>由共享基础引擎判定</x:v>
      </x:c>
      <x:c r="U154" s="275" t="str">
        <x:v>84</x:v>
      </x:c>
      <x:c r="V154" s="275" t="str">
        <x:v>XP路径桥接 +8</x:v>
      </x:c>
      <x:c r="W154" s="275" t="str">
        <x:v>expression_path</x:v>
      </x:c>
      <x:c r="X154" s="275" t="str">
        <x:v>把两条候选组合为一条先后路径，而不是并列堆标签；先后不等于主次，也不等于速度。</x:v>
      </x:c>
      <x:c r="Y154" s="275" t="str">
        <x:v>你的表达更像一个过程：先通过一种方式启动，再用另一种方式把意思说明或落实。</x:v>
      </x:c>
      <x:c r="Z154" s="275" t="str">
        <x:v>不得把多路径解释为情绪反复、沟通复杂、感情不稳定或人格矛盾。</x:v>
      </x:c>
      <x:c r="AA154" s="275" t="str">
        <x:v>中高</x:v>
      </x:c>
      <x:c r="AB154" s="275" t="str">
        <x:v>待验证</x:v>
      </x:c>
      <x:c r="AC154" s="275" t="str"/>
      <x:c r="AD154" s="275" t="str">
        <x:v>provisional=true; path_combo=组合</x:v>
      </x:c>
      <x:c r="AE154" s="276" t="str">
        <x:v>0.3</x:v>
      </x:c>
    </x:row>
    <x:row r="155">
      <x:c r="A155" s="273" t="str">
        <x:v>M3-EXPR-151</x:v>
      </x:c>
      <x:c r="B155" s="274" t="str">
        <x:v>表达路径并行双通道｜功能独立</x:v>
      </x:c>
      <x:c r="C155" s="275" t="str">
        <x:v>L6 跨模块接口</x:v>
      </x:c>
      <x:c r="D155" s="275" t="str">
        <x:v>EXPR-表达路径</x:v>
      </x:c>
      <x:c r="E155" s="275" t="str">
        <x:v>通用</x:v>
      </x:c>
      <x:c r="F155" s="275" t="str">
        <x:v>组合</x:v>
      </x:c>
      <x:c r="G155" s="275" t="str">
        <x:v>多路径合成</x:v>
      </x:c>
      <x:c r="H155" s="275" t="str"/>
      <x:c r="I155" s="275" t="str">
        <x:v>两个通道分别承担不同任务，来源独立，分差小于暂定阈值，且不存在可收敛的同义关系。</x:v>
      </x:c>
      <x:c r="J155" s="275" t="str">
        <x:v>只有一个有效路径；基础证据未定；同一事实尚未完成source_id去重。</x:v>
      </x:c>
      <x:c r="K155" s="275" t="str">
        <x:v>不限定；由共享基础引擎与M3-STATE修正</x:v>
      </x:c>
      <x:c r="L155" s="275" t="str">
        <x:v>不限定；M3-EXPR不以夫妻星为唯一主轴</x:v>
      </x:c>
      <x:c r="M155" s="275" t="str">
        <x:v>由M3-BASE、日支结构及共享引擎提供</x:v>
      </x:c>
      <x:c r="N155" s="275" t="str">
        <x:v>无／待表达路径规则组合</x:v>
      </x:c>
      <x:c r="O155" s="275" t="str">
        <x:v>全局有效信号；日柱及亲密关系近位优先</x:v>
      </x:c>
      <x:c r="P155" s="275" t="str">
        <x:v>由共享基础引擎判定</x:v>
      </x:c>
      <x:c r="Q155" s="275" t="str">
        <x:v>由共享基础引擎判定</x:v>
      </x:c>
      <x:c r="R155" s="275" t="str">
        <x:v>喜忌不直接等于会不会表达；只修正调用顺畅度与强度</x:v>
      </x:c>
      <x:c r="S155" s="275" t="str">
        <x:v>原十神性质有效；真合化成立时按化神路由</x:v>
      </x:c>
      <x:c r="T155" s="275" t="str">
        <x:v>由共享基础引擎判定</x:v>
      </x:c>
      <x:c r="U155" s="275" t="str">
        <x:v>84</x:v>
      </x:c>
      <x:c r="V155" s="275" t="str">
        <x:v>XP11候选 +10</x:v>
      </x:c>
      <x:c r="W155" s="275" t="str">
        <x:v>secondary_expression_channel</x:v>
      </x:c>
      <x:c r="X155" s="275" t="str">
        <x:v>保留主次或XP11双通道往返；正文最多写一个主通道和一个次通道。</x:v>
      </x:c>
      <x:c r="Y155" s="275" t="str">
        <x:v>你会同时使用两种互补方式表达：一项负责让对方听懂，另一项负责让对方看见或感受到。</x:v>
      </x:c>
      <x:c r="Z155" s="275" t="str">
        <x:v>不得把多路径解释为情绪反复、沟通复杂、感情不稳定或人格矛盾。</x:v>
      </x:c>
      <x:c r="AA155" s="275" t="str">
        <x:v>中</x:v>
      </x:c>
      <x:c r="AB155" s="275" t="str">
        <x:v>待验证</x:v>
      </x:c>
      <x:c r="AC155" s="275" t="str"/>
      <x:c r="AD155" s="275" t="str">
        <x:v>provisional=true; path_combo=组合</x:v>
      </x:c>
      <x:c r="AE155" s="276" t="str">
        <x:v>0.3</x:v>
      </x:c>
    </x:row>
    <x:row r="156">
      <x:c r="A156" s="273" t="str">
        <x:v>M3-EXPR-152</x:v>
      </x:c>
      <x:c r="B156" s="274" t="str">
        <x:v>表达路径竞争未决｜停止单一路径</x:v>
      </x:c>
      <x:c r="C156" s="275" t="str">
        <x:v>L6 跨模块接口</x:v>
      </x:c>
      <x:c r="D156" s="275" t="str">
        <x:v>EXPR-表达路径</x:v>
      </x:c>
      <x:c r="E156" s="275" t="str">
        <x:v>通用</x:v>
      </x:c>
      <x:c r="F156" s="275" t="str">
        <x:v>停止</x:v>
      </x:c>
      <x:c r="G156" s="275" t="str">
        <x:v>多路径合成</x:v>
      </x:c>
      <x:c r="H156" s="275" t="str"/>
      <x:c r="I156" s="275" t="str">
        <x:v>多条路径得分接近，但节点关系、状态切换或真合化仍有争议。</x:v>
      </x:c>
      <x:c r="J156" s="275" t="str">
        <x:v>只有一个有效路径；基础证据未定；同一事实尚未完成source_id去重。</x:v>
      </x:c>
      <x:c r="K156" s="275" t="str">
        <x:v>不限定；由共享基础引擎与M3-STATE修正</x:v>
      </x:c>
      <x:c r="L156" s="275" t="str">
        <x:v>不限定；M3-EXPR不以夫妻星为唯一主轴</x:v>
      </x:c>
      <x:c r="M156" s="275" t="str">
        <x:v>由M3-BASE、日支结构及共享引擎提供</x:v>
      </x:c>
      <x:c r="N156" s="275" t="str">
        <x:v>无／待表达路径规则组合</x:v>
      </x:c>
      <x:c r="O156" s="275" t="str">
        <x:v>全局有效信号；日柱及亲密关系近位优先</x:v>
      </x:c>
      <x:c r="P156" s="275" t="str">
        <x:v>由共享基础引擎判定</x:v>
      </x:c>
      <x:c r="Q156" s="275" t="str">
        <x:v>由共享基础引擎判定</x:v>
      </x:c>
      <x:c r="R156" s="275" t="str">
        <x:v>喜忌不直接等于会不会表达；只修正调用顺畅度与强度</x:v>
      </x:c>
      <x:c r="S156" s="275" t="str">
        <x:v>原十神性质有效；真合化成立时按化神路由</x:v>
      </x:c>
      <x:c r="T156" s="275" t="str">
        <x:v>由共享基础引擎判定</x:v>
      </x:c>
      <x:c r="U156" s="275" t="str">
        <x:v>95</x:v>
      </x:c>
      <x:c r="V156" s="275" t="str">
        <x:v>expression_path停止</x:v>
      </x:c>
      <x:c r="W156" s="275" t="str">
        <x:v>expression_path／confidence</x:v>
      </x:c>
      <x:c r="X156" s="275" t="str">
        <x:v>停止输出固定沟通顺序，改写为情境化或低置信说明，并记录冲突日志。</x:v>
      </x:c>
      <x:c r="Y156" s="275" t="str">
        <x:v>目前可以看出你有不止一种表达方式，但哪一种会先启动，仍取决于具体话题和关系状态。</x:v>
      </x:c>
      <x:c r="Z156" s="275" t="str">
        <x:v>不得把多路径解释为情绪反复、沟通复杂、感情不稳定或人格矛盾。</x:v>
      </x:c>
      <x:c r="AA156" s="275" t="str">
        <x:v>停止</x:v>
      </x:c>
      <x:c r="AB156" s="275" t="str">
        <x:v>待验证</x:v>
      </x:c>
      <x:c r="AC156" s="275" t="str"/>
      <x:c r="AD156" s="275" t="str">
        <x:v>provisional=true; path_combo=停止</x:v>
      </x:c>
      <x:c r="AE156" s="276" t="str">
        <x:v>0.3</x:v>
      </x:c>
    </x:row>
    <x:row r="157">
      <x:c r="A157" s="273" t="str">
        <x:v>M3-EXPR-153</x:v>
      </x:c>
      <x:c r="B157" s="274" t="str">
        <x:v>透干且有根｜表达外显与重复性提高</x:v>
      </x:c>
      <x:c r="C157" s="275" t="str">
        <x:v>L5 状态修正</x:v>
      </x:c>
      <x:c r="D157" s="275" t="str">
        <x:v>EXPR-状态修正</x:v>
      </x:c>
      <x:c r="E157" s="275" t="str">
        <x:v>通用</x:v>
      </x:c>
      <x:c r="F157" s="275" t="str">
        <x:v>修正</x:v>
      </x:c>
      <x:c r="G157" s="275" t="str">
        <x:v>有效表达十神透干且有根</x:v>
      </x:c>
      <x:c r="H157" s="275" t="str"/>
      <x:c r="I157" s="275" t="str">
        <x:v>表达信号透于天干，并在地支有可靠根气；未被合化替代。</x:v>
      </x:c>
      <x:c r="J157" s="275" t="str">
        <x:v>基础十神映射未定；真合化已替代原信号但未完成路由；仅由同一source_id重复。</x:v>
      </x:c>
      <x:c r="K157" s="275" t="str">
        <x:v>不限定；由共享基础引擎与M3-STATE修正</x:v>
      </x:c>
      <x:c r="L157" s="275" t="str">
        <x:v>不限定；M3-EXPR不以夫妻星为唯一主轴</x:v>
      </x:c>
      <x:c r="M157" s="275" t="str">
        <x:v>由M3-BASE、日支结构及共享引擎提供</x:v>
      </x:c>
      <x:c r="N157" s="275" t="str">
        <x:v>无／待表达路径规则组合</x:v>
      </x:c>
      <x:c r="O157" s="275" t="str">
        <x:v>全局有效信号；日柱及亲密关系近位优先</x:v>
      </x:c>
      <x:c r="P157" s="275" t="str">
        <x:v>由共享基础引擎判定</x:v>
      </x:c>
      <x:c r="Q157" s="275" t="str">
        <x:v>由共享基础引擎判定</x:v>
      </x:c>
      <x:c r="R157" s="275" t="str">
        <x:v>喜忌不直接等于会不会表达；只修正调用顺畅度与强度</x:v>
      </x:c>
      <x:c r="S157" s="275" t="str">
        <x:v>原十神性质有效；真合化成立时按化神路由</x:v>
      </x:c>
      <x:c r="T157" s="275" t="str">
        <x:v>由共享基础引擎判定</x:v>
      </x:c>
      <x:c r="U157" s="275" t="str">
        <x:v>86</x:v>
      </x:c>
      <x:c r="V157" s="275" t="str">
        <x:v>可见度+8；稳定度+6</x:v>
      </x:c>
      <x:c r="W157" s="275" t="str">
        <x:v>expression_visibility／confidence</x:v>
      </x:c>
      <x:c r="X157" s="275" t="str">
        <x:v>透干提高可见度，有根提高重复性。两者共同出现时，表达通道更容易被对方直接感知，也更可能反复调用。</x:v>
      </x:c>
      <x:c r="Y157" s="275" t="str">
        <x:v>这套表达方式通常比较容易被别人看见，也更容易在关系里持续出现。</x:v>
      </x:c>
      <x:c r="Z157" s="275" t="str">
        <x:v>不得把旺、弱、喜、忌、透、藏或柱位直接翻译成性格好坏、沟通能力高低、心理疾病或关系结果。</x:v>
      </x:c>
      <x:c r="AA157" s="275" t="str">
        <x:v>中高</x:v>
      </x:c>
      <x:c r="AB157" s="275" t="str">
        <x:v>待验证</x:v>
      </x:c>
      <x:c r="AC157" s="275" t="str"/>
      <x:c r="AD157" s="275" t="str">
        <x:v>provisional=true; state_rule=153</x:v>
      </x:c>
      <x:c r="AE157" s="276" t="str">
        <x:v>0.3</x:v>
      </x:c>
    </x:row>
    <x:row r="158">
      <x:c r="A158" s="273" t="str">
        <x:v>M3-EXPR-154</x:v>
      </x:c>
      <x:c r="B158" s="274" t="str">
        <x:v>透干无根｜外显快但持续性待定</x:v>
      </x:c>
      <x:c r="C158" s="275" t="str">
        <x:v>L5 状态修正</x:v>
      </x:c>
      <x:c r="D158" s="275" t="str">
        <x:v>EXPR-状态修正</x:v>
      </x:c>
      <x:c r="E158" s="275" t="str">
        <x:v>通用</x:v>
      </x:c>
      <x:c r="F158" s="275" t="str">
        <x:v>修正</x:v>
      </x:c>
      <x:c r="G158" s="275" t="str">
        <x:v>表达十神透干但无可靠根气</x:v>
      </x:c>
      <x:c r="H158" s="275" t="str"/>
      <x:c r="I158" s="275" t="str">
        <x:v>表达信号透干，根气不足或无根；没有第二类稳定支持。</x:v>
      </x:c>
      <x:c r="J158" s="275" t="str">
        <x:v>基础十神映射未定；真合化已替代原信号但未完成路由；仅由同一source_id重复。</x:v>
      </x:c>
      <x:c r="K158" s="275" t="str">
        <x:v>不限定；由共享基础引擎与M3-STATE修正</x:v>
      </x:c>
      <x:c r="L158" s="275" t="str">
        <x:v>不限定；M3-EXPR不以夫妻星为唯一主轴</x:v>
      </x:c>
      <x:c r="M158" s="275" t="str">
        <x:v>由M3-BASE、日支结构及共享引擎提供</x:v>
      </x:c>
      <x:c r="N158" s="275" t="str">
        <x:v>无／待表达路径规则组合</x:v>
      </x:c>
      <x:c r="O158" s="275" t="str">
        <x:v>全局有效信号；日柱及亲密关系近位优先</x:v>
      </x:c>
      <x:c r="P158" s="275" t="str">
        <x:v>由共享基础引擎判定</x:v>
      </x:c>
      <x:c r="Q158" s="275" t="str">
        <x:v>由共享基础引擎判定</x:v>
      </x:c>
      <x:c r="R158" s="275" t="str">
        <x:v>喜忌不直接等于会不会表达；只修正调用顺畅度与强度</x:v>
      </x:c>
      <x:c r="S158" s="275" t="str">
        <x:v>原十神性质有效；真合化成立时按化神路由</x:v>
      </x:c>
      <x:c r="T158" s="275" t="str">
        <x:v>由共享基础引擎判定</x:v>
      </x:c>
      <x:c r="U158" s="275" t="str">
        <x:v>80</x:v>
      </x:c>
      <x:c r="V158" s="275" t="str">
        <x:v>可见度+6；稳定度-4</x:v>
      </x:c>
      <x:c r="W158" s="275" t="str">
        <x:v>expression_visibility</x:v>
      </x:c>
      <x:c r="X158" s="275" t="str">
        <x:v>外显标签或当下表达可能明显，但不宜据此判断长期稳定频率。</x:v>
      </x:c>
      <x:c r="Y158" s="275" t="str">
        <x:v>你有时会很直接地表现出这套方式，但是否长期保持同样强度，要看具体情境。</x:v>
      </x:c>
      <x:c r="Z158" s="275" t="str">
        <x:v>不得把旺、弱、喜、忌、透、藏或柱位直接翻译成性格好坏、沟通能力高低、心理疾病或关系结果。</x:v>
      </x:c>
      <x:c r="AA158" s="275" t="str">
        <x:v>中</x:v>
      </x:c>
      <x:c r="AB158" s="275" t="str">
        <x:v>待验证</x:v>
      </x:c>
      <x:c r="AC158" s="275" t="str"/>
      <x:c r="AD158" s="275" t="str">
        <x:v>provisional=true; state_rule=154</x:v>
      </x:c>
      <x:c r="AE158" s="276" t="str">
        <x:v>0.3</x:v>
      </x:c>
    </x:row>
    <x:row r="159">
      <x:c r="A159" s="273" t="str">
        <x:v>M3-EXPR-155</x:v>
      </x:c>
      <x:c r="B159" s="274" t="str">
        <x:v>藏支有根｜亲密关系内稳定显现</x:v>
      </x:c>
      <x:c r="C159" s="275" t="str">
        <x:v>L5 状态修正</x:v>
      </x:c>
      <x:c r="D159" s="275" t="str">
        <x:v>EXPR-状态修正</x:v>
      </x:c>
      <x:c r="E159" s="275" t="str">
        <x:v>通用</x:v>
      </x:c>
      <x:c r="F159" s="275" t="str">
        <x:v>修正</x:v>
      </x:c>
      <x:c r="G159" s="275" t="str">
        <x:v>表达信号藏支且有根</x:v>
      </x:c>
      <x:c r="H159" s="275" t="str"/>
      <x:c r="I159" s="275" t="str">
        <x:v>表达信号主要藏于日支或近位地支，并有可靠根气；外透有限。</x:v>
      </x:c>
      <x:c r="J159" s="275" t="str">
        <x:v>基础十神映射未定；真合化已替代原信号但未完成路由；仅由同一source_id重复。</x:v>
      </x:c>
      <x:c r="K159" s="275" t="str">
        <x:v>不限定；由共享基础引擎与M3-STATE修正</x:v>
      </x:c>
      <x:c r="L159" s="275" t="str">
        <x:v>不限定；M3-EXPR不以夫妻星为唯一主轴</x:v>
      </x:c>
      <x:c r="M159" s="275" t="str">
        <x:v>由M3-BASE、日支结构及共享引擎提供</x:v>
      </x:c>
      <x:c r="N159" s="275" t="str">
        <x:v>无／待表达路径规则组合</x:v>
      </x:c>
      <x:c r="O159" s="275" t="str">
        <x:v>全局有效信号；日柱及亲密关系近位优先</x:v>
      </x:c>
      <x:c r="P159" s="275" t="str">
        <x:v>由共享基础引擎判定</x:v>
      </x:c>
      <x:c r="Q159" s="275" t="str">
        <x:v>由共享基础引擎判定</x:v>
      </x:c>
      <x:c r="R159" s="275" t="str">
        <x:v>喜忌不直接等于会不会表达；只修正调用顺畅度与强度</x:v>
      </x:c>
      <x:c r="S159" s="275" t="str">
        <x:v>原十神性质有效；真合化成立时按化神路由</x:v>
      </x:c>
      <x:c r="T159" s="275" t="str">
        <x:v>由共享基础引擎判定</x:v>
      </x:c>
      <x:c r="U159" s="275" t="str">
        <x:v>84</x:v>
      </x:c>
      <x:c r="V159" s="275" t="str">
        <x:v>关系内显现+7；稳定度+5</x:v>
      </x:c>
      <x:c r="W159" s="275" t="str">
        <x:v>expression_visibility</x:v>
      </x:c>
      <x:c r="X159" s="275" t="str">
        <x:v>该通道可能不在一般社交中突出，但进入亲密关系后具有稳定调用基础。</x:v>
      </x:c>
      <x:c r="Y159" s="275" t="str">
        <x:v>你不一定一开始就表现很多，但真正亲近后，这套表达方式会更稳定地显现。</x:v>
      </x:c>
      <x:c r="Z159" s="275" t="str">
        <x:v>不得把旺、弱、喜、忌、透、藏或柱位直接翻译成性格好坏、沟通能力高低、心理疾病或关系结果。</x:v>
      </x:c>
      <x:c r="AA159" s="275" t="str">
        <x:v>中高</x:v>
      </x:c>
      <x:c r="AB159" s="275" t="str">
        <x:v>待验证</x:v>
      </x:c>
      <x:c r="AC159" s="275" t="str"/>
      <x:c r="AD159" s="275" t="str">
        <x:v>provisional=true; state_rule=155</x:v>
      </x:c>
      <x:c r="AE159" s="276" t="str">
        <x:v>0.3</x:v>
      </x:c>
    </x:row>
    <x:row r="160">
      <x:c r="A160" s="273" t="str">
        <x:v>M3-EXPR-156</x:v>
      </x:c>
      <x:c r="B160" s="274" t="str">
        <x:v>仅藏无根｜低权重情境候选</x:v>
      </x:c>
      <x:c r="C160" s="275" t="str">
        <x:v>L5 状态修正</x:v>
      </x:c>
      <x:c r="D160" s="275" t="str">
        <x:v>EXPR-状态修正</x:v>
      </x:c>
      <x:c r="E160" s="275" t="str">
        <x:v>通用</x:v>
      </x:c>
      <x:c r="F160" s="275" t="str">
        <x:v>修正</x:v>
      </x:c>
      <x:c r="G160" s="275" t="str">
        <x:v>表达信号仅藏且无根</x:v>
      </x:c>
      <x:c r="H160" s="275" t="str"/>
      <x:c r="I160" s="275" t="str">
        <x:v>信号仅见于弱藏干或余气，无透无根，也无独立流向支持。</x:v>
      </x:c>
      <x:c r="J160" s="275" t="str">
        <x:v>基础十神映射未定；真合化已替代原信号但未完成路由；仅由同一source_id重复。</x:v>
      </x:c>
      <x:c r="K160" s="275" t="str">
        <x:v>不限定；由共享基础引擎与M3-STATE修正</x:v>
      </x:c>
      <x:c r="L160" s="275" t="str">
        <x:v>不限定；M3-EXPR不以夫妻星为唯一主轴</x:v>
      </x:c>
      <x:c r="M160" s="275" t="str">
        <x:v>由M3-BASE、日支结构及共享引擎提供</x:v>
      </x:c>
      <x:c r="N160" s="275" t="str">
        <x:v>无／待表达路径规则组合</x:v>
      </x:c>
      <x:c r="O160" s="275" t="str">
        <x:v>全局有效信号；日柱及亲密关系近位优先</x:v>
      </x:c>
      <x:c r="P160" s="275" t="str">
        <x:v>由共享基础引擎判定</x:v>
      </x:c>
      <x:c r="Q160" s="275" t="str">
        <x:v>由共享基础引擎判定</x:v>
      </x:c>
      <x:c r="R160" s="275" t="str">
        <x:v>喜忌不直接等于会不会表达；只修正调用顺畅度与强度</x:v>
      </x:c>
      <x:c r="S160" s="275" t="str">
        <x:v>原十神性质有效；真合化成立时按化神路由</x:v>
      </x:c>
      <x:c r="T160" s="275" t="str">
        <x:v>由共享基础引擎判定</x:v>
      </x:c>
      <x:c r="U160" s="275" t="str">
        <x:v>88</x:v>
      </x:c>
      <x:c r="V160" s="275" t="str">
        <x:v>主通道-10；confidence-1级</x:v>
      </x:c>
      <x:c r="W160" s="275" t="str">
        <x:v>confidence</x:v>
      </x:c>
      <x:c r="X160" s="275" t="str">
        <x:v>只能保留为潜在背景，不足以形成主通道或稳定时序。</x:v>
      </x:c>
      <x:c r="Y160" s="275" t="str">
        <x:v>这项表达方式可能在少数情境下出现，但目前不宜把它写成你的固定习惯。</x:v>
      </x:c>
      <x:c r="Z160" s="275" t="str">
        <x:v>不得把旺、弱、喜、忌、透、藏或柱位直接翻译成性格好坏、沟通能力高低、心理疾病或关系结果。</x:v>
      </x:c>
      <x:c r="AA160" s="275" t="str">
        <x:v>中低</x:v>
      </x:c>
      <x:c r="AB160" s="275" t="str">
        <x:v>待验证</x:v>
      </x:c>
      <x:c r="AC160" s="275" t="str"/>
      <x:c r="AD160" s="275" t="str">
        <x:v>provisional=true; state_rule=156</x:v>
      </x:c>
      <x:c r="AE160" s="276" t="str">
        <x:v>0.3</x:v>
      </x:c>
    </x:row>
    <x:row r="161">
      <x:c r="A161" s="273" t="str">
        <x:v>M3-EXPR-157</x:v>
      </x:c>
      <x:c r="B161" s="274" t="str">
        <x:v>日支或日柱近位｜亲密关系特异性提高</x:v>
      </x:c>
      <x:c r="C161" s="275" t="str">
        <x:v>L5 状态修正</x:v>
      </x:c>
      <x:c r="D161" s="275" t="str">
        <x:v>EXPR-状态修正</x:v>
      </x:c>
      <x:c r="E161" s="275" t="str">
        <x:v>通用</x:v>
      </x:c>
      <x:c r="F161" s="275" t="str">
        <x:v>修正</x:v>
      </x:c>
      <x:c r="G161" s="275" t="str">
        <x:v>表达信号靠近日柱</x:v>
      </x:c>
      <x:c r="H161" s="275" t="str"/>
      <x:c r="I161" s="275" t="str">
        <x:v>信号位于日支、日干邻近位置，或直接参与日柱结构。</x:v>
      </x:c>
      <x:c r="J161" s="275" t="str">
        <x:v>基础十神映射未定；真合化已替代原信号但未完成路由；仅由同一source_id重复。</x:v>
      </x:c>
      <x:c r="K161" s="275" t="str">
        <x:v>不限定；由共享基础引擎与M3-STATE修正</x:v>
      </x:c>
      <x:c r="L161" s="275" t="str">
        <x:v>不限定；M3-EXPR不以夫妻星为唯一主轴</x:v>
      </x:c>
      <x:c r="M161" s="275" t="str">
        <x:v>由M3-BASE、日支结构及共享引擎提供</x:v>
      </x:c>
      <x:c r="N161" s="275" t="str">
        <x:v>无／待表达路径规则组合</x:v>
      </x:c>
      <x:c r="O161" s="275" t="str">
        <x:v>全局有效信号；日柱及亲密关系近位优先</x:v>
      </x:c>
      <x:c r="P161" s="275" t="str">
        <x:v>由共享基础引擎判定</x:v>
      </x:c>
      <x:c r="Q161" s="275" t="str">
        <x:v>由共享基础引擎判定</x:v>
      </x:c>
      <x:c r="R161" s="275" t="str">
        <x:v>喜忌不直接等于会不会表达；只修正调用顺畅度与强度</x:v>
      </x:c>
      <x:c r="S161" s="275" t="str">
        <x:v>原十神性质有效；真合化成立时按化神路由</x:v>
      </x:c>
      <x:c r="T161" s="275" t="str">
        <x:v>由共享基础引擎判定</x:v>
      </x:c>
      <x:c r="U161" s="275" t="str">
        <x:v>82</x:v>
      </x:c>
      <x:c r="V161" s="275" t="str">
        <x:v>关系特异性+7</x:v>
      </x:c>
      <x:c r="W161" s="275" t="str">
        <x:v>primary_expression_channel</x:v>
      </x:c>
      <x:c r="X161" s="275" t="str">
        <x:v>近位增强亲密关系特异性，不自动等于公开场合外显。</x:v>
      </x:c>
      <x:c r="Y161" s="275" t="str">
        <x:v>这套表达方式在亲密关系里会比在一般人际中更容易被启动。</x:v>
      </x:c>
      <x:c r="Z161" s="275" t="str">
        <x:v>不得把旺、弱、喜、忌、透、藏或柱位直接翻译成性格好坏、沟通能力高低、心理疾病或关系结果。</x:v>
      </x:c>
      <x:c r="AA161" s="275" t="str">
        <x:v>中高</x:v>
      </x:c>
      <x:c r="AB161" s="275" t="str">
        <x:v>待验证</x:v>
      </x:c>
      <x:c r="AC161" s="275" t="str"/>
      <x:c r="AD161" s="275" t="str">
        <x:v>provisional=true; state_rule=157</x:v>
      </x:c>
      <x:c r="AE161" s="276" t="str">
        <x:v>0.3</x:v>
      </x:c>
    </x:row>
    <x:row r="162">
      <x:c r="A162" s="273" t="str">
        <x:v>M3-EXPR-158</x:v>
      </x:c>
      <x:c r="B162" s="274" t="str">
        <x:v>时柱近位｜私下与深入相处中显现</x:v>
      </x:c>
      <x:c r="C162" s="275" t="str">
        <x:v>L5 状态修正</x:v>
      </x:c>
      <x:c r="D162" s="275" t="str">
        <x:v>EXPR-状态修正</x:v>
      </x:c>
      <x:c r="E162" s="275" t="str">
        <x:v>通用</x:v>
      </x:c>
      <x:c r="F162" s="275" t="str">
        <x:v>修正</x:v>
      </x:c>
      <x:c r="G162" s="275" t="str">
        <x:v>时柱有效表达信号</x:v>
      </x:c>
      <x:c r="H162" s="275" t="str"/>
      <x:c r="I162" s="275" t="str">
        <x:v>时柱信号与日柱有实际联系、得根或参与有效流向。</x:v>
      </x:c>
      <x:c r="J162" s="275" t="str">
        <x:v>基础十神映射未定；真合化已替代原信号但未完成路由；仅由同一source_id重复。</x:v>
      </x:c>
      <x:c r="K162" s="275" t="str">
        <x:v>不限定；由共享基础引擎与M3-STATE修正</x:v>
      </x:c>
      <x:c r="L162" s="275" t="str">
        <x:v>不限定；M3-EXPR不以夫妻星为唯一主轴</x:v>
      </x:c>
      <x:c r="M162" s="275" t="str">
        <x:v>由M3-BASE、日支结构及共享引擎提供</x:v>
      </x:c>
      <x:c r="N162" s="275" t="str">
        <x:v>无／待表达路径规则组合</x:v>
      </x:c>
      <x:c r="O162" s="275" t="str">
        <x:v>全局有效信号；日柱及亲密关系近位优先</x:v>
      </x:c>
      <x:c r="P162" s="275" t="str">
        <x:v>由共享基础引擎判定</x:v>
      </x:c>
      <x:c r="Q162" s="275" t="str">
        <x:v>由共享基础引擎判定</x:v>
      </x:c>
      <x:c r="R162" s="275" t="str">
        <x:v>喜忌不直接等于会不会表达；只修正调用顺畅度与强度</x:v>
      </x:c>
      <x:c r="S162" s="275" t="str">
        <x:v>原十神性质有效；真合化成立时按化神路由</x:v>
      </x:c>
      <x:c r="T162" s="275" t="str">
        <x:v>由共享基础引擎判定</x:v>
      </x:c>
      <x:c r="U162" s="275" t="str">
        <x:v>74</x:v>
      </x:c>
      <x:c r="V162" s="275" t="str">
        <x:v>私下显现+4</x:v>
      </x:c>
      <x:c r="W162" s="275" t="str">
        <x:v>expression_visibility</x:v>
      </x:c>
      <x:c r="X162" s="275" t="str">
        <x:v>时柱可作为较私下、后续或深入相处中的表达支持，但不能仅凭柱位断时间先后。</x:v>
      </x:c>
      <x:c r="Y162" s="275" t="str">
        <x:v>这套方式可能在私下、熟悉以后或关系更深入时更明显。</x:v>
      </x:c>
      <x:c r="Z162" s="275" t="str">
        <x:v>不得把旺、弱、喜、忌、透、藏或柱位直接翻译成性格好坏、沟通能力高低、心理疾病或关系结果。</x:v>
      </x:c>
      <x:c r="AA162" s="275" t="str">
        <x:v>中</x:v>
      </x:c>
      <x:c r="AB162" s="275" t="str">
        <x:v>待验证</x:v>
      </x:c>
      <x:c r="AC162" s="275" t="str"/>
      <x:c r="AD162" s="275" t="str">
        <x:v>provisional=true; state_rule=158</x:v>
      </x:c>
      <x:c r="AE162" s="276" t="str">
        <x:v>0.3</x:v>
      </x:c>
    </x:row>
    <x:row r="163">
      <x:c r="A163" s="273" t="str">
        <x:v>M3-EXPR-159</x:v>
      </x:c>
      <x:c r="B163" s="274" t="str">
        <x:v>月柱中位｜现实环境与日常角色修正</x:v>
      </x:c>
      <x:c r="C163" s="275" t="str">
        <x:v>L5 状态修正</x:v>
      </x:c>
      <x:c r="D163" s="275" t="str">
        <x:v>EXPR-状态修正</x:v>
      </x:c>
      <x:c r="E163" s="275" t="str">
        <x:v>通用</x:v>
      </x:c>
      <x:c r="F163" s="275" t="str">
        <x:v>修正</x:v>
      </x:c>
      <x:c r="G163" s="275" t="str">
        <x:v>月柱有效表达信号</x:v>
      </x:c>
      <x:c r="H163" s="275" t="str"/>
      <x:c r="I163" s="275" t="str">
        <x:v>月柱信号有效并与日柱有连接；不是单一远位背景。</x:v>
      </x:c>
      <x:c r="J163" s="275" t="str">
        <x:v>基础十神映射未定；真合化已替代原信号但未完成路由；仅由同一source_id重复。</x:v>
      </x:c>
      <x:c r="K163" s="275" t="str">
        <x:v>不限定；由共享基础引擎与M3-STATE修正</x:v>
      </x:c>
      <x:c r="L163" s="275" t="str">
        <x:v>不限定；M3-EXPR不以夫妻星为唯一主轴</x:v>
      </x:c>
      <x:c r="M163" s="275" t="str">
        <x:v>由M3-BASE、日支结构及共享引擎提供</x:v>
      </x:c>
      <x:c r="N163" s="275" t="str">
        <x:v>无／待表达路径规则组合</x:v>
      </x:c>
      <x:c r="O163" s="275" t="str">
        <x:v>全局有效信号；日柱及亲密关系近位优先</x:v>
      </x:c>
      <x:c r="P163" s="275" t="str">
        <x:v>由共享基础引擎判定</x:v>
      </x:c>
      <x:c r="Q163" s="275" t="str">
        <x:v>由共享基础引擎判定</x:v>
      </x:c>
      <x:c r="R163" s="275" t="str">
        <x:v>喜忌不直接等于会不会表达；只修正调用顺畅度与强度</x:v>
      </x:c>
      <x:c r="S163" s="275" t="str">
        <x:v>原十神性质有效；真合化成立时按化神路由</x:v>
      </x:c>
      <x:c r="T163" s="275" t="str">
        <x:v>由共享基础引擎判定</x:v>
      </x:c>
      <x:c r="U163" s="275" t="str">
        <x:v>70</x:v>
      </x:c>
      <x:c r="V163" s="275" t="str">
        <x:v>情境支持+3</x:v>
      </x:c>
      <x:c r="W163" s="275" t="str">
        <x:v>communication_style</x:v>
      </x:c>
      <x:c r="X163" s="275" t="str">
        <x:v>月柱更容易提供日常角色、工作生活环境中的表达风格修正，不能覆盖日支核心。</x:v>
      </x:c>
      <x:c r="Y163" s="275" t="str">
        <x:v>在日常事务或现实角色中，你可能更容易使用这套沟通方式。</x:v>
      </x:c>
      <x:c r="Z163" s="275" t="str">
        <x:v>不得把旺、弱、喜、忌、透、藏或柱位直接翻译成性格好坏、沟通能力高低、心理疾病或关系结果。</x:v>
      </x:c>
      <x:c r="AA163" s="275" t="str">
        <x:v>中</x:v>
      </x:c>
      <x:c r="AB163" s="275" t="str">
        <x:v>待验证</x:v>
      </x:c>
      <x:c r="AC163" s="275" t="str"/>
      <x:c r="AD163" s="275" t="str">
        <x:v>provisional=true; state_rule=159</x:v>
      </x:c>
      <x:c r="AE163" s="276" t="str">
        <x:v>0.3</x:v>
      </x:c>
    </x:row>
    <x:row r="164">
      <x:c r="A164" s="273" t="str">
        <x:v>M3-EXPR-160</x:v>
      </x:c>
      <x:c r="B164" s="274" t="str">
        <x:v>年柱远位｜社会化背景不定核心</x:v>
      </x:c>
      <x:c r="C164" s="275" t="str">
        <x:v>L5 状态修正</x:v>
      </x:c>
      <x:c r="D164" s="275" t="str">
        <x:v>EXPR-状态修正</x:v>
      </x:c>
      <x:c r="E164" s="275" t="str">
        <x:v>通用</x:v>
      </x:c>
      <x:c r="F164" s="275" t="str">
        <x:v>修正</x:v>
      </x:c>
      <x:c r="G164" s="275" t="str">
        <x:v>年柱表达信号</x:v>
      </x:c>
      <x:c r="H164" s="275" t="str"/>
      <x:c r="I164" s="275" t="str">
        <x:v>信号主要位于年柱，距离日柱较远，缺少近位根或流向连接。</x:v>
      </x:c>
      <x:c r="J164" s="275" t="str">
        <x:v>基础十神映射未定；真合化已替代原信号但未完成路由；仅由同一source_id重复。</x:v>
      </x:c>
      <x:c r="K164" s="275" t="str">
        <x:v>不限定；由共享基础引擎与M3-STATE修正</x:v>
      </x:c>
      <x:c r="L164" s="275" t="str">
        <x:v>不限定；M3-EXPR不以夫妻星为唯一主轴</x:v>
      </x:c>
      <x:c r="M164" s="275" t="str">
        <x:v>由M3-BASE、日支结构及共享引擎提供</x:v>
      </x:c>
      <x:c r="N164" s="275" t="str">
        <x:v>无／待表达路径规则组合</x:v>
      </x:c>
      <x:c r="O164" s="275" t="str">
        <x:v>全局有效信号；日柱及亲密关系近位优先</x:v>
      </x:c>
      <x:c r="P164" s="275" t="str">
        <x:v>由共享基础引擎判定</x:v>
      </x:c>
      <x:c r="Q164" s="275" t="str">
        <x:v>由共享基础引擎判定</x:v>
      </x:c>
      <x:c r="R164" s="275" t="str">
        <x:v>喜忌不直接等于会不会表达；只修正调用顺畅度与强度</x:v>
      </x:c>
      <x:c r="S164" s="275" t="str">
        <x:v>原十神性质有效；真合化成立时按化神路由</x:v>
      </x:c>
      <x:c r="T164" s="275" t="str">
        <x:v>由共享基础引擎判定</x:v>
      </x:c>
      <x:c r="U164" s="275" t="str">
        <x:v>90</x:v>
      </x:c>
      <x:c r="V164" s="275" t="str">
        <x:v>背景+1；不得定核心</x:v>
      </x:c>
      <x:c r="W164" s="275" t="str">
        <x:v>basis_summary</x:v>
      </x:c>
      <x:c r="X164" s="275" t="str">
        <x:v>远位只作家庭文化、早期经验或社会化背景，不单独确定亲密表达主通道。</x:v>
      </x:c>
      <x:c r="Y164" s="275" t="str">
        <x:v>这一信号更像背景影响，不能单独决定你在亲密关系里的主要表达方式。</x:v>
      </x:c>
      <x:c r="Z164" s="275" t="str">
        <x:v>不得把旺、弱、喜、忌、透、藏或柱位直接翻译成性格好坏、沟通能力高低、心理疾病或关系结果。</x:v>
      </x:c>
      <x:c r="AA164" s="275" t="str">
        <x:v>中高</x:v>
      </x:c>
      <x:c r="AB164" s="275" t="str">
        <x:v>待验证</x:v>
      </x:c>
      <x:c r="AC164" s="275" t="str"/>
      <x:c r="AD164" s="275" t="str">
        <x:v>provisional=true; state_rule=160</x:v>
      </x:c>
      <x:c r="AE164" s="276" t="str">
        <x:v>0.3</x:v>
      </x:c>
    </x:row>
    <x:row r="165">
      <x:c r="A165" s="273" t="str">
        <x:v>M3-EXPR-161</x:v>
      </x:c>
      <x:c r="B165" s="274" t="str">
        <x:v>同类信号重复｜浓度提高不增加独立证据</x:v>
      </x:c>
      <x:c r="C165" s="275" t="str">
        <x:v>L5 状态修正</x:v>
      </x:c>
      <x:c r="D165" s="275" t="str">
        <x:v>EXPR-状态修正</x:v>
      </x:c>
      <x:c r="E165" s="275" t="str">
        <x:v>通用</x:v>
      </x:c>
      <x:c r="F165" s="275" t="str">
        <x:v>去重</x:v>
      </x:c>
      <x:c r="G165" s="275" t="str">
        <x:v>同一十神或同一功能系统重复出现</x:v>
      </x:c>
      <x:c r="H165" s="275" t="str"/>
      <x:c r="I165" s="275" t="str">
        <x:v>多个同类信号有效，但共享根源、同一source_id或同一证据簇。</x:v>
      </x:c>
      <x:c r="J165" s="275" t="str">
        <x:v>基础十神映射未定；真合化已替代原信号但未完成路由；仅由同一source_id重复。</x:v>
      </x:c>
      <x:c r="K165" s="275" t="str">
        <x:v>不限定；由共享基础引擎与M3-STATE修正</x:v>
      </x:c>
      <x:c r="L165" s="275" t="str">
        <x:v>不限定；M3-EXPR不以夫妻星为唯一主轴</x:v>
      </x:c>
      <x:c r="M165" s="275" t="str">
        <x:v>由M3-BASE、日支结构及共享引擎提供</x:v>
      </x:c>
      <x:c r="N165" s="275" t="str">
        <x:v>无／待表达路径规则组合</x:v>
      </x:c>
      <x:c r="O165" s="275" t="str">
        <x:v>全局有效信号；日柱及亲密关系近位优先</x:v>
      </x:c>
      <x:c r="P165" s="275" t="str">
        <x:v>由共享基础引擎判定</x:v>
      </x:c>
      <x:c r="Q165" s="275" t="str">
        <x:v>由共享基础引擎判定</x:v>
      </x:c>
      <x:c r="R165" s="275" t="str">
        <x:v>喜忌不直接等于会不会表达；只修正调用顺畅度与强度</x:v>
      </x:c>
      <x:c r="S165" s="275" t="str">
        <x:v>原十神性质有效；真合化成立时按化神路由</x:v>
      </x:c>
      <x:c r="T165" s="275" t="str">
        <x:v>由共享基础引擎判定</x:v>
      </x:c>
      <x:c r="U165" s="275" t="str">
        <x:v>97</x:v>
      </x:c>
      <x:c r="V165" s="275" t="str">
        <x:v>系统浓度+5；证据数封顶</x:v>
      </x:c>
      <x:c r="W165" s="275" t="str">
        <x:v>dedup_log</x:v>
      </x:c>
      <x:c r="X165" s="275" t="str">
        <x:v>重复提高通道浓度和可调用性，但独立证据数量不按出现次数累加。</x:v>
      </x:c>
      <x:c r="Y165" s="275" t="str">
        <x:v>这套表达方向较集中，但不会因为出现多次就被当成多套不同方式。</x:v>
      </x:c>
      <x:c r="Z165" s="275" t="str">
        <x:v>不得把旺、弱、喜、忌、透、藏或柱位直接翻译成性格好坏、沟通能力高低、心理疾病或关系结果。</x:v>
      </x:c>
      <x:c r="AA165" s="275" t="str">
        <x:v>高</x:v>
      </x:c>
      <x:c r="AB165" s="275" t="str">
        <x:v>待验证</x:v>
      </x:c>
      <x:c r="AC165" s="275" t="str"/>
      <x:c r="AD165" s="275" t="str">
        <x:v>provisional=true; state_rule=161</x:v>
      </x:c>
      <x:c r="AE165" s="276" t="str">
        <x:v>0.3</x:v>
      </x:c>
    </x:row>
    <x:row r="166">
      <x:c r="A166" s="273" t="str">
        <x:v>M3-EXPR-162</x:v>
      </x:c>
      <x:c r="B166" s="274" t="str">
        <x:v>正偏同系统并见｜风格分工而非双模式</x:v>
      </x:c>
      <x:c r="C166" s="275" t="str">
        <x:v>L5 状态修正</x:v>
      </x:c>
      <x:c r="D166" s="275" t="str">
        <x:v>EXPR-状态修正</x:v>
      </x:c>
      <x:c r="E166" s="275" t="str">
        <x:v>通用</x:v>
      </x:c>
      <x:c r="F166" s="275" t="str">
        <x:v>去重</x:v>
      </x:c>
      <x:c r="G166" s="275" t="str">
        <x:v>同一功能系统正偏十神同时有效</x:v>
      </x:c>
      <x:c r="H166" s="275" t="str"/>
      <x:c r="I166" s="275" t="str">
        <x:v>如食神与伤官、正印与偏印、正财与偏财等同时有效；未形成跨系统独立分工。</x:v>
      </x:c>
      <x:c r="J166" s="275" t="str">
        <x:v>基础十神映射未定；真合化已替代原信号但未完成路由；仅由同一source_id重复。</x:v>
      </x:c>
      <x:c r="K166" s="275" t="str">
        <x:v>不限定；由共享基础引擎与M3-STATE修正</x:v>
      </x:c>
      <x:c r="L166" s="275" t="str">
        <x:v>不限定；M3-EXPR不以夫妻星为唯一主轴</x:v>
      </x:c>
      <x:c r="M166" s="275" t="str">
        <x:v>由M3-BASE、日支结构及共享引擎提供</x:v>
      </x:c>
      <x:c r="N166" s="275" t="str">
        <x:v>无／待表达路径规则组合</x:v>
      </x:c>
      <x:c r="O166" s="275" t="str">
        <x:v>全局有效信号；日柱及亲密关系近位优先</x:v>
      </x:c>
      <x:c r="P166" s="275" t="str">
        <x:v>由共享基础引擎判定</x:v>
      </x:c>
      <x:c r="Q166" s="275" t="str">
        <x:v>由共享基础引擎判定</x:v>
      </x:c>
      <x:c r="R166" s="275" t="str">
        <x:v>喜忌不直接等于会不会表达；只修正调用顺畅度与强度</x:v>
      </x:c>
      <x:c r="S166" s="275" t="str">
        <x:v>原十神性质有效；真合化成立时按化神路由</x:v>
      </x:c>
      <x:c r="T166" s="275" t="str">
        <x:v>由共享基础引擎判定</x:v>
      </x:c>
      <x:c r="U166" s="275" t="str">
        <x:v>96</x:v>
      </x:c>
      <x:c r="V166" s="275" t="str">
        <x:v>系统封顶；风格保留</x:v>
      </x:c>
      <x:c r="W166" s="275" t="str">
        <x:v>primary_expression_channel</x:v>
      </x:c>
      <x:c r="X166" s="275" t="str">
        <x:v>先收敛为一个功能系统，再根据强弱与位置保留正偏风格差异。</x:v>
      </x:c>
      <x:c r="Y166" s="275" t="str">
        <x:v>你的表达核心方向较一致，只是在同一方向中可能既有温和的一面，也有直接或灵活的一面。</x:v>
      </x:c>
      <x:c r="Z166" s="275" t="str">
        <x:v>不得把旺、弱、喜、忌、透、藏或柱位直接翻译成性格好坏、沟通能力高低、心理疾病或关系结果。</x:v>
      </x:c>
      <x:c r="AA166" s="275" t="str">
        <x:v>高</x:v>
      </x:c>
      <x:c r="AB166" s="275" t="str">
        <x:v>待验证</x:v>
      </x:c>
      <x:c r="AC166" s="275" t="str"/>
      <x:c r="AD166" s="275" t="str">
        <x:v>provisional=true; state_rule=162</x:v>
      </x:c>
      <x:c r="AE166" s="276" t="str">
        <x:v>0.3</x:v>
      </x:c>
    </x:row>
    <x:row r="167">
      <x:c r="A167" s="273" t="str">
        <x:v>M3-EXPR-163</x:v>
      </x:c>
      <x:c r="B167" s="274" t="str">
        <x:v>旺而平衡｜通道自然可用</x:v>
      </x:c>
      <x:c r="C167" s="275" t="str">
        <x:v>L5 状态修正</x:v>
      </x:c>
      <x:c r="D167" s="275" t="str">
        <x:v>EXPR-状态修正</x:v>
      </x:c>
      <x:c r="E167" s="275" t="str">
        <x:v>通用</x:v>
      </x:c>
      <x:c r="F167" s="275" t="str">
        <x:v>修正</x:v>
      </x:c>
      <x:c r="G167" s="275" t="str">
        <x:v>表达信号旺而不失衡</x:v>
      </x:c>
      <x:c r="H167" s="275" t="str"/>
      <x:c r="I167" s="275" t="str">
        <x:v>共享引擎判定信号旺且结构平衡，有承载和调节。</x:v>
      </x:c>
      <x:c r="J167" s="275" t="str">
        <x:v>基础十神映射未定；真合化已替代原信号但未完成路由；仅由同一source_id重复。</x:v>
      </x:c>
      <x:c r="K167" s="275" t="str">
        <x:v>不限定；由共享基础引擎与M3-STATE修正</x:v>
      </x:c>
      <x:c r="L167" s="275" t="str">
        <x:v>不限定；M3-EXPR不以夫妻星为唯一主轴</x:v>
      </x:c>
      <x:c r="M167" s="275" t="str">
        <x:v>由M3-BASE、日支结构及共享引擎提供</x:v>
      </x:c>
      <x:c r="N167" s="275" t="str">
        <x:v>无／待表达路径规则组合</x:v>
      </x:c>
      <x:c r="O167" s="275" t="str">
        <x:v>全局有效信号；日柱及亲密关系近位优先</x:v>
      </x:c>
      <x:c r="P167" s="275" t="str">
        <x:v>由共享基础引擎判定</x:v>
      </x:c>
      <x:c r="Q167" s="275" t="str">
        <x:v>由共享基础引擎判定</x:v>
      </x:c>
      <x:c r="R167" s="275" t="str">
        <x:v>喜忌不直接等于会不会表达；只修正调用顺畅度与强度</x:v>
      </x:c>
      <x:c r="S167" s="275" t="str">
        <x:v>原十神性质有效；真合化成立时按化神路由</x:v>
      </x:c>
      <x:c r="T167" s="275" t="str">
        <x:v>由共享基础引擎判定</x:v>
      </x:c>
      <x:c r="U167" s="275" t="str">
        <x:v>84</x:v>
      </x:c>
      <x:c r="V167" s="275" t="str">
        <x:v>稳定度+8；顺畅度+6</x:v>
      </x:c>
      <x:c r="W167" s="275" t="str">
        <x:v>confidence</x:v>
      </x:c>
      <x:c r="X167" s="275" t="str">
        <x:v>通道调用频率、流畅度和持续性较高，可进入正文主轴。</x:v>
      </x:c>
      <x:c r="Y167" s="275" t="str">
        <x:v>这套表达方式通常比较自然，不需要很强的外部刺激也能被你使用。</x:v>
      </x:c>
      <x:c r="Z167" s="275" t="str">
        <x:v>不得把旺、弱、喜、忌、透、藏或柱位直接翻译成性格好坏、沟通能力高低、心理疾病或关系结果。</x:v>
      </x:c>
      <x:c r="AA167" s="275" t="str">
        <x:v>中高</x:v>
      </x:c>
      <x:c r="AB167" s="275" t="str">
        <x:v>待验证</x:v>
      </x:c>
      <x:c r="AC167" s="275" t="str"/>
      <x:c r="AD167" s="275" t="str">
        <x:v>provisional=true; state_rule=163</x:v>
      </x:c>
      <x:c r="AE167" s="276" t="str">
        <x:v>0.3</x:v>
      </x:c>
    </x:row>
    <x:row r="168">
      <x:c r="A168" s="273" t="str">
        <x:v>M3-EXPR-164</x:v>
      </x:c>
      <x:c r="B168" s="274" t="str">
        <x:v>过旺失衡｜通道抢先与占位增加</x:v>
      </x:c>
      <x:c r="C168" s="275" t="str">
        <x:v>L5 状态修正</x:v>
      </x:c>
      <x:c r="D168" s="275" t="str">
        <x:v>EXPR-状态修正</x:v>
      </x:c>
      <x:c r="E168" s="275" t="str">
        <x:v>通用</x:v>
      </x:c>
      <x:c r="F168" s="275" t="str">
        <x:v>修正</x:v>
      </x:c>
      <x:c r="G168" s="275" t="str">
        <x:v>表达信号过旺失衡</x:v>
      </x:c>
      <x:c r="H168" s="275" t="str"/>
      <x:c r="I168" s="275" t="str">
        <x:v>信号明显过旺，缺少足够制化或承载；原十神性质仍有效。</x:v>
      </x:c>
      <x:c r="J168" s="275" t="str">
        <x:v>基础十神映射未定；真合化已替代原信号但未完成路由；仅由同一source_id重复。</x:v>
      </x:c>
      <x:c r="K168" s="275" t="str">
        <x:v>不限定；由共享基础引擎与M3-STATE修正</x:v>
      </x:c>
      <x:c r="L168" s="275" t="str">
        <x:v>不限定；M3-EXPR不以夫妻星为唯一主轴</x:v>
      </x:c>
      <x:c r="M168" s="275" t="str">
        <x:v>由M3-BASE、日支结构及共享引擎提供</x:v>
      </x:c>
      <x:c r="N168" s="275" t="str">
        <x:v>无／待表达路径规则组合</x:v>
      </x:c>
      <x:c r="O168" s="275" t="str">
        <x:v>全局有效信号；日柱及亲密关系近位优先</x:v>
      </x:c>
      <x:c r="P168" s="275" t="str">
        <x:v>由共享基础引擎判定</x:v>
      </x:c>
      <x:c r="Q168" s="275" t="str">
        <x:v>由共享基础引擎判定</x:v>
      </x:c>
      <x:c r="R168" s="275" t="str">
        <x:v>喜忌不直接等于会不会表达；只修正调用顺畅度与强度</x:v>
      </x:c>
      <x:c r="S168" s="275" t="str">
        <x:v>原十神性质有效；真合化成立时按化神路由</x:v>
      </x:c>
      <x:c r="T168" s="275" t="str">
        <x:v>由共享基础引擎判定</x:v>
      </x:c>
      <x:c r="U168" s="275" t="str">
        <x:v>82</x:v>
      </x:c>
      <x:c r="V168" s="275" t="str">
        <x:v>优先级+7；STATE候选+6</x:v>
      </x:c>
      <x:c r="W168" s="275" t="str">
        <x:v>stress_shift</x:v>
      </x:c>
      <x:c r="X168" s="275" t="str">
        <x:v>在M3只解释为启动更快、占用更多表达空间或更难切换，不评价风险。</x:v>
      </x:c>
      <x:c r="Y168" s="275" t="str">
        <x:v>这套方式可能更容易抢先启动，尤其在事情重要或压力增加时更明显。</x:v>
      </x:c>
      <x:c r="Z168" s="275" t="str">
        <x:v>不得把旺、弱、喜、忌、透、藏或柱位直接翻译成性格好坏、沟通能力高低、心理疾病或关系结果。</x:v>
      </x:c>
      <x:c r="AA168" s="275" t="str">
        <x:v>中</x:v>
      </x:c>
      <x:c r="AB168" s="275" t="str">
        <x:v>待验证</x:v>
      </x:c>
      <x:c r="AC168" s="275" t="str"/>
      <x:c r="AD168" s="275" t="str">
        <x:v>provisional=true; state_rule=164</x:v>
      </x:c>
      <x:c r="AE168" s="276" t="str">
        <x:v>0.3</x:v>
      </x:c>
    </x:row>
    <x:row r="169">
      <x:c r="A169" s="273" t="str">
        <x:v>M3-EXPR-165</x:v>
      </x:c>
      <x:c r="B169" s="274" t="str">
        <x:v>中和｜稳定候选</x:v>
      </x:c>
      <x:c r="C169" s="275" t="str">
        <x:v>L5 状态修正</x:v>
      </x:c>
      <x:c r="D169" s="275" t="str">
        <x:v>EXPR-状态修正</x:v>
      </x:c>
      <x:c r="E169" s="275" t="str">
        <x:v>通用</x:v>
      </x:c>
      <x:c r="F169" s="275" t="str">
        <x:v>修正</x:v>
      </x:c>
      <x:c r="G169" s="275" t="str">
        <x:v>表达信号中和</x:v>
      </x:c>
      <x:c r="H169" s="275" t="str"/>
      <x:c r="I169" s="275" t="str">
        <x:v>信号力量适中，根气和位置足以支持表达。</x:v>
      </x:c>
      <x:c r="J169" s="275" t="str">
        <x:v>基础十神映射未定；真合化已替代原信号但未完成路由；仅由同一source_id重复。</x:v>
      </x:c>
      <x:c r="K169" s="275" t="str">
        <x:v>不限定；由共享基础引擎与M3-STATE修正</x:v>
      </x:c>
      <x:c r="L169" s="275" t="str">
        <x:v>不限定；M3-EXPR不以夫妻星为唯一主轴</x:v>
      </x:c>
      <x:c r="M169" s="275" t="str">
        <x:v>由M3-BASE、日支结构及共享引擎提供</x:v>
      </x:c>
      <x:c r="N169" s="275" t="str">
        <x:v>无／待表达路径规则组合</x:v>
      </x:c>
      <x:c r="O169" s="275" t="str">
        <x:v>全局有效信号；日柱及亲密关系近位优先</x:v>
      </x:c>
      <x:c r="P169" s="275" t="str">
        <x:v>由共享基础引擎判定</x:v>
      </x:c>
      <x:c r="Q169" s="275" t="str">
        <x:v>由共享基础引擎判定</x:v>
      </x:c>
      <x:c r="R169" s="275" t="str">
        <x:v>喜忌不直接等于会不会表达；只修正调用顺畅度与强度</x:v>
      </x:c>
      <x:c r="S169" s="275" t="str">
        <x:v>原十神性质有效；真合化成立时按化神路由</x:v>
      </x:c>
      <x:c r="T169" s="275" t="str">
        <x:v>由共享基础引擎判定</x:v>
      </x:c>
      <x:c r="U169" s="275" t="str">
        <x:v>76</x:v>
      </x:c>
      <x:c r="V169" s="275" t="str">
        <x:v>稳定度+5</x:v>
      </x:c>
      <x:c r="W169" s="275" t="str">
        <x:v>confidence</x:v>
      </x:c>
      <x:c r="X169" s="275" t="str">
        <x:v>可作为稳定但不过度夸张的表达候选。</x:v>
      </x:c>
      <x:c r="Y169" s="275" t="str">
        <x:v>这套表达方式较可能以稳定、不过度强烈的形式出现。</x:v>
      </x:c>
      <x:c r="Z169" s="275" t="str">
        <x:v>不得把旺、弱、喜、忌、透、藏或柱位直接翻译成性格好坏、沟通能力高低、心理疾病或关系结果。</x:v>
      </x:c>
      <x:c r="AA169" s="275" t="str">
        <x:v>中</x:v>
      </x:c>
      <x:c r="AB169" s="275" t="str">
        <x:v>待验证</x:v>
      </x:c>
      <x:c r="AC169" s="275" t="str"/>
      <x:c r="AD169" s="275" t="str">
        <x:v>provisional=true; state_rule=165</x:v>
      </x:c>
      <x:c r="AE169" s="276" t="str">
        <x:v>0.3</x:v>
      </x:c>
    </x:row>
    <x:row r="170">
      <x:c r="A170" s="273" t="str">
        <x:v>M3-EXPR-166</x:v>
      </x:c>
      <x:c r="B170" s="274" t="str">
        <x:v>偏弱但有助｜条件性调用</x:v>
      </x:c>
      <x:c r="C170" s="275" t="str">
        <x:v>L5 状态修正</x:v>
      </x:c>
      <x:c r="D170" s="275" t="str">
        <x:v>EXPR-状态修正</x:v>
      </x:c>
      <x:c r="E170" s="275" t="str">
        <x:v>通用</x:v>
      </x:c>
      <x:c r="F170" s="275" t="str">
        <x:v>修正</x:v>
      </x:c>
      <x:c r="G170" s="275" t="str">
        <x:v>表达信号偏弱但有支持</x:v>
      </x:c>
      <x:c r="H170" s="275" t="str"/>
      <x:c r="I170" s="275" t="str">
        <x:v>信号本身偏弱，但有近位生助、流向桥或日支支持。</x:v>
      </x:c>
      <x:c r="J170" s="275" t="str">
        <x:v>基础十神映射未定；真合化已替代原信号但未完成路由；仅由同一source_id重复。</x:v>
      </x:c>
      <x:c r="K170" s="275" t="str">
        <x:v>不限定；由共享基础引擎与M3-STATE修正</x:v>
      </x:c>
      <x:c r="L170" s="275" t="str">
        <x:v>不限定；M3-EXPR不以夫妻星为唯一主轴</x:v>
      </x:c>
      <x:c r="M170" s="275" t="str">
        <x:v>由M3-BASE、日支结构及共享引擎提供</x:v>
      </x:c>
      <x:c r="N170" s="275" t="str">
        <x:v>无／待表达路径规则组合</x:v>
      </x:c>
      <x:c r="O170" s="275" t="str">
        <x:v>全局有效信号；日柱及亲密关系近位优先</x:v>
      </x:c>
      <x:c r="P170" s="275" t="str">
        <x:v>由共享基础引擎判定</x:v>
      </x:c>
      <x:c r="Q170" s="275" t="str">
        <x:v>由共享基础引擎判定</x:v>
      </x:c>
      <x:c r="R170" s="275" t="str">
        <x:v>喜忌不直接等于会不会表达；只修正调用顺畅度与强度</x:v>
      </x:c>
      <x:c r="S170" s="275" t="str">
        <x:v>原十神性质有效；真合化成立时按化神路由</x:v>
      </x:c>
      <x:c r="T170" s="275" t="str">
        <x:v>由共享基础引擎判定</x:v>
      </x:c>
      <x:c r="U170" s="275" t="str">
        <x:v>78</x:v>
      </x:c>
      <x:c r="V170" s="275" t="str">
        <x:v>保留；情境性+6；confidence-1级</x:v>
      </x:c>
      <x:c r="W170" s="275" t="str">
        <x:v>communication_style</x:v>
      </x:c>
      <x:c r="X170" s="275" t="str">
        <x:v>通道在安全、熟悉或特定话题下可被调用，正文需使用条件语。</x:v>
      </x:c>
      <x:c r="Y170" s="275" t="str">
        <x:v>这套方式在关系条件合适、对方回应到位或话题足够重要时会更明显。</x:v>
      </x:c>
      <x:c r="Z170" s="275" t="str">
        <x:v>不得把旺、弱、喜、忌、透、藏或柱位直接翻译成性格好坏、沟通能力高低、心理疾病或关系结果。</x:v>
      </x:c>
      <x:c r="AA170" s="275" t="str">
        <x:v>中</x:v>
      </x:c>
      <x:c r="AB170" s="275" t="str">
        <x:v>待验证</x:v>
      </x:c>
      <x:c r="AC170" s="275" t="str"/>
      <x:c r="AD170" s="275" t="str">
        <x:v>provisional=true; state_rule=166</x:v>
      </x:c>
      <x:c r="AE170" s="276" t="str">
        <x:v>0.3</x:v>
      </x:c>
    </x:row>
    <x:row r="171">
      <x:c r="A171" s="273" t="str">
        <x:v>M3-EXPR-167</x:v>
      </x:c>
      <x:c r="B171" s="274" t="str">
        <x:v>偏弱且无助｜仅背景保留</x:v>
      </x:c>
      <x:c r="C171" s="275" t="str">
        <x:v>L5 状态修正</x:v>
      </x:c>
      <x:c r="D171" s="275" t="str">
        <x:v>EXPR-状态修正</x:v>
      </x:c>
      <x:c r="E171" s="275" t="str">
        <x:v>通用</x:v>
      </x:c>
      <x:c r="F171" s="275" t="str">
        <x:v>修正</x:v>
      </x:c>
      <x:c r="G171" s="275" t="str">
        <x:v>表达信号偏弱无助</x:v>
      </x:c>
      <x:c r="H171" s="275" t="str"/>
      <x:c r="I171" s="275" t="str">
        <x:v>信号弱、无根、远位，缺少日支、流向或第二证据支持。</x:v>
      </x:c>
      <x:c r="J171" s="275" t="str">
        <x:v>基础十神映射未定；真合化已替代原信号但未完成路由；仅由同一source_id重复。</x:v>
      </x:c>
      <x:c r="K171" s="275" t="str">
        <x:v>不限定；由共享基础引擎与M3-STATE修正</x:v>
      </x:c>
      <x:c r="L171" s="275" t="str">
        <x:v>不限定；M3-EXPR不以夫妻星为唯一主轴</x:v>
      </x:c>
      <x:c r="M171" s="275" t="str">
        <x:v>由M3-BASE、日支结构及共享引擎提供</x:v>
      </x:c>
      <x:c r="N171" s="275" t="str">
        <x:v>无／待表达路径规则组合</x:v>
      </x:c>
      <x:c r="O171" s="275" t="str">
        <x:v>全局有效信号；日柱及亲密关系近位优先</x:v>
      </x:c>
      <x:c r="P171" s="275" t="str">
        <x:v>由共享基础引擎判定</x:v>
      </x:c>
      <x:c r="Q171" s="275" t="str">
        <x:v>由共享基础引擎判定</x:v>
      </x:c>
      <x:c r="R171" s="275" t="str">
        <x:v>喜忌不直接等于会不会表达；只修正调用顺畅度与强度</x:v>
      </x:c>
      <x:c r="S171" s="275" t="str">
        <x:v>原十神性质有效；真合化成立时按化神路由</x:v>
      </x:c>
      <x:c r="T171" s="275" t="str">
        <x:v>由共享基础引擎判定</x:v>
      </x:c>
      <x:c r="U171" s="275" t="str">
        <x:v>92</x:v>
      </x:c>
      <x:c r="V171" s="275" t="str">
        <x:v>主通道-12；仅日志</x:v>
      </x:c>
      <x:c r="W171" s="275" t="str">
        <x:v>confidence</x:v>
      </x:c>
      <x:c r="X171" s="275" t="str">
        <x:v>不能作为主通道，只能进入依据日志或低置信候选。</x:v>
      </x:c>
      <x:c r="Y171" s="275" t="str">
        <x:v>目前不足以把这项表达方式写成你的稳定习惯。</x:v>
      </x:c>
      <x:c r="Z171" s="275" t="str">
        <x:v>不得把旺、弱、喜、忌、透、藏或柱位直接翻译成性格好坏、沟通能力高低、心理疾病或关系结果。</x:v>
      </x:c>
      <x:c r="AA171" s="275" t="str">
        <x:v>中低</x:v>
      </x:c>
      <x:c r="AB171" s="275" t="str">
        <x:v>待验证</x:v>
      </x:c>
      <x:c r="AC171" s="275" t="str"/>
      <x:c r="AD171" s="275" t="str">
        <x:v>provisional=true; state_rule=167</x:v>
      </x:c>
      <x:c r="AE171" s="276" t="str">
        <x:v>0.3</x:v>
      </x:c>
    </x:row>
    <x:row r="172">
      <x:c r="A172" s="273" t="str">
        <x:v>M3-EXPR-168</x:v>
      </x:c>
      <x:c r="B172" s="274" t="str">
        <x:v>为喜且平衡｜调用较顺畅</x:v>
      </x:c>
      <x:c r="C172" s="275" t="str">
        <x:v>L5 状态修正</x:v>
      </x:c>
      <x:c r="D172" s="275" t="str">
        <x:v>EXPR-状态修正</x:v>
      </x:c>
      <x:c r="E172" s="275" t="str">
        <x:v>通用</x:v>
      </x:c>
      <x:c r="F172" s="275" t="str">
        <x:v>修正</x:v>
      </x:c>
      <x:c r="G172" s="275" t="str">
        <x:v>表达信号为喜且平衡</x:v>
      </x:c>
      <x:c r="H172" s="275" t="str"/>
      <x:c r="I172" s="275" t="str">
        <x:v>喜忌已可靠判定，信号为喜且力量不过度。</x:v>
      </x:c>
      <x:c r="J172" s="275" t="str">
        <x:v>基础十神映射未定；真合化已替代原信号但未完成路由；仅由同一source_id重复。</x:v>
      </x:c>
      <x:c r="K172" s="275" t="str">
        <x:v>不限定；由共享基础引擎与M3-STATE修正</x:v>
      </x:c>
      <x:c r="L172" s="275" t="str">
        <x:v>不限定；M3-EXPR不以夫妻星为唯一主轴</x:v>
      </x:c>
      <x:c r="M172" s="275" t="str">
        <x:v>由M3-BASE、日支结构及共享引擎提供</x:v>
      </x:c>
      <x:c r="N172" s="275" t="str">
        <x:v>无／待表达路径规则组合</x:v>
      </x:c>
      <x:c r="O172" s="275" t="str">
        <x:v>全局有效信号；日柱及亲密关系近位优先</x:v>
      </x:c>
      <x:c r="P172" s="275" t="str">
        <x:v>由共享基础引擎判定</x:v>
      </x:c>
      <x:c r="Q172" s="275" t="str">
        <x:v>由共享基础引擎判定</x:v>
      </x:c>
      <x:c r="R172" s="275" t="str">
        <x:v>喜忌不直接等于会不会表达；只修正调用顺畅度与强度</x:v>
      </x:c>
      <x:c r="S172" s="275" t="str">
        <x:v>原十神性质有效；真合化成立时按化神路由</x:v>
      </x:c>
      <x:c r="T172" s="275" t="str">
        <x:v>由共享基础引擎判定</x:v>
      </x:c>
      <x:c r="U172" s="275" t="str">
        <x:v>72</x:v>
      </x:c>
      <x:c r="V172" s="275" t="str">
        <x:v>顺畅度+6</x:v>
      </x:c>
      <x:c r="W172" s="275" t="str">
        <x:v>communication_style</x:v>
      </x:c>
      <x:c r="X172" s="275" t="str">
        <x:v>喜忌修正调用体验和协调度，不改变通道核心含义。</x:v>
      </x:c>
      <x:c r="Y172" s="275" t="str">
        <x:v>这套表达方式更容易以自然、可协调、对方较容易接收的形式出现。</x:v>
      </x:c>
      <x:c r="Z172" s="275" t="str">
        <x:v>不得把旺、弱、喜、忌、透、藏或柱位直接翻译成性格好坏、沟通能力高低、心理疾病或关系结果。</x:v>
      </x:c>
      <x:c r="AA172" s="275" t="str">
        <x:v>中</x:v>
      </x:c>
      <x:c r="AB172" s="275" t="str">
        <x:v>待验证</x:v>
      </x:c>
      <x:c r="AC172" s="275" t="str"/>
      <x:c r="AD172" s="275" t="str">
        <x:v>provisional=true; state_rule=168</x:v>
      </x:c>
      <x:c r="AE172" s="276" t="str">
        <x:v>0.3</x:v>
      </x:c>
    </x:row>
    <x:row r="173">
      <x:c r="A173" s="273" t="str">
        <x:v>M3-EXPR-169</x:v>
      </x:c>
      <x:c r="B173" s="274" t="str">
        <x:v>为忌且过旺｜强度提高不自动负面</x:v>
      </x:c>
      <x:c r="C173" s="275" t="str">
        <x:v>L5 状态修正</x:v>
      </x:c>
      <x:c r="D173" s="275" t="str">
        <x:v>EXPR-状态修正</x:v>
      </x:c>
      <x:c r="E173" s="275" t="str">
        <x:v>通用</x:v>
      </x:c>
      <x:c r="F173" s="275" t="str">
        <x:v>修正</x:v>
      </x:c>
      <x:c r="G173" s="275" t="str">
        <x:v>表达信号为忌且过旺</x:v>
      </x:c>
      <x:c r="H173" s="275" t="str"/>
      <x:c r="I173" s="275" t="str">
        <x:v>喜忌与旺衰可靠，信号为忌且明显过旺。</x:v>
      </x:c>
      <x:c r="J173" s="275" t="str">
        <x:v>基础十神映射未定；真合化已替代原信号但未完成路由；仅由同一source_id重复。</x:v>
      </x:c>
      <x:c r="K173" s="275" t="str">
        <x:v>不限定；由共享基础引擎与M3-STATE修正</x:v>
      </x:c>
      <x:c r="L173" s="275" t="str">
        <x:v>不限定；M3-EXPR不以夫妻星为唯一主轴</x:v>
      </x:c>
      <x:c r="M173" s="275" t="str">
        <x:v>由M3-BASE、日支结构及共享引擎提供</x:v>
      </x:c>
      <x:c r="N173" s="275" t="str">
        <x:v>无／待表达路径规则组合</x:v>
      </x:c>
      <x:c r="O173" s="275" t="str">
        <x:v>全局有效信号；日柱及亲密关系近位优先</x:v>
      </x:c>
      <x:c r="P173" s="275" t="str">
        <x:v>由共享基础引擎判定</x:v>
      </x:c>
      <x:c r="Q173" s="275" t="str">
        <x:v>由共享基础引擎判定</x:v>
      </x:c>
      <x:c r="R173" s="275" t="str">
        <x:v>喜忌不直接等于会不会表达；只修正调用顺畅度与强度</x:v>
      </x:c>
      <x:c r="S173" s="275" t="str">
        <x:v>原十神性质有效；真合化成立时按化神路由</x:v>
      </x:c>
      <x:c r="T173" s="275" t="str">
        <x:v>由共享基础引擎判定</x:v>
      </x:c>
      <x:c r="U173" s="275" t="str">
        <x:v>80</x:v>
      </x:c>
      <x:c r="V173" s="275" t="str">
        <x:v>强度+6；STATE候选+6</x:v>
      </x:c>
      <x:c r="W173" s="275" t="str">
        <x:v>stress_shift</x:v>
      </x:c>
      <x:c r="X173" s="275" t="str">
        <x:v>在M3中只提高抢先调用、强度和状态依赖；是否形成问题交M4。</x:v>
      </x:c>
      <x:c r="Y173" s="275" t="str">
        <x:v>这套表达方式可能更快、更强地出现，但它是否带来关系压力，需要另行判断。</x:v>
      </x:c>
      <x:c r="Z173" s="275" t="str">
        <x:v>不得把旺、弱、喜、忌、透、藏或柱位直接翻译成性格好坏、沟通能力高低、心理疾病或关系结果。</x:v>
      </x:c>
      <x:c r="AA173" s="275" t="str">
        <x:v>中</x:v>
      </x:c>
      <x:c r="AB173" s="275" t="str">
        <x:v>待验证</x:v>
      </x:c>
      <x:c r="AC173" s="275" t="str"/>
      <x:c r="AD173" s="275" t="str">
        <x:v>provisional=true; state_rule=169</x:v>
      </x:c>
      <x:c r="AE173" s="276" t="str">
        <x:v>0.3</x:v>
      </x:c>
    </x:row>
    <x:row r="174">
      <x:c r="A174" s="273" t="str">
        <x:v>M3-EXPR-170</x:v>
      </x:c>
      <x:c r="B174" s="274" t="str">
        <x:v>有制有化｜表达经过调节与转译</x:v>
      </x:c>
      <x:c r="C174" s="275" t="str">
        <x:v>L5 状态修正</x:v>
      </x:c>
      <x:c r="D174" s="275" t="str">
        <x:v>EXPR-状态修正</x:v>
      </x:c>
      <x:c r="E174" s="275" t="str">
        <x:v>通用</x:v>
      </x:c>
      <x:c r="F174" s="275" t="str">
        <x:v>修正</x:v>
      </x:c>
      <x:c r="G174" s="275" t="str">
        <x:v>表达信号有有效制化</x:v>
      </x:c>
      <x:c r="H174" s="275" t="str"/>
      <x:c r="I174" s="275" t="str">
        <x:v>制化关系由共享引擎确认，参与双方均有效且不构成真合化替换。</x:v>
      </x:c>
      <x:c r="J174" s="275" t="str">
        <x:v>基础十神映射未定；真合化已替代原信号但未完成路由；仅由同一source_id重复。</x:v>
      </x:c>
      <x:c r="K174" s="275" t="str">
        <x:v>不限定；由共享基础引擎与M3-STATE修正</x:v>
      </x:c>
      <x:c r="L174" s="275" t="str">
        <x:v>不限定；M3-EXPR不以夫妻星为唯一主轴</x:v>
      </x:c>
      <x:c r="M174" s="275" t="str">
        <x:v>由M3-BASE、日支结构及共享引擎提供</x:v>
      </x:c>
      <x:c r="N174" s="275" t="str">
        <x:v>无／待表达路径规则组合</x:v>
      </x:c>
      <x:c r="O174" s="275" t="str">
        <x:v>全局有效信号；日柱及亲密关系近位优先</x:v>
      </x:c>
      <x:c r="P174" s="275" t="str">
        <x:v>由共享基础引擎判定</x:v>
      </x:c>
      <x:c r="Q174" s="275" t="str">
        <x:v>由共享基础引擎判定</x:v>
      </x:c>
      <x:c r="R174" s="275" t="str">
        <x:v>喜忌不直接等于会不会表达；只修正调用顺畅度与强度</x:v>
      </x:c>
      <x:c r="S174" s="275" t="str">
        <x:v>原十神性质有效；真合化成立时按化神路由</x:v>
      </x:c>
      <x:c r="T174" s="275" t="str">
        <x:v>由共享基础引擎判定</x:v>
      </x:c>
      <x:c r="U174" s="275" t="str">
        <x:v>86</x:v>
      </x:c>
      <x:c r="V174" s="275" t="str">
        <x:v>调节度+7；桥接候选+6</x:v>
      </x:c>
      <x:c r="W174" s="275" t="str">
        <x:v>expression_path</x:v>
      </x:c>
      <x:c r="X174" s="275" t="str">
        <x:v>原通道不再单独直出，而是经过另一系统过滤、整理或落地。</x:v>
      </x:c>
      <x:c r="Y174" s="275" t="str">
        <x:v>你的表达往往不是单一路径，而会先经过整理、协商、行动或规则化后再显现。</x:v>
      </x:c>
      <x:c r="Z174" s="275" t="str">
        <x:v>不得把旺、弱、喜、忌、透、藏或柱位直接翻译成性格好坏、沟通能力高低、心理疾病或关系结果。</x:v>
      </x:c>
      <x:c r="AA174" s="275" t="str">
        <x:v>中高</x:v>
      </x:c>
      <x:c r="AB174" s="275" t="str">
        <x:v>待验证</x:v>
      </x:c>
      <x:c r="AC174" s="275" t="str"/>
      <x:c r="AD174" s="275" t="str">
        <x:v>provisional=true; state_rule=170</x:v>
      </x:c>
      <x:c r="AE174" s="276" t="str">
        <x:v>0.3</x:v>
      </x:c>
    </x:row>
    <x:row r="175">
      <x:c r="A175" s="273" t="str">
        <x:v>M3-EXPR-171</x:v>
      </x:c>
      <x:c r="B175" s="274" t="str">
        <x:v>无制且过强｜第一通道占位较高</x:v>
      </x:c>
      <x:c r="C175" s="275" t="str">
        <x:v>L5 状态修正</x:v>
      </x:c>
      <x:c r="D175" s="275" t="str">
        <x:v>EXPR-状态修正</x:v>
      </x:c>
      <x:c r="E175" s="275" t="str">
        <x:v>通用</x:v>
      </x:c>
      <x:c r="F175" s="275" t="str">
        <x:v>修正</x:v>
      </x:c>
      <x:c r="G175" s="275" t="str">
        <x:v>表达信号无制且过强</x:v>
      </x:c>
      <x:c r="H175" s="275" t="str"/>
      <x:c r="I175" s="275" t="str">
        <x:v>信号过强且缺少有效调节；基础性质明确。</x:v>
      </x:c>
      <x:c r="J175" s="275" t="str">
        <x:v>基础十神映射未定；真合化已替代原信号但未完成路由；仅由同一source_id重复。</x:v>
      </x:c>
      <x:c r="K175" s="275" t="str">
        <x:v>不限定；由共享基础引擎与M3-STATE修正</x:v>
      </x:c>
      <x:c r="L175" s="275" t="str">
        <x:v>不限定；M3-EXPR不以夫妻星为唯一主轴</x:v>
      </x:c>
      <x:c r="M175" s="275" t="str">
        <x:v>由M3-BASE、日支结构及共享引擎提供</x:v>
      </x:c>
      <x:c r="N175" s="275" t="str">
        <x:v>无／待表达路径规则组合</x:v>
      </x:c>
      <x:c r="O175" s="275" t="str">
        <x:v>全局有效信号；日柱及亲密关系近位优先</x:v>
      </x:c>
      <x:c r="P175" s="275" t="str">
        <x:v>由共享基础引擎判定</x:v>
      </x:c>
      <x:c r="Q175" s="275" t="str">
        <x:v>由共享基础引擎判定</x:v>
      </x:c>
      <x:c r="R175" s="275" t="str">
        <x:v>喜忌不直接等于会不会表达；只修正调用顺畅度与强度</x:v>
      </x:c>
      <x:c r="S175" s="275" t="str">
        <x:v>原十神性质有效；真合化成立时按化神路由</x:v>
      </x:c>
      <x:c r="T175" s="275" t="str">
        <x:v>由共享基础引擎判定</x:v>
      </x:c>
      <x:c r="U175" s="275" t="str">
        <x:v>82</x:v>
      </x:c>
      <x:c r="V175" s="275" t="str">
        <x:v>主通道优先级+7；STATE候选</x:v>
      </x:c>
      <x:c r="W175" s="275" t="str">
        <x:v>stress_shift</x:v>
      </x:c>
      <x:c r="X175" s="275" t="str">
        <x:v>只说明该通道更可能成为第一反应，不直接推断伤害或沟通失败。</x:v>
      </x:c>
      <x:c r="Y175" s="275" t="str">
        <x:v>遇到重要议题时，你可能更快回到这套最熟悉的表达方式。</x:v>
      </x:c>
      <x:c r="Z175" s="275" t="str">
        <x:v>不得把旺、弱、喜、忌、透、藏或柱位直接翻译成性格好坏、沟通能力高低、心理疾病或关系结果。</x:v>
      </x:c>
      <x:c r="AA175" s="275" t="str">
        <x:v>中</x:v>
      </x:c>
      <x:c r="AB175" s="275" t="str">
        <x:v>待验证</x:v>
      </x:c>
      <x:c r="AC175" s="275" t="str"/>
      <x:c r="AD175" s="275" t="str">
        <x:v>provisional=true; state_rule=171</x:v>
      </x:c>
      <x:c r="AE175" s="276" t="str">
        <x:v>0.3</x:v>
      </x:c>
    </x:row>
    <x:row r="176">
      <x:c r="A176" s="273" t="str">
        <x:v>M3-EXPR-172</x:v>
      </x:c>
      <x:c r="B176" s="274" t="str">
        <x:v>合而不化｜保留原通道并增加联动</x:v>
      </x:c>
      <x:c r="C176" s="275" t="str">
        <x:v>L5 状态修正</x:v>
      </x:c>
      <x:c r="D176" s="275" t="str">
        <x:v>EXPR-状态修正</x:v>
      </x:c>
      <x:c r="E176" s="275" t="str">
        <x:v>通用</x:v>
      </x:c>
      <x:c r="F176" s="275" t="str">
        <x:v>修正</x:v>
      </x:c>
      <x:c r="G176" s="275" t="str">
        <x:v>表达信号参与有效合但不化</x:v>
      </x:c>
      <x:c r="H176" s="275" t="str"/>
      <x:c r="I176" s="275" t="str">
        <x:v>合而不化或合绊成立；原十神性质仍保留。</x:v>
      </x:c>
      <x:c r="J176" s="275" t="str">
        <x:v>基础十神映射未定；真合化已替代原信号但未完成路由；仅由同一source_id重复。</x:v>
      </x:c>
      <x:c r="K176" s="275" t="str">
        <x:v>不限定；由共享基础引擎与M3-STATE修正</x:v>
      </x:c>
      <x:c r="L176" s="275" t="str">
        <x:v>不限定；M3-EXPR不以夫妻星为唯一主轴</x:v>
      </x:c>
      <x:c r="M176" s="275" t="str">
        <x:v>由M3-BASE、日支结构及共享引擎提供</x:v>
      </x:c>
      <x:c r="N176" s="275" t="str">
        <x:v>无／待表达路径规则组合</x:v>
      </x:c>
      <x:c r="O176" s="275" t="str">
        <x:v>全局有效信号；日柱及亲密关系近位优先</x:v>
      </x:c>
      <x:c r="P176" s="275" t="str">
        <x:v>由共享基础引擎判定</x:v>
      </x:c>
      <x:c r="Q176" s="275" t="str">
        <x:v>由共享基础引擎判定</x:v>
      </x:c>
      <x:c r="R176" s="275" t="str">
        <x:v>喜忌不直接等于会不会表达；只修正调用顺畅度与强度</x:v>
      </x:c>
      <x:c r="S176" s="275" t="str">
        <x:v>原十神性质有效；真合化成立时按化神路由</x:v>
      </x:c>
      <x:c r="T176" s="275" t="str">
        <x:v>由共享基础引擎判定</x:v>
      </x:c>
      <x:c r="U176" s="275" t="str">
        <x:v>84</x:v>
      </x:c>
      <x:c r="V176" s="275" t="str">
        <x:v>原通道保留；联动+5</x:v>
      </x:c>
      <x:c r="W176" s="275" t="str">
        <x:v>expression_path</x:v>
      </x:c>
      <x:c r="X176" s="275" t="str">
        <x:v>原通道继续有效，同时增加与另一通道协调、等待或联动的倾向。</x:v>
      </x:c>
      <x:c r="Y176" s="275" t="str">
        <x:v>你的原有表达方式仍在，但有时需要先协调对方、环境或另一项考虑，才会完整表现。</x:v>
      </x:c>
      <x:c r="Z176" s="275" t="str">
        <x:v>不得把旺、弱、喜、忌、透、藏或柱位直接翻译成性格好坏、沟通能力高低、心理疾病或关系结果。</x:v>
      </x:c>
      <x:c r="AA176" s="275" t="str">
        <x:v>中</x:v>
      </x:c>
      <x:c r="AB176" s="275" t="str">
        <x:v>待验证</x:v>
      </x:c>
      <x:c r="AC176" s="275" t="str"/>
      <x:c r="AD176" s="275" t="str">
        <x:v>provisional=true; state_rule=172</x:v>
      </x:c>
      <x:c r="AE176" s="276" t="str">
        <x:v>0.3</x:v>
      </x:c>
    </x:row>
    <x:row r="177">
      <x:c r="A177" s="273" t="str">
        <x:v>M3-EXPR-173</x:v>
      </x:c>
      <x:c r="B177" s="274" t="str">
        <x:v>真合化｜停止原通道并路由化神</x:v>
      </x:c>
      <x:c r="C177" s="275" t="str">
        <x:v>L5 状态修正</x:v>
      </x:c>
      <x:c r="D177" s="275" t="str">
        <x:v>EXPR-状态修正</x:v>
      </x:c>
      <x:c r="E177" s="275" t="str">
        <x:v>通用</x:v>
      </x:c>
      <x:c r="F177" s="275" t="str">
        <x:v>停止</x:v>
      </x:c>
      <x:c r="G177" s="275" t="str">
        <x:v>表达信号真合化</x:v>
      </x:c>
      <x:c r="H177" s="275" t="str"/>
      <x:c r="I177" s="275" t="str">
        <x:v>共享引擎确认真合化成立，原十神功能被有效替换。</x:v>
      </x:c>
      <x:c r="J177" s="275" t="str">
        <x:v>基础十神映射未定；真合化已替代原信号但未完成路由；仅由同一source_id重复。</x:v>
      </x:c>
      <x:c r="K177" s="275" t="str">
        <x:v>不限定；由共享基础引擎与M3-STATE修正</x:v>
      </x:c>
      <x:c r="L177" s="275" t="str">
        <x:v>不限定；M3-EXPR不以夫妻星为唯一主轴</x:v>
      </x:c>
      <x:c r="M177" s="275" t="str">
        <x:v>由M3-BASE、日支结构及共享引擎提供</x:v>
      </x:c>
      <x:c r="N177" s="275" t="str">
        <x:v>无／待表达路径规则组合</x:v>
      </x:c>
      <x:c r="O177" s="275" t="str">
        <x:v>全局有效信号；日柱及亲密关系近位优先</x:v>
      </x:c>
      <x:c r="P177" s="275" t="str">
        <x:v>由共享基础引擎判定</x:v>
      </x:c>
      <x:c r="Q177" s="275" t="str">
        <x:v>由共享基础引擎判定</x:v>
      </x:c>
      <x:c r="R177" s="275" t="str">
        <x:v>喜忌不直接等于会不会表达；只修正调用顺畅度与强度</x:v>
      </x:c>
      <x:c r="S177" s="275" t="str">
        <x:v>原十神性质有效；真合化成立时按化神路由</x:v>
      </x:c>
      <x:c r="T177" s="275" t="str">
        <x:v>由共享基础引擎判定</x:v>
      </x:c>
      <x:c r="U177" s="275" t="str">
        <x:v>99</x:v>
      </x:c>
      <x:c r="V177" s="275" t="str">
        <x:v>原通道清零；路由化神</x:v>
      </x:c>
      <x:c r="W177" s="275" t="str">
        <x:v>primary_expression_channel</x:v>
      </x:c>
      <x:c r="X177" s="275" t="str">
        <x:v>原信号基础分清零，按化神五行映射新的功能系统；不能两边同时满分。</x:v>
      </x:c>
      <x:c r="Y177" s="275" t="str">
        <x:v>原来的表达标签暂不直接使用，需要按转化后的功能方向重新判断。</x:v>
      </x:c>
      <x:c r="Z177" s="275" t="str">
        <x:v>不得把旺、弱、喜、忌、透、藏或柱位直接翻译成性格好坏、沟通能力高低、心理疾病或关系结果。</x:v>
      </x:c>
      <x:c r="AA177" s="275" t="str">
        <x:v>停止</x:v>
      </x:c>
      <x:c r="AB177" s="275" t="str">
        <x:v>待验证</x:v>
      </x:c>
      <x:c r="AC177" s="275" t="str"/>
      <x:c r="AD177" s="275" t="str">
        <x:v>provisional=true; state_rule=173</x:v>
      </x:c>
      <x:c r="AE177" s="276" t="str">
        <x:v>0.3</x:v>
      </x:c>
    </x:row>
    <x:row r="178">
      <x:c r="A178" s="273" t="str">
        <x:v>M3-EXPR-174</x:v>
      </x:c>
      <x:c r="B178" s="274" t="str">
        <x:v>合化争议｜停止强表达结论</x:v>
      </x:c>
      <x:c r="C178" s="275" t="str">
        <x:v>L5 状态修正</x:v>
      </x:c>
      <x:c r="D178" s="275" t="str">
        <x:v>EXPR-状态修正</x:v>
      </x:c>
      <x:c r="E178" s="275" t="str">
        <x:v>通用</x:v>
      </x:c>
      <x:c r="F178" s="275" t="str">
        <x:v>停止</x:v>
      </x:c>
      <x:c r="G178" s="275" t="str">
        <x:v>表达信号合化状态有争议</x:v>
      </x:c>
      <x:c r="H178" s="275" t="str"/>
      <x:c r="I178" s="275" t="str">
        <x:v>合化是否成立会改变主要表达通道，但当前证据不足。</x:v>
      </x:c>
      <x:c r="J178" s="275" t="str">
        <x:v>基础十神映射未定；真合化已替代原信号但未完成路由；仅由同一source_id重复。</x:v>
      </x:c>
      <x:c r="K178" s="275" t="str">
        <x:v>不限定；由共享基础引擎与M3-STATE修正</x:v>
      </x:c>
      <x:c r="L178" s="275" t="str">
        <x:v>不限定；M3-EXPR不以夫妻星为唯一主轴</x:v>
      </x:c>
      <x:c r="M178" s="275" t="str">
        <x:v>由M3-BASE、日支结构及共享引擎提供</x:v>
      </x:c>
      <x:c r="N178" s="275" t="str">
        <x:v>无／待表达路径规则组合</x:v>
      </x:c>
      <x:c r="O178" s="275" t="str">
        <x:v>全局有效信号；日柱及亲密关系近位优先</x:v>
      </x:c>
      <x:c r="P178" s="275" t="str">
        <x:v>由共享基础引擎判定</x:v>
      </x:c>
      <x:c r="Q178" s="275" t="str">
        <x:v>由共享基础引擎判定</x:v>
      </x:c>
      <x:c r="R178" s="275" t="str">
        <x:v>喜忌不直接等于会不会表达；只修正调用顺畅度与强度</x:v>
      </x:c>
      <x:c r="S178" s="275" t="str">
        <x:v>原十神性质有效；真合化成立时按化神路由</x:v>
      </x:c>
      <x:c r="T178" s="275" t="str">
        <x:v>由共享基础引擎判定</x:v>
      </x:c>
      <x:c r="U178" s="275" t="str">
        <x:v>99</x:v>
      </x:c>
      <x:c r="V178" s="275" t="str">
        <x:v>主通道停止；confidence低</x:v>
      </x:c>
      <x:c r="W178" s="275" t="str">
        <x:v>confidence</x:v>
      </x:c>
      <x:c r="X178" s="275" t="str">
        <x:v>停止主通道和路径强结论，只保留有限系统层候选。</x:v>
      </x:c>
      <x:c r="Y178" s="275" t="str">
        <x:v>当前结构会直接影响表达方式的判断，因此暂不把你固定为某一种表达类型。</x:v>
      </x:c>
      <x:c r="Z178" s="275" t="str">
        <x:v>不得把旺、弱、喜、忌、透、藏或柱位直接翻译成性格好坏、沟通能力高低、心理疾病或关系结果。</x:v>
      </x:c>
      <x:c r="AA178" s="275" t="str">
        <x:v>停止</x:v>
      </x:c>
      <x:c r="AB178" s="275" t="str">
        <x:v>待验证</x:v>
      </x:c>
      <x:c r="AC178" s="275" t="str"/>
      <x:c r="AD178" s="275" t="str">
        <x:v>provisional=true; state_rule=174</x:v>
      </x:c>
      <x:c r="AE178" s="276" t="str">
        <x:v>0.3</x:v>
      </x:c>
    </x:row>
    <x:row r="179">
      <x:c r="A179" s="273" t="str">
        <x:v>M3-EXPR-175</x:v>
      </x:c>
      <x:c r="B179" s="274" t="str">
        <x:v>印生比劫｜理解转为自我立场</x:v>
      </x:c>
      <x:c r="C179" s="275" t="str">
        <x:v>L5 状态修正</x:v>
      </x:c>
      <x:c r="D179" s="275" t="str">
        <x:v>EXPR-状态修正</x:v>
      </x:c>
      <x:c r="E179" s="275" t="str">
        <x:v>通用</x:v>
      </x:c>
      <x:c r="F179" s="275" t="str">
        <x:v>路径修正</x:v>
      </x:c>
      <x:c r="G179" s="275" t="str">
        <x:v>印→比劫有效</x:v>
      </x:c>
      <x:c r="H179" s="275" t="str"/>
      <x:c r="I179" s="275" t="str">
        <x:v>印星与比劫均有效，生助流向成立，且不是同一事实重复。</x:v>
      </x:c>
      <x:c r="J179" s="275" t="str">
        <x:v>基础十神映射未定；真合化已替代原信号但未完成路由；仅由同一source_id重复。</x:v>
      </x:c>
      <x:c r="K179" s="275" t="str">
        <x:v>不限定；由共享基础引擎与M3-STATE修正</x:v>
      </x:c>
      <x:c r="L179" s="275" t="str">
        <x:v>不限定；M3-EXPR不以夫妻星为唯一主轴</x:v>
      </x:c>
      <x:c r="M179" s="275" t="str">
        <x:v>由M3-BASE、日支结构及共享引擎提供</x:v>
      </x:c>
      <x:c r="N179" s="275" t="str">
        <x:v>无／待表达路径规则组合</x:v>
      </x:c>
      <x:c r="O179" s="275" t="str">
        <x:v>全局有效信号；日柱及亲密关系近位优先</x:v>
      </x:c>
      <x:c r="P179" s="275" t="str">
        <x:v>由共享基础引擎判定</x:v>
      </x:c>
      <x:c r="Q179" s="275" t="str">
        <x:v>由共享基础引擎判定</x:v>
      </x:c>
      <x:c r="R179" s="275" t="str">
        <x:v>喜忌不直接等于会不会表达；只修正调用顺畅度与强度</x:v>
      </x:c>
      <x:c r="S179" s="275" t="str">
        <x:v>原十神性质有效；真合化成立时按化神路由</x:v>
      </x:c>
      <x:c r="T179" s="275" t="str">
        <x:v>由共享基础引擎判定</x:v>
      </x:c>
      <x:c r="U179" s="275" t="str">
        <x:v>78</x:v>
      </x:c>
      <x:c r="V179" s="275" t="str">
        <x:v>XP03/XP04候选+6</x:v>
      </x:c>
      <x:c r="W179" s="275" t="str">
        <x:v>expression_path</x:v>
      </x:c>
      <x:c r="X179" s="275" t="str">
        <x:v>用户先获得内部理解和安全，再形成自己的立场、条件与选择。</x:v>
      </x:c>
      <x:c r="Y179" s="275" t="str">
        <x:v>你往往先弄清自己真正怎么想，再把它转成更清楚的立场和条件。</x:v>
      </x:c>
      <x:c r="Z179" s="275" t="str">
        <x:v>不得把旺、弱、喜、忌、透、藏或柱位直接翻译成性格好坏、沟通能力高低、心理疾病或关系结果。</x:v>
      </x:c>
      <x:c r="AA179" s="275" t="str">
        <x:v>中</x:v>
      </x:c>
      <x:c r="AB179" s="275" t="str">
        <x:v>待验证</x:v>
      </x:c>
      <x:c r="AC179" s="275" t="str"/>
      <x:c r="AD179" s="275" t="str">
        <x:v>provisional=true; state_rule=175</x:v>
      </x:c>
      <x:c r="AE179" s="276" t="str">
        <x:v>0.3</x:v>
      </x:c>
    </x:row>
    <x:row r="180">
      <x:c r="A180" s="273" t="str">
        <x:v>M3-EXPR-176</x:v>
      </x:c>
      <x:c r="B180" s="274" t="str">
        <x:v>比劫生食伤｜立场转为语言表达</x:v>
      </x:c>
      <x:c r="C180" s="275" t="str">
        <x:v>L5 状态修正</x:v>
      </x:c>
      <x:c r="D180" s="275" t="str">
        <x:v>EXPR-状态修正</x:v>
      </x:c>
      <x:c r="E180" s="275" t="str">
        <x:v>通用</x:v>
      </x:c>
      <x:c r="F180" s="275" t="str">
        <x:v>路径修正</x:v>
      </x:c>
      <x:c r="G180" s="275" t="str">
        <x:v>比劫→食伤有效</x:v>
      </x:c>
      <x:c r="H180" s="275" t="str"/>
      <x:c r="I180" s="275" t="str">
        <x:v>比劫与食伤两端有效，路径成立，来源独立。</x:v>
      </x:c>
      <x:c r="J180" s="275" t="str">
        <x:v>基础十神映射未定；真合化已替代原信号但未完成路由；仅由同一source_id重复。</x:v>
      </x:c>
      <x:c r="K180" s="275" t="str">
        <x:v>不限定；由共享基础引擎与M3-STATE修正</x:v>
      </x:c>
      <x:c r="L180" s="275" t="str">
        <x:v>不限定；M3-EXPR不以夫妻星为唯一主轴</x:v>
      </x:c>
      <x:c r="M180" s="275" t="str">
        <x:v>由M3-BASE、日支结构及共享引擎提供</x:v>
      </x:c>
      <x:c r="N180" s="275" t="str">
        <x:v>无／待表达路径规则组合</x:v>
      </x:c>
      <x:c r="O180" s="275" t="str">
        <x:v>全局有效信号；日柱及亲密关系近位优先</x:v>
      </x:c>
      <x:c r="P180" s="275" t="str">
        <x:v>由共享基础引擎判定</x:v>
      </x:c>
      <x:c r="Q180" s="275" t="str">
        <x:v>由共享基础引擎判定</x:v>
      </x:c>
      <x:c r="R180" s="275" t="str">
        <x:v>喜忌不直接等于会不会表达；只修正调用顺畅度与强度</x:v>
      </x:c>
      <x:c r="S180" s="275" t="str">
        <x:v>原十神性质有效；真合化成立时按化神路由</x:v>
      </x:c>
      <x:c r="T180" s="275" t="str">
        <x:v>由共享基础引擎判定</x:v>
      </x:c>
      <x:c r="U180" s="275" t="str">
        <x:v>82</x:v>
      </x:c>
      <x:c r="V180" s="275" t="str">
        <x:v>XP04/XP01候选+7</x:v>
      </x:c>
      <x:c r="W180" s="275" t="str">
        <x:v>expression_path</x:v>
      </x:c>
      <x:c r="X180" s="275" t="str">
        <x:v>用户先形成自我位置，再通过语言、分享或说明外化。</x:v>
      </x:c>
      <x:c r="Y180" s="275" t="str">
        <x:v>你较容易先确认自己的立场，再把原因、感受和可协商部分说出来。</x:v>
      </x:c>
      <x:c r="Z180" s="275" t="str">
        <x:v>不得把旺、弱、喜、忌、透、藏或柱位直接翻译成性格好坏、沟通能力高低、心理疾病或关系结果。</x:v>
      </x:c>
      <x:c r="AA180" s="275" t="str">
        <x:v>中高</x:v>
      </x:c>
      <x:c r="AB180" s="275" t="str">
        <x:v>待验证</x:v>
      </x:c>
      <x:c r="AC180" s="275" t="str"/>
      <x:c r="AD180" s="275" t="str">
        <x:v>provisional=true; state_rule=176</x:v>
      </x:c>
      <x:c r="AE180" s="276" t="str">
        <x:v>0.3</x:v>
      </x:c>
    </x:row>
    <x:row r="181">
      <x:c r="A181" s="273" t="str">
        <x:v>M3-EXPR-177</x:v>
      </x:c>
      <x:c r="B181" s="274" t="str">
        <x:v>食伤生财｜表达转为实际行动</x:v>
      </x:c>
      <x:c r="C181" s="275" t="str">
        <x:v>L5 状态修正</x:v>
      </x:c>
      <x:c r="D181" s="275" t="str">
        <x:v>EXPR-状态修正</x:v>
      </x:c>
      <x:c r="E181" s="275" t="str">
        <x:v>通用</x:v>
      </x:c>
      <x:c r="F181" s="275" t="str">
        <x:v>路径修正</x:v>
      </x:c>
      <x:c r="G181" s="275" t="str">
        <x:v>食伤→财有效</x:v>
      </x:c>
      <x:c r="H181" s="275" t="str"/>
      <x:c r="I181" s="275" t="str">
        <x:v>食伤与财星有效，存在实际生助和近位连接。</x:v>
      </x:c>
      <x:c r="J181" s="275" t="str">
        <x:v>基础十神映射未定；真合化已替代原信号但未完成路由；仅由同一source_id重复。</x:v>
      </x:c>
      <x:c r="K181" s="275" t="str">
        <x:v>不限定；由共享基础引擎与M3-STATE修正</x:v>
      </x:c>
      <x:c r="L181" s="275" t="str">
        <x:v>不限定；M3-EXPR不以夫妻星为唯一主轴</x:v>
      </x:c>
      <x:c r="M181" s="275" t="str">
        <x:v>由M3-BASE、日支结构及共享引擎提供</x:v>
      </x:c>
      <x:c r="N181" s="275" t="str">
        <x:v>无／待表达路径规则组合</x:v>
      </x:c>
      <x:c r="O181" s="275" t="str">
        <x:v>全局有效信号；日柱及亲密关系近位优先</x:v>
      </x:c>
      <x:c r="P181" s="275" t="str">
        <x:v>由共享基础引擎判定</x:v>
      </x:c>
      <x:c r="Q181" s="275" t="str">
        <x:v>由共享基础引擎判定</x:v>
      </x:c>
      <x:c r="R181" s="275" t="str">
        <x:v>喜忌不直接等于会不会表达；只修正调用顺畅度与强度</x:v>
      </x:c>
      <x:c r="S181" s="275" t="str">
        <x:v>原十神性质有效；真合化成立时按化神路由</x:v>
      </x:c>
      <x:c r="T181" s="275" t="str">
        <x:v>由共享基础引擎判定</x:v>
      </x:c>
      <x:c r="U181" s="275" t="str">
        <x:v>84</x:v>
      </x:c>
      <x:c r="V181" s="275" t="str">
        <x:v>XP07候选+8；行动转译+7</x:v>
      </x:c>
      <x:c r="W181" s="275" t="str">
        <x:v>action_translation</x:v>
      </x:c>
      <x:c r="X181" s="275" t="str">
        <x:v>语言或情绪表达能进一步转化为安排、时间投入和现实行动。</x:v>
      </x:c>
      <x:c r="Y181" s="275" t="str">
        <x:v>你不只希望把话说清，也较容易继续用实际安排和行动把表达落地。</x:v>
      </x:c>
      <x:c r="Z181" s="275" t="str">
        <x:v>不得把旺、弱、喜、忌、透、藏或柱位直接翻译成性格好坏、沟通能力高低、心理疾病或关系结果。</x:v>
      </x:c>
      <x:c r="AA181" s="275" t="str">
        <x:v>中高</x:v>
      </x:c>
      <x:c r="AB181" s="275" t="str">
        <x:v>待验证</x:v>
      </x:c>
      <x:c r="AC181" s="275" t="str"/>
      <x:c r="AD181" s="275" t="str">
        <x:v>provisional=true; state_rule=177</x:v>
      </x:c>
      <x:c r="AE181" s="276" t="str">
        <x:v>0.3</x:v>
      </x:c>
    </x:row>
    <x:row r="182">
      <x:c r="A182" s="273" t="str">
        <x:v>M3-EXPR-178</x:v>
      </x:c>
      <x:c r="B182" s="274" t="str">
        <x:v>财生官杀｜投入转为责任与承诺</x:v>
      </x:c>
      <x:c r="C182" s="275" t="str">
        <x:v>L5 状态修正</x:v>
      </x:c>
      <x:c r="D182" s="275" t="str">
        <x:v>EXPR-状态修正</x:v>
      </x:c>
      <x:c r="E182" s="275" t="str">
        <x:v>通用</x:v>
      </x:c>
      <x:c r="F182" s="275" t="str">
        <x:v>路径修正</x:v>
      </x:c>
      <x:c r="G182" s="275" t="str">
        <x:v>财→官杀有效</x:v>
      </x:c>
      <x:c r="H182" s="275" t="str"/>
      <x:c r="I182" s="275" t="str">
        <x:v>财星与官杀均有效，生助链成立，非同源重复。</x:v>
      </x:c>
      <x:c r="J182" s="275" t="str">
        <x:v>基础十神映射未定；真合化已替代原信号但未完成路由；仅由同一source_id重复。</x:v>
      </x:c>
      <x:c r="K182" s="275" t="str">
        <x:v>不限定；由共享基础引擎与M3-STATE修正</x:v>
      </x:c>
      <x:c r="L182" s="275" t="str">
        <x:v>不限定；M3-EXPR不以夫妻星为唯一主轴</x:v>
      </x:c>
      <x:c r="M182" s="275" t="str">
        <x:v>由M3-BASE、日支结构及共享引擎提供</x:v>
      </x:c>
      <x:c r="N182" s="275" t="str">
        <x:v>无／待表达路径规则组合</x:v>
      </x:c>
      <x:c r="O182" s="275" t="str">
        <x:v>全局有效信号；日柱及亲密关系近位优先</x:v>
      </x:c>
      <x:c r="P182" s="275" t="str">
        <x:v>由共享基础引擎判定</x:v>
      </x:c>
      <x:c r="Q182" s="275" t="str">
        <x:v>由共享基础引擎判定</x:v>
      </x:c>
      <x:c r="R182" s="275" t="str">
        <x:v>喜忌不直接等于会不会表达；只修正调用顺畅度与强度</x:v>
      </x:c>
      <x:c r="S182" s="275" t="str">
        <x:v>原十神性质有效；真合化成立时按化神路由</x:v>
      </x:c>
      <x:c r="T182" s="275" t="str">
        <x:v>由共享基础引擎判定</x:v>
      </x:c>
      <x:c r="U182" s="275" t="str">
        <x:v>78</x:v>
      </x:c>
      <x:c r="V182" s="275" t="str">
        <x:v>XP08候选+6</x:v>
      </x:c>
      <x:c r="W182" s="275" t="str">
        <x:v>expression_path</x:v>
      </x:c>
      <x:c r="X182" s="275" t="str">
        <x:v>现实投入进一步被组织为承诺、分工、规则或承担。</x:v>
      </x:c>
      <x:c r="Y182" s="275" t="str">
        <x:v>你的实际付出较容易继续变成明确安排、责任和可兑现的承诺。</x:v>
      </x:c>
      <x:c r="Z182" s="275" t="str">
        <x:v>不得把旺、弱、喜、忌、透、藏或柱位直接翻译成性格好坏、沟通能力高低、心理疾病或关系结果。</x:v>
      </x:c>
      <x:c r="AA182" s="275" t="str">
        <x:v>中</x:v>
      </x:c>
      <x:c r="AB182" s="275" t="str">
        <x:v>待验证</x:v>
      </x:c>
      <x:c r="AC182" s="275" t="str"/>
      <x:c r="AD182" s="275" t="str">
        <x:v>provisional=true; state_rule=178</x:v>
      </x:c>
      <x:c r="AE182" s="276" t="str">
        <x:v>0.3</x:v>
      </x:c>
    </x:row>
    <x:row r="183">
      <x:c r="A183" s="273" t="str">
        <x:v>M3-EXPR-179</x:v>
      </x:c>
      <x:c r="B183" s="274" t="str">
        <x:v>官杀生印｜兑现形成安全与理解</x:v>
      </x:c>
      <x:c r="C183" s="275" t="str">
        <x:v>L5 状态修正</x:v>
      </x:c>
      <x:c r="D183" s="275" t="str">
        <x:v>EXPR-状态修正</x:v>
      </x:c>
      <x:c r="E183" s="275" t="str">
        <x:v>通用</x:v>
      </x:c>
      <x:c r="F183" s="275" t="str">
        <x:v>路径修正</x:v>
      </x:c>
      <x:c r="G183" s="275" t="str">
        <x:v>官杀→印有效</x:v>
      </x:c>
      <x:c r="H183" s="275" t="str"/>
      <x:c r="I183" s="275" t="str">
        <x:v>官杀与印星均有效，生助链成立。</x:v>
      </x:c>
      <x:c r="J183" s="275" t="str">
        <x:v>基础十神映射未定；真合化已替代原信号但未完成路由；仅由同一source_id重复。</x:v>
      </x:c>
      <x:c r="K183" s="275" t="str">
        <x:v>不限定；由共享基础引擎与M3-STATE修正</x:v>
      </x:c>
      <x:c r="L183" s="275" t="str">
        <x:v>不限定；M3-EXPR不以夫妻星为唯一主轴</x:v>
      </x:c>
      <x:c r="M183" s="275" t="str">
        <x:v>由M3-BASE、日支结构及共享引擎提供</x:v>
      </x:c>
      <x:c r="N183" s="275" t="str">
        <x:v>无／待表达路径规则组合</x:v>
      </x:c>
      <x:c r="O183" s="275" t="str">
        <x:v>全局有效信号；日柱及亲密关系近位优先</x:v>
      </x:c>
      <x:c r="P183" s="275" t="str">
        <x:v>由共享基础引擎判定</x:v>
      </x:c>
      <x:c r="Q183" s="275" t="str">
        <x:v>由共享基础引擎判定</x:v>
      </x:c>
      <x:c r="R183" s="275" t="str">
        <x:v>喜忌不直接等于会不会表达；只修正调用顺畅度与强度</x:v>
      </x:c>
      <x:c r="S183" s="275" t="str">
        <x:v>原十神性质有效；真合化成立时按化神路由</x:v>
      </x:c>
      <x:c r="T183" s="275" t="str">
        <x:v>由共享基础引擎判定</x:v>
      </x:c>
      <x:c r="U183" s="275" t="str">
        <x:v>78</x:v>
      </x:c>
      <x:c r="V183" s="275" t="str">
        <x:v>XP05/XP03候选+6</x:v>
      </x:c>
      <x:c r="W183" s="275" t="str">
        <x:v>expression_path</x:v>
      </x:c>
      <x:c r="X183" s="275" t="str">
        <x:v>行动、责任或承诺兑现后，用户才更容易形成安全感并开放情绪表达。</x:v>
      </x:c>
      <x:c r="Y183" s="275" t="str">
        <x:v>当事情被负责地处理、承诺真正兑现后，你会更容易安心，也更愿意表达更深的感受。</x:v>
      </x:c>
      <x:c r="Z183" s="275" t="str">
        <x:v>不得把旺、弱、喜、忌、透、藏或柱位直接翻译成性格好坏、沟通能力高低、心理疾病或关系结果。</x:v>
      </x:c>
      <x:c r="AA183" s="275" t="str">
        <x:v>中</x:v>
      </x:c>
      <x:c r="AB183" s="275" t="str">
        <x:v>待验证</x:v>
      </x:c>
      <x:c r="AC183" s="275" t="str"/>
      <x:c r="AD183" s="275" t="str">
        <x:v>provisional=true; state_rule=179</x:v>
      </x:c>
      <x:c r="AE183" s="276" t="str">
        <x:v>0.3</x:v>
      </x:c>
    </x:row>
    <x:row r="184">
      <x:c r="A184" s="273" t="str">
        <x:v>M3-EXPR-180</x:v>
      </x:c>
      <x:c r="B184" s="274" t="str">
        <x:v>制约筛选链总则｜先检验再表达</x:v>
      </x:c>
      <x:c r="C184" s="275" t="str">
        <x:v>L5 状态修正</x:v>
      </x:c>
      <x:c r="D184" s="275" t="str">
        <x:v>EXPR-状态修正</x:v>
      </x:c>
      <x:c r="E184" s="275" t="str">
        <x:v>通用</x:v>
      </x:c>
      <x:c r="F184" s="275" t="str">
        <x:v>门控</x:v>
      </x:c>
      <x:c r="G184" s="275" t="str">
        <x:v>有效制约关系</x:v>
      </x:c>
      <x:c r="H184" s="275" t="str"/>
      <x:c r="I184" s="275" t="str">
        <x:v>制约双方均有效，力量可承载，且不是一方完全压倒另一方。</x:v>
      </x:c>
      <x:c r="J184" s="275" t="str">
        <x:v>基础十神映射未定；真合化已替代原信号但未完成路由；仅由同一source_id重复。</x:v>
      </x:c>
      <x:c r="K184" s="275" t="str">
        <x:v>不限定；由共享基础引擎与M3-STATE修正</x:v>
      </x:c>
      <x:c r="L184" s="275" t="str">
        <x:v>不限定；M3-EXPR不以夫妻星为唯一主轴</x:v>
      </x:c>
      <x:c r="M184" s="275" t="str">
        <x:v>由M3-BASE、日支结构及共享引擎提供</x:v>
      </x:c>
      <x:c r="N184" s="275" t="str">
        <x:v>无／待表达路径规则组合</x:v>
      </x:c>
      <x:c r="O184" s="275" t="str">
        <x:v>全局有效信号；日柱及亲密关系近位优先</x:v>
      </x:c>
      <x:c r="P184" s="275" t="str">
        <x:v>由共享基础引擎判定</x:v>
      </x:c>
      <x:c r="Q184" s="275" t="str">
        <x:v>由共享基础引擎判定</x:v>
      </x:c>
      <x:c r="R184" s="275" t="str">
        <x:v>喜忌不直接等于会不会表达；只修正调用顺畅度与强度</x:v>
      </x:c>
      <x:c r="S184" s="275" t="str">
        <x:v>原十神性质有效；真合化成立时按化神路由</x:v>
      </x:c>
      <x:c r="T184" s="275" t="str">
        <x:v>由共享基础引擎判定</x:v>
      </x:c>
      <x:c r="U184" s="275" t="str">
        <x:v>88</x:v>
      </x:c>
      <x:c r="V184" s="275" t="str">
        <x:v>筛选路径候选+6</x:v>
      </x:c>
      <x:c r="W184" s="275" t="str">
        <x:v>expression_path</x:v>
      </x:c>
      <x:c r="X184" s="275" t="str">
        <x:v>制约在EXPR中解释为一类信息先检验、过滤或结构化另一类信息；若完全压倒则转停止或STATE。</x:v>
      </x:c>
      <x:c r="Y184" s="275" t="str">
        <x:v>你的表达可能会先经过一道检查：先确认安全、逻辑、边界、事实或责任，再决定怎样说。</x:v>
      </x:c>
      <x:c r="Z184" s="275" t="str">
        <x:v>不得把旺、弱、喜、忌、透、藏或柱位直接翻译成性格好坏、沟通能力高低、心理疾病或关系结果。</x:v>
      </x:c>
      <x:c r="AA184" s="275" t="str">
        <x:v>中</x:v>
      </x:c>
      <x:c r="AB184" s="275" t="str">
        <x:v>待验证</x:v>
      </x:c>
      <x:c r="AC184" s="275" t="str"/>
      <x:c r="AD184" s="275" t="str">
        <x:v>provisional=true; state_rule=180</x:v>
      </x:c>
      <x:c r="AE184" s="276" t="str">
        <x:v>0.3</x:v>
      </x:c>
    </x:row>
    <x:row r="185">
      <x:c r="A185" s="273" t="str">
        <x:v>M3-EXPR-181</x:v>
      </x:c>
      <x:c r="B185" s="274" t="str">
        <x:v>印制食伤｜先内部筛选再外化</x:v>
      </x:c>
      <x:c r="C185" s="275" t="str">
        <x:v>L6 跨模块接口</x:v>
      </x:c>
      <x:c r="D185" s="275" t="str">
        <x:v>EXPR-接口门控</x:v>
      </x:c>
      <x:c r="E185" s="275" t="str">
        <x:v>通用</x:v>
      </x:c>
      <x:c r="F185" s="275" t="str">
        <x:v>路径修正</x:v>
      </x:c>
      <x:c r="G185" s="275" t="str">
        <x:v>印制食伤</x:v>
      </x:c>
      <x:c r="H185" s="275" t="str"/>
      <x:c r="I185" s="275" t="str">
        <x:v>印与食伤均有效，制约可承载，食伤未被完全压制。</x:v>
      </x:c>
      <x:c r="J185" s="275" t="str">
        <x:v>基础事实未定；只有同一source_id重复；该接口所依赖的上游模块已停止。</x:v>
      </x:c>
      <x:c r="K185" s="275" t="str">
        <x:v>不限定；由共享基础引擎与M3-STATE修正</x:v>
      </x:c>
      <x:c r="L185" s="275" t="str">
        <x:v>不限定；M3-EXPR不以夫妻星为唯一主轴</x:v>
      </x:c>
      <x:c r="M185" s="275" t="str">
        <x:v>由M3-BASE、日支结构及共享引擎提供</x:v>
      </x:c>
      <x:c r="N185" s="275" t="str">
        <x:v>无／待表达路径规则组合</x:v>
      </x:c>
      <x:c r="O185" s="275" t="str">
        <x:v>全局有效信号；日柱及亲密关系近位优先</x:v>
      </x:c>
      <x:c r="P185" s="275" t="str">
        <x:v>由共享基础引擎判定</x:v>
      </x:c>
      <x:c r="Q185" s="275" t="str">
        <x:v>由共享基础引擎判定</x:v>
      </x:c>
      <x:c r="R185" s="275" t="str">
        <x:v>喜忌不直接等于会不会表达；只修正调用顺畅度与强度</x:v>
      </x:c>
      <x:c r="S185" s="275" t="str">
        <x:v>原十神性质有效；真合化成立时按化神路由</x:v>
      </x:c>
      <x:c r="T185" s="275" t="str">
        <x:v>由共享基础引擎判定</x:v>
      </x:c>
      <x:c r="U185" s="275" t="str">
        <x:v>88</x:v>
      </x:c>
      <x:c r="V185" s="275" t="str">
        <x:v>XP03候选+7；即时性-3</x:v>
      </x:c>
      <x:c r="W185" s="275" t="str">
        <x:v>expression_path</x:v>
      </x:c>
      <x:c r="X185" s="275" t="str">
        <x:v>印星对食伤的作用在EXPR中解释为：先确认安全、意义和表达方式，再把感受外化；不是“不会说”。</x:v>
      </x:c>
      <x:c r="Y185" s="275" t="str">
        <x:v>你通常会先在心里筛选和整理，确认怎样说更合适后，再把真正想表达的内容说出来。</x:v>
      </x:c>
      <x:c r="Z185" s="275" t="str">
        <x:v>接口只负责路由、去重或停止；不得越权生成其他模块的最终结论。</x:v>
      </x:c>
      <x:c r="AA185" s="275" t="str">
        <x:v>中高</x:v>
      </x:c>
      <x:c r="AB185" s="275" t="str">
        <x:v>待验证</x:v>
      </x:c>
      <x:c r="AC185" s="275" t="str"/>
      <x:c r="AD185" s="275" t="str">
        <x:v>provisional=true; interface_rule=181</x:v>
      </x:c>
      <x:c r="AE185" s="276" t="str">
        <x:v>0.3</x:v>
      </x:c>
    </x:row>
    <x:row r="186">
      <x:c r="A186" s="273" t="str">
        <x:v>M3-EXPR-182</x:v>
      </x:c>
      <x:c r="B186" s="274" t="str">
        <x:v>食伤制官杀｜先说明逻辑再接受框架</x:v>
      </x:c>
      <x:c r="C186" s="275" t="str">
        <x:v>L6 跨模块接口</x:v>
      </x:c>
      <x:c r="D186" s="275" t="str">
        <x:v>EXPR-接口门控</x:v>
      </x:c>
      <x:c r="E186" s="275" t="str">
        <x:v>通用</x:v>
      </x:c>
      <x:c r="F186" s="275" t="str">
        <x:v>路径修正</x:v>
      </x:c>
      <x:c r="G186" s="275" t="str">
        <x:v>食伤制官杀</x:v>
      </x:c>
      <x:c r="H186" s="275" t="str"/>
      <x:c r="I186" s="275" t="str">
        <x:v>食伤与官杀均有效，制约关系成立且不构成一方彻底失效。</x:v>
      </x:c>
      <x:c r="J186" s="275" t="str">
        <x:v>基础事实未定；只有同一source_id重复；该接口所依赖的上游模块已停止。</x:v>
      </x:c>
      <x:c r="K186" s="275" t="str">
        <x:v>不限定；由共享基础引擎与M3-STATE修正</x:v>
      </x:c>
      <x:c r="L186" s="275" t="str">
        <x:v>不限定；M3-EXPR不以夫妻星为唯一主轴</x:v>
      </x:c>
      <x:c r="M186" s="275" t="str">
        <x:v>由M3-BASE、日支结构及共享引擎提供</x:v>
      </x:c>
      <x:c r="N186" s="275" t="str">
        <x:v>无／待表达路径规则组合</x:v>
      </x:c>
      <x:c r="O186" s="275" t="str">
        <x:v>全局有效信号；日柱及亲密关系近位优先</x:v>
      </x:c>
      <x:c r="P186" s="275" t="str">
        <x:v>由共享基础引擎判定</x:v>
      </x:c>
      <x:c r="Q186" s="275" t="str">
        <x:v>由共享基础引擎判定</x:v>
      </x:c>
      <x:c r="R186" s="275" t="str">
        <x:v>喜忌不直接等于会不会表达；只修正调用顺畅度与强度</x:v>
      </x:c>
      <x:c r="S186" s="275" t="str">
        <x:v>原十神性质有效；真合化成立时按化神路由</x:v>
      </x:c>
      <x:c r="T186" s="275" t="str">
        <x:v>由共享基础引擎判定</x:v>
      </x:c>
      <x:c r="U186" s="275" t="str">
        <x:v>88</x:v>
      </x:c>
      <x:c r="V186" s="275" t="str">
        <x:v>XP01/XP08桥接+7</x:v>
      </x:c>
      <x:c r="W186" s="275" t="str">
        <x:v>communication_style</x:v>
      </x:c>
      <x:c r="X186" s="275" t="str">
        <x:v>用户会通过解释、提问和澄清来检验规则、责任或行动安排，再决定怎样配合。</x:v>
      </x:c>
      <x:c r="Y186" s="275" t="str">
        <x:v>面对责任、规则或重要安排时，你往往需要先把理由和细节说清楚，再确认怎样执行。</x:v>
      </x:c>
      <x:c r="Z186" s="275" t="str">
        <x:v>接口只负责路由、去重或停止；不得越权生成其他模块的最终结论。</x:v>
      </x:c>
      <x:c r="AA186" s="275" t="str">
        <x:v>中高</x:v>
      </x:c>
      <x:c r="AB186" s="275" t="str">
        <x:v>待验证</x:v>
      </x:c>
      <x:c r="AC186" s="275" t="str"/>
      <x:c r="AD186" s="275" t="str">
        <x:v>provisional=true; interface_rule=182</x:v>
      </x:c>
      <x:c r="AE186" s="276" t="str">
        <x:v>0.3</x:v>
      </x:c>
    </x:row>
    <x:row r="187">
      <x:c r="A187" s="273" t="str">
        <x:v>M3-EXPR-183</x:v>
      </x:c>
      <x:c r="B187" s="274" t="str">
        <x:v>官杀制比劫｜责任框架组织自我表达</x:v>
      </x:c>
      <x:c r="C187" s="275" t="str">
        <x:v>L6 跨模块接口</x:v>
      </x:c>
      <x:c r="D187" s="275" t="str">
        <x:v>EXPR-接口门控</x:v>
      </x:c>
      <x:c r="E187" s="275" t="str">
        <x:v>通用</x:v>
      </x:c>
      <x:c r="F187" s="275" t="str">
        <x:v>路径修正</x:v>
      </x:c>
      <x:c r="G187" s="275" t="str">
        <x:v>官杀制比劫</x:v>
      </x:c>
      <x:c r="H187" s="275" t="str"/>
      <x:c r="I187" s="275" t="str">
        <x:v>官杀与比劫均有效，制约可承载，比劫未完全失效。</x:v>
      </x:c>
      <x:c r="J187" s="275" t="str">
        <x:v>基础事实未定；只有同一source_id重复；该接口所依赖的上游模块已停止。</x:v>
      </x:c>
      <x:c r="K187" s="275" t="str">
        <x:v>不限定；由共享基础引擎与M3-STATE修正</x:v>
      </x:c>
      <x:c r="L187" s="275" t="str">
        <x:v>不限定；M3-EXPR不以夫妻星为唯一主轴</x:v>
      </x:c>
      <x:c r="M187" s="275" t="str">
        <x:v>由M3-BASE、日支结构及共享引擎提供</x:v>
      </x:c>
      <x:c r="N187" s="275" t="str">
        <x:v>无／待表达路径规则组合</x:v>
      </x:c>
      <x:c r="O187" s="275" t="str">
        <x:v>全局有效信号；日柱及亲密关系近位优先</x:v>
      </x:c>
      <x:c r="P187" s="275" t="str">
        <x:v>由共享基础引擎判定</x:v>
      </x:c>
      <x:c r="Q187" s="275" t="str">
        <x:v>由共享基础引擎判定</x:v>
      </x:c>
      <x:c r="R187" s="275" t="str">
        <x:v>喜忌不直接等于会不会表达；只修正调用顺畅度与强度</x:v>
      </x:c>
      <x:c r="S187" s="275" t="str">
        <x:v>原十神性质有效；真合化成立时按化神路由</x:v>
      </x:c>
      <x:c r="T187" s="275" t="str">
        <x:v>由共享基础引擎判定</x:v>
      </x:c>
      <x:c r="U187" s="275" t="str">
        <x:v>84</x:v>
      </x:c>
      <x:c r="V187" s="275" t="str">
        <x:v>XP08候选+6</x:v>
      </x:c>
      <x:c r="W187" s="275" t="str">
        <x:v>communication_style</x:v>
      </x:c>
      <x:c r="X187" s="275" t="str">
        <x:v>责任、现实任务或关系规则会先组织用户的立场表达，使其更偏向可执行和有边界的陈述。</x:v>
      </x:c>
      <x:c r="Y187" s="275" t="str">
        <x:v>你表达个人立场时，常会同时考虑责任、后果和双方怎样把事情继续推进。</x:v>
      </x:c>
      <x:c r="Z187" s="275" t="str">
        <x:v>接口只负责路由、去重或停止；不得越权生成其他模块的最终结论。</x:v>
      </x:c>
      <x:c r="AA187" s="275" t="str">
        <x:v>中</x:v>
      </x:c>
      <x:c r="AB187" s="275" t="str">
        <x:v>待验证</x:v>
      </x:c>
      <x:c r="AC187" s="275" t="str"/>
      <x:c r="AD187" s="275" t="str">
        <x:v>provisional=true; interface_rule=183</x:v>
      </x:c>
      <x:c r="AE187" s="276" t="str">
        <x:v>0.3</x:v>
      </x:c>
    </x:row>
    <x:row r="188">
      <x:c r="A188" s="273" t="str">
        <x:v>M3-EXPR-184</x:v>
      </x:c>
      <x:c r="B188" s="274" t="str">
        <x:v>比劫制财｜先确认边界再给出行动</x:v>
      </x:c>
      <x:c r="C188" s="275" t="str">
        <x:v>L6 跨模块接口</x:v>
      </x:c>
      <x:c r="D188" s="275" t="str">
        <x:v>EXPR-接口门控</x:v>
      </x:c>
      <x:c r="E188" s="275" t="str">
        <x:v>通用</x:v>
      </x:c>
      <x:c r="F188" s="275" t="str">
        <x:v>路径修正</x:v>
      </x:c>
      <x:c r="G188" s="275" t="str">
        <x:v>比劫制财</x:v>
      </x:c>
      <x:c r="H188" s="275" t="str"/>
      <x:c r="I188" s="275" t="str">
        <x:v>比劫与财星均有效，制约可承载，财星未被完全压倒。</x:v>
      </x:c>
      <x:c r="J188" s="275" t="str">
        <x:v>基础事实未定；只有同一source_id重复；该接口所依赖的上游模块已停止。</x:v>
      </x:c>
      <x:c r="K188" s="275" t="str">
        <x:v>不限定；由共享基础引擎与M3-STATE修正</x:v>
      </x:c>
      <x:c r="L188" s="275" t="str">
        <x:v>不限定；M3-EXPR不以夫妻星为唯一主轴</x:v>
      </x:c>
      <x:c r="M188" s="275" t="str">
        <x:v>由M3-BASE、日支结构及共享引擎提供</x:v>
      </x:c>
      <x:c r="N188" s="275" t="str">
        <x:v>无／待表达路径规则组合</x:v>
      </x:c>
      <x:c r="O188" s="275" t="str">
        <x:v>全局有效信号；日柱及亲密关系近位优先</x:v>
      </x:c>
      <x:c r="P188" s="275" t="str">
        <x:v>由共享基础引擎判定</x:v>
      </x:c>
      <x:c r="Q188" s="275" t="str">
        <x:v>由共享基础引擎判定</x:v>
      </x:c>
      <x:c r="R188" s="275" t="str">
        <x:v>喜忌不直接等于会不会表达；只修正调用顺畅度与强度</x:v>
      </x:c>
      <x:c r="S188" s="275" t="str">
        <x:v>原十神性质有效；真合化成立时按化神路由</x:v>
      </x:c>
      <x:c r="T188" s="275" t="str">
        <x:v>由共享基础引擎判定</x:v>
      </x:c>
      <x:c r="U188" s="275" t="str">
        <x:v>84</x:v>
      </x:c>
      <x:c r="V188" s="275" t="str">
        <x:v>XP04→XP07候选+6</x:v>
      </x:c>
      <x:c r="W188" s="275" t="str">
        <x:v>expression_path</x:v>
      </x:c>
      <x:c r="X188" s="275" t="str">
        <x:v>用户在投入、安排或答应事情前，先确认自主、分工和资源边界。</x:v>
      </x:c>
      <x:c r="Y188" s="275" t="str">
        <x:v>你在用行动或安排表达之前，通常会先确认这件事是否尊重双方边界、分工是否合理。</x:v>
      </x:c>
      <x:c r="Z188" s="275" t="str">
        <x:v>接口只负责路由、去重或停止；不得越权生成其他模块的最终结论。</x:v>
      </x:c>
      <x:c r="AA188" s="275" t="str">
        <x:v>中</x:v>
      </x:c>
      <x:c r="AB188" s="275" t="str">
        <x:v>待验证</x:v>
      </x:c>
      <x:c r="AC188" s="275" t="str"/>
      <x:c r="AD188" s="275" t="str">
        <x:v>provisional=true; interface_rule=184</x:v>
      </x:c>
      <x:c r="AE188" s="276" t="str">
        <x:v>0.3</x:v>
      </x:c>
    </x:row>
    <x:row r="189">
      <x:c r="A189" s="273" t="str">
        <x:v>M3-EXPR-185</x:v>
      </x:c>
      <x:c r="B189" s="274" t="str">
        <x:v>财制印｜先看事实再形成情绪确认</x:v>
      </x:c>
      <x:c r="C189" s="275" t="str">
        <x:v>L6 跨模块接口</x:v>
      </x:c>
      <x:c r="D189" s="275" t="str">
        <x:v>EXPR-接口门控</x:v>
      </x:c>
      <x:c r="E189" s="275" t="str">
        <x:v>通用</x:v>
      </x:c>
      <x:c r="F189" s="275" t="str">
        <x:v>路径修正</x:v>
      </x:c>
      <x:c r="G189" s="275" t="str">
        <x:v>财制印</x:v>
      </x:c>
      <x:c r="H189" s="275" t="str"/>
      <x:c r="I189" s="275" t="str">
        <x:v>财星与印星均有效，制约可承载，印星未完全失效。</x:v>
      </x:c>
      <x:c r="J189" s="275" t="str">
        <x:v>基础事实未定；只有同一source_id重复；该接口所依赖的上游模块已停止。</x:v>
      </x:c>
      <x:c r="K189" s="275" t="str">
        <x:v>不限定；由共享基础引擎与M3-STATE修正</x:v>
      </x:c>
      <x:c r="L189" s="275" t="str">
        <x:v>不限定；M3-EXPR不以夫妻星为唯一主轴</x:v>
      </x:c>
      <x:c r="M189" s="275" t="str">
        <x:v>由M3-BASE、日支结构及共享引擎提供</x:v>
      </x:c>
      <x:c r="N189" s="275" t="str">
        <x:v>无／待表达路径规则组合</x:v>
      </x:c>
      <x:c r="O189" s="275" t="str">
        <x:v>全局有效信号；日柱及亲密关系近位优先</x:v>
      </x:c>
      <x:c r="P189" s="275" t="str">
        <x:v>由共享基础引擎判定</x:v>
      </x:c>
      <x:c r="Q189" s="275" t="str">
        <x:v>由共享基础引擎判定</x:v>
      </x:c>
      <x:c r="R189" s="275" t="str">
        <x:v>喜忌不直接等于会不会表达；只修正调用顺畅度与强度</x:v>
      </x:c>
      <x:c r="S189" s="275" t="str">
        <x:v>原十神性质有效；真合化成立时按化神路由</x:v>
      </x:c>
      <x:c r="T189" s="275" t="str">
        <x:v>由共享基础引擎判定</x:v>
      </x:c>
      <x:c r="U189" s="275" t="str">
        <x:v>84</x:v>
      </x:c>
      <x:c r="V189" s="275" t="str">
        <x:v>XP06/XP05候选+6</x:v>
      </x:c>
      <x:c r="W189" s="275" t="str">
        <x:v>response_style</x:v>
      </x:c>
      <x:c r="X189" s="275" t="str">
        <x:v>用户更容易通过具体行为、稳定事实和现实安排确认自己是否被理解，而非只凭安慰。</x:v>
      </x:c>
      <x:c r="Y189" s="275" t="str">
        <x:v>对你来说，实际行动和持续事实常常比单纯安慰更能让你安心，也更容易打开后续表达。</x:v>
      </x:c>
      <x:c r="Z189" s="275" t="str">
        <x:v>接口只负责路由、去重或停止；不得越权生成其他模块的最终结论。</x:v>
      </x:c>
      <x:c r="AA189" s="275" t="str">
        <x:v>中</x:v>
      </x:c>
      <x:c r="AB189" s="275" t="str">
        <x:v>待验证</x:v>
      </x:c>
      <x:c r="AC189" s="275" t="str"/>
      <x:c r="AD189" s="275" t="str">
        <x:v>provisional=true; interface_rule=185</x:v>
      </x:c>
      <x:c r="AE189" s="276" t="str">
        <x:v>0.3</x:v>
      </x:c>
    </x:row>
    <x:row r="190">
      <x:c r="A190" s="273" t="str">
        <x:v>M3-EXPR-186</x:v>
      </x:c>
      <x:c r="B190" s="274" t="str">
        <x:v>BASE同源接口｜日支底盘只算一次</x:v>
      </x:c>
      <x:c r="C190" s="275" t="str">
        <x:v>L6 跨模块接口</x:v>
      </x:c>
      <x:c r="D190" s="275" t="str">
        <x:v>EXPR-接口门控</x:v>
      </x:c>
      <x:c r="E190" s="275" t="str">
        <x:v>通用</x:v>
      </x:c>
      <x:c r="F190" s="275" t="str">
        <x:v>去重</x:v>
      </x:c>
      <x:c r="G190" s="275" t="str">
        <x:v>M3-BASE与M3-EXPR共享日支事实</x:v>
      </x:c>
      <x:c r="H190" s="275" t="str"/>
      <x:c r="I190" s="275" t="str">
        <x:v>EXPR读取的主通道来自同一日支主气或同一日柱事实。</x:v>
      </x:c>
      <x:c r="J190" s="275" t="str">
        <x:v>基础事实未定；只有同一source_id重复；该接口所依赖的上游模块已停止。</x:v>
      </x:c>
      <x:c r="K190" s="275" t="str">
        <x:v>不限定；由共享基础引擎与M3-STATE修正</x:v>
      </x:c>
      <x:c r="L190" s="275" t="str">
        <x:v>不限定；M3-EXPR不以夫妻星为唯一主轴</x:v>
      </x:c>
      <x:c r="M190" s="275" t="str">
        <x:v>由M3-BASE、日支结构及共享引擎提供</x:v>
      </x:c>
      <x:c r="N190" s="275" t="str">
        <x:v>无／待表达路径规则组合</x:v>
      </x:c>
      <x:c r="O190" s="275" t="str">
        <x:v>全局有效信号；日柱及亲密关系近位优先</x:v>
      </x:c>
      <x:c r="P190" s="275" t="str">
        <x:v>由共享基础引擎判定</x:v>
      </x:c>
      <x:c r="Q190" s="275" t="str">
        <x:v>由共享基础引擎判定</x:v>
      </x:c>
      <x:c r="R190" s="275" t="str">
        <x:v>喜忌不直接等于会不会表达；只修正调用顺畅度与强度</x:v>
      </x:c>
      <x:c r="S190" s="275" t="str">
        <x:v>原十神性质有效；真合化成立时按化神路由</x:v>
      </x:c>
      <x:c r="T190" s="275" t="str">
        <x:v>由共享基础引擎判定</x:v>
      </x:c>
      <x:c r="U190" s="275" t="str">
        <x:v>99</x:v>
      </x:c>
      <x:c r="V190" s="275" t="str">
        <x:v>基础分只算一次；保留两个字段解释</x:v>
      </x:c>
      <x:c r="W190" s="275" t="str">
        <x:v>dedup_log</x:v>
      </x:c>
      <x:c r="X190" s="275" t="str">
        <x:v>BASE负责关系运行底盘，EXPR负责表达细节；可保留两种解释，但基础证据只计一次。</x:v>
      </x:c>
      <x:c r="Y190" s="275" t="str">
        <x:v>同一个日支信号会同时说明关系底盘和表达方式，但不会被重复算成两份独立证据。</x:v>
      </x:c>
      <x:c r="Z190" s="275" t="str">
        <x:v>接口只负责路由、去重或停止；不得越权生成其他模块的最终结论。</x:v>
      </x:c>
      <x:c r="AA190" s="275" t="str">
        <x:v>高</x:v>
      </x:c>
      <x:c r="AB190" s="275" t="str">
        <x:v>待验证</x:v>
      </x:c>
      <x:c r="AC190" s="275" t="str"/>
      <x:c r="AD190" s="275" t="str">
        <x:v>provisional=true; interface_rule=186</x:v>
      </x:c>
      <x:c r="AE190" s="276" t="str">
        <x:v>0.3</x:v>
      </x:c>
    </x:row>
    <x:row r="191">
      <x:c r="A191" s="273" t="str">
        <x:v>M3-EXPR-187</x:v>
      </x:c>
      <x:c r="B191" s="274" t="str">
        <x:v>BASE独立复核｜全局表达信号可确认或否决候选</x:v>
      </x:c>
      <x:c r="C191" s="275" t="str">
        <x:v>L6 跨模块接口</x:v>
      </x:c>
      <x:c r="D191" s="275" t="str">
        <x:v>EXPR-接口门控</x:v>
      </x:c>
      <x:c r="E191" s="275" t="str">
        <x:v>通用</x:v>
      </x:c>
      <x:c r="F191" s="275" t="str">
        <x:v>接口</x:v>
      </x:c>
      <x:c r="G191" s="275" t="str">
        <x:v>M3-BASE候选＋独立EXPR证据</x:v>
      </x:c>
      <x:c r="H191" s="275" t="str"/>
      <x:c r="I191" s="275" t="str">
        <x:v>BASE已给出表达候选；EXPR另有透干、根气、流向或不同位置的独立支持／反证。</x:v>
      </x:c>
      <x:c r="J191" s="275" t="str">
        <x:v>基础事实未定；只有同一source_id重复；该接口所依赖的上游模块已停止。</x:v>
      </x:c>
      <x:c r="K191" s="275" t="str">
        <x:v>不限定；由共享基础引擎与M3-STATE修正</x:v>
      </x:c>
      <x:c r="L191" s="275" t="str">
        <x:v>不限定；M3-EXPR不以夫妻星为唯一主轴</x:v>
      </x:c>
      <x:c r="M191" s="275" t="str">
        <x:v>由M3-BASE、日支结构及共享引擎提供</x:v>
      </x:c>
      <x:c r="N191" s="275" t="str">
        <x:v>无／待表达路径规则组合</x:v>
      </x:c>
      <x:c r="O191" s="275" t="str">
        <x:v>全局有效信号；日柱及亲密关系近位优先</x:v>
      </x:c>
      <x:c r="P191" s="275" t="str">
        <x:v>由共享基础引擎判定</x:v>
      </x:c>
      <x:c r="Q191" s="275" t="str">
        <x:v>由共享基础引擎判定</x:v>
      </x:c>
      <x:c r="R191" s="275" t="str">
        <x:v>喜忌不直接等于会不会表达；只修正调用顺畅度与强度</x:v>
      </x:c>
      <x:c r="S191" s="275" t="str">
        <x:v>原十神性质有效；真合化成立时按化神路由</x:v>
      </x:c>
      <x:c r="T191" s="275" t="str">
        <x:v>由共享基础引擎判定</x:v>
      </x:c>
      <x:c r="U191" s="275" t="str">
        <x:v>96</x:v>
      </x:c>
      <x:c r="V191" s="275" t="str">
        <x:v>独立支持+8；反证则降级</x:v>
      </x:c>
      <x:c r="W191" s="275" t="str">
        <x:v>primary_expression_channel</x:v>
      </x:c>
      <x:c r="X191" s="275" t="str">
        <x:v>独立EXPR证据可以确认、降级或否决BASE的过程候选；后续模块对具体字段拥有更高权威。</x:v>
      </x:c>
      <x:c r="Y191" s="275" t="str">
        <x:v>关系底盘会提供一个初步方向，但最终怎样表达，还要看更直接的表达信号是否支持。</x:v>
      </x:c>
      <x:c r="Z191" s="275" t="str">
        <x:v>接口只负责路由、去重或停止；不得越权生成其他模块的最终结论。</x:v>
      </x:c>
      <x:c r="AA191" s="275" t="str">
        <x:v>高</x:v>
      </x:c>
      <x:c r="AB191" s="275" t="str">
        <x:v>待验证</x:v>
      </x:c>
      <x:c r="AC191" s="275" t="str"/>
      <x:c r="AD191" s="275" t="str">
        <x:v>provisional=true; interface_rule=187</x:v>
      </x:c>
      <x:c r="AE191" s="276" t="str">
        <x:v>0.3</x:v>
      </x:c>
    </x:row>
    <x:row r="192">
      <x:c r="A192" s="273" t="str">
        <x:v>M3-EXPR-188</x:v>
      </x:c>
      <x:c r="B192" s="274" t="str">
        <x:v>CARE接口｜行动表达路由到投入模块</x:v>
      </x:c>
      <x:c r="C192" s="275" t="str">
        <x:v>L6 跨模块接口</x:v>
      </x:c>
      <x:c r="D192" s="275" t="str">
        <x:v>EXPR-接口门控</x:v>
      </x:c>
      <x:c r="E192" s="275" t="str">
        <x:v>通用</x:v>
      </x:c>
      <x:c r="F192" s="275" t="str">
        <x:v>接口</x:v>
      </x:c>
      <x:c r="G192" s="275" t="str">
        <x:v>财、官杀或行动转译通道成立</x:v>
      </x:c>
      <x:c r="H192" s="275" t="str"/>
      <x:c r="I192" s="275" t="str">
        <x:v>EXPR已识别行动、安排、承担或共同体验为表达方式。</x:v>
      </x:c>
      <x:c r="J192" s="275" t="str">
        <x:v>基础事实未定；只有同一source_id重复；该接口所依赖的上游模块已停止。</x:v>
      </x:c>
      <x:c r="K192" s="275" t="str">
        <x:v>不限定；由共享基础引擎与M3-STATE修正</x:v>
      </x:c>
      <x:c r="L192" s="275" t="str">
        <x:v>不限定；M3-EXPR不以夫妻星为唯一主轴</x:v>
      </x:c>
      <x:c r="M192" s="275" t="str">
        <x:v>由M3-BASE、日支结构及共享引擎提供</x:v>
      </x:c>
      <x:c r="N192" s="275" t="str">
        <x:v>无／待表达路径规则组合</x:v>
      </x:c>
      <x:c r="O192" s="275" t="str">
        <x:v>全局有效信号；日柱及亲密关系近位优先</x:v>
      </x:c>
      <x:c r="P192" s="275" t="str">
        <x:v>由共享基础引擎判定</x:v>
      </x:c>
      <x:c r="Q192" s="275" t="str">
        <x:v>由共享基础引擎判定</x:v>
      </x:c>
      <x:c r="R192" s="275" t="str">
        <x:v>喜忌不直接等于会不会表达；只修正调用顺畅度与强度</x:v>
      </x:c>
      <x:c r="S192" s="275" t="str">
        <x:v>原十神性质有效；真合化成立时按化神路由</x:v>
      </x:c>
      <x:c r="T192" s="275" t="str">
        <x:v>由共享基础引擎判定</x:v>
      </x:c>
      <x:c r="U192" s="275" t="str">
        <x:v>92</x:v>
      </x:c>
      <x:c r="V192" s="275" t="str">
        <x:v>route_to_CARE</x:v>
      </x:c>
      <x:c r="W192" s="275" t="str">
        <x:v>care_investment（候选）</x:v>
      </x:c>
      <x:c r="X192" s="275" t="str">
        <x:v>将行动表达作为M3-CARE输入候选，但不在EXPR中判断持续频率、资源分配或付出交换。</x:v>
      </x:c>
      <x:c r="Y192" s="275" t="str">
        <x:v>你可能会用行动表达在意；后续还要继续看这种投入怎样持续、怎样分配和怎样被接收。</x:v>
      </x:c>
      <x:c r="Z192" s="275" t="str">
        <x:v>接口只负责路由、去重或停止；不得越权生成其他模块的最终结论。</x:v>
      </x:c>
      <x:c r="AA192" s="275" t="str">
        <x:v>高</x:v>
      </x:c>
      <x:c r="AB192" s="275" t="str">
        <x:v>待验证</x:v>
      </x:c>
      <x:c r="AC192" s="275" t="str"/>
      <x:c r="AD192" s="275" t="str">
        <x:v>provisional=true; interface_rule=188</x:v>
      </x:c>
      <x:c r="AE192" s="276" t="str">
        <x:v>0.3</x:v>
      </x:c>
    </x:row>
    <x:row r="193">
      <x:c r="A193" s="273" t="str">
        <x:v>M3-EXPR-189</x:v>
      </x:c>
      <x:c r="B193" s="274" t="str">
        <x:v>BOUND接口｜需求表达路由到边界模块</x:v>
      </x:c>
      <x:c r="C193" s="275" t="str">
        <x:v>L6 跨模块接口</x:v>
      </x:c>
      <x:c r="D193" s="275" t="str">
        <x:v>EXPR-接口门控</x:v>
      </x:c>
      <x:c r="E193" s="275" t="str">
        <x:v>通用</x:v>
      </x:c>
      <x:c r="F193" s="275" t="str">
        <x:v>接口</x:v>
      </x:c>
      <x:c r="G193" s="275" t="str">
        <x:v>need_expression或position_expression成立</x:v>
      </x:c>
      <x:c r="H193" s="275" t="str"/>
      <x:c r="I193" s="275" t="str">
        <x:v>用户能说明需求、条件、立场或希望协商的范围。</x:v>
      </x:c>
      <x:c r="J193" s="275" t="str">
        <x:v>基础事实未定；只有同一source_id重复；该接口所依赖的上游模块已停止。</x:v>
      </x:c>
      <x:c r="K193" s="275" t="str">
        <x:v>不限定；由共享基础引擎与M3-STATE修正</x:v>
      </x:c>
      <x:c r="L193" s="275" t="str">
        <x:v>不限定；M3-EXPR不以夫妻星为唯一主轴</x:v>
      </x:c>
      <x:c r="M193" s="275" t="str">
        <x:v>由M3-BASE、日支结构及共享引擎提供</x:v>
      </x:c>
      <x:c r="N193" s="275" t="str">
        <x:v>无／待表达路径规则组合</x:v>
      </x:c>
      <x:c r="O193" s="275" t="str">
        <x:v>全局有效信号；日柱及亲密关系近位优先</x:v>
      </x:c>
      <x:c r="P193" s="275" t="str">
        <x:v>由共享基础引擎判定</x:v>
      </x:c>
      <x:c r="Q193" s="275" t="str">
        <x:v>由共享基础引擎判定</x:v>
      </x:c>
      <x:c r="R193" s="275" t="str">
        <x:v>喜忌不直接等于会不会表达；只修正调用顺畅度与强度</x:v>
      </x:c>
      <x:c r="S193" s="275" t="str">
        <x:v>原十神性质有效；真合化成立时按化神路由</x:v>
      </x:c>
      <x:c r="T193" s="275" t="str">
        <x:v>由共享基础引擎判定</x:v>
      </x:c>
      <x:c r="U193" s="275" t="str">
        <x:v>92</x:v>
      </x:c>
      <x:c r="V193" s="275" t="str">
        <x:v>route_to_BOUND</x:v>
      </x:c>
      <x:c r="W193" s="275" t="str">
        <x:v>closeness_boundary（候选）</x:v>
      </x:c>
      <x:c r="X193" s="275" t="str">
        <x:v>将表达内容路由到M3-BOUND复核执行、距离和拒绝；EXPR不把“说得出”当“守得住”。</x:v>
      </x:c>
      <x:c r="Y193" s="275" t="str">
        <x:v>你能否把条件说出来，会作为边界分析的输入；真正怎样执行仍需继续判断。</x:v>
      </x:c>
      <x:c r="Z193" s="275" t="str">
        <x:v>接口只负责路由、去重或停止；不得越权生成其他模块的最终结论。</x:v>
      </x:c>
      <x:c r="AA193" s="275" t="str">
        <x:v>高</x:v>
      </x:c>
      <x:c r="AB193" s="275" t="str">
        <x:v>待验证</x:v>
      </x:c>
      <x:c r="AC193" s="275" t="str"/>
      <x:c r="AD193" s="275" t="str">
        <x:v>provisional=true; interface_rule=189</x:v>
      </x:c>
      <x:c r="AE193" s="276" t="str">
        <x:v>0.3</x:v>
      </x:c>
    </x:row>
    <x:row r="194">
      <x:c r="A194" s="273" t="str">
        <x:v>M3-EXPR-190</x:v>
      </x:c>
      <x:c r="B194" s="274" t="str">
        <x:v>CONFLICT接口｜平稳沟通仅作分歧候选</x:v>
      </x:c>
      <x:c r="C194" s="275" t="str">
        <x:v>L6 跨模块接口</x:v>
      </x:c>
      <x:c r="D194" s="275" t="str">
        <x:v>EXPR-接口门控</x:v>
      </x:c>
      <x:c r="E194" s="275" t="str">
        <x:v>通用</x:v>
      </x:c>
      <x:c r="F194" s="275" t="str">
        <x:v>接口</x:v>
      </x:c>
      <x:c r="G194" s="275" t="str">
        <x:v>communication_style或expression_path成立</x:v>
      </x:c>
      <x:c r="H194" s="275" t="str"/>
      <x:c r="I194" s="275" t="str">
        <x:v>已得到平稳或一般情境的沟通方式。</x:v>
      </x:c>
      <x:c r="J194" s="275" t="str">
        <x:v>基础事实未定；只有同一source_id重复；该接口所依赖的上游模块已停止。</x:v>
      </x:c>
      <x:c r="K194" s="275" t="str">
        <x:v>不限定；由共享基础引擎与M3-STATE修正</x:v>
      </x:c>
      <x:c r="L194" s="275" t="str">
        <x:v>不限定；M3-EXPR不以夫妻星为唯一主轴</x:v>
      </x:c>
      <x:c r="M194" s="275" t="str">
        <x:v>由M3-BASE、日支结构及共享引擎提供</x:v>
      </x:c>
      <x:c r="N194" s="275" t="str">
        <x:v>无／待表达路径规则组合</x:v>
      </x:c>
      <x:c r="O194" s="275" t="str">
        <x:v>全局有效信号；日柱及亲密关系近位优先</x:v>
      </x:c>
      <x:c r="P194" s="275" t="str">
        <x:v>由共享基础引擎判定</x:v>
      </x:c>
      <x:c r="Q194" s="275" t="str">
        <x:v>由共享基础引擎判定</x:v>
      </x:c>
      <x:c r="R194" s="275" t="str">
        <x:v>喜忌不直接等于会不会表达；只修正调用顺畅度与强度</x:v>
      </x:c>
      <x:c r="S194" s="275" t="str">
        <x:v>原十神性质有效；真合化成立时按化神路由</x:v>
      </x:c>
      <x:c r="T194" s="275" t="str">
        <x:v>由共享基础引擎判定</x:v>
      </x:c>
      <x:c r="U194" s="275" t="str">
        <x:v>92</x:v>
      </x:c>
      <x:c r="V194" s="275" t="str">
        <x:v>route_to_CONFLICT</x:v>
      </x:c>
      <x:c r="W194" s="275" t="str">
        <x:v>conflict_response（候选）</x:v>
      </x:c>
      <x:c r="X194" s="275" t="str">
        <x:v>将主通道作为M3-CONFLICT的基线输入；发生分歧时是否同样使用，必须由冲突证据重新裁定。</x:v>
      </x:c>
      <x:c r="Y194" s="275" t="str">
        <x:v>你平时的沟通方式会成为分歧分析的参考，但不能直接当作你争执时的固定反应。</x:v>
      </x:c>
      <x:c r="Z194" s="275" t="str">
        <x:v>接口只负责路由、去重或停止；不得越权生成其他模块的最终结论。</x:v>
      </x:c>
      <x:c r="AA194" s="275" t="str">
        <x:v>高</x:v>
      </x:c>
      <x:c r="AB194" s="275" t="str">
        <x:v>待验证</x:v>
      </x:c>
      <x:c r="AC194" s="275" t="str"/>
      <x:c r="AD194" s="275" t="str">
        <x:v>provisional=true; interface_rule=190</x:v>
      </x:c>
      <x:c r="AE194" s="276" t="str">
        <x:v>0.3</x:v>
      </x:c>
    </x:row>
    <x:row r="195">
      <x:c r="A195" s="273" t="str">
        <x:v>M3-EXPR-191</x:v>
      </x:c>
      <x:c r="B195" s="274" t="str">
        <x:v>REPAIR接口｜表达工具不等于修复路径</x:v>
      </x:c>
      <x:c r="C195" s="275" t="str">
        <x:v>L6 跨模块接口</x:v>
      </x:c>
      <x:c r="D195" s="275" t="str">
        <x:v>EXPR-接口门控</x:v>
      </x:c>
      <x:c r="E195" s="275" t="str">
        <x:v>通用</x:v>
      </x:c>
      <x:c r="F195" s="275" t="str">
        <x:v>接口</x:v>
      </x:c>
      <x:c r="G195" s="275" t="str">
        <x:v>倾听、解释、行动或责任通道成立</x:v>
      </x:c>
      <x:c r="H195" s="275" t="str"/>
      <x:c r="I195" s="275" t="str">
        <x:v>某表达通道可被用于恢复联结。</x:v>
      </x:c>
      <x:c r="J195" s="275" t="str">
        <x:v>基础事实未定；只有同一source_id重复；该接口所依赖的上游模块已停止。</x:v>
      </x:c>
      <x:c r="K195" s="275" t="str">
        <x:v>不限定；由共享基础引擎与M3-STATE修正</x:v>
      </x:c>
      <x:c r="L195" s="275" t="str">
        <x:v>不限定；M3-EXPR不以夫妻星为唯一主轴</x:v>
      </x:c>
      <x:c r="M195" s="275" t="str">
        <x:v>由M3-BASE、日支结构及共享引擎提供</x:v>
      </x:c>
      <x:c r="N195" s="275" t="str">
        <x:v>无／待表达路径规则组合</x:v>
      </x:c>
      <x:c r="O195" s="275" t="str">
        <x:v>全局有效信号；日柱及亲密关系近位优先</x:v>
      </x:c>
      <x:c r="P195" s="275" t="str">
        <x:v>由共享基础引擎判定</x:v>
      </x:c>
      <x:c r="Q195" s="275" t="str">
        <x:v>由共享基础引擎判定</x:v>
      </x:c>
      <x:c r="R195" s="275" t="str">
        <x:v>喜忌不直接等于会不会表达；只修正调用顺畅度与强度</x:v>
      </x:c>
      <x:c r="S195" s="275" t="str">
        <x:v>原十神性质有效；真合化成立时按化神路由</x:v>
      </x:c>
      <x:c r="T195" s="275" t="str">
        <x:v>由共享基础引擎判定</x:v>
      </x:c>
      <x:c r="U195" s="275" t="str">
        <x:v>92</x:v>
      </x:c>
      <x:c r="V195" s="275" t="str">
        <x:v>route_to_REPAIR</x:v>
      </x:c>
      <x:c r="W195" s="275" t="str">
        <x:v>repair_path（候选）</x:v>
      </x:c>
      <x:c r="X195" s="275" t="str">
        <x:v>将可用表达工具路由到M3-REPAIR，但修复启动、顺序和有效性必须有独立证据。</x:v>
      </x:c>
      <x:c r="Y195" s="275" t="str">
        <x:v>倾听、解释、行动或承诺可能成为你的修复工具，但能否真正恢复关系需要继续分析。</x:v>
      </x:c>
      <x:c r="Z195" s="275" t="str">
        <x:v>接口只负责路由、去重或停止；不得越权生成其他模块的最终结论。</x:v>
      </x:c>
      <x:c r="AA195" s="275" t="str">
        <x:v>高</x:v>
      </x:c>
      <x:c r="AB195" s="275" t="str">
        <x:v>待验证</x:v>
      </x:c>
      <x:c r="AC195" s="275" t="str"/>
      <x:c r="AD195" s="275" t="str">
        <x:v>provisional=true; interface_rule=191</x:v>
      </x:c>
      <x:c r="AE195" s="276" t="str">
        <x:v>0.3</x:v>
      </x:c>
    </x:row>
    <x:row r="196">
      <x:c r="A196" s="273" t="str">
        <x:v>M3-EXPR-192</x:v>
      </x:c>
      <x:c r="B196" s="274" t="str">
        <x:v>STATE接口｜压力与恢复状态必须复核</x:v>
      </x:c>
      <x:c r="C196" s="275" t="str">
        <x:v>L6 跨模块接口</x:v>
      </x:c>
      <x:c r="D196" s="275" t="str">
        <x:v>EXPR-接口门控</x:v>
      </x:c>
      <x:c r="E196" s="275" t="str">
        <x:v>通用</x:v>
      </x:c>
      <x:c r="F196" s="275" t="str">
        <x:v>接口</x:v>
      </x:c>
      <x:c r="G196" s="275" t="str">
        <x:v>过旺、受制、宫位动态或多通道切换候选成立</x:v>
      </x:c>
      <x:c r="H196" s="275" t="str"/>
      <x:c r="I196" s="275" t="str">
        <x:v>存在表达通道抢先、关闭、延迟或状态切换迹象。</x:v>
      </x:c>
      <x:c r="J196" s="275" t="str">
        <x:v>基础事实未定；只有同一source_id重复；该接口所依赖的上游模块已停止。</x:v>
      </x:c>
      <x:c r="K196" s="275" t="str">
        <x:v>不限定；由共享基础引擎与M3-STATE修正</x:v>
      </x:c>
      <x:c r="L196" s="275" t="str">
        <x:v>不限定；M3-EXPR不以夫妻星为唯一主轴</x:v>
      </x:c>
      <x:c r="M196" s="275" t="str">
        <x:v>由M3-BASE、日支结构及共享引擎提供</x:v>
      </x:c>
      <x:c r="N196" s="275" t="str">
        <x:v>无／待表达路径规则组合</x:v>
      </x:c>
      <x:c r="O196" s="275" t="str">
        <x:v>全局有效信号；日柱及亲密关系近位优先</x:v>
      </x:c>
      <x:c r="P196" s="275" t="str">
        <x:v>由共享基础引擎判定</x:v>
      </x:c>
      <x:c r="Q196" s="275" t="str">
        <x:v>由共享基础引擎判定</x:v>
      </x:c>
      <x:c r="R196" s="275" t="str">
        <x:v>喜忌不直接等于会不会表达；只修正调用顺畅度与强度</x:v>
      </x:c>
      <x:c r="S196" s="275" t="str">
        <x:v>原十神性质有效；真合化成立时按化神路由</x:v>
      </x:c>
      <x:c r="T196" s="275" t="str">
        <x:v>由共享基础引擎判定</x:v>
      </x:c>
      <x:c r="U196" s="275" t="str">
        <x:v>94</x:v>
      </x:c>
      <x:c r="V196" s="275" t="str">
        <x:v>route_to_STATE</x:v>
      </x:c>
      <x:c r="W196" s="275" t="str">
        <x:v>stress_shift（候选）</x:v>
      </x:c>
      <x:c r="X196" s="275" t="str">
        <x:v>EXPR只记录state_candidate，不改写基线；M3-STATE决定平稳、压力和恢复状态的最终通道。</x:v>
      </x:c>
      <x:c r="Y196" s="275" t="str">
        <x:v>你的平时表达和压力下表达可能不同；当前只记录这个可能性，后续再判断具体怎样切换。</x:v>
      </x:c>
      <x:c r="Z196" s="275" t="str">
        <x:v>接口只负责路由、去重或停止；不得越权生成其他模块的最终结论。</x:v>
      </x:c>
      <x:c r="AA196" s="275" t="str">
        <x:v>高</x:v>
      </x:c>
      <x:c r="AB196" s="275" t="str">
        <x:v>待验证</x:v>
      </x:c>
      <x:c r="AC196" s="275" t="str"/>
      <x:c r="AD196" s="275" t="str">
        <x:v>provisional=true; interface_rule=192</x:v>
      </x:c>
      <x:c r="AE196" s="276" t="str">
        <x:v>0.3</x:v>
      </x:c>
    </x:row>
    <x:row r="197">
      <x:c r="A197" s="273" t="str">
        <x:v>M3-EXPR-193</x:v>
      </x:c>
      <x:c r="B197" s="274" t="str">
        <x:v>M2接口｜关系资格证据不抬高表达置信</x:v>
      </x:c>
      <x:c r="C197" s="275" t="str">
        <x:v>L6 跨模块接口</x:v>
      </x:c>
      <x:c r="D197" s="275" t="str">
        <x:v>EXPR-接口门控</x:v>
      </x:c>
      <x:c r="E197" s="275" t="str">
        <x:v>通用</x:v>
      </x:c>
      <x:c r="F197" s="275" t="str">
        <x:v>跨模型去重</x:v>
      </x:c>
      <x:c r="G197" s="275" t="str">
        <x:v>M2-CORE或GATE与EXPR同维度</x:v>
      </x:c>
      <x:c r="H197" s="275" t="str"/>
      <x:c r="I197" s="275" t="str">
        <x:v>同一夫妻星、日支或行为主题同时出现在M2和M3。</x:v>
      </x:c>
      <x:c r="J197" s="275" t="str">
        <x:v>基础事实未定；只有同一source_id重复；该接口所依赖的上游模块已停止。</x:v>
      </x:c>
      <x:c r="K197" s="275" t="str">
        <x:v>不限定；由共享基础引擎与M3-STATE修正</x:v>
      </x:c>
      <x:c r="L197" s="275" t="str">
        <x:v>不限定；M3-EXPR不以夫妻星为唯一主轴</x:v>
      </x:c>
      <x:c r="M197" s="275" t="str">
        <x:v>由M3-BASE、日支结构及共享引擎提供</x:v>
      </x:c>
      <x:c r="N197" s="275" t="str">
        <x:v>无／待表达路径规则组合</x:v>
      </x:c>
      <x:c r="O197" s="275" t="str">
        <x:v>全局有效信号；日柱及亲密关系近位优先</x:v>
      </x:c>
      <x:c r="P197" s="275" t="str">
        <x:v>由共享基础引擎判定</x:v>
      </x:c>
      <x:c r="Q197" s="275" t="str">
        <x:v>由共享基础引擎判定</x:v>
      </x:c>
      <x:c r="R197" s="275" t="str">
        <x:v>喜忌不直接等于会不会表达；只修正调用顺畅度与强度</x:v>
      </x:c>
      <x:c r="S197" s="275" t="str">
        <x:v>原十神性质有效；真合化成立时按化神路由</x:v>
      </x:c>
      <x:c r="T197" s="275" t="str">
        <x:v>由共享基础引擎判定</x:v>
      </x:c>
      <x:c r="U197" s="275" t="str">
        <x:v>98</x:v>
      </x:c>
      <x:c r="V197" s="275" t="str">
        <x:v>跨模型不加分；仅连续性</x:v>
      </x:c>
      <x:c r="W197" s="275" t="str">
        <x:v>cross_model_ref</x:v>
      </x:c>
      <x:c r="X197" s="275" t="str">
        <x:v>M2可提供选择—相处连续性说明，但不能给M3表达通道增加独立证据数。</x:v>
      </x:c>
      <x:c r="Y197" s="275" t="str">
        <x:v>你选择关系时看重的表现可能延续为相处表达，但这不会被重复计算成更高置信度。</x:v>
      </x:c>
      <x:c r="Z197" s="275" t="str">
        <x:v>接口只负责路由、去重或停止；不得越权生成其他模块的最终结论。</x:v>
      </x:c>
      <x:c r="AA197" s="275" t="str">
        <x:v>高</x:v>
      </x:c>
      <x:c r="AB197" s="275" t="str">
        <x:v>待验证</x:v>
      </x:c>
      <x:c r="AC197" s="275" t="str"/>
      <x:c r="AD197" s="275" t="str">
        <x:v>provisional=true; interface_rule=193</x:v>
      </x:c>
      <x:c r="AE197" s="276" t="str">
        <x:v>0.3</x:v>
      </x:c>
    </x:row>
    <x:row r="198">
      <x:c r="A198" s="273" t="str">
        <x:v>M3-EXPR-194</x:v>
      </x:c>
      <x:c r="B198" s="274" t="str">
        <x:v>source_id强制去重｜同一来源只计一次</x:v>
      </x:c>
      <x:c r="C198" s="275" t="str">
        <x:v>L6 跨模块接口</x:v>
      </x:c>
      <x:c r="D198" s="275" t="str">
        <x:v>EXPR-接口门控</x:v>
      </x:c>
      <x:c r="E198" s="275" t="str">
        <x:v>通用</x:v>
      </x:c>
      <x:c r="F198" s="275" t="str">
        <x:v>去重</x:v>
      </x:c>
      <x:c r="G198" s="275" t="str">
        <x:v>同一source_id进入多个EXPR规则</x:v>
      </x:c>
      <x:c r="H198" s="275" t="str"/>
      <x:c r="I198" s="275" t="str">
        <x:v>多个规则读取同一透干、藏干、日支、根或合化事实。</x:v>
      </x:c>
      <x:c r="J198" s="275" t="str">
        <x:v>基础事实未定；只有同一source_id重复；该接口所依赖的上游模块已停止。</x:v>
      </x:c>
      <x:c r="K198" s="275" t="str">
        <x:v>不限定；由共享基础引擎与M3-STATE修正</x:v>
      </x:c>
      <x:c r="L198" s="275" t="str">
        <x:v>不限定；M3-EXPR不以夫妻星为唯一主轴</x:v>
      </x:c>
      <x:c r="M198" s="275" t="str">
        <x:v>由M3-BASE、日支结构及共享引擎提供</x:v>
      </x:c>
      <x:c r="N198" s="275" t="str">
        <x:v>无／待表达路径规则组合</x:v>
      </x:c>
      <x:c r="O198" s="275" t="str">
        <x:v>全局有效信号；日柱及亲密关系近位优先</x:v>
      </x:c>
      <x:c r="P198" s="275" t="str">
        <x:v>由共享基础引擎判定</x:v>
      </x:c>
      <x:c r="Q198" s="275" t="str">
        <x:v>由共享基础引擎判定</x:v>
      </x:c>
      <x:c r="R198" s="275" t="str">
        <x:v>喜忌不直接等于会不会表达；只修正调用顺畅度与强度</x:v>
      </x:c>
      <x:c r="S198" s="275" t="str">
        <x:v>原十神性质有效；真合化成立时按化神路由</x:v>
      </x:c>
      <x:c r="T198" s="275" t="str">
        <x:v>由共享基础引擎判定</x:v>
      </x:c>
      <x:c r="U198" s="275" t="str">
        <x:v>100</x:v>
      </x:c>
      <x:c r="V198" s="275" t="str">
        <x:v>基础分封顶</x:v>
      </x:c>
      <x:c r="W198" s="275" t="str">
        <x:v>dedup_log</x:v>
      </x:c>
      <x:c r="X198" s="275" t="str">
        <x:v>基础分只计一次；不同字段可引用同一证据，但独立证据数不增加。</x:v>
      </x:c>
      <x:c r="Y198" s="275" t="str">
        <x:v>同一项命理依据会支持多个说明，但不会被重复当成多条验证。</x:v>
      </x:c>
      <x:c r="Z198" s="275" t="str">
        <x:v>接口只负责路由、去重或停止；不得越权生成其他模块的最终结论。</x:v>
      </x:c>
      <x:c r="AA198" s="275" t="str">
        <x:v>高</x:v>
      </x:c>
      <x:c r="AB198" s="275" t="str">
        <x:v>待验证</x:v>
      </x:c>
      <x:c r="AC198" s="275" t="str"/>
      <x:c r="AD198" s="275" t="str">
        <x:v>provisional=true; interface_rule=194</x:v>
      </x:c>
      <x:c r="AE198" s="276" t="str">
        <x:v>0.3</x:v>
      </x:c>
    </x:row>
    <x:row r="199">
      <x:c r="A199" s="273" t="str">
        <x:v>M3-EXPR-195</x:v>
      </x:c>
      <x:c r="B199" s="274" t="str">
        <x:v>日支＋同根透干｜证据簇封顶</x:v>
      </x:c>
      <x:c r="C199" s="275" t="str">
        <x:v>L6 跨模块接口</x:v>
      </x:c>
      <x:c r="D199" s="275" t="str">
        <x:v>EXPR-接口门控</x:v>
      </x:c>
      <x:c r="E199" s="275" t="str">
        <x:v>通用</x:v>
      </x:c>
      <x:c r="F199" s="275" t="str">
        <x:v>去重</x:v>
      </x:c>
      <x:c r="G199" s="275" t="str">
        <x:v>日支藏干为根且同类十神透干</x:v>
      </x:c>
      <x:c r="H199" s="275" t="str"/>
      <x:c r="I199" s="275" t="str">
        <x:v>透干与根来自同一证据簇。</x:v>
      </x:c>
      <x:c r="J199" s="275" t="str">
        <x:v>基础事实未定；只有同一source_id重复；该接口所依赖的上游模块已停止。</x:v>
      </x:c>
      <x:c r="K199" s="275" t="str">
        <x:v>不限定；由共享基础引擎与M3-STATE修正</x:v>
      </x:c>
      <x:c r="L199" s="275" t="str">
        <x:v>不限定；M3-EXPR不以夫妻星为唯一主轴</x:v>
      </x:c>
      <x:c r="M199" s="275" t="str">
        <x:v>由M3-BASE、日支结构及共享引擎提供</x:v>
      </x:c>
      <x:c r="N199" s="275" t="str">
        <x:v>无／待表达路径规则组合</x:v>
      </x:c>
      <x:c r="O199" s="275" t="str">
        <x:v>全局有效信号；日柱及亲密关系近位优先</x:v>
      </x:c>
      <x:c r="P199" s="275" t="str">
        <x:v>由共享基础引擎判定</x:v>
      </x:c>
      <x:c r="Q199" s="275" t="str">
        <x:v>由共享基础引擎判定</x:v>
      </x:c>
      <x:c r="R199" s="275" t="str">
        <x:v>喜忌不直接等于会不会表达；只修正调用顺畅度与强度</x:v>
      </x:c>
      <x:c r="S199" s="275" t="str">
        <x:v>原十神性质有效；真合化成立时按化神路由</x:v>
      </x:c>
      <x:c r="T199" s="275" t="str">
        <x:v>由共享基础引擎判定</x:v>
      </x:c>
      <x:c r="U199" s="275" t="str">
        <x:v>98</x:v>
      </x:c>
      <x:c r="V199" s="275" t="str">
        <x:v>基础一次；外显+8</x:v>
      </x:c>
      <x:c r="W199" s="275" t="str">
        <x:v>dedup_log</x:v>
      </x:c>
      <x:c r="X199" s="275" t="str">
        <x:v>日支提供关系内核心，透干只增加可见度和可调用性，不再增加一份完整基础权重。</x:v>
      </x:c>
      <x:c r="Y199" s="275" t="str">
        <x:v>这套方式既有内在基础，也比较容易显现；但仍属于同一表达通道。</x:v>
      </x:c>
      <x:c r="Z199" s="275" t="str">
        <x:v>接口只负责路由、去重或停止；不得越权生成其他模块的最终结论。</x:v>
      </x:c>
      <x:c r="AA199" s="275" t="str">
        <x:v>高</x:v>
      </x:c>
      <x:c r="AB199" s="275" t="str">
        <x:v>待验证</x:v>
      </x:c>
      <x:c r="AC199" s="275" t="str"/>
      <x:c r="AD199" s="275" t="str">
        <x:v>provisional=true; interface_rule=195</x:v>
      </x:c>
      <x:c r="AE199" s="276" t="str">
        <x:v>0.3</x:v>
      </x:c>
    </x:row>
    <x:row r="200">
      <x:c r="A200" s="273" t="str">
        <x:v>M3-EXPR-196</x:v>
      </x:c>
      <x:c r="B200" s="274" t="str">
        <x:v>同系统收敛｜正偏风格合并</x:v>
      </x:c>
      <x:c r="C200" s="275" t="str">
        <x:v>L6 跨模块接口</x:v>
      </x:c>
      <x:c r="D200" s="275" t="str">
        <x:v>EXPR-接口门控</x:v>
      </x:c>
      <x:c r="E200" s="275" t="str">
        <x:v>通用</x:v>
      </x:c>
      <x:c r="F200" s="275" t="str">
        <x:v>去重</x:v>
      </x:c>
      <x:c r="G200" s="275" t="str">
        <x:v>同一五系统内两个十神同时有效</x:v>
      </x:c>
      <x:c r="H200" s="275" t="str"/>
      <x:c r="I200" s="275" t="str">
        <x:v>两项信号主要承担同一表达功能，缺乏跨系统独立分工。</x:v>
      </x:c>
      <x:c r="J200" s="275" t="str">
        <x:v>基础事实未定；只有同一source_id重复；该接口所依赖的上游模块已停止。</x:v>
      </x:c>
      <x:c r="K200" s="275" t="str">
        <x:v>不限定；由共享基础引擎与M3-STATE修正</x:v>
      </x:c>
      <x:c r="L200" s="275" t="str">
        <x:v>不限定；M3-EXPR不以夫妻星为唯一主轴</x:v>
      </x:c>
      <x:c r="M200" s="275" t="str">
        <x:v>由M3-BASE、日支结构及共享引擎提供</x:v>
      </x:c>
      <x:c r="N200" s="275" t="str">
        <x:v>无／待表达路径规则组合</x:v>
      </x:c>
      <x:c r="O200" s="275" t="str">
        <x:v>全局有效信号；日柱及亲密关系近位优先</x:v>
      </x:c>
      <x:c r="P200" s="275" t="str">
        <x:v>由共享基础引擎判定</x:v>
      </x:c>
      <x:c r="Q200" s="275" t="str">
        <x:v>由共享基础引擎判定</x:v>
      </x:c>
      <x:c r="R200" s="275" t="str">
        <x:v>喜忌不直接等于会不会表达；只修正调用顺畅度与强度</x:v>
      </x:c>
      <x:c r="S200" s="275" t="str">
        <x:v>原十神性质有效；真合化成立时按化神路由</x:v>
      </x:c>
      <x:c r="T200" s="275" t="str">
        <x:v>由共享基础引擎判定</x:v>
      </x:c>
      <x:c r="U200" s="275" t="str">
        <x:v>96</x:v>
      </x:c>
      <x:c r="V200" s="275" t="str">
        <x:v>系统封顶</x:v>
      </x:c>
      <x:c r="W200" s="275" t="str">
        <x:v>primary_expression_channel</x:v>
      </x:c>
      <x:c r="X200" s="275" t="str">
        <x:v>先合并为系统主通道，再按正偏、位置、强弱写风格，不生成两套主模式。</x:v>
      </x:c>
      <x:c r="Y200" s="275" t="str">
        <x:v>你的核心表达方向一致，只是具体说法、节奏或外显程度可能有两种风格。</x:v>
      </x:c>
      <x:c r="Z200" s="275" t="str">
        <x:v>接口只负责路由、去重或停止；不得越权生成其他模块的最终结论。</x:v>
      </x:c>
      <x:c r="AA200" s="275" t="str">
        <x:v>高</x:v>
      </x:c>
      <x:c r="AB200" s="275" t="str">
        <x:v>待验证</x:v>
      </x:c>
      <x:c r="AC200" s="275" t="str"/>
      <x:c r="AD200" s="275" t="str">
        <x:v>provisional=true; interface_rule=196</x:v>
      </x:c>
      <x:c r="AE200" s="276" t="str">
        <x:v>0.3</x:v>
      </x:c>
    </x:row>
    <x:row r="201">
      <x:c r="A201" s="273" t="str">
        <x:v>M3-EXPR-197</x:v>
      </x:c>
      <x:c r="B201" s="274" t="str">
        <x:v>跨系统次通道｜独立性门槛</x:v>
      </x:c>
      <x:c r="C201" s="275" t="str">
        <x:v>L6 跨模块接口</x:v>
      </x:c>
      <x:c r="D201" s="275" t="str">
        <x:v>EXPR-接口门控</x:v>
      </x:c>
      <x:c r="E201" s="275" t="str">
        <x:v>通用</x:v>
      </x:c>
      <x:c r="F201" s="275" t="str">
        <x:v>门控</x:v>
      </x:c>
      <x:c r="G201" s="275" t="str">
        <x:v>第二表达系统候选</x:v>
      </x:c>
      <x:c r="H201" s="275" t="str"/>
      <x:c r="I201" s="275" t="str">
        <x:v>第二系统来源独立、承担不同字段、达到最低分，并非同义重复。</x:v>
      </x:c>
      <x:c r="J201" s="275" t="str">
        <x:v>基础事实未定；只有同一source_id重复；该接口所依赖的上游模块已停止。</x:v>
      </x:c>
      <x:c r="K201" s="275" t="str">
        <x:v>不限定；由共享基础引擎与M3-STATE修正</x:v>
      </x:c>
      <x:c r="L201" s="275" t="str">
        <x:v>不限定；M3-EXPR不以夫妻星为唯一主轴</x:v>
      </x:c>
      <x:c r="M201" s="275" t="str">
        <x:v>由M3-BASE、日支结构及共享引擎提供</x:v>
      </x:c>
      <x:c r="N201" s="275" t="str">
        <x:v>无／待表达路径规则组合</x:v>
      </x:c>
      <x:c r="O201" s="275" t="str">
        <x:v>全局有效信号；日柱及亲密关系近位优先</x:v>
      </x:c>
      <x:c r="P201" s="275" t="str">
        <x:v>由共享基础引擎判定</x:v>
      </x:c>
      <x:c r="Q201" s="275" t="str">
        <x:v>由共享基础引擎判定</x:v>
      </x:c>
      <x:c r="R201" s="275" t="str">
        <x:v>喜忌不直接等于会不会表达；只修正调用顺畅度与强度</x:v>
      </x:c>
      <x:c r="S201" s="275" t="str">
        <x:v>原十神性质有效；真合化成立时按化神路由</x:v>
      </x:c>
      <x:c r="T201" s="275" t="str">
        <x:v>由共享基础引擎判定</x:v>
      </x:c>
      <x:c r="U201" s="275" t="str">
        <x:v>95</x:v>
      </x:c>
      <x:c r="V201" s="275" t="str">
        <x:v>次通道门槛</x:v>
      </x:c>
      <x:c r="W201" s="275" t="str">
        <x:v>secondary_expression_channel</x:v>
      </x:c>
      <x:c r="X201" s="275" t="str">
        <x:v>满足才进入secondary_expression_channel；否则仅写为主通道修饰。</x:v>
      </x:c>
      <x:c r="Y201" s="275" t="str">
        <x:v>只有当第二种方式真正承担不同任务时，才会把它作为独立的补充通道。</x:v>
      </x:c>
      <x:c r="Z201" s="275" t="str">
        <x:v>接口只负责路由、去重或停止；不得越权生成其他模块的最终结论。</x:v>
      </x:c>
      <x:c r="AA201" s="275" t="str">
        <x:v>高</x:v>
      </x:c>
      <x:c r="AB201" s="275" t="str">
        <x:v>待验证</x:v>
      </x:c>
      <x:c r="AC201" s="275" t="str"/>
      <x:c r="AD201" s="275" t="str">
        <x:v>provisional=true; interface_rule=197</x:v>
      </x:c>
      <x:c r="AE201" s="276" t="str">
        <x:v>0.3</x:v>
      </x:c>
    </x:row>
    <x:row r="202">
      <x:c r="A202" s="273" t="str">
        <x:v>M3-EXPR-198</x:v>
      </x:c>
      <x:c r="B202" s="274" t="str">
        <x:v>主通道证据门槛｜至少两类支持</x:v>
      </x:c>
      <x:c r="C202" s="275" t="str">
        <x:v>L6 跨模块接口</x:v>
      </x:c>
      <x:c r="D202" s="275" t="str">
        <x:v>EXPR-接口门控</x:v>
      </x:c>
      <x:c r="E202" s="275" t="str">
        <x:v>通用</x:v>
      </x:c>
      <x:c r="F202" s="275" t="str">
        <x:v>门控</x:v>
      </x:c>
      <x:c r="G202" s="275" t="str">
        <x:v>主表达通道候选</x:v>
      </x:c>
      <x:c r="H202" s="275" t="str"/>
      <x:c r="I202" s="275" t="str">
        <x:v>暂定要求：总分达到32；至少两类独立来源，或一项高权威日支／近位证据加一项状态验证；领先第二名至少8分。</x:v>
      </x:c>
      <x:c r="J202" s="275" t="str">
        <x:v>基础事实未定；只有同一source_id重复；该接口所依赖的上游模块已停止。</x:v>
      </x:c>
      <x:c r="K202" s="275" t="str">
        <x:v>不限定；由共享基础引擎与M3-STATE修正</x:v>
      </x:c>
      <x:c r="L202" s="275" t="str">
        <x:v>不限定；M3-EXPR不以夫妻星为唯一主轴</x:v>
      </x:c>
      <x:c r="M202" s="275" t="str">
        <x:v>由M3-BASE、日支结构及共享引擎提供</x:v>
      </x:c>
      <x:c r="N202" s="275" t="str">
        <x:v>无／待表达路径规则组合</x:v>
      </x:c>
      <x:c r="O202" s="275" t="str">
        <x:v>全局有效信号；日柱及亲密关系近位优先</x:v>
      </x:c>
      <x:c r="P202" s="275" t="str">
        <x:v>由共享基础引擎判定</x:v>
      </x:c>
      <x:c r="Q202" s="275" t="str">
        <x:v>由共享基础引擎判定</x:v>
      </x:c>
      <x:c r="R202" s="275" t="str">
        <x:v>喜忌不直接等于会不会表达；只修正调用顺畅度与强度</x:v>
      </x:c>
      <x:c r="S202" s="275" t="str">
        <x:v>原十神性质有效；真合化成立时按化神路由</x:v>
      </x:c>
      <x:c r="T202" s="275" t="str">
        <x:v>由共享基础引擎判定</x:v>
      </x:c>
      <x:c r="U202" s="275" t="str">
        <x:v>99</x:v>
      </x:c>
      <x:c r="V202" s="275" t="str">
        <x:v>主通道阈值</x:v>
      </x:c>
      <x:c r="W202" s="275" t="str">
        <x:v>primary_expression_channel</x:v>
      </x:c>
      <x:c r="X202" s="275" t="str">
        <x:v>防止单一弱信号直接锁定主通道。阈值为工程参数，必须案例校准。</x:v>
      </x:c>
      <x:c r="Y202" s="275" t="str">
        <x:v>只有当一套表达方式获得足够、相互独立的支持时，才会写成你的主要通道。</x:v>
      </x:c>
      <x:c r="Z202" s="275" t="str">
        <x:v>接口只负责路由、去重或停止；不得越权生成其他模块的最终结论。</x:v>
      </x:c>
      <x:c r="AA202" s="275" t="str">
        <x:v>高</x:v>
      </x:c>
      <x:c r="AB202" s="275" t="str">
        <x:v>待验证</x:v>
      </x:c>
      <x:c r="AC202" s="275" t="str"/>
      <x:c r="AD202" s="275" t="str">
        <x:v>provisional=true; interface_rule=198</x:v>
      </x:c>
      <x:c r="AE202" s="276" t="str">
        <x:v>0.3</x:v>
      </x:c>
    </x:row>
    <x:row r="203">
      <x:c r="A203" s="273" t="str">
        <x:v>M3-EXPR-199</x:v>
      </x:c>
      <x:c r="B203" s="274" t="str">
        <x:v>次通道证据门槛｜功能不同且达到阈值</x:v>
      </x:c>
      <x:c r="C203" s="275" t="str">
        <x:v>L6 跨模块接口</x:v>
      </x:c>
      <x:c r="D203" s="275" t="str">
        <x:v>EXPR-接口门控</x:v>
      </x:c>
      <x:c r="E203" s="275" t="str">
        <x:v>通用</x:v>
      </x:c>
      <x:c r="F203" s="275" t="str">
        <x:v>门控</x:v>
      </x:c>
      <x:c r="G203" s="275" t="str">
        <x:v>次表达通道候选</x:v>
      </x:c>
      <x:c r="H203" s="275" t="str"/>
      <x:c r="I203" s="275" t="str">
        <x:v>暂定要求：总分达到22；来源独立；与主通道承担不同功能；不是同系统重复。</x:v>
      </x:c>
      <x:c r="J203" s="275" t="str">
        <x:v>基础事实未定；只有同一source_id重复；该接口所依赖的上游模块已停止。</x:v>
      </x:c>
      <x:c r="K203" s="275" t="str">
        <x:v>不限定；由共享基础引擎与M3-STATE修正</x:v>
      </x:c>
      <x:c r="L203" s="275" t="str">
        <x:v>不限定；M3-EXPR不以夫妻星为唯一主轴</x:v>
      </x:c>
      <x:c r="M203" s="275" t="str">
        <x:v>由M3-BASE、日支结构及共享引擎提供</x:v>
      </x:c>
      <x:c r="N203" s="275" t="str">
        <x:v>无／待表达路径规则组合</x:v>
      </x:c>
      <x:c r="O203" s="275" t="str">
        <x:v>全局有效信号；日柱及亲密关系近位优先</x:v>
      </x:c>
      <x:c r="P203" s="275" t="str">
        <x:v>由共享基础引擎判定</x:v>
      </x:c>
      <x:c r="Q203" s="275" t="str">
        <x:v>由共享基础引擎判定</x:v>
      </x:c>
      <x:c r="R203" s="275" t="str">
        <x:v>喜忌不直接等于会不会表达；只修正调用顺畅度与强度</x:v>
      </x:c>
      <x:c r="S203" s="275" t="str">
        <x:v>原十神性质有效；真合化成立时按化神路由</x:v>
      </x:c>
      <x:c r="T203" s="275" t="str">
        <x:v>由共享基础引擎判定</x:v>
      </x:c>
      <x:c r="U203" s="275" t="str">
        <x:v>98</x:v>
      </x:c>
      <x:c r="V203" s="275" t="str">
        <x:v>次通道阈值</x:v>
      </x:c>
      <x:c r="W203" s="275" t="str">
        <x:v>secondary_expression_channel</x:v>
      </x:c>
      <x:c r="X203" s="275" t="str">
        <x:v>第二通道只在确有不同作用时保留。</x:v>
      </x:c>
      <x:c r="Y203" s="275" t="str">
        <x:v>补充通道必须有自己的证据和作用，不能只是为了让画像看起来更丰富。</x:v>
      </x:c>
      <x:c r="Z203" s="275" t="str">
        <x:v>接口只负责路由、去重或停止；不得越权生成其他模块的最终结论。</x:v>
      </x:c>
      <x:c r="AA203" s="275" t="str">
        <x:v>高</x:v>
      </x:c>
      <x:c r="AB203" s="275" t="str">
        <x:v>待验证</x:v>
      </x:c>
      <x:c r="AC203" s="275" t="str"/>
      <x:c r="AD203" s="275" t="str">
        <x:v>provisional=true; interface_rule=199</x:v>
      </x:c>
      <x:c r="AE203" s="276" t="str">
        <x:v>0.3</x:v>
      </x:c>
    </x:row>
    <x:row r="204">
      <x:c r="A204" s="273" t="str">
        <x:v>M3-EXPR-200</x:v>
      </x:c>
      <x:c r="B204" s="274" t="str">
        <x:v>食伤弱不等于沟通停止｜转查其他通道</x:v>
      </x:c>
      <x:c r="C204" s="275" t="str">
        <x:v>L6 跨模块接口</x:v>
      </x:c>
      <x:c r="D204" s="275" t="str">
        <x:v>EXPR-接口门控</x:v>
      </x:c>
      <x:c r="E204" s="275" t="str">
        <x:v>通用</x:v>
      </x:c>
      <x:c r="F204" s="275" t="str">
        <x:v>门控</x:v>
      </x:c>
      <x:c r="G204" s="275" t="str">
        <x:v>食伤弱或不现</x:v>
      </x:c>
      <x:c r="H204" s="275" t="str"/>
      <x:c r="I204" s="275" t="str">
        <x:v>食伤未形成主通道，但财、官杀、印、比劫中至少一类有效。</x:v>
      </x:c>
      <x:c r="J204" s="275" t="str">
        <x:v>基础事实未定；只有同一source_id重复；该接口所依赖的上游模块已停止。</x:v>
      </x:c>
      <x:c r="K204" s="275" t="str">
        <x:v>不限定；由共享基础引擎与M3-STATE修正</x:v>
      </x:c>
      <x:c r="L204" s="275" t="str">
        <x:v>不限定；M3-EXPR不以夫妻星为唯一主轴</x:v>
      </x:c>
      <x:c r="M204" s="275" t="str">
        <x:v>由M3-BASE、日支结构及共享引擎提供</x:v>
      </x:c>
      <x:c r="N204" s="275" t="str">
        <x:v>无／待表达路径规则组合</x:v>
      </x:c>
      <x:c r="O204" s="275" t="str">
        <x:v>全局有效信号；日柱及亲密关系近位优先</x:v>
      </x:c>
      <x:c r="P204" s="275" t="str">
        <x:v>由共享基础引擎判定</x:v>
      </x:c>
      <x:c r="Q204" s="275" t="str">
        <x:v>由共享基础引擎判定</x:v>
      </x:c>
      <x:c r="R204" s="275" t="str">
        <x:v>喜忌不直接等于会不会表达；只修正调用顺畅度与强度</x:v>
      </x:c>
      <x:c r="S204" s="275" t="str">
        <x:v>原十神性质有效；真合化成立时按化神路由</x:v>
      </x:c>
      <x:c r="T204" s="275" t="str">
        <x:v>由共享基础引擎判定</x:v>
      </x:c>
      <x:c r="U204" s="275" t="str">
        <x:v>97</x:v>
      </x:c>
      <x:c r="V204" s="275" t="str">
        <x:v>语言降级；其他通道路由</x:v>
      </x:c>
      <x:c r="W204" s="275" t="str">
        <x:v>communication_style</x:v>
      </x:c>
      <x:c r="X204" s="275" t="str">
        <x:v>转向行动表达、责任表态、倾听承接或平等陈述，不输出“不会表达”。</x:v>
      </x:c>
      <x:c r="Y204" s="275" t="str">
        <x:v>你可能不是主要靠长篇语言表达，而会通过行动、承担、倾听或清楚立场让对方理解。</x:v>
      </x:c>
      <x:c r="Z204" s="275" t="str">
        <x:v>接口只负责路由、去重或停止；不得越权生成其他模块的最终结论。</x:v>
      </x:c>
      <x:c r="AA204" s="275" t="str">
        <x:v>高</x:v>
      </x:c>
      <x:c r="AB204" s="275" t="str">
        <x:v>待验证</x:v>
      </x:c>
      <x:c r="AC204" s="275" t="str"/>
      <x:c r="AD204" s="275" t="str">
        <x:v>provisional=true; interface_rule=200</x:v>
      </x:c>
      <x:c r="AE204" s="276" t="str">
        <x:v>0.3</x:v>
      </x:c>
    </x:row>
    <x:row r="205">
      <x:c r="A205" s="273" t="str">
        <x:v>M3-EXPR-201</x:v>
      </x:c>
      <x:c r="B205" s="274" t="str">
        <x:v>禁止风险与人格标签｜M3-EXPR中性输出</x:v>
      </x:c>
      <x:c r="C205" s="275" t="str">
        <x:v>L6 跨模块接口</x:v>
      </x:c>
      <x:c r="D205" s="275" t="str">
        <x:v>EXPR-接口门控</x:v>
      </x:c>
      <x:c r="E205" s="275" t="str">
        <x:v>通用</x:v>
      </x:c>
      <x:c r="F205" s="275" t="str">
        <x:v>边界</x:v>
      </x:c>
      <x:c r="G205" s="275" t="str">
        <x:v>任何表达结论</x:v>
      </x:c>
      <x:c r="H205" s="275" t="str"/>
      <x:c r="I205" s="275" t="str">
        <x:v>生成用户正文前执行边界审查。</x:v>
      </x:c>
      <x:c r="J205" s="275" t="str">
        <x:v>基础事实未定；只有同一source_id重复；该接口所依赖的上游模块已停止。</x:v>
      </x:c>
      <x:c r="K205" s="275" t="str">
        <x:v>不限定；由共享基础引擎与M3-STATE修正</x:v>
      </x:c>
      <x:c r="L205" s="275" t="str">
        <x:v>不限定；M3-EXPR不以夫妻星为唯一主轴</x:v>
      </x:c>
      <x:c r="M205" s="275" t="str">
        <x:v>由M3-BASE、日支结构及共享引擎提供</x:v>
      </x:c>
      <x:c r="N205" s="275" t="str">
        <x:v>无／待表达路径规则组合</x:v>
      </x:c>
      <x:c r="O205" s="275" t="str">
        <x:v>全局有效信号；日柱及亲密关系近位优先</x:v>
      </x:c>
      <x:c r="P205" s="275" t="str">
        <x:v>由共享基础引擎判定</x:v>
      </x:c>
      <x:c r="Q205" s="275" t="str">
        <x:v>由共享基础引擎判定</x:v>
      </x:c>
      <x:c r="R205" s="275" t="str">
        <x:v>喜忌不直接等于会不会表达；只修正调用顺畅度与强度</x:v>
      </x:c>
      <x:c r="S205" s="275" t="str">
        <x:v>原十神性质有效；真合化成立时按化神路由</x:v>
      </x:c>
      <x:c r="T205" s="275" t="str">
        <x:v>由共享基础引擎判定</x:v>
      </x:c>
      <x:c r="U205" s="275" t="str">
        <x:v>100</x:v>
      </x:c>
      <x:c r="V205" s="275" t="str">
        <x:v>强制边界</x:v>
      </x:c>
      <x:c r="W205" s="275" t="str">
        <x:v>boundary_note</x:v>
      </x:c>
      <x:c r="X205" s="275" t="str">
        <x:v>拦截“冷漠、恋爱脑、控制、嘴毒、回避、依赖、情商低”等标签，改写为通道与时序。</x:v>
      </x:c>
      <x:c r="Y205" s="275" t="str">
        <x:v>报告只描述你更常怎样表达、何时表达以及通过什么让对方理解，不把这些方式直接变成负面性格标签。</x:v>
      </x:c>
      <x:c r="Z205" s="275" t="str">
        <x:v>接口只负责路由、去重或停止；不得越权生成其他模块的最终结论。</x:v>
      </x:c>
      <x:c r="AA205" s="275" t="str">
        <x:v>高</x:v>
      </x:c>
      <x:c r="AB205" s="275" t="str">
        <x:v>待验证</x:v>
      </x:c>
      <x:c r="AC205" s="275" t="str"/>
      <x:c r="AD205" s="275" t="str">
        <x:v>provisional=true; interface_rule=201</x:v>
      </x:c>
      <x:c r="AE205" s="276" t="str">
        <x:v>0.3</x:v>
      </x:c>
    </x:row>
    <x:row r="206">
      <x:c r="A206" s="273" t="str">
        <x:v>M3-EXPR-202</x:v>
      </x:c>
      <x:c r="B206" s="274" t="str">
        <x:v>真合化未完成路由｜停止相关通道</x:v>
      </x:c>
      <x:c r="C206" s="275" t="str">
        <x:v>L6 跨模块接口</x:v>
      </x:c>
      <x:c r="D206" s="275" t="str">
        <x:v>EXPR-接口门控</x:v>
      </x:c>
      <x:c r="E206" s="275" t="str">
        <x:v>通用</x:v>
      </x:c>
      <x:c r="F206" s="275" t="str">
        <x:v>停止</x:v>
      </x:c>
      <x:c r="G206" s="275" t="str">
        <x:v>关键表达信号真合化</x:v>
      </x:c>
      <x:c r="H206" s="275" t="str"/>
      <x:c r="I206" s="275" t="str">
        <x:v>真合化成立但化神系统、阴阳或承载尚未可靠确定。</x:v>
      </x:c>
      <x:c r="J206" s="275" t="str">
        <x:v>基础事实未定；只有同一source_id重复；该接口所依赖的上游模块已停止。</x:v>
      </x:c>
      <x:c r="K206" s="275" t="str">
        <x:v>不限定；由共享基础引擎与M3-STATE修正</x:v>
      </x:c>
      <x:c r="L206" s="275" t="str">
        <x:v>不限定；M3-EXPR不以夫妻星为唯一主轴</x:v>
      </x:c>
      <x:c r="M206" s="275" t="str">
        <x:v>由M3-BASE、日支结构及共享引擎提供</x:v>
      </x:c>
      <x:c r="N206" s="275" t="str">
        <x:v>无／待表达路径规则组合</x:v>
      </x:c>
      <x:c r="O206" s="275" t="str">
        <x:v>全局有效信号；日柱及亲密关系近位优先</x:v>
      </x:c>
      <x:c r="P206" s="275" t="str">
        <x:v>由共享基础引擎判定</x:v>
      </x:c>
      <x:c r="Q206" s="275" t="str">
        <x:v>由共享基础引擎判定</x:v>
      </x:c>
      <x:c r="R206" s="275" t="str">
        <x:v>喜忌不直接等于会不会表达；只修正调用顺畅度与强度</x:v>
      </x:c>
      <x:c r="S206" s="275" t="str">
        <x:v>原十神性质有效；真合化成立时按化神路由</x:v>
      </x:c>
      <x:c r="T206" s="275" t="str">
        <x:v>由共享基础引擎判定</x:v>
      </x:c>
      <x:c r="U206" s="275" t="str">
        <x:v>100</x:v>
      </x:c>
      <x:c r="V206" s="275" t="str">
        <x:v>相关字段停止</x:v>
      </x:c>
      <x:c r="W206" s="275" t="str">
        <x:v>report_status</x:v>
      </x:c>
      <x:c r="X206" s="275" t="str">
        <x:v>原通道清零；相关主通道、路径和维度停止，等待共享引擎完成路由。</x:v>
      </x:c>
      <x:c r="Y206" s="275" t="str">
        <x:v>当前转化会改变表达方向，因此暂不保留原来的表达结论。</x:v>
      </x:c>
      <x:c r="Z206" s="275" t="str">
        <x:v>接口只负责路由、去重或停止；不得越权生成其他模块的最终结论。</x:v>
      </x:c>
      <x:c r="AA206" s="275" t="str">
        <x:v>停止</x:v>
      </x:c>
      <x:c r="AB206" s="275" t="str">
        <x:v>待验证</x:v>
      </x:c>
      <x:c r="AC206" s="275" t="str"/>
      <x:c r="AD206" s="275" t="str">
        <x:v>provisional=true; interface_rule=202</x:v>
      </x:c>
      <x:c r="AE206" s="276" t="str">
        <x:v>0.3</x:v>
      </x:c>
    </x:row>
    <x:row r="207">
      <x:c r="A207" s="273" t="str">
        <x:v>M3-EXPR-203</x:v>
      </x:c>
      <x:c r="B207" s="274" t="str">
        <x:v>基础输入不足｜停止M3-EXPR核心</x:v>
      </x:c>
      <x:c r="C207" s="275" t="str">
        <x:v>L6 跨模块接口</x:v>
      </x:c>
      <x:c r="D207" s="275" t="str">
        <x:v>EXPR-接口门控</x:v>
      </x:c>
      <x:c r="E207" s="275" t="str">
        <x:v>通用</x:v>
      </x:c>
      <x:c r="F207" s="275" t="str">
        <x:v>停止</x:v>
      </x:c>
      <x:c r="G207" s="275" t="str">
        <x:v>十神／日支／状态关键输入缺失</x:v>
      </x:c>
      <x:c r="H207" s="275" t="str"/>
      <x:c r="I207" s="275" t="str">
        <x:v>基础十神映射、日支主气或关键合化状态缺失，且无法用独立全局证据有限回退。</x:v>
      </x:c>
      <x:c r="J207" s="275" t="str">
        <x:v>基础事实未定；只有同一source_id重复；该接口所依赖的上游模块已停止。</x:v>
      </x:c>
      <x:c r="K207" s="275" t="str">
        <x:v>不限定；由共享基础引擎与M3-STATE修正</x:v>
      </x:c>
      <x:c r="L207" s="275" t="str">
        <x:v>不限定；M3-EXPR不以夫妻星为唯一主轴</x:v>
      </x:c>
      <x:c r="M207" s="275" t="str">
        <x:v>由M3-BASE、日支结构及共享引擎提供</x:v>
      </x:c>
      <x:c r="N207" s="275" t="str">
        <x:v>无／待表达路径规则组合</x:v>
      </x:c>
      <x:c r="O207" s="275" t="str">
        <x:v>全局有效信号；日柱及亲密关系近位优先</x:v>
      </x:c>
      <x:c r="P207" s="275" t="str">
        <x:v>由共享基础引擎判定</x:v>
      </x:c>
      <x:c r="Q207" s="275" t="str">
        <x:v>由共享基础引擎判定</x:v>
      </x:c>
      <x:c r="R207" s="275" t="str">
        <x:v>喜忌不直接等于会不会表达；只修正调用顺畅度与强度</x:v>
      </x:c>
      <x:c r="S207" s="275" t="str">
        <x:v>原十神性质有效；真合化成立时按化神路由</x:v>
      </x:c>
      <x:c r="T207" s="275" t="str">
        <x:v>由共享基础引擎判定</x:v>
      </x:c>
      <x:c r="U207" s="275" t="str">
        <x:v>100</x:v>
      </x:c>
      <x:c r="V207" s="275" t="str">
        <x:v>M3-EXPR核心停止</x:v>
      </x:c>
      <x:c r="W207" s="275" t="str">
        <x:v>report_status</x:v>
      </x:c>
      <x:c r="X207" s="275" t="str">
        <x:v>停止主通道、路径和高置信行为结论；只允许输出“证据不足”。</x:v>
      </x:c>
      <x:c r="Y207" s="275" t="str">
        <x:v>目前基础信息不足，不宜把你的表达方式固定为某一种类型。</x:v>
      </x:c>
      <x:c r="Z207" s="275" t="str">
        <x:v>接口只负责路由、去重或停止；不得越权生成其他模块的最终结论。</x:v>
      </x:c>
      <x:c r="AA207" s="275" t="str">
        <x:v>停止</x:v>
      </x:c>
      <x:c r="AB207" s="275" t="str">
        <x:v>待验证</x:v>
      </x:c>
      <x:c r="AC207" s="275" t="str"/>
      <x:c r="AD207" s="275" t="str">
        <x:v>provisional=true; interface_rule=203</x:v>
      </x:c>
      <x:c r="AE207" s="276" t="str">
        <x:v>0.3</x:v>
      </x:c>
    </x:row>
    <x:row r="208">
      <x:c r="A208" s="273" t="str">
        <x:v>M3-EXPR-204</x:v>
      </x:c>
      <x:c r="B208" s="274" t="str">
        <x:v>多通道竞争未决｜停止单一画像</x:v>
      </x:c>
      <x:c r="C208" s="275" t="str">
        <x:v>L6 跨模块接口</x:v>
      </x:c>
      <x:c r="D208" s="275" t="str">
        <x:v>EXPR-接口门控</x:v>
      </x:c>
      <x:c r="E208" s="275" t="str">
        <x:v>通用</x:v>
      </x:c>
      <x:c r="F208" s="275" t="str">
        <x:v>停止</x:v>
      </x:c>
      <x:c r="G208" s="275" t="str">
        <x:v>三个以上通道得分接近且无稳定分工</x:v>
      </x:c>
      <x:c r="H208" s="275" t="str"/>
      <x:c r="I208" s="275" t="str">
        <x:v>通道来源独立但主次、时序或状态分工未确定。</x:v>
      </x:c>
      <x:c r="J208" s="275" t="str">
        <x:v>基础事实未定；只有同一source_id重复；该接口所依赖的上游模块已停止。</x:v>
      </x:c>
      <x:c r="K208" s="275" t="str">
        <x:v>不限定；由共享基础引擎与M3-STATE修正</x:v>
      </x:c>
      <x:c r="L208" s="275" t="str">
        <x:v>不限定；M3-EXPR不以夫妻星为唯一主轴</x:v>
      </x:c>
      <x:c r="M208" s="275" t="str">
        <x:v>由M3-BASE、日支结构及共享引擎提供</x:v>
      </x:c>
      <x:c r="N208" s="275" t="str">
        <x:v>无／待表达路径规则组合</x:v>
      </x:c>
      <x:c r="O208" s="275" t="str">
        <x:v>全局有效信号；日柱及亲密关系近位优先</x:v>
      </x:c>
      <x:c r="P208" s="275" t="str">
        <x:v>由共享基础引擎判定</x:v>
      </x:c>
      <x:c r="Q208" s="275" t="str">
        <x:v>由共享基础引擎判定</x:v>
      </x:c>
      <x:c r="R208" s="275" t="str">
        <x:v>喜忌不直接等于会不会表达；只修正调用顺畅度与强度</x:v>
      </x:c>
      <x:c r="S208" s="275" t="str">
        <x:v>原十神性质有效；真合化成立时按化神路由</x:v>
      </x:c>
      <x:c r="T208" s="275" t="str">
        <x:v>由共享基础引擎判定</x:v>
      </x:c>
      <x:c r="U208" s="275" t="str">
        <x:v>99</x:v>
      </x:c>
      <x:c r="V208" s="275" t="str">
        <x:v>主通道停止或转XP12</x:v>
      </x:c>
      <x:c r="W208" s="275" t="str">
        <x:v>confidence</x:v>
      </x:c>
      <x:c r="X208" s="275" t="str">
        <x:v>改写为情境化候选，降低置信，等待M3-STATE或案例反馈。</x:v>
      </x:c>
      <x:c r="Y208" s="275" t="str">
        <x:v>你可能会根据话题和关系状态使用不同方式；目前不宜把其中任何一种写成固定主模式。</x:v>
      </x:c>
      <x:c r="Z208" s="275" t="str">
        <x:v>接口只负责路由、去重或停止；不得越权生成其他模块的最终结论。</x:v>
      </x:c>
      <x:c r="AA208" s="275" t="str">
        <x:v>停止</x:v>
      </x:c>
      <x:c r="AB208" s="275" t="str">
        <x:v>待验证</x:v>
      </x:c>
      <x:c r="AC208" s="275" t="str"/>
      <x:c r="AD208" s="275" t="str">
        <x:v>provisional=true; interface_rule=204</x:v>
      </x:c>
      <x:c r="AE208" s="276" t="str">
        <x:v>0.3</x:v>
      </x:c>
    </x:row>
    <x:row r="209">
      <x:c r="A209" s="273" t="str">
        <x:v>M3-EXPR-205</x:v>
      </x:c>
      <x:c r="B209" s="274" t="str">
        <x:v>基础来源暂定权重｜日支主气</x:v>
      </x:c>
      <x:c r="C209" s="275" t="str">
        <x:v>L7 总合成与边界审查</x:v>
      </x:c>
      <x:c r="D209" s="275" t="str">
        <x:v>EXPR-合成输出</x:v>
      </x:c>
      <x:c r="E209" s="275" t="str">
        <x:v>通用</x:v>
      </x:c>
      <x:c r="F209" s="275" t="str">
        <x:v>评分</x:v>
      </x:c>
      <x:c r="G209" s="275" t="str">
        <x:v>日支主气有效表达信号</x:v>
      </x:c>
      <x:c r="H209" s="275" t="str"/>
      <x:c r="I209" s="275" t="str">
        <x:v>日支主气十神可靠，原性质有效，未被真合化替代。</x:v>
      </x:c>
      <x:c r="J209" s="275" t="str">
        <x:v>上游关键字段已停止且本规则不属于停止模板；source_id去重尚未完成。</x:v>
      </x:c>
      <x:c r="K209" s="275" t="str">
        <x:v>不限定；由共享基础引擎与M3-STATE修正</x:v>
      </x:c>
      <x:c r="L209" s="275" t="str">
        <x:v>不限定；M3-EXPR不以夫妻星为唯一主轴</x:v>
      </x:c>
      <x:c r="M209" s="275" t="str">
        <x:v>由M3-BASE、日支结构及共享引擎提供</x:v>
      </x:c>
      <x:c r="N209" s="275" t="str">
        <x:v>无／待表达路径规则组合</x:v>
      </x:c>
      <x:c r="O209" s="275" t="str">
        <x:v>全局有效信号；日柱及亲密关系近位优先</x:v>
      </x:c>
      <x:c r="P209" s="275" t="str">
        <x:v>由共享基础引擎判定</x:v>
      </x:c>
      <x:c r="Q209" s="275" t="str">
        <x:v>由共享基础引擎判定</x:v>
      </x:c>
      <x:c r="R209" s="275" t="str">
        <x:v>喜忌不直接等于会不会表达；只修正调用顺畅度与强度</x:v>
      </x:c>
      <x:c r="S209" s="275" t="str">
        <x:v>原十神性质有效；真合化成立时按化神路由</x:v>
      </x:c>
      <x:c r="T209" s="275" t="str">
        <x:v>由共享基础引擎判定</x:v>
      </x:c>
      <x:c r="U209" s="275" t="str">
        <x:v>92</x:v>
      </x:c>
      <x:c r="V209" s="275" t="str">
        <x:v>基础+24；同源封顶</x:v>
      </x:c>
      <x:c r="W209" s="275" t="str">
        <x:v>scoring_log</x:v>
      </x:c>
      <x:c r="X209" s="275" t="str">
        <x:v>日支主气作为亲密关系表达底盘的高权威来源，暂定基础权重24；与BASE同源时只记一次。</x:v>
      </x:c>
      <x:c r="Y209" s="275" t="str">
        <x:v>日支核心会为主要表达方向提供强支持，但仍要看其他表达证据是否复核。</x:v>
      </x:c>
      <x:c r="Z209" s="275" t="str">
        <x:v>评分和阈值属于知识工程参数，不得解释为统计概率、科学测量、命理准确率或现实关系成功率。</x:v>
      </x:c>
      <x:c r="AA209" s="275" t="str">
        <x:v>中高</x:v>
      </x:c>
      <x:c r="AB209" s="275" t="str">
        <x:v>待验证</x:v>
      </x:c>
      <x:c r="AC209" s="275" t="str"/>
      <x:c r="AD209" s="275" t="str">
        <x:v>provisional=true; synth_rule=205</x:v>
      </x:c>
      <x:c r="AE209" s="276" t="str">
        <x:v>0.3</x:v>
      </x:c>
    </x:row>
    <x:row r="210">
      <x:c r="A210" s="273" t="str">
        <x:v>M3-EXPR-206</x:v>
      </x:c>
      <x:c r="B210" s="274" t="str">
        <x:v>基础来源暂定权重｜中气余气与近位透干</x:v>
      </x:c>
      <x:c r="C210" s="275" t="str">
        <x:v>L7 总合成与边界审查</x:v>
      </x:c>
      <x:c r="D210" s="275" t="str">
        <x:v>EXPR-合成输出</x:v>
      </x:c>
      <x:c r="E210" s="275" t="str">
        <x:v>通用</x:v>
      </x:c>
      <x:c r="F210" s="275" t="str">
        <x:v>评分</x:v>
      </x:c>
      <x:c r="G210" s="275" t="str">
        <x:v>次级与外显来源</x:v>
      </x:c>
      <x:c r="H210" s="275" t="str"/>
      <x:c r="I210" s="275" t="str">
        <x:v>日支中气／余气或近位透干有根信号有效。</x:v>
      </x:c>
      <x:c r="J210" s="275" t="str">
        <x:v>上游关键字段已停止且本规则不属于停止模板；source_id去重尚未完成。</x:v>
      </x:c>
      <x:c r="K210" s="275" t="str">
        <x:v>不限定；由共享基础引擎与M3-STATE修正</x:v>
      </x:c>
      <x:c r="L210" s="275" t="str">
        <x:v>不限定；M3-EXPR不以夫妻星为唯一主轴</x:v>
      </x:c>
      <x:c r="M210" s="275" t="str">
        <x:v>由M3-BASE、日支结构及共享引擎提供</x:v>
      </x:c>
      <x:c r="N210" s="275" t="str">
        <x:v>无／待表达路径规则组合</x:v>
      </x:c>
      <x:c r="O210" s="275" t="str">
        <x:v>全局有效信号；日柱及亲密关系近位优先</x:v>
      </x:c>
      <x:c r="P210" s="275" t="str">
        <x:v>由共享基础引擎判定</x:v>
      </x:c>
      <x:c r="Q210" s="275" t="str">
        <x:v>由共享基础引擎判定</x:v>
      </x:c>
      <x:c r="R210" s="275" t="str">
        <x:v>喜忌不直接等于会不会表达；只修正调用顺畅度与强度</x:v>
      </x:c>
      <x:c r="S210" s="275" t="str">
        <x:v>原十神性质有效；真合化成立时按化神路由</x:v>
      </x:c>
      <x:c r="T210" s="275" t="str">
        <x:v>由共享基础引擎判定</x:v>
      </x:c>
      <x:c r="U210" s="275" t="str">
        <x:v>90</x:v>
      </x:c>
      <x:c r="V210" s="275" t="str">
        <x:v>按来源加权</x:v>
      </x:c>
      <x:c r="W210" s="275" t="str">
        <x:v>scoring_log</x:v>
      </x:c>
      <x:c r="X210" s="275" t="str">
        <x:v>暂定：日支中气+14、余气+6、近位透干有根+20、近位藏支有根+12；具体参数待案例校准。</x:v>
      </x:c>
      <x:c r="Y210" s="275" t="str">
        <x:v>次级藏干和近位外显信号会补充主通道，但不会平铺成同等重要的多种表达方式。</x:v>
      </x:c>
      <x:c r="Z210" s="275" t="str">
        <x:v>评分和阈值属于知识工程参数，不得解释为统计概率、科学测量、命理准确率或现实关系成功率。</x:v>
      </x:c>
      <x:c r="AA210" s="275" t="str">
        <x:v>中</x:v>
      </x:c>
      <x:c r="AB210" s="275" t="str">
        <x:v>待验证</x:v>
      </x:c>
      <x:c r="AC210" s="275" t="str"/>
      <x:c r="AD210" s="275" t="str">
        <x:v>provisional=true; synth_rule=206</x:v>
      </x:c>
      <x:c r="AE210" s="276" t="str">
        <x:v>0.3</x:v>
      </x:c>
    </x:row>
    <x:row r="211">
      <x:c r="A211" s="273" t="str">
        <x:v>M3-EXPR-207</x:v>
      </x:c>
      <x:c r="B211" s="274" t="str">
        <x:v>有效表达路径暂定权重｜独立桥接</x:v>
      </x:c>
      <x:c r="C211" s="275" t="str">
        <x:v>L7 总合成与边界审查</x:v>
      </x:c>
      <x:c r="D211" s="275" t="str">
        <x:v>EXPR-合成输出</x:v>
      </x:c>
      <x:c r="E211" s="275" t="str">
        <x:v>通用</x:v>
      </x:c>
      <x:c r="F211" s="275" t="str">
        <x:v>评分</x:v>
      </x:c>
      <x:c r="G211" s="275" t="str">
        <x:v>表达路径成立</x:v>
      </x:c>
      <x:c r="H211" s="275" t="str"/>
      <x:c r="I211" s="275" t="str">
        <x:v>路径起点、转换和终点有效，来源独立。</x:v>
      </x:c>
      <x:c r="J211" s="275" t="str">
        <x:v>上游关键字段已停止且本规则不属于停止模板；source_id去重尚未完成。</x:v>
      </x:c>
      <x:c r="K211" s="275" t="str">
        <x:v>不限定；由共享基础引擎与M3-STATE修正</x:v>
      </x:c>
      <x:c r="L211" s="275" t="str">
        <x:v>不限定；M3-EXPR不以夫妻星为唯一主轴</x:v>
      </x:c>
      <x:c r="M211" s="275" t="str">
        <x:v>由M3-BASE、日支结构及共享引擎提供</x:v>
      </x:c>
      <x:c r="N211" s="275" t="str">
        <x:v>无／待表达路径规则组合</x:v>
      </x:c>
      <x:c r="O211" s="275" t="str">
        <x:v>全局有效信号；日柱及亲密关系近位优先</x:v>
      </x:c>
      <x:c r="P211" s="275" t="str">
        <x:v>由共享基础引擎判定</x:v>
      </x:c>
      <x:c r="Q211" s="275" t="str">
        <x:v>由共享基础引擎判定</x:v>
      </x:c>
      <x:c r="R211" s="275" t="str">
        <x:v>喜忌不直接等于会不会表达；只修正调用顺畅度与强度</x:v>
      </x:c>
      <x:c r="S211" s="275" t="str">
        <x:v>原十神性质有效；真合化成立时按化神路由</x:v>
      </x:c>
      <x:c r="T211" s="275" t="str">
        <x:v>由共享基础引擎判定</x:v>
      </x:c>
      <x:c r="U211" s="275" t="str">
        <x:v>88</x:v>
      </x:c>
      <x:c r="V211" s="275" t="str">
        <x:v>路径+10；状态封顶+8</x:v>
      </x:c>
      <x:c r="W211" s="275" t="str">
        <x:v>scoring_log</x:v>
      </x:c>
      <x:c r="X211" s="275" t="str">
        <x:v>有效路径暂定+10；状态修正单项封顶+8，防止修正项反客为主。</x:v>
      </x:c>
      <x:c r="Y211" s="275" t="str">
        <x:v>当一套表达方式能够顺畅转成另一套方式时，模型会提高对这条沟通顺序的信心。</x:v>
      </x:c>
      <x:c r="Z211" s="275" t="str">
        <x:v>评分和阈值属于知识工程参数，不得解释为统计概率、科学测量、命理准确率或现实关系成功率。</x:v>
      </x:c>
      <x:c r="AA211" s="275" t="str">
        <x:v>中</x:v>
      </x:c>
      <x:c r="AB211" s="275" t="str">
        <x:v>待验证</x:v>
      </x:c>
      <x:c r="AC211" s="275" t="str"/>
      <x:c r="AD211" s="275" t="str">
        <x:v>provisional=true; synth_rule=207</x:v>
      </x:c>
      <x:c r="AE211" s="276" t="str">
        <x:v>0.3</x:v>
      </x:c>
    </x:row>
    <x:row r="212">
      <x:c r="A212" s="273" t="str">
        <x:v>M3-EXPR-208</x:v>
      </x:c>
      <x:c r="B212" s="274" t="str">
        <x:v>同源与同系统封顶｜规则数量不等于证据数量</x:v>
      </x:c>
      <x:c r="C212" s="275" t="str">
        <x:v>L7 总合成与边界审查</x:v>
      </x:c>
      <x:c r="D212" s="275" t="str">
        <x:v>EXPR-合成输出</x:v>
      </x:c>
      <x:c r="E212" s="275" t="str">
        <x:v>通用</x:v>
      </x:c>
      <x:c r="F212" s="275" t="str">
        <x:v>评分门控</x:v>
      </x:c>
      <x:c r="G212" s="275" t="str">
        <x:v>重复规则命中</x:v>
      </x:c>
      <x:c r="H212" s="275" t="str"/>
      <x:c r="I212" s="275" t="str">
        <x:v>多个原子规则来自同一source_id或同一功能系统。</x:v>
      </x:c>
      <x:c r="J212" s="275" t="str">
        <x:v>上游关键字段已停止且本规则不属于停止模板；source_id去重尚未完成。</x:v>
      </x:c>
      <x:c r="K212" s="275" t="str">
        <x:v>不限定；由共享基础引擎与M3-STATE修正</x:v>
      </x:c>
      <x:c r="L212" s="275" t="str">
        <x:v>不限定；M3-EXPR不以夫妻星为唯一主轴</x:v>
      </x:c>
      <x:c r="M212" s="275" t="str">
        <x:v>由M3-BASE、日支结构及共享引擎提供</x:v>
      </x:c>
      <x:c r="N212" s="275" t="str">
        <x:v>无／待表达路径规则组合</x:v>
      </x:c>
      <x:c r="O212" s="275" t="str">
        <x:v>全局有效信号；日柱及亲密关系近位优先</x:v>
      </x:c>
      <x:c r="P212" s="275" t="str">
        <x:v>由共享基础引擎判定</x:v>
      </x:c>
      <x:c r="Q212" s="275" t="str">
        <x:v>由共享基础引擎判定</x:v>
      </x:c>
      <x:c r="R212" s="275" t="str">
        <x:v>喜忌不直接等于会不会表达；只修正调用顺畅度与强度</x:v>
      </x:c>
      <x:c r="S212" s="275" t="str">
        <x:v>原十神性质有效；真合化成立时按化神路由</x:v>
      </x:c>
      <x:c r="T212" s="275" t="str">
        <x:v>由共享基础引擎判定</x:v>
      </x:c>
      <x:c r="U212" s="275" t="str">
        <x:v>100</x:v>
      </x:c>
      <x:c r="V212" s="275" t="str">
        <x:v>去重后计分</x:v>
      </x:c>
      <x:c r="W212" s="275" t="str">
        <x:v>dedup_log</x:v>
      </x:c>
      <x:c r="X212" s="275" t="str">
        <x:v>总分先按source_id去重，再按系统封顶；用户文案可保留多字段解释，但不重复提高置信。</x:v>
      </x:c>
      <x:c r="Y212" s="275" t="str">
        <x:v>命中很多规则不代表证据很多；模型会先去掉重复来源，再判断主次。</x:v>
      </x:c>
      <x:c r="Z212" s="275" t="str">
        <x:v>评分和阈值属于知识工程参数，不得解释为统计概率、科学测量、命理准确率或现实关系成功率。</x:v>
      </x:c>
      <x:c r="AA212" s="275" t="str">
        <x:v>高</x:v>
      </x:c>
      <x:c r="AB212" s="275" t="str">
        <x:v>待验证</x:v>
      </x:c>
      <x:c r="AC212" s="275" t="str"/>
      <x:c r="AD212" s="275" t="str">
        <x:v>provisional=true; synth_rule=208</x:v>
      </x:c>
      <x:c r="AE212" s="276" t="str">
        <x:v>0.3</x:v>
      </x:c>
    </x:row>
    <x:row r="213">
      <x:c r="A213" s="273" t="str">
        <x:v>M3-EXPR-209</x:v>
      </x:c>
      <x:c r="B213" s="274" t="str">
        <x:v>主通道领先阈值｜分差不足不强定</x:v>
      </x:c>
      <x:c r="C213" s="275" t="str">
        <x:v>L7 总合成与边界审查</x:v>
      </x:c>
      <x:c r="D213" s="275" t="str">
        <x:v>EXPR-合成输出</x:v>
      </x:c>
      <x:c r="E213" s="275" t="str">
        <x:v>通用</x:v>
      </x:c>
      <x:c r="F213" s="275" t="str">
        <x:v>裁决</x:v>
      </x:c>
      <x:c r="G213" s="275" t="str">
        <x:v>两个或以上主通道候选</x:v>
      </x:c>
      <x:c r="H213" s="275" t="str"/>
      <x:c r="I213" s="275" t="str">
        <x:v>候选完成去重和状态修正。</x:v>
      </x:c>
      <x:c r="J213" s="275" t="str">
        <x:v>上游关键字段已停止且本规则不属于停止模板；source_id去重尚未完成。</x:v>
      </x:c>
      <x:c r="K213" s="275" t="str">
        <x:v>不限定；由共享基础引擎与M3-STATE修正</x:v>
      </x:c>
      <x:c r="L213" s="275" t="str">
        <x:v>不限定；M3-EXPR不以夫妻星为唯一主轴</x:v>
      </x:c>
      <x:c r="M213" s="275" t="str">
        <x:v>由M3-BASE、日支结构及共享引擎提供</x:v>
      </x:c>
      <x:c r="N213" s="275" t="str">
        <x:v>无／待表达路径规则组合</x:v>
      </x:c>
      <x:c r="O213" s="275" t="str">
        <x:v>全局有效信号；日柱及亲密关系近位优先</x:v>
      </x:c>
      <x:c r="P213" s="275" t="str">
        <x:v>由共享基础引擎判定</x:v>
      </x:c>
      <x:c r="Q213" s="275" t="str">
        <x:v>由共享基础引擎判定</x:v>
      </x:c>
      <x:c r="R213" s="275" t="str">
        <x:v>喜忌不直接等于会不会表达；只修正调用顺畅度与强度</x:v>
      </x:c>
      <x:c r="S213" s="275" t="str">
        <x:v>原十神性质有效；真合化成立时按化神路由</x:v>
      </x:c>
      <x:c r="T213" s="275" t="str">
        <x:v>由共享基础引擎判定</x:v>
      </x:c>
      <x:c r="U213" s="275" t="str">
        <x:v>98</x:v>
      </x:c>
      <x:c r="V213" s="275" t="str">
        <x:v>领先≥8才定单主</x:v>
      </x:c>
      <x:c r="W213" s="275" t="str">
        <x:v>primary_expression_channel</x:v>
      </x:c>
      <x:c r="X213" s="275" t="str">
        <x:v>暂定主通道需领先第二名8分；分差不足时转主次、XP11或XP12，不强行选一个。</x:v>
      </x:c>
      <x:c r="Y213" s="275" t="str">
        <x:v>当两种方式证据接近时，报告会保留双通道或情境化，而不是武断地说你只有一种表达模式。</x:v>
      </x:c>
      <x:c r="Z213" s="275" t="str">
        <x:v>评分和阈值属于知识工程参数，不得解释为统计概率、科学测量、命理准确率或现实关系成功率。</x:v>
      </x:c>
      <x:c r="AA213" s="275" t="str">
        <x:v>高</x:v>
      </x:c>
      <x:c r="AB213" s="275" t="str">
        <x:v>待验证</x:v>
      </x:c>
      <x:c r="AC213" s="275" t="str"/>
      <x:c r="AD213" s="275" t="str">
        <x:v>provisional=true; synth_rule=209</x:v>
      </x:c>
      <x:c r="AE213" s="276" t="str">
        <x:v>0.3</x:v>
      </x:c>
    </x:row>
    <x:row r="214">
      <x:c r="A214" s="273" t="str">
        <x:v>M3-EXPR-210</x:v>
      </x:c>
      <x:c r="B214" s="274" t="str">
        <x:v>次通道保留阈值｜功能独立且正文有价值</x:v>
      </x:c>
      <x:c r="C214" s="275" t="str">
        <x:v>L7 总合成与边界审查</x:v>
      </x:c>
      <x:c r="D214" s="275" t="str">
        <x:v>EXPR-合成输出</x:v>
      </x:c>
      <x:c r="E214" s="275" t="str">
        <x:v>通用</x:v>
      </x:c>
      <x:c r="F214" s="275" t="str">
        <x:v>裁决</x:v>
      </x:c>
      <x:c r="G214" s="275" t="str">
        <x:v>第二通道达到候选分</x:v>
      </x:c>
      <x:c r="H214" s="275" t="str"/>
      <x:c r="I214" s="275" t="str">
        <x:v>次通道≥22分、功能独立、来源独立，且能解释主通道无法覆盖的字段。</x:v>
      </x:c>
      <x:c r="J214" s="275" t="str">
        <x:v>上游关键字段已停止且本规则不属于停止模板；source_id去重尚未完成。</x:v>
      </x:c>
      <x:c r="K214" s="275" t="str">
        <x:v>不限定；由共享基础引擎与M3-STATE修正</x:v>
      </x:c>
      <x:c r="L214" s="275" t="str">
        <x:v>不限定；M3-EXPR不以夫妻星为唯一主轴</x:v>
      </x:c>
      <x:c r="M214" s="275" t="str">
        <x:v>由M3-BASE、日支结构及共享引擎提供</x:v>
      </x:c>
      <x:c r="N214" s="275" t="str">
        <x:v>无／待表达路径规则组合</x:v>
      </x:c>
      <x:c r="O214" s="275" t="str">
        <x:v>全局有效信号；日柱及亲密关系近位优先</x:v>
      </x:c>
      <x:c r="P214" s="275" t="str">
        <x:v>由共享基础引擎判定</x:v>
      </x:c>
      <x:c r="Q214" s="275" t="str">
        <x:v>由共享基础引擎判定</x:v>
      </x:c>
      <x:c r="R214" s="275" t="str">
        <x:v>喜忌不直接等于会不会表达；只修正调用顺畅度与强度</x:v>
      </x:c>
      <x:c r="S214" s="275" t="str">
        <x:v>原十神性质有效；真合化成立时按化神路由</x:v>
      </x:c>
      <x:c r="T214" s="275" t="str">
        <x:v>由共享基础引擎判定</x:v>
      </x:c>
      <x:c r="U214" s="275" t="str">
        <x:v>96</x:v>
      </x:c>
      <x:c r="V214" s="275" t="str">
        <x:v>次通道正文上限1</x:v>
      </x:c>
      <x:c r="W214" s="275" t="str">
        <x:v>secondary_expression_channel</x:v>
      </x:c>
      <x:c r="X214" s="275" t="str">
        <x:v>满足则保留一个次通道；否则并入风格或依据日志。</x:v>
      </x:c>
      <x:c r="Y214" s="275" t="str">
        <x:v>只有真正补充了另一项表达任务的方式，才会出现在正文里。</x:v>
      </x:c>
      <x:c r="Z214" s="275" t="str">
        <x:v>评分和阈值属于知识工程参数，不得解释为统计概率、科学测量、命理准确率或现实关系成功率。</x:v>
      </x:c>
      <x:c r="AA214" s="275" t="str">
        <x:v>高</x:v>
      </x:c>
      <x:c r="AB214" s="275" t="str">
        <x:v>待验证</x:v>
      </x:c>
      <x:c r="AC214" s="275" t="str"/>
      <x:c r="AD214" s="275" t="str">
        <x:v>provisional=true; synth_rule=210</x:v>
      </x:c>
      <x:c r="AE214" s="276" t="str">
        <x:v>0.3</x:v>
      </x:c>
    </x:row>
    <x:row r="215">
      <x:c r="A215" s="273" t="str">
        <x:v>M3-EXPR-211</x:v>
      </x:c>
      <x:c r="B215" s="274" t="str">
        <x:v>高置信度｜多源一致且无关键争议</x:v>
      </x:c>
      <x:c r="C215" s="275" t="str">
        <x:v>L7 总合成与边界审查</x:v>
      </x:c>
      <x:c r="D215" s="275" t="str">
        <x:v>EXPR-合成输出</x:v>
      </x:c>
      <x:c r="E215" s="275" t="str">
        <x:v>通用</x:v>
      </x:c>
      <x:c r="F215" s="275" t="str">
        <x:v>置信度</x:v>
      </x:c>
      <x:c r="G215" s="275" t="str">
        <x:v>高置信条件</x:v>
      </x:c>
      <x:c r="H215" s="275" t="str"/>
      <x:c r="I215" s="275" t="str">
        <x:v>主通道有至少两类独立证据；日支／近位证据清楚；路径和状态相互一致；无合化争议和强冲突。</x:v>
      </x:c>
      <x:c r="J215" s="275" t="str">
        <x:v>上游关键字段已停止且本规则不属于停止模板；source_id去重尚未完成。</x:v>
      </x:c>
      <x:c r="K215" s="275" t="str">
        <x:v>不限定；由共享基础引擎与M3-STATE修正</x:v>
      </x:c>
      <x:c r="L215" s="275" t="str">
        <x:v>不限定；M3-EXPR不以夫妻星为唯一主轴</x:v>
      </x:c>
      <x:c r="M215" s="275" t="str">
        <x:v>由M3-BASE、日支结构及共享引擎提供</x:v>
      </x:c>
      <x:c r="N215" s="275" t="str">
        <x:v>无／待表达路径规则组合</x:v>
      </x:c>
      <x:c r="O215" s="275" t="str">
        <x:v>全局有效信号；日柱及亲密关系近位优先</x:v>
      </x:c>
      <x:c r="P215" s="275" t="str">
        <x:v>由共享基础引擎判定</x:v>
      </x:c>
      <x:c r="Q215" s="275" t="str">
        <x:v>由共享基础引擎判定</x:v>
      </x:c>
      <x:c r="R215" s="275" t="str">
        <x:v>喜忌不直接等于会不会表达；只修正调用顺畅度与强度</x:v>
      </x:c>
      <x:c r="S215" s="275" t="str">
        <x:v>原十神性质有效；真合化成立时按化神路由</x:v>
      </x:c>
      <x:c r="T215" s="275" t="str">
        <x:v>由共享基础引擎判定</x:v>
      </x:c>
      <x:c r="U215" s="275" t="str">
        <x:v>98</x:v>
      </x:c>
      <x:c r="V215" s="275" t="str">
        <x:v>confidence=高</x:v>
      </x:c>
      <x:c r="W215" s="275" t="str">
        <x:v>confidence</x:v>
      </x:c>
      <x:c r="X215" s="275" t="str">
        <x:v>可输出主通道、关键行为和一条主路径；仍保留模型边界。</x:v>
      </x:c>
      <x:c r="Y215" s="275" t="str">
        <x:v>目前多项依据指向同一表达方向，因此可以把它作为较稳定的关系习惯来说明。</x:v>
      </x:c>
      <x:c r="Z215" s="275" t="str">
        <x:v>评分和阈值属于知识工程参数，不得解释为统计概率、科学测量、命理准确率或现实关系成功率。</x:v>
      </x:c>
      <x:c r="AA215" s="275" t="str">
        <x:v>高</x:v>
      </x:c>
      <x:c r="AB215" s="275" t="str">
        <x:v>待验证</x:v>
      </x:c>
      <x:c r="AC215" s="275" t="str"/>
      <x:c r="AD215" s="275" t="str">
        <x:v>provisional=true; synth_rule=211</x:v>
      </x:c>
      <x:c r="AE215" s="276" t="str">
        <x:v>0.3</x:v>
      </x:c>
    </x:row>
    <x:row r="216">
      <x:c r="A216" s="273" t="str">
        <x:v>M3-EXPR-212</x:v>
      </x:c>
      <x:c r="B216" s="274" t="str">
        <x:v>中置信度｜核心方向清楚但细节需条件</x:v>
      </x:c>
      <x:c r="C216" s="275" t="str">
        <x:v>L7 总合成与边界审查</x:v>
      </x:c>
      <x:c r="D216" s="275" t="str">
        <x:v>EXPR-合成输出</x:v>
      </x:c>
      <x:c r="E216" s="275" t="str">
        <x:v>通用</x:v>
      </x:c>
      <x:c r="F216" s="275" t="str">
        <x:v>置信度</x:v>
      </x:c>
      <x:c r="G216" s="275" t="str">
        <x:v>中置信条件</x:v>
      </x:c>
      <x:c r="H216" s="275" t="str"/>
      <x:c r="I216" s="275" t="str">
        <x:v>主通道基本成立，但外显度、时序、次通道或强弱状态有一项未定。</x:v>
      </x:c>
      <x:c r="J216" s="275" t="str">
        <x:v>上游关键字段已停止且本规则不属于停止模板；source_id去重尚未完成。</x:v>
      </x:c>
      <x:c r="K216" s="275" t="str">
        <x:v>不限定；由共享基础引擎与M3-STATE修正</x:v>
      </x:c>
      <x:c r="L216" s="275" t="str">
        <x:v>不限定；M3-EXPR不以夫妻星为唯一主轴</x:v>
      </x:c>
      <x:c r="M216" s="275" t="str">
        <x:v>由M3-BASE、日支结构及共享引擎提供</x:v>
      </x:c>
      <x:c r="N216" s="275" t="str">
        <x:v>无／待表达路径规则组合</x:v>
      </x:c>
      <x:c r="O216" s="275" t="str">
        <x:v>全局有效信号；日柱及亲密关系近位优先</x:v>
      </x:c>
      <x:c r="P216" s="275" t="str">
        <x:v>由共享基础引擎判定</x:v>
      </x:c>
      <x:c r="Q216" s="275" t="str">
        <x:v>由共享基础引擎判定</x:v>
      </x:c>
      <x:c r="R216" s="275" t="str">
        <x:v>喜忌不直接等于会不会表达；只修正调用顺畅度与强度</x:v>
      </x:c>
      <x:c r="S216" s="275" t="str">
        <x:v>原十神性质有效；真合化成立时按化神路由</x:v>
      </x:c>
      <x:c r="T216" s="275" t="str">
        <x:v>由共享基础引擎判定</x:v>
      </x:c>
      <x:c r="U216" s="275" t="str">
        <x:v>94</x:v>
      </x:c>
      <x:c r="V216" s="275" t="str">
        <x:v>confidence=中</x:v>
      </x:c>
      <x:c r="W216" s="275" t="str">
        <x:v>confidence</x:v>
      </x:c>
      <x:c r="X216" s="275" t="str">
        <x:v>输出核心方向和条件语，不锁定频率及压力表现。</x:v>
      </x:c>
      <x:c r="Y216" s="275" t="str">
        <x:v>核心表达方向较清楚，但它何时最明显、是否会切换，仍要结合具体关系情境。</x:v>
      </x:c>
      <x:c r="Z216" s="275" t="str">
        <x:v>评分和阈值属于知识工程参数，不得解释为统计概率、科学测量、命理准确率或现实关系成功率。</x:v>
      </x:c>
      <x:c r="AA216" s="275" t="str">
        <x:v>中</x:v>
      </x:c>
      <x:c r="AB216" s="275" t="str">
        <x:v>待验证</x:v>
      </x:c>
      <x:c r="AC216" s="275" t="str"/>
      <x:c r="AD216" s="275" t="str">
        <x:v>provisional=true; synth_rule=212</x:v>
      </x:c>
      <x:c r="AE216" s="276" t="str">
        <x:v>0.3</x:v>
      </x:c>
    </x:row>
    <x:row r="217">
      <x:c r="A217" s="273" t="str">
        <x:v>M3-EXPR-213</x:v>
      </x:c>
      <x:c r="B217" s="274" t="str">
        <x:v>低置信度｜单一弱证据或多路竞争</x:v>
      </x:c>
      <x:c r="C217" s="275" t="str">
        <x:v>L7 总合成与边界审查</x:v>
      </x:c>
      <x:c r="D217" s="275" t="str">
        <x:v>EXPR-合成输出</x:v>
      </x:c>
      <x:c r="E217" s="275" t="str">
        <x:v>通用</x:v>
      </x:c>
      <x:c r="F217" s="275" t="str">
        <x:v>置信度</x:v>
      </x:c>
      <x:c r="G217" s="275" t="str">
        <x:v>低置信条件</x:v>
      </x:c>
      <x:c r="H217" s="275" t="str"/>
      <x:c r="I217" s="275" t="str">
        <x:v>只有一个弱远信号，或多个通道竞争、路径缺桥、状态争议。</x:v>
      </x:c>
      <x:c r="J217" s="275" t="str">
        <x:v>上游关键字段已停止且本规则不属于停止模板；source_id去重尚未完成。</x:v>
      </x:c>
      <x:c r="K217" s="275" t="str">
        <x:v>不限定；由共享基础引擎与M3-STATE修正</x:v>
      </x:c>
      <x:c r="L217" s="275" t="str">
        <x:v>不限定；M3-EXPR不以夫妻星为唯一主轴</x:v>
      </x:c>
      <x:c r="M217" s="275" t="str">
        <x:v>由M3-BASE、日支结构及共享引擎提供</x:v>
      </x:c>
      <x:c r="N217" s="275" t="str">
        <x:v>无／待表达路径规则组合</x:v>
      </x:c>
      <x:c r="O217" s="275" t="str">
        <x:v>全局有效信号；日柱及亲密关系近位优先</x:v>
      </x:c>
      <x:c r="P217" s="275" t="str">
        <x:v>由共享基础引擎判定</x:v>
      </x:c>
      <x:c r="Q217" s="275" t="str">
        <x:v>由共享基础引擎判定</x:v>
      </x:c>
      <x:c r="R217" s="275" t="str">
        <x:v>喜忌不直接等于会不会表达；只修正调用顺畅度与强度</x:v>
      </x:c>
      <x:c r="S217" s="275" t="str">
        <x:v>原十神性质有效；真合化成立时按化神路由</x:v>
      </x:c>
      <x:c r="T217" s="275" t="str">
        <x:v>由共享基础引擎判定</x:v>
      </x:c>
      <x:c r="U217" s="275" t="str">
        <x:v>96</x:v>
      </x:c>
      <x:c r="V217" s="275" t="str">
        <x:v>confidence=低</x:v>
      </x:c>
      <x:c r="W217" s="275" t="str">
        <x:v>confidence</x:v>
      </x:c>
      <x:c r="X217" s="275" t="str">
        <x:v>只输出系统层候选和不确定原因，不写固定行为。</x:v>
      </x:c>
      <x:c r="Y217" s="275" t="str">
        <x:v>目前只能看出你可能更靠近某一类表达方向，尚不足以写成稳定、固定的习惯。</x:v>
      </x:c>
      <x:c r="Z217" s="275" t="str">
        <x:v>评分和阈值属于知识工程参数，不得解释为统计概率、科学测量、命理准确率或现实关系成功率。</x:v>
      </x:c>
      <x:c r="AA217" s="275" t="str">
        <x:v>低</x:v>
      </x:c>
      <x:c r="AB217" s="275" t="str">
        <x:v>待验证</x:v>
      </x:c>
      <x:c r="AC217" s="275" t="str"/>
      <x:c r="AD217" s="275" t="str">
        <x:v>provisional=true; synth_rule=213</x:v>
      </x:c>
      <x:c r="AE217" s="276" t="str">
        <x:v>0.3</x:v>
      </x:c>
    </x:row>
    <x:row r="218">
      <x:c r="A218" s="273" t="str">
        <x:v>M3-EXPR-214</x:v>
      </x:c>
      <x:c r="B218" s="274" t="str">
        <x:v>停止状态｜关键基础会改变结论</x:v>
      </x:c>
      <x:c r="C218" s="275" t="str">
        <x:v>L7 总合成与边界审查</x:v>
      </x:c>
      <x:c r="D218" s="275" t="str">
        <x:v>EXPR-合成输出</x:v>
      </x:c>
      <x:c r="E218" s="275" t="str">
        <x:v>通用</x:v>
      </x:c>
      <x:c r="F218" s="275" t="str">
        <x:v>停止</x:v>
      </x:c>
      <x:c r="G218" s="275" t="str">
        <x:v>停止条件</x:v>
      </x:c>
      <x:c r="H218" s="275" t="str"/>
      <x:c r="I218" s="275" t="str">
        <x:v>十神映射、日支主气、真合化或主路径关键节点未定，且无法有限回退。</x:v>
      </x:c>
      <x:c r="J218" s="275" t="str">
        <x:v>上游关键字段已停止且本规则不属于停止模板；source_id去重尚未完成。</x:v>
      </x:c>
      <x:c r="K218" s="275" t="str">
        <x:v>不限定；由共享基础引擎与M3-STATE修正</x:v>
      </x:c>
      <x:c r="L218" s="275" t="str">
        <x:v>不限定；M3-EXPR不以夫妻星为唯一主轴</x:v>
      </x:c>
      <x:c r="M218" s="275" t="str">
        <x:v>由M3-BASE、日支结构及共享引擎提供</x:v>
      </x:c>
      <x:c r="N218" s="275" t="str">
        <x:v>无／待表达路径规则组合</x:v>
      </x:c>
      <x:c r="O218" s="275" t="str">
        <x:v>全局有效信号；日柱及亲密关系近位优先</x:v>
      </x:c>
      <x:c r="P218" s="275" t="str">
        <x:v>由共享基础引擎判定</x:v>
      </x:c>
      <x:c r="Q218" s="275" t="str">
        <x:v>由共享基础引擎判定</x:v>
      </x:c>
      <x:c r="R218" s="275" t="str">
        <x:v>喜忌不直接等于会不会表达；只修正调用顺畅度与强度</x:v>
      </x:c>
      <x:c r="S218" s="275" t="str">
        <x:v>原十神性质有效；真合化成立时按化神路由</x:v>
      </x:c>
      <x:c r="T218" s="275" t="str">
        <x:v>由共享基础引擎判定</x:v>
      </x:c>
      <x:c r="U218" s="275" t="str">
        <x:v>100</x:v>
      </x:c>
      <x:c r="V218" s="275" t="str">
        <x:v>report_status=stopped</x:v>
      </x:c>
      <x:c r="W218" s="275" t="str">
        <x:v>report_status</x:v>
      </x:c>
      <x:c r="X218" s="275" t="str">
        <x:v>相关字段输出null或“暂不判断”，记录停止原因和所需补充信息。</x:v>
      </x:c>
      <x:c r="Y218" s="275" t="str">
        <x:v>当前关键基础信息会直接改变表达结论，因此暂不做确定判断。</x:v>
      </x:c>
      <x:c r="Z218" s="275" t="str">
        <x:v>评分和阈值属于知识工程参数，不得解释为统计概率、科学测量、命理准确率或现实关系成功率。</x:v>
      </x:c>
      <x:c r="AA218" s="275" t="str">
        <x:v>停止</x:v>
      </x:c>
      <x:c r="AB218" s="275" t="str">
        <x:v>待验证</x:v>
      </x:c>
      <x:c r="AC218" s="275" t="str"/>
      <x:c r="AD218" s="275" t="str">
        <x:v>provisional=true; synth_rule=214</x:v>
      </x:c>
      <x:c r="AE218" s="276" t="str">
        <x:v>0.3</x:v>
      </x:c>
    </x:row>
    <x:row r="219">
      <x:c r="A219" s="273" t="str">
        <x:v>M3-EXPR-215</x:v>
      </x:c>
      <x:c r="B219" s="274" t="str">
        <x:v>最终输出数量限制｜一主一次一主路径</x:v>
      </x:c>
      <x:c r="C219" s="275" t="str">
        <x:v>L7 总合成与边界审查</x:v>
      </x:c>
      <x:c r="D219" s="275" t="str">
        <x:v>EXPR-合成输出</x:v>
      </x:c>
      <x:c r="E219" s="275" t="str">
        <x:v>通用</x:v>
      </x:c>
      <x:c r="F219" s="275" t="str">
        <x:v>输出门控</x:v>
      </x:c>
      <x:c r="G219" s="275" t="str">
        <x:v>最终用户报告</x:v>
      </x:c>
      <x:c r="H219" s="275" t="str"/>
      <x:c r="I219" s="275" t="str">
        <x:v>完成主次、路径、维度和去重裁决。</x:v>
      </x:c>
      <x:c r="J219" s="275" t="str">
        <x:v>上游关键字段已停止且本规则不属于停止模板；source_id去重尚未完成。</x:v>
      </x:c>
      <x:c r="K219" s="275" t="str">
        <x:v>不限定；由共享基础引擎与M3-STATE修正</x:v>
      </x:c>
      <x:c r="L219" s="275" t="str">
        <x:v>不限定；M3-EXPR不以夫妻星为唯一主轴</x:v>
      </x:c>
      <x:c r="M219" s="275" t="str">
        <x:v>由M3-BASE、日支结构及共享引擎提供</x:v>
      </x:c>
      <x:c r="N219" s="275" t="str">
        <x:v>无／待表达路径规则组合</x:v>
      </x:c>
      <x:c r="O219" s="275" t="str">
        <x:v>全局有效信号；日柱及亲密关系近位优先</x:v>
      </x:c>
      <x:c r="P219" s="275" t="str">
        <x:v>由共享基础引擎判定</x:v>
      </x:c>
      <x:c r="Q219" s="275" t="str">
        <x:v>由共享基础引擎判定</x:v>
      </x:c>
      <x:c r="R219" s="275" t="str">
        <x:v>喜忌不直接等于会不会表达；只修正调用顺畅度与强度</x:v>
      </x:c>
      <x:c r="S219" s="275" t="str">
        <x:v>原十神性质有效；真合化成立时按化神路由</x:v>
      </x:c>
      <x:c r="T219" s="275" t="str">
        <x:v>由共享基础引擎判定</x:v>
      </x:c>
      <x:c r="U219" s="275" t="str">
        <x:v>100</x:v>
      </x:c>
      <x:c r="V219" s="275" t="str">
        <x:v>正文限额</x:v>
      </x:c>
      <x:c r="W219" s="275" t="str">
        <x:v>output_limit</x:v>
      </x:c>
      <x:c r="X219" s="275" t="str">
        <x:v>正文最多保留1个主通道、1个次通道、1条主路径、1项时序、2—3个可观察行为。</x:v>
      </x:c>
      <x:c r="Y219" s="275" t="str">
        <x:v>最终报告会抓住最关键的表达方式和顺序，避免把所有标签堆在一起。</x:v>
      </x:c>
      <x:c r="Z219" s="275" t="str">
        <x:v>评分和阈值属于知识工程参数，不得解释为统计概率、科学测量、命理准确率或现实关系成功率。</x:v>
      </x:c>
      <x:c r="AA219" s="275" t="str">
        <x:v>高</x:v>
      </x:c>
      <x:c r="AB219" s="275" t="str">
        <x:v>待验证</x:v>
      </x:c>
      <x:c r="AC219" s="275" t="str"/>
      <x:c r="AD219" s="275" t="str">
        <x:v>provisional=true; synth_rule=215</x:v>
      </x:c>
      <x:c r="AE219" s="276" t="str">
        <x:v>0.3</x:v>
      </x:c>
    </x:row>
    <x:row r="220">
      <x:c r="A220" s="273" t="str">
        <x:v>M3-EXPR-216</x:v>
      </x:c>
      <x:c r="B220" s="274" t="str">
        <x:v>用户句合成顺序｜通道—行为—时序—条件</x:v>
      </x:c>
      <x:c r="C220" s="275" t="str">
        <x:v>L7 总合成与边界审查</x:v>
      </x:c>
      <x:c r="D220" s="275" t="str">
        <x:v>EXPR-合成输出</x:v>
      </x:c>
      <x:c r="E220" s="275" t="str">
        <x:v>通用</x:v>
      </x:c>
      <x:c r="F220" s="275" t="str">
        <x:v>输出</x:v>
      </x:c>
      <x:c r="G220" s="275" t="str">
        <x:v>生成简版用户文案</x:v>
      </x:c>
      <x:c r="H220" s="275" t="str"/>
      <x:c r="I220" s="275" t="str">
        <x:v>至少主通道或有限系统层候选成立。</x:v>
      </x:c>
      <x:c r="J220" s="275" t="str">
        <x:v>上游关键字段已停止且本规则不属于停止模板；source_id去重尚未完成。</x:v>
      </x:c>
      <x:c r="K220" s="275" t="str">
        <x:v>不限定；由共享基础引擎与M3-STATE修正</x:v>
      </x:c>
      <x:c r="L220" s="275" t="str">
        <x:v>不限定；M3-EXPR不以夫妻星为唯一主轴</x:v>
      </x:c>
      <x:c r="M220" s="275" t="str">
        <x:v>由M3-BASE、日支结构及共享引擎提供</x:v>
      </x:c>
      <x:c r="N220" s="275" t="str">
        <x:v>无／待表达路径规则组合</x:v>
      </x:c>
      <x:c r="O220" s="275" t="str">
        <x:v>全局有效信号；日柱及亲密关系近位优先</x:v>
      </x:c>
      <x:c r="P220" s="275" t="str">
        <x:v>由共享基础引擎判定</x:v>
      </x:c>
      <x:c r="Q220" s="275" t="str">
        <x:v>由共享基础引擎判定</x:v>
      </x:c>
      <x:c r="R220" s="275" t="str">
        <x:v>喜忌不直接等于会不会表达；只修正调用顺畅度与强度</x:v>
      </x:c>
      <x:c r="S220" s="275" t="str">
        <x:v>原十神性质有效；真合化成立时按化神路由</x:v>
      </x:c>
      <x:c r="T220" s="275" t="str">
        <x:v>由共享基础引擎判定</x:v>
      </x:c>
      <x:c r="U220" s="275" t="str">
        <x:v>95</x:v>
      </x:c>
      <x:c r="V220" s="275" t="str">
        <x:v>不加分</x:v>
      </x:c>
      <x:c r="W220" s="275" t="str">
        <x:v>report_template</x:v>
      </x:c>
      <x:c r="X220" s="275" t="str">
        <x:v>标准顺序：先说主要方式，再写可观察行为，再写情绪／需求时序，最后补充次通道或条件。</x:v>
      </x:c>
      <x:c r="Y220" s="275" t="str">
        <x:v>报告会先告诉你主要怎样表达，再说明具体表现、什么时候更容易说出来，以及什么是额外补充。</x:v>
      </x:c>
      <x:c r="Z220" s="275" t="str">
        <x:v>评分和阈值属于知识工程参数，不得解释为统计概率、科学测量、命理准确率或现实关系成功率。</x:v>
      </x:c>
      <x:c r="AA220" s="275" t="str">
        <x:v>高</x:v>
      </x:c>
      <x:c r="AB220" s="275" t="str">
        <x:v>待验证</x:v>
      </x:c>
      <x:c r="AC220" s="275" t="str"/>
      <x:c r="AD220" s="275" t="str">
        <x:v>provisional=true; synth_rule=216</x:v>
      </x:c>
      <x:c r="AE220" s="276" t="str">
        <x:v>0.3</x:v>
      </x:c>
    </x:row>
    <x:row r="221">
      <x:c r="A221" s="273" t="str">
        <x:v>M3-EXPR-217</x:v>
      </x:c>
      <x:c r="B221" s="274" t="str">
        <x:v>单通道标准模板｜直接可用</x:v>
      </x:c>
      <x:c r="C221" s="275" t="str">
        <x:v>L7 总合成与边界审查</x:v>
      </x:c>
      <x:c r="D221" s="275" t="str">
        <x:v>EXPR-合成输出</x:v>
      </x:c>
      <x:c r="E221" s="275" t="str">
        <x:v>通用</x:v>
      </x:c>
      <x:c r="F221" s="275" t="str">
        <x:v>输出</x:v>
      </x:c>
      <x:c r="G221" s="275" t="str">
        <x:v>单一主通道</x:v>
      </x:c>
      <x:c r="H221" s="275" t="str"/>
      <x:c r="I221" s="275" t="str">
        <x:v>主通道清楚，次通道未达正文阈值。</x:v>
      </x:c>
      <x:c r="J221" s="275" t="str">
        <x:v>上游关键字段已停止且本规则不属于停止模板；source_id去重尚未完成。</x:v>
      </x:c>
      <x:c r="K221" s="275" t="str">
        <x:v>不限定；由共享基础引擎与M3-STATE修正</x:v>
      </x:c>
      <x:c r="L221" s="275" t="str">
        <x:v>不限定；M3-EXPR不以夫妻星为唯一主轴</x:v>
      </x:c>
      <x:c r="M221" s="275" t="str">
        <x:v>由M3-BASE、日支结构及共享引擎提供</x:v>
      </x:c>
      <x:c r="N221" s="275" t="str">
        <x:v>无／待表达路径规则组合</x:v>
      </x:c>
      <x:c r="O221" s="275" t="str">
        <x:v>全局有效信号；日柱及亲密关系近位优先</x:v>
      </x:c>
      <x:c r="P221" s="275" t="str">
        <x:v>由共享基础引擎判定</x:v>
      </x:c>
      <x:c r="Q221" s="275" t="str">
        <x:v>由共享基础引擎判定</x:v>
      </x:c>
      <x:c r="R221" s="275" t="str">
        <x:v>喜忌不直接等于会不会表达；只修正调用顺畅度与强度</x:v>
      </x:c>
      <x:c r="S221" s="275" t="str">
        <x:v>原十神性质有效；真合化成立时按化神路由</x:v>
      </x:c>
      <x:c r="T221" s="275" t="str">
        <x:v>由共享基础引擎判定</x:v>
      </x:c>
      <x:c r="U221" s="275" t="str">
        <x:v>92</x:v>
      </x:c>
      <x:c r="V221" s="275" t="str">
        <x:v>不加分</x:v>
      </x:c>
      <x:c r="W221" s="275" t="str">
        <x:v>report_template</x:v>
      </x:c>
      <x:c r="X221" s="275" t="str">
        <x:v>模板：你更习惯通过A表达在意；当B发生时，你通常先C，再D；对方更容易从E感受到你的态度。</x:v>
      </x:c>
      <x:c r="Y221" s="275" t="str">
        <x:v>你更习惯通过【主要通道】表达在意。遇到【典型情境】时，你通常先【第一步】，再【第二步】；对方更容易从【可观察行为】感受到你的态度。</x:v>
      </x:c>
      <x:c r="Z221" s="275" t="str">
        <x:v>评分和阈值属于知识工程参数，不得解释为统计概率、科学测量、命理准确率或现实关系成功率。</x:v>
      </x:c>
      <x:c r="AA221" s="275" t="str">
        <x:v>高</x:v>
      </x:c>
      <x:c r="AB221" s="275" t="str">
        <x:v>待验证</x:v>
      </x:c>
      <x:c r="AC221" s="275" t="str"/>
      <x:c r="AD221" s="275" t="str">
        <x:v>provisional=true; synth_rule=217</x:v>
      </x:c>
      <x:c r="AE221" s="276" t="str">
        <x:v>0.3</x:v>
      </x:c>
    </x:row>
    <x:row r="222">
      <x:c r="A222" s="273" t="str">
        <x:v>M3-EXPR-218</x:v>
      </x:c>
      <x:c r="B222" s="274" t="str">
        <x:v>双通道标准模板｜功能分工清楚</x:v>
      </x:c>
      <x:c r="C222" s="275" t="str">
        <x:v>L7 总合成与边界审查</x:v>
      </x:c>
      <x:c r="D222" s="275" t="str">
        <x:v>EXPR-合成输出</x:v>
      </x:c>
      <x:c r="E222" s="275" t="str">
        <x:v>通用</x:v>
      </x:c>
      <x:c r="F222" s="275" t="str">
        <x:v>输出</x:v>
      </x:c>
      <x:c r="G222" s="275" t="str">
        <x:v>主次或XP11成立</x:v>
      </x:c>
      <x:c r="H222" s="275" t="str"/>
      <x:c r="I222" s="275" t="str">
        <x:v>两个通道来源独立、功能不同，主次或往返关系已裁定。</x:v>
      </x:c>
      <x:c r="J222" s="275" t="str">
        <x:v>上游关键字段已停止且本规则不属于停止模板；source_id去重尚未完成。</x:v>
      </x:c>
      <x:c r="K222" s="275" t="str">
        <x:v>不限定；由共享基础引擎与M3-STATE修正</x:v>
      </x:c>
      <x:c r="L222" s="275" t="str">
        <x:v>不限定；M3-EXPR不以夫妻星为唯一主轴</x:v>
      </x:c>
      <x:c r="M222" s="275" t="str">
        <x:v>由M3-BASE、日支结构及共享引擎提供</x:v>
      </x:c>
      <x:c r="N222" s="275" t="str">
        <x:v>无／待表达路径规则组合</x:v>
      </x:c>
      <x:c r="O222" s="275" t="str">
        <x:v>全局有效信号；日柱及亲密关系近位优先</x:v>
      </x:c>
      <x:c r="P222" s="275" t="str">
        <x:v>由共享基础引擎判定</x:v>
      </x:c>
      <x:c r="Q222" s="275" t="str">
        <x:v>由共享基础引擎判定</x:v>
      </x:c>
      <x:c r="R222" s="275" t="str">
        <x:v>喜忌不直接等于会不会表达；只修正调用顺畅度与强度</x:v>
      </x:c>
      <x:c r="S222" s="275" t="str">
        <x:v>原十神性质有效；真合化成立时按化神路由</x:v>
      </x:c>
      <x:c r="T222" s="275" t="str">
        <x:v>由共享基础引擎判定</x:v>
      </x:c>
      <x:c r="U222" s="275" t="str">
        <x:v>92</x:v>
      </x:c>
      <x:c r="V222" s="275" t="str">
        <x:v>不加分</x:v>
      </x:c>
      <x:c r="W222" s="275" t="str">
        <x:v>report_template</x:v>
      </x:c>
      <x:c r="X222" s="275" t="str">
        <x:v>模板必须说明A负责什么、B负责什么，禁止只写“既A又B”。</x:v>
      </x:c>
      <x:c r="Y222" s="275" t="str">
        <x:v>你主要通过【A】让对方理解你的感受，同时会用【B】把态度落实或接住对方。A负责【功能一】，B负责【功能二】。</x:v>
      </x:c>
      <x:c r="Z222" s="275" t="str">
        <x:v>评分和阈值属于知识工程参数，不得解释为统计概率、科学测量、命理准确率或现实关系成功率。</x:v>
      </x:c>
      <x:c r="AA222" s="275" t="str">
        <x:v>高</x:v>
      </x:c>
      <x:c r="AB222" s="275" t="str">
        <x:v>待验证</x:v>
      </x:c>
      <x:c r="AC222" s="275" t="str"/>
      <x:c r="AD222" s="275" t="str">
        <x:v>provisional=true; synth_rule=218</x:v>
      </x:c>
      <x:c r="AE222" s="276" t="str">
        <x:v>0.3</x:v>
      </x:c>
    </x:row>
    <x:row r="223">
      <x:c r="A223" s="273" t="str">
        <x:v>M3-EXPR-219</x:v>
      </x:c>
      <x:c r="B223" s="274" t="str">
        <x:v>低置信／停止模板｜说明不确定原因</x:v>
      </x:c>
      <x:c r="C223" s="275" t="str">
        <x:v>L7 总合成与边界审查</x:v>
      </x:c>
      <x:c r="D223" s="275" t="str">
        <x:v>EXPR-合成输出</x:v>
      </x:c>
      <x:c r="E223" s="275" t="str">
        <x:v>通用</x:v>
      </x:c>
      <x:c r="F223" s="275" t="str">
        <x:v>输出</x:v>
      </x:c>
      <x:c r="G223" s="275" t="str">
        <x:v>低置信或停止</x:v>
      </x:c>
      <x:c r="H223" s="275" t="str"/>
      <x:c r="I223" s="275" t="str">
        <x:v>未满足主通道门槛，或关键基础状态未定。</x:v>
      </x:c>
      <x:c r="J223" s="275" t="str">
        <x:v>上游关键字段已停止且本规则不属于停止模板；source_id去重尚未完成。</x:v>
      </x:c>
      <x:c r="K223" s="275" t="str">
        <x:v>不限定；由共享基础引擎与M3-STATE修正</x:v>
      </x:c>
      <x:c r="L223" s="275" t="str">
        <x:v>不限定；M3-EXPR不以夫妻星为唯一主轴</x:v>
      </x:c>
      <x:c r="M223" s="275" t="str">
        <x:v>由M3-BASE、日支结构及共享引擎提供</x:v>
      </x:c>
      <x:c r="N223" s="275" t="str">
        <x:v>无／待表达路径规则组合</x:v>
      </x:c>
      <x:c r="O223" s="275" t="str">
        <x:v>全局有效信号；日柱及亲密关系近位优先</x:v>
      </x:c>
      <x:c r="P223" s="275" t="str">
        <x:v>由共享基础引擎判定</x:v>
      </x:c>
      <x:c r="Q223" s="275" t="str">
        <x:v>由共享基础引擎判定</x:v>
      </x:c>
      <x:c r="R223" s="275" t="str">
        <x:v>喜忌不直接等于会不会表达；只修正调用顺畅度与强度</x:v>
      </x:c>
      <x:c r="S223" s="275" t="str">
        <x:v>原十神性质有效；真合化成立时按化神路由</x:v>
      </x:c>
      <x:c r="T223" s="275" t="str">
        <x:v>由共享基础引擎判定</x:v>
      </x:c>
      <x:c r="U223" s="275" t="str">
        <x:v>94</x:v>
      </x:c>
      <x:c r="V223" s="275" t="str">
        <x:v>不加分</x:v>
      </x:c>
      <x:c r="W223" s="275" t="str">
        <x:v>report_template</x:v>
      </x:c>
      <x:c r="X223" s="275" t="str">
        <x:v>模板只保留有限候选、停止原因和需要验证的现实问题。</x:v>
      </x:c>
      <x:c r="Y223" s="275" t="str">
        <x:v>目前只能判断你可能更偏向【系统层方向】，但【关键不确定原因】仍会改变具体表达方式，因此不宜写成固定结论。</x:v>
      </x:c>
      <x:c r="Z223" s="275" t="str">
        <x:v>评分和阈值属于知识工程参数，不得解释为统计概率、科学测量、命理准确率或现实关系成功率。</x:v>
      </x:c>
      <x:c r="AA223" s="275" t="str">
        <x:v>高</x:v>
      </x:c>
      <x:c r="AB223" s="275" t="str">
        <x:v>待验证</x:v>
      </x:c>
      <x:c r="AC223" s="275" t="str"/>
      <x:c r="AD223" s="275" t="str">
        <x:v>provisional=true; synth_rule=219</x:v>
      </x:c>
      <x:c r="AE223" s="276" t="str">
        <x:v>0.3</x:v>
      </x:c>
    </x:row>
    <x:row r="224">
      <x:c r="A224" s="277" t="str">
        <x:v>M3-EXPR-220</x:v>
      </x:c>
      <x:c r="B224" s="278" t="str">
        <x:v>案例校准与版本状态｜V0.3发布门控</x:v>
      </x:c>
      <x:c r="C224" s="279" t="str">
        <x:v>L7 总合成与边界审查</x:v>
      </x:c>
      <x:c r="D224" s="279" t="str">
        <x:v>EXPR-合成输出</x:v>
      </x:c>
      <x:c r="E224" s="279" t="str">
        <x:v>通用</x:v>
      </x:c>
      <x:c r="F224" s="279" t="str">
        <x:v>版本门控</x:v>
      </x:c>
      <x:c r="G224" s="279" t="str">
        <x:v>M3-EXPR全规则</x:v>
      </x:c>
      <x:c r="H224" s="279" t="str"/>
      <x:c r="I224" s="279" t="str">
        <x:v>规则库已生成但尚未通过足量真实案例、伴侣反馈和反例验证。</x:v>
      </x:c>
      <x:c r="J224" s="279" t="str">
        <x:v>上游关键字段已停止且本规则不属于停止模板；source_id去重尚未完成。</x:v>
      </x:c>
      <x:c r="K224" s="279" t="str">
        <x:v>不限定；由共享基础引擎与M3-STATE修正</x:v>
      </x:c>
      <x:c r="L224" s="279" t="str">
        <x:v>不限定；M3-EXPR不以夫妻星为唯一主轴</x:v>
      </x:c>
      <x:c r="M224" s="279" t="str">
        <x:v>由M3-BASE、日支结构及共享引擎提供</x:v>
      </x:c>
      <x:c r="N224" s="279" t="str">
        <x:v>无／待表达路径规则组合</x:v>
      </x:c>
      <x:c r="O224" s="279" t="str">
        <x:v>全局有效信号；日柱及亲密关系近位优先</x:v>
      </x:c>
      <x:c r="P224" s="279" t="str">
        <x:v>由共享基础引擎判定</x:v>
      </x:c>
      <x:c r="Q224" s="279" t="str">
        <x:v>由共享基础引擎判定</x:v>
      </x:c>
      <x:c r="R224" s="279" t="str">
        <x:v>喜忌不直接等于会不会表达；只修正调用顺畅度与强度</x:v>
      </x:c>
      <x:c r="S224" s="279" t="str">
        <x:v>原十神性质有效；真合化成立时按化神路由</x:v>
      </x:c>
      <x:c r="T224" s="279" t="str">
        <x:v>由共享基础引擎判定</x:v>
      </x:c>
      <x:c r="U224" s="279" t="str">
        <x:v>100</x:v>
      </x:c>
      <x:c r="V224" s="279" t="str">
        <x:v>不加分</x:v>
      </x:c>
      <x:c r="W224" s="279" t="str">
        <x:v>provenance</x:v>
      </x:c>
      <x:c r="X224" s="279" t="str">
        <x:v>所有规则保持validation_status=待验证、provisional=true；不得宣传准确率，修改需记录规则ID、案例和原因。</x:v>
      </x:c>
      <x:c r="Y224" s="279" t="str">
        <x:v>当前规则已经可以用于结构化案例分析，但仍需要通过真实关系经历持续校准。</x:v>
      </x:c>
      <x:c r="Z224" s="279" t="str">
        <x:v>评分和阈值属于知识工程参数，不得解释为统计概率、科学测量、命理准确率或现实关系成功率。</x:v>
      </x:c>
      <x:c r="AA224" s="279" t="str">
        <x:v>高</x:v>
      </x:c>
      <x:c r="AB224" s="279" t="str">
        <x:v>待验证</x:v>
      </x:c>
      <x:c r="AC224" s="279" t="str"/>
      <x:c r="AD224" s="279" t="str">
        <x:v>provisional=true; synth_rule=220</x:v>
      </x:c>
      <x:c r="AE224" s="280" t="str">
        <x:v>0.3</x:v>
      </x:c>
    </x:row>
  </x:sheetData>
  <x:mergeCells>
    <x:mergeCell ref="A1:AE1"/>
    <x:mergeCell ref="A2:AE2"/>
  </x:mergeCells>
  <x:conditionalFormatting sqref="AB5:AB224">
    <x:cfRule type="expression" dxfId="5" priority="1">
      <x:formula>AB5="待验证"</x:formula>
    </x:cfRule>
    <x:cfRule type="expression" dxfId="6" priority="2">
      <x:formula>AB5="已验证"</x:formula>
    </x:cfRule>
    <x:cfRule type="expression" dxfId="7" priority="3">
      <x:formula>AB5="需修改"</x:formula>
    </x:cfRule>
    <x:cfRule type="expression" dxfId="8" priority="4">
      <x:formula>AB5="停用"</x:formula>
    </x:cfRule>
  </x:conditionalFormatting>
  <x:conditionalFormatting sqref="AA5:AA224">
    <x:cfRule type="expression" dxfId="9" priority="5">
      <x:formula>AA5="停止"</x:formula>
    </x:cfRule>
    <x:cfRule type="expression" dxfId="10" priority="6">
      <x:formula>AA5="高"</x:formula>
    </x:cfRule>
  </x:conditionalFormatting>
  <x:dataValidations count="2">
    <x:dataValidation type="list" sqref="AA5:AA224">
      <x:formula1>"高,中高,中,中低,低,停止"</x:formula1>
    </x:dataValidation>
    <x:dataValidation type="list" sqref="AB5:AB224">
      <x:formula1>"待验证,已验证,需修改,停用"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0bb8763a9c4c6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" hidden="0" customWidth="1"/>
    <x:col min="3" max="3" width="22" hidden="0" customWidth="1"/>
    <x:col min="4" max="4" width="14" hidden="0" customWidth="1"/>
    <x:col min="5" max="5" width="42" hidden="0" customWidth="1"/>
    <x:col min="6" max="6" width="40" hidden="0" customWidth="1"/>
    <x:col min="7" max="7" width="24" hidden="0" customWidth="1"/>
    <x:col min="8" max="8" width="26" hidden="0" customWidth="1"/>
    <x:col min="9" max="9" width="42" hidden="0" customWidth="1"/>
    <x:col min="10" max="10" width="44" hidden="0" customWidth="1"/>
    <x:col min="11" max="11" width="11" hidden="0" customWidth="1"/>
  </x:cols>
  <x:sheetData>
    <x:row r="1" ht="30" customHeight="1">
      <x:c r="A1" s="5" t="str">
        <x:v>门控、去重、边界与停止速查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8" customHeight="1">
      <x:c r="A2" s="13" t="str">
        <x:v>分析案例时，生成结论前至少检查一次本页。停止不是没有表达，而是基础证据不足或会改变结论。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>
      <x:c r="A4" s="26" t="str">
        <x:v>规则ID</x:v>
      </x:c>
      <x:c r="B4" s="91" t="str">
        <x:v>规则名称</x:v>
      </x:c>
      <x:c r="C4" s="91" t="str">
        <x:v>模块</x:v>
      </x:c>
      <x:c r="D4" s="91" t="str">
        <x:v>类型</x:v>
      </x:c>
      <x:c r="E4" s="91" t="str">
        <x:v>成立条件</x:v>
      </x:c>
      <x:c r="F4" s="91" t="str">
        <x:v>排除条件</x:v>
      </x:c>
      <x:c r="G4" s="91" t="str">
        <x:v>系统处理</x:v>
      </x:c>
      <x:c r="H4" s="91" t="str">
        <x:v>输出字段</x:v>
      </x:c>
      <x:c r="I4" s="91" t="str">
        <x:v>用户解释</x:v>
      </x:c>
      <x:c r="J4" s="91" t="str">
        <x:v>禁止推出</x:v>
      </x:c>
      <x:c r="K4" s="27" t="str">
        <x:v>置信度</x:v>
      </x:c>
    </x:row>
    <x:row r="5">
      <x:c r="A5" s="75" t="str">
        <x:v>M3-EXPR-002</x:v>
      </x:c>
      <x:c r="B5" s="257" t="str">
        <x:v>M3-EXPR核心问题｜怎样表达而非表达好坏</x:v>
      </x:c>
      <x:c r="C5" s="257" t="str">
        <x:v>EXPR-定义边界</x:v>
      </x:c>
      <x:c r="D5" s="257" t="str">
        <x:v>边界</x:v>
      </x:c>
      <x:c r="E5" s="102" t="str">
        <x:v>需要判断情感表达、情绪表达、需求表达或观点沟通。</x:v>
      </x:c>
      <x:c r="F5" s="102" t="str">
        <x:v>基础信号未定；真合化后原信号已失效；只有单一弱远争议信号。</x:v>
      </x:c>
      <x:c r="G5" s="102" t="str">
        <x:v>不加分；门控／路由</x:v>
      </x:c>
      <x:c r="H5" s="102" t="str">
        <x:v>boundary_note</x:v>
      </x:c>
      <x:c r="I5" s="102" t="str">
        <x:v>你的表达方式有自己的顺序和习惯；这里先说明“你通常怎样表达”，不把它简单评成好或不好。</x:v>
      </x:c>
      <x:c r="J5" s="102" t="str">
        <x:v>不得由本规则推出人格诊断、感情结果、忠诚度、适配度或关系风险；不得把表达方式等同于爱得多少。</x:v>
      </x:c>
      <x:c r="K5" s="51" t="str">
        <x:v>高</x:v>
      </x:c>
    </x:row>
    <x:row r="6">
      <x:c r="A6" s="76" t="str">
        <x:v>M3-EXPR-003</x:v>
      </x:c>
      <x:c r="B6" s="258" t="str">
        <x:v>M3-EXPR标准输入｜共享基础引擎</x:v>
      </x:c>
      <x:c r="C6" s="258" t="str">
        <x:v>EXPR-定义边界</x:v>
      </x:c>
      <x:c r="D6" s="258" t="str">
        <x:v>输入门控</x:v>
      </x:c>
      <x:c r="E6" s="103" t="str">
        <x:v>排盘、十神、日支藏干、透藏、根气、旺弱、喜忌、合化和有效流向已由共享引擎提供。</x:v>
      </x:c>
      <x:c r="F6" s="103" t="str">
        <x:v>基础信号未定；真合化后原信号已失效；只有单一弱远争议信号。</x:v>
      </x:c>
      <x:c r="G6" s="103" t="str">
        <x:v>不加分；门控／路由</x:v>
      </x:c>
      <x:c r="H6" s="103" t="str">
        <x:v>report_status</x:v>
      </x:c>
      <x:c r="I6" s="103" t="str">
        <x:v>这部分判断会建立在已经确认的命盘结构上；基础信息有争议时，会保留不确定性而不是硬下结论。</x:v>
      </x:c>
      <x:c r="J6" s="103" t="str">
        <x:v>不得由本规则推出人格诊断、感情结果、忠诚度、适配度或关系风险；不得把表达方式等同于爱得多少。</x:v>
      </x:c>
      <x:c r="K6" s="53" t="str">
        <x:v>高</x:v>
      </x:c>
    </x:row>
    <x:row r="7">
      <x:c r="A7" s="76" t="str">
        <x:v>M3-EXPR-005</x:v>
      </x:c>
      <x:c r="B7" s="258" t="str">
        <x:v>M1边界｜心动偏好不得进入EXPR核心</x:v>
      </x:c>
      <x:c r="C7" s="258" t="str">
        <x:v>EXPR-定义边界</x:v>
      </x:c>
      <x:c r="D7" s="258" t="str">
        <x:v>跨模型边界</x:v>
      </x:c>
      <x:c r="E7" s="103" t="str">
        <x:v>M1心动偏好与M3表达方式同时可见。</x:v>
      </x:c>
      <x:c r="F7" s="103" t="str">
        <x:v>基础信号未定；真合化后原信号已失效；只有单一弱远争议信号。</x:v>
      </x:c>
      <x:c r="G7" s="103" t="str">
        <x:v>不加分；门控／路由</x:v>
      </x:c>
      <x:c r="H7" s="103" t="str">
        <x:v>boundary_note</x:v>
      </x:c>
      <x:c r="I7" s="103" t="str">
        <x:v>让你心动的特质，未必就是你表达感情时使用的方式；两者会分开判断。</x:v>
      </x:c>
      <x:c r="J7" s="103" t="str">
        <x:v>不得由本规则推出人格诊断、感情结果、忠诚度、适配度或关系风险；不得把表达方式等同于爱得多少。</x:v>
      </x:c>
      <x:c r="K7" s="53" t="str">
        <x:v>高</x:v>
      </x:c>
    </x:row>
    <x:row r="8">
      <x:c r="A8" s="76" t="str">
        <x:v>M3-EXPR-006</x:v>
      </x:c>
      <x:c r="B8" s="258" t="str">
        <x:v>M2边界｜选择标准不等于表达习惯</x:v>
      </x:c>
      <x:c r="C8" s="258" t="str">
        <x:v>EXPR-定义边界</x:v>
      </x:c>
      <x:c r="D8" s="258" t="str">
        <x:v>跨模型边界</x:v>
      </x:c>
      <x:c r="E8" s="103" t="str">
        <x:v>M2关系门槛或资格证据与M3表达信号同时出现。</x:v>
      </x:c>
      <x:c r="F8" s="103" t="str">
        <x:v>基础信号未定；真合化后原信号已失效；只有单一弱远争议信号。</x:v>
      </x:c>
      <x:c r="G8" s="103" t="str">
        <x:v>不加分；门控／路由</x:v>
      </x:c>
      <x:c r="H8" s="103" t="str">
        <x:v>boundary_note</x:v>
      </x:c>
      <x:c r="I8" s="103" t="str">
        <x:v>你选择关系时看重的条件，可能会延续到相处中，也可能只是准入标准；不能直接当成你的表达习惯。</x:v>
      </x:c>
      <x:c r="J8" s="103" t="str">
        <x:v>不得由本规则推出人格诊断、感情结果、忠诚度、适配度或关系风险；不得把表达方式等同于爱得多少。</x:v>
      </x:c>
      <x:c r="K8" s="53" t="str">
        <x:v>高</x:v>
      </x:c>
    </x:row>
    <x:row r="9">
      <x:c r="A9" s="76" t="str">
        <x:v>M3-EXPR-007</x:v>
      </x:c>
      <x:c r="B9" s="258" t="str">
        <x:v>M3-CARE边界｜行动表达不等于持续投入</x:v>
      </x:c>
      <x:c r="C9" s="258" t="str">
        <x:v>EXPR-定义边界</x:v>
      </x:c>
      <x:c r="D9" s="258" t="str">
        <x:v>模块边界</x:v>
      </x:c>
      <x:c r="E9" s="103" t="str">
        <x:v>财星、官杀或行动类表达被识别。</x:v>
      </x:c>
      <x:c r="F9" s="103" t="str">
        <x:v>基础信号未定；真合化后原信号已失效；只有单一弱远争议信号。</x:v>
      </x:c>
      <x:c r="G9" s="103" t="str">
        <x:v>不加分；门控／路由</x:v>
      </x:c>
      <x:c r="H9" s="103" t="str">
        <x:v>boundary_note</x:v>
      </x:c>
      <x:c r="I9" s="103" t="str">
        <x:v>你可能会用做事、安排和承担表达在意；至于这种投入是否长期、稳定以及怎样交换，需要在付出模块里继续判断。</x:v>
      </x:c>
      <x:c r="J9" s="103" t="str">
        <x:v>不得由本规则推出人格诊断、感情结果、忠诚度、适配度或关系风险；不得把表达方式等同于爱得多少。</x:v>
      </x:c>
      <x:c r="K9" s="53" t="str">
        <x:v>高</x:v>
      </x:c>
    </x:row>
    <x:row r="10">
      <x:c r="A10" s="76" t="str">
        <x:v>M3-EXPR-008</x:v>
      </x:c>
      <x:c r="B10" s="258" t="str">
        <x:v>M3-BOUND边界｜说出边界不等于执行边界</x:v>
      </x:c>
      <x:c r="C10" s="258" t="str">
        <x:v>EXPR-定义边界</x:v>
      </x:c>
      <x:c r="D10" s="258" t="str">
        <x:v>模块边界</x:v>
      </x:c>
      <x:c r="E10" s="103" t="str">
        <x:v>比劫、伤官或正官支持需求和立场表达。</x:v>
      </x:c>
      <x:c r="F10" s="103" t="str">
        <x:v>基础信号未定；真合化后原信号已失效；只有单一弱远争议信号。</x:v>
      </x:c>
      <x:c r="G10" s="103" t="str">
        <x:v>不加分；门控／路由</x:v>
      </x:c>
      <x:c r="H10" s="103" t="str">
        <x:v>boundary_note</x:v>
      </x:c>
      <x:c r="I10" s="103" t="str">
        <x:v>你是否愿意把边界说出来，和你能否长期守住边界不是同一件事；这里先看表达，后续再看执行。</x:v>
      </x:c>
      <x:c r="J10" s="103" t="str">
        <x:v>不得由本规则推出人格诊断、感情结果、忠诚度、适配度或关系风险；不得把表达方式等同于爱得多少。</x:v>
      </x:c>
      <x:c r="K10" s="53" t="str">
        <x:v>高</x:v>
      </x:c>
    </x:row>
    <x:row r="11">
      <x:c r="A11" s="76" t="str">
        <x:v>M3-EXPR-009</x:v>
      </x:c>
      <x:c r="B11" s="258" t="str">
        <x:v>M3-CONFLICT边界｜日常沟通不等于分歧应对</x:v>
      </x:c>
      <x:c r="C11" s="258" t="str">
        <x:v>EXPR-定义边界</x:v>
      </x:c>
      <x:c r="D11" s="258" t="str">
        <x:v>模块边界</x:v>
      </x:c>
      <x:c r="E11" s="103" t="str">
        <x:v>已形成日常沟通方式候选。</x:v>
      </x:c>
      <x:c r="F11" s="103" t="str">
        <x:v>基础信号未定；真合化后原信号已失效；只有单一弱远争议信号。</x:v>
      </x:c>
      <x:c r="G11" s="103" t="str">
        <x:v>不加分；门控／路由</x:v>
      </x:c>
      <x:c r="H11" s="103" t="str">
        <x:v>boundary_note</x:v>
      </x:c>
      <x:c r="I11" s="103" t="str">
        <x:v>平时好沟通，不代表分歧时一定马上说；平时话少，也不代表冲突时不会直接处理。两种场景会分开分析。</x:v>
      </x:c>
      <x:c r="J11" s="103" t="str">
        <x:v>不得由本规则推出人格诊断、感情结果、忠诚度、适配度或关系风险；不得把表达方式等同于爱得多少。</x:v>
      </x:c>
      <x:c r="K11" s="53" t="str">
        <x:v>高</x:v>
      </x:c>
    </x:row>
    <x:row r="12">
      <x:c r="A12" s="76" t="str">
        <x:v>M3-EXPR-010</x:v>
      </x:c>
      <x:c r="B12" s="258" t="str">
        <x:v>M3-REPAIR边界｜沟通通道不等于修复成功</x:v>
      </x:c>
      <x:c r="C12" s="258" t="str">
        <x:v>EXPR-定义边界</x:v>
      </x:c>
      <x:c r="D12" s="258" t="str">
        <x:v>模块边界</x:v>
      </x:c>
      <x:c r="E12" s="103" t="str">
        <x:v>表达通道可为修复模块提供候选。</x:v>
      </x:c>
      <x:c r="F12" s="103" t="str">
        <x:v>基础信号未定；真合化后原信号已失效；只有单一弱远争议信号。</x:v>
      </x:c>
      <x:c r="G12" s="103" t="str">
        <x:v>不加分；门控／路由</x:v>
      </x:c>
      <x:c r="H12" s="103" t="str">
        <x:v>boundary_note</x:v>
      </x:c>
      <x:c r="I12" s="103" t="str">
        <x:v>你常用的表达方式可能成为修复关系的工具，但能不能真正恢复联结，需要再看修复路径。</x:v>
      </x:c>
      <x:c r="J12" s="103" t="str">
        <x:v>不得由本规则推出人格诊断、感情结果、忠诚度、适配度或关系风险；不得把表达方式等同于爱得多少。</x:v>
      </x:c>
      <x:c r="K12" s="53" t="str">
        <x:v>高</x:v>
      </x:c>
    </x:row>
    <x:row r="13">
      <x:c r="A13" s="76" t="str">
        <x:v>M3-EXPR-011</x:v>
      </x:c>
      <x:c r="B13" s="258" t="str">
        <x:v>M3-STATE边界｜基线表达不等于压力表达</x:v>
      </x:c>
      <x:c r="C13" s="258" t="str">
        <x:v>EXPR-定义边界</x:v>
      </x:c>
      <x:c r="D13" s="258" t="str">
        <x:v>状态边界</x:v>
      </x:c>
      <x:c r="E13" s="103" t="str">
        <x:v>需要输出表达习惯，但压力状态尚未建模。</x:v>
      </x:c>
      <x:c r="F13" s="103" t="str">
        <x:v>基础信号未定；真合化后原信号已失效；只有单一弱远争议信号。</x:v>
      </x:c>
      <x:c r="G13" s="103" t="str">
        <x:v>不加分；门控／路由</x:v>
      </x:c>
      <x:c r="H13" s="103" t="str">
        <x:v>boundary_note</x:v>
      </x:c>
      <x:c r="I13" s="103" t="str">
        <x:v>这里先看你在一般相处中的表达习惯；压力增加时是否切换成另一种方式，会在状态模块里单独判断。</x:v>
      </x:c>
      <x:c r="J13" s="103" t="str">
        <x:v>不得由本规则推出人格诊断、感情结果、忠诚度、适配度或关系风险；不得把表达方式等同于爱得多少。</x:v>
      </x:c>
      <x:c r="K13" s="53" t="str">
        <x:v>高</x:v>
      </x:c>
    </x:row>
    <x:row r="14">
      <x:c r="A14" s="76" t="str">
        <x:v>M3-EXPR-012</x:v>
      </x:c>
      <x:c r="B14" s="258" t="str">
        <x:v>禁止心理诊断｜表达慢不等于回避</x:v>
      </x:c>
      <x:c r="C14" s="258" t="str">
        <x:v>EXPR-定义边界</x:v>
      </x:c>
      <x:c r="D14" s="258" t="str">
        <x:v>禁止推断</x:v>
      </x:c>
      <x:c r="E14" s="103" t="str">
        <x:v>出现先整理后表达、选择性表达或语言显性度较低。</x:v>
      </x:c>
      <x:c r="F14" s="103" t="str">
        <x:v>基础信号未定；真合化后原信号已失效；只有单一弱远争议信号。</x:v>
      </x:c>
      <x:c r="G14" s="103" t="str">
        <x:v>不加分；门控／路由</x:v>
      </x:c>
      <x:c r="H14" s="103" t="str">
        <x:v>boundary_note</x:v>
      </x:c>
      <x:c r="I14" s="103" t="str">
        <x:v>你可能需要更多时间整理，或更习惯通过行动表达；这不等于你没有情感，也不等于存在心理问题。</x:v>
      </x:c>
      <x:c r="J14" s="103" t="str">
        <x:v>不得由本规则推出人格诊断、感情结果、忠诚度、适配度或关系风险；不得把表达方式等同于爱得多少。</x:v>
      </x:c>
      <x:c r="K14" s="53" t="str">
        <x:v>高</x:v>
      </x:c>
    </x:row>
    <x:row r="15">
      <x:c r="A15" s="76" t="str">
        <x:v>M3-EXPR-013</x:v>
      </x:c>
      <x:c r="B15" s="258" t="str">
        <x:v>食伤弱门控｜不得写成不会表达</x:v>
      </x:c>
      <x:c r="C15" s="258" t="str">
        <x:v>EXPR-定义边界</x:v>
      </x:c>
      <x:c r="D15" s="258" t="str">
        <x:v>禁止推断</x:v>
      </x:c>
      <x:c r="E15" s="103" t="str">
        <x:v>食神、伤官信号弱、藏或未形成主通道。</x:v>
      </x:c>
      <x:c r="F15" s="103" t="str">
        <x:v>基础信号未定；真合化后原信号已失效；只有单一弱远争议信号。</x:v>
      </x:c>
      <x:c r="G15" s="103" t="str">
        <x:v>不加分；门控／路由</x:v>
      </x:c>
      <x:c r="H15" s="103" t="str">
        <x:v>boundary_note</x:v>
      </x:c>
      <x:c r="I15" s="103" t="str">
        <x:v>即使你不总是直接说出来，也可能通过做事、陪伴、承担、倾听或尊重对方来表达在意。</x:v>
      </x:c>
      <x:c r="J15" s="103" t="str">
        <x:v>不得由本规则推出人格诊断、感情结果、忠诚度、适配度或关系风险；不得把表达方式等同于爱得多少。</x:v>
      </x:c>
      <x:c r="K15" s="53" t="str">
        <x:v>高</x:v>
      </x:c>
    </x:row>
    <x:row r="16">
      <x:c r="A16" s="76" t="str">
        <x:v>M3-EXPR-014</x:v>
      </x:c>
      <x:c r="B16" s="258" t="str">
        <x:v>透干门控｜外显不等于所有情境都直说</x:v>
      </x:c>
      <x:c r="C16" s="258" t="str">
        <x:v>EXPR-定义边界</x:v>
      </x:c>
      <x:c r="D16" s="258" t="str">
        <x:v>禁止推断</x:v>
      </x:c>
      <x:c r="E16" s="103" t="str">
        <x:v>某表达十神透干。</x:v>
      </x:c>
      <x:c r="F16" s="103" t="str">
        <x:v>基础信号未定；真合化后原信号已失效；只有单一弱远争议信号。</x:v>
      </x:c>
      <x:c r="G16" s="103" t="str">
        <x:v>不加分；门控／路由</x:v>
      </x:c>
      <x:c r="H16" s="103" t="str">
        <x:v>boundary_note</x:v>
      </x:c>
      <x:c r="I16" s="103" t="str">
        <x:v>某种表达方式比较容易被看见，但不代表你在任何人、任何场景下都会毫无保留地说出来。</x:v>
      </x:c>
      <x:c r="J16" s="103" t="str">
        <x:v>不得由本规则推出人格诊断、感情结果、忠诚度、适配度或关系风险；不得把表达方式等同于爱得多少。</x:v>
      </x:c>
      <x:c r="K16" s="53" t="str">
        <x:v>高</x:v>
      </x:c>
    </x:row>
    <x:row r="17">
      <x:c r="A17" s="76" t="str">
        <x:v>M3-EXPR-015</x:v>
      </x:c>
      <x:c r="B17" s="258" t="str">
        <x:v>同源去重总则｜一个事实只计一次基础权重</x:v>
      </x:c>
      <x:c r="C17" s="258" t="str">
        <x:v>EXPR-定义边界</x:v>
      </x:c>
      <x:c r="D17" s="258" t="str">
        <x:v>去重</x:v>
      </x:c>
      <x:c r="E17" s="103" t="str">
        <x:v>同一十神、同一藏干、同一透干根源或同一日支事实被多个规则读取。</x:v>
      </x:c>
      <x:c r="F17" s="103" t="str">
        <x:v>基础信号未定；真合化后原信号已失效；只有单一弱远争议信号。</x:v>
      </x:c>
      <x:c r="G17" s="103" t="str">
        <x:v>不加分；门控／路由</x:v>
      </x:c>
      <x:c r="H17" s="103" t="str">
        <x:v>boundary_note</x:v>
      </x:c>
      <x:c r="I17" s="103" t="str">
        <x:v>同一个命理信号可以从不同角度解释你的表达，但不会因为被重复描述就被当成更多证据。</x:v>
      </x:c>
      <x:c r="J17" s="103" t="str">
        <x:v>不得由本规则推出人格诊断、感情结果、忠诚度、适配度或关系风险；不得把表达方式等同于爱得多少。</x:v>
      </x:c>
      <x:c r="K17" s="53" t="str">
        <x:v>高</x:v>
      </x:c>
    </x:row>
    <x:row r="18">
      <x:c r="A18" s="76" t="str">
        <x:v>M3-EXPR-016</x:v>
      </x:c>
      <x:c r="B18" s="258" t="str">
        <x:v>主表达通道数量上限｜正文只保留一个</x:v>
      </x:c>
      <x:c r="C18" s="258" t="str">
        <x:v>EXPR-定义边界</x:v>
      </x:c>
      <x:c r="D18" s="258" t="str">
        <x:v>输出门控</x:v>
      </x:c>
      <x:c r="E18" s="103" t="str">
        <x:v>多个表达通道同时获得候选分。</x:v>
      </x:c>
      <x:c r="F18" s="103" t="str">
        <x:v>基础信号未定；真合化后原信号已失效；只有单一弱远争议信号。</x:v>
      </x:c>
      <x:c r="G18" s="103" t="str">
        <x:v>不加分；门控／路由</x:v>
      </x:c>
      <x:c r="H18" s="103" t="str">
        <x:v>output_limit</x:v>
      </x:c>
      <x:c r="I18" s="103" t="str">
        <x:v>最终会先抓住你最常使用的一种表达方式，避免把所有可能性都堆成没有辨识度的画像。</x:v>
      </x:c>
      <x:c r="J18" s="103" t="str">
        <x:v>不得由本规则推出人格诊断、感情结果、忠诚度、适配度或关系风险；不得把表达方式等同于爱得多少。</x:v>
      </x:c>
      <x:c r="K18" s="53" t="str">
        <x:v>高</x:v>
      </x:c>
    </x:row>
    <x:row r="19">
      <x:c r="A19" s="76" t="str">
        <x:v>M3-EXPR-017</x:v>
      </x:c>
      <x:c r="B19" s="258" t="str">
        <x:v>次表达通道数量上限｜正文最多一个</x:v>
      </x:c>
      <x:c r="C19" s="258" t="str">
        <x:v>EXPR-定义边界</x:v>
      </x:c>
      <x:c r="D19" s="258" t="str">
        <x:v>输出门控</x:v>
      </x:c>
      <x:c r="E19" s="103" t="str">
        <x:v>存在第二表达通道候选。</x:v>
      </x:c>
      <x:c r="F19" s="103" t="str">
        <x:v>基础信号未定；真合化后原信号已失效；只有单一弱远争议信号。</x:v>
      </x:c>
      <x:c r="G19" s="103" t="str">
        <x:v>不加分；门控／路由</x:v>
      </x:c>
      <x:c r="H19" s="103" t="str">
        <x:v>output_limit</x:v>
      </x:c>
      <x:c r="I19" s="103" t="str">
        <x:v>除主要方式外，正文最多再保留一种真正有不同作用的补充表达方式。</x:v>
      </x:c>
      <x:c r="J19" s="103" t="str">
        <x:v>不得由本规则推出人格诊断、感情结果、忠诚度、适配度或关系风险；不得把表达方式等同于爱得多少。</x:v>
      </x:c>
      <x:c r="K19" s="53" t="str">
        <x:v>高</x:v>
      </x:c>
    </x:row>
    <x:row r="20">
      <x:c r="A20" s="76" t="str">
        <x:v>M3-EXPR-018</x:v>
      </x:c>
      <x:c r="B20" s="258" t="str">
        <x:v>EXPR只输出基线｜阶段信息单独记录</x:v>
      </x:c>
      <x:c r="C20" s="258" t="str">
        <x:v>EXPR-定义边界</x:v>
      </x:c>
      <x:c r="D20" s="258" t="str">
        <x:v>状态门控</x:v>
      </x:c>
      <x:c r="E20" s="103" t="str">
        <x:v>同时输入原局和大运流年信息。</x:v>
      </x:c>
      <x:c r="F20" s="103" t="str">
        <x:v>基础信号未定；真合化后原信号已失效；只有单一弱远争议信号。</x:v>
      </x:c>
      <x:c r="G20" s="103" t="str">
        <x:v>不加分；门控／路由</x:v>
      </x:c>
      <x:c r="H20" s="103" t="str">
        <x:v>boundary_note</x:v>
      </x:c>
      <x:c r="I20" s="103" t="str">
        <x:v>你长期的表达习惯和某一阶段暂时变得更直接、谨慎或行动化，会分开说明。</x:v>
      </x:c>
      <x:c r="J20" s="103" t="str">
        <x:v>不得由本规则推出人格诊断、感情结果、忠诚度、适配度或关系风险；不得把表达方式等同于爱得多少。</x:v>
      </x:c>
      <x:c r="K20" s="53" t="str">
        <x:v>中高</x:v>
      </x:c>
    </x:row>
    <x:row r="21">
      <x:c r="A21" s="76" t="str">
        <x:v>M3-EXPR-019</x:v>
      </x:c>
      <x:c r="B21" s="258" t="str">
        <x:v>用户语言规范｜行为化、过程化、中性化</x:v>
      </x:c>
      <x:c r="C21" s="258" t="str">
        <x:v>EXPR-定义边界</x:v>
      </x:c>
      <x:c r="D21" s="258" t="str">
        <x:v>输出规范</x:v>
      </x:c>
      <x:c r="E21" s="103" t="str">
        <x:v>生成用户可见文案。</x:v>
      </x:c>
      <x:c r="F21" s="103" t="str">
        <x:v>基础信号未定；真合化后原信号已失效；只有单一弱远争议信号。</x:v>
      </x:c>
      <x:c r="G21" s="103" t="str">
        <x:v>不加分；门控／路由</x:v>
      </x:c>
      <x:c r="H21" s="103" t="str">
        <x:v>boundary_note</x:v>
      </x:c>
      <x:c r="I21" s="103" t="str">
        <x:v>报告会尽量说清你“通常先做什么、再做什么”，而不是给你贴一个固定性格标签。</x:v>
      </x:c>
      <x:c r="J21" s="103" t="str">
        <x:v>不得由本规则推出人格诊断、感情结果、忠诚度、适配度或关系风险；不得把表达方式等同于爱得多少。</x:v>
      </x:c>
      <x:c r="K21" s="53" t="str">
        <x:v>高</x:v>
      </x:c>
    </x:row>
    <x:row r="22">
      <x:c r="A22" s="76" t="str">
        <x:v>M3-EXPR-020</x:v>
      </x:c>
      <x:c r="B22" s="258" t="str">
        <x:v>发布状态｜全部规则待案例校准</x:v>
      </x:c>
      <x:c r="C22" s="258" t="str">
        <x:v>EXPR-定义边界</x:v>
      </x:c>
      <x:c r="D22" s="258" t="str">
        <x:v>版本门控</x:v>
      </x:c>
      <x:c r="E22" s="103" t="str">
        <x:v>M3-EXPR V0.3进入知识库。</x:v>
      </x:c>
      <x:c r="F22" s="103" t="str">
        <x:v>基础信号未定；真合化后原信号已失效；只有单一弱远争议信号。</x:v>
      </x:c>
      <x:c r="G22" s="103" t="str">
        <x:v>不加分；门控／路由</x:v>
      </x:c>
      <x:c r="H22" s="103" t="str">
        <x:v>report_status</x:v>
      </x:c>
      <x:c r="I22" s="103" t="str">
        <x:v>当前内容用于结构化分析和案例验证，不代表统计概率或科学测量结果。</x:v>
      </x:c>
      <x:c r="J22" s="103" t="str">
        <x:v>不得由本规则推出人格诊断、感情结果、忠诚度、适配度或关系风险；不得把表达方式等同于爱得多少。</x:v>
      </x:c>
      <x:c r="K22" s="53" t="str">
        <x:v>高</x:v>
      </x:c>
    </x:row>
    <x:row r="23">
      <x:c r="A23" s="76" t="str">
        <x:v>M3-EXPR-084</x:v>
      </x:c>
      <x:c r="B23" s="258" t="str">
        <x:v>XQ01 表达可见度｜未决</x:v>
      </x:c>
      <x:c r="C23" s="258" t="str">
        <x:v>EXPR-过程维度</x:v>
      </x:c>
      <x:c r="D23" s="258" t="str">
        <x:v>停止</x:v>
      </x:c>
      <x:c r="E23" s="103" t="str">
        <x:v>外显与内化证据冲突，或真合化、强弱、位置尚未确定。</x:v>
      </x:c>
      <x:c r="F23" s="103" t="str">
        <x:v>基础十神或状态未定；只存在同一source_id重复；真合化会改变关键通道但尚未路由。</x:v>
      </x:c>
      <x:c r="G23" s="103" t="str">
        <x:v>expression_visibility 停止</x:v>
      </x:c>
      <x:c r="H23" s="103" t="str">
        <x:v>expression_visibility</x:v>
      </x:c>
      <x:c r="I23" s="103" t="str">
        <x:v>目前可以看出你有自己的表达通道，但它究竟有多外显，仍需要更多命盘和现实信息确认。</x:v>
      </x:c>
      <x:c r="J23" s="103" t="str">
        <x:v>不得把该过程维度直接解释为沟通能力高低、情绪成熟度、依恋类型或关系结果。</x:v>
      </x:c>
      <x:c r="K23" s="53" t="str">
        <x:v>停止</x:v>
      </x:c>
    </x:row>
    <x:row r="24">
      <x:c r="A24" s="76" t="str">
        <x:v>M3-EXPR-088</x:v>
      </x:c>
      <x:c r="B24" s="258" t="str">
        <x:v>XQ02 语言显性度｜未决</x:v>
      </x:c>
      <x:c r="C24" s="258" t="str">
        <x:v>EXPR-过程维度</x:v>
      </x:c>
      <x:c r="D24" s="258" t="str">
        <x:v>停止</x:v>
      </x:c>
      <x:c r="E24" s="103" t="str">
        <x:v>食伤状态、合化或表达桥接关系不清。</x:v>
      </x:c>
      <x:c r="F24" s="103" t="str">
        <x:v>基础十神或状态未定；只存在同一source_id重复；真合化会改变关键通道但尚未路由。</x:v>
      </x:c>
      <x:c r="G24" s="103" t="str">
        <x:v>verbal_explicitness 停止</x:v>
      </x:c>
      <x:c r="H24" s="103" t="str">
        <x:v>verbal_explicitness</x:v>
      </x:c>
      <x:c r="I24" s="103" t="str">
        <x:v>目前不足以判断你是更偏语言表达，还是更偏行动与承接表达。</x:v>
      </x:c>
      <x:c r="J24" s="103" t="str">
        <x:v>不得把该过程维度直接解释为沟通能力高低、情绪成熟度、依恋类型或关系结果。</x:v>
      </x:c>
      <x:c r="K24" s="53" t="str">
        <x:v>停止</x:v>
      </x:c>
    </x:row>
    <x:row r="25">
      <x:c r="A25" s="76" t="str">
        <x:v>M3-EXPR-096</x:v>
      </x:c>
      <x:c r="B25" s="258" t="str">
        <x:v>XQ04 需求明确度｜未决</x:v>
      </x:c>
      <x:c r="C25" s="258" t="str">
        <x:v>EXPR-过程维度</x:v>
      </x:c>
      <x:c r="D25" s="258" t="str">
        <x:v>停止</x:v>
      </x:c>
      <x:c r="E25" s="103" t="str">
        <x:v>需求表达信号弱、冲突或仅同源重复。</x:v>
      </x:c>
      <x:c r="F25" s="103" t="str">
        <x:v>基础十神或状态未定；只存在同一source_id重复；真合化会改变关键通道但尚未路由。</x:v>
      </x:c>
      <x:c r="G25" s="103" t="str">
        <x:v>need_explicitness 停止</x:v>
      </x:c>
      <x:c r="H25" s="103" t="str">
        <x:v>need_explicitness</x:v>
      </x:c>
      <x:c r="I25" s="103" t="str">
        <x:v>目前只能看出你有自己的需求表达方式，但直接程度仍需结合现实反馈。</x:v>
      </x:c>
      <x:c r="J25" s="103" t="str">
        <x:v>不得把该过程维度直接解释为沟通能力高低、情绪成熟度、依恋类型或关系结果。</x:v>
      </x:c>
      <x:c r="K25" s="53" t="str">
        <x:v>停止</x:v>
      </x:c>
    </x:row>
    <x:row r="26">
      <x:c r="A26" s="76" t="str">
        <x:v>M3-EXPR-100</x:v>
      </x:c>
      <x:c r="B26" s="258" t="str">
        <x:v>XQ05 观点与边界陈述｜未决</x:v>
      </x:c>
      <x:c r="C26" s="258" t="str">
        <x:v>EXPR-过程维度</x:v>
      </x:c>
      <x:c r="D26" s="258" t="str">
        <x:v>停止</x:v>
      </x:c>
      <x:c r="E26" s="103" t="str">
        <x:v>比劫、印、食伤与官杀证据相互冲突或基础未定。</x:v>
      </x:c>
      <x:c r="F26" s="103" t="str">
        <x:v>基础十神或状态未定；只存在同一source_id重复；真合化会改变关键通道但尚未路由。</x:v>
      </x:c>
      <x:c r="G26" s="103" t="str">
        <x:v>position_expression 停止</x:v>
      </x:c>
      <x:c r="H26" s="103" t="str">
        <x:v>position_expression</x:v>
      </x:c>
      <x:c r="I26" s="103" t="str">
        <x:v>目前不宜把你的立场表达固定成直接、结构化或含蓄中的某一种。</x:v>
      </x:c>
      <x:c r="J26" s="103" t="str">
        <x:v>不得把该过程维度直接解释为沟通能力高低、情绪成熟度、依恋类型或关系结果。</x:v>
      </x:c>
      <x:c r="K26" s="53" t="str">
        <x:v>停止</x:v>
      </x:c>
    </x:row>
    <x:row r="27">
      <x:c r="A27" s="76" t="str">
        <x:v>M3-EXPR-104</x:v>
      </x:c>
      <x:c r="B27" s="258" t="str">
        <x:v>XQ06 沟通启动方式｜未决</x:v>
      </x:c>
      <x:c r="C27" s="258" t="str">
        <x:v>EXPR-过程维度</x:v>
      </x:c>
      <x:c r="D27" s="258" t="str">
        <x:v>停止</x:v>
      </x:c>
      <x:c r="E27" s="103" t="str">
        <x:v>启动证据分散或状态切换明显。</x:v>
      </x:c>
      <x:c r="F27" s="103" t="str">
        <x:v>基础十神或状态未定；只存在同一source_id重复；真合化会改变关键通道但尚未路由。</x:v>
      </x:c>
      <x:c r="G27" s="103" t="str">
        <x:v>communication_initiation 情境候选</x:v>
      </x:c>
      <x:c r="H27" s="103" t="str">
        <x:v>communication_initiation</x:v>
      </x:c>
      <x:c r="I27" s="103" t="str">
        <x:v>你会不会先开口，较依赖话题类型和当时的关系状态。</x:v>
      </x:c>
      <x:c r="J27" s="103" t="str">
        <x:v>不得把该过程维度直接解释为沟通能力高低、情绪成熟度、依恋类型或关系结果。</x:v>
      </x:c>
      <x:c r="K27" s="53" t="str">
        <x:v>中低</x:v>
      </x:c>
    </x:row>
    <x:row r="28">
      <x:c r="A28" s="76" t="str">
        <x:v>M3-EXPR-108</x:v>
      </x:c>
      <x:c r="B28" s="258" t="str">
        <x:v>XQ07 回应与接收方式｜未决</x:v>
      </x:c>
      <x:c r="C28" s="258" t="str">
        <x:v>EXPR-过程维度</x:v>
      </x:c>
      <x:c r="D28" s="258" t="str">
        <x:v>停止</x:v>
      </x:c>
      <x:c r="E28" s="103" t="str">
        <x:v>接收通道不清或多通道势均。</x:v>
      </x:c>
      <x:c r="F28" s="103" t="str">
        <x:v>基础十神或状态未定；只存在同一source_id重复；真合化会改变关键通道但尚未路由。</x:v>
      </x:c>
      <x:c r="G28" s="103" t="str">
        <x:v>response_style 情境候选</x:v>
      </x:c>
      <x:c r="H28" s="103" t="str">
        <x:v>response_style</x:v>
      </x:c>
      <x:c r="I28" s="103" t="str">
        <x:v>你回应对方的方式可能随内容变化：情绪议题、现实议题和原则议题会触发不同通道。</x:v>
      </x:c>
      <x:c r="J28" s="103" t="str">
        <x:v>不得把该过程维度直接解释为沟通能力高低、情绪成熟度、依恋类型或关系结果。</x:v>
      </x:c>
      <x:c r="K28" s="53" t="str">
        <x:v>中低</x:v>
      </x:c>
    </x:row>
    <x:row r="29">
      <x:c r="A29" s="76" t="str">
        <x:v>M3-EXPR-112</x:v>
      </x:c>
      <x:c r="B29" s="258" t="str">
        <x:v>XQ08 行动转译程度｜未决</x:v>
      </x:c>
      <x:c r="C29" s="258" t="str">
        <x:v>EXPR-过程维度</x:v>
      </x:c>
      <x:c r="D29" s="258" t="str">
        <x:v>停止</x:v>
      </x:c>
      <x:c r="E29" s="103" t="str">
        <x:v>行动链、根气或强弱状态未定。</x:v>
      </x:c>
      <x:c r="F29" s="103" t="str">
        <x:v>基础十神或状态未定；只存在同一source_id重复；真合化会改变关键通道但尚未路由。</x:v>
      </x:c>
      <x:c r="G29" s="103" t="str">
        <x:v>action_translation 停止</x:v>
      </x:c>
      <x:c r="H29" s="103" t="str">
        <x:v>action_translation</x:v>
      </x:c>
      <x:c r="I29" s="103" t="str">
        <x:v>目前不足以确定你的表达是否会稳定转成行动。</x:v>
      </x:c>
      <x:c r="J29" s="103" t="str">
        <x:v>不得把该过程维度直接解释为沟通能力高低、情绪成熟度、依恋类型或关系结果。</x:v>
      </x:c>
      <x:c r="K29" s="53" t="str">
        <x:v>停止</x:v>
      </x:c>
    </x:row>
    <x:row r="30">
      <x:c r="A30" s="76" t="str">
        <x:v>M3-EXPR-114</x:v>
      </x:c>
      <x:c r="B30" s="258" t="str">
        <x:v>XP01 直接说清型｜成立证据门槛</x:v>
      </x:c>
      <x:c r="C30" s="258" t="str">
        <x:v>EXPR-表达路径</x:v>
      </x:c>
      <x:c r="D30" s="258" t="str">
        <x:v>门控</x:v>
      </x:c>
      <x:c r="E30" s="103" t="str">
        <x:v>路径主节点与终点分别有有效证据；至少一个信号来自日支／近位，另一个来自透干、根气、有效流向或独立功能系统。</x:v>
      </x:c>
      <x:c r="F30" s="103" t="str">
        <x:v>只有单一透干无根；表达信号仅在远位；印类内化明显占优且没有外化桥。 同一来源被重复计为多个节点。</x:v>
      </x:c>
      <x:c r="G30" s="103" t="str">
        <x:v>路径证据门槛；不单独加分</x:v>
      </x:c>
      <x:c r="H30" s="103" t="str">
        <x:v>expression_path／confidence</x:v>
      </x:c>
      <x:c r="I30" s="103" t="str">
        <x:v>只有当这套表达顺序在命盘中有连续支持时，才会把你概括为“直接说清型”；否则只保留其中最明确的一步。</x:v>
      </x:c>
      <x:c r="J30" s="103" t="str">
        <x:v>不得仅凭五行相生、柱位先后或十神同时出现就制造现实时间线。</x:v>
      </x:c>
      <x:c r="K30" s="53" t="str">
        <x:v>高</x:v>
      </x:c>
    </x:row>
    <x:row r="31">
      <x:c r="A31" s="76" t="str">
        <x:v>M3-EXPR-117</x:v>
      </x:c>
      <x:c r="B31" s="258" t="str">
        <x:v>XP02 温和铺垫型｜成立证据门槛</x:v>
      </x:c>
      <x:c r="C31" s="258" t="str">
        <x:v>EXPR-表达路径</x:v>
      </x:c>
      <x:c r="D31" s="258" t="str">
        <x:v>门控</x:v>
      </x:c>
      <x:c r="E31" s="103" t="str">
        <x:v>路径主节点与终点分别有有效证据；至少一个信号来自日支／近位，另一个来自透干、根气、有效流向或独立功能系统。</x:v>
      </x:c>
      <x:c r="F31" s="103" t="str">
        <x:v>食神弱远无根；伤官、七杀等直接启动信号明显压倒且无食神支持。 同一来源被重复计为多个节点。</x:v>
      </x:c>
      <x:c r="G31" s="103" t="str">
        <x:v>路径证据门槛；不单独加分</x:v>
      </x:c>
      <x:c r="H31" s="103" t="str">
        <x:v>expression_path／confidence</x:v>
      </x:c>
      <x:c r="I31" s="103" t="str">
        <x:v>只有当这套表达顺序在命盘中有连续支持时，才会把你概括为“温和铺垫型”；否则只保留其中最明确的一步。</x:v>
      </x:c>
      <x:c r="J31" s="103" t="str">
        <x:v>不得仅凭五行相生、柱位先后或十神同时出现就制造现实时间线。</x:v>
      </x:c>
      <x:c r="K31" s="53" t="str">
        <x:v>高</x:v>
      </x:c>
    </x:row>
    <x:row r="32">
      <x:c r="A32" s="76" t="str">
        <x:v>M3-EXPR-120</x:v>
      </x:c>
      <x:c r="B32" s="258" t="str">
        <x:v>XP03 先整理后说型｜成立证据门槛</x:v>
      </x:c>
      <x:c r="C32" s="258" t="str">
        <x:v>EXPR-表达路径</x:v>
      </x:c>
      <x:c r="D32" s="258" t="str">
        <x:v>门控</x:v>
      </x:c>
      <x:c r="E32" s="103" t="str">
        <x:v>路径主节点与终点分别有有效证据；至少一个信号来自日支／近位，另一个来自透干、根气、有效流向或独立功能系统。</x:v>
      </x:c>
      <x:c r="F32" s="103" t="str">
        <x:v>印星只弱远无根；没有任何外化桥；此时只能输出“内化候选”，不能断最终会说出。 同一来源被重复计为多个节点。</x:v>
      </x:c>
      <x:c r="G32" s="103" t="str">
        <x:v>路径证据门槛；不单独加分</x:v>
      </x:c>
      <x:c r="H32" s="103" t="str">
        <x:v>expression_path／confidence</x:v>
      </x:c>
      <x:c r="I32" s="103" t="str">
        <x:v>只有当这套表达顺序在命盘中有连续支持时，才会把你概括为“先整理后说型”；否则只保留其中最明确的一步。</x:v>
      </x:c>
      <x:c r="J32" s="103" t="str">
        <x:v>不得仅凭五行相生、柱位先后或十神同时出现就制造现实时间线。</x:v>
      </x:c>
      <x:c r="K32" s="53" t="str">
        <x:v>高</x:v>
      </x:c>
    </x:row>
    <x:row r="33">
      <x:c r="A33" s="76" t="str">
        <x:v>M3-EXPR-123</x:v>
      </x:c>
      <x:c r="B33" s="258" t="str">
        <x:v>XP04 先立场后说明型｜成立证据门槛</x:v>
      </x:c>
      <x:c r="C33" s="258" t="str">
        <x:v>EXPR-表达路径</x:v>
      </x:c>
      <x:c r="D33" s="258" t="str">
        <x:v>门控</x:v>
      </x:c>
      <x:c r="E33" s="103" t="str">
        <x:v>路径主节点与终点分别有有效证据；至少一个信号来自日支／近位，另一个来自透干、根气、有效流向或独立功能系统。</x:v>
      </x:c>
      <x:c r="F33" s="103" t="str">
        <x:v>比劫过弱且无支持；只有伤官单一信号；边界执行仍需BOUND复核。 同一来源被重复计为多个节点。</x:v>
      </x:c>
      <x:c r="G33" s="103" t="str">
        <x:v>路径证据门槛；不单独加分</x:v>
      </x:c>
      <x:c r="H33" s="103" t="str">
        <x:v>expression_path／confidence</x:v>
      </x:c>
      <x:c r="I33" s="103" t="str">
        <x:v>只有当这套表达顺序在命盘中有连续支持时，才会把你概括为“先立场后说明型”；否则只保留其中最明确的一步。</x:v>
      </x:c>
      <x:c r="J33" s="103" t="str">
        <x:v>不得仅凭五行相生、柱位先后或十神同时出现就制造现实时间线。</x:v>
      </x:c>
      <x:c r="K33" s="53" t="str">
        <x:v>高</x:v>
      </x:c>
    </x:row>
    <x:row r="34">
      <x:c r="A34" s="76" t="str">
        <x:v>M3-EXPR-126</x:v>
      </x:c>
      <x:c r="B34" s="258" t="str">
        <x:v>XP05 先倾听后回应型｜成立证据门槛</x:v>
      </x:c>
      <x:c r="C34" s="258" t="str">
        <x:v>EXPR-表达路径</x:v>
      </x:c>
      <x:c r="D34" s="258" t="str">
        <x:v>门控</x:v>
      </x:c>
      <x:c r="E34" s="103" t="str">
        <x:v>路径主节点与终点分别有有效证据；至少一个信号来自日支／近位，另一个来自透干、根气、有效流向或独立功能系统。</x:v>
      </x:c>
      <x:c r="F34" s="103" t="str">
        <x:v>印星未形成有效接收通道；只有礼貌沉默但无后续回应证据；不得把沉默自动写成倾听。 同一来源被重复计为多个节点。</x:v>
      </x:c>
      <x:c r="G34" s="103" t="str">
        <x:v>路径证据门槛；不单独加分</x:v>
      </x:c>
      <x:c r="H34" s="103" t="str">
        <x:v>expression_path／confidence</x:v>
      </x:c>
      <x:c r="I34" s="103" t="str">
        <x:v>只有当这套表达顺序在命盘中有连续支持时，才会把你概括为“先倾听后回应型”；否则只保留其中最明确的一步。</x:v>
      </x:c>
      <x:c r="J34" s="103" t="str">
        <x:v>不得仅凭五行相生、柱位先后或十神同时出现就制造现实时间线。</x:v>
      </x:c>
      <x:c r="K34" s="53" t="str">
        <x:v>高</x:v>
      </x:c>
    </x:row>
    <x:row r="35">
      <x:c r="A35" s="76" t="str">
        <x:v>M3-EXPR-129</x:v>
      </x:c>
      <x:c r="B35" s="258" t="str">
        <x:v>XP06 先行动后解释型｜成立证据门槛</x:v>
      </x:c>
      <x:c r="C35" s="258" t="str">
        <x:v>EXPR-表达路径</x:v>
      </x:c>
      <x:c r="D35" s="258" t="str">
        <x:v>门控</x:v>
      </x:c>
      <x:c r="E35" s="103" t="str">
        <x:v>路径主节点与终点分别有有效证据；至少一个信号来自日支／近位，另一个来自透干、根气、有效流向或独立功能系统。</x:v>
      </x:c>
      <x:c r="F35" s="103" t="str">
        <x:v>财官杀仅一处弱远；没有后续语言或承接桥时，只能写行动表达，不能保证会解释。 同一来源被重复计为多个节点。</x:v>
      </x:c>
      <x:c r="G35" s="103" t="str">
        <x:v>路径证据门槛；不单独加分</x:v>
      </x:c>
      <x:c r="H35" s="103" t="str">
        <x:v>expression_path／confidence</x:v>
      </x:c>
      <x:c r="I35" s="103" t="str">
        <x:v>只有当这套表达顺序在命盘中有连续支持时，才会把你概括为“先行动后解释型”；否则只保留其中最明确的一步。</x:v>
      </x:c>
      <x:c r="J35" s="103" t="str">
        <x:v>不得仅凭五行相生、柱位先后或十神同时出现就制造现实时间线。</x:v>
      </x:c>
      <x:c r="K35" s="53" t="str">
        <x:v>高</x:v>
      </x:c>
    </x:row>
    <x:row r="36">
      <x:c r="A36" s="76" t="str">
        <x:v>M3-EXPR-132</x:v>
      </x:c>
      <x:c r="B36" s="258" t="str">
        <x:v>XP07 先表达后落实型｜成立证据门槛</x:v>
      </x:c>
      <x:c r="C36" s="258" t="str">
        <x:v>EXPR-表达路径</x:v>
      </x:c>
      <x:c r="D36" s="258" t="str">
        <x:v>门控</x:v>
      </x:c>
      <x:c r="E36" s="103" t="str">
        <x:v>路径主节点与终点分别有有效证据；至少一个信号来自日支／近位，另一个来自透干、根气、有效流向或独立功能系统。</x:v>
      </x:c>
      <x:c r="F36" s="103" t="str">
        <x:v>食伤与财星不连通；财星弱远无根；只有口头表达不能推出稳定落实。 同一来源被重复计为多个节点。</x:v>
      </x:c>
      <x:c r="G36" s="103" t="str">
        <x:v>路径证据门槛；不单独加分</x:v>
      </x:c>
      <x:c r="H36" s="103" t="str">
        <x:v>expression_path／confidence</x:v>
      </x:c>
      <x:c r="I36" s="103" t="str">
        <x:v>只有当这套表达顺序在命盘中有连续支持时，才会把你概括为“先表达后落实型”；否则只保留其中最明确的一步。</x:v>
      </x:c>
      <x:c r="J36" s="103" t="str">
        <x:v>不得仅凭五行相生、柱位先后或十神同时出现就制造现实时间线。</x:v>
      </x:c>
      <x:c r="K36" s="53" t="str">
        <x:v>高</x:v>
      </x:c>
    </x:row>
    <x:row r="37">
      <x:c r="A37" s="76" t="str">
        <x:v>M3-EXPR-135</x:v>
      </x:c>
      <x:c r="B37" s="258" t="str">
        <x:v>XP08 责任框架表达型｜成立证据门槛</x:v>
      </x:c>
      <x:c r="C37" s="258" t="str">
        <x:v>EXPR-表达路径</x:v>
      </x:c>
      <x:c r="D37" s="258" t="str">
        <x:v>门控</x:v>
      </x:c>
      <x:c r="E37" s="103" t="str">
        <x:v>路径主节点与终点分别有有效证据；至少一个信号来自日支／近位，另一个来自透干、根气、有效流向或独立功能系统。</x:v>
      </x:c>
      <x:c r="F37" s="103" t="str">
        <x:v>官杀状态失真或真合化；只有官杀强而无任何表达桥时，不宜断语言结构完整。 同一来源被重复计为多个节点。</x:v>
      </x:c>
      <x:c r="G37" s="103" t="str">
        <x:v>路径证据门槛；不单独加分</x:v>
      </x:c>
      <x:c r="H37" s="103" t="str">
        <x:v>expression_path／confidence</x:v>
      </x:c>
      <x:c r="I37" s="103" t="str">
        <x:v>只有当这套表达顺序在命盘中有连续支持时，才会把你概括为“责任框架表达型”；否则只保留其中最明确的一步。</x:v>
      </x:c>
      <x:c r="J37" s="103" t="str">
        <x:v>不得仅凭五行相生、柱位先后或十神同时出现就制造现实时间线。</x:v>
      </x:c>
      <x:c r="K37" s="53" t="str">
        <x:v>高</x:v>
      </x:c>
    </x:row>
    <x:row r="38">
      <x:c r="A38" s="76" t="str">
        <x:v>M3-EXPR-138</x:v>
      </x:c>
      <x:c r="B38" s="258" t="str">
        <x:v>XP09 共同体验表达型｜成立证据门槛</x:v>
      </x:c>
      <x:c r="C38" s="258" t="str">
        <x:v>EXPR-表达路径</x:v>
      </x:c>
      <x:c r="D38" s="258" t="str">
        <x:v>门控</x:v>
      </x:c>
      <x:c r="E38" s="103" t="str">
        <x:v>路径主节点与终点分别有有效证据；至少一个信号来自日支／近位，另一个来自透干、根气、有效流向或独立功能系统。</x:v>
      </x:c>
      <x:c r="F38" s="103" t="str">
        <x:v>相关信号弱远无根；只有偏财单一出现不得推出依赖新鲜感或不愿正式沟通。 同一来源被重复计为多个节点。</x:v>
      </x:c>
      <x:c r="G38" s="103" t="str">
        <x:v>路径证据门槛；不单独加分</x:v>
      </x:c>
      <x:c r="H38" s="103" t="str">
        <x:v>expression_path／confidence</x:v>
      </x:c>
      <x:c r="I38" s="103" t="str">
        <x:v>只有当这套表达顺序在命盘中有连续支持时，才会把你概括为“共同体验表达型”；否则只保留其中最明确的一步。</x:v>
      </x:c>
      <x:c r="J38" s="103" t="str">
        <x:v>不得仅凭五行相生、柱位先后或十神同时出现就制造现实时间线。</x:v>
      </x:c>
      <x:c r="K38" s="53" t="str">
        <x:v>高</x:v>
      </x:c>
    </x:row>
    <x:row r="39">
      <x:c r="A39" s="76" t="str">
        <x:v>M3-EXPR-141</x:v>
      </x:c>
      <x:c r="B39" s="258" t="str">
        <x:v>XP10 深度选择表达型｜成立证据门槛</x:v>
      </x:c>
      <x:c r="C39" s="258" t="str">
        <x:v>EXPR-表达路径</x:v>
      </x:c>
      <x:c r="D39" s="258" t="str">
        <x:v>门控</x:v>
      </x:c>
      <x:c r="E39" s="103" t="str">
        <x:v>路径主节点与终点分别有有效证据；至少一个信号来自日支／近位，另一个来自透干、根气、有效流向或独立功能系统。</x:v>
      </x:c>
      <x:c r="F39" s="103" t="str">
        <x:v>偏印弱远无根；无外化桥；不得把选择性表达写成冷漠或故意保持神秘。 同一来源被重复计为多个节点。</x:v>
      </x:c>
      <x:c r="G39" s="103" t="str">
        <x:v>路径证据门槛；不单独加分</x:v>
      </x:c>
      <x:c r="H39" s="103" t="str">
        <x:v>expression_path／confidence</x:v>
      </x:c>
      <x:c r="I39" s="103" t="str">
        <x:v>只有当这套表达顺序在命盘中有连续支持时，才会把你概括为“深度选择表达型”；否则只保留其中最明确的一步。</x:v>
      </x:c>
      <x:c r="J39" s="103" t="str">
        <x:v>不得仅凭五行相生、柱位先后或十神同时出现就制造现实时间线。</x:v>
      </x:c>
      <x:c r="K39" s="53" t="str">
        <x:v>高</x:v>
      </x:c>
    </x:row>
    <x:row r="40">
      <x:c r="A40" s="76" t="str">
        <x:v>M3-EXPR-144</x:v>
      </x:c>
      <x:c r="B40" s="258" t="str">
        <x:v>XP11 双通道往返型｜成立证据门槛</x:v>
      </x:c>
      <x:c r="C40" s="258" t="str">
        <x:v>EXPR-表达路径</x:v>
      </x:c>
      <x:c r="D40" s="258" t="str">
        <x:v>门控</x:v>
      </x:c>
      <x:c r="E40" s="103" t="str">
        <x:v>路径主节点与终点分别有有效证据；至少一个信号来自日支／近位，另一个来自透干、根气、有效流向或独立功能系统。</x:v>
      </x:c>
      <x:c r="F40" s="103" t="str">
        <x:v>两个通道来自同一source_id；属于同系统正偏重复；第二通道未达独立证据阈值。 同一来源被重复计为多个节点。</x:v>
      </x:c>
      <x:c r="G40" s="103" t="str">
        <x:v>路径证据门槛；不单独加分</x:v>
      </x:c>
      <x:c r="H40" s="103" t="str">
        <x:v>expression_path／confidence</x:v>
      </x:c>
      <x:c r="I40" s="103" t="str">
        <x:v>只有当这套表达顺序在命盘中有连续支持时，才会把你概括为“双通道往返型”；否则只保留其中最明确的一步。</x:v>
      </x:c>
      <x:c r="J40" s="103" t="str">
        <x:v>不得仅凭五行相生、柱位先后或十神同时出现就制造现实时间线。</x:v>
      </x:c>
      <x:c r="K40" s="53" t="str">
        <x:v>高</x:v>
      </x:c>
    </x:row>
    <x:row r="41">
      <x:c r="A41" s="76" t="str">
        <x:v>M3-EXPR-147</x:v>
      </x:c>
      <x:c r="B41" s="258" t="str">
        <x:v>XP12 情境切换候选｜成立证据门槛</x:v>
      </x:c>
      <x:c r="C41" s="258" t="str">
        <x:v>EXPR-表达路径</x:v>
      </x:c>
      <x:c r="D41" s="258" t="str">
        <x:v>门控</x:v>
      </x:c>
      <x:c r="E41" s="103" t="str">
        <x:v>路径主节点与终点分别有有效证据；至少一个信号来自日支／近位，另一个来自透干、根气、有效流向或独立功能系统。</x:v>
      </x:c>
      <x:c r="F41" s="103" t="str">
        <x:v>只是多个弱信号并列；没有稳定场景分工；最终状态切换必须由M3-STATE复核。 同一来源被重复计为多个节点。</x:v>
      </x:c>
      <x:c r="G41" s="103" t="str">
        <x:v>路径证据门槛；不单独加分</x:v>
      </x:c>
      <x:c r="H41" s="103" t="str">
        <x:v>expression_path／confidence</x:v>
      </x:c>
      <x:c r="I41" s="103" t="str">
        <x:v>只有当这套表达顺序在命盘中有连续支持时，才会把你概括为“情境切换候选”；否则只保留其中最明确的一步。</x:v>
      </x:c>
      <x:c r="J41" s="103" t="str">
        <x:v>不得仅凭五行相生、柱位先后或十神同时出现就制造现实时间线。</x:v>
      </x:c>
      <x:c r="K41" s="53" t="str">
        <x:v>高</x:v>
      </x:c>
    </x:row>
    <x:row r="42">
      <x:c r="A42" s="76" t="str">
        <x:v>M3-EXPR-149</x:v>
      </x:c>
      <x:c r="B42" s="258" t="str">
        <x:v>表达路径同系统收敛｜正偏风格不建两条路径</x:v>
      </x:c>
      <x:c r="C42" s="258" t="str">
        <x:v>EXPR-表达路径</x:v>
      </x:c>
      <x:c r="D42" s="258" t="str">
        <x:v>去重</x:v>
      </x:c>
      <x:c r="E42" s="103" t="str">
        <x:v>两个候选路径来自同一功能系统或同一source_id，只是正偏风格不同。</x:v>
      </x:c>
      <x:c r="F42" s="103" t="str">
        <x:v>只有一个有效路径；基础证据未定；同一事实尚未完成source_id去重。</x:v>
      </x:c>
      <x:c r="G42" s="103" t="str">
        <x:v>同系统封顶；独立证据数不增加</x:v>
      </x:c>
      <x:c r="H42" s="103" t="str">
        <x:v>dedup_log</x:v>
      </x:c>
      <x:c r="I42" s="103" t="str">
        <x:v>你的核心表达方向较集中，只是在同一方式里可能同时带有两种不同风格。</x:v>
      </x:c>
      <x:c r="J42" s="103" t="str">
        <x:v>不得把多路径解释为情绪反复、沟通复杂、感情不稳定或人格矛盾。</x:v>
      </x:c>
      <x:c r="K42" s="53" t="str">
        <x:v>高</x:v>
      </x:c>
    </x:row>
    <x:row r="43">
      <x:c r="A43" s="76" t="str">
        <x:v>M3-EXPR-152</x:v>
      </x:c>
      <x:c r="B43" s="258" t="str">
        <x:v>表达路径竞争未决｜停止单一路径</x:v>
      </x:c>
      <x:c r="C43" s="258" t="str">
        <x:v>EXPR-表达路径</x:v>
      </x:c>
      <x:c r="D43" s="258" t="str">
        <x:v>停止</x:v>
      </x:c>
      <x:c r="E43" s="103" t="str">
        <x:v>多条路径得分接近，但节点关系、状态切换或真合化仍有争议。</x:v>
      </x:c>
      <x:c r="F43" s="103" t="str">
        <x:v>只有一个有效路径；基础证据未定；同一事实尚未完成source_id去重。</x:v>
      </x:c>
      <x:c r="G43" s="103" t="str">
        <x:v>expression_path停止</x:v>
      </x:c>
      <x:c r="H43" s="103" t="str">
        <x:v>expression_path／confidence</x:v>
      </x:c>
      <x:c r="I43" s="103" t="str">
        <x:v>目前可以看出你有不止一种表达方式，但哪一种会先启动，仍取决于具体话题和关系状态。</x:v>
      </x:c>
      <x:c r="J43" s="103" t="str">
        <x:v>不得把多路径解释为情绪反复、沟通复杂、感情不稳定或人格矛盾。</x:v>
      </x:c>
      <x:c r="K43" s="53" t="str">
        <x:v>停止</x:v>
      </x:c>
    </x:row>
    <x:row r="44">
      <x:c r="A44" s="76" t="str">
        <x:v>M3-EXPR-161</x:v>
      </x:c>
      <x:c r="B44" s="258" t="str">
        <x:v>同类信号重复｜浓度提高不增加独立证据</x:v>
      </x:c>
      <x:c r="C44" s="258" t="str">
        <x:v>EXPR-状态修正</x:v>
      </x:c>
      <x:c r="D44" s="258" t="str">
        <x:v>去重</x:v>
      </x:c>
      <x:c r="E44" s="103" t="str">
        <x:v>多个同类信号有效，但共享根源、同一source_id或同一证据簇。</x:v>
      </x:c>
      <x:c r="F44" s="103" t="str">
        <x:v>基础十神映射未定；真合化已替代原信号但未完成路由；仅由同一source_id重复。</x:v>
      </x:c>
      <x:c r="G44" s="103" t="str">
        <x:v>系统浓度+5；证据数封顶</x:v>
      </x:c>
      <x:c r="H44" s="103" t="str">
        <x:v>dedup_log</x:v>
      </x:c>
      <x:c r="I44" s="103" t="str">
        <x:v>这套表达方向较集中，但不会因为出现多次就被当成多套不同方式。</x:v>
      </x:c>
      <x:c r="J44" s="103" t="str">
        <x:v>不得把旺、弱、喜、忌、透、藏或柱位直接翻译成性格好坏、沟通能力高低、心理疾病或关系结果。</x:v>
      </x:c>
      <x:c r="K44" s="53" t="str">
        <x:v>高</x:v>
      </x:c>
    </x:row>
    <x:row r="45">
      <x:c r="A45" s="76" t="str">
        <x:v>M3-EXPR-162</x:v>
      </x:c>
      <x:c r="B45" s="258" t="str">
        <x:v>正偏同系统并见｜风格分工而非双模式</x:v>
      </x:c>
      <x:c r="C45" s="258" t="str">
        <x:v>EXPR-状态修正</x:v>
      </x:c>
      <x:c r="D45" s="258" t="str">
        <x:v>去重</x:v>
      </x:c>
      <x:c r="E45" s="103" t="str">
        <x:v>如食神与伤官、正印与偏印、正财与偏财等同时有效；未形成跨系统独立分工。</x:v>
      </x:c>
      <x:c r="F45" s="103" t="str">
        <x:v>基础十神映射未定；真合化已替代原信号但未完成路由；仅由同一source_id重复。</x:v>
      </x:c>
      <x:c r="G45" s="103" t="str">
        <x:v>系统封顶；风格保留</x:v>
      </x:c>
      <x:c r="H45" s="103" t="str">
        <x:v>primary_expression_channel</x:v>
      </x:c>
      <x:c r="I45" s="103" t="str">
        <x:v>你的表达核心方向较一致，只是在同一方向中可能既有温和的一面，也有直接或灵活的一面。</x:v>
      </x:c>
      <x:c r="J45" s="103" t="str">
        <x:v>不得把旺、弱、喜、忌、透、藏或柱位直接翻译成性格好坏、沟通能力高低、心理疾病或关系结果。</x:v>
      </x:c>
      <x:c r="K45" s="53" t="str">
        <x:v>高</x:v>
      </x:c>
    </x:row>
    <x:row r="46">
      <x:c r="A46" s="76" t="str">
        <x:v>M3-EXPR-173</x:v>
      </x:c>
      <x:c r="B46" s="258" t="str">
        <x:v>真合化｜停止原通道并路由化神</x:v>
      </x:c>
      <x:c r="C46" s="258" t="str">
        <x:v>EXPR-状态修正</x:v>
      </x:c>
      <x:c r="D46" s="258" t="str">
        <x:v>停止</x:v>
      </x:c>
      <x:c r="E46" s="103" t="str">
        <x:v>共享引擎确认真合化成立，原十神功能被有效替换。</x:v>
      </x:c>
      <x:c r="F46" s="103" t="str">
        <x:v>基础十神映射未定；真合化已替代原信号但未完成路由；仅由同一source_id重复。</x:v>
      </x:c>
      <x:c r="G46" s="103" t="str">
        <x:v>原通道清零；路由化神</x:v>
      </x:c>
      <x:c r="H46" s="103" t="str">
        <x:v>primary_expression_channel</x:v>
      </x:c>
      <x:c r="I46" s="103" t="str">
        <x:v>原来的表达标签暂不直接使用，需要按转化后的功能方向重新判断。</x:v>
      </x:c>
      <x:c r="J46" s="103" t="str">
        <x:v>不得把旺、弱、喜、忌、透、藏或柱位直接翻译成性格好坏、沟通能力高低、心理疾病或关系结果。</x:v>
      </x:c>
      <x:c r="K46" s="53" t="str">
        <x:v>停止</x:v>
      </x:c>
    </x:row>
    <x:row r="47">
      <x:c r="A47" s="76" t="str">
        <x:v>M3-EXPR-174</x:v>
      </x:c>
      <x:c r="B47" s="258" t="str">
        <x:v>合化争议｜停止强表达结论</x:v>
      </x:c>
      <x:c r="C47" s="258" t="str">
        <x:v>EXPR-状态修正</x:v>
      </x:c>
      <x:c r="D47" s="258" t="str">
        <x:v>停止</x:v>
      </x:c>
      <x:c r="E47" s="103" t="str">
        <x:v>合化是否成立会改变主要表达通道，但当前证据不足。</x:v>
      </x:c>
      <x:c r="F47" s="103" t="str">
        <x:v>基础十神映射未定；真合化已替代原信号但未完成路由；仅由同一source_id重复。</x:v>
      </x:c>
      <x:c r="G47" s="103" t="str">
        <x:v>主通道停止；confidence低</x:v>
      </x:c>
      <x:c r="H47" s="103" t="str">
        <x:v>confidence</x:v>
      </x:c>
      <x:c r="I47" s="103" t="str">
        <x:v>当前结构会直接影响表达方式的判断，因此暂不把你固定为某一种表达类型。</x:v>
      </x:c>
      <x:c r="J47" s="103" t="str">
        <x:v>不得把旺、弱、喜、忌、透、藏或柱位直接翻译成性格好坏、沟通能力高低、心理疾病或关系结果。</x:v>
      </x:c>
      <x:c r="K47" s="53" t="str">
        <x:v>停止</x:v>
      </x:c>
    </x:row>
    <x:row r="48">
      <x:c r="A48" s="76" t="str">
        <x:v>M3-EXPR-180</x:v>
      </x:c>
      <x:c r="B48" s="258" t="str">
        <x:v>制约筛选链总则｜先检验再表达</x:v>
      </x:c>
      <x:c r="C48" s="258" t="str">
        <x:v>EXPR-状态修正</x:v>
      </x:c>
      <x:c r="D48" s="258" t="str">
        <x:v>门控</x:v>
      </x:c>
      <x:c r="E48" s="103" t="str">
        <x:v>制约双方均有效，力量可承载，且不是一方完全压倒另一方。</x:v>
      </x:c>
      <x:c r="F48" s="103" t="str">
        <x:v>基础十神映射未定；真合化已替代原信号但未完成路由；仅由同一source_id重复。</x:v>
      </x:c>
      <x:c r="G48" s="103" t="str">
        <x:v>筛选路径候选+6</x:v>
      </x:c>
      <x:c r="H48" s="103" t="str">
        <x:v>expression_path</x:v>
      </x:c>
      <x:c r="I48" s="103" t="str">
        <x:v>你的表达可能会先经过一道检查：先确认安全、逻辑、边界、事实或责任，再决定怎样说。</x:v>
      </x:c>
      <x:c r="J48" s="103" t="str">
        <x:v>不得把旺、弱、喜、忌、透、藏或柱位直接翻译成性格好坏、沟通能力高低、心理疾病或关系结果。</x:v>
      </x:c>
      <x:c r="K48" s="53" t="str">
        <x:v>中</x:v>
      </x:c>
    </x:row>
    <x:row r="49">
      <x:c r="A49" s="76" t="str">
        <x:v>M3-EXPR-186</x:v>
      </x:c>
      <x:c r="B49" s="258" t="str">
        <x:v>BASE同源接口｜日支底盘只算一次</x:v>
      </x:c>
      <x:c r="C49" s="258" t="str">
        <x:v>EXPR-接口门控</x:v>
      </x:c>
      <x:c r="D49" s="258" t="str">
        <x:v>去重</x:v>
      </x:c>
      <x:c r="E49" s="103" t="str">
        <x:v>EXPR读取的主通道来自同一日支主气或同一日柱事实。</x:v>
      </x:c>
      <x:c r="F49" s="103" t="str">
        <x:v>基础事实未定；只有同一source_id重复；该接口所依赖的上游模块已停止。</x:v>
      </x:c>
      <x:c r="G49" s="103" t="str">
        <x:v>基础分只算一次；保留两个字段解释</x:v>
      </x:c>
      <x:c r="H49" s="103" t="str">
        <x:v>dedup_log</x:v>
      </x:c>
      <x:c r="I49" s="103" t="str">
        <x:v>同一个日支信号会同时说明关系底盘和表达方式，但不会被重复算成两份独立证据。</x:v>
      </x:c>
      <x:c r="J49" s="103" t="str">
        <x:v>接口只负责路由、去重或停止；不得越权生成其他模块的最终结论。</x:v>
      </x:c>
      <x:c r="K49" s="53" t="str">
        <x:v>高</x:v>
      </x:c>
    </x:row>
    <x:row r="50">
      <x:c r="A50" s="76" t="str">
        <x:v>M3-EXPR-194</x:v>
      </x:c>
      <x:c r="B50" s="258" t="str">
        <x:v>source_id强制去重｜同一来源只计一次</x:v>
      </x:c>
      <x:c r="C50" s="258" t="str">
        <x:v>EXPR-接口门控</x:v>
      </x:c>
      <x:c r="D50" s="258" t="str">
        <x:v>去重</x:v>
      </x:c>
      <x:c r="E50" s="103" t="str">
        <x:v>多个规则读取同一透干、藏干、日支、根或合化事实。</x:v>
      </x:c>
      <x:c r="F50" s="103" t="str">
        <x:v>基础事实未定；只有同一source_id重复；该接口所依赖的上游模块已停止。</x:v>
      </x:c>
      <x:c r="G50" s="103" t="str">
        <x:v>基础分封顶</x:v>
      </x:c>
      <x:c r="H50" s="103" t="str">
        <x:v>dedup_log</x:v>
      </x:c>
      <x:c r="I50" s="103" t="str">
        <x:v>同一项命理依据会支持多个说明，但不会被重复当成多条验证。</x:v>
      </x:c>
      <x:c r="J50" s="103" t="str">
        <x:v>接口只负责路由、去重或停止；不得越权生成其他模块的最终结论。</x:v>
      </x:c>
      <x:c r="K50" s="53" t="str">
        <x:v>高</x:v>
      </x:c>
    </x:row>
    <x:row r="51">
      <x:c r="A51" s="76" t="str">
        <x:v>M3-EXPR-195</x:v>
      </x:c>
      <x:c r="B51" s="258" t="str">
        <x:v>日支＋同根透干｜证据簇封顶</x:v>
      </x:c>
      <x:c r="C51" s="258" t="str">
        <x:v>EXPR-接口门控</x:v>
      </x:c>
      <x:c r="D51" s="258" t="str">
        <x:v>去重</x:v>
      </x:c>
      <x:c r="E51" s="103" t="str">
        <x:v>透干与根来自同一证据簇。</x:v>
      </x:c>
      <x:c r="F51" s="103" t="str">
        <x:v>基础事实未定；只有同一source_id重复；该接口所依赖的上游模块已停止。</x:v>
      </x:c>
      <x:c r="G51" s="103" t="str">
        <x:v>基础一次；外显+8</x:v>
      </x:c>
      <x:c r="H51" s="103" t="str">
        <x:v>dedup_log</x:v>
      </x:c>
      <x:c r="I51" s="103" t="str">
        <x:v>这套方式既有内在基础，也比较容易显现；但仍属于同一表达通道。</x:v>
      </x:c>
      <x:c r="J51" s="103" t="str">
        <x:v>接口只负责路由、去重或停止；不得越权生成其他模块的最终结论。</x:v>
      </x:c>
      <x:c r="K51" s="53" t="str">
        <x:v>高</x:v>
      </x:c>
    </x:row>
    <x:row r="52">
      <x:c r="A52" s="76" t="str">
        <x:v>M3-EXPR-196</x:v>
      </x:c>
      <x:c r="B52" s="258" t="str">
        <x:v>同系统收敛｜正偏风格合并</x:v>
      </x:c>
      <x:c r="C52" s="258" t="str">
        <x:v>EXPR-接口门控</x:v>
      </x:c>
      <x:c r="D52" s="258" t="str">
        <x:v>去重</x:v>
      </x:c>
      <x:c r="E52" s="103" t="str">
        <x:v>两项信号主要承担同一表达功能，缺乏跨系统独立分工。</x:v>
      </x:c>
      <x:c r="F52" s="103" t="str">
        <x:v>基础事实未定；只有同一source_id重复；该接口所依赖的上游模块已停止。</x:v>
      </x:c>
      <x:c r="G52" s="103" t="str">
        <x:v>系统封顶</x:v>
      </x:c>
      <x:c r="H52" s="103" t="str">
        <x:v>primary_expression_channel</x:v>
      </x:c>
      <x:c r="I52" s="103" t="str">
        <x:v>你的核心表达方向一致，只是具体说法、节奏或外显程度可能有两种风格。</x:v>
      </x:c>
      <x:c r="J52" s="103" t="str">
        <x:v>接口只负责路由、去重或停止；不得越权生成其他模块的最终结论。</x:v>
      </x:c>
      <x:c r="K52" s="53" t="str">
        <x:v>高</x:v>
      </x:c>
    </x:row>
    <x:row r="53">
      <x:c r="A53" s="76" t="str">
        <x:v>M3-EXPR-197</x:v>
      </x:c>
      <x:c r="B53" s="258" t="str">
        <x:v>跨系统次通道｜独立性门槛</x:v>
      </x:c>
      <x:c r="C53" s="258" t="str">
        <x:v>EXPR-接口门控</x:v>
      </x:c>
      <x:c r="D53" s="258" t="str">
        <x:v>门控</x:v>
      </x:c>
      <x:c r="E53" s="103" t="str">
        <x:v>第二系统来源独立、承担不同字段、达到最低分，并非同义重复。</x:v>
      </x:c>
      <x:c r="F53" s="103" t="str">
        <x:v>基础事实未定；只有同一source_id重复；该接口所依赖的上游模块已停止。</x:v>
      </x:c>
      <x:c r="G53" s="103" t="str">
        <x:v>次通道门槛</x:v>
      </x:c>
      <x:c r="H53" s="103" t="str">
        <x:v>secondary_expression_channel</x:v>
      </x:c>
      <x:c r="I53" s="103" t="str">
        <x:v>只有当第二种方式真正承担不同任务时，才会把它作为独立的补充通道。</x:v>
      </x:c>
      <x:c r="J53" s="103" t="str">
        <x:v>接口只负责路由、去重或停止；不得越权生成其他模块的最终结论。</x:v>
      </x:c>
      <x:c r="K53" s="53" t="str">
        <x:v>高</x:v>
      </x:c>
    </x:row>
    <x:row r="54">
      <x:c r="A54" s="76" t="str">
        <x:v>M3-EXPR-198</x:v>
      </x:c>
      <x:c r="B54" s="258" t="str">
        <x:v>主通道证据门槛｜至少两类支持</x:v>
      </x:c>
      <x:c r="C54" s="258" t="str">
        <x:v>EXPR-接口门控</x:v>
      </x:c>
      <x:c r="D54" s="258" t="str">
        <x:v>门控</x:v>
      </x:c>
      <x:c r="E54" s="103" t="str">
        <x:v>暂定要求：总分达到32；至少两类独立来源，或一项高权威日支／近位证据加一项状态验证；领先第二名至少8分。</x:v>
      </x:c>
      <x:c r="F54" s="103" t="str">
        <x:v>基础事实未定；只有同一source_id重复；该接口所依赖的上游模块已停止。</x:v>
      </x:c>
      <x:c r="G54" s="103" t="str">
        <x:v>主通道阈值</x:v>
      </x:c>
      <x:c r="H54" s="103" t="str">
        <x:v>primary_expression_channel</x:v>
      </x:c>
      <x:c r="I54" s="103" t="str">
        <x:v>只有当一套表达方式获得足够、相互独立的支持时，才会写成你的主要通道。</x:v>
      </x:c>
      <x:c r="J54" s="103" t="str">
        <x:v>接口只负责路由、去重或停止；不得越权生成其他模块的最终结论。</x:v>
      </x:c>
      <x:c r="K54" s="53" t="str">
        <x:v>高</x:v>
      </x:c>
    </x:row>
    <x:row r="55">
      <x:c r="A55" s="76" t="str">
        <x:v>M3-EXPR-199</x:v>
      </x:c>
      <x:c r="B55" s="258" t="str">
        <x:v>次通道证据门槛｜功能不同且达到阈值</x:v>
      </x:c>
      <x:c r="C55" s="258" t="str">
        <x:v>EXPR-接口门控</x:v>
      </x:c>
      <x:c r="D55" s="258" t="str">
        <x:v>门控</x:v>
      </x:c>
      <x:c r="E55" s="103" t="str">
        <x:v>暂定要求：总分达到22；来源独立；与主通道承担不同功能；不是同系统重复。</x:v>
      </x:c>
      <x:c r="F55" s="103" t="str">
        <x:v>基础事实未定；只有同一source_id重复；该接口所依赖的上游模块已停止。</x:v>
      </x:c>
      <x:c r="G55" s="103" t="str">
        <x:v>次通道阈值</x:v>
      </x:c>
      <x:c r="H55" s="103" t="str">
        <x:v>secondary_expression_channel</x:v>
      </x:c>
      <x:c r="I55" s="103" t="str">
        <x:v>补充通道必须有自己的证据和作用，不能只是为了让画像看起来更丰富。</x:v>
      </x:c>
      <x:c r="J55" s="103" t="str">
        <x:v>接口只负责路由、去重或停止；不得越权生成其他模块的最终结论。</x:v>
      </x:c>
      <x:c r="K55" s="53" t="str">
        <x:v>高</x:v>
      </x:c>
    </x:row>
    <x:row r="56">
      <x:c r="A56" s="76" t="str">
        <x:v>M3-EXPR-200</x:v>
      </x:c>
      <x:c r="B56" s="258" t="str">
        <x:v>食伤弱不等于沟通停止｜转查其他通道</x:v>
      </x:c>
      <x:c r="C56" s="258" t="str">
        <x:v>EXPR-接口门控</x:v>
      </x:c>
      <x:c r="D56" s="258" t="str">
        <x:v>门控</x:v>
      </x:c>
      <x:c r="E56" s="103" t="str">
        <x:v>食伤未形成主通道，但财、官杀、印、比劫中至少一类有效。</x:v>
      </x:c>
      <x:c r="F56" s="103" t="str">
        <x:v>基础事实未定；只有同一source_id重复；该接口所依赖的上游模块已停止。</x:v>
      </x:c>
      <x:c r="G56" s="103" t="str">
        <x:v>语言降级；其他通道路由</x:v>
      </x:c>
      <x:c r="H56" s="103" t="str">
        <x:v>communication_style</x:v>
      </x:c>
      <x:c r="I56" s="103" t="str">
        <x:v>你可能不是主要靠长篇语言表达，而会通过行动、承担、倾听或清楚立场让对方理解。</x:v>
      </x:c>
      <x:c r="J56" s="103" t="str">
        <x:v>接口只负责路由、去重或停止；不得越权生成其他模块的最终结论。</x:v>
      </x:c>
      <x:c r="K56" s="53" t="str">
        <x:v>高</x:v>
      </x:c>
    </x:row>
    <x:row r="57">
      <x:c r="A57" s="76" t="str">
        <x:v>M3-EXPR-201</x:v>
      </x:c>
      <x:c r="B57" s="258" t="str">
        <x:v>禁止风险与人格标签｜M3-EXPR中性输出</x:v>
      </x:c>
      <x:c r="C57" s="258" t="str">
        <x:v>EXPR-接口门控</x:v>
      </x:c>
      <x:c r="D57" s="258" t="str">
        <x:v>边界</x:v>
      </x:c>
      <x:c r="E57" s="103" t="str">
        <x:v>生成用户正文前执行边界审查。</x:v>
      </x:c>
      <x:c r="F57" s="103" t="str">
        <x:v>基础事实未定；只有同一source_id重复；该接口所依赖的上游模块已停止。</x:v>
      </x:c>
      <x:c r="G57" s="103" t="str">
        <x:v>强制边界</x:v>
      </x:c>
      <x:c r="H57" s="103" t="str">
        <x:v>boundary_note</x:v>
      </x:c>
      <x:c r="I57" s="103" t="str">
        <x:v>报告只描述你更常怎样表达、何时表达以及通过什么让对方理解，不把这些方式直接变成负面性格标签。</x:v>
      </x:c>
      <x:c r="J57" s="103" t="str">
        <x:v>接口只负责路由、去重或停止；不得越权生成其他模块的最终结论。</x:v>
      </x:c>
      <x:c r="K57" s="53" t="str">
        <x:v>高</x:v>
      </x:c>
    </x:row>
    <x:row r="58">
      <x:c r="A58" s="76" t="str">
        <x:v>M3-EXPR-202</x:v>
      </x:c>
      <x:c r="B58" s="258" t="str">
        <x:v>真合化未完成路由｜停止相关通道</x:v>
      </x:c>
      <x:c r="C58" s="258" t="str">
        <x:v>EXPR-接口门控</x:v>
      </x:c>
      <x:c r="D58" s="258" t="str">
        <x:v>停止</x:v>
      </x:c>
      <x:c r="E58" s="103" t="str">
        <x:v>真合化成立但化神系统、阴阳或承载尚未可靠确定。</x:v>
      </x:c>
      <x:c r="F58" s="103" t="str">
        <x:v>基础事实未定；只有同一source_id重复；该接口所依赖的上游模块已停止。</x:v>
      </x:c>
      <x:c r="G58" s="103" t="str">
        <x:v>相关字段停止</x:v>
      </x:c>
      <x:c r="H58" s="103" t="str">
        <x:v>report_status</x:v>
      </x:c>
      <x:c r="I58" s="103" t="str">
        <x:v>当前转化会改变表达方向，因此暂不保留原来的表达结论。</x:v>
      </x:c>
      <x:c r="J58" s="103" t="str">
        <x:v>接口只负责路由、去重或停止；不得越权生成其他模块的最终结论。</x:v>
      </x:c>
      <x:c r="K58" s="53" t="str">
        <x:v>停止</x:v>
      </x:c>
    </x:row>
    <x:row r="59">
      <x:c r="A59" s="76" t="str">
        <x:v>M3-EXPR-203</x:v>
      </x:c>
      <x:c r="B59" s="258" t="str">
        <x:v>基础输入不足｜停止M3-EXPR核心</x:v>
      </x:c>
      <x:c r="C59" s="258" t="str">
        <x:v>EXPR-接口门控</x:v>
      </x:c>
      <x:c r="D59" s="258" t="str">
        <x:v>停止</x:v>
      </x:c>
      <x:c r="E59" s="103" t="str">
        <x:v>基础十神映射、日支主气或关键合化状态缺失，且无法用独立全局证据有限回退。</x:v>
      </x:c>
      <x:c r="F59" s="103" t="str">
        <x:v>基础事实未定；只有同一source_id重复；该接口所依赖的上游模块已停止。</x:v>
      </x:c>
      <x:c r="G59" s="103" t="str">
        <x:v>M3-EXPR核心停止</x:v>
      </x:c>
      <x:c r="H59" s="103" t="str">
        <x:v>report_status</x:v>
      </x:c>
      <x:c r="I59" s="103" t="str">
        <x:v>目前基础信息不足，不宜把你的表达方式固定为某一种类型。</x:v>
      </x:c>
      <x:c r="J59" s="103" t="str">
        <x:v>接口只负责路由、去重或停止；不得越权生成其他模块的最终结论。</x:v>
      </x:c>
      <x:c r="K59" s="53" t="str">
        <x:v>停止</x:v>
      </x:c>
    </x:row>
    <x:row r="60">
      <x:c r="A60" s="76" t="str">
        <x:v>M3-EXPR-204</x:v>
      </x:c>
      <x:c r="B60" s="258" t="str">
        <x:v>多通道竞争未决｜停止单一画像</x:v>
      </x:c>
      <x:c r="C60" s="258" t="str">
        <x:v>EXPR-接口门控</x:v>
      </x:c>
      <x:c r="D60" s="258" t="str">
        <x:v>停止</x:v>
      </x:c>
      <x:c r="E60" s="103" t="str">
        <x:v>通道来源独立但主次、时序或状态分工未确定。</x:v>
      </x:c>
      <x:c r="F60" s="103" t="str">
        <x:v>基础事实未定；只有同一source_id重复；该接口所依赖的上游模块已停止。</x:v>
      </x:c>
      <x:c r="G60" s="103" t="str">
        <x:v>主通道停止或转XP12</x:v>
      </x:c>
      <x:c r="H60" s="103" t="str">
        <x:v>confidence</x:v>
      </x:c>
      <x:c r="I60" s="103" t="str">
        <x:v>你可能会根据话题和关系状态使用不同方式；目前不宜把其中任何一种写成固定主模式。</x:v>
      </x:c>
      <x:c r="J60" s="103" t="str">
        <x:v>接口只负责路由、去重或停止；不得越权生成其他模块的最终结论。</x:v>
      </x:c>
      <x:c r="K60" s="53" t="str">
        <x:v>停止</x:v>
      </x:c>
    </x:row>
    <x:row r="61">
      <x:c r="A61" s="76" t="str">
        <x:v>M3-EXPR-208</x:v>
      </x:c>
      <x:c r="B61" s="258" t="str">
        <x:v>同源与同系统封顶｜规则数量不等于证据数量</x:v>
      </x:c>
      <x:c r="C61" s="258" t="str">
        <x:v>EXPR-合成输出</x:v>
      </x:c>
      <x:c r="D61" s="258" t="str">
        <x:v>评分门控</x:v>
      </x:c>
      <x:c r="E61" s="103" t="str">
        <x:v>多个原子规则来自同一source_id或同一功能系统。</x:v>
      </x:c>
      <x:c r="F61" s="103" t="str">
        <x:v>上游关键字段已停止且本规则不属于停止模板；source_id去重尚未完成。</x:v>
      </x:c>
      <x:c r="G61" s="103" t="str">
        <x:v>去重后计分</x:v>
      </x:c>
      <x:c r="H61" s="103" t="str">
        <x:v>dedup_log</x:v>
      </x:c>
      <x:c r="I61" s="103" t="str">
        <x:v>命中很多规则不代表证据很多；模型会先去掉重复来源，再判断主次。</x:v>
      </x:c>
      <x:c r="J61" s="103" t="str">
        <x:v>评分和阈值属于知识工程参数，不得解释为统计概率、科学测量、命理准确率或现实关系成功率。</x:v>
      </x:c>
      <x:c r="K61" s="53" t="str">
        <x:v>高</x:v>
      </x:c>
    </x:row>
    <x:row r="62">
      <x:c r="A62" s="76" t="str">
        <x:v>M3-EXPR-209</x:v>
      </x:c>
      <x:c r="B62" s="258" t="str">
        <x:v>主通道领先阈值｜分差不足不强定</x:v>
      </x:c>
      <x:c r="C62" s="258" t="str">
        <x:v>EXPR-合成输出</x:v>
      </x:c>
      <x:c r="D62" s="258" t="str">
        <x:v>裁决</x:v>
      </x:c>
      <x:c r="E62" s="103" t="str">
        <x:v>候选完成去重和状态修正。</x:v>
      </x:c>
      <x:c r="F62" s="103" t="str">
        <x:v>上游关键字段已停止且本规则不属于停止模板；source_id去重尚未完成。</x:v>
      </x:c>
      <x:c r="G62" s="103" t="str">
        <x:v>领先≥8才定单主</x:v>
      </x:c>
      <x:c r="H62" s="103" t="str">
        <x:v>primary_expression_channel</x:v>
      </x:c>
      <x:c r="I62" s="103" t="str">
        <x:v>当两种方式证据接近时，报告会保留双通道或情境化，而不是武断地说你只有一种表达模式。</x:v>
      </x:c>
      <x:c r="J62" s="103" t="str">
        <x:v>评分和阈值属于知识工程参数，不得解释为统计概率、科学测量、命理准确率或现实关系成功率。</x:v>
      </x:c>
      <x:c r="K62" s="53" t="str">
        <x:v>高</x:v>
      </x:c>
    </x:row>
    <x:row r="63">
      <x:c r="A63" s="76" t="str">
        <x:v>M3-EXPR-210</x:v>
      </x:c>
      <x:c r="B63" s="258" t="str">
        <x:v>次通道保留阈值｜功能独立且正文有价值</x:v>
      </x:c>
      <x:c r="C63" s="258" t="str">
        <x:v>EXPR-合成输出</x:v>
      </x:c>
      <x:c r="D63" s="258" t="str">
        <x:v>裁决</x:v>
      </x:c>
      <x:c r="E63" s="103" t="str">
        <x:v>次通道≥22分、功能独立、来源独立，且能解释主通道无法覆盖的字段。</x:v>
      </x:c>
      <x:c r="F63" s="103" t="str">
        <x:v>上游关键字段已停止且本规则不属于停止模板；source_id去重尚未完成。</x:v>
      </x:c>
      <x:c r="G63" s="103" t="str">
        <x:v>次通道正文上限1</x:v>
      </x:c>
      <x:c r="H63" s="103" t="str">
        <x:v>secondary_expression_channel</x:v>
      </x:c>
      <x:c r="I63" s="103" t="str">
        <x:v>只有真正补充了另一项表达任务的方式，才会出现在正文里。</x:v>
      </x:c>
      <x:c r="J63" s="103" t="str">
        <x:v>评分和阈值属于知识工程参数，不得解释为统计概率、科学测量、命理准确率或现实关系成功率。</x:v>
      </x:c>
      <x:c r="K63" s="53" t="str">
        <x:v>高</x:v>
      </x:c>
    </x:row>
    <x:row r="64">
      <x:c r="A64" s="76" t="str">
        <x:v>M3-EXPR-214</x:v>
      </x:c>
      <x:c r="B64" s="258" t="str">
        <x:v>停止状态｜关键基础会改变结论</x:v>
      </x:c>
      <x:c r="C64" s="258" t="str">
        <x:v>EXPR-合成输出</x:v>
      </x:c>
      <x:c r="D64" s="258" t="str">
        <x:v>停止</x:v>
      </x:c>
      <x:c r="E64" s="103" t="str">
        <x:v>十神映射、日支主气、真合化或主路径关键节点未定，且无法有限回退。</x:v>
      </x:c>
      <x:c r="F64" s="103" t="str">
        <x:v>上游关键字段已停止且本规则不属于停止模板；source_id去重尚未完成。</x:v>
      </x:c>
      <x:c r="G64" s="103" t="str">
        <x:v>report_status=stopped</x:v>
      </x:c>
      <x:c r="H64" s="103" t="str">
        <x:v>report_status</x:v>
      </x:c>
      <x:c r="I64" s="103" t="str">
        <x:v>当前关键基础信息会直接改变表达结论，因此暂不做确定判断。</x:v>
      </x:c>
      <x:c r="J64" s="103" t="str">
        <x:v>评分和阈值属于知识工程参数，不得解释为统计概率、科学测量、命理准确率或现实关系成功率。</x:v>
      </x:c>
      <x:c r="K64" s="53" t="str">
        <x:v>停止</x:v>
      </x:c>
    </x:row>
    <x:row r="65">
      <x:c r="A65" s="76" t="str">
        <x:v>M3-EXPR-215</x:v>
      </x:c>
      <x:c r="B65" s="258" t="str">
        <x:v>最终输出数量限制｜一主一次一主路径</x:v>
      </x:c>
      <x:c r="C65" s="258" t="str">
        <x:v>EXPR-合成输出</x:v>
      </x:c>
      <x:c r="D65" s="258" t="str">
        <x:v>输出门控</x:v>
      </x:c>
      <x:c r="E65" s="103" t="str">
        <x:v>完成主次、路径、维度和去重裁决。</x:v>
      </x:c>
      <x:c r="F65" s="103" t="str">
        <x:v>上游关键字段已停止且本规则不属于停止模板；source_id去重尚未完成。</x:v>
      </x:c>
      <x:c r="G65" s="103" t="str">
        <x:v>正文限额</x:v>
      </x:c>
      <x:c r="H65" s="103" t="str">
        <x:v>output_limit</x:v>
      </x:c>
      <x:c r="I65" s="103" t="str">
        <x:v>最终报告会抓住最关键的表达方式和顺序，避免把所有标签堆在一起。</x:v>
      </x:c>
      <x:c r="J65" s="103" t="str">
        <x:v>评分和阈值属于知识工程参数，不得解释为统计概率、科学测量、命理准确率或现实关系成功率。</x:v>
      </x:c>
      <x:c r="K65" s="53" t="str">
        <x:v>高</x:v>
      </x:c>
    </x:row>
    <x:row r="66">
      <x:c r="A66" s="77" t="str">
        <x:v>M3-EXPR-220</x:v>
      </x:c>
      <x:c r="B66" s="259" t="str">
        <x:v>案例校准与版本状态｜V0.3发布门控</x:v>
      </x:c>
      <x:c r="C66" s="259" t="str">
        <x:v>EXPR-合成输出</x:v>
      </x:c>
      <x:c r="D66" s="259" t="str">
        <x:v>版本门控</x:v>
      </x:c>
      <x:c r="E66" s="104" t="str">
        <x:v>规则库已生成但尚未通过足量真实案例、伴侣反馈和反例验证。</x:v>
      </x:c>
      <x:c r="F66" s="104" t="str">
        <x:v>上游关键字段已停止且本规则不属于停止模板；source_id去重尚未完成。</x:v>
      </x:c>
      <x:c r="G66" s="104" t="str">
        <x:v>不加分</x:v>
      </x:c>
      <x:c r="H66" s="104" t="str">
        <x:v>provenance</x:v>
      </x:c>
      <x:c r="I66" s="104" t="str">
        <x:v>当前规则已经可以用于结构化案例分析，但仍需要通过真实关系经历持续校准。</x:v>
      </x:c>
      <x:c r="J66" s="104" t="str">
        <x:v>评分和阈值属于知识工程参数，不得解释为统计概率、科学测量、命理准确率或现实关系成功率。</x:v>
      </x:c>
      <x:c r="K66" s="55" t="str">
        <x:v>高</x:v>
      </x:c>
    </x:row>
  </x:sheetData>
  <x:mergeCells>
    <x:mergeCell ref="A1:K1"/>
    <x:mergeCell ref="A2:K2"/>
  </x:mergeCells>
  <x:conditionalFormatting sqref="D5:D66">
    <x:cfRule type="expression" dxfId="11" priority="1">
      <x:formula>D5="停止"</x:formula>
    </x:cfRule>
    <x:cfRule type="expression" dxfId="12" priority="2">
      <x:formula>D5="去重"</x:formula>
    </x:cfRule>
    <x:cfRule type="expression" dxfId="13" priority="3">
      <x:formula>OR(D5="边界",D5="禁止推断",D5="模块边界",D5="跨模型边界")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836512c15b447d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8" hidden="0" customWidth="1"/>
    <x:col min="3" max="3" width="14" hidden="0" customWidth="1"/>
    <x:col min="4" max="4" width="44" hidden="0" customWidth="1"/>
    <x:col min="5" max="5" width="44" hidden="0" customWidth="1"/>
    <x:col min="6" max="6" width="44" hidden="0" customWidth="1"/>
    <x:col min="7" max="7" width="18" hidden="0" customWidth="1"/>
    <x:col min="8" max="8" width="18" hidden="0" customWidth="1"/>
  </x:cols>
  <x:sheetData>
    <x:row r="1" ht="30" customHeight="1">
      <x:c r="A1" s="251" t="str">
        <x:v>用户输出模板与快速句库</x:v>
      </x:c>
      <x:c r="B1" s="251"/>
      <x:c r="C1" s="251"/>
      <x:c r="D1" s="251"/>
      <x:c r="E1" s="251"/>
      <x:c r="F1" s="251"/>
      <x:c r="G1" s="251"/>
      <x:c r="H1" s="251"/>
    </x:row>
    <x:row r="2" ht="28" customHeight="1">
      <x:c r="A2" s="13" t="str">
        <x:v>先确定规则编号，再组合句子；不要直接复制十神标签，不要把用户写成固定人格。</x:v>
      </x:c>
      <x:c r="B2" s="13"/>
      <x:c r="C2" s="13"/>
      <x:c r="D2" s="13"/>
      <x:c r="E2" s="13"/>
      <x:c r="F2" s="13"/>
      <x:c r="G2" s="13"/>
      <x:c r="H2" s="13"/>
    </x:row>
    <x:row r="3">
      <x:c r="A3" s="100"/>
      <x:c r="B3" s="100"/>
      <x:c r="C3" s="100"/>
      <x:c r="D3" s="100"/>
      <x:c r="E3" s="100"/>
      <x:c r="F3" s="100"/>
      <x:c r="G3" s="100"/>
      <x:c r="H3" s="100"/>
    </x:row>
    <x:row r="4" ht="22" customHeight="1">
      <x:c r="A4" s="252" t="str">
        <x:v>一、标准输出模板</x:v>
      </x:c>
      <x:c r="B4" s="252"/>
      <x:c r="C4" s="252"/>
      <x:c r="D4" s="252"/>
      <x:c r="E4" s="252"/>
      <x:c r="F4" s="252"/>
      <x:c r="G4" s="252"/>
      <x:c r="H4" s="252"/>
    </x:row>
    <x:row r="5">
      <x:c r="A5" s="26" t="str">
        <x:v>模板类型</x:v>
      </x:c>
      <x:c r="B5" s="27" t="str">
        <x:v>可直接改写的句式</x:v>
      </x:c>
      <x:c r="C5" s="100"/>
      <x:c r="D5" s="100"/>
      <x:c r="E5" s="100"/>
      <x:c r="F5" s="100"/>
      <x:c r="G5" s="100"/>
      <x:c r="H5" s="100"/>
    </x:row>
    <x:row r="6">
      <x:c r="A6" s="50" t="str">
        <x:v>单通道</x:v>
      </x:c>
      <x:c r="B6" s="51" t="str">
        <x:v>你更习惯通过【主要通道】表达在意。遇到【典型情境】时，你通常先【第一步】，再【第二步】；对方更容易从【可观察行为】感受到你的态度。</x:v>
      </x:c>
      <x:c r="C6" s="100"/>
      <x:c r="D6" s="100"/>
      <x:c r="E6" s="100"/>
      <x:c r="F6" s="100"/>
      <x:c r="G6" s="100"/>
      <x:c r="H6" s="100"/>
    </x:row>
    <x:row r="7">
      <x:c r="A7" s="52" t="str">
        <x:v>双通道</x:v>
      </x:c>
      <x:c r="B7" s="53" t="str">
        <x:v>你的表达通常由两套方式共同完成。你主要通过【A】让对方理解你的感受，同时会用【B】把态度落实、接住对方或组织成清楚安排。A负责【功能一】，B负责【功能二】。</x:v>
      </x:c>
      <x:c r="C7" s="100"/>
      <x:c r="D7" s="100"/>
      <x:c r="E7" s="100"/>
      <x:c r="F7" s="100"/>
      <x:c r="G7" s="100"/>
      <x:c r="H7" s="100"/>
    </x:row>
    <x:row r="8">
      <x:c r="A8" s="52" t="str">
        <x:v>先整理后表达</x:v>
      </x:c>
      <x:c r="B8" s="53" t="str">
        <x:v>你不是没有感受，而是更需要先在内部把事情想清楚。等你确认自己真正怎么想、怎样说更合适后，表达通常会更完整。</x:v>
      </x:c>
      <x:c r="C8" s="100"/>
      <x:c r="D8" s="100"/>
      <x:c r="E8" s="100"/>
      <x:c r="F8" s="100"/>
      <x:c r="G8" s="100"/>
      <x:c r="H8" s="100"/>
    </x:row>
    <x:row r="9">
      <x:c r="A9" s="52" t="str">
        <x:v>行动主导</x:v>
      </x:c>
      <x:c r="B9" s="53" t="str">
        <x:v>你表达在意时，往往会先做出实际回应：处理问题、安排事情、承担责任或及时出现。语言不是完全缺失，而是经常排在行动之后。</x:v>
      </x:c>
      <x:c r="C9" s="100"/>
      <x:c r="D9" s="100"/>
      <x:c r="E9" s="100"/>
      <x:c r="F9" s="100"/>
      <x:c r="G9" s="100"/>
      <x:c r="H9" s="100"/>
    </x:row>
    <x:row r="10">
      <x:c r="A10" s="52" t="str">
        <x:v>温和铺垫</x:v>
      </x:c>
      <x:c r="B10" s="53" t="str">
        <x:v>你更容易先让气氛变得安全、舒服，再逐步说到真正的感受和需要。你并非不直接，而是更看重表达能否被接住。</x:v>
      </x:c>
      <x:c r="C10" s="100"/>
      <x:c r="D10" s="100"/>
      <x:c r="E10" s="100"/>
      <x:c r="F10" s="100"/>
      <x:c r="G10" s="100"/>
      <x:c r="H10" s="100"/>
    </x:row>
    <x:row r="11">
      <x:c r="A11" s="54" t="str">
        <x:v>低置信／停止</x:v>
      </x:c>
      <x:c r="B11" s="55" t="str">
        <x:v>目前只能判断你可能更偏向【功能系统】，但【关键不确定原因】会直接改变具体表达方式，因此不宜写成固定结论。</x:v>
      </x:c>
      <x:c r="C11" s="100"/>
      <x:c r="D11" s="100"/>
      <x:c r="E11" s="100"/>
      <x:c r="F11" s="100"/>
      <x:c r="G11" s="100"/>
      <x:c r="H11" s="100"/>
    </x:row>
    <x:row r="12">
      <x:c r="A12" s="100"/>
      <x:c r="B12" s="100"/>
      <x:c r="C12" s="100"/>
      <x:c r="D12" s="100"/>
      <x:c r="E12" s="100"/>
      <x:c r="F12" s="100"/>
      <x:c r="G12" s="100"/>
      <x:c r="H12" s="100"/>
    </x:row>
    <x:row r="13" ht="22" customHeight="1">
      <x:c r="A13" s="303" t="str">
        <x:v>二、十类通道一句话句库</x:v>
      </x:c>
      <x:c r="B13" s="303"/>
      <x:c r="C13" s="303"/>
      <x:c r="D13" s="303"/>
      <x:c r="E13" s="303"/>
      <x:c r="F13" s="303"/>
      <x:c r="G13" s="303"/>
      <x:c r="H13" s="303"/>
    </x:row>
    <x:row r="14">
      <x:c r="A14" s="26" t="str">
        <x:v>通道</x:v>
      </x:c>
      <x:c r="B14" s="91" t="str">
        <x:v>十神</x:v>
      </x:c>
      <x:c r="C14" s="91" t="str">
        <x:v>名称</x:v>
      </x:c>
      <x:c r="D14" s="91" t="str">
        <x:v>核心句</x:v>
      </x:c>
      <x:c r="E14" s="91" t="str">
        <x:v>在意表达句</x:v>
      </x:c>
      <x:c r="F14" s="27" t="str">
        <x:v>需求表达句</x:v>
      </x:c>
      <x:c r="G14" s="100"/>
      <x:c r="H14" s="100"/>
    </x:row>
    <x:row r="15">
      <x:c r="A15" s="50" t="str">
        <x:v>X01</x:v>
      </x:c>
      <x:c r="B15" s="102" t="str">
        <x:v>比肩</x:v>
      </x:c>
      <x:c r="C15" s="102" t="str">
        <x:v>平等陈述</x:v>
      </x:c>
      <x:c r="D15" s="102" t="str">
        <x:v>你更习惯以第一人称、平等协商和边界清楚的方式说明想法，不喜欢让一方替另一方定义感受或做决定。</x:v>
      </x:c>
      <x:c r="E15" s="102" t="str">
        <x:v>你往往会通过尊重选择、并肩陪伴、把对方当作可以共同商量的伙伴来表达在意。</x:v>
      </x:c>
      <x:c r="F15" s="51" t="str">
        <x:v>当你需要说明需要或观点时，更倾向倾向把需求说成可协商的条件，例如需要什么空间、怎样分工、哪些事情希望共同决定。</x:v>
      </x:c>
      <x:c r="G15" s="100"/>
      <x:c r="H15" s="100"/>
    </x:row>
    <x:row r="16">
      <x:c r="A16" s="52" t="str">
        <x:v>X02</x:v>
      </x:c>
      <x:c r="B16" s="103" t="str">
        <x:v>劫财</x:v>
      </x:c>
      <x:c r="C16" s="103" t="str">
        <x:v>即时互动</x:v>
      </x:c>
      <x:c r="D16" s="103" t="str">
        <x:v>你更习惯通过快速回应、共同参与和边做边沟通让关系保持活力，表达往往带有明显的现场感。</x:v>
      </x:c>
      <x:c r="E16" s="103" t="str">
        <x:v>你往往会通过加入对方的事情、主动邀约、一起行动或及时站到对方身边来表达在意。</x:v>
      </x:c>
      <x:c r="F16" s="53" t="str">
        <x:v>当你需要说明需要或观点时，更倾向倾向用提议、邀请、共同计划或直接推动来表达需求，希望对方给出即时回应。</x:v>
      </x:c>
      <x:c r="G16" s="100"/>
      <x:c r="H16" s="100"/>
    </x:row>
    <x:row r="17">
      <x:c r="A17" s="52" t="str">
        <x:v>X03</x:v>
      </x:c>
      <x:c r="B17" s="103" t="str">
        <x:v>食神</x:v>
      </x:c>
      <x:c r="C17" s="103" t="str">
        <x:v>温和分享</x:v>
      </x:c>
      <x:c r="D17" s="103" t="str">
        <x:v>你更习惯通过温和叙述、轻松交流、日常分享和让气氛舒服的方式传递感受。</x:v>
      </x:c>
      <x:c r="E17" s="103" t="str">
        <x:v>你往往会通过陪伴、分享生活细节、照顾氛围、幽默和让对方放松来表达喜欢。</x:v>
      </x:c>
      <x:c r="F17" s="53" t="str">
        <x:v>当你需要说明需要或观点时，更倾向需求常会经过缓和、铺垫或体贴化表达，不一定一开始就用强硬或命令式语言。</x:v>
      </x:c>
      <x:c r="G17" s="100"/>
      <x:c r="H17" s="100"/>
    </x:row>
    <x:row r="18">
      <x:c r="A18" s="52" t="str">
        <x:v>X04</x:v>
      </x:c>
      <x:c r="B18" s="103" t="str">
        <x:v>伤官</x:v>
      </x:c>
      <x:c r="C18" s="103" t="str">
        <x:v>分析澄清</x:v>
      </x:c>
      <x:c r="D18" s="103" t="str">
        <x:v>你更习惯通过说清逻辑、指出差异、提出问题和完整表达观点来建立理解。</x:v>
      </x:c>
      <x:c r="E18" s="103" t="str">
        <x:v>你往往会通过分享想法、认真讨论、坦率反馈和让对方进入自己的认知世界来表达重视。</x:v>
      </x:c>
      <x:c r="F18" s="53" t="str">
        <x:v>当你需要说明需要或观点时，更倾向倾向直接说明需求、理由和不合理之处，也会通过提问确认对方是否理解。</x:v>
      </x:c>
      <x:c r="G18" s="100"/>
      <x:c r="H18" s="100"/>
    </x:row>
    <x:row r="19">
      <x:c r="A19" s="52" t="str">
        <x:v>X05</x:v>
      </x:c>
      <x:c r="B19" s="103" t="str">
        <x:v>正财</x:v>
      </x:c>
      <x:c r="C19" s="103" t="str">
        <x:v>实际落实</x:v>
      </x:c>
      <x:c r="D19" s="103" t="str">
        <x:v>你更习惯更习惯把在意转化为具体安排、持续行动和可执行的日常细节。</x:v>
      </x:c>
      <x:c r="E19" s="103" t="str">
        <x:v>你往往会通过记得承诺、安排时间、处理生活事务、稳定出现和持续做小事表达重视。</x:v>
      </x:c>
      <x:c r="F19" s="53" t="str">
        <x:v>当你需要说明需要或观点时，更倾向倾向把需求说成具体事项、时间安排和可落实的分工，希望对方给出稳定回应。</x:v>
      </x:c>
      <x:c r="G19" s="100"/>
      <x:c r="H19" s="100"/>
    </x:row>
    <x:row r="20">
      <x:c r="A20" s="52" t="str">
        <x:v>X06</x:v>
      </x:c>
      <x:c r="B20" s="103" t="str">
        <x:v>偏财</x:v>
      </x:c>
      <x:c r="C20" s="103" t="str">
        <x:v>氛围回应</x:v>
      </x:c>
      <x:c r="D20" s="103" t="str">
        <x:v>你更习惯通过灵活互动、共同体验、及时回应和营造有来有往的氛围表达感受。</x:v>
      </x:c>
      <x:c r="E20" s="103" t="str">
        <x:v>你往往会通过邀约、制造惊喜、分享新鲜体验、慷慨回应和让相处有活力来表达喜欢。</x:v>
      </x:c>
      <x:c r="F20" s="53" t="str">
        <x:v>当你需要说明需要或观点时，更倾向需求常以邀请、建议、当下想法或共同体验的形式提出，表达较灵活。</x:v>
      </x:c>
      <x:c r="G20" s="100"/>
      <x:c r="H20" s="100"/>
    </x:row>
    <x:row r="21">
      <x:c r="A21" s="52" t="str">
        <x:v>X07</x:v>
      </x:c>
      <x:c r="B21" s="103" t="str">
        <x:v>正官</x:v>
      </x:c>
      <x:c r="C21" s="103" t="str">
        <x:v>责任表态</x:v>
      </x:c>
      <x:c r="D21" s="103" t="str">
        <x:v>你更习惯通过明确关系、守约、说明责任和建立可执行规则来表达重视。</x:v>
      </x:c>
      <x:c r="E21" s="103" t="str">
        <x:v>你往往会通过稳定承诺、按约完成、主动承担和把对方纳入正式安排来表达在意。</x:v>
      </x:c>
      <x:c r="F21" s="53" t="str">
        <x:v>当你需要说明需要或观点时，更倾向倾向把需求说成规则、责任、边界和双方应当怎样配合，希望关系有清楚的秩序。</x:v>
      </x:c>
      <x:c r="G21" s="100"/>
      <x:c r="H21" s="100"/>
    </x:row>
    <x:row r="22">
      <x:c r="A22" s="52" t="str">
        <x:v>X08</x:v>
      </x:c>
      <x:c r="B22" s="103" t="str">
        <x:v>七杀</x:v>
      </x:c>
      <x:c r="C22" s="103" t="str">
        <x:v>行动表态</x:v>
      </x:c>
      <x:c r="D22" s="103" t="str">
        <x:v>你更习惯通过快速处理、明确决定、保护性行动和解决问题来表达态度。</x:v>
      </x:c>
      <x:c r="E22" s="103" t="str">
        <x:v>你往往会通过在关键时刻出现、替关系推进、处理困难或立即提供实际支持表达在意。</x:v>
      </x:c>
      <x:c r="F22" s="53" t="str">
        <x:v>当你需要说明需要或观点时，更倾向倾向直接说重点、给出方向或推动决定，希望沟通能迅速进入可执行层面。</x:v>
      </x:c>
      <x:c r="G22" s="100"/>
      <x:c r="H22" s="100"/>
    </x:row>
    <x:row r="23">
      <x:c r="A23" s="52" t="str">
        <x:v>X09</x:v>
      </x:c>
      <x:c r="B23" s="103" t="str">
        <x:v>正印</x:v>
      </x:c>
      <x:c r="C23" s="103" t="str">
        <x:v>倾听承接</x:v>
      </x:c>
      <x:c r="D23" s="103" t="str">
        <x:v>你更习惯通过倾听、理解、安抚和先接住对方的感受来建立沟通。</x:v>
      </x:c>
      <x:c r="E23" s="103" t="str">
        <x:v>你往往会通过耐心听、记住对方的需要、提供支持、照顾情绪和让对方安心表达在意。</x:v>
      </x:c>
      <x:c r="F23" s="53" t="str">
        <x:v>当你需要说明需要或观点时，更倾向需求有时会以“希望被理解、希望有时间、希望得到支持”的方式出现，可能需要更安全的语境才会说清。</x:v>
      </x:c>
      <x:c r="G23" s="100"/>
      <x:c r="H23" s="100"/>
    </x:row>
    <x:row r="24">
      <x:c r="A24" s="54" t="str">
        <x:v>X10</x:v>
      </x:c>
      <x:c r="B24" s="104" t="str">
        <x:v>偏印</x:v>
      </x:c>
      <x:c r="C24" s="104" t="str">
        <x:v>深度内化</x:v>
      </x:c>
      <x:c r="D24" s="104" t="str">
        <x:v>你更习惯先在内部整理复杂感受和意义，再选择性地进行有深度、较私人或较精确的表达。</x:v>
      </x:c>
      <x:c r="E24" s="104" t="str">
        <x:v>你往往会通过分享私密想法、专业兴趣、独特理解、安静陪伴和允许彼此独处表达亲近。</x:v>
      </x:c>
      <x:c r="F24" s="55" t="str">
        <x:v>当你需要说明需要或观点时，更倾向需求可能较含蓄、细致或难以用常规语言概括，需要信任、时间或特定问题帮助外化。</x:v>
      </x:c>
      <x:c r="G24" s="100"/>
      <x:c r="H24" s="100"/>
    </x:row>
    <x:row r="25">
      <x:c r="A25" s="100"/>
      <x:c r="B25" s="100"/>
      <x:c r="C25" s="100"/>
      <x:c r="D25" s="100"/>
      <x:c r="E25" s="100"/>
      <x:c r="F25" s="100"/>
      <x:c r="G25" s="100"/>
      <x:c r="H25" s="100"/>
    </x:row>
    <x:row r="26" ht="22" customHeight="1">
      <x:c r="A26" s="304" t="str">
        <x:v>三、常见错误断语改写</x:v>
      </x:c>
      <x:c r="B26" s="304"/>
      <x:c r="C26" s="304"/>
      <x:c r="D26" s="304"/>
      <x:c r="E26" s="304"/>
      <x:c r="F26" s="304"/>
      <x:c r="G26" s="304"/>
      <x:c r="H26" s="304"/>
    </x:row>
    <x:row r="27">
      <x:c r="A27" s="127" t="str">
        <x:v>错误表达</x:v>
      </x:c>
      <x:c r="B27" s="128" t="str">
        <x:v>正确改写</x:v>
      </x:c>
      <x:c r="C27" s="100"/>
      <x:c r="D27" s="100"/>
      <x:c r="E27" s="100"/>
      <x:c r="F27" s="100"/>
      <x:c r="G27" s="100"/>
      <x:c r="H27" s="100"/>
    </x:row>
    <x:row r="28">
      <x:c r="A28" s="50" t="str">
        <x:v>食伤弱，所以不会沟通</x:v>
      </x:c>
      <x:c r="B28" s="51" t="str">
        <x:v>语言不是主要通道，继续检查行动、责任、倾听和立场表达。</x:v>
      </x:c>
      <x:c r="C28" s="100"/>
      <x:c r="D28" s="100"/>
      <x:c r="E28" s="100"/>
      <x:c r="F28" s="100"/>
      <x:c r="G28" s="100"/>
      <x:c r="H28" s="100"/>
    </x:row>
    <x:row r="29">
      <x:c r="A29" s="52" t="str">
        <x:v>伤官旺，所以嘴毒、爱吵架</x:v>
      </x:c>
      <x:c r="B29" s="53" t="str">
        <x:v>分析和澄清通道明显；冲突时是否尖锐要交给CONFLICT和M4。</x:v>
      </x:c>
      <x:c r="C29" s="100"/>
      <x:c r="D29" s="100"/>
      <x:c r="E29" s="100"/>
      <x:c r="F29" s="100"/>
      <x:c r="G29" s="100"/>
      <x:c r="H29" s="100"/>
    </x:row>
    <x:row r="30">
      <x:c r="A30" s="52" t="str">
        <x:v>七杀旺，所以强势控制</x:v>
      </x:c>
      <x:c r="B30" s="53" t="str">
        <x:v>更容易先行动、做决定或解决问题；控制风险不能由EXPR推出。</x:v>
      </x:c>
      <x:c r="C30" s="100"/>
      <x:c r="D30" s="100"/>
      <x:c r="E30" s="100"/>
      <x:c r="F30" s="100"/>
      <x:c r="G30" s="100"/>
      <x:c r="H30" s="100"/>
    </x:row>
    <x:row r="31">
      <x:c r="A31" s="52" t="str">
        <x:v>印旺，所以不说话、只会忍</x:v>
      </x:c>
      <x:c r="B31" s="53" t="str">
        <x:v>更可能先内部整理或先倾听；是否外化要看表达桥。</x:v>
      </x:c>
      <x:c r="C31" s="100"/>
      <x:c r="D31" s="100"/>
      <x:c r="E31" s="100"/>
      <x:c r="F31" s="100"/>
      <x:c r="G31" s="100"/>
      <x:c r="H31" s="100"/>
    </x:row>
    <x:row r="32">
      <x:c r="A32" s="52" t="str">
        <x:v>比劫旺，所以只顾自己</x:v>
      </x:c>
      <x:c r="B32" s="53" t="str">
        <x:v>更重视平等立场、第一人称表达和双方都能参与决定。</x:v>
      </x:c>
      <x:c r="C32" s="100"/>
      <x:c r="D32" s="100"/>
      <x:c r="E32" s="100"/>
      <x:c r="F32" s="100"/>
      <x:c r="G32" s="100"/>
      <x:c r="H32" s="100"/>
    </x:row>
    <x:row r="33">
      <x:c r="A33" s="52" t="str">
        <x:v>正财就是只会给钱</x:v>
      </x:c>
      <x:c r="B33" s="53" t="str">
        <x:v>更习惯把表达落实为稳定、具体、可执行的日常行动。</x:v>
      </x:c>
      <x:c r="C33" s="100"/>
      <x:c r="D33" s="100"/>
      <x:c r="E33" s="100"/>
      <x:c r="F33" s="100"/>
      <x:c r="G33" s="100"/>
      <x:c r="H33" s="100"/>
    </x:row>
    <x:row r="34">
      <x:c r="A34" s="52" t="str">
        <x:v>偏财就是会撩、花心</x:v>
      </x:c>
      <x:c r="B34" s="53" t="str">
        <x:v>更重互动氛围、共同体验和灵活回应，不等于关系不稳定。</x:v>
      </x:c>
      <x:c r="C34" s="100"/>
      <x:c r="D34" s="100"/>
      <x:c r="E34" s="100"/>
      <x:c r="F34" s="100"/>
      <x:c r="G34" s="100"/>
      <x:c r="H34" s="100"/>
    </x:row>
    <x:row r="35">
      <x:c r="A35" s="52" t="str">
        <x:v>正官就是没有情绪</x:v>
      </x:c>
      <x:c r="B35" s="53" t="str">
        <x:v>更倾向把态度组织成承诺、责任和清楚规则。</x:v>
      </x:c>
      <x:c r="C35" s="100"/>
      <x:c r="D35" s="100"/>
      <x:c r="E35" s="100"/>
      <x:c r="F35" s="100"/>
      <x:c r="G35" s="100"/>
      <x:c r="H35" s="100"/>
    </x:row>
    <x:row r="36">
      <x:c r="A36" s="52" t="str">
        <x:v>偏印就是冷漠、神秘</x:v>
      </x:c>
      <x:c r="B36" s="53" t="str">
        <x:v>更可能选择性地进行深度表达，需要时间、信任和合适问题。</x:v>
      </x:c>
      <x:c r="C36" s="100"/>
      <x:c r="D36" s="100"/>
      <x:c r="E36" s="100"/>
      <x:c r="F36" s="100"/>
      <x:c r="G36" s="100"/>
      <x:c r="H36" s="100"/>
    </x:row>
    <x:row r="37">
      <x:c r="A37" s="54" t="str">
        <x:v>透干就什么都直说</x:v>
      </x:c>
      <x:c r="B37" s="55" t="str">
        <x:v>透干只提高可见度，完整表达仍看根气、制化和关系情境。</x:v>
      </x:c>
      <x:c r="C37" s="100"/>
      <x:c r="D37" s="100"/>
      <x:c r="E37" s="100"/>
      <x:c r="F37" s="100"/>
      <x:c r="G37" s="100"/>
      <x:c r="H37" s="100"/>
    </x:row>
    <x:row r="38">
      <x:c r="A38" s="100"/>
      <x:c r="B38" s="100"/>
      <x:c r="C38" s="100"/>
      <x:c r="D38" s="100"/>
      <x:c r="E38" s="100"/>
      <x:c r="F38" s="100"/>
      <x:c r="G38" s="100"/>
      <x:c r="H38" s="100"/>
    </x:row>
    <x:row r="39">
      <x:c r="A39" s="100"/>
      <x:c r="B39" s="100"/>
      <x:c r="C39" s="100"/>
      <x:c r="D39" s="100"/>
      <x:c r="E39" s="100"/>
      <x:c r="F39" s="100"/>
      <x:c r="G39" s="100"/>
      <x:c r="H39" s="100"/>
    </x:row>
    <x:row r="40">
      <x:c r="A40" s="100"/>
      <x:c r="B40" s="100"/>
      <x:c r="C40" s="100"/>
      <x:c r="D40" s="100"/>
      <x:c r="E40" s="100"/>
      <x:c r="F40" s="100"/>
      <x:c r="G40" s="100"/>
      <x:c r="H40" s="100"/>
    </x:row>
  </x:sheetData>
  <x:mergeCells>
    <x:mergeCell ref="A1:H1"/>
    <x:mergeCell ref="A2:H2"/>
    <x:mergeCell ref="A4:H4"/>
    <x:mergeCell ref="A13:H13"/>
    <x:mergeCell ref="A26:H2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1" hidden="0" customWidth="1"/>
    <x:col min="3" max="3" width="44" hidden="0" customWidth="1"/>
    <x:col min="4" max="4" width="24" hidden="0" customWidth="1"/>
    <x:col min="5" max="5" width="24" hidden="0" customWidth="1"/>
    <x:col min="6" max="6" width="42" hidden="0" customWidth="1"/>
    <x:col min="7" max="7" width="32" hidden="0" customWidth="1"/>
    <x:col min="8" max="8" width="46" hidden="0" customWidth="1"/>
    <x:col min="9" max="9" width="46" hidden="0" customWidth="1"/>
    <x:col min="10" max="10" width="14" hidden="0" customWidth="1"/>
    <x:col min="11" max="11" width="20" hidden="0" customWidth="1"/>
    <x:col min="12" max="12" width="24" hidden="0" customWidth="1"/>
    <x:col min="13" max="13" width="16" hidden="0" customWidth="1"/>
    <x:col min="14" max="14" width="34" hidden="0" customWidth="1"/>
  </x:cols>
  <x:sheetData>
    <x:row r="1" ht="30" customHeight="1">
      <x:c r="A1" s="5" t="str">
        <x:v>M3-EXPR 案例验证记录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8" customHeight="1">
      <x:c r="A2" s="13" t="str">
        <x:v>建议同时记录用户自述与伴侣观察；不吻合时先判断是内容、主次、显性度、时序、状态还是基础输入问题。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>
      <x:c r="A4" s="26" t="str">
        <x:v>案例ID</x:v>
      </x:c>
      <x:c r="B4" s="91" t="str">
        <x:v>记录类型</x:v>
      </x:c>
      <x:c r="C4" s="91" t="str">
        <x:v>命盘事实摘要</x:v>
      </x:c>
      <x:c r="D4" s="91" t="str">
        <x:v>预测主通道</x:v>
      </x:c>
      <x:c r="E4" s="91" t="str">
        <x:v>预测次通道</x:v>
      </x:c>
      <x:c r="F4" s="91" t="str">
        <x:v>预测路径</x:v>
      </x:c>
      <x:c r="G4" s="91" t="str">
        <x:v>关键过程维度</x:v>
      </x:c>
      <x:c r="H4" s="91" t="str">
        <x:v>用户自述</x:v>
      </x:c>
      <x:c r="I4" s="91" t="str">
        <x:v>伴侣／关系对象反馈</x:v>
      </x:c>
      <x:c r="J4" s="91" t="str">
        <x:v>匹配级别</x:v>
      </x:c>
      <x:c r="K4" s="91" t="str">
        <x:v>偏差类型</x:v>
      </x:c>
      <x:c r="L4" s="91" t="str">
        <x:v>影响规则ID</x:v>
      </x:c>
      <x:c r="M4" s="91" t="str">
        <x:v>处理动作</x:v>
      </x:c>
      <x:c r="N4" s="27" t="str">
        <x:v>备注</x:v>
      </x:c>
    </x:row>
    <x:row r="5">
      <x:c r="A5" s="50" t="str">
        <x:v>M3-EXPR-CASE-001</x:v>
      </x:c>
      <x:c r="B5" s="102" t="str">
        <x:v>示例</x:v>
      </x:c>
      <x:c r="C5" s="102" t="str">
        <x:v>日支主气为食神；食神近位透干有根；正印提供承接；无真合化争议。</x:v>
      </x:c>
      <x:c r="D5" s="102" t="str">
        <x:v>X03 温和分享</x:v>
      </x:c>
      <x:c r="E5" s="102" t="str"/>
      <x:c r="F5" s="102" t="str">
        <x:v>X03 温和分享 → XQ01高可见／XQ02中等语言显性 → XP02温和铺垫型；正印作为回应通道支持XP05。</x:v>
      </x:c>
      <x:c r="G5" s="102" t="str"/>
      <x:c r="H5" s="102" t="str">
        <x:v>你更习惯在轻松、舒服的氛围里分享生活和感受。真正重要的话题，你通常不会突然压给对方，而是先让双方进入可交流的状态，再逐步说到核心需要。你也比较愿意先听懂对方，再用温和的语言回应。</x:v>
      </x:c>
      <x:c r="I5" s="102" t="str"/>
      <x:c r="J5" s="102" t="str">
        <x:v>待验证</x:v>
      </x:c>
      <x:c r="K5" s="102" t="str"/>
      <x:c r="L5" s="102" t="str"/>
      <x:c r="M5" s="102" t="str">
        <x:v>保留观察</x:v>
      </x:c>
      <x:c r="N5" s="51" t="str">
        <x:v>不能由此推出永远好脾气、不会直接表达或遇到冲突也一定温和。</x:v>
      </x:c>
    </x:row>
    <x:row r="6">
      <x:c r="A6" s="52" t="str">
        <x:v>M3-EXPR-CASE-002</x:v>
      </x:c>
      <x:c r="B6" s="103" t="str">
        <x:v>示例</x:v>
      </x:c>
      <x:c r="C6" s="103" t="str">
        <x:v>日支主气伤官；伤官透干有根；比肩近位有效；两者来源独立。</x:v>
      </x:c>
      <x:c r="D6" s="103" t="str">
        <x:v>X04 分析澄清为主＋X01 平等陈述为次</x:v>
      </x:c>
      <x:c r="E6" s="103" t="str"/>
      <x:c r="F6" s="103" t="str">
        <x:v>X04 分析澄清为主＋X01 平等陈述为次 → XP01直接说清＋XP04先立场后说明。</x:v>
      </x:c>
      <x:c r="G6" s="103" t="str"/>
      <x:c r="H6" s="103" t="str">
        <x:v>当你觉得事情需要被理解时，通常会主动把问题、理由和自己的看法说清楚。你不仅在意“能不能说”，也在意双方是否都能保留真实立场，所以沟通里会有明显的平等协商需求。</x:v>
      </x:c>
      <x:c r="I6" s="103" t="str"/>
      <x:c r="J6" s="103" t="str">
        <x:v>待验证</x:v>
      </x:c>
      <x:c r="K6" s="103" t="str"/>
      <x:c r="L6" s="103" t="str"/>
      <x:c r="M6" s="103" t="str">
        <x:v>保留观察</x:v>
      </x:c>
      <x:c r="N6" s="53" t="str">
        <x:v>能分析和说明，不等于说话刻薄，也不等于边界一定能长期执行。</x:v>
      </x:c>
    </x:row>
    <x:row r="7">
      <x:c r="A7" s="52" t="str">
        <x:v>M3-EXPR-CASE-003</x:v>
      </x:c>
      <x:c r="B7" s="103" t="str">
        <x:v>示例</x:v>
      </x:c>
      <x:c r="C7" s="103" t="str">
        <x:v>日支正财主气；食伤有效；食伤生财路径成立；正财有根。</x:v>
      </x:c>
      <x:c r="D7" s="103" t="str">
        <x:v>X05 实际落实为主＋食伤次通道</x:v>
      </x:c>
      <x:c r="E7" s="103" t="str"/>
      <x:c r="F7" s="103" t="str">
        <x:v>X05 实际落实为主＋食伤次通道 → XP07先表达后落实；XQ08高行动转译。</x:v>
      </x:c>
      <x:c r="G7" s="103" t="str"/>
      <x:c r="H7" s="103" t="str">
        <x:v>你通常希望先把需要和安排说清楚，再用实际行动让表达落地。对你来说，记得约定、安排时间、持续完成小事，比只停留在口头表态更能代表认真。</x:v>
      </x:c>
      <x:c r="I7" s="103" t="str"/>
      <x:c r="J7" s="103" t="str">
        <x:v>待验证</x:v>
      </x:c>
      <x:c r="K7" s="103" t="str"/>
      <x:c r="L7" s="103" t="str"/>
      <x:c r="M7" s="103" t="str">
        <x:v>保留观察</x:v>
      </x:c>
      <x:c r="N7" s="53" t="str">
        <x:v>不能直接推出物质化、谁付出更多或长期投入一定稳定；持续性仍由CARE判断。</x:v>
      </x:c>
    </x:row>
    <x:row r="8">
      <x:c r="A8" s="52" t="str">
        <x:v>M3-EXPR-CASE-004</x:v>
      </x:c>
      <x:c r="B8" s="103" t="str">
        <x:v>示例</x:v>
      </x:c>
      <x:c r="C8" s="103" t="str">
        <x:v>日支七杀主气；七杀旺而有承载；食伤偏弱；正印为次级通道。</x:v>
      </x:c>
      <x:c r="D8" s="103" t="str">
        <x:v>X08 行动表态为主＋X09倾听承接为次</x:v>
      </x:c>
      <x:c r="E8" s="103" t="str"/>
      <x:c r="F8" s="103" t="str">
        <x:v>X08 行动表态为主＋X09倾听承接为次 → XP06先行动后解释；XQ02行动主导。</x:v>
      </x:c>
      <x:c r="G8" s="103" t="str"/>
      <x:c r="H8" s="103" t="str">
        <x:v>遇到重要事情时，你可能会先做出决定、处理问题或提供实际支持，等局面稳定后再补充自己的感受和理由。你不是没有情绪，而是更容易先让事情可控，再回到情绪沟通。</x:v>
      </x:c>
      <x:c r="I8" s="103" t="str"/>
      <x:c r="J8" s="103" t="str">
        <x:v>待验证</x:v>
      </x:c>
      <x:c r="K8" s="103" t="str"/>
      <x:c r="L8" s="103" t="str"/>
      <x:c r="M8" s="103" t="str">
        <x:v>保留观察</x:v>
      </x:c>
      <x:c r="N8" s="53" t="str">
        <x:v>不能由此推出强势、控制、缺乏温柔或冲突时一定用同样方式。</x:v>
      </x:c>
    </x:row>
    <x:row r="9">
      <x:c r="A9" s="52" t="str">
        <x:v>M3-EXPR-CASE-005</x:v>
      </x:c>
      <x:c r="B9" s="103" t="str">
        <x:v>示例</x:v>
      </x:c>
      <x:c r="C9" s="103" t="str">
        <x:v>日支正印主气；偏印近位有根；伤官提供外化桥；印与伤官状态可承载。</x:v>
      </x:c>
      <x:c r="D9" s="103" t="str">
        <x:v>X09 倾听承接为主＋X10深度内化为次</x:v>
      </x:c>
      <x:c r="E9" s="103" t="str"/>
      <x:c r="F9" s="103" t="str">
        <x:v>X09 倾听承接为主＋X10深度内化为次 → XP03先整理后说＋XP10深度选择表达。</x:v>
      </x:c>
      <x:c r="G9" s="103" t="str"/>
      <x:c r="H9" s="103" t="str">
        <x:v>你通常先听懂对方、确认自己真实的感受，再选择合适的时机表达。你不一定对所有话题都说很多，但在足够信任、值得深入的关系里，会分享更私密、更有深度的内容。</x:v>
      </x:c>
      <x:c r="I9" s="103" t="str"/>
      <x:c r="J9" s="103" t="str">
        <x:v>待验证</x:v>
      </x:c>
      <x:c r="K9" s="103" t="str"/>
      <x:c r="L9" s="103" t="str"/>
      <x:c r="M9" s="103" t="str">
        <x:v>保留观察</x:v>
      </x:c>
      <x:c r="N9" s="53" t="str">
        <x:v>不能写成依赖、冷漠、回避亲密或故意让对方猜。</x:v>
      </x:c>
    </x:row>
    <x:row r="10">
      <x:c r="A10" s="52" t="str">
        <x:v>M3-EXPR-CASE-006</x:v>
      </x:c>
      <x:c r="B10" s="103" t="str">
        <x:v>示例</x:v>
      </x:c>
      <x:c r="C10" s="103" t="str">
        <x:v>日支偏财主气；劫财近位有效；食神提供舒缓；三者完成去重后仍有两个独立系统。</x:v>
      </x:c>
      <x:c r="D10" s="103" t="str">
        <x:v>X06 氛围回应为主＋X02即时互动为次</x:v>
      </x:c>
      <x:c r="E10" s="103" t="str"/>
      <x:c r="F10" s="103" t="str">
        <x:v>X06 氛围回应为主＋X02即时互动为次 → XP09共同体验表达；食神只作温和风格。</x:v>
      </x:c>
      <x:c r="G10" s="103" t="str"/>
      <x:c r="H10" s="103" t="str">
        <x:v>你更容易在一起做事、出门体验、即时分享和有来有往的互动中表达亲近。关系有参与感和活力时，你的在意会更自然地被看见。</x:v>
      </x:c>
      <x:c r="I10" s="103" t="str"/>
      <x:c r="J10" s="103" t="str">
        <x:v>待验证</x:v>
      </x:c>
      <x:c r="K10" s="103" t="str"/>
      <x:c r="L10" s="103" t="str"/>
      <x:c r="M10" s="103" t="str">
        <x:v>保留观察</x:v>
      </x:c>
      <x:c r="N10" s="53" t="str">
        <x:v>不能由此推出追求新鲜、花心、冲动进入关系或不会长期投入。</x:v>
      </x:c>
    </x:row>
    <x:row r="11">
      <x:c r="A11" s="52" t="str">
        <x:v>M3-EXPR-CASE-007</x:v>
      </x:c>
      <x:c r="B11" s="103" t="str">
        <x:v>示例</x:v>
      </x:c>
      <x:c r="C11" s="103" t="str">
        <x:v>食神与伤官同时有效，但主要来自同一表达系统；没有跨系统独立次通道。</x:v>
      </x:c>
      <x:c r="D11" s="103" t="str">
        <x:v>先收敛为SYS02表达交流系统；根据强弱与位置保留“温和分享＋清楚说明”的风格，不输出两套主模式。</x:v>
      </x:c>
      <x:c r="E11" s="103" t="str"/>
      <x:c r="F11" s="103" t="str">
        <x:v>先收敛为SYS02表达交流系统；根据强弱与位置保留“温和分享＋清楚说明”的风格，不输出两套主模式。</x:v>
      </x:c>
      <x:c r="G11" s="103" t="str"/>
      <x:c r="H11" s="103" t="str">
        <x:v>你总体上习惯通过交流表达在意：日常更愿意用轻松、温和的方式分享；遇到需要讲清的问题时，也能进入较直接、完整的说明。</x:v>
      </x:c>
      <x:c r="I11" s="103" t="str"/>
      <x:c r="J11" s="103" t="str">
        <x:v>待验证</x:v>
      </x:c>
      <x:c r="K11" s="103" t="str"/>
      <x:c r="L11" s="103" t="str"/>
      <x:c r="M11" s="103" t="str">
        <x:v>保留观察</x:v>
      </x:c>
      <x:c r="N11" s="53" t="str">
        <x:v>正偏同现不等于情绪矛盾、说话反复或感情复杂。</x:v>
      </x:c>
    </x:row>
    <x:row r="12">
      <x:c r="A12" s="52" t="str">
        <x:v>M3-EXPR-CASE-008</x:v>
      </x:c>
      <x:c r="B12" s="103" t="str">
        <x:v>示例</x:v>
      </x:c>
      <x:c r="C12" s="103" t="str">
        <x:v>关键表达十神参与合化，但真合化是否成立仍有争议；化神系统也未可靠确定。</x:v>
      </x:c>
      <x:c r="D12" s="103" t="str">
        <x:v>命中M3-EXPR-173、203或204类停止规则；原通道不得满分保留。</x:v>
      </x:c>
      <x:c r="E12" s="103" t="str"/>
      <x:c r="F12" s="103" t="str">
        <x:v>命中M3-EXPR-173、203或204类停止规则；原通道不得满分保留。</x:v>
      </x:c>
      <x:c r="G12" s="103" t="str"/>
      <x:c r="H12" s="103" t="str">
        <x:v>当前结构会直接改变表达方向，因此暂时只能保留“可能偏向某一功能系统”的有限判断，不宜把你固定为某一种表达类型。</x:v>
      </x:c>
      <x:c r="I12" s="103" t="str"/>
      <x:c r="J12" s="103" t="str">
        <x:v>待验证</x:v>
      </x:c>
      <x:c r="K12" s="103" t="str"/>
      <x:c r="L12" s="103" t="str"/>
      <x:c r="M12" s="103" t="str">
        <x:v>保留观察</x:v>
      </x:c>
      <x:c r="N12" s="53" t="str">
        <x:v>停止不是“没有表达”，而是基础状态尚不足以支持精准分类。</x:v>
      </x:c>
    </x:row>
    <x:row r="13">
      <x:c r="A13" s="52" t="str">
        <x:v>M3-EXPR-CASE-009</x:v>
      </x:c>
      <x:c r="B13" s="103" t="str">
        <x:v>实测</x:v>
      </x:c>
      <x:c r="C13" s="103" t="str">
        <x:v>请填写与表达相关的关键命盘事实</x:v>
      </x:c>
      <x:c r="D13" s="103" t="str"/>
      <x:c r="E13" s="103" t="str"/>
      <x:c r="F13" s="103" t="str"/>
      <x:c r="G13" s="103" t="str"/>
      <x:c r="H13" s="103" t="str"/>
      <x:c r="I13" s="103" t="str"/>
      <x:c r="J13" s="103" t="str">
        <x:v>待验证</x:v>
      </x:c>
      <x:c r="K13" s="103" t="str"/>
      <x:c r="L13" s="103" t="str"/>
      <x:c r="M13" s="103" t="str">
        <x:v>待处理</x:v>
      </x:c>
      <x:c r="N13" s="53" t="str"/>
    </x:row>
    <x:row r="14">
      <x:c r="A14" s="52" t="str">
        <x:v>M3-EXPR-CASE-010</x:v>
      </x:c>
      <x:c r="B14" s="103" t="str">
        <x:v>实测</x:v>
      </x:c>
      <x:c r="C14" s="103" t="str">
        <x:v>请填写与表达相关的关键命盘事实</x:v>
      </x:c>
      <x:c r="D14" s="103" t="str"/>
      <x:c r="E14" s="103" t="str"/>
      <x:c r="F14" s="103" t="str"/>
      <x:c r="G14" s="103" t="str"/>
      <x:c r="H14" s="103" t="str"/>
      <x:c r="I14" s="103" t="str"/>
      <x:c r="J14" s="103" t="str">
        <x:v>待验证</x:v>
      </x:c>
      <x:c r="K14" s="103" t="str"/>
      <x:c r="L14" s="103" t="str"/>
      <x:c r="M14" s="103" t="str">
        <x:v>待处理</x:v>
      </x:c>
      <x:c r="N14" s="53" t="str"/>
    </x:row>
    <x:row r="15">
      <x:c r="A15" s="52" t="str">
        <x:v>M3-EXPR-CASE-011</x:v>
      </x:c>
      <x:c r="B15" s="103" t="str">
        <x:v>实测</x:v>
      </x:c>
      <x:c r="C15" s="103" t="str">
        <x:v>请填写与表达相关的关键命盘事实</x:v>
      </x:c>
      <x:c r="D15" s="103" t="str"/>
      <x:c r="E15" s="103" t="str"/>
      <x:c r="F15" s="103" t="str"/>
      <x:c r="G15" s="103" t="str"/>
      <x:c r="H15" s="103" t="str"/>
      <x:c r="I15" s="103" t="str"/>
      <x:c r="J15" s="103" t="str">
        <x:v>待验证</x:v>
      </x:c>
      <x:c r="K15" s="103" t="str"/>
      <x:c r="L15" s="103" t="str"/>
      <x:c r="M15" s="103" t="str">
        <x:v>待处理</x:v>
      </x:c>
      <x:c r="N15" s="53" t="str"/>
    </x:row>
    <x:row r="16">
      <x:c r="A16" s="52" t="str">
        <x:v>M3-EXPR-CASE-012</x:v>
      </x:c>
      <x:c r="B16" s="103" t="str">
        <x:v>实测</x:v>
      </x:c>
      <x:c r="C16" s="103" t="str">
        <x:v>请填写与表达相关的关键命盘事实</x:v>
      </x:c>
      <x:c r="D16" s="103" t="str"/>
      <x:c r="E16" s="103" t="str"/>
      <x:c r="F16" s="103" t="str"/>
      <x:c r="G16" s="103" t="str"/>
      <x:c r="H16" s="103" t="str"/>
      <x:c r="I16" s="103" t="str"/>
      <x:c r="J16" s="103" t="str">
        <x:v>待验证</x:v>
      </x:c>
      <x:c r="K16" s="103" t="str"/>
      <x:c r="L16" s="103" t="str"/>
      <x:c r="M16" s="103" t="str">
        <x:v>待处理</x:v>
      </x:c>
      <x:c r="N16" s="53" t="str"/>
    </x:row>
    <x:row r="17">
      <x:c r="A17" s="52" t="str">
        <x:v>M3-EXPR-CASE-013</x:v>
      </x:c>
      <x:c r="B17" s="103" t="str">
        <x:v>实测</x:v>
      </x:c>
      <x:c r="C17" s="103" t="str">
        <x:v>请填写与表达相关的关键命盘事实</x:v>
      </x:c>
      <x:c r="D17" s="103" t="str"/>
      <x:c r="E17" s="103" t="str"/>
      <x:c r="F17" s="103" t="str"/>
      <x:c r="G17" s="103" t="str"/>
      <x:c r="H17" s="103" t="str"/>
      <x:c r="I17" s="103" t="str"/>
      <x:c r="J17" s="103" t="str">
        <x:v>待验证</x:v>
      </x:c>
      <x:c r="K17" s="103" t="str"/>
      <x:c r="L17" s="103" t="str"/>
      <x:c r="M17" s="103" t="str">
        <x:v>待处理</x:v>
      </x:c>
      <x:c r="N17" s="53" t="str"/>
    </x:row>
    <x:row r="18">
      <x:c r="A18" s="52" t="str">
        <x:v>M3-EXPR-CASE-014</x:v>
      </x:c>
      <x:c r="B18" s="103" t="str">
        <x:v>实测</x:v>
      </x:c>
      <x:c r="C18" s="103" t="str">
        <x:v>请填写与表达相关的关键命盘事实</x:v>
      </x:c>
      <x:c r="D18" s="103" t="str"/>
      <x:c r="E18" s="103" t="str"/>
      <x:c r="F18" s="103" t="str"/>
      <x:c r="G18" s="103" t="str"/>
      <x:c r="H18" s="103" t="str"/>
      <x:c r="I18" s="103" t="str"/>
      <x:c r="J18" s="103" t="str">
        <x:v>待验证</x:v>
      </x:c>
      <x:c r="K18" s="103" t="str"/>
      <x:c r="L18" s="103" t="str"/>
      <x:c r="M18" s="103" t="str">
        <x:v>待处理</x:v>
      </x:c>
      <x:c r="N18" s="53" t="str"/>
    </x:row>
    <x:row r="19">
      <x:c r="A19" s="52" t="str">
        <x:v>M3-EXPR-CASE-015</x:v>
      </x:c>
      <x:c r="B19" s="103" t="str">
        <x:v>实测</x:v>
      </x:c>
      <x:c r="C19" s="103" t="str">
        <x:v>请填写与表达相关的关键命盘事实</x:v>
      </x:c>
      <x:c r="D19" s="103" t="str"/>
      <x:c r="E19" s="103" t="str"/>
      <x:c r="F19" s="103" t="str"/>
      <x:c r="G19" s="103" t="str"/>
      <x:c r="H19" s="103" t="str"/>
      <x:c r="I19" s="103" t="str"/>
      <x:c r="J19" s="103" t="str">
        <x:v>待验证</x:v>
      </x:c>
      <x:c r="K19" s="103" t="str"/>
      <x:c r="L19" s="103" t="str"/>
      <x:c r="M19" s="103" t="str">
        <x:v>待处理</x:v>
      </x:c>
      <x:c r="N19" s="53" t="str"/>
    </x:row>
    <x:row r="20">
      <x:c r="A20" s="52" t="str">
        <x:v>M3-EXPR-CASE-016</x:v>
      </x:c>
      <x:c r="B20" s="103" t="str">
        <x:v>实测</x:v>
      </x:c>
      <x:c r="C20" s="103" t="str">
        <x:v>请填写与表达相关的关键命盘事实</x:v>
      </x:c>
      <x:c r="D20" s="103" t="str"/>
      <x:c r="E20" s="103" t="str"/>
      <x:c r="F20" s="103" t="str"/>
      <x:c r="G20" s="103" t="str"/>
      <x:c r="H20" s="103" t="str"/>
      <x:c r="I20" s="103" t="str"/>
      <x:c r="J20" s="103" t="str">
        <x:v>待验证</x:v>
      </x:c>
      <x:c r="K20" s="103" t="str"/>
      <x:c r="L20" s="103" t="str"/>
      <x:c r="M20" s="103" t="str">
        <x:v>待处理</x:v>
      </x:c>
      <x:c r="N20" s="53" t="str"/>
    </x:row>
    <x:row r="21">
      <x:c r="A21" s="52" t="str">
        <x:v>M3-EXPR-CASE-017</x:v>
      </x:c>
      <x:c r="B21" s="103" t="str">
        <x:v>实测</x:v>
      </x:c>
      <x:c r="C21" s="103" t="str">
        <x:v>请填写与表达相关的关键命盘事实</x:v>
      </x:c>
      <x:c r="D21" s="103" t="str"/>
      <x:c r="E21" s="103" t="str"/>
      <x:c r="F21" s="103" t="str"/>
      <x:c r="G21" s="103" t="str"/>
      <x:c r="H21" s="103" t="str"/>
      <x:c r="I21" s="103" t="str"/>
      <x:c r="J21" s="103" t="str">
        <x:v>待验证</x:v>
      </x:c>
      <x:c r="K21" s="103" t="str"/>
      <x:c r="L21" s="103" t="str"/>
      <x:c r="M21" s="103" t="str">
        <x:v>待处理</x:v>
      </x:c>
      <x:c r="N21" s="53" t="str"/>
    </x:row>
    <x:row r="22">
      <x:c r="A22" s="52" t="str">
        <x:v>M3-EXPR-CASE-018</x:v>
      </x:c>
      <x:c r="B22" s="103" t="str">
        <x:v>实测</x:v>
      </x:c>
      <x:c r="C22" s="103" t="str">
        <x:v>请填写与表达相关的关键命盘事实</x:v>
      </x:c>
      <x:c r="D22" s="103" t="str"/>
      <x:c r="E22" s="103" t="str"/>
      <x:c r="F22" s="103" t="str"/>
      <x:c r="G22" s="103" t="str"/>
      <x:c r="H22" s="103" t="str"/>
      <x:c r="I22" s="103" t="str"/>
      <x:c r="J22" s="103" t="str">
        <x:v>待验证</x:v>
      </x:c>
      <x:c r="K22" s="103" t="str"/>
      <x:c r="L22" s="103" t="str"/>
      <x:c r="M22" s="103" t="str">
        <x:v>待处理</x:v>
      </x:c>
      <x:c r="N22" s="53" t="str"/>
    </x:row>
    <x:row r="23">
      <x:c r="A23" s="52" t="str">
        <x:v>M3-EXPR-CASE-019</x:v>
      </x:c>
      <x:c r="B23" s="103" t="str">
        <x:v>实测</x:v>
      </x:c>
      <x:c r="C23" s="103" t="str">
        <x:v>请填写与表达相关的关键命盘事实</x:v>
      </x:c>
      <x:c r="D23" s="103" t="str"/>
      <x:c r="E23" s="103" t="str"/>
      <x:c r="F23" s="103" t="str"/>
      <x:c r="G23" s="103" t="str"/>
      <x:c r="H23" s="103" t="str"/>
      <x:c r="I23" s="103" t="str"/>
      <x:c r="J23" s="103" t="str">
        <x:v>待验证</x:v>
      </x:c>
      <x:c r="K23" s="103" t="str"/>
      <x:c r="L23" s="103" t="str"/>
      <x:c r="M23" s="103" t="str">
        <x:v>待处理</x:v>
      </x:c>
      <x:c r="N23" s="53" t="str"/>
    </x:row>
    <x:row r="24">
      <x:c r="A24" s="52" t="str">
        <x:v>M3-EXPR-CASE-020</x:v>
      </x:c>
      <x:c r="B24" s="103" t="str">
        <x:v>实测</x:v>
      </x:c>
      <x:c r="C24" s="103" t="str">
        <x:v>请填写与表达相关的关键命盘事实</x:v>
      </x:c>
      <x:c r="D24" s="103" t="str"/>
      <x:c r="E24" s="103" t="str"/>
      <x:c r="F24" s="103" t="str"/>
      <x:c r="G24" s="103" t="str"/>
      <x:c r="H24" s="103" t="str"/>
      <x:c r="I24" s="103" t="str"/>
      <x:c r="J24" s="103" t="str">
        <x:v>待验证</x:v>
      </x:c>
      <x:c r="K24" s="103" t="str"/>
      <x:c r="L24" s="103" t="str"/>
      <x:c r="M24" s="103" t="str">
        <x:v>待处理</x:v>
      </x:c>
      <x:c r="N24" s="53" t="str"/>
    </x:row>
    <x:row r="25">
      <x:c r="A25" s="52" t="str">
        <x:v>M3-EXPR-CASE-021</x:v>
      </x:c>
      <x:c r="B25" s="103" t="str">
        <x:v>实测</x:v>
      </x:c>
      <x:c r="C25" s="103" t="str">
        <x:v>请填写与表达相关的关键命盘事实</x:v>
      </x:c>
      <x:c r="D25" s="103" t="str"/>
      <x:c r="E25" s="103" t="str"/>
      <x:c r="F25" s="103" t="str"/>
      <x:c r="G25" s="103" t="str"/>
      <x:c r="H25" s="103" t="str"/>
      <x:c r="I25" s="103" t="str"/>
      <x:c r="J25" s="103" t="str">
        <x:v>待验证</x:v>
      </x:c>
      <x:c r="K25" s="103" t="str"/>
      <x:c r="L25" s="103" t="str"/>
      <x:c r="M25" s="103" t="str">
        <x:v>待处理</x:v>
      </x:c>
      <x:c r="N25" s="53" t="str"/>
    </x:row>
    <x:row r="26">
      <x:c r="A26" s="52" t="str">
        <x:v>M3-EXPR-CASE-022</x:v>
      </x:c>
      <x:c r="B26" s="103" t="str">
        <x:v>实测</x:v>
      </x:c>
      <x:c r="C26" s="103" t="str">
        <x:v>请填写与表达相关的关键命盘事实</x:v>
      </x:c>
      <x:c r="D26" s="103" t="str"/>
      <x:c r="E26" s="103" t="str"/>
      <x:c r="F26" s="103" t="str"/>
      <x:c r="G26" s="103" t="str"/>
      <x:c r="H26" s="103" t="str"/>
      <x:c r="I26" s="103" t="str"/>
      <x:c r="J26" s="103" t="str">
        <x:v>待验证</x:v>
      </x:c>
      <x:c r="K26" s="103" t="str"/>
      <x:c r="L26" s="103" t="str"/>
      <x:c r="M26" s="103" t="str">
        <x:v>待处理</x:v>
      </x:c>
      <x:c r="N26" s="53" t="str"/>
    </x:row>
    <x:row r="27">
      <x:c r="A27" s="52" t="str">
        <x:v>M3-EXPR-CASE-023</x:v>
      </x:c>
      <x:c r="B27" s="103" t="str">
        <x:v>实测</x:v>
      </x:c>
      <x:c r="C27" s="103" t="str">
        <x:v>请填写与表达相关的关键命盘事实</x:v>
      </x:c>
      <x:c r="D27" s="103" t="str"/>
      <x:c r="E27" s="103" t="str"/>
      <x:c r="F27" s="103" t="str"/>
      <x:c r="G27" s="103" t="str"/>
      <x:c r="H27" s="103" t="str"/>
      <x:c r="I27" s="103" t="str"/>
      <x:c r="J27" s="103" t="str">
        <x:v>待验证</x:v>
      </x:c>
      <x:c r="K27" s="103" t="str"/>
      <x:c r="L27" s="103" t="str"/>
      <x:c r="M27" s="103" t="str">
        <x:v>待处理</x:v>
      </x:c>
      <x:c r="N27" s="53" t="str"/>
    </x:row>
    <x:row r="28">
      <x:c r="A28" s="52" t="str">
        <x:v>M3-EXPR-CASE-024</x:v>
      </x:c>
      <x:c r="B28" s="103" t="str">
        <x:v>实测</x:v>
      </x:c>
      <x:c r="C28" s="103" t="str">
        <x:v>请填写与表达相关的关键命盘事实</x:v>
      </x:c>
      <x:c r="D28" s="103" t="str"/>
      <x:c r="E28" s="103" t="str"/>
      <x:c r="F28" s="103" t="str"/>
      <x:c r="G28" s="103" t="str"/>
      <x:c r="H28" s="103" t="str"/>
      <x:c r="I28" s="103" t="str"/>
      <x:c r="J28" s="103" t="str">
        <x:v>待验证</x:v>
      </x:c>
      <x:c r="K28" s="103" t="str"/>
      <x:c r="L28" s="103" t="str"/>
      <x:c r="M28" s="103" t="str">
        <x:v>待处理</x:v>
      </x:c>
      <x:c r="N28" s="53" t="str"/>
    </x:row>
    <x:row r="29">
      <x:c r="A29" s="52" t="str">
        <x:v>M3-EXPR-CASE-025</x:v>
      </x:c>
      <x:c r="B29" s="103" t="str">
        <x:v>实测</x:v>
      </x:c>
      <x:c r="C29" s="103" t="str">
        <x:v>请填写与表达相关的关键命盘事实</x:v>
      </x:c>
      <x:c r="D29" s="103" t="str"/>
      <x:c r="E29" s="103" t="str"/>
      <x:c r="F29" s="103" t="str"/>
      <x:c r="G29" s="103" t="str"/>
      <x:c r="H29" s="103" t="str"/>
      <x:c r="I29" s="103" t="str"/>
      <x:c r="J29" s="103" t="str">
        <x:v>待验证</x:v>
      </x:c>
      <x:c r="K29" s="103" t="str"/>
      <x:c r="L29" s="103" t="str"/>
      <x:c r="M29" s="103" t="str">
        <x:v>待处理</x:v>
      </x:c>
      <x:c r="N29" s="53" t="str"/>
    </x:row>
    <x:row r="30">
      <x:c r="A30" s="52" t="str">
        <x:v>M3-EXPR-CASE-026</x:v>
      </x:c>
      <x:c r="B30" s="103" t="str">
        <x:v>实测</x:v>
      </x:c>
      <x:c r="C30" s="103" t="str">
        <x:v>请填写与表达相关的关键命盘事实</x:v>
      </x:c>
      <x:c r="D30" s="103" t="str"/>
      <x:c r="E30" s="103" t="str"/>
      <x:c r="F30" s="103" t="str"/>
      <x:c r="G30" s="103" t="str"/>
      <x:c r="H30" s="103" t="str"/>
      <x:c r="I30" s="103" t="str"/>
      <x:c r="J30" s="103" t="str">
        <x:v>待验证</x:v>
      </x:c>
      <x:c r="K30" s="103" t="str"/>
      <x:c r="L30" s="103" t="str"/>
      <x:c r="M30" s="103" t="str">
        <x:v>待处理</x:v>
      </x:c>
      <x:c r="N30" s="53" t="str"/>
    </x:row>
    <x:row r="31">
      <x:c r="A31" s="52" t="str">
        <x:v>M3-EXPR-CASE-027</x:v>
      </x:c>
      <x:c r="B31" s="103" t="str">
        <x:v>实测</x:v>
      </x:c>
      <x:c r="C31" s="103" t="str">
        <x:v>请填写与表达相关的关键命盘事实</x:v>
      </x:c>
      <x:c r="D31" s="103" t="str"/>
      <x:c r="E31" s="103" t="str"/>
      <x:c r="F31" s="103" t="str"/>
      <x:c r="G31" s="103" t="str"/>
      <x:c r="H31" s="103" t="str"/>
      <x:c r="I31" s="103" t="str"/>
      <x:c r="J31" s="103" t="str">
        <x:v>待验证</x:v>
      </x:c>
      <x:c r="K31" s="103" t="str"/>
      <x:c r="L31" s="103" t="str"/>
      <x:c r="M31" s="103" t="str">
        <x:v>待处理</x:v>
      </x:c>
      <x:c r="N31" s="53" t="str"/>
    </x:row>
    <x:row r="32">
      <x:c r="A32" s="54" t="str">
        <x:v>M3-EXPR-CASE-028</x:v>
      </x:c>
      <x:c r="B32" s="104" t="str">
        <x:v>实测</x:v>
      </x:c>
      <x:c r="C32" s="104" t="str">
        <x:v>请填写与表达相关的关键命盘事实</x:v>
      </x:c>
      <x:c r="D32" s="104" t="str"/>
      <x:c r="E32" s="104" t="str"/>
      <x:c r="F32" s="104" t="str"/>
      <x:c r="G32" s="104" t="str"/>
      <x:c r="H32" s="104" t="str"/>
      <x:c r="I32" s="104" t="str"/>
      <x:c r="J32" s="104" t="str">
        <x:v>待验证</x:v>
      </x:c>
      <x:c r="K32" s="104" t="str"/>
      <x:c r="L32" s="104" t="str"/>
      <x:c r="M32" s="104" t="str">
        <x:v>待处理</x:v>
      </x:c>
      <x:c r="N32" s="55" t="str"/>
    </x:row>
  </x:sheetData>
  <x:mergeCells>
    <x:mergeCell ref="A1:N1"/>
    <x:mergeCell ref="A2:N2"/>
  </x:mergeCells>
  <x:conditionalFormatting sqref="J5:J32">
    <x:cfRule type="expression" dxfId="14" priority="1">
      <x:formula>J5="完全吻合"</x:formula>
    </x:cfRule>
    <x:cfRule type="expression" dxfId="15" priority="2">
      <x:formula>J5="部分吻合"</x:formula>
    </x:cfRule>
    <x:cfRule type="expression" dxfId="16" priority="3">
      <x:formula>J5="明显不吻合"</x:formula>
    </x:cfRule>
    <x:cfRule type="expression" dxfId="17" priority="4">
      <x:formula>J5="信息不足"</x:formula>
    </x:cfRule>
  </x:conditionalFormatting>
  <x:dataValidations count="4">
    <x:dataValidation type="list" sqref="B5:B32">
      <x:formula1>"示例,实测,反例"</x:formula1>
    </x:dataValidation>
    <x:dataValidation type="list" sqref="J5:J32">
      <x:formula1>"待验证,完全吻合,部分吻合,明显不吻合,信息不足"</x:formula1>
    </x:dataValidation>
    <x:dataValidation type="list" sqref="K5:K32">
      <x:formula1>",内容偏差,主次偏差,显性度偏差,时序偏差,状态偏差,基础输入偏差,去重偏差"</x:formula1>
    </x:dataValidation>
    <x:dataValidation type="list" sqref="M5:M32">
      <x:formula1>"待处理,保留观察,保留,修改,降权,停用,补充访谈"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6358883da445e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18" hidden="0" customWidth="1"/>
    <x:col min="4" max="4" width="24" hidden="0" customWidth="1"/>
    <x:col min="5" max="5" width="56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251" t="str">
        <x:v>字段、代码与输出词典</x:v>
      </x:c>
      <x:c r="B1" s="251"/>
      <x:c r="C1" s="251"/>
      <x:c r="D1" s="251"/>
      <x:c r="E1" s="251"/>
      <x:c r="F1" s="251"/>
      <x:c r="G1" s="251"/>
      <x:c r="H1" s="251"/>
    </x:row>
    <x:row r="2" ht="28" customHeight="1">
      <x:c r="A2" s="13" t="str">
        <x:v>用于理解原子规则31字段、模块输出字段以及X01／XQ01／XP01等代码。</x:v>
      </x:c>
      <x:c r="B2" s="13"/>
      <x:c r="C2" s="13"/>
      <x:c r="D2" s="13"/>
      <x:c r="E2" s="13"/>
      <x:c r="F2" s="13"/>
      <x:c r="G2" s="13"/>
      <x:c r="H2" s="13"/>
    </x:row>
    <x:row r="3">
      <x:c r="A3" s="100"/>
      <x:c r="B3" s="100"/>
      <x:c r="C3" s="100"/>
      <x:c r="D3" s="100"/>
      <x:c r="E3" s="100"/>
      <x:c r="F3" s="100"/>
      <x:c r="G3" s="100"/>
      <x:c r="H3" s="100"/>
    </x:row>
    <x:row r="4" ht="22" customHeight="1">
      <x:c r="A4" s="252" t="str">
        <x:v>一、原子规则31字段</x:v>
      </x:c>
      <x:c r="B4" s="252"/>
      <x:c r="C4" s="252"/>
      <x:c r="D4" s="303" t="str">
        <x:v>二、主要输出字段</x:v>
      </x:c>
      <x:c r="E4" s="303"/>
      <x:c r="F4" s="303"/>
      <x:c r="G4" s="303"/>
      <x:c r="H4" s="303"/>
    </x:row>
    <x:row r="5">
      <x:c r="A5" s="26" t="str">
        <x:v>字段</x:v>
      </x:c>
      <x:c r="B5" s="27" t="str">
        <x:v>含义</x:v>
      </x:c>
      <x:c r="C5" s="100"/>
      <x:c r="D5" s="26" t="str">
        <x:v>输出字段</x:v>
      </x:c>
      <x:c r="E5" s="27" t="str">
        <x:v>含义</x:v>
      </x:c>
      <x:c r="F5" s="100"/>
      <x:c r="G5" s="100"/>
      <x:c r="H5" s="100"/>
    </x:row>
    <x:row r="6">
      <x:c r="A6" s="50" t="str">
        <x:v>rule_id</x:v>
      </x:c>
      <x:c r="B6" s="51" t="str">
        <x:v>唯一规则编号；用于检索、案例引用、修改和版本追踪。</x:v>
      </x:c>
      <x:c r="C6" s="100"/>
      <x:c r="D6" s="50" t="str">
        <x:v>primary_expression_channel</x:v>
      </x:c>
      <x:c r="E6" s="51" t="str">
        <x:v>主要表达通道；正文最多一个。</x:v>
      </x:c>
      <x:c r="F6" s="100"/>
      <x:c r="G6" s="100"/>
      <x:c r="H6" s="100"/>
    </x:row>
    <x:row r="7">
      <x:c r="A7" s="52" t="str">
        <x:v>rule_name</x:v>
      </x:c>
      <x:c r="B7" s="53" t="str">
        <x:v>规则的中文名称；应能独立说明条件与功能。</x:v>
      </x:c>
      <x:c r="C7" s="100"/>
      <x:c r="D7" s="52" t="str">
        <x:v>secondary_expression_channel</x:v>
      </x:c>
      <x:c r="E7" s="53" t="str">
        <x:v>次级表达通道；必须功能独立且正文最多一个。</x:v>
      </x:c>
      <x:c r="F7" s="100"/>
      <x:c r="G7" s="100"/>
      <x:c r="H7" s="100"/>
    </x:row>
    <x:row r="8">
      <x:c r="A8" s="52" t="str">
        <x:v>layer</x:v>
      </x:c>
      <x:c r="B8" s="53" t="str">
        <x:v>规则所在推理层级，如主要通道、情绪与需求、状态修正等。</x:v>
      </x:c>
      <x:c r="C8" s="100"/>
      <x:c r="D8" s="52" t="str">
        <x:v>affection_expression</x:v>
      </x:c>
      <x:c r="E8" s="53" t="str">
        <x:v>喜欢与在意怎样被对方看见。</x:v>
      </x:c>
      <x:c r="F8" s="100"/>
      <x:c r="G8" s="100"/>
      <x:c r="H8" s="100"/>
    </x:row>
    <x:row r="9">
      <x:c r="A9" s="52" t="str">
        <x:v>module</x:v>
      </x:c>
      <x:c r="B9" s="53" t="str">
        <x:v>规则所属子模块。</x:v>
      </x:c>
      <x:c r="C9" s="100"/>
      <x:c r="D9" s="52" t="str">
        <x:v>emotion_expression</x:v>
      </x:c>
      <x:c r="E9" s="53" t="str">
        <x:v>情绪怎样外化。</x:v>
      </x:c>
      <x:c r="F9" s="100"/>
      <x:c r="G9" s="100"/>
      <x:c r="H9" s="100"/>
    </x:row>
    <x:row r="10">
      <x:c r="A10" s="52" t="str">
        <x:v>applicable_group</x:v>
      </x:c>
      <x:c r="B10" s="53" t="str">
        <x:v>适用对象；当前M3-EXPR大部分为通用。</x:v>
      </x:c>
      <x:c r="C10" s="100"/>
      <x:c r="D10" s="52" t="str">
        <x:v>need_expression</x:v>
      </x:c>
      <x:c r="E10" s="53" t="str">
        <x:v>需求与请求怎样表达。</x:v>
      </x:c>
      <x:c r="F10" s="100"/>
      <x:c r="G10" s="100"/>
      <x:c r="H10" s="100"/>
    </x:row>
    <x:row r="11">
      <x:c r="A11" s="52" t="str">
        <x:v>rule_type</x:v>
      </x:c>
      <x:c r="B11" s="53" t="str">
        <x:v>基础、行为映射、路径、修正、门控、去重、停止、输出等。</x:v>
      </x:c>
      <x:c r="C11" s="100"/>
      <x:c r="D11" s="52" t="str">
        <x:v>communication_style</x:v>
      </x:c>
      <x:c r="E11" s="53" t="str">
        <x:v>观点、事实与日常沟通方式。</x:v>
      </x:c>
      <x:c r="F11" s="100"/>
      <x:c r="G11" s="100"/>
      <x:c r="H11" s="100"/>
    </x:row>
    <x:row r="12">
      <x:c r="A12" s="52" t="str">
        <x:v>main_signal</x:v>
      </x:c>
      <x:c r="B12" s="53" t="str">
        <x:v>触发规则的主要命理或功能信号。</x:v>
      </x:c>
      <x:c r="C12" s="100"/>
      <x:c r="D12" s="52" t="str">
        <x:v>expression_timing</x:v>
      </x:c>
      <x:c r="E12" s="53" t="str">
        <x:v>即时、先整理、先行动或情境化时序。</x:v>
      </x:c>
      <x:c r="F12" s="100"/>
      <x:c r="G12" s="100"/>
      <x:c r="H12" s="100"/>
    </x:row>
    <x:row r="13">
      <x:c r="A13" s="52" t="str">
        <x:v>secondary_signal</x:v>
      </x:c>
      <x:c r="B13" s="53" t="str">
        <x:v>第二信号、输出分面或组合条件。</x:v>
      </x:c>
      <x:c r="C13" s="100"/>
      <x:c r="D13" s="52" t="str">
        <x:v>response_style</x:v>
      </x:c>
      <x:c r="E13" s="53" t="str">
        <x:v>怎样接收并回应对方的表达。</x:v>
      </x:c>
      <x:c r="F13" s="100"/>
      <x:c r="G13" s="100"/>
      <x:c r="H13" s="100"/>
    </x:row>
    <x:row r="14">
      <x:c r="A14" s="52" t="str">
        <x:v>required_conditions</x:v>
      </x:c>
      <x:c r="B14" s="53" t="str">
        <x:v>规则成立必须同时满足的条件。</x:v>
      </x:c>
      <x:c r="C14" s="100"/>
      <x:c r="D14" s="52" t="str">
        <x:v>expression_path</x:v>
      </x:c>
      <x:c r="E14" s="53" t="str">
        <x:v>起点—转换—输出的主沟通顺序。</x:v>
      </x:c>
      <x:c r="F14" s="100"/>
      <x:c r="G14" s="100"/>
      <x:c r="H14" s="100"/>
    </x:row>
    <x:row r="15">
      <x:c r="A15" s="52" t="str">
        <x:v>excluded_conditions</x:v>
      </x:c>
      <x:c r="B15" s="53" t="str">
        <x:v>命中时不得使用本规则的排除条件。</x:v>
      </x:c>
      <x:c r="C15" s="100"/>
      <x:c r="D15" s="52" t="str">
        <x:v>expression_visibility</x:v>
      </x:c>
      <x:c r="E15" s="53" t="str">
        <x:v>表达可见度。</x:v>
      </x:c>
      <x:c r="F15" s="100"/>
      <x:c r="G15" s="100"/>
      <x:c r="H15" s="100"/>
    </x:row>
    <x:row r="16">
      <x:c r="A16" s="52" t="str">
        <x:v>self_strength_status</x:v>
      </x:c>
      <x:c r="B16" s="53" t="str">
        <x:v>日主或承载状态要求；多数由共享引擎与STATE修正。</x:v>
      </x:c>
      <x:c r="C16" s="100"/>
      <x:c r="D16" s="52" t="str">
        <x:v>verbal_explicitness</x:v>
      </x:c>
      <x:c r="E16" s="53" t="str">
        <x:v>语言显性度。</x:v>
      </x:c>
      <x:c r="F16" s="100"/>
      <x:c r="G16" s="100"/>
      <x:c r="H16" s="100"/>
    </x:row>
    <x:row r="17">
      <x:c r="A17" s="52" t="str">
        <x:v>spouse_star_status</x:v>
      </x:c>
      <x:c r="B17" s="53" t="str">
        <x:v>夫妻星状态；EXPR不以夫妻星为唯一主轴。</x:v>
      </x:c>
      <x:c r="C17" s="100"/>
      <x:c r="D17" s="52" t="str">
        <x:v>need_explicitness</x:v>
      </x:c>
      <x:c r="E17" s="53" t="str">
        <x:v>需求明确度。</x:v>
      </x:c>
      <x:c r="F17" s="100"/>
      <x:c r="G17" s="100"/>
      <x:c r="H17" s="100"/>
    </x:row>
    <x:row r="18">
      <x:c r="A18" s="52" t="str">
        <x:v>palace_signal</x:v>
      </x:c>
      <x:c r="B18" s="53" t="str">
        <x:v>夫妻宫／日支／BASE提供的关系内信号。</x:v>
      </x:c>
      <x:c r="C18" s="100"/>
      <x:c r="D18" s="52" t="str">
        <x:v>position_expression</x:v>
      </x:c>
      <x:c r="E18" s="53" t="str">
        <x:v>观点与边界陈述方式。</x:v>
      </x:c>
      <x:c r="F18" s="100"/>
      <x:c r="G18" s="100"/>
      <x:c r="H18" s="100"/>
    </x:row>
    <x:row r="19">
      <x:c r="A19" s="52" t="str">
        <x:v>flow_path</x:v>
      </x:c>
      <x:c r="B19" s="53" t="str">
        <x:v>表达的起点、转换与输出路径。</x:v>
      </x:c>
      <x:c r="C19" s="100"/>
      <x:c r="D19" s="52" t="str">
        <x:v>communication_initiation</x:v>
      </x:c>
      <x:c r="E19" s="53" t="str">
        <x:v>沟通由谁、由什么事件启动。</x:v>
      </x:c>
      <x:c r="F19" s="100"/>
      <x:c r="G19" s="100"/>
      <x:c r="H19" s="100"/>
    </x:row>
    <x:row r="20">
      <x:c r="A20" s="52" t="str">
        <x:v>signal_position</x:v>
      </x:c>
      <x:c r="B20" s="53" t="str">
        <x:v>日柱、近位、远位或全局位置要求。</x:v>
      </x:c>
      <x:c r="C20" s="100"/>
      <x:c r="D20" s="52" t="str">
        <x:v>action_translation</x:v>
      </x:c>
      <x:c r="E20" s="53" t="str">
        <x:v>表达是否容易转为行动、安排或责任。</x:v>
      </x:c>
      <x:c r="F20" s="100"/>
      <x:c r="G20" s="100"/>
      <x:c r="H20" s="100"/>
    </x:row>
    <x:row r="21">
      <x:c r="A21" s="52" t="str">
        <x:v>root_status</x:v>
      </x:c>
      <x:c r="B21" s="53" t="str">
        <x:v>有根、无根或由共享引擎判定。</x:v>
      </x:c>
      <x:c r="C21" s="100"/>
      <x:c r="D21" s="52" t="str">
        <x:v>confidence</x:v>
      </x:c>
      <x:c r="E21" s="53" t="str">
        <x:v>总体或字段置信度。</x:v>
      </x:c>
      <x:c r="F21" s="100"/>
      <x:c r="G21" s="100"/>
      <x:c r="H21" s="100"/>
    </x:row>
    <x:row r="22">
      <x:c r="A22" s="52" t="str">
        <x:v>strength_level</x:v>
      </x:c>
      <x:c r="B22" s="53" t="str">
        <x:v>旺、中、弱或由共享引擎判定。</x:v>
      </x:c>
      <x:c r="C22" s="100"/>
      <x:c r="D22" s="52" t="str">
        <x:v>report_status</x:v>
      </x:c>
      <x:c r="E22" s="53" t="str">
        <x:v>active、limited或stopped。</x:v>
      </x:c>
      <x:c r="F22" s="100"/>
      <x:c r="G22" s="100"/>
      <x:c r="H22" s="100"/>
    </x:row>
    <x:row r="23">
      <x:c r="A23" s="52" t="str">
        <x:v>favorability</x:v>
      </x:c>
      <x:c r="B23" s="53" t="str">
        <x:v>喜忌修正；不直接等于会不会表达。</x:v>
      </x:c>
      <x:c r="C23" s="100"/>
      <x:c r="D23" s="52" t="str">
        <x:v>dedup_log</x:v>
      </x:c>
      <x:c r="E23" s="53" t="str">
        <x:v>同源去重记录。</x:v>
      </x:c>
      <x:c r="F23" s="100"/>
      <x:c r="G23" s="100"/>
      <x:c r="H23" s="100"/>
    </x:row>
    <x:row r="24">
      <x:c r="A24" s="52" t="str">
        <x:v>transformation_status</x:v>
      </x:c>
      <x:c r="B24" s="53" t="str">
        <x:v>合化、制化或原十神性质是否有效。</x:v>
      </x:c>
      <x:c r="C24" s="100"/>
      <x:c r="D24" s="52" t="str">
        <x:v>basis_summary</x:v>
      </x:c>
      <x:c r="E24" s="53" t="str">
        <x:v>折叠命理依据。</x:v>
      </x:c>
      <x:c r="F24" s="100"/>
      <x:c r="G24" s="100"/>
      <x:c r="H24" s="100"/>
    </x:row>
    <x:row r="25">
      <x:c r="A25" s="52" t="str">
        <x:v>distance_level</x:v>
      </x:c>
      <x:c r="B25" s="53" t="str">
        <x:v>信号与日柱／关系核心的距离。</x:v>
      </x:c>
      <x:c r="C25" s="100"/>
      <x:c r="D25" s="54" t="str">
        <x:v>boundary_note</x:v>
      </x:c>
      <x:c r="E25" s="55" t="str">
        <x:v>边界和禁止延伸说明。</x:v>
      </x:c>
      <x:c r="F25" s="100"/>
      <x:c r="G25" s="100"/>
      <x:c r="H25" s="100"/>
    </x:row>
    <x:row r="26">
      <x:c r="A26" s="52" t="str">
        <x:v>priority</x:v>
      </x:c>
      <x:c r="B26" s="53" t="str">
        <x:v>同类规则冲突时的执行优先级。</x:v>
      </x:c>
      <x:c r="C26" s="100"/>
      <x:c r="D26" s="100"/>
      <x:c r="E26" s="100"/>
      <x:c r="F26" s="100"/>
      <x:c r="G26" s="100"/>
      <x:c r="H26" s="100"/>
    </x:row>
    <x:row r="27">
      <x:c r="A27" s="52" t="str">
        <x:v>score_effect</x:v>
      </x:c>
      <x:c r="B27" s="53" t="str">
        <x:v>暂定工程分值、封顶、路由或停止作用。</x:v>
      </x:c>
      <x:c r="C27" s="100"/>
      <x:c r="D27" s="100"/>
      <x:c r="E27" s="100"/>
      <x:c r="F27" s="100"/>
      <x:c r="G27" s="100"/>
      <x:c r="H27" s="100"/>
    </x:row>
    <x:row r="28">
      <x:c r="A28" s="52" t="str">
        <x:v>output_slot</x:v>
      </x:c>
      <x:c r="B28" s="53" t="str">
        <x:v>规则影响的最终字段。</x:v>
      </x:c>
      <x:c r="C28" s="100"/>
      <x:c r="D28" s="100"/>
      <x:c r="E28" s="100"/>
      <x:c r="F28" s="100"/>
      <x:c r="G28" s="100"/>
      <x:c r="H28" s="100"/>
    </x:row>
    <x:row r="29">
      <x:c r="A29" s="52" t="str">
        <x:v>internal_logic</x:v>
      </x:c>
      <x:c r="B29" s="53" t="str">
        <x:v>给知识库维护者和开发者看的专业逻辑。</x:v>
      </x:c>
      <x:c r="C29" s="100"/>
      <x:c r="D29" s="100"/>
      <x:c r="E29" s="100"/>
      <x:c r="F29" s="100"/>
      <x:c r="G29" s="100"/>
      <x:c r="H29" s="100"/>
    </x:row>
    <x:row r="30">
      <x:c r="A30" s="52" t="str">
        <x:v>user_explanation</x:v>
      </x:c>
      <x:c r="B30" s="53" t="str">
        <x:v>可改写后展示给用户的中性说明。</x:v>
      </x:c>
      <x:c r="C30" s="100"/>
      <x:c r="D30" s="100"/>
      <x:c r="E30" s="100"/>
      <x:c r="F30" s="100"/>
      <x:c r="G30" s="100"/>
      <x:c r="H30" s="100"/>
    </x:row>
    <x:row r="31">
      <x:c r="A31" s="52" t="str">
        <x:v>forbidden_inference</x:v>
      </x:c>
      <x:c r="B31" s="53" t="str">
        <x:v>该规则绝对不能继续推出的结论。</x:v>
      </x:c>
      <x:c r="C31" s="100"/>
      <x:c r="D31" s="100"/>
      <x:c r="E31" s="100"/>
      <x:c r="F31" s="100"/>
      <x:c r="G31" s="100"/>
      <x:c r="H31" s="100"/>
    </x:row>
    <x:row r="32">
      <x:c r="A32" s="52" t="str">
        <x:v>confidence_base</x:v>
      </x:c>
      <x:c r="B32" s="53" t="str">
        <x:v>规则自身基础置信度。</x:v>
      </x:c>
      <x:c r="C32" s="100"/>
      <x:c r="D32" s="100"/>
      <x:c r="E32" s="100"/>
      <x:c r="F32" s="100"/>
      <x:c r="G32" s="100"/>
      <x:c r="H32" s="100"/>
    </x:row>
    <x:row r="33">
      <x:c r="A33" s="52" t="str">
        <x:v>validation_status</x:v>
      </x:c>
      <x:c r="B33" s="53" t="str">
        <x:v>待验证、已验证、需修改或停用。</x:v>
      </x:c>
      <x:c r="C33" s="100"/>
      <x:c r="D33" s="100"/>
      <x:c r="E33" s="100"/>
      <x:c r="F33" s="100"/>
      <x:c r="G33" s="100"/>
      <x:c r="H33" s="100"/>
    </x:row>
    <x:row r="34">
      <x:c r="A34" s="52" t="str">
        <x:v>case_refs</x:v>
      </x:c>
      <x:c r="B34" s="53" t="str">
        <x:v>支持案例与反例编号。</x:v>
      </x:c>
      <x:c r="C34" s="100"/>
      <x:c r="D34" s="100"/>
      <x:c r="E34" s="100"/>
      <x:c r="F34" s="100"/>
      <x:c r="G34" s="100"/>
      <x:c r="H34" s="100"/>
    </x:row>
    <x:row r="35">
      <x:c r="A35" s="52" t="str">
        <x:v>notes</x:v>
      </x:c>
      <x:c r="B35" s="53" t="str">
        <x:v>source_id、provisional、通道代码等工程信息。</x:v>
      </x:c>
      <x:c r="C35" s="100"/>
      <x:c r="D35" s="100"/>
      <x:c r="E35" s="100"/>
      <x:c r="F35" s="100"/>
      <x:c r="G35" s="100"/>
      <x:c r="H35" s="100"/>
    </x:row>
    <x:row r="36">
      <x:c r="A36" s="54" t="str">
        <x:v>version</x:v>
      </x:c>
      <x:c r="B36" s="55" t="str">
        <x:v>规则版本。</x:v>
      </x:c>
      <x:c r="C36" s="100"/>
      <x:c r="D36" s="100"/>
      <x:c r="E36" s="100"/>
      <x:c r="F36" s="100"/>
      <x:c r="G36" s="100"/>
      <x:c r="H36" s="100"/>
    </x:row>
    <x:row r="37">
      <x:c r="A37" s="100"/>
      <x:c r="B37" s="100"/>
      <x:c r="C37" s="100"/>
      <x:c r="D37" s="100"/>
      <x:c r="E37" s="100"/>
      <x:c r="F37" s="100"/>
      <x:c r="G37" s="100"/>
      <x:c r="H37" s="100"/>
    </x:row>
    <x:row r="38" ht="22" customHeight="1">
      <x:c r="A38" s="311" t="str">
        <x:v>三、代码词典</x:v>
      </x:c>
      <x:c r="B38" s="311"/>
      <x:c r="C38" s="311"/>
      <x:c r="D38" s="311"/>
      <x:c r="E38" s="311"/>
      <x:c r="F38" s="311"/>
      <x:c r="G38" s="311"/>
      <x:c r="H38" s="311"/>
    </x:row>
    <x:row r="39">
      <x:c r="A39" s="26" t="str">
        <x:v>代码</x:v>
      </x:c>
      <x:c r="B39" s="91" t="str">
        <x:v>名称</x:v>
      </x:c>
      <x:c r="C39" s="91" t="str">
        <x:v>对应内容</x:v>
      </x:c>
      <x:c r="D39" s="27" t="str">
        <x:v>类别</x:v>
      </x:c>
      <x:c r="E39" s="100"/>
      <x:c r="F39" s="100"/>
      <x:c r="G39" s="100"/>
      <x:c r="H39" s="100"/>
    </x:row>
    <x:row r="40">
      <x:c r="A40" s="50" t="str">
        <x:v>X01</x:v>
      </x:c>
      <x:c r="B40" s="102" t="str">
        <x:v>平等陈述</x:v>
      </x:c>
      <x:c r="C40" s="102" t="str">
        <x:v>比肩</x:v>
      </x:c>
      <x:c r="D40" s="51" t="str">
        <x:v>表达通道</x:v>
      </x:c>
      <x:c r="E40" s="100"/>
      <x:c r="F40" s="100"/>
      <x:c r="G40" s="100"/>
      <x:c r="H40" s="100"/>
    </x:row>
    <x:row r="41">
      <x:c r="A41" s="52" t="str">
        <x:v>X02</x:v>
      </x:c>
      <x:c r="B41" s="103" t="str">
        <x:v>即时互动</x:v>
      </x:c>
      <x:c r="C41" s="103" t="str">
        <x:v>劫财</x:v>
      </x:c>
      <x:c r="D41" s="53" t="str">
        <x:v>表达通道</x:v>
      </x:c>
      <x:c r="E41" s="100"/>
      <x:c r="F41" s="100"/>
      <x:c r="G41" s="100"/>
      <x:c r="H41" s="100"/>
    </x:row>
    <x:row r="42">
      <x:c r="A42" s="52" t="str">
        <x:v>X03</x:v>
      </x:c>
      <x:c r="B42" s="103" t="str">
        <x:v>温和分享</x:v>
      </x:c>
      <x:c r="C42" s="103" t="str">
        <x:v>食神</x:v>
      </x:c>
      <x:c r="D42" s="53" t="str">
        <x:v>表达通道</x:v>
      </x:c>
      <x:c r="E42" s="100"/>
      <x:c r="F42" s="100"/>
      <x:c r="G42" s="100"/>
      <x:c r="H42" s="100"/>
    </x:row>
    <x:row r="43">
      <x:c r="A43" s="52" t="str">
        <x:v>X04</x:v>
      </x:c>
      <x:c r="B43" s="103" t="str">
        <x:v>分析澄清</x:v>
      </x:c>
      <x:c r="C43" s="103" t="str">
        <x:v>伤官</x:v>
      </x:c>
      <x:c r="D43" s="53" t="str">
        <x:v>表达通道</x:v>
      </x:c>
      <x:c r="E43" s="100"/>
      <x:c r="F43" s="100"/>
      <x:c r="G43" s="100"/>
      <x:c r="H43" s="100"/>
    </x:row>
    <x:row r="44">
      <x:c r="A44" s="52" t="str">
        <x:v>X05</x:v>
      </x:c>
      <x:c r="B44" s="103" t="str">
        <x:v>实际落实</x:v>
      </x:c>
      <x:c r="C44" s="103" t="str">
        <x:v>正财</x:v>
      </x:c>
      <x:c r="D44" s="53" t="str">
        <x:v>表达通道</x:v>
      </x:c>
      <x:c r="E44" s="100"/>
      <x:c r="F44" s="100"/>
      <x:c r="G44" s="100"/>
      <x:c r="H44" s="100"/>
    </x:row>
    <x:row r="45">
      <x:c r="A45" s="52" t="str">
        <x:v>X06</x:v>
      </x:c>
      <x:c r="B45" s="103" t="str">
        <x:v>氛围回应</x:v>
      </x:c>
      <x:c r="C45" s="103" t="str">
        <x:v>偏财</x:v>
      </x:c>
      <x:c r="D45" s="53" t="str">
        <x:v>表达通道</x:v>
      </x:c>
      <x:c r="E45" s="100"/>
      <x:c r="F45" s="100"/>
      <x:c r="G45" s="100"/>
      <x:c r="H45" s="100"/>
    </x:row>
    <x:row r="46">
      <x:c r="A46" s="52" t="str">
        <x:v>X07</x:v>
      </x:c>
      <x:c r="B46" s="103" t="str">
        <x:v>责任表态</x:v>
      </x:c>
      <x:c r="C46" s="103" t="str">
        <x:v>正官</x:v>
      </x:c>
      <x:c r="D46" s="53" t="str">
        <x:v>表达通道</x:v>
      </x:c>
      <x:c r="E46" s="100"/>
      <x:c r="F46" s="100"/>
      <x:c r="G46" s="100"/>
      <x:c r="H46" s="100"/>
    </x:row>
    <x:row r="47">
      <x:c r="A47" s="52" t="str">
        <x:v>X08</x:v>
      </x:c>
      <x:c r="B47" s="103" t="str">
        <x:v>行动表态</x:v>
      </x:c>
      <x:c r="C47" s="103" t="str">
        <x:v>七杀</x:v>
      </x:c>
      <x:c r="D47" s="53" t="str">
        <x:v>表达通道</x:v>
      </x:c>
      <x:c r="E47" s="100"/>
      <x:c r="F47" s="100"/>
      <x:c r="G47" s="100"/>
      <x:c r="H47" s="100"/>
    </x:row>
    <x:row r="48">
      <x:c r="A48" s="52" t="str">
        <x:v>X09</x:v>
      </x:c>
      <x:c r="B48" s="103" t="str">
        <x:v>倾听承接</x:v>
      </x:c>
      <x:c r="C48" s="103" t="str">
        <x:v>正印</x:v>
      </x:c>
      <x:c r="D48" s="53" t="str">
        <x:v>表达通道</x:v>
      </x:c>
      <x:c r="E48" s="100"/>
      <x:c r="F48" s="100"/>
      <x:c r="G48" s="100"/>
      <x:c r="H48" s="100"/>
    </x:row>
    <x:row r="49">
      <x:c r="A49" s="52" t="str">
        <x:v>X10</x:v>
      </x:c>
      <x:c r="B49" s="103" t="str">
        <x:v>深度内化</x:v>
      </x:c>
      <x:c r="C49" s="103" t="str">
        <x:v>偏印</x:v>
      </x:c>
      <x:c r="D49" s="53" t="str">
        <x:v>表达通道</x:v>
      </x:c>
      <x:c r="E49" s="100"/>
      <x:c r="F49" s="100"/>
      <x:c r="G49" s="100"/>
      <x:c r="H49" s="100"/>
    </x:row>
    <x:row r="50">
      <x:c r="A50" s="52" t="str">
        <x:v>XQ01</x:v>
      </x:c>
      <x:c r="B50" s="103" t="str">
        <x:v>表达可见度</x:v>
      </x:c>
      <x:c r="C50" s="103" t="str">
        <x:v>expression_visibility</x:v>
      </x:c>
      <x:c r="D50" s="53" t="str">
        <x:v>过程维度</x:v>
      </x:c>
      <x:c r="E50" s="100"/>
      <x:c r="F50" s="100"/>
      <x:c r="G50" s="100"/>
      <x:c r="H50" s="100"/>
    </x:row>
    <x:row r="51">
      <x:c r="A51" s="52" t="str">
        <x:v>XQ02</x:v>
      </x:c>
      <x:c r="B51" s="103" t="str">
        <x:v>语言显性度</x:v>
      </x:c>
      <x:c r="C51" s="103" t="str">
        <x:v>verbal_explicitness</x:v>
      </x:c>
      <x:c r="D51" s="53" t="str">
        <x:v>过程维度</x:v>
      </x:c>
      <x:c r="E51" s="100"/>
      <x:c r="F51" s="100"/>
      <x:c r="G51" s="100"/>
      <x:c r="H51" s="100"/>
    </x:row>
    <x:row r="52">
      <x:c r="A52" s="52" t="str">
        <x:v>XQ03</x:v>
      </x:c>
      <x:c r="B52" s="103" t="str">
        <x:v>情绪处理时序</x:v>
      </x:c>
      <x:c r="C52" s="103" t="str">
        <x:v>expression_timing</x:v>
      </x:c>
      <x:c r="D52" s="53" t="str">
        <x:v>过程维度</x:v>
      </x:c>
      <x:c r="E52" s="100"/>
      <x:c r="F52" s="100"/>
      <x:c r="G52" s="100"/>
      <x:c r="H52" s="100"/>
    </x:row>
    <x:row r="53">
      <x:c r="A53" s="52" t="str">
        <x:v>XQ04</x:v>
      </x:c>
      <x:c r="B53" s="103" t="str">
        <x:v>需求明确度</x:v>
      </x:c>
      <x:c r="C53" s="103" t="str">
        <x:v>need_explicitness</x:v>
      </x:c>
      <x:c r="D53" s="53" t="str">
        <x:v>过程维度</x:v>
      </x:c>
      <x:c r="E53" s="100"/>
      <x:c r="F53" s="100"/>
      <x:c r="G53" s="100"/>
      <x:c r="H53" s="100"/>
    </x:row>
    <x:row r="54">
      <x:c r="A54" s="52" t="str">
        <x:v>XQ05</x:v>
      </x:c>
      <x:c r="B54" s="103" t="str">
        <x:v>观点与边界陈述</x:v>
      </x:c>
      <x:c r="C54" s="103" t="str">
        <x:v>position_expression</x:v>
      </x:c>
      <x:c r="D54" s="53" t="str">
        <x:v>过程维度</x:v>
      </x:c>
      <x:c r="E54" s="100"/>
      <x:c r="F54" s="100"/>
      <x:c r="G54" s="100"/>
      <x:c r="H54" s="100"/>
    </x:row>
    <x:row r="55">
      <x:c r="A55" s="52" t="str">
        <x:v>XQ06</x:v>
      </x:c>
      <x:c r="B55" s="103" t="str">
        <x:v>沟通启动方式</x:v>
      </x:c>
      <x:c r="C55" s="103" t="str">
        <x:v>communication_initiation</x:v>
      </x:c>
      <x:c r="D55" s="53" t="str">
        <x:v>过程维度</x:v>
      </x:c>
      <x:c r="E55" s="100"/>
      <x:c r="F55" s="100"/>
      <x:c r="G55" s="100"/>
      <x:c r="H55" s="100"/>
    </x:row>
    <x:row r="56">
      <x:c r="A56" s="52" t="str">
        <x:v>XQ07</x:v>
      </x:c>
      <x:c r="B56" s="103" t="str">
        <x:v>回应与接收方式</x:v>
      </x:c>
      <x:c r="C56" s="103" t="str">
        <x:v>response_style</x:v>
      </x:c>
      <x:c r="D56" s="53" t="str">
        <x:v>过程维度</x:v>
      </x:c>
      <x:c r="E56" s="100"/>
      <x:c r="F56" s="100"/>
      <x:c r="G56" s="100"/>
      <x:c r="H56" s="100"/>
    </x:row>
    <x:row r="57">
      <x:c r="A57" s="52" t="str">
        <x:v>XQ08</x:v>
      </x:c>
      <x:c r="B57" s="103" t="str">
        <x:v>行动转译程度</x:v>
      </x:c>
      <x:c r="C57" s="103" t="str">
        <x:v>action_translation</x:v>
      </x:c>
      <x:c r="D57" s="53" t="str">
        <x:v>过程维度</x:v>
      </x:c>
      <x:c r="E57" s="100"/>
      <x:c r="F57" s="100"/>
      <x:c r="G57" s="100"/>
      <x:c r="H57" s="100"/>
    </x:row>
    <x:row r="58">
      <x:c r="A58" s="52" t="str">
        <x:v>XP01</x:v>
      </x:c>
      <x:c r="B58" s="103" t="str">
        <x:v>直接说清型</x:v>
      </x:c>
      <x:c r="C58" s="103" t="str">
        <x:v>感受到问题或需要 → 较早组织语言 → 说明观点、感受或请求 → 根据回应继续澄清</x:v>
      </x:c>
      <x:c r="D58" s="53" t="str">
        <x:v>表达路径</x:v>
      </x:c>
      <x:c r="E58" s="100"/>
      <x:c r="F58" s="100"/>
      <x:c r="G58" s="100"/>
      <x:c r="H58" s="100"/>
    </x:row>
    <x:row r="59">
      <x:c r="A59" s="52" t="str">
        <x:v>XP02</x:v>
      </x:c>
      <x:c r="B59" s="103" t="str">
        <x:v>温和铺垫型</x:v>
      </x:c>
      <x:c r="C59" s="103" t="str">
        <x:v>先创造安全或轻松氛围 → 通过日常分享和铺垫表达 → 再逐步进入核心需要</x:v>
      </x:c>
      <x:c r="D59" s="53" t="str">
        <x:v>表达路径</x:v>
      </x:c>
      <x:c r="E59" s="100"/>
      <x:c r="F59" s="100"/>
      <x:c r="G59" s="100"/>
      <x:c r="H59" s="100"/>
    </x:row>
    <x:row r="60">
      <x:c r="A60" s="52" t="str">
        <x:v>XP03</x:v>
      </x:c>
      <x:c r="B60" s="103" t="str">
        <x:v>先整理后说型</x:v>
      </x:c>
      <x:c r="C60" s="103" t="str">
        <x:v>先内部辨认感受与原因 → 确认安全和立场 → 选择合适语言外化</x:v>
      </x:c>
      <x:c r="D60" s="53" t="str">
        <x:v>表达路径</x:v>
      </x:c>
      <x:c r="E60" s="100"/>
      <x:c r="F60" s="100"/>
      <x:c r="G60" s="100"/>
      <x:c r="H60" s="100"/>
    </x:row>
    <x:row r="61">
      <x:c r="A61" s="52" t="str">
        <x:v>XP04</x:v>
      </x:c>
      <x:c r="B61" s="103" t="str">
        <x:v>先立场后说明型</x:v>
      </x:c>
      <x:c r="C61" s="103" t="str">
        <x:v>先确认自己接受什么、不接受什么 → 再解释原因和具体需要 → 进入协商</x:v>
      </x:c>
      <x:c r="D61" s="53" t="str">
        <x:v>表达路径</x:v>
      </x:c>
      <x:c r="E61" s="100"/>
      <x:c r="F61" s="100"/>
      <x:c r="G61" s="100"/>
      <x:c r="H61" s="100"/>
    </x:row>
    <x:row r="62">
      <x:c r="A62" s="52" t="str">
        <x:v>XP05</x:v>
      </x:c>
      <x:c r="B62" s="103" t="str">
        <x:v>先倾听后回应型</x:v>
      </x:c>
      <x:c r="C62" s="103" t="str">
        <x:v>先让对方说完并理解其重点 → 内部整理 → 再用语言、行动或安排回应</x:v>
      </x:c>
      <x:c r="D62" s="53" t="str">
        <x:v>表达路径</x:v>
      </x:c>
      <x:c r="E62" s="100"/>
      <x:c r="F62" s="100"/>
      <x:c r="G62" s="100"/>
      <x:c r="H62" s="100"/>
    </x:row>
    <x:row r="63">
      <x:c r="A63" s="52" t="str">
        <x:v>XP06</x:v>
      </x:c>
      <x:c r="B63" s="103" t="str">
        <x:v>先行动后解释型</x:v>
      </x:c>
      <x:c r="C63" s="103" t="str">
        <x:v>先处理现实问题、做出安排或提供支持 → 事情稳定后再说明态度和感受</x:v>
      </x:c>
      <x:c r="D63" s="53" t="str">
        <x:v>表达路径</x:v>
      </x:c>
      <x:c r="E63" s="100"/>
      <x:c r="F63" s="100"/>
      <x:c r="G63" s="100"/>
      <x:c r="H63" s="100"/>
    </x:row>
    <x:row r="64">
      <x:c r="A64" s="52" t="str">
        <x:v>XP07</x:v>
      </x:c>
      <x:c r="B64" s="103" t="str">
        <x:v>先表达后落实型</x:v>
      </x:c>
      <x:c r="C64" s="103" t="str">
        <x:v>先说清感受、需要或计划 → 形成具体安排 → 通过持续行动或承担完成验证</x:v>
      </x:c>
      <x:c r="D64" s="53" t="str">
        <x:v>表达路径</x:v>
      </x:c>
      <x:c r="E64" s="100"/>
      <x:c r="F64" s="100"/>
      <x:c r="G64" s="100"/>
      <x:c r="H64" s="100"/>
    </x:row>
    <x:row r="65">
      <x:c r="A65" s="52" t="str">
        <x:v>XP08</x:v>
      </x:c>
      <x:c r="B65" s="103" t="str">
        <x:v>责任框架表达型</x:v>
      </x:c>
      <x:c r="C65" s="103" t="str">
        <x:v>先确认事情需要怎样负责或推进 → 明确规则、分工和下一步 → 再补充感受</x:v>
      </x:c>
      <x:c r="D65" s="53" t="str">
        <x:v>表达路径</x:v>
      </x:c>
      <x:c r="E65" s="100"/>
      <x:c r="F65" s="100"/>
      <x:c r="G65" s="100"/>
      <x:c r="H65" s="100"/>
    </x:row>
    <x:row r="66">
      <x:c r="A66" s="52" t="str">
        <x:v>XP09</x:v>
      </x:c>
      <x:c r="B66" s="103" t="str">
        <x:v>共同体验表达型</x:v>
      </x:c>
      <x:c r="C66" s="103" t="str">
        <x:v>通过邀约、一起做事或共同体验建立联结 → 在互动中自然表达感受和需要</x:v>
      </x:c>
      <x:c r="D66" s="53" t="str">
        <x:v>表达路径</x:v>
      </x:c>
      <x:c r="E66" s="100"/>
      <x:c r="F66" s="100"/>
      <x:c r="G66" s="100"/>
      <x:c r="H66" s="100"/>
    </x:row>
    <x:row r="67">
      <x:c r="A67" s="52" t="str">
        <x:v>XP10</x:v>
      </x:c>
      <x:c r="B67" s="103" t="str">
        <x:v>深度选择表达型</x:v>
      </x:c>
      <x:c r="C67" s="103" t="str">
        <x:v>先观察与内部整理 → 只在足够信任或话题有深度时开放 → 表达较少但内容集中</x:v>
      </x:c>
      <x:c r="D67" s="53" t="str">
        <x:v>表达路径</x:v>
      </x:c>
      <x:c r="E67" s="100"/>
      <x:c r="F67" s="100"/>
      <x:c r="G67" s="100"/>
      <x:c r="H67" s="100"/>
    </x:row>
    <x:row r="68">
      <x:c r="A68" s="52" t="str">
        <x:v>XP11</x:v>
      </x:c>
      <x:c r="B68" s="103" t="str">
        <x:v>双通道往返型</x:v>
      </x:c>
      <x:c r="C68" s="103" t="str">
        <x:v>第一通道发出信息 → 第二通道验证或落实 → 根据反馈回到第一通道继续校准</x:v>
      </x:c>
      <x:c r="D68" s="53" t="str">
        <x:v>表达路径</x:v>
      </x:c>
      <x:c r="E68" s="100"/>
      <x:c r="F68" s="100"/>
      <x:c r="G68" s="100"/>
      <x:c r="H68" s="100"/>
    </x:row>
    <x:row r="69">
      <x:c r="A69" s="54" t="str">
        <x:v>XP12</x:v>
      </x:c>
      <x:c r="B69" s="104" t="str">
        <x:v>情境切换候选</x:v>
      </x:c>
      <x:c r="C69" s="104" t="str">
        <x:v>日常议题使用A通道 → 现实任务使用B通道 → 情绪或压力增加时可能再切换</x:v>
      </x:c>
      <x:c r="D69" s="55" t="str">
        <x:v>表达路径</x:v>
      </x:c>
      <x:c r="E69" s="100"/>
      <x:c r="F69" s="100"/>
      <x:c r="G69" s="100"/>
      <x:c r="H69" s="100"/>
    </x:row>
    <x:row r="70">
      <x:c r="A70" s="100"/>
      <x:c r="B70" s="100"/>
      <x:c r="C70" s="100"/>
      <x:c r="D70" s="100"/>
      <x:c r="E70" s="100"/>
      <x:c r="F70" s="100"/>
      <x:c r="G70" s="100"/>
      <x:c r="H70" s="100"/>
    </x:row>
    <x:row r="71">
      <x:c r="A71" s="100"/>
      <x:c r="B71" s="100"/>
      <x:c r="C71" s="100"/>
      <x:c r="D71" s="100"/>
      <x:c r="E71" s="100"/>
      <x:c r="F71" s="100"/>
      <x:c r="G71" s="100"/>
      <x:c r="H71" s="100"/>
    </x:row>
    <x:row r="72">
      <x:c r="A72" s="100"/>
      <x:c r="B72" s="100"/>
      <x:c r="C72" s="100"/>
      <x:c r="D72" s="100"/>
      <x:c r="E72" s="100"/>
      <x:c r="F72" s="100"/>
      <x:c r="G72" s="100"/>
      <x:c r="H72" s="100"/>
    </x:row>
    <x:row r="73">
      <x:c r="A73" s="100"/>
      <x:c r="B73" s="100"/>
      <x:c r="C73" s="100"/>
      <x:c r="D73" s="100"/>
      <x:c r="E73" s="100"/>
      <x:c r="F73" s="100"/>
      <x:c r="G73" s="100"/>
      <x:c r="H73" s="100"/>
    </x:row>
    <x:row r="74">
      <x:c r="A74" s="100"/>
      <x:c r="B74" s="100"/>
      <x:c r="C74" s="100"/>
      <x:c r="D74" s="100"/>
      <x:c r="E74" s="100"/>
      <x:c r="F74" s="100"/>
      <x:c r="G74" s="100"/>
      <x:c r="H74" s="100"/>
    </x:row>
    <x:row r="75">
      <x:c r="A75" s="100"/>
      <x:c r="B75" s="100"/>
      <x:c r="C75" s="100"/>
      <x:c r="D75" s="100"/>
      <x:c r="E75" s="100"/>
      <x:c r="F75" s="100"/>
      <x:c r="G75" s="100"/>
      <x:c r="H75" s="100"/>
    </x:row>
    <x:row r="76">
      <x:c r="A76" s="100"/>
      <x:c r="B76" s="100"/>
      <x:c r="C76" s="100"/>
      <x:c r="D76" s="100"/>
      <x:c r="E76" s="100"/>
      <x:c r="F76" s="100"/>
      <x:c r="G76" s="100"/>
      <x:c r="H76" s="100"/>
    </x:row>
    <x:row r="77">
      <x:c r="A77" s="100"/>
      <x:c r="B77" s="100"/>
      <x:c r="C77" s="100"/>
      <x:c r="D77" s="100"/>
      <x:c r="E77" s="100"/>
      <x:c r="F77" s="100"/>
      <x:c r="G77" s="100"/>
      <x:c r="H77" s="100"/>
    </x:row>
    <x:row r="78">
      <x:c r="A78" s="100"/>
      <x:c r="B78" s="100"/>
      <x:c r="C78" s="100"/>
      <x:c r="D78" s="100"/>
      <x:c r="E78" s="100"/>
      <x:c r="F78" s="100"/>
      <x:c r="G78" s="100"/>
      <x:c r="H78" s="100"/>
    </x:row>
    <x:row r="79">
      <x:c r="A79" s="100"/>
      <x:c r="B79" s="100"/>
      <x:c r="C79" s="100"/>
      <x:c r="D79" s="100"/>
      <x:c r="E79" s="100"/>
      <x:c r="F79" s="100"/>
      <x:c r="G79" s="100"/>
      <x:c r="H79" s="100"/>
    </x:row>
    <x:row r="80">
      <x:c r="A80" s="100"/>
      <x:c r="B80" s="100"/>
      <x:c r="C80" s="100"/>
      <x:c r="D80" s="100"/>
      <x:c r="E80" s="100"/>
      <x:c r="F80" s="100"/>
      <x:c r="G80" s="100"/>
      <x:c r="H80" s="100"/>
    </x:row>
    <x:row r="81">
      <x:c r="A81" s="100"/>
      <x:c r="B81" s="100"/>
      <x:c r="C81" s="100"/>
      <x:c r="D81" s="100"/>
      <x:c r="E81" s="100"/>
      <x:c r="F81" s="100"/>
      <x:c r="G81" s="100"/>
      <x:c r="H81" s="100"/>
    </x:row>
    <x:row r="82">
      <x:c r="A82" s="100"/>
      <x:c r="B82" s="100"/>
      <x:c r="C82" s="100"/>
      <x:c r="D82" s="100"/>
      <x:c r="E82" s="100"/>
      <x:c r="F82" s="100"/>
      <x:c r="G82" s="100"/>
      <x:c r="H82" s="100"/>
    </x:row>
    <x:row r="83">
      <x:c r="A83" s="100"/>
      <x:c r="B83" s="100"/>
      <x:c r="C83" s="100"/>
      <x:c r="D83" s="100"/>
      <x:c r="E83" s="100"/>
      <x:c r="F83" s="100"/>
      <x:c r="G83" s="100"/>
      <x:c r="H83" s="100"/>
    </x:row>
    <x:row r="84">
      <x:c r="A84" s="100"/>
      <x:c r="B84" s="100"/>
      <x:c r="C84" s="100"/>
      <x:c r="D84" s="100"/>
      <x:c r="E84" s="100"/>
      <x:c r="F84" s="100"/>
      <x:c r="G84" s="100"/>
      <x:c r="H84" s="100"/>
    </x:row>
    <x:row r="85">
      <x:c r="A85" s="100"/>
      <x:c r="B85" s="100"/>
      <x:c r="C85" s="100"/>
      <x:c r="D85" s="100"/>
      <x:c r="E85" s="100"/>
      <x:c r="F85" s="100"/>
      <x:c r="G85" s="100"/>
      <x:c r="H85" s="100"/>
    </x:row>
    <x:row r="86">
      <x:c r="A86" s="100"/>
      <x:c r="B86" s="100"/>
      <x:c r="C86" s="100"/>
      <x:c r="D86" s="100"/>
      <x:c r="E86" s="100"/>
      <x:c r="F86" s="100"/>
      <x:c r="G86" s="100"/>
      <x:c r="H86" s="100"/>
    </x:row>
    <x:row r="87">
      <x:c r="A87" s="100"/>
      <x:c r="B87" s="100"/>
      <x:c r="C87" s="100"/>
      <x:c r="D87" s="100"/>
      <x:c r="E87" s="100"/>
      <x:c r="F87" s="100"/>
      <x:c r="G87" s="100"/>
      <x:c r="H87" s="100"/>
    </x:row>
    <x:row r="88">
      <x:c r="A88" s="100"/>
      <x:c r="B88" s="100"/>
      <x:c r="C88" s="100"/>
      <x:c r="D88" s="100"/>
      <x:c r="E88" s="100"/>
      <x:c r="F88" s="100"/>
      <x:c r="G88" s="100"/>
      <x:c r="H88" s="100"/>
    </x:row>
    <x:row r="89">
      <x:c r="A89" s="100"/>
      <x:c r="B89" s="100"/>
      <x:c r="C89" s="100"/>
      <x:c r="D89" s="100"/>
      <x:c r="E89" s="100"/>
      <x:c r="F89" s="100"/>
      <x:c r="G89" s="100"/>
      <x:c r="H89" s="100"/>
    </x:row>
    <x:row r="90">
      <x:c r="A90" s="100"/>
      <x:c r="B90" s="100"/>
      <x:c r="C90" s="100"/>
      <x:c r="D90" s="100"/>
      <x:c r="E90" s="100"/>
      <x:c r="F90" s="100"/>
      <x:c r="G90" s="100"/>
      <x:c r="H90" s="100"/>
    </x:row>
    <x:row r="91">
      <x:c r="A91" s="100"/>
      <x:c r="B91" s="100"/>
      <x:c r="C91" s="100"/>
      <x:c r="D91" s="100"/>
      <x:c r="E91" s="100"/>
      <x:c r="F91" s="100"/>
      <x:c r="G91" s="100"/>
      <x:c r="H91" s="100"/>
    </x:row>
    <x:row r="92">
      <x:c r="A92" s="100"/>
      <x:c r="B92" s="100"/>
      <x:c r="C92" s="100"/>
      <x:c r="D92" s="100"/>
      <x:c r="E92" s="100"/>
      <x:c r="F92" s="100"/>
      <x:c r="G92" s="100"/>
      <x:c r="H92" s="100"/>
    </x:row>
    <x:row r="93">
      <x:c r="A93" s="100"/>
      <x:c r="B93" s="100"/>
      <x:c r="C93" s="100"/>
      <x:c r="D93" s="100"/>
      <x:c r="E93" s="100"/>
      <x:c r="F93" s="100"/>
      <x:c r="G93" s="100"/>
      <x:c r="H93" s="100"/>
    </x:row>
    <x:row r="94">
      <x:c r="A94" s="100"/>
      <x:c r="B94" s="100"/>
      <x:c r="C94" s="100"/>
      <x:c r="D94" s="100"/>
      <x:c r="E94" s="100"/>
      <x:c r="F94" s="100"/>
      <x:c r="G94" s="100"/>
      <x:c r="H94" s="100"/>
    </x:row>
    <x:row r="95">
      <x:c r="A95" s="100"/>
      <x:c r="B95" s="100"/>
      <x:c r="C95" s="100"/>
      <x:c r="D95" s="100"/>
      <x:c r="E95" s="100"/>
      <x:c r="F95" s="100"/>
      <x:c r="G95" s="100"/>
      <x:c r="H95" s="100"/>
    </x:row>
    <x:row r="96">
      <x:c r="A96" s="100"/>
      <x:c r="B96" s="100"/>
      <x:c r="C96" s="100"/>
      <x:c r="D96" s="100"/>
      <x:c r="E96" s="100"/>
      <x:c r="F96" s="100"/>
      <x:c r="G96" s="100"/>
      <x:c r="H96" s="100"/>
    </x:row>
    <x:row r="97">
      <x:c r="A97" s="100"/>
      <x:c r="B97" s="100"/>
      <x:c r="C97" s="100"/>
      <x:c r="D97" s="100"/>
      <x:c r="E97" s="100"/>
      <x:c r="F97" s="100"/>
      <x:c r="G97" s="100"/>
      <x:c r="H97" s="100"/>
    </x:row>
    <x:row r="98">
      <x:c r="A98" s="100"/>
      <x:c r="B98" s="100"/>
      <x:c r="C98" s="100"/>
      <x:c r="D98" s="100"/>
      <x:c r="E98" s="100"/>
      <x:c r="F98" s="100"/>
      <x:c r="G98" s="100"/>
      <x:c r="H98" s="100"/>
    </x:row>
    <x:row r="99">
      <x:c r="A99" s="100"/>
      <x:c r="B99" s="100"/>
      <x:c r="C99" s="100"/>
      <x:c r="D99" s="100"/>
      <x:c r="E99" s="100"/>
      <x:c r="F99" s="100"/>
      <x:c r="G99" s="100"/>
      <x:c r="H99" s="100"/>
    </x:row>
    <x:row r="100">
      <x:c r="A100" s="100"/>
      <x:c r="B100" s="100"/>
      <x:c r="C100" s="100"/>
      <x:c r="D100" s="100"/>
      <x:c r="E100" s="100"/>
      <x:c r="F100" s="100"/>
      <x:c r="G100" s="100"/>
      <x:c r="H100" s="100"/>
    </x:row>
  </x:sheetData>
  <x:mergeCells>
    <x:mergeCell ref="A1:H1"/>
    <x:mergeCell ref="A2:H2"/>
    <x:mergeCell ref="A4:H4"/>
    <x:mergeCell ref="D4:H4"/>
    <x:mergeCell ref="A38:H38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56" hidden="0" customWidth="1"/>
    <x:col min="4" max="4" width="18" hidden="0" customWidth="1"/>
    <x:col min="5" max="5" width="30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251" t="str">
        <x:v>版本、规则统计与发布检查</x:v>
      </x:c>
      <x:c r="B1" s="251"/>
      <x:c r="C1" s="251"/>
      <x:c r="D1" s="251"/>
      <x:c r="E1" s="251"/>
      <x:c r="F1" s="251"/>
      <x:c r="G1" s="251"/>
      <x:c r="H1" s="251"/>
    </x:row>
    <x:row r="2" ht="28" customHeight="1">
      <x:c r="A2" s="13" t="str">
        <x:v>所有统计均引用06_原子规则和09_案例验证；当前V0.3处于待案例校准状态。</x:v>
      </x:c>
      <x:c r="B2" s="13"/>
      <x:c r="C2" s="13"/>
      <x:c r="D2" s="13"/>
      <x:c r="E2" s="13"/>
      <x:c r="F2" s="13"/>
      <x:c r="G2" s="13"/>
      <x:c r="H2" s="13"/>
    </x:row>
    <x:row r="3">
      <x:c r="A3" s="100"/>
      <x:c r="B3" s="100"/>
      <x:c r="C3" s="100"/>
      <x:c r="D3" s="100"/>
      <x:c r="E3" s="100"/>
      <x:c r="F3" s="100"/>
      <x:c r="G3" s="100"/>
      <x:c r="H3" s="100"/>
    </x:row>
    <x:row r="4" ht="22" customHeight="1">
      <x:c r="A4" s="26" t="str">
        <x:v>指标</x:v>
      </x:c>
      <x:c r="B4" s="27" t="str">
        <x:v>数值</x:v>
      </x:c>
      <x:c r="C4" s="100"/>
      <x:c r="D4" s="252" t="str">
        <x:v>模块规则数量</x:v>
      </x:c>
      <x:c r="E4" s="252"/>
      <x:c r="F4" s="252"/>
      <x:c r="G4" s="252"/>
      <x:c r="H4" s="252"/>
    </x:row>
    <x:row r="5">
      <x:c r="A5" s="50" t="str">
        <x:v>版本</x:v>
      </x:c>
      <x:c r="B5" s="51" t="str">
        <x:v>0.3</x:v>
      </x:c>
      <x:c r="C5" s="100"/>
      <x:c r="D5" s="26" t="str">
        <x:v>模块</x:v>
      </x:c>
      <x:c r="E5" s="27" t="str">
        <x:v>数量</x:v>
      </x:c>
      <x:c r="F5" s="100"/>
      <x:c r="G5" s="100"/>
      <x:c r="H5" s="100"/>
    </x:row>
    <x:row r="6">
      <x:c r="A6" s="52" t="str">
        <x:v>发布日期</x:v>
      </x:c>
      <x:c r="B6" s="53" t="str">
        <x:v>2026-08-26</x:v>
      </x:c>
      <x:c r="C6" s="100"/>
      <x:c r="D6" s="50" t="str">
        <x:v>EXPR-定义边界</x:v>
      </x:c>
      <x:c r="E6" s="51" t="n">
        <x:f>COUNTIF('06_原子规则'!$D$5:$D$224,D6)</x:f>
        <x:v>20</x:v>
      </x:c>
      <x:c r="F6" s="100"/>
      <x:c r="G6" s="100"/>
      <x:c r="H6" s="100"/>
    </x:row>
    <x:row r="7">
      <x:c r="A7" s="52" t="str">
        <x:v>规则总数</x:v>
      </x:c>
      <x:c r="B7" s="53" t="n">
        <x:f>COUNTA('06_原子规则'!$A$5:$A$224)</x:f>
        <x:v>220</x:v>
      </x:c>
      <x:c r="C7" s="100"/>
      <x:c r="D7" s="52" t="str">
        <x:v>EXPR-十神通道</x:v>
      </x:c>
      <x:c r="E7" s="53" t="n">
        <x:f>COUNTIF('06_原子规则'!$D$5:$D$224,D7)</x:f>
        <x:v>60</x:v>
      </x:c>
      <x:c r="F7" s="100"/>
      <x:c r="G7" s="100"/>
      <x:c r="H7" s="100"/>
    </x:row>
    <x:row r="8">
      <x:c r="A8" s="52" t="str">
        <x:v>待验证</x:v>
      </x:c>
      <x:c r="B8" s="53" t="n">
        <x:f>COUNTIF('06_原子规则'!$AB$5:$AB$224,"待验证")</x:f>
        <x:v>220</x:v>
      </x:c>
      <x:c r="C8" s="100"/>
      <x:c r="D8" s="52" t="str">
        <x:v>EXPR-过程维度</x:v>
      </x:c>
      <x:c r="E8" s="53" t="n">
        <x:f>COUNTIF('06_原子规则'!$D$5:$D$224,D8)</x:f>
        <x:v>32</x:v>
      </x:c>
      <x:c r="F8" s="100"/>
      <x:c r="G8" s="100"/>
      <x:c r="H8" s="100"/>
    </x:row>
    <x:row r="9">
      <x:c r="A9" s="52" t="str">
        <x:v>已验证</x:v>
      </x:c>
      <x:c r="B9" s="53" t="n">
        <x:f>COUNTIF('06_原子规则'!$AB$5:$AB$224,"已验证")</x:f>
        <x:v>0</x:v>
      </x:c>
      <x:c r="C9" s="100"/>
      <x:c r="D9" s="52" t="str">
        <x:v>EXPR-表达路径</x:v>
      </x:c>
      <x:c r="E9" s="53" t="n">
        <x:f>COUNTIF('06_原子规则'!$D$5:$D$224,D9)</x:f>
        <x:v>40</x:v>
      </x:c>
      <x:c r="F9" s="100"/>
      <x:c r="G9" s="100"/>
      <x:c r="H9" s="100"/>
    </x:row>
    <x:row r="10">
      <x:c r="A10" s="52" t="str">
        <x:v>需修改</x:v>
      </x:c>
      <x:c r="B10" s="53" t="n">
        <x:f>COUNTIF('06_原子规则'!$AB$5:$AB$224,"需修改")</x:f>
        <x:v>0</x:v>
      </x:c>
      <x:c r="C10" s="100"/>
      <x:c r="D10" s="52" t="str">
        <x:v>EXPR-状态修正</x:v>
      </x:c>
      <x:c r="E10" s="53" t="n">
        <x:f>COUNTIF('06_原子规则'!$D$5:$D$224,D10)</x:f>
        <x:v>28</x:v>
      </x:c>
      <x:c r="F10" s="100"/>
      <x:c r="G10" s="100"/>
      <x:c r="H10" s="100"/>
    </x:row>
    <x:row r="11">
      <x:c r="A11" s="52" t="str">
        <x:v>停用</x:v>
      </x:c>
      <x:c r="B11" s="53" t="n">
        <x:f>COUNTIF('06_原子规则'!$AB$5:$AB$224,"停用")</x:f>
        <x:v>0</x:v>
      </x:c>
      <x:c r="C11" s="100"/>
      <x:c r="D11" s="52" t="str">
        <x:v>EXPR-接口门控</x:v>
      </x:c>
      <x:c r="E11" s="53" t="n">
        <x:f>COUNTIF('06_原子规则'!$D$5:$D$224,D11)</x:f>
        <x:v>24</x:v>
      </x:c>
      <x:c r="F11" s="100"/>
      <x:c r="G11" s="100"/>
      <x:c r="H11" s="100"/>
    </x:row>
    <x:row r="12">
      <x:c r="A12" s="54" t="str">
        <x:v>停止类规则</x:v>
      </x:c>
      <x:c r="B12" s="55" t="n">
        <x:f>COUNTIF('06_原子规则'!$F$5:$F$224,"停止")</x:f>
        <x:v>14</x:v>
      </x:c>
      <x:c r="C12" s="100"/>
      <x:c r="D12" s="54" t="str">
        <x:v>EXPR-合成输出</x:v>
      </x:c>
      <x:c r="E12" s="55" t="n">
        <x:f>COUNTIF('06_原子规则'!$D$5:$D$224,D12)</x:f>
        <x:v>16</x:v>
      </x:c>
      <x:c r="F12" s="100"/>
      <x:c r="G12" s="100"/>
      <x:c r="H12" s="100"/>
    </x:row>
    <x:row r="13">
      <x:c r="A13" s="100"/>
      <x:c r="B13" s="100"/>
      <x:c r="C13" s="100"/>
      <x:c r="D13" s="100"/>
      <x:c r="E13" s="100"/>
      <x:c r="F13" s="100"/>
      <x:c r="G13" s="100"/>
      <x:c r="H13" s="100"/>
    </x:row>
    <x:row r="14">
      <x:c r="A14" s="100"/>
      <x:c r="B14" s="100"/>
      <x:c r="C14" s="100"/>
      <x:c r="D14" s="100"/>
      <x:c r="E14" s="100"/>
      <x:c r="F14" s="100"/>
      <x:c r="G14" s="100"/>
      <x:c r="H14" s="100"/>
    </x:row>
    <x:row r="15" ht="22" customHeight="1">
      <x:c r="A15" s="303" t="str">
        <x:v>案例验证看板</x:v>
      </x:c>
      <x:c r="B15" s="303"/>
      <x:c r="C15" s="303"/>
      <x:c r="D15" s="304" t="str">
        <x:v>发布前检查清单</x:v>
      </x:c>
      <x:c r="E15" s="304"/>
      <x:c r="F15" s="304"/>
      <x:c r="G15" s="304"/>
      <x:c r="H15" s="304"/>
    </x:row>
    <x:row r="16">
      <x:c r="A16" s="26" t="str">
        <x:v>案例状态</x:v>
      </x:c>
      <x:c r="B16" s="27" t="str">
        <x:v>数量</x:v>
      </x:c>
      <x:c r="C16" s="100"/>
      <x:c r="D16" s="127" t="str">
        <x:v>编号</x:v>
      </x:c>
      <x:c r="E16" s="316" t="str">
        <x:v>检查项</x:v>
      </x:c>
      <x:c r="F16" s="316" t="str"/>
      <x:c r="G16" s="316" t="str"/>
      <x:c r="H16" s="128" t="str"/>
    </x:row>
    <x:row r="17">
      <x:c r="A17" s="50" t="str">
        <x:v>完全吻合</x:v>
      </x:c>
      <x:c r="B17" s="51" t="n">
        <x:f>COUNTIF('09_案例验证'!$J$5:$J$32,"完全吻合")</x:f>
        <x:v>0</x:v>
      </x:c>
      <x:c r="C17" s="100"/>
      <x:c r="D17" s="50" t="str">
        <x:v>1</x:v>
      </x:c>
      <x:c r="E17" s="102" t="str">
        <x:v>基础十神、日支主气和合化状态已可靠。</x:v>
      </x:c>
      <x:c r="F17" s="102" t="str"/>
      <x:c r="G17" s="102" t="str"/>
      <x:c r="H17" s="51" t="str"/>
    </x:row>
    <x:row r="18">
      <x:c r="A18" s="52" t="str">
        <x:v>部分吻合</x:v>
      </x:c>
      <x:c r="B18" s="53" t="n">
        <x:f>COUNTIF('09_案例验证'!$J$5:$J$32,"部分吻合")</x:f>
        <x:v>0</x:v>
      </x:c>
      <x:c r="C18" s="100"/>
      <x:c r="D18" s="52" t="str">
        <x:v>2</x:v>
      </x:c>
      <x:c r="E18" s="103" t="str">
        <x:v>主通道完成source_id去重。</x:v>
      </x:c>
      <x:c r="F18" s="103" t="str"/>
      <x:c r="G18" s="103" t="str"/>
      <x:c r="H18" s="53" t="str"/>
    </x:row>
    <x:row r="19">
      <x:c r="A19" s="52" t="str">
        <x:v>明显不吻合</x:v>
      </x:c>
      <x:c r="B19" s="53" t="n">
        <x:f>COUNTIF('09_案例验证'!$J$5:$J$32,"明显不吻合")</x:f>
        <x:v>0</x:v>
      </x:c>
      <x:c r="C19" s="100"/>
      <x:c r="D19" s="52" t="str">
        <x:v>3</x:v>
      </x:c>
      <x:c r="E19" s="103" t="str">
        <x:v>同系统正偏信号已收敛，不重复建主模式。</x:v>
      </x:c>
      <x:c r="F19" s="103" t="str"/>
      <x:c r="G19" s="103" t="str"/>
      <x:c r="H19" s="53" t="str"/>
    </x:row>
    <x:row r="20">
      <x:c r="A20" s="52" t="str">
        <x:v>信息不足</x:v>
      </x:c>
      <x:c r="B20" s="53" t="n">
        <x:f>COUNTIF('09_案例验证'!$J$5:$J$32,"信息不足")</x:f>
        <x:v>0</x:v>
      </x:c>
      <x:c r="C20" s="100"/>
      <x:c r="D20" s="52" t="str">
        <x:v>4</x:v>
      </x:c>
      <x:c r="E20" s="103" t="str">
        <x:v>次通道来源独立且功能不同。</x:v>
      </x:c>
      <x:c r="F20" s="103" t="str"/>
      <x:c r="G20" s="103" t="str"/>
      <x:c r="H20" s="53" t="str"/>
    </x:row>
    <x:row r="21">
      <x:c r="A21" s="54" t="str">
        <x:v>待验证</x:v>
      </x:c>
      <x:c r="B21" s="55" t="n">
        <x:f>COUNTIF('09_案例验证'!$J$5:$J$32,"待验证")</x:f>
        <x:v>28</x:v>
      </x:c>
      <x:c r="C21" s="100"/>
      <x:c r="D21" s="52" t="str">
        <x:v>5</x:v>
      </x:c>
      <x:c r="E21" s="103" t="str">
        <x:v>正文只有一个主通道、一个次通道和一条主路径。</x:v>
      </x:c>
      <x:c r="F21" s="103" t="str"/>
      <x:c r="G21" s="103" t="str"/>
      <x:c r="H21" s="53" t="str"/>
    </x:row>
    <x:row r="22">
      <x:c r="A22" s="100"/>
      <x:c r="B22" s="100"/>
      <x:c r="C22" s="100"/>
      <x:c r="D22" s="52" t="str">
        <x:v>6</x:v>
      </x:c>
      <x:c r="E22" s="103" t="str">
        <x:v>没有把食伤弱写成不会表达。</x:v>
      </x:c>
      <x:c r="F22" s="103" t="str"/>
      <x:c r="G22" s="103" t="str"/>
      <x:c r="H22" s="53" t="str"/>
    </x:row>
    <x:row r="23">
      <x:c r="A23" s="100"/>
      <x:c r="B23" s="100"/>
      <x:c r="C23" s="100"/>
      <x:c r="D23" s="52" t="str">
        <x:v>7</x:v>
      </x:c>
      <x:c r="E23" s="103" t="str">
        <x:v>没有把日常表达越权写成冲突、修复、风险或适配。</x:v>
      </x:c>
      <x:c r="F23" s="103" t="str"/>
      <x:c r="G23" s="103" t="str"/>
      <x:c r="H23" s="53" t="str"/>
    </x:row>
    <x:row r="24">
      <x:c r="A24" s="100"/>
      <x:c r="B24" s="100"/>
      <x:c r="C24" s="100"/>
      <x:c r="D24" s="54" t="str">
        <x:v>8</x:v>
      </x:c>
      <x:c r="E24" s="104" t="str">
        <x:v>低置信和停止情况明确写出原因。</x:v>
      </x:c>
      <x:c r="F24" s="104" t="str"/>
      <x:c r="G24" s="104" t="str"/>
      <x:c r="H24" s="55" t="str"/>
    </x:row>
    <x:row r="25">
      <x:c r="A25" s="100"/>
      <x:c r="B25" s="100"/>
      <x:c r="C25" s="100"/>
      <x:c r="D25" s="100"/>
      <x:c r="E25" s="100"/>
      <x:c r="F25" s="100"/>
      <x:c r="G25" s="100"/>
      <x:c r="H25" s="100"/>
    </x:row>
    <x:row r="26">
      <x:c r="A26" s="100"/>
      <x:c r="B26" s="100"/>
      <x:c r="C26" s="100"/>
      <x:c r="D26" s="100"/>
      <x:c r="E26" s="100"/>
      <x:c r="F26" s="100"/>
      <x:c r="G26" s="100"/>
      <x:c r="H26" s="100"/>
    </x:row>
    <x:row r="27" ht="22" customHeight="1">
      <x:c r="A27" s="311" t="str">
        <x:v>版本记录</x:v>
      </x:c>
      <x:c r="B27" s="311"/>
      <x:c r="C27" s="311"/>
      <x:c r="D27" s="311"/>
      <x:c r="E27" s="311"/>
      <x:c r="F27" s="311"/>
      <x:c r="G27" s="311"/>
      <x:c r="H27" s="311"/>
    </x:row>
    <x:row r="28">
      <x:c r="A28" s="26" t="str">
        <x:v>版本</x:v>
      </x:c>
      <x:c r="B28" s="91" t="str">
        <x:v>阶段</x:v>
      </x:c>
      <x:c r="C28" s="27" t="str">
        <x:v>内容</x:v>
      </x:c>
      <x:c r="D28" s="214" t="str">
        <x:v>下一阶段：M3-CARE V0.4
重点：时间、资源、日常经营、承担、情绪承接、共同参与、支持请求与回馈。
硬边界：M3-CARE只判断付出与支持交换，不提前判断过度付出、依赖、控制、风险和适配。</x:v>
      </x:c>
      <x:c r="E28" s="215"/>
      <x:c r="F28" s="215"/>
      <x:c r="G28" s="215"/>
      <x:c r="H28" s="216"/>
    </x:row>
    <x:row r="29">
      <x:c r="A29" s="50" t="str">
        <x:v>0.1</x:v>
      </x:c>
      <x:c r="B29" s="102" t="str">
        <x:v>M3总体架构</x:v>
      </x:c>
      <x:c r="C29" s="51" t="str">
        <x:v>锁定模型边界、五类功能系统、十类互动通道和建设顺序。</x:v>
      </x:c>
      <x:c r="D29" s="217"/>
      <x:c r="E29" s="218"/>
      <x:c r="F29" s="218"/>
      <x:c r="G29" s="218"/>
      <x:c r="H29" s="219"/>
    </x:row>
    <x:row r="30">
      <x:c r="A30" s="52" t="str">
        <x:v>0.2</x:v>
      </x:c>
      <x:c r="B30" s="103" t="str">
        <x:v>M3-BASE</x:v>
      </x:c>
      <x:c r="C30" s="53" t="str">
        <x:v>完成关系运行底盘、日支十神、藏干层级、宫位动态、合化与状态修正。</x:v>
      </x:c>
      <x:c r="D30" s="217"/>
      <x:c r="E30" s="218"/>
      <x:c r="F30" s="218"/>
      <x:c r="G30" s="218"/>
      <x:c r="H30" s="219"/>
    </x:row>
    <x:row r="31">
      <x:c r="A31" s="52" t="str">
        <x:v>0.3</x:v>
      </x:c>
      <x:c r="B31" s="103" t="str">
        <x:v>M3-EXPR</x:v>
      </x:c>
      <x:c r="C31" s="53" t="str">
        <x:v>完成十类表达通道、八项过程维度、十二类路径、状态修正、接口、220条原子规则。</x:v>
      </x:c>
      <x:c r="D31" s="217"/>
      <x:c r="E31" s="218"/>
      <x:c r="F31" s="218"/>
      <x:c r="G31" s="218"/>
      <x:c r="H31" s="219"/>
    </x:row>
    <x:row r="32">
      <x:c r="A32" s="54" t="str">
        <x:v>0.4</x:v>
      </x:c>
      <x:c r="B32" s="104" t="str">
        <x:v>下一阶段</x:v>
      </x:c>
      <x:c r="C32" s="55" t="str">
        <x:v>进入M3-CARE：付出、照顾与支持交换。</x:v>
      </x:c>
      <x:c r="D32" s="220"/>
      <x:c r="E32" s="221"/>
      <x:c r="F32" s="221"/>
      <x:c r="G32" s="221"/>
      <x:c r="H32" s="222"/>
    </x:row>
    <x:row r="33">
      <x:c r="A33" s="100"/>
      <x:c r="B33" s="100"/>
      <x:c r="C33" s="100"/>
      <x:c r="D33" s="100"/>
      <x:c r="E33" s="100"/>
      <x:c r="F33" s="100"/>
      <x:c r="G33" s="100"/>
      <x:c r="H33" s="100"/>
    </x:row>
    <x:row r="34">
      <x:c r="A34" s="100"/>
      <x:c r="B34" s="100"/>
      <x:c r="C34" s="100"/>
      <x:c r="D34" s="100"/>
      <x:c r="E34" s="100"/>
      <x:c r="F34" s="100"/>
      <x:c r="G34" s="100"/>
      <x:c r="H34" s="100"/>
    </x:row>
    <x:row r="35">
      <x:c r="A35" s="100"/>
      <x:c r="B35" s="100"/>
      <x:c r="C35" s="100"/>
      <x:c r="D35" s="100"/>
      <x:c r="E35" s="100"/>
      <x:c r="F35" s="100"/>
      <x:c r="G35" s="100"/>
      <x:c r="H35" s="100"/>
    </x:row>
    <x:row r="36">
      <x:c r="A36" s="100"/>
      <x:c r="B36" s="100"/>
      <x:c r="C36" s="100"/>
      <x:c r="D36" s="100"/>
      <x:c r="E36" s="100"/>
      <x:c r="F36" s="100"/>
      <x:c r="G36" s="100"/>
      <x:c r="H36" s="100"/>
    </x:row>
    <x:row r="37">
      <x:c r="A37" s="100"/>
      <x:c r="B37" s="100"/>
      <x:c r="C37" s="100"/>
      <x:c r="D37" s="100"/>
      <x:c r="E37" s="100"/>
      <x:c r="F37" s="100"/>
      <x:c r="G37" s="100"/>
      <x:c r="H37" s="100"/>
    </x:row>
    <x:row r="38">
      <x:c r="A38" s="100"/>
      <x:c r="B38" s="100"/>
      <x:c r="C38" s="100"/>
      <x:c r="D38" s="100"/>
      <x:c r="E38" s="100"/>
      <x:c r="F38" s="100"/>
      <x:c r="G38" s="100"/>
      <x:c r="H38" s="100"/>
    </x:row>
    <x:row r="39">
      <x:c r="A39" s="100"/>
      <x:c r="B39" s="100"/>
      <x:c r="C39" s="100"/>
      <x:c r="D39" s="100"/>
      <x:c r="E39" s="100"/>
      <x:c r="F39" s="100"/>
      <x:c r="G39" s="100"/>
      <x:c r="H39" s="100"/>
    </x:row>
    <x:row r="40">
      <x:c r="A40" s="100"/>
      <x:c r="B40" s="100"/>
      <x:c r="C40" s="100"/>
      <x:c r="D40" s="100"/>
      <x:c r="E40" s="100"/>
      <x:c r="F40" s="100"/>
      <x:c r="G40" s="100"/>
      <x:c r="H40" s="100"/>
    </x:row>
  </x:sheetData>
  <x:mergeCells>
    <x:mergeCell ref="A1:H1"/>
    <x:mergeCell ref="A2:H2"/>
    <x:mergeCell ref="D4:H4"/>
    <x:mergeCell ref="A15:H15"/>
    <x:mergeCell ref="D15:H15"/>
    <x:mergeCell ref="E17:H17"/>
    <x:mergeCell ref="E18:H18"/>
    <x:mergeCell ref="E19:H19"/>
    <x:mergeCell ref="E20:H20"/>
    <x:mergeCell ref="E21:H21"/>
    <x:mergeCell ref="E22:H22"/>
    <x:mergeCell ref="E23:H23"/>
    <x:mergeCell ref="E24:H24"/>
    <x:mergeCell ref="A27:H27"/>
    <x:mergeCell ref="D28:H32"/>
  </x:mergeCells>
  <x:conditionalFormatting sqref="B8:B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{127AF734-6ECC-B4A5-5008-4D7433171564}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27AF734-6ECC-B4A5-5008-4D7433171564}">
            <x14:dataBar gradient="1">
              <x14:cfvo type="min"/>
              <x14:cfvo type="max"/>
              <x14:fillColor rgb="FFA02B93"/>
            </x14:dataBar>
          </x14:cfRule>
          <xm:sqref>B8:B11</xm:sqref>
        </x14:conditionalFormatting>
      </x14:conditionalFormattings>
    </x:ext>
  </x:extLst>
</x:worksheet>
</file>