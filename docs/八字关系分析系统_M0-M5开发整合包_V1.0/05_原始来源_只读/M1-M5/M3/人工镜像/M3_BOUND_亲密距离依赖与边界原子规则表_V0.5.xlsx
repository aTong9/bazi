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73f589c674f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说明" sheetId="1" r:id="Ra6fa5467a9f64caa"/>
    <x:sheet xmlns:r="http://schemas.openxmlformats.org/officeDocument/2006/relationships" name="01_十神边界速查" sheetId="2" r:id="Rcafad35f962246e3"/>
    <x:sheet xmlns:r="http://schemas.openxmlformats.org/officeDocument/2006/relationships" name="02_过程维度矩阵" sheetId="3" r:id="Rc3711575c0ba4f3a"/>
    <x:sheet xmlns:r="http://schemas.openxmlformats.org/officeDocument/2006/relationships" name="03_边界模式矩阵" sheetId="4" r:id="R9e9183f1cef34b78"/>
    <x:sheet xmlns:r="http://schemas.openxmlformats.org/officeDocument/2006/relationships" name="04_宫位动态矩阵" sheetId="5" r:id="Rf0fe0c9641104482"/>
    <x:sheet xmlns:r="http://schemas.openxmlformats.org/officeDocument/2006/relationships" name="05_状态修正矩阵" sheetId="6" r:id="Rdc5f2c288f744b17"/>
    <x:sheet xmlns:r="http://schemas.openxmlformats.org/officeDocument/2006/relationships" name="06_接口与去重" sheetId="7" r:id="R50d7396b8b5746be"/>
    <x:sheet xmlns:r="http://schemas.openxmlformats.org/officeDocument/2006/relationships" name="07_原子规则" sheetId="8" r:id="R79beb49c99164c16"/>
    <x:sheet xmlns:r="http://schemas.openxmlformats.org/officeDocument/2006/relationships" name="08_门控与停止" sheetId="9" r:id="Rb9e4fcaef94e4c77"/>
    <x:sheet xmlns:r="http://schemas.openxmlformats.org/officeDocument/2006/relationships" name="09_输出模板与句库" sheetId="10" r:id="R4313305b352d4cde"/>
    <x:sheet xmlns:r="http://schemas.openxmlformats.org/officeDocument/2006/relationships" name="10_案例验证" sheetId="11" r:id="R7ea9a2a85c71486c"/>
    <x:sheet xmlns:r="http://schemas.openxmlformats.org/officeDocument/2006/relationships" name="11_字段词典" sheetId="12" r:id="Rbf8bf2b3e55d4687"/>
    <x:sheet xmlns:r="http://schemas.openxmlformats.org/officeDocument/2006/relationships" name="12_版本与验证" sheetId="13" r:id="R6670041e617846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b/>
      <x:sz val="12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e53678e9ee4c2a" /><Relationship Type="http://schemas.openxmlformats.org/officeDocument/2006/relationships/theme" Target="/xl/theme/theme1.xml" Id="Rdff304def74b4b14" /><Relationship Type="http://schemas.openxmlformats.org/officeDocument/2006/relationships/sharedStrings" Target="/xl/sharedStrings.xml" Id="R486322bff203467f" /><Relationship Type="http://schemas.openxmlformats.org/officeDocument/2006/relationships/worksheet" Target="/xl/worksheets/sheet1.xml" Id="Ra6fa5467a9f64caa" /><Relationship Type="http://schemas.openxmlformats.org/officeDocument/2006/relationships/worksheet" Target="/xl/worksheets/sheet2.xml" Id="Rcafad35f962246e3" /><Relationship Type="http://schemas.openxmlformats.org/officeDocument/2006/relationships/worksheet" Target="/xl/worksheets/sheet3.xml" Id="Rc3711575c0ba4f3a" /><Relationship Type="http://schemas.openxmlformats.org/officeDocument/2006/relationships/worksheet" Target="/xl/worksheets/sheet4.xml" Id="R9e9183f1cef34b78" /><Relationship Type="http://schemas.openxmlformats.org/officeDocument/2006/relationships/worksheet" Target="/xl/worksheets/sheet5.xml" Id="Rf0fe0c9641104482" /><Relationship Type="http://schemas.openxmlformats.org/officeDocument/2006/relationships/worksheet" Target="/xl/worksheets/sheet6.xml" Id="Rdc5f2c288f744b17" /><Relationship Type="http://schemas.openxmlformats.org/officeDocument/2006/relationships/worksheet" Target="/xl/worksheets/sheet7.xml" Id="R50d7396b8b5746be" /><Relationship Type="http://schemas.openxmlformats.org/officeDocument/2006/relationships/worksheet" Target="/xl/worksheets/sheet8.xml" Id="R79beb49c99164c16" /><Relationship Type="http://schemas.openxmlformats.org/officeDocument/2006/relationships/worksheet" Target="/xl/worksheets/sheet9.xml" Id="Rb9e4fcaef94e4c77" /><Relationship Type="http://schemas.openxmlformats.org/officeDocument/2006/relationships/worksheet" Target="/xl/worksheets/sheet10.xml" Id="R4313305b352d4cde" /><Relationship Type="http://schemas.openxmlformats.org/officeDocument/2006/relationships/worksheet" Target="/xl/worksheets/sheet11.xml" Id="R7ea9a2a85c71486c" /><Relationship Type="http://schemas.openxmlformats.org/officeDocument/2006/relationships/worksheet" Target="/xl/worksheets/sheet12.xml" Id="Rbf8bf2b3e55d4687" /><Relationship Type="http://schemas.openxmlformats.org/officeDocument/2006/relationships/worksheet" Target="/xl/worksheets/sheet13.xml" Id="R6670041e617846ca" /></Relationships>
</file>

<file path=xl/tables/table1.xml><?xml version="1.0" encoding="utf-8"?>
<x:table xmlns:x="http://schemas.openxmlformats.org/spreadsheetml/2006/main" id="1" name="BoundChannelTable" displayName="BoundChannelTable" ref="A4:J14" headerRowCount="1" totalsRowCount="0" totalsRowShown="0">
  <x:tableColumns count="10">
    <x:tableColumn id="1" name="通道ID"/>
    <x:tableColumn id="2" name="十神"/>
    <x:tableColumn id="3" name="功能系统"/>
    <x:tableColumn id="4" name="正式名称"/>
    <x:tableColumn id="5" name="核心边界逻辑"/>
    <x:tableColumn id="6" name="靠近方式"/>
    <x:tableColumn id="7" name="空间／自主"/>
    <x:tableColumn id="8" name="需求与拒绝"/>
    <x:tableColumn id="9" name="接受照顾"/>
    <x:tableColumn id="10" name="禁止误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undDimensionTable" displayName="BoundDimensionTable" ref="A4:I44" headerRowCount="1" totalsRowCount="0" totalsRowShown="0">
  <x:tableColumns count="9">
    <x:tableColumn id="1" name="维度ID"/>
    <x:tableColumn id="2" name="维度"/>
    <x:tableColumn id="3" name="状态ID"/>
    <x:tableColumn id="4" name="状态"/>
    <x:tableColumn id="5" name="成立条件"/>
    <x:tableColumn id="6" name="内部含义"/>
    <x:tableColumn id="7" name="用户表达"/>
    <x:tableColumn id="8" name="输出字段"/>
    <x:tableColumn id="9" name="分值／作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undPalaceTable" displayName="BoundPalaceTable" ref="A4:G9" headerRowCount="1" totalsRowCount="0" totalsRowShown="0">
  <x:tableColumns count="7">
    <x:tableColumn id="1" name="结构"/>
    <x:tableColumn id="2" name="规则层"/>
    <x:tableColumn id="3" name="BOUND中性含义"/>
    <x:tableColumn id="4" name="靠近／空间修正"/>
    <x:tableColumn id="5" name="重新协商"/>
    <x:tableColumn id="6" name="停止／路由"/>
    <x:tableColumn id="7" name="禁止直接推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undStateTable" displayName="BoundStateTable" ref="A4:H28" headerRowCount="1" totalsRowCount="0" totalsRowShown="0">
  <x:tableColumns count="8">
    <x:tableColumn id="1" name="编号"/>
    <x:tableColumn id="2" name="状态"/>
    <x:tableColumn id="3" name="成立条件"/>
    <x:tableColumn id="4" name="分值／作用"/>
    <x:tableColumn id="5" name="输出字段"/>
    <x:tableColumn id="6" name="内部逻辑"/>
    <x:tableColumn id="7" name="用户表达"/>
    <x:tableColumn id="8" name="置信度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undInterfaceTable" displayName="BoundInterfaceTable" ref="A4:G20" headerRowCount="1" totalsRowCount="0" totalsRowShown="0">
  <x:tableColumns count="7">
    <x:tableColumn id="1" name="编号"/>
    <x:tableColumn id="2" name="接口／门控"/>
    <x:tableColumn id="3" name="关联模块"/>
    <x:tableColumn id="4" name="内部规则"/>
    <x:tableColumn id="5" name="用户语言"/>
    <x:tableColumn id="6" name="输出字段"/>
    <x:tableColumn id="7" name="置信度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oundAtomicRulesTable" displayName="BoundAtomicRulesTable" ref="A4:AE264" headerRowCount="1" totalsRowCount="0" totalsRowShown="0">
  <x:tableColumns count="31">
    <x:tableColumn id="1" name="rule_id"/>
    <x:tableColumn id="2" name="rule_name"/>
    <x:tableColumn id="3" name="layer"/>
    <x:tableColumn id="4" name="module"/>
    <x:tableColumn id="5" name="applicable_group"/>
    <x:tableColumn id="6" name="rule_type"/>
    <x:tableColumn id="7" name="main_signal"/>
    <x:tableColumn id="8" name="secondary_signal"/>
    <x:tableColumn id="9" name="required_conditions"/>
    <x:tableColumn id="10" name="excluded_conditions"/>
    <x:tableColumn id="11" name="self_strength_status"/>
    <x:tableColumn id="12" name="spouse_star_status"/>
    <x:tableColumn id="13" name="palace_signal"/>
    <x:tableColumn id="14" name="flow_path"/>
    <x:tableColumn id="15" name="signal_position"/>
    <x:tableColumn id="16" name="root_status"/>
    <x:tableColumn id="17" name="strength_level"/>
    <x:tableColumn id="18" name="favorability"/>
    <x:tableColumn id="19" name="transformation_status"/>
    <x:tableColumn id="20" name="distance_level"/>
    <x:tableColumn id="21" name="priority"/>
    <x:tableColumn id="22" name="score_effect"/>
    <x:tableColumn id="23" name="output_slot"/>
    <x:tableColumn id="24" name="internal_logic"/>
    <x:tableColumn id="25" name="user_explanation"/>
    <x:tableColumn id="26" name="forbidden_inference"/>
    <x:tableColumn id="27" name="confidence_base"/>
    <x:tableColumn id="28" name="validation_status"/>
    <x:tableColumn id="29" name="case_refs"/>
    <x:tableColumn id="30" name="notes"/>
    <x:tableColumn id="31" name="vers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oundGateTable" displayName="BoundGateTable" ref="A4:I74" headerRowCount="1" totalsRowCount="0" totalsRowShown="0">
  <x:tableColumns count="9">
    <x:tableColumn id="1" name="规则ID"/>
    <x:tableColumn id="2" name="规则名称"/>
    <x:tableColumn id="3" name="模块"/>
    <x:tableColumn id="4" name="类型"/>
    <x:tableColumn id="5" name="成立条件"/>
    <x:tableColumn id="6" name="作用"/>
    <x:tableColumn id="7" name="输出字段"/>
    <x:tableColumn id="8" name="用户表达"/>
    <x:tableColumn id="9" name="禁止推断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oundSentenceTable" displayName="BoundSentenceTable" ref="A4:F53" headerRowCount="1" totalsRowCount="0" totalsRowShown="0">
  <x:tableColumns count="6">
    <x:tableColumn id="1" name="类别"/>
    <x:tableColumn id="2" name="编号"/>
    <x:tableColumn id="3" name="用途"/>
    <x:tableColumn id="4" name="可直接使用的句式"/>
    <x:tableColumn id="5" name="使用条件"/>
    <x:tableColumn id="6" name="禁止搭配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BoundCaseTable" displayName="BoundCaseTable" ref="A4:R32" headerRowCount="1" totalsRowCount="0" totalsRowShown="0">
  <x:tableColumns count="18">
    <x:tableColumn id="1" name="case_id"/>
    <x:tableColumn id="2" name="案例状态"/>
    <x:tableColumn id="3" name="八字关键信号"/>
    <x:tableColumn id="4" name="BASE底盘"/>
    <x:tableColumn id="5" name="主BOUND通道"/>
    <x:tableColumn id="6" name="次BOUND通道"/>
    <x:tableColumn id="7" name="靠近节奏"/>
    <x:tableColumn id="8" name="空间／自主"/>
    <x:tableColumn id="9" name="需求／拒绝"/>
    <x:tableColumn id="10" name="接受照顾"/>
    <x:tableColumn id="11" name="宫位动态"/>
    <x:tableColumn id="12" name="预测输出"/>
    <x:tableColumn id="13" name="用户反馈"/>
    <x:tableColumn id="14" name="匹配程度"/>
    <x:tableColumn id="15" name="偏差类型"/>
    <x:tableColumn id="16" name="涉及规则ID"/>
    <x:tableColumn id="17" name="处理动作"/>
    <x:tableColumn id="18" name="备注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BoundFieldDictTable" displayName="BoundFieldDictTable" ref="A4:E76" headerRowCount="1" totalsRowCount="0" totalsRowShown="0">
  <x:tableColumns count="5">
    <x:tableColumn id="1" name="字段／代码"/>
    <x:tableColumn id="2" name="含义"/>
    <x:tableColumn id="3" name="类别"/>
    <x:tableColumn id="4" name="字段权威／所属"/>
    <x:tableColumn id="5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b47b4a18244e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2138a884c64f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925568fd8e349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374488f8add43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8e050e7203148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e26d78f693f4c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458c19544374ad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fc8c3284476645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bdaaafed7b0436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c0d10a7b2a14ac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7" hidden="0" customWidth="1"/>
    <x:col min="3" max="3" width="38" hidden="0" customWidth="1"/>
    <x:col min="4" max="4" width="42" hidden="0" customWidth="1"/>
  </x:cols>
  <x:sheetData>
    <x:row r="1" ht="28" customHeight="1">
      <x:c r="A1" s="38" t="str">
        <x:v>M3-BOUND 亲密距离、依赖与边界原子规则库 V0.5</x:v>
      </x:c>
      <x:c r="B1" s="5"/>
      <x:c r="C1" s="5"/>
      <x:c r="D1" s="5"/>
    </x:row>
    <x:row r="2" ht="32" customHeight="1">
      <x:c r="A2" s="13" t="str">
        <x:v>用途：快速学习、案例分析、规则检索与后续程序迁移。当前260条规则均为待验证、provisional=true。</x:v>
      </x:c>
      <x:c r="B2" s="13"/>
      <x:c r="C2" s="13"/>
      <x:c r="D2" s="13"/>
    </x:row>
    <x:row r="3">
      <x:c r="A3" s="28"/>
    </x:row>
    <x:row r="4">
      <x:c r="A4" s="22" t="str">
        <x:v>项目</x:v>
      </x:c>
      <x:c r="B4" s="22" t="str">
        <x:v>内容</x:v>
      </x:c>
      <x:c r="C4" s="22" t="str">
        <x:v>检查重点</x:v>
      </x:c>
      <x:c r="D4" s="22" t="str">
        <x:v>快速检索提示</x:v>
      </x:c>
    </x:row>
    <x:row r="5">
      <x:c r="A5" s="32" t="str">
        <x:v>模型问题</x:v>
      </x:c>
      <x:c r="B5" s="32" t="str">
        <x:v>进入关系后，用户通常怎样靠近、保留空间、共享生活与资源、表达需要和拒绝，并在接受照顾时保留多少决定权？</x:v>
      </x:c>
      <x:c r="C5" s="32" t="str">
        <x:v>只描述权限与节奏，不判断回避、控制、风险或适配。</x:v>
      </x:c>
      <x:c r="D5" s="32" t="str">
        <x:v>Ctrl+F：比肩、偏印、BD01、BQ03、R02、DR05、BE04、BF07、日支冲、真合化</x:v>
      </x:c>
    </x:row>
    <x:row r="6">
      <x:c r="A6" s="32" t="str">
        <x:v>本模块输出</x:v>
      </x:c>
      <x:c r="B6" s="32" t="str">
        <x:v>主／次BOUND通道、靠近节奏、空间需求、自主模式、分享、需求、拒绝、暂停回归、重订、接受照顾、交换结构、路径、状态和置信度</x:v>
      </x:c>
      <x:c r="C6" s="32" t="str">
        <x:v>正文一主一次；说出边界与执行边界分开。</x:v>
      </x:c>
      <x:c r="D6" s="32" t="str">
        <x:v>先看01—06，再到07查规则ID，输出前看08—09。</x:v>
      </x:c>
    </x:row>
    <x:row r="7">
      <x:c r="A7" s="32" t="str">
        <x:v>规则数量</x:v>
      </x:c>
      <x:c r="B7" s="32" t="n">
        <x:v>260</x:v>
      </x:c>
      <x:c r="C7" s="32" t="str">
        <x:v>M3-BOUND-001—M3-BOUND-260</x:v>
      </x:c>
      <x:c r="D7" s="32" t="str">
        <x:v>全部待验证、provisional=true</x:v>
      </x:c>
    </x:row>
    <x:row r="8">
      <x:c r="A8" s="32" t="str">
        <x:v>版本日期</x:v>
      </x:c>
      <x:c r="B8" s="32" t="str">
        <x:v>2026-08-26</x:v>
      </x:c>
      <x:c r="C8" s="32" t="str">
        <x:v>知识库工程参数，不是统计准确率。</x:v>
      </x:c>
      <x:c r="D8" s="32" t="str"/>
    </x:row>
    <x:row r="9">
      <x:c r="A9" s="32" t="str"/>
      <x:c r="B9" s="32" t="str"/>
      <x:c r="C9" s="32" t="str"/>
      <x:c r="D9" s="32" t="str"/>
    </x:row>
    <x:row r="10">
      <x:c r="A10" s="34" t="str">
        <x:v>90秒案例分析顺序</x:v>
      </x:c>
      <x:c r="B10" s="34" t="str"/>
      <x:c r="C10" s="34" t="str"/>
      <x:c r="D10" s="34" t="str"/>
    </x:row>
    <x:row r="11">
      <x:c r="A11" s="32" t="str">
        <x:v>步骤</x:v>
      </x:c>
      <x:c r="B11" s="32" t="str">
        <x:v>任务</x:v>
      </x:c>
      <x:c r="C11" s="32" t="str">
        <x:v>检查重点</x:v>
      </x:c>
      <x:c r="D11" s="32" t="str">
        <x:v>快速提示</x:v>
      </x:c>
    </x:row>
    <x:row r="12">
      <x:c r="A12" s="32" t="str">
        <x:v>1</x:v>
      </x:c>
      <x:c r="B12" s="32" t="str">
        <x:v>确认M3-BASE有效</x:v>
      </x:c>
      <x:c r="C12" s="32" t="str">
        <x:v>日支主气、合化、旺衰和source_id先可靠。</x:v>
      </x:c>
      <x:c r="D12" s="32" t="str">
        <x:v>BASE未定时BOUND不得硬输出。</x:v>
      </x:c>
    </x:row>
    <x:row r="13">
      <x:c r="A13" s="32" t="str">
        <x:v>2</x:v>
      </x:c>
      <x:c r="B13" s="32" t="str">
        <x:v>标记十类BOUND候选</x:v>
      </x:c>
      <x:c r="C13" s="32" t="str">
        <x:v>BD01—BD10对应自主、参与、舒适、协商、共享、规则、保护、依托和空间。</x:v>
      </x:c>
      <x:c r="D13" s="32" t="str">
        <x:v>01_十神边界速查</x:v>
      </x:c>
    </x:row>
    <x:row r="14">
      <x:c r="A14" s="32" t="str">
        <x:v>3</x:v>
      </x:c>
      <x:c r="B14" s="32" t="str">
        <x:v>判断靠近与空间</x:v>
      </x:c>
      <x:c r="C14" s="32" t="str">
        <x:v>BQ01—BQ03：怎么靠近、速度、需要多少个人空间。</x:v>
      </x:c>
      <x:c r="D14" s="32" t="str">
        <x:v>02_过程维度矩阵</x:v>
      </x:c>
    </x:row>
    <x:row r="15">
      <x:c r="A15" s="32" t="str">
        <x:v>4</x:v>
      </x:c>
      <x:c r="B15" s="32" t="str">
        <x:v>判断决定权与分享</x:v>
      </x:c>
      <x:c r="C15" s="32" t="str">
        <x:v>BQ04—BQ05：自主、共同决定、角色分工和分享范围。</x:v>
      </x:c>
      <x:c r="D15" s="32" t="str">
        <x:v>不要用身强身弱直接替代。</x:v>
      </x:c>
    </x:row>
    <x:row r="16">
      <x:c r="A16" s="32" t="str">
        <x:v>5</x:v>
      </x:c>
      <x:c r="B16" s="32" t="str">
        <x:v>判断需求与拒绝</x:v>
      </x:c>
      <x:c r="C16" s="32" t="str">
        <x:v>BQ06—BQ08：需求怎么说、怎样拒绝、怎样暂停和回来。</x:v>
      </x:c>
      <x:c r="D16" s="32" t="str">
        <x:v>表达≠执行；暂停≠冷战。</x:v>
      </x:c>
    </x:row>
    <x:row r="17">
      <x:c r="A17" s="32" t="str">
        <x:v>6</x:v>
      </x:c>
      <x:c r="B17" s="32" t="str">
        <x:v>判断重订与接受照顾</x:v>
      </x:c>
      <x:c r="C17" s="32" t="str">
        <x:v>BQ09—BQ10：怎样重新协商，怎样接受支持而保留自主。</x:v>
      </x:c>
      <x:c r="D17" s="32" t="str">
        <x:v>接受照顾≠失去自我。</x:v>
      </x:c>
    </x:row>
    <x:row r="18">
      <x:c r="A18" s="32" t="str">
        <x:v>7</x:v>
      </x:c>
      <x:c r="B18" s="32" t="str">
        <x:v>应用宫位与状态修正</x:v>
      </x:c>
      <x:c r="C18" s="32" t="str">
        <x:v>合冲刑害破、透藏、根气、旺弱、制化、位置和真合化。</x:v>
      </x:c>
      <x:c r="D18" s="32" t="str">
        <x:v>04—05工作表</x:v>
      </x:c>
    </x:row>
    <x:row r="19">
      <x:c r="A19" s="32" t="str">
        <x:v>8</x:v>
      </x:c>
      <x:c r="B19" s="32" t="str">
        <x:v>完成接口与同源去重</x:v>
      </x:c>
      <x:c r="C19" s="32" t="str">
        <x:v>BASE、EXPR、CARE、M2共享事实只计一次。</x:v>
      </x:c>
      <x:c r="D19" s="32" t="str">
        <x:v>06_接口与去重</x:v>
      </x:c>
    </x:row>
    <x:row r="20">
      <x:c r="A20" s="32" t="str">
        <x:v>9</x:v>
      </x:c>
      <x:c r="B20" s="32" t="str">
        <x:v>确定模式、节奏与路径</x:v>
      </x:c>
      <x:c r="C20" s="32" t="str">
        <x:v>BP01—BP12、DR01—DR08、BE01—BE08、BF01—BF08。</x:v>
      </x:c>
      <x:c r="D20" s="32" t="str">
        <x:v>03_边界模式矩阵</x:v>
      </x:c>
    </x:row>
    <x:row r="21">
      <x:c r="A21" s="32" t="str">
        <x:v>10</x:v>
      </x:c>
      <x:c r="B21" s="32" t="str">
        <x:v>主次、置信与输出</x:v>
      </x:c>
      <x:c r="C21" s="32" t="str">
        <x:v>主≥34且领先≥8；次≥24且功能独立；正文一主一次。</x:v>
      </x:c>
      <x:c r="D21" s="32" t="str">
        <x:v>09_输出模板与句库</x:v>
      </x:c>
    </x:row>
    <x:row r="22">
      <x:c r="A22" s="34" t="str"/>
      <x:c r="B22" s="34" t="str"/>
      <x:c r="C22" s="34" t="str"/>
      <x:c r="D22" s="34" t="str"/>
    </x:row>
    <x:row r="23">
      <x:c r="A23" s="32" t="str">
        <x:v>五条硬边界</x:v>
      </x:c>
      <x:c r="B23" s="32" t="str"/>
      <x:c r="C23" s="32" t="str"/>
      <x:c r="D23" s="32" t="str">
        <x:v>核心记忆句</x:v>
      </x:c>
    </x:row>
    <x:row r="24">
      <x:c r="A24" s="32" t="str">
        <x:v>情形</x:v>
      </x:c>
      <x:c r="B24" s="32" t="str">
        <x:v>正确处理</x:v>
      </x:c>
      <x:c r="C24" s="32" t="str"/>
      <x:c r="D24" s="32" t="str">
        <x:v>比劫管自主与参与；食伤管靠近与说明；财管共享；官杀管规则和停止线；印管依托与私人空间。</x:v>
      </x:c>
    </x:row>
    <x:row r="25">
      <x:c r="A25" s="32" t="str">
        <x:v>需要空间</x:v>
      </x:c>
      <x:c r="B25" s="32" t="str">
        <x:v>不等于回避亲密；检查是否有内部整理、恢复和重新开放路径。</x:v>
      </x:c>
      <x:c r="C25" s="32" t="str"/>
      <x:c r="D25" s="32" t="str"/>
    </x:row>
    <x:row r="26">
      <x:c r="A26" s="32" t="str">
        <x:v>愿意依托</x:v>
      </x:c>
      <x:c r="B26" s="32" t="str">
        <x:v>不等于失去自主；接受支持和决定权分别判断。</x:v>
      </x:c>
      <x:c r="C26" s="32" t="str"/>
      <x:c r="D26" s="32" t="str"/>
    </x:row>
    <x:row r="27">
      <x:c r="A27" s="32" t="str">
        <x:v>说得清楚</x:v>
      </x:c>
      <x:c r="B27" s="32" t="str">
        <x:v>不等于执行稳定；继续检查现实行为、根气和拒绝／重订。</x:v>
      </x:c>
      <x:c r="C27" s="32" t="str"/>
      <x:c r="D27" s="32" t="str"/>
    </x:row>
    <x:row r="28">
      <x:c r="A28" s="32" t="str">
        <x:v>边界强</x:v>
      </x:c>
      <x:c r="B28" s="32" t="str">
        <x:v>不等于控制；BOUND只写功能，风险交给M4。</x:v>
      </x:c>
      <x:c r="C28" s="32" t="str"/>
      <x:c r="D28" s="32" t="str"/>
    </x:row>
    <x:row r="29">
      <x:c r="A29" s="32" t="str">
        <x:v>宫位动态</x:v>
      </x:c>
      <x:c r="B29" s="32" t="str">
        <x:v>只修正节奏，不直接推出分手、背叛或婚姻结果。</x:v>
      </x:c>
      <x:c r="C29" s="32" t="str"/>
      <x:c r="D29" s="32" t="str"/>
    </x:row>
    <x:row r="30">
      <x:c r="A30" s="28"/>
    </x:row>
    <x:row r="31">
      <x:c r="A31" s="28"/>
    </x:row>
    <x:row r="32">
      <x:c r="A32" s="28"/>
    </x:row>
    <x:row r="33">
      <x:c r="A33" s="28"/>
    </x:row>
    <x:row r="34">
      <x:c r="A34" s="28"/>
    </x:row>
    <x:row r="35">
      <x:c r="A35" s="28"/>
    </x:row>
    <x:row r="36">
      <x:c r="A36" s="28"/>
    </x:row>
    <x:row r="37">
      <x:c r="A37" s="28"/>
    </x:row>
    <x:row r="38">
      <x:c r="A38" s="28"/>
    </x:row>
    <x:row r="39">
      <x:c r="A39" s="28"/>
    </x:row>
    <x:row r="40">
      <x:c r="A40" s="28"/>
    </x:row>
    <x:row r="41">
      <x:c r="A41" s="28"/>
    </x:row>
    <x:row r="42">
      <x:c r="A42" s="28"/>
    </x:row>
    <x:row r="43">
      <x:c r="A43" s="28"/>
    </x:row>
    <x:row r="44">
      <x:c r="A44" s="28"/>
    </x:row>
    <x:row r="45">
      <x:c r="A45" s="28"/>
    </x:row>
    <x:row r="46">
      <x:c r="A46" s="28"/>
    </x:row>
    <x:row r="47">
      <x:c r="A47" s="28"/>
    </x:row>
    <x:row r="48">
      <x:c r="A48" s="28"/>
    </x:row>
    <x:row r="49">
      <x:c r="A49" s="28"/>
    </x:row>
    <x:row r="50">
      <x:c r="A50" s="28"/>
    </x:row>
    <x:row r="51">
      <x:c r="A51" s="28"/>
    </x:row>
    <x:row r="52">
      <x:c r="A52" s="28"/>
    </x:row>
    <x:row r="53">
      <x:c r="A53" s="28"/>
    </x:row>
    <x:row r="54">
      <x:c r="A54" s="28"/>
    </x:row>
    <x:row r="55">
      <x:c r="A55" s="28"/>
    </x:row>
    <x:row r="56">
      <x:c r="A56" s="28"/>
    </x:row>
    <x:row r="57">
      <x:c r="A57" s="28"/>
    </x:row>
    <x:row r="58">
      <x:c r="A58" s="28"/>
    </x:row>
    <x:row r="59">
      <x:c r="A59" s="28"/>
    </x:row>
    <x:row r="60">
      <x:c r="A60" s="28"/>
    </x:row>
    <x:row r="61">
      <x:c r="A61" s="28"/>
    </x:row>
    <x:row r="62">
      <x:c r="A62" s="28"/>
    </x:row>
    <x:row r="63">
      <x:c r="A63" s="28"/>
    </x:row>
    <x:row r="64">
      <x:c r="A64" s="28"/>
    </x:row>
    <x:row r="65">
      <x:c r="A65" s="28"/>
    </x:row>
    <x:row r="66">
      <x:c r="A66" s="28"/>
    </x:row>
    <x:row r="67">
      <x:c r="A67" s="28"/>
    </x:row>
    <x:row r="68">
      <x:c r="A68" s="28"/>
    </x:row>
    <x:row r="69">
      <x:c r="A69" s="28"/>
    </x:row>
    <x:row r="70">
      <x:c r="A70" s="28"/>
    </x:row>
    <x:row r="71">
      <x:c r="A71" s="28"/>
    </x:row>
    <x:row r="72">
      <x:c r="A72" s="28"/>
    </x:row>
    <x:row r="73">
      <x:c r="A73" s="28"/>
    </x:row>
    <x:row r="74">
      <x:c r="A74" s="28"/>
    </x:row>
    <x:row r="75">
      <x:c r="A75" s="28"/>
    </x:row>
    <x:row r="76">
      <x:c r="A76" s="28"/>
    </x:row>
    <x:row r="77">
      <x:c r="A77" s="28"/>
    </x:row>
    <x:row r="78">
      <x:c r="A78" s="28"/>
    </x:row>
    <x:row r="79">
      <x:c r="A79" s="28"/>
    </x:row>
    <x:row r="80">
      <x:c r="A80" s="28"/>
    </x:row>
    <x:row r="81">
      <x:c r="A81" s="28"/>
    </x:row>
    <x:row r="82">
      <x:c r="A82" s="28"/>
    </x:row>
    <x:row r="83">
      <x:c r="A83" s="28"/>
    </x:row>
    <x:row r="84">
      <x:c r="A84" s="28"/>
    </x:row>
    <x:row r="85">
      <x:c r="A85" s="28"/>
    </x:row>
    <x:row r="86">
      <x:c r="A86" s="28"/>
    </x:row>
    <x:row r="87">
      <x:c r="A87" s="28"/>
    </x:row>
    <x:row r="88">
      <x:c r="A88" s="28"/>
    </x:row>
    <x:row r="89">
      <x:c r="A89" s="28"/>
    </x:row>
    <x:row r="90">
      <x:c r="A90" s="28"/>
    </x:row>
    <x:row r="91">
      <x:c r="A91" s="28"/>
    </x:row>
    <x:row r="92">
      <x:c r="A92" s="28"/>
    </x:row>
    <x:row r="93">
      <x:c r="A93" s="28"/>
    </x:row>
    <x:row r="94">
      <x:c r="A94" s="28"/>
    </x:row>
    <x:row r="95">
      <x:c r="A95" s="28"/>
    </x:row>
    <x:row r="96">
      <x:c r="A96" s="28"/>
    </x:row>
    <x:row r="97">
      <x:c r="A97" s="28"/>
    </x:row>
    <x:row r="98">
      <x:c r="A98" s="28"/>
    </x:row>
    <x:row r="99">
      <x:c r="A99" s="28"/>
    </x:row>
    <x:row r="100">
      <x:c r="A100" s="28"/>
    </x:row>
    <x:row r="101">
      <x:c r="A101" s="28"/>
    </x:row>
    <x:row r="102">
      <x:c r="A102" s="28"/>
    </x:row>
    <x:row r="103">
      <x:c r="A103" s="28"/>
    </x:row>
    <x:row r="104">
      <x:c r="A104" s="28"/>
    </x:row>
    <x:row r="105">
      <x:c r="A105" s="28"/>
    </x:row>
    <x:row r="106">
      <x:c r="A106" s="28"/>
    </x:row>
    <x:row r="107">
      <x:c r="A107" s="28"/>
    </x:row>
    <x:row r="108">
      <x:c r="A108" s="28"/>
    </x:row>
    <x:row r="109">
      <x:c r="A109" s="28"/>
    </x:row>
    <x:row r="110">
      <x:c r="A110" s="28"/>
    </x:row>
    <x:row r="111">
      <x:c r="A111" s="28"/>
    </x:row>
    <x:row r="112">
      <x:c r="A112" s="28"/>
    </x:row>
    <x:row r="113">
      <x:c r="A113" s="28"/>
    </x:row>
    <x:row r="114">
      <x:c r="A114" s="28"/>
    </x:row>
    <x:row r="115">
      <x:c r="A115" s="28"/>
    </x:row>
    <x:row r="116">
      <x:c r="A116" s="28"/>
    </x:row>
    <x:row r="117">
      <x:c r="A117" s="28"/>
    </x:row>
    <x:row r="118">
      <x:c r="A118" s="28"/>
    </x:row>
    <x:row r="119">
      <x:c r="A119" s="28"/>
    </x:row>
    <x:row r="120">
      <x:c r="A120" s="28"/>
    </x:row>
    <x:row r="121">
      <x:c r="A121" s="28"/>
    </x:row>
    <x:row r="122">
      <x:c r="A122" s="28"/>
    </x:row>
    <x:row r="123">
      <x:c r="A123" s="28"/>
    </x:row>
    <x:row r="124">
      <x:c r="A124" s="28"/>
    </x:row>
    <x:row r="125">
      <x:c r="A125" s="28"/>
    </x:row>
    <x:row r="126">
      <x:c r="A126" s="28"/>
    </x:row>
    <x:row r="127">
      <x:c r="A127" s="28"/>
    </x:row>
    <x:row r="128">
      <x:c r="A128" s="28"/>
    </x:row>
    <x:row r="129">
      <x:c r="A129" s="28"/>
    </x:row>
    <x:row r="130">
      <x:c r="A130" s="28"/>
    </x:row>
    <x:row r="131">
      <x:c r="A131" s="28"/>
    </x:row>
    <x:row r="132">
      <x:c r="A132" s="28"/>
    </x:row>
    <x:row r="133">
      <x:c r="A133" s="28"/>
    </x:row>
    <x:row r="134">
      <x:c r="A134" s="28"/>
    </x:row>
    <x:row r="135">
      <x:c r="A135" s="28"/>
    </x:row>
    <x:row r="136">
      <x:c r="A136" s="28"/>
    </x:row>
    <x:row r="137">
      <x:c r="A137" s="28"/>
    </x:row>
    <x:row r="138">
      <x:c r="A138" s="28"/>
    </x:row>
    <x:row r="139">
      <x:c r="A139" s="28"/>
    </x:row>
    <x:row r="140">
      <x:c r="A140" s="28"/>
    </x:row>
    <x:row r="141">
      <x:c r="A141" s="28"/>
    </x:row>
    <x:row r="142">
      <x:c r="A142" s="28"/>
    </x:row>
    <x:row r="143">
      <x:c r="A143" s="28"/>
    </x:row>
    <x:row r="144">
      <x:c r="A144" s="28"/>
    </x:row>
    <x:row r="145">
      <x:c r="A145" s="28"/>
    </x:row>
    <x:row r="146">
      <x:c r="A146" s="28"/>
    </x:row>
    <x:row r="147">
      <x:c r="A147" s="28"/>
    </x:row>
    <x:row r="148">
      <x:c r="A148" s="28"/>
    </x:row>
    <x:row r="149">
      <x:c r="A149" s="28"/>
    </x:row>
    <x:row r="150">
      <x:c r="A150" s="28"/>
    </x:row>
    <x:row r="151">
      <x:c r="A151" s="28"/>
    </x:row>
    <x:row r="152">
      <x:c r="A152" s="28"/>
    </x:row>
    <x:row r="153">
      <x:c r="A153" s="28"/>
    </x:row>
    <x:row r="154">
      <x:c r="A154" s="28"/>
    </x:row>
    <x:row r="155">
      <x:c r="A155" s="28"/>
    </x:row>
    <x:row r="156">
      <x:c r="A156" s="28"/>
    </x:row>
    <x:row r="157">
      <x:c r="A157" s="28"/>
    </x:row>
    <x:row r="158">
      <x:c r="A158" s="28"/>
    </x:row>
    <x:row r="159">
      <x:c r="A159" s="28"/>
    </x:row>
    <x:row r="160">
      <x:c r="A160" s="28"/>
    </x:row>
    <x:row r="161">
      <x:c r="A161" s="28"/>
    </x:row>
    <x:row r="162">
      <x:c r="A162" s="28"/>
    </x:row>
    <x:row r="163">
      <x:c r="A163" s="28"/>
    </x:row>
    <x:row r="164">
      <x:c r="A164" s="28"/>
    </x:row>
    <x:row r="165">
      <x:c r="A165" s="28"/>
    </x:row>
    <x:row r="166">
      <x:c r="A166" s="28"/>
    </x:row>
    <x:row r="167">
      <x:c r="A167" s="28"/>
    </x:row>
    <x:row r="168">
      <x:c r="A168" s="28"/>
    </x:row>
    <x:row r="169">
      <x:c r="A169" s="28"/>
    </x:row>
    <x:row r="170">
      <x:c r="A170" s="28"/>
    </x:row>
    <x:row r="171">
      <x:c r="A171" s="28"/>
    </x:row>
    <x:row r="172">
      <x:c r="A172" s="28"/>
    </x:row>
    <x:row r="173">
      <x:c r="A173" s="28"/>
    </x:row>
    <x:row r="174">
      <x:c r="A174" s="28"/>
    </x:row>
    <x:row r="175">
      <x:c r="A175" s="28"/>
    </x:row>
    <x:row r="176">
      <x:c r="A176" s="28"/>
    </x:row>
    <x:row r="177">
      <x:c r="A177" s="28"/>
    </x:row>
    <x:row r="178">
      <x:c r="A178" s="28"/>
    </x:row>
    <x:row r="179">
      <x:c r="A179" s="28"/>
    </x:row>
    <x:row r="180">
      <x:c r="A180" s="28"/>
    </x:row>
    <x:row r="181">
      <x:c r="A181" s="28"/>
    </x:row>
    <x:row r="182">
      <x:c r="A182" s="28"/>
    </x:row>
    <x:row r="183">
      <x:c r="A183" s="28"/>
    </x:row>
    <x:row r="184">
      <x:c r="A184" s="28"/>
    </x:row>
    <x:row r="185">
      <x:c r="A185" s="28"/>
    </x:row>
    <x:row r="186">
      <x:c r="A186" s="28"/>
    </x:row>
    <x:row r="187">
      <x:c r="A187" s="28"/>
    </x:row>
    <x:row r="188">
      <x:c r="A188" s="28"/>
    </x:row>
    <x:row r="189">
      <x:c r="A189" s="28"/>
    </x:row>
    <x:row r="190">
      <x:c r="A190" s="28"/>
    </x:row>
    <x:row r="191">
      <x:c r="A191" s="28"/>
    </x:row>
    <x:row r="192">
      <x:c r="A192" s="28"/>
    </x:row>
    <x:row r="193">
      <x:c r="A193" s="28"/>
    </x:row>
    <x:row r="194">
      <x:c r="A194" s="28"/>
    </x:row>
    <x:row r="195">
      <x:c r="A195" s="28"/>
    </x:row>
    <x:row r="196">
      <x:c r="A196" s="28"/>
    </x:row>
    <x:row r="197">
      <x:c r="A197" s="28"/>
    </x:row>
    <x:row r="198">
      <x:c r="A198" s="28"/>
    </x:row>
    <x:row r="199">
      <x:c r="A199" s="28"/>
    </x:row>
    <x:row r="200">
      <x:c r="A200" s="28"/>
    </x:row>
    <x:row r="201">
      <x:c r="A201" s="28"/>
    </x:row>
    <x:row r="202">
      <x:c r="A202" s="28"/>
    </x:row>
    <x:row r="203">
      <x:c r="A203" s="28"/>
    </x:row>
    <x:row r="204">
      <x:c r="A204" s="28"/>
    </x:row>
    <x:row r="205">
      <x:c r="A205" s="28"/>
    </x:row>
    <x:row r="206">
      <x:c r="A206" s="28"/>
    </x:row>
    <x:row r="207">
      <x:c r="A207" s="28"/>
    </x:row>
    <x:row r="208">
      <x:c r="A208" s="28"/>
    </x:row>
    <x:row r="209">
      <x:c r="A209" s="28"/>
    </x:row>
    <x:row r="210">
      <x:c r="A210" s="28"/>
    </x:row>
    <x:row r="211">
      <x:c r="A211" s="28"/>
    </x:row>
    <x:row r="212">
      <x:c r="A212" s="28"/>
    </x:row>
    <x:row r="213">
      <x:c r="A213" s="28"/>
    </x:row>
    <x:row r="214">
      <x:c r="A214" s="28"/>
    </x:row>
    <x:row r="215">
      <x:c r="A215" s="28"/>
    </x:row>
    <x:row r="216">
      <x:c r="A216" s="28"/>
    </x:row>
    <x:row r="217">
      <x:c r="A217" s="28"/>
    </x:row>
    <x:row r="218">
      <x:c r="A218" s="28"/>
    </x:row>
    <x:row r="219">
      <x:c r="A219" s="28"/>
    </x:row>
    <x:row r="220">
      <x:c r="A220" s="28"/>
    </x:row>
    <x:row r="221">
      <x:c r="A221" s="28"/>
    </x:row>
    <x:row r="222">
      <x:c r="A222" s="28"/>
    </x:row>
    <x:row r="223">
      <x:c r="A223" s="28"/>
    </x:row>
    <x:row r="224">
      <x:c r="A224" s="28"/>
    </x:row>
    <x:row r="225">
      <x:c r="A225" s="28"/>
    </x:row>
    <x:row r="226">
      <x:c r="A226" s="28"/>
    </x:row>
    <x:row r="227">
      <x:c r="A227" s="28"/>
    </x:row>
    <x:row r="228">
      <x:c r="A228" s="28"/>
    </x:row>
    <x:row r="229">
      <x:c r="A229" s="28"/>
    </x:row>
    <x:row r="230">
      <x:c r="A230" s="28"/>
    </x:row>
    <x:row r="231">
      <x:c r="A231" s="28"/>
    </x:row>
    <x:row r="232">
      <x:c r="A232" s="28"/>
    </x:row>
    <x:row r="233">
      <x:c r="A233" s="28"/>
    </x:row>
    <x:row r="234">
      <x:c r="A234" s="28"/>
    </x:row>
    <x:row r="235">
      <x:c r="A235" s="28"/>
    </x:row>
    <x:row r="236">
      <x:c r="A236" s="28"/>
    </x:row>
    <x:row r="237">
      <x:c r="A237" s="28"/>
    </x:row>
    <x:row r="238">
      <x:c r="A238" s="28"/>
    </x:row>
    <x:row r="239">
      <x:c r="A239" s="28"/>
    </x:row>
    <x:row r="240">
      <x:c r="A240" s="28"/>
    </x:row>
    <x:row r="241">
      <x:c r="A241" s="28"/>
    </x:row>
    <x:row r="242">
      <x:c r="A242" s="28"/>
    </x:row>
    <x:row r="243">
      <x:c r="A243" s="28"/>
    </x:row>
    <x:row r="244">
      <x:c r="A244" s="28"/>
    </x:row>
    <x:row r="245">
      <x:c r="A245" s="28"/>
    </x:row>
    <x:row r="246">
      <x:c r="A246" s="28"/>
    </x:row>
    <x:row r="247">
      <x:c r="A247" s="28"/>
    </x:row>
    <x:row r="248">
      <x:c r="A248" s="28"/>
    </x:row>
    <x:row r="249">
      <x:c r="A249" s="28"/>
    </x:row>
    <x:row r="250">
      <x:c r="A250" s="28"/>
    </x:row>
    <x:row r="251">
      <x:c r="A251" s="28"/>
    </x:row>
    <x:row r="252">
      <x:c r="A252" s="28"/>
    </x:row>
    <x:row r="253">
      <x:c r="A253" s="28"/>
    </x:row>
    <x:row r="254">
      <x:c r="A254" s="28"/>
    </x:row>
    <x:row r="255">
      <x:c r="A255" s="28"/>
    </x:row>
    <x:row r="256">
      <x:c r="A256" s="28"/>
    </x:row>
    <x:row r="257">
      <x:c r="A257" s="28"/>
    </x:row>
    <x:row r="258">
      <x:c r="A258" s="28"/>
    </x:row>
    <x:row r="259">
      <x:c r="A259" s="28"/>
    </x:row>
    <x:row r="260">
      <x:c r="A260" s="28"/>
    </x:row>
    <x:row r="261">
      <x:c r="A261" s="28"/>
    </x:row>
    <x:row r="262">
      <x:c r="A262" s="28"/>
    </x:row>
    <x:row r="263">
      <x:c r="A263" s="28"/>
    </x:row>
    <x:row r="264">
      <x:c r="A264" s="28"/>
    </x:row>
    <x:row r="265">
      <x:c r="A265" s="28"/>
    </x:row>
    <x:row r="266">
      <x:c r="A266" s="28"/>
    </x:row>
    <x:row r="267">
      <x:c r="A267" s="28"/>
    </x:row>
    <x:row r="268">
      <x:c r="A268" s="28"/>
    </x:row>
    <x:row r="269">
      <x:c r="A269" s="28"/>
    </x:row>
    <x:row r="270">
      <x:c r="A270" s="28"/>
    </x:row>
    <x:row r="271">
      <x:c r="A271" s="28"/>
    </x:row>
    <x:row r="272">
      <x:c r="A272" s="28"/>
    </x:row>
    <x:row r="273">
      <x:c r="A273" s="28"/>
    </x:row>
    <x:row r="274">
      <x:c r="A274" s="28"/>
    </x:row>
    <x:row r="275">
      <x:c r="A275" s="28"/>
    </x:row>
    <x:row r="276">
      <x:c r="A276" s="28"/>
    </x:row>
    <x:row r="277">
      <x:c r="A277" s="28"/>
    </x:row>
    <x:row r="278">
      <x:c r="A278" s="28"/>
    </x:row>
    <x:row r="279">
      <x:c r="A279" s="28"/>
    </x:row>
    <x:row r="280">
      <x:c r="A280" s="28"/>
    </x:row>
    <x:row r="281">
      <x:c r="A281" s="28"/>
    </x:row>
    <x:row r="282">
      <x:c r="A282" s="28"/>
    </x:row>
    <x:row r="283">
      <x:c r="A283" s="28"/>
    </x:row>
    <x:row r="284">
      <x:c r="A284" s="28"/>
    </x:row>
    <x:row r="285">
      <x:c r="A285" s="28"/>
    </x:row>
    <x:row r="286">
      <x:c r="A286" s="28"/>
    </x:row>
    <x:row r="287">
      <x:c r="A287" s="28"/>
    </x:row>
    <x:row r="288">
      <x:c r="A288" s="28"/>
    </x:row>
    <x:row r="289">
      <x:c r="A289" s="28"/>
    </x:row>
    <x:row r="290">
      <x:c r="A290" s="28"/>
    </x:row>
    <x:row r="291">
      <x:c r="A291" s="28"/>
    </x:row>
    <x:row r="292">
      <x:c r="A292" s="28"/>
    </x:row>
    <x:row r="293">
      <x:c r="A293" s="28"/>
    </x:row>
    <x:row r="294">
      <x:c r="A294" s="28"/>
    </x:row>
    <x:row r="295">
      <x:c r="A295" s="28"/>
    </x:row>
    <x:row r="296">
      <x:c r="A296" s="28"/>
    </x:row>
    <x:row r="297">
      <x:c r="A297" s="28"/>
    </x:row>
    <x:row r="298">
      <x:c r="A298" s="28"/>
    </x:row>
    <x:row r="299">
      <x:c r="A299" s="28"/>
    </x:row>
    <x:row r="300">
      <x:c r="A300" s="28"/>
    </x:row>
    <x:row r="301">
      <x:c r="A301" s="28"/>
    </x:row>
    <x:row r="302">
      <x:c r="A302" s="28"/>
    </x:row>
    <x:row r="303">
      <x:c r="A303" s="28"/>
    </x:row>
    <x:row r="304">
      <x:c r="A304" s="28"/>
    </x:row>
    <x:row r="305">
      <x:c r="A305" s="28"/>
    </x:row>
    <x:row r="306">
      <x:c r="A306" s="28"/>
    </x:row>
    <x:row r="307">
      <x:c r="A307" s="28"/>
    </x:row>
    <x:row r="308">
      <x:c r="A308" s="28"/>
    </x:row>
    <x:row r="309">
      <x:c r="A309" s="28"/>
    </x:row>
    <x:row r="310">
      <x:c r="A310" s="28"/>
    </x:row>
    <x:row r="311">
      <x:c r="A311" s="28"/>
    </x:row>
    <x:row r="312">
      <x:c r="A312" s="28"/>
    </x:row>
    <x:row r="313">
      <x:c r="A313" s="28"/>
    </x:row>
    <x:row r="314">
      <x:c r="A314" s="28"/>
    </x:row>
    <x:row r="315">
      <x:c r="A315" s="28"/>
    </x:row>
    <x:row r="316">
      <x:c r="A316" s="28"/>
    </x:row>
    <x:row r="317">
      <x:c r="A317" s="28"/>
    </x:row>
    <x:row r="318">
      <x:c r="A318" s="28"/>
    </x:row>
    <x:row r="319">
      <x:c r="A319" s="28"/>
    </x:row>
    <x:row r="320">
      <x:c r="A320" s="28"/>
    </x:row>
    <x:row r="321">
      <x:c r="A321" s="28"/>
    </x:row>
    <x:row r="322">
      <x:c r="A322" s="28"/>
    </x:row>
    <x:row r="323">
      <x:c r="A323" s="28"/>
    </x:row>
    <x:row r="324">
      <x:c r="A324" s="28"/>
    </x:row>
    <x:row r="325">
      <x:c r="A325" s="28"/>
    </x:row>
    <x:row r="326">
      <x:c r="A326" s="28"/>
    </x:row>
    <x:row r="327">
      <x:c r="A327" s="28"/>
    </x:row>
    <x:row r="328">
      <x:c r="A328" s="28"/>
    </x:row>
    <x:row r="329">
      <x:c r="A329" s="28"/>
    </x:row>
    <x:row r="330">
      <x:c r="A330" s="28"/>
    </x:row>
    <x:row r="331">
      <x:c r="A331" s="28"/>
    </x:row>
    <x:row r="332">
      <x:c r="A332" s="28"/>
    </x:row>
    <x:row r="333">
      <x:c r="A333" s="28"/>
    </x:row>
    <x:row r="334">
      <x:c r="A334" s="28"/>
    </x:row>
    <x:row r="335">
      <x:c r="A335" s="28"/>
    </x:row>
    <x:row r="336">
      <x:c r="A336" s="28"/>
    </x:row>
    <x:row r="337">
      <x:c r="A337" s="28"/>
    </x:row>
    <x:row r="338">
      <x:c r="A338" s="28"/>
    </x:row>
    <x:row r="339">
      <x:c r="A339" s="28"/>
    </x:row>
    <x:row r="340">
      <x:c r="A340" s="28"/>
    </x:row>
    <x:row r="341">
      <x:c r="A341" s="28"/>
    </x:row>
    <x:row r="342">
      <x:c r="A342" s="28"/>
    </x:row>
    <x:row r="343">
      <x:c r="A343" s="28"/>
    </x:row>
    <x:row r="344">
      <x:c r="A344" s="28"/>
    </x:row>
    <x:row r="345">
      <x:c r="A345" s="28"/>
    </x:row>
    <x:row r="346">
      <x:c r="A346" s="28"/>
    </x:row>
    <x:row r="347">
      <x:c r="A347" s="28"/>
    </x:row>
    <x:row r="348">
      <x:c r="A348" s="28"/>
    </x:row>
    <x:row r="349">
      <x:c r="A349" s="28"/>
    </x:row>
    <x:row r="350">
      <x:c r="A350" s="28"/>
    </x:row>
    <x:row r="351">
      <x:c r="A351" s="28"/>
    </x:row>
    <x:row r="352">
      <x:c r="A352" s="28"/>
    </x:row>
    <x:row r="353">
      <x:c r="A353" s="28"/>
    </x:row>
    <x:row r="354">
      <x:c r="A354" s="28"/>
    </x:row>
    <x:row r="355">
      <x:c r="A355" s="28"/>
    </x:row>
    <x:row r="356">
      <x:c r="A356" s="28"/>
    </x:row>
    <x:row r="357">
      <x:c r="A357" s="28"/>
    </x:row>
    <x:row r="358">
      <x:c r="A358" s="28"/>
    </x:row>
    <x:row r="359">
      <x:c r="A359" s="28"/>
    </x:row>
    <x:row r="360">
      <x:c r="A360" s="28"/>
    </x:row>
    <x:row r="361">
      <x:c r="A361" s="28"/>
    </x:row>
    <x:row r="362">
      <x:c r="A362" s="28"/>
    </x:row>
    <x:row r="363">
      <x:c r="A363" s="28"/>
    </x:row>
    <x:row r="364">
      <x:c r="A364" s="28"/>
    </x:row>
    <x:row r="365">
      <x:c r="A365" s="28"/>
    </x:row>
    <x:row r="366">
      <x:c r="A366" s="28"/>
    </x:row>
    <x:row r="367">
      <x:c r="A367" s="28"/>
    </x:row>
    <x:row r="368">
      <x:c r="A368" s="28"/>
    </x:row>
    <x:row r="369">
      <x:c r="A369" s="28"/>
    </x:row>
    <x:row r="370">
      <x:c r="A370" s="28"/>
    </x:row>
    <x:row r="371">
      <x:c r="A371" s="28"/>
    </x:row>
    <x:row r="372">
      <x:c r="A372" s="28"/>
    </x:row>
    <x:row r="373">
      <x:c r="A373" s="28"/>
    </x:row>
    <x:row r="374">
      <x:c r="A374" s="28"/>
    </x:row>
    <x:row r="375">
      <x:c r="A375" s="28"/>
    </x:row>
    <x:row r="376">
      <x:c r="A376" s="28"/>
    </x:row>
    <x:row r="377">
      <x:c r="A377" s="28"/>
    </x:row>
    <x:row r="378">
      <x:c r="A378" s="28"/>
    </x:row>
    <x:row r="379">
      <x:c r="A379" s="28"/>
    </x:row>
    <x:row r="380">
      <x:c r="A380" s="28"/>
    </x:row>
    <x:row r="381">
      <x:c r="A381" s="28"/>
    </x:row>
    <x:row r="382">
      <x:c r="A382" s="28"/>
    </x:row>
    <x:row r="383">
      <x:c r="A383" s="28"/>
    </x:row>
    <x:row r="384">
      <x:c r="A384" s="28"/>
    </x:row>
    <x:row r="385">
      <x:c r="A385" s="28"/>
    </x:row>
    <x:row r="386">
      <x:c r="A386" s="28"/>
    </x:row>
    <x:row r="387">
      <x:c r="A387" s="28"/>
    </x:row>
    <x:row r="388">
      <x:c r="A388" s="28"/>
    </x:row>
    <x:row r="389">
      <x:c r="A389" s="28"/>
    </x:row>
    <x:row r="390">
      <x:c r="A390" s="28"/>
    </x:row>
    <x:row r="391">
      <x:c r="A391" s="28"/>
    </x:row>
    <x:row r="392">
      <x:c r="A392" s="28"/>
    </x:row>
    <x:row r="393">
      <x:c r="A393" s="28"/>
    </x:row>
    <x:row r="394">
      <x:c r="A394" s="28"/>
    </x:row>
    <x:row r="395">
      <x:c r="A395" s="28"/>
    </x:row>
    <x:row r="396">
      <x:c r="A396" s="28"/>
    </x:row>
    <x:row r="397">
      <x:c r="A397" s="28"/>
    </x:row>
    <x:row r="398">
      <x:c r="A398" s="28"/>
    </x:row>
    <x:row r="399">
      <x:c r="A399" s="28"/>
    </x:row>
    <x:row r="400">
      <x:c r="A400" s="28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1" hidden="0" customWidth="1"/>
    <x:col min="4" max="4" width="16" hidden="0" customWidth="1"/>
    <x:col min="5" max="5" width="35" hidden="0" customWidth="1"/>
    <x:col min="6" max="6" width="34" hidden="0" customWidth="1"/>
    <x:col min="7" max="7" width="34" hidden="0" customWidth="1"/>
    <x:col min="8" max="8" width="40" hidden="0" customWidth="1"/>
    <x:col min="9" max="9" width="34" hidden="0" customWidth="1"/>
    <x:col min="10" max="10" width="42" hidden="0" customWidth="1"/>
  </x:cols>
  <x:sheetData>
    <x:row r="1" ht="28" customHeight="1">
      <x:c r="A1" s="38" t="str">
        <x:v>十类BOUND通道速查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2" customHeight="1">
      <x:c r="A2" s="13" t="str">
        <x:v>先确定主要BOUND通道，再结合靠近、空间、自主、拒绝、重订和接受照顾。十神只负责功能，不直接等于人格好坏。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28"/>
    </x:row>
    <x:row r="4">
      <x:c r="A4" s="22" t="str">
        <x:v>通道ID</x:v>
      </x:c>
      <x:c r="B4" s="22" t="str">
        <x:v>十神</x:v>
      </x:c>
      <x:c r="C4" s="22" t="str">
        <x:v>功能系统</x:v>
      </x:c>
      <x:c r="D4" s="22" t="str">
        <x:v>正式名称</x:v>
      </x:c>
      <x:c r="E4" s="22" t="str">
        <x:v>核心边界逻辑</x:v>
      </x:c>
      <x:c r="F4" s="22" t="str">
        <x:v>靠近方式</x:v>
      </x:c>
      <x:c r="G4" s="22" t="str">
        <x:v>空间／自主</x:v>
      </x:c>
      <x:c r="H4" s="22" t="str">
        <x:v>需求与拒绝</x:v>
      </x:c>
      <x:c r="I4" s="22" t="str">
        <x:v>接受照顾</x:v>
      </x:c>
      <x:c r="J4" s="22" t="str">
        <x:v>禁止误读</x:v>
      </x:c>
    </x:row>
    <x:row r="5">
      <x:c r="A5" s="32" t="str">
        <x:v>BD01</x:v>
      </x:c>
      <x:c r="B5" s="32" t="str">
        <x:v>比肩</x:v>
      </x:c>
      <x:c r="C5" s="32" t="str">
        <x:v>SYS01 自我边界系统</x:v>
      </x:c>
      <x:c r="D5" s="32" t="str">
        <x:v>平等自主</x:v>
      </x:c>
      <x:c r="E5" s="32" t="str">
        <x:v>通过平等、各自负责和保留个人决定权来维持亲密，重视“靠近但不替代彼此”。</x:v>
      </x:c>
      <x:c r="F5" s="32" t="str">
        <x:v>更容易把靠近建立在同频、互相尊重和并肩感上，不喜欢一开始就形成明显上下位。</x:v>
      </x:c>
      <x:c r="G5" s="32" t="str">
        <x:v>需要保留自己的判断、时间或处理空间，同时也愿意在清楚分工下共享。</x:v>
      </x:c>
      <x:c r="H5" s="32" t="str">
        <x:v>提出需要时更倾向用第一人称和具体协作表达，例如说明“我需要什么、你可以怎样配合”。 不合适时更容易直接说明不同意见、暂停某项安排，或把决定重新放回双方协商。</x:v>
      </x:c>
      <x:c r="I5" s="32" t="str">
        <x:v>更容易接受不过度接管、允许自己参与决定、尊重能力和选择权的照顾。</x:v>
      </x:c>
      <x:c r="J5" s="32" t="str">
        <x:v>不得推出用户计较、冷淡、不愿依赖、凡事AA、难以亲密、一定强势或不愿妥协。</x:v>
      </x:c>
    </x:row>
    <x:row r="6">
      <x:c r="A6" s="32" t="str">
        <x:v>BD02</x:v>
      </x:c>
      <x:c r="B6" s="32" t="str">
        <x:v>劫财</x:v>
      </x:c>
      <x:c r="C6" s="32" t="str">
        <x:v>SYS01 自我边界系统</x:v>
      </x:c>
      <x:c r="D6" s="32" t="str">
        <x:v>共同参与</x:v>
      </x:c>
      <x:c r="E6" s="32" t="str">
        <x:v>通过一起行动、即时反馈和共同调整边界来维持关系，边界更像在互动中不断校准。</x:v>
      </x:c>
      <x:c r="F6" s="32" t="str">
        <x:v>更容易在共同任务、共同体验或快速互动中拉近距离。</x:v>
      </x:c>
      <x:c r="G6" s="32" t="str">
        <x:v>个人空间较常随当下任务和双方参与度动态调整，重点是自己仍在场、仍能参与。</x:v>
      </x:c>
      <x:c r="H6" s="32" t="str">
        <x:v>需要支持时更容易直接发出邀约或任务式请求，希望对方一起做而不是只旁观。 不合适时可能先立刻调整行动、停止参与或更换分工，再补充说明。</x:v>
      </x:c>
      <x:c r="I6" s="32" t="str">
        <x:v>更容易在对方真正加入、共同承担和即时回应时感到被照顾。</x:v>
      </x:c>
      <x:c r="J6" s="32" t="str">
        <x:v>不得推出用户争抢、冲动、边界混乱、爱竞争、一定占有资源或无法长期稳定。</x:v>
      </x:c>
    </x:row>
    <x:row r="7">
      <x:c r="A7" s="32" t="str">
        <x:v>BD03</x:v>
      </x:c>
      <x:c r="B7" s="32" t="str">
        <x:v>食神</x:v>
      </x:c>
      <x:c r="C7" s="32" t="str">
        <x:v>SYS02 表达交流系统</x:v>
      </x:c>
      <x:c r="D7" s="32" t="str">
        <x:v>舒适靠近</x:v>
      </x:c>
      <x:c r="E7" s="32" t="str">
        <x:v>通过舒适、温和、低压力和日常陪伴逐渐建立亲密，边界重点是节奏不被强迫。</x:v>
      </x:c>
      <x:c r="F7" s="32" t="str">
        <x:v>更容易在轻松相处、生活分享和被照顾到节奏时自然靠近。</x:v>
      </x:c>
      <x:c r="G7" s="32" t="str">
        <x:v>需要让身体、情绪和生活节奏保持舒服；空间不一定很多，但不喜欢持续被催促。</x:v>
      </x:c>
      <x:c r="H7" s="32" t="str">
        <x:v>需求往往以温和铺垫、生活感受或希望相处更舒服的方式表达。 不舒服时更可能放慢节奏、减少刺激、请求缓冲，而不是立刻把关系定义为拒绝。</x:v>
      </x:c>
      <x:c r="I7" s="32" t="str">
        <x:v>更容易接受温和、耐心、不催促、能照顾身心状态的支持。</x:v>
      </x:c>
      <x:c r="J7" s="32" t="str">
        <x:v>不得推出用户讨好、没有原则、怕冲突、依赖舒适区、拒绝成长或永远情绪稳定。</x:v>
      </x:c>
    </x:row>
    <x:row r="8">
      <x:c r="A8" s="32" t="str">
        <x:v>BD04</x:v>
      </x:c>
      <x:c r="B8" s="32" t="str">
        <x:v>伤官</x:v>
      </x:c>
      <x:c r="C8" s="32" t="str">
        <x:v>SYS02 表达交流系统</x:v>
      </x:c>
      <x:c r="D8" s="32" t="str">
        <x:v>清楚协商</x:v>
      </x:c>
      <x:c r="E8" s="32" t="str">
        <x:v>通过把需求、观点、权限和不舒服说清楚来建立边界，重视理解和可讨论性。</x:v>
      </x:c>
      <x:c r="F8" s="32" t="str">
        <x:v>更容易因深度交流、思想理解和能说真话而拉近距离。</x:v>
      </x:c>
      <x:c r="G8" s="32" t="str">
        <x:v>空间需求常通过说明理由、解释卡点和讨论规则来呈现，不只靠沉默拉开距离。</x:v>
      </x:c>
      <x:c r="H8" s="32" t="str">
        <x:v>更倾向把需求、逻辑、背景和希望对方怎样回应说得具体。 拒绝时更容易解释原因、指出不一致，并提出替代方案或重新商量。</x:v>
      </x:c>
      <x:c r="I8" s="32" t="str">
        <x:v>更容易接受能回应具体问题、允许提问、尊重观点和可验证的照顾。</x:v>
      </x:c>
      <x:c r="J8" s="32" t="str">
        <x:v>不得推出用户爱批评、说话伤人、难相处、凡事争辩、缺少情绪价值或一定反权威。</x:v>
      </x:c>
    </x:row>
    <x:row r="9">
      <x:c r="A9" s="32" t="str">
        <x:v>BD05</x:v>
      </x:c>
      <x:c r="B9" s="32" t="str">
        <x:v>正财</x:v>
      </x:c>
      <x:c r="C9" s="32" t="str">
        <x:v>SYS03 投入经营系统</x:v>
      </x:c>
      <x:c r="D9" s="32" t="str">
        <x:v>稳定共享</x:v>
      </x:c>
      <x:c r="E9" s="32" t="str">
        <x:v>通过稳定共享时间、生活安排和现实资源建立边界，重视可预期、可落实和分工清楚。</x:v>
      </x:c>
      <x:c r="F9" s="32" t="str">
        <x:v>更容易在持续出现、日常安排和现实生活逐步融合中确认亲密。</x:v>
      </x:c>
      <x:c r="G9" s="32" t="str">
        <x:v>个人与共同空间常通过时间表、预算、事务分工和生活习惯来划分。</x:v>
      </x:c>
      <x:c r="H9" s="32" t="str">
        <x:v>需求更容易被表达成具体时间、资源、生活事项和可执行安排。 拒绝或调整常基于资源不足、时间冲突、现实责任或原有安排。</x:v>
      </x:c>
      <x:c r="I9" s="32" t="str">
        <x:v>更容易接受持续、可靠、落实到日常并尊重共同安排的照顾。</x:v>
      </x:c>
      <x:c r="J9" s="32" t="str">
        <x:v>不得推出用户功利、只看金钱、缺乏浪漫、严格算账、一定同居或一定承担家务。</x:v>
      </x:c>
    </x:row>
    <x:row r="10">
      <x:c r="A10" s="32" t="str">
        <x:v>BD06</x:v>
      </x:c>
      <x:c r="B10" s="32" t="str">
        <x:v>偏财</x:v>
      </x:c>
      <x:c r="C10" s="32" t="str">
        <x:v>SYS03 投入经营系统</x:v>
      </x:c>
      <x:c r="D10" s="32" t="str">
        <x:v>弹性共享</x:v>
      </x:c>
      <x:c r="E10" s="32" t="str">
        <x:v>通过灵活分配时间、资源、体验和社交空间维持亲密，边界会随现实和互动调整。</x:v>
      </x:c>
      <x:c r="F10" s="32" t="str">
        <x:v>更容易在有趣互动、共同体验和即时回应中迅速增加熟悉感。</x:v>
      </x:c>
      <x:c r="G10" s="32" t="str">
        <x:v>共享范围较有弹性，可能在不同场景切换个人、伴侣与社交空间。</x:v>
      </x:c>
      <x:c r="H10" s="32" t="str">
        <x:v>需求常以当下机会、体验、资源和灵活安排的形式提出。 不合适时更倾向调整时间、方式、场景或资源，而不是永远固定一种安排。</x:v>
      </x:c>
      <x:c r="I10" s="32" t="str">
        <x:v>更容易接受灵活、及时、有实际便利并不过度绑定的支持。</x:v>
      </x:c>
      <x:c r="J10" s="32" t="str">
        <x:v>不得推出用户花心、没有原则、边界开放、爱暧昧、挥霍或无法进入稳定关系。</x:v>
      </x:c>
    </x:row>
    <x:row r="11">
      <x:c r="A11" s="32" t="str">
        <x:v>BD07</x:v>
      </x:c>
      <x:c r="B11" s="32" t="str">
        <x:v>正官</x:v>
      </x:c>
      <x:c r="C11" s="32" t="str">
        <x:v>SYS04 责任行动系统</x:v>
      </x:c>
      <x:c r="D11" s="32" t="str">
        <x:v>规则角色</x:v>
      </x:c>
      <x:c r="E11" s="32" t="str">
        <x:v>通过明确关系角色、责任、承诺和共同规则建立安全边界，重视谁负责什么、怎样兑现。</x:v>
      </x:c>
      <x:c r="F11" s="32" t="str">
        <x:v>当关系定位、责任和彼此态度较清楚时，更容易安心靠近。</x:v>
      </x:c>
      <x:c r="G11" s="32" t="str">
        <x:v>个人权限和共同事务常通过约定、角色和规则来分配。</x:v>
      </x:c>
      <x:c r="H11" s="32" t="str">
        <x:v>需求更容易以责任、约定、应做事项和双方怎样配合来说明。 越过原则、承诺或角色边界时，更容易明确指出并要求回到约定。</x:v>
      </x:c>
      <x:c r="I11" s="32" t="str">
        <x:v>更容易接受守约、有交代、尊重规则并愿意承担后果的照顾。</x:v>
      </x:c>
      <x:c r="J11" s="32" t="str">
        <x:v>不得推出用户古板、爱管人、权威主义、传统性别角色、缺少感情或关系必然稳定。</x:v>
      </x:c>
    </x:row>
    <x:row r="12">
      <x:c r="A12" s="32" t="str">
        <x:v>BD08</x:v>
      </x:c>
      <x:c r="B12" s="32" t="str">
        <x:v>七杀</x:v>
      </x:c>
      <x:c r="C12" s="32" t="str">
        <x:v>SYS04 责任行动系统</x:v>
      </x:c>
      <x:c r="D12" s="32" t="str">
        <x:v>决断保护</x:v>
      </x:c>
      <x:c r="E12" s="32" t="str">
        <x:v>通过快速判断、明确止线和关键时刻保护来维护边界，压力下更重视及时有效。</x:v>
      </x:c>
      <x:c r="F12" s="32" t="str">
        <x:v>对方行动清楚、能承担并在关键时刻站出来时，更容易建立信任和靠近。</x:v>
      </x:c>
      <x:c r="G12" s="32" t="str">
        <x:v>需要明确哪些事情不能越过；压力增加时会更快划定权限或停止线。</x:v>
      </x:c>
      <x:c r="H12" s="32" t="str">
        <x:v>需求表达通常更简洁、目标明确，强调现在要处理什么和谁来承担。 不合适时更可能立即说停、结束当前行动或先把风险隔开。</x:v>
      </x:c>
      <x:c r="I12" s="32" t="str">
        <x:v>更容易接受果断、有效、真正解决问题并承担后续的支持。</x:v>
      </x:c>
      <x:c r="J12" s="32" t="str">
        <x:v>不得推出用户暴力、控制、威胁、情绪粗暴、一定替对方决定或关系存在危险。</x:v>
      </x:c>
    </x:row>
    <x:row r="13">
      <x:c r="A13" s="32" t="str">
        <x:v>BD09</x:v>
      </x:c>
      <x:c r="B13" s="32" t="str">
        <x:v>正印</x:v>
      </x:c>
      <x:c r="C13" s="32" t="str">
        <x:v>SYS05 承接内化系统</x:v>
      </x:c>
      <x:c r="D13" s="32" t="str">
        <x:v>安全依托</x:v>
      </x:c>
      <x:c r="E13" s="32" t="str">
        <x:v>通过理解、稳定回应和可信承接建立亲密，愿意在安全中依靠关系，同时保留内在确认。</x:v>
      </x:c>
      <x:c r="F13" s="32" t="str">
        <x:v>更容易在被理解、被尊重和有稳定回应时逐渐开放。</x:v>
      </x:c>
      <x:c r="G13" s="32" t="str">
        <x:v>空间需求常与情绪安全有关：不一定要求远离，而是需要不被催促和不被轻易否定。</x:v>
      </x:c>
      <x:c r="H13" s="32" t="str">
        <x:v>需求更容易在信任和耐心中逐步说出，希望得到时间、理解和稳定陪伴。 不安全时可能先退回观察或请求缓冲，安全恢复后再说明完整立场。</x:v>
      </x:c>
      <x:c r="I13" s="32" t="str">
        <x:v>更容易接受耐心、可信、不催促、愿意理解背景并提供稳定承接的照顾。</x:v>
      </x:c>
      <x:c r="J13" s="32" t="str">
        <x:v>不得推出用户软弱、依赖、没有边界、需要被拯救、母性父性过强或没有独立能力。</x:v>
      </x:c>
    </x:row>
    <x:row r="14">
      <x:c r="A14" s="32" t="str">
        <x:v>BD10</x:v>
      </x:c>
      <x:c r="B14" s="32" t="str">
        <x:v>偏印</x:v>
      </x:c>
      <x:c r="C14" s="32" t="str">
        <x:v>SYS05 承接内化系统</x:v>
      </x:c>
      <x:c r="D14" s="32" t="str">
        <x:v>选择性空间</x:v>
      </x:c>
      <x:c r="E14" s="32" t="str">
        <x:v>通过选择性开放、内部整理和尊重私人空间维持亲密，重视深度而不是持续暴露。</x:v>
      </x:c>
      <x:c r="F14" s="32" t="str">
        <x:v>更容易在对方有深度、尊重复杂性且不过度打扰时逐渐靠近。</x:v>
      </x:c>
      <x:c r="G14" s="32" t="str">
        <x:v>个人空间和内部处理时间较重要，分享通常更有选择，不等于完全不分享。</x:v>
      </x:c>
      <x:c r="H14" s="32" t="str">
        <x:v>需求可能先在内部整理，再以较精准、专业或针对核心卡点的方式表达。 不合适时可能先暂停、拉开一点距离或减少信息输入，之后再给出选择性说明。</x:v>
      </x:c>
      <x:c r="I14" s="32" t="str">
        <x:v>更容易接受精准、不侵入、允许独立消化并尊重特殊需要的照顾。</x:v>
      </x:c>
      <x:c r="J14" s="32" t="str">
        <x:v>不得推出用户冷漠、神秘、回避亲密、精神异常、故意不说或拒绝任何依赖。</x:v>
      </x:c>
    </x:row>
    <x:row r="15">
      <x:c r="A15" s="28"/>
    </x:row>
    <x:row r="16">
      <x:c r="A16" s="28"/>
    </x:row>
    <x:row r="17">
      <x:c r="A17" s="28"/>
    </x:row>
    <x:row r="18">
      <x:c r="A18" s="28"/>
    </x:row>
    <x:row r="19">
      <x:c r="A19" s="28"/>
    </x:row>
    <x:row r="20">
      <x:c r="A20" s="28"/>
    </x:row>
    <x:row r="21">
      <x:c r="A21" s="28"/>
    </x:row>
    <x:row r="22">
      <x:c r="A22" s="28"/>
    </x:row>
    <x:row r="23">
      <x:c r="A23" s="28"/>
    </x:row>
    <x:row r="24">
      <x:c r="A24" s="28"/>
    </x:row>
    <x:row r="25">
      <x:c r="A25" s="28"/>
    </x:row>
    <x:row r="26">
      <x:c r="A26" s="28"/>
    </x:row>
    <x:row r="27">
      <x:c r="A27" s="28"/>
    </x:row>
    <x:row r="28">
      <x:c r="A28" s="28"/>
    </x:row>
    <x:row r="29">
      <x:c r="A29" s="28"/>
    </x:row>
    <x:row r="30">
      <x:c r="A30" s="28"/>
    </x:row>
    <x:row r="31">
      <x:c r="A31" s="28"/>
    </x:row>
    <x:row r="32">
      <x:c r="A32" s="28"/>
    </x:row>
    <x:row r="33">
      <x:c r="A33" s="28"/>
    </x:row>
    <x:row r="34">
      <x:c r="A34" s="28"/>
    </x:row>
    <x:row r="35">
      <x:c r="A35" s="28"/>
    </x:row>
    <x:row r="36">
      <x:c r="A36" s="28"/>
    </x:row>
    <x:row r="37">
      <x:c r="A37" s="28"/>
    </x:row>
    <x:row r="38">
      <x:c r="A38" s="28"/>
    </x:row>
    <x:row r="39">
      <x:c r="A39" s="28"/>
    </x:row>
    <x:row r="40">
      <x:c r="A40" s="28"/>
    </x:row>
    <x:row r="41">
      <x:c r="A41" s="28"/>
    </x:row>
    <x:row r="42">
      <x:c r="A42" s="28"/>
    </x:row>
    <x:row r="43">
      <x:c r="A43" s="28"/>
    </x:row>
    <x:row r="44">
      <x:c r="A44" s="28"/>
    </x:row>
    <x:row r="45">
      <x:c r="A45" s="28"/>
    </x:row>
    <x:row r="46">
      <x:c r="A46" s="28"/>
    </x:row>
    <x:row r="47">
      <x:c r="A47" s="28"/>
    </x:row>
    <x:row r="48">
      <x:c r="A48" s="28"/>
    </x:row>
    <x:row r="49">
      <x:c r="A49" s="28"/>
    </x:row>
    <x:row r="50">
      <x:c r="A50" s="28"/>
    </x:row>
    <x:row r="51">
      <x:c r="A51" s="28"/>
    </x:row>
    <x:row r="52">
      <x:c r="A52" s="28"/>
    </x:row>
    <x:row r="53">
      <x:c r="A53" s="28"/>
    </x:row>
    <x:row r="54">
      <x:c r="A54" s="28"/>
    </x:row>
    <x:row r="55">
      <x:c r="A55" s="28"/>
    </x:row>
    <x:row r="56">
      <x:c r="A56" s="28"/>
    </x:row>
    <x:row r="57">
      <x:c r="A57" s="28"/>
    </x:row>
    <x:row r="58">
      <x:c r="A58" s="28"/>
    </x:row>
    <x:row r="59">
      <x:c r="A59" s="28"/>
    </x:row>
    <x:row r="60">
      <x:c r="A60" s="28"/>
    </x:row>
    <x:row r="61">
      <x:c r="A61" s="28"/>
    </x:row>
    <x:row r="62">
      <x:c r="A62" s="28"/>
    </x:row>
    <x:row r="63">
      <x:c r="A63" s="28"/>
    </x:row>
    <x:row r="64">
      <x:c r="A64" s="28"/>
    </x:row>
    <x:row r="65">
      <x:c r="A65" s="28"/>
    </x:row>
    <x:row r="66">
      <x:c r="A66" s="28"/>
    </x:row>
    <x:row r="67">
      <x:c r="A67" s="28"/>
    </x:row>
    <x:row r="68">
      <x:c r="A68" s="28"/>
    </x:row>
    <x:row r="69">
      <x:c r="A69" s="28"/>
    </x:row>
    <x:row r="70">
      <x:c r="A70" s="28"/>
    </x:row>
    <x:row r="71">
      <x:c r="A71" s="28"/>
    </x:row>
    <x:row r="72">
      <x:c r="A72" s="28"/>
    </x:row>
    <x:row r="73">
      <x:c r="A73" s="28"/>
    </x:row>
    <x:row r="74">
      <x:c r="A74" s="28"/>
    </x:row>
    <x:row r="75">
      <x:c r="A75" s="28"/>
    </x:row>
    <x:row r="76">
      <x:c r="A76" s="28"/>
    </x:row>
    <x:row r="77">
      <x:c r="A77" s="28"/>
    </x:row>
    <x:row r="78">
      <x:c r="A78" s="28"/>
    </x:row>
    <x:row r="79">
      <x:c r="A79" s="28"/>
    </x:row>
    <x:row r="80">
      <x:c r="A80" s="28"/>
    </x:row>
    <x:row r="81">
      <x:c r="A81" s="28"/>
    </x:row>
    <x:row r="82">
      <x:c r="A82" s="28"/>
    </x:row>
    <x:row r="83">
      <x:c r="A83" s="28"/>
    </x:row>
    <x:row r="84">
      <x:c r="A84" s="28"/>
    </x:row>
    <x:row r="85">
      <x:c r="A85" s="28"/>
    </x:row>
    <x:row r="86">
      <x:c r="A86" s="28"/>
    </x:row>
    <x:row r="87">
      <x:c r="A87" s="28"/>
    </x:row>
    <x:row r="88">
      <x:c r="A88" s="28"/>
    </x:row>
    <x:row r="89">
      <x:c r="A89" s="28"/>
    </x:row>
    <x:row r="90">
      <x:c r="A90" s="28"/>
    </x:row>
    <x:row r="91">
      <x:c r="A91" s="28"/>
    </x:row>
    <x:row r="92">
      <x:c r="A92" s="28"/>
    </x:row>
    <x:row r="93">
      <x:c r="A93" s="28"/>
    </x:row>
    <x:row r="94">
      <x:c r="A94" s="28"/>
    </x:row>
    <x:row r="95">
      <x:c r="A95" s="28"/>
    </x:row>
    <x:row r="96">
      <x:c r="A96" s="28"/>
    </x:row>
    <x:row r="97">
      <x:c r="A97" s="28"/>
    </x:row>
    <x:row r="98">
      <x:c r="A98" s="28"/>
    </x:row>
    <x:row r="99">
      <x:c r="A99" s="28"/>
    </x:row>
    <x:row r="100">
      <x:c r="A100" s="28"/>
    </x:row>
    <x:row r="101">
      <x:c r="A101" s="28"/>
    </x:row>
    <x:row r="102">
      <x:c r="A102" s="28"/>
    </x:row>
    <x:row r="103">
      <x:c r="A103" s="28"/>
    </x:row>
    <x:row r="104">
      <x:c r="A104" s="28"/>
    </x:row>
    <x:row r="105">
      <x:c r="A105" s="28"/>
    </x:row>
    <x:row r="106">
      <x:c r="A106" s="28"/>
    </x:row>
    <x:row r="107">
      <x:c r="A107" s="28"/>
    </x:row>
    <x:row r="108">
      <x:c r="A108" s="28"/>
    </x:row>
    <x:row r="109">
      <x:c r="A109" s="28"/>
    </x:row>
    <x:row r="110">
      <x:c r="A110" s="28"/>
    </x:row>
    <x:row r="111">
      <x:c r="A111" s="28"/>
    </x:row>
    <x:row r="112">
      <x:c r="A112" s="28"/>
    </x:row>
    <x:row r="113">
      <x:c r="A113" s="28"/>
    </x:row>
    <x:row r="114">
      <x:c r="A114" s="28"/>
    </x:row>
    <x:row r="115">
      <x:c r="A115" s="28"/>
    </x:row>
    <x:row r="116">
      <x:c r="A116" s="28"/>
    </x:row>
    <x:row r="117">
      <x:c r="A117" s="28"/>
    </x:row>
    <x:row r="118">
      <x:c r="A118" s="28"/>
    </x:row>
    <x:row r="119">
      <x:c r="A119" s="28"/>
    </x:row>
    <x:row r="120">
      <x:c r="A120" s="28"/>
    </x:row>
    <x:row r="121">
      <x:c r="A121" s="28"/>
    </x:row>
    <x:row r="122">
      <x:c r="A122" s="28"/>
    </x:row>
    <x:row r="123">
      <x:c r="A123" s="28"/>
    </x:row>
    <x:row r="124">
      <x:c r="A124" s="28"/>
    </x:row>
    <x:row r="125">
      <x:c r="A125" s="28"/>
    </x:row>
    <x:row r="126">
      <x:c r="A126" s="28"/>
    </x:row>
    <x:row r="127">
      <x:c r="A127" s="28"/>
    </x:row>
    <x:row r="128">
      <x:c r="A128" s="28"/>
    </x:row>
    <x:row r="129">
      <x:c r="A129" s="28"/>
    </x:row>
    <x:row r="130">
      <x:c r="A130" s="28"/>
    </x:row>
    <x:row r="131">
      <x:c r="A131" s="28"/>
    </x:row>
    <x:row r="132">
      <x:c r="A132" s="28"/>
    </x:row>
    <x:row r="133">
      <x:c r="A133" s="28"/>
    </x:row>
    <x:row r="134">
      <x:c r="A134" s="28"/>
    </x:row>
    <x:row r="135">
      <x:c r="A135" s="28"/>
    </x:row>
    <x:row r="136">
      <x:c r="A136" s="28"/>
    </x:row>
    <x:row r="137">
      <x:c r="A137" s="28"/>
    </x:row>
    <x:row r="138">
      <x:c r="A138" s="28"/>
    </x:row>
    <x:row r="139">
      <x:c r="A139" s="28"/>
    </x:row>
    <x:row r="140">
      <x:c r="A140" s="28"/>
    </x:row>
    <x:row r="141">
      <x:c r="A141" s="28"/>
    </x:row>
    <x:row r="142">
      <x:c r="A142" s="28"/>
    </x:row>
    <x:row r="143">
      <x:c r="A143" s="28"/>
    </x:row>
    <x:row r="144">
      <x:c r="A144" s="28"/>
    </x:row>
    <x:row r="145">
      <x:c r="A145" s="28"/>
    </x:row>
    <x:row r="146">
      <x:c r="A146" s="28"/>
    </x:row>
    <x:row r="147">
      <x:c r="A147" s="28"/>
    </x:row>
    <x:row r="148">
      <x:c r="A148" s="28"/>
    </x:row>
    <x:row r="149">
      <x:c r="A149" s="28"/>
    </x:row>
    <x:row r="150">
      <x:c r="A150" s="28"/>
    </x:row>
    <x:row r="151">
      <x:c r="A151" s="28"/>
    </x:row>
    <x:row r="152">
      <x:c r="A152" s="28"/>
    </x:row>
    <x:row r="153">
      <x:c r="A153" s="28"/>
    </x:row>
    <x:row r="154">
      <x:c r="A154" s="28"/>
    </x:row>
    <x:row r="155">
      <x:c r="A155" s="28"/>
    </x:row>
    <x:row r="156">
      <x:c r="A156" s="28"/>
    </x:row>
    <x:row r="157">
      <x:c r="A157" s="28"/>
    </x:row>
    <x:row r="158">
      <x:c r="A158" s="28"/>
    </x:row>
    <x:row r="159">
      <x:c r="A159" s="28"/>
    </x:row>
    <x:row r="160">
      <x:c r="A160" s="28"/>
    </x:row>
    <x:row r="161">
      <x:c r="A161" s="28"/>
    </x:row>
    <x:row r="162">
      <x:c r="A162" s="28"/>
    </x:row>
    <x:row r="163">
      <x:c r="A163" s="28"/>
    </x:row>
    <x:row r="164">
      <x:c r="A164" s="28"/>
    </x:row>
    <x:row r="165">
      <x:c r="A165" s="28"/>
    </x:row>
    <x:row r="166">
      <x:c r="A166" s="28"/>
    </x:row>
    <x:row r="167">
      <x:c r="A167" s="28"/>
    </x:row>
    <x:row r="168">
      <x:c r="A168" s="28"/>
    </x:row>
    <x:row r="169">
      <x:c r="A169" s="28"/>
    </x:row>
    <x:row r="170">
      <x:c r="A170" s="28"/>
    </x:row>
    <x:row r="171">
      <x:c r="A171" s="28"/>
    </x:row>
    <x:row r="172">
      <x:c r="A172" s="28"/>
    </x:row>
    <x:row r="173">
      <x:c r="A173" s="28"/>
    </x:row>
    <x:row r="174">
      <x:c r="A174" s="28"/>
    </x:row>
    <x:row r="175">
      <x:c r="A175" s="28"/>
    </x:row>
    <x:row r="176">
      <x:c r="A176" s="28"/>
    </x:row>
    <x:row r="177">
      <x:c r="A177" s="28"/>
    </x:row>
    <x:row r="178">
      <x:c r="A178" s="28"/>
    </x:row>
    <x:row r="179">
      <x:c r="A179" s="28"/>
    </x:row>
    <x:row r="180">
      <x:c r="A180" s="28"/>
    </x:row>
    <x:row r="181">
      <x:c r="A181" s="28"/>
    </x:row>
    <x:row r="182">
      <x:c r="A182" s="28"/>
    </x:row>
    <x:row r="183">
      <x:c r="A183" s="28"/>
    </x:row>
    <x:row r="184">
      <x:c r="A184" s="28"/>
    </x:row>
    <x:row r="185">
      <x:c r="A185" s="28"/>
    </x:row>
    <x:row r="186">
      <x:c r="A186" s="28"/>
    </x:row>
    <x:row r="187">
      <x:c r="A187" s="28"/>
    </x:row>
    <x:row r="188">
      <x:c r="A188" s="28"/>
    </x:row>
    <x:row r="189">
      <x:c r="A189" s="28"/>
    </x:row>
    <x:row r="190">
      <x:c r="A190" s="28"/>
    </x:row>
    <x:row r="191">
      <x:c r="A191" s="28"/>
    </x:row>
    <x:row r="192">
      <x:c r="A192" s="28"/>
    </x:row>
    <x:row r="193">
      <x:c r="A193" s="28"/>
    </x:row>
    <x:row r="194">
      <x:c r="A194" s="28"/>
    </x:row>
    <x:row r="195">
      <x:c r="A195" s="28"/>
    </x:row>
    <x:row r="196">
      <x:c r="A196" s="28"/>
    </x:row>
    <x:row r="197">
      <x:c r="A197" s="28"/>
    </x:row>
    <x:row r="198">
      <x:c r="A198" s="28"/>
    </x:row>
    <x:row r="199">
      <x:c r="A199" s="28"/>
    </x:row>
    <x:row r="200">
      <x:c r="A200" s="28"/>
    </x:row>
    <x:row r="201">
      <x:c r="A201" s="28"/>
    </x:row>
    <x:row r="202">
      <x:c r="A202" s="28"/>
    </x:row>
    <x:row r="203">
      <x:c r="A203" s="28"/>
    </x:row>
    <x:row r="204">
      <x:c r="A204" s="28"/>
    </x:row>
    <x:row r="205">
      <x:c r="A205" s="28"/>
    </x:row>
    <x:row r="206">
      <x:c r="A206" s="28"/>
    </x:row>
    <x:row r="207">
      <x:c r="A207" s="28"/>
    </x:row>
    <x:row r="208">
      <x:c r="A208" s="28"/>
    </x:row>
    <x:row r="209">
      <x:c r="A209" s="28"/>
    </x:row>
    <x:row r="210">
      <x:c r="A210" s="28"/>
    </x:row>
    <x:row r="211">
      <x:c r="A211" s="28"/>
    </x:row>
    <x:row r="212">
      <x:c r="A212" s="28"/>
    </x:row>
    <x:row r="213">
      <x:c r="A213" s="28"/>
    </x:row>
    <x:row r="214">
      <x:c r="A214" s="28"/>
    </x:row>
    <x:row r="215">
      <x:c r="A215" s="28"/>
    </x:row>
    <x:row r="216">
      <x:c r="A216" s="28"/>
    </x:row>
    <x:row r="217">
      <x:c r="A217" s="28"/>
    </x:row>
    <x:row r="218">
      <x:c r="A218" s="28"/>
    </x:row>
    <x:row r="219">
      <x:c r="A219" s="28"/>
    </x:row>
    <x:row r="220">
      <x:c r="A220" s="28"/>
    </x:row>
    <x:row r="221">
      <x:c r="A221" s="28"/>
    </x:row>
    <x:row r="222">
      <x:c r="A222" s="28"/>
    </x:row>
    <x:row r="223">
      <x:c r="A223" s="28"/>
    </x:row>
    <x:row r="224">
      <x:c r="A224" s="28"/>
    </x:row>
    <x:row r="225">
      <x:c r="A225" s="28"/>
    </x:row>
    <x:row r="226">
      <x:c r="A226" s="28"/>
    </x:row>
    <x:row r="227">
      <x:c r="A227" s="28"/>
    </x:row>
    <x:row r="228">
      <x:c r="A228" s="28"/>
    </x:row>
    <x:row r="229">
      <x:c r="A229" s="28"/>
    </x:row>
    <x:row r="230">
      <x:c r="A230" s="28"/>
    </x:row>
    <x:row r="231">
      <x:c r="A231" s="28"/>
    </x:row>
    <x:row r="232">
      <x:c r="A232" s="28"/>
    </x:row>
    <x:row r="233">
      <x:c r="A233" s="28"/>
    </x:row>
    <x:row r="234">
      <x:c r="A234" s="28"/>
    </x:row>
    <x:row r="235">
      <x:c r="A235" s="28"/>
    </x:row>
    <x:row r="236">
      <x:c r="A236" s="28"/>
    </x:row>
    <x:row r="237">
      <x:c r="A237" s="28"/>
    </x:row>
    <x:row r="238">
      <x:c r="A238" s="28"/>
    </x:row>
    <x:row r="239">
      <x:c r="A239" s="28"/>
    </x:row>
    <x:row r="240">
      <x:c r="A240" s="28"/>
    </x:row>
    <x:row r="241">
      <x:c r="A241" s="28"/>
    </x:row>
    <x:row r="242">
      <x:c r="A242" s="28"/>
    </x:row>
    <x:row r="243">
      <x:c r="A243" s="28"/>
    </x:row>
    <x:row r="244">
      <x:c r="A244" s="28"/>
    </x:row>
    <x:row r="245">
      <x:c r="A245" s="28"/>
    </x:row>
    <x:row r="246">
      <x:c r="A246" s="28"/>
    </x:row>
    <x:row r="247">
      <x:c r="A247" s="28"/>
    </x:row>
    <x:row r="248">
      <x:c r="A248" s="28"/>
    </x:row>
    <x:row r="249">
      <x:c r="A249" s="28"/>
    </x:row>
    <x:row r="250">
      <x:c r="A250" s="28"/>
    </x:row>
    <x:row r="251">
      <x:c r="A251" s="28"/>
    </x:row>
    <x:row r="252">
      <x:c r="A252" s="28"/>
    </x:row>
    <x:row r="253">
      <x:c r="A253" s="28"/>
    </x:row>
    <x:row r="254">
      <x:c r="A254" s="28"/>
    </x:row>
    <x:row r="255">
      <x:c r="A255" s="28"/>
    </x:row>
    <x:row r="256">
      <x:c r="A256" s="28"/>
    </x:row>
    <x:row r="257">
      <x:c r="A257" s="28"/>
    </x:row>
    <x:row r="258">
      <x:c r="A258" s="28"/>
    </x:row>
    <x:row r="259">
      <x:c r="A259" s="28"/>
    </x:row>
    <x:row r="260">
      <x:c r="A260" s="28"/>
    </x:row>
    <x:row r="261">
      <x:c r="A261" s="28"/>
    </x:row>
    <x:row r="262">
      <x:c r="A262" s="28"/>
    </x:row>
    <x:row r="263">
      <x:c r="A263" s="28"/>
    </x:row>
    <x:row r="264">
      <x:c r="A264" s="28"/>
    </x:row>
    <x:row r="265">
      <x:c r="A265" s="28"/>
    </x:row>
    <x:row r="266">
      <x:c r="A266" s="28"/>
    </x:row>
    <x:row r="267">
      <x:c r="A267" s="28"/>
    </x:row>
    <x:row r="268">
      <x:c r="A268" s="28"/>
    </x:row>
    <x:row r="269">
      <x:c r="A269" s="28"/>
    </x:row>
    <x:row r="270">
      <x:c r="A270" s="28"/>
    </x:row>
    <x:row r="271">
      <x:c r="A271" s="28"/>
    </x:row>
    <x:row r="272">
      <x:c r="A272" s="28"/>
    </x:row>
    <x:row r="273">
      <x:c r="A273" s="28"/>
    </x:row>
    <x:row r="274">
      <x:c r="A274" s="28"/>
    </x:row>
    <x:row r="275">
      <x:c r="A275" s="28"/>
    </x:row>
    <x:row r="276">
      <x:c r="A276" s="28"/>
    </x:row>
    <x:row r="277">
      <x:c r="A277" s="28"/>
    </x:row>
    <x:row r="278">
      <x:c r="A278" s="28"/>
    </x:row>
    <x:row r="279">
      <x:c r="A279" s="28"/>
    </x:row>
    <x:row r="280">
      <x:c r="A280" s="28"/>
    </x:row>
    <x:row r="281">
      <x:c r="A281" s="28"/>
    </x:row>
    <x:row r="282">
      <x:c r="A282" s="28"/>
    </x:row>
    <x:row r="283">
      <x:c r="A283" s="28"/>
    </x:row>
    <x:row r="284">
      <x:c r="A284" s="28"/>
    </x:row>
    <x:row r="285">
      <x:c r="A285" s="28"/>
    </x:row>
    <x:row r="286">
      <x:c r="A286" s="28"/>
    </x:row>
    <x:row r="287">
      <x:c r="A287" s="28"/>
    </x:row>
    <x:row r="288">
      <x:c r="A288" s="28"/>
    </x:row>
    <x:row r="289">
      <x:c r="A289" s="28"/>
    </x:row>
    <x:row r="290">
      <x:c r="A290" s="28"/>
    </x:row>
    <x:row r="291">
      <x:c r="A291" s="28"/>
    </x:row>
    <x:row r="292">
      <x:c r="A292" s="28"/>
    </x:row>
    <x:row r="293">
      <x:c r="A293" s="28"/>
    </x:row>
    <x:row r="294">
      <x:c r="A294" s="28"/>
    </x:row>
    <x:row r="295">
      <x:c r="A295" s="28"/>
    </x:row>
    <x:row r="296">
      <x:c r="A296" s="28"/>
    </x:row>
    <x:row r="297">
      <x:c r="A297" s="28"/>
    </x:row>
    <x:row r="298">
      <x:c r="A298" s="28"/>
    </x:row>
    <x:row r="299">
      <x:c r="A299" s="28"/>
    </x:row>
    <x:row r="300">
      <x:c r="A300" s="28"/>
    </x:row>
    <x:row r="301">
      <x:c r="A301" s="28"/>
    </x:row>
    <x:row r="302">
      <x:c r="A302" s="28"/>
    </x:row>
    <x:row r="303">
      <x:c r="A303" s="28"/>
    </x:row>
    <x:row r="304">
      <x:c r="A304" s="28"/>
    </x:row>
    <x:row r="305">
      <x:c r="A305" s="28"/>
    </x:row>
    <x:row r="306">
      <x:c r="A306" s="28"/>
    </x:row>
    <x:row r="307">
      <x:c r="A307" s="28"/>
    </x:row>
    <x:row r="308">
      <x:c r="A308" s="28"/>
    </x:row>
    <x:row r="309">
      <x:c r="A309" s="28"/>
    </x:row>
    <x:row r="310">
      <x:c r="A310" s="28"/>
    </x:row>
    <x:row r="311">
      <x:c r="A311" s="28"/>
    </x:row>
    <x:row r="312">
      <x:c r="A312" s="28"/>
    </x:row>
    <x:row r="313">
      <x:c r="A313" s="28"/>
    </x:row>
    <x:row r="314">
      <x:c r="A314" s="28"/>
    </x:row>
    <x:row r="315">
      <x:c r="A315" s="28"/>
    </x:row>
    <x:row r="316">
      <x:c r="A316" s="28"/>
    </x:row>
    <x:row r="317">
      <x:c r="A317" s="28"/>
    </x:row>
    <x:row r="318">
      <x:c r="A318" s="28"/>
    </x:row>
    <x:row r="319">
      <x:c r="A319" s="28"/>
    </x:row>
    <x:row r="320">
      <x:c r="A320" s="28"/>
    </x:row>
    <x:row r="321">
      <x:c r="A321" s="28"/>
    </x:row>
    <x:row r="322">
      <x:c r="A322" s="28"/>
    </x:row>
    <x:row r="323">
      <x:c r="A323" s="28"/>
    </x:row>
    <x:row r="324">
      <x:c r="A324" s="28"/>
    </x:row>
    <x:row r="325">
      <x:c r="A325" s="28"/>
    </x:row>
    <x:row r="326">
      <x:c r="A326" s="28"/>
    </x:row>
    <x:row r="327">
      <x:c r="A327" s="28"/>
    </x:row>
    <x:row r="328">
      <x:c r="A328" s="28"/>
    </x:row>
    <x:row r="329">
      <x:c r="A329" s="28"/>
    </x:row>
    <x:row r="330">
      <x:c r="A330" s="28"/>
    </x:row>
    <x:row r="331">
      <x:c r="A331" s="28"/>
    </x:row>
    <x:row r="332">
      <x:c r="A332" s="28"/>
    </x:row>
    <x:row r="333">
      <x:c r="A333" s="28"/>
    </x:row>
    <x:row r="334">
      <x:c r="A334" s="28"/>
    </x:row>
    <x:row r="335">
      <x:c r="A335" s="28"/>
    </x:row>
    <x:row r="336">
      <x:c r="A336" s="28"/>
    </x:row>
    <x:row r="337">
      <x:c r="A337" s="28"/>
    </x:row>
    <x:row r="338">
      <x:c r="A338" s="28"/>
    </x:row>
    <x:row r="339">
      <x:c r="A339" s="28"/>
    </x:row>
    <x:row r="340">
      <x:c r="A340" s="28"/>
    </x:row>
    <x:row r="341">
      <x:c r="A341" s="28"/>
    </x:row>
    <x:row r="342">
      <x:c r="A342" s="28"/>
    </x:row>
    <x:row r="343">
      <x:c r="A343" s="28"/>
    </x:row>
    <x:row r="344">
      <x:c r="A344" s="28"/>
    </x:row>
    <x:row r="345">
      <x:c r="A345" s="28"/>
    </x:row>
    <x:row r="346">
      <x:c r="A346" s="28"/>
    </x:row>
    <x:row r="347">
      <x:c r="A347" s="28"/>
    </x:row>
    <x:row r="348">
      <x:c r="A348" s="28"/>
    </x:row>
    <x:row r="349">
      <x:c r="A349" s="28"/>
    </x:row>
    <x:row r="350">
      <x:c r="A350" s="28"/>
    </x:row>
    <x:row r="351">
      <x:c r="A351" s="28"/>
    </x:row>
    <x:row r="352">
      <x:c r="A352" s="28"/>
    </x:row>
    <x:row r="353">
      <x:c r="A353" s="28"/>
    </x:row>
    <x:row r="354">
      <x:c r="A354" s="28"/>
    </x:row>
    <x:row r="355">
      <x:c r="A355" s="28"/>
    </x:row>
    <x:row r="356">
      <x:c r="A356" s="28"/>
    </x:row>
    <x:row r="357">
      <x:c r="A357" s="28"/>
    </x:row>
    <x:row r="358">
      <x:c r="A358" s="28"/>
    </x:row>
    <x:row r="359">
      <x:c r="A359" s="28"/>
    </x:row>
    <x:row r="360">
      <x:c r="A360" s="28"/>
    </x:row>
    <x:row r="361">
      <x:c r="A361" s="28"/>
    </x:row>
    <x:row r="362">
      <x:c r="A362" s="28"/>
    </x:row>
    <x:row r="363">
      <x:c r="A363" s="28"/>
    </x:row>
    <x:row r="364">
      <x:c r="A364" s="28"/>
    </x:row>
    <x:row r="365">
      <x:c r="A365" s="28"/>
    </x:row>
    <x:row r="366">
      <x:c r="A366" s="28"/>
    </x:row>
    <x:row r="367">
      <x:c r="A367" s="28"/>
    </x:row>
    <x:row r="368">
      <x:c r="A368" s="28"/>
    </x:row>
    <x:row r="369">
      <x:c r="A369" s="28"/>
    </x:row>
    <x:row r="370">
      <x:c r="A370" s="28"/>
    </x:row>
    <x:row r="371">
      <x:c r="A371" s="28"/>
    </x:row>
    <x:row r="372">
      <x:c r="A372" s="28"/>
    </x:row>
    <x:row r="373">
      <x:c r="A373" s="28"/>
    </x:row>
    <x:row r="374">
      <x:c r="A374" s="28"/>
    </x:row>
    <x:row r="375">
      <x:c r="A375" s="28"/>
    </x:row>
    <x:row r="376">
      <x:c r="A376" s="28"/>
    </x:row>
    <x:row r="377">
      <x:c r="A377" s="28"/>
    </x:row>
    <x:row r="378">
      <x:c r="A378" s="28"/>
    </x:row>
    <x:row r="379">
      <x:c r="A379" s="28"/>
    </x:row>
    <x:row r="380">
      <x:c r="A380" s="28"/>
    </x:row>
    <x:row r="381">
      <x:c r="A381" s="28"/>
    </x:row>
    <x:row r="382">
      <x:c r="A382" s="28"/>
    </x:row>
    <x:row r="383">
      <x:c r="A383" s="28"/>
    </x:row>
    <x:row r="384">
      <x:c r="A384" s="28"/>
    </x:row>
    <x:row r="385">
      <x:c r="A385" s="28"/>
    </x:row>
    <x:row r="386">
      <x:c r="A386" s="28"/>
    </x:row>
    <x:row r="387">
      <x:c r="A387" s="28"/>
    </x:row>
    <x:row r="388">
      <x:c r="A388" s="28"/>
    </x:row>
    <x:row r="389">
      <x:c r="A389" s="28"/>
    </x:row>
    <x:row r="390">
      <x:c r="A390" s="28"/>
    </x:row>
    <x:row r="391">
      <x:c r="A391" s="28"/>
    </x:row>
    <x:row r="392">
      <x:c r="A392" s="28"/>
    </x:row>
    <x:row r="393">
      <x:c r="A393" s="28"/>
    </x:row>
    <x:row r="394">
      <x:c r="A394" s="28"/>
    </x:row>
    <x:row r="395">
      <x:c r="A395" s="28"/>
    </x:row>
    <x:row r="396">
      <x:c r="A396" s="28"/>
    </x:row>
    <x:row r="397">
      <x:c r="A397" s="28"/>
    </x:row>
    <x:row r="398">
      <x:c r="A398" s="28"/>
    </x:row>
    <x:row r="399">
      <x:c r="A399" s="28"/>
    </x:row>
    <x:row r="400">
      <x:c r="A400" s="28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6b47b4a18244e0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0" hidden="0" customWidth="1"/>
    <x:col min="4" max="4" width="18" hidden="0" customWidth="1"/>
    <x:col min="5" max="5" width="36" hidden="0" customWidth="1"/>
    <x:col min="6" max="6" width="34" hidden="0" customWidth="1"/>
    <x:col min="7" max="7" width="38" hidden="0" customWidth="1"/>
    <x:col min="8" max="8" width="24" hidden="0" customWidth="1"/>
    <x:col min="9" max="9" width="16" hidden="0" customWidth="1"/>
  </x:cols>
  <x:sheetData>
    <x:row r="1" ht="28" customHeight="1">
      <x:c r="A1" s="38" t="str">
        <x:v>十项BOUND过程维度矩阵</x:v>
      </x:c>
      <x:c r="B1" s="5"/>
      <x:c r="C1" s="5"/>
      <x:c r="D1" s="5"/>
      <x:c r="E1" s="5"/>
      <x:c r="F1" s="5"/>
      <x:c r="G1" s="5"/>
      <x:c r="H1" s="5"/>
      <x:c r="I1" s="5"/>
    </x:row>
    <x:row r="2" ht="32" customHeight="1">
      <x:c r="A2" s="13" t="str">
        <x:v>用于区分“怎么靠近、需要多少空间、谁来决定、怎样分享、怎样拒绝与重新协商”。</x:v>
      </x:c>
      <x:c r="B2" s="13"/>
      <x:c r="C2" s="13"/>
      <x:c r="D2" s="13"/>
      <x:c r="E2" s="13"/>
      <x:c r="F2" s="13"/>
      <x:c r="G2" s="13"/>
      <x:c r="H2" s="13"/>
      <x:c r="I2" s="13"/>
    </x:row>
    <x:row r="3">
      <x:c r="A3" s="28"/>
    </x:row>
    <x:row r="4">
      <x:c r="A4" s="22" t="str">
        <x:v>维度ID</x:v>
      </x:c>
      <x:c r="B4" s="22" t="str">
        <x:v>维度</x:v>
      </x:c>
      <x:c r="C4" s="22" t="str">
        <x:v>状态ID</x:v>
      </x:c>
      <x:c r="D4" s="22" t="str">
        <x:v>状态</x:v>
      </x:c>
      <x:c r="E4" s="22" t="str">
        <x:v>成立条件</x:v>
      </x:c>
      <x:c r="F4" s="22" t="str">
        <x:v>内部含义</x:v>
      </x:c>
      <x:c r="G4" s="22" t="str">
        <x:v>用户表达</x:v>
      </x:c>
      <x:c r="H4" s="22" t="str">
        <x:v>输出字段</x:v>
      </x:c>
      <x:c r="I4" s="22" t="str">
        <x:v>分值／作用</x:v>
      </x:c>
    </x:row>
    <x:row r="5">
      <x:c r="A5" s="32" t="str">
        <x:v>BQ01</x:v>
      </x:c>
      <x:c r="B5" s="32" t="str">
        <x:v>靠近启动方向</x:v>
      </x:c>
      <x:c r="C5" s="32" t="str">
        <x:v>A01</x:v>
      </x:c>
      <x:c r="D5" s="32" t="str">
        <x:v>主动靠近</x:v>
      </x:c>
      <x:c r="E5" s="32" t="str">
        <x:v>主BOUND信号外显近位，并有自发开启互动的证据。</x:v>
      </x:c>
      <x:c r="F5" s="32" t="str">
        <x:v>用户会较早主动创造靠近机会，但仍需结合后续边界确认。</x:v>
      </x:c>
      <x:c r="G5" s="32" t="str">
        <x:v>当你确认关系值得投入时，通常会较早主动靠近、提出安排或开启交流。</x:v>
      </x:c>
      <x:c r="H5" s="32" t="str">
        <x:v>closeness_rhythm</x:v>
      </x:c>
      <x:c r="I5" s="32" t="str">
        <x:v>候选 +5</x:v>
      </x:c>
    </x:row>
    <x:row r="6">
      <x:c r="A6" s="32" t="str">
        <x:v>BQ01</x:v>
      </x:c>
      <x:c r="B6" s="32" t="str">
        <x:v>靠近启动方向</x:v>
      </x:c>
      <x:c r="C6" s="32" t="str">
        <x:v>A02</x:v>
      </x:c>
      <x:c r="D6" s="32" t="str">
        <x:v>回应靠近</x:v>
      </x:c>
      <x:c r="E6" s="32" t="str">
        <x:v>印、正财、正官或藏支信号明显，靠近依赖稳定回应。</x:v>
      </x:c>
      <x:c r="F6" s="32" t="str">
        <x:v>用户更常在确认对方态度、回应和稳定性后逐步靠近。</x:v>
      </x:c>
      <x:c r="G6" s="32" t="str">
        <x:v>你更容易在对方持续回应、态度清楚以后，再逐渐增加亲密。</x:v>
      </x:c>
      <x:c r="H6" s="32" t="str">
        <x:v>closeness_rhythm</x:v>
      </x:c>
      <x:c r="I6" s="32" t="str">
        <x:v>候选 +5</x:v>
      </x:c>
    </x:row>
    <x:row r="7">
      <x:c r="A7" s="32" t="str">
        <x:v>BQ01</x:v>
      </x:c>
      <x:c r="B7" s="32" t="str">
        <x:v>靠近启动方向</x:v>
      </x:c>
      <x:c r="C7" s="32" t="str">
        <x:v>A03</x:v>
      </x:c>
      <x:c r="D7" s="32" t="str">
        <x:v>共同活动靠近</x:v>
      </x:c>
      <x:c r="E7" s="32" t="str">
        <x:v>比劫、劫财、偏财或共同任务证据成立。</x:v>
      </x:c>
      <x:c r="F7" s="32" t="str">
        <x:v>共同体验和并肩行动是关系距离缩短的主要入口。</x:v>
      </x:c>
      <x:c r="G7" s="32" t="str">
        <x:v>你更容易在一起做事、共同体验和真实协作中自然靠近。</x:v>
      </x:c>
      <x:c r="H7" s="32" t="str">
        <x:v>closeness_rhythm</x:v>
      </x:c>
      <x:c r="I7" s="32" t="str">
        <x:v>候选 +5</x:v>
      </x:c>
    </x:row>
    <x:row r="8">
      <x:c r="A8" s="32" t="str">
        <x:v>BQ01</x:v>
      </x:c>
      <x:c r="B8" s="32" t="str">
        <x:v>靠近启动方向</x:v>
      </x:c>
      <x:c r="C8" s="32" t="str">
        <x:v>A04</x:v>
      </x:c>
      <x:c r="D8" s="32" t="str">
        <x:v>条件靠近</x:v>
      </x:c>
      <x:c r="E8" s="32" t="str">
        <x:v>偏印、正官或门槛信号明显，且需要先确认安全、角色或边界。</x:v>
      </x:c>
      <x:c r="F8" s="32" t="str">
        <x:v>用户先确认关键条件，再允许距离缩短。</x:v>
      </x:c>
      <x:c r="G8" s="32" t="str">
        <x:v>你并非不愿靠近，而是更需要先确认安全、态度或边界是否清楚。</x:v>
      </x:c>
      <x:c r="H8" s="32" t="str">
        <x:v>closeness_rhythm</x:v>
      </x:c>
      <x:c r="I8" s="32" t="str">
        <x:v>候选 +5</x:v>
      </x:c>
    </x:row>
    <x:row r="9">
      <x:c r="A9" s="32" t="str">
        <x:v>BQ02</x:v>
      </x:c>
      <x:c r="B9" s="32" t="str">
        <x:v>亲密靠近节奏</x:v>
      </x:c>
      <x:c r="C9" s="32" t="str">
        <x:v>P01</x:v>
      </x:c>
      <x:c r="D9" s="32" t="str">
        <x:v>较快明确</x:v>
      </x:c>
      <x:c r="E9" s="32" t="str">
        <x:v>主通道外显近位，条件清楚且证据连续。</x:v>
      </x:c>
      <x:c r="F9" s="32" t="str">
        <x:v>关系靠近可以较快发生，但仍不等于正式承诺或无边界。</x:v>
      </x:c>
      <x:c r="G9" s="32" t="str">
        <x:v>当关键条件清楚、对方回应一致时，你通常能较快允许关系靠近。</x:v>
      </x:c>
      <x:c r="H9" s="32" t="str">
        <x:v>closeness_rhythm</x:v>
      </x:c>
      <x:c r="I9" s="32" t="str">
        <x:v>节奏 +6</x:v>
      </x:c>
    </x:row>
    <x:row r="10">
      <x:c r="A10" s="32" t="str">
        <x:v>BQ02</x:v>
      </x:c>
      <x:c r="B10" s="32" t="str">
        <x:v>亲密靠近节奏</x:v>
      </x:c>
      <x:c r="C10" s="32" t="str">
        <x:v>P02</x:v>
      </x:c>
      <x:c r="D10" s="32" t="str">
        <x:v>渐进熟悉</x:v>
      </x:c>
      <x:c r="E10" s="32" t="str">
        <x:v>藏而有根、印食神或重复接触路径成立。</x:v>
      </x:c>
      <x:c r="F10" s="32" t="str">
        <x:v>亲密通过熟悉、重复回应和日常积累逐步形成。</x:v>
      </x:c>
      <x:c r="G10" s="32" t="str">
        <x:v>你的亲密感更容易在重复相处和稳定回应中慢慢建立。</x:v>
      </x:c>
      <x:c r="H10" s="32" t="str">
        <x:v>closeness_rhythm</x:v>
      </x:c>
      <x:c r="I10" s="32" t="str">
        <x:v>节奏 +6</x:v>
      </x:c>
    </x:row>
    <x:row r="11">
      <x:c r="A11" s="32" t="str">
        <x:v>BQ02</x:v>
      </x:c>
      <x:c r="B11" s="32" t="str">
        <x:v>亲密靠近节奏</x:v>
      </x:c>
      <x:c r="C11" s="32" t="str">
        <x:v>P03</x:v>
      </x:c>
      <x:c r="D11" s="32" t="str">
        <x:v>事件触发</x:v>
      </x:c>
      <x:c r="E11" s="32" t="str">
        <x:v>劫财、七杀、偏财或共同任务成为主要入口。</x:v>
      </x:c>
      <x:c r="F11" s="32" t="str">
        <x:v>共同事件或关键行动会突然加快靠近，但长期节奏仍需复核。</x:v>
      </x:c>
      <x:c r="G11" s="32" t="str">
        <x:v>某次共同经历、关键行动或真实协作，可能明显加快你的靠近。</x:v>
      </x:c>
      <x:c r="H11" s="32" t="str">
        <x:v>closeness_rhythm</x:v>
      </x:c>
      <x:c r="I11" s="32" t="str">
        <x:v>候选 +5</x:v>
      </x:c>
    </x:row>
    <x:row r="12">
      <x:c r="A12" s="32" t="str">
        <x:v>BQ02</x:v>
      </x:c>
      <x:c r="B12" s="32" t="str">
        <x:v>亲密靠近节奏</x:v>
      </x:c>
      <x:c r="C12" s="32" t="str">
        <x:v>P04</x:v>
      </x:c>
      <x:c r="D12" s="32" t="str">
        <x:v>节奏未定</x:v>
      </x:c>
      <x:c r="E12" s="32" t="str">
        <x:v>弱远无根、合化争议或多通道无主次。</x:v>
      </x:c>
      <x:c r="F12" s="32" t="str">
        <x:v>不能固定靠近速度，只能说明会随情境变化。</x:v>
      </x:c>
      <x:c r="G12" s="32" t="str">
        <x:v>目前只能判断你的靠近速度会随对象和情境变化，不宜写成固定快慢。</x:v>
      </x:c>
      <x:c r="H12" s="32" t="str">
        <x:v>closeness_rhythm</x:v>
      </x:c>
      <x:c r="I12" s="32" t="str">
        <x:v>不加分；降置信</x:v>
      </x:c>
    </x:row>
    <x:row r="13">
      <x:c r="A13" s="32" t="str">
        <x:v>BQ03</x:v>
      </x:c>
      <x:c r="B13" s="32" t="str">
        <x:v>个人空间需要</x:v>
      </x:c>
      <x:c r="C13" s="32" t="str">
        <x:v>S01</x:v>
      </x:c>
      <x:c r="D13" s="32" t="str">
        <x:v>稳定个人空间</x:v>
      </x:c>
      <x:c r="E13" s="32" t="str">
        <x:v>比肩、偏印或近位自主信号可靠。</x:v>
      </x:c>
      <x:c r="F13" s="32" t="str">
        <x:v>用户通常需要稳定的独处、个人事务或独立决定区。</x:v>
      </x:c>
      <x:c r="G13" s="32" t="str">
        <x:v>即使关系稳定，你仍需要保留一部分固定的个人时间、思考或决定空间。</x:v>
      </x:c>
      <x:c r="H13" s="32" t="str">
        <x:v>space_need</x:v>
      </x:c>
      <x:c r="I13" s="32" t="str">
        <x:v>空间 +6</x:v>
      </x:c>
    </x:row>
    <x:row r="14">
      <x:c r="A14" s="32" t="str">
        <x:v>BQ03</x:v>
      </x:c>
      <x:c r="B14" s="32" t="str">
        <x:v>个人空间需要</x:v>
      </x:c>
      <x:c r="C14" s="32" t="str">
        <x:v>S02</x:v>
      </x:c>
      <x:c r="D14" s="32" t="str">
        <x:v>弹性个人空间</x:v>
      </x:c>
      <x:c r="E14" s="32" t="str">
        <x:v>偏财、劫财或多场景调整证据成立。</x:v>
      </x:c>
      <x:c r="F14" s="32" t="str">
        <x:v>空间根据任务、社交和关系状态灵活变化。</x:v>
      </x:c>
      <x:c r="G14" s="32" t="str">
        <x:v>你的空间需求更有弹性，会随着现实安排和双方状态调整。</x:v>
      </x:c>
      <x:c r="H14" s="32" t="str">
        <x:v>space_need</x:v>
      </x:c>
      <x:c r="I14" s="32" t="str">
        <x:v>空间 +5</x:v>
      </x:c>
    </x:row>
    <x:row r="15">
      <x:c r="A15" s="32" t="str">
        <x:v>BQ03</x:v>
      </x:c>
      <x:c r="B15" s="32" t="str">
        <x:v>个人空间需要</x:v>
      </x:c>
      <x:c r="C15" s="32" t="str">
        <x:v>S03</x:v>
      </x:c>
      <x:c r="D15" s="32" t="str">
        <x:v>共享优先</x:v>
      </x:c>
      <x:c r="E15" s="32" t="str">
        <x:v>正印、食神、正财或合的共享信号明显，且自主信号不弱。</x:v>
      </x:c>
      <x:c r="F15" s="32" t="str">
        <x:v>用户愿意较多共享日常和情绪，但仍需确认自主通道。</x:v>
      </x:c>
      <x:c r="G15" s="32" t="str">
        <x:v>你通常愿意把较多日常和感受放进关系里，同时仍会保留必要的个人决定。</x:v>
      </x:c>
      <x:c r="H15" s="32" t="str">
        <x:v>space_need</x:v>
      </x:c>
      <x:c r="I15" s="32" t="str">
        <x:v>空间 +5</x:v>
      </x:c>
    </x:row>
    <x:row r="16">
      <x:c r="A16" s="32" t="str">
        <x:v>BQ03</x:v>
      </x:c>
      <x:c r="B16" s="32" t="str">
        <x:v>个人空间需要</x:v>
      </x:c>
      <x:c r="C16" s="32" t="str">
        <x:v>S04</x:v>
      </x:c>
      <x:c r="D16" s="32" t="str">
        <x:v>空间状态未定</x:v>
      </x:c>
      <x:c r="E16" s="32" t="str">
        <x:v>基础状态争议或空间与共享信号同源冲突。</x:v>
      </x:c>
      <x:c r="F16" s="32" t="str">
        <x:v>不能由单一信号判断空间多寡。</x:v>
      </x:c>
      <x:c r="G16" s="32" t="str">
        <x:v>目前只能确认你既有靠近需求，也可能需要独处整理，具体比例要看真实相处。</x:v>
      </x:c>
      <x:c r="H16" s="32" t="str">
        <x:v>space_need</x:v>
      </x:c>
      <x:c r="I16" s="32" t="str">
        <x:v>不加分；降置信</x:v>
      </x:c>
    </x:row>
    <x:row r="17">
      <x:c r="A17" s="32" t="str">
        <x:v>BQ04</x:v>
      </x:c>
      <x:c r="B17" s="32" t="str">
        <x:v>自主与共同决定</x:v>
      </x:c>
      <x:c r="C17" s="32" t="str">
        <x:v>D01</x:v>
      </x:c>
      <x:c r="D17" s="32" t="str">
        <x:v>自主保留</x:v>
      </x:c>
      <x:c r="E17" s="32" t="str">
        <x:v>比肩、偏印或日主承载明显，且有实际独立决定证据。</x:v>
      </x:c>
      <x:c r="F17" s="32" t="str">
        <x:v>核心决定通常先保留个人判断，再决定哪些进入共同协商。</x:v>
      </x:c>
      <x:c r="G17" s="32" t="str">
        <x:v>重要事情上，你通常会先形成自己的判断，再决定怎样与对方商量。</x:v>
      </x:c>
      <x:c r="H17" s="32" t="str">
        <x:v>autonomy_pattern</x:v>
      </x:c>
      <x:c r="I17" s="32" t="str">
        <x:v>自主 +6</x:v>
      </x:c>
    </x:row>
    <x:row r="18">
      <x:c r="A18" s="32" t="str">
        <x:v>BQ04</x:v>
      </x:c>
      <x:c r="B18" s="32" t="str">
        <x:v>自主与共同决定</x:v>
      </x:c>
      <x:c r="C18" s="32" t="str">
        <x:v>D02</x:v>
      </x:c>
      <x:c r="D18" s="32" t="str">
        <x:v>双方协商</x:v>
      </x:c>
      <x:c r="E18" s="32" t="str">
        <x:v>比肩、伤官、正官或双向沟通证据成立。</x:v>
      </x:c>
      <x:c r="F18" s="32" t="str">
        <x:v>决定权在双方信息和回应中共同形成。</x:v>
      </x:c>
      <x:c r="G18" s="32" t="str">
        <x:v>你更习惯把重要安排拿到双方之间讨论，再共同形成决定。</x:v>
      </x:c>
      <x:c r="H18" s="32" t="str">
        <x:v>autonomy_pattern</x:v>
      </x:c>
      <x:c r="I18" s="32" t="str">
        <x:v>自主 +6</x:v>
      </x:c>
    </x:row>
    <x:row r="19">
      <x:c r="A19" s="32" t="str">
        <x:v>BQ04</x:v>
      </x:c>
      <x:c r="B19" s="32" t="str">
        <x:v>自主与共同决定</x:v>
      </x:c>
      <x:c r="C19" s="32" t="str">
        <x:v>D03</x:v>
      </x:c>
      <x:c r="D19" s="32" t="str">
        <x:v>角色分工</x:v>
      </x:c>
      <x:c r="E19" s="32" t="str">
        <x:v>正财、正官或现实分工证据成立。</x:v>
      </x:c>
      <x:c r="F19" s="32" t="str">
        <x:v>双方可在不同事务上拥有不同权限，不要求所有决定完全对称。</x:v>
      </x:c>
      <x:c r="G19" s="32" t="str">
        <x:v>你更容易接受清楚分工：不同事务由更合适的一方负责，同时保留共同复核。</x:v>
      </x:c>
      <x:c r="H19" s="32" t="str">
        <x:v>autonomy_pattern</x:v>
      </x:c>
      <x:c r="I19" s="32" t="str">
        <x:v>自主 +5</x:v>
      </x:c>
    </x:row>
    <x:row r="20">
      <x:c r="A20" s="32" t="str">
        <x:v>BQ04</x:v>
      </x:c>
      <x:c r="B20" s="32" t="str">
        <x:v>自主与共同决定</x:v>
      </x:c>
      <x:c r="C20" s="32" t="str">
        <x:v>D04</x:v>
      </x:c>
      <x:c r="D20" s="32" t="str">
        <x:v>决定结构未定</x:v>
      </x:c>
      <x:c r="E20" s="32" t="str">
        <x:v>日主、印比、夫妻宫或现实行为无法形成稳定主次。</x:v>
      </x:c>
      <x:c r="F20" s="32" t="str">
        <x:v>当前不足以判断决定权主要集中在哪里。</x:v>
      </x:c>
      <x:c r="G20" s="32" t="str">
        <x:v>目前只能判断你的决定方式会随事务类型变化，无法固定成完全自主或完全共同。</x:v>
      </x:c>
      <x:c r="H20" s="32" t="str">
        <x:v>autonomy_pattern</x:v>
      </x:c>
      <x:c r="I20" s="32" t="str">
        <x:v>不加分；降置信</x:v>
      </x:c>
    </x:row>
    <x:row r="21">
      <x:c r="A21" s="32" t="str">
        <x:v>BQ05</x:v>
      </x:c>
      <x:c r="B21" s="32" t="str">
        <x:v>分享开放方式</x:v>
      </x:c>
      <x:c r="C21" s="32" t="str">
        <x:v>H01</x:v>
      </x:c>
      <x:c r="D21" s="32" t="str">
        <x:v>日常开放</x:v>
      </x:c>
      <x:c r="E21" s="32" t="str">
        <x:v>食神、正印、正财或稳定共享证据明显。</x:v>
      </x:c>
      <x:c r="F21" s="32" t="str">
        <x:v>用户较愿意共享日常、情绪或现实安排。</x:v>
      </x:c>
      <x:c r="G21" s="32" t="str">
        <x:v>在信任关系里，你通常愿意分享日常、计划和重要感受，让对方知道你的状态。</x:v>
      </x:c>
      <x:c r="H21" s="32" t="str">
        <x:v>sharing_mode</x:v>
      </x:c>
      <x:c r="I21" s="32" t="str">
        <x:v>分享 +5</x:v>
      </x:c>
    </x:row>
    <x:row r="22">
      <x:c r="A22" s="32" t="str">
        <x:v>BQ05</x:v>
      </x:c>
      <x:c r="B22" s="32" t="str">
        <x:v>分享开放方式</x:v>
      </x:c>
      <x:c r="C22" s="32" t="str">
        <x:v>H02</x:v>
      </x:c>
      <x:c r="D22" s="32" t="str">
        <x:v>选择性开放</x:v>
      </x:c>
      <x:c r="E22" s="32" t="str">
        <x:v>偏印、伤官或深度信任门槛明显。</x:v>
      </x:c>
      <x:c r="F22" s="32" t="str">
        <x:v>用户更愿意分享经过筛选、有意义或足够安全的内容。</x:v>
      </x:c>
      <x:c r="G22" s="32" t="str">
        <x:v>你更倾向选择性分享：不是所有内容都即时公开，但重要部分会在合适时说清楚。</x:v>
      </x:c>
      <x:c r="H22" s="32" t="str">
        <x:v>sharing_mode</x:v>
      </x:c>
      <x:c r="I22" s="32" t="str">
        <x:v>分享 +5</x:v>
      </x:c>
    </x:row>
    <x:row r="23">
      <x:c r="A23" s="32" t="str">
        <x:v>BQ05</x:v>
      </x:c>
      <x:c r="B23" s="32" t="str">
        <x:v>分享开放方式</x:v>
      </x:c>
      <x:c r="C23" s="32" t="str">
        <x:v>H03</x:v>
      </x:c>
      <x:c r="D23" s="32" t="str">
        <x:v>任务／现实开放</x:v>
      </x:c>
      <x:c r="E23" s="32" t="str">
        <x:v>比劫、财官杀或共同事务证据明显。</x:v>
      </x:c>
      <x:c r="F23" s="32" t="str">
        <x:v>分享主要围绕共同任务、资源、计划和责任。</x:v>
      </x:c>
      <x:c r="G23" s="32" t="str">
        <x:v>你可能先共享需要一起处理的现实信息，情绪和私人内容则按信任逐步开放。</x:v>
      </x:c>
      <x:c r="H23" s="32" t="str">
        <x:v>sharing_mode</x:v>
      </x:c>
      <x:c r="I23" s="32" t="str">
        <x:v>分享 +5</x:v>
      </x:c>
    </x:row>
    <x:row r="24">
      <x:c r="A24" s="32" t="str">
        <x:v>BQ05</x:v>
      </x:c>
      <x:c r="B24" s="32" t="str">
        <x:v>分享开放方式</x:v>
      </x:c>
      <x:c r="C24" s="32" t="str">
        <x:v>H04</x:v>
      </x:c>
      <x:c r="D24" s="32" t="str">
        <x:v>开放状态未定</x:v>
      </x:c>
      <x:c r="E24" s="32" t="str">
        <x:v>资料不足或通道彼此牵制。</x:v>
      </x:c>
      <x:c r="F24" s="32" t="str">
        <x:v>不能把沉默或外显直接等同开放程度。</x:v>
      </x:c>
      <x:c r="G24" s="32" t="str">
        <x:v>目前只能判断你会按内容和情境选择分享，具体开放度需要真实关系反馈。</x:v>
      </x:c>
      <x:c r="H24" s="32" t="str">
        <x:v>sharing_mode</x:v>
      </x:c>
      <x:c r="I24" s="32" t="str">
        <x:v>不加分；降置信</x:v>
      </x:c>
    </x:row>
    <x:row r="25">
      <x:c r="A25" s="32" t="str">
        <x:v>BQ06</x:v>
      </x:c>
      <x:c r="B25" s="32" t="str">
        <x:v>需求表达方式</x:v>
      </x:c>
      <x:c r="C25" s="32" t="str">
        <x:v>N01</x:v>
      </x:c>
      <x:c r="D25" s="32" t="str">
        <x:v>直接具体</x:v>
      </x:c>
      <x:c r="E25" s="32" t="str">
        <x:v>比肩、伤官、正财、正官或七杀表达证据成立。</x:v>
      </x:c>
      <x:c r="F25" s="32" t="str">
        <x:v>需求较容易被翻译成清楚事项、边界或行动请求。</x:v>
      </x:c>
      <x:c r="G25" s="32" t="str">
        <x:v>当你需要什么时，通常更容易直接说明事项、范围和希望对方怎样回应。</x:v>
      </x:c>
      <x:c r="H25" s="32" t="str">
        <x:v>need_expression</x:v>
      </x:c>
      <x:c r="I25" s="32" t="str">
        <x:v>候选 +5</x:v>
      </x:c>
    </x:row>
    <x:row r="26">
      <x:c r="A26" s="32" t="str">
        <x:v>BQ06</x:v>
      </x:c>
      <x:c r="B26" s="32" t="str">
        <x:v>需求表达方式</x:v>
      </x:c>
      <x:c r="C26" s="32" t="str">
        <x:v>N02</x:v>
      </x:c>
      <x:c r="D26" s="32" t="str">
        <x:v>温和铺垫</x:v>
      </x:c>
      <x:c r="E26" s="32" t="str">
        <x:v>食神、正印或安全语境证据成立。</x:v>
      </x:c>
      <x:c r="F26" s="32" t="str">
        <x:v>用户先建立舒适和被理解感，再逐步说出真正需要。</x:v>
      </x:c>
      <x:c r="G26" s="32" t="str">
        <x:v>你更容易先说明感受和背景，在气氛安全以后再提出具体需要。</x:v>
      </x:c>
      <x:c r="H26" s="32" t="str">
        <x:v>need_expression</x:v>
      </x:c>
      <x:c r="I26" s="32" t="str">
        <x:v>候选 +5</x:v>
      </x:c>
    </x:row>
    <x:row r="27">
      <x:c r="A27" s="32" t="str">
        <x:v>BQ06</x:v>
      </x:c>
      <x:c r="B27" s="32" t="str">
        <x:v>需求表达方式</x:v>
      </x:c>
      <x:c r="C27" s="32" t="str">
        <x:v>N03</x:v>
      </x:c>
      <x:c r="D27" s="32" t="str">
        <x:v>先内部整理</x:v>
      </x:c>
      <x:c r="E27" s="32" t="str">
        <x:v>偏印或藏而有根的内化通道明显。</x:v>
      </x:c>
      <x:c r="F27" s="32" t="str">
        <x:v>用户需要先识别真正需求，再进行选择性表达。</x:v>
      </x:c>
      <x:c r="G27" s="32" t="str">
        <x:v>你通常需要先想清楚自己真正需要什么，再把核心部分告诉对方。</x:v>
      </x:c>
      <x:c r="H27" s="32" t="str">
        <x:v>need_expression</x:v>
      </x:c>
      <x:c r="I27" s="32" t="str">
        <x:v>候选 +5</x:v>
      </x:c>
    </x:row>
    <x:row r="28">
      <x:c r="A28" s="32" t="str">
        <x:v>BQ06</x:v>
      </x:c>
      <x:c r="B28" s="32" t="str">
        <x:v>需求表达方式</x:v>
      </x:c>
      <x:c r="C28" s="32" t="str">
        <x:v>N04</x:v>
      </x:c>
      <x:c r="D28" s="32" t="str">
        <x:v>行动带出</x:v>
      </x:c>
      <x:c r="E28" s="32" t="str">
        <x:v>劫财、财官杀或共同任务通道明显。</x:v>
      </x:c>
      <x:c r="F28" s="32" t="str">
        <x:v>需求先以一起做事、调整安排或行动请求出现。</x:v>
      </x:c>
      <x:c r="G28" s="32" t="str">
        <x:v>你的需要可能先通过共同任务、实际安排或行动请求被带出来。</x:v>
      </x:c>
      <x:c r="H28" s="32" t="str">
        <x:v>need_expression</x:v>
      </x:c>
      <x:c r="I28" s="32" t="str">
        <x:v>候选 +5</x:v>
      </x:c>
    </x:row>
    <x:row r="29">
      <x:c r="A29" s="32" t="str">
        <x:v>BQ07</x:v>
      </x:c>
      <x:c r="B29" s="32" t="str">
        <x:v>拒绝与限制表达</x:v>
      </x:c>
      <x:c r="C29" s="32" t="str">
        <x:v>R01</x:v>
      </x:c>
      <x:c r="D29" s="32" t="str">
        <x:v>直接明确</x:v>
      </x:c>
      <x:c r="E29" s="32" t="str">
        <x:v>比肩、伤官、正官或七杀通道可靠。</x:v>
      </x:c>
      <x:c r="F29" s="32" t="str">
        <x:v>用户能较快说明不可接受的事项或停止线。</x:v>
      </x:c>
      <x:c r="G29" s="32" t="str">
        <x:v>当某件事不合适时，你通常会较直接地说明限制、不同意或需要停止。</x:v>
      </x:c>
      <x:c r="H29" s="32" t="str">
        <x:v>refusal_style</x:v>
      </x:c>
      <x:c r="I29" s="32" t="str">
        <x:v>拒绝 +6</x:v>
      </x:c>
    </x:row>
    <x:row r="30">
      <x:c r="A30" s="32" t="str">
        <x:v>BQ07</x:v>
      </x:c>
      <x:c r="B30" s="32" t="str">
        <x:v>拒绝与限制表达</x:v>
      </x:c>
      <x:c r="C30" s="32" t="str">
        <x:v>R02</x:v>
      </x:c>
      <x:c r="D30" s="32" t="str">
        <x:v>协商调整</x:v>
      </x:c>
      <x:c r="E30" s="32" t="str">
        <x:v>食伤、正财、偏财或双向协商证据成立。</x:v>
      </x:c>
      <x:c r="F30" s="32" t="str">
        <x:v>用户倾向提出替代方案、重新安排或缩小范围。</x:v>
      </x:c>
      <x:c r="G30" s="32" t="str">
        <x:v>你更常通过调整时间、方式、范围或分工来表达拒绝，而不是只给出一个“不要”。</x:v>
      </x:c>
      <x:c r="H30" s="32" t="str">
        <x:v>refusal_style</x:v>
      </x:c>
      <x:c r="I30" s="32" t="str">
        <x:v>拒绝 +5</x:v>
      </x:c>
    </x:row>
    <x:row r="31">
      <x:c r="A31" s="32" t="str">
        <x:v>BQ07</x:v>
      </x:c>
      <x:c r="B31" s="32" t="str">
        <x:v>拒绝与限制表达</x:v>
      </x:c>
      <x:c r="C31" s="32" t="str">
        <x:v>R03</x:v>
      </x:c>
      <x:c r="D31" s="32" t="str">
        <x:v>延后确认</x:v>
      </x:c>
      <x:c r="E31" s="32" t="str">
        <x:v>正印、偏印或需要安全／内部整理的信号明显。</x:v>
      </x:c>
      <x:c r="F31" s="32" t="str">
        <x:v>用户先暂停接收信息或暂缓决定，再给出完整回应。</x:v>
      </x:c>
      <x:c r="G31" s="32" t="str">
        <x:v>你可能需要先暂停、想清楚或恢复安全感，之后再给出明确答复。</x:v>
      </x:c>
      <x:c r="H31" s="32" t="str">
        <x:v>refusal_style</x:v>
      </x:c>
      <x:c r="I31" s="32" t="str">
        <x:v>拒绝 +5</x:v>
      </x:c>
    </x:row>
    <x:row r="32">
      <x:c r="A32" s="32" t="str">
        <x:v>BQ07</x:v>
      </x:c>
      <x:c r="B32" s="32" t="str">
        <x:v>拒绝与限制表达</x:v>
      </x:c>
      <x:c r="C32" s="32" t="str">
        <x:v>R04</x:v>
      </x:c>
      <x:c r="D32" s="32" t="str">
        <x:v>拒绝状态未定</x:v>
      </x:c>
      <x:c r="E32" s="32" t="str">
        <x:v>表达与执行信号不一致，或只有单次行为。</x:v>
      </x:c>
      <x:c r="F32" s="32" t="str">
        <x:v>不能把一次沉默、一次爆发或一次妥协写成固定拒绝方式。</x:v>
      </x:c>
      <x:c r="G32" s="32" t="str">
        <x:v>目前只能判断你会在直接、协商和暂停之间选择，具体方式取决于情境。</x:v>
      </x:c>
      <x:c r="H32" s="32" t="str">
        <x:v>refusal_style</x:v>
      </x:c>
      <x:c r="I32" s="32" t="str">
        <x:v>不加分；降置信</x:v>
      </x:c>
    </x:row>
    <x:row r="33">
      <x:c r="A33" s="32" t="str">
        <x:v>BQ08</x:v>
      </x:c>
      <x:c r="B33" s="32" t="str">
        <x:v>暂停与回归节奏</x:v>
      </x:c>
      <x:c r="C33" s="32" t="str">
        <x:v>T01</x:v>
      </x:c>
      <x:c r="D33" s="32" t="str">
        <x:v>短暂停顿后回归</x:v>
      </x:c>
      <x:c r="E33" s="32" t="str">
        <x:v>比肩、伤官或中和可用信号，且有回到协商的证据。</x:v>
      </x:c>
      <x:c r="F33" s="32" t="str">
        <x:v>暂停用于整理和降压，之后能较快回到讨论。</x:v>
      </x:c>
      <x:c r="G33" s="32" t="str">
        <x:v>需要停一下时，你更可能短暂整理，随后回到问题本身继续沟通。</x:v>
      </x:c>
      <x:c r="H33" s="32" t="str">
        <x:v>pause_return_style</x:v>
      </x:c>
      <x:c r="I33" s="32" t="str">
        <x:v>回归 +5</x:v>
      </x:c>
    </x:row>
    <x:row r="34">
      <x:c r="A34" s="32" t="str">
        <x:v>BQ08</x:v>
      </x:c>
      <x:c r="B34" s="32" t="str">
        <x:v>暂停与回归节奏</x:v>
      </x:c>
      <x:c r="C34" s="32" t="str">
        <x:v>T02</x:v>
      </x:c>
      <x:c r="D34" s="32" t="str">
        <x:v>问题处理后回归</x:v>
      </x:c>
      <x:c r="E34" s="32" t="str">
        <x:v>财官杀行动通道明显。</x:v>
      </x:c>
      <x:c r="F34" s="32" t="str">
        <x:v>用户先处理现实问题、风险或责任，再恢复亲密交流。</x:v>
      </x:c>
      <x:c r="G34" s="32" t="str">
        <x:v>你可能先把具体问题处理好，事情稳定后再回到情绪和关系沟通。</x:v>
      </x:c>
      <x:c r="H34" s="32" t="str">
        <x:v>pause_return_style</x:v>
      </x:c>
      <x:c r="I34" s="32" t="str">
        <x:v>回归 +5</x:v>
      </x:c>
    </x:row>
    <x:row r="35">
      <x:c r="A35" s="32" t="str">
        <x:v>BQ08</x:v>
      </x:c>
      <x:c r="B35" s="32" t="str">
        <x:v>暂停与回归节奏</x:v>
      </x:c>
      <x:c r="C35" s="32" t="str">
        <x:v>T03</x:v>
      </x:c>
      <x:c r="D35" s="32" t="str">
        <x:v>安全恢复后回归</x:v>
      </x:c>
      <x:c r="E35" s="32" t="str">
        <x:v>正印、偏印或害／刑的安全确认需要明显。</x:v>
      </x:c>
      <x:c r="F35" s="32" t="str">
        <x:v>用户需要重新确认被理解、被尊重或不被催促，才愿意重新开放。</x:v>
      </x:c>
      <x:c r="G35" s="32" t="str">
        <x:v>你更容易在安全感和理解恢复以后，再重新打开交流和亲近。</x:v>
      </x:c>
      <x:c r="H35" s="32" t="str">
        <x:v>pause_return_style</x:v>
      </x:c>
      <x:c r="I35" s="32" t="str">
        <x:v>回归 +5</x:v>
      </x:c>
    </x:row>
    <x:row r="36">
      <x:c r="A36" s="32" t="str">
        <x:v>BQ08</x:v>
      </x:c>
      <x:c r="B36" s="32" t="str">
        <x:v>暂停与回归节奏</x:v>
      </x:c>
      <x:c r="C36" s="32" t="str">
        <x:v>T04</x:v>
      </x:c>
      <x:c r="D36" s="32" t="str">
        <x:v>回归路径未定</x:v>
      </x:c>
      <x:c r="E36" s="32" t="str">
        <x:v>仅有暂停信号，无独立恢复链。</x:v>
      </x:c>
      <x:c r="F36" s="32" t="str">
        <x:v>只能判断需要暂停，不能推断一定会怎样回到关系。</x:v>
      </x:c>
      <x:c r="G36" s="32" t="str">
        <x:v>目前可以确认你有暂停需要，但具体怎样重新靠近，还需要结合修复模块。</x:v>
      </x:c>
      <x:c r="H36" s="32" t="str">
        <x:v>pause_return_style</x:v>
      </x:c>
      <x:c r="I36" s="32" t="str">
        <x:v>不加分；路由REPAIR</x:v>
      </x:c>
    </x:row>
    <x:row r="37">
      <x:c r="A37" s="32" t="str">
        <x:v>BQ09</x:v>
      </x:c>
      <x:c r="B37" s="32" t="str">
        <x:v>边界重新协商</x:v>
      </x:c>
      <x:c r="C37" s="32" t="str">
        <x:v>G01</x:v>
      </x:c>
      <x:c r="D37" s="32" t="str">
        <x:v>即时调整</x:v>
      </x:c>
      <x:c r="E37" s="32" t="str">
        <x:v>劫财、偏财、冲或明确变化事件成立。</x:v>
      </x:c>
      <x:c r="F37" s="32" t="str">
        <x:v>边界在变化发生时迅速重订。</x:v>
      </x:c>
      <x:c r="G37" s="32" t="str">
        <x:v>当现实发生变化时，你更愿意及时调整安排，不把旧规则机械沿用。</x:v>
      </x:c>
      <x:c r="H37" s="32" t="str">
        <x:v>renegotiation_style</x:v>
      </x:c>
      <x:c r="I37" s="32" t="str">
        <x:v>重订 +5</x:v>
      </x:c>
    </x:row>
    <x:row r="38">
      <x:c r="A38" s="32" t="str">
        <x:v>BQ09</x:v>
      </x:c>
      <x:c r="B38" s="32" t="str">
        <x:v>边界重新协商</x:v>
      </x:c>
      <x:c r="C38" s="32" t="str">
        <x:v>G02</x:v>
      </x:c>
      <x:c r="D38" s="32" t="str">
        <x:v>定期协商</x:v>
      </x:c>
      <x:c r="E38" s="32" t="str">
        <x:v>正财、正官或稳定共同安排成立。</x:v>
      </x:c>
      <x:c r="F38" s="32" t="str">
        <x:v>边界通过固定复盘、约定和分工维护。</x:v>
      </x:c>
      <x:c r="G38" s="32" t="str">
        <x:v>你更容易通过定期确认、重新分工和明确约定来维护边界。</x:v>
      </x:c>
      <x:c r="H38" s="32" t="str">
        <x:v>renegotiation_style</x:v>
      </x:c>
      <x:c r="I38" s="32" t="str">
        <x:v>重订 +5</x:v>
      </x:c>
    </x:row>
    <x:row r="39">
      <x:c r="A39" s="32" t="str">
        <x:v>BQ09</x:v>
      </x:c>
      <x:c r="B39" s="32" t="str">
        <x:v>边界重新协商</x:v>
      </x:c>
      <x:c r="C39" s="32" t="str">
        <x:v>G03</x:v>
      </x:c>
      <x:c r="D39" s="32" t="str">
        <x:v>事件后重订</x:v>
      </x:c>
      <x:c r="E39" s="32" t="str">
        <x:v>刑、害、破或关键事件提供独立证据。</x:v>
      </x:c>
      <x:c r="F39" s="32" t="str">
        <x:v>边界在出现错位或旧安排失效后被重新定义。</x:v>
      </x:c>
      <x:c r="G39" s="32" t="str">
        <x:v>当某次事件暴露出不合适之处，你更倾向事后把规则和权限重新说清楚。</x:v>
      </x:c>
      <x:c r="H39" s="32" t="str">
        <x:v>renegotiation_style</x:v>
      </x:c>
      <x:c r="I39" s="32" t="str">
        <x:v>重订 +5</x:v>
      </x:c>
    </x:row>
    <x:row r="40">
      <x:c r="A40" s="32" t="str">
        <x:v>BQ09</x:v>
      </x:c>
      <x:c r="B40" s="32" t="str">
        <x:v>边界重新协商</x:v>
      </x:c>
      <x:c r="C40" s="32" t="str">
        <x:v>G04</x:v>
      </x:c>
      <x:c r="D40" s="32" t="str">
        <x:v>重订状态未定</x:v>
      </x:c>
      <x:c r="E40" s="32" t="str">
        <x:v>只有宫位动态，无表达、行动或现实协商证据。</x:v>
      </x:c>
      <x:c r="F40" s="32" t="str">
        <x:v>不能仅凭刑冲合害破确定现实协商方式。</x:v>
      </x:c>
      <x:c r="G40" s="32" t="str">
        <x:v>目前只能说明关系边界可能需要调整，具体怎样调整还需看真实沟通。</x:v>
      </x:c>
      <x:c r="H40" s="32" t="str">
        <x:v>renegotiation_style</x:v>
      </x:c>
      <x:c r="I40" s="32" t="str">
        <x:v>不加分；降置信</x:v>
      </x:c>
    </x:row>
    <x:row r="41">
      <x:c r="A41" s="32" t="str">
        <x:v>BQ10</x:v>
      </x:c>
      <x:c r="B41" s="32" t="str">
        <x:v>接受照顾与保留自主</x:v>
      </x:c>
      <x:c r="C41" s="32" t="str">
        <x:v>C01</x:v>
      </x:c>
      <x:c r="D41" s="32" t="str">
        <x:v>直接接收</x:v>
      </x:c>
      <x:c r="E41" s="32" t="str">
        <x:v>正印、正财、正官或信任证据可靠，且无强烈权限冲突。</x:v>
      </x:c>
      <x:c r="F41" s="32" t="str">
        <x:v>用户在支持清楚、可靠时能够直接接受。</x:v>
      </x:c>
      <x:c r="G41" s="32" t="str">
        <x:v>当帮助方式清楚、可靠并尊重你时，你通常能够直接接收。</x:v>
      </x:c>
      <x:c r="H41" s="32" t="str">
        <x:v>support_acceptance_boundary</x:v>
      </x:c>
      <x:c r="I41" s="32" t="str">
        <x:v>接收 +5</x:v>
      </x:c>
    </x:row>
    <x:row r="42">
      <x:c r="A42" s="32" t="str">
        <x:v>BQ10</x:v>
      </x:c>
      <x:c r="B42" s="32" t="str">
        <x:v>接受照顾与保留自主</x:v>
      </x:c>
      <x:c r="C42" s="32" t="str">
        <x:v>C02</x:v>
      </x:c>
      <x:c r="D42" s="32" t="str">
        <x:v>保留参与权后接收</x:v>
      </x:c>
      <x:c r="E42" s="32" t="str">
        <x:v>比肩、劫财或双方协作证据明显。</x:v>
      </x:c>
      <x:c r="F42" s="32" t="str">
        <x:v>用户需要自己仍能参与、决定或执行一部分。</x:v>
      </x:c>
      <x:c r="G42" s="32" t="str">
        <x:v>你更容易接受保留参与感和选择权的帮助，而不是被完全替代。</x:v>
      </x:c>
      <x:c r="H42" s="32" t="str">
        <x:v>support_acceptance_boundary</x:v>
      </x:c>
      <x:c r="I42" s="32" t="str">
        <x:v>接收 +5</x:v>
      </x:c>
    </x:row>
    <x:row r="43">
      <x:c r="A43" s="32" t="str">
        <x:v>BQ10</x:v>
      </x:c>
      <x:c r="B43" s="32" t="str">
        <x:v>接受照顾与保留自主</x:v>
      </x:c>
      <x:c r="C43" s="32" t="str">
        <x:v>C03</x:v>
      </x:c>
      <x:c r="D43" s="32" t="str">
        <x:v>先验证再接收</x:v>
      </x:c>
      <x:c r="E43" s="32" t="str">
        <x:v>正官、正财、偏印或持续性门槛明显。</x:v>
      </x:c>
      <x:c r="F43" s="32" t="str">
        <x:v>用户先看对方是否持续、是否真正理解，再把帮助视为可依赖。</x:v>
      </x:c>
      <x:c r="G43" s="32" t="str">
        <x:v>你可能先观察这份帮助能否持续、是否真正适合，再逐步接受。</x:v>
      </x:c>
      <x:c r="H43" s="32" t="str">
        <x:v>support_acceptance_boundary</x:v>
      </x:c>
      <x:c r="I43" s="32" t="str">
        <x:v>接收 +5</x:v>
      </x:c>
    </x:row>
    <x:row r="44">
      <x:c r="A44" s="32" t="str">
        <x:v>BQ10</x:v>
      </x:c>
      <x:c r="B44" s="32" t="str">
        <x:v>接受照顾与保留自主</x:v>
      </x:c>
      <x:c r="C44" s="32" t="str">
        <x:v>C04</x:v>
      </x:c>
      <x:c r="D44" s="32" t="str">
        <x:v>选择性接收</x:v>
      </x:c>
      <x:c r="E44" s="32" t="str">
        <x:v>偏印、伤官或专业匹配信号明显。</x:v>
      </x:c>
      <x:c r="F44" s="32" t="str">
        <x:v>用户只接收与核心需要匹配、不过度侵入的部分。</x:v>
      </x:c>
      <x:c r="G44" s="32" t="str">
        <x:v>你更愿意接收精准、尊重复杂性、不过度干预的帮助。</x:v>
      </x:c>
      <x:c r="H44" s="32" t="str">
        <x:v>support_acceptance_boundary</x:v>
      </x:c>
      <x:c r="I44" s="32" t="str">
        <x:v>接收 +5</x:v>
      </x:c>
    </x:row>
    <x:row r="45">
      <x:c r="A45" s="28"/>
    </x:row>
    <x:row r="46">
      <x:c r="A46" s="28"/>
    </x:row>
    <x:row r="47">
      <x:c r="A47" s="28"/>
    </x:row>
    <x:row r="48">
      <x:c r="A48" s="28"/>
    </x:row>
    <x:row r="49">
      <x:c r="A49" s="28"/>
    </x:row>
    <x:row r="50">
      <x:c r="A50" s="28"/>
    </x:row>
    <x:row r="51">
      <x:c r="A51" s="28"/>
    </x:row>
    <x:row r="52">
      <x:c r="A52" s="28"/>
    </x:row>
    <x:row r="53">
      <x:c r="A53" s="28"/>
    </x:row>
    <x:row r="54">
      <x:c r="A54" s="28"/>
    </x:row>
    <x:row r="55">
      <x:c r="A55" s="28"/>
    </x:row>
    <x:row r="56">
      <x:c r="A56" s="28"/>
    </x:row>
    <x:row r="57">
      <x:c r="A57" s="28"/>
    </x:row>
    <x:row r="58">
      <x:c r="A58" s="28"/>
    </x:row>
    <x:row r="59">
      <x:c r="A59" s="28"/>
    </x:row>
    <x:row r="60">
      <x:c r="A60" s="28"/>
    </x:row>
    <x:row r="61">
      <x:c r="A61" s="28"/>
    </x:row>
    <x:row r="62">
      <x:c r="A62" s="28"/>
    </x:row>
    <x:row r="63">
      <x:c r="A63" s="28"/>
    </x:row>
    <x:row r="64">
      <x:c r="A64" s="28"/>
    </x:row>
    <x:row r="65">
      <x:c r="A65" s="28"/>
    </x:row>
    <x:row r="66">
      <x:c r="A66" s="28"/>
    </x:row>
    <x:row r="67">
      <x:c r="A67" s="28"/>
    </x:row>
    <x:row r="68">
      <x:c r="A68" s="28"/>
    </x:row>
    <x:row r="69">
      <x:c r="A69" s="28"/>
    </x:row>
    <x:row r="70">
      <x:c r="A70" s="28"/>
    </x:row>
    <x:row r="71">
      <x:c r="A71" s="28"/>
    </x:row>
    <x:row r="72">
      <x:c r="A72" s="28"/>
    </x:row>
    <x:row r="73">
      <x:c r="A73" s="28"/>
    </x:row>
    <x:row r="74">
      <x:c r="A74" s="28"/>
    </x:row>
    <x:row r="75">
      <x:c r="A75" s="28"/>
    </x:row>
    <x:row r="76">
      <x:c r="A76" s="28"/>
    </x:row>
    <x:row r="77">
      <x:c r="A77" s="28"/>
    </x:row>
    <x:row r="78">
      <x:c r="A78" s="28"/>
    </x:row>
    <x:row r="79">
      <x:c r="A79" s="28"/>
    </x:row>
    <x:row r="80">
      <x:c r="A80" s="28"/>
    </x:row>
    <x:row r="81">
      <x:c r="A81" s="28"/>
    </x:row>
    <x:row r="82">
      <x:c r="A82" s="28"/>
    </x:row>
    <x:row r="83">
      <x:c r="A83" s="28"/>
    </x:row>
    <x:row r="84">
      <x:c r="A84" s="28"/>
    </x:row>
    <x:row r="85">
      <x:c r="A85" s="28"/>
    </x:row>
    <x:row r="86">
      <x:c r="A86" s="28"/>
    </x:row>
    <x:row r="87">
      <x:c r="A87" s="28"/>
    </x:row>
    <x:row r="88">
      <x:c r="A88" s="28"/>
    </x:row>
    <x:row r="89">
      <x:c r="A89" s="28"/>
    </x:row>
    <x:row r="90">
      <x:c r="A90" s="28"/>
    </x:row>
    <x:row r="91">
      <x:c r="A91" s="28"/>
    </x:row>
    <x:row r="92">
      <x:c r="A92" s="28"/>
    </x:row>
    <x:row r="93">
      <x:c r="A93" s="28"/>
    </x:row>
    <x:row r="94">
      <x:c r="A94" s="28"/>
    </x:row>
    <x:row r="95">
      <x:c r="A95" s="28"/>
    </x:row>
    <x:row r="96">
      <x:c r="A96" s="28"/>
    </x:row>
    <x:row r="97">
      <x:c r="A97" s="28"/>
    </x:row>
    <x:row r="98">
      <x:c r="A98" s="28"/>
    </x:row>
    <x:row r="99">
      <x:c r="A99" s="28"/>
    </x:row>
    <x:row r="100">
      <x:c r="A100" s="28"/>
    </x:row>
    <x:row r="101">
      <x:c r="A101" s="28"/>
    </x:row>
    <x:row r="102">
      <x:c r="A102" s="28"/>
    </x:row>
    <x:row r="103">
      <x:c r="A103" s="28"/>
    </x:row>
    <x:row r="104">
      <x:c r="A104" s="28"/>
    </x:row>
    <x:row r="105">
      <x:c r="A105" s="28"/>
    </x:row>
    <x:row r="106">
      <x:c r="A106" s="28"/>
    </x:row>
    <x:row r="107">
      <x:c r="A107" s="28"/>
    </x:row>
    <x:row r="108">
      <x:c r="A108" s="28"/>
    </x:row>
    <x:row r="109">
      <x:c r="A109" s="28"/>
    </x:row>
    <x:row r="110">
      <x:c r="A110" s="28"/>
    </x:row>
    <x:row r="111">
      <x:c r="A111" s="28"/>
    </x:row>
    <x:row r="112">
      <x:c r="A112" s="28"/>
    </x:row>
    <x:row r="113">
      <x:c r="A113" s="28"/>
    </x:row>
    <x:row r="114">
      <x:c r="A114" s="28"/>
    </x:row>
    <x:row r="115">
      <x:c r="A115" s="28"/>
    </x:row>
    <x:row r="116">
      <x:c r="A116" s="28"/>
    </x:row>
    <x:row r="117">
      <x:c r="A117" s="28"/>
    </x:row>
    <x:row r="118">
      <x:c r="A118" s="28"/>
    </x:row>
    <x:row r="119">
      <x:c r="A119" s="28"/>
    </x:row>
    <x:row r="120">
      <x:c r="A120" s="28"/>
    </x:row>
    <x:row r="121">
      <x:c r="A121" s="28"/>
    </x:row>
    <x:row r="122">
      <x:c r="A122" s="28"/>
    </x:row>
    <x:row r="123">
      <x:c r="A123" s="28"/>
    </x:row>
    <x:row r="124">
      <x:c r="A124" s="28"/>
    </x:row>
    <x:row r="125">
      <x:c r="A125" s="28"/>
    </x:row>
    <x:row r="126">
      <x:c r="A126" s="28"/>
    </x:row>
    <x:row r="127">
      <x:c r="A127" s="28"/>
    </x:row>
    <x:row r="128">
      <x:c r="A128" s="28"/>
    </x:row>
    <x:row r="129">
      <x:c r="A129" s="28"/>
    </x:row>
    <x:row r="130">
      <x:c r="A130" s="28"/>
    </x:row>
    <x:row r="131">
      <x:c r="A131" s="28"/>
    </x:row>
    <x:row r="132">
      <x:c r="A132" s="28"/>
    </x:row>
    <x:row r="133">
      <x:c r="A133" s="28"/>
    </x:row>
    <x:row r="134">
      <x:c r="A134" s="28"/>
    </x:row>
    <x:row r="135">
      <x:c r="A135" s="28"/>
    </x:row>
    <x:row r="136">
      <x:c r="A136" s="28"/>
    </x:row>
    <x:row r="137">
      <x:c r="A137" s="28"/>
    </x:row>
    <x:row r="138">
      <x:c r="A138" s="28"/>
    </x:row>
    <x:row r="139">
      <x:c r="A139" s="28"/>
    </x:row>
    <x:row r="140">
      <x:c r="A140" s="28"/>
    </x:row>
    <x:row r="141">
      <x:c r="A141" s="28"/>
    </x:row>
    <x:row r="142">
      <x:c r="A142" s="28"/>
    </x:row>
    <x:row r="143">
      <x:c r="A143" s="28"/>
    </x:row>
    <x:row r="144">
      <x:c r="A144" s="28"/>
    </x:row>
    <x:row r="145">
      <x:c r="A145" s="28"/>
    </x:row>
    <x:row r="146">
      <x:c r="A146" s="28"/>
    </x:row>
    <x:row r="147">
      <x:c r="A147" s="28"/>
    </x:row>
    <x:row r="148">
      <x:c r="A148" s="28"/>
    </x:row>
    <x:row r="149">
      <x:c r="A149" s="28"/>
    </x:row>
    <x:row r="150">
      <x:c r="A150" s="28"/>
    </x:row>
    <x:row r="151">
      <x:c r="A151" s="28"/>
    </x:row>
    <x:row r="152">
      <x:c r="A152" s="28"/>
    </x:row>
    <x:row r="153">
      <x:c r="A153" s="28"/>
    </x:row>
    <x:row r="154">
      <x:c r="A154" s="28"/>
    </x:row>
    <x:row r="155">
      <x:c r="A155" s="28"/>
    </x:row>
    <x:row r="156">
      <x:c r="A156" s="28"/>
    </x:row>
    <x:row r="157">
      <x:c r="A157" s="28"/>
    </x:row>
    <x:row r="158">
      <x:c r="A158" s="28"/>
    </x:row>
    <x:row r="159">
      <x:c r="A159" s="28"/>
    </x:row>
    <x:row r="160">
      <x:c r="A160" s="28"/>
    </x:row>
    <x:row r="161">
      <x:c r="A161" s="28"/>
    </x:row>
    <x:row r="162">
      <x:c r="A162" s="28"/>
    </x:row>
    <x:row r="163">
      <x:c r="A163" s="28"/>
    </x:row>
    <x:row r="164">
      <x:c r="A164" s="28"/>
    </x:row>
    <x:row r="165">
      <x:c r="A165" s="28"/>
    </x:row>
    <x:row r="166">
      <x:c r="A166" s="28"/>
    </x:row>
    <x:row r="167">
      <x:c r="A167" s="28"/>
    </x:row>
    <x:row r="168">
      <x:c r="A168" s="28"/>
    </x:row>
    <x:row r="169">
      <x:c r="A169" s="28"/>
    </x:row>
    <x:row r="170">
      <x:c r="A170" s="28"/>
    </x:row>
    <x:row r="171">
      <x:c r="A171" s="28"/>
    </x:row>
    <x:row r="172">
      <x:c r="A172" s="28"/>
    </x:row>
    <x:row r="173">
      <x:c r="A173" s="28"/>
    </x:row>
    <x:row r="174">
      <x:c r="A174" s="28"/>
    </x:row>
    <x:row r="175">
      <x:c r="A175" s="28"/>
    </x:row>
    <x:row r="176">
      <x:c r="A176" s="28"/>
    </x:row>
    <x:row r="177">
      <x:c r="A177" s="28"/>
    </x:row>
    <x:row r="178">
      <x:c r="A178" s="28"/>
    </x:row>
    <x:row r="179">
      <x:c r="A179" s="28"/>
    </x:row>
    <x:row r="180">
      <x:c r="A180" s="28"/>
    </x:row>
    <x:row r="181">
      <x:c r="A181" s="28"/>
    </x:row>
    <x:row r="182">
      <x:c r="A182" s="28"/>
    </x:row>
    <x:row r="183">
      <x:c r="A183" s="28"/>
    </x:row>
    <x:row r="184">
      <x:c r="A184" s="28"/>
    </x:row>
    <x:row r="185">
      <x:c r="A185" s="28"/>
    </x:row>
    <x:row r="186">
      <x:c r="A186" s="28"/>
    </x:row>
    <x:row r="187">
      <x:c r="A187" s="28"/>
    </x:row>
    <x:row r="188">
      <x:c r="A188" s="28"/>
    </x:row>
    <x:row r="189">
      <x:c r="A189" s="28"/>
    </x:row>
    <x:row r="190">
      <x:c r="A190" s="28"/>
    </x:row>
    <x:row r="191">
      <x:c r="A191" s="28"/>
    </x:row>
    <x:row r="192">
      <x:c r="A192" s="28"/>
    </x:row>
    <x:row r="193">
      <x:c r="A193" s="28"/>
    </x:row>
    <x:row r="194">
      <x:c r="A194" s="28"/>
    </x:row>
    <x:row r="195">
      <x:c r="A195" s="28"/>
    </x:row>
    <x:row r="196">
      <x:c r="A196" s="28"/>
    </x:row>
    <x:row r="197">
      <x:c r="A197" s="28"/>
    </x:row>
    <x:row r="198">
      <x:c r="A198" s="28"/>
    </x:row>
    <x:row r="199">
      <x:c r="A199" s="28"/>
    </x:row>
    <x:row r="200">
      <x:c r="A200" s="28"/>
    </x:row>
    <x:row r="201">
      <x:c r="A201" s="28"/>
    </x:row>
    <x:row r="202">
      <x:c r="A202" s="28"/>
    </x:row>
    <x:row r="203">
      <x:c r="A203" s="28"/>
    </x:row>
    <x:row r="204">
      <x:c r="A204" s="28"/>
    </x:row>
    <x:row r="205">
      <x:c r="A205" s="28"/>
    </x:row>
    <x:row r="206">
      <x:c r="A206" s="28"/>
    </x:row>
    <x:row r="207">
      <x:c r="A207" s="28"/>
    </x:row>
    <x:row r="208">
      <x:c r="A208" s="28"/>
    </x:row>
    <x:row r="209">
      <x:c r="A209" s="28"/>
    </x:row>
    <x:row r="210">
      <x:c r="A210" s="28"/>
    </x:row>
    <x:row r="211">
      <x:c r="A211" s="28"/>
    </x:row>
    <x:row r="212">
      <x:c r="A212" s="28"/>
    </x:row>
    <x:row r="213">
      <x:c r="A213" s="28"/>
    </x:row>
    <x:row r="214">
      <x:c r="A214" s="28"/>
    </x:row>
    <x:row r="215">
      <x:c r="A215" s="28"/>
    </x:row>
    <x:row r="216">
      <x:c r="A216" s="28"/>
    </x:row>
    <x:row r="217">
      <x:c r="A217" s="28"/>
    </x:row>
    <x:row r="218">
      <x:c r="A218" s="28"/>
    </x:row>
    <x:row r="219">
      <x:c r="A219" s="28"/>
    </x:row>
    <x:row r="220">
      <x:c r="A220" s="28"/>
    </x:row>
    <x:row r="221">
      <x:c r="A221" s="28"/>
    </x:row>
    <x:row r="222">
      <x:c r="A222" s="28"/>
    </x:row>
    <x:row r="223">
      <x:c r="A223" s="28"/>
    </x:row>
    <x:row r="224">
      <x:c r="A224" s="28"/>
    </x:row>
    <x:row r="225">
      <x:c r="A225" s="28"/>
    </x:row>
    <x:row r="226">
      <x:c r="A226" s="28"/>
    </x:row>
    <x:row r="227">
      <x:c r="A227" s="28"/>
    </x:row>
    <x:row r="228">
      <x:c r="A228" s="28"/>
    </x:row>
    <x:row r="229">
      <x:c r="A229" s="28"/>
    </x:row>
    <x:row r="230">
      <x:c r="A230" s="28"/>
    </x:row>
    <x:row r="231">
      <x:c r="A231" s="28"/>
    </x:row>
    <x:row r="232">
      <x:c r="A232" s="28"/>
    </x:row>
    <x:row r="233">
      <x:c r="A233" s="28"/>
    </x:row>
    <x:row r="234">
      <x:c r="A234" s="28"/>
    </x:row>
    <x:row r="235">
      <x:c r="A235" s="28"/>
    </x:row>
    <x:row r="236">
      <x:c r="A236" s="28"/>
    </x:row>
    <x:row r="237">
      <x:c r="A237" s="28"/>
    </x:row>
    <x:row r="238">
      <x:c r="A238" s="28"/>
    </x:row>
    <x:row r="239">
      <x:c r="A239" s="28"/>
    </x:row>
    <x:row r="240">
      <x:c r="A240" s="28"/>
    </x:row>
    <x:row r="241">
      <x:c r="A241" s="28"/>
    </x:row>
    <x:row r="242">
      <x:c r="A242" s="28"/>
    </x:row>
    <x:row r="243">
      <x:c r="A243" s="28"/>
    </x:row>
    <x:row r="244">
      <x:c r="A244" s="28"/>
    </x:row>
    <x:row r="245">
      <x:c r="A245" s="28"/>
    </x:row>
    <x:row r="246">
      <x:c r="A246" s="28"/>
    </x:row>
    <x:row r="247">
      <x:c r="A247" s="28"/>
    </x:row>
    <x:row r="248">
      <x:c r="A248" s="28"/>
    </x:row>
    <x:row r="249">
      <x:c r="A249" s="28"/>
    </x:row>
    <x:row r="250">
      <x:c r="A250" s="28"/>
    </x:row>
    <x:row r="251">
      <x:c r="A251" s="28"/>
    </x:row>
    <x:row r="252">
      <x:c r="A252" s="28"/>
    </x:row>
    <x:row r="253">
      <x:c r="A253" s="28"/>
    </x:row>
    <x:row r="254">
      <x:c r="A254" s="28"/>
    </x:row>
    <x:row r="255">
      <x:c r="A255" s="28"/>
    </x:row>
    <x:row r="256">
      <x:c r="A256" s="28"/>
    </x:row>
    <x:row r="257">
      <x:c r="A257" s="28"/>
    </x:row>
    <x:row r="258">
      <x:c r="A258" s="28"/>
    </x:row>
    <x:row r="259">
      <x:c r="A259" s="28"/>
    </x:row>
    <x:row r="260">
      <x:c r="A260" s="28"/>
    </x:row>
    <x:row r="261">
      <x:c r="A261" s="28"/>
    </x:row>
    <x:row r="262">
      <x:c r="A262" s="28"/>
    </x:row>
    <x:row r="263">
      <x:c r="A263" s="28"/>
    </x:row>
    <x:row r="264">
      <x:c r="A264" s="28"/>
    </x:row>
    <x:row r="265">
      <x:c r="A265" s="28"/>
    </x:row>
    <x:row r="266">
      <x:c r="A266" s="28"/>
    </x:row>
    <x:row r="267">
      <x:c r="A267" s="28"/>
    </x:row>
    <x:row r="268">
      <x:c r="A268" s="28"/>
    </x:row>
    <x:row r="269">
      <x:c r="A269" s="28"/>
    </x:row>
    <x:row r="270">
      <x:c r="A270" s="28"/>
    </x:row>
    <x:row r="271">
      <x:c r="A271" s="28"/>
    </x:row>
    <x:row r="272">
      <x:c r="A272" s="28"/>
    </x:row>
    <x:row r="273">
      <x:c r="A273" s="28"/>
    </x:row>
    <x:row r="274">
      <x:c r="A274" s="28"/>
    </x:row>
    <x:row r="275">
      <x:c r="A275" s="28"/>
    </x:row>
    <x:row r="276">
      <x:c r="A276" s="28"/>
    </x:row>
    <x:row r="277">
      <x:c r="A277" s="28"/>
    </x:row>
    <x:row r="278">
      <x:c r="A278" s="28"/>
    </x:row>
    <x:row r="279">
      <x:c r="A279" s="28"/>
    </x:row>
    <x:row r="280">
      <x:c r="A280" s="28"/>
    </x:row>
    <x:row r="281">
      <x:c r="A281" s="28"/>
    </x:row>
    <x:row r="282">
      <x:c r="A282" s="28"/>
    </x:row>
    <x:row r="283">
      <x:c r="A283" s="28"/>
    </x:row>
    <x:row r="284">
      <x:c r="A284" s="28"/>
    </x:row>
    <x:row r="285">
      <x:c r="A285" s="28"/>
    </x:row>
    <x:row r="286">
      <x:c r="A286" s="28"/>
    </x:row>
    <x:row r="287">
      <x:c r="A287" s="28"/>
    </x:row>
    <x:row r="288">
      <x:c r="A288" s="28"/>
    </x:row>
    <x:row r="289">
      <x:c r="A289" s="28"/>
    </x:row>
    <x:row r="290">
      <x:c r="A290" s="28"/>
    </x:row>
    <x:row r="291">
      <x:c r="A291" s="28"/>
    </x:row>
    <x:row r="292">
      <x:c r="A292" s="28"/>
    </x:row>
    <x:row r="293">
      <x:c r="A293" s="28"/>
    </x:row>
    <x:row r="294">
      <x:c r="A294" s="28"/>
    </x:row>
    <x:row r="295">
      <x:c r="A295" s="28"/>
    </x:row>
    <x:row r="296">
      <x:c r="A296" s="28"/>
    </x:row>
    <x:row r="297">
      <x:c r="A297" s="28"/>
    </x:row>
    <x:row r="298">
      <x:c r="A298" s="28"/>
    </x:row>
    <x:row r="299">
      <x:c r="A299" s="28"/>
    </x:row>
    <x:row r="300">
      <x:c r="A300" s="28"/>
    </x:row>
    <x:row r="301">
      <x:c r="A301" s="28"/>
    </x:row>
    <x:row r="302">
      <x:c r="A302" s="28"/>
    </x:row>
    <x:row r="303">
      <x:c r="A303" s="28"/>
    </x:row>
    <x:row r="304">
      <x:c r="A304" s="28"/>
    </x:row>
    <x:row r="305">
      <x:c r="A305" s="28"/>
    </x:row>
    <x:row r="306">
      <x:c r="A306" s="28"/>
    </x:row>
    <x:row r="307">
      <x:c r="A307" s="28"/>
    </x:row>
    <x:row r="308">
      <x:c r="A308" s="28"/>
    </x:row>
    <x:row r="309">
      <x:c r="A309" s="28"/>
    </x:row>
    <x:row r="310">
      <x:c r="A310" s="28"/>
    </x:row>
    <x:row r="311">
      <x:c r="A311" s="28"/>
    </x:row>
    <x:row r="312">
      <x:c r="A312" s="28"/>
    </x:row>
    <x:row r="313">
      <x:c r="A313" s="28"/>
    </x:row>
    <x:row r="314">
      <x:c r="A314" s="28"/>
    </x:row>
    <x:row r="315">
      <x:c r="A315" s="28"/>
    </x:row>
    <x:row r="316">
      <x:c r="A316" s="28"/>
    </x:row>
    <x:row r="317">
      <x:c r="A317" s="28"/>
    </x:row>
    <x:row r="318">
      <x:c r="A318" s="28"/>
    </x:row>
    <x:row r="319">
      <x:c r="A319" s="28"/>
    </x:row>
    <x:row r="320">
      <x:c r="A320" s="28"/>
    </x:row>
    <x:row r="321">
      <x:c r="A321" s="28"/>
    </x:row>
    <x:row r="322">
      <x:c r="A322" s="28"/>
    </x:row>
    <x:row r="323">
      <x:c r="A323" s="28"/>
    </x:row>
    <x:row r="324">
      <x:c r="A324" s="28"/>
    </x:row>
    <x:row r="325">
      <x:c r="A325" s="28"/>
    </x:row>
    <x:row r="326">
      <x:c r="A326" s="28"/>
    </x:row>
    <x:row r="327">
      <x:c r="A327" s="28"/>
    </x:row>
    <x:row r="328">
      <x:c r="A328" s="28"/>
    </x:row>
    <x:row r="329">
      <x:c r="A329" s="28"/>
    </x:row>
    <x:row r="330">
      <x:c r="A330" s="28"/>
    </x:row>
    <x:row r="331">
      <x:c r="A331" s="28"/>
    </x:row>
    <x:row r="332">
      <x:c r="A332" s="28"/>
    </x:row>
    <x:row r="333">
      <x:c r="A333" s="28"/>
    </x:row>
    <x:row r="334">
      <x:c r="A334" s="28"/>
    </x:row>
    <x:row r="335">
      <x:c r="A335" s="28"/>
    </x:row>
    <x:row r="336">
      <x:c r="A336" s="28"/>
    </x:row>
    <x:row r="337">
      <x:c r="A337" s="28"/>
    </x:row>
    <x:row r="338">
      <x:c r="A338" s="28"/>
    </x:row>
    <x:row r="339">
      <x:c r="A339" s="28"/>
    </x:row>
    <x:row r="340">
      <x:c r="A340" s="28"/>
    </x:row>
    <x:row r="341">
      <x:c r="A341" s="28"/>
    </x:row>
    <x:row r="342">
      <x:c r="A342" s="28"/>
    </x:row>
    <x:row r="343">
      <x:c r="A343" s="28"/>
    </x:row>
    <x:row r="344">
      <x:c r="A344" s="28"/>
    </x:row>
    <x:row r="345">
      <x:c r="A345" s="28"/>
    </x:row>
    <x:row r="346">
      <x:c r="A346" s="28"/>
    </x:row>
    <x:row r="347">
      <x:c r="A347" s="28"/>
    </x:row>
    <x:row r="348">
      <x:c r="A348" s="28"/>
    </x:row>
    <x:row r="349">
      <x:c r="A349" s="28"/>
    </x:row>
    <x:row r="350">
      <x:c r="A350" s="28"/>
    </x:row>
    <x:row r="351">
      <x:c r="A351" s="28"/>
    </x:row>
    <x:row r="352">
      <x:c r="A352" s="28"/>
    </x:row>
    <x:row r="353">
      <x:c r="A353" s="28"/>
    </x:row>
    <x:row r="354">
      <x:c r="A354" s="28"/>
    </x:row>
    <x:row r="355">
      <x:c r="A355" s="28"/>
    </x:row>
    <x:row r="356">
      <x:c r="A356" s="28"/>
    </x:row>
    <x:row r="357">
      <x:c r="A357" s="28"/>
    </x:row>
    <x:row r="358">
      <x:c r="A358" s="28"/>
    </x:row>
    <x:row r="359">
      <x:c r="A359" s="28"/>
    </x:row>
    <x:row r="360">
      <x:c r="A360" s="28"/>
    </x:row>
    <x:row r="361">
      <x:c r="A361" s="28"/>
    </x:row>
    <x:row r="362">
      <x:c r="A362" s="28"/>
    </x:row>
    <x:row r="363">
      <x:c r="A363" s="28"/>
    </x:row>
    <x:row r="364">
      <x:c r="A364" s="28"/>
    </x:row>
    <x:row r="365">
      <x:c r="A365" s="28"/>
    </x:row>
    <x:row r="366">
      <x:c r="A366" s="28"/>
    </x:row>
    <x:row r="367">
      <x:c r="A367" s="28"/>
    </x:row>
    <x:row r="368">
      <x:c r="A368" s="28"/>
    </x:row>
    <x:row r="369">
      <x:c r="A369" s="28"/>
    </x:row>
    <x:row r="370">
      <x:c r="A370" s="28"/>
    </x:row>
    <x:row r="371">
      <x:c r="A371" s="28"/>
    </x:row>
    <x:row r="372">
      <x:c r="A372" s="28"/>
    </x:row>
    <x:row r="373">
      <x:c r="A373" s="28"/>
    </x:row>
    <x:row r="374">
      <x:c r="A374" s="28"/>
    </x:row>
    <x:row r="375">
      <x:c r="A375" s="28"/>
    </x:row>
    <x:row r="376">
      <x:c r="A376" s="28"/>
    </x:row>
    <x:row r="377">
      <x:c r="A377" s="28"/>
    </x:row>
    <x:row r="378">
      <x:c r="A378" s="28"/>
    </x:row>
    <x:row r="379">
      <x:c r="A379" s="28"/>
    </x:row>
    <x:row r="380">
      <x:c r="A380" s="28"/>
    </x:row>
    <x:row r="381">
      <x:c r="A381" s="28"/>
    </x:row>
    <x:row r="382">
      <x:c r="A382" s="28"/>
    </x:row>
    <x:row r="383">
      <x:c r="A383" s="28"/>
    </x:row>
    <x:row r="384">
      <x:c r="A384" s="28"/>
    </x:row>
    <x:row r="385">
      <x:c r="A385" s="28"/>
    </x:row>
    <x:row r="386">
      <x:c r="A386" s="28"/>
    </x:row>
    <x:row r="387">
      <x:c r="A387" s="28"/>
    </x:row>
    <x:row r="388">
      <x:c r="A388" s="28"/>
    </x:row>
    <x:row r="389">
      <x:c r="A389" s="28"/>
    </x:row>
    <x:row r="390">
      <x:c r="A390" s="28"/>
    </x:row>
    <x:row r="391">
      <x:c r="A391" s="28"/>
    </x:row>
    <x:row r="392">
      <x:c r="A392" s="28"/>
    </x:row>
    <x:row r="393">
      <x:c r="A393" s="28"/>
    </x:row>
    <x:row r="394">
      <x:c r="A394" s="28"/>
    </x:row>
    <x:row r="395">
      <x:c r="A395" s="28"/>
    </x:row>
    <x:row r="396">
      <x:c r="A396" s="28"/>
    </x:row>
    <x:row r="397">
      <x:c r="A397" s="28"/>
    </x:row>
    <x:row r="398">
      <x:c r="A398" s="28"/>
    </x:row>
    <x:row r="399">
      <x:c r="A399" s="28"/>
    </x:row>
    <x:row r="400">
      <x:c r="A400" s="28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22138a884c64f5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50" hidden="0" customWidth="1"/>
    <x:col min="5" max="5" width="24" hidden="0" customWidth="1"/>
    <x:col min="6" max="6" width="18" hidden="0" customWidth="1"/>
    <x:col min="7" max="7" width="12" hidden="0" customWidth="1"/>
    <x:col min="8" max="8" width="12" hidden="0" customWidth="1"/>
  </x:cols>
  <x:sheetData>
    <x:row r="1" ht="28" customHeight="1">
      <x:c r="A1" s="38" t="str">
        <x:v>BOUND模式、距离节奏、交换结构与功能路径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3" t="str">
        <x:v>先匹配通道和过程维度，再判断模式。多信号必须去重并说明功能分工。</x:v>
      </x:c>
      <x:c r="B2" s="13"/>
      <x:c r="C2" s="13"/>
      <x:c r="D2" s="13"/>
      <x:c r="E2" s="13"/>
      <x:c r="F2" s="13"/>
      <x:c r="G2" s="13"/>
      <x:c r="H2" s="13"/>
    </x:row>
    <x:row r="3">
      <x:c r="A3" s="28"/>
    </x:row>
    <x:row r="4" ht="23" customHeight="1">
      <x:c r="A4" s="40" t="str">
        <x:v>十二类边界模式</x:v>
      </x:c>
      <x:c r="B4" s="36"/>
      <x:c r="C4" s="36"/>
      <x:c r="D4" s="36"/>
      <x:c r="E4" s="36"/>
      <x:c r="F4" s="36"/>
      <x:c r="G4" s="36"/>
      <x:c r="H4" s="36"/>
    </x:row>
    <x:row r="5">
      <x:c r="A5" s="22" t="str">
        <x:v>编号</x:v>
      </x:c>
      <x:c r="B5" s="22" t="str">
        <x:v>模式</x:v>
      </x:c>
      <x:c r="C5" s="22" t="str">
        <x:v>核心含义</x:v>
      </x:c>
      <x:c r="D5" s="22" t="str">
        <x:v>成立条件</x:v>
      </x:c>
      <x:c r="E5" s="22" t="str">
        <x:v>输出字段</x:v>
      </x:c>
      <x:c r="F5" s="22" t="str">
        <x:v>分值／作用</x:v>
      </x:c>
    </x:row>
    <x:row r="6">
      <x:c r="A6" s="32" t="str">
        <x:v>BP01</x:v>
      </x:c>
      <x:c r="B6" s="32" t="str">
        <x:v>平等协商型</x:v>
      </x:c>
      <x:c r="C6" s="32" t="str">
        <x:v>以平等、各自负责和共同讨论维持边界。</x:v>
      </x:c>
      <x:c r="D6" s="32" t="str">
        <x:v>BD01有效，且自主或协商维度至少一项可靠；不得只有单一弱远比肩。</x:v>
      </x:c>
      <x:c r="E6" s="32" t="str">
        <x:v>boundary_pattern</x:v>
      </x:c>
      <x:c r="F6" s="32" t="str">
        <x:v>候选+10；需两类证据</x:v>
      </x:c>
    </x:row>
    <x:row r="7">
      <x:c r="A7" s="32" t="str">
        <x:v>BP02</x:v>
      </x:c>
      <x:c r="B7" s="32" t="str">
        <x:v>共同参与型</x:v>
      </x:c>
      <x:c r="C7" s="32" t="str">
        <x:v>边界在一起做事和即时互动中形成，重视双方都参与。</x:v>
      </x:c>
      <x:c r="D7" s="32" t="str">
        <x:v>BD02有效，且共同活动靠近、共同决定或行动接收至少一项可靠。</x:v>
      </x:c>
      <x:c r="E7" s="32" t="str">
        <x:v>boundary_pattern</x:v>
      </x:c>
      <x:c r="F7" s="32" t="str">
        <x:v>候选+10；需两类证据</x:v>
      </x:c>
    </x:row>
    <x:row r="8">
      <x:c r="A8" s="32" t="str">
        <x:v>BP03</x:v>
      </x:c>
      <x:c r="B8" s="32" t="str">
        <x:v>舒适渐进型</x:v>
      </x:c>
      <x:c r="C8" s="32" t="str">
        <x:v>通过低压力、逐步熟悉和照顾节奏建立亲密边界。</x:v>
      </x:c>
      <x:c r="D8" s="32" t="str">
        <x:v>BD03有效，且渐进靠近、温和需求或缓冲暂停至少一项可靠。</x:v>
      </x:c>
      <x:c r="E8" s="32" t="str">
        <x:v>boundary_pattern</x:v>
      </x:c>
      <x:c r="F8" s="32" t="str">
        <x:v>候选+10；需两类证据</x:v>
      </x:c>
    </x:row>
    <x:row r="9">
      <x:c r="A9" s="32" t="str">
        <x:v>BP04</x:v>
      </x:c>
      <x:c r="B9" s="32" t="str">
        <x:v>清楚协商型</x:v>
      </x:c>
      <x:c r="C9" s="32" t="str">
        <x:v>通过说明需求、解释限制和提出替代方案维护边界。</x:v>
      </x:c>
      <x:c r="D9" s="32" t="str">
        <x:v>BD04有效，且直接具体、协商拒绝或重订维度至少一项可靠。</x:v>
      </x:c>
      <x:c r="E9" s="32" t="str">
        <x:v>boundary_pattern</x:v>
      </x:c>
      <x:c r="F9" s="32" t="str">
        <x:v>候选+10；需两类证据</x:v>
      </x:c>
    </x:row>
    <x:row r="10">
      <x:c r="A10" s="32" t="str">
        <x:v>BP05</x:v>
      </x:c>
      <x:c r="B10" s="32" t="str">
        <x:v>稳定共享型</x:v>
      </x:c>
      <x:c r="C10" s="32" t="str">
        <x:v>通过固定时间、现实安排和稳定分工维持亲密与自主。</x:v>
      </x:c>
      <x:c r="D10" s="32" t="str">
        <x:v>BD05有效，且日常开放、角色分工或定期协商至少一项可靠。</x:v>
      </x:c>
      <x:c r="E10" s="32" t="str">
        <x:v>boundary_pattern</x:v>
      </x:c>
      <x:c r="F10" s="32" t="str">
        <x:v>候选+10；需两类证据</x:v>
      </x:c>
    </x:row>
    <x:row r="11">
      <x:c r="A11" s="32" t="str">
        <x:v>BP06</x:v>
      </x:c>
      <x:c r="B11" s="32" t="str">
        <x:v>弹性共享型</x:v>
      </x:c>
      <x:c r="C11" s="32" t="str">
        <x:v>根据情境灵活调整共享范围、时间和社交空间。</x:v>
      </x:c>
      <x:c r="D11" s="32" t="str">
        <x:v>BD06有效，且弹性空间、即时调整或体验靠近至少一项可靠。</x:v>
      </x:c>
      <x:c r="E11" s="32" t="str">
        <x:v>boundary_pattern</x:v>
      </x:c>
      <x:c r="F11" s="32" t="str">
        <x:v>候选+10；需两类证据</x:v>
      </x:c>
    </x:row>
    <x:row r="12">
      <x:c r="A12" s="32" t="str">
        <x:v>BP07</x:v>
      </x:c>
      <x:c r="B12" s="32" t="str">
        <x:v>规则角色型</x:v>
      </x:c>
      <x:c r="C12" s="32" t="str">
        <x:v>以承诺、角色和可追踪的共同规则明确权限。</x:v>
      </x:c>
      <x:c r="D12" s="32" t="str">
        <x:v>BD07有效，且角色分工、直接限制或定期协商至少一项可靠。</x:v>
      </x:c>
      <x:c r="E12" s="32" t="str">
        <x:v>boundary_pattern</x:v>
      </x:c>
      <x:c r="F12" s="32" t="str">
        <x:v>候选+10；需两类证据</x:v>
      </x:c>
    </x:row>
    <x:row r="13">
      <x:c r="A13" s="32" t="str">
        <x:v>BP08</x:v>
      </x:c>
      <x:c r="B13" s="32" t="str">
        <x:v>决断保护型</x:v>
      </x:c>
      <x:c r="C13" s="32" t="str">
        <x:v>在关键情境迅速划定停止线、处理风险并保护关系边界。</x:v>
      </x:c>
      <x:c r="D13" s="32" t="str">
        <x:v>BD08有效，且直接拒绝、问题处理后回归或压力抢先至少一项可靠。</x:v>
      </x:c>
      <x:c r="E13" s="32" t="str">
        <x:v>boundary_pattern</x:v>
      </x:c>
      <x:c r="F13" s="32" t="str">
        <x:v>候选+10；需两类证据</x:v>
      </x:c>
    </x:row>
    <x:row r="14">
      <x:c r="A14" s="32" t="str">
        <x:v>BP09</x:v>
      </x:c>
      <x:c r="B14" s="32" t="str">
        <x:v>安全依托型</x:v>
      </x:c>
      <x:c r="C14" s="32" t="str">
        <x:v>在理解、稳定回应和可信环境中允许依靠，同时保留内部确认。</x:v>
      </x:c>
      <x:c r="D14" s="32" t="str">
        <x:v>BD09有效，且回应靠近、安全恢复或直接接收至少一项可靠。</x:v>
      </x:c>
      <x:c r="E14" s="32" t="str">
        <x:v>boundary_pattern</x:v>
      </x:c>
      <x:c r="F14" s="32" t="str">
        <x:v>候选+10；需两类证据</x:v>
      </x:c>
    </x:row>
    <x:row r="15">
      <x:c r="A15" s="32" t="str">
        <x:v>BP10</x:v>
      </x:c>
      <x:c r="B15" s="32" t="str">
        <x:v>选择性空间型</x:v>
      </x:c>
      <x:c r="C15" s="32" t="str">
        <x:v>通过选择性开放、内部整理和尊重私人空间维持亲密。</x:v>
      </x:c>
      <x:c r="D15" s="32" t="str">
        <x:v>BD10有效，且稳定空间、先整理或选择性接收至少一项可靠。</x:v>
      </x:c>
      <x:c r="E15" s="32" t="str">
        <x:v>boundary_pattern</x:v>
      </x:c>
      <x:c r="F15" s="32" t="str">
        <x:v>候选+10；需两类证据</x:v>
      </x:c>
    </x:row>
    <x:row r="16">
      <x:c r="A16" s="32" t="str">
        <x:v>BP11</x:v>
      </x:c>
      <x:c r="B16" s="32" t="str">
        <x:v>双层边界型</x:v>
      </x:c>
      <x:c r="C16" s="32" t="str">
        <x:v>两套功能不同的边界通道同时成立，一项负责靠近，一项负责权限或停止。</x:v>
      </x:c>
      <x:c r="D16" s="32" t="str">
        <x:v>两个通道均达到次通道门槛，来源独立、功能不同且分差不足8分。</x:v>
      </x:c>
      <x:c r="E16" s="32" t="str">
        <x:v>boundary_pattern</x:v>
      </x:c>
      <x:c r="F16" s="32" t="str">
        <x:v>候选+10；需两类证据</x:v>
      </x:c>
    </x:row>
    <x:row r="17">
      <x:c r="A17" s="32" t="str">
        <x:v>BP12</x:v>
      </x:c>
      <x:c r="B17" s="32" t="str">
        <x:v>情境切换型</x:v>
      </x:c>
      <x:c r="C17" s="32" t="str">
        <x:v>日常、压力、共同任务或不同关系阶段会调用不同边界通道。</x:v>
      </x:c>
      <x:c r="D17" s="32" t="str">
        <x:v>至少两个情境拥有独立通道证据，且M3-STATE或宫位动态支持切换。</x:v>
      </x:c>
      <x:c r="E17" s="32" t="str">
        <x:v>boundary_pattern</x:v>
      </x:c>
      <x:c r="F17" s="32" t="str">
        <x:v>候选+10；需两类证据</x:v>
      </x:c>
    </x:row>
    <x:row r="18">
      <x:c r="A18" s="28"/>
    </x:row>
    <x:row r="19">
      <x:c r="A19" s="28"/>
    </x:row>
    <x:row r="20" ht="23" customHeight="1">
      <x:c r="A20" s="40" t="str">
        <x:v>八类距离节奏</x:v>
      </x:c>
      <x:c r="B20" s="36"/>
      <x:c r="C20" s="36"/>
      <x:c r="D20" s="36"/>
      <x:c r="E20" s="36"/>
      <x:c r="F20" s="36"/>
      <x:c r="G20" s="36"/>
      <x:c r="H20" s="36"/>
    </x:row>
    <x:row r="21">
      <x:c r="A21" s="22" t="str">
        <x:v>编号</x:v>
      </x:c>
      <x:c r="B21" s="22" t="str">
        <x:v>节奏</x:v>
      </x:c>
      <x:c r="C21" s="22" t="str">
        <x:v>核心含义</x:v>
      </x:c>
      <x:c r="D21" s="22" t="str">
        <x:v>成立条件</x:v>
      </x:c>
      <x:c r="E21" s="22" t="str">
        <x:v>输出字段</x:v>
      </x:c>
      <x:c r="F21" s="22" t="str">
        <x:v>分值／作用</x:v>
      </x:c>
    </x:row>
    <x:row r="22">
      <x:c r="A22" s="32" t="str">
        <x:v>DR01</x:v>
      </x:c>
      <x:c r="B22" s="32" t="str">
        <x:v>快速明确靠近</x:v>
      </x:c>
      <x:c r="C22" s="32" t="str">
        <x:v>关键条件清楚、主通道外显且连续时，关系可以较快靠近，同时边界较早被说清。</x:v>
      </x:c>
      <x:c r="D22" s="32" t="str">
        <x:v>靠近、空间与位置证据至少两项一致</x:v>
      </x:c>
      <x:c r="E22" s="32" t="str">
        <x:v>distance_pattern</x:v>
      </x:c>
      <x:c r="F22" s="32" t="str">
        <x:v>候选+6</x:v>
      </x:c>
    </x:row>
    <x:row r="23">
      <x:c r="A23" s="32" t="str">
        <x:v>DR02</x:v>
      </x:c>
      <x:c r="B23" s="32" t="str">
        <x:v>渐进熟悉靠近</x:v>
      </x:c>
      <x:c r="C23" s="32" t="str">
        <x:v>需要通过重复接触、日常相处和稳定回应逐步增加亲密。</x:v>
      </x:c>
      <x:c r="D23" s="32" t="str">
        <x:v>靠近、空间与位置证据至少两项一致</x:v>
      </x:c>
      <x:c r="E23" s="32" t="str">
        <x:v>distance_pattern</x:v>
      </x:c>
      <x:c r="F23" s="32" t="str">
        <x:v>候选+6</x:v>
      </x:c>
    </x:row>
    <x:row r="24">
      <x:c r="A24" s="32" t="str">
        <x:v>DR03</x:v>
      </x:c>
      <x:c r="B24" s="32" t="str">
        <x:v>信任后开放</x:v>
      </x:c>
      <x:c r="C24" s="32" t="str">
        <x:v>先确认理解、安全或可靠性，再开放更多情绪、生活和依托。</x:v>
      </x:c>
      <x:c r="D24" s="32" t="str">
        <x:v>靠近、空间与位置证据至少两项一致</x:v>
      </x:c>
      <x:c r="E24" s="32" t="str">
        <x:v>distance_pattern</x:v>
      </x:c>
      <x:c r="F24" s="32" t="str">
        <x:v>候选+6</x:v>
      </x:c>
    </x:row>
    <x:row r="25">
      <x:c r="A25" s="32" t="str">
        <x:v>DR04</x:v>
      </x:c>
      <x:c r="B25" s="32" t="str">
        <x:v>共同任务靠近</x:v>
      </x:c>
      <x:c r="C25" s="32" t="str">
        <x:v>一起做事、共同经历或协作会明显缩短距离。</x:v>
      </x:c>
      <x:c r="D25" s="32" t="str">
        <x:v>靠近、空间与位置证据至少两项一致</x:v>
      </x:c>
      <x:c r="E25" s="32" t="str">
        <x:v>distance_pattern</x:v>
      </x:c>
      <x:c r="F25" s="32" t="str">
        <x:v>候选+6</x:v>
      </x:c>
    </x:row>
    <x:row r="26">
      <x:c r="A26" s="32" t="str">
        <x:v>DR05</x:v>
      </x:c>
      <x:c r="B26" s="32" t="str">
        <x:v>靠近—空间交替</x:v>
      </x:c>
      <x:c r="C26" s="32" t="str">
        <x:v>亲密增加后需要阶段性整理或独处，再回到关系继续协商。</x:v>
      </x:c>
      <x:c r="D26" s="32" t="str">
        <x:v>靠近、空间与位置证据至少两项一致</x:v>
      </x:c>
      <x:c r="E26" s="32" t="str">
        <x:v>distance_pattern</x:v>
      </x:c>
      <x:c r="F26" s="32" t="str">
        <x:v>候选+6</x:v>
      </x:c>
    </x:row>
    <x:row r="27">
      <x:c r="A27" s="32" t="str">
        <x:v>DR06</x:v>
      </x:c>
      <x:c r="B27" s="32" t="str">
        <x:v>稳定共享节奏</x:v>
      </x:c>
      <x:c r="C27" s="32" t="str">
        <x:v>以固定安排、重复回应和可预期共享维持距离。</x:v>
      </x:c>
      <x:c r="D27" s="32" t="str">
        <x:v>靠近、空间与位置证据至少两项一致</x:v>
      </x:c>
      <x:c r="E27" s="32" t="str">
        <x:v>distance_pattern</x:v>
      </x:c>
      <x:c r="F27" s="32" t="str">
        <x:v>候选+6</x:v>
      </x:c>
    </x:row>
    <x:row r="28">
      <x:c r="A28" s="32" t="str">
        <x:v>DR07</x:v>
      </x:c>
      <x:c r="B28" s="32" t="str">
        <x:v>并行自主节奏</x:v>
      </x:c>
      <x:c r="C28" s="32" t="str">
        <x:v>双方保持各自生活和判断，同时在关键事务上稳定联结。</x:v>
      </x:c>
      <x:c r="D28" s="32" t="str">
        <x:v>靠近、空间与位置证据至少两项一致</x:v>
      </x:c>
      <x:c r="E28" s="32" t="str">
        <x:v>distance_pattern</x:v>
      </x:c>
      <x:c r="F28" s="32" t="str">
        <x:v>候选+6</x:v>
      </x:c>
    </x:row>
    <x:row r="29">
      <x:c r="A29" s="32" t="str">
        <x:v>DR08</x:v>
      </x:c>
      <x:c r="B29" s="32" t="str">
        <x:v>距离节奏未定</x:v>
      </x:c>
      <x:c r="C29" s="32" t="str">
        <x:v>现有证据不足以固定靠近和空间的先后，只能保留情境性。</x:v>
      </x:c>
      <x:c r="D29" s="32" t="str">
        <x:v>靠近、空间与位置证据至少两项一致</x:v>
      </x:c>
      <x:c r="E29" s="32" t="str">
        <x:v>distance_pattern</x:v>
      </x:c>
      <x:c r="F29" s="32" t="str">
        <x:v>候选+6</x:v>
      </x:c>
    </x:row>
    <x:row r="30">
      <x:c r="A30" s="28"/>
    </x:row>
    <x:row r="31">
      <x:c r="A31" s="28"/>
    </x:row>
    <x:row r="32" ht="23" customHeight="1">
      <x:c r="A32" s="40" t="str">
        <x:v>八类边界交换结构</x:v>
      </x:c>
      <x:c r="B32" s="36"/>
      <x:c r="C32" s="36"/>
      <x:c r="D32" s="36"/>
      <x:c r="E32" s="36"/>
      <x:c r="F32" s="36"/>
      <x:c r="G32" s="36"/>
      <x:c r="H32" s="36"/>
    </x:row>
    <x:row r="33">
      <x:c r="A33" s="22" t="str">
        <x:v>编号</x:v>
      </x:c>
      <x:c r="B33" s="22" t="str">
        <x:v>结构</x:v>
      </x:c>
      <x:c r="C33" s="22" t="str">
        <x:v>核心含义</x:v>
      </x:c>
      <x:c r="D33" s="22" t="str">
        <x:v>成立条件</x:v>
      </x:c>
      <x:c r="E33" s="22" t="str">
        <x:v>输出字段</x:v>
      </x:c>
      <x:c r="F33" s="22" t="str">
        <x:v>分值／作用</x:v>
      </x:c>
    </x:row>
    <x:row r="34">
      <x:c r="A34" s="32" t="str">
        <x:v>BE01</x:v>
      </x:c>
      <x:c r="B34" s="32" t="str">
        <x:v>同步协商</x:v>
      </x:c>
      <x:c r="C34" s="32" t="str">
        <x:v>靠近、分享和决定权在双方即时回应中同步调整。</x:v>
      </x:c>
      <x:c r="D34" s="32" t="str">
        <x:v>至少两项独立功能证据；BE07/BE08用于去重或停止</x:v>
      </x:c>
      <x:c r="E34" s="32" t="str">
        <x:v>boundary_exchange</x:v>
      </x:c>
      <x:c r="F34" s="32" t="str">
        <x:v>候选+6／门控</x:v>
      </x:c>
    </x:row>
    <x:row r="35">
      <x:c r="A35" s="32" t="str">
        <x:v>BE02</x:v>
      </x:c>
      <x:c r="B35" s="32" t="str">
        <x:v>先设界后靠近</x:v>
      </x:c>
      <x:c r="C35" s="32" t="str">
        <x:v>先确认权限、角色或停止线，再逐步开放亲密。</x:v>
      </x:c>
      <x:c r="D35" s="32" t="str">
        <x:v>至少两项独立功能证据；BE07/BE08用于去重或停止</x:v>
      </x:c>
      <x:c r="E35" s="32" t="str">
        <x:v>boundary_exchange</x:v>
      </x:c>
      <x:c r="F35" s="32" t="str">
        <x:v>候选+6／门控</x:v>
      </x:c>
    </x:row>
    <x:row r="36">
      <x:c r="A36" s="32" t="str">
        <x:v>BE03</x:v>
      </x:c>
      <x:c r="B36" s="32" t="str">
        <x:v>先靠近后重订</x:v>
      </x:c>
      <x:c r="C36" s="32" t="str">
        <x:v>先因互动或体验拉近距离，随后把共享范围和规则说清。</x:v>
      </x:c>
      <x:c r="D36" s="32" t="str">
        <x:v>至少两项独立功能证据；BE07/BE08用于去重或停止</x:v>
      </x:c>
      <x:c r="E36" s="32" t="str">
        <x:v>boundary_exchange</x:v>
      </x:c>
      <x:c r="F36" s="32" t="str">
        <x:v>候选+6／门控</x:v>
      </x:c>
    </x:row>
    <x:row r="37">
      <x:c r="A37" s="32" t="str">
        <x:v>BE04</x:v>
      </x:c>
      <x:c r="B37" s="32" t="str">
        <x:v>安全先行</x:v>
      </x:c>
      <x:c r="C37" s="32" t="str">
        <x:v>先获得理解和可信承接，再表达自主、需求或拒绝。</x:v>
      </x:c>
      <x:c r="D37" s="32" t="str">
        <x:v>至少两项独立功能证据；BE07/BE08用于去重或停止</x:v>
      </x:c>
      <x:c r="E37" s="32" t="str">
        <x:v>boundary_exchange</x:v>
      </x:c>
      <x:c r="F37" s="32" t="str">
        <x:v>候选+6／门控</x:v>
      </x:c>
    </x:row>
    <x:row r="38">
      <x:c r="A38" s="32" t="str">
        <x:v>BE05</x:v>
      </x:c>
      <x:c r="B38" s="32" t="str">
        <x:v>任务先行</x:v>
      </x:c>
      <x:c r="C38" s="32" t="str">
        <x:v>先在共同事务和行动中确认彼此，再逐步开放私人内容。</x:v>
      </x:c>
      <x:c r="D38" s="32" t="str">
        <x:v>至少两项独立功能证据；BE07/BE08用于去重或停止</x:v>
      </x:c>
      <x:c r="E38" s="32" t="str">
        <x:v>boundary_exchange</x:v>
      </x:c>
      <x:c r="F38" s="32" t="str">
        <x:v>候选+6／门控</x:v>
      </x:c>
    </x:row>
    <x:row r="39">
      <x:c r="A39" s="32" t="str">
        <x:v>BE06</x:v>
      </x:c>
      <x:c r="B39" s="32" t="str">
        <x:v>角色分工</x:v>
      </x:c>
      <x:c r="C39" s="32" t="str">
        <x:v>不同事务由不同一方或不同通道负责，边界不要求完全对称。</x:v>
      </x:c>
      <x:c r="D39" s="32" t="str">
        <x:v>至少两项独立功能证据；BE07/BE08用于去重或停止</x:v>
      </x:c>
      <x:c r="E39" s="32" t="str">
        <x:v>boundary_exchange</x:v>
      </x:c>
      <x:c r="F39" s="32" t="str">
        <x:v>候选+6／门控</x:v>
      </x:c>
    </x:row>
    <x:row r="40">
      <x:c r="A40" s="32" t="str">
        <x:v>BE07</x:v>
      </x:c>
      <x:c r="B40" s="32" t="str">
        <x:v>同义收敛</x:v>
      </x:c>
      <x:c r="C40" s="32" t="str">
        <x:v>多个规则实际描述同一权限事实，需要去重为一个核心边界。</x:v>
      </x:c>
      <x:c r="D40" s="32" t="str">
        <x:v>至少两项独立功能证据；BE07/BE08用于去重或停止</x:v>
      </x:c>
      <x:c r="E40" s="32" t="str">
        <x:v>boundary_exchange</x:v>
      </x:c>
      <x:c r="F40" s="32" t="str">
        <x:v>候选+6／门控</x:v>
      </x:c>
    </x:row>
    <x:row r="41">
      <x:c r="A41" s="32" t="str">
        <x:v>BE08</x:v>
      </x:c>
      <x:c r="B41" s="32" t="str">
        <x:v>交换结构未定</x:v>
      </x:c>
      <x:c r="C41" s="32" t="str">
        <x:v>证据不足、主次争议或真合化未定，暂不固定结构。</x:v>
      </x:c>
      <x:c r="D41" s="32" t="str">
        <x:v>至少两项独立功能证据；BE07/BE08用于去重或停止</x:v>
      </x:c>
      <x:c r="E41" s="32" t="str">
        <x:v>boundary_exchange</x:v>
      </x:c>
      <x:c r="F41" s="32" t="str">
        <x:v>候选+6／门控</x:v>
      </x:c>
    </x:row>
    <x:row r="42">
      <x:c r="A42" s="28"/>
    </x:row>
    <x:row r="43">
      <x:c r="A43" s="28"/>
    </x:row>
    <x:row r="44" ht="23" customHeight="1">
      <x:c r="A44" s="40" t="str">
        <x:v>八条BOUND功能路径</x:v>
      </x:c>
      <x:c r="B44" s="36"/>
      <x:c r="C44" s="36"/>
      <x:c r="D44" s="36"/>
      <x:c r="E44" s="36"/>
      <x:c r="F44" s="36"/>
      <x:c r="G44" s="36"/>
      <x:c r="H44" s="36"/>
    </x:row>
    <x:row r="45">
      <x:c r="A45" s="22" t="str">
        <x:v>编号</x:v>
      </x:c>
      <x:c r="B45" s="22" t="str">
        <x:v>路径</x:v>
      </x:c>
      <x:c r="C45" s="22" t="str">
        <x:v>信号</x:v>
      </x:c>
      <x:c r="D45" s="22" t="str">
        <x:v>现实过程</x:v>
      </x:c>
      <x:c r="E45" s="22" t="str">
        <x:v>输出字段</x:v>
      </x:c>
      <x:c r="F45" s="22" t="str">
        <x:v>分值／作用</x:v>
      </x:c>
    </x:row>
    <x:row r="46">
      <x:c r="A46" s="32" t="str">
        <x:v>BF01</x:v>
      </x:c>
      <x:c r="B46" s="32" t="str">
        <x:v>安全→自主</x:v>
      </x:c>
      <x:c r="C46" s="32" t="str">
        <x:v>印→比劫</x:v>
      </x:c>
      <x:c r="D46" s="32" t="str">
        <x:v>先确认被理解和关系安全，再形成自己的立场、选择和参与方式。</x:v>
      </x:c>
      <x:c r="E46" s="32" t="str">
        <x:v>boundary_path</x:v>
      </x:c>
      <x:c r="F46" s="32" t="str">
        <x:v>候选+6</x:v>
      </x:c>
    </x:row>
    <x:row r="47">
      <x:c r="A47" s="32" t="str">
        <x:v>BF02</x:v>
      </x:c>
      <x:c r="B47" s="32" t="str">
        <x:v>平等→表达</x:v>
      </x:c>
      <x:c r="C47" s="32" t="str">
        <x:v>比劫→食伤</x:v>
      </x:c>
      <x:c r="D47" s="32" t="str">
        <x:v>先确认双方地位和选择权，再把需求、观点和限制说清楚。</x:v>
      </x:c>
      <x:c r="E47" s="32" t="str">
        <x:v>boundary_path</x:v>
      </x:c>
      <x:c r="F47" s="32" t="str">
        <x:v>候选+6</x:v>
      </x:c>
    </x:row>
    <x:row r="48">
      <x:c r="A48" s="32" t="str">
        <x:v>BF03</x:v>
      </x:c>
      <x:c r="B48" s="32" t="str">
        <x:v>表达→共享</x:v>
      </x:c>
      <x:c r="C48" s="32" t="str">
        <x:v>食伤→财</x:v>
      </x:c>
      <x:c r="D48" s="32" t="str">
        <x:v>先通过交流建立理解，再把时间、资源和生活安排逐步共享。</x:v>
      </x:c>
      <x:c r="E48" s="32" t="str">
        <x:v>boundary_path</x:v>
      </x:c>
      <x:c r="F48" s="32" t="str">
        <x:v>候选+6</x:v>
      </x:c>
    </x:row>
    <x:row r="49">
      <x:c r="A49" s="32" t="str">
        <x:v>BF04</x:v>
      </x:c>
      <x:c r="B49" s="32" t="str">
        <x:v>共享→责任</x:v>
      </x:c>
      <x:c r="C49" s="32" t="str">
        <x:v>财→官杀</x:v>
      </x:c>
      <x:c r="D49" s="32" t="str">
        <x:v>先形成现实共同安排，再把责任、角色和承诺固定下来。</x:v>
      </x:c>
      <x:c r="E49" s="32" t="str">
        <x:v>boundary_path</x:v>
      </x:c>
      <x:c r="F49" s="32" t="str">
        <x:v>候选+6</x:v>
      </x:c>
    </x:row>
    <x:row r="50">
      <x:c r="A50" s="32" t="str">
        <x:v>BF05</x:v>
      </x:c>
      <x:c r="B50" s="32" t="str">
        <x:v>兑现→安全</x:v>
      </x:c>
      <x:c r="C50" s="32" t="str">
        <x:v>官杀→印</x:v>
      </x:c>
      <x:c r="D50" s="32" t="str">
        <x:v>通过持续守约、承担和行动兑现，形成愿意依托的安全感。</x:v>
      </x:c>
      <x:c r="E50" s="32" t="str">
        <x:v>boundary_path</x:v>
      </x:c>
      <x:c r="F50" s="32" t="str">
        <x:v>候选+6</x:v>
      </x:c>
    </x:row>
    <x:row r="51">
      <x:c r="A51" s="32" t="str">
        <x:v>BF06</x:v>
      </x:c>
      <x:c r="B51" s="32" t="str">
        <x:v>内化→说明</x:v>
      </x:c>
      <x:c r="C51" s="32" t="str">
        <x:v>偏印→伤官</x:v>
      </x:c>
      <x:c r="D51" s="32" t="str">
        <x:v>先独立整理复杂感受和真正需要，再进行清楚、选择性的说明。</x:v>
      </x:c>
      <x:c r="E51" s="32" t="str">
        <x:v>boundary_path</x:v>
      </x:c>
      <x:c r="F51" s="32" t="str">
        <x:v>候选+6</x:v>
      </x:c>
    </x:row>
    <x:row r="52">
      <x:c r="A52" s="32" t="str">
        <x:v>BF07</x:v>
      </x:c>
      <x:c r="B52" s="32" t="str">
        <x:v>边界→资源共享</x:v>
      </x:c>
      <x:c r="C52" s="32" t="str">
        <x:v>比劫→财</x:v>
      </x:c>
      <x:c r="D52" s="32" t="str">
        <x:v>先确认决定权和分工，再允许时间、金钱或生活资源进入共同范围。</x:v>
      </x:c>
      <x:c r="E52" s="32" t="str">
        <x:v>boundary_path</x:v>
      </x:c>
      <x:c r="F52" s="32" t="str">
        <x:v>候选+6</x:v>
      </x:c>
    </x:row>
    <x:row r="53">
      <x:c r="A53" s="32" t="str">
        <x:v>BF08</x:v>
      </x:c>
      <x:c r="B53" s="32" t="str">
        <x:v>止线→恢复靠近</x:v>
      </x:c>
      <x:c r="C53" s="32" t="str">
        <x:v>七杀→食神／正印</x:v>
      </x:c>
      <x:c r="D53" s="32" t="str">
        <x:v>压力下先划定停止线或处理风险，稳定后再回到舒缓、理解和亲近。</x:v>
      </x:c>
      <x:c r="E53" s="32" t="str">
        <x:v>boundary_path</x:v>
      </x:c>
      <x:c r="F53" s="32" t="str">
        <x:v>候选+6</x:v>
      </x:c>
    </x:row>
    <x:row r="54">
      <x:c r="A54" s="28"/>
    </x:row>
    <x:row r="55">
      <x:c r="A55" s="28"/>
    </x:row>
    <x:row r="56">
      <x:c r="A56" s="28"/>
    </x:row>
    <x:row r="57">
      <x:c r="A57" s="28"/>
    </x:row>
    <x:row r="58">
      <x:c r="A58" s="28"/>
    </x:row>
    <x:row r="59">
      <x:c r="A59" s="28"/>
    </x:row>
    <x:row r="60">
      <x:c r="A60" s="28"/>
    </x:row>
    <x:row r="61">
      <x:c r="A61" s="28"/>
    </x:row>
    <x:row r="62">
      <x:c r="A62" s="28"/>
    </x:row>
    <x:row r="63">
      <x:c r="A63" s="28"/>
    </x:row>
    <x:row r="64">
      <x:c r="A64" s="28"/>
    </x:row>
    <x:row r="65">
      <x:c r="A65" s="28"/>
    </x:row>
    <x:row r="66">
      <x:c r="A66" s="28"/>
    </x:row>
    <x:row r="67">
      <x:c r="A67" s="28"/>
    </x:row>
    <x:row r="68">
      <x:c r="A68" s="28"/>
    </x:row>
    <x:row r="69">
      <x:c r="A69" s="28"/>
    </x:row>
    <x:row r="70">
      <x:c r="A70" s="28"/>
    </x:row>
    <x:row r="71">
      <x:c r="A71" s="28"/>
    </x:row>
    <x:row r="72">
      <x:c r="A72" s="28"/>
    </x:row>
    <x:row r="73">
      <x:c r="A73" s="28"/>
    </x:row>
    <x:row r="74">
      <x:c r="A74" s="28"/>
    </x:row>
    <x:row r="75">
      <x:c r="A75" s="28"/>
    </x:row>
    <x:row r="76">
      <x:c r="A76" s="28"/>
    </x:row>
    <x:row r="77">
      <x:c r="A77" s="28"/>
    </x:row>
    <x:row r="78">
      <x:c r="A78" s="28"/>
    </x:row>
    <x:row r="79">
      <x:c r="A79" s="28"/>
    </x:row>
    <x:row r="80">
      <x:c r="A80" s="28"/>
    </x:row>
    <x:row r="81">
      <x:c r="A81" s="28"/>
    </x:row>
    <x:row r="82">
      <x:c r="A82" s="28"/>
    </x:row>
    <x:row r="83">
      <x:c r="A83" s="28"/>
    </x:row>
    <x:row r="84">
      <x:c r="A84" s="28"/>
    </x:row>
    <x:row r="85">
      <x:c r="A85" s="28"/>
    </x:row>
    <x:row r="86">
      <x:c r="A86" s="28"/>
    </x:row>
    <x:row r="87">
      <x:c r="A87" s="28"/>
    </x:row>
    <x:row r="88">
      <x:c r="A88" s="28"/>
    </x:row>
    <x:row r="89">
      <x:c r="A89" s="28"/>
    </x:row>
    <x:row r="90">
      <x:c r="A90" s="28"/>
    </x:row>
    <x:row r="91">
      <x:c r="A91" s="28"/>
    </x:row>
    <x:row r="92">
      <x:c r="A92" s="28"/>
    </x:row>
    <x:row r="93">
      <x:c r="A93" s="28"/>
    </x:row>
    <x:row r="94">
      <x:c r="A94" s="28"/>
    </x:row>
    <x:row r="95">
      <x:c r="A95" s="28"/>
    </x:row>
    <x:row r="96">
      <x:c r="A96" s="28"/>
    </x:row>
    <x:row r="97">
      <x:c r="A97" s="28"/>
    </x:row>
    <x:row r="98">
      <x:c r="A98" s="28"/>
    </x:row>
    <x:row r="99">
      <x:c r="A99" s="28"/>
    </x:row>
    <x:row r="100">
      <x:c r="A100" s="28"/>
    </x:row>
    <x:row r="101">
      <x:c r="A101" s="28"/>
    </x:row>
    <x:row r="102">
      <x:c r="A102" s="28"/>
    </x:row>
    <x:row r="103">
      <x:c r="A103" s="28"/>
    </x:row>
    <x:row r="104">
      <x:c r="A104" s="28"/>
    </x:row>
    <x:row r="105">
      <x:c r="A105" s="28"/>
    </x:row>
    <x:row r="106">
      <x:c r="A106" s="28"/>
    </x:row>
    <x:row r="107">
      <x:c r="A107" s="28"/>
    </x:row>
    <x:row r="108">
      <x:c r="A108" s="28"/>
    </x:row>
    <x:row r="109">
      <x:c r="A109" s="28"/>
    </x:row>
    <x:row r="110">
      <x:c r="A110" s="28"/>
    </x:row>
    <x:row r="111">
      <x:c r="A111" s="28"/>
    </x:row>
    <x:row r="112">
      <x:c r="A112" s="28"/>
    </x:row>
    <x:row r="113">
      <x:c r="A113" s="28"/>
    </x:row>
    <x:row r="114">
      <x:c r="A114" s="28"/>
    </x:row>
    <x:row r="115">
      <x:c r="A115" s="28"/>
    </x:row>
    <x:row r="116">
      <x:c r="A116" s="28"/>
    </x:row>
    <x:row r="117">
      <x:c r="A117" s="28"/>
    </x:row>
    <x:row r="118">
      <x:c r="A118" s="28"/>
    </x:row>
    <x:row r="119">
      <x:c r="A119" s="28"/>
    </x:row>
    <x:row r="120">
      <x:c r="A120" s="28"/>
    </x:row>
    <x:row r="121">
      <x:c r="A121" s="28"/>
    </x:row>
    <x:row r="122">
      <x:c r="A122" s="28"/>
    </x:row>
    <x:row r="123">
      <x:c r="A123" s="28"/>
    </x:row>
    <x:row r="124">
      <x:c r="A124" s="28"/>
    </x:row>
    <x:row r="125">
      <x:c r="A125" s="28"/>
    </x:row>
    <x:row r="126">
      <x:c r="A126" s="28"/>
    </x:row>
    <x:row r="127">
      <x:c r="A127" s="28"/>
    </x:row>
    <x:row r="128">
      <x:c r="A128" s="28"/>
    </x:row>
    <x:row r="129">
      <x:c r="A129" s="28"/>
    </x:row>
    <x:row r="130">
      <x:c r="A130" s="28"/>
    </x:row>
    <x:row r="131">
      <x:c r="A131" s="28"/>
    </x:row>
    <x:row r="132">
      <x:c r="A132" s="28"/>
    </x:row>
    <x:row r="133">
      <x:c r="A133" s="28"/>
    </x:row>
    <x:row r="134">
      <x:c r="A134" s="28"/>
    </x:row>
    <x:row r="135">
      <x:c r="A135" s="28"/>
    </x:row>
    <x:row r="136">
      <x:c r="A136" s="28"/>
    </x:row>
    <x:row r="137">
      <x:c r="A137" s="28"/>
    </x:row>
    <x:row r="138">
      <x:c r="A138" s="28"/>
    </x:row>
    <x:row r="139">
      <x:c r="A139" s="28"/>
    </x:row>
    <x:row r="140">
      <x:c r="A140" s="28"/>
    </x:row>
    <x:row r="141">
      <x:c r="A141" s="28"/>
    </x:row>
    <x:row r="142">
      <x:c r="A142" s="28"/>
    </x:row>
    <x:row r="143">
      <x:c r="A143" s="28"/>
    </x:row>
    <x:row r="144">
      <x:c r="A144" s="28"/>
    </x:row>
    <x:row r="145">
      <x:c r="A145" s="28"/>
    </x:row>
    <x:row r="146">
      <x:c r="A146" s="28"/>
    </x:row>
    <x:row r="147">
      <x:c r="A147" s="28"/>
    </x:row>
    <x:row r="148">
      <x:c r="A148" s="28"/>
    </x:row>
    <x:row r="149">
      <x:c r="A149" s="28"/>
    </x:row>
    <x:row r="150">
      <x:c r="A150" s="28"/>
    </x:row>
    <x:row r="151">
      <x:c r="A151" s="28"/>
    </x:row>
    <x:row r="152">
      <x:c r="A152" s="28"/>
    </x:row>
    <x:row r="153">
      <x:c r="A153" s="28"/>
    </x:row>
    <x:row r="154">
      <x:c r="A154" s="28"/>
    </x:row>
    <x:row r="155">
      <x:c r="A155" s="28"/>
    </x:row>
    <x:row r="156">
      <x:c r="A156" s="28"/>
    </x:row>
    <x:row r="157">
      <x:c r="A157" s="28"/>
    </x:row>
    <x:row r="158">
      <x:c r="A158" s="28"/>
    </x:row>
    <x:row r="159">
      <x:c r="A159" s="28"/>
    </x:row>
    <x:row r="160">
      <x:c r="A160" s="28"/>
    </x:row>
    <x:row r="161">
      <x:c r="A161" s="28"/>
    </x:row>
    <x:row r="162">
      <x:c r="A162" s="28"/>
    </x:row>
    <x:row r="163">
      <x:c r="A163" s="28"/>
    </x:row>
    <x:row r="164">
      <x:c r="A164" s="28"/>
    </x:row>
    <x:row r="165">
      <x:c r="A165" s="28"/>
    </x:row>
    <x:row r="166">
      <x:c r="A166" s="28"/>
    </x:row>
    <x:row r="167">
      <x:c r="A167" s="28"/>
    </x:row>
    <x:row r="168">
      <x:c r="A168" s="28"/>
    </x:row>
    <x:row r="169">
      <x:c r="A169" s="28"/>
    </x:row>
    <x:row r="170">
      <x:c r="A170" s="28"/>
    </x:row>
    <x:row r="171">
      <x:c r="A171" s="28"/>
    </x:row>
    <x:row r="172">
      <x:c r="A172" s="28"/>
    </x:row>
    <x:row r="173">
      <x:c r="A173" s="28"/>
    </x:row>
    <x:row r="174">
      <x:c r="A174" s="28"/>
    </x:row>
    <x:row r="175">
      <x:c r="A175" s="28"/>
    </x:row>
    <x:row r="176">
      <x:c r="A176" s="28"/>
    </x:row>
    <x:row r="177">
      <x:c r="A177" s="28"/>
    </x:row>
    <x:row r="178">
      <x:c r="A178" s="28"/>
    </x:row>
    <x:row r="179">
      <x:c r="A179" s="28"/>
    </x:row>
    <x:row r="180">
      <x:c r="A180" s="28"/>
    </x:row>
    <x:row r="181">
      <x:c r="A181" s="28"/>
    </x:row>
    <x:row r="182">
      <x:c r="A182" s="28"/>
    </x:row>
    <x:row r="183">
      <x:c r="A183" s="28"/>
    </x:row>
    <x:row r="184">
      <x:c r="A184" s="28"/>
    </x:row>
    <x:row r="185">
      <x:c r="A185" s="28"/>
    </x:row>
    <x:row r="186">
      <x:c r="A186" s="28"/>
    </x:row>
    <x:row r="187">
      <x:c r="A187" s="28"/>
    </x:row>
    <x:row r="188">
      <x:c r="A188" s="28"/>
    </x:row>
    <x:row r="189">
      <x:c r="A189" s="28"/>
    </x:row>
    <x:row r="190">
      <x:c r="A190" s="28"/>
    </x:row>
    <x:row r="191">
      <x:c r="A191" s="28"/>
    </x:row>
    <x:row r="192">
      <x:c r="A192" s="28"/>
    </x:row>
    <x:row r="193">
      <x:c r="A193" s="28"/>
    </x:row>
    <x:row r="194">
      <x:c r="A194" s="28"/>
    </x:row>
    <x:row r="195">
      <x:c r="A195" s="28"/>
    </x:row>
    <x:row r="196">
      <x:c r="A196" s="28"/>
    </x:row>
    <x:row r="197">
      <x:c r="A197" s="28"/>
    </x:row>
    <x:row r="198">
      <x:c r="A198" s="28"/>
    </x:row>
    <x:row r="199">
      <x:c r="A199" s="28"/>
    </x:row>
    <x:row r="200">
      <x:c r="A200" s="28"/>
    </x:row>
    <x:row r="201">
      <x:c r="A201" s="28"/>
    </x:row>
    <x:row r="202">
      <x:c r="A202" s="28"/>
    </x:row>
    <x:row r="203">
      <x:c r="A203" s="28"/>
    </x:row>
    <x:row r="204">
      <x:c r="A204" s="28"/>
    </x:row>
    <x:row r="205">
      <x:c r="A205" s="28"/>
    </x:row>
    <x:row r="206">
      <x:c r="A206" s="28"/>
    </x:row>
    <x:row r="207">
      <x:c r="A207" s="28"/>
    </x:row>
    <x:row r="208">
      <x:c r="A208" s="28"/>
    </x:row>
    <x:row r="209">
      <x:c r="A209" s="28"/>
    </x:row>
    <x:row r="210">
      <x:c r="A210" s="28"/>
    </x:row>
    <x:row r="211">
      <x:c r="A211" s="28"/>
    </x:row>
    <x:row r="212">
      <x:c r="A212" s="28"/>
    </x:row>
    <x:row r="213">
      <x:c r="A213" s="28"/>
    </x:row>
    <x:row r="214">
      <x:c r="A214" s="28"/>
    </x:row>
    <x:row r="215">
      <x:c r="A215" s="28"/>
    </x:row>
    <x:row r="216">
      <x:c r="A216" s="28"/>
    </x:row>
    <x:row r="217">
      <x:c r="A217" s="28"/>
    </x:row>
    <x:row r="218">
      <x:c r="A218" s="28"/>
    </x:row>
    <x:row r="219">
      <x:c r="A219" s="28"/>
    </x:row>
    <x:row r="220">
      <x:c r="A220" s="28"/>
    </x:row>
    <x:row r="221">
      <x:c r="A221" s="28"/>
    </x:row>
    <x:row r="222">
      <x:c r="A222" s="28"/>
    </x:row>
    <x:row r="223">
      <x:c r="A223" s="28"/>
    </x:row>
    <x:row r="224">
      <x:c r="A224" s="28"/>
    </x:row>
    <x:row r="225">
      <x:c r="A225" s="28"/>
    </x:row>
    <x:row r="226">
      <x:c r="A226" s="28"/>
    </x:row>
    <x:row r="227">
      <x:c r="A227" s="28"/>
    </x:row>
    <x:row r="228">
      <x:c r="A228" s="28"/>
    </x:row>
    <x:row r="229">
      <x:c r="A229" s="28"/>
    </x:row>
    <x:row r="230">
      <x:c r="A230" s="28"/>
    </x:row>
    <x:row r="231">
      <x:c r="A231" s="28"/>
    </x:row>
    <x:row r="232">
      <x:c r="A232" s="28"/>
    </x:row>
    <x:row r="233">
      <x:c r="A233" s="28"/>
    </x:row>
    <x:row r="234">
      <x:c r="A234" s="28"/>
    </x:row>
    <x:row r="235">
      <x:c r="A235" s="28"/>
    </x:row>
    <x:row r="236">
      <x:c r="A236" s="28"/>
    </x:row>
    <x:row r="237">
      <x:c r="A237" s="28"/>
    </x:row>
    <x:row r="238">
      <x:c r="A238" s="28"/>
    </x:row>
    <x:row r="239">
      <x:c r="A239" s="28"/>
    </x:row>
    <x:row r="240">
      <x:c r="A240" s="28"/>
    </x:row>
    <x:row r="241">
      <x:c r="A241" s="28"/>
    </x:row>
    <x:row r="242">
      <x:c r="A242" s="28"/>
    </x:row>
    <x:row r="243">
      <x:c r="A243" s="28"/>
    </x:row>
    <x:row r="244">
      <x:c r="A244" s="28"/>
    </x:row>
    <x:row r="245">
      <x:c r="A245" s="28"/>
    </x:row>
    <x:row r="246">
      <x:c r="A246" s="28"/>
    </x:row>
    <x:row r="247">
      <x:c r="A247" s="28"/>
    </x:row>
    <x:row r="248">
      <x:c r="A248" s="28"/>
    </x:row>
    <x:row r="249">
      <x:c r="A249" s="28"/>
    </x:row>
    <x:row r="250">
      <x:c r="A250" s="28"/>
    </x:row>
    <x:row r="251">
      <x:c r="A251" s="28"/>
    </x:row>
    <x:row r="252">
      <x:c r="A252" s="28"/>
    </x:row>
    <x:row r="253">
      <x:c r="A253" s="28"/>
    </x:row>
    <x:row r="254">
      <x:c r="A254" s="28"/>
    </x:row>
    <x:row r="255">
      <x:c r="A255" s="28"/>
    </x:row>
    <x:row r="256">
      <x:c r="A256" s="28"/>
    </x:row>
    <x:row r="257">
      <x:c r="A257" s="28"/>
    </x:row>
    <x:row r="258">
      <x:c r="A258" s="28"/>
    </x:row>
    <x:row r="259">
      <x:c r="A259" s="28"/>
    </x:row>
    <x:row r="260">
      <x:c r="A260" s="28"/>
    </x:row>
    <x:row r="261">
      <x:c r="A261" s="28"/>
    </x:row>
    <x:row r="262">
      <x:c r="A262" s="28"/>
    </x:row>
    <x:row r="263">
      <x:c r="A263" s="28"/>
    </x:row>
    <x:row r="264">
      <x:c r="A264" s="28"/>
    </x:row>
    <x:row r="265">
      <x:c r="A265" s="28"/>
    </x:row>
    <x:row r="266">
      <x:c r="A266" s="28"/>
    </x:row>
    <x:row r="267">
      <x:c r="A267" s="28"/>
    </x:row>
    <x:row r="268">
      <x:c r="A268" s="28"/>
    </x:row>
    <x:row r="269">
      <x:c r="A269" s="28"/>
    </x:row>
    <x:row r="270">
      <x:c r="A270" s="28"/>
    </x:row>
    <x:row r="271">
      <x:c r="A271" s="28"/>
    </x:row>
    <x:row r="272">
      <x:c r="A272" s="28"/>
    </x:row>
    <x:row r="273">
      <x:c r="A273" s="28"/>
    </x:row>
    <x:row r="274">
      <x:c r="A274" s="28"/>
    </x:row>
    <x:row r="275">
      <x:c r="A275" s="28"/>
    </x:row>
    <x:row r="276">
      <x:c r="A276" s="28"/>
    </x:row>
    <x:row r="277">
      <x:c r="A277" s="28"/>
    </x:row>
    <x:row r="278">
      <x:c r="A278" s="28"/>
    </x:row>
    <x:row r="279">
      <x:c r="A279" s="28"/>
    </x:row>
    <x:row r="280">
      <x:c r="A280" s="28"/>
    </x:row>
    <x:row r="281">
      <x:c r="A281" s="28"/>
    </x:row>
    <x:row r="282">
      <x:c r="A282" s="28"/>
    </x:row>
    <x:row r="283">
      <x:c r="A283" s="28"/>
    </x:row>
    <x:row r="284">
      <x:c r="A284" s="28"/>
    </x:row>
    <x:row r="285">
      <x:c r="A285" s="28"/>
    </x:row>
    <x:row r="286">
      <x:c r="A286" s="28"/>
    </x:row>
    <x:row r="287">
      <x:c r="A287" s="28"/>
    </x:row>
    <x:row r="288">
      <x:c r="A288" s="28"/>
    </x:row>
    <x:row r="289">
      <x:c r="A289" s="28"/>
    </x:row>
    <x:row r="290">
      <x:c r="A290" s="28"/>
    </x:row>
    <x:row r="291">
      <x:c r="A291" s="28"/>
    </x:row>
    <x:row r="292">
      <x:c r="A292" s="28"/>
    </x:row>
    <x:row r="293">
      <x:c r="A293" s="28"/>
    </x:row>
    <x:row r="294">
      <x:c r="A294" s="28"/>
    </x:row>
    <x:row r="295">
      <x:c r="A295" s="28"/>
    </x:row>
    <x:row r="296">
      <x:c r="A296" s="28"/>
    </x:row>
    <x:row r="297">
      <x:c r="A297" s="28"/>
    </x:row>
    <x:row r="298">
      <x:c r="A298" s="28"/>
    </x:row>
    <x:row r="299">
      <x:c r="A299" s="28"/>
    </x:row>
    <x:row r="300">
      <x:c r="A300" s="28"/>
    </x:row>
    <x:row r="301">
      <x:c r="A301" s="28"/>
    </x:row>
    <x:row r="302">
      <x:c r="A302" s="28"/>
    </x:row>
    <x:row r="303">
      <x:c r="A303" s="28"/>
    </x:row>
    <x:row r="304">
      <x:c r="A304" s="28"/>
    </x:row>
    <x:row r="305">
      <x:c r="A305" s="28"/>
    </x:row>
    <x:row r="306">
      <x:c r="A306" s="28"/>
    </x:row>
    <x:row r="307">
      <x:c r="A307" s="28"/>
    </x:row>
    <x:row r="308">
      <x:c r="A308" s="28"/>
    </x:row>
    <x:row r="309">
      <x:c r="A309" s="28"/>
    </x:row>
    <x:row r="310">
      <x:c r="A310" s="28"/>
    </x:row>
    <x:row r="311">
      <x:c r="A311" s="28"/>
    </x:row>
    <x:row r="312">
      <x:c r="A312" s="28"/>
    </x:row>
    <x:row r="313">
      <x:c r="A313" s="28"/>
    </x:row>
    <x:row r="314">
      <x:c r="A314" s="28"/>
    </x:row>
    <x:row r="315">
      <x:c r="A315" s="28"/>
    </x:row>
    <x:row r="316">
      <x:c r="A316" s="28"/>
    </x:row>
    <x:row r="317">
      <x:c r="A317" s="28"/>
    </x:row>
    <x:row r="318">
      <x:c r="A318" s="28"/>
    </x:row>
    <x:row r="319">
      <x:c r="A319" s="28"/>
    </x:row>
    <x:row r="320">
      <x:c r="A320" s="28"/>
    </x:row>
    <x:row r="321">
      <x:c r="A321" s="28"/>
    </x:row>
    <x:row r="322">
      <x:c r="A322" s="28"/>
    </x:row>
    <x:row r="323">
      <x:c r="A323" s="28"/>
    </x:row>
    <x:row r="324">
      <x:c r="A324" s="28"/>
    </x:row>
    <x:row r="325">
      <x:c r="A325" s="28"/>
    </x:row>
    <x:row r="326">
      <x:c r="A326" s="28"/>
    </x:row>
    <x:row r="327">
      <x:c r="A327" s="28"/>
    </x:row>
    <x:row r="328">
      <x:c r="A328" s="28"/>
    </x:row>
    <x:row r="329">
      <x:c r="A329" s="28"/>
    </x:row>
    <x:row r="330">
      <x:c r="A330" s="28"/>
    </x:row>
    <x:row r="331">
      <x:c r="A331" s="28"/>
    </x:row>
    <x:row r="332">
      <x:c r="A332" s="28"/>
    </x:row>
    <x:row r="333">
      <x:c r="A333" s="28"/>
    </x:row>
    <x:row r="334">
      <x:c r="A334" s="28"/>
    </x:row>
    <x:row r="335">
      <x:c r="A335" s="28"/>
    </x:row>
    <x:row r="336">
      <x:c r="A336" s="28"/>
    </x:row>
    <x:row r="337">
      <x:c r="A337" s="28"/>
    </x:row>
    <x:row r="338">
      <x:c r="A338" s="28"/>
    </x:row>
    <x:row r="339">
      <x:c r="A339" s="28"/>
    </x:row>
    <x:row r="340">
      <x:c r="A340" s="28"/>
    </x:row>
    <x:row r="341">
      <x:c r="A341" s="28"/>
    </x:row>
    <x:row r="342">
      <x:c r="A342" s="28"/>
    </x:row>
    <x:row r="343">
      <x:c r="A343" s="28"/>
    </x:row>
    <x:row r="344">
      <x:c r="A344" s="28"/>
    </x:row>
    <x:row r="345">
      <x:c r="A345" s="28"/>
    </x:row>
    <x:row r="346">
      <x:c r="A346" s="28"/>
    </x:row>
    <x:row r="347">
      <x:c r="A347" s="28"/>
    </x:row>
    <x:row r="348">
      <x:c r="A348" s="28"/>
    </x:row>
    <x:row r="349">
      <x:c r="A349" s="28"/>
    </x:row>
    <x:row r="350">
      <x:c r="A350" s="28"/>
    </x:row>
    <x:row r="351">
      <x:c r="A351" s="28"/>
    </x:row>
    <x:row r="352">
      <x:c r="A352" s="28"/>
    </x:row>
    <x:row r="353">
      <x:c r="A353" s="28"/>
    </x:row>
    <x:row r="354">
      <x:c r="A354" s="28"/>
    </x:row>
    <x:row r="355">
      <x:c r="A355" s="28"/>
    </x:row>
    <x:row r="356">
      <x:c r="A356" s="28"/>
    </x:row>
    <x:row r="357">
      <x:c r="A357" s="28"/>
    </x:row>
    <x:row r="358">
      <x:c r="A358" s="28"/>
    </x:row>
    <x:row r="359">
      <x:c r="A359" s="28"/>
    </x:row>
    <x:row r="360">
      <x:c r="A360" s="28"/>
    </x:row>
    <x:row r="361">
      <x:c r="A361" s="28"/>
    </x:row>
    <x:row r="362">
      <x:c r="A362" s="28"/>
    </x:row>
    <x:row r="363">
      <x:c r="A363" s="28"/>
    </x:row>
    <x:row r="364">
      <x:c r="A364" s="28"/>
    </x:row>
    <x:row r="365">
      <x:c r="A365" s="28"/>
    </x:row>
    <x:row r="366">
      <x:c r="A366" s="28"/>
    </x:row>
    <x:row r="367">
      <x:c r="A367" s="28"/>
    </x:row>
    <x:row r="368">
      <x:c r="A368" s="28"/>
    </x:row>
    <x:row r="369">
      <x:c r="A369" s="28"/>
    </x:row>
    <x:row r="370">
      <x:c r="A370" s="28"/>
    </x:row>
    <x:row r="371">
      <x:c r="A371" s="28"/>
    </x:row>
    <x:row r="372">
      <x:c r="A372" s="28"/>
    </x:row>
    <x:row r="373">
      <x:c r="A373" s="28"/>
    </x:row>
    <x:row r="374">
      <x:c r="A374" s="28"/>
    </x:row>
    <x:row r="375">
      <x:c r="A375" s="28"/>
    </x:row>
    <x:row r="376">
      <x:c r="A376" s="28"/>
    </x:row>
    <x:row r="377">
      <x:c r="A377" s="28"/>
    </x:row>
    <x:row r="378">
      <x:c r="A378" s="28"/>
    </x:row>
    <x:row r="379">
      <x:c r="A379" s="28"/>
    </x:row>
    <x:row r="380">
      <x:c r="A380" s="28"/>
    </x:row>
    <x:row r="381">
      <x:c r="A381" s="28"/>
    </x:row>
    <x:row r="382">
      <x:c r="A382" s="28"/>
    </x:row>
    <x:row r="383">
      <x:c r="A383" s="28"/>
    </x:row>
    <x:row r="384">
      <x:c r="A384" s="28"/>
    </x:row>
    <x:row r="385">
      <x:c r="A385" s="28"/>
    </x:row>
    <x:row r="386">
      <x:c r="A386" s="28"/>
    </x:row>
    <x:row r="387">
      <x:c r="A387" s="28"/>
    </x:row>
    <x:row r="388">
      <x:c r="A388" s="28"/>
    </x:row>
    <x:row r="389">
      <x:c r="A389" s="28"/>
    </x:row>
    <x:row r="390">
      <x:c r="A390" s="28"/>
    </x:row>
    <x:row r="391">
      <x:c r="A391" s="28"/>
    </x:row>
    <x:row r="392">
      <x:c r="A392" s="28"/>
    </x:row>
    <x:row r="393">
      <x:c r="A393" s="28"/>
    </x:row>
    <x:row r="394">
      <x:c r="A394" s="28"/>
    </x:row>
    <x:row r="395">
      <x:c r="A395" s="28"/>
    </x:row>
    <x:row r="396">
      <x:c r="A396" s="28"/>
    </x:row>
    <x:row r="397">
      <x:c r="A397" s="28"/>
    </x:row>
    <x:row r="398">
      <x:c r="A398" s="28"/>
    </x:row>
    <x:row r="399">
      <x:c r="A399" s="28"/>
    </x:row>
    <x:row r="400">
      <x:c r="A400" s="28"/>
    </x:row>
  </x:sheetData>
  <x:mergeCells>
    <x:mergeCell ref="A1:H1"/>
    <x:mergeCell ref="A2:H2"/>
    <x:mergeCell ref="A4:H4"/>
    <x:mergeCell ref="A20:H20"/>
    <x:mergeCell ref="A32:H32"/>
    <x:mergeCell ref="A44:H4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42" hidden="0" customWidth="1"/>
    <x:col min="4" max="4" width="42" hidden="0" customWidth="1"/>
    <x:col min="5" max="5" width="42" hidden="0" customWidth="1"/>
    <x:col min="6" max="6" width="38" hidden="0" customWidth="1"/>
    <x:col min="7" max="7" width="42" hidden="0" customWidth="1"/>
  </x:cols>
  <x:sheetData>
    <x:row r="1" ht="28" customHeight="1">
      <x:c r="A1" s="38" t="str">
        <x:v>日支合冲刑害破的BOUND中性修正</x:v>
      </x:c>
      <x:c r="B1" s="5"/>
      <x:c r="C1" s="5"/>
      <x:c r="D1" s="5"/>
      <x:c r="E1" s="5"/>
      <x:c r="F1" s="5"/>
      <x:c r="G1" s="5"/>
    </x:row>
    <x:row r="2" ht="32" customHeight="1">
      <x:c r="A2" s="13" t="str">
        <x:v>宫位动态只修正靠近、空间与重订节奏，不直接判断感情结果。</x:v>
      </x:c>
      <x:c r="B2" s="13"/>
      <x:c r="C2" s="13"/>
      <x:c r="D2" s="13"/>
      <x:c r="E2" s="13"/>
      <x:c r="F2" s="13"/>
      <x:c r="G2" s="13"/>
    </x:row>
    <x:row r="3">
      <x:c r="A3" s="28"/>
    </x:row>
    <x:row r="4">
      <x:c r="A4" s="22" t="str">
        <x:v>结构</x:v>
      </x:c>
      <x:c r="B4" s="22" t="str">
        <x:v>规则层</x:v>
      </x:c>
      <x:c r="C4" s="22" t="str">
        <x:v>BOUND中性含义</x:v>
      </x:c>
      <x:c r="D4" s="22" t="str">
        <x:v>靠近／空间修正</x:v>
      </x:c>
      <x:c r="E4" s="22" t="str">
        <x:v>重新协商</x:v>
      </x:c>
      <x:c r="F4" s="22" t="str">
        <x:v>停止／路由</x:v>
      </x:c>
      <x:c r="G4" s="22" t="str">
        <x:v>禁止直接推出</x:v>
      </x:c>
    </x:row>
    <x:row r="5">
      <x:c r="A5" s="32" t="str">
        <x:v>合</x:v>
      </x:c>
      <x:c r="B5" s="32" t="str">
        <x:v>基础节奏</x:v>
      </x:c>
      <x:c r="C5" s="32" t="str">
        <x:v>关系中的靠近、共享和协商更容易相互牵连，需要把多项需求放在整体中处理。</x:v>
      </x:c>
      <x:c r="D5" s="32" t="str">
        <x:v>合可能提高协调和靠近意愿，但不能单独判断依赖、黏人或失去边界。</x:v>
      </x:c>
      <x:c r="E5" s="32" t="str">
        <x:v>边界更适合通过共同安排、整体协商和双方都能接受的连接方式重订。</x:v>
      </x:c>
      <x:c r="F5" s="32" t="str">
        <x:v>合而不化保留原通道；真合化成立时原通道清零并按化神重建。</x:v>
      </x:c>
      <x:c r="G5" s="32" t="str">
        <x:v>不得由日支合直接推出感情稳定、依赖、占有、第三者、结婚或不分离。</x:v>
      </x:c>
    </x:row>
    <x:row r="6">
      <x:c r="A6" s="32" t="str">
        <x:v>冲</x:v>
      </x:c>
      <x:c r="B6" s="32" t="str">
        <x:v>基础节奏</x:v>
      </x:c>
      <x:c r="C6" s="32" t="str">
        <x:v>关系距离、安排和权限更容易出现变化或差异外显，需要直接调整节奏。</x:v>
      </x:c>
      <x:c r="D6" s="32" t="str">
        <x:v>冲提示靠近与空间可能更动态，不能单独判断分手、离婚或关系破裂。</x:v>
      </x:c>
      <x:c r="E6" s="32" t="str">
        <x:v>边界更需要及时重订，明确什么改变了、哪些权限仍保留。</x:v>
      </x:c>
      <x:c r="F6" s="32" t="str">
        <x:v>仅有冲而无表达、行动或现实变化证据时，只能写成调整候选。</x:v>
      </x:c>
      <x:c r="G6" s="32" t="str">
        <x:v>不得由日支冲直接推出争吵、分离、异地、婚变或无法稳定。</x:v>
      </x:c>
    </x:row>
    <x:row r="7">
      <x:c r="A7" s="32" t="str">
        <x:v>刑</x:v>
      </x:c>
      <x:c r="B7" s="32" t="str">
        <x:v>基础节奏</x:v>
      </x:c>
      <x:c r="C7" s="32" t="str">
        <x:v>关系边界更容易通过反复校正、细节确认和多轮处理逐渐稳定。</x:v>
      </x:c>
      <x:c r="D7" s="32" t="str">
        <x:v>刑可能提高对细节、重复和边界一致性的敏感度，不等于长期痛苦。</x:v>
      </x:c>
      <x:c r="E7" s="32" t="str">
        <x:v>适合把模糊处拆开、多轮确认，而不是假定一次谈清就永不变化。</x:v>
      </x:c>
      <x:c r="F7" s="32" t="str">
        <x:v>若刑的具体成立、力量或作用对象存在争议，应降低置信度或停止细化。</x:v>
      </x:c>
      <x:c r="G7" s="32" t="str">
        <x:v>不得由日支刑直接推出折磨、冷战、互害、婚姻不幸或人格问题。</x:v>
      </x:c>
    </x:row>
    <x:row r="8">
      <x:c r="A8" s="32" t="str">
        <x:v>害</x:v>
      </x:c>
      <x:c r="B8" s="32" t="str">
        <x:v>基础节奏</x:v>
      </x:c>
      <x:c r="C8" s="32" t="str">
        <x:v>关系中可能存在间接错位、未被说清的期待或对同一行为的不同理解。</x:v>
      </x:c>
      <x:c r="D8" s="32" t="str">
        <x:v>害提示靠近时需要更多确认，不等于背叛、暗伤或有人故意伤害。</x:v>
      </x:c>
      <x:c r="E8" s="32" t="str">
        <x:v>边界重订应优先把隐性期待、默认规则和感受差异说清楚。</x:v>
      </x:c>
      <x:c r="F8" s="32" t="str">
        <x:v>只有害而无具体期待错位、沟通或行为证据时，不得写成固定互动事实。</x:v>
      </x:c>
      <x:c r="G8" s="32" t="str">
        <x:v>不得由日支害直接推出背叛、小人、第三者、暗中伤害或婚姻失败。</x:v>
      </x:c>
    </x:row>
    <x:row r="9">
      <x:c r="A9" s="32" t="str">
        <x:v>破</x:v>
      </x:c>
      <x:c r="B9" s="32" t="str">
        <x:v>基础节奏</x:v>
      </x:c>
      <x:c r="C9" s="32" t="str">
        <x:v>原有共享方式、分工或距离安排可能需要重新组合，重点是旧结构如何调整。</x:v>
      </x:c>
      <x:c r="D9" s="32" t="str">
        <x:v>破提示旧安排不再完全适用，不等于关系必然破裂。</x:v>
      </x:c>
      <x:c r="E9" s="32" t="str">
        <x:v>边界更适合在变化后重新定义时间、资源、角色和共同规则。</x:v>
      </x:c>
      <x:c r="F9" s="32" t="str">
        <x:v>若破仅为阶段覆盖或基础作用未定，应标记阶段性，不改写原局主边界。</x:v>
      </x:c>
      <x:c r="G9" s="32" t="str">
        <x:v>不得由日支破直接推出分手、离婚、背叛、失信或关系无法修复。</x:v>
      </x:c>
    </x:row>
    <x:row r="10">
      <x:c r="A10" s="28"/>
    </x:row>
    <x:row r="11">
      <x:c r="A11" s="28"/>
    </x:row>
    <x:row r="12">
      <x:c r="A12" s="28"/>
    </x:row>
    <x:row r="13">
      <x:c r="A13" s="28"/>
    </x:row>
    <x:row r="14">
      <x:c r="A14" s="28"/>
    </x:row>
    <x:row r="15">
      <x:c r="A15" s="28"/>
    </x:row>
    <x:row r="16">
      <x:c r="A16" s="28"/>
    </x:row>
    <x:row r="17">
      <x:c r="A17" s="28"/>
    </x:row>
    <x:row r="18">
      <x:c r="A18" s="28"/>
    </x:row>
    <x:row r="19">
      <x:c r="A19" s="28"/>
    </x:row>
    <x:row r="20">
      <x:c r="A20" s="28"/>
    </x:row>
    <x:row r="21">
      <x:c r="A21" s="28"/>
    </x:row>
    <x:row r="22">
      <x:c r="A22" s="28"/>
    </x:row>
    <x:row r="23">
      <x:c r="A23" s="28"/>
    </x:row>
    <x:row r="24">
      <x:c r="A24" s="28"/>
    </x:row>
    <x:row r="25">
      <x:c r="A25" s="28"/>
    </x:row>
    <x:row r="26">
      <x:c r="A26" s="28"/>
    </x:row>
    <x:row r="27">
      <x:c r="A27" s="28"/>
    </x:row>
    <x:row r="28">
      <x:c r="A28" s="28"/>
    </x:row>
    <x:row r="29">
      <x:c r="A29" s="28"/>
    </x:row>
    <x:row r="30">
      <x:c r="A30" s="28"/>
    </x:row>
    <x:row r="31">
      <x:c r="A31" s="28"/>
    </x:row>
    <x:row r="32">
      <x:c r="A32" s="28"/>
    </x:row>
    <x:row r="33">
      <x:c r="A33" s="28"/>
    </x:row>
    <x:row r="34">
      <x:c r="A34" s="28"/>
    </x:row>
    <x:row r="35">
      <x:c r="A35" s="28"/>
    </x:row>
    <x:row r="36">
      <x:c r="A36" s="28"/>
    </x:row>
    <x:row r="37">
      <x:c r="A37" s="28"/>
    </x:row>
    <x:row r="38">
      <x:c r="A38" s="28"/>
    </x:row>
    <x:row r="39">
      <x:c r="A39" s="28"/>
    </x:row>
    <x:row r="40">
      <x:c r="A40" s="28"/>
    </x:row>
    <x:row r="41">
      <x:c r="A41" s="28"/>
    </x:row>
    <x:row r="42">
      <x:c r="A42" s="28"/>
    </x:row>
    <x:row r="43">
      <x:c r="A43" s="28"/>
    </x:row>
    <x:row r="44">
      <x:c r="A44" s="28"/>
    </x:row>
    <x:row r="45">
      <x:c r="A45" s="28"/>
    </x:row>
    <x:row r="46">
      <x:c r="A46" s="28"/>
    </x:row>
    <x:row r="47">
      <x:c r="A47" s="28"/>
    </x:row>
    <x:row r="48">
      <x:c r="A48" s="28"/>
    </x:row>
    <x:row r="49">
      <x:c r="A49" s="28"/>
    </x:row>
    <x:row r="50">
      <x:c r="A50" s="28"/>
    </x:row>
    <x:row r="51">
      <x:c r="A51" s="28"/>
    </x:row>
    <x:row r="52">
      <x:c r="A52" s="28"/>
    </x:row>
    <x:row r="53">
      <x:c r="A53" s="28"/>
    </x:row>
    <x:row r="54">
      <x:c r="A54" s="28"/>
    </x:row>
    <x:row r="55">
      <x:c r="A55" s="28"/>
    </x:row>
    <x:row r="56">
      <x:c r="A56" s="28"/>
    </x:row>
    <x:row r="57">
      <x:c r="A57" s="28"/>
    </x:row>
    <x:row r="58">
      <x:c r="A58" s="28"/>
    </x:row>
    <x:row r="59">
      <x:c r="A59" s="28"/>
    </x:row>
    <x:row r="60">
      <x:c r="A60" s="28"/>
    </x:row>
    <x:row r="61">
      <x:c r="A61" s="28"/>
    </x:row>
    <x:row r="62">
      <x:c r="A62" s="28"/>
    </x:row>
    <x:row r="63">
      <x:c r="A63" s="28"/>
    </x:row>
    <x:row r="64">
      <x:c r="A64" s="28"/>
    </x:row>
    <x:row r="65">
      <x:c r="A65" s="28"/>
    </x:row>
    <x:row r="66">
      <x:c r="A66" s="28"/>
    </x:row>
    <x:row r="67">
      <x:c r="A67" s="28"/>
    </x:row>
    <x:row r="68">
      <x:c r="A68" s="28"/>
    </x:row>
    <x:row r="69">
      <x:c r="A69" s="28"/>
    </x:row>
    <x:row r="70">
      <x:c r="A70" s="28"/>
    </x:row>
    <x:row r="71">
      <x:c r="A71" s="28"/>
    </x:row>
    <x:row r="72">
      <x:c r="A72" s="28"/>
    </x:row>
    <x:row r="73">
      <x:c r="A73" s="28"/>
    </x:row>
    <x:row r="74">
      <x:c r="A74" s="28"/>
    </x:row>
    <x:row r="75">
      <x:c r="A75" s="28"/>
    </x:row>
    <x:row r="76">
      <x:c r="A76" s="28"/>
    </x:row>
    <x:row r="77">
      <x:c r="A77" s="28"/>
    </x:row>
    <x:row r="78">
      <x:c r="A78" s="28"/>
    </x:row>
    <x:row r="79">
      <x:c r="A79" s="28"/>
    </x:row>
    <x:row r="80">
      <x:c r="A80" s="28"/>
    </x:row>
    <x:row r="81">
      <x:c r="A81" s="28"/>
    </x:row>
    <x:row r="82">
      <x:c r="A82" s="28"/>
    </x:row>
    <x:row r="83">
      <x:c r="A83" s="28"/>
    </x:row>
    <x:row r="84">
      <x:c r="A84" s="28"/>
    </x:row>
    <x:row r="85">
      <x:c r="A85" s="28"/>
    </x:row>
    <x:row r="86">
      <x:c r="A86" s="28"/>
    </x:row>
    <x:row r="87">
      <x:c r="A87" s="28"/>
    </x:row>
    <x:row r="88">
      <x:c r="A88" s="28"/>
    </x:row>
    <x:row r="89">
      <x:c r="A89" s="28"/>
    </x:row>
    <x:row r="90">
      <x:c r="A90" s="28"/>
    </x:row>
    <x:row r="91">
      <x:c r="A91" s="28"/>
    </x:row>
    <x:row r="92">
      <x:c r="A92" s="28"/>
    </x:row>
    <x:row r="93">
      <x:c r="A93" s="28"/>
    </x:row>
    <x:row r="94">
      <x:c r="A94" s="28"/>
    </x:row>
    <x:row r="95">
      <x:c r="A95" s="28"/>
    </x:row>
    <x:row r="96">
      <x:c r="A96" s="28"/>
    </x:row>
    <x:row r="97">
      <x:c r="A97" s="28"/>
    </x:row>
    <x:row r="98">
      <x:c r="A98" s="28"/>
    </x:row>
    <x:row r="99">
      <x:c r="A99" s="28"/>
    </x:row>
    <x:row r="100">
      <x:c r="A100" s="28"/>
    </x:row>
    <x:row r="101">
      <x:c r="A101" s="28"/>
    </x:row>
    <x:row r="102">
      <x:c r="A102" s="28"/>
    </x:row>
    <x:row r="103">
      <x:c r="A103" s="28"/>
    </x:row>
    <x:row r="104">
      <x:c r="A104" s="28"/>
    </x:row>
    <x:row r="105">
      <x:c r="A105" s="28"/>
    </x:row>
    <x:row r="106">
      <x:c r="A106" s="28"/>
    </x:row>
    <x:row r="107">
      <x:c r="A107" s="28"/>
    </x:row>
    <x:row r="108">
      <x:c r="A108" s="28"/>
    </x:row>
    <x:row r="109">
      <x:c r="A109" s="28"/>
    </x:row>
    <x:row r="110">
      <x:c r="A110" s="28"/>
    </x:row>
    <x:row r="111">
      <x:c r="A111" s="28"/>
    </x:row>
    <x:row r="112">
      <x:c r="A112" s="28"/>
    </x:row>
    <x:row r="113">
      <x:c r="A113" s="28"/>
    </x:row>
    <x:row r="114">
      <x:c r="A114" s="28"/>
    </x:row>
    <x:row r="115">
      <x:c r="A115" s="28"/>
    </x:row>
    <x:row r="116">
      <x:c r="A116" s="28"/>
    </x:row>
    <x:row r="117">
      <x:c r="A117" s="28"/>
    </x:row>
    <x:row r="118">
      <x:c r="A118" s="28"/>
    </x:row>
    <x:row r="119">
      <x:c r="A119" s="28"/>
    </x:row>
    <x:row r="120">
      <x:c r="A120" s="28"/>
    </x:row>
    <x:row r="121">
      <x:c r="A121" s="28"/>
    </x:row>
    <x:row r="122">
      <x:c r="A122" s="28"/>
    </x:row>
    <x:row r="123">
      <x:c r="A123" s="28"/>
    </x:row>
    <x:row r="124">
      <x:c r="A124" s="28"/>
    </x:row>
    <x:row r="125">
      <x:c r="A125" s="28"/>
    </x:row>
    <x:row r="126">
      <x:c r="A126" s="28"/>
    </x:row>
    <x:row r="127">
      <x:c r="A127" s="28"/>
    </x:row>
    <x:row r="128">
      <x:c r="A128" s="28"/>
    </x:row>
    <x:row r="129">
      <x:c r="A129" s="28"/>
    </x:row>
    <x:row r="130">
      <x:c r="A130" s="28"/>
    </x:row>
    <x:row r="131">
      <x:c r="A131" s="28"/>
    </x:row>
    <x:row r="132">
      <x:c r="A132" s="28"/>
    </x:row>
    <x:row r="133">
      <x:c r="A133" s="28"/>
    </x:row>
    <x:row r="134">
      <x:c r="A134" s="28"/>
    </x:row>
    <x:row r="135">
      <x:c r="A135" s="28"/>
    </x:row>
    <x:row r="136">
      <x:c r="A136" s="28"/>
    </x:row>
    <x:row r="137">
      <x:c r="A137" s="28"/>
    </x:row>
    <x:row r="138">
      <x:c r="A138" s="28"/>
    </x:row>
    <x:row r="139">
      <x:c r="A139" s="28"/>
    </x:row>
    <x:row r="140">
      <x:c r="A140" s="28"/>
    </x:row>
    <x:row r="141">
      <x:c r="A141" s="28"/>
    </x:row>
    <x:row r="142">
      <x:c r="A142" s="28"/>
    </x:row>
    <x:row r="143">
      <x:c r="A143" s="28"/>
    </x:row>
    <x:row r="144">
      <x:c r="A144" s="28"/>
    </x:row>
    <x:row r="145">
      <x:c r="A145" s="28"/>
    </x:row>
    <x:row r="146">
      <x:c r="A146" s="28"/>
    </x:row>
    <x:row r="147">
      <x:c r="A147" s="28"/>
    </x:row>
    <x:row r="148">
      <x:c r="A148" s="28"/>
    </x:row>
    <x:row r="149">
      <x:c r="A149" s="28"/>
    </x:row>
    <x:row r="150">
      <x:c r="A150" s="28"/>
    </x:row>
    <x:row r="151">
      <x:c r="A151" s="28"/>
    </x:row>
    <x:row r="152">
      <x:c r="A152" s="28"/>
    </x:row>
    <x:row r="153">
      <x:c r="A153" s="28"/>
    </x:row>
    <x:row r="154">
      <x:c r="A154" s="28"/>
    </x:row>
    <x:row r="155">
      <x:c r="A155" s="28"/>
    </x:row>
    <x:row r="156">
      <x:c r="A156" s="28"/>
    </x:row>
    <x:row r="157">
      <x:c r="A157" s="28"/>
    </x:row>
    <x:row r="158">
      <x:c r="A158" s="28"/>
    </x:row>
    <x:row r="159">
      <x:c r="A159" s="28"/>
    </x:row>
    <x:row r="160">
      <x:c r="A160" s="28"/>
    </x:row>
    <x:row r="161">
      <x:c r="A161" s="28"/>
    </x:row>
    <x:row r="162">
      <x:c r="A162" s="28"/>
    </x:row>
    <x:row r="163">
      <x:c r="A163" s="28"/>
    </x:row>
    <x:row r="164">
      <x:c r="A164" s="28"/>
    </x:row>
    <x:row r="165">
      <x:c r="A165" s="28"/>
    </x:row>
    <x:row r="166">
      <x:c r="A166" s="28"/>
    </x:row>
    <x:row r="167">
      <x:c r="A167" s="28"/>
    </x:row>
    <x:row r="168">
      <x:c r="A168" s="28"/>
    </x:row>
    <x:row r="169">
      <x:c r="A169" s="28"/>
    </x:row>
    <x:row r="170">
      <x:c r="A170" s="28"/>
    </x:row>
    <x:row r="171">
      <x:c r="A171" s="28"/>
    </x:row>
    <x:row r="172">
      <x:c r="A172" s="28"/>
    </x:row>
    <x:row r="173">
      <x:c r="A173" s="28"/>
    </x:row>
    <x:row r="174">
      <x:c r="A174" s="28"/>
    </x:row>
    <x:row r="175">
      <x:c r="A175" s="28"/>
    </x:row>
    <x:row r="176">
      <x:c r="A176" s="28"/>
    </x:row>
    <x:row r="177">
      <x:c r="A177" s="28"/>
    </x:row>
    <x:row r="178">
      <x:c r="A178" s="28"/>
    </x:row>
    <x:row r="179">
      <x:c r="A179" s="28"/>
    </x:row>
    <x:row r="180">
      <x:c r="A180" s="28"/>
    </x:row>
    <x:row r="181">
      <x:c r="A181" s="28"/>
    </x:row>
    <x:row r="182">
      <x:c r="A182" s="28"/>
    </x:row>
    <x:row r="183">
      <x:c r="A183" s="28"/>
    </x:row>
    <x:row r="184">
      <x:c r="A184" s="28"/>
    </x:row>
    <x:row r="185">
      <x:c r="A185" s="28"/>
    </x:row>
    <x:row r="186">
      <x:c r="A186" s="28"/>
    </x:row>
    <x:row r="187">
      <x:c r="A187" s="28"/>
    </x:row>
    <x:row r="188">
      <x:c r="A188" s="28"/>
    </x:row>
    <x:row r="189">
      <x:c r="A189" s="28"/>
    </x:row>
    <x:row r="190">
      <x:c r="A190" s="28"/>
    </x:row>
    <x:row r="191">
      <x:c r="A191" s="28"/>
    </x:row>
    <x:row r="192">
      <x:c r="A192" s="28"/>
    </x:row>
    <x:row r="193">
      <x:c r="A193" s="28"/>
    </x:row>
    <x:row r="194">
      <x:c r="A194" s="28"/>
    </x:row>
    <x:row r="195">
      <x:c r="A195" s="28"/>
    </x:row>
    <x:row r="196">
      <x:c r="A196" s="28"/>
    </x:row>
    <x:row r="197">
      <x:c r="A197" s="28"/>
    </x:row>
    <x:row r="198">
      <x:c r="A198" s="28"/>
    </x:row>
    <x:row r="199">
      <x:c r="A199" s="28"/>
    </x:row>
    <x:row r="200">
      <x:c r="A200" s="28"/>
    </x:row>
    <x:row r="201">
      <x:c r="A201" s="28"/>
    </x:row>
    <x:row r="202">
      <x:c r="A202" s="28"/>
    </x:row>
    <x:row r="203">
      <x:c r="A203" s="28"/>
    </x:row>
    <x:row r="204">
      <x:c r="A204" s="28"/>
    </x:row>
    <x:row r="205">
      <x:c r="A205" s="28"/>
    </x:row>
    <x:row r="206">
      <x:c r="A206" s="28"/>
    </x:row>
    <x:row r="207">
      <x:c r="A207" s="28"/>
    </x:row>
    <x:row r="208">
      <x:c r="A208" s="28"/>
    </x:row>
    <x:row r="209">
      <x:c r="A209" s="28"/>
    </x:row>
    <x:row r="210">
      <x:c r="A210" s="28"/>
    </x:row>
    <x:row r="211">
      <x:c r="A211" s="28"/>
    </x:row>
    <x:row r="212">
      <x:c r="A212" s="28"/>
    </x:row>
    <x:row r="213">
      <x:c r="A213" s="28"/>
    </x:row>
    <x:row r="214">
      <x:c r="A214" s="28"/>
    </x:row>
    <x:row r="215">
      <x:c r="A215" s="28"/>
    </x:row>
    <x:row r="216">
      <x:c r="A216" s="28"/>
    </x:row>
    <x:row r="217">
      <x:c r="A217" s="28"/>
    </x:row>
    <x:row r="218">
      <x:c r="A218" s="28"/>
    </x:row>
    <x:row r="219">
      <x:c r="A219" s="28"/>
    </x:row>
    <x:row r="220">
      <x:c r="A220" s="28"/>
    </x:row>
    <x:row r="221">
      <x:c r="A221" s="28"/>
    </x:row>
    <x:row r="222">
      <x:c r="A222" s="28"/>
    </x:row>
    <x:row r="223">
      <x:c r="A223" s="28"/>
    </x:row>
    <x:row r="224">
      <x:c r="A224" s="28"/>
    </x:row>
    <x:row r="225">
      <x:c r="A225" s="28"/>
    </x:row>
    <x:row r="226">
      <x:c r="A226" s="28"/>
    </x:row>
    <x:row r="227">
      <x:c r="A227" s="28"/>
    </x:row>
    <x:row r="228">
      <x:c r="A228" s="28"/>
    </x:row>
    <x:row r="229">
      <x:c r="A229" s="28"/>
    </x:row>
    <x:row r="230">
      <x:c r="A230" s="28"/>
    </x:row>
    <x:row r="231">
      <x:c r="A231" s="28"/>
    </x:row>
    <x:row r="232">
      <x:c r="A232" s="28"/>
    </x:row>
    <x:row r="233">
      <x:c r="A233" s="28"/>
    </x:row>
    <x:row r="234">
      <x:c r="A234" s="28"/>
    </x:row>
    <x:row r="235">
      <x:c r="A235" s="28"/>
    </x:row>
    <x:row r="236">
      <x:c r="A236" s="28"/>
    </x:row>
    <x:row r="237">
      <x:c r="A237" s="28"/>
    </x:row>
    <x:row r="238">
      <x:c r="A238" s="28"/>
    </x:row>
    <x:row r="239">
      <x:c r="A239" s="28"/>
    </x:row>
    <x:row r="240">
      <x:c r="A240" s="28"/>
    </x:row>
    <x:row r="241">
      <x:c r="A241" s="28"/>
    </x:row>
    <x:row r="242">
      <x:c r="A242" s="28"/>
    </x:row>
    <x:row r="243">
      <x:c r="A243" s="28"/>
    </x:row>
    <x:row r="244">
      <x:c r="A244" s="28"/>
    </x:row>
    <x:row r="245">
      <x:c r="A245" s="28"/>
    </x:row>
    <x:row r="246">
      <x:c r="A246" s="28"/>
    </x:row>
    <x:row r="247">
      <x:c r="A247" s="28"/>
    </x:row>
    <x:row r="248">
      <x:c r="A248" s="28"/>
    </x:row>
    <x:row r="249">
      <x:c r="A249" s="28"/>
    </x:row>
    <x:row r="250">
      <x:c r="A250" s="28"/>
    </x:row>
    <x:row r="251">
      <x:c r="A251" s="28"/>
    </x:row>
    <x:row r="252">
      <x:c r="A252" s="28"/>
    </x:row>
    <x:row r="253">
      <x:c r="A253" s="28"/>
    </x:row>
    <x:row r="254">
      <x:c r="A254" s="28"/>
    </x:row>
    <x:row r="255">
      <x:c r="A255" s="28"/>
    </x:row>
    <x:row r="256">
      <x:c r="A256" s="28"/>
    </x:row>
    <x:row r="257">
      <x:c r="A257" s="28"/>
    </x:row>
    <x:row r="258">
      <x:c r="A258" s="28"/>
    </x:row>
    <x:row r="259">
      <x:c r="A259" s="28"/>
    </x:row>
    <x:row r="260">
      <x:c r="A260" s="28"/>
    </x:row>
    <x:row r="261">
      <x:c r="A261" s="28"/>
    </x:row>
    <x:row r="262">
      <x:c r="A262" s="28"/>
    </x:row>
    <x:row r="263">
      <x:c r="A263" s="28"/>
    </x:row>
    <x:row r="264">
      <x:c r="A264" s="28"/>
    </x:row>
    <x:row r="265">
      <x:c r="A265" s="28"/>
    </x:row>
    <x:row r="266">
      <x:c r="A266" s="28"/>
    </x:row>
    <x:row r="267">
      <x:c r="A267" s="28"/>
    </x:row>
    <x:row r="268">
      <x:c r="A268" s="28"/>
    </x:row>
    <x:row r="269">
      <x:c r="A269" s="28"/>
    </x:row>
    <x:row r="270">
      <x:c r="A270" s="28"/>
    </x:row>
    <x:row r="271">
      <x:c r="A271" s="28"/>
    </x:row>
    <x:row r="272">
      <x:c r="A272" s="28"/>
    </x:row>
    <x:row r="273">
      <x:c r="A273" s="28"/>
    </x:row>
    <x:row r="274">
      <x:c r="A274" s="28"/>
    </x:row>
    <x:row r="275">
      <x:c r="A275" s="28"/>
    </x:row>
    <x:row r="276">
      <x:c r="A276" s="28"/>
    </x:row>
    <x:row r="277">
      <x:c r="A277" s="28"/>
    </x:row>
    <x:row r="278">
      <x:c r="A278" s="28"/>
    </x:row>
    <x:row r="279">
      <x:c r="A279" s="28"/>
    </x:row>
    <x:row r="280">
      <x:c r="A280" s="28"/>
    </x:row>
    <x:row r="281">
      <x:c r="A281" s="28"/>
    </x:row>
    <x:row r="282">
      <x:c r="A282" s="28"/>
    </x:row>
    <x:row r="283">
      <x:c r="A283" s="28"/>
    </x:row>
    <x:row r="284">
      <x:c r="A284" s="28"/>
    </x:row>
    <x:row r="285">
      <x:c r="A285" s="28"/>
    </x:row>
    <x:row r="286">
      <x:c r="A286" s="28"/>
    </x:row>
    <x:row r="287">
      <x:c r="A287" s="28"/>
    </x:row>
    <x:row r="288">
      <x:c r="A288" s="28"/>
    </x:row>
    <x:row r="289">
      <x:c r="A289" s="28"/>
    </x:row>
    <x:row r="290">
      <x:c r="A290" s="28"/>
    </x:row>
    <x:row r="291">
      <x:c r="A291" s="28"/>
    </x:row>
    <x:row r="292">
      <x:c r="A292" s="28"/>
    </x:row>
    <x:row r="293">
      <x:c r="A293" s="28"/>
    </x:row>
    <x:row r="294">
      <x:c r="A294" s="28"/>
    </x:row>
    <x:row r="295">
      <x:c r="A295" s="28"/>
    </x:row>
    <x:row r="296">
      <x:c r="A296" s="28"/>
    </x:row>
    <x:row r="297">
      <x:c r="A297" s="28"/>
    </x:row>
    <x:row r="298">
      <x:c r="A298" s="28"/>
    </x:row>
    <x:row r="299">
      <x:c r="A299" s="28"/>
    </x:row>
    <x:row r="300">
      <x:c r="A300" s="28"/>
    </x:row>
    <x:row r="301">
      <x:c r="A301" s="28"/>
    </x:row>
    <x:row r="302">
      <x:c r="A302" s="28"/>
    </x:row>
    <x:row r="303">
      <x:c r="A303" s="28"/>
    </x:row>
    <x:row r="304">
      <x:c r="A304" s="28"/>
    </x:row>
    <x:row r="305">
      <x:c r="A305" s="28"/>
    </x:row>
    <x:row r="306">
      <x:c r="A306" s="28"/>
    </x:row>
    <x:row r="307">
      <x:c r="A307" s="28"/>
    </x:row>
    <x:row r="308">
      <x:c r="A308" s="28"/>
    </x:row>
    <x:row r="309">
      <x:c r="A309" s="28"/>
    </x:row>
    <x:row r="310">
      <x:c r="A310" s="28"/>
    </x:row>
    <x:row r="311">
      <x:c r="A311" s="28"/>
    </x:row>
    <x:row r="312">
      <x:c r="A312" s="28"/>
    </x:row>
    <x:row r="313">
      <x:c r="A313" s="28"/>
    </x:row>
    <x:row r="314">
      <x:c r="A314" s="28"/>
    </x:row>
    <x:row r="315">
      <x:c r="A315" s="28"/>
    </x:row>
    <x:row r="316">
      <x:c r="A316" s="28"/>
    </x:row>
    <x:row r="317">
      <x:c r="A317" s="28"/>
    </x:row>
    <x:row r="318">
      <x:c r="A318" s="28"/>
    </x:row>
    <x:row r="319">
      <x:c r="A319" s="28"/>
    </x:row>
    <x:row r="320">
      <x:c r="A320" s="28"/>
    </x:row>
    <x:row r="321">
      <x:c r="A321" s="28"/>
    </x:row>
    <x:row r="322">
      <x:c r="A322" s="28"/>
    </x:row>
    <x:row r="323">
      <x:c r="A323" s="28"/>
    </x:row>
    <x:row r="324">
      <x:c r="A324" s="28"/>
    </x:row>
    <x:row r="325">
      <x:c r="A325" s="28"/>
    </x:row>
    <x:row r="326">
      <x:c r="A326" s="28"/>
    </x:row>
    <x:row r="327">
      <x:c r="A327" s="28"/>
    </x:row>
    <x:row r="328">
      <x:c r="A328" s="28"/>
    </x:row>
    <x:row r="329">
      <x:c r="A329" s="28"/>
    </x:row>
    <x:row r="330">
      <x:c r="A330" s="28"/>
    </x:row>
    <x:row r="331">
      <x:c r="A331" s="28"/>
    </x:row>
    <x:row r="332">
      <x:c r="A332" s="28"/>
    </x:row>
    <x:row r="333">
      <x:c r="A333" s="28"/>
    </x:row>
    <x:row r="334">
      <x:c r="A334" s="28"/>
    </x:row>
    <x:row r="335">
      <x:c r="A335" s="28"/>
    </x:row>
    <x:row r="336">
      <x:c r="A336" s="28"/>
    </x:row>
    <x:row r="337">
      <x:c r="A337" s="28"/>
    </x:row>
    <x:row r="338">
      <x:c r="A338" s="28"/>
    </x:row>
    <x:row r="339">
      <x:c r="A339" s="28"/>
    </x:row>
    <x:row r="340">
      <x:c r="A340" s="28"/>
    </x:row>
    <x:row r="341">
      <x:c r="A341" s="28"/>
    </x:row>
    <x:row r="342">
      <x:c r="A342" s="28"/>
    </x:row>
    <x:row r="343">
      <x:c r="A343" s="28"/>
    </x:row>
    <x:row r="344">
      <x:c r="A344" s="28"/>
    </x:row>
    <x:row r="345">
      <x:c r="A345" s="28"/>
    </x:row>
    <x:row r="346">
      <x:c r="A346" s="28"/>
    </x:row>
    <x:row r="347">
      <x:c r="A347" s="28"/>
    </x:row>
    <x:row r="348">
      <x:c r="A348" s="28"/>
    </x:row>
    <x:row r="349">
      <x:c r="A349" s="28"/>
    </x:row>
    <x:row r="350">
      <x:c r="A350" s="28"/>
    </x:row>
    <x:row r="351">
      <x:c r="A351" s="28"/>
    </x:row>
    <x:row r="352">
      <x:c r="A352" s="28"/>
    </x:row>
    <x:row r="353">
      <x:c r="A353" s="28"/>
    </x:row>
    <x:row r="354">
      <x:c r="A354" s="28"/>
    </x:row>
    <x:row r="355">
      <x:c r="A355" s="28"/>
    </x:row>
    <x:row r="356">
      <x:c r="A356" s="28"/>
    </x:row>
    <x:row r="357">
      <x:c r="A357" s="28"/>
    </x:row>
    <x:row r="358">
      <x:c r="A358" s="28"/>
    </x:row>
    <x:row r="359">
      <x:c r="A359" s="28"/>
    </x:row>
    <x:row r="360">
      <x:c r="A360" s="28"/>
    </x:row>
    <x:row r="361">
      <x:c r="A361" s="28"/>
    </x:row>
    <x:row r="362">
      <x:c r="A362" s="28"/>
    </x:row>
    <x:row r="363">
      <x:c r="A363" s="28"/>
    </x:row>
    <x:row r="364">
      <x:c r="A364" s="28"/>
    </x:row>
    <x:row r="365">
      <x:c r="A365" s="28"/>
    </x:row>
    <x:row r="366">
      <x:c r="A366" s="28"/>
    </x:row>
    <x:row r="367">
      <x:c r="A367" s="28"/>
    </x:row>
    <x:row r="368">
      <x:c r="A368" s="28"/>
    </x:row>
    <x:row r="369">
      <x:c r="A369" s="28"/>
    </x:row>
    <x:row r="370">
      <x:c r="A370" s="28"/>
    </x:row>
    <x:row r="371">
      <x:c r="A371" s="28"/>
    </x:row>
    <x:row r="372">
      <x:c r="A372" s="28"/>
    </x:row>
    <x:row r="373">
      <x:c r="A373" s="28"/>
    </x:row>
    <x:row r="374">
      <x:c r="A374" s="28"/>
    </x:row>
    <x:row r="375">
      <x:c r="A375" s="28"/>
    </x:row>
    <x:row r="376">
      <x:c r="A376" s="28"/>
    </x:row>
    <x:row r="377">
      <x:c r="A377" s="28"/>
    </x:row>
    <x:row r="378">
      <x:c r="A378" s="28"/>
    </x:row>
    <x:row r="379">
      <x:c r="A379" s="28"/>
    </x:row>
    <x:row r="380">
      <x:c r="A380" s="28"/>
    </x:row>
    <x:row r="381">
      <x:c r="A381" s="28"/>
    </x:row>
    <x:row r="382">
      <x:c r="A382" s="28"/>
    </x:row>
    <x:row r="383">
      <x:c r="A383" s="28"/>
    </x:row>
    <x:row r="384">
      <x:c r="A384" s="28"/>
    </x:row>
    <x:row r="385">
      <x:c r="A385" s="28"/>
    </x:row>
    <x:row r="386">
      <x:c r="A386" s="28"/>
    </x:row>
    <x:row r="387">
      <x:c r="A387" s="28"/>
    </x:row>
    <x:row r="388">
      <x:c r="A388" s="28"/>
    </x:row>
    <x:row r="389">
      <x:c r="A389" s="28"/>
    </x:row>
    <x:row r="390">
      <x:c r="A390" s="28"/>
    </x:row>
    <x:row r="391">
      <x:c r="A391" s="28"/>
    </x:row>
    <x:row r="392">
      <x:c r="A392" s="28"/>
    </x:row>
    <x:row r="393">
      <x:c r="A393" s="28"/>
    </x:row>
    <x:row r="394">
      <x:c r="A394" s="28"/>
    </x:row>
    <x:row r="395">
      <x:c r="A395" s="28"/>
    </x:row>
    <x:row r="396">
      <x:c r="A396" s="28"/>
    </x:row>
    <x:row r="397">
      <x:c r="A397" s="28"/>
    </x:row>
    <x:row r="398">
      <x:c r="A398" s="28"/>
    </x:row>
    <x:row r="399">
      <x:c r="A399" s="28"/>
    </x:row>
    <x:row r="400">
      <x:c r="A400" s="28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925568fd8e349a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8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12" hidden="0" customWidth="1"/>
  </x:cols>
  <x:sheetData>
    <x:row r="1" ht="28" customHeight="1">
      <x:c r="A1" s="38" t="str">
        <x:v>透藏、根气、旺弱、喜忌、制化与位置修正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3" t="str">
        <x:v>状态只修正边界通道的可见度、稳定性和调用顺序；真合化属于替换路由。</x:v>
      </x:c>
      <x:c r="B2" s="13"/>
      <x:c r="C2" s="13"/>
      <x:c r="D2" s="13"/>
      <x:c r="E2" s="13"/>
      <x:c r="F2" s="13"/>
      <x:c r="G2" s="13"/>
      <x:c r="H2" s="13"/>
    </x:row>
    <x:row r="3">
      <x:c r="A3" s="28"/>
    </x:row>
    <x:row r="4">
      <x:c r="A4" s="22" t="str">
        <x:v>编号</x:v>
      </x:c>
      <x:c r="B4" s="22" t="str">
        <x:v>状态</x:v>
      </x:c>
      <x:c r="C4" s="22" t="str">
        <x:v>成立条件</x:v>
      </x:c>
      <x:c r="D4" s="22" t="str">
        <x:v>分值／作用</x:v>
      </x:c>
      <x:c r="E4" s="22" t="str">
        <x:v>输出字段</x:v>
      </x:c>
      <x:c r="F4" s="22" t="str">
        <x:v>内部逻辑</x:v>
      </x:c>
      <x:c r="G4" s="22" t="str">
        <x:v>用户表达</x:v>
      </x:c>
      <x:c r="H4" s="22" t="str">
        <x:v>置信度</x:v>
      </x:c>
    </x:row>
    <x:row r="5">
      <x:c r="A5" s="32" t="str">
        <x:v>SC01</x:v>
      </x:c>
      <x:c r="B5" s="32" t="str">
        <x:v>透干有根｜边界外显且可重复</x:v>
      </x:c>
      <x:c r="C5" s="32" t="str">
        <x:v>透干且有根，基础功能有效。</x:v>
      </x:c>
      <x:c r="D5" s="32" t="str">
        <x:v>主通道 +8；可见度 +5</x:v>
      </x:c>
      <x:c r="E5" s="32" t="str">
        <x:v>primary_boundary_channel</x:v>
      </x:c>
      <x:c r="F5" s="32" t="str">
        <x:v>边界方式容易被对方看见，也有一定重复出现的来源。</x:v>
      </x:c>
      <x:c r="G5" s="32" t="str">
        <x:v>你通常较容易把需要、权限或限制表现出来，而且不只在一次事件中出现。</x:v>
      </x:c>
      <x:c r="H5" s="32" t="str">
        <x:v>中高</x:v>
      </x:c>
    </x:row>
    <x:row r="6">
      <x:c r="A6" s="32" t="str">
        <x:v>SC02</x:v>
      </x:c>
      <x:c r="B6" s="32" t="str">
        <x:v>透干无根｜先可见后验证</x:v>
      </x:c>
      <x:c r="C6" s="32" t="str">
        <x:v>透干但无根，现实重复证据不足。</x:v>
      </x:c>
      <x:c r="D6" s="32" t="str">
        <x:v>候选 +4；连续性待验证</x:v>
      </x:c>
      <x:c r="E6" s="32" t="str">
        <x:v>closeness_rhythm</x:v>
      </x:c>
      <x:c r="F6" s="32" t="str">
        <x:v>边界表现容易较早被看见，但稳定性仍需真实关系验证。</x:v>
      </x:c>
      <x:c r="G6" s="32" t="str">
        <x:v>你可能较早表达边界或靠近方式，但是否长期一致仍要看后续行为。</x:v>
      </x:c>
      <x:c r="H6" s="32" t="str">
        <x:v>中</x:v>
      </x:c>
    </x:row>
    <x:row r="7">
      <x:c r="A7" s="32" t="str">
        <x:v>SC03</x:v>
      </x:c>
      <x:c r="B7" s="32" t="str">
        <x:v>藏支有根｜隐性稳定</x:v>
      </x:c>
      <x:c r="C7" s="32" t="str">
        <x:v>藏支有根，功能未被替换。</x:v>
      </x:c>
      <x:c r="D7" s="32" t="str">
        <x:v>主通道 +6；隐性 +5</x:v>
      </x:c>
      <x:c r="E7" s="32" t="str">
        <x:v>space_need</x:v>
      </x:c>
      <x:c r="F7" s="32" t="str">
        <x:v>边界不一定高调表达，更可能通过长期习惯、选择和稳定节奏被看见。</x:v>
      </x:c>
      <x:c r="G7" s="32" t="str">
        <x:v>你的边界可能不总是先说出来，而是藏在长期习惯、选择和相处节奏里。</x:v>
      </x:c>
      <x:c r="H7" s="32" t="str">
        <x:v>中高</x:v>
      </x:c>
    </x:row>
    <x:row r="8">
      <x:c r="A8" s="32" t="str">
        <x:v>SC04</x:v>
      </x:c>
      <x:c r="B8" s="32" t="str">
        <x:v>藏支无根／弱远｜仅保留候选</x:v>
      </x:c>
      <x:c r="C8" s="32" t="str">
        <x:v>藏支无根或弱远，缺少独立现实证据。</x:v>
      </x:c>
      <x:c r="D8" s="32" t="str">
        <x:v>候选 +2；降置信</x:v>
      </x:c>
      <x:c r="E8" s="32" t="str">
        <x:v>primary_boundary_channel</x:v>
      </x:c>
      <x:c r="F8" s="32" t="str">
        <x:v>目前不足以写成稳定边界模式。</x:v>
      </x:c>
      <x:c r="G8" s="32" t="str">
        <x:v>这种方式只能作为潜在倾向，不宜写成你固定的相处边界。</x:v>
      </x:c>
      <x:c r="H8" s="32" t="str">
        <x:v>中低</x:v>
      </x:c>
    </x:row>
    <x:row r="9">
      <x:c r="A9" s="32" t="str">
        <x:v>SC05</x:v>
      </x:c>
      <x:c r="B9" s="32" t="str">
        <x:v>同根透藏｜一次证据两种表现</x:v>
      </x:c>
      <x:c r="C9" s="32" t="str">
        <x:v>同一十神同根透藏，source_id相同。</x:v>
      </x:c>
      <x:c r="D9" s="32" t="str">
        <x:v>去重；外显／稳定分工</x:v>
      </x:c>
      <x:c r="E9" s="32" t="str">
        <x:v>provenance</x:v>
      </x:c>
      <x:c r="F9" s="32" t="str">
        <x:v>同一边界功能既有外显行为，也有内部稳定来源，但只算一次基础证据。</x:v>
      </x:c>
      <x:c r="G9" s="32" t="str">
        <x:v>同一种边界方式可能既能被看见，也有稳定内在来源，但不会重复计分。</x:v>
      </x:c>
      <x:c r="H9" s="32" t="str">
        <x:v>高</x:v>
      </x:c>
    </x:row>
    <x:row r="10">
      <x:c r="A10" s="32" t="str">
        <x:v>SC06</x:v>
      </x:c>
      <x:c r="B10" s="32" t="str">
        <x:v>多根同类｜重复性提高</x:v>
      </x:c>
      <x:c r="C10" s="32" t="str">
        <x:v>同类功能多根且基础可靠。</x:v>
      </x:c>
      <x:c r="D10" s="32" t="str">
        <x:v>稳定性 +6；不新增通道</x:v>
      </x:c>
      <x:c r="E10" s="32" t="str">
        <x:v>state_shift</x:v>
      </x:c>
      <x:c r="F10" s="32" t="str">
        <x:v>同一边界方式更容易在不同情境反复出现。</x:v>
      </x:c>
      <x:c r="G10" s="32" t="str">
        <x:v>这种边界方式更可能在多种场景重复出现。</x:v>
      </x:c>
      <x:c r="H10" s="32" t="str">
        <x:v>中高</x:v>
      </x:c>
    </x:row>
    <x:row r="11">
      <x:c r="A11" s="32" t="str">
        <x:v>SC07</x:v>
      </x:c>
      <x:c r="B11" s="32" t="str">
        <x:v>有根但受损｜功能保留、调用受限</x:v>
      </x:c>
      <x:c r="C11" s="32" t="str">
        <x:v>有根但受冲克、合绊或其他有效损伤。</x:v>
      </x:c>
      <x:c r="D11" s="32" t="str">
        <x:v>主通道保留；顺畅度 -3</x:v>
      </x:c>
      <x:c r="E11" s="32" t="str">
        <x:v>state_shift</x:v>
      </x:c>
      <x:c r="F11" s="32" t="str">
        <x:v>功能仍存在，但调用可能更依赖具体情境和资源。</x:v>
      </x:c>
      <x:c r="G11" s="32" t="str">
        <x:v>这项边界能力仍在，只是是否顺畅使用更看当时的关系状态。</x:v>
      </x:c>
      <x:c r="H11" s="32" t="str">
        <x:v>中</x:v>
      </x:c>
    </x:row>
    <x:row r="12">
      <x:c r="A12" s="32" t="str">
        <x:v>SC08</x:v>
      </x:c>
      <x:c r="B12" s="32" t="str">
        <x:v>无根但近位行为验证｜条件性成立</x:v>
      </x:c>
      <x:c r="C12" s="32" t="str">
        <x:v>结构稳定来源弱，但日柱近位或真实行为重复支持。</x:v>
      </x:c>
      <x:c r="D12" s="32" t="str">
        <x:v>条件性 +5；标记案例依赖</x:v>
      </x:c>
      <x:c r="E12" s="32" t="str">
        <x:v>confidence</x:v>
      </x:c>
      <x:c r="F12" s="32" t="str">
        <x:v>现实行为可让某项边界在特定关系中成立。</x:v>
      </x:c>
      <x:c r="G12" s="32" t="str">
        <x:v>虽然结构来源较弱，但真实相处显示这项边界在特定关系中可以成立。</x:v>
      </x:c>
      <x:c r="H12" s="32" t="str">
        <x:v>中</x:v>
      </x:c>
    </x:row>
    <x:row r="13">
      <x:c r="A13" s="32" t="str">
        <x:v>SC09</x:v>
      </x:c>
      <x:c r="B13" s="32" t="str">
        <x:v>旺而平衡｜自然调用</x:v>
      </x:c>
      <x:c r="C13" s="32" t="str">
        <x:v>通道旺而有序、不过度占位。</x:v>
      </x:c>
      <x:c r="D13" s="32" t="str">
        <x:v>主通道 +7</x:v>
      </x:c>
      <x:c r="E13" s="32" t="str">
        <x:v>primary_boundary_channel</x:v>
      </x:c>
      <x:c r="F13" s="32" t="str">
        <x:v>边界方式较容易自然出现。</x:v>
      </x:c>
      <x:c r="G13" s="32" t="str">
        <x:v>你通常不必等到特殊事件，便能较自然地使用这项边界方式。</x:v>
      </x:c>
      <x:c r="H13" s="32" t="str">
        <x:v>中高</x:v>
      </x:c>
    </x:row>
    <x:row r="14">
      <x:c r="A14" s="32" t="str">
        <x:v>SC10</x:v>
      </x:c>
      <x:c r="B14" s="32" t="str">
        <x:v>旺而过度占位｜抢先但不判风险</x:v>
      </x:c>
      <x:c r="C14" s="32" t="str">
        <x:v>通道过旺或持续占位，风险尚未进入M4。</x:v>
      </x:c>
      <x:c r="D14" s="32" t="str">
        <x:v>抢先 +5；路由M4</x:v>
      </x:c>
      <x:c r="E14" s="32" t="str">
        <x:v>state_shift</x:v>
      </x:c>
      <x:c r="F14" s="32" t="str">
        <x:v>该通道更容易成为第一反应，但BOUND不判断是否过度。</x:v>
      </x:c>
      <x:c r="G14" s="32" t="str">
        <x:v>压力增加时，这种边界方式可能更容易抢先出现；是否形成问题要交给M4。</x:v>
      </x:c>
      <x:c r="H14" s="32" t="str">
        <x:v>中</x:v>
      </x:c>
    </x:row>
    <x:row r="15">
      <x:c r="A15" s="32" t="str">
        <x:v>SC11</x:v>
      </x:c>
      <x:c r="B15" s="32" t="str">
        <x:v>中和可用｜依情境稳定调用</x:v>
      </x:c>
      <x:c r="C15" s="32" t="str">
        <x:v>通道中和可用，基础无关键冲突。</x:v>
      </x:c>
      <x:c r="D15" s="32" t="str">
        <x:v>主通道 +5</x:v>
      </x:c>
      <x:c r="E15" s="32" t="str">
        <x:v>primary_boundary_channel</x:v>
      </x:c>
      <x:c r="F15" s="32" t="str">
        <x:v>在合适情境中可稳定调用。</x:v>
      </x:c>
      <x:c r="G15" s="32" t="str">
        <x:v>你通常能按情境使用这项边界方式，不会长期压过其他通道。</x:v>
      </x:c>
      <x:c r="H15" s="32" t="str">
        <x:v>中</x:v>
      </x:c>
    </x:row>
    <x:row r="16">
      <x:c r="A16" s="32" t="str">
        <x:v>SC12</x:v>
      </x:c>
      <x:c r="B16" s="32" t="str">
        <x:v>偏弱有助｜需要明确条件</x:v>
      </x:c>
      <x:c r="C16" s="32" t="str">
        <x:v>通道偏弱但有生助、近位或现实支持。</x:v>
      </x:c>
      <x:c r="D16" s="32" t="str">
        <x:v>条件性 +4</x:v>
      </x:c>
      <x:c r="E16" s="32" t="str">
        <x:v>closeness_rhythm</x:v>
      </x:c>
      <x:c r="F16" s="32" t="str">
        <x:v>并非缺失，而是需要安全、回应或事情清楚时才容易出现。</x:v>
      </x:c>
      <x:c r="G16" s="32" t="str">
        <x:v>这项边界方式更容易在关系安全、需求清楚或有人回应时出现。</x:v>
      </x:c>
      <x:c r="H16" s="32" t="str">
        <x:v>中</x:v>
      </x:c>
    </x:row>
    <x:row r="17">
      <x:c r="A17" s="32" t="str">
        <x:v>SC13</x:v>
      </x:c>
      <x:c r="B17" s="32" t="str">
        <x:v>偏弱无助｜不写稳定模式</x:v>
      </x:c>
      <x:c r="C17" s="32" t="str">
        <x:v>通道偏弱无助且缺少现实证据。</x:v>
      </x:c>
      <x:c r="D17" s="32" t="str">
        <x:v>候选 +1；降置信</x:v>
      </x:c>
      <x:c r="E17" s="32" t="str">
        <x:v>primary_boundary_channel</x:v>
      </x:c>
      <x:c r="F17" s="32" t="str">
        <x:v>不足以写成稳定模式。</x:v>
      </x:c>
      <x:c r="G17" s="32" t="str">
        <x:v>目前只能把它作为低权重背景，不能写成固定边界。</x:v>
      </x:c>
      <x:c r="H17" s="32" t="str">
        <x:v>中低</x:v>
      </x:c>
    </x:row>
    <x:row r="18">
      <x:c r="A18" s="32" t="str">
        <x:v>SC14</x:v>
      </x:c>
      <x:c r="B18" s="32" t="str">
        <x:v>强弱争议｜回退到五系统</x:v>
      </x:c>
      <x:c r="C18" s="32" t="str">
        <x:v>旺弱、根气或作用关系存在关键争议。</x:v>
      </x:c>
      <x:c r="D18" s="32" t="str">
        <x:v>停止十神级输出</x:v>
      </x:c>
      <x:c r="E18" s="32" t="str">
        <x:v>report_status</x:v>
      </x:c>
      <x:c r="F18" s="32" t="str">
        <x:v>只能输出系统级方向，不细化到具体十神。</x:v>
      </x:c>
      <x:c r="G18" s="32" t="str">
        <x:v>目前只能判断你更偏向某一类边界系统，具体方式仍需保留不确定性。</x:v>
      </x:c>
      <x:c r="H18" s="32" t="str">
        <x:v>低</x:v>
      </x:c>
    </x:row>
    <x:row r="19">
      <x:c r="A19" s="32" t="str">
        <x:v>SC15</x:v>
      </x:c>
      <x:c r="B19" s="32" t="str">
        <x:v>为喜且平衡｜调用较顺畅</x:v>
      </x:c>
      <x:c r="C19" s="32" t="str">
        <x:v>喜用且功能平衡。</x:v>
      </x:c>
      <x:c r="D19" s="32" t="str">
        <x:v>顺畅度 +4</x:v>
      </x:c>
      <x:c r="E19" s="32" t="str">
        <x:v>state_shift</x:v>
      </x:c>
      <x:c r="F19" s="32" t="str">
        <x:v>使用时较容易得到清楚反馈。</x:v>
      </x:c>
      <x:c r="G19" s="32" t="str">
        <x:v>你使用这项边界方式时通常较顺手，也更容易让对方理解。</x:v>
      </x:c>
      <x:c r="H19" s="32" t="str">
        <x:v>中</x:v>
      </x:c>
    </x:row>
    <x:row r="20">
      <x:c r="A20" s="32" t="str">
        <x:v>SC16</x:v>
      </x:c>
      <x:c r="B20" s="32" t="str">
        <x:v>为忌但有效｜仍可高频调用</x:v>
      </x:c>
      <x:c r="C20" s="32" t="str">
        <x:v>为忌但十神有效。</x:v>
      </x:c>
      <x:c r="D20" s="32" t="str">
        <x:v>强度保留；路由M4</x:v>
      </x:c>
      <x:c r="E20" s="32" t="str">
        <x:v>state_shift</x:v>
      </x:c>
      <x:c r="F20" s="32" t="str">
        <x:v>喜忌不决定是否使用，只提示体验和资源压力。</x:v>
      </x:c>
      <x:c r="G20" s="32" t="str">
        <x:v>这项方式仍可能很常用；是否让你有压力，需要另行判断。</x:v>
      </x:c>
      <x:c r="H20" s="32" t="str">
        <x:v>中</x:v>
      </x:c>
    </x:row>
    <x:row r="21">
      <x:c r="A21" s="32" t="str">
        <x:v>SC17</x:v>
      </x:c>
      <x:c r="B21" s="32" t="str">
        <x:v>喜忌未定｜只用功能语言</x:v>
      </x:c>
      <x:c r="C21" s="32" t="str">
        <x:v>喜忌尚未可靠确定。</x:v>
      </x:c>
      <x:c r="D21" s="32" t="str">
        <x:v>功能保留；不写体验质量</x:v>
      </x:c>
      <x:c r="E21" s="32" t="str">
        <x:v>boundary_note</x:v>
      </x:c>
      <x:c r="F21" s="32" t="str">
        <x:v>可以说明功能，不评价顺畅或轻松。</x:v>
      </x:c>
      <x:c r="G21" s="32" t="str">
        <x:v>可以说明你怎样安排边界，但不评价这种方式是否轻松或有压力。</x:v>
      </x:c>
      <x:c r="H21" s="32" t="str">
        <x:v>中</x:v>
      </x:c>
    </x:row>
    <x:row r="22">
      <x:c r="A22" s="32" t="str">
        <x:v>SC18</x:v>
      </x:c>
      <x:c r="B22" s="32" t="str">
        <x:v>忌而过旺｜禁止直接写边界失控</x:v>
      </x:c>
      <x:c r="C22" s="32" t="str">
        <x:v>为忌且过旺，但M4未运行。</x:v>
      </x:c>
      <x:c r="D22" s="32" t="str">
        <x:v>路由M4；BOUND不判风险</x:v>
      </x:c>
      <x:c r="E22" s="32" t="str">
        <x:v>boundary_note</x:v>
      </x:c>
      <x:c r="F22" s="32" t="str">
        <x:v>只能说明通道抢先和占位。</x:v>
      </x:c>
      <x:c r="G22" s="32" t="str">
        <x:v>只能说明这种边界方式容易抢先，不直接写成控制、回避或失去自我。</x:v>
      </x:c>
      <x:c r="H22" s="32" t="str">
        <x:v>高</x:v>
      </x:c>
    </x:row>
    <x:row r="23">
      <x:c r="A23" s="32" t="str">
        <x:v>SC19</x:v>
      </x:c>
      <x:c r="B23" s="32" t="str">
        <x:v>有制有化｜经过另一系统调节</x:v>
      </x:c>
      <x:c r="C23" s="32" t="str">
        <x:v>原通道有有效制化或桥接。</x:v>
      </x:c>
      <x:c r="D23" s="32" t="str">
        <x:v>建立桥接路径 +5</x:v>
      </x:c>
      <x:c r="E23" s="32" t="str">
        <x:v>boundary_path</x:v>
      </x:c>
      <x:c r="F23" s="32" t="str">
        <x:v>边界方式会经过另一系统调节。</x:v>
      </x:c>
      <x:c r="G23" s="32" t="str">
        <x:v>你的边界可能先经过沟通、安全确认、现实安排或角色协商，再真正落实。</x:v>
      </x:c>
      <x:c r="H23" s="32" t="str">
        <x:v>中高</x:v>
      </x:c>
    </x:row>
    <x:row r="24">
      <x:c r="A24" s="32" t="str">
        <x:v>SC20</x:v>
      </x:c>
      <x:c r="B24" s="32" t="str">
        <x:v>强而无制｜压力下更易抢先</x:v>
      </x:c>
      <x:c r="C24" s="32" t="str">
        <x:v>通道强而缺少调节。</x:v>
      </x:c>
      <x:c r="D24" s="32" t="str">
        <x:v>压力通道 +5</x:v>
      </x:c>
      <x:c r="E24" s="32" t="str">
        <x:v>state_shift</x:v>
      </x:c>
      <x:c r="F24" s="32" t="str">
        <x:v>压力下更容易先由该通道设限。</x:v>
      </x:c>
      <x:c r="G24" s="32" t="str">
        <x:v>压力增加时，这种边界方式更可能成为第一反应，但不代表平时只有这一种。</x:v>
      </x:c>
      <x:c r="H24" s="32" t="str">
        <x:v>中</x:v>
      </x:c>
    </x:row>
    <x:row r="25">
      <x:c r="A25" s="32" t="str">
        <x:v>SC21</x:v>
      </x:c>
      <x:c r="B25" s="32" t="str">
        <x:v>真合化｜原通道清零并重建</x:v>
      </x:c>
      <x:c r="C25" s="32" t="str">
        <x:v>真合化条件成立。</x:v>
      </x:c>
      <x:c r="D25" s="32" t="str">
        <x:v>原分清零；替换路由</x:v>
      </x:c>
      <x:c r="E25" s="32" t="str">
        <x:v>report_status</x:v>
      </x:c>
      <x:c r="F25" s="32" t="str">
        <x:v>原十神边界功能停止计分，按化神系统重建。</x:v>
      </x:c>
      <x:c r="G25" s="32" t="str">
        <x:v>原来的边界解释不再保留，改按合化后的功能系统重新判断。</x:v>
      </x:c>
      <x:c r="H25" s="32" t="str">
        <x:v>高</x:v>
      </x:c>
    </x:row>
    <x:row r="26">
      <x:c r="A26" s="32" t="str">
        <x:v>SC22</x:v>
      </x:c>
      <x:c r="B26" s="32" t="str">
        <x:v>日柱／日支近位｜亲密关系直接调用</x:v>
      </x:c>
      <x:c r="C26" s="32" t="str">
        <x:v>信号位于日柱、日支主气或直接进入夫妻宫。</x:v>
      </x:c>
      <x:c r="D26" s="32" t="str">
        <x:v>主通道 +7</x:v>
      </x:c>
      <x:c r="E26" s="32" t="str">
        <x:v>primary_boundary_channel</x:v>
      </x:c>
      <x:c r="F26" s="32" t="str">
        <x:v>更容易直接进入亲密关系日常。</x:v>
      </x:c>
      <x:c r="G26" s="32" t="str">
        <x:v>这项边界方式更容易直接出现在亲密关系里。</x:v>
      </x:c>
      <x:c r="H26" s="32" t="str">
        <x:v>中高</x:v>
      </x:c>
    </x:row>
    <x:row r="27">
      <x:c r="A27" s="32" t="str">
        <x:v>SC23</x:v>
      </x:c>
      <x:c r="B27" s="32" t="str">
        <x:v>月柱中近位｜稳定背景</x:v>
      </x:c>
      <x:c r="C27" s="32" t="str">
        <x:v>信号位于月柱且有根有效。</x:v>
      </x:c>
      <x:c r="D27" s="32" t="str">
        <x:v>主／次候选 +4</x:v>
      </x:c>
      <x:c r="E27" s="32" t="str">
        <x:v>secondary_boundary_channel</x:v>
      </x:c>
      <x:c r="F27" s="32" t="str">
        <x:v>较容易成为生活和长期角色中的背景边界。</x:v>
      </x:c>
      <x:c r="G27" s="32" t="str">
        <x:v>这项方式更可能成为长期生活中的稳定背景。</x:v>
      </x:c>
      <x:c r="H27" s="32" t="str">
        <x:v>中</x:v>
      </x:c>
    </x:row>
    <x:row r="28">
      <x:c r="A28" s="32" t="str">
        <x:v>SC24</x:v>
      </x:c>
      <x:c r="B28" s="32" t="str">
        <x:v>年时远位｜情境或阶段化</x:v>
      </x:c>
      <x:c r="C28" s="32" t="str">
        <x:v>信号位于年时远位，日柱缺少呼应。</x:v>
      </x:c>
      <x:c r="D28" s="32" t="str">
        <x:v>次候选 +2；降置信</x:v>
      </x:c>
      <x:c r="E28" s="32" t="str">
        <x:v>secondary_boundary_channel</x:v>
      </x:c>
      <x:c r="F28" s="32" t="str">
        <x:v>更依赖环境、阶段或外部角色。</x:v>
      </x:c>
      <x:c r="G28" s="32" t="str">
        <x:v>这项方式可能更依赖特定环境或人生阶段，不宜直接写成亲密关系核心。</x:v>
      </x:c>
      <x:c r="H28" s="32" t="str">
        <x:v>中低</x:v>
      </x:c>
    </x:row>
    <x:row r="29">
      <x:c r="A29" s="28"/>
    </x:row>
    <x:row r="30">
      <x:c r="A30" s="28"/>
    </x:row>
    <x:row r="31">
      <x:c r="A31" s="28"/>
    </x:row>
    <x:row r="32">
      <x:c r="A32" s="28"/>
    </x:row>
    <x:row r="33">
      <x:c r="A33" s="28"/>
    </x:row>
    <x:row r="34">
      <x:c r="A34" s="28"/>
    </x:row>
    <x:row r="35">
      <x:c r="A35" s="28"/>
    </x:row>
    <x:row r="36">
      <x:c r="A36" s="28"/>
    </x:row>
    <x:row r="37">
      <x:c r="A37" s="28"/>
    </x:row>
    <x:row r="38">
      <x:c r="A38" s="28"/>
    </x:row>
    <x:row r="39">
      <x:c r="A39" s="28"/>
    </x:row>
    <x:row r="40">
      <x:c r="A40" s="28"/>
    </x:row>
    <x:row r="41">
      <x:c r="A41" s="28"/>
    </x:row>
    <x:row r="42">
      <x:c r="A42" s="28"/>
    </x:row>
    <x:row r="43">
      <x:c r="A43" s="28"/>
    </x:row>
    <x:row r="44">
      <x:c r="A44" s="28"/>
    </x:row>
    <x:row r="45">
      <x:c r="A45" s="28"/>
    </x:row>
    <x:row r="46">
      <x:c r="A46" s="28"/>
    </x:row>
    <x:row r="47">
      <x:c r="A47" s="28"/>
    </x:row>
    <x:row r="48">
      <x:c r="A48" s="28"/>
    </x:row>
    <x:row r="49">
      <x:c r="A49" s="28"/>
    </x:row>
    <x:row r="50">
      <x:c r="A50" s="28"/>
    </x:row>
    <x:row r="51">
      <x:c r="A51" s="28"/>
    </x:row>
    <x:row r="52">
      <x:c r="A52" s="28"/>
    </x:row>
    <x:row r="53">
      <x:c r="A53" s="28"/>
    </x:row>
    <x:row r="54">
      <x:c r="A54" s="28"/>
    </x:row>
    <x:row r="55">
      <x:c r="A55" s="28"/>
    </x:row>
    <x:row r="56">
      <x:c r="A56" s="28"/>
    </x:row>
    <x:row r="57">
      <x:c r="A57" s="28"/>
    </x:row>
    <x:row r="58">
      <x:c r="A58" s="28"/>
    </x:row>
    <x:row r="59">
      <x:c r="A59" s="28"/>
    </x:row>
    <x:row r="60">
      <x:c r="A60" s="28"/>
    </x:row>
    <x:row r="61">
      <x:c r="A61" s="28"/>
    </x:row>
    <x:row r="62">
      <x:c r="A62" s="28"/>
    </x:row>
    <x:row r="63">
      <x:c r="A63" s="28"/>
    </x:row>
    <x:row r="64">
      <x:c r="A64" s="28"/>
    </x:row>
    <x:row r="65">
      <x:c r="A65" s="28"/>
    </x:row>
    <x:row r="66">
      <x:c r="A66" s="28"/>
    </x:row>
    <x:row r="67">
      <x:c r="A67" s="28"/>
    </x:row>
    <x:row r="68">
      <x:c r="A68" s="28"/>
    </x:row>
    <x:row r="69">
      <x:c r="A69" s="28"/>
    </x:row>
    <x:row r="70">
      <x:c r="A70" s="28"/>
    </x:row>
    <x:row r="71">
      <x:c r="A71" s="28"/>
    </x:row>
    <x:row r="72">
      <x:c r="A72" s="28"/>
    </x:row>
    <x:row r="73">
      <x:c r="A73" s="28"/>
    </x:row>
    <x:row r="74">
      <x:c r="A74" s="28"/>
    </x:row>
    <x:row r="75">
      <x:c r="A75" s="28"/>
    </x:row>
    <x:row r="76">
      <x:c r="A76" s="28"/>
    </x:row>
    <x:row r="77">
      <x:c r="A77" s="28"/>
    </x:row>
    <x:row r="78">
      <x:c r="A78" s="28"/>
    </x:row>
    <x:row r="79">
      <x:c r="A79" s="28"/>
    </x:row>
    <x:row r="80">
      <x:c r="A80" s="28"/>
    </x:row>
    <x:row r="81">
      <x:c r="A81" s="28"/>
    </x:row>
    <x:row r="82">
      <x:c r="A82" s="28"/>
    </x:row>
    <x:row r="83">
      <x:c r="A83" s="28"/>
    </x:row>
    <x:row r="84">
      <x:c r="A84" s="28"/>
    </x:row>
    <x:row r="85">
      <x:c r="A85" s="28"/>
    </x:row>
    <x:row r="86">
      <x:c r="A86" s="28"/>
    </x:row>
    <x:row r="87">
      <x:c r="A87" s="28"/>
    </x:row>
    <x:row r="88">
      <x:c r="A88" s="28"/>
    </x:row>
    <x:row r="89">
      <x:c r="A89" s="28"/>
    </x:row>
    <x:row r="90">
      <x:c r="A90" s="28"/>
    </x:row>
    <x:row r="91">
      <x:c r="A91" s="28"/>
    </x:row>
    <x:row r="92">
      <x:c r="A92" s="28"/>
    </x:row>
    <x:row r="93">
      <x:c r="A93" s="28"/>
    </x:row>
    <x:row r="94">
      <x:c r="A94" s="28"/>
    </x:row>
    <x:row r="95">
      <x:c r="A95" s="28"/>
    </x:row>
    <x:row r="96">
      <x:c r="A96" s="28"/>
    </x:row>
    <x:row r="97">
      <x:c r="A97" s="28"/>
    </x:row>
    <x:row r="98">
      <x:c r="A98" s="28"/>
    </x:row>
    <x:row r="99">
      <x:c r="A99" s="28"/>
    </x:row>
    <x:row r="100">
      <x:c r="A100" s="28"/>
    </x:row>
    <x:row r="101">
      <x:c r="A101" s="28"/>
    </x:row>
    <x:row r="102">
      <x:c r="A102" s="28"/>
    </x:row>
    <x:row r="103">
      <x:c r="A103" s="28"/>
    </x:row>
    <x:row r="104">
      <x:c r="A104" s="28"/>
    </x:row>
    <x:row r="105">
      <x:c r="A105" s="28"/>
    </x:row>
    <x:row r="106">
      <x:c r="A106" s="28"/>
    </x:row>
    <x:row r="107">
      <x:c r="A107" s="28"/>
    </x:row>
    <x:row r="108">
      <x:c r="A108" s="28"/>
    </x:row>
    <x:row r="109">
      <x:c r="A109" s="28"/>
    </x:row>
    <x:row r="110">
      <x:c r="A110" s="28"/>
    </x:row>
    <x:row r="111">
      <x:c r="A111" s="28"/>
    </x:row>
    <x:row r="112">
      <x:c r="A112" s="28"/>
    </x:row>
    <x:row r="113">
      <x:c r="A113" s="28"/>
    </x:row>
    <x:row r="114">
      <x:c r="A114" s="28"/>
    </x:row>
    <x:row r="115">
      <x:c r="A115" s="28"/>
    </x:row>
    <x:row r="116">
      <x:c r="A116" s="28"/>
    </x:row>
    <x:row r="117">
      <x:c r="A117" s="28"/>
    </x:row>
    <x:row r="118">
      <x:c r="A118" s="28"/>
    </x:row>
    <x:row r="119">
      <x:c r="A119" s="28"/>
    </x:row>
    <x:row r="120">
      <x:c r="A120" s="28"/>
    </x:row>
    <x:row r="121">
      <x:c r="A121" s="28"/>
    </x:row>
    <x:row r="122">
      <x:c r="A122" s="28"/>
    </x:row>
    <x:row r="123">
      <x:c r="A123" s="28"/>
    </x:row>
    <x:row r="124">
      <x:c r="A124" s="28"/>
    </x:row>
    <x:row r="125">
      <x:c r="A125" s="28"/>
    </x:row>
    <x:row r="126">
      <x:c r="A126" s="28"/>
    </x:row>
    <x:row r="127">
      <x:c r="A127" s="28"/>
    </x:row>
    <x:row r="128">
      <x:c r="A128" s="28"/>
    </x:row>
    <x:row r="129">
      <x:c r="A129" s="28"/>
    </x:row>
    <x:row r="130">
      <x:c r="A130" s="28"/>
    </x:row>
    <x:row r="131">
      <x:c r="A131" s="28"/>
    </x:row>
    <x:row r="132">
      <x:c r="A132" s="28"/>
    </x:row>
    <x:row r="133">
      <x:c r="A133" s="28"/>
    </x:row>
    <x:row r="134">
      <x:c r="A134" s="28"/>
    </x:row>
    <x:row r="135">
      <x:c r="A135" s="28"/>
    </x:row>
    <x:row r="136">
      <x:c r="A136" s="28"/>
    </x:row>
    <x:row r="137">
      <x:c r="A137" s="28"/>
    </x:row>
    <x:row r="138">
      <x:c r="A138" s="28"/>
    </x:row>
    <x:row r="139">
      <x:c r="A139" s="28"/>
    </x:row>
    <x:row r="140">
      <x:c r="A140" s="28"/>
    </x:row>
    <x:row r="141">
      <x:c r="A141" s="28"/>
    </x:row>
    <x:row r="142">
      <x:c r="A142" s="28"/>
    </x:row>
    <x:row r="143">
      <x:c r="A143" s="28"/>
    </x:row>
    <x:row r="144">
      <x:c r="A144" s="28"/>
    </x:row>
    <x:row r="145">
      <x:c r="A145" s="28"/>
    </x:row>
    <x:row r="146">
      <x:c r="A146" s="28"/>
    </x:row>
    <x:row r="147">
      <x:c r="A147" s="28"/>
    </x:row>
    <x:row r="148">
      <x:c r="A148" s="28"/>
    </x:row>
    <x:row r="149">
      <x:c r="A149" s="28"/>
    </x:row>
    <x:row r="150">
      <x:c r="A150" s="28"/>
    </x:row>
    <x:row r="151">
      <x:c r="A151" s="28"/>
    </x:row>
    <x:row r="152">
      <x:c r="A152" s="28"/>
    </x:row>
    <x:row r="153">
      <x:c r="A153" s="28"/>
    </x:row>
    <x:row r="154">
      <x:c r="A154" s="28"/>
    </x:row>
    <x:row r="155">
      <x:c r="A155" s="28"/>
    </x:row>
    <x:row r="156">
      <x:c r="A156" s="28"/>
    </x:row>
    <x:row r="157">
      <x:c r="A157" s="28"/>
    </x:row>
    <x:row r="158">
      <x:c r="A158" s="28"/>
    </x:row>
    <x:row r="159">
      <x:c r="A159" s="28"/>
    </x:row>
    <x:row r="160">
      <x:c r="A160" s="28"/>
    </x:row>
    <x:row r="161">
      <x:c r="A161" s="28"/>
    </x:row>
    <x:row r="162">
      <x:c r="A162" s="28"/>
    </x:row>
    <x:row r="163">
      <x:c r="A163" s="28"/>
    </x:row>
    <x:row r="164">
      <x:c r="A164" s="28"/>
    </x:row>
    <x:row r="165">
      <x:c r="A165" s="28"/>
    </x:row>
    <x:row r="166">
      <x:c r="A166" s="28"/>
    </x:row>
    <x:row r="167">
      <x:c r="A167" s="28"/>
    </x:row>
    <x:row r="168">
      <x:c r="A168" s="28"/>
    </x:row>
    <x:row r="169">
      <x:c r="A169" s="28"/>
    </x:row>
    <x:row r="170">
      <x:c r="A170" s="28"/>
    </x:row>
    <x:row r="171">
      <x:c r="A171" s="28"/>
    </x:row>
    <x:row r="172">
      <x:c r="A172" s="28"/>
    </x:row>
    <x:row r="173">
      <x:c r="A173" s="28"/>
    </x:row>
    <x:row r="174">
      <x:c r="A174" s="28"/>
    </x:row>
    <x:row r="175">
      <x:c r="A175" s="28"/>
    </x:row>
    <x:row r="176">
      <x:c r="A176" s="28"/>
    </x:row>
    <x:row r="177">
      <x:c r="A177" s="28"/>
    </x:row>
    <x:row r="178">
      <x:c r="A178" s="28"/>
    </x:row>
    <x:row r="179">
      <x:c r="A179" s="28"/>
    </x:row>
    <x:row r="180">
      <x:c r="A180" s="28"/>
    </x:row>
    <x:row r="181">
      <x:c r="A181" s="28"/>
    </x:row>
    <x:row r="182">
      <x:c r="A182" s="28"/>
    </x:row>
    <x:row r="183">
      <x:c r="A183" s="28"/>
    </x:row>
    <x:row r="184">
      <x:c r="A184" s="28"/>
    </x:row>
    <x:row r="185">
      <x:c r="A185" s="28"/>
    </x:row>
    <x:row r="186">
      <x:c r="A186" s="28"/>
    </x:row>
    <x:row r="187">
      <x:c r="A187" s="28"/>
    </x:row>
    <x:row r="188">
      <x:c r="A188" s="28"/>
    </x:row>
    <x:row r="189">
      <x:c r="A189" s="28"/>
    </x:row>
    <x:row r="190">
      <x:c r="A190" s="28"/>
    </x:row>
    <x:row r="191">
      <x:c r="A191" s="28"/>
    </x:row>
    <x:row r="192">
      <x:c r="A192" s="28"/>
    </x:row>
    <x:row r="193">
      <x:c r="A193" s="28"/>
    </x:row>
    <x:row r="194">
      <x:c r="A194" s="28"/>
    </x:row>
    <x:row r="195">
      <x:c r="A195" s="28"/>
    </x:row>
    <x:row r="196">
      <x:c r="A196" s="28"/>
    </x:row>
    <x:row r="197">
      <x:c r="A197" s="28"/>
    </x:row>
    <x:row r="198">
      <x:c r="A198" s="28"/>
    </x:row>
    <x:row r="199">
      <x:c r="A199" s="28"/>
    </x:row>
    <x:row r="200">
      <x:c r="A200" s="28"/>
    </x:row>
    <x:row r="201">
      <x:c r="A201" s="28"/>
    </x:row>
    <x:row r="202">
      <x:c r="A202" s="28"/>
    </x:row>
    <x:row r="203">
      <x:c r="A203" s="28"/>
    </x:row>
    <x:row r="204">
      <x:c r="A204" s="28"/>
    </x:row>
    <x:row r="205">
      <x:c r="A205" s="28"/>
    </x:row>
    <x:row r="206">
      <x:c r="A206" s="28"/>
    </x:row>
    <x:row r="207">
      <x:c r="A207" s="28"/>
    </x:row>
    <x:row r="208">
      <x:c r="A208" s="28"/>
    </x:row>
    <x:row r="209">
      <x:c r="A209" s="28"/>
    </x:row>
    <x:row r="210">
      <x:c r="A210" s="28"/>
    </x:row>
    <x:row r="211">
      <x:c r="A211" s="28"/>
    </x:row>
    <x:row r="212">
      <x:c r="A212" s="28"/>
    </x:row>
    <x:row r="213">
      <x:c r="A213" s="28"/>
    </x:row>
    <x:row r="214">
      <x:c r="A214" s="28"/>
    </x:row>
    <x:row r="215">
      <x:c r="A215" s="28"/>
    </x:row>
    <x:row r="216">
      <x:c r="A216" s="28"/>
    </x:row>
    <x:row r="217">
      <x:c r="A217" s="28"/>
    </x:row>
    <x:row r="218">
      <x:c r="A218" s="28"/>
    </x:row>
    <x:row r="219">
      <x:c r="A219" s="28"/>
    </x:row>
    <x:row r="220">
      <x:c r="A220" s="28"/>
    </x:row>
    <x:row r="221">
      <x:c r="A221" s="28"/>
    </x:row>
    <x:row r="222">
      <x:c r="A222" s="28"/>
    </x:row>
    <x:row r="223">
      <x:c r="A223" s="28"/>
    </x:row>
    <x:row r="224">
      <x:c r="A224" s="28"/>
    </x:row>
    <x:row r="225">
      <x:c r="A225" s="28"/>
    </x:row>
    <x:row r="226">
      <x:c r="A226" s="28"/>
    </x:row>
    <x:row r="227">
      <x:c r="A227" s="28"/>
    </x:row>
    <x:row r="228">
      <x:c r="A228" s="28"/>
    </x:row>
    <x:row r="229">
      <x:c r="A229" s="28"/>
    </x:row>
    <x:row r="230">
      <x:c r="A230" s="28"/>
    </x:row>
    <x:row r="231">
      <x:c r="A231" s="28"/>
    </x:row>
    <x:row r="232">
      <x:c r="A232" s="28"/>
    </x:row>
    <x:row r="233">
      <x:c r="A233" s="28"/>
    </x:row>
    <x:row r="234">
      <x:c r="A234" s="28"/>
    </x:row>
    <x:row r="235">
      <x:c r="A235" s="28"/>
    </x:row>
    <x:row r="236">
      <x:c r="A236" s="28"/>
    </x:row>
    <x:row r="237">
      <x:c r="A237" s="28"/>
    </x:row>
    <x:row r="238">
      <x:c r="A238" s="28"/>
    </x:row>
    <x:row r="239">
      <x:c r="A239" s="28"/>
    </x:row>
    <x:row r="240">
      <x:c r="A240" s="28"/>
    </x:row>
    <x:row r="241">
      <x:c r="A241" s="28"/>
    </x:row>
    <x:row r="242">
      <x:c r="A242" s="28"/>
    </x:row>
    <x:row r="243">
      <x:c r="A243" s="28"/>
    </x:row>
    <x:row r="244">
      <x:c r="A244" s="28"/>
    </x:row>
    <x:row r="245">
      <x:c r="A245" s="28"/>
    </x:row>
    <x:row r="246">
      <x:c r="A246" s="28"/>
    </x:row>
    <x:row r="247">
      <x:c r="A247" s="28"/>
    </x:row>
    <x:row r="248">
      <x:c r="A248" s="28"/>
    </x:row>
    <x:row r="249">
      <x:c r="A249" s="28"/>
    </x:row>
    <x:row r="250">
      <x:c r="A250" s="28"/>
    </x:row>
    <x:row r="251">
      <x:c r="A251" s="28"/>
    </x:row>
    <x:row r="252">
      <x:c r="A252" s="28"/>
    </x:row>
    <x:row r="253">
      <x:c r="A253" s="28"/>
    </x:row>
    <x:row r="254">
      <x:c r="A254" s="28"/>
    </x:row>
    <x:row r="255">
      <x:c r="A255" s="28"/>
    </x:row>
    <x:row r="256">
      <x:c r="A256" s="28"/>
    </x:row>
    <x:row r="257">
      <x:c r="A257" s="28"/>
    </x:row>
    <x:row r="258">
      <x:c r="A258" s="28"/>
    </x:row>
    <x:row r="259">
      <x:c r="A259" s="28"/>
    </x:row>
    <x:row r="260">
      <x:c r="A260" s="28"/>
    </x:row>
    <x:row r="261">
      <x:c r="A261" s="28"/>
    </x:row>
    <x:row r="262">
      <x:c r="A262" s="28"/>
    </x:row>
    <x:row r="263">
      <x:c r="A263" s="28"/>
    </x:row>
    <x:row r="264">
      <x:c r="A264" s="28"/>
    </x:row>
    <x:row r="265">
      <x:c r="A265" s="28"/>
    </x:row>
    <x:row r="266">
      <x:c r="A266" s="28"/>
    </x:row>
    <x:row r="267">
      <x:c r="A267" s="28"/>
    </x:row>
    <x:row r="268">
      <x:c r="A268" s="28"/>
    </x:row>
    <x:row r="269">
      <x:c r="A269" s="28"/>
    </x:row>
    <x:row r="270">
      <x:c r="A270" s="28"/>
    </x:row>
    <x:row r="271">
      <x:c r="A271" s="28"/>
    </x:row>
    <x:row r="272">
      <x:c r="A272" s="28"/>
    </x:row>
    <x:row r="273">
      <x:c r="A273" s="28"/>
    </x:row>
    <x:row r="274">
      <x:c r="A274" s="28"/>
    </x:row>
    <x:row r="275">
      <x:c r="A275" s="28"/>
    </x:row>
    <x:row r="276">
      <x:c r="A276" s="28"/>
    </x:row>
    <x:row r="277">
      <x:c r="A277" s="28"/>
    </x:row>
    <x:row r="278">
      <x:c r="A278" s="28"/>
    </x:row>
    <x:row r="279">
      <x:c r="A279" s="28"/>
    </x:row>
    <x:row r="280">
      <x:c r="A280" s="28"/>
    </x:row>
    <x:row r="281">
      <x:c r="A281" s="28"/>
    </x:row>
    <x:row r="282">
      <x:c r="A282" s="28"/>
    </x:row>
    <x:row r="283">
      <x:c r="A283" s="28"/>
    </x:row>
    <x:row r="284">
      <x:c r="A284" s="28"/>
    </x:row>
    <x:row r="285">
      <x:c r="A285" s="28"/>
    </x:row>
    <x:row r="286">
      <x:c r="A286" s="28"/>
    </x:row>
    <x:row r="287">
      <x:c r="A287" s="28"/>
    </x:row>
    <x:row r="288">
      <x:c r="A288" s="28"/>
    </x:row>
    <x:row r="289">
      <x:c r="A289" s="28"/>
    </x:row>
    <x:row r="290">
      <x:c r="A290" s="28"/>
    </x:row>
    <x:row r="291">
      <x:c r="A291" s="28"/>
    </x:row>
    <x:row r="292">
      <x:c r="A292" s="28"/>
    </x:row>
    <x:row r="293">
      <x:c r="A293" s="28"/>
    </x:row>
    <x:row r="294">
      <x:c r="A294" s="28"/>
    </x:row>
    <x:row r="295">
      <x:c r="A295" s="28"/>
    </x:row>
    <x:row r="296">
      <x:c r="A296" s="28"/>
    </x:row>
    <x:row r="297">
      <x:c r="A297" s="28"/>
    </x:row>
    <x:row r="298">
      <x:c r="A298" s="28"/>
    </x:row>
    <x:row r="299">
      <x:c r="A299" s="28"/>
    </x:row>
    <x:row r="300">
      <x:c r="A300" s="28"/>
    </x:row>
    <x:row r="301">
      <x:c r="A301" s="28"/>
    </x:row>
    <x:row r="302">
      <x:c r="A302" s="28"/>
    </x:row>
    <x:row r="303">
      <x:c r="A303" s="28"/>
    </x:row>
    <x:row r="304">
      <x:c r="A304" s="28"/>
    </x:row>
    <x:row r="305">
      <x:c r="A305" s="28"/>
    </x:row>
    <x:row r="306">
      <x:c r="A306" s="28"/>
    </x:row>
    <x:row r="307">
      <x:c r="A307" s="28"/>
    </x:row>
    <x:row r="308">
      <x:c r="A308" s="28"/>
    </x:row>
    <x:row r="309">
      <x:c r="A309" s="28"/>
    </x:row>
    <x:row r="310">
      <x:c r="A310" s="28"/>
    </x:row>
    <x:row r="311">
      <x:c r="A311" s="28"/>
    </x:row>
    <x:row r="312">
      <x:c r="A312" s="28"/>
    </x:row>
    <x:row r="313">
      <x:c r="A313" s="28"/>
    </x:row>
    <x:row r="314">
      <x:c r="A314" s="28"/>
    </x:row>
    <x:row r="315">
      <x:c r="A315" s="28"/>
    </x:row>
    <x:row r="316">
      <x:c r="A316" s="28"/>
    </x:row>
    <x:row r="317">
      <x:c r="A317" s="28"/>
    </x:row>
    <x:row r="318">
      <x:c r="A318" s="28"/>
    </x:row>
    <x:row r="319">
      <x:c r="A319" s="28"/>
    </x:row>
    <x:row r="320">
      <x:c r="A320" s="28"/>
    </x:row>
    <x:row r="321">
      <x:c r="A321" s="28"/>
    </x:row>
    <x:row r="322">
      <x:c r="A322" s="28"/>
    </x:row>
    <x:row r="323">
      <x:c r="A323" s="28"/>
    </x:row>
    <x:row r="324">
      <x:c r="A324" s="28"/>
    </x:row>
    <x:row r="325">
      <x:c r="A325" s="28"/>
    </x:row>
    <x:row r="326">
      <x:c r="A326" s="28"/>
    </x:row>
    <x:row r="327">
      <x:c r="A327" s="28"/>
    </x:row>
    <x:row r="328">
      <x:c r="A328" s="28"/>
    </x:row>
    <x:row r="329">
      <x:c r="A329" s="28"/>
    </x:row>
    <x:row r="330">
      <x:c r="A330" s="28"/>
    </x:row>
    <x:row r="331">
      <x:c r="A331" s="28"/>
    </x:row>
    <x:row r="332">
      <x:c r="A332" s="28"/>
    </x:row>
    <x:row r="333">
      <x:c r="A333" s="28"/>
    </x:row>
    <x:row r="334">
      <x:c r="A334" s="28"/>
    </x:row>
    <x:row r="335">
      <x:c r="A335" s="28"/>
    </x:row>
    <x:row r="336">
      <x:c r="A336" s="28"/>
    </x:row>
    <x:row r="337">
      <x:c r="A337" s="28"/>
    </x:row>
    <x:row r="338">
      <x:c r="A338" s="28"/>
    </x:row>
    <x:row r="339">
      <x:c r="A339" s="28"/>
    </x:row>
    <x:row r="340">
      <x:c r="A340" s="28"/>
    </x:row>
    <x:row r="341">
      <x:c r="A341" s="28"/>
    </x:row>
    <x:row r="342">
      <x:c r="A342" s="28"/>
    </x:row>
    <x:row r="343">
      <x:c r="A343" s="28"/>
    </x:row>
    <x:row r="344">
      <x:c r="A344" s="28"/>
    </x:row>
    <x:row r="345">
      <x:c r="A345" s="28"/>
    </x:row>
    <x:row r="346">
      <x:c r="A346" s="28"/>
    </x:row>
    <x:row r="347">
      <x:c r="A347" s="28"/>
    </x:row>
    <x:row r="348">
      <x:c r="A348" s="28"/>
    </x:row>
    <x:row r="349">
      <x:c r="A349" s="28"/>
    </x:row>
    <x:row r="350">
      <x:c r="A350" s="28"/>
    </x:row>
    <x:row r="351">
      <x:c r="A351" s="28"/>
    </x:row>
    <x:row r="352">
      <x:c r="A352" s="28"/>
    </x:row>
    <x:row r="353">
      <x:c r="A353" s="28"/>
    </x:row>
    <x:row r="354">
      <x:c r="A354" s="28"/>
    </x:row>
    <x:row r="355">
      <x:c r="A355" s="28"/>
    </x:row>
    <x:row r="356">
      <x:c r="A356" s="28"/>
    </x:row>
    <x:row r="357">
      <x:c r="A357" s="28"/>
    </x:row>
    <x:row r="358">
      <x:c r="A358" s="28"/>
    </x:row>
    <x:row r="359">
      <x:c r="A359" s="28"/>
    </x:row>
    <x:row r="360">
      <x:c r="A360" s="28"/>
    </x:row>
    <x:row r="361">
      <x:c r="A361" s="28"/>
    </x:row>
    <x:row r="362">
      <x:c r="A362" s="28"/>
    </x:row>
    <x:row r="363">
      <x:c r="A363" s="28"/>
    </x:row>
    <x:row r="364">
      <x:c r="A364" s="28"/>
    </x:row>
    <x:row r="365">
      <x:c r="A365" s="28"/>
    </x:row>
    <x:row r="366">
      <x:c r="A366" s="28"/>
    </x:row>
    <x:row r="367">
      <x:c r="A367" s="28"/>
    </x:row>
    <x:row r="368">
      <x:c r="A368" s="28"/>
    </x:row>
    <x:row r="369">
      <x:c r="A369" s="28"/>
    </x:row>
    <x:row r="370">
      <x:c r="A370" s="28"/>
    </x:row>
    <x:row r="371">
      <x:c r="A371" s="28"/>
    </x:row>
    <x:row r="372">
      <x:c r="A372" s="28"/>
    </x:row>
    <x:row r="373">
      <x:c r="A373" s="28"/>
    </x:row>
    <x:row r="374">
      <x:c r="A374" s="28"/>
    </x:row>
    <x:row r="375">
      <x:c r="A375" s="28"/>
    </x:row>
    <x:row r="376">
      <x:c r="A376" s="28"/>
    </x:row>
    <x:row r="377">
      <x:c r="A377" s="28"/>
    </x:row>
    <x:row r="378">
      <x:c r="A378" s="28"/>
    </x:row>
    <x:row r="379">
      <x:c r="A379" s="28"/>
    </x:row>
    <x:row r="380">
      <x:c r="A380" s="28"/>
    </x:row>
    <x:row r="381">
      <x:c r="A381" s="28"/>
    </x:row>
    <x:row r="382">
      <x:c r="A382" s="28"/>
    </x:row>
    <x:row r="383">
      <x:c r="A383" s="28"/>
    </x:row>
    <x:row r="384">
      <x:c r="A384" s="28"/>
    </x:row>
    <x:row r="385">
      <x:c r="A385" s="28"/>
    </x:row>
    <x:row r="386">
      <x:c r="A386" s="28"/>
    </x:row>
    <x:row r="387">
      <x:c r="A387" s="28"/>
    </x:row>
    <x:row r="388">
      <x:c r="A388" s="28"/>
    </x:row>
    <x:row r="389">
      <x:c r="A389" s="28"/>
    </x:row>
    <x:row r="390">
      <x:c r="A390" s="28"/>
    </x:row>
    <x:row r="391">
      <x:c r="A391" s="28"/>
    </x:row>
    <x:row r="392">
      <x:c r="A392" s="28"/>
    </x:row>
    <x:row r="393">
      <x:c r="A393" s="28"/>
    </x:row>
    <x:row r="394">
      <x:c r="A394" s="28"/>
    </x:row>
    <x:row r="395">
      <x:c r="A395" s="28"/>
    </x:row>
    <x:row r="396">
      <x:c r="A396" s="28"/>
    </x:row>
    <x:row r="397">
      <x:c r="A397" s="28"/>
    </x:row>
    <x:row r="398">
      <x:c r="A398" s="28"/>
    </x:row>
    <x:row r="399">
      <x:c r="A399" s="28"/>
    </x:row>
    <x:row r="400">
      <x:c r="A400" s="28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374488f8add431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44" hidden="0" customWidth="1"/>
    <x:col min="5" max="5" width="42" hidden="0" customWidth="1"/>
    <x:col min="6" max="6" width="24" hidden="0" customWidth="1"/>
    <x:col min="7" max="7" width="12" hidden="0" customWidth="1"/>
  </x:cols>
  <x:sheetData>
    <x:row r="1" ht="28" customHeight="1">
      <x:c r="A1" s="38" t="str">
        <x:v>跨模块接口、同源去重与停止</x:v>
      </x:c>
      <x:c r="B1" s="5"/>
      <x:c r="C1" s="5"/>
      <x:c r="D1" s="5"/>
      <x:c r="E1" s="5"/>
      <x:c r="F1" s="5"/>
      <x:c r="G1" s="5"/>
    </x:row>
    <x:row r="2" ht="32" customHeight="1">
      <x:c r="A2" s="13" t="str">
        <x:v>BASE、EXPR、CARE、M2共享事实只计算一次基础权重；风险和适配必须路由到后续模型。</x:v>
      </x:c>
      <x:c r="B2" s="13"/>
      <x:c r="C2" s="13"/>
      <x:c r="D2" s="13"/>
      <x:c r="E2" s="13"/>
      <x:c r="F2" s="13"/>
      <x:c r="G2" s="13"/>
    </x:row>
    <x:row r="3">
      <x:c r="A3" s="28"/>
    </x:row>
    <x:row r="4">
      <x:c r="A4" s="22" t="str">
        <x:v>编号</x:v>
      </x:c>
      <x:c r="B4" s="22" t="str">
        <x:v>接口／门控</x:v>
      </x:c>
      <x:c r="C4" s="22" t="str">
        <x:v>关联模块</x:v>
      </x:c>
      <x:c r="D4" s="22" t="str">
        <x:v>内部规则</x:v>
      </x:c>
      <x:c r="E4" s="22" t="str">
        <x:v>用户语言</x:v>
      </x:c>
      <x:c r="F4" s="22" t="str">
        <x:v>输出字段</x:v>
      </x:c>
      <x:c r="G4" s="22" t="str">
        <x:v>置信度</x:v>
      </x:c>
    </x:row>
    <x:row r="5">
      <x:c r="A5" s="32" t="str">
        <x:v>IF01</x:v>
      </x:c>
      <x:c r="B5" s="32" t="str">
        <x:v>BASE同源接口｜底盘与BOUND共享一次权重</x:v>
      </x:c>
      <x:c r="C5" s="32" t="str">
        <x:v>M3-BASE</x:v>
      </x:c>
      <x:c r="D5" s="32" t="str">
        <x:v>同一个日支可同时说明关系底盘和边界功能，但基础事实只计一次。</x:v>
      </x:c>
      <x:c r="E5" s="32" t="str">
        <x:v>同一个关系底盘可以细化成边界方式，但不会被当成两份证据。</x:v>
      </x:c>
      <x:c r="F5" s="32" t="str">
        <x:v>provenance</x:v>
      </x:c>
      <x:c r="G5" s="32" t="str">
        <x:v>高</x:v>
      </x:c>
    </x:row>
    <x:row r="6">
      <x:c r="A6" s="32" t="str">
        <x:v>IF02</x:v>
      </x:c>
      <x:c r="B6" s="32" t="str">
        <x:v>BASE异源接口｜次边界通道可独立升级</x:v>
      </x:c>
      <x:c r="C6" s="32" t="str">
        <x:v>M3-BASE</x:v>
      </x:c>
      <x:c r="D6" s="32" t="str">
        <x:v>BASE主底盘与BOUND独立有效信号不同时，可保留一个真正有作用的补充通道。</x:v>
      </x:c>
      <x:c r="E6" s="32" t="str">
        <x:v>关系底盘和边界方式不完全相同时，可以保留一个有独立证据的补充方向。</x:v>
      </x:c>
      <x:c r="F6" s="32" t="str">
        <x:v>secondary_boundary_channel</x:v>
      </x:c>
      <x:c r="G6" s="32" t="str">
        <x:v>中高</x:v>
      </x:c>
    </x:row>
    <x:row r="7">
      <x:c r="A7" s="32" t="str">
        <x:v>IF03</x:v>
      </x:c>
      <x:c r="B7" s="32" t="str">
        <x:v>EXPR需求表达→BOUND执行复核</x:v>
      </x:c>
      <x:c r="C7" s="32" t="str">
        <x:v>M3-EXPR</x:v>
      </x:c>
      <x:c r="D7" s="32" t="str">
        <x:v>能说出需要以后，还要看是否能形成现实权限、拒绝或重订。</x:v>
      </x:c>
      <x:c r="E7" s="32" t="str">
        <x:v>你能把需要说出来，是边界的一部分；是否能执行还要继续看。</x:v>
      </x:c>
      <x:c r="F7" s="32" t="str">
        <x:v>need_expression</x:v>
      </x:c>
      <x:c r="G7" s="32" t="str">
        <x:v>高</x:v>
      </x:c>
    </x:row>
    <x:row r="8">
      <x:c r="A8" s="32" t="str">
        <x:v>IF04</x:v>
      </x:c>
      <x:c r="B8" s="32" t="str">
        <x:v>EXPR拒绝语言≠现实停止线</x:v>
      </x:c>
      <x:c r="C8" s="32" t="str">
        <x:v>M3-EXPR</x:v>
      </x:c>
      <x:c r="D8" s="32" t="str">
        <x:v>一次明确表态不能自动证明长期能够执行停止线。</x:v>
      </x:c>
      <x:c r="E8" s="32" t="str">
        <x:v>说得清楚不等于每次都能执行，实际边界还要看后续行动。</x:v>
      </x:c>
      <x:c r="F8" s="32" t="str">
        <x:v>refusal_style</x:v>
      </x:c>
      <x:c r="G8" s="32" t="str">
        <x:v>高</x:v>
      </x:c>
    </x:row>
    <x:row r="9">
      <x:c r="A9" s="32" t="str">
        <x:v>IF05</x:v>
      </x:c>
      <x:c r="B9" s="32" t="str">
        <x:v>CARE接受支持≠失去自主</x:v>
      </x:c>
      <x:c r="C9" s="32" t="str">
        <x:v>M3-CARE</x:v>
      </x:c>
      <x:c r="D9" s="32" t="str">
        <x:v>接受帮助需要与参与权、决定权和分享范围分开判断。</x:v>
      </x:c>
      <x:c r="E9" s="32" t="str">
        <x:v>你可以接受照顾，同时保留自己的判断和参与权。</x:v>
      </x:c>
      <x:c r="F9" s="32" t="str">
        <x:v>support_acceptance_boundary</x:v>
      </x:c>
      <x:c r="G9" s="32" t="str">
        <x:v>高</x:v>
      </x:c>
    </x:row>
    <x:row r="10">
      <x:c r="A10" s="32" t="str">
        <x:v>IF06</x:v>
      </x:c>
      <x:c r="B10" s="32" t="str">
        <x:v>CARE付出≠拥有对方权限</x:v>
      </x:c>
      <x:c r="C10" s="32" t="str">
        <x:v>M3-CARE</x:v>
      </x:c>
      <x:c r="D10" s="32" t="str">
        <x:v>投入时间、资源或责任不能自动换算成替对方决定的权利。</x:v>
      </x:c>
      <x:c r="E10" s="32" t="str">
        <x:v>你愿意付出，不代表你因此拥有替对方决定的权限。</x:v>
      </x:c>
      <x:c r="F10" s="32" t="str">
        <x:v>boundary_note</x:v>
      </x:c>
      <x:c r="G10" s="32" t="str">
        <x:v>高</x:v>
      </x:c>
    </x:row>
    <x:row r="11">
      <x:c r="A11" s="32" t="str">
        <x:v>IF07</x:v>
      </x:c>
      <x:c r="B11" s="32" t="str">
        <x:v>M2准入边界≠M3日常边界</x:v>
      </x:c>
      <x:c r="C11" s="32" t="str">
        <x:v>M2-关系选择</x:v>
      </x:c>
      <x:c r="D11" s="32" t="str">
        <x:v>进入关系前的门槛与进入关系后的权限安排必须分开。</x:v>
      </x:c>
      <x:c r="E11" s="32" t="str">
        <x:v>你选择关系时看重的条件，和相处后怎样分配权限，会分别判断。</x:v>
      </x:c>
      <x:c r="F11" s="32" t="str">
        <x:v>boundary_note</x:v>
      </x:c>
      <x:c r="G11" s="32" t="str">
        <x:v>高</x:v>
      </x:c>
    </x:row>
    <x:row r="12">
      <x:c r="A12" s="32" t="str">
        <x:v>IF08</x:v>
      </x:c>
      <x:c r="B12" s="32" t="str">
        <x:v>CONFLICT接口｜边界内容与冲突过程分开</x:v>
      </x:c>
      <x:c r="C12" s="32" t="str">
        <x:v>M3-CONFLICT</x:v>
      </x:c>
      <x:c r="D12" s="32" t="str">
        <x:v>BOUND负责什么不能越过；CONFLICT负责分歧出现后怎样回应。</x:v>
      </x:c>
      <x:c r="E12" s="32" t="str">
        <x:v>这里先说明你的限制内容，不直接判断你发生分歧时会怎样。</x:v>
      </x:c>
      <x:c r="F12" s="32" t="str">
        <x:v>boundary_note</x:v>
      </x:c>
      <x:c r="G12" s="32" t="str">
        <x:v>高</x:v>
      </x:c>
    </x:row>
    <x:row r="13">
      <x:c r="A13" s="32" t="str">
        <x:v>IF09</x:v>
      </x:c>
      <x:c r="B13" s="32" t="str">
        <x:v>REPAIR接口｜暂停与修复分开</x:v>
      </x:c>
      <x:c r="C13" s="32" t="str">
        <x:v>M3-REPAIR</x:v>
      </x:c>
      <x:c r="D13" s="32" t="str">
        <x:v>暂停回归候选不能直接替代修复链。</x:v>
      </x:c>
      <x:c r="E13" s="32" t="str">
        <x:v>你需要暂停，不等于拒绝关系；怎样重新联结会在修复模块继续判断。</x:v>
      </x:c>
      <x:c r="F13" s="32" t="str">
        <x:v>pause_return_style</x:v>
      </x:c>
      <x:c r="G13" s="32" t="str">
        <x:v>高</x:v>
      </x:c>
    </x:row>
    <x:row r="14">
      <x:c r="A14" s="32" t="str">
        <x:v>IF10</x:v>
      </x:c>
      <x:c r="B14" s="32" t="str">
        <x:v>STATE接口｜平稳主边界先确定</x:v>
      </x:c>
      <x:c r="C14" s="32" t="str">
        <x:v>M3-STATE</x:v>
      </x:c>
      <x:c r="D14" s="32" t="str">
        <x:v>先确定日常主通道，再读取压力抢先和恢复回归。</x:v>
      </x:c>
      <x:c r="E14" s="32" t="str">
        <x:v>会先看你平时怎样安排边界，再说明压力下是否切换。</x:v>
      </x:c>
      <x:c r="F14" s="32" t="str">
        <x:v>state_shift</x:v>
      </x:c>
      <x:c r="G14" s="32" t="str">
        <x:v>高</x:v>
      </x:c>
    </x:row>
    <x:row r="15">
      <x:c r="A15" s="32" t="str">
        <x:v>IF11</x:v>
      </x:c>
      <x:c r="B15" s="32" t="str">
        <x:v>STATE接口｜压力切换需要独立证据</x:v>
      </x:c>
      <x:c r="C15" s="32" t="str">
        <x:v>M3-STATE</x:v>
      </x:c>
      <x:c r="D15" s="32" t="str">
        <x:v>过旺、冲刑或七杀只提供压力候选，不能单独确定状态切换。</x:v>
      </x:c>
      <x:c r="E15" s="32" t="str">
        <x:v>压力下是否改变边界方式，需要两类以上证据支持。</x:v>
      </x:c>
      <x:c r="F15" s="32" t="str">
        <x:v>state_shift</x:v>
      </x:c>
      <x:c r="G15" s="32" t="str">
        <x:v>中高</x:v>
      </x:c>
    </x:row>
    <x:row r="16">
      <x:c r="A16" s="32" t="str">
        <x:v>IF12</x:v>
      </x:c>
      <x:c r="B16" s="32" t="str">
        <x:v>M4路由｜强通道占位候选</x:v>
      </x:c>
      <x:c r="C16" s="32" t="str">
        <x:v>M4-关系盲点</x:v>
      </x:c>
      <x:c r="D16" s="32" t="str">
        <x:v>强通道抢先、资源占位或执行困难只路由M4，不在BOUND定风险。</x:v>
      </x:c>
      <x:c r="E16" s="32" t="str">
        <x:v>这项边界方式可能很强，但是否形成控制、回避或消耗，要在M4判断。</x:v>
      </x:c>
      <x:c r="F16" s="32" t="str">
        <x:v>risk_route</x:v>
      </x:c>
      <x:c r="G16" s="32" t="str">
        <x:v>高</x:v>
      </x:c>
    </x:row>
    <x:row r="17">
      <x:c r="A17" s="32" t="str">
        <x:v>IF13</x:v>
      </x:c>
      <x:c r="B17" s="32" t="str">
        <x:v>M5接口｜BOUND不得直接给适配答案</x:v>
      </x:c>
      <x:c r="C17" s="32" t="str">
        <x:v>M5-适配关系</x:v>
      </x:c>
      <x:c r="D17" s="32" t="str">
        <x:v>边界节奏仅作为适配输入。</x:v>
      </x:c>
      <x:c r="E17" s="32" t="str">
        <x:v>你常用的距离和权限方式会影响适配，但不是最终适合结论。</x:v>
      </x:c>
      <x:c r="F17" s="32" t="str">
        <x:v>boundary_note</x:v>
      </x:c>
      <x:c r="G17" s="32" t="str">
        <x:v>高</x:v>
      </x:c>
    </x:row>
    <x:row r="18">
      <x:c r="A18" s="32" t="str">
        <x:v>IF14</x:v>
      </x:c>
      <x:c r="B18" s="32" t="str">
        <x:v>夫妻星入日支｜选择—相处边界连续性</x:v>
      </x:c>
      <x:c r="C18" s="32" t="str">
        <x:v>夫妻星入宫</x:v>
      </x:c>
      <x:c r="D18" s="32" t="str">
        <x:v>夫妻星入宫可形成M2选择与M3角色／资源边界连续性，但同源去重。</x:v>
      </x:c>
      <x:c r="E18" s="32" t="str">
        <x:v>你选择关系时看重的责任、行动或投入，进入关系后也可能成为共同规则。</x:v>
      </x:c>
      <x:c r="F18" s="32" t="str">
        <x:v>provenance</x:v>
      </x:c>
      <x:c r="G18" s="32" t="str">
        <x:v>中高</x:v>
      </x:c>
    </x:row>
    <x:row r="19">
      <x:c r="A19" s="32" t="str">
        <x:v>IF15</x:v>
      </x:c>
      <x:c r="B19" s="32" t="str">
        <x:v>source_id与同系统去重｜共享事实只计一次</x:v>
      </x:c>
      <x:c r="C19" s="32" t="str">
        <x:v>同源去重</x:v>
      </x:c>
      <x:c r="D19" s="32" t="str">
        <x:v>同一source_id、同根透藏或正偏同系统先收敛，再判断风格分工。</x:v>
      </x:c>
      <x:c r="E19" s="32" t="str">
        <x:v>同一事实可以从不同角度解释，但不会重复抬高置信度。</x:v>
      </x:c>
      <x:c r="F19" s="32" t="str">
        <x:v>provenance</x:v>
      </x:c>
      <x:c r="G19" s="32" t="str">
        <x:v>高</x:v>
      </x:c>
    </x:row>
    <x:row r="20">
      <x:c r="A20" s="32" t="str">
        <x:v>IF16</x:v>
      </x:c>
      <x:c r="B20" s="32" t="str">
        <x:v>停止与有限回退｜基础争议时只到系统层</x:v>
      </x:c>
      <x:c r="C20" s="32" t="str">
        <x:v>停止／回退</x:v>
      </x:c>
      <x:c r="D20" s="32" t="str">
        <x:v>真合化未定、日支主气争议、旺衰关键未定或只有弱远信号时停止十神级输出。</x:v>
      </x:c>
      <x:c r="E20" s="32" t="str">
        <x:v>关键基础还没有确定时，只会保留系统级方向，不会硬写固定边界模式。</x:v>
      </x:c>
      <x:c r="F20" s="32" t="str">
        <x:v>report_status</x:v>
      </x:c>
      <x:c r="G20" s="32" t="str">
        <x:v>高</x:v>
      </x:c>
    </x:row>
    <x:row r="21">
      <x:c r="A21" s="28"/>
    </x:row>
    <x:row r="22">
      <x:c r="A22" s="28"/>
    </x:row>
    <x:row r="23">
      <x:c r="A23" s="28"/>
    </x:row>
    <x:row r="24">
      <x:c r="A24" s="28"/>
    </x:row>
    <x:row r="25">
      <x:c r="A25" s="28"/>
    </x:row>
    <x:row r="26">
      <x:c r="A26" s="28"/>
    </x:row>
    <x:row r="27">
      <x:c r="A27" s="28"/>
    </x:row>
    <x:row r="28">
      <x:c r="A28" s="28"/>
    </x:row>
    <x:row r="29">
      <x:c r="A29" s="28"/>
    </x:row>
    <x:row r="30">
      <x:c r="A30" s="28"/>
    </x:row>
    <x:row r="31">
      <x:c r="A31" s="28"/>
    </x:row>
    <x:row r="32">
      <x:c r="A32" s="28"/>
    </x:row>
    <x:row r="33">
      <x:c r="A33" s="28"/>
    </x:row>
    <x:row r="34">
      <x:c r="A34" s="28"/>
    </x:row>
    <x:row r="35">
      <x:c r="A35" s="28"/>
    </x:row>
    <x:row r="36">
      <x:c r="A36" s="28"/>
    </x:row>
    <x:row r="37">
      <x:c r="A37" s="28"/>
    </x:row>
    <x:row r="38">
      <x:c r="A38" s="28"/>
    </x:row>
    <x:row r="39">
      <x:c r="A39" s="28"/>
    </x:row>
    <x:row r="40">
      <x:c r="A40" s="28"/>
    </x:row>
    <x:row r="41">
      <x:c r="A41" s="28"/>
    </x:row>
    <x:row r="42">
      <x:c r="A42" s="28"/>
    </x:row>
    <x:row r="43">
      <x:c r="A43" s="28"/>
    </x:row>
    <x:row r="44">
      <x:c r="A44" s="28"/>
    </x:row>
    <x:row r="45">
      <x:c r="A45" s="28"/>
    </x:row>
    <x:row r="46">
      <x:c r="A46" s="28"/>
    </x:row>
    <x:row r="47">
      <x:c r="A47" s="28"/>
    </x:row>
    <x:row r="48">
      <x:c r="A48" s="28"/>
    </x:row>
    <x:row r="49">
      <x:c r="A49" s="28"/>
    </x:row>
    <x:row r="50">
      <x:c r="A50" s="28"/>
    </x:row>
    <x:row r="51">
      <x:c r="A51" s="28"/>
    </x:row>
    <x:row r="52">
      <x:c r="A52" s="28"/>
    </x:row>
    <x:row r="53">
      <x:c r="A53" s="28"/>
    </x:row>
    <x:row r="54">
      <x:c r="A54" s="28"/>
    </x:row>
    <x:row r="55">
      <x:c r="A55" s="28"/>
    </x:row>
    <x:row r="56">
      <x:c r="A56" s="28"/>
    </x:row>
    <x:row r="57">
      <x:c r="A57" s="28"/>
    </x:row>
    <x:row r="58">
      <x:c r="A58" s="28"/>
    </x:row>
    <x:row r="59">
      <x:c r="A59" s="28"/>
    </x:row>
    <x:row r="60">
      <x:c r="A60" s="28"/>
    </x:row>
    <x:row r="61">
      <x:c r="A61" s="28"/>
    </x:row>
    <x:row r="62">
      <x:c r="A62" s="28"/>
    </x:row>
    <x:row r="63">
      <x:c r="A63" s="28"/>
    </x:row>
    <x:row r="64">
      <x:c r="A64" s="28"/>
    </x:row>
    <x:row r="65">
      <x:c r="A65" s="28"/>
    </x:row>
    <x:row r="66">
      <x:c r="A66" s="28"/>
    </x:row>
    <x:row r="67">
      <x:c r="A67" s="28"/>
    </x:row>
    <x:row r="68">
      <x:c r="A68" s="28"/>
    </x:row>
    <x:row r="69">
      <x:c r="A69" s="28"/>
    </x:row>
    <x:row r="70">
      <x:c r="A70" s="28"/>
    </x:row>
    <x:row r="71">
      <x:c r="A71" s="28"/>
    </x:row>
    <x:row r="72">
      <x:c r="A72" s="28"/>
    </x:row>
    <x:row r="73">
      <x:c r="A73" s="28"/>
    </x:row>
    <x:row r="74">
      <x:c r="A74" s="28"/>
    </x:row>
    <x:row r="75">
      <x:c r="A75" s="28"/>
    </x:row>
    <x:row r="76">
      <x:c r="A76" s="28"/>
    </x:row>
    <x:row r="77">
      <x:c r="A77" s="28"/>
    </x:row>
    <x:row r="78">
      <x:c r="A78" s="28"/>
    </x:row>
    <x:row r="79">
      <x:c r="A79" s="28"/>
    </x:row>
    <x:row r="80">
      <x:c r="A80" s="28"/>
    </x:row>
    <x:row r="81">
      <x:c r="A81" s="28"/>
    </x:row>
    <x:row r="82">
      <x:c r="A82" s="28"/>
    </x:row>
    <x:row r="83">
      <x:c r="A83" s="28"/>
    </x:row>
    <x:row r="84">
      <x:c r="A84" s="28"/>
    </x:row>
    <x:row r="85">
      <x:c r="A85" s="28"/>
    </x:row>
    <x:row r="86">
      <x:c r="A86" s="28"/>
    </x:row>
    <x:row r="87">
      <x:c r="A87" s="28"/>
    </x:row>
    <x:row r="88">
      <x:c r="A88" s="28"/>
    </x:row>
    <x:row r="89">
      <x:c r="A89" s="28"/>
    </x:row>
    <x:row r="90">
      <x:c r="A90" s="28"/>
    </x:row>
    <x:row r="91">
      <x:c r="A91" s="28"/>
    </x:row>
    <x:row r="92">
      <x:c r="A92" s="28"/>
    </x:row>
    <x:row r="93">
      <x:c r="A93" s="28"/>
    </x:row>
    <x:row r="94">
      <x:c r="A94" s="28"/>
    </x:row>
    <x:row r="95">
      <x:c r="A95" s="28"/>
    </x:row>
    <x:row r="96">
      <x:c r="A96" s="28"/>
    </x:row>
    <x:row r="97">
      <x:c r="A97" s="28"/>
    </x:row>
    <x:row r="98">
      <x:c r="A98" s="28"/>
    </x:row>
    <x:row r="99">
      <x:c r="A99" s="28"/>
    </x:row>
    <x:row r="100">
      <x:c r="A100" s="28"/>
    </x:row>
    <x:row r="101">
      <x:c r="A101" s="28"/>
    </x:row>
    <x:row r="102">
      <x:c r="A102" s="28"/>
    </x:row>
    <x:row r="103">
      <x:c r="A103" s="28"/>
    </x:row>
    <x:row r="104">
      <x:c r="A104" s="28"/>
    </x:row>
    <x:row r="105">
      <x:c r="A105" s="28"/>
    </x:row>
    <x:row r="106">
      <x:c r="A106" s="28"/>
    </x:row>
    <x:row r="107">
      <x:c r="A107" s="28"/>
    </x:row>
    <x:row r="108">
      <x:c r="A108" s="28"/>
    </x:row>
    <x:row r="109">
      <x:c r="A109" s="28"/>
    </x:row>
    <x:row r="110">
      <x:c r="A110" s="28"/>
    </x:row>
    <x:row r="111">
      <x:c r="A111" s="28"/>
    </x:row>
    <x:row r="112">
      <x:c r="A112" s="28"/>
    </x:row>
    <x:row r="113">
      <x:c r="A113" s="28"/>
    </x:row>
    <x:row r="114">
      <x:c r="A114" s="28"/>
    </x:row>
    <x:row r="115">
      <x:c r="A115" s="28"/>
    </x:row>
    <x:row r="116">
      <x:c r="A116" s="28"/>
    </x:row>
    <x:row r="117">
      <x:c r="A117" s="28"/>
    </x:row>
    <x:row r="118">
      <x:c r="A118" s="28"/>
    </x:row>
    <x:row r="119">
      <x:c r="A119" s="28"/>
    </x:row>
    <x:row r="120">
      <x:c r="A120" s="28"/>
    </x:row>
    <x:row r="121">
      <x:c r="A121" s="28"/>
    </x:row>
    <x:row r="122">
      <x:c r="A122" s="28"/>
    </x:row>
    <x:row r="123">
      <x:c r="A123" s="28"/>
    </x:row>
    <x:row r="124">
      <x:c r="A124" s="28"/>
    </x:row>
    <x:row r="125">
      <x:c r="A125" s="28"/>
    </x:row>
    <x:row r="126">
      <x:c r="A126" s="28"/>
    </x:row>
    <x:row r="127">
      <x:c r="A127" s="28"/>
    </x:row>
    <x:row r="128">
      <x:c r="A128" s="28"/>
    </x:row>
    <x:row r="129">
      <x:c r="A129" s="28"/>
    </x:row>
    <x:row r="130">
      <x:c r="A130" s="28"/>
    </x:row>
    <x:row r="131">
      <x:c r="A131" s="28"/>
    </x:row>
    <x:row r="132">
      <x:c r="A132" s="28"/>
    </x:row>
    <x:row r="133">
      <x:c r="A133" s="28"/>
    </x:row>
    <x:row r="134">
      <x:c r="A134" s="28"/>
    </x:row>
    <x:row r="135">
      <x:c r="A135" s="28"/>
    </x:row>
    <x:row r="136">
      <x:c r="A136" s="28"/>
    </x:row>
    <x:row r="137">
      <x:c r="A137" s="28"/>
    </x:row>
    <x:row r="138">
      <x:c r="A138" s="28"/>
    </x:row>
    <x:row r="139">
      <x:c r="A139" s="28"/>
    </x:row>
    <x:row r="140">
      <x:c r="A140" s="28"/>
    </x:row>
    <x:row r="141">
      <x:c r="A141" s="28"/>
    </x:row>
    <x:row r="142">
      <x:c r="A142" s="28"/>
    </x:row>
    <x:row r="143">
      <x:c r="A143" s="28"/>
    </x:row>
    <x:row r="144">
      <x:c r="A144" s="28"/>
    </x:row>
    <x:row r="145">
      <x:c r="A145" s="28"/>
    </x:row>
    <x:row r="146">
      <x:c r="A146" s="28"/>
    </x:row>
    <x:row r="147">
      <x:c r="A147" s="28"/>
    </x:row>
    <x:row r="148">
      <x:c r="A148" s="28"/>
    </x:row>
    <x:row r="149">
      <x:c r="A149" s="28"/>
    </x:row>
    <x:row r="150">
      <x:c r="A150" s="28"/>
    </x:row>
    <x:row r="151">
      <x:c r="A151" s="28"/>
    </x:row>
    <x:row r="152">
      <x:c r="A152" s="28"/>
    </x:row>
    <x:row r="153">
      <x:c r="A153" s="28"/>
    </x:row>
    <x:row r="154">
      <x:c r="A154" s="28"/>
    </x:row>
    <x:row r="155">
      <x:c r="A155" s="28"/>
    </x:row>
    <x:row r="156">
      <x:c r="A156" s="28"/>
    </x:row>
    <x:row r="157">
      <x:c r="A157" s="28"/>
    </x:row>
    <x:row r="158">
      <x:c r="A158" s="28"/>
    </x:row>
    <x:row r="159">
      <x:c r="A159" s="28"/>
    </x:row>
    <x:row r="160">
      <x:c r="A160" s="28"/>
    </x:row>
    <x:row r="161">
      <x:c r="A161" s="28"/>
    </x:row>
    <x:row r="162">
      <x:c r="A162" s="28"/>
    </x:row>
    <x:row r="163">
      <x:c r="A163" s="28"/>
    </x:row>
    <x:row r="164">
      <x:c r="A164" s="28"/>
    </x:row>
    <x:row r="165">
      <x:c r="A165" s="28"/>
    </x:row>
    <x:row r="166">
      <x:c r="A166" s="28"/>
    </x:row>
    <x:row r="167">
      <x:c r="A167" s="28"/>
    </x:row>
    <x:row r="168">
      <x:c r="A168" s="28"/>
    </x:row>
    <x:row r="169">
      <x:c r="A169" s="28"/>
    </x:row>
    <x:row r="170">
      <x:c r="A170" s="28"/>
    </x:row>
    <x:row r="171">
      <x:c r="A171" s="28"/>
    </x:row>
    <x:row r="172">
      <x:c r="A172" s="28"/>
    </x:row>
    <x:row r="173">
      <x:c r="A173" s="28"/>
    </x:row>
    <x:row r="174">
      <x:c r="A174" s="28"/>
    </x:row>
    <x:row r="175">
      <x:c r="A175" s="28"/>
    </x:row>
    <x:row r="176">
      <x:c r="A176" s="28"/>
    </x:row>
    <x:row r="177">
      <x:c r="A177" s="28"/>
    </x:row>
    <x:row r="178">
      <x:c r="A178" s="28"/>
    </x:row>
    <x:row r="179">
      <x:c r="A179" s="28"/>
    </x:row>
    <x:row r="180">
      <x:c r="A180" s="28"/>
    </x:row>
    <x:row r="181">
      <x:c r="A181" s="28"/>
    </x:row>
    <x:row r="182">
      <x:c r="A182" s="28"/>
    </x:row>
    <x:row r="183">
      <x:c r="A183" s="28"/>
    </x:row>
    <x:row r="184">
      <x:c r="A184" s="28"/>
    </x:row>
    <x:row r="185">
      <x:c r="A185" s="28"/>
    </x:row>
    <x:row r="186">
      <x:c r="A186" s="28"/>
    </x:row>
    <x:row r="187">
      <x:c r="A187" s="28"/>
    </x:row>
    <x:row r="188">
      <x:c r="A188" s="28"/>
    </x:row>
    <x:row r="189">
      <x:c r="A189" s="28"/>
    </x:row>
    <x:row r="190">
      <x:c r="A190" s="28"/>
    </x:row>
    <x:row r="191">
      <x:c r="A191" s="28"/>
    </x:row>
    <x:row r="192">
      <x:c r="A192" s="28"/>
    </x:row>
    <x:row r="193">
      <x:c r="A193" s="28"/>
    </x:row>
    <x:row r="194">
      <x:c r="A194" s="28"/>
    </x:row>
    <x:row r="195">
      <x:c r="A195" s="28"/>
    </x:row>
    <x:row r="196">
      <x:c r="A196" s="28"/>
    </x:row>
    <x:row r="197">
      <x:c r="A197" s="28"/>
    </x:row>
    <x:row r="198">
      <x:c r="A198" s="28"/>
    </x:row>
    <x:row r="199">
      <x:c r="A199" s="28"/>
    </x:row>
    <x:row r="200">
      <x:c r="A200" s="28"/>
    </x:row>
    <x:row r="201">
      <x:c r="A201" s="28"/>
    </x:row>
    <x:row r="202">
      <x:c r="A202" s="28"/>
    </x:row>
    <x:row r="203">
      <x:c r="A203" s="28"/>
    </x:row>
    <x:row r="204">
      <x:c r="A204" s="28"/>
    </x:row>
    <x:row r="205">
      <x:c r="A205" s="28"/>
    </x:row>
    <x:row r="206">
      <x:c r="A206" s="28"/>
    </x:row>
    <x:row r="207">
      <x:c r="A207" s="28"/>
    </x:row>
    <x:row r="208">
      <x:c r="A208" s="28"/>
    </x:row>
    <x:row r="209">
      <x:c r="A209" s="28"/>
    </x:row>
    <x:row r="210">
      <x:c r="A210" s="28"/>
    </x:row>
    <x:row r="211">
      <x:c r="A211" s="28"/>
    </x:row>
    <x:row r="212">
      <x:c r="A212" s="28"/>
    </x:row>
    <x:row r="213">
      <x:c r="A213" s="28"/>
    </x:row>
    <x:row r="214">
      <x:c r="A214" s="28"/>
    </x:row>
    <x:row r="215">
      <x:c r="A215" s="28"/>
    </x:row>
    <x:row r="216">
      <x:c r="A216" s="28"/>
    </x:row>
    <x:row r="217">
      <x:c r="A217" s="28"/>
    </x:row>
    <x:row r="218">
      <x:c r="A218" s="28"/>
    </x:row>
    <x:row r="219">
      <x:c r="A219" s="28"/>
    </x:row>
    <x:row r="220">
      <x:c r="A220" s="28"/>
    </x:row>
    <x:row r="221">
      <x:c r="A221" s="28"/>
    </x:row>
    <x:row r="222">
      <x:c r="A222" s="28"/>
    </x:row>
    <x:row r="223">
      <x:c r="A223" s="28"/>
    </x:row>
    <x:row r="224">
      <x:c r="A224" s="28"/>
    </x:row>
    <x:row r="225">
      <x:c r="A225" s="28"/>
    </x:row>
    <x:row r="226">
      <x:c r="A226" s="28"/>
    </x:row>
    <x:row r="227">
      <x:c r="A227" s="28"/>
    </x:row>
    <x:row r="228">
      <x:c r="A228" s="28"/>
    </x:row>
    <x:row r="229">
      <x:c r="A229" s="28"/>
    </x:row>
    <x:row r="230">
      <x:c r="A230" s="28"/>
    </x:row>
    <x:row r="231">
      <x:c r="A231" s="28"/>
    </x:row>
    <x:row r="232">
      <x:c r="A232" s="28"/>
    </x:row>
    <x:row r="233">
      <x:c r="A233" s="28"/>
    </x:row>
    <x:row r="234">
      <x:c r="A234" s="28"/>
    </x:row>
    <x:row r="235">
      <x:c r="A235" s="28"/>
    </x:row>
    <x:row r="236">
      <x:c r="A236" s="28"/>
    </x:row>
    <x:row r="237">
      <x:c r="A237" s="28"/>
    </x:row>
    <x:row r="238">
      <x:c r="A238" s="28"/>
    </x:row>
    <x:row r="239">
      <x:c r="A239" s="28"/>
    </x:row>
    <x:row r="240">
      <x:c r="A240" s="28"/>
    </x:row>
    <x:row r="241">
      <x:c r="A241" s="28"/>
    </x:row>
    <x:row r="242">
      <x:c r="A242" s="28"/>
    </x:row>
    <x:row r="243">
      <x:c r="A243" s="28"/>
    </x:row>
    <x:row r="244">
      <x:c r="A244" s="28"/>
    </x:row>
    <x:row r="245">
      <x:c r="A245" s="28"/>
    </x:row>
    <x:row r="246">
      <x:c r="A246" s="28"/>
    </x:row>
    <x:row r="247">
      <x:c r="A247" s="28"/>
    </x:row>
    <x:row r="248">
      <x:c r="A248" s="28"/>
    </x:row>
    <x:row r="249">
      <x:c r="A249" s="28"/>
    </x:row>
    <x:row r="250">
      <x:c r="A250" s="28"/>
    </x:row>
    <x:row r="251">
      <x:c r="A251" s="28"/>
    </x:row>
    <x:row r="252">
      <x:c r="A252" s="28"/>
    </x:row>
    <x:row r="253">
      <x:c r="A253" s="28"/>
    </x:row>
    <x:row r="254">
      <x:c r="A254" s="28"/>
    </x:row>
    <x:row r="255">
      <x:c r="A255" s="28"/>
    </x:row>
    <x:row r="256">
      <x:c r="A256" s="28"/>
    </x:row>
    <x:row r="257">
      <x:c r="A257" s="28"/>
    </x:row>
    <x:row r="258">
      <x:c r="A258" s="28"/>
    </x:row>
    <x:row r="259">
      <x:c r="A259" s="28"/>
    </x:row>
    <x:row r="260">
      <x:c r="A260" s="28"/>
    </x:row>
    <x:row r="261">
      <x:c r="A261" s="28"/>
    </x:row>
    <x:row r="262">
      <x:c r="A262" s="28"/>
    </x:row>
    <x:row r="263">
      <x:c r="A263" s="28"/>
    </x:row>
    <x:row r="264">
      <x:c r="A264" s="28"/>
    </x:row>
    <x:row r="265">
      <x:c r="A265" s="28"/>
    </x:row>
    <x:row r="266">
      <x:c r="A266" s="28"/>
    </x:row>
    <x:row r="267">
      <x:c r="A267" s="28"/>
    </x:row>
    <x:row r="268">
      <x:c r="A268" s="28"/>
    </x:row>
    <x:row r="269">
      <x:c r="A269" s="28"/>
    </x:row>
    <x:row r="270">
      <x:c r="A270" s="28"/>
    </x:row>
    <x:row r="271">
      <x:c r="A271" s="28"/>
    </x:row>
    <x:row r="272">
      <x:c r="A272" s="28"/>
    </x:row>
    <x:row r="273">
      <x:c r="A273" s="28"/>
    </x:row>
    <x:row r="274">
      <x:c r="A274" s="28"/>
    </x:row>
    <x:row r="275">
      <x:c r="A275" s="28"/>
    </x:row>
    <x:row r="276">
      <x:c r="A276" s="28"/>
    </x:row>
    <x:row r="277">
      <x:c r="A277" s="28"/>
    </x:row>
    <x:row r="278">
      <x:c r="A278" s="28"/>
    </x:row>
    <x:row r="279">
      <x:c r="A279" s="28"/>
    </x:row>
    <x:row r="280">
      <x:c r="A280" s="28"/>
    </x:row>
    <x:row r="281">
      <x:c r="A281" s="28"/>
    </x:row>
    <x:row r="282">
      <x:c r="A282" s="28"/>
    </x:row>
    <x:row r="283">
      <x:c r="A283" s="28"/>
    </x:row>
    <x:row r="284">
      <x:c r="A284" s="28"/>
    </x:row>
    <x:row r="285">
      <x:c r="A285" s="28"/>
    </x:row>
    <x:row r="286">
      <x:c r="A286" s="28"/>
    </x:row>
    <x:row r="287">
      <x:c r="A287" s="28"/>
    </x:row>
    <x:row r="288">
      <x:c r="A288" s="28"/>
    </x:row>
    <x:row r="289">
      <x:c r="A289" s="28"/>
    </x:row>
    <x:row r="290">
      <x:c r="A290" s="28"/>
    </x:row>
    <x:row r="291">
      <x:c r="A291" s="28"/>
    </x:row>
    <x:row r="292">
      <x:c r="A292" s="28"/>
    </x:row>
    <x:row r="293">
      <x:c r="A293" s="28"/>
    </x:row>
    <x:row r="294">
      <x:c r="A294" s="28"/>
    </x:row>
    <x:row r="295">
      <x:c r="A295" s="28"/>
    </x:row>
    <x:row r="296">
      <x:c r="A296" s="28"/>
    </x:row>
    <x:row r="297">
      <x:c r="A297" s="28"/>
    </x:row>
    <x:row r="298">
      <x:c r="A298" s="28"/>
    </x:row>
    <x:row r="299">
      <x:c r="A299" s="28"/>
    </x:row>
    <x:row r="300">
      <x:c r="A300" s="28"/>
    </x:row>
    <x:row r="301">
      <x:c r="A301" s="28"/>
    </x:row>
    <x:row r="302">
      <x:c r="A302" s="28"/>
    </x:row>
    <x:row r="303">
      <x:c r="A303" s="28"/>
    </x:row>
    <x:row r="304">
      <x:c r="A304" s="28"/>
    </x:row>
    <x:row r="305">
      <x:c r="A305" s="28"/>
    </x:row>
    <x:row r="306">
      <x:c r="A306" s="28"/>
    </x:row>
    <x:row r="307">
      <x:c r="A307" s="28"/>
    </x:row>
    <x:row r="308">
      <x:c r="A308" s="28"/>
    </x:row>
    <x:row r="309">
      <x:c r="A309" s="28"/>
    </x:row>
    <x:row r="310">
      <x:c r="A310" s="28"/>
    </x:row>
    <x:row r="311">
      <x:c r="A311" s="28"/>
    </x:row>
    <x:row r="312">
      <x:c r="A312" s="28"/>
    </x:row>
    <x:row r="313">
      <x:c r="A313" s="28"/>
    </x:row>
    <x:row r="314">
      <x:c r="A314" s="28"/>
    </x:row>
    <x:row r="315">
      <x:c r="A315" s="28"/>
    </x:row>
    <x:row r="316">
      <x:c r="A316" s="28"/>
    </x:row>
    <x:row r="317">
      <x:c r="A317" s="28"/>
    </x:row>
    <x:row r="318">
      <x:c r="A318" s="28"/>
    </x:row>
    <x:row r="319">
      <x:c r="A319" s="28"/>
    </x:row>
    <x:row r="320">
      <x:c r="A320" s="28"/>
    </x:row>
    <x:row r="321">
      <x:c r="A321" s="28"/>
    </x:row>
    <x:row r="322">
      <x:c r="A322" s="28"/>
    </x:row>
    <x:row r="323">
      <x:c r="A323" s="28"/>
    </x:row>
    <x:row r="324">
      <x:c r="A324" s="28"/>
    </x:row>
    <x:row r="325">
      <x:c r="A325" s="28"/>
    </x:row>
    <x:row r="326">
      <x:c r="A326" s="28"/>
    </x:row>
    <x:row r="327">
      <x:c r="A327" s="28"/>
    </x:row>
    <x:row r="328">
      <x:c r="A328" s="28"/>
    </x:row>
    <x:row r="329">
      <x:c r="A329" s="28"/>
    </x:row>
    <x:row r="330">
      <x:c r="A330" s="28"/>
    </x:row>
    <x:row r="331">
      <x:c r="A331" s="28"/>
    </x:row>
    <x:row r="332">
      <x:c r="A332" s="28"/>
    </x:row>
    <x:row r="333">
      <x:c r="A333" s="28"/>
    </x:row>
    <x:row r="334">
      <x:c r="A334" s="28"/>
    </x:row>
    <x:row r="335">
      <x:c r="A335" s="28"/>
    </x:row>
    <x:row r="336">
      <x:c r="A336" s="28"/>
    </x:row>
    <x:row r="337">
      <x:c r="A337" s="28"/>
    </x:row>
    <x:row r="338">
      <x:c r="A338" s="28"/>
    </x:row>
    <x:row r="339">
      <x:c r="A339" s="28"/>
    </x:row>
    <x:row r="340">
      <x:c r="A340" s="28"/>
    </x:row>
    <x:row r="341">
      <x:c r="A341" s="28"/>
    </x:row>
    <x:row r="342">
      <x:c r="A342" s="28"/>
    </x:row>
    <x:row r="343">
      <x:c r="A343" s="28"/>
    </x:row>
    <x:row r="344">
      <x:c r="A344" s="28"/>
    </x:row>
    <x:row r="345">
      <x:c r="A345" s="28"/>
    </x:row>
    <x:row r="346">
      <x:c r="A346" s="28"/>
    </x:row>
    <x:row r="347">
      <x:c r="A347" s="28"/>
    </x:row>
    <x:row r="348">
      <x:c r="A348" s="28"/>
    </x:row>
    <x:row r="349">
      <x:c r="A349" s="28"/>
    </x:row>
    <x:row r="350">
      <x:c r="A350" s="28"/>
    </x:row>
    <x:row r="351">
      <x:c r="A351" s="28"/>
    </x:row>
    <x:row r="352">
      <x:c r="A352" s="28"/>
    </x:row>
    <x:row r="353">
      <x:c r="A353" s="28"/>
    </x:row>
    <x:row r="354">
      <x:c r="A354" s="28"/>
    </x:row>
    <x:row r="355">
      <x:c r="A355" s="28"/>
    </x:row>
    <x:row r="356">
      <x:c r="A356" s="28"/>
    </x:row>
    <x:row r="357">
      <x:c r="A357" s="28"/>
    </x:row>
    <x:row r="358">
      <x:c r="A358" s="28"/>
    </x:row>
    <x:row r="359">
      <x:c r="A359" s="28"/>
    </x:row>
    <x:row r="360">
      <x:c r="A360" s="28"/>
    </x:row>
    <x:row r="361">
      <x:c r="A361" s="28"/>
    </x:row>
    <x:row r="362">
      <x:c r="A362" s="28"/>
    </x:row>
    <x:row r="363">
      <x:c r="A363" s="28"/>
    </x:row>
    <x:row r="364">
      <x:c r="A364" s="28"/>
    </x:row>
    <x:row r="365">
      <x:c r="A365" s="28"/>
    </x:row>
    <x:row r="366">
      <x:c r="A366" s="28"/>
    </x:row>
    <x:row r="367">
      <x:c r="A367" s="28"/>
    </x:row>
    <x:row r="368">
      <x:c r="A368" s="28"/>
    </x:row>
    <x:row r="369">
      <x:c r="A369" s="28"/>
    </x:row>
    <x:row r="370">
      <x:c r="A370" s="28"/>
    </x:row>
    <x:row r="371">
      <x:c r="A371" s="28"/>
    </x:row>
    <x:row r="372">
      <x:c r="A372" s="28"/>
    </x:row>
    <x:row r="373">
      <x:c r="A373" s="28"/>
    </x:row>
    <x:row r="374">
      <x:c r="A374" s="28"/>
    </x:row>
    <x:row r="375">
      <x:c r="A375" s="28"/>
    </x:row>
    <x:row r="376">
      <x:c r="A376" s="28"/>
    </x:row>
    <x:row r="377">
      <x:c r="A377" s="28"/>
    </x:row>
    <x:row r="378">
      <x:c r="A378" s="28"/>
    </x:row>
    <x:row r="379">
      <x:c r="A379" s="28"/>
    </x:row>
    <x:row r="380">
      <x:c r="A380" s="28"/>
    </x:row>
    <x:row r="381">
      <x:c r="A381" s="28"/>
    </x:row>
    <x:row r="382">
      <x:c r="A382" s="28"/>
    </x:row>
    <x:row r="383">
      <x:c r="A383" s="28"/>
    </x:row>
    <x:row r="384">
      <x:c r="A384" s="28"/>
    </x:row>
    <x:row r="385">
      <x:c r="A385" s="28"/>
    </x:row>
    <x:row r="386">
      <x:c r="A386" s="28"/>
    </x:row>
    <x:row r="387">
      <x:c r="A387" s="28"/>
    </x:row>
    <x:row r="388">
      <x:c r="A388" s="28"/>
    </x:row>
    <x:row r="389">
      <x:c r="A389" s="28"/>
    </x:row>
    <x:row r="390">
      <x:c r="A390" s="28"/>
    </x:row>
    <x:row r="391">
      <x:c r="A391" s="28"/>
    </x:row>
    <x:row r="392">
      <x:c r="A392" s="28"/>
    </x:row>
    <x:row r="393">
      <x:c r="A393" s="28"/>
    </x:row>
    <x:row r="394">
      <x:c r="A394" s="28"/>
    </x:row>
    <x:row r="395">
      <x:c r="A395" s="28"/>
    </x:row>
    <x:row r="396">
      <x:c r="A396" s="28"/>
    </x:row>
    <x:row r="397">
      <x:c r="A397" s="28"/>
    </x:row>
    <x:row r="398">
      <x:c r="A398" s="28"/>
    </x:row>
    <x:row r="399">
      <x:c r="A399" s="28"/>
    </x:row>
    <x:row r="400">
      <x:c r="A400" s="28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8e050e72031486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22" hidden="0" customWidth="1"/>
    <x:col min="4" max="4" width="24" hidden="0" customWidth="1"/>
    <x:col min="5" max="5" width="14" hidden="0" customWidth="1"/>
    <x:col min="6" max="6" width="18" hidden="0" customWidth="1"/>
    <x:col min="7" max="7" width="20" hidden="0" customWidth="1"/>
    <x:col min="8" max="8" width="20" hidden="0" customWidth="1"/>
    <x:col min="9" max="9" width="42" hidden="0" customWidth="1"/>
    <x:col min="10" max="10" width="36" hidden="0" customWidth="1"/>
    <x:col min="11" max="11" width="28" hidden="0" customWidth="1"/>
    <x:col min="12" max="12" width="28" hidden="0" customWidth="1"/>
    <x:col min="13" max="13" width="28" hidden="0" customWidth="1"/>
    <x:col min="14" max="14" width="26" hidden="0" customWidth="1"/>
    <x:col min="15" max="15" width="24" hidden="0" customWidth="1"/>
    <x:col min="16" max="16" width="18" hidden="0" customWidth="1"/>
    <x:col min="17" max="17" width="18" hidden="0" customWidth="1"/>
    <x:col min="18" max="18" width="26" hidden="0" customWidth="1"/>
    <x:col min="19" max="19" width="26" hidden="0" customWidth="1"/>
    <x:col min="20" max="20" width="18" hidden="0" customWidth="1"/>
    <x:col min="21" max="21" width="10" hidden="0" customWidth="1"/>
    <x:col min="22" max="22" width="20" hidden="0" customWidth="1"/>
    <x:col min="23" max="23" width="24" hidden="0" customWidth="1"/>
    <x:col min="24" max="24" width="48" hidden="0" customWidth="1"/>
    <x:col min="25" max="25" width="48" hidden="0" customWidth="1"/>
    <x:col min="26" max="26" width="48" hidden="0" customWidth="1"/>
    <x:col min="27" max="27" width="12" hidden="0" customWidth="1"/>
    <x:col min="28" max="28" width="14" hidden="0" customWidth="1"/>
    <x:col min="29" max="29" width="16" hidden="0" customWidth="1"/>
    <x:col min="30" max="30" width="30" hidden="0" customWidth="1"/>
    <x:col min="31" max="31" width="10" hidden="0" customWidth="1"/>
  </x:cols>
  <x:sheetData>
    <x:row r="1" ht="28" customHeight="1">
      <x:c r="A1" s="38" t="str">
        <x:v>M3-BOUND 原子规则主表（唯一正式真源）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</x:row>
    <x:row r="2" ht="32" customHeight="1">
      <x:c r="A2" s="13" t="str">
        <x:v>260条规则、31个统一字段。请优先按rule_id、module、rule_type、main_signal和output_slot筛选。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</x:row>
    <x:row r="3">
      <x:c r="A3" s="28"/>
    </x:row>
    <x:row r="4">
      <x:c r="A4" s="22" t="str">
        <x:v>rule_id</x:v>
      </x:c>
      <x:c r="B4" s="22" t="str">
        <x:v>rule_name</x:v>
      </x:c>
      <x:c r="C4" s="22" t="str">
        <x:v>layer</x:v>
      </x:c>
      <x:c r="D4" s="22" t="str">
        <x:v>module</x:v>
      </x:c>
      <x:c r="E4" s="22" t="str">
        <x:v>applicable_group</x:v>
      </x:c>
      <x:c r="F4" s="22" t="str">
        <x:v>rule_type</x:v>
      </x:c>
      <x:c r="G4" s="22" t="str">
        <x:v>main_signal</x:v>
      </x:c>
      <x:c r="H4" s="22" t="str">
        <x:v>secondary_signal</x:v>
      </x:c>
      <x:c r="I4" s="22" t="str">
        <x:v>required_conditions</x:v>
      </x:c>
      <x:c r="J4" s="22" t="str">
        <x:v>excluded_conditions</x:v>
      </x:c>
      <x:c r="K4" s="22" t="str">
        <x:v>self_strength_status</x:v>
      </x:c>
      <x:c r="L4" s="22" t="str">
        <x:v>spouse_star_status</x:v>
      </x:c>
      <x:c r="M4" s="22" t="str">
        <x:v>palace_signal</x:v>
      </x:c>
      <x:c r="N4" s="22" t="str">
        <x:v>flow_path</x:v>
      </x:c>
      <x:c r="O4" s="22" t="str">
        <x:v>signal_position</x:v>
      </x:c>
      <x:c r="P4" s="22" t="str">
        <x:v>root_status</x:v>
      </x:c>
      <x:c r="Q4" s="22" t="str">
        <x:v>strength_level</x:v>
      </x:c>
      <x:c r="R4" s="22" t="str">
        <x:v>favorability</x:v>
      </x:c>
      <x:c r="S4" s="22" t="str">
        <x:v>transformation_status</x:v>
      </x:c>
      <x:c r="T4" s="22" t="str">
        <x:v>distance_level</x:v>
      </x:c>
      <x:c r="U4" s="22" t="str">
        <x:v>priority</x:v>
      </x:c>
      <x:c r="V4" s="22" t="str">
        <x:v>score_effect</x:v>
      </x:c>
      <x:c r="W4" s="22" t="str">
        <x:v>output_slot</x:v>
      </x:c>
      <x:c r="X4" s="22" t="str">
        <x:v>internal_logic</x:v>
      </x:c>
      <x:c r="Y4" s="22" t="str">
        <x:v>user_explanation</x:v>
      </x:c>
      <x:c r="Z4" s="22" t="str">
        <x:v>forbidden_inference</x:v>
      </x:c>
      <x:c r="AA4" s="22" t="str">
        <x:v>confidence_base</x:v>
      </x:c>
      <x:c r="AB4" s="22" t="str">
        <x:v>validation_status</x:v>
      </x:c>
      <x:c r="AC4" s="22" t="str">
        <x:v>case_refs</x:v>
      </x:c>
      <x:c r="AD4" s="22" t="str">
        <x:v>notes</x:v>
      </x:c>
      <x:c r="AE4" s="22" t="str">
        <x:v>version</x:v>
      </x:c>
    </x:row>
    <x:row r="5">
      <x:c r="A5" s="32" t="str">
        <x:v>M3-BOUND-001</x:v>
      </x:c>
      <x:c r="B5" s="32" t="str">
        <x:v>M3-BOUND正式定义｜亲密距离、依赖与边界</x:v>
      </x:c>
      <x:c r="C5" s="32" t="str">
        <x:v>L0 模型边界与证据</x:v>
      </x:c>
      <x:c r="D5" s="32" t="str">
        <x:v>BOUND-定义边界</x:v>
      </x:c>
      <x:c r="E5" s="32" t="str">
        <x:v>通用</x:v>
      </x:c>
      <x:c r="F5" s="32" t="str">
        <x:v>定义</x:v>
      </x:c>
      <x:c r="G5" s="32" t="str">
        <x:v>M3-BOUND模块规则</x:v>
      </x:c>
      <x:c r="H5" s="32" t="str"/>
      <x:c r="I5" s="32" t="str">
        <x:v>M3-BOUND被调用；分析对象为关系建立后的靠近、空间、共享、拒绝、暂停、重订与接受照顾。</x:v>
      </x:c>
      <x:c r="J5" s="32" t="str">
        <x:v>基础信号未定；真合化后原信号已失效；只有单一弱远争议信号；或该结论会越界到M4风险、M5适配。</x:v>
      </x:c>
      <x:c r="K5" s="32" t="str">
        <x:v>由共享基础引擎与M3-STATE修正；日主承载、印比支持只修正自主与执行，不直接等于有无边界。</x:v>
      </x:c>
      <x:c r="L5" s="32" t="str">
        <x:v>不限定；夫妻星仅在入宫或形成角色、责任边界时参与接口，不作为BOUND唯一主轴。</x:v>
      </x:c>
      <x:c r="M5" s="32" t="str">
        <x:v>由M3-BASE、日支主气及宫位动态提供。</x:v>
      </x:c>
      <x:c r="N5" s="32" t="str">
        <x:v>无／待BOUND路径规则组合</x:v>
      </x:c>
      <x:c r="O5" s="32" t="str">
        <x:v>日柱与日支近位优先；全局有效独立信号可作次通道。</x:v>
      </x:c>
      <x:c r="P5" s="32" t="str">
        <x:v>由共享基础引擎判定</x:v>
      </x:c>
      <x:c r="Q5" s="32" t="str">
        <x:v>由共享基础引擎判定</x:v>
      </x:c>
      <x:c r="R5" s="32" t="str">
        <x:v>喜忌不直接等于边界好坏；只修正调用顺畅度、资源压力和状态切换。</x:v>
      </x:c>
      <x:c r="S5" s="32" t="str">
        <x:v>原十神性质有效；真合化成立时按化神所属功能系统重建。</x:v>
      </x:c>
      <x:c r="T5" s="32" t="str">
        <x:v>由共享基础引擎判定</x:v>
      </x:c>
      <x:c r="U5" s="32" t="str">
        <x:v>99</x:v>
      </x:c>
      <x:c r="V5" s="32" t="str">
        <x:v>不加分；门控／路由</x:v>
      </x:c>
      <x:c r="W5" s="32" t="str">
        <x:v>report_status</x:v>
      </x:c>
      <x:c r="X5" s="32" t="str">
        <x:v>M3-BOUND描述用户怎样在亲密与自主之间安排距离、权限和节奏。</x:v>
      </x:c>
      <x:c r="Y5" s="32" t="str">
        <x:v>这一部分关注你怎样靠近、保留空间、表达限制，以及怎样在接受支持时仍保留自己的决定权。</x:v>
      </x:c>
      <x:c r="Z5" s="32" t="str">
        <x:v>不得由本规则直接推出回避亲密、依赖失控、控制欲、冷漠、自私、关系破裂、分手离婚、人格或依恋类型；不得把某种边界方式等同于爱得更多或更少。</x:v>
      </x:c>
      <x:c r="AA5" s="32" t="str">
        <x:v>高</x:v>
      </x:c>
      <x:c r="AB5" s="32" t="str">
        <x:v>待验证</x:v>
      </x:c>
      <x:c r="AC5" s="32" t="str"/>
      <x:c r="AD5" s="32" t="str">
        <x:v>provisional=true; rule_group=DEFINITION_01</x:v>
      </x:c>
      <x:c r="AE5" s="32" t="str">
        <x:v>0.5</x:v>
      </x:c>
    </x:row>
    <x:row r="6">
      <x:c r="A6" s="32" t="str">
        <x:v>M3-BOUND-002</x:v>
      </x:c>
      <x:c r="B6" s="32" t="str">
        <x:v>M3-BOUND核心问题｜权限与节奏而非好坏</x:v>
      </x:c>
      <x:c r="C6" s="32" t="str">
        <x:v>L0 模型边界与证据</x:v>
      </x:c>
      <x:c r="D6" s="32" t="str">
        <x:v>BOUND-定义边界</x:v>
      </x:c>
      <x:c r="E6" s="32" t="str">
        <x:v>通用</x:v>
      </x:c>
      <x:c r="F6" s="32" t="str">
        <x:v>边界</x:v>
      </x:c>
      <x:c r="G6" s="32" t="str">
        <x:v>M3-BOUND模块规则</x:v>
      </x:c>
      <x:c r="H6" s="32" t="str"/>
      <x:c r="I6" s="32" t="str">
        <x:v>需要判断靠近节奏、个人空间、决定权、分享范围、拒绝、暂停或重新协商。</x:v>
      </x:c>
      <x:c r="J6" s="32" t="str">
        <x:v>基础信号未定；真合化后原信号已失效；只有单一弱远争议信号；或该结论会越界到M4风险、M5适配。</x:v>
      </x:c>
      <x:c r="K6" s="32" t="str">
        <x:v>由共享基础引擎与M3-STATE修正；日主承载、印比支持只修正自主与执行，不直接等于有无边界。</x:v>
      </x:c>
      <x:c r="L6" s="32" t="str">
        <x:v>不限定；夫妻星仅在入宫或形成角色、责任边界时参与接口，不作为BOUND唯一主轴。</x:v>
      </x:c>
      <x:c r="M6" s="32" t="str">
        <x:v>由M3-BASE、日支主气及宫位动态提供。</x:v>
      </x:c>
      <x:c r="N6" s="32" t="str">
        <x:v>无／待BOUND路径规则组合</x:v>
      </x:c>
      <x:c r="O6" s="32" t="str">
        <x:v>日柱与日支近位优先；全局有效独立信号可作次通道。</x:v>
      </x:c>
      <x:c r="P6" s="32" t="str">
        <x:v>由共享基础引擎判定</x:v>
      </x:c>
      <x:c r="Q6" s="32" t="str">
        <x:v>由共享基础引擎判定</x:v>
      </x:c>
      <x:c r="R6" s="32" t="str">
        <x:v>喜忌不直接等于边界好坏；只修正调用顺畅度、资源压力和状态切换。</x:v>
      </x:c>
      <x:c r="S6" s="32" t="str">
        <x:v>原十神性质有效；真合化成立时按化神所属功能系统重建。</x:v>
      </x:c>
      <x:c r="T6" s="32" t="str">
        <x:v>由共享基础引擎判定</x:v>
      </x:c>
      <x:c r="U6" s="32" t="str">
        <x:v>98</x:v>
      </x:c>
      <x:c r="V6" s="32" t="str">
        <x:v>不加分；门控／路由</x:v>
      </x:c>
      <x:c r="W6" s="32" t="str">
        <x:v>boundary_note</x:v>
      </x:c>
      <x:c r="X6" s="32" t="str">
        <x:v>边界是关系中的权限、节奏和协商结构，不等于亲密程度的高低。</x:v>
      </x:c>
      <x:c r="Y6" s="32" t="str">
        <x:v>这里先说明你怎样安排亲密和自主，不把它简单评成亲近或疏远、成熟或有问题。</x:v>
      </x:c>
      <x:c r="Z6" s="32" t="str">
        <x:v>不得由本规则直接推出回避亲密、依赖失控、控制欲、冷漠、自私、关系破裂、分手离婚、人格或依恋类型；不得把某种边界方式等同于爱得更多或更少。</x:v>
      </x:c>
      <x:c r="AA6" s="32" t="str">
        <x:v>高</x:v>
      </x:c>
      <x:c r="AB6" s="32" t="str">
        <x:v>待验证</x:v>
      </x:c>
      <x:c r="AC6" s="32" t="str"/>
      <x:c r="AD6" s="32" t="str">
        <x:v>provisional=true; rule_group=DEFINITION_02</x:v>
      </x:c>
      <x:c r="AE6" s="32" t="str">
        <x:v>0.5</x:v>
      </x:c>
    </x:row>
    <x:row r="7">
      <x:c r="A7" s="32" t="str">
        <x:v>M3-BOUND-003</x:v>
      </x:c>
      <x:c r="B7" s="32" t="str">
        <x:v>M3-BOUND标准输入｜共享基础引擎</x:v>
      </x:c>
      <x:c r="C7" s="32" t="str">
        <x:v>L0 模型边界与证据</x:v>
      </x:c>
      <x:c r="D7" s="32" t="str">
        <x:v>BOUND-定义边界</x:v>
      </x:c>
      <x:c r="E7" s="32" t="str">
        <x:v>通用</x:v>
      </x:c>
      <x:c r="F7" s="32" t="str">
        <x:v>输入门控</x:v>
      </x:c>
      <x:c r="G7" s="32" t="str">
        <x:v>M3-BOUND模块规则</x:v>
      </x:c>
      <x:c r="H7" s="32" t="str"/>
      <x:c r="I7" s="32" t="str">
        <x:v>排盘、十神、日支藏干、透藏、根气、旺弱、喜忌、合化、有效流向和source_id已由共享引擎提供。</x:v>
      </x:c>
      <x:c r="J7" s="32" t="str">
        <x:v>基础信号未定；真合化后原信号已失效；只有单一弱远争议信号；或该结论会越界到M4风险、M5适配。</x:v>
      </x:c>
      <x:c r="K7" s="32" t="str">
        <x:v>由共享基础引擎与M3-STATE修正；日主承载、印比支持只修正自主与执行，不直接等于有无边界。</x:v>
      </x:c>
      <x:c r="L7" s="32" t="str">
        <x:v>不限定；夫妻星仅在入宫或形成角色、责任边界时参与接口，不作为BOUND唯一主轴。</x:v>
      </x:c>
      <x:c r="M7" s="32" t="str">
        <x:v>由M3-BASE、日支主气及宫位动态提供。</x:v>
      </x:c>
      <x:c r="N7" s="32" t="str">
        <x:v>无／待BOUND路径规则组合</x:v>
      </x:c>
      <x:c r="O7" s="32" t="str">
        <x:v>日柱与日支近位优先；全局有效独立信号可作次通道。</x:v>
      </x:c>
      <x:c r="P7" s="32" t="str">
        <x:v>由共享基础引擎判定</x:v>
      </x:c>
      <x:c r="Q7" s="32" t="str">
        <x:v>由共享基础引擎判定</x:v>
      </x:c>
      <x:c r="R7" s="32" t="str">
        <x:v>喜忌不直接等于边界好坏；只修正调用顺畅度、资源压力和状态切换。</x:v>
      </x:c>
      <x:c r="S7" s="32" t="str">
        <x:v>原十神性质有效；真合化成立时按化神所属功能系统重建。</x:v>
      </x:c>
      <x:c r="T7" s="32" t="str">
        <x:v>由共享基础引擎判定</x:v>
      </x:c>
      <x:c r="U7" s="32" t="str">
        <x:v>97</x:v>
      </x:c>
      <x:c r="V7" s="32" t="str">
        <x:v>不加分；门控／路由</x:v>
      </x:c>
      <x:c r="W7" s="32" t="str">
        <x:v>report_status</x:v>
      </x:c>
      <x:c r="X7" s="32" t="str">
        <x:v>BOUND不重新排盘或独立裁定旺衰合化，只把可靠基础事实翻译为边界行为。</x:v>
      </x:c>
      <x:c r="Y7" s="32" t="str">
        <x:v>基础状态有争议时，会保留不确定性，而不会为了完整硬写固定的亲密距离。</x:v>
      </x:c>
      <x:c r="Z7" s="32" t="str">
        <x:v>不得由本规则直接推出回避亲密、依赖失控、控制欲、冷漠、自私、关系破裂、分手离婚、人格或依恋类型；不得把某种边界方式等同于爱得更多或更少。</x:v>
      </x:c>
      <x:c r="AA7" s="32" t="str">
        <x:v>高</x:v>
      </x:c>
      <x:c r="AB7" s="32" t="str">
        <x:v>待验证</x:v>
      </x:c>
      <x:c r="AC7" s="32" t="str"/>
      <x:c r="AD7" s="32" t="str">
        <x:v>provisional=true; rule_group=DEFINITION_03</x:v>
      </x:c>
      <x:c r="AE7" s="32" t="str">
        <x:v>0.5</x:v>
      </x:c>
    </x:row>
    <x:row r="8">
      <x:c r="A8" s="32" t="str">
        <x:v>M3-BOUND-004</x:v>
      </x:c>
      <x:c r="B8" s="32" t="str">
        <x:v>M3-BOUND标准输出｜十四个BOUND字段</x:v>
      </x:c>
      <x:c r="C8" s="32" t="str">
        <x:v>L0 模型边界与证据</x:v>
      </x:c>
      <x:c r="D8" s="32" t="str">
        <x:v>BOUND-定义边界</x:v>
      </x:c>
      <x:c r="E8" s="32" t="str">
        <x:v>通用</x:v>
      </x:c>
      <x:c r="F8" s="32" t="str">
        <x:v>输出合同</x:v>
      </x:c>
      <x:c r="G8" s="32" t="str">
        <x:v>M3-BOUND模块规则</x:v>
      </x:c>
      <x:c r="H8" s="32" t="str"/>
      <x:c r="I8" s="32" t="str">
        <x:v>至少一项有效BOUND信号成立，且关键基础字段未停止。</x:v>
      </x:c>
      <x:c r="J8" s="32" t="str">
        <x:v>基础信号未定；真合化后原信号已失效；只有单一弱远争议信号；或该结论会越界到M4风险、M5适配。</x:v>
      </x:c>
      <x:c r="K8" s="32" t="str">
        <x:v>由共享基础引擎与M3-STATE修正；日主承载、印比支持只修正自主与执行，不直接等于有无边界。</x:v>
      </x:c>
      <x:c r="L8" s="32" t="str">
        <x:v>不限定；夫妻星仅在入宫或形成角色、责任边界时参与接口，不作为BOUND唯一主轴。</x:v>
      </x:c>
      <x:c r="M8" s="32" t="str">
        <x:v>由M3-BASE、日支主气及宫位动态提供。</x:v>
      </x:c>
      <x:c r="N8" s="32" t="str">
        <x:v>无／待BOUND路径规则组合</x:v>
      </x:c>
      <x:c r="O8" s="32" t="str">
        <x:v>日柱与日支近位优先；全局有效独立信号可作次通道。</x:v>
      </x:c>
      <x:c r="P8" s="32" t="str">
        <x:v>由共享基础引擎判定</x:v>
      </x:c>
      <x:c r="Q8" s="32" t="str">
        <x:v>由共享基础引擎判定</x:v>
      </x:c>
      <x:c r="R8" s="32" t="str">
        <x:v>喜忌不直接等于边界好坏；只修正调用顺畅度、资源压力和状态切换。</x:v>
      </x:c>
      <x:c r="S8" s="32" t="str">
        <x:v>原十神性质有效；真合化成立时按化神所属功能系统重建。</x:v>
      </x:c>
      <x:c r="T8" s="32" t="str">
        <x:v>由共享基础引擎判定</x:v>
      </x:c>
      <x:c r="U8" s="32" t="str">
        <x:v>96</x:v>
      </x:c>
      <x:c r="V8" s="32" t="str">
        <x:v>不加分；门控／路由</x:v>
      </x:c>
      <x:c r="W8" s="32" t="str">
        <x:v>boundary_note</x:v>
      </x:c>
      <x:c r="X8" s="32" t="str">
        <x:v>输出主／次边界通道、靠近节奏、空间需求、自主模式、分享方式、需求表达、拒绝、暂停回归、重订、接受照顾、资源角色、状态切换与置信度。</x:v>
      </x:c>
      <x:c r="Y8" s="32" t="str">
        <x:v>最终会回答：你怎样靠近、怎样保留空间、哪些事情要共同决定，以及不舒服时怎样暂停和重新商量。</x:v>
      </x:c>
      <x:c r="Z8" s="32" t="str">
        <x:v>不得由本规则直接推出回避亲密、依赖失控、控制欲、冷漠、自私、关系破裂、分手离婚、人格或依恋类型；不得把某种边界方式等同于爱得更多或更少。</x:v>
      </x:c>
      <x:c r="AA8" s="32" t="str">
        <x:v>中高</x:v>
      </x:c>
      <x:c r="AB8" s="32" t="str">
        <x:v>待验证</x:v>
      </x:c>
      <x:c r="AC8" s="32" t="str"/>
      <x:c r="AD8" s="32" t="str">
        <x:v>provisional=true; rule_group=DEFINITION_04</x:v>
      </x:c>
      <x:c r="AE8" s="32" t="str">
        <x:v>0.5</x:v>
      </x:c>
    </x:row>
    <x:row r="9">
      <x:c r="A9" s="32" t="str">
        <x:v>M3-BOUND-005</x:v>
      </x:c>
      <x:c r="B9" s="32" t="str">
        <x:v>M1边界｜心动偏好不等于亲密距离</x:v>
      </x:c>
      <x:c r="C9" s="32" t="str">
        <x:v>L0 模型边界与证据</x:v>
      </x:c>
      <x:c r="D9" s="32" t="str">
        <x:v>BOUND-定义边界</x:v>
      </x:c>
      <x:c r="E9" s="32" t="str">
        <x:v>通用</x:v>
      </x:c>
      <x:c r="F9" s="32" t="str">
        <x:v>跨模型边界</x:v>
      </x:c>
      <x:c r="G9" s="32" t="str">
        <x:v>M3-BOUND模块规则</x:v>
      </x:c>
      <x:c r="H9" s="32" t="str"/>
      <x:c r="I9" s="32" t="str">
        <x:v>M1心动偏好与M3-BOUND信号同时可见。</x:v>
      </x:c>
      <x:c r="J9" s="32" t="str">
        <x:v>基础信号未定；真合化后原信号已失效；只有单一弱远争议信号；或该结论会越界到M4风险、M5适配。</x:v>
      </x:c>
      <x:c r="K9" s="32" t="str">
        <x:v>由共享基础引擎与M3-STATE修正；日主承载、印比支持只修正自主与执行，不直接等于有无边界。</x:v>
      </x:c>
      <x:c r="L9" s="32" t="str">
        <x:v>不限定；夫妻星仅在入宫或形成角色、责任边界时参与接口，不作为BOUND唯一主轴。</x:v>
      </x:c>
      <x:c r="M9" s="32" t="str">
        <x:v>由M3-BASE、日支主气及宫位动态提供。</x:v>
      </x:c>
      <x:c r="N9" s="32" t="str">
        <x:v>无／待BOUND路径规则组合</x:v>
      </x:c>
      <x:c r="O9" s="32" t="str">
        <x:v>日柱与日支近位优先；全局有效独立信号可作次通道。</x:v>
      </x:c>
      <x:c r="P9" s="32" t="str">
        <x:v>由共享基础引擎判定</x:v>
      </x:c>
      <x:c r="Q9" s="32" t="str">
        <x:v>由共享基础引擎判定</x:v>
      </x:c>
      <x:c r="R9" s="32" t="str">
        <x:v>喜忌不直接等于边界好坏；只修正调用顺畅度、资源压力和状态切换。</x:v>
      </x:c>
      <x:c r="S9" s="32" t="str">
        <x:v>原十神性质有效；真合化成立时按化神所属功能系统重建。</x:v>
      </x:c>
      <x:c r="T9" s="32" t="str">
        <x:v>由共享基础引擎判定</x:v>
      </x:c>
      <x:c r="U9" s="32" t="str">
        <x:v>95</x:v>
      </x:c>
      <x:c r="V9" s="32" t="str">
        <x:v>不加分；门控／路由</x:v>
      </x:c>
      <x:c r="W9" s="32" t="str">
        <x:v>boundary_note</x:v>
      </x:c>
      <x:c r="X9" s="32" t="str">
        <x:v>被某类特质吸引，不代表进入关系后愿意采用同样的距离和权限安排。</x:v>
      </x:c>
      <x:c r="Y9" s="32" t="str">
        <x:v>让你心动的特质，和你真正相处时需要多少空间、怎样协商边界，会分开判断。</x:v>
      </x:c>
      <x:c r="Z9" s="32" t="str">
        <x:v>不得由本规则直接推出回避亲密、依赖失控、控制欲、冷漠、自私、关系破裂、分手离婚、人格或依恋类型；不得把某种边界方式等同于爱得更多或更少。</x:v>
      </x:c>
      <x:c r="AA9" s="32" t="str">
        <x:v>高</x:v>
      </x:c>
      <x:c r="AB9" s="32" t="str">
        <x:v>待验证</x:v>
      </x:c>
      <x:c r="AC9" s="32" t="str"/>
      <x:c r="AD9" s="32" t="str">
        <x:v>provisional=true; rule_group=DEFINITION_05</x:v>
      </x:c>
      <x:c r="AE9" s="32" t="str">
        <x:v>0.5</x:v>
      </x:c>
    </x:row>
    <x:row r="10">
      <x:c r="A10" s="32" t="str">
        <x:v>M3-BOUND-006</x:v>
      </x:c>
      <x:c r="B10" s="32" t="str">
        <x:v>M2边界｜准入条件不等于长期边界</x:v>
      </x:c>
      <x:c r="C10" s="32" t="str">
        <x:v>L0 模型边界与证据</x:v>
      </x:c>
      <x:c r="D10" s="32" t="str">
        <x:v>BOUND-定义边界</x:v>
      </x:c>
      <x:c r="E10" s="32" t="str">
        <x:v>通用</x:v>
      </x:c>
      <x:c r="F10" s="32" t="str">
        <x:v>跨模型边界</x:v>
      </x:c>
      <x:c r="G10" s="32" t="str">
        <x:v>M3-BOUND模块规则</x:v>
      </x:c>
      <x:c r="H10" s="32" t="str"/>
      <x:c r="I10" s="32" t="str">
        <x:v>M2关系门槛或资格证据与M3-BOUND信号同时出现。</x:v>
      </x:c>
      <x:c r="J10" s="32" t="str">
        <x:v>基础信号未定；真合化后原信号已失效；只有单一弱远争议信号；或该结论会越界到M4风险、M5适配。</x:v>
      </x:c>
      <x:c r="K10" s="32" t="str">
        <x:v>由共享基础引擎与M3-STATE修正；日主承载、印比支持只修正自主与执行，不直接等于有无边界。</x:v>
      </x:c>
      <x:c r="L10" s="32" t="str">
        <x:v>不限定；夫妻星仅在入宫或形成角色、责任边界时参与接口，不作为BOUND唯一主轴。</x:v>
      </x:c>
      <x:c r="M10" s="32" t="str">
        <x:v>由M3-BASE、日支主气及宫位动态提供。</x:v>
      </x:c>
      <x:c r="N10" s="32" t="str">
        <x:v>无／待BOUND路径规则组合</x:v>
      </x:c>
      <x:c r="O10" s="32" t="str">
        <x:v>日柱与日支近位优先；全局有效独立信号可作次通道。</x:v>
      </x:c>
      <x:c r="P10" s="32" t="str">
        <x:v>由共享基础引擎判定</x:v>
      </x:c>
      <x:c r="Q10" s="32" t="str">
        <x:v>由共享基础引擎判定</x:v>
      </x:c>
      <x:c r="R10" s="32" t="str">
        <x:v>喜忌不直接等于边界好坏；只修正调用顺畅度、资源压力和状态切换。</x:v>
      </x:c>
      <x:c r="S10" s="32" t="str">
        <x:v>原十神性质有效；真合化成立时按化神所属功能系统重建。</x:v>
      </x:c>
      <x:c r="T10" s="32" t="str">
        <x:v>由共享基础引擎判定</x:v>
      </x:c>
      <x:c r="U10" s="32" t="str">
        <x:v>94</x:v>
      </x:c>
      <x:c r="V10" s="32" t="str">
        <x:v>不加分；门控／路由</x:v>
      </x:c>
      <x:c r="W10" s="32" t="str">
        <x:v>boundary_note</x:v>
      </x:c>
      <x:c r="X10" s="32" t="str">
        <x:v>选择一个人时看重的承诺、行动或投入，只有在M3中有独立证据时，才能写成长期边界安排。</x:v>
      </x:c>
      <x:c r="Y10" s="32" t="str">
        <x:v>你选择关系时在意的条件，可能延续为相处规则，也可能只是一道进入门槛。</x:v>
      </x:c>
      <x:c r="Z10" s="32" t="str">
        <x:v>不得由本规则直接推出回避亲密、依赖失控、控制欲、冷漠、自私、关系破裂、分手离婚、人格或依恋类型；不得把某种边界方式等同于爱得更多或更少。</x:v>
      </x:c>
      <x:c r="AA10" s="32" t="str">
        <x:v>高</x:v>
      </x:c>
      <x:c r="AB10" s="32" t="str">
        <x:v>待验证</x:v>
      </x:c>
      <x:c r="AC10" s="32" t="str"/>
      <x:c r="AD10" s="32" t="str">
        <x:v>provisional=true; rule_group=DEFINITION_06</x:v>
      </x:c>
      <x:c r="AE10" s="32" t="str">
        <x:v>0.5</x:v>
      </x:c>
    </x:row>
    <x:row r="11">
      <x:c r="A11" s="32" t="str">
        <x:v>M3-BOUND-007</x:v>
      </x:c>
      <x:c r="B11" s="32" t="str">
        <x:v>M3-BASE接口｜底盘说明主题，BOUND说明权限</x:v>
      </x:c>
      <x:c r="C11" s="32" t="str">
        <x:v>L0 模型边界与证据</x:v>
      </x:c>
      <x:c r="D11" s="32" t="str">
        <x:v>BOUND-定义边界</x:v>
      </x:c>
      <x:c r="E11" s="32" t="str">
        <x:v>通用</x:v>
      </x:c>
      <x:c r="F11" s="32" t="str">
        <x:v>模块边界</x:v>
      </x:c>
      <x:c r="G11" s="32" t="str">
        <x:v>M3-BASE</x:v>
      </x:c>
      <x:c r="H11" s="32" t="str"/>
      <x:c r="I11" s="32" t="str">
        <x:v>M3-BASE与M3-BOUND读取同一日支或同一有效十神。</x:v>
      </x:c>
      <x:c r="J11" s="32" t="str">
        <x:v>基础信号未定；真合化后原信号已失效；只有单一弱远争议信号；或该结论会越界到M4风险、M5适配。</x:v>
      </x:c>
      <x:c r="K11" s="32" t="str">
        <x:v>由共享基础引擎与M3-STATE修正；日主承载、印比支持只修正自主与执行，不直接等于有无边界。</x:v>
      </x:c>
      <x:c r="L11" s="32" t="str">
        <x:v>不限定；夫妻星仅在入宫或形成角色、责任边界时参与接口，不作为BOUND唯一主轴。</x:v>
      </x:c>
      <x:c r="M11" s="32" t="str">
        <x:v>由M3-BASE、日支主气及宫位动态提供。</x:v>
      </x:c>
      <x:c r="N11" s="32" t="str">
        <x:v>无／待BOUND路径规则组合</x:v>
      </x:c>
      <x:c r="O11" s="32" t="str">
        <x:v>日柱与日支近位优先；全局有效独立信号可作次通道。</x:v>
      </x:c>
      <x:c r="P11" s="32" t="str">
        <x:v>由共享基础引擎判定</x:v>
      </x:c>
      <x:c r="Q11" s="32" t="str">
        <x:v>由共享基础引擎判定</x:v>
      </x:c>
      <x:c r="R11" s="32" t="str">
        <x:v>喜忌不直接等于边界好坏；只修正调用顺畅度、资源压力和状态切换。</x:v>
      </x:c>
      <x:c r="S11" s="32" t="str">
        <x:v>原十神性质有效；真合化成立时按化神所属功能系统重建。</x:v>
      </x:c>
      <x:c r="T11" s="32" t="str">
        <x:v>由共享基础引擎判定</x:v>
      </x:c>
      <x:c r="U11" s="32" t="str">
        <x:v>93</x:v>
      </x:c>
      <x:c r="V11" s="32" t="str">
        <x:v>不加分；门控／路由</x:v>
      </x:c>
      <x:c r="W11" s="32" t="str">
        <x:v>provenance</x:v>
      </x:c>
      <x:c r="X11" s="32" t="str">
        <x:v>BASE回答关系自然围绕什么主题运行；BOUND回答谁能决定什么、怎样靠近和怎样暂停。</x:v>
      </x:c>
      <x:c r="Y11" s="32" t="str">
        <x:v>同一个关系底盘可以在BOUND中细化为距离和权限，但基础证据只计算一次。</x:v>
      </x:c>
      <x:c r="Z11" s="32" t="str">
        <x:v>不得由本规则直接推出回避亲密、依赖失控、控制欲、冷漠、自私、关系破裂、分手离婚、人格或依恋类型；不得把某种边界方式等同于爱得更多或更少。</x:v>
      </x:c>
      <x:c r="AA11" s="32" t="str">
        <x:v>高</x:v>
      </x:c>
      <x:c r="AB11" s="32" t="str">
        <x:v>待验证</x:v>
      </x:c>
      <x:c r="AC11" s="32" t="str"/>
      <x:c r="AD11" s="32" t="str">
        <x:v>provisional=true; rule_group=DEFINITION_07</x:v>
      </x:c>
      <x:c r="AE11" s="32" t="str">
        <x:v>0.5</x:v>
      </x:c>
    </x:row>
    <x:row r="12">
      <x:c r="A12" s="32" t="str">
        <x:v>M3-BOUND-008</x:v>
      </x:c>
      <x:c r="B12" s="32" t="str">
        <x:v>M3-EXPR接口｜说出边界不等于执行边界</x:v>
      </x:c>
      <x:c r="C12" s="32" t="str">
        <x:v>L0 模型边界与证据</x:v>
      </x:c>
      <x:c r="D12" s="32" t="str">
        <x:v>BOUND-定义边界</x:v>
      </x:c>
      <x:c r="E12" s="32" t="str">
        <x:v>通用</x:v>
      </x:c>
      <x:c r="F12" s="32" t="str">
        <x:v>模块边界</x:v>
      </x:c>
      <x:c r="G12" s="32" t="str">
        <x:v>M3-EXPR</x:v>
      </x:c>
      <x:c r="H12" s="32" t="str"/>
      <x:c r="I12" s="32" t="str">
        <x:v>表达通道与边界通道同时可见。</x:v>
      </x:c>
      <x:c r="J12" s="32" t="str">
        <x:v>基础信号未定；真合化后原信号已失效；只有单一弱远争议信号；或该结论会越界到M4风险、M5适配。</x:v>
      </x:c>
      <x:c r="K12" s="32" t="str">
        <x:v>由共享基础引擎与M3-STATE修正；日主承载、印比支持只修正自主与执行，不直接等于有无边界。</x:v>
      </x:c>
      <x:c r="L12" s="32" t="str">
        <x:v>不限定；夫妻星仅在入宫或形成角色、责任边界时参与接口，不作为BOUND唯一主轴。</x:v>
      </x:c>
      <x:c r="M12" s="32" t="str">
        <x:v>由M3-BASE、日支主气及宫位动态提供。</x:v>
      </x:c>
      <x:c r="N12" s="32" t="str">
        <x:v>无／待BOUND路径规则组合</x:v>
      </x:c>
      <x:c r="O12" s="32" t="str">
        <x:v>日柱与日支近位优先；全局有效独立信号可作次通道。</x:v>
      </x:c>
      <x:c r="P12" s="32" t="str">
        <x:v>由共享基础引擎判定</x:v>
      </x:c>
      <x:c r="Q12" s="32" t="str">
        <x:v>由共享基础引擎判定</x:v>
      </x:c>
      <x:c r="R12" s="32" t="str">
        <x:v>喜忌不直接等于边界好坏；只修正调用顺畅度、资源压力和状态切换。</x:v>
      </x:c>
      <x:c r="S12" s="32" t="str">
        <x:v>原十神性质有效；真合化成立时按化神所属功能系统重建。</x:v>
      </x:c>
      <x:c r="T12" s="32" t="str">
        <x:v>由共享基础引擎判定</x:v>
      </x:c>
      <x:c r="U12" s="32" t="str">
        <x:v>92</x:v>
      </x:c>
      <x:c r="V12" s="32" t="str">
        <x:v>不加分；门控／路由</x:v>
      </x:c>
      <x:c r="W12" s="32" t="str">
        <x:v>boundary_note</x:v>
      </x:c>
      <x:c r="X12" s="32" t="str">
        <x:v>EXPR负责怎样说；BOUND负责限制怎样成立、怎样被调整和怎样回到关系。</x:v>
      </x:c>
      <x:c r="Y12" s="32" t="str">
        <x:v>你能清楚表达不等于每次都能执行；反过来，行动上会暂停也不等于一定会长篇说明。</x:v>
      </x:c>
      <x:c r="Z12" s="32" t="str">
        <x:v>不得由本规则直接推出回避亲密、依赖失控、控制欲、冷漠、自私、关系破裂、分手离婚、人格或依恋类型；不得把某种边界方式等同于爱得更多或更少。</x:v>
      </x:c>
      <x:c r="AA12" s="32" t="str">
        <x:v>高</x:v>
      </x:c>
      <x:c r="AB12" s="32" t="str">
        <x:v>待验证</x:v>
      </x:c>
      <x:c r="AC12" s="32" t="str"/>
      <x:c r="AD12" s="32" t="str">
        <x:v>provisional=true; rule_group=DEFINITION_08</x:v>
      </x:c>
      <x:c r="AE12" s="32" t="str">
        <x:v>0.5</x:v>
      </x:c>
    </x:row>
    <x:row r="13">
      <x:c r="A13" s="32" t="str">
        <x:v>M3-BOUND-009</x:v>
      </x:c>
      <x:c r="B13" s="32" t="str">
        <x:v>M3-CARE接口｜接受照顾不等于失去自主</x:v>
      </x:c>
      <x:c r="C13" s="32" t="str">
        <x:v>L0 模型边界与证据</x:v>
      </x:c>
      <x:c r="D13" s="32" t="str">
        <x:v>BOUND-定义边界</x:v>
      </x:c>
      <x:c r="E13" s="32" t="str">
        <x:v>通用</x:v>
      </x:c>
      <x:c r="F13" s="32" t="str">
        <x:v>模块边界</x:v>
      </x:c>
      <x:c r="G13" s="32" t="str">
        <x:v>M3-CARE</x:v>
      </x:c>
      <x:c r="H13" s="32" t="str"/>
      <x:c r="I13" s="32" t="str">
        <x:v>支持接受方式与自主、分享或空间信号同时可见。</x:v>
      </x:c>
      <x:c r="J13" s="32" t="str">
        <x:v>基础信号未定；真合化后原信号已失效；只有单一弱远争议信号；或该结论会越界到M4风险、M5适配。</x:v>
      </x:c>
      <x:c r="K13" s="32" t="str">
        <x:v>由共享基础引擎与M3-STATE修正；日主承载、印比支持只修正自主与执行，不直接等于有无边界。</x:v>
      </x:c>
      <x:c r="L13" s="32" t="str">
        <x:v>不限定；夫妻星仅在入宫或形成角色、责任边界时参与接口，不作为BOUND唯一主轴。</x:v>
      </x:c>
      <x:c r="M13" s="32" t="str">
        <x:v>由M3-BASE、日支主气及宫位动态提供。</x:v>
      </x:c>
      <x:c r="N13" s="32" t="str">
        <x:v>无／待BOUND路径规则组合</x:v>
      </x:c>
      <x:c r="O13" s="32" t="str">
        <x:v>日柱与日支近位优先；全局有效独立信号可作次通道。</x:v>
      </x:c>
      <x:c r="P13" s="32" t="str">
        <x:v>由共享基础引擎判定</x:v>
      </x:c>
      <x:c r="Q13" s="32" t="str">
        <x:v>由共享基础引擎判定</x:v>
      </x:c>
      <x:c r="R13" s="32" t="str">
        <x:v>喜忌不直接等于边界好坏；只修正调用顺畅度、资源压力和状态切换。</x:v>
      </x:c>
      <x:c r="S13" s="32" t="str">
        <x:v>原十神性质有效；真合化成立时按化神所属功能系统重建。</x:v>
      </x:c>
      <x:c r="T13" s="32" t="str">
        <x:v>由共享基础引擎判定</x:v>
      </x:c>
      <x:c r="U13" s="32" t="str">
        <x:v>91</x:v>
      </x:c>
      <x:c r="V13" s="32" t="str">
        <x:v>不加分；门控／路由</x:v>
      </x:c>
      <x:c r="W13" s="32" t="str">
        <x:v>support_acceptance_boundary</x:v>
      </x:c>
      <x:c r="X13" s="32" t="str">
        <x:v>CARE负责怎样给予和接收支持；BOUND负责接受支持时保留哪些权限和参与感。</x:v>
      </x:c>
      <x:c r="Y13" s="32" t="str">
        <x:v>愿意被照顾，可以和保留决定权同时存在，两者不是相反选项。</x:v>
      </x:c>
      <x:c r="Z13" s="32" t="str">
        <x:v>不得由本规则直接推出回避亲密、依赖失控、控制欲、冷漠、自私、关系破裂、分手离婚、人格或依恋类型；不得把某种边界方式等同于爱得更多或更少。</x:v>
      </x:c>
      <x:c r="AA13" s="32" t="str">
        <x:v>高</x:v>
      </x:c>
      <x:c r="AB13" s="32" t="str">
        <x:v>待验证</x:v>
      </x:c>
      <x:c r="AC13" s="32" t="str"/>
      <x:c r="AD13" s="32" t="str">
        <x:v>provisional=true; rule_group=DEFINITION_09</x:v>
      </x:c>
      <x:c r="AE13" s="32" t="str">
        <x:v>0.5</x:v>
      </x:c>
    </x:row>
    <x:row r="14">
      <x:c r="A14" s="32" t="str">
        <x:v>M3-BOUND-010</x:v>
      </x:c>
      <x:c r="B14" s="32" t="str">
        <x:v>M3-CONFLICT接口｜设限不等于冲突方式</x:v>
      </x:c>
      <x:c r="C14" s="32" t="str">
        <x:v>L0 模型边界与证据</x:v>
      </x:c>
      <x:c r="D14" s="32" t="str">
        <x:v>BOUND-定义边界</x:v>
      </x:c>
      <x:c r="E14" s="32" t="str">
        <x:v>通用</x:v>
      </x:c>
      <x:c r="F14" s="32" t="str">
        <x:v>模块边界</x:v>
      </x:c>
      <x:c r="G14" s="32" t="str">
        <x:v>M3-CONFLICT</x:v>
      </x:c>
      <x:c r="H14" s="32" t="str"/>
      <x:c r="I14" s="32" t="str">
        <x:v>拒绝、暂停或决断边界信号出现。</x:v>
      </x:c>
      <x:c r="J14" s="32" t="str">
        <x:v>基础信号未定；真合化后原信号已失效；只有单一弱远争议信号；或该结论会越界到M4风险、M5适配。</x:v>
      </x:c>
      <x:c r="K14" s="32" t="str">
        <x:v>由共享基础引擎与M3-STATE修正；日主承载、印比支持只修正自主与执行，不直接等于有无边界。</x:v>
      </x:c>
      <x:c r="L14" s="32" t="str">
        <x:v>不限定；夫妻星仅在入宫或形成角色、责任边界时参与接口，不作为BOUND唯一主轴。</x:v>
      </x:c>
      <x:c r="M14" s="32" t="str">
        <x:v>由M3-BASE、日支主气及宫位动态提供。</x:v>
      </x:c>
      <x:c r="N14" s="32" t="str">
        <x:v>无／待BOUND路径规则组合</x:v>
      </x:c>
      <x:c r="O14" s="32" t="str">
        <x:v>日柱与日支近位优先；全局有效独立信号可作次通道。</x:v>
      </x:c>
      <x:c r="P14" s="32" t="str">
        <x:v>由共享基础引擎判定</x:v>
      </x:c>
      <x:c r="Q14" s="32" t="str">
        <x:v>由共享基础引擎判定</x:v>
      </x:c>
      <x:c r="R14" s="32" t="str">
        <x:v>喜忌不直接等于边界好坏；只修正调用顺畅度、资源压力和状态切换。</x:v>
      </x:c>
      <x:c r="S14" s="32" t="str">
        <x:v>原十神性质有效；真合化成立时按化神所属功能系统重建。</x:v>
      </x:c>
      <x:c r="T14" s="32" t="str">
        <x:v>由共享基础引擎判定</x:v>
      </x:c>
      <x:c r="U14" s="32" t="str">
        <x:v>90</x:v>
      </x:c>
      <x:c r="V14" s="32" t="str">
        <x:v>不加分；门控／路由</x:v>
      </x:c>
      <x:c r="W14" s="32" t="str">
        <x:v>boundary_note</x:v>
      </x:c>
      <x:c r="X14" s="32" t="str">
        <x:v>BOUND只说明限制怎样被提出；发生分歧时谁先说、怎样回应和是否升级，交给CONFLICT。</x:v>
      </x:c>
      <x:c r="Y14" s="32" t="str">
        <x:v>你可能边界清楚，但分歧处理方式仍需另行判断。</x:v>
      </x:c>
      <x:c r="Z14" s="32" t="str">
        <x:v>不得由本规则直接推出回避亲密、依赖失控、控制欲、冷漠、自私、关系破裂、分手离婚、人格或依恋类型；不得把某种边界方式等同于爱得更多或更少。</x:v>
      </x:c>
      <x:c r="AA14" s="32" t="str">
        <x:v>高</x:v>
      </x:c>
      <x:c r="AB14" s="32" t="str">
        <x:v>待验证</x:v>
      </x:c>
      <x:c r="AC14" s="32" t="str"/>
      <x:c r="AD14" s="32" t="str">
        <x:v>provisional=true; rule_group=DEFINITION_10</x:v>
      </x:c>
      <x:c r="AE14" s="32" t="str">
        <x:v>0.5</x:v>
      </x:c>
    </x:row>
    <x:row r="15">
      <x:c r="A15" s="32" t="str">
        <x:v>M3-BOUND-011</x:v>
      </x:c>
      <x:c r="B15" s="32" t="str">
        <x:v>M3-REPAIR接口｜暂停不等于完成修复</x:v>
      </x:c>
      <x:c r="C15" s="32" t="str">
        <x:v>L0 模型边界与证据</x:v>
      </x:c>
      <x:c r="D15" s="32" t="str">
        <x:v>BOUND-定义边界</x:v>
      </x:c>
      <x:c r="E15" s="32" t="str">
        <x:v>通用</x:v>
      </x:c>
      <x:c r="F15" s="32" t="str">
        <x:v>模块边界</x:v>
      </x:c>
      <x:c r="G15" s="32" t="str">
        <x:v>M3-REPAIR</x:v>
      </x:c>
      <x:c r="H15" s="32" t="str"/>
      <x:c r="I15" s="32" t="str">
        <x:v>暂停、回归或重新协商候选出现。</x:v>
      </x:c>
      <x:c r="J15" s="32" t="str">
        <x:v>基础信号未定；真合化后原信号已失效；只有单一弱远争议信号；或该结论会越界到M4风险、M5适配。</x:v>
      </x:c>
      <x:c r="K15" s="32" t="str">
        <x:v>由共享基础引擎与M3-STATE修正；日主承载、印比支持只修正自主与执行，不直接等于有无边界。</x:v>
      </x:c>
      <x:c r="L15" s="32" t="str">
        <x:v>不限定；夫妻星仅在入宫或形成角色、责任边界时参与接口，不作为BOUND唯一主轴。</x:v>
      </x:c>
      <x:c r="M15" s="32" t="str">
        <x:v>由M3-BASE、日支主气及宫位动态提供。</x:v>
      </x:c>
      <x:c r="N15" s="32" t="str">
        <x:v>无／待BOUND路径规则组合</x:v>
      </x:c>
      <x:c r="O15" s="32" t="str">
        <x:v>日柱与日支近位优先；全局有效独立信号可作次通道。</x:v>
      </x:c>
      <x:c r="P15" s="32" t="str">
        <x:v>由共享基础引擎判定</x:v>
      </x:c>
      <x:c r="Q15" s="32" t="str">
        <x:v>由共享基础引擎判定</x:v>
      </x:c>
      <x:c r="R15" s="32" t="str">
        <x:v>喜忌不直接等于边界好坏；只修正调用顺畅度、资源压力和状态切换。</x:v>
      </x:c>
      <x:c r="S15" s="32" t="str">
        <x:v>原十神性质有效；真合化成立时按化神所属功能系统重建。</x:v>
      </x:c>
      <x:c r="T15" s="32" t="str">
        <x:v>由共享基础引擎判定</x:v>
      </x:c>
      <x:c r="U15" s="32" t="str">
        <x:v>89</x:v>
      </x:c>
      <x:c r="V15" s="32" t="str">
        <x:v>不加分；门控／路由</x:v>
      </x:c>
      <x:c r="W15" s="32" t="str">
        <x:v>pause_return_style</x:v>
      </x:c>
      <x:c r="X15" s="32" t="str">
        <x:v>BOUND可说明何时需要暂停和何时愿意重新谈；真正怎样恢复联结由REPAIR判断。</x:v>
      </x:c>
      <x:c r="Y15" s="32" t="str">
        <x:v>需要暂时停一下，不等于拒绝修复；回到沟通，也不等于问题已经解决。</x:v>
      </x:c>
      <x:c r="Z15" s="32" t="str">
        <x:v>不得由本规则直接推出回避亲密、依赖失控、控制欲、冷漠、自私、关系破裂、分手离婚、人格或依恋类型；不得把某种边界方式等同于爱得更多或更少。</x:v>
      </x:c>
      <x:c r="AA15" s="32" t="str">
        <x:v>高</x:v>
      </x:c>
      <x:c r="AB15" s="32" t="str">
        <x:v>待验证</x:v>
      </x:c>
      <x:c r="AC15" s="32" t="str"/>
      <x:c r="AD15" s="32" t="str">
        <x:v>provisional=true; rule_group=DEFINITION_11</x:v>
      </x:c>
      <x:c r="AE15" s="32" t="str">
        <x:v>0.5</x:v>
      </x:c>
    </x:row>
    <x:row r="16">
      <x:c r="A16" s="32" t="str">
        <x:v>M3-BOUND-012</x:v>
      </x:c>
      <x:c r="B16" s="32" t="str">
        <x:v>M3-STATE接口｜先看平稳边界再看压力切换</x:v>
      </x:c>
      <x:c r="C16" s="32" t="str">
        <x:v>L0 模型边界与证据</x:v>
      </x:c>
      <x:c r="D16" s="32" t="str">
        <x:v>BOUND-定义边界</x:v>
      </x:c>
      <x:c r="E16" s="32" t="str">
        <x:v>通用</x:v>
      </x:c>
      <x:c r="F16" s="32" t="str">
        <x:v>模块边界</x:v>
      </x:c>
      <x:c r="G16" s="32" t="str">
        <x:v>M3-STATE</x:v>
      </x:c>
      <x:c r="H16" s="32" t="str"/>
      <x:c r="I16" s="32" t="str">
        <x:v>平稳和压力状态可能调用不同通道。</x:v>
      </x:c>
      <x:c r="J16" s="32" t="str">
        <x:v>基础信号未定；真合化后原信号已失效；只有单一弱远争议信号；或该结论会越界到M4风险、M5适配。</x:v>
      </x:c>
      <x:c r="K16" s="32" t="str">
        <x:v>由共享基础引擎与M3-STATE修正；日主承载、印比支持只修正自主与执行，不直接等于有无边界。</x:v>
      </x:c>
      <x:c r="L16" s="32" t="str">
        <x:v>不限定；夫妻星仅在入宫或形成角色、责任边界时参与接口，不作为BOUND唯一主轴。</x:v>
      </x:c>
      <x:c r="M16" s="32" t="str">
        <x:v>由M3-BASE、日支主气及宫位动态提供。</x:v>
      </x:c>
      <x:c r="N16" s="32" t="str">
        <x:v>无／待BOUND路径规则组合</x:v>
      </x:c>
      <x:c r="O16" s="32" t="str">
        <x:v>日柱与日支近位优先；全局有效独立信号可作次通道。</x:v>
      </x:c>
      <x:c r="P16" s="32" t="str">
        <x:v>由共享基础引擎判定</x:v>
      </x:c>
      <x:c r="Q16" s="32" t="str">
        <x:v>由共享基础引擎判定</x:v>
      </x:c>
      <x:c r="R16" s="32" t="str">
        <x:v>喜忌不直接等于边界好坏；只修正调用顺畅度、资源压力和状态切换。</x:v>
      </x:c>
      <x:c r="S16" s="32" t="str">
        <x:v>原十神性质有效；真合化成立时按化神所属功能系统重建。</x:v>
      </x:c>
      <x:c r="T16" s="32" t="str">
        <x:v>由共享基础引擎判定</x:v>
      </x:c>
      <x:c r="U16" s="32" t="str">
        <x:v>88</x:v>
      </x:c>
      <x:c r="V16" s="32" t="str">
        <x:v>不加分；门控／路由</x:v>
      </x:c>
      <x:c r="W16" s="32" t="str">
        <x:v>state_shift</x:v>
      </x:c>
      <x:c r="X16" s="32" t="str">
        <x:v>BOUND先确定日常距离与权限，再把压力下抢先的设限方式交给STATE修正。</x:v>
      </x:c>
      <x:c r="Y16" s="32" t="str">
        <x:v>你平时的相处边界，和压力增加时的第一反应，可能不是同一种方式。</x:v>
      </x:c>
      <x:c r="Z16" s="32" t="str">
        <x:v>不得由本规则直接推出回避亲密、依赖失控、控制欲、冷漠、自私、关系破裂、分手离婚、人格或依恋类型；不得把某种边界方式等同于爱得更多或更少。</x:v>
      </x:c>
      <x:c r="AA16" s="32" t="str">
        <x:v>高</x:v>
      </x:c>
      <x:c r="AB16" s="32" t="str">
        <x:v>待验证</x:v>
      </x:c>
      <x:c r="AC16" s="32" t="str"/>
      <x:c r="AD16" s="32" t="str">
        <x:v>provisional=true; rule_group=DEFINITION_12</x:v>
      </x:c>
      <x:c r="AE16" s="32" t="str">
        <x:v>0.5</x:v>
      </x:c>
    </x:row>
    <x:row r="17">
      <x:c r="A17" s="32" t="str">
        <x:v>M3-BOUND-013</x:v>
      </x:c>
      <x:c r="B17" s="32" t="str">
        <x:v>M4边界｜边界风格不直接等于关系风险</x:v>
      </x:c>
      <x:c r="C17" s="32" t="str">
        <x:v>L0 模型边界与证据</x:v>
      </x:c>
      <x:c r="D17" s="32" t="str">
        <x:v>BOUND-定义边界</x:v>
      </x:c>
      <x:c r="E17" s="32" t="str">
        <x:v>通用</x:v>
      </x:c>
      <x:c r="F17" s="32" t="str">
        <x:v>跨模型边界</x:v>
      </x:c>
      <x:c r="G17" s="32" t="str">
        <x:v>M4-关系盲点</x:v>
      </x:c>
      <x:c r="H17" s="32" t="str"/>
      <x:c r="I17" s="32" t="str">
        <x:v>强通道、过旺、受损或宫位动态明显。</x:v>
      </x:c>
      <x:c r="J17" s="32" t="str">
        <x:v>基础信号未定；真合化后原信号已失效；只有单一弱远争议信号；或该结论会越界到M4风险、M5适配。</x:v>
      </x:c>
      <x:c r="K17" s="32" t="str">
        <x:v>由共享基础引擎与M3-STATE修正；日主承载、印比支持只修正自主与执行，不直接等于有无边界。</x:v>
      </x:c>
      <x:c r="L17" s="32" t="str">
        <x:v>不限定；夫妻星仅在入宫或形成角色、责任边界时参与接口，不作为BOUND唯一主轴。</x:v>
      </x:c>
      <x:c r="M17" s="32" t="str">
        <x:v>由M3-BASE、日支主气及宫位动态提供。</x:v>
      </x:c>
      <x:c r="N17" s="32" t="str">
        <x:v>无／待BOUND路径规则组合</x:v>
      </x:c>
      <x:c r="O17" s="32" t="str">
        <x:v>日柱与日支近位优先；全局有效独立信号可作次通道。</x:v>
      </x:c>
      <x:c r="P17" s="32" t="str">
        <x:v>由共享基础引擎判定</x:v>
      </x:c>
      <x:c r="Q17" s="32" t="str">
        <x:v>由共享基础引擎判定</x:v>
      </x:c>
      <x:c r="R17" s="32" t="str">
        <x:v>喜忌不直接等于边界好坏；只修正调用顺畅度、资源压力和状态切换。</x:v>
      </x:c>
      <x:c r="S17" s="32" t="str">
        <x:v>原十神性质有效；真合化成立时按化神所属功能系统重建。</x:v>
      </x:c>
      <x:c r="T17" s="32" t="str">
        <x:v>由共享基础引擎判定</x:v>
      </x:c>
      <x:c r="U17" s="32" t="str">
        <x:v>87</x:v>
      </x:c>
      <x:c r="V17" s="32" t="str">
        <x:v>不加分；门控／路由</x:v>
      </x:c>
      <x:c r="W17" s="32" t="str">
        <x:v>risk_route</x:v>
      </x:c>
      <x:c r="X17" s="32" t="str">
        <x:v>BOUND只描述功能和节奏；是否形成控制、耗竭、回避或权力失衡，必须进入M4。</x:v>
      </x:c>
      <x:c r="Y17" s="32" t="str">
        <x:v>这里不会仅凭边界强弱，就把你判断为控制、回避或容易失去自我。</x:v>
      </x:c>
      <x:c r="Z17" s="32" t="str">
        <x:v>不得由本规则直接推出回避亲密、依赖失控、控制欲、冷漠、自私、关系破裂、分手离婚、人格或依恋类型；不得把某种边界方式等同于爱得更多或更少。</x:v>
      </x:c>
      <x:c r="AA17" s="32" t="str">
        <x:v>高</x:v>
      </x:c>
      <x:c r="AB17" s="32" t="str">
        <x:v>待验证</x:v>
      </x:c>
      <x:c r="AC17" s="32" t="str"/>
      <x:c r="AD17" s="32" t="str">
        <x:v>provisional=true; rule_group=DEFINITION_13</x:v>
      </x:c>
      <x:c r="AE17" s="32" t="str">
        <x:v>0.5</x:v>
      </x:c>
    </x:row>
    <x:row r="18">
      <x:c r="A18" s="32" t="str">
        <x:v>M3-BOUND-014</x:v>
      </x:c>
      <x:c r="B18" s="32" t="str">
        <x:v>M5边界｜边界风格不直接生成适配结论</x:v>
      </x:c>
      <x:c r="C18" s="32" t="str">
        <x:v>L0 模型边界与证据</x:v>
      </x:c>
      <x:c r="D18" s="32" t="str">
        <x:v>BOUND-定义边界</x:v>
      </x:c>
      <x:c r="E18" s="32" t="str">
        <x:v>通用</x:v>
      </x:c>
      <x:c r="F18" s="32" t="str">
        <x:v>跨模型边界</x:v>
      </x:c>
      <x:c r="G18" s="32" t="str">
        <x:v>M5-适配关系</x:v>
      </x:c>
      <x:c r="H18" s="32" t="str"/>
      <x:c r="I18" s="32" t="str">
        <x:v>BOUND结论已形成。</x:v>
      </x:c>
      <x:c r="J18" s="32" t="str">
        <x:v>基础信号未定；真合化后原信号已失效；只有单一弱远争议信号；或该结论会越界到M4风险、M5适配。</x:v>
      </x:c>
      <x:c r="K18" s="32" t="str">
        <x:v>由共享基础引擎与M3-STATE修正；日主承载、印比支持只修正自主与执行，不直接等于有无边界。</x:v>
      </x:c>
      <x:c r="L18" s="32" t="str">
        <x:v>不限定；夫妻星仅在入宫或形成角色、责任边界时参与接口，不作为BOUND唯一主轴。</x:v>
      </x:c>
      <x:c r="M18" s="32" t="str">
        <x:v>由M3-BASE、日支主气及宫位动态提供。</x:v>
      </x:c>
      <x:c r="N18" s="32" t="str">
        <x:v>无／待BOUND路径规则组合</x:v>
      </x:c>
      <x:c r="O18" s="32" t="str">
        <x:v>日柱与日支近位优先；全局有效独立信号可作次通道。</x:v>
      </x:c>
      <x:c r="P18" s="32" t="str">
        <x:v>由共享基础引擎判定</x:v>
      </x:c>
      <x:c r="Q18" s="32" t="str">
        <x:v>由共享基础引擎判定</x:v>
      </x:c>
      <x:c r="R18" s="32" t="str">
        <x:v>喜忌不直接等于边界好坏；只修正调用顺畅度、资源压力和状态切换。</x:v>
      </x:c>
      <x:c r="S18" s="32" t="str">
        <x:v>原十神性质有效；真合化成立时按化神所属功能系统重建。</x:v>
      </x:c>
      <x:c r="T18" s="32" t="str">
        <x:v>由共享基础引擎判定</x:v>
      </x:c>
      <x:c r="U18" s="32" t="str">
        <x:v>86</x:v>
      </x:c>
      <x:c r="V18" s="32" t="str">
        <x:v>不加分；门控／路由</x:v>
      </x:c>
      <x:c r="W18" s="32" t="str">
        <x:v>boundary_note</x:v>
      </x:c>
      <x:c r="X18" s="32" t="str">
        <x:v>相处边界是适配分析输入之一，但不能单独推出哪类伴侣最适合。</x:v>
      </x:c>
      <x:c r="Y18" s="32" t="str">
        <x:v>你的边界节奏会影响适配，但不是最终适配结论。</x:v>
      </x:c>
      <x:c r="Z18" s="32" t="str">
        <x:v>不得由本规则直接推出回避亲密、依赖失控、控制欲、冷漠、自私、关系破裂、分手离婚、人格或依恋类型；不得把某种边界方式等同于爱得更多或更少。</x:v>
      </x:c>
      <x:c r="AA18" s="32" t="str">
        <x:v>高</x:v>
      </x:c>
      <x:c r="AB18" s="32" t="str">
        <x:v>待验证</x:v>
      </x:c>
      <x:c r="AC18" s="32" t="str"/>
      <x:c r="AD18" s="32" t="str">
        <x:v>provisional=true; rule_group=DEFINITION_14</x:v>
      </x:c>
      <x:c r="AE18" s="32" t="str">
        <x:v>0.5</x:v>
      </x:c>
    </x:row>
    <x:row r="19">
      <x:c r="A19" s="32" t="str">
        <x:v>M3-BOUND-015</x:v>
      </x:c>
      <x:c r="B19" s="32" t="str">
        <x:v>硬边界｜需要空间不等于回避亲密</x:v>
      </x:c>
      <x:c r="C19" s="32" t="str">
        <x:v>L0 模型边界与证据</x:v>
      </x:c>
      <x:c r="D19" s="32" t="str">
        <x:v>BOUND-定义边界</x:v>
      </x:c>
      <x:c r="E19" s="32" t="str">
        <x:v>通用</x:v>
      </x:c>
      <x:c r="F19" s="32" t="str">
        <x:v>禁止推断</x:v>
      </x:c>
      <x:c r="G19" s="32" t="str">
        <x:v>核心纠偏</x:v>
      </x:c>
      <x:c r="H19" s="32" t="str"/>
      <x:c r="I19" s="32" t="str">
        <x:v>偏印、比肩、暂停或空间候选明显。</x:v>
      </x:c>
      <x:c r="J19" s="32" t="str">
        <x:v>基础信号未定；真合化后原信号已失效；只有单一弱远争议信号；或该结论会越界到M4风险、M5适配。</x:v>
      </x:c>
      <x:c r="K19" s="32" t="str">
        <x:v>由共享基础引擎与M3-STATE修正；日主承载、印比支持只修正自主与执行，不直接等于有无边界。</x:v>
      </x:c>
      <x:c r="L19" s="32" t="str">
        <x:v>不限定；夫妻星仅在入宫或形成角色、责任边界时参与接口，不作为BOUND唯一主轴。</x:v>
      </x:c>
      <x:c r="M19" s="32" t="str">
        <x:v>由M3-BASE、日支主气及宫位动态提供。</x:v>
      </x:c>
      <x:c r="N19" s="32" t="str">
        <x:v>无／待BOUND路径规则组合</x:v>
      </x:c>
      <x:c r="O19" s="32" t="str">
        <x:v>日柱与日支近位优先；全局有效独立信号可作次通道。</x:v>
      </x:c>
      <x:c r="P19" s="32" t="str">
        <x:v>由共享基础引擎判定</x:v>
      </x:c>
      <x:c r="Q19" s="32" t="str">
        <x:v>由共享基础引擎判定</x:v>
      </x:c>
      <x:c r="R19" s="32" t="str">
        <x:v>喜忌不直接等于边界好坏；只修正调用顺畅度、资源压力和状态切换。</x:v>
      </x:c>
      <x:c r="S19" s="32" t="str">
        <x:v>原十神性质有效；真合化成立时按化神所属功能系统重建。</x:v>
      </x:c>
      <x:c r="T19" s="32" t="str">
        <x:v>由共享基础引擎判定</x:v>
      </x:c>
      <x:c r="U19" s="32" t="str">
        <x:v>85</x:v>
      </x:c>
      <x:c r="V19" s="32" t="str">
        <x:v>不加分；门控／路由</x:v>
      </x:c>
      <x:c r="W19" s="32" t="str">
        <x:v>boundary_note</x:v>
      </x:c>
      <x:c r="X19" s="32" t="str">
        <x:v>空间需求描述内部整理、独立决定和恢复节奏，不自动等于害怕亲密。</x:v>
      </x:c>
      <x:c r="Y19" s="32" t="str">
        <x:v>你需要一定空间，可能只是为了整理感受和保留自主，不代表你拒绝亲密。</x:v>
      </x:c>
      <x:c r="Z19" s="32" t="str">
        <x:v>不得由本规则直接推出回避亲密、依赖失控、控制欲、冷漠、自私、关系破裂、分手离婚、人格或依恋类型；不得把某种边界方式等同于爱得更多或更少。</x:v>
      </x:c>
      <x:c r="AA19" s="32" t="str">
        <x:v>高</x:v>
      </x:c>
      <x:c r="AB19" s="32" t="str">
        <x:v>待验证</x:v>
      </x:c>
      <x:c r="AC19" s="32" t="str"/>
      <x:c r="AD19" s="32" t="str">
        <x:v>provisional=true; rule_group=DEFINITION_15</x:v>
      </x:c>
      <x:c r="AE19" s="32" t="str">
        <x:v>0.5</x:v>
      </x:c>
    </x:row>
    <x:row r="20">
      <x:c r="A20" s="32" t="str">
        <x:v>M3-BOUND-016</x:v>
      </x:c>
      <x:c r="B20" s="32" t="str">
        <x:v>硬边界｜愿意依托不等于失去自主</x:v>
      </x:c>
      <x:c r="C20" s="32" t="str">
        <x:v>L0 模型边界与证据</x:v>
      </x:c>
      <x:c r="D20" s="32" t="str">
        <x:v>BOUND-定义边界</x:v>
      </x:c>
      <x:c r="E20" s="32" t="str">
        <x:v>通用</x:v>
      </x:c>
      <x:c r="F20" s="32" t="str">
        <x:v>禁止推断</x:v>
      </x:c>
      <x:c r="G20" s="32" t="str">
        <x:v>核心纠偏</x:v>
      </x:c>
      <x:c r="H20" s="32" t="str"/>
      <x:c r="I20" s="32" t="str">
        <x:v>正印、正财、正官或接受支持候选明显。</x:v>
      </x:c>
      <x:c r="J20" s="32" t="str">
        <x:v>基础信号未定；真合化后原信号已失效；只有单一弱远争议信号；或该结论会越界到M4风险、M5适配。</x:v>
      </x:c>
      <x:c r="K20" s="32" t="str">
        <x:v>由共享基础引擎与M3-STATE修正；日主承载、印比支持只修正自主与执行，不直接等于有无边界。</x:v>
      </x:c>
      <x:c r="L20" s="32" t="str">
        <x:v>不限定；夫妻星仅在入宫或形成角色、责任边界时参与接口，不作为BOUND唯一主轴。</x:v>
      </x:c>
      <x:c r="M20" s="32" t="str">
        <x:v>由M3-BASE、日支主气及宫位动态提供。</x:v>
      </x:c>
      <x:c r="N20" s="32" t="str">
        <x:v>无／待BOUND路径规则组合</x:v>
      </x:c>
      <x:c r="O20" s="32" t="str">
        <x:v>日柱与日支近位优先；全局有效独立信号可作次通道。</x:v>
      </x:c>
      <x:c r="P20" s="32" t="str">
        <x:v>由共享基础引擎判定</x:v>
      </x:c>
      <x:c r="Q20" s="32" t="str">
        <x:v>由共享基础引擎判定</x:v>
      </x:c>
      <x:c r="R20" s="32" t="str">
        <x:v>喜忌不直接等于边界好坏；只修正调用顺畅度、资源压力和状态切换。</x:v>
      </x:c>
      <x:c r="S20" s="32" t="str">
        <x:v>原十神性质有效；真合化成立时按化神所属功能系统重建。</x:v>
      </x:c>
      <x:c r="T20" s="32" t="str">
        <x:v>由共享基础引擎判定</x:v>
      </x:c>
      <x:c r="U20" s="32" t="str">
        <x:v>84</x:v>
      </x:c>
      <x:c r="V20" s="32" t="str">
        <x:v>不加分；门控／路由</x:v>
      </x:c>
      <x:c r="W20" s="32" t="str">
        <x:v>support_acceptance_boundary</x:v>
      </x:c>
      <x:c r="X20" s="32" t="str">
        <x:v>接受照顾、信任承诺和共享资源可以与自主决定并存。</x:v>
      </x:c>
      <x:c r="Y20" s="32" t="str">
        <x:v>你愿意在信任中依靠对方，不代表你会把自己的决定权全部交出去。</x:v>
      </x:c>
      <x:c r="Z20" s="32" t="str">
        <x:v>不得由本规则直接推出回避亲密、依赖失控、控制欲、冷漠、自私、关系破裂、分手离婚、人格或依恋类型；不得把某种边界方式等同于爱得更多或更少。</x:v>
      </x:c>
      <x:c r="AA20" s="32" t="str">
        <x:v>高</x:v>
      </x:c>
      <x:c r="AB20" s="32" t="str">
        <x:v>待验证</x:v>
      </x:c>
      <x:c r="AC20" s="32" t="str"/>
      <x:c r="AD20" s="32" t="str">
        <x:v>provisional=true; rule_group=DEFINITION_16</x:v>
      </x:c>
      <x:c r="AE20" s="32" t="str">
        <x:v>0.5</x:v>
      </x:c>
    </x:row>
    <x:row r="21">
      <x:c r="A21" s="32" t="str">
        <x:v>M3-BOUND-017</x:v>
      </x:c>
      <x:c r="B21" s="32" t="str">
        <x:v>硬边界｜边界清楚不等于冷漠</x:v>
      </x:c>
      <x:c r="C21" s="32" t="str">
        <x:v>L0 模型边界与证据</x:v>
      </x:c>
      <x:c r="D21" s="32" t="str">
        <x:v>BOUND-定义边界</x:v>
      </x:c>
      <x:c r="E21" s="32" t="str">
        <x:v>通用</x:v>
      </x:c>
      <x:c r="F21" s="32" t="str">
        <x:v>禁止推断</x:v>
      </x:c>
      <x:c r="G21" s="32" t="str">
        <x:v>核心纠偏</x:v>
      </x:c>
      <x:c r="H21" s="32" t="str"/>
      <x:c r="I21" s="32" t="str">
        <x:v>比肩、伤官、正官或明确拒绝候选明显。</x:v>
      </x:c>
      <x:c r="J21" s="32" t="str">
        <x:v>基础信号未定；真合化后原信号已失效；只有单一弱远争议信号；或该结论会越界到M4风险、M5适配。</x:v>
      </x:c>
      <x:c r="K21" s="32" t="str">
        <x:v>由共享基础引擎与M3-STATE修正；日主承载、印比支持只修正自主与执行，不直接等于有无边界。</x:v>
      </x:c>
      <x:c r="L21" s="32" t="str">
        <x:v>不限定；夫妻星仅在入宫或形成角色、责任边界时参与接口，不作为BOUND唯一主轴。</x:v>
      </x:c>
      <x:c r="M21" s="32" t="str">
        <x:v>由M3-BASE、日支主气及宫位动态提供。</x:v>
      </x:c>
      <x:c r="N21" s="32" t="str">
        <x:v>无／待BOUND路径规则组合</x:v>
      </x:c>
      <x:c r="O21" s="32" t="str">
        <x:v>日柱与日支近位优先；全局有效独立信号可作次通道。</x:v>
      </x:c>
      <x:c r="P21" s="32" t="str">
        <x:v>由共享基础引擎判定</x:v>
      </x:c>
      <x:c r="Q21" s="32" t="str">
        <x:v>由共享基础引擎判定</x:v>
      </x:c>
      <x:c r="R21" s="32" t="str">
        <x:v>喜忌不直接等于边界好坏；只修正调用顺畅度、资源压力和状态切换。</x:v>
      </x:c>
      <x:c r="S21" s="32" t="str">
        <x:v>原十神性质有效；真合化成立时按化神所属功能系统重建。</x:v>
      </x:c>
      <x:c r="T21" s="32" t="str">
        <x:v>由共享基础引擎判定</x:v>
      </x:c>
      <x:c r="U21" s="32" t="str">
        <x:v>83</x:v>
      </x:c>
      <x:c r="V21" s="32" t="str">
        <x:v>不加分；门控／路由</x:v>
      </x:c>
      <x:c r="W21" s="32" t="str">
        <x:v>boundary_note</x:v>
      </x:c>
      <x:c r="X21" s="32" t="str">
        <x:v>清楚说明权限、节奏和限制，是关系协商方式，不等于情感稀薄。</x:v>
      </x:c>
      <x:c r="Y21" s="32" t="str">
        <x:v>你倾向把界限说清楚，更多是为了让关系可持续，并不等于不在意。</x:v>
      </x:c>
      <x:c r="Z21" s="32" t="str">
        <x:v>不得由本规则直接推出回避亲密、依赖失控、控制欲、冷漠、自私、关系破裂、分手离婚、人格或依恋类型；不得把某种边界方式等同于爱得更多或更少。</x:v>
      </x:c>
      <x:c r="AA21" s="32" t="str">
        <x:v>高</x:v>
      </x:c>
      <x:c r="AB21" s="32" t="str">
        <x:v>待验证</x:v>
      </x:c>
      <x:c r="AC21" s="32" t="str"/>
      <x:c r="AD21" s="32" t="str">
        <x:v>provisional=true; rule_group=DEFINITION_17</x:v>
      </x:c>
      <x:c r="AE21" s="32" t="str">
        <x:v>0.5</x:v>
      </x:c>
    </x:row>
    <x:row r="22">
      <x:c r="A22" s="32" t="str">
        <x:v>M3-BOUND-018</x:v>
      </x:c>
      <x:c r="B22" s="32" t="str">
        <x:v>硬边界｜弹性共享不等于没有原则</x:v>
      </x:c>
      <x:c r="C22" s="32" t="str">
        <x:v>L0 模型边界与证据</x:v>
      </x:c>
      <x:c r="D22" s="32" t="str">
        <x:v>BOUND-定义边界</x:v>
      </x:c>
      <x:c r="E22" s="32" t="str">
        <x:v>通用</x:v>
      </x:c>
      <x:c r="F22" s="32" t="str">
        <x:v>禁止推断</x:v>
      </x:c>
      <x:c r="G22" s="32" t="str">
        <x:v>核心纠偏</x:v>
      </x:c>
      <x:c r="H22" s="32" t="str"/>
      <x:c r="I22" s="32" t="str">
        <x:v>偏财、劫财或弹性调整候选明显。</x:v>
      </x:c>
      <x:c r="J22" s="32" t="str">
        <x:v>基础信号未定；真合化后原信号已失效；只有单一弱远争议信号；或该结论会越界到M4风险、M5适配。</x:v>
      </x:c>
      <x:c r="K22" s="32" t="str">
        <x:v>由共享基础引擎与M3-STATE修正；日主承载、印比支持只修正自主与执行，不直接等于有无边界。</x:v>
      </x:c>
      <x:c r="L22" s="32" t="str">
        <x:v>不限定；夫妻星仅在入宫或形成角色、责任边界时参与接口，不作为BOUND唯一主轴。</x:v>
      </x:c>
      <x:c r="M22" s="32" t="str">
        <x:v>由M3-BASE、日支主气及宫位动态提供。</x:v>
      </x:c>
      <x:c r="N22" s="32" t="str">
        <x:v>无／待BOUND路径规则组合</x:v>
      </x:c>
      <x:c r="O22" s="32" t="str">
        <x:v>日柱与日支近位优先；全局有效独立信号可作次通道。</x:v>
      </x:c>
      <x:c r="P22" s="32" t="str">
        <x:v>由共享基础引擎判定</x:v>
      </x:c>
      <x:c r="Q22" s="32" t="str">
        <x:v>由共享基础引擎判定</x:v>
      </x:c>
      <x:c r="R22" s="32" t="str">
        <x:v>喜忌不直接等于边界好坏；只修正调用顺畅度、资源压力和状态切换。</x:v>
      </x:c>
      <x:c r="S22" s="32" t="str">
        <x:v>原十神性质有效；真合化成立时按化神所属功能系统重建。</x:v>
      </x:c>
      <x:c r="T22" s="32" t="str">
        <x:v>由共享基础引擎判定</x:v>
      </x:c>
      <x:c r="U22" s="32" t="str">
        <x:v>82</x:v>
      </x:c>
      <x:c r="V22" s="32" t="str">
        <x:v>不加分；门控／路由</x:v>
      </x:c>
      <x:c r="W22" s="32" t="str">
        <x:v>renegotiation_style</x:v>
      </x:c>
      <x:c r="X22" s="32" t="str">
        <x:v>弹性边界表示会根据现实和双方需要调整，不自动等于规则缺失。</x:v>
      </x:c>
      <x:c r="Y22" s="32" t="str">
        <x:v>你可能更愿意随情境调整安排，但仍可以有清楚的核心底线。</x:v>
      </x:c>
      <x:c r="Z22" s="32" t="str">
        <x:v>不得由本规则直接推出回避亲密、依赖失控、控制欲、冷漠、自私、关系破裂、分手离婚、人格或依恋类型；不得把某种边界方式等同于爱得更多或更少。</x:v>
      </x:c>
      <x:c r="AA22" s="32" t="str">
        <x:v>高</x:v>
      </x:c>
      <x:c r="AB22" s="32" t="str">
        <x:v>待验证</x:v>
      </x:c>
      <x:c r="AC22" s="32" t="str"/>
      <x:c r="AD22" s="32" t="str">
        <x:v>provisional=true; rule_group=DEFINITION_18</x:v>
      </x:c>
      <x:c r="AE22" s="32" t="str">
        <x:v>0.5</x:v>
      </x:c>
    </x:row>
    <x:row r="23">
      <x:c r="A23" s="32" t="str">
        <x:v>M3-BOUND-019</x:v>
      </x:c>
      <x:c r="B23" s="32" t="str">
        <x:v>硬边界｜亲密共享不等于融合失界</x:v>
      </x:c>
      <x:c r="C23" s="32" t="str">
        <x:v>L0 模型边界与证据</x:v>
      </x:c>
      <x:c r="D23" s="32" t="str">
        <x:v>BOUND-定义边界</x:v>
      </x:c>
      <x:c r="E23" s="32" t="str">
        <x:v>通用</x:v>
      </x:c>
      <x:c r="F23" s="32" t="str">
        <x:v>禁止推断</x:v>
      </x:c>
      <x:c r="G23" s="32" t="str">
        <x:v>核心纠偏</x:v>
      </x:c>
      <x:c r="H23" s="32" t="str"/>
      <x:c r="I23" s="32" t="str">
        <x:v>合、正印、正财、食神或稳定共享候选明显。</x:v>
      </x:c>
      <x:c r="J23" s="32" t="str">
        <x:v>基础信号未定；真合化后原信号已失效；只有单一弱远争议信号；或该结论会越界到M4风险、M5适配。</x:v>
      </x:c>
      <x:c r="K23" s="32" t="str">
        <x:v>由共享基础引擎与M3-STATE修正；日主承载、印比支持只修正自主与执行，不直接等于有无边界。</x:v>
      </x:c>
      <x:c r="L23" s="32" t="str">
        <x:v>不限定；夫妻星仅在入宫或形成角色、责任边界时参与接口，不作为BOUND唯一主轴。</x:v>
      </x:c>
      <x:c r="M23" s="32" t="str">
        <x:v>由M3-BASE、日支主气及宫位动态提供。</x:v>
      </x:c>
      <x:c r="N23" s="32" t="str">
        <x:v>无／待BOUND路径规则组合</x:v>
      </x:c>
      <x:c r="O23" s="32" t="str">
        <x:v>日柱与日支近位优先；全局有效独立信号可作次通道。</x:v>
      </x:c>
      <x:c r="P23" s="32" t="str">
        <x:v>由共享基础引擎判定</x:v>
      </x:c>
      <x:c r="Q23" s="32" t="str">
        <x:v>由共享基础引擎判定</x:v>
      </x:c>
      <x:c r="R23" s="32" t="str">
        <x:v>喜忌不直接等于边界好坏；只修正调用顺畅度、资源压力和状态切换。</x:v>
      </x:c>
      <x:c r="S23" s="32" t="str">
        <x:v>原十神性质有效；真合化成立时按化神所属功能系统重建。</x:v>
      </x:c>
      <x:c r="T23" s="32" t="str">
        <x:v>由共享基础引擎判定</x:v>
      </x:c>
      <x:c r="U23" s="32" t="str">
        <x:v>81</x:v>
      </x:c>
      <x:c r="V23" s="32" t="str">
        <x:v>不加分；门控／路由</x:v>
      </x:c>
      <x:c r="W23" s="32" t="str">
        <x:v>boundary_note</x:v>
      </x:c>
      <x:c r="X23" s="32" t="str">
        <x:v>共享时间、资源和情绪不自动代表双方失去独立性。</x:v>
      </x:c>
      <x:c r="Y23" s="32" t="str">
        <x:v>你愿意把生活和感受放进关系里，不代表你没有自己的空间和判断。</x:v>
      </x:c>
      <x:c r="Z23" s="32" t="str">
        <x:v>不得由本规则直接推出回避亲密、依赖失控、控制欲、冷漠、自私、关系破裂、分手离婚、人格或依恋类型；不得把某种边界方式等同于爱得更多或更少。</x:v>
      </x:c>
      <x:c r="AA23" s="32" t="str">
        <x:v>高</x:v>
      </x:c>
      <x:c r="AB23" s="32" t="str">
        <x:v>待验证</x:v>
      </x:c>
      <x:c r="AC23" s="32" t="str"/>
      <x:c r="AD23" s="32" t="str">
        <x:v>provisional=true; rule_group=DEFINITION_19</x:v>
      </x:c>
      <x:c r="AE23" s="32" t="str">
        <x:v>0.5</x:v>
      </x:c>
    </x:row>
    <x:row r="24">
      <x:c r="A24" s="32" t="str">
        <x:v>M3-BOUND-020</x:v>
      </x:c>
      <x:c r="B24" s="32" t="str">
        <x:v>证据门槛｜至少两类独立证据才能定模式</x:v>
      </x:c>
      <x:c r="C24" s="32" t="str">
        <x:v>L0 模型边界与证据</x:v>
      </x:c>
      <x:c r="D24" s="32" t="str">
        <x:v>BOUND-定义边界</x:v>
      </x:c>
      <x:c r="E24" s="32" t="str">
        <x:v>通用</x:v>
      </x:c>
      <x:c r="F24" s="32" t="str">
        <x:v>证据门控</x:v>
      </x:c>
      <x:c r="G24" s="32" t="str">
        <x:v>M3-BOUND模块规则</x:v>
      </x:c>
      <x:c r="H24" s="32" t="str"/>
      <x:c r="I24" s="32" t="str">
        <x:v>需要输出固定BOUND模式或双层边界。</x:v>
      </x:c>
      <x:c r="J24" s="32" t="str">
        <x:v>基础信号未定；真合化后原信号已失效；只有单一弱远争议信号；或该结论会越界到M4风险、M5适配。</x:v>
      </x:c>
      <x:c r="K24" s="32" t="str">
        <x:v>由共享基础引擎与M3-STATE修正；日主承载、印比支持只修正自主与执行，不直接等于有无边界。</x:v>
      </x:c>
      <x:c r="L24" s="32" t="str">
        <x:v>不限定；夫妻星仅在入宫或形成角色、责任边界时参与接口，不作为BOUND唯一主轴。</x:v>
      </x:c>
      <x:c r="M24" s="32" t="str">
        <x:v>由M3-BASE、日支主气及宫位动态提供。</x:v>
      </x:c>
      <x:c r="N24" s="32" t="str">
        <x:v>无／待BOUND路径规则组合</x:v>
      </x:c>
      <x:c r="O24" s="32" t="str">
        <x:v>日柱与日支近位优先；全局有效独立信号可作次通道。</x:v>
      </x:c>
      <x:c r="P24" s="32" t="str">
        <x:v>由共享基础引擎判定</x:v>
      </x:c>
      <x:c r="Q24" s="32" t="str">
        <x:v>由共享基础引擎判定</x:v>
      </x:c>
      <x:c r="R24" s="32" t="str">
        <x:v>喜忌不直接等于边界好坏；只修正调用顺畅度、资源压力和状态切换。</x:v>
      </x:c>
      <x:c r="S24" s="32" t="str">
        <x:v>原十神性质有效；真合化成立时按化神所属功能系统重建。</x:v>
      </x:c>
      <x:c r="T24" s="32" t="str">
        <x:v>由共享基础引擎判定</x:v>
      </x:c>
      <x:c r="U24" s="32" t="str">
        <x:v>80</x:v>
      </x:c>
      <x:c r="V24" s="32" t="str">
        <x:v>不加分；门控／路由</x:v>
      </x:c>
      <x:c r="W24" s="32" t="str">
        <x:v>report_status</x:v>
      </x:c>
      <x:c r="X24" s="32" t="str">
        <x:v>主模式至少需要通道、日支、过程维度、现实行为或宫位动态中的两类独立证据。</x:v>
      </x:c>
      <x:c r="Y24" s="32" t="str">
        <x:v>证据不足时，只保留可能方向，不把一次行为或一个弱远信号写成固定模式。</x:v>
      </x:c>
      <x:c r="Z24" s="32" t="str">
        <x:v>不得由本规则直接推出回避亲密、依赖失控、控制欲、冷漠、自私、关系破裂、分手离婚、人格或依恋类型；不得把某种边界方式等同于爱得更多或更少。</x:v>
      </x:c>
      <x:c r="AA24" s="32" t="str">
        <x:v>中高</x:v>
      </x:c>
      <x:c r="AB24" s="32" t="str">
        <x:v>待验证</x:v>
      </x:c>
      <x:c r="AC24" s="32" t="str"/>
      <x:c r="AD24" s="32" t="str">
        <x:v>provisional=true; rule_group=DEFINITION_20</x:v>
      </x:c>
      <x:c r="AE24" s="32" t="str">
        <x:v>0.5</x:v>
      </x:c>
    </x:row>
    <x:row r="25">
      <x:c r="A25" s="32" t="str">
        <x:v>M3-BOUND-021</x:v>
      </x:c>
      <x:c r="B25" s="32" t="str">
        <x:v>比肩BOUND通道｜BD01 平等自主</x:v>
      </x:c>
      <x:c r="C25" s="32" t="str">
        <x:v>L1 十神边界通道</x:v>
      </x:c>
      <x:c r="D25" s="32" t="str">
        <x:v>BOUND-十神通道</x:v>
      </x:c>
      <x:c r="E25" s="32" t="str">
        <x:v>通用</x:v>
      </x:c>
      <x:c r="F25" s="32" t="str">
        <x:v>基础通道</x:v>
      </x:c>
      <x:c r="G25" s="32" t="str">
        <x:v>比肩</x:v>
      </x:c>
      <x:c r="H25" s="32" t="str"/>
      <x:c r="I25" s="32" t="str">
        <x:v>比肩BOUND功能有效，基础十神性质可靠，未被真合化替换。</x:v>
      </x:c>
      <x:c r="J25" s="32" t="str">
        <x:v>基础信号未定；真合化后原信号已失效；只有单一弱远争议信号；或该结论会越界到M4风险、M5适配。</x:v>
      </x:c>
      <x:c r="K25" s="32" t="str">
        <x:v>由共享基础引擎与M3-STATE修正；日主承载、印比支持只修正自主与执行，不直接等于有无边界。</x:v>
      </x:c>
      <x:c r="L25" s="32" t="str">
        <x:v>不限定；夫妻星仅在入宫或形成角色、责任边界时参与接口，不作为BOUND唯一主轴。</x:v>
      </x:c>
      <x:c r="M25" s="32" t="str">
        <x:v>由M3-BASE、日支主气及宫位动态提供。</x:v>
      </x:c>
      <x:c r="N25" s="32" t="str">
        <x:v>无／待BOUND路径规则组合</x:v>
      </x:c>
      <x:c r="O25" s="32" t="str">
        <x:v>日柱与日支近位优先；全局有效独立信号可作次通道。</x:v>
      </x:c>
      <x:c r="P25" s="32" t="str">
        <x:v>由共享基础引擎判定</x:v>
      </x:c>
      <x:c r="Q25" s="32" t="str">
        <x:v>由共享基础引擎判定</x:v>
      </x:c>
      <x:c r="R25" s="32" t="str">
        <x:v>喜忌不直接等于边界好坏；只修正调用顺畅度、资源压力和状态切换。</x:v>
      </x:c>
      <x:c r="S25" s="32" t="str">
        <x:v>原十神性质有效；真合化成立时按化神所属功能系统重建。</x:v>
      </x:c>
      <x:c r="T25" s="32" t="str">
        <x:v>由共享基础引擎判定</x:v>
      </x:c>
      <x:c r="U25" s="32" t="str">
        <x:v>88</x:v>
      </x:c>
      <x:c r="V25" s="32" t="str">
        <x:v>主BOUND候选 +18</x:v>
      </x:c>
      <x:c r="W25" s="32" t="str">
        <x:v>primary_boundary_channel</x:v>
      </x:c>
      <x:c r="X25" s="32" t="str">
        <x:v>比肩属于SYS01 自我边界系统，在BOUND中主要负责：通过平等、各自负责和保留个人决定权来维持亲密，重视“靠近但不替代彼此”。</x:v>
      </x:c>
      <x:c r="Y25" s="32" t="str">
        <x:v>你更容易通过“平等自主”安排亲密与自主。通过平等、各自负责和保留个人决定权来维持亲密，重视“靠近但不替代彼此”。</x:v>
      </x:c>
      <x:c r="Z25" s="32" t="str">
        <x:v>不得由本规则直接推出回避亲密、依赖失控、控制欲、冷漠、自私、关系破裂、分手离婚、人格或依恋类型；不得把某种边界方式等同于爱得更多或更少。</x:v>
      </x:c>
      <x:c r="AA25" s="32" t="str">
        <x:v>中高</x:v>
      </x:c>
      <x:c r="AB25" s="32" t="str">
        <x:v>待验证</x:v>
      </x:c>
      <x:c r="AC25" s="32" t="str"/>
      <x:c r="AD25" s="32" t="str">
        <x:v>provisional=true; rule_group=CHANNEL_BD01_BASE</x:v>
      </x:c>
      <x:c r="AE25" s="32" t="str">
        <x:v>0.5</x:v>
      </x:c>
    </x:row>
    <x:row r="26">
      <x:c r="A26" s="32" t="str">
        <x:v>M3-BOUND-022</x:v>
      </x:c>
      <x:c r="B26" s="32" t="str">
        <x:v>比肩靠近方式｜BD01关系启动</x:v>
      </x:c>
      <x:c r="C26" s="32" t="str">
        <x:v>L1 十神边界通道</x:v>
      </x:c>
      <x:c r="D26" s="32" t="str">
        <x:v>BOUND-十神通道</x:v>
      </x:c>
      <x:c r="E26" s="32" t="str">
        <x:v>通用</x:v>
      </x:c>
      <x:c r="F26" s="32" t="str">
        <x:v>靠近方式</x:v>
      </x:c>
      <x:c r="G26" s="32" t="str">
        <x:v>比肩</x:v>
      </x:c>
      <x:c r="H26" s="32" t="str"/>
      <x:c r="I26" s="32" t="str">
        <x:v>比肩BOUND功能有效，基础十神性质可靠，未被真合化替换。</x:v>
      </x:c>
      <x:c r="J26" s="32" t="str">
        <x:v>基础信号未定；真合化后原信号已失效；只有单一弱远争议信号；或该结论会越界到M4风险、M5适配。</x:v>
      </x:c>
      <x:c r="K26" s="32" t="str">
        <x:v>由共享基础引擎与M3-STATE修正；日主承载、印比支持只修正自主与执行，不直接等于有无边界。</x:v>
      </x:c>
      <x:c r="L26" s="32" t="str">
        <x:v>不限定；夫妻星仅在入宫或形成角色、责任边界时参与接口，不作为BOUND唯一主轴。</x:v>
      </x:c>
      <x:c r="M26" s="32" t="str">
        <x:v>由M3-BASE、日支主气及宫位动态提供。</x:v>
      </x:c>
      <x:c r="N26" s="32" t="str">
        <x:v>无／待BOUND路径规则组合</x:v>
      </x:c>
      <x:c r="O26" s="32" t="str">
        <x:v>日柱与日支近位优先；全局有效独立信号可作次通道。</x:v>
      </x:c>
      <x:c r="P26" s="32" t="str">
        <x:v>由共享基础引擎判定</x:v>
      </x:c>
      <x:c r="Q26" s="32" t="str">
        <x:v>由共享基础引擎判定</x:v>
      </x:c>
      <x:c r="R26" s="32" t="str">
        <x:v>喜忌不直接等于边界好坏；只修正调用顺畅度、资源压力和状态切换。</x:v>
      </x:c>
      <x:c r="S26" s="32" t="str">
        <x:v>原十神性质有效；真合化成立时按化神所属功能系统重建。</x:v>
      </x:c>
      <x:c r="T26" s="32" t="str">
        <x:v>由共享基础引擎判定</x:v>
      </x:c>
      <x:c r="U26" s="32" t="str">
        <x:v>76</x:v>
      </x:c>
      <x:c r="V26" s="32" t="str">
        <x:v>靠近节奏候选 +6</x:v>
      </x:c>
      <x:c r="W26" s="32" t="str">
        <x:v>closeness_rhythm</x:v>
      </x:c>
      <x:c r="X26" s="32" t="str">
        <x:v>更容易把靠近建立在同频、互相尊重和并肩感上，不喜欢一开始就形成明显上下位。</x:v>
      </x:c>
      <x:c r="Y26" s="32" t="str">
        <x:v>更容易把靠近建立在同频、互相尊重和并肩感上，不喜欢一开始就形成明显上下位。</x:v>
      </x:c>
      <x:c r="Z26" s="32" t="str">
        <x:v>不得由本规则直接推出回避亲密、依赖失控、控制欲、冷漠、自私、关系破裂、分手离婚、人格或依恋类型；不得把某种边界方式等同于爱得更多或更少。</x:v>
      </x:c>
      <x:c r="AA26" s="32" t="str">
        <x:v>中</x:v>
      </x:c>
      <x:c r="AB26" s="32" t="str">
        <x:v>待验证</x:v>
      </x:c>
      <x:c r="AC26" s="32" t="str"/>
      <x:c r="AD26" s="32" t="str">
        <x:v>provisional=true; rule_group=CHANNEL_BD01_APPROACH</x:v>
      </x:c>
      <x:c r="AE26" s="32" t="str">
        <x:v>0.5</x:v>
      </x:c>
    </x:row>
    <x:row r="27">
      <x:c r="A27" s="32" t="str">
        <x:v>M3-BOUND-023</x:v>
      </x:c>
      <x:c r="B27" s="32" t="str">
        <x:v>比肩空间与自主｜BD01权限安排</x:v>
      </x:c>
      <x:c r="C27" s="32" t="str">
        <x:v>L1 十神边界通道</x:v>
      </x:c>
      <x:c r="D27" s="32" t="str">
        <x:v>BOUND-十神通道</x:v>
      </x:c>
      <x:c r="E27" s="32" t="str">
        <x:v>通用</x:v>
      </x:c>
      <x:c r="F27" s="32" t="str">
        <x:v>空间与自主</x:v>
      </x:c>
      <x:c r="G27" s="32" t="str">
        <x:v>比肩</x:v>
      </x:c>
      <x:c r="H27" s="32" t="str"/>
      <x:c r="I27" s="32" t="str">
        <x:v>比肩BOUND功能有效，基础十神性质可靠，未被真合化替换。</x:v>
      </x:c>
      <x:c r="J27" s="32" t="str">
        <x:v>基础信号未定；真合化后原信号已失效；只有单一弱远争议信号；或该结论会越界到M4风险、M5适配。</x:v>
      </x:c>
      <x:c r="K27" s="32" t="str">
        <x:v>由共享基础引擎与M3-STATE修正；日主承载、印比支持只修正自主与执行，不直接等于有无边界。</x:v>
      </x:c>
      <x:c r="L27" s="32" t="str">
        <x:v>不限定；夫妻星仅在入宫或形成角色、责任边界时参与接口，不作为BOUND唯一主轴。</x:v>
      </x:c>
      <x:c r="M27" s="32" t="str">
        <x:v>由M3-BASE、日支主气及宫位动态提供。</x:v>
      </x:c>
      <x:c r="N27" s="32" t="str">
        <x:v>无／待BOUND路径规则组合</x:v>
      </x:c>
      <x:c r="O27" s="32" t="str">
        <x:v>日柱与日支近位优先；全局有效独立信号可作次通道。</x:v>
      </x:c>
      <x:c r="P27" s="32" t="str">
        <x:v>由共享基础引擎判定</x:v>
      </x:c>
      <x:c r="Q27" s="32" t="str">
        <x:v>由共享基础引擎判定</x:v>
      </x:c>
      <x:c r="R27" s="32" t="str">
        <x:v>喜忌不直接等于边界好坏；只修正调用顺畅度、资源压力和状态切换。</x:v>
      </x:c>
      <x:c r="S27" s="32" t="str">
        <x:v>原十神性质有效；真合化成立时按化神所属功能系统重建。</x:v>
      </x:c>
      <x:c r="T27" s="32" t="str">
        <x:v>由共享基础引擎判定</x:v>
      </x:c>
      <x:c r="U27" s="32" t="str">
        <x:v>75</x:v>
      </x:c>
      <x:c r="V27" s="32" t="str">
        <x:v>空间／自主候选 +6</x:v>
      </x:c>
      <x:c r="W27" s="32" t="str">
        <x:v>autonomy_pattern</x:v>
      </x:c>
      <x:c r="X27" s="32" t="str">
        <x:v>需要保留自己的判断、时间或处理空间，同时也愿意在清楚分工下共享。</x:v>
      </x:c>
      <x:c r="Y27" s="32" t="str">
        <x:v>需要保留自己的判断、时间或处理空间，同时也愿意在清楚分工下共享。</x:v>
      </x:c>
      <x:c r="Z27" s="32" t="str">
        <x:v>不得由本规则直接推出回避亲密、依赖失控、控制欲、冷漠、自私、关系破裂、分手离婚、人格或依恋类型；不得把某种边界方式等同于爱得更多或更少。</x:v>
      </x:c>
      <x:c r="AA27" s="32" t="str">
        <x:v>中</x:v>
      </x:c>
      <x:c r="AB27" s="32" t="str">
        <x:v>待验证</x:v>
      </x:c>
      <x:c r="AC27" s="32" t="str"/>
      <x:c r="AD27" s="32" t="str">
        <x:v>provisional=true; rule_group=CHANNEL_BD01_SPACE</x:v>
      </x:c>
      <x:c r="AE27" s="32" t="str">
        <x:v>0.5</x:v>
      </x:c>
    </x:row>
    <x:row r="28">
      <x:c r="A28" s="32" t="str">
        <x:v>M3-BOUND-024</x:v>
      </x:c>
      <x:c r="B28" s="32" t="str">
        <x:v>比肩需求表达｜BD01怎样说明需要</x:v>
      </x:c>
      <x:c r="C28" s="32" t="str">
        <x:v>L1 十神边界通道</x:v>
      </x:c>
      <x:c r="D28" s="32" t="str">
        <x:v>BOUND-十神通道</x:v>
      </x:c>
      <x:c r="E28" s="32" t="str">
        <x:v>通用</x:v>
      </x:c>
      <x:c r="F28" s="32" t="str">
        <x:v>需求表达</x:v>
      </x:c>
      <x:c r="G28" s="32" t="str">
        <x:v>比肩</x:v>
      </x:c>
      <x:c r="H28" s="32" t="str"/>
      <x:c r="I28" s="32" t="str">
        <x:v>比肩BOUND功能有效，基础十神性质可靠，未被真合化替换。</x:v>
      </x:c>
      <x:c r="J28" s="32" t="str">
        <x:v>基础信号未定；真合化后原信号已失效；只有单一弱远争议信号；或该结论会越界到M4风险、M5适配。</x:v>
      </x:c>
      <x:c r="K28" s="32" t="str">
        <x:v>由共享基础引擎与M3-STATE修正；日主承载、印比支持只修正自主与执行，不直接等于有无边界。</x:v>
      </x:c>
      <x:c r="L28" s="32" t="str">
        <x:v>不限定；夫妻星仅在入宫或形成角色、责任边界时参与接口，不作为BOUND唯一主轴。</x:v>
      </x:c>
      <x:c r="M28" s="32" t="str">
        <x:v>由M3-BASE、日支主气及宫位动态提供。</x:v>
      </x:c>
      <x:c r="N28" s="32" t="str">
        <x:v>无／待BOUND路径规则组合</x:v>
      </x:c>
      <x:c r="O28" s="32" t="str">
        <x:v>日柱与日支近位优先；全局有效独立信号可作次通道。</x:v>
      </x:c>
      <x:c r="P28" s="32" t="str">
        <x:v>由共享基础引擎判定</x:v>
      </x:c>
      <x:c r="Q28" s="32" t="str">
        <x:v>由共享基础引擎判定</x:v>
      </x:c>
      <x:c r="R28" s="32" t="str">
        <x:v>喜忌不直接等于边界好坏；只修正调用顺畅度、资源压力和状态切换。</x:v>
      </x:c>
      <x:c r="S28" s="32" t="str">
        <x:v>原十神性质有效；真合化成立时按化神所属功能系统重建。</x:v>
      </x:c>
      <x:c r="T28" s="32" t="str">
        <x:v>由共享基础引擎判定</x:v>
      </x:c>
      <x:c r="U28" s="32" t="str">
        <x:v>74</x:v>
      </x:c>
      <x:c r="V28" s="32" t="str">
        <x:v>需求表达候选 +4</x:v>
      </x:c>
      <x:c r="W28" s="32" t="str">
        <x:v>need_expression</x:v>
      </x:c>
      <x:c r="X28" s="32" t="str">
        <x:v>提出需要时更倾向用第一人称和具体协作表达，例如说明“我需要什么、你可以怎样配合”。</x:v>
      </x:c>
      <x:c r="Y28" s="32" t="str">
        <x:v>提出需要时更倾向用第一人称和具体协作表达，例如说明“我需要什么、你可以怎样配合”。</x:v>
      </x:c>
      <x:c r="Z28" s="32" t="str">
        <x:v>不得由本规则直接推出回避亲密、依赖失控、控制欲、冷漠、自私、关系破裂、分手离婚、人格或依恋类型；不得把某种边界方式等同于爱得更多或更少。</x:v>
      </x:c>
      <x:c r="AA28" s="32" t="str">
        <x:v>中</x:v>
      </x:c>
      <x:c r="AB28" s="32" t="str">
        <x:v>待验证</x:v>
      </x:c>
      <x:c r="AC28" s="32" t="str"/>
      <x:c r="AD28" s="32" t="str">
        <x:v>provisional=true; rule_group=CHANNEL_BD01_NEED</x:v>
      </x:c>
      <x:c r="AE28" s="32" t="str">
        <x:v>0.5</x:v>
      </x:c>
    </x:row>
    <x:row r="29">
      <x:c r="A29" s="32" t="str">
        <x:v>M3-BOUND-025</x:v>
      </x:c>
      <x:c r="B29" s="32" t="str">
        <x:v>比肩拒绝与暂停｜BD01怎样设限</x:v>
      </x:c>
      <x:c r="C29" s="32" t="str">
        <x:v>L1 十神边界通道</x:v>
      </x:c>
      <x:c r="D29" s="32" t="str">
        <x:v>BOUND-十神通道</x:v>
      </x:c>
      <x:c r="E29" s="32" t="str">
        <x:v>通用</x:v>
      </x:c>
      <x:c r="F29" s="32" t="str">
        <x:v>拒绝／暂停</x:v>
      </x:c>
      <x:c r="G29" s="32" t="str">
        <x:v>比肩</x:v>
      </x:c>
      <x:c r="H29" s="32" t="str"/>
      <x:c r="I29" s="32" t="str">
        <x:v>比肩BOUND功能有效，基础十神性质可靠，未被真合化替换。</x:v>
      </x:c>
      <x:c r="J29" s="32" t="str">
        <x:v>基础信号未定；真合化后原信号已失效；只有单一弱远争议信号；或该结论会越界到M4风险、M5适配。</x:v>
      </x:c>
      <x:c r="K29" s="32" t="str">
        <x:v>由共享基础引擎与M3-STATE修正；日主承载、印比支持只修正自主与执行，不直接等于有无边界。</x:v>
      </x:c>
      <x:c r="L29" s="32" t="str">
        <x:v>不限定；夫妻星仅在入宫或形成角色、责任边界时参与接口，不作为BOUND唯一主轴。</x:v>
      </x:c>
      <x:c r="M29" s="32" t="str">
        <x:v>由M3-BASE、日支主气及宫位动态提供。</x:v>
      </x:c>
      <x:c r="N29" s="32" t="str">
        <x:v>无／待BOUND路径规则组合</x:v>
      </x:c>
      <x:c r="O29" s="32" t="str">
        <x:v>日柱与日支近位优先；全局有效独立信号可作次通道。</x:v>
      </x:c>
      <x:c r="P29" s="32" t="str">
        <x:v>由共享基础引擎判定</x:v>
      </x:c>
      <x:c r="Q29" s="32" t="str">
        <x:v>由共享基础引擎判定</x:v>
      </x:c>
      <x:c r="R29" s="32" t="str">
        <x:v>喜忌不直接等于边界好坏；只修正调用顺畅度、资源压力和状态切换。</x:v>
      </x:c>
      <x:c r="S29" s="32" t="str">
        <x:v>原十神性质有效；真合化成立时按化神所属功能系统重建。</x:v>
      </x:c>
      <x:c r="T29" s="32" t="str">
        <x:v>由共享基础引擎判定</x:v>
      </x:c>
      <x:c r="U29" s="32" t="str">
        <x:v>73</x:v>
      </x:c>
      <x:c r="V29" s="32" t="str">
        <x:v>拒绝／暂停候选 +4</x:v>
      </x:c>
      <x:c r="W29" s="32" t="str">
        <x:v>refusal_style</x:v>
      </x:c>
      <x:c r="X29" s="32" t="str">
        <x:v>不合适时更容易直接说明不同意见、暂停某项安排，或把决定重新放回双方协商。</x:v>
      </x:c>
      <x:c r="Y29" s="32" t="str">
        <x:v>不合适时更容易直接说明不同意见、暂停某项安排，或把决定重新放回双方协商。</x:v>
      </x:c>
      <x:c r="Z29" s="32" t="str">
        <x:v>不得由本规则直接推出回避亲密、依赖失控、控制欲、冷漠、自私、关系破裂、分手离婚、人格或依恋类型；不得把某种边界方式等同于爱得更多或更少。</x:v>
      </x:c>
      <x:c r="AA29" s="32" t="str">
        <x:v>中</x:v>
      </x:c>
      <x:c r="AB29" s="32" t="str">
        <x:v>待验证</x:v>
      </x:c>
      <x:c r="AC29" s="32" t="str"/>
      <x:c r="AD29" s="32" t="str">
        <x:v>provisional=true; rule_group=CHANNEL_BD01_REFUSAL</x:v>
      </x:c>
      <x:c r="AE29" s="32" t="str">
        <x:v>0.5</x:v>
      </x:c>
    </x:row>
    <x:row r="30">
      <x:c r="A30" s="32" t="str">
        <x:v>M3-BOUND-026</x:v>
      </x:c>
      <x:c r="B30" s="32" t="str">
        <x:v>比肩接受照顾｜BD01依托边界</x:v>
      </x:c>
      <x:c r="C30" s="32" t="str">
        <x:v>L1 十神边界通道</x:v>
      </x:c>
      <x:c r="D30" s="32" t="str">
        <x:v>BOUND-十神通道</x:v>
      </x:c>
      <x:c r="E30" s="32" t="str">
        <x:v>通用</x:v>
      </x:c>
      <x:c r="F30" s="32" t="str">
        <x:v>接受支持</x:v>
      </x:c>
      <x:c r="G30" s="32" t="str">
        <x:v>比肩</x:v>
      </x:c>
      <x:c r="H30" s="32" t="str"/>
      <x:c r="I30" s="32" t="str">
        <x:v>比肩BOUND功能有效，基础十神性质可靠，未被真合化替换。</x:v>
      </x:c>
      <x:c r="J30" s="32" t="str">
        <x:v>基础信号未定；真合化后原信号已失效；只有单一弱远争议信号；或该结论会越界到M4风险、M5适配。</x:v>
      </x:c>
      <x:c r="K30" s="32" t="str">
        <x:v>由共享基础引擎与M3-STATE修正；日主承载、印比支持只修正自主与执行，不直接等于有无边界。</x:v>
      </x:c>
      <x:c r="L30" s="32" t="str">
        <x:v>不限定；夫妻星仅在入宫或形成角色、责任边界时参与接口，不作为BOUND唯一主轴。</x:v>
      </x:c>
      <x:c r="M30" s="32" t="str">
        <x:v>由M3-BASE、日支主气及宫位动态提供。</x:v>
      </x:c>
      <x:c r="N30" s="32" t="str">
        <x:v>无／待BOUND路径规则组合</x:v>
      </x:c>
      <x:c r="O30" s="32" t="str">
        <x:v>日柱与日支近位优先；全局有效独立信号可作次通道。</x:v>
      </x:c>
      <x:c r="P30" s="32" t="str">
        <x:v>由共享基础引擎判定</x:v>
      </x:c>
      <x:c r="Q30" s="32" t="str">
        <x:v>由共享基础引擎判定</x:v>
      </x:c>
      <x:c r="R30" s="32" t="str">
        <x:v>喜忌不直接等于边界好坏；只修正调用顺畅度、资源压力和状态切换。</x:v>
      </x:c>
      <x:c r="S30" s="32" t="str">
        <x:v>原十神性质有效；真合化成立时按化神所属功能系统重建。</x:v>
      </x:c>
      <x:c r="T30" s="32" t="str">
        <x:v>由共享基础引擎判定</x:v>
      </x:c>
      <x:c r="U30" s="32" t="str">
        <x:v>72</x:v>
      </x:c>
      <x:c r="V30" s="32" t="str">
        <x:v>接受照顾候选 +4</x:v>
      </x:c>
      <x:c r="W30" s="32" t="str">
        <x:v>support_acceptance_boundary</x:v>
      </x:c>
      <x:c r="X30" s="32" t="str">
        <x:v>更容易接受不过度接管、允许自己参与决定、尊重能力和选择权的照顾。</x:v>
      </x:c>
      <x:c r="Y30" s="32" t="str">
        <x:v>更容易接受不过度接管、允许自己参与决定、尊重能力和选择权的照顾。</x:v>
      </x:c>
      <x:c r="Z30" s="32" t="str">
        <x:v>不得由本规则直接推出回避亲密、依赖失控、控制欲、冷漠、自私、关系破裂、分手离婚、人格或依恋类型；不得把某种边界方式等同于爱得更多或更少。</x:v>
      </x:c>
      <x:c r="AA30" s="32" t="str">
        <x:v>中</x:v>
      </x:c>
      <x:c r="AB30" s="32" t="str">
        <x:v>待验证</x:v>
      </x:c>
      <x:c r="AC30" s="32" t="str"/>
      <x:c r="AD30" s="32" t="str">
        <x:v>provisional=true; rule_group=CHANNEL_BD01_RECEIVE</x:v>
      </x:c>
      <x:c r="AE30" s="32" t="str">
        <x:v>0.5</x:v>
      </x:c>
    </x:row>
    <x:row r="31">
      <x:c r="A31" s="32" t="str">
        <x:v>M3-BOUND-027</x:v>
      </x:c>
      <x:c r="B31" s="32" t="str">
        <x:v>比肩禁止误读｜BD01边界</x:v>
      </x:c>
      <x:c r="C31" s="32" t="str">
        <x:v>L1 十神边界通道</x:v>
      </x:c>
      <x:c r="D31" s="32" t="str">
        <x:v>BOUND-十神通道</x:v>
      </x:c>
      <x:c r="E31" s="32" t="str">
        <x:v>通用</x:v>
      </x:c>
      <x:c r="F31" s="32" t="str">
        <x:v>禁止推断</x:v>
      </x:c>
      <x:c r="G31" s="32" t="str">
        <x:v>比肩</x:v>
      </x:c>
      <x:c r="H31" s="32" t="str"/>
      <x:c r="I31" s="32" t="str">
        <x:v>比肩BOUND功能有效，基础十神性质可靠，未被真合化替换。</x:v>
      </x:c>
      <x:c r="J31" s="32" t="str">
        <x:v>基础信号未定；真合化后原信号已失效；只有单一弱远争议信号；或该结论会越界到M4风险、M5适配。</x:v>
      </x:c>
      <x:c r="K31" s="32" t="str">
        <x:v>由共享基础引擎与M3-STATE修正；日主承载、印比支持只修正自主与执行，不直接等于有无边界。</x:v>
      </x:c>
      <x:c r="L31" s="32" t="str">
        <x:v>不限定；夫妻星仅在入宫或形成角色、责任边界时参与接口，不作为BOUND唯一主轴。</x:v>
      </x:c>
      <x:c r="M31" s="32" t="str">
        <x:v>由M3-BASE、日支主气及宫位动态提供。</x:v>
      </x:c>
      <x:c r="N31" s="32" t="str">
        <x:v>无／待BOUND路径规则组合</x:v>
      </x:c>
      <x:c r="O31" s="32" t="str">
        <x:v>日柱与日支近位优先；全局有效独立信号可作次通道。</x:v>
      </x:c>
      <x:c r="P31" s="32" t="str">
        <x:v>由共享基础引擎判定</x:v>
      </x:c>
      <x:c r="Q31" s="32" t="str">
        <x:v>由共享基础引擎判定</x:v>
      </x:c>
      <x:c r="R31" s="32" t="str">
        <x:v>喜忌不直接等于边界好坏；只修正调用顺畅度、资源压力和状态切换。</x:v>
      </x:c>
      <x:c r="S31" s="32" t="str">
        <x:v>原十神性质有效；真合化成立时按化神所属功能系统重建。</x:v>
      </x:c>
      <x:c r="T31" s="32" t="str">
        <x:v>由共享基础引擎判定</x:v>
      </x:c>
      <x:c r="U31" s="32" t="str">
        <x:v>96</x:v>
      </x:c>
      <x:c r="V31" s="32" t="str">
        <x:v>不加分；边界检查</x:v>
      </x:c>
      <x:c r="W31" s="32" t="str">
        <x:v>boundary_note</x:v>
      </x:c>
      <x:c r="X31" s="32" t="str">
        <x:v>该通道只说明关系中的边界功能，不等于人格、风险或感情结果。</x:v>
      </x:c>
      <x:c r="Y31" s="32" t="str">
        <x:v>这里描述的是你可能更常使用的边界方式，不代表你只能这样相处，也不代表其他方式一定缺失。</x:v>
      </x:c>
      <x:c r="Z31" s="32" t="str">
        <x:v>不得推出用户计较、冷淡、不愿依赖、凡事AA、难以亲密、一定强势或不愿妥协。</x:v>
      </x:c>
      <x:c r="AA31" s="32" t="str">
        <x:v>高</x:v>
      </x:c>
      <x:c r="AB31" s="32" t="str">
        <x:v>待验证</x:v>
      </x:c>
      <x:c r="AC31" s="32" t="str"/>
      <x:c r="AD31" s="32" t="str">
        <x:v>provisional=true; rule_group=CHANNEL_BD01_BAN</x:v>
      </x:c>
      <x:c r="AE31" s="32" t="str">
        <x:v>0.5</x:v>
      </x:c>
    </x:row>
    <x:row r="32">
      <x:c r="A32" s="32" t="str">
        <x:v>M3-BOUND-028</x:v>
      </x:c>
      <x:c r="B32" s="32" t="str">
        <x:v>劫财BOUND通道｜BD02 共同参与</x:v>
      </x:c>
      <x:c r="C32" s="32" t="str">
        <x:v>L1 十神边界通道</x:v>
      </x:c>
      <x:c r="D32" s="32" t="str">
        <x:v>BOUND-十神通道</x:v>
      </x:c>
      <x:c r="E32" s="32" t="str">
        <x:v>通用</x:v>
      </x:c>
      <x:c r="F32" s="32" t="str">
        <x:v>基础通道</x:v>
      </x:c>
      <x:c r="G32" s="32" t="str">
        <x:v>劫财</x:v>
      </x:c>
      <x:c r="H32" s="32" t="str"/>
      <x:c r="I32" s="32" t="str">
        <x:v>劫财BOUND功能有效，基础十神性质可靠，未被真合化替换。</x:v>
      </x:c>
      <x:c r="J32" s="32" t="str">
        <x:v>基础信号未定；真合化后原信号已失效；只有单一弱远争议信号；或该结论会越界到M4风险、M5适配。</x:v>
      </x:c>
      <x:c r="K32" s="32" t="str">
        <x:v>由共享基础引擎与M3-STATE修正；日主承载、印比支持只修正自主与执行，不直接等于有无边界。</x:v>
      </x:c>
      <x:c r="L32" s="32" t="str">
        <x:v>不限定；夫妻星仅在入宫或形成角色、责任边界时参与接口，不作为BOUND唯一主轴。</x:v>
      </x:c>
      <x:c r="M32" s="32" t="str">
        <x:v>由M3-BASE、日支主气及宫位动态提供。</x:v>
      </x:c>
      <x:c r="N32" s="32" t="str">
        <x:v>无／待BOUND路径规则组合</x:v>
      </x:c>
      <x:c r="O32" s="32" t="str">
        <x:v>日柱与日支近位优先；全局有效独立信号可作次通道。</x:v>
      </x:c>
      <x:c r="P32" s="32" t="str">
        <x:v>由共享基础引擎判定</x:v>
      </x:c>
      <x:c r="Q32" s="32" t="str">
        <x:v>由共享基础引擎判定</x:v>
      </x:c>
      <x:c r="R32" s="32" t="str">
        <x:v>喜忌不直接等于边界好坏；只修正调用顺畅度、资源压力和状态切换。</x:v>
      </x:c>
      <x:c r="S32" s="32" t="str">
        <x:v>原十神性质有效；真合化成立时按化神所属功能系统重建。</x:v>
      </x:c>
      <x:c r="T32" s="32" t="str">
        <x:v>由共享基础引擎判定</x:v>
      </x:c>
      <x:c r="U32" s="32" t="str">
        <x:v>88</x:v>
      </x:c>
      <x:c r="V32" s="32" t="str">
        <x:v>主BOUND候选 +18</x:v>
      </x:c>
      <x:c r="W32" s="32" t="str">
        <x:v>primary_boundary_channel</x:v>
      </x:c>
      <x:c r="X32" s="32" t="str">
        <x:v>劫财属于SYS01 自我边界系统，在BOUND中主要负责：通过一起行动、即时反馈和共同调整边界来维持关系，边界更像在互动中不断校准。</x:v>
      </x:c>
      <x:c r="Y32" s="32" t="str">
        <x:v>你更容易通过“共同参与”安排亲密与自主。通过一起行动、即时反馈和共同调整边界来维持关系，边界更像在互动中不断校准。</x:v>
      </x:c>
      <x:c r="Z32" s="32" t="str">
        <x:v>不得由本规则直接推出回避亲密、依赖失控、控制欲、冷漠、自私、关系破裂、分手离婚、人格或依恋类型；不得把某种边界方式等同于爱得更多或更少。</x:v>
      </x:c>
      <x:c r="AA32" s="32" t="str">
        <x:v>中高</x:v>
      </x:c>
      <x:c r="AB32" s="32" t="str">
        <x:v>待验证</x:v>
      </x:c>
      <x:c r="AC32" s="32" t="str"/>
      <x:c r="AD32" s="32" t="str">
        <x:v>provisional=true; rule_group=CHANNEL_BD02_BASE</x:v>
      </x:c>
      <x:c r="AE32" s="32" t="str">
        <x:v>0.5</x:v>
      </x:c>
    </x:row>
    <x:row r="33">
      <x:c r="A33" s="32" t="str">
        <x:v>M3-BOUND-029</x:v>
      </x:c>
      <x:c r="B33" s="32" t="str">
        <x:v>劫财靠近方式｜BD02关系启动</x:v>
      </x:c>
      <x:c r="C33" s="32" t="str">
        <x:v>L1 十神边界通道</x:v>
      </x:c>
      <x:c r="D33" s="32" t="str">
        <x:v>BOUND-十神通道</x:v>
      </x:c>
      <x:c r="E33" s="32" t="str">
        <x:v>通用</x:v>
      </x:c>
      <x:c r="F33" s="32" t="str">
        <x:v>靠近方式</x:v>
      </x:c>
      <x:c r="G33" s="32" t="str">
        <x:v>劫财</x:v>
      </x:c>
      <x:c r="H33" s="32" t="str"/>
      <x:c r="I33" s="32" t="str">
        <x:v>劫财BOUND功能有效，基础十神性质可靠，未被真合化替换。</x:v>
      </x:c>
      <x:c r="J33" s="32" t="str">
        <x:v>基础信号未定；真合化后原信号已失效；只有单一弱远争议信号；或该结论会越界到M4风险、M5适配。</x:v>
      </x:c>
      <x:c r="K33" s="32" t="str">
        <x:v>由共享基础引擎与M3-STATE修正；日主承载、印比支持只修正自主与执行，不直接等于有无边界。</x:v>
      </x:c>
      <x:c r="L33" s="32" t="str">
        <x:v>不限定；夫妻星仅在入宫或形成角色、责任边界时参与接口，不作为BOUND唯一主轴。</x:v>
      </x:c>
      <x:c r="M33" s="32" t="str">
        <x:v>由M3-BASE、日支主气及宫位动态提供。</x:v>
      </x:c>
      <x:c r="N33" s="32" t="str">
        <x:v>无／待BOUND路径规则组合</x:v>
      </x:c>
      <x:c r="O33" s="32" t="str">
        <x:v>日柱与日支近位优先；全局有效独立信号可作次通道。</x:v>
      </x:c>
      <x:c r="P33" s="32" t="str">
        <x:v>由共享基础引擎判定</x:v>
      </x:c>
      <x:c r="Q33" s="32" t="str">
        <x:v>由共享基础引擎判定</x:v>
      </x:c>
      <x:c r="R33" s="32" t="str">
        <x:v>喜忌不直接等于边界好坏；只修正调用顺畅度、资源压力和状态切换。</x:v>
      </x:c>
      <x:c r="S33" s="32" t="str">
        <x:v>原十神性质有效；真合化成立时按化神所属功能系统重建。</x:v>
      </x:c>
      <x:c r="T33" s="32" t="str">
        <x:v>由共享基础引擎判定</x:v>
      </x:c>
      <x:c r="U33" s="32" t="str">
        <x:v>76</x:v>
      </x:c>
      <x:c r="V33" s="32" t="str">
        <x:v>靠近节奏候选 +6</x:v>
      </x:c>
      <x:c r="W33" s="32" t="str">
        <x:v>closeness_rhythm</x:v>
      </x:c>
      <x:c r="X33" s="32" t="str">
        <x:v>更容易在共同任务、共同体验或快速互动中拉近距离。</x:v>
      </x:c>
      <x:c r="Y33" s="32" t="str">
        <x:v>更容易在共同任务、共同体验或快速互动中拉近距离。</x:v>
      </x:c>
      <x:c r="Z33" s="32" t="str">
        <x:v>不得由本规则直接推出回避亲密、依赖失控、控制欲、冷漠、自私、关系破裂、分手离婚、人格或依恋类型；不得把某种边界方式等同于爱得更多或更少。</x:v>
      </x:c>
      <x:c r="AA33" s="32" t="str">
        <x:v>中</x:v>
      </x:c>
      <x:c r="AB33" s="32" t="str">
        <x:v>待验证</x:v>
      </x:c>
      <x:c r="AC33" s="32" t="str"/>
      <x:c r="AD33" s="32" t="str">
        <x:v>provisional=true; rule_group=CHANNEL_BD02_APPROACH</x:v>
      </x:c>
      <x:c r="AE33" s="32" t="str">
        <x:v>0.5</x:v>
      </x:c>
    </x:row>
    <x:row r="34">
      <x:c r="A34" s="32" t="str">
        <x:v>M3-BOUND-030</x:v>
      </x:c>
      <x:c r="B34" s="32" t="str">
        <x:v>劫财空间与自主｜BD02权限安排</x:v>
      </x:c>
      <x:c r="C34" s="32" t="str">
        <x:v>L1 十神边界通道</x:v>
      </x:c>
      <x:c r="D34" s="32" t="str">
        <x:v>BOUND-十神通道</x:v>
      </x:c>
      <x:c r="E34" s="32" t="str">
        <x:v>通用</x:v>
      </x:c>
      <x:c r="F34" s="32" t="str">
        <x:v>空间与自主</x:v>
      </x:c>
      <x:c r="G34" s="32" t="str">
        <x:v>劫财</x:v>
      </x:c>
      <x:c r="H34" s="32" t="str"/>
      <x:c r="I34" s="32" t="str">
        <x:v>劫财BOUND功能有效，基础十神性质可靠，未被真合化替换。</x:v>
      </x:c>
      <x:c r="J34" s="32" t="str">
        <x:v>基础信号未定；真合化后原信号已失效；只有单一弱远争议信号；或该结论会越界到M4风险、M5适配。</x:v>
      </x:c>
      <x:c r="K34" s="32" t="str">
        <x:v>由共享基础引擎与M3-STATE修正；日主承载、印比支持只修正自主与执行，不直接等于有无边界。</x:v>
      </x:c>
      <x:c r="L34" s="32" t="str">
        <x:v>不限定；夫妻星仅在入宫或形成角色、责任边界时参与接口，不作为BOUND唯一主轴。</x:v>
      </x:c>
      <x:c r="M34" s="32" t="str">
        <x:v>由M3-BASE、日支主气及宫位动态提供。</x:v>
      </x:c>
      <x:c r="N34" s="32" t="str">
        <x:v>无／待BOUND路径规则组合</x:v>
      </x:c>
      <x:c r="O34" s="32" t="str">
        <x:v>日柱与日支近位优先；全局有效独立信号可作次通道。</x:v>
      </x:c>
      <x:c r="P34" s="32" t="str">
        <x:v>由共享基础引擎判定</x:v>
      </x:c>
      <x:c r="Q34" s="32" t="str">
        <x:v>由共享基础引擎判定</x:v>
      </x:c>
      <x:c r="R34" s="32" t="str">
        <x:v>喜忌不直接等于边界好坏；只修正调用顺畅度、资源压力和状态切换。</x:v>
      </x:c>
      <x:c r="S34" s="32" t="str">
        <x:v>原十神性质有效；真合化成立时按化神所属功能系统重建。</x:v>
      </x:c>
      <x:c r="T34" s="32" t="str">
        <x:v>由共享基础引擎判定</x:v>
      </x:c>
      <x:c r="U34" s="32" t="str">
        <x:v>75</x:v>
      </x:c>
      <x:c r="V34" s="32" t="str">
        <x:v>空间／自主候选 +6</x:v>
      </x:c>
      <x:c r="W34" s="32" t="str">
        <x:v>autonomy_pattern</x:v>
      </x:c>
      <x:c r="X34" s="32" t="str">
        <x:v>个人空间较常随当下任务和双方参与度动态调整，重点是自己仍在场、仍能参与。</x:v>
      </x:c>
      <x:c r="Y34" s="32" t="str">
        <x:v>个人空间较常随当下任务和双方参与度动态调整，重点是自己仍在场、仍能参与。</x:v>
      </x:c>
      <x:c r="Z34" s="32" t="str">
        <x:v>不得由本规则直接推出回避亲密、依赖失控、控制欲、冷漠、自私、关系破裂、分手离婚、人格或依恋类型；不得把某种边界方式等同于爱得更多或更少。</x:v>
      </x:c>
      <x:c r="AA34" s="32" t="str">
        <x:v>中</x:v>
      </x:c>
      <x:c r="AB34" s="32" t="str">
        <x:v>待验证</x:v>
      </x:c>
      <x:c r="AC34" s="32" t="str"/>
      <x:c r="AD34" s="32" t="str">
        <x:v>provisional=true; rule_group=CHANNEL_BD02_SPACE</x:v>
      </x:c>
      <x:c r="AE34" s="32" t="str">
        <x:v>0.5</x:v>
      </x:c>
    </x:row>
    <x:row r="35">
      <x:c r="A35" s="32" t="str">
        <x:v>M3-BOUND-031</x:v>
      </x:c>
      <x:c r="B35" s="32" t="str">
        <x:v>劫财需求表达｜BD02怎样说明需要</x:v>
      </x:c>
      <x:c r="C35" s="32" t="str">
        <x:v>L1 十神边界通道</x:v>
      </x:c>
      <x:c r="D35" s="32" t="str">
        <x:v>BOUND-十神通道</x:v>
      </x:c>
      <x:c r="E35" s="32" t="str">
        <x:v>通用</x:v>
      </x:c>
      <x:c r="F35" s="32" t="str">
        <x:v>需求表达</x:v>
      </x:c>
      <x:c r="G35" s="32" t="str">
        <x:v>劫财</x:v>
      </x:c>
      <x:c r="H35" s="32" t="str"/>
      <x:c r="I35" s="32" t="str">
        <x:v>劫财BOUND功能有效，基础十神性质可靠，未被真合化替换。</x:v>
      </x:c>
      <x:c r="J35" s="32" t="str">
        <x:v>基础信号未定；真合化后原信号已失效；只有单一弱远争议信号；或该结论会越界到M4风险、M5适配。</x:v>
      </x:c>
      <x:c r="K35" s="32" t="str">
        <x:v>由共享基础引擎与M3-STATE修正；日主承载、印比支持只修正自主与执行，不直接等于有无边界。</x:v>
      </x:c>
      <x:c r="L35" s="32" t="str">
        <x:v>不限定；夫妻星仅在入宫或形成角色、责任边界时参与接口，不作为BOUND唯一主轴。</x:v>
      </x:c>
      <x:c r="M35" s="32" t="str">
        <x:v>由M3-BASE、日支主气及宫位动态提供。</x:v>
      </x:c>
      <x:c r="N35" s="32" t="str">
        <x:v>无／待BOUND路径规则组合</x:v>
      </x:c>
      <x:c r="O35" s="32" t="str">
        <x:v>日柱与日支近位优先；全局有效独立信号可作次通道。</x:v>
      </x:c>
      <x:c r="P35" s="32" t="str">
        <x:v>由共享基础引擎判定</x:v>
      </x:c>
      <x:c r="Q35" s="32" t="str">
        <x:v>由共享基础引擎判定</x:v>
      </x:c>
      <x:c r="R35" s="32" t="str">
        <x:v>喜忌不直接等于边界好坏；只修正调用顺畅度、资源压力和状态切换。</x:v>
      </x:c>
      <x:c r="S35" s="32" t="str">
        <x:v>原十神性质有效；真合化成立时按化神所属功能系统重建。</x:v>
      </x:c>
      <x:c r="T35" s="32" t="str">
        <x:v>由共享基础引擎判定</x:v>
      </x:c>
      <x:c r="U35" s="32" t="str">
        <x:v>74</x:v>
      </x:c>
      <x:c r="V35" s="32" t="str">
        <x:v>需求表达候选 +4</x:v>
      </x:c>
      <x:c r="W35" s="32" t="str">
        <x:v>need_expression</x:v>
      </x:c>
      <x:c r="X35" s="32" t="str">
        <x:v>需要支持时更容易直接发出邀约或任务式请求，希望对方一起做而不是只旁观。</x:v>
      </x:c>
      <x:c r="Y35" s="32" t="str">
        <x:v>需要支持时更容易直接发出邀约或任务式请求，希望对方一起做而不是只旁观。</x:v>
      </x:c>
      <x:c r="Z35" s="32" t="str">
        <x:v>不得由本规则直接推出回避亲密、依赖失控、控制欲、冷漠、自私、关系破裂、分手离婚、人格或依恋类型；不得把某种边界方式等同于爱得更多或更少。</x:v>
      </x:c>
      <x:c r="AA35" s="32" t="str">
        <x:v>中</x:v>
      </x:c>
      <x:c r="AB35" s="32" t="str">
        <x:v>待验证</x:v>
      </x:c>
      <x:c r="AC35" s="32" t="str"/>
      <x:c r="AD35" s="32" t="str">
        <x:v>provisional=true; rule_group=CHANNEL_BD02_NEED</x:v>
      </x:c>
      <x:c r="AE35" s="32" t="str">
        <x:v>0.5</x:v>
      </x:c>
    </x:row>
    <x:row r="36">
      <x:c r="A36" s="32" t="str">
        <x:v>M3-BOUND-032</x:v>
      </x:c>
      <x:c r="B36" s="32" t="str">
        <x:v>劫财拒绝与暂停｜BD02怎样设限</x:v>
      </x:c>
      <x:c r="C36" s="32" t="str">
        <x:v>L1 十神边界通道</x:v>
      </x:c>
      <x:c r="D36" s="32" t="str">
        <x:v>BOUND-十神通道</x:v>
      </x:c>
      <x:c r="E36" s="32" t="str">
        <x:v>通用</x:v>
      </x:c>
      <x:c r="F36" s="32" t="str">
        <x:v>拒绝／暂停</x:v>
      </x:c>
      <x:c r="G36" s="32" t="str">
        <x:v>劫财</x:v>
      </x:c>
      <x:c r="H36" s="32" t="str"/>
      <x:c r="I36" s="32" t="str">
        <x:v>劫财BOUND功能有效，基础十神性质可靠，未被真合化替换。</x:v>
      </x:c>
      <x:c r="J36" s="32" t="str">
        <x:v>基础信号未定；真合化后原信号已失效；只有单一弱远争议信号；或该结论会越界到M4风险、M5适配。</x:v>
      </x:c>
      <x:c r="K36" s="32" t="str">
        <x:v>由共享基础引擎与M3-STATE修正；日主承载、印比支持只修正自主与执行，不直接等于有无边界。</x:v>
      </x:c>
      <x:c r="L36" s="32" t="str">
        <x:v>不限定；夫妻星仅在入宫或形成角色、责任边界时参与接口，不作为BOUND唯一主轴。</x:v>
      </x:c>
      <x:c r="M36" s="32" t="str">
        <x:v>由M3-BASE、日支主气及宫位动态提供。</x:v>
      </x:c>
      <x:c r="N36" s="32" t="str">
        <x:v>无／待BOUND路径规则组合</x:v>
      </x:c>
      <x:c r="O36" s="32" t="str">
        <x:v>日柱与日支近位优先；全局有效独立信号可作次通道。</x:v>
      </x:c>
      <x:c r="P36" s="32" t="str">
        <x:v>由共享基础引擎判定</x:v>
      </x:c>
      <x:c r="Q36" s="32" t="str">
        <x:v>由共享基础引擎判定</x:v>
      </x:c>
      <x:c r="R36" s="32" t="str">
        <x:v>喜忌不直接等于边界好坏；只修正调用顺畅度、资源压力和状态切换。</x:v>
      </x:c>
      <x:c r="S36" s="32" t="str">
        <x:v>原十神性质有效；真合化成立时按化神所属功能系统重建。</x:v>
      </x:c>
      <x:c r="T36" s="32" t="str">
        <x:v>由共享基础引擎判定</x:v>
      </x:c>
      <x:c r="U36" s="32" t="str">
        <x:v>73</x:v>
      </x:c>
      <x:c r="V36" s="32" t="str">
        <x:v>拒绝／暂停候选 +4</x:v>
      </x:c>
      <x:c r="W36" s="32" t="str">
        <x:v>refusal_style</x:v>
      </x:c>
      <x:c r="X36" s="32" t="str">
        <x:v>不合适时可能先立刻调整行动、停止参与或更换分工，再补充说明。</x:v>
      </x:c>
      <x:c r="Y36" s="32" t="str">
        <x:v>不合适时可能先立刻调整行动、停止参与或更换分工，再补充说明。</x:v>
      </x:c>
      <x:c r="Z36" s="32" t="str">
        <x:v>不得由本规则直接推出回避亲密、依赖失控、控制欲、冷漠、自私、关系破裂、分手离婚、人格或依恋类型；不得把某种边界方式等同于爱得更多或更少。</x:v>
      </x:c>
      <x:c r="AA36" s="32" t="str">
        <x:v>中</x:v>
      </x:c>
      <x:c r="AB36" s="32" t="str">
        <x:v>待验证</x:v>
      </x:c>
      <x:c r="AC36" s="32" t="str"/>
      <x:c r="AD36" s="32" t="str">
        <x:v>provisional=true; rule_group=CHANNEL_BD02_REFUSAL</x:v>
      </x:c>
      <x:c r="AE36" s="32" t="str">
        <x:v>0.5</x:v>
      </x:c>
    </x:row>
    <x:row r="37">
      <x:c r="A37" s="32" t="str">
        <x:v>M3-BOUND-033</x:v>
      </x:c>
      <x:c r="B37" s="32" t="str">
        <x:v>劫财接受照顾｜BD02依托边界</x:v>
      </x:c>
      <x:c r="C37" s="32" t="str">
        <x:v>L1 十神边界通道</x:v>
      </x:c>
      <x:c r="D37" s="32" t="str">
        <x:v>BOUND-十神通道</x:v>
      </x:c>
      <x:c r="E37" s="32" t="str">
        <x:v>通用</x:v>
      </x:c>
      <x:c r="F37" s="32" t="str">
        <x:v>接受支持</x:v>
      </x:c>
      <x:c r="G37" s="32" t="str">
        <x:v>劫财</x:v>
      </x:c>
      <x:c r="H37" s="32" t="str"/>
      <x:c r="I37" s="32" t="str">
        <x:v>劫财BOUND功能有效，基础十神性质可靠，未被真合化替换。</x:v>
      </x:c>
      <x:c r="J37" s="32" t="str">
        <x:v>基础信号未定；真合化后原信号已失效；只有单一弱远争议信号；或该结论会越界到M4风险、M5适配。</x:v>
      </x:c>
      <x:c r="K37" s="32" t="str">
        <x:v>由共享基础引擎与M3-STATE修正；日主承载、印比支持只修正自主与执行，不直接等于有无边界。</x:v>
      </x:c>
      <x:c r="L37" s="32" t="str">
        <x:v>不限定；夫妻星仅在入宫或形成角色、责任边界时参与接口，不作为BOUND唯一主轴。</x:v>
      </x:c>
      <x:c r="M37" s="32" t="str">
        <x:v>由M3-BASE、日支主气及宫位动态提供。</x:v>
      </x:c>
      <x:c r="N37" s="32" t="str">
        <x:v>无／待BOUND路径规则组合</x:v>
      </x:c>
      <x:c r="O37" s="32" t="str">
        <x:v>日柱与日支近位优先；全局有效独立信号可作次通道。</x:v>
      </x:c>
      <x:c r="P37" s="32" t="str">
        <x:v>由共享基础引擎判定</x:v>
      </x:c>
      <x:c r="Q37" s="32" t="str">
        <x:v>由共享基础引擎判定</x:v>
      </x:c>
      <x:c r="R37" s="32" t="str">
        <x:v>喜忌不直接等于边界好坏；只修正调用顺畅度、资源压力和状态切换。</x:v>
      </x:c>
      <x:c r="S37" s="32" t="str">
        <x:v>原十神性质有效；真合化成立时按化神所属功能系统重建。</x:v>
      </x:c>
      <x:c r="T37" s="32" t="str">
        <x:v>由共享基础引擎判定</x:v>
      </x:c>
      <x:c r="U37" s="32" t="str">
        <x:v>72</x:v>
      </x:c>
      <x:c r="V37" s="32" t="str">
        <x:v>接受照顾候选 +4</x:v>
      </x:c>
      <x:c r="W37" s="32" t="str">
        <x:v>support_acceptance_boundary</x:v>
      </x:c>
      <x:c r="X37" s="32" t="str">
        <x:v>更容易在对方真正加入、共同承担和即时回应时感到被照顾。</x:v>
      </x:c>
      <x:c r="Y37" s="32" t="str">
        <x:v>更容易在对方真正加入、共同承担和即时回应时感到被照顾。</x:v>
      </x:c>
      <x:c r="Z37" s="32" t="str">
        <x:v>不得由本规则直接推出回避亲密、依赖失控、控制欲、冷漠、自私、关系破裂、分手离婚、人格或依恋类型；不得把某种边界方式等同于爱得更多或更少。</x:v>
      </x:c>
      <x:c r="AA37" s="32" t="str">
        <x:v>中</x:v>
      </x:c>
      <x:c r="AB37" s="32" t="str">
        <x:v>待验证</x:v>
      </x:c>
      <x:c r="AC37" s="32" t="str"/>
      <x:c r="AD37" s="32" t="str">
        <x:v>provisional=true; rule_group=CHANNEL_BD02_RECEIVE</x:v>
      </x:c>
      <x:c r="AE37" s="32" t="str">
        <x:v>0.5</x:v>
      </x:c>
    </x:row>
    <x:row r="38">
      <x:c r="A38" s="32" t="str">
        <x:v>M3-BOUND-034</x:v>
      </x:c>
      <x:c r="B38" s="32" t="str">
        <x:v>劫财禁止误读｜BD02边界</x:v>
      </x:c>
      <x:c r="C38" s="32" t="str">
        <x:v>L1 十神边界通道</x:v>
      </x:c>
      <x:c r="D38" s="32" t="str">
        <x:v>BOUND-十神通道</x:v>
      </x:c>
      <x:c r="E38" s="32" t="str">
        <x:v>通用</x:v>
      </x:c>
      <x:c r="F38" s="32" t="str">
        <x:v>禁止推断</x:v>
      </x:c>
      <x:c r="G38" s="32" t="str">
        <x:v>劫财</x:v>
      </x:c>
      <x:c r="H38" s="32" t="str"/>
      <x:c r="I38" s="32" t="str">
        <x:v>劫财BOUND功能有效，基础十神性质可靠，未被真合化替换。</x:v>
      </x:c>
      <x:c r="J38" s="32" t="str">
        <x:v>基础信号未定；真合化后原信号已失效；只有单一弱远争议信号；或该结论会越界到M4风险、M5适配。</x:v>
      </x:c>
      <x:c r="K38" s="32" t="str">
        <x:v>由共享基础引擎与M3-STATE修正；日主承载、印比支持只修正自主与执行，不直接等于有无边界。</x:v>
      </x:c>
      <x:c r="L38" s="32" t="str">
        <x:v>不限定；夫妻星仅在入宫或形成角色、责任边界时参与接口，不作为BOUND唯一主轴。</x:v>
      </x:c>
      <x:c r="M38" s="32" t="str">
        <x:v>由M3-BASE、日支主气及宫位动态提供。</x:v>
      </x:c>
      <x:c r="N38" s="32" t="str">
        <x:v>无／待BOUND路径规则组合</x:v>
      </x:c>
      <x:c r="O38" s="32" t="str">
        <x:v>日柱与日支近位优先；全局有效独立信号可作次通道。</x:v>
      </x:c>
      <x:c r="P38" s="32" t="str">
        <x:v>由共享基础引擎判定</x:v>
      </x:c>
      <x:c r="Q38" s="32" t="str">
        <x:v>由共享基础引擎判定</x:v>
      </x:c>
      <x:c r="R38" s="32" t="str">
        <x:v>喜忌不直接等于边界好坏；只修正调用顺畅度、资源压力和状态切换。</x:v>
      </x:c>
      <x:c r="S38" s="32" t="str">
        <x:v>原十神性质有效；真合化成立时按化神所属功能系统重建。</x:v>
      </x:c>
      <x:c r="T38" s="32" t="str">
        <x:v>由共享基础引擎判定</x:v>
      </x:c>
      <x:c r="U38" s="32" t="str">
        <x:v>96</x:v>
      </x:c>
      <x:c r="V38" s="32" t="str">
        <x:v>不加分；边界检查</x:v>
      </x:c>
      <x:c r="W38" s="32" t="str">
        <x:v>boundary_note</x:v>
      </x:c>
      <x:c r="X38" s="32" t="str">
        <x:v>该通道只说明关系中的边界功能，不等于人格、风险或感情结果。</x:v>
      </x:c>
      <x:c r="Y38" s="32" t="str">
        <x:v>这里描述的是你可能更常使用的边界方式，不代表你只能这样相处，也不代表其他方式一定缺失。</x:v>
      </x:c>
      <x:c r="Z38" s="32" t="str">
        <x:v>不得推出用户争抢、冲动、边界混乱、爱竞争、一定占有资源或无法长期稳定。</x:v>
      </x:c>
      <x:c r="AA38" s="32" t="str">
        <x:v>高</x:v>
      </x:c>
      <x:c r="AB38" s="32" t="str">
        <x:v>待验证</x:v>
      </x:c>
      <x:c r="AC38" s="32" t="str"/>
      <x:c r="AD38" s="32" t="str">
        <x:v>provisional=true; rule_group=CHANNEL_BD02_BAN</x:v>
      </x:c>
      <x:c r="AE38" s="32" t="str">
        <x:v>0.5</x:v>
      </x:c>
    </x:row>
    <x:row r="39">
      <x:c r="A39" s="32" t="str">
        <x:v>M3-BOUND-035</x:v>
      </x:c>
      <x:c r="B39" s="32" t="str">
        <x:v>食神BOUND通道｜BD03 舒适靠近</x:v>
      </x:c>
      <x:c r="C39" s="32" t="str">
        <x:v>L1 十神边界通道</x:v>
      </x:c>
      <x:c r="D39" s="32" t="str">
        <x:v>BOUND-十神通道</x:v>
      </x:c>
      <x:c r="E39" s="32" t="str">
        <x:v>通用</x:v>
      </x:c>
      <x:c r="F39" s="32" t="str">
        <x:v>基础通道</x:v>
      </x:c>
      <x:c r="G39" s="32" t="str">
        <x:v>食神</x:v>
      </x:c>
      <x:c r="H39" s="32" t="str"/>
      <x:c r="I39" s="32" t="str">
        <x:v>食神BOUND功能有效，基础十神性质可靠，未被真合化替换。</x:v>
      </x:c>
      <x:c r="J39" s="32" t="str">
        <x:v>基础信号未定；真合化后原信号已失效；只有单一弱远争议信号；或该结论会越界到M4风险、M5适配。</x:v>
      </x:c>
      <x:c r="K39" s="32" t="str">
        <x:v>由共享基础引擎与M3-STATE修正；日主承载、印比支持只修正自主与执行，不直接等于有无边界。</x:v>
      </x:c>
      <x:c r="L39" s="32" t="str">
        <x:v>不限定；夫妻星仅在入宫或形成角色、责任边界时参与接口，不作为BOUND唯一主轴。</x:v>
      </x:c>
      <x:c r="M39" s="32" t="str">
        <x:v>由M3-BASE、日支主气及宫位动态提供。</x:v>
      </x:c>
      <x:c r="N39" s="32" t="str">
        <x:v>无／待BOUND路径规则组合</x:v>
      </x:c>
      <x:c r="O39" s="32" t="str">
        <x:v>日柱与日支近位优先；全局有效独立信号可作次通道。</x:v>
      </x:c>
      <x:c r="P39" s="32" t="str">
        <x:v>由共享基础引擎判定</x:v>
      </x:c>
      <x:c r="Q39" s="32" t="str">
        <x:v>由共享基础引擎判定</x:v>
      </x:c>
      <x:c r="R39" s="32" t="str">
        <x:v>喜忌不直接等于边界好坏；只修正调用顺畅度、资源压力和状态切换。</x:v>
      </x:c>
      <x:c r="S39" s="32" t="str">
        <x:v>原十神性质有效；真合化成立时按化神所属功能系统重建。</x:v>
      </x:c>
      <x:c r="T39" s="32" t="str">
        <x:v>由共享基础引擎判定</x:v>
      </x:c>
      <x:c r="U39" s="32" t="str">
        <x:v>88</x:v>
      </x:c>
      <x:c r="V39" s="32" t="str">
        <x:v>主BOUND候选 +18</x:v>
      </x:c>
      <x:c r="W39" s="32" t="str">
        <x:v>primary_boundary_channel</x:v>
      </x:c>
      <x:c r="X39" s="32" t="str">
        <x:v>食神属于SYS02 表达交流系统，在BOUND中主要负责：通过舒适、温和、低压力和日常陪伴逐渐建立亲密，边界重点是节奏不被强迫。</x:v>
      </x:c>
      <x:c r="Y39" s="32" t="str">
        <x:v>你更容易通过“舒适靠近”安排亲密与自主。通过舒适、温和、低压力和日常陪伴逐渐建立亲密，边界重点是节奏不被强迫。</x:v>
      </x:c>
      <x:c r="Z39" s="32" t="str">
        <x:v>不得由本规则直接推出回避亲密、依赖失控、控制欲、冷漠、自私、关系破裂、分手离婚、人格或依恋类型；不得把某种边界方式等同于爱得更多或更少。</x:v>
      </x:c>
      <x:c r="AA39" s="32" t="str">
        <x:v>中高</x:v>
      </x:c>
      <x:c r="AB39" s="32" t="str">
        <x:v>待验证</x:v>
      </x:c>
      <x:c r="AC39" s="32" t="str"/>
      <x:c r="AD39" s="32" t="str">
        <x:v>provisional=true; rule_group=CHANNEL_BD03_BASE</x:v>
      </x:c>
      <x:c r="AE39" s="32" t="str">
        <x:v>0.5</x:v>
      </x:c>
    </x:row>
    <x:row r="40">
      <x:c r="A40" s="32" t="str">
        <x:v>M3-BOUND-036</x:v>
      </x:c>
      <x:c r="B40" s="32" t="str">
        <x:v>食神靠近方式｜BD03关系启动</x:v>
      </x:c>
      <x:c r="C40" s="32" t="str">
        <x:v>L1 十神边界通道</x:v>
      </x:c>
      <x:c r="D40" s="32" t="str">
        <x:v>BOUND-十神通道</x:v>
      </x:c>
      <x:c r="E40" s="32" t="str">
        <x:v>通用</x:v>
      </x:c>
      <x:c r="F40" s="32" t="str">
        <x:v>靠近方式</x:v>
      </x:c>
      <x:c r="G40" s="32" t="str">
        <x:v>食神</x:v>
      </x:c>
      <x:c r="H40" s="32" t="str"/>
      <x:c r="I40" s="32" t="str">
        <x:v>食神BOUND功能有效，基础十神性质可靠，未被真合化替换。</x:v>
      </x:c>
      <x:c r="J40" s="32" t="str">
        <x:v>基础信号未定；真合化后原信号已失效；只有单一弱远争议信号；或该结论会越界到M4风险、M5适配。</x:v>
      </x:c>
      <x:c r="K40" s="32" t="str">
        <x:v>由共享基础引擎与M3-STATE修正；日主承载、印比支持只修正自主与执行，不直接等于有无边界。</x:v>
      </x:c>
      <x:c r="L40" s="32" t="str">
        <x:v>不限定；夫妻星仅在入宫或形成角色、责任边界时参与接口，不作为BOUND唯一主轴。</x:v>
      </x:c>
      <x:c r="M40" s="32" t="str">
        <x:v>由M3-BASE、日支主气及宫位动态提供。</x:v>
      </x:c>
      <x:c r="N40" s="32" t="str">
        <x:v>无／待BOUND路径规则组合</x:v>
      </x:c>
      <x:c r="O40" s="32" t="str">
        <x:v>日柱与日支近位优先；全局有效独立信号可作次通道。</x:v>
      </x:c>
      <x:c r="P40" s="32" t="str">
        <x:v>由共享基础引擎判定</x:v>
      </x:c>
      <x:c r="Q40" s="32" t="str">
        <x:v>由共享基础引擎判定</x:v>
      </x:c>
      <x:c r="R40" s="32" t="str">
        <x:v>喜忌不直接等于边界好坏；只修正调用顺畅度、资源压力和状态切换。</x:v>
      </x:c>
      <x:c r="S40" s="32" t="str">
        <x:v>原十神性质有效；真合化成立时按化神所属功能系统重建。</x:v>
      </x:c>
      <x:c r="T40" s="32" t="str">
        <x:v>由共享基础引擎判定</x:v>
      </x:c>
      <x:c r="U40" s="32" t="str">
        <x:v>76</x:v>
      </x:c>
      <x:c r="V40" s="32" t="str">
        <x:v>靠近节奏候选 +6</x:v>
      </x:c>
      <x:c r="W40" s="32" t="str">
        <x:v>closeness_rhythm</x:v>
      </x:c>
      <x:c r="X40" s="32" t="str">
        <x:v>更容易在轻松相处、生活分享和被照顾到节奏时自然靠近。</x:v>
      </x:c>
      <x:c r="Y40" s="32" t="str">
        <x:v>更容易在轻松相处、生活分享和被照顾到节奏时自然靠近。</x:v>
      </x:c>
      <x:c r="Z40" s="32" t="str">
        <x:v>不得由本规则直接推出回避亲密、依赖失控、控制欲、冷漠、自私、关系破裂、分手离婚、人格或依恋类型；不得把某种边界方式等同于爱得更多或更少。</x:v>
      </x:c>
      <x:c r="AA40" s="32" t="str">
        <x:v>中</x:v>
      </x:c>
      <x:c r="AB40" s="32" t="str">
        <x:v>待验证</x:v>
      </x:c>
      <x:c r="AC40" s="32" t="str"/>
      <x:c r="AD40" s="32" t="str">
        <x:v>provisional=true; rule_group=CHANNEL_BD03_APPROACH</x:v>
      </x:c>
      <x:c r="AE40" s="32" t="str">
        <x:v>0.5</x:v>
      </x:c>
    </x:row>
    <x:row r="41">
      <x:c r="A41" s="32" t="str">
        <x:v>M3-BOUND-037</x:v>
      </x:c>
      <x:c r="B41" s="32" t="str">
        <x:v>食神空间与自主｜BD03权限安排</x:v>
      </x:c>
      <x:c r="C41" s="32" t="str">
        <x:v>L1 十神边界通道</x:v>
      </x:c>
      <x:c r="D41" s="32" t="str">
        <x:v>BOUND-十神通道</x:v>
      </x:c>
      <x:c r="E41" s="32" t="str">
        <x:v>通用</x:v>
      </x:c>
      <x:c r="F41" s="32" t="str">
        <x:v>空间与自主</x:v>
      </x:c>
      <x:c r="G41" s="32" t="str">
        <x:v>食神</x:v>
      </x:c>
      <x:c r="H41" s="32" t="str"/>
      <x:c r="I41" s="32" t="str">
        <x:v>食神BOUND功能有效，基础十神性质可靠，未被真合化替换。</x:v>
      </x:c>
      <x:c r="J41" s="32" t="str">
        <x:v>基础信号未定；真合化后原信号已失效；只有单一弱远争议信号；或该结论会越界到M4风险、M5适配。</x:v>
      </x:c>
      <x:c r="K41" s="32" t="str">
        <x:v>由共享基础引擎与M3-STATE修正；日主承载、印比支持只修正自主与执行，不直接等于有无边界。</x:v>
      </x:c>
      <x:c r="L41" s="32" t="str">
        <x:v>不限定；夫妻星仅在入宫或形成角色、责任边界时参与接口，不作为BOUND唯一主轴。</x:v>
      </x:c>
      <x:c r="M41" s="32" t="str">
        <x:v>由M3-BASE、日支主气及宫位动态提供。</x:v>
      </x:c>
      <x:c r="N41" s="32" t="str">
        <x:v>无／待BOUND路径规则组合</x:v>
      </x:c>
      <x:c r="O41" s="32" t="str">
        <x:v>日柱与日支近位优先；全局有效独立信号可作次通道。</x:v>
      </x:c>
      <x:c r="P41" s="32" t="str">
        <x:v>由共享基础引擎判定</x:v>
      </x:c>
      <x:c r="Q41" s="32" t="str">
        <x:v>由共享基础引擎判定</x:v>
      </x:c>
      <x:c r="R41" s="32" t="str">
        <x:v>喜忌不直接等于边界好坏；只修正调用顺畅度、资源压力和状态切换。</x:v>
      </x:c>
      <x:c r="S41" s="32" t="str">
        <x:v>原十神性质有效；真合化成立时按化神所属功能系统重建。</x:v>
      </x:c>
      <x:c r="T41" s="32" t="str">
        <x:v>由共享基础引擎判定</x:v>
      </x:c>
      <x:c r="U41" s="32" t="str">
        <x:v>75</x:v>
      </x:c>
      <x:c r="V41" s="32" t="str">
        <x:v>空间／自主候选 +6</x:v>
      </x:c>
      <x:c r="W41" s="32" t="str">
        <x:v>autonomy_pattern</x:v>
      </x:c>
      <x:c r="X41" s="32" t="str">
        <x:v>需要让身体、情绪和生活节奏保持舒服；空间不一定很多，但不喜欢持续被催促。</x:v>
      </x:c>
      <x:c r="Y41" s="32" t="str">
        <x:v>需要让身体、情绪和生活节奏保持舒服；空间不一定很多，但不喜欢持续被催促。</x:v>
      </x:c>
      <x:c r="Z41" s="32" t="str">
        <x:v>不得由本规则直接推出回避亲密、依赖失控、控制欲、冷漠、自私、关系破裂、分手离婚、人格或依恋类型；不得把某种边界方式等同于爱得更多或更少。</x:v>
      </x:c>
      <x:c r="AA41" s="32" t="str">
        <x:v>中</x:v>
      </x:c>
      <x:c r="AB41" s="32" t="str">
        <x:v>待验证</x:v>
      </x:c>
      <x:c r="AC41" s="32" t="str"/>
      <x:c r="AD41" s="32" t="str">
        <x:v>provisional=true; rule_group=CHANNEL_BD03_SPACE</x:v>
      </x:c>
      <x:c r="AE41" s="32" t="str">
        <x:v>0.5</x:v>
      </x:c>
    </x:row>
    <x:row r="42">
      <x:c r="A42" s="32" t="str">
        <x:v>M3-BOUND-038</x:v>
      </x:c>
      <x:c r="B42" s="32" t="str">
        <x:v>食神需求表达｜BD03怎样说明需要</x:v>
      </x:c>
      <x:c r="C42" s="32" t="str">
        <x:v>L1 十神边界通道</x:v>
      </x:c>
      <x:c r="D42" s="32" t="str">
        <x:v>BOUND-十神通道</x:v>
      </x:c>
      <x:c r="E42" s="32" t="str">
        <x:v>通用</x:v>
      </x:c>
      <x:c r="F42" s="32" t="str">
        <x:v>需求表达</x:v>
      </x:c>
      <x:c r="G42" s="32" t="str">
        <x:v>食神</x:v>
      </x:c>
      <x:c r="H42" s="32" t="str"/>
      <x:c r="I42" s="32" t="str">
        <x:v>食神BOUND功能有效，基础十神性质可靠，未被真合化替换。</x:v>
      </x:c>
      <x:c r="J42" s="32" t="str">
        <x:v>基础信号未定；真合化后原信号已失效；只有单一弱远争议信号；或该结论会越界到M4风险、M5适配。</x:v>
      </x:c>
      <x:c r="K42" s="32" t="str">
        <x:v>由共享基础引擎与M3-STATE修正；日主承载、印比支持只修正自主与执行，不直接等于有无边界。</x:v>
      </x:c>
      <x:c r="L42" s="32" t="str">
        <x:v>不限定；夫妻星仅在入宫或形成角色、责任边界时参与接口，不作为BOUND唯一主轴。</x:v>
      </x:c>
      <x:c r="M42" s="32" t="str">
        <x:v>由M3-BASE、日支主气及宫位动态提供。</x:v>
      </x:c>
      <x:c r="N42" s="32" t="str">
        <x:v>无／待BOUND路径规则组合</x:v>
      </x:c>
      <x:c r="O42" s="32" t="str">
        <x:v>日柱与日支近位优先；全局有效独立信号可作次通道。</x:v>
      </x:c>
      <x:c r="P42" s="32" t="str">
        <x:v>由共享基础引擎判定</x:v>
      </x:c>
      <x:c r="Q42" s="32" t="str">
        <x:v>由共享基础引擎判定</x:v>
      </x:c>
      <x:c r="R42" s="32" t="str">
        <x:v>喜忌不直接等于边界好坏；只修正调用顺畅度、资源压力和状态切换。</x:v>
      </x:c>
      <x:c r="S42" s="32" t="str">
        <x:v>原十神性质有效；真合化成立时按化神所属功能系统重建。</x:v>
      </x:c>
      <x:c r="T42" s="32" t="str">
        <x:v>由共享基础引擎判定</x:v>
      </x:c>
      <x:c r="U42" s="32" t="str">
        <x:v>74</x:v>
      </x:c>
      <x:c r="V42" s="32" t="str">
        <x:v>需求表达候选 +4</x:v>
      </x:c>
      <x:c r="W42" s="32" t="str">
        <x:v>need_expression</x:v>
      </x:c>
      <x:c r="X42" s="32" t="str">
        <x:v>需求往往以温和铺垫、生活感受或希望相处更舒服的方式表达。</x:v>
      </x:c>
      <x:c r="Y42" s="32" t="str">
        <x:v>需求往往以温和铺垫、生活感受或希望相处更舒服的方式表达。</x:v>
      </x:c>
      <x:c r="Z42" s="32" t="str">
        <x:v>不得由本规则直接推出回避亲密、依赖失控、控制欲、冷漠、自私、关系破裂、分手离婚、人格或依恋类型；不得把某种边界方式等同于爱得更多或更少。</x:v>
      </x:c>
      <x:c r="AA42" s="32" t="str">
        <x:v>中</x:v>
      </x:c>
      <x:c r="AB42" s="32" t="str">
        <x:v>待验证</x:v>
      </x:c>
      <x:c r="AC42" s="32" t="str"/>
      <x:c r="AD42" s="32" t="str">
        <x:v>provisional=true; rule_group=CHANNEL_BD03_NEED</x:v>
      </x:c>
      <x:c r="AE42" s="32" t="str">
        <x:v>0.5</x:v>
      </x:c>
    </x:row>
    <x:row r="43">
      <x:c r="A43" s="32" t="str">
        <x:v>M3-BOUND-039</x:v>
      </x:c>
      <x:c r="B43" s="32" t="str">
        <x:v>食神拒绝与暂停｜BD03怎样设限</x:v>
      </x:c>
      <x:c r="C43" s="32" t="str">
        <x:v>L1 十神边界通道</x:v>
      </x:c>
      <x:c r="D43" s="32" t="str">
        <x:v>BOUND-十神通道</x:v>
      </x:c>
      <x:c r="E43" s="32" t="str">
        <x:v>通用</x:v>
      </x:c>
      <x:c r="F43" s="32" t="str">
        <x:v>拒绝／暂停</x:v>
      </x:c>
      <x:c r="G43" s="32" t="str">
        <x:v>食神</x:v>
      </x:c>
      <x:c r="H43" s="32" t="str"/>
      <x:c r="I43" s="32" t="str">
        <x:v>食神BOUND功能有效，基础十神性质可靠，未被真合化替换。</x:v>
      </x:c>
      <x:c r="J43" s="32" t="str">
        <x:v>基础信号未定；真合化后原信号已失效；只有单一弱远争议信号；或该结论会越界到M4风险、M5适配。</x:v>
      </x:c>
      <x:c r="K43" s="32" t="str">
        <x:v>由共享基础引擎与M3-STATE修正；日主承载、印比支持只修正自主与执行，不直接等于有无边界。</x:v>
      </x:c>
      <x:c r="L43" s="32" t="str">
        <x:v>不限定；夫妻星仅在入宫或形成角色、责任边界时参与接口，不作为BOUND唯一主轴。</x:v>
      </x:c>
      <x:c r="M43" s="32" t="str">
        <x:v>由M3-BASE、日支主气及宫位动态提供。</x:v>
      </x:c>
      <x:c r="N43" s="32" t="str">
        <x:v>无／待BOUND路径规则组合</x:v>
      </x:c>
      <x:c r="O43" s="32" t="str">
        <x:v>日柱与日支近位优先；全局有效独立信号可作次通道。</x:v>
      </x:c>
      <x:c r="P43" s="32" t="str">
        <x:v>由共享基础引擎判定</x:v>
      </x:c>
      <x:c r="Q43" s="32" t="str">
        <x:v>由共享基础引擎判定</x:v>
      </x:c>
      <x:c r="R43" s="32" t="str">
        <x:v>喜忌不直接等于边界好坏；只修正调用顺畅度、资源压力和状态切换。</x:v>
      </x:c>
      <x:c r="S43" s="32" t="str">
        <x:v>原十神性质有效；真合化成立时按化神所属功能系统重建。</x:v>
      </x:c>
      <x:c r="T43" s="32" t="str">
        <x:v>由共享基础引擎判定</x:v>
      </x:c>
      <x:c r="U43" s="32" t="str">
        <x:v>73</x:v>
      </x:c>
      <x:c r="V43" s="32" t="str">
        <x:v>拒绝／暂停候选 +4</x:v>
      </x:c>
      <x:c r="W43" s="32" t="str">
        <x:v>refusal_style</x:v>
      </x:c>
      <x:c r="X43" s="32" t="str">
        <x:v>不舒服时更可能放慢节奏、减少刺激、请求缓冲，而不是立刻把关系定义为拒绝。</x:v>
      </x:c>
      <x:c r="Y43" s="32" t="str">
        <x:v>不舒服时更可能放慢节奏、减少刺激、请求缓冲，而不是立刻把关系定义为拒绝。</x:v>
      </x:c>
      <x:c r="Z43" s="32" t="str">
        <x:v>不得由本规则直接推出回避亲密、依赖失控、控制欲、冷漠、自私、关系破裂、分手离婚、人格或依恋类型；不得把某种边界方式等同于爱得更多或更少。</x:v>
      </x:c>
      <x:c r="AA43" s="32" t="str">
        <x:v>中</x:v>
      </x:c>
      <x:c r="AB43" s="32" t="str">
        <x:v>待验证</x:v>
      </x:c>
      <x:c r="AC43" s="32" t="str"/>
      <x:c r="AD43" s="32" t="str">
        <x:v>provisional=true; rule_group=CHANNEL_BD03_REFUSAL</x:v>
      </x:c>
      <x:c r="AE43" s="32" t="str">
        <x:v>0.5</x:v>
      </x:c>
    </x:row>
    <x:row r="44">
      <x:c r="A44" s="32" t="str">
        <x:v>M3-BOUND-040</x:v>
      </x:c>
      <x:c r="B44" s="32" t="str">
        <x:v>食神接受照顾｜BD03依托边界</x:v>
      </x:c>
      <x:c r="C44" s="32" t="str">
        <x:v>L1 十神边界通道</x:v>
      </x:c>
      <x:c r="D44" s="32" t="str">
        <x:v>BOUND-十神通道</x:v>
      </x:c>
      <x:c r="E44" s="32" t="str">
        <x:v>通用</x:v>
      </x:c>
      <x:c r="F44" s="32" t="str">
        <x:v>接受支持</x:v>
      </x:c>
      <x:c r="G44" s="32" t="str">
        <x:v>食神</x:v>
      </x:c>
      <x:c r="H44" s="32" t="str"/>
      <x:c r="I44" s="32" t="str">
        <x:v>食神BOUND功能有效，基础十神性质可靠，未被真合化替换。</x:v>
      </x:c>
      <x:c r="J44" s="32" t="str">
        <x:v>基础信号未定；真合化后原信号已失效；只有单一弱远争议信号；或该结论会越界到M4风险、M5适配。</x:v>
      </x:c>
      <x:c r="K44" s="32" t="str">
        <x:v>由共享基础引擎与M3-STATE修正；日主承载、印比支持只修正自主与执行，不直接等于有无边界。</x:v>
      </x:c>
      <x:c r="L44" s="32" t="str">
        <x:v>不限定；夫妻星仅在入宫或形成角色、责任边界时参与接口，不作为BOUND唯一主轴。</x:v>
      </x:c>
      <x:c r="M44" s="32" t="str">
        <x:v>由M3-BASE、日支主气及宫位动态提供。</x:v>
      </x:c>
      <x:c r="N44" s="32" t="str">
        <x:v>无／待BOUND路径规则组合</x:v>
      </x:c>
      <x:c r="O44" s="32" t="str">
        <x:v>日柱与日支近位优先；全局有效独立信号可作次通道。</x:v>
      </x:c>
      <x:c r="P44" s="32" t="str">
        <x:v>由共享基础引擎判定</x:v>
      </x:c>
      <x:c r="Q44" s="32" t="str">
        <x:v>由共享基础引擎判定</x:v>
      </x:c>
      <x:c r="R44" s="32" t="str">
        <x:v>喜忌不直接等于边界好坏；只修正调用顺畅度、资源压力和状态切换。</x:v>
      </x:c>
      <x:c r="S44" s="32" t="str">
        <x:v>原十神性质有效；真合化成立时按化神所属功能系统重建。</x:v>
      </x:c>
      <x:c r="T44" s="32" t="str">
        <x:v>由共享基础引擎判定</x:v>
      </x:c>
      <x:c r="U44" s="32" t="str">
        <x:v>72</x:v>
      </x:c>
      <x:c r="V44" s="32" t="str">
        <x:v>接受照顾候选 +4</x:v>
      </x:c>
      <x:c r="W44" s="32" t="str">
        <x:v>support_acceptance_boundary</x:v>
      </x:c>
      <x:c r="X44" s="32" t="str">
        <x:v>更容易接受温和、耐心、不催促、能照顾身心状态的支持。</x:v>
      </x:c>
      <x:c r="Y44" s="32" t="str">
        <x:v>更容易接受温和、耐心、不催促、能照顾身心状态的支持。</x:v>
      </x:c>
      <x:c r="Z44" s="32" t="str">
        <x:v>不得由本规则直接推出回避亲密、依赖失控、控制欲、冷漠、自私、关系破裂、分手离婚、人格或依恋类型；不得把某种边界方式等同于爱得更多或更少。</x:v>
      </x:c>
      <x:c r="AA44" s="32" t="str">
        <x:v>中</x:v>
      </x:c>
      <x:c r="AB44" s="32" t="str">
        <x:v>待验证</x:v>
      </x:c>
      <x:c r="AC44" s="32" t="str"/>
      <x:c r="AD44" s="32" t="str">
        <x:v>provisional=true; rule_group=CHANNEL_BD03_RECEIVE</x:v>
      </x:c>
      <x:c r="AE44" s="32" t="str">
        <x:v>0.5</x:v>
      </x:c>
    </x:row>
    <x:row r="45">
      <x:c r="A45" s="32" t="str">
        <x:v>M3-BOUND-041</x:v>
      </x:c>
      <x:c r="B45" s="32" t="str">
        <x:v>食神禁止误读｜BD03边界</x:v>
      </x:c>
      <x:c r="C45" s="32" t="str">
        <x:v>L1 十神边界通道</x:v>
      </x:c>
      <x:c r="D45" s="32" t="str">
        <x:v>BOUND-十神通道</x:v>
      </x:c>
      <x:c r="E45" s="32" t="str">
        <x:v>通用</x:v>
      </x:c>
      <x:c r="F45" s="32" t="str">
        <x:v>禁止推断</x:v>
      </x:c>
      <x:c r="G45" s="32" t="str">
        <x:v>食神</x:v>
      </x:c>
      <x:c r="H45" s="32" t="str"/>
      <x:c r="I45" s="32" t="str">
        <x:v>食神BOUND功能有效，基础十神性质可靠，未被真合化替换。</x:v>
      </x:c>
      <x:c r="J45" s="32" t="str">
        <x:v>基础信号未定；真合化后原信号已失效；只有单一弱远争议信号；或该结论会越界到M4风险、M5适配。</x:v>
      </x:c>
      <x:c r="K45" s="32" t="str">
        <x:v>由共享基础引擎与M3-STATE修正；日主承载、印比支持只修正自主与执行，不直接等于有无边界。</x:v>
      </x:c>
      <x:c r="L45" s="32" t="str">
        <x:v>不限定；夫妻星仅在入宫或形成角色、责任边界时参与接口，不作为BOUND唯一主轴。</x:v>
      </x:c>
      <x:c r="M45" s="32" t="str">
        <x:v>由M3-BASE、日支主气及宫位动态提供。</x:v>
      </x:c>
      <x:c r="N45" s="32" t="str">
        <x:v>无／待BOUND路径规则组合</x:v>
      </x:c>
      <x:c r="O45" s="32" t="str">
        <x:v>日柱与日支近位优先；全局有效独立信号可作次通道。</x:v>
      </x:c>
      <x:c r="P45" s="32" t="str">
        <x:v>由共享基础引擎判定</x:v>
      </x:c>
      <x:c r="Q45" s="32" t="str">
        <x:v>由共享基础引擎判定</x:v>
      </x:c>
      <x:c r="R45" s="32" t="str">
        <x:v>喜忌不直接等于边界好坏；只修正调用顺畅度、资源压力和状态切换。</x:v>
      </x:c>
      <x:c r="S45" s="32" t="str">
        <x:v>原十神性质有效；真合化成立时按化神所属功能系统重建。</x:v>
      </x:c>
      <x:c r="T45" s="32" t="str">
        <x:v>由共享基础引擎判定</x:v>
      </x:c>
      <x:c r="U45" s="32" t="str">
        <x:v>96</x:v>
      </x:c>
      <x:c r="V45" s="32" t="str">
        <x:v>不加分；边界检查</x:v>
      </x:c>
      <x:c r="W45" s="32" t="str">
        <x:v>boundary_note</x:v>
      </x:c>
      <x:c r="X45" s="32" t="str">
        <x:v>该通道只说明关系中的边界功能，不等于人格、风险或感情结果。</x:v>
      </x:c>
      <x:c r="Y45" s="32" t="str">
        <x:v>这里描述的是你可能更常使用的边界方式，不代表你只能这样相处，也不代表其他方式一定缺失。</x:v>
      </x:c>
      <x:c r="Z45" s="32" t="str">
        <x:v>不得推出用户讨好、没有原则、怕冲突、依赖舒适区、拒绝成长或永远情绪稳定。</x:v>
      </x:c>
      <x:c r="AA45" s="32" t="str">
        <x:v>高</x:v>
      </x:c>
      <x:c r="AB45" s="32" t="str">
        <x:v>待验证</x:v>
      </x:c>
      <x:c r="AC45" s="32" t="str"/>
      <x:c r="AD45" s="32" t="str">
        <x:v>provisional=true; rule_group=CHANNEL_BD03_BAN</x:v>
      </x:c>
      <x:c r="AE45" s="32" t="str">
        <x:v>0.5</x:v>
      </x:c>
    </x:row>
    <x:row r="46">
      <x:c r="A46" s="32" t="str">
        <x:v>M3-BOUND-042</x:v>
      </x:c>
      <x:c r="B46" s="32" t="str">
        <x:v>伤官BOUND通道｜BD04 清楚协商</x:v>
      </x:c>
      <x:c r="C46" s="32" t="str">
        <x:v>L1 十神边界通道</x:v>
      </x:c>
      <x:c r="D46" s="32" t="str">
        <x:v>BOUND-十神通道</x:v>
      </x:c>
      <x:c r="E46" s="32" t="str">
        <x:v>通用</x:v>
      </x:c>
      <x:c r="F46" s="32" t="str">
        <x:v>基础通道</x:v>
      </x:c>
      <x:c r="G46" s="32" t="str">
        <x:v>伤官</x:v>
      </x:c>
      <x:c r="H46" s="32" t="str"/>
      <x:c r="I46" s="32" t="str">
        <x:v>伤官BOUND功能有效，基础十神性质可靠，未被真合化替换。</x:v>
      </x:c>
      <x:c r="J46" s="32" t="str">
        <x:v>基础信号未定；真合化后原信号已失效；只有单一弱远争议信号；或该结论会越界到M4风险、M5适配。</x:v>
      </x:c>
      <x:c r="K46" s="32" t="str">
        <x:v>由共享基础引擎与M3-STATE修正；日主承载、印比支持只修正自主与执行，不直接等于有无边界。</x:v>
      </x:c>
      <x:c r="L46" s="32" t="str">
        <x:v>不限定；夫妻星仅在入宫或形成角色、责任边界时参与接口，不作为BOUND唯一主轴。</x:v>
      </x:c>
      <x:c r="M46" s="32" t="str">
        <x:v>由M3-BASE、日支主气及宫位动态提供。</x:v>
      </x:c>
      <x:c r="N46" s="32" t="str">
        <x:v>无／待BOUND路径规则组合</x:v>
      </x:c>
      <x:c r="O46" s="32" t="str">
        <x:v>日柱与日支近位优先；全局有效独立信号可作次通道。</x:v>
      </x:c>
      <x:c r="P46" s="32" t="str">
        <x:v>由共享基础引擎判定</x:v>
      </x:c>
      <x:c r="Q46" s="32" t="str">
        <x:v>由共享基础引擎判定</x:v>
      </x:c>
      <x:c r="R46" s="32" t="str">
        <x:v>喜忌不直接等于边界好坏；只修正调用顺畅度、资源压力和状态切换。</x:v>
      </x:c>
      <x:c r="S46" s="32" t="str">
        <x:v>原十神性质有效；真合化成立时按化神所属功能系统重建。</x:v>
      </x:c>
      <x:c r="T46" s="32" t="str">
        <x:v>由共享基础引擎判定</x:v>
      </x:c>
      <x:c r="U46" s="32" t="str">
        <x:v>88</x:v>
      </x:c>
      <x:c r="V46" s="32" t="str">
        <x:v>主BOUND候选 +18</x:v>
      </x:c>
      <x:c r="W46" s="32" t="str">
        <x:v>primary_boundary_channel</x:v>
      </x:c>
      <x:c r="X46" s="32" t="str">
        <x:v>伤官属于SYS02 表达交流系统，在BOUND中主要负责：通过把需求、观点、权限和不舒服说清楚来建立边界，重视理解和可讨论性。</x:v>
      </x:c>
      <x:c r="Y46" s="32" t="str">
        <x:v>你更容易通过“清楚协商”安排亲密与自主。通过把需求、观点、权限和不舒服说清楚来建立边界，重视理解和可讨论性。</x:v>
      </x:c>
      <x:c r="Z46" s="32" t="str">
        <x:v>不得由本规则直接推出回避亲密、依赖失控、控制欲、冷漠、自私、关系破裂、分手离婚、人格或依恋类型；不得把某种边界方式等同于爱得更多或更少。</x:v>
      </x:c>
      <x:c r="AA46" s="32" t="str">
        <x:v>中高</x:v>
      </x:c>
      <x:c r="AB46" s="32" t="str">
        <x:v>待验证</x:v>
      </x:c>
      <x:c r="AC46" s="32" t="str"/>
      <x:c r="AD46" s="32" t="str">
        <x:v>provisional=true; rule_group=CHANNEL_BD04_BASE</x:v>
      </x:c>
      <x:c r="AE46" s="32" t="str">
        <x:v>0.5</x:v>
      </x:c>
    </x:row>
    <x:row r="47">
      <x:c r="A47" s="32" t="str">
        <x:v>M3-BOUND-043</x:v>
      </x:c>
      <x:c r="B47" s="32" t="str">
        <x:v>伤官靠近方式｜BD04关系启动</x:v>
      </x:c>
      <x:c r="C47" s="32" t="str">
        <x:v>L1 十神边界通道</x:v>
      </x:c>
      <x:c r="D47" s="32" t="str">
        <x:v>BOUND-十神通道</x:v>
      </x:c>
      <x:c r="E47" s="32" t="str">
        <x:v>通用</x:v>
      </x:c>
      <x:c r="F47" s="32" t="str">
        <x:v>靠近方式</x:v>
      </x:c>
      <x:c r="G47" s="32" t="str">
        <x:v>伤官</x:v>
      </x:c>
      <x:c r="H47" s="32" t="str"/>
      <x:c r="I47" s="32" t="str">
        <x:v>伤官BOUND功能有效，基础十神性质可靠，未被真合化替换。</x:v>
      </x:c>
      <x:c r="J47" s="32" t="str">
        <x:v>基础信号未定；真合化后原信号已失效；只有单一弱远争议信号；或该结论会越界到M4风险、M5适配。</x:v>
      </x:c>
      <x:c r="K47" s="32" t="str">
        <x:v>由共享基础引擎与M3-STATE修正；日主承载、印比支持只修正自主与执行，不直接等于有无边界。</x:v>
      </x:c>
      <x:c r="L47" s="32" t="str">
        <x:v>不限定；夫妻星仅在入宫或形成角色、责任边界时参与接口，不作为BOUND唯一主轴。</x:v>
      </x:c>
      <x:c r="M47" s="32" t="str">
        <x:v>由M3-BASE、日支主气及宫位动态提供。</x:v>
      </x:c>
      <x:c r="N47" s="32" t="str">
        <x:v>无／待BOUND路径规则组合</x:v>
      </x:c>
      <x:c r="O47" s="32" t="str">
        <x:v>日柱与日支近位优先；全局有效独立信号可作次通道。</x:v>
      </x:c>
      <x:c r="P47" s="32" t="str">
        <x:v>由共享基础引擎判定</x:v>
      </x:c>
      <x:c r="Q47" s="32" t="str">
        <x:v>由共享基础引擎判定</x:v>
      </x:c>
      <x:c r="R47" s="32" t="str">
        <x:v>喜忌不直接等于边界好坏；只修正调用顺畅度、资源压力和状态切换。</x:v>
      </x:c>
      <x:c r="S47" s="32" t="str">
        <x:v>原十神性质有效；真合化成立时按化神所属功能系统重建。</x:v>
      </x:c>
      <x:c r="T47" s="32" t="str">
        <x:v>由共享基础引擎判定</x:v>
      </x:c>
      <x:c r="U47" s="32" t="str">
        <x:v>76</x:v>
      </x:c>
      <x:c r="V47" s="32" t="str">
        <x:v>靠近节奏候选 +6</x:v>
      </x:c>
      <x:c r="W47" s="32" t="str">
        <x:v>closeness_rhythm</x:v>
      </x:c>
      <x:c r="X47" s="32" t="str">
        <x:v>更容易因深度交流、思想理解和能说真话而拉近距离。</x:v>
      </x:c>
      <x:c r="Y47" s="32" t="str">
        <x:v>更容易因深度交流、思想理解和能说真话而拉近距离。</x:v>
      </x:c>
      <x:c r="Z47" s="32" t="str">
        <x:v>不得由本规则直接推出回避亲密、依赖失控、控制欲、冷漠、自私、关系破裂、分手离婚、人格或依恋类型；不得把某种边界方式等同于爱得更多或更少。</x:v>
      </x:c>
      <x:c r="AA47" s="32" t="str">
        <x:v>中</x:v>
      </x:c>
      <x:c r="AB47" s="32" t="str">
        <x:v>待验证</x:v>
      </x:c>
      <x:c r="AC47" s="32" t="str"/>
      <x:c r="AD47" s="32" t="str">
        <x:v>provisional=true; rule_group=CHANNEL_BD04_APPROACH</x:v>
      </x:c>
      <x:c r="AE47" s="32" t="str">
        <x:v>0.5</x:v>
      </x:c>
    </x:row>
    <x:row r="48">
      <x:c r="A48" s="32" t="str">
        <x:v>M3-BOUND-044</x:v>
      </x:c>
      <x:c r="B48" s="32" t="str">
        <x:v>伤官空间与自主｜BD04权限安排</x:v>
      </x:c>
      <x:c r="C48" s="32" t="str">
        <x:v>L1 十神边界通道</x:v>
      </x:c>
      <x:c r="D48" s="32" t="str">
        <x:v>BOUND-十神通道</x:v>
      </x:c>
      <x:c r="E48" s="32" t="str">
        <x:v>通用</x:v>
      </x:c>
      <x:c r="F48" s="32" t="str">
        <x:v>空间与自主</x:v>
      </x:c>
      <x:c r="G48" s="32" t="str">
        <x:v>伤官</x:v>
      </x:c>
      <x:c r="H48" s="32" t="str"/>
      <x:c r="I48" s="32" t="str">
        <x:v>伤官BOUND功能有效，基础十神性质可靠，未被真合化替换。</x:v>
      </x:c>
      <x:c r="J48" s="32" t="str">
        <x:v>基础信号未定；真合化后原信号已失效；只有单一弱远争议信号；或该结论会越界到M4风险、M5适配。</x:v>
      </x:c>
      <x:c r="K48" s="32" t="str">
        <x:v>由共享基础引擎与M3-STATE修正；日主承载、印比支持只修正自主与执行，不直接等于有无边界。</x:v>
      </x:c>
      <x:c r="L48" s="32" t="str">
        <x:v>不限定；夫妻星仅在入宫或形成角色、责任边界时参与接口，不作为BOUND唯一主轴。</x:v>
      </x:c>
      <x:c r="M48" s="32" t="str">
        <x:v>由M3-BASE、日支主气及宫位动态提供。</x:v>
      </x:c>
      <x:c r="N48" s="32" t="str">
        <x:v>无／待BOUND路径规则组合</x:v>
      </x:c>
      <x:c r="O48" s="32" t="str">
        <x:v>日柱与日支近位优先；全局有效独立信号可作次通道。</x:v>
      </x:c>
      <x:c r="P48" s="32" t="str">
        <x:v>由共享基础引擎判定</x:v>
      </x:c>
      <x:c r="Q48" s="32" t="str">
        <x:v>由共享基础引擎判定</x:v>
      </x:c>
      <x:c r="R48" s="32" t="str">
        <x:v>喜忌不直接等于边界好坏；只修正调用顺畅度、资源压力和状态切换。</x:v>
      </x:c>
      <x:c r="S48" s="32" t="str">
        <x:v>原十神性质有效；真合化成立时按化神所属功能系统重建。</x:v>
      </x:c>
      <x:c r="T48" s="32" t="str">
        <x:v>由共享基础引擎判定</x:v>
      </x:c>
      <x:c r="U48" s="32" t="str">
        <x:v>75</x:v>
      </x:c>
      <x:c r="V48" s="32" t="str">
        <x:v>空间／自主候选 +6</x:v>
      </x:c>
      <x:c r="W48" s="32" t="str">
        <x:v>autonomy_pattern</x:v>
      </x:c>
      <x:c r="X48" s="32" t="str">
        <x:v>空间需求常通过说明理由、解释卡点和讨论规则来呈现，不只靠沉默拉开距离。</x:v>
      </x:c>
      <x:c r="Y48" s="32" t="str">
        <x:v>空间需求常通过说明理由、解释卡点和讨论规则来呈现，不只靠沉默拉开距离。</x:v>
      </x:c>
      <x:c r="Z48" s="32" t="str">
        <x:v>不得由本规则直接推出回避亲密、依赖失控、控制欲、冷漠、自私、关系破裂、分手离婚、人格或依恋类型；不得把某种边界方式等同于爱得更多或更少。</x:v>
      </x:c>
      <x:c r="AA48" s="32" t="str">
        <x:v>中</x:v>
      </x:c>
      <x:c r="AB48" s="32" t="str">
        <x:v>待验证</x:v>
      </x:c>
      <x:c r="AC48" s="32" t="str"/>
      <x:c r="AD48" s="32" t="str">
        <x:v>provisional=true; rule_group=CHANNEL_BD04_SPACE</x:v>
      </x:c>
      <x:c r="AE48" s="32" t="str">
        <x:v>0.5</x:v>
      </x:c>
    </x:row>
    <x:row r="49">
      <x:c r="A49" s="32" t="str">
        <x:v>M3-BOUND-045</x:v>
      </x:c>
      <x:c r="B49" s="32" t="str">
        <x:v>伤官需求表达｜BD04怎样说明需要</x:v>
      </x:c>
      <x:c r="C49" s="32" t="str">
        <x:v>L1 十神边界通道</x:v>
      </x:c>
      <x:c r="D49" s="32" t="str">
        <x:v>BOUND-十神通道</x:v>
      </x:c>
      <x:c r="E49" s="32" t="str">
        <x:v>通用</x:v>
      </x:c>
      <x:c r="F49" s="32" t="str">
        <x:v>需求表达</x:v>
      </x:c>
      <x:c r="G49" s="32" t="str">
        <x:v>伤官</x:v>
      </x:c>
      <x:c r="H49" s="32" t="str"/>
      <x:c r="I49" s="32" t="str">
        <x:v>伤官BOUND功能有效，基础十神性质可靠，未被真合化替换。</x:v>
      </x:c>
      <x:c r="J49" s="32" t="str">
        <x:v>基础信号未定；真合化后原信号已失效；只有单一弱远争议信号；或该结论会越界到M4风险、M5适配。</x:v>
      </x:c>
      <x:c r="K49" s="32" t="str">
        <x:v>由共享基础引擎与M3-STATE修正；日主承载、印比支持只修正自主与执行，不直接等于有无边界。</x:v>
      </x:c>
      <x:c r="L49" s="32" t="str">
        <x:v>不限定；夫妻星仅在入宫或形成角色、责任边界时参与接口，不作为BOUND唯一主轴。</x:v>
      </x:c>
      <x:c r="M49" s="32" t="str">
        <x:v>由M3-BASE、日支主气及宫位动态提供。</x:v>
      </x:c>
      <x:c r="N49" s="32" t="str">
        <x:v>无／待BOUND路径规则组合</x:v>
      </x:c>
      <x:c r="O49" s="32" t="str">
        <x:v>日柱与日支近位优先；全局有效独立信号可作次通道。</x:v>
      </x:c>
      <x:c r="P49" s="32" t="str">
        <x:v>由共享基础引擎判定</x:v>
      </x:c>
      <x:c r="Q49" s="32" t="str">
        <x:v>由共享基础引擎判定</x:v>
      </x:c>
      <x:c r="R49" s="32" t="str">
        <x:v>喜忌不直接等于边界好坏；只修正调用顺畅度、资源压力和状态切换。</x:v>
      </x:c>
      <x:c r="S49" s="32" t="str">
        <x:v>原十神性质有效；真合化成立时按化神所属功能系统重建。</x:v>
      </x:c>
      <x:c r="T49" s="32" t="str">
        <x:v>由共享基础引擎判定</x:v>
      </x:c>
      <x:c r="U49" s="32" t="str">
        <x:v>74</x:v>
      </x:c>
      <x:c r="V49" s="32" t="str">
        <x:v>需求表达候选 +4</x:v>
      </x:c>
      <x:c r="W49" s="32" t="str">
        <x:v>need_expression</x:v>
      </x:c>
      <x:c r="X49" s="32" t="str">
        <x:v>更倾向把需求、逻辑、背景和希望对方怎样回应说得具体。</x:v>
      </x:c>
      <x:c r="Y49" s="32" t="str">
        <x:v>更倾向把需求、逻辑、背景和希望对方怎样回应说得具体。</x:v>
      </x:c>
      <x:c r="Z49" s="32" t="str">
        <x:v>不得由本规则直接推出回避亲密、依赖失控、控制欲、冷漠、自私、关系破裂、分手离婚、人格或依恋类型；不得把某种边界方式等同于爱得更多或更少。</x:v>
      </x:c>
      <x:c r="AA49" s="32" t="str">
        <x:v>中</x:v>
      </x:c>
      <x:c r="AB49" s="32" t="str">
        <x:v>待验证</x:v>
      </x:c>
      <x:c r="AC49" s="32" t="str"/>
      <x:c r="AD49" s="32" t="str">
        <x:v>provisional=true; rule_group=CHANNEL_BD04_NEED</x:v>
      </x:c>
      <x:c r="AE49" s="32" t="str">
        <x:v>0.5</x:v>
      </x:c>
    </x:row>
    <x:row r="50">
      <x:c r="A50" s="32" t="str">
        <x:v>M3-BOUND-046</x:v>
      </x:c>
      <x:c r="B50" s="32" t="str">
        <x:v>伤官拒绝与暂停｜BD04怎样设限</x:v>
      </x:c>
      <x:c r="C50" s="32" t="str">
        <x:v>L1 十神边界通道</x:v>
      </x:c>
      <x:c r="D50" s="32" t="str">
        <x:v>BOUND-十神通道</x:v>
      </x:c>
      <x:c r="E50" s="32" t="str">
        <x:v>通用</x:v>
      </x:c>
      <x:c r="F50" s="32" t="str">
        <x:v>拒绝／暂停</x:v>
      </x:c>
      <x:c r="G50" s="32" t="str">
        <x:v>伤官</x:v>
      </x:c>
      <x:c r="H50" s="32" t="str"/>
      <x:c r="I50" s="32" t="str">
        <x:v>伤官BOUND功能有效，基础十神性质可靠，未被真合化替换。</x:v>
      </x:c>
      <x:c r="J50" s="32" t="str">
        <x:v>基础信号未定；真合化后原信号已失效；只有单一弱远争议信号；或该结论会越界到M4风险、M5适配。</x:v>
      </x:c>
      <x:c r="K50" s="32" t="str">
        <x:v>由共享基础引擎与M3-STATE修正；日主承载、印比支持只修正自主与执行，不直接等于有无边界。</x:v>
      </x:c>
      <x:c r="L50" s="32" t="str">
        <x:v>不限定；夫妻星仅在入宫或形成角色、责任边界时参与接口，不作为BOUND唯一主轴。</x:v>
      </x:c>
      <x:c r="M50" s="32" t="str">
        <x:v>由M3-BASE、日支主气及宫位动态提供。</x:v>
      </x:c>
      <x:c r="N50" s="32" t="str">
        <x:v>无／待BOUND路径规则组合</x:v>
      </x:c>
      <x:c r="O50" s="32" t="str">
        <x:v>日柱与日支近位优先；全局有效独立信号可作次通道。</x:v>
      </x:c>
      <x:c r="P50" s="32" t="str">
        <x:v>由共享基础引擎判定</x:v>
      </x:c>
      <x:c r="Q50" s="32" t="str">
        <x:v>由共享基础引擎判定</x:v>
      </x:c>
      <x:c r="R50" s="32" t="str">
        <x:v>喜忌不直接等于边界好坏；只修正调用顺畅度、资源压力和状态切换。</x:v>
      </x:c>
      <x:c r="S50" s="32" t="str">
        <x:v>原十神性质有效；真合化成立时按化神所属功能系统重建。</x:v>
      </x:c>
      <x:c r="T50" s="32" t="str">
        <x:v>由共享基础引擎判定</x:v>
      </x:c>
      <x:c r="U50" s="32" t="str">
        <x:v>73</x:v>
      </x:c>
      <x:c r="V50" s="32" t="str">
        <x:v>拒绝／暂停候选 +4</x:v>
      </x:c>
      <x:c r="W50" s="32" t="str">
        <x:v>refusal_style</x:v>
      </x:c>
      <x:c r="X50" s="32" t="str">
        <x:v>拒绝时更容易解释原因、指出不一致，并提出替代方案或重新商量。</x:v>
      </x:c>
      <x:c r="Y50" s="32" t="str">
        <x:v>拒绝时更容易解释原因、指出不一致，并提出替代方案或重新商量。</x:v>
      </x:c>
      <x:c r="Z50" s="32" t="str">
        <x:v>不得由本规则直接推出回避亲密、依赖失控、控制欲、冷漠、自私、关系破裂、分手离婚、人格或依恋类型；不得把某种边界方式等同于爱得更多或更少。</x:v>
      </x:c>
      <x:c r="AA50" s="32" t="str">
        <x:v>中</x:v>
      </x:c>
      <x:c r="AB50" s="32" t="str">
        <x:v>待验证</x:v>
      </x:c>
      <x:c r="AC50" s="32" t="str"/>
      <x:c r="AD50" s="32" t="str">
        <x:v>provisional=true; rule_group=CHANNEL_BD04_REFUSAL</x:v>
      </x:c>
      <x:c r="AE50" s="32" t="str">
        <x:v>0.5</x:v>
      </x:c>
    </x:row>
    <x:row r="51">
      <x:c r="A51" s="32" t="str">
        <x:v>M3-BOUND-047</x:v>
      </x:c>
      <x:c r="B51" s="32" t="str">
        <x:v>伤官接受照顾｜BD04依托边界</x:v>
      </x:c>
      <x:c r="C51" s="32" t="str">
        <x:v>L1 十神边界通道</x:v>
      </x:c>
      <x:c r="D51" s="32" t="str">
        <x:v>BOUND-十神通道</x:v>
      </x:c>
      <x:c r="E51" s="32" t="str">
        <x:v>通用</x:v>
      </x:c>
      <x:c r="F51" s="32" t="str">
        <x:v>接受支持</x:v>
      </x:c>
      <x:c r="G51" s="32" t="str">
        <x:v>伤官</x:v>
      </x:c>
      <x:c r="H51" s="32" t="str"/>
      <x:c r="I51" s="32" t="str">
        <x:v>伤官BOUND功能有效，基础十神性质可靠，未被真合化替换。</x:v>
      </x:c>
      <x:c r="J51" s="32" t="str">
        <x:v>基础信号未定；真合化后原信号已失效；只有单一弱远争议信号；或该结论会越界到M4风险、M5适配。</x:v>
      </x:c>
      <x:c r="K51" s="32" t="str">
        <x:v>由共享基础引擎与M3-STATE修正；日主承载、印比支持只修正自主与执行，不直接等于有无边界。</x:v>
      </x:c>
      <x:c r="L51" s="32" t="str">
        <x:v>不限定；夫妻星仅在入宫或形成角色、责任边界时参与接口，不作为BOUND唯一主轴。</x:v>
      </x:c>
      <x:c r="M51" s="32" t="str">
        <x:v>由M3-BASE、日支主气及宫位动态提供。</x:v>
      </x:c>
      <x:c r="N51" s="32" t="str">
        <x:v>无／待BOUND路径规则组合</x:v>
      </x:c>
      <x:c r="O51" s="32" t="str">
        <x:v>日柱与日支近位优先；全局有效独立信号可作次通道。</x:v>
      </x:c>
      <x:c r="P51" s="32" t="str">
        <x:v>由共享基础引擎判定</x:v>
      </x:c>
      <x:c r="Q51" s="32" t="str">
        <x:v>由共享基础引擎判定</x:v>
      </x:c>
      <x:c r="R51" s="32" t="str">
        <x:v>喜忌不直接等于边界好坏；只修正调用顺畅度、资源压力和状态切换。</x:v>
      </x:c>
      <x:c r="S51" s="32" t="str">
        <x:v>原十神性质有效；真合化成立时按化神所属功能系统重建。</x:v>
      </x:c>
      <x:c r="T51" s="32" t="str">
        <x:v>由共享基础引擎判定</x:v>
      </x:c>
      <x:c r="U51" s="32" t="str">
        <x:v>72</x:v>
      </x:c>
      <x:c r="V51" s="32" t="str">
        <x:v>接受照顾候选 +4</x:v>
      </x:c>
      <x:c r="W51" s="32" t="str">
        <x:v>support_acceptance_boundary</x:v>
      </x:c>
      <x:c r="X51" s="32" t="str">
        <x:v>更容易接受能回应具体问题、允许提问、尊重观点和可验证的照顾。</x:v>
      </x:c>
      <x:c r="Y51" s="32" t="str">
        <x:v>更容易接受能回应具体问题、允许提问、尊重观点和可验证的照顾。</x:v>
      </x:c>
      <x:c r="Z51" s="32" t="str">
        <x:v>不得由本规则直接推出回避亲密、依赖失控、控制欲、冷漠、自私、关系破裂、分手离婚、人格或依恋类型；不得把某种边界方式等同于爱得更多或更少。</x:v>
      </x:c>
      <x:c r="AA51" s="32" t="str">
        <x:v>中</x:v>
      </x:c>
      <x:c r="AB51" s="32" t="str">
        <x:v>待验证</x:v>
      </x:c>
      <x:c r="AC51" s="32" t="str"/>
      <x:c r="AD51" s="32" t="str">
        <x:v>provisional=true; rule_group=CHANNEL_BD04_RECEIVE</x:v>
      </x:c>
      <x:c r="AE51" s="32" t="str">
        <x:v>0.5</x:v>
      </x:c>
    </x:row>
    <x:row r="52">
      <x:c r="A52" s="32" t="str">
        <x:v>M3-BOUND-048</x:v>
      </x:c>
      <x:c r="B52" s="32" t="str">
        <x:v>伤官禁止误读｜BD04边界</x:v>
      </x:c>
      <x:c r="C52" s="32" t="str">
        <x:v>L1 十神边界通道</x:v>
      </x:c>
      <x:c r="D52" s="32" t="str">
        <x:v>BOUND-十神通道</x:v>
      </x:c>
      <x:c r="E52" s="32" t="str">
        <x:v>通用</x:v>
      </x:c>
      <x:c r="F52" s="32" t="str">
        <x:v>禁止推断</x:v>
      </x:c>
      <x:c r="G52" s="32" t="str">
        <x:v>伤官</x:v>
      </x:c>
      <x:c r="H52" s="32" t="str"/>
      <x:c r="I52" s="32" t="str">
        <x:v>伤官BOUND功能有效，基础十神性质可靠，未被真合化替换。</x:v>
      </x:c>
      <x:c r="J52" s="32" t="str">
        <x:v>基础信号未定；真合化后原信号已失效；只有单一弱远争议信号；或该结论会越界到M4风险、M5适配。</x:v>
      </x:c>
      <x:c r="K52" s="32" t="str">
        <x:v>由共享基础引擎与M3-STATE修正；日主承载、印比支持只修正自主与执行，不直接等于有无边界。</x:v>
      </x:c>
      <x:c r="L52" s="32" t="str">
        <x:v>不限定；夫妻星仅在入宫或形成角色、责任边界时参与接口，不作为BOUND唯一主轴。</x:v>
      </x:c>
      <x:c r="M52" s="32" t="str">
        <x:v>由M3-BASE、日支主气及宫位动态提供。</x:v>
      </x:c>
      <x:c r="N52" s="32" t="str">
        <x:v>无／待BOUND路径规则组合</x:v>
      </x:c>
      <x:c r="O52" s="32" t="str">
        <x:v>日柱与日支近位优先；全局有效独立信号可作次通道。</x:v>
      </x:c>
      <x:c r="P52" s="32" t="str">
        <x:v>由共享基础引擎判定</x:v>
      </x:c>
      <x:c r="Q52" s="32" t="str">
        <x:v>由共享基础引擎判定</x:v>
      </x:c>
      <x:c r="R52" s="32" t="str">
        <x:v>喜忌不直接等于边界好坏；只修正调用顺畅度、资源压力和状态切换。</x:v>
      </x:c>
      <x:c r="S52" s="32" t="str">
        <x:v>原十神性质有效；真合化成立时按化神所属功能系统重建。</x:v>
      </x:c>
      <x:c r="T52" s="32" t="str">
        <x:v>由共享基础引擎判定</x:v>
      </x:c>
      <x:c r="U52" s="32" t="str">
        <x:v>96</x:v>
      </x:c>
      <x:c r="V52" s="32" t="str">
        <x:v>不加分；边界检查</x:v>
      </x:c>
      <x:c r="W52" s="32" t="str">
        <x:v>boundary_note</x:v>
      </x:c>
      <x:c r="X52" s="32" t="str">
        <x:v>该通道只说明关系中的边界功能，不等于人格、风险或感情结果。</x:v>
      </x:c>
      <x:c r="Y52" s="32" t="str">
        <x:v>这里描述的是你可能更常使用的边界方式，不代表你只能这样相处，也不代表其他方式一定缺失。</x:v>
      </x:c>
      <x:c r="Z52" s="32" t="str">
        <x:v>不得推出用户爱批评、说话伤人、难相处、凡事争辩、缺少情绪价值或一定反权威。</x:v>
      </x:c>
      <x:c r="AA52" s="32" t="str">
        <x:v>高</x:v>
      </x:c>
      <x:c r="AB52" s="32" t="str">
        <x:v>待验证</x:v>
      </x:c>
      <x:c r="AC52" s="32" t="str"/>
      <x:c r="AD52" s="32" t="str">
        <x:v>provisional=true; rule_group=CHANNEL_BD04_BAN</x:v>
      </x:c>
      <x:c r="AE52" s="32" t="str">
        <x:v>0.5</x:v>
      </x:c>
    </x:row>
    <x:row r="53">
      <x:c r="A53" s="32" t="str">
        <x:v>M3-BOUND-049</x:v>
      </x:c>
      <x:c r="B53" s="32" t="str">
        <x:v>正财BOUND通道｜BD05 稳定共享</x:v>
      </x:c>
      <x:c r="C53" s="32" t="str">
        <x:v>L1 十神边界通道</x:v>
      </x:c>
      <x:c r="D53" s="32" t="str">
        <x:v>BOUND-十神通道</x:v>
      </x:c>
      <x:c r="E53" s="32" t="str">
        <x:v>通用</x:v>
      </x:c>
      <x:c r="F53" s="32" t="str">
        <x:v>基础通道</x:v>
      </x:c>
      <x:c r="G53" s="32" t="str">
        <x:v>正财</x:v>
      </x:c>
      <x:c r="H53" s="32" t="str"/>
      <x:c r="I53" s="32" t="str">
        <x:v>正财BOUND功能有效，基础十神性质可靠，未被真合化替换。</x:v>
      </x:c>
      <x:c r="J53" s="32" t="str">
        <x:v>基础信号未定；真合化后原信号已失效；只有单一弱远争议信号；或该结论会越界到M4风险、M5适配。</x:v>
      </x:c>
      <x:c r="K53" s="32" t="str">
        <x:v>由共享基础引擎与M3-STATE修正；日主承载、印比支持只修正自主与执行，不直接等于有无边界。</x:v>
      </x:c>
      <x:c r="L53" s="32" t="str">
        <x:v>不限定；夫妻星仅在入宫或形成角色、责任边界时参与接口，不作为BOUND唯一主轴。</x:v>
      </x:c>
      <x:c r="M53" s="32" t="str">
        <x:v>由M3-BASE、日支主气及宫位动态提供。</x:v>
      </x:c>
      <x:c r="N53" s="32" t="str">
        <x:v>无／待BOUND路径规则组合</x:v>
      </x:c>
      <x:c r="O53" s="32" t="str">
        <x:v>日柱与日支近位优先；全局有效独立信号可作次通道。</x:v>
      </x:c>
      <x:c r="P53" s="32" t="str">
        <x:v>由共享基础引擎判定</x:v>
      </x:c>
      <x:c r="Q53" s="32" t="str">
        <x:v>由共享基础引擎判定</x:v>
      </x:c>
      <x:c r="R53" s="32" t="str">
        <x:v>喜忌不直接等于边界好坏；只修正调用顺畅度、资源压力和状态切换。</x:v>
      </x:c>
      <x:c r="S53" s="32" t="str">
        <x:v>原十神性质有效；真合化成立时按化神所属功能系统重建。</x:v>
      </x:c>
      <x:c r="T53" s="32" t="str">
        <x:v>由共享基础引擎判定</x:v>
      </x:c>
      <x:c r="U53" s="32" t="str">
        <x:v>88</x:v>
      </x:c>
      <x:c r="V53" s="32" t="str">
        <x:v>主BOUND候选 +18</x:v>
      </x:c>
      <x:c r="W53" s="32" t="str">
        <x:v>primary_boundary_channel</x:v>
      </x:c>
      <x:c r="X53" s="32" t="str">
        <x:v>正财属于SYS03 投入经营系统，在BOUND中主要负责：通过稳定共享时间、生活安排和现实资源建立边界，重视可预期、可落实和分工清楚。</x:v>
      </x:c>
      <x:c r="Y53" s="32" t="str">
        <x:v>你更容易通过“稳定共享”安排亲密与自主。通过稳定共享时间、生活安排和现实资源建立边界，重视可预期、可落实和分工清楚。</x:v>
      </x:c>
      <x:c r="Z53" s="32" t="str">
        <x:v>不得由本规则直接推出回避亲密、依赖失控、控制欲、冷漠、自私、关系破裂、分手离婚、人格或依恋类型；不得把某种边界方式等同于爱得更多或更少。</x:v>
      </x:c>
      <x:c r="AA53" s="32" t="str">
        <x:v>中高</x:v>
      </x:c>
      <x:c r="AB53" s="32" t="str">
        <x:v>待验证</x:v>
      </x:c>
      <x:c r="AC53" s="32" t="str"/>
      <x:c r="AD53" s="32" t="str">
        <x:v>provisional=true; rule_group=CHANNEL_BD05_BASE</x:v>
      </x:c>
      <x:c r="AE53" s="32" t="str">
        <x:v>0.5</x:v>
      </x:c>
    </x:row>
    <x:row r="54">
      <x:c r="A54" s="32" t="str">
        <x:v>M3-BOUND-050</x:v>
      </x:c>
      <x:c r="B54" s="32" t="str">
        <x:v>正财靠近方式｜BD05关系启动</x:v>
      </x:c>
      <x:c r="C54" s="32" t="str">
        <x:v>L1 十神边界通道</x:v>
      </x:c>
      <x:c r="D54" s="32" t="str">
        <x:v>BOUND-十神通道</x:v>
      </x:c>
      <x:c r="E54" s="32" t="str">
        <x:v>通用</x:v>
      </x:c>
      <x:c r="F54" s="32" t="str">
        <x:v>靠近方式</x:v>
      </x:c>
      <x:c r="G54" s="32" t="str">
        <x:v>正财</x:v>
      </x:c>
      <x:c r="H54" s="32" t="str"/>
      <x:c r="I54" s="32" t="str">
        <x:v>正财BOUND功能有效，基础十神性质可靠，未被真合化替换。</x:v>
      </x:c>
      <x:c r="J54" s="32" t="str">
        <x:v>基础信号未定；真合化后原信号已失效；只有单一弱远争议信号；或该结论会越界到M4风险、M5适配。</x:v>
      </x:c>
      <x:c r="K54" s="32" t="str">
        <x:v>由共享基础引擎与M3-STATE修正；日主承载、印比支持只修正自主与执行，不直接等于有无边界。</x:v>
      </x:c>
      <x:c r="L54" s="32" t="str">
        <x:v>不限定；夫妻星仅在入宫或形成角色、责任边界时参与接口，不作为BOUND唯一主轴。</x:v>
      </x:c>
      <x:c r="M54" s="32" t="str">
        <x:v>由M3-BASE、日支主气及宫位动态提供。</x:v>
      </x:c>
      <x:c r="N54" s="32" t="str">
        <x:v>无／待BOUND路径规则组合</x:v>
      </x:c>
      <x:c r="O54" s="32" t="str">
        <x:v>日柱与日支近位优先；全局有效独立信号可作次通道。</x:v>
      </x:c>
      <x:c r="P54" s="32" t="str">
        <x:v>由共享基础引擎判定</x:v>
      </x:c>
      <x:c r="Q54" s="32" t="str">
        <x:v>由共享基础引擎判定</x:v>
      </x:c>
      <x:c r="R54" s="32" t="str">
        <x:v>喜忌不直接等于边界好坏；只修正调用顺畅度、资源压力和状态切换。</x:v>
      </x:c>
      <x:c r="S54" s="32" t="str">
        <x:v>原十神性质有效；真合化成立时按化神所属功能系统重建。</x:v>
      </x:c>
      <x:c r="T54" s="32" t="str">
        <x:v>由共享基础引擎判定</x:v>
      </x:c>
      <x:c r="U54" s="32" t="str">
        <x:v>76</x:v>
      </x:c>
      <x:c r="V54" s="32" t="str">
        <x:v>靠近节奏候选 +6</x:v>
      </x:c>
      <x:c r="W54" s="32" t="str">
        <x:v>closeness_rhythm</x:v>
      </x:c>
      <x:c r="X54" s="32" t="str">
        <x:v>更容易在持续出现、日常安排和现实生活逐步融合中确认亲密。</x:v>
      </x:c>
      <x:c r="Y54" s="32" t="str">
        <x:v>更容易在持续出现、日常安排和现实生活逐步融合中确认亲密。</x:v>
      </x:c>
      <x:c r="Z54" s="32" t="str">
        <x:v>不得由本规则直接推出回避亲密、依赖失控、控制欲、冷漠、自私、关系破裂、分手离婚、人格或依恋类型；不得把某种边界方式等同于爱得更多或更少。</x:v>
      </x:c>
      <x:c r="AA54" s="32" t="str">
        <x:v>中</x:v>
      </x:c>
      <x:c r="AB54" s="32" t="str">
        <x:v>待验证</x:v>
      </x:c>
      <x:c r="AC54" s="32" t="str"/>
      <x:c r="AD54" s="32" t="str">
        <x:v>provisional=true; rule_group=CHANNEL_BD05_APPROACH</x:v>
      </x:c>
      <x:c r="AE54" s="32" t="str">
        <x:v>0.5</x:v>
      </x:c>
    </x:row>
    <x:row r="55">
      <x:c r="A55" s="32" t="str">
        <x:v>M3-BOUND-051</x:v>
      </x:c>
      <x:c r="B55" s="32" t="str">
        <x:v>正财空间与自主｜BD05权限安排</x:v>
      </x:c>
      <x:c r="C55" s="32" t="str">
        <x:v>L1 十神边界通道</x:v>
      </x:c>
      <x:c r="D55" s="32" t="str">
        <x:v>BOUND-十神通道</x:v>
      </x:c>
      <x:c r="E55" s="32" t="str">
        <x:v>通用</x:v>
      </x:c>
      <x:c r="F55" s="32" t="str">
        <x:v>空间与自主</x:v>
      </x:c>
      <x:c r="G55" s="32" t="str">
        <x:v>正财</x:v>
      </x:c>
      <x:c r="H55" s="32" t="str"/>
      <x:c r="I55" s="32" t="str">
        <x:v>正财BOUND功能有效，基础十神性质可靠，未被真合化替换。</x:v>
      </x:c>
      <x:c r="J55" s="32" t="str">
        <x:v>基础信号未定；真合化后原信号已失效；只有单一弱远争议信号；或该结论会越界到M4风险、M5适配。</x:v>
      </x:c>
      <x:c r="K55" s="32" t="str">
        <x:v>由共享基础引擎与M3-STATE修正；日主承载、印比支持只修正自主与执行，不直接等于有无边界。</x:v>
      </x:c>
      <x:c r="L55" s="32" t="str">
        <x:v>不限定；夫妻星仅在入宫或形成角色、责任边界时参与接口，不作为BOUND唯一主轴。</x:v>
      </x:c>
      <x:c r="M55" s="32" t="str">
        <x:v>由M3-BASE、日支主气及宫位动态提供。</x:v>
      </x:c>
      <x:c r="N55" s="32" t="str">
        <x:v>无／待BOUND路径规则组合</x:v>
      </x:c>
      <x:c r="O55" s="32" t="str">
        <x:v>日柱与日支近位优先；全局有效独立信号可作次通道。</x:v>
      </x:c>
      <x:c r="P55" s="32" t="str">
        <x:v>由共享基础引擎判定</x:v>
      </x:c>
      <x:c r="Q55" s="32" t="str">
        <x:v>由共享基础引擎判定</x:v>
      </x:c>
      <x:c r="R55" s="32" t="str">
        <x:v>喜忌不直接等于边界好坏；只修正调用顺畅度、资源压力和状态切换。</x:v>
      </x:c>
      <x:c r="S55" s="32" t="str">
        <x:v>原十神性质有效；真合化成立时按化神所属功能系统重建。</x:v>
      </x:c>
      <x:c r="T55" s="32" t="str">
        <x:v>由共享基础引擎判定</x:v>
      </x:c>
      <x:c r="U55" s="32" t="str">
        <x:v>75</x:v>
      </x:c>
      <x:c r="V55" s="32" t="str">
        <x:v>空间／自主候选 +6</x:v>
      </x:c>
      <x:c r="W55" s="32" t="str">
        <x:v>autonomy_pattern</x:v>
      </x:c>
      <x:c r="X55" s="32" t="str">
        <x:v>个人与共同空间常通过时间表、预算、事务分工和生活习惯来划分。</x:v>
      </x:c>
      <x:c r="Y55" s="32" t="str">
        <x:v>个人与共同空间常通过时间表、预算、事务分工和生活习惯来划分。</x:v>
      </x:c>
      <x:c r="Z55" s="32" t="str">
        <x:v>不得由本规则直接推出回避亲密、依赖失控、控制欲、冷漠、自私、关系破裂、分手离婚、人格或依恋类型；不得把某种边界方式等同于爱得更多或更少。</x:v>
      </x:c>
      <x:c r="AA55" s="32" t="str">
        <x:v>中</x:v>
      </x:c>
      <x:c r="AB55" s="32" t="str">
        <x:v>待验证</x:v>
      </x:c>
      <x:c r="AC55" s="32" t="str"/>
      <x:c r="AD55" s="32" t="str">
        <x:v>provisional=true; rule_group=CHANNEL_BD05_SPACE</x:v>
      </x:c>
      <x:c r="AE55" s="32" t="str">
        <x:v>0.5</x:v>
      </x:c>
    </x:row>
    <x:row r="56">
      <x:c r="A56" s="32" t="str">
        <x:v>M3-BOUND-052</x:v>
      </x:c>
      <x:c r="B56" s="32" t="str">
        <x:v>正财需求表达｜BD05怎样说明需要</x:v>
      </x:c>
      <x:c r="C56" s="32" t="str">
        <x:v>L1 十神边界通道</x:v>
      </x:c>
      <x:c r="D56" s="32" t="str">
        <x:v>BOUND-十神通道</x:v>
      </x:c>
      <x:c r="E56" s="32" t="str">
        <x:v>通用</x:v>
      </x:c>
      <x:c r="F56" s="32" t="str">
        <x:v>需求表达</x:v>
      </x:c>
      <x:c r="G56" s="32" t="str">
        <x:v>正财</x:v>
      </x:c>
      <x:c r="H56" s="32" t="str"/>
      <x:c r="I56" s="32" t="str">
        <x:v>正财BOUND功能有效，基础十神性质可靠，未被真合化替换。</x:v>
      </x:c>
      <x:c r="J56" s="32" t="str">
        <x:v>基础信号未定；真合化后原信号已失效；只有单一弱远争议信号；或该结论会越界到M4风险、M5适配。</x:v>
      </x:c>
      <x:c r="K56" s="32" t="str">
        <x:v>由共享基础引擎与M3-STATE修正；日主承载、印比支持只修正自主与执行，不直接等于有无边界。</x:v>
      </x:c>
      <x:c r="L56" s="32" t="str">
        <x:v>不限定；夫妻星仅在入宫或形成角色、责任边界时参与接口，不作为BOUND唯一主轴。</x:v>
      </x:c>
      <x:c r="M56" s="32" t="str">
        <x:v>由M3-BASE、日支主气及宫位动态提供。</x:v>
      </x:c>
      <x:c r="N56" s="32" t="str">
        <x:v>无／待BOUND路径规则组合</x:v>
      </x:c>
      <x:c r="O56" s="32" t="str">
        <x:v>日柱与日支近位优先；全局有效独立信号可作次通道。</x:v>
      </x:c>
      <x:c r="P56" s="32" t="str">
        <x:v>由共享基础引擎判定</x:v>
      </x:c>
      <x:c r="Q56" s="32" t="str">
        <x:v>由共享基础引擎判定</x:v>
      </x:c>
      <x:c r="R56" s="32" t="str">
        <x:v>喜忌不直接等于边界好坏；只修正调用顺畅度、资源压力和状态切换。</x:v>
      </x:c>
      <x:c r="S56" s="32" t="str">
        <x:v>原十神性质有效；真合化成立时按化神所属功能系统重建。</x:v>
      </x:c>
      <x:c r="T56" s="32" t="str">
        <x:v>由共享基础引擎判定</x:v>
      </x:c>
      <x:c r="U56" s="32" t="str">
        <x:v>74</x:v>
      </x:c>
      <x:c r="V56" s="32" t="str">
        <x:v>需求表达候选 +4</x:v>
      </x:c>
      <x:c r="W56" s="32" t="str">
        <x:v>need_expression</x:v>
      </x:c>
      <x:c r="X56" s="32" t="str">
        <x:v>需求更容易被表达成具体时间、资源、生活事项和可执行安排。</x:v>
      </x:c>
      <x:c r="Y56" s="32" t="str">
        <x:v>需求更容易被表达成具体时间、资源、生活事项和可执行安排。</x:v>
      </x:c>
      <x:c r="Z56" s="32" t="str">
        <x:v>不得由本规则直接推出回避亲密、依赖失控、控制欲、冷漠、自私、关系破裂、分手离婚、人格或依恋类型；不得把某种边界方式等同于爱得更多或更少。</x:v>
      </x:c>
      <x:c r="AA56" s="32" t="str">
        <x:v>中</x:v>
      </x:c>
      <x:c r="AB56" s="32" t="str">
        <x:v>待验证</x:v>
      </x:c>
      <x:c r="AC56" s="32" t="str"/>
      <x:c r="AD56" s="32" t="str">
        <x:v>provisional=true; rule_group=CHANNEL_BD05_NEED</x:v>
      </x:c>
      <x:c r="AE56" s="32" t="str">
        <x:v>0.5</x:v>
      </x:c>
    </x:row>
    <x:row r="57">
      <x:c r="A57" s="32" t="str">
        <x:v>M3-BOUND-053</x:v>
      </x:c>
      <x:c r="B57" s="32" t="str">
        <x:v>正财拒绝与暂停｜BD05怎样设限</x:v>
      </x:c>
      <x:c r="C57" s="32" t="str">
        <x:v>L1 十神边界通道</x:v>
      </x:c>
      <x:c r="D57" s="32" t="str">
        <x:v>BOUND-十神通道</x:v>
      </x:c>
      <x:c r="E57" s="32" t="str">
        <x:v>通用</x:v>
      </x:c>
      <x:c r="F57" s="32" t="str">
        <x:v>拒绝／暂停</x:v>
      </x:c>
      <x:c r="G57" s="32" t="str">
        <x:v>正财</x:v>
      </x:c>
      <x:c r="H57" s="32" t="str"/>
      <x:c r="I57" s="32" t="str">
        <x:v>正财BOUND功能有效，基础十神性质可靠，未被真合化替换。</x:v>
      </x:c>
      <x:c r="J57" s="32" t="str">
        <x:v>基础信号未定；真合化后原信号已失效；只有单一弱远争议信号；或该结论会越界到M4风险、M5适配。</x:v>
      </x:c>
      <x:c r="K57" s="32" t="str">
        <x:v>由共享基础引擎与M3-STATE修正；日主承载、印比支持只修正自主与执行，不直接等于有无边界。</x:v>
      </x:c>
      <x:c r="L57" s="32" t="str">
        <x:v>不限定；夫妻星仅在入宫或形成角色、责任边界时参与接口，不作为BOUND唯一主轴。</x:v>
      </x:c>
      <x:c r="M57" s="32" t="str">
        <x:v>由M3-BASE、日支主气及宫位动态提供。</x:v>
      </x:c>
      <x:c r="N57" s="32" t="str">
        <x:v>无／待BOUND路径规则组合</x:v>
      </x:c>
      <x:c r="O57" s="32" t="str">
        <x:v>日柱与日支近位优先；全局有效独立信号可作次通道。</x:v>
      </x:c>
      <x:c r="P57" s="32" t="str">
        <x:v>由共享基础引擎判定</x:v>
      </x:c>
      <x:c r="Q57" s="32" t="str">
        <x:v>由共享基础引擎判定</x:v>
      </x:c>
      <x:c r="R57" s="32" t="str">
        <x:v>喜忌不直接等于边界好坏；只修正调用顺畅度、资源压力和状态切换。</x:v>
      </x:c>
      <x:c r="S57" s="32" t="str">
        <x:v>原十神性质有效；真合化成立时按化神所属功能系统重建。</x:v>
      </x:c>
      <x:c r="T57" s="32" t="str">
        <x:v>由共享基础引擎判定</x:v>
      </x:c>
      <x:c r="U57" s="32" t="str">
        <x:v>73</x:v>
      </x:c>
      <x:c r="V57" s="32" t="str">
        <x:v>拒绝／暂停候选 +4</x:v>
      </x:c>
      <x:c r="W57" s="32" t="str">
        <x:v>refusal_style</x:v>
      </x:c>
      <x:c r="X57" s="32" t="str">
        <x:v>拒绝或调整常基于资源不足、时间冲突、现实责任或原有安排。</x:v>
      </x:c>
      <x:c r="Y57" s="32" t="str">
        <x:v>拒绝或调整常基于资源不足、时间冲突、现实责任或原有安排。</x:v>
      </x:c>
      <x:c r="Z57" s="32" t="str">
        <x:v>不得由本规则直接推出回避亲密、依赖失控、控制欲、冷漠、自私、关系破裂、分手离婚、人格或依恋类型；不得把某种边界方式等同于爱得更多或更少。</x:v>
      </x:c>
      <x:c r="AA57" s="32" t="str">
        <x:v>中</x:v>
      </x:c>
      <x:c r="AB57" s="32" t="str">
        <x:v>待验证</x:v>
      </x:c>
      <x:c r="AC57" s="32" t="str"/>
      <x:c r="AD57" s="32" t="str">
        <x:v>provisional=true; rule_group=CHANNEL_BD05_REFUSAL</x:v>
      </x:c>
      <x:c r="AE57" s="32" t="str">
        <x:v>0.5</x:v>
      </x:c>
    </x:row>
    <x:row r="58">
      <x:c r="A58" s="32" t="str">
        <x:v>M3-BOUND-054</x:v>
      </x:c>
      <x:c r="B58" s="32" t="str">
        <x:v>正财接受照顾｜BD05依托边界</x:v>
      </x:c>
      <x:c r="C58" s="32" t="str">
        <x:v>L1 十神边界通道</x:v>
      </x:c>
      <x:c r="D58" s="32" t="str">
        <x:v>BOUND-十神通道</x:v>
      </x:c>
      <x:c r="E58" s="32" t="str">
        <x:v>通用</x:v>
      </x:c>
      <x:c r="F58" s="32" t="str">
        <x:v>接受支持</x:v>
      </x:c>
      <x:c r="G58" s="32" t="str">
        <x:v>正财</x:v>
      </x:c>
      <x:c r="H58" s="32" t="str"/>
      <x:c r="I58" s="32" t="str">
        <x:v>正财BOUND功能有效，基础十神性质可靠，未被真合化替换。</x:v>
      </x:c>
      <x:c r="J58" s="32" t="str">
        <x:v>基础信号未定；真合化后原信号已失效；只有单一弱远争议信号；或该结论会越界到M4风险、M5适配。</x:v>
      </x:c>
      <x:c r="K58" s="32" t="str">
        <x:v>由共享基础引擎与M3-STATE修正；日主承载、印比支持只修正自主与执行，不直接等于有无边界。</x:v>
      </x:c>
      <x:c r="L58" s="32" t="str">
        <x:v>不限定；夫妻星仅在入宫或形成角色、责任边界时参与接口，不作为BOUND唯一主轴。</x:v>
      </x:c>
      <x:c r="M58" s="32" t="str">
        <x:v>由M3-BASE、日支主气及宫位动态提供。</x:v>
      </x:c>
      <x:c r="N58" s="32" t="str">
        <x:v>无／待BOUND路径规则组合</x:v>
      </x:c>
      <x:c r="O58" s="32" t="str">
        <x:v>日柱与日支近位优先；全局有效独立信号可作次通道。</x:v>
      </x:c>
      <x:c r="P58" s="32" t="str">
        <x:v>由共享基础引擎判定</x:v>
      </x:c>
      <x:c r="Q58" s="32" t="str">
        <x:v>由共享基础引擎判定</x:v>
      </x:c>
      <x:c r="R58" s="32" t="str">
        <x:v>喜忌不直接等于边界好坏；只修正调用顺畅度、资源压力和状态切换。</x:v>
      </x:c>
      <x:c r="S58" s="32" t="str">
        <x:v>原十神性质有效；真合化成立时按化神所属功能系统重建。</x:v>
      </x:c>
      <x:c r="T58" s="32" t="str">
        <x:v>由共享基础引擎判定</x:v>
      </x:c>
      <x:c r="U58" s="32" t="str">
        <x:v>72</x:v>
      </x:c>
      <x:c r="V58" s="32" t="str">
        <x:v>接受照顾候选 +4</x:v>
      </x:c>
      <x:c r="W58" s="32" t="str">
        <x:v>support_acceptance_boundary</x:v>
      </x:c>
      <x:c r="X58" s="32" t="str">
        <x:v>更容易接受持续、可靠、落实到日常并尊重共同安排的照顾。</x:v>
      </x:c>
      <x:c r="Y58" s="32" t="str">
        <x:v>更容易接受持续、可靠、落实到日常并尊重共同安排的照顾。</x:v>
      </x:c>
      <x:c r="Z58" s="32" t="str">
        <x:v>不得由本规则直接推出回避亲密、依赖失控、控制欲、冷漠、自私、关系破裂、分手离婚、人格或依恋类型；不得把某种边界方式等同于爱得更多或更少。</x:v>
      </x:c>
      <x:c r="AA58" s="32" t="str">
        <x:v>中</x:v>
      </x:c>
      <x:c r="AB58" s="32" t="str">
        <x:v>待验证</x:v>
      </x:c>
      <x:c r="AC58" s="32" t="str"/>
      <x:c r="AD58" s="32" t="str">
        <x:v>provisional=true; rule_group=CHANNEL_BD05_RECEIVE</x:v>
      </x:c>
      <x:c r="AE58" s="32" t="str">
        <x:v>0.5</x:v>
      </x:c>
    </x:row>
    <x:row r="59">
      <x:c r="A59" s="32" t="str">
        <x:v>M3-BOUND-055</x:v>
      </x:c>
      <x:c r="B59" s="32" t="str">
        <x:v>正财禁止误读｜BD05边界</x:v>
      </x:c>
      <x:c r="C59" s="32" t="str">
        <x:v>L1 十神边界通道</x:v>
      </x:c>
      <x:c r="D59" s="32" t="str">
        <x:v>BOUND-十神通道</x:v>
      </x:c>
      <x:c r="E59" s="32" t="str">
        <x:v>通用</x:v>
      </x:c>
      <x:c r="F59" s="32" t="str">
        <x:v>禁止推断</x:v>
      </x:c>
      <x:c r="G59" s="32" t="str">
        <x:v>正财</x:v>
      </x:c>
      <x:c r="H59" s="32" t="str"/>
      <x:c r="I59" s="32" t="str">
        <x:v>正财BOUND功能有效，基础十神性质可靠，未被真合化替换。</x:v>
      </x:c>
      <x:c r="J59" s="32" t="str">
        <x:v>基础信号未定；真合化后原信号已失效；只有单一弱远争议信号；或该结论会越界到M4风险、M5适配。</x:v>
      </x:c>
      <x:c r="K59" s="32" t="str">
        <x:v>由共享基础引擎与M3-STATE修正；日主承载、印比支持只修正自主与执行，不直接等于有无边界。</x:v>
      </x:c>
      <x:c r="L59" s="32" t="str">
        <x:v>不限定；夫妻星仅在入宫或形成角色、责任边界时参与接口，不作为BOUND唯一主轴。</x:v>
      </x:c>
      <x:c r="M59" s="32" t="str">
        <x:v>由M3-BASE、日支主气及宫位动态提供。</x:v>
      </x:c>
      <x:c r="N59" s="32" t="str">
        <x:v>无／待BOUND路径规则组合</x:v>
      </x:c>
      <x:c r="O59" s="32" t="str">
        <x:v>日柱与日支近位优先；全局有效独立信号可作次通道。</x:v>
      </x:c>
      <x:c r="P59" s="32" t="str">
        <x:v>由共享基础引擎判定</x:v>
      </x:c>
      <x:c r="Q59" s="32" t="str">
        <x:v>由共享基础引擎判定</x:v>
      </x:c>
      <x:c r="R59" s="32" t="str">
        <x:v>喜忌不直接等于边界好坏；只修正调用顺畅度、资源压力和状态切换。</x:v>
      </x:c>
      <x:c r="S59" s="32" t="str">
        <x:v>原十神性质有效；真合化成立时按化神所属功能系统重建。</x:v>
      </x:c>
      <x:c r="T59" s="32" t="str">
        <x:v>由共享基础引擎判定</x:v>
      </x:c>
      <x:c r="U59" s="32" t="str">
        <x:v>96</x:v>
      </x:c>
      <x:c r="V59" s="32" t="str">
        <x:v>不加分；边界检查</x:v>
      </x:c>
      <x:c r="W59" s="32" t="str">
        <x:v>boundary_note</x:v>
      </x:c>
      <x:c r="X59" s="32" t="str">
        <x:v>该通道只说明关系中的边界功能，不等于人格、风险或感情结果。</x:v>
      </x:c>
      <x:c r="Y59" s="32" t="str">
        <x:v>这里描述的是你可能更常使用的边界方式，不代表你只能这样相处，也不代表其他方式一定缺失。</x:v>
      </x:c>
      <x:c r="Z59" s="32" t="str">
        <x:v>不得推出用户功利、只看金钱、缺乏浪漫、严格算账、一定同居或一定承担家务。</x:v>
      </x:c>
      <x:c r="AA59" s="32" t="str">
        <x:v>高</x:v>
      </x:c>
      <x:c r="AB59" s="32" t="str">
        <x:v>待验证</x:v>
      </x:c>
      <x:c r="AC59" s="32" t="str"/>
      <x:c r="AD59" s="32" t="str">
        <x:v>provisional=true; rule_group=CHANNEL_BD05_BAN</x:v>
      </x:c>
      <x:c r="AE59" s="32" t="str">
        <x:v>0.5</x:v>
      </x:c>
    </x:row>
    <x:row r="60">
      <x:c r="A60" s="32" t="str">
        <x:v>M3-BOUND-056</x:v>
      </x:c>
      <x:c r="B60" s="32" t="str">
        <x:v>偏财BOUND通道｜BD06 弹性共享</x:v>
      </x:c>
      <x:c r="C60" s="32" t="str">
        <x:v>L1 十神边界通道</x:v>
      </x:c>
      <x:c r="D60" s="32" t="str">
        <x:v>BOUND-十神通道</x:v>
      </x:c>
      <x:c r="E60" s="32" t="str">
        <x:v>通用</x:v>
      </x:c>
      <x:c r="F60" s="32" t="str">
        <x:v>基础通道</x:v>
      </x:c>
      <x:c r="G60" s="32" t="str">
        <x:v>偏财</x:v>
      </x:c>
      <x:c r="H60" s="32" t="str"/>
      <x:c r="I60" s="32" t="str">
        <x:v>偏财BOUND功能有效，基础十神性质可靠，未被真合化替换。</x:v>
      </x:c>
      <x:c r="J60" s="32" t="str">
        <x:v>基础信号未定；真合化后原信号已失效；只有单一弱远争议信号；或该结论会越界到M4风险、M5适配。</x:v>
      </x:c>
      <x:c r="K60" s="32" t="str">
        <x:v>由共享基础引擎与M3-STATE修正；日主承载、印比支持只修正自主与执行，不直接等于有无边界。</x:v>
      </x:c>
      <x:c r="L60" s="32" t="str">
        <x:v>不限定；夫妻星仅在入宫或形成角色、责任边界时参与接口，不作为BOUND唯一主轴。</x:v>
      </x:c>
      <x:c r="M60" s="32" t="str">
        <x:v>由M3-BASE、日支主气及宫位动态提供。</x:v>
      </x:c>
      <x:c r="N60" s="32" t="str">
        <x:v>无／待BOUND路径规则组合</x:v>
      </x:c>
      <x:c r="O60" s="32" t="str">
        <x:v>日柱与日支近位优先；全局有效独立信号可作次通道。</x:v>
      </x:c>
      <x:c r="P60" s="32" t="str">
        <x:v>由共享基础引擎判定</x:v>
      </x:c>
      <x:c r="Q60" s="32" t="str">
        <x:v>由共享基础引擎判定</x:v>
      </x:c>
      <x:c r="R60" s="32" t="str">
        <x:v>喜忌不直接等于边界好坏；只修正调用顺畅度、资源压力和状态切换。</x:v>
      </x:c>
      <x:c r="S60" s="32" t="str">
        <x:v>原十神性质有效；真合化成立时按化神所属功能系统重建。</x:v>
      </x:c>
      <x:c r="T60" s="32" t="str">
        <x:v>由共享基础引擎判定</x:v>
      </x:c>
      <x:c r="U60" s="32" t="str">
        <x:v>88</x:v>
      </x:c>
      <x:c r="V60" s="32" t="str">
        <x:v>主BOUND候选 +18</x:v>
      </x:c>
      <x:c r="W60" s="32" t="str">
        <x:v>primary_boundary_channel</x:v>
      </x:c>
      <x:c r="X60" s="32" t="str">
        <x:v>偏财属于SYS03 投入经营系统，在BOUND中主要负责：通过灵活分配时间、资源、体验和社交空间维持亲密，边界会随现实和互动调整。</x:v>
      </x:c>
      <x:c r="Y60" s="32" t="str">
        <x:v>你更容易通过“弹性共享”安排亲密与自主。通过灵活分配时间、资源、体验和社交空间维持亲密，边界会随现实和互动调整。</x:v>
      </x:c>
      <x:c r="Z60" s="32" t="str">
        <x:v>不得由本规则直接推出回避亲密、依赖失控、控制欲、冷漠、自私、关系破裂、分手离婚、人格或依恋类型；不得把某种边界方式等同于爱得更多或更少。</x:v>
      </x:c>
      <x:c r="AA60" s="32" t="str">
        <x:v>中高</x:v>
      </x:c>
      <x:c r="AB60" s="32" t="str">
        <x:v>待验证</x:v>
      </x:c>
      <x:c r="AC60" s="32" t="str"/>
      <x:c r="AD60" s="32" t="str">
        <x:v>provisional=true; rule_group=CHANNEL_BD06_BASE</x:v>
      </x:c>
      <x:c r="AE60" s="32" t="str">
        <x:v>0.5</x:v>
      </x:c>
    </x:row>
    <x:row r="61">
      <x:c r="A61" s="32" t="str">
        <x:v>M3-BOUND-057</x:v>
      </x:c>
      <x:c r="B61" s="32" t="str">
        <x:v>偏财靠近方式｜BD06关系启动</x:v>
      </x:c>
      <x:c r="C61" s="32" t="str">
        <x:v>L1 十神边界通道</x:v>
      </x:c>
      <x:c r="D61" s="32" t="str">
        <x:v>BOUND-十神通道</x:v>
      </x:c>
      <x:c r="E61" s="32" t="str">
        <x:v>通用</x:v>
      </x:c>
      <x:c r="F61" s="32" t="str">
        <x:v>靠近方式</x:v>
      </x:c>
      <x:c r="G61" s="32" t="str">
        <x:v>偏财</x:v>
      </x:c>
      <x:c r="H61" s="32" t="str"/>
      <x:c r="I61" s="32" t="str">
        <x:v>偏财BOUND功能有效，基础十神性质可靠，未被真合化替换。</x:v>
      </x:c>
      <x:c r="J61" s="32" t="str">
        <x:v>基础信号未定；真合化后原信号已失效；只有单一弱远争议信号；或该结论会越界到M4风险、M5适配。</x:v>
      </x:c>
      <x:c r="K61" s="32" t="str">
        <x:v>由共享基础引擎与M3-STATE修正；日主承载、印比支持只修正自主与执行，不直接等于有无边界。</x:v>
      </x:c>
      <x:c r="L61" s="32" t="str">
        <x:v>不限定；夫妻星仅在入宫或形成角色、责任边界时参与接口，不作为BOUND唯一主轴。</x:v>
      </x:c>
      <x:c r="M61" s="32" t="str">
        <x:v>由M3-BASE、日支主气及宫位动态提供。</x:v>
      </x:c>
      <x:c r="N61" s="32" t="str">
        <x:v>无／待BOUND路径规则组合</x:v>
      </x:c>
      <x:c r="O61" s="32" t="str">
        <x:v>日柱与日支近位优先；全局有效独立信号可作次通道。</x:v>
      </x:c>
      <x:c r="P61" s="32" t="str">
        <x:v>由共享基础引擎判定</x:v>
      </x:c>
      <x:c r="Q61" s="32" t="str">
        <x:v>由共享基础引擎判定</x:v>
      </x:c>
      <x:c r="R61" s="32" t="str">
        <x:v>喜忌不直接等于边界好坏；只修正调用顺畅度、资源压力和状态切换。</x:v>
      </x:c>
      <x:c r="S61" s="32" t="str">
        <x:v>原十神性质有效；真合化成立时按化神所属功能系统重建。</x:v>
      </x:c>
      <x:c r="T61" s="32" t="str">
        <x:v>由共享基础引擎判定</x:v>
      </x:c>
      <x:c r="U61" s="32" t="str">
        <x:v>76</x:v>
      </x:c>
      <x:c r="V61" s="32" t="str">
        <x:v>靠近节奏候选 +6</x:v>
      </x:c>
      <x:c r="W61" s="32" t="str">
        <x:v>closeness_rhythm</x:v>
      </x:c>
      <x:c r="X61" s="32" t="str">
        <x:v>更容易在有趣互动、共同体验和即时回应中迅速增加熟悉感。</x:v>
      </x:c>
      <x:c r="Y61" s="32" t="str">
        <x:v>更容易在有趣互动、共同体验和即时回应中迅速增加熟悉感。</x:v>
      </x:c>
      <x:c r="Z61" s="32" t="str">
        <x:v>不得由本规则直接推出回避亲密、依赖失控、控制欲、冷漠、自私、关系破裂、分手离婚、人格或依恋类型；不得把某种边界方式等同于爱得更多或更少。</x:v>
      </x:c>
      <x:c r="AA61" s="32" t="str">
        <x:v>中</x:v>
      </x:c>
      <x:c r="AB61" s="32" t="str">
        <x:v>待验证</x:v>
      </x:c>
      <x:c r="AC61" s="32" t="str"/>
      <x:c r="AD61" s="32" t="str">
        <x:v>provisional=true; rule_group=CHANNEL_BD06_APPROACH</x:v>
      </x:c>
      <x:c r="AE61" s="32" t="str">
        <x:v>0.5</x:v>
      </x:c>
    </x:row>
    <x:row r="62">
      <x:c r="A62" s="32" t="str">
        <x:v>M3-BOUND-058</x:v>
      </x:c>
      <x:c r="B62" s="32" t="str">
        <x:v>偏财空间与自主｜BD06权限安排</x:v>
      </x:c>
      <x:c r="C62" s="32" t="str">
        <x:v>L1 十神边界通道</x:v>
      </x:c>
      <x:c r="D62" s="32" t="str">
        <x:v>BOUND-十神通道</x:v>
      </x:c>
      <x:c r="E62" s="32" t="str">
        <x:v>通用</x:v>
      </x:c>
      <x:c r="F62" s="32" t="str">
        <x:v>空间与自主</x:v>
      </x:c>
      <x:c r="G62" s="32" t="str">
        <x:v>偏财</x:v>
      </x:c>
      <x:c r="H62" s="32" t="str"/>
      <x:c r="I62" s="32" t="str">
        <x:v>偏财BOUND功能有效，基础十神性质可靠，未被真合化替换。</x:v>
      </x:c>
      <x:c r="J62" s="32" t="str">
        <x:v>基础信号未定；真合化后原信号已失效；只有单一弱远争议信号；或该结论会越界到M4风险、M5适配。</x:v>
      </x:c>
      <x:c r="K62" s="32" t="str">
        <x:v>由共享基础引擎与M3-STATE修正；日主承载、印比支持只修正自主与执行，不直接等于有无边界。</x:v>
      </x:c>
      <x:c r="L62" s="32" t="str">
        <x:v>不限定；夫妻星仅在入宫或形成角色、责任边界时参与接口，不作为BOUND唯一主轴。</x:v>
      </x:c>
      <x:c r="M62" s="32" t="str">
        <x:v>由M3-BASE、日支主气及宫位动态提供。</x:v>
      </x:c>
      <x:c r="N62" s="32" t="str">
        <x:v>无／待BOUND路径规则组合</x:v>
      </x:c>
      <x:c r="O62" s="32" t="str">
        <x:v>日柱与日支近位优先；全局有效独立信号可作次通道。</x:v>
      </x:c>
      <x:c r="P62" s="32" t="str">
        <x:v>由共享基础引擎判定</x:v>
      </x:c>
      <x:c r="Q62" s="32" t="str">
        <x:v>由共享基础引擎判定</x:v>
      </x:c>
      <x:c r="R62" s="32" t="str">
        <x:v>喜忌不直接等于边界好坏；只修正调用顺畅度、资源压力和状态切换。</x:v>
      </x:c>
      <x:c r="S62" s="32" t="str">
        <x:v>原十神性质有效；真合化成立时按化神所属功能系统重建。</x:v>
      </x:c>
      <x:c r="T62" s="32" t="str">
        <x:v>由共享基础引擎判定</x:v>
      </x:c>
      <x:c r="U62" s="32" t="str">
        <x:v>75</x:v>
      </x:c>
      <x:c r="V62" s="32" t="str">
        <x:v>空间／自主候选 +6</x:v>
      </x:c>
      <x:c r="W62" s="32" t="str">
        <x:v>autonomy_pattern</x:v>
      </x:c>
      <x:c r="X62" s="32" t="str">
        <x:v>共享范围较有弹性，可能在不同场景切换个人、伴侣与社交空间。</x:v>
      </x:c>
      <x:c r="Y62" s="32" t="str">
        <x:v>共享范围较有弹性，可能在不同场景切换个人、伴侣与社交空间。</x:v>
      </x:c>
      <x:c r="Z62" s="32" t="str">
        <x:v>不得由本规则直接推出回避亲密、依赖失控、控制欲、冷漠、自私、关系破裂、分手离婚、人格或依恋类型；不得把某种边界方式等同于爱得更多或更少。</x:v>
      </x:c>
      <x:c r="AA62" s="32" t="str">
        <x:v>中</x:v>
      </x:c>
      <x:c r="AB62" s="32" t="str">
        <x:v>待验证</x:v>
      </x:c>
      <x:c r="AC62" s="32" t="str"/>
      <x:c r="AD62" s="32" t="str">
        <x:v>provisional=true; rule_group=CHANNEL_BD06_SPACE</x:v>
      </x:c>
      <x:c r="AE62" s="32" t="str">
        <x:v>0.5</x:v>
      </x:c>
    </x:row>
    <x:row r="63">
      <x:c r="A63" s="32" t="str">
        <x:v>M3-BOUND-059</x:v>
      </x:c>
      <x:c r="B63" s="32" t="str">
        <x:v>偏财需求表达｜BD06怎样说明需要</x:v>
      </x:c>
      <x:c r="C63" s="32" t="str">
        <x:v>L1 十神边界通道</x:v>
      </x:c>
      <x:c r="D63" s="32" t="str">
        <x:v>BOUND-十神通道</x:v>
      </x:c>
      <x:c r="E63" s="32" t="str">
        <x:v>通用</x:v>
      </x:c>
      <x:c r="F63" s="32" t="str">
        <x:v>需求表达</x:v>
      </x:c>
      <x:c r="G63" s="32" t="str">
        <x:v>偏财</x:v>
      </x:c>
      <x:c r="H63" s="32" t="str"/>
      <x:c r="I63" s="32" t="str">
        <x:v>偏财BOUND功能有效，基础十神性质可靠，未被真合化替换。</x:v>
      </x:c>
      <x:c r="J63" s="32" t="str">
        <x:v>基础信号未定；真合化后原信号已失效；只有单一弱远争议信号；或该结论会越界到M4风险、M5适配。</x:v>
      </x:c>
      <x:c r="K63" s="32" t="str">
        <x:v>由共享基础引擎与M3-STATE修正；日主承载、印比支持只修正自主与执行，不直接等于有无边界。</x:v>
      </x:c>
      <x:c r="L63" s="32" t="str">
        <x:v>不限定；夫妻星仅在入宫或形成角色、责任边界时参与接口，不作为BOUND唯一主轴。</x:v>
      </x:c>
      <x:c r="M63" s="32" t="str">
        <x:v>由M3-BASE、日支主气及宫位动态提供。</x:v>
      </x:c>
      <x:c r="N63" s="32" t="str">
        <x:v>无／待BOUND路径规则组合</x:v>
      </x:c>
      <x:c r="O63" s="32" t="str">
        <x:v>日柱与日支近位优先；全局有效独立信号可作次通道。</x:v>
      </x:c>
      <x:c r="P63" s="32" t="str">
        <x:v>由共享基础引擎判定</x:v>
      </x:c>
      <x:c r="Q63" s="32" t="str">
        <x:v>由共享基础引擎判定</x:v>
      </x:c>
      <x:c r="R63" s="32" t="str">
        <x:v>喜忌不直接等于边界好坏；只修正调用顺畅度、资源压力和状态切换。</x:v>
      </x:c>
      <x:c r="S63" s="32" t="str">
        <x:v>原十神性质有效；真合化成立时按化神所属功能系统重建。</x:v>
      </x:c>
      <x:c r="T63" s="32" t="str">
        <x:v>由共享基础引擎判定</x:v>
      </x:c>
      <x:c r="U63" s="32" t="str">
        <x:v>74</x:v>
      </x:c>
      <x:c r="V63" s="32" t="str">
        <x:v>需求表达候选 +4</x:v>
      </x:c>
      <x:c r="W63" s="32" t="str">
        <x:v>need_expression</x:v>
      </x:c>
      <x:c r="X63" s="32" t="str">
        <x:v>需求常以当下机会、体验、资源和灵活安排的形式提出。</x:v>
      </x:c>
      <x:c r="Y63" s="32" t="str">
        <x:v>需求常以当下机会、体验、资源和灵活安排的形式提出。</x:v>
      </x:c>
      <x:c r="Z63" s="32" t="str">
        <x:v>不得由本规则直接推出回避亲密、依赖失控、控制欲、冷漠、自私、关系破裂、分手离婚、人格或依恋类型；不得把某种边界方式等同于爱得更多或更少。</x:v>
      </x:c>
      <x:c r="AA63" s="32" t="str">
        <x:v>中</x:v>
      </x:c>
      <x:c r="AB63" s="32" t="str">
        <x:v>待验证</x:v>
      </x:c>
      <x:c r="AC63" s="32" t="str"/>
      <x:c r="AD63" s="32" t="str">
        <x:v>provisional=true; rule_group=CHANNEL_BD06_NEED</x:v>
      </x:c>
      <x:c r="AE63" s="32" t="str">
        <x:v>0.5</x:v>
      </x:c>
    </x:row>
    <x:row r="64">
      <x:c r="A64" s="32" t="str">
        <x:v>M3-BOUND-060</x:v>
      </x:c>
      <x:c r="B64" s="32" t="str">
        <x:v>偏财拒绝与暂停｜BD06怎样设限</x:v>
      </x:c>
      <x:c r="C64" s="32" t="str">
        <x:v>L1 十神边界通道</x:v>
      </x:c>
      <x:c r="D64" s="32" t="str">
        <x:v>BOUND-十神通道</x:v>
      </x:c>
      <x:c r="E64" s="32" t="str">
        <x:v>通用</x:v>
      </x:c>
      <x:c r="F64" s="32" t="str">
        <x:v>拒绝／暂停</x:v>
      </x:c>
      <x:c r="G64" s="32" t="str">
        <x:v>偏财</x:v>
      </x:c>
      <x:c r="H64" s="32" t="str"/>
      <x:c r="I64" s="32" t="str">
        <x:v>偏财BOUND功能有效，基础十神性质可靠，未被真合化替换。</x:v>
      </x:c>
      <x:c r="J64" s="32" t="str">
        <x:v>基础信号未定；真合化后原信号已失效；只有单一弱远争议信号；或该结论会越界到M4风险、M5适配。</x:v>
      </x:c>
      <x:c r="K64" s="32" t="str">
        <x:v>由共享基础引擎与M3-STATE修正；日主承载、印比支持只修正自主与执行，不直接等于有无边界。</x:v>
      </x:c>
      <x:c r="L64" s="32" t="str">
        <x:v>不限定；夫妻星仅在入宫或形成角色、责任边界时参与接口，不作为BOUND唯一主轴。</x:v>
      </x:c>
      <x:c r="M64" s="32" t="str">
        <x:v>由M3-BASE、日支主气及宫位动态提供。</x:v>
      </x:c>
      <x:c r="N64" s="32" t="str">
        <x:v>无／待BOUND路径规则组合</x:v>
      </x:c>
      <x:c r="O64" s="32" t="str">
        <x:v>日柱与日支近位优先；全局有效独立信号可作次通道。</x:v>
      </x:c>
      <x:c r="P64" s="32" t="str">
        <x:v>由共享基础引擎判定</x:v>
      </x:c>
      <x:c r="Q64" s="32" t="str">
        <x:v>由共享基础引擎判定</x:v>
      </x:c>
      <x:c r="R64" s="32" t="str">
        <x:v>喜忌不直接等于边界好坏；只修正调用顺畅度、资源压力和状态切换。</x:v>
      </x:c>
      <x:c r="S64" s="32" t="str">
        <x:v>原十神性质有效；真合化成立时按化神所属功能系统重建。</x:v>
      </x:c>
      <x:c r="T64" s="32" t="str">
        <x:v>由共享基础引擎判定</x:v>
      </x:c>
      <x:c r="U64" s="32" t="str">
        <x:v>73</x:v>
      </x:c>
      <x:c r="V64" s="32" t="str">
        <x:v>拒绝／暂停候选 +4</x:v>
      </x:c>
      <x:c r="W64" s="32" t="str">
        <x:v>refusal_style</x:v>
      </x:c>
      <x:c r="X64" s="32" t="str">
        <x:v>不合适时更倾向调整时间、方式、场景或资源，而不是永远固定一种安排。</x:v>
      </x:c>
      <x:c r="Y64" s="32" t="str">
        <x:v>不合适时更倾向调整时间、方式、场景或资源，而不是永远固定一种安排。</x:v>
      </x:c>
      <x:c r="Z64" s="32" t="str">
        <x:v>不得由本规则直接推出回避亲密、依赖失控、控制欲、冷漠、自私、关系破裂、分手离婚、人格或依恋类型；不得把某种边界方式等同于爱得更多或更少。</x:v>
      </x:c>
      <x:c r="AA64" s="32" t="str">
        <x:v>中</x:v>
      </x:c>
      <x:c r="AB64" s="32" t="str">
        <x:v>待验证</x:v>
      </x:c>
      <x:c r="AC64" s="32" t="str"/>
      <x:c r="AD64" s="32" t="str">
        <x:v>provisional=true; rule_group=CHANNEL_BD06_REFUSAL</x:v>
      </x:c>
      <x:c r="AE64" s="32" t="str">
        <x:v>0.5</x:v>
      </x:c>
    </x:row>
    <x:row r="65">
      <x:c r="A65" s="32" t="str">
        <x:v>M3-BOUND-061</x:v>
      </x:c>
      <x:c r="B65" s="32" t="str">
        <x:v>偏财接受照顾｜BD06依托边界</x:v>
      </x:c>
      <x:c r="C65" s="32" t="str">
        <x:v>L1 十神边界通道</x:v>
      </x:c>
      <x:c r="D65" s="32" t="str">
        <x:v>BOUND-十神通道</x:v>
      </x:c>
      <x:c r="E65" s="32" t="str">
        <x:v>通用</x:v>
      </x:c>
      <x:c r="F65" s="32" t="str">
        <x:v>接受支持</x:v>
      </x:c>
      <x:c r="G65" s="32" t="str">
        <x:v>偏财</x:v>
      </x:c>
      <x:c r="H65" s="32" t="str"/>
      <x:c r="I65" s="32" t="str">
        <x:v>偏财BOUND功能有效，基础十神性质可靠，未被真合化替换。</x:v>
      </x:c>
      <x:c r="J65" s="32" t="str">
        <x:v>基础信号未定；真合化后原信号已失效；只有单一弱远争议信号；或该结论会越界到M4风险、M5适配。</x:v>
      </x:c>
      <x:c r="K65" s="32" t="str">
        <x:v>由共享基础引擎与M3-STATE修正；日主承载、印比支持只修正自主与执行，不直接等于有无边界。</x:v>
      </x:c>
      <x:c r="L65" s="32" t="str">
        <x:v>不限定；夫妻星仅在入宫或形成角色、责任边界时参与接口，不作为BOUND唯一主轴。</x:v>
      </x:c>
      <x:c r="M65" s="32" t="str">
        <x:v>由M3-BASE、日支主气及宫位动态提供。</x:v>
      </x:c>
      <x:c r="N65" s="32" t="str">
        <x:v>无／待BOUND路径规则组合</x:v>
      </x:c>
      <x:c r="O65" s="32" t="str">
        <x:v>日柱与日支近位优先；全局有效独立信号可作次通道。</x:v>
      </x:c>
      <x:c r="P65" s="32" t="str">
        <x:v>由共享基础引擎判定</x:v>
      </x:c>
      <x:c r="Q65" s="32" t="str">
        <x:v>由共享基础引擎判定</x:v>
      </x:c>
      <x:c r="R65" s="32" t="str">
        <x:v>喜忌不直接等于边界好坏；只修正调用顺畅度、资源压力和状态切换。</x:v>
      </x:c>
      <x:c r="S65" s="32" t="str">
        <x:v>原十神性质有效；真合化成立时按化神所属功能系统重建。</x:v>
      </x:c>
      <x:c r="T65" s="32" t="str">
        <x:v>由共享基础引擎判定</x:v>
      </x:c>
      <x:c r="U65" s="32" t="str">
        <x:v>72</x:v>
      </x:c>
      <x:c r="V65" s="32" t="str">
        <x:v>接受照顾候选 +4</x:v>
      </x:c>
      <x:c r="W65" s="32" t="str">
        <x:v>support_acceptance_boundary</x:v>
      </x:c>
      <x:c r="X65" s="32" t="str">
        <x:v>更容易接受灵活、及时、有实际便利并不过度绑定的支持。</x:v>
      </x:c>
      <x:c r="Y65" s="32" t="str">
        <x:v>更容易接受灵活、及时、有实际便利并不过度绑定的支持。</x:v>
      </x:c>
      <x:c r="Z65" s="32" t="str">
        <x:v>不得由本规则直接推出回避亲密、依赖失控、控制欲、冷漠、自私、关系破裂、分手离婚、人格或依恋类型；不得把某种边界方式等同于爱得更多或更少。</x:v>
      </x:c>
      <x:c r="AA65" s="32" t="str">
        <x:v>中</x:v>
      </x:c>
      <x:c r="AB65" s="32" t="str">
        <x:v>待验证</x:v>
      </x:c>
      <x:c r="AC65" s="32" t="str"/>
      <x:c r="AD65" s="32" t="str">
        <x:v>provisional=true; rule_group=CHANNEL_BD06_RECEIVE</x:v>
      </x:c>
      <x:c r="AE65" s="32" t="str">
        <x:v>0.5</x:v>
      </x:c>
    </x:row>
    <x:row r="66">
      <x:c r="A66" s="32" t="str">
        <x:v>M3-BOUND-062</x:v>
      </x:c>
      <x:c r="B66" s="32" t="str">
        <x:v>偏财禁止误读｜BD06边界</x:v>
      </x:c>
      <x:c r="C66" s="32" t="str">
        <x:v>L1 十神边界通道</x:v>
      </x:c>
      <x:c r="D66" s="32" t="str">
        <x:v>BOUND-十神通道</x:v>
      </x:c>
      <x:c r="E66" s="32" t="str">
        <x:v>通用</x:v>
      </x:c>
      <x:c r="F66" s="32" t="str">
        <x:v>禁止推断</x:v>
      </x:c>
      <x:c r="G66" s="32" t="str">
        <x:v>偏财</x:v>
      </x:c>
      <x:c r="H66" s="32" t="str"/>
      <x:c r="I66" s="32" t="str">
        <x:v>偏财BOUND功能有效，基础十神性质可靠，未被真合化替换。</x:v>
      </x:c>
      <x:c r="J66" s="32" t="str">
        <x:v>基础信号未定；真合化后原信号已失效；只有单一弱远争议信号；或该结论会越界到M4风险、M5适配。</x:v>
      </x:c>
      <x:c r="K66" s="32" t="str">
        <x:v>由共享基础引擎与M3-STATE修正；日主承载、印比支持只修正自主与执行，不直接等于有无边界。</x:v>
      </x:c>
      <x:c r="L66" s="32" t="str">
        <x:v>不限定；夫妻星仅在入宫或形成角色、责任边界时参与接口，不作为BOUND唯一主轴。</x:v>
      </x:c>
      <x:c r="M66" s="32" t="str">
        <x:v>由M3-BASE、日支主气及宫位动态提供。</x:v>
      </x:c>
      <x:c r="N66" s="32" t="str">
        <x:v>无／待BOUND路径规则组合</x:v>
      </x:c>
      <x:c r="O66" s="32" t="str">
        <x:v>日柱与日支近位优先；全局有效独立信号可作次通道。</x:v>
      </x:c>
      <x:c r="P66" s="32" t="str">
        <x:v>由共享基础引擎判定</x:v>
      </x:c>
      <x:c r="Q66" s="32" t="str">
        <x:v>由共享基础引擎判定</x:v>
      </x:c>
      <x:c r="R66" s="32" t="str">
        <x:v>喜忌不直接等于边界好坏；只修正调用顺畅度、资源压力和状态切换。</x:v>
      </x:c>
      <x:c r="S66" s="32" t="str">
        <x:v>原十神性质有效；真合化成立时按化神所属功能系统重建。</x:v>
      </x:c>
      <x:c r="T66" s="32" t="str">
        <x:v>由共享基础引擎判定</x:v>
      </x:c>
      <x:c r="U66" s="32" t="str">
        <x:v>96</x:v>
      </x:c>
      <x:c r="V66" s="32" t="str">
        <x:v>不加分；边界检查</x:v>
      </x:c>
      <x:c r="W66" s="32" t="str">
        <x:v>boundary_note</x:v>
      </x:c>
      <x:c r="X66" s="32" t="str">
        <x:v>该通道只说明关系中的边界功能，不等于人格、风险或感情结果。</x:v>
      </x:c>
      <x:c r="Y66" s="32" t="str">
        <x:v>这里描述的是你可能更常使用的边界方式，不代表你只能这样相处，也不代表其他方式一定缺失。</x:v>
      </x:c>
      <x:c r="Z66" s="32" t="str">
        <x:v>不得推出用户花心、没有原则、边界开放、爱暧昧、挥霍或无法进入稳定关系。</x:v>
      </x:c>
      <x:c r="AA66" s="32" t="str">
        <x:v>高</x:v>
      </x:c>
      <x:c r="AB66" s="32" t="str">
        <x:v>待验证</x:v>
      </x:c>
      <x:c r="AC66" s="32" t="str"/>
      <x:c r="AD66" s="32" t="str">
        <x:v>provisional=true; rule_group=CHANNEL_BD06_BAN</x:v>
      </x:c>
      <x:c r="AE66" s="32" t="str">
        <x:v>0.5</x:v>
      </x:c>
    </x:row>
    <x:row r="67">
      <x:c r="A67" s="32" t="str">
        <x:v>M3-BOUND-063</x:v>
      </x:c>
      <x:c r="B67" s="32" t="str">
        <x:v>正官BOUND通道｜BD07 规则角色</x:v>
      </x:c>
      <x:c r="C67" s="32" t="str">
        <x:v>L1 十神边界通道</x:v>
      </x:c>
      <x:c r="D67" s="32" t="str">
        <x:v>BOUND-十神通道</x:v>
      </x:c>
      <x:c r="E67" s="32" t="str">
        <x:v>通用</x:v>
      </x:c>
      <x:c r="F67" s="32" t="str">
        <x:v>基础通道</x:v>
      </x:c>
      <x:c r="G67" s="32" t="str">
        <x:v>正官</x:v>
      </x:c>
      <x:c r="H67" s="32" t="str"/>
      <x:c r="I67" s="32" t="str">
        <x:v>正官BOUND功能有效，基础十神性质可靠，未被真合化替换。</x:v>
      </x:c>
      <x:c r="J67" s="32" t="str">
        <x:v>基础信号未定；真合化后原信号已失效；只有单一弱远争议信号；或该结论会越界到M4风险、M5适配。</x:v>
      </x:c>
      <x:c r="K67" s="32" t="str">
        <x:v>由共享基础引擎与M3-STATE修正；日主承载、印比支持只修正自主与执行，不直接等于有无边界。</x:v>
      </x:c>
      <x:c r="L67" s="32" t="str">
        <x:v>不限定；夫妻星仅在入宫或形成角色、责任边界时参与接口，不作为BOUND唯一主轴。</x:v>
      </x:c>
      <x:c r="M67" s="32" t="str">
        <x:v>由M3-BASE、日支主气及宫位动态提供。</x:v>
      </x:c>
      <x:c r="N67" s="32" t="str">
        <x:v>无／待BOUND路径规则组合</x:v>
      </x:c>
      <x:c r="O67" s="32" t="str">
        <x:v>日柱与日支近位优先；全局有效独立信号可作次通道。</x:v>
      </x:c>
      <x:c r="P67" s="32" t="str">
        <x:v>由共享基础引擎判定</x:v>
      </x:c>
      <x:c r="Q67" s="32" t="str">
        <x:v>由共享基础引擎判定</x:v>
      </x:c>
      <x:c r="R67" s="32" t="str">
        <x:v>喜忌不直接等于边界好坏；只修正调用顺畅度、资源压力和状态切换。</x:v>
      </x:c>
      <x:c r="S67" s="32" t="str">
        <x:v>原十神性质有效；真合化成立时按化神所属功能系统重建。</x:v>
      </x:c>
      <x:c r="T67" s="32" t="str">
        <x:v>由共享基础引擎判定</x:v>
      </x:c>
      <x:c r="U67" s="32" t="str">
        <x:v>88</x:v>
      </x:c>
      <x:c r="V67" s="32" t="str">
        <x:v>主BOUND候选 +18</x:v>
      </x:c>
      <x:c r="W67" s="32" t="str">
        <x:v>primary_boundary_channel</x:v>
      </x:c>
      <x:c r="X67" s="32" t="str">
        <x:v>正官属于SYS04 责任行动系统，在BOUND中主要负责：通过明确关系角色、责任、承诺和共同规则建立安全边界，重视谁负责什么、怎样兑现。</x:v>
      </x:c>
      <x:c r="Y67" s="32" t="str">
        <x:v>你更容易通过“规则角色”安排亲密与自主。通过明确关系角色、责任、承诺和共同规则建立安全边界，重视谁负责什么、怎样兑现。</x:v>
      </x:c>
      <x:c r="Z67" s="32" t="str">
        <x:v>不得由本规则直接推出回避亲密、依赖失控、控制欲、冷漠、自私、关系破裂、分手离婚、人格或依恋类型；不得把某种边界方式等同于爱得更多或更少。</x:v>
      </x:c>
      <x:c r="AA67" s="32" t="str">
        <x:v>中高</x:v>
      </x:c>
      <x:c r="AB67" s="32" t="str">
        <x:v>待验证</x:v>
      </x:c>
      <x:c r="AC67" s="32" t="str"/>
      <x:c r="AD67" s="32" t="str">
        <x:v>provisional=true; rule_group=CHANNEL_BD07_BASE</x:v>
      </x:c>
      <x:c r="AE67" s="32" t="str">
        <x:v>0.5</x:v>
      </x:c>
    </x:row>
    <x:row r="68">
      <x:c r="A68" s="32" t="str">
        <x:v>M3-BOUND-064</x:v>
      </x:c>
      <x:c r="B68" s="32" t="str">
        <x:v>正官靠近方式｜BD07关系启动</x:v>
      </x:c>
      <x:c r="C68" s="32" t="str">
        <x:v>L1 十神边界通道</x:v>
      </x:c>
      <x:c r="D68" s="32" t="str">
        <x:v>BOUND-十神通道</x:v>
      </x:c>
      <x:c r="E68" s="32" t="str">
        <x:v>通用</x:v>
      </x:c>
      <x:c r="F68" s="32" t="str">
        <x:v>靠近方式</x:v>
      </x:c>
      <x:c r="G68" s="32" t="str">
        <x:v>正官</x:v>
      </x:c>
      <x:c r="H68" s="32" t="str"/>
      <x:c r="I68" s="32" t="str">
        <x:v>正官BOUND功能有效，基础十神性质可靠，未被真合化替换。</x:v>
      </x:c>
      <x:c r="J68" s="32" t="str">
        <x:v>基础信号未定；真合化后原信号已失效；只有单一弱远争议信号；或该结论会越界到M4风险、M5适配。</x:v>
      </x:c>
      <x:c r="K68" s="32" t="str">
        <x:v>由共享基础引擎与M3-STATE修正；日主承载、印比支持只修正自主与执行，不直接等于有无边界。</x:v>
      </x:c>
      <x:c r="L68" s="32" t="str">
        <x:v>不限定；夫妻星仅在入宫或形成角色、责任边界时参与接口，不作为BOUND唯一主轴。</x:v>
      </x:c>
      <x:c r="M68" s="32" t="str">
        <x:v>由M3-BASE、日支主气及宫位动态提供。</x:v>
      </x:c>
      <x:c r="N68" s="32" t="str">
        <x:v>无／待BOUND路径规则组合</x:v>
      </x:c>
      <x:c r="O68" s="32" t="str">
        <x:v>日柱与日支近位优先；全局有效独立信号可作次通道。</x:v>
      </x:c>
      <x:c r="P68" s="32" t="str">
        <x:v>由共享基础引擎判定</x:v>
      </x:c>
      <x:c r="Q68" s="32" t="str">
        <x:v>由共享基础引擎判定</x:v>
      </x:c>
      <x:c r="R68" s="32" t="str">
        <x:v>喜忌不直接等于边界好坏；只修正调用顺畅度、资源压力和状态切换。</x:v>
      </x:c>
      <x:c r="S68" s="32" t="str">
        <x:v>原十神性质有效；真合化成立时按化神所属功能系统重建。</x:v>
      </x:c>
      <x:c r="T68" s="32" t="str">
        <x:v>由共享基础引擎判定</x:v>
      </x:c>
      <x:c r="U68" s="32" t="str">
        <x:v>76</x:v>
      </x:c>
      <x:c r="V68" s="32" t="str">
        <x:v>靠近节奏候选 +6</x:v>
      </x:c>
      <x:c r="W68" s="32" t="str">
        <x:v>closeness_rhythm</x:v>
      </x:c>
      <x:c r="X68" s="32" t="str">
        <x:v>当关系定位、责任和彼此态度较清楚时，更容易安心靠近。</x:v>
      </x:c>
      <x:c r="Y68" s="32" t="str">
        <x:v>当关系定位、责任和彼此态度较清楚时，更容易安心靠近。</x:v>
      </x:c>
      <x:c r="Z68" s="32" t="str">
        <x:v>不得由本规则直接推出回避亲密、依赖失控、控制欲、冷漠、自私、关系破裂、分手离婚、人格或依恋类型；不得把某种边界方式等同于爱得更多或更少。</x:v>
      </x:c>
      <x:c r="AA68" s="32" t="str">
        <x:v>中</x:v>
      </x:c>
      <x:c r="AB68" s="32" t="str">
        <x:v>待验证</x:v>
      </x:c>
      <x:c r="AC68" s="32" t="str"/>
      <x:c r="AD68" s="32" t="str">
        <x:v>provisional=true; rule_group=CHANNEL_BD07_APPROACH</x:v>
      </x:c>
      <x:c r="AE68" s="32" t="str">
        <x:v>0.5</x:v>
      </x:c>
    </x:row>
    <x:row r="69">
      <x:c r="A69" s="32" t="str">
        <x:v>M3-BOUND-065</x:v>
      </x:c>
      <x:c r="B69" s="32" t="str">
        <x:v>正官空间与自主｜BD07权限安排</x:v>
      </x:c>
      <x:c r="C69" s="32" t="str">
        <x:v>L1 十神边界通道</x:v>
      </x:c>
      <x:c r="D69" s="32" t="str">
        <x:v>BOUND-十神通道</x:v>
      </x:c>
      <x:c r="E69" s="32" t="str">
        <x:v>通用</x:v>
      </x:c>
      <x:c r="F69" s="32" t="str">
        <x:v>空间与自主</x:v>
      </x:c>
      <x:c r="G69" s="32" t="str">
        <x:v>正官</x:v>
      </x:c>
      <x:c r="H69" s="32" t="str"/>
      <x:c r="I69" s="32" t="str">
        <x:v>正官BOUND功能有效，基础十神性质可靠，未被真合化替换。</x:v>
      </x:c>
      <x:c r="J69" s="32" t="str">
        <x:v>基础信号未定；真合化后原信号已失效；只有单一弱远争议信号；或该结论会越界到M4风险、M5适配。</x:v>
      </x:c>
      <x:c r="K69" s="32" t="str">
        <x:v>由共享基础引擎与M3-STATE修正；日主承载、印比支持只修正自主与执行，不直接等于有无边界。</x:v>
      </x:c>
      <x:c r="L69" s="32" t="str">
        <x:v>不限定；夫妻星仅在入宫或形成角色、责任边界时参与接口，不作为BOUND唯一主轴。</x:v>
      </x:c>
      <x:c r="M69" s="32" t="str">
        <x:v>由M3-BASE、日支主气及宫位动态提供。</x:v>
      </x:c>
      <x:c r="N69" s="32" t="str">
        <x:v>无／待BOUND路径规则组合</x:v>
      </x:c>
      <x:c r="O69" s="32" t="str">
        <x:v>日柱与日支近位优先；全局有效独立信号可作次通道。</x:v>
      </x:c>
      <x:c r="P69" s="32" t="str">
        <x:v>由共享基础引擎判定</x:v>
      </x:c>
      <x:c r="Q69" s="32" t="str">
        <x:v>由共享基础引擎判定</x:v>
      </x:c>
      <x:c r="R69" s="32" t="str">
        <x:v>喜忌不直接等于边界好坏；只修正调用顺畅度、资源压力和状态切换。</x:v>
      </x:c>
      <x:c r="S69" s="32" t="str">
        <x:v>原十神性质有效；真合化成立时按化神所属功能系统重建。</x:v>
      </x:c>
      <x:c r="T69" s="32" t="str">
        <x:v>由共享基础引擎判定</x:v>
      </x:c>
      <x:c r="U69" s="32" t="str">
        <x:v>75</x:v>
      </x:c>
      <x:c r="V69" s="32" t="str">
        <x:v>空间／自主候选 +6</x:v>
      </x:c>
      <x:c r="W69" s="32" t="str">
        <x:v>autonomy_pattern</x:v>
      </x:c>
      <x:c r="X69" s="32" t="str">
        <x:v>个人权限和共同事务常通过约定、角色和规则来分配。</x:v>
      </x:c>
      <x:c r="Y69" s="32" t="str">
        <x:v>个人权限和共同事务常通过约定、角色和规则来分配。</x:v>
      </x:c>
      <x:c r="Z69" s="32" t="str">
        <x:v>不得由本规则直接推出回避亲密、依赖失控、控制欲、冷漠、自私、关系破裂、分手离婚、人格或依恋类型；不得把某种边界方式等同于爱得更多或更少。</x:v>
      </x:c>
      <x:c r="AA69" s="32" t="str">
        <x:v>中</x:v>
      </x:c>
      <x:c r="AB69" s="32" t="str">
        <x:v>待验证</x:v>
      </x:c>
      <x:c r="AC69" s="32" t="str"/>
      <x:c r="AD69" s="32" t="str">
        <x:v>provisional=true; rule_group=CHANNEL_BD07_SPACE</x:v>
      </x:c>
      <x:c r="AE69" s="32" t="str">
        <x:v>0.5</x:v>
      </x:c>
    </x:row>
    <x:row r="70">
      <x:c r="A70" s="32" t="str">
        <x:v>M3-BOUND-066</x:v>
      </x:c>
      <x:c r="B70" s="32" t="str">
        <x:v>正官需求表达｜BD07怎样说明需要</x:v>
      </x:c>
      <x:c r="C70" s="32" t="str">
        <x:v>L1 十神边界通道</x:v>
      </x:c>
      <x:c r="D70" s="32" t="str">
        <x:v>BOUND-十神通道</x:v>
      </x:c>
      <x:c r="E70" s="32" t="str">
        <x:v>通用</x:v>
      </x:c>
      <x:c r="F70" s="32" t="str">
        <x:v>需求表达</x:v>
      </x:c>
      <x:c r="G70" s="32" t="str">
        <x:v>正官</x:v>
      </x:c>
      <x:c r="H70" s="32" t="str"/>
      <x:c r="I70" s="32" t="str">
        <x:v>正官BOUND功能有效，基础十神性质可靠，未被真合化替换。</x:v>
      </x:c>
      <x:c r="J70" s="32" t="str">
        <x:v>基础信号未定；真合化后原信号已失效；只有单一弱远争议信号；或该结论会越界到M4风险、M5适配。</x:v>
      </x:c>
      <x:c r="K70" s="32" t="str">
        <x:v>由共享基础引擎与M3-STATE修正；日主承载、印比支持只修正自主与执行，不直接等于有无边界。</x:v>
      </x:c>
      <x:c r="L70" s="32" t="str">
        <x:v>不限定；夫妻星仅在入宫或形成角色、责任边界时参与接口，不作为BOUND唯一主轴。</x:v>
      </x:c>
      <x:c r="M70" s="32" t="str">
        <x:v>由M3-BASE、日支主气及宫位动态提供。</x:v>
      </x:c>
      <x:c r="N70" s="32" t="str">
        <x:v>无／待BOUND路径规则组合</x:v>
      </x:c>
      <x:c r="O70" s="32" t="str">
        <x:v>日柱与日支近位优先；全局有效独立信号可作次通道。</x:v>
      </x:c>
      <x:c r="P70" s="32" t="str">
        <x:v>由共享基础引擎判定</x:v>
      </x:c>
      <x:c r="Q70" s="32" t="str">
        <x:v>由共享基础引擎判定</x:v>
      </x:c>
      <x:c r="R70" s="32" t="str">
        <x:v>喜忌不直接等于边界好坏；只修正调用顺畅度、资源压力和状态切换。</x:v>
      </x:c>
      <x:c r="S70" s="32" t="str">
        <x:v>原十神性质有效；真合化成立时按化神所属功能系统重建。</x:v>
      </x:c>
      <x:c r="T70" s="32" t="str">
        <x:v>由共享基础引擎判定</x:v>
      </x:c>
      <x:c r="U70" s="32" t="str">
        <x:v>74</x:v>
      </x:c>
      <x:c r="V70" s="32" t="str">
        <x:v>需求表达候选 +4</x:v>
      </x:c>
      <x:c r="W70" s="32" t="str">
        <x:v>need_expression</x:v>
      </x:c>
      <x:c r="X70" s="32" t="str">
        <x:v>需求更容易以责任、约定、应做事项和双方怎样配合来说明。</x:v>
      </x:c>
      <x:c r="Y70" s="32" t="str">
        <x:v>需求更容易以责任、约定、应做事项和双方怎样配合来说明。</x:v>
      </x:c>
      <x:c r="Z70" s="32" t="str">
        <x:v>不得由本规则直接推出回避亲密、依赖失控、控制欲、冷漠、自私、关系破裂、分手离婚、人格或依恋类型；不得把某种边界方式等同于爱得更多或更少。</x:v>
      </x:c>
      <x:c r="AA70" s="32" t="str">
        <x:v>中</x:v>
      </x:c>
      <x:c r="AB70" s="32" t="str">
        <x:v>待验证</x:v>
      </x:c>
      <x:c r="AC70" s="32" t="str"/>
      <x:c r="AD70" s="32" t="str">
        <x:v>provisional=true; rule_group=CHANNEL_BD07_NEED</x:v>
      </x:c>
      <x:c r="AE70" s="32" t="str">
        <x:v>0.5</x:v>
      </x:c>
    </x:row>
    <x:row r="71">
      <x:c r="A71" s="32" t="str">
        <x:v>M3-BOUND-067</x:v>
      </x:c>
      <x:c r="B71" s="32" t="str">
        <x:v>正官拒绝与暂停｜BD07怎样设限</x:v>
      </x:c>
      <x:c r="C71" s="32" t="str">
        <x:v>L1 十神边界通道</x:v>
      </x:c>
      <x:c r="D71" s="32" t="str">
        <x:v>BOUND-十神通道</x:v>
      </x:c>
      <x:c r="E71" s="32" t="str">
        <x:v>通用</x:v>
      </x:c>
      <x:c r="F71" s="32" t="str">
        <x:v>拒绝／暂停</x:v>
      </x:c>
      <x:c r="G71" s="32" t="str">
        <x:v>正官</x:v>
      </x:c>
      <x:c r="H71" s="32" t="str"/>
      <x:c r="I71" s="32" t="str">
        <x:v>正官BOUND功能有效，基础十神性质可靠，未被真合化替换。</x:v>
      </x:c>
      <x:c r="J71" s="32" t="str">
        <x:v>基础信号未定；真合化后原信号已失效；只有单一弱远争议信号；或该结论会越界到M4风险、M5适配。</x:v>
      </x:c>
      <x:c r="K71" s="32" t="str">
        <x:v>由共享基础引擎与M3-STATE修正；日主承载、印比支持只修正自主与执行，不直接等于有无边界。</x:v>
      </x:c>
      <x:c r="L71" s="32" t="str">
        <x:v>不限定；夫妻星仅在入宫或形成角色、责任边界时参与接口，不作为BOUND唯一主轴。</x:v>
      </x:c>
      <x:c r="M71" s="32" t="str">
        <x:v>由M3-BASE、日支主气及宫位动态提供。</x:v>
      </x:c>
      <x:c r="N71" s="32" t="str">
        <x:v>无／待BOUND路径规则组合</x:v>
      </x:c>
      <x:c r="O71" s="32" t="str">
        <x:v>日柱与日支近位优先；全局有效独立信号可作次通道。</x:v>
      </x:c>
      <x:c r="P71" s="32" t="str">
        <x:v>由共享基础引擎判定</x:v>
      </x:c>
      <x:c r="Q71" s="32" t="str">
        <x:v>由共享基础引擎判定</x:v>
      </x:c>
      <x:c r="R71" s="32" t="str">
        <x:v>喜忌不直接等于边界好坏；只修正调用顺畅度、资源压力和状态切换。</x:v>
      </x:c>
      <x:c r="S71" s="32" t="str">
        <x:v>原十神性质有效；真合化成立时按化神所属功能系统重建。</x:v>
      </x:c>
      <x:c r="T71" s="32" t="str">
        <x:v>由共享基础引擎判定</x:v>
      </x:c>
      <x:c r="U71" s="32" t="str">
        <x:v>73</x:v>
      </x:c>
      <x:c r="V71" s="32" t="str">
        <x:v>拒绝／暂停候选 +4</x:v>
      </x:c>
      <x:c r="W71" s="32" t="str">
        <x:v>refusal_style</x:v>
      </x:c>
      <x:c r="X71" s="32" t="str">
        <x:v>越过原则、承诺或角色边界时，更容易明确指出并要求回到约定。</x:v>
      </x:c>
      <x:c r="Y71" s="32" t="str">
        <x:v>越过原则、承诺或角色边界时，更容易明确指出并要求回到约定。</x:v>
      </x:c>
      <x:c r="Z71" s="32" t="str">
        <x:v>不得由本规则直接推出回避亲密、依赖失控、控制欲、冷漠、自私、关系破裂、分手离婚、人格或依恋类型；不得把某种边界方式等同于爱得更多或更少。</x:v>
      </x:c>
      <x:c r="AA71" s="32" t="str">
        <x:v>中</x:v>
      </x:c>
      <x:c r="AB71" s="32" t="str">
        <x:v>待验证</x:v>
      </x:c>
      <x:c r="AC71" s="32" t="str"/>
      <x:c r="AD71" s="32" t="str">
        <x:v>provisional=true; rule_group=CHANNEL_BD07_REFUSAL</x:v>
      </x:c>
      <x:c r="AE71" s="32" t="str">
        <x:v>0.5</x:v>
      </x:c>
    </x:row>
    <x:row r="72">
      <x:c r="A72" s="32" t="str">
        <x:v>M3-BOUND-068</x:v>
      </x:c>
      <x:c r="B72" s="32" t="str">
        <x:v>正官接受照顾｜BD07依托边界</x:v>
      </x:c>
      <x:c r="C72" s="32" t="str">
        <x:v>L1 十神边界通道</x:v>
      </x:c>
      <x:c r="D72" s="32" t="str">
        <x:v>BOUND-十神通道</x:v>
      </x:c>
      <x:c r="E72" s="32" t="str">
        <x:v>通用</x:v>
      </x:c>
      <x:c r="F72" s="32" t="str">
        <x:v>接受支持</x:v>
      </x:c>
      <x:c r="G72" s="32" t="str">
        <x:v>正官</x:v>
      </x:c>
      <x:c r="H72" s="32" t="str"/>
      <x:c r="I72" s="32" t="str">
        <x:v>正官BOUND功能有效，基础十神性质可靠，未被真合化替换。</x:v>
      </x:c>
      <x:c r="J72" s="32" t="str">
        <x:v>基础信号未定；真合化后原信号已失效；只有单一弱远争议信号；或该结论会越界到M4风险、M5适配。</x:v>
      </x:c>
      <x:c r="K72" s="32" t="str">
        <x:v>由共享基础引擎与M3-STATE修正；日主承载、印比支持只修正自主与执行，不直接等于有无边界。</x:v>
      </x:c>
      <x:c r="L72" s="32" t="str">
        <x:v>不限定；夫妻星仅在入宫或形成角色、责任边界时参与接口，不作为BOUND唯一主轴。</x:v>
      </x:c>
      <x:c r="M72" s="32" t="str">
        <x:v>由M3-BASE、日支主气及宫位动态提供。</x:v>
      </x:c>
      <x:c r="N72" s="32" t="str">
        <x:v>无／待BOUND路径规则组合</x:v>
      </x:c>
      <x:c r="O72" s="32" t="str">
        <x:v>日柱与日支近位优先；全局有效独立信号可作次通道。</x:v>
      </x:c>
      <x:c r="P72" s="32" t="str">
        <x:v>由共享基础引擎判定</x:v>
      </x:c>
      <x:c r="Q72" s="32" t="str">
        <x:v>由共享基础引擎判定</x:v>
      </x:c>
      <x:c r="R72" s="32" t="str">
        <x:v>喜忌不直接等于边界好坏；只修正调用顺畅度、资源压力和状态切换。</x:v>
      </x:c>
      <x:c r="S72" s="32" t="str">
        <x:v>原十神性质有效；真合化成立时按化神所属功能系统重建。</x:v>
      </x:c>
      <x:c r="T72" s="32" t="str">
        <x:v>由共享基础引擎判定</x:v>
      </x:c>
      <x:c r="U72" s="32" t="str">
        <x:v>72</x:v>
      </x:c>
      <x:c r="V72" s="32" t="str">
        <x:v>接受照顾候选 +4</x:v>
      </x:c>
      <x:c r="W72" s="32" t="str">
        <x:v>support_acceptance_boundary</x:v>
      </x:c>
      <x:c r="X72" s="32" t="str">
        <x:v>更容易接受守约、有交代、尊重规则并愿意承担后果的照顾。</x:v>
      </x:c>
      <x:c r="Y72" s="32" t="str">
        <x:v>更容易接受守约、有交代、尊重规则并愿意承担后果的照顾。</x:v>
      </x:c>
      <x:c r="Z72" s="32" t="str">
        <x:v>不得由本规则直接推出回避亲密、依赖失控、控制欲、冷漠、自私、关系破裂、分手离婚、人格或依恋类型；不得把某种边界方式等同于爱得更多或更少。</x:v>
      </x:c>
      <x:c r="AA72" s="32" t="str">
        <x:v>中</x:v>
      </x:c>
      <x:c r="AB72" s="32" t="str">
        <x:v>待验证</x:v>
      </x:c>
      <x:c r="AC72" s="32" t="str"/>
      <x:c r="AD72" s="32" t="str">
        <x:v>provisional=true; rule_group=CHANNEL_BD07_RECEIVE</x:v>
      </x:c>
      <x:c r="AE72" s="32" t="str">
        <x:v>0.5</x:v>
      </x:c>
    </x:row>
    <x:row r="73">
      <x:c r="A73" s="32" t="str">
        <x:v>M3-BOUND-069</x:v>
      </x:c>
      <x:c r="B73" s="32" t="str">
        <x:v>正官禁止误读｜BD07边界</x:v>
      </x:c>
      <x:c r="C73" s="32" t="str">
        <x:v>L1 十神边界通道</x:v>
      </x:c>
      <x:c r="D73" s="32" t="str">
        <x:v>BOUND-十神通道</x:v>
      </x:c>
      <x:c r="E73" s="32" t="str">
        <x:v>通用</x:v>
      </x:c>
      <x:c r="F73" s="32" t="str">
        <x:v>禁止推断</x:v>
      </x:c>
      <x:c r="G73" s="32" t="str">
        <x:v>正官</x:v>
      </x:c>
      <x:c r="H73" s="32" t="str"/>
      <x:c r="I73" s="32" t="str">
        <x:v>正官BOUND功能有效，基础十神性质可靠，未被真合化替换。</x:v>
      </x:c>
      <x:c r="J73" s="32" t="str">
        <x:v>基础信号未定；真合化后原信号已失效；只有单一弱远争议信号；或该结论会越界到M4风险、M5适配。</x:v>
      </x:c>
      <x:c r="K73" s="32" t="str">
        <x:v>由共享基础引擎与M3-STATE修正；日主承载、印比支持只修正自主与执行，不直接等于有无边界。</x:v>
      </x:c>
      <x:c r="L73" s="32" t="str">
        <x:v>不限定；夫妻星仅在入宫或形成角色、责任边界时参与接口，不作为BOUND唯一主轴。</x:v>
      </x:c>
      <x:c r="M73" s="32" t="str">
        <x:v>由M3-BASE、日支主气及宫位动态提供。</x:v>
      </x:c>
      <x:c r="N73" s="32" t="str">
        <x:v>无／待BOUND路径规则组合</x:v>
      </x:c>
      <x:c r="O73" s="32" t="str">
        <x:v>日柱与日支近位优先；全局有效独立信号可作次通道。</x:v>
      </x:c>
      <x:c r="P73" s="32" t="str">
        <x:v>由共享基础引擎判定</x:v>
      </x:c>
      <x:c r="Q73" s="32" t="str">
        <x:v>由共享基础引擎判定</x:v>
      </x:c>
      <x:c r="R73" s="32" t="str">
        <x:v>喜忌不直接等于边界好坏；只修正调用顺畅度、资源压力和状态切换。</x:v>
      </x:c>
      <x:c r="S73" s="32" t="str">
        <x:v>原十神性质有效；真合化成立时按化神所属功能系统重建。</x:v>
      </x:c>
      <x:c r="T73" s="32" t="str">
        <x:v>由共享基础引擎判定</x:v>
      </x:c>
      <x:c r="U73" s="32" t="str">
        <x:v>96</x:v>
      </x:c>
      <x:c r="V73" s="32" t="str">
        <x:v>不加分；边界检查</x:v>
      </x:c>
      <x:c r="W73" s="32" t="str">
        <x:v>boundary_note</x:v>
      </x:c>
      <x:c r="X73" s="32" t="str">
        <x:v>该通道只说明关系中的边界功能，不等于人格、风险或感情结果。</x:v>
      </x:c>
      <x:c r="Y73" s="32" t="str">
        <x:v>这里描述的是你可能更常使用的边界方式，不代表你只能这样相处，也不代表其他方式一定缺失。</x:v>
      </x:c>
      <x:c r="Z73" s="32" t="str">
        <x:v>不得推出用户古板、爱管人、权威主义、传统性别角色、缺少感情或关系必然稳定。</x:v>
      </x:c>
      <x:c r="AA73" s="32" t="str">
        <x:v>高</x:v>
      </x:c>
      <x:c r="AB73" s="32" t="str">
        <x:v>待验证</x:v>
      </x:c>
      <x:c r="AC73" s="32" t="str"/>
      <x:c r="AD73" s="32" t="str">
        <x:v>provisional=true; rule_group=CHANNEL_BD07_BAN</x:v>
      </x:c>
      <x:c r="AE73" s="32" t="str">
        <x:v>0.5</x:v>
      </x:c>
    </x:row>
    <x:row r="74">
      <x:c r="A74" s="32" t="str">
        <x:v>M3-BOUND-070</x:v>
      </x:c>
      <x:c r="B74" s="32" t="str">
        <x:v>七杀BOUND通道｜BD08 决断保护</x:v>
      </x:c>
      <x:c r="C74" s="32" t="str">
        <x:v>L1 十神边界通道</x:v>
      </x:c>
      <x:c r="D74" s="32" t="str">
        <x:v>BOUND-十神通道</x:v>
      </x:c>
      <x:c r="E74" s="32" t="str">
        <x:v>通用</x:v>
      </x:c>
      <x:c r="F74" s="32" t="str">
        <x:v>基础通道</x:v>
      </x:c>
      <x:c r="G74" s="32" t="str">
        <x:v>七杀</x:v>
      </x:c>
      <x:c r="H74" s="32" t="str"/>
      <x:c r="I74" s="32" t="str">
        <x:v>七杀BOUND功能有效，基础十神性质可靠，未被真合化替换。</x:v>
      </x:c>
      <x:c r="J74" s="32" t="str">
        <x:v>基础信号未定；真合化后原信号已失效；只有单一弱远争议信号；或该结论会越界到M4风险、M5适配。</x:v>
      </x:c>
      <x:c r="K74" s="32" t="str">
        <x:v>由共享基础引擎与M3-STATE修正；日主承载、印比支持只修正自主与执行，不直接等于有无边界。</x:v>
      </x:c>
      <x:c r="L74" s="32" t="str">
        <x:v>不限定；夫妻星仅在入宫或形成角色、责任边界时参与接口，不作为BOUND唯一主轴。</x:v>
      </x:c>
      <x:c r="M74" s="32" t="str">
        <x:v>由M3-BASE、日支主气及宫位动态提供。</x:v>
      </x:c>
      <x:c r="N74" s="32" t="str">
        <x:v>无／待BOUND路径规则组合</x:v>
      </x:c>
      <x:c r="O74" s="32" t="str">
        <x:v>日柱与日支近位优先；全局有效独立信号可作次通道。</x:v>
      </x:c>
      <x:c r="P74" s="32" t="str">
        <x:v>由共享基础引擎判定</x:v>
      </x:c>
      <x:c r="Q74" s="32" t="str">
        <x:v>由共享基础引擎判定</x:v>
      </x:c>
      <x:c r="R74" s="32" t="str">
        <x:v>喜忌不直接等于边界好坏；只修正调用顺畅度、资源压力和状态切换。</x:v>
      </x:c>
      <x:c r="S74" s="32" t="str">
        <x:v>原十神性质有效；真合化成立时按化神所属功能系统重建。</x:v>
      </x:c>
      <x:c r="T74" s="32" t="str">
        <x:v>由共享基础引擎判定</x:v>
      </x:c>
      <x:c r="U74" s="32" t="str">
        <x:v>88</x:v>
      </x:c>
      <x:c r="V74" s="32" t="str">
        <x:v>主BOUND候选 +18</x:v>
      </x:c>
      <x:c r="W74" s="32" t="str">
        <x:v>primary_boundary_channel</x:v>
      </x:c>
      <x:c r="X74" s="32" t="str">
        <x:v>七杀属于SYS04 责任行动系统，在BOUND中主要负责：通过快速判断、明确止线和关键时刻保护来维护边界，压力下更重视及时有效。</x:v>
      </x:c>
      <x:c r="Y74" s="32" t="str">
        <x:v>你更容易通过“决断保护”安排亲密与自主。通过快速判断、明确止线和关键时刻保护来维护边界，压力下更重视及时有效。</x:v>
      </x:c>
      <x:c r="Z74" s="32" t="str">
        <x:v>不得由本规则直接推出回避亲密、依赖失控、控制欲、冷漠、自私、关系破裂、分手离婚、人格或依恋类型；不得把某种边界方式等同于爱得更多或更少。</x:v>
      </x:c>
      <x:c r="AA74" s="32" t="str">
        <x:v>中高</x:v>
      </x:c>
      <x:c r="AB74" s="32" t="str">
        <x:v>待验证</x:v>
      </x:c>
      <x:c r="AC74" s="32" t="str"/>
      <x:c r="AD74" s="32" t="str">
        <x:v>provisional=true; rule_group=CHANNEL_BD08_BASE</x:v>
      </x:c>
      <x:c r="AE74" s="32" t="str">
        <x:v>0.5</x:v>
      </x:c>
    </x:row>
    <x:row r="75">
      <x:c r="A75" s="32" t="str">
        <x:v>M3-BOUND-071</x:v>
      </x:c>
      <x:c r="B75" s="32" t="str">
        <x:v>七杀靠近方式｜BD08关系启动</x:v>
      </x:c>
      <x:c r="C75" s="32" t="str">
        <x:v>L1 十神边界通道</x:v>
      </x:c>
      <x:c r="D75" s="32" t="str">
        <x:v>BOUND-十神通道</x:v>
      </x:c>
      <x:c r="E75" s="32" t="str">
        <x:v>通用</x:v>
      </x:c>
      <x:c r="F75" s="32" t="str">
        <x:v>靠近方式</x:v>
      </x:c>
      <x:c r="G75" s="32" t="str">
        <x:v>七杀</x:v>
      </x:c>
      <x:c r="H75" s="32" t="str"/>
      <x:c r="I75" s="32" t="str">
        <x:v>七杀BOUND功能有效，基础十神性质可靠，未被真合化替换。</x:v>
      </x:c>
      <x:c r="J75" s="32" t="str">
        <x:v>基础信号未定；真合化后原信号已失效；只有单一弱远争议信号；或该结论会越界到M4风险、M5适配。</x:v>
      </x:c>
      <x:c r="K75" s="32" t="str">
        <x:v>由共享基础引擎与M3-STATE修正；日主承载、印比支持只修正自主与执行，不直接等于有无边界。</x:v>
      </x:c>
      <x:c r="L75" s="32" t="str">
        <x:v>不限定；夫妻星仅在入宫或形成角色、责任边界时参与接口，不作为BOUND唯一主轴。</x:v>
      </x:c>
      <x:c r="M75" s="32" t="str">
        <x:v>由M3-BASE、日支主气及宫位动态提供。</x:v>
      </x:c>
      <x:c r="N75" s="32" t="str">
        <x:v>无／待BOUND路径规则组合</x:v>
      </x:c>
      <x:c r="O75" s="32" t="str">
        <x:v>日柱与日支近位优先；全局有效独立信号可作次通道。</x:v>
      </x:c>
      <x:c r="P75" s="32" t="str">
        <x:v>由共享基础引擎判定</x:v>
      </x:c>
      <x:c r="Q75" s="32" t="str">
        <x:v>由共享基础引擎判定</x:v>
      </x:c>
      <x:c r="R75" s="32" t="str">
        <x:v>喜忌不直接等于边界好坏；只修正调用顺畅度、资源压力和状态切换。</x:v>
      </x:c>
      <x:c r="S75" s="32" t="str">
        <x:v>原十神性质有效；真合化成立时按化神所属功能系统重建。</x:v>
      </x:c>
      <x:c r="T75" s="32" t="str">
        <x:v>由共享基础引擎判定</x:v>
      </x:c>
      <x:c r="U75" s="32" t="str">
        <x:v>76</x:v>
      </x:c>
      <x:c r="V75" s="32" t="str">
        <x:v>靠近节奏候选 +6</x:v>
      </x:c>
      <x:c r="W75" s="32" t="str">
        <x:v>closeness_rhythm</x:v>
      </x:c>
      <x:c r="X75" s="32" t="str">
        <x:v>对方行动清楚、能承担并在关键时刻站出来时，更容易建立信任和靠近。</x:v>
      </x:c>
      <x:c r="Y75" s="32" t="str">
        <x:v>对方行动清楚、能承担并在关键时刻站出来时，更容易建立信任和靠近。</x:v>
      </x:c>
      <x:c r="Z75" s="32" t="str">
        <x:v>不得由本规则直接推出回避亲密、依赖失控、控制欲、冷漠、自私、关系破裂、分手离婚、人格或依恋类型；不得把某种边界方式等同于爱得更多或更少。</x:v>
      </x:c>
      <x:c r="AA75" s="32" t="str">
        <x:v>中</x:v>
      </x:c>
      <x:c r="AB75" s="32" t="str">
        <x:v>待验证</x:v>
      </x:c>
      <x:c r="AC75" s="32" t="str"/>
      <x:c r="AD75" s="32" t="str">
        <x:v>provisional=true; rule_group=CHANNEL_BD08_APPROACH</x:v>
      </x:c>
      <x:c r="AE75" s="32" t="str">
        <x:v>0.5</x:v>
      </x:c>
    </x:row>
    <x:row r="76">
      <x:c r="A76" s="32" t="str">
        <x:v>M3-BOUND-072</x:v>
      </x:c>
      <x:c r="B76" s="32" t="str">
        <x:v>七杀空间与自主｜BD08权限安排</x:v>
      </x:c>
      <x:c r="C76" s="32" t="str">
        <x:v>L1 十神边界通道</x:v>
      </x:c>
      <x:c r="D76" s="32" t="str">
        <x:v>BOUND-十神通道</x:v>
      </x:c>
      <x:c r="E76" s="32" t="str">
        <x:v>通用</x:v>
      </x:c>
      <x:c r="F76" s="32" t="str">
        <x:v>空间与自主</x:v>
      </x:c>
      <x:c r="G76" s="32" t="str">
        <x:v>七杀</x:v>
      </x:c>
      <x:c r="H76" s="32" t="str"/>
      <x:c r="I76" s="32" t="str">
        <x:v>七杀BOUND功能有效，基础十神性质可靠，未被真合化替换。</x:v>
      </x:c>
      <x:c r="J76" s="32" t="str">
        <x:v>基础信号未定；真合化后原信号已失效；只有单一弱远争议信号；或该结论会越界到M4风险、M5适配。</x:v>
      </x:c>
      <x:c r="K76" s="32" t="str">
        <x:v>由共享基础引擎与M3-STATE修正；日主承载、印比支持只修正自主与执行，不直接等于有无边界。</x:v>
      </x:c>
      <x:c r="L76" s="32" t="str">
        <x:v>不限定；夫妻星仅在入宫或形成角色、责任边界时参与接口，不作为BOUND唯一主轴。</x:v>
      </x:c>
      <x:c r="M76" s="32" t="str">
        <x:v>由M3-BASE、日支主气及宫位动态提供。</x:v>
      </x:c>
      <x:c r="N76" s="32" t="str">
        <x:v>无／待BOUND路径规则组合</x:v>
      </x:c>
      <x:c r="O76" s="32" t="str">
        <x:v>日柱与日支近位优先；全局有效独立信号可作次通道。</x:v>
      </x:c>
      <x:c r="P76" s="32" t="str">
        <x:v>由共享基础引擎判定</x:v>
      </x:c>
      <x:c r="Q76" s="32" t="str">
        <x:v>由共享基础引擎判定</x:v>
      </x:c>
      <x:c r="R76" s="32" t="str">
        <x:v>喜忌不直接等于边界好坏；只修正调用顺畅度、资源压力和状态切换。</x:v>
      </x:c>
      <x:c r="S76" s="32" t="str">
        <x:v>原十神性质有效；真合化成立时按化神所属功能系统重建。</x:v>
      </x:c>
      <x:c r="T76" s="32" t="str">
        <x:v>由共享基础引擎判定</x:v>
      </x:c>
      <x:c r="U76" s="32" t="str">
        <x:v>75</x:v>
      </x:c>
      <x:c r="V76" s="32" t="str">
        <x:v>空间／自主候选 +6</x:v>
      </x:c>
      <x:c r="W76" s="32" t="str">
        <x:v>autonomy_pattern</x:v>
      </x:c>
      <x:c r="X76" s="32" t="str">
        <x:v>需要明确哪些事情不能越过；压力增加时会更快划定权限或停止线。</x:v>
      </x:c>
      <x:c r="Y76" s="32" t="str">
        <x:v>需要明确哪些事情不能越过；压力增加时会更快划定权限或停止线。</x:v>
      </x:c>
      <x:c r="Z76" s="32" t="str">
        <x:v>不得由本规则直接推出回避亲密、依赖失控、控制欲、冷漠、自私、关系破裂、分手离婚、人格或依恋类型；不得把某种边界方式等同于爱得更多或更少。</x:v>
      </x:c>
      <x:c r="AA76" s="32" t="str">
        <x:v>中</x:v>
      </x:c>
      <x:c r="AB76" s="32" t="str">
        <x:v>待验证</x:v>
      </x:c>
      <x:c r="AC76" s="32" t="str"/>
      <x:c r="AD76" s="32" t="str">
        <x:v>provisional=true; rule_group=CHANNEL_BD08_SPACE</x:v>
      </x:c>
      <x:c r="AE76" s="32" t="str">
        <x:v>0.5</x:v>
      </x:c>
    </x:row>
    <x:row r="77">
      <x:c r="A77" s="32" t="str">
        <x:v>M3-BOUND-073</x:v>
      </x:c>
      <x:c r="B77" s="32" t="str">
        <x:v>七杀需求表达｜BD08怎样说明需要</x:v>
      </x:c>
      <x:c r="C77" s="32" t="str">
        <x:v>L1 十神边界通道</x:v>
      </x:c>
      <x:c r="D77" s="32" t="str">
        <x:v>BOUND-十神通道</x:v>
      </x:c>
      <x:c r="E77" s="32" t="str">
        <x:v>通用</x:v>
      </x:c>
      <x:c r="F77" s="32" t="str">
        <x:v>需求表达</x:v>
      </x:c>
      <x:c r="G77" s="32" t="str">
        <x:v>七杀</x:v>
      </x:c>
      <x:c r="H77" s="32" t="str"/>
      <x:c r="I77" s="32" t="str">
        <x:v>七杀BOUND功能有效，基础十神性质可靠，未被真合化替换。</x:v>
      </x:c>
      <x:c r="J77" s="32" t="str">
        <x:v>基础信号未定；真合化后原信号已失效；只有单一弱远争议信号；或该结论会越界到M4风险、M5适配。</x:v>
      </x:c>
      <x:c r="K77" s="32" t="str">
        <x:v>由共享基础引擎与M3-STATE修正；日主承载、印比支持只修正自主与执行，不直接等于有无边界。</x:v>
      </x:c>
      <x:c r="L77" s="32" t="str">
        <x:v>不限定；夫妻星仅在入宫或形成角色、责任边界时参与接口，不作为BOUND唯一主轴。</x:v>
      </x:c>
      <x:c r="M77" s="32" t="str">
        <x:v>由M3-BASE、日支主气及宫位动态提供。</x:v>
      </x:c>
      <x:c r="N77" s="32" t="str">
        <x:v>无／待BOUND路径规则组合</x:v>
      </x:c>
      <x:c r="O77" s="32" t="str">
        <x:v>日柱与日支近位优先；全局有效独立信号可作次通道。</x:v>
      </x:c>
      <x:c r="P77" s="32" t="str">
        <x:v>由共享基础引擎判定</x:v>
      </x:c>
      <x:c r="Q77" s="32" t="str">
        <x:v>由共享基础引擎判定</x:v>
      </x:c>
      <x:c r="R77" s="32" t="str">
        <x:v>喜忌不直接等于边界好坏；只修正调用顺畅度、资源压力和状态切换。</x:v>
      </x:c>
      <x:c r="S77" s="32" t="str">
        <x:v>原十神性质有效；真合化成立时按化神所属功能系统重建。</x:v>
      </x:c>
      <x:c r="T77" s="32" t="str">
        <x:v>由共享基础引擎判定</x:v>
      </x:c>
      <x:c r="U77" s="32" t="str">
        <x:v>74</x:v>
      </x:c>
      <x:c r="V77" s="32" t="str">
        <x:v>需求表达候选 +4</x:v>
      </x:c>
      <x:c r="W77" s="32" t="str">
        <x:v>need_expression</x:v>
      </x:c>
      <x:c r="X77" s="32" t="str">
        <x:v>需求表达通常更简洁、目标明确，强调现在要处理什么和谁来承担。</x:v>
      </x:c>
      <x:c r="Y77" s="32" t="str">
        <x:v>需求表达通常更简洁、目标明确，强调现在要处理什么和谁来承担。</x:v>
      </x:c>
      <x:c r="Z77" s="32" t="str">
        <x:v>不得由本规则直接推出回避亲密、依赖失控、控制欲、冷漠、自私、关系破裂、分手离婚、人格或依恋类型；不得把某种边界方式等同于爱得更多或更少。</x:v>
      </x:c>
      <x:c r="AA77" s="32" t="str">
        <x:v>中</x:v>
      </x:c>
      <x:c r="AB77" s="32" t="str">
        <x:v>待验证</x:v>
      </x:c>
      <x:c r="AC77" s="32" t="str"/>
      <x:c r="AD77" s="32" t="str">
        <x:v>provisional=true; rule_group=CHANNEL_BD08_NEED</x:v>
      </x:c>
      <x:c r="AE77" s="32" t="str">
        <x:v>0.5</x:v>
      </x:c>
    </x:row>
    <x:row r="78">
      <x:c r="A78" s="32" t="str">
        <x:v>M3-BOUND-074</x:v>
      </x:c>
      <x:c r="B78" s="32" t="str">
        <x:v>七杀拒绝与暂停｜BD08怎样设限</x:v>
      </x:c>
      <x:c r="C78" s="32" t="str">
        <x:v>L1 十神边界通道</x:v>
      </x:c>
      <x:c r="D78" s="32" t="str">
        <x:v>BOUND-十神通道</x:v>
      </x:c>
      <x:c r="E78" s="32" t="str">
        <x:v>通用</x:v>
      </x:c>
      <x:c r="F78" s="32" t="str">
        <x:v>拒绝／暂停</x:v>
      </x:c>
      <x:c r="G78" s="32" t="str">
        <x:v>七杀</x:v>
      </x:c>
      <x:c r="H78" s="32" t="str"/>
      <x:c r="I78" s="32" t="str">
        <x:v>七杀BOUND功能有效，基础十神性质可靠，未被真合化替换。</x:v>
      </x:c>
      <x:c r="J78" s="32" t="str">
        <x:v>基础信号未定；真合化后原信号已失效；只有单一弱远争议信号；或该结论会越界到M4风险、M5适配。</x:v>
      </x:c>
      <x:c r="K78" s="32" t="str">
        <x:v>由共享基础引擎与M3-STATE修正；日主承载、印比支持只修正自主与执行，不直接等于有无边界。</x:v>
      </x:c>
      <x:c r="L78" s="32" t="str">
        <x:v>不限定；夫妻星仅在入宫或形成角色、责任边界时参与接口，不作为BOUND唯一主轴。</x:v>
      </x:c>
      <x:c r="M78" s="32" t="str">
        <x:v>由M3-BASE、日支主气及宫位动态提供。</x:v>
      </x:c>
      <x:c r="N78" s="32" t="str">
        <x:v>无／待BOUND路径规则组合</x:v>
      </x:c>
      <x:c r="O78" s="32" t="str">
        <x:v>日柱与日支近位优先；全局有效独立信号可作次通道。</x:v>
      </x:c>
      <x:c r="P78" s="32" t="str">
        <x:v>由共享基础引擎判定</x:v>
      </x:c>
      <x:c r="Q78" s="32" t="str">
        <x:v>由共享基础引擎判定</x:v>
      </x:c>
      <x:c r="R78" s="32" t="str">
        <x:v>喜忌不直接等于边界好坏；只修正调用顺畅度、资源压力和状态切换。</x:v>
      </x:c>
      <x:c r="S78" s="32" t="str">
        <x:v>原十神性质有效；真合化成立时按化神所属功能系统重建。</x:v>
      </x:c>
      <x:c r="T78" s="32" t="str">
        <x:v>由共享基础引擎判定</x:v>
      </x:c>
      <x:c r="U78" s="32" t="str">
        <x:v>73</x:v>
      </x:c>
      <x:c r="V78" s="32" t="str">
        <x:v>拒绝／暂停候选 +4</x:v>
      </x:c>
      <x:c r="W78" s="32" t="str">
        <x:v>refusal_style</x:v>
      </x:c>
      <x:c r="X78" s="32" t="str">
        <x:v>不合适时更可能立即说停、结束当前行动或先把风险隔开。</x:v>
      </x:c>
      <x:c r="Y78" s="32" t="str">
        <x:v>不合适时更可能立即说停、结束当前行动或先把风险隔开。</x:v>
      </x:c>
      <x:c r="Z78" s="32" t="str">
        <x:v>不得由本规则直接推出回避亲密、依赖失控、控制欲、冷漠、自私、关系破裂、分手离婚、人格或依恋类型；不得把某种边界方式等同于爱得更多或更少。</x:v>
      </x:c>
      <x:c r="AA78" s="32" t="str">
        <x:v>中</x:v>
      </x:c>
      <x:c r="AB78" s="32" t="str">
        <x:v>待验证</x:v>
      </x:c>
      <x:c r="AC78" s="32" t="str"/>
      <x:c r="AD78" s="32" t="str">
        <x:v>provisional=true; rule_group=CHANNEL_BD08_REFUSAL</x:v>
      </x:c>
      <x:c r="AE78" s="32" t="str">
        <x:v>0.5</x:v>
      </x:c>
    </x:row>
    <x:row r="79">
      <x:c r="A79" s="32" t="str">
        <x:v>M3-BOUND-075</x:v>
      </x:c>
      <x:c r="B79" s="32" t="str">
        <x:v>七杀接受照顾｜BD08依托边界</x:v>
      </x:c>
      <x:c r="C79" s="32" t="str">
        <x:v>L1 十神边界通道</x:v>
      </x:c>
      <x:c r="D79" s="32" t="str">
        <x:v>BOUND-十神通道</x:v>
      </x:c>
      <x:c r="E79" s="32" t="str">
        <x:v>通用</x:v>
      </x:c>
      <x:c r="F79" s="32" t="str">
        <x:v>接受支持</x:v>
      </x:c>
      <x:c r="G79" s="32" t="str">
        <x:v>七杀</x:v>
      </x:c>
      <x:c r="H79" s="32" t="str"/>
      <x:c r="I79" s="32" t="str">
        <x:v>七杀BOUND功能有效，基础十神性质可靠，未被真合化替换。</x:v>
      </x:c>
      <x:c r="J79" s="32" t="str">
        <x:v>基础信号未定；真合化后原信号已失效；只有单一弱远争议信号；或该结论会越界到M4风险、M5适配。</x:v>
      </x:c>
      <x:c r="K79" s="32" t="str">
        <x:v>由共享基础引擎与M3-STATE修正；日主承载、印比支持只修正自主与执行，不直接等于有无边界。</x:v>
      </x:c>
      <x:c r="L79" s="32" t="str">
        <x:v>不限定；夫妻星仅在入宫或形成角色、责任边界时参与接口，不作为BOUND唯一主轴。</x:v>
      </x:c>
      <x:c r="M79" s="32" t="str">
        <x:v>由M3-BASE、日支主气及宫位动态提供。</x:v>
      </x:c>
      <x:c r="N79" s="32" t="str">
        <x:v>无／待BOUND路径规则组合</x:v>
      </x:c>
      <x:c r="O79" s="32" t="str">
        <x:v>日柱与日支近位优先；全局有效独立信号可作次通道。</x:v>
      </x:c>
      <x:c r="P79" s="32" t="str">
        <x:v>由共享基础引擎判定</x:v>
      </x:c>
      <x:c r="Q79" s="32" t="str">
        <x:v>由共享基础引擎判定</x:v>
      </x:c>
      <x:c r="R79" s="32" t="str">
        <x:v>喜忌不直接等于边界好坏；只修正调用顺畅度、资源压力和状态切换。</x:v>
      </x:c>
      <x:c r="S79" s="32" t="str">
        <x:v>原十神性质有效；真合化成立时按化神所属功能系统重建。</x:v>
      </x:c>
      <x:c r="T79" s="32" t="str">
        <x:v>由共享基础引擎判定</x:v>
      </x:c>
      <x:c r="U79" s="32" t="str">
        <x:v>72</x:v>
      </x:c>
      <x:c r="V79" s="32" t="str">
        <x:v>接受照顾候选 +4</x:v>
      </x:c>
      <x:c r="W79" s="32" t="str">
        <x:v>support_acceptance_boundary</x:v>
      </x:c>
      <x:c r="X79" s="32" t="str">
        <x:v>更容易接受果断、有效、真正解决问题并承担后续的支持。</x:v>
      </x:c>
      <x:c r="Y79" s="32" t="str">
        <x:v>更容易接受果断、有效、真正解决问题并承担后续的支持。</x:v>
      </x:c>
      <x:c r="Z79" s="32" t="str">
        <x:v>不得由本规则直接推出回避亲密、依赖失控、控制欲、冷漠、自私、关系破裂、分手离婚、人格或依恋类型；不得把某种边界方式等同于爱得更多或更少。</x:v>
      </x:c>
      <x:c r="AA79" s="32" t="str">
        <x:v>中</x:v>
      </x:c>
      <x:c r="AB79" s="32" t="str">
        <x:v>待验证</x:v>
      </x:c>
      <x:c r="AC79" s="32" t="str"/>
      <x:c r="AD79" s="32" t="str">
        <x:v>provisional=true; rule_group=CHANNEL_BD08_RECEIVE</x:v>
      </x:c>
      <x:c r="AE79" s="32" t="str">
        <x:v>0.5</x:v>
      </x:c>
    </x:row>
    <x:row r="80">
      <x:c r="A80" s="32" t="str">
        <x:v>M3-BOUND-076</x:v>
      </x:c>
      <x:c r="B80" s="32" t="str">
        <x:v>七杀禁止误读｜BD08边界</x:v>
      </x:c>
      <x:c r="C80" s="32" t="str">
        <x:v>L1 十神边界通道</x:v>
      </x:c>
      <x:c r="D80" s="32" t="str">
        <x:v>BOUND-十神通道</x:v>
      </x:c>
      <x:c r="E80" s="32" t="str">
        <x:v>通用</x:v>
      </x:c>
      <x:c r="F80" s="32" t="str">
        <x:v>禁止推断</x:v>
      </x:c>
      <x:c r="G80" s="32" t="str">
        <x:v>七杀</x:v>
      </x:c>
      <x:c r="H80" s="32" t="str"/>
      <x:c r="I80" s="32" t="str">
        <x:v>七杀BOUND功能有效，基础十神性质可靠，未被真合化替换。</x:v>
      </x:c>
      <x:c r="J80" s="32" t="str">
        <x:v>基础信号未定；真合化后原信号已失效；只有单一弱远争议信号；或该结论会越界到M4风险、M5适配。</x:v>
      </x:c>
      <x:c r="K80" s="32" t="str">
        <x:v>由共享基础引擎与M3-STATE修正；日主承载、印比支持只修正自主与执行，不直接等于有无边界。</x:v>
      </x:c>
      <x:c r="L80" s="32" t="str">
        <x:v>不限定；夫妻星仅在入宫或形成角色、责任边界时参与接口，不作为BOUND唯一主轴。</x:v>
      </x:c>
      <x:c r="M80" s="32" t="str">
        <x:v>由M3-BASE、日支主气及宫位动态提供。</x:v>
      </x:c>
      <x:c r="N80" s="32" t="str">
        <x:v>无／待BOUND路径规则组合</x:v>
      </x:c>
      <x:c r="O80" s="32" t="str">
        <x:v>日柱与日支近位优先；全局有效独立信号可作次通道。</x:v>
      </x:c>
      <x:c r="P80" s="32" t="str">
        <x:v>由共享基础引擎判定</x:v>
      </x:c>
      <x:c r="Q80" s="32" t="str">
        <x:v>由共享基础引擎判定</x:v>
      </x:c>
      <x:c r="R80" s="32" t="str">
        <x:v>喜忌不直接等于边界好坏；只修正调用顺畅度、资源压力和状态切换。</x:v>
      </x:c>
      <x:c r="S80" s="32" t="str">
        <x:v>原十神性质有效；真合化成立时按化神所属功能系统重建。</x:v>
      </x:c>
      <x:c r="T80" s="32" t="str">
        <x:v>由共享基础引擎判定</x:v>
      </x:c>
      <x:c r="U80" s="32" t="str">
        <x:v>96</x:v>
      </x:c>
      <x:c r="V80" s="32" t="str">
        <x:v>不加分；边界检查</x:v>
      </x:c>
      <x:c r="W80" s="32" t="str">
        <x:v>boundary_note</x:v>
      </x:c>
      <x:c r="X80" s="32" t="str">
        <x:v>该通道只说明关系中的边界功能，不等于人格、风险或感情结果。</x:v>
      </x:c>
      <x:c r="Y80" s="32" t="str">
        <x:v>这里描述的是你可能更常使用的边界方式，不代表你只能这样相处，也不代表其他方式一定缺失。</x:v>
      </x:c>
      <x:c r="Z80" s="32" t="str">
        <x:v>不得推出用户暴力、控制、威胁、情绪粗暴、一定替对方决定或关系存在危险。</x:v>
      </x:c>
      <x:c r="AA80" s="32" t="str">
        <x:v>高</x:v>
      </x:c>
      <x:c r="AB80" s="32" t="str">
        <x:v>待验证</x:v>
      </x:c>
      <x:c r="AC80" s="32" t="str"/>
      <x:c r="AD80" s="32" t="str">
        <x:v>provisional=true; rule_group=CHANNEL_BD08_BAN</x:v>
      </x:c>
      <x:c r="AE80" s="32" t="str">
        <x:v>0.5</x:v>
      </x:c>
    </x:row>
    <x:row r="81">
      <x:c r="A81" s="32" t="str">
        <x:v>M3-BOUND-077</x:v>
      </x:c>
      <x:c r="B81" s="32" t="str">
        <x:v>正印BOUND通道｜BD09 安全依托</x:v>
      </x:c>
      <x:c r="C81" s="32" t="str">
        <x:v>L1 十神边界通道</x:v>
      </x:c>
      <x:c r="D81" s="32" t="str">
        <x:v>BOUND-十神通道</x:v>
      </x:c>
      <x:c r="E81" s="32" t="str">
        <x:v>通用</x:v>
      </x:c>
      <x:c r="F81" s="32" t="str">
        <x:v>基础通道</x:v>
      </x:c>
      <x:c r="G81" s="32" t="str">
        <x:v>正印</x:v>
      </x:c>
      <x:c r="H81" s="32" t="str"/>
      <x:c r="I81" s="32" t="str">
        <x:v>正印BOUND功能有效，基础十神性质可靠，未被真合化替换。</x:v>
      </x:c>
      <x:c r="J81" s="32" t="str">
        <x:v>基础信号未定；真合化后原信号已失效；只有单一弱远争议信号；或该结论会越界到M4风险、M5适配。</x:v>
      </x:c>
      <x:c r="K81" s="32" t="str">
        <x:v>由共享基础引擎与M3-STATE修正；日主承载、印比支持只修正自主与执行，不直接等于有无边界。</x:v>
      </x:c>
      <x:c r="L81" s="32" t="str">
        <x:v>不限定；夫妻星仅在入宫或形成角色、责任边界时参与接口，不作为BOUND唯一主轴。</x:v>
      </x:c>
      <x:c r="M81" s="32" t="str">
        <x:v>由M3-BASE、日支主气及宫位动态提供。</x:v>
      </x:c>
      <x:c r="N81" s="32" t="str">
        <x:v>无／待BOUND路径规则组合</x:v>
      </x:c>
      <x:c r="O81" s="32" t="str">
        <x:v>日柱与日支近位优先；全局有效独立信号可作次通道。</x:v>
      </x:c>
      <x:c r="P81" s="32" t="str">
        <x:v>由共享基础引擎判定</x:v>
      </x:c>
      <x:c r="Q81" s="32" t="str">
        <x:v>由共享基础引擎判定</x:v>
      </x:c>
      <x:c r="R81" s="32" t="str">
        <x:v>喜忌不直接等于边界好坏；只修正调用顺畅度、资源压力和状态切换。</x:v>
      </x:c>
      <x:c r="S81" s="32" t="str">
        <x:v>原十神性质有效；真合化成立时按化神所属功能系统重建。</x:v>
      </x:c>
      <x:c r="T81" s="32" t="str">
        <x:v>由共享基础引擎判定</x:v>
      </x:c>
      <x:c r="U81" s="32" t="str">
        <x:v>88</x:v>
      </x:c>
      <x:c r="V81" s="32" t="str">
        <x:v>主BOUND候选 +18</x:v>
      </x:c>
      <x:c r="W81" s="32" t="str">
        <x:v>primary_boundary_channel</x:v>
      </x:c>
      <x:c r="X81" s="32" t="str">
        <x:v>正印属于SYS05 承接内化系统，在BOUND中主要负责：通过理解、稳定回应和可信承接建立亲密，愿意在安全中依靠关系，同时保留内在确认。</x:v>
      </x:c>
      <x:c r="Y81" s="32" t="str">
        <x:v>你更容易通过“安全依托”安排亲密与自主。通过理解、稳定回应和可信承接建立亲密，愿意在安全中依靠关系，同时保留内在确认。</x:v>
      </x:c>
      <x:c r="Z81" s="32" t="str">
        <x:v>不得由本规则直接推出回避亲密、依赖失控、控制欲、冷漠、自私、关系破裂、分手离婚、人格或依恋类型；不得把某种边界方式等同于爱得更多或更少。</x:v>
      </x:c>
      <x:c r="AA81" s="32" t="str">
        <x:v>中高</x:v>
      </x:c>
      <x:c r="AB81" s="32" t="str">
        <x:v>待验证</x:v>
      </x:c>
      <x:c r="AC81" s="32" t="str"/>
      <x:c r="AD81" s="32" t="str">
        <x:v>provisional=true; rule_group=CHANNEL_BD09_BASE</x:v>
      </x:c>
      <x:c r="AE81" s="32" t="str">
        <x:v>0.5</x:v>
      </x:c>
    </x:row>
    <x:row r="82">
      <x:c r="A82" s="32" t="str">
        <x:v>M3-BOUND-078</x:v>
      </x:c>
      <x:c r="B82" s="32" t="str">
        <x:v>正印靠近方式｜BD09关系启动</x:v>
      </x:c>
      <x:c r="C82" s="32" t="str">
        <x:v>L1 十神边界通道</x:v>
      </x:c>
      <x:c r="D82" s="32" t="str">
        <x:v>BOUND-十神通道</x:v>
      </x:c>
      <x:c r="E82" s="32" t="str">
        <x:v>通用</x:v>
      </x:c>
      <x:c r="F82" s="32" t="str">
        <x:v>靠近方式</x:v>
      </x:c>
      <x:c r="G82" s="32" t="str">
        <x:v>正印</x:v>
      </x:c>
      <x:c r="H82" s="32" t="str"/>
      <x:c r="I82" s="32" t="str">
        <x:v>正印BOUND功能有效，基础十神性质可靠，未被真合化替换。</x:v>
      </x:c>
      <x:c r="J82" s="32" t="str">
        <x:v>基础信号未定；真合化后原信号已失效；只有单一弱远争议信号；或该结论会越界到M4风险、M5适配。</x:v>
      </x:c>
      <x:c r="K82" s="32" t="str">
        <x:v>由共享基础引擎与M3-STATE修正；日主承载、印比支持只修正自主与执行，不直接等于有无边界。</x:v>
      </x:c>
      <x:c r="L82" s="32" t="str">
        <x:v>不限定；夫妻星仅在入宫或形成角色、责任边界时参与接口，不作为BOUND唯一主轴。</x:v>
      </x:c>
      <x:c r="M82" s="32" t="str">
        <x:v>由M3-BASE、日支主气及宫位动态提供。</x:v>
      </x:c>
      <x:c r="N82" s="32" t="str">
        <x:v>无／待BOUND路径规则组合</x:v>
      </x:c>
      <x:c r="O82" s="32" t="str">
        <x:v>日柱与日支近位优先；全局有效独立信号可作次通道。</x:v>
      </x:c>
      <x:c r="P82" s="32" t="str">
        <x:v>由共享基础引擎判定</x:v>
      </x:c>
      <x:c r="Q82" s="32" t="str">
        <x:v>由共享基础引擎判定</x:v>
      </x:c>
      <x:c r="R82" s="32" t="str">
        <x:v>喜忌不直接等于边界好坏；只修正调用顺畅度、资源压力和状态切换。</x:v>
      </x:c>
      <x:c r="S82" s="32" t="str">
        <x:v>原十神性质有效；真合化成立时按化神所属功能系统重建。</x:v>
      </x:c>
      <x:c r="T82" s="32" t="str">
        <x:v>由共享基础引擎判定</x:v>
      </x:c>
      <x:c r="U82" s="32" t="str">
        <x:v>76</x:v>
      </x:c>
      <x:c r="V82" s="32" t="str">
        <x:v>靠近节奏候选 +6</x:v>
      </x:c>
      <x:c r="W82" s="32" t="str">
        <x:v>closeness_rhythm</x:v>
      </x:c>
      <x:c r="X82" s="32" t="str">
        <x:v>更容易在被理解、被尊重和有稳定回应时逐渐开放。</x:v>
      </x:c>
      <x:c r="Y82" s="32" t="str">
        <x:v>更容易在被理解、被尊重和有稳定回应时逐渐开放。</x:v>
      </x:c>
      <x:c r="Z82" s="32" t="str">
        <x:v>不得由本规则直接推出回避亲密、依赖失控、控制欲、冷漠、自私、关系破裂、分手离婚、人格或依恋类型；不得把某种边界方式等同于爱得更多或更少。</x:v>
      </x:c>
      <x:c r="AA82" s="32" t="str">
        <x:v>中</x:v>
      </x:c>
      <x:c r="AB82" s="32" t="str">
        <x:v>待验证</x:v>
      </x:c>
      <x:c r="AC82" s="32" t="str"/>
      <x:c r="AD82" s="32" t="str">
        <x:v>provisional=true; rule_group=CHANNEL_BD09_APPROACH</x:v>
      </x:c>
      <x:c r="AE82" s="32" t="str">
        <x:v>0.5</x:v>
      </x:c>
    </x:row>
    <x:row r="83">
      <x:c r="A83" s="32" t="str">
        <x:v>M3-BOUND-079</x:v>
      </x:c>
      <x:c r="B83" s="32" t="str">
        <x:v>正印空间与自主｜BD09权限安排</x:v>
      </x:c>
      <x:c r="C83" s="32" t="str">
        <x:v>L1 十神边界通道</x:v>
      </x:c>
      <x:c r="D83" s="32" t="str">
        <x:v>BOUND-十神通道</x:v>
      </x:c>
      <x:c r="E83" s="32" t="str">
        <x:v>通用</x:v>
      </x:c>
      <x:c r="F83" s="32" t="str">
        <x:v>空间与自主</x:v>
      </x:c>
      <x:c r="G83" s="32" t="str">
        <x:v>正印</x:v>
      </x:c>
      <x:c r="H83" s="32" t="str"/>
      <x:c r="I83" s="32" t="str">
        <x:v>正印BOUND功能有效，基础十神性质可靠，未被真合化替换。</x:v>
      </x:c>
      <x:c r="J83" s="32" t="str">
        <x:v>基础信号未定；真合化后原信号已失效；只有单一弱远争议信号；或该结论会越界到M4风险、M5适配。</x:v>
      </x:c>
      <x:c r="K83" s="32" t="str">
        <x:v>由共享基础引擎与M3-STATE修正；日主承载、印比支持只修正自主与执行，不直接等于有无边界。</x:v>
      </x:c>
      <x:c r="L83" s="32" t="str">
        <x:v>不限定；夫妻星仅在入宫或形成角色、责任边界时参与接口，不作为BOUND唯一主轴。</x:v>
      </x:c>
      <x:c r="M83" s="32" t="str">
        <x:v>由M3-BASE、日支主气及宫位动态提供。</x:v>
      </x:c>
      <x:c r="N83" s="32" t="str">
        <x:v>无／待BOUND路径规则组合</x:v>
      </x:c>
      <x:c r="O83" s="32" t="str">
        <x:v>日柱与日支近位优先；全局有效独立信号可作次通道。</x:v>
      </x:c>
      <x:c r="P83" s="32" t="str">
        <x:v>由共享基础引擎判定</x:v>
      </x:c>
      <x:c r="Q83" s="32" t="str">
        <x:v>由共享基础引擎判定</x:v>
      </x:c>
      <x:c r="R83" s="32" t="str">
        <x:v>喜忌不直接等于边界好坏；只修正调用顺畅度、资源压力和状态切换。</x:v>
      </x:c>
      <x:c r="S83" s="32" t="str">
        <x:v>原十神性质有效；真合化成立时按化神所属功能系统重建。</x:v>
      </x:c>
      <x:c r="T83" s="32" t="str">
        <x:v>由共享基础引擎判定</x:v>
      </x:c>
      <x:c r="U83" s="32" t="str">
        <x:v>75</x:v>
      </x:c>
      <x:c r="V83" s="32" t="str">
        <x:v>空间／自主候选 +6</x:v>
      </x:c>
      <x:c r="W83" s="32" t="str">
        <x:v>autonomy_pattern</x:v>
      </x:c>
      <x:c r="X83" s="32" t="str">
        <x:v>空间需求常与情绪安全有关：不一定要求远离，而是需要不被催促和不被轻易否定。</x:v>
      </x:c>
      <x:c r="Y83" s="32" t="str">
        <x:v>空间需求常与情绪安全有关：不一定要求远离，而是需要不被催促和不被轻易否定。</x:v>
      </x:c>
      <x:c r="Z83" s="32" t="str">
        <x:v>不得由本规则直接推出回避亲密、依赖失控、控制欲、冷漠、自私、关系破裂、分手离婚、人格或依恋类型；不得把某种边界方式等同于爱得更多或更少。</x:v>
      </x:c>
      <x:c r="AA83" s="32" t="str">
        <x:v>中</x:v>
      </x:c>
      <x:c r="AB83" s="32" t="str">
        <x:v>待验证</x:v>
      </x:c>
      <x:c r="AC83" s="32" t="str"/>
      <x:c r="AD83" s="32" t="str">
        <x:v>provisional=true; rule_group=CHANNEL_BD09_SPACE</x:v>
      </x:c>
      <x:c r="AE83" s="32" t="str">
        <x:v>0.5</x:v>
      </x:c>
    </x:row>
    <x:row r="84">
      <x:c r="A84" s="32" t="str">
        <x:v>M3-BOUND-080</x:v>
      </x:c>
      <x:c r="B84" s="32" t="str">
        <x:v>正印需求表达｜BD09怎样说明需要</x:v>
      </x:c>
      <x:c r="C84" s="32" t="str">
        <x:v>L1 十神边界通道</x:v>
      </x:c>
      <x:c r="D84" s="32" t="str">
        <x:v>BOUND-十神通道</x:v>
      </x:c>
      <x:c r="E84" s="32" t="str">
        <x:v>通用</x:v>
      </x:c>
      <x:c r="F84" s="32" t="str">
        <x:v>需求表达</x:v>
      </x:c>
      <x:c r="G84" s="32" t="str">
        <x:v>正印</x:v>
      </x:c>
      <x:c r="H84" s="32" t="str"/>
      <x:c r="I84" s="32" t="str">
        <x:v>正印BOUND功能有效，基础十神性质可靠，未被真合化替换。</x:v>
      </x:c>
      <x:c r="J84" s="32" t="str">
        <x:v>基础信号未定；真合化后原信号已失效；只有单一弱远争议信号；或该结论会越界到M4风险、M5适配。</x:v>
      </x:c>
      <x:c r="K84" s="32" t="str">
        <x:v>由共享基础引擎与M3-STATE修正；日主承载、印比支持只修正自主与执行，不直接等于有无边界。</x:v>
      </x:c>
      <x:c r="L84" s="32" t="str">
        <x:v>不限定；夫妻星仅在入宫或形成角色、责任边界时参与接口，不作为BOUND唯一主轴。</x:v>
      </x:c>
      <x:c r="M84" s="32" t="str">
        <x:v>由M3-BASE、日支主气及宫位动态提供。</x:v>
      </x:c>
      <x:c r="N84" s="32" t="str">
        <x:v>无／待BOUND路径规则组合</x:v>
      </x:c>
      <x:c r="O84" s="32" t="str">
        <x:v>日柱与日支近位优先；全局有效独立信号可作次通道。</x:v>
      </x:c>
      <x:c r="P84" s="32" t="str">
        <x:v>由共享基础引擎判定</x:v>
      </x:c>
      <x:c r="Q84" s="32" t="str">
        <x:v>由共享基础引擎判定</x:v>
      </x:c>
      <x:c r="R84" s="32" t="str">
        <x:v>喜忌不直接等于边界好坏；只修正调用顺畅度、资源压力和状态切换。</x:v>
      </x:c>
      <x:c r="S84" s="32" t="str">
        <x:v>原十神性质有效；真合化成立时按化神所属功能系统重建。</x:v>
      </x:c>
      <x:c r="T84" s="32" t="str">
        <x:v>由共享基础引擎判定</x:v>
      </x:c>
      <x:c r="U84" s="32" t="str">
        <x:v>74</x:v>
      </x:c>
      <x:c r="V84" s="32" t="str">
        <x:v>需求表达候选 +4</x:v>
      </x:c>
      <x:c r="W84" s="32" t="str">
        <x:v>need_expression</x:v>
      </x:c>
      <x:c r="X84" s="32" t="str">
        <x:v>需求更容易在信任和耐心中逐步说出，希望得到时间、理解和稳定陪伴。</x:v>
      </x:c>
      <x:c r="Y84" s="32" t="str">
        <x:v>需求更容易在信任和耐心中逐步说出，希望得到时间、理解和稳定陪伴。</x:v>
      </x:c>
      <x:c r="Z84" s="32" t="str">
        <x:v>不得由本规则直接推出回避亲密、依赖失控、控制欲、冷漠、自私、关系破裂、分手离婚、人格或依恋类型；不得把某种边界方式等同于爱得更多或更少。</x:v>
      </x:c>
      <x:c r="AA84" s="32" t="str">
        <x:v>中</x:v>
      </x:c>
      <x:c r="AB84" s="32" t="str">
        <x:v>待验证</x:v>
      </x:c>
      <x:c r="AC84" s="32" t="str"/>
      <x:c r="AD84" s="32" t="str">
        <x:v>provisional=true; rule_group=CHANNEL_BD09_NEED</x:v>
      </x:c>
      <x:c r="AE84" s="32" t="str">
        <x:v>0.5</x:v>
      </x:c>
    </x:row>
    <x:row r="85">
      <x:c r="A85" s="32" t="str">
        <x:v>M3-BOUND-081</x:v>
      </x:c>
      <x:c r="B85" s="32" t="str">
        <x:v>正印拒绝与暂停｜BD09怎样设限</x:v>
      </x:c>
      <x:c r="C85" s="32" t="str">
        <x:v>L1 十神边界通道</x:v>
      </x:c>
      <x:c r="D85" s="32" t="str">
        <x:v>BOUND-十神通道</x:v>
      </x:c>
      <x:c r="E85" s="32" t="str">
        <x:v>通用</x:v>
      </x:c>
      <x:c r="F85" s="32" t="str">
        <x:v>拒绝／暂停</x:v>
      </x:c>
      <x:c r="G85" s="32" t="str">
        <x:v>正印</x:v>
      </x:c>
      <x:c r="H85" s="32" t="str"/>
      <x:c r="I85" s="32" t="str">
        <x:v>正印BOUND功能有效，基础十神性质可靠，未被真合化替换。</x:v>
      </x:c>
      <x:c r="J85" s="32" t="str">
        <x:v>基础信号未定；真合化后原信号已失效；只有单一弱远争议信号；或该结论会越界到M4风险、M5适配。</x:v>
      </x:c>
      <x:c r="K85" s="32" t="str">
        <x:v>由共享基础引擎与M3-STATE修正；日主承载、印比支持只修正自主与执行，不直接等于有无边界。</x:v>
      </x:c>
      <x:c r="L85" s="32" t="str">
        <x:v>不限定；夫妻星仅在入宫或形成角色、责任边界时参与接口，不作为BOUND唯一主轴。</x:v>
      </x:c>
      <x:c r="M85" s="32" t="str">
        <x:v>由M3-BASE、日支主气及宫位动态提供。</x:v>
      </x:c>
      <x:c r="N85" s="32" t="str">
        <x:v>无／待BOUND路径规则组合</x:v>
      </x:c>
      <x:c r="O85" s="32" t="str">
        <x:v>日柱与日支近位优先；全局有效独立信号可作次通道。</x:v>
      </x:c>
      <x:c r="P85" s="32" t="str">
        <x:v>由共享基础引擎判定</x:v>
      </x:c>
      <x:c r="Q85" s="32" t="str">
        <x:v>由共享基础引擎判定</x:v>
      </x:c>
      <x:c r="R85" s="32" t="str">
        <x:v>喜忌不直接等于边界好坏；只修正调用顺畅度、资源压力和状态切换。</x:v>
      </x:c>
      <x:c r="S85" s="32" t="str">
        <x:v>原十神性质有效；真合化成立时按化神所属功能系统重建。</x:v>
      </x:c>
      <x:c r="T85" s="32" t="str">
        <x:v>由共享基础引擎判定</x:v>
      </x:c>
      <x:c r="U85" s="32" t="str">
        <x:v>73</x:v>
      </x:c>
      <x:c r="V85" s="32" t="str">
        <x:v>拒绝／暂停候选 +4</x:v>
      </x:c>
      <x:c r="W85" s="32" t="str">
        <x:v>refusal_style</x:v>
      </x:c>
      <x:c r="X85" s="32" t="str">
        <x:v>不安全时可能先退回观察或请求缓冲，安全恢复后再说明完整立场。</x:v>
      </x:c>
      <x:c r="Y85" s="32" t="str">
        <x:v>不安全时可能先退回观察或请求缓冲，安全恢复后再说明完整立场。</x:v>
      </x:c>
      <x:c r="Z85" s="32" t="str">
        <x:v>不得由本规则直接推出回避亲密、依赖失控、控制欲、冷漠、自私、关系破裂、分手离婚、人格或依恋类型；不得把某种边界方式等同于爱得更多或更少。</x:v>
      </x:c>
      <x:c r="AA85" s="32" t="str">
        <x:v>中</x:v>
      </x:c>
      <x:c r="AB85" s="32" t="str">
        <x:v>待验证</x:v>
      </x:c>
      <x:c r="AC85" s="32" t="str"/>
      <x:c r="AD85" s="32" t="str">
        <x:v>provisional=true; rule_group=CHANNEL_BD09_REFUSAL</x:v>
      </x:c>
      <x:c r="AE85" s="32" t="str">
        <x:v>0.5</x:v>
      </x:c>
    </x:row>
    <x:row r="86">
      <x:c r="A86" s="32" t="str">
        <x:v>M3-BOUND-082</x:v>
      </x:c>
      <x:c r="B86" s="32" t="str">
        <x:v>正印接受照顾｜BD09依托边界</x:v>
      </x:c>
      <x:c r="C86" s="32" t="str">
        <x:v>L1 十神边界通道</x:v>
      </x:c>
      <x:c r="D86" s="32" t="str">
        <x:v>BOUND-十神通道</x:v>
      </x:c>
      <x:c r="E86" s="32" t="str">
        <x:v>通用</x:v>
      </x:c>
      <x:c r="F86" s="32" t="str">
        <x:v>接受支持</x:v>
      </x:c>
      <x:c r="G86" s="32" t="str">
        <x:v>正印</x:v>
      </x:c>
      <x:c r="H86" s="32" t="str"/>
      <x:c r="I86" s="32" t="str">
        <x:v>正印BOUND功能有效，基础十神性质可靠，未被真合化替换。</x:v>
      </x:c>
      <x:c r="J86" s="32" t="str">
        <x:v>基础信号未定；真合化后原信号已失效；只有单一弱远争议信号；或该结论会越界到M4风险、M5适配。</x:v>
      </x:c>
      <x:c r="K86" s="32" t="str">
        <x:v>由共享基础引擎与M3-STATE修正；日主承载、印比支持只修正自主与执行，不直接等于有无边界。</x:v>
      </x:c>
      <x:c r="L86" s="32" t="str">
        <x:v>不限定；夫妻星仅在入宫或形成角色、责任边界时参与接口，不作为BOUND唯一主轴。</x:v>
      </x:c>
      <x:c r="M86" s="32" t="str">
        <x:v>由M3-BASE、日支主气及宫位动态提供。</x:v>
      </x:c>
      <x:c r="N86" s="32" t="str">
        <x:v>无／待BOUND路径规则组合</x:v>
      </x:c>
      <x:c r="O86" s="32" t="str">
        <x:v>日柱与日支近位优先；全局有效独立信号可作次通道。</x:v>
      </x:c>
      <x:c r="P86" s="32" t="str">
        <x:v>由共享基础引擎判定</x:v>
      </x:c>
      <x:c r="Q86" s="32" t="str">
        <x:v>由共享基础引擎判定</x:v>
      </x:c>
      <x:c r="R86" s="32" t="str">
        <x:v>喜忌不直接等于边界好坏；只修正调用顺畅度、资源压力和状态切换。</x:v>
      </x:c>
      <x:c r="S86" s="32" t="str">
        <x:v>原十神性质有效；真合化成立时按化神所属功能系统重建。</x:v>
      </x:c>
      <x:c r="T86" s="32" t="str">
        <x:v>由共享基础引擎判定</x:v>
      </x:c>
      <x:c r="U86" s="32" t="str">
        <x:v>72</x:v>
      </x:c>
      <x:c r="V86" s="32" t="str">
        <x:v>接受照顾候选 +4</x:v>
      </x:c>
      <x:c r="W86" s="32" t="str">
        <x:v>support_acceptance_boundary</x:v>
      </x:c>
      <x:c r="X86" s="32" t="str">
        <x:v>更容易接受耐心、可信、不催促、愿意理解背景并提供稳定承接的照顾。</x:v>
      </x:c>
      <x:c r="Y86" s="32" t="str">
        <x:v>更容易接受耐心、可信、不催促、愿意理解背景并提供稳定承接的照顾。</x:v>
      </x:c>
      <x:c r="Z86" s="32" t="str">
        <x:v>不得由本规则直接推出回避亲密、依赖失控、控制欲、冷漠、自私、关系破裂、分手离婚、人格或依恋类型；不得把某种边界方式等同于爱得更多或更少。</x:v>
      </x:c>
      <x:c r="AA86" s="32" t="str">
        <x:v>中</x:v>
      </x:c>
      <x:c r="AB86" s="32" t="str">
        <x:v>待验证</x:v>
      </x:c>
      <x:c r="AC86" s="32" t="str"/>
      <x:c r="AD86" s="32" t="str">
        <x:v>provisional=true; rule_group=CHANNEL_BD09_RECEIVE</x:v>
      </x:c>
      <x:c r="AE86" s="32" t="str">
        <x:v>0.5</x:v>
      </x:c>
    </x:row>
    <x:row r="87">
      <x:c r="A87" s="32" t="str">
        <x:v>M3-BOUND-083</x:v>
      </x:c>
      <x:c r="B87" s="32" t="str">
        <x:v>正印禁止误读｜BD09边界</x:v>
      </x:c>
      <x:c r="C87" s="32" t="str">
        <x:v>L1 十神边界通道</x:v>
      </x:c>
      <x:c r="D87" s="32" t="str">
        <x:v>BOUND-十神通道</x:v>
      </x:c>
      <x:c r="E87" s="32" t="str">
        <x:v>通用</x:v>
      </x:c>
      <x:c r="F87" s="32" t="str">
        <x:v>禁止推断</x:v>
      </x:c>
      <x:c r="G87" s="32" t="str">
        <x:v>正印</x:v>
      </x:c>
      <x:c r="H87" s="32" t="str"/>
      <x:c r="I87" s="32" t="str">
        <x:v>正印BOUND功能有效，基础十神性质可靠，未被真合化替换。</x:v>
      </x:c>
      <x:c r="J87" s="32" t="str">
        <x:v>基础信号未定；真合化后原信号已失效；只有单一弱远争议信号；或该结论会越界到M4风险、M5适配。</x:v>
      </x:c>
      <x:c r="K87" s="32" t="str">
        <x:v>由共享基础引擎与M3-STATE修正；日主承载、印比支持只修正自主与执行，不直接等于有无边界。</x:v>
      </x:c>
      <x:c r="L87" s="32" t="str">
        <x:v>不限定；夫妻星仅在入宫或形成角色、责任边界时参与接口，不作为BOUND唯一主轴。</x:v>
      </x:c>
      <x:c r="M87" s="32" t="str">
        <x:v>由M3-BASE、日支主气及宫位动态提供。</x:v>
      </x:c>
      <x:c r="N87" s="32" t="str">
        <x:v>无／待BOUND路径规则组合</x:v>
      </x:c>
      <x:c r="O87" s="32" t="str">
        <x:v>日柱与日支近位优先；全局有效独立信号可作次通道。</x:v>
      </x:c>
      <x:c r="P87" s="32" t="str">
        <x:v>由共享基础引擎判定</x:v>
      </x:c>
      <x:c r="Q87" s="32" t="str">
        <x:v>由共享基础引擎判定</x:v>
      </x:c>
      <x:c r="R87" s="32" t="str">
        <x:v>喜忌不直接等于边界好坏；只修正调用顺畅度、资源压力和状态切换。</x:v>
      </x:c>
      <x:c r="S87" s="32" t="str">
        <x:v>原十神性质有效；真合化成立时按化神所属功能系统重建。</x:v>
      </x:c>
      <x:c r="T87" s="32" t="str">
        <x:v>由共享基础引擎判定</x:v>
      </x:c>
      <x:c r="U87" s="32" t="str">
        <x:v>96</x:v>
      </x:c>
      <x:c r="V87" s="32" t="str">
        <x:v>不加分；边界检查</x:v>
      </x:c>
      <x:c r="W87" s="32" t="str">
        <x:v>boundary_note</x:v>
      </x:c>
      <x:c r="X87" s="32" t="str">
        <x:v>该通道只说明关系中的边界功能，不等于人格、风险或感情结果。</x:v>
      </x:c>
      <x:c r="Y87" s="32" t="str">
        <x:v>这里描述的是你可能更常使用的边界方式，不代表你只能这样相处，也不代表其他方式一定缺失。</x:v>
      </x:c>
      <x:c r="Z87" s="32" t="str">
        <x:v>不得推出用户软弱、依赖、没有边界、需要被拯救、母性父性过强或没有独立能力。</x:v>
      </x:c>
      <x:c r="AA87" s="32" t="str">
        <x:v>高</x:v>
      </x:c>
      <x:c r="AB87" s="32" t="str">
        <x:v>待验证</x:v>
      </x:c>
      <x:c r="AC87" s="32" t="str"/>
      <x:c r="AD87" s="32" t="str">
        <x:v>provisional=true; rule_group=CHANNEL_BD09_BAN</x:v>
      </x:c>
      <x:c r="AE87" s="32" t="str">
        <x:v>0.5</x:v>
      </x:c>
    </x:row>
    <x:row r="88">
      <x:c r="A88" s="32" t="str">
        <x:v>M3-BOUND-084</x:v>
      </x:c>
      <x:c r="B88" s="32" t="str">
        <x:v>偏印BOUND通道｜BD10 选择性空间</x:v>
      </x:c>
      <x:c r="C88" s="32" t="str">
        <x:v>L1 十神边界通道</x:v>
      </x:c>
      <x:c r="D88" s="32" t="str">
        <x:v>BOUND-十神通道</x:v>
      </x:c>
      <x:c r="E88" s="32" t="str">
        <x:v>通用</x:v>
      </x:c>
      <x:c r="F88" s="32" t="str">
        <x:v>基础通道</x:v>
      </x:c>
      <x:c r="G88" s="32" t="str">
        <x:v>偏印</x:v>
      </x:c>
      <x:c r="H88" s="32" t="str"/>
      <x:c r="I88" s="32" t="str">
        <x:v>偏印BOUND功能有效，基础十神性质可靠，未被真合化替换。</x:v>
      </x:c>
      <x:c r="J88" s="32" t="str">
        <x:v>基础信号未定；真合化后原信号已失效；只有单一弱远争议信号；或该结论会越界到M4风险、M5适配。</x:v>
      </x:c>
      <x:c r="K88" s="32" t="str">
        <x:v>由共享基础引擎与M3-STATE修正；日主承载、印比支持只修正自主与执行，不直接等于有无边界。</x:v>
      </x:c>
      <x:c r="L88" s="32" t="str">
        <x:v>不限定；夫妻星仅在入宫或形成角色、责任边界时参与接口，不作为BOUND唯一主轴。</x:v>
      </x:c>
      <x:c r="M88" s="32" t="str">
        <x:v>由M3-BASE、日支主气及宫位动态提供。</x:v>
      </x:c>
      <x:c r="N88" s="32" t="str">
        <x:v>无／待BOUND路径规则组合</x:v>
      </x:c>
      <x:c r="O88" s="32" t="str">
        <x:v>日柱与日支近位优先；全局有效独立信号可作次通道。</x:v>
      </x:c>
      <x:c r="P88" s="32" t="str">
        <x:v>由共享基础引擎判定</x:v>
      </x:c>
      <x:c r="Q88" s="32" t="str">
        <x:v>由共享基础引擎判定</x:v>
      </x:c>
      <x:c r="R88" s="32" t="str">
        <x:v>喜忌不直接等于边界好坏；只修正调用顺畅度、资源压力和状态切换。</x:v>
      </x:c>
      <x:c r="S88" s="32" t="str">
        <x:v>原十神性质有效；真合化成立时按化神所属功能系统重建。</x:v>
      </x:c>
      <x:c r="T88" s="32" t="str">
        <x:v>由共享基础引擎判定</x:v>
      </x:c>
      <x:c r="U88" s="32" t="str">
        <x:v>88</x:v>
      </x:c>
      <x:c r="V88" s="32" t="str">
        <x:v>主BOUND候选 +18</x:v>
      </x:c>
      <x:c r="W88" s="32" t="str">
        <x:v>primary_boundary_channel</x:v>
      </x:c>
      <x:c r="X88" s="32" t="str">
        <x:v>偏印属于SYS05 承接内化系统，在BOUND中主要负责：通过选择性开放、内部整理和尊重私人空间维持亲密，重视深度而不是持续暴露。</x:v>
      </x:c>
      <x:c r="Y88" s="32" t="str">
        <x:v>你更容易通过“选择性空间”安排亲密与自主。通过选择性开放、内部整理和尊重私人空间维持亲密，重视深度而不是持续暴露。</x:v>
      </x:c>
      <x:c r="Z88" s="32" t="str">
        <x:v>不得由本规则直接推出回避亲密、依赖失控、控制欲、冷漠、自私、关系破裂、分手离婚、人格或依恋类型；不得把某种边界方式等同于爱得更多或更少。</x:v>
      </x:c>
      <x:c r="AA88" s="32" t="str">
        <x:v>中高</x:v>
      </x:c>
      <x:c r="AB88" s="32" t="str">
        <x:v>待验证</x:v>
      </x:c>
      <x:c r="AC88" s="32" t="str"/>
      <x:c r="AD88" s="32" t="str">
        <x:v>provisional=true; rule_group=CHANNEL_BD10_BASE</x:v>
      </x:c>
      <x:c r="AE88" s="32" t="str">
        <x:v>0.5</x:v>
      </x:c>
    </x:row>
    <x:row r="89">
      <x:c r="A89" s="32" t="str">
        <x:v>M3-BOUND-085</x:v>
      </x:c>
      <x:c r="B89" s="32" t="str">
        <x:v>偏印靠近方式｜BD10关系启动</x:v>
      </x:c>
      <x:c r="C89" s="32" t="str">
        <x:v>L1 十神边界通道</x:v>
      </x:c>
      <x:c r="D89" s="32" t="str">
        <x:v>BOUND-十神通道</x:v>
      </x:c>
      <x:c r="E89" s="32" t="str">
        <x:v>通用</x:v>
      </x:c>
      <x:c r="F89" s="32" t="str">
        <x:v>靠近方式</x:v>
      </x:c>
      <x:c r="G89" s="32" t="str">
        <x:v>偏印</x:v>
      </x:c>
      <x:c r="H89" s="32" t="str"/>
      <x:c r="I89" s="32" t="str">
        <x:v>偏印BOUND功能有效，基础十神性质可靠，未被真合化替换。</x:v>
      </x:c>
      <x:c r="J89" s="32" t="str">
        <x:v>基础信号未定；真合化后原信号已失效；只有单一弱远争议信号；或该结论会越界到M4风险、M5适配。</x:v>
      </x:c>
      <x:c r="K89" s="32" t="str">
        <x:v>由共享基础引擎与M3-STATE修正；日主承载、印比支持只修正自主与执行，不直接等于有无边界。</x:v>
      </x:c>
      <x:c r="L89" s="32" t="str">
        <x:v>不限定；夫妻星仅在入宫或形成角色、责任边界时参与接口，不作为BOUND唯一主轴。</x:v>
      </x:c>
      <x:c r="M89" s="32" t="str">
        <x:v>由M3-BASE、日支主气及宫位动态提供。</x:v>
      </x:c>
      <x:c r="N89" s="32" t="str">
        <x:v>无／待BOUND路径规则组合</x:v>
      </x:c>
      <x:c r="O89" s="32" t="str">
        <x:v>日柱与日支近位优先；全局有效独立信号可作次通道。</x:v>
      </x:c>
      <x:c r="P89" s="32" t="str">
        <x:v>由共享基础引擎判定</x:v>
      </x:c>
      <x:c r="Q89" s="32" t="str">
        <x:v>由共享基础引擎判定</x:v>
      </x:c>
      <x:c r="R89" s="32" t="str">
        <x:v>喜忌不直接等于边界好坏；只修正调用顺畅度、资源压力和状态切换。</x:v>
      </x:c>
      <x:c r="S89" s="32" t="str">
        <x:v>原十神性质有效；真合化成立时按化神所属功能系统重建。</x:v>
      </x:c>
      <x:c r="T89" s="32" t="str">
        <x:v>由共享基础引擎判定</x:v>
      </x:c>
      <x:c r="U89" s="32" t="str">
        <x:v>76</x:v>
      </x:c>
      <x:c r="V89" s="32" t="str">
        <x:v>靠近节奏候选 +6</x:v>
      </x:c>
      <x:c r="W89" s="32" t="str">
        <x:v>closeness_rhythm</x:v>
      </x:c>
      <x:c r="X89" s="32" t="str">
        <x:v>更容易在对方有深度、尊重复杂性且不过度打扰时逐渐靠近。</x:v>
      </x:c>
      <x:c r="Y89" s="32" t="str">
        <x:v>更容易在对方有深度、尊重复杂性且不过度打扰时逐渐靠近。</x:v>
      </x:c>
      <x:c r="Z89" s="32" t="str">
        <x:v>不得由本规则直接推出回避亲密、依赖失控、控制欲、冷漠、自私、关系破裂、分手离婚、人格或依恋类型；不得把某种边界方式等同于爱得更多或更少。</x:v>
      </x:c>
      <x:c r="AA89" s="32" t="str">
        <x:v>中</x:v>
      </x:c>
      <x:c r="AB89" s="32" t="str">
        <x:v>待验证</x:v>
      </x:c>
      <x:c r="AC89" s="32" t="str"/>
      <x:c r="AD89" s="32" t="str">
        <x:v>provisional=true; rule_group=CHANNEL_BD10_APPROACH</x:v>
      </x:c>
      <x:c r="AE89" s="32" t="str">
        <x:v>0.5</x:v>
      </x:c>
    </x:row>
    <x:row r="90">
      <x:c r="A90" s="32" t="str">
        <x:v>M3-BOUND-086</x:v>
      </x:c>
      <x:c r="B90" s="32" t="str">
        <x:v>偏印空间与自主｜BD10权限安排</x:v>
      </x:c>
      <x:c r="C90" s="32" t="str">
        <x:v>L1 十神边界通道</x:v>
      </x:c>
      <x:c r="D90" s="32" t="str">
        <x:v>BOUND-十神通道</x:v>
      </x:c>
      <x:c r="E90" s="32" t="str">
        <x:v>通用</x:v>
      </x:c>
      <x:c r="F90" s="32" t="str">
        <x:v>空间与自主</x:v>
      </x:c>
      <x:c r="G90" s="32" t="str">
        <x:v>偏印</x:v>
      </x:c>
      <x:c r="H90" s="32" t="str"/>
      <x:c r="I90" s="32" t="str">
        <x:v>偏印BOUND功能有效，基础十神性质可靠，未被真合化替换。</x:v>
      </x:c>
      <x:c r="J90" s="32" t="str">
        <x:v>基础信号未定；真合化后原信号已失效；只有单一弱远争议信号；或该结论会越界到M4风险、M5适配。</x:v>
      </x:c>
      <x:c r="K90" s="32" t="str">
        <x:v>由共享基础引擎与M3-STATE修正；日主承载、印比支持只修正自主与执行，不直接等于有无边界。</x:v>
      </x:c>
      <x:c r="L90" s="32" t="str">
        <x:v>不限定；夫妻星仅在入宫或形成角色、责任边界时参与接口，不作为BOUND唯一主轴。</x:v>
      </x:c>
      <x:c r="M90" s="32" t="str">
        <x:v>由M3-BASE、日支主气及宫位动态提供。</x:v>
      </x:c>
      <x:c r="N90" s="32" t="str">
        <x:v>无／待BOUND路径规则组合</x:v>
      </x:c>
      <x:c r="O90" s="32" t="str">
        <x:v>日柱与日支近位优先；全局有效独立信号可作次通道。</x:v>
      </x:c>
      <x:c r="P90" s="32" t="str">
        <x:v>由共享基础引擎判定</x:v>
      </x:c>
      <x:c r="Q90" s="32" t="str">
        <x:v>由共享基础引擎判定</x:v>
      </x:c>
      <x:c r="R90" s="32" t="str">
        <x:v>喜忌不直接等于边界好坏；只修正调用顺畅度、资源压力和状态切换。</x:v>
      </x:c>
      <x:c r="S90" s="32" t="str">
        <x:v>原十神性质有效；真合化成立时按化神所属功能系统重建。</x:v>
      </x:c>
      <x:c r="T90" s="32" t="str">
        <x:v>由共享基础引擎判定</x:v>
      </x:c>
      <x:c r="U90" s="32" t="str">
        <x:v>75</x:v>
      </x:c>
      <x:c r="V90" s="32" t="str">
        <x:v>空间／自主候选 +6</x:v>
      </x:c>
      <x:c r="W90" s="32" t="str">
        <x:v>autonomy_pattern</x:v>
      </x:c>
      <x:c r="X90" s="32" t="str">
        <x:v>个人空间和内部处理时间较重要，分享通常更有选择，不等于完全不分享。</x:v>
      </x:c>
      <x:c r="Y90" s="32" t="str">
        <x:v>个人空间和内部处理时间较重要，分享通常更有选择，不等于完全不分享。</x:v>
      </x:c>
      <x:c r="Z90" s="32" t="str">
        <x:v>不得由本规则直接推出回避亲密、依赖失控、控制欲、冷漠、自私、关系破裂、分手离婚、人格或依恋类型；不得把某种边界方式等同于爱得更多或更少。</x:v>
      </x:c>
      <x:c r="AA90" s="32" t="str">
        <x:v>中</x:v>
      </x:c>
      <x:c r="AB90" s="32" t="str">
        <x:v>待验证</x:v>
      </x:c>
      <x:c r="AC90" s="32" t="str"/>
      <x:c r="AD90" s="32" t="str">
        <x:v>provisional=true; rule_group=CHANNEL_BD10_SPACE</x:v>
      </x:c>
      <x:c r="AE90" s="32" t="str">
        <x:v>0.5</x:v>
      </x:c>
    </x:row>
    <x:row r="91">
      <x:c r="A91" s="32" t="str">
        <x:v>M3-BOUND-087</x:v>
      </x:c>
      <x:c r="B91" s="32" t="str">
        <x:v>偏印需求表达｜BD10怎样说明需要</x:v>
      </x:c>
      <x:c r="C91" s="32" t="str">
        <x:v>L1 十神边界通道</x:v>
      </x:c>
      <x:c r="D91" s="32" t="str">
        <x:v>BOUND-十神通道</x:v>
      </x:c>
      <x:c r="E91" s="32" t="str">
        <x:v>通用</x:v>
      </x:c>
      <x:c r="F91" s="32" t="str">
        <x:v>需求表达</x:v>
      </x:c>
      <x:c r="G91" s="32" t="str">
        <x:v>偏印</x:v>
      </x:c>
      <x:c r="H91" s="32" t="str"/>
      <x:c r="I91" s="32" t="str">
        <x:v>偏印BOUND功能有效，基础十神性质可靠，未被真合化替换。</x:v>
      </x:c>
      <x:c r="J91" s="32" t="str">
        <x:v>基础信号未定；真合化后原信号已失效；只有单一弱远争议信号；或该结论会越界到M4风险、M5适配。</x:v>
      </x:c>
      <x:c r="K91" s="32" t="str">
        <x:v>由共享基础引擎与M3-STATE修正；日主承载、印比支持只修正自主与执行，不直接等于有无边界。</x:v>
      </x:c>
      <x:c r="L91" s="32" t="str">
        <x:v>不限定；夫妻星仅在入宫或形成角色、责任边界时参与接口，不作为BOUND唯一主轴。</x:v>
      </x:c>
      <x:c r="M91" s="32" t="str">
        <x:v>由M3-BASE、日支主气及宫位动态提供。</x:v>
      </x:c>
      <x:c r="N91" s="32" t="str">
        <x:v>无／待BOUND路径规则组合</x:v>
      </x:c>
      <x:c r="O91" s="32" t="str">
        <x:v>日柱与日支近位优先；全局有效独立信号可作次通道。</x:v>
      </x:c>
      <x:c r="P91" s="32" t="str">
        <x:v>由共享基础引擎判定</x:v>
      </x:c>
      <x:c r="Q91" s="32" t="str">
        <x:v>由共享基础引擎判定</x:v>
      </x:c>
      <x:c r="R91" s="32" t="str">
        <x:v>喜忌不直接等于边界好坏；只修正调用顺畅度、资源压力和状态切换。</x:v>
      </x:c>
      <x:c r="S91" s="32" t="str">
        <x:v>原十神性质有效；真合化成立时按化神所属功能系统重建。</x:v>
      </x:c>
      <x:c r="T91" s="32" t="str">
        <x:v>由共享基础引擎判定</x:v>
      </x:c>
      <x:c r="U91" s="32" t="str">
        <x:v>74</x:v>
      </x:c>
      <x:c r="V91" s="32" t="str">
        <x:v>需求表达候选 +4</x:v>
      </x:c>
      <x:c r="W91" s="32" t="str">
        <x:v>need_expression</x:v>
      </x:c>
      <x:c r="X91" s="32" t="str">
        <x:v>需求可能先在内部整理，再以较精准、专业或针对核心卡点的方式表达。</x:v>
      </x:c>
      <x:c r="Y91" s="32" t="str">
        <x:v>需求可能先在内部整理，再以较精准、专业或针对核心卡点的方式表达。</x:v>
      </x:c>
      <x:c r="Z91" s="32" t="str">
        <x:v>不得由本规则直接推出回避亲密、依赖失控、控制欲、冷漠、自私、关系破裂、分手离婚、人格或依恋类型；不得把某种边界方式等同于爱得更多或更少。</x:v>
      </x:c>
      <x:c r="AA91" s="32" t="str">
        <x:v>中</x:v>
      </x:c>
      <x:c r="AB91" s="32" t="str">
        <x:v>待验证</x:v>
      </x:c>
      <x:c r="AC91" s="32" t="str"/>
      <x:c r="AD91" s="32" t="str">
        <x:v>provisional=true; rule_group=CHANNEL_BD10_NEED</x:v>
      </x:c>
      <x:c r="AE91" s="32" t="str">
        <x:v>0.5</x:v>
      </x:c>
    </x:row>
    <x:row r="92">
      <x:c r="A92" s="32" t="str">
        <x:v>M3-BOUND-088</x:v>
      </x:c>
      <x:c r="B92" s="32" t="str">
        <x:v>偏印拒绝与暂停｜BD10怎样设限</x:v>
      </x:c>
      <x:c r="C92" s="32" t="str">
        <x:v>L1 十神边界通道</x:v>
      </x:c>
      <x:c r="D92" s="32" t="str">
        <x:v>BOUND-十神通道</x:v>
      </x:c>
      <x:c r="E92" s="32" t="str">
        <x:v>通用</x:v>
      </x:c>
      <x:c r="F92" s="32" t="str">
        <x:v>拒绝／暂停</x:v>
      </x:c>
      <x:c r="G92" s="32" t="str">
        <x:v>偏印</x:v>
      </x:c>
      <x:c r="H92" s="32" t="str"/>
      <x:c r="I92" s="32" t="str">
        <x:v>偏印BOUND功能有效，基础十神性质可靠，未被真合化替换。</x:v>
      </x:c>
      <x:c r="J92" s="32" t="str">
        <x:v>基础信号未定；真合化后原信号已失效；只有单一弱远争议信号；或该结论会越界到M4风险、M5适配。</x:v>
      </x:c>
      <x:c r="K92" s="32" t="str">
        <x:v>由共享基础引擎与M3-STATE修正；日主承载、印比支持只修正自主与执行，不直接等于有无边界。</x:v>
      </x:c>
      <x:c r="L92" s="32" t="str">
        <x:v>不限定；夫妻星仅在入宫或形成角色、责任边界时参与接口，不作为BOUND唯一主轴。</x:v>
      </x:c>
      <x:c r="M92" s="32" t="str">
        <x:v>由M3-BASE、日支主气及宫位动态提供。</x:v>
      </x:c>
      <x:c r="N92" s="32" t="str">
        <x:v>无／待BOUND路径规则组合</x:v>
      </x:c>
      <x:c r="O92" s="32" t="str">
        <x:v>日柱与日支近位优先；全局有效独立信号可作次通道。</x:v>
      </x:c>
      <x:c r="P92" s="32" t="str">
        <x:v>由共享基础引擎判定</x:v>
      </x:c>
      <x:c r="Q92" s="32" t="str">
        <x:v>由共享基础引擎判定</x:v>
      </x:c>
      <x:c r="R92" s="32" t="str">
        <x:v>喜忌不直接等于边界好坏；只修正调用顺畅度、资源压力和状态切换。</x:v>
      </x:c>
      <x:c r="S92" s="32" t="str">
        <x:v>原十神性质有效；真合化成立时按化神所属功能系统重建。</x:v>
      </x:c>
      <x:c r="T92" s="32" t="str">
        <x:v>由共享基础引擎判定</x:v>
      </x:c>
      <x:c r="U92" s="32" t="str">
        <x:v>73</x:v>
      </x:c>
      <x:c r="V92" s="32" t="str">
        <x:v>拒绝／暂停候选 +4</x:v>
      </x:c>
      <x:c r="W92" s="32" t="str">
        <x:v>refusal_style</x:v>
      </x:c>
      <x:c r="X92" s="32" t="str">
        <x:v>不合适时可能先暂停、拉开一点距离或减少信息输入，之后再给出选择性说明。</x:v>
      </x:c>
      <x:c r="Y92" s="32" t="str">
        <x:v>不合适时可能先暂停、拉开一点距离或减少信息输入，之后再给出选择性说明。</x:v>
      </x:c>
      <x:c r="Z92" s="32" t="str">
        <x:v>不得由本规则直接推出回避亲密、依赖失控、控制欲、冷漠、自私、关系破裂、分手离婚、人格或依恋类型；不得把某种边界方式等同于爱得更多或更少。</x:v>
      </x:c>
      <x:c r="AA92" s="32" t="str">
        <x:v>中</x:v>
      </x:c>
      <x:c r="AB92" s="32" t="str">
        <x:v>待验证</x:v>
      </x:c>
      <x:c r="AC92" s="32" t="str"/>
      <x:c r="AD92" s="32" t="str">
        <x:v>provisional=true; rule_group=CHANNEL_BD10_REFUSAL</x:v>
      </x:c>
      <x:c r="AE92" s="32" t="str">
        <x:v>0.5</x:v>
      </x:c>
    </x:row>
    <x:row r="93">
      <x:c r="A93" s="32" t="str">
        <x:v>M3-BOUND-089</x:v>
      </x:c>
      <x:c r="B93" s="32" t="str">
        <x:v>偏印接受照顾｜BD10依托边界</x:v>
      </x:c>
      <x:c r="C93" s="32" t="str">
        <x:v>L1 十神边界通道</x:v>
      </x:c>
      <x:c r="D93" s="32" t="str">
        <x:v>BOUND-十神通道</x:v>
      </x:c>
      <x:c r="E93" s="32" t="str">
        <x:v>通用</x:v>
      </x:c>
      <x:c r="F93" s="32" t="str">
        <x:v>接受支持</x:v>
      </x:c>
      <x:c r="G93" s="32" t="str">
        <x:v>偏印</x:v>
      </x:c>
      <x:c r="H93" s="32" t="str"/>
      <x:c r="I93" s="32" t="str">
        <x:v>偏印BOUND功能有效，基础十神性质可靠，未被真合化替换。</x:v>
      </x:c>
      <x:c r="J93" s="32" t="str">
        <x:v>基础信号未定；真合化后原信号已失效；只有单一弱远争议信号；或该结论会越界到M4风险、M5适配。</x:v>
      </x:c>
      <x:c r="K93" s="32" t="str">
        <x:v>由共享基础引擎与M3-STATE修正；日主承载、印比支持只修正自主与执行，不直接等于有无边界。</x:v>
      </x:c>
      <x:c r="L93" s="32" t="str">
        <x:v>不限定；夫妻星仅在入宫或形成角色、责任边界时参与接口，不作为BOUND唯一主轴。</x:v>
      </x:c>
      <x:c r="M93" s="32" t="str">
        <x:v>由M3-BASE、日支主气及宫位动态提供。</x:v>
      </x:c>
      <x:c r="N93" s="32" t="str">
        <x:v>无／待BOUND路径规则组合</x:v>
      </x:c>
      <x:c r="O93" s="32" t="str">
        <x:v>日柱与日支近位优先；全局有效独立信号可作次通道。</x:v>
      </x:c>
      <x:c r="P93" s="32" t="str">
        <x:v>由共享基础引擎判定</x:v>
      </x:c>
      <x:c r="Q93" s="32" t="str">
        <x:v>由共享基础引擎判定</x:v>
      </x:c>
      <x:c r="R93" s="32" t="str">
        <x:v>喜忌不直接等于边界好坏；只修正调用顺畅度、资源压力和状态切换。</x:v>
      </x:c>
      <x:c r="S93" s="32" t="str">
        <x:v>原十神性质有效；真合化成立时按化神所属功能系统重建。</x:v>
      </x:c>
      <x:c r="T93" s="32" t="str">
        <x:v>由共享基础引擎判定</x:v>
      </x:c>
      <x:c r="U93" s="32" t="str">
        <x:v>72</x:v>
      </x:c>
      <x:c r="V93" s="32" t="str">
        <x:v>接受照顾候选 +4</x:v>
      </x:c>
      <x:c r="W93" s="32" t="str">
        <x:v>support_acceptance_boundary</x:v>
      </x:c>
      <x:c r="X93" s="32" t="str">
        <x:v>更容易接受精准、不侵入、允许独立消化并尊重特殊需要的照顾。</x:v>
      </x:c>
      <x:c r="Y93" s="32" t="str">
        <x:v>更容易接受精准、不侵入、允许独立消化并尊重特殊需要的照顾。</x:v>
      </x:c>
      <x:c r="Z93" s="32" t="str">
        <x:v>不得由本规则直接推出回避亲密、依赖失控、控制欲、冷漠、自私、关系破裂、分手离婚、人格或依恋类型；不得把某种边界方式等同于爱得更多或更少。</x:v>
      </x:c>
      <x:c r="AA93" s="32" t="str">
        <x:v>中</x:v>
      </x:c>
      <x:c r="AB93" s="32" t="str">
        <x:v>待验证</x:v>
      </x:c>
      <x:c r="AC93" s="32" t="str"/>
      <x:c r="AD93" s="32" t="str">
        <x:v>provisional=true; rule_group=CHANNEL_BD10_RECEIVE</x:v>
      </x:c>
      <x:c r="AE93" s="32" t="str">
        <x:v>0.5</x:v>
      </x:c>
    </x:row>
    <x:row r="94">
      <x:c r="A94" s="32" t="str">
        <x:v>M3-BOUND-090</x:v>
      </x:c>
      <x:c r="B94" s="32" t="str">
        <x:v>偏印禁止误读｜BD10边界</x:v>
      </x:c>
      <x:c r="C94" s="32" t="str">
        <x:v>L1 十神边界通道</x:v>
      </x:c>
      <x:c r="D94" s="32" t="str">
        <x:v>BOUND-十神通道</x:v>
      </x:c>
      <x:c r="E94" s="32" t="str">
        <x:v>通用</x:v>
      </x:c>
      <x:c r="F94" s="32" t="str">
        <x:v>禁止推断</x:v>
      </x:c>
      <x:c r="G94" s="32" t="str">
        <x:v>偏印</x:v>
      </x:c>
      <x:c r="H94" s="32" t="str"/>
      <x:c r="I94" s="32" t="str">
        <x:v>偏印BOUND功能有效，基础十神性质可靠，未被真合化替换。</x:v>
      </x:c>
      <x:c r="J94" s="32" t="str">
        <x:v>基础信号未定；真合化后原信号已失效；只有单一弱远争议信号；或该结论会越界到M4风险、M5适配。</x:v>
      </x:c>
      <x:c r="K94" s="32" t="str">
        <x:v>由共享基础引擎与M3-STATE修正；日主承载、印比支持只修正自主与执行，不直接等于有无边界。</x:v>
      </x:c>
      <x:c r="L94" s="32" t="str">
        <x:v>不限定；夫妻星仅在入宫或形成角色、责任边界时参与接口，不作为BOUND唯一主轴。</x:v>
      </x:c>
      <x:c r="M94" s="32" t="str">
        <x:v>由M3-BASE、日支主气及宫位动态提供。</x:v>
      </x:c>
      <x:c r="N94" s="32" t="str">
        <x:v>无／待BOUND路径规则组合</x:v>
      </x:c>
      <x:c r="O94" s="32" t="str">
        <x:v>日柱与日支近位优先；全局有效独立信号可作次通道。</x:v>
      </x:c>
      <x:c r="P94" s="32" t="str">
        <x:v>由共享基础引擎判定</x:v>
      </x:c>
      <x:c r="Q94" s="32" t="str">
        <x:v>由共享基础引擎判定</x:v>
      </x:c>
      <x:c r="R94" s="32" t="str">
        <x:v>喜忌不直接等于边界好坏；只修正调用顺畅度、资源压力和状态切换。</x:v>
      </x:c>
      <x:c r="S94" s="32" t="str">
        <x:v>原十神性质有效；真合化成立时按化神所属功能系统重建。</x:v>
      </x:c>
      <x:c r="T94" s="32" t="str">
        <x:v>由共享基础引擎判定</x:v>
      </x:c>
      <x:c r="U94" s="32" t="str">
        <x:v>96</x:v>
      </x:c>
      <x:c r="V94" s="32" t="str">
        <x:v>不加分；边界检查</x:v>
      </x:c>
      <x:c r="W94" s="32" t="str">
        <x:v>boundary_note</x:v>
      </x:c>
      <x:c r="X94" s="32" t="str">
        <x:v>该通道只说明关系中的边界功能，不等于人格、风险或感情结果。</x:v>
      </x:c>
      <x:c r="Y94" s="32" t="str">
        <x:v>这里描述的是你可能更常使用的边界方式，不代表你只能这样相处，也不代表其他方式一定缺失。</x:v>
      </x:c>
      <x:c r="Z94" s="32" t="str">
        <x:v>不得推出用户冷漠、神秘、回避亲密、精神异常、故意不说或拒绝任何依赖。</x:v>
      </x:c>
      <x:c r="AA94" s="32" t="str">
        <x:v>高</x:v>
      </x:c>
      <x:c r="AB94" s="32" t="str">
        <x:v>待验证</x:v>
      </x:c>
      <x:c r="AC94" s="32" t="str"/>
      <x:c r="AD94" s="32" t="str">
        <x:v>provisional=true; rule_group=CHANNEL_BD10_BAN</x:v>
      </x:c>
      <x:c r="AE94" s="32" t="str">
        <x:v>0.5</x:v>
      </x:c>
    </x:row>
    <x:row r="95">
      <x:c r="A95" s="32" t="str">
        <x:v>M3-BOUND-091</x:v>
      </x:c>
      <x:c r="B95" s="32" t="str">
        <x:v>BQ01 靠近启动方向｜A01 主动靠近</x:v>
      </x:c>
      <x:c r="C95" s="32" t="str">
        <x:v>L2 BOUND过程维度</x:v>
      </x:c>
      <x:c r="D95" s="32" t="str">
        <x:v>BOUND-过程维度</x:v>
      </x:c>
      <x:c r="E95" s="32" t="str">
        <x:v>通用</x:v>
      </x:c>
      <x:c r="F95" s="32" t="str">
        <x:v>维度状态</x:v>
      </x:c>
      <x:c r="G95" s="32" t="str">
        <x:v>BQ01</x:v>
      </x:c>
      <x:c r="H95" s="32" t="str">
        <x:v>A01</x:v>
      </x:c>
      <x:c r="I95" s="32" t="str">
        <x:v>主BOUND信号外显近位，并有自发开启互动的证据。</x:v>
      </x:c>
      <x:c r="J95" s="32" t="str">
        <x:v>基础信号未定；真合化后原信号已失效；只有单一弱远争议信号；或该结论会越界到M4风险、M5适配。</x:v>
      </x:c>
      <x:c r="K95" s="32" t="str">
        <x:v>由共享基础引擎与M3-STATE修正；日主承载、印比支持只修正自主与执行，不直接等于有无边界。</x:v>
      </x:c>
      <x:c r="L95" s="32" t="str">
        <x:v>不限定；夫妻星仅在入宫或形成角色、责任边界时参与接口，不作为BOUND唯一主轴。</x:v>
      </x:c>
      <x:c r="M95" s="32" t="str">
        <x:v>由M3-BASE、日支主气及宫位动态提供。</x:v>
      </x:c>
      <x:c r="N95" s="32" t="str">
        <x:v>无／待BOUND路径规则组合</x:v>
      </x:c>
      <x:c r="O95" s="32" t="str">
        <x:v>日柱与日支近位优先；全局有效独立信号可作次通道。</x:v>
      </x:c>
      <x:c r="P95" s="32" t="str">
        <x:v>由共享基础引擎判定</x:v>
      </x:c>
      <x:c r="Q95" s="32" t="str">
        <x:v>由共享基础引擎判定</x:v>
      </x:c>
      <x:c r="R95" s="32" t="str">
        <x:v>喜忌不直接等于边界好坏；只修正调用顺畅度、资源压力和状态切换。</x:v>
      </x:c>
      <x:c r="S95" s="32" t="str">
        <x:v>原十神性质有效；真合化成立时按化神所属功能系统重建。</x:v>
      </x:c>
      <x:c r="T95" s="32" t="str">
        <x:v>由共享基础引擎判定</x:v>
      </x:c>
      <x:c r="U95" s="32" t="str">
        <x:v>68</x:v>
      </x:c>
      <x:c r="V95" s="32" t="str">
        <x:v>候选 +5</x:v>
      </x:c>
      <x:c r="W95" s="32" t="str">
        <x:v>closeness_rhythm</x:v>
      </x:c>
      <x:c r="X95" s="32" t="str">
        <x:v>用户会较早主动创造靠近机会，但仍需结合后续边界确认。</x:v>
      </x:c>
      <x:c r="Y95" s="32" t="str">
        <x:v>当你确认关系值得投入时，通常会较早主动靠近、提出安排或开启交流。</x:v>
      </x:c>
      <x:c r="Z95" s="32" t="str">
        <x:v>不得由本规则直接推出回避亲密、依赖失控、控制欲、冷漠、自私、关系破裂、分手离婚、人格或依恋类型；不得把某种边界方式等同于爱得更多或更少。</x:v>
      </x:c>
      <x:c r="AA95" s="32" t="str">
        <x:v>中</x:v>
      </x:c>
      <x:c r="AB95" s="32" t="str">
        <x:v>待验证</x:v>
      </x:c>
      <x:c r="AC95" s="32" t="str"/>
      <x:c r="AD95" s="32" t="str">
        <x:v>provisional=true; rule_group=DIM_BQ01_A01</x:v>
      </x:c>
      <x:c r="AE95" s="32" t="str">
        <x:v>0.5</x:v>
      </x:c>
    </x:row>
    <x:row r="96">
      <x:c r="A96" s="32" t="str">
        <x:v>M3-BOUND-092</x:v>
      </x:c>
      <x:c r="B96" s="32" t="str">
        <x:v>BQ01 靠近启动方向｜A02 回应靠近</x:v>
      </x:c>
      <x:c r="C96" s="32" t="str">
        <x:v>L2 BOUND过程维度</x:v>
      </x:c>
      <x:c r="D96" s="32" t="str">
        <x:v>BOUND-过程维度</x:v>
      </x:c>
      <x:c r="E96" s="32" t="str">
        <x:v>通用</x:v>
      </x:c>
      <x:c r="F96" s="32" t="str">
        <x:v>维度状态</x:v>
      </x:c>
      <x:c r="G96" s="32" t="str">
        <x:v>BQ01</x:v>
      </x:c>
      <x:c r="H96" s="32" t="str">
        <x:v>A02</x:v>
      </x:c>
      <x:c r="I96" s="32" t="str">
        <x:v>印、正财、正官或藏支信号明显，靠近依赖稳定回应。</x:v>
      </x:c>
      <x:c r="J96" s="32" t="str">
        <x:v>基础信号未定；真合化后原信号已失效；只有单一弱远争议信号；或该结论会越界到M4风险、M5适配。</x:v>
      </x:c>
      <x:c r="K96" s="32" t="str">
        <x:v>由共享基础引擎与M3-STATE修正；日主承载、印比支持只修正自主与执行，不直接等于有无边界。</x:v>
      </x:c>
      <x:c r="L96" s="32" t="str">
        <x:v>不限定；夫妻星仅在入宫或形成角色、责任边界时参与接口，不作为BOUND唯一主轴。</x:v>
      </x:c>
      <x:c r="M96" s="32" t="str">
        <x:v>由M3-BASE、日支主气及宫位动态提供。</x:v>
      </x:c>
      <x:c r="N96" s="32" t="str">
        <x:v>无／待BOUND路径规则组合</x:v>
      </x:c>
      <x:c r="O96" s="32" t="str">
        <x:v>日柱与日支近位优先；全局有效独立信号可作次通道。</x:v>
      </x:c>
      <x:c r="P96" s="32" t="str">
        <x:v>由共享基础引擎判定</x:v>
      </x:c>
      <x:c r="Q96" s="32" t="str">
        <x:v>由共享基础引擎判定</x:v>
      </x:c>
      <x:c r="R96" s="32" t="str">
        <x:v>喜忌不直接等于边界好坏；只修正调用顺畅度、资源压力和状态切换。</x:v>
      </x:c>
      <x:c r="S96" s="32" t="str">
        <x:v>原十神性质有效；真合化成立时按化神所属功能系统重建。</x:v>
      </x:c>
      <x:c r="T96" s="32" t="str">
        <x:v>由共享基础引擎判定</x:v>
      </x:c>
      <x:c r="U96" s="32" t="str">
        <x:v>68</x:v>
      </x:c>
      <x:c r="V96" s="32" t="str">
        <x:v>候选 +5</x:v>
      </x:c>
      <x:c r="W96" s="32" t="str">
        <x:v>closeness_rhythm</x:v>
      </x:c>
      <x:c r="X96" s="32" t="str">
        <x:v>用户更常在确认对方态度、回应和稳定性后逐步靠近。</x:v>
      </x:c>
      <x:c r="Y96" s="32" t="str">
        <x:v>你更容易在对方持续回应、态度清楚以后，再逐渐增加亲密。</x:v>
      </x:c>
      <x:c r="Z96" s="32" t="str">
        <x:v>不得由本规则直接推出回避亲密、依赖失控、控制欲、冷漠、自私、关系破裂、分手离婚、人格或依恋类型；不得把某种边界方式等同于爱得更多或更少。</x:v>
      </x:c>
      <x:c r="AA96" s="32" t="str">
        <x:v>中</x:v>
      </x:c>
      <x:c r="AB96" s="32" t="str">
        <x:v>待验证</x:v>
      </x:c>
      <x:c r="AC96" s="32" t="str"/>
      <x:c r="AD96" s="32" t="str">
        <x:v>provisional=true; rule_group=DIM_BQ01_A02</x:v>
      </x:c>
      <x:c r="AE96" s="32" t="str">
        <x:v>0.5</x:v>
      </x:c>
    </x:row>
    <x:row r="97">
      <x:c r="A97" s="32" t="str">
        <x:v>M3-BOUND-093</x:v>
      </x:c>
      <x:c r="B97" s="32" t="str">
        <x:v>BQ01 靠近启动方向｜A03 共同活动靠近</x:v>
      </x:c>
      <x:c r="C97" s="32" t="str">
        <x:v>L2 BOUND过程维度</x:v>
      </x:c>
      <x:c r="D97" s="32" t="str">
        <x:v>BOUND-过程维度</x:v>
      </x:c>
      <x:c r="E97" s="32" t="str">
        <x:v>通用</x:v>
      </x:c>
      <x:c r="F97" s="32" t="str">
        <x:v>维度状态</x:v>
      </x:c>
      <x:c r="G97" s="32" t="str">
        <x:v>BQ01</x:v>
      </x:c>
      <x:c r="H97" s="32" t="str">
        <x:v>A03</x:v>
      </x:c>
      <x:c r="I97" s="32" t="str">
        <x:v>比劫、劫财、偏财或共同任务证据成立。</x:v>
      </x:c>
      <x:c r="J97" s="32" t="str">
        <x:v>基础信号未定；真合化后原信号已失效；只有单一弱远争议信号；或该结论会越界到M4风险、M5适配。</x:v>
      </x:c>
      <x:c r="K97" s="32" t="str">
        <x:v>由共享基础引擎与M3-STATE修正；日主承载、印比支持只修正自主与执行，不直接等于有无边界。</x:v>
      </x:c>
      <x:c r="L97" s="32" t="str">
        <x:v>不限定；夫妻星仅在入宫或形成角色、责任边界时参与接口，不作为BOUND唯一主轴。</x:v>
      </x:c>
      <x:c r="M97" s="32" t="str">
        <x:v>由M3-BASE、日支主气及宫位动态提供。</x:v>
      </x:c>
      <x:c r="N97" s="32" t="str">
        <x:v>无／待BOUND路径规则组合</x:v>
      </x:c>
      <x:c r="O97" s="32" t="str">
        <x:v>日柱与日支近位优先；全局有效独立信号可作次通道。</x:v>
      </x:c>
      <x:c r="P97" s="32" t="str">
        <x:v>由共享基础引擎判定</x:v>
      </x:c>
      <x:c r="Q97" s="32" t="str">
        <x:v>由共享基础引擎判定</x:v>
      </x:c>
      <x:c r="R97" s="32" t="str">
        <x:v>喜忌不直接等于边界好坏；只修正调用顺畅度、资源压力和状态切换。</x:v>
      </x:c>
      <x:c r="S97" s="32" t="str">
        <x:v>原十神性质有效；真合化成立时按化神所属功能系统重建。</x:v>
      </x:c>
      <x:c r="T97" s="32" t="str">
        <x:v>由共享基础引擎判定</x:v>
      </x:c>
      <x:c r="U97" s="32" t="str">
        <x:v>68</x:v>
      </x:c>
      <x:c r="V97" s="32" t="str">
        <x:v>候选 +5</x:v>
      </x:c>
      <x:c r="W97" s="32" t="str">
        <x:v>closeness_rhythm</x:v>
      </x:c>
      <x:c r="X97" s="32" t="str">
        <x:v>共同体验和并肩行动是关系距离缩短的主要入口。</x:v>
      </x:c>
      <x:c r="Y97" s="32" t="str">
        <x:v>你更容易在一起做事、共同体验和真实协作中自然靠近。</x:v>
      </x:c>
      <x:c r="Z97" s="32" t="str">
        <x:v>不得由本规则直接推出回避亲密、依赖失控、控制欲、冷漠、自私、关系破裂、分手离婚、人格或依恋类型；不得把某种边界方式等同于爱得更多或更少。</x:v>
      </x:c>
      <x:c r="AA97" s="32" t="str">
        <x:v>中</x:v>
      </x:c>
      <x:c r="AB97" s="32" t="str">
        <x:v>待验证</x:v>
      </x:c>
      <x:c r="AC97" s="32" t="str"/>
      <x:c r="AD97" s="32" t="str">
        <x:v>provisional=true; rule_group=DIM_BQ01_A03</x:v>
      </x:c>
      <x:c r="AE97" s="32" t="str">
        <x:v>0.5</x:v>
      </x:c>
    </x:row>
    <x:row r="98">
      <x:c r="A98" s="32" t="str">
        <x:v>M3-BOUND-094</x:v>
      </x:c>
      <x:c r="B98" s="32" t="str">
        <x:v>BQ01 靠近启动方向｜A04 条件靠近</x:v>
      </x:c>
      <x:c r="C98" s="32" t="str">
        <x:v>L2 BOUND过程维度</x:v>
      </x:c>
      <x:c r="D98" s="32" t="str">
        <x:v>BOUND-过程维度</x:v>
      </x:c>
      <x:c r="E98" s="32" t="str">
        <x:v>通用</x:v>
      </x:c>
      <x:c r="F98" s="32" t="str">
        <x:v>维度状态</x:v>
      </x:c>
      <x:c r="G98" s="32" t="str">
        <x:v>BQ01</x:v>
      </x:c>
      <x:c r="H98" s="32" t="str">
        <x:v>A04</x:v>
      </x:c>
      <x:c r="I98" s="32" t="str">
        <x:v>偏印、正官或门槛信号明显，且需要先确认安全、角色或边界。</x:v>
      </x:c>
      <x:c r="J98" s="32" t="str">
        <x:v>基础信号未定；真合化后原信号已失效；只有单一弱远争议信号；或该结论会越界到M4风险、M5适配。</x:v>
      </x:c>
      <x:c r="K98" s="32" t="str">
        <x:v>由共享基础引擎与M3-STATE修正；日主承载、印比支持只修正自主与执行，不直接等于有无边界。</x:v>
      </x:c>
      <x:c r="L98" s="32" t="str">
        <x:v>不限定；夫妻星仅在入宫或形成角色、责任边界时参与接口，不作为BOUND唯一主轴。</x:v>
      </x:c>
      <x:c r="M98" s="32" t="str">
        <x:v>由M3-BASE、日支主气及宫位动态提供。</x:v>
      </x:c>
      <x:c r="N98" s="32" t="str">
        <x:v>无／待BOUND路径规则组合</x:v>
      </x:c>
      <x:c r="O98" s="32" t="str">
        <x:v>日柱与日支近位优先；全局有效独立信号可作次通道。</x:v>
      </x:c>
      <x:c r="P98" s="32" t="str">
        <x:v>由共享基础引擎判定</x:v>
      </x:c>
      <x:c r="Q98" s="32" t="str">
        <x:v>由共享基础引擎判定</x:v>
      </x:c>
      <x:c r="R98" s="32" t="str">
        <x:v>喜忌不直接等于边界好坏；只修正调用顺畅度、资源压力和状态切换。</x:v>
      </x:c>
      <x:c r="S98" s="32" t="str">
        <x:v>原十神性质有效；真合化成立时按化神所属功能系统重建。</x:v>
      </x:c>
      <x:c r="T98" s="32" t="str">
        <x:v>由共享基础引擎判定</x:v>
      </x:c>
      <x:c r="U98" s="32" t="str">
        <x:v>68</x:v>
      </x:c>
      <x:c r="V98" s="32" t="str">
        <x:v>候选 +5</x:v>
      </x:c>
      <x:c r="W98" s="32" t="str">
        <x:v>closeness_rhythm</x:v>
      </x:c>
      <x:c r="X98" s="32" t="str">
        <x:v>用户先确认关键条件，再允许距离缩短。</x:v>
      </x:c>
      <x:c r="Y98" s="32" t="str">
        <x:v>你并非不愿靠近，而是更需要先确认安全、态度或边界是否清楚。</x:v>
      </x:c>
      <x:c r="Z98" s="32" t="str">
        <x:v>不得由本规则直接推出回避亲密、依赖失控、控制欲、冷漠、自私、关系破裂、分手离婚、人格或依恋类型；不得把某种边界方式等同于爱得更多或更少。</x:v>
      </x:c>
      <x:c r="AA98" s="32" t="str">
        <x:v>中</x:v>
      </x:c>
      <x:c r="AB98" s="32" t="str">
        <x:v>待验证</x:v>
      </x:c>
      <x:c r="AC98" s="32" t="str"/>
      <x:c r="AD98" s="32" t="str">
        <x:v>provisional=true; rule_group=DIM_BQ01_A04</x:v>
      </x:c>
      <x:c r="AE98" s="32" t="str">
        <x:v>0.5</x:v>
      </x:c>
    </x:row>
    <x:row r="99">
      <x:c r="A99" s="32" t="str">
        <x:v>M3-BOUND-095</x:v>
      </x:c>
      <x:c r="B99" s="32" t="str">
        <x:v>BQ02 亲密靠近节奏｜P01 较快明确</x:v>
      </x:c>
      <x:c r="C99" s="32" t="str">
        <x:v>L2 BOUND过程维度</x:v>
      </x:c>
      <x:c r="D99" s="32" t="str">
        <x:v>BOUND-过程维度</x:v>
      </x:c>
      <x:c r="E99" s="32" t="str">
        <x:v>通用</x:v>
      </x:c>
      <x:c r="F99" s="32" t="str">
        <x:v>维度状态</x:v>
      </x:c>
      <x:c r="G99" s="32" t="str">
        <x:v>BQ02</x:v>
      </x:c>
      <x:c r="H99" s="32" t="str">
        <x:v>P01</x:v>
      </x:c>
      <x:c r="I99" s="32" t="str">
        <x:v>主通道外显近位，条件清楚且证据连续。</x:v>
      </x:c>
      <x:c r="J99" s="32" t="str">
        <x:v>基础信号未定；真合化后原信号已失效；只有单一弱远争议信号；或该结论会越界到M4风险、M5适配。</x:v>
      </x:c>
      <x:c r="K99" s="32" t="str">
        <x:v>由共享基础引擎与M3-STATE修正；日主承载、印比支持只修正自主与执行，不直接等于有无边界。</x:v>
      </x:c>
      <x:c r="L99" s="32" t="str">
        <x:v>不限定；夫妻星仅在入宫或形成角色、责任边界时参与接口，不作为BOUND唯一主轴。</x:v>
      </x:c>
      <x:c r="M99" s="32" t="str">
        <x:v>由M3-BASE、日支主气及宫位动态提供。</x:v>
      </x:c>
      <x:c r="N99" s="32" t="str">
        <x:v>无／待BOUND路径规则组合</x:v>
      </x:c>
      <x:c r="O99" s="32" t="str">
        <x:v>日柱与日支近位优先；全局有效独立信号可作次通道。</x:v>
      </x:c>
      <x:c r="P99" s="32" t="str">
        <x:v>由共享基础引擎判定</x:v>
      </x:c>
      <x:c r="Q99" s="32" t="str">
        <x:v>由共享基础引擎判定</x:v>
      </x:c>
      <x:c r="R99" s="32" t="str">
        <x:v>喜忌不直接等于边界好坏；只修正调用顺畅度、资源压力和状态切换。</x:v>
      </x:c>
      <x:c r="S99" s="32" t="str">
        <x:v>原十神性质有效；真合化成立时按化神所属功能系统重建。</x:v>
      </x:c>
      <x:c r="T99" s="32" t="str">
        <x:v>由共享基础引擎判定</x:v>
      </x:c>
      <x:c r="U99" s="32" t="str">
        <x:v>68</x:v>
      </x:c>
      <x:c r="V99" s="32" t="str">
        <x:v>节奏 +6</x:v>
      </x:c>
      <x:c r="W99" s="32" t="str">
        <x:v>closeness_rhythm</x:v>
      </x:c>
      <x:c r="X99" s="32" t="str">
        <x:v>关系靠近可以较快发生，但仍不等于正式承诺或无边界。</x:v>
      </x:c>
      <x:c r="Y99" s="32" t="str">
        <x:v>当关键条件清楚、对方回应一致时，你通常能较快允许关系靠近。</x:v>
      </x:c>
      <x:c r="Z99" s="32" t="str">
        <x:v>不得由本规则直接推出回避亲密、依赖失控、控制欲、冷漠、自私、关系破裂、分手离婚、人格或依恋类型；不得把某种边界方式等同于爱得更多或更少。</x:v>
      </x:c>
      <x:c r="AA99" s="32" t="str">
        <x:v>中</x:v>
      </x:c>
      <x:c r="AB99" s="32" t="str">
        <x:v>待验证</x:v>
      </x:c>
      <x:c r="AC99" s="32" t="str"/>
      <x:c r="AD99" s="32" t="str">
        <x:v>provisional=true; rule_group=DIM_BQ02_P01</x:v>
      </x:c>
      <x:c r="AE99" s="32" t="str">
        <x:v>0.5</x:v>
      </x:c>
    </x:row>
    <x:row r="100">
      <x:c r="A100" s="32" t="str">
        <x:v>M3-BOUND-096</x:v>
      </x:c>
      <x:c r="B100" s="32" t="str">
        <x:v>BQ02 亲密靠近节奏｜P02 渐进熟悉</x:v>
      </x:c>
      <x:c r="C100" s="32" t="str">
        <x:v>L2 BOUND过程维度</x:v>
      </x:c>
      <x:c r="D100" s="32" t="str">
        <x:v>BOUND-过程维度</x:v>
      </x:c>
      <x:c r="E100" s="32" t="str">
        <x:v>通用</x:v>
      </x:c>
      <x:c r="F100" s="32" t="str">
        <x:v>维度状态</x:v>
      </x:c>
      <x:c r="G100" s="32" t="str">
        <x:v>BQ02</x:v>
      </x:c>
      <x:c r="H100" s="32" t="str">
        <x:v>P02</x:v>
      </x:c>
      <x:c r="I100" s="32" t="str">
        <x:v>藏而有根、印食神或重复接触路径成立。</x:v>
      </x:c>
      <x:c r="J100" s="32" t="str">
        <x:v>基础信号未定；真合化后原信号已失效；只有单一弱远争议信号；或该结论会越界到M4风险、M5适配。</x:v>
      </x:c>
      <x:c r="K100" s="32" t="str">
        <x:v>由共享基础引擎与M3-STATE修正；日主承载、印比支持只修正自主与执行，不直接等于有无边界。</x:v>
      </x:c>
      <x:c r="L100" s="32" t="str">
        <x:v>不限定；夫妻星仅在入宫或形成角色、责任边界时参与接口，不作为BOUND唯一主轴。</x:v>
      </x:c>
      <x:c r="M100" s="32" t="str">
        <x:v>由M3-BASE、日支主气及宫位动态提供。</x:v>
      </x:c>
      <x:c r="N100" s="32" t="str">
        <x:v>无／待BOUND路径规则组合</x:v>
      </x:c>
      <x:c r="O100" s="32" t="str">
        <x:v>日柱与日支近位优先；全局有效独立信号可作次通道。</x:v>
      </x:c>
      <x:c r="P100" s="32" t="str">
        <x:v>由共享基础引擎判定</x:v>
      </x:c>
      <x:c r="Q100" s="32" t="str">
        <x:v>由共享基础引擎判定</x:v>
      </x:c>
      <x:c r="R100" s="32" t="str">
        <x:v>喜忌不直接等于边界好坏；只修正调用顺畅度、资源压力和状态切换。</x:v>
      </x:c>
      <x:c r="S100" s="32" t="str">
        <x:v>原十神性质有效；真合化成立时按化神所属功能系统重建。</x:v>
      </x:c>
      <x:c r="T100" s="32" t="str">
        <x:v>由共享基础引擎判定</x:v>
      </x:c>
      <x:c r="U100" s="32" t="str">
        <x:v>68</x:v>
      </x:c>
      <x:c r="V100" s="32" t="str">
        <x:v>节奏 +6</x:v>
      </x:c>
      <x:c r="W100" s="32" t="str">
        <x:v>closeness_rhythm</x:v>
      </x:c>
      <x:c r="X100" s="32" t="str">
        <x:v>亲密通过熟悉、重复回应和日常积累逐步形成。</x:v>
      </x:c>
      <x:c r="Y100" s="32" t="str">
        <x:v>你的亲密感更容易在重复相处和稳定回应中慢慢建立。</x:v>
      </x:c>
      <x:c r="Z100" s="32" t="str">
        <x:v>不得由本规则直接推出回避亲密、依赖失控、控制欲、冷漠、自私、关系破裂、分手离婚、人格或依恋类型；不得把某种边界方式等同于爱得更多或更少。</x:v>
      </x:c>
      <x:c r="AA100" s="32" t="str">
        <x:v>中</x:v>
      </x:c>
      <x:c r="AB100" s="32" t="str">
        <x:v>待验证</x:v>
      </x:c>
      <x:c r="AC100" s="32" t="str"/>
      <x:c r="AD100" s="32" t="str">
        <x:v>provisional=true; rule_group=DIM_BQ02_P02</x:v>
      </x:c>
      <x:c r="AE100" s="32" t="str">
        <x:v>0.5</x:v>
      </x:c>
    </x:row>
    <x:row r="101">
      <x:c r="A101" s="32" t="str">
        <x:v>M3-BOUND-097</x:v>
      </x:c>
      <x:c r="B101" s="32" t="str">
        <x:v>BQ02 亲密靠近节奏｜P03 事件触发</x:v>
      </x:c>
      <x:c r="C101" s="32" t="str">
        <x:v>L2 BOUND过程维度</x:v>
      </x:c>
      <x:c r="D101" s="32" t="str">
        <x:v>BOUND-过程维度</x:v>
      </x:c>
      <x:c r="E101" s="32" t="str">
        <x:v>通用</x:v>
      </x:c>
      <x:c r="F101" s="32" t="str">
        <x:v>维度状态</x:v>
      </x:c>
      <x:c r="G101" s="32" t="str">
        <x:v>BQ02</x:v>
      </x:c>
      <x:c r="H101" s="32" t="str">
        <x:v>P03</x:v>
      </x:c>
      <x:c r="I101" s="32" t="str">
        <x:v>劫财、七杀、偏财或共同任务成为主要入口。</x:v>
      </x:c>
      <x:c r="J101" s="32" t="str">
        <x:v>基础信号未定；真合化后原信号已失效；只有单一弱远争议信号；或该结论会越界到M4风险、M5适配。</x:v>
      </x:c>
      <x:c r="K101" s="32" t="str">
        <x:v>由共享基础引擎与M3-STATE修正；日主承载、印比支持只修正自主与执行，不直接等于有无边界。</x:v>
      </x:c>
      <x:c r="L101" s="32" t="str">
        <x:v>不限定；夫妻星仅在入宫或形成角色、责任边界时参与接口，不作为BOUND唯一主轴。</x:v>
      </x:c>
      <x:c r="M101" s="32" t="str">
        <x:v>由M3-BASE、日支主气及宫位动态提供。</x:v>
      </x:c>
      <x:c r="N101" s="32" t="str">
        <x:v>无／待BOUND路径规则组合</x:v>
      </x:c>
      <x:c r="O101" s="32" t="str">
        <x:v>日柱与日支近位优先；全局有效独立信号可作次通道。</x:v>
      </x:c>
      <x:c r="P101" s="32" t="str">
        <x:v>由共享基础引擎判定</x:v>
      </x:c>
      <x:c r="Q101" s="32" t="str">
        <x:v>由共享基础引擎判定</x:v>
      </x:c>
      <x:c r="R101" s="32" t="str">
        <x:v>喜忌不直接等于边界好坏；只修正调用顺畅度、资源压力和状态切换。</x:v>
      </x:c>
      <x:c r="S101" s="32" t="str">
        <x:v>原十神性质有效；真合化成立时按化神所属功能系统重建。</x:v>
      </x:c>
      <x:c r="T101" s="32" t="str">
        <x:v>由共享基础引擎判定</x:v>
      </x:c>
      <x:c r="U101" s="32" t="str">
        <x:v>68</x:v>
      </x:c>
      <x:c r="V101" s="32" t="str">
        <x:v>候选 +5</x:v>
      </x:c>
      <x:c r="W101" s="32" t="str">
        <x:v>closeness_rhythm</x:v>
      </x:c>
      <x:c r="X101" s="32" t="str">
        <x:v>共同事件或关键行动会突然加快靠近，但长期节奏仍需复核。</x:v>
      </x:c>
      <x:c r="Y101" s="32" t="str">
        <x:v>某次共同经历、关键行动或真实协作，可能明显加快你的靠近。</x:v>
      </x:c>
      <x:c r="Z101" s="32" t="str">
        <x:v>不得由本规则直接推出回避亲密、依赖失控、控制欲、冷漠、自私、关系破裂、分手离婚、人格或依恋类型；不得把某种边界方式等同于爱得更多或更少。</x:v>
      </x:c>
      <x:c r="AA101" s="32" t="str">
        <x:v>中</x:v>
      </x:c>
      <x:c r="AB101" s="32" t="str">
        <x:v>待验证</x:v>
      </x:c>
      <x:c r="AC101" s="32" t="str"/>
      <x:c r="AD101" s="32" t="str">
        <x:v>provisional=true; rule_group=DIM_BQ02_P03</x:v>
      </x:c>
      <x:c r="AE101" s="32" t="str">
        <x:v>0.5</x:v>
      </x:c>
    </x:row>
    <x:row r="102">
      <x:c r="A102" s="32" t="str">
        <x:v>M3-BOUND-098</x:v>
      </x:c>
      <x:c r="B102" s="32" t="str">
        <x:v>BQ02 亲密靠近节奏｜P04 节奏未定</x:v>
      </x:c>
      <x:c r="C102" s="32" t="str">
        <x:v>L2 BOUND过程维度</x:v>
      </x:c>
      <x:c r="D102" s="32" t="str">
        <x:v>BOUND-过程维度</x:v>
      </x:c>
      <x:c r="E102" s="32" t="str">
        <x:v>通用</x:v>
      </x:c>
      <x:c r="F102" s="32" t="str">
        <x:v>维度状态</x:v>
      </x:c>
      <x:c r="G102" s="32" t="str">
        <x:v>BQ02</x:v>
      </x:c>
      <x:c r="H102" s="32" t="str">
        <x:v>P04</x:v>
      </x:c>
      <x:c r="I102" s="32" t="str">
        <x:v>弱远无根、合化争议或多通道无主次。</x:v>
      </x:c>
      <x:c r="J102" s="32" t="str">
        <x:v>基础信号未定；真合化后原信号已失效；只有单一弱远争议信号；或该结论会越界到M4风险、M5适配。</x:v>
      </x:c>
      <x:c r="K102" s="32" t="str">
        <x:v>由共享基础引擎与M3-STATE修正；日主承载、印比支持只修正自主与执行，不直接等于有无边界。</x:v>
      </x:c>
      <x:c r="L102" s="32" t="str">
        <x:v>不限定；夫妻星仅在入宫或形成角色、责任边界时参与接口，不作为BOUND唯一主轴。</x:v>
      </x:c>
      <x:c r="M102" s="32" t="str">
        <x:v>由M3-BASE、日支主气及宫位动态提供。</x:v>
      </x:c>
      <x:c r="N102" s="32" t="str">
        <x:v>无／待BOUND路径规则组合</x:v>
      </x:c>
      <x:c r="O102" s="32" t="str">
        <x:v>日柱与日支近位优先；全局有效独立信号可作次通道。</x:v>
      </x:c>
      <x:c r="P102" s="32" t="str">
        <x:v>由共享基础引擎判定</x:v>
      </x:c>
      <x:c r="Q102" s="32" t="str">
        <x:v>由共享基础引擎判定</x:v>
      </x:c>
      <x:c r="R102" s="32" t="str">
        <x:v>喜忌不直接等于边界好坏；只修正调用顺畅度、资源压力和状态切换。</x:v>
      </x:c>
      <x:c r="S102" s="32" t="str">
        <x:v>原十神性质有效；真合化成立时按化神所属功能系统重建。</x:v>
      </x:c>
      <x:c r="T102" s="32" t="str">
        <x:v>由共享基础引擎判定</x:v>
      </x:c>
      <x:c r="U102" s="32" t="str">
        <x:v>68</x:v>
      </x:c>
      <x:c r="V102" s="32" t="str">
        <x:v>不加分；降置信</x:v>
      </x:c>
      <x:c r="W102" s="32" t="str">
        <x:v>closeness_rhythm</x:v>
      </x:c>
      <x:c r="X102" s="32" t="str">
        <x:v>不能固定靠近速度，只能说明会随情境变化。</x:v>
      </x:c>
      <x:c r="Y102" s="32" t="str">
        <x:v>目前只能判断你的靠近速度会随对象和情境变化，不宜写成固定快慢。</x:v>
      </x:c>
      <x:c r="Z102" s="32" t="str">
        <x:v>不得由本规则直接推出回避亲密、依赖失控、控制欲、冷漠、自私、关系破裂、分手离婚、人格或依恋类型；不得把某种边界方式等同于爱得更多或更少。</x:v>
      </x:c>
      <x:c r="AA102" s="32" t="str">
        <x:v>中</x:v>
      </x:c>
      <x:c r="AB102" s="32" t="str">
        <x:v>待验证</x:v>
      </x:c>
      <x:c r="AC102" s="32" t="str"/>
      <x:c r="AD102" s="32" t="str">
        <x:v>provisional=true; rule_group=DIM_BQ02_P04</x:v>
      </x:c>
      <x:c r="AE102" s="32" t="str">
        <x:v>0.5</x:v>
      </x:c>
    </x:row>
    <x:row r="103">
      <x:c r="A103" s="32" t="str">
        <x:v>M3-BOUND-099</x:v>
      </x:c>
      <x:c r="B103" s="32" t="str">
        <x:v>BQ03 个人空间需要｜S01 稳定个人空间</x:v>
      </x:c>
      <x:c r="C103" s="32" t="str">
        <x:v>L2 BOUND过程维度</x:v>
      </x:c>
      <x:c r="D103" s="32" t="str">
        <x:v>BOUND-过程维度</x:v>
      </x:c>
      <x:c r="E103" s="32" t="str">
        <x:v>通用</x:v>
      </x:c>
      <x:c r="F103" s="32" t="str">
        <x:v>维度状态</x:v>
      </x:c>
      <x:c r="G103" s="32" t="str">
        <x:v>BQ03</x:v>
      </x:c>
      <x:c r="H103" s="32" t="str">
        <x:v>S01</x:v>
      </x:c>
      <x:c r="I103" s="32" t="str">
        <x:v>比肩、偏印或近位自主信号可靠。</x:v>
      </x:c>
      <x:c r="J103" s="32" t="str">
        <x:v>基础信号未定；真合化后原信号已失效；只有单一弱远争议信号；或该结论会越界到M4风险、M5适配。</x:v>
      </x:c>
      <x:c r="K103" s="32" t="str">
        <x:v>由共享基础引擎与M3-STATE修正；日主承载、印比支持只修正自主与执行，不直接等于有无边界。</x:v>
      </x:c>
      <x:c r="L103" s="32" t="str">
        <x:v>不限定；夫妻星仅在入宫或形成角色、责任边界时参与接口，不作为BOUND唯一主轴。</x:v>
      </x:c>
      <x:c r="M103" s="32" t="str">
        <x:v>由M3-BASE、日支主气及宫位动态提供。</x:v>
      </x:c>
      <x:c r="N103" s="32" t="str">
        <x:v>无／待BOUND路径规则组合</x:v>
      </x:c>
      <x:c r="O103" s="32" t="str">
        <x:v>日柱与日支近位优先；全局有效独立信号可作次通道。</x:v>
      </x:c>
      <x:c r="P103" s="32" t="str">
        <x:v>由共享基础引擎判定</x:v>
      </x:c>
      <x:c r="Q103" s="32" t="str">
        <x:v>由共享基础引擎判定</x:v>
      </x:c>
      <x:c r="R103" s="32" t="str">
        <x:v>喜忌不直接等于边界好坏；只修正调用顺畅度、资源压力和状态切换。</x:v>
      </x:c>
      <x:c r="S103" s="32" t="str">
        <x:v>原十神性质有效；真合化成立时按化神所属功能系统重建。</x:v>
      </x:c>
      <x:c r="T103" s="32" t="str">
        <x:v>由共享基础引擎判定</x:v>
      </x:c>
      <x:c r="U103" s="32" t="str">
        <x:v>68</x:v>
      </x:c>
      <x:c r="V103" s="32" t="str">
        <x:v>空间 +6</x:v>
      </x:c>
      <x:c r="W103" s="32" t="str">
        <x:v>space_need</x:v>
      </x:c>
      <x:c r="X103" s="32" t="str">
        <x:v>用户通常需要稳定的独处、个人事务或独立决定区。</x:v>
      </x:c>
      <x:c r="Y103" s="32" t="str">
        <x:v>即使关系稳定，你仍需要保留一部分固定的个人时间、思考或决定空间。</x:v>
      </x:c>
      <x:c r="Z103" s="32" t="str">
        <x:v>不得由本规则直接推出回避亲密、依赖失控、控制欲、冷漠、自私、关系破裂、分手离婚、人格或依恋类型；不得把某种边界方式等同于爱得更多或更少。</x:v>
      </x:c>
      <x:c r="AA103" s="32" t="str">
        <x:v>中</x:v>
      </x:c>
      <x:c r="AB103" s="32" t="str">
        <x:v>待验证</x:v>
      </x:c>
      <x:c r="AC103" s="32" t="str"/>
      <x:c r="AD103" s="32" t="str">
        <x:v>provisional=true; rule_group=DIM_BQ03_S01</x:v>
      </x:c>
      <x:c r="AE103" s="32" t="str">
        <x:v>0.5</x:v>
      </x:c>
    </x:row>
    <x:row r="104">
      <x:c r="A104" s="32" t="str">
        <x:v>M3-BOUND-100</x:v>
      </x:c>
      <x:c r="B104" s="32" t="str">
        <x:v>BQ03 个人空间需要｜S02 弹性个人空间</x:v>
      </x:c>
      <x:c r="C104" s="32" t="str">
        <x:v>L2 BOUND过程维度</x:v>
      </x:c>
      <x:c r="D104" s="32" t="str">
        <x:v>BOUND-过程维度</x:v>
      </x:c>
      <x:c r="E104" s="32" t="str">
        <x:v>通用</x:v>
      </x:c>
      <x:c r="F104" s="32" t="str">
        <x:v>维度状态</x:v>
      </x:c>
      <x:c r="G104" s="32" t="str">
        <x:v>BQ03</x:v>
      </x:c>
      <x:c r="H104" s="32" t="str">
        <x:v>S02</x:v>
      </x:c>
      <x:c r="I104" s="32" t="str">
        <x:v>偏财、劫财或多场景调整证据成立。</x:v>
      </x:c>
      <x:c r="J104" s="32" t="str">
        <x:v>基础信号未定；真合化后原信号已失效；只有单一弱远争议信号；或该结论会越界到M4风险、M5适配。</x:v>
      </x:c>
      <x:c r="K104" s="32" t="str">
        <x:v>由共享基础引擎与M3-STATE修正；日主承载、印比支持只修正自主与执行，不直接等于有无边界。</x:v>
      </x:c>
      <x:c r="L104" s="32" t="str">
        <x:v>不限定；夫妻星仅在入宫或形成角色、责任边界时参与接口，不作为BOUND唯一主轴。</x:v>
      </x:c>
      <x:c r="M104" s="32" t="str">
        <x:v>由M3-BASE、日支主气及宫位动态提供。</x:v>
      </x:c>
      <x:c r="N104" s="32" t="str">
        <x:v>无／待BOUND路径规则组合</x:v>
      </x:c>
      <x:c r="O104" s="32" t="str">
        <x:v>日柱与日支近位优先；全局有效独立信号可作次通道。</x:v>
      </x:c>
      <x:c r="P104" s="32" t="str">
        <x:v>由共享基础引擎判定</x:v>
      </x:c>
      <x:c r="Q104" s="32" t="str">
        <x:v>由共享基础引擎判定</x:v>
      </x:c>
      <x:c r="R104" s="32" t="str">
        <x:v>喜忌不直接等于边界好坏；只修正调用顺畅度、资源压力和状态切换。</x:v>
      </x:c>
      <x:c r="S104" s="32" t="str">
        <x:v>原十神性质有效；真合化成立时按化神所属功能系统重建。</x:v>
      </x:c>
      <x:c r="T104" s="32" t="str">
        <x:v>由共享基础引擎判定</x:v>
      </x:c>
      <x:c r="U104" s="32" t="str">
        <x:v>68</x:v>
      </x:c>
      <x:c r="V104" s="32" t="str">
        <x:v>空间 +5</x:v>
      </x:c>
      <x:c r="W104" s="32" t="str">
        <x:v>space_need</x:v>
      </x:c>
      <x:c r="X104" s="32" t="str">
        <x:v>空间根据任务、社交和关系状态灵活变化。</x:v>
      </x:c>
      <x:c r="Y104" s="32" t="str">
        <x:v>你的空间需求更有弹性，会随着现实安排和双方状态调整。</x:v>
      </x:c>
      <x:c r="Z104" s="32" t="str">
        <x:v>不得由本规则直接推出回避亲密、依赖失控、控制欲、冷漠、自私、关系破裂、分手离婚、人格或依恋类型；不得把某种边界方式等同于爱得更多或更少。</x:v>
      </x:c>
      <x:c r="AA104" s="32" t="str">
        <x:v>中</x:v>
      </x:c>
      <x:c r="AB104" s="32" t="str">
        <x:v>待验证</x:v>
      </x:c>
      <x:c r="AC104" s="32" t="str"/>
      <x:c r="AD104" s="32" t="str">
        <x:v>provisional=true; rule_group=DIM_BQ03_S02</x:v>
      </x:c>
      <x:c r="AE104" s="32" t="str">
        <x:v>0.5</x:v>
      </x:c>
    </x:row>
    <x:row r="105">
      <x:c r="A105" s="32" t="str">
        <x:v>M3-BOUND-101</x:v>
      </x:c>
      <x:c r="B105" s="32" t="str">
        <x:v>BQ03 个人空间需要｜S03 共享优先</x:v>
      </x:c>
      <x:c r="C105" s="32" t="str">
        <x:v>L2 BOUND过程维度</x:v>
      </x:c>
      <x:c r="D105" s="32" t="str">
        <x:v>BOUND-过程维度</x:v>
      </x:c>
      <x:c r="E105" s="32" t="str">
        <x:v>通用</x:v>
      </x:c>
      <x:c r="F105" s="32" t="str">
        <x:v>维度状态</x:v>
      </x:c>
      <x:c r="G105" s="32" t="str">
        <x:v>BQ03</x:v>
      </x:c>
      <x:c r="H105" s="32" t="str">
        <x:v>S03</x:v>
      </x:c>
      <x:c r="I105" s="32" t="str">
        <x:v>正印、食神、正财或合的共享信号明显，且自主信号不弱。</x:v>
      </x:c>
      <x:c r="J105" s="32" t="str">
        <x:v>基础信号未定；真合化后原信号已失效；只有单一弱远争议信号；或该结论会越界到M4风险、M5适配。</x:v>
      </x:c>
      <x:c r="K105" s="32" t="str">
        <x:v>由共享基础引擎与M3-STATE修正；日主承载、印比支持只修正自主与执行，不直接等于有无边界。</x:v>
      </x:c>
      <x:c r="L105" s="32" t="str">
        <x:v>不限定；夫妻星仅在入宫或形成角色、责任边界时参与接口，不作为BOUND唯一主轴。</x:v>
      </x:c>
      <x:c r="M105" s="32" t="str">
        <x:v>由M3-BASE、日支主气及宫位动态提供。</x:v>
      </x:c>
      <x:c r="N105" s="32" t="str">
        <x:v>无／待BOUND路径规则组合</x:v>
      </x:c>
      <x:c r="O105" s="32" t="str">
        <x:v>日柱与日支近位优先；全局有效独立信号可作次通道。</x:v>
      </x:c>
      <x:c r="P105" s="32" t="str">
        <x:v>由共享基础引擎判定</x:v>
      </x:c>
      <x:c r="Q105" s="32" t="str">
        <x:v>由共享基础引擎判定</x:v>
      </x:c>
      <x:c r="R105" s="32" t="str">
        <x:v>喜忌不直接等于边界好坏；只修正调用顺畅度、资源压力和状态切换。</x:v>
      </x:c>
      <x:c r="S105" s="32" t="str">
        <x:v>原十神性质有效；真合化成立时按化神所属功能系统重建。</x:v>
      </x:c>
      <x:c r="T105" s="32" t="str">
        <x:v>由共享基础引擎判定</x:v>
      </x:c>
      <x:c r="U105" s="32" t="str">
        <x:v>68</x:v>
      </x:c>
      <x:c r="V105" s="32" t="str">
        <x:v>空间 +5</x:v>
      </x:c>
      <x:c r="W105" s="32" t="str">
        <x:v>space_need</x:v>
      </x:c>
      <x:c r="X105" s="32" t="str">
        <x:v>用户愿意较多共享日常和情绪，但仍需确认自主通道。</x:v>
      </x:c>
      <x:c r="Y105" s="32" t="str">
        <x:v>你通常愿意把较多日常和感受放进关系里，同时仍会保留必要的个人决定。</x:v>
      </x:c>
      <x:c r="Z105" s="32" t="str">
        <x:v>不得由本规则直接推出回避亲密、依赖失控、控制欲、冷漠、自私、关系破裂、分手离婚、人格或依恋类型；不得把某种边界方式等同于爱得更多或更少。</x:v>
      </x:c>
      <x:c r="AA105" s="32" t="str">
        <x:v>中</x:v>
      </x:c>
      <x:c r="AB105" s="32" t="str">
        <x:v>待验证</x:v>
      </x:c>
      <x:c r="AC105" s="32" t="str"/>
      <x:c r="AD105" s="32" t="str">
        <x:v>provisional=true; rule_group=DIM_BQ03_S03</x:v>
      </x:c>
      <x:c r="AE105" s="32" t="str">
        <x:v>0.5</x:v>
      </x:c>
    </x:row>
    <x:row r="106">
      <x:c r="A106" s="32" t="str">
        <x:v>M3-BOUND-102</x:v>
      </x:c>
      <x:c r="B106" s="32" t="str">
        <x:v>BQ03 个人空间需要｜S04 空间状态未定</x:v>
      </x:c>
      <x:c r="C106" s="32" t="str">
        <x:v>L2 BOUND过程维度</x:v>
      </x:c>
      <x:c r="D106" s="32" t="str">
        <x:v>BOUND-过程维度</x:v>
      </x:c>
      <x:c r="E106" s="32" t="str">
        <x:v>通用</x:v>
      </x:c>
      <x:c r="F106" s="32" t="str">
        <x:v>维度状态</x:v>
      </x:c>
      <x:c r="G106" s="32" t="str">
        <x:v>BQ03</x:v>
      </x:c>
      <x:c r="H106" s="32" t="str">
        <x:v>S04</x:v>
      </x:c>
      <x:c r="I106" s="32" t="str">
        <x:v>基础状态争议或空间与共享信号同源冲突。</x:v>
      </x:c>
      <x:c r="J106" s="32" t="str">
        <x:v>基础信号未定；真合化后原信号已失效；只有单一弱远争议信号；或该结论会越界到M4风险、M5适配。</x:v>
      </x:c>
      <x:c r="K106" s="32" t="str">
        <x:v>由共享基础引擎与M3-STATE修正；日主承载、印比支持只修正自主与执行，不直接等于有无边界。</x:v>
      </x:c>
      <x:c r="L106" s="32" t="str">
        <x:v>不限定；夫妻星仅在入宫或形成角色、责任边界时参与接口，不作为BOUND唯一主轴。</x:v>
      </x:c>
      <x:c r="M106" s="32" t="str">
        <x:v>由M3-BASE、日支主气及宫位动态提供。</x:v>
      </x:c>
      <x:c r="N106" s="32" t="str">
        <x:v>无／待BOUND路径规则组合</x:v>
      </x:c>
      <x:c r="O106" s="32" t="str">
        <x:v>日柱与日支近位优先；全局有效独立信号可作次通道。</x:v>
      </x:c>
      <x:c r="P106" s="32" t="str">
        <x:v>由共享基础引擎判定</x:v>
      </x:c>
      <x:c r="Q106" s="32" t="str">
        <x:v>由共享基础引擎判定</x:v>
      </x:c>
      <x:c r="R106" s="32" t="str">
        <x:v>喜忌不直接等于边界好坏；只修正调用顺畅度、资源压力和状态切换。</x:v>
      </x:c>
      <x:c r="S106" s="32" t="str">
        <x:v>原十神性质有效；真合化成立时按化神所属功能系统重建。</x:v>
      </x:c>
      <x:c r="T106" s="32" t="str">
        <x:v>由共享基础引擎判定</x:v>
      </x:c>
      <x:c r="U106" s="32" t="str">
        <x:v>68</x:v>
      </x:c>
      <x:c r="V106" s="32" t="str">
        <x:v>不加分；降置信</x:v>
      </x:c>
      <x:c r="W106" s="32" t="str">
        <x:v>space_need</x:v>
      </x:c>
      <x:c r="X106" s="32" t="str">
        <x:v>不能由单一信号判断空间多寡。</x:v>
      </x:c>
      <x:c r="Y106" s="32" t="str">
        <x:v>目前只能确认你既有靠近需求，也可能需要独处整理，具体比例要看真实相处。</x:v>
      </x:c>
      <x:c r="Z106" s="32" t="str">
        <x:v>不得由本规则直接推出回避亲密、依赖失控、控制欲、冷漠、自私、关系破裂、分手离婚、人格或依恋类型；不得把某种边界方式等同于爱得更多或更少。</x:v>
      </x:c>
      <x:c r="AA106" s="32" t="str">
        <x:v>中</x:v>
      </x:c>
      <x:c r="AB106" s="32" t="str">
        <x:v>待验证</x:v>
      </x:c>
      <x:c r="AC106" s="32" t="str"/>
      <x:c r="AD106" s="32" t="str">
        <x:v>provisional=true; rule_group=DIM_BQ03_S04</x:v>
      </x:c>
      <x:c r="AE106" s="32" t="str">
        <x:v>0.5</x:v>
      </x:c>
    </x:row>
    <x:row r="107">
      <x:c r="A107" s="32" t="str">
        <x:v>M3-BOUND-103</x:v>
      </x:c>
      <x:c r="B107" s="32" t="str">
        <x:v>BQ04 自主与共同决定｜D01 自主保留</x:v>
      </x:c>
      <x:c r="C107" s="32" t="str">
        <x:v>L2 BOUND过程维度</x:v>
      </x:c>
      <x:c r="D107" s="32" t="str">
        <x:v>BOUND-过程维度</x:v>
      </x:c>
      <x:c r="E107" s="32" t="str">
        <x:v>通用</x:v>
      </x:c>
      <x:c r="F107" s="32" t="str">
        <x:v>维度状态</x:v>
      </x:c>
      <x:c r="G107" s="32" t="str">
        <x:v>BQ04</x:v>
      </x:c>
      <x:c r="H107" s="32" t="str">
        <x:v>D01</x:v>
      </x:c>
      <x:c r="I107" s="32" t="str">
        <x:v>比肩、偏印或日主承载明显，且有实际独立决定证据。</x:v>
      </x:c>
      <x:c r="J107" s="32" t="str">
        <x:v>基础信号未定；真合化后原信号已失效；只有单一弱远争议信号；或该结论会越界到M4风险、M5适配。</x:v>
      </x:c>
      <x:c r="K107" s="32" t="str">
        <x:v>由共享基础引擎与M3-STATE修正；日主承载、印比支持只修正自主与执行，不直接等于有无边界。</x:v>
      </x:c>
      <x:c r="L107" s="32" t="str">
        <x:v>不限定；夫妻星仅在入宫或形成角色、责任边界时参与接口，不作为BOUND唯一主轴。</x:v>
      </x:c>
      <x:c r="M107" s="32" t="str">
        <x:v>由M3-BASE、日支主气及宫位动态提供。</x:v>
      </x:c>
      <x:c r="N107" s="32" t="str">
        <x:v>无／待BOUND路径规则组合</x:v>
      </x:c>
      <x:c r="O107" s="32" t="str">
        <x:v>日柱与日支近位优先；全局有效独立信号可作次通道。</x:v>
      </x:c>
      <x:c r="P107" s="32" t="str">
        <x:v>由共享基础引擎判定</x:v>
      </x:c>
      <x:c r="Q107" s="32" t="str">
        <x:v>由共享基础引擎判定</x:v>
      </x:c>
      <x:c r="R107" s="32" t="str">
        <x:v>喜忌不直接等于边界好坏；只修正调用顺畅度、资源压力和状态切换。</x:v>
      </x:c>
      <x:c r="S107" s="32" t="str">
        <x:v>原十神性质有效；真合化成立时按化神所属功能系统重建。</x:v>
      </x:c>
      <x:c r="T107" s="32" t="str">
        <x:v>由共享基础引擎判定</x:v>
      </x:c>
      <x:c r="U107" s="32" t="str">
        <x:v>68</x:v>
      </x:c>
      <x:c r="V107" s="32" t="str">
        <x:v>自主 +6</x:v>
      </x:c>
      <x:c r="W107" s="32" t="str">
        <x:v>autonomy_pattern</x:v>
      </x:c>
      <x:c r="X107" s="32" t="str">
        <x:v>核心决定通常先保留个人判断，再决定哪些进入共同协商。</x:v>
      </x:c>
      <x:c r="Y107" s="32" t="str">
        <x:v>重要事情上，你通常会先形成自己的判断，再决定怎样与对方商量。</x:v>
      </x:c>
      <x:c r="Z107" s="32" t="str">
        <x:v>不得由本规则直接推出回避亲密、依赖失控、控制欲、冷漠、自私、关系破裂、分手离婚、人格或依恋类型；不得把某种边界方式等同于爱得更多或更少。</x:v>
      </x:c>
      <x:c r="AA107" s="32" t="str">
        <x:v>中</x:v>
      </x:c>
      <x:c r="AB107" s="32" t="str">
        <x:v>待验证</x:v>
      </x:c>
      <x:c r="AC107" s="32" t="str"/>
      <x:c r="AD107" s="32" t="str">
        <x:v>provisional=true; rule_group=DIM_BQ04_D01</x:v>
      </x:c>
      <x:c r="AE107" s="32" t="str">
        <x:v>0.5</x:v>
      </x:c>
    </x:row>
    <x:row r="108">
      <x:c r="A108" s="32" t="str">
        <x:v>M3-BOUND-104</x:v>
      </x:c>
      <x:c r="B108" s="32" t="str">
        <x:v>BQ04 自主与共同决定｜D02 双方协商</x:v>
      </x:c>
      <x:c r="C108" s="32" t="str">
        <x:v>L2 BOUND过程维度</x:v>
      </x:c>
      <x:c r="D108" s="32" t="str">
        <x:v>BOUND-过程维度</x:v>
      </x:c>
      <x:c r="E108" s="32" t="str">
        <x:v>通用</x:v>
      </x:c>
      <x:c r="F108" s="32" t="str">
        <x:v>维度状态</x:v>
      </x:c>
      <x:c r="G108" s="32" t="str">
        <x:v>BQ04</x:v>
      </x:c>
      <x:c r="H108" s="32" t="str">
        <x:v>D02</x:v>
      </x:c>
      <x:c r="I108" s="32" t="str">
        <x:v>比肩、伤官、正官或双向沟通证据成立。</x:v>
      </x:c>
      <x:c r="J108" s="32" t="str">
        <x:v>基础信号未定；真合化后原信号已失效；只有单一弱远争议信号；或该结论会越界到M4风险、M5适配。</x:v>
      </x:c>
      <x:c r="K108" s="32" t="str">
        <x:v>由共享基础引擎与M3-STATE修正；日主承载、印比支持只修正自主与执行，不直接等于有无边界。</x:v>
      </x:c>
      <x:c r="L108" s="32" t="str">
        <x:v>不限定；夫妻星仅在入宫或形成角色、责任边界时参与接口，不作为BOUND唯一主轴。</x:v>
      </x:c>
      <x:c r="M108" s="32" t="str">
        <x:v>由M3-BASE、日支主气及宫位动态提供。</x:v>
      </x:c>
      <x:c r="N108" s="32" t="str">
        <x:v>无／待BOUND路径规则组合</x:v>
      </x:c>
      <x:c r="O108" s="32" t="str">
        <x:v>日柱与日支近位优先；全局有效独立信号可作次通道。</x:v>
      </x:c>
      <x:c r="P108" s="32" t="str">
        <x:v>由共享基础引擎判定</x:v>
      </x:c>
      <x:c r="Q108" s="32" t="str">
        <x:v>由共享基础引擎判定</x:v>
      </x:c>
      <x:c r="R108" s="32" t="str">
        <x:v>喜忌不直接等于边界好坏；只修正调用顺畅度、资源压力和状态切换。</x:v>
      </x:c>
      <x:c r="S108" s="32" t="str">
        <x:v>原十神性质有效；真合化成立时按化神所属功能系统重建。</x:v>
      </x:c>
      <x:c r="T108" s="32" t="str">
        <x:v>由共享基础引擎判定</x:v>
      </x:c>
      <x:c r="U108" s="32" t="str">
        <x:v>68</x:v>
      </x:c>
      <x:c r="V108" s="32" t="str">
        <x:v>自主 +6</x:v>
      </x:c>
      <x:c r="W108" s="32" t="str">
        <x:v>autonomy_pattern</x:v>
      </x:c>
      <x:c r="X108" s="32" t="str">
        <x:v>决定权在双方信息和回应中共同形成。</x:v>
      </x:c>
      <x:c r="Y108" s="32" t="str">
        <x:v>你更习惯把重要安排拿到双方之间讨论，再共同形成决定。</x:v>
      </x:c>
      <x:c r="Z108" s="32" t="str">
        <x:v>不得由本规则直接推出回避亲密、依赖失控、控制欲、冷漠、自私、关系破裂、分手离婚、人格或依恋类型；不得把某种边界方式等同于爱得更多或更少。</x:v>
      </x:c>
      <x:c r="AA108" s="32" t="str">
        <x:v>中</x:v>
      </x:c>
      <x:c r="AB108" s="32" t="str">
        <x:v>待验证</x:v>
      </x:c>
      <x:c r="AC108" s="32" t="str"/>
      <x:c r="AD108" s="32" t="str">
        <x:v>provisional=true; rule_group=DIM_BQ04_D02</x:v>
      </x:c>
      <x:c r="AE108" s="32" t="str">
        <x:v>0.5</x:v>
      </x:c>
    </x:row>
    <x:row r="109">
      <x:c r="A109" s="32" t="str">
        <x:v>M3-BOUND-105</x:v>
      </x:c>
      <x:c r="B109" s="32" t="str">
        <x:v>BQ04 自主与共同决定｜D03 角色分工</x:v>
      </x:c>
      <x:c r="C109" s="32" t="str">
        <x:v>L2 BOUND过程维度</x:v>
      </x:c>
      <x:c r="D109" s="32" t="str">
        <x:v>BOUND-过程维度</x:v>
      </x:c>
      <x:c r="E109" s="32" t="str">
        <x:v>通用</x:v>
      </x:c>
      <x:c r="F109" s="32" t="str">
        <x:v>维度状态</x:v>
      </x:c>
      <x:c r="G109" s="32" t="str">
        <x:v>BQ04</x:v>
      </x:c>
      <x:c r="H109" s="32" t="str">
        <x:v>D03</x:v>
      </x:c>
      <x:c r="I109" s="32" t="str">
        <x:v>正财、正官或现实分工证据成立。</x:v>
      </x:c>
      <x:c r="J109" s="32" t="str">
        <x:v>基础信号未定；真合化后原信号已失效；只有单一弱远争议信号；或该结论会越界到M4风险、M5适配。</x:v>
      </x:c>
      <x:c r="K109" s="32" t="str">
        <x:v>由共享基础引擎与M3-STATE修正；日主承载、印比支持只修正自主与执行，不直接等于有无边界。</x:v>
      </x:c>
      <x:c r="L109" s="32" t="str">
        <x:v>不限定；夫妻星仅在入宫或形成角色、责任边界时参与接口，不作为BOUND唯一主轴。</x:v>
      </x:c>
      <x:c r="M109" s="32" t="str">
        <x:v>由M3-BASE、日支主气及宫位动态提供。</x:v>
      </x:c>
      <x:c r="N109" s="32" t="str">
        <x:v>无／待BOUND路径规则组合</x:v>
      </x:c>
      <x:c r="O109" s="32" t="str">
        <x:v>日柱与日支近位优先；全局有效独立信号可作次通道。</x:v>
      </x:c>
      <x:c r="P109" s="32" t="str">
        <x:v>由共享基础引擎判定</x:v>
      </x:c>
      <x:c r="Q109" s="32" t="str">
        <x:v>由共享基础引擎判定</x:v>
      </x:c>
      <x:c r="R109" s="32" t="str">
        <x:v>喜忌不直接等于边界好坏；只修正调用顺畅度、资源压力和状态切换。</x:v>
      </x:c>
      <x:c r="S109" s="32" t="str">
        <x:v>原十神性质有效；真合化成立时按化神所属功能系统重建。</x:v>
      </x:c>
      <x:c r="T109" s="32" t="str">
        <x:v>由共享基础引擎判定</x:v>
      </x:c>
      <x:c r="U109" s="32" t="str">
        <x:v>68</x:v>
      </x:c>
      <x:c r="V109" s="32" t="str">
        <x:v>自主 +5</x:v>
      </x:c>
      <x:c r="W109" s="32" t="str">
        <x:v>autonomy_pattern</x:v>
      </x:c>
      <x:c r="X109" s="32" t="str">
        <x:v>双方可在不同事务上拥有不同权限，不要求所有决定完全对称。</x:v>
      </x:c>
      <x:c r="Y109" s="32" t="str">
        <x:v>你更容易接受清楚分工：不同事务由更合适的一方负责，同时保留共同复核。</x:v>
      </x:c>
      <x:c r="Z109" s="32" t="str">
        <x:v>不得由本规则直接推出回避亲密、依赖失控、控制欲、冷漠、自私、关系破裂、分手离婚、人格或依恋类型；不得把某种边界方式等同于爱得更多或更少。</x:v>
      </x:c>
      <x:c r="AA109" s="32" t="str">
        <x:v>中</x:v>
      </x:c>
      <x:c r="AB109" s="32" t="str">
        <x:v>待验证</x:v>
      </x:c>
      <x:c r="AC109" s="32" t="str"/>
      <x:c r="AD109" s="32" t="str">
        <x:v>provisional=true; rule_group=DIM_BQ04_D03</x:v>
      </x:c>
      <x:c r="AE109" s="32" t="str">
        <x:v>0.5</x:v>
      </x:c>
    </x:row>
    <x:row r="110">
      <x:c r="A110" s="32" t="str">
        <x:v>M3-BOUND-106</x:v>
      </x:c>
      <x:c r="B110" s="32" t="str">
        <x:v>BQ04 自主与共同决定｜D04 决定结构未定</x:v>
      </x:c>
      <x:c r="C110" s="32" t="str">
        <x:v>L2 BOUND过程维度</x:v>
      </x:c>
      <x:c r="D110" s="32" t="str">
        <x:v>BOUND-过程维度</x:v>
      </x:c>
      <x:c r="E110" s="32" t="str">
        <x:v>通用</x:v>
      </x:c>
      <x:c r="F110" s="32" t="str">
        <x:v>维度状态</x:v>
      </x:c>
      <x:c r="G110" s="32" t="str">
        <x:v>BQ04</x:v>
      </x:c>
      <x:c r="H110" s="32" t="str">
        <x:v>D04</x:v>
      </x:c>
      <x:c r="I110" s="32" t="str">
        <x:v>日主、印比、夫妻宫或现实行为无法形成稳定主次。</x:v>
      </x:c>
      <x:c r="J110" s="32" t="str">
        <x:v>基础信号未定；真合化后原信号已失效；只有单一弱远争议信号；或该结论会越界到M4风险、M5适配。</x:v>
      </x:c>
      <x:c r="K110" s="32" t="str">
        <x:v>由共享基础引擎与M3-STATE修正；日主承载、印比支持只修正自主与执行，不直接等于有无边界。</x:v>
      </x:c>
      <x:c r="L110" s="32" t="str">
        <x:v>不限定；夫妻星仅在入宫或形成角色、责任边界时参与接口，不作为BOUND唯一主轴。</x:v>
      </x:c>
      <x:c r="M110" s="32" t="str">
        <x:v>由M3-BASE、日支主气及宫位动态提供。</x:v>
      </x:c>
      <x:c r="N110" s="32" t="str">
        <x:v>无／待BOUND路径规则组合</x:v>
      </x:c>
      <x:c r="O110" s="32" t="str">
        <x:v>日柱与日支近位优先；全局有效独立信号可作次通道。</x:v>
      </x:c>
      <x:c r="P110" s="32" t="str">
        <x:v>由共享基础引擎判定</x:v>
      </x:c>
      <x:c r="Q110" s="32" t="str">
        <x:v>由共享基础引擎判定</x:v>
      </x:c>
      <x:c r="R110" s="32" t="str">
        <x:v>喜忌不直接等于边界好坏；只修正调用顺畅度、资源压力和状态切换。</x:v>
      </x:c>
      <x:c r="S110" s="32" t="str">
        <x:v>原十神性质有效；真合化成立时按化神所属功能系统重建。</x:v>
      </x:c>
      <x:c r="T110" s="32" t="str">
        <x:v>由共享基础引擎判定</x:v>
      </x:c>
      <x:c r="U110" s="32" t="str">
        <x:v>68</x:v>
      </x:c>
      <x:c r="V110" s="32" t="str">
        <x:v>不加分；降置信</x:v>
      </x:c>
      <x:c r="W110" s="32" t="str">
        <x:v>autonomy_pattern</x:v>
      </x:c>
      <x:c r="X110" s="32" t="str">
        <x:v>当前不足以判断决定权主要集中在哪里。</x:v>
      </x:c>
      <x:c r="Y110" s="32" t="str">
        <x:v>目前只能判断你的决定方式会随事务类型变化，无法固定成完全自主或完全共同。</x:v>
      </x:c>
      <x:c r="Z110" s="32" t="str">
        <x:v>不得由本规则直接推出回避亲密、依赖失控、控制欲、冷漠、自私、关系破裂、分手离婚、人格或依恋类型；不得把某种边界方式等同于爱得更多或更少。</x:v>
      </x:c>
      <x:c r="AA110" s="32" t="str">
        <x:v>中</x:v>
      </x:c>
      <x:c r="AB110" s="32" t="str">
        <x:v>待验证</x:v>
      </x:c>
      <x:c r="AC110" s="32" t="str"/>
      <x:c r="AD110" s="32" t="str">
        <x:v>provisional=true; rule_group=DIM_BQ04_D04</x:v>
      </x:c>
      <x:c r="AE110" s="32" t="str">
        <x:v>0.5</x:v>
      </x:c>
    </x:row>
    <x:row r="111">
      <x:c r="A111" s="32" t="str">
        <x:v>M3-BOUND-107</x:v>
      </x:c>
      <x:c r="B111" s="32" t="str">
        <x:v>BQ05 分享开放方式｜H01 日常开放</x:v>
      </x:c>
      <x:c r="C111" s="32" t="str">
        <x:v>L2 BOUND过程维度</x:v>
      </x:c>
      <x:c r="D111" s="32" t="str">
        <x:v>BOUND-过程维度</x:v>
      </x:c>
      <x:c r="E111" s="32" t="str">
        <x:v>通用</x:v>
      </x:c>
      <x:c r="F111" s="32" t="str">
        <x:v>维度状态</x:v>
      </x:c>
      <x:c r="G111" s="32" t="str">
        <x:v>BQ05</x:v>
      </x:c>
      <x:c r="H111" s="32" t="str">
        <x:v>H01</x:v>
      </x:c>
      <x:c r="I111" s="32" t="str">
        <x:v>食神、正印、正财或稳定共享证据明显。</x:v>
      </x:c>
      <x:c r="J111" s="32" t="str">
        <x:v>基础信号未定；真合化后原信号已失效；只有单一弱远争议信号；或该结论会越界到M4风险、M5适配。</x:v>
      </x:c>
      <x:c r="K111" s="32" t="str">
        <x:v>由共享基础引擎与M3-STATE修正；日主承载、印比支持只修正自主与执行，不直接等于有无边界。</x:v>
      </x:c>
      <x:c r="L111" s="32" t="str">
        <x:v>不限定；夫妻星仅在入宫或形成角色、责任边界时参与接口，不作为BOUND唯一主轴。</x:v>
      </x:c>
      <x:c r="M111" s="32" t="str">
        <x:v>由M3-BASE、日支主气及宫位动态提供。</x:v>
      </x:c>
      <x:c r="N111" s="32" t="str">
        <x:v>无／待BOUND路径规则组合</x:v>
      </x:c>
      <x:c r="O111" s="32" t="str">
        <x:v>日柱与日支近位优先；全局有效独立信号可作次通道。</x:v>
      </x:c>
      <x:c r="P111" s="32" t="str">
        <x:v>由共享基础引擎判定</x:v>
      </x:c>
      <x:c r="Q111" s="32" t="str">
        <x:v>由共享基础引擎判定</x:v>
      </x:c>
      <x:c r="R111" s="32" t="str">
        <x:v>喜忌不直接等于边界好坏；只修正调用顺畅度、资源压力和状态切换。</x:v>
      </x:c>
      <x:c r="S111" s="32" t="str">
        <x:v>原十神性质有效；真合化成立时按化神所属功能系统重建。</x:v>
      </x:c>
      <x:c r="T111" s="32" t="str">
        <x:v>由共享基础引擎判定</x:v>
      </x:c>
      <x:c r="U111" s="32" t="str">
        <x:v>68</x:v>
      </x:c>
      <x:c r="V111" s="32" t="str">
        <x:v>分享 +5</x:v>
      </x:c>
      <x:c r="W111" s="32" t="str">
        <x:v>sharing_mode</x:v>
      </x:c>
      <x:c r="X111" s="32" t="str">
        <x:v>用户较愿意共享日常、情绪或现实安排。</x:v>
      </x:c>
      <x:c r="Y111" s="32" t="str">
        <x:v>在信任关系里，你通常愿意分享日常、计划和重要感受，让对方知道你的状态。</x:v>
      </x:c>
      <x:c r="Z111" s="32" t="str">
        <x:v>不得由本规则直接推出回避亲密、依赖失控、控制欲、冷漠、自私、关系破裂、分手离婚、人格或依恋类型；不得把某种边界方式等同于爱得更多或更少。</x:v>
      </x:c>
      <x:c r="AA111" s="32" t="str">
        <x:v>中</x:v>
      </x:c>
      <x:c r="AB111" s="32" t="str">
        <x:v>待验证</x:v>
      </x:c>
      <x:c r="AC111" s="32" t="str"/>
      <x:c r="AD111" s="32" t="str">
        <x:v>provisional=true; rule_group=DIM_BQ05_H01</x:v>
      </x:c>
      <x:c r="AE111" s="32" t="str">
        <x:v>0.5</x:v>
      </x:c>
    </x:row>
    <x:row r="112">
      <x:c r="A112" s="32" t="str">
        <x:v>M3-BOUND-108</x:v>
      </x:c>
      <x:c r="B112" s="32" t="str">
        <x:v>BQ05 分享开放方式｜H02 选择性开放</x:v>
      </x:c>
      <x:c r="C112" s="32" t="str">
        <x:v>L2 BOUND过程维度</x:v>
      </x:c>
      <x:c r="D112" s="32" t="str">
        <x:v>BOUND-过程维度</x:v>
      </x:c>
      <x:c r="E112" s="32" t="str">
        <x:v>通用</x:v>
      </x:c>
      <x:c r="F112" s="32" t="str">
        <x:v>维度状态</x:v>
      </x:c>
      <x:c r="G112" s="32" t="str">
        <x:v>BQ05</x:v>
      </x:c>
      <x:c r="H112" s="32" t="str">
        <x:v>H02</x:v>
      </x:c>
      <x:c r="I112" s="32" t="str">
        <x:v>偏印、伤官或深度信任门槛明显。</x:v>
      </x:c>
      <x:c r="J112" s="32" t="str">
        <x:v>基础信号未定；真合化后原信号已失效；只有单一弱远争议信号；或该结论会越界到M4风险、M5适配。</x:v>
      </x:c>
      <x:c r="K112" s="32" t="str">
        <x:v>由共享基础引擎与M3-STATE修正；日主承载、印比支持只修正自主与执行，不直接等于有无边界。</x:v>
      </x:c>
      <x:c r="L112" s="32" t="str">
        <x:v>不限定；夫妻星仅在入宫或形成角色、责任边界时参与接口，不作为BOUND唯一主轴。</x:v>
      </x:c>
      <x:c r="M112" s="32" t="str">
        <x:v>由M3-BASE、日支主气及宫位动态提供。</x:v>
      </x:c>
      <x:c r="N112" s="32" t="str">
        <x:v>无／待BOUND路径规则组合</x:v>
      </x:c>
      <x:c r="O112" s="32" t="str">
        <x:v>日柱与日支近位优先；全局有效独立信号可作次通道。</x:v>
      </x:c>
      <x:c r="P112" s="32" t="str">
        <x:v>由共享基础引擎判定</x:v>
      </x:c>
      <x:c r="Q112" s="32" t="str">
        <x:v>由共享基础引擎判定</x:v>
      </x:c>
      <x:c r="R112" s="32" t="str">
        <x:v>喜忌不直接等于边界好坏；只修正调用顺畅度、资源压力和状态切换。</x:v>
      </x:c>
      <x:c r="S112" s="32" t="str">
        <x:v>原十神性质有效；真合化成立时按化神所属功能系统重建。</x:v>
      </x:c>
      <x:c r="T112" s="32" t="str">
        <x:v>由共享基础引擎判定</x:v>
      </x:c>
      <x:c r="U112" s="32" t="str">
        <x:v>68</x:v>
      </x:c>
      <x:c r="V112" s="32" t="str">
        <x:v>分享 +5</x:v>
      </x:c>
      <x:c r="W112" s="32" t="str">
        <x:v>sharing_mode</x:v>
      </x:c>
      <x:c r="X112" s="32" t="str">
        <x:v>用户更愿意分享经过筛选、有意义或足够安全的内容。</x:v>
      </x:c>
      <x:c r="Y112" s="32" t="str">
        <x:v>你更倾向选择性分享：不是所有内容都即时公开，但重要部分会在合适时说清楚。</x:v>
      </x:c>
      <x:c r="Z112" s="32" t="str">
        <x:v>不得由本规则直接推出回避亲密、依赖失控、控制欲、冷漠、自私、关系破裂、分手离婚、人格或依恋类型；不得把某种边界方式等同于爱得更多或更少。</x:v>
      </x:c>
      <x:c r="AA112" s="32" t="str">
        <x:v>中</x:v>
      </x:c>
      <x:c r="AB112" s="32" t="str">
        <x:v>待验证</x:v>
      </x:c>
      <x:c r="AC112" s="32" t="str"/>
      <x:c r="AD112" s="32" t="str">
        <x:v>provisional=true; rule_group=DIM_BQ05_H02</x:v>
      </x:c>
      <x:c r="AE112" s="32" t="str">
        <x:v>0.5</x:v>
      </x:c>
    </x:row>
    <x:row r="113">
      <x:c r="A113" s="32" t="str">
        <x:v>M3-BOUND-109</x:v>
      </x:c>
      <x:c r="B113" s="32" t="str">
        <x:v>BQ05 分享开放方式｜H03 任务／现实开放</x:v>
      </x:c>
      <x:c r="C113" s="32" t="str">
        <x:v>L2 BOUND过程维度</x:v>
      </x:c>
      <x:c r="D113" s="32" t="str">
        <x:v>BOUND-过程维度</x:v>
      </x:c>
      <x:c r="E113" s="32" t="str">
        <x:v>通用</x:v>
      </x:c>
      <x:c r="F113" s="32" t="str">
        <x:v>维度状态</x:v>
      </x:c>
      <x:c r="G113" s="32" t="str">
        <x:v>BQ05</x:v>
      </x:c>
      <x:c r="H113" s="32" t="str">
        <x:v>H03</x:v>
      </x:c>
      <x:c r="I113" s="32" t="str">
        <x:v>比劫、财官杀或共同事务证据明显。</x:v>
      </x:c>
      <x:c r="J113" s="32" t="str">
        <x:v>基础信号未定；真合化后原信号已失效；只有单一弱远争议信号；或该结论会越界到M4风险、M5适配。</x:v>
      </x:c>
      <x:c r="K113" s="32" t="str">
        <x:v>由共享基础引擎与M3-STATE修正；日主承载、印比支持只修正自主与执行，不直接等于有无边界。</x:v>
      </x:c>
      <x:c r="L113" s="32" t="str">
        <x:v>不限定；夫妻星仅在入宫或形成角色、责任边界时参与接口，不作为BOUND唯一主轴。</x:v>
      </x:c>
      <x:c r="M113" s="32" t="str">
        <x:v>由M3-BASE、日支主气及宫位动态提供。</x:v>
      </x:c>
      <x:c r="N113" s="32" t="str">
        <x:v>无／待BOUND路径规则组合</x:v>
      </x:c>
      <x:c r="O113" s="32" t="str">
        <x:v>日柱与日支近位优先；全局有效独立信号可作次通道。</x:v>
      </x:c>
      <x:c r="P113" s="32" t="str">
        <x:v>由共享基础引擎判定</x:v>
      </x:c>
      <x:c r="Q113" s="32" t="str">
        <x:v>由共享基础引擎判定</x:v>
      </x:c>
      <x:c r="R113" s="32" t="str">
        <x:v>喜忌不直接等于边界好坏；只修正调用顺畅度、资源压力和状态切换。</x:v>
      </x:c>
      <x:c r="S113" s="32" t="str">
        <x:v>原十神性质有效；真合化成立时按化神所属功能系统重建。</x:v>
      </x:c>
      <x:c r="T113" s="32" t="str">
        <x:v>由共享基础引擎判定</x:v>
      </x:c>
      <x:c r="U113" s="32" t="str">
        <x:v>68</x:v>
      </x:c>
      <x:c r="V113" s="32" t="str">
        <x:v>分享 +5</x:v>
      </x:c>
      <x:c r="W113" s="32" t="str">
        <x:v>sharing_mode</x:v>
      </x:c>
      <x:c r="X113" s="32" t="str">
        <x:v>分享主要围绕共同任务、资源、计划和责任。</x:v>
      </x:c>
      <x:c r="Y113" s="32" t="str">
        <x:v>你可能先共享需要一起处理的现实信息，情绪和私人内容则按信任逐步开放。</x:v>
      </x:c>
      <x:c r="Z113" s="32" t="str">
        <x:v>不得由本规则直接推出回避亲密、依赖失控、控制欲、冷漠、自私、关系破裂、分手离婚、人格或依恋类型；不得把某种边界方式等同于爱得更多或更少。</x:v>
      </x:c>
      <x:c r="AA113" s="32" t="str">
        <x:v>中</x:v>
      </x:c>
      <x:c r="AB113" s="32" t="str">
        <x:v>待验证</x:v>
      </x:c>
      <x:c r="AC113" s="32" t="str"/>
      <x:c r="AD113" s="32" t="str">
        <x:v>provisional=true; rule_group=DIM_BQ05_H03</x:v>
      </x:c>
      <x:c r="AE113" s="32" t="str">
        <x:v>0.5</x:v>
      </x:c>
    </x:row>
    <x:row r="114">
      <x:c r="A114" s="32" t="str">
        <x:v>M3-BOUND-110</x:v>
      </x:c>
      <x:c r="B114" s="32" t="str">
        <x:v>BQ05 分享开放方式｜H04 开放状态未定</x:v>
      </x:c>
      <x:c r="C114" s="32" t="str">
        <x:v>L2 BOUND过程维度</x:v>
      </x:c>
      <x:c r="D114" s="32" t="str">
        <x:v>BOUND-过程维度</x:v>
      </x:c>
      <x:c r="E114" s="32" t="str">
        <x:v>通用</x:v>
      </x:c>
      <x:c r="F114" s="32" t="str">
        <x:v>维度状态</x:v>
      </x:c>
      <x:c r="G114" s="32" t="str">
        <x:v>BQ05</x:v>
      </x:c>
      <x:c r="H114" s="32" t="str">
        <x:v>H04</x:v>
      </x:c>
      <x:c r="I114" s="32" t="str">
        <x:v>资料不足或通道彼此牵制。</x:v>
      </x:c>
      <x:c r="J114" s="32" t="str">
        <x:v>基础信号未定；真合化后原信号已失效；只有单一弱远争议信号；或该结论会越界到M4风险、M5适配。</x:v>
      </x:c>
      <x:c r="K114" s="32" t="str">
        <x:v>由共享基础引擎与M3-STATE修正；日主承载、印比支持只修正自主与执行，不直接等于有无边界。</x:v>
      </x:c>
      <x:c r="L114" s="32" t="str">
        <x:v>不限定；夫妻星仅在入宫或形成角色、责任边界时参与接口，不作为BOUND唯一主轴。</x:v>
      </x:c>
      <x:c r="M114" s="32" t="str">
        <x:v>由M3-BASE、日支主气及宫位动态提供。</x:v>
      </x:c>
      <x:c r="N114" s="32" t="str">
        <x:v>无／待BOUND路径规则组合</x:v>
      </x:c>
      <x:c r="O114" s="32" t="str">
        <x:v>日柱与日支近位优先；全局有效独立信号可作次通道。</x:v>
      </x:c>
      <x:c r="P114" s="32" t="str">
        <x:v>由共享基础引擎判定</x:v>
      </x:c>
      <x:c r="Q114" s="32" t="str">
        <x:v>由共享基础引擎判定</x:v>
      </x:c>
      <x:c r="R114" s="32" t="str">
        <x:v>喜忌不直接等于边界好坏；只修正调用顺畅度、资源压力和状态切换。</x:v>
      </x:c>
      <x:c r="S114" s="32" t="str">
        <x:v>原十神性质有效；真合化成立时按化神所属功能系统重建。</x:v>
      </x:c>
      <x:c r="T114" s="32" t="str">
        <x:v>由共享基础引擎判定</x:v>
      </x:c>
      <x:c r="U114" s="32" t="str">
        <x:v>68</x:v>
      </x:c>
      <x:c r="V114" s="32" t="str">
        <x:v>不加分；降置信</x:v>
      </x:c>
      <x:c r="W114" s="32" t="str">
        <x:v>sharing_mode</x:v>
      </x:c>
      <x:c r="X114" s="32" t="str">
        <x:v>不能把沉默或外显直接等同开放程度。</x:v>
      </x:c>
      <x:c r="Y114" s="32" t="str">
        <x:v>目前只能判断你会按内容和情境选择分享，具体开放度需要真实关系反馈。</x:v>
      </x:c>
      <x:c r="Z114" s="32" t="str">
        <x:v>不得由本规则直接推出回避亲密、依赖失控、控制欲、冷漠、自私、关系破裂、分手离婚、人格或依恋类型；不得把某种边界方式等同于爱得更多或更少。</x:v>
      </x:c>
      <x:c r="AA114" s="32" t="str">
        <x:v>中</x:v>
      </x:c>
      <x:c r="AB114" s="32" t="str">
        <x:v>待验证</x:v>
      </x:c>
      <x:c r="AC114" s="32" t="str"/>
      <x:c r="AD114" s="32" t="str">
        <x:v>provisional=true; rule_group=DIM_BQ05_H04</x:v>
      </x:c>
      <x:c r="AE114" s="32" t="str">
        <x:v>0.5</x:v>
      </x:c>
    </x:row>
    <x:row r="115">
      <x:c r="A115" s="32" t="str">
        <x:v>M3-BOUND-111</x:v>
      </x:c>
      <x:c r="B115" s="32" t="str">
        <x:v>BQ06 需求表达方式｜N01 直接具体</x:v>
      </x:c>
      <x:c r="C115" s="32" t="str">
        <x:v>L2 BOUND过程维度</x:v>
      </x:c>
      <x:c r="D115" s="32" t="str">
        <x:v>BOUND-过程维度</x:v>
      </x:c>
      <x:c r="E115" s="32" t="str">
        <x:v>通用</x:v>
      </x:c>
      <x:c r="F115" s="32" t="str">
        <x:v>维度状态</x:v>
      </x:c>
      <x:c r="G115" s="32" t="str">
        <x:v>BQ06</x:v>
      </x:c>
      <x:c r="H115" s="32" t="str">
        <x:v>N01</x:v>
      </x:c>
      <x:c r="I115" s="32" t="str">
        <x:v>比肩、伤官、正财、正官或七杀表达证据成立。</x:v>
      </x:c>
      <x:c r="J115" s="32" t="str">
        <x:v>基础信号未定；真合化后原信号已失效；只有单一弱远争议信号；或该结论会越界到M4风险、M5适配。</x:v>
      </x:c>
      <x:c r="K115" s="32" t="str">
        <x:v>由共享基础引擎与M3-STATE修正；日主承载、印比支持只修正自主与执行，不直接等于有无边界。</x:v>
      </x:c>
      <x:c r="L115" s="32" t="str">
        <x:v>不限定；夫妻星仅在入宫或形成角色、责任边界时参与接口，不作为BOUND唯一主轴。</x:v>
      </x:c>
      <x:c r="M115" s="32" t="str">
        <x:v>由M3-BASE、日支主气及宫位动态提供。</x:v>
      </x:c>
      <x:c r="N115" s="32" t="str">
        <x:v>无／待BOUND路径规则组合</x:v>
      </x:c>
      <x:c r="O115" s="32" t="str">
        <x:v>日柱与日支近位优先；全局有效独立信号可作次通道。</x:v>
      </x:c>
      <x:c r="P115" s="32" t="str">
        <x:v>由共享基础引擎判定</x:v>
      </x:c>
      <x:c r="Q115" s="32" t="str">
        <x:v>由共享基础引擎判定</x:v>
      </x:c>
      <x:c r="R115" s="32" t="str">
        <x:v>喜忌不直接等于边界好坏；只修正调用顺畅度、资源压力和状态切换。</x:v>
      </x:c>
      <x:c r="S115" s="32" t="str">
        <x:v>原十神性质有效；真合化成立时按化神所属功能系统重建。</x:v>
      </x:c>
      <x:c r="T115" s="32" t="str">
        <x:v>由共享基础引擎判定</x:v>
      </x:c>
      <x:c r="U115" s="32" t="str">
        <x:v>68</x:v>
      </x:c>
      <x:c r="V115" s="32" t="str">
        <x:v>候选 +5</x:v>
      </x:c>
      <x:c r="W115" s="32" t="str">
        <x:v>need_expression</x:v>
      </x:c>
      <x:c r="X115" s="32" t="str">
        <x:v>需求较容易被翻译成清楚事项、边界或行动请求。</x:v>
      </x:c>
      <x:c r="Y115" s="32" t="str">
        <x:v>当你需要什么时，通常更容易直接说明事项、范围和希望对方怎样回应。</x:v>
      </x:c>
      <x:c r="Z115" s="32" t="str">
        <x:v>不得由本规则直接推出回避亲密、依赖失控、控制欲、冷漠、自私、关系破裂、分手离婚、人格或依恋类型；不得把某种边界方式等同于爱得更多或更少。</x:v>
      </x:c>
      <x:c r="AA115" s="32" t="str">
        <x:v>中</x:v>
      </x:c>
      <x:c r="AB115" s="32" t="str">
        <x:v>待验证</x:v>
      </x:c>
      <x:c r="AC115" s="32" t="str"/>
      <x:c r="AD115" s="32" t="str">
        <x:v>provisional=true; rule_group=DIM_BQ06_N01</x:v>
      </x:c>
      <x:c r="AE115" s="32" t="str">
        <x:v>0.5</x:v>
      </x:c>
    </x:row>
    <x:row r="116">
      <x:c r="A116" s="32" t="str">
        <x:v>M3-BOUND-112</x:v>
      </x:c>
      <x:c r="B116" s="32" t="str">
        <x:v>BQ06 需求表达方式｜N02 温和铺垫</x:v>
      </x:c>
      <x:c r="C116" s="32" t="str">
        <x:v>L2 BOUND过程维度</x:v>
      </x:c>
      <x:c r="D116" s="32" t="str">
        <x:v>BOUND-过程维度</x:v>
      </x:c>
      <x:c r="E116" s="32" t="str">
        <x:v>通用</x:v>
      </x:c>
      <x:c r="F116" s="32" t="str">
        <x:v>维度状态</x:v>
      </x:c>
      <x:c r="G116" s="32" t="str">
        <x:v>BQ06</x:v>
      </x:c>
      <x:c r="H116" s="32" t="str">
        <x:v>N02</x:v>
      </x:c>
      <x:c r="I116" s="32" t="str">
        <x:v>食神、正印或安全语境证据成立。</x:v>
      </x:c>
      <x:c r="J116" s="32" t="str">
        <x:v>基础信号未定；真合化后原信号已失效；只有单一弱远争议信号；或该结论会越界到M4风险、M5适配。</x:v>
      </x:c>
      <x:c r="K116" s="32" t="str">
        <x:v>由共享基础引擎与M3-STATE修正；日主承载、印比支持只修正自主与执行，不直接等于有无边界。</x:v>
      </x:c>
      <x:c r="L116" s="32" t="str">
        <x:v>不限定；夫妻星仅在入宫或形成角色、责任边界时参与接口，不作为BOUND唯一主轴。</x:v>
      </x:c>
      <x:c r="M116" s="32" t="str">
        <x:v>由M3-BASE、日支主气及宫位动态提供。</x:v>
      </x:c>
      <x:c r="N116" s="32" t="str">
        <x:v>无／待BOUND路径规则组合</x:v>
      </x:c>
      <x:c r="O116" s="32" t="str">
        <x:v>日柱与日支近位优先；全局有效独立信号可作次通道。</x:v>
      </x:c>
      <x:c r="P116" s="32" t="str">
        <x:v>由共享基础引擎判定</x:v>
      </x:c>
      <x:c r="Q116" s="32" t="str">
        <x:v>由共享基础引擎判定</x:v>
      </x:c>
      <x:c r="R116" s="32" t="str">
        <x:v>喜忌不直接等于边界好坏；只修正调用顺畅度、资源压力和状态切换。</x:v>
      </x:c>
      <x:c r="S116" s="32" t="str">
        <x:v>原十神性质有效；真合化成立时按化神所属功能系统重建。</x:v>
      </x:c>
      <x:c r="T116" s="32" t="str">
        <x:v>由共享基础引擎判定</x:v>
      </x:c>
      <x:c r="U116" s="32" t="str">
        <x:v>68</x:v>
      </x:c>
      <x:c r="V116" s="32" t="str">
        <x:v>候选 +5</x:v>
      </x:c>
      <x:c r="W116" s="32" t="str">
        <x:v>need_expression</x:v>
      </x:c>
      <x:c r="X116" s="32" t="str">
        <x:v>用户先建立舒适和被理解感，再逐步说出真正需要。</x:v>
      </x:c>
      <x:c r="Y116" s="32" t="str">
        <x:v>你更容易先说明感受和背景，在气氛安全以后再提出具体需要。</x:v>
      </x:c>
      <x:c r="Z116" s="32" t="str">
        <x:v>不得由本规则直接推出回避亲密、依赖失控、控制欲、冷漠、自私、关系破裂、分手离婚、人格或依恋类型；不得把某种边界方式等同于爱得更多或更少。</x:v>
      </x:c>
      <x:c r="AA116" s="32" t="str">
        <x:v>中</x:v>
      </x:c>
      <x:c r="AB116" s="32" t="str">
        <x:v>待验证</x:v>
      </x:c>
      <x:c r="AC116" s="32" t="str"/>
      <x:c r="AD116" s="32" t="str">
        <x:v>provisional=true; rule_group=DIM_BQ06_N02</x:v>
      </x:c>
      <x:c r="AE116" s="32" t="str">
        <x:v>0.5</x:v>
      </x:c>
    </x:row>
    <x:row r="117">
      <x:c r="A117" s="32" t="str">
        <x:v>M3-BOUND-113</x:v>
      </x:c>
      <x:c r="B117" s="32" t="str">
        <x:v>BQ06 需求表达方式｜N03 先内部整理</x:v>
      </x:c>
      <x:c r="C117" s="32" t="str">
        <x:v>L2 BOUND过程维度</x:v>
      </x:c>
      <x:c r="D117" s="32" t="str">
        <x:v>BOUND-过程维度</x:v>
      </x:c>
      <x:c r="E117" s="32" t="str">
        <x:v>通用</x:v>
      </x:c>
      <x:c r="F117" s="32" t="str">
        <x:v>维度状态</x:v>
      </x:c>
      <x:c r="G117" s="32" t="str">
        <x:v>BQ06</x:v>
      </x:c>
      <x:c r="H117" s="32" t="str">
        <x:v>N03</x:v>
      </x:c>
      <x:c r="I117" s="32" t="str">
        <x:v>偏印或藏而有根的内化通道明显。</x:v>
      </x:c>
      <x:c r="J117" s="32" t="str">
        <x:v>基础信号未定；真合化后原信号已失效；只有单一弱远争议信号；或该结论会越界到M4风险、M5适配。</x:v>
      </x:c>
      <x:c r="K117" s="32" t="str">
        <x:v>由共享基础引擎与M3-STATE修正；日主承载、印比支持只修正自主与执行，不直接等于有无边界。</x:v>
      </x:c>
      <x:c r="L117" s="32" t="str">
        <x:v>不限定；夫妻星仅在入宫或形成角色、责任边界时参与接口，不作为BOUND唯一主轴。</x:v>
      </x:c>
      <x:c r="M117" s="32" t="str">
        <x:v>由M3-BASE、日支主气及宫位动态提供。</x:v>
      </x:c>
      <x:c r="N117" s="32" t="str">
        <x:v>无／待BOUND路径规则组合</x:v>
      </x:c>
      <x:c r="O117" s="32" t="str">
        <x:v>日柱与日支近位优先；全局有效独立信号可作次通道。</x:v>
      </x:c>
      <x:c r="P117" s="32" t="str">
        <x:v>由共享基础引擎判定</x:v>
      </x:c>
      <x:c r="Q117" s="32" t="str">
        <x:v>由共享基础引擎判定</x:v>
      </x:c>
      <x:c r="R117" s="32" t="str">
        <x:v>喜忌不直接等于边界好坏；只修正调用顺畅度、资源压力和状态切换。</x:v>
      </x:c>
      <x:c r="S117" s="32" t="str">
        <x:v>原十神性质有效；真合化成立时按化神所属功能系统重建。</x:v>
      </x:c>
      <x:c r="T117" s="32" t="str">
        <x:v>由共享基础引擎判定</x:v>
      </x:c>
      <x:c r="U117" s="32" t="str">
        <x:v>68</x:v>
      </x:c>
      <x:c r="V117" s="32" t="str">
        <x:v>候选 +5</x:v>
      </x:c>
      <x:c r="W117" s="32" t="str">
        <x:v>need_expression</x:v>
      </x:c>
      <x:c r="X117" s="32" t="str">
        <x:v>用户需要先识别真正需求，再进行选择性表达。</x:v>
      </x:c>
      <x:c r="Y117" s="32" t="str">
        <x:v>你通常需要先想清楚自己真正需要什么，再把核心部分告诉对方。</x:v>
      </x:c>
      <x:c r="Z117" s="32" t="str">
        <x:v>不得由本规则直接推出回避亲密、依赖失控、控制欲、冷漠、自私、关系破裂、分手离婚、人格或依恋类型；不得把某种边界方式等同于爱得更多或更少。</x:v>
      </x:c>
      <x:c r="AA117" s="32" t="str">
        <x:v>中</x:v>
      </x:c>
      <x:c r="AB117" s="32" t="str">
        <x:v>待验证</x:v>
      </x:c>
      <x:c r="AC117" s="32" t="str"/>
      <x:c r="AD117" s="32" t="str">
        <x:v>provisional=true; rule_group=DIM_BQ06_N03</x:v>
      </x:c>
      <x:c r="AE117" s="32" t="str">
        <x:v>0.5</x:v>
      </x:c>
    </x:row>
    <x:row r="118">
      <x:c r="A118" s="32" t="str">
        <x:v>M3-BOUND-114</x:v>
      </x:c>
      <x:c r="B118" s="32" t="str">
        <x:v>BQ06 需求表达方式｜N04 行动带出</x:v>
      </x:c>
      <x:c r="C118" s="32" t="str">
        <x:v>L2 BOUND过程维度</x:v>
      </x:c>
      <x:c r="D118" s="32" t="str">
        <x:v>BOUND-过程维度</x:v>
      </x:c>
      <x:c r="E118" s="32" t="str">
        <x:v>通用</x:v>
      </x:c>
      <x:c r="F118" s="32" t="str">
        <x:v>维度状态</x:v>
      </x:c>
      <x:c r="G118" s="32" t="str">
        <x:v>BQ06</x:v>
      </x:c>
      <x:c r="H118" s="32" t="str">
        <x:v>N04</x:v>
      </x:c>
      <x:c r="I118" s="32" t="str">
        <x:v>劫财、财官杀或共同任务通道明显。</x:v>
      </x:c>
      <x:c r="J118" s="32" t="str">
        <x:v>基础信号未定；真合化后原信号已失效；只有单一弱远争议信号；或该结论会越界到M4风险、M5适配。</x:v>
      </x:c>
      <x:c r="K118" s="32" t="str">
        <x:v>由共享基础引擎与M3-STATE修正；日主承载、印比支持只修正自主与执行，不直接等于有无边界。</x:v>
      </x:c>
      <x:c r="L118" s="32" t="str">
        <x:v>不限定；夫妻星仅在入宫或形成角色、责任边界时参与接口，不作为BOUND唯一主轴。</x:v>
      </x:c>
      <x:c r="M118" s="32" t="str">
        <x:v>由M3-BASE、日支主气及宫位动态提供。</x:v>
      </x:c>
      <x:c r="N118" s="32" t="str">
        <x:v>无／待BOUND路径规则组合</x:v>
      </x:c>
      <x:c r="O118" s="32" t="str">
        <x:v>日柱与日支近位优先；全局有效独立信号可作次通道。</x:v>
      </x:c>
      <x:c r="P118" s="32" t="str">
        <x:v>由共享基础引擎判定</x:v>
      </x:c>
      <x:c r="Q118" s="32" t="str">
        <x:v>由共享基础引擎判定</x:v>
      </x:c>
      <x:c r="R118" s="32" t="str">
        <x:v>喜忌不直接等于边界好坏；只修正调用顺畅度、资源压力和状态切换。</x:v>
      </x:c>
      <x:c r="S118" s="32" t="str">
        <x:v>原十神性质有效；真合化成立时按化神所属功能系统重建。</x:v>
      </x:c>
      <x:c r="T118" s="32" t="str">
        <x:v>由共享基础引擎判定</x:v>
      </x:c>
      <x:c r="U118" s="32" t="str">
        <x:v>68</x:v>
      </x:c>
      <x:c r="V118" s="32" t="str">
        <x:v>候选 +5</x:v>
      </x:c>
      <x:c r="W118" s="32" t="str">
        <x:v>need_expression</x:v>
      </x:c>
      <x:c r="X118" s="32" t="str">
        <x:v>需求先以一起做事、调整安排或行动请求出现。</x:v>
      </x:c>
      <x:c r="Y118" s="32" t="str">
        <x:v>你的需要可能先通过共同任务、实际安排或行动请求被带出来。</x:v>
      </x:c>
      <x:c r="Z118" s="32" t="str">
        <x:v>不得由本规则直接推出回避亲密、依赖失控、控制欲、冷漠、自私、关系破裂、分手离婚、人格或依恋类型；不得把某种边界方式等同于爱得更多或更少。</x:v>
      </x:c>
      <x:c r="AA118" s="32" t="str">
        <x:v>中</x:v>
      </x:c>
      <x:c r="AB118" s="32" t="str">
        <x:v>待验证</x:v>
      </x:c>
      <x:c r="AC118" s="32" t="str"/>
      <x:c r="AD118" s="32" t="str">
        <x:v>provisional=true; rule_group=DIM_BQ06_N04</x:v>
      </x:c>
      <x:c r="AE118" s="32" t="str">
        <x:v>0.5</x:v>
      </x:c>
    </x:row>
    <x:row r="119">
      <x:c r="A119" s="32" t="str">
        <x:v>M3-BOUND-115</x:v>
      </x:c>
      <x:c r="B119" s="32" t="str">
        <x:v>BQ07 拒绝与限制表达｜R01 直接明确</x:v>
      </x:c>
      <x:c r="C119" s="32" t="str">
        <x:v>L2 BOUND过程维度</x:v>
      </x:c>
      <x:c r="D119" s="32" t="str">
        <x:v>BOUND-过程维度</x:v>
      </x:c>
      <x:c r="E119" s="32" t="str">
        <x:v>通用</x:v>
      </x:c>
      <x:c r="F119" s="32" t="str">
        <x:v>维度状态</x:v>
      </x:c>
      <x:c r="G119" s="32" t="str">
        <x:v>BQ07</x:v>
      </x:c>
      <x:c r="H119" s="32" t="str">
        <x:v>R01</x:v>
      </x:c>
      <x:c r="I119" s="32" t="str">
        <x:v>比肩、伤官、正官或七杀通道可靠。</x:v>
      </x:c>
      <x:c r="J119" s="32" t="str">
        <x:v>基础信号未定；真合化后原信号已失效；只有单一弱远争议信号；或该结论会越界到M4风险、M5适配。</x:v>
      </x:c>
      <x:c r="K119" s="32" t="str">
        <x:v>由共享基础引擎与M3-STATE修正；日主承载、印比支持只修正自主与执行，不直接等于有无边界。</x:v>
      </x:c>
      <x:c r="L119" s="32" t="str">
        <x:v>不限定；夫妻星仅在入宫或形成角色、责任边界时参与接口，不作为BOUND唯一主轴。</x:v>
      </x:c>
      <x:c r="M119" s="32" t="str">
        <x:v>由M3-BASE、日支主气及宫位动态提供。</x:v>
      </x:c>
      <x:c r="N119" s="32" t="str">
        <x:v>无／待BOUND路径规则组合</x:v>
      </x:c>
      <x:c r="O119" s="32" t="str">
        <x:v>日柱与日支近位优先；全局有效独立信号可作次通道。</x:v>
      </x:c>
      <x:c r="P119" s="32" t="str">
        <x:v>由共享基础引擎判定</x:v>
      </x:c>
      <x:c r="Q119" s="32" t="str">
        <x:v>由共享基础引擎判定</x:v>
      </x:c>
      <x:c r="R119" s="32" t="str">
        <x:v>喜忌不直接等于边界好坏；只修正调用顺畅度、资源压力和状态切换。</x:v>
      </x:c>
      <x:c r="S119" s="32" t="str">
        <x:v>原十神性质有效；真合化成立时按化神所属功能系统重建。</x:v>
      </x:c>
      <x:c r="T119" s="32" t="str">
        <x:v>由共享基础引擎判定</x:v>
      </x:c>
      <x:c r="U119" s="32" t="str">
        <x:v>68</x:v>
      </x:c>
      <x:c r="V119" s="32" t="str">
        <x:v>拒绝 +6</x:v>
      </x:c>
      <x:c r="W119" s="32" t="str">
        <x:v>refusal_style</x:v>
      </x:c>
      <x:c r="X119" s="32" t="str">
        <x:v>用户能较快说明不可接受的事项或停止线。</x:v>
      </x:c>
      <x:c r="Y119" s="32" t="str">
        <x:v>当某件事不合适时，你通常会较直接地说明限制、不同意或需要停止。</x:v>
      </x:c>
      <x:c r="Z119" s="32" t="str">
        <x:v>不得由本规则直接推出回避亲密、依赖失控、控制欲、冷漠、自私、关系破裂、分手离婚、人格或依恋类型；不得把某种边界方式等同于爱得更多或更少。</x:v>
      </x:c>
      <x:c r="AA119" s="32" t="str">
        <x:v>中</x:v>
      </x:c>
      <x:c r="AB119" s="32" t="str">
        <x:v>待验证</x:v>
      </x:c>
      <x:c r="AC119" s="32" t="str"/>
      <x:c r="AD119" s="32" t="str">
        <x:v>provisional=true; rule_group=DIM_BQ07_R01</x:v>
      </x:c>
      <x:c r="AE119" s="32" t="str">
        <x:v>0.5</x:v>
      </x:c>
    </x:row>
    <x:row r="120">
      <x:c r="A120" s="32" t="str">
        <x:v>M3-BOUND-116</x:v>
      </x:c>
      <x:c r="B120" s="32" t="str">
        <x:v>BQ07 拒绝与限制表达｜R02 协商调整</x:v>
      </x:c>
      <x:c r="C120" s="32" t="str">
        <x:v>L2 BOUND过程维度</x:v>
      </x:c>
      <x:c r="D120" s="32" t="str">
        <x:v>BOUND-过程维度</x:v>
      </x:c>
      <x:c r="E120" s="32" t="str">
        <x:v>通用</x:v>
      </x:c>
      <x:c r="F120" s="32" t="str">
        <x:v>维度状态</x:v>
      </x:c>
      <x:c r="G120" s="32" t="str">
        <x:v>BQ07</x:v>
      </x:c>
      <x:c r="H120" s="32" t="str">
        <x:v>R02</x:v>
      </x:c>
      <x:c r="I120" s="32" t="str">
        <x:v>食伤、正财、偏财或双向协商证据成立。</x:v>
      </x:c>
      <x:c r="J120" s="32" t="str">
        <x:v>基础信号未定；真合化后原信号已失效；只有单一弱远争议信号；或该结论会越界到M4风险、M5适配。</x:v>
      </x:c>
      <x:c r="K120" s="32" t="str">
        <x:v>由共享基础引擎与M3-STATE修正；日主承载、印比支持只修正自主与执行，不直接等于有无边界。</x:v>
      </x:c>
      <x:c r="L120" s="32" t="str">
        <x:v>不限定；夫妻星仅在入宫或形成角色、责任边界时参与接口，不作为BOUND唯一主轴。</x:v>
      </x:c>
      <x:c r="M120" s="32" t="str">
        <x:v>由M3-BASE、日支主气及宫位动态提供。</x:v>
      </x:c>
      <x:c r="N120" s="32" t="str">
        <x:v>无／待BOUND路径规则组合</x:v>
      </x:c>
      <x:c r="O120" s="32" t="str">
        <x:v>日柱与日支近位优先；全局有效独立信号可作次通道。</x:v>
      </x:c>
      <x:c r="P120" s="32" t="str">
        <x:v>由共享基础引擎判定</x:v>
      </x:c>
      <x:c r="Q120" s="32" t="str">
        <x:v>由共享基础引擎判定</x:v>
      </x:c>
      <x:c r="R120" s="32" t="str">
        <x:v>喜忌不直接等于边界好坏；只修正调用顺畅度、资源压力和状态切换。</x:v>
      </x:c>
      <x:c r="S120" s="32" t="str">
        <x:v>原十神性质有效；真合化成立时按化神所属功能系统重建。</x:v>
      </x:c>
      <x:c r="T120" s="32" t="str">
        <x:v>由共享基础引擎判定</x:v>
      </x:c>
      <x:c r="U120" s="32" t="str">
        <x:v>68</x:v>
      </x:c>
      <x:c r="V120" s="32" t="str">
        <x:v>拒绝 +5</x:v>
      </x:c>
      <x:c r="W120" s="32" t="str">
        <x:v>refusal_style</x:v>
      </x:c>
      <x:c r="X120" s="32" t="str">
        <x:v>用户倾向提出替代方案、重新安排或缩小范围。</x:v>
      </x:c>
      <x:c r="Y120" s="32" t="str">
        <x:v>你更常通过调整时间、方式、范围或分工来表达拒绝，而不是只给出一个“不要”。</x:v>
      </x:c>
      <x:c r="Z120" s="32" t="str">
        <x:v>不得由本规则直接推出回避亲密、依赖失控、控制欲、冷漠、自私、关系破裂、分手离婚、人格或依恋类型；不得把某种边界方式等同于爱得更多或更少。</x:v>
      </x:c>
      <x:c r="AA120" s="32" t="str">
        <x:v>中</x:v>
      </x:c>
      <x:c r="AB120" s="32" t="str">
        <x:v>待验证</x:v>
      </x:c>
      <x:c r="AC120" s="32" t="str"/>
      <x:c r="AD120" s="32" t="str">
        <x:v>provisional=true; rule_group=DIM_BQ07_R02</x:v>
      </x:c>
      <x:c r="AE120" s="32" t="str">
        <x:v>0.5</x:v>
      </x:c>
    </x:row>
    <x:row r="121">
      <x:c r="A121" s="32" t="str">
        <x:v>M3-BOUND-117</x:v>
      </x:c>
      <x:c r="B121" s="32" t="str">
        <x:v>BQ07 拒绝与限制表达｜R03 延后确认</x:v>
      </x:c>
      <x:c r="C121" s="32" t="str">
        <x:v>L2 BOUND过程维度</x:v>
      </x:c>
      <x:c r="D121" s="32" t="str">
        <x:v>BOUND-过程维度</x:v>
      </x:c>
      <x:c r="E121" s="32" t="str">
        <x:v>通用</x:v>
      </x:c>
      <x:c r="F121" s="32" t="str">
        <x:v>维度状态</x:v>
      </x:c>
      <x:c r="G121" s="32" t="str">
        <x:v>BQ07</x:v>
      </x:c>
      <x:c r="H121" s="32" t="str">
        <x:v>R03</x:v>
      </x:c>
      <x:c r="I121" s="32" t="str">
        <x:v>正印、偏印或需要安全／内部整理的信号明显。</x:v>
      </x:c>
      <x:c r="J121" s="32" t="str">
        <x:v>基础信号未定；真合化后原信号已失效；只有单一弱远争议信号；或该结论会越界到M4风险、M5适配。</x:v>
      </x:c>
      <x:c r="K121" s="32" t="str">
        <x:v>由共享基础引擎与M3-STATE修正；日主承载、印比支持只修正自主与执行，不直接等于有无边界。</x:v>
      </x:c>
      <x:c r="L121" s="32" t="str">
        <x:v>不限定；夫妻星仅在入宫或形成角色、责任边界时参与接口，不作为BOUND唯一主轴。</x:v>
      </x:c>
      <x:c r="M121" s="32" t="str">
        <x:v>由M3-BASE、日支主气及宫位动态提供。</x:v>
      </x:c>
      <x:c r="N121" s="32" t="str">
        <x:v>无／待BOUND路径规则组合</x:v>
      </x:c>
      <x:c r="O121" s="32" t="str">
        <x:v>日柱与日支近位优先；全局有效独立信号可作次通道。</x:v>
      </x:c>
      <x:c r="P121" s="32" t="str">
        <x:v>由共享基础引擎判定</x:v>
      </x:c>
      <x:c r="Q121" s="32" t="str">
        <x:v>由共享基础引擎判定</x:v>
      </x:c>
      <x:c r="R121" s="32" t="str">
        <x:v>喜忌不直接等于边界好坏；只修正调用顺畅度、资源压力和状态切换。</x:v>
      </x:c>
      <x:c r="S121" s="32" t="str">
        <x:v>原十神性质有效；真合化成立时按化神所属功能系统重建。</x:v>
      </x:c>
      <x:c r="T121" s="32" t="str">
        <x:v>由共享基础引擎判定</x:v>
      </x:c>
      <x:c r="U121" s="32" t="str">
        <x:v>68</x:v>
      </x:c>
      <x:c r="V121" s="32" t="str">
        <x:v>拒绝 +5</x:v>
      </x:c>
      <x:c r="W121" s="32" t="str">
        <x:v>refusal_style</x:v>
      </x:c>
      <x:c r="X121" s="32" t="str">
        <x:v>用户先暂停接收信息或暂缓决定，再给出完整回应。</x:v>
      </x:c>
      <x:c r="Y121" s="32" t="str">
        <x:v>你可能需要先暂停、想清楚或恢复安全感，之后再给出明确答复。</x:v>
      </x:c>
      <x:c r="Z121" s="32" t="str">
        <x:v>不得由本规则直接推出回避亲密、依赖失控、控制欲、冷漠、自私、关系破裂、分手离婚、人格或依恋类型；不得把某种边界方式等同于爱得更多或更少。</x:v>
      </x:c>
      <x:c r="AA121" s="32" t="str">
        <x:v>中</x:v>
      </x:c>
      <x:c r="AB121" s="32" t="str">
        <x:v>待验证</x:v>
      </x:c>
      <x:c r="AC121" s="32" t="str"/>
      <x:c r="AD121" s="32" t="str">
        <x:v>provisional=true; rule_group=DIM_BQ07_R03</x:v>
      </x:c>
      <x:c r="AE121" s="32" t="str">
        <x:v>0.5</x:v>
      </x:c>
    </x:row>
    <x:row r="122">
      <x:c r="A122" s="32" t="str">
        <x:v>M3-BOUND-118</x:v>
      </x:c>
      <x:c r="B122" s="32" t="str">
        <x:v>BQ07 拒绝与限制表达｜R04 拒绝状态未定</x:v>
      </x:c>
      <x:c r="C122" s="32" t="str">
        <x:v>L2 BOUND过程维度</x:v>
      </x:c>
      <x:c r="D122" s="32" t="str">
        <x:v>BOUND-过程维度</x:v>
      </x:c>
      <x:c r="E122" s="32" t="str">
        <x:v>通用</x:v>
      </x:c>
      <x:c r="F122" s="32" t="str">
        <x:v>维度状态</x:v>
      </x:c>
      <x:c r="G122" s="32" t="str">
        <x:v>BQ07</x:v>
      </x:c>
      <x:c r="H122" s="32" t="str">
        <x:v>R04</x:v>
      </x:c>
      <x:c r="I122" s="32" t="str">
        <x:v>表达与执行信号不一致，或只有单次行为。</x:v>
      </x:c>
      <x:c r="J122" s="32" t="str">
        <x:v>基础信号未定；真合化后原信号已失效；只有单一弱远争议信号；或该结论会越界到M4风险、M5适配。</x:v>
      </x:c>
      <x:c r="K122" s="32" t="str">
        <x:v>由共享基础引擎与M3-STATE修正；日主承载、印比支持只修正自主与执行，不直接等于有无边界。</x:v>
      </x:c>
      <x:c r="L122" s="32" t="str">
        <x:v>不限定；夫妻星仅在入宫或形成角色、责任边界时参与接口，不作为BOUND唯一主轴。</x:v>
      </x:c>
      <x:c r="M122" s="32" t="str">
        <x:v>由M3-BASE、日支主气及宫位动态提供。</x:v>
      </x:c>
      <x:c r="N122" s="32" t="str">
        <x:v>无／待BOUND路径规则组合</x:v>
      </x:c>
      <x:c r="O122" s="32" t="str">
        <x:v>日柱与日支近位优先；全局有效独立信号可作次通道。</x:v>
      </x:c>
      <x:c r="P122" s="32" t="str">
        <x:v>由共享基础引擎判定</x:v>
      </x:c>
      <x:c r="Q122" s="32" t="str">
        <x:v>由共享基础引擎判定</x:v>
      </x:c>
      <x:c r="R122" s="32" t="str">
        <x:v>喜忌不直接等于边界好坏；只修正调用顺畅度、资源压力和状态切换。</x:v>
      </x:c>
      <x:c r="S122" s="32" t="str">
        <x:v>原十神性质有效；真合化成立时按化神所属功能系统重建。</x:v>
      </x:c>
      <x:c r="T122" s="32" t="str">
        <x:v>由共享基础引擎判定</x:v>
      </x:c>
      <x:c r="U122" s="32" t="str">
        <x:v>68</x:v>
      </x:c>
      <x:c r="V122" s="32" t="str">
        <x:v>不加分；降置信</x:v>
      </x:c>
      <x:c r="W122" s="32" t="str">
        <x:v>refusal_style</x:v>
      </x:c>
      <x:c r="X122" s="32" t="str">
        <x:v>不能把一次沉默、一次爆发或一次妥协写成固定拒绝方式。</x:v>
      </x:c>
      <x:c r="Y122" s="32" t="str">
        <x:v>目前只能判断你会在直接、协商和暂停之间选择，具体方式取决于情境。</x:v>
      </x:c>
      <x:c r="Z122" s="32" t="str">
        <x:v>不得由本规则直接推出回避亲密、依赖失控、控制欲、冷漠、自私、关系破裂、分手离婚、人格或依恋类型；不得把某种边界方式等同于爱得更多或更少。</x:v>
      </x:c>
      <x:c r="AA122" s="32" t="str">
        <x:v>中</x:v>
      </x:c>
      <x:c r="AB122" s="32" t="str">
        <x:v>待验证</x:v>
      </x:c>
      <x:c r="AC122" s="32" t="str"/>
      <x:c r="AD122" s="32" t="str">
        <x:v>provisional=true; rule_group=DIM_BQ07_R04</x:v>
      </x:c>
      <x:c r="AE122" s="32" t="str">
        <x:v>0.5</x:v>
      </x:c>
    </x:row>
    <x:row r="123">
      <x:c r="A123" s="32" t="str">
        <x:v>M3-BOUND-119</x:v>
      </x:c>
      <x:c r="B123" s="32" t="str">
        <x:v>BQ08 暂停与回归节奏｜T01 短暂停顿后回归</x:v>
      </x:c>
      <x:c r="C123" s="32" t="str">
        <x:v>L2 BOUND过程维度</x:v>
      </x:c>
      <x:c r="D123" s="32" t="str">
        <x:v>BOUND-过程维度</x:v>
      </x:c>
      <x:c r="E123" s="32" t="str">
        <x:v>通用</x:v>
      </x:c>
      <x:c r="F123" s="32" t="str">
        <x:v>维度状态</x:v>
      </x:c>
      <x:c r="G123" s="32" t="str">
        <x:v>BQ08</x:v>
      </x:c>
      <x:c r="H123" s="32" t="str">
        <x:v>T01</x:v>
      </x:c>
      <x:c r="I123" s="32" t="str">
        <x:v>比肩、伤官或中和可用信号，且有回到协商的证据。</x:v>
      </x:c>
      <x:c r="J123" s="32" t="str">
        <x:v>基础信号未定；真合化后原信号已失效；只有单一弱远争议信号；或该结论会越界到M4风险、M5适配。</x:v>
      </x:c>
      <x:c r="K123" s="32" t="str">
        <x:v>由共享基础引擎与M3-STATE修正；日主承载、印比支持只修正自主与执行，不直接等于有无边界。</x:v>
      </x:c>
      <x:c r="L123" s="32" t="str">
        <x:v>不限定；夫妻星仅在入宫或形成角色、责任边界时参与接口，不作为BOUND唯一主轴。</x:v>
      </x:c>
      <x:c r="M123" s="32" t="str">
        <x:v>由M3-BASE、日支主气及宫位动态提供。</x:v>
      </x:c>
      <x:c r="N123" s="32" t="str">
        <x:v>无／待BOUND路径规则组合</x:v>
      </x:c>
      <x:c r="O123" s="32" t="str">
        <x:v>日柱与日支近位优先；全局有效独立信号可作次通道。</x:v>
      </x:c>
      <x:c r="P123" s="32" t="str">
        <x:v>由共享基础引擎判定</x:v>
      </x:c>
      <x:c r="Q123" s="32" t="str">
        <x:v>由共享基础引擎判定</x:v>
      </x:c>
      <x:c r="R123" s="32" t="str">
        <x:v>喜忌不直接等于边界好坏；只修正调用顺畅度、资源压力和状态切换。</x:v>
      </x:c>
      <x:c r="S123" s="32" t="str">
        <x:v>原十神性质有效；真合化成立时按化神所属功能系统重建。</x:v>
      </x:c>
      <x:c r="T123" s="32" t="str">
        <x:v>由共享基础引擎判定</x:v>
      </x:c>
      <x:c r="U123" s="32" t="str">
        <x:v>68</x:v>
      </x:c>
      <x:c r="V123" s="32" t="str">
        <x:v>回归 +5</x:v>
      </x:c>
      <x:c r="W123" s="32" t="str">
        <x:v>pause_return_style</x:v>
      </x:c>
      <x:c r="X123" s="32" t="str">
        <x:v>暂停用于整理和降压，之后能较快回到讨论。</x:v>
      </x:c>
      <x:c r="Y123" s="32" t="str">
        <x:v>需要停一下时，你更可能短暂整理，随后回到问题本身继续沟通。</x:v>
      </x:c>
      <x:c r="Z123" s="32" t="str">
        <x:v>不得由本规则直接推出回避亲密、依赖失控、控制欲、冷漠、自私、关系破裂、分手离婚、人格或依恋类型；不得把某种边界方式等同于爱得更多或更少。</x:v>
      </x:c>
      <x:c r="AA123" s="32" t="str">
        <x:v>中</x:v>
      </x:c>
      <x:c r="AB123" s="32" t="str">
        <x:v>待验证</x:v>
      </x:c>
      <x:c r="AC123" s="32" t="str"/>
      <x:c r="AD123" s="32" t="str">
        <x:v>provisional=true; rule_group=DIM_BQ08_T01</x:v>
      </x:c>
      <x:c r="AE123" s="32" t="str">
        <x:v>0.5</x:v>
      </x:c>
    </x:row>
    <x:row r="124">
      <x:c r="A124" s="32" t="str">
        <x:v>M3-BOUND-120</x:v>
      </x:c>
      <x:c r="B124" s="32" t="str">
        <x:v>BQ08 暂停与回归节奏｜T02 问题处理后回归</x:v>
      </x:c>
      <x:c r="C124" s="32" t="str">
        <x:v>L2 BOUND过程维度</x:v>
      </x:c>
      <x:c r="D124" s="32" t="str">
        <x:v>BOUND-过程维度</x:v>
      </x:c>
      <x:c r="E124" s="32" t="str">
        <x:v>通用</x:v>
      </x:c>
      <x:c r="F124" s="32" t="str">
        <x:v>维度状态</x:v>
      </x:c>
      <x:c r="G124" s="32" t="str">
        <x:v>BQ08</x:v>
      </x:c>
      <x:c r="H124" s="32" t="str">
        <x:v>T02</x:v>
      </x:c>
      <x:c r="I124" s="32" t="str">
        <x:v>财官杀行动通道明显。</x:v>
      </x:c>
      <x:c r="J124" s="32" t="str">
        <x:v>基础信号未定；真合化后原信号已失效；只有单一弱远争议信号；或该结论会越界到M4风险、M5适配。</x:v>
      </x:c>
      <x:c r="K124" s="32" t="str">
        <x:v>由共享基础引擎与M3-STATE修正；日主承载、印比支持只修正自主与执行，不直接等于有无边界。</x:v>
      </x:c>
      <x:c r="L124" s="32" t="str">
        <x:v>不限定；夫妻星仅在入宫或形成角色、责任边界时参与接口，不作为BOUND唯一主轴。</x:v>
      </x:c>
      <x:c r="M124" s="32" t="str">
        <x:v>由M3-BASE、日支主气及宫位动态提供。</x:v>
      </x:c>
      <x:c r="N124" s="32" t="str">
        <x:v>无／待BOUND路径规则组合</x:v>
      </x:c>
      <x:c r="O124" s="32" t="str">
        <x:v>日柱与日支近位优先；全局有效独立信号可作次通道。</x:v>
      </x:c>
      <x:c r="P124" s="32" t="str">
        <x:v>由共享基础引擎判定</x:v>
      </x:c>
      <x:c r="Q124" s="32" t="str">
        <x:v>由共享基础引擎判定</x:v>
      </x:c>
      <x:c r="R124" s="32" t="str">
        <x:v>喜忌不直接等于边界好坏；只修正调用顺畅度、资源压力和状态切换。</x:v>
      </x:c>
      <x:c r="S124" s="32" t="str">
        <x:v>原十神性质有效；真合化成立时按化神所属功能系统重建。</x:v>
      </x:c>
      <x:c r="T124" s="32" t="str">
        <x:v>由共享基础引擎判定</x:v>
      </x:c>
      <x:c r="U124" s="32" t="str">
        <x:v>68</x:v>
      </x:c>
      <x:c r="V124" s="32" t="str">
        <x:v>回归 +5</x:v>
      </x:c>
      <x:c r="W124" s="32" t="str">
        <x:v>pause_return_style</x:v>
      </x:c>
      <x:c r="X124" s="32" t="str">
        <x:v>用户先处理现实问题、风险或责任，再恢复亲密交流。</x:v>
      </x:c>
      <x:c r="Y124" s="32" t="str">
        <x:v>你可能先把具体问题处理好，事情稳定后再回到情绪和关系沟通。</x:v>
      </x:c>
      <x:c r="Z124" s="32" t="str">
        <x:v>不得由本规则直接推出回避亲密、依赖失控、控制欲、冷漠、自私、关系破裂、分手离婚、人格或依恋类型；不得把某种边界方式等同于爱得更多或更少。</x:v>
      </x:c>
      <x:c r="AA124" s="32" t="str">
        <x:v>中</x:v>
      </x:c>
      <x:c r="AB124" s="32" t="str">
        <x:v>待验证</x:v>
      </x:c>
      <x:c r="AC124" s="32" t="str"/>
      <x:c r="AD124" s="32" t="str">
        <x:v>provisional=true; rule_group=DIM_BQ08_T02</x:v>
      </x:c>
      <x:c r="AE124" s="32" t="str">
        <x:v>0.5</x:v>
      </x:c>
    </x:row>
    <x:row r="125">
      <x:c r="A125" s="32" t="str">
        <x:v>M3-BOUND-121</x:v>
      </x:c>
      <x:c r="B125" s="32" t="str">
        <x:v>BQ08 暂停与回归节奏｜T03 安全恢复后回归</x:v>
      </x:c>
      <x:c r="C125" s="32" t="str">
        <x:v>L2 BOUND过程维度</x:v>
      </x:c>
      <x:c r="D125" s="32" t="str">
        <x:v>BOUND-过程维度</x:v>
      </x:c>
      <x:c r="E125" s="32" t="str">
        <x:v>通用</x:v>
      </x:c>
      <x:c r="F125" s="32" t="str">
        <x:v>维度状态</x:v>
      </x:c>
      <x:c r="G125" s="32" t="str">
        <x:v>BQ08</x:v>
      </x:c>
      <x:c r="H125" s="32" t="str">
        <x:v>T03</x:v>
      </x:c>
      <x:c r="I125" s="32" t="str">
        <x:v>正印、偏印或害／刑的安全确认需要明显。</x:v>
      </x:c>
      <x:c r="J125" s="32" t="str">
        <x:v>基础信号未定；真合化后原信号已失效；只有单一弱远争议信号；或该结论会越界到M4风险、M5适配。</x:v>
      </x:c>
      <x:c r="K125" s="32" t="str">
        <x:v>由共享基础引擎与M3-STATE修正；日主承载、印比支持只修正自主与执行，不直接等于有无边界。</x:v>
      </x:c>
      <x:c r="L125" s="32" t="str">
        <x:v>不限定；夫妻星仅在入宫或形成角色、责任边界时参与接口，不作为BOUND唯一主轴。</x:v>
      </x:c>
      <x:c r="M125" s="32" t="str">
        <x:v>由M3-BASE、日支主气及宫位动态提供。</x:v>
      </x:c>
      <x:c r="N125" s="32" t="str">
        <x:v>无／待BOUND路径规则组合</x:v>
      </x:c>
      <x:c r="O125" s="32" t="str">
        <x:v>日柱与日支近位优先；全局有效独立信号可作次通道。</x:v>
      </x:c>
      <x:c r="P125" s="32" t="str">
        <x:v>由共享基础引擎判定</x:v>
      </x:c>
      <x:c r="Q125" s="32" t="str">
        <x:v>由共享基础引擎判定</x:v>
      </x:c>
      <x:c r="R125" s="32" t="str">
        <x:v>喜忌不直接等于边界好坏；只修正调用顺畅度、资源压力和状态切换。</x:v>
      </x:c>
      <x:c r="S125" s="32" t="str">
        <x:v>原十神性质有效；真合化成立时按化神所属功能系统重建。</x:v>
      </x:c>
      <x:c r="T125" s="32" t="str">
        <x:v>由共享基础引擎判定</x:v>
      </x:c>
      <x:c r="U125" s="32" t="str">
        <x:v>68</x:v>
      </x:c>
      <x:c r="V125" s="32" t="str">
        <x:v>回归 +5</x:v>
      </x:c>
      <x:c r="W125" s="32" t="str">
        <x:v>pause_return_style</x:v>
      </x:c>
      <x:c r="X125" s="32" t="str">
        <x:v>用户需要重新确认被理解、被尊重或不被催促，才愿意重新开放。</x:v>
      </x:c>
      <x:c r="Y125" s="32" t="str">
        <x:v>你更容易在安全感和理解恢复以后，再重新打开交流和亲近。</x:v>
      </x:c>
      <x:c r="Z125" s="32" t="str">
        <x:v>不得由本规则直接推出回避亲密、依赖失控、控制欲、冷漠、自私、关系破裂、分手离婚、人格或依恋类型；不得把某种边界方式等同于爱得更多或更少。</x:v>
      </x:c>
      <x:c r="AA125" s="32" t="str">
        <x:v>中</x:v>
      </x:c>
      <x:c r="AB125" s="32" t="str">
        <x:v>待验证</x:v>
      </x:c>
      <x:c r="AC125" s="32" t="str"/>
      <x:c r="AD125" s="32" t="str">
        <x:v>provisional=true; rule_group=DIM_BQ08_T03</x:v>
      </x:c>
      <x:c r="AE125" s="32" t="str">
        <x:v>0.5</x:v>
      </x:c>
    </x:row>
    <x:row r="126">
      <x:c r="A126" s="32" t="str">
        <x:v>M3-BOUND-122</x:v>
      </x:c>
      <x:c r="B126" s="32" t="str">
        <x:v>BQ08 暂停与回归节奏｜T04 回归路径未定</x:v>
      </x:c>
      <x:c r="C126" s="32" t="str">
        <x:v>L2 BOUND过程维度</x:v>
      </x:c>
      <x:c r="D126" s="32" t="str">
        <x:v>BOUND-过程维度</x:v>
      </x:c>
      <x:c r="E126" s="32" t="str">
        <x:v>通用</x:v>
      </x:c>
      <x:c r="F126" s="32" t="str">
        <x:v>维度状态</x:v>
      </x:c>
      <x:c r="G126" s="32" t="str">
        <x:v>BQ08</x:v>
      </x:c>
      <x:c r="H126" s="32" t="str">
        <x:v>T04</x:v>
      </x:c>
      <x:c r="I126" s="32" t="str">
        <x:v>仅有暂停信号，无独立恢复链。</x:v>
      </x:c>
      <x:c r="J126" s="32" t="str">
        <x:v>基础信号未定；真合化后原信号已失效；只有单一弱远争议信号；或该结论会越界到M4风险、M5适配。</x:v>
      </x:c>
      <x:c r="K126" s="32" t="str">
        <x:v>由共享基础引擎与M3-STATE修正；日主承载、印比支持只修正自主与执行，不直接等于有无边界。</x:v>
      </x:c>
      <x:c r="L126" s="32" t="str">
        <x:v>不限定；夫妻星仅在入宫或形成角色、责任边界时参与接口，不作为BOUND唯一主轴。</x:v>
      </x:c>
      <x:c r="M126" s="32" t="str">
        <x:v>由M3-BASE、日支主气及宫位动态提供。</x:v>
      </x:c>
      <x:c r="N126" s="32" t="str">
        <x:v>无／待BOUND路径规则组合</x:v>
      </x:c>
      <x:c r="O126" s="32" t="str">
        <x:v>日柱与日支近位优先；全局有效独立信号可作次通道。</x:v>
      </x:c>
      <x:c r="P126" s="32" t="str">
        <x:v>由共享基础引擎判定</x:v>
      </x:c>
      <x:c r="Q126" s="32" t="str">
        <x:v>由共享基础引擎判定</x:v>
      </x:c>
      <x:c r="R126" s="32" t="str">
        <x:v>喜忌不直接等于边界好坏；只修正调用顺畅度、资源压力和状态切换。</x:v>
      </x:c>
      <x:c r="S126" s="32" t="str">
        <x:v>原十神性质有效；真合化成立时按化神所属功能系统重建。</x:v>
      </x:c>
      <x:c r="T126" s="32" t="str">
        <x:v>由共享基础引擎判定</x:v>
      </x:c>
      <x:c r="U126" s="32" t="str">
        <x:v>68</x:v>
      </x:c>
      <x:c r="V126" s="32" t="str">
        <x:v>不加分；路由REPAIR</x:v>
      </x:c>
      <x:c r="W126" s="32" t="str">
        <x:v>pause_return_style</x:v>
      </x:c>
      <x:c r="X126" s="32" t="str">
        <x:v>只能判断需要暂停，不能推断一定会怎样回到关系。</x:v>
      </x:c>
      <x:c r="Y126" s="32" t="str">
        <x:v>目前可以确认你有暂停需要，但具体怎样重新靠近，还需要结合修复模块。</x:v>
      </x:c>
      <x:c r="Z126" s="32" t="str">
        <x:v>不得由本规则直接推出回避亲密、依赖失控、控制欲、冷漠、自私、关系破裂、分手离婚、人格或依恋类型；不得把某种边界方式等同于爱得更多或更少。</x:v>
      </x:c>
      <x:c r="AA126" s="32" t="str">
        <x:v>中</x:v>
      </x:c>
      <x:c r="AB126" s="32" t="str">
        <x:v>待验证</x:v>
      </x:c>
      <x:c r="AC126" s="32" t="str"/>
      <x:c r="AD126" s="32" t="str">
        <x:v>provisional=true; rule_group=DIM_BQ08_T04</x:v>
      </x:c>
      <x:c r="AE126" s="32" t="str">
        <x:v>0.5</x:v>
      </x:c>
    </x:row>
    <x:row r="127">
      <x:c r="A127" s="32" t="str">
        <x:v>M3-BOUND-123</x:v>
      </x:c>
      <x:c r="B127" s="32" t="str">
        <x:v>BQ09 边界重新协商｜G01 即时调整</x:v>
      </x:c>
      <x:c r="C127" s="32" t="str">
        <x:v>L2 BOUND过程维度</x:v>
      </x:c>
      <x:c r="D127" s="32" t="str">
        <x:v>BOUND-过程维度</x:v>
      </x:c>
      <x:c r="E127" s="32" t="str">
        <x:v>通用</x:v>
      </x:c>
      <x:c r="F127" s="32" t="str">
        <x:v>维度状态</x:v>
      </x:c>
      <x:c r="G127" s="32" t="str">
        <x:v>BQ09</x:v>
      </x:c>
      <x:c r="H127" s="32" t="str">
        <x:v>G01</x:v>
      </x:c>
      <x:c r="I127" s="32" t="str">
        <x:v>劫财、偏财、冲或明确变化事件成立。</x:v>
      </x:c>
      <x:c r="J127" s="32" t="str">
        <x:v>基础信号未定；真合化后原信号已失效；只有单一弱远争议信号；或该结论会越界到M4风险、M5适配。</x:v>
      </x:c>
      <x:c r="K127" s="32" t="str">
        <x:v>由共享基础引擎与M3-STATE修正；日主承载、印比支持只修正自主与执行，不直接等于有无边界。</x:v>
      </x:c>
      <x:c r="L127" s="32" t="str">
        <x:v>不限定；夫妻星仅在入宫或形成角色、责任边界时参与接口，不作为BOUND唯一主轴。</x:v>
      </x:c>
      <x:c r="M127" s="32" t="str">
        <x:v>由M3-BASE、日支主气及宫位动态提供。</x:v>
      </x:c>
      <x:c r="N127" s="32" t="str">
        <x:v>无／待BOUND路径规则组合</x:v>
      </x:c>
      <x:c r="O127" s="32" t="str">
        <x:v>日柱与日支近位优先；全局有效独立信号可作次通道。</x:v>
      </x:c>
      <x:c r="P127" s="32" t="str">
        <x:v>由共享基础引擎判定</x:v>
      </x:c>
      <x:c r="Q127" s="32" t="str">
        <x:v>由共享基础引擎判定</x:v>
      </x:c>
      <x:c r="R127" s="32" t="str">
        <x:v>喜忌不直接等于边界好坏；只修正调用顺畅度、资源压力和状态切换。</x:v>
      </x:c>
      <x:c r="S127" s="32" t="str">
        <x:v>原十神性质有效；真合化成立时按化神所属功能系统重建。</x:v>
      </x:c>
      <x:c r="T127" s="32" t="str">
        <x:v>由共享基础引擎判定</x:v>
      </x:c>
      <x:c r="U127" s="32" t="str">
        <x:v>68</x:v>
      </x:c>
      <x:c r="V127" s="32" t="str">
        <x:v>重订 +5</x:v>
      </x:c>
      <x:c r="W127" s="32" t="str">
        <x:v>renegotiation_style</x:v>
      </x:c>
      <x:c r="X127" s="32" t="str">
        <x:v>边界在变化发生时迅速重订。</x:v>
      </x:c>
      <x:c r="Y127" s="32" t="str">
        <x:v>当现实发生变化时，你更愿意及时调整安排，不把旧规则机械沿用。</x:v>
      </x:c>
      <x:c r="Z127" s="32" t="str">
        <x:v>不得由本规则直接推出回避亲密、依赖失控、控制欲、冷漠、自私、关系破裂、分手离婚、人格或依恋类型；不得把某种边界方式等同于爱得更多或更少。</x:v>
      </x:c>
      <x:c r="AA127" s="32" t="str">
        <x:v>中</x:v>
      </x:c>
      <x:c r="AB127" s="32" t="str">
        <x:v>待验证</x:v>
      </x:c>
      <x:c r="AC127" s="32" t="str"/>
      <x:c r="AD127" s="32" t="str">
        <x:v>provisional=true; rule_group=DIM_BQ09_G01</x:v>
      </x:c>
      <x:c r="AE127" s="32" t="str">
        <x:v>0.5</x:v>
      </x:c>
    </x:row>
    <x:row r="128">
      <x:c r="A128" s="32" t="str">
        <x:v>M3-BOUND-124</x:v>
      </x:c>
      <x:c r="B128" s="32" t="str">
        <x:v>BQ09 边界重新协商｜G02 定期协商</x:v>
      </x:c>
      <x:c r="C128" s="32" t="str">
        <x:v>L2 BOUND过程维度</x:v>
      </x:c>
      <x:c r="D128" s="32" t="str">
        <x:v>BOUND-过程维度</x:v>
      </x:c>
      <x:c r="E128" s="32" t="str">
        <x:v>通用</x:v>
      </x:c>
      <x:c r="F128" s="32" t="str">
        <x:v>维度状态</x:v>
      </x:c>
      <x:c r="G128" s="32" t="str">
        <x:v>BQ09</x:v>
      </x:c>
      <x:c r="H128" s="32" t="str">
        <x:v>G02</x:v>
      </x:c>
      <x:c r="I128" s="32" t="str">
        <x:v>正财、正官或稳定共同安排成立。</x:v>
      </x:c>
      <x:c r="J128" s="32" t="str">
        <x:v>基础信号未定；真合化后原信号已失效；只有单一弱远争议信号；或该结论会越界到M4风险、M5适配。</x:v>
      </x:c>
      <x:c r="K128" s="32" t="str">
        <x:v>由共享基础引擎与M3-STATE修正；日主承载、印比支持只修正自主与执行，不直接等于有无边界。</x:v>
      </x:c>
      <x:c r="L128" s="32" t="str">
        <x:v>不限定；夫妻星仅在入宫或形成角色、责任边界时参与接口，不作为BOUND唯一主轴。</x:v>
      </x:c>
      <x:c r="M128" s="32" t="str">
        <x:v>由M3-BASE、日支主气及宫位动态提供。</x:v>
      </x:c>
      <x:c r="N128" s="32" t="str">
        <x:v>无／待BOUND路径规则组合</x:v>
      </x:c>
      <x:c r="O128" s="32" t="str">
        <x:v>日柱与日支近位优先；全局有效独立信号可作次通道。</x:v>
      </x:c>
      <x:c r="P128" s="32" t="str">
        <x:v>由共享基础引擎判定</x:v>
      </x:c>
      <x:c r="Q128" s="32" t="str">
        <x:v>由共享基础引擎判定</x:v>
      </x:c>
      <x:c r="R128" s="32" t="str">
        <x:v>喜忌不直接等于边界好坏；只修正调用顺畅度、资源压力和状态切换。</x:v>
      </x:c>
      <x:c r="S128" s="32" t="str">
        <x:v>原十神性质有效；真合化成立时按化神所属功能系统重建。</x:v>
      </x:c>
      <x:c r="T128" s="32" t="str">
        <x:v>由共享基础引擎判定</x:v>
      </x:c>
      <x:c r="U128" s="32" t="str">
        <x:v>68</x:v>
      </x:c>
      <x:c r="V128" s="32" t="str">
        <x:v>重订 +5</x:v>
      </x:c>
      <x:c r="W128" s="32" t="str">
        <x:v>renegotiation_style</x:v>
      </x:c>
      <x:c r="X128" s="32" t="str">
        <x:v>边界通过固定复盘、约定和分工维护。</x:v>
      </x:c>
      <x:c r="Y128" s="32" t="str">
        <x:v>你更容易通过定期确认、重新分工和明确约定来维护边界。</x:v>
      </x:c>
      <x:c r="Z128" s="32" t="str">
        <x:v>不得由本规则直接推出回避亲密、依赖失控、控制欲、冷漠、自私、关系破裂、分手离婚、人格或依恋类型；不得把某种边界方式等同于爱得更多或更少。</x:v>
      </x:c>
      <x:c r="AA128" s="32" t="str">
        <x:v>中</x:v>
      </x:c>
      <x:c r="AB128" s="32" t="str">
        <x:v>待验证</x:v>
      </x:c>
      <x:c r="AC128" s="32" t="str"/>
      <x:c r="AD128" s="32" t="str">
        <x:v>provisional=true; rule_group=DIM_BQ09_G02</x:v>
      </x:c>
      <x:c r="AE128" s="32" t="str">
        <x:v>0.5</x:v>
      </x:c>
    </x:row>
    <x:row r="129">
      <x:c r="A129" s="32" t="str">
        <x:v>M3-BOUND-125</x:v>
      </x:c>
      <x:c r="B129" s="32" t="str">
        <x:v>BQ09 边界重新协商｜G03 事件后重订</x:v>
      </x:c>
      <x:c r="C129" s="32" t="str">
        <x:v>L2 BOUND过程维度</x:v>
      </x:c>
      <x:c r="D129" s="32" t="str">
        <x:v>BOUND-过程维度</x:v>
      </x:c>
      <x:c r="E129" s="32" t="str">
        <x:v>通用</x:v>
      </x:c>
      <x:c r="F129" s="32" t="str">
        <x:v>维度状态</x:v>
      </x:c>
      <x:c r="G129" s="32" t="str">
        <x:v>BQ09</x:v>
      </x:c>
      <x:c r="H129" s="32" t="str">
        <x:v>G03</x:v>
      </x:c>
      <x:c r="I129" s="32" t="str">
        <x:v>刑、害、破或关键事件提供独立证据。</x:v>
      </x:c>
      <x:c r="J129" s="32" t="str">
        <x:v>基础信号未定；真合化后原信号已失效；只有单一弱远争议信号；或该结论会越界到M4风险、M5适配。</x:v>
      </x:c>
      <x:c r="K129" s="32" t="str">
        <x:v>由共享基础引擎与M3-STATE修正；日主承载、印比支持只修正自主与执行，不直接等于有无边界。</x:v>
      </x:c>
      <x:c r="L129" s="32" t="str">
        <x:v>不限定；夫妻星仅在入宫或形成角色、责任边界时参与接口，不作为BOUND唯一主轴。</x:v>
      </x:c>
      <x:c r="M129" s="32" t="str">
        <x:v>由M3-BASE、日支主气及宫位动态提供。</x:v>
      </x:c>
      <x:c r="N129" s="32" t="str">
        <x:v>无／待BOUND路径规则组合</x:v>
      </x:c>
      <x:c r="O129" s="32" t="str">
        <x:v>日柱与日支近位优先；全局有效独立信号可作次通道。</x:v>
      </x:c>
      <x:c r="P129" s="32" t="str">
        <x:v>由共享基础引擎判定</x:v>
      </x:c>
      <x:c r="Q129" s="32" t="str">
        <x:v>由共享基础引擎判定</x:v>
      </x:c>
      <x:c r="R129" s="32" t="str">
        <x:v>喜忌不直接等于边界好坏；只修正调用顺畅度、资源压力和状态切换。</x:v>
      </x:c>
      <x:c r="S129" s="32" t="str">
        <x:v>原十神性质有效；真合化成立时按化神所属功能系统重建。</x:v>
      </x:c>
      <x:c r="T129" s="32" t="str">
        <x:v>由共享基础引擎判定</x:v>
      </x:c>
      <x:c r="U129" s="32" t="str">
        <x:v>68</x:v>
      </x:c>
      <x:c r="V129" s="32" t="str">
        <x:v>重订 +5</x:v>
      </x:c>
      <x:c r="W129" s="32" t="str">
        <x:v>renegotiation_style</x:v>
      </x:c>
      <x:c r="X129" s="32" t="str">
        <x:v>边界在出现错位或旧安排失效后被重新定义。</x:v>
      </x:c>
      <x:c r="Y129" s="32" t="str">
        <x:v>当某次事件暴露出不合适之处，你更倾向事后把规则和权限重新说清楚。</x:v>
      </x:c>
      <x:c r="Z129" s="32" t="str">
        <x:v>不得由本规则直接推出回避亲密、依赖失控、控制欲、冷漠、自私、关系破裂、分手离婚、人格或依恋类型；不得把某种边界方式等同于爱得更多或更少。</x:v>
      </x:c>
      <x:c r="AA129" s="32" t="str">
        <x:v>中</x:v>
      </x:c>
      <x:c r="AB129" s="32" t="str">
        <x:v>待验证</x:v>
      </x:c>
      <x:c r="AC129" s="32" t="str"/>
      <x:c r="AD129" s="32" t="str">
        <x:v>provisional=true; rule_group=DIM_BQ09_G03</x:v>
      </x:c>
      <x:c r="AE129" s="32" t="str">
        <x:v>0.5</x:v>
      </x:c>
    </x:row>
    <x:row r="130">
      <x:c r="A130" s="32" t="str">
        <x:v>M3-BOUND-126</x:v>
      </x:c>
      <x:c r="B130" s="32" t="str">
        <x:v>BQ09 边界重新协商｜G04 重订状态未定</x:v>
      </x:c>
      <x:c r="C130" s="32" t="str">
        <x:v>L2 BOUND过程维度</x:v>
      </x:c>
      <x:c r="D130" s="32" t="str">
        <x:v>BOUND-过程维度</x:v>
      </x:c>
      <x:c r="E130" s="32" t="str">
        <x:v>通用</x:v>
      </x:c>
      <x:c r="F130" s="32" t="str">
        <x:v>维度状态</x:v>
      </x:c>
      <x:c r="G130" s="32" t="str">
        <x:v>BQ09</x:v>
      </x:c>
      <x:c r="H130" s="32" t="str">
        <x:v>G04</x:v>
      </x:c>
      <x:c r="I130" s="32" t="str">
        <x:v>只有宫位动态，无表达、行动或现实协商证据。</x:v>
      </x:c>
      <x:c r="J130" s="32" t="str">
        <x:v>基础信号未定；真合化后原信号已失效；只有单一弱远争议信号；或该结论会越界到M4风险、M5适配。</x:v>
      </x:c>
      <x:c r="K130" s="32" t="str">
        <x:v>由共享基础引擎与M3-STATE修正；日主承载、印比支持只修正自主与执行，不直接等于有无边界。</x:v>
      </x:c>
      <x:c r="L130" s="32" t="str">
        <x:v>不限定；夫妻星仅在入宫或形成角色、责任边界时参与接口，不作为BOUND唯一主轴。</x:v>
      </x:c>
      <x:c r="M130" s="32" t="str">
        <x:v>由M3-BASE、日支主气及宫位动态提供。</x:v>
      </x:c>
      <x:c r="N130" s="32" t="str">
        <x:v>无／待BOUND路径规则组合</x:v>
      </x:c>
      <x:c r="O130" s="32" t="str">
        <x:v>日柱与日支近位优先；全局有效独立信号可作次通道。</x:v>
      </x:c>
      <x:c r="P130" s="32" t="str">
        <x:v>由共享基础引擎判定</x:v>
      </x:c>
      <x:c r="Q130" s="32" t="str">
        <x:v>由共享基础引擎判定</x:v>
      </x:c>
      <x:c r="R130" s="32" t="str">
        <x:v>喜忌不直接等于边界好坏；只修正调用顺畅度、资源压力和状态切换。</x:v>
      </x:c>
      <x:c r="S130" s="32" t="str">
        <x:v>原十神性质有效；真合化成立时按化神所属功能系统重建。</x:v>
      </x:c>
      <x:c r="T130" s="32" t="str">
        <x:v>由共享基础引擎判定</x:v>
      </x:c>
      <x:c r="U130" s="32" t="str">
        <x:v>68</x:v>
      </x:c>
      <x:c r="V130" s="32" t="str">
        <x:v>不加分；降置信</x:v>
      </x:c>
      <x:c r="W130" s="32" t="str">
        <x:v>renegotiation_style</x:v>
      </x:c>
      <x:c r="X130" s="32" t="str">
        <x:v>不能仅凭刑冲合害破确定现实协商方式。</x:v>
      </x:c>
      <x:c r="Y130" s="32" t="str">
        <x:v>目前只能说明关系边界可能需要调整，具体怎样调整还需看真实沟通。</x:v>
      </x:c>
      <x:c r="Z130" s="32" t="str">
        <x:v>不得由本规则直接推出回避亲密、依赖失控、控制欲、冷漠、自私、关系破裂、分手离婚、人格或依恋类型；不得把某种边界方式等同于爱得更多或更少。</x:v>
      </x:c>
      <x:c r="AA130" s="32" t="str">
        <x:v>中</x:v>
      </x:c>
      <x:c r="AB130" s="32" t="str">
        <x:v>待验证</x:v>
      </x:c>
      <x:c r="AC130" s="32" t="str"/>
      <x:c r="AD130" s="32" t="str">
        <x:v>provisional=true; rule_group=DIM_BQ09_G04</x:v>
      </x:c>
      <x:c r="AE130" s="32" t="str">
        <x:v>0.5</x:v>
      </x:c>
    </x:row>
    <x:row r="131">
      <x:c r="A131" s="32" t="str">
        <x:v>M3-BOUND-127</x:v>
      </x:c>
      <x:c r="B131" s="32" t="str">
        <x:v>BQ10 接受照顾与保留自主｜C01 直接接收</x:v>
      </x:c>
      <x:c r="C131" s="32" t="str">
        <x:v>L2 BOUND过程维度</x:v>
      </x:c>
      <x:c r="D131" s="32" t="str">
        <x:v>BOUND-过程维度</x:v>
      </x:c>
      <x:c r="E131" s="32" t="str">
        <x:v>通用</x:v>
      </x:c>
      <x:c r="F131" s="32" t="str">
        <x:v>维度状态</x:v>
      </x:c>
      <x:c r="G131" s="32" t="str">
        <x:v>BQ10</x:v>
      </x:c>
      <x:c r="H131" s="32" t="str">
        <x:v>C01</x:v>
      </x:c>
      <x:c r="I131" s="32" t="str">
        <x:v>正印、正财、正官或信任证据可靠，且无强烈权限冲突。</x:v>
      </x:c>
      <x:c r="J131" s="32" t="str">
        <x:v>基础信号未定；真合化后原信号已失效；只有单一弱远争议信号；或该结论会越界到M4风险、M5适配。</x:v>
      </x:c>
      <x:c r="K131" s="32" t="str">
        <x:v>由共享基础引擎与M3-STATE修正；日主承载、印比支持只修正自主与执行，不直接等于有无边界。</x:v>
      </x:c>
      <x:c r="L131" s="32" t="str">
        <x:v>不限定；夫妻星仅在入宫或形成角色、责任边界时参与接口，不作为BOUND唯一主轴。</x:v>
      </x:c>
      <x:c r="M131" s="32" t="str">
        <x:v>由M3-BASE、日支主气及宫位动态提供。</x:v>
      </x:c>
      <x:c r="N131" s="32" t="str">
        <x:v>无／待BOUND路径规则组合</x:v>
      </x:c>
      <x:c r="O131" s="32" t="str">
        <x:v>日柱与日支近位优先；全局有效独立信号可作次通道。</x:v>
      </x:c>
      <x:c r="P131" s="32" t="str">
        <x:v>由共享基础引擎判定</x:v>
      </x:c>
      <x:c r="Q131" s="32" t="str">
        <x:v>由共享基础引擎判定</x:v>
      </x:c>
      <x:c r="R131" s="32" t="str">
        <x:v>喜忌不直接等于边界好坏；只修正调用顺畅度、资源压力和状态切换。</x:v>
      </x:c>
      <x:c r="S131" s="32" t="str">
        <x:v>原十神性质有效；真合化成立时按化神所属功能系统重建。</x:v>
      </x:c>
      <x:c r="T131" s="32" t="str">
        <x:v>由共享基础引擎判定</x:v>
      </x:c>
      <x:c r="U131" s="32" t="str">
        <x:v>68</x:v>
      </x:c>
      <x:c r="V131" s="32" t="str">
        <x:v>接收 +5</x:v>
      </x:c>
      <x:c r="W131" s="32" t="str">
        <x:v>support_acceptance_boundary</x:v>
      </x:c>
      <x:c r="X131" s="32" t="str">
        <x:v>用户在支持清楚、可靠时能够直接接受。</x:v>
      </x:c>
      <x:c r="Y131" s="32" t="str">
        <x:v>当帮助方式清楚、可靠并尊重你时，你通常能够直接接收。</x:v>
      </x:c>
      <x:c r="Z131" s="32" t="str">
        <x:v>不得由本规则直接推出回避亲密、依赖失控、控制欲、冷漠、自私、关系破裂、分手离婚、人格或依恋类型；不得把某种边界方式等同于爱得更多或更少。</x:v>
      </x:c>
      <x:c r="AA131" s="32" t="str">
        <x:v>中</x:v>
      </x:c>
      <x:c r="AB131" s="32" t="str">
        <x:v>待验证</x:v>
      </x:c>
      <x:c r="AC131" s="32" t="str"/>
      <x:c r="AD131" s="32" t="str">
        <x:v>provisional=true; rule_group=DIM_BQ10_C01</x:v>
      </x:c>
      <x:c r="AE131" s="32" t="str">
        <x:v>0.5</x:v>
      </x:c>
    </x:row>
    <x:row r="132">
      <x:c r="A132" s="32" t="str">
        <x:v>M3-BOUND-128</x:v>
      </x:c>
      <x:c r="B132" s="32" t="str">
        <x:v>BQ10 接受照顾与保留自主｜C02 保留参与权后接收</x:v>
      </x:c>
      <x:c r="C132" s="32" t="str">
        <x:v>L2 BOUND过程维度</x:v>
      </x:c>
      <x:c r="D132" s="32" t="str">
        <x:v>BOUND-过程维度</x:v>
      </x:c>
      <x:c r="E132" s="32" t="str">
        <x:v>通用</x:v>
      </x:c>
      <x:c r="F132" s="32" t="str">
        <x:v>维度状态</x:v>
      </x:c>
      <x:c r="G132" s="32" t="str">
        <x:v>BQ10</x:v>
      </x:c>
      <x:c r="H132" s="32" t="str">
        <x:v>C02</x:v>
      </x:c>
      <x:c r="I132" s="32" t="str">
        <x:v>比肩、劫财或双方协作证据明显。</x:v>
      </x:c>
      <x:c r="J132" s="32" t="str">
        <x:v>基础信号未定；真合化后原信号已失效；只有单一弱远争议信号；或该结论会越界到M4风险、M5适配。</x:v>
      </x:c>
      <x:c r="K132" s="32" t="str">
        <x:v>由共享基础引擎与M3-STATE修正；日主承载、印比支持只修正自主与执行，不直接等于有无边界。</x:v>
      </x:c>
      <x:c r="L132" s="32" t="str">
        <x:v>不限定；夫妻星仅在入宫或形成角色、责任边界时参与接口，不作为BOUND唯一主轴。</x:v>
      </x:c>
      <x:c r="M132" s="32" t="str">
        <x:v>由M3-BASE、日支主气及宫位动态提供。</x:v>
      </x:c>
      <x:c r="N132" s="32" t="str">
        <x:v>无／待BOUND路径规则组合</x:v>
      </x:c>
      <x:c r="O132" s="32" t="str">
        <x:v>日柱与日支近位优先；全局有效独立信号可作次通道。</x:v>
      </x:c>
      <x:c r="P132" s="32" t="str">
        <x:v>由共享基础引擎判定</x:v>
      </x:c>
      <x:c r="Q132" s="32" t="str">
        <x:v>由共享基础引擎判定</x:v>
      </x:c>
      <x:c r="R132" s="32" t="str">
        <x:v>喜忌不直接等于边界好坏；只修正调用顺畅度、资源压力和状态切换。</x:v>
      </x:c>
      <x:c r="S132" s="32" t="str">
        <x:v>原十神性质有效；真合化成立时按化神所属功能系统重建。</x:v>
      </x:c>
      <x:c r="T132" s="32" t="str">
        <x:v>由共享基础引擎判定</x:v>
      </x:c>
      <x:c r="U132" s="32" t="str">
        <x:v>68</x:v>
      </x:c>
      <x:c r="V132" s="32" t="str">
        <x:v>接收 +5</x:v>
      </x:c>
      <x:c r="W132" s="32" t="str">
        <x:v>support_acceptance_boundary</x:v>
      </x:c>
      <x:c r="X132" s="32" t="str">
        <x:v>用户需要自己仍能参与、决定或执行一部分。</x:v>
      </x:c>
      <x:c r="Y132" s="32" t="str">
        <x:v>你更容易接受保留参与感和选择权的帮助，而不是被完全替代。</x:v>
      </x:c>
      <x:c r="Z132" s="32" t="str">
        <x:v>不得由本规则直接推出回避亲密、依赖失控、控制欲、冷漠、自私、关系破裂、分手离婚、人格或依恋类型；不得把某种边界方式等同于爱得更多或更少。</x:v>
      </x:c>
      <x:c r="AA132" s="32" t="str">
        <x:v>中</x:v>
      </x:c>
      <x:c r="AB132" s="32" t="str">
        <x:v>待验证</x:v>
      </x:c>
      <x:c r="AC132" s="32" t="str"/>
      <x:c r="AD132" s="32" t="str">
        <x:v>provisional=true; rule_group=DIM_BQ10_C02</x:v>
      </x:c>
      <x:c r="AE132" s="32" t="str">
        <x:v>0.5</x:v>
      </x:c>
    </x:row>
    <x:row r="133">
      <x:c r="A133" s="32" t="str">
        <x:v>M3-BOUND-129</x:v>
      </x:c>
      <x:c r="B133" s="32" t="str">
        <x:v>BQ10 接受照顾与保留自主｜C03 先验证再接收</x:v>
      </x:c>
      <x:c r="C133" s="32" t="str">
        <x:v>L2 BOUND过程维度</x:v>
      </x:c>
      <x:c r="D133" s="32" t="str">
        <x:v>BOUND-过程维度</x:v>
      </x:c>
      <x:c r="E133" s="32" t="str">
        <x:v>通用</x:v>
      </x:c>
      <x:c r="F133" s="32" t="str">
        <x:v>维度状态</x:v>
      </x:c>
      <x:c r="G133" s="32" t="str">
        <x:v>BQ10</x:v>
      </x:c>
      <x:c r="H133" s="32" t="str">
        <x:v>C03</x:v>
      </x:c>
      <x:c r="I133" s="32" t="str">
        <x:v>正官、正财、偏印或持续性门槛明显。</x:v>
      </x:c>
      <x:c r="J133" s="32" t="str">
        <x:v>基础信号未定；真合化后原信号已失效；只有单一弱远争议信号；或该结论会越界到M4风险、M5适配。</x:v>
      </x:c>
      <x:c r="K133" s="32" t="str">
        <x:v>由共享基础引擎与M3-STATE修正；日主承载、印比支持只修正自主与执行，不直接等于有无边界。</x:v>
      </x:c>
      <x:c r="L133" s="32" t="str">
        <x:v>不限定；夫妻星仅在入宫或形成角色、责任边界时参与接口，不作为BOUND唯一主轴。</x:v>
      </x:c>
      <x:c r="M133" s="32" t="str">
        <x:v>由M3-BASE、日支主气及宫位动态提供。</x:v>
      </x:c>
      <x:c r="N133" s="32" t="str">
        <x:v>无／待BOUND路径规则组合</x:v>
      </x:c>
      <x:c r="O133" s="32" t="str">
        <x:v>日柱与日支近位优先；全局有效独立信号可作次通道。</x:v>
      </x:c>
      <x:c r="P133" s="32" t="str">
        <x:v>由共享基础引擎判定</x:v>
      </x:c>
      <x:c r="Q133" s="32" t="str">
        <x:v>由共享基础引擎判定</x:v>
      </x:c>
      <x:c r="R133" s="32" t="str">
        <x:v>喜忌不直接等于边界好坏；只修正调用顺畅度、资源压力和状态切换。</x:v>
      </x:c>
      <x:c r="S133" s="32" t="str">
        <x:v>原十神性质有效；真合化成立时按化神所属功能系统重建。</x:v>
      </x:c>
      <x:c r="T133" s="32" t="str">
        <x:v>由共享基础引擎判定</x:v>
      </x:c>
      <x:c r="U133" s="32" t="str">
        <x:v>68</x:v>
      </x:c>
      <x:c r="V133" s="32" t="str">
        <x:v>接收 +5</x:v>
      </x:c>
      <x:c r="W133" s="32" t="str">
        <x:v>support_acceptance_boundary</x:v>
      </x:c>
      <x:c r="X133" s="32" t="str">
        <x:v>用户先看对方是否持续、是否真正理解，再把帮助视为可依赖。</x:v>
      </x:c>
      <x:c r="Y133" s="32" t="str">
        <x:v>你可能先观察这份帮助能否持续、是否真正适合，再逐步接受。</x:v>
      </x:c>
      <x:c r="Z133" s="32" t="str">
        <x:v>不得由本规则直接推出回避亲密、依赖失控、控制欲、冷漠、自私、关系破裂、分手离婚、人格或依恋类型；不得把某种边界方式等同于爱得更多或更少。</x:v>
      </x:c>
      <x:c r="AA133" s="32" t="str">
        <x:v>中</x:v>
      </x:c>
      <x:c r="AB133" s="32" t="str">
        <x:v>待验证</x:v>
      </x:c>
      <x:c r="AC133" s="32" t="str"/>
      <x:c r="AD133" s="32" t="str">
        <x:v>provisional=true; rule_group=DIM_BQ10_C03</x:v>
      </x:c>
      <x:c r="AE133" s="32" t="str">
        <x:v>0.5</x:v>
      </x:c>
    </x:row>
    <x:row r="134">
      <x:c r="A134" s="32" t="str">
        <x:v>M3-BOUND-130</x:v>
      </x:c>
      <x:c r="B134" s="32" t="str">
        <x:v>BQ10 接受照顾与保留自主｜C04 选择性接收</x:v>
      </x:c>
      <x:c r="C134" s="32" t="str">
        <x:v>L2 BOUND过程维度</x:v>
      </x:c>
      <x:c r="D134" s="32" t="str">
        <x:v>BOUND-过程维度</x:v>
      </x:c>
      <x:c r="E134" s="32" t="str">
        <x:v>通用</x:v>
      </x:c>
      <x:c r="F134" s="32" t="str">
        <x:v>维度状态</x:v>
      </x:c>
      <x:c r="G134" s="32" t="str">
        <x:v>BQ10</x:v>
      </x:c>
      <x:c r="H134" s="32" t="str">
        <x:v>C04</x:v>
      </x:c>
      <x:c r="I134" s="32" t="str">
        <x:v>偏印、伤官或专业匹配信号明显。</x:v>
      </x:c>
      <x:c r="J134" s="32" t="str">
        <x:v>基础信号未定；真合化后原信号已失效；只有单一弱远争议信号；或该结论会越界到M4风险、M5适配。</x:v>
      </x:c>
      <x:c r="K134" s="32" t="str">
        <x:v>由共享基础引擎与M3-STATE修正；日主承载、印比支持只修正自主与执行，不直接等于有无边界。</x:v>
      </x:c>
      <x:c r="L134" s="32" t="str">
        <x:v>不限定；夫妻星仅在入宫或形成角色、责任边界时参与接口，不作为BOUND唯一主轴。</x:v>
      </x:c>
      <x:c r="M134" s="32" t="str">
        <x:v>由M3-BASE、日支主气及宫位动态提供。</x:v>
      </x:c>
      <x:c r="N134" s="32" t="str">
        <x:v>无／待BOUND路径规则组合</x:v>
      </x:c>
      <x:c r="O134" s="32" t="str">
        <x:v>日柱与日支近位优先；全局有效独立信号可作次通道。</x:v>
      </x:c>
      <x:c r="P134" s="32" t="str">
        <x:v>由共享基础引擎判定</x:v>
      </x:c>
      <x:c r="Q134" s="32" t="str">
        <x:v>由共享基础引擎判定</x:v>
      </x:c>
      <x:c r="R134" s="32" t="str">
        <x:v>喜忌不直接等于边界好坏；只修正调用顺畅度、资源压力和状态切换。</x:v>
      </x:c>
      <x:c r="S134" s="32" t="str">
        <x:v>原十神性质有效；真合化成立时按化神所属功能系统重建。</x:v>
      </x:c>
      <x:c r="T134" s="32" t="str">
        <x:v>由共享基础引擎判定</x:v>
      </x:c>
      <x:c r="U134" s="32" t="str">
        <x:v>68</x:v>
      </x:c>
      <x:c r="V134" s="32" t="str">
        <x:v>接收 +5</x:v>
      </x:c>
      <x:c r="W134" s="32" t="str">
        <x:v>support_acceptance_boundary</x:v>
      </x:c>
      <x:c r="X134" s="32" t="str">
        <x:v>用户只接收与核心需要匹配、不过度侵入的部分。</x:v>
      </x:c>
      <x:c r="Y134" s="32" t="str">
        <x:v>你更愿意接收精准、尊重复杂性、不过度干预的帮助。</x:v>
      </x:c>
      <x:c r="Z134" s="32" t="str">
        <x:v>不得由本规则直接推出回避亲密、依赖失控、控制欲、冷漠、自私、关系破裂、分手离婚、人格或依恋类型；不得把某种边界方式等同于爱得更多或更少。</x:v>
      </x:c>
      <x:c r="AA134" s="32" t="str">
        <x:v>中</x:v>
      </x:c>
      <x:c r="AB134" s="32" t="str">
        <x:v>待验证</x:v>
      </x:c>
      <x:c r="AC134" s="32" t="str"/>
      <x:c r="AD134" s="32" t="str">
        <x:v>provisional=true; rule_group=DIM_BQ10_C04</x:v>
      </x:c>
      <x:c r="AE134" s="32" t="str">
        <x:v>0.5</x:v>
      </x:c>
    </x:row>
    <x:row r="135">
      <x:c r="A135" s="32" t="str">
        <x:v>M3-BOUND-131</x:v>
      </x:c>
      <x:c r="B135" s="32" t="str">
        <x:v>BP01 平等协商型｜模式定义</x:v>
      </x:c>
      <x:c r="C135" s="32" t="str">
        <x:v>L3 BOUND模式</x:v>
      </x:c>
      <x:c r="D135" s="32" t="str">
        <x:v>BOUND-边界模式</x:v>
      </x:c>
      <x:c r="E135" s="32" t="str">
        <x:v>通用</x:v>
      </x:c>
      <x:c r="F135" s="32" t="str">
        <x:v>模式定义</x:v>
      </x:c>
      <x:c r="G135" s="32" t="str">
        <x:v>BP01</x:v>
      </x:c>
      <x:c r="H135" s="32" t="str"/>
      <x:c r="I135" s="32" t="str">
        <x:v>BD01有效，且自主或协商维度至少一项可靠；不得只有单一弱远比肩。</x:v>
      </x:c>
      <x:c r="J135" s="32" t="str">
        <x:v>基础信号未定；真合化后原信号已失效；只有单一弱远争议信号；或该结论会越界到M4风险、M5适配。</x:v>
      </x:c>
      <x:c r="K135" s="32" t="str">
        <x:v>由共享基础引擎与M3-STATE修正；日主承载、印比支持只修正自主与执行，不直接等于有无边界。</x:v>
      </x:c>
      <x:c r="L135" s="32" t="str">
        <x:v>不限定；夫妻星仅在入宫或形成角色、责任边界时参与接口，不作为BOUND唯一主轴。</x:v>
      </x:c>
      <x:c r="M135" s="32" t="str">
        <x:v>由M3-BASE、日支主气及宫位动态提供。</x:v>
      </x:c>
      <x:c r="N135" s="32" t="str">
        <x:v>无／待BOUND路径规则组合</x:v>
      </x:c>
      <x:c r="O135" s="32" t="str">
        <x:v>日柱与日支近位优先；全局有效独立信号可作次通道。</x:v>
      </x:c>
      <x:c r="P135" s="32" t="str">
        <x:v>由共享基础引擎判定</x:v>
      </x:c>
      <x:c r="Q135" s="32" t="str">
        <x:v>由共享基础引擎判定</x:v>
      </x:c>
      <x:c r="R135" s="32" t="str">
        <x:v>喜忌不直接等于边界好坏；只修正调用顺畅度、资源压力和状态切换。</x:v>
      </x:c>
      <x:c r="S135" s="32" t="str">
        <x:v>原十神性质有效；真合化成立时按化神所属功能系统重建。</x:v>
      </x:c>
      <x:c r="T135" s="32" t="str">
        <x:v>由共享基础引擎判定</x:v>
      </x:c>
      <x:c r="U135" s="32" t="str">
        <x:v>70</x:v>
      </x:c>
      <x:c r="V135" s="32" t="str">
        <x:v>模式候选 +10</x:v>
      </x:c>
      <x:c r="W135" s="32" t="str">
        <x:v>boundary_pattern</x:v>
      </x:c>
      <x:c r="X135" s="32" t="str">
        <x:v>以平等、各自负责和共同讨论维持边界。</x:v>
      </x:c>
      <x:c r="Y135" s="32" t="str">
        <x:v>你的边界模式更接近“平等协商型”：以平等、各自负责和共同讨论维持边界。</x:v>
      </x:c>
      <x:c r="Z135" s="32" t="str">
        <x:v>不得由本规则直接推出回避亲密、依赖失控、控制欲、冷漠、自私、关系破裂、分手离婚、人格或依恋类型；不得把某种边界方式等同于爱得更多或更少。</x:v>
      </x:c>
      <x:c r="AA135" s="32" t="str">
        <x:v>中高</x:v>
      </x:c>
      <x:c r="AB135" s="32" t="str">
        <x:v>待验证</x:v>
      </x:c>
      <x:c r="AC135" s="32" t="str"/>
      <x:c r="AD135" s="32" t="str">
        <x:v>provisional=true; rule_group=PATTERN_BP01_DEF</x:v>
      </x:c>
      <x:c r="AE135" s="32" t="str">
        <x:v>0.5</x:v>
      </x:c>
    </x:row>
    <x:row r="136">
      <x:c r="A136" s="32" t="str">
        <x:v>M3-BOUND-132</x:v>
      </x:c>
      <x:c r="B136" s="32" t="str">
        <x:v>BP01 平等协商型｜成立与输出门槛</x:v>
      </x:c>
      <x:c r="C136" s="32" t="str">
        <x:v>L3 BOUND模式</x:v>
      </x:c>
      <x:c r="D136" s="32" t="str">
        <x:v>BOUND-边界模式</x:v>
      </x:c>
      <x:c r="E136" s="32" t="str">
        <x:v>通用</x:v>
      </x:c>
      <x:c r="F136" s="32" t="str">
        <x:v>模式门槛</x:v>
      </x:c>
      <x:c r="G136" s="32" t="str">
        <x:v>BP01</x:v>
      </x:c>
      <x:c r="H136" s="32" t="str"/>
      <x:c r="I136" s="32" t="str">
        <x:v>BD01有效，且自主或协商维度至少一项可靠；不得只有单一弱远比肩。；并至少有两类独立证据相互支持。</x:v>
      </x:c>
      <x:c r="J136" s="32" t="str">
        <x:v>基础信号未定；真合化后原信号已失效；只有单一弱远争议信号；或该结论会越界到M4风险、M5适配。</x:v>
      </x:c>
      <x:c r="K136" s="32" t="str">
        <x:v>由共享基础引擎与M3-STATE修正；日主承载、印比支持只修正自主与执行，不直接等于有无边界。</x:v>
      </x:c>
      <x:c r="L136" s="32" t="str">
        <x:v>不限定；夫妻星仅在入宫或形成角色、责任边界时参与接口，不作为BOUND唯一主轴。</x:v>
      </x:c>
      <x:c r="M136" s="32" t="str">
        <x:v>由M3-BASE、日支主气及宫位动态提供。</x:v>
      </x:c>
      <x:c r="N136" s="32" t="str">
        <x:v>无／待BOUND路径规则组合</x:v>
      </x:c>
      <x:c r="O136" s="32" t="str">
        <x:v>日柱与日支近位优先；全局有效独立信号可作次通道。</x:v>
      </x:c>
      <x:c r="P136" s="32" t="str">
        <x:v>由共享基础引擎判定</x:v>
      </x:c>
      <x:c r="Q136" s="32" t="str">
        <x:v>由共享基础引擎判定</x:v>
      </x:c>
      <x:c r="R136" s="32" t="str">
        <x:v>喜忌不直接等于边界好坏；只修正调用顺畅度、资源压力和状态切换。</x:v>
      </x:c>
      <x:c r="S136" s="32" t="str">
        <x:v>原十神性质有效；真合化成立时按化神所属功能系统重建。</x:v>
      </x:c>
      <x:c r="T136" s="32" t="str">
        <x:v>由共享基础引擎判定</x:v>
      </x:c>
      <x:c r="U136" s="32" t="str">
        <x:v>82</x:v>
      </x:c>
      <x:c r="V136" s="32" t="str">
        <x:v>达到门槛后写入主模式；否则降为候选</x:v>
      </x:c>
      <x:c r="W136" s="32" t="str">
        <x:v>boundary_pattern</x:v>
      </x:c>
      <x:c r="X136" s="32" t="str">
        <x:v>模式标签只能在通道、过程维度、日支或现实行为形成独立证据链后输出。</x:v>
      </x:c>
      <x:c r="Y136" s="32" t="str">
        <x:v>这一判断看的是你怎样安排亲密、空间和决定权，不代表其他方式缺失。</x:v>
      </x:c>
      <x:c r="Z136" s="32" t="str">
        <x:v>不得由本规则直接推出回避亲密、依赖失控、控制欲、冷漠、自私、关系破裂、分手离婚、人格或依恋类型；不得把某种边界方式等同于爱得更多或更少。</x:v>
      </x:c>
      <x:c r="AA136" s="32" t="str">
        <x:v>中</x:v>
      </x:c>
      <x:c r="AB136" s="32" t="str">
        <x:v>待验证</x:v>
      </x:c>
      <x:c r="AC136" s="32" t="str"/>
      <x:c r="AD136" s="32" t="str">
        <x:v>provisional=true; rule_group=PATTERN_BP01_GATE</x:v>
      </x:c>
      <x:c r="AE136" s="32" t="str">
        <x:v>0.5</x:v>
      </x:c>
    </x:row>
    <x:row r="137">
      <x:c r="A137" s="32" t="str">
        <x:v>M3-BOUND-133</x:v>
      </x:c>
      <x:c r="B137" s="32" t="str">
        <x:v>BP02 共同参与型｜模式定义</x:v>
      </x:c>
      <x:c r="C137" s="32" t="str">
        <x:v>L3 BOUND模式</x:v>
      </x:c>
      <x:c r="D137" s="32" t="str">
        <x:v>BOUND-边界模式</x:v>
      </x:c>
      <x:c r="E137" s="32" t="str">
        <x:v>通用</x:v>
      </x:c>
      <x:c r="F137" s="32" t="str">
        <x:v>模式定义</x:v>
      </x:c>
      <x:c r="G137" s="32" t="str">
        <x:v>BP02</x:v>
      </x:c>
      <x:c r="H137" s="32" t="str"/>
      <x:c r="I137" s="32" t="str">
        <x:v>BD02有效，且共同活动靠近、共同决定或行动接收至少一项可靠。</x:v>
      </x:c>
      <x:c r="J137" s="32" t="str">
        <x:v>基础信号未定；真合化后原信号已失效；只有单一弱远争议信号；或该结论会越界到M4风险、M5适配。</x:v>
      </x:c>
      <x:c r="K137" s="32" t="str">
        <x:v>由共享基础引擎与M3-STATE修正；日主承载、印比支持只修正自主与执行，不直接等于有无边界。</x:v>
      </x:c>
      <x:c r="L137" s="32" t="str">
        <x:v>不限定；夫妻星仅在入宫或形成角色、责任边界时参与接口，不作为BOUND唯一主轴。</x:v>
      </x:c>
      <x:c r="M137" s="32" t="str">
        <x:v>由M3-BASE、日支主气及宫位动态提供。</x:v>
      </x:c>
      <x:c r="N137" s="32" t="str">
        <x:v>无／待BOUND路径规则组合</x:v>
      </x:c>
      <x:c r="O137" s="32" t="str">
        <x:v>日柱与日支近位优先；全局有效独立信号可作次通道。</x:v>
      </x:c>
      <x:c r="P137" s="32" t="str">
        <x:v>由共享基础引擎判定</x:v>
      </x:c>
      <x:c r="Q137" s="32" t="str">
        <x:v>由共享基础引擎判定</x:v>
      </x:c>
      <x:c r="R137" s="32" t="str">
        <x:v>喜忌不直接等于边界好坏；只修正调用顺畅度、资源压力和状态切换。</x:v>
      </x:c>
      <x:c r="S137" s="32" t="str">
        <x:v>原十神性质有效；真合化成立时按化神所属功能系统重建。</x:v>
      </x:c>
      <x:c r="T137" s="32" t="str">
        <x:v>由共享基础引擎判定</x:v>
      </x:c>
      <x:c r="U137" s="32" t="str">
        <x:v>70</x:v>
      </x:c>
      <x:c r="V137" s="32" t="str">
        <x:v>模式候选 +10</x:v>
      </x:c>
      <x:c r="W137" s="32" t="str">
        <x:v>boundary_pattern</x:v>
      </x:c>
      <x:c r="X137" s="32" t="str">
        <x:v>边界在一起做事和即时互动中形成，重视双方都参与。</x:v>
      </x:c>
      <x:c r="Y137" s="32" t="str">
        <x:v>你的边界模式更接近“共同参与型”：边界在一起做事和即时互动中形成，重视双方都参与。</x:v>
      </x:c>
      <x:c r="Z137" s="32" t="str">
        <x:v>不得由本规则直接推出回避亲密、依赖失控、控制欲、冷漠、自私、关系破裂、分手离婚、人格或依恋类型；不得把某种边界方式等同于爱得更多或更少。</x:v>
      </x:c>
      <x:c r="AA137" s="32" t="str">
        <x:v>中高</x:v>
      </x:c>
      <x:c r="AB137" s="32" t="str">
        <x:v>待验证</x:v>
      </x:c>
      <x:c r="AC137" s="32" t="str"/>
      <x:c r="AD137" s="32" t="str">
        <x:v>provisional=true; rule_group=PATTERN_BP02_DEF</x:v>
      </x:c>
      <x:c r="AE137" s="32" t="str">
        <x:v>0.5</x:v>
      </x:c>
    </x:row>
    <x:row r="138">
      <x:c r="A138" s="32" t="str">
        <x:v>M3-BOUND-134</x:v>
      </x:c>
      <x:c r="B138" s="32" t="str">
        <x:v>BP02 共同参与型｜成立与输出门槛</x:v>
      </x:c>
      <x:c r="C138" s="32" t="str">
        <x:v>L3 BOUND模式</x:v>
      </x:c>
      <x:c r="D138" s="32" t="str">
        <x:v>BOUND-边界模式</x:v>
      </x:c>
      <x:c r="E138" s="32" t="str">
        <x:v>通用</x:v>
      </x:c>
      <x:c r="F138" s="32" t="str">
        <x:v>模式门槛</x:v>
      </x:c>
      <x:c r="G138" s="32" t="str">
        <x:v>BP02</x:v>
      </x:c>
      <x:c r="H138" s="32" t="str"/>
      <x:c r="I138" s="32" t="str">
        <x:v>BD02有效，且共同活动靠近、共同决定或行动接收至少一项可靠。；并至少有两类独立证据相互支持。</x:v>
      </x:c>
      <x:c r="J138" s="32" t="str">
        <x:v>基础信号未定；真合化后原信号已失效；只有单一弱远争议信号；或该结论会越界到M4风险、M5适配。</x:v>
      </x:c>
      <x:c r="K138" s="32" t="str">
        <x:v>由共享基础引擎与M3-STATE修正；日主承载、印比支持只修正自主与执行，不直接等于有无边界。</x:v>
      </x:c>
      <x:c r="L138" s="32" t="str">
        <x:v>不限定；夫妻星仅在入宫或形成角色、责任边界时参与接口，不作为BOUND唯一主轴。</x:v>
      </x:c>
      <x:c r="M138" s="32" t="str">
        <x:v>由M3-BASE、日支主气及宫位动态提供。</x:v>
      </x:c>
      <x:c r="N138" s="32" t="str">
        <x:v>无／待BOUND路径规则组合</x:v>
      </x:c>
      <x:c r="O138" s="32" t="str">
        <x:v>日柱与日支近位优先；全局有效独立信号可作次通道。</x:v>
      </x:c>
      <x:c r="P138" s="32" t="str">
        <x:v>由共享基础引擎判定</x:v>
      </x:c>
      <x:c r="Q138" s="32" t="str">
        <x:v>由共享基础引擎判定</x:v>
      </x:c>
      <x:c r="R138" s="32" t="str">
        <x:v>喜忌不直接等于边界好坏；只修正调用顺畅度、资源压力和状态切换。</x:v>
      </x:c>
      <x:c r="S138" s="32" t="str">
        <x:v>原十神性质有效；真合化成立时按化神所属功能系统重建。</x:v>
      </x:c>
      <x:c r="T138" s="32" t="str">
        <x:v>由共享基础引擎判定</x:v>
      </x:c>
      <x:c r="U138" s="32" t="str">
        <x:v>82</x:v>
      </x:c>
      <x:c r="V138" s="32" t="str">
        <x:v>达到门槛后写入主模式；否则降为候选</x:v>
      </x:c>
      <x:c r="W138" s="32" t="str">
        <x:v>boundary_pattern</x:v>
      </x:c>
      <x:c r="X138" s="32" t="str">
        <x:v>模式标签只能在通道、过程维度、日支或现实行为形成独立证据链后输出。</x:v>
      </x:c>
      <x:c r="Y138" s="32" t="str">
        <x:v>这一判断看的是你怎样安排亲密、空间和决定权，不代表其他方式缺失。</x:v>
      </x:c>
      <x:c r="Z138" s="32" t="str">
        <x:v>不得由本规则直接推出回避亲密、依赖失控、控制欲、冷漠、自私、关系破裂、分手离婚、人格或依恋类型；不得把某种边界方式等同于爱得更多或更少。</x:v>
      </x:c>
      <x:c r="AA138" s="32" t="str">
        <x:v>中</x:v>
      </x:c>
      <x:c r="AB138" s="32" t="str">
        <x:v>待验证</x:v>
      </x:c>
      <x:c r="AC138" s="32" t="str"/>
      <x:c r="AD138" s="32" t="str">
        <x:v>provisional=true; rule_group=PATTERN_BP02_GATE</x:v>
      </x:c>
      <x:c r="AE138" s="32" t="str">
        <x:v>0.5</x:v>
      </x:c>
    </x:row>
    <x:row r="139">
      <x:c r="A139" s="32" t="str">
        <x:v>M3-BOUND-135</x:v>
      </x:c>
      <x:c r="B139" s="32" t="str">
        <x:v>BP03 舒适渐进型｜模式定义</x:v>
      </x:c>
      <x:c r="C139" s="32" t="str">
        <x:v>L3 BOUND模式</x:v>
      </x:c>
      <x:c r="D139" s="32" t="str">
        <x:v>BOUND-边界模式</x:v>
      </x:c>
      <x:c r="E139" s="32" t="str">
        <x:v>通用</x:v>
      </x:c>
      <x:c r="F139" s="32" t="str">
        <x:v>模式定义</x:v>
      </x:c>
      <x:c r="G139" s="32" t="str">
        <x:v>BP03</x:v>
      </x:c>
      <x:c r="H139" s="32" t="str"/>
      <x:c r="I139" s="32" t="str">
        <x:v>BD03有效，且渐进靠近、温和需求或缓冲暂停至少一项可靠。</x:v>
      </x:c>
      <x:c r="J139" s="32" t="str">
        <x:v>基础信号未定；真合化后原信号已失效；只有单一弱远争议信号；或该结论会越界到M4风险、M5适配。</x:v>
      </x:c>
      <x:c r="K139" s="32" t="str">
        <x:v>由共享基础引擎与M3-STATE修正；日主承载、印比支持只修正自主与执行，不直接等于有无边界。</x:v>
      </x:c>
      <x:c r="L139" s="32" t="str">
        <x:v>不限定；夫妻星仅在入宫或形成角色、责任边界时参与接口，不作为BOUND唯一主轴。</x:v>
      </x:c>
      <x:c r="M139" s="32" t="str">
        <x:v>由M3-BASE、日支主气及宫位动态提供。</x:v>
      </x:c>
      <x:c r="N139" s="32" t="str">
        <x:v>无／待BOUND路径规则组合</x:v>
      </x:c>
      <x:c r="O139" s="32" t="str">
        <x:v>日柱与日支近位优先；全局有效独立信号可作次通道。</x:v>
      </x:c>
      <x:c r="P139" s="32" t="str">
        <x:v>由共享基础引擎判定</x:v>
      </x:c>
      <x:c r="Q139" s="32" t="str">
        <x:v>由共享基础引擎判定</x:v>
      </x:c>
      <x:c r="R139" s="32" t="str">
        <x:v>喜忌不直接等于边界好坏；只修正调用顺畅度、资源压力和状态切换。</x:v>
      </x:c>
      <x:c r="S139" s="32" t="str">
        <x:v>原十神性质有效；真合化成立时按化神所属功能系统重建。</x:v>
      </x:c>
      <x:c r="T139" s="32" t="str">
        <x:v>由共享基础引擎判定</x:v>
      </x:c>
      <x:c r="U139" s="32" t="str">
        <x:v>70</x:v>
      </x:c>
      <x:c r="V139" s="32" t="str">
        <x:v>模式候选 +10</x:v>
      </x:c>
      <x:c r="W139" s="32" t="str">
        <x:v>boundary_pattern</x:v>
      </x:c>
      <x:c r="X139" s="32" t="str">
        <x:v>通过低压力、逐步熟悉和照顾节奏建立亲密边界。</x:v>
      </x:c>
      <x:c r="Y139" s="32" t="str">
        <x:v>你的边界模式更接近“舒适渐进型”：通过低压力、逐步熟悉和照顾节奏建立亲密边界。</x:v>
      </x:c>
      <x:c r="Z139" s="32" t="str">
        <x:v>不得由本规则直接推出回避亲密、依赖失控、控制欲、冷漠、自私、关系破裂、分手离婚、人格或依恋类型；不得把某种边界方式等同于爱得更多或更少。</x:v>
      </x:c>
      <x:c r="AA139" s="32" t="str">
        <x:v>中高</x:v>
      </x:c>
      <x:c r="AB139" s="32" t="str">
        <x:v>待验证</x:v>
      </x:c>
      <x:c r="AC139" s="32" t="str"/>
      <x:c r="AD139" s="32" t="str">
        <x:v>provisional=true; rule_group=PATTERN_BP03_DEF</x:v>
      </x:c>
      <x:c r="AE139" s="32" t="str">
        <x:v>0.5</x:v>
      </x:c>
    </x:row>
    <x:row r="140">
      <x:c r="A140" s="32" t="str">
        <x:v>M3-BOUND-136</x:v>
      </x:c>
      <x:c r="B140" s="32" t="str">
        <x:v>BP03 舒适渐进型｜成立与输出门槛</x:v>
      </x:c>
      <x:c r="C140" s="32" t="str">
        <x:v>L3 BOUND模式</x:v>
      </x:c>
      <x:c r="D140" s="32" t="str">
        <x:v>BOUND-边界模式</x:v>
      </x:c>
      <x:c r="E140" s="32" t="str">
        <x:v>通用</x:v>
      </x:c>
      <x:c r="F140" s="32" t="str">
        <x:v>模式门槛</x:v>
      </x:c>
      <x:c r="G140" s="32" t="str">
        <x:v>BP03</x:v>
      </x:c>
      <x:c r="H140" s="32" t="str"/>
      <x:c r="I140" s="32" t="str">
        <x:v>BD03有效，且渐进靠近、温和需求或缓冲暂停至少一项可靠。；并至少有两类独立证据相互支持。</x:v>
      </x:c>
      <x:c r="J140" s="32" t="str">
        <x:v>基础信号未定；真合化后原信号已失效；只有单一弱远争议信号；或该结论会越界到M4风险、M5适配。</x:v>
      </x:c>
      <x:c r="K140" s="32" t="str">
        <x:v>由共享基础引擎与M3-STATE修正；日主承载、印比支持只修正自主与执行，不直接等于有无边界。</x:v>
      </x:c>
      <x:c r="L140" s="32" t="str">
        <x:v>不限定；夫妻星仅在入宫或形成角色、责任边界时参与接口，不作为BOUND唯一主轴。</x:v>
      </x:c>
      <x:c r="M140" s="32" t="str">
        <x:v>由M3-BASE、日支主气及宫位动态提供。</x:v>
      </x:c>
      <x:c r="N140" s="32" t="str">
        <x:v>无／待BOUND路径规则组合</x:v>
      </x:c>
      <x:c r="O140" s="32" t="str">
        <x:v>日柱与日支近位优先；全局有效独立信号可作次通道。</x:v>
      </x:c>
      <x:c r="P140" s="32" t="str">
        <x:v>由共享基础引擎判定</x:v>
      </x:c>
      <x:c r="Q140" s="32" t="str">
        <x:v>由共享基础引擎判定</x:v>
      </x:c>
      <x:c r="R140" s="32" t="str">
        <x:v>喜忌不直接等于边界好坏；只修正调用顺畅度、资源压力和状态切换。</x:v>
      </x:c>
      <x:c r="S140" s="32" t="str">
        <x:v>原十神性质有效；真合化成立时按化神所属功能系统重建。</x:v>
      </x:c>
      <x:c r="T140" s="32" t="str">
        <x:v>由共享基础引擎判定</x:v>
      </x:c>
      <x:c r="U140" s="32" t="str">
        <x:v>82</x:v>
      </x:c>
      <x:c r="V140" s="32" t="str">
        <x:v>达到门槛后写入主模式；否则降为候选</x:v>
      </x:c>
      <x:c r="W140" s="32" t="str">
        <x:v>boundary_pattern</x:v>
      </x:c>
      <x:c r="X140" s="32" t="str">
        <x:v>模式标签只能在通道、过程维度、日支或现实行为形成独立证据链后输出。</x:v>
      </x:c>
      <x:c r="Y140" s="32" t="str">
        <x:v>这一判断看的是你怎样安排亲密、空间和决定权，不代表其他方式缺失。</x:v>
      </x:c>
      <x:c r="Z140" s="32" t="str">
        <x:v>不得由本规则直接推出回避亲密、依赖失控、控制欲、冷漠、自私、关系破裂、分手离婚、人格或依恋类型；不得把某种边界方式等同于爱得更多或更少。</x:v>
      </x:c>
      <x:c r="AA140" s="32" t="str">
        <x:v>中</x:v>
      </x:c>
      <x:c r="AB140" s="32" t="str">
        <x:v>待验证</x:v>
      </x:c>
      <x:c r="AC140" s="32" t="str"/>
      <x:c r="AD140" s="32" t="str">
        <x:v>provisional=true; rule_group=PATTERN_BP03_GATE</x:v>
      </x:c>
      <x:c r="AE140" s="32" t="str">
        <x:v>0.5</x:v>
      </x:c>
    </x:row>
    <x:row r="141">
      <x:c r="A141" s="32" t="str">
        <x:v>M3-BOUND-137</x:v>
      </x:c>
      <x:c r="B141" s="32" t="str">
        <x:v>BP04 清楚协商型｜模式定义</x:v>
      </x:c>
      <x:c r="C141" s="32" t="str">
        <x:v>L3 BOUND模式</x:v>
      </x:c>
      <x:c r="D141" s="32" t="str">
        <x:v>BOUND-边界模式</x:v>
      </x:c>
      <x:c r="E141" s="32" t="str">
        <x:v>通用</x:v>
      </x:c>
      <x:c r="F141" s="32" t="str">
        <x:v>模式定义</x:v>
      </x:c>
      <x:c r="G141" s="32" t="str">
        <x:v>BP04</x:v>
      </x:c>
      <x:c r="H141" s="32" t="str"/>
      <x:c r="I141" s="32" t="str">
        <x:v>BD04有效，且直接具体、协商拒绝或重订维度至少一项可靠。</x:v>
      </x:c>
      <x:c r="J141" s="32" t="str">
        <x:v>基础信号未定；真合化后原信号已失效；只有单一弱远争议信号；或该结论会越界到M4风险、M5适配。</x:v>
      </x:c>
      <x:c r="K141" s="32" t="str">
        <x:v>由共享基础引擎与M3-STATE修正；日主承载、印比支持只修正自主与执行，不直接等于有无边界。</x:v>
      </x:c>
      <x:c r="L141" s="32" t="str">
        <x:v>不限定；夫妻星仅在入宫或形成角色、责任边界时参与接口，不作为BOUND唯一主轴。</x:v>
      </x:c>
      <x:c r="M141" s="32" t="str">
        <x:v>由M3-BASE、日支主气及宫位动态提供。</x:v>
      </x:c>
      <x:c r="N141" s="32" t="str">
        <x:v>无／待BOUND路径规则组合</x:v>
      </x:c>
      <x:c r="O141" s="32" t="str">
        <x:v>日柱与日支近位优先；全局有效独立信号可作次通道。</x:v>
      </x:c>
      <x:c r="P141" s="32" t="str">
        <x:v>由共享基础引擎判定</x:v>
      </x:c>
      <x:c r="Q141" s="32" t="str">
        <x:v>由共享基础引擎判定</x:v>
      </x:c>
      <x:c r="R141" s="32" t="str">
        <x:v>喜忌不直接等于边界好坏；只修正调用顺畅度、资源压力和状态切换。</x:v>
      </x:c>
      <x:c r="S141" s="32" t="str">
        <x:v>原十神性质有效；真合化成立时按化神所属功能系统重建。</x:v>
      </x:c>
      <x:c r="T141" s="32" t="str">
        <x:v>由共享基础引擎判定</x:v>
      </x:c>
      <x:c r="U141" s="32" t="str">
        <x:v>70</x:v>
      </x:c>
      <x:c r="V141" s="32" t="str">
        <x:v>模式候选 +10</x:v>
      </x:c>
      <x:c r="W141" s="32" t="str">
        <x:v>boundary_pattern</x:v>
      </x:c>
      <x:c r="X141" s="32" t="str">
        <x:v>通过说明需求、解释限制和提出替代方案维护边界。</x:v>
      </x:c>
      <x:c r="Y141" s="32" t="str">
        <x:v>你的边界模式更接近“清楚协商型”：通过说明需求、解释限制和提出替代方案维护边界。</x:v>
      </x:c>
      <x:c r="Z141" s="32" t="str">
        <x:v>不得由本规则直接推出回避亲密、依赖失控、控制欲、冷漠、自私、关系破裂、分手离婚、人格或依恋类型；不得把某种边界方式等同于爱得更多或更少。</x:v>
      </x:c>
      <x:c r="AA141" s="32" t="str">
        <x:v>中高</x:v>
      </x:c>
      <x:c r="AB141" s="32" t="str">
        <x:v>待验证</x:v>
      </x:c>
      <x:c r="AC141" s="32" t="str"/>
      <x:c r="AD141" s="32" t="str">
        <x:v>provisional=true; rule_group=PATTERN_BP04_DEF</x:v>
      </x:c>
      <x:c r="AE141" s="32" t="str">
        <x:v>0.5</x:v>
      </x:c>
    </x:row>
    <x:row r="142">
      <x:c r="A142" s="32" t="str">
        <x:v>M3-BOUND-138</x:v>
      </x:c>
      <x:c r="B142" s="32" t="str">
        <x:v>BP04 清楚协商型｜成立与输出门槛</x:v>
      </x:c>
      <x:c r="C142" s="32" t="str">
        <x:v>L3 BOUND模式</x:v>
      </x:c>
      <x:c r="D142" s="32" t="str">
        <x:v>BOUND-边界模式</x:v>
      </x:c>
      <x:c r="E142" s="32" t="str">
        <x:v>通用</x:v>
      </x:c>
      <x:c r="F142" s="32" t="str">
        <x:v>模式门槛</x:v>
      </x:c>
      <x:c r="G142" s="32" t="str">
        <x:v>BP04</x:v>
      </x:c>
      <x:c r="H142" s="32" t="str"/>
      <x:c r="I142" s="32" t="str">
        <x:v>BD04有效，且直接具体、协商拒绝或重订维度至少一项可靠。；并至少有两类独立证据相互支持。</x:v>
      </x:c>
      <x:c r="J142" s="32" t="str">
        <x:v>基础信号未定；真合化后原信号已失效；只有单一弱远争议信号；或该结论会越界到M4风险、M5适配。</x:v>
      </x:c>
      <x:c r="K142" s="32" t="str">
        <x:v>由共享基础引擎与M3-STATE修正；日主承载、印比支持只修正自主与执行，不直接等于有无边界。</x:v>
      </x:c>
      <x:c r="L142" s="32" t="str">
        <x:v>不限定；夫妻星仅在入宫或形成角色、责任边界时参与接口，不作为BOUND唯一主轴。</x:v>
      </x:c>
      <x:c r="M142" s="32" t="str">
        <x:v>由M3-BASE、日支主气及宫位动态提供。</x:v>
      </x:c>
      <x:c r="N142" s="32" t="str">
        <x:v>无／待BOUND路径规则组合</x:v>
      </x:c>
      <x:c r="O142" s="32" t="str">
        <x:v>日柱与日支近位优先；全局有效独立信号可作次通道。</x:v>
      </x:c>
      <x:c r="P142" s="32" t="str">
        <x:v>由共享基础引擎判定</x:v>
      </x:c>
      <x:c r="Q142" s="32" t="str">
        <x:v>由共享基础引擎判定</x:v>
      </x:c>
      <x:c r="R142" s="32" t="str">
        <x:v>喜忌不直接等于边界好坏；只修正调用顺畅度、资源压力和状态切换。</x:v>
      </x:c>
      <x:c r="S142" s="32" t="str">
        <x:v>原十神性质有效；真合化成立时按化神所属功能系统重建。</x:v>
      </x:c>
      <x:c r="T142" s="32" t="str">
        <x:v>由共享基础引擎判定</x:v>
      </x:c>
      <x:c r="U142" s="32" t="str">
        <x:v>82</x:v>
      </x:c>
      <x:c r="V142" s="32" t="str">
        <x:v>达到门槛后写入主模式；否则降为候选</x:v>
      </x:c>
      <x:c r="W142" s="32" t="str">
        <x:v>boundary_pattern</x:v>
      </x:c>
      <x:c r="X142" s="32" t="str">
        <x:v>模式标签只能在通道、过程维度、日支或现实行为形成独立证据链后输出。</x:v>
      </x:c>
      <x:c r="Y142" s="32" t="str">
        <x:v>这一判断看的是你怎样安排亲密、空间和决定权，不代表其他方式缺失。</x:v>
      </x:c>
      <x:c r="Z142" s="32" t="str">
        <x:v>不得由本规则直接推出回避亲密、依赖失控、控制欲、冷漠、自私、关系破裂、分手离婚、人格或依恋类型；不得把某种边界方式等同于爱得更多或更少。</x:v>
      </x:c>
      <x:c r="AA142" s="32" t="str">
        <x:v>中</x:v>
      </x:c>
      <x:c r="AB142" s="32" t="str">
        <x:v>待验证</x:v>
      </x:c>
      <x:c r="AC142" s="32" t="str"/>
      <x:c r="AD142" s="32" t="str">
        <x:v>provisional=true; rule_group=PATTERN_BP04_GATE</x:v>
      </x:c>
      <x:c r="AE142" s="32" t="str">
        <x:v>0.5</x:v>
      </x:c>
    </x:row>
    <x:row r="143">
      <x:c r="A143" s="32" t="str">
        <x:v>M3-BOUND-139</x:v>
      </x:c>
      <x:c r="B143" s="32" t="str">
        <x:v>BP05 稳定共享型｜模式定义</x:v>
      </x:c>
      <x:c r="C143" s="32" t="str">
        <x:v>L3 BOUND模式</x:v>
      </x:c>
      <x:c r="D143" s="32" t="str">
        <x:v>BOUND-边界模式</x:v>
      </x:c>
      <x:c r="E143" s="32" t="str">
        <x:v>通用</x:v>
      </x:c>
      <x:c r="F143" s="32" t="str">
        <x:v>模式定义</x:v>
      </x:c>
      <x:c r="G143" s="32" t="str">
        <x:v>BP05</x:v>
      </x:c>
      <x:c r="H143" s="32" t="str"/>
      <x:c r="I143" s="32" t="str">
        <x:v>BD05有效，且日常开放、角色分工或定期协商至少一项可靠。</x:v>
      </x:c>
      <x:c r="J143" s="32" t="str">
        <x:v>基础信号未定；真合化后原信号已失效；只有单一弱远争议信号；或该结论会越界到M4风险、M5适配。</x:v>
      </x:c>
      <x:c r="K143" s="32" t="str">
        <x:v>由共享基础引擎与M3-STATE修正；日主承载、印比支持只修正自主与执行，不直接等于有无边界。</x:v>
      </x:c>
      <x:c r="L143" s="32" t="str">
        <x:v>不限定；夫妻星仅在入宫或形成角色、责任边界时参与接口，不作为BOUND唯一主轴。</x:v>
      </x:c>
      <x:c r="M143" s="32" t="str">
        <x:v>由M3-BASE、日支主气及宫位动态提供。</x:v>
      </x:c>
      <x:c r="N143" s="32" t="str">
        <x:v>无／待BOUND路径规则组合</x:v>
      </x:c>
      <x:c r="O143" s="32" t="str">
        <x:v>日柱与日支近位优先；全局有效独立信号可作次通道。</x:v>
      </x:c>
      <x:c r="P143" s="32" t="str">
        <x:v>由共享基础引擎判定</x:v>
      </x:c>
      <x:c r="Q143" s="32" t="str">
        <x:v>由共享基础引擎判定</x:v>
      </x:c>
      <x:c r="R143" s="32" t="str">
        <x:v>喜忌不直接等于边界好坏；只修正调用顺畅度、资源压力和状态切换。</x:v>
      </x:c>
      <x:c r="S143" s="32" t="str">
        <x:v>原十神性质有效；真合化成立时按化神所属功能系统重建。</x:v>
      </x:c>
      <x:c r="T143" s="32" t="str">
        <x:v>由共享基础引擎判定</x:v>
      </x:c>
      <x:c r="U143" s="32" t="str">
        <x:v>70</x:v>
      </x:c>
      <x:c r="V143" s="32" t="str">
        <x:v>模式候选 +10</x:v>
      </x:c>
      <x:c r="W143" s="32" t="str">
        <x:v>boundary_pattern</x:v>
      </x:c>
      <x:c r="X143" s="32" t="str">
        <x:v>通过固定时间、现实安排和稳定分工维持亲密与自主。</x:v>
      </x:c>
      <x:c r="Y143" s="32" t="str">
        <x:v>你的边界模式更接近“稳定共享型”：通过固定时间、现实安排和稳定分工维持亲密与自主。</x:v>
      </x:c>
      <x:c r="Z143" s="32" t="str">
        <x:v>不得由本规则直接推出回避亲密、依赖失控、控制欲、冷漠、自私、关系破裂、分手离婚、人格或依恋类型；不得把某种边界方式等同于爱得更多或更少。</x:v>
      </x:c>
      <x:c r="AA143" s="32" t="str">
        <x:v>中高</x:v>
      </x:c>
      <x:c r="AB143" s="32" t="str">
        <x:v>待验证</x:v>
      </x:c>
      <x:c r="AC143" s="32" t="str"/>
      <x:c r="AD143" s="32" t="str">
        <x:v>provisional=true; rule_group=PATTERN_BP05_DEF</x:v>
      </x:c>
      <x:c r="AE143" s="32" t="str">
        <x:v>0.5</x:v>
      </x:c>
    </x:row>
    <x:row r="144">
      <x:c r="A144" s="32" t="str">
        <x:v>M3-BOUND-140</x:v>
      </x:c>
      <x:c r="B144" s="32" t="str">
        <x:v>BP05 稳定共享型｜成立与输出门槛</x:v>
      </x:c>
      <x:c r="C144" s="32" t="str">
        <x:v>L3 BOUND模式</x:v>
      </x:c>
      <x:c r="D144" s="32" t="str">
        <x:v>BOUND-边界模式</x:v>
      </x:c>
      <x:c r="E144" s="32" t="str">
        <x:v>通用</x:v>
      </x:c>
      <x:c r="F144" s="32" t="str">
        <x:v>模式门槛</x:v>
      </x:c>
      <x:c r="G144" s="32" t="str">
        <x:v>BP05</x:v>
      </x:c>
      <x:c r="H144" s="32" t="str"/>
      <x:c r="I144" s="32" t="str">
        <x:v>BD05有效，且日常开放、角色分工或定期协商至少一项可靠。；并至少有两类独立证据相互支持。</x:v>
      </x:c>
      <x:c r="J144" s="32" t="str">
        <x:v>基础信号未定；真合化后原信号已失效；只有单一弱远争议信号；或该结论会越界到M4风险、M5适配。</x:v>
      </x:c>
      <x:c r="K144" s="32" t="str">
        <x:v>由共享基础引擎与M3-STATE修正；日主承载、印比支持只修正自主与执行，不直接等于有无边界。</x:v>
      </x:c>
      <x:c r="L144" s="32" t="str">
        <x:v>不限定；夫妻星仅在入宫或形成角色、责任边界时参与接口，不作为BOUND唯一主轴。</x:v>
      </x:c>
      <x:c r="M144" s="32" t="str">
        <x:v>由M3-BASE、日支主气及宫位动态提供。</x:v>
      </x:c>
      <x:c r="N144" s="32" t="str">
        <x:v>无／待BOUND路径规则组合</x:v>
      </x:c>
      <x:c r="O144" s="32" t="str">
        <x:v>日柱与日支近位优先；全局有效独立信号可作次通道。</x:v>
      </x:c>
      <x:c r="P144" s="32" t="str">
        <x:v>由共享基础引擎判定</x:v>
      </x:c>
      <x:c r="Q144" s="32" t="str">
        <x:v>由共享基础引擎判定</x:v>
      </x:c>
      <x:c r="R144" s="32" t="str">
        <x:v>喜忌不直接等于边界好坏；只修正调用顺畅度、资源压力和状态切换。</x:v>
      </x:c>
      <x:c r="S144" s="32" t="str">
        <x:v>原十神性质有效；真合化成立时按化神所属功能系统重建。</x:v>
      </x:c>
      <x:c r="T144" s="32" t="str">
        <x:v>由共享基础引擎判定</x:v>
      </x:c>
      <x:c r="U144" s="32" t="str">
        <x:v>82</x:v>
      </x:c>
      <x:c r="V144" s="32" t="str">
        <x:v>达到门槛后写入主模式；否则降为候选</x:v>
      </x:c>
      <x:c r="W144" s="32" t="str">
        <x:v>boundary_pattern</x:v>
      </x:c>
      <x:c r="X144" s="32" t="str">
        <x:v>模式标签只能在通道、过程维度、日支或现实行为形成独立证据链后输出。</x:v>
      </x:c>
      <x:c r="Y144" s="32" t="str">
        <x:v>这一判断看的是你怎样安排亲密、空间和决定权，不代表其他方式缺失。</x:v>
      </x:c>
      <x:c r="Z144" s="32" t="str">
        <x:v>不得由本规则直接推出回避亲密、依赖失控、控制欲、冷漠、自私、关系破裂、分手离婚、人格或依恋类型；不得把某种边界方式等同于爱得更多或更少。</x:v>
      </x:c>
      <x:c r="AA144" s="32" t="str">
        <x:v>中</x:v>
      </x:c>
      <x:c r="AB144" s="32" t="str">
        <x:v>待验证</x:v>
      </x:c>
      <x:c r="AC144" s="32" t="str"/>
      <x:c r="AD144" s="32" t="str">
        <x:v>provisional=true; rule_group=PATTERN_BP05_GATE</x:v>
      </x:c>
      <x:c r="AE144" s="32" t="str">
        <x:v>0.5</x:v>
      </x:c>
    </x:row>
    <x:row r="145">
      <x:c r="A145" s="32" t="str">
        <x:v>M3-BOUND-141</x:v>
      </x:c>
      <x:c r="B145" s="32" t="str">
        <x:v>BP06 弹性共享型｜模式定义</x:v>
      </x:c>
      <x:c r="C145" s="32" t="str">
        <x:v>L3 BOUND模式</x:v>
      </x:c>
      <x:c r="D145" s="32" t="str">
        <x:v>BOUND-边界模式</x:v>
      </x:c>
      <x:c r="E145" s="32" t="str">
        <x:v>通用</x:v>
      </x:c>
      <x:c r="F145" s="32" t="str">
        <x:v>模式定义</x:v>
      </x:c>
      <x:c r="G145" s="32" t="str">
        <x:v>BP06</x:v>
      </x:c>
      <x:c r="H145" s="32" t="str"/>
      <x:c r="I145" s="32" t="str">
        <x:v>BD06有效，且弹性空间、即时调整或体验靠近至少一项可靠。</x:v>
      </x:c>
      <x:c r="J145" s="32" t="str">
        <x:v>基础信号未定；真合化后原信号已失效；只有单一弱远争议信号；或该结论会越界到M4风险、M5适配。</x:v>
      </x:c>
      <x:c r="K145" s="32" t="str">
        <x:v>由共享基础引擎与M3-STATE修正；日主承载、印比支持只修正自主与执行，不直接等于有无边界。</x:v>
      </x:c>
      <x:c r="L145" s="32" t="str">
        <x:v>不限定；夫妻星仅在入宫或形成角色、责任边界时参与接口，不作为BOUND唯一主轴。</x:v>
      </x:c>
      <x:c r="M145" s="32" t="str">
        <x:v>由M3-BASE、日支主气及宫位动态提供。</x:v>
      </x:c>
      <x:c r="N145" s="32" t="str">
        <x:v>无／待BOUND路径规则组合</x:v>
      </x:c>
      <x:c r="O145" s="32" t="str">
        <x:v>日柱与日支近位优先；全局有效独立信号可作次通道。</x:v>
      </x:c>
      <x:c r="P145" s="32" t="str">
        <x:v>由共享基础引擎判定</x:v>
      </x:c>
      <x:c r="Q145" s="32" t="str">
        <x:v>由共享基础引擎判定</x:v>
      </x:c>
      <x:c r="R145" s="32" t="str">
        <x:v>喜忌不直接等于边界好坏；只修正调用顺畅度、资源压力和状态切换。</x:v>
      </x:c>
      <x:c r="S145" s="32" t="str">
        <x:v>原十神性质有效；真合化成立时按化神所属功能系统重建。</x:v>
      </x:c>
      <x:c r="T145" s="32" t="str">
        <x:v>由共享基础引擎判定</x:v>
      </x:c>
      <x:c r="U145" s="32" t="str">
        <x:v>70</x:v>
      </x:c>
      <x:c r="V145" s="32" t="str">
        <x:v>模式候选 +10</x:v>
      </x:c>
      <x:c r="W145" s="32" t="str">
        <x:v>boundary_pattern</x:v>
      </x:c>
      <x:c r="X145" s="32" t="str">
        <x:v>根据情境灵活调整共享范围、时间和社交空间。</x:v>
      </x:c>
      <x:c r="Y145" s="32" t="str">
        <x:v>你的边界模式更接近“弹性共享型”：根据情境灵活调整共享范围、时间和社交空间。</x:v>
      </x:c>
      <x:c r="Z145" s="32" t="str">
        <x:v>不得由本规则直接推出回避亲密、依赖失控、控制欲、冷漠、自私、关系破裂、分手离婚、人格或依恋类型；不得把某种边界方式等同于爱得更多或更少。</x:v>
      </x:c>
      <x:c r="AA145" s="32" t="str">
        <x:v>中高</x:v>
      </x:c>
      <x:c r="AB145" s="32" t="str">
        <x:v>待验证</x:v>
      </x:c>
      <x:c r="AC145" s="32" t="str"/>
      <x:c r="AD145" s="32" t="str">
        <x:v>provisional=true; rule_group=PATTERN_BP06_DEF</x:v>
      </x:c>
      <x:c r="AE145" s="32" t="str">
        <x:v>0.5</x:v>
      </x:c>
    </x:row>
    <x:row r="146">
      <x:c r="A146" s="32" t="str">
        <x:v>M3-BOUND-142</x:v>
      </x:c>
      <x:c r="B146" s="32" t="str">
        <x:v>BP06 弹性共享型｜成立与输出门槛</x:v>
      </x:c>
      <x:c r="C146" s="32" t="str">
        <x:v>L3 BOUND模式</x:v>
      </x:c>
      <x:c r="D146" s="32" t="str">
        <x:v>BOUND-边界模式</x:v>
      </x:c>
      <x:c r="E146" s="32" t="str">
        <x:v>通用</x:v>
      </x:c>
      <x:c r="F146" s="32" t="str">
        <x:v>模式门槛</x:v>
      </x:c>
      <x:c r="G146" s="32" t="str">
        <x:v>BP06</x:v>
      </x:c>
      <x:c r="H146" s="32" t="str"/>
      <x:c r="I146" s="32" t="str">
        <x:v>BD06有效，且弹性空间、即时调整或体验靠近至少一项可靠。；并至少有两类独立证据相互支持。</x:v>
      </x:c>
      <x:c r="J146" s="32" t="str">
        <x:v>基础信号未定；真合化后原信号已失效；只有单一弱远争议信号；或该结论会越界到M4风险、M5适配。</x:v>
      </x:c>
      <x:c r="K146" s="32" t="str">
        <x:v>由共享基础引擎与M3-STATE修正；日主承载、印比支持只修正自主与执行，不直接等于有无边界。</x:v>
      </x:c>
      <x:c r="L146" s="32" t="str">
        <x:v>不限定；夫妻星仅在入宫或形成角色、责任边界时参与接口，不作为BOUND唯一主轴。</x:v>
      </x:c>
      <x:c r="M146" s="32" t="str">
        <x:v>由M3-BASE、日支主气及宫位动态提供。</x:v>
      </x:c>
      <x:c r="N146" s="32" t="str">
        <x:v>无／待BOUND路径规则组合</x:v>
      </x:c>
      <x:c r="O146" s="32" t="str">
        <x:v>日柱与日支近位优先；全局有效独立信号可作次通道。</x:v>
      </x:c>
      <x:c r="P146" s="32" t="str">
        <x:v>由共享基础引擎判定</x:v>
      </x:c>
      <x:c r="Q146" s="32" t="str">
        <x:v>由共享基础引擎判定</x:v>
      </x:c>
      <x:c r="R146" s="32" t="str">
        <x:v>喜忌不直接等于边界好坏；只修正调用顺畅度、资源压力和状态切换。</x:v>
      </x:c>
      <x:c r="S146" s="32" t="str">
        <x:v>原十神性质有效；真合化成立时按化神所属功能系统重建。</x:v>
      </x:c>
      <x:c r="T146" s="32" t="str">
        <x:v>由共享基础引擎判定</x:v>
      </x:c>
      <x:c r="U146" s="32" t="str">
        <x:v>82</x:v>
      </x:c>
      <x:c r="V146" s="32" t="str">
        <x:v>达到门槛后写入主模式；否则降为候选</x:v>
      </x:c>
      <x:c r="W146" s="32" t="str">
        <x:v>boundary_pattern</x:v>
      </x:c>
      <x:c r="X146" s="32" t="str">
        <x:v>模式标签只能在通道、过程维度、日支或现实行为形成独立证据链后输出。</x:v>
      </x:c>
      <x:c r="Y146" s="32" t="str">
        <x:v>这一判断看的是你怎样安排亲密、空间和决定权，不代表其他方式缺失。</x:v>
      </x:c>
      <x:c r="Z146" s="32" t="str">
        <x:v>不得由本规则直接推出回避亲密、依赖失控、控制欲、冷漠、自私、关系破裂、分手离婚、人格或依恋类型；不得把某种边界方式等同于爱得更多或更少。</x:v>
      </x:c>
      <x:c r="AA146" s="32" t="str">
        <x:v>中</x:v>
      </x:c>
      <x:c r="AB146" s="32" t="str">
        <x:v>待验证</x:v>
      </x:c>
      <x:c r="AC146" s="32" t="str"/>
      <x:c r="AD146" s="32" t="str">
        <x:v>provisional=true; rule_group=PATTERN_BP06_GATE</x:v>
      </x:c>
      <x:c r="AE146" s="32" t="str">
        <x:v>0.5</x:v>
      </x:c>
    </x:row>
    <x:row r="147">
      <x:c r="A147" s="32" t="str">
        <x:v>M3-BOUND-143</x:v>
      </x:c>
      <x:c r="B147" s="32" t="str">
        <x:v>BP07 规则角色型｜模式定义</x:v>
      </x:c>
      <x:c r="C147" s="32" t="str">
        <x:v>L3 BOUND模式</x:v>
      </x:c>
      <x:c r="D147" s="32" t="str">
        <x:v>BOUND-边界模式</x:v>
      </x:c>
      <x:c r="E147" s="32" t="str">
        <x:v>通用</x:v>
      </x:c>
      <x:c r="F147" s="32" t="str">
        <x:v>模式定义</x:v>
      </x:c>
      <x:c r="G147" s="32" t="str">
        <x:v>BP07</x:v>
      </x:c>
      <x:c r="H147" s="32" t="str"/>
      <x:c r="I147" s="32" t="str">
        <x:v>BD07有效，且角色分工、直接限制或定期协商至少一项可靠。</x:v>
      </x:c>
      <x:c r="J147" s="32" t="str">
        <x:v>基础信号未定；真合化后原信号已失效；只有单一弱远争议信号；或该结论会越界到M4风险、M5适配。</x:v>
      </x:c>
      <x:c r="K147" s="32" t="str">
        <x:v>由共享基础引擎与M3-STATE修正；日主承载、印比支持只修正自主与执行，不直接等于有无边界。</x:v>
      </x:c>
      <x:c r="L147" s="32" t="str">
        <x:v>不限定；夫妻星仅在入宫或形成角色、责任边界时参与接口，不作为BOUND唯一主轴。</x:v>
      </x:c>
      <x:c r="M147" s="32" t="str">
        <x:v>由M3-BASE、日支主气及宫位动态提供。</x:v>
      </x:c>
      <x:c r="N147" s="32" t="str">
        <x:v>无／待BOUND路径规则组合</x:v>
      </x:c>
      <x:c r="O147" s="32" t="str">
        <x:v>日柱与日支近位优先；全局有效独立信号可作次通道。</x:v>
      </x:c>
      <x:c r="P147" s="32" t="str">
        <x:v>由共享基础引擎判定</x:v>
      </x:c>
      <x:c r="Q147" s="32" t="str">
        <x:v>由共享基础引擎判定</x:v>
      </x:c>
      <x:c r="R147" s="32" t="str">
        <x:v>喜忌不直接等于边界好坏；只修正调用顺畅度、资源压力和状态切换。</x:v>
      </x:c>
      <x:c r="S147" s="32" t="str">
        <x:v>原十神性质有效；真合化成立时按化神所属功能系统重建。</x:v>
      </x:c>
      <x:c r="T147" s="32" t="str">
        <x:v>由共享基础引擎判定</x:v>
      </x:c>
      <x:c r="U147" s="32" t="str">
        <x:v>70</x:v>
      </x:c>
      <x:c r="V147" s="32" t="str">
        <x:v>模式候选 +10</x:v>
      </x:c>
      <x:c r="W147" s="32" t="str">
        <x:v>boundary_pattern</x:v>
      </x:c>
      <x:c r="X147" s="32" t="str">
        <x:v>以承诺、角色和可追踪的共同规则明确权限。</x:v>
      </x:c>
      <x:c r="Y147" s="32" t="str">
        <x:v>你的边界模式更接近“规则角色型”：以承诺、角色和可追踪的共同规则明确权限。</x:v>
      </x:c>
      <x:c r="Z147" s="32" t="str">
        <x:v>不得由本规则直接推出回避亲密、依赖失控、控制欲、冷漠、自私、关系破裂、分手离婚、人格或依恋类型；不得把某种边界方式等同于爱得更多或更少。</x:v>
      </x:c>
      <x:c r="AA147" s="32" t="str">
        <x:v>中高</x:v>
      </x:c>
      <x:c r="AB147" s="32" t="str">
        <x:v>待验证</x:v>
      </x:c>
      <x:c r="AC147" s="32" t="str"/>
      <x:c r="AD147" s="32" t="str">
        <x:v>provisional=true; rule_group=PATTERN_BP07_DEF</x:v>
      </x:c>
      <x:c r="AE147" s="32" t="str">
        <x:v>0.5</x:v>
      </x:c>
    </x:row>
    <x:row r="148">
      <x:c r="A148" s="32" t="str">
        <x:v>M3-BOUND-144</x:v>
      </x:c>
      <x:c r="B148" s="32" t="str">
        <x:v>BP07 规则角色型｜成立与输出门槛</x:v>
      </x:c>
      <x:c r="C148" s="32" t="str">
        <x:v>L3 BOUND模式</x:v>
      </x:c>
      <x:c r="D148" s="32" t="str">
        <x:v>BOUND-边界模式</x:v>
      </x:c>
      <x:c r="E148" s="32" t="str">
        <x:v>通用</x:v>
      </x:c>
      <x:c r="F148" s="32" t="str">
        <x:v>模式门槛</x:v>
      </x:c>
      <x:c r="G148" s="32" t="str">
        <x:v>BP07</x:v>
      </x:c>
      <x:c r="H148" s="32" t="str"/>
      <x:c r="I148" s="32" t="str">
        <x:v>BD07有效，且角色分工、直接限制或定期协商至少一项可靠。；并至少有两类独立证据相互支持。</x:v>
      </x:c>
      <x:c r="J148" s="32" t="str">
        <x:v>基础信号未定；真合化后原信号已失效；只有单一弱远争议信号；或该结论会越界到M4风险、M5适配。</x:v>
      </x:c>
      <x:c r="K148" s="32" t="str">
        <x:v>由共享基础引擎与M3-STATE修正；日主承载、印比支持只修正自主与执行，不直接等于有无边界。</x:v>
      </x:c>
      <x:c r="L148" s="32" t="str">
        <x:v>不限定；夫妻星仅在入宫或形成角色、责任边界时参与接口，不作为BOUND唯一主轴。</x:v>
      </x:c>
      <x:c r="M148" s="32" t="str">
        <x:v>由M3-BASE、日支主气及宫位动态提供。</x:v>
      </x:c>
      <x:c r="N148" s="32" t="str">
        <x:v>无／待BOUND路径规则组合</x:v>
      </x:c>
      <x:c r="O148" s="32" t="str">
        <x:v>日柱与日支近位优先；全局有效独立信号可作次通道。</x:v>
      </x:c>
      <x:c r="P148" s="32" t="str">
        <x:v>由共享基础引擎判定</x:v>
      </x:c>
      <x:c r="Q148" s="32" t="str">
        <x:v>由共享基础引擎判定</x:v>
      </x:c>
      <x:c r="R148" s="32" t="str">
        <x:v>喜忌不直接等于边界好坏；只修正调用顺畅度、资源压力和状态切换。</x:v>
      </x:c>
      <x:c r="S148" s="32" t="str">
        <x:v>原十神性质有效；真合化成立时按化神所属功能系统重建。</x:v>
      </x:c>
      <x:c r="T148" s="32" t="str">
        <x:v>由共享基础引擎判定</x:v>
      </x:c>
      <x:c r="U148" s="32" t="str">
        <x:v>82</x:v>
      </x:c>
      <x:c r="V148" s="32" t="str">
        <x:v>达到门槛后写入主模式；否则降为候选</x:v>
      </x:c>
      <x:c r="W148" s="32" t="str">
        <x:v>boundary_pattern</x:v>
      </x:c>
      <x:c r="X148" s="32" t="str">
        <x:v>模式标签只能在通道、过程维度、日支或现实行为形成独立证据链后输出。</x:v>
      </x:c>
      <x:c r="Y148" s="32" t="str">
        <x:v>这一判断看的是你怎样安排亲密、空间和决定权，不代表其他方式缺失。</x:v>
      </x:c>
      <x:c r="Z148" s="32" t="str">
        <x:v>不得由本规则直接推出回避亲密、依赖失控、控制欲、冷漠、自私、关系破裂、分手离婚、人格或依恋类型；不得把某种边界方式等同于爱得更多或更少。</x:v>
      </x:c>
      <x:c r="AA148" s="32" t="str">
        <x:v>中</x:v>
      </x:c>
      <x:c r="AB148" s="32" t="str">
        <x:v>待验证</x:v>
      </x:c>
      <x:c r="AC148" s="32" t="str"/>
      <x:c r="AD148" s="32" t="str">
        <x:v>provisional=true; rule_group=PATTERN_BP07_GATE</x:v>
      </x:c>
      <x:c r="AE148" s="32" t="str">
        <x:v>0.5</x:v>
      </x:c>
    </x:row>
    <x:row r="149">
      <x:c r="A149" s="32" t="str">
        <x:v>M3-BOUND-145</x:v>
      </x:c>
      <x:c r="B149" s="32" t="str">
        <x:v>BP08 决断保护型｜模式定义</x:v>
      </x:c>
      <x:c r="C149" s="32" t="str">
        <x:v>L3 BOUND模式</x:v>
      </x:c>
      <x:c r="D149" s="32" t="str">
        <x:v>BOUND-边界模式</x:v>
      </x:c>
      <x:c r="E149" s="32" t="str">
        <x:v>通用</x:v>
      </x:c>
      <x:c r="F149" s="32" t="str">
        <x:v>模式定义</x:v>
      </x:c>
      <x:c r="G149" s="32" t="str">
        <x:v>BP08</x:v>
      </x:c>
      <x:c r="H149" s="32" t="str"/>
      <x:c r="I149" s="32" t="str">
        <x:v>BD08有效，且直接拒绝、问题处理后回归或压力抢先至少一项可靠。</x:v>
      </x:c>
      <x:c r="J149" s="32" t="str">
        <x:v>基础信号未定；真合化后原信号已失效；只有单一弱远争议信号；或该结论会越界到M4风险、M5适配。</x:v>
      </x:c>
      <x:c r="K149" s="32" t="str">
        <x:v>由共享基础引擎与M3-STATE修正；日主承载、印比支持只修正自主与执行，不直接等于有无边界。</x:v>
      </x:c>
      <x:c r="L149" s="32" t="str">
        <x:v>不限定；夫妻星仅在入宫或形成角色、责任边界时参与接口，不作为BOUND唯一主轴。</x:v>
      </x:c>
      <x:c r="M149" s="32" t="str">
        <x:v>由M3-BASE、日支主气及宫位动态提供。</x:v>
      </x:c>
      <x:c r="N149" s="32" t="str">
        <x:v>无／待BOUND路径规则组合</x:v>
      </x:c>
      <x:c r="O149" s="32" t="str">
        <x:v>日柱与日支近位优先；全局有效独立信号可作次通道。</x:v>
      </x:c>
      <x:c r="P149" s="32" t="str">
        <x:v>由共享基础引擎判定</x:v>
      </x:c>
      <x:c r="Q149" s="32" t="str">
        <x:v>由共享基础引擎判定</x:v>
      </x:c>
      <x:c r="R149" s="32" t="str">
        <x:v>喜忌不直接等于边界好坏；只修正调用顺畅度、资源压力和状态切换。</x:v>
      </x:c>
      <x:c r="S149" s="32" t="str">
        <x:v>原十神性质有效；真合化成立时按化神所属功能系统重建。</x:v>
      </x:c>
      <x:c r="T149" s="32" t="str">
        <x:v>由共享基础引擎判定</x:v>
      </x:c>
      <x:c r="U149" s="32" t="str">
        <x:v>70</x:v>
      </x:c>
      <x:c r="V149" s="32" t="str">
        <x:v>模式候选 +10</x:v>
      </x:c>
      <x:c r="W149" s="32" t="str">
        <x:v>boundary_pattern</x:v>
      </x:c>
      <x:c r="X149" s="32" t="str">
        <x:v>在关键情境迅速划定停止线、处理风险并保护关系边界。</x:v>
      </x:c>
      <x:c r="Y149" s="32" t="str">
        <x:v>你的边界模式更接近“决断保护型”：在关键情境迅速划定停止线、处理风险并保护关系边界。</x:v>
      </x:c>
      <x:c r="Z149" s="32" t="str">
        <x:v>不得由本规则直接推出回避亲密、依赖失控、控制欲、冷漠、自私、关系破裂、分手离婚、人格或依恋类型；不得把某种边界方式等同于爱得更多或更少。</x:v>
      </x:c>
      <x:c r="AA149" s="32" t="str">
        <x:v>中高</x:v>
      </x:c>
      <x:c r="AB149" s="32" t="str">
        <x:v>待验证</x:v>
      </x:c>
      <x:c r="AC149" s="32" t="str"/>
      <x:c r="AD149" s="32" t="str">
        <x:v>provisional=true; rule_group=PATTERN_BP08_DEF</x:v>
      </x:c>
      <x:c r="AE149" s="32" t="str">
        <x:v>0.5</x:v>
      </x:c>
    </x:row>
    <x:row r="150">
      <x:c r="A150" s="32" t="str">
        <x:v>M3-BOUND-146</x:v>
      </x:c>
      <x:c r="B150" s="32" t="str">
        <x:v>BP08 决断保护型｜成立与输出门槛</x:v>
      </x:c>
      <x:c r="C150" s="32" t="str">
        <x:v>L3 BOUND模式</x:v>
      </x:c>
      <x:c r="D150" s="32" t="str">
        <x:v>BOUND-边界模式</x:v>
      </x:c>
      <x:c r="E150" s="32" t="str">
        <x:v>通用</x:v>
      </x:c>
      <x:c r="F150" s="32" t="str">
        <x:v>模式门槛</x:v>
      </x:c>
      <x:c r="G150" s="32" t="str">
        <x:v>BP08</x:v>
      </x:c>
      <x:c r="H150" s="32" t="str"/>
      <x:c r="I150" s="32" t="str">
        <x:v>BD08有效，且直接拒绝、问题处理后回归或压力抢先至少一项可靠。；并至少有两类独立证据相互支持。</x:v>
      </x:c>
      <x:c r="J150" s="32" t="str">
        <x:v>基础信号未定；真合化后原信号已失效；只有单一弱远争议信号；或该结论会越界到M4风险、M5适配。</x:v>
      </x:c>
      <x:c r="K150" s="32" t="str">
        <x:v>由共享基础引擎与M3-STATE修正；日主承载、印比支持只修正自主与执行，不直接等于有无边界。</x:v>
      </x:c>
      <x:c r="L150" s="32" t="str">
        <x:v>不限定；夫妻星仅在入宫或形成角色、责任边界时参与接口，不作为BOUND唯一主轴。</x:v>
      </x:c>
      <x:c r="M150" s="32" t="str">
        <x:v>由M3-BASE、日支主气及宫位动态提供。</x:v>
      </x:c>
      <x:c r="N150" s="32" t="str">
        <x:v>无／待BOUND路径规则组合</x:v>
      </x:c>
      <x:c r="O150" s="32" t="str">
        <x:v>日柱与日支近位优先；全局有效独立信号可作次通道。</x:v>
      </x:c>
      <x:c r="P150" s="32" t="str">
        <x:v>由共享基础引擎判定</x:v>
      </x:c>
      <x:c r="Q150" s="32" t="str">
        <x:v>由共享基础引擎判定</x:v>
      </x:c>
      <x:c r="R150" s="32" t="str">
        <x:v>喜忌不直接等于边界好坏；只修正调用顺畅度、资源压力和状态切换。</x:v>
      </x:c>
      <x:c r="S150" s="32" t="str">
        <x:v>原十神性质有效；真合化成立时按化神所属功能系统重建。</x:v>
      </x:c>
      <x:c r="T150" s="32" t="str">
        <x:v>由共享基础引擎判定</x:v>
      </x:c>
      <x:c r="U150" s="32" t="str">
        <x:v>82</x:v>
      </x:c>
      <x:c r="V150" s="32" t="str">
        <x:v>达到门槛后写入主模式；否则降为候选</x:v>
      </x:c>
      <x:c r="W150" s="32" t="str">
        <x:v>boundary_pattern</x:v>
      </x:c>
      <x:c r="X150" s="32" t="str">
        <x:v>模式标签只能在通道、过程维度、日支或现实行为形成独立证据链后输出。</x:v>
      </x:c>
      <x:c r="Y150" s="32" t="str">
        <x:v>这一判断看的是你怎样安排亲密、空间和决定权，不代表其他方式缺失。</x:v>
      </x:c>
      <x:c r="Z150" s="32" t="str">
        <x:v>不得由本规则直接推出回避亲密、依赖失控、控制欲、冷漠、自私、关系破裂、分手离婚、人格或依恋类型；不得把某种边界方式等同于爱得更多或更少。</x:v>
      </x:c>
      <x:c r="AA150" s="32" t="str">
        <x:v>中</x:v>
      </x:c>
      <x:c r="AB150" s="32" t="str">
        <x:v>待验证</x:v>
      </x:c>
      <x:c r="AC150" s="32" t="str"/>
      <x:c r="AD150" s="32" t="str">
        <x:v>provisional=true; rule_group=PATTERN_BP08_GATE</x:v>
      </x:c>
      <x:c r="AE150" s="32" t="str">
        <x:v>0.5</x:v>
      </x:c>
    </x:row>
    <x:row r="151">
      <x:c r="A151" s="32" t="str">
        <x:v>M3-BOUND-147</x:v>
      </x:c>
      <x:c r="B151" s="32" t="str">
        <x:v>BP09 安全依托型｜模式定义</x:v>
      </x:c>
      <x:c r="C151" s="32" t="str">
        <x:v>L3 BOUND模式</x:v>
      </x:c>
      <x:c r="D151" s="32" t="str">
        <x:v>BOUND-边界模式</x:v>
      </x:c>
      <x:c r="E151" s="32" t="str">
        <x:v>通用</x:v>
      </x:c>
      <x:c r="F151" s="32" t="str">
        <x:v>模式定义</x:v>
      </x:c>
      <x:c r="G151" s="32" t="str">
        <x:v>BP09</x:v>
      </x:c>
      <x:c r="H151" s="32" t="str"/>
      <x:c r="I151" s="32" t="str">
        <x:v>BD09有效，且回应靠近、安全恢复或直接接收至少一项可靠。</x:v>
      </x:c>
      <x:c r="J151" s="32" t="str">
        <x:v>基础信号未定；真合化后原信号已失效；只有单一弱远争议信号；或该结论会越界到M4风险、M5适配。</x:v>
      </x:c>
      <x:c r="K151" s="32" t="str">
        <x:v>由共享基础引擎与M3-STATE修正；日主承载、印比支持只修正自主与执行，不直接等于有无边界。</x:v>
      </x:c>
      <x:c r="L151" s="32" t="str">
        <x:v>不限定；夫妻星仅在入宫或形成角色、责任边界时参与接口，不作为BOUND唯一主轴。</x:v>
      </x:c>
      <x:c r="M151" s="32" t="str">
        <x:v>由M3-BASE、日支主气及宫位动态提供。</x:v>
      </x:c>
      <x:c r="N151" s="32" t="str">
        <x:v>无／待BOUND路径规则组合</x:v>
      </x:c>
      <x:c r="O151" s="32" t="str">
        <x:v>日柱与日支近位优先；全局有效独立信号可作次通道。</x:v>
      </x:c>
      <x:c r="P151" s="32" t="str">
        <x:v>由共享基础引擎判定</x:v>
      </x:c>
      <x:c r="Q151" s="32" t="str">
        <x:v>由共享基础引擎判定</x:v>
      </x:c>
      <x:c r="R151" s="32" t="str">
        <x:v>喜忌不直接等于边界好坏；只修正调用顺畅度、资源压力和状态切换。</x:v>
      </x:c>
      <x:c r="S151" s="32" t="str">
        <x:v>原十神性质有效；真合化成立时按化神所属功能系统重建。</x:v>
      </x:c>
      <x:c r="T151" s="32" t="str">
        <x:v>由共享基础引擎判定</x:v>
      </x:c>
      <x:c r="U151" s="32" t="str">
        <x:v>70</x:v>
      </x:c>
      <x:c r="V151" s="32" t="str">
        <x:v>模式候选 +10</x:v>
      </x:c>
      <x:c r="W151" s="32" t="str">
        <x:v>boundary_pattern</x:v>
      </x:c>
      <x:c r="X151" s="32" t="str">
        <x:v>在理解、稳定回应和可信环境中允许依靠，同时保留内部确认。</x:v>
      </x:c>
      <x:c r="Y151" s="32" t="str">
        <x:v>你的边界模式更接近“安全依托型”：在理解、稳定回应和可信环境中允许依靠，同时保留内部确认。</x:v>
      </x:c>
      <x:c r="Z151" s="32" t="str">
        <x:v>不得由本规则直接推出回避亲密、依赖失控、控制欲、冷漠、自私、关系破裂、分手离婚、人格或依恋类型；不得把某种边界方式等同于爱得更多或更少。</x:v>
      </x:c>
      <x:c r="AA151" s="32" t="str">
        <x:v>中高</x:v>
      </x:c>
      <x:c r="AB151" s="32" t="str">
        <x:v>待验证</x:v>
      </x:c>
      <x:c r="AC151" s="32" t="str"/>
      <x:c r="AD151" s="32" t="str">
        <x:v>provisional=true; rule_group=PATTERN_BP09_DEF</x:v>
      </x:c>
      <x:c r="AE151" s="32" t="str">
        <x:v>0.5</x:v>
      </x:c>
    </x:row>
    <x:row r="152">
      <x:c r="A152" s="32" t="str">
        <x:v>M3-BOUND-148</x:v>
      </x:c>
      <x:c r="B152" s="32" t="str">
        <x:v>BP09 安全依托型｜成立与输出门槛</x:v>
      </x:c>
      <x:c r="C152" s="32" t="str">
        <x:v>L3 BOUND模式</x:v>
      </x:c>
      <x:c r="D152" s="32" t="str">
        <x:v>BOUND-边界模式</x:v>
      </x:c>
      <x:c r="E152" s="32" t="str">
        <x:v>通用</x:v>
      </x:c>
      <x:c r="F152" s="32" t="str">
        <x:v>模式门槛</x:v>
      </x:c>
      <x:c r="G152" s="32" t="str">
        <x:v>BP09</x:v>
      </x:c>
      <x:c r="H152" s="32" t="str"/>
      <x:c r="I152" s="32" t="str">
        <x:v>BD09有效，且回应靠近、安全恢复或直接接收至少一项可靠。；并至少有两类独立证据相互支持。</x:v>
      </x:c>
      <x:c r="J152" s="32" t="str">
        <x:v>基础信号未定；真合化后原信号已失效；只有单一弱远争议信号；或该结论会越界到M4风险、M5适配。</x:v>
      </x:c>
      <x:c r="K152" s="32" t="str">
        <x:v>由共享基础引擎与M3-STATE修正；日主承载、印比支持只修正自主与执行，不直接等于有无边界。</x:v>
      </x:c>
      <x:c r="L152" s="32" t="str">
        <x:v>不限定；夫妻星仅在入宫或形成角色、责任边界时参与接口，不作为BOUND唯一主轴。</x:v>
      </x:c>
      <x:c r="M152" s="32" t="str">
        <x:v>由M3-BASE、日支主气及宫位动态提供。</x:v>
      </x:c>
      <x:c r="N152" s="32" t="str">
        <x:v>无／待BOUND路径规则组合</x:v>
      </x:c>
      <x:c r="O152" s="32" t="str">
        <x:v>日柱与日支近位优先；全局有效独立信号可作次通道。</x:v>
      </x:c>
      <x:c r="P152" s="32" t="str">
        <x:v>由共享基础引擎判定</x:v>
      </x:c>
      <x:c r="Q152" s="32" t="str">
        <x:v>由共享基础引擎判定</x:v>
      </x:c>
      <x:c r="R152" s="32" t="str">
        <x:v>喜忌不直接等于边界好坏；只修正调用顺畅度、资源压力和状态切换。</x:v>
      </x:c>
      <x:c r="S152" s="32" t="str">
        <x:v>原十神性质有效；真合化成立时按化神所属功能系统重建。</x:v>
      </x:c>
      <x:c r="T152" s="32" t="str">
        <x:v>由共享基础引擎判定</x:v>
      </x:c>
      <x:c r="U152" s="32" t="str">
        <x:v>82</x:v>
      </x:c>
      <x:c r="V152" s="32" t="str">
        <x:v>达到门槛后写入主模式；否则降为候选</x:v>
      </x:c>
      <x:c r="W152" s="32" t="str">
        <x:v>boundary_pattern</x:v>
      </x:c>
      <x:c r="X152" s="32" t="str">
        <x:v>模式标签只能在通道、过程维度、日支或现实行为形成独立证据链后输出。</x:v>
      </x:c>
      <x:c r="Y152" s="32" t="str">
        <x:v>这一判断看的是你怎样安排亲密、空间和决定权，不代表其他方式缺失。</x:v>
      </x:c>
      <x:c r="Z152" s="32" t="str">
        <x:v>不得由本规则直接推出回避亲密、依赖失控、控制欲、冷漠、自私、关系破裂、分手离婚、人格或依恋类型；不得把某种边界方式等同于爱得更多或更少。</x:v>
      </x:c>
      <x:c r="AA152" s="32" t="str">
        <x:v>中</x:v>
      </x:c>
      <x:c r="AB152" s="32" t="str">
        <x:v>待验证</x:v>
      </x:c>
      <x:c r="AC152" s="32" t="str"/>
      <x:c r="AD152" s="32" t="str">
        <x:v>provisional=true; rule_group=PATTERN_BP09_GATE</x:v>
      </x:c>
      <x:c r="AE152" s="32" t="str">
        <x:v>0.5</x:v>
      </x:c>
    </x:row>
    <x:row r="153">
      <x:c r="A153" s="32" t="str">
        <x:v>M3-BOUND-149</x:v>
      </x:c>
      <x:c r="B153" s="32" t="str">
        <x:v>BP10 选择性空间型｜模式定义</x:v>
      </x:c>
      <x:c r="C153" s="32" t="str">
        <x:v>L3 BOUND模式</x:v>
      </x:c>
      <x:c r="D153" s="32" t="str">
        <x:v>BOUND-边界模式</x:v>
      </x:c>
      <x:c r="E153" s="32" t="str">
        <x:v>通用</x:v>
      </x:c>
      <x:c r="F153" s="32" t="str">
        <x:v>模式定义</x:v>
      </x:c>
      <x:c r="G153" s="32" t="str">
        <x:v>BP10</x:v>
      </x:c>
      <x:c r="H153" s="32" t="str"/>
      <x:c r="I153" s="32" t="str">
        <x:v>BD10有效，且稳定空间、先整理或选择性接收至少一项可靠。</x:v>
      </x:c>
      <x:c r="J153" s="32" t="str">
        <x:v>基础信号未定；真合化后原信号已失效；只有单一弱远争议信号；或该结论会越界到M4风险、M5适配。</x:v>
      </x:c>
      <x:c r="K153" s="32" t="str">
        <x:v>由共享基础引擎与M3-STATE修正；日主承载、印比支持只修正自主与执行，不直接等于有无边界。</x:v>
      </x:c>
      <x:c r="L153" s="32" t="str">
        <x:v>不限定；夫妻星仅在入宫或形成角色、责任边界时参与接口，不作为BOUND唯一主轴。</x:v>
      </x:c>
      <x:c r="M153" s="32" t="str">
        <x:v>由M3-BASE、日支主气及宫位动态提供。</x:v>
      </x:c>
      <x:c r="N153" s="32" t="str">
        <x:v>无／待BOUND路径规则组合</x:v>
      </x:c>
      <x:c r="O153" s="32" t="str">
        <x:v>日柱与日支近位优先；全局有效独立信号可作次通道。</x:v>
      </x:c>
      <x:c r="P153" s="32" t="str">
        <x:v>由共享基础引擎判定</x:v>
      </x:c>
      <x:c r="Q153" s="32" t="str">
        <x:v>由共享基础引擎判定</x:v>
      </x:c>
      <x:c r="R153" s="32" t="str">
        <x:v>喜忌不直接等于边界好坏；只修正调用顺畅度、资源压力和状态切换。</x:v>
      </x:c>
      <x:c r="S153" s="32" t="str">
        <x:v>原十神性质有效；真合化成立时按化神所属功能系统重建。</x:v>
      </x:c>
      <x:c r="T153" s="32" t="str">
        <x:v>由共享基础引擎判定</x:v>
      </x:c>
      <x:c r="U153" s="32" t="str">
        <x:v>70</x:v>
      </x:c>
      <x:c r="V153" s="32" t="str">
        <x:v>模式候选 +10</x:v>
      </x:c>
      <x:c r="W153" s="32" t="str">
        <x:v>boundary_pattern</x:v>
      </x:c>
      <x:c r="X153" s="32" t="str">
        <x:v>通过选择性开放、内部整理和尊重私人空间维持亲密。</x:v>
      </x:c>
      <x:c r="Y153" s="32" t="str">
        <x:v>你的边界模式更接近“选择性空间型”：通过选择性开放、内部整理和尊重私人空间维持亲密。</x:v>
      </x:c>
      <x:c r="Z153" s="32" t="str">
        <x:v>不得由本规则直接推出回避亲密、依赖失控、控制欲、冷漠、自私、关系破裂、分手离婚、人格或依恋类型；不得把某种边界方式等同于爱得更多或更少。</x:v>
      </x:c>
      <x:c r="AA153" s="32" t="str">
        <x:v>中高</x:v>
      </x:c>
      <x:c r="AB153" s="32" t="str">
        <x:v>待验证</x:v>
      </x:c>
      <x:c r="AC153" s="32" t="str"/>
      <x:c r="AD153" s="32" t="str">
        <x:v>provisional=true; rule_group=PATTERN_BP10_DEF</x:v>
      </x:c>
      <x:c r="AE153" s="32" t="str">
        <x:v>0.5</x:v>
      </x:c>
    </x:row>
    <x:row r="154">
      <x:c r="A154" s="32" t="str">
        <x:v>M3-BOUND-150</x:v>
      </x:c>
      <x:c r="B154" s="32" t="str">
        <x:v>BP10 选择性空间型｜成立与输出门槛</x:v>
      </x:c>
      <x:c r="C154" s="32" t="str">
        <x:v>L3 BOUND模式</x:v>
      </x:c>
      <x:c r="D154" s="32" t="str">
        <x:v>BOUND-边界模式</x:v>
      </x:c>
      <x:c r="E154" s="32" t="str">
        <x:v>通用</x:v>
      </x:c>
      <x:c r="F154" s="32" t="str">
        <x:v>模式门槛</x:v>
      </x:c>
      <x:c r="G154" s="32" t="str">
        <x:v>BP10</x:v>
      </x:c>
      <x:c r="H154" s="32" t="str"/>
      <x:c r="I154" s="32" t="str">
        <x:v>BD10有效，且稳定空间、先整理或选择性接收至少一项可靠。；并至少有两类独立证据相互支持。</x:v>
      </x:c>
      <x:c r="J154" s="32" t="str">
        <x:v>基础信号未定；真合化后原信号已失效；只有单一弱远争议信号；或该结论会越界到M4风险、M5适配。</x:v>
      </x:c>
      <x:c r="K154" s="32" t="str">
        <x:v>由共享基础引擎与M3-STATE修正；日主承载、印比支持只修正自主与执行，不直接等于有无边界。</x:v>
      </x:c>
      <x:c r="L154" s="32" t="str">
        <x:v>不限定；夫妻星仅在入宫或形成角色、责任边界时参与接口，不作为BOUND唯一主轴。</x:v>
      </x:c>
      <x:c r="M154" s="32" t="str">
        <x:v>由M3-BASE、日支主气及宫位动态提供。</x:v>
      </x:c>
      <x:c r="N154" s="32" t="str">
        <x:v>无／待BOUND路径规则组合</x:v>
      </x:c>
      <x:c r="O154" s="32" t="str">
        <x:v>日柱与日支近位优先；全局有效独立信号可作次通道。</x:v>
      </x:c>
      <x:c r="P154" s="32" t="str">
        <x:v>由共享基础引擎判定</x:v>
      </x:c>
      <x:c r="Q154" s="32" t="str">
        <x:v>由共享基础引擎判定</x:v>
      </x:c>
      <x:c r="R154" s="32" t="str">
        <x:v>喜忌不直接等于边界好坏；只修正调用顺畅度、资源压力和状态切换。</x:v>
      </x:c>
      <x:c r="S154" s="32" t="str">
        <x:v>原十神性质有效；真合化成立时按化神所属功能系统重建。</x:v>
      </x:c>
      <x:c r="T154" s="32" t="str">
        <x:v>由共享基础引擎判定</x:v>
      </x:c>
      <x:c r="U154" s="32" t="str">
        <x:v>82</x:v>
      </x:c>
      <x:c r="V154" s="32" t="str">
        <x:v>达到门槛后写入主模式；否则降为候选</x:v>
      </x:c>
      <x:c r="W154" s="32" t="str">
        <x:v>boundary_pattern</x:v>
      </x:c>
      <x:c r="X154" s="32" t="str">
        <x:v>模式标签只能在通道、过程维度、日支或现实行为形成独立证据链后输出。</x:v>
      </x:c>
      <x:c r="Y154" s="32" t="str">
        <x:v>这一判断看的是你怎样安排亲密、空间和决定权，不代表其他方式缺失。</x:v>
      </x:c>
      <x:c r="Z154" s="32" t="str">
        <x:v>不得由本规则直接推出回避亲密、依赖失控、控制欲、冷漠、自私、关系破裂、分手离婚、人格或依恋类型；不得把某种边界方式等同于爱得更多或更少。</x:v>
      </x:c>
      <x:c r="AA154" s="32" t="str">
        <x:v>中</x:v>
      </x:c>
      <x:c r="AB154" s="32" t="str">
        <x:v>待验证</x:v>
      </x:c>
      <x:c r="AC154" s="32" t="str"/>
      <x:c r="AD154" s="32" t="str">
        <x:v>provisional=true; rule_group=PATTERN_BP10_GATE</x:v>
      </x:c>
      <x:c r="AE154" s="32" t="str">
        <x:v>0.5</x:v>
      </x:c>
    </x:row>
    <x:row r="155">
      <x:c r="A155" s="32" t="str">
        <x:v>M3-BOUND-151</x:v>
      </x:c>
      <x:c r="B155" s="32" t="str">
        <x:v>BP11 双层边界型｜模式定义</x:v>
      </x:c>
      <x:c r="C155" s="32" t="str">
        <x:v>L3 BOUND模式</x:v>
      </x:c>
      <x:c r="D155" s="32" t="str">
        <x:v>BOUND-边界模式</x:v>
      </x:c>
      <x:c r="E155" s="32" t="str">
        <x:v>通用</x:v>
      </x:c>
      <x:c r="F155" s="32" t="str">
        <x:v>模式定义</x:v>
      </x:c>
      <x:c r="G155" s="32" t="str">
        <x:v>BP11</x:v>
      </x:c>
      <x:c r="H155" s="32" t="str"/>
      <x:c r="I155" s="32" t="str">
        <x:v>两个通道均达到次通道门槛，来源独立、功能不同且分差不足8分。</x:v>
      </x:c>
      <x:c r="J155" s="32" t="str">
        <x:v>基础信号未定；真合化后原信号已失效；只有单一弱远争议信号；或该结论会越界到M4风险、M5适配。</x:v>
      </x:c>
      <x:c r="K155" s="32" t="str">
        <x:v>由共享基础引擎与M3-STATE修正；日主承载、印比支持只修正自主与执行，不直接等于有无边界。</x:v>
      </x:c>
      <x:c r="L155" s="32" t="str">
        <x:v>不限定；夫妻星仅在入宫或形成角色、责任边界时参与接口，不作为BOUND唯一主轴。</x:v>
      </x:c>
      <x:c r="M155" s="32" t="str">
        <x:v>由M3-BASE、日支主气及宫位动态提供。</x:v>
      </x:c>
      <x:c r="N155" s="32" t="str">
        <x:v>无／待BOUND路径规则组合</x:v>
      </x:c>
      <x:c r="O155" s="32" t="str">
        <x:v>日柱与日支近位优先；全局有效独立信号可作次通道。</x:v>
      </x:c>
      <x:c r="P155" s="32" t="str">
        <x:v>由共享基础引擎判定</x:v>
      </x:c>
      <x:c r="Q155" s="32" t="str">
        <x:v>由共享基础引擎判定</x:v>
      </x:c>
      <x:c r="R155" s="32" t="str">
        <x:v>喜忌不直接等于边界好坏；只修正调用顺畅度、资源压力和状态切换。</x:v>
      </x:c>
      <x:c r="S155" s="32" t="str">
        <x:v>原十神性质有效；真合化成立时按化神所属功能系统重建。</x:v>
      </x:c>
      <x:c r="T155" s="32" t="str">
        <x:v>由共享基础引擎判定</x:v>
      </x:c>
      <x:c r="U155" s="32" t="str">
        <x:v>70</x:v>
      </x:c>
      <x:c r="V155" s="32" t="str">
        <x:v>模式候选 +10</x:v>
      </x:c>
      <x:c r="W155" s="32" t="str">
        <x:v>boundary_pattern</x:v>
      </x:c>
      <x:c r="X155" s="32" t="str">
        <x:v>两套功能不同的边界通道同时成立，一项负责靠近，一项负责权限或停止。</x:v>
      </x:c>
      <x:c r="Y155" s="32" t="str">
        <x:v>你的边界模式更接近“双层边界型”：两套功能不同的边界通道同时成立，一项负责靠近，一项负责权限或停止。</x:v>
      </x:c>
      <x:c r="Z155" s="32" t="str">
        <x:v>不得由本规则直接推出回避亲密、依赖失控、控制欲、冷漠、自私、关系破裂、分手离婚、人格或依恋类型；不得把某种边界方式等同于爱得更多或更少。</x:v>
      </x:c>
      <x:c r="AA155" s="32" t="str">
        <x:v>中高</x:v>
      </x:c>
      <x:c r="AB155" s="32" t="str">
        <x:v>待验证</x:v>
      </x:c>
      <x:c r="AC155" s="32" t="str"/>
      <x:c r="AD155" s="32" t="str">
        <x:v>provisional=true; rule_group=PATTERN_BP11_DEF</x:v>
      </x:c>
      <x:c r="AE155" s="32" t="str">
        <x:v>0.5</x:v>
      </x:c>
    </x:row>
    <x:row r="156">
      <x:c r="A156" s="32" t="str">
        <x:v>M3-BOUND-152</x:v>
      </x:c>
      <x:c r="B156" s="32" t="str">
        <x:v>BP11 双层边界型｜成立与输出门槛</x:v>
      </x:c>
      <x:c r="C156" s="32" t="str">
        <x:v>L3 BOUND模式</x:v>
      </x:c>
      <x:c r="D156" s="32" t="str">
        <x:v>BOUND-边界模式</x:v>
      </x:c>
      <x:c r="E156" s="32" t="str">
        <x:v>通用</x:v>
      </x:c>
      <x:c r="F156" s="32" t="str">
        <x:v>模式门槛</x:v>
      </x:c>
      <x:c r="G156" s="32" t="str">
        <x:v>BP11</x:v>
      </x:c>
      <x:c r="H156" s="32" t="str"/>
      <x:c r="I156" s="32" t="str">
        <x:v>两个通道均达到次通道门槛，来源独立、功能不同且分差不足8分。；并至少有两类独立证据相互支持。</x:v>
      </x:c>
      <x:c r="J156" s="32" t="str">
        <x:v>基础信号未定；真合化后原信号已失效；只有单一弱远争议信号；或该结论会越界到M4风险、M5适配。</x:v>
      </x:c>
      <x:c r="K156" s="32" t="str">
        <x:v>由共享基础引擎与M3-STATE修正；日主承载、印比支持只修正自主与执行，不直接等于有无边界。</x:v>
      </x:c>
      <x:c r="L156" s="32" t="str">
        <x:v>不限定；夫妻星仅在入宫或形成角色、责任边界时参与接口，不作为BOUND唯一主轴。</x:v>
      </x:c>
      <x:c r="M156" s="32" t="str">
        <x:v>由M3-BASE、日支主气及宫位动态提供。</x:v>
      </x:c>
      <x:c r="N156" s="32" t="str">
        <x:v>无／待BOUND路径规则组合</x:v>
      </x:c>
      <x:c r="O156" s="32" t="str">
        <x:v>日柱与日支近位优先；全局有效独立信号可作次通道。</x:v>
      </x:c>
      <x:c r="P156" s="32" t="str">
        <x:v>由共享基础引擎判定</x:v>
      </x:c>
      <x:c r="Q156" s="32" t="str">
        <x:v>由共享基础引擎判定</x:v>
      </x:c>
      <x:c r="R156" s="32" t="str">
        <x:v>喜忌不直接等于边界好坏；只修正调用顺畅度、资源压力和状态切换。</x:v>
      </x:c>
      <x:c r="S156" s="32" t="str">
        <x:v>原十神性质有效；真合化成立时按化神所属功能系统重建。</x:v>
      </x:c>
      <x:c r="T156" s="32" t="str">
        <x:v>由共享基础引擎判定</x:v>
      </x:c>
      <x:c r="U156" s="32" t="str">
        <x:v>82</x:v>
      </x:c>
      <x:c r="V156" s="32" t="str">
        <x:v>达到门槛后写入主模式；否则降为候选</x:v>
      </x:c>
      <x:c r="W156" s="32" t="str">
        <x:v>boundary_pattern</x:v>
      </x:c>
      <x:c r="X156" s="32" t="str">
        <x:v>模式标签只能在通道、过程维度、日支或现实行为形成独立证据链后输出。</x:v>
      </x:c>
      <x:c r="Y156" s="32" t="str">
        <x:v>这一判断看的是你怎样安排亲密、空间和决定权，不代表其他方式缺失。</x:v>
      </x:c>
      <x:c r="Z156" s="32" t="str">
        <x:v>不得由本规则直接推出回避亲密、依赖失控、控制欲、冷漠、自私、关系破裂、分手离婚、人格或依恋类型；不得把某种边界方式等同于爱得更多或更少。</x:v>
      </x:c>
      <x:c r="AA156" s="32" t="str">
        <x:v>中</x:v>
      </x:c>
      <x:c r="AB156" s="32" t="str">
        <x:v>待验证</x:v>
      </x:c>
      <x:c r="AC156" s="32" t="str"/>
      <x:c r="AD156" s="32" t="str">
        <x:v>provisional=true; rule_group=PATTERN_BP11_GATE</x:v>
      </x:c>
      <x:c r="AE156" s="32" t="str">
        <x:v>0.5</x:v>
      </x:c>
    </x:row>
    <x:row r="157">
      <x:c r="A157" s="32" t="str">
        <x:v>M3-BOUND-153</x:v>
      </x:c>
      <x:c r="B157" s="32" t="str">
        <x:v>BP12 情境切换型｜模式定义</x:v>
      </x:c>
      <x:c r="C157" s="32" t="str">
        <x:v>L3 BOUND模式</x:v>
      </x:c>
      <x:c r="D157" s="32" t="str">
        <x:v>BOUND-边界模式</x:v>
      </x:c>
      <x:c r="E157" s="32" t="str">
        <x:v>通用</x:v>
      </x:c>
      <x:c r="F157" s="32" t="str">
        <x:v>模式定义</x:v>
      </x:c>
      <x:c r="G157" s="32" t="str">
        <x:v>BP12</x:v>
      </x:c>
      <x:c r="H157" s="32" t="str"/>
      <x:c r="I157" s="32" t="str">
        <x:v>至少两个情境拥有独立通道证据，且M3-STATE或宫位动态支持切换。</x:v>
      </x:c>
      <x:c r="J157" s="32" t="str">
        <x:v>基础信号未定；真合化后原信号已失效；只有单一弱远争议信号；或该结论会越界到M4风险、M5适配。</x:v>
      </x:c>
      <x:c r="K157" s="32" t="str">
        <x:v>由共享基础引擎与M3-STATE修正；日主承载、印比支持只修正自主与执行，不直接等于有无边界。</x:v>
      </x:c>
      <x:c r="L157" s="32" t="str">
        <x:v>不限定；夫妻星仅在入宫或形成角色、责任边界时参与接口，不作为BOUND唯一主轴。</x:v>
      </x:c>
      <x:c r="M157" s="32" t="str">
        <x:v>由M3-BASE、日支主气及宫位动态提供。</x:v>
      </x:c>
      <x:c r="N157" s="32" t="str">
        <x:v>无／待BOUND路径规则组合</x:v>
      </x:c>
      <x:c r="O157" s="32" t="str">
        <x:v>日柱与日支近位优先；全局有效独立信号可作次通道。</x:v>
      </x:c>
      <x:c r="P157" s="32" t="str">
        <x:v>由共享基础引擎判定</x:v>
      </x:c>
      <x:c r="Q157" s="32" t="str">
        <x:v>由共享基础引擎判定</x:v>
      </x:c>
      <x:c r="R157" s="32" t="str">
        <x:v>喜忌不直接等于边界好坏；只修正调用顺畅度、资源压力和状态切换。</x:v>
      </x:c>
      <x:c r="S157" s="32" t="str">
        <x:v>原十神性质有效；真合化成立时按化神所属功能系统重建。</x:v>
      </x:c>
      <x:c r="T157" s="32" t="str">
        <x:v>由共享基础引擎判定</x:v>
      </x:c>
      <x:c r="U157" s="32" t="str">
        <x:v>70</x:v>
      </x:c>
      <x:c r="V157" s="32" t="str">
        <x:v>模式候选 +10</x:v>
      </x:c>
      <x:c r="W157" s="32" t="str">
        <x:v>boundary_pattern</x:v>
      </x:c>
      <x:c r="X157" s="32" t="str">
        <x:v>日常、压力、共同任务或不同关系阶段会调用不同边界通道。</x:v>
      </x:c>
      <x:c r="Y157" s="32" t="str">
        <x:v>你的边界模式更接近“情境切换型”：日常、压力、共同任务或不同关系阶段会调用不同边界通道。</x:v>
      </x:c>
      <x:c r="Z157" s="32" t="str">
        <x:v>不得由本规则直接推出回避亲密、依赖失控、控制欲、冷漠、自私、关系破裂、分手离婚、人格或依恋类型；不得把某种边界方式等同于爱得更多或更少。</x:v>
      </x:c>
      <x:c r="AA157" s="32" t="str">
        <x:v>中高</x:v>
      </x:c>
      <x:c r="AB157" s="32" t="str">
        <x:v>待验证</x:v>
      </x:c>
      <x:c r="AC157" s="32" t="str"/>
      <x:c r="AD157" s="32" t="str">
        <x:v>provisional=true; rule_group=PATTERN_BP12_DEF</x:v>
      </x:c>
      <x:c r="AE157" s="32" t="str">
        <x:v>0.5</x:v>
      </x:c>
    </x:row>
    <x:row r="158">
      <x:c r="A158" s="32" t="str">
        <x:v>M3-BOUND-154</x:v>
      </x:c>
      <x:c r="B158" s="32" t="str">
        <x:v>BP12 情境切换型｜成立与输出门槛</x:v>
      </x:c>
      <x:c r="C158" s="32" t="str">
        <x:v>L3 BOUND模式</x:v>
      </x:c>
      <x:c r="D158" s="32" t="str">
        <x:v>BOUND-边界模式</x:v>
      </x:c>
      <x:c r="E158" s="32" t="str">
        <x:v>通用</x:v>
      </x:c>
      <x:c r="F158" s="32" t="str">
        <x:v>模式门槛</x:v>
      </x:c>
      <x:c r="G158" s="32" t="str">
        <x:v>BP12</x:v>
      </x:c>
      <x:c r="H158" s="32" t="str"/>
      <x:c r="I158" s="32" t="str">
        <x:v>至少两个情境拥有独立通道证据，且M3-STATE或宫位动态支持切换。；并至少有两类独立证据相互支持。</x:v>
      </x:c>
      <x:c r="J158" s="32" t="str">
        <x:v>基础信号未定；真合化后原信号已失效；只有单一弱远争议信号；或该结论会越界到M4风险、M5适配。</x:v>
      </x:c>
      <x:c r="K158" s="32" t="str">
        <x:v>由共享基础引擎与M3-STATE修正；日主承载、印比支持只修正自主与执行，不直接等于有无边界。</x:v>
      </x:c>
      <x:c r="L158" s="32" t="str">
        <x:v>不限定；夫妻星仅在入宫或形成角色、责任边界时参与接口，不作为BOUND唯一主轴。</x:v>
      </x:c>
      <x:c r="M158" s="32" t="str">
        <x:v>由M3-BASE、日支主气及宫位动态提供。</x:v>
      </x:c>
      <x:c r="N158" s="32" t="str">
        <x:v>无／待BOUND路径规则组合</x:v>
      </x:c>
      <x:c r="O158" s="32" t="str">
        <x:v>日柱与日支近位优先；全局有效独立信号可作次通道。</x:v>
      </x:c>
      <x:c r="P158" s="32" t="str">
        <x:v>由共享基础引擎判定</x:v>
      </x:c>
      <x:c r="Q158" s="32" t="str">
        <x:v>由共享基础引擎判定</x:v>
      </x:c>
      <x:c r="R158" s="32" t="str">
        <x:v>喜忌不直接等于边界好坏；只修正调用顺畅度、资源压力和状态切换。</x:v>
      </x:c>
      <x:c r="S158" s="32" t="str">
        <x:v>原十神性质有效；真合化成立时按化神所属功能系统重建。</x:v>
      </x:c>
      <x:c r="T158" s="32" t="str">
        <x:v>由共享基础引擎判定</x:v>
      </x:c>
      <x:c r="U158" s="32" t="str">
        <x:v>82</x:v>
      </x:c>
      <x:c r="V158" s="32" t="str">
        <x:v>达到门槛后写入主模式；否则降为候选</x:v>
      </x:c>
      <x:c r="W158" s="32" t="str">
        <x:v>boundary_pattern</x:v>
      </x:c>
      <x:c r="X158" s="32" t="str">
        <x:v>模式标签只能在通道、过程维度、日支或现实行为形成独立证据链后输出。</x:v>
      </x:c>
      <x:c r="Y158" s="32" t="str">
        <x:v>这一判断看的是你怎样安排亲密、空间和决定权，不代表其他方式缺失。</x:v>
      </x:c>
      <x:c r="Z158" s="32" t="str">
        <x:v>不得由本规则直接推出回避亲密、依赖失控、控制欲、冷漠、自私、关系破裂、分手离婚、人格或依恋类型；不得把某种边界方式等同于爱得更多或更少。</x:v>
      </x:c>
      <x:c r="AA158" s="32" t="str">
        <x:v>中</x:v>
      </x:c>
      <x:c r="AB158" s="32" t="str">
        <x:v>待验证</x:v>
      </x:c>
      <x:c r="AC158" s="32" t="str"/>
      <x:c r="AD158" s="32" t="str">
        <x:v>provisional=true; rule_group=PATTERN_BP12_GATE</x:v>
      </x:c>
      <x:c r="AE158" s="32" t="str">
        <x:v>0.5</x:v>
      </x:c>
    </x:row>
    <x:row r="159">
      <x:c r="A159" s="32" t="str">
        <x:v>M3-BOUND-155</x:v>
      </x:c>
      <x:c r="B159" s="32" t="str">
        <x:v>DR01 快速明确靠近｜距离节奏</x:v>
      </x:c>
      <x:c r="C159" s="32" t="str">
        <x:v>L3 BOUND距离节奏</x:v>
      </x:c>
      <x:c r="D159" s="32" t="str">
        <x:v>BOUND-距离节奏</x:v>
      </x:c>
      <x:c r="E159" s="32" t="str">
        <x:v>通用</x:v>
      </x:c>
      <x:c r="F159" s="32" t="str">
        <x:v>距离节奏</x:v>
      </x:c>
      <x:c r="G159" s="32" t="str">
        <x:v>DR01</x:v>
      </x:c>
      <x:c r="H159" s="32" t="str"/>
      <x:c r="I159" s="32" t="str">
        <x:v>相关靠近、空间和位置证据至少两项一致；DR08用于证据不足。</x:v>
      </x:c>
      <x:c r="J159" s="32" t="str">
        <x:v>基础信号未定；真合化后原信号已失效；只有单一弱远争议信号；或该结论会越界到M4风险、M5适配。</x:v>
      </x:c>
      <x:c r="K159" s="32" t="str">
        <x:v>由共享基础引擎与M3-STATE修正；日主承载、印比支持只修正自主与执行，不直接等于有无边界。</x:v>
      </x:c>
      <x:c r="L159" s="32" t="str">
        <x:v>不限定；夫妻星仅在入宫或形成角色、责任边界时参与接口，不作为BOUND唯一主轴。</x:v>
      </x:c>
      <x:c r="M159" s="32" t="str">
        <x:v>由M3-BASE、日支主气及宫位动态提供。</x:v>
      </x:c>
      <x:c r="N159" s="32" t="str">
        <x:v>无／待BOUND路径规则组合</x:v>
      </x:c>
      <x:c r="O159" s="32" t="str">
        <x:v>日柱与日支近位优先；全局有效独立信号可作次通道。</x:v>
      </x:c>
      <x:c r="P159" s="32" t="str">
        <x:v>由共享基础引擎判定</x:v>
      </x:c>
      <x:c r="Q159" s="32" t="str">
        <x:v>由共享基础引擎判定</x:v>
      </x:c>
      <x:c r="R159" s="32" t="str">
        <x:v>喜忌不直接等于边界好坏；只修正调用顺畅度、资源压力和状态切换。</x:v>
      </x:c>
      <x:c r="S159" s="32" t="str">
        <x:v>原十神性质有效；真合化成立时按化神所属功能系统重建。</x:v>
      </x:c>
      <x:c r="T159" s="32" t="str">
        <x:v>由共享基础引擎判定</x:v>
      </x:c>
      <x:c r="U159" s="32" t="str">
        <x:v>65</x:v>
      </x:c>
      <x:c r="V159" s="32" t="str">
        <x:v>距离节奏候选 +6</x:v>
      </x:c>
      <x:c r="W159" s="32" t="str">
        <x:v>distance_pattern</x:v>
      </x:c>
      <x:c r="X159" s="32" t="str">
        <x:v>关键条件清楚、主通道外显且连续时，关系可以较快靠近，同时边界较早被说清。</x:v>
      </x:c>
      <x:c r="Y159" s="32" t="str">
        <x:v>关键条件清楚、主通道外显且连续时，关系可以较快靠近，同时边界较早被说清。</x:v>
      </x:c>
      <x:c r="Z159" s="32" t="str">
        <x:v>不得由本规则直接推出回避亲密、依赖失控、控制欲、冷漠、自私、关系破裂、分手离婚、人格或依恋类型；不得把某种边界方式等同于爱得更多或更少。</x:v>
      </x:c>
      <x:c r="AA159" s="32" t="str">
        <x:v>中</x:v>
      </x:c>
      <x:c r="AB159" s="32" t="str">
        <x:v>待验证</x:v>
      </x:c>
      <x:c r="AC159" s="32" t="str"/>
      <x:c r="AD159" s="32" t="str">
        <x:v>provisional=true; rule_group=DISTANCE_DR01</x:v>
      </x:c>
      <x:c r="AE159" s="32" t="str">
        <x:v>0.5</x:v>
      </x:c>
    </x:row>
    <x:row r="160">
      <x:c r="A160" s="32" t="str">
        <x:v>M3-BOUND-156</x:v>
      </x:c>
      <x:c r="B160" s="32" t="str">
        <x:v>DR02 渐进熟悉靠近｜距离节奏</x:v>
      </x:c>
      <x:c r="C160" s="32" t="str">
        <x:v>L3 BOUND距离节奏</x:v>
      </x:c>
      <x:c r="D160" s="32" t="str">
        <x:v>BOUND-距离节奏</x:v>
      </x:c>
      <x:c r="E160" s="32" t="str">
        <x:v>通用</x:v>
      </x:c>
      <x:c r="F160" s="32" t="str">
        <x:v>距离节奏</x:v>
      </x:c>
      <x:c r="G160" s="32" t="str">
        <x:v>DR02</x:v>
      </x:c>
      <x:c r="H160" s="32" t="str"/>
      <x:c r="I160" s="32" t="str">
        <x:v>相关靠近、空间和位置证据至少两项一致；DR08用于证据不足。</x:v>
      </x:c>
      <x:c r="J160" s="32" t="str">
        <x:v>基础信号未定；真合化后原信号已失效；只有单一弱远争议信号；或该结论会越界到M4风险、M5适配。</x:v>
      </x:c>
      <x:c r="K160" s="32" t="str">
        <x:v>由共享基础引擎与M3-STATE修正；日主承载、印比支持只修正自主与执行，不直接等于有无边界。</x:v>
      </x:c>
      <x:c r="L160" s="32" t="str">
        <x:v>不限定；夫妻星仅在入宫或形成角色、责任边界时参与接口，不作为BOUND唯一主轴。</x:v>
      </x:c>
      <x:c r="M160" s="32" t="str">
        <x:v>由M3-BASE、日支主气及宫位动态提供。</x:v>
      </x:c>
      <x:c r="N160" s="32" t="str">
        <x:v>无／待BOUND路径规则组合</x:v>
      </x:c>
      <x:c r="O160" s="32" t="str">
        <x:v>日柱与日支近位优先；全局有效独立信号可作次通道。</x:v>
      </x:c>
      <x:c r="P160" s="32" t="str">
        <x:v>由共享基础引擎判定</x:v>
      </x:c>
      <x:c r="Q160" s="32" t="str">
        <x:v>由共享基础引擎判定</x:v>
      </x:c>
      <x:c r="R160" s="32" t="str">
        <x:v>喜忌不直接等于边界好坏；只修正调用顺畅度、资源压力和状态切换。</x:v>
      </x:c>
      <x:c r="S160" s="32" t="str">
        <x:v>原十神性质有效；真合化成立时按化神所属功能系统重建。</x:v>
      </x:c>
      <x:c r="T160" s="32" t="str">
        <x:v>由共享基础引擎判定</x:v>
      </x:c>
      <x:c r="U160" s="32" t="str">
        <x:v>65</x:v>
      </x:c>
      <x:c r="V160" s="32" t="str">
        <x:v>距离节奏候选 +6</x:v>
      </x:c>
      <x:c r="W160" s="32" t="str">
        <x:v>distance_pattern</x:v>
      </x:c>
      <x:c r="X160" s="32" t="str">
        <x:v>需要通过重复接触、日常相处和稳定回应逐步增加亲密。</x:v>
      </x:c>
      <x:c r="Y160" s="32" t="str">
        <x:v>需要通过重复接触、日常相处和稳定回应逐步增加亲密。</x:v>
      </x:c>
      <x:c r="Z160" s="32" t="str">
        <x:v>不得由本规则直接推出回避亲密、依赖失控、控制欲、冷漠、自私、关系破裂、分手离婚、人格或依恋类型；不得把某种边界方式等同于爱得更多或更少。</x:v>
      </x:c>
      <x:c r="AA160" s="32" t="str">
        <x:v>中</x:v>
      </x:c>
      <x:c r="AB160" s="32" t="str">
        <x:v>待验证</x:v>
      </x:c>
      <x:c r="AC160" s="32" t="str"/>
      <x:c r="AD160" s="32" t="str">
        <x:v>provisional=true; rule_group=DISTANCE_DR02</x:v>
      </x:c>
      <x:c r="AE160" s="32" t="str">
        <x:v>0.5</x:v>
      </x:c>
    </x:row>
    <x:row r="161">
      <x:c r="A161" s="32" t="str">
        <x:v>M3-BOUND-157</x:v>
      </x:c>
      <x:c r="B161" s="32" t="str">
        <x:v>DR03 信任后开放｜距离节奏</x:v>
      </x:c>
      <x:c r="C161" s="32" t="str">
        <x:v>L3 BOUND距离节奏</x:v>
      </x:c>
      <x:c r="D161" s="32" t="str">
        <x:v>BOUND-距离节奏</x:v>
      </x:c>
      <x:c r="E161" s="32" t="str">
        <x:v>通用</x:v>
      </x:c>
      <x:c r="F161" s="32" t="str">
        <x:v>距离节奏</x:v>
      </x:c>
      <x:c r="G161" s="32" t="str">
        <x:v>DR03</x:v>
      </x:c>
      <x:c r="H161" s="32" t="str"/>
      <x:c r="I161" s="32" t="str">
        <x:v>相关靠近、空间和位置证据至少两项一致；DR08用于证据不足。</x:v>
      </x:c>
      <x:c r="J161" s="32" t="str">
        <x:v>基础信号未定；真合化后原信号已失效；只有单一弱远争议信号；或该结论会越界到M4风险、M5适配。</x:v>
      </x:c>
      <x:c r="K161" s="32" t="str">
        <x:v>由共享基础引擎与M3-STATE修正；日主承载、印比支持只修正自主与执行，不直接等于有无边界。</x:v>
      </x:c>
      <x:c r="L161" s="32" t="str">
        <x:v>不限定；夫妻星仅在入宫或形成角色、责任边界时参与接口，不作为BOUND唯一主轴。</x:v>
      </x:c>
      <x:c r="M161" s="32" t="str">
        <x:v>由M3-BASE、日支主气及宫位动态提供。</x:v>
      </x:c>
      <x:c r="N161" s="32" t="str">
        <x:v>无／待BOUND路径规则组合</x:v>
      </x:c>
      <x:c r="O161" s="32" t="str">
        <x:v>日柱与日支近位优先；全局有效独立信号可作次通道。</x:v>
      </x:c>
      <x:c r="P161" s="32" t="str">
        <x:v>由共享基础引擎判定</x:v>
      </x:c>
      <x:c r="Q161" s="32" t="str">
        <x:v>由共享基础引擎判定</x:v>
      </x:c>
      <x:c r="R161" s="32" t="str">
        <x:v>喜忌不直接等于边界好坏；只修正调用顺畅度、资源压力和状态切换。</x:v>
      </x:c>
      <x:c r="S161" s="32" t="str">
        <x:v>原十神性质有效；真合化成立时按化神所属功能系统重建。</x:v>
      </x:c>
      <x:c r="T161" s="32" t="str">
        <x:v>由共享基础引擎判定</x:v>
      </x:c>
      <x:c r="U161" s="32" t="str">
        <x:v>65</x:v>
      </x:c>
      <x:c r="V161" s="32" t="str">
        <x:v>距离节奏候选 +6</x:v>
      </x:c>
      <x:c r="W161" s="32" t="str">
        <x:v>distance_pattern</x:v>
      </x:c>
      <x:c r="X161" s="32" t="str">
        <x:v>先确认理解、安全或可靠性，再开放更多情绪、生活和依托。</x:v>
      </x:c>
      <x:c r="Y161" s="32" t="str">
        <x:v>先确认理解、安全或可靠性，再开放更多情绪、生活和依托。</x:v>
      </x:c>
      <x:c r="Z161" s="32" t="str">
        <x:v>不得由本规则直接推出回避亲密、依赖失控、控制欲、冷漠、自私、关系破裂、分手离婚、人格或依恋类型；不得把某种边界方式等同于爱得更多或更少。</x:v>
      </x:c>
      <x:c r="AA161" s="32" t="str">
        <x:v>中</x:v>
      </x:c>
      <x:c r="AB161" s="32" t="str">
        <x:v>待验证</x:v>
      </x:c>
      <x:c r="AC161" s="32" t="str"/>
      <x:c r="AD161" s="32" t="str">
        <x:v>provisional=true; rule_group=DISTANCE_DR03</x:v>
      </x:c>
      <x:c r="AE161" s="32" t="str">
        <x:v>0.5</x:v>
      </x:c>
    </x:row>
    <x:row r="162">
      <x:c r="A162" s="32" t="str">
        <x:v>M3-BOUND-158</x:v>
      </x:c>
      <x:c r="B162" s="32" t="str">
        <x:v>DR04 共同任务靠近｜距离节奏</x:v>
      </x:c>
      <x:c r="C162" s="32" t="str">
        <x:v>L3 BOUND距离节奏</x:v>
      </x:c>
      <x:c r="D162" s="32" t="str">
        <x:v>BOUND-距离节奏</x:v>
      </x:c>
      <x:c r="E162" s="32" t="str">
        <x:v>通用</x:v>
      </x:c>
      <x:c r="F162" s="32" t="str">
        <x:v>距离节奏</x:v>
      </x:c>
      <x:c r="G162" s="32" t="str">
        <x:v>DR04</x:v>
      </x:c>
      <x:c r="H162" s="32" t="str"/>
      <x:c r="I162" s="32" t="str">
        <x:v>相关靠近、空间和位置证据至少两项一致；DR08用于证据不足。</x:v>
      </x:c>
      <x:c r="J162" s="32" t="str">
        <x:v>基础信号未定；真合化后原信号已失效；只有单一弱远争议信号；或该结论会越界到M4风险、M5适配。</x:v>
      </x:c>
      <x:c r="K162" s="32" t="str">
        <x:v>由共享基础引擎与M3-STATE修正；日主承载、印比支持只修正自主与执行，不直接等于有无边界。</x:v>
      </x:c>
      <x:c r="L162" s="32" t="str">
        <x:v>不限定；夫妻星仅在入宫或形成角色、责任边界时参与接口，不作为BOUND唯一主轴。</x:v>
      </x:c>
      <x:c r="M162" s="32" t="str">
        <x:v>由M3-BASE、日支主气及宫位动态提供。</x:v>
      </x:c>
      <x:c r="N162" s="32" t="str">
        <x:v>无／待BOUND路径规则组合</x:v>
      </x:c>
      <x:c r="O162" s="32" t="str">
        <x:v>日柱与日支近位优先；全局有效独立信号可作次通道。</x:v>
      </x:c>
      <x:c r="P162" s="32" t="str">
        <x:v>由共享基础引擎判定</x:v>
      </x:c>
      <x:c r="Q162" s="32" t="str">
        <x:v>由共享基础引擎判定</x:v>
      </x:c>
      <x:c r="R162" s="32" t="str">
        <x:v>喜忌不直接等于边界好坏；只修正调用顺畅度、资源压力和状态切换。</x:v>
      </x:c>
      <x:c r="S162" s="32" t="str">
        <x:v>原十神性质有效；真合化成立时按化神所属功能系统重建。</x:v>
      </x:c>
      <x:c r="T162" s="32" t="str">
        <x:v>由共享基础引擎判定</x:v>
      </x:c>
      <x:c r="U162" s="32" t="str">
        <x:v>65</x:v>
      </x:c>
      <x:c r="V162" s="32" t="str">
        <x:v>距离节奏候选 +6</x:v>
      </x:c>
      <x:c r="W162" s="32" t="str">
        <x:v>distance_pattern</x:v>
      </x:c>
      <x:c r="X162" s="32" t="str">
        <x:v>一起做事、共同经历或协作会明显缩短距离。</x:v>
      </x:c>
      <x:c r="Y162" s="32" t="str">
        <x:v>一起做事、共同经历或协作会明显缩短距离。</x:v>
      </x:c>
      <x:c r="Z162" s="32" t="str">
        <x:v>不得由本规则直接推出回避亲密、依赖失控、控制欲、冷漠、自私、关系破裂、分手离婚、人格或依恋类型；不得把某种边界方式等同于爱得更多或更少。</x:v>
      </x:c>
      <x:c r="AA162" s="32" t="str">
        <x:v>中</x:v>
      </x:c>
      <x:c r="AB162" s="32" t="str">
        <x:v>待验证</x:v>
      </x:c>
      <x:c r="AC162" s="32" t="str"/>
      <x:c r="AD162" s="32" t="str">
        <x:v>provisional=true; rule_group=DISTANCE_DR04</x:v>
      </x:c>
      <x:c r="AE162" s="32" t="str">
        <x:v>0.5</x:v>
      </x:c>
    </x:row>
    <x:row r="163">
      <x:c r="A163" s="32" t="str">
        <x:v>M3-BOUND-159</x:v>
      </x:c>
      <x:c r="B163" s="32" t="str">
        <x:v>DR05 靠近—空间交替｜距离节奏</x:v>
      </x:c>
      <x:c r="C163" s="32" t="str">
        <x:v>L3 BOUND距离节奏</x:v>
      </x:c>
      <x:c r="D163" s="32" t="str">
        <x:v>BOUND-距离节奏</x:v>
      </x:c>
      <x:c r="E163" s="32" t="str">
        <x:v>通用</x:v>
      </x:c>
      <x:c r="F163" s="32" t="str">
        <x:v>距离节奏</x:v>
      </x:c>
      <x:c r="G163" s="32" t="str">
        <x:v>DR05</x:v>
      </x:c>
      <x:c r="H163" s="32" t="str"/>
      <x:c r="I163" s="32" t="str">
        <x:v>相关靠近、空间和位置证据至少两项一致；DR08用于证据不足。</x:v>
      </x:c>
      <x:c r="J163" s="32" t="str">
        <x:v>基础信号未定；真合化后原信号已失效；只有单一弱远争议信号；或该结论会越界到M4风险、M5适配。</x:v>
      </x:c>
      <x:c r="K163" s="32" t="str">
        <x:v>由共享基础引擎与M3-STATE修正；日主承载、印比支持只修正自主与执行，不直接等于有无边界。</x:v>
      </x:c>
      <x:c r="L163" s="32" t="str">
        <x:v>不限定；夫妻星仅在入宫或形成角色、责任边界时参与接口，不作为BOUND唯一主轴。</x:v>
      </x:c>
      <x:c r="M163" s="32" t="str">
        <x:v>由M3-BASE、日支主气及宫位动态提供。</x:v>
      </x:c>
      <x:c r="N163" s="32" t="str">
        <x:v>无／待BOUND路径规则组合</x:v>
      </x:c>
      <x:c r="O163" s="32" t="str">
        <x:v>日柱与日支近位优先；全局有效独立信号可作次通道。</x:v>
      </x:c>
      <x:c r="P163" s="32" t="str">
        <x:v>由共享基础引擎判定</x:v>
      </x:c>
      <x:c r="Q163" s="32" t="str">
        <x:v>由共享基础引擎判定</x:v>
      </x:c>
      <x:c r="R163" s="32" t="str">
        <x:v>喜忌不直接等于边界好坏；只修正调用顺畅度、资源压力和状态切换。</x:v>
      </x:c>
      <x:c r="S163" s="32" t="str">
        <x:v>原十神性质有效；真合化成立时按化神所属功能系统重建。</x:v>
      </x:c>
      <x:c r="T163" s="32" t="str">
        <x:v>由共享基础引擎判定</x:v>
      </x:c>
      <x:c r="U163" s="32" t="str">
        <x:v>65</x:v>
      </x:c>
      <x:c r="V163" s="32" t="str">
        <x:v>距离节奏候选 +6</x:v>
      </x:c>
      <x:c r="W163" s="32" t="str">
        <x:v>distance_pattern</x:v>
      </x:c>
      <x:c r="X163" s="32" t="str">
        <x:v>亲密增加后需要阶段性整理或独处，再回到关系继续协商。</x:v>
      </x:c>
      <x:c r="Y163" s="32" t="str">
        <x:v>亲密增加后需要阶段性整理或独处，再回到关系继续协商。</x:v>
      </x:c>
      <x:c r="Z163" s="32" t="str">
        <x:v>不得由本规则直接推出回避亲密、依赖失控、控制欲、冷漠、自私、关系破裂、分手离婚、人格或依恋类型；不得把某种边界方式等同于爱得更多或更少。</x:v>
      </x:c>
      <x:c r="AA163" s="32" t="str">
        <x:v>中</x:v>
      </x:c>
      <x:c r="AB163" s="32" t="str">
        <x:v>待验证</x:v>
      </x:c>
      <x:c r="AC163" s="32" t="str"/>
      <x:c r="AD163" s="32" t="str">
        <x:v>provisional=true; rule_group=DISTANCE_DR05</x:v>
      </x:c>
      <x:c r="AE163" s="32" t="str">
        <x:v>0.5</x:v>
      </x:c>
    </x:row>
    <x:row r="164">
      <x:c r="A164" s="32" t="str">
        <x:v>M3-BOUND-160</x:v>
      </x:c>
      <x:c r="B164" s="32" t="str">
        <x:v>DR06 稳定共享节奏｜距离节奏</x:v>
      </x:c>
      <x:c r="C164" s="32" t="str">
        <x:v>L3 BOUND距离节奏</x:v>
      </x:c>
      <x:c r="D164" s="32" t="str">
        <x:v>BOUND-距离节奏</x:v>
      </x:c>
      <x:c r="E164" s="32" t="str">
        <x:v>通用</x:v>
      </x:c>
      <x:c r="F164" s="32" t="str">
        <x:v>距离节奏</x:v>
      </x:c>
      <x:c r="G164" s="32" t="str">
        <x:v>DR06</x:v>
      </x:c>
      <x:c r="H164" s="32" t="str"/>
      <x:c r="I164" s="32" t="str">
        <x:v>相关靠近、空间和位置证据至少两项一致；DR08用于证据不足。</x:v>
      </x:c>
      <x:c r="J164" s="32" t="str">
        <x:v>基础信号未定；真合化后原信号已失效；只有单一弱远争议信号；或该结论会越界到M4风险、M5适配。</x:v>
      </x:c>
      <x:c r="K164" s="32" t="str">
        <x:v>由共享基础引擎与M3-STATE修正；日主承载、印比支持只修正自主与执行，不直接等于有无边界。</x:v>
      </x:c>
      <x:c r="L164" s="32" t="str">
        <x:v>不限定；夫妻星仅在入宫或形成角色、责任边界时参与接口，不作为BOUND唯一主轴。</x:v>
      </x:c>
      <x:c r="M164" s="32" t="str">
        <x:v>由M3-BASE、日支主气及宫位动态提供。</x:v>
      </x:c>
      <x:c r="N164" s="32" t="str">
        <x:v>无／待BOUND路径规则组合</x:v>
      </x:c>
      <x:c r="O164" s="32" t="str">
        <x:v>日柱与日支近位优先；全局有效独立信号可作次通道。</x:v>
      </x:c>
      <x:c r="P164" s="32" t="str">
        <x:v>由共享基础引擎判定</x:v>
      </x:c>
      <x:c r="Q164" s="32" t="str">
        <x:v>由共享基础引擎判定</x:v>
      </x:c>
      <x:c r="R164" s="32" t="str">
        <x:v>喜忌不直接等于边界好坏；只修正调用顺畅度、资源压力和状态切换。</x:v>
      </x:c>
      <x:c r="S164" s="32" t="str">
        <x:v>原十神性质有效；真合化成立时按化神所属功能系统重建。</x:v>
      </x:c>
      <x:c r="T164" s="32" t="str">
        <x:v>由共享基础引擎判定</x:v>
      </x:c>
      <x:c r="U164" s="32" t="str">
        <x:v>65</x:v>
      </x:c>
      <x:c r="V164" s="32" t="str">
        <x:v>距离节奏候选 +6</x:v>
      </x:c>
      <x:c r="W164" s="32" t="str">
        <x:v>distance_pattern</x:v>
      </x:c>
      <x:c r="X164" s="32" t="str">
        <x:v>以固定安排、重复回应和可预期共享维持距离。</x:v>
      </x:c>
      <x:c r="Y164" s="32" t="str">
        <x:v>以固定安排、重复回应和可预期共享维持距离。</x:v>
      </x:c>
      <x:c r="Z164" s="32" t="str">
        <x:v>不得由本规则直接推出回避亲密、依赖失控、控制欲、冷漠、自私、关系破裂、分手离婚、人格或依恋类型；不得把某种边界方式等同于爱得更多或更少。</x:v>
      </x:c>
      <x:c r="AA164" s="32" t="str">
        <x:v>中</x:v>
      </x:c>
      <x:c r="AB164" s="32" t="str">
        <x:v>待验证</x:v>
      </x:c>
      <x:c r="AC164" s="32" t="str"/>
      <x:c r="AD164" s="32" t="str">
        <x:v>provisional=true; rule_group=DISTANCE_DR06</x:v>
      </x:c>
      <x:c r="AE164" s="32" t="str">
        <x:v>0.5</x:v>
      </x:c>
    </x:row>
    <x:row r="165">
      <x:c r="A165" s="32" t="str">
        <x:v>M3-BOUND-161</x:v>
      </x:c>
      <x:c r="B165" s="32" t="str">
        <x:v>DR07 并行自主节奏｜距离节奏</x:v>
      </x:c>
      <x:c r="C165" s="32" t="str">
        <x:v>L3 BOUND距离节奏</x:v>
      </x:c>
      <x:c r="D165" s="32" t="str">
        <x:v>BOUND-距离节奏</x:v>
      </x:c>
      <x:c r="E165" s="32" t="str">
        <x:v>通用</x:v>
      </x:c>
      <x:c r="F165" s="32" t="str">
        <x:v>距离节奏</x:v>
      </x:c>
      <x:c r="G165" s="32" t="str">
        <x:v>DR07</x:v>
      </x:c>
      <x:c r="H165" s="32" t="str"/>
      <x:c r="I165" s="32" t="str">
        <x:v>相关靠近、空间和位置证据至少两项一致；DR08用于证据不足。</x:v>
      </x:c>
      <x:c r="J165" s="32" t="str">
        <x:v>基础信号未定；真合化后原信号已失效；只有单一弱远争议信号；或该结论会越界到M4风险、M5适配。</x:v>
      </x:c>
      <x:c r="K165" s="32" t="str">
        <x:v>由共享基础引擎与M3-STATE修正；日主承载、印比支持只修正自主与执行，不直接等于有无边界。</x:v>
      </x:c>
      <x:c r="L165" s="32" t="str">
        <x:v>不限定；夫妻星仅在入宫或形成角色、责任边界时参与接口，不作为BOUND唯一主轴。</x:v>
      </x:c>
      <x:c r="M165" s="32" t="str">
        <x:v>由M3-BASE、日支主气及宫位动态提供。</x:v>
      </x:c>
      <x:c r="N165" s="32" t="str">
        <x:v>无／待BOUND路径规则组合</x:v>
      </x:c>
      <x:c r="O165" s="32" t="str">
        <x:v>日柱与日支近位优先；全局有效独立信号可作次通道。</x:v>
      </x:c>
      <x:c r="P165" s="32" t="str">
        <x:v>由共享基础引擎判定</x:v>
      </x:c>
      <x:c r="Q165" s="32" t="str">
        <x:v>由共享基础引擎判定</x:v>
      </x:c>
      <x:c r="R165" s="32" t="str">
        <x:v>喜忌不直接等于边界好坏；只修正调用顺畅度、资源压力和状态切换。</x:v>
      </x:c>
      <x:c r="S165" s="32" t="str">
        <x:v>原十神性质有效；真合化成立时按化神所属功能系统重建。</x:v>
      </x:c>
      <x:c r="T165" s="32" t="str">
        <x:v>由共享基础引擎判定</x:v>
      </x:c>
      <x:c r="U165" s="32" t="str">
        <x:v>65</x:v>
      </x:c>
      <x:c r="V165" s="32" t="str">
        <x:v>距离节奏候选 +6</x:v>
      </x:c>
      <x:c r="W165" s="32" t="str">
        <x:v>distance_pattern</x:v>
      </x:c>
      <x:c r="X165" s="32" t="str">
        <x:v>双方保持各自生活和判断，同时在关键事务上稳定联结。</x:v>
      </x:c>
      <x:c r="Y165" s="32" t="str">
        <x:v>双方保持各自生活和判断，同时在关键事务上稳定联结。</x:v>
      </x:c>
      <x:c r="Z165" s="32" t="str">
        <x:v>不得由本规则直接推出回避亲密、依赖失控、控制欲、冷漠、自私、关系破裂、分手离婚、人格或依恋类型；不得把某种边界方式等同于爱得更多或更少。</x:v>
      </x:c>
      <x:c r="AA165" s="32" t="str">
        <x:v>中</x:v>
      </x:c>
      <x:c r="AB165" s="32" t="str">
        <x:v>待验证</x:v>
      </x:c>
      <x:c r="AC165" s="32" t="str"/>
      <x:c r="AD165" s="32" t="str">
        <x:v>provisional=true; rule_group=DISTANCE_DR07</x:v>
      </x:c>
      <x:c r="AE165" s="32" t="str">
        <x:v>0.5</x:v>
      </x:c>
    </x:row>
    <x:row r="166">
      <x:c r="A166" s="32" t="str">
        <x:v>M3-BOUND-162</x:v>
      </x:c>
      <x:c r="B166" s="32" t="str">
        <x:v>DR08 距离节奏未定｜距离节奏</x:v>
      </x:c>
      <x:c r="C166" s="32" t="str">
        <x:v>L3 BOUND距离节奏</x:v>
      </x:c>
      <x:c r="D166" s="32" t="str">
        <x:v>BOUND-距离节奏</x:v>
      </x:c>
      <x:c r="E166" s="32" t="str">
        <x:v>通用</x:v>
      </x:c>
      <x:c r="F166" s="32" t="str">
        <x:v>距离节奏</x:v>
      </x:c>
      <x:c r="G166" s="32" t="str">
        <x:v>DR08</x:v>
      </x:c>
      <x:c r="H166" s="32" t="str"/>
      <x:c r="I166" s="32" t="str">
        <x:v>相关靠近、空间和位置证据至少两项一致；DR08用于证据不足。</x:v>
      </x:c>
      <x:c r="J166" s="32" t="str">
        <x:v>基础信号未定；真合化后原信号已失效；只有单一弱远争议信号；或该结论会越界到M4风险、M5适配。</x:v>
      </x:c>
      <x:c r="K166" s="32" t="str">
        <x:v>由共享基础引擎与M3-STATE修正；日主承载、印比支持只修正自主与执行，不直接等于有无边界。</x:v>
      </x:c>
      <x:c r="L166" s="32" t="str">
        <x:v>不限定；夫妻星仅在入宫或形成角色、责任边界时参与接口，不作为BOUND唯一主轴。</x:v>
      </x:c>
      <x:c r="M166" s="32" t="str">
        <x:v>由M3-BASE、日支主气及宫位动态提供。</x:v>
      </x:c>
      <x:c r="N166" s="32" t="str">
        <x:v>无／待BOUND路径规则组合</x:v>
      </x:c>
      <x:c r="O166" s="32" t="str">
        <x:v>日柱与日支近位优先；全局有效独立信号可作次通道。</x:v>
      </x:c>
      <x:c r="P166" s="32" t="str">
        <x:v>由共享基础引擎判定</x:v>
      </x:c>
      <x:c r="Q166" s="32" t="str">
        <x:v>由共享基础引擎判定</x:v>
      </x:c>
      <x:c r="R166" s="32" t="str">
        <x:v>喜忌不直接等于边界好坏；只修正调用顺畅度、资源压力和状态切换。</x:v>
      </x:c>
      <x:c r="S166" s="32" t="str">
        <x:v>原十神性质有效；真合化成立时按化神所属功能系统重建。</x:v>
      </x:c>
      <x:c r="T166" s="32" t="str">
        <x:v>由共享基础引擎判定</x:v>
      </x:c>
      <x:c r="U166" s="32" t="str">
        <x:v>65</x:v>
      </x:c>
      <x:c r="V166" s="32" t="str">
        <x:v>不加分；降置信</x:v>
      </x:c>
      <x:c r="W166" s="32" t="str">
        <x:v>distance_pattern</x:v>
      </x:c>
      <x:c r="X166" s="32" t="str">
        <x:v>现有证据不足以固定靠近和空间的先后，只能保留情境性。</x:v>
      </x:c>
      <x:c r="Y166" s="32" t="str">
        <x:v>现有证据不足以固定靠近和空间的先后，只能保留情境性。</x:v>
      </x:c>
      <x:c r="Z166" s="32" t="str">
        <x:v>不得由本规则直接推出回避亲密、依赖失控、控制欲、冷漠、自私、关系破裂、分手离婚、人格或依恋类型；不得把某种边界方式等同于爱得更多或更少。</x:v>
      </x:c>
      <x:c r="AA166" s="32" t="str">
        <x:v>中</x:v>
      </x:c>
      <x:c r="AB166" s="32" t="str">
        <x:v>待验证</x:v>
      </x:c>
      <x:c r="AC166" s="32" t="str"/>
      <x:c r="AD166" s="32" t="str">
        <x:v>provisional=true; rule_group=DISTANCE_DR08</x:v>
      </x:c>
      <x:c r="AE166" s="32" t="str">
        <x:v>0.5</x:v>
      </x:c>
    </x:row>
    <x:row r="167">
      <x:c r="A167" s="32" t="str">
        <x:v>M3-BOUND-163</x:v>
      </x:c>
      <x:c r="B167" s="32" t="str">
        <x:v>BE01 同步协商｜边界交换结构</x:v>
      </x:c>
      <x:c r="C167" s="32" t="str">
        <x:v>L3 BOUND交换结构</x:v>
      </x:c>
      <x:c r="D167" s="32" t="str">
        <x:v>BOUND-交换结构</x:v>
      </x:c>
      <x:c r="E167" s="32" t="str">
        <x:v>通用</x:v>
      </x:c>
      <x:c r="F167" s="32" t="str">
        <x:v>交换结构</x:v>
      </x:c>
      <x:c r="G167" s="32" t="str">
        <x:v>BE01</x:v>
      </x:c>
      <x:c r="H167" s="32" t="str"/>
      <x:c r="I167" s="32" t="str">
        <x:v>至少两项独立功能证据成立；BE07和BE08用于去重或停止。</x:v>
      </x:c>
      <x:c r="J167" s="32" t="str">
        <x:v>基础信号未定；真合化后原信号已失效；只有单一弱远争议信号；或该结论会越界到M4风险、M5适配。</x:v>
      </x:c>
      <x:c r="K167" s="32" t="str">
        <x:v>由共享基础引擎与M3-STATE修正；日主承载、印比支持只修正自主与执行，不直接等于有无边界。</x:v>
      </x:c>
      <x:c r="L167" s="32" t="str">
        <x:v>不限定；夫妻星仅在入宫或形成角色、责任边界时参与接口，不作为BOUND唯一主轴。</x:v>
      </x:c>
      <x:c r="M167" s="32" t="str">
        <x:v>由M3-BASE、日支主气及宫位动态提供。</x:v>
      </x:c>
      <x:c r="N167" s="32" t="str">
        <x:v>无／待BOUND路径规则组合</x:v>
      </x:c>
      <x:c r="O167" s="32" t="str">
        <x:v>日柱与日支近位优先；全局有效独立信号可作次通道。</x:v>
      </x:c>
      <x:c r="P167" s="32" t="str">
        <x:v>由共享基础引擎判定</x:v>
      </x:c>
      <x:c r="Q167" s="32" t="str">
        <x:v>由共享基础引擎判定</x:v>
      </x:c>
      <x:c r="R167" s="32" t="str">
        <x:v>喜忌不直接等于边界好坏；只修正调用顺畅度、资源压力和状态切换。</x:v>
      </x:c>
      <x:c r="S167" s="32" t="str">
        <x:v>原十神性质有效；真合化成立时按化神所属功能系统重建。</x:v>
      </x:c>
      <x:c r="T167" s="32" t="str">
        <x:v>由共享基础引擎判定</x:v>
      </x:c>
      <x:c r="U167" s="32" t="str">
        <x:v>66</x:v>
      </x:c>
      <x:c r="V167" s="32" t="str">
        <x:v>结构候选 +6／门控</x:v>
      </x:c>
      <x:c r="W167" s="32" t="str">
        <x:v>boundary_exchange</x:v>
      </x:c>
      <x:c r="X167" s="32" t="str">
        <x:v>靠近、分享和决定权在双方即时回应中同步调整。</x:v>
      </x:c>
      <x:c r="Y167" s="32" t="str">
        <x:v>靠近、分享和决定权在双方即时回应中同步调整。</x:v>
      </x:c>
      <x:c r="Z167" s="32" t="str">
        <x:v>不得由本规则直接推出回避亲密、依赖失控、控制欲、冷漠、自私、关系破裂、分手离婚、人格或依恋类型；不得把某种边界方式等同于爱得更多或更少。</x:v>
      </x:c>
      <x:c r="AA167" s="32" t="str">
        <x:v>中</x:v>
      </x:c>
      <x:c r="AB167" s="32" t="str">
        <x:v>待验证</x:v>
      </x:c>
      <x:c r="AC167" s="32" t="str"/>
      <x:c r="AD167" s="32" t="str">
        <x:v>provisional=true; rule_group=EXCHANGE_BE01</x:v>
      </x:c>
      <x:c r="AE167" s="32" t="str">
        <x:v>0.5</x:v>
      </x:c>
    </x:row>
    <x:row r="168">
      <x:c r="A168" s="32" t="str">
        <x:v>M3-BOUND-164</x:v>
      </x:c>
      <x:c r="B168" s="32" t="str">
        <x:v>BE02 先设界后靠近｜边界交换结构</x:v>
      </x:c>
      <x:c r="C168" s="32" t="str">
        <x:v>L3 BOUND交换结构</x:v>
      </x:c>
      <x:c r="D168" s="32" t="str">
        <x:v>BOUND-交换结构</x:v>
      </x:c>
      <x:c r="E168" s="32" t="str">
        <x:v>通用</x:v>
      </x:c>
      <x:c r="F168" s="32" t="str">
        <x:v>交换结构</x:v>
      </x:c>
      <x:c r="G168" s="32" t="str">
        <x:v>BE02</x:v>
      </x:c>
      <x:c r="H168" s="32" t="str"/>
      <x:c r="I168" s="32" t="str">
        <x:v>至少两项独立功能证据成立；BE07和BE08用于去重或停止。</x:v>
      </x:c>
      <x:c r="J168" s="32" t="str">
        <x:v>基础信号未定；真合化后原信号已失效；只有单一弱远争议信号；或该结论会越界到M4风险、M5适配。</x:v>
      </x:c>
      <x:c r="K168" s="32" t="str">
        <x:v>由共享基础引擎与M3-STATE修正；日主承载、印比支持只修正自主与执行，不直接等于有无边界。</x:v>
      </x:c>
      <x:c r="L168" s="32" t="str">
        <x:v>不限定；夫妻星仅在入宫或形成角色、责任边界时参与接口，不作为BOUND唯一主轴。</x:v>
      </x:c>
      <x:c r="M168" s="32" t="str">
        <x:v>由M3-BASE、日支主气及宫位动态提供。</x:v>
      </x:c>
      <x:c r="N168" s="32" t="str">
        <x:v>无／待BOUND路径规则组合</x:v>
      </x:c>
      <x:c r="O168" s="32" t="str">
        <x:v>日柱与日支近位优先；全局有效独立信号可作次通道。</x:v>
      </x:c>
      <x:c r="P168" s="32" t="str">
        <x:v>由共享基础引擎判定</x:v>
      </x:c>
      <x:c r="Q168" s="32" t="str">
        <x:v>由共享基础引擎判定</x:v>
      </x:c>
      <x:c r="R168" s="32" t="str">
        <x:v>喜忌不直接等于边界好坏；只修正调用顺畅度、资源压力和状态切换。</x:v>
      </x:c>
      <x:c r="S168" s="32" t="str">
        <x:v>原十神性质有效；真合化成立时按化神所属功能系统重建。</x:v>
      </x:c>
      <x:c r="T168" s="32" t="str">
        <x:v>由共享基础引擎判定</x:v>
      </x:c>
      <x:c r="U168" s="32" t="str">
        <x:v>66</x:v>
      </x:c>
      <x:c r="V168" s="32" t="str">
        <x:v>结构候选 +6／门控</x:v>
      </x:c>
      <x:c r="W168" s="32" t="str">
        <x:v>boundary_exchange</x:v>
      </x:c>
      <x:c r="X168" s="32" t="str">
        <x:v>先确认权限、角色或停止线，再逐步开放亲密。</x:v>
      </x:c>
      <x:c r="Y168" s="32" t="str">
        <x:v>先确认权限、角色或停止线，再逐步开放亲密。</x:v>
      </x:c>
      <x:c r="Z168" s="32" t="str">
        <x:v>不得由本规则直接推出回避亲密、依赖失控、控制欲、冷漠、自私、关系破裂、分手离婚、人格或依恋类型；不得把某种边界方式等同于爱得更多或更少。</x:v>
      </x:c>
      <x:c r="AA168" s="32" t="str">
        <x:v>中</x:v>
      </x:c>
      <x:c r="AB168" s="32" t="str">
        <x:v>待验证</x:v>
      </x:c>
      <x:c r="AC168" s="32" t="str"/>
      <x:c r="AD168" s="32" t="str">
        <x:v>provisional=true; rule_group=EXCHANGE_BE02</x:v>
      </x:c>
      <x:c r="AE168" s="32" t="str">
        <x:v>0.5</x:v>
      </x:c>
    </x:row>
    <x:row r="169">
      <x:c r="A169" s="32" t="str">
        <x:v>M3-BOUND-165</x:v>
      </x:c>
      <x:c r="B169" s="32" t="str">
        <x:v>BE03 先靠近后重订｜边界交换结构</x:v>
      </x:c>
      <x:c r="C169" s="32" t="str">
        <x:v>L3 BOUND交换结构</x:v>
      </x:c>
      <x:c r="D169" s="32" t="str">
        <x:v>BOUND-交换结构</x:v>
      </x:c>
      <x:c r="E169" s="32" t="str">
        <x:v>通用</x:v>
      </x:c>
      <x:c r="F169" s="32" t="str">
        <x:v>交换结构</x:v>
      </x:c>
      <x:c r="G169" s="32" t="str">
        <x:v>BE03</x:v>
      </x:c>
      <x:c r="H169" s="32" t="str"/>
      <x:c r="I169" s="32" t="str">
        <x:v>至少两项独立功能证据成立；BE07和BE08用于去重或停止。</x:v>
      </x:c>
      <x:c r="J169" s="32" t="str">
        <x:v>基础信号未定；真合化后原信号已失效；只有单一弱远争议信号；或该结论会越界到M4风险、M5适配。</x:v>
      </x:c>
      <x:c r="K169" s="32" t="str">
        <x:v>由共享基础引擎与M3-STATE修正；日主承载、印比支持只修正自主与执行，不直接等于有无边界。</x:v>
      </x:c>
      <x:c r="L169" s="32" t="str">
        <x:v>不限定；夫妻星仅在入宫或形成角色、责任边界时参与接口，不作为BOUND唯一主轴。</x:v>
      </x:c>
      <x:c r="M169" s="32" t="str">
        <x:v>由M3-BASE、日支主气及宫位动态提供。</x:v>
      </x:c>
      <x:c r="N169" s="32" t="str">
        <x:v>无／待BOUND路径规则组合</x:v>
      </x:c>
      <x:c r="O169" s="32" t="str">
        <x:v>日柱与日支近位优先；全局有效独立信号可作次通道。</x:v>
      </x:c>
      <x:c r="P169" s="32" t="str">
        <x:v>由共享基础引擎判定</x:v>
      </x:c>
      <x:c r="Q169" s="32" t="str">
        <x:v>由共享基础引擎判定</x:v>
      </x:c>
      <x:c r="R169" s="32" t="str">
        <x:v>喜忌不直接等于边界好坏；只修正调用顺畅度、资源压力和状态切换。</x:v>
      </x:c>
      <x:c r="S169" s="32" t="str">
        <x:v>原十神性质有效；真合化成立时按化神所属功能系统重建。</x:v>
      </x:c>
      <x:c r="T169" s="32" t="str">
        <x:v>由共享基础引擎判定</x:v>
      </x:c>
      <x:c r="U169" s="32" t="str">
        <x:v>66</x:v>
      </x:c>
      <x:c r="V169" s="32" t="str">
        <x:v>结构候选 +6／门控</x:v>
      </x:c>
      <x:c r="W169" s="32" t="str">
        <x:v>boundary_exchange</x:v>
      </x:c>
      <x:c r="X169" s="32" t="str">
        <x:v>先因互动或体验拉近距离，随后把共享范围和规则说清。</x:v>
      </x:c>
      <x:c r="Y169" s="32" t="str">
        <x:v>先因互动或体验拉近距离，随后把共享范围和规则说清。</x:v>
      </x:c>
      <x:c r="Z169" s="32" t="str">
        <x:v>不得由本规则直接推出回避亲密、依赖失控、控制欲、冷漠、自私、关系破裂、分手离婚、人格或依恋类型；不得把某种边界方式等同于爱得更多或更少。</x:v>
      </x:c>
      <x:c r="AA169" s="32" t="str">
        <x:v>中</x:v>
      </x:c>
      <x:c r="AB169" s="32" t="str">
        <x:v>待验证</x:v>
      </x:c>
      <x:c r="AC169" s="32" t="str"/>
      <x:c r="AD169" s="32" t="str">
        <x:v>provisional=true; rule_group=EXCHANGE_BE03</x:v>
      </x:c>
      <x:c r="AE169" s="32" t="str">
        <x:v>0.5</x:v>
      </x:c>
    </x:row>
    <x:row r="170">
      <x:c r="A170" s="32" t="str">
        <x:v>M3-BOUND-166</x:v>
      </x:c>
      <x:c r="B170" s="32" t="str">
        <x:v>BE04 安全先行｜边界交换结构</x:v>
      </x:c>
      <x:c r="C170" s="32" t="str">
        <x:v>L3 BOUND交换结构</x:v>
      </x:c>
      <x:c r="D170" s="32" t="str">
        <x:v>BOUND-交换结构</x:v>
      </x:c>
      <x:c r="E170" s="32" t="str">
        <x:v>通用</x:v>
      </x:c>
      <x:c r="F170" s="32" t="str">
        <x:v>交换结构</x:v>
      </x:c>
      <x:c r="G170" s="32" t="str">
        <x:v>BE04</x:v>
      </x:c>
      <x:c r="H170" s="32" t="str"/>
      <x:c r="I170" s="32" t="str">
        <x:v>至少两项独立功能证据成立；BE07和BE08用于去重或停止。</x:v>
      </x:c>
      <x:c r="J170" s="32" t="str">
        <x:v>基础信号未定；真合化后原信号已失效；只有单一弱远争议信号；或该结论会越界到M4风险、M5适配。</x:v>
      </x:c>
      <x:c r="K170" s="32" t="str">
        <x:v>由共享基础引擎与M3-STATE修正；日主承载、印比支持只修正自主与执行，不直接等于有无边界。</x:v>
      </x:c>
      <x:c r="L170" s="32" t="str">
        <x:v>不限定；夫妻星仅在入宫或形成角色、责任边界时参与接口，不作为BOUND唯一主轴。</x:v>
      </x:c>
      <x:c r="M170" s="32" t="str">
        <x:v>由M3-BASE、日支主气及宫位动态提供。</x:v>
      </x:c>
      <x:c r="N170" s="32" t="str">
        <x:v>无／待BOUND路径规则组合</x:v>
      </x:c>
      <x:c r="O170" s="32" t="str">
        <x:v>日柱与日支近位优先；全局有效独立信号可作次通道。</x:v>
      </x:c>
      <x:c r="P170" s="32" t="str">
        <x:v>由共享基础引擎判定</x:v>
      </x:c>
      <x:c r="Q170" s="32" t="str">
        <x:v>由共享基础引擎判定</x:v>
      </x:c>
      <x:c r="R170" s="32" t="str">
        <x:v>喜忌不直接等于边界好坏；只修正调用顺畅度、资源压力和状态切换。</x:v>
      </x:c>
      <x:c r="S170" s="32" t="str">
        <x:v>原十神性质有效；真合化成立时按化神所属功能系统重建。</x:v>
      </x:c>
      <x:c r="T170" s="32" t="str">
        <x:v>由共享基础引擎判定</x:v>
      </x:c>
      <x:c r="U170" s="32" t="str">
        <x:v>66</x:v>
      </x:c>
      <x:c r="V170" s="32" t="str">
        <x:v>结构候选 +6／门控</x:v>
      </x:c>
      <x:c r="W170" s="32" t="str">
        <x:v>boundary_exchange</x:v>
      </x:c>
      <x:c r="X170" s="32" t="str">
        <x:v>先获得理解和可信承接，再表达自主、需求或拒绝。</x:v>
      </x:c>
      <x:c r="Y170" s="32" t="str">
        <x:v>先获得理解和可信承接，再表达自主、需求或拒绝。</x:v>
      </x:c>
      <x:c r="Z170" s="32" t="str">
        <x:v>不得由本规则直接推出回避亲密、依赖失控、控制欲、冷漠、自私、关系破裂、分手离婚、人格或依恋类型；不得把某种边界方式等同于爱得更多或更少。</x:v>
      </x:c>
      <x:c r="AA170" s="32" t="str">
        <x:v>中</x:v>
      </x:c>
      <x:c r="AB170" s="32" t="str">
        <x:v>待验证</x:v>
      </x:c>
      <x:c r="AC170" s="32" t="str"/>
      <x:c r="AD170" s="32" t="str">
        <x:v>provisional=true; rule_group=EXCHANGE_BE04</x:v>
      </x:c>
      <x:c r="AE170" s="32" t="str">
        <x:v>0.5</x:v>
      </x:c>
    </x:row>
    <x:row r="171">
      <x:c r="A171" s="32" t="str">
        <x:v>M3-BOUND-167</x:v>
      </x:c>
      <x:c r="B171" s="32" t="str">
        <x:v>BE05 任务先行｜边界交换结构</x:v>
      </x:c>
      <x:c r="C171" s="32" t="str">
        <x:v>L3 BOUND交换结构</x:v>
      </x:c>
      <x:c r="D171" s="32" t="str">
        <x:v>BOUND-交换结构</x:v>
      </x:c>
      <x:c r="E171" s="32" t="str">
        <x:v>通用</x:v>
      </x:c>
      <x:c r="F171" s="32" t="str">
        <x:v>交换结构</x:v>
      </x:c>
      <x:c r="G171" s="32" t="str">
        <x:v>BE05</x:v>
      </x:c>
      <x:c r="H171" s="32" t="str"/>
      <x:c r="I171" s="32" t="str">
        <x:v>至少两项独立功能证据成立；BE07和BE08用于去重或停止。</x:v>
      </x:c>
      <x:c r="J171" s="32" t="str">
        <x:v>基础信号未定；真合化后原信号已失效；只有单一弱远争议信号；或该结论会越界到M4风险、M5适配。</x:v>
      </x:c>
      <x:c r="K171" s="32" t="str">
        <x:v>由共享基础引擎与M3-STATE修正；日主承载、印比支持只修正自主与执行，不直接等于有无边界。</x:v>
      </x:c>
      <x:c r="L171" s="32" t="str">
        <x:v>不限定；夫妻星仅在入宫或形成角色、责任边界时参与接口，不作为BOUND唯一主轴。</x:v>
      </x:c>
      <x:c r="M171" s="32" t="str">
        <x:v>由M3-BASE、日支主气及宫位动态提供。</x:v>
      </x:c>
      <x:c r="N171" s="32" t="str">
        <x:v>无／待BOUND路径规则组合</x:v>
      </x:c>
      <x:c r="O171" s="32" t="str">
        <x:v>日柱与日支近位优先；全局有效独立信号可作次通道。</x:v>
      </x:c>
      <x:c r="P171" s="32" t="str">
        <x:v>由共享基础引擎判定</x:v>
      </x:c>
      <x:c r="Q171" s="32" t="str">
        <x:v>由共享基础引擎判定</x:v>
      </x:c>
      <x:c r="R171" s="32" t="str">
        <x:v>喜忌不直接等于边界好坏；只修正调用顺畅度、资源压力和状态切换。</x:v>
      </x:c>
      <x:c r="S171" s="32" t="str">
        <x:v>原十神性质有效；真合化成立时按化神所属功能系统重建。</x:v>
      </x:c>
      <x:c r="T171" s="32" t="str">
        <x:v>由共享基础引擎判定</x:v>
      </x:c>
      <x:c r="U171" s="32" t="str">
        <x:v>66</x:v>
      </x:c>
      <x:c r="V171" s="32" t="str">
        <x:v>结构候选 +6／门控</x:v>
      </x:c>
      <x:c r="W171" s="32" t="str">
        <x:v>boundary_exchange</x:v>
      </x:c>
      <x:c r="X171" s="32" t="str">
        <x:v>先在共同事务和行动中确认彼此，再逐步开放私人内容。</x:v>
      </x:c>
      <x:c r="Y171" s="32" t="str">
        <x:v>先在共同事务和行动中确认彼此，再逐步开放私人内容。</x:v>
      </x:c>
      <x:c r="Z171" s="32" t="str">
        <x:v>不得由本规则直接推出回避亲密、依赖失控、控制欲、冷漠、自私、关系破裂、分手离婚、人格或依恋类型；不得把某种边界方式等同于爱得更多或更少。</x:v>
      </x:c>
      <x:c r="AA171" s="32" t="str">
        <x:v>中</x:v>
      </x:c>
      <x:c r="AB171" s="32" t="str">
        <x:v>待验证</x:v>
      </x:c>
      <x:c r="AC171" s="32" t="str"/>
      <x:c r="AD171" s="32" t="str">
        <x:v>provisional=true; rule_group=EXCHANGE_BE05</x:v>
      </x:c>
      <x:c r="AE171" s="32" t="str">
        <x:v>0.5</x:v>
      </x:c>
    </x:row>
    <x:row r="172">
      <x:c r="A172" s="32" t="str">
        <x:v>M3-BOUND-168</x:v>
      </x:c>
      <x:c r="B172" s="32" t="str">
        <x:v>BE06 角色分工｜边界交换结构</x:v>
      </x:c>
      <x:c r="C172" s="32" t="str">
        <x:v>L3 BOUND交换结构</x:v>
      </x:c>
      <x:c r="D172" s="32" t="str">
        <x:v>BOUND-交换结构</x:v>
      </x:c>
      <x:c r="E172" s="32" t="str">
        <x:v>通用</x:v>
      </x:c>
      <x:c r="F172" s="32" t="str">
        <x:v>交换结构</x:v>
      </x:c>
      <x:c r="G172" s="32" t="str">
        <x:v>BE06</x:v>
      </x:c>
      <x:c r="H172" s="32" t="str"/>
      <x:c r="I172" s="32" t="str">
        <x:v>至少两项独立功能证据成立；BE07和BE08用于去重或停止。</x:v>
      </x:c>
      <x:c r="J172" s="32" t="str">
        <x:v>基础信号未定；真合化后原信号已失效；只有单一弱远争议信号；或该结论会越界到M4风险、M5适配。</x:v>
      </x:c>
      <x:c r="K172" s="32" t="str">
        <x:v>由共享基础引擎与M3-STATE修正；日主承载、印比支持只修正自主与执行，不直接等于有无边界。</x:v>
      </x:c>
      <x:c r="L172" s="32" t="str">
        <x:v>不限定；夫妻星仅在入宫或形成角色、责任边界时参与接口，不作为BOUND唯一主轴。</x:v>
      </x:c>
      <x:c r="M172" s="32" t="str">
        <x:v>由M3-BASE、日支主气及宫位动态提供。</x:v>
      </x:c>
      <x:c r="N172" s="32" t="str">
        <x:v>无／待BOUND路径规则组合</x:v>
      </x:c>
      <x:c r="O172" s="32" t="str">
        <x:v>日柱与日支近位优先；全局有效独立信号可作次通道。</x:v>
      </x:c>
      <x:c r="P172" s="32" t="str">
        <x:v>由共享基础引擎判定</x:v>
      </x:c>
      <x:c r="Q172" s="32" t="str">
        <x:v>由共享基础引擎判定</x:v>
      </x:c>
      <x:c r="R172" s="32" t="str">
        <x:v>喜忌不直接等于边界好坏；只修正调用顺畅度、资源压力和状态切换。</x:v>
      </x:c>
      <x:c r="S172" s="32" t="str">
        <x:v>原十神性质有效；真合化成立时按化神所属功能系统重建。</x:v>
      </x:c>
      <x:c r="T172" s="32" t="str">
        <x:v>由共享基础引擎判定</x:v>
      </x:c>
      <x:c r="U172" s="32" t="str">
        <x:v>66</x:v>
      </x:c>
      <x:c r="V172" s="32" t="str">
        <x:v>结构候选 +6／门控</x:v>
      </x:c>
      <x:c r="W172" s="32" t="str">
        <x:v>boundary_exchange</x:v>
      </x:c>
      <x:c r="X172" s="32" t="str">
        <x:v>不同事务由不同一方或不同通道负责，边界不要求完全对称。</x:v>
      </x:c>
      <x:c r="Y172" s="32" t="str">
        <x:v>不同事务由不同一方或不同通道负责，边界不要求完全对称。</x:v>
      </x:c>
      <x:c r="Z172" s="32" t="str">
        <x:v>不得由本规则直接推出回避亲密、依赖失控、控制欲、冷漠、自私、关系破裂、分手离婚、人格或依恋类型；不得把某种边界方式等同于爱得更多或更少。</x:v>
      </x:c>
      <x:c r="AA172" s="32" t="str">
        <x:v>中</x:v>
      </x:c>
      <x:c r="AB172" s="32" t="str">
        <x:v>待验证</x:v>
      </x:c>
      <x:c r="AC172" s="32" t="str"/>
      <x:c r="AD172" s="32" t="str">
        <x:v>provisional=true; rule_group=EXCHANGE_BE06</x:v>
      </x:c>
      <x:c r="AE172" s="32" t="str">
        <x:v>0.5</x:v>
      </x:c>
    </x:row>
    <x:row r="173">
      <x:c r="A173" s="32" t="str">
        <x:v>M3-BOUND-169</x:v>
      </x:c>
      <x:c r="B173" s="32" t="str">
        <x:v>BE07 同义收敛｜边界交换结构</x:v>
      </x:c>
      <x:c r="C173" s="32" t="str">
        <x:v>L3 BOUND交换结构</x:v>
      </x:c>
      <x:c r="D173" s="32" t="str">
        <x:v>BOUND-交换结构</x:v>
      </x:c>
      <x:c r="E173" s="32" t="str">
        <x:v>通用</x:v>
      </x:c>
      <x:c r="F173" s="32" t="str">
        <x:v>交换结构</x:v>
      </x:c>
      <x:c r="G173" s="32" t="str">
        <x:v>BE07</x:v>
      </x:c>
      <x:c r="H173" s="32" t="str"/>
      <x:c r="I173" s="32" t="str">
        <x:v>至少两项独立功能证据成立；BE07和BE08用于去重或停止。</x:v>
      </x:c>
      <x:c r="J173" s="32" t="str">
        <x:v>基础信号未定；真合化后原信号已失效；只有单一弱远争议信号；或该结论会越界到M4风险、M5适配。</x:v>
      </x:c>
      <x:c r="K173" s="32" t="str">
        <x:v>由共享基础引擎与M3-STATE修正；日主承载、印比支持只修正自主与执行，不直接等于有无边界。</x:v>
      </x:c>
      <x:c r="L173" s="32" t="str">
        <x:v>不限定；夫妻星仅在入宫或形成角色、责任边界时参与接口，不作为BOUND唯一主轴。</x:v>
      </x:c>
      <x:c r="M173" s="32" t="str">
        <x:v>由M3-BASE、日支主气及宫位动态提供。</x:v>
      </x:c>
      <x:c r="N173" s="32" t="str">
        <x:v>无／待BOUND路径规则组合</x:v>
      </x:c>
      <x:c r="O173" s="32" t="str">
        <x:v>日柱与日支近位优先；全局有效独立信号可作次通道。</x:v>
      </x:c>
      <x:c r="P173" s="32" t="str">
        <x:v>由共享基础引擎判定</x:v>
      </x:c>
      <x:c r="Q173" s="32" t="str">
        <x:v>由共享基础引擎判定</x:v>
      </x:c>
      <x:c r="R173" s="32" t="str">
        <x:v>喜忌不直接等于边界好坏；只修正调用顺畅度、资源压力和状态切换。</x:v>
      </x:c>
      <x:c r="S173" s="32" t="str">
        <x:v>原十神性质有效；真合化成立时按化神所属功能系统重建。</x:v>
      </x:c>
      <x:c r="T173" s="32" t="str">
        <x:v>由共享基础引擎判定</x:v>
      </x:c>
      <x:c r="U173" s="32" t="str">
        <x:v>66</x:v>
      </x:c>
      <x:c r="V173" s="32" t="str">
        <x:v>去重／停止</x:v>
      </x:c>
      <x:c r="W173" s="32" t="str">
        <x:v>boundary_exchange</x:v>
      </x:c>
      <x:c r="X173" s="32" t="str">
        <x:v>多个规则实际描述同一权限事实，需要去重为一个核心边界。</x:v>
      </x:c>
      <x:c r="Y173" s="32" t="str">
        <x:v>多个规则实际描述同一权限事实，需要去重为一个核心边界。</x:v>
      </x:c>
      <x:c r="Z173" s="32" t="str">
        <x:v>不得由本规则直接推出回避亲密、依赖失控、控制欲、冷漠、自私、关系破裂、分手离婚、人格或依恋类型；不得把某种边界方式等同于爱得更多或更少。</x:v>
      </x:c>
      <x:c r="AA173" s="32" t="str">
        <x:v>中</x:v>
      </x:c>
      <x:c r="AB173" s="32" t="str">
        <x:v>待验证</x:v>
      </x:c>
      <x:c r="AC173" s="32" t="str"/>
      <x:c r="AD173" s="32" t="str">
        <x:v>provisional=true; rule_group=EXCHANGE_BE07</x:v>
      </x:c>
      <x:c r="AE173" s="32" t="str">
        <x:v>0.5</x:v>
      </x:c>
    </x:row>
    <x:row r="174">
      <x:c r="A174" s="32" t="str">
        <x:v>M3-BOUND-170</x:v>
      </x:c>
      <x:c r="B174" s="32" t="str">
        <x:v>BE08 交换结构未定｜边界交换结构</x:v>
      </x:c>
      <x:c r="C174" s="32" t="str">
        <x:v>L3 BOUND交换结构</x:v>
      </x:c>
      <x:c r="D174" s="32" t="str">
        <x:v>BOUND-交换结构</x:v>
      </x:c>
      <x:c r="E174" s="32" t="str">
        <x:v>通用</x:v>
      </x:c>
      <x:c r="F174" s="32" t="str">
        <x:v>交换结构</x:v>
      </x:c>
      <x:c r="G174" s="32" t="str">
        <x:v>BE08</x:v>
      </x:c>
      <x:c r="H174" s="32" t="str"/>
      <x:c r="I174" s="32" t="str">
        <x:v>至少两项独立功能证据成立；BE07和BE08用于去重或停止。</x:v>
      </x:c>
      <x:c r="J174" s="32" t="str">
        <x:v>基础信号未定；真合化后原信号已失效；只有单一弱远争议信号；或该结论会越界到M4风险、M5适配。</x:v>
      </x:c>
      <x:c r="K174" s="32" t="str">
        <x:v>由共享基础引擎与M3-STATE修正；日主承载、印比支持只修正自主与执行，不直接等于有无边界。</x:v>
      </x:c>
      <x:c r="L174" s="32" t="str">
        <x:v>不限定；夫妻星仅在入宫或形成角色、责任边界时参与接口，不作为BOUND唯一主轴。</x:v>
      </x:c>
      <x:c r="M174" s="32" t="str">
        <x:v>由M3-BASE、日支主气及宫位动态提供。</x:v>
      </x:c>
      <x:c r="N174" s="32" t="str">
        <x:v>无／待BOUND路径规则组合</x:v>
      </x:c>
      <x:c r="O174" s="32" t="str">
        <x:v>日柱与日支近位优先；全局有效独立信号可作次通道。</x:v>
      </x:c>
      <x:c r="P174" s="32" t="str">
        <x:v>由共享基础引擎判定</x:v>
      </x:c>
      <x:c r="Q174" s="32" t="str">
        <x:v>由共享基础引擎判定</x:v>
      </x:c>
      <x:c r="R174" s="32" t="str">
        <x:v>喜忌不直接等于边界好坏；只修正调用顺畅度、资源压力和状态切换。</x:v>
      </x:c>
      <x:c r="S174" s="32" t="str">
        <x:v>原十神性质有效；真合化成立时按化神所属功能系统重建。</x:v>
      </x:c>
      <x:c r="T174" s="32" t="str">
        <x:v>由共享基础引擎判定</x:v>
      </x:c>
      <x:c r="U174" s="32" t="str">
        <x:v>66</x:v>
      </x:c>
      <x:c r="V174" s="32" t="str">
        <x:v>去重／停止</x:v>
      </x:c>
      <x:c r="W174" s="32" t="str">
        <x:v>boundary_exchange</x:v>
      </x:c>
      <x:c r="X174" s="32" t="str">
        <x:v>证据不足、主次争议或真合化未定，暂不固定结构。</x:v>
      </x:c>
      <x:c r="Y174" s="32" t="str">
        <x:v>证据不足、主次争议或真合化未定，暂不固定结构。</x:v>
      </x:c>
      <x:c r="Z174" s="32" t="str">
        <x:v>不得由本规则直接推出回避亲密、依赖失控、控制欲、冷漠、自私、关系破裂、分手离婚、人格或依恋类型；不得把某种边界方式等同于爱得更多或更少。</x:v>
      </x:c>
      <x:c r="AA174" s="32" t="str">
        <x:v>中</x:v>
      </x:c>
      <x:c r="AB174" s="32" t="str">
        <x:v>待验证</x:v>
      </x:c>
      <x:c r="AC174" s="32" t="str"/>
      <x:c r="AD174" s="32" t="str">
        <x:v>provisional=true; rule_group=EXCHANGE_BE08</x:v>
      </x:c>
      <x:c r="AE174" s="32" t="str">
        <x:v>0.5</x:v>
      </x:c>
    </x:row>
    <x:row r="175">
      <x:c r="A175" s="32" t="str">
        <x:v>M3-BOUND-171</x:v>
      </x:c>
      <x:c r="B175" s="32" t="str">
        <x:v>BF01 安全→自主｜BOUND功能路径</x:v>
      </x:c>
      <x:c r="C175" s="32" t="str">
        <x:v>L3 BOUND功能路径</x:v>
      </x:c>
      <x:c r="D175" s="32" t="str">
        <x:v>BOUND-功能路径</x:v>
      </x:c>
      <x:c r="E175" s="32" t="str">
        <x:v>通用</x:v>
      </x:c>
      <x:c r="F175" s="32" t="str">
        <x:v>路径</x:v>
      </x:c>
      <x:c r="G175" s="32" t="str">
        <x:v>印→比劫</x:v>
      </x:c>
      <x:c r="H175" s="32" t="str">
        <x:v>BF01</x:v>
      </x:c>
      <x:c r="I175" s="32" t="str">
        <x:v>路径起点与终点均有效，存在真实连接或第二类独立证据；单纯五行相生不能单独成立时间顺序。</x:v>
      </x:c>
      <x:c r="J175" s="32" t="str">
        <x:v>基础信号未定；真合化后原信号已失效；只有单一弱远争议信号；或该结论会越界到M4风险、M5适配。</x:v>
      </x:c>
      <x:c r="K175" s="32" t="str">
        <x:v>由共享基础引擎与M3-STATE修正；日主承载、印比支持只修正自主与执行，不直接等于有无边界。</x:v>
      </x:c>
      <x:c r="L175" s="32" t="str">
        <x:v>不限定；夫妻星仅在入宫或形成角色、责任边界时参与接口，不作为BOUND唯一主轴。</x:v>
      </x:c>
      <x:c r="M175" s="32" t="str">
        <x:v>由M3-BASE、日支主气及宫位动态提供。</x:v>
      </x:c>
      <x:c r="N175" s="32" t="str">
        <x:v>无／待BOUND路径规则组合</x:v>
      </x:c>
      <x:c r="O175" s="32" t="str">
        <x:v>日柱与日支近位优先；全局有效独立信号可作次通道。</x:v>
      </x:c>
      <x:c r="P175" s="32" t="str">
        <x:v>由共享基础引擎判定</x:v>
      </x:c>
      <x:c r="Q175" s="32" t="str">
        <x:v>由共享基础引擎判定</x:v>
      </x:c>
      <x:c r="R175" s="32" t="str">
        <x:v>喜忌不直接等于边界好坏；只修正调用顺畅度、资源压力和状态切换。</x:v>
      </x:c>
      <x:c r="S175" s="32" t="str">
        <x:v>原十神性质有效；真合化成立时按化神所属功能系统重建。</x:v>
      </x:c>
      <x:c r="T175" s="32" t="str">
        <x:v>由共享基础引擎判定</x:v>
      </x:c>
      <x:c r="U175" s="32" t="str">
        <x:v>69</x:v>
      </x:c>
      <x:c r="V175" s="32" t="str">
        <x:v>路径候选 +6</x:v>
      </x:c>
      <x:c r="W175" s="32" t="str">
        <x:v>boundary_path</x:v>
      </x:c>
      <x:c r="X175" s="32" t="str">
        <x:v>先确认被理解和关系安全，再形成自己的立场、选择和参与方式。</x:v>
      </x:c>
      <x:c r="Y175" s="32" t="str">
        <x:v>先确认被理解和关系安全，再形成自己的立场、选择和参与方式。</x:v>
      </x:c>
      <x:c r="Z175" s="32" t="str">
        <x:v>不得由本规则直接推出回避亲密、依赖失控、控制欲、冷漠、自私、关系破裂、分手离婚、人格或依恋类型；不得把某种边界方式等同于爱得更多或更少。</x:v>
      </x:c>
      <x:c r="AA175" s="32" t="str">
        <x:v>中高</x:v>
      </x:c>
      <x:c r="AB175" s="32" t="str">
        <x:v>待验证</x:v>
      </x:c>
      <x:c r="AC175" s="32" t="str"/>
      <x:c r="AD175" s="32" t="str">
        <x:v>provisional=true; rule_group=FLOW_BF01</x:v>
      </x:c>
      <x:c r="AE175" s="32" t="str">
        <x:v>0.5</x:v>
      </x:c>
    </x:row>
    <x:row r="176">
      <x:c r="A176" s="32" t="str">
        <x:v>M3-BOUND-172</x:v>
      </x:c>
      <x:c r="B176" s="32" t="str">
        <x:v>BF02 平等→表达｜BOUND功能路径</x:v>
      </x:c>
      <x:c r="C176" s="32" t="str">
        <x:v>L3 BOUND功能路径</x:v>
      </x:c>
      <x:c r="D176" s="32" t="str">
        <x:v>BOUND-功能路径</x:v>
      </x:c>
      <x:c r="E176" s="32" t="str">
        <x:v>通用</x:v>
      </x:c>
      <x:c r="F176" s="32" t="str">
        <x:v>路径</x:v>
      </x:c>
      <x:c r="G176" s="32" t="str">
        <x:v>比劫→食伤</x:v>
      </x:c>
      <x:c r="H176" s="32" t="str">
        <x:v>BF02</x:v>
      </x:c>
      <x:c r="I176" s="32" t="str">
        <x:v>路径起点与终点均有效，存在真实连接或第二类独立证据；单纯五行相生不能单独成立时间顺序。</x:v>
      </x:c>
      <x:c r="J176" s="32" t="str">
        <x:v>基础信号未定；真合化后原信号已失效；只有单一弱远争议信号；或该结论会越界到M4风险、M5适配。</x:v>
      </x:c>
      <x:c r="K176" s="32" t="str">
        <x:v>由共享基础引擎与M3-STATE修正；日主承载、印比支持只修正自主与执行，不直接等于有无边界。</x:v>
      </x:c>
      <x:c r="L176" s="32" t="str">
        <x:v>不限定；夫妻星仅在入宫或形成角色、责任边界时参与接口，不作为BOUND唯一主轴。</x:v>
      </x:c>
      <x:c r="M176" s="32" t="str">
        <x:v>由M3-BASE、日支主气及宫位动态提供。</x:v>
      </x:c>
      <x:c r="N176" s="32" t="str">
        <x:v>无／待BOUND路径规则组合</x:v>
      </x:c>
      <x:c r="O176" s="32" t="str">
        <x:v>日柱与日支近位优先；全局有效独立信号可作次通道。</x:v>
      </x:c>
      <x:c r="P176" s="32" t="str">
        <x:v>由共享基础引擎判定</x:v>
      </x:c>
      <x:c r="Q176" s="32" t="str">
        <x:v>由共享基础引擎判定</x:v>
      </x:c>
      <x:c r="R176" s="32" t="str">
        <x:v>喜忌不直接等于边界好坏；只修正调用顺畅度、资源压力和状态切换。</x:v>
      </x:c>
      <x:c r="S176" s="32" t="str">
        <x:v>原十神性质有效；真合化成立时按化神所属功能系统重建。</x:v>
      </x:c>
      <x:c r="T176" s="32" t="str">
        <x:v>由共享基础引擎判定</x:v>
      </x:c>
      <x:c r="U176" s="32" t="str">
        <x:v>69</x:v>
      </x:c>
      <x:c r="V176" s="32" t="str">
        <x:v>路径候选 +6</x:v>
      </x:c>
      <x:c r="W176" s="32" t="str">
        <x:v>boundary_path</x:v>
      </x:c>
      <x:c r="X176" s="32" t="str">
        <x:v>先确认双方地位和选择权，再把需求、观点和限制说清楚。</x:v>
      </x:c>
      <x:c r="Y176" s="32" t="str">
        <x:v>先确认双方地位和选择权，再把需求、观点和限制说清楚。</x:v>
      </x:c>
      <x:c r="Z176" s="32" t="str">
        <x:v>不得由本规则直接推出回避亲密、依赖失控、控制欲、冷漠、自私、关系破裂、分手离婚、人格或依恋类型；不得把某种边界方式等同于爱得更多或更少。</x:v>
      </x:c>
      <x:c r="AA176" s="32" t="str">
        <x:v>中高</x:v>
      </x:c>
      <x:c r="AB176" s="32" t="str">
        <x:v>待验证</x:v>
      </x:c>
      <x:c r="AC176" s="32" t="str"/>
      <x:c r="AD176" s="32" t="str">
        <x:v>provisional=true; rule_group=FLOW_BF02</x:v>
      </x:c>
      <x:c r="AE176" s="32" t="str">
        <x:v>0.5</x:v>
      </x:c>
    </x:row>
    <x:row r="177">
      <x:c r="A177" s="32" t="str">
        <x:v>M3-BOUND-173</x:v>
      </x:c>
      <x:c r="B177" s="32" t="str">
        <x:v>BF03 表达→共享｜BOUND功能路径</x:v>
      </x:c>
      <x:c r="C177" s="32" t="str">
        <x:v>L3 BOUND功能路径</x:v>
      </x:c>
      <x:c r="D177" s="32" t="str">
        <x:v>BOUND-功能路径</x:v>
      </x:c>
      <x:c r="E177" s="32" t="str">
        <x:v>通用</x:v>
      </x:c>
      <x:c r="F177" s="32" t="str">
        <x:v>路径</x:v>
      </x:c>
      <x:c r="G177" s="32" t="str">
        <x:v>食伤→财</x:v>
      </x:c>
      <x:c r="H177" s="32" t="str">
        <x:v>BF03</x:v>
      </x:c>
      <x:c r="I177" s="32" t="str">
        <x:v>路径起点与终点均有效，存在真实连接或第二类独立证据；单纯五行相生不能单独成立时间顺序。</x:v>
      </x:c>
      <x:c r="J177" s="32" t="str">
        <x:v>基础信号未定；真合化后原信号已失效；只有单一弱远争议信号；或该结论会越界到M4风险、M5适配。</x:v>
      </x:c>
      <x:c r="K177" s="32" t="str">
        <x:v>由共享基础引擎与M3-STATE修正；日主承载、印比支持只修正自主与执行，不直接等于有无边界。</x:v>
      </x:c>
      <x:c r="L177" s="32" t="str">
        <x:v>不限定；夫妻星仅在入宫或形成角色、责任边界时参与接口，不作为BOUND唯一主轴。</x:v>
      </x:c>
      <x:c r="M177" s="32" t="str">
        <x:v>由M3-BASE、日支主气及宫位动态提供。</x:v>
      </x:c>
      <x:c r="N177" s="32" t="str">
        <x:v>无／待BOUND路径规则组合</x:v>
      </x:c>
      <x:c r="O177" s="32" t="str">
        <x:v>日柱与日支近位优先；全局有效独立信号可作次通道。</x:v>
      </x:c>
      <x:c r="P177" s="32" t="str">
        <x:v>由共享基础引擎判定</x:v>
      </x:c>
      <x:c r="Q177" s="32" t="str">
        <x:v>由共享基础引擎判定</x:v>
      </x:c>
      <x:c r="R177" s="32" t="str">
        <x:v>喜忌不直接等于边界好坏；只修正调用顺畅度、资源压力和状态切换。</x:v>
      </x:c>
      <x:c r="S177" s="32" t="str">
        <x:v>原十神性质有效；真合化成立时按化神所属功能系统重建。</x:v>
      </x:c>
      <x:c r="T177" s="32" t="str">
        <x:v>由共享基础引擎判定</x:v>
      </x:c>
      <x:c r="U177" s="32" t="str">
        <x:v>69</x:v>
      </x:c>
      <x:c r="V177" s="32" t="str">
        <x:v>路径候选 +6</x:v>
      </x:c>
      <x:c r="W177" s="32" t="str">
        <x:v>boundary_path</x:v>
      </x:c>
      <x:c r="X177" s="32" t="str">
        <x:v>先通过交流建立理解，再把时间、资源和生活安排逐步共享。</x:v>
      </x:c>
      <x:c r="Y177" s="32" t="str">
        <x:v>先通过交流建立理解，再把时间、资源和生活安排逐步共享。</x:v>
      </x:c>
      <x:c r="Z177" s="32" t="str">
        <x:v>不得由本规则直接推出回避亲密、依赖失控、控制欲、冷漠、自私、关系破裂、分手离婚、人格或依恋类型；不得把某种边界方式等同于爱得更多或更少。</x:v>
      </x:c>
      <x:c r="AA177" s="32" t="str">
        <x:v>中高</x:v>
      </x:c>
      <x:c r="AB177" s="32" t="str">
        <x:v>待验证</x:v>
      </x:c>
      <x:c r="AC177" s="32" t="str"/>
      <x:c r="AD177" s="32" t="str">
        <x:v>provisional=true; rule_group=FLOW_BF03</x:v>
      </x:c>
      <x:c r="AE177" s="32" t="str">
        <x:v>0.5</x:v>
      </x:c>
    </x:row>
    <x:row r="178">
      <x:c r="A178" s="32" t="str">
        <x:v>M3-BOUND-174</x:v>
      </x:c>
      <x:c r="B178" s="32" t="str">
        <x:v>BF04 共享→责任｜BOUND功能路径</x:v>
      </x:c>
      <x:c r="C178" s="32" t="str">
        <x:v>L3 BOUND功能路径</x:v>
      </x:c>
      <x:c r="D178" s="32" t="str">
        <x:v>BOUND-功能路径</x:v>
      </x:c>
      <x:c r="E178" s="32" t="str">
        <x:v>通用</x:v>
      </x:c>
      <x:c r="F178" s="32" t="str">
        <x:v>路径</x:v>
      </x:c>
      <x:c r="G178" s="32" t="str">
        <x:v>财→官杀</x:v>
      </x:c>
      <x:c r="H178" s="32" t="str">
        <x:v>BF04</x:v>
      </x:c>
      <x:c r="I178" s="32" t="str">
        <x:v>路径起点与终点均有效，存在真实连接或第二类独立证据；单纯五行相生不能单独成立时间顺序。</x:v>
      </x:c>
      <x:c r="J178" s="32" t="str">
        <x:v>基础信号未定；真合化后原信号已失效；只有单一弱远争议信号；或该结论会越界到M4风险、M5适配。</x:v>
      </x:c>
      <x:c r="K178" s="32" t="str">
        <x:v>由共享基础引擎与M3-STATE修正；日主承载、印比支持只修正自主与执行，不直接等于有无边界。</x:v>
      </x:c>
      <x:c r="L178" s="32" t="str">
        <x:v>不限定；夫妻星仅在入宫或形成角色、责任边界时参与接口，不作为BOUND唯一主轴。</x:v>
      </x:c>
      <x:c r="M178" s="32" t="str">
        <x:v>由M3-BASE、日支主气及宫位动态提供。</x:v>
      </x:c>
      <x:c r="N178" s="32" t="str">
        <x:v>无／待BOUND路径规则组合</x:v>
      </x:c>
      <x:c r="O178" s="32" t="str">
        <x:v>日柱与日支近位优先；全局有效独立信号可作次通道。</x:v>
      </x:c>
      <x:c r="P178" s="32" t="str">
        <x:v>由共享基础引擎判定</x:v>
      </x:c>
      <x:c r="Q178" s="32" t="str">
        <x:v>由共享基础引擎判定</x:v>
      </x:c>
      <x:c r="R178" s="32" t="str">
        <x:v>喜忌不直接等于边界好坏；只修正调用顺畅度、资源压力和状态切换。</x:v>
      </x:c>
      <x:c r="S178" s="32" t="str">
        <x:v>原十神性质有效；真合化成立时按化神所属功能系统重建。</x:v>
      </x:c>
      <x:c r="T178" s="32" t="str">
        <x:v>由共享基础引擎判定</x:v>
      </x:c>
      <x:c r="U178" s="32" t="str">
        <x:v>69</x:v>
      </x:c>
      <x:c r="V178" s="32" t="str">
        <x:v>路径候选 +6</x:v>
      </x:c>
      <x:c r="W178" s="32" t="str">
        <x:v>boundary_path</x:v>
      </x:c>
      <x:c r="X178" s="32" t="str">
        <x:v>先形成现实共同安排，再把责任、角色和承诺固定下来。</x:v>
      </x:c>
      <x:c r="Y178" s="32" t="str">
        <x:v>先形成现实共同安排，再把责任、角色和承诺固定下来。</x:v>
      </x:c>
      <x:c r="Z178" s="32" t="str">
        <x:v>不得由本规则直接推出回避亲密、依赖失控、控制欲、冷漠、自私、关系破裂、分手离婚、人格或依恋类型；不得把某种边界方式等同于爱得更多或更少。</x:v>
      </x:c>
      <x:c r="AA178" s="32" t="str">
        <x:v>中高</x:v>
      </x:c>
      <x:c r="AB178" s="32" t="str">
        <x:v>待验证</x:v>
      </x:c>
      <x:c r="AC178" s="32" t="str"/>
      <x:c r="AD178" s="32" t="str">
        <x:v>provisional=true; rule_group=FLOW_BF04</x:v>
      </x:c>
      <x:c r="AE178" s="32" t="str">
        <x:v>0.5</x:v>
      </x:c>
    </x:row>
    <x:row r="179">
      <x:c r="A179" s="32" t="str">
        <x:v>M3-BOUND-175</x:v>
      </x:c>
      <x:c r="B179" s="32" t="str">
        <x:v>BF05 兑现→安全｜BOUND功能路径</x:v>
      </x:c>
      <x:c r="C179" s="32" t="str">
        <x:v>L3 BOUND功能路径</x:v>
      </x:c>
      <x:c r="D179" s="32" t="str">
        <x:v>BOUND-功能路径</x:v>
      </x:c>
      <x:c r="E179" s="32" t="str">
        <x:v>通用</x:v>
      </x:c>
      <x:c r="F179" s="32" t="str">
        <x:v>路径</x:v>
      </x:c>
      <x:c r="G179" s="32" t="str">
        <x:v>官杀→印</x:v>
      </x:c>
      <x:c r="H179" s="32" t="str">
        <x:v>BF05</x:v>
      </x:c>
      <x:c r="I179" s="32" t="str">
        <x:v>路径起点与终点均有效，存在真实连接或第二类独立证据；单纯五行相生不能单独成立时间顺序。</x:v>
      </x:c>
      <x:c r="J179" s="32" t="str">
        <x:v>基础信号未定；真合化后原信号已失效；只有单一弱远争议信号；或该结论会越界到M4风险、M5适配。</x:v>
      </x:c>
      <x:c r="K179" s="32" t="str">
        <x:v>由共享基础引擎与M3-STATE修正；日主承载、印比支持只修正自主与执行，不直接等于有无边界。</x:v>
      </x:c>
      <x:c r="L179" s="32" t="str">
        <x:v>不限定；夫妻星仅在入宫或形成角色、责任边界时参与接口，不作为BOUND唯一主轴。</x:v>
      </x:c>
      <x:c r="M179" s="32" t="str">
        <x:v>由M3-BASE、日支主气及宫位动态提供。</x:v>
      </x:c>
      <x:c r="N179" s="32" t="str">
        <x:v>无／待BOUND路径规则组合</x:v>
      </x:c>
      <x:c r="O179" s="32" t="str">
        <x:v>日柱与日支近位优先；全局有效独立信号可作次通道。</x:v>
      </x:c>
      <x:c r="P179" s="32" t="str">
        <x:v>由共享基础引擎判定</x:v>
      </x:c>
      <x:c r="Q179" s="32" t="str">
        <x:v>由共享基础引擎判定</x:v>
      </x:c>
      <x:c r="R179" s="32" t="str">
        <x:v>喜忌不直接等于边界好坏；只修正调用顺畅度、资源压力和状态切换。</x:v>
      </x:c>
      <x:c r="S179" s="32" t="str">
        <x:v>原十神性质有效；真合化成立时按化神所属功能系统重建。</x:v>
      </x:c>
      <x:c r="T179" s="32" t="str">
        <x:v>由共享基础引擎判定</x:v>
      </x:c>
      <x:c r="U179" s="32" t="str">
        <x:v>69</x:v>
      </x:c>
      <x:c r="V179" s="32" t="str">
        <x:v>路径候选 +6</x:v>
      </x:c>
      <x:c r="W179" s="32" t="str">
        <x:v>boundary_path</x:v>
      </x:c>
      <x:c r="X179" s="32" t="str">
        <x:v>通过持续守约、承担和行动兑现，形成愿意依托的安全感。</x:v>
      </x:c>
      <x:c r="Y179" s="32" t="str">
        <x:v>通过持续守约、承担和行动兑现，形成愿意依托的安全感。</x:v>
      </x:c>
      <x:c r="Z179" s="32" t="str">
        <x:v>不得由本规则直接推出回避亲密、依赖失控、控制欲、冷漠、自私、关系破裂、分手离婚、人格或依恋类型；不得把某种边界方式等同于爱得更多或更少。</x:v>
      </x:c>
      <x:c r="AA179" s="32" t="str">
        <x:v>中高</x:v>
      </x:c>
      <x:c r="AB179" s="32" t="str">
        <x:v>待验证</x:v>
      </x:c>
      <x:c r="AC179" s="32" t="str"/>
      <x:c r="AD179" s="32" t="str">
        <x:v>provisional=true; rule_group=FLOW_BF05</x:v>
      </x:c>
      <x:c r="AE179" s="32" t="str">
        <x:v>0.5</x:v>
      </x:c>
    </x:row>
    <x:row r="180">
      <x:c r="A180" s="32" t="str">
        <x:v>M3-BOUND-176</x:v>
      </x:c>
      <x:c r="B180" s="32" t="str">
        <x:v>BF06 内化→说明｜BOUND功能路径</x:v>
      </x:c>
      <x:c r="C180" s="32" t="str">
        <x:v>L3 BOUND功能路径</x:v>
      </x:c>
      <x:c r="D180" s="32" t="str">
        <x:v>BOUND-功能路径</x:v>
      </x:c>
      <x:c r="E180" s="32" t="str">
        <x:v>通用</x:v>
      </x:c>
      <x:c r="F180" s="32" t="str">
        <x:v>路径</x:v>
      </x:c>
      <x:c r="G180" s="32" t="str">
        <x:v>偏印→伤官</x:v>
      </x:c>
      <x:c r="H180" s="32" t="str">
        <x:v>BF06</x:v>
      </x:c>
      <x:c r="I180" s="32" t="str">
        <x:v>路径起点与终点均有效，存在真实连接或第二类独立证据；单纯五行相生不能单独成立时间顺序。</x:v>
      </x:c>
      <x:c r="J180" s="32" t="str">
        <x:v>基础信号未定；真合化后原信号已失效；只有单一弱远争议信号；或该结论会越界到M4风险、M5适配。</x:v>
      </x:c>
      <x:c r="K180" s="32" t="str">
        <x:v>由共享基础引擎与M3-STATE修正；日主承载、印比支持只修正自主与执行，不直接等于有无边界。</x:v>
      </x:c>
      <x:c r="L180" s="32" t="str">
        <x:v>不限定；夫妻星仅在入宫或形成角色、责任边界时参与接口，不作为BOUND唯一主轴。</x:v>
      </x:c>
      <x:c r="M180" s="32" t="str">
        <x:v>由M3-BASE、日支主气及宫位动态提供。</x:v>
      </x:c>
      <x:c r="N180" s="32" t="str">
        <x:v>无／待BOUND路径规则组合</x:v>
      </x:c>
      <x:c r="O180" s="32" t="str">
        <x:v>日柱与日支近位优先；全局有效独立信号可作次通道。</x:v>
      </x:c>
      <x:c r="P180" s="32" t="str">
        <x:v>由共享基础引擎判定</x:v>
      </x:c>
      <x:c r="Q180" s="32" t="str">
        <x:v>由共享基础引擎判定</x:v>
      </x:c>
      <x:c r="R180" s="32" t="str">
        <x:v>喜忌不直接等于边界好坏；只修正调用顺畅度、资源压力和状态切换。</x:v>
      </x:c>
      <x:c r="S180" s="32" t="str">
        <x:v>原十神性质有效；真合化成立时按化神所属功能系统重建。</x:v>
      </x:c>
      <x:c r="T180" s="32" t="str">
        <x:v>由共享基础引擎判定</x:v>
      </x:c>
      <x:c r="U180" s="32" t="str">
        <x:v>69</x:v>
      </x:c>
      <x:c r="V180" s="32" t="str">
        <x:v>路径候选 +6</x:v>
      </x:c>
      <x:c r="W180" s="32" t="str">
        <x:v>boundary_path</x:v>
      </x:c>
      <x:c r="X180" s="32" t="str">
        <x:v>先独立整理复杂感受和真正需要，再进行清楚、选择性的说明。</x:v>
      </x:c>
      <x:c r="Y180" s="32" t="str">
        <x:v>先独立整理复杂感受和真正需要，再进行清楚、选择性的说明。</x:v>
      </x:c>
      <x:c r="Z180" s="32" t="str">
        <x:v>不得由本规则直接推出回避亲密、依赖失控、控制欲、冷漠、自私、关系破裂、分手离婚、人格或依恋类型；不得把某种边界方式等同于爱得更多或更少。</x:v>
      </x:c>
      <x:c r="AA180" s="32" t="str">
        <x:v>中高</x:v>
      </x:c>
      <x:c r="AB180" s="32" t="str">
        <x:v>待验证</x:v>
      </x:c>
      <x:c r="AC180" s="32" t="str"/>
      <x:c r="AD180" s="32" t="str">
        <x:v>provisional=true; rule_group=FLOW_BF06</x:v>
      </x:c>
      <x:c r="AE180" s="32" t="str">
        <x:v>0.5</x:v>
      </x:c>
    </x:row>
    <x:row r="181">
      <x:c r="A181" s="32" t="str">
        <x:v>M3-BOUND-177</x:v>
      </x:c>
      <x:c r="B181" s="32" t="str">
        <x:v>BF07 边界→资源共享｜BOUND功能路径</x:v>
      </x:c>
      <x:c r="C181" s="32" t="str">
        <x:v>L3 BOUND功能路径</x:v>
      </x:c>
      <x:c r="D181" s="32" t="str">
        <x:v>BOUND-功能路径</x:v>
      </x:c>
      <x:c r="E181" s="32" t="str">
        <x:v>通用</x:v>
      </x:c>
      <x:c r="F181" s="32" t="str">
        <x:v>路径</x:v>
      </x:c>
      <x:c r="G181" s="32" t="str">
        <x:v>比劫→财</x:v>
      </x:c>
      <x:c r="H181" s="32" t="str">
        <x:v>BF07</x:v>
      </x:c>
      <x:c r="I181" s="32" t="str">
        <x:v>路径起点与终点均有效，存在真实连接或第二类独立证据；单纯五行相生不能单独成立时间顺序。</x:v>
      </x:c>
      <x:c r="J181" s="32" t="str">
        <x:v>基础信号未定；真合化后原信号已失效；只有单一弱远争议信号；或该结论会越界到M4风险、M5适配。</x:v>
      </x:c>
      <x:c r="K181" s="32" t="str">
        <x:v>由共享基础引擎与M3-STATE修正；日主承载、印比支持只修正自主与执行，不直接等于有无边界。</x:v>
      </x:c>
      <x:c r="L181" s="32" t="str">
        <x:v>不限定；夫妻星仅在入宫或形成角色、责任边界时参与接口，不作为BOUND唯一主轴。</x:v>
      </x:c>
      <x:c r="M181" s="32" t="str">
        <x:v>由M3-BASE、日支主气及宫位动态提供。</x:v>
      </x:c>
      <x:c r="N181" s="32" t="str">
        <x:v>无／待BOUND路径规则组合</x:v>
      </x:c>
      <x:c r="O181" s="32" t="str">
        <x:v>日柱与日支近位优先；全局有效独立信号可作次通道。</x:v>
      </x:c>
      <x:c r="P181" s="32" t="str">
        <x:v>由共享基础引擎判定</x:v>
      </x:c>
      <x:c r="Q181" s="32" t="str">
        <x:v>由共享基础引擎判定</x:v>
      </x:c>
      <x:c r="R181" s="32" t="str">
        <x:v>喜忌不直接等于边界好坏；只修正调用顺畅度、资源压力和状态切换。</x:v>
      </x:c>
      <x:c r="S181" s="32" t="str">
        <x:v>原十神性质有效；真合化成立时按化神所属功能系统重建。</x:v>
      </x:c>
      <x:c r="T181" s="32" t="str">
        <x:v>由共享基础引擎判定</x:v>
      </x:c>
      <x:c r="U181" s="32" t="str">
        <x:v>69</x:v>
      </x:c>
      <x:c r="V181" s="32" t="str">
        <x:v>路径候选 +6</x:v>
      </x:c>
      <x:c r="W181" s="32" t="str">
        <x:v>boundary_path</x:v>
      </x:c>
      <x:c r="X181" s="32" t="str">
        <x:v>先确认决定权和分工，再允许时间、金钱或生活资源进入共同范围。</x:v>
      </x:c>
      <x:c r="Y181" s="32" t="str">
        <x:v>先确认决定权和分工，再允许时间、金钱或生活资源进入共同范围。</x:v>
      </x:c>
      <x:c r="Z181" s="32" t="str">
        <x:v>不得由本规则直接推出回避亲密、依赖失控、控制欲、冷漠、自私、关系破裂、分手离婚、人格或依恋类型；不得把某种边界方式等同于爱得更多或更少。</x:v>
      </x:c>
      <x:c r="AA181" s="32" t="str">
        <x:v>中高</x:v>
      </x:c>
      <x:c r="AB181" s="32" t="str">
        <x:v>待验证</x:v>
      </x:c>
      <x:c r="AC181" s="32" t="str"/>
      <x:c r="AD181" s="32" t="str">
        <x:v>provisional=true; rule_group=FLOW_BF07</x:v>
      </x:c>
      <x:c r="AE181" s="32" t="str">
        <x:v>0.5</x:v>
      </x:c>
    </x:row>
    <x:row r="182">
      <x:c r="A182" s="32" t="str">
        <x:v>M3-BOUND-178</x:v>
      </x:c>
      <x:c r="B182" s="32" t="str">
        <x:v>BF08 止线→恢复靠近｜BOUND功能路径</x:v>
      </x:c>
      <x:c r="C182" s="32" t="str">
        <x:v>L3 BOUND功能路径</x:v>
      </x:c>
      <x:c r="D182" s="32" t="str">
        <x:v>BOUND-功能路径</x:v>
      </x:c>
      <x:c r="E182" s="32" t="str">
        <x:v>通用</x:v>
      </x:c>
      <x:c r="F182" s="32" t="str">
        <x:v>路径</x:v>
      </x:c>
      <x:c r="G182" s="32" t="str">
        <x:v>七杀→食神／正印</x:v>
      </x:c>
      <x:c r="H182" s="32" t="str">
        <x:v>BF08</x:v>
      </x:c>
      <x:c r="I182" s="32" t="str">
        <x:v>路径起点与终点均有效，存在真实连接或第二类独立证据；单纯五行相生不能单独成立时间顺序。</x:v>
      </x:c>
      <x:c r="J182" s="32" t="str">
        <x:v>基础信号未定；真合化后原信号已失效；只有单一弱远争议信号；或该结论会越界到M4风险、M5适配。</x:v>
      </x:c>
      <x:c r="K182" s="32" t="str">
        <x:v>由共享基础引擎与M3-STATE修正；日主承载、印比支持只修正自主与执行，不直接等于有无边界。</x:v>
      </x:c>
      <x:c r="L182" s="32" t="str">
        <x:v>不限定；夫妻星仅在入宫或形成角色、责任边界时参与接口，不作为BOUND唯一主轴。</x:v>
      </x:c>
      <x:c r="M182" s="32" t="str">
        <x:v>由M3-BASE、日支主气及宫位动态提供。</x:v>
      </x:c>
      <x:c r="N182" s="32" t="str">
        <x:v>无／待BOUND路径规则组合</x:v>
      </x:c>
      <x:c r="O182" s="32" t="str">
        <x:v>日柱与日支近位优先；全局有效独立信号可作次通道。</x:v>
      </x:c>
      <x:c r="P182" s="32" t="str">
        <x:v>由共享基础引擎判定</x:v>
      </x:c>
      <x:c r="Q182" s="32" t="str">
        <x:v>由共享基础引擎判定</x:v>
      </x:c>
      <x:c r="R182" s="32" t="str">
        <x:v>喜忌不直接等于边界好坏；只修正调用顺畅度、资源压力和状态切换。</x:v>
      </x:c>
      <x:c r="S182" s="32" t="str">
        <x:v>原十神性质有效；真合化成立时按化神所属功能系统重建。</x:v>
      </x:c>
      <x:c r="T182" s="32" t="str">
        <x:v>由共享基础引擎判定</x:v>
      </x:c>
      <x:c r="U182" s="32" t="str">
        <x:v>69</x:v>
      </x:c>
      <x:c r="V182" s="32" t="str">
        <x:v>路径候选 +6</x:v>
      </x:c>
      <x:c r="W182" s="32" t="str">
        <x:v>boundary_path</x:v>
      </x:c>
      <x:c r="X182" s="32" t="str">
        <x:v>压力下先划定停止线或处理风险，稳定后再回到舒缓、理解和亲近。</x:v>
      </x:c>
      <x:c r="Y182" s="32" t="str">
        <x:v>压力下先划定停止线或处理风险，稳定后再回到舒缓、理解和亲近。</x:v>
      </x:c>
      <x:c r="Z182" s="32" t="str">
        <x:v>不得由本规则直接推出回避亲密、依赖失控、控制欲、冷漠、自私、关系破裂、分手离婚、人格或依恋类型；不得把某种边界方式等同于爱得更多或更少。</x:v>
      </x:c>
      <x:c r="AA182" s="32" t="str">
        <x:v>中高</x:v>
      </x:c>
      <x:c r="AB182" s="32" t="str">
        <x:v>待验证</x:v>
      </x:c>
      <x:c r="AC182" s="32" t="str"/>
      <x:c r="AD182" s="32" t="str">
        <x:v>provisional=true; rule_group=FLOW_BF08</x:v>
      </x:c>
      <x:c r="AE182" s="32" t="str">
        <x:v>0.5</x:v>
      </x:c>
    </x:row>
    <x:row r="183">
      <x:c r="A183" s="32" t="str">
        <x:v>M3-BOUND-179</x:v>
      </x:c>
      <x:c r="B183" s="32" t="str">
        <x:v>日支合｜BOUND基础节奏</x:v>
      </x:c>
      <x:c r="C183" s="32" t="str">
        <x:v>L4 宫位动态</x:v>
      </x:c>
      <x:c r="D183" s="32" t="str">
        <x:v>BOUND-合冲刑害破</x:v>
      </x:c>
      <x:c r="E183" s="32" t="str">
        <x:v>通用</x:v>
      </x:c>
      <x:c r="F183" s="32" t="str">
        <x:v>宫位动态</x:v>
      </x:c>
      <x:c r="G183" s="32" t="str">
        <x:v>日支合</x:v>
      </x:c>
      <x:c r="H183" s="32" t="str"/>
      <x:c r="I183" s="32" t="str">
        <x:v>日支合成立，作用对象与基础结构明确。</x:v>
      </x:c>
      <x:c r="J183" s="32" t="str">
        <x:v>基础信号未定；真合化后原信号已失效；只有单一弱远争议信号；或该结论会越界到M4风险、M5适配。</x:v>
      </x:c>
      <x:c r="K183" s="32" t="str">
        <x:v>由共享基础引擎与M3-STATE修正；日主承载、印比支持只修正自主与执行，不直接等于有无边界。</x:v>
      </x:c>
      <x:c r="L183" s="32" t="str">
        <x:v>不限定；夫妻星仅在入宫或形成角色、责任边界时参与接口，不作为BOUND唯一主轴。</x:v>
      </x:c>
      <x:c r="M183" s="32" t="str">
        <x:v>由M3-BASE、日支主气及宫位动态提供。</x:v>
      </x:c>
      <x:c r="N183" s="32" t="str">
        <x:v>无／待BOUND路径规则组合</x:v>
      </x:c>
      <x:c r="O183" s="32" t="str">
        <x:v>日柱与日支近位优先；全局有效独立信号可作次通道。</x:v>
      </x:c>
      <x:c r="P183" s="32" t="str">
        <x:v>由共享基础引擎判定</x:v>
      </x:c>
      <x:c r="Q183" s="32" t="str">
        <x:v>由共享基础引擎判定</x:v>
      </x:c>
      <x:c r="R183" s="32" t="str">
        <x:v>喜忌不直接等于边界好坏；只修正调用顺畅度、资源压力和状态切换。</x:v>
      </x:c>
      <x:c r="S183" s="32" t="str">
        <x:v>原十神性质有效；真合化成立时按化神所属功能系统重建。</x:v>
      </x:c>
      <x:c r="T183" s="32" t="str">
        <x:v>由共享基础引擎判定</x:v>
      </x:c>
      <x:c r="U183" s="32" t="str">
        <x:v>80</x:v>
      </x:c>
      <x:c r="V183" s="32" t="str">
        <x:v>节奏修正 +4</x:v>
      </x:c>
      <x:c r="W183" s="32" t="str">
        <x:v>state_shift</x:v>
      </x:c>
      <x:c r="X183" s="32" t="str">
        <x:v>关系中的靠近、共享和协商更容易相互牵连，需要把多项需求放在整体中处理。</x:v>
      </x:c>
      <x:c r="Y183" s="32" t="str">
        <x:v>关系中的靠近、共享和协商更容易相互牵连，需要把多项需求放在整体中处理。</x:v>
      </x:c>
      <x:c r="Z183" s="32" t="str">
        <x:v>不得由本规则直接推出回避亲密、依赖失控、控制欲、冷漠、自私、关系破裂、分手离婚、人格或依恋类型；不得把某种边界方式等同于爱得更多或更少。</x:v>
      </x:c>
      <x:c r="AA183" s="32" t="str">
        <x:v>中</x:v>
      </x:c>
      <x:c r="AB183" s="32" t="str">
        <x:v>待验证</x:v>
      </x:c>
      <x:c r="AC183" s="32" t="str"/>
      <x:c r="AD183" s="32" t="str">
        <x:v>provisional=true; rule_group=PALACE_合_BASE</x:v>
      </x:c>
      <x:c r="AE183" s="32" t="str">
        <x:v>0.5</x:v>
      </x:c>
    </x:row>
    <x:row r="184">
      <x:c r="A184" s="32" t="str">
        <x:v>M3-BOUND-180</x:v>
      </x:c>
      <x:c r="B184" s="32" t="str">
        <x:v>日支合｜靠近与空间修正</x:v>
      </x:c>
      <x:c r="C184" s="32" t="str">
        <x:v>L4 宫位动态</x:v>
      </x:c>
      <x:c r="D184" s="32" t="str">
        <x:v>BOUND-合冲刑害破</x:v>
      </x:c>
      <x:c r="E184" s="32" t="str">
        <x:v>通用</x:v>
      </x:c>
      <x:c r="F184" s="32" t="str">
        <x:v>距离修正</x:v>
      </x:c>
      <x:c r="G184" s="32" t="str">
        <x:v>日支合</x:v>
      </x:c>
      <x:c r="H184" s="32" t="str"/>
      <x:c r="I184" s="32" t="str">
        <x:v>日支合成立，且至少有一个有效BOUND通道。</x:v>
      </x:c>
      <x:c r="J184" s="32" t="str">
        <x:v>基础信号未定；真合化后原信号已失效；只有单一弱远争议信号；或该结论会越界到M4风险、M5适配。</x:v>
      </x:c>
      <x:c r="K184" s="32" t="str">
        <x:v>由共享基础引擎与M3-STATE修正；日主承载、印比支持只修正自主与执行，不直接等于有无边界。</x:v>
      </x:c>
      <x:c r="L184" s="32" t="str">
        <x:v>不限定；夫妻星仅在入宫或形成角色、责任边界时参与接口，不作为BOUND唯一主轴。</x:v>
      </x:c>
      <x:c r="M184" s="32" t="str">
        <x:v>由M3-BASE、日支主气及宫位动态提供。</x:v>
      </x:c>
      <x:c r="N184" s="32" t="str">
        <x:v>无／待BOUND路径规则组合</x:v>
      </x:c>
      <x:c r="O184" s="32" t="str">
        <x:v>日柱与日支近位优先；全局有效独立信号可作次通道。</x:v>
      </x:c>
      <x:c r="P184" s="32" t="str">
        <x:v>由共享基础引擎判定</x:v>
      </x:c>
      <x:c r="Q184" s="32" t="str">
        <x:v>由共享基础引擎判定</x:v>
      </x:c>
      <x:c r="R184" s="32" t="str">
        <x:v>喜忌不直接等于边界好坏；只修正调用顺畅度、资源压力和状态切换。</x:v>
      </x:c>
      <x:c r="S184" s="32" t="str">
        <x:v>原十神性质有效；真合化成立时按化神所属功能系统重建。</x:v>
      </x:c>
      <x:c r="T184" s="32" t="str">
        <x:v>由共享基础引擎判定</x:v>
      </x:c>
      <x:c r="U184" s="32" t="str">
        <x:v>71</x:v>
      </x:c>
      <x:c r="V184" s="32" t="str">
        <x:v>距离修正 +3</x:v>
      </x:c>
      <x:c r="W184" s="32" t="str">
        <x:v>closeness_rhythm</x:v>
      </x:c>
      <x:c r="X184" s="32" t="str">
        <x:v>合可能提高协调和靠近意愿，但不能单独判断依赖、黏人或失去边界。</x:v>
      </x:c>
      <x:c r="Y184" s="32" t="str">
        <x:v>合可能提高协调和靠近意愿，但不能单独判断依赖、黏人或失去边界。</x:v>
      </x:c>
      <x:c r="Z184" s="32" t="str">
        <x:v>不得由本规则直接推出回避亲密、依赖失控、控制欲、冷漠、自私、关系破裂、分手离婚、人格或依恋类型；不得把某种边界方式等同于爱得更多或更少。</x:v>
      </x:c>
      <x:c r="AA184" s="32" t="str">
        <x:v>中</x:v>
      </x:c>
      <x:c r="AB184" s="32" t="str">
        <x:v>待验证</x:v>
      </x:c>
      <x:c r="AC184" s="32" t="str"/>
      <x:c r="AD184" s="32" t="str">
        <x:v>provisional=true; rule_group=PALACE_合_CLOSE</x:v>
      </x:c>
      <x:c r="AE184" s="32" t="str">
        <x:v>0.5</x:v>
      </x:c>
    </x:row>
    <x:row r="185">
      <x:c r="A185" s="32" t="str">
        <x:v>M3-BOUND-181</x:v>
      </x:c>
      <x:c r="B185" s="32" t="str">
        <x:v>日支合｜重新协商提示</x:v>
      </x:c>
      <x:c r="C185" s="32" t="str">
        <x:v>L4 宫位动态</x:v>
      </x:c>
      <x:c r="D185" s="32" t="str">
        <x:v>BOUND-合冲刑害破</x:v>
      </x:c>
      <x:c r="E185" s="32" t="str">
        <x:v>通用</x:v>
      </x:c>
      <x:c r="F185" s="32" t="str">
        <x:v>重订修正</x:v>
      </x:c>
      <x:c r="G185" s="32" t="str">
        <x:v>日支合</x:v>
      </x:c>
      <x:c r="H185" s="32" t="str"/>
      <x:c r="I185" s="32" t="str">
        <x:v>日支合成立，并有表达、行动、角色或现实边界证据。</x:v>
      </x:c>
      <x:c r="J185" s="32" t="str">
        <x:v>基础信号未定；真合化后原信号已失效；只有单一弱远争议信号；或该结论会越界到M4风险、M5适配。</x:v>
      </x:c>
      <x:c r="K185" s="32" t="str">
        <x:v>由共享基础引擎与M3-STATE修正；日主承载、印比支持只修正自主与执行，不直接等于有无边界。</x:v>
      </x:c>
      <x:c r="L185" s="32" t="str">
        <x:v>不限定；夫妻星仅在入宫或形成角色、责任边界时参与接口，不作为BOUND唯一主轴。</x:v>
      </x:c>
      <x:c r="M185" s="32" t="str">
        <x:v>由M3-BASE、日支主气及宫位动态提供。</x:v>
      </x:c>
      <x:c r="N185" s="32" t="str">
        <x:v>无／待BOUND路径规则组合</x:v>
      </x:c>
      <x:c r="O185" s="32" t="str">
        <x:v>日柱与日支近位优先；全局有效独立信号可作次通道。</x:v>
      </x:c>
      <x:c r="P185" s="32" t="str">
        <x:v>由共享基础引擎判定</x:v>
      </x:c>
      <x:c r="Q185" s="32" t="str">
        <x:v>由共享基础引擎判定</x:v>
      </x:c>
      <x:c r="R185" s="32" t="str">
        <x:v>喜忌不直接等于边界好坏；只修正调用顺畅度、资源压力和状态切换。</x:v>
      </x:c>
      <x:c r="S185" s="32" t="str">
        <x:v>原十神性质有效；真合化成立时按化神所属功能系统重建。</x:v>
      </x:c>
      <x:c r="T185" s="32" t="str">
        <x:v>由共享基础引擎判定</x:v>
      </x:c>
      <x:c r="U185" s="32" t="str">
        <x:v>72</x:v>
      </x:c>
      <x:c r="V185" s="32" t="str">
        <x:v>重订候选 +4</x:v>
      </x:c>
      <x:c r="W185" s="32" t="str">
        <x:v>renegotiation_style</x:v>
      </x:c>
      <x:c r="X185" s="32" t="str">
        <x:v>边界更适合通过共同安排、整体协商和双方都能接受的连接方式重订。</x:v>
      </x:c>
      <x:c r="Y185" s="32" t="str">
        <x:v>边界更适合通过共同安排、整体协商和双方都能接受的连接方式重订。</x:v>
      </x:c>
      <x:c r="Z185" s="32" t="str">
        <x:v>不得由本规则直接推出回避亲密、依赖失控、控制欲、冷漠、自私、关系破裂、分手离婚、人格或依恋类型；不得把某种边界方式等同于爱得更多或更少。</x:v>
      </x:c>
      <x:c r="AA185" s="32" t="str">
        <x:v>中</x:v>
      </x:c>
      <x:c r="AB185" s="32" t="str">
        <x:v>待验证</x:v>
      </x:c>
      <x:c r="AC185" s="32" t="str"/>
      <x:c r="AD185" s="32" t="str">
        <x:v>provisional=true; rule_group=PALACE_合_RENEG</x:v>
      </x:c>
      <x:c r="AE185" s="32" t="str">
        <x:v>0.5</x:v>
      </x:c>
    </x:row>
    <x:row r="186">
      <x:c r="A186" s="32" t="str">
        <x:v>M3-BOUND-182</x:v>
      </x:c>
      <x:c r="B186" s="32" t="str">
        <x:v>日支合｜禁止结果化解释</x:v>
      </x:c>
      <x:c r="C186" s="32" t="str">
        <x:v>L4 宫位动态</x:v>
      </x:c>
      <x:c r="D186" s="32" t="str">
        <x:v>BOUND-合冲刑害破</x:v>
      </x:c>
      <x:c r="E186" s="32" t="str">
        <x:v>通用</x:v>
      </x:c>
      <x:c r="F186" s="32" t="str">
        <x:v>禁止推断</x:v>
      </x:c>
      <x:c r="G186" s="32" t="str">
        <x:v>日支合</x:v>
      </x:c>
      <x:c r="H186" s="32" t="str"/>
      <x:c r="I186" s="32" t="str">
        <x:v>日支合成立。</x:v>
      </x:c>
      <x:c r="J186" s="32" t="str">
        <x:v>基础信号未定；真合化后原信号已失效；只有单一弱远争议信号；或该结论会越界到M4风险、M5适配。</x:v>
      </x:c>
      <x:c r="K186" s="32" t="str">
        <x:v>由共享基础引擎与M3-STATE修正；日主承载、印比支持只修正自主与执行，不直接等于有无边界。</x:v>
      </x:c>
      <x:c r="L186" s="32" t="str">
        <x:v>不限定；夫妻星仅在入宫或形成角色、责任边界时参与接口，不作为BOUND唯一主轴。</x:v>
      </x:c>
      <x:c r="M186" s="32" t="str">
        <x:v>由M3-BASE、日支主气及宫位动态提供。</x:v>
      </x:c>
      <x:c r="N186" s="32" t="str">
        <x:v>无／待BOUND路径规则组合</x:v>
      </x:c>
      <x:c r="O186" s="32" t="str">
        <x:v>日柱与日支近位优先；全局有效独立信号可作次通道。</x:v>
      </x:c>
      <x:c r="P186" s="32" t="str">
        <x:v>由共享基础引擎判定</x:v>
      </x:c>
      <x:c r="Q186" s="32" t="str">
        <x:v>由共享基础引擎判定</x:v>
      </x:c>
      <x:c r="R186" s="32" t="str">
        <x:v>喜忌不直接等于边界好坏；只修正调用顺畅度、资源压力和状态切换。</x:v>
      </x:c>
      <x:c r="S186" s="32" t="str">
        <x:v>原十神性质有效；真合化成立时按化神所属功能系统重建。</x:v>
      </x:c>
      <x:c r="T186" s="32" t="str">
        <x:v>由共享基础引擎判定</x:v>
      </x:c>
      <x:c r="U186" s="32" t="str">
        <x:v>97</x:v>
      </x:c>
      <x:c r="V186" s="32" t="str">
        <x:v>不加分；边界检查</x:v>
      </x:c>
      <x:c r="W186" s="32" t="str">
        <x:v>boundary_note</x:v>
      </x:c>
      <x:c r="X186" s="32" t="str">
        <x:v>不得由日支合直接推出感情稳定、依赖、占有、第三者、结婚或不分离。</x:v>
      </x:c>
      <x:c r="Y186" s="32" t="str">
        <x:v>这里仅把宫位动态作为边界节奏修正，不把它直接写成感情结果。</x:v>
      </x:c>
      <x:c r="Z186" s="32" t="str">
        <x:v>不得由日支合直接推出感情稳定、依赖、占有、第三者、结婚或不分离。</x:v>
      </x:c>
      <x:c r="AA186" s="32" t="str">
        <x:v>高</x:v>
      </x:c>
      <x:c r="AB186" s="32" t="str">
        <x:v>待验证</x:v>
      </x:c>
      <x:c r="AC186" s="32" t="str"/>
      <x:c r="AD186" s="32" t="str">
        <x:v>provisional=true; rule_group=PALACE_合_BAN</x:v>
      </x:c>
      <x:c r="AE186" s="32" t="str">
        <x:v>0.5</x:v>
      </x:c>
    </x:row>
    <x:row r="187">
      <x:c r="A187" s="32" t="str">
        <x:v>M3-BOUND-183</x:v>
      </x:c>
      <x:c r="B187" s="32" t="str">
        <x:v>日支合｜停止／改道路由</x:v>
      </x:c>
      <x:c r="C187" s="32" t="str">
        <x:v>L4 宫位动态</x:v>
      </x:c>
      <x:c r="D187" s="32" t="str">
        <x:v>BOUND-合冲刑害破</x:v>
      </x:c>
      <x:c r="E187" s="32" t="str">
        <x:v>通用</x:v>
      </x:c>
      <x:c r="F187" s="32" t="str">
        <x:v>停止／路由</x:v>
      </x:c>
      <x:c r="G187" s="32" t="str">
        <x:v>日支合</x:v>
      </x:c>
      <x:c r="H187" s="32" t="str"/>
      <x:c r="I187" s="32" t="str">
        <x:v>日支合的成立、合化或阶段属性需要裁定。</x:v>
      </x:c>
      <x:c r="J187" s="32" t="str">
        <x:v>基础信号未定；真合化后原信号已失效；只有单一弱远争议信号；或该结论会越界到M4风险、M5适配。</x:v>
      </x:c>
      <x:c r="K187" s="32" t="str">
        <x:v>由共享基础引擎与M3-STATE修正；日主承载、印比支持只修正自主与执行，不直接等于有无边界。</x:v>
      </x:c>
      <x:c r="L187" s="32" t="str">
        <x:v>不限定；夫妻星仅在入宫或形成角色、责任边界时参与接口，不作为BOUND唯一主轴。</x:v>
      </x:c>
      <x:c r="M187" s="32" t="str">
        <x:v>由M3-BASE、日支主气及宫位动态提供。</x:v>
      </x:c>
      <x:c r="N187" s="32" t="str">
        <x:v>无／待BOUND路径规则组合</x:v>
      </x:c>
      <x:c r="O187" s="32" t="str">
        <x:v>日柱与日支近位优先；全局有效独立信号可作次通道。</x:v>
      </x:c>
      <x:c r="P187" s="32" t="str">
        <x:v>由共享基础引擎判定</x:v>
      </x:c>
      <x:c r="Q187" s="32" t="str">
        <x:v>由共享基础引擎判定</x:v>
      </x:c>
      <x:c r="R187" s="32" t="str">
        <x:v>喜忌不直接等于边界好坏；只修正调用顺畅度、资源压力和状态切换。</x:v>
      </x:c>
      <x:c r="S187" s="32" t="str">
        <x:v>原十神性质有效；真合化成立时按化神所属功能系统重建。</x:v>
      </x:c>
      <x:c r="T187" s="32" t="str">
        <x:v>由共享基础引擎判定</x:v>
      </x:c>
      <x:c r="U187" s="32" t="str">
        <x:v>98</x:v>
      </x:c>
      <x:c r="V187" s="32" t="str">
        <x:v>停止／替换／降置信</x:v>
      </x:c>
      <x:c r="W187" s="32" t="str">
        <x:v>report_status</x:v>
      </x:c>
      <x:c r="X187" s="32" t="str">
        <x:v>合而不化保留原通道；真合化成立时原通道清零并按化神重建。</x:v>
      </x:c>
      <x:c r="Y187" s="32" t="str">
        <x:v>合而不化保留原通道；真合化成立时原通道清零并按化神重建。</x:v>
      </x:c>
      <x:c r="Z187" s="32" t="str">
        <x:v>不得由本规则直接推出回避亲密、依赖失控、控制欲、冷漠、自私、关系破裂、分手离婚、人格或依恋类型；不得把某种边界方式等同于爱得更多或更少。</x:v>
      </x:c>
      <x:c r="AA187" s="32" t="str">
        <x:v>高</x:v>
      </x:c>
      <x:c r="AB187" s="32" t="str">
        <x:v>待验证</x:v>
      </x:c>
      <x:c r="AC187" s="32" t="str"/>
      <x:c r="AD187" s="32" t="str">
        <x:v>provisional=true; rule_group=PALACE_合_STOP</x:v>
      </x:c>
      <x:c r="AE187" s="32" t="str">
        <x:v>0.5</x:v>
      </x:c>
    </x:row>
    <x:row r="188">
      <x:c r="A188" s="32" t="str">
        <x:v>M3-BOUND-184</x:v>
      </x:c>
      <x:c r="B188" s="32" t="str">
        <x:v>日支冲｜BOUND基础节奏</x:v>
      </x:c>
      <x:c r="C188" s="32" t="str">
        <x:v>L4 宫位动态</x:v>
      </x:c>
      <x:c r="D188" s="32" t="str">
        <x:v>BOUND-合冲刑害破</x:v>
      </x:c>
      <x:c r="E188" s="32" t="str">
        <x:v>通用</x:v>
      </x:c>
      <x:c r="F188" s="32" t="str">
        <x:v>宫位动态</x:v>
      </x:c>
      <x:c r="G188" s="32" t="str">
        <x:v>日支冲</x:v>
      </x:c>
      <x:c r="H188" s="32" t="str"/>
      <x:c r="I188" s="32" t="str">
        <x:v>日支冲成立，作用对象与基础结构明确。</x:v>
      </x:c>
      <x:c r="J188" s="32" t="str">
        <x:v>基础信号未定；真合化后原信号已失效；只有单一弱远争议信号；或该结论会越界到M4风险、M5适配。</x:v>
      </x:c>
      <x:c r="K188" s="32" t="str">
        <x:v>由共享基础引擎与M3-STATE修正；日主承载、印比支持只修正自主与执行，不直接等于有无边界。</x:v>
      </x:c>
      <x:c r="L188" s="32" t="str">
        <x:v>不限定；夫妻星仅在入宫或形成角色、责任边界时参与接口，不作为BOUND唯一主轴。</x:v>
      </x:c>
      <x:c r="M188" s="32" t="str">
        <x:v>由M3-BASE、日支主气及宫位动态提供。</x:v>
      </x:c>
      <x:c r="N188" s="32" t="str">
        <x:v>无／待BOUND路径规则组合</x:v>
      </x:c>
      <x:c r="O188" s="32" t="str">
        <x:v>日柱与日支近位优先；全局有效独立信号可作次通道。</x:v>
      </x:c>
      <x:c r="P188" s="32" t="str">
        <x:v>由共享基础引擎判定</x:v>
      </x:c>
      <x:c r="Q188" s="32" t="str">
        <x:v>由共享基础引擎判定</x:v>
      </x:c>
      <x:c r="R188" s="32" t="str">
        <x:v>喜忌不直接等于边界好坏；只修正调用顺畅度、资源压力和状态切换。</x:v>
      </x:c>
      <x:c r="S188" s="32" t="str">
        <x:v>原十神性质有效；真合化成立时按化神所属功能系统重建。</x:v>
      </x:c>
      <x:c r="T188" s="32" t="str">
        <x:v>由共享基础引擎判定</x:v>
      </x:c>
      <x:c r="U188" s="32" t="str">
        <x:v>80</x:v>
      </x:c>
      <x:c r="V188" s="32" t="str">
        <x:v>节奏修正 +4</x:v>
      </x:c>
      <x:c r="W188" s="32" t="str">
        <x:v>state_shift</x:v>
      </x:c>
      <x:c r="X188" s="32" t="str">
        <x:v>关系距离、安排和权限更容易出现变化或差异外显，需要直接调整节奏。</x:v>
      </x:c>
      <x:c r="Y188" s="32" t="str">
        <x:v>关系距离、安排和权限更容易出现变化或差异外显，需要直接调整节奏。</x:v>
      </x:c>
      <x:c r="Z188" s="32" t="str">
        <x:v>不得由本规则直接推出回避亲密、依赖失控、控制欲、冷漠、自私、关系破裂、分手离婚、人格或依恋类型；不得把某种边界方式等同于爱得更多或更少。</x:v>
      </x:c>
      <x:c r="AA188" s="32" t="str">
        <x:v>中</x:v>
      </x:c>
      <x:c r="AB188" s="32" t="str">
        <x:v>待验证</x:v>
      </x:c>
      <x:c r="AC188" s="32" t="str"/>
      <x:c r="AD188" s="32" t="str">
        <x:v>provisional=true; rule_group=PALACE_冲_BASE</x:v>
      </x:c>
      <x:c r="AE188" s="32" t="str">
        <x:v>0.5</x:v>
      </x:c>
    </x:row>
    <x:row r="189">
      <x:c r="A189" s="32" t="str">
        <x:v>M3-BOUND-185</x:v>
      </x:c>
      <x:c r="B189" s="32" t="str">
        <x:v>日支冲｜靠近与空间修正</x:v>
      </x:c>
      <x:c r="C189" s="32" t="str">
        <x:v>L4 宫位动态</x:v>
      </x:c>
      <x:c r="D189" s="32" t="str">
        <x:v>BOUND-合冲刑害破</x:v>
      </x:c>
      <x:c r="E189" s="32" t="str">
        <x:v>通用</x:v>
      </x:c>
      <x:c r="F189" s="32" t="str">
        <x:v>距离修正</x:v>
      </x:c>
      <x:c r="G189" s="32" t="str">
        <x:v>日支冲</x:v>
      </x:c>
      <x:c r="H189" s="32" t="str"/>
      <x:c r="I189" s="32" t="str">
        <x:v>日支冲成立，且至少有一个有效BOUND通道。</x:v>
      </x:c>
      <x:c r="J189" s="32" t="str">
        <x:v>基础信号未定；真合化后原信号已失效；只有单一弱远争议信号；或该结论会越界到M4风险、M5适配。</x:v>
      </x:c>
      <x:c r="K189" s="32" t="str">
        <x:v>由共享基础引擎与M3-STATE修正；日主承载、印比支持只修正自主与执行，不直接等于有无边界。</x:v>
      </x:c>
      <x:c r="L189" s="32" t="str">
        <x:v>不限定；夫妻星仅在入宫或形成角色、责任边界时参与接口，不作为BOUND唯一主轴。</x:v>
      </x:c>
      <x:c r="M189" s="32" t="str">
        <x:v>由M3-BASE、日支主气及宫位动态提供。</x:v>
      </x:c>
      <x:c r="N189" s="32" t="str">
        <x:v>无／待BOUND路径规则组合</x:v>
      </x:c>
      <x:c r="O189" s="32" t="str">
        <x:v>日柱与日支近位优先；全局有效独立信号可作次通道。</x:v>
      </x:c>
      <x:c r="P189" s="32" t="str">
        <x:v>由共享基础引擎判定</x:v>
      </x:c>
      <x:c r="Q189" s="32" t="str">
        <x:v>由共享基础引擎判定</x:v>
      </x:c>
      <x:c r="R189" s="32" t="str">
        <x:v>喜忌不直接等于边界好坏；只修正调用顺畅度、资源压力和状态切换。</x:v>
      </x:c>
      <x:c r="S189" s="32" t="str">
        <x:v>原十神性质有效；真合化成立时按化神所属功能系统重建。</x:v>
      </x:c>
      <x:c r="T189" s="32" t="str">
        <x:v>由共享基础引擎判定</x:v>
      </x:c>
      <x:c r="U189" s="32" t="str">
        <x:v>71</x:v>
      </x:c>
      <x:c r="V189" s="32" t="str">
        <x:v>距离修正 +3</x:v>
      </x:c>
      <x:c r="W189" s="32" t="str">
        <x:v>closeness_rhythm</x:v>
      </x:c>
      <x:c r="X189" s="32" t="str">
        <x:v>冲提示靠近与空间可能更动态，不能单独判断分手、离婚或关系破裂。</x:v>
      </x:c>
      <x:c r="Y189" s="32" t="str">
        <x:v>冲提示靠近与空间可能更动态，不能单独判断分手、离婚或关系破裂。</x:v>
      </x:c>
      <x:c r="Z189" s="32" t="str">
        <x:v>不得由本规则直接推出回避亲密、依赖失控、控制欲、冷漠、自私、关系破裂、分手离婚、人格或依恋类型；不得把某种边界方式等同于爱得更多或更少。</x:v>
      </x:c>
      <x:c r="AA189" s="32" t="str">
        <x:v>中</x:v>
      </x:c>
      <x:c r="AB189" s="32" t="str">
        <x:v>待验证</x:v>
      </x:c>
      <x:c r="AC189" s="32" t="str"/>
      <x:c r="AD189" s="32" t="str">
        <x:v>provisional=true; rule_group=PALACE_冲_CLOSE</x:v>
      </x:c>
      <x:c r="AE189" s="32" t="str">
        <x:v>0.5</x:v>
      </x:c>
    </x:row>
    <x:row r="190">
      <x:c r="A190" s="32" t="str">
        <x:v>M3-BOUND-186</x:v>
      </x:c>
      <x:c r="B190" s="32" t="str">
        <x:v>日支冲｜重新协商提示</x:v>
      </x:c>
      <x:c r="C190" s="32" t="str">
        <x:v>L4 宫位动态</x:v>
      </x:c>
      <x:c r="D190" s="32" t="str">
        <x:v>BOUND-合冲刑害破</x:v>
      </x:c>
      <x:c r="E190" s="32" t="str">
        <x:v>通用</x:v>
      </x:c>
      <x:c r="F190" s="32" t="str">
        <x:v>重订修正</x:v>
      </x:c>
      <x:c r="G190" s="32" t="str">
        <x:v>日支冲</x:v>
      </x:c>
      <x:c r="H190" s="32" t="str"/>
      <x:c r="I190" s="32" t="str">
        <x:v>日支冲成立，并有表达、行动、角色或现实边界证据。</x:v>
      </x:c>
      <x:c r="J190" s="32" t="str">
        <x:v>基础信号未定；真合化后原信号已失效；只有单一弱远争议信号；或该结论会越界到M4风险、M5适配。</x:v>
      </x:c>
      <x:c r="K190" s="32" t="str">
        <x:v>由共享基础引擎与M3-STATE修正；日主承载、印比支持只修正自主与执行，不直接等于有无边界。</x:v>
      </x:c>
      <x:c r="L190" s="32" t="str">
        <x:v>不限定；夫妻星仅在入宫或形成角色、责任边界时参与接口，不作为BOUND唯一主轴。</x:v>
      </x:c>
      <x:c r="M190" s="32" t="str">
        <x:v>由M3-BASE、日支主气及宫位动态提供。</x:v>
      </x:c>
      <x:c r="N190" s="32" t="str">
        <x:v>无／待BOUND路径规则组合</x:v>
      </x:c>
      <x:c r="O190" s="32" t="str">
        <x:v>日柱与日支近位优先；全局有效独立信号可作次通道。</x:v>
      </x:c>
      <x:c r="P190" s="32" t="str">
        <x:v>由共享基础引擎判定</x:v>
      </x:c>
      <x:c r="Q190" s="32" t="str">
        <x:v>由共享基础引擎判定</x:v>
      </x:c>
      <x:c r="R190" s="32" t="str">
        <x:v>喜忌不直接等于边界好坏；只修正调用顺畅度、资源压力和状态切换。</x:v>
      </x:c>
      <x:c r="S190" s="32" t="str">
        <x:v>原十神性质有效；真合化成立时按化神所属功能系统重建。</x:v>
      </x:c>
      <x:c r="T190" s="32" t="str">
        <x:v>由共享基础引擎判定</x:v>
      </x:c>
      <x:c r="U190" s="32" t="str">
        <x:v>72</x:v>
      </x:c>
      <x:c r="V190" s="32" t="str">
        <x:v>重订候选 +4</x:v>
      </x:c>
      <x:c r="W190" s="32" t="str">
        <x:v>renegotiation_style</x:v>
      </x:c>
      <x:c r="X190" s="32" t="str">
        <x:v>边界更需要及时重订，明确什么改变了、哪些权限仍保留。</x:v>
      </x:c>
      <x:c r="Y190" s="32" t="str">
        <x:v>边界更需要及时重订，明确什么改变了、哪些权限仍保留。</x:v>
      </x:c>
      <x:c r="Z190" s="32" t="str">
        <x:v>不得由本规则直接推出回避亲密、依赖失控、控制欲、冷漠、自私、关系破裂、分手离婚、人格或依恋类型；不得把某种边界方式等同于爱得更多或更少。</x:v>
      </x:c>
      <x:c r="AA190" s="32" t="str">
        <x:v>中</x:v>
      </x:c>
      <x:c r="AB190" s="32" t="str">
        <x:v>待验证</x:v>
      </x:c>
      <x:c r="AC190" s="32" t="str"/>
      <x:c r="AD190" s="32" t="str">
        <x:v>provisional=true; rule_group=PALACE_冲_RENEG</x:v>
      </x:c>
      <x:c r="AE190" s="32" t="str">
        <x:v>0.5</x:v>
      </x:c>
    </x:row>
    <x:row r="191">
      <x:c r="A191" s="32" t="str">
        <x:v>M3-BOUND-187</x:v>
      </x:c>
      <x:c r="B191" s="32" t="str">
        <x:v>日支冲｜禁止结果化解释</x:v>
      </x:c>
      <x:c r="C191" s="32" t="str">
        <x:v>L4 宫位动态</x:v>
      </x:c>
      <x:c r="D191" s="32" t="str">
        <x:v>BOUND-合冲刑害破</x:v>
      </x:c>
      <x:c r="E191" s="32" t="str">
        <x:v>通用</x:v>
      </x:c>
      <x:c r="F191" s="32" t="str">
        <x:v>禁止推断</x:v>
      </x:c>
      <x:c r="G191" s="32" t="str">
        <x:v>日支冲</x:v>
      </x:c>
      <x:c r="H191" s="32" t="str"/>
      <x:c r="I191" s="32" t="str">
        <x:v>日支冲成立。</x:v>
      </x:c>
      <x:c r="J191" s="32" t="str">
        <x:v>基础信号未定；真合化后原信号已失效；只有单一弱远争议信号；或该结论会越界到M4风险、M5适配。</x:v>
      </x:c>
      <x:c r="K191" s="32" t="str">
        <x:v>由共享基础引擎与M3-STATE修正；日主承载、印比支持只修正自主与执行，不直接等于有无边界。</x:v>
      </x:c>
      <x:c r="L191" s="32" t="str">
        <x:v>不限定；夫妻星仅在入宫或形成角色、责任边界时参与接口，不作为BOUND唯一主轴。</x:v>
      </x:c>
      <x:c r="M191" s="32" t="str">
        <x:v>由M3-BASE、日支主气及宫位动态提供。</x:v>
      </x:c>
      <x:c r="N191" s="32" t="str">
        <x:v>无／待BOUND路径规则组合</x:v>
      </x:c>
      <x:c r="O191" s="32" t="str">
        <x:v>日柱与日支近位优先；全局有效独立信号可作次通道。</x:v>
      </x:c>
      <x:c r="P191" s="32" t="str">
        <x:v>由共享基础引擎判定</x:v>
      </x:c>
      <x:c r="Q191" s="32" t="str">
        <x:v>由共享基础引擎判定</x:v>
      </x:c>
      <x:c r="R191" s="32" t="str">
        <x:v>喜忌不直接等于边界好坏；只修正调用顺畅度、资源压力和状态切换。</x:v>
      </x:c>
      <x:c r="S191" s="32" t="str">
        <x:v>原十神性质有效；真合化成立时按化神所属功能系统重建。</x:v>
      </x:c>
      <x:c r="T191" s="32" t="str">
        <x:v>由共享基础引擎判定</x:v>
      </x:c>
      <x:c r="U191" s="32" t="str">
        <x:v>97</x:v>
      </x:c>
      <x:c r="V191" s="32" t="str">
        <x:v>不加分；边界检查</x:v>
      </x:c>
      <x:c r="W191" s="32" t="str">
        <x:v>boundary_note</x:v>
      </x:c>
      <x:c r="X191" s="32" t="str">
        <x:v>不得由日支冲直接推出争吵、分离、异地、婚变或无法稳定。</x:v>
      </x:c>
      <x:c r="Y191" s="32" t="str">
        <x:v>这里仅把宫位动态作为边界节奏修正，不把它直接写成感情结果。</x:v>
      </x:c>
      <x:c r="Z191" s="32" t="str">
        <x:v>不得由日支冲直接推出争吵、分离、异地、婚变或无法稳定。</x:v>
      </x:c>
      <x:c r="AA191" s="32" t="str">
        <x:v>高</x:v>
      </x:c>
      <x:c r="AB191" s="32" t="str">
        <x:v>待验证</x:v>
      </x:c>
      <x:c r="AC191" s="32" t="str"/>
      <x:c r="AD191" s="32" t="str">
        <x:v>provisional=true; rule_group=PALACE_冲_BAN</x:v>
      </x:c>
      <x:c r="AE191" s="32" t="str">
        <x:v>0.5</x:v>
      </x:c>
    </x:row>
    <x:row r="192">
      <x:c r="A192" s="32" t="str">
        <x:v>M3-BOUND-188</x:v>
      </x:c>
      <x:c r="B192" s="32" t="str">
        <x:v>日支冲｜停止／改道路由</x:v>
      </x:c>
      <x:c r="C192" s="32" t="str">
        <x:v>L4 宫位动态</x:v>
      </x:c>
      <x:c r="D192" s="32" t="str">
        <x:v>BOUND-合冲刑害破</x:v>
      </x:c>
      <x:c r="E192" s="32" t="str">
        <x:v>通用</x:v>
      </x:c>
      <x:c r="F192" s="32" t="str">
        <x:v>停止／路由</x:v>
      </x:c>
      <x:c r="G192" s="32" t="str">
        <x:v>日支冲</x:v>
      </x:c>
      <x:c r="H192" s="32" t="str"/>
      <x:c r="I192" s="32" t="str">
        <x:v>日支冲的成立、合化或阶段属性需要裁定。</x:v>
      </x:c>
      <x:c r="J192" s="32" t="str">
        <x:v>基础信号未定；真合化后原信号已失效；只有单一弱远争议信号；或该结论会越界到M4风险、M5适配。</x:v>
      </x:c>
      <x:c r="K192" s="32" t="str">
        <x:v>由共享基础引擎与M3-STATE修正；日主承载、印比支持只修正自主与执行，不直接等于有无边界。</x:v>
      </x:c>
      <x:c r="L192" s="32" t="str">
        <x:v>不限定；夫妻星仅在入宫或形成角色、责任边界时参与接口，不作为BOUND唯一主轴。</x:v>
      </x:c>
      <x:c r="M192" s="32" t="str">
        <x:v>由M3-BASE、日支主气及宫位动态提供。</x:v>
      </x:c>
      <x:c r="N192" s="32" t="str">
        <x:v>无／待BOUND路径规则组合</x:v>
      </x:c>
      <x:c r="O192" s="32" t="str">
        <x:v>日柱与日支近位优先；全局有效独立信号可作次通道。</x:v>
      </x:c>
      <x:c r="P192" s="32" t="str">
        <x:v>由共享基础引擎判定</x:v>
      </x:c>
      <x:c r="Q192" s="32" t="str">
        <x:v>由共享基础引擎判定</x:v>
      </x:c>
      <x:c r="R192" s="32" t="str">
        <x:v>喜忌不直接等于边界好坏；只修正调用顺畅度、资源压力和状态切换。</x:v>
      </x:c>
      <x:c r="S192" s="32" t="str">
        <x:v>原十神性质有效；真合化成立时按化神所属功能系统重建。</x:v>
      </x:c>
      <x:c r="T192" s="32" t="str">
        <x:v>由共享基础引擎判定</x:v>
      </x:c>
      <x:c r="U192" s="32" t="str">
        <x:v>98</x:v>
      </x:c>
      <x:c r="V192" s="32" t="str">
        <x:v>停止／替换／降置信</x:v>
      </x:c>
      <x:c r="W192" s="32" t="str">
        <x:v>report_status</x:v>
      </x:c>
      <x:c r="X192" s="32" t="str">
        <x:v>仅有冲而无表达、行动或现实变化证据时，只能写成调整候选。</x:v>
      </x:c>
      <x:c r="Y192" s="32" t="str">
        <x:v>仅有冲而无表达、行动或现实变化证据时，只能写成调整候选。</x:v>
      </x:c>
      <x:c r="Z192" s="32" t="str">
        <x:v>不得由本规则直接推出回避亲密、依赖失控、控制欲、冷漠、自私、关系破裂、分手离婚、人格或依恋类型；不得把某种边界方式等同于爱得更多或更少。</x:v>
      </x:c>
      <x:c r="AA192" s="32" t="str">
        <x:v>高</x:v>
      </x:c>
      <x:c r="AB192" s="32" t="str">
        <x:v>待验证</x:v>
      </x:c>
      <x:c r="AC192" s="32" t="str"/>
      <x:c r="AD192" s="32" t="str">
        <x:v>provisional=true; rule_group=PALACE_冲_STOP</x:v>
      </x:c>
      <x:c r="AE192" s="32" t="str">
        <x:v>0.5</x:v>
      </x:c>
    </x:row>
    <x:row r="193">
      <x:c r="A193" s="32" t="str">
        <x:v>M3-BOUND-189</x:v>
      </x:c>
      <x:c r="B193" s="32" t="str">
        <x:v>日支刑｜BOUND基础节奏</x:v>
      </x:c>
      <x:c r="C193" s="32" t="str">
        <x:v>L4 宫位动态</x:v>
      </x:c>
      <x:c r="D193" s="32" t="str">
        <x:v>BOUND-合冲刑害破</x:v>
      </x:c>
      <x:c r="E193" s="32" t="str">
        <x:v>通用</x:v>
      </x:c>
      <x:c r="F193" s="32" t="str">
        <x:v>宫位动态</x:v>
      </x:c>
      <x:c r="G193" s="32" t="str">
        <x:v>日支刑</x:v>
      </x:c>
      <x:c r="H193" s="32" t="str"/>
      <x:c r="I193" s="32" t="str">
        <x:v>日支刑成立，作用对象与基础结构明确。</x:v>
      </x:c>
      <x:c r="J193" s="32" t="str">
        <x:v>基础信号未定；真合化后原信号已失效；只有单一弱远争议信号；或该结论会越界到M4风险、M5适配。</x:v>
      </x:c>
      <x:c r="K193" s="32" t="str">
        <x:v>由共享基础引擎与M3-STATE修正；日主承载、印比支持只修正自主与执行，不直接等于有无边界。</x:v>
      </x:c>
      <x:c r="L193" s="32" t="str">
        <x:v>不限定；夫妻星仅在入宫或形成角色、责任边界时参与接口，不作为BOUND唯一主轴。</x:v>
      </x:c>
      <x:c r="M193" s="32" t="str">
        <x:v>由M3-BASE、日支主气及宫位动态提供。</x:v>
      </x:c>
      <x:c r="N193" s="32" t="str">
        <x:v>无／待BOUND路径规则组合</x:v>
      </x:c>
      <x:c r="O193" s="32" t="str">
        <x:v>日柱与日支近位优先；全局有效独立信号可作次通道。</x:v>
      </x:c>
      <x:c r="P193" s="32" t="str">
        <x:v>由共享基础引擎判定</x:v>
      </x:c>
      <x:c r="Q193" s="32" t="str">
        <x:v>由共享基础引擎判定</x:v>
      </x:c>
      <x:c r="R193" s="32" t="str">
        <x:v>喜忌不直接等于边界好坏；只修正调用顺畅度、资源压力和状态切换。</x:v>
      </x:c>
      <x:c r="S193" s="32" t="str">
        <x:v>原十神性质有效；真合化成立时按化神所属功能系统重建。</x:v>
      </x:c>
      <x:c r="T193" s="32" t="str">
        <x:v>由共享基础引擎判定</x:v>
      </x:c>
      <x:c r="U193" s="32" t="str">
        <x:v>80</x:v>
      </x:c>
      <x:c r="V193" s="32" t="str">
        <x:v>节奏修正 +4</x:v>
      </x:c>
      <x:c r="W193" s="32" t="str">
        <x:v>state_shift</x:v>
      </x:c>
      <x:c r="X193" s="32" t="str">
        <x:v>关系边界更容易通过反复校正、细节确认和多轮处理逐渐稳定。</x:v>
      </x:c>
      <x:c r="Y193" s="32" t="str">
        <x:v>关系边界更容易通过反复校正、细节确认和多轮处理逐渐稳定。</x:v>
      </x:c>
      <x:c r="Z193" s="32" t="str">
        <x:v>不得由本规则直接推出回避亲密、依赖失控、控制欲、冷漠、自私、关系破裂、分手离婚、人格或依恋类型；不得把某种边界方式等同于爱得更多或更少。</x:v>
      </x:c>
      <x:c r="AA193" s="32" t="str">
        <x:v>中</x:v>
      </x:c>
      <x:c r="AB193" s="32" t="str">
        <x:v>待验证</x:v>
      </x:c>
      <x:c r="AC193" s="32" t="str"/>
      <x:c r="AD193" s="32" t="str">
        <x:v>provisional=true; rule_group=PALACE_刑_BASE</x:v>
      </x:c>
      <x:c r="AE193" s="32" t="str">
        <x:v>0.5</x:v>
      </x:c>
    </x:row>
    <x:row r="194">
      <x:c r="A194" s="32" t="str">
        <x:v>M3-BOUND-190</x:v>
      </x:c>
      <x:c r="B194" s="32" t="str">
        <x:v>日支刑｜靠近与空间修正</x:v>
      </x:c>
      <x:c r="C194" s="32" t="str">
        <x:v>L4 宫位动态</x:v>
      </x:c>
      <x:c r="D194" s="32" t="str">
        <x:v>BOUND-合冲刑害破</x:v>
      </x:c>
      <x:c r="E194" s="32" t="str">
        <x:v>通用</x:v>
      </x:c>
      <x:c r="F194" s="32" t="str">
        <x:v>距离修正</x:v>
      </x:c>
      <x:c r="G194" s="32" t="str">
        <x:v>日支刑</x:v>
      </x:c>
      <x:c r="H194" s="32" t="str"/>
      <x:c r="I194" s="32" t="str">
        <x:v>日支刑成立，且至少有一个有效BOUND通道。</x:v>
      </x:c>
      <x:c r="J194" s="32" t="str">
        <x:v>基础信号未定；真合化后原信号已失效；只有单一弱远争议信号；或该结论会越界到M4风险、M5适配。</x:v>
      </x:c>
      <x:c r="K194" s="32" t="str">
        <x:v>由共享基础引擎与M3-STATE修正；日主承载、印比支持只修正自主与执行，不直接等于有无边界。</x:v>
      </x:c>
      <x:c r="L194" s="32" t="str">
        <x:v>不限定；夫妻星仅在入宫或形成角色、责任边界时参与接口，不作为BOUND唯一主轴。</x:v>
      </x:c>
      <x:c r="M194" s="32" t="str">
        <x:v>由M3-BASE、日支主气及宫位动态提供。</x:v>
      </x:c>
      <x:c r="N194" s="32" t="str">
        <x:v>无／待BOUND路径规则组合</x:v>
      </x:c>
      <x:c r="O194" s="32" t="str">
        <x:v>日柱与日支近位优先；全局有效独立信号可作次通道。</x:v>
      </x:c>
      <x:c r="P194" s="32" t="str">
        <x:v>由共享基础引擎判定</x:v>
      </x:c>
      <x:c r="Q194" s="32" t="str">
        <x:v>由共享基础引擎判定</x:v>
      </x:c>
      <x:c r="R194" s="32" t="str">
        <x:v>喜忌不直接等于边界好坏；只修正调用顺畅度、资源压力和状态切换。</x:v>
      </x:c>
      <x:c r="S194" s="32" t="str">
        <x:v>原十神性质有效；真合化成立时按化神所属功能系统重建。</x:v>
      </x:c>
      <x:c r="T194" s="32" t="str">
        <x:v>由共享基础引擎判定</x:v>
      </x:c>
      <x:c r="U194" s="32" t="str">
        <x:v>71</x:v>
      </x:c>
      <x:c r="V194" s="32" t="str">
        <x:v>距离修正 +3</x:v>
      </x:c>
      <x:c r="W194" s="32" t="str">
        <x:v>closeness_rhythm</x:v>
      </x:c>
      <x:c r="X194" s="32" t="str">
        <x:v>刑可能提高对细节、重复和边界一致性的敏感度，不等于长期痛苦。</x:v>
      </x:c>
      <x:c r="Y194" s="32" t="str">
        <x:v>刑可能提高对细节、重复和边界一致性的敏感度，不等于长期痛苦。</x:v>
      </x:c>
      <x:c r="Z194" s="32" t="str">
        <x:v>不得由本规则直接推出回避亲密、依赖失控、控制欲、冷漠、自私、关系破裂、分手离婚、人格或依恋类型；不得把某种边界方式等同于爱得更多或更少。</x:v>
      </x:c>
      <x:c r="AA194" s="32" t="str">
        <x:v>中</x:v>
      </x:c>
      <x:c r="AB194" s="32" t="str">
        <x:v>待验证</x:v>
      </x:c>
      <x:c r="AC194" s="32" t="str"/>
      <x:c r="AD194" s="32" t="str">
        <x:v>provisional=true; rule_group=PALACE_刑_CLOSE</x:v>
      </x:c>
      <x:c r="AE194" s="32" t="str">
        <x:v>0.5</x:v>
      </x:c>
    </x:row>
    <x:row r="195">
      <x:c r="A195" s="32" t="str">
        <x:v>M3-BOUND-191</x:v>
      </x:c>
      <x:c r="B195" s="32" t="str">
        <x:v>日支刑｜重新协商提示</x:v>
      </x:c>
      <x:c r="C195" s="32" t="str">
        <x:v>L4 宫位动态</x:v>
      </x:c>
      <x:c r="D195" s="32" t="str">
        <x:v>BOUND-合冲刑害破</x:v>
      </x:c>
      <x:c r="E195" s="32" t="str">
        <x:v>通用</x:v>
      </x:c>
      <x:c r="F195" s="32" t="str">
        <x:v>重订修正</x:v>
      </x:c>
      <x:c r="G195" s="32" t="str">
        <x:v>日支刑</x:v>
      </x:c>
      <x:c r="H195" s="32" t="str"/>
      <x:c r="I195" s="32" t="str">
        <x:v>日支刑成立，并有表达、行动、角色或现实边界证据。</x:v>
      </x:c>
      <x:c r="J195" s="32" t="str">
        <x:v>基础信号未定；真合化后原信号已失效；只有单一弱远争议信号；或该结论会越界到M4风险、M5适配。</x:v>
      </x:c>
      <x:c r="K195" s="32" t="str">
        <x:v>由共享基础引擎与M3-STATE修正；日主承载、印比支持只修正自主与执行，不直接等于有无边界。</x:v>
      </x:c>
      <x:c r="L195" s="32" t="str">
        <x:v>不限定；夫妻星仅在入宫或形成角色、责任边界时参与接口，不作为BOUND唯一主轴。</x:v>
      </x:c>
      <x:c r="M195" s="32" t="str">
        <x:v>由M3-BASE、日支主气及宫位动态提供。</x:v>
      </x:c>
      <x:c r="N195" s="32" t="str">
        <x:v>无／待BOUND路径规则组合</x:v>
      </x:c>
      <x:c r="O195" s="32" t="str">
        <x:v>日柱与日支近位优先；全局有效独立信号可作次通道。</x:v>
      </x:c>
      <x:c r="P195" s="32" t="str">
        <x:v>由共享基础引擎判定</x:v>
      </x:c>
      <x:c r="Q195" s="32" t="str">
        <x:v>由共享基础引擎判定</x:v>
      </x:c>
      <x:c r="R195" s="32" t="str">
        <x:v>喜忌不直接等于边界好坏；只修正调用顺畅度、资源压力和状态切换。</x:v>
      </x:c>
      <x:c r="S195" s="32" t="str">
        <x:v>原十神性质有效；真合化成立时按化神所属功能系统重建。</x:v>
      </x:c>
      <x:c r="T195" s="32" t="str">
        <x:v>由共享基础引擎判定</x:v>
      </x:c>
      <x:c r="U195" s="32" t="str">
        <x:v>72</x:v>
      </x:c>
      <x:c r="V195" s="32" t="str">
        <x:v>重订候选 +4</x:v>
      </x:c>
      <x:c r="W195" s="32" t="str">
        <x:v>renegotiation_style</x:v>
      </x:c>
      <x:c r="X195" s="32" t="str">
        <x:v>适合把模糊处拆开、多轮确认，而不是假定一次谈清就永不变化。</x:v>
      </x:c>
      <x:c r="Y195" s="32" t="str">
        <x:v>适合把模糊处拆开、多轮确认，而不是假定一次谈清就永不变化。</x:v>
      </x:c>
      <x:c r="Z195" s="32" t="str">
        <x:v>不得由本规则直接推出回避亲密、依赖失控、控制欲、冷漠、自私、关系破裂、分手离婚、人格或依恋类型；不得把某种边界方式等同于爱得更多或更少。</x:v>
      </x:c>
      <x:c r="AA195" s="32" t="str">
        <x:v>中</x:v>
      </x:c>
      <x:c r="AB195" s="32" t="str">
        <x:v>待验证</x:v>
      </x:c>
      <x:c r="AC195" s="32" t="str"/>
      <x:c r="AD195" s="32" t="str">
        <x:v>provisional=true; rule_group=PALACE_刑_RENEG</x:v>
      </x:c>
      <x:c r="AE195" s="32" t="str">
        <x:v>0.5</x:v>
      </x:c>
    </x:row>
    <x:row r="196">
      <x:c r="A196" s="32" t="str">
        <x:v>M3-BOUND-192</x:v>
      </x:c>
      <x:c r="B196" s="32" t="str">
        <x:v>日支刑｜禁止结果化解释</x:v>
      </x:c>
      <x:c r="C196" s="32" t="str">
        <x:v>L4 宫位动态</x:v>
      </x:c>
      <x:c r="D196" s="32" t="str">
        <x:v>BOUND-合冲刑害破</x:v>
      </x:c>
      <x:c r="E196" s="32" t="str">
        <x:v>通用</x:v>
      </x:c>
      <x:c r="F196" s="32" t="str">
        <x:v>禁止推断</x:v>
      </x:c>
      <x:c r="G196" s="32" t="str">
        <x:v>日支刑</x:v>
      </x:c>
      <x:c r="H196" s="32" t="str"/>
      <x:c r="I196" s="32" t="str">
        <x:v>日支刑成立。</x:v>
      </x:c>
      <x:c r="J196" s="32" t="str">
        <x:v>基础信号未定；真合化后原信号已失效；只有单一弱远争议信号；或该结论会越界到M4风险、M5适配。</x:v>
      </x:c>
      <x:c r="K196" s="32" t="str">
        <x:v>由共享基础引擎与M3-STATE修正；日主承载、印比支持只修正自主与执行，不直接等于有无边界。</x:v>
      </x:c>
      <x:c r="L196" s="32" t="str">
        <x:v>不限定；夫妻星仅在入宫或形成角色、责任边界时参与接口，不作为BOUND唯一主轴。</x:v>
      </x:c>
      <x:c r="M196" s="32" t="str">
        <x:v>由M3-BASE、日支主气及宫位动态提供。</x:v>
      </x:c>
      <x:c r="N196" s="32" t="str">
        <x:v>无／待BOUND路径规则组合</x:v>
      </x:c>
      <x:c r="O196" s="32" t="str">
        <x:v>日柱与日支近位优先；全局有效独立信号可作次通道。</x:v>
      </x:c>
      <x:c r="P196" s="32" t="str">
        <x:v>由共享基础引擎判定</x:v>
      </x:c>
      <x:c r="Q196" s="32" t="str">
        <x:v>由共享基础引擎判定</x:v>
      </x:c>
      <x:c r="R196" s="32" t="str">
        <x:v>喜忌不直接等于边界好坏；只修正调用顺畅度、资源压力和状态切换。</x:v>
      </x:c>
      <x:c r="S196" s="32" t="str">
        <x:v>原十神性质有效；真合化成立时按化神所属功能系统重建。</x:v>
      </x:c>
      <x:c r="T196" s="32" t="str">
        <x:v>由共享基础引擎判定</x:v>
      </x:c>
      <x:c r="U196" s="32" t="str">
        <x:v>97</x:v>
      </x:c>
      <x:c r="V196" s="32" t="str">
        <x:v>不加分；边界检查</x:v>
      </x:c>
      <x:c r="W196" s="32" t="str">
        <x:v>boundary_note</x:v>
      </x:c>
      <x:c r="X196" s="32" t="str">
        <x:v>不得由日支刑直接推出折磨、冷战、互害、婚姻不幸或人格问题。</x:v>
      </x:c>
      <x:c r="Y196" s="32" t="str">
        <x:v>这里仅把宫位动态作为边界节奏修正，不把它直接写成感情结果。</x:v>
      </x:c>
      <x:c r="Z196" s="32" t="str">
        <x:v>不得由日支刑直接推出折磨、冷战、互害、婚姻不幸或人格问题。</x:v>
      </x:c>
      <x:c r="AA196" s="32" t="str">
        <x:v>高</x:v>
      </x:c>
      <x:c r="AB196" s="32" t="str">
        <x:v>待验证</x:v>
      </x:c>
      <x:c r="AC196" s="32" t="str"/>
      <x:c r="AD196" s="32" t="str">
        <x:v>provisional=true; rule_group=PALACE_刑_BAN</x:v>
      </x:c>
      <x:c r="AE196" s="32" t="str">
        <x:v>0.5</x:v>
      </x:c>
    </x:row>
    <x:row r="197">
      <x:c r="A197" s="32" t="str">
        <x:v>M3-BOUND-193</x:v>
      </x:c>
      <x:c r="B197" s="32" t="str">
        <x:v>日支刑｜停止／改道路由</x:v>
      </x:c>
      <x:c r="C197" s="32" t="str">
        <x:v>L4 宫位动态</x:v>
      </x:c>
      <x:c r="D197" s="32" t="str">
        <x:v>BOUND-合冲刑害破</x:v>
      </x:c>
      <x:c r="E197" s="32" t="str">
        <x:v>通用</x:v>
      </x:c>
      <x:c r="F197" s="32" t="str">
        <x:v>停止／路由</x:v>
      </x:c>
      <x:c r="G197" s="32" t="str">
        <x:v>日支刑</x:v>
      </x:c>
      <x:c r="H197" s="32" t="str"/>
      <x:c r="I197" s="32" t="str">
        <x:v>日支刑的成立、合化或阶段属性需要裁定。</x:v>
      </x:c>
      <x:c r="J197" s="32" t="str">
        <x:v>基础信号未定；真合化后原信号已失效；只有单一弱远争议信号；或该结论会越界到M4风险、M5适配。</x:v>
      </x:c>
      <x:c r="K197" s="32" t="str">
        <x:v>由共享基础引擎与M3-STATE修正；日主承载、印比支持只修正自主与执行，不直接等于有无边界。</x:v>
      </x:c>
      <x:c r="L197" s="32" t="str">
        <x:v>不限定；夫妻星仅在入宫或形成角色、责任边界时参与接口，不作为BOUND唯一主轴。</x:v>
      </x:c>
      <x:c r="M197" s="32" t="str">
        <x:v>由M3-BASE、日支主气及宫位动态提供。</x:v>
      </x:c>
      <x:c r="N197" s="32" t="str">
        <x:v>无／待BOUND路径规则组合</x:v>
      </x:c>
      <x:c r="O197" s="32" t="str">
        <x:v>日柱与日支近位优先；全局有效独立信号可作次通道。</x:v>
      </x:c>
      <x:c r="P197" s="32" t="str">
        <x:v>由共享基础引擎判定</x:v>
      </x:c>
      <x:c r="Q197" s="32" t="str">
        <x:v>由共享基础引擎判定</x:v>
      </x:c>
      <x:c r="R197" s="32" t="str">
        <x:v>喜忌不直接等于边界好坏；只修正调用顺畅度、资源压力和状态切换。</x:v>
      </x:c>
      <x:c r="S197" s="32" t="str">
        <x:v>原十神性质有效；真合化成立时按化神所属功能系统重建。</x:v>
      </x:c>
      <x:c r="T197" s="32" t="str">
        <x:v>由共享基础引擎判定</x:v>
      </x:c>
      <x:c r="U197" s="32" t="str">
        <x:v>98</x:v>
      </x:c>
      <x:c r="V197" s="32" t="str">
        <x:v>停止／替换／降置信</x:v>
      </x:c>
      <x:c r="W197" s="32" t="str">
        <x:v>report_status</x:v>
      </x:c>
      <x:c r="X197" s="32" t="str">
        <x:v>若刑的具体成立、力量或作用对象存在争议，应降低置信度或停止细化。</x:v>
      </x:c>
      <x:c r="Y197" s="32" t="str">
        <x:v>若刑的具体成立、力量或作用对象存在争议，应降低置信度或停止细化。</x:v>
      </x:c>
      <x:c r="Z197" s="32" t="str">
        <x:v>不得由本规则直接推出回避亲密、依赖失控、控制欲、冷漠、自私、关系破裂、分手离婚、人格或依恋类型；不得把某种边界方式等同于爱得更多或更少。</x:v>
      </x:c>
      <x:c r="AA197" s="32" t="str">
        <x:v>高</x:v>
      </x:c>
      <x:c r="AB197" s="32" t="str">
        <x:v>待验证</x:v>
      </x:c>
      <x:c r="AC197" s="32" t="str"/>
      <x:c r="AD197" s="32" t="str">
        <x:v>provisional=true; rule_group=PALACE_刑_STOP</x:v>
      </x:c>
      <x:c r="AE197" s="32" t="str">
        <x:v>0.5</x:v>
      </x:c>
    </x:row>
    <x:row r="198">
      <x:c r="A198" s="32" t="str">
        <x:v>M3-BOUND-194</x:v>
      </x:c>
      <x:c r="B198" s="32" t="str">
        <x:v>日支害｜BOUND基础节奏</x:v>
      </x:c>
      <x:c r="C198" s="32" t="str">
        <x:v>L4 宫位动态</x:v>
      </x:c>
      <x:c r="D198" s="32" t="str">
        <x:v>BOUND-合冲刑害破</x:v>
      </x:c>
      <x:c r="E198" s="32" t="str">
        <x:v>通用</x:v>
      </x:c>
      <x:c r="F198" s="32" t="str">
        <x:v>宫位动态</x:v>
      </x:c>
      <x:c r="G198" s="32" t="str">
        <x:v>日支害</x:v>
      </x:c>
      <x:c r="H198" s="32" t="str"/>
      <x:c r="I198" s="32" t="str">
        <x:v>日支害成立，作用对象与基础结构明确。</x:v>
      </x:c>
      <x:c r="J198" s="32" t="str">
        <x:v>基础信号未定；真合化后原信号已失效；只有单一弱远争议信号；或该结论会越界到M4风险、M5适配。</x:v>
      </x:c>
      <x:c r="K198" s="32" t="str">
        <x:v>由共享基础引擎与M3-STATE修正；日主承载、印比支持只修正自主与执行，不直接等于有无边界。</x:v>
      </x:c>
      <x:c r="L198" s="32" t="str">
        <x:v>不限定；夫妻星仅在入宫或形成角色、责任边界时参与接口，不作为BOUND唯一主轴。</x:v>
      </x:c>
      <x:c r="M198" s="32" t="str">
        <x:v>由M3-BASE、日支主气及宫位动态提供。</x:v>
      </x:c>
      <x:c r="N198" s="32" t="str">
        <x:v>无／待BOUND路径规则组合</x:v>
      </x:c>
      <x:c r="O198" s="32" t="str">
        <x:v>日柱与日支近位优先；全局有效独立信号可作次通道。</x:v>
      </x:c>
      <x:c r="P198" s="32" t="str">
        <x:v>由共享基础引擎判定</x:v>
      </x:c>
      <x:c r="Q198" s="32" t="str">
        <x:v>由共享基础引擎判定</x:v>
      </x:c>
      <x:c r="R198" s="32" t="str">
        <x:v>喜忌不直接等于边界好坏；只修正调用顺畅度、资源压力和状态切换。</x:v>
      </x:c>
      <x:c r="S198" s="32" t="str">
        <x:v>原十神性质有效；真合化成立时按化神所属功能系统重建。</x:v>
      </x:c>
      <x:c r="T198" s="32" t="str">
        <x:v>由共享基础引擎判定</x:v>
      </x:c>
      <x:c r="U198" s="32" t="str">
        <x:v>80</x:v>
      </x:c>
      <x:c r="V198" s="32" t="str">
        <x:v>节奏修正 +4</x:v>
      </x:c>
      <x:c r="W198" s="32" t="str">
        <x:v>state_shift</x:v>
      </x:c>
      <x:c r="X198" s="32" t="str">
        <x:v>关系中可能存在间接错位、未被说清的期待或对同一行为的不同理解。</x:v>
      </x:c>
      <x:c r="Y198" s="32" t="str">
        <x:v>关系中可能存在间接错位、未被说清的期待或对同一行为的不同理解。</x:v>
      </x:c>
      <x:c r="Z198" s="32" t="str">
        <x:v>不得由本规则直接推出回避亲密、依赖失控、控制欲、冷漠、自私、关系破裂、分手离婚、人格或依恋类型；不得把某种边界方式等同于爱得更多或更少。</x:v>
      </x:c>
      <x:c r="AA198" s="32" t="str">
        <x:v>中</x:v>
      </x:c>
      <x:c r="AB198" s="32" t="str">
        <x:v>待验证</x:v>
      </x:c>
      <x:c r="AC198" s="32" t="str"/>
      <x:c r="AD198" s="32" t="str">
        <x:v>provisional=true; rule_group=PALACE_害_BASE</x:v>
      </x:c>
      <x:c r="AE198" s="32" t="str">
        <x:v>0.5</x:v>
      </x:c>
    </x:row>
    <x:row r="199">
      <x:c r="A199" s="32" t="str">
        <x:v>M3-BOUND-195</x:v>
      </x:c>
      <x:c r="B199" s="32" t="str">
        <x:v>日支害｜靠近与空间修正</x:v>
      </x:c>
      <x:c r="C199" s="32" t="str">
        <x:v>L4 宫位动态</x:v>
      </x:c>
      <x:c r="D199" s="32" t="str">
        <x:v>BOUND-合冲刑害破</x:v>
      </x:c>
      <x:c r="E199" s="32" t="str">
        <x:v>通用</x:v>
      </x:c>
      <x:c r="F199" s="32" t="str">
        <x:v>距离修正</x:v>
      </x:c>
      <x:c r="G199" s="32" t="str">
        <x:v>日支害</x:v>
      </x:c>
      <x:c r="H199" s="32" t="str"/>
      <x:c r="I199" s="32" t="str">
        <x:v>日支害成立，且至少有一个有效BOUND通道。</x:v>
      </x:c>
      <x:c r="J199" s="32" t="str">
        <x:v>基础信号未定；真合化后原信号已失效；只有单一弱远争议信号；或该结论会越界到M4风险、M5适配。</x:v>
      </x:c>
      <x:c r="K199" s="32" t="str">
        <x:v>由共享基础引擎与M3-STATE修正；日主承载、印比支持只修正自主与执行，不直接等于有无边界。</x:v>
      </x:c>
      <x:c r="L199" s="32" t="str">
        <x:v>不限定；夫妻星仅在入宫或形成角色、责任边界时参与接口，不作为BOUND唯一主轴。</x:v>
      </x:c>
      <x:c r="M199" s="32" t="str">
        <x:v>由M3-BASE、日支主气及宫位动态提供。</x:v>
      </x:c>
      <x:c r="N199" s="32" t="str">
        <x:v>无／待BOUND路径规则组合</x:v>
      </x:c>
      <x:c r="O199" s="32" t="str">
        <x:v>日柱与日支近位优先；全局有效独立信号可作次通道。</x:v>
      </x:c>
      <x:c r="P199" s="32" t="str">
        <x:v>由共享基础引擎判定</x:v>
      </x:c>
      <x:c r="Q199" s="32" t="str">
        <x:v>由共享基础引擎判定</x:v>
      </x:c>
      <x:c r="R199" s="32" t="str">
        <x:v>喜忌不直接等于边界好坏；只修正调用顺畅度、资源压力和状态切换。</x:v>
      </x:c>
      <x:c r="S199" s="32" t="str">
        <x:v>原十神性质有效；真合化成立时按化神所属功能系统重建。</x:v>
      </x:c>
      <x:c r="T199" s="32" t="str">
        <x:v>由共享基础引擎判定</x:v>
      </x:c>
      <x:c r="U199" s="32" t="str">
        <x:v>71</x:v>
      </x:c>
      <x:c r="V199" s="32" t="str">
        <x:v>距离修正 +3</x:v>
      </x:c>
      <x:c r="W199" s="32" t="str">
        <x:v>closeness_rhythm</x:v>
      </x:c>
      <x:c r="X199" s="32" t="str">
        <x:v>害提示靠近时需要更多确认，不等于背叛、暗伤或有人故意伤害。</x:v>
      </x:c>
      <x:c r="Y199" s="32" t="str">
        <x:v>害提示靠近时需要更多确认，不等于背叛、暗伤或有人故意伤害。</x:v>
      </x:c>
      <x:c r="Z199" s="32" t="str">
        <x:v>不得由本规则直接推出回避亲密、依赖失控、控制欲、冷漠、自私、关系破裂、分手离婚、人格或依恋类型；不得把某种边界方式等同于爱得更多或更少。</x:v>
      </x:c>
      <x:c r="AA199" s="32" t="str">
        <x:v>中</x:v>
      </x:c>
      <x:c r="AB199" s="32" t="str">
        <x:v>待验证</x:v>
      </x:c>
      <x:c r="AC199" s="32" t="str"/>
      <x:c r="AD199" s="32" t="str">
        <x:v>provisional=true; rule_group=PALACE_害_CLOSE</x:v>
      </x:c>
      <x:c r="AE199" s="32" t="str">
        <x:v>0.5</x:v>
      </x:c>
    </x:row>
    <x:row r="200">
      <x:c r="A200" s="32" t="str">
        <x:v>M3-BOUND-196</x:v>
      </x:c>
      <x:c r="B200" s="32" t="str">
        <x:v>日支害｜重新协商提示</x:v>
      </x:c>
      <x:c r="C200" s="32" t="str">
        <x:v>L4 宫位动态</x:v>
      </x:c>
      <x:c r="D200" s="32" t="str">
        <x:v>BOUND-合冲刑害破</x:v>
      </x:c>
      <x:c r="E200" s="32" t="str">
        <x:v>通用</x:v>
      </x:c>
      <x:c r="F200" s="32" t="str">
        <x:v>重订修正</x:v>
      </x:c>
      <x:c r="G200" s="32" t="str">
        <x:v>日支害</x:v>
      </x:c>
      <x:c r="H200" s="32" t="str"/>
      <x:c r="I200" s="32" t="str">
        <x:v>日支害成立，并有表达、行动、角色或现实边界证据。</x:v>
      </x:c>
      <x:c r="J200" s="32" t="str">
        <x:v>基础信号未定；真合化后原信号已失效；只有单一弱远争议信号；或该结论会越界到M4风险、M5适配。</x:v>
      </x:c>
      <x:c r="K200" s="32" t="str">
        <x:v>由共享基础引擎与M3-STATE修正；日主承载、印比支持只修正自主与执行，不直接等于有无边界。</x:v>
      </x:c>
      <x:c r="L200" s="32" t="str">
        <x:v>不限定；夫妻星仅在入宫或形成角色、责任边界时参与接口，不作为BOUND唯一主轴。</x:v>
      </x:c>
      <x:c r="M200" s="32" t="str">
        <x:v>由M3-BASE、日支主气及宫位动态提供。</x:v>
      </x:c>
      <x:c r="N200" s="32" t="str">
        <x:v>无／待BOUND路径规则组合</x:v>
      </x:c>
      <x:c r="O200" s="32" t="str">
        <x:v>日柱与日支近位优先；全局有效独立信号可作次通道。</x:v>
      </x:c>
      <x:c r="P200" s="32" t="str">
        <x:v>由共享基础引擎判定</x:v>
      </x:c>
      <x:c r="Q200" s="32" t="str">
        <x:v>由共享基础引擎判定</x:v>
      </x:c>
      <x:c r="R200" s="32" t="str">
        <x:v>喜忌不直接等于边界好坏；只修正调用顺畅度、资源压力和状态切换。</x:v>
      </x:c>
      <x:c r="S200" s="32" t="str">
        <x:v>原十神性质有效；真合化成立时按化神所属功能系统重建。</x:v>
      </x:c>
      <x:c r="T200" s="32" t="str">
        <x:v>由共享基础引擎判定</x:v>
      </x:c>
      <x:c r="U200" s="32" t="str">
        <x:v>72</x:v>
      </x:c>
      <x:c r="V200" s="32" t="str">
        <x:v>重订候选 +4</x:v>
      </x:c>
      <x:c r="W200" s="32" t="str">
        <x:v>renegotiation_style</x:v>
      </x:c>
      <x:c r="X200" s="32" t="str">
        <x:v>边界重订应优先把隐性期待、默认规则和感受差异说清楚。</x:v>
      </x:c>
      <x:c r="Y200" s="32" t="str">
        <x:v>边界重订应优先把隐性期待、默认规则和感受差异说清楚。</x:v>
      </x:c>
      <x:c r="Z200" s="32" t="str">
        <x:v>不得由本规则直接推出回避亲密、依赖失控、控制欲、冷漠、自私、关系破裂、分手离婚、人格或依恋类型；不得把某种边界方式等同于爱得更多或更少。</x:v>
      </x:c>
      <x:c r="AA200" s="32" t="str">
        <x:v>中</x:v>
      </x:c>
      <x:c r="AB200" s="32" t="str">
        <x:v>待验证</x:v>
      </x:c>
      <x:c r="AC200" s="32" t="str"/>
      <x:c r="AD200" s="32" t="str">
        <x:v>provisional=true; rule_group=PALACE_害_RENEG</x:v>
      </x:c>
      <x:c r="AE200" s="32" t="str">
        <x:v>0.5</x:v>
      </x:c>
    </x:row>
    <x:row r="201">
      <x:c r="A201" s="32" t="str">
        <x:v>M3-BOUND-197</x:v>
      </x:c>
      <x:c r="B201" s="32" t="str">
        <x:v>日支害｜禁止结果化解释</x:v>
      </x:c>
      <x:c r="C201" s="32" t="str">
        <x:v>L4 宫位动态</x:v>
      </x:c>
      <x:c r="D201" s="32" t="str">
        <x:v>BOUND-合冲刑害破</x:v>
      </x:c>
      <x:c r="E201" s="32" t="str">
        <x:v>通用</x:v>
      </x:c>
      <x:c r="F201" s="32" t="str">
        <x:v>禁止推断</x:v>
      </x:c>
      <x:c r="G201" s="32" t="str">
        <x:v>日支害</x:v>
      </x:c>
      <x:c r="H201" s="32" t="str"/>
      <x:c r="I201" s="32" t="str">
        <x:v>日支害成立。</x:v>
      </x:c>
      <x:c r="J201" s="32" t="str">
        <x:v>基础信号未定；真合化后原信号已失效；只有单一弱远争议信号；或该结论会越界到M4风险、M5适配。</x:v>
      </x:c>
      <x:c r="K201" s="32" t="str">
        <x:v>由共享基础引擎与M3-STATE修正；日主承载、印比支持只修正自主与执行，不直接等于有无边界。</x:v>
      </x:c>
      <x:c r="L201" s="32" t="str">
        <x:v>不限定；夫妻星仅在入宫或形成角色、责任边界时参与接口，不作为BOUND唯一主轴。</x:v>
      </x:c>
      <x:c r="M201" s="32" t="str">
        <x:v>由M3-BASE、日支主气及宫位动态提供。</x:v>
      </x:c>
      <x:c r="N201" s="32" t="str">
        <x:v>无／待BOUND路径规则组合</x:v>
      </x:c>
      <x:c r="O201" s="32" t="str">
        <x:v>日柱与日支近位优先；全局有效独立信号可作次通道。</x:v>
      </x:c>
      <x:c r="P201" s="32" t="str">
        <x:v>由共享基础引擎判定</x:v>
      </x:c>
      <x:c r="Q201" s="32" t="str">
        <x:v>由共享基础引擎判定</x:v>
      </x:c>
      <x:c r="R201" s="32" t="str">
        <x:v>喜忌不直接等于边界好坏；只修正调用顺畅度、资源压力和状态切换。</x:v>
      </x:c>
      <x:c r="S201" s="32" t="str">
        <x:v>原十神性质有效；真合化成立时按化神所属功能系统重建。</x:v>
      </x:c>
      <x:c r="T201" s="32" t="str">
        <x:v>由共享基础引擎判定</x:v>
      </x:c>
      <x:c r="U201" s="32" t="str">
        <x:v>97</x:v>
      </x:c>
      <x:c r="V201" s="32" t="str">
        <x:v>不加分；边界检查</x:v>
      </x:c>
      <x:c r="W201" s="32" t="str">
        <x:v>boundary_note</x:v>
      </x:c>
      <x:c r="X201" s="32" t="str">
        <x:v>不得由日支害直接推出背叛、小人、第三者、暗中伤害或婚姻失败。</x:v>
      </x:c>
      <x:c r="Y201" s="32" t="str">
        <x:v>这里仅把宫位动态作为边界节奏修正，不把它直接写成感情结果。</x:v>
      </x:c>
      <x:c r="Z201" s="32" t="str">
        <x:v>不得由日支害直接推出背叛、小人、第三者、暗中伤害或婚姻失败。</x:v>
      </x:c>
      <x:c r="AA201" s="32" t="str">
        <x:v>高</x:v>
      </x:c>
      <x:c r="AB201" s="32" t="str">
        <x:v>待验证</x:v>
      </x:c>
      <x:c r="AC201" s="32" t="str"/>
      <x:c r="AD201" s="32" t="str">
        <x:v>provisional=true; rule_group=PALACE_害_BAN</x:v>
      </x:c>
      <x:c r="AE201" s="32" t="str">
        <x:v>0.5</x:v>
      </x:c>
    </x:row>
    <x:row r="202">
      <x:c r="A202" s="32" t="str">
        <x:v>M3-BOUND-198</x:v>
      </x:c>
      <x:c r="B202" s="32" t="str">
        <x:v>日支害｜停止／改道路由</x:v>
      </x:c>
      <x:c r="C202" s="32" t="str">
        <x:v>L4 宫位动态</x:v>
      </x:c>
      <x:c r="D202" s="32" t="str">
        <x:v>BOUND-合冲刑害破</x:v>
      </x:c>
      <x:c r="E202" s="32" t="str">
        <x:v>通用</x:v>
      </x:c>
      <x:c r="F202" s="32" t="str">
        <x:v>停止／路由</x:v>
      </x:c>
      <x:c r="G202" s="32" t="str">
        <x:v>日支害</x:v>
      </x:c>
      <x:c r="H202" s="32" t="str"/>
      <x:c r="I202" s="32" t="str">
        <x:v>日支害的成立、合化或阶段属性需要裁定。</x:v>
      </x:c>
      <x:c r="J202" s="32" t="str">
        <x:v>基础信号未定；真合化后原信号已失效；只有单一弱远争议信号；或该结论会越界到M4风险、M5适配。</x:v>
      </x:c>
      <x:c r="K202" s="32" t="str">
        <x:v>由共享基础引擎与M3-STATE修正；日主承载、印比支持只修正自主与执行，不直接等于有无边界。</x:v>
      </x:c>
      <x:c r="L202" s="32" t="str">
        <x:v>不限定；夫妻星仅在入宫或形成角色、责任边界时参与接口，不作为BOUND唯一主轴。</x:v>
      </x:c>
      <x:c r="M202" s="32" t="str">
        <x:v>由M3-BASE、日支主气及宫位动态提供。</x:v>
      </x:c>
      <x:c r="N202" s="32" t="str">
        <x:v>无／待BOUND路径规则组合</x:v>
      </x:c>
      <x:c r="O202" s="32" t="str">
        <x:v>日柱与日支近位优先；全局有效独立信号可作次通道。</x:v>
      </x:c>
      <x:c r="P202" s="32" t="str">
        <x:v>由共享基础引擎判定</x:v>
      </x:c>
      <x:c r="Q202" s="32" t="str">
        <x:v>由共享基础引擎判定</x:v>
      </x:c>
      <x:c r="R202" s="32" t="str">
        <x:v>喜忌不直接等于边界好坏；只修正调用顺畅度、资源压力和状态切换。</x:v>
      </x:c>
      <x:c r="S202" s="32" t="str">
        <x:v>原十神性质有效；真合化成立时按化神所属功能系统重建。</x:v>
      </x:c>
      <x:c r="T202" s="32" t="str">
        <x:v>由共享基础引擎判定</x:v>
      </x:c>
      <x:c r="U202" s="32" t="str">
        <x:v>98</x:v>
      </x:c>
      <x:c r="V202" s="32" t="str">
        <x:v>停止／替换／降置信</x:v>
      </x:c>
      <x:c r="W202" s="32" t="str">
        <x:v>report_status</x:v>
      </x:c>
      <x:c r="X202" s="32" t="str">
        <x:v>只有害而无具体期待错位、沟通或行为证据时，不得写成固定互动事实。</x:v>
      </x:c>
      <x:c r="Y202" s="32" t="str">
        <x:v>只有害而无具体期待错位、沟通或行为证据时，不得写成固定互动事实。</x:v>
      </x:c>
      <x:c r="Z202" s="32" t="str">
        <x:v>不得由本规则直接推出回避亲密、依赖失控、控制欲、冷漠、自私、关系破裂、分手离婚、人格或依恋类型；不得把某种边界方式等同于爱得更多或更少。</x:v>
      </x:c>
      <x:c r="AA202" s="32" t="str">
        <x:v>高</x:v>
      </x:c>
      <x:c r="AB202" s="32" t="str">
        <x:v>待验证</x:v>
      </x:c>
      <x:c r="AC202" s="32" t="str"/>
      <x:c r="AD202" s="32" t="str">
        <x:v>provisional=true; rule_group=PALACE_害_STOP</x:v>
      </x:c>
      <x:c r="AE202" s="32" t="str">
        <x:v>0.5</x:v>
      </x:c>
    </x:row>
    <x:row r="203">
      <x:c r="A203" s="32" t="str">
        <x:v>M3-BOUND-199</x:v>
      </x:c>
      <x:c r="B203" s="32" t="str">
        <x:v>日支破｜BOUND基础节奏</x:v>
      </x:c>
      <x:c r="C203" s="32" t="str">
        <x:v>L4 宫位动态</x:v>
      </x:c>
      <x:c r="D203" s="32" t="str">
        <x:v>BOUND-合冲刑害破</x:v>
      </x:c>
      <x:c r="E203" s="32" t="str">
        <x:v>通用</x:v>
      </x:c>
      <x:c r="F203" s="32" t="str">
        <x:v>宫位动态</x:v>
      </x:c>
      <x:c r="G203" s="32" t="str">
        <x:v>日支破</x:v>
      </x:c>
      <x:c r="H203" s="32" t="str"/>
      <x:c r="I203" s="32" t="str">
        <x:v>日支破成立，作用对象与基础结构明确。</x:v>
      </x:c>
      <x:c r="J203" s="32" t="str">
        <x:v>基础信号未定；真合化后原信号已失效；只有单一弱远争议信号；或该结论会越界到M4风险、M5适配。</x:v>
      </x:c>
      <x:c r="K203" s="32" t="str">
        <x:v>由共享基础引擎与M3-STATE修正；日主承载、印比支持只修正自主与执行，不直接等于有无边界。</x:v>
      </x:c>
      <x:c r="L203" s="32" t="str">
        <x:v>不限定；夫妻星仅在入宫或形成角色、责任边界时参与接口，不作为BOUND唯一主轴。</x:v>
      </x:c>
      <x:c r="M203" s="32" t="str">
        <x:v>由M3-BASE、日支主气及宫位动态提供。</x:v>
      </x:c>
      <x:c r="N203" s="32" t="str">
        <x:v>无／待BOUND路径规则组合</x:v>
      </x:c>
      <x:c r="O203" s="32" t="str">
        <x:v>日柱与日支近位优先；全局有效独立信号可作次通道。</x:v>
      </x:c>
      <x:c r="P203" s="32" t="str">
        <x:v>由共享基础引擎判定</x:v>
      </x:c>
      <x:c r="Q203" s="32" t="str">
        <x:v>由共享基础引擎判定</x:v>
      </x:c>
      <x:c r="R203" s="32" t="str">
        <x:v>喜忌不直接等于边界好坏；只修正调用顺畅度、资源压力和状态切换。</x:v>
      </x:c>
      <x:c r="S203" s="32" t="str">
        <x:v>原十神性质有效；真合化成立时按化神所属功能系统重建。</x:v>
      </x:c>
      <x:c r="T203" s="32" t="str">
        <x:v>由共享基础引擎判定</x:v>
      </x:c>
      <x:c r="U203" s="32" t="str">
        <x:v>80</x:v>
      </x:c>
      <x:c r="V203" s="32" t="str">
        <x:v>节奏修正 +4</x:v>
      </x:c>
      <x:c r="W203" s="32" t="str">
        <x:v>state_shift</x:v>
      </x:c>
      <x:c r="X203" s="32" t="str">
        <x:v>原有共享方式、分工或距离安排可能需要重新组合，重点是旧结构如何调整。</x:v>
      </x:c>
      <x:c r="Y203" s="32" t="str">
        <x:v>原有共享方式、分工或距离安排可能需要重新组合，重点是旧结构如何调整。</x:v>
      </x:c>
      <x:c r="Z203" s="32" t="str">
        <x:v>不得由本规则直接推出回避亲密、依赖失控、控制欲、冷漠、自私、关系破裂、分手离婚、人格或依恋类型；不得把某种边界方式等同于爱得更多或更少。</x:v>
      </x:c>
      <x:c r="AA203" s="32" t="str">
        <x:v>中</x:v>
      </x:c>
      <x:c r="AB203" s="32" t="str">
        <x:v>待验证</x:v>
      </x:c>
      <x:c r="AC203" s="32" t="str"/>
      <x:c r="AD203" s="32" t="str">
        <x:v>provisional=true; rule_group=PALACE_破_BASE</x:v>
      </x:c>
      <x:c r="AE203" s="32" t="str">
        <x:v>0.5</x:v>
      </x:c>
    </x:row>
    <x:row r="204">
      <x:c r="A204" s="32" t="str">
        <x:v>M3-BOUND-200</x:v>
      </x:c>
      <x:c r="B204" s="32" t="str">
        <x:v>日支破｜靠近与空间修正</x:v>
      </x:c>
      <x:c r="C204" s="32" t="str">
        <x:v>L4 宫位动态</x:v>
      </x:c>
      <x:c r="D204" s="32" t="str">
        <x:v>BOUND-合冲刑害破</x:v>
      </x:c>
      <x:c r="E204" s="32" t="str">
        <x:v>通用</x:v>
      </x:c>
      <x:c r="F204" s="32" t="str">
        <x:v>距离修正</x:v>
      </x:c>
      <x:c r="G204" s="32" t="str">
        <x:v>日支破</x:v>
      </x:c>
      <x:c r="H204" s="32" t="str"/>
      <x:c r="I204" s="32" t="str">
        <x:v>日支破成立，且至少有一个有效BOUND通道。</x:v>
      </x:c>
      <x:c r="J204" s="32" t="str">
        <x:v>基础信号未定；真合化后原信号已失效；只有单一弱远争议信号；或该结论会越界到M4风险、M5适配。</x:v>
      </x:c>
      <x:c r="K204" s="32" t="str">
        <x:v>由共享基础引擎与M3-STATE修正；日主承载、印比支持只修正自主与执行，不直接等于有无边界。</x:v>
      </x:c>
      <x:c r="L204" s="32" t="str">
        <x:v>不限定；夫妻星仅在入宫或形成角色、责任边界时参与接口，不作为BOUND唯一主轴。</x:v>
      </x:c>
      <x:c r="M204" s="32" t="str">
        <x:v>由M3-BASE、日支主气及宫位动态提供。</x:v>
      </x:c>
      <x:c r="N204" s="32" t="str">
        <x:v>无／待BOUND路径规则组合</x:v>
      </x:c>
      <x:c r="O204" s="32" t="str">
        <x:v>日柱与日支近位优先；全局有效独立信号可作次通道。</x:v>
      </x:c>
      <x:c r="P204" s="32" t="str">
        <x:v>由共享基础引擎判定</x:v>
      </x:c>
      <x:c r="Q204" s="32" t="str">
        <x:v>由共享基础引擎判定</x:v>
      </x:c>
      <x:c r="R204" s="32" t="str">
        <x:v>喜忌不直接等于边界好坏；只修正调用顺畅度、资源压力和状态切换。</x:v>
      </x:c>
      <x:c r="S204" s="32" t="str">
        <x:v>原十神性质有效；真合化成立时按化神所属功能系统重建。</x:v>
      </x:c>
      <x:c r="T204" s="32" t="str">
        <x:v>由共享基础引擎判定</x:v>
      </x:c>
      <x:c r="U204" s="32" t="str">
        <x:v>71</x:v>
      </x:c>
      <x:c r="V204" s="32" t="str">
        <x:v>距离修正 +3</x:v>
      </x:c>
      <x:c r="W204" s="32" t="str">
        <x:v>closeness_rhythm</x:v>
      </x:c>
      <x:c r="X204" s="32" t="str">
        <x:v>破提示旧安排不再完全适用，不等于关系必然破裂。</x:v>
      </x:c>
      <x:c r="Y204" s="32" t="str">
        <x:v>破提示旧安排不再完全适用，不等于关系必然破裂。</x:v>
      </x:c>
      <x:c r="Z204" s="32" t="str">
        <x:v>不得由本规则直接推出回避亲密、依赖失控、控制欲、冷漠、自私、关系破裂、分手离婚、人格或依恋类型；不得把某种边界方式等同于爱得更多或更少。</x:v>
      </x:c>
      <x:c r="AA204" s="32" t="str">
        <x:v>中</x:v>
      </x:c>
      <x:c r="AB204" s="32" t="str">
        <x:v>待验证</x:v>
      </x:c>
      <x:c r="AC204" s="32" t="str"/>
      <x:c r="AD204" s="32" t="str">
        <x:v>provisional=true; rule_group=PALACE_破_CLOSE</x:v>
      </x:c>
      <x:c r="AE204" s="32" t="str">
        <x:v>0.5</x:v>
      </x:c>
    </x:row>
    <x:row r="205">
      <x:c r="A205" s="32" t="str">
        <x:v>M3-BOUND-201</x:v>
      </x:c>
      <x:c r="B205" s="32" t="str">
        <x:v>日支破｜重新协商提示</x:v>
      </x:c>
      <x:c r="C205" s="32" t="str">
        <x:v>L4 宫位动态</x:v>
      </x:c>
      <x:c r="D205" s="32" t="str">
        <x:v>BOUND-合冲刑害破</x:v>
      </x:c>
      <x:c r="E205" s="32" t="str">
        <x:v>通用</x:v>
      </x:c>
      <x:c r="F205" s="32" t="str">
        <x:v>重订修正</x:v>
      </x:c>
      <x:c r="G205" s="32" t="str">
        <x:v>日支破</x:v>
      </x:c>
      <x:c r="H205" s="32" t="str"/>
      <x:c r="I205" s="32" t="str">
        <x:v>日支破成立，并有表达、行动、角色或现实边界证据。</x:v>
      </x:c>
      <x:c r="J205" s="32" t="str">
        <x:v>基础信号未定；真合化后原信号已失效；只有单一弱远争议信号；或该结论会越界到M4风险、M5适配。</x:v>
      </x:c>
      <x:c r="K205" s="32" t="str">
        <x:v>由共享基础引擎与M3-STATE修正；日主承载、印比支持只修正自主与执行，不直接等于有无边界。</x:v>
      </x:c>
      <x:c r="L205" s="32" t="str">
        <x:v>不限定；夫妻星仅在入宫或形成角色、责任边界时参与接口，不作为BOUND唯一主轴。</x:v>
      </x:c>
      <x:c r="M205" s="32" t="str">
        <x:v>由M3-BASE、日支主气及宫位动态提供。</x:v>
      </x:c>
      <x:c r="N205" s="32" t="str">
        <x:v>无／待BOUND路径规则组合</x:v>
      </x:c>
      <x:c r="O205" s="32" t="str">
        <x:v>日柱与日支近位优先；全局有效独立信号可作次通道。</x:v>
      </x:c>
      <x:c r="P205" s="32" t="str">
        <x:v>由共享基础引擎判定</x:v>
      </x:c>
      <x:c r="Q205" s="32" t="str">
        <x:v>由共享基础引擎判定</x:v>
      </x:c>
      <x:c r="R205" s="32" t="str">
        <x:v>喜忌不直接等于边界好坏；只修正调用顺畅度、资源压力和状态切换。</x:v>
      </x:c>
      <x:c r="S205" s="32" t="str">
        <x:v>原十神性质有效；真合化成立时按化神所属功能系统重建。</x:v>
      </x:c>
      <x:c r="T205" s="32" t="str">
        <x:v>由共享基础引擎判定</x:v>
      </x:c>
      <x:c r="U205" s="32" t="str">
        <x:v>72</x:v>
      </x:c>
      <x:c r="V205" s="32" t="str">
        <x:v>重订候选 +4</x:v>
      </x:c>
      <x:c r="W205" s="32" t="str">
        <x:v>renegotiation_style</x:v>
      </x:c>
      <x:c r="X205" s="32" t="str">
        <x:v>边界更适合在变化后重新定义时间、资源、角色和共同规则。</x:v>
      </x:c>
      <x:c r="Y205" s="32" t="str">
        <x:v>边界更适合在变化后重新定义时间、资源、角色和共同规则。</x:v>
      </x:c>
      <x:c r="Z205" s="32" t="str">
        <x:v>不得由本规则直接推出回避亲密、依赖失控、控制欲、冷漠、自私、关系破裂、分手离婚、人格或依恋类型；不得把某种边界方式等同于爱得更多或更少。</x:v>
      </x:c>
      <x:c r="AA205" s="32" t="str">
        <x:v>中</x:v>
      </x:c>
      <x:c r="AB205" s="32" t="str">
        <x:v>待验证</x:v>
      </x:c>
      <x:c r="AC205" s="32" t="str"/>
      <x:c r="AD205" s="32" t="str">
        <x:v>provisional=true; rule_group=PALACE_破_RENEG</x:v>
      </x:c>
      <x:c r="AE205" s="32" t="str">
        <x:v>0.5</x:v>
      </x:c>
    </x:row>
    <x:row r="206">
      <x:c r="A206" s="32" t="str">
        <x:v>M3-BOUND-202</x:v>
      </x:c>
      <x:c r="B206" s="32" t="str">
        <x:v>日支破｜禁止结果化解释</x:v>
      </x:c>
      <x:c r="C206" s="32" t="str">
        <x:v>L4 宫位动态</x:v>
      </x:c>
      <x:c r="D206" s="32" t="str">
        <x:v>BOUND-合冲刑害破</x:v>
      </x:c>
      <x:c r="E206" s="32" t="str">
        <x:v>通用</x:v>
      </x:c>
      <x:c r="F206" s="32" t="str">
        <x:v>禁止推断</x:v>
      </x:c>
      <x:c r="G206" s="32" t="str">
        <x:v>日支破</x:v>
      </x:c>
      <x:c r="H206" s="32" t="str"/>
      <x:c r="I206" s="32" t="str">
        <x:v>日支破成立。</x:v>
      </x:c>
      <x:c r="J206" s="32" t="str">
        <x:v>基础信号未定；真合化后原信号已失效；只有单一弱远争议信号；或该结论会越界到M4风险、M5适配。</x:v>
      </x:c>
      <x:c r="K206" s="32" t="str">
        <x:v>由共享基础引擎与M3-STATE修正；日主承载、印比支持只修正自主与执行，不直接等于有无边界。</x:v>
      </x:c>
      <x:c r="L206" s="32" t="str">
        <x:v>不限定；夫妻星仅在入宫或形成角色、责任边界时参与接口，不作为BOUND唯一主轴。</x:v>
      </x:c>
      <x:c r="M206" s="32" t="str">
        <x:v>由M3-BASE、日支主气及宫位动态提供。</x:v>
      </x:c>
      <x:c r="N206" s="32" t="str">
        <x:v>无／待BOUND路径规则组合</x:v>
      </x:c>
      <x:c r="O206" s="32" t="str">
        <x:v>日柱与日支近位优先；全局有效独立信号可作次通道。</x:v>
      </x:c>
      <x:c r="P206" s="32" t="str">
        <x:v>由共享基础引擎判定</x:v>
      </x:c>
      <x:c r="Q206" s="32" t="str">
        <x:v>由共享基础引擎判定</x:v>
      </x:c>
      <x:c r="R206" s="32" t="str">
        <x:v>喜忌不直接等于边界好坏；只修正调用顺畅度、资源压力和状态切换。</x:v>
      </x:c>
      <x:c r="S206" s="32" t="str">
        <x:v>原十神性质有效；真合化成立时按化神所属功能系统重建。</x:v>
      </x:c>
      <x:c r="T206" s="32" t="str">
        <x:v>由共享基础引擎判定</x:v>
      </x:c>
      <x:c r="U206" s="32" t="str">
        <x:v>97</x:v>
      </x:c>
      <x:c r="V206" s="32" t="str">
        <x:v>不加分；边界检查</x:v>
      </x:c>
      <x:c r="W206" s="32" t="str">
        <x:v>boundary_note</x:v>
      </x:c>
      <x:c r="X206" s="32" t="str">
        <x:v>不得由日支破直接推出分手、离婚、背叛、失信或关系无法修复。</x:v>
      </x:c>
      <x:c r="Y206" s="32" t="str">
        <x:v>这里仅把宫位动态作为边界节奏修正，不把它直接写成感情结果。</x:v>
      </x:c>
      <x:c r="Z206" s="32" t="str">
        <x:v>不得由日支破直接推出分手、离婚、背叛、失信或关系无法修复。</x:v>
      </x:c>
      <x:c r="AA206" s="32" t="str">
        <x:v>高</x:v>
      </x:c>
      <x:c r="AB206" s="32" t="str">
        <x:v>待验证</x:v>
      </x:c>
      <x:c r="AC206" s="32" t="str"/>
      <x:c r="AD206" s="32" t="str">
        <x:v>provisional=true; rule_group=PALACE_破_BAN</x:v>
      </x:c>
      <x:c r="AE206" s="32" t="str">
        <x:v>0.5</x:v>
      </x:c>
    </x:row>
    <x:row r="207">
      <x:c r="A207" s="32" t="str">
        <x:v>M3-BOUND-203</x:v>
      </x:c>
      <x:c r="B207" s="32" t="str">
        <x:v>日支破｜停止／改道路由</x:v>
      </x:c>
      <x:c r="C207" s="32" t="str">
        <x:v>L4 宫位动态</x:v>
      </x:c>
      <x:c r="D207" s="32" t="str">
        <x:v>BOUND-合冲刑害破</x:v>
      </x:c>
      <x:c r="E207" s="32" t="str">
        <x:v>通用</x:v>
      </x:c>
      <x:c r="F207" s="32" t="str">
        <x:v>停止／路由</x:v>
      </x:c>
      <x:c r="G207" s="32" t="str">
        <x:v>日支破</x:v>
      </x:c>
      <x:c r="H207" s="32" t="str"/>
      <x:c r="I207" s="32" t="str">
        <x:v>日支破的成立、合化或阶段属性需要裁定。</x:v>
      </x:c>
      <x:c r="J207" s="32" t="str">
        <x:v>基础信号未定；真合化后原信号已失效；只有单一弱远争议信号；或该结论会越界到M4风险、M5适配。</x:v>
      </x:c>
      <x:c r="K207" s="32" t="str">
        <x:v>由共享基础引擎与M3-STATE修正；日主承载、印比支持只修正自主与执行，不直接等于有无边界。</x:v>
      </x:c>
      <x:c r="L207" s="32" t="str">
        <x:v>不限定；夫妻星仅在入宫或形成角色、责任边界时参与接口，不作为BOUND唯一主轴。</x:v>
      </x:c>
      <x:c r="M207" s="32" t="str">
        <x:v>由M3-BASE、日支主气及宫位动态提供。</x:v>
      </x:c>
      <x:c r="N207" s="32" t="str">
        <x:v>无／待BOUND路径规则组合</x:v>
      </x:c>
      <x:c r="O207" s="32" t="str">
        <x:v>日柱与日支近位优先；全局有效独立信号可作次通道。</x:v>
      </x:c>
      <x:c r="P207" s="32" t="str">
        <x:v>由共享基础引擎判定</x:v>
      </x:c>
      <x:c r="Q207" s="32" t="str">
        <x:v>由共享基础引擎判定</x:v>
      </x:c>
      <x:c r="R207" s="32" t="str">
        <x:v>喜忌不直接等于边界好坏；只修正调用顺畅度、资源压力和状态切换。</x:v>
      </x:c>
      <x:c r="S207" s="32" t="str">
        <x:v>原十神性质有效；真合化成立时按化神所属功能系统重建。</x:v>
      </x:c>
      <x:c r="T207" s="32" t="str">
        <x:v>由共享基础引擎判定</x:v>
      </x:c>
      <x:c r="U207" s="32" t="str">
        <x:v>98</x:v>
      </x:c>
      <x:c r="V207" s="32" t="str">
        <x:v>停止／替换／降置信</x:v>
      </x:c>
      <x:c r="W207" s="32" t="str">
        <x:v>report_status</x:v>
      </x:c>
      <x:c r="X207" s="32" t="str">
        <x:v>若破仅为阶段覆盖或基础作用未定，应标记阶段性，不改写原局主边界。</x:v>
      </x:c>
      <x:c r="Y207" s="32" t="str">
        <x:v>若破仅为阶段覆盖或基础作用未定，应标记阶段性，不改写原局主边界。</x:v>
      </x:c>
      <x:c r="Z207" s="32" t="str">
        <x:v>不得由本规则直接推出回避亲密、依赖失控、控制欲、冷漠、自私、关系破裂、分手离婚、人格或依恋类型；不得把某种边界方式等同于爱得更多或更少。</x:v>
      </x:c>
      <x:c r="AA207" s="32" t="str">
        <x:v>高</x:v>
      </x:c>
      <x:c r="AB207" s="32" t="str">
        <x:v>待验证</x:v>
      </x:c>
      <x:c r="AC207" s="32" t="str"/>
      <x:c r="AD207" s="32" t="str">
        <x:v>provisional=true; rule_group=PALACE_破_STOP</x:v>
      </x:c>
      <x:c r="AE207" s="32" t="str">
        <x:v>0.5</x:v>
      </x:c>
    </x:row>
    <x:row r="208">
      <x:c r="A208" s="32" t="str">
        <x:v>M3-BOUND-204</x:v>
      </x:c>
      <x:c r="B208" s="32" t="str">
        <x:v>SC01 透干有根｜边界外显且可重复</x:v>
      </x:c>
      <x:c r="C208" s="32" t="str">
        <x:v>L4 BOUND状态修正</x:v>
      </x:c>
      <x:c r="D208" s="32" t="str">
        <x:v>BOUND-状态修正</x:v>
      </x:c>
      <x:c r="E208" s="32" t="str">
        <x:v>通用</x:v>
      </x:c>
      <x:c r="F208" s="32" t="str">
        <x:v>状态修正</x:v>
      </x:c>
      <x:c r="G208" s="32" t="str">
        <x:v>SC01</x:v>
      </x:c>
      <x:c r="H208" s="32" t="str"/>
      <x:c r="I208" s="32" t="str">
        <x:v>透干且有根，基础功能有效。</x:v>
      </x:c>
      <x:c r="J208" s="32" t="str">
        <x:v>基础信号未定；真合化后原信号已失效；只有单一弱远争议信号；或该结论会越界到M4风险、M5适配。</x:v>
      </x:c>
      <x:c r="K208" s="32" t="str">
        <x:v>由共享基础引擎与M3-STATE修正；日主承载、印比支持只修正自主与执行，不直接等于有无边界。</x:v>
      </x:c>
      <x:c r="L208" s="32" t="str">
        <x:v>不限定；夫妻星仅在入宫或形成角色、责任边界时参与接口，不作为BOUND唯一主轴。</x:v>
      </x:c>
      <x:c r="M208" s="32" t="str">
        <x:v>由M3-BASE、日支主气及宫位动态提供。</x:v>
      </x:c>
      <x:c r="N208" s="32" t="str">
        <x:v>无／待BOUND路径规则组合</x:v>
      </x:c>
      <x:c r="O208" s="32" t="str">
        <x:v>日柱与日支近位优先；全局有效独立信号可作次通道。</x:v>
      </x:c>
      <x:c r="P208" s="32" t="str">
        <x:v>由共享基础引擎判定</x:v>
      </x:c>
      <x:c r="Q208" s="32" t="str">
        <x:v>由共享基础引擎判定</x:v>
      </x:c>
      <x:c r="R208" s="32" t="str">
        <x:v>喜忌不直接等于边界好坏；只修正调用顺畅度、资源压力和状态切换。</x:v>
      </x:c>
      <x:c r="S208" s="32" t="str">
        <x:v>原十神性质有效；真合化成立时按化神所属功能系统重建。</x:v>
      </x:c>
      <x:c r="T208" s="32" t="str">
        <x:v>由共享基础引擎判定</x:v>
      </x:c>
      <x:c r="U208" s="32" t="str">
        <x:v>78</x:v>
      </x:c>
      <x:c r="V208" s="32" t="str">
        <x:v>主通道 +8；可见度 +5</x:v>
      </x:c>
      <x:c r="W208" s="32" t="str">
        <x:v>primary_boundary_channel</x:v>
      </x:c>
      <x:c r="X208" s="32" t="str">
        <x:v>边界方式容易被对方看见，也有一定重复出现的来源。</x:v>
      </x:c>
      <x:c r="Y208" s="32" t="str">
        <x:v>你通常较容易把需要、权限或限制表现出来，而且不只在一次事件中出现。</x:v>
      </x:c>
      <x:c r="Z208" s="32" t="str">
        <x:v>不得由本规则直接推出回避亲密、依赖失控、控制欲、冷漠、自私、关系破裂、分手离婚、人格或依恋类型；不得把某种边界方式等同于爱得更多或更少。</x:v>
      </x:c>
      <x:c r="AA208" s="32" t="str">
        <x:v>中高</x:v>
      </x:c>
      <x:c r="AB208" s="32" t="str">
        <x:v>待验证</x:v>
      </x:c>
      <x:c r="AC208" s="32" t="str"/>
      <x:c r="AD208" s="32" t="str">
        <x:v>provisional=true; rule_group=STATE_SC01</x:v>
      </x:c>
      <x:c r="AE208" s="32" t="str">
        <x:v>0.5</x:v>
      </x:c>
    </x:row>
    <x:row r="209">
      <x:c r="A209" s="32" t="str">
        <x:v>M3-BOUND-205</x:v>
      </x:c>
      <x:c r="B209" s="32" t="str">
        <x:v>SC02 透干无根｜先可见后验证</x:v>
      </x:c>
      <x:c r="C209" s="32" t="str">
        <x:v>L4 BOUND状态修正</x:v>
      </x:c>
      <x:c r="D209" s="32" t="str">
        <x:v>BOUND-状态修正</x:v>
      </x:c>
      <x:c r="E209" s="32" t="str">
        <x:v>通用</x:v>
      </x:c>
      <x:c r="F209" s="32" t="str">
        <x:v>状态修正</x:v>
      </x:c>
      <x:c r="G209" s="32" t="str">
        <x:v>SC02</x:v>
      </x:c>
      <x:c r="H209" s="32" t="str"/>
      <x:c r="I209" s="32" t="str">
        <x:v>透干但无根，现实重复证据不足。</x:v>
      </x:c>
      <x:c r="J209" s="32" t="str">
        <x:v>基础信号未定；真合化后原信号已失效；只有单一弱远争议信号；或该结论会越界到M4风险、M5适配。</x:v>
      </x:c>
      <x:c r="K209" s="32" t="str">
        <x:v>由共享基础引擎与M3-STATE修正；日主承载、印比支持只修正自主与执行，不直接等于有无边界。</x:v>
      </x:c>
      <x:c r="L209" s="32" t="str">
        <x:v>不限定；夫妻星仅在入宫或形成角色、责任边界时参与接口，不作为BOUND唯一主轴。</x:v>
      </x:c>
      <x:c r="M209" s="32" t="str">
        <x:v>由M3-BASE、日支主气及宫位动态提供。</x:v>
      </x:c>
      <x:c r="N209" s="32" t="str">
        <x:v>无／待BOUND路径规则组合</x:v>
      </x:c>
      <x:c r="O209" s="32" t="str">
        <x:v>日柱与日支近位优先；全局有效独立信号可作次通道。</x:v>
      </x:c>
      <x:c r="P209" s="32" t="str">
        <x:v>由共享基础引擎判定</x:v>
      </x:c>
      <x:c r="Q209" s="32" t="str">
        <x:v>由共享基础引擎判定</x:v>
      </x:c>
      <x:c r="R209" s="32" t="str">
        <x:v>喜忌不直接等于边界好坏；只修正调用顺畅度、资源压力和状态切换。</x:v>
      </x:c>
      <x:c r="S209" s="32" t="str">
        <x:v>原十神性质有效；真合化成立时按化神所属功能系统重建。</x:v>
      </x:c>
      <x:c r="T209" s="32" t="str">
        <x:v>由共享基础引擎判定</x:v>
      </x:c>
      <x:c r="U209" s="32" t="str">
        <x:v>78</x:v>
      </x:c>
      <x:c r="V209" s="32" t="str">
        <x:v>候选 +4；连续性待验证</x:v>
      </x:c>
      <x:c r="W209" s="32" t="str">
        <x:v>closeness_rhythm</x:v>
      </x:c>
      <x:c r="X209" s="32" t="str">
        <x:v>边界表现容易较早被看见，但稳定性仍需真实关系验证。</x:v>
      </x:c>
      <x:c r="Y209" s="32" t="str">
        <x:v>你可能较早表达边界或靠近方式，但是否长期一致仍要看后续行为。</x:v>
      </x:c>
      <x:c r="Z209" s="32" t="str">
        <x:v>不得由本规则直接推出回避亲密、依赖失控、控制欲、冷漠、自私、关系破裂、分手离婚、人格或依恋类型；不得把某种边界方式等同于爱得更多或更少。</x:v>
      </x:c>
      <x:c r="AA209" s="32" t="str">
        <x:v>中</x:v>
      </x:c>
      <x:c r="AB209" s="32" t="str">
        <x:v>待验证</x:v>
      </x:c>
      <x:c r="AC209" s="32" t="str"/>
      <x:c r="AD209" s="32" t="str">
        <x:v>provisional=true; rule_group=STATE_SC02</x:v>
      </x:c>
      <x:c r="AE209" s="32" t="str">
        <x:v>0.5</x:v>
      </x:c>
    </x:row>
    <x:row r="210">
      <x:c r="A210" s="32" t="str">
        <x:v>M3-BOUND-206</x:v>
      </x:c>
      <x:c r="B210" s="32" t="str">
        <x:v>SC03 藏支有根｜隐性稳定</x:v>
      </x:c>
      <x:c r="C210" s="32" t="str">
        <x:v>L4 BOUND状态修正</x:v>
      </x:c>
      <x:c r="D210" s="32" t="str">
        <x:v>BOUND-状态修正</x:v>
      </x:c>
      <x:c r="E210" s="32" t="str">
        <x:v>通用</x:v>
      </x:c>
      <x:c r="F210" s="32" t="str">
        <x:v>状态修正</x:v>
      </x:c>
      <x:c r="G210" s="32" t="str">
        <x:v>SC03</x:v>
      </x:c>
      <x:c r="H210" s="32" t="str"/>
      <x:c r="I210" s="32" t="str">
        <x:v>藏支有根，功能未被替换。</x:v>
      </x:c>
      <x:c r="J210" s="32" t="str">
        <x:v>基础信号未定；真合化后原信号已失效；只有单一弱远争议信号；或该结论会越界到M4风险、M5适配。</x:v>
      </x:c>
      <x:c r="K210" s="32" t="str">
        <x:v>由共享基础引擎与M3-STATE修正；日主承载、印比支持只修正自主与执行，不直接等于有无边界。</x:v>
      </x:c>
      <x:c r="L210" s="32" t="str">
        <x:v>不限定；夫妻星仅在入宫或形成角色、责任边界时参与接口，不作为BOUND唯一主轴。</x:v>
      </x:c>
      <x:c r="M210" s="32" t="str">
        <x:v>由M3-BASE、日支主气及宫位动态提供。</x:v>
      </x:c>
      <x:c r="N210" s="32" t="str">
        <x:v>无／待BOUND路径规则组合</x:v>
      </x:c>
      <x:c r="O210" s="32" t="str">
        <x:v>日柱与日支近位优先；全局有效独立信号可作次通道。</x:v>
      </x:c>
      <x:c r="P210" s="32" t="str">
        <x:v>由共享基础引擎判定</x:v>
      </x:c>
      <x:c r="Q210" s="32" t="str">
        <x:v>由共享基础引擎判定</x:v>
      </x:c>
      <x:c r="R210" s="32" t="str">
        <x:v>喜忌不直接等于边界好坏；只修正调用顺畅度、资源压力和状态切换。</x:v>
      </x:c>
      <x:c r="S210" s="32" t="str">
        <x:v>原十神性质有效；真合化成立时按化神所属功能系统重建。</x:v>
      </x:c>
      <x:c r="T210" s="32" t="str">
        <x:v>由共享基础引擎判定</x:v>
      </x:c>
      <x:c r="U210" s="32" t="str">
        <x:v>78</x:v>
      </x:c>
      <x:c r="V210" s="32" t="str">
        <x:v>主通道 +6；隐性 +5</x:v>
      </x:c>
      <x:c r="W210" s="32" t="str">
        <x:v>space_need</x:v>
      </x:c>
      <x:c r="X210" s="32" t="str">
        <x:v>边界不一定高调表达，更可能通过长期习惯、选择和稳定节奏被看见。</x:v>
      </x:c>
      <x:c r="Y210" s="32" t="str">
        <x:v>你的边界可能不总是先说出来，而是藏在长期习惯、选择和相处节奏里。</x:v>
      </x:c>
      <x:c r="Z210" s="32" t="str">
        <x:v>不得由本规则直接推出回避亲密、依赖失控、控制欲、冷漠、自私、关系破裂、分手离婚、人格或依恋类型；不得把某种边界方式等同于爱得更多或更少。</x:v>
      </x:c>
      <x:c r="AA210" s="32" t="str">
        <x:v>中高</x:v>
      </x:c>
      <x:c r="AB210" s="32" t="str">
        <x:v>待验证</x:v>
      </x:c>
      <x:c r="AC210" s="32" t="str"/>
      <x:c r="AD210" s="32" t="str">
        <x:v>provisional=true; rule_group=STATE_SC03</x:v>
      </x:c>
      <x:c r="AE210" s="32" t="str">
        <x:v>0.5</x:v>
      </x:c>
    </x:row>
    <x:row r="211">
      <x:c r="A211" s="32" t="str">
        <x:v>M3-BOUND-207</x:v>
      </x:c>
      <x:c r="B211" s="32" t="str">
        <x:v>SC04 藏支无根／弱远｜仅保留候选</x:v>
      </x:c>
      <x:c r="C211" s="32" t="str">
        <x:v>L4 BOUND状态修正</x:v>
      </x:c>
      <x:c r="D211" s="32" t="str">
        <x:v>BOUND-状态修正</x:v>
      </x:c>
      <x:c r="E211" s="32" t="str">
        <x:v>通用</x:v>
      </x:c>
      <x:c r="F211" s="32" t="str">
        <x:v>状态修正</x:v>
      </x:c>
      <x:c r="G211" s="32" t="str">
        <x:v>SC04</x:v>
      </x:c>
      <x:c r="H211" s="32" t="str"/>
      <x:c r="I211" s="32" t="str">
        <x:v>藏支无根或弱远，缺少独立现实证据。</x:v>
      </x:c>
      <x:c r="J211" s="32" t="str">
        <x:v>基础信号未定；真合化后原信号已失效；只有单一弱远争议信号；或该结论会越界到M4风险、M5适配。</x:v>
      </x:c>
      <x:c r="K211" s="32" t="str">
        <x:v>由共享基础引擎与M3-STATE修正；日主承载、印比支持只修正自主与执行，不直接等于有无边界。</x:v>
      </x:c>
      <x:c r="L211" s="32" t="str">
        <x:v>不限定；夫妻星仅在入宫或形成角色、责任边界时参与接口，不作为BOUND唯一主轴。</x:v>
      </x:c>
      <x:c r="M211" s="32" t="str">
        <x:v>由M3-BASE、日支主气及宫位动态提供。</x:v>
      </x:c>
      <x:c r="N211" s="32" t="str">
        <x:v>无／待BOUND路径规则组合</x:v>
      </x:c>
      <x:c r="O211" s="32" t="str">
        <x:v>日柱与日支近位优先；全局有效独立信号可作次通道。</x:v>
      </x:c>
      <x:c r="P211" s="32" t="str">
        <x:v>由共享基础引擎判定</x:v>
      </x:c>
      <x:c r="Q211" s="32" t="str">
        <x:v>由共享基础引擎判定</x:v>
      </x:c>
      <x:c r="R211" s="32" t="str">
        <x:v>喜忌不直接等于边界好坏；只修正调用顺畅度、资源压力和状态切换。</x:v>
      </x:c>
      <x:c r="S211" s="32" t="str">
        <x:v>原十神性质有效；真合化成立时按化神所属功能系统重建。</x:v>
      </x:c>
      <x:c r="T211" s="32" t="str">
        <x:v>由共享基础引擎判定</x:v>
      </x:c>
      <x:c r="U211" s="32" t="str">
        <x:v>78</x:v>
      </x:c>
      <x:c r="V211" s="32" t="str">
        <x:v>候选 +2；降置信</x:v>
      </x:c>
      <x:c r="W211" s="32" t="str">
        <x:v>primary_boundary_channel</x:v>
      </x:c>
      <x:c r="X211" s="32" t="str">
        <x:v>目前不足以写成稳定边界模式。</x:v>
      </x:c>
      <x:c r="Y211" s="32" t="str">
        <x:v>这种方式只能作为潜在倾向，不宜写成你固定的相处边界。</x:v>
      </x:c>
      <x:c r="Z211" s="32" t="str">
        <x:v>不得由本规则直接推出回避亲密、依赖失控、控制欲、冷漠、自私、关系破裂、分手离婚、人格或依恋类型；不得把某种边界方式等同于爱得更多或更少。</x:v>
      </x:c>
      <x:c r="AA211" s="32" t="str">
        <x:v>中低</x:v>
      </x:c>
      <x:c r="AB211" s="32" t="str">
        <x:v>待验证</x:v>
      </x:c>
      <x:c r="AC211" s="32" t="str"/>
      <x:c r="AD211" s="32" t="str">
        <x:v>provisional=true; rule_group=STATE_SC04</x:v>
      </x:c>
      <x:c r="AE211" s="32" t="str">
        <x:v>0.5</x:v>
      </x:c>
    </x:row>
    <x:row r="212">
      <x:c r="A212" s="32" t="str">
        <x:v>M3-BOUND-208</x:v>
      </x:c>
      <x:c r="B212" s="32" t="str">
        <x:v>SC05 同根透藏｜一次证据两种表现</x:v>
      </x:c>
      <x:c r="C212" s="32" t="str">
        <x:v>L4 BOUND状态修正</x:v>
      </x:c>
      <x:c r="D212" s="32" t="str">
        <x:v>BOUND-状态修正</x:v>
      </x:c>
      <x:c r="E212" s="32" t="str">
        <x:v>通用</x:v>
      </x:c>
      <x:c r="F212" s="32" t="str">
        <x:v>状态修正</x:v>
      </x:c>
      <x:c r="G212" s="32" t="str">
        <x:v>SC05</x:v>
      </x:c>
      <x:c r="H212" s="32" t="str"/>
      <x:c r="I212" s="32" t="str">
        <x:v>同一十神同根透藏，source_id相同。</x:v>
      </x:c>
      <x:c r="J212" s="32" t="str">
        <x:v>基础信号未定；真合化后原信号已失效；只有单一弱远争议信号；或该结论会越界到M4风险、M5适配。</x:v>
      </x:c>
      <x:c r="K212" s="32" t="str">
        <x:v>由共享基础引擎与M3-STATE修正；日主承载、印比支持只修正自主与执行，不直接等于有无边界。</x:v>
      </x:c>
      <x:c r="L212" s="32" t="str">
        <x:v>不限定；夫妻星仅在入宫或形成角色、责任边界时参与接口，不作为BOUND唯一主轴。</x:v>
      </x:c>
      <x:c r="M212" s="32" t="str">
        <x:v>由M3-BASE、日支主气及宫位动态提供。</x:v>
      </x:c>
      <x:c r="N212" s="32" t="str">
        <x:v>无／待BOUND路径规则组合</x:v>
      </x:c>
      <x:c r="O212" s="32" t="str">
        <x:v>日柱与日支近位优先；全局有效独立信号可作次通道。</x:v>
      </x:c>
      <x:c r="P212" s="32" t="str">
        <x:v>由共享基础引擎判定</x:v>
      </x:c>
      <x:c r="Q212" s="32" t="str">
        <x:v>由共享基础引擎判定</x:v>
      </x:c>
      <x:c r="R212" s="32" t="str">
        <x:v>喜忌不直接等于边界好坏；只修正调用顺畅度、资源压力和状态切换。</x:v>
      </x:c>
      <x:c r="S212" s="32" t="str">
        <x:v>原十神性质有效；真合化成立时按化神所属功能系统重建。</x:v>
      </x:c>
      <x:c r="T212" s="32" t="str">
        <x:v>由共享基础引擎判定</x:v>
      </x:c>
      <x:c r="U212" s="32" t="str">
        <x:v>78</x:v>
      </x:c>
      <x:c r="V212" s="32" t="str">
        <x:v>去重；外显／稳定分工</x:v>
      </x:c>
      <x:c r="W212" s="32" t="str">
        <x:v>provenance</x:v>
      </x:c>
      <x:c r="X212" s="32" t="str">
        <x:v>同一边界功能既有外显行为，也有内部稳定来源，但只算一次基础证据。</x:v>
      </x:c>
      <x:c r="Y212" s="32" t="str">
        <x:v>同一种边界方式可能既能被看见，也有稳定内在来源，但不会重复计分。</x:v>
      </x:c>
      <x:c r="Z212" s="32" t="str">
        <x:v>不得由本规则直接推出回避亲密、依赖失控、控制欲、冷漠、自私、关系破裂、分手离婚、人格或依恋类型；不得把某种边界方式等同于爱得更多或更少。</x:v>
      </x:c>
      <x:c r="AA212" s="32" t="str">
        <x:v>高</x:v>
      </x:c>
      <x:c r="AB212" s="32" t="str">
        <x:v>待验证</x:v>
      </x:c>
      <x:c r="AC212" s="32" t="str"/>
      <x:c r="AD212" s="32" t="str">
        <x:v>provisional=true; rule_group=STATE_SC05</x:v>
      </x:c>
      <x:c r="AE212" s="32" t="str">
        <x:v>0.5</x:v>
      </x:c>
    </x:row>
    <x:row r="213">
      <x:c r="A213" s="32" t="str">
        <x:v>M3-BOUND-209</x:v>
      </x:c>
      <x:c r="B213" s="32" t="str">
        <x:v>SC06 多根同类｜重复性提高</x:v>
      </x:c>
      <x:c r="C213" s="32" t="str">
        <x:v>L4 BOUND状态修正</x:v>
      </x:c>
      <x:c r="D213" s="32" t="str">
        <x:v>BOUND-状态修正</x:v>
      </x:c>
      <x:c r="E213" s="32" t="str">
        <x:v>通用</x:v>
      </x:c>
      <x:c r="F213" s="32" t="str">
        <x:v>状态修正</x:v>
      </x:c>
      <x:c r="G213" s="32" t="str">
        <x:v>SC06</x:v>
      </x:c>
      <x:c r="H213" s="32" t="str"/>
      <x:c r="I213" s="32" t="str">
        <x:v>同类功能多根且基础可靠。</x:v>
      </x:c>
      <x:c r="J213" s="32" t="str">
        <x:v>基础信号未定；真合化后原信号已失效；只有单一弱远争议信号；或该结论会越界到M4风险、M5适配。</x:v>
      </x:c>
      <x:c r="K213" s="32" t="str">
        <x:v>由共享基础引擎与M3-STATE修正；日主承载、印比支持只修正自主与执行，不直接等于有无边界。</x:v>
      </x:c>
      <x:c r="L213" s="32" t="str">
        <x:v>不限定；夫妻星仅在入宫或形成角色、责任边界时参与接口，不作为BOUND唯一主轴。</x:v>
      </x:c>
      <x:c r="M213" s="32" t="str">
        <x:v>由M3-BASE、日支主气及宫位动态提供。</x:v>
      </x:c>
      <x:c r="N213" s="32" t="str">
        <x:v>无／待BOUND路径规则组合</x:v>
      </x:c>
      <x:c r="O213" s="32" t="str">
        <x:v>日柱与日支近位优先；全局有效独立信号可作次通道。</x:v>
      </x:c>
      <x:c r="P213" s="32" t="str">
        <x:v>由共享基础引擎判定</x:v>
      </x:c>
      <x:c r="Q213" s="32" t="str">
        <x:v>由共享基础引擎判定</x:v>
      </x:c>
      <x:c r="R213" s="32" t="str">
        <x:v>喜忌不直接等于边界好坏；只修正调用顺畅度、资源压力和状态切换。</x:v>
      </x:c>
      <x:c r="S213" s="32" t="str">
        <x:v>原十神性质有效；真合化成立时按化神所属功能系统重建。</x:v>
      </x:c>
      <x:c r="T213" s="32" t="str">
        <x:v>由共享基础引擎判定</x:v>
      </x:c>
      <x:c r="U213" s="32" t="str">
        <x:v>78</x:v>
      </x:c>
      <x:c r="V213" s="32" t="str">
        <x:v>稳定性 +6；不新增通道</x:v>
      </x:c>
      <x:c r="W213" s="32" t="str">
        <x:v>state_shift</x:v>
      </x:c>
      <x:c r="X213" s="32" t="str">
        <x:v>同一边界方式更容易在不同情境反复出现。</x:v>
      </x:c>
      <x:c r="Y213" s="32" t="str">
        <x:v>这种边界方式更可能在多种场景重复出现。</x:v>
      </x:c>
      <x:c r="Z213" s="32" t="str">
        <x:v>不得由本规则直接推出回避亲密、依赖失控、控制欲、冷漠、自私、关系破裂、分手离婚、人格或依恋类型；不得把某种边界方式等同于爱得更多或更少。</x:v>
      </x:c>
      <x:c r="AA213" s="32" t="str">
        <x:v>中高</x:v>
      </x:c>
      <x:c r="AB213" s="32" t="str">
        <x:v>待验证</x:v>
      </x:c>
      <x:c r="AC213" s="32" t="str"/>
      <x:c r="AD213" s="32" t="str">
        <x:v>provisional=true; rule_group=STATE_SC06</x:v>
      </x:c>
      <x:c r="AE213" s="32" t="str">
        <x:v>0.5</x:v>
      </x:c>
    </x:row>
    <x:row r="214">
      <x:c r="A214" s="32" t="str">
        <x:v>M3-BOUND-210</x:v>
      </x:c>
      <x:c r="B214" s="32" t="str">
        <x:v>SC07 有根但受损｜功能保留、调用受限</x:v>
      </x:c>
      <x:c r="C214" s="32" t="str">
        <x:v>L4 BOUND状态修正</x:v>
      </x:c>
      <x:c r="D214" s="32" t="str">
        <x:v>BOUND-状态修正</x:v>
      </x:c>
      <x:c r="E214" s="32" t="str">
        <x:v>通用</x:v>
      </x:c>
      <x:c r="F214" s="32" t="str">
        <x:v>状态修正</x:v>
      </x:c>
      <x:c r="G214" s="32" t="str">
        <x:v>SC07</x:v>
      </x:c>
      <x:c r="H214" s="32" t="str"/>
      <x:c r="I214" s="32" t="str">
        <x:v>有根但受冲克、合绊或其他有效损伤。</x:v>
      </x:c>
      <x:c r="J214" s="32" t="str">
        <x:v>基础信号未定；真合化后原信号已失效；只有单一弱远争议信号；或该结论会越界到M4风险、M5适配。</x:v>
      </x:c>
      <x:c r="K214" s="32" t="str">
        <x:v>由共享基础引擎与M3-STATE修正；日主承载、印比支持只修正自主与执行，不直接等于有无边界。</x:v>
      </x:c>
      <x:c r="L214" s="32" t="str">
        <x:v>不限定；夫妻星仅在入宫或形成角色、责任边界时参与接口，不作为BOUND唯一主轴。</x:v>
      </x:c>
      <x:c r="M214" s="32" t="str">
        <x:v>由M3-BASE、日支主气及宫位动态提供。</x:v>
      </x:c>
      <x:c r="N214" s="32" t="str">
        <x:v>无／待BOUND路径规则组合</x:v>
      </x:c>
      <x:c r="O214" s="32" t="str">
        <x:v>日柱与日支近位优先；全局有效独立信号可作次通道。</x:v>
      </x:c>
      <x:c r="P214" s="32" t="str">
        <x:v>由共享基础引擎判定</x:v>
      </x:c>
      <x:c r="Q214" s="32" t="str">
        <x:v>由共享基础引擎判定</x:v>
      </x:c>
      <x:c r="R214" s="32" t="str">
        <x:v>喜忌不直接等于边界好坏；只修正调用顺畅度、资源压力和状态切换。</x:v>
      </x:c>
      <x:c r="S214" s="32" t="str">
        <x:v>原十神性质有效；真合化成立时按化神所属功能系统重建。</x:v>
      </x:c>
      <x:c r="T214" s="32" t="str">
        <x:v>由共享基础引擎判定</x:v>
      </x:c>
      <x:c r="U214" s="32" t="str">
        <x:v>78</x:v>
      </x:c>
      <x:c r="V214" s="32" t="str">
        <x:v>主通道保留；顺畅度 -3</x:v>
      </x:c>
      <x:c r="W214" s="32" t="str">
        <x:v>state_shift</x:v>
      </x:c>
      <x:c r="X214" s="32" t="str">
        <x:v>功能仍存在，但调用可能更依赖具体情境和资源。</x:v>
      </x:c>
      <x:c r="Y214" s="32" t="str">
        <x:v>这项边界能力仍在，只是是否顺畅使用更看当时的关系状态。</x:v>
      </x:c>
      <x:c r="Z214" s="32" t="str">
        <x:v>不得由本规则直接推出回避亲密、依赖失控、控制欲、冷漠、自私、关系破裂、分手离婚、人格或依恋类型；不得把某种边界方式等同于爱得更多或更少。</x:v>
      </x:c>
      <x:c r="AA214" s="32" t="str">
        <x:v>中</x:v>
      </x:c>
      <x:c r="AB214" s="32" t="str">
        <x:v>待验证</x:v>
      </x:c>
      <x:c r="AC214" s="32" t="str"/>
      <x:c r="AD214" s="32" t="str">
        <x:v>provisional=true; rule_group=STATE_SC07</x:v>
      </x:c>
      <x:c r="AE214" s="32" t="str">
        <x:v>0.5</x:v>
      </x:c>
    </x:row>
    <x:row r="215">
      <x:c r="A215" s="32" t="str">
        <x:v>M3-BOUND-211</x:v>
      </x:c>
      <x:c r="B215" s="32" t="str">
        <x:v>SC08 无根但近位行为验证｜条件性成立</x:v>
      </x:c>
      <x:c r="C215" s="32" t="str">
        <x:v>L4 BOUND状态修正</x:v>
      </x:c>
      <x:c r="D215" s="32" t="str">
        <x:v>BOUND-状态修正</x:v>
      </x:c>
      <x:c r="E215" s="32" t="str">
        <x:v>通用</x:v>
      </x:c>
      <x:c r="F215" s="32" t="str">
        <x:v>状态修正</x:v>
      </x:c>
      <x:c r="G215" s="32" t="str">
        <x:v>SC08</x:v>
      </x:c>
      <x:c r="H215" s="32" t="str"/>
      <x:c r="I215" s="32" t="str">
        <x:v>结构稳定来源弱，但日柱近位或真实行为重复支持。</x:v>
      </x:c>
      <x:c r="J215" s="32" t="str">
        <x:v>基础信号未定；真合化后原信号已失效；只有单一弱远争议信号；或该结论会越界到M4风险、M5适配。</x:v>
      </x:c>
      <x:c r="K215" s="32" t="str">
        <x:v>由共享基础引擎与M3-STATE修正；日主承载、印比支持只修正自主与执行，不直接等于有无边界。</x:v>
      </x:c>
      <x:c r="L215" s="32" t="str">
        <x:v>不限定；夫妻星仅在入宫或形成角色、责任边界时参与接口，不作为BOUND唯一主轴。</x:v>
      </x:c>
      <x:c r="M215" s="32" t="str">
        <x:v>由M3-BASE、日支主气及宫位动态提供。</x:v>
      </x:c>
      <x:c r="N215" s="32" t="str">
        <x:v>无／待BOUND路径规则组合</x:v>
      </x:c>
      <x:c r="O215" s="32" t="str">
        <x:v>日柱与日支近位优先；全局有效独立信号可作次通道。</x:v>
      </x:c>
      <x:c r="P215" s="32" t="str">
        <x:v>由共享基础引擎判定</x:v>
      </x:c>
      <x:c r="Q215" s="32" t="str">
        <x:v>由共享基础引擎判定</x:v>
      </x:c>
      <x:c r="R215" s="32" t="str">
        <x:v>喜忌不直接等于边界好坏；只修正调用顺畅度、资源压力和状态切换。</x:v>
      </x:c>
      <x:c r="S215" s="32" t="str">
        <x:v>原十神性质有效；真合化成立时按化神所属功能系统重建。</x:v>
      </x:c>
      <x:c r="T215" s="32" t="str">
        <x:v>由共享基础引擎判定</x:v>
      </x:c>
      <x:c r="U215" s="32" t="str">
        <x:v>78</x:v>
      </x:c>
      <x:c r="V215" s="32" t="str">
        <x:v>条件性 +5；标记案例依赖</x:v>
      </x:c>
      <x:c r="W215" s="32" t="str">
        <x:v>confidence</x:v>
      </x:c>
      <x:c r="X215" s="32" t="str">
        <x:v>现实行为可让某项边界在特定关系中成立。</x:v>
      </x:c>
      <x:c r="Y215" s="32" t="str">
        <x:v>虽然结构来源较弱，但真实相处显示这项边界在特定关系中可以成立。</x:v>
      </x:c>
      <x:c r="Z215" s="32" t="str">
        <x:v>不得由本规则直接推出回避亲密、依赖失控、控制欲、冷漠、自私、关系破裂、分手离婚、人格或依恋类型；不得把某种边界方式等同于爱得更多或更少。</x:v>
      </x:c>
      <x:c r="AA215" s="32" t="str">
        <x:v>中</x:v>
      </x:c>
      <x:c r="AB215" s="32" t="str">
        <x:v>待验证</x:v>
      </x:c>
      <x:c r="AC215" s="32" t="str"/>
      <x:c r="AD215" s="32" t="str">
        <x:v>provisional=true; rule_group=STATE_SC08</x:v>
      </x:c>
      <x:c r="AE215" s="32" t="str">
        <x:v>0.5</x:v>
      </x:c>
    </x:row>
    <x:row r="216">
      <x:c r="A216" s="32" t="str">
        <x:v>M3-BOUND-212</x:v>
      </x:c>
      <x:c r="B216" s="32" t="str">
        <x:v>SC09 旺而平衡｜自然调用</x:v>
      </x:c>
      <x:c r="C216" s="32" t="str">
        <x:v>L4 BOUND状态修正</x:v>
      </x:c>
      <x:c r="D216" s="32" t="str">
        <x:v>BOUND-状态修正</x:v>
      </x:c>
      <x:c r="E216" s="32" t="str">
        <x:v>通用</x:v>
      </x:c>
      <x:c r="F216" s="32" t="str">
        <x:v>状态修正</x:v>
      </x:c>
      <x:c r="G216" s="32" t="str">
        <x:v>SC09</x:v>
      </x:c>
      <x:c r="H216" s="32" t="str"/>
      <x:c r="I216" s="32" t="str">
        <x:v>通道旺而有序、不过度占位。</x:v>
      </x:c>
      <x:c r="J216" s="32" t="str">
        <x:v>基础信号未定；真合化后原信号已失效；只有单一弱远争议信号；或该结论会越界到M4风险、M5适配。</x:v>
      </x:c>
      <x:c r="K216" s="32" t="str">
        <x:v>由共享基础引擎与M3-STATE修正；日主承载、印比支持只修正自主与执行，不直接等于有无边界。</x:v>
      </x:c>
      <x:c r="L216" s="32" t="str">
        <x:v>不限定；夫妻星仅在入宫或形成角色、责任边界时参与接口，不作为BOUND唯一主轴。</x:v>
      </x:c>
      <x:c r="M216" s="32" t="str">
        <x:v>由M3-BASE、日支主气及宫位动态提供。</x:v>
      </x:c>
      <x:c r="N216" s="32" t="str">
        <x:v>无／待BOUND路径规则组合</x:v>
      </x:c>
      <x:c r="O216" s="32" t="str">
        <x:v>日柱与日支近位优先；全局有效独立信号可作次通道。</x:v>
      </x:c>
      <x:c r="P216" s="32" t="str">
        <x:v>由共享基础引擎判定</x:v>
      </x:c>
      <x:c r="Q216" s="32" t="str">
        <x:v>由共享基础引擎判定</x:v>
      </x:c>
      <x:c r="R216" s="32" t="str">
        <x:v>喜忌不直接等于边界好坏；只修正调用顺畅度、资源压力和状态切换。</x:v>
      </x:c>
      <x:c r="S216" s="32" t="str">
        <x:v>原十神性质有效；真合化成立时按化神所属功能系统重建。</x:v>
      </x:c>
      <x:c r="T216" s="32" t="str">
        <x:v>由共享基础引擎判定</x:v>
      </x:c>
      <x:c r="U216" s="32" t="str">
        <x:v>78</x:v>
      </x:c>
      <x:c r="V216" s="32" t="str">
        <x:v>主通道 +7</x:v>
      </x:c>
      <x:c r="W216" s="32" t="str">
        <x:v>primary_boundary_channel</x:v>
      </x:c>
      <x:c r="X216" s="32" t="str">
        <x:v>边界方式较容易自然出现。</x:v>
      </x:c>
      <x:c r="Y216" s="32" t="str">
        <x:v>你通常不必等到特殊事件，便能较自然地使用这项边界方式。</x:v>
      </x:c>
      <x:c r="Z216" s="32" t="str">
        <x:v>不得由本规则直接推出回避亲密、依赖失控、控制欲、冷漠、自私、关系破裂、分手离婚、人格或依恋类型；不得把某种边界方式等同于爱得更多或更少。</x:v>
      </x:c>
      <x:c r="AA216" s="32" t="str">
        <x:v>中高</x:v>
      </x:c>
      <x:c r="AB216" s="32" t="str">
        <x:v>待验证</x:v>
      </x:c>
      <x:c r="AC216" s="32" t="str"/>
      <x:c r="AD216" s="32" t="str">
        <x:v>provisional=true; rule_group=STATE_SC09</x:v>
      </x:c>
      <x:c r="AE216" s="32" t="str">
        <x:v>0.5</x:v>
      </x:c>
    </x:row>
    <x:row r="217">
      <x:c r="A217" s="32" t="str">
        <x:v>M3-BOUND-213</x:v>
      </x:c>
      <x:c r="B217" s="32" t="str">
        <x:v>SC10 旺而过度占位｜抢先但不判风险</x:v>
      </x:c>
      <x:c r="C217" s="32" t="str">
        <x:v>L4 BOUND状态修正</x:v>
      </x:c>
      <x:c r="D217" s="32" t="str">
        <x:v>BOUND-状态修正</x:v>
      </x:c>
      <x:c r="E217" s="32" t="str">
        <x:v>通用</x:v>
      </x:c>
      <x:c r="F217" s="32" t="str">
        <x:v>状态修正</x:v>
      </x:c>
      <x:c r="G217" s="32" t="str">
        <x:v>SC10</x:v>
      </x:c>
      <x:c r="H217" s="32" t="str"/>
      <x:c r="I217" s="32" t="str">
        <x:v>通道过旺或持续占位，风险尚未进入M4。</x:v>
      </x:c>
      <x:c r="J217" s="32" t="str">
        <x:v>基础信号未定；真合化后原信号已失效；只有单一弱远争议信号；或该结论会越界到M4风险、M5适配。</x:v>
      </x:c>
      <x:c r="K217" s="32" t="str">
        <x:v>由共享基础引擎与M3-STATE修正；日主承载、印比支持只修正自主与执行，不直接等于有无边界。</x:v>
      </x:c>
      <x:c r="L217" s="32" t="str">
        <x:v>不限定；夫妻星仅在入宫或形成角色、责任边界时参与接口，不作为BOUND唯一主轴。</x:v>
      </x:c>
      <x:c r="M217" s="32" t="str">
        <x:v>由M3-BASE、日支主气及宫位动态提供。</x:v>
      </x:c>
      <x:c r="N217" s="32" t="str">
        <x:v>无／待BOUND路径规则组合</x:v>
      </x:c>
      <x:c r="O217" s="32" t="str">
        <x:v>日柱与日支近位优先；全局有效独立信号可作次通道。</x:v>
      </x:c>
      <x:c r="P217" s="32" t="str">
        <x:v>由共享基础引擎判定</x:v>
      </x:c>
      <x:c r="Q217" s="32" t="str">
        <x:v>由共享基础引擎判定</x:v>
      </x:c>
      <x:c r="R217" s="32" t="str">
        <x:v>喜忌不直接等于边界好坏；只修正调用顺畅度、资源压力和状态切换。</x:v>
      </x:c>
      <x:c r="S217" s="32" t="str">
        <x:v>原十神性质有效；真合化成立时按化神所属功能系统重建。</x:v>
      </x:c>
      <x:c r="T217" s="32" t="str">
        <x:v>由共享基础引擎判定</x:v>
      </x:c>
      <x:c r="U217" s="32" t="str">
        <x:v>78</x:v>
      </x:c>
      <x:c r="V217" s="32" t="str">
        <x:v>抢先 +5；路由M4</x:v>
      </x:c>
      <x:c r="W217" s="32" t="str">
        <x:v>state_shift</x:v>
      </x:c>
      <x:c r="X217" s="32" t="str">
        <x:v>该通道更容易成为第一反应，但BOUND不判断是否过度。</x:v>
      </x:c>
      <x:c r="Y217" s="32" t="str">
        <x:v>压力增加时，这种边界方式可能更容易抢先出现；是否形成问题要交给M4。</x:v>
      </x:c>
      <x:c r="Z217" s="32" t="str">
        <x:v>不得由本规则直接推出回避亲密、依赖失控、控制欲、冷漠、自私、关系破裂、分手离婚、人格或依恋类型；不得把某种边界方式等同于爱得更多或更少。</x:v>
      </x:c>
      <x:c r="AA217" s="32" t="str">
        <x:v>中</x:v>
      </x:c>
      <x:c r="AB217" s="32" t="str">
        <x:v>待验证</x:v>
      </x:c>
      <x:c r="AC217" s="32" t="str"/>
      <x:c r="AD217" s="32" t="str">
        <x:v>provisional=true; rule_group=STATE_SC10</x:v>
      </x:c>
      <x:c r="AE217" s="32" t="str">
        <x:v>0.5</x:v>
      </x:c>
    </x:row>
    <x:row r="218">
      <x:c r="A218" s="32" t="str">
        <x:v>M3-BOUND-214</x:v>
      </x:c>
      <x:c r="B218" s="32" t="str">
        <x:v>SC11 中和可用｜依情境稳定调用</x:v>
      </x:c>
      <x:c r="C218" s="32" t="str">
        <x:v>L4 BOUND状态修正</x:v>
      </x:c>
      <x:c r="D218" s="32" t="str">
        <x:v>BOUND-状态修正</x:v>
      </x:c>
      <x:c r="E218" s="32" t="str">
        <x:v>通用</x:v>
      </x:c>
      <x:c r="F218" s="32" t="str">
        <x:v>状态修正</x:v>
      </x:c>
      <x:c r="G218" s="32" t="str">
        <x:v>SC11</x:v>
      </x:c>
      <x:c r="H218" s="32" t="str"/>
      <x:c r="I218" s="32" t="str">
        <x:v>通道中和可用，基础无关键冲突。</x:v>
      </x:c>
      <x:c r="J218" s="32" t="str">
        <x:v>基础信号未定；真合化后原信号已失效；只有单一弱远争议信号；或该结论会越界到M4风险、M5适配。</x:v>
      </x:c>
      <x:c r="K218" s="32" t="str">
        <x:v>由共享基础引擎与M3-STATE修正；日主承载、印比支持只修正自主与执行，不直接等于有无边界。</x:v>
      </x:c>
      <x:c r="L218" s="32" t="str">
        <x:v>不限定；夫妻星仅在入宫或形成角色、责任边界时参与接口，不作为BOUND唯一主轴。</x:v>
      </x:c>
      <x:c r="M218" s="32" t="str">
        <x:v>由M3-BASE、日支主气及宫位动态提供。</x:v>
      </x:c>
      <x:c r="N218" s="32" t="str">
        <x:v>无／待BOUND路径规则组合</x:v>
      </x:c>
      <x:c r="O218" s="32" t="str">
        <x:v>日柱与日支近位优先；全局有效独立信号可作次通道。</x:v>
      </x:c>
      <x:c r="P218" s="32" t="str">
        <x:v>由共享基础引擎判定</x:v>
      </x:c>
      <x:c r="Q218" s="32" t="str">
        <x:v>由共享基础引擎判定</x:v>
      </x:c>
      <x:c r="R218" s="32" t="str">
        <x:v>喜忌不直接等于边界好坏；只修正调用顺畅度、资源压力和状态切换。</x:v>
      </x:c>
      <x:c r="S218" s="32" t="str">
        <x:v>原十神性质有效；真合化成立时按化神所属功能系统重建。</x:v>
      </x:c>
      <x:c r="T218" s="32" t="str">
        <x:v>由共享基础引擎判定</x:v>
      </x:c>
      <x:c r="U218" s="32" t="str">
        <x:v>78</x:v>
      </x:c>
      <x:c r="V218" s="32" t="str">
        <x:v>主通道 +5</x:v>
      </x:c>
      <x:c r="W218" s="32" t="str">
        <x:v>primary_boundary_channel</x:v>
      </x:c>
      <x:c r="X218" s="32" t="str">
        <x:v>在合适情境中可稳定调用。</x:v>
      </x:c>
      <x:c r="Y218" s="32" t="str">
        <x:v>你通常能按情境使用这项边界方式，不会长期压过其他通道。</x:v>
      </x:c>
      <x:c r="Z218" s="32" t="str">
        <x:v>不得由本规则直接推出回避亲密、依赖失控、控制欲、冷漠、自私、关系破裂、分手离婚、人格或依恋类型；不得把某种边界方式等同于爱得更多或更少。</x:v>
      </x:c>
      <x:c r="AA218" s="32" t="str">
        <x:v>中</x:v>
      </x:c>
      <x:c r="AB218" s="32" t="str">
        <x:v>待验证</x:v>
      </x:c>
      <x:c r="AC218" s="32" t="str"/>
      <x:c r="AD218" s="32" t="str">
        <x:v>provisional=true; rule_group=STATE_SC11</x:v>
      </x:c>
      <x:c r="AE218" s="32" t="str">
        <x:v>0.5</x:v>
      </x:c>
    </x:row>
    <x:row r="219">
      <x:c r="A219" s="32" t="str">
        <x:v>M3-BOUND-215</x:v>
      </x:c>
      <x:c r="B219" s="32" t="str">
        <x:v>SC12 偏弱有助｜需要明确条件</x:v>
      </x:c>
      <x:c r="C219" s="32" t="str">
        <x:v>L4 BOUND状态修正</x:v>
      </x:c>
      <x:c r="D219" s="32" t="str">
        <x:v>BOUND-状态修正</x:v>
      </x:c>
      <x:c r="E219" s="32" t="str">
        <x:v>通用</x:v>
      </x:c>
      <x:c r="F219" s="32" t="str">
        <x:v>状态修正</x:v>
      </x:c>
      <x:c r="G219" s="32" t="str">
        <x:v>SC12</x:v>
      </x:c>
      <x:c r="H219" s="32" t="str"/>
      <x:c r="I219" s="32" t="str">
        <x:v>通道偏弱但有生助、近位或现实支持。</x:v>
      </x:c>
      <x:c r="J219" s="32" t="str">
        <x:v>基础信号未定；真合化后原信号已失效；只有单一弱远争议信号；或该结论会越界到M4风险、M5适配。</x:v>
      </x:c>
      <x:c r="K219" s="32" t="str">
        <x:v>由共享基础引擎与M3-STATE修正；日主承载、印比支持只修正自主与执行，不直接等于有无边界。</x:v>
      </x:c>
      <x:c r="L219" s="32" t="str">
        <x:v>不限定；夫妻星仅在入宫或形成角色、责任边界时参与接口，不作为BOUND唯一主轴。</x:v>
      </x:c>
      <x:c r="M219" s="32" t="str">
        <x:v>由M3-BASE、日支主气及宫位动态提供。</x:v>
      </x:c>
      <x:c r="N219" s="32" t="str">
        <x:v>无／待BOUND路径规则组合</x:v>
      </x:c>
      <x:c r="O219" s="32" t="str">
        <x:v>日柱与日支近位优先；全局有效独立信号可作次通道。</x:v>
      </x:c>
      <x:c r="P219" s="32" t="str">
        <x:v>由共享基础引擎判定</x:v>
      </x:c>
      <x:c r="Q219" s="32" t="str">
        <x:v>由共享基础引擎判定</x:v>
      </x:c>
      <x:c r="R219" s="32" t="str">
        <x:v>喜忌不直接等于边界好坏；只修正调用顺畅度、资源压力和状态切换。</x:v>
      </x:c>
      <x:c r="S219" s="32" t="str">
        <x:v>原十神性质有效；真合化成立时按化神所属功能系统重建。</x:v>
      </x:c>
      <x:c r="T219" s="32" t="str">
        <x:v>由共享基础引擎判定</x:v>
      </x:c>
      <x:c r="U219" s="32" t="str">
        <x:v>78</x:v>
      </x:c>
      <x:c r="V219" s="32" t="str">
        <x:v>条件性 +4</x:v>
      </x:c>
      <x:c r="W219" s="32" t="str">
        <x:v>closeness_rhythm</x:v>
      </x:c>
      <x:c r="X219" s="32" t="str">
        <x:v>并非缺失，而是需要安全、回应或事情清楚时才容易出现。</x:v>
      </x:c>
      <x:c r="Y219" s="32" t="str">
        <x:v>这项边界方式更容易在关系安全、需求清楚或有人回应时出现。</x:v>
      </x:c>
      <x:c r="Z219" s="32" t="str">
        <x:v>不得由本规则直接推出回避亲密、依赖失控、控制欲、冷漠、自私、关系破裂、分手离婚、人格或依恋类型；不得把某种边界方式等同于爱得更多或更少。</x:v>
      </x:c>
      <x:c r="AA219" s="32" t="str">
        <x:v>中</x:v>
      </x:c>
      <x:c r="AB219" s="32" t="str">
        <x:v>待验证</x:v>
      </x:c>
      <x:c r="AC219" s="32" t="str"/>
      <x:c r="AD219" s="32" t="str">
        <x:v>provisional=true; rule_group=STATE_SC12</x:v>
      </x:c>
      <x:c r="AE219" s="32" t="str">
        <x:v>0.5</x:v>
      </x:c>
    </x:row>
    <x:row r="220">
      <x:c r="A220" s="32" t="str">
        <x:v>M3-BOUND-216</x:v>
      </x:c>
      <x:c r="B220" s="32" t="str">
        <x:v>SC13 偏弱无助｜不写稳定模式</x:v>
      </x:c>
      <x:c r="C220" s="32" t="str">
        <x:v>L4 BOUND状态修正</x:v>
      </x:c>
      <x:c r="D220" s="32" t="str">
        <x:v>BOUND-状态修正</x:v>
      </x:c>
      <x:c r="E220" s="32" t="str">
        <x:v>通用</x:v>
      </x:c>
      <x:c r="F220" s="32" t="str">
        <x:v>状态修正</x:v>
      </x:c>
      <x:c r="G220" s="32" t="str">
        <x:v>SC13</x:v>
      </x:c>
      <x:c r="H220" s="32" t="str"/>
      <x:c r="I220" s="32" t="str">
        <x:v>通道偏弱无助且缺少现实证据。</x:v>
      </x:c>
      <x:c r="J220" s="32" t="str">
        <x:v>基础信号未定；真合化后原信号已失效；只有单一弱远争议信号；或该结论会越界到M4风险、M5适配。</x:v>
      </x:c>
      <x:c r="K220" s="32" t="str">
        <x:v>由共享基础引擎与M3-STATE修正；日主承载、印比支持只修正自主与执行，不直接等于有无边界。</x:v>
      </x:c>
      <x:c r="L220" s="32" t="str">
        <x:v>不限定；夫妻星仅在入宫或形成角色、责任边界时参与接口，不作为BOUND唯一主轴。</x:v>
      </x:c>
      <x:c r="M220" s="32" t="str">
        <x:v>由M3-BASE、日支主气及宫位动态提供。</x:v>
      </x:c>
      <x:c r="N220" s="32" t="str">
        <x:v>无／待BOUND路径规则组合</x:v>
      </x:c>
      <x:c r="O220" s="32" t="str">
        <x:v>日柱与日支近位优先；全局有效独立信号可作次通道。</x:v>
      </x:c>
      <x:c r="P220" s="32" t="str">
        <x:v>由共享基础引擎判定</x:v>
      </x:c>
      <x:c r="Q220" s="32" t="str">
        <x:v>由共享基础引擎判定</x:v>
      </x:c>
      <x:c r="R220" s="32" t="str">
        <x:v>喜忌不直接等于边界好坏；只修正调用顺畅度、资源压力和状态切换。</x:v>
      </x:c>
      <x:c r="S220" s="32" t="str">
        <x:v>原十神性质有效；真合化成立时按化神所属功能系统重建。</x:v>
      </x:c>
      <x:c r="T220" s="32" t="str">
        <x:v>由共享基础引擎判定</x:v>
      </x:c>
      <x:c r="U220" s="32" t="str">
        <x:v>78</x:v>
      </x:c>
      <x:c r="V220" s="32" t="str">
        <x:v>候选 +1；降置信</x:v>
      </x:c>
      <x:c r="W220" s="32" t="str">
        <x:v>primary_boundary_channel</x:v>
      </x:c>
      <x:c r="X220" s="32" t="str">
        <x:v>不足以写成稳定模式。</x:v>
      </x:c>
      <x:c r="Y220" s="32" t="str">
        <x:v>目前只能把它作为低权重背景，不能写成固定边界。</x:v>
      </x:c>
      <x:c r="Z220" s="32" t="str">
        <x:v>不得由本规则直接推出回避亲密、依赖失控、控制欲、冷漠、自私、关系破裂、分手离婚、人格或依恋类型；不得把某种边界方式等同于爱得更多或更少。</x:v>
      </x:c>
      <x:c r="AA220" s="32" t="str">
        <x:v>中低</x:v>
      </x:c>
      <x:c r="AB220" s="32" t="str">
        <x:v>待验证</x:v>
      </x:c>
      <x:c r="AC220" s="32" t="str"/>
      <x:c r="AD220" s="32" t="str">
        <x:v>provisional=true; rule_group=STATE_SC13</x:v>
      </x:c>
      <x:c r="AE220" s="32" t="str">
        <x:v>0.5</x:v>
      </x:c>
    </x:row>
    <x:row r="221">
      <x:c r="A221" s="32" t="str">
        <x:v>M3-BOUND-217</x:v>
      </x:c>
      <x:c r="B221" s="32" t="str">
        <x:v>SC14 强弱争议｜回退到五系统</x:v>
      </x:c>
      <x:c r="C221" s="32" t="str">
        <x:v>L4 BOUND状态修正</x:v>
      </x:c>
      <x:c r="D221" s="32" t="str">
        <x:v>BOUND-状态修正</x:v>
      </x:c>
      <x:c r="E221" s="32" t="str">
        <x:v>通用</x:v>
      </x:c>
      <x:c r="F221" s="32" t="str">
        <x:v>状态修正</x:v>
      </x:c>
      <x:c r="G221" s="32" t="str">
        <x:v>SC14</x:v>
      </x:c>
      <x:c r="H221" s="32" t="str"/>
      <x:c r="I221" s="32" t="str">
        <x:v>旺弱、根气或作用关系存在关键争议。</x:v>
      </x:c>
      <x:c r="J221" s="32" t="str">
        <x:v>基础信号未定；真合化后原信号已失效；只有单一弱远争议信号；或该结论会越界到M4风险、M5适配。</x:v>
      </x:c>
      <x:c r="K221" s="32" t="str">
        <x:v>由共享基础引擎与M3-STATE修正；日主承载、印比支持只修正自主与执行，不直接等于有无边界。</x:v>
      </x:c>
      <x:c r="L221" s="32" t="str">
        <x:v>不限定；夫妻星仅在入宫或形成角色、责任边界时参与接口，不作为BOUND唯一主轴。</x:v>
      </x:c>
      <x:c r="M221" s="32" t="str">
        <x:v>由M3-BASE、日支主气及宫位动态提供。</x:v>
      </x:c>
      <x:c r="N221" s="32" t="str">
        <x:v>无／待BOUND路径规则组合</x:v>
      </x:c>
      <x:c r="O221" s="32" t="str">
        <x:v>日柱与日支近位优先；全局有效独立信号可作次通道。</x:v>
      </x:c>
      <x:c r="P221" s="32" t="str">
        <x:v>由共享基础引擎判定</x:v>
      </x:c>
      <x:c r="Q221" s="32" t="str">
        <x:v>由共享基础引擎判定</x:v>
      </x:c>
      <x:c r="R221" s="32" t="str">
        <x:v>喜忌不直接等于边界好坏；只修正调用顺畅度、资源压力和状态切换。</x:v>
      </x:c>
      <x:c r="S221" s="32" t="str">
        <x:v>原十神性质有效；真合化成立时按化神所属功能系统重建。</x:v>
      </x:c>
      <x:c r="T221" s="32" t="str">
        <x:v>由共享基础引擎判定</x:v>
      </x:c>
      <x:c r="U221" s="32" t="str">
        <x:v>78</x:v>
      </x:c>
      <x:c r="V221" s="32" t="str">
        <x:v>停止十神级输出</x:v>
      </x:c>
      <x:c r="W221" s="32" t="str">
        <x:v>report_status</x:v>
      </x:c>
      <x:c r="X221" s="32" t="str">
        <x:v>只能输出系统级方向，不细化到具体十神。</x:v>
      </x:c>
      <x:c r="Y221" s="32" t="str">
        <x:v>目前只能判断你更偏向某一类边界系统，具体方式仍需保留不确定性。</x:v>
      </x:c>
      <x:c r="Z221" s="32" t="str">
        <x:v>不得由本规则直接推出回避亲密、依赖失控、控制欲、冷漠、自私、关系破裂、分手离婚、人格或依恋类型；不得把某种边界方式等同于爱得更多或更少。</x:v>
      </x:c>
      <x:c r="AA221" s="32" t="str">
        <x:v>低</x:v>
      </x:c>
      <x:c r="AB221" s="32" t="str">
        <x:v>待验证</x:v>
      </x:c>
      <x:c r="AC221" s="32" t="str"/>
      <x:c r="AD221" s="32" t="str">
        <x:v>provisional=true; rule_group=STATE_SC14</x:v>
      </x:c>
      <x:c r="AE221" s="32" t="str">
        <x:v>0.5</x:v>
      </x:c>
    </x:row>
    <x:row r="222">
      <x:c r="A222" s="32" t="str">
        <x:v>M3-BOUND-218</x:v>
      </x:c>
      <x:c r="B222" s="32" t="str">
        <x:v>SC15 为喜且平衡｜调用较顺畅</x:v>
      </x:c>
      <x:c r="C222" s="32" t="str">
        <x:v>L4 BOUND状态修正</x:v>
      </x:c>
      <x:c r="D222" s="32" t="str">
        <x:v>BOUND-状态修正</x:v>
      </x:c>
      <x:c r="E222" s="32" t="str">
        <x:v>通用</x:v>
      </x:c>
      <x:c r="F222" s="32" t="str">
        <x:v>状态修正</x:v>
      </x:c>
      <x:c r="G222" s="32" t="str">
        <x:v>SC15</x:v>
      </x:c>
      <x:c r="H222" s="32" t="str"/>
      <x:c r="I222" s="32" t="str">
        <x:v>喜用且功能平衡。</x:v>
      </x:c>
      <x:c r="J222" s="32" t="str">
        <x:v>基础信号未定；真合化后原信号已失效；只有单一弱远争议信号；或该结论会越界到M4风险、M5适配。</x:v>
      </x:c>
      <x:c r="K222" s="32" t="str">
        <x:v>由共享基础引擎与M3-STATE修正；日主承载、印比支持只修正自主与执行，不直接等于有无边界。</x:v>
      </x:c>
      <x:c r="L222" s="32" t="str">
        <x:v>不限定；夫妻星仅在入宫或形成角色、责任边界时参与接口，不作为BOUND唯一主轴。</x:v>
      </x:c>
      <x:c r="M222" s="32" t="str">
        <x:v>由M3-BASE、日支主气及宫位动态提供。</x:v>
      </x:c>
      <x:c r="N222" s="32" t="str">
        <x:v>无／待BOUND路径规则组合</x:v>
      </x:c>
      <x:c r="O222" s="32" t="str">
        <x:v>日柱与日支近位优先；全局有效独立信号可作次通道。</x:v>
      </x:c>
      <x:c r="P222" s="32" t="str">
        <x:v>由共享基础引擎判定</x:v>
      </x:c>
      <x:c r="Q222" s="32" t="str">
        <x:v>由共享基础引擎判定</x:v>
      </x:c>
      <x:c r="R222" s="32" t="str">
        <x:v>喜忌不直接等于边界好坏；只修正调用顺畅度、资源压力和状态切换。</x:v>
      </x:c>
      <x:c r="S222" s="32" t="str">
        <x:v>原十神性质有效；真合化成立时按化神所属功能系统重建。</x:v>
      </x:c>
      <x:c r="T222" s="32" t="str">
        <x:v>由共享基础引擎判定</x:v>
      </x:c>
      <x:c r="U222" s="32" t="str">
        <x:v>78</x:v>
      </x:c>
      <x:c r="V222" s="32" t="str">
        <x:v>顺畅度 +4</x:v>
      </x:c>
      <x:c r="W222" s="32" t="str">
        <x:v>state_shift</x:v>
      </x:c>
      <x:c r="X222" s="32" t="str">
        <x:v>使用时较容易得到清楚反馈。</x:v>
      </x:c>
      <x:c r="Y222" s="32" t="str">
        <x:v>你使用这项边界方式时通常较顺手，也更容易让对方理解。</x:v>
      </x:c>
      <x:c r="Z222" s="32" t="str">
        <x:v>不得由本规则直接推出回避亲密、依赖失控、控制欲、冷漠、自私、关系破裂、分手离婚、人格或依恋类型；不得把某种边界方式等同于爱得更多或更少。</x:v>
      </x:c>
      <x:c r="AA222" s="32" t="str">
        <x:v>中</x:v>
      </x:c>
      <x:c r="AB222" s="32" t="str">
        <x:v>待验证</x:v>
      </x:c>
      <x:c r="AC222" s="32" t="str"/>
      <x:c r="AD222" s="32" t="str">
        <x:v>provisional=true; rule_group=STATE_SC15</x:v>
      </x:c>
      <x:c r="AE222" s="32" t="str">
        <x:v>0.5</x:v>
      </x:c>
    </x:row>
    <x:row r="223">
      <x:c r="A223" s="32" t="str">
        <x:v>M3-BOUND-219</x:v>
      </x:c>
      <x:c r="B223" s="32" t="str">
        <x:v>SC16 为忌但有效｜仍可高频调用</x:v>
      </x:c>
      <x:c r="C223" s="32" t="str">
        <x:v>L4 BOUND状态修正</x:v>
      </x:c>
      <x:c r="D223" s="32" t="str">
        <x:v>BOUND-状态修正</x:v>
      </x:c>
      <x:c r="E223" s="32" t="str">
        <x:v>通用</x:v>
      </x:c>
      <x:c r="F223" s="32" t="str">
        <x:v>状态修正</x:v>
      </x:c>
      <x:c r="G223" s="32" t="str">
        <x:v>SC16</x:v>
      </x:c>
      <x:c r="H223" s="32" t="str"/>
      <x:c r="I223" s="32" t="str">
        <x:v>为忌但十神有效。</x:v>
      </x:c>
      <x:c r="J223" s="32" t="str">
        <x:v>基础信号未定；真合化后原信号已失效；只有单一弱远争议信号；或该结论会越界到M4风险、M5适配。</x:v>
      </x:c>
      <x:c r="K223" s="32" t="str">
        <x:v>由共享基础引擎与M3-STATE修正；日主承载、印比支持只修正自主与执行，不直接等于有无边界。</x:v>
      </x:c>
      <x:c r="L223" s="32" t="str">
        <x:v>不限定；夫妻星仅在入宫或形成角色、责任边界时参与接口，不作为BOUND唯一主轴。</x:v>
      </x:c>
      <x:c r="M223" s="32" t="str">
        <x:v>由M3-BASE、日支主气及宫位动态提供。</x:v>
      </x:c>
      <x:c r="N223" s="32" t="str">
        <x:v>无／待BOUND路径规则组合</x:v>
      </x:c>
      <x:c r="O223" s="32" t="str">
        <x:v>日柱与日支近位优先；全局有效独立信号可作次通道。</x:v>
      </x:c>
      <x:c r="P223" s="32" t="str">
        <x:v>由共享基础引擎判定</x:v>
      </x:c>
      <x:c r="Q223" s="32" t="str">
        <x:v>由共享基础引擎判定</x:v>
      </x:c>
      <x:c r="R223" s="32" t="str">
        <x:v>喜忌不直接等于边界好坏；只修正调用顺畅度、资源压力和状态切换。</x:v>
      </x:c>
      <x:c r="S223" s="32" t="str">
        <x:v>原十神性质有效；真合化成立时按化神所属功能系统重建。</x:v>
      </x:c>
      <x:c r="T223" s="32" t="str">
        <x:v>由共享基础引擎判定</x:v>
      </x:c>
      <x:c r="U223" s="32" t="str">
        <x:v>78</x:v>
      </x:c>
      <x:c r="V223" s="32" t="str">
        <x:v>强度保留；路由M4</x:v>
      </x:c>
      <x:c r="W223" s="32" t="str">
        <x:v>state_shift</x:v>
      </x:c>
      <x:c r="X223" s="32" t="str">
        <x:v>喜忌不决定是否使用，只提示体验和资源压力。</x:v>
      </x:c>
      <x:c r="Y223" s="32" t="str">
        <x:v>这项方式仍可能很常用；是否让你有压力，需要另行判断。</x:v>
      </x:c>
      <x:c r="Z223" s="32" t="str">
        <x:v>不得由本规则直接推出回避亲密、依赖失控、控制欲、冷漠、自私、关系破裂、分手离婚、人格或依恋类型；不得把某种边界方式等同于爱得更多或更少。</x:v>
      </x:c>
      <x:c r="AA223" s="32" t="str">
        <x:v>中</x:v>
      </x:c>
      <x:c r="AB223" s="32" t="str">
        <x:v>待验证</x:v>
      </x:c>
      <x:c r="AC223" s="32" t="str"/>
      <x:c r="AD223" s="32" t="str">
        <x:v>provisional=true; rule_group=STATE_SC16</x:v>
      </x:c>
      <x:c r="AE223" s="32" t="str">
        <x:v>0.5</x:v>
      </x:c>
    </x:row>
    <x:row r="224">
      <x:c r="A224" s="32" t="str">
        <x:v>M3-BOUND-220</x:v>
      </x:c>
      <x:c r="B224" s="32" t="str">
        <x:v>SC17 喜忌未定｜只用功能语言</x:v>
      </x:c>
      <x:c r="C224" s="32" t="str">
        <x:v>L4 BOUND状态修正</x:v>
      </x:c>
      <x:c r="D224" s="32" t="str">
        <x:v>BOUND-状态修正</x:v>
      </x:c>
      <x:c r="E224" s="32" t="str">
        <x:v>通用</x:v>
      </x:c>
      <x:c r="F224" s="32" t="str">
        <x:v>状态修正</x:v>
      </x:c>
      <x:c r="G224" s="32" t="str">
        <x:v>SC17</x:v>
      </x:c>
      <x:c r="H224" s="32" t="str"/>
      <x:c r="I224" s="32" t="str">
        <x:v>喜忌尚未可靠确定。</x:v>
      </x:c>
      <x:c r="J224" s="32" t="str">
        <x:v>基础信号未定；真合化后原信号已失效；只有单一弱远争议信号；或该结论会越界到M4风险、M5适配。</x:v>
      </x:c>
      <x:c r="K224" s="32" t="str">
        <x:v>由共享基础引擎与M3-STATE修正；日主承载、印比支持只修正自主与执行，不直接等于有无边界。</x:v>
      </x:c>
      <x:c r="L224" s="32" t="str">
        <x:v>不限定；夫妻星仅在入宫或形成角色、责任边界时参与接口，不作为BOUND唯一主轴。</x:v>
      </x:c>
      <x:c r="M224" s="32" t="str">
        <x:v>由M3-BASE、日支主气及宫位动态提供。</x:v>
      </x:c>
      <x:c r="N224" s="32" t="str">
        <x:v>无／待BOUND路径规则组合</x:v>
      </x:c>
      <x:c r="O224" s="32" t="str">
        <x:v>日柱与日支近位优先；全局有效独立信号可作次通道。</x:v>
      </x:c>
      <x:c r="P224" s="32" t="str">
        <x:v>由共享基础引擎判定</x:v>
      </x:c>
      <x:c r="Q224" s="32" t="str">
        <x:v>由共享基础引擎判定</x:v>
      </x:c>
      <x:c r="R224" s="32" t="str">
        <x:v>喜忌不直接等于边界好坏；只修正调用顺畅度、资源压力和状态切换。</x:v>
      </x:c>
      <x:c r="S224" s="32" t="str">
        <x:v>原十神性质有效；真合化成立时按化神所属功能系统重建。</x:v>
      </x:c>
      <x:c r="T224" s="32" t="str">
        <x:v>由共享基础引擎判定</x:v>
      </x:c>
      <x:c r="U224" s="32" t="str">
        <x:v>78</x:v>
      </x:c>
      <x:c r="V224" s="32" t="str">
        <x:v>功能保留；不写体验质量</x:v>
      </x:c>
      <x:c r="W224" s="32" t="str">
        <x:v>boundary_note</x:v>
      </x:c>
      <x:c r="X224" s="32" t="str">
        <x:v>可以说明功能，不评价顺畅或轻松。</x:v>
      </x:c>
      <x:c r="Y224" s="32" t="str">
        <x:v>可以说明你怎样安排边界，但不评价这种方式是否轻松或有压力。</x:v>
      </x:c>
      <x:c r="Z224" s="32" t="str">
        <x:v>不得由本规则直接推出回避亲密、依赖失控、控制欲、冷漠、自私、关系破裂、分手离婚、人格或依恋类型；不得把某种边界方式等同于爱得更多或更少。</x:v>
      </x:c>
      <x:c r="AA224" s="32" t="str">
        <x:v>中</x:v>
      </x:c>
      <x:c r="AB224" s="32" t="str">
        <x:v>待验证</x:v>
      </x:c>
      <x:c r="AC224" s="32" t="str"/>
      <x:c r="AD224" s="32" t="str">
        <x:v>provisional=true; rule_group=STATE_SC17</x:v>
      </x:c>
      <x:c r="AE224" s="32" t="str">
        <x:v>0.5</x:v>
      </x:c>
    </x:row>
    <x:row r="225">
      <x:c r="A225" s="32" t="str">
        <x:v>M3-BOUND-221</x:v>
      </x:c>
      <x:c r="B225" s="32" t="str">
        <x:v>SC18 忌而过旺｜禁止直接写边界失控</x:v>
      </x:c>
      <x:c r="C225" s="32" t="str">
        <x:v>L4 BOUND状态修正</x:v>
      </x:c>
      <x:c r="D225" s="32" t="str">
        <x:v>BOUND-状态修正</x:v>
      </x:c>
      <x:c r="E225" s="32" t="str">
        <x:v>通用</x:v>
      </x:c>
      <x:c r="F225" s="32" t="str">
        <x:v>状态修正</x:v>
      </x:c>
      <x:c r="G225" s="32" t="str">
        <x:v>SC18</x:v>
      </x:c>
      <x:c r="H225" s="32" t="str"/>
      <x:c r="I225" s="32" t="str">
        <x:v>为忌且过旺，但M4未运行。</x:v>
      </x:c>
      <x:c r="J225" s="32" t="str">
        <x:v>基础信号未定；真合化后原信号已失效；只有单一弱远争议信号；或该结论会越界到M4风险、M5适配。</x:v>
      </x:c>
      <x:c r="K225" s="32" t="str">
        <x:v>由共享基础引擎与M3-STATE修正；日主承载、印比支持只修正自主与执行，不直接等于有无边界。</x:v>
      </x:c>
      <x:c r="L225" s="32" t="str">
        <x:v>不限定；夫妻星仅在入宫或形成角色、责任边界时参与接口，不作为BOUND唯一主轴。</x:v>
      </x:c>
      <x:c r="M225" s="32" t="str">
        <x:v>由M3-BASE、日支主气及宫位动态提供。</x:v>
      </x:c>
      <x:c r="N225" s="32" t="str">
        <x:v>无／待BOUND路径规则组合</x:v>
      </x:c>
      <x:c r="O225" s="32" t="str">
        <x:v>日柱与日支近位优先；全局有效独立信号可作次通道。</x:v>
      </x:c>
      <x:c r="P225" s="32" t="str">
        <x:v>由共享基础引擎判定</x:v>
      </x:c>
      <x:c r="Q225" s="32" t="str">
        <x:v>由共享基础引擎判定</x:v>
      </x:c>
      <x:c r="R225" s="32" t="str">
        <x:v>喜忌不直接等于边界好坏；只修正调用顺畅度、资源压力和状态切换。</x:v>
      </x:c>
      <x:c r="S225" s="32" t="str">
        <x:v>原十神性质有效；真合化成立时按化神所属功能系统重建。</x:v>
      </x:c>
      <x:c r="T225" s="32" t="str">
        <x:v>由共享基础引擎判定</x:v>
      </x:c>
      <x:c r="U225" s="32" t="str">
        <x:v>78</x:v>
      </x:c>
      <x:c r="V225" s="32" t="str">
        <x:v>路由M4；BOUND不判风险</x:v>
      </x:c>
      <x:c r="W225" s="32" t="str">
        <x:v>boundary_note</x:v>
      </x:c>
      <x:c r="X225" s="32" t="str">
        <x:v>只能说明通道抢先和占位。</x:v>
      </x:c>
      <x:c r="Y225" s="32" t="str">
        <x:v>只能说明这种边界方式容易抢先，不直接写成控制、回避或失去自我。</x:v>
      </x:c>
      <x:c r="Z225" s="32" t="str">
        <x:v>不得由本规则直接推出回避亲密、依赖失控、控制欲、冷漠、自私、关系破裂、分手离婚、人格或依恋类型；不得把某种边界方式等同于爱得更多或更少。</x:v>
      </x:c>
      <x:c r="AA225" s="32" t="str">
        <x:v>高</x:v>
      </x:c>
      <x:c r="AB225" s="32" t="str">
        <x:v>待验证</x:v>
      </x:c>
      <x:c r="AC225" s="32" t="str"/>
      <x:c r="AD225" s="32" t="str">
        <x:v>provisional=true; rule_group=STATE_SC18</x:v>
      </x:c>
      <x:c r="AE225" s="32" t="str">
        <x:v>0.5</x:v>
      </x:c>
    </x:row>
    <x:row r="226">
      <x:c r="A226" s="32" t="str">
        <x:v>M3-BOUND-222</x:v>
      </x:c>
      <x:c r="B226" s="32" t="str">
        <x:v>SC19 有制有化｜经过另一系统调节</x:v>
      </x:c>
      <x:c r="C226" s="32" t="str">
        <x:v>L4 BOUND状态修正</x:v>
      </x:c>
      <x:c r="D226" s="32" t="str">
        <x:v>BOUND-状态修正</x:v>
      </x:c>
      <x:c r="E226" s="32" t="str">
        <x:v>通用</x:v>
      </x:c>
      <x:c r="F226" s="32" t="str">
        <x:v>状态修正</x:v>
      </x:c>
      <x:c r="G226" s="32" t="str">
        <x:v>SC19</x:v>
      </x:c>
      <x:c r="H226" s="32" t="str"/>
      <x:c r="I226" s="32" t="str">
        <x:v>原通道有有效制化或桥接。</x:v>
      </x:c>
      <x:c r="J226" s="32" t="str">
        <x:v>基础信号未定；真合化后原信号已失效；只有单一弱远争议信号；或该结论会越界到M4风险、M5适配。</x:v>
      </x:c>
      <x:c r="K226" s="32" t="str">
        <x:v>由共享基础引擎与M3-STATE修正；日主承载、印比支持只修正自主与执行，不直接等于有无边界。</x:v>
      </x:c>
      <x:c r="L226" s="32" t="str">
        <x:v>不限定；夫妻星仅在入宫或形成角色、责任边界时参与接口，不作为BOUND唯一主轴。</x:v>
      </x:c>
      <x:c r="M226" s="32" t="str">
        <x:v>由M3-BASE、日支主气及宫位动态提供。</x:v>
      </x:c>
      <x:c r="N226" s="32" t="str">
        <x:v>无／待BOUND路径规则组合</x:v>
      </x:c>
      <x:c r="O226" s="32" t="str">
        <x:v>日柱与日支近位优先；全局有效独立信号可作次通道。</x:v>
      </x:c>
      <x:c r="P226" s="32" t="str">
        <x:v>由共享基础引擎判定</x:v>
      </x:c>
      <x:c r="Q226" s="32" t="str">
        <x:v>由共享基础引擎判定</x:v>
      </x:c>
      <x:c r="R226" s="32" t="str">
        <x:v>喜忌不直接等于边界好坏；只修正调用顺畅度、资源压力和状态切换。</x:v>
      </x:c>
      <x:c r="S226" s="32" t="str">
        <x:v>原十神性质有效；真合化成立时按化神所属功能系统重建。</x:v>
      </x:c>
      <x:c r="T226" s="32" t="str">
        <x:v>由共享基础引擎判定</x:v>
      </x:c>
      <x:c r="U226" s="32" t="str">
        <x:v>78</x:v>
      </x:c>
      <x:c r="V226" s="32" t="str">
        <x:v>建立桥接路径 +5</x:v>
      </x:c>
      <x:c r="W226" s="32" t="str">
        <x:v>boundary_path</x:v>
      </x:c>
      <x:c r="X226" s="32" t="str">
        <x:v>边界方式会经过另一系统调节。</x:v>
      </x:c>
      <x:c r="Y226" s="32" t="str">
        <x:v>你的边界可能先经过沟通、安全确认、现实安排或角色协商，再真正落实。</x:v>
      </x:c>
      <x:c r="Z226" s="32" t="str">
        <x:v>不得由本规则直接推出回避亲密、依赖失控、控制欲、冷漠、自私、关系破裂、分手离婚、人格或依恋类型；不得把某种边界方式等同于爱得更多或更少。</x:v>
      </x:c>
      <x:c r="AA226" s="32" t="str">
        <x:v>中高</x:v>
      </x:c>
      <x:c r="AB226" s="32" t="str">
        <x:v>待验证</x:v>
      </x:c>
      <x:c r="AC226" s="32" t="str"/>
      <x:c r="AD226" s="32" t="str">
        <x:v>provisional=true; rule_group=STATE_SC19</x:v>
      </x:c>
      <x:c r="AE226" s="32" t="str">
        <x:v>0.5</x:v>
      </x:c>
    </x:row>
    <x:row r="227">
      <x:c r="A227" s="32" t="str">
        <x:v>M3-BOUND-223</x:v>
      </x:c>
      <x:c r="B227" s="32" t="str">
        <x:v>SC20 强而无制｜压力下更易抢先</x:v>
      </x:c>
      <x:c r="C227" s="32" t="str">
        <x:v>L4 BOUND状态修正</x:v>
      </x:c>
      <x:c r="D227" s="32" t="str">
        <x:v>BOUND-状态修正</x:v>
      </x:c>
      <x:c r="E227" s="32" t="str">
        <x:v>通用</x:v>
      </x:c>
      <x:c r="F227" s="32" t="str">
        <x:v>状态修正</x:v>
      </x:c>
      <x:c r="G227" s="32" t="str">
        <x:v>SC20</x:v>
      </x:c>
      <x:c r="H227" s="32" t="str"/>
      <x:c r="I227" s="32" t="str">
        <x:v>通道强而缺少调节。</x:v>
      </x:c>
      <x:c r="J227" s="32" t="str">
        <x:v>基础信号未定；真合化后原信号已失效；只有单一弱远争议信号；或该结论会越界到M4风险、M5适配。</x:v>
      </x:c>
      <x:c r="K227" s="32" t="str">
        <x:v>由共享基础引擎与M3-STATE修正；日主承载、印比支持只修正自主与执行，不直接等于有无边界。</x:v>
      </x:c>
      <x:c r="L227" s="32" t="str">
        <x:v>不限定；夫妻星仅在入宫或形成角色、责任边界时参与接口，不作为BOUND唯一主轴。</x:v>
      </x:c>
      <x:c r="M227" s="32" t="str">
        <x:v>由M3-BASE、日支主气及宫位动态提供。</x:v>
      </x:c>
      <x:c r="N227" s="32" t="str">
        <x:v>无／待BOUND路径规则组合</x:v>
      </x:c>
      <x:c r="O227" s="32" t="str">
        <x:v>日柱与日支近位优先；全局有效独立信号可作次通道。</x:v>
      </x:c>
      <x:c r="P227" s="32" t="str">
        <x:v>由共享基础引擎判定</x:v>
      </x:c>
      <x:c r="Q227" s="32" t="str">
        <x:v>由共享基础引擎判定</x:v>
      </x:c>
      <x:c r="R227" s="32" t="str">
        <x:v>喜忌不直接等于边界好坏；只修正调用顺畅度、资源压力和状态切换。</x:v>
      </x:c>
      <x:c r="S227" s="32" t="str">
        <x:v>原十神性质有效；真合化成立时按化神所属功能系统重建。</x:v>
      </x:c>
      <x:c r="T227" s="32" t="str">
        <x:v>由共享基础引擎判定</x:v>
      </x:c>
      <x:c r="U227" s="32" t="str">
        <x:v>78</x:v>
      </x:c>
      <x:c r="V227" s="32" t="str">
        <x:v>压力通道 +5</x:v>
      </x:c>
      <x:c r="W227" s="32" t="str">
        <x:v>state_shift</x:v>
      </x:c>
      <x:c r="X227" s="32" t="str">
        <x:v>压力下更容易先由该通道设限。</x:v>
      </x:c>
      <x:c r="Y227" s="32" t="str">
        <x:v>压力增加时，这种边界方式更可能成为第一反应，但不代表平时只有这一种。</x:v>
      </x:c>
      <x:c r="Z227" s="32" t="str">
        <x:v>不得由本规则直接推出回避亲密、依赖失控、控制欲、冷漠、自私、关系破裂、分手离婚、人格或依恋类型；不得把某种边界方式等同于爱得更多或更少。</x:v>
      </x:c>
      <x:c r="AA227" s="32" t="str">
        <x:v>中</x:v>
      </x:c>
      <x:c r="AB227" s="32" t="str">
        <x:v>待验证</x:v>
      </x:c>
      <x:c r="AC227" s="32" t="str"/>
      <x:c r="AD227" s="32" t="str">
        <x:v>provisional=true; rule_group=STATE_SC20</x:v>
      </x:c>
      <x:c r="AE227" s="32" t="str">
        <x:v>0.5</x:v>
      </x:c>
    </x:row>
    <x:row r="228">
      <x:c r="A228" s="32" t="str">
        <x:v>M3-BOUND-224</x:v>
      </x:c>
      <x:c r="B228" s="32" t="str">
        <x:v>SC21 真合化｜原通道清零并重建</x:v>
      </x:c>
      <x:c r="C228" s="32" t="str">
        <x:v>L4 BOUND状态修正</x:v>
      </x:c>
      <x:c r="D228" s="32" t="str">
        <x:v>BOUND-状态修正</x:v>
      </x:c>
      <x:c r="E228" s="32" t="str">
        <x:v>通用</x:v>
      </x:c>
      <x:c r="F228" s="32" t="str">
        <x:v>状态修正</x:v>
      </x:c>
      <x:c r="G228" s="32" t="str">
        <x:v>SC21</x:v>
      </x:c>
      <x:c r="H228" s="32" t="str"/>
      <x:c r="I228" s="32" t="str">
        <x:v>真合化条件成立。</x:v>
      </x:c>
      <x:c r="J228" s="32" t="str">
        <x:v>基础信号未定；真合化后原信号已失效；只有单一弱远争议信号；或该结论会越界到M4风险、M5适配。</x:v>
      </x:c>
      <x:c r="K228" s="32" t="str">
        <x:v>由共享基础引擎与M3-STATE修正；日主承载、印比支持只修正自主与执行，不直接等于有无边界。</x:v>
      </x:c>
      <x:c r="L228" s="32" t="str">
        <x:v>不限定；夫妻星仅在入宫或形成角色、责任边界时参与接口，不作为BOUND唯一主轴。</x:v>
      </x:c>
      <x:c r="M228" s="32" t="str">
        <x:v>由M3-BASE、日支主气及宫位动态提供。</x:v>
      </x:c>
      <x:c r="N228" s="32" t="str">
        <x:v>无／待BOUND路径规则组合</x:v>
      </x:c>
      <x:c r="O228" s="32" t="str">
        <x:v>日柱与日支近位优先；全局有效独立信号可作次通道。</x:v>
      </x:c>
      <x:c r="P228" s="32" t="str">
        <x:v>由共享基础引擎判定</x:v>
      </x:c>
      <x:c r="Q228" s="32" t="str">
        <x:v>由共享基础引擎判定</x:v>
      </x:c>
      <x:c r="R228" s="32" t="str">
        <x:v>喜忌不直接等于边界好坏；只修正调用顺畅度、资源压力和状态切换。</x:v>
      </x:c>
      <x:c r="S228" s="32" t="str">
        <x:v>原十神性质有效；真合化成立时按化神所属功能系统重建。</x:v>
      </x:c>
      <x:c r="T228" s="32" t="str">
        <x:v>由共享基础引擎判定</x:v>
      </x:c>
      <x:c r="U228" s="32" t="str">
        <x:v>78</x:v>
      </x:c>
      <x:c r="V228" s="32" t="str">
        <x:v>原分清零；替换路由</x:v>
      </x:c>
      <x:c r="W228" s="32" t="str">
        <x:v>report_status</x:v>
      </x:c>
      <x:c r="X228" s="32" t="str">
        <x:v>原十神边界功能停止计分，按化神系统重建。</x:v>
      </x:c>
      <x:c r="Y228" s="32" t="str">
        <x:v>原来的边界解释不再保留，改按合化后的功能系统重新判断。</x:v>
      </x:c>
      <x:c r="Z228" s="32" t="str">
        <x:v>不得由本规则直接推出回避亲密、依赖失控、控制欲、冷漠、自私、关系破裂、分手离婚、人格或依恋类型；不得把某种边界方式等同于爱得更多或更少。</x:v>
      </x:c>
      <x:c r="AA228" s="32" t="str">
        <x:v>高</x:v>
      </x:c>
      <x:c r="AB228" s="32" t="str">
        <x:v>待验证</x:v>
      </x:c>
      <x:c r="AC228" s="32" t="str"/>
      <x:c r="AD228" s="32" t="str">
        <x:v>provisional=true; rule_group=STATE_SC21</x:v>
      </x:c>
      <x:c r="AE228" s="32" t="str">
        <x:v>0.5</x:v>
      </x:c>
    </x:row>
    <x:row r="229">
      <x:c r="A229" s="32" t="str">
        <x:v>M3-BOUND-225</x:v>
      </x:c>
      <x:c r="B229" s="32" t="str">
        <x:v>SC22 日柱／日支近位｜亲密关系直接调用</x:v>
      </x:c>
      <x:c r="C229" s="32" t="str">
        <x:v>L4 BOUND状态修正</x:v>
      </x:c>
      <x:c r="D229" s="32" t="str">
        <x:v>BOUND-状态修正</x:v>
      </x:c>
      <x:c r="E229" s="32" t="str">
        <x:v>通用</x:v>
      </x:c>
      <x:c r="F229" s="32" t="str">
        <x:v>状态修正</x:v>
      </x:c>
      <x:c r="G229" s="32" t="str">
        <x:v>SC22</x:v>
      </x:c>
      <x:c r="H229" s="32" t="str"/>
      <x:c r="I229" s="32" t="str">
        <x:v>信号位于日柱、日支主气或直接进入夫妻宫。</x:v>
      </x:c>
      <x:c r="J229" s="32" t="str">
        <x:v>基础信号未定；真合化后原信号已失效；只有单一弱远争议信号；或该结论会越界到M4风险、M5适配。</x:v>
      </x:c>
      <x:c r="K229" s="32" t="str">
        <x:v>由共享基础引擎与M3-STATE修正；日主承载、印比支持只修正自主与执行，不直接等于有无边界。</x:v>
      </x:c>
      <x:c r="L229" s="32" t="str">
        <x:v>不限定；夫妻星仅在入宫或形成角色、责任边界时参与接口，不作为BOUND唯一主轴。</x:v>
      </x:c>
      <x:c r="M229" s="32" t="str">
        <x:v>由M3-BASE、日支主气及宫位动态提供。</x:v>
      </x:c>
      <x:c r="N229" s="32" t="str">
        <x:v>无／待BOUND路径规则组合</x:v>
      </x:c>
      <x:c r="O229" s="32" t="str">
        <x:v>日柱与日支近位优先；全局有效独立信号可作次通道。</x:v>
      </x:c>
      <x:c r="P229" s="32" t="str">
        <x:v>由共享基础引擎判定</x:v>
      </x:c>
      <x:c r="Q229" s="32" t="str">
        <x:v>由共享基础引擎判定</x:v>
      </x:c>
      <x:c r="R229" s="32" t="str">
        <x:v>喜忌不直接等于边界好坏；只修正调用顺畅度、资源压力和状态切换。</x:v>
      </x:c>
      <x:c r="S229" s="32" t="str">
        <x:v>原十神性质有效；真合化成立时按化神所属功能系统重建。</x:v>
      </x:c>
      <x:c r="T229" s="32" t="str">
        <x:v>由共享基础引擎判定</x:v>
      </x:c>
      <x:c r="U229" s="32" t="str">
        <x:v>78</x:v>
      </x:c>
      <x:c r="V229" s="32" t="str">
        <x:v>主通道 +7</x:v>
      </x:c>
      <x:c r="W229" s="32" t="str">
        <x:v>primary_boundary_channel</x:v>
      </x:c>
      <x:c r="X229" s="32" t="str">
        <x:v>更容易直接进入亲密关系日常。</x:v>
      </x:c>
      <x:c r="Y229" s="32" t="str">
        <x:v>这项边界方式更容易直接出现在亲密关系里。</x:v>
      </x:c>
      <x:c r="Z229" s="32" t="str">
        <x:v>不得由本规则直接推出回避亲密、依赖失控、控制欲、冷漠、自私、关系破裂、分手离婚、人格或依恋类型；不得把某种边界方式等同于爱得更多或更少。</x:v>
      </x:c>
      <x:c r="AA229" s="32" t="str">
        <x:v>中高</x:v>
      </x:c>
      <x:c r="AB229" s="32" t="str">
        <x:v>待验证</x:v>
      </x:c>
      <x:c r="AC229" s="32" t="str"/>
      <x:c r="AD229" s="32" t="str">
        <x:v>provisional=true; rule_group=STATE_SC22</x:v>
      </x:c>
      <x:c r="AE229" s="32" t="str">
        <x:v>0.5</x:v>
      </x:c>
    </x:row>
    <x:row r="230">
      <x:c r="A230" s="32" t="str">
        <x:v>M3-BOUND-226</x:v>
      </x:c>
      <x:c r="B230" s="32" t="str">
        <x:v>SC23 月柱中近位｜稳定背景</x:v>
      </x:c>
      <x:c r="C230" s="32" t="str">
        <x:v>L4 BOUND状态修正</x:v>
      </x:c>
      <x:c r="D230" s="32" t="str">
        <x:v>BOUND-状态修正</x:v>
      </x:c>
      <x:c r="E230" s="32" t="str">
        <x:v>通用</x:v>
      </x:c>
      <x:c r="F230" s="32" t="str">
        <x:v>状态修正</x:v>
      </x:c>
      <x:c r="G230" s="32" t="str">
        <x:v>SC23</x:v>
      </x:c>
      <x:c r="H230" s="32" t="str"/>
      <x:c r="I230" s="32" t="str">
        <x:v>信号位于月柱且有根有效。</x:v>
      </x:c>
      <x:c r="J230" s="32" t="str">
        <x:v>基础信号未定；真合化后原信号已失效；只有单一弱远争议信号；或该结论会越界到M4风险、M5适配。</x:v>
      </x:c>
      <x:c r="K230" s="32" t="str">
        <x:v>由共享基础引擎与M3-STATE修正；日主承载、印比支持只修正自主与执行，不直接等于有无边界。</x:v>
      </x:c>
      <x:c r="L230" s="32" t="str">
        <x:v>不限定；夫妻星仅在入宫或形成角色、责任边界时参与接口，不作为BOUND唯一主轴。</x:v>
      </x:c>
      <x:c r="M230" s="32" t="str">
        <x:v>由M3-BASE、日支主气及宫位动态提供。</x:v>
      </x:c>
      <x:c r="N230" s="32" t="str">
        <x:v>无／待BOUND路径规则组合</x:v>
      </x:c>
      <x:c r="O230" s="32" t="str">
        <x:v>日柱与日支近位优先；全局有效独立信号可作次通道。</x:v>
      </x:c>
      <x:c r="P230" s="32" t="str">
        <x:v>由共享基础引擎判定</x:v>
      </x:c>
      <x:c r="Q230" s="32" t="str">
        <x:v>由共享基础引擎判定</x:v>
      </x:c>
      <x:c r="R230" s="32" t="str">
        <x:v>喜忌不直接等于边界好坏；只修正调用顺畅度、资源压力和状态切换。</x:v>
      </x:c>
      <x:c r="S230" s="32" t="str">
        <x:v>原十神性质有效；真合化成立时按化神所属功能系统重建。</x:v>
      </x:c>
      <x:c r="T230" s="32" t="str">
        <x:v>由共享基础引擎判定</x:v>
      </x:c>
      <x:c r="U230" s="32" t="str">
        <x:v>78</x:v>
      </x:c>
      <x:c r="V230" s="32" t="str">
        <x:v>主／次候选 +4</x:v>
      </x:c>
      <x:c r="W230" s="32" t="str">
        <x:v>secondary_boundary_channel</x:v>
      </x:c>
      <x:c r="X230" s="32" t="str">
        <x:v>较容易成为生活和长期角色中的背景边界。</x:v>
      </x:c>
      <x:c r="Y230" s="32" t="str">
        <x:v>这项方式更可能成为长期生活中的稳定背景。</x:v>
      </x:c>
      <x:c r="Z230" s="32" t="str">
        <x:v>不得由本规则直接推出回避亲密、依赖失控、控制欲、冷漠、自私、关系破裂、分手离婚、人格或依恋类型；不得把某种边界方式等同于爱得更多或更少。</x:v>
      </x:c>
      <x:c r="AA230" s="32" t="str">
        <x:v>中</x:v>
      </x:c>
      <x:c r="AB230" s="32" t="str">
        <x:v>待验证</x:v>
      </x:c>
      <x:c r="AC230" s="32" t="str"/>
      <x:c r="AD230" s="32" t="str">
        <x:v>provisional=true; rule_group=STATE_SC23</x:v>
      </x:c>
      <x:c r="AE230" s="32" t="str">
        <x:v>0.5</x:v>
      </x:c>
    </x:row>
    <x:row r="231">
      <x:c r="A231" s="32" t="str">
        <x:v>M3-BOUND-227</x:v>
      </x:c>
      <x:c r="B231" s="32" t="str">
        <x:v>SC24 年时远位｜情境或阶段化</x:v>
      </x:c>
      <x:c r="C231" s="32" t="str">
        <x:v>L4 BOUND状态修正</x:v>
      </x:c>
      <x:c r="D231" s="32" t="str">
        <x:v>BOUND-状态修正</x:v>
      </x:c>
      <x:c r="E231" s="32" t="str">
        <x:v>通用</x:v>
      </x:c>
      <x:c r="F231" s="32" t="str">
        <x:v>状态修正</x:v>
      </x:c>
      <x:c r="G231" s="32" t="str">
        <x:v>SC24</x:v>
      </x:c>
      <x:c r="H231" s="32" t="str"/>
      <x:c r="I231" s="32" t="str">
        <x:v>信号位于年时远位，日柱缺少呼应。</x:v>
      </x:c>
      <x:c r="J231" s="32" t="str">
        <x:v>基础信号未定；真合化后原信号已失效；只有单一弱远争议信号；或该结论会越界到M4风险、M5适配。</x:v>
      </x:c>
      <x:c r="K231" s="32" t="str">
        <x:v>由共享基础引擎与M3-STATE修正；日主承载、印比支持只修正自主与执行，不直接等于有无边界。</x:v>
      </x:c>
      <x:c r="L231" s="32" t="str">
        <x:v>不限定；夫妻星仅在入宫或形成角色、责任边界时参与接口，不作为BOUND唯一主轴。</x:v>
      </x:c>
      <x:c r="M231" s="32" t="str">
        <x:v>由M3-BASE、日支主气及宫位动态提供。</x:v>
      </x:c>
      <x:c r="N231" s="32" t="str">
        <x:v>无／待BOUND路径规则组合</x:v>
      </x:c>
      <x:c r="O231" s="32" t="str">
        <x:v>日柱与日支近位优先；全局有效独立信号可作次通道。</x:v>
      </x:c>
      <x:c r="P231" s="32" t="str">
        <x:v>由共享基础引擎判定</x:v>
      </x:c>
      <x:c r="Q231" s="32" t="str">
        <x:v>由共享基础引擎判定</x:v>
      </x:c>
      <x:c r="R231" s="32" t="str">
        <x:v>喜忌不直接等于边界好坏；只修正调用顺畅度、资源压力和状态切换。</x:v>
      </x:c>
      <x:c r="S231" s="32" t="str">
        <x:v>原十神性质有效；真合化成立时按化神所属功能系统重建。</x:v>
      </x:c>
      <x:c r="T231" s="32" t="str">
        <x:v>由共享基础引擎判定</x:v>
      </x:c>
      <x:c r="U231" s="32" t="str">
        <x:v>78</x:v>
      </x:c>
      <x:c r="V231" s="32" t="str">
        <x:v>次候选 +2；降置信</x:v>
      </x:c>
      <x:c r="W231" s="32" t="str">
        <x:v>secondary_boundary_channel</x:v>
      </x:c>
      <x:c r="X231" s="32" t="str">
        <x:v>更依赖环境、阶段或外部角色。</x:v>
      </x:c>
      <x:c r="Y231" s="32" t="str">
        <x:v>这项方式可能更依赖特定环境或人生阶段，不宜直接写成亲密关系核心。</x:v>
      </x:c>
      <x:c r="Z231" s="32" t="str">
        <x:v>不得由本规则直接推出回避亲密、依赖失控、控制欲、冷漠、自私、关系破裂、分手离婚、人格或依恋类型；不得把某种边界方式等同于爱得更多或更少。</x:v>
      </x:c>
      <x:c r="AA231" s="32" t="str">
        <x:v>中低</x:v>
      </x:c>
      <x:c r="AB231" s="32" t="str">
        <x:v>待验证</x:v>
      </x:c>
      <x:c r="AC231" s="32" t="str"/>
      <x:c r="AD231" s="32" t="str">
        <x:v>provisional=true; rule_group=STATE_SC24</x:v>
      </x:c>
      <x:c r="AE231" s="32" t="str">
        <x:v>0.5</x:v>
      </x:c>
    </x:row>
    <x:row r="232">
      <x:c r="A232" s="32" t="str">
        <x:v>M3-BOUND-228</x:v>
      </x:c>
      <x:c r="B232" s="32" t="str">
        <x:v>IF01 BASE同源接口｜底盘与BOUND共享一次权重</x:v>
      </x:c>
      <x:c r="C232" s="32" t="str">
        <x:v>L5 BOUND接口门控</x:v>
      </x:c>
      <x:c r="D232" s="32" t="str">
        <x:v>BOUND-接口门控</x:v>
      </x:c>
      <x:c r="E232" s="32" t="str">
        <x:v>通用</x:v>
      </x:c>
      <x:c r="F232" s="32" t="str">
        <x:v>接口／去重／停止</x:v>
      </x:c>
      <x:c r="G232" s="32" t="str">
        <x:v>M3-BASE</x:v>
      </x:c>
      <x:c r="H232" s="32" t="str"/>
      <x:c r="I232" s="32" t="str">
        <x:v>相关模块信号同时可见，或需要执行同源去重、停止、回退。</x:v>
      </x:c>
      <x:c r="J232" s="32" t="str">
        <x:v>基础信号未定；真合化后原信号已失效；只有单一弱远争议信号；或该结论会越界到M4风险、M5适配。</x:v>
      </x:c>
      <x:c r="K232" s="32" t="str">
        <x:v>由共享基础引擎与M3-STATE修正；日主承载、印比支持只修正自主与执行，不直接等于有无边界。</x:v>
      </x:c>
      <x:c r="L232" s="32" t="str">
        <x:v>不限定；夫妻星仅在入宫或形成角色、责任边界时参与接口，不作为BOUND唯一主轴。</x:v>
      </x:c>
      <x:c r="M232" s="32" t="str">
        <x:v>由M3-BASE、日支主气及宫位动态提供。</x:v>
      </x:c>
      <x:c r="N232" s="32" t="str">
        <x:v>无／待BOUND路径规则组合</x:v>
      </x:c>
      <x:c r="O232" s="32" t="str">
        <x:v>日柱与日支近位优先；全局有效独立信号可作次通道。</x:v>
      </x:c>
      <x:c r="P232" s="32" t="str">
        <x:v>由共享基础引擎判定</x:v>
      </x:c>
      <x:c r="Q232" s="32" t="str">
        <x:v>由共享基础引擎判定</x:v>
      </x:c>
      <x:c r="R232" s="32" t="str">
        <x:v>喜忌不直接等于边界好坏；只修正调用顺畅度、资源压力和状态切换。</x:v>
      </x:c>
      <x:c r="S232" s="32" t="str">
        <x:v>原十神性质有效；真合化成立时按化神所属功能系统重建。</x:v>
      </x:c>
      <x:c r="T232" s="32" t="str">
        <x:v>由共享基础引擎判定</x:v>
      </x:c>
      <x:c r="U232" s="32" t="str">
        <x:v>92</x:v>
      </x:c>
      <x:c r="V232" s="32" t="str">
        <x:v>不加分；接口／去重／路由</x:v>
      </x:c>
      <x:c r="W232" s="32" t="str">
        <x:v>provenance</x:v>
      </x:c>
      <x:c r="X232" s="32" t="str">
        <x:v>同一个日支可同时说明关系底盘和边界功能，但基础事实只计一次。</x:v>
      </x:c>
      <x:c r="Y232" s="32" t="str">
        <x:v>同一个关系底盘可以细化成边界方式，但不会被当成两份证据。</x:v>
      </x:c>
      <x:c r="Z232" s="32" t="str">
        <x:v>不得由本规则直接推出回避亲密、依赖失控、控制欲、冷漠、自私、关系破裂、分手离婚、人格或依恋类型；不得把某种边界方式等同于爱得更多或更少。</x:v>
      </x:c>
      <x:c r="AA232" s="32" t="str">
        <x:v>高</x:v>
      </x:c>
      <x:c r="AB232" s="32" t="str">
        <x:v>待验证</x:v>
      </x:c>
      <x:c r="AC232" s="32" t="str"/>
      <x:c r="AD232" s="32" t="str">
        <x:v>provisional=true; rule_group=INTERFACE_IF01</x:v>
      </x:c>
      <x:c r="AE232" s="32" t="str">
        <x:v>0.5</x:v>
      </x:c>
    </x:row>
    <x:row r="233">
      <x:c r="A233" s="32" t="str">
        <x:v>M3-BOUND-229</x:v>
      </x:c>
      <x:c r="B233" s="32" t="str">
        <x:v>IF02 BASE异源接口｜次边界通道可独立升级</x:v>
      </x:c>
      <x:c r="C233" s="32" t="str">
        <x:v>L5 BOUND接口门控</x:v>
      </x:c>
      <x:c r="D233" s="32" t="str">
        <x:v>BOUND-接口门控</x:v>
      </x:c>
      <x:c r="E233" s="32" t="str">
        <x:v>通用</x:v>
      </x:c>
      <x:c r="F233" s="32" t="str">
        <x:v>接口／去重／停止</x:v>
      </x:c>
      <x:c r="G233" s="32" t="str">
        <x:v>M3-BASE</x:v>
      </x:c>
      <x:c r="H233" s="32" t="str"/>
      <x:c r="I233" s="32" t="str">
        <x:v>相关模块信号同时可见，或需要执行同源去重、停止、回退。</x:v>
      </x:c>
      <x:c r="J233" s="32" t="str">
        <x:v>基础信号未定；真合化后原信号已失效；只有单一弱远争议信号；或该结论会越界到M4风险、M5适配。</x:v>
      </x:c>
      <x:c r="K233" s="32" t="str">
        <x:v>由共享基础引擎与M3-STATE修正；日主承载、印比支持只修正自主与执行，不直接等于有无边界。</x:v>
      </x:c>
      <x:c r="L233" s="32" t="str">
        <x:v>不限定；夫妻星仅在入宫或形成角色、责任边界时参与接口，不作为BOUND唯一主轴。</x:v>
      </x:c>
      <x:c r="M233" s="32" t="str">
        <x:v>由M3-BASE、日支主气及宫位动态提供。</x:v>
      </x:c>
      <x:c r="N233" s="32" t="str">
        <x:v>无／待BOUND路径规则组合</x:v>
      </x:c>
      <x:c r="O233" s="32" t="str">
        <x:v>日柱与日支近位优先；全局有效独立信号可作次通道。</x:v>
      </x:c>
      <x:c r="P233" s="32" t="str">
        <x:v>由共享基础引擎判定</x:v>
      </x:c>
      <x:c r="Q233" s="32" t="str">
        <x:v>由共享基础引擎判定</x:v>
      </x:c>
      <x:c r="R233" s="32" t="str">
        <x:v>喜忌不直接等于边界好坏；只修正调用顺畅度、资源压力和状态切换。</x:v>
      </x:c>
      <x:c r="S233" s="32" t="str">
        <x:v>原十神性质有效；真合化成立时按化神所属功能系统重建。</x:v>
      </x:c>
      <x:c r="T233" s="32" t="str">
        <x:v>由共享基础引擎判定</x:v>
      </x:c>
      <x:c r="U233" s="32" t="str">
        <x:v>92</x:v>
      </x:c>
      <x:c r="V233" s="32" t="str">
        <x:v>不加分；接口／去重／路由</x:v>
      </x:c>
      <x:c r="W233" s="32" t="str">
        <x:v>secondary_boundary_channel</x:v>
      </x:c>
      <x:c r="X233" s="32" t="str">
        <x:v>BASE主底盘与BOUND独立有效信号不同时，可保留一个真正有作用的补充通道。</x:v>
      </x:c>
      <x:c r="Y233" s="32" t="str">
        <x:v>关系底盘和边界方式不完全相同时，可以保留一个有独立证据的补充方向。</x:v>
      </x:c>
      <x:c r="Z233" s="32" t="str">
        <x:v>不得由本规则直接推出回避亲密、依赖失控、控制欲、冷漠、自私、关系破裂、分手离婚、人格或依恋类型；不得把某种边界方式等同于爱得更多或更少。</x:v>
      </x:c>
      <x:c r="AA233" s="32" t="str">
        <x:v>中高</x:v>
      </x:c>
      <x:c r="AB233" s="32" t="str">
        <x:v>待验证</x:v>
      </x:c>
      <x:c r="AC233" s="32" t="str"/>
      <x:c r="AD233" s="32" t="str">
        <x:v>provisional=true; rule_group=INTERFACE_IF02</x:v>
      </x:c>
      <x:c r="AE233" s="32" t="str">
        <x:v>0.5</x:v>
      </x:c>
    </x:row>
    <x:row r="234">
      <x:c r="A234" s="32" t="str">
        <x:v>M3-BOUND-230</x:v>
      </x:c>
      <x:c r="B234" s="32" t="str">
        <x:v>IF03 EXPR需求表达→BOUND执行复核</x:v>
      </x:c>
      <x:c r="C234" s="32" t="str">
        <x:v>L5 BOUND接口门控</x:v>
      </x:c>
      <x:c r="D234" s="32" t="str">
        <x:v>BOUND-接口门控</x:v>
      </x:c>
      <x:c r="E234" s="32" t="str">
        <x:v>通用</x:v>
      </x:c>
      <x:c r="F234" s="32" t="str">
        <x:v>接口／去重／停止</x:v>
      </x:c>
      <x:c r="G234" s="32" t="str">
        <x:v>M3-EXPR</x:v>
      </x:c>
      <x:c r="H234" s="32" t="str"/>
      <x:c r="I234" s="32" t="str">
        <x:v>相关模块信号同时可见，或需要执行同源去重、停止、回退。</x:v>
      </x:c>
      <x:c r="J234" s="32" t="str">
        <x:v>基础信号未定；真合化后原信号已失效；只有单一弱远争议信号；或该结论会越界到M4风险、M5适配。</x:v>
      </x:c>
      <x:c r="K234" s="32" t="str">
        <x:v>由共享基础引擎与M3-STATE修正；日主承载、印比支持只修正自主与执行，不直接等于有无边界。</x:v>
      </x:c>
      <x:c r="L234" s="32" t="str">
        <x:v>不限定；夫妻星仅在入宫或形成角色、责任边界时参与接口，不作为BOUND唯一主轴。</x:v>
      </x:c>
      <x:c r="M234" s="32" t="str">
        <x:v>由M3-BASE、日支主气及宫位动态提供。</x:v>
      </x:c>
      <x:c r="N234" s="32" t="str">
        <x:v>无／待BOUND路径规则组合</x:v>
      </x:c>
      <x:c r="O234" s="32" t="str">
        <x:v>日柱与日支近位优先；全局有效独立信号可作次通道。</x:v>
      </x:c>
      <x:c r="P234" s="32" t="str">
        <x:v>由共享基础引擎判定</x:v>
      </x:c>
      <x:c r="Q234" s="32" t="str">
        <x:v>由共享基础引擎判定</x:v>
      </x:c>
      <x:c r="R234" s="32" t="str">
        <x:v>喜忌不直接等于边界好坏；只修正调用顺畅度、资源压力和状态切换。</x:v>
      </x:c>
      <x:c r="S234" s="32" t="str">
        <x:v>原十神性质有效；真合化成立时按化神所属功能系统重建。</x:v>
      </x:c>
      <x:c r="T234" s="32" t="str">
        <x:v>由共享基础引擎判定</x:v>
      </x:c>
      <x:c r="U234" s="32" t="str">
        <x:v>92</x:v>
      </x:c>
      <x:c r="V234" s="32" t="str">
        <x:v>不加分；接口／去重／路由</x:v>
      </x:c>
      <x:c r="W234" s="32" t="str">
        <x:v>need_expression</x:v>
      </x:c>
      <x:c r="X234" s="32" t="str">
        <x:v>能说出需要以后，还要看是否能形成现实权限、拒绝或重订。</x:v>
      </x:c>
      <x:c r="Y234" s="32" t="str">
        <x:v>你能把需要说出来，是边界的一部分；是否能执行还要继续看。</x:v>
      </x:c>
      <x:c r="Z234" s="32" t="str">
        <x:v>不得由本规则直接推出回避亲密、依赖失控、控制欲、冷漠、自私、关系破裂、分手离婚、人格或依恋类型；不得把某种边界方式等同于爱得更多或更少。</x:v>
      </x:c>
      <x:c r="AA234" s="32" t="str">
        <x:v>高</x:v>
      </x:c>
      <x:c r="AB234" s="32" t="str">
        <x:v>待验证</x:v>
      </x:c>
      <x:c r="AC234" s="32" t="str"/>
      <x:c r="AD234" s="32" t="str">
        <x:v>provisional=true; rule_group=INTERFACE_IF03</x:v>
      </x:c>
      <x:c r="AE234" s="32" t="str">
        <x:v>0.5</x:v>
      </x:c>
    </x:row>
    <x:row r="235">
      <x:c r="A235" s="32" t="str">
        <x:v>M3-BOUND-231</x:v>
      </x:c>
      <x:c r="B235" s="32" t="str">
        <x:v>IF04 EXPR拒绝语言≠现实停止线</x:v>
      </x:c>
      <x:c r="C235" s="32" t="str">
        <x:v>L5 BOUND接口门控</x:v>
      </x:c>
      <x:c r="D235" s="32" t="str">
        <x:v>BOUND-接口门控</x:v>
      </x:c>
      <x:c r="E235" s="32" t="str">
        <x:v>通用</x:v>
      </x:c>
      <x:c r="F235" s="32" t="str">
        <x:v>接口／去重／停止</x:v>
      </x:c>
      <x:c r="G235" s="32" t="str">
        <x:v>M3-EXPR</x:v>
      </x:c>
      <x:c r="H235" s="32" t="str"/>
      <x:c r="I235" s="32" t="str">
        <x:v>相关模块信号同时可见，或需要执行同源去重、停止、回退。</x:v>
      </x:c>
      <x:c r="J235" s="32" t="str">
        <x:v>基础信号未定；真合化后原信号已失效；只有单一弱远争议信号；或该结论会越界到M4风险、M5适配。</x:v>
      </x:c>
      <x:c r="K235" s="32" t="str">
        <x:v>由共享基础引擎与M3-STATE修正；日主承载、印比支持只修正自主与执行，不直接等于有无边界。</x:v>
      </x:c>
      <x:c r="L235" s="32" t="str">
        <x:v>不限定；夫妻星仅在入宫或形成角色、责任边界时参与接口，不作为BOUND唯一主轴。</x:v>
      </x:c>
      <x:c r="M235" s="32" t="str">
        <x:v>由M3-BASE、日支主气及宫位动态提供。</x:v>
      </x:c>
      <x:c r="N235" s="32" t="str">
        <x:v>无／待BOUND路径规则组合</x:v>
      </x:c>
      <x:c r="O235" s="32" t="str">
        <x:v>日柱与日支近位优先；全局有效独立信号可作次通道。</x:v>
      </x:c>
      <x:c r="P235" s="32" t="str">
        <x:v>由共享基础引擎判定</x:v>
      </x:c>
      <x:c r="Q235" s="32" t="str">
        <x:v>由共享基础引擎判定</x:v>
      </x:c>
      <x:c r="R235" s="32" t="str">
        <x:v>喜忌不直接等于边界好坏；只修正调用顺畅度、资源压力和状态切换。</x:v>
      </x:c>
      <x:c r="S235" s="32" t="str">
        <x:v>原十神性质有效；真合化成立时按化神所属功能系统重建。</x:v>
      </x:c>
      <x:c r="T235" s="32" t="str">
        <x:v>由共享基础引擎判定</x:v>
      </x:c>
      <x:c r="U235" s="32" t="str">
        <x:v>92</x:v>
      </x:c>
      <x:c r="V235" s="32" t="str">
        <x:v>不加分；接口／去重／路由</x:v>
      </x:c>
      <x:c r="W235" s="32" t="str">
        <x:v>refusal_style</x:v>
      </x:c>
      <x:c r="X235" s="32" t="str">
        <x:v>一次明确表态不能自动证明长期能够执行停止线。</x:v>
      </x:c>
      <x:c r="Y235" s="32" t="str">
        <x:v>说得清楚不等于每次都能执行，实际边界还要看后续行动。</x:v>
      </x:c>
      <x:c r="Z235" s="32" t="str">
        <x:v>不得由本规则直接推出回避亲密、依赖失控、控制欲、冷漠、自私、关系破裂、分手离婚、人格或依恋类型；不得把某种边界方式等同于爱得更多或更少。</x:v>
      </x:c>
      <x:c r="AA235" s="32" t="str">
        <x:v>高</x:v>
      </x:c>
      <x:c r="AB235" s="32" t="str">
        <x:v>待验证</x:v>
      </x:c>
      <x:c r="AC235" s="32" t="str"/>
      <x:c r="AD235" s="32" t="str">
        <x:v>provisional=true; rule_group=INTERFACE_IF04</x:v>
      </x:c>
      <x:c r="AE235" s="32" t="str">
        <x:v>0.5</x:v>
      </x:c>
    </x:row>
    <x:row r="236">
      <x:c r="A236" s="32" t="str">
        <x:v>M3-BOUND-232</x:v>
      </x:c>
      <x:c r="B236" s="32" t="str">
        <x:v>IF05 CARE接受支持≠失去自主</x:v>
      </x:c>
      <x:c r="C236" s="32" t="str">
        <x:v>L5 BOUND接口门控</x:v>
      </x:c>
      <x:c r="D236" s="32" t="str">
        <x:v>BOUND-接口门控</x:v>
      </x:c>
      <x:c r="E236" s="32" t="str">
        <x:v>通用</x:v>
      </x:c>
      <x:c r="F236" s="32" t="str">
        <x:v>接口／去重／停止</x:v>
      </x:c>
      <x:c r="G236" s="32" t="str">
        <x:v>M3-CARE</x:v>
      </x:c>
      <x:c r="H236" s="32" t="str"/>
      <x:c r="I236" s="32" t="str">
        <x:v>相关模块信号同时可见，或需要执行同源去重、停止、回退。</x:v>
      </x:c>
      <x:c r="J236" s="32" t="str">
        <x:v>基础信号未定；真合化后原信号已失效；只有单一弱远争议信号；或该结论会越界到M4风险、M5适配。</x:v>
      </x:c>
      <x:c r="K236" s="32" t="str">
        <x:v>由共享基础引擎与M3-STATE修正；日主承载、印比支持只修正自主与执行，不直接等于有无边界。</x:v>
      </x:c>
      <x:c r="L236" s="32" t="str">
        <x:v>不限定；夫妻星仅在入宫或形成角色、责任边界时参与接口，不作为BOUND唯一主轴。</x:v>
      </x:c>
      <x:c r="M236" s="32" t="str">
        <x:v>由M3-BASE、日支主气及宫位动态提供。</x:v>
      </x:c>
      <x:c r="N236" s="32" t="str">
        <x:v>无／待BOUND路径规则组合</x:v>
      </x:c>
      <x:c r="O236" s="32" t="str">
        <x:v>日柱与日支近位优先；全局有效独立信号可作次通道。</x:v>
      </x:c>
      <x:c r="P236" s="32" t="str">
        <x:v>由共享基础引擎判定</x:v>
      </x:c>
      <x:c r="Q236" s="32" t="str">
        <x:v>由共享基础引擎判定</x:v>
      </x:c>
      <x:c r="R236" s="32" t="str">
        <x:v>喜忌不直接等于边界好坏；只修正调用顺畅度、资源压力和状态切换。</x:v>
      </x:c>
      <x:c r="S236" s="32" t="str">
        <x:v>原十神性质有效；真合化成立时按化神所属功能系统重建。</x:v>
      </x:c>
      <x:c r="T236" s="32" t="str">
        <x:v>由共享基础引擎判定</x:v>
      </x:c>
      <x:c r="U236" s="32" t="str">
        <x:v>92</x:v>
      </x:c>
      <x:c r="V236" s="32" t="str">
        <x:v>不加分；接口／去重／路由</x:v>
      </x:c>
      <x:c r="W236" s="32" t="str">
        <x:v>support_acceptance_boundary</x:v>
      </x:c>
      <x:c r="X236" s="32" t="str">
        <x:v>接受帮助需要与参与权、决定权和分享范围分开判断。</x:v>
      </x:c>
      <x:c r="Y236" s="32" t="str">
        <x:v>你可以接受照顾，同时保留自己的判断和参与权。</x:v>
      </x:c>
      <x:c r="Z236" s="32" t="str">
        <x:v>不得由本规则直接推出回避亲密、依赖失控、控制欲、冷漠、自私、关系破裂、分手离婚、人格或依恋类型；不得把某种边界方式等同于爱得更多或更少。</x:v>
      </x:c>
      <x:c r="AA236" s="32" t="str">
        <x:v>高</x:v>
      </x:c>
      <x:c r="AB236" s="32" t="str">
        <x:v>待验证</x:v>
      </x:c>
      <x:c r="AC236" s="32" t="str"/>
      <x:c r="AD236" s="32" t="str">
        <x:v>provisional=true; rule_group=INTERFACE_IF05</x:v>
      </x:c>
      <x:c r="AE236" s="32" t="str">
        <x:v>0.5</x:v>
      </x:c>
    </x:row>
    <x:row r="237">
      <x:c r="A237" s="32" t="str">
        <x:v>M3-BOUND-233</x:v>
      </x:c>
      <x:c r="B237" s="32" t="str">
        <x:v>IF06 CARE付出≠拥有对方权限</x:v>
      </x:c>
      <x:c r="C237" s="32" t="str">
        <x:v>L5 BOUND接口门控</x:v>
      </x:c>
      <x:c r="D237" s="32" t="str">
        <x:v>BOUND-接口门控</x:v>
      </x:c>
      <x:c r="E237" s="32" t="str">
        <x:v>通用</x:v>
      </x:c>
      <x:c r="F237" s="32" t="str">
        <x:v>接口／去重／停止</x:v>
      </x:c>
      <x:c r="G237" s="32" t="str">
        <x:v>M3-CARE</x:v>
      </x:c>
      <x:c r="H237" s="32" t="str"/>
      <x:c r="I237" s="32" t="str">
        <x:v>相关模块信号同时可见，或需要执行同源去重、停止、回退。</x:v>
      </x:c>
      <x:c r="J237" s="32" t="str">
        <x:v>基础信号未定；真合化后原信号已失效；只有单一弱远争议信号；或该结论会越界到M4风险、M5适配。</x:v>
      </x:c>
      <x:c r="K237" s="32" t="str">
        <x:v>由共享基础引擎与M3-STATE修正；日主承载、印比支持只修正自主与执行，不直接等于有无边界。</x:v>
      </x:c>
      <x:c r="L237" s="32" t="str">
        <x:v>不限定；夫妻星仅在入宫或形成角色、责任边界时参与接口，不作为BOUND唯一主轴。</x:v>
      </x:c>
      <x:c r="M237" s="32" t="str">
        <x:v>由M3-BASE、日支主气及宫位动态提供。</x:v>
      </x:c>
      <x:c r="N237" s="32" t="str">
        <x:v>无／待BOUND路径规则组合</x:v>
      </x:c>
      <x:c r="O237" s="32" t="str">
        <x:v>日柱与日支近位优先；全局有效独立信号可作次通道。</x:v>
      </x:c>
      <x:c r="P237" s="32" t="str">
        <x:v>由共享基础引擎判定</x:v>
      </x:c>
      <x:c r="Q237" s="32" t="str">
        <x:v>由共享基础引擎判定</x:v>
      </x:c>
      <x:c r="R237" s="32" t="str">
        <x:v>喜忌不直接等于边界好坏；只修正调用顺畅度、资源压力和状态切换。</x:v>
      </x:c>
      <x:c r="S237" s="32" t="str">
        <x:v>原十神性质有效；真合化成立时按化神所属功能系统重建。</x:v>
      </x:c>
      <x:c r="T237" s="32" t="str">
        <x:v>由共享基础引擎判定</x:v>
      </x:c>
      <x:c r="U237" s="32" t="str">
        <x:v>92</x:v>
      </x:c>
      <x:c r="V237" s="32" t="str">
        <x:v>不加分；接口／去重／路由</x:v>
      </x:c>
      <x:c r="W237" s="32" t="str">
        <x:v>boundary_note</x:v>
      </x:c>
      <x:c r="X237" s="32" t="str">
        <x:v>投入时间、资源或责任不能自动换算成替对方决定的权利。</x:v>
      </x:c>
      <x:c r="Y237" s="32" t="str">
        <x:v>你愿意付出，不代表你因此拥有替对方决定的权限。</x:v>
      </x:c>
      <x:c r="Z237" s="32" t="str">
        <x:v>不得由本规则直接推出回避亲密、依赖失控、控制欲、冷漠、自私、关系破裂、分手离婚、人格或依恋类型；不得把某种边界方式等同于爱得更多或更少。</x:v>
      </x:c>
      <x:c r="AA237" s="32" t="str">
        <x:v>高</x:v>
      </x:c>
      <x:c r="AB237" s="32" t="str">
        <x:v>待验证</x:v>
      </x:c>
      <x:c r="AC237" s="32" t="str"/>
      <x:c r="AD237" s="32" t="str">
        <x:v>provisional=true; rule_group=INTERFACE_IF06</x:v>
      </x:c>
      <x:c r="AE237" s="32" t="str">
        <x:v>0.5</x:v>
      </x:c>
    </x:row>
    <x:row r="238">
      <x:c r="A238" s="32" t="str">
        <x:v>M3-BOUND-234</x:v>
      </x:c>
      <x:c r="B238" s="32" t="str">
        <x:v>IF07 M2准入边界≠M3日常边界</x:v>
      </x:c>
      <x:c r="C238" s="32" t="str">
        <x:v>L5 BOUND接口门控</x:v>
      </x:c>
      <x:c r="D238" s="32" t="str">
        <x:v>BOUND-接口门控</x:v>
      </x:c>
      <x:c r="E238" s="32" t="str">
        <x:v>通用</x:v>
      </x:c>
      <x:c r="F238" s="32" t="str">
        <x:v>接口／去重／停止</x:v>
      </x:c>
      <x:c r="G238" s="32" t="str">
        <x:v>M2-关系选择</x:v>
      </x:c>
      <x:c r="H238" s="32" t="str"/>
      <x:c r="I238" s="32" t="str">
        <x:v>相关模块信号同时可见，或需要执行同源去重、停止、回退。</x:v>
      </x:c>
      <x:c r="J238" s="32" t="str">
        <x:v>基础信号未定；真合化后原信号已失效；只有单一弱远争议信号；或该结论会越界到M4风险、M5适配。</x:v>
      </x:c>
      <x:c r="K238" s="32" t="str">
        <x:v>由共享基础引擎与M3-STATE修正；日主承载、印比支持只修正自主与执行，不直接等于有无边界。</x:v>
      </x:c>
      <x:c r="L238" s="32" t="str">
        <x:v>不限定；夫妻星仅在入宫或形成角色、责任边界时参与接口，不作为BOUND唯一主轴。</x:v>
      </x:c>
      <x:c r="M238" s="32" t="str">
        <x:v>由M3-BASE、日支主气及宫位动态提供。</x:v>
      </x:c>
      <x:c r="N238" s="32" t="str">
        <x:v>无／待BOUND路径规则组合</x:v>
      </x:c>
      <x:c r="O238" s="32" t="str">
        <x:v>日柱与日支近位优先；全局有效独立信号可作次通道。</x:v>
      </x:c>
      <x:c r="P238" s="32" t="str">
        <x:v>由共享基础引擎判定</x:v>
      </x:c>
      <x:c r="Q238" s="32" t="str">
        <x:v>由共享基础引擎判定</x:v>
      </x:c>
      <x:c r="R238" s="32" t="str">
        <x:v>喜忌不直接等于边界好坏；只修正调用顺畅度、资源压力和状态切换。</x:v>
      </x:c>
      <x:c r="S238" s="32" t="str">
        <x:v>原十神性质有效；真合化成立时按化神所属功能系统重建。</x:v>
      </x:c>
      <x:c r="T238" s="32" t="str">
        <x:v>由共享基础引擎判定</x:v>
      </x:c>
      <x:c r="U238" s="32" t="str">
        <x:v>92</x:v>
      </x:c>
      <x:c r="V238" s="32" t="str">
        <x:v>不加分；接口／去重／路由</x:v>
      </x:c>
      <x:c r="W238" s="32" t="str">
        <x:v>boundary_note</x:v>
      </x:c>
      <x:c r="X238" s="32" t="str">
        <x:v>进入关系前的门槛与进入关系后的权限安排必须分开。</x:v>
      </x:c>
      <x:c r="Y238" s="32" t="str">
        <x:v>你选择关系时看重的条件，和相处后怎样分配权限，会分别判断。</x:v>
      </x:c>
      <x:c r="Z238" s="32" t="str">
        <x:v>不得由本规则直接推出回避亲密、依赖失控、控制欲、冷漠、自私、关系破裂、分手离婚、人格或依恋类型；不得把某种边界方式等同于爱得更多或更少。</x:v>
      </x:c>
      <x:c r="AA238" s="32" t="str">
        <x:v>高</x:v>
      </x:c>
      <x:c r="AB238" s="32" t="str">
        <x:v>待验证</x:v>
      </x:c>
      <x:c r="AC238" s="32" t="str"/>
      <x:c r="AD238" s="32" t="str">
        <x:v>provisional=true; rule_group=INTERFACE_IF07</x:v>
      </x:c>
      <x:c r="AE238" s="32" t="str">
        <x:v>0.5</x:v>
      </x:c>
    </x:row>
    <x:row r="239">
      <x:c r="A239" s="32" t="str">
        <x:v>M3-BOUND-235</x:v>
      </x:c>
      <x:c r="B239" s="32" t="str">
        <x:v>IF08 CONFLICT接口｜边界内容与冲突过程分开</x:v>
      </x:c>
      <x:c r="C239" s="32" t="str">
        <x:v>L5 BOUND接口门控</x:v>
      </x:c>
      <x:c r="D239" s="32" t="str">
        <x:v>BOUND-接口门控</x:v>
      </x:c>
      <x:c r="E239" s="32" t="str">
        <x:v>通用</x:v>
      </x:c>
      <x:c r="F239" s="32" t="str">
        <x:v>接口／去重／停止</x:v>
      </x:c>
      <x:c r="G239" s="32" t="str">
        <x:v>M3-CONFLICT</x:v>
      </x:c>
      <x:c r="H239" s="32" t="str"/>
      <x:c r="I239" s="32" t="str">
        <x:v>相关模块信号同时可见，或需要执行同源去重、停止、回退。</x:v>
      </x:c>
      <x:c r="J239" s="32" t="str">
        <x:v>基础信号未定；真合化后原信号已失效；只有单一弱远争议信号；或该结论会越界到M4风险、M5适配。</x:v>
      </x:c>
      <x:c r="K239" s="32" t="str">
        <x:v>由共享基础引擎与M3-STATE修正；日主承载、印比支持只修正自主与执行，不直接等于有无边界。</x:v>
      </x:c>
      <x:c r="L239" s="32" t="str">
        <x:v>不限定；夫妻星仅在入宫或形成角色、责任边界时参与接口，不作为BOUND唯一主轴。</x:v>
      </x:c>
      <x:c r="M239" s="32" t="str">
        <x:v>由M3-BASE、日支主气及宫位动态提供。</x:v>
      </x:c>
      <x:c r="N239" s="32" t="str">
        <x:v>无／待BOUND路径规则组合</x:v>
      </x:c>
      <x:c r="O239" s="32" t="str">
        <x:v>日柱与日支近位优先；全局有效独立信号可作次通道。</x:v>
      </x:c>
      <x:c r="P239" s="32" t="str">
        <x:v>由共享基础引擎判定</x:v>
      </x:c>
      <x:c r="Q239" s="32" t="str">
        <x:v>由共享基础引擎判定</x:v>
      </x:c>
      <x:c r="R239" s="32" t="str">
        <x:v>喜忌不直接等于边界好坏；只修正调用顺畅度、资源压力和状态切换。</x:v>
      </x:c>
      <x:c r="S239" s="32" t="str">
        <x:v>原十神性质有效；真合化成立时按化神所属功能系统重建。</x:v>
      </x:c>
      <x:c r="T239" s="32" t="str">
        <x:v>由共享基础引擎判定</x:v>
      </x:c>
      <x:c r="U239" s="32" t="str">
        <x:v>92</x:v>
      </x:c>
      <x:c r="V239" s="32" t="str">
        <x:v>不加分；接口／去重／路由</x:v>
      </x:c>
      <x:c r="W239" s="32" t="str">
        <x:v>boundary_note</x:v>
      </x:c>
      <x:c r="X239" s="32" t="str">
        <x:v>BOUND负责什么不能越过；CONFLICT负责分歧出现后怎样回应。</x:v>
      </x:c>
      <x:c r="Y239" s="32" t="str">
        <x:v>这里先说明你的限制内容，不直接判断你发生分歧时会怎样。</x:v>
      </x:c>
      <x:c r="Z239" s="32" t="str">
        <x:v>不得由本规则直接推出回避亲密、依赖失控、控制欲、冷漠、自私、关系破裂、分手离婚、人格或依恋类型；不得把某种边界方式等同于爱得更多或更少。</x:v>
      </x:c>
      <x:c r="AA239" s="32" t="str">
        <x:v>高</x:v>
      </x:c>
      <x:c r="AB239" s="32" t="str">
        <x:v>待验证</x:v>
      </x:c>
      <x:c r="AC239" s="32" t="str"/>
      <x:c r="AD239" s="32" t="str">
        <x:v>provisional=true; rule_group=INTERFACE_IF08</x:v>
      </x:c>
      <x:c r="AE239" s="32" t="str">
        <x:v>0.5</x:v>
      </x:c>
    </x:row>
    <x:row r="240">
      <x:c r="A240" s="32" t="str">
        <x:v>M3-BOUND-236</x:v>
      </x:c>
      <x:c r="B240" s="32" t="str">
        <x:v>IF09 REPAIR接口｜暂停与修复分开</x:v>
      </x:c>
      <x:c r="C240" s="32" t="str">
        <x:v>L5 BOUND接口门控</x:v>
      </x:c>
      <x:c r="D240" s="32" t="str">
        <x:v>BOUND-接口门控</x:v>
      </x:c>
      <x:c r="E240" s="32" t="str">
        <x:v>通用</x:v>
      </x:c>
      <x:c r="F240" s="32" t="str">
        <x:v>接口／去重／停止</x:v>
      </x:c>
      <x:c r="G240" s="32" t="str">
        <x:v>M3-REPAIR</x:v>
      </x:c>
      <x:c r="H240" s="32" t="str"/>
      <x:c r="I240" s="32" t="str">
        <x:v>相关模块信号同时可见，或需要执行同源去重、停止、回退。</x:v>
      </x:c>
      <x:c r="J240" s="32" t="str">
        <x:v>基础信号未定；真合化后原信号已失效；只有单一弱远争议信号；或该结论会越界到M4风险、M5适配。</x:v>
      </x:c>
      <x:c r="K240" s="32" t="str">
        <x:v>由共享基础引擎与M3-STATE修正；日主承载、印比支持只修正自主与执行，不直接等于有无边界。</x:v>
      </x:c>
      <x:c r="L240" s="32" t="str">
        <x:v>不限定；夫妻星仅在入宫或形成角色、责任边界时参与接口，不作为BOUND唯一主轴。</x:v>
      </x:c>
      <x:c r="M240" s="32" t="str">
        <x:v>由M3-BASE、日支主气及宫位动态提供。</x:v>
      </x:c>
      <x:c r="N240" s="32" t="str">
        <x:v>无／待BOUND路径规则组合</x:v>
      </x:c>
      <x:c r="O240" s="32" t="str">
        <x:v>日柱与日支近位优先；全局有效独立信号可作次通道。</x:v>
      </x:c>
      <x:c r="P240" s="32" t="str">
        <x:v>由共享基础引擎判定</x:v>
      </x:c>
      <x:c r="Q240" s="32" t="str">
        <x:v>由共享基础引擎判定</x:v>
      </x:c>
      <x:c r="R240" s="32" t="str">
        <x:v>喜忌不直接等于边界好坏；只修正调用顺畅度、资源压力和状态切换。</x:v>
      </x:c>
      <x:c r="S240" s="32" t="str">
        <x:v>原十神性质有效；真合化成立时按化神所属功能系统重建。</x:v>
      </x:c>
      <x:c r="T240" s="32" t="str">
        <x:v>由共享基础引擎判定</x:v>
      </x:c>
      <x:c r="U240" s="32" t="str">
        <x:v>92</x:v>
      </x:c>
      <x:c r="V240" s="32" t="str">
        <x:v>不加分；接口／去重／路由</x:v>
      </x:c>
      <x:c r="W240" s="32" t="str">
        <x:v>pause_return_style</x:v>
      </x:c>
      <x:c r="X240" s="32" t="str">
        <x:v>暂停回归候选不能直接替代修复链。</x:v>
      </x:c>
      <x:c r="Y240" s="32" t="str">
        <x:v>你需要暂停，不等于拒绝关系；怎样重新联结会在修复模块继续判断。</x:v>
      </x:c>
      <x:c r="Z240" s="32" t="str">
        <x:v>不得由本规则直接推出回避亲密、依赖失控、控制欲、冷漠、自私、关系破裂、分手离婚、人格或依恋类型；不得把某种边界方式等同于爱得更多或更少。</x:v>
      </x:c>
      <x:c r="AA240" s="32" t="str">
        <x:v>高</x:v>
      </x:c>
      <x:c r="AB240" s="32" t="str">
        <x:v>待验证</x:v>
      </x:c>
      <x:c r="AC240" s="32" t="str"/>
      <x:c r="AD240" s="32" t="str">
        <x:v>provisional=true; rule_group=INTERFACE_IF09</x:v>
      </x:c>
      <x:c r="AE240" s="32" t="str">
        <x:v>0.5</x:v>
      </x:c>
    </x:row>
    <x:row r="241">
      <x:c r="A241" s="32" t="str">
        <x:v>M3-BOUND-237</x:v>
      </x:c>
      <x:c r="B241" s="32" t="str">
        <x:v>IF10 STATE接口｜平稳主边界先确定</x:v>
      </x:c>
      <x:c r="C241" s="32" t="str">
        <x:v>L5 BOUND接口门控</x:v>
      </x:c>
      <x:c r="D241" s="32" t="str">
        <x:v>BOUND-接口门控</x:v>
      </x:c>
      <x:c r="E241" s="32" t="str">
        <x:v>通用</x:v>
      </x:c>
      <x:c r="F241" s="32" t="str">
        <x:v>接口／去重／停止</x:v>
      </x:c>
      <x:c r="G241" s="32" t="str">
        <x:v>M3-STATE</x:v>
      </x:c>
      <x:c r="H241" s="32" t="str"/>
      <x:c r="I241" s="32" t="str">
        <x:v>相关模块信号同时可见，或需要执行同源去重、停止、回退。</x:v>
      </x:c>
      <x:c r="J241" s="32" t="str">
        <x:v>基础信号未定；真合化后原信号已失效；只有单一弱远争议信号；或该结论会越界到M4风险、M5适配。</x:v>
      </x:c>
      <x:c r="K241" s="32" t="str">
        <x:v>由共享基础引擎与M3-STATE修正；日主承载、印比支持只修正自主与执行，不直接等于有无边界。</x:v>
      </x:c>
      <x:c r="L241" s="32" t="str">
        <x:v>不限定；夫妻星仅在入宫或形成角色、责任边界时参与接口，不作为BOUND唯一主轴。</x:v>
      </x:c>
      <x:c r="M241" s="32" t="str">
        <x:v>由M3-BASE、日支主气及宫位动态提供。</x:v>
      </x:c>
      <x:c r="N241" s="32" t="str">
        <x:v>无／待BOUND路径规则组合</x:v>
      </x:c>
      <x:c r="O241" s="32" t="str">
        <x:v>日柱与日支近位优先；全局有效独立信号可作次通道。</x:v>
      </x:c>
      <x:c r="P241" s="32" t="str">
        <x:v>由共享基础引擎判定</x:v>
      </x:c>
      <x:c r="Q241" s="32" t="str">
        <x:v>由共享基础引擎判定</x:v>
      </x:c>
      <x:c r="R241" s="32" t="str">
        <x:v>喜忌不直接等于边界好坏；只修正调用顺畅度、资源压力和状态切换。</x:v>
      </x:c>
      <x:c r="S241" s="32" t="str">
        <x:v>原十神性质有效；真合化成立时按化神所属功能系统重建。</x:v>
      </x:c>
      <x:c r="T241" s="32" t="str">
        <x:v>由共享基础引擎判定</x:v>
      </x:c>
      <x:c r="U241" s="32" t="str">
        <x:v>92</x:v>
      </x:c>
      <x:c r="V241" s="32" t="str">
        <x:v>不加分；接口／去重／路由</x:v>
      </x:c>
      <x:c r="W241" s="32" t="str">
        <x:v>state_shift</x:v>
      </x:c>
      <x:c r="X241" s="32" t="str">
        <x:v>先确定日常主通道，再读取压力抢先和恢复回归。</x:v>
      </x:c>
      <x:c r="Y241" s="32" t="str">
        <x:v>会先看你平时怎样安排边界，再说明压力下是否切换。</x:v>
      </x:c>
      <x:c r="Z241" s="32" t="str">
        <x:v>不得由本规则直接推出回避亲密、依赖失控、控制欲、冷漠、自私、关系破裂、分手离婚、人格或依恋类型；不得把某种边界方式等同于爱得更多或更少。</x:v>
      </x:c>
      <x:c r="AA241" s="32" t="str">
        <x:v>高</x:v>
      </x:c>
      <x:c r="AB241" s="32" t="str">
        <x:v>待验证</x:v>
      </x:c>
      <x:c r="AC241" s="32" t="str"/>
      <x:c r="AD241" s="32" t="str">
        <x:v>provisional=true; rule_group=INTERFACE_IF10</x:v>
      </x:c>
      <x:c r="AE241" s="32" t="str">
        <x:v>0.5</x:v>
      </x:c>
    </x:row>
    <x:row r="242">
      <x:c r="A242" s="32" t="str">
        <x:v>M3-BOUND-238</x:v>
      </x:c>
      <x:c r="B242" s="32" t="str">
        <x:v>IF11 STATE接口｜压力切换需要独立证据</x:v>
      </x:c>
      <x:c r="C242" s="32" t="str">
        <x:v>L5 BOUND接口门控</x:v>
      </x:c>
      <x:c r="D242" s="32" t="str">
        <x:v>BOUND-接口门控</x:v>
      </x:c>
      <x:c r="E242" s="32" t="str">
        <x:v>通用</x:v>
      </x:c>
      <x:c r="F242" s="32" t="str">
        <x:v>接口／去重／停止</x:v>
      </x:c>
      <x:c r="G242" s="32" t="str">
        <x:v>M3-STATE</x:v>
      </x:c>
      <x:c r="H242" s="32" t="str"/>
      <x:c r="I242" s="32" t="str">
        <x:v>相关模块信号同时可见，或需要执行同源去重、停止、回退。</x:v>
      </x:c>
      <x:c r="J242" s="32" t="str">
        <x:v>基础信号未定；真合化后原信号已失效；只有单一弱远争议信号；或该结论会越界到M4风险、M5适配。</x:v>
      </x:c>
      <x:c r="K242" s="32" t="str">
        <x:v>由共享基础引擎与M3-STATE修正；日主承载、印比支持只修正自主与执行，不直接等于有无边界。</x:v>
      </x:c>
      <x:c r="L242" s="32" t="str">
        <x:v>不限定；夫妻星仅在入宫或形成角色、责任边界时参与接口，不作为BOUND唯一主轴。</x:v>
      </x:c>
      <x:c r="M242" s="32" t="str">
        <x:v>由M3-BASE、日支主气及宫位动态提供。</x:v>
      </x:c>
      <x:c r="N242" s="32" t="str">
        <x:v>无／待BOUND路径规则组合</x:v>
      </x:c>
      <x:c r="O242" s="32" t="str">
        <x:v>日柱与日支近位优先；全局有效独立信号可作次通道。</x:v>
      </x:c>
      <x:c r="P242" s="32" t="str">
        <x:v>由共享基础引擎判定</x:v>
      </x:c>
      <x:c r="Q242" s="32" t="str">
        <x:v>由共享基础引擎判定</x:v>
      </x:c>
      <x:c r="R242" s="32" t="str">
        <x:v>喜忌不直接等于边界好坏；只修正调用顺畅度、资源压力和状态切换。</x:v>
      </x:c>
      <x:c r="S242" s="32" t="str">
        <x:v>原十神性质有效；真合化成立时按化神所属功能系统重建。</x:v>
      </x:c>
      <x:c r="T242" s="32" t="str">
        <x:v>由共享基础引擎判定</x:v>
      </x:c>
      <x:c r="U242" s="32" t="str">
        <x:v>92</x:v>
      </x:c>
      <x:c r="V242" s="32" t="str">
        <x:v>不加分；接口／去重／路由</x:v>
      </x:c>
      <x:c r="W242" s="32" t="str">
        <x:v>state_shift</x:v>
      </x:c>
      <x:c r="X242" s="32" t="str">
        <x:v>过旺、冲刑或七杀只提供压力候选，不能单独确定状态切换。</x:v>
      </x:c>
      <x:c r="Y242" s="32" t="str">
        <x:v>压力下是否改变边界方式，需要两类以上证据支持。</x:v>
      </x:c>
      <x:c r="Z242" s="32" t="str">
        <x:v>不得由本规则直接推出回避亲密、依赖失控、控制欲、冷漠、自私、关系破裂、分手离婚、人格或依恋类型；不得把某种边界方式等同于爱得更多或更少。</x:v>
      </x:c>
      <x:c r="AA242" s="32" t="str">
        <x:v>中高</x:v>
      </x:c>
      <x:c r="AB242" s="32" t="str">
        <x:v>待验证</x:v>
      </x:c>
      <x:c r="AC242" s="32" t="str"/>
      <x:c r="AD242" s="32" t="str">
        <x:v>provisional=true; rule_group=INTERFACE_IF11</x:v>
      </x:c>
      <x:c r="AE242" s="32" t="str">
        <x:v>0.5</x:v>
      </x:c>
    </x:row>
    <x:row r="243">
      <x:c r="A243" s="32" t="str">
        <x:v>M3-BOUND-239</x:v>
      </x:c>
      <x:c r="B243" s="32" t="str">
        <x:v>IF12 M4路由｜强通道占位候选</x:v>
      </x:c>
      <x:c r="C243" s="32" t="str">
        <x:v>L5 BOUND接口门控</x:v>
      </x:c>
      <x:c r="D243" s="32" t="str">
        <x:v>BOUND-接口门控</x:v>
      </x:c>
      <x:c r="E243" s="32" t="str">
        <x:v>通用</x:v>
      </x:c>
      <x:c r="F243" s="32" t="str">
        <x:v>接口／去重／停止</x:v>
      </x:c>
      <x:c r="G243" s="32" t="str">
        <x:v>M4-关系盲点</x:v>
      </x:c>
      <x:c r="H243" s="32" t="str"/>
      <x:c r="I243" s="32" t="str">
        <x:v>相关模块信号同时可见，或需要执行同源去重、停止、回退。</x:v>
      </x:c>
      <x:c r="J243" s="32" t="str">
        <x:v>基础信号未定；真合化后原信号已失效；只有单一弱远争议信号；或该结论会越界到M4风险、M5适配。</x:v>
      </x:c>
      <x:c r="K243" s="32" t="str">
        <x:v>由共享基础引擎与M3-STATE修正；日主承载、印比支持只修正自主与执行，不直接等于有无边界。</x:v>
      </x:c>
      <x:c r="L243" s="32" t="str">
        <x:v>不限定；夫妻星仅在入宫或形成角色、责任边界时参与接口，不作为BOUND唯一主轴。</x:v>
      </x:c>
      <x:c r="M243" s="32" t="str">
        <x:v>由M3-BASE、日支主气及宫位动态提供。</x:v>
      </x:c>
      <x:c r="N243" s="32" t="str">
        <x:v>无／待BOUND路径规则组合</x:v>
      </x:c>
      <x:c r="O243" s="32" t="str">
        <x:v>日柱与日支近位优先；全局有效独立信号可作次通道。</x:v>
      </x:c>
      <x:c r="P243" s="32" t="str">
        <x:v>由共享基础引擎判定</x:v>
      </x:c>
      <x:c r="Q243" s="32" t="str">
        <x:v>由共享基础引擎判定</x:v>
      </x:c>
      <x:c r="R243" s="32" t="str">
        <x:v>喜忌不直接等于边界好坏；只修正调用顺畅度、资源压力和状态切换。</x:v>
      </x:c>
      <x:c r="S243" s="32" t="str">
        <x:v>原十神性质有效；真合化成立时按化神所属功能系统重建。</x:v>
      </x:c>
      <x:c r="T243" s="32" t="str">
        <x:v>由共享基础引擎判定</x:v>
      </x:c>
      <x:c r="U243" s="32" t="str">
        <x:v>92</x:v>
      </x:c>
      <x:c r="V243" s="32" t="str">
        <x:v>不加分；接口／去重／路由</x:v>
      </x:c>
      <x:c r="W243" s="32" t="str">
        <x:v>risk_route</x:v>
      </x:c>
      <x:c r="X243" s="32" t="str">
        <x:v>强通道抢先、资源占位或执行困难只路由M4，不在BOUND定风险。</x:v>
      </x:c>
      <x:c r="Y243" s="32" t="str">
        <x:v>这项边界方式可能很强，但是否形成控制、回避或消耗，要在M4判断。</x:v>
      </x:c>
      <x:c r="Z243" s="32" t="str">
        <x:v>不得由本规则直接推出回避亲密、依赖失控、控制欲、冷漠、自私、关系破裂、分手离婚、人格或依恋类型；不得把某种边界方式等同于爱得更多或更少。</x:v>
      </x:c>
      <x:c r="AA243" s="32" t="str">
        <x:v>高</x:v>
      </x:c>
      <x:c r="AB243" s="32" t="str">
        <x:v>待验证</x:v>
      </x:c>
      <x:c r="AC243" s="32" t="str"/>
      <x:c r="AD243" s="32" t="str">
        <x:v>provisional=true; rule_group=INTERFACE_IF12</x:v>
      </x:c>
      <x:c r="AE243" s="32" t="str">
        <x:v>0.5</x:v>
      </x:c>
    </x:row>
    <x:row r="244">
      <x:c r="A244" s="32" t="str">
        <x:v>M3-BOUND-240</x:v>
      </x:c>
      <x:c r="B244" s="32" t="str">
        <x:v>IF13 M5接口｜BOUND不得直接给适配答案</x:v>
      </x:c>
      <x:c r="C244" s="32" t="str">
        <x:v>L5 BOUND接口门控</x:v>
      </x:c>
      <x:c r="D244" s="32" t="str">
        <x:v>BOUND-接口门控</x:v>
      </x:c>
      <x:c r="E244" s="32" t="str">
        <x:v>通用</x:v>
      </x:c>
      <x:c r="F244" s="32" t="str">
        <x:v>接口／去重／停止</x:v>
      </x:c>
      <x:c r="G244" s="32" t="str">
        <x:v>M5-适配关系</x:v>
      </x:c>
      <x:c r="H244" s="32" t="str"/>
      <x:c r="I244" s="32" t="str">
        <x:v>相关模块信号同时可见，或需要执行同源去重、停止、回退。</x:v>
      </x:c>
      <x:c r="J244" s="32" t="str">
        <x:v>基础信号未定；真合化后原信号已失效；只有单一弱远争议信号；或该结论会越界到M4风险、M5适配。</x:v>
      </x:c>
      <x:c r="K244" s="32" t="str">
        <x:v>由共享基础引擎与M3-STATE修正；日主承载、印比支持只修正自主与执行，不直接等于有无边界。</x:v>
      </x:c>
      <x:c r="L244" s="32" t="str">
        <x:v>不限定；夫妻星仅在入宫或形成角色、责任边界时参与接口，不作为BOUND唯一主轴。</x:v>
      </x:c>
      <x:c r="M244" s="32" t="str">
        <x:v>由M3-BASE、日支主气及宫位动态提供。</x:v>
      </x:c>
      <x:c r="N244" s="32" t="str">
        <x:v>无／待BOUND路径规则组合</x:v>
      </x:c>
      <x:c r="O244" s="32" t="str">
        <x:v>日柱与日支近位优先；全局有效独立信号可作次通道。</x:v>
      </x:c>
      <x:c r="P244" s="32" t="str">
        <x:v>由共享基础引擎判定</x:v>
      </x:c>
      <x:c r="Q244" s="32" t="str">
        <x:v>由共享基础引擎判定</x:v>
      </x:c>
      <x:c r="R244" s="32" t="str">
        <x:v>喜忌不直接等于边界好坏；只修正调用顺畅度、资源压力和状态切换。</x:v>
      </x:c>
      <x:c r="S244" s="32" t="str">
        <x:v>原十神性质有效；真合化成立时按化神所属功能系统重建。</x:v>
      </x:c>
      <x:c r="T244" s="32" t="str">
        <x:v>由共享基础引擎判定</x:v>
      </x:c>
      <x:c r="U244" s="32" t="str">
        <x:v>92</x:v>
      </x:c>
      <x:c r="V244" s="32" t="str">
        <x:v>不加分；接口／去重／路由</x:v>
      </x:c>
      <x:c r="W244" s="32" t="str">
        <x:v>boundary_note</x:v>
      </x:c>
      <x:c r="X244" s="32" t="str">
        <x:v>边界节奏仅作为适配输入。</x:v>
      </x:c>
      <x:c r="Y244" s="32" t="str">
        <x:v>你常用的距离和权限方式会影响适配，但不是最终适合结论。</x:v>
      </x:c>
      <x:c r="Z244" s="32" t="str">
        <x:v>不得由本规则直接推出回避亲密、依赖失控、控制欲、冷漠、自私、关系破裂、分手离婚、人格或依恋类型；不得把某种边界方式等同于爱得更多或更少。</x:v>
      </x:c>
      <x:c r="AA244" s="32" t="str">
        <x:v>高</x:v>
      </x:c>
      <x:c r="AB244" s="32" t="str">
        <x:v>待验证</x:v>
      </x:c>
      <x:c r="AC244" s="32" t="str"/>
      <x:c r="AD244" s="32" t="str">
        <x:v>provisional=true; rule_group=INTERFACE_IF13</x:v>
      </x:c>
      <x:c r="AE244" s="32" t="str">
        <x:v>0.5</x:v>
      </x:c>
    </x:row>
    <x:row r="245">
      <x:c r="A245" s="32" t="str">
        <x:v>M3-BOUND-241</x:v>
      </x:c>
      <x:c r="B245" s="32" t="str">
        <x:v>IF14 夫妻星入日支｜选择—相处边界连续性</x:v>
      </x:c>
      <x:c r="C245" s="32" t="str">
        <x:v>L5 BOUND接口门控</x:v>
      </x:c>
      <x:c r="D245" s="32" t="str">
        <x:v>BOUND-接口门控</x:v>
      </x:c>
      <x:c r="E245" s="32" t="str">
        <x:v>通用</x:v>
      </x:c>
      <x:c r="F245" s="32" t="str">
        <x:v>接口／去重／停止</x:v>
      </x:c>
      <x:c r="G245" s="32" t="str">
        <x:v>夫妻星入宫</x:v>
      </x:c>
      <x:c r="H245" s="32" t="str"/>
      <x:c r="I245" s="32" t="str">
        <x:v>相关模块信号同时可见，或需要执行同源去重、停止、回退。</x:v>
      </x:c>
      <x:c r="J245" s="32" t="str">
        <x:v>基础信号未定；真合化后原信号已失效；只有单一弱远争议信号；或该结论会越界到M4风险、M5适配。</x:v>
      </x:c>
      <x:c r="K245" s="32" t="str">
        <x:v>由共享基础引擎与M3-STATE修正；日主承载、印比支持只修正自主与执行，不直接等于有无边界。</x:v>
      </x:c>
      <x:c r="L245" s="32" t="str">
        <x:v>不限定；夫妻星仅在入宫或形成角色、责任边界时参与接口，不作为BOUND唯一主轴。</x:v>
      </x:c>
      <x:c r="M245" s="32" t="str">
        <x:v>由M3-BASE、日支主气及宫位动态提供。</x:v>
      </x:c>
      <x:c r="N245" s="32" t="str">
        <x:v>无／待BOUND路径规则组合</x:v>
      </x:c>
      <x:c r="O245" s="32" t="str">
        <x:v>日柱与日支近位优先；全局有效独立信号可作次通道。</x:v>
      </x:c>
      <x:c r="P245" s="32" t="str">
        <x:v>由共享基础引擎判定</x:v>
      </x:c>
      <x:c r="Q245" s="32" t="str">
        <x:v>由共享基础引擎判定</x:v>
      </x:c>
      <x:c r="R245" s="32" t="str">
        <x:v>喜忌不直接等于边界好坏；只修正调用顺畅度、资源压力和状态切换。</x:v>
      </x:c>
      <x:c r="S245" s="32" t="str">
        <x:v>原十神性质有效；真合化成立时按化神所属功能系统重建。</x:v>
      </x:c>
      <x:c r="T245" s="32" t="str">
        <x:v>由共享基础引擎判定</x:v>
      </x:c>
      <x:c r="U245" s="32" t="str">
        <x:v>92</x:v>
      </x:c>
      <x:c r="V245" s="32" t="str">
        <x:v>不加分；接口／去重／路由</x:v>
      </x:c>
      <x:c r="W245" s="32" t="str">
        <x:v>provenance</x:v>
      </x:c>
      <x:c r="X245" s="32" t="str">
        <x:v>夫妻星入宫可形成M2选择与M3角色／资源边界连续性，但同源去重。</x:v>
      </x:c>
      <x:c r="Y245" s="32" t="str">
        <x:v>你选择关系时看重的责任、行动或投入，进入关系后也可能成为共同规则。</x:v>
      </x:c>
      <x:c r="Z245" s="32" t="str">
        <x:v>不得由本规则直接推出回避亲密、依赖失控、控制欲、冷漠、自私、关系破裂、分手离婚、人格或依恋类型；不得把某种边界方式等同于爱得更多或更少。</x:v>
      </x:c>
      <x:c r="AA245" s="32" t="str">
        <x:v>中高</x:v>
      </x:c>
      <x:c r="AB245" s="32" t="str">
        <x:v>待验证</x:v>
      </x:c>
      <x:c r="AC245" s="32" t="str"/>
      <x:c r="AD245" s="32" t="str">
        <x:v>provisional=true; rule_group=INTERFACE_IF14</x:v>
      </x:c>
      <x:c r="AE245" s="32" t="str">
        <x:v>0.5</x:v>
      </x:c>
    </x:row>
    <x:row r="246">
      <x:c r="A246" s="32" t="str">
        <x:v>M3-BOUND-242</x:v>
      </x:c>
      <x:c r="B246" s="32" t="str">
        <x:v>IF15 source_id与同系统去重｜共享事实只计一次</x:v>
      </x:c>
      <x:c r="C246" s="32" t="str">
        <x:v>L5 BOUND接口门控</x:v>
      </x:c>
      <x:c r="D246" s="32" t="str">
        <x:v>BOUND-接口门控</x:v>
      </x:c>
      <x:c r="E246" s="32" t="str">
        <x:v>通用</x:v>
      </x:c>
      <x:c r="F246" s="32" t="str">
        <x:v>接口／去重／停止</x:v>
      </x:c>
      <x:c r="G246" s="32" t="str">
        <x:v>同源去重</x:v>
      </x:c>
      <x:c r="H246" s="32" t="str"/>
      <x:c r="I246" s="32" t="str">
        <x:v>相关模块信号同时可见，或需要执行同源去重、停止、回退。</x:v>
      </x:c>
      <x:c r="J246" s="32" t="str">
        <x:v>基础信号未定；真合化后原信号已失效；只有单一弱远争议信号；或该结论会越界到M4风险、M5适配。</x:v>
      </x:c>
      <x:c r="K246" s="32" t="str">
        <x:v>由共享基础引擎与M3-STATE修正；日主承载、印比支持只修正自主与执行，不直接等于有无边界。</x:v>
      </x:c>
      <x:c r="L246" s="32" t="str">
        <x:v>不限定；夫妻星仅在入宫或形成角色、责任边界时参与接口，不作为BOUND唯一主轴。</x:v>
      </x:c>
      <x:c r="M246" s="32" t="str">
        <x:v>由M3-BASE、日支主气及宫位动态提供。</x:v>
      </x:c>
      <x:c r="N246" s="32" t="str">
        <x:v>无／待BOUND路径规则组合</x:v>
      </x:c>
      <x:c r="O246" s="32" t="str">
        <x:v>日柱与日支近位优先；全局有效独立信号可作次通道。</x:v>
      </x:c>
      <x:c r="P246" s="32" t="str">
        <x:v>由共享基础引擎判定</x:v>
      </x:c>
      <x:c r="Q246" s="32" t="str">
        <x:v>由共享基础引擎判定</x:v>
      </x:c>
      <x:c r="R246" s="32" t="str">
        <x:v>喜忌不直接等于边界好坏；只修正调用顺畅度、资源压力和状态切换。</x:v>
      </x:c>
      <x:c r="S246" s="32" t="str">
        <x:v>原十神性质有效；真合化成立时按化神所属功能系统重建。</x:v>
      </x:c>
      <x:c r="T246" s="32" t="str">
        <x:v>由共享基础引擎判定</x:v>
      </x:c>
      <x:c r="U246" s="32" t="str">
        <x:v>92</x:v>
      </x:c>
      <x:c r="V246" s="32" t="str">
        <x:v>不加分；接口／去重／路由</x:v>
      </x:c>
      <x:c r="W246" s="32" t="str">
        <x:v>provenance</x:v>
      </x:c>
      <x:c r="X246" s="32" t="str">
        <x:v>同一source_id、同根透藏或正偏同系统先收敛，再判断风格分工。</x:v>
      </x:c>
      <x:c r="Y246" s="32" t="str">
        <x:v>同一事实可以从不同角度解释，但不会重复抬高置信度。</x:v>
      </x:c>
      <x:c r="Z246" s="32" t="str">
        <x:v>不得由本规则直接推出回避亲密、依赖失控、控制欲、冷漠、自私、关系破裂、分手离婚、人格或依恋类型；不得把某种边界方式等同于爱得更多或更少。</x:v>
      </x:c>
      <x:c r="AA246" s="32" t="str">
        <x:v>高</x:v>
      </x:c>
      <x:c r="AB246" s="32" t="str">
        <x:v>待验证</x:v>
      </x:c>
      <x:c r="AC246" s="32" t="str"/>
      <x:c r="AD246" s="32" t="str">
        <x:v>provisional=true; rule_group=INTERFACE_IF15</x:v>
      </x:c>
      <x:c r="AE246" s="32" t="str">
        <x:v>0.5</x:v>
      </x:c>
    </x:row>
    <x:row r="247">
      <x:c r="A247" s="32" t="str">
        <x:v>M3-BOUND-243</x:v>
      </x:c>
      <x:c r="B247" s="32" t="str">
        <x:v>IF16 停止与有限回退｜基础争议时只到系统层</x:v>
      </x:c>
      <x:c r="C247" s="32" t="str">
        <x:v>L5 BOUND接口门控</x:v>
      </x:c>
      <x:c r="D247" s="32" t="str">
        <x:v>BOUND-接口门控</x:v>
      </x:c>
      <x:c r="E247" s="32" t="str">
        <x:v>通用</x:v>
      </x:c>
      <x:c r="F247" s="32" t="str">
        <x:v>接口／去重／停止</x:v>
      </x:c>
      <x:c r="G247" s="32" t="str">
        <x:v>停止／回退</x:v>
      </x:c>
      <x:c r="H247" s="32" t="str"/>
      <x:c r="I247" s="32" t="str">
        <x:v>相关模块信号同时可见，或需要执行同源去重、停止、回退。</x:v>
      </x:c>
      <x:c r="J247" s="32" t="str">
        <x:v>基础信号未定；真合化后原信号已失效；只有单一弱远争议信号；或该结论会越界到M4风险、M5适配。</x:v>
      </x:c>
      <x:c r="K247" s="32" t="str">
        <x:v>由共享基础引擎与M3-STATE修正；日主承载、印比支持只修正自主与执行，不直接等于有无边界。</x:v>
      </x:c>
      <x:c r="L247" s="32" t="str">
        <x:v>不限定；夫妻星仅在入宫或形成角色、责任边界时参与接口，不作为BOUND唯一主轴。</x:v>
      </x:c>
      <x:c r="M247" s="32" t="str">
        <x:v>由M3-BASE、日支主气及宫位动态提供。</x:v>
      </x:c>
      <x:c r="N247" s="32" t="str">
        <x:v>无／待BOUND路径规则组合</x:v>
      </x:c>
      <x:c r="O247" s="32" t="str">
        <x:v>日柱与日支近位优先；全局有效独立信号可作次通道。</x:v>
      </x:c>
      <x:c r="P247" s="32" t="str">
        <x:v>由共享基础引擎判定</x:v>
      </x:c>
      <x:c r="Q247" s="32" t="str">
        <x:v>由共享基础引擎判定</x:v>
      </x:c>
      <x:c r="R247" s="32" t="str">
        <x:v>喜忌不直接等于边界好坏；只修正调用顺畅度、资源压力和状态切换。</x:v>
      </x:c>
      <x:c r="S247" s="32" t="str">
        <x:v>原十神性质有效；真合化成立时按化神所属功能系统重建。</x:v>
      </x:c>
      <x:c r="T247" s="32" t="str">
        <x:v>由共享基础引擎判定</x:v>
      </x:c>
      <x:c r="U247" s="32" t="str">
        <x:v>92</x:v>
      </x:c>
      <x:c r="V247" s="32" t="str">
        <x:v>不加分；接口／去重／路由</x:v>
      </x:c>
      <x:c r="W247" s="32" t="str">
        <x:v>report_status</x:v>
      </x:c>
      <x:c r="X247" s="32" t="str">
        <x:v>真合化未定、日支主气争议、旺衰关键未定或只有弱远信号时停止十神级输出。</x:v>
      </x:c>
      <x:c r="Y247" s="32" t="str">
        <x:v>关键基础还没有确定时，只会保留系统级方向，不会硬写固定边界模式。</x:v>
      </x:c>
      <x:c r="Z247" s="32" t="str">
        <x:v>不得由本规则直接推出回避亲密、依赖失控、控制欲、冷漠、自私、关系破裂、分手离婚、人格或依恋类型；不得把某种边界方式等同于爱得更多或更少。</x:v>
      </x:c>
      <x:c r="AA247" s="32" t="str">
        <x:v>高</x:v>
      </x:c>
      <x:c r="AB247" s="32" t="str">
        <x:v>待验证</x:v>
      </x:c>
      <x:c r="AC247" s="32" t="str"/>
      <x:c r="AD247" s="32" t="str">
        <x:v>provisional=true; rule_group=INTERFACE_IF16</x:v>
      </x:c>
      <x:c r="AE247" s="32" t="str">
        <x:v>0.5</x:v>
      </x:c>
    </x:row>
    <x:row r="248">
      <x:c r="A248" s="32" t="str">
        <x:v>M3-BOUND-244</x:v>
      </x:c>
      <x:c r="B248" s="32" t="str">
        <x:v>SO01 来源权重｜日支主气／日柱直接事实</x:v>
      </x:c>
      <x:c r="C248" s="32" t="str">
        <x:v>L6 BOUND合成输出</x:v>
      </x:c>
      <x:c r="D248" s="32" t="str">
        <x:v>BOUND-合成输出</x:v>
      </x:c>
      <x:c r="E248" s="32" t="str">
        <x:v>通用</x:v>
      </x:c>
      <x:c r="F248" s="32" t="str">
        <x:v>评分</x:v>
      </x:c>
      <x:c r="G248" s="32" t="str">
        <x:v>日支主气／日柱</x:v>
      </x:c>
      <x:c r="H248" s="32" t="str"/>
      <x:c r="I248" s="32" t="str">
        <x:v>日支主气或日柱直接参与BOUND。</x:v>
      </x:c>
      <x:c r="J248" s="32" t="str">
        <x:v>基础信号未定；真合化后原信号已失效；只有单一弱远争议信号；或该结论会越界到M4风险、M5适配。</x:v>
      </x:c>
      <x:c r="K248" s="32" t="str">
        <x:v>由共享基础引擎与M3-STATE修正；日主承载、印比支持只修正自主与执行，不直接等于有无边界。</x:v>
      </x:c>
      <x:c r="L248" s="32" t="str">
        <x:v>不限定；夫妻星仅在入宫或形成角色、责任边界时参与接口，不作为BOUND唯一主轴。</x:v>
      </x:c>
      <x:c r="M248" s="32" t="str">
        <x:v>由M3-BASE、日支主气及宫位动态提供。</x:v>
      </x:c>
      <x:c r="N248" s="32" t="str">
        <x:v>无／待BOUND路径规则组合</x:v>
      </x:c>
      <x:c r="O248" s="32" t="str">
        <x:v>日柱与日支近位优先；全局有效独立信号可作次通道。</x:v>
      </x:c>
      <x:c r="P248" s="32" t="str">
        <x:v>由共享基础引擎判定</x:v>
      </x:c>
      <x:c r="Q248" s="32" t="str">
        <x:v>由共享基础引擎判定</x:v>
      </x:c>
      <x:c r="R248" s="32" t="str">
        <x:v>喜忌不直接等于边界好坏；只修正调用顺畅度、资源压力和状态切换。</x:v>
      </x:c>
      <x:c r="S248" s="32" t="str">
        <x:v>原十神性质有效；真合化成立时按化神所属功能系统重建。</x:v>
      </x:c>
      <x:c r="T248" s="32" t="str">
        <x:v>由共享基础引擎判定</x:v>
      </x:c>
      <x:c r="U248" s="32" t="str">
        <x:v>90</x:v>
      </x:c>
      <x:c r="V248" s="32" t="str">
        <x:v>基础 +18</x:v>
      </x:c>
      <x:c r="W248" s="32" t="str">
        <x:v>primary_boundary_channel</x:v>
      </x:c>
      <x:c r="X248" s="32" t="str">
        <x:v>亲密关系近位事实权重较高。</x:v>
      </x:c>
      <x:c r="Y248" s="32" t="str">
        <x:v>这类信号更直接进入亲密关系日常。</x:v>
      </x:c>
      <x:c r="Z248" s="32" t="str">
        <x:v>不得由本规则直接推出回避亲密、依赖失控、控制欲、冷漠、自私、关系破裂、分手离婚、人格或依恋类型；不得把某种边界方式等同于爱得更多或更少。</x:v>
      </x:c>
      <x:c r="AA248" s="32" t="str">
        <x:v>中高</x:v>
      </x:c>
      <x:c r="AB248" s="32" t="str">
        <x:v>待验证</x:v>
      </x:c>
      <x:c r="AC248" s="32" t="str"/>
      <x:c r="AD248" s="32" t="str">
        <x:v>provisional=true; rule_group=OUTPUT_SO01</x:v>
      </x:c>
      <x:c r="AE248" s="32" t="str">
        <x:v>0.5</x:v>
      </x:c>
    </x:row>
    <x:row r="249">
      <x:c r="A249" s="32" t="str">
        <x:v>M3-BOUND-245</x:v>
      </x:c>
      <x:c r="B249" s="32" t="str">
        <x:v>SO02 来源权重｜近位有根独立信号</x:v>
      </x:c>
      <x:c r="C249" s="32" t="str">
        <x:v>L6 BOUND合成输出</x:v>
      </x:c>
      <x:c r="D249" s="32" t="str">
        <x:v>BOUND-合成输出</x:v>
      </x:c>
      <x:c r="E249" s="32" t="str">
        <x:v>通用</x:v>
      </x:c>
      <x:c r="F249" s="32" t="str">
        <x:v>评分</x:v>
      </x:c>
      <x:c r="G249" s="32" t="str">
        <x:v>近位有根</x:v>
      </x:c>
      <x:c r="H249" s="32" t="str"/>
      <x:c r="I249" s="32" t="str">
        <x:v>靠近日柱且有根、功能独立。</x:v>
      </x:c>
      <x:c r="J249" s="32" t="str">
        <x:v>基础信号未定；真合化后原信号已失效；只有单一弱远争议信号；或该结论会越界到M4风险、M5适配。</x:v>
      </x:c>
      <x:c r="K249" s="32" t="str">
        <x:v>由共享基础引擎与M3-STATE修正；日主承载、印比支持只修正自主与执行，不直接等于有无边界。</x:v>
      </x:c>
      <x:c r="L249" s="32" t="str">
        <x:v>不限定；夫妻星仅在入宫或形成角色、责任边界时参与接口，不作为BOUND唯一主轴。</x:v>
      </x:c>
      <x:c r="M249" s="32" t="str">
        <x:v>由M3-BASE、日支主气及宫位动态提供。</x:v>
      </x:c>
      <x:c r="N249" s="32" t="str">
        <x:v>无／待BOUND路径规则组合</x:v>
      </x:c>
      <x:c r="O249" s="32" t="str">
        <x:v>日柱与日支近位优先；全局有效独立信号可作次通道。</x:v>
      </x:c>
      <x:c r="P249" s="32" t="str">
        <x:v>由共享基础引擎判定</x:v>
      </x:c>
      <x:c r="Q249" s="32" t="str">
        <x:v>由共享基础引擎判定</x:v>
      </x:c>
      <x:c r="R249" s="32" t="str">
        <x:v>喜忌不直接等于边界好坏；只修正调用顺畅度、资源压力和状态切换。</x:v>
      </x:c>
      <x:c r="S249" s="32" t="str">
        <x:v>原十神性质有效；真合化成立时按化神所属功能系统重建。</x:v>
      </x:c>
      <x:c r="T249" s="32" t="str">
        <x:v>由共享基础引擎判定</x:v>
      </x:c>
      <x:c r="U249" s="32" t="str">
        <x:v>90</x:v>
      </x:c>
      <x:c r="V249" s="32" t="str">
        <x:v>基础 +14</x:v>
      </x:c>
      <x:c r="W249" s="32" t="str">
        <x:v>primary_boundary_channel</x:v>
      </x:c>
      <x:c r="X249" s="32" t="str">
        <x:v>近位有根的边界功能更容易成为稳定习惯。</x:v>
      </x:c>
      <x:c r="Y249" s="32" t="str">
        <x:v>靠近日柱且有稳定来源的边界方式，更容易成为真实相处习惯。</x:v>
      </x:c>
      <x:c r="Z249" s="32" t="str">
        <x:v>不得由本规则直接推出回避亲密、依赖失控、控制欲、冷漠、自私、关系破裂、分手离婚、人格或依恋类型；不得把某种边界方式等同于爱得更多或更少。</x:v>
      </x:c>
      <x:c r="AA249" s="32" t="str">
        <x:v>中高</x:v>
      </x:c>
      <x:c r="AB249" s="32" t="str">
        <x:v>待验证</x:v>
      </x:c>
      <x:c r="AC249" s="32" t="str"/>
      <x:c r="AD249" s="32" t="str">
        <x:v>provisional=true; rule_group=OUTPUT_SO02</x:v>
      </x:c>
      <x:c r="AE249" s="32" t="str">
        <x:v>0.5</x:v>
      </x:c>
    </x:row>
    <x:row r="250">
      <x:c r="A250" s="32" t="str">
        <x:v>M3-BOUND-246</x:v>
      </x:c>
      <x:c r="B250" s="32" t="str">
        <x:v>SO03 来源权重｜透干有根外显信号</x:v>
      </x:c>
      <x:c r="C250" s="32" t="str">
        <x:v>L6 BOUND合成输出</x:v>
      </x:c>
      <x:c r="D250" s="32" t="str">
        <x:v>BOUND-合成输出</x:v>
      </x:c>
      <x:c r="E250" s="32" t="str">
        <x:v>通用</x:v>
      </x:c>
      <x:c r="F250" s="32" t="str">
        <x:v>评分</x:v>
      </x:c>
      <x:c r="G250" s="32" t="str">
        <x:v>透干有根</x:v>
      </x:c>
      <x:c r="H250" s="32" t="str"/>
      <x:c r="I250" s="32" t="str">
        <x:v>通道透干有根，且未与主气同源重复。</x:v>
      </x:c>
      <x:c r="J250" s="32" t="str">
        <x:v>基础信号未定；真合化后原信号已失效；只有单一弱远争议信号；或该结论会越界到M4风险、M5适配。</x:v>
      </x:c>
      <x:c r="K250" s="32" t="str">
        <x:v>由共享基础引擎与M3-STATE修正；日主承载、印比支持只修正自主与执行，不直接等于有无边界。</x:v>
      </x:c>
      <x:c r="L250" s="32" t="str">
        <x:v>不限定；夫妻星仅在入宫或形成角色、责任边界时参与接口，不作为BOUND唯一主轴。</x:v>
      </x:c>
      <x:c r="M250" s="32" t="str">
        <x:v>由M3-BASE、日支主气及宫位动态提供。</x:v>
      </x:c>
      <x:c r="N250" s="32" t="str">
        <x:v>无／待BOUND路径规则组合</x:v>
      </x:c>
      <x:c r="O250" s="32" t="str">
        <x:v>日柱与日支近位优先；全局有效独立信号可作次通道。</x:v>
      </x:c>
      <x:c r="P250" s="32" t="str">
        <x:v>由共享基础引擎判定</x:v>
      </x:c>
      <x:c r="Q250" s="32" t="str">
        <x:v>由共享基础引擎判定</x:v>
      </x:c>
      <x:c r="R250" s="32" t="str">
        <x:v>喜忌不直接等于边界好坏；只修正调用顺畅度、资源压力和状态切换。</x:v>
      </x:c>
      <x:c r="S250" s="32" t="str">
        <x:v>原十神性质有效；真合化成立时按化神所属功能系统重建。</x:v>
      </x:c>
      <x:c r="T250" s="32" t="str">
        <x:v>由共享基础引擎判定</x:v>
      </x:c>
      <x:c r="U250" s="32" t="str">
        <x:v>90</x:v>
      </x:c>
      <x:c r="V250" s="32" t="str">
        <x:v>基础 +12</x:v>
      </x:c>
      <x:c r="W250" s="32" t="str">
        <x:v>closeness_rhythm</x:v>
      </x:c>
      <x:c r="X250" s="32" t="str">
        <x:v>既容易被看见，也有稳定来源。</x:v>
      </x:c>
      <x:c r="Y250" s="32" t="str">
        <x:v>这种边界方式既容易被看见，也有一定重复出现的基础。</x:v>
      </x:c>
      <x:c r="Z250" s="32" t="str">
        <x:v>不得由本规则直接推出回避亲密、依赖失控、控制欲、冷漠、自私、关系破裂、分手离婚、人格或依恋类型；不得把某种边界方式等同于爱得更多或更少。</x:v>
      </x:c>
      <x:c r="AA250" s="32" t="str">
        <x:v>中高</x:v>
      </x:c>
      <x:c r="AB250" s="32" t="str">
        <x:v>待验证</x:v>
      </x:c>
      <x:c r="AC250" s="32" t="str"/>
      <x:c r="AD250" s="32" t="str">
        <x:v>provisional=true; rule_group=OUTPUT_SO03</x:v>
      </x:c>
      <x:c r="AE250" s="32" t="str">
        <x:v>0.5</x:v>
      </x:c>
    </x:row>
    <x:row r="251">
      <x:c r="A251" s="32" t="str">
        <x:v>M3-BOUND-247</x:v>
      </x:c>
      <x:c r="B251" s="32" t="str">
        <x:v>SO04 来源权重｜全局有效独立信号</x:v>
      </x:c>
      <x:c r="C251" s="32" t="str">
        <x:v>L6 BOUND合成输出</x:v>
      </x:c>
      <x:c r="D251" s="32" t="str">
        <x:v>BOUND-合成输出</x:v>
      </x:c>
      <x:c r="E251" s="32" t="str">
        <x:v>通用</x:v>
      </x:c>
      <x:c r="F251" s="32" t="str">
        <x:v>评分</x:v>
      </x:c>
      <x:c r="G251" s="32" t="str">
        <x:v>全局有效信号</x:v>
      </x:c>
      <x:c r="H251" s="32" t="str"/>
      <x:c r="I251" s="32" t="str">
        <x:v>信号全局有效、来源独立，但不在亲密近位。</x:v>
      </x:c>
      <x:c r="J251" s="32" t="str">
        <x:v>基础信号未定；真合化后原信号已失效；只有单一弱远争议信号；或该结论会越界到M4风险、M5适配。</x:v>
      </x:c>
      <x:c r="K251" s="32" t="str">
        <x:v>由共享基础引擎与M3-STATE修正；日主承载、印比支持只修正自主与执行，不直接等于有无边界。</x:v>
      </x:c>
      <x:c r="L251" s="32" t="str">
        <x:v>不限定；夫妻星仅在入宫或形成角色、责任边界时参与接口，不作为BOUND唯一主轴。</x:v>
      </x:c>
      <x:c r="M251" s="32" t="str">
        <x:v>由M3-BASE、日支主气及宫位动态提供。</x:v>
      </x:c>
      <x:c r="N251" s="32" t="str">
        <x:v>无／待BOUND路径规则组合</x:v>
      </x:c>
      <x:c r="O251" s="32" t="str">
        <x:v>日柱与日支近位优先；全局有效独立信号可作次通道。</x:v>
      </x:c>
      <x:c r="P251" s="32" t="str">
        <x:v>由共享基础引擎判定</x:v>
      </x:c>
      <x:c r="Q251" s="32" t="str">
        <x:v>由共享基础引擎判定</x:v>
      </x:c>
      <x:c r="R251" s="32" t="str">
        <x:v>喜忌不直接等于边界好坏；只修正调用顺畅度、资源压力和状态切换。</x:v>
      </x:c>
      <x:c r="S251" s="32" t="str">
        <x:v>原十神性质有效；真合化成立时按化神所属功能系统重建。</x:v>
      </x:c>
      <x:c r="T251" s="32" t="str">
        <x:v>由共享基础引擎判定</x:v>
      </x:c>
      <x:c r="U251" s="32" t="str">
        <x:v>90</x:v>
      </x:c>
      <x:c r="V251" s="32" t="str">
        <x:v>基础 +8</x:v>
      </x:c>
      <x:c r="W251" s="32" t="str">
        <x:v>secondary_boundary_channel</x:v>
      </x:c>
      <x:c r="X251" s="32" t="str">
        <x:v>可作为次通道，是否为核心还需位置和现实行为。</x:v>
      </x:c>
      <x:c r="Y251" s="32" t="str">
        <x:v>这项方式在命局中有效，但是否成为亲密关系核心，需要结合位置和真实行为。</x:v>
      </x:c>
      <x:c r="Z251" s="32" t="str">
        <x:v>不得由本规则直接推出回避亲密、依赖失控、控制欲、冷漠、自私、关系破裂、分手离婚、人格或依恋类型；不得把某种边界方式等同于爱得更多或更少。</x:v>
      </x:c>
      <x:c r="AA251" s="32" t="str">
        <x:v>中</x:v>
      </x:c>
      <x:c r="AB251" s="32" t="str">
        <x:v>待验证</x:v>
      </x:c>
      <x:c r="AC251" s="32" t="str"/>
      <x:c r="AD251" s="32" t="str">
        <x:v>provisional=true; rule_group=OUTPUT_SO04</x:v>
      </x:c>
      <x:c r="AE251" s="32" t="str">
        <x:v>0.5</x:v>
      </x:c>
    </x:row>
    <x:row r="252">
      <x:c r="A252" s="32" t="str">
        <x:v>M3-BOUND-248</x:v>
      </x:c>
      <x:c r="B252" s="32" t="str">
        <x:v>SO05 案例行为校准｜真实重复行为修正</x:v>
      </x:c>
      <x:c r="C252" s="32" t="str">
        <x:v>L6 BOUND合成输出</x:v>
      </x:c>
      <x:c r="D252" s="32" t="str">
        <x:v>BOUND-合成输出</x:v>
      </x:c>
      <x:c r="E252" s="32" t="str">
        <x:v>通用</x:v>
      </x:c>
      <x:c r="F252" s="32" t="str">
        <x:v>评分</x:v>
      </x:c>
      <x:c r="G252" s="32" t="str">
        <x:v>案例反馈</x:v>
      </x:c>
      <x:c r="H252" s="32" t="str"/>
      <x:c r="I252" s="32" t="str">
        <x:v>有多次真实关系行为、伴侣反馈或反例。</x:v>
      </x:c>
      <x:c r="J252" s="32" t="str">
        <x:v>基础信号未定；真合化后原信号已失效；只有单一弱远争议信号；或该结论会越界到M4风险、M5适配。</x:v>
      </x:c>
      <x:c r="K252" s="32" t="str">
        <x:v>由共享基础引擎与M3-STATE修正；日主承载、印比支持只修正自主与执行，不直接等于有无边界。</x:v>
      </x:c>
      <x:c r="L252" s="32" t="str">
        <x:v>不限定；夫妻星仅在入宫或形成角色、责任边界时参与接口，不作为BOUND唯一主轴。</x:v>
      </x:c>
      <x:c r="M252" s="32" t="str">
        <x:v>由M3-BASE、日支主气及宫位动态提供。</x:v>
      </x:c>
      <x:c r="N252" s="32" t="str">
        <x:v>无／待BOUND路径规则组合</x:v>
      </x:c>
      <x:c r="O252" s="32" t="str">
        <x:v>日柱与日支近位优先；全局有效独立信号可作次通道。</x:v>
      </x:c>
      <x:c r="P252" s="32" t="str">
        <x:v>由共享基础引擎判定</x:v>
      </x:c>
      <x:c r="Q252" s="32" t="str">
        <x:v>由共享基础引擎判定</x:v>
      </x:c>
      <x:c r="R252" s="32" t="str">
        <x:v>喜忌不直接等于边界好坏；只修正调用顺畅度、资源压力和状态切换。</x:v>
      </x:c>
      <x:c r="S252" s="32" t="str">
        <x:v>原十神性质有效；真合化成立时按化神所属功能系统重建。</x:v>
      </x:c>
      <x:c r="T252" s="32" t="str">
        <x:v>由共享基础引擎判定</x:v>
      </x:c>
      <x:c r="U252" s="32" t="str">
        <x:v>90</x:v>
      </x:c>
      <x:c r="V252" s="32" t="str">
        <x:v>案例修正 +0—6</x:v>
      </x:c>
      <x:c r="W252" s="32" t="str">
        <x:v>confidence</x:v>
      </x:c>
      <x:c r="X252" s="32" t="str">
        <x:v>重复行为用于校准规则，不用一次事件替代稳定模式。</x:v>
      </x:c>
      <x:c r="Y252" s="32" t="str">
        <x:v>真实相处中的重复行为会用于校准，而不是用一次事件定义你。</x:v>
      </x:c>
      <x:c r="Z252" s="32" t="str">
        <x:v>不得由本规则直接推出回避亲密、依赖失控、控制欲、冷漠、自私、关系破裂、分手离婚、人格或依恋类型；不得把某种边界方式等同于爱得更多或更少。</x:v>
      </x:c>
      <x:c r="AA252" s="32" t="str">
        <x:v>中高</x:v>
      </x:c>
      <x:c r="AB252" s="32" t="str">
        <x:v>待验证</x:v>
      </x:c>
      <x:c r="AC252" s="32" t="str"/>
      <x:c r="AD252" s="32" t="str">
        <x:v>provisional=true; rule_group=OUTPUT_SO05</x:v>
      </x:c>
      <x:c r="AE252" s="32" t="str">
        <x:v>0.5</x:v>
      </x:c>
    </x:row>
    <x:row r="253">
      <x:c r="A253" s="32" t="str">
        <x:v>M3-BOUND-249</x:v>
      </x:c>
      <x:c r="B253" s="32" t="str">
        <x:v>SO06 主BOUND通道门槛｜34分且领先</x:v>
      </x:c>
      <x:c r="C253" s="32" t="str">
        <x:v>L6 BOUND合成输出</x:v>
      </x:c>
      <x:c r="D253" s="32" t="str">
        <x:v>BOUND-合成输出</x:v>
      </x:c>
      <x:c r="E253" s="32" t="str">
        <x:v>通用</x:v>
      </x:c>
      <x:c r="F253" s="32" t="str">
        <x:v>门槛</x:v>
      </x:c>
      <x:c r="G253" s="32" t="str">
        <x:v>主通道评分</x:v>
      </x:c>
      <x:c r="H253" s="32" t="str"/>
      <x:c r="I253" s="32" t="str">
        <x:v>主候选总分≥34，且领先第二候选≥8；基础状态可靠。</x:v>
      </x:c>
      <x:c r="J253" s="32" t="str">
        <x:v>基础信号未定；真合化后原信号已失效；只有单一弱远争议信号；或该结论会越界到M4风险、M5适配。</x:v>
      </x:c>
      <x:c r="K253" s="32" t="str">
        <x:v>由共享基础引擎与M3-STATE修正；日主承载、印比支持只修正自主与执行，不直接等于有无边界。</x:v>
      </x:c>
      <x:c r="L253" s="32" t="str">
        <x:v>不限定；夫妻星仅在入宫或形成角色、责任边界时参与接口，不作为BOUND唯一主轴。</x:v>
      </x:c>
      <x:c r="M253" s="32" t="str">
        <x:v>由M3-BASE、日支主气及宫位动态提供。</x:v>
      </x:c>
      <x:c r="N253" s="32" t="str">
        <x:v>无／待BOUND路径规则组合</x:v>
      </x:c>
      <x:c r="O253" s="32" t="str">
        <x:v>日柱与日支近位优先；全局有效独立信号可作次通道。</x:v>
      </x:c>
      <x:c r="P253" s="32" t="str">
        <x:v>由共享基础引擎判定</x:v>
      </x:c>
      <x:c r="Q253" s="32" t="str">
        <x:v>由共享基础引擎判定</x:v>
      </x:c>
      <x:c r="R253" s="32" t="str">
        <x:v>喜忌不直接等于边界好坏；只修正调用顺畅度、资源压力和状态切换。</x:v>
      </x:c>
      <x:c r="S253" s="32" t="str">
        <x:v>原十神性质有效；真合化成立时按化神所属功能系统重建。</x:v>
      </x:c>
      <x:c r="T253" s="32" t="str">
        <x:v>由共享基础引擎判定</x:v>
      </x:c>
      <x:c r="U253" s="32" t="str">
        <x:v>90</x:v>
      </x:c>
      <x:c r="V253" s="32" t="str">
        <x:v>门槛：≥34且领先≥8</x:v>
      </x:c>
      <x:c r="W253" s="32" t="str">
        <x:v>primary_boundary_channel</x:v>
      </x:c>
      <x:c r="X253" s="32" t="str">
        <x:v>只有证据集中且主次清楚时，才写成明确主通道。</x:v>
      </x:c>
      <x:c r="Y253" s="32" t="str">
        <x:v>只有证据足够集中时，才会把一种方式写成你的主要边界通道。</x:v>
      </x:c>
      <x:c r="Z253" s="32" t="str">
        <x:v>不得由本规则直接推出回避亲密、依赖失控、控制欲、冷漠、自私、关系破裂、分手离婚、人格或依恋类型；不得把某种边界方式等同于爱得更多或更少。</x:v>
      </x:c>
      <x:c r="AA253" s="32" t="str">
        <x:v>中</x:v>
      </x:c>
      <x:c r="AB253" s="32" t="str">
        <x:v>待验证</x:v>
      </x:c>
      <x:c r="AC253" s="32" t="str"/>
      <x:c r="AD253" s="32" t="str">
        <x:v>provisional=true; rule_group=OUTPUT_SO06</x:v>
      </x:c>
      <x:c r="AE253" s="32" t="str">
        <x:v>0.5</x:v>
      </x:c>
    </x:row>
    <x:row r="254">
      <x:c r="A254" s="32" t="str">
        <x:v>M3-BOUND-250</x:v>
      </x:c>
      <x:c r="B254" s="32" t="str">
        <x:v>SO07 次BOUND通道门槛｜24分且功能独立</x:v>
      </x:c>
      <x:c r="C254" s="32" t="str">
        <x:v>L6 BOUND合成输出</x:v>
      </x:c>
      <x:c r="D254" s="32" t="str">
        <x:v>BOUND-合成输出</x:v>
      </x:c>
      <x:c r="E254" s="32" t="str">
        <x:v>通用</x:v>
      </x:c>
      <x:c r="F254" s="32" t="str">
        <x:v>门槛</x:v>
      </x:c>
      <x:c r="G254" s="32" t="str">
        <x:v>次通道评分</x:v>
      </x:c>
      <x:c r="H254" s="32" t="str"/>
      <x:c r="I254" s="32" t="str">
        <x:v>次候选≥24，来源独立、功能不同且不与主通道同义。</x:v>
      </x:c>
      <x:c r="J254" s="32" t="str">
        <x:v>基础信号未定；真合化后原信号已失效；只有单一弱远争议信号；或该结论会越界到M4风险、M5适配。</x:v>
      </x:c>
      <x:c r="K254" s="32" t="str">
        <x:v>由共享基础引擎与M3-STATE修正；日主承载、印比支持只修正自主与执行，不直接等于有无边界。</x:v>
      </x:c>
      <x:c r="L254" s="32" t="str">
        <x:v>不限定；夫妻星仅在入宫或形成角色、责任边界时参与接口，不作为BOUND唯一主轴。</x:v>
      </x:c>
      <x:c r="M254" s="32" t="str">
        <x:v>由M3-BASE、日支主气及宫位动态提供。</x:v>
      </x:c>
      <x:c r="N254" s="32" t="str">
        <x:v>无／待BOUND路径规则组合</x:v>
      </x:c>
      <x:c r="O254" s="32" t="str">
        <x:v>日柱与日支近位优先；全局有效独立信号可作次通道。</x:v>
      </x:c>
      <x:c r="P254" s="32" t="str">
        <x:v>由共享基础引擎判定</x:v>
      </x:c>
      <x:c r="Q254" s="32" t="str">
        <x:v>由共享基础引擎判定</x:v>
      </x:c>
      <x:c r="R254" s="32" t="str">
        <x:v>喜忌不直接等于边界好坏；只修正调用顺畅度、资源压力和状态切换。</x:v>
      </x:c>
      <x:c r="S254" s="32" t="str">
        <x:v>原十神性质有效；真合化成立时按化神所属功能系统重建。</x:v>
      </x:c>
      <x:c r="T254" s="32" t="str">
        <x:v>由共享基础引擎判定</x:v>
      </x:c>
      <x:c r="U254" s="32" t="str">
        <x:v>90</x:v>
      </x:c>
      <x:c r="V254" s="32" t="str">
        <x:v>门槛：≥24</x:v>
      </x:c>
      <x:c r="W254" s="32" t="str">
        <x:v>secondary_boundary_channel</x:v>
      </x:c>
      <x:c r="X254" s="32" t="str">
        <x:v>补充通道必须真正解决不同的边界问题。</x:v>
      </x:c>
      <x:c r="Y254" s="32" t="str">
        <x:v>补充方式只有在来源独立、功能不同且证据足够时才会保留。</x:v>
      </x:c>
      <x:c r="Z254" s="32" t="str">
        <x:v>不得由本规则直接推出回避亲密、依赖失控、控制欲、冷漠、自私、关系破裂、分手离婚、人格或依恋类型；不得把某种边界方式等同于爱得更多或更少。</x:v>
      </x:c>
      <x:c r="AA254" s="32" t="str">
        <x:v>中</x:v>
      </x:c>
      <x:c r="AB254" s="32" t="str">
        <x:v>待验证</x:v>
      </x:c>
      <x:c r="AC254" s="32" t="str"/>
      <x:c r="AD254" s="32" t="str">
        <x:v>provisional=true; rule_group=OUTPUT_SO07</x:v>
      </x:c>
      <x:c r="AE254" s="32" t="str">
        <x:v>0.5</x:v>
      </x:c>
    </x:row>
    <x:row r="255">
      <x:c r="A255" s="32" t="str">
        <x:v>M3-BOUND-251</x:v>
      </x:c>
      <x:c r="B255" s="32" t="str">
        <x:v>SO08 双层边界门槛｜分差小且有功能分工</x:v>
      </x:c>
      <x:c r="C255" s="32" t="str">
        <x:v>L6 BOUND合成输出</x:v>
      </x:c>
      <x:c r="D255" s="32" t="str">
        <x:v>BOUND-合成输出</x:v>
      </x:c>
      <x:c r="E255" s="32" t="str">
        <x:v>通用</x:v>
      </x:c>
      <x:c r="F255" s="32" t="str">
        <x:v>门槛</x:v>
      </x:c>
      <x:c r="G255" s="32" t="str">
        <x:v>双通道</x:v>
      </x:c>
      <x:c r="H255" s="32" t="str"/>
      <x:c r="I255" s="32" t="str">
        <x:v>两通道均达门槛、分差&lt;8、来源独立、功能不同。</x:v>
      </x:c>
      <x:c r="J255" s="32" t="str">
        <x:v>基础信号未定；真合化后原信号已失效；只有单一弱远争议信号；或该结论会越界到M4风险、M5适配。</x:v>
      </x:c>
      <x:c r="K255" s="32" t="str">
        <x:v>由共享基础引擎与M3-STATE修正；日主承载、印比支持只修正自主与执行，不直接等于有无边界。</x:v>
      </x:c>
      <x:c r="L255" s="32" t="str">
        <x:v>不限定；夫妻星仅在入宫或形成角色、责任边界时参与接口，不作为BOUND唯一主轴。</x:v>
      </x:c>
      <x:c r="M255" s="32" t="str">
        <x:v>由M3-BASE、日支主气及宫位动态提供。</x:v>
      </x:c>
      <x:c r="N255" s="32" t="str">
        <x:v>无／待BOUND路径规则组合</x:v>
      </x:c>
      <x:c r="O255" s="32" t="str">
        <x:v>日柱与日支近位优先；全局有效独立信号可作次通道。</x:v>
      </x:c>
      <x:c r="P255" s="32" t="str">
        <x:v>由共享基础引擎判定</x:v>
      </x:c>
      <x:c r="Q255" s="32" t="str">
        <x:v>由共享基础引擎判定</x:v>
      </x:c>
      <x:c r="R255" s="32" t="str">
        <x:v>喜忌不直接等于边界好坏；只修正调用顺畅度、资源压力和状态切换。</x:v>
      </x:c>
      <x:c r="S255" s="32" t="str">
        <x:v>原十神性质有效；真合化成立时按化神所属功能系统重建。</x:v>
      </x:c>
      <x:c r="T255" s="32" t="str">
        <x:v>由共享基础引擎判定</x:v>
      </x:c>
      <x:c r="U255" s="32" t="str">
        <x:v>90</x:v>
      </x:c>
      <x:c r="V255" s="32" t="str">
        <x:v>双层路由</x:v>
      </x:c>
      <x:c r="W255" s="32" t="str">
        <x:v>boundary_pattern</x:v>
      </x:c>
      <x:c r="X255" s="32" t="str">
        <x:v>两通道需说明一项负责靠近，另一项负责权限、拒绝或接收。</x:v>
      </x:c>
      <x:c r="Y255" s="32" t="str">
        <x:v>当两种方式都明显时，会说明它们怎样分工，而不是简单说你什么都要。</x:v>
      </x:c>
      <x:c r="Z255" s="32" t="str">
        <x:v>不得由本规则直接推出回避亲密、依赖失控、控制欲、冷漠、自私、关系破裂、分手离婚、人格或依恋类型；不得把某种边界方式等同于爱得更多或更少。</x:v>
      </x:c>
      <x:c r="AA255" s="32" t="str">
        <x:v>中</x:v>
      </x:c>
      <x:c r="AB255" s="32" t="str">
        <x:v>待验证</x:v>
      </x:c>
      <x:c r="AC255" s="32" t="str"/>
      <x:c r="AD255" s="32" t="str">
        <x:v>provisional=true; rule_group=OUTPUT_SO08</x:v>
      </x:c>
      <x:c r="AE255" s="32" t="str">
        <x:v>0.5</x:v>
      </x:c>
    </x:row>
    <x:row r="256">
      <x:c r="A256" s="32" t="str">
        <x:v>M3-BOUND-252</x:v>
      </x:c>
      <x:c r="B256" s="32" t="str">
        <x:v>SO09 模式门槛｜至少两类独立证据</x:v>
      </x:c>
      <x:c r="C256" s="32" t="str">
        <x:v>L6 BOUND合成输出</x:v>
      </x:c>
      <x:c r="D256" s="32" t="str">
        <x:v>BOUND-合成输出</x:v>
      </x:c>
      <x:c r="E256" s="32" t="str">
        <x:v>通用</x:v>
      </x:c>
      <x:c r="F256" s="32" t="str">
        <x:v>门槛</x:v>
      </x:c>
      <x:c r="G256" s="32" t="str">
        <x:v>BOUND模式</x:v>
      </x:c>
      <x:c r="H256" s="32" t="str"/>
      <x:c r="I256" s="32" t="str">
        <x:v>通道、过程维度、日支、宫位动态或现实行为中至少两类支持。</x:v>
      </x:c>
      <x:c r="J256" s="32" t="str">
        <x:v>基础信号未定；真合化后原信号已失效；只有单一弱远争议信号；或该结论会越界到M4风险、M5适配。</x:v>
      </x:c>
      <x:c r="K256" s="32" t="str">
        <x:v>由共享基础引擎与M3-STATE修正；日主承载、印比支持只修正自主与执行，不直接等于有无边界。</x:v>
      </x:c>
      <x:c r="L256" s="32" t="str">
        <x:v>不限定；夫妻星仅在入宫或形成角色、责任边界时参与接口，不作为BOUND唯一主轴。</x:v>
      </x:c>
      <x:c r="M256" s="32" t="str">
        <x:v>由M3-BASE、日支主气及宫位动态提供。</x:v>
      </x:c>
      <x:c r="N256" s="32" t="str">
        <x:v>无／待BOUND路径规则组合</x:v>
      </x:c>
      <x:c r="O256" s="32" t="str">
        <x:v>日柱与日支近位优先；全局有效独立信号可作次通道。</x:v>
      </x:c>
      <x:c r="P256" s="32" t="str">
        <x:v>由共享基础引擎判定</x:v>
      </x:c>
      <x:c r="Q256" s="32" t="str">
        <x:v>由共享基础引擎判定</x:v>
      </x:c>
      <x:c r="R256" s="32" t="str">
        <x:v>喜忌不直接等于边界好坏；只修正调用顺畅度、资源压力和状态切换。</x:v>
      </x:c>
      <x:c r="S256" s="32" t="str">
        <x:v>原十神性质有效；真合化成立时按化神所属功能系统重建。</x:v>
      </x:c>
      <x:c r="T256" s="32" t="str">
        <x:v>由共享基础引擎判定</x:v>
      </x:c>
      <x:c r="U256" s="32" t="str">
        <x:v>90</x:v>
      </x:c>
      <x:c r="V256" s="32" t="str">
        <x:v>模式门控</x:v>
      </x:c>
      <x:c r="W256" s="32" t="str">
        <x:v>boundary_pattern</x:v>
      </x:c>
      <x:c r="X256" s="32" t="str">
        <x:v>模式不能由单一十神标签直接决定。</x:v>
      </x:c>
      <x:c r="Y256" s="32" t="str">
        <x:v>模式标签只有在不同证据相互支持时才会使用。</x:v>
      </x:c>
      <x:c r="Z256" s="32" t="str">
        <x:v>不得由本规则直接推出回避亲密、依赖失控、控制欲、冷漠、自私、关系破裂、分手离婚、人格或依恋类型；不得把某种边界方式等同于爱得更多或更少。</x:v>
      </x:c>
      <x:c r="AA256" s="32" t="str">
        <x:v>高</x:v>
      </x:c>
      <x:c r="AB256" s="32" t="str">
        <x:v>待验证</x:v>
      </x:c>
      <x:c r="AC256" s="32" t="str"/>
      <x:c r="AD256" s="32" t="str">
        <x:v>provisional=true; rule_group=OUTPUT_SO09</x:v>
      </x:c>
      <x:c r="AE256" s="32" t="str">
        <x:v>0.5</x:v>
      </x:c>
    </x:row>
    <x:row r="257">
      <x:c r="A257" s="32" t="str">
        <x:v>M3-BOUND-253</x:v>
      </x:c>
      <x:c r="B257" s="32" t="str">
        <x:v>SO10 输出上限｜一主一次一节奏一结构</x:v>
      </x:c>
      <x:c r="C257" s="32" t="str">
        <x:v>L6 BOUND合成输出</x:v>
      </x:c>
      <x:c r="D257" s="32" t="str">
        <x:v>BOUND-合成输出</x:v>
      </x:c>
      <x:c r="E257" s="32" t="str">
        <x:v>通用</x:v>
      </x:c>
      <x:c r="F257" s="32" t="str">
        <x:v>门槛</x:v>
      </x:c>
      <x:c r="G257" s="32" t="str">
        <x:v>输出裁剪</x:v>
      </x:c>
      <x:c r="H257" s="32" t="str"/>
      <x:c r="I257" s="32" t="str">
        <x:v>候选已完成去重和主次裁决。</x:v>
      </x:c>
      <x:c r="J257" s="32" t="str">
        <x:v>基础信号未定；真合化后原信号已失效；只有单一弱远争议信号；或该结论会越界到M4风险、M5适配。</x:v>
      </x:c>
      <x:c r="K257" s="32" t="str">
        <x:v>由共享基础引擎与M3-STATE修正；日主承载、印比支持只修正自主与执行，不直接等于有无边界。</x:v>
      </x:c>
      <x:c r="L257" s="32" t="str">
        <x:v>不限定；夫妻星仅在入宫或形成角色、责任边界时参与接口，不作为BOUND唯一主轴。</x:v>
      </x:c>
      <x:c r="M257" s="32" t="str">
        <x:v>由M3-BASE、日支主气及宫位动态提供。</x:v>
      </x:c>
      <x:c r="N257" s="32" t="str">
        <x:v>无／待BOUND路径规则组合</x:v>
      </x:c>
      <x:c r="O257" s="32" t="str">
        <x:v>日柱与日支近位优先；全局有效独立信号可作次通道。</x:v>
      </x:c>
      <x:c r="P257" s="32" t="str">
        <x:v>由共享基础引擎判定</x:v>
      </x:c>
      <x:c r="Q257" s="32" t="str">
        <x:v>由共享基础引擎判定</x:v>
      </x:c>
      <x:c r="R257" s="32" t="str">
        <x:v>喜忌不直接等于边界好坏；只修正调用顺畅度、资源压力和状态切换。</x:v>
      </x:c>
      <x:c r="S257" s="32" t="str">
        <x:v>原十神性质有效；真合化成立时按化神所属功能系统重建。</x:v>
      </x:c>
      <x:c r="T257" s="32" t="str">
        <x:v>由共享基础引擎判定</x:v>
      </x:c>
      <x:c r="U257" s="32" t="str">
        <x:v>90</x:v>
      </x:c>
      <x:c r="V257" s="32" t="str">
        <x:v>不加分；裁剪</x:v>
      </x:c>
      <x:c r="W257" s="32" t="str">
        <x:v>report_template</x:v>
      </x:c>
      <x:c r="X257" s="32" t="str">
        <x:v>正文只保留真正有辨识度的边界重点。</x:v>
      </x:c>
      <x:c r="Y257" s="32" t="str">
        <x:v>最终输出会保留一主一次、一个距离节奏和一个关键协商结构，不堆积标签。</x:v>
      </x:c>
      <x:c r="Z257" s="32" t="str">
        <x:v>不得由本规则直接推出回避亲密、依赖失控、控制欲、冷漠、自私、关系破裂、分手离婚、人格或依恋类型；不得把某种边界方式等同于爱得更多或更少。</x:v>
      </x:c>
      <x:c r="AA257" s="32" t="str">
        <x:v>高</x:v>
      </x:c>
      <x:c r="AB257" s="32" t="str">
        <x:v>待验证</x:v>
      </x:c>
      <x:c r="AC257" s="32" t="str"/>
      <x:c r="AD257" s="32" t="str">
        <x:v>provisional=true; rule_group=OUTPUT_SO10</x:v>
      </x:c>
      <x:c r="AE257" s="32" t="str">
        <x:v>0.5</x:v>
      </x:c>
    </x:row>
    <x:row r="258">
      <x:c r="A258" s="32" t="str">
        <x:v>M3-BOUND-254</x:v>
      </x:c>
      <x:c r="B258" s="32" t="str">
        <x:v>SO11 高置信｜多源独立且基础稳定</x:v>
      </x:c>
      <x:c r="C258" s="32" t="str">
        <x:v>L6 BOUND合成输出</x:v>
      </x:c>
      <x:c r="D258" s="32" t="str">
        <x:v>BOUND-合成输出</x:v>
      </x:c>
      <x:c r="E258" s="32" t="str">
        <x:v>通用</x:v>
      </x:c>
      <x:c r="F258" s="32" t="str">
        <x:v>置信</x:v>
      </x:c>
      <x:c r="G258" s="32" t="str">
        <x:v>高置信</x:v>
      </x:c>
      <x:c r="H258" s="32" t="str"/>
      <x:c r="I258" s="32" t="str">
        <x:v>至少三类独立证据一致，无关键基础争议。</x:v>
      </x:c>
      <x:c r="J258" s="32" t="str">
        <x:v>基础信号未定；真合化后原信号已失效；只有单一弱远争议信号；或该结论会越界到M4风险、M5适配。</x:v>
      </x:c>
      <x:c r="K258" s="32" t="str">
        <x:v>由共享基础引擎与M3-STATE修正；日主承载、印比支持只修正自主与执行，不直接等于有无边界。</x:v>
      </x:c>
      <x:c r="L258" s="32" t="str">
        <x:v>不限定；夫妻星仅在入宫或形成角色、责任边界时参与接口，不作为BOUND唯一主轴。</x:v>
      </x:c>
      <x:c r="M258" s="32" t="str">
        <x:v>由M3-BASE、日支主气及宫位动态提供。</x:v>
      </x:c>
      <x:c r="N258" s="32" t="str">
        <x:v>无／待BOUND路径规则组合</x:v>
      </x:c>
      <x:c r="O258" s="32" t="str">
        <x:v>日柱与日支近位优先；全局有效独立信号可作次通道。</x:v>
      </x:c>
      <x:c r="P258" s="32" t="str">
        <x:v>由共享基础引擎判定</x:v>
      </x:c>
      <x:c r="Q258" s="32" t="str">
        <x:v>由共享基础引擎判定</x:v>
      </x:c>
      <x:c r="R258" s="32" t="str">
        <x:v>喜忌不直接等于边界好坏；只修正调用顺畅度、资源压力和状态切换。</x:v>
      </x:c>
      <x:c r="S258" s="32" t="str">
        <x:v>原十神性质有效；真合化成立时按化神所属功能系统重建。</x:v>
      </x:c>
      <x:c r="T258" s="32" t="str">
        <x:v>由共享基础引擎判定</x:v>
      </x:c>
      <x:c r="U258" s="32" t="str">
        <x:v>90</x:v>
      </x:c>
      <x:c r="V258" s="32" t="str">
        <x:v>高=90</x:v>
      </x:c>
      <x:c r="W258" s="32" t="str">
        <x:v>confidence</x:v>
      </x:c>
      <x:c r="X258" s="32" t="str">
        <x:v>高置信表示内部证据充分，不是统计准确率。</x:v>
      </x:c>
      <x:c r="Y258" s="32" t="str">
        <x:v>这一判断有多类独立证据支持，但仍保留模型边界。</x:v>
      </x:c>
      <x:c r="Z258" s="32" t="str">
        <x:v>不得由本规则直接推出回避亲密、依赖失控、控制欲、冷漠、自私、关系破裂、分手离婚、人格或依恋类型；不得把某种边界方式等同于爱得更多或更少。</x:v>
      </x:c>
      <x:c r="AA258" s="32" t="str">
        <x:v>高</x:v>
      </x:c>
      <x:c r="AB258" s="32" t="str">
        <x:v>待验证</x:v>
      </x:c>
      <x:c r="AC258" s="32" t="str"/>
      <x:c r="AD258" s="32" t="str">
        <x:v>provisional=true; rule_group=OUTPUT_SO11</x:v>
      </x:c>
      <x:c r="AE258" s="32" t="str">
        <x:v>0.5</x:v>
      </x:c>
    </x:row>
    <x:row r="259">
      <x:c r="A259" s="32" t="str">
        <x:v>M3-BOUND-255</x:v>
      </x:c>
      <x:c r="B259" s="32" t="str">
        <x:v>SO12 中高置信｜一主一辅且无关键冲突</x:v>
      </x:c>
      <x:c r="C259" s="32" t="str">
        <x:v>L6 BOUND合成输出</x:v>
      </x:c>
      <x:c r="D259" s="32" t="str">
        <x:v>BOUND-合成输出</x:v>
      </x:c>
      <x:c r="E259" s="32" t="str">
        <x:v>通用</x:v>
      </x:c>
      <x:c r="F259" s="32" t="str">
        <x:v>置信</x:v>
      </x:c>
      <x:c r="G259" s="32" t="str">
        <x:v>中高置信</x:v>
      </x:c>
      <x:c r="H259" s="32" t="str"/>
      <x:c r="I259" s="32" t="str">
        <x:v>一项主证据、一项独立辅助，基础无关键冲突。</x:v>
      </x:c>
      <x:c r="J259" s="32" t="str">
        <x:v>基础信号未定；真合化后原信号已失效；只有单一弱远争议信号；或该结论会越界到M4风险、M5适配。</x:v>
      </x:c>
      <x:c r="K259" s="32" t="str">
        <x:v>由共享基础引擎与M3-STATE修正；日主承载、印比支持只修正自主与执行，不直接等于有无边界。</x:v>
      </x:c>
      <x:c r="L259" s="32" t="str">
        <x:v>不限定；夫妻星仅在入宫或形成角色、责任边界时参与接口，不作为BOUND唯一主轴。</x:v>
      </x:c>
      <x:c r="M259" s="32" t="str">
        <x:v>由M3-BASE、日支主气及宫位动态提供。</x:v>
      </x:c>
      <x:c r="N259" s="32" t="str">
        <x:v>无／待BOUND路径规则组合</x:v>
      </x:c>
      <x:c r="O259" s="32" t="str">
        <x:v>日柱与日支近位优先；全局有效独立信号可作次通道。</x:v>
      </x:c>
      <x:c r="P259" s="32" t="str">
        <x:v>由共享基础引擎判定</x:v>
      </x:c>
      <x:c r="Q259" s="32" t="str">
        <x:v>由共享基础引擎判定</x:v>
      </x:c>
      <x:c r="R259" s="32" t="str">
        <x:v>喜忌不直接等于边界好坏；只修正调用顺畅度、资源压力和状态切换。</x:v>
      </x:c>
      <x:c r="S259" s="32" t="str">
        <x:v>原十神性质有效；真合化成立时按化神所属功能系统重建。</x:v>
      </x:c>
      <x:c r="T259" s="32" t="str">
        <x:v>由共享基础引擎判定</x:v>
      </x:c>
      <x:c r="U259" s="32" t="str">
        <x:v>90</x:v>
      </x:c>
      <x:c r="V259" s="32" t="str">
        <x:v>中高=80</x:v>
      </x:c>
      <x:c r="W259" s="32" t="str">
        <x:v>confidence</x:v>
      </x:c>
      <x:c r="X259" s="32" t="str">
        <x:v>主要方向清楚，细节仍需案例校准。</x:v>
      </x:c>
      <x:c r="Y259" s="32" t="str">
        <x:v>主要方向比较清楚，同时仍有部分细节需要真实相处验证。</x:v>
      </x:c>
      <x:c r="Z259" s="32" t="str">
        <x:v>不得由本规则直接推出回避亲密、依赖失控、控制欲、冷漠、自私、关系破裂、分手离婚、人格或依恋类型；不得把某种边界方式等同于爱得更多或更少。</x:v>
      </x:c>
      <x:c r="AA259" s="32" t="str">
        <x:v>中高</x:v>
      </x:c>
      <x:c r="AB259" s="32" t="str">
        <x:v>待验证</x:v>
      </x:c>
      <x:c r="AC259" s="32" t="str"/>
      <x:c r="AD259" s="32" t="str">
        <x:v>provisional=true; rule_group=OUTPUT_SO12</x:v>
      </x:c>
      <x:c r="AE259" s="32" t="str">
        <x:v>0.5</x:v>
      </x:c>
    </x:row>
    <x:row r="260">
      <x:c r="A260" s="32" t="str">
        <x:v>M3-BOUND-256</x:v>
      </x:c>
      <x:c r="B260" s="32" t="str">
        <x:v>SO13 中置信｜单一可靠来源或主次接近</x:v>
      </x:c>
      <x:c r="C260" s="32" t="str">
        <x:v>L6 BOUND合成输出</x:v>
      </x:c>
      <x:c r="D260" s="32" t="str">
        <x:v>BOUND-合成输出</x:v>
      </x:c>
      <x:c r="E260" s="32" t="str">
        <x:v>通用</x:v>
      </x:c>
      <x:c r="F260" s="32" t="str">
        <x:v>置信</x:v>
      </x:c>
      <x:c r="G260" s="32" t="str">
        <x:v>中置信</x:v>
      </x:c>
      <x:c r="H260" s="32" t="str"/>
      <x:c r="I260" s="32" t="str">
        <x:v>只有一项可靠来源，或主次接近但仍可有限输出。</x:v>
      </x:c>
      <x:c r="J260" s="32" t="str">
        <x:v>基础信号未定；真合化后原信号已失效；只有单一弱远争议信号；或该结论会越界到M4风险、M5适配。</x:v>
      </x:c>
      <x:c r="K260" s="32" t="str">
        <x:v>由共享基础引擎与M3-STATE修正；日主承载、印比支持只修正自主与执行，不直接等于有无边界。</x:v>
      </x:c>
      <x:c r="L260" s="32" t="str">
        <x:v>不限定；夫妻星仅在入宫或形成角色、责任边界时参与接口，不作为BOUND唯一主轴。</x:v>
      </x:c>
      <x:c r="M260" s="32" t="str">
        <x:v>由M3-BASE、日支主气及宫位动态提供。</x:v>
      </x:c>
      <x:c r="N260" s="32" t="str">
        <x:v>无／待BOUND路径规则组合</x:v>
      </x:c>
      <x:c r="O260" s="32" t="str">
        <x:v>日柱与日支近位优先；全局有效独立信号可作次通道。</x:v>
      </x:c>
      <x:c r="P260" s="32" t="str">
        <x:v>由共享基础引擎判定</x:v>
      </x:c>
      <x:c r="Q260" s="32" t="str">
        <x:v>由共享基础引擎判定</x:v>
      </x:c>
      <x:c r="R260" s="32" t="str">
        <x:v>喜忌不直接等于边界好坏；只修正调用顺畅度、资源压力和状态切换。</x:v>
      </x:c>
      <x:c r="S260" s="32" t="str">
        <x:v>原十神性质有效；真合化成立时按化神所属功能系统重建。</x:v>
      </x:c>
      <x:c r="T260" s="32" t="str">
        <x:v>由共享基础引擎判定</x:v>
      </x:c>
      <x:c r="U260" s="32" t="str">
        <x:v>90</x:v>
      </x:c>
      <x:c r="V260" s="32" t="str">
        <x:v>中=68</x:v>
      </x:c>
      <x:c r="W260" s="32" t="str">
        <x:v>confidence</x:v>
      </x:c>
      <x:c r="X260" s="32" t="str">
        <x:v>可用但不能过度细化。</x:v>
      </x:c>
      <x:c r="Y260" s="32" t="str">
        <x:v>目前有可用证据，但具体主次或执行方式仍需要真实相处验证。</x:v>
      </x:c>
      <x:c r="Z260" s="32" t="str">
        <x:v>不得由本规则直接推出回避亲密、依赖失控、控制欲、冷漠、自私、关系破裂、分手离婚、人格或依恋类型；不得把某种边界方式等同于爱得更多或更少。</x:v>
      </x:c>
      <x:c r="AA260" s="32" t="str">
        <x:v>中</x:v>
      </x:c>
      <x:c r="AB260" s="32" t="str">
        <x:v>待验证</x:v>
      </x:c>
      <x:c r="AC260" s="32" t="str"/>
      <x:c r="AD260" s="32" t="str">
        <x:v>provisional=true; rule_group=OUTPUT_SO13</x:v>
      </x:c>
      <x:c r="AE260" s="32" t="str">
        <x:v>0.5</x:v>
      </x:c>
    </x:row>
    <x:row r="261">
      <x:c r="A261" s="32" t="str">
        <x:v>M3-BOUND-257</x:v>
      </x:c>
      <x:c r="B261" s="32" t="str">
        <x:v>SO14 中低／低／停止｜关键证据不足</x:v>
      </x:c>
      <x:c r="C261" s="32" t="str">
        <x:v>L6 BOUND合成输出</x:v>
      </x:c>
      <x:c r="D261" s="32" t="str">
        <x:v>BOUND-合成输出</x:v>
      </x:c>
      <x:c r="E261" s="32" t="str">
        <x:v>通用</x:v>
      </x:c>
      <x:c r="F261" s="32" t="str">
        <x:v>置信</x:v>
      </x:c>
      <x:c r="G261" s="32" t="str">
        <x:v>低置信</x:v>
      </x:c>
      <x:c r="H261" s="32" t="str"/>
      <x:c r="I261" s="32" t="str">
        <x:v>弱远无根、真合化未定、基础争议或证据互相冲突。</x:v>
      </x:c>
      <x:c r="J261" s="32" t="str">
        <x:v>基础信号未定；真合化后原信号已失效；只有单一弱远争议信号；或该结论会越界到M4风险、M5适配。</x:v>
      </x:c>
      <x:c r="K261" s="32" t="str">
        <x:v>由共享基础引擎与M3-STATE修正；日主承载、印比支持只修正自主与执行，不直接等于有无边界。</x:v>
      </x:c>
      <x:c r="L261" s="32" t="str">
        <x:v>不限定；夫妻星仅在入宫或形成角色、责任边界时参与接口，不作为BOUND唯一主轴。</x:v>
      </x:c>
      <x:c r="M261" s="32" t="str">
        <x:v>由M3-BASE、日支主气及宫位动态提供。</x:v>
      </x:c>
      <x:c r="N261" s="32" t="str">
        <x:v>无／待BOUND路径规则组合</x:v>
      </x:c>
      <x:c r="O261" s="32" t="str">
        <x:v>日柱与日支近位优先；全局有效独立信号可作次通道。</x:v>
      </x:c>
      <x:c r="P261" s="32" t="str">
        <x:v>由共享基础引擎判定</x:v>
      </x:c>
      <x:c r="Q261" s="32" t="str">
        <x:v>由共享基础引擎判定</x:v>
      </x:c>
      <x:c r="R261" s="32" t="str">
        <x:v>喜忌不直接等于边界好坏；只修正调用顺畅度、资源压力和状态切换。</x:v>
      </x:c>
      <x:c r="S261" s="32" t="str">
        <x:v>原十神性质有效；真合化成立时按化神所属功能系统重建。</x:v>
      </x:c>
      <x:c r="T261" s="32" t="str">
        <x:v>由共享基础引擎判定</x:v>
      </x:c>
      <x:c r="U261" s="32" t="str">
        <x:v>90</x:v>
      </x:c>
      <x:c r="V261" s="32" t="str">
        <x:v>中低55／低40／停止0</x:v>
      </x:c>
      <x:c r="W261" s="32" t="str">
        <x:v>confidence</x:v>
      </x:c>
      <x:c r="X261" s="32" t="str">
        <x:v>只能有限回退或停止固定判断。</x:v>
      </x:c>
      <x:c r="Y261" s="32" t="str">
        <x:v>目前证据不足，只能保留有限方向或停止固定判断。</x:v>
      </x:c>
      <x:c r="Z261" s="32" t="str">
        <x:v>不得由本规则直接推出回避亲密、依赖失控、控制欲、冷漠、自私、关系破裂、分手离婚、人格或依恋类型；不得把某种边界方式等同于爱得更多或更少。</x:v>
      </x:c>
      <x:c r="AA261" s="32" t="str">
        <x:v>高</x:v>
      </x:c>
      <x:c r="AB261" s="32" t="str">
        <x:v>待验证</x:v>
      </x:c>
      <x:c r="AC261" s="32" t="str"/>
      <x:c r="AD261" s="32" t="str">
        <x:v>provisional=true; rule_group=OUTPUT_SO14</x:v>
      </x:c>
      <x:c r="AE261" s="32" t="str">
        <x:v>0.5</x:v>
      </x:c>
    </x:row>
    <x:row r="262">
      <x:c r="A262" s="32" t="str">
        <x:v>M3-BOUND-258</x:v>
      </x:c>
      <x:c r="B262" s="32" t="str">
        <x:v>SO15 最终字段权威｜BOUND负责距离与权限</x:v>
      </x:c>
      <x:c r="C262" s="32" t="str">
        <x:v>L6 BOUND合成输出</x:v>
      </x:c>
      <x:c r="D262" s="32" t="str">
        <x:v>BOUND-合成输出</x:v>
      </x:c>
      <x:c r="E262" s="32" t="str">
        <x:v>通用</x:v>
      </x:c>
      <x:c r="F262" s="32" t="str">
        <x:v>输出</x:v>
      </x:c>
      <x:c r="G262" s="32" t="str">
        <x:v>字段权威</x:v>
      </x:c>
      <x:c r="H262" s="32" t="str"/>
      <x:c r="I262" s="32" t="str">
        <x:v>M3总报告生成BOUND相关字段。</x:v>
      </x:c>
      <x:c r="J262" s="32" t="str">
        <x:v>基础信号未定；真合化后原信号已失效；只有单一弱远争议信号；或该结论会越界到M4风险、M5适配。</x:v>
      </x:c>
      <x:c r="K262" s="32" t="str">
        <x:v>由共享基础引擎与M3-STATE修正；日主承载、印比支持只修正自主与执行，不直接等于有无边界。</x:v>
      </x:c>
      <x:c r="L262" s="32" t="str">
        <x:v>不限定；夫妻星仅在入宫或形成角色、责任边界时参与接口，不作为BOUND唯一主轴。</x:v>
      </x:c>
      <x:c r="M262" s="32" t="str">
        <x:v>由M3-BASE、日支主气及宫位动态提供。</x:v>
      </x:c>
      <x:c r="N262" s="32" t="str">
        <x:v>无／待BOUND路径规则组合</x:v>
      </x:c>
      <x:c r="O262" s="32" t="str">
        <x:v>日柱与日支近位优先；全局有效独立信号可作次通道。</x:v>
      </x:c>
      <x:c r="P262" s="32" t="str">
        <x:v>由共享基础引擎判定</x:v>
      </x:c>
      <x:c r="Q262" s="32" t="str">
        <x:v>由共享基础引擎判定</x:v>
      </x:c>
      <x:c r="R262" s="32" t="str">
        <x:v>喜忌不直接等于边界好坏；只修正调用顺畅度、资源压力和状态切换。</x:v>
      </x:c>
      <x:c r="S262" s="32" t="str">
        <x:v>原十神性质有效；真合化成立时按化神所属功能系统重建。</x:v>
      </x:c>
      <x:c r="T262" s="32" t="str">
        <x:v>由共享基础引擎判定</x:v>
      </x:c>
      <x:c r="U262" s="32" t="str">
        <x:v>90</x:v>
      </x:c>
      <x:c r="V262" s="32" t="str">
        <x:v>不加分；字段权威</x:v>
      </x:c>
      <x:c r="W262" s="32" t="str">
        <x:v>provenance</x:v>
      </x:c>
      <x:c r="X262" s="32" t="str">
        <x:v>靠近、空间、拒绝、暂停、重订和接受照顾的边界以BOUND为准。</x:v>
      </x:c>
      <x:c r="Y262" s="32" t="str">
        <x:v>模型三总报告中，亲密距离和权限安排以BOUND模块为准。</x:v>
      </x:c>
      <x:c r="Z262" s="32" t="str">
        <x:v>不得由本规则直接推出回避亲密、依赖失控、控制欲、冷漠、自私、关系破裂、分手离婚、人格或依恋类型；不得把某种边界方式等同于爱得更多或更少。</x:v>
      </x:c>
      <x:c r="AA262" s="32" t="str">
        <x:v>高</x:v>
      </x:c>
      <x:c r="AB262" s="32" t="str">
        <x:v>待验证</x:v>
      </x:c>
      <x:c r="AC262" s="32" t="str"/>
      <x:c r="AD262" s="32" t="str">
        <x:v>provisional=true; rule_group=OUTPUT_SO15</x:v>
      </x:c>
      <x:c r="AE262" s="32" t="str">
        <x:v>0.5</x:v>
      </x:c>
    </x:row>
    <x:row r="263">
      <x:c r="A263" s="32" t="str">
        <x:v>M3-BOUND-259</x:v>
      </x:c>
      <x:c r="B263" s="32" t="str">
        <x:v>SO16 单通道标准模板｜直接可用</x:v>
      </x:c>
      <x:c r="C263" s="32" t="str">
        <x:v>L6 BOUND合成输出</x:v>
      </x:c>
      <x:c r="D263" s="32" t="str">
        <x:v>BOUND-合成输出</x:v>
      </x:c>
      <x:c r="E263" s="32" t="str">
        <x:v>通用</x:v>
      </x:c>
      <x:c r="F263" s="32" t="str">
        <x:v>输出</x:v>
      </x:c>
      <x:c r="G263" s="32" t="str">
        <x:v>报告模板</x:v>
      </x:c>
      <x:c r="H263" s="32" t="str"/>
      <x:c r="I263" s="32" t="str">
        <x:v>主通道和主要过程维度已确定。</x:v>
      </x:c>
      <x:c r="J263" s="32" t="str">
        <x:v>基础信号未定；真合化后原信号已失效；只有单一弱远争议信号；或该结论会越界到M4风险、M5适配。</x:v>
      </x:c>
      <x:c r="K263" s="32" t="str">
        <x:v>由共享基础引擎与M3-STATE修正；日主承载、印比支持只修正自主与执行，不直接等于有无边界。</x:v>
      </x:c>
      <x:c r="L263" s="32" t="str">
        <x:v>不限定；夫妻星仅在入宫或形成角色、责任边界时参与接口，不作为BOUND唯一主轴。</x:v>
      </x:c>
      <x:c r="M263" s="32" t="str">
        <x:v>由M3-BASE、日支主气及宫位动态提供。</x:v>
      </x:c>
      <x:c r="N263" s="32" t="str">
        <x:v>无／待BOUND路径规则组合</x:v>
      </x:c>
      <x:c r="O263" s="32" t="str">
        <x:v>日柱与日支近位优先；全局有效独立信号可作次通道。</x:v>
      </x:c>
      <x:c r="P263" s="32" t="str">
        <x:v>由共享基础引擎判定</x:v>
      </x:c>
      <x:c r="Q263" s="32" t="str">
        <x:v>由共享基础引擎判定</x:v>
      </x:c>
      <x:c r="R263" s="32" t="str">
        <x:v>喜忌不直接等于边界好坏；只修正调用顺畅度、资源压力和状态切换。</x:v>
      </x:c>
      <x:c r="S263" s="32" t="str">
        <x:v>原十神性质有效；真合化成立时按化神所属功能系统重建。</x:v>
      </x:c>
      <x:c r="T263" s="32" t="str">
        <x:v>由共享基础引擎判定</x:v>
      </x:c>
      <x:c r="U263" s="32" t="str">
        <x:v>90</x:v>
      </x:c>
      <x:c r="V263" s="32" t="str">
        <x:v>不加分；模板</x:v>
      </x:c>
      <x:c r="W263" s="32" t="str">
        <x:v>report_template</x:v>
      </x:c>
      <x:c r="X263" s="32" t="str">
        <x:v>按通道—靠近—自主—拒绝—接收顺序生成。</x:v>
      </x:c>
      <x:c r="Y263" s="32" t="str">
        <x:v>你更习惯通过【主要通道】安排亲密与自主。通常会以【靠近节奏】逐步靠近，同时保留【空间／决定权】。当不舒服时，你更可能【拒绝或暂停方式】；你更容易接受【照顾边界】的支持。</x:v>
      </x:c>
      <x:c r="Z263" s="32" t="str">
        <x:v>不得由本规则直接推出回避亲密、依赖失控、控制欲、冷漠、自私、关系破裂、分手离婚、人格或依恋类型；不得把某种边界方式等同于爱得更多或更少。</x:v>
      </x:c>
      <x:c r="AA263" s="32" t="str">
        <x:v>高</x:v>
      </x:c>
      <x:c r="AB263" s="32" t="str">
        <x:v>待验证</x:v>
      </x:c>
      <x:c r="AC263" s="32" t="str"/>
      <x:c r="AD263" s="32" t="str">
        <x:v>provisional=true; rule_group=OUTPUT_SO16</x:v>
      </x:c>
      <x:c r="AE263" s="32" t="str">
        <x:v>0.5</x:v>
      </x:c>
    </x:row>
    <x:row r="264">
      <x:c r="A264" s="32" t="str">
        <x:v>M3-BOUND-260</x:v>
      </x:c>
      <x:c r="B264" s="32" t="str">
        <x:v>SO17 双通道／低置信模板｜分工或说明不确定</x:v>
      </x:c>
      <x:c r="C264" s="32" t="str">
        <x:v>L6 BOUND合成输出</x:v>
      </x:c>
      <x:c r="D264" s="32" t="str">
        <x:v>BOUND-合成输出</x:v>
      </x:c>
      <x:c r="E264" s="32" t="str">
        <x:v>通用</x:v>
      </x:c>
      <x:c r="F264" s="32" t="str">
        <x:v>输出</x:v>
      </x:c>
      <x:c r="G264" s="32" t="str">
        <x:v>报告模板</x:v>
      </x:c>
      <x:c r="H264" s="32" t="str"/>
      <x:c r="I264" s="32" t="str">
        <x:v>双层边界成立，或关键基础不足。</x:v>
      </x:c>
      <x:c r="J264" s="32" t="str">
        <x:v>基础信号未定；真合化后原信号已失效；只有单一弱远争议信号；或该结论会越界到M4风险、M5适配。</x:v>
      </x:c>
      <x:c r="K264" s="32" t="str">
        <x:v>由共享基础引擎与M3-STATE修正；日主承载、印比支持只修正自主与执行，不直接等于有无边界。</x:v>
      </x:c>
      <x:c r="L264" s="32" t="str">
        <x:v>不限定；夫妻星仅在入宫或形成角色、责任边界时参与接口，不作为BOUND唯一主轴。</x:v>
      </x:c>
      <x:c r="M264" s="32" t="str">
        <x:v>由M3-BASE、日支主气及宫位动态提供。</x:v>
      </x:c>
      <x:c r="N264" s="32" t="str">
        <x:v>无／待BOUND路径规则组合</x:v>
      </x:c>
      <x:c r="O264" s="32" t="str">
        <x:v>日柱与日支近位优先；全局有效独立信号可作次通道。</x:v>
      </x:c>
      <x:c r="P264" s="32" t="str">
        <x:v>由共享基础引擎判定</x:v>
      </x:c>
      <x:c r="Q264" s="32" t="str">
        <x:v>由共享基础引擎判定</x:v>
      </x:c>
      <x:c r="R264" s="32" t="str">
        <x:v>喜忌不直接等于边界好坏；只修正调用顺畅度、资源压力和状态切换。</x:v>
      </x:c>
      <x:c r="S264" s="32" t="str">
        <x:v>原十神性质有效；真合化成立时按化神所属功能系统重建。</x:v>
      </x:c>
      <x:c r="T264" s="32" t="str">
        <x:v>由共享基础引擎判定</x:v>
      </x:c>
      <x:c r="U264" s="32" t="str">
        <x:v>90</x:v>
      </x:c>
      <x:c r="V264" s="32" t="str">
        <x:v>不加分；模板</x:v>
      </x:c>
      <x:c r="W264" s="32" t="str">
        <x:v>report_template</x:v>
      </x:c>
      <x:c r="X264" s="32" t="str">
        <x:v>双通道需写清分工；低置信需写明不确定原因。</x:v>
      </x:c>
      <x:c r="Y264" s="32" t="str">
        <x:v>双通道：你主要用【A】负责【靠近／共享】，同时用【B】负责【自主／停止／重订】。低置信：目前只能判断你偏向【系统方向】，但【不确定原因】仍会改变具体边界。</x:v>
      </x:c>
      <x:c r="Z264" s="32" t="str">
        <x:v>不得由本规则直接推出回避亲密、依赖失控、控制欲、冷漠、自私、关系破裂、分手离婚、人格或依恋类型；不得把某种边界方式等同于爱得更多或更少。</x:v>
      </x:c>
      <x:c r="AA264" s="32" t="str">
        <x:v>高</x:v>
      </x:c>
      <x:c r="AB264" s="32" t="str">
        <x:v>待验证</x:v>
      </x:c>
      <x:c r="AC264" s="32" t="str"/>
      <x:c r="AD264" s="32" t="str">
        <x:v>provisional=true; rule_group=OUTPUT_SO17</x:v>
      </x:c>
      <x:c r="AE264" s="32" t="str">
        <x:v>0.5</x:v>
      </x:c>
    </x:row>
    <x:row r="265">
      <x:c r="A265" s="28"/>
    </x:row>
    <x:row r="266">
      <x:c r="A266" s="28"/>
    </x:row>
    <x:row r="267">
      <x:c r="A267" s="28"/>
    </x:row>
    <x:row r="268">
      <x:c r="A268" s="28"/>
    </x:row>
    <x:row r="269">
      <x:c r="A269" s="28"/>
    </x:row>
    <x:row r="270">
      <x:c r="A270" s="28"/>
    </x:row>
    <x:row r="271">
      <x:c r="A271" s="28"/>
    </x:row>
    <x:row r="272">
      <x:c r="A272" s="28"/>
    </x:row>
    <x:row r="273">
      <x:c r="A273" s="28"/>
    </x:row>
    <x:row r="274">
      <x:c r="A274" s="28"/>
    </x:row>
    <x:row r="275">
      <x:c r="A275" s="28"/>
    </x:row>
    <x:row r="276">
      <x:c r="A276" s="28"/>
    </x:row>
    <x:row r="277">
      <x:c r="A277" s="28"/>
    </x:row>
    <x:row r="278">
      <x:c r="A278" s="28"/>
    </x:row>
    <x:row r="279">
      <x:c r="A279" s="28"/>
    </x:row>
    <x:row r="280">
      <x:c r="A280" s="28"/>
    </x:row>
    <x:row r="281">
      <x:c r="A281" s="28"/>
    </x:row>
    <x:row r="282">
      <x:c r="A282" s="28"/>
    </x:row>
    <x:row r="283">
      <x:c r="A283" s="28"/>
    </x:row>
    <x:row r="284">
      <x:c r="A284" s="28"/>
    </x:row>
    <x:row r="285">
      <x:c r="A285" s="28"/>
    </x:row>
    <x:row r="286">
      <x:c r="A286" s="28"/>
    </x:row>
    <x:row r="287">
      <x:c r="A287" s="28"/>
    </x:row>
    <x:row r="288">
      <x:c r="A288" s="28"/>
    </x:row>
    <x:row r="289">
      <x:c r="A289" s="28"/>
    </x:row>
    <x:row r="290">
      <x:c r="A290" s="28"/>
    </x:row>
    <x:row r="291">
      <x:c r="A291" s="28"/>
    </x:row>
    <x:row r="292">
      <x:c r="A292" s="28"/>
    </x:row>
    <x:row r="293">
      <x:c r="A293" s="28"/>
    </x:row>
    <x:row r="294">
      <x:c r="A294" s="28"/>
    </x:row>
    <x:row r="295">
      <x:c r="A295" s="28"/>
    </x:row>
    <x:row r="296">
      <x:c r="A296" s="28"/>
    </x:row>
    <x:row r="297">
      <x:c r="A297" s="28"/>
    </x:row>
    <x:row r="298">
      <x:c r="A298" s="28"/>
    </x:row>
    <x:row r="299">
      <x:c r="A299" s="28"/>
    </x:row>
    <x:row r="300">
      <x:c r="A300" s="28"/>
    </x:row>
    <x:row r="301">
      <x:c r="A301" s="28"/>
    </x:row>
    <x:row r="302">
      <x:c r="A302" s="28"/>
    </x:row>
    <x:row r="303">
      <x:c r="A303" s="28"/>
    </x:row>
    <x:row r="304">
      <x:c r="A304" s="28"/>
    </x:row>
    <x:row r="305">
      <x:c r="A305" s="28"/>
    </x:row>
    <x:row r="306">
      <x:c r="A306" s="28"/>
    </x:row>
    <x:row r="307">
      <x:c r="A307" s="28"/>
    </x:row>
    <x:row r="308">
      <x:c r="A308" s="28"/>
    </x:row>
    <x:row r="309">
      <x:c r="A309" s="28"/>
    </x:row>
    <x:row r="310">
      <x:c r="A310" s="28"/>
    </x:row>
    <x:row r="311">
      <x:c r="A311" s="28"/>
    </x:row>
    <x:row r="312">
      <x:c r="A312" s="28"/>
    </x:row>
    <x:row r="313">
      <x:c r="A313" s="28"/>
    </x:row>
    <x:row r="314">
      <x:c r="A314" s="28"/>
    </x:row>
    <x:row r="315">
      <x:c r="A315" s="28"/>
    </x:row>
    <x:row r="316">
      <x:c r="A316" s="28"/>
    </x:row>
    <x:row r="317">
      <x:c r="A317" s="28"/>
    </x:row>
    <x:row r="318">
      <x:c r="A318" s="28"/>
    </x:row>
    <x:row r="319">
      <x:c r="A319" s="28"/>
    </x:row>
    <x:row r="320">
      <x:c r="A320" s="28"/>
    </x:row>
    <x:row r="321">
      <x:c r="A321" s="28"/>
    </x:row>
    <x:row r="322">
      <x:c r="A322" s="28"/>
    </x:row>
    <x:row r="323">
      <x:c r="A323" s="28"/>
    </x:row>
    <x:row r="324">
      <x:c r="A324" s="28"/>
    </x:row>
    <x:row r="325">
      <x:c r="A325" s="28"/>
    </x:row>
    <x:row r="326">
      <x:c r="A326" s="28"/>
    </x:row>
    <x:row r="327">
      <x:c r="A327" s="28"/>
    </x:row>
    <x:row r="328">
      <x:c r="A328" s="28"/>
    </x:row>
    <x:row r="329">
      <x:c r="A329" s="28"/>
    </x:row>
    <x:row r="330">
      <x:c r="A330" s="28"/>
    </x:row>
    <x:row r="331">
      <x:c r="A331" s="28"/>
    </x:row>
    <x:row r="332">
      <x:c r="A332" s="28"/>
    </x:row>
    <x:row r="333">
      <x:c r="A333" s="28"/>
    </x:row>
    <x:row r="334">
      <x:c r="A334" s="28"/>
    </x:row>
    <x:row r="335">
      <x:c r="A335" s="28"/>
    </x:row>
    <x:row r="336">
      <x:c r="A336" s="28"/>
    </x:row>
    <x:row r="337">
      <x:c r="A337" s="28"/>
    </x:row>
    <x:row r="338">
      <x:c r="A338" s="28"/>
    </x:row>
    <x:row r="339">
      <x:c r="A339" s="28"/>
    </x:row>
    <x:row r="340">
      <x:c r="A340" s="28"/>
    </x:row>
    <x:row r="341">
      <x:c r="A341" s="28"/>
    </x:row>
    <x:row r="342">
      <x:c r="A342" s="28"/>
    </x:row>
    <x:row r="343">
      <x:c r="A343" s="28"/>
    </x:row>
    <x:row r="344">
      <x:c r="A344" s="28"/>
    </x:row>
    <x:row r="345">
      <x:c r="A345" s="28"/>
    </x:row>
    <x:row r="346">
      <x:c r="A346" s="28"/>
    </x:row>
    <x:row r="347">
      <x:c r="A347" s="28"/>
    </x:row>
    <x:row r="348">
      <x:c r="A348" s="28"/>
    </x:row>
    <x:row r="349">
      <x:c r="A349" s="28"/>
    </x:row>
    <x:row r="350">
      <x:c r="A350" s="28"/>
    </x:row>
    <x:row r="351">
      <x:c r="A351" s="28"/>
    </x:row>
    <x:row r="352">
      <x:c r="A352" s="28"/>
    </x:row>
    <x:row r="353">
      <x:c r="A353" s="28"/>
    </x:row>
    <x:row r="354">
      <x:c r="A354" s="28"/>
    </x:row>
    <x:row r="355">
      <x:c r="A355" s="28"/>
    </x:row>
    <x:row r="356">
      <x:c r="A356" s="28"/>
    </x:row>
    <x:row r="357">
      <x:c r="A357" s="28"/>
    </x:row>
    <x:row r="358">
      <x:c r="A358" s="28"/>
    </x:row>
    <x:row r="359">
      <x:c r="A359" s="28"/>
    </x:row>
    <x:row r="360">
      <x:c r="A360" s="28"/>
    </x:row>
    <x:row r="361">
      <x:c r="A361" s="28"/>
    </x:row>
    <x:row r="362">
      <x:c r="A362" s="28"/>
    </x:row>
    <x:row r="363">
      <x:c r="A363" s="28"/>
    </x:row>
    <x:row r="364">
      <x:c r="A364" s="28"/>
    </x:row>
    <x:row r="365">
      <x:c r="A365" s="28"/>
    </x:row>
    <x:row r="366">
      <x:c r="A366" s="28"/>
    </x:row>
    <x:row r="367">
      <x:c r="A367" s="28"/>
    </x:row>
    <x:row r="368">
      <x:c r="A368" s="28"/>
    </x:row>
    <x:row r="369">
      <x:c r="A369" s="28"/>
    </x:row>
    <x:row r="370">
      <x:c r="A370" s="28"/>
    </x:row>
    <x:row r="371">
      <x:c r="A371" s="28"/>
    </x:row>
    <x:row r="372">
      <x:c r="A372" s="28"/>
    </x:row>
    <x:row r="373">
      <x:c r="A373" s="28"/>
    </x:row>
    <x:row r="374">
      <x:c r="A374" s="28"/>
    </x:row>
    <x:row r="375">
      <x:c r="A375" s="28"/>
    </x:row>
    <x:row r="376">
      <x:c r="A376" s="28"/>
    </x:row>
    <x:row r="377">
      <x:c r="A377" s="28"/>
    </x:row>
    <x:row r="378">
      <x:c r="A378" s="28"/>
    </x:row>
    <x:row r="379">
      <x:c r="A379" s="28"/>
    </x:row>
    <x:row r="380">
      <x:c r="A380" s="28"/>
    </x:row>
    <x:row r="381">
      <x:c r="A381" s="28"/>
    </x:row>
    <x:row r="382">
      <x:c r="A382" s="28"/>
    </x:row>
    <x:row r="383">
      <x:c r="A383" s="28"/>
    </x:row>
    <x:row r="384">
      <x:c r="A384" s="28"/>
    </x:row>
    <x:row r="385">
      <x:c r="A385" s="28"/>
    </x:row>
    <x:row r="386">
      <x:c r="A386" s="28"/>
    </x:row>
    <x:row r="387">
      <x:c r="A387" s="28"/>
    </x:row>
    <x:row r="388">
      <x:c r="A388" s="28"/>
    </x:row>
    <x:row r="389">
      <x:c r="A389" s="28"/>
    </x:row>
    <x:row r="390">
      <x:c r="A390" s="28"/>
    </x:row>
    <x:row r="391">
      <x:c r="A391" s="28"/>
    </x:row>
    <x:row r="392">
      <x:c r="A392" s="28"/>
    </x:row>
    <x:row r="393">
      <x:c r="A393" s="28"/>
    </x:row>
    <x:row r="394">
      <x:c r="A394" s="28"/>
    </x:row>
    <x:row r="395">
      <x:c r="A395" s="28"/>
    </x:row>
    <x:row r="396">
      <x:c r="A396" s="28"/>
    </x:row>
    <x:row r="397">
      <x:c r="A397" s="28"/>
    </x:row>
    <x:row r="398">
      <x:c r="A398" s="28"/>
    </x:row>
    <x:row r="399">
      <x:c r="A399" s="28"/>
    </x:row>
    <x:row r="400">
      <x:c r="A400" s="28"/>
    </x:row>
  </x:sheetData>
  <x:mergeCells>
    <x:mergeCell ref="A1:AE1"/>
    <x:mergeCell ref="A2:AE2"/>
  </x:mergeCells>
  <x:conditionalFormatting sqref="AB5:AB264">
    <x:cfRule type="expression" dxfId="0" priority="1">
      <x:formula>AB5="已验证"</x:formula>
    </x:cfRule>
    <x:cfRule type="expression" dxfId="1" priority="2">
      <x:formula>AB5="需修改"</x:formula>
    </x:cfRule>
    <x:cfRule type="expression" dxfId="2" priority="3">
      <x:formula>AB5="停用"</x:formula>
    </x:cfRule>
  </x:conditionalFormatting>
  <x:dataValidations count="2">
    <x:dataValidation type="list" sqref="AA5:AA264">
      <x:formula1>"高,中高,中,中低,低,停止"</x:formula1>
    </x:dataValidation>
    <x:dataValidation type="list" sqref="AB5:AB264">
      <x:formula1>"待验证,已验证,需修改,停用"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26d78f693f4cc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22" hidden="0" customWidth="1"/>
    <x:col min="4" max="4" width="18" hidden="0" customWidth="1"/>
    <x:col min="5" max="5" width="38" hidden="0" customWidth="1"/>
    <x:col min="6" max="6" width="20" hidden="0" customWidth="1"/>
    <x:col min="7" max="7" width="22" hidden="0" customWidth="1"/>
    <x:col min="8" max="8" width="45" hidden="0" customWidth="1"/>
    <x:col min="9" max="9" width="48" hidden="0" customWidth="1"/>
  </x:cols>
  <x:sheetData>
    <x:row r="1" ht="28" customHeight="1">
      <x:c r="A1" s="38" t="str">
        <x:v>BOUND门控、停止、去重与边界规则</x:v>
      </x:c>
      <x:c r="B1" s="5"/>
      <x:c r="C1" s="5"/>
      <x:c r="D1" s="5"/>
      <x:c r="E1" s="5"/>
      <x:c r="F1" s="5"/>
      <x:c r="G1" s="5"/>
      <x:c r="H1" s="5"/>
      <x:c r="I1" s="5"/>
    </x:row>
    <x:row r="2" ht="32" customHeight="1">
      <x:c r="A2" s="13" t="str">
        <x:v>输出前必须检查：真合化、基础争议、同源重复、风险越界、适配越界和结果化断语。</x:v>
      </x:c>
      <x:c r="B2" s="13"/>
      <x:c r="C2" s="13"/>
      <x:c r="D2" s="13"/>
      <x:c r="E2" s="13"/>
      <x:c r="F2" s="13"/>
      <x:c r="G2" s="13"/>
      <x:c r="H2" s="13"/>
      <x:c r="I2" s="13"/>
    </x:row>
    <x:row r="3">
      <x:c r="A3" s="28"/>
    </x:row>
    <x:row r="4">
      <x:c r="A4" s="22" t="str">
        <x:v>规则ID</x:v>
      </x:c>
      <x:c r="B4" s="22" t="str">
        <x:v>规则名称</x:v>
      </x:c>
      <x:c r="C4" s="22" t="str">
        <x:v>模块</x:v>
      </x:c>
      <x:c r="D4" s="22" t="str">
        <x:v>类型</x:v>
      </x:c>
      <x:c r="E4" s="22" t="str">
        <x:v>成立条件</x:v>
      </x:c>
      <x:c r="F4" s="22" t="str">
        <x:v>作用</x:v>
      </x:c>
      <x:c r="G4" s="22" t="str">
        <x:v>输出字段</x:v>
      </x:c>
      <x:c r="H4" s="22" t="str">
        <x:v>用户表达</x:v>
      </x:c>
      <x:c r="I4" s="22" t="str">
        <x:v>禁止推断</x:v>
      </x:c>
    </x:row>
    <x:row r="5">
      <x:c r="A5" s="32" t="str">
        <x:v>M3-BOUND-001</x:v>
      </x:c>
      <x:c r="B5" s="32" t="str">
        <x:v>M3-BOUND正式定义｜亲密距离、依赖与边界</x:v>
      </x:c>
      <x:c r="C5" s="32" t="str">
        <x:v>BOUND-定义边界</x:v>
      </x:c>
      <x:c r="D5" s="32" t="str">
        <x:v>定义</x:v>
      </x:c>
      <x:c r="E5" s="32" t="str">
        <x:v>M3-BOUND被调用；分析对象为关系建立后的靠近、空间、共享、拒绝、暂停、重订与接受照顾。</x:v>
      </x:c>
      <x:c r="F5" s="32" t="str">
        <x:v>不加分；门控／路由</x:v>
      </x:c>
      <x:c r="G5" s="32" t="str">
        <x:v>report_status</x:v>
      </x:c>
      <x:c r="H5" s="32" t="str">
        <x:v>这一部分关注你怎样靠近、保留空间、表达限制，以及怎样在接受支持时仍保留自己的决定权。</x:v>
      </x:c>
      <x:c r="I5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6">
      <x:c r="A6" s="32" t="str">
        <x:v>M3-BOUND-002</x:v>
      </x:c>
      <x:c r="B6" s="32" t="str">
        <x:v>M3-BOUND核心问题｜权限与节奏而非好坏</x:v>
      </x:c>
      <x:c r="C6" s="32" t="str">
        <x:v>BOUND-定义边界</x:v>
      </x:c>
      <x:c r="D6" s="32" t="str">
        <x:v>边界</x:v>
      </x:c>
      <x:c r="E6" s="32" t="str">
        <x:v>需要判断靠近节奏、个人空间、决定权、分享范围、拒绝、暂停或重新协商。</x:v>
      </x:c>
      <x:c r="F6" s="32" t="str">
        <x:v>不加分；门控／路由</x:v>
      </x:c>
      <x:c r="G6" s="32" t="str">
        <x:v>boundary_note</x:v>
      </x:c>
      <x:c r="H6" s="32" t="str">
        <x:v>这里先说明你怎样安排亲密和自主，不把它简单评成亲近或疏远、成熟或有问题。</x:v>
      </x:c>
      <x:c r="I6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7">
      <x:c r="A7" s="32" t="str">
        <x:v>M3-BOUND-003</x:v>
      </x:c>
      <x:c r="B7" s="32" t="str">
        <x:v>M3-BOUND标准输入｜共享基础引擎</x:v>
      </x:c>
      <x:c r="C7" s="32" t="str">
        <x:v>BOUND-定义边界</x:v>
      </x:c>
      <x:c r="D7" s="32" t="str">
        <x:v>输入门控</x:v>
      </x:c>
      <x:c r="E7" s="32" t="str">
        <x:v>排盘、十神、日支藏干、透藏、根气、旺弱、喜忌、合化、有效流向和source_id已由共享引擎提供。</x:v>
      </x:c>
      <x:c r="F7" s="32" t="str">
        <x:v>不加分；门控／路由</x:v>
      </x:c>
      <x:c r="G7" s="32" t="str">
        <x:v>report_status</x:v>
      </x:c>
      <x:c r="H7" s="32" t="str">
        <x:v>基础状态有争议时，会保留不确定性，而不会为了完整硬写固定的亲密距离。</x:v>
      </x:c>
      <x:c r="I7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8">
      <x:c r="A8" s="32" t="str">
        <x:v>M3-BOUND-004</x:v>
      </x:c>
      <x:c r="B8" s="32" t="str">
        <x:v>M3-BOUND标准输出｜十四个BOUND字段</x:v>
      </x:c>
      <x:c r="C8" s="32" t="str">
        <x:v>BOUND-定义边界</x:v>
      </x:c>
      <x:c r="D8" s="32" t="str">
        <x:v>输出合同</x:v>
      </x:c>
      <x:c r="E8" s="32" t="str">
        <x:v>至少一项有效BOUND信号成立，且关键基础字段未停止。</x:v>
      </x:c>
      <x:c r="F8" s="32" t="str">
        <x:v>不加分；门控／路由</x:v>
      </x:c>
      <x:c r="G8" s="32" t="str">
        <x:v>boundary_note</x:v>
      </x:c>
      <x:c r="H8" s="32" t="str">
        <x:v>最终会回答：你怎样靠近、怎样保留空间、哪些事情要共同决定，以及不舒服时怎样暂停和重新商量。</x:v>
      </x:c>
      <x:c r="I8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9">
      <x:c r="A9" s="32" t="str">
        <x:v>M3-BOUND-005</x:v>
      </x:c>
      <x:c r="B9" s="32" t="str">
        <x:v>M1边界｜心动偏好不等于亲密距离</x:v>
      </x:c>
      <x:c r="C9" s="32" t="str">
        <x:v>BOUND-定义边界</x:v>
      </x:c>
      <x:c r="D9" s="32" t="str">
        <x:v>跨模型边界</x:v>
      </x:c>
      <x:c r="E9" s="32" t="str">
        <x:v>M1心动偏好与M3-BOUND信号同时可见。</x:v>
      </x:c>
      <x:c r="F9" s="32" t="str">
        <x:v>不加分；门控／路由</x:v>
      </x:c>
      <x:c r="G9" s="32" t="str">
        <x:v>boundary_note</x:v>
      </x:c>
      <x:c r="H9" s="32" t="str">
        <x:v>让你心动的特质，和你真正相处时需要多少空间、怎样协商边界，会分开判断。</x:v>
      </x:c>
      <x:c r="I9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10">
      <x:c r="A10" s="32" t="str">
        <x:v>M3-BOUND-006</x:v>
      </x:c>
      <x:c r="B10" s="32" t="str">
        <x:v>M2边界｜准入条件不等于长期边界</x:v>
      </x:c>
      <x:c r="C10" s="32" t="str">
        <x:v>BOUND-定义边界</x:v>
      </x:c>
      <x:c r="D10" s="32" t="str">
        <x:v>跨模型边界</x:v>
      </x:c>
      <x:c r="E10" s="32" t="str">
        <x:v>M2关系门槛或资格证据与M3-BOUND信号同时出现。</x:v>
      </x:c>
      <x:c r="F10" s="32" t="str">
        <x:v>不加分；门控／路由</x:v>
      </x:c>
      <x:c r="G10" s="32" t="str">
        <x:v>boundary_note</x:v>
      </x:c>
      <x:c r="H10" s="32" t="str">
        <x:v>你选择关系时在意的条件，可能延续为相处规则，也可能只是一道进入门槛。</x:v>
      </x:c>
      <x:c r="I10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11">
      <x:c r="A11" s="32" t="str">
        <x:v>M3-BOUND-007</x:v>
      </x:c>
      <x:c r="B11" s="32" t="str">
        <x:v>M3-BASE接口｜底盘说明主题，BOUND说明权限</x:v>
      </x:c>
      <x:c r="C11" s="32" t="str">
        <x:v>BOUND-定义边界</x:v>
      </x:c>
      <x:c r="D11" s="32" t="str">
        <x:v>模块边界</x:v>
      </x:c>
      <x:c r="E11" s="32" t="str">
        <x:v>M3-BASE与M3-BOUND读取同一日支或同一有效十神。</x:v>
      </x:c>
      <x:c r="F11" s="32" t="str">
        <x:v>不加分；门控／路由</x:v>
      </x:c>
      <x:c r="G11" s="32" t="str">
        <x:v>provenance</x:v>
      </x:c>
      <x:c r="H11" s="32" t="str">
        <x:v>同一个关系底盘可以在BOUND中细化为距离和权限，但基础证据只计算一次。</x:v>
      </x:c>
      <x:c r="I11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12">
      <x:c r="A12" s="32" t="str">
        <x:v>M3-BOUND-008</x:v>
      </x:c>
      <x:c r="B12" s="32" t="str">
        <x:v>M3-EXPR接口｜说出边界不等于执行边界</x:v>
      </x:c>
      <x:c r="C12" s="32" t="str">
        <x:v>BOUND-定义边界</x:v>
      </x:c>
      <x:c r="D12" s="32" t="str">
        <x:v>模块边界</x:v>
      </x:c>
      <x:c r="E12" s="32" t="str">
        <x:v>表达通道与边界通道同时可见。</x:v>
      </x:c>
      <x:c r="F12" s="32" t="str">
        <x:v>不加分；门控／路由</x:v>
      </x:c>
      <x:c r="G12" s="32" t="str">
        <x:v>boundary_note</x:v>
      </x:c>
      <x:c r="H12" s="32" t="str">
        <x:v>你能清楚表达不等于每次都能执行；反过来，行动上会暂停也不等于一定会长篇说明。</x:v>
      </x:c>
      <x:c r="I12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13">
      <x:c r="A13" s="32" t="str">
        <x:v>M3-BOUND-010</x:v>
      </x:c>
      <x:c r="B13" s="32" t="str">
        <x:v>M3-CONFLICT接口｜设限不等于冲突方式</x:v>
      </x:c>
      <x:c r="C13" s="32" t="str">
        <x:v>BOUND-定义边界</x:v>
      </x:c>
      <x:c r="D13" s="32" t="str">
        <x:v>模块边界</x:v>
      </x:c>
      <x:c r="E13" s="32" t="str">
        <x:v>拒绝、暂停或决断边界信号出现。</x:v>
      </x:c>
      <x:c r="F13" s="32" t="str">
        <x:v>不加分；门控／路由</x:v>
      </x:c>
      <x:c r="G13" s="32" t="str">
        <x:v>boundary_note</x:v>
      </x:c>
      <x:c r="H13" s="32" t="str">
        <x:v>你可能边界清楚，但分歧处理方式仍需另行判断。</x:v>
      </x:c>
      <x:c r="I13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14">
      <x:c r="A14" s="32" t="str">
        <x:v>M3-BOUND-013</x:v>
      </x:c>
      <x:c r="B14" s="32" t="str">
        <x:v>M4边界｜边界风格不直接等于关系风险</x:v>
      </x:c>
      <x:c r="C14" s="32" t="str">
        <x:v>BOUND-定义边界</x:v>
      </x:c>
      <x:c r="D14" s="32" t="str">
        <x:v>跨模型边界</x:v>
      </x:c>
      <x:c r="E14" s="32" t="str">
        <x:v>强通道、过旺、受损或宫位动态明显。</x:v>
      </x:c>
      <x:c r="F14" s="32" t="str">
        <x:v>不加分；门控／路由</x:v>
      </x:c>
      <x:c r="G14" s="32" t="str">
        <x:v>risk_route</x:v>
      </x:c>
      <x:c r="H14" s="32" t="str">
        <x:v>这里不会仅凭边界强弱，就把你判断为控制、回避或容易失去自我。</x:v>
      </x:c>
      <x:c r="I14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15">
      <x:c r="A15" s="32" t="str">
        <x:v>M3-BOUND-014</x:v>
      </x:c>
      <x:c r="B15" s="32" t="str">
        <x:v>M5边界｜边界风格不直接生成适配结论</x:v>
      </x:c>
      <x:c r="C15" s="32" t="str">
        <x:v>BOUND-定义边界</x:v>
      </x:c>
      <x:c r="D15" s="32" t="str">
        <x:v>跨模型边界</x:v>
      </x:c>
      <x:c r="E15" s="32" t="str">
        <x:v>BOUND结论已形成。</x:v>
      </x:c>
      <x:c r="F15" s="32" t="str">
        <x:v>不加分；门控／路由</x:v>
      </x:c>
      <x:c r="G15" s="32" t="str">
        <x:v>boundary_note</x:v>
      </x:c>
      <x:c r="H15" s="32" t="str">
        <x:v>你的边界节奏会影响适配，但不是最终适配结论。</x:v>
      </x:c>
      <x:c r="I15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16">
      <x:c r="A16" s="32" t="str">
        <x:v>M3-BOUND-015</x:v>
      </x:c>
      <x:c r="B16" s="32" t="str">
        <x:v>硬边界｜需要空间不等于回避亲密</x:v>
      </x:c>
      <x:c r="C16" s="32" t="str">
        <x:v>BOUND-定义边界</x:v>
      </x:c>
      <x:c r="D16" s="32" t="str">
        <x:v>禁止推断</x:v>
      </x:c>
      <x:c r="E16" s="32" t="str">
        <x:v>偏印、比肩、暂停或空间候选明显。</x:v>
      </x:c>
      <x:c r="F16" s="32" t="str">
        <x:v>不加分；门控／路由</x:v>
      </x:c>
      <x:c r="G16" s="32" t="str">
        <x:v>boundary_note</x:v>
      </x:c>
      <x:c r="H16" s="32" t="str">
        <x:v>你需要一定空间，可能只是为了整理感受和保留自主，不代表你拒绝亲密。</x:v>
      </x:c>
      <x:c r="I16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17">
      <x:c r="A17" s="32" t="str">
        <x:v>M3-BOUND-016</x:v>
      </x:c>
      <x:c r="B17" s="32" t="str">
        <x:v>硬边界｜愿意依托不等于失去自主</x:v>
      </x:c>
      <x:c r="C17" s="32" t="str">
        <x:v>BOUND-定义边界</x:v>
      </x:c>
      <x:c r="D17" s="32" t="str">
        <x:v>禁止推断</x:v>
      </x:c>
      <x:c r="E17" s="32" t="str">
        <x:v>正印、正财、正官或接受支持候选明显。</x:v>
      </x:c>
      <x:c r="F17" s="32" t="str">
        <x:v>不加分；门控／路由</x:v>
      </x:c>
      <x:c r="G17" s="32" t="str">
        <x:v>support_acceptance_boundary</x:v>
      </x:c>
      <x:c r="H17" s="32" t="str">
        <x:v>你愿意在信任中依靠对方，不代表你会把自己的决定权全部交出去。</x:v>
      </x:c>
      <x:c r="I17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18">
      <x:c r="A18" s="32" t="str">
        <x:v>M3-BOUND-017</x:v>
      </x:c>
      <x:c r="B18" s="32" t="str">
        <x:v>硬边界｜边界清楚不等于冷漠</x:v>
      </x:c>
      <x:c r="C18" s="32" t="str">
        <x:v>BOUND-定义边界</x:v>
      </x:c>
      <x:c r="D18" s="32" t="str">
        <x:v>禁止推断</x:v>
      </x:c>
      <x:c r="E18" s="32" t="str">
        <x:v>比肩、伤官、正官或明确拒绝候选明显。</x:v>
      </x:c>
      <x:c r="F18" s="32" t="str">
        <x:v>不加分；门控／路由</x:v>
      </x:c>
      <x:c r="G18" s="32" t="str">
        <x:v>boundary_note</x:v>
      </x:c>
      <x:c r="H18" s="32" t="str">
        <x:v>你倾向把界限说清楚，更多是为了让关系可持续，并不等于不在意。</x:v>
      </x:c>
      <x:c r="I18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19">
      <x:c r="A19" s="32" t="str">
        <x:v>M3-BOUND-018</x:v>
      </x:c>
      <x:c r="B19" s="32" t="str">
        <x:v>硬边界｜弹性共享不等于没有原则</x:v>
      </x:c>
      <x:c r="C19" s="32" t="str">
        <x:v>BOUND-定义边界</x:v>
      </x:c>
      <x:c r="D19" s="32" t="str">
        <x:v>禁止推断</x:v>
      </x:c>
      <x:c r="E19" s="32" t="str">
        <x:v>偏财、劫财或弹性调整候选明显。</x:v>
      </x:c>
      <x:c r="F19" s="32" t="str">
        <x:v>不加分；门控／路由</x:v>
      </x:c>
      <x:c r="G19" s="32" t="str">
        <x:v>renegotiation_style</x:v>
      </x:c>
      <x:c r="H19" s="32" t="str">
        <x:v>你可能更愿意随情境调整安排，但仍可以有清楚的核心底线。</x:v>
      </x:c>
      <x:c r="I19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20">
      <x:c r="A20" s="32" t="str">
        <x:v>M3-BOUND-019</x:v>
      </x:c>
      <x:c r="B20" s="32" t="str">
        <x:v>硬边界｜亲密共享不等于融合失界</x:v>
      </x:c>
      <x:c r="C20" s="32" t="str">
        <x:v>BOUND-定义边界</x:v>
      </x:c>
      <x:c r="D20" s="32" t="str">
        <x:v>禁止推断</x:v>
      </x:c>
      <x:c r="E20" s="32" t="str">
        <x:v>合、正印、正财、食神或稳定共享候选明显。</x:v>
      </x:c>
      <x:c r="F20" s="32" t="str">
        <x:v>不加分；门控／路由</x:v>
      </x:c>
      <x:c r="G20" s="32" t="str">
        <x:v>boundary_note</x:v>
      </x:c>
      <x:c r="H20" s="32" t="str">
        <x:v>你愿意把生活和感受放进关系里，不代表你没有自己的空间和判断。</x:v>
      </x:c>
      <x:c r="I20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21">
      <x:c r="A21" s="32" t="str">
        <x:v>M3-BOUND-020</x:v>
      </x:c>
      <x:c r="B21" s="32" t="str">
        <x:v>证据门槛｜至少两类独立证据才能定模式</x:v>
      </x:c>
      <x:c r="C21" s="32" t="str">
        <x:v>BOUND-定义边界</x:v>
      </x:c>
      <x:c r="D21" s="32" t="str">
        <x:v>证据门控</x:v>
      </x:c>
      <x:c r="E21" s="32" t="str">
        <x:v>需要输出固定BOUND模式或双层边界。</x:v>
      </x:c>
      <x:c r="F21" s="32" t="str">
        <x:v>不加分；门控／路由</x:v>
      </x:c>
      <x:c r="G21" s="32" t="str">
        <x:v>report_status</x:v>
      </x:c>
      <x:c r="H21" s="32" t="str">
        <x:v>证据不足时，只保留可能方向，不把一次行为或一个弱远信号写成固定模式。</x:v>
      </x:c>
      <x:c r="I21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22">
      <x:c r="A22" s="32" t="str">
        <x:v>M3-BOUND-027</x:v>
      </x:c>
      <x:c r="B22" s="32" t="str">
        <x:v>比肩禁止误读｜BD01边界</x:v>
      </x:c>
      <x:c r="C22" s="32" t="str">
        <x:v>BOUND-十神通道</x:v>
      </x:c>
      <x:c r="D22" s="32" t="str">
        <x:v>禁止推断</x:v>
      </x:c>
      <x:c r="E22" s="32" t="str">
        <x:v>比肩BOUND功能有效，基础十神性质可靠，未被真合化替换。</x:v>
      </x:c>
      <x:c r="F22" s="32" t="str">
        <x:v>不加分；边界检查</x:v>
      </x:c>
      <x:c r="G22" s="32" t="str">
        <x:v>boundary_note</x:v>
      </x:c>
      <x:c r="H22" s="32" t="str">
        <x:v>这里描述的是你可能更常使用的边界方式，不代表你只能这样相处，也不代表其他方式一定缺失。</x:v>
      </x:c>
      <x:c r="I22" s="32" t="str">
        <x:v>不得推出用户计较、冷淡、不愿依赖、凡事AA、难以亲密、一定强势或不愿妥协。</x:v>
      </x:c>
    </x:row>
    <x:row r="23">
      <x:c r="A23" s="32" t="str">
        <x:v>M3-BOUND-034</x:v>
      </x:c>
      <x:c r="B23" s="32" t="str">
        <x:v>劫财禁止误读｜BD02边界</x:v>
      </x:c>
      <x:c r="C23" s="32" t="str">
        <x:v>BOUND-十神通道</x:v>
      </x:c>
      <x:c r="D23" s="32" t="str">
        <x:v>禁止推断</x:v>
      </x:c>
      <x:c r="E23" s="32" t="str">
        <x:v>劫财BOUND功能有效，基础十神性质可靠，未被真合化替换。</x:v>
      </x:c>
      <x:c r="F23" s="32" t="str">
        <x:v>不加分；边界检查</x:v>
      </x:c>
      <x:c r="G23" s="32" t="str">
        <x:v>boundary_note</x:v>
      </x:c>
      <x:c r="H23" s="32" t="str">
        <x:v>这里描述的是你可能更常使用的边界方式，不代表你只能这样相处，也不代表其他方式一定缺失。</x:v>
      </x:c>
      <x:c r="I23" s="32" t="str">
        <x:v>不得推出用户争抢、冲动、边界混乱、爱竞争、一定占有资源或无法长期稳定。</x:v>
      </x:c>
    </x:row>
    <x:row r="24">
      <x:c r="A24" s="32" t="str">
        <x:v>M3-BOUND-041</x:v>
      </x:c>
      <x:c r="B24" s="32" t="str">
        <x:v>食神禁止误读｜BD03边界</x:v>
      </x:c>
      <x:c r="C24" s="32" t="str">
        <x:v>BOUND-十神通道</x:v>
      </x:c>
      <x:c r="D24" s="32" t="str">
        <x:v>禁止推断</x:v>
      </x:c>
      <x:c r="E24" s="32" t="str">
        <x:v>食神BOUND功能有效，基础十神性质可靠，未被真合化替换。</x:v>
      </x:c>
      <x:c r="F24" s="32" t="str">
        <x:v>不加分；边界检查</x:v>
      </x:c>
      <x:c r="G24" s="32" t="str">
        <x:v>boundary_note</x:v>
      </x:c>
      <x:c r="H24" s="32" t="str">
        <x:v>这里描述的是你可能更常使用的边界方式，不代表你只能这样相处，也不代表其他方式一定缺失。</x:v>
      </x:c>
      <x:c r="I24" s="32" t="str">
        <x:v>不得推出用户讨好、没有原则、怕冲突、依赖舒适区、拒绝成长或永远情绪稳定。</x:v>
      </x:c>
    </x:row>
    <x:row r="25">
      <x:c r="A25" s="32" t="str">
        <x:v>M3-BOUND-048</x:v>
      </x:c>
      <x:c r="B25" s="32" t="str">
        <x:v>伤官禁止误读｜BD04边界</x:v>
      </x:c>
      <x:c r="C25" s="32" t="str">
        <x:v>BOUND-十神通道</x:v>
      </x:c>
      <x:c r="D25" s="32" t="str">
        <x:v>禁止推断</x:v>
      </x:c>
      <x:c r="E25" s="32" t="str">
        <x:v>伤官BOUND功能有效，基础十神性质可靠，未被真合化替换。</x:v>
      </x:c>
      <x:c r="F25" s="32" t="str">
        <x:v>不加分；边界检查</x:v>
      </x:c>
      <x:c r="G25" s="32" t="str">
        <x:v>boundary_note</x:v>
      </x:c>
      <x:c r="H25" s="32" t="str">
        <x:v>这里描述的是你可能更常使用的边界方式，不代表你只能这样相处，也不代表其他方式一定缺失。</x:v>
      </x:c>
      <x:c r="I25" s="32" t="str">
        <x:v>不得推出用户爱批评、说话伤人、难相处、凡事争辩、缺少情绪价值或一定反权威。</x:v>
      </x:c>
    </x:row>
    <x:row r="26">
      <x:c r="A26" s="32" t="str">
        <x:v>M3-BOUND-055</x:v>
      </x:c>
      <x:c r="B26" s="32" t="str">
        <x:v>正财禁止误读｜BD05边界</x:v>
      </x:c>
      <x:c r="C26" s="32" t="str">
        <x:v>BOUND-十神通道</x:v>
      </x:c>
      <x:c r="D26" s="32" t="str">
        <x:v>禁止推断</x:v>
      </x:c>
      <x:c r="E26" s="32" t="str">
        <x:v>正财BOUND功能有效，基础十神性质可靠，未被真合化替换。</x:v>
      </x:c>
      <x:c r="F26" s="32" t="str">
        <x:v>不加分；边界检查</x:v>
      </x:c>
      <x:c r="G26" s="32" t="str">
        <x:v>boundary_note</x:v>
      </x:c>
      <x:c r="H26" s="32" t="str">
        <x:v>这里描述的是你可能更常使用的边界方式，不代表你只能这样相处，也不代表其他方式一定缺失。</x:v>
      </x:c>
      <x:c r="I26" s="32" t="str">
        <x:v>不得推出用户功利、只看金钱、缺乏浪漫、严格算账、一定同居或一定承担家务。</x:v>
      </x:c>
    </x:row>
    <x:row r="27">
      <x:c r="A27" s="32" t="str">
        <x:v>M3-BOUND-062</x:v>
      </x:c>
      <x:c r="B27" s="32" t="str">
        <x:v>偏财禁止误读｜BD06边界</x:v>
      </x:c>
      <x:c r="C27" s="32" t="str">
        <x:v>BOUND-十神通道</x:v>
      </x:c>
      <x:c r="D27" s="32" t="str">
        <x:v>禁止推断</x:v>
      </x:c>
      <x:c r="E27" s="32" t="str">
        <x:v>偏财BOUND功能有效，基础十神性质可靠，未被真合化替换。</x:v>
      </x:c>
      <x:c r="F27" s="32" t="str">
        <x:v>不加分；边界检查</x:v>
      </x:c>
      <x:c r="G27" s="32" t="str">
        <x:v>boundary_note</x:v>
      </x:c>
      <x:c r="H27" s="32" t="str">
        <x:v>这里描述的是你可能更常使用的边界方式，不代表你只能这样相处，也不代表其他方式一定缺失。</x:v>
      </x:c>
      <x:c r="I27" s="32" t="str">
        <x:v>不得推出用户花心、没有原则、边界开放、爱暧昧、挥霍或无法进入稳定关系。</x:v>
      </x:c>
    </x:row>
    <x:row r="28">
      <x:c r="A28" s="32" t="str">
        <x:v>M3-BOUND-069</x:v>
      </x:c>
      <x:c r="B28" s="32" t="str">
        <x:v>正官禁止误读｜BD07边界</x:v>
      </x:c>
      <x:c r="C28" s="32" t="str">
        <x:v>BOUND-十神通道</x:v>
      </x:c>
      <x:c r="D28" s="32" t="str">
        <x:v>禁止推断</x:v>
      </x:c>
      <x:c r="E28" s="32" t="str">
        <x:v>正官BOUND功能有效，基础十神性质可靠，未被真合化替换。</x:v>
      </x:c>
      <x:c r="F28" s="32" t="str">
        <x:v>不加分；边界检查</x:v>
      </x:c>
      <x:c r="G28" s="32" t="str">
        <x:v>boundary_note</x:v>
      </x:c>
      <x:c r="H28" s="32" t="str">
        <x:v>这里描述的是你可能更常使用的边界方式，不代表你只能这样相处，也不代表其他方式一定缺失。</x:v>
      </x:c>
      <x:c r="I28" s="32" t="str">
        <x:v>不得推出用户古板、爱管人、权威主义、传统性别角色、缺少感情或关系必然稳定。</x:v>
      </x:c>
    </x:row>
    <x:row r="29">
      <x:c r="A29" s="32" t="str">
        <x:v>M3-BOUND-076</x:v>
      </x:c>
      <x:c r="B29" s="32" t="str">
        <x:v>七杀禁止误读｜BD08边界</x:v>
      </x:c>
      <x:c r="C29" s="32" t="str">
        <x:v>BOUND-十神通道</x:v>
      </x:c>
      <x:c r="D29" s="32" t="str">
        <x:v>禁止推断</x:v>
      </x:c>
      <x:c r="E29" s="32" t="str">
        <x:v>七杀BOUND功能有效，基础十神性质可靠，未被真合化替换。</x:v>
      </x:c>
      <x:c r="F29" s="32" t="str">
        <x:v>不加分；边界检查</x:v>
      </x:c>
      <x:c r="G29" s="32" t="str">
        <x:v>boundary_note</x:v>
      </x:c>
      <x:c r="H29" s="32" t="str">
        <x:v>这里描述的是你可能更常使用的边界方式，不代表你只能这样相处，也不代表其他方式一定缺失。</x:v>
      </x:c>
      <x:c r="I29" s="32" t="str">
        <x:v>不得推出用户暴力、控制、威胁、情绪粗暴、一定替对方决定或关系存在危险。</x:v>
      </x:c>
    </x:row>
    <x:row r="30">
      <x:c r="A30" s="32" t="str">
        <x:v>M3-BOUND-083</x:v>
      </x:c>
      <x:c r="B30" s="32" t="str">
        <x:v>正印禁止误读｜BD09边界</x:v>
      </x:c>
      <x:c r="C30" s="32" t="str">
        <x:v>BOUND-十神通道</x:v>
      </x:c>
      <x:c r="D30" s="32" t="str">
        <x:v>禁止推断</x:v>
      </x:c>
      <x:c r="E30" s="32" t="str">
        <x:v>正印BOUND功能有效，基础十神性质可靠，未被真合化替换。</x:v>
      </x:c>
      <x:c r="F30" s="32" t="str">
        <x:v>不加分；边界检查</x:v>
      </x:c>
      <x:c r="G30" s="32" t="str">
        <x:v>boundary_note</x:v>
      </x:c>
      <x:c r="H30" s="32" t="str">
        <x:v>这里描述的是你可能更常使用的边界方式，不代表你只能这样相处，也不代表其他方式一定缺失。</x:v>
      </x:c>
      <x:c r="I30" s="32" t="str">
        <x:v>不得推出用户软弱、依赖、没有边界、需要被拯救、母性父性过强或没有独立能力。</x:v>
      </x:c>
    </x:row>
    <x:row r="31">
      <x:c r="A31" s="32" t="str">
        <x:v>M3-BOUND-090</x:v>
      </x:c>
      <x:c r="B31" s="32" t="str">
        <x:v>偏印禁止误读｜BD10边界</x:v>
      </x:c>
      <x:c r="C31" s="32" t="str">
        <x:v>BOUND-十神通道</x:v>
      </x:c>
      <x:c r="D31" s="32" t="str">
        <x:v>禁止推断</x:v>
      </x:c>
      <x:c r="E31" s="32" t="str">
        <x:v>偏印BOUND功能有效，基础十神性质可靠，未被真合化替换。</x:v>
      </x:c>
      <x:c r="F31" s="32" t="str">
        <x:v>不加分；边界检查</x:v>
      </x:c>
      <x:c r="G31" s="32" t="str">
        <x:v>boundary_note</x:v>
      </x:c>
      <x:c r="H31" s="32" t="str">
        <x:v>这里描述的是你可能更常使用的边界方式，不代表你只能这样相处，也不代表其他方式一定缺失。</x:v>
      </x:c>
      <x:c r="I31" s="32" t="str">
        <x:v>不得推出用户冷漠、神秘、回避亲密、精神异常、故意不说或拒绝任何依赖。</x:v>
      </x:c>
    </x:row>
    <x:row r="32">
      <x:c r="A32" s="32" t="str">
        <x:v>M3-BOUND-169</x:v>
      </x:c>
      <x:c r="B32" s="32" t="str">
        <x:v>BE07 同义收敛｜边界交换结构</x:v>
      </x:c>
      <x:c r="C32" s="32" t="str">
        <x:v>BOUND-交换结构</x:v>
      </x:c>
      <x:c r="D32" s="32" t="str">
        <x:v>交换结构</x:v>
      </x:c>
      <x:c r="E32" s="32" t="str">
        <x:v>至少两项独立功能证据成立；BE07和BE08用于去重或停止。</x:v>
      </x:c>
      <x:c r="F32" s="32" t="str">
        <x:v>去重／停止</x:v>
      </x:c>
      <x:c r="G32" s="32" t="str">
        <x:v>boundary_exchange</x:v>
      </x:c>
      <x:c r="H32" s="32" t="str">
        <x:v>多个规则实际描述同一权限事实，需要去重为一个核心边界。</x:v>
      </x:c>
      <x:c r="I32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33">
      <x:c r="A33" s="32" t="str">
        <x:v>M3-BOUND-170</x:v>
      </x:c>
      <x:c r="B33" s="32" t="str">
        <x:v>BE08 交换结构未定｜边界交换结构</x:v>
      </x:c>
      <x:c r="C33" s="32" t="str">
        <x:v>BOUND-交换结构</x:v>
      </x:c>
      <x:c r="D33" s="32" t="str">
        <x:v>交换结构</x:v>
      </x:c>
      <x:c r="E33" s="32" t="str">
        <x:v>至少两项独立功能证据成立；BE07和BE08用于去重或停止。</x:v>
      </x:c>
      <x:c r="F33" s="32" t="str">
        <x:v>去重／停止</x:v>
      </x:c>
      <x:c r="G33" s="32" t="str">
        <x:v>boundary_exchange</x:v>
      </x:c>
      <x:c r="H33" s="32" t="str">
        <x:v>证据不足、主次争议或真合化未定，暂不固定结构。</x:v>
      </x:c>
      <x:c r="I33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34">
      <x:c r="A34" s="32" t="str">
        <x:v>M3-BOUND-182</x:v>
      </x:c>
      <x:c r="B34" s="32" t="str">
        <x:v>日支合｜禁止结果化解释</x:v>
      </x:c>
      <x:c r="C34" s="32" t="str">
        <x:v>BOUND-合冲刑害破</x:v>
      </x:c>
      <x:c r="D34" s="32" t="str">
        <x:v>禁止推断</x:v>
      </x:c>
      <x:c r="E34" s="32" t="str">
        <x:v>日支合成立。</x:v>
      </x:c>
      <x:c r="F34" s="32" t="str">
        <x:v>不加分；边界检查</x:v>
      </x:c>
      <x:c r="G34" s="32" t="str">
        <x:v>boundary_note</x:v>
      </x:c>
      <x:c r="H34" s="32" t="str">
        <x:v>这里仅把宫位动态作为边界节奏修正，不把它直接写成感情结果。</x:v>
      </x:c>
      <x:c r="I34" s="32" t="str">
        <x:v>不得由日支合直接推出感情稳定、依赖、占有、第三者、结婚或不分离。</x:v>
      </x:c>
    </x:row>
    <x:row r="35">
      <x:c r="A35" s="32" t="str">
        <x:v>M3-BOUND-183</x:v>
      </x:c>
      <x:c r="B35" s="32" t="str">
        <x:v>日支合｜停止／改道路由</x:v>
      </x:c>
      <x:c r="C35" s="32" t="str">
        <x:v>BOUND-合冲刑害破</x:v>
      </x:c>
      <x:c r="D35" s="32" t="str">
        <x:v>停止／路由</x:v>
      </x:c>
      <x:c r="E35" s="32" t="str">
        <x:v>日支合的成立、合化或阶段属性需要裁定。</x:v>
      </x:c>
      <x:c r="F35" s="32" t="str">
        <x:v>停止／替换／降置信</x:v>
      </x:c>
      <x:c r="G35" s="32" t="str">
        <x:v>report_status</x:v>
      </x:c>
      <x:c r="H35" s="32" t="str">
        <x:v>合而不化保留原通道；真合化成立时原通道清零并按化神重建。</x:v>
      </x:c>
      <x:c r="I35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36">
      <x:c r="A36" s="32" t="str">
        <x:v>M3-BOUND-187</x:v>
      </x:c>
      <x:c r="B36" s="32" t="str">
        <x:v>日支冲｜禁止结果化解释</x:v>
      </x:c>
      <x:c r="C36" s="32" t="str">
        <x:v>BOUND-合冲刑害破</x:v>
      </x:c>
      <x:c r="D36" s="32" t="str">
        <x:v>禁止推断</x:v>
      </x:c>
      <x:c r="E36" s="32" t="str">
        <x:v>日支冲成立。</x:v>
      </x:c>
      <x:c r="F36" s="32" t="str">
        <x:v>不加分；边界检查</x:v>
      </x:c>
      <x:c r="G36" s="32" t="str">
        <x:v>boundary_note</x:v>
      </x:c>
      <x:c r="H36" s="32" t="str">
        <x:v>这里仅把宫位动态作为边界节奏修正，不把它直接写成感情结果。</x:v>
      </x:c>
      <x:c r="I36" s="32" t="str">
        <x:v>不得由日支冲直接推出争吵、分离、异地、婚变或无法稳定。</x:v>
      </x:c>
    </x:row>
    <x:row r="37">
      <x:c r="A37" s="32" t="str">
        <x:v>M3-BOUND-188</x:v>
      </x:c>
      <x:c r="B37" s="32" t="str">
        <x:v>日支冲｜停止／改道路由</x:v>
      </x:c>
      <x:c r="C37" s="32" t="str">
        <x:v>BOUND-合冲刑害破</x:v>
      </x:c>
      <x:c r="D37" s="32" t="str">
        <x:v>停止／路由</x:v>
      </x:c>
      <x:c r="E37" s="32" t="str">
        <x:v>日支冲的成立、合化或阶段属性需要裁定。</x:v>
      </x:c>
      <x:c r="F37" s="32" t="str">
        <x:v>停止／替换／降置信</x:v>
      </x:c>
      <x:c r="G37" s="32" t="str">
        <x:v>report_status</x:v>
      </x:c>
      <x:c r="H37" s="32" t="str">
        <x:v>仅有冲而无表达、行动或现实变化证据时，只能写成调整候选。</x:v>
      </x:c>
      <x:c r="I37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38">
      <x:c r="A38" s="32" t="str">
        <x:v>M3-BOUND-192</x:v>
      </x:c>
      <x:c r="B38" s="32" t="str">
        <x:v>日支刑｜禁止结果化解释</x:v>
      </x:c>
      <x:c r="C38" s="32" t="str">
        <x:v>BOUND-合冲刑害破</x:v>
      </x:c>
      <x:c r="D38" s="32" t="str">
        <x:v>禁止推断</x:v>
      </x:c>
      <x:c r="E38" s="32" t="str">
        <x:v>日支刑成立。</x:v>
      </x:c>
      <x:c r="F38" s="32" t="str">
        <x:v>不加分；边界检查</x:v>
      </x:c>
      <x:c r="G38" s="32" t="str">
        <x:v>boundary_note</x:v>
      </x:c>
      <x:c r="H38" s="32" t="str">
        <x:v>这里仅把宫位动态作为边界节奏修正，不把它直接写成感情结果。</x:v>
      </x:c>
      <x:c r="I38" s="32" t="str">
        <x:v>不得由日支刑直接推出折磨、冷战、互害、婚姻不幸或人格问题。</x:v>
      </x:c>
    </x:row>
    <x:row r="39">
      <x:c r="A39" s="32" t="str">
        <x:v>M3-BOUND-193</x:v>
      </x:c>
      <x:c r="B39" s="32" t="str">
        <x:v>日支刑｜停止／改道路由</x:v>
      </x:c>
      <x:c r="C39" s="32" t="str">
        <x:v>BOUND-合冲刑害破</x:v>
      </x:c>
      <x:c r="D39" s="32" t="str">
        <x:v>停止／路由</x:v>
      </x:c>
      <x:c r="E39" s="32" t="str">
        <x:v>日支刑的成立、合化或阶段属性需要裁定。</x:v>
      </x:c>
      <x:c r="F39" s="32" t="str">
        <x:v>停止／替换／降置信</x:v>
      </x:c>
      <x:c r="G39" s="32" t="str">
        <x:v>report_status</x:v>
      </x:c>
      <x:c r="H39" s="32" t="str">
        <x:v>若刑的具体成立、力量或作用对象存在争议，应降低置信度或停止细化。</x:v>
      </x:c>
      <x:c r="I39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40">
      <x:c r="A40" s="32" t="str">
        <x:v>M3-BOUND-197</x:v>
      </x:c>
      <x:c r="B40" s="32" t="str">
        <x:v>日支害｜禁止结果化解释</x:v>
      </x:c>
      <x:c r="C40" s="32" t="str">
        <x:v>BOUND-合冲刑害破</x:v>
      </x:c>
      <x:c r="D40" s="32" t="str">
        <x:v>禁止推断</x:v>
      </x:c>
      <x:c r="E40" s="32" t="str">
        <x:v>日支害成立。</x:v>
      </x:c>
      <x:c r="F40" s="32" t="str">
        <x:v>不加分；边界检查</x:v>
      </x:c>
      <x:c r="G40" s="32" t="str">
        <x:v>boundary_note</x:v>
      </x:c>
      <x:c r="H40" s="32" t="str">
        <x:v>这里仅把宫位动态作为边界节奏修正，不把它直接写成感情结果。</x:v>
      </x:c>
      <x:c r="I40" s="32" t="str">
        <x:v>不得由日支害直接推出背叛、小人、第三者、暗中伤害或婚姻失败。</x:v>
      </x:c>
    </x:row>
    <x:row r="41">
      <x:c r="A41" s="32" t="str">
        <x:v>M3-BOUND-198</x:v>
      </x:c>
      <x:c r="B41" s="32" t="str">
        <x:v>日支害｜停止／改道路由</x:v>
      </x:c>
      <x:c r="C41" s="32" t="str">
        <x:v>BOUND-合冲刑害破</x:v>
      </x:c>
      <x:c r="D41" s="32" t="str">
        <x:v>停止／路由</x:v>
      </x:c>
      <x:c r="E41" s="32" t="str">
        <x:v>日支害的成立、合化或阶段属性需要裁定。</x:v>
      </x:c>
      <x:c r="F41" s="32" t="str">
        <x:v>停止／替换／降置信</x:v>
      </x:c>
      <x:c r="G41" s="32" t="str">
        <x:v>report_status</x:v>
      </x:c>
      <x:c r="H41" s="32" t="str">
        <x:v>只有害而无具体期待错位、沟通或行为证据时，不得写成固定互动事实。</x:v>
      </x:c>
      <x:c r="I41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42">
      <x:c r="A42" s="32" t="str">
        <x:v>M3-BOUND-202</x:v>
      </x:c>
      <x:c r="B42" s="32" t="str">
        <x:v>日支破｜禁止结果化解释</x:v>
      </x:c>
      <x:c r="C42" s="32" t="str">
        <x:v>BOUND-合冲刑害破</x:v>
      </x:c>
      <x:c r="D42" s="32" t="str">
        <x:v>禁止推断</x:v>
      </x:c>
      <x:c r="E42" s="32" t="str">
        <x:v>日支破成立。</x:v>
      </x:c>
      <x:c r="F42" s="32" t="str">
        <x:v>不加分；边界检查</x:v>
      </x:c>
      <x:c r="G42" s="32" t="str">
        <x:v>boundary_note</x:v>
      </x:c>
      <x:c r="H42" s="32" t="str">
        <x:v>这里仅把宫位动态作为边界节奏修正，不把它直接写成感情结果。</x:v>
      </x:c>
      <x:c r="I42" s="32" t="str">
        <x:v>不得由日支破直接推出分手、离婚、背叛、失信或关系无法修复。</x:v>
      </x:c>
    </x:row>
    <x:row r="43">
      <x:c r="A43" s="32" t="str">
        <x:v>M3-BOUND-203</x:v>
      </x:c>
      <x:c r="B43" s="32" t="str">
        <x:v>日支破｜停止／改道路由</x:v>
      </x:c>
      <x:c r="C43" s="32" t="str">
        <x:v>BOUND-合冲刑害破</x:v>
      </x:c>
      <x:c r="D43" s="32" t="str">
        <x:v>停止／路由</x:v>
      </x:c>
      <x:c r="E43" s="32" t="str">
        <x:v>日支破的成立、合化或阶段属性需要裁定。</x:v>
      </x:c>
      <x:c r="F43" s="32" t="str">
        <x:v>停止／替换／降置信</x:v>
      </x:c>
      <x:c r="G43" s="32" t="str">
        <x:v>report_status</x:v>
      </x:c>
      <x:c r="H43" s="32" t="str">
        <x:v>若破仅为阶段覆盖或基础作用未定，应标记阶段性，不改写原局主边界。</x:v>
      </x:c>
      <x:c r="I43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44">
      <x:c r="A44" s="32" t="str">
        <x:v>M3-BOUND-208</x:v>
      </x:c>
      <x:c r="B44" s="32" t="str">
        <x:v>SC05 同根透藏｜一次证据两种表现</x:v>
      </x:c>
      <x:c r="C44" s="32" t="str">
        <x:v>BOUND-状态修正</x:v>
      </x:c>
      <x:c r="D44" s="32" t="str">
        <x:v>状态修正</x:v>
      </x:c>
      <x:c r="E44" s="32" t="str">
        <x:v>同一十神同根透藏，source_id相同。</x:v>
      </x:c>
      <x:c r="F44" s="32" t="str">
        <x:v>去重；外显／稳定分工</x:v>
      </x:c>
      <x:c r="G44" s="32" t="str">
        <x:v>provenance</x:v>
      </x:c>
      <x:c r="H44" s="32" t="str">
        <x:v>同一种边界方式可能既能被看见，也有稳定内在来源，但不会重复计分。</x:v>
      </x:c>
      <x:c r="I44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45">
      <x:c r="A45" s="32" t="str">
        <x:v>M3-BOUND-217</x:v>
      </x:c>
      <x:c r="B45" s="32" t="str">
        <x:v>SC14 强弱争议｜回退到五系统</x:v>
      </x:c>
      <x:c r="C45" s="32" t="str">
        <x:v>BOUND-状态修正</x:v>
      </x:c>
      <x:c r="D45" s="32" t="str">
        <x:v>状态修正</x:v>
      </x:c>
      <x:c r="E45" s="32" t="str">
        <x:v>旺弱、根气或作用关系存在关键争议。</x:v>
      </x:c>
      <x:c r="F45" s="32" t="str">
        <x:v>停止十神级输出</x:v>
      </x:c>
      <x:c r="G45" s="32" t="str">
        <x:v>report_status</x:v>
      </x:c>
      <x:c r="H45" s="32" t="str">
        <x:v>目前只能判断你更偏向某一类边界系统，具体方式仍需保留不确定性。</x:v>
      </x:c>
      <x:c r="I45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46">
      <x:c r="A46" s="32" t="str">
        <x:v>M3-BOUND-220</x:v>
      </x:c>
      <x:c r="B46" s="32" t="str">
        <x:v>SC17 喜忌未定｜只用功能语言</x:v>
      </x:c>
      <x:c r="C46" s="32" t="str">
        <x:v>BOUND-状态修正</x:v>
      </x:c>
      <x:c r="D46" s="32" t="str">
        <x:v>状态修正</x:v>
      </x:c>
      <x:c r="E46" s="32" t="str">
        <x:v>喜忌尚未可靠确定。</x:v>
      </x:c>
      <x:c r="F46" s="32" t="str">
        <x:v>功能保留；不写体验质量</x:v>
      </x:c>
      <x:c r="G46" s="32" t="str">
        <x:v>boundary_note</x:v>
      </x:c>
      <x:c r="H46" s="32" t="str">
        <x:v>可以说明你怎样安排边界，但不评价这种方式是否轻松或有压力。</x:v>
      </x:c>
      <x:c r="I46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47">
      <x:c r="A47" s="32" t="str">
        <x:v>M3-BOUND-221</x:v>
      </x:c>
      <x:c r="B47" s="32" t="str">
        <x:v>SC18 忌而过旺｜禁止直接写边界失控</x:v>
      </x:c>
      <x:c r="C47" s="32" t="str">
        <x:v>BOUND-状态修正</x:v>
      </x:c>
      <x:c r="D47" s="32" t="str">
        <x:v>状态修正</x:v>
      </x:c>
      <x:c r="E47" s="32" t="str">
        <x:v>为忌且过旺，但M4未运行。</x:v>
      </x:c>
      <x:c r="F47" s="32" t="str">
        <x:v>路由M4；BOUND不判风险</x:v>
      </x:c>
      <x:c r="G47" s="32" t="str">
        <x:v>boundary_note</x:v>
      </x:c>
      <x:c r="H47" s="32" t="str">
        <x:v>只能说明这种边界方式容易抢先，不直接写成控制、回避或失去自我。</x:v>
      </x:c>
      <x:c r="I47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48">
      <x:c r="A48" s="32" t="str">
        <x:v>M3-BOUND-224</x:v>
      </x:c>
      <x:c r="B48" s="32" t="str">
        <x:v>SC21 真合化｜原通道清零并重建</x:v>
      </x:c>
      <x:c r="C48" s="32" t="str">
        <x:v>BOUND-状态修正</x:v>
      </x:c>
      <x:c r="D48" s="32" t="str">
        <x:v>状态修正</x:v>
      </x:c>
      <x:c r="E48" s="32" t="str">
        <x:v>真合化条件成立。</x:v>
      </x:c>
      <x:c r="F48" s="32" t="str">
        <x:v>原分清零；替换路由</x:v>
      </x:c>
      <x:c r="G48" s="32" t="str">
        <x:v>report_status</x:v>
      </x:c>
      <x:c r="H48" s="32" t="str">
        <x:v>原来的边界解释不再保留，改按合化后的功能系统重新判断。</x:v>
      </x:c>
      <x:c r="I48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49">
      <x:c r="A49" s="32" t="str">
        <x:v>M3-BOUND-228</x:v>
      </x:c>
      <x:c r="B49" s="32" t="str">
        <x:v>IF01 BASE同源接口｜底盘与BOUND共享一次权重</x:v>
      </x:c>
      <x:c r="C49" s="32" t="str">
        <x:v>BOUND-接口门控</x:v>
      </x:c>
      <x:c r="D49" s="32" t="str">
        <x:v>接口／去重／停止</x:v>
      </x:c>
      <x:c r="E49" s="32" t="str">
        <x:v>相关模块信号同时可见，或需要执行同源去重、停止、回退。</x:v>
      </x:c>
      <x:c r="F49" s="32" t="str">
        <x:v>不加分；接口／去重／路由</x:v>
      </x:c>
      <x:c r="G49" s="32" t="str">
        <x:v>provenance</x:v>
      </x:c>
      <x:c r="H49" s="32" t="str">
        <x:v>同一个关系底盘可以细化成边界方式，但不会被当成两份证据。</x:v>
      </x:c>
      <x:c r="I49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50">
      <x:c r="A50" s="32" t="str">
        <x:v>M3-BOUND-229</x:v>
      </x:c>
      <x:c r="B50" s="32" t="str">
        <x:v>IF02 BASE异源接口｜次边界通道可独立升级</x:v>
      </x:c>
      <x:c r="C50" s="32" t="str">
        <x:v>BOUND-接口门控</x:v>
      </x:c>
      <x:c r="D50" s="32" t="str">
        <x:v>接口／去重／停止</x:v>
      </x:c>
      <x:c r="E50" s="32" t="str">
        <x:v>相关模块信号同时可见，或需要执行同源去重、停止、回退。</x:v>
      </x:c>
      <x:c r="F50" s="32" t="str">
        <x:v>不加分；接口／去重／路由</x:v>
      </x:c>
      <x:c r="G50" s="32" t="str">
        <x:v>secondary_boundary_channel</x:v>
      </x:c>
      <x:c r="H50" s="32" t="str">
        <x:v>关系底盘和边界方式不完全相同时，可以保留一个有独立证据的补充方向。</x:v>
      </x:c>
      <x:c r="I50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51">
      <x:c r="A51" s="32" t="str">
        <x:v>M3-BOUND-230</x:v>
      </x:c>
      <x:c r="B51" s="32" t="str">
        <x:v>IF03 EXPR需求表达→BOUND执行复核</x:v>
      </x:c>
      <x:c r="C51" s="32" t="str">
        <x:v>BOUND-接口门控</x:v>
      </x:c>
      <x:c r="D51" s="32" t="str">
        <x:v>接口／去重／停止</x:v>
      </x:c>
      <x:c r="E51" s="32" t="str">
        <x:v>相关模块信号同时可见，或需要执行同源去重、停止、回退。</x:v>
      </x:c>
      <x:c r="F51" s="32" t="str">
        <x:v>不加分；接口／去重／路由</x:v>
      </x:c>
      <x:c r="G51" s="32" t="str">
        <x:v>need_expression</x:v>
      </x:c>
      <x:c r="H51" s="32" t="str">
        <x:v>你能把需要说出来，是边界的一部分；是否能执行还要继续看。</x:v>
      </x:c>
      <x:c r="I51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52">
      <x:c r="A52" s="32" t="str">
        <x:v>M3-BOUND-231</x:v>
      </x:c>
      <x:c r="B52" s="32" t="str">
        <x:v>IF04 EXPR拒绝语言≠现实停止线</x:v>
      </x:c>
      <x:c r="C52" s="32" t="str">
        <x:v>BOUND-接口门控</x:v>
      </x:c>
      <x:c r="D52" s="32" t="str">
        <x:v>接口／去重／停止</x:v>
      </x:c>
      <x:c r="E52" s="32" t="str">
        <x:v>相关模块信号同时可见，或需要执行同源去重、停止、回退。</x:v>
      </x:c>
      <x:c r="F52" s="32" t="str">
        <x:v>不加分；接口／去重／路由</x:v>
      </x:c>
      <x:c r="G52" s="32" t="str">
        <x:v>refusal_style</x:v>
      </x:c>
      <x:c r="H52" s="32" t="str">
        <x:v>说得清楚不等于每次都能执行，实际边界还要看后续行动。</x:v>
      </x:c>
      <x:c r="I52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53">
      <x:c r="A53" s="32" t="str">
        <x:v>M3-BOUND-232</x:v>
      </x:c>
      <x:c r="B53" s="32" t="str">
        <x:v>IF05 CARE接受支持≠失去自主</x:v>
      </x:c>
      <x:c r="C53" s="32" t="str">
        <x:v>BOUND-接口门控</x:v>
      </x:c>
      <x:c r="D53" s="32" t="str">
        <x:v>接口／去重／停止</x:v>
      </x:c>
      <x:c r="E53" s="32" t="str">
        <x:v>相关模块信号同时可见，或需要执行同源去重、停止、回退。</x:v>
      </x:c>
      <x:c r="F53" s="32" t="str">
        <x:v>不加分；接口／去重／路由</x:v>
      </x:c>
      <x:c r="G53" s="32" t="str">
        <x:v>support_acceptance_boundary</x:v>
      </x:c>
      <x:c r="H53" s="32" t="str">
        <x:v>你可以接受照顾，同时保留自己的判断和参与权。</x:v>
      </x:c>
      <x:c r="I53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54">
      <x:c r="A54" s="32" t="str">
        <x:v>M3-BOUND-233</x:v>
      </x:c>
      <x:c r="B54" s="32" t="str">
        <x:v>IF06 CARE付出≠拥有对方权限</x:v>
      </x:c>
      <x:c r="C54" s="32" t="str">
        <x:v>BOUND-接口门控</x:v>
      </x:c>
      <x:c r="D54" s="32" t="str">
        <x:v>接口／去重／停止</x:v>
      </x:c>
      <x:c r="E54" s="32" t="str">
        <x:v>相关模块信号同时可见，或需要执行同源去重、停止、回退。</x:v>
      </x:c>
      <x:c r="F54" s="32" t="str">
        <x:v>不加分；接口／去重／路由</x:v>
      </x:c>
      <x:c r="G54" s="32" t="str">
        <x:v>boundary_note</x:v>
      </x:c>
      <x:c r="H54" s="32" t="str">
        <x:v>你愿意付出，不代表你因此拥有替对方决定的权限。</x:v>
      </x:c>
      <x:c r="I54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55">
      <x:c r="A55" s="32" t="str">
        <x:v>M3-BOUND-234</x:v>
      </x:c>
      <x:c r="B55" s="32" t="str">
        <x:v>IF07 M2准入边界≠M3日常边界</x:v>
      </x:c>
      <x:c r="C55" s="32" t="str">
        <x:v>BOUND-接口门控</x:v>
      </x:c>
      <x:c r="D55" s="32" t="str">
        <x:v>接口／去重／停止</x:v>
      </x:c>
      <x:c r="E55" s="32" t="str">
        <x:v>相关模块信号同时可见，或需要执行同源去重、停止、回退。</x:v>
      </x:c>
      <x:c r="F55" s="32" t="str">
        <x:v>不加分；接口／去重／路由</x:v>
      </x:c>
      <x:c r="G55" s="32" t="str">
        <x:v>boundary_note</x:v>
      </x:c>
      <x:c r="H55" s="32" t="str">
        <x:v>你选择关系时看重的条件，和相处后怎样分配权限，会分别判断。</x:v>
      </x:c>
      <x:c r="I55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56">
      <x:c r="A56" s="32" t="str">
        <x:v>M3-BOUND-235</x:v>
      </x:c>
      <x:c r="B56" s="32" t="str">
        <x:v>IF08 CONFLICT接口｜边界内容与冲突过程分开</x:v>
      </x:c>
      <x:c r="C56" s="32" t="str">
        <x:v>BOUND-接口门控</x:v>
      </x:c>
      <x:c r="D56" s="32" t="str">
        <x:v>接口／去重／停止</x:v>
      </x:c>
      <x:c r="E56" s="32" t="str">
        <x:v>相关模块信号同时可见，或需要执行同源去重、停止、回退。</x:v>
      </x:c>
      <x:c r="F56" s="32" t="str">
        <x:v>不加分；接口／去重／路由</x:v>
      </x:c>
      <x:c r="G56" s="32" t="str">
        <x:v>boundary_note</x:v>
      </x:c>
      <x:c r="H56" s="32" t="str">
        <x:v>这里先说明你的限制内容，不直接判断你发生分歧时会怎样。</x:v>
      </x:c>
      <x:c r="I56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57">
      <x:c r="A57" s="32" t="str">
        <x:v>M3-BOUND-236</x:v>
      </x:c>
      <x:c r="B57" s="32" t="str">
        <x:v>IF09 REPAIR接口｜暂停与修复分开</x:v>
      </x:c>
      <x:c r="C57" s="32" t="str">
        <x:v>BOUND-接口门控</x:v>
      </x:c>
      <x:c r="D57" s="32" t="str">
        <x:v>接口／去重／停止</x:v>
      </x:c>
      <x:c r="E57" s="32" t="str">
        <x:v>相关模块信号同时可见，或需要执行同源去重、停止、回退。</x:v>
      </x:c>
      <x:c r="F57" s="32" t="str">
        <x:v>不加分；接口／去重／路由</x:v>
      </x:c>
      <x:c r="G57" s="32" t="str">
        <x:v>pause_return_style</x:v>
      </x:c>
      <x:c r="H57" s="32" t="str">
        <x:v>你需要暂停，不等于拒绝关系；怎样重新联结会在修复模块继续判断。</x:v>
      </x:c>
      <x:c r="I57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58">
      <x:c r="A58" s="32" t="str">
        <x:v>M3-BOUND-237</x:v>
      </x:c>
      <x:c r="B58" s="32" t="str">
        <x:v>IF10 STATE接口｜平稳主边界先确定</x:v>
      </x:c>
      <x:c r="C58" s="32" t="str">
        <x:v>BOUND-接口门控</x:v>
      </x:c>
      <x:c r="D58" s="32" t="str">
        <x:v>接口／去重／停止</x:v>
      </x:c>
      <x:c r="E58" s="32" t="str">
        <x:v>相关模块信号同时可见，或需要执行同源去重、停止、回退。</x:v>
      </x:c>
      <x:c r="F58" s="32" t="str">
        <x:v>不加分；接口／去重／路由</x:v>
      </x:c>
      <x:c r="G58" s="32" t="str">
        <x:v>state_shift</x:v>
      </x:c>
      <x:c r="H58" s="32" t="str">
        <x:v>会先看你平时怎样安排边界，再说明压力下是否切换。</x:v>
      </x:c>
      <x:c r="I58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59">
      <x:c r="A59" s="32" t="str">
        <x:v>M3-BOUND-238</x:v>
      </x:c>
      <x:c r="B59" s="32" t="str">
        <x:v>IF11 STATE接口｜压力切换需要独立证据</x:v>
      </x:c>
      <x:c r="C59" s="32" t="str">
        <x:v>BOUND-接口门控</x:v>
      </x:c>
      <x:c r="D59" s="32" t="str">
        <x:v>接口／去重／停止</x:v>
      </x:c>
      <x:c r="E59" s="32" t="str">
        <x:v>相关模块信号同时可见，或需要执行同源去重、停止、回退。</x:v>
      </x:c>
      <x:c r="F59" s="32" t="str">
        <x:v>不加分；接口／去重／路由</x:v>
      </x:c>
      <x:c r="G59" s="32" t="str">
        <x:v>state_shift</x:v>
      </x:c>
      <x:c r="H59" s="32" t="str">
        <x:v>压力下是否改变边界方式，需要两类以上证据支持。</x:v>
      </x:c>
      <x:c r="I59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60">
      <x:c r="A60" s="32" t="str">
        <x:v>M3-BOUND-239</x:v>
      </x:c>
      <x:c r="B60" s="32" t="str">
        <x:v>IF12 M4路由｜强通道占位候选</x:v>
      </x:c>
      <x:c r="C60" s="32" t="str">
        <x:v>BOUND-接口门控</x:v>
      </x:c>
      <x:c r="D60" s="32" t="str">
        <x:v>接口／去重／停止</x:v>
      </x:c>
      <x:c r="E60" s="32" t="str">
        <x:v>相关模块信号同时可见，或需要执行同源去重、停止、回退。</x:v>
      </x:c>
      <x:c r="F60" s="32" t="str">
        <x:v>不加分；接口／去重／路由</x:v>
      </x:c>
      <x:c r="G60" s="32" t="str">
        <x:v>risk_route</x:v>
      </x:c>
      <x:c r="H60" s="32" t="str">
        <x:v>这项边界方式可能很强，但是否形成控制、回避或消耗，要在M4判断。</x:v>
      </x:c>
      <x:c r="I60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61">
      <x:c r="A61" s="32" t="str">
        <x:v>M3-BOUND-240</x:v>
      </x:c>
      <x:c r="B61" s="32" t="str">
        <x:v>IF13 M5接口｜BOUND不得直接给适配答案</x:v>
      </x:c>
      <x:c r="C61" s="32" t="str">
        <x:v>BOUND-接口门控</x:v>
      </x:c>
      <x:c r="D61" s="32" t="str">
        <x:v>接口／去重／停止</x:v>
      </x:c>
      <x:c r="E61" s="32" t="str">
        <x:v>相关模块信号同时可见，或需要执行同源去重、停止、回退。</x:v>
      </x:c>
      <x:c r="F61" s="32" t="str">
        <x:v>不加分；接口／去重／路由</x:v>
      </x:c>
      <x:c r="G61" s="32" t="str">
        <x:v>boundary_note</x:v>
      </x:c>
      <x:c r="H61" s="32" t="str">
        <x:v>你常用的距离和权限方式会影响适配，但不是最终适合结论。</x:v>
      </x:c>
      <x:c r="I61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62">
      <x:c r="A62" s="32" t="str">
        <x:v>M3-BOUND-241</x:v>
      </x:c>
      <x:c r="B62" s="32" t="str">
        <x:v>IF14 夫妻星入日支｜选择—相处边界连续性</x:v>
      </x:c>
      <x:c r="C62" s="32" t="str">
        <x:v>BOUND-接口门控</x:v>
      </x:c>
      <x:c r="D62" s="32" t="str">
        <x:v>接口／去重／停止</x:v>
      </x:c>
      <x:c r="E62" s="32" t="str">
        <x:v>相关模块信号同时可见，或需要执行同源去重、停止、回退。</x:v>
      </x:c>
      <x:c r="F62" s="32" t="str">
        <x:v>不加分；接口／去重／路由</x:v>
      </x:c>
      <x:c r="G62" s="32" t="str">
        <x:v>provenance</x:v>
      </x:c>
      <x:c r="H62" s="32" t="str">
        <x:v>你选择关系时看重的责任、行动或投入，进入关系后也可能成为共同规则。</x:v>
      </x:c>
      <x:c r="I62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63">
      <x:c r="A63" s="32" t="str">
        <x:v>M3-BOUND-242</x:v>
      </x:c>
      <x:c r="B63" s="32" t="str">
        <x:v>IF15 source_id与同系统去重｜共享事实只计一次</x:v>
      </x:c>
      <x:c r="C63" s="32" t="str">
        <x:v>BOUND-接口门控</x:v>
      </x:c>
      <x:c r="D63" s="32" t="str">
        <x:v>接口／去重／停止</x:v>
      </x:c>
      <x:c r="E63" s="32" t="str">
        <x:v>相关模块信号同时可见，或需要执行同源去重、停止、回退。</x:v>
      </x:c>
      <x:c r="F63" s="32" t="str">
        <x:v>不加分；接口／去重／路由</x:v>
      </x:c>
      <x:c r="G63" s="32" t="str">
        <x:v>provenance</x:v>
      </x:c>
      <x:c r="H63" s="32" t="str">
        <x:v>同一事实可以从不同角度解释，但不会重复抬高置信度。</x:v>
      </x:c>
      <x:c r="I63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64">
      <x:c r="A64" s="32" t="str">
        <x:v>M3-BOUND-243</x:v>
      </x:c>
      <x:c r="B64" s="32" t="str">
        <x:v>IF16 停止与有限回退｜基础争议时只到系统层</x:v>
      </x:c>
      <x:c r="C64" s="32" t="str">
        <x:v>BOUND-接口门控</x:v>
      </x:c>
      <x:c r="D64" s="32" t="str">
        <x:v>接口／去重／停止</x:v>
      </x:c>
      <x:c r="E64" s="32" t="str">
        <x:v>相关模块信号同时可见，或需要执行同源去重、停止、回退。</x:v>
      </x:c>
      <x:c r="F64" s="32" t="str">
        <x:v>不加分；接口／去重／路由</x:v>
      </x:c>
      <x:c r="G64" s="32" t="str">
        <x:v>report_status</x:v>
      </x:c>
      <x:c r="H64" s="32" t="str">
        <x:v>关键基础还没有确定时，只会保留系统级方向，不会硬写固定边界模式。</x:v>
      </x:c>
      <x:c r="I64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65">
      <x:c r="A65" s="32" t="str">
        <x:v>M3-BOUND-249</x:v>
      </x:c>
      <x:c r="B65" s="32" t="str">
        <x:v>SO06 主BOUND通道门槛｜34分且领先</x:v>
      </x:c>
      <x:c r="C65" s="32" t="str">
        <x:v>BOUND-合成输出</x:v>
      </x:c>
      <x:c r="D65" s="32" t="str">
        <x:v>门槛</x:v>
      </x:c>
      <x:c r="E65" s="32" t="str">
        <x:v>主候选总分≥34，且领先第二候选≥8；基础状态可靠。</x:v>
      </x:c>
      <x:c r="F65" s="32" t="str">
        <x:v>门槛：≥34且领先≥8</x:v>
      </x:c>
      <x:c r="G65" s="32" t="str">
        <x:v>primary_boundary_channel</x:v>
      </x:c>
      <x:c r="H65" s="32" t="str">
        <x:v>只有证据足够集中时，才会把一种方式写成你的主要边界通道。</x:v>
      </x:c>
      <x:c r="I65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66">
      <x:c r="A66" s="32" t="str">
        <x:v>M3-BOUND-250</x:v>
      </x:c>
      <x:c r="B66" s="32" t="str">
        <x:v>SO07 次BOUND通道门槛｜24分且功能独立</x:v>
      </x:c>
      <x:c r="C66" s="32" t="str">
        <x:v>BOUND-合成输出</x:v>
      </x:c>
      <x:c r="D66" s="32" t="str">
        <x:v>门槛</x:v>
      </x:c>
      <x:c r="E66" s="32" t="str">
        <x:v>次候选≥24，来源独立、功能不同且不与主通道同义。</x:v>
      </x:c>
      <x:c r="F66" s="32" t="str">
        <x:v>门槛：≥24</x:v>
      </x:c>
      <x:c r="G66" s="32" t="str">
        <x:v>secondary_boundary_channel</x:v>
      </x:c>
      <x:c r="H66" s="32" t="str">
        <x:v>补充方式只有在来源独立、功能不同且证据足够时才会保留。</x:v>
      </x:c>
      <x:c r="I66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67">
      <x:c r="A67" s="32" t="str">
        <x:v>M3-BOUND-251</x:v>
      </x:c>
      <x:c r="B67" s="32" t="str">
        <x:v>SO08 双层边界门槛｜分差小且有功能分工</x:v>
      </x:c>
      <x:c r="C67" s="32" t="str">
        <x:v>BOUND-合成输出</x:v>
      </x:c>
      <x:c r="D67" s="32" t="str">
        <x:v>门槛</x:v>
      </x:c>
      <x:c r="E67" s="32" t="str">
        <x:v>两通道均达门槛、分差&lt;8、来源独立、功能不同。</x:v>
      </x:c>
      <x:c r="F67" s="32" t="str">
        <x:v>双层路由</x:v>
      </x:c>
      <x:c r="G67" s="32" t="str">
        <x:v>boundary_pattern</x:v>
      </x:c>
      <x:c r="H67" s="32" t="str">
        <x:v>当两种方式都明显时，会说明它们怎样分工，而不是简单说你什么都要。</x:v>
      </x:c>
      <x:c r="I67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68">
      <x:c r="A68" s="32" t="str">
        <x:v>M3-BOUND-252</x:v>
      </x:c>
      <x:c r="B68" s="32" t="str">
        <x:v>SO09 模式门槛｜至少两类独立证据</x:v>
      </x:c>
      <x:c r="C68" s="32" t="str">
        <x:v>BOUND-合成输出</x:v>
      </x:c>
      <x:c r="D68" s="32" t="str">
        <x:v>门槛</x:v>
      </x:c>
      <x:c r="E68" s="32" t="str">
        <x:v>通道、过程维度、日支、宫位动态或现实行为中至少两类支持。</x:v>
      </x:c>
      <x:c r="F68" s="32" t="str">
        <x:v>模式门控</x:v>
      </x:c>
      <x:c r="G68" s="32" t="str">
        <x:v>boundary_pattern</x:v>
      </x:c>
      <x:c r="H68" s="32" t="str">
        <x:v>模式标签只有在不同证据相互支持时才会使用。</x:v>
      </x:c>
      <x:c r="I68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69">
      <x:c r="A69" s="32" t="str">
        <x:v>M3-BOUND-253</x:v>
      </x:c>
      <x:c r="B69" s="32" t="str">
        <x:v>SO10 输出上限｜一主一次一节奏一结构</x:v>
      </x:c>
      <x:c r="C69" s="32" t="str">
        <x:v>BOUND-合成输出</x:v>
      </x:c>
      <x:c r="D69" s="32" t="str">
        <x:v>门槛</x:v>
      </x:c>
      <x:c r="E69" s="32" t="str">
        <x:v>候选已完成去重和主次裁决。</x:v>
      </x:c>
      <x:c r="F69" s="32" t="str">
        <x:v>不加分；裁剪</x:v>
      </x:c>
      <x:c r="G69" s="32" t="str">
        <x:v>report_template</x:v>
      </x:c>
      <x:c r="H69" s="32" t="str">
        <x:v>最终输出会保留一主一次、一个距离节奏和一个关键协商结构，不堆积标签。</x:v>
      </x:c>
      <x:c r="I69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70">
      <x:c r="A70" s="32" t="str">
        <x:v>M3-BOUND-254</x:v>
      </x:c>
      <x:c r="B70" s="32" t="str">
        <x:v>SO11 高置信｜多源独立且基础稳定</x:v>
      </x:c>
      <x:c r="C70" s="32" t="str">
        <x:v>BOUND-合成输出</x:v>
      </x:c>
      <x:c r="D70" s="32" t="str">
        <x:v>置信</x:v>
      </x:c>
      <x:c r="E70" s="32" t="str">
        <x:v>至少三类独立证据一致，无关键基础争议。</x:v>
      </x:c>
      <x:c r="F70" s="32" t="str">
        <x:v>高=90</x:v>
      </x:c>
      <x:c r="G70" s="32" t="str">
        <x:v>confidence</x:v>
      </x:c>
      <x:c r="H70" s="32" t="str">
        <x:v>这一判断有多类独立证据支持，但仍保留模型边界。</x:v>
      </x:c>
      <x:c r="I70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71">
      <x:c r="A71" s="32" t="str">
        <x:v>M3-BOUND-255</x:v>
      </x:c>
      <x:c r="B71" s="32" t="str">
        <x:v>SO12 中高置信｜一主一辅且无关键冲突</x:v>
      </x:c>
      <x:c r="C71" s="32" t="str">
        <x:v>BOUND-合成输出</x:v>
      </x:c>
      <x:c r="D71" s="32" t="str">
        <x:v>置信</x:v>
      </x:c>
      <x:c r="E71" s="32" t="str">
        <x:v>一项主证据、一项独立辅助，基础无关键冲突。</x:v>
      </x:c>
      <x:c r="F71" s="32" t="str">
        <x:v>中高=80</x:v>
      </x:c>
      <x:c r="G71" s="32" t="str">
        <x:v>confidence</x:v>
      </x:c>
      <x:c r="H71" s="32" t="str">
        <x:v>主要方向比较清楚，同时仍有部分细节需要真实相处验证。</x:v>
      </x:c>
      <x:c r="I71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72">
      <x:c r="A72" s="32" t="str">
        <x:v>M3-BOUND-256</x:v>
      </x:c>
      <x:c r="B72" s="32" t="str">
        <x:v>SO13 中置信｜单一可靠来源或主次接近</x:v>
      </x:c>
      <x:c r="C72" s="32" t="str">
        <x:v>BOUND-合成输出</x:v>
      </x:c>
      <x:c r="D72" s="32" t="str">
        <x:v>置信</x:v>
      </x:c>
      <x:c r="E72" s="32" t="str">
        <x:v>只有一项可靠来源，或主次接近但仍可有限输出。</x:v>
      </x:c>
      <x:c r="F72" s="32" t="str">
        <x:v>中=68</x:v>
      </x:c>
      <x:c r="G72" s="32" t="str">
        <x:v>confidence</x:v>
      </x:c>
      <x:c r="H72" s="32" t="str">
        <x:v>目前有可用证据，但具体主次或执行方式仍需要真实相处验证。</x:v>
      </x:c>
      <x:c r="I72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73">
      <x:c r="A73" s="32" t="str">
        <x:v>M3-BOUND-257</x:v>
      </x:c>
      <x:c r="B73" s="32" t="str">
        <x:v>SO14 中低／低／停止｜关键证据不足</x:v>
      </x:c>
      <x:c r="C73" s="32" t="str">
        <x:v>BOUND-合成输出</x:v>
      </x:c>
      <x:c r="D73" s="32" t="str">
        <x:v>置信</x:v>
      </x:c>
      <x:c r="E73" s="32" t="str">
        <x:v>弱远无根、真合化未定、基础争议或证据互相冲突。</x:v>
      </x:c>
      <x:c r="F73" s="32" t="str">
        <x:v>中低55／低40／停止0</x:v>
      </x:c>
      <x:c r="G73" s="32" t="str">
        <x:v>confidence</x:v>
      </x:c>
      <x:c r="H73" s="32" t="str">
        <x:v>目前证据不足，只能保留有限方向或停止固定判断。</x:v>
      </x:c>
      <x:c r="I73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74">
      <x:c r="A74" s="32" t="str">
        <x:v>M3-BOUND-258</x:v>
      </x:c>
      <x:c r="B74" s="32" t="str">
        <x:v>SO15 最终字段权威｜BOUND负责距离与权限</x:v>
      </x:c>
      <x:c r="C74" s="32" t="str">
        <x:v>BOUND-合成输出</x:v>
      </x:c>
      <x:c r="D74" s="32" t="str">
        <x:v>输出</x:v>
      </x:c>
      <x:c r="E74" s="32" t="str">
        <x:v>M3总报告生成BOUND相关字段。</x:v>
      </x:c>
      <x:c r="F74" s="32" t="str">
        <x:v>不加分；字段权威</x:v>
      </x:c>
      <x:c r="G74" s="32" t="str">
        <x:v>provenance</x:v>
      </x:c>
      <x:c r="H74" s="32" t="str">
        <x:v>模型三总报告中，亲密距离和权限安排以BOUND模块为准。</x:v>
      </x:c>
      <x:c r="I74" s="32" t="str">
        <x:v>不得由本规则直接推出回避亲密、依赖失控、控制欲、冷漠、自私、关系破裂、分手离婚、人格或依恋类型；不得把某种边界方式等同于爱得更多或更少。</x:v>
      </x:c>
    </x:row>
    <x:row r="75">
      <x:c r="A75" s="28"/>
    </x:row>
    <x:row r="76">
      <x:c r="A76" s="28"/>
    </x:row>
    <x:row r="77">
      <x:c r="A77" s="28"/>
    </x:row>
    <x:row r="78">
      <x:c r="A78" s="28"/>
    </x:row>
    <x:row r="79">
      <x:c r="A79" s="28"/>
    </x:row>
    <x:row r="80">
      <x:c r="A80" s="28"/>
    </x:row>
    <x:row r="81">
      <x:c r="A81" s="28"/>
    </x:row>
    <x:row r="82">
      <x:c r="A82" s="28"/>
    </x:row>
    <x:row r="83">
      <x:c r="A83" s="28"/>
    </x:row>
    <x:row r="84">
      <x:c r="A84" s="28"/>
    </x:row>
    <x:row r="85">
      <x:c r="A85" s="28"/>
    </x:row>
    <x:row r="86">
      <x:c r="A86" s="28"/>
    </x:row>
    <x:row r="87">
      <x:c r="A87" s="28"/>
    </x:row>
    <x:row r="88">
      <x:c r="A88" s="28"/>
    </x:row>
    <x:row r="89">
      <x:c r="A89" s="28"/>
    </x:row>
    <x:row r="90">
      <x:c r="A90" s="28"/>
    </x:row>
    <x:row r="91">
      <x:c r="A91" s="28"/>
    </x:row>
    <x:row r="92">
      <x:c r="A92" s="28"/>
    </x:row>
    <x:row r="93">
      <x:c r="A93" s="28"/>
    </x:row>
    <x:row r="94">
      <x:c r="A94" s="28"/>
    </x:row>
    <x:row r="95">
      <x:c r="A95" s="28"/>
    </x:row>
    <x:row r="96">
      <x:c r="A96" s="28"/>
    </x:row>
    <x:row r="97">
      <x:c r="A97" s="28"/>
    </x:row>
    <x:row r="98">
      <x:c r="A98" s="28"/>
    </x:row>
    <x:row r="99">
      <x:c r="A99" s="28"/>
    </x:row>
    <x:row r="100">
      <x:c r="A100" s="28"/>
    </x:row>
    <x:row r="101">
      <x:c r="A101" s="28"/>
    </x:row>
    <x:row r="102">
      <x:c r="A102" s="28"/>
    </x:row>
    <x:row r="103">
      <x:c r="A103" s="28"/>
    </x:row>
    <x:row r="104">
      <x:c r="A104" s="28"/>
    </x:row>
    <x:row r="105">
      <x:c r="A105" s="28"/>
    </x:row>
    <x:row r="106">
      <x:c r="A106" s="28"/>
    </x:row>
    <x:row r="107">
      <x:c r="A107" s="28"/>
    </x:row>
    <x:row r="108">
      <x:c r="A108" s="28"/>
    </x:row>
    <x:row r="109">
      <x:c r="A109" s="28"/>
    </x:row>
    <x:row r="110">
      <x:c r="A110" s="28"/>
    </x:row>
    <x:row r="111">
      <x:c r="A111" s="28"/>
    </x:row>
    <x:row r="112">
      <x:c r="A112" s="28"/>
    </x:row>
    <x:row r="113">
      <x:c r="A113" s="28"/>
    </x:row>
    <x:row r="114">
      <x:c r="A114" s="28"/>
    </x:row>
    <x:row r="115">
      <x:c r="A115" s="28"/>
    </x:row>
    <x:row r="116">
      <x:c r="A116" s="28"/>
    </x:row>
    <x:row r="117">
      <x:c r="A117" s="28"/>
    </x:row>
    <x:row r="118">
      <x:c r="A118" s="28"/>
    </x:row>
    <x:row r="119">
      <x:c r="A119" s="28"/>
    </x:row>
    <x:row r="120">
      <x:c r="A120" s="28"/>
    </x:row>
    <x:row r="121">
      <x:c r="A121" s="28"/>
    </x:row>
    <x:row r="122">
      <x:c r="A122" s="28"/>
    </x:row>
    <x:row r="123">
      <x:c r="A123" s="28"/>
    </x:row>
    <x:row r="124">
      <x:c r="A124" s="28"/>
    </x:row>
    <x:row r="125">
      <x:c r="A125" s="28"/>
    </x:row>
    <x:row r="126">
      <x:c r="A126" s="28"/>
    </x:row>
    <x:row r="127">
      <x:c r="A127" s="28"/>
    </x:row>
    <x:row r="128">
      <x:c r="A128" s="28"/>
    </x:row>
    <x:row r="129">
      <x:c r="A129" s="28"/>
    </x:row>
    <x:row r="130">
      <x:c r="A130" s="28"/>
    </x:row>
    <x:row r="131">
      <x:c r="A131" s="28"/>
    </x:row>
    <x:row r="132">
      <x:c r="A132" s="28"/>
    </x:row>
    <x:row r="133">
      <x:c r="A133" s="28"/>
    </x:row>
    <x:row r="134">
      <x:c r="A134" s="28"/>
    </x:row>
    <x:row r="135">
      <x:c r="A135" s="28"/>
    </x:row>
    <x:row r="136">
      <x:c r="A136" s="28"/>
    </x:row>
    <x:row r="137">
      <x:c r="A137" s="28"/>
    </x:row>
    <x:row r="138">
      <x:c r="A138" s="28"/>
    </x:row>
    <x:row r="139">
      <x:c r="A139" s="28"/>
    </x:row>
    <x:row r="140">
      <x:c r="A140" s="28"/>
    </x:row>
    <x:row r="141">
      <x:c r="A141" s="28"/>
    </x:row>
    <x:row r="142">
      <x:c r="A142" s="28"/>
    </x:row>
    <x:row r="143">
      <x:c r="A143" s="28"/>
    </x:row>
    <x:row r="144">
      <x:c r="A144" s="28"/>
    </x:row>
    <x:row r="145">
      <x:c r="A145" s="28"/>
    </x:row>
    <x:row r="146">
      <x:c r="A146" s="28"/>
    </x:row>
    <x:row r="147">
      <x:c r="A147" s="28"/>
    </x:row>
    <x:row r="148">
      <x:c r="A148" s="28"/>
    </x:row>
    <x:row r="149">
      <x:c r="A149" s="28"/>
    </x:row>
    <x:row r="150">
      <x:c r="A150" s="28"/>
    </x:row>
    <x:row r="151">
      <x:c r="A151" s="28"/>
    </x:row>
    <x:row r="152">
      <x:c r="A152" s="28"/>
    </x:row>
    <x:row r="153">
      <x:c r="A153" s="28"/>
    </x:row>
    <x:row r="154">
      <x:c r="A154" s="28"/>
    </x:row>
    <x:row r="155">
      <x:c r="A155" s="28"/>
    </x:row>
    <x:row r="156">
      <x:c r="A156" s="28"/>
    </x:row>
    <x:row r="157">
      <x:c r="A157" s="28"/>
    </x:row>
    <x:row r="158">
      <x:c r="A158" s="28"/>
    </x:row>
    <x:row r="159">
      <x:c r="A159" s="28"/>
    </x:row>
    <x:row r="160">
      <x:c r="A160" s="28"/>
    </x:row>
    <x:row r="161">
      <x:c r="A161" s="28"/>
    </x:row>
    <x:row r="162">
      <x:c r="A162" s="28"/>
    </x:row>
    <x:row r="163">
      <x:c r="A163" s="28"/>
    </x:row>
    <x:row r="164">
      <x:c r="A164" s="28"/>
    </x:row>
    <x:row r="165">
      <x:c r="A165" s="28"/>
    </x:row>
    <x:row r="166">
      <x:c r="A166" s="28"/>
    </x:row>
    <x:row r="167">
      <x:c r="A167" s="28"/>
    </x:row>
    <x:row r="168">
      <x:c r="A168" s="28"/>
    </x:row>
    <x:row r="169">
      <x:c r="A169" s="28"/>
    </x:row>
    <x:row r="170">
      <x:c r="A170" s="28"/>
    </x:row>
    <x:row r="171">
      <x:c r="A171" s="28"/>
    </x:row>
    <x:row r="172">
      <x:c r="A172" s="28"/>
    </x:row>
    <x:row r="173">
      <x:c r="A173" s="28"/>
    </x:row>
    <x:row r="174">
      <x:c r="A174" s="28"/>
    </x:row>
    <x:row r="175">
      <x:c r="A175" s="28"/>
    </x:row>
    <x:row r="176">
      <x:c r="A176" s="28"/>
    </x:row>
    <x:row r="177">
      <x:c r="A177" s="28"/>
    </x:row>
    <x:row r="178">
      <x:c r="A178" s="28"/>
    </x:row>
    <x:row r="179">
      <x:c r="A179" s="28"/>
    </x:row>
    <x:row r="180">
      <x:c r="A180" s="28"/>
    </x:row>
    <x:row r="181">
      <x:c r="A181" s="28"/>
    </x:row>
    <x:row r="182">
      <x:c r="A182" s="28"/>
    </x:row>
    <x:row r="183">
      <x:c r="A183" s="28"/>
    </x:row>
    <x:row r="184">
      <x:c r="A184" s="28"/>
    </x:row>
    <x:row r="185">
      <x:c r="A185" s="28"/>
    </x:row>
    <x:row r="186">
      <x:c r="A186" s="28"/>
    </x:row>
    <x:row r="187">
      <x:c r="A187" s="28"/>
    </x:row>
    <x:row r="188">
      <x:c r="A188" s="28"/>
    </x:row>
    <x:row r="189">
      <x:c r="A189" s="28"/>
    </x:row>
    <x:row r="190">
      <x:c r="A190" s="28"/>
    </x:row>
    <x:row r="191">
      <x:c r="A191" s="28"/>
    </x:row>
    <x:row r="192">
      <x:c r="A192" s="28"/>
    </x:row>
    <x:row r="193">
      <x:c r="A193" s="28"/>
    </x:row>
    <x:row r="194">
      <x:c r="A194" s="28"/>
    </x:row>
    <x:row r="195">
      <x:c r="A195" s="28"/>
    </x:row>
    <x:row r="196">
      <x:c r="A196" s="28"/>
    </x:row>
    <x:row r="197">
      <x:c r="A197" s="28"/>
    </x:row>
    <x:row r="198">
      <x:c r="A198" s="28"/>
    </x:row>
    <x:row r="199">
      <x:c r="A199" s="28"/>
    </x:row>
    <x:row r="200">
      <x:c r="A200" s="28"/>
    </x:row>
    <x:row r="201">
      <x:c r="A201" s="28"/>
    </x:row>
    <x:row r="202">
      <x:c r="A202" s="28"/>
    </x:row>
    <x:row r="203">
      <x:c r="A203" s="28"/>
    </x:row>
    <x:row r="204">
      <x:c r="A204" s="28"/>
    </x:row>
    <x:row r="205">
      <x:c r="A205" s="28"/>
    </x:row>
    <x:row r="206">
      <x:c r="A206" s="28"/>
    </x:row>
    <x:row r="207">
      <x:c r="A207" s="28"/>
    </x:row>
    <x:row r="208">
      <x:c r="A208" s="28"/>
    </x:row>
    <x:row r="209">
      <x:c r="A209" s="28"/>
    </x:row>
    <x:row r="210">
      <x:c r="A210" s="28"/>
    </x:row>
    <x:row r="211">
      <x:c r="A211" s="28"/>
    </x:row>
    <x:row r="212">
      <x:c r="A212" s="28"/>
    </x:row>
    <x:row r="213">
      <x:c r="A213" s="28"/>
    </x:row>
    <x:row r="214">
      <x:c r="A214" s="28"/>
    </x:row>
    <x:row r="215">
      <x:c r="A215" s="28"/>
    </x:row>
    <x:row r="216">
      <x:c r="A216" s="28"/>
    </x:row>
    <x:row r="217">
      <x:c r="A217" s="28"/>
    </x:row>
    <x:row r="218">
      <x:c r="A218" s="28"/>
    </x:row>
    <x:row r="219">
      <x:c r="A219" s="28"/>
    </x:row>
    <x:row r="220">
      <x:c r="A220" s="28"/>
    </x:row>
    <x:row r="221">
      <x:c r="A221" s="28"/>
    </x:row>
    <x:row r="222">
      <x:c r="A222" s="28"/>
    </x:row>
    <x:row r="223">
      <x:c r="A223" s="28"/>
    </x:row>
    <x:row r="224">
      <x:c r="A224" s="28"/>
    </x:row>
    <x:row r="225">
      <x:c r="A225" s="28"/>
    </x:row>
    <x:row r="226">
      <x:c r="A226" s="28"/>
    </x:row>
    <x:row r="227">
      <x:c r="A227" s="28"/>
    </x:row>
    <x:row r="228">
      <x:c r="A228" s="28"/>
    </x:row>
    <x:row r="229">
      <x:c r="A229" s="28"/>
    </x:row>
    <x:row r="230">
      <x:c r="A230" s="28"/>
    </x:row>
    <x:row r="231">
      <x:c r="A231" s="28"/>
    </x:row>
    <x:row r="232">
      <x:c r="A232" s="28"/>
    </x:row>
    <x:row r="233">
      <x:c r="A233" s="28"/>
    </x:row>
    <x:row r="234">
      <x:c r="A234" s="28"/>
    </x:row>
    <x:row r="235">
      <x:c r="A235" s="28"/>
    </x:row>
    <x:row r="236">
      <x:c r="A236" s="28"/>
    </x:row>
    <x:row r="237">
      <x:c r="A237" s="28"/>
    </x:row>
    <x:row r="238">
      <x:c r="A238" s="28"/>
    </x:row>
    <x:row r="239">
      <x:c r="A239" s="28"/>
    </x:row>
    <x:row r="240">
      <x:c r="A240" s="28"/>
    </x:row>
    <x:row r="241">
      <x:c r="A241" s="28"/>
    </x:row>
    <x:row r="242">
      <x:c r="A242" s="28"/>
    </x:row>
    <x:row r="243">
      <x:c r="A243" s="28"/>
    </x:row>
    <x:row r="244">
      <x:c r="A244" s="28"/>
    </x:row>
    <x:row r="245">
      <x:c r="A245" s="28"/>
    </x:row>
    <x:row r="246">
      <x:c r="A246" s="28"/>
    </x:row>
    <x:row r="247">
      <x:c r="A247" s="28"/>
    </x:row>
    <x:row r="248">
      <x:c r="A248" s="28"/>
    </x:row>
    <x:row r="249">
      <x:c r="A249" s="28"/>
    </x:row>
    <x:row r="250">
      <x:c r="A250" s="28"/>
    </x:row>
    <x:row r="251">
      <x:c r="A251" s="28"/>
    </x:row>
    <x:row r="252">
      <x:c r="A252" s="28"/>
    </x:row>
    <x:row r="253">
      <x:c r="A253" s="28"/>
    </x:row>
    <x:row r="254">
      <x:c r="A254" s="28"/>
    </x:row>
    <x:row r="255">
      <x:c r="A255" s="28"/>
    </x:row>
    <x:row r="256">
      <x:c r="A256" s="28"/>
    </x:row>
    <x:row r="257">
      <x:c r="A257" s="28"/>
    </x:row>
    <x:row r="258">
      <x:c r="A258" s="28"/>
    </x:row>
    <x:row r="259">
      <x:c r="A259" s="28"/>
    </x:row>
    <x:row r="260">
      <x:c r="A260" s="28"/>
    </x:row>
    <x:row r="261">
      <x:c r="A261" s="28"/>
    </x:row>
    <x:row r="262">
      <x:c r="A262" s="28"/>
    </x:row>
    <x:row r="263">
      <x:c r="A263" s="28"/>
    </x:row>
    <x:row r="264">
      <x:c r="A264" s="28"/>
    </x:row>
    <x:row r="265">
      <x:c r="A265" s="28"/>
    </x:row>
    <x:row r="266">
      <x:c r="A266" s="28"/>
    </x:row>
    <x:row r="267">
      <x:c r="A267" s="28"/>
    </x:row>
    <x:row r="268">
      <x:c r="A268" s="28"/>
    </x:row>
    <x:row r="269">
      <x:c r="A269" s="28"/>
    </x:row>
    <x:row r="270">
      <x:c r="A270" s="28"/>
    </x:row>
    <x:row r="271">
      <x:c r="A271" s="28"/>
    </x:row>
    <x:row r="272">
      <x:c r="A272" s="28"/>
    </x:row>
    <x:row r="273">
      <x:c r="A273" s="28"/>
    </x:row>
    <x:row r="274">
      <x:c r="A274" s="28"/>
    </x:row>
    <x:row r="275">
      <x:c r="A275" s="28"/>
    </x:row>
    <x:row r="276">
      <x:c r="A276" s="28"/>
    </x:row>
    <x:row r="277">
      <x:c r="A277" s="28"/>
    </x:row>
    <x:row r="278">
      <x:c r="A278" s="28"/>
    </x:row>
    <x:row r="279">
      <x:c r="A279" s="28"/>
    </x:row>
    <x:row r="280">
      <x:c r="A280" s="28"/>
    </x:row>
    <x:row r="281">
      <x:c r="A281" s="28"/>
    </x:row>
    <x:row r="282">
      <x:c r="A282" s="28"/>
    </x:row>
    <x:row r="283">
      <x:c r="A283" s="28"/>
    </x:row>
    <x:row r="284">
      <x:c r="A284" s="28"/>
    </x:row>
    <x:row r="285">
      <x:c r="A285" s="28"/>
    </x:row>
    <x:row r="286">
      <x:c r="A286" s="28"/>
    </x:row>
    <x:row r="287">
      <x:c r="A287" s="28"/>
    </x:row>
    <x:row r="288">
      <x:c r="A288" s="28"/>
    </x:row>
    <x:row r="289">
      <x:c r="A289" s="28"/>
    </x:row>
    <x:row r="290">
      <x:c r="A290" s="28"/>
    </x:row>
    <x:row r="291">
      <x:c r="A291" s="28"/>
    </x:row>
    <x:row r="292">
      <x:c r="A292" s="28"/>
    </x:row>
    <x:row r="293">
      <x:c r="A293" s="28"/>
    </x:row>
    <x:row r="294">
      <x:c r="A294" s="28"/>
    </x:row>
    <x:row r="295">
      <x:c r="A295" s="28"/>
    </x:row>
    <x:row r="296">
      <x:c r="A296" s="28"/>
    </x:row>
    <x:row r="297">
      <x:c r="A297" s="28"/>
    </x:row>
    <x:row r="298">
      <x:c r="A298" s="28"/>
    </x:row>
    <x:row r="299">
      <x:c r="A299" s="28"/>
    </x:row>
    <x:row r="300">
      <x:c r="A300" s="28"/>
    </x:row>
    <x:row r="301">
      <x:c r="A301" s="28"/>
    </x:row>
    <x:row r="302">
      <x:c r="A302" s="28"/>
    </x:row>
    <x:row r="303">
      <x:c r="A303" s="28"/>
    </x:row>
    <x:row r="304">
      <x:c r="A304" s="28"/>
    </x:row>
    <x:row r="305">
      <x:c r="A305" s="28"/>
    </x:row>
    <x:row r="306">
      <x:c r="A306" s="28"/>
    </x:row>
    <x:row r="307">
      <x:c r="A307" s="28"/>
    </x:row>
    <x:row r="308">
      <x:c r="A308" s="28"/>
    </x:row>
    <x:row r="309">
      <x:c r="A309" s="28"/>
    </x:row>
    <x:row r="310">
      <x:c r="A310" s="28"/>
    </x:row>
    <x:row r="311">
      <x:c r="A311" s="28"/>
    </x:row>
    <x:row r="312">
      <x:c r="A312" s="28"/>
    </x:row>
    <x:row r="313">
      <x:c r="A313" s="28"/>
    </x:row>
    <x:row r="314">
      <x:c r="A314" s="28"/>
    </x:row>
    <x:row r="315">
      <x:c r="A315" s="28"/>
    </x:row>
    <x:row r="316">
      <x:c r="A316" s="28"/>
    </x:row>
    <x:row r="317">
      <x:c r="A317" s="28"/>
    </x:row>
    <x:row r="318">
      <x:c r="A318" s="28"/>
    </x:row>
    <x:row r="319">
      <x:c r="A319" s="28"/>
    </x:row>
    <x:row r="320">
      <x:c r="A320" s="28"/>
    </x:row>
    <x:row r="321">
      <x:c r="A321" s="28"/>
    </x:row>
    <x:row r="322">
      <x:c r="A322" s="28"/>
    </x:row>
    <x:row r="323">
      <x:c r="A323" s="28"/>
    </x:row>
    <x:row r="324">
      <x:c r="A324" s="28"/>
    </x:row>
    <x:row r="325">
      <x:c r="A325" s="28"/>
    </x:row>
    <x:row r="326">
      <x:c r="A326" s="28"/>
    </x:row>
    <x:row r="327">
      <x:c r="A327" s="28"/>
    </x:row>
    <x:row r="328">
      <x:c r="A328" s="28"/>
    </x:row>
    <x:row r="329">
      <x:c r="A329" s="28"/>
    </x:row>
    <x:row r="330">
      <x:c r="A330" s="28"/>
    </x:row>
    <x:row r="331">
      <x:c r="A331" s="28"/>
    </x:row>
    <x:row r="332">
      <x:c r="A332" s="28"/>
    </x:row>
    <x:row r="333">
      <x:c r="A333" s="28"/>
    </x:row>
    <x:row r="334">
      <x:c r="A334" s="28"/>
    </x:row>
    <x:row r="335">
      <x:c r="A335" s="28"/>
    </x:row>
    <x:row r="336">
      <x:c r="A336" s="28"/>
    </x:row>
    <x:row r="337">
      <x:c r="A337" s="28"/>
    </x:row>
    <x:row r="338">
      <x:c r="A338" s="28"/>
    </x:row>
    <x:row r="339">
      <x:c r="A339" s="28"/>
    </x:row>
    <x:row r="340">
      <x:c r="A340" s="28"/>
    </x:row>
    <x:row r="341">
      <x:c r="A341" s="28"/>
    </x:row>
    <x:row r="342">
      <x:c r="A342" s="28"/>
    </x:row>
    <x:row r="343">
      <x:c r="A343" s="28"/>
    </x:row>
    <x:row r="344">
      <x:c r="A344" s="28"/>
    </x:row>
    <x:row r="345">
      <x:c r="A345" s="28"/>
    </x:row>
    <x:row r="346">
      <x:c r="A346" s="28"/>
    </x:row>
    <x:row r="347">
      <x:c r="A347" s="28"/>
    </x:row>
    <x:row r="348">
      <x:c r="A348" s="28"/>
    </x:row>
    <x:row r="349">
      <x:c r="A349" s="28"/>
    </x:row>
    <x:row r="350">
      <x:c r="A350" s="28"/>
    </x:row>
    <x:row r="351">
      <x:c r="A351" s="28"/>
    </x:row>
    <x:row r="352">
      <x:c r="A352" s="28"/>
    </x:row>
    <x:row r="353">
      <x:c r="A353" s="28"/>
    </x:row>
    <x:row r="354">
      <x:c r="A354" s="28"/>
    </x:row>
    <x:row r="355">
      <x:c r="A355" s="28"/>
    </x:row>
    <x:row r="356">
      <x:c r="A356" s="28"/>
    </x:row>
    <x:row r="357">
      <x:c r="A357" s="28"/>
    </x:row>
    <x:row r="358">
      <x:c r="A358" s="28"/>
    </x:row>
    <x:row r="359">
      <x:c r="A359" s="28"/>
    </x:row>
    <x:row r="360">
      <x:c r="A360" s="28"/>
    </x:row>
    <x:row r="361">
      <x:c r="A361" s="28"/>
    </x:row>
    <x:row r="362">
      <x:c r="A362" s="28"/>
    </x:row>
    <x:row r="363">
      <x:c r="A363" s="28"/>
    </x:row>
    <x:row r="364">
      <x:c r="A364" s="28"/>
    </x:row>
    <x:row r="365">
      <x:c r="A365" s="28"/>
    </x:row>
    <x:row r="366">
      <x:c r="A366" s="28"/>
    </x:row>
    <x:row r="367">
      <x:c r="A367" s="28"/>
    </x:row>
    <x:row r="368">
      <x:c r="A368" s="28"/>
    </x:row>
    <x:row r="369">
      <x:c r="A369" s="28"/>
    </x:row>
    <x:row r="370">
      <x:c r="A370" s="28"/>
    </x:row>
    <x:row r="371">
      <x:c r="A371" s="28"/>
    </x:row>
    <x:row r="372">
      <x:c r="A372" s="28"/>
    </x:row>
    <x:row r="373">
      <x:c r="A373" s="28"/>
    </x:row>
    <x:row r="374">
      <x:c r="A374" s="28"/>
    </x:row>
    <x:row r="375">
      <x:c r="A375" s="28"/>
    </x:row>
    <x:row r="376">
      <x:c r="A376" s="28"/>
    </x:row>
    <x:row r="377">
      <x:c r="A377" s="28"/>
    </x:row>
    <x:row r="378">
      <x:c r="A378" s="28"/>
    </x:row>
    <x:row r="379">
      <x:c r="A379" s="28"/>
    </x:row>
    <x:row r="380">
      <x:c r="A380" s="28"/>
    </x:row>
    <x:row r="381">
      <x:c r="A381" s="28"/>
    </x:row>
    <x:row r="382">
      <x:c r="A382" s="28"/>
    </x:row>
    <x:row r="383">
      <x:c r="A383" s="28"/>
    </x:row>
    <x:row r="384">
      <x:c r="A384" s="28"/>
    </x:row>
    <x:row r="385">
      <x:c r="A385" s="28"/>
    </x:row>
    <x:row r="386">
      <x:c r="A386" s="28"/>
    </x:row>
    <x:row r="387">
      <x:c r="A387" s="28"/>
    </x:row>
    <x:row r="388">
      <x:c r="A388" s="28"/>
    </x:row>
    <x:row r="389">
      <x:c r="A389" s="28"/>
    </x:row>
    <x:row r="390">
      <x:c r="A390" s="28"/>
    </x:row>
    <x:row r="391">
      <x:c r="A391" s="28"/>
    </x:row>
    <x:row r="392">
      <x:c r="A392" s="28"/>
    </x:row>
    <x:row r="393">
      <x:c r="A393" s="28"/>
    </x:row>
    <x:row r="394">
      <x:c r="A394" s="28"/>
    </x:row>
    <x:row r="395">
      <x:c r="A395" s="28"/>
    </x:row>
    <x:row r="396">
      <x:c r="A396" s="28"/>
    </x:row>
    <x:row r="397">
      <x:c r="A397" s="28"/>
    </x:row>
    <x:row r="398">
      <x:c r="A398" s="28"/>
    </x:row>
    <x:row r="399">
      <x:c r="A399" s="28"/>
    </x:row>
    <x:row r="400">
      <x:c r="A400" s="28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458c19544374ad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2" hidden="0" customWidth="1"/>
    <x:col min="4" max="4" width="60" hidden="0" customWidth="1"/>
    <x:col min="5" max="5" width="42" hidden="0" customWidth="1"/>
    <x:col min="6" max="6" width="48" hidden="0" customWidth="1"/>
  </x:cols>
  <x:sheetData>
    <x:row r="1" ht="28" customHeight="1">
      <x:c r="A1" s="38" t="str">
        <x:v>BOUND用户输出模板与可检索句库</x:v>
      </x:c>
      <x:c r="B1" s="5"/>
      <x:c r="C1" s="5"/>
      <x:c r="D1" s="5"/>
      <x:c r="E1" s="5"/>
      <x:c r="F1" s="5"/>
    </x:row>
    <x:row r="2" ht="32" customHeight="1">
      <x:c r="A2" s="13" t="str">
        <x:v>先确定编号，再从句库中选取并结合案例改写。模板必须保留条件、权限和边界，不能只贴标签。</x:v>
      </x:c>
      <x:c r="B2" s="13"/>
      <x:c r="C2" s="13"/>
      <x:c r="D2" s="13"/>
      <x:c r="E2" s="13"/>
      <x:c r="F2" s="13"/>
    </x:row>
    <x:row r="3">
      <x:c r="A3" s="28"/>
    </x:row>
    <x:row r="4">
      <x:c r="A4" s="22" t="str">
        <x:v>类别</x:v>
      </x:c>
      <x:c r="B4" s="22" t="str">
        <x:v>编号</x:v>
      </x:c>
      <x:c r="C4" s="22" t="str">
        <x:v>用途</x:v>
      </x:c>
      <x:c r="D4" s="22" t="str">
        <x:v>可直接使用的句式</x:v>
      </x:c>
      <x:c r="E4" s="22" t="str">
        <x:v>使用条件</x:v>
      </x:c>
      <x:c r="F4" s="22" t="str">
        <x:v>禁止搭配</x:v>
      </x:c>
    </x:row>
    <x:row r="5">
      <x:c r="A5" s="32" t="str">
        <x:v>十神通道</x:v>
      </x:c>
      <x:c r="B5" s="32" t="str">
        <x:v>BD01</x:v>
      </x:c>
      <x:c r="C5" s="32" t="str">
        <x:v>平等自主</x:v>
      </x:c>
      <x:c r="D5" s="32" t="str">
        <x:v>你更容易通过“平等自主”安排亲密与自主。通过平等、各自负责和保留个人决定权来维持亲密，重视“靠近但不替代彼此”。</x:v>
      </x:c>
      <x:c r="E5" s="32" t="str">
        <x:v>比肩通道有效，基础状态可靠。</x:v>
      </x:c>
      <x:c r="F5" s="32" t="str">
        <x:v>不得推出用户计较、冷淡、不愿依赖、凡事AA、难以亲密、一定强势或不愿妥协。</x:v>
      </x:c>
    </x:row>
    <x:row r="6">
      <x:c r="A6" s="32" t="str">
        <x:v>十神通道</x:v>
      </x:c>
      <x:c r="B6" s="32" t="str">
        <x:v>BD02</x:v>
      </x:c>
      <x:c r="C6" s="32" t="str">
        <x:v>共同参与</x:v>
      </x:c>
      <x:c r="D6" s="32" t="str">
        <x:v>你更容易通过“共同参与”安排亲密与自主。通过一起行动、即时反馈和共同调整边界来维持关系，边界更像在互动中不断校准。</x:v>
      </x:c>
      <x:c r="E6" s="32" t="str">
        <x:v>劫财通道有效，基础状态可靠。</x:v>
      </x:c>
      <x:c r="F6" s="32" t="str">
        <x:v>不得推出用户争抢、冲动、边界混乱、爱竞争、一定占有资源或无法长期稳定。</x:v>
      </x:c>
    </x:row>
    <x:row r="7">
      <x:c r="A7" s="32" t="str">
        <x:v>十神通道</x:v>
      </x:c>
      <x:c r="B7" s="32" t="str">
        <x:v>BD03</x:v>
      </x:c>
      <x:c r="C7" s="32" t="str">
        <x:v>舒适靠近</x:v>
      </x:c>
      <x:c r="D7" s="32" t="str">
        <x:v>你更容易通过“舒适靠近”安排亲密与自主。通过舒适、温和、低压力和日常陪伴逐渐建立亲密，边界重点是节奏不被强迫。</x:v>
      </x:c>
      <x:c r="E7" s="32" t="str">
        <x:v>食神通道有效，基础状态可靠。</x:v>
      </x:c>
      <x:c r="F7" s="32" t="str">
        <x:v>不得推出用户讨好、没有原则、怕冲突、依赖舒适区、拒绝成长或永远情绪稳定。</x:v>
      </x:c>
    </x:row>
    <x:row r="8">
      <x:c r="A8" s="32" t="str">
        <x:v>十神通道</x:v>
      </x:c>
      <x:c r="B8" s="32" t="str">
        <x:v>BD04</x:v>
      </x:c>
      <x:c r="C8" s="32" t="str">
        <x:v>清楚协商</x:v>
      </x:c>
      <x:c r="D8" s="32" t="str">
        <x:v>你更容易通过“清楚协商”安排亲密与自主。通过把需求、观点、权限和不舒服说清楚来建立边界，重视理解和可讨论性。</x:v>
      </x:c>
      <x:c r="E8" s="32" t="str">
        <x:v>伤官通道有效，基础状态可靠。</x:v>
      </x:c>
      <x:c r="F8" s="32" t="str">
        <x:v>不得推出用户爱批评、说话伤人、难相处、凡事争辩、缺少情绪价值或一定反权威。</x:v>
      </x:c>
    </x:row>
    <x:row r="9">
      <x:c r="A9" s="32" t="str">
        <x:v>十神通道</x:v>
      </x:c>
      <x:c r="B9" s="32" t="str">
        <x:v>BD05</x:v>
      </x:c>
      <x:c r="C9" s="32" t="str">
        <x:v>稳定共享</x:v>
      </x:c>
      <x:c r="D9" s="32" t="str">
        <x:v>你更容易通过“稳定共享”安排亲密与自主。通过稳定共享时间、生活安排和现实资源建立边界，重视可预期、可落实和分工清楚。</x:v>
      </x:c>
      <x:c r="E9" s="32" t="str">
        <x:v>正财通道有效，基础状态可靠。</x:v>
      </x:c>
      <x:c r="F9" s="32" t="str">
        <x:v>不得推出用户功利、只看金钱、缺乏浪漫、严格算账、一定同居或一定承担家务。</x:v>
      </x:c>
    </x:row>
    <x:row r="10">
      <x:c r="A10" s="32" t="str">
        <x:v>十神通道</x:v>
      </x:c>
      <x:c r="B10" s="32" t="str">
        <x:v>BD06</x:v>
      </x:c>
      <x:c r="C10" s="32" t="str">
        <x:v>弹性共享</x:v>
      </x:c>
      <x:c r="D10" s="32" t="str">
        <x:v>你更容易通过“弹性共享”安排亲密与自主。通过灵活分配时间、资源、体验和社交空间维持亲密，边界会随现实和互动调整。</x:v>
      </x:c>
      <x:c r="E10" s="32" t="str">
        <x:v>偏财通道有效，基础状态可靠。</x:v>
      </x:c>
      <x:c r="F10" s="32" t="str">
        <x:v>不得推出用户花心、没有原则、边界开放、爱暧昧、挥霍或无法进入稳定关系。</x:v>
      </x:c>
    </x:row>
    <x:row r="11">
      <x:c r="A11" s="32" t="str">
        <x:v>十神通道</x:v>
      </x:c>
      <x:c r="B11" s="32" t="str">
        <x:v>BD07</x:v>
      </x:c>
      <x:c r="C11" s="32" t="str">
        <x:v>规则角色</x:v>
      </x:c>
      <x:c r="D11" s="32" t="str">
        <x:v>你更容易通过“规则角色”安排亲密与自主。通过明确关系角色、责任、承诺和共同规则建立安全边界，重视谁负责什么、怎样兑现。</x:v>
      </x:c>
      <x:c r="E11" s="32" t="str">
        <x:v>正官通道有效，基础状态可靠。</x:v>
      </x:c>
      <x:c r="F11" s="32" t="str">
        <x:v>不得推出用户古板、爱管人、权威主义、传统性别角色、缺少感情或关系必然稳定。</x:v>
      </x:c>
    </x:row>
    <x:row r="12">
      <x:c r="A12" s="32" t="str">
        <x:v>十神通道</x:v>
      </x:c>
      <x:c r="B12" s="32" t="str">
        <x:v>BD08</x:v>
      </x:c>
      <x:c r="C12" s="32" t="str">
        <x:v>决断保护</x:v>
      </x:c>
      <x:c r="D12" s="32" t="str">
        <x:v>你更容易通过“决断保护”安排亲密与自主。通过快速判断、明确止线和关键时刻保护来维护边界，压力下更重视及时有效。</x:v>
      </x:c>
      <x:c r="E12" s="32" t="str">
        <x:v>七杀通道有效，基础状态可靠。</x:v>
      </x:c>
      <x:c r="F12" s="32" t="str">
        <x:v>不得推出用户暴力、控制、威胁、情绪粗暴、一定替对方决定或关系存在危险。</x:v>
      </x:c>
    </x:row>
    <x:row r="13">
      <x:c r="A13" s="32" t="str">
        <x:v>十神通道</x:v>
      </x:c>
      <x:c r="B13" s="32" t="str">
        <x:v>BD09</x:v>
      </x:c>
      <x:c r="C13" s="32" t="str">
        <x:v>安全依托</x:v>
      </x:c>
      <x:c r="D13" s="32" t="str">
        <x:v>你更容易通过“安全依托”安排亲密与自主。通过理解、稳定回应和可信承接建立亲密，愿意在安全中依靠关系，同时保留内在确认。</x:v>
      </x:c>
      <x:c r="E13" s="32" t="str">
        <x:v>正印通道有效，基础状态可靠。</x:v>
      </x:c>
      <x:c r="F13" s="32" t="str">
        <x:v>不得推出用户软弱、依赖、没有边界、需要被拯救、母性父性过强或没有独立能力。</x:v>
      </x:c>
    </x:row>
    <x:row r="14">
      <x:c r="A14" s="32" t="str">
        <x:v>十神通道</x:v>
      </x:c>
      <x:c r="B14" s="32" t="str">
        <x:v>BD10</x:v>
      </x:c>
      <x:c r="C14" s="32" t="str">
        <x:v>选择性空间</x:v>
      </x:c>
      <x:c r="D14" s="32" t="str">
        <x:v>你更容易通过“选择性空间”安排亲密与自主。通过选择性开放、内部整理和尊重私人空间维持亲密，重视深度而不是持续暴露。</x:v>
      </x:c>
      <x:c r="E14" s="32" t="str">
        <x:v>偏印通道有效，基础状态可靠。</x:v>
      </x:c>
      <x:c r="F14" s="32" t="str">
        <x:v>不得推出用户冷漠、神秘、回避亲密、精神异常、故意不说或拒绝任何依赖。</x:v>
      </x:c>
    </x:row>
    <x:row r="15">
      <x:c r="A15" s="32" t="str">
        <x:v>边界模式</x:v>
      </x:c>
      <x:c r="B15" s="32" t="str">
        <x:v>BP01</x:v>
      </x:c>
      <x:c r="C15" s="32" t="str">
        <x:v>平等协商型</x:v>
      </x:c>
      <x:c r="D15" s="32" t="str">
        <x:v>你的边界模式更接近“平等协商型”：以平等、各自负责和共同讨论维持边界。</x:v>
      </x:c>
      <x:c r="E15" s="32" t="str">
        <x:v>BD01有效，且自主或协商维度至少一项可靠；不得只有单一弱远比肩。</x:v>
      </x:c>
      <x:c r="F15" s="32" t="str">
        <x:v>不得把模式直接解释为人格、风险或适配。</x:v>
      </x:c>
    </x:row>
    <x:row r="16">
      <x:c r="A16" s="32" t="str">
        <x:v>边界模式</x:v>
      </x:c>
      <x:c r="B16" s="32" t="str">
        <x:v>BP02</x:v>
      </x:c>
      <x:c r="C16" s="32" t="str">
        <x:v>共同参与型</x:v>
      </x:c>
      <x:c r="D16" s="32" t="str">
        <x:v>你的边界模式更接近“共同参与型”：边界在一起做事和即时互动中形成，重视双方都参与。</x:v>
      </x:c>
      <x:c r="E16" s="32" t="str">
        <x:v>BD02有效，且共同活动靠近、共同决定或行动接收至少一项可靠。</x:v>
      </x:c>
      <x:c r="F16" s="32" t="str">
        <x:v>不得把模式直接解释为人格、风险或适配。</x:v>
      </x:c>
    </x:row>
    <x:row r="17">
      <x:c r="A17" s="32" t="str">
        <x:v>边界模式</x:v>
      </x:c>
      <x:c r="B17" s="32" t="str">
        <x:v>BP03</x:v>
      </x:c>
      <x:c r="C17" s="32" t="str">
        <x:v>舒适渐进型</x:v>
      </x:c>
      <x:c r="D17" s="32" t="str">
        <x:v>你的边界模式更接近“舒适渐进型”：通过低压力、逐步熟悉和照顾节奏建立亲密边界。</x:v>
      </x:c>
      <x:c r="E17" s="32" t="str">
        <x:v>BD03有效，且渐进靠近、温和需求或缓冲暂停至少一项可靠。</x:v>
      </x:c>
      <x:c r="F17" s="32" t="str">
        <x:v>不得把模式直接解释为人格、风险或适配。</x:v>
      </x:c>
    </x:row>
    <x:row r="18">
      <x:c r="A18" s="32" t="str">
        <x:v>边界模式</x:v>
      </x:c>
      <x:c r="B18" s="32" t="str">
        <x:v>BP04</x:v>
      </x:c>
      <x:c r="C18" s="32" t="str">
        <x:v>清楚协商型</x:v>
      </x:c>
      <x:c r="D18" s="32" t="str">
        <x:v>你的边界模式更接近“清楚协商型”：通过说明需求、解释限制和提出替代方案维护边界。</x:v>
      </x:c>
      <x:c r="E18" s="32" t="str">
        <x:v>BD04有效，且直接具体、协商拒绝或重订维度至少一项可靠。</x:v>
      </x:c>
      <x:c r="F18" s="32" t="str">
        <x:v>不得把模式直接解释为人格、风险或适配。</x:v>
      </x:c>
    </x:row>
    <x:row r="19">
      <x:c r="A19" s="32" t="str">
        <x:v>边界模式</x:v>
      </x:c>
      <x:c r="B19" s="32" t="str">
        <x:v>BP05</x:v>
      </x:c>
      <x:c r="C19" s="32" t="str">
        <x:v>稳定共享型</x:v>
      </x:c>
      <x:c r="D19" s="32" t="str">
        <x:v>你的边界模式更接近“稳定共享型”：通过固定时间、现实安排和稳定分工维持亲密与自主。</x:v>
      </x:c>
      <x:c r="E19" s="32" t="str">
        <x:v>BD05有效，且日常开放、角色分工或定期协商至少一项可靠。</x:v>
      </x:c>
      <x:c r="F19" s="32" t="str">
        <x:v>不得把模式直接解释为人格、风险或适配。</x:v>
      </x:c>
    </x:row>
    <x:row r="20">
      <x:c r="A20" s="32" t="str">
        <x:v>边界模式</x:v>
      </x:c>
      <x:c r="B20" s="32" t="str">
        <x:v>BP06</x:v>
      </x:c>
      <x:c r="C20" s="32" t="str">
        <x:v>弹性共享型</x:v>
      </x:c>
      <x:c r="D20" s="32" t="str">
        <x:v>你的边界模式更接近“弹性共享型”：根据情境灵活调整共享范围、时间和社交空间。</x:v>
      </x:c>
      <x:c r="E20" s="32" t="str">
        <x:v>BD06有效，且弹性空间、即时调整或体验靠近至少一项可靠。</x:v>
      </x:c>
      <x:c r="F20" s="32" t="str">
        <x:v>不得把模式直接解释为人格、风险或适配。</x:v>
      </x:c>
    </x:row>
    <x:row r="21">
      <x:c r="A21" s="32" t="str">
        <x:v>边界模式</x:v>
      </x:c>
      <x:c r="B21" s="32" t="str">
        <x:v>BP07</x:v>
      </x:c>
      <x:c r="C21" s="32" t="str">
        <x:v>规则角色型</x:v>
      </x:c>
      <x:c r="D21" s="32" t="str">
        <x:v>你的边界模式更接近“规则角色型”：以承诺、角色和可追踪的共同规则明确权限。</x:v>
      </x:c>
      <x:c r="E21" s="32" t="str">
        <x:v>BD07有效，且角色分工、直接限制或定期协商至少一项可靠。</x:v>
      </x:c>
      <x:c r="F21" s="32" t="str">
        <x:v>不得把模式直接解释为人格、风险或适配。</x:v>
      </x:c>
    </x:row>
    <x:row r="22">
      <x:c r="A22" s="32" t="str">
        <x:v>边界模式</x:v>
      </x:c>
      <x:c r="B22" s="32" t="str">
        <x:v>BP08</x:v>
      </x:c>
      <x:c r="C22" s="32" t="str">
        <x:v>决断保护型</x:v>
      </x:c>
      <x:c r="D22" s="32" t="str">
        <x:v>你的边界模式更接近“决断保护型”：在关键情境迅速划定停止线、处理风险并保护关系边界。</x:v>
      </x:c>
      <x:c r="E22" s="32" t="str">
        <x:v>BD08有效，且直接拒绝、问题处理后回归或压力抢先至少一项可靠。</x:v>
      </x:c>
      <x:c r="F22" s="32" t="str">
        <x:v>不得把模式直接解释为人格、风险或适配。</x:v>
      </x:c>
    </x:row>
    <x:row r="23">
      <x:c r="A23" s="32" t="str">
        <x:v>边界模式</x:v>
      </x:c>
      <x:c r="B23" s="32" t="str">
        <x:v>BP09</x:v>
      </x:c>
      <x:c r="C23" s="32" t="str">
        <x:v>安全依托型</x:v>
      </x:c>
      <x:c r="D23" s="32" t="str">
        <x:v>你的边界模式更接近“安全依托型”：在理解、稳定回应和可信环境中允许依靠，同时保留内部确认。</x:v>
      </x:c>
      <x:c r="E23" s="32" t="str">
        <x:v>BD09有效，且回应靠近、安全恢复或直接接收至少一项可靠。</x:v>
      </x:c>
      <x:c r="F23" s="32" t="str">
        <x:v>不得把模式直接解释为人格、风险或适配。</x:v>
      </x:c>
    </x:row>
    <x:row r="24">
      <x:c r="A24" s="32" t="str">
        <x:v>边界模式</x:v>
      </x:c>
      <x:c r="B24" s="32" t="str">
        <x:v>BP10</x:v>
      </x:c>
      <x:c r="C24" s="32" t="str">
        <x:v>选择性空间型</x:v>
      </x:c>
      <x:c r="D24" s="32" t="str">
        <x:v>你的边界模式更接近“选择性空间型”：通过选择性开放、内部整理和尊重私人空间维持亲密。</x:v>
      </x:c>
      <x:c r="E24" s="32" t="str">
        <x:v>BD10有效，且稳定空间、先整理或选择性接收至少一项可靠。</x:v>
      </x:c>
      <x:c r="F24" s="32" t="str">
        <x:v>不得把模式直接解释为人格、风险或适配。</x:v>
      </x:c>
    </x:row>
    <x:row r="25">
      <x:c r="A25" s="32" t="str">
        <x:v>边界模式</x:v>
      </x:c>
      <x:c r="B25" s="32" t="str">
        <x:v>BP11</x:v>
      </x:c>
      <x:c r="C25" s="32" t="str">
        <x:v>双层边界型</x:v>
      </x:c>
      <x:c r="D25" s="32" t="str">
        <x:v>你的边界模式更接近“双层边界型”：两套功能不同的边界通道同时成立，一项负责靠近，一项负责权限或停止。</x:v>
      </x:c>
      <x:c r="E25" s="32" t="str">
        <x:v>两个通道均达到次通道门槛，来源独立、功能不同且分差不足8分。</x:v>
      </x:c>
      <x:c r="F25" s="32" t="str">
        <x:v>不得把模式直接解释为人格、风险或适配。</x:v>
      </x:c>
    </x:row>
    <x:row r="26">
      <x:c r="A26" s="32" t="str">
        <x:v>边界模式</x:v>
      </x:c>
      <x:c r="B26" s="32" t="str">
        <x:v>BP12</x:v>
      </x:c>
      <x:c r="C26" s="32" t="str">
        <x:v>情境切换型</x:v>
      </x:c>
      <x:c r="D26" s="32" t="str">
        <x:v>你的边界模式更接近“情境切换型”：日常、压力、共同任务或不同关系阶段会调用不同边界通道。</x:v>
      </x:c>
      <x:c r="E26" s="32" t="str">
        <x:v>至少两个情境拥有独立通道证据，且M3-STATE或宫位动态支持切换。</x:v>
      </x:c>
      <x:c r="F26" s="32" t="str">
        <x:v>不得把模式直接解释为人格、风险或适配。</x:v>
      </x:c>
    </x:row>
    <x:row r="27">
      <x:c r="A27" s="32" t="str">
        <x:v>距离节奏</x:v>
      </x:c>
      <x:c r="B27" s="32" t="str">
        <x:v>DR01</x:v>
      </x:c>
      <x:c r="C27" s="32" t="str">
        <x:v>快速明确靠近</x:v>
      </x:c>
      <x:c r="D27" s="32" t="str">
        <x:v>关键条件清楚、主通道外显且连续时，关系可以较快靠近，同时边界较早被说清。</x:v>
      </x:c>
      <x:c r="E27" s="32" t="str">
        <x:v>靠近、空间与位置证据至少两项一致。</x:v>
      </x:c>
      <x:c r="F27" s="32" t="str">
        <x:v>不得把靠近快慢直接等同于冲动、冷淡或回避。</x:v>
      </x:c>
    </x:row>
    <x:row r="28">
      <x:c r="A28" s="32" t="str">
        <x:v>距离节奏</x:v>
      </x:c>
      <x:c r="B28" s="32" t="str">
        <x:v>DR02</x:v>
      </x:c>
      <x:c r="C28" s="32" t="str">
        <x:v>渐进熟悉靠近</x:v>
      </x:c>
      <x:c r="D28" s="32" t="str">
        <x:v>需要通过重复接触、日常相处和稳定回应逐步增加亲密。</x:v>
      </x:c>
      <x:c r="E28" s="32" t="str">
        <x:v>靠近、空间与位置证据至少两项一致。</x:v>
      </x:c>
      <x:c r="F28" s="32" t="str">
        <x:v>不得把靠近快慢直接等同于冲动、冷淡或回避。</x:v>
      </x:c>
    </x:row>
    <x:row r="29">
      <x:c r="A29" s="32" t="str">
        <x:v>距离节奏</x:v>
      </x:c>
      <x:c r="B29" s="32" t="str">
        <x:v>DR03</x:v>
      </x:c>
      <x:c r="C29" s="32" t="str">
        <x:v>信任后开放</x:v>
      </x:c>
      <x:c r="D29" s="32" t="str">
        <x:v>先确认理解、安全或可靠性，再开放更多情绪、生活和依托。</x:v>
      </x:c>
      <x:c r="E29" s="32" t="str">
        <x:v>靠近、空间与位置证据至少两项一致。</x:v>
      </x:c>
      <x:c r="F29" s="32" t="str">
        <x:v>不得把靠近快慢直接等同于冲动、冷淡或回避。</x:v>
      </x:c>
    </x:row>
    <x:row r="30">
      <x:c r="A30" s="32" t="str">
        <x:v>距离节奏</x:v>
      </x:c>
      <x:c r="B30" s="32" t="str">
        <x:v>DR04</x:v>
      </x:c>
      <x:c r="C30" s="32" t="str">
        <x:v>共同任务靠近</x:v>
      </x:c>
      <x:c r="D30" s="32" t="str">
        <x:v>一起做事、共同经历或协作会明显缩短距离。</x:v>
      </x:c>
      <x:c r="E30" s="32" t="str">
        <x:v>靠近、空间与位置证据至少两项一致。</x:v>
      </x:c>
      <x:c r="F30" s="32" t="str">
        <x:v>不得把靠近快慢直接等同于冲动、冷淡或回避。</x:v>
      </x:c>
    </x:row>
    <x:row r="31">
      <x:c r="A31" s="32" t="str">
        <x:v>距离节奏</x:v>
      </x:c>
      <x:c r="B31" s="32" t="str">
        <x:v>DR05</x:v>
      </x:c>
      <x:c r="C31" s="32" t="str">
        <x:v>靠近—空间交替</x:v>
      </x:c>
      <x:c r="D31" s="32" t="str">
        <x:v>亲密增加后需要阶段性整理或独处，再回到关系继续协商。</x:v>
      </x:c>
      <x:c r="E31" s="32" t="str">
        <x:v>靠近、空间与位置证据至少两项一致。</x:v>
      </x:c>
      <x:c r="F31" s="32" t="str">
        <x:v>不得把靠近快慢直接等同于冲动、冷淡或回避。</x:v>
      </x:c>
    </x:row>
    <x:row r="32">
      <x:c r="A32" s="32" t="str">
        <x:v>距离节奏</x:v>
      </x:c>
      <x:c r="B32" s="32" t="str">
        <x:v>DR06</x:v>
      </x:c>
      <x:c r="C32" s="32" t="str">
        <x:v>稳定共享节奏</x:v>
      </x:c>
      <x:c r="D32" s="32" t="str">
        <x:v>以固定安排、重复回应和可预期共享维持距离。</x:v>
      </x:c>
      <x:c r="E32" s="32" t="str">
        <x:v>靠近、空间与位置证据至少两项一致。</x:v>
      </x:c>
      <x:c r="F32" s="32" t="str">
        <x:v>不得把靠近快慢直接等同于冲动、冷淡或回避。</x:v>
      </x:c>
    </x:row>
    <x:row r="33">
      <x:c r="A33" s="32" t="str">
        <x:v>距离节奏</x:v>
      </x:c>
      <x:c r="B33" s="32" t="str">
        <x:v>DR07</x:v>
      </x:c>
      <x:c r="C33" s="32" t="str">
        <x:v>并行自主节奏</x:v>
      </x:c>
      <x:c r="D33" s="32" t="str">
        <x:v>双方保持各自生活和判断，同时在关键事务上稳定联结。</x:v>
      </x:c>
      <x:c r="E33" s="32" t="str">
        <x:v>靠近、空间与位置证据至少两项一致。</x:v>
      </x:c>
      <x:c r="F33" s="32" t="str">
        <x:v>不得把靠近快慢直接等同于冲动、冷淡或回避。</x:v>
      </x:c>
    </x:row>
    <x:row r="34">
      <x:c r="A34" s="32" t="str">
        <x:v>距离节奏</x:v>
      </x:c>
      <x:c r="B34" s="32" t="str">
        <x:v>DR08</x:v>
      </x:c>
      <x:c r="C34" s="32" t="str">
        <x:v>距离节奏未定</x:v>
      </x:c>
      <x:c r="D34" s="32" t="str">
        <x:v>现有证据不足以固定靠近和空间的先后，只能保留情境性。</x:v>
      </x:c>
      <x:c r="E34" s="32" t="str">
        <x:v>靠近、空间与位置证据至少两项一致。</x:v>
      </x:c>
      <x:c r="F34" s="32" t="str">
        <x:v>不得把靠近快慢直接等同于冲动、冷淡或回避。</x:v>
      </x:c>
    </x:row>
    <x:row r="35">
      <x:c r="A35" s="32" t="str">
        <x:v>交换结构</x:v>
      </x:c>
      <x:c r="B35" s="32" t="str">
        <x:v>BE01</x:v>
      </x:c>
      <x:c r="C35" s="32" t="str">
        <x:v>同步协商</x:v>
      </x:c>
      <x:c r="D35" s="32" t="str">
        <x:v>靠近、分享和决定权在双方即时回应中同步调整。</x:v>
      </x:c>
      <x:c r="E35" s="32" t="str">
        <x:v>至少两项独立功能证据；BE07/BE08用于去重或停止。</x:v>
      </x:c>
      <x:c r="F35" s="32" t="str">
        <x:v>不得把不同权限分工直接解释为不公平。</x:v>
      </x:c>
    </x:row>
    <x:row r="36">
      <x:c r="A36" s="32" t="str">
        <x:v>交换结构</x:v>
      </x:c>
      <x:c r="B36" s="32" t="str">
        <x:v>BE02</x:v>
      </x:c>
      <x:c r="C36" s="32" t="str">
        <x:v>先设界后靠近</x:v>
      </x:c>
      <x:c r="D36" s="32" t="str">
        <x:v>先确认权限、角色或停止线，再逐步开放亲密。</x:v>
      </x:c>
      <x:c r="E36" s="32" t="str">
        <x:v>至少两项独立功能证据；BE07/BE08用于去重或停止。</x:v>
      </x:c>
      <x:c r="F36" s="32" t="str">
        <x:v>不得把不同权限分工直接解释为不公平。</x:v>
      </x:c>
    </x:row>
    <x:row r="37">
      <x:c r="A37" s="32" t="str">
        <x:v>交换结构</x:v>
      </x:c>
      <x:c r="B37" s="32" t="str">
        <x:v>BE03</x:v>
      </x:c>
      <x:c r="C37" s="32" t="str">
        <x:v>先靠近后重订</x:v>
      </x:c>
      <x:c r="D37" s="32" t="str">
        <x:v>先因互动或体验拉近距离，随后把共享范围和规则说清。</x:v>
      </x:c>
      <x:c r="E37" s="32" t="str">
        <x:v>至少两项独立功能证据；BE07/BE08用于去重或停止。</x:v>
      </x:c>
      <x:c r="F37" s="32" t="str">
        <x:v>不得把不同权限分工直接解释为不公平。</x:v>
      </x:c>
    </x:row>
    <x:row r="38">
      <x:c r="A38" s="32" t="str">
        <x:v>交换结构</x:v>
      </x:c>
      <x:c r="B38" s="32" t="str">
        <x:v>BE04</x:v>
      </x:c>
      <x:c r="C38" s="32" t="str">
        <x:v>安全先行</x:v>
      </x:c>
      <x:c r="D38" s="32" t="str">
        <x:v>先获得理解和可信承接，再表达自主、需求或拒绝。</x:v>
      </x:c>
      <x:c r="E38" s="32" t="str">
        <x:v>至少两项独立功能证据；BE07/BE08用于去重或停止。</x:v>
      </x:c>
      <x:c r="F38" s="32" t="str">
        <x:v>不得把不同权限分工直接解释为不公平。</x:v>
      </x:c>
    </x:row>
    <x:row r="39">
      <x:c r="A39" s="32" t="str">
        <x:v>交换结构</x:v>
      </x:c>
      <x:c r="B39" s="32" t="str">
        <x:v>BE05</x:v>
      </x:c>
      <x:c r="C39" s="32" t="str">
        <x:v>任务先行</x:v>
      </x:c>
      <x:c r="D39" s="32" t="str">
        <x:v>先在共同事务和行动中确认彼此，再逐步开放私人内容。</x:v>
      </x:c>
      <x:c r="E39" s="32" t="str">
        <x:v>至少两项独立功能证据；BE07/BE08用于去重或停止。</x:v>
      </x:c>
      <x:c r="F39" s="32" t="str">
        <x:v>不得把不同权限分工直接解释为不公平。</x:v>
      </x:c>
    </x:row>
    <x:row r="40">
      <x:c r="A40" s="32" t="str">
        <x:v>交换结构</x:v>
      </x:c>
      <x:c r="B40" s="32" t="str">
        <x:v>BE06</x:v>
      </x:c>
      <x:c r="C40" s="32" t="str">
        <x:v>角色分工</x:v>
      </x:c>
      <x:c r="D40" s="32" t="str">
        <x:v>不同事务由不同一方或不同通道负责，边界不要求完全对称。</x:v>
      </x:c>
      <x:c r="E40" s="32" t="str">
        <x:v>至少两项独立功能证据；BE07/BE08用于去重或停止。</x:v>
      </x:c>
      <x:c r="F40" s="32" t="str">
        <x:v>不得把不同权限分工直接解释为不公平。</x:v>
      </x:c>
    </x:row>
    <x:row r="41">
      <x:c r="A41" s="32" t="str">
        <x:v>交换结构</x:v>
      </x:c>
      <x:c r="B41" s="32" t="str">
        <x:v>BE07</x:v>
      </x:c>
      <x:c r="C41" s="32" t="str">
        <x:v>同义收敛</x:v>
      </x:c>
      <x:c r="D41" s="32" t="str">
        <x:v>多个规则实际描述同一权限事实，需要去重为一个核心边界。</x:v>
      </x:c>
      <x:c r="E41" s="32" t="str">
        <x:v>至少两项独立功能证据；BE07/BE08用于去重或停止。</x:v>
      </x:c>
      <x:c r="F41" s="32" t="str">
        <x:v>不得把不同权限分工直接解释为不公平。</x:v>
      </x:c>
    </x:row>
    <x:row r="42">
      <x:c r="A42" s="32" t="str">
        <x:v>交换结构</x:v>
      </x:c>
      <x:c r="B42" s="32" t="str">
        <x:v>BE08</x:v>
      </x:c>
      <x:c r="C42" s="32" t="str">
        <x:v>交换结构未定</x:v>
      </x:c>
      <x:c r="D42" s="32" t="str">
        <x:v>证据不足、主次争议或真合化未定，暂不固定结构。</x:v>
      </x:c>
      <x:c r="E42" s="32" t="str">
        <x:v>至少两项独立功能证据；BE07/BE08用于去重或停止。</x:v>
      </x:c>
      <x:c r="F42" s="32" t="str">
        <x:v>不得把不同权限分工直接解释为不公平。</x:v>
      </x:c>
    </x:row>
    <x:row r="43">
      <x:c r="A43" s="32" t="str">
        <x:v>功能路径</x:v>
      </x:c>
      <x:c r="B43" s="32" t="str">
        <x:v>BF01</x:v>
      </x:c>
      <x:c r="C43" s="32" t="str">
        <x:v>安全→自主</x:v>
      </x:c>
      <x:c r="D43" s="32" t="str">
        <x:v>先确认被理解和关系安全，再形成自己的立场、选择和参与方式。</x:v>
      </x:c>
      <x:c r="E43" s="32" t="str">
        <x:v>起点终点有效，存在连接或第二类独立证据。</x:v>
      </x:c>
      <x:c r="F43" s="32" t="str">
        <x:v>不得仅凭五行关系制造现实先后。</x:v>
      </x:c>
    </x:row>
    <x:row r="44">
      <x:c r="A44" s="32" t="str">
        <x:v>功能路径</x:v>
      </x:c>
      <x:c r="B44" s="32" t="str">
        <x:v>BF02</x:v>
      </x:c>
      <x:c r="C44" s="32" t="str">
        <x:v>平等→表达</x:v>
      </x:c>
      <x:c r="D44" s="32" t="str">
        <x:v>先确认双方地位和选择权，再把需求、观点和限制说清楚。</x:v>
      </x:c>
      <x:c r="E44" s="32" t="str">
        <x:v>起点终点有效，存在连接或第二类独立证据。</x:v>
      </x:c>
      <x:c r="F44" s="32" t="str">
        <x:v>不得仅凭五行关系制造现实先后。</x:v>
      </x:c>
    </x:row>
    <x:row r="45">
      <x:c r="A45" s="32" t="str">
        <x:v>功能路径</x:v>
      </x:c>
      <x:c r="B45" s="32" t="str">
        <x:v>BF03</x:v>
      </x:c>
      <x:c r="C45" s="32" t="str">
        <x:v>表达→共享</x:v>
      </x:c>
      <x:c r="D45" s="32" t="str">
        <x:v>先通过交流建立理解，再把时间、资源和生活安排逐步共享。</x:v>
      </x:c>
      <x:c r="E45" s="32" t="str">
        <x:v>起点终点有效，存在连接或第二类独立证据。</x:v>
      </x:c>
      <x:c r="F45" s="32" t="str">
        <x:v>不得仅凭五行关系制造现实先后。</x:v>
      </x:c>
    </x:row>
    <x:row r="46">
      <x:c r="A46" s="32" t="str">
        <x:v>功能路径</x:v>
      </x:c>
      <x:c r="B46" s="32" t="str">
        <x:v>BF04</x:v>
      </x:c>
      <x:c r="C46" s="32" t="str">
        <x:v>共享→责任</x:v>
      </x:c>
      <x:c r="D46" s="32" t="str">
        <x:v>先形成现实共同安排，再把责任、角色和承诺固定下来。</x:v>
      </x:c>
      <x:c r="E46" s="32" t="str">
        <x:v>起点终点有效，存在连接或第二类独立证据。</x:v>
      </x:c>
      <x:c r="F46" s="32" t="str">
        <x:v>不得仅凭五行关系制造现实先后。</x:v>
      </x:c>
    </x:row>
    <x:row r="47">
      <x:c r="A47" s="32" t="str">
        <x:v>功能路径</x:v>
      </x:c>
      <x:c r="B47" s="32" t="str">
        <x:v>BF05</x:v>
      </x:c>
      <x:c r="C47" s="32" t="str">
        <x:v>兑现→安全</x:v>
      </x:c>
      <x:c r="D47" s="32" t="str">
        <x:v>通过持续守约、承担和行动兑现，形成愿意依托的安全感。</x:v>
      </x:c>
      <x:c r="E47" s="32" t="str">
        <x:v>起点终点有效，存在连接或第二类独立证据。</x:v>
      </x:c>
      <x:c r="F47" s="32" t="str">
        <x:v>不得仅凭五行关系制造现实先后。</x:v>
      </x:c>
    </x:row>
    <x:row r="48">
      <x:c r="A48" s="32" t="str">
        <x:v>功能路径</x:v>
      </x:c>
      <x:c r="B48" s="32" t="str">
        <x:v>BF06</x:v>
      </x:c>
      <x:c r="C48" s="32" t="str">
        <x:v>内化→说明</x:v>
      </x:c>
      <x:c r="D48" s="32" t="str">
        <x:v>先独立整理复杂感受和真正需要，再进行清楚、选择性的说明。</x:v>
      </x:c>
      <x:c r="E48" s="32" t="str">
        <x:v>起点终点有效，存在连接或第二类独立证据。</x:v>
      </x:c>
      <x:c r="F48" s="32" t="str">
        <x:v>不得仅凭五行关系制造现实先后。</x:v>
      </x:c>
    </x:row>
    <x:row r="49">
      <x:c r="A49" s="32" t="str">
        <x:v>功能路径</x:v>
      </x:c>
      <x:c r="B49" s="32" t="str">
        <x:v>BF07</x:v>
      </x:c>
      <x:c r="C49" s="32" t="str">
        <x:v>边界→资源共享</x:v>
      </x:c>
      <x:c r="D49" s="32" t="str">
        <x:v>先确认决定权和分工，再允许时间、金钱或生活资源进入共同范围。</x:v>
      </x:c>
      <x:c r="E49" s="32" t="str">
        <x:v>起点终点有效，存在连接或第二类独立证据。</x:v>
      </x:c>
      <x:c r="F49" s="32" t="str">
        <x:v>不得仅凭五行关系制造现实先后。</x:v>
      </x:c>
    </x:row>
    <x:row r="50">
      <x:c r="A50" s="32" t="str">
        <x:v>功能路径</x:v>
      </x:c>
      <x:c r="B50" s="32" t="str">
        <x:v>BF08</x:v>
      </x:c>
      <x:c r="C50" s="32" t="str">
        <x:v>止线→恢复靠近</x:v>
      </x:c>
      <x:c r="D50" s="32" t="str">
        <x:v>压力下先划定停止线或处理风险，稳定后再回到舒缓、理解和亲近。</x:v>
      </x:c>
      <x:c r="E50" s="32" t="str">
        <x:v>起点终点有效，存在连接或第二类独立证据。</x:v>
      </x:c>
      <x:c r="F50" s="32" t="str">
        <x:v>不得仅凭五行关系制造现实先后。</x:v>
      </x:c>
    </x:row>
    <x:row r="51">
      <x:c r="A51" s="32" t="str">
        <x:v>标准模板</x:v>
      </x:c>
      <x:c r="B51" s="32" t="str">
        <x:v>TMP01</x:v>
      </x:c>
      <x:c r="C51" s="32" t="str">
        <x:v>单通道</x:v>
      </x:c>
      <x:c r="D51" s="32" t="str">
        <x:v>你更习惯通过【主要通道】安排亲密与自主。通常会以【靠近节奏】逐步靠近，同时保留【空间／决定权】。当不舒服时，你更可能【拒绝或暂停方式】；你更容易接受【照顾边界】的支持。</x:v>
      </x:c>
      <x:c r="E51" s="32" t="str">
        <x:v>主通道可靠、主要维度明确。</x:v>
      </x:c>
      <x:c r="F51" s="32" t="str">
        <x:v>正文不得堆积超过一主一次。</x:v>
      </x:c>
    </x:row>
    <x:row r="52">
      <x:c r="A52" s="32" t="str">
        <x:v>标准模板</x:v>
      </x:c>
      <x:c r="B52" s="32" t="str">
        <x:v>TMP02</x:v>
      </x:c>
      <x:c r="C52" s="32" t="str">
        <x:v>双通道</x:v>
      </x:c>
      <x:c r="D52" s="32" t="str">
        <x:v>你的边界不是单一方式。你主要用【A】负责【靠近／共享】，同时用【B】负责【自主／停止／重订】。</x:v>
      </x:c>
      <x:c r="E52" s="32" t="str">
        <x:v>双层边界成立、功能分工清楚。</x:v>
      </x:c>
      <x:c r="F52" s="32" t="str">
        <x:v>不得写成性格矛盾或关系复杂。</x:v>
      </x:c>
    </x:row>
    <x:row r="53">
      <x:c r="A53" s="32" t="str">
        <x:v>标准模板</x:v>
      </x:c>
      <x:c r="B53" s="32" t="str">
        <x:v>TMP03</x:v>
      </x:c>
      <x:c r="C53" s="32" t="str">
        <x:v>低置信</x:v>
      </x:c>
      <x:c r="D53" s="32" t="str">
        <x:v>目前只能判断你更偏向【五系统方向】，但【关键不确定原因】仍会改变具体亲密距离和边界，因此不宜写成固定结论。</x:v>
      </x:c>
      <x:c r="E53" s="32" t="str">
        <x:v>基础争议或证据不足。</x:v>
      </x:c>
      <x:c r="F53" s="32" t="str">
        <x:v>不得为了完整硬写固定模式。</x:v>
      </x:c>
    </x:row>
    <x:row r="54">
      <x:c r="A54" s="28"/>
    </x:row>
    <x:row r="55">
      <x:c r="A55" s="28"/>
    </x:row>
    <x:row r="56">
      <x:c r="A56" s="28"/>
    </x:row>
    <x:row r="57">
      <x:c r="A57" s="28"/>
    </x:row>
    <x:row r="58">
      <x:c r="A58" s="28"/>
    </x:row>
    <x:row r="59">
      <x:c r="A59" s="28"/>
    </x:row>
    <x:row r="60">
      <x:c r="A60" s="28"/>
    </x:row>
    <x:row r="61">
      <x:c r="A61" s="28"/>
    </x:row>
    <x:row r="62">
      <x:c r="A62" s="28"/>
    </x:row>
    <x:row r="63">
      <x:c r="A63" s="28"/>
    </x:row>
    <x:row r="64">
      <x:c r="A64" s="28"/>
    </x:row>
    <x:row r="65">
      <x:c r="A65" s="28"/>
    </x:row>
    <x:row r="66">
      <x:c r="A66" s="28"/>
    </x:row>
    <x:row r="67">
      <x:c r="A67" s="28"/>
    </x:row>
    <x:row r="68">
      <x:c r="A68" s="28"/>
    </x:row>
    <x:row r="69">
      <x:c r="A69" s="28"/>
    </x:row>
    <x:row r="70">
      <x:c r="A70" s="28"/>
    </x:row>
    <x:row r="71">
      <x:c r="A71" s="28"/>
    </x:row>
    <x:row r="72">
      <x:c r="A72" s="28"/>
    </x:row>
    <x:row r="73">
      <x:c r="A73" s="28"/>
    </x:row>
    <x:row r="74">
      <x:c r="A74" s="28"/>
    </x:row>
    <x:row r="75">
      <x:c r="A75" s="28"/>
    </x:row>
    <x:row r="76">
      <x:c r="A76" s="28"/>
    </x:row>
    <x:row r="77">
      <x:c r="A77" s="28"/>
    </x:row>
    <x:row r="78">
      <x:c r="A78" s="28"/>
    </x:row>
    <x:row r="79">
      <x:c r="A79" s="28"/>
    </x:row>
    <x:row r="80">
      <x:c r="A80" s="28"/>
    </x:row>
    <x:row r="81">
      <x:c r="A81" s="28"/>
    </x:row>
    <x:row r="82">
      <x:c r="A82" s="28"/>
    </x:row>
    <x:row r="83">
      <x:c r="A83" s="28"/>
    </x:row>
    <x:row r="84">
      <x:c r="A84" s="28"/>
    </x:row>
    <x:row r="85">
      <x:c r="A85" s="28"/>
    </x:row>
    <x:row r="86">
      <x:c r="A86" s="28"/>
    </x:row>
    <x:row r="87">
      <x:c r="A87" s="28"/>
    </x:row>
    <x:row r="88">
      <x:c r="A88" s="28"/>
    </x:row>
    <x:row r="89">
      <x:c r="A89" s="28"/>
    </x:row>
    <x:row r="90">
      <x:c r="A90" s="28"/>
    </x:row>
    <x:row r="91">
      <x:c r="A91" s="28"/>
    </x:row>
    <x:row r="92">
      <x:c r="A92" s="28"/>
    </x:row>
    <x:row r="93">
      <x:c r="A93" s="28"/>
    </x:row>
    <x:row r="94">
      <x:c r="A94" s="28"/>
    </x:row>
    <x:row r="95">
      <x:c r="A95" s="28"/>
    </x:row>
    <x:row r="96">
      <x:c r="A96" s="28"/>
    </x:row>
    <x:row r="97">
      <x:c r="A97" s="28"/>
    </x:row>
    <x:row r="98">
      <x:c r="A98" s="28"/>
    </x:row>
    <x:row r="99">
      <x:c r="A99" s="28"/>
    </x:row>
    <x:row r="100">
      <x:c r="A100" s="28"/>
    </x:row>
    <x:row r="101">
      <x:c r="A101" s="28"/>
    </x:row>
    <x:row r="102">
      <x:c r="A102" s="28"/>
    </x:row>
    <x:row r="103">
      <x:c r="A103" s="28"/>
    </x:row>
    <x:row r="104">
      <x:c r="A104" s="28"/>
    </x:row>
    <x:row r="105">
      <x:c r="A105" s="28"/>
    </x:row>
    <x:row r="106">
      <x:c r="A106" s="28"/>
    </x:row>
    <x:row r="107">
      <x:c r="A107" s="28"/>
    </x:row>
    <x:row r="108">
      <x:c r="A108" s="28"/>
    </x:row>
    <x:row r="109">
      <x:c r="A109" s="28"/>
    </x:row>
    <x:row r="110">
      <x:c r="A110" s="28"/>
    </x:row>
    <x:row r="111">
      <x:c r="A111" s="28"/>
    </x:row>
    <x:row r="112">
      <x:c r="A112" s="28"/>
    </x:row>
    <x:row r="113">
      <x:c r="A113" s="28"/>
    </x:row>
    <x:row r="114">
      <x:c r="A114" s="28"/>
    </x:row>
    <x:row r="115">
      <x:c r="A115" s="28"/>
    </x:row>
    <x:row r="116">
      <x:c r="A116" s="28"/>
    </x:row>
    <x:row r="117">
      <x:c r="A117" s="28"/>
    </x:row>
    <x:row r="118">
      <x:c r="A118" s="28"/>
    </x:row>
    <x:row r="119">
      <x:c r="A119" s="28"/>
    </x:row>
    <x:row r="120">
      <x:c r="A120" s="28"/>
    </x:row>
    <x:row r="121">
      <x:c r="A121" s="28"/>
    </x:row>
    <x:row r="122">
      <x:c r="A122" s="28"/>
    </x:row>
    <x:row r="123">
      <x:c r="A123" s="28"/>
    </x:row>
    <x:row r="124">
      <x:c r="A124" s="28"/>
    </x:row>
    <x:row r="125">
      <x:c r="A125" s="28"/>
    </x:row>
    <x:row r="126">
      <x:c r="A126" s="28"/>
    </x:row>
    <x:row r="127">
      <x:c r="A127" s="28"/>
    </x:row>
    <x:row r="128">
      <x:c r="A128" s="28"/>
    </x:row>
    <x:row r="129">
      <x:c r="A129" s="28"/>
    </x:row>
    <x:row r="130">
      <x:c r="A130" s="28"/>
    </x:row>
    <x:row r="131">
      <x:c r="A131" s="28"/>
    </x:row>
    <x:row r="132">
      <x:c r="A132" s="28"/>
    </x:row>
    <x:row r="133">
      <x:c r="A133" s="28"/>
    </x:row>
    <x:row r="134">
      <x:c r="A134" s="28"/>
    </x:row>
    <x:row r="135">
      <x:c r="A135" s="28"/>
    </x:row>
    <x:row r="136">
      <x:c r="A136" s="28"/>
    </x:row>
    <x:row r="137">
      <x:c r="A137" s="28"/>
    </x:row>
    <x:row r="138">
      <x:c r="A138" s="28"/>
    </x:row>
    <x:row r="139">
      <x:c r="A139" s="28"/>
    </x:row>
    <x:row r="140">
      <x:c r="A140" s="28"/>
    </x:row>
    <x:row r="141">
      <x:c r="A141" s="28"/>
    </x:row>
    <x:row r="142">
      <x:c r="A142" s="28"/>
    </x:row>
    <x:row r="143">
      <x:c r="A143" s="28"/>
    </x:row>
    <x:row r="144">
      <x:c r="A144" s="28"/>
    </x:row>
    <x:row r="145">
      <x:c r="A145" s="28"/>
    </x:row>
    <x:row r="146">
      <x:c r="A146" s="28"/>
    </x:row>
    <x:row r="147">
      <x:c r="A147" s="28"/>
    </x:row>
    <x:row r="148">
      <x:c r="A148" s="28"/>
    </x:row>
    <x:row r="149">
      <x:c r="A149" s="28"/>
    </x:row>
    <x:row r="150">
      <x:c r="A150" s="28"/>
    </x:row>
    <x:row r="151">
      <x:c r="A151" s="28"/>
    </x:row>
    <x:row r="152">
      <x:c r="A152" s="28"/>
    </x:row>
    <x:row r="153">
      <x:c r="A153" s="28"/>
    </x:row>
    <x:row r="154">
      <x:c r="A154" s="28"/>
    </x:row>
    <x:row r="155">
      <x:c r="A155" s="28"/>
    </x:row>
    <x:row r="156">
      <x:c r="A156" s="28"/>
    </x:row>
    <x:row r="157">
      <x:c r="A157" s="28"/>
    </x:row>
    <x:row r="158">
      <x:c r="A158" s="28"/>
    </x:row>
    <x:row r="159">
      <x:c r="A159" s="28"/>
    </x:row>
    <x:row r="160">
      <x:c r="A160" s="28"/>
    </x:row>
    <x:row r="161">
      <x:c r="A161" s="28"/>
    </x:row>
    <x:row r="162">
      <x:c r="A162" s="28"/>
    </x:row>
    <x:row r="163">
      <x:c r="A163" s="28"/>
    </x:row>
    <x:row r="164">
      <x:c r="A164" s="28"/>
    </x:row>
    <x:row r="165">
      <x:c r="A165" s="28"/>
    </x:row>
    <x:row r="166">
      <x:c r="A166" s="28"/>
    </x:row>
    <x:row r="167">
      <x:c r="A167" s="28"/>
    </x:row>
    <x:row r="168">
      <x:c r="A168" s="28"/>
    </x:row>
    <x:row r="169">
      <x:c r="A169" s="28"/>
    </x:row>
    <x:row r="170">
      <x:c r="A170" s="28"/>
    </x:row>
    <x:row r="171">
      <x:c r="A171" s="28"/>
    </x:row>
    <x:row r="172">
      <x:c r="A172" s="28"/>
    </x:row>
    <x:row r="173">
      <x:c r="A173" s="28"/>
    </x:row>
    <x:row r="174">
      <x:c r="A174" s="28"/>
    </x:row>
    <x:row r="175">
      <x:c r="A175" s="28"/>
    </x:row>
    <x:row r="176">
      <x:c r="A176" s="28"/>
    </x:row>
    <x:row r="177">
      <x:c r="A177" s="28"/>
    </x:row>
    <x:row r="178">
      <x:c r="A178" s="28"/>
    </x:row>
    <x:row r="179">
      <x:c r="A179" s="28"/>
    </x:row>
    <x:row r="180">
      <x:c r="A180" s="28"/>
    </x:row>
    <x:row r="181">
      <x:c r="A181" s="28"/>
    </x:row>
    <x:row r="182">
      <x:c r="A182" s="28"/>
    </x:row>
    <x:row r="183">
      <x:c r="A183" s="28"/>
    </x:row>
    <x:row r="184">
      <x:c r="A184" s="28"/>
    </x:row>
    <x:row r="185">
      <x:c r="A185" s="28"/>
    </x:row>
    <x:row r="186">
      <x:c r="A186" s="28"/>
    </x:row>
    <x:row r="187">
      <x:c r="A187" s="28"/>
    </x:row>
    <x:row r="188">
      <x:c r="A188" s="28"/>
    </x:row>
    <x:row r="189">
      <x:c r="A189" s="28"/>
    </x:row>
    <x:row r="190">
      <x:c r="A190" s="28"/>
    </x:row>
    <x:row r="191">
      <x:c r="A191" s="28"/>
    </x:row>
    <x:row r="192">
      <x:c r="A192" s="28"/>
    </x:row>
    <x:row r="193">
      <x:c r="A193" s="28"/>
    </x:row>
    <x:row r="194">
      <x:c r="A194" s="28"/>
    </x:row>
    <x:row r="195">
      <x:c r="A195" s="28"/>
    </x:row>
    <x:row r="196">
      <x:c r="A196" s="28"/>
    </x:row>
    <x:row r="197">
      <x:c r="A197" s="28"/>
    </x:row>
    <x:row r="198">
      <x:c r="A198" s="28"/>
    </x:row>
    <x:row r="199">
      <x:c r="A199" s="28"/>
    </x:row>
    <x:row r="200">
      <x:c r="A200" s="28"/>
    </x:row>
    <x:row r="201">
      <x:c r="A201" s="28"/>
    </x:row>
    <x:row r="202">
      <x:c r="A202" s="28"/>
    </x:row>
    <x:row r="203">
      <x:c r="A203" s="28"/>
    </x:row>
    <x:row r="204">
      <x:c r="A204" s="28"/>
    </x:row>
    <x:row r="205">
      <x:c r="A205" s="28"/>
    </x:row>
    <x:row r="206">
      <x:c r="A206" s="28"/>
    </x:row>
    <x:row r="207">
      <x:c r="A207" s="28"/>
    </x:row>
    <x:row r="208">
      <x:c r="A208" s="28"/>
    </x:row>
    <x:row r="209">
      <x:c r="A209" s="28"/>
    </x:row>
    <x:row r="210">
      <x:c r="A210" s="28"/>
    </x:row>
    <x:row r="211">
      <x:c r="A211" s="28"/>
    </x:row>
    <x:row r="212">
      <x:c r="A212" s="28"/>
    </x:row>
    <x:row r="213">
      <x:c r="A213" s="28"/>
    </x:row>
    <x:row r="214">
      <x:c r="A214" s="28"/>
    </x:row>
    <x:row r="215">
      <x:c r="A215" s="28"/>
    </x:row>
    <x:row r="216">
      <x:c r="A216" s="28"/>
    </x:row>
    <x:row r="217">
      <x:c r="A217" s="28"/>
    </x:row>
    <x:row r="218">
      <x:c r="A218" s="28"/>
    </x:row>
    <x:row r="219">
      <x:c r="A219" s="28"/>
    </x:row>
    <x:row r="220">
      <x:c r="A220" s="28"/>
    </x:row>
    <x:row r="221">
      <x:c r="A221" s="28"/>
    </x:row>
    <x:row r="222">
      <x:c r="A222" s="28"/>
    </x:row>
    <x:row r="223">
      <x:c r="A223" s="28"/>
    </x:row>
    <x:row r="224">
      <x:c r="A224" s="28"/>
    </x:row>
    <x:row r="225">
      <x:c r="A225" s="28"/>
    </x:row>
    <x:row r="226">
      <x:c r="A226" s="28"/>
    </x:row>
    <x:row r="227">
      <x:c r="A227" s="28"/>
    </x:row>
    <x:row r="228">
      <x:c r="A228" s="28"/>
    </x:row>
    <x:row r="229">
      <x:c r="A229" s="28"/>
    </x:row>
    <x:row r="230">
      <x:c r="A230" s="28"/>
    </x:row>
    <x:row r="231">
      <x:c r="A231" s="28"/>
    </x:row>
    <x:row r="232">
      <x:c r="A232" s="28"/>
    </x:row>
    <x:row r="233">
      <x:c r="A233" s="28"/>
    </x:row>
    <x:row r="234">
      <x:c r="A234" s="28"/>
    </x:row>
    <x:row r="235">
      <x:c r="A235" s="28"/>
    </x:row>
    <x:row r="236">
      <x:c r="A236" s="28"/>
    </x:row>
    <x:row r="237">
      <x:c r="A237" s="28"/>
    </x:row>
    <x:row r="238">
      <x:c r="A238" s="28"/>
    </x:row>
    <x:row r="239">
      <x:c r="A239" s="28"/>
    </x:row>
    <x:row r="240">
      <x:c r="A240" s="28"/>
    </x:row>
    <x:row r="241">
      <x:c r="A241" s="28"/>
    </x:row>
    <x:row r="242">
      <x:c r="A242" s="28"/>
    </x:row>
    <x:row r="243">
      <x:c r="A243" s="28"/>
    </x:row>
    <x:row r="244">
      <x:c r="A244" s="28"/>
    </x:row>
    <x:row r="245">
      <x:c r="A245" s="28"/>
    </x:row>
    <x:row r="246">
      <x:c r="A246" s="28"/>
    </x:row>
    <x:row r="247">
      <x:c r="A247" s="28"/>
    </x:row>
    <x:row r="248">
      <x:c r="A248" s="28"/>
    </x:row>
    <x:row r="249">
      <x:c r="A249" s="28"/>
    </x:row>
    <x:row r="250">
      <x:c r="A250" s="28"/>
    </x:row>
    <x:row r="251">
      <x:c r="A251" s="28"/>
    </x:row>
    <x:row r="252">
      <x:c r="A252" s="28"/>
    </x:row>
    <x:row r="253">
      <x:c r="A253" s="28"/>
    </x:row>
    <x:row r="254">
      <x:c r="A254" s="28"/>
    </x:row>
    <x:row r="255">
      <x:c r="A255" s="28"/>
    </x:row>
    <x:row r="256">
      <x:c r="A256" s="28"/>
    </x:row>
    <x:row r="257">
      <x:c r="A257" s="28"/>
    </x:row>
    <x:row r="258">
      <x:c r="A258" s="28"/>
    </x:row>
    <x:row r="259">
      <x:c r="A259" s="28"/>
    </x:row>
    <x:row r="260">
      <x:c r="A260" s="28"/>
    </x:row>
    <x:row r="261">
      <x:c r="A261" s="28"/>
    </x:row>
    <x:row r="262">
      <x:c r="A262" s="28"/>
    </x:row>
    <x:row r="263">
      <x:c r="A263" s="28"/>
    </x:row>
    <x:row r="264">
      <x:c r="A264" s="28"/>
    </x:row>
    <x:row r="265">
      <x:c r="A265" s="28"/>
    </x:row>
    <x:row r="266">
      <x:c r="A266" s="28"/>
    </x:row>
    <x:row r="267">
      <x:c r="A267" s="28"/>
    </x:row>
    <x:row r="268">
      <x:c r="A268" s="28"/>
    </x:row>
    <x:row r="269">
      <x:c r="A269" s="28"/>
    </x:row>
    <x:row r="270">
      <x:c r="A270" s="28"/>
    </x:row>
    <x:row r="271">
      <x:c r="A271" s="28"/>
    </x:row>
    <x:row r="272">
      <x:c r="A272" s="28"/>
    </x:row>
    <x:row r="273">
      <x:c r="A273" s="28"/>
    </x:row>
    <x:row r="274">
      <x:c r="A274" s="28"/>
    </x:row>
    <x:row r="275">
      <x:c r="A275" s="28"/>
    </x:row>
    <x:row r="276">
      <x:c r="A276" s="28"/>
    </x:row>
    <x:row r="277">
      <x:c r="A277" s="28"/>
    </x:row>
    <x:row r="278">
      <x:c r="A278" s="28"/>
    </x:row>
    <x:row r="279">
      <x:c r="A279" s="28"/>
    </x:row>
    <x:row r="280">
      <x:c r="A280" s="28"/>
    </x:row>
    <x:row r="281">
      <x:c r="A281" s="28"/>
    </x:row>
    <x:row r="282">
      <x:c r="A282" s="28"/>
    </x:row>
    <x:row r="283">
      <x:c r="A283" s="28"/>
    </x:row>
    <x:row r="284">
      <x:c r="A284" s="28"/>
    </x:row>
    <x:row r="285">
      <x:c r="A285" s="28"/>
    </x:row>
    <x:row r="286">
      <x:c r="A286" s="28"/>
    </x:row>
    <x:row r="287">
      <x:c r="A287" s="28"/>
    </x:row>
    <x:row r="288">
      <x:c r="A288" s="28"/>
    </x:row>
    <x:row r="289">
      <x:c r="A289" s="28"/>
    </x:row>
    <x:row r="290">
      <x:c r="A290" s="28"/>
    </x:row>
    <x:row r="291">
      <x:c r="A291" s="28"/>
    </x:row>
    <x:row r="292">
      <x:c r="A292" s="28"/>
    </x:row>
    <x:row r="293">
      <x:c r="A293" s="28"/>
    </x:row>
    <x:row r="294">
      <x:c r="A294" s="28"/>
    </x:row>
    <x:row r="295">
      <x:c r="A295" s="28"/>
    </x:row>
    <x:row r="296">
      <x:c r="A296" s="28"/>
    </x:row>
    <x:row r="297">
      <x:c r="A297" s="28"/>
    </x:row>
    <x:row r="298">
      <x:c r="A298" s="28"/>
    </x:row>
    <x:row r="299">
      <x:c r="A299" s="28"/>
    </x:row>
    <x:row r="300">
      <x:c r="A300" s="28"/>
    </x:row>
    <x:row r="301">
      <x:c r="A301" s="28"/>
    </x:row>
    <x:row r="302">
      <x:c r="A302" s="28"/>
    </x:row>
    <x:row r="303">
      <x:c r="A303" s="28"/>
    </x:row>
    <x:row r="304">
      <x:c r="A304" s="28"/>
    </x:row>
    <x:row r="305">
      <x:c r="A305" s="28"/>
    </x:row>
    <x:row r="306">
      <x:c r="A306" s="28"/>
    </x:row>
    <x:row r="307">
      <x:c r="A307" s="28"/>
    </x:row>
    <x:row r="308">
      <x:c r="A308" s="28"/>
    </x:row>
    <x:row r="309">
      <x:c r="A309" s="28"/>
    </x:row>
    <x:row r="310">
      <x:c r="A310" s="28"/>
    </x:row>
    <x:row r="311">
      <x:c r="A311" s="28"/>
    </x:row>
    <x:row r="312">
      <x:c r="A312" s="28"/>
    </x:row>
    <x:row r="313">
      <x:c r="A313" s="28"/>
    </x:row>
    <x:row r="314">
      <x:c r="A314" s="28"/>
    </x:row>
    <x:row r="315">
      <x:c r="A315" s="28"/>
    </x:row>
    <x:row r="316">
      <x:c r="A316" s="28"/>
    </x:row>
    <x:row r="317">
      <x:c r="A317" s="28"/>
    </x:row>
    <x:row r="318">
      <x:c r="A318" s="28"/>
    </x:row>
    <x:row r="319">
      <x:c r="A319" s="28"/>
    </x:row>
    <x:row r="320">
      <x:c r="A320" s="28"/>
    </x:row>
    <x:row r="321">
      <x:c r="A321" s="28"/>
    </x:row>
    <x:row r="322">
      <x:c r="A322" s="28"/>
    </x:row>
    <x:row r="323">
      <x:c r="A323" s="28"/>
    </x:row>
    <x:row r="324">
      <x:c r="A324" s="28"/>
    </x:row>
    <x:row r="325">
      <x:c r="A325" s="28"/>
    </x:row>
    <x:row r="326">
      <x:c r="A326" s="28"/>
    </x:row>
    <x:row r="327">
      <x:c r="A327" s="28"/>
    </x:row>
    <x:row r="328">
      <x:c r="A328" s="28"/>
    </x:row>
    <x:row r="329">
      <x:c r="A329" s="28"/>
    </x:row>
    <x:row r="330">
      <x:c r="A330" s="28"/>
    </x:row>
    <x:row r="331">
      <x:c r="A331" s="28"/>
    </x:row>
    <x:row r="332">
      <x:c r="A332" s="28"/>
    </x:row>
    <x:row r="333">
      <x:c r="A333" s="28"/>
    </x:row>
    <x:row r="334">
      <x:c r="A334" s="28"/>
    </x:row>
    <x:row r="335">
      <x:c r="A335" s="28"/>
    </x:row>
    <x:row r="336">
      <x:c r="A336" s="28"/>
    </x:row>
    <x:row r="337">
      <x:c r="A337" s="28"/>
    </x:row>
    <x:row r="338">
      <x:c r="A338" s="28"/>
    </x:row>
    <x:row r="339">
      <x:c r="A339" s="28"/>
    </x:row>
    <x:row r="340">
      <x:c r="A340" s="28"/>
    </x:row>
    <x:row r="341">
      <x:c r="A341" s="28"/>
    </x:row>
    <x:row r="342">
      <x:c r="A342" s="28"/>
    </x:row>
    <x:row r="343">
      <x:c r="A343" s="28"/>
    </x:row>
    <x:row r="344">
      <x:c r="A344" s="28"/>
    </x:row>
    <x:row r="345">
      <x:c r="A345" s="28"/>
    </x:row>
    <x:row r="346">
      <x:c r="A346" s="28"/>
    </x:row>
    <x:row r="347">
      <x:c r="A347" s="28"/>
    </x:row>
    <x:row r="348">
      <x:c r="A348" s="28"/>
    </x:row>
    <x:row r="349">
      <x:c r="A349" s="28"/>
    </x:row>
    <x:row r="350">
      <x:c r="A350" s="28"/>
    </x:row>
    <x:row r="351">
      <x:c r="A351" s="28"/>
    </x:row>
    <x:row r="352">
      <x:c r="A352" s="28"/>
    </x:row>
    <x:row r="353">
      <x:c r="A353" s="28"/>
    </x:row>
    <x:row r="354">
      <x:c r="A354" s="28"/>
    </x:row>
    <x:row r="355">
      <x:c r="A355" s="28"/>
    </x:row>
    <x:row r="356">
      <x:c r="A356" s="28"/>
    </x:row>
    <x:row r="357">
      <x:c r="A357" s="28"/>
    </x:row>
    <x:row r="358">
      <x:c r="A358" s="28"/>
    </x:row>
    <x:row r="359">
      <x:c r="A359" s="28"/>
    </x:row>
    <x:row r="360">
      <x:c r="A360" s="28"/>
    </x:row>
    <x:row r="361">
      <x:c r="A361" s="28"/>
    </x:row>
    <x:row r="362">
      <x:c r="A362" s="28"/>
    </x:row>
    <x:row r="363">
      <x:c r="A363" s="28"/>
    </x:row>
    <x:row r="364">
      <x:c r="A364" s="28"/>
    </x:row>
    <x:row r="365">
      <x:c r="A365" s="28"/>
    </x:row>
    <x:row r="366">
      <x:c r="A366" s="28"/>
    </x:row>
    <x:row r="367">
      <x:c r="A367" s="28"/>
    </x:row>
    <x:row r="368">
      <x:c r="A368" s="28"/>
    </x:row>
    <x:row r="369">
      <x:c r="A369" s="28"/>
    </x:row>
    <x:row r="370">
      <x:c r="A370" s="28"/>
    </x:row>
    <x:row r="371">
      <x:c r="A371" s="28"/>
    </x:row>
    <x:row r="372">
      <x:c r="A372" s="28"/>
    </x:row>
    <x:row r="373">
      <x:c r="A373" s="28"/>
    </x:row>
    <x:row r="374">
      <x:c r="A374" s="28"/>
    </x:row>
    <x:row r="375">
      <x:c r="A375" s="28"/>
    </x:row>
    <x:row r="376">
      <x:c r="A376" s="28"/>
    </x:row>
    <x:row r="377">
      <x:c r="A377" s="28"/>
    </x:row>
    <x:row r="378">
      <x:c r="A378" s="28"/>
    </x:row>
    <x:row r="379">
      <x:c r="A379" s="28"/>
    </x:row>
    <x:row r="380">
      <x:c r="A380" s="28"/>
    </x:row>
    <x:row r="381">
      <x:c r="A381" s="28"/>
    </x:row>
    <x:row r="382">
      <x:c r="A382" s="28"/>
    </x:row>
    <x:row r="383">
      <x:c r="A383" s="28"/>
    </x:row>
    <x:row r="384">
      <x:c r="A384" s="28"/>
    </x:row>
    <x:row r="385">
      <x:c r="A385" s="28"/>
    </x:row>
    <x:row r="386">
      <x:c r="A386" s="28"/>
    </x:row>
    <x:row r="387">
      <x:c r="A387" s="28"/>
    </x:row>
    <x:row r="388">
      <x:c r="A388" s="28"/>
    </x:row>
    <x:row r="389">
      <x:c r="A389" s="28"/>
    </x:row>
    <x:row r="390">
      <x:c r="A390" s="28"/>
    </x:row>
    <x:row r="391">
      <x:c r="A391" s="28"/>
    </x:row>
    <x:row r="392">
      <x:c r="A392" s="28"/>
    </x:row>
    <x:row r="393">
      <x:c r="A393" s="28"/>
    </x:row>
    <x:row r="394">
      <x:c r="A394" s="28"/>
    </x:row>
    <x:row r="395">
      <x:c r="A395" s="28"/>
    </x:row>
    <x:row r="396">
      <x:c r="A396" s="28"/>
    </x:row>
    <x:row r="397">
      <x:c r="A397" s="28"/>
    </x:row>
    <x:row r="398">
      <x:c r="A398" s="28"/>
    </x:row>
    <x:row r="399">
      <x:c r="A399" s="28"/>
    </x:row>
    <x:row r="400">
      <x:c r="A400" s="28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c8c32844766451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34" hidden="0" customWidth="1"/>
    <x:col min="4" max="4" width="24" hidden="0" customWidth="1"/>
    <x:col min="5" max="5" width="20" hidden="0" customWidth="1"/>
    <x:col min="6" max="6" width="20" hidden="0" customWidth="1"/>
    <x:col min="7" max="7" width="20" hidden="0" customWidth="1"/>
    <x:col min="8" max="8" width="22" hidden="0" customWidth="1"/>
    <x:col min="9" max="9" width="30" hidden="0" customWidth="1"/>
    <x:col min="10" max="10" width="24" hidden="0" customWidth="1"/>
    <x:col min="11" max="11" width="18" hidden="0" customWidth="1"/>
    <x:col min="12" max="12" width="45" hidden="0" customWidth="1"/>
    <x:col min="13" max="13" width="42" hidden="0" customWidth="1"/>
    <x:col min="14" max="14" width="14" hidden="0" customWidth="1"/>
    <x:col min="15" max="15" width="18" hidden="0" customWidth="1"/>
    <x:col min="16" max="16" width="24" hidden="0" customWidth="1"/>
    <x:col min="17" max="17" width="18" hidden="0" customWidth="1"/>
    <x:col min="18" max="18" width="28" hidden="0" customWidth="1"/>
  </x:cols>
  <x:sheetData>
    <x:row r="1" ht="28" customHeight="1">
      <x:c r="A1" s="38" t="str">
        <x:v>M3-BOUND案例验证矩阵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32" customHeight="1">
      <x:c r="A2" s="13" t="str">
        <x:v>用真实关系经历和伴侣反馈校准规则。一次事件不能替代长期边界模式。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3">
      <x:c r="A3" s="28"/>
    </x:row>
    <x:row r="4">
      <x:c r="A4" s="22" t="str">
        <x:v>case_id</x:v>
      </x:c>
      <x:c r="B4" s="22" t="str">
        <x:v>案例状态</x:v>
      </x:c>
      <x:c r="C4" s="22" t="str">
        <x:v>八字关键信号</x:v>
      </x:c>
      <x:c r="D4" s="22" t="str">
        <x:v>BASE底盘</x:v>
      </x:c>
      <x:c r="E4" s="22" t="str">
        <x:v>主BOUND通道</x:v>
      </x:c>
      <x:c r="F4" s="22" t="str">
        <x:v>次BOUND通道</x:v>
      </x:c>
      <x:c r="G4" s="22" t="str">
        <x:v>靠近节奏</x:v>
      </x:c>
      <x:c r="H4" s="22" t="str">
        <x:v>空间／自主</x:v>
      </x:c>
      <x:c r="I4" s="22" t="str">
        <x:v>需求／拒绝</x:v>
      </x:c>
      <x:c r="J4" s="22" t="str">
        <x:v>接受照顾</x:v>
      </x:c>
      <x:c r="K4" s="22" t="str">
        <x:v>宫位动态</x:v>
      </x:c>
      <x:c r="L4" s="22" t="str">
        <x:v>预测输出</x:v>
      </x:c>
      <x:c r="M4" s="22" t="str">
        <x:v>用户反馈</x:v>
      </x:c>
      <x:c r="N4" s="22" t="str">
        <x:v>匹配程度</x:v>
      </x:c>
      <x:c r="O4" s="22" t="str">
        <x:v>偏差类型</x:v>
      </x:c>
      <x:c r="P4" s="22" t="str">
        <x:v>涉及规则ID</x:v>
      </x:c>
      <x:c r="Q4" s="22" t="str">
        <x:v>处理动作</x:v>
      </x:c>
      <x:c r="R4" s="22" t="str">
        <x:v>备注</x:v>
      </x:c>
    </x:row>
    <x:row r="5">
      <x:c r="A5" s="32" t="str">
        <x:v>M3B-CASE-001</x:v>
      </x:c>
      <x:c r="B5" s="32" t="str">
        <x:v>示例</x:v>
      </x:c>
      <x:c r="C5" s="32" t="str">
        <x:v>日支比肩；正印有效；比肩有根</x:v>
      </x:c>
      <x:c r="D5" s="32" t="str">
        <x:v>平等伙伴底盘</x:v>
      </x:c>
      <x:c r="E5" s="32" t="str">
        <x:v>BD01 平等自主</x:v>
      </x:c>
      <x:c r="F5" s="32" t="str">
        <x:v>BD09 安全依托</x:v>
      </x:c>
      <x:c r="G5" s="32" t="str">
        <x:v>DR03 信任后开放</x:v>
      </x:c>
      <x:c r="H5" s="32" t="str">
        <x:v>D01自主保留</x:v>
      </x:c>
      <x:c r="I5" s="32" t="str">
        <x:v>N01直接具体／R02协商调整</x:v>
      </x:c>
      <x:c r="J5" s="32" t="str">
        <x:v>C02保留参与权</x:v>
      </x:c>
      <x:c r="K5" s="32" t="str">
        <x:v>无</x:v>
      </x:c>
      <x:c r="L5" s="32" t="str">
        <x:v>愿意依托但保留决定权</x:v>
      </x:c>
      <x:c r="M5" s="32" t="str"/>
      <x:c r="N5" s="32" t="str">
        <x:v>待验证</x:v>
      </x:c>
      <x:c r="O5" s="32" t="str"/>
      <x:c r="P5" s="32" t="str">
        <x:v>M3-BOUND-021;M3-BOUND-077;M3-BOUND-157</x:v>
      </x:c>
      <x:c r="Q5" s="32" t="str">
        <x:v>待访谈</x:v>
      </x:c>
      <x:c r="R5" s="32" t="str"/>
    </x:row>
    <x:row r="6">
      <x:c r="A6" s="32" t="str">
        <x:v>M3B-CASE-002</x:v>
      </x:c>
      <x:c r="B6" s="32" t="str">
        <x:v>示例</x:v>
      </x:c>
      <x:c r="C6" s="32" t="str">
        <x:v>日支食神；伤官透干有根</x:v>
      </x:c>
      <x:c r="D6" s="32" t="str">
        <x:v>舒缓陪伴底盘</x:v>
      </x:c>
      <x:c r="E6" s="32" t="str">
        <x:v>BD03 舒适靠近</x:v>
      </x:c>
      <x:c r="F6" s="32" t="str">
        <x:v>BD04 清楚协商</x:v>
      </x:c>
      <x:c r="G6" s="32" t="str">
        <x:v>DR02渐进熟悉</x:v>
      </x:c>
      <x:c r="H6" s="32" t="str">
        <x:v>S03共享优先</x:v>
      </x:c>
      <x:c r="I6" s="32" t="str">
        <x:v>N02温和铺垫／R02协商调整</x:v>
      </x:c>
      <x:c r="J6" s="32" t="str">
        <x:v>C01直接接收</x:v>
      </x:c>
      <x:c r="K6" s="32" t="str">
        <x:v>无</x:v>
      </x:c>
      <x:c r="L6" s="32" t="str">
        <x:v>日常温和，重要议题说清</x:v>
      </x:c>
      <x:c r="M6" s="32" t="str"/>
      <x:c r="N6" s="32" t="str">
        <x:v>待验证</x:v>
      </x:c>
      <x:c r="O6" s="32" t="str"/>
      <x:c r="P6" s="32" t="str">
        <x:v>M3-BOUND-035;M3-BOUND-042;M3-BOUND-156</x:v>
      </x:c>
      <x:c r="Q6" s="32" t="str">
        <x:v>待访谈</x:v>
      </x:c>
      <x:c r="R6" s="32" t="str"/>
    </x:row>
    <x:row r="7">
      <x:c r="A7" s="32" t="str">
        <x:v>M3B-CASE-003</x:v>
      </x:c>
      <x:c r="B7" s="32" t="str">
        <x:v>示例</x:v>
      </x:c>
      <x:c r="C7" s="32" t="str">
        <x:v>正财近位；正官有效</x:v>
      </x:c>
      <x:c r="D7" s="32" t="str">
        <x:v>稳定经营底盘</x:v>
      </x:c>
      <x:c r="E7" s="32" t="str">
        <x:v>BD05 稳定共享</x:v>
      </x:c>
      <x:c r="F7" s="32" t="str">
        <x:v>BD07 规则角色</x:v>
      </x:c>
      <x:c r="G7" s="32" t="str">
        <x:v>DR06稳定共享</x:v>
      </x:c>
      <x:c r="H7" s="32" t="str">
        <x:v>D03角色分工</x:v>
      </x:c>
      <x:c r="I7" s="32" t="str">
        <x:v>N01直接具体／G02定期协商</x:v>
      </x:c>
      <x:c r="J7" s="32" t="str">
        <x:v>C03先验证</x:v>
      </x:c>
      <x:c r="K7" s="32" t="str">
        <x:v>合而不化</x:v>
      </x:c>
      <x:c r="L7" s="32" t="str">
        <x:v>通过安排和分工稳定共享</x:v>
      </x:c>
      <x:c r="M7" s="32" t="str"/>
      <x:c r="N7" s="32" t="str">
        <x:v>待验证</x:v>
      </x:c>
      <x:c r="O7" s="32" t="str"/>
      <x:c r="P7" s="32" t="str">
        <x:v>M3-BOUND-049;M3-BOUND-063;M3-BOUND-160</x:v>
      </x:c>
      <x:c r="Q7" s="32" t="str">
        <x:v>待访谈</x:v>
      </x:c>
      <x:c r="R7" s="32" t="str"/>
    </x:row>
    <x:row r="8">
      <x:c r="A8" s="32" t="str">
        <x:v>M3B-CASE-004</x:v>
      </x:c>
      <x:c r="B8" s="32" t="str">
        <x:v>示例</x:v>
      </x:c>
      <x:c r="C8" s="32" t="str">
        <x:v>偏印主气；比肩有根</x:v>
      </x:c>
      <x:c r="D8" s="32" t="str">
        <x:v>深度内化底盘</x:v>
      </x:c>
      <x:c r="E8" s="32" t="str">
        <x:v>BD10选择性空间</x:v>
      </x:c>
      <x:c r="F8" s="32" t="str">
        <x:v>BD01平等自主</x:v>
      </x:c>
      <x:c r="G8" s="32" t="str">
        <x:v>DR03信任后开放</x:v>
      </x:c>
      <x:c r="H8" s="32" t="str">
        <x:v>S01稳定空间</x:v>
      </x:c>
      <x:c r="I8" s="32" t="str">
        <x:v>N03先整理／R03延后确认</x:v>
      </x:c>
      <x:c r="J8" s="32" t="str">
        <x:v>C04选择性接收</x:v>
      </x:c>
      <x:c r="K8" s="32" t="str">
        <x:v>无</x:v>
      </x:c>
      <x:c r="L8" s="32" t="str">
        <x:v>选择性开放且保留判断</x:v>
      </x:c>
      <x:c r="M8" s="32" t="str"/>
      <x:c r="N8" s="32" t="str">
        <x:v>待验证</x:v>
      </x:c>
      <x:c r="O8" s="32" t="str"/>
      <x:c r="P8" s="32" t="str">
        <x:v>M3-BOUND-084;M3-BOUND-021;M3-BOUND-157</x:v>
      </x:c>
      <x:c r="Q8" s="32" t="str">
        <x:v>待访谈</x:v>
      </x:c>
      <x:c r="R8" s="32" t="str"/>
    </x:row>
    <x:row r="9">
      <x:c r="A9" s="32" t="str">
        <x:v>M3B-CASE-005</x:v>
      </x:c>
      <x:c r="B9" s="32" t="str">
        <x:v>示例</x:v>
      </x:c>
      <x:c r="C9" s="32" t="str">
        <x:v>日支冲；正官通道有效</x:v>
      </x:c>
      <x:c r="D9" s="32" t="str">
        <x:v>责任维护底盘</x:v>
      </x:c>
      <x:c r="E9" s="32" t="str">
        <x:v>BD07规则角色</x:v>
      </x:c>
      <x:c r="F9" s="32" t="str"/>
      <x:c r="G9" s="32" t="str">
        <x:v>DR05靠近—空间交替</x:v>
      </x:c>
      <x:c r="H9" s="32" t="str">
        <x:v>D03角色分工</x:v>
      </x:c>
      <x:c r="I9" s="32" t="str">
        <x:v>G01即时调整</x:v>
      </x:c>
      <x:c r="J9" s="32" t="str">
        <x:v>C03先验证</x:v>
      </x:c>
      <x:c r="K9" s="32" t="str">
        <x:v>冲</x:v>
      </x:c>
      <x:c r="L9" s="32" t="str">
        <x:v>现实变化后及时重订规则</x:v>
      </x:c>
      <x:c r="M9" s="32" t="str"/>
      <x:c r="N9" s="32" t="str">
        <x:v>待验证</x:v>
      </x:c>
      <x:c r="O9" s="32" t="str"/>
      <x:c r="P9" s="32" t="str">
        <x:v>M3-BOUND-063;M3-BOUND-184;M3-BOUND-185</x:v>
      </x:c>
      <x:c r="Q9" s="32" t="str">
        <x:v>待访谈</x:v>
      </x:c>
      <x:c r="R9" s="32" t="str"/>
    </x:row>
    <x:row r="10">
      <x:c r="A10" s="32" t="str">
        <x:v>M3B-CASE-006</x:v>
      </x:c>
      <x:c r="B10" s="32" t="str">
        <x:v>示例</x:v>
      </x:c>
      <x:c r="C10" s="32" t="str">
        <x:v>日支合而不化；正印、正财有效</x:v>
      </x:c>
      <x:c r="D10" s="32" t="str">
        <x:v>安全承接底盘</x:v>
      </x:c>
      <x:c r="E10" s="32" t="str">
        <x:v>BD09安全依托</x:v>
      </x:c>
      <x:c r="F10" s="32" t="str">
        <x:v>BD05稳定共享</x:v>
      </x:c>
      <x:c r="G10" s="32" t="str">
        <x:v>DR06稳定共享</x:v>
      </x:c>
      <x:c r="H10" s="32" t="str">
        <x:v>S03共享优先</x:v>
      </x:c>
      <x:c r="I10" s="32" t="str">
        <x:v>N02温和铺垫</x:v>
      </x:c>
      <x:c r="J10" s="32" t="str">
        <x:v>C01直接接收</x:v>
      </x:c>
      <x:c r="K10" s="32" t="str">
        <x:v>合</x:v>
      </x:c>
      <x:c r="L10" s="32" t="str">
        <x:v>共享安全与现实安排协调</x:v>
      </x:c>
      <x:c r="M10" s="32" t="str"/>
      <x:c r="N10" s="32" t="str">
        <x:v>待验证</x:v>
      </x:c>
      <x:c r="O10" s="32" t="str"/>
      <x:c r="P10" s="32" t="str">
        <x:v>M3-BOUND-077;M3-BOUND-049;M3-BOUND-179</x:v>
      </x:c>
      <x:c r="Q10" s="32" t="str">
        <x:v>待访谈</x:v>
      </x:c>
      <x:c r="R10" s="32" t="str"/>
    </x:row>
    <x:row r="11">
      <x:c r="A11" s="32" t="str">
        <x:v>M3B-CASE-007</x:v>
      </x:c>
      <x:c r="B11" s="32" t="str">
        <x:v>示例</x:v>
      </x:c>
      <x:c r="C11" s="32" t="str">
        <x:v>七杀强；食神可用；压力状态明显</x:v>
      </x:c>
      <x:c r="D11" s="32" t="str">
        <x:v>行动解决底盘</x:v>
      </x:c>
      <x:c r="E11" s="32" t="str">
        <x:v>BD08决断保护</x:v>
      </x:c>
      <x:c r="F11" s="32" t="str">
        <x:v>BD03舒适靠近</x:v>
      </x:c>
      <x:c r="G11" s="32" t="str">
        <x:v>DR05靠近—空间交替</x:v>
      </x:c>
      <x:c r="H11" s="32" t="str">
        <x:v>D02双方协商</x:v>
      </x:c>
      <x:c r="I11" s="32" t="str">
        <x:v>R01直接明确／T02处理后回归</x:v>
      </x:c>
      <x:c r="J11" s="32" t="str">
        <x:v>C01直接接收</x:v>
      </x:c>
      <x:c r="K11" s="32" t="str">
        <x:v>无</x:v>
      </x:c>
      <x:c r="L11" s="32" t="str">
        <x:v>压力先止线，稳定后回到舒缓</x:v>
      </x:c>
      <x:c r="M11" s="32" t="str"/>
      <x:c r="N11" s="32" t="str">
        <x:v>待验证</x:v>
      </x:c>
      <x:c r="O11" s="32" t="str"/>
      <x:c r="P11" s="32" t="str">
        <x:v>M3-BOUND-070;M3-BOUND-035;M3-BOUND-178</x:v>
      </x:c>
      <x:c r="Q11" s="32" t="str">
        <x:v>待访谈</x:v>
      </x:c>
      <x:c r="R11" s="32" t="str"/>
    </x:row>
    <x:row r="12">
      <x:c r="A12" s="32" t="str">
        <x:v>M3B-CASE-008</x:v>
      </x:c>
      <x:c r="B12" s="32" t="str">
        <x:v>示例</x:v>
      </x:c>
      <x:c r="C12" s="32" t="str">
        <x:v>日支主气或真合化存在争议</x:v>
      </x:c>
      <x:c r="D12" s="32" t="str">
        <x:v>未定</x:v>
      </x:c>
      <x:c r="E12" s="32" t="str"/>
      <x:c r="F12" s="32" t="str"/>
      <x:c r="G12" s="32" t="str"/>
      <x:c r="H12" s="32" t="str"/>
      <x:c r="I12" s="32" t="str"/>
      <x:c r="J12" s="32" t="str"/>
      <x:c r="K12" s="32" t="str"/>
      <x:c r="L12" s="32" t="str">
        <x:v>仅回退到五系统方向</x:v>
      </x:c>
      <x:c r="M12" s="32" t="str"/>
      <x:c r="N12" s="32" t="str">
        <x:v>信息不足</x:v>
      </x:c>
      <x:c r="O12" s="32" t="str">
        <x:v>基础状态</x:v>
      </x:c>
      <x:c r="P12" s="32" t="str">
        <x:v>M3-BOUND-003;M3-BOUND-243;M3-BOUND-257</x:v>
      </x:c>
      <x:c r="Q12" s="32" t="str">
        <x:v>停止细化</x:v>
      </x:c>
      <x:c r="R12" s="32" t="str"/>
    </x:row>
    <x:row r="13">
      <x:c r="A13" s="32" t="str">
        <x:v>M3B-CASE-009</x:v>
      </x:c>
      <x:c r="B13" s="32" t="str">
        <x:v>待填写</x:v>
      </x:c>
      <x:c r="C13" s="32" t="str"/>
      <x:c r="D13" s="32" t="str"/>
      <x:c r="E13" s="32" t="str"/>
      <x:c r="F13" s="32" t="str"/>
      <x:c r="G13" s="32" t="str"/>
      <x:c r="H13" s="32" t="str"/>
      <x:c r="I13" s="32" t="str"/>
      <x:c r="J13" s="32" t="str"/>
      <x:c r="K13" s="32" t="str"/>
      <x:c r="L13" s="32" t="str"/>
      <x:c r="M13" s="32" t="str"/>
      <x:c r="N13" s="32" t="str"/>
      <x:c r="O13" s="32" t="str"/>
      <x:c r="P13" s="32" t="str"/>
      <x:c r="Q13" s="32" t="str"/>
      <x:c r="R13" s="32" t="str"/>
    </x:row>
    <x:row r="14">
      <x:c r="A14" s="32" t="str">
        <x:v>M3B-CASE-010</x:v>
      </x:c>
      <x:c r="B14" s="32" t="str">
        <x:v>待填写</x:v>
      </x:c>
      <x:c r="C14" s="32" t="str"/>
      <x:c r="D14" s="32" t="str"/>
      <x:c r="E14" s="32" t="str"/>
      <x:c r="F14" s="32" t="str"/>
      <x:c r="G14" s="32" t="str"/>
      <x:c r="H14" s="32" t="str"/>
      <x:c r="I14" s="32" t="str"/>
      <x:c r="J14" s="32" t="str"/>
      <x:c r="K14" s="32" t="str"/>
      <x:c r="L14" s="32" t="str"/>
      <x:c r="M14" s="32" t="str"/>
      <x:c r="N14" s="32" t="str"/>
      <x:c r="O14" s="32" t="str"/>
      <x:c r="P14" s="32" t="str"/>
      <x:c r="Q14" s="32" t="str"/>
      <x:c r="R14" s="32" t="str"/>
    </x:row>
    <x:row r="15">
      <x:c r="A15" s="32" t="str">
        <x:v>M3B-CASE-011</x:v>
      </x:c>
      <x:c r="B15" s="32" t="str">
        <x:v>待填写</x:v>
      </x:c>
      <x:c r="C15" s="32" t="str"/>
      <x:c r="D15" s="32" t="str"/>
      <x:c r="E15" s="32" t="str"/>
      <x:c r="F15" s="32" t="str"/>
      <x:c r="G15" s="32" t="str"/>
      <x:c r="H15" s="32" t="str"/>
      <x:c r="I15" s="32" t="str"/>
      <x:c r="J15" s="32" t="str"/>
      <x:c r="K15" s="32" t="str"/>
      <x:c r="L15" s="32" t="str"/>
      <x:c r="M15" s="32" t="str"/>
      <x:c r="N15" s="32" t="str"/>
      <x:c r="O15" s="32" t="str"/>
      <x:c r="P15" s="32" t="str"/>
      <x:c r="Q15" s="32" t="str"/>
      <x:c r="R15" s="32" t="str"/>
    </x:row>
    <x:row r="16">
      <x:c r="A16" s="32" t="str">
        <x:v>M3B-CASE-012</x:v>
      </x:c>
      <x:c r="B16" s="32" t="str">
        <x:v>待填写</x:v>
      </x:c>
      <x:c r="C16" s="32" t="str"/>
      <x:c r="D16" s="32" t="str"/>
      <x:c r="E16" s="32" t="str"/>
      <x:c r="F16" s="32" t="str"/>
      <x:c r="G16" s="32" t="str"/>
      <x:c r="H16" s="32" t="str"/>
      <x:c r="I16" s="32" t="str"/>
      <x:c r="J16" s="32" t="str"/>
      <x:c r="K16" s="32" t="str"/>
      <x:c r="L16" s="32" t="str"/>
      <x:c r="M16" s="32" t="str"/>
      <x:c r="N16" s="32" t="str"/>
      <x:c r="O16" s="32" t="str"/>
      <x:c r="P16" s="32" t="str"/>
      <x:c r="Q16" s="32" t="str"/>
      <x:c r="R16" s="32" t="str"/>
    </x:row>
    <x:row r="17">
      <x:c r="A17" s="32" t="str">
        <x:v>M3B-CASE-013</x:v>
      </x:c>
      <x:c r="B17" s="32" t="str">
        <x:v>待填写</x:v>
      </x:c>
      <x:c r="C17" s="32" t="str"/>
      <x:c r="D17" s="32" t="str"/>
      <x:c r="E17" s="32" t="str"/>
      <x:c r="F17" s="32" t="str"/>
      <x:c r="G17" s="32" t="str"/>
      <x:c r="H17" s="32" t="str"/>
      <x:c r="I17" s="32" t="str"/>
      <x:c r="J17" s="32" t="str"/>
      <x:c r="K17" s="32" t="str"/>
      <x:c r="L17" s="32" t="str"/>
      <x:c r="M17" s="32" t="str"/>
      <x:c r="N17" s="32" t="str"/>
      <x:c r="O17" s="32" t="str"/>
      <x:c r="P17" s="32" t="str"/>
      <x:c r="Q17" s="32" t="str"/>
      <x:c r="R17" s="32" t="str"/>
    </x:row>
    <x:row r="18">
      <x:c r="A18" s="32" t="str">
        <x:v>M3B-CASE-014</x:v>
      </x:c>
      <x:c r="B18" s="32" t="str">
        <x:v>待填写</x:v>
      </x:c>
      <x:c r="C18" s="32" t="str"/>
      <x:c r="D18" s="32" t="str"/>
      <x:c r="E18" s="32" t="str"/>
      <x:c r="F18" s="32" t="str"/>
      <x:c r="G18" s="32" t="str"/>
      <x:c r="H18" s="32" t="str"/>
      <x:c r="I18" s="32" t="str"/>
      <x:c r="J18" s="32" t="str"/>
      <x:c r="K18" s="32" t="str"/>
      <x:c r="L18" s="32" t="str"/>
      <x:c r="M18" s="32" t="str"/>
      <x:c r="N18" s="32" t="str"/>
      <x:c r="O18" s="32" t="str"/>
      <x:c r="P18" s="32" t="str"/>
      <x:c r="Q18" s="32" t="str"/>
      <x:c r="R18" s="32" t="str"/>
    </x:row>
    <x:row r="19">
      <x:c r="A19" s="32" t="str">
        <x:v>M3B-CASE-015</x:v>
      </x:c>
      <x:c r="B19" s="32" t="str">
        <x:v>待填写</x:v>
      </x:c>
      <x:c r="C19" s="32" t="str"/>
      <x:c r="D19" s="32" t="str"/>
      <x:c r="E19" s="32" t="str"/>
      <x:c r="F19" s="32" t="str"/>
      <x:c r="G19" s="32" t="str"/>
      <x:c r="H19" s="32" t="str"/>
      <x:c r="I19" s="32" t="str"/>
      <x:c r="J19" s="32" t="str"/>
      <x:c r="K19" s="32" t="str"/>
      <x:c r="L19" s="32" t="str"/>
      <x:c r="M19" s="32" t="str"/>
      <x:c r="N19" s="32" t="str"/>
      <x:c r="O19" s="32" t="str"/>
      <x:c r="P19" s="32" t="str"/>
      <x:c r="Q19" s="32" t="str"/>
      <x:c r="R19" s="32" t="str"/>
    </x:row>
    <x:row r="20">
      <x:c r="A20" s="32" t="str">
        <x:v>M3B-CASE-016</x:v>
      </x:c>
      <x:c r="B20" s="32" t="str">
        <x:v>待填写</x:v>
      </x:c>
      <x:c r="C20" s="32" t="str"/>
      <x:c r="D20" s="32" t="str"/>
      <x:c r="E20" s="32" t="str"/>
      <x:c r="F20" s="32" t="str"/>
      <x:c r="G20" s="32" t="str"/>
      <x:c r="H20" s="32" t="str"/>
      <x:c r="I20" s="32" t="str"/>
      <x:c r="J20" s="32" t="str"/>
      <x:c r="K20" s="32" t="str"/>
      <x:c r="L20" s="32" t="str"/>
      <x:c r="M20" s="32" t="str"/>
      <x:c r="N20" s="32" t="str"/>
      <x:c r="O20" s="32" t="str"/>
      <x:c r="P20" s="32" t="str"/>
      <x:c r="Q20" s="32" t="str"/>
      <x:c r="R20" s="32" t="str"/>
    </x:row>
    <x:row r="21">
      <x:c r="A21" s="32" t="str">
        <x:v>M3B-CASE-017</x:v>
      </x:c>
      <x:c r="B21" s="32" t="str">
        <x:v>待填写</x:v>
      </x:c>
      <x:c r="C21" s="32" t="str"/>
      <x:c r="D21" s="32" t="str"/>
      <x:c r="E21" s="32" t="str"/>
      <x:c r="F21" s="32" t="str"/>
      <x:c r="G21" s="32" t="str"/>
      <x:c r="H21" s="32" t="str"/>
      <x:c r="I21" s="32" t="str"/>
      <x:c r="J21" s="32" t="str"/>
      <x:c r="K21" s="32" t="str"/>
      <x:c r="L21" s="32" t="str"/>
      <x:c r="M21" s="32" t="str"/>
      <x:c r="N21" s="32" t="str"/>
      <x:c r="O21" s="32" t="str"/>
      <x:c r="P21" s="32" t="str"/>
      <x:c r="Q21" s="32" t="str"/>
      <x:c r="R21" s="32" t="str"/>
    </x:row>
    <x:row r="22">
      <x:c r="A22" s="32" t="str">
        <x:v>M3B-CASE-018</x:v>
      </x:c>
      <x:c r="B22" s="32" t="str">
        <x:v>待填写</x:v>
      </x:c>
      <x:c r="C22" s="32" t="str"/>
      <x:c r="D22" s="32" t="str"/>
      <x:c r="E22" s="32" t="str"/>
      <x:c r="F22" s="32" t="str"/>
      <x:c r="G22" s="32" t="str"/>
      <x:c r="H22" s="32" t="str"/>
      <x:c r="I22" s="32" t="str"/>
      <x:c r="J22" s="32" t="str"/>
      <x:c r="K22" s="32" t="str"/>
      <x:c r="L22" s="32" t="str"/>
      <x:c r="M22" s="32" t="str"/>
      <x:c r="N22" s="32" t="str"/>
      <x:c r="O22" s="32" t="str"/>
      <x:c r="P22" s="32" t="str"/>
      <x:c r="Q22" s="32" t="str"/>
      <x:c r="R22" s="32" t="str"/>
    </x:row>
    <x:row r="23">
      <x:c r="A23" s="32" t="str">
        <x:v>M3B-CASE-019</x:v>
      </x:c>
      <x:c r="B23" s="32" t="str">
        <x:v>待填写</x:v>
      </x:c>
      <x:c r="C23" s="32" t="str"/>
      <x:c r="D23" s="32" t="str"/>
      <x:c r="E23" s="32" t="str"/>
      <x:c r="F23" s="32" t="str"/>
      <x:c r="G23" s="32" t="str"/>
      <x:c r="H23" s="32" t="str"/>
      <x:c r="I23" s="32" t="str"/>
      <x:c r="J23" s="32" t="str"/>
      <x:c r="K23" s="32" t="str"/>
      <x:c r="L23" s="32" t="str"/>
      <x:c r="M23" s="32" t="str"/>
      <x:c r="N23" s="32" t="str"/>
      <x:c r="O23" s="32" t="str"/>
      <x:c r="P23" s="32" t="str"/>
      <x:c r="Q23" s="32" t="str"/>
      <x:c r="R23" s="32" t="str"/>
    </x:row>
    <x:row r="24">
      <x:c r="A24" s="32" t="str">
        <x:v>M3B-CASE-020</x:v>
      </x:c>
      <x:c r="B24" s="32" t="str">
        <x:v>待填写</x:v>
      </x:c>
      <x:c r="C24" s="32" t="str"/>
      <x:c r="D24" s="32" t="str"/>
      <x:c r="E24" s="32" t="str"/>
      <x:c r="F24" s="32" t="str"/>
      <x:c r="G24" s="32" t="str"/>
      <x:c r="H24" s="32" t="str"/>
      <x:c r="I24" s="32" t="str"/>
      <x:c r="J24" s="32" t="str"/>
      <x:c r="K24" s="32" t="str"/>
      <x:c r="L24" s="32" t="str"/>
      <x:c r="M24" s="32" t="str"/>
      <x:c r="N24" s="32" t="str"/>
      <x:c r="O24" s="32" t="str"/>
      <x:c r="P24" s="32" t="str"/>
      <x:c r="Q24" s="32" t="str"/>
      <x:c r="R24" s="32" t="str"/>
    </x:row>
    <x:row r="25">
      <x:c r="A25" s="32" t="str">
        <x:v>M3B-CASE-021</x:v>
      </x:c>
      <x:c r="B25" s="32" t="str">
        <x:v>待填写</x:v>
      </x:c>
      <x:c r="C25" s="32" t="str"/>
      <x:c r="D25" s="32" t="str"/>
      <x:c r="E25" s="32" t="str"/>
      <x:c r="F25" s="32" t="str"/>
      <x:c r="G25" s="32" t="str"/>
      <x:c r="H25" s="32" t="str"/>
      <x:c r="I25" s="32" t="str"/>
      <x:c r="J25" s="32" t="str"/>
      <x:c r="K25" s="32" t="str"/>
      <x:c r="L25" s="32" t="str"/>
      <x:c r="M25" s="32" t="str"/>
      <x:c r="N25" s="32" t="str"/>
      <x:c r="O25" s="32" t="str"/>
      <x:c r="P25" s="32" t="str"/>
      <x:c r="Q25" s="32" t="str"/>
      <x:c r="R25" s="32" t="str"/>
    </x:row>
    <x:row r="26">
      <x:c r="A26" s="32" t="str">
        <x:v>M3B-CASE-022</x:v>
      </x:c>
      <x:c r="B26" s="32" t="str">
        <x:v>待填写</x:v>
      </x:c>
      <x:c r="C26" s="32" t="str"/>
      <x:c r="D26" s="32" t="str"/>
      <x:c r="E26" s="32" t="str"/>
      <x:c r="F26" s="32" t="str"/>
      <x:c r="G26" s="32" t="str"/>
      <x:c r="H26" s="32" t="str"/>
      <x:c r="I26" s="32" t="str"/>
      <x:c r="J26" s="32" t="str"/>
      <x:c r="K26" s="32" t="str"/>
      <x:c r="L26" s="32" t="str"/>
      <x:c r="M26" s="32" t="str"/>
      <x:c r="N26" s="32" t="str"/>
      <x:c r="O26" s="32" t="str"/>
      <x:c r="P26" s="32" t="str"/>
      <x:c r="Q26" s="32" t="str"/>
      <x:c r="R26" s="32" t="str"/>
    </x:row>
    <x:row r="27">
      <x:c r="A27" s="32" t="str">
        <x:v>M3B-CASE-023</x:v>
      </x:c>
      <x:c r="B27" s="32" t="str">
        <x:v>待填写</x:v>
      </x:c>
      <x:c r="C27" s="32" t="str"/>
      <x:c r="D27" s="32" t="str"/>
      <x:c r="E27" s="32" t="str"/>
      <x:c r="F27" s="32" t="str"/>
      <x:c r="G27" s="32" t="str"/>
      <x:c r="H27" s="32" t="str"/>
      <x:c r="I27" s="32" t="str"/>
      <x:c r="J27" s="32" t="str"/>
      <x:c r="K27" s="32" t="str"/>
      <x:c r="L27" s="32" t="str"/>
      <x:c r="M27" s="32" t="str"/>
      <x:c r="N27" s="32" t="str"/>
      <x:c r="O27" s="32" t="str"/>
      <x:c r="P27" s="32" t="str"/>
      <x:c r="Q27" s="32" t="str"/>
      <x:c r="R27" s="32" t="str"/>
    </x:row>
    <x:row r="28">
      <x:c r="A28" s="32" t="str">
        <x:v>M3B-CASE-024</x:v>
      </x:c>
      <x:c r="B28" s="32" t="str">
        <x:v>待填写</x:v>
      </x:c>
      <x:c r="C28" s="32" t="str"/>
      <x:c r="D28" s="32" t="str"/>
      <x:c r="E28" s="32" t="str"/>
      <x:c r="F28" s="32" t="str"/>
      <x:c r="G28" s="32" t="str"/>
      <x:c r="H28" s="32" t="str"/>
      <x:c r="I28" s="32" t="str"/>
      <x:c r="J28" s="32" t="str"/>
      <x:c r="K28" s="32" t="str"/>
      <x:c r="L28" s="32" t="str"/>
      <x:c r="M28" s="32" t="str"/>
      <x:c r="N28" s="32" t="str"/>
      <x:c r="O28" s="32" t="str"/>
      <x:c r="P28" s="32" t="str"/>
      <x:c r="Q28" s="32" t="str"/>
      <x:c r="R28" s="32" t="str"/>
    </x:row>
    <x:row r="29">
      <x:c r="A29" s="32" t="str">
        <x:v>M3B-CASE-025</x:v>
      </x:c>
      <x:c r="B29" s="32" t="str">
        <x:v>待填写</x:v>
      </x:c>
      <x:c r="C29" s="32" t="str"/>
      <x:c r="D29" s="32" t="str"/>
      <x:c r="E29" s="32" t="str"/>
      <x:c r="F29" s="32" t="str"/>
      <x:c r="G29" s="32" t="str"/>
      <x:c r="H29" s="32" t="str"/>
      <x:c r="I29" s="32" t="str"/>
      <x:c r="J29" s="32" t="str"/>
      <x:c r="K29" s="32" t="str"/>
      <x:c r="L29" s="32" t="str"/>
      <x:c r="M29" s="32" t="str"/>
      <x:c r="N29" s="32" t="str"/>
      <x:c r="O29" s="32" t="str"/>
      <x:c r="P29" s="32" t="str"/>
      <x:c r="Q29" s="32" t="str"/>
      <x:c r="R29" s="32" t="str"/>
    </x:row>
    <x:row r="30">
      <x:c r="A30" s="32" t="str">
        <x:v>M3B-CASE-026</x:v>
      </x:c>
      <x:c r="B30" s="32" t="str">
        <x:v>待填写</x:v>
      </x:c>
      <x:c r="C30" s="32" t="str"/>
      <x:c r="D30" s="32" t="str"/>
      <x:c r="E30" s="32" t="str"/>
      <x:c r="F30" s="32" t="str"/>
      <x:c r="G30" s="32" t="str"/>
      <x:c r="H30" s="32" t="str"/>
      <x:c r="I30" s="32" t="str"/>
      <x:c r="J30" s="32" t="str"/>
      <x:c r="K30" s="32" t="str"/>
      <x:c r="L30" s="32" t="str"/>
      <x:c r="M30" s="32" t="str"/>
      <x:c r="N30" s="32" t="str"/>
      <x:c r="O30" s="32" t="str"/>
      <x:c r="P30" s="32" t="str"/>
      <x:c r="Q30" s="32" t="str"/>
      <x:c r="R30" s="32" t="str"/>
    </x:row>
    <x:row r="31">
      <x:c r="A31" s="32" t="str">
        <x:v>M3B-CASE-027</x:v>
      </x:c>
      <x:c r="B31" s="32" t="str">
        <x:v>待填写</x:v>
      </x:c>
      <x:c r="C31" s="32" t="str"/>
      <x:c r="D31" s="32" t="str"/>
      <x:c r="E31" s="32" t="str"/>
      <x:c r="F31" s="32" t="str"/>
      <x:c r="G31" s="32" t="str"/>
      <x:c r="H31" s="32" t="str"/>
      <x:c r="I31" s="32" t="str"/>
      <x:c r="J31" s="32" t="str"/>
      <x:c r="K31" s="32" t="str"/>
      <x:c r="L31" s="32" t="str"/>
      <x:c r="M31" s="32" t="str"/>
      <x:c r="N31" s="32" t="str"/>
      <x:c r="O31" s="32" t="str"/>
      <x:c r="P31" s="32" t="str"/>
      <x:c r="Q31" s="32" t="str"/>
      <x:c r="R31" s="32" t="str"/>
    </x:row>
    <x:row r="32">
      <x:c r="A32" s="32" t="str">
        <x:v>M3B-CASE-028</x:v>
      </x:c>
      <x:c r="B32" s="32" t="str">
        <x:v>待填写</x:v>
      </x:c>
      <x:c r="C32" s="32" t="str"/>
      <x:c r="D32" s="32" t="str"/>
      <x:c r="E32" s="32" t="str"/>
      <x:c r="F32" s="32" t="str"/>
      <x:c r="G32" s="32" t="str"/>
      <x:c r="H32" s="32" t="str"/>
      <x:c r="I32" s="32" t="str"/>
      <x:c r="J32" s="32" t="str"/>
      <x:c r="K32" s="32" t="str"/>
      <x:c r="L32" s="32" t="str"/>
      <x:c r="M32" s="32" t="str"/>
      <x:c r="N32" s="32" t="str"/>
      <x:c r="O32" s="32" t="str"/>
      <x:c r="P32" s="32" t="str"/>
      <x:c r="Q32" s="32" t="str"/>
      <x:c r="R32" s="32" t="str"/>
    </x:row>
    <x:row r="33">
      <x:c r="A33" s="28"/>
    </x:row>
    <x:row r="34">
      <x:c r="A34" s="28"/>
    </x:row>
    <x:row r="35">
      <x:c r="A35" s="28"/>
    </x:row>
    <x:row r="36">
      <x:c r="A36" s="28"/>
    </x:row>
    <x:row r="37">
      <x:c r="A37" s="28"/>
    </x:row>
    <x:row r="38">
      <x:c r="A38" s="28"/>
    </x:row>
    <x:row r="39">
      <x:c r="A39" s="28"/>
    </x:row>
    <x:row r="40">
      <x:c r="A40" s="28"/>
    </x:row>
    <x:row r="41">
      <x:c r="A41" s="28"/>
    </x:row>
    <x:row r="42">
      <x:c r="A42" s="28"/>
    </x:row>
    <x:row r="43">
      <x:c r="A43" s="28"/>
    </x:row>
    <x:row r="44">
      <x:c r="A44" s="28"/>
    </x:row>
    <x:row r="45">
      <x:c r="A45" s="28"/>
    </x:row>
    <x:row r="46">
      <x:c r="A46" s="28"/>
    </x:row>
    <x:row r="47">
      <x:c r="A47" s="28"/>
    </x:row>
    <x:row r="48">
      <x:c r="A48" s="28"/>
    </x:row>
    <x:row r="49">
      <x:c r="A49" s="28"/>
    </x:row>
    <x:row r="50">
      <x:c r="A50" s="28"/>
    </x:row>
    <x:row r="51">
      <x:c r="A51" s="28"/>
    </x:row>
    <x:row r="52">
      <x:c r="A52" s="28"/>
    </x:row>
    <x:row r="53">
      <x:c r="A53" s="28"/>
    </x:row>
    <x:row r="54">
      <x:c r="A54" s="28"/>
    </x:row>
    <x:row r="55">
      <x:c r="A55" s="28"/>
    </x:row>
    <x:row r="56">
      <x:c r="A56" s="28"/>
    </x:row>
    <x:row r="57">
      <x:c r="A57" s="28"/>
    </x:row>
    <x:row r="58">
      <x:c r="A58" s="28"/>
    </x:row>
    <x:row r="59">
      <x:c r="A59" s="28"/>
    </x:row>
    <x:row r="60">
      <x:c r="A60" s="28"/>
    </x:row>
    <x:row r="61">
      <x:c r="A61" s="28"/>
    </x:row>
    <x:row r="62">
      <x:c r="A62" s="28"/>
    </x:row>
    <x:row r="63">
      <x:c r="A63" s="28"/>
    </x:row>
    <x:row r="64">
      <x:c r="A64" s="28"/>
    </x:row>
    <x:row r="65">
      <x:c r="A65" s="28"/>
    </x:row>
    <x:row r="66">
      <x:c r="A66" s="28"/>
    </x:row>
    <x:row r="67">
      <x:c r="A67" s="28"/>
    </x:row>
    <x:row r="68">
      <x:c r="A68" s="28"/>
    </x:row>
    <x:row r="69">
      <x:c r="A69" s="28"/>
    </x:row>
    <x:row r="70">
      <x:c r="A70" s="28"/>
    </x:row>
    <x:row r="71">
      <x:c r="A71" s="28"/>
    </x:row>
    <x:row r="72">
      <x:c r="A72" s="28"/>
    </x:row>
    <x:row r="73">
      <x:c r="A73" s="28"/>
    </x:row>
    <x:row r="74">
      <x:c r="A74" s="28"/>
    </x:row>
    <x:row r="75">
      <x:c r="A75" s="28"/>
    </x:row>
    <x:row r="76">
      <x:c r="A76" s="28"/>
    </x:row>
    <x:row r="77">
      <x:c r="A77" s="28"/>
    </x:row>
    <x:row r="78">
      <x:c r="A78" s="28"/>
    </x:row>
    <x:row r="79">
      <x:c r="A79" s="28"/>
    </x:row>
    <x:row r="80">
      <x:c r="A80" s="28"/>
    </x:row>
    <x:row r="81">
      <x:c r="A81" s="28"/>
    </x:row>
    <x:row r="82">
      <x:c r="A82" s="28"/>
    </x:row>
    <x:row r="83">
      <x:c r="A83" s="28"/>
    </x:row>
    <x:row r="84">
      <x:c r="A84" s="28"/>
    </x:row>
    <x:row r="85">
      <x:c r="A85" s="28"/>
    </x:row>
    <x:row r="86">
      <x:c r="A86" s="28"/>
    </x:row>
    <x:row r="87">
      <x:c r="A87" s="28"/>
    </x:row>
    <x:row r="88">
      <x:c r="A88" s="28"/>
    </x:row>
    <x:row r="89">
      <x:c r="A89" s="28"/>
    </x:row>
    <x:row r="90">
      <x:c r="A90" s="28"/>
    </x:row>
    <x:row r="91">
      <x:c r="A91" s="28"/>
    </x:row>
    <x:row r="92">
      <x:c r="A92" s="28"/>
    </x:row>
    <x:row r="93">
      <x:c r="A93" s="28"/>
    </x:row>
    <x:row r="94">
      <x:c r="A94" s="28"/>
    </x:row>
    <x:row r="95">
      <x:c r="A95" s="28"/>
    </x:row>
    <x:row r="96">
      <x:c r="A96" s="28"/>
    </x:row>
    <x:row r="97">
      <x:c r="A97" s="28"/>
    </x:row>
    <x:row r="98">
      <x:c r="A98" s="28"/>
    </x:row>
    <x:row r="99">
      <x:c r="A99" s="28"/>
    </x:row>
    <x:row r="100">
      <x:c r="A100" s="28"/>
    </x:row>
    <x:row r="101">
      <x:c r="A101" s="28"/>
    </x:row>
    <x:row r="102">
      <x:c r="A102" s="28"/>
    </x:row>
    <x:row r="103">
      <x:c r="A103" s="28"/>
    </x:row>
    <x:row r="104">
      <x:c r="A104" s="28"/>
    </x:row>
    <x:row r="105">
      <x:c r="A105" s="28"/>
    </x:row>
    <x:row r="106">
      <x:c r="A106" s="28"/>
    </x:row>
    <x:row r="107">
      <x:c r="A107" s="28"/>
    </x:row>
    <x:row r="108">
      <x:c r="A108" s="28"/>
    </x:row>
    <x:row r="109">
      <x:c r="A109" s="28"/>
    </x:row>
    <x:row r="110">
      <x:c r="A110" s="28"/>
    </x:row>
    <x:row r="111">
      <x:c r="A111" s="28"/>
    </x:row>
    <x:row r="112">
      <x:c r="A112" s="28"/>
    </x:row>
    <x:row r="113">
      <x:c r="A113" s="28"/>
    </x:row>
    <x:row r="114">
      <x:c r="A114" s="28"/>
    </x:row>
    <x:row r="115">
      <x:c r="A115" s="28"/>
    </x:row>
    <x:row r="116">
      <x:c r="A116" s="28"/>
    </x:row>
    <x:row r="117">
      <x:c r="A117" s="28"/>
    </x:row>
    <x:row r="118">
      <x:c r="A118" s="28"/>
    </x:row>
    <x:row r="119">
      <x:c r="A119" s="28"/>
    </x:row>
    <x:row r="120">
      <x:c r="A120" s="28"/>
    </x:row>
    <x:row r="121">
      <x:c r="A121" s="28"/>
    </x:row>
    <x:row r="122">
      <x:c r="A122" s="28"/>
    </x:row>
    <x:row r="123">
      <x:c r="A123" s="28"/>
    </x:row>
    <x:row r="124">
      <x:c r="A124" s="28"/>
    </x:row>
    <x:row r="125">
      <x:c r="A125" s="28"/>
    </x:row>
    <x:row r="126">
      <x:c r="A126" s="28"/>
    </x:row>
    <x:row r="127">
      <x:c r="A127" s="28"/>
    </x:row>
    <x:row r="128">
      <x:c r="A128" s="28"/>
    </x:row>
    <x:row r="129">
      <x:c r="A129" s="28"/>
    </x:row>
    <x:row r="130">
      <x:c r="A130" s="28"/>
    </x:row>
    <x:row r="131">
      <x:c r="A131" s="28"/>
    </x:row>
    <x:row r="132">
      <x:c r="A132" s="28"/>
    </x:row>
    <x:row r="133">
      <x:c r="A133" s="28"/>
    </x:row>
    <x:row r="134">
      <x:c r="A134" s="28"/>
    </x:row>
    <x:row r="135">
      <x:c r="A135" s="28"/>
    </x:row>
    <x:row r="136">
      <x:c r="A136" s="28"/>
    </x:row>
    <x:row r="137">
      <x:c r="A137" s="28"/>
    </x:row>
    <x:row r="138">
      <x:c r="A138" s="28"/>
    </x:row>
    <x:row r="139">
      <x:c r="A139" s="28"/>
    </x:row>
    <x:row r="140">
      <x:c r="A140" s="28"/>
    </x:row>
    <x:row r="141">
      <x:c r="A141" s="28"/>
    </x:row>
    <x:row r="142">
      <x:c r="A142" s="28"/>
    </x:row>
    <x:row r="143">
      <x:c r="A143" s="28"/>
    </x:row>
    <x:row r="144">
      <x:c r="A144" s="28"/>
    </x:row>
    <x:row r="145">
      <x:c r="A145" s="28"/>
    </x:row>
    <x:row r="146">
      <x:c r="A146" s="28"/>
    </x:row>
    <x:row r="147">
      <x:c r="A147" s="28"/>
    </x:row>
    <x:row r="148">
      <x:c r="A148" s="28"/>
    </x:row>
    <x:row r="149">
      <x:c r="A149" s="28"/>
    </x:row>
    <x:row r="150">
      <x:c r="A150" s="28"/>
    </x:row>
    <x:row r="151">
      <x:c r="A151" s="28"/>
    </x:row>
    <x:row r="152">
      <x:c r="A152" s="28"/>
    </x:row>
    <x:row r="153">
      <x:c r="A153" s="28"/>
    </x:row>
    <x:row r="154">
      <x:c r="A154" s="28"/>
    </x:row>
    <x:row r="155">
      <x:c r="A155" s="28"/>
    </x:row>
    <x:row r="156">
      <x:c r="A156" s="28"/>
    </x:row>
    <x:row r="157">
      <x:c r="A157" s="28"/>
    </x:row>
    <x:row r="158">
      <x:c r="A158" s="28"/>
    </x:row>
    <x:row r="159">
      <x:c r="A159" s="28"/>
    </x:row>
    <x:row r="160">
      <x:c r="A160" s="28"/>
    </x:row>
    <x:row r="161">
      <x:c r="A161" s="28"/>
    </x:row>
    <x:row r="162">
      <x:c r="A162" s="28"/>
    </x:row>
    <x:row r="163">
      <x:c r="A163" s="28"/>
    </x:row>
    <x:row r="164">
      <x:c r="A164" s="28"/>
    </x:row>
    <x:row r="165">
      <x:c r="A165" s="28"/>
    </x:row>
    <x:row r="166">
      <x:c r="A166" s="28"/>
    </x:row>
    <x:row r="167">
      <x:c r="A167" s="28"/>
    </x:row>
    <x:row r="168">
      <x:c r="A168" s="28"/>
    </x:row>
    <x:row r="169">
      <x:c r="A169" s="28"/>
    </x:row>
    <x:row r="170">
      <x:c r="A170" s="28"/>
    </x:row>
    <x:row r="171">
      <x:c r="A171" s="28"/>
    </x:row>
    <x:row r="172">
      <x:c r="A172" s="28"/>
    </x:row>
    <x:row r="173">
      <x:c r="A173" s="28"/>
    </x:row>
    <x:row r="174">
      <x:c r="A174" s="28"/>
    </x:row>
    <x:row r="175">
      <x:c r="A175" s="28"/>
    </x:row>
    <x:row r="176">
      <x:c r="A176" s="28"/>
    </x:row>
    <x:row r="177">
      <x:c r="A177" s="28"/>
    </x:row>
    <x:row r="178">
      <x:c r="A178" s="28"/>
    </x:row>
    <x:row r="179">
      <x:c r="A179" s="28"/>
    </x:row>
    <x:row r="180">
      <x:c r="A180" s="28"/>
    </x:row>
    <x:row r="181">
      <x:c r="A181" s="28"/>
    </x:row>
    <x:row r="182">
      <x:c r="A182" s="28"/>
    </x:row>
    <x:row r="183">
      <x:c r="A183" s="28"/>
    </x:row>
    <x:row r="184">
      <x:c r="A184" s="28"/>
    </x:row>
    <x:row r="185">
      <x:c r="A185" s="28"/>
    </x:row>
    <x:row r="186">
      <x:c r="A186" s="28"/>
    </x:row>
    <x:row r="187">
      <x:c r="A187" s="28"/>
    </x:row>
    <x:row r="188">
      <x:c r="A188" s="28"/>
    </x:row>
    <x:row r="189">
      <x:c r="A189" s="28"/>
    </x:row>
    <x:row r="190">
      <x:c r="A190" s="28"/>
    </x:row>
    <x:row r="191">
      <x:c r="A191" s="28"/>
    </x:row>
    <x:row r="192">
      <x:c r="A192" s="28"/>
    </x:row>
    <x:row r="193">
      <x:c r="A193" s="28"/>
    </x:row>
    <x:row r="194">
      <x:c r="A194" s="28"/>
    </x:row>
    <x:row r="195">
      <x:c r="A195" s="28"/>
    </x:row>
    <x:row r="196">
      <x:c r="A196" s="28"/>
    </x:row>
    <x:row r="197">
      <x:c r="A197" s="28"/>
    </x:row>
    <x:row r="198">
      <x:c r="A198" s="28"/>
    </x:row>
    <x:row r="199">
      <x:c r="A199" s="28"/>
    </x:row>
    <x:row r="200">
      <x:c r="A200" s="28"/>
    </x:row>
    <x:row r="201">
      <x:c r="A201" s="28"/>
    </x:row>
    <x:row r="202">
      <x:c r="A202" s="28"/>
    </x:row>
    <x:row r="203">
      <x:c r="A203" s="28"/>
    </x:row>
    <x:row r="204">
      <x:c r="A204" s="28"/>
    </x:row>
    <x:row r="205">
      <x:c r="A205" s="28"/>
    </x:row>
    <x:row r="206">
      <x:c r="A206" s="28"/>
    </x:row>
    <x:row r="207">
      <x:c r="A207" s="28"/>
    </x:row>
    <x:row r="208">
      <x:c r="A208" s="28"/>
    </x:row>
    <x:row r="209">
      <x:c r="A209" s="28"/>
    </x:row>
    <x:row r="210">
      <x:c r="A210" s="28"/>
    </x:row>
    <x:row r="211">
      <x:c r="A211" s="28"/>
    </x:row>
    <x:row r="212">
      <x:c r="A212" s="28"/>
    </x:row>
    <x:row r="213">
      <x:c r="A213" s="28"/>
    </x:row>
    <x:row r="214">
      <x:c r="A214" s="28"/>
    </x:row>
    <x:row r="215">
      <x:c r="A215" s="28"/>
    </x:row>
    <x:row r="216">
      <x:c r="A216" s="28"/>
    </x:row>
    <x:row r="217">
      <x:c r="A217" s="28"/>
    </x:row>
    <x:row r="218">
      <x:c r="A218" s="28"/>
    </x:row>
    <x:row r="219">
      <x:c r="A219" s="28"/>
    </x:row>
    <x:row r="220">
      <x:c r="A220" s="28"/>
    </x:row>
    <x:row r="221">
      <x:c r="A221" s="28"/>
    </x:row>
    <x:row r="222">
      <x:c r="A222" s="28"/>
    </x:row>
    <x:row r="223">
      <x:c r="A223" s="28"/>
    </x:row>
    <x:row r="224">
      <x:c r="A224" s="28"/>
    </x:row>
    <x:row r="225">
      <x:c r="A225" s="28"/>
    </x:row>
    <x:row r="226">
      <x:c r="A226" s="28"/>
    </x:row>
    <x:row r="227">
      <x:c r="A227" s="28"/>
    </x:row>
    <x:row r="228">
      <x:c r="A228" s="28"/>
    </x:row>
    <x:row r="229">
      <x:c r="A229" s="28"/>
    </x:row>
    <x:row r="230">
      <x:c r="A230" s="28"/>
    </x:row>
    <x:row r="231">
      <x:c r="A231" s="28"/>
    </x:row>
    <x:row r="232">
      <x:c r="A232" s="28"/>
    </x:row>
    <x:row r="233">
      <x:c r="A233" s="28"/>
    </x:row>
    <x:row r="234">
      <x:c r="A234" s="28"/>
    </x:row>
    <x:row r="235">
      <x:c r="A235" s="28"/>
    </x:row>
    <x:row r="236">
      <x:c r="A236" s="28"/>
    </x:row>
    <x:row r="237">
      <x:c r="A237" s="28"/>
    </x:row>
    <x:row r="238">
      <x:c r="A238" s="28"/>
    </x:row>
    <x:row r="239">
      <x:c r="A239" s="28"/>
    </x:row>
    <x:row r="240">
      <x:c r="A240" s="28"/>
    </x:row>
    <x:row r="241">
      <x:c r="A241" s="28"/>
    </x:row>
    <x:row r="242">
      <x:c r="A242" s="28"/>
    </x:row>
    <x:row r="243">
      <x:c r="A243" s="28"/>
    </x:row>
    <x:row r="244">
      <x:c r="A244" s="28"/>
    </x:row>
    <x:row r="245">
      <x:c r="A245" s="28"/>
    </x:row>
    <x:row r="246">
      <x:c r="A246" s="28"/>
    </x:row>
    <x:row r="247">
      <x:c r="A247" s="28"/>
    </x:row>
    <x:row r="248">
      <x:c r="A248" s="28"/>
    </x:row>
    <x:row r="249">
      <x:c r="A249" s="28"/>
    </x:row>
    <x:row r="250">
      <x:c r="A250" s="28"/>
    </x:row>
    <x:row r="251">
      <x:c r="A251" s="28"/>
    </x:row>
    <x:row r="252">
      <x:c r="A252" s="28"/>
    </x:row>
    <x:row r="253">
      <x:c r="A253" s="28"/>
    </x:row>
    <x:row r="254">
      <x:c r="A254" s="28"/>
    </x:row>
    <x:row r="255">
      <x:c r="A255" s="28"/>
    </x:row>
    <x:row r="256">
      <x:c r="A256" s="28"/>
    </x:row>
    <x:row r="257">
      <x:c r="A257" s="28"/>
    </x:row>
    <x:row r="258">
      <x:c r="A258" s="28"/>
    </x:row>
    <x:row r="259">
      <x:c r="A259" s="28"/>
    </x:row>
    <x:row r="260">
      <x:c r="A260" s="28"/>
    </x:row>
    <x:row r="261">
      <x:c r="A261" s="28"/>
    </x:row>
    <x:row r="262">
      <x:c r="A262" s="28"/>
    </x:row>
    <x:row r="263">
      <x:c r="A263" s="28"/>
    </x:row>
    <x:row r="264">
      <x:c r="A264" s="28"/>
    </x:row>
    <x:row r="265">
      <x:c r="A265" s="28"/>
    </x:row>
    <x:row r="266">
      <x:c r="A266" s="28"/>
    </x:row>
    <x:row r="267">
      <x:c r="A267" s="28"/>
    </x:row>
    <x:row r="268">
      <x:c r="A268" s="28"/>
    </x:row>
    <x:row r="269">
      <x:c r="A269" s="28"/>
    </x:row>
    <x:row r="270">
      <x:c r="A270" s="28"/>
    </x:row>
    <x:row r="271">
      <x:c r="A271" s="28"/>
    </x:row>
    <x:row r="272">
      <x:c r="A272" s="28"/>
    </x:row>
    <x:row r="273">
      <x:c r="A273" s="28"/>
    </x:row>
    <x:row r="274">
      <x:c r="A274" s="28"/>
    </x:row>
    <x:row r="275">
      <x:c r="A275" s="28"/>
    </x:row>
    <x:row r="276">
      <x:c r="A276" s="28"/>
    </x:row>
    <x:row r="277">
      <x:c r="A277" s="28"/>
    </x:row>
    <x:row r="278">
      <x:c r="A278" s="28"/>
    </x:row>
    <x:row r="279">
      <x:c r="A279" s="28"/>
    </x:row>
    <x:row r="280">
      <x:c r="A280" s="28"/>
    </x:row>
    <x:row r="281">
      <x:c r="A281" s="28"/>
    </x:row>
    <x:row r="282">
      <x:c r="A282" s="28"/>
    </x:row>
    <x:row r="283">
      <x:c r="A283" s="28"/>
    </x:row>
    <x:row r="284">
      <x:c r="A284" s="28"/>
    </x:row>
    <x:row r="285">
      <x:c r="A285" s="28"/>
    </x:row>
    <x:row r="286">
      <x:c r="A286" s="28"/>
    </x:row>
    <x:row r="287">
      <x:c r="A287" s="28"/>
    </x:row>
    <x:row r="288">
      <x:c r="A288" s="28"/>
    </x:row>
    <x:row r="289">
      <x:c r="A289" s="28"/>
    </x:row>
    <x:row r="290">
      <x:c r="A290" s="28"/>
    </x:row>
    <x:row r="291">
      <x:c r="A291" s="28"/>
    </x:row>
    <x:row r="292">
      <x:c r="A292" s="28"/>
    </x:row>
    <x:row r="293">
      <x:c r="A293" s="28"/>
    </x:row>
    <x:row r="294">
      <x:c r="A294" s="28"/>
    </x:row>
    <x:row r="295">
      <x:c r="A295" s="28"/>
    </x:row>
    <x:row r="296">
      <x:c r="A296" s="28"/>
    </x:row>
    <x:row r="297">
      <x:c r="A297" s="28"/>
    </x:row>
    <x:row r="298">
      <x:c r="A298" s="28"/>
    </x:row>
    <x:row r="299">
      <x:c r="A299" s="28"/>
    </x:row>
    <x:row r="300">
      <x:c r="A300" s="28"/>
    </x:row>
    <x:row r="301">
      <x:c r="A301" s="28"/>
    </x:row>
    <x:row r="302">
      <x:c r="A302" s="28"/>
    </x:row>
    <x:row r="303">
      <x:c r="A303" s="28"/>
    </x:row>
    <x:row r="304">
      <x:c r="A304" s="28"/>
    </x:row>
    <x:row r="305">
      <x:c r="A305" s="28"/>
    </x:row>
    <x:row r="306">
      <x:c r="A306" s="28"/>
    </x:row>
    <x:row r="307">
      <x:c r="A307" s="28"/>
    </x:row>
    <x:row r="308">
      <x:c r="A308" s="28"/>
    </x:row>
    <x:row r="309">
      <x:c r="A309" s="28"/>
    </x:row>
    <x:row r="310">
      <x:c r="A310" s="28"/>
    </x:row>
    <x:row r="311">
      <x:c r="A311" s="28"/>
    </x:row>
    <x:row r="312">
      <x:c r="A312" s="28"/>
    </x:row>
    <x:row r="313">
      <x:c r="A313" s="28"/>
    </x:row>
    <x:row r="314">
      <x:c r="A314" s="28"/>
    </x:row>
    <x:row r="315">
      <x:c r="A315" s="28"/>
    </x:row>
    <x:row r="316">
      <x:c r="A316" s="28"/>
    </x:row>
    <x:row r="317">
      <x:c r="A317" s="28"/>
    </x:row>
    <x:row r="318">
      <x:c r="A318" s="28"/>
    </x:row>
    <x:row r="319">
      <x:c r="A319" s="28"/>
    </x:row>
    <x:row r="320">
      <x:c r="A320" s="28"/>
    </x:row>
    <x:row r="321">
      <x:c r="A321" s="28"/>
    </x:row>
    <x:row r="322">
      <x:c r="A322" s="28"/>
    </x:row>
    <x:row r="323">
      <x:c r="A323" s="28"/>
    </x:row>
    <x:row r="324">
      <x:c r="A324" s="28"/>
    </x:row>
    <x:row r="325">
      <x:c r="A325" s="28"/>
    </x:row>
    <x:row r="326">
      <x:c r="A326" s="28"/>
    </x:row>
    <x:row r="327">
      <x:c r="A327" s="28"/>
    </x:row>
    <x:row r="328">
      <x:c r="A328" s="28"/>
    </x:row>
    <x:row r="329">
      <x:c r="A329" s="28"/>
    </x:row>
    <x:row r="330">
      <x:c r="A330" s="28"/>
    </x:row>
    <x:row r="331">
      <x:c r="A331" s="28"/>
    </x:row>
    <x:row r="332">
      <x:c r="A332" s="28"/>
    </x:row>
    <x:row r="333">
      <x:c r="A333" s="28"/>
    </x:row>
    <x:row r="334">
      <x:c r="A334" s="28"/>
    </x:row>
    <x:row r="335">
      <x:c r="A335" s="28"/>
    </x:row>
    <x:row r="336">
      <x:c r="A336" s="28"/>
    </x:row>
    <x:row r="337">
      <x:c r="A337" s="28"/>
    </x:row>
    <x:row r="338">
      <x:c r="A338" s="28"/>
    </x:row>
    <x:row r="339">
      <x:c r="A339" s="28"/>
    </x:row>
    <x:row r="340">
      <x:c r="A340" s="28"/>
    </x:row>
    <x:row r="341">
      <x:c r="A341" s="28"/>
    </x:row>
    <x:row r="342">
      <x:c r="A342" s="28"/>
    </x:row>
    <x:row r="343">
      <x:c r="A343" s="28"/>
    </x:row>
    <x:row r="344">
      <x:c r="A344" s="28"/>
    </x:row>
    <x:row r="345">
      <x:c r="A345" s="28"/>
    </x:row>
    <x:row r="346">
      <x:c r="A346" s="28"/>
    </x:row>
    <x:row r="347">
      <x:c r="A347" s="28"/>
    </x:row>
    <x:row r="348">
      <x:c r="A348" s="28"/>
    </x:row>
    <x:row r="349">
      <x:c r="A349" s="28"/>
    </x:row>
    <x:row r="350">
      <x:c r="A350" s="28"/>
    </x:row>
    <x:row r="351">
      <x:c r="A351" s="28"/>
    </x:row>
    <x:row r="352">
      <x:c r="A352" s="28"/>
    </x:row>
    <x:row r="353">
      <x:c r="A353" s="28"/>
    </x:row>
    <x:row r="354">
      <x:c r="A354" s="28"/>
    </x:row>
    <x:row r="355">
      <x:c r="A355" s="28"/>
    </x:row>
    <x:row r="356">
      <x:c r="A356" s="28"/>
    </x:row>
    <x:row r="357">
      <x:c r="A357" s="28"/>
    </x:row>
    <x:row r="358">
      <x:c r="A358" s="28"/>
    </x:row>
    <x:row r="359">
      <x:c r="A359" s="28"/>
    </x:row>
    <x:row r="360">
      <x:c r="A360" s="28"/>
    </x:row>
    <x:row r="361">
      <x:c r="A361" s="28"/>
    </x:row>
    <x:row r="362">
      <x:c r="A362" s="28"/>
    </x:row>
    <x:row r="363">
      <x:c r="A363" s="28"/>
    </x:row>
    <x:row r="364">
      <x:c r="A364" s="28"/>
    </x:row>
    <x:row r="365">
      <x:c r="A365" s="28"/>
    </x:row>
    <x:row r="366">
      <x:c r="A366" s="28"/>
    </x:row>
    <x:row r="367">
      <x:c r="A367" s="28"/>
    </x:row>
    <x:row r="368">
      <x:c r="A368" s="28"/>
    </x:row>
    <x:row r="369">
      <x:c r="A369" s="28"/>
    </x:row>
    <x:row r="370">
      <x:c r="A370" s="28"/>
    </x:row>
    <x:row r="371">
      <x:c r="A371" s="28"/>
    </x:row>
    <x:row r="372">
      <x:c r="A372" s="28"/>
    </x:row>
    <x:row r="373">
      <x:c r="A373" s="28"/>
    </x:row>
    <x:row r="374">
      <x:c r="A374" s="28"/>
    </x:row>
    <x:row r="375">
      <x:c r="A375" s="28"/>
    </x:row>
    <x:row r="376">
      <x:c r="A376" s="28"/>
    </x:row>
    <x:row r="377">
      <x:c r="A377" s="28"/>
    </x:row>
    <x:row r="378">
      <x:c r="A378" s="28"/>
    </x:row>
    <x:row r="379">
      <x:c r="A379" s="28"/>
    </x:row>
    <x:row r="380">
      <x:c r="A380" s="28"/>
    </x:row>
    <x:row r="381">
      <x:c r="A381" s="28"/>
    </x:row>
    <x:row r="382">
      <x:c r="A382" s="28"/>
    </x:row>
    <x:row r="383">
      <x:c r="A383" s="28"/>
    </x:row>
    <x:row r="384">
      <x:c r="A384" s="28"/>
    </x:row>
    <x:row r="385">
      <x:c r="A385" s="28"/>
    </x:row>
    <x:row r="386">
      <x:c r="A386" s="28"/>
    </x:row>
    <x:row r="387">
      <x:c r="A387" s="28"/>
    </x:row>
    <x:row r="388">
      <x:c r="A388" s="28"/>
    </x:row>
    <x:row r="389">
      <x:c r="A389" s="28"/>
    </x:row>
    <x:row r="390">
      <x:c r="A390" s="28"/>
    </x:row>
    <x:row r="391">
      <x:c r="A391" s="28"/>
    </x:row>
    <x:row r="392">
      <x:c r="A392" s="28"/>
    </x:row>
    <x:row r="393">
      <x:c r="A393" s="28"/>
    </x:row>
    <x:row r="394">
      <x:c r="A394" s="28"/>
    </x:row>
    <x:row r="395">
      <x:c r="A395" s="28"/>
    </x:row>
    <x:row r="396">
      <x:c r="A396" s="28"/>
    </x:row>
    <x:row r="397">
      <x:c r="A397" s="28"/>
    </x:row>
    <x:row r="398">
      <x:c r="A398" s="28"/>
    </x:row>
    <x:row r="399">
      <x:c r="A399" s="28"/>
    </x:row>
    <x:row r="400">
      <x:c r="A400" s="28"/>
    </x:row>
  </x:sheetData>
  <x:mergeCells>
    <x:mergeCell ref="A1:R1"/>
    <x:mergeCell ref="A2:R2"/>
  </x:mergeCells>
  <x:dataValidations count="3">
    <x:dataValidation type="list" sqref="B5:B32">
      <x:formula1>"示例,待填写,已访谈,已复核"</x:formula1>
    </x:dataValidation>
    <x:dataValidation type="list" sqref="N5:N32">
      <x:formula1>"待验证,完全吻合,部分吻合,明显不吻合,信息不足"</x:formula1>
    </x:dataValidation>
    <x:dataValidation type="list" sqref="O5:O32">
      <x:formula1>",基础状态,主次判断,边界内容,靠近节奏,空间需求,拒绝执行,接受支持,宫位动态,输出语言"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daaafed7b0436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18" hidden="0" customWidth="1"/>
    <x:col min="4" max="4" width="22" hidden="0" customWidth="1"/>
    <x:col min="5" max="5" width="48" hidden="0" customWidth="1"/>
  </x:cols>
  <x:sheetData>
    <x:row r="1" ht="28" customHeight="1">
      <x:c r="A1" s="38" t="str">
        <x:v>M3-BOUND字段、输出字段与代码词典</x:v>
      </x:c>
      <x:c r="B1" s="5"/>
      <x:c r="C1" s="5"/>
      <x:c r="D1" s="5"/>
      <x:c r="E1" s="5"/>
    </x:row>
    <x:row r="2" ht="32" customHeight="1">
      <x:c r="A2" s="13" t="str">
        <x:v>用于分析者阅读、开发映射和后续JSON迁移。字段名保持英文稳定，中文解释可继续完善。</x:v>
      </x:c>
      <x:c r="B2" s="13"/>
      <x:c r="C2" s="13"/>
      <x:c r="D2" s="13"/>
      <x:c r="E2" s="13"/>
    </x:row>
    <x:row r="3">
      <x:c r="A3" s="28"/>
    </x:row>
    <x:row r="4">
      <x:c r="A4" s="22" t="str">
        <x:v>字段／代码</x:v>
      </x:c>
      <x:c r="B4" s="22" t="str">
        <x:v>含义</x:v>
      </x:c>
      <x:c r="C4" s="22" t="str">
        <x:v>类别</x:v>
      </x:c>
      <x:c r="D4" s="22" t="str">
        <x:v>字段权威／所属</x:v>
      </x:c>
      <x:c r="E4" s="22" t="str">
        <x:v>备注</x:v>
      </x:c>
    </x:row>
    <x:row r="5">
      <x:c r="A5" s="32" t="str">
        <x:v>rule_id</x:v>
      </x:c>
      <x:c r="B5" s="32" t="str">
        <x:v>原子规则唯一编号。</x:v>
      </x:c>
      <x:c r="C5" s="32" t="str">
        <x:v>原子规则字段</x:v>
      </x:c>
      <x:c r="D5" s="32" t="str">
        <x:v>M3-BOUND</x:v>
      </x:c>
      <x:c r="E5" s="32" t="str">
        <x:v>字段名保持稳定</x:v>
      </x:c>
    </x:row>
    <x:row r="6">
      <x:c r="A6" s="32" t="str">
        <x:v>rule_name</x:v>
      </x:c>
      <x:c r="B6" s="32" t="str">
        <x:v>规则名称，包含对象、状态和核心作用。</x:v>
      </x:c>
      <x:c r="C6" s="32" t="str">
        <x:v>原子规则字段</x:v>
      </x:c>
      <x:c r="D6" s="32" t="str">
        <x:v>M3-BOUND</x:v>
      </x:c>
      <x:c r="E6" s="32" t="str">
        <x:v>字段名保持稳定</x:v>
      </x:c>
    </x:row>
    <x:row r="7">
      <x:c r="A7" s="32" t="str">
        <x:v>layer</x:v>
      </x:c>
      <x:c r="B7" s="32" t="str">
        <x:v>知识层级。</x:v>
      </x:c>
      <x:c r="C7" s="32" t="str">
        <x:v>原子规则字段</x:v>
      </x:c>
      <x:c r="D7" s="32" t="str">
        <x:v>M3-BOUND</x:v>
      </x:c>
      <x:c r="E7" s="32" t="str">
        <x:v>字段名保持稳定</x:v>
      </x:c>
    </x:row>
    <x:row r="8">
      <x:c r="A8" s="32" t="str">
        <x:v>module</x:v>
      </x:c>
      <x:c r="B8" s="32" t="str">
        <x:v>规则所在子模块。</x:v>
      </x:c>
      <x:c r="C8" s="32" t="str">
        <x:v>原子规则字段</x:v>
      </x:c>
      <x:c r="D8" s="32" t="str">
        <x:v>M3-BOUND</x:v>
      </x:c>
      <x:c r="E8" s="32" t="str">
        <x:v>字段名保持稳定</x:v>
      </x:c>
    </x:row>
    <x:row r="9">
      <x:c r="A9" s="32" t="str">
        <x:v>applicable_group</x:v>
      </x:c>
      <x:c r="B9" s="32" t="str">
        <x:v>适用对象。</x:v>
      </x:c>
      <x:c r="C9" s="32" t="str">
        <x:v>原子规则字段</x:v>
      </x:c>
      <x:c r="D9" s="32" t="str">
        <x:v>M3-BOUND</x:v>
      </x:c>
      <x:c r="E9" s="32" t="str">
        <x:v>字段名保持稳定</x:v>
      </x:c>
    </x:row>
    <x:row r="10">
      <x:c r="A10" s="32" t="str">
        <x:v>rule_type</x:v>
      </x:c>
      <x:c r="B10" s="32" t="str">
        <x:v>定义、通道、维度、模式、状态、停止等。</x:v>
      </x:c>
      <x:c r="C10" s="32" t="str">
        <x:v>原子规则字段</x:v>
      </x:c>
      <x:c r="D10" s="32" t="str">
        <x:v>M3-BOUND</x:v>
      </x:c>
      <x:c r="E10" s="32" t="str">
        <x:v>字段名保持稳定</x:v>
      </x:c>
    </x:row>
    <x:row r="11">
      <x:c r="A11" s="32" t="str">
        <x:v>main_signal</x:v>
      </x:c>
      <x:c r="B11" s="32" t="str">
        <x:v>主要十神、系统、维度或规则信号。</x:v>
      </x:c>
      <x:c r="C11" s="32" t="str">
        <x:v>原子规则字段</x:v>
      </x:c>
      <x:c r="D11" s="32" t="str">
        <x:v>M3-BOUND</x:v>
      </x:c>
      <x:c r="E11" s="32" t="str">
        <x:v>字段名保持稳定</x:v>
      </x:c>
    </x:row>
    <x:row r="12">
      <x:c r="A12" s="32" t="str">
        <x:v>secondary_signal</x:v>
      </x:c>
      <x:c r="B12" s="32" t="str">
        <x:v>共同参与的第二信号或状态。</x:v>
      </x:c>
      <x:c r="C12" s="32" t="str">
        <x:v>原子规则字段</x:v>
      </x:c>
      <x:c r="D12" s="32" t="str">
        <x:v>M3-BOUND</x:v>
      </x:c>
      <x:c r="E12" s="32" t="str">
        <x:v>字段名保持稳定</x:v>
      </x:c>
    </x:row>
    <x:row r="13">
      <x:c r="A13" s="32" t="str">
        <x:v>required_conditions</x:v>
      </x:c>
      <x:c r="B13" s="32" t="str">
        <x:v>规则成立必须满足的条件。</x:v>
      </x:c>
      <x:c r="C13" s="32" t="str">
        <x:v>原子规则字段</x:v>
      </x:c>
      <x:c r="D13" s="32" t="str">
        <x:v>M3-BOUND</x:v>
      </x:c>
      <x:c r="E13" s="32" t="str">
        <x:v>字段名保持稳定</x:v>
      </x:c>
    </x:row>
    <x:row r="14">
      <x:c r="A14" s="32" t="str">
        <x:v>excluded_conditions</x:v>
      </x:c>
      <x:c r="B14" s="32" t="str">
        <x:v>规则不得调用的情形。</x:v>
      </x:c>
      <x:c r="C14" s="32" t="str">
        <x:v>原子规则字段</x:v>
      </x:c>
      <x:c r="D14" s="32" t="str">
        <x:v>M3-BOUND</x:v>
      </x:c>
      <x:c r="E14" s="32" t="str">
        <x:v>字段名保持稳定</x:v>
      </x:c>
    </x:row>
    <x:row r="15">
      <x:c r="A15" s="32" t="str">
        <x:v>self_strength_status</x:v>
      </x:c>
      <x:c r="B15" s="32" t="str">
        <x:v>日主和自我支持状态接口。</x:v>
      </x:c>
      <x:c r="C15" s="32" t="str">
        <x:v>原子规则字段</x:v>
      </x:c>
      <x:c r="D15" s="32" t="str">
        <x:v>M3-BOUND</x:v>
      </x:c>
      <x:c r="E15" s="32" t="str">
        <x:v>字段名保持稳定</x:v>
      </x:c>
    </x:row>
    <x:row r="16">
      <x:c r="A16" s="32" t="str">
        <x:v>spouse_star_status</x:v>
      </x:c>
      <x:c r="B16" s="32" t="str">
        <x:v>夫妻星接口。</x:v>
      </x:c>
      <x:c r="C16" s="32" t="str">
        <x:v>原子规则字段</x:v>
      </x:c>
      <x:c r="D16" s="32" t="str">
        <x:v>M3-BOUND</x:v>
      </x:c>
      <x:c r="E16" s="32" t="str">
        <x:v>字段名保持稳定</x:v>
      </x:c>
    </x:row>
    <x:row r="17">
      <x:c r="A17" s="32" t="str">
        <x:v>palace_signal</x:v>
      </x:c>
      <x:c r="B17" s="32" t="str">
        <x:v>夫妻宫和日支结构接口。</x:v>
      </x:c>
      <x:c r="C17" s="32" t="str">
        <x:v>原子规则字段</x:v>
      </x:c>
      <x:c r="D17" s="32" t="str">
        <x:v>M3-BOUND</x:v>
      </x:c>
      <x:c r="E17" s="32" t="str">
        <x:v>字段名保持稳定</x:v>
      </x:c>
    </x:row>
    <x:row r="18">
      <x:c r="A18" s="32" t="str">
        <x:v>flow_path</x:v>
      </x:c>
      <x:c r="B18" s="32" t="str">
        <x:v>功能路径。</x:v>
      </x:c>
      <x:c r="C18" s="32" t="str">
        <x:v>原子规则字段</x:v>
      </x:c>
      <x:c r="D18" s="32" t="str">
        <x:v>M3-BOUND</x:v>
      </x:c>
      <x:c r="E18" s="32" t="str">
        <x:v>字段名保持稳定</x:v>
      </x:c>
    </x:row>
    <x:row r="19">
      <x:c r="A19" s="32" t="str">
        <x:v>signal_position</x:v>
      </x:c>
      <x:c r="B19" s="32" t="str">
        <x:v>柱位和亲密近远。</x:v>
      </x:c>
      <x:c r="C19" s="32" t="str">
        <x:v>原子规则字段</x:v>
      </x:c>
      <x:c r="D19" s="32" t="str">
        <x:v>M3-BOUND</x:v>
      </x:c>
      <x:c r="E19" s="32" t="str">
        <x:v>字段名保持稳定</x:v>
      </x:c>
    </x:row>
    <x:row r="20">
      <x:c r="A20" s="32" t="str">
        <x:v>root_status</x:v>
      </x:c>
      <x:c r="B20" s="32" t="str">
        <x:v>根气状态。</x:v>
      </x:c>
      <x:c r="C20" s="32" t="str">
        <x:v>原子规则字段</x:v>
      </x:c>
      <x:c r="D20" s="32" t="str">
        <x:v>M3-BOUND</x:v>
      </x:c>
      <x:c r="E20" s="32" t="str">
        <x:v>字段名保持稳定</x:v>
      </x:c>
    </x:row>
    <x:row r="21">
      <x:c r="A21" s="32" t="str">
        <x:v>strength_level</x:v>
      </x:c>
      <x:c r="B21" s="32" t="str">
        <x:v>旺弱状态。</x:v>
      </x:c>
      <x:c r="C21" s="32" t="str">
        <x:v>原子规则字段</x:v>
      </x:c>
      <x:c r="D21" s="32" t="str">
        <x:v>M3-BOUND</x:v>
      </x:c>
      <x:c r="E21" s="32" t="str">
        <x:v>字段名保持稳定</x:v>
      </x:c>
    </x:row>
    <x:row r="22">
      <x:c r="A22" s="32" t="str">
        <x:v>favorability</x:v>
      </x:c>
      <x:c r="B22" s="32" t="str">
        <x:v>喜忌修正。</x:v>
      </x:c>
      <x:c r="C22" s="32" t="str">
        <x:v>原子规则字段</x:v>
      </x:c>
      <x:c r="D22" s="32" t="str">
        <x:v>M3-BOUND</x:v>
      </x:c>
      <x:c r="E22" s="32" t="str">
        <x:v>字段名保持稳定</x:v>
      </x:c>
    </x:row>
    <x:row r="23">
      <x:c r="A23" s="32" t="str">
        <x:v>transformation_status</x:v>
      </x:c>
      <x:c r="B23" s="32" t="str">
        <x:v>制化合化状态。</x:v>
      </x:c>
      <x:c r="C23" s="32" t="str">
        <x:v>原子规则字段</x:v>
      </x:c>
      <x:c r="D23" s="32" t="str">
        <x:v>M3-BOUND</x:v>
      </x:c>
      <x:c r="E23" s="32" t="str">
        <x:v>字段名保持稳定</x:v>
      </x:c>
    </x:row>
    <x:row r="24">
      <x:c r="A24" s="32" t="str">
        <x:v>distance_level</x:v>
      </x:c>
      <x:c r="B24" s="32" t="str">
        <x:v>信号距离。</x:v>
      </x:c>
      <x:c r="C24" s="32" t="str">
        <x:v>原子规则字段</x:v>
      </x:c>
      <x:c r="D24" s="32" t="str">
        <x:v>M3-BOUND</x:v>
      </x:c>
      <x:c r="E24" s="32" t="str">
        <x:v>字段名保持稳定</x:v>
      </x:c>
    </x:row>
    <x:row r="25">
      <x:c r="A25" s="32" t="str">
        <x:v>priority</x:v>
      </x:c>
      <x:c r="B25" s="32" t="str">
        <x:v>规则执行优先级。</x:v>
      </x:c>
      <x:c r="C25" s="32" t="str">
        <x:v>原子规则字段</x:v>
      </x:c>
      <x:c r="D25" s="32" t="str">
        <x:v>M3-BOUND</x:v>
      </x:c>
      <x:c r="E25" s="32" t="str">
        <x:v>字段名保持稳定</x:v>
      </x:c>
    </x:row>
    <x:row r="26">
      <x:c r="A26" s="32" t="str">
        <x:v>score_effect</x:v>
      </x:c>
      <x:c r="B26" s="32" t="str">
        <x:v>分值、门控或路由作用。</x:v>
      </x:c>
      <x:c r="C26" s="32" t="str">
        <x:v>原子规则字段</x:v>
      </x:c>
      <x:c r="D26" s="32" t="str">
        <x:v>M3-BOUND</x:v>
      </x:c>
      <x:c r="E26" s="32" t="str">
        <x:v>字段名保持稳定</x:v>
      </x:c>
    </x:row>
    <x:row r="27">
      <x:c r="A27" s="32" t="str">
        <x:v>output_slot</x:v>
      </x:c>
      <x:c r="B27" s="32" t="str">
        <x:v>写入的输出字段。</x:v>
      </x:c>
      <x:c r="C27" s="32" t="str">
        <x:v>原子规则字段</x:v>
      </x:c>
      <x:c r="D27" s="32" t="str">
        <x:v>M3-BOUND</x:v>
      </x:c>
      <x:c r="E27" s="32" t="str">
        <x:v>字段名保持稳定</x:v>
      </x:c>
    </x:row>
    <x:row r="28">
      <x:c r="A28" s="32" t="str">
        <x:v>internal_logic</x:v>
      </x:c>
      <x:c r="B28" s="32" t="str">
        <x:v>内部命理逻辑。</x:v>
      </x:c>
      <x:c r="C28" s="32" t="str">
        <x:v>原子规则字段</x:v>
      </x:c>
      <x:c r="D28" s="32" t="str">
        <x:v>M3-BOUND</x:v>
      </x:c>
      <x:c r="E28" s="32" t="str">
        <x:v>字段名保持稳定</x:v>
      </x:c>
    </x:row>
    <x:row r="29">
      <x:c r="A29" s="32" t="str">
        <x:v>user_explanation</x:v>
      </x:c>
      <x:c r="B29" s="32" t="str">
        <x:v>可展示给用户的解释。</x:v>
      </x:c>
      <x:c r="C29" s="32" t="str">
        <x:v>原子规则字段</x:v>
      </x:c>
      <x:c r="D29" s="32" t="str">
        <x:v>M3-BOUND</x:v>
      </x:c>
      <x:c r="E29" s="32" t="str">
        <x:v>字段名保持稳定</x:v>
      </x:c>
    </x:row>
    <x:row r="30">
      <x:c r="A30" s="32" t="str">
        <x:v>forbidden_inference</x:v>
      </x:c>
      <x:c r="B30" s="32" t="str">
        <x:v>禁止继续推出的结论。</x:v>
      </x:c>
      <x:c r="C30" s="32" t="str">
        <x:v>原子规则字段</x:v>
      </x:c>
      <x:c r="D30" s="32" t="str">
        <x:v>M3-BOUND</x:v>
      </x:c>
      <x:c r="E30" s="32" t="str">
        <x:v>字段名保持稳定</x:v>
      </x:c>
    </x:row>
    <x:row r="31">
      <x:c r="A31" s="32" t="str">
        <x:v>confidence_base</x:v>
      </x:c>
      <x:c r="B31" s="32" t="str">
        <x:v>基础置信度。</x:v>
      </x:c>
      <x:c r="C31" s="32" t="str">
        <x:v>原子规则字段</x:v>
      </x:c>
      <x:c r="D31" s="32" t="str">
        <x:v>M3-BOUND</x:v>
      </x:c>
      <x:c r="E31" s="32" t="str">
        <x:v>字段名保持稳定</x:v>
      </x:c>
    </x:row>
    <x:row r="32">
      <x:c r="A32" s="32" t="str">
        <x:v>validation_status</x:v>
      </x:c>
      <x:c r="B32" s="32" t="str">
        <x:v>待验证、已验证、需修改或停用。</x:v>
      </x:c>
      <x:c r="C32" s="32" t="str">
        <x:v>原子规则字段</x:v>
      </x:c>
      <x:c r="D32" s="32" t="str">
        <x:v>M3-BOUND</x:v>
      </x:c>
      <x:c r="E32" s="32" t="str">
        <x:v>字段名保持稳定</x:v>
      </x:c>
    </x:row>
    <x:row r="33">
      <x:c r="A33" s="32" t="str">
        <x:v>case_refs</x:v>
      </x:c>
      <x:c r="B33" s="32" t="str">
        <x:v>支持或反例编号。</x:v>
      </x:c>
      <x:c r="C33" s="32" t="str">
        <x:v>原子规则字段</x:v>
      </x:c>
      <x:c r="D33" s="32" t="str">
        <x:v>M3-BOUND</x:v>
      </x:c>
      <x:c r="E33" s="32" t="str">
        <x:v>字段名保持稳定</x:v>
      </x:c>
    </x:row>
    <x:row r="34">
      <x:c r="A34" s="32" t="str">
        <x:v>notes</x:v>
      </x:c>
      <x:c r="B34" s="32" t="str">
        <x:v>暂定参数和规则组。</x:v>
      </x:c>
      <x:c r="C34" s="32" t="str">
        <x:v>原子规则字段</x:v>
      </x:c>
      <x:c r="D34" s="32" t="str">
        <x:v>M3-BOUND</x:v>
      </x:c>
      <x:c r="E34" s="32" t="str">
        <x:v>字段名保持稳定</x:v>
      </x:c>
    </x:row>
    <x:row r="35">
      <x:c r="A35" s="32" t="str">
        <x:v>version</x:v>
      </x:c>
      <x:c r="B35" s="32" t="str">
        <x:v>规则版本。</x:v>
      </x:c>
      <x:c r="C35" s="32" t="str">
        <x:v>原子规则字段</x:v>
      </x:c>
      <x:c r="D35" s="32" t="str">
        <x:v>M3-BOUND</x:v>
      </x:c>
      <x:c r="E35" s="32" t="str">
        <x:v>字段名保持稳定</x:v>
      </x:c>
    </x:row>
    <x:row r="36">
      <x:c r="A36" s="32" t="str">
        <x:v>boundary_pattern</x:v>
      </x:c>
      <x:c r="B36" s="32" t="str">
        <x:v>整体边界模式</x:v>
      </x:c>
      <x:c r="C36" s="32" t="str">
        <x:v>输出字段</x:v>
      </x:c>
      <x:c r="D36" s="32" t="str">
        <x:v>M3-BOUND</x:v>
      </x:c>
      <x:c r="E36" s="32" t="str">
        <x:v>用于M3总报告与JSON</x:v>
      </x:c>
    </x:row>
    <x:row r="37">
      <x:c r="A37" s="32" t="str">
        <x:v>primary_boundary_channel</x:v>
      </x:c>
      <x:c r="B37" s="32" t="str">
        <x:v>主要边界通道</x:v>
      </x:c>
      <x:c r="C37" s="32" t="str">
        <x:v>输出字段</x:v>
      </x:c>
      <x:c r="D37" s="32" t="str">
        <x:v>M3-BOUND</x:v>
      </x:c>
      <x:c r="E37" s="32" t="str">
        <x:v>用于M3总报告与JSON</x:v>
      </x:c>
    </x:row>
    <x:row r="38">
      <x:c r="A38" s="32" t="str">
        <x:v>secondary_boundary_channel</x:v>
      </x:c>
      <x:c r="B38" s="32" t="str">
        <x:v>补充边界通道</x:v>
      </x:c>
      <x:c r="C38" s="32" t="str">
        <x:v>输出字段</x:v>
      </x:c>
      <x:c r="D38" s="32" t="str">
        <x:v>M3-BOUND</x:v>
      </x:c>
      <x:c r="E38" s="32" t="str">
        <x:v>用于M3总报告与JSON</x:v>
      </x:c>
    </x:row>
    <x:row r="39">
      <x:c r="A39" s="32" t="str">
        <x:v>closeness_rhythm</x:v>
      </x:c>
      <x:c r="B39" s="32" t="str">
        <x:v>靠近节奏</x:v>
      </x:c>
      <x:c r="C39" s="32" t="str">
        <x:v>输出字段</x:v>
      </x:c>
      <x:c r="D39" s="32" t="str">
        <x:v>M3-BOUND</x:v>
      </x:c>
      <x:c r="E39" s="32" t="str">
        <x:v>用于M3总报告与JSON</x:v>
      </x:c>
    </x:row>
    <x:row r="40">
      <x:c r="A40" s="32" t="str">
        <x:v>distance_pattern</x:v>
      </x:c>
      <x:c r="B40" s="32" t="str">
        <x:v>距离节奏类型</x:v>
      </x:c>
      <x:c r="C40" s="32" t="str">
        <x:v>输出字段</x:v>
      </x:c>
      <x:c r="D40" s="32" t="str">
        <x:v>M3-BOUND</x:v>
      </x:c>
      <x:c r="E40" s="32" t="str">
        <x:v>用于M3总报告与JSON</x:v>
      </x:c>
    </x:row>
    <x:row r="41">
      <x:c r="A41" s="32" t="str">
        <x:v>space_need</x:v>
      </x:c>
      <x:c r="B41" s="32" t="str">
        <x:v>个人空间</x:v>
      </x:c>
      <x:c r="C41" s="32" t="str">
        <x:v>输出字段</x:v>
      </x:c>
      <x:c r="D41" s="32" t="str">
        <x:v>M3-BOUND</x:v>
      </x:c>
      <x:c r="E41" s="32" t="str">
        <x:v>用于M3总报告与JSON</x:v>
      </x:c>
    </x:row>
    <x:row r="42">
      <x:c r="A42" s="32" t="str">
        <x:v>autonomy_pattern</x:v>
      </x:c>
      <x:c r="B42" s="32" t="str">
        <x:v>自主与共同决定</x:v>
      </x:c>
      <x:c r="C42" s="32" t="str">
        <x:v>输出字段</x:v>
      </x:c>
      <x:c r="D42" s="32" t="str">
        <x:v>M3-BOUND</x:v>
      </x:c>
      <x:c r="E42" s="32" t="str">
        <x:v>用于M3总报告与JSON</x:v>
      </x:c>
    </x:row>
    <x:row r="43">
      <x:c r="A43" s="32" t="str">
        <x:v>sharing_mode</x:v>
      </x:c>
      <x:c r="B43" s="32" t="str">
        <x:v>分享开放方式</x:v>
      </x:c>
      <x:c r="C43" s="32" t="str">
        <x:v>输出字段</x:v>
      </x:c>
      <x:c r="D43" s="32" t="str">
        <x:v>M3-BOUND</x:v>
      </x:c>
      <x:c r="E43" s="32" t="str">
        <x:v>用于M3总报告与JSON</x:v>
      </x:c>
    </x:row>
    <x:row r="44">
      <x:c r="A44" s="32" t="str">
        <x:v>need_expression</x:v>
      </x:c>
      <x:c r="B44" s="32" t="str">
        <x:v>需求表达</x:v>
      </x:c>
      <x:c r="C44" s="32" t="str">
        <x:v>输出字段</x:v>
      </x:c>
      <x:c r="D44" s="32" t="str">
        <x:v>M3-BOUND</x:v>
      </x:c>
      <x:c r="E44" s="32" t="str">
        <x:v>用于M3总报告与JSON</x:v>
      </x:c>
    </x:row>
    <x:row r="45">
      <x:c r="A45" s="32" t="str">
        <x:v>refusal_style</x:v>
      </x:c>
      <x:c r="B45" s="32" t="str">
        <x:v>拒绝与限制</x:v>
      </x:c>
      <x:c r="C45" s="32" t="str">
        <x:v>输出字段</x:v>
      </x:c>
      <x:c r="D45" s="32" t="str">
        <x:v>M3-BOUND</x:v>
      </x:c>
      <x:c r="E45" s="32" t="str">
        <x:v>用于M3总报告与JSON</x:v>
      </x:c>
    </x:row>
    <x:row r="46">
      <x:c r="A46" s="32" t="str">
        <x:v>pause_return_style</x:v>
      </x:c>
      <x:c r="B46" s="32" t="str">
        <x:v>暂停与回归</x:v>
      </x:c>
      <x:c r="C46" s="32" t="str">
        <x:v>输出字段</x:v>
      </x:c>
      <x:c r="D46" s="32" t="str">
        <x:v>M3-BOUND</x:v>
      </x:c>
      <x:c r="E46" s="32" t="str">
        <x:v>用于M3总报告与JSON</x:v>
      </x:c>
    </x:row>
    <x:row r="47">
      <x:c r="A47" s="32" t="str">
        <x:v>renegotiation_style</x:v>
      </x:c>
      <x:c r="B47" s="32" t="str">
        <x:v>重新协商</x:v>
      </x:c>
      <x:c r="C47" s="32" t="str">
        <x:v>输出字段</x:v>
      </x:c>
      <x:c r="D47" s="32" t="str">
        <x:v>M3-BOUND</x:v>
      </x:c>
      <x:c r="E47" s="32" t="str">
        <x:v>用于M3总报告与JSON</x:v>
      </x:c>
    </x:row>
    <x:row r="48">
      <x:c r="A48" s="32" t="str">
        <x:v>support_acceptance_boundary</x:v>
      </x:c>
      <x:c r="B48" s="32" t="str">
        <x:v>接受照顾时的自主</x:v>
      </x:c>
      <x:c r="C48" s="32" t="str">
        <x:v>输出字段</x:v>
      </x:c>
      <x:c r="D48" s="32" t="str">
        <x:v>M3-BOUND</x:v>
      </x:c>
      <x:c r="E48" s="32" t="str">
        <x:v>用于M3总报告与JSON</x:v>
      </x:c>
    </x:row>
    <x:row r="49">
      <x:c r="A49" s="32" t="str">
        <x:v>boundary_exchange</x:v>
      </x:c>
      <x:c r="B49" s="32" t="str">
        <x:v>边界交换结构</x:v>
      </x:c>
      <x:c r="C49" s="32" t="str">
        <x:v>输出字段</x:v>
      </x:c>
      <x:c r="D49" s="32" t="str">
        <x:v>M3-BOUND</x:v>
      </x:c>
      <x:c r="E49" s="32" t="str">
        <x:v>用于M3总报告与JSON</x:v>
      </x:c>
    </x:row>
    <x:row r="50">
      <x:c r="A50" s="32" t="str">
        <x:v>boundary_path</x:v>
      </x:c>
      <x:c r="B50" s="32" t="str">
        <x:v>功能路径</x:v>
      </x:c>
      <x:c r="C50" s="32" t="str">
        <x:v>输出字段</x:v>
      </x:c>
      <x:c r="D50" s="32" t="str">
        <x:v>M3-BOUND</x:v>
      </x:c>
      <x:c r="E50" s="32" t="str">
        <x:v>用于M3总报告与JSON</x:v>
      </x:c>
    </x:row>
    <x:row r="51">
      <x:c r="A51" s="32" t="str">
        <x:v>state_shift</x:v>
      </x:c>
      <x:c r="B51" s="32" t="str">
        <x:v>状态切换</x:v>
      </x:c>
      <x:c r="C51" s="32" t="str">
        <x:v>输出字段</x:v>
      </x:c>
      <x:c r="D51" s="32" t="str">
        <x:v>M3-BOUND</x:v>
      </x:c>
      <x:c r="E51" s="32" t="str">
        <x:v>用于M3总报告与JSON</x:v>
      </x:c>
    </x:row>
    <x:row r="52">
      <x:c r="A52" s="32" t="str">
        <x:v>confidence</x:v>
      </x:c>
      <x:c r="B52" s="32" t="str">
        <x:v>置信度</x:v>
      </x:c>
      <x:c r="C52" s="32" t="str">
        <x:v>输出字段</x:v>
      </x:c>
      <x:c r="D52" s="32" t="str">
        <x:v>M3-BOUND</x:v>
      </x:c>
      <x:c r="E52" s="32" t="str">
        <x:v>用于M3总报告与JSON</x:v>
      </x:c>
    </x:row>
    <x:row r="53">
      <x:c r="A53" s="32" t="str">
        <x:v>report_status</x:v>
      </x:c>
      <x:c r="B53" s="32" t="str">
        <x:v>报告状态</x:v>
      </x:c>
      <x:c r="C53" s="32" t="str">
        <x:v>输出字段</x:v>
      </x:c>
      <x:c r="D53" s="32" t="str">
        <x:v>M3-BOUND</x:v>
      </x:c>
      <x:c r="E53" s="32" t="str">
        <x:v>用于M3总报告与JSON</x:v>
      </x:c>
    </x:row>
    <x:row r="54">
      <x:c r="A54" s="32" t="str">
        <x:v>provenance</x:v>
      </x:c>
      <x:c r="B54" s="32" t="str">
        <x:v>证据来源与去重</x:v>
      </x:c>
      <x:c r="C54" s="32" t="str">
        <x:v>输出字段</x:v>
      </x:c>
      <x:c r="D54" s="32" t="str">
        <x:v>M3-BOUND</x:v>
      </x:c>
      <x:c r="E54" s="32" t="str">
        <x:v>用于M3总报告与JSON</x:v>
      </x:c>
    </x:row>
    <x:row r="55">
      <x:c r="A55" s="32" t="str">
        <x:v>BD01</x:v>
      </x:c>
      <x:c r="B55" s="32" t="str">
        <x:v>平等自主</x:v>
      </x:c>
      <x:c r="C55" s="32" t="str">
        <x:v>通道代码</x:v>
      </x:c>
      <x:c r="D55" s="32" t="str">
        <x:v>比肩</x:v>
      </x:c>
      <x:c r="E55" s="32" t="str">
        <x:v>通过平等、各自负责和保留个人决定权来维持亲密，重视“靠近但不替代彼此”。</x:v>
      </x:c>
    </x:row>
    <x:row r="56">
      <x:c r="A56" s="32" t="str">
        <x:v>BD02</x:v>
      </x:c>
      <x:c r="B56" s="32" t="str">
        <x:v>共同参与</x:v>
      </x:c>
      <x:c r="C56" s="32" t="str">
        <x:v>通道代码</x:v>
      </x:c>
      <x:c r="D56" s="32" t="str">
        <x:v>劫财</x:v>
      </x:c>
      <x:c r="E56" s="32" t="str">
        <x:v>通过一起行动、即时反馈和共同调整边界来维持关系，边界更像在互动中不断校准。</x:v>
      </x:c>
    </x:row>
    <x:row r="57">
      <x:c r="A57" s="32" t="str">
        <x:v>BD03</x:v>
      </x:c>
      <x:c r="B57" s="32" t="str">
        <x:v>舒适靠近</x:v>
      </x:c>
      <x:c r="C57" s="32" t="str">
        <x:v>通道代码</x:v>
      </x:c>
      <x:c r="D57" s="32" t="str">
        <x:v>食神</x:v>
      </x:c>
      <x:c r="E57" s="32" t="str">
        <x:v>通过舒适、温和、低压力和日常陪伴逐渐建立亲密，边界重点是节奏不被强迫。</x:v>
      </x:c>
    </x:row>
    <x:row r="58">
      <x:c r="A58" s="32" t="str">
        <x:v>BD04</x:v>
      </x:c>
      <x:c r="B58" s="32" t="str">
        <x:v>清楚协商</x:v>
      </x:c>
      <x:c r="C58" s="32" t="str">
        <x:v>通道代码</x:v>
      </x:c>
      <x:c r="D58" s="32" t="str">
        <x:v>伤官</x:v>
      </x:c>
      <x:c r="E58" s="32" t="str">
        <x:v>通过把需求、观点、权限和不舒服说清楚来建立边界，重视理解和可讨论性。</x:v>
      </x:c>
    </x:row>
    <x:row r="59">
      <x:c r="A59" s="32" t="str">
        <x:v>BD05</x:v>
      </x:c>
      <x:c r="B59" s="32" t="str">
        <x:v>稳定共享</x:v>
      </x:c>
      <x:c r="C59" s="32" t="str">
        <x:v>通道代码</x:v>
      </x:c>
      <x:c r="D59" s="32" t="str">
        <x:v>正财</x:v>
      </x:c>
      <x:c r="E59" s="32" t="str">
        <x:v>通过稳定共享时间、生活安排和现实资源建立边界，重视可预期、可落实和分工清楚。</x:v>
      </x:c>
    </x:row>
    <x:row r="60">
      <x:c r="A60" s="32" t="str">
        <x:v>BD06</x:v>
      </x:c>
      <x:c r="B60" s="32" t="str">
        <x:v>弹性共享</x:v>
      </x:c>
      <x:c r="C60" s="32" t="str">
        <x:v>通道代码</x:v>
      </x:c>
      <x:c r="D60" s="32" t="str">
        <x:v>偏财</x:v>
      </x:c>
      <x:c r="E60" s="32" t="str">
        <x:v>通过灵活分配时间、资源、体验和社交空间维持亲密，边界会随现实和互动调整。</x:v>
      </x:c>
    </x:row>
    <x:row r="61">
      <x:c r="A61" s="32" t="str">
        <x:v>BD07</x:v>
      </x:c>
      <x:c r="B61" s="32" t="str">
        <x:v>规则角色</x:v>
      </x:c>
      <x:c r="C61" s="32" t="str">
        <x:v>通道代码</x:v>
      </x:c>
      <x:c r="D61" s="32" t="str">
        <x:v>正官</x:v>
      </x:c>
      <x:c r="E61" s="32" t="str">
        <x:v>通过明确关系角色、责任、承诺和共同规则建立安全边界，重视谁负责什么、怎样兑现。</x:v>
      </x:c>
    </x:row>
    <x:row r="62">
      <x:c r="A62" s="32" t="str">
        <x:v>BD08</x:v>
      </x:c>
      <x:c r="B62" s="32" t="str">
        <x:v>决断保护</x:v>
      </x:c>
      <x:c r="C62" s="32" t="str">
        <x:v>通道代码</x:v>
      </x:c>
      <x:c r="D62" s="32" t="str">
        <x:v>七杀</x:v>
      </x:c>
      <x:c r="E62" s="32" t="str">
        <x:v>通过快速判断、明确止线和关键时刻保护来维护边界，压力下更重视及时有效。</x:v>
      </x:c>
    </x:row>
    <x:row r="63">
      <x:c r="A63" s="32" t="str">
        <x:v>BD09</x:v>
      </x:c>
      <x:c r="B63" s="32" t="str">
        <x:v>安全依托</x:v>
      </x:c>
      <x:c r="C63" s="32" t="str">
        <x:v>通道代码</x:v>
      </x:c>
      <x:c r="D63" s="32" t="str">
        <x:v>正印</x:v>
      </x:c>
      <x:c r="E63" s="32" t="str">
        <x:v>通过理解、稳定回应和可信承接建立亲密，愿意在安全中依靠关系，同时保留内在确认。</x:v>
      </x:c>
    </x:row>
    <x:row r="64">
      <x:c r="A64" s="32" t="str">
        <x:v>BD10</x:v>
      </x:c>
      <x:c r="B64" s="32" t="str">
        <x:v>选择性空间</x:v>
      </x:c>
      <x:c r="C64" s="32" t="str">
        <x:v>通道代码</x:v>
      </x:c>
      <x:c r="D64" s="32" t="str">
        <x:v>偏印</x:v>
      </x:c>
      <x:c r="E64" s="32" t="str">
        <x:v>通过选择性开放、内部整理和尊重私人空间维持亲密，重视深度而不是持续暴露。</x:v>
      </x:c>
    </x:row>
    <x:row r="65">
      <x:c r="A65" s="32" t="str">
        <x:v>BP01</x:v>
      </x:c>
      <x:c r="B65" s="32" t="str">
        <x:v>平等协商型</x:v>
      </x:c>
      <x:c r="C65" s="32" t="str">
        <x:v>模式代码</x:v>
      </x:c>
      <x:c r="D65" s="32" t="str">
        <x:v>BOUND模式</x:v>
      </x:c>
      <x:c r="E65" s="32" t="str">
        <x:v>以平等、各自负责和共同讨论维持边界。</x:v>
      </x:c>
    </x:row>
    <x:row r="66">
      <x:c r="A66" s="32" t="str">
        <x:v>BP02</x:v>
      </x:c>
      <x:c r="B66" s="32" t="str">
        <x:v>共同参与型</x:v>
      </x:c>
      <x:c r="C66" s="32" t="str">
        <x:v>模式代码</x:v>
      </x:c>
      <x:c r="D66" s="32" t="str">
        <x:v>BOUND模式</x:v>
      </x:c>
      <x:c r="E66" s="32" t="str">
        <x:v>边界在一起做事和即时互动中形成，重视双方都参与。</x:v>
      </x:c>
    </x:row>
    <x:row r="67">
      <x:c r="A67" s="32" t="str">
        <x:v>BP03</x:v>
      </x:c>
      <x:c r="B67" s="32" t="str">
        <x:v>舒适渐进型</x:v>
      </x:c>
      <x:c r="C67" s="32" t="str">
        <x:v>模式代码</x:v>
      </x:c>
      <x:c r="D67" s="32" t="str">
        <x:v>BOUND模式</x:v>
      </x:c>
      <x:c r="E67" s="32" t="str">
        <x:v>通过低压力、逐步熟悉和照顾节奏建立亲密边界。</x:v>
      </x:c>
    </x:row>
    <x:row r="68">
      <x:c r="A68" s="32" t="str">
        <x:v>BP04</x:v>
      </x:c>
      <x:c r="B68" s="32" t="str">
        <x:v>清楚协商型</x:v>
      </x:c>
      <x:c r="C68" s="32" t="str">
        <x:v>模式代码</x:v>
      </x:c>
      <x:c r="D68" s="32" t="str">
        <x:v>BOUND模式</x:v>
      </x:c>
      <x:c r="E68" s="32" t="str">
        <x:v>通过说明需求、解释限制和提出替代方案维护边界。</x:v>
      </x:c>
    </x:row>
    <x:row r="69">
      <x:c r="A69" s="32" t="str">
        <x:v>BP05</x:v>
      </x:c>
      <x:c r="B69" s="32" t="str">
        <x:v>稳定共享型</x:v>
      </x:c>
      <x:c r="C69" s="32" t="str">
        <x:v>模式代码</x:v>
      </x:c>
      <x:c r="D69" s="32" t="str">
        <x:v>BOUND模式</x:v>
      </x:c>
      <x:c r="E69" s="32" t="str">
        <x:v>通过固定时间、现实安排和稳定分工维持亲密与自主。</x:v>
      </x:c>
    </x:row>
    <x:row r="70">
      <x:c r="A70" s="32" t="str">
        <x:v>BP06</x:v>
      </x:c>
      <x:c r="B70" s="32" t="str">
        <x:v>弹性共享型</x:v>
      </x:c>
      <x:c r="C70" s="32" t="str">
        <x:v>模式代码</x:v>
      </x:c>
      <x:c r="D70" s="32" t="str">
        <x:v>BOUND模式</x:v>
      </x:c>
      <x:c r="E70" s="32" t="str">
        <x:v>根据情境灵活调整共享范围、时间和社交空间。</x:v>
      </x:c>
    </x:row>
    <x:row r="71">
      <x:c r="A71" s="32" t="str">
        <x:v>BP07</x:v>
      </x:c>
      <x:c r="B71" s="32" t="str">
        <x:v>规则角色型</x:v>
      </x:c>
      <x:c r="C71" s="32" t="str">
        <x:v>模式代码</x:v>
      </x:c>
      <x:c r="D71" s="32" t="str">
        <x:v>BOUND模式</x:v>
      </x:c>
      <x:c r="E71" s="32" t="str">
        <x:v>以承诺、角色和可追踪的共同规则明确权限。</x:v>
      </x:c>
    </x:row>
    <x:row r="72">
      <x:c r="A72" s="32" t="str">
        <x:v>BP08</x:v>
      </x:c>
      <x:c r="B72" s="32" t="str">
        <x:v>决断保护型</x:v>
      </x:c>
      <x:c r="C72" s="32" t="str">
        <x:v>模式代码</x:v>
      </x:c>
      <x:c r="D72" s="32" t="str">
        <x:v>BOUND模式</x:v>
      </x:c>
      <x:c r="E72" s="32" t="str">
        <x:v>在关键情境迅速划定停止线、处理风险并保护关系边界。</x:v>
      </x:c>
    </x:row>
    <x:row r="73">
      <x:c r="A73" s="32" t="str">
        <x:v>BP09</x:v>
      </x:c>
      <x:c r="B73" s="32" t="str">
        <x:v>安全依托型</x:v>
      </x:c>
      <x:c r="C73" s="32" t="str">
        <x:v>模式代码</x:v>
      </x:c>
      <x:c r="D73" s="32" t="str">
        <x:v>BOUND模式</x:v>
      </x:c>
      <x:c r="E73" s="32" t="str">
        <x:v>在理解、稳定回应和可信环境中允许依靠，同时保留内部确认。</x:v>
      </x:c>
    </x:row>
    <x:row r="74">
      <x:c r="A74" s="32" t="str">
        <x:v>BP10</x:v>
      </x:c>
      <x:c r="B74" s="32" t="str">
        <x:v>选择性空间型</x:v>
      </x:c>
      <x:c r="C74" s="32" t="str">
        <x:v>模式代码</x:v>
      </x:c>
      <x:c r="D74" s="32" t="str">
        <x:v>BOUND模式</x:v>
      </x:c>
      <x:c r="E74" s="32" t="str">
        <x:v>通过选择性开放、内部整理和尊重私人空间维持亲密。</x:v>
      </x:c>
    </x:row>
    <x:row r="75">
      <x:c r="A75" s="32" t="str">
        <x:v>BP11</x:v>
      </x:c>
      <x:c r="B75" s="32" t="str">
        <x:v>双层边界型</x:v>
      </x:c>
      <x:c r="C75" s="32" t="str">
        <x:v>模式代码</x:v>
      </x:c>
      <x:c r="D75" s="32" t="str">
        <x:v>BOUND模式</x:v>
      </x:c>
      <x:c r="E75" s="32" t="str">
        <x:v>两套功能不同的边界通道同时成立，一项负责靠近，一项负责权限或停止。</x:v>
      </x:c>
    </x:row>
    <x:row r="76">
      <x:c r="A76" s="32" t="str">
        <x:v>BP12</x:v>
      </x:c>
      <x:c r="B76" s="32" t="str">
        <x:v>情境切换型</x:v>
      </x:c>
      <x:c r="C76" s="32" t="str">
        <x:v>模式代码</x:v>
      </x:c>
      <x:c r="D76" s="32" t="str">
        <x:v>BOUND模式</x:v>
      </x:c>
      <x:c r="E76" s="32" t="str">
        <x:v>日常、压力、共同任务或不同关系阶段会调用不同边界通道。</x:v>
      </x:c>
    </x:row>
    <x:row r="77">
      <x:c r="A77" s="28"/>
    </x:row>
    <x:row r="78">
      <x:c r="A78" s="28"/>
    </x:row>
    <x:row r="79">
      <x:c r="A79" s="28"/>
    </x:row>
    <x:row r="80">
      <x:c r="A80" s="28"/>
    </x:row>
    <x:row r="81">
      <x:c r="A81" s="28"/>
    </x:row>
    <x:row r="82">
      <x:c r="A82" s="28"/>
    </x:row>
    <x:row r="83">
      <x:c r="A83" s="28"/>
    </x:row>
    <x:row r="84">
      <x:c r="A84" s="28"/>
    </x:row>
    <x:row r="85">
      <x:c r="A85" s="28"/>
    </x:row>
    <x:row r="86">
      <x:c r="A86" s="28"/>
    </x:row>
    <x:row r="87">
      <x:c r="A87" s="28"/>
    </x:row>
    <x:row r="88">
      <x:c r="A88" s="28"/>
    </x:row>
    <x:row r="89">
      <x:c r="A89" s="28"/>
    </x:row>
    <x:row r="90">
      <x:c r="A90" s="28"/>
    </x:row>
    <x:row r="91">
      <x:c r="A91" s="28"/>
    </x:row>
    <x:row r="92">
      <x:c r="A92" s="28"/>
    </x:row>
    <x:row r="93">
      <x:c r="A93" s="28"/>
    </x:row>
    <x:row r="94">
      <x:c r="A94" s="28"/>
    </x:row>
    <x:row r="95">
      <x:c r="A95" s="28"/>
    </x:row>
    <x:row r="96">
      <x:c r="A96" s="28"/>
    </x:row>
    <x:row r="97">
      <x:c r="A97" s="28"/>
    </x:row>
    <x:row r="98">
      <x:c r="A98" s="28"/>
    </x:row>
    <x:row r="99">
      <x:c r="A99" s="28"/>
    </x:row>
    <x:row r="100">
      <x:c r="A100" s="28"/>
    </x:row>
    <x:row r="101">
      <x:c r="A101" s="28"/>
    </x:row>
    <x:row r="102">
      <x:c r="A102" s="28"/>
    </x:row>
    <x:row r="103">
      <x:c r="A103" s="28"/>
    </x:row>
    <x:row r="104">
      <x:c r="A104" s="28"/>
    </x:row>
    <x:row r="105">
      <x:c r="A105" s="28"/>
    </x:row>
    <x:row r="106">
      <x:c r="A106" s="28"/>
    </x:row>
    <x:row r="107">
      <x:c r="A107" s="28"/>
    </x:row>
    <x:row r="108">
      <x:c r="A108" s="28"/>
    </x:row>
    <x:row r="109">
      <x:c r="A109" s="28"/>
    </x:row>
    <x:row r="110">
      <x:c r="A110" s="28"/>
    </x:row>
    <x:row r="111">
      <x:c r="A111" s="28"/>
    </x:row>
    <x:row r="112">
      <x:c r="A112" s="28"/>
    </x:row>
    <x:row r="113">
      <x:c r="A113" s="28"/>
    </x:row>
    <x:row r="114">
      <x:c r="A114" s="28"/>
    </x:row>
    <x:row r="115">
      <x:c r="A115" s="28"/>
    </x:row>
    <x:row r="116">
      <x:c r="A116" s="28"/>
    </x:row>
    <x:row r="117">
      <x:c r="A117" s="28"/>
    </x:row>
    <x:row r="118">
      <x:c r="A118" s="28"/>
    </x:row>
    <x:row r="119">
      <x:c r="A119" s="28"/>
    </x:row>
    <x:row r="120">
      <x:c r="A120" s="28"/>
    </x:row>
    <x:row r="121">
      <x:c r="A121" s="28"/>
    </x:row>
    <x:row r="122">
      <x:c r="A122" s="28"/>
    </x:row>
    <x:row r="123">
      <x:c r="A123" s="28"/>
    </x:row>
    <x:row r="124">
      <x:c r="A124" s="28"/>
    </x:row>
    <x:row r="125">
      <x:c r="A125" s="28"/>
    </x:row>
    <x:row r="126">
      <x:c r="A126" s="28"/>
    </x:row>
    <x:row r="127">
      <x:c r="A127" s="28"/>
    </x:row>
    <x:row r="128">
      <x:c r="A128" s="28"/>
    </x:row>
    <x:row r="129">
      <x:c r="A129" s="28"/>
    </x:row>
    <x:row r="130">
      <x:c r="A130" s="28"/>
    </x:row>
    <x:row r="131">
      <x:c r="A131" s="28"/>
    </x:row>
    <x:row r="132">
      <x:c r="A132" s="28"/>
    </x:row>
    <x:row r="133">
      <x:c r="A133" s="28"/>
    </x:row>
    <x:row r="134">
      <x:c r="A134" s="28"/>
    </x:row>
    <x:row r="135">
      <x:c r="A135" s="28"/>
    </x:row>
    <x:row r="136">
      <x:c r="A136" s="28"/>
    </x:row>
    <x:row r="137">
      <x:c r="A137" s="28"/>
    </x:row>
    <x:row r="138">
      <x:c r="A138" s="28"/>
    </x:row>
    <x:row r="139">
      <x:c r="A139" s="28"/>
    </x:row>
    <x:row r="140">
      <x:c r="A140" s="28"/>
    </x:row>
    <x:row r="141">
      <x:c r="A141" s="28"/>
    </x:row>
    <x:row r="142">
      <x:c r="A142" s="28"/>
    </x:row>
    <x:row r="143">
      <x:c r="A143" s="28"/>
    </x:row>
    <x:row r="144">
      <x:c r="A144" s="28"/>
    </x:row>
    <x:row r="145">
      <x:c r="A145" s="28"/>
    </x:row>
    <x:row r="146">
      <x:c r="A146" s="28"/>
    </x:row>
    <x:row r="147">
      <x:c r="A147" s="28"/>
    </x:row>
    <x:row r="148">
      <x:c r="A148" s="28"/>
    </x:row>
    <x:row r="149">
      <x:c r="A149" s="28"/>
    </x:row>
    <x:row r="150">
      <x:c r="A150" s="28"/>
    </x:row>
    <x:row r="151">
      <x:c r="A151" s="28"/>
    </x:row>
    <x:row r="152">
      <x:c r="A152" s="28"/>
    </x:row>
    <x:row r="153">
      <x:c r="A153" s="28"/>
    </x:row>
    <x:row r="154">
      <x:c r="A154" s="28"/>
    </x:row>
    <x:row r="155">
      <x:c r="A155" s="28"/>
    </x:row>
    <x:row r="156">
      <x:c r="A156" s="28"/>
    </x:row>
    <x:row r="157">
      <x:c r="A157" s="28"/>
    </x:row>
    <x:row r="158">
      <x:c r="A158" s="28"/>
    </x:row>
    <x:row r="159">
      <x:c r="A159" s="28"/>
    </x:row>
    <x:row r="160">
      <x:c r="A160" s="28"/>
    </x:row>
    <x:row r="161">
      <x:c r="A161" s="28"/>
    </x:row>
    <x:row r="162">
      <x:c r="A162" s="28"/>
    </x:row>
    <x:row r="163">
      <x:c r="A163" s="28"/>
    </x:row>
    <x:row r="164">
      <x:c r="A164" s="28"/>
    </x:row>
    <x:row r="165">
      <x:c r="A165" s="28"/>
    </x:row>
    <x:row r="166">
      <x:c r="A166" s="28"/>
    </x:row>
    <x:row r="167">
      <x:c r="A167" s="28"/>
    </x:row>
    <x:row r="168">
      <x:c r="A168" s="28"/>
    </x:row>
    <x:row r="169">
      <x:c r="A169" s="28"/>
    </x:row>
    <x:row r="170">
      <x:c r="A170" s="28"/>
    </x:row>
    <x:row r="171">
      <x:c r="A171" s="28"/>
    </x:row>
    <x:row r="172">
      <x:c r="A172" s="28"/>
    </x:row>
    <x:row r="173">
      <x:c r="A173" s="28"/>
    </x:row>
    <x:row r="174">
      <x:c r="A174" s="28"/>
    </x:row>
    <x:row r="175">
      <x:c r="A175" s="28"/>
    </x:row>
    <x:row r="176">
      <x:c r="A176" s="28"/>
    </x:row>
    <x:row r="177">
      <x:c r="A177" s="28"/>
    </x:row>
    <x:row r="178">
      <x:c r="A178" s="28"/>
    </x:row>
    <x:row r="179">
      <x:c r="A179" s="28"/>
    </x:row>
    <x:row r="180">
      <x:c r="A180" s="28"/>
    </x:row>
    <x:row r="181">
      <x:c r="A181" s="28"/>
    </x:row>
    <x:row r="182">
      <x:c r="A182" s="28"/>
    </x:row>
    <x:row r="183">
      <x:c r="A183" s="28"/>
    </x:row>
    <x:row r="184">
      <x:c r="A184" s="28"/>
    </x:row>
    <x:row r="185">
      <x:c r="A185" s="28"/>
    </x:row>
    <x:row r="186">
      <x:c r="A186" s="28"/>
    </x:row>
    <x:row r="187">
      <x:c r="A187" s="28"/>
    </x:row>
    <x:row r="188">
      <x:c r="A188" s="28"/>
    </x:row>
    <x:row r="189">
      <x:c r="A189" s="28"/>
    </x:row>
    <x:row r="190">
      <x:c r="A190" s="28"/>
    </x:row>
    <x:row r="191">
      <x:c r="A191" s="28"/>
    </x:row>
    <x:row r="192">
      <x:c r="A192" s="28"/>
    </x:row>
    <x:row r="193">
      <x:c r="A193" s="28"/>
    </x:row>
    <x:row r="194">
      <x:c r="A194" s="28"/>
    </x:row>
    <x:row r="195">
      <x:c r="A195" s="28"/>
    </x:row>
    <x:row r="196">
      <x:c r="A196" s="28"/>
    </x:row>
    <x:row r="197">
      <x:c r="A197" s="28"/>
    </x:row>
    <x:row r="198">
      <x:c r="A198" s="28"/>
    </x:row>
    <x:row r="199">
      <x:c r="A199" s="28"/>
    </x:row>
    <x:row r="200">
      <x:c r="A200" s="28"/>
    </x:row>
    <x:row r="201">
      <x:c r="A201" s="28"/>
    </x:row>
    <x:row r="202">
      <x:c r="A202" s="28"/>
    </x:row>
    <x:row r="203">
      <x:c r="A203" s="28"/>
    </x:row>
    <x:row r="204">
      <x:c r="A204" s="28"/>
    </x:row>
    <x:row r="205">
      <x:c r="A205" s="28"/>
    </x:row>
    <x:row r="206">
      <x:c r="A206" s="28"/>
    </x:row>
    <x:row r="207">
      <x:c r="A207" s="28"/>
    </x:row>
    <x:row r="208">
      <x:c r="A208" s="28"/>
    </x:row>
    <x:row r="209">
      <x:c r="A209" s="28"/>
    </x:row>
    <x:row r="210">
      <x:c r="A210" s="28"/>
    </x:row>
    <x:row r="211">
      <x:c r="A211" s="28"/>
    </x:row>
    <x:row r="212">
      <x:c r="A212" s="28"/>
    </x:row>
    <x:row r="213">
      <x:c r="A213" s="28"/>
    </x:row>
    <x:row r="214">
      <x:c r="A214" s="28"/>
    </x:row>
    <x:row r="215">
      <x:c r="A215" s="28"/>
    </x:row>
    <x:row r="216">
      <x:c r="A216" s="28"/>
    </x:row>
    <x:row r="217">
      <x:c r="A217" s="28"/>
    </x:row>
    <x:row r="218">
      <x:c r="A218" s="28"/>
    </x:row>
    <x:row r="219">
      <x:c r="A219" s="28"/>
    </x:row>
    <x:row r="220">
      <x:c r="A220" s="28"/>
    </x:row>
    <x:row r="221">
      <x:c r="A221" s="28"/>
    </x:row>
    <x:row r="222">
      <x:c r="A222" s="28"/>
    </x:row>
    <x:row r="223">
      <x:c r="A223" s="28"/>
    </x:row>
    <x:row r="224">
      <x:c r="A224" s="28"/>
    </x:row>
    <x:row r="225">
      <x:c r="A225" s="28"/>
    </x:row>
    <x:row r="226">
      <x:c r="A226" s="28"/>
    </x:row>
    <x:row r="227">
      <x:c r="A227" s="28"/>
    </x:row>
    <x:row r="228">
      <x:c r="A228" s="28"/>
    </x:row>
    <x:row r="229">
      <x:c r="A229" s="28"/>
    </x:row>
    <x:row r="230">
      <x:c r="A230" s="28"/>
    </x:row>
    <x:row r="231">
      <x:c r="A231" s="28"/>
    </x:row>
    <x:row r="232">
      <x:c r="A232" s="28"/>
    </x:row>
    <x:row r="233">
      <x:c r="A233" s="28"/>
    </x:row>
    <x:row r="234">
      <x:c r="A234" s="28"/>
    </x:row>
    <x:row r="235">
      <x:c r="A235" s="28"/>
    </x:row>
    <x:row r="236">
      <x:c r="A236" s="28"/>
    </x:row>
    <x:row r="237">
      <x:c r="A237" s="28"/>
    </x:row>
    <x:row r="238">
      <x:c r="A238" s="28"/>
    </x:row>
    <x:row r="239">
      <x:c r="A239" s="28"/>
    </x:row>
    <x:row r="240">
      <x:c r="A240" s="28"/>
    </x:row>
    <x:row r="241">
      <x:c r="A241" s="28"/>
    </x:row>
    <x:row r="242">
      <x:c r="A242" s="28"/>
    </x:row>
    <x:row r="243">
      <x:c r="A243" s="28"/>
    </x:row>
    <x:row r="244">
      <x:c r="A244" s="28"/>
    </x:row>
    <x:row r="245">
      <x:c r="A245" s="28"/>
    </x:row>
    <x:row r="246">
      <x:c r="A246" s="28"/>
    </x:row>
    <x:row r="247">
      <x:c r="A247" s="28"/>
    </x:row>
    <x:row r="248">
      <x:c r="A248" s="28"/>
    </x:row>
    <x:row r="249">
      <x:c r="A249" s="28"/>
    </x:row>
    <x:row r="250">
      <x:c r="A250" s="28"/>
    </x:row>
    <x:row r="251">
      <x:c r="A251" s="28"/>
    </x:row>
    <x:row r="252">
      <x:c r="A252" s="28"/>
    </x:row>
    <x:row r="253">
      <x:c r="A253" s="28"/>
    </x:row>
    <x:row r="254">
      <x:c r="A254" s="28"/>
    </x:row>
    <x:row r="255">
      <x:c r="A255" s="28"/>
    </x:row>
    <x:row r="256">
      <x:c r="A256" s="28"/>
    </x:row>
    <x:row r="257">
      <x:c r="A257" s="28"/>
    </x:row>
    <x:row r="258">
      <x:c r="A258" s="28"/>
    </x:row>
    <x:row r="259">
      <x:c r="A259" s="28"/>
    </x:row>
    <x:row r="260">
      <x:c r="A260" s="28"/>
    </x:row>
    <x:row r="261">
      <x:c r="A261" s="28"/>
    </x:row>
    <x:row r="262">
      <x:c r="A262" s="28"/>
    </x:row>
    <x:row r="263">
      <x:c r="A263" s="28"/>
    </x:row>
    <x:row r="264">
      <x:c r="A264" s="28"/>
    </x:row>
    <x:row r="265">
      <x:c r="A265" s="28"/>
    </x:row>
    <x:row r="266">
      <x:c r="A266" s="28"/>
    </x:row>
    <x:row r="267">
      <x:c r="A267" s="28"/>
    </x:row>
    <x:row r="268">
      <x:c r="A268" s="28"/>
    </x:row>
    <x:row r="269">
      <x:c r="A269" s="28"/>
    </x:row>
    <x:row r="270">
      <x:c r="A270" s="28"/>
    </x:row>
    <x:row r="271">
      <x:c r="A271" s="28"/>
    </x:row>
    <x:row r="272">
      <x:c r="A272" s="28"/>
    </x:row>
    <x:row r="273">
      <x:c r="A273" s="28"/>
    </x:row>
    <x:row r="274">
      <x:c r="A274" s="28"/>
    </x:row>
    <x:row r="275">
      <x:c r="A275" s="28"/>
    </x:row>
    <x:row r="276">
      <x:c r="A276" s="28"/>
    </x:row>
    <x:row r="277">
      <x:c r="A277" s="28"/>
    </x:row>
    <x:row r="278">
      <x:c r="A278" s="28"/>
    </x:row>
    <x:row r="279">
      <x:c r="A279" s="28"/>
    </x:row>
    <x:row r="280">
      <x:c r="A280" s="28"/>
    </x:row>
    <x:row r="281">
      <x:c r="A281" s="28"/>
    </x:row>
    <x:row r="282">
      <x:c r="A282" s="28"/>
    </x:row>
    <x:row r="283">
      <x:c r="A283" s="28"/>
    </x:row>
    <x:row r="284">
      <x:c r="A284" s="28"/>
    </x:row>
    <x:row r="285">
      <x:c r="A285" s="28"/>
    </x:row>
    <x:row r="286">
      <x:c r="A286" s="28"/>
    </x:row>
    <x:row r="287">
      <x:c r="A287" s="28"/>
    </x:row>
    <x:row r="288">
      <x:c r="A288" s="28"/>
    </x:row>
    <x:row r="289">
      <x:c r="A289" s="28"/>
    </x:row>
    <x:row r="290">
      <x:c r="A290" s="28"/>
    </x:row>
    <x:row r="291">
      <x:c r="A291" s="28"/>
    </x:row>
    <x:row r="292">
      <x:c r="A292" s="28"/>
    </x:row>
    <x:row r="293">
      <x:c r="A293" s="28"/>
    </x:row>
    <x:row r="294">
      <x:c r="A294" s="28"/>
    </x:row>
    <x:row r="295">
      <x:c r="A295" s="28"/>
    </x:row>
    <x:row r="296">
      <x:c r="A296" s="28"/>
    </x:row>
    <x:row r="297">
      <x:c r="A297" s="28"/>
    </x:row>
    <x:row r="298">
      <x:c r="A298" s="28"/>
    </x:row>
    <x:row r="299">
      <x:c r="A299" s="28"/>
    </x:row>
    <x:row r="300">
      <x:c r="A300" s="28"/>
    </x:row>
    <x:row r="301">
      <x:c r="A301" s="28"/>
    </x:row>
    <x:row r="302">
      <x:c r="A302" s="28"/>
    </x:row>
    <x:row r="303">
      <x:c r="A303" s="28"/>
    </x:row>
    <x:row r="304">
      <x:c r="A304" s="28"/>
    </x:row>
    <x:row r="305">
      <x:c r="A305" s="28"/>
    </x:row>
    <x:row r="306">
      <x:c r="A306" s="28"/>
    </x:row>
    <x:row r="307">
      <x:c r="A307" s="28"/>
    </x:row>
    <x:row r="308">
      <x:c r="A308" s="28"/>
    </x:row>
    <x:row r="309">
      <x:c r="A309" s="28"/>
    </x:row>
    <x:row r="310">
      <x:c r="A310" s="28"/>
    </x:row>
    <x:row r="311">
      <x:c r="A311" s="28"/>
    </x:row>
    <x:row r="312">
      <x:c r="A312" s="28"/>
    </x:row>
    <x:row r="313">
      <x:c r="A313" s="28"/>
    </x:row>
    <x:row r="314">
      <x:c r="A314" s="28"/>
    </x:row>
    <x:row r="315">
      <x:c r="A315" s="28"/>
    </x:row>
    <x:row r="316">
      <x:c r="A316" s="28"/>
    </x:row>
    <x:row r="317">
      <x:c r="A317" s="28"/>
    </x:row>
    <x:row r="318">
      <x:c r="A318" s="28"/>
    </x:row>
    <x:row r="319">
      <x:c r="A319" s="28"/>
    </x:row>
    <x:row r="320">
      <x:c r="A320" s="28"/>
    </x:row>
    <x:row r="321">
      <x:c r="A321" s="28"/>
    </x:row>
    <x:row r="322">
      <x:c r="A322" s="28"/>
    </x:row>
    <x:row r="323">
      <x:c r="A323" s="28"/>
    </x:row>
    <x:row r="324">
      <x:c r="A324" s="28"/>
    </x:row>
    <x:row r="325">
      <x:c r="A325" s="28"/>
    </x:row>
    <x:row r="326">
      <x:c r="A326" s="28"/>
    </x:row>
    <x:row r="327">
      <x:c r="A327" s="28"/>
    </x:row>
    <x:row r="328">
      <x:c r="A328" s="28"/>
    </x:row>
    <x:row r="329">
      <x:c r="A329" s="28"/>
    </x:row>
    <x:row r="330">
      <x:c r="A330" s="28"/>
    </x:row>
    <x:row r="331">
      <x:c r="A331" s="28"/>
    </x:row>
    <x:row r="332">
      <x:c r="A332" s="28"/>
    </x:row>
    <x:row r="333">
      <x:c r="A333" s="28"/>
    </x:row>
    <x:row r="334">
      <x:c r="A334" s="28"/>
    </x:row>
    <x:row r="335">
      <x:c r="A335" s="28"/>
    </x:row>
    <x:row r="336">
      <x:c r="A336" s="28"/>
    </x:row>
    <x:row r="337">
      <x:c r="A337" s="28"/>
    </x:row>
    <x:row r="338">
      <x:c r="A338" s="28"/>
    </x:row>
    <x:row r="339">
      <x:c r="A339" s="28"/>
    </x:row>
    <x:row r="340">
      <x:c r="A340" s="28"/>
    </x:row>
    <x:row r="341">
      <x:c r="A341" s="28"/>
    </x:row>
    <x:row r="342">
      <x:c r="A342" s="28"/>
    </x:row>
    <x:row r="343">
      <x:c r="A343" s="28"/>
    </x:row>
    <x:row r="344">
      <x:c r="A344" s="28"/>
    </x:row>
    <x:row r="345">
      <x:c r="A345" s="28"/>
    </x:row>
    <x:row r="346">
      <x:c r="A346" s="28"/>
    </x:row>
    <x:row r="347">
      <x:c r="A347" s="28"/>
    </x:row>
    <x:row r="348">
      <x:c r="A348" s="28"/>
    </x:row>
    <x:row r="349">
      <x:c r="A349" s="28"/>
    </x:row>
    <x:row r="350">
      <x:c r="A350" s="28"/>
    </x:row>
    <x:row r="351">
      <x:c r="A351" s="28"/>
    </x:row>
    <x:row r="352">
      <x:c r="A352" s="28"/>
    </x:row>
    <x:row r="353">
      <x:c r="A353" s="28"/>
    </x:row>
    <x:row r="354">
      <x:c r="A354" s="28"/>
    </x:row>
    <x:row r="355">
      <x:c r="A355" s="28"/>
    </x:row>
    <x:row r="356">
      <x:c r="A356" s="28"/>
    </x:row>
    <x:row r="357">
      <x:c r="A357" s="28"/>
    </x:row>
    <x:row r="358">
      <x:c r="A358" s="28"/>
    </x:row>
    <x:row r="359">
      <x:c r="A359" s="28"/>
    </x:row>
    <x:row r="360">
      <x:c r="A360" s="28"/>
    </x:row>
    <x:row r="361">
      <x:c r="A361" s="28"/>
    </x:row>
    <x:row r="362">
      <x:c r="A362" s="28"/>
    </x:row>
    <x:row r="363">
      <x:c r="A363" s="28"/>
    </x:row>
    <x:row r="364">
      <x:c r="A364" s="28"/>
    </x:row>
    <x:row r="365">
      <x:c r="A365" s="28"/>
    </x:row>
    <x:row r="366">
      <x:c r="A366" s="28"/>
    </x:row>
    <x:row r="367">
      <x:c r="A367" s="28"/>
    </x:row>
    <x:row r="368">
      <x:c r="A368" s="28"/>
    </x:row>
    <x:row r="369">
      <x:c r="A369" s="28"/>
    </x:row>
    <x:row r="370">
      <x:c r="A370" s="28"/>
    </x:row>
    <x:row r="371">
      <x:c r="A371" s="28"/>
    </x:row>
    <x:row r="372">
      <x:c r="A372" s="28"/>
    </x:row>
    <x:row r="373">
      <x:c r="A373" s="28"/>
    </x:row>
    <x:row r="374">
      <x:c r="A374" s="28"/>
    </x:row>
    <x:row r="375">
      <x:c r="A375" s="28"/>
    </x:row>
    <x:row r="376">
      <x:c r="A376" s="28"/>
    </x:row>
    <x:row r="377">
      <x:c r="A377" s="28"/>
    </x:row>
    <x:row r="378">
      <x:c r="A378" s="28"/>
    </x:row>
    <x:row r="379">
      <x:c r="A379" s="28"/>
    </x:row>
    <x:row r="380">
      <x:c r="A380" s="28"/>
    </x:row>
    <x:row r="381">
      <x:c r="A381" s="28"/>
    </x:row>
    <x:row r="382">
      <x:c r="A382" s="28"/>
    </x:row>
    <x:row r="383">
      <x:c r="A383" s="28"/>
    </x:row>
    <x:row r="384">
      <x:c r="A384" s="28"/>
    </x:row>
    <x:row r="385">
      <x:c r="A385" s="28"/>
    </x:row>
    <x:row r="386">
      <x:c r="A386" s="28"/>
    </x:row>
    <x:row r="387">
      <x:c r="A387" s="28"/>
    </x:row>
    <x:row r="388">
      <x:c r="A388" s="28"/>
    </x:row>
    <x:row r="389">
      <x:c r="A389" s="28"/>
    </x:row>
    <x:row r="390">
      <x:c r="A390" s="28"/>
    </x:row>
    <x:row r="391">
      <x:c r="A391" s="28"/>
    </x:row>
    <x:row r="392">
      <x:c r="A392" s="28"/>
    </x:row>
    <x:row r="393">
      <x:c r="A393" s="28"/>
    </x:row>
    <x:row r="394">
      <x:c r="A394" s="28"/>
    </x:row>
    <x:row r="395">
      <x:c r="A395" s="28"/>
    </x:row>
    <x:row r="396">
      <x:c r="A396" s="28"/>
    </x:row>
    <x:row r="397">
      <x:c r="A397" s="28"/>
    </x:row>
    <x:row r="398">
      <x:c r="A398" s="28"/>
    </x:row>
    <x:row r="399">
      <x:c r="A399" s="28"/>
    </x:row>
    <x:row r="400">
      <x:c r="A400" s="28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c0d10a7b2a14ac9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5" hidden="0" customWidth="1"/>
    <x:col min="4" max="4" width="12" hidden="0" customWidth="1"/>
    <x:col min="5" max="5" width="55" hidden="0" customWidth="1"/>
    <x:col min="6" max="6" width="14" hidden="0" customWidth="1"/>
  </x:cols>
  <x:sheetData>
    <x:row r="1" ht="28" customHeight="1">
      <x:c r="A1" s="38" t="str">
        <x:v>版本、规则统计与发布检查</x:v>
      </x:c>
      <x:c r="B1" s="5"/>
      <x:c r="C1" s="5"/>
      <x:c r="D1" s="5"/>
      <x:c r="E1" s="5"/>
      <x:c r="F1" s="5"/>
    </x:row>
    <x:row r="2" ht="32" customHeight="1">
      <x:c r="A2" s="13" t="str">
        <x:v>所有统计引用07_原子规则和10_案例验证；当前V0.5处于待真实案例校准状态。</x:v>
      </x:c>
      <x:c r="B2" s="13"/>
      <x:c r="C2" s="13"/>
      <x:c r="D2" s="13"/>
      <x:c r="E2" s="13"/>
      <x:c r="F2" s="13"/>
    </x:row>
    <x:row r="3">
      <x:c r="A3" s="28"/>
    </x:row>
    <x:row r="4">
      <x:c r="A4" s="22" t="str">
        <x:v>指标</x:v>
      </x:c>
      <x:c r="B4" s="22" t="str">
        <x:v>数值</x:v>
      </x:c>
      <x:c r="C4" s="22" t="str"/>
      <x:c r="D4" s="22" t="str">
        <x:v>模块</x:v>
      </x:c>
      <x:c r="E4" s="22" t="str">
        <x:v>数量</x:v>
      </x:c>
      <x:c r="F4" s="22" t="str"/>
    </x:row>
    <x:row r="5">
      <x:c r="A5" s="32" t="str">
        <x:v>版本</x:v>
      </x:c>
      <x:c r="B5" s="32" t="str">
        <x:v>0.5</x:v>
      </x:c>
      <x:c r="C5" s="32" t="str"/>
      <x:c r="D5" s="32" t="str">
        <x:v>BOUND-定义边界</x:v>
      </x:c>
      <x:c r="E5" s="32" t="n">
        <x:v>20</x:v>
      </x:c>
      <x:c r="F5" s="32" t="str"/>
    </x:row>
    <x:row r="6">
      <x:c r="A6" s="32" t="str">
        <x:v>发布日期</x:v>
      </x:c>
      <x:c r="B6" s="32" t="str">
        <x:v>2026-08-26</x:v>
      </x:c>
      <x:c r="C6" s="32" t="str"/>
      <x:c r="D6" s="32" t="str">
        <x:v>BOUND-十神通道</x:v>
      </x:c>
      <x:c r="E6" s="32" t="n">
        <x:v>70</x:v>
      </x:c>
      <x:c r="F6" s="32" t="str"/>
    </x:row>
    <x:row r="7">
      <x:c r="A7" s="32" t="str">
        <x:v>规则总数</x:v>
      </x:c>
      <x:c r="B7" s="32" t="n">
        <x:f>COUNTA('07_原子规则'!A5:A264)</x:f>
        <x:v>260</x:v>
      </x:c>
      <x:c r="C7" s="32" t="str"/>
      <x:c r="D7" s="32" t="str">
        <x:v>BOUND-过程维度</x:v>
      </x:c>
      <x:c r="E7" s="32" t="n">
        <x:v>40</x:v>
      </x:c>
      <x:c r="F7" s="32" t="str"/>
    </x:row>
    <x:row r="8">
      <x:c r="A8" s="32" t="str">
        <x:v>待验证</x:v>
      </x:c>
      <x:c r="B8" s="32" t="n">
        <x:f>COUNTIF('07_原子规则'!AB5:AB264,"待验证")</x:f>
        <x:v>260</x:v>
      </x:c>
      <x:c r="C8" s="32" t="str"/>
      <x:c r="D8" s="32" t="str">
        <x:v>BOUND-边界模式</x:v>
      </x:c>
      <x:c r="E8" s="32" t="n">
        <x:v>24</x:v>
      </x:c>
      <x:c r="F8" s="32" t="str"/>
    </x:row>
    <x:row r="9">
      <x:c r="A9" s="32" t="str">
        <x:v>已验证</x:v>
      </x:c>
      <x:c r="B9" s="32" t="n">
        <x:f>COUNTIF('07_原子规则'!AB5:AB264,"已验证")</x:f>
        <x:v>0</x:v>
      </x:c>
      <x:c r="C9" s="32" t="str"/>
      <x:c r="D9" s="32" t="str">
        <x:v>BOUND-距离节奏</x:v>
      </x:c>
      <x:c r="E9" s="32" t="n">
        <x:v>8</x:v>
      </x:c>
      <x:c r="F9" s="32" t="str"/>
    </x:row>
    <x:row r="10">
      <x:c r="A10" s="32" t="str">
        <x:v>需修改</x:v>
      </x:c>
      <x:c r="B10" s="32" t="n">
        <x:f>COUNTIF('07_原子规则'!AB5:AB264,"需修改")</x:f>
        <x:v>0</x:v>
      </x:c>
      <x:c r="C10" s="32" t="str"/>
      <x:c r="D10" s="32" t="str">
        <x:v>BOUND-交换结构</x:v>
      </x:c>
      <x:c r="E10" s="32" t="n">
        <x:v>8</x:v>
      </x:c>
      <x:c r="F10" s="32" t="str"/>
    </x:row>
    <x:row r="11">
      <x:c r="A11" s="32" t="str">
        <x:v>停用</x:v>
      </x:c>
      <x:c r="B11" s="32" t="n">
        <x:f>COUNTIF('07_原子规则'!AB5:AB264,"停用")</x:f>
        <x:v>0</x:v>
      </x:c>
      <x:c r="C11" s="32" t="str"/>
      <x:c r="D11" s="32" t="str">
        <x:v>BOUND-功能路径</x:v>
      </x:c>
      <x:c r="E11" s="32" t="n">
        <x:v>8</x:v>
      </x:c>
      <x:c r="F11" s="32" t="str"/>
    </x:row>
    <x:row r="12">
      <x:c r="A12" s="32" t="str">
        <x:v>停止／边界类规则</x:v>
      </x:c>
      <x:c r="B12" s="32" t="n">
        <x:f>COUNTIF('07_原子规则'!F5:F264,"边界")+COUNTIF('07_原子规则'!F5:F264,"跨模型边界")+COUNTIF('07_原子规则'!F5:F264,"模块边界")+COUNTIF('07_原子规则'!F5:F264,"禁止推断")+COUNTIF('07_原子规则'!F5:F264,"证据门控")+COUNTIF('07_原子规则'!F5:F264,"输入门控")+COUNTIF('07_原子规则'!F5:F264,"停止／路由")+COUNTIF('07_原子规则'!F5:F264,"接口／去重／停止")+COUNTIF('07_原子规则'!F5:F264,"门槛")+COUNTIF('07_原子规则'!F5:F264,"模式门槛")</x:f>
        <x:v>71</x:v>
      </x:c>
      <x:c r="C12" s="32" t="str"/>
      <x:c r="D12" s="32" t="str">
        <x:v>BOUND-合冲刑害破</x:v>
      </x:c>
      <x:c r="E12" s="32" t="n">
        <x:v>25</x:v>
      </x:c>
      <x:c r="F12" s="32" t="str"/>
    </x:row>
    <x:row r="13">
      <x:c r="A13" s="32" t="str"/>
      <x:c r="B13" s="32" t="str"/>
      <x:c r="C13" s="32" t="str"/>
      <x:c r="D13" s="32" t="str">
        <x:v>BOUND-状态修正</x:v>
      </x:c>
      <x:c r="E13" s="32" t="n">
        <x:v>24</x:v>
      </x:c>
      <x:c r="F13" s="32" t="str"/>
    </x:row>
    <x:row r="14">
      <x:c r="A14" s="32" t="str"/>
      <x:c r="B14" s="32" t="str"/>
      <x:c r="C14" s="32" t="str"/>
      <x:c r="D14" s="32" t="str">
        <x:v>BOUND-接口门控</x:v>
      </x:c>
      <x:c r="E14" s="32" t="n">
        <x:v>16</x:v>
      </x:c>
      <x:c r="F14" s="32" t="str"/>
    </x:row>
    <x:row r="15">
      <x:c r="A15" s="32" t="str"/>
      <x:c r="B15" s="32" t="str"/>
      <x:c r="C15" s="32" t="str"/>
      <x:c r="D15" s="32" t="str">
        <x:v>BOUND-合成输出</x:v>
      </x:c>
      <x:c r="E15" s="32" t="n">
        <x:v>17</x:v>
      </x:c>
      <x:c r="F15" s="32" t="str"/>
    </x:row>
    <x:row r="16">
      <x:c r="A16" s="28"/>
    </x:row>
    <x:row r="17">
      <x:c r="A17" s="22" t="str">
        <x:v>案例状态</x:v>
      </x:c>
      <x:c r="B17" s="22" t="str">
        <x:v>数量</x:v>
      </x:c>
      <x:c r="C17" s="22" t="str"/>
      <x:c r="D17" s="22" t="str">
        <x:v>编号</x:v>
      </x:c>
      <x:c r="E17" s="22" t="str">
        <x:v>发布前检查项</x:v>
      </x:c>
      <x:c r="F17" s="22" t="str">
        <x:v>状态</x:v>
      </x:c>
    </x:row>
    <x:row r="18">
      <x:c r="A18" s="32" t="str">
        <x:v>完全吻合</x:v>
      </x:c>
      <x:c r="B18" s="32" t="n">
        <x:f>COUNTIF('10_案例验证'!N5:N32,"完全吻合")</x:f>
        <x:v>0</x:v>
      </x:c>
      <x:c r="C18" s="32" t="str"/>
      <x:c r="D18" s="32" t="n">
        <x:v>1</x:v>
      </x:c>
      <x:c r="E18" s="32" t="str">
        <x:v>基础十神、日支主气、旺衰与合化状态可靠。</x:v>
      </x:c>
      <x:c r="F18" s="32" t="str">
        <x:v>未完成</x:v>
      </x:c>
    </x:row>
    <x:row r="19">
      <x:c r="A19" s="32" t="str">
        <x:v>部分吻合</x:v>
      </x:c>
      <x:c r="B19" s="32" t="n">
        <x:f>COUNTIF('10_案例验证'!N5:N32,"部分吻合")</x:f>
        <x:v>0</x:v>
      </x:c>
      <x:c r="C19" s="32" t="str"/>
      <x:c r="D19" s="32" t="n">
        <x:v>2</x:v>
      </x:c>
      <x:c r="E19" s="32" t="str">
        <x:v>需要空间没有被写成回避亲密。</x:v>
      </x:c>
      <x:c r="F19" s="32" t="str">
        <x:v>未完成</x:v>
      </x:c>
    </x:row>
    <x:row r="20">
      <x:c r="A20" s="32" t="str">
        <x:v>明显不吻合</x:v>
      </x:c>
      <x:c r="B20" s="32" t="n">
        <x:f>COUNTIF('10_案例验证'!N5:N32,"明显不吻合")</x:f>
        <x:v>0</x:v>
      </x:c>
      <x:c r="C20" s="32" t="str"/>
      <x:c r="D20" s="32" t="n">
        <x:v>3</x:v>
      </x:c>
      <x:c r="E20" s="32" t="str">
        <x:v>接受照顾与决定权已分别判断。</x:v>
      </x:c>
      <x:c r="F20" s="32" t="str">
        <x:v>未完成</x:v>
      </x:c>
    </x:row>
    <x:row r="21">
      <x:c r="A21" s="32" t="str">
        <x:v>信息不足</x:v>
      </x:c>
      <x:c r="B21" s="32" t="n">
        <x:f>COUNTIF('10_案例验证'!N5:N32,"信息不足")</x:f>
        <x:v>1</x:v>
      </x:c>
      <x:c r="C21" s="32" t="str"/>
      <x:c r="D21" s="32" t="n">
        <x:v>4</x:v>
      </x:c>
      <x:c r="E21" s="32" t="str">
        <x:v>表达边界与执行边界已分别判断。</x:v>
      </x:c>
      <x:c r="F21" s="32" t="str">
        <x:v>未完成</x:v>
      </x:c>
    </x:row>
    <x:row r="22">
      <x:c r="A22" s="32" t="str">
        <x:v>待填写</x:v>
      </x:c>
      <x:c r="B22" s="32" t="n">
        <x:f>COUNTIF('10_案例验证'!B5:B32,"待填写")</x:f>
        <x:v>20</x:v>
      </x:c>
      <x:c r="C22" s="32" t="str"/>
      <x:c r="D22" s="32" t="n">
        <x:v>5</x:v>
      </x:c>
      <x:c r="E22" s="32" t="str">
        <x:v>同一source_id、同根透藏和同系统信号已去重。</x:v>
      </x:c>
      <x:c r="F22" s="32" t="str">
        <x:v>未完成</x:v>
      </x:c>
    </x:row>
    <x:row r="23">
      <x:c r="A23" s="32" t="str"/>
      <x:c r="B23" s="32"/>
      <x:c r="C23" s="32" t="str"/>
      <x:c r="D23" s="32" t="n">
        <x:v>6</x:v>
      </x:c>
      <x:c r="E23" s="32" t="str">
        <x:v>主通道达到门槛；次通道来源独立、功能不同。</x:v>
      </x:c>
      <x:c r="F23" s="32" t="str">
        <x:v>未完成</x:v>
      </x:c>
    </x:row>
    <x:row r="24">
      <x:c r="A24" s="32" t="str"/>
      <x:c r="B24" s="32"/>
      <x:c r="C24" s="32" t="str"/>
      <x:c r="D24" s="32" t="n">
        <x:v>7</x:v>
      </x:c>
      <x:c r="E24" s="32" t="str">
        <x:v>合冲刑害破只作节奏修正，没有结果化。</x:v>
      </x:c>
      <x:c r="F24" s="32" t="str">
        <x:v>未完成</x:v>
      </x:c>
    </x:row>
    <x:row r="25">
      <x:c r="A25" s="32" t="str"/>
      <x:c r="B25" s="32"/>
      <x:c r="C25" s="32" t="str"/>
      <x:c r="D25" s="32" t="n">
        <x:v>8</x:v>
      </x:c>
      <x:c r="E25" s="32" t="str">
        <x:v>暂停没有被直接写成冷战或拒绝修复。</x:v>
      </x:c>
      <x:c r="F25" s="32" t="str">
        <x:v>未完成</x:v>
      </x:c>
    </x:row>
    <x:row r="26">
      <x:c r="A26" s="32" t="str"/>
      <x:c r="B26" s="32"/>
      <x:c r="C26" s="32" t="str"/>
      <x:c r="D26" s="32" t="n">
        <x:v>9</x:v>
      </x:c>
      <x:c r="E26" s="32" t="str">
        <x:v>正文只保留一主一次、一种距离和一个结构。</x:v>
      </x:c>
      <x:c r="F26" s="32" t="str">
        <x:v>未完成</x:v>
      </x:c>
    </x:row>
    <x:row r="27">
      <x:c r="A27" s="32" t="str"/>
      <x:c r="B27" s="32"/>
      <x:c r="C27" s="32" t="str"/>
      <x:c r="D27" s="32" t="n">
        <x:v>10</x:v>
      </x:c>
      <x:c r="E27" s="32" t="str">
        <x:v>已运行M4/M5边界和禁止断语检查。</x:v>
      </x:c>
      <x:c r="F27" s="32" t="str">
        <x:v>未完成</x:v>
      </x:c>
    </x:row>
    <x:row r="28">
      <x:c r="A28" s="28"/>
    </x:row>
    <x:row r="29">
      <x:c r="A29" s="28"/>
    </x:row>
    <x:row r="30">
      <x:c r="A30" s="28"/>
    </x:row>
    <x:row r="31">
      <x:c r="A31" s="28"/>
    </x:row>
    <x:row r="32">
      <x:c r="A32" s="28"/>
    </x:row>
    <x:row r="33">
      <x:c r="A33" s="28"/>
    </x:row>
    <x:row r="34">
      <x:c r="A34" s="28"/>
    </x:row>
    <x:row r="35">
      <x:c r="A35" s="28"/>
    </x:row>
    <x:row r="36">
      <x:c r="A36" s="28"/>
    </x:row>
    <x:row r="37">
      <x:c r="A37" s="28"/>
    </x:row>
    <x:row r="38">
      <x:c r="A38" s="28"/>
    </x:row>
    <x:row r="39">
      <x:c r="A39" s="28"/>
    </x:row>
    <x:row r="40">
      <x:c r="A40" s="28"/>
    </x:row>
    <x:row r="41">
      <x:c r="A41" s="28"/>
    </x:row>
    <x:row r="42">
      <x:c r="A42" s="28"/>
    </x:row>
    <x:row r="43">
      <x:c r="A43" s="28"/>
    </x:row>
    <x:row r="44">
      <x:c r="A44" s="28"/>
    </x:row>
    <x:row r="45">
      <x:c r="A45" s="28"/>
    </x:row>
    <x:row r="46">
      <x:c r="A46" s="28"/>
    </x:row>
    <x:row r="47">
      <x:c r="A47" s="28"/>
    </x:row>
    <x:row r="48">
      <x:c r="A48" s="28"/>
    </x:row>
    <x:row r="49">
      <x:c r="A49" s="28"/>
    </x:row>
    <x:row r="50">
      <x:c r="A50" s="28"/>
    </x:row>
    <x:row r="51">
      <x:c r="A51" s="28"/>
    </x:row>
    <x:row r="52">
      <x:c r="A52" s="28"/>
    </x:row>
    <x:row r="53">
      <x:c r="A53" s="28"/>
    </x:row>
    <x:row r="54">
      <x:c r="A54" s="28"/>
    </x:row>
    <x:row r="55">
      <x:c r="A55" s="28"/>
    </x:row>
    <x:row r="56">
      <x:c r="A56" s="28"/>
    </x:row>
    <x:row r="57">
      <x:c r="A57" s="28"/>
    </x:row>
    <x:row r="58">
      <x:c r="A58" s="28"/>
    </x:row>
    <x:row r="59">
      <x:c r="A59" s="28"/>
    </x:row>
    <x:row r="60">
      <x:c r="A60" s="28"/>
    </x:row>
    <x:row r="61">
      <x:c r="A61" s="28"/>
    </x:row>
    <x:row r="62">
      <x:c r="A62" s="28"/>
    </x:row>
    <x:row r="63">
      <x:c r="A63" s="28"/>
    </x:row>
    <x:row r="64">
      <x:c r="A64" s="28"/>
    </x:row>
    <x:row r="65">
      <x:c r="A65" s="28"/>
    </x:row>
    <x:row r="66">
      <x:c r="A66" s="28"/>
    </x:row>
    <x:row r="67">
      <x:c r="A67" s="28"/>
    </x:row>
    <x:row r="68">
      <x:c r="A68" s="28"/>
    </x:row>
    <x:row r="69">
      <x:c r="A69" s="28"/>
    </x:row>
    <x:row r="70">
      <x:c r="A70" s="28"/>
    </x:row>
    <x:row r="71">
      <x:c r="A71" s="28"/>
    </x:row>
    <x:row r="72">
      <x:c r="A72" s="28"/>
    </x:row>
    <x:row r="73">
      <x:c r="A73" s="28"/>
    </x:row>
    <x:row r="74">
      <x:c r="A74" s="28"/>
    </x:row>
    <x:row r="75">
      <x:c r="A75" s="28"/>
    </x:row>
    <x:row r="76">
      <x:c r="A76" s="28"/>
    </x:row>
    <x:row r="77">
      <x:c r="A77" s="28"/>
    </x:row>
    <x:row r="78">
      <x:c r="A78" s="28"/>
    </x:row>
    <x:row r="79">
      <x:c r="A79" s="28"/>
    </x:row>
    <x:row r="80">
      <x:c r="A80" s="28"/>
    </x:row>
    <x:row r="81">
      <x:c r="A81" s="28"/>
    </x:row>
    <x:row r="82">
      <x:c r="A82" s="28"/>
    </x:row>
    <x:row r="83">
      <x:c r="A83" s="28"/>
    </x:row>
    <x:row r="84">
      <x:c r="A84" s="28"/>
    </x:row>
    <x:row r="85">
      <x:c r="A85" s="28"/>
    </x:row>
    <x:row r="86">
      <x:c r="A86" s="28"/>
    </x:row>
    <x:row r="87">
      <x:c r="A87" s="28"/>
    </x:row>
    <x:row r="88">
      <x:c r="A88" s="28"/>
    </x:row>
    <x:row r="89">
      <x:c r="A89" s="28"/>
    </x:row>
    <x:row r="90">
      <x:c r="A90" s="28"/>
    </x:row>
    <x:row r="91">
      <x:c r="A91" s="28"/>
    </x:row>
    <x:row r="92">
      <x:c r="A92" s="28"/>
    </x:row>
    <x:row r="93">
      <x:c r="A93" s="28"/>
    </x:row>
    <x:row r="94">
      <x:c r="A94" s="28"/>
    </x:row>
    <x:row r="95">
      <x:c r="A95" s="28"/>
    </x:row>
    <x:row r="96">
      <x:c r="A96" s="28"/>
    </x:row>
    <x:row r="97">
      <x:c r="A97" s="28"/>
    </x:row>
    <x:row r="98">
      <x:c r="A98" s="28"/>
    </x:row>
    <x:row r="99">
      <x:c r="A99" s="28"/>
    </x:row>
    <x:row r="100">
      <x:c r="A100" s="28"/>
    </x:row>
    <x:row r="101">
      <x:c r="A101" s="28"/>
    </x:row>
    <x:row r="102">
      <x:c r="A102" s="28"/>
    </x:row>
    <x:row r="103">
      <x:c r="A103" s="28"/>
    </x:row>
    <x:row r="104">
      <x:c r="A104" s="28"/>
    </x:row>
    <x:row r="105">
      <x:c r="A105" s="28"/>
    </x:row>
    <x:row r="106">
      <x:c r="A106" s="28"/>
    </x:row>
    <x:row r="107">
      <x:c r="A107" s="28"/>
    </x:row>
    <x:row r="108">
      <x:c r="A108" s="28"/>
    </x:row>
    <x:row r="109">
      <x:c r="A109" s="28"/>
    </x:row>
    <x:row r="110">
      <x:c r="A110" s="28"/>
    </x:row>
    <x:row r="111">
      <x:c r="A111" s="28"/>
    </x:row>
    <x:row r="112">
      <x:c r="A112" s="28"/>
    </x:row>
    <x:row r="113">
      <x:c r="A113" s="28"/>
    </x:row>
    <x:row r="114">
      <x:c r="A114" s="28"/>
    </x:row>
    <x:row r="115">
      <x:c r="A115" s="28"/>
    </x:row>
    <x:row r="116">
      <x:c r="A116" s="28"/>
    </x:row>
    <x:row r="117">
      <x:c r="A117" s="28"/>
    </x:row>
    <x:row r="118">
      <x:c r="A118" s="28"/>
    </x:row>
    <x:row r="119">
      <x:c r="A119" s="28"/>
    </x:row>
    <x:row r="120">
      <x:c r="A120" s="28"/>
    </x:row>
    <x:row r="121">
      <x:c r="A121" s="28"/>
    </x:row>
    <x:row r="122">
      <x:c r="A122" s="28"/>
    </x:row>
    <x:row r="123">
      <x:c r="A123" s="28"/>
    </x:row>
    <x:row r="124">
      <x:c r="A124" s="28"/>
    </x:row>
    <x:row r="125">
      <x:c r="A125" s="28"/>
    </x:row>
    <x:row r="126">
      <x:c r="A126" s="28"/>
    </x:row>
    <x:row r="127">
      <x:c r="A127" s="28"/>
    </x:row>
    <x:row r="128">
      <x:c r="A128" s="28"/>
    </x:row>
    <x:row r="129">
      <x:c r="A129" s="28"/>
    </x:row>
    <x:row r="130">
      <x:c r="A130" s="28"/>
    </x:row>
    <x:row r="131">
      <x:c r="A131" s="28"/>
    </x:row>
    <x:row r="132">
      <x:c r="A132" s="28"/>
    </x:row>
    <x:row r="133">
      <x:c r="A133" s="28"/>
    </x:row>
    <x:row r="134">
      <x:c r="A134" s="28"/>
    </x:row>
    <x:row r="135">
      <x:c r="A135" s="28"/>
    </x:row>
    <x:row r="136">
      <x:c r="A136" s="28"/>
    </x:row>
    <x:row r="137">
      <x:c r="A137" s="28"/>
    </x:row>
    <x:row r="138">
      <x:c r="A138" s="28"/>
    </x:row>
    <x:row r="139">
      <x:c r="A139" s="28"/>
    </x:row>
    <x:row r="140">
      <x:c r="A140" s="28"/>
    </x:row>
    <x:row r="141">
      <x:c r="A141" s="28"/>
    </x:row>
    <x:row r="142">
      <x:c r="A142" s="28"/>
    </x:row>
    <x:row r="143">
      <x:c r="A143" s="28"/>
    </x:row>
    <x:row r="144">
      <x:c r="A144" s="28"/>
    </x:row>
    <x:row r="145">
      <x:c r="A145" s="28"/>
    </x:row>
    <x:row r="146">
      <x:c r="A146" s="28"/>
    </x:row>
    <x:row r="147">
      <x:c r="A147" s="28"/>
    </x:row>
    <x:row r="148">
      <x:c r="A148" s="28"/>
    </x:row>
    <x:row r="149">
      <x:c r="A149" s="28"/>
    </x:row>
    <x:row r="150">
      <x:c r="A150" s="28"/>
    </x:row>
    <x:row r="151">
      <x:c r="A151" s="28"/>
    </x:row>
    <x:row r="152">
      <x:c r="A152" s="28"/>
    </x:row>
    <x:row r="153">
      <x:c r="A153" s="28"/>
    </x:row>
    <x:row r="154">
      <x:c r="A154" s="28"/>
    </x:row>
    <x:row r="155">
      <x:c r="A155" s="28"/>
    </x:row>
    <x:row r="156">
      <x:c r="A156" s="28"/>
    </x:row>
    <x:row r="157">
      <x:c r="A157" s="28"/>
    </x:row>
    <x:row r="158">
      <x:c r="A158" s="28"/>
    </x:row>
    <x:row r="159">
      <x:c r="A159" s="28"/>
    </x:row>
    <x:row r="160">
      <x:c r="A160" s="28"/>
    </x:row>
    <x:row r="161">
      <x:c r="A161" s="28"/>
    </x:row>
    <x:row r="162">
      <x:c r="A162" s="28"/>
    </x:row>
    <x:row r="163">
      <x:c r="A163" s="28"/>
    </x:row>
    <x:row r="164">
      <x:c r="A164" s="28"/>
    </x:row>
    <x:row r="165">
      <x:c r="A165" s="28"/>
    </x:row>
    <x:row r="166">
      <x:c r="A166" s="28"/>
    </x:row>
    <x:row r="167">
      <x:c r="A167" s="28"/>
    </x:row>
    <x:row r="168">
      <x:c r="A168" s="28"/>
    </x:row>
    <x:row r="169">
      <x:c r="A169" s="28"/>
    </x:row>
    <x:row r="170">
      <x:c r="A170" s="28"/>
    </x:row>
    <x:row r="171">
      <x:c r="A171" s="28"/>
    </x:row>
    <x:row r="172">
      <x:c r="A172" s="28"/>
    </x:row>
    <x:row r="173">
      <x:c r="A173" s="28"/>
    </x:row>
    <x:row r="174">
      <x:c r="A174" s="28"/>
    </x:row>
    <x:row r="175">
      <x:c r="A175" s="28"/>
    </x:row>
    <x:row r="176">
      <x:c r="A176" s="28"/>
    </x:row>
    <x:row r="177">
      <x:c r="A177" s="28"/>
    </x:row>
    <x:row r="178">
      <x:c r="A178" s="28"/>
    </x:row>
    <x:row r="179">
      <x:c r="A179" s="28"/>
    </x:row>
    <x:row r="180">
      <x:c r="A180" s="28"/>
    </x:row>
    <x:row r="181">
      <x:c r="A181" s="28"/>
    </x:row>
    <x:row r="182">
      <x:c r="A182" s="28"/>
    </x:row>
    <x:row r="183">
      <x:c r="A183" s="28"/>
    </x:row>
    <x:row r="184">
      <x:c r="A184" s="28"/>
    </x:row>
    <x:row r="185">
      <x:c r="A185" s="28"/>
    </x:row>
    <x:row r="186">
      <x:c r="A186" s="28"/>
    </x:row>
    <x:row r="187">
      <x:c r="A187" s="28"/>
    </x:row>
    <x:row r="188">
      <x:c r="A188" s="28"/>
    </x:row>
    <x:row r="189">
      <x:c r="A189" s="28"/>
    </x:row>
    <x:row r="190">
      <x:c r="A190" s="28"/>
    </x:row>
    <x:row r="191">
      <x:c r="A191" s="28"/>
    </x:row>
    <x:row r="192">
      <x:c r="A192" s="28"/>
    </x:row>
    <x:row r="193">
      <x:c r="A193" s="28"/>
    </x:row>
    <x:row r="194">
      <x:c r="A194" s="28"/>
    </x:row>
    <x:row r="195">
      <x:c r="A195" s="28"/>
    </x:row>
    <x:row r="196">
      <x:c r="A196" s="28"/>
    </x:row>
    <x:row r="197">
      <x:c r="A197" s="28"/>
    </x:row>
    <x:row r="198">
      <x:c r="A198" s="28"/>
    </x:row>
    <x:row r="199">
      <x:c r="A199" s="28"/>
    </x:row>
    <x:row r="200">
      <x:c r="A200" s="28"/>
    </x:row>
    <x:row r="201">
      <x:c r="A201" s="28"/>
    </x:row>
    <x:row r="202">
      <x:c r="A202" s="28"/>
    </x:row>
    <x:row r="203">
      <x:c r="A203" s="28"/>
    </x:row>
    <x:row r="204">
      <x:c r="A204" s="28"/>
    </x:row>
    <x:row r="205">
      <x:c r="A205" s="28"/>
    </x:row>
    <x:row r="206">
      <x:c r="A206" s="28"/>
    </x:row>
    <x:row r="207">
      <x:c r="A207" s="28"/>
    </x:row>
    <x:row r="208">
      <x:c r="A208" s="28"/>
    </x:row>
    <x:row r="209">
      <x:c r="A209" s="28"/>
    </x:row>
    <x:row r="210">
      <x:c r="A210" s="28"/>
    </x:row>
    <x:row r="211">
      <x:c r="A211" s="28"/>
    </x:row>
    <x:row r="212">
      <x:c r="A212" s="28"/>
    </x:row>
    <x:row r="213">
      <x:c r="A213" s="28"/>
    </x:row>
    <x:row r="214">
      <x:c r="A214" s="28"/>
    </x:row>
    <x:row r="215">
      <x:c r="A215" s="28"/>
    </x:row>
    <x:row r="216">
      <x:c r="A216" s="28"/>
    </x:row>
    <x:row r="217">
      <x:c r="A217" s="28"/>
    </x:row>
    <x:row r="218">
      <x:c r="A218" s="28"/>
    </x:row>
    <x:row r="219">
      <x:c r="A219" s="28"/>
    </x:row>
    <x:row r="220">
      <x:c r="A220" s="28"/>
    </x:row>
    <x:row r="221">
      <x:c r="A221" s="28"/>
    </x:row>
    <x:row r="222">
      <x:c r="A222" s="28"/>
    </x:row>
    <x:row r="223">
      <x:c r="A223" s="28"/>
    </x:row>
    <x:row r="224">
      <x:c r="A224" s="28"/>
    </x:row>
    <x:row r="225">
      <x:c r="A225" s="28"/>
    </x:row>
    <x:row r="226">
      <x:c r="A226" s="28"/>
    </x:row>
    <x:row r="227">
      <x:c r="A227" s="28"/>
    </x:row>
    <x:row r="228">
      <x:c r="A228" s="28"/>
    </x:row>
    <x:row r="229">
      <x:c r="A229" s="28"/>
    </x:row>
    <x:row r="230">
      <x:c r="A230" s="28"/>
    </x:row>
    <x:row r="231">
      <x:c r="A231" s="28"/>
    </x:row>
    <x:row r="232">
      <x:c r="A232" s="28"/>
    </x:row>
    <x:row r="233">
      <x:c r="A233" s="28"/>
    </x:row>
    <x:row r="234">
      <x:c r="A234" s="28"/>
    </x:row>
    <x:row r="235">
      <x:c r="A235" s="28"/>
    </x:row>
    <x:row r="236">
      <x:c r="A236" s="28"/>
    </x:row>
    <x:row r="237">
      <x:c r="A237" s="28"/>
    </x:row>
    <x:row r="238">
      <x:c r="A238" s="28"/>
    </x:row>
    <x:row r="239">
      <x:c r="A239" s="28"/>
    </x:row>
    <x:row r="240">
      <x:c r="A240" s="28"/>
    </x:row>
    <x:row r="241">
      <x:c r="A241" s="28"/>
    </x:row>
    <x:row r="242">
      <x:c r="A242" s="28"/>
    </x:row>
    <x:row r="243">
      <x:c r="A243" s="28"/>
    </x:row>
    <x:row r="244">
      <x:c r="A244" s="28"/>
    </x:row>
    <x:row r="245">
      <x:c r="A245" s="28"/>
    </x:row>
    <x:row r="246">
      <x:c r="A246" s="28"/>
    </x:row>
    <x:row r="247">
      <x:c r="A247" s="28"/>
    </x:row>
    <x:row r="248">
      <x:c r="A248" s="28"/>
    </x:row>
    <x:row r="249">
      <x:c r="A249" s="28"/>
    </x:row>
    <x:row r="250">
      <x:c r="A250" s="28"/>
    </x:row>
    <x:row r="251">
      <x:c r="A251" s="28"/>
    </x:row>
    <x:row r="252">
      <x:c r="A252" s="28"/>
    </x:row>
    <x:row r="253">
      <x:c r="A253" s="28"/>
    </x:row>
    <x:row r="254">
      <x:c r="A254" s="28"/>
    </x:row>
    <x:row r="255">
      <x:c r="A255" s="28"/>
    </x:row>
    <x:row r="256">
      <x:c r="A256" s="28"/>
    </x:row>
    <x:row r="257">
      <x:c r="A257" s="28"/>
    </x:row>
    <x:row r="258">
      <x:c r="A258" s="28"/>
    </x:row>
    <x:row r="259">
      <x:c r="A259" s="28"/>
    </x:row>
    <x:row r="260">
      <x:c r="A260" s="28"/>
    </x:row>
    <x:row r="261">
      <x:c r="A261" s="28"/>
    </x:row>
    <x:row r="262">
      <x:c r="A262" s="28"/>
    </x:row>
    <x:row r="263">
      <x:c r="A263" s="28"/>
    </x:row>
    <x:row r="264">
      <x:c r="A264" s="28"/>
    </x:row>
    <x:row r="265">
      <x:c r="A265" s="28"/>
    </x:row>
    <x:row r="266">
      <x:c r="A266" s="28"/>
    </x:row>
    <x:row r="267">
      <x:c r="A267" s="28"/>
    </x:row>
    <x:row r="268">
      <x:c r="A268" s="28"/>
    </x:row>
    <x:row r="269">
      <x:c r="A269" s="28"/>
    </x:row>
    <x:row r="270">
      <x:c r="A270" s="28"/>
    </x:row>
    <x:row r="271">
      <x:c r="A271" s="28"/>
    </x:row>
    <x:row r="272">
      <x:c r="A272" s="28"/>
    </x:row>
    <x:row r="273">
      <x:c r="A273" s="28"/>
    </x:row>
    <x:row r="274">
      <x:c r="A274" s="28"/>
    </x:row>
    <x:row r="275">
      <x:c r="A275" s="28"/>
    </x:row>
    <x:row r="276">
      <x:c r="A276" s="28"/>
    </x:row>
    <x:row r="277">
      <x:c r="A277" s="28"/>
    </x:row>
    <x:row r="278">
      <x:c r="A278" s="28"/>
    </x:row>
    <x:row r="279">
      <x:c r="A279" s="28"/>
    </x:row>
    <x:row r="280">
      <x:c r="A280" s="28"/>
    </x:row>
    <x:row r="281">
      <x:c r="A281" s="28"/>
    </x:row>
    <x:row r="282">
      <x:c r="A282" s="28"/>
    </x:row>
    <x:row r="283">
      <x:c r="A283" s="28"/>
    </x:row>
    <x:row r="284">
      <x:c r="A284" s="28"/>
    </x:row>
    <x:row r="285">
      <x:c r="A285" s="28"/>
    </x:row>
    <x:row r="286">
      <x:c r="A286" s="28"/>
    </x:row>
    <x:row r="287">
      <x:c r="A287" s="28"/>
    </x:row>
    <x:row r="288">
      <x:c r="A288" s="28"/>
    </x:row>
    <x:row r="289">
      <x:c r="A289" s="28"/>
    </x:row>
    <x:row r="290">
      <x:c r="A290" s="28"/>
    </x:row>
    <x:row r="291">
      <x:c r="A291" s="28"/>
    </x:row>
    <x:row r="292">
      <x:c r="A292" s="28"/>
    </x:row>
    <x:row r="293">
      <x:c r="A293" s="28"/>
    </x:row>
    <x:row r="294">
      <x:c r="A294" s="28"/>
    </x:row>
    <x:row r="295">
      <x:c r="A295" s="28"/>
    </x:row>
    <x:row r="296">
      <x:c r="A296" s="28"/>
    </x:row>
    <x:row r="297">
      <x:c r="A297" s="28"/>
    </x:row>
    <x:row r="298">
      <x:c r="A298" s="28"/>
    </x:row>
    <x:row r="299">
      <x:c r="A299" s="28"/>
    </x:row>
    <x:row r="300">
      <x:c r="A300" s="28"/>
    </x:row>
    <x:row r="301">
      <x:c r="A301" s="28"/>
    </x:row>
    <x:row r="302">
      <x:c r="A302" s="28"/>
    </x:row>
    <x:row r="303">
      <x:c r="A303" s="28"/>
    </x:row>
    <x:row r="304">
      <x:c r="A304" s="28"/>
    </x:row>
    <x:row r="305">
      <x:c r="A305" s="28"/>
    </x:row>
    <x:row r="306">
      <x:c r="A306" s="28"/>
    </x:row>
    <x:row r="307">
      <x:c r="A307" s="28"/>
    </x:row>
    <x:row r="308">
      <x:c r="A308" s="28"/>
    </x:row>
    <x:row r="309">
      <x:c r="A309" s="28"/>
    </x:row>
    <x:row r="310">
      <x:c r="A310" s="28"/>
    </x:row>
    <x:row r="311">
      <x:c r="A311" s="28"/>
    </x:row>
    <x:row r="312">
      <x:c r="A312" s="28"/>
    </x:row>
    <x:row r="313">
      <x:c r="A313" s="28"/>
    </x:row>
    <x:row r="314">
      <x:c r="A314" s="28"/>
    </x:row>
    <x:row r="315">
      <x:c r="A315" s="28"/>
    </x:row>
    <x:row r="316">
      <x:c r="A316" s="28"/>
    </x:row>
    <x:row r="317">
      <x:c r="A317" s="28"/>
    </x:row>
    <x:row r="318">
      <x:c r="A318" s="28"/>
    </x:row>
    <x:row r="319">
      <x:c r="A319" s="28"/>
    </x:row>
    <x:row r="320">
      <x:c r="A320" s="28"/>
    </x:row>
    <x:row r="321">
      <x:c r="A321" s="28"/>
    </x:row>
    <x:row r="322">
      <x:c r="A322" s="28"/>
    </x:row>
    <x:row r="323">
      <x:c r="A323" s="28"/>
    </x:row>
    <x:row r="324">
      <x:c r="A324" s="28"/>
    </x:row>
    <x:row r="325">
      <x:c r="A325" s="28"/>
    </x:row>
    <x:row r="326">
      <x:c r="A326" s="28"/>
    </x:row>
    <x:row r="327">
      <x:c r="A327" s="28"/>
    </x:row>
    <x:row r="328">
      <x:c r="A328" s="28"/>
    </x:row>
    <x:row r="329">
      <x:c r="A329" s="28"/>
    </x:row>
    <x:row r="330">
      <x:c r="A330" s="28"/>
    </x:row>
    <x:row r="331">
      <x:c r="A331" s="28"/>
    </x:row>
    <x:row r="332">
      <x:c r="A332" s="28"/>
    </x:row>
    <x:row r="333">
      <x:c r="A333" s="28"/>
    </x:row>
    <x:row r="334">
      <x:c r="A334" s="28"/>
    </x:row>
    <x:row r="335">
      <x:c r="A335" s="28"/>
    </x:row>
    <x:row r="336">
      <x:c r="A336" s="28"/>
    </x:row>
    <x:row r="337">
      <x:c r="A337" s="28"/>
    </x:row>
    <x:row r="338">
      <x:c r="A338" s="28"/>
    </x:row>
    <x:row r="339">
      <x:c r="A339" s="28"/>
    </x:row>
    <x:row r="340">
      <x:c r="A340" s="28"/>
    </x:row>
    <x:row r="341">
      <x:c r="A341" s="28"/>
    </x:row>
    <x:row r="342">
      <x:c r="A342" s="28"/>
    </x:row>
    <x:row r="343">
      <x:c r="A343" s="28"/>
    </x:row>
    <x:row r="344">
      <x:c r="A344" s="28"/>
    </x:row>
    <x:row r="345">
      <x:c r="A345" s="28"/>
    </x:row>
    <x:row r="346">
      <x:c r="A346" s="28"/>
    </x:row>
    <x:row r="347">
      <x:c r="A347" s="28"/>
    </x:row>
    <x:row r="348">
      <x:c r="A348" s="28"/>
    </x:row>
    <x:row r="349">
      <x:c r="A349" s="28"/>
    </x:row>
    <x:row r="350">
      <x:c r="A350" s="28"/>
    </x:row>
    <x:row r="351">
      <x:c r="A351" s="28"/>
    </x:row>
    <x:row r="352">
      <x:c r="A352" s="28"/>
    </x:row>
    <x:row r="353">
      <x:c r="A353" s="28"/>
    </x:row>
    <x:row r="354">
      <x:c r="A354" s="28"/>
    </x:row>
    <x:row r="355">
      <x:c r="A355" s="28"/>
    </x:row>
    <x:row r="356">
      <x:c r="A356" s="28"/>
    </x:row>
    <x:row r="357">
      <x:c r="A357" s="28"/>
    </x:row>
    <x:row r="358">
      <x:c r="A358" s="28"/>
    </x:row>
    <x:row r="359">
      <x:c r="A359" s="28"/>
    </x:row>
    <x:row r="360">
      <x:c r="A360" s="28"/>
    </x:row>
    <x:row r="361">
      <x:c r="A361" s="28"/>
    </x:row>
    <x:row r="362">
      <x:c r="A362" s="28"/>
    </x:row>
    <x:row r="363">
      <x:c r="A363" s="28"/>
    </x:row>
    <x:row r="364">
      <x:c r="A364" s="28"/>
    </x:row>
    <x:row r="365">
      <x:c r="A365" s="28"/>
    </x:row>
    <x:row r="366">
      <x:c r="A366" s="28"/>
    </x:row>
    <x:row r="367">
      <x:c r="A367" s="28"/>
    </x:row>
    <x:row r="368">
      <x:c r="A368" s="28"/>
    </x:row>
    <x:row r="369">
      <x:c r="A369" s="28"/>
    </x:row>
    <x:row r="370">
      <x:c r="A370" s="28"/>
    </x:row>
    <x:row r="371">
      <x:c r="A371" s="28"/>
    </x:row>
    <x:row r="372">
      <x:c r="A372" s="28"/>
    </x:row>
    <x:row r="373">
      <x:c r="A373" s="28"/>
    </x:row>
    <x:row r="374">
      <x:c r="A374" s="28"/>
    </x:row>
    <x:row r="375">
      <x:c r="A375" s="28"/>
    </x:row>
    <x:row r="376">
      <x:c r="A376" s="28"/>
    </x:row>
    <x:row r="377">
      <x:c r="A377" s="28"/>
    </x:row>
    <x:row r="378">
      <x:c r="A378" s="28"/>
    </x:row>
    <x:row r="379">
      <x:c r="A379" s="28"/>
    </x:row>
    <x:row r="380">
      <x:c r="A380" s="28"/>
    </x:row>
    <x:row r="381">
      <x:c r="A381" s="28"/>
    </x:row>
    <x:row r="382">
      <x:c r="A382" s="28"/>
    </x:row>
    <x:row r="383">
      <x:c r="A383" s="28"/>
    </x:row>
    <x:row r="384">
      <x:c r="A384" s="28"/>
    </x:row>
    <x:row r="385">
      <x:c r="A385" s="28"/>
    </x:row>
    <x:row r="386">
      <x:c r="A386" s="28"/>
    </x:row>
    <x:row r="387">
      <x:c r="A387" s="28"/>
    </x:row>
    <x:row r="388">
      <x:c r="A388" s="28"/>
    </x:row>
    <x:row r="389">
      <x:c r="A389" s="28"/>
    </x:row>
    <x:row r="390">
      <x:c r="A390" s="28"/>
    </x:row>
    <x:row r="391">
      <x:c r="A391" s="28"/>
    </x:row>
    <x:row r="392">
      <x:c r="A392" s="28"/>
    </x:row>
    <x:row r="393">
      <x:c r="A393" s="28"/>
    </x:row>
    <x:row r="394">
      <x:c r="A394" s="28"/>
    </x:row>
    <x:row r="395">
      <x:c r="A395" s="28"/>
    </x:row>
    <x:row r="396">
      <x:c r="A396" s="28"/>
    </x:row>
    <x:row r="397">
      <x:c r="A397" s="28"/>
    </x:row>
    <x:row r="398">
      <x:c r="A398" s="28"/>
    </x:row>
    <x:row r="399">
      <x:c r="A399" s="28"/>
    </x:row>
    <x:row r="400">
      <x:c r="A400" s="28"/>
    </x:row>
  </x:sheetData>
  <x:mergeCells>
    <x:mergeCell ref="A1:F1"/>
    <x:mergeCell ref="A2:F2"/>
  </x:mergeCells>
  <x:conditionalFormatting sqref="F18:F27">
    <x:cfRule type="expression" dxfId="3" priority="1">
      <x:formula>F18="已完成"</x:formula>
    </x:cfRule>
    <x:cfRule type="expression" dxfId="4" priority="2">
      <x:formula>F18="未完成"</x:formula>
    </x:cfRule>
  </x:conditionalFormatting>
  <x:dataValidations count="1">
    <x:dataValidation type="list" sqref="F18:F27">
      <x:formula1>"未完成,已完成,不适用"</x:formula1>
    </x:dataValidation>
  </x:dataValidations>
  <x:pageMargins left="0.7" right="0.7" top="0.75" bottom="0.75" header="0.3" footer="0.3"/>
</x:worksheet>
</file>