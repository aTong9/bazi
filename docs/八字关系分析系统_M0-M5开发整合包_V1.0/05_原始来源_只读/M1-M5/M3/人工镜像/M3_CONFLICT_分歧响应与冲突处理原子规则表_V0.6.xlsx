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927fbcb164f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说明" sheetId="1" r:id="Rdad80d0b1f7f4025"/>
    <x:sheet xmlns:r="http://schemas.openxmlformats.org/officeDocument/2006/relationships" name="01_十神冲突速查" sheetId="2" r:id="R8b5aabcda8f94054"/>
    <x:sheet xmlns:r="http://schemas.openxmlformats.org/officeDocument/2006/relationships" name="02_过程维度矩阵" sheetId="3" r:id="R2d39631000cd4ae6"/>
    <x:sheet xmlns:r="http://schemas.openxmlformats.org/officeDocument/2006/relationships" name="03_冲突模式矩阵" sheetId="4" r:id="R35372167ac364e27"/>
    <x:sheet xmlns:r="http://schemas.openxmlformats.org/officeDocument/2006/relationships" name="04_处理顺序与路径" sheetId="5" r:id="R311755f9a71942bc"/>
    <x:sheet xmlns:r="http://schemas.openxmlformats.org/officeDocument/2006/relationships" name="05_宫位动态矩阵" sheetId="6" r:id="R610ca526dc0548ca"/>
    <x:sheet xmlns:r="http://schemas.openxmlformats.org/officeDocument/2006/relationships" name="06_状态修正矩阵" sheetId="7" r:id="Rfb0ae0092f4b48ca"/>
    <x:sheet xmlns:r="http://schemas.openxmlformats.org/officeDocument/2006/relationships" name="07_接口与去重" sheetId="8" r:id="Rf60ffb9fb43a4b54"/>
    <x:sheet xmlns:r="http://schemas.openxmlformats.org/officeDocument/2006/relationships" name="08_原子规则" sheetId="9" r:id="Raf8030d3fa124ffa"/>
    <x:sheet xmlns:r="http://schemas.openxmlformats.org/officeDocument/2006/relationships" name="09_门控与停止" sheetId="10" r:id="R67ea98f533644af2"/>
    <x:sheet xmlns:r="http://schemas.openxmlformats.org/officeDocument/2006/relationships" name="10_输出模板与句库" sheetId="11" r:id="Rc236e7a79f174ef7"/>
    <x:sheet xmlns:r="http://schemas.openxmlformats.org/officeDocument/2006/relationships" name="11_案例验证" sheetId="12" r:id="Rf44f62cc52cb43fb"/>
    <x:sheet xmlns:r="http://schemas.openxmlformats.org/officeDocument/2006/relationships" name="12_字段词典" sheetId="13" r:id="Rd7b42f184bb54b1a"/>
    <x:sheet xmlns:r="http://schemas.openxmlformats.org/officeDocument/2006/relationships" name="13_版本与验证" sheetId="14" r:id="Rcb66d01e386c4d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1F1F1F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  <x:font>
      <x:b/>
      <x:sz val="9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</x:fills>
  <x:borders count="26">
    <x:border/>
    <x:border/>
    <x:border>
      <x:bottom/>
    </x:border>
    <x:border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4" fillId="0" borderId="25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4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2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 applyAlignment="1">
      <x:alignment vertical="top" wrapText="1"/>
    </x:xf>
    <x:xf numFmtId="0" fontId="5" fillId="5" borderId="2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22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996dfe196c4706" /><Relationship Type="http://schemas.openxmlformats.org/officeDocument/2006/relationships/theme" Target="/xl/theme/theme1.xml" Id="R8040f0322c2d4b0c" /><Relationship Type="http://schemas.openxmlformats.org/officeDocument/2006/relationships/sharedStrings" Target="/xl/sharedStrings.xml" Id="R06dd95160d6e4677" /><Relationship Type="http://schemas.openxmlformats.org/officeDocument/2006/relationships/worksheet" Target="/xl/worksheets/sheet1.xml" Id="Rdad80d0b1f7f4025" /><Relationship Type="http://schemas.openxmlformats.org/officeDocument/2006/relationships/worksheet" Target="/xl/worksheets/sheet2.xml" Id="R8b5aabcda8f94054" /><Relationship Type="http://schemas.openxmlformats.org/officeDocument/2006/relationships/worksheet" Target="/xl/worksheets/sheet3.xml" Id="R2d39631000cd4ae6" /><Relationship Type="http://schemas.openxmlformats.org/officeDocument/2006/relationships/worksheet" Target="/xl/worksheets/sheet4.xml" Id="R35372167ac364e27" /><Relationship Type="http://schemas.openxmlformats.org/officeDocument/2006/relationships/worksheet" Target="/xl/worksheets/sheet5.xml" Id="R311755f9a71942bc" /><Relationship Type="http://schemas.openxmlformats.org/officeDocument/2006/relationships/worksheet" Target="/xl/worksheets/sheet6.xml" Id="R610ca526dc0548ca" /><Relationship Type="http://schemas.openxmlformats.org/officeDocument/2006/relationships/worksheet" Target="/xl/worksheets/sheet7.xml" Id="Rfb0ae0092f4b48ca" /><Relationship Type="http://schemas.openxmlformats.org/officeDocument/2006/relationships/worksheet" Target="/xl/worksheets/sheet8.xml" Id="Rf60ffb9fb43a4b54" /><Relationship Type="http://schemas.openxmlformats.org/officeDocument/2006/relationships/worksheet" Target="/xl/worksheets/sheet9.xml" Id="Raf8030d3fa124ffa" /><Relationship Type="http://schemas.openxmlformats.org/officeDocument/2006/relationships/worksheet" Target="/xl/worksheets/sheet10.xml" Id="R67ea98f533644af2" /><Relationship Type="http://schemas.openxmlformats.org/officeDocument/2006/relationships/worksheet" Target="/xl/worksheets/sheet11.xml" Id="Rc236e7a79f174ef7" /><Relationship Type="http://schemas.openxmlformats.org/officeDocument/2006/relationships/worksheet" Target="/xl/worksheets/sheet12.xml" Id="Rf44f62cc52cb43fb" /><Relationship Type="http://schemas.openxmlformats.org/officeDocument/2006/relationships/worksheet" Target="/xl/worksheets/sheet13.xml" Id="Rd7b42f184bb54b1a" /><Relationship Type="http://schemas.openxmlformats.org/officeDocument/2006/relationships/worksheet" Target="/xl/worksheets/sheet14.xml" Id="Rcb66d01e386c4d5b" /></Relationships>
</file>

<file path=xl/tables/table1.xml><?xml version="1.0" encoding="utf-8"?>
<x:table xmlns:x="http://schemas.openxmlformats.org/spreadsheetml/2006/main" id="1" name="ConflictRulesTable" displayName="ConflictRulesTable" ref="A4:AE284" headerRowCount="1" totalsRowCount="0" totalsRowShown="0">
  <x:tableColumns count="31">
    <x:tableColumn id="1" name="rule_id"/>
    <x:tableColumn id="2" name="rule_name"/>
    <x:tableColumn id="3" name="layer"/>
    <x:tableColumn id="4" name="module"/>
    <x:tableColumn id="5" name="applicable_group"/>
    <x:tableColumn id="6" name="rule_type"/>
    <x:tableColumn id="7" name="main_signal"/>
    <x:tableColumn id="8" name="secondary_signal"/>
    <x:tableColumn id="9" name="required_conditions"/>
    <x:tableColumn id="10" name="excluded_conditions"/>
    <x:tableColumn id="11" name="self_strength_status"/>
    <x:tableColumn id="12" name="spouse_star_status"/>
    <x:tableColumn id="13" name="palace_signal"/>
    <x:tableColumn id="14" name="flow_path"/>
    <x:tableColumn id="15" name="signal_position"/>
    <x:tableColumn id="16" name="root_status"/>
    <x:tableColumn id="17" name="strength_level"/>
    <x:tableColumn id="18" name="favorability"/>
    <x:tableColumn id="19" name="transformation_status"/>
    <x:tableColumn id="20" name="distance_level"/>
    <x:tableColumn id="21" name="priority"/>
    <x:tableColumn id="22" name="score_effect"/>
    <x:tableColumn id="23" name="output_slot"/>
    <x:tableColumn id="24" name="internal_logic"/>
    <x:tableColumn id="25" name="user_explanation"/>
    <x:tableColumn id="26" name="forbidden_inference"/>
    <x:tableColumn id="27" name="confidence_base"/>
    <x:tableColumn id="28" name="validation_status"/>
    <x:tableColumn id="29" name="case_refs"/>
    <x:tableColumn id="30" name="notes"/>
    <x:tableColumn id="31" name="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lictGatesTable" displayName="ConflictGatesTable" ref="A4:H99" headerRowCount="1" totalsRowCount="0" totalsRowShown="0">
  <x:tableColumns count="8">
    <x:tableColumn id="1" name="规则ID"/>
    <x:tableColumn id="2" name="规则名称"/>
    <x:tableColumn id="3" name="触发条件"/>
    <x:tableColumn id="4" name="正确处理"/>
    <x:tableColumn id="5" name="用户语言"/>
    <x:tableColumn id="6" name="禁止推出"/>
    <x:tableColumn id="7" name="输出字段"/>
    <x:tableColumn id="8" name="优先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flictCasesTable" displayName="ConflictCasesTable" ref="A4:S32" headerRowCount="1" totalsRowCount="0" totalsRowShown="0">
  <x:tableColumns count="19">
    <x:tableColumn id="1" name="案例ID"/>
    <x:tableColumn id="2" name="案例类型"/>
    <x:tableColumn id="3" name="结构摘要"/>
    <x:tableColumn id="4" name="source_id摘要"/>
    <x:tableColumn id="5" name="BASE底盘"/>
    <x:tableColumn id="6" name="主冲突通道"/>
    <x:tableColumn id="7" name="次冲突通道"/>
    <x:tableColumn id="8" name="第一反应"/>
    <x:tableColumn id="9" name="注意焦点"/>
    <x:tableColumn id="10" name="处理顺序"/>
    <x:tableColumn id="11" name="暂停方式"/>
    <x:tableColumn id="12" name="阶段结束条件"/>
    <x:tableColumn id="13" name="冲突模式"/>
    <x:tableColumn id="14" name="状态切换"/>
    <x:tableColumn id="15" name="置信度"/>
    <x:tableColumn id="16" name="预期用户输出"/>
    <x:tableColumn id="17" name="真实反馈"/>
    <x:tableColumn id="18" name="匹配程度"/>
    <x:tableColumn id="19" name="偏差／修改建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aed0f60dee8a450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.xml" Id="R567bde700a2447d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.xml" Id="Rbc4aead37159426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42" hidden="0" customWidth="1"/>
    <x:col min="4" max="4" width="38" hidden="0" customWidth="1"/>
  </x:cols>
  <x:sheetData>
    <x:row r="1" ht="28" customHeight="1">
      <x:c r="A1" s="7" t="str">
        <x:v>M3-CONFLICT 分歧响应与冲突处理原子规则库 V0.6</x:v>
      </x:c>
      <x:c r="B1" s="7" t="str">
        <x:v>M3-CONFLICT 分歧响应与冲突处理原子规则库 V0.6</x:v>
      </x:c>
      <x:c r="C1" s="7" t="str">
        <x:v>M3-CONFLICT 分歧响应与冲突处理原子规则库 V0.6</x:v>
      </x:c>
      <x:c r="D1" s="7" t="str">
        <x:v>M3-CONFLICT 分歧响应与冲突处理原子规则库 V0.6</x:v>
      </x:c>
    </x:row>
    <x:row r="2" ht="30" customHeight="1">
      <x:c r="A2" s="17" t="str">
        <x:v>用途：快速学习、案例分析、规则检索与后续程序迁移。当前280条规则均为待验证、provisional=true。</x:v>
      </x:c>
      <x:c r="B2" s="17" t="str">
        <x:v>用途：快速学习、案例分析、规则检索与后续程序迁移。当前280条规则均为待验证、provisional=true。</x:v>
      </x:c>
      <x:c r="C2" s="17" t="str">
        <x:v>用途：快速学习、案例分析、规则检索与后续程序迁移。当前280条规则均为待验证、provisional=true。</x:v>
      </x:c>
      <x:c r="D2" s="17" t="str">
        <x:v>用途：快速学习、案例分析、规则检索与后续程序迁移。当前280条规则均为待验证、provisional=true。</x:v>
      </x:c>
    </x:row>
    <x:row r="4" ht="24" customHeight="1">
      <x:c r="A4" s="33" t="str">
        <x:v>项目</x:v>
      </x:c>
      <x:c r="B4" s="34" t="str">
        <x:v>内容</x:v>
      </x:c>
      <x:c r="C4" s="34" t="str">
        <x:v>检查重点</x:v>
      </x:c>
      <x:c r="D4" s="35" t="str">
        <x:v>快速检索提示</x:v>
      </x:c>
    </x:row>
    <x:row r="5">
      <x:c r="A5" s="68" t="str">
        <x:v>模型问题</x:v>
      </x:c>
      <x:c r="B5" s="69" t="str">
        <x:v>进入关系后，意见不一致时，用户通常先处理什么、怎样表达立场、何时暂停、怎样形成方案，以及什么条件下认为这一轮可以先结束？</x:v>
      </x:c>
      <x:c r="C5" s="69" t="str">
        <x:v>只描述处理顺序与功能，不判断攻击、冷战、控制、风险或关系结果。</x:v>
      </x:c>
      <x:c r="D5" s="70" t="str">
        <x:v>Ctrl+F：比肩、伤官、正印、CF04、FQ03、FP11、FO07、FS06、日支冲、真合化</x:v>
      </x:c>
    </x:row>
    <x:row r="6">
      <x:c r="A6" s="71" t="str">
        <x:v>本模块输出</x:v>
      </x:c>
      <x:c r="B6" s="72" t="str">
        <x:v>主／次冲突通道、第一反应、注意焦点、事实情绪顺序、立场表达、责任处理、方案、暂停、回应接收、结束条件、复盘、路径、状态和置信度</x:v>
      </x:c>
      <x:c r="C6" s="72" t="str">
        <x:v>第一反应≠最终解决；问题结束≠关系修复。</x:v>
      </x:c>
      <x:c r="D6" s="73" t="str">
        <x:v>先看01—07，再到08查规则ID，输出前看09—10。</x:v>
      </x:c>
    </x:row>
    <x:row r="7">
      <x:c r="A7" s="71" t="str">
        <x:v>规则数量</x:v>
      </x:c>
      <x:c r="B7" s="72" t="n">
        <x:v>280</x:v>
      </x:c>
      <x:c r="C7" s="72" t="str">
        <x:v>M3-CONFLICT-001—M3-CONFLICT-280</x:v>
      </x:c>
      <x:c r="D7" s="73" t="str">
        <x:v>全部待验证、provisional=true</x:v>
      </x:c>
    </x:row>
    <x:row r="8">
      <x:c r="A8" s="71" t="str">
        <x:v>版本日期</x:v>
      </x:c>
      <x:c r="B8" s="72" t="str">
        <x:v>2026-08-26</x:v>
      </x:c>
      <x:c r="C8" s="72" t="str">
        <x:v>知识库工程参数，不是统计准确率。</x:v>
      </x:c>
      <x:c r="D8" s="73" t="str"/>
    </x:row>
    <x:row r="9">
      <x:c r="A9" s="71" t="str"/>
      <x:c r="B9" s="72" t="str"/>
      <x:c r="C9" s="72" t="str"/>
      <x:c r="D9" s="73" t="str"/>
    </x:row>
    <x:row r="10">
      <x:c r="A10" s="110" t="str">
        <x:v>90秒案例分析顺序</x:v>
      </x:c>
      <x:c r="B10" s="111" t="str"/>
      <x:c r="C10" s="111" t="str"/>
      <x:c r="D10" s="112" t="str"/>
    </x:row>
    <x:row r="11">
      <x:c r="A11" s="71" t="str">
        <x:v>步骤</x:v>
      </x:c>
      <x:c r="B11" s="72" t="str">
        <x:v>任务</x:v>
      </x:c>
      <x:c r="C11" s="72" t="str">
        <x:v>检查重点</x:v>
      </x:c>
      <x:c r="D11" s="73" t="str">
        <x:v>快速提示</x:v>
      </x:c>
    </x:row>
    <x:row r="12">
      <x:c r="A12" s="71" t="str">
        <x:v>1</x:v>
      </x:c>
      <x:c r="B12" s="72" t="str">
        <x:v>确认M3-BASE有效</x:v>
      </x:c>
      <x:c r="C12" s="72" t="str">
        <x:v>日支主气、合化、旺衰和source_id先可靠。</x:v>
      </x:c>
      <x:c r="D12" s="73" t="str">
        <x:v>BASE未定时CONFLICT不得硬输出。</x:v>
      </x:c>
    </x:row>
    <x:row r="13">
      <x:c r="A13" s="71" t="str">
        <x:v>2</x:v>
      </x:c>
      <x:c r="B13" s="72" t="str">
        <x:v>标记十类冲突通道</x:v>
      </x:c>
      <x:c r="C13" s="72" t="str">
        <x:v>CF01—CF10：平等、即时、缓冲、澄清、现实、换案、规则、决断、承接、内化。</x:v>
      </x:c>
      <x:c r="D13" s="73" t="str">
        <x:v>01_十神冲突速查</x:v>
      </x:c>
    </x:row>
    <x:row r="14">
      <x:c r="A14" s="71" t="str">
        <x:v>3</x:v>
      </x:c>
      <x:c r="B14" s="72" t="str">
        <x:v>确定第一反应与注意焦点</x:v>
      </x:c>
      <x:c r="C14" s="72" t="str">
        <x:v>FQ01—FQ03：多快进入、先看立场／事实／感受／任务、事实与情绪怎样排序。</x:v>
      </x:c>
      <x:c r="D14" s="73" t="str">
        <x:v>02_过程维度矩阵</x:v>
      </x:c>
    </x:row>
    <x:row r="15">
      <x:c r="A15" s="71" t="str">
        <x:v>4</x:v>
      </x:c>
      <x:c r="B15" s="72" t="str">
        <x:v>判断表达、责任与方案</x:v>
      </x:c>
      <x:c r="C15" s="72" t="str">
        <x:v>FQ04—FQ06：怎样说立场、怎样分责任、怎样形成方案。</x:v>
      </x:c>
      <x:c r="D15" s="73" t="str">
        <x:v>表达直接≠攻击；协商≠单方退让。</x:v>
      </x:c>
    </x:row>
    <x:row r="16">
      <x:c r="A16" s="71" t="str">
        <x:v>5</x:v>
      </x:c>
      <x:c r="B16" s="72" t="str">
        <x:v>判断暂停、接收与结束</x:v>
      </x:c>
      <x:c r="C16" s="72" t="str">
        <x:v>FQ07—FQ10：怎样暂停、怎样听对方、何时阶段结束、怎样复盘。</x:v>
      </x:c>
      <x:c r="D16" s="73" t="str">
        <x:v>暂停必须检查回归路径。</x:v>
      </x:c>
    </x:row>
    <x:row r="17">
      <x:c r="A17" s="71" t="str">
        <x:v>6</x:v>
      </x:c>
      <x:c r="B17" s="72" t="str">
        <x:v>确定模式与处理顺序</x:v>
      </x:c>
      <x:c r="C17" s="72" t="str">
        <x:v>FP01—FP12、FO01—FO12、FS01—FS08、FF01—FF08。</x:v>
      </x:c>
      <x:c r="D17" s="73" t="str">
        <x:v>03—04工作表</x:v>
      </x:c>
    </x:row>
    <x:row r="18">
      <x:c r="A18" s="71" t="str">
        <x:v>7</x:v>
      </x:c>
      <x:c r="B18" s="72" t="str">
        <x:v>应用宫位与状态修正</x:v>
      </x:c>
      <x:c r="C18" s="72" t="str">
        <x:v>合冲刑害破、透藏、根气、旺弱、喜忌、制化、位置和真合化。</x:v>
      </x:c>
      <x:c r="D18" s="73" t="str">
        <x:v>05—06工作表</x:v>
      </x:c>
    </x:row>
    <x:row r="19">
      <x:c r="A19" s="71" t="str">
        <x:v>8</x:v>
      </x:c>
      <x:c r="B19" s="72" t="str">
        <x:v>完成接口与同源去重</x:v>
      </x:c>
      <x:c r="C19" s="72" t="str">
        <x:v>BASE、EXPR、CARE、BOUND、M2共享事实只计一次。</x:v>
      </x:c>
      <x:c r="D19" s="73" t="str">
        <x:v>07_接口与去重</x:v>
      </x:c>
    </x:row>
    <x:row r="20">
      <x:c r="A20" s="71" t="str">
        <x:v>9</x:v>
      </x:c>
      <x:c r="B20" s="72" t="str">
        <x:v>确定主次、置信与停止</x:v>
      </x:c>
      <x:c r="C20" s="72" t="str">
        <x:v>主≥36且领先≥8；次≥25且功能独立；顺序须有起点、桥梁、终点。</x:v>
      </x:c>
      <x:c r="D20" s="73" t="str">
        <x:v>09_门控与停止</x:v>
      </x:c>
    </x:row>
    <x:row r="21">
      <x:c r="A21" s="71" t="str">
        <x:v>10</x:v>
      </x:c>
      <x:c r="B21" s="72" t="str">
        <x:v>生成用户输出</x:v>
      </x:c>
      <x:c r="C21" s="72" t="str">
        <x:v>正文一主一次、一条处理顺序、一个阶段结束条件，并附边界说明。</x:v>
      </x:c>
      <x:c r="D21" s="73" t="str">
        <x:v>10_输出模板与句库</x:v>
      </x:c>
    </x:row>
    <x:row r="22">
      <x:c r="A22" s="71" t="str"/>
      <x:c r="B22" s="72" t="str"/>
      <x:c r="C22" s="72" t="str"/>
      <x:c r="D22" s="73" t="str"/>
    </x:row>
    <x:row r="23">
      <x:c r="A23" s="110" t="str">
        <x:v>五条硬边界</x:v>
      </x:c>
      <x:c r="B23" s="111" t="str"/>
      <x:c r="C23" s="111" t="str"/>
      <x:c r="D23" s="112" t="str">
        <x:v>核心记忆句</x:v>
      </x:c>
    </x:row>
    <x:row r="24">
      <x:c r="A24" s="71" t="str">
        <x:v>情形</x:v>
      </x:c>
      <x:c r="B24" s="72" t="str">
        <x:v>正确处理</x:v>
      </x:c>
      <x:c r="C24" s="72" t="str"/>
      <x:c r="D24" s="73" t="str">
        <x:v>比劫管立场与参与；食伤管降温与澄清；财管现实与换案；官杀管规则、止损与责任；印管倾听、内化与安全。</x:v>
      </x:c>
    </x:row>
    <x:row r="25">
      <x:c r="A25" s="71" t="str">
        <x:v>直接表达</x:v>
      </x:c>
      <x:c r="B25" s="72" t="str">
        <x:v>不等于攻击；这里只判断信息是否外显、立场是否清楚。</x:v>
      </x:c>
      <x:c r="C25" s="72" t="str"/>
      <x:c r="D25" s="73" t="str"/>
    </x:row>
    <x:row r="26">
      <x:c r="A26" s="71" t="str">
        <x:v>暂停整理</x:v>
      </x:c>
      <x:c r="B26" s="72" t="str">
        <x:v>不等于冷战；必须检查目的、范围和回归路径。</x:v>
      </x:c>
      <x:c r="C26" s="72" t="str"/>
      <x:c r="D26" s="73" t="str"/>
    </x:row>
    <x:row r="27">
      <x:c r="A27" s="71" t="str">
        <x:v>先解决问题</x:v>
      </x:c>
      <x:c r="B27" s="72" t="str">
        <x:v>不等于忽略感受；事实、行动与情绪可以有先后。</x:v>
      </x:c>
      <x:c r="C27" s="72" t="str"/>
      <x:c r="D27" s="73" t="str"/>
    </x:row>
    <x:row r="28">
      <x:c r="A28" s="71" t="str">
        <x:v>倾听承接</x:v>
      </x:c>
      <x:c r="B28" s="72" t="str">
        <x:v>不等于没有立场；先听和最终是否同意分别判断。</x:v>
      </x:c>
      <x:c r="C28" s="72" t="str"/>
      <x:c r="D28" s="73" t="str"/>
    </x:row>
    <x:row r="29">
      <x:c r="A29" s="74" t="str">
        <x:v>宫位动态</x:v>
      </x:c>
      <x:c r="B29" s="75" t="str">
        <x:v>只修正显化、校正和重订节奏，不直接推出分手、背叛或婚姻结果。</x:v>
      </x:c>
      <x:c r="C29" s="75" t="str"/>
      <x:c r="D29" s="76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32" hidden="0" customWidth="1"/>
    <x:col min="5" max="5" width="34" hidden="0" customWidth="1"/>
    <x:col min="6" max="6" width="34" hidden="0" customWidth="1"/>
    <x:col min="7" max="7" width="42" hidden="0" customWidth="1"/>
    <x:col min="8" max="8" width="34" hidden="0" customWidth="1"/>
    <x:col min="9" max="9" width="34" hidden="0" customWidth="1"/>
    <x:col min="10" max="10" width="24" hidden="0" customWidth="1"/>
  </x:cols>
  <x:sheetData>
    <x:row r="1" ht="28" customHeight="1">
      <x:c r="A1" s="7" t="str">
        <x:v>十神冲突通道速查｜CF01—CF10</x:v>
      </x:c>
      <x:c r="B1" s="7" t="str">
        <x:v>十神冲突通道速查｜CF01—CF10</x:v>
      </x:c>
      <x:c r="C1" s="7" t="str">
        <x:v>十神冲突通道速查｜CF01—CF10</x:v>
      </x:c>
      <x:c r="D1" s="7" t="str">
        <x:v>十神冲突通道速查｜CF01—CF10</x:v>
      </x:c>
      <x:c r="E1" s="7" t="str">
        <x:v>十神冲突通道速查｜CF01—CF10</x:v>
      </x:c>
      <x:c r="F1" s="7" t="str">
        <x:v>十神冲突通道速查｜CF01—CF10</x:v>
      </x:c>
      <x:c r="G1" s="7" t="str">
        <x:v>十神冲突通道速查｜CF01—CF10</x:v>
      </x:c>
      <x:c r="H1" s="7" t="str">
        <x:v>十神冲突通道速查｜CF01—CF10</x:v>
      </x:c>
      <x:c r="I1" s="7" t="str">
        <x:v>十神冲突通道速查｜CF01—CF10</x:v>
      </x:c>
      <x:c r="J1" s="7" t="str">
        <x:v>十神冲突通道速查｜CF01—CF10</x:v>
      </x:c>
    </x:row>
    <x:row r="2" ht="30" customHeight="1">
      <x:c r="A2" s="17" t="str">
        <x:v>先确定冲突通道，再判断第一反应、信息焦点和阶段结束条件。十神只提供功能语言，不直接判断风险。</x:v>
      </x:c>
      <x:c r="B2" s="17" t="str">
        <x:v>先确定冲突通道，再判断第一反应、信息焦点和阶段结束条件。十神只提供功能语言，不直接判断风险。</x:v>
      </x:c>
      <x:c r="C2" s="17" t="str">
        <x:v>先确定冲突通道，再判断第一反应、信息焦点和阶段结束条件。十神只提供功能语言，不直接判断风险。</x:v>
      </x:c>
      <x:c r="D2" s="17" t="str">
        <x:v>先确定冲突通道，再判断第一反应、信息焦点和阶段结束条件。十神只提供功能语言，不直接判断风险。</x:v>
      </x:c>
      <x:c r="E2" s="17" t="str">
        <x:v>先确定冲突通道，再判断第一反应、信息焦点和阶段结束条件。十神只提供功能语言，不直接判断风险。</x:v>
      </x:c>
      <x:c r="F2" s="17" t="str">
        <x:v>先确定冲突通道，再判断第一反应、信息焦点和阶段结束条件。十神只提供功能语言，不直接判断风险。</x:v>
      </x:c>
      <x:c r="G2" s="17" t="str">
        <x:v>先确定冲突通道，再判断第一反应、信息焦点和阶段结束条件。十神只提供功能语言，不直接判断风险。</x:v>
      </x:c>
      <x:c r="H2" s="17" t="str">
        <x:v>先确定冲突通道，再判断第一反应、信息焦点和阶段结束条件。十神只提供功能语言，不直接判断风险。</x:v>
      </x:c>
      <x:c r="I2" s="17" t="str">
        <x:v>先确定冲突通道，再判断第一反应、信息焦点和阶段结束条件。十神只提供功能语言，不直接判断风险。</x:v>
      </x:c>
      <x:c r="J2" s="17" t="str">
        <x:v>先确定冲突通道，再判断第一反应、信息焦点和阶段结束条件。十神只提供功能语言，不直接判断风险。</x:v>
      </x:c>
    </x:row>
    <x:row r="4" ht="24" customHeight="1">
      <x:c r="A4" s="33" t="str">
        <x:v>编号</x:v>
      </x:c>
      <x:c r="B4" s="34" t="str">
        <x:v>十神</x:v>
      </x:c>
      <x:c r="C4" s="34" t="str">
        <x:v>通道名称</x:v>
      </x:c>
      <x:c r="D4" s="34" t="str">
        <x:v>第一反应</x:v>
      </x:c>
      <x:c r="E4" s="34" t="str">
        <x:v>首先关注</x:v>
      </x:c>
      <x:c r="F4" s="34" t="str">
        <x:v>阶段结束条件</x:v>
      </x:c>
      <x:c r="G4" s="34" t="str">
        <x:v>用户语言</x:v>
      </x:c>
      <x:c r="H4" s="34" t="str">
        <x:v>容易误读</x:v>
      </x:c>
      <x:c r="I4" s="34" t="str">
        <x:v>正确边界</x:v>
      </x:c>
      <x:c r="J4" s="35" t="str">
        <x:v>检索词</x:v>
      </x:c>
    </x:row>
    <x:row r="5">
      <x:c r="A5" s="68" t="str">
        <x:v>CF01</x:v>
      </x:c>
      <x:c r="B5" s="69" t="str">
        <x:v>比肩</x:v>
      </x:c>
      <x:c r="C5" s="69" t="str">
        <x:v>平等立场</x:v>
      </x:c>
      <x:c r="D5" s="69" t="str">
        <x:v>先说明自己的立场，也要求对方把立场和责任说清楚</x:v>
      </x:c>
      <x:c r="E5" s="69" t="str">
        <x:v>双方立场、决定权、公平性和各自应承担的部分</x:v>
      </x:c>
      <x:c r="F5" s="69" t="str">
        <x:v>在双方都保留参与权的前提下形成可执行共识</x:v>
      </x:c>
      <x:c r="G5" s="69" t="str">
        <x:v>分歧出现时，你更容易先把自己的立场说清，也希望对方明确表达，而不是靠猜测完成沟通。</x:v>
      </x:c>
      <x:c r="H5" s="69" t="str">
        <x:v>不得直接写成固执、争强、好胜或不肯妥协。</x:v>
      </x:c>
      <x:c r="I5" s="69" t="str">
        <x:v>只描述处理功能；压力风险转M4，修复转REPAIR。</x:v>
      </x:c>
      <x:c r="J5" s="70" t="str">
        <x:v>比肩、CF01、平等立场</x:v>
      </x:c>
    </x:row>
    <x:row r="6">
      <x:c r="A6" s="71" t="str">
        <x:v>CF02</x:v>
      </x:c>
      <x:c r="B6" s="72" t="str">
        <x:v>劫财</x:v>
      </x:c>
      <x:c r="C6" s="72" t="str">
        <x:v>即时介入</x:v>
      </x:c>
      <x:c r="D6" s="72" t="str">
        <x:v>先介入现场、提出即时回应或拉着对方一起处理</x:v>
      </x:c>
      <x:c r="E6" s="72" t="str">
        <x:v>当前局面、双方参与、资源调动和马上能做的事</x:v>
      </x:c>
      <x:c r="F6" s="72" t="str">
        <x:v>通过共同执行或即时调整，让问题从停滞转为可继续处理</x:v>
      </x:c>
      <x:c r="G6" s="72" t="str">
        <x:v>你更容易在问题出现时快速进入现场，边回应、边协作、边调整，而不是长时间停在抽象讨论里。</x:v>
      </x:c>
      <x:c r="H6" s="72" t="str">
        <x:v>不得直接写成冲动、抢夺、竞争或容易打起来。</x:v>
      </x:c>
      <x:c r="I6" s="72" t="str">
        <x:v>只描述处理功能；压力风险转M4，修复转REPAIR。</x:v>
      </x:c>
      <x:c r="J6" s="73" t="str">
        <x:v>劫财、CF02、即时介入</x:v>
      </x:c>
    </x:row>
    <x:row r="7">
      <x:c r="A7" s="71" t="str">
        <x:v>CF03</x:v>
      </x:c>
      <x:c r="B7" s="72" t="str">
        <x:v>食神</x:v>
      </x:c>
      <x:c r="C7" s="72" t="str">
        <x:v>缓冲降温</x:v>
      </x:c>
      <x:c r="D7" s="72" t="str">
        <x:v>先放慢节奏、调整语气、缓和氛围或处理基本舒适度</x:v>
      </x:c>
      <x:c r="E7" s="72" t="str">
        <x:v>沟通强度、双方可承受度、情绪温度和能否继续交流</x:v>
      </x:c>
      <x:c r="F7" s="72" t="str">
        <x:v>在双方恢复可交流状态后，再逐步说明问题和安排</x:v>
      </x:c>
      <x:c r="G7" s="72" t="str">
        <x:v>意见不一致时，你更容易先把气氛降下来，让双方能够继续说话，再进入具体问题。</x:v>
      </x:c>
      <x:c r="H7" s="72" t="str">
        <x:v>不得直接写成逃避问题、怕冲突、讨好或一味和稀泥。</x:v>
      </x:c>
      <x:c r="I7" s="72" t="str">
        <x:v>只描述处理功能；压力风险转M4，修复转REPAIR。</x:v>
      </x:c>
      <x:c r="J7" s="73" t="str">
        <x:v>食神、CF03、缓冲降温</x:v>
      </x:c>
    </x:row>
    <x:row r="8">
      <x:c r="A8" s="71" t="str">
        <x:v>CF04</x:v>
      </x:c>
      <x:c r="B8" s="72" t="str">
        <x:v>伤官</x:v>
      </x:c>
      <x:c r="C8" s="72" t="str">
        <x:v>分析澄清</x:v>
      </x:c>
      <x:c r="D8" s="72" t="str">
        <x:v>先把不一致之处说出来，追问事实、逻辑或真实原因</x:v>
      </x:c>
      <x:c r="E8" s="72" t="str">
        <x:v>信息是否一致、逻辑是否成立、表达是否准确和问题究竟在哪里</x:v>
      </x:c>
      <x:c r="F8" s="72" t="str">
        <x:v>当事实、定义和各自观点被说明清楚后，再进入方案或责任处理</x:v>
      </x:c>
      <x:c r="G8" s="72" t="str">
        <x:v>分歧出现时，你更容易先把问题拆开，问清楚事实和逻辑，希望彼此真正知道在争什么。</x:v>
      </x:c>
      <x:c r="H8" s="72" t="str">
        <x:v>不得直接写成刻薄、挑剔、毒舌、爱抬杠或必然伤人。</x:v>
      </x:c>
      <x:c r="I8" s="72" t="str">
        <x:v>只描述处理功能；压力风险转M4，修复转REPAIR。</x:v>
      </x:c>
      <x:c r="J8" s="73" t="str">
        <x:v>伤官、CF04、分析澄清</x:v>
      </x:c>
    </x:row>
    <x:row r="9">
      <x:c r="A9" s="71" t="str">
        <x:v>CF05</x:v>
      </x:c>
      <x:c r="B9" s="72" t="str">
        <x:v>正财</x:v>
      </x:c>
      <x:c r="C9" s="72" t="str">
        <x:v>现实校准</x:v>
      </x:c>
      <x:c r="D9" s="72" t="str">
        <x:v>先核对发生了什么、谁做了什么、现实条件允许什么</x:v>
      </x:c>
      <x:c r="E9" s="72" t="str">
        <x:v>时间、金钱、分工、日常安排、持续投入和实际兑现</x:v>
      </x:c>
      <x:c r="F9" s="72" t="str">
        <x:v>形成明确、可重复执行的现实安排，并观察后续能否持续</x:v>
      </x:c>
      <x:c r="G9" s="72" t="str">
        <x:v>你更容易把分歧落到具体安排上：时间怎么分、事情怎么做、资源怎样协调，以及后续能否持续。</x:v>
      </x:c>
      <x:c r="H9" s="72" t="str">
        <x:v>不得直接写成计较、现实、只看利益或用钱解决一切。</x:v>
      </x:c>
      <x:c r="I9" s="72" t="str">
        <x:v>只描述处理功能；压力风险转M4，修复转REPAIR。</x:v>
      </x:c>
      <x:c r="J9" s="73" t="str">
        <x:v>正财、CF05、现实校准</x:v>
      </x:c>
    </x:row>
    <x:row r="10">
      <x:c r="A10" s="71" t="str">
        <x:v>CF06</x:v>
      </x:c>
      <x:c r="B10" s="72" t="str">
        <x:v>偏财</x:v>
      </x:c>
      <x:c r="C10" s="72" t="str">
        <x:v>灵活换案</x:v>
      </x:c>
      <x:c r="D10" s="72" t="str">
        <x:v>先寻找更灵活的处理办法，改变时间、场景、资源或互动方式</x:v>
      </x:c>
      <x:c r="E10" s="72" t="str">
        <x:v>是否还有替代路径、双方体验、现实机会和可调整空间</x:v>
      </x:c>
      <x:c r="F10" s="72" t="str">
        <x:v>在不固守单一方案的情况下，找到双方愿意继续尝试的替代做法</x:v>
      </x:c>
      <x:c r="G10" s="72" t="str">
        <x:v>你在分歧中往往会寻找别的处理办法，愿意调整方式、场景或方案，让关系重新有可移动的空间。</x:v>
      </x:c>
      <x:c r="H10" s="72" t="str">
        <x:v>不得直接写成不稳定、敷衍、花心、只会转移话题或没有原则。</x:v>
      </x:c>
      <x:c r="I10" s="72" t="str">
        <x:v>只描述处理功能；压力风险转M4，修复转REPAIR。</x:v>
      </x:c>
      <x:c r="J10" s="73" t="str">
        <x:v>偏财、CF06、灵活换案</x:v>
      </x:c>
    </x:row>
    <x:row r="11">
      <x:c r="A11" s="71" t="str">
        <x:v>CF07</x:v>
      </x:c>
      <x:c r="B11" s="72" t="str">
        <x:v>正官</x:v>
      </x:c>
      <x:c r="C11" s="72" t="str">
        <x:v>规则复核</x:v>
      </x:c>
      <x:c r="D11" s="72" t="str">
        <x:v>先确认原先怎样约定、各自负责什么、哪些规则需要执行或重订</x:v>
      </x:c>
      <x:c r="E11" s="72" t="str">
        <x:v>承诺是否兑现、角色是否清楚、责任边界和共同规则</x:v>
      </x:c>
      <x:c r="F11" s="72" t="str">
        <x:v>通过明确责任、修订约定或形成可追踪规则结束这一轮分歧</x:v>
      </x:c>
      <x:c r="G11" s="72" t="str">
        <x:v>分歧出现时，你更容易回到承诺、分工和共同规则上，确认双方原本怎么说、现在该怎样负责。</x:v>
      </x:c>
      <x:c r="H11" s="72" t="str">
        <x:v>不得直接写成控制、说教、官僚、压迫或必须分出对错。</x:v>
      </x:c>
      <x:c r="I11" s="72" t="str">
        <x:v>只描述处理功能；压力风险转M4，修复转REPAIR。</x:v>
      </x:c>
      <x:c r="J11" s="73" t="str">
        <x:v>正官、CF07、规则复核</x:v>
      </x:c>
    </x:row>
    <x:row r="12">
      <x:c r="A12" s="71" t="str">
        <x:v>CF08</x:v>
      </x:c>
      <x:c r="B12" s="72" t="str">
        <x:v>七杀</x:v>
      </x:c>
      <x:c r="C12" s="72" t="str">
        <x:v>决断处置</x:v>
      </x:c>
      <x:c r="D12" s="72" t="str">
        <x:v>先止损、做决定、处理风险或把需要立即解决的部分控制住</x:v>
      </x:c>
      <x:c r="E12" s="72" t="str">
        <x:v>风险、时效、关键行动、停止线和谁来承担</x:v>
      </x:c>
      <x:c r="F12" s="72" t="str">
        <x:v>紧急问题得到处理、责任有人承担，之后再决定是否补充沟通和复盘</x:v>
      </x:c>
      <x:c r="G12" s="72" t="str">
        <x:v>遇到明显分歧或紧急问题时，你更容易先处理关键事项、做决定或划定停止线，再回头讨论细节。</x:v>
      </x:c>
      <x:c r="H12" s="72" t="str">
        <x:v>不得直接写成暴力、强势控制、脾气大、危险或必然压制对方。</x:v>
      </x:c>
      <x:c r="I12" s="72" t="str">
        <x:v>只描述处理功能；压力风险转M4，修复转REPAIR。</x:v>
      </x:c>
      <x:c r="J12" s="73" t="str">
        <x:v>七杀、CF08、决断处置</x:v>
      </x:c>
    </x:row>
    <x:row r="13">
      <x:c r="A13" s="71" t="str">
        <x:v>CF09</x:v>
      </x:c>
      <x:c r="B13" s="72" t="str">
        <x:v>正印</x:v>
      </x:c>
      <x:c r="C13" s="72" t="str">
        <x:v>倾听承接</x:v>
      </x:c>
      <x:c r="D13" s="72" t="str">
        <x:v>先听、确认感受、补足背景信息或让双方恢复安全感</x:v>
      </x:c>
      <x:c r="E13" s="72" t="str">
        <x:v>感受、动机、背景、可信度和是否被理解</x:v>
      </x:c>
      <x:c r="F13" s="72" t="str">
        <x:v>当双方感到被听见并理解核心背景后，再进入立场、责任或方案</x:v>
      </x:c>
      <x:c r="G13" s="72" t="str">
        <x:v>分歧出现时，你更容易先听清双方的感受和背景，确认彼此为什么会这样，再决定怎样回应。</x:v>
      </x:c>
      <x:c r="H13" s="72" t="str">
        <x:v>不得直接写成没有立场、过度包容、依赖、忍耐或总替别人找理由。</x:v>
      </x:c>
      <x:c r="I13" s="72" t="str">
        <x:v>只描述处理功能；压力风险转M4，修复转REPAIR。</x:v>
      </x:c>
      <x:c r="J13" s="73" t="str">
        <x:v>正印、CF09、倾听承接</x:v>
      </x:c>
    </x:row>
    <x:row r="14">
      <x:c r="A14" s="74" t="str">
        <x:v>CF10</x:v>
      </x:c>
      <x:c r="B14" s="75" t="str">
        <x:v>偏印</x:v>
      </x:c>
      <x:c r="C14" s="75" t="str">
        <x:v>暂停内化</x:v>
      </x:c>
      <x:c r="D14" s="75" t="str">
        <x:v>先暂停、抽离现场噪音、独立分析或只回应最核心部分</x:v>
      </x:c>
      <x:c r="E14" s="75" t="str">
        <x:v>隐藏原因、复杂信息、个人感受边界和真正值得回应的部分</x:v>
      </x:c>
      <x:c r="F14" s="75" t="str">
        <x:v>内部逻辑形成以后，以较精简、精准或选择性的方式重新进入沟通</x:v>
      </x:c>
      <x:c r="G14" s="75" t="str">
        <x:v>面对复杂分歧时，你可能先退一步整理信息，想清楚真正的问题，再选择核心部分回应。</x:v>
      </x:c>
      <x:c r="H14" s="75" t="str">
        <x:v>不得直接写成冷漠、回避、神秘、拒绝沟通或故意不回应。</x:v>
      </x:c>
      <x:c r="I14" s="75" t="str">
        <x:v>只描述处理功能；压力风险转M4，修复转REPAIR。</x:v>
      </x:c>
      <x:c r="J14" s="76" t="str">
        <x:v>偏印、CF10、暂停内化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0" hidden="0" customWidth="1"/>
    <x:col min="4" max="4" width="20" hidden="0" customWidth="1"/>
    <x:col min="5" max="5" width="42" hidden="0" customWidth="1"/>
    <x:col min="6" max="6" width="18" hidden="0" customWidth="1"/>
    <x:col min="7" max="7" width="24" hidden="0" customWidth="1"/>
    <x:col min="8" max="8" width="34" hidden="0" customWidth="1"/>
    <x:col min="9" max="9" width="38" hidden="0" customWidth="1"/>
  </x:cols>
  <x:sheetData>
    <x:row r="1" ht="28" customHeight="1">
      <x:c r="A1" s="7" t="str">
        <x:v>冲突过程维度矩阵｜FQ01—FQ10</x:v>
      </x:c>
      <x:c r="B1" s="7" t="str">
        <x:v>冲突过程维度矩阵｜FQ01—FQ10</x:v>
      </x:c>
      <x:c r="C1" s="7" t="str">
        <x:v>冲突过程维度矩阵｜FQ01—FQ10</x:v>
      </x:c>
      <x:c r="D1" s="7" t="str">
        <x:v>冲突过程维度矩阵｜FQ01—FQ10</x:v>
      </x:c>
      <x:c r="E1" s="7" t="str">
        <x:v>冲突过程维度矩阵｜FQ01—FQ10</x:v>
      </x:c>
      <x:c r="F1" s="7" t="str">
        <x:v>冲突过程维度矩阵｜FQ01—FQ10</x:v>
      </x:c>
      <x:c r="G1" s="7" t="str">
        <x:v>冲突过程维度矩阵｜FQ01—FQ10</x:v>
      </x:c>
      <x:c r="H1" s="7" t="str">
        <x:v>冲突过程维度矩阵｜FQ01—FQ10</x:v>
      </x:c>
      <x:c r="I1" s="7" t="str">
        <x:v>冲突过程维度矩阵｜FQ01—FQ10</x:v>
      </x:c>
    </x:row>
    <x:row r="2" ht="30" customHeight="1">
      <x:c r="A2" s="17" t="str">
        <x:v>用于把“会不会沟通”拆成十个可判断过程：启动、焦点、顺序、立场、责任、方案、暂停、接收、结束和复盘。</x:v>
      </x:c>
      <x:c r="B2" s="17" t="str">
        <x:v>用于把“会不会沟通”拆成十个可判断过程：启动、焦点、顺序、立场、责任、方案、暂停、接收、结束和复盘。</x:v>
      </x:c>
      <x:c r="C2" s="17" t="str">
        <x:v>用于把“会不会沟通”拆成十个可判断过程：启动、焦点、顺序、立场、责任、方案、暂停、接收、结束和复盘。</x:v>
      </x:c>
      <x:c r="D2" s="17" t="str">
        <x:v>用于把“会不会沟通”拆成十个可判断过程：启动、焦点、顺序、立场、责任、方案、暂停、接收、结束和复盘。</x:v>
      </x:c>
      <x:c r="E2" s="17" t="str">
        <x:v>用于把“会不会沟通”拆成十个可判断过程：启动、焦点、顺序、立场、责任、方案、暂停、接收、结束和复盘。</x:v>
      </x:c>
      <x:c r="F2" s="17" t="str">
        <x:v>用于把“会不会沟通”拆成十个可判断过程：启动、焦点、顺序、立场、责任、方案、暂停、接收、结束和复盘。</x:v>
      </x:c>
      <x:c r="G2" s="17" t="str">
        <x:v>用于把“会不会沟通”拆成十个可判断过程：启动、焦点、顺序、立场、责任、方案、暂停、接收、结束和复盘。</x:v>
      </x:c>
      <x:c r="H2" s="17" t="str">
        <x:v>用于把“会不会沟通”拆成十个可判断过程：启动、焦点、顺序、立场、责任、方案、暂停、接收、结束和复盘。</x:v>
      </x:c>
      <x:c r="I2" s="17" t="str">
        <x:v>用于把“会不会沟通”拆成十个可判断过程：启动、焦点、顺序、立场、责任、方案、暂停、接收、结束和复盘。</x:v>
      </x:c>
    </x:row>
    <x:row r="4" ht="24" customHeight="1">
      <x:c r="A4" s="33" t="str">
        <x:v>维度ID</x:v>
      </x:c>
      <x:c r="B4" s="34" t="str">
        <x:v>维度名称</x:v>
      </x:c>
      <x:c r="C4" s="34" t="str">
        <x:v>状态代码</x:v>
      </x:c>
      <x:c r="D4" s="34" t="str">
        <x:v>状态名称</x:v>
      </x:c>
      <x:c r="E4" s="34" t="str">
        <x:v>用户可见解释</x:v>
      </x:c>
      <x:c r="F4" s="34" t="str">
        <x:v>分值作用</x:v>
      </x:c>
      <x:c r="G4" s="34" t="str">
        <x:v>输出字段</x:v>
      </x:c>
      <x:c r="H4" s="34" t="str">
        <x:v>成立条件</x:v>
      </x:c>
      <x:c r="I4" s="35" t="str">
        <x:v>禁止误读</x:v>
      </x:c>
    </x:row>
    <x:row r="5">
      <x:c r="A5" s="68" t="str">
        <x:v>FQ01</x:v>
      </x:c>
      <x:c r="B5" s="69" t="str">
        <x:v>分歧启动速度</x:v>
      </x:c>
      <x:c r="C5" s="69" t="str">
        <x:v>A01</x:v>
      </x:c>
      <x:c r="D5" s="69" t="str">
        <x:v>快速回应</x:v>
      </x:c>
      <x:c r="E5" s="69" t="str">
        <x:v>分歧一出现便较快表达、介入或处理。</x:v>
      </x:c>
      <x:c r="F5" s="69" t="str">
        <x:v>启动 +5</x:v>
      </x:c>
      <x:c r="G5" s="69" t="str">
        <x:v>conflict_start_speed</x:v>
      </x:c>
      <x:c r="H5" s="69" t="str">
        <x:v>至少两类独立证据，或一类可靠近位信号＋重复案例行为。</x:v>
      </x:c>
      <x:c r="I5" s="70" t="str">
        <x:v>判断用户多快进入分歧处理，不等于确认关系的速度。</x:v>
      </x:c>
    </x:row>
    <x:row r="6">
      <x:c r="A6" s="71" t="str">
        <x:v>FQ01</x:v>
      </x:c>
      <x:c r="B6" s="72" t="str">
        <x:v>分歧启动速度</x:v>
      </x:c>
      <x:c r="C6" s="72" t="str">
        <x:v>A02</x:v>
      </x:c>
      <x:c r="D6" s="72" t="str">
        <x:v>观察后回应</x:v>
      </x:c>
      <x:c r="E6" s="72" t="str">
        <x:v>先确认事实、对方状态或问题性质，再进入处理。</x:v>
      </x:c>
      <x:c r="F6" s="72" t="str">
        <x:v>启动 +5</x:v>
      </x:c>
      <x:c r="G6" s="72" t="str">
        <x:v>conflict_start_speed</x:v>
      </x:c>
      <x:c r="H6" s="72" t="str">
        <x:v>至少两类独立证据，或一类可靠近位信号＋重复案例行为。</x:v>
      </x:c>
      <x:c r="I6" s="73" t="str">
        <x:v>判断用户多快进入分歧处理，不等于确认关系的速度。</x:v>
      </x:c>
    </x:row>
    <x:row r="7">
      <x:c r="A7" s="71" t="str">
        <x:v>FQ01</x:v>
      </x:c>
      <x:c r="B7" s="72" t="str">
        <x:v>分歧启动速度</x:v>
      </x:c>
      <x:c r="C7" s="72" t="str">
        <x:v>A03</x:v>
      </x:c>
      <x:c r="D7" s="72" t="str">
        <x:v>暂停后回应</x:v>
      </x:c>
      <x:c r="E7" s="72" t="str">
        <x:v>先进行短暂整理、降温或任务处理，随后回到分歧。</x:v>
      </x:c>
      <x:c r="F7" s="72" t="str">
        <x:v>启动 +5</x:v>
      </x:c>
      <x:c r="G7" s="72" t="str">
        <x:v>conflict_start_speed</x:v>
      </x:c>
      <x:c r="H7" s="72" t="str">
        <x:v>至少两类独立证据，或一类可靠近位信号＋重复案例行为。</x:v>
      </x:c>
      <x:c r="I7" s="73" t="str">
        <x:v>判断用户多快进入分歧处理，不等于确认关系的速度。</x:v>
      </x:c>
    </x:row>
    <x:row r="8">
      <x:c r="A8" s="71" t="str">
        <x:v>FQ01</x:v>
      </x:c>
      <x:c r="B8" s="72" t="str">
        <x:v>分歧启动速度</x:v>
      </x:c>
      <x:c r="C8" s="72" t="str">
        <x:v>A04</x:v>
      </x:c>
      <x:c r="D8" s="72" t="str">
        <x:v>启动未定</x:v>
      </x:c>
      <x:c r="E8" s="72" t="str">
        <x:v>不同情境可能调用不同速度，现有证据不足以固定。</x:v>
      </x:c>
      <x:c r="F8" s="72" t="str">
        <x:v>不加分；降置信</x:v>
      </x:c>
      <x:c r="G8" s="72" t="str">
        <x:v>conflict_start_speed</x:v>
      </x:c>
      <x:c r="H8" s="72" t="str">
        <x:v>至少两类独立证据，或一类可靠近位信号＋重复案例行为。</x:v>
      </x:c>
      <x:c r="I8" s="73" t="str">
        <x:v>判断用户多快进入分歧处理，不等于确认关系的速度。</x:v>
      </x:c>
    </x:row>
    <x:row r="9">
      <x:c r="A9" s="71" t="str">
        <x:v>FQ02</x:v>
      </x:c>
      <x:c r="B9" s="72" t="str">
        <x:v>第一关注点</x:v>
      </x:c>
      <x:c r="C9" s="72" t="str">
        <x:v>B01</x:v>
      </x:c>
      <x:c r="D9" s="72" t="str">
        <x:v>立场与权限</x:v>
      </x:c>
      <x:c r="E9" s="72" t="str">
        <x:v>先确认双方观点、决定权和各自边界。</x:v>
      </x:c>
      <x:c r="F9" s="72" t="str">
        <x:v>焦点 +5</x:v>
      </x:c>
      <x:c r="G9" s="72" t="str">
        <x:v>attention_focus</x:v>
      </x:c>
      <x:c r="H9" s="72" t="str">
        <x:v>至少两类独立证据，或一类可靠近位信号＋重复案例行为。</x:v>
      </x:c>
      <x:c r="I9" s="73" t="str">
        <x:v>第一关注点不等于唯一关注点，后续仍可进入其他维度。</x:v>
      </x:c>
    </x:row>
    <x:row r="10">
      <x:c r="A10" s="71" t="str">
        <x:v>FQ02</x:v>
      </x:c>
      <x:c r="B10" s="72" t="str">
        <x:v>第一关注点</x:v>
      </x:c>
      <x:c r="C10" s="72" t="str">
        <x:v>B02</x:v>
      </x:c>
      <x:c r="D10" s="72" t="str">
        <x:v>事实与逻辑</x:v>
      </x:c>
      <x:c r="E10" s="72" t="str">
        <x:v>先核对发生了什么、信息是否一致、问题在哪里。</x:v>
      </x:c>
      <x:c r="F10" s="72" t="str">
        <x:v>焦点 +5</x:v>
      </x:c>
      <x:c r="G10" s="72" t="str">
        <x:v>attention_focus</x:v>
      </x:c>
      <x:c r="H10" s="72" t="str">
        <x:v>至少两类独立证据，或一类可靠近位信号＋重复案例行为。</x:v>
      </x:c>
      <x:c r="I10" s="73" t="str">
        <x:v>第一关注点不等于唯一关注点，后续仍可进入其他维度。</x:v>
      </x:c>
    </x:row>
    <x:row r="11">
      <x:c r="A11" s="71" t="str">
        <x:v>FQ02</x:v>
      </x:c>
      <x:c r="B11" s="72" t="str">
        <x:v>第一关注点</x:v>
      </x:c>
      <x:c r="C11" s="72" t="str">
        <x:v>B03</x:v>
      </x:c>
      <x:c r="D11" s="72" t="str">
        <x:v>感受与背景</x:v>
      </x:c>
      <x:c r="E11" s="72" t="str">
        <x:v>先确认双方感受、动机和为什么会这样反应。</x:v>
      </x:c>
      <x:c r="F11" s="72" t="str">
        <x:v>焦点 +5</x:v>
      </x:c>
      <x:c r="G11" s="72" t="str">
        <x:v>attention_focus</x:v>
      </x:c>
      <x:c r="H11" s="72" t="str">
        <x:v>至少两类独立证据，或一类可靠近位信号＋重复案例行为。</x:v>
      </x:c>
      <x:c r="I11" s="73" t="str">
        <x:v>第一关注点不等于唯一关注点，后续仍可进入其他维度。</x:v>
      </x:c>
    </x:row>
    <x:row r="12">
      <x:c r="A12" s="71" t="str">
        <x:v>FQ02</x:v>
      </x:c>
      <x:c r="B12" s="72" t="str">
        <x:v>第一关注点</x:v>
      </x:c>
      <x:c r="C12" s="72" t="str">
        <x:v>B04</x:v>
      </x:c>
      <x:c r="D12" s="72" t="str">
        <x:v>任务与现实</x:v>
      </x:c>
      <x:c r="E12" s="72" t="str">
        <x:v>先处理时间、资源、风险、责任或现实安排。</x:v>
      </x:c>
      <x:c r="F12" s="72" t="str">
        <x:v>焦点 +5</x:v>
      </x:c>
      <x:c r="G12" s="72" t="str">
        <x:v>attention_focus</x:v>
      </x:c>
      <x:c r="H12" s="72" t="str">
        <x:v>至少两类独立证据，或一类可靠近位信号＋重复案例行为。</x:v>
      </x:c>
      <x:c r="I12" s="73" t="str">
        <x:v>第一关注点不等于唯一关注点，后续仍可进入其他维度。</x:v>
      </x:c>
    </x:row>
    <x:row r="13">
      <x:c r="A13" s="71" t="str">
        <x:v>FQ03</x:v>
      </x:c>
      <x:c r="B13" s="72" t="str">
        <x:v>事实与情绪顺序</x:v>
      </x:c>
      <x:c r="C13" s="72" t="str">
        <x:v>C01</x:v>
      </x:c>
      <x:c r="D13" s="72" t="str">
        <x:v>事实先于感受</x:v>
      </x:c>
      <x:c r="E13" s="72" t="str">
        <x:v>先把事实、逻辑或安排说清，再补情绪与理解。</x:v>
      </x:c>
      <x:c r="F13" s="72" t="str">
        <x:v>顺序 +6</x:v>
      </x:c>
      <x:c r="G13" s="72" t="str">
        <x:v>fact_emotion_order</x:v>
      </x:c>
      <x:c r="H13" s="72" t="str">
        <x:v>至少两类独立证据，或一类可靠近位信号＋重复案例行为。</x:v>
      </x:c>
      <x:c r="I13" s="73" t="str">
        <x:v>解决问题与承接感受可以有先后，但不能把先后写成重视或不重视。</x:v>
      </x:c>
    </x:row>
    <x:row r="14">
      <x:c r="A14" s="71" t="str">
        <x:v>FQ03</x:v>
      </x:c>
      <x:c r="B14" s="72" t="str">
        <x:v>事实与情绪顺序</x:v>
      </x:c>
      <x:c r="C14" s="72" t="str">
        <x:v>C02</x:v>
      </x:c>
      <x:c r="D14" s="72" t="str">
        <x:v>感受先于事实</x:v>
      </x:c>
      <x:c r="E14" s="72" t="str">
        <x:v>先恢复理解和安全，再进入事实与方案。</x:v>
      </x:c>
      <x:c r="F14" s="72" t="str">
        <x:v>顺序 +6</x:v>
      </x:c>
      <x:c r="G14" s="72" t="str">
        <x:v>fact_emotion_order</x:v>
      </x:c>
      <x:c r="H14" s="72" t="str">
        <x:v>至少两类独立证据，或一类可靠近位信号＋重复案例行为。</x:v>
      </x:c>
      <x:c r="I14" s="73" t="str">
        <x:v>解决问题与承接感受可以有先后，但不能把先后写成重视或不重视。</x:v>
      </x:c>
    </x:row>
    <x:row r="15">
      <x:c r="A15" s="71" t="str">
        <x:v>FQ03</x:v>
      </x:c>
      <x:c r="B15" s="72" t="str">
        <x:v>事实与情绪顺序</x:v>
      </x:c>
      <x:c r="C15" s="72" t="str">
        <x:v>C03</x:v>
      </x:c>
      <x:c r="D15" s="72" t="str">
        <x:v>事实情绪往返</x:v>
      </x:c>
      <x:c r="E15" s="72" t="str">
        <x:v>事实和感受反复校准，不固定只走单向。</x:v>
      </x:c>
      <x:c r="F15" s="72" t="str">
        <x:v>顺序 +6</x:v>
      </x:c>
      <x:c r="G15" s="72" t="str">
        <x:v>fact_emotion_order</x:v>
      </x:c>
      <x:c r="H15" s="72" t="str">
        <x:v>至少两类独立证据，或一类可靠近位信号＋重复案例行为。</x:v>
      </x:c>
      <x:c r="I15" s="73" t="str">
        <x:v>解决问题与承接感受可以有先后，但不能把先后写成重视或不重视。</x:v>
      </x:c>
    </x:row>
    <x:row r="16">
      <x:c r="A16" s="71" t="str">
        <x:v>FQ03</x:v>
      </x:c>
      <x:c r="B16" s="72" t="str">
        <x:v>事实与情绪顺序</x:v>
      </x:c>
      <x:c r="C16" s="72" t="str">
        <x:v>C04</x:v>
      </x:c>
      <x:c r="D16" s="72" t="str">
        <x:v>顺序未定</x:v>
      </x:c>
      <x:c r="E16" s="72" t="str">
        <x:v>现有证据不足，或不同压力情境会改变顺序。</x:v>
      </x:c>
      <x:c r="F16" s="72" t="str">
        <x:v>不加分；降置信</x:v>
      </x:c>
      <x:c r="G16" s="72" t="str">
        <x:v>fact_emotion_order</x:v>
      </x:c>
      <x:c r="H16" s="72" t="str">
        <x:v>至少两类独立证据，或一类可靠近位信号＋重复案例行为。</x:v>
      </x:c>
      <x:c r="I16" s="73" t="str">
        <x:v>解决问题与承接感受可以有先后，但不能把先后写成重视或不重视。</x:v>
      </x:c>
    </x:row>
    <x:row r="17">
      <x:c r="A17" s="71" t="str">
        <x:v>FQ04</x:v>
      </x:c>
      <x:c r="B17" s="72" t="str">
        <x:v>立场与需求表达</x:v>
      </x:c>
      <x:c r="C17" s="72" t="str">
        <x:v>D01</x:v>
      </x:c>
      <x:c r="D17" s="72" t="str">
        <x:v>直接具体</x:v>
      </x:c>
      <x:c r="E17" s="72" t="str">
        <x:v>直接说明不同意、需要、范围或希望怎样调整。</x:v>
      </x:c>
      <x:c r="F17" s="72" t="str">
        <x:v>表达 +5</x:v>
      </x:c>
      <x:c r="G17" s="72" t="str">
        <x:v>position_expression</x:v>
      </x:c>
      <x:c r="H17" s="72" t="str">
        <x:v>至少两类独立证据，或一类可靠近位信号＋重复案例行为。</x:v>
      </x:c>
      <x:c r="I17" s="73" t="str">
        <x:v>表达方式不等于现实边界执行，后者继续看BOUND。</x:v>
      </x:c>
    </x:row>
    <x:row r="18">
      <x:c r="A18" s="71" t="str">
        <x:v>FQ04</x:v>
      </x:c>
      <x:c r="B18" s="72" t="str">
        <x:v>立场与需求表达</x:v>
      </x:c>
      <x:c r="C18" s="72" t="str">
        <x:v>D02</x:v>
      </x:c>
      <x:c r="D18" s="72" t="str">
        <x:v>解释背景</x:v>
      </x:c>
      <x:c r="E18" s="72" t="str">
        <x:v>先说明原因、感受和上下文，再提出立场。</x:v>
      </x:c>
      <x:c r="F18" s="72" t="str">
        <x:v>表达 +5</x:v>
      </x:c>
      <x:c r="G18" s="72" t="str">
        <x:v>position_expression</x:v>
      </x:c>
      <x:c r="H18" s="72" t="str">
        <x:v>至少两类独立证据，或一类可靠近位信号＋重复案例行为。</x:v>
      </x:c>
      <x:c r="I18" s="73" t="str">
        <x:v>表达方式不等于现实边界执行，后者继续看BOUND。</x:v>
      </x:c>
    </x:row>
    <x:row r="19">
      <x:c r="A19" s="71" t="str">
        <x:v>FQ04</x:v>
      </x:c>
      <x:c r="B19" s="72" t="str">
        <x:v>立场与需求表达</x:v>
      </x:c>
      <x:c r="C19" s="72" t="str">
        <x:v>D03</x:v>
      </x:c>
      <x:c r="D19" s="72" t="str">
        <x:v>行动带出</x:v>
      </x:c>
      <x:c r="E19" s="72" t="str">
        <x:v>通过停止、调整安排、共同任务或实际选择表达立场。</x:v>
      </x:c>
      <x:c r="F19" s="72" t="str">
        <x:v>表达 +5</x:v>
      </x:c>
      <x:c r="G19" s="72" t="str">
        <x:v>position_expression</x:v>
      </x:c>
      <x:c r="H19" s="72" t="str">
        <x:v>至少两类独立证据，或一类可靠近位信号＋重复案例行为。</x:v>
      </x:c>
      <x:c r="I19" s="73" t="str">
        <x:v>表达方式不等于现实边界执行，后者继续看BOUND。</x:v>
      </x:c>
    </x:row>
    <x:row r="20">
      <x:c r="A20" s="71" t="str">
        <x:v>FQ04</x:v>
      </x:c>
      <x:c r="B20" s="72" t="str">
        <x:v>立场与需求表达</x:v>
      </x:c>
      <x:c r="C20" s="72" t="str">
        <x:v>D04</x:v>
      </x:c>
      <x:c r="D20" s="72" t="str">
        <x:v>先内部整理</x:v>
      </x:c>
      <x:c r="E20" s="72" t="str">
        <x:v>先想清楚真正立场和优先级，再选择性说明。</x:v>
      </x:c>
      <x:c r="F20" s="72" t="str">
        <x:v>表达 +5</x:v>
      </x:c>
      <x:c r="G20" s="72" t="str">
        <x:v>position_expression</x:v>
      </x:c>
      <x:c r="H20" s="72" t="str">
        <x:v>至少两类独立证据，或一类可靠近位信号＋重复案例行为。</x:v>
      </x:c>
      <x:c r="I20" s="73" t="str">
        <x:v>表达方式不等于现实边界执行，后者继续看BOUND。</x:v>
      </x:c>
    </x:row>
    <x:row r="21">
      <x:c r="A21" s="71" t="str">
        <x:v>FQ05</x:v>
      </x:c>
      <x:c r="B21" s="72" t="str">
        <x:v>责任归属处理</x:v>
      </x:c>
      <x:c r="C21" s="72" t="str">
        <x:v>E01</x:v>
      </x:c>
      <x:c r="D21" s="72" t="str">
        <x:v>对照约定</x:v>
      </x:c>
      <x:c r="E21" s="72" t="str">
        <x:v>回到承诺、规则和原先分工确认责任。</x:v>
      </x:c>
      <x:c r="F21" s="72" t="str">
        <x:v>责任 +5</x:v>
      </x:c>
      <x:c r="G21" s="72" t="str">
        <x:v>responsibility_handling</x:v>
      </x:c>
      <x:c r="H21" s="72" t="str">
        <x:v>至少两类独立证据，或一类可靠近位信号＋重复案例行为。</x:v>
      </x:c>
      <x:c r="I21" s="73" t="str">
        <x:v>责任处理不等于追责，也不等于一定要判出谁对谁错。</x:v>
      </x:c>
    </x:row>
    <x:row r="22">
      <x:c r="A22" s="71" t="str">
        <x:v>FQ05</x:v>
      </x:c>
      <x:c r="B22" s="72" t="str">
        <x:v>责任归属处理</x:v>
      </x:c>
      <x:c r="C22" s="72" t="str">
        <x:v>E02</x:v>
      </x:c>
      <x:c r="D22" s="72" t="str">
        <x:v>共同拆分</x:v>
      </x:c>
      <x:c r="E22" s="72" t="str">
        <x:v>把问题拆成双方各自负责和共同负责的部分。</x:v>
      </x:c>
      <x:c r="F22" s="72" t="str">
        <x:v>责任 +5</x:v>
      </x:c>
      <x:c r="G22" s="72" t="str">
        <x:v>responsibility_handling</x:v>
      </x:c>
      <x:c r="H22" s="72" t="str">
        <x:v>至少两类独立证据，或一类可靠近位信号＋重复案例行为。</x:v>
      </x:c>
      <x:c r="I22" s="73" t="str">
        <x:v>责任处理不等于追责，也不等于一定要判出谁对谁错。</x:v>
      </x:c>
    </x:row>
    <x:row r="23">
      <x:c r="A23" s="71" t="str">
        <x:v>FQ05</x:v>
      </x:c>
      <x:c r="B23" s="72" t="str">
        <x:v>责任归属处理</x:v>
      </x:c>
      <x:c r="C23" s="72" t="str">
        <x:v>E03</x:v>
      </x:c>
      <x:c r="D23" s="72" t="str">
        <x:v>按事件调整</x:v>
      </x:c>
      <x:c r="E23" s="72" t="str">
        <x:v>不机械套旧规则，根据当次情境重新分配。</x:v>
      </x:c>
      <x:c r="F23" s="72" t="str">
        <x:v>责任 +5</x:v>
      </x:c>
      <x:c r="G23" s="72" t="str">
        <x:v>responsibility_handling</x:v>
      </x:c>
      <x:c r="H23" s="72" t="str">
        <x:v>至少两类独立证据，或一类可靠近位信号＋重复案例行为。</x:v>
      </x:c>
      <x:c r="I23" s="73" t="str">
        <x:v>责任处理不等于追责，也不等于一定要判出谁对谁错。</x:v>
      </x:c>
    </x:row>
    <x:row r="24">
      <x:c r="A24" s="71" t="str">
        <x:v>FQ05</x:v>
      </x:c>
      <x:c r="B24" s="72" t="str">
        <x:v>责任归属处理</x:v>
      </x:c>
      <x:c r="C24" s="72" t="str">
        <x:v>E04</x:v>
      </x:c>
      <x:c r="D24" s="72" t="str">
        <x:v>责任未定</x:v>
      </x:c>
      <x:c r="E24" s="72" t="str">
        <x:v>责任界面不清或证据不足，暂不固定。</x:v>
      </x:c>
      <x:c r="F24" s="72" t="str">
        <x:v>不加分；降置信</x:v>
      </x:c>
      <x:c r="G24" s="72" t="str">
        <x:v>responsibility_handling</x:v>
      </x:c>
      <x:c r="H24" s="72" t="str">
        <x:v>至少两类独立证据，或一类可靠近位信号＋重复案例行为。</x:v>
      </x:c>
      <x:c r="I24" s="73" t="str">
        <x:v>责任处理不等于追责，也不等于一定要判出谁对谁错。</x:v>
      </x:c>
    </x:row>
    <x:row r="25">
      <x:c r="A25" s="71" t="str">
        <x:v>FQ06</x:v>
      </x:c>
      <x:c r="B25" s="72" t="str">
        <x:v>解决方案生成</x:v>
      </x:c>
      <x:c r="C25" s="72" t="str">
        <x:v>F01</x:v>
      </x:c>
      <x:c r="D25" s="72" t="str">
        <x:v>明确单案</x:v>
      </x:c>
      <x:c r="E25" s="72" t="str">
        <x:v>倾向尽快形成一个清楚、可执行的方案。</x:v>
      </x:c>
      <x:c r="F25" s="72" t="str">
        <x:v>方案 +5</x:v>
      </x:c>
      <x:c r="G25" s="72" t="str">
        <x:v>solution_style</x:v>
      </x:c>
      <x:c r="H25" s="72" t="str">
        <x:v>至少两类独立证据，或一类可靠近位信号＋重复案例行为。</x:v>
      </x:c>
      <x:c r="I25" s="73" t="str">
        <x:v>方案速度不等于关系修复速度。</x:v>
      </x:c>
    </x:row>
    <x:row r="26">
      <x:c r="A26" s="71" t="str">
        <x:v>FQ06</x:v>
      </x:c>
      <x:c r="B26" s="72" t="str">
        <x:v>解决方案生成</x:v>
      </x:c>
      <x:c r="C26" s="72" t="str">
        <x:v>F02</x:v>
      </x:c>
      <x:c r="D26" s="72" t="str">
        <x:v>多案协商</x:v>
      </x:c>
      <x:c r="E26" s="72" t="str">
        <x:v>提出多个选择，再由双方比较和决定。</x:v>
      </x:c>
      <x:c r="F26" s="72" t="str">
        <x:v>方案 +5</x:v>
      </x:c>
      <x:c r="G26" s="72" t="str">
        <x:v>solution_style</x:v>
      </x:c>
      <x:c r="H26" s="72" t="str">
        <x:v>至少两类独立证据，或一类可靠近位信号＋重复案例行为。</x:v>
      </x:c>
      <x:c r="I26" s="73" t="str">
        <x:v>方案速度不等于关系修复速度。</x:v>
      </x:c>
    </x:row>
    <x:row r="27">
      <x:c r="A27" s="71" t="str">
        <x:v>FQ06</x:v>
      </x:c>
      <x:c r="B27" s="72" t="str">
        <x:v>解决方案生成</x:v>
      </x:c>
      <x:c r="C27" s="72" t="str">
        <x:v>F03</x:v>
      </x:c>
      <x:c r="D27" s="72" t="str">
        <x:v>先试后调</x:v>
      </x:c>
      <x:c r="E27" s="72" t="str">
        <x:v>先做一个可逆的小调整，再根据结果修订。</x:v>
      </x:c>
      <x:c r="F27" s="72" t="str">
        <x:v>方案 +5</x:v>
      </x:c>
      <x:c r="G27" s="72" t="str">
        <x:v>solution_style</x:v>
      </x:c>
      <x:c r="H27" s="72" t="str">
        <x:v>至少两类独立证据，或一类可靠近位信号＋重复案例行为。</x:v>
      </x:c>
      <x:c r="I27" s="73" t="str">
        <x:v>方案速度不等于关系修复速度。</x:v>
      </x:c>
    </x:row>
    <x:row r="28">
      <x:c r="A28" s="71" t="str">
        <x:v>FQ06</x:v>
      </x:c>
      <x:c r="B28" s="72" t="str">
        <x:v>解决方案生成</x:v>
      </x:c>
      <x:c r="C28" s="72" t="str">
        <x:v>F04</x:v>
      </x:c>
      <x:c r="D28" s="72" t="str">
        <x:v>方案未定</x:v>
      </x:c>
      <x:c r="E28" s="72" t="str">
        <x:v>目前只能说明需要解决，无法固定方案风格。</x:v>
      </x:c>
      <x:c r="F28" s="72" t="str">
        <x:v>不加分；降置信</x:v>
      </x:c>
      <x:c r="G28" s="72" t="str">
        <x:v>solution_style</x:v>
      </x:c>
      <x:c r="H28" s="72" t="str">
        <x:v>至少两类独立证据，或一类可靠近位信号＋重复案例行为。</x:v>
      </x:c>
      <x:c r="I28" s="73" t="str">
        <x:v>方案速度不等于关系修复速度。</x:v>
      </x:c>
    </x:row>
    <x:row r="29">
      <x:c r="A29" s="71" t="str">
        <x:v>FQ07</x:v>
      </x:c>
      <x:c r="B29" s="72" t="str">
        <x:v>暂停使用方式</x:v>
      </x:c>
      <x:c r="C29" s="72" t="str">
        <x:v>G01</x:v>
      </x:c>
      <x:c r="D29" s="72" t="str">
        <x:v>短暂停顿</x:v>
      </x:c>
      <x:c r="E29" s="72" t="str">
        <x:v>短时间整理或降温，随后回到原问题。</x:v>
      </x:c>
      <x:c r="F29" s="72" t="str">
        <x:v>暂停 +5</x:v>
      </x:c>
      <x:c r="G29" s="72" t="str">
        <x:v>pause_style</x:v>
      </x:c>
      <x:c r="H29" s="72" t="str">
        <x:v>至少两类独立证据，或一类可靠近位信号＋重复案例行为。</x:v>
      </x:c>
      <x:c r="I29" s="73" t="str">
        <x:v>暂停必须包含目的和回归路径，不能直接写成冷战。</x:v>
      </x:c>
    </x:row>
    <x:row r="30">
      <x:c r="A30" s="71" t="str">
        <x:v>FQ07</x:v>
      </x:c>
      <x:c r="B30" s="72" t="str">
        <x:v>暂停使用方式</x:v>
      </x:c>
      <x:c r="C30" s="72" t="str">
        <x:v>G02</x:v>
      </x:c>
      <x:c r="D30" s="72" t="str">
        <x:v>任务处理后回归</x:v>
      </x:c>
      <x:c r="E30" s="72" t="str">
        <x:v>先处理紧急现实或行动部分，再回到沟通。</x:v>
      </x:c>
      <x:c r="F30" s="72" t="str">
        <x:v>暂停 +5</x:v>
      </x:c>
      <x:c r="G30" s="72" t="str">
        <x:v>pause_style</x:v>
      </x:c>
      <x:c r="H30" s="72" t="str">
        <x:v>至少两类独立证据，或一类可靠近位信号＋重复案例行为。</x:v>
      </x:c>
      <x:c r="I30" s="73" t="str">
        <x:v>暂停必须包含目的和回归路径，不能直接写成冷战。</x:v>
      </x:c>
    </x:row>
    <x:row r="31">
      <x:c r="A31" s="71" t="str">
        <x:v>FQ07</x:v>
      </x:c>
      <x:c r="B31" s="72" t="str">
        <x:v>暂停使用方式</x:v>
      </x:c>
      <x:c r="C31" s="72" t="str">
        <x:v>G03</x:v>
      </x:c>
      <x:c r="D31" s="72" t="str">
        <x:v>安全恢复后回归</x:v>
      </x:c>
      <x:c r="E31" s="72" t="str">
        <x:v>先恢复被理解、可交流或情绪稳定，再继续。</x:v>
      </x:c>
      <x:c r="F31" s="72" t="str">
        <x:v>暂停 +5</x:v>
      </x:c>
      <x:c r="G31" s="72" t="str">
        <x:v>pause_style</x:v>
      </x:c>
      <x:c r="H31" s="72" t="str">
        <x:v>至少两类独立证据，或一类可靠近位信号＋重复案例行为。</x:v>
      </x:c>
      <x:c r="I31" s="73" t="str">
        <x:v>暂停必须包含目的和回归路径，不能直接写成冷战。</x:v>
      </x:c>
    </x:row>
    <x:row r="32">
      <x:c r="A32" s="71" t="str">
        <x:v>FQ07</x:v>
      </x:c>
      <x:c r="B32" s="72" t="str">
        <x:v>暂停使用方式</x:v>
      </x:c>
      <x:c r="C32" s="72" t="str">
        <x:v>G04</x:v>
      </x:c>
      <x:c r="D32" s="72" t="str">
        <x:v>暂停未定</x:v>
      </x:c>
      <x:c r="E32" s="72" t="str">
        <x:v>有暂停需要，但回归时间和条件仍需REPAIR判断。</x:v>
      </x:c>
      <x:c r="F32" s="72" t="str">
        <x:v>不加分；路由REPAIR</x:v>
      </x:c>
      <x:c r="G32" s="72" t="str">
        <x:v>pause_style</x:v>
      </x:c>
      <x:c r="H32" s="72" t="str">
        <x:v>至少两类独立证据，或一类可靠近位信号＋重复案例行为。</x:v>
      </x:c>
      <x:c r="I32" s="73" t="str">
        <x:v>暂停必须包含目的和回归路径，不能直接写成冷战。</x:v>
      </x:c>
    </x:row>
    <x:row r="33">
      <x:c r="A33" s="71" t="str">
        <x:v>FQ08</x:v>
      </x:c>
      <x:c r="B33" s="72" t="str">
        <x:v>接收对方回应</x:v>
      </x:c>
      <x:c r="C33" s="72" t="str">
        <x:v>H01</x:v>
      </x:c>
      <x:c r="D33" s="72" t="str">
        <x:v>先听完整</x:v>
      </x:c>
      <x:c r="E33" s="72" t="str">
        <x:v>先让对方把感受、事实和立场说完整，再回应。</x:v>
      </x:c>
      <x:c r="F33" s="72" t="str">
        <x:v>接收 +5</x:v>
      </x:c>
      <x:c r="G33" s="72" t="str">
        <x:v>response_reception</x:v>
      </x:c>
      <x:c r="H33" s="72" t="str">
        <x:v>至少两类独立证据，或一类可靠近位信号＋重复案例行为。</x:v>
      </x:c>
      <x:c r="I33" s="73" t="str">
        <x:v>倾听不等于认同，验证也不等于不信任。</x:v>
      </x:c>
    </x:row>
    <x:row r="34">
      <x:c r="A34" s="71" t="str">
        <x:v>FQ08</x:v>
      </x:c>
      <x:c r="B34" s="72" t="str">
        <x:v>接收对方回应</x:v>
      </x:c>
      <x:c r="C34" s="72" t="str">
        <x:v>H02</x:v>
      </x:c>
      <x:c r="D34" s="72" t="str">
        <x:v>边听边校准</x:v>
      </x:c>
      <x:c r="E34" s="72" t="str">
        <x:v>在对话中即时提问、澄清和修正理解。</x:v>
      </x:c>
      <x:c r="F34" s="72" t="str">
        <x:v>接收 +5</x:v>
      </x:c>
      <x:c r="G34" s="72" t="str">
        <x:v>response_reception</x:v>
      </x:c>
      <x:c r="H34" s="72" t="str">
        <x:v>至少两类独立证据，或一类可靠近位信号＋重复案例行为。</x:v>
      </x:c>
      <x:c r="I34" s="73" t="str">
        <x:v>倾听不等于认同，验证也不等于不信任。</x:v>
      </x:c>
    </x:row>
    <x:row r="35">
      <x:c r="A35" s="71" t="str">
        <x:v>FQ08</x:v>
      </x:c>
      <x:c r="B35" s="72" t="str">
        <x:v>接收对方回应</x:v>
      </x:c>
      <x:c r="C35" s="72" t="str">
        <x:v>H03</x:v>
      </x:c>
      <x:c r="D35" s="72" t="str">
        <x:v>先验证事实</x:v>
      </x:c>
      <x:c r="E35" s="72" t="str">
        <x:v>先核对具体行为、安排或证据，再接收解释。</x:v>
      </x:c>
      <x:c r="F35" s="72" t="str">
        <x:v>接收 +5</x:v>
      </x:c>
      <x:c r="G35" s="72" t="str">
        <x:v>response_reception</x:v>
      </x:c>
      <x:c r="H35" s="72" t="str">
        <x:v>至少两类独立证据，或一类可靠近位信号＋重复案例行为。</x:v>
      </x:c>
      <x:c r="I35" s="73" t="str">
        <x:v>倾听不等于认同，验证也不等于不信任。</x:v>
      </x:c>
    </x:row>
    <x:row r="36">
      <x:c r="A36" s="71" t="str">
        <x:v>FQ08</x:v>
      </x:c>
      <x:c r="B36" s="72" t="str">
        <x:v>接收对方回应</x:v>
      </x:c>
      <x:c r="C36" s="72" t="str">
        <x:v>H04</x:v>
      </x:c>
      <x:c r="D36" s="72" t="str">
        <x:v>接收未定</x:v>
      </x:c>
      <x:c r="E36" s="72" t="str">
        <x:v>不同议题会使用不同接收方式，现有证据不足。</x:v>
      </x:c>
      <x:c r="F36" s="72" t="str">
        <x:v>不加分；降置信</x:v>
      </x:c>
      <x:c r="G36" s="72" t="str">
        <x:v>response_reception</x:v>
      </x:c>
      <x:c r="H36" s="72" t="str">
        <x:v>至少两类独立证据，或一类可靠近位信号＋重复案例行为。</x:v>
      </x:c>
      <x:c r="I36" s="73" t="str">
        <x:v>倾听不等于认同，验证也不等于不信任。</x:v>
      </x:c>
    </x:row>
    <x:row r="37">
      <x:c r="A37" s="71" t="str">
        <x:v>FQ09</x:v>
      </x:c>
      <x:c r="B37" s="72" t="str">
        <x:v>分歧阶段结束条件</x:v>
      </x:c>
      <x:c r="C37" s="72" t="str">
        <x:v>I01</x:v>
      </x:c>
      <x:c r="D37" s="72" t="str">
        <x:v>事实说清</x:v>
      </x:c>
      <x:c r="E37" s="72" t="str">
        <x:v>核心事实、定义和双方观点已经被准确理解。</x:v>
      </x:c>
      <x:c r="F37" s="72" t="str">
        <x:v>结束 +5</x:v>
      </x:c>
      <x:c r="G37" s="72" t="str">
        <x:v>conflict_end_condition</x:v>
      </x:c>
      <x:c r="H37" s="72" t="str">
        <x:v>至少两类独立证据，或一类可靠近位信号＋重复案例行为。</x:v>
      </x:c>
      <x:c r="I37" s="73" t="str">
        <x:v>阶段结束不等于关系已经修复或情绪完全恢复。</x:v>
      </x:c>
    </x:row>
    <x:row r="38">
      <x:c r="A38" s="71" t="str">
        <x:v>FQ09</x:v>
      </x:c>
      <x:c r="B38" s="72" t="str">
        <x:v>分歧阶段结束条件</x:v>
      </x:c>
      <x:c r="C38" s="72" t="str">
        <x:v>I02</x:v>
      </x:c>
      <x:c r="D38" s="72" t="str">
        <x:v>责任落实</x:v>
      </x:c>
      <x:c r="E38" s="72" t="str">
        <x:v>谁做什么、何时完成、怎样追踪已经明确。</x:v>
      </x:c>
      <x:c r="F38" s="72" t="str">
        <x:v>结束 +5</x:v>
      </x:c>
      <x:c r="G38" s="72" t="str">
        <x:v>conflict_end_condition</x:v>
      </x:c>
      <x:c r="H38" s="72" t="str">
        <x:v>至少两类独立证据，或一类可靠近位信号＋重复案例行为。</x:v>
      </x:c>
      <x:c r="I38" s="73" t="str">
        <x:v>阶段结束不等于关系已经修复或情绪完全恢复。</x:v>
      </x:c>
    </x:row>
    <x:row r="39">
      <x:c r="A39" s="71" t="str">
        <x:v>FQ09</x:v>
      </x:c>
      <x:c r="B39" s="72" t="str">
        <x:v>分歧阶段结束条件</x:v>
      </x:c>
      <x:c r="C39" s="72" t="str">
        <x:v>I03</x:v>
      </x:c>
      <x:c r="D39" s="72" t="str">
        <x:v>感受被理解</x:v>
      </x:c>
      <x:c r="E39" s="72" t="str">
        <x:v>双方核心感受和背景已被听见并承接。</x:v>
      </x:c>
      <x:c r="F39" s="72" t="str">
        <x:v>结束 +5</x:v>
      </x:c>
      <x:c r="G39" s="72" t="str">
        <x:v>conflict_end_condition</x:v>
      </x:c>
      <x:c r="H39" s="72" t="str">
        <x:v>至少两类独立证据，或一类可靠近位信号＋重复案例行为。</x:v>
      </x:c>
      <x:c r="I39" s="73" t="str">
        <x:v>阶段结束不等于关系已经修复或情绪完全恢复。</x:v>
      </x:c>
    </x:row>
    <x:row r="40">
      <x:c r="A40" s="71" t="str">
        <x:v>FQ09</x:v>
      </x:c>
      <x:c r="B40" s="72" t="str">
        <x:v>分歧阶段结束条件</x:v>
      </x:c>
      <x:c r="C40" s="72" t="str">
        <x:v>I04</x:v>
      </x:c>
      <x:c r="D40" s="72" t="str">
        <x:v>暂定方案形成</x:v>
      </x:c>
      <x:c r="E40" s="72" t="str">
        <x:v>先形成可执行的临时方案，之后再复盘。</x:v>
      </x:c>
      <x:c r="F40" s="72" t="str">
        <x:v>结束 +5</x:v>
      </x:c>
      <x:c r="G40" s="72" t="str">
        <x:v>conflict_end_condition</x:v>
      </x:c>
      <x:c r="H40" s="72" t="str">
        <x:v>至少两类独立证据，或一类可靠近位信号＋重复案例行为。</x:v>
      </x:c>
      <x:c r="I40" s="73" t="str">
        <x:v>阶段结束不等于关系已经修复或情绪完全恢复。</x:v>
      </x:c>
    </x:row>
    <x:row r="41">
      <x:c r="A41" s="71" t="str">
        <x:v>FQ10</x:v>
      </x:c>
      <x:c r="B41" s="72" t="str">
        <x:v>复盘与再校准</x:v>
      </x:c>
      <x:c r="C41" s="72" t="str">
        <x:v>J01</x:v>
      </x:c>
      <x:c r="D41" s="72" t="str">
        <x:v>即时复盘</x:v>
      </x:c>
      <x:c r="E41" s="72" t="str">
        <x:v>事情处理后较快总结问题和下次做法。</x:v>
      </x:c>
      <x:c r="F41" s="72" t="str">
        <x:v>复盘 +5</x:v>
      </x:c>
      <x:c r="G41" s="72" t="str">
        <x:v>review_style</x:v>
      </x:c>
      <x:c r="H41" s="72" t="str">
        <x:v>至少两类独立证据，或一类可靠近位信号＋重复案例行为。</x:v>
      </x:c>
      <x:c r="I41" s="73" t="str">
        <x:v>复盘方式不等于反复翻旧账。</x:v>
      </x:c>
    </x:row>
    <x:row r="42">
      <x:c r="A42" s="71" t="str">
        <x:v>FQ10</x:v>
      </x:c>
      <x:c r="B42" s="72" t="str">
        <x:v>复盘与再校准</x:v>
      </x:c>
      <x:c r="C42" s="72" t="str">
        <x:v>J02</x:v>
      </x:c>
      <x:c r="D42" s="72" t="str">
        <x:v>事后复盘</x:v>
      </x:c>
      <x:c r="E42" s="72" t="str">
        <x:v>待情绪或现实稳定以后，再回头整理。</x:v>
      </x:c>
      <x:c r="F42" s="72" t="str">
        <x:v>复盘 +5</x:v>
      </x:c>
      <x:c r="G42" s="72" t="str">
        <x:v>review_style</x:v>
      </x:c>
      <x:c r="H42" s="72" t="str">
        <x:v>至少两类独立证据，或一类可靠近位信号＋重复案例行为。</x:v>
      </x:c>
      <x:c r="I42" s="73" t="str">
        <x:v>复盘方式不等于反复翻旧账。</x:v>
      </x:c>
    </x:row>
    <x:row r="43">
      <x:c r="A43" s="71" t="str">
        <x:v>FQ10</x:v>
      </x:c>
      <x:c r="B43" s="72" t="str">
        <x:v>复盘与再校准</x:v>
      </x:c>
      <x:c r="C43" s="72" t="str">
        <x:v>J03</x:v>
      </x:c>
      <x:c r="D43" s="72" t="str">
        <x:v>事件触发复盘</x:v>
      </x:c>
      <x:c r="E43" s="72" t="str">
        <x:v>只有同类问题再次出现或结构变化时才重订。</x:v>
      </x:c>
      <x:c r="F43" s="72" t="str">
        <x:v>复盘 +5</x:v>
      </x:c>
      <x:c r="G43" s="72" t="str">
        <x:v>review_style</x:v>
      </x:c>
      <x:c r="H43" s="72" t="str">
        <x:v>至少两类独立证据，或一类可靠近位信号＋重复案例行为。</x:v>
      </x:c>
      <x:c r="I43" s="73" t="str">
        <x:v>复盘方式不等于反复翻旧账。</x:v>
      </x:c>
    </x:row>
    <x:row r="44">
      <x:c r="A44" s="74" t="str">
        <x:v>FQ10</x:v>
      </x:c>
      <x:c r="B44" s="75" t="str">
        <x:v>复盘与再校准</x:v>
      </x:c>
      <x:c r="C44" s="75" t="str">
        <x:v>J04</x:v>
      </x:c>
      <x:c r="D44" s="75" t="str">
        <x:v>复盘未定</x:v>
      </x:c>
      <x:c r="E44" s="75" t="str">
        <x:v>目前看不出稳定复盘习惯，需交给REPAIR与案例。</x:v>
      </x:c>
      <x:c r="F44" s="75" t="str">
        <x:v>不加分；降置信</x:v>
      </x:c>
      <x:c r="G44" s="75" t="str">
        <x:v>review_style</x:v>
      </x:c>
      <x:c r="H44" s="75" t="str">
        <x:v>至少两类独立证据，或一类可靠近位信号＋重复案例行为。</x:v>
      </x:c>
      <x:c r="I44" s="76" t="str">
        <x:v>复盘方式不等于反复翻旧账。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8" hidden="0" customWidth="1"/>
    <x:col min="4" max="4" width="38" hidden="0" customWidth="1"/>
    <x:col min="5" max="5" width="38" hidden="0" customWidth="1"/>
    <x:col min="6" max="6" width="46" hidden="0" customWidth="1"/>
    <x:col min="7" max="7" width="38" hidden="0" customWidth="1"/>
  </x:cols>
  <x:sheetData>
    <x:row r="1" ht="28" customHeight="1">
      <x:c r="A1" s="7" t="str">
        <x:v>冲突处理模式矩阵｜FP01—FP12</x:v>
      </x:c>
      <x:c r="B1" s="7" t="str">
        <x:v>冲突处理模式矩阵｜FP01—FP12</x:v>
      </x:c>
      <x:c r="C1" s="7" t="str">
        <x:v>冲突处理模式矩阵｜FP01—FP12</x:v>
      </x:c>
      <x:c r="D1" s="7" t="str">
        <x:v>冲突处理模式矩阵｜FP01—FP12</x:v>
      </x:c>
      <x:c r="E1" s="7" t="str">
        <x:v>冲突处理模式矩阵｜FP01—FP12</x:v>
      </x:c>
      <x:c r="F1" s="7" t="str">
        <x:v>冲突处理模式矩阵｜FP01—FP12</x:v>
      </x:c>
      <x:c r="G1" s="7" t="str">
        <x:v>冲突处理模式矩阵｜FP01—FP12</x:v>
      </x:c>
    </x:row>
    <x:row r="2" ht="30" customHeight="1">
      <x:c r="A2" s="17" t="str">
        <x:v>模式必须由主通道＋至少一项过程维度共同支持。它是处理过程概括，不是人格或风险标签。</x:v>
      </x:c>
      <x:c r="B2" s="17" t="str">
        <x:v>模式必须由主通道＋至少一项过程维度共同支持。它是处理过程概括，不是人格或风险标签。</x:v>
      </x:c>
      <x:c r="C2" s="17" t="str">
        <x:v>模式必须由主通道＋至少一项过程维度共同支持。它是处理过程概括，不是人格或风险标签。</x:v>
      </x:c>
      <x:c r="D2" s="17" t="str">
        <x:v>模式必须由主通道＋至少一项过程维度共同支持。它是处理过程概括，不是人格或风险标签。</x:v>
      </x:c>
      <x:c r="E2" s="17" t="str">
        <x:v>模式必须由主通道＋至少一项过程维度共同支持。它是处理过程概括，不是人格或风险标签。</x:v>
      </x:c>
      <x:c r="F2" s="17" t="str">
        <x:v>模式必须由主通道＋至少一项过程维度共同支持。它是处理过程概括，不是人格或风险标签。</x:v>
      </x:c>
      <x:c r="G2" s="17" t="str">
        <x:v>模式必须由主通道＋至少一项过程维度共同支持。它是处理过程概括，不是人格或风险标签。</x:v>
      </x:c>
    </x:row>
    <x:row r="4" ht="24" customHeight="1">
      <x:c r="A4" s="33" t="str">
        <x:v>模式ID</x:v>
      </x:c>
      <x:c r="B4" s="34" t="str">
        <x:v>模式名称</x:v>
      </x:c>
      <x:c r="C4" s="34" t="str">
        <x:v>核心信号</x:v>
      </x:c>
      <x:c r="D4" s="34" t="str">
        <x:v>处理结构</x:v>
      </x:c>
      <x:c r="E4" s="34" t="str">
        <x:v>成立门槛</x:v>
      </x:c>
      <x:c r="F4" s="34" t="str">
        <x:v>用户输出</x:v>
      </x:c>
      <x:c r="G4" s="35" t="str">
        <x:v>禁止等同</x:v>
      </x:c>
    </x:row>
    <x:row r="5">
      <x:c r="A5" s="68" t="str">
        <x:v>FP01</x:v>
      </x:c>
      <x:c r="B5" s="69" t="str">
        <x:v>平等对谈型</x:v>
      </x:c>
      <x:c r="C5" s="69" t="str">
        <x:v>CF01 比肩平等立场</x:v>
      </x:c>
      <x:c r="D5" s="69" t="str">
        <x:v>先说明各自观点和决定权，再协商共同方案</x:v>
      </x:c>
      <x:c r="E5" s="69" t="str">
        <x:v>至少两类独立证据；不得仅凭单一十神；与第一反应／焦点／结束条件至少一项一致。</x:v>
      </x:c>
      <x:c r="F5" s="69" t="str">
        <x:v>你的分歧处理更接近平等对谈型：先把双方立场和权限说清，再寻找都能参与的处理方式。</x:v>
      </x:c>
      <x:c r="G5" s="70" t="str">
        <x:v>不得等同攻击、冷战、控制、回避、关系失败或人格类型。</x:v>
      </x:c>
    </x:row>
    <x:row r="6">
      <x:c r="A6" s="71" t="str">
        <x:v>FP02</x:v>
      </x:c>
      <x:c r="B6" s="72" t="str">
        <x:v>即时协作型</x:v>
      </x:c>
      <x:c r="C6" s="72" t="str">
        <x:v>CF02 劫财即时介入</x:v>
      </x:c>
      <x:c r="D6" s="72" t="str">
        <x:v>通过快速回应、共同执行和现场调整推进处理</x:v>
      </x:c>
      <x:c r="E6" s="72" t="str">
        <x:v>至少两类独立证据；不得仅凭单一十神；与第一反应／焦点／结束条件至少一项一致。</x:v>
      </x:c>
      <x:c r="F6" s="72" t="str">
        <x:v>你的分歧处理更接近即时协作型：问题出现时先一起做、一起调，再在行动中补充说明。</x:v>
      </x:c>
      <x:c r="G6" s="73" t="str">
        <x:v>不得等同攻击、冷战、控制、回避、关系失败或人格类型。</x:v>
      </x:c>
    </x:row>
    <x:row r="7">
      <x:c r="A7" s="71" t="str">
        <x:v>FP03</x:v>
      </x:c>
      <x:c r="B7" s="72" t="str">
        <x:v>缓冲降温型</x:v>
      </x:c>
      <x:c r="C7" s="72" t="str">
        <x:v>CF03 食神缓冲降温</x:v>
      </x:c>
      <x:c r="D7" s="72" t="str">
        <x:v>先降低强度、恢复可谈状态，再进入具体议题</x:v>
      </x:c>
      <x:c r="E7" s="72" t="str">
        <x:v>至少两类独立证据；不得仅凭单一十神；与第一反应／焦点／结束条件至少一项一致。</x:v>
      </x:c>
      <x:c r="F7" s="72" t="str">
        <x:v>你的分歧处理更接近缓冲降温型：先让沟通恢复到双方能承受的程度，再处理事情本身。</x:v>
      </x:c>
      <x:c r="G7" s="73" t="str">
        <x:v>不得等同攻击、冷战、控制、回避、关系失败或人格类型。</x:v>
      </x:c>
    </x:row>
    <x:row r="8">
      <x:c r="A8" s="71" t="str">
        <x:v>FP04</x:v>
      </x:c>
      <x:c r="B8" s="72" t="str">
        <x:v>分析澄清型</x:v>
      </x:c>
      <x:c r="C8" s="72" t="str">
        <x:v>CF04 伤官分析澄清</x:v>
      </x:c>
      <x:c r="D8" s="72" t="str">
        <x:v>先拆解问题、核对事实和逻辑，再形成处理意见</x:v>
      </x:c>
      <x:c r="E8" s="72" t="str">
        <x:v>至少两类独立证据；不得仅凭单一十神；与第一反应／焦点／结束条件至少一项一致。</x:v>
      </x:c>
      <x:c r="F8" s="72" t="str">
        <x:v>你的分歧处理更接近分析澄清型：你需要先知道真正的问题在哪里，才愿意进入方案。</x:v>
      </x:c>
      <x:c r="G8" s="73" t="str">
        <x:v>不得等同攻击、冷战、控制、回避、关系失败或人格类型。</x:v>
      </x:c>
    </x:row>
    <x:row r="9">
      <x:c r="A9" s="71" t="str">
        <x:v>FP05</x:v>
      </x:c>
      <x:c r="B9" s="72" t="str">
        <x:v>现实校准型</x:v>
      </x:c>
      <x:c r="C9" s="72" t="str">
        <x:v>CF05 正财现实校准</x:v>
      </x:c>
      <x:c r="D9" s="72" t="str">
        <x:v>把分歧落到时间、资源、分工和后续执行</x:v>
      </x:c>
      <x:c r="E9" s="72" t="str">
        <x:v>至少两类独立证据；不得仅凭单一十神；与第一反应／焦点／结束条件至少一项一致。</x:v>
      </x:c>
      <x:c r="F9" s="72" t="str">
        <x:v>你的分歧处理更接近现实校准型：你更看重具体安排能否调整、后续能否真正做到。</x:v>
      </x:c>
      <x:c r="G9" s="73" t="str">
        <x:v>不得等同攻击、冷战、控制、回避、关系失败或人格类型。</x:v>
      </x:c>
    </x:row>
    <x:row r="10">
      <x:c r="A10" s="71" t="str">
        <x:v>FP06</x:v>
      </x:c>
      <x:c r="B10" s="72" t="str">
        <x:v>灵活换案型</x:v>
      </x:c>
      <x:c r="C10" s="72" t="str">
        <x:v>CF06 偏财灵活换案</x:v>
      </x:c>
      <x:c r="D10" s="72" t="str">
        <x:v>通过替代方案、场景调整和灵活资源恢复可行动空间</x:v>
      </x:c>
      <x:c r="E10" s="72" t="str">
        <x:v>至少两类独立证据；不得仅凭单一十神；与第一反应／焦点／结束条件至少一项一致。</x:v>
      </x:c>
      <x:c r="F10" s="72" t="str">
        <x:v>你的分歧处理更接近灵活换案型：与其固守一种办法，你更愿意寻找双方能继续尝试的新方案。</x:v>
      </x:c>
      <x:c r="G10" s="73" t="str">
        <x:v>不得等同攻击、冷战、控制、回避、关系失败或人格类型。</x:v>
      </x:c>
    </x:row>
    <x:row r="11">
      <x:c r="A11" s="71" t="str">
        <x:v>FP07</x:v>
      </x:c>
      <x:c r="B11" s="72" t="str">
        <x:v>规则复核型</x:v>
      </x:c>
      <x:c r="C11" s="72" t="str">
        <x:v>CF07 正官规则复核</x:v>
      </x:c>
      <x:c r="D11" s="72" t="str">
        <x:v>回到承诺、角色和责任边界，确认需执行或重订的规则</x:v>
      </x:c>
      <x:c r="E11" s="72" t="str">
        <x:v>至少两类独立证据；不得仅凭单一十神；与第一反应／焦点／结束条件至少一项一致。</x:v>
      </x:c>
      <x:c r="F11" s="72" t="str">
        <x:v>你的分歧处理更接近规则复核型：你会回到约定、责任和角色，确认问题应怎样被规范处理。</x:v>
      </x:c>
      <x:c r="G11" s="73" t="str">
        <x:v>不得等同攻击、冷战、控制、回避、关系失败或人格类型。</x:v>
      </x:c>
    </x:row>
    <x:row r="12">
      <x:c r="A12" s="71" t="str">
        <x:v>FP08</x:v>
      </x:c>
      <x:c r="B12" s="72" t="str">
        <x:v>决断处理型</x:v>
      </x:c>
      <x:c r="C12" s="72" t="str">
        <x:v>CF08 七杀决断处置</x:v>
      </x:c>
      <x:c r="D12" s="72" t="str">
        <x:v>先止损、处理紧急问题或划定停止线，再补充讨论</x:v>
      </x:c>
      <x:c r="E12" s="72" t="str">
        <x:v>至少两类独立证据；不得仅凭单一十神；与第一反应／焦点／结束条件至少一项一致。</x:v>
      </x:c>
      <x:c r="F12" s="72" t="str">
        <x:v>你的分歧处理更接近决断处理型：关键时刻先把必须处理的部分控制住，再回头谈细节。</x:v>
      </x:c>
      <x:c r="G12" s="73" t="str">
        <x:v>不得等同攻击、冷战、控制、回避、关系失败或人格类型。</x:v>
      </x:c>
    </x:row>
    <x:row r="13">
      <x:c r="A13" s="71" t="str">
        <x:v>FP09</x:v>
      </x:c>
      <x:c r="B13" s="72" t="str">
        <x:v>倾听承接型</x:v>
      </x:c>
      <x:c r="C13" s="72" t="str">
        <x:v>CF09 正印倾听承接</x:v>
      </x:c>
      <x:c r="D13" s="72" t="str">
        <x:v>先理解感受和背景，再进入立场、事实与方案</x:v>
      </x:c>
      <x:c r="E13" s="72" t="str">
        <x:v>至少两类独立证据；不得仅凭单一十神；与第一反应／焦点／结束条件至少一项一致。</x:v>
      </x:c>
      <x:c r="F13" s="72" t="str">
        <x:v>你的分歧处理更接近倾听承接型：你通常先让双方被听见，再决定问题怎样继续。</x:v>
      </x:c>
      <x:c r="G13" s="73" t="str">
        <x:v>不得等同攻击、冷战、控制、回避、关系失败或人格类型。</x:v>
      </x:c>
    </x:row>
    <x:row r="14">
      <x:c r="A14" s="71" t="str">
        <x:v>FP10</x:v>
      </x:c>
      <x:c r="B14" s="72" t="str">
        <x:v>暂停内化型</x:v>
      </x:c>
      <x:c r="C14" s="72" t="str">
        <x:v>CF10 偏印暂停内化</x:v>
      </x:c>
      <x:c r="D14" s="72" t="str">
        <x:v>先独立整理复杂信息，再以精简、选择性的方式回应</x:v>
      </x:c>
      <x:c r="E14" s="72" t="str">
        <x:v>至少两类独立证据；不得仅凭单一十神；与第一反应／焦点／结束条件至少一项一致。</x:v>
      </x:c>
      <x:c r="F14" s="72" t="str">
        <x:v>你的分歧处理更接近暂停内化型：你需要先想清楚真正问题，再回到沟通。</x:v>
      </x:c>
      <x:c r="G14" s="73" t="str">
        <x:v>不得等同攻击、冷战、控制、回避、关系失败或人格类型。</x:v>
      </x:c>
    </x:row>
    <x:row r="15">
      <x:c r="A15" s="71" t="str">
        <x:v>FP11</x:v>
      </x:c>
      <x:c r="B15" s="72" t="str">
        <x:v>双阶段协同型</x:v>
      </x:c>
      <x:c r="C15" s="72" t="str">
        <x:v>两项功能独立的冲突通道</x:v>
      </x:c>
      <x:c r="D15" s="72" t="str">
        <x:v>一项负责启动或降温，另一项负责完成方案或责任</x:v>
      </x:c>
      <x:c r="E15" s="72" t="str">
        <x:v>至少两类独立证据；不得仅凭单一十神；与第一反应／焦点／结束条件至少一项一致。</x:v>
      </x:c>
      <x:c r="F15" s="72" t="str">
        <x:v>你的分歧处理更接近双阶段协同型：第一种方式负责让问题进入可处理状态，第二种方式负责把事情完成。</x:v>
      </x:c>
      <x:c r="G15" s="73" t="str">
        <x:v>不得等同攻击、冷战、控制、回避、关系失败或人格类型。</x:v>
      </x:c>
    </x:row>
    <x:row r="16">
      <x:c r="A16" s="74" t="str">
        <x:v>FP12</x:v>
      </x:c>
      <x:c r="B16" s="75" t="str">
        <x:v>情境切换型</x:v>
      </x:c>
      <x:c r="C16" s="75" t="str">
        <x:v>平稳与压力状态调用不同通道</x:v>
      </x:c>
      <x:c r="D16" s="75" t="str">
        <x:v>不同议题、强度或关系阶段会改变第一反应和处理顺序</x:v>
      </x:c>
      <x:c r="E16" s="75" t="str">
        <x:v>至少两类独立证据；不得仅凭单一十神；与第一反应／焦点／结束条件至少一项一致。</x:v>
      </x:c>
      <x:c r="F16" s="75" t="str">
        <x:v>你的分歧处理更接近情境切换型：日常小分歧和高压力事件可能调用不同方式。</x:v>
      </x:c>
      <x:c r="G16" s="76" t="str">
        <x:v>不得等同攻击、冷战、控制、回避、关系失败或人格类型。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2" hidden="0" customWidth="1"/>
    <x:col min="4" max="4" width="38" hidden="0" customWidth="1"/>
    <x:col min="5" max="5" width="44" hidden="0" customWidth="1"/>
    <x:col min="6" max="6" width="38" hidden="0" customWidth="1"/>
    <x:col min="7" max="7" width="22" hidden="0" customWidth="1"/>
  </x:cols>
  <x:sheetData>
    <x:row r="1" ht="28" customHeight="1">
      <x:c r="A1" s="7" t="str">
        <x:v>冲突处理顺序、序列与功能路径</x:v>
      </x:c>
      <x:c r="B1" s="7" t="str">
        <x:v>冲突处理顺序、序列与功能路径</x:v>
      </x:c>
      <x:c r="C1" s="7" t="str">
        <x:v>冲突处理顺序、序列与功能路径</x:v>
      </x:c>
      <x:c r="D1" s="7" t="str">
        <x:v>冲突处理顺序、序列与功能路径</x:v>
      </x:c>
      <x:c r="E1" s="7" t="str">
        <x:v>冲突处理顺序、序列与功能路径</x:v>
      </x:c>
      <x:c r="F1" s="7" t="str">
        <x:v>冲突处理顺序、序列与功能路径</x:v>
      </x:c>
      <x:c r="G1" s="7" t="str">
        <x:v>冲突处理顺序、序列与功能路径</x:v>
      </x:c>
    </x:row>
    <x:row r="2" ht="30" customHeight="1">
      <x:c r="A2" s="17" t="str">
        <x:v>现实先后不能只由柱位或五行生克推出。必须有起点、有效转换和终点。</x:v>
      </x:c>
      <x:c r="B2" s="17" t="str">
        <x:v>现实先后不能只由柱位或五行生克推出。必须有起点、有效转换和终点。</x:v>
      </x:c>
      <x:c r="C2" s="17" t="str">
        <x:v>现实先后不能只由柱位或五行生克推出。必须有起点、有效转换和终点。</x:v>
      </x:c>
      <x:c r="D2" s="17" t="str">
        <x:v>现实先后不能只由柱位或五行生克推出。必须有起点、有效转换和终点。</x:v>
      </x:c>
      <x:c r="E2" s="17" t="str">
        <x:v>现实先后不能只由柱位或五行生克推出。必须有起点、有效转换和终点。</x:v>
      </x:c>
      <x:c r="F2" s="17" t="str">
        <x:v>现实先后不能只由柱位或五行生克推出。必须有起点、有效转换和终点。</x:v>
      </x:c>
      <x:c r="G2" s="17" t="str">
        <x:v>现实先后不能只由柱位或五行生克推出。必须有起点、有效转换和终点。</x:v>
      </x:c>
    </x:row>
    <x:row r="4" ht="24" customHeight="1">
      <x:c r="A4" s="33" t="str">
        <x:v>类型</x:v>
      </x:c>
      <x:c r="B4" s="34" t="str">
        <x:v>编号</x:v>
      </x:c>
      <x:c r="C4" s="34" t="str">
        <x:v>名称</x:v>
      </x:c>
      <x:c r="D4" s="34" t="str">
        <x:v>内部逻辑</x:v>
      </x:c>
      <x:c r="E4" s="34" t="str">
        <x:v>用户语言</x:v>
      </x:c>
      <x:c r="F4" s="34" t="str">
        <x:v>成立条件</x:v>
      </x:c>
      <x:c r="G4" s="35" t="str">
        <x:v>输出字段</x:v>
      </x:c>
    </x:row>
    <x:row r="5">
      <x:c r="A5" s="68" t="str">
        <x:v>处理顺序</x:v>
      </x:c>
      <x:c r="B5" s="69" t="str">
        <x:v>FO01</x:v>
      </x:c>
      <x:c r="C5" s="69" t="str">
        <x:v>立场先行</x:v>
      </x:c>
      <x:c r="D5" s="69" t="str">
        <x:v>先说明各自观点、权限和不能接受的部分，再协商。</x:v>
      </x:c>
      <x:c r="E5" s="69" t="str">
        <x:v>分歧出现时，你更容易先把自己的立场和边界说清，再进入具体协商。</x:v>
      </x:c>
      <x:c r="F5" s="69" t="str">
        <x:v>至少两个有效节点；非机械时序。</x:v>
      </x:c>
      <x:c r="G5" s="70" t="str">
        <x:v>conflict_sequence</x:v>
      </x:c>
    </x:row>
    <x:row r="6">
      <x:c r="A6" s="71" t="str">
        <x:v>处理顺序</x:v>
      </x:c>
      <x:c r="B6" s="72" t="str">
        <x:v>FO02</x:v>
      </x:c>
      <x:c r="C6" s="72" t="str">
        <x:v>事实先行</x:v>
      </x:c>
      <x:c r="D6" s="72" t="str">
        <x:v>先核对发生了什么、信息是否一致，再处理感受和责任。</x:v>
      </x:c>
      <x:c r="E6" s="72" t="str">
        <x:v>你通常先确认事实和问题本身，再讨论情绪、责任或下一步。</x:v>
      </x:c>
      <x:c r="F6" s="72" t="str">
        <x:v>至少两个有效节点；非机械时序。</x:v>
      </x:c>
      <x:c r="G6" s="73" t="str">
        <x:v>conflict_sequence</x:v>
      </x:c>
    </x:row>
    <x:row r="7">
      <x:c r="A7" s="71" t="str">
        <x:v>处理顺序</x:v>
      </x:c>
      <x:c r="B7" s="72" t="str">
        <x:v>FO03</x:v>
      </x:c>
      <x:c r="C7" s="72" t="str">
        <x:v>感受先行</x:v>
      </x:c>
      <x:c r="D7" s="72" t="str">
        <x:v>先确认感受与背景，让沟通恢复安全，再进入事实和方案。</x:v>
      </x:c>
      <x:c r="E7" s="72" t="str">
        <x:v>你更容易先把彼此的感受和背景听明白，再处理事情本身。</x:v>
      </x:c>
      <x:c r="F7" s="72" t="str">
        <x:v>至少两个有效节点；非机械时序。</x:v>
      </x:c>
      <x:c r="G7" s="73" t="str">
        <x:v>conflict_sequence</x:v>
      </x:c>
    </x:row>
    <x:row r="8">
      <x:c r="A8" s="71" t="str">
        <x:v>处理顺序</x:v>
      </x:c>
      <x:c r="B8" s="72" t="str">
        <x:v>FO04</x:v>
      </x:c>
      <x:c r="C8" s="72" t="str">
        <x:v>责任先行</x:v>
      </x:c>
      <x:c r="D8" s="72" t="str">
        <x:v>先确认承诺、分工和应承担部分，再决定怎样修正。</x:v>
      </x:c>
      <x:c r="E8" s="72" t="str">
        <x:v>你往往先回到责任和约定，确认谁需要做什么，再讨论其他层面。</x:v>
      </x:c>
      <x:c r="F8" s="72" t="str">
        <x:v>至少两个有效节点；非机械时序。</x:v>
      </x:c>
      <x:c r="G8" s="73" t="str">
        <x:v>conflict_sequence</x:v>
      </x:c>
    </x:row>
    <x:row r="9">
      <x:c r="A9" s="71" t="str">
        <x:v>处理顺序</x:v>
      </x:c>
      <x:c r="B9" s="72" t="str">
        <x:v>FO05</x:v>
      </x:c>
      <x:c r="C9" s="72" t="str">
        <x:v>方案先行</x:v>
      </x:c>
      <x:c r="D9" s="72" t="str">
        <x:v>先形成可执行的临时或正式方案，再补充解释和复盘。</x:v>
      </x:c>
      <x:c r="E9" s="72" t="str">
        <x:v>你更容易先推动一个能执行的办法，让问题停止扩大，再补充沟通。</x:v>
      </x:c>
      <x:c r="F9" s="72" t="str">
        <x:v>至少两个有效节点；非机械时序。</x:v>
      </x:c>
      <x:c r="G9" s="73" t="str">
        <x:v>conflict_sequence</x:v>
      </x:c>
    </x:row>
    <x:row r="10">
      <x:c r="A10" s="71" t="str">
        <x:v>处理顺序</x:v>
      </x:c>
      <x:c r="B10" s="72" t="str">
        <x:v>FO06</x:v>
      </x:c>
      <x:c r="C10" s="72" t="str">
        <x:v>降温先行</x:v>
      </x:c>
      <x:c r="D10" s="72" t="str">
        <x:v>先降低交流强度、调整环境和节奏，再进入核心议题。</x:v>
      </x:c>
      <x:c r="E10" s="72" t="str">
        <x:v>你通常先让双方回到可以继续说话的状态，再处理冲突内容。</x:v>
      </x:c>
      <x:c r="F10" s="72" t="str">
        <x:v>至少两个有效节点；非机械时序。</x:v>
      </x:c>
      <x:c r="G10" s="73" t="str">
        <x:v>conflict_sequence</x:v>
      </x:c>
    </x:row>
    <x:row r="11">
      <x:c r="A11" s="71" t="str">
        <x:v>处理顺序</x:v>
      </x:c>
      <x:c r="B11" s="72" t="str">
        <x:v>FO07</x:v>
      </x:c>
      <x:c r="C11" s="72" t="str">
        <x:v>暂停整理先行</x:v>
      </x:c>
      <x:c r="D11" s="72" t="str">
        <x:v>先短暂停顿或独立整理，随后带着更清楚的信息回归。</x:v>
      </x:c>
      <x:c r="E11" s="72" t="str">
        <x:v>你可能需要先停一下想清楚，再回到沟通，而不是在混乱中继续推进。</x:v>
      </x:c>
      <x:c r="F11" s="72" t="str">
        <x:v>至少两个有效节点；非机械时序。</x:v>
      </x:c>
      <x:c r="G11" s="73" t="str">
        <x:v>conflict_sequence</x:v>
      </x:c>
    </x:row>
    <x:row r="12">
      <x:c r="A12" s="71" t="str">
        <x:v>处理顺序</x:v>
      </x:c>
      <x:c r="B12" s="72" t="str">
        <x:v>FO08</x:v>
      </x:c>
      <x:c r="C12" s="72" t="str">
        <x:v>行动止损先行</x:v>
      </x:c>
      <x:c r="D12" s="72" t="str">
        <x:v>先处理紧急问题、风险和停止线，之后再复盘关系感受。</x:v>
      </x:c>
      <x:c r="E12" s="72" t="str">
        <x:v>遇到紧急或高压力分歧时，你更容易先把关键问题处理住，再回头谈感受。</x:v>
      </x:c>
      <x:c r="F12" s="72" t="str">
        <x:v>至少两个有效节点；非机械时序。</x:v>
      </x:c>
      <x:c r="G12" s="73" t="str">
        <x:v>conflict_sequence</x:v>
      </x:c>
    </x:row>
    <x:row r="13">
      <x:c r="A13" s="71" t="str">
        <x:v>处理顺序</x:v>
      </x:c>
      <x:c r="B13" s="72" t="str">
        <x:v>FO09</x:v>
      </x:c>
      <x:c r="C13" s="72" t="str">
        <x:v>先听后说</x:v>
      </x:c>
      <x:c r="D13" s="72" t="str">
        <x:v>先完整接收对方的感受、事实和立场，再形成自己的回应。</x:v>
      </x:c>
      <x:c r="E13" s="72" t="str">
        <x:v>你更倾向先听清对方在说什么，再决定怎样表达自己的部分。</x:v>
      </x:c>
      <x:c r="F13" s="72" t="str">
        <x:v>至少两个有效节点；非机械时序。</x:v>
      </x:c>
      <x:c r="G13" s="73" t="str">
        <x:v>conflict_sequence</x:v>
      </x:c>
    </x:row>
    <x:row r="14">
      <x:c r="A14" s="71" t="str">
        <x:v>处理顺序</x:v>
      </x:c>
      <x:c r="B14" s="72" t="str">
        <x:v>FO10</x:v>
      </x:c>
      <x:c r="C14" s="72" t="str">
        <x:v>先说后落实</x:v>
      </x:c>
      <x:c r="D14" s="72" t="str">
        <x:v>先把问题、需要和方案说明，再转成现实安排和行动。</x:v>
      </x:c>
      <x:c r="E14" s="72" t="str">
        <x:v>你更容易先说清楚，再把沟通转成具体做法和后续安排。</x:v>
      </x:c>
      <x:c r="F14" s="72" t="str">
        <x:v>至少两个有效节点；非机械时序。</x:v>
      </x:c>
      <x:c r="G14" s="73" t="str">
        <x:v>conflict_sequence</x:v>
      </x:c>
    </x:row>
    <x:row r="15">
      <x:c r="A15" s="71" t="str">
        <x:v>处理顺序</x:v>
      </x:c>
      <x:c r="B15" s="72" t="str">
        <x:v>FO11</x:v>
      </x:c>
      <x:c r="C15" s="72" t="str">
        <x:v>往返校准</x:v>
      </x:c>
      <x:c r="D15" s="72" t="str">
        <x:v>事实、感受、立场和方案在对话中反复互相校准。</x:v>
      </x:c>
      <x:c r="E15" s="72" t="str">
        <x:v>你的处理过程更像来回校准：每获得一段新信息，就调整理解和方案。</x:v>
      </x:c>
      <x:c r="F15" s="72" t="str">
        <x:v>至少两个有效节点；非机械时序。</x:v>
      </x:c>
      <x:c r="G15" s="73" t="str">
        <x:v>conflict_sequence</x:v>
      </x:c>
    </x:row>
    <x:row r="16">
      <x:c r="A16" s="74" t="str">
        <x:v>处理顺序</x:v>
      </x:c>
      <x:c r="B16" s="75" t="str">
        <x:v>FO12</x:v>
      </x:c>
      <x:c r="C16" s="75" t="str">
        <x:v>顺序未定</x:v>
      </x:c>
      <x:c r="D16" s="75" t="str">
        <x:v>不同议题或压力水平会改变先后，现有证据不足以固定。</x:v>
      </x:c>
      <x:c r="E16" s="75" t="str">
        <x:v>目前只能确认你会在表达、暂停、行动和承接之间切换，具体先后取决于情境。</x:v>
      </x:c>
      <x:c r="F16" s="75" t="str">
        <x:v>至少两个有效节点；非机械时序。</x:v>
      </x:c>
      <x:c r="G16" s="76" t="str">
        <x:v>conflict_sequence</x:v>
      </x:c>
    </x:row>
    <x:row r="18" ht="24" customHeight="1">
      <x:c r="A18" s="33" t="str">
        <x:v>类型</x:v>
      </x:c>
      <x:c r="B18" s="34" t="str">
        <x:v>编号</x:v>
      </x:c>
      <x:c r="C18" s="34" t="str">
        <x:v>名称</x:v>
      </x:c>
      <x:c r="D18" s="34" t="str">
        <x:v>内部逻辑</x:v>
      </x:c>
      <x:c r="E18" s="34" t="str">
        <x:v>用户语言</x:v>
      </x:c>
      <x:c r="F18" s="34" t="str">
        <x:v>成立条件</x:v>
      </x:c>
      <x:c r="G18" s="35" t="str">
        <x:v>输出字段</x:v>
      </x:c>
    </x:row>
    <x:row r="19">
      <x:c r="A19" s="68" t="str">
        <x:v>序列结构</x:v>
      </x:c>
      <x:c r="B19" s="69" t="str">
        <x:v>FS01</x:v>
      </x:c>
      <x:c r="C19" s="69" t="str">
        <x:v>事实→感受</x:v>
      </x:c>
      <x:c r="D19" s="69" t="str">
        <x:v>先核对事实、逻辑或安排，再补充感受和理解。</x:v>
      </x:c>
      <x:c r="E19" s="69" t="str">
        <x:v>你通常先把事情说清，再回到彼此感受，避免情绪和事实混在一起。</x:v>
      </x:c>
      <x:c r="F19" s="69" t="str">
        <x:v>起点、转换、终点均可靠；FS08用于断流／未定。</x:v>
      </x:c>
      <x:c r="G19" s="70" t="str">
        <x:v>conflict_sequence</x:v>
      </x:c>
    </x:row>
    <x:row r="20">
      <x:c r="A20" s="71" t="str">
        <x:v>序列结构</x:v>
      </x:c>
      <x:c r="B20" s="72" t="str">
        <x:v>FS02</x:v>
      </x:c>
      <x:c r="C20" s="72" t="str">
        <x:v>感受→事实</x:v>
      </x:c>
      <x:c r="D20" s="72" t="str">
        <x:v>先恢复被理解和可交流状态，再进入事实、责任与方案。</x:v>
      </x:c>
      <x:c r="E20" s="72" t="str">
        <x:v>你更容易先确认双方感受，再处理具体问题。</x:v>
      </x:c>
      <x:c r="F20" s="72" t="str">
        <x:v>起点、转换、终点均可靠；FS08用于断流／未定。</x:v>
      </x:c>
      <x:c r="G20" s="73" t="str">
        <x:v>conflict_sequence</x:v>
      </x:c>
    </x:row>
    <x:row r="21">
      <x:c r="A21" s="71" t="str">
        <x:v>序列结构</x:v>
      </x:c>
      <x:c r="B21" s="72" t="str">
        <x:v>FS03</x:v>
      </x:c>
      <x:c r="C21" s="72" t="str">
        <x:v>立场→协商</x:v>
      </x:c>
      <x:c r="D21" s="72" t="str">
        <x:v>先说明立场和限制，再讨论可调整范围与共同方案。</x:v>
      </x:c>
      <x:c r="E21" s="72" t="str">
        <x:v>你会先让彼此知道各自的位置，再进入协商。</x:v>
      </x:c>
      <x:c r="F21" s="72" t="str">
        <x:v>起点、转换、终点均可靠；FS08用于断流／未定。</x:v>
      </x:c>
      <x:c r="G21" s="73" t="str">
        <x:v>conflict_sequence</x:v>
      </x:c>
    </x:row>
    <x:row r="22">
      <x:c r="A22" s="71" t="str">
        <x:v>序列结构</x:v>
      </x:c>
      <x:c r="B22" s="72" t="str">
        <x:v>FS04</x:v>
      </x:c>
      <x:c r="C22" s="72" t="str">
        <x:v>规则→方案</x:v>
      </x:c>
      <x:c r="D22" s="72" t="str">
        <x:v>先核对约定、角色和责任，再形成执行方案。</x:v>
      </x:c>
      <x:c r="E22" s="72" t="str">
        <x:v>你往往先确认规则和责任，再决定具体怎么改。</x:v>
      </x:c>
      <x:c r="F22" s="72" t="str">
        <x:v>起点、转换、终点均可靠；FS08用于断流／未定。</x:v>
      </x:c>
      <x:c r="G22" s="73" t="str">
        <x:v>conflict_sequence</x:v>
      </x:c>
    </x:row>
    <x:row r="23">
      <x:c r="A23" s="71" t="str">
        <x:v>序列结构</x:v>
      </x:c>
      <x:c r="B23" s="72" t="str">
        <x:v>FS05</x:v>
      </x:c>
      <x:c r="C23" s="72" t="str">
        <x:v>行动→复盘</x:v>
      </x:c>
      <x:c r="D23" s="72" t="str">
        <x:v>先止损或处理现实任务，事情稳定后再复盘原因和感受。</x:v>
      </x:c>
      <x:c r="E23" s="72" t="str">
        <x:v>你可能先把眼前问题处理好，再回头整理这次分歧。</x:v>
      </x:c>
      <x:c r="F23" s="72" t="str">
        <x:v>起点、转换、终点均可靠；FS08用于断流／未定。</x:v>
      </x:c>
      <x:c r="G23" s="73" t="str">
        <x:v>conflict_sequence</x:v>
      </x:c>
    </x:row>
    <x:row r="24">
      <x:c r="A24" s="71" t="str">
        <x:v>序列结构</x:v>
      </x:c>
      <x:c r="B24" s="72" t="str">
        <x:v>FS06</x:v>
      </x:c>
      <x:c r="C24" s="72" t="str">
        <x:v>暂停→回归</x:v>
      </x:c>
      <x:c r="D24" s="72" t="str">
        <x:v>先暂停整理或降温，再带着更清楚的信息回到同一问题。</x:v>
      </x:c>
      <x:c r="E24" s="72" t="str">
        <x:v>你需要的暂停有明确回归点，而不是无限期搁置。</x:v>
      </x:c>
      <x:c r="F24" s="72" t="str">
        <x:v>起点、转换、终点均可靠；FS08用于断流／未定。</x:v>
      </x:c>
      <x:c r="G24" s="73" t="str">
        <x:v>conflict_sequence</x:v>
      </x:c>
    </x:row>
    <x:row r="25">
      <x:c r="A25" s="71" t="str">
        <x:v>序列结构</x:v>
      </x:c>
      <x:c r="B25" s="72" t="str">
        <x:v>FS07</x:v>
      </x:c>
      <x:c r="C25" s="72" t="str">
        <x:v>往返验证</x:v>
      </x:c>
      <x:c r="D25" s="72" t="str">
        <x:v>事实、感受、责任和方案通过多轮回应互相修正。</x:v>
      </x:c>
      <x:c r="E25" s="72" t="str">
        <x:v>你的处理更像多轮校准，答案会随着新信息逐步清楚。</x:v>
      </x:c>
      <x:c r="F25" s="72" t="str">
        <x:v>起点、转换、终点均可靠；FS08用于断流／未定。</x:v>
      </x:c>
      <x:c r="G25" s="73" t="str">
        <x:v>conflict_sequence</x:v>
      </x:c>
    </x:row>
    <x:row r="26">
      <x:c r="A26" s="74" t="str">
        <x:v>序列结构</x:v>
      </x:c>
      <x:c r="B26" s="75" t="str">
        <x:v>FS08</x:v>
      </x:c>
      <x:c r="C26" s="75" t="str">
        <x:v>断流／未定</x:v>
      </x:c>
      <x:c r="D26" s="75" t="str">
        <x:v>关键桥梁缺失、主次争议或没有可靠回归路径。</x:v>
      </x:c>
      <x:c r="E26" s="75" t="str">
        <x:v>目前无法确认稳定处理链，只能保留局部反应，不硬写完整流程。</x:v>
      </x:c>
      <x:c r="F26" s="75" t="str">
        <x:v>起点、转换、终点均可靠；FS08用于断流／未定。</x:v>
      </x:c>
      <x:c r="G26" s="76" t="str">
        <x:v>conflict_sequence</x:v>
      </x:c>
    </x:row>
    <x:row r="28" ht="24" customHeight="1">
      <x:c r="A28" s="33" t="str">
        <x:v>类型</x:v>
      </x:c>
      <x:c r="B28" s="34" t="str">
        <x:v>编号</x:v>
      </x:c>
      <x:c r="C28" s="34" t="str">
        <x:v>名称</x:v>
      </x:c>
      <x:c r="D28" s="34" t="str">
        <x:v>信号组合</x:v>
      </x:c>
      <x:c r="E28" s="34" t="str">
        <x:v>内部逻辑</x:v>
      </x:c>
      <x:c r="F28" s="34" t="str">
        <x:v>用户语言</x:v>
      </x:c>
      <x:c r="G28" s="35" t="str">
        <x:v>输出字段</x:v>
      </x:c>
    </x:row>
    <x:row r="29">
      <x:c r="A29" s="68" t="str">
        <x:v>功能路径</x:v>
      </x:c>
      <x:c r="B29" s="69" t="str">
        <x:v>FF01</x:v>
      </x:c>
      <x:c r="C29" s="69" t="str">
        <x:v>安全→立场</x:v>
      </x:c>
      <x:c r="D29" s="69" t="str">
        <x:v>正印／偏印→比肩／劫财</x:v>
      </x:c>
      <x:c r="E29" s="69" t="str">
        <x:v>先获得理解、整理和安全感，再形成自己的立场与参与方式。</x:v>
      </x:c>
      <x:c r="F29" s="69" t="str">
        <x:v>你更容易在被理解或想清楚以后，再把自己的立场说出来。</x:v>
      </x:c>
      <x:c r="G29" s="70" t="str">
        <x:v>conflict_path</x:v>
      </x:c>
    </x:row>
    <x:row r="30">
      <x:c r="A30" s="71" t="str">
        <x:v>功能路径</x:v>
      </x:c>
      <x:c r="B30" s="72" t="str">
        <x:v>FF02</x:v>
      </x:c>
      <x:c r="C30" s="72" t="str">
        <x:v>平等→表达</x:v>
      </x:c>
      <x:c r="D30" s="72" t="str">
        <x:v>比肩／劫财→食神／伤官</x:v>
      </x:c>
      <x:c r="E30" s="72" t="str">
        <x:v>先确认双方都有表达和选择权，再进入具体沟通。</x:v>
      </x:c>
      <x:c r="F30" s="72" t="str">
        <x:v>你需要先确认彼此能够平等参与，才更愿意把问题完整说开。</x:v>
      </x:c>
      <x:c r="G30" s="73" t="str">
        <x:v>conflict_path</x:v>
      </x:c>
    </x:row>
    <x:row r="31">
      <x:c r="A31" s="71" t="str">
        <x:v>功能路径</x:v>
      </x:c>
      <x:c r="B31" s="72" t="str">
        <x:v>FF03</x:v>
      </x:c>
      <x:c r="C31" s="72" t="str">
        <x:v>表达→现实</x:v>
      </x:c>
      <x:c r="D31" s="72" t="str">
        <x:v>食神／伤官→正财／偏财</x:v>
      </x:c>
      <x:c r="E31" s="72" t="str">
        <x:v>先把问题、感受和需求说清，再转成时间、资源和安排。</x:v>
      </x:c>
      <x:c r="F31" s="72" t="str">
        <x:v>你会先通过沟通形成理解，再把结果落实到具体安排。</x:v>
      </x:c>
      <x:c r="G31" s="73" t="str">
        <x:v>conflict_path</x:v>
      </x:c>
    </x:row>
    <x:row r="32">
      <x:c r="A32" s="71" t="str">
        <x:v>功能路径</x:v>
      </x:c>
      <x:c r="B32" s="72" t="str">
        <x:v>FF04</x:v>
      </x:c>
      <x:c r="C32" s="72" t="str">
        <x:v>现实→责任</x:v>
      </x:c>
      <x:c r="D32" s="72" t="str">
        <x:v>正财／偏财→正官／七杀</x:v>
      </x:c>
      <x:c r="E32" s="72" t="str">
        <x:v>先核对实际投入和条件，再明确谁负责、怎样执行或止损。</x:v>
      </x:c>
      <x:c r="F32" s="72" t="str">
        <x:v>你通常先看现实发生了什么，再把责任和下一步定下来。</x:v>
      </x:c>
      <x:c r="G32" s="73" t="str">
        <x:v>conflict_path</x:v>
      </x:c>
    </x:row>
    <x:row r="33">
      <x:c r="A33" s="71" t="str">
        <x:v>功能路径</x:v>
      </x:c>
      <x:c r="B33" s="72" t="str">
        <x:v>FF05</x:v>
      </x:c>
      <x:c r="C33" s="72" t="str">
        <x:v>责任→理解</x:v>
      </x:c>
      <x:c r="D33" s="72" t="str">
        <x:v>正官／七杀→正印／偏印</x:v>
      </x:c>
      <x:c r="E33" s="72" t="str">
        <x:v>先处理责任、风险或紧急事项，再补充情绪承接和内部整理。</x:v>
      </x:c>
      <x:c r="F33" s="72" t="str">
        <x:v>你可能先把必须承担的事情处理好，再回到理解和感受。</x:v>
      </x:c>
      <x:c r="G33" s="73" t="str">
        <x:v>conflict_path</x:v>
      </x:c>
    </x:row>
    <x:row r="34">
      <x:c r="A34" s="71" t="str">
        <x:v>功能路径</x:v>
      </x:c>
      <x:c r="B34" s="72" t="str">
        <x:v>FF06</x:v>
      </x:c>
      <x:c r="C34" s="72" t="str">
        <x:v>内化→说明</x:v>
      </x:c>
      <x:c r="D34" s="72" t="str">
        <x:v>偏印／正印→伤官／食神</x:v>
      </x:c>
      <x:c r="E34" s="72" t="str">
        <x:v>先整理复杂信息和感受，再以清楚或温和方式回应。</x:v>
      </x:c>
      <x:c r="F34" s="72" t="str">
        <x:v>你通常先想清楚，再选择合适的方式把核心说出来。</x:v>
      </x:c>
      <x:c r="G34" s="73" t="str">
        <x:v>conflict_path</x:v>
      </x:c>
    </x:row>
    <x:row r="35">
      <x:c r="A35" s="71" t="str">
        <x:v>功能路径</x:v>
      </x:c>
      <x:c r="B35" s="72" t="str">
        <x:v>FF07</x:v>
      </x:c>
      <x:c r="C35" s="72" t="str">
        <x:v>行动→承接</x:v>
      </x:c>
      <x:c r="D35" s="72" t="str">
        <x:v>七杀／劫财→正印／食神</x:v>
      </x:c>
      <x:c r="E35" s="72" t="str">
        <x:v>先介入、止损或共同处理，随后降低强度并恢复可交流状态。</x:v>
      </x:c>
      <x:c r="F35" s="72" t="str">
        <x:v>你可能先处理眼前问题，随后再让双方重新回到可沟通状态。</x:v>
      </x:c>
      <x:c r="G35" s="73" t="str">
        <x:v>conflict_path</x:v>
      </x:c>
    </x:row>
    <x:row r="36">
      <x:c r="A36" s="74" t="str">
        <x:v>功能路径</x:v>
      </x:c>
      <x:c r="B36" s="75" t="str">
        <x:v>FF08</x:v>
      </x:c>
      <x:c r="C36" s="75" t="str">
        <x:v>方案→重订</x:v>
      </x:c>
      <x:c r="D36" s="75" t="str">
        <x:v>财星／官杀→BOUND／REPAIR</x:v>
      </x:c>
      <x:c r="E36" s="75" t="str">
        <x:v>先形成现实方案，再把权限、规则或后续修复条件重新确认。</x:v>
      </x:c>
      <x:c r="F36" s="75" t="str">
        <x:v>事情有了办法以后，你还需要把新的分工、边界或后续安排说清。</x:v>
      </x:c>
      <x:c r="G36" s="76" t="str">
        <x:v>conflict_path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24" hidden="0" customWidth="1"/>
  </x:cols>
  <x:sheetData>
    <x:row r="1" ht="28" customHeight="1">
      <x:c r="A1" s="7" t="str">
        <x:v>日支合、冲、刑、害、破｜冲突节奏修正</x:v>
      </x:c>
      <x:c r="B1" s="7" t="str">
        <x:v>日支合、冲、刑、害、破｜冲突节奏修正</x:v>
      </x:c>
      <x:c r="C1" s="7" t="str">
        <x:v>日支合、冲、刑、害、破｜冲突节奏修正</x:v>
      </x:c>
      <x:c r="D1" s="7" t="str">
        <x:v>日支合、冲、刑、害、破｜冲突节奏修正</x:v>
      </x:c>
      <x:c r="E1" s="7" t="str">
        <x:v>日支合、冲、刑、害、破｜冲突节奏修正</x:v>
      </x:c>
      <x:c r="F1" s="7" t="str">
        <x:v>日支合、冲、刑、害、破｜冲突节奏修正</x:v>
      </x:c>
      <x:c r="G1" s="7" t="str">
        <x:v>日支合、冲、刑、害、破｜冲突节奏修正</x:v>
      </x:c>
      <x:c r="H1" s="7" t="str">
        <x:v>日支合、冲、刑、害、破｜冲突节奏修正</x:v>
      </x:c>
    </x:row>
    <x:row r="2" ht="30" customHeight="1">
      <x:c r="A2" s="17" t="str">
        <x:v>宫位动态只修正分歧的显化、校正、错位与重订节奏，不直接判断关系结果。</x:v>
      </x:c>
      <x:c r="B2" s="17" t="str">
        <x:v>宫位动态只修正分歧的显化、校正、错位与重订节奏，不直接判断关系结果。</x:v>
      </x:c>
      <x:c r="C2" s="17" t="str">
        <x:v>宫位动态只修正分歧的显化、校正、错位与重订节奏，不直接判断关系结果。</x:v>
      </x:c>
      <x:c r="D2" s="17" t="str">
        <x:v>宫位动态只修正分歧的显化、校正、错位与重订节奏，不直接判断关系结果。</x:v>
      </x:c>
      <x:c r="E2" s="17" t="str">
        <x:v>宫位动态只修正分歧的显化、校正、错位与重订节奏，不直接判断关系结果。</x:v>
      </x:c>
      <x:c r="F2" s="17" t="str">
        <x:v>宫位动态只修正分歧的显化、校正、错位与重订节奏，不直接判断关系结果。</x:v>
      </x:c>
      <x:c r="G2" s="17" t="str">
        <x:v>宫位动态只修正分歧的显化、校正、错位与重订节奏，不直接判断关系结果。</x:v>
      </x:c>
      <x:c r="H2" s="17" t="str">
        <x:v>宫位动态只修正分歧的显化、校正、错位与重订节奏，不直接判断关系结果。</x:v>
      </x:c>
    </x:row>
    <x:row r="4" ht="24" customHeight="1">
      <x:c r="A4" s="33" t="str">
        <x:v>结构</x:v>
      </x:c>
      <x:c r="B4" s="34" t="str">
        <x:v>基础节奏</x:v>
      </x:c>
      <x:c r="C4" s="34" t="str">
        <x:v>第一反应修正</x:v>
      </x:c>
      <x:c r="D4" s="34" t="str">
        <x:v>暂停／回归修正</x:v>
      </x:c>
      <x:c r="E4" s="34" t="str">
        <x:v>停止／降级条件</x:v>
      </x:c>
      <x:c r="F4" s="34" t="str">
        <x:v>禁止推出</x:v>
      </x:c>
      <x:c r="G4" s="34" t="str">
        <x:v>用户提示</x:v>
      </x:c>
      <x:c r="H4" s="35" t="str">
        <x:v>规则范围</x:v>
      </x:c>
    </x:row>
    <x:row r="5">
      <x:c r="A5" s="68" t="str">
        <x:v>合</x:v>
      </x:c>
      <x:c r="B5" s="69" t="str">
        <x:v>分歧中的多个议题、关系需要或现实条件容易被牵连到一起，需要先区分哪些应合并处理、哪些应分开。</x:v>
      </x:c>
      <x:c r="C5" s="69" t="str">
        <x:v>第一反应可能倾向协调、寻找共同点或避免把问题完全切成对立双方。</x:v>
      </x:c>
      <x:c r="D5" s="69" t="str">
        <x:v>暂停后更适合回到共同目标，再分别处理细节和责任。</x:v>
      </x:c>
      <x:c r="E5" s="69" t="str">
        <x:v>合的具体对象、是否合化或作用层级存在争议时，只保留“整合需求”而不固定冲突模式。</x:v>
      </x:c>
      <x:c r="F5" s="69" t="str">
        <x:v>不得直接推出分手、离婚、背叛、冷战、暴力或关系失败。</x:v>
      </x:c>
      <x:c r="G5" s="69" t="str">
        <x:v>日支合只说明分歧节奏的某种变化，不把它结果化。</x:v>
      </x:c>
      <x:c r="H5" s="70" t="str">
        <x:v>M3-CONFLICT-183—187</x:v>
      </x:c>
    </x:row>
    <x:row r="6">
      <x:c r="A6" s="71" t="str">
        <x:v>冲</x:v>
      </x:c>
      <x:c r="B6" s="72" t="str">
        <x:v>差异更容易外显，分歧可能较快被看见，需要及时调整节奏、位置或安排。</x:v>
      </x:c>
      <x:c r="C6" s="72" t="str">
        <x:v>第一反应更可能直接回应、改变安排或把不一致摆到台面。</x:v>
      </x:c>
      <x:c r="D6" s="72" t="str">
        <x:v>若强度过高，可先短暂停顿或处理现实变化，再回到核心议题。</x:v>
      </x:c>
      <x:c r="E6" s="72" t="str">
        <x:v>冲的成立、力量或作用对象不清时，只能写“差异容易外显”，不得细化为固定争执。</x:v>
      </x:c>
      <x:c r="F6" s="72" t="str">
        <x:v>不得直接推出分手、离婚、背叛、冷战、暴力或关系失败。</x:v>
      </x:c>
      <x:c r="G6" s="72" t="str">
        <x:v>日支冲只说明分歧节奏的某种变化，不把它结果化。</x:v>
      </x:c>
      <x:c r="H6" s="73" t="str">
        <x:v>M3-CONFLICT-188—192</x:v>
      </x:c>
    </x:row>
    <x:row r="7">
      <x:c r="A7" s="71" t="str">
        <x:v>刑</x:v>
      </x:c>
      <x:c r="B7" s="72" t="str">
        <x:v>同一议题可能需要反复校正，细节、标准或表达方式容易成为持续关注点。</x:v>
      </x:c>
      <x:c r="C7" s="72" t="str">
        <x:v>第一反应可能先检查哪里不准确、哪里没有按预期运行，之后多轮调整。</x:v>
      </x:c>
      <x:c r="D7" s="72" t="str">
        <x:v>暂停后更适合逐项复盘，而不是一次性要求所有问题结束。</x:v>
      </x:c>
      <x:c r="E7" s="72" t="str">
        <x:v>刑的具体结构、强弱或对象有争议时，降低置信度，不写成必然反复冲突。</x:v>
      </x:c>
      <x:c r="F7" s="72" t="str">
        <x:v>不得直接推出分手、离婚、背叛、冷战、暴力或关系失败。</x:v>
      </x:c>
      <x:c r="G7" s="72" t="str">
        <x:v>日支刑只说明分歧节奏的某种变化，不把它结果化。</x:v>
      </x:c>
      <x:c r="H7" s="73" t="str">
        <x:v>M3-CONFLICT-193—197</x:v>
      </x:c>
    </x:row>
    <x:row r="8">
      <x:c r="A8" s="71" t="str">
        <x:v>害</x:v>
      </x:c>
      <x:c r="B8" s="72" t="str">
        <x:v>隐性期待、默认理解或间接信息可能出现错位，分歧需要更多澄清“各自原本以为是什么”。</x:v>
      </x:c>
      <x:c r="C8" s="72" t="str">
        <x:v>第一反应不一定立即指向真正问题，可能需要追问背景和未说出口的期待。</x:v>
      </x:c>
      <x:c r="D8" s="72" t="str">
        <x:v>暂停后更适合把默认规则、感受差异和信息遗漏逐一说清。</x:v>
      </x:c>
      <x:c r="E8" s="72" t="str">
        <x:v>只有害而无具体错位、沟通或行为证据时，不得写成暗伤、背叛或故意伤害。</x:v>
      </x:c>
      <x:c r="F8" s="72" t="str">
        <x:v>不得直接推出分手、离婚、背叛、冷战、暴力或关系失败。</x:v>
      </x:c>
      <x:c r="G8" s="72" t="str">
        <x:v>日支害只说明分歧节奏的某种变化，不把它结果化。</x:v>
      </x:c>
      <x:c r="H8" s="73" t="str">
        <x:v>M3-CONFLICT-198—202</x:v>
      </x:c>
    </x:row>
    <x:row r="9">
      <x:c r="A9" s="74" t="str">
        <x:v>破</x:v>
      </x:c>
      <x:c r="B9" s="75" t="str">
        <x:v>原有安排、角色或处理办法可能不再适用，分歧重点在于旧结构如何重新组合。</x:v>
      </x:c>
      <x:c r="C9" s="75" t="str">
        <x:v>第一反应可能先发现“原来的办法行不通”，随后调整分工、规则或资源。</x:v>
      </x:c>
      <x:c r="D9" s="75" t="str">
        <x:v>暂停后更适合重新设计方案，而不是反复恢复旧安排。</x:v>
      </x:c>
      <x:c r="E9" s="75" t="str">
        <x:v>若破只是阶段覆盖或基础作用未定，应标记阶段性，不改写原局主冲突通道。</x:v>
      </x:c>
      <x:c r="F9" s="75" t="str">
        <x:v>不得直接推出分手、离婚、背叛、冷战、暴力或关系失败。</x:v>
      </x:c>
      <x:c r="G9" s="75" t="str">
        <x:v>日支破只说明分歧节奏的某种变化，不把它结果化。</x:v>
      </x:c>
      <x:c r="H9" s="76" t="str">
        <x:v>M3-CONFLICT-203—207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2" hidden="0" customWidth="1"/>
    <x:col min="4" max="4" width="24" hidden="0" customWidth="1"/>
    <x:col min="5" max="5" width="44" hidden="0" customWidth="1"/>
    <x:col min="6" max="6" width="42" hidden="0" customWidth="1"/>
    <x:col min="7" max="7" width="10" hidden="0" customWidth="1"/>
    <x:col min="8" max="8" width="18" hidden="0" customWidth="1"/>
  </x:cols>
  <x:sheetData>
    <x:row r="1" ht="28" customHeight="1">
      <x:c r="A1" s="7" t="str">
        <x:v>透藏、根气、旺弱、喜忌、制化与位置修正｜SC01—SC24</x:v>
      </x:c>
      <x:c r="B1" s="7" t="str">
        <x:v>透藏、根气、旺弱、喜忌、制化与位置修正｜SC01—SC24</x:v>
      </x:c>
      <x:c r="C1" s="7" t="str">
        <x:v>透藏、根气、旺弱、喜忌、制化与位置修正｜SC01—SC24</x:v>
      </x:c>
      <x:c r="D1" s="7" t="str">
        <x:v>透藏、根气、旺弱、喜忌、制化与位置修正｜SC01—SC24</x:v>
      </x:c>
      <x:c r="E1" s="7" t="str">
        <x:v>透藏、根气、旺弱、喜忌、制化与位置修正｜SC01—SC24</x:v>
      </x:c>
      <x:c r="F1" s="7" t="str">
        <x:v>透藏、根气、旺弱、喜忌、制化与位置修正｜SC01—SC24</x:v>
      </x:c>
      <x:c r="G1" s="7" t="str">
        <x:v>透藏、根气、旺弱、喜忌、制化与位置修正｜SC01—SC24</x:v>
      </x:c>
      <x:c r="H1" s="7" t="str">
        <x:v>透藏、根气、旺弱、喜忌、制化与位置修正｜SC01—SC24</x:v>
      </x:c>
    </x:row>
    <x:row r="2" ht="30" customHeight="1">
      <x:c r="A2" s="17" t="str">
        <x:v>状态修正决定通道是否外显、是否稳定、是否抢先和是否需要回退，不决定好坏。</x:v>
      </x:c>
      <x:c r="B2" s="17" t="str">
        <x:v>状态修正决定通道是否外显、是否稳定、是否抢先和是否需要回退，不决定好坏。</x:v>
      </x:c>
      <x:c r="C2" s="17" t="str">
        <x:v>状态修正决定通道是否外显、是否稳定、是否抢先和是否需要回退，不决定好坏。</x:v>
      </x:c>
      <x:c r="D2" s="17" t="str">
        <x:v>状态修正决定通道是否外显、是否稳定、是否抢先和是否需要回退，不决定好坏。</x:v>
      </x:c>
      <x:c r="E2" s="17" t="str">
        <x:v>状态修正决定通道是否外显、是否稳定、是否抢先和是否需要回退，不决定好坏。</x:v>
      </x:c>
      <x:c r="F2" s="17" t="str">
        <x:v>状态修正决定通道是否外显、是否稳定、是否抢先和是否需要回退，不决定好坏。</x:v>
      </x:c>
      <x:c r="G2" s="17" t="str">
        <x:v>状态修正决定通道是否外显、是否稳定、是否抢先和是否需要回退，不决定好坏。</x:v>
      </x:c>
      <x:c r="H2" s="17" t="str">
        <x:v>状态修正决定通道是否外显、是否稳定、是否抢先和是否需要回退，不决定好坏。</x:v>
      </x:c>
    </x:row>
    <x:row r="4" ht="24" customHeight="1">
      <x:c r="A4" s="33" t="str">
        <x:v>编号</x:v>
      </x:c>
      <x:c r="B4" s="34" t="str">
        <x:v>状态</x:v>
      </x:c>
      <x:c r="C4" s="34" t="str">
        <x:v>分值／路由</x:v>
      </x:c>
      <x:c r="D4" s="34" t="str">
        <x:v>输出字段</x:v>
      </x:c>
      <x:c r="E4" s="34" t="str">
        <x:v>内部逻辑</x:v>
      </x:c>
      <x:c r="F4" s="34" t="str">
        <x:v>用户语言</x:v>
      </x:c>
      <x:c r="G4" s="34" t="str">
        <x:v>置信</x:v>
      </x:c>
      <x:c r="H4" s="35" t="str">
        <x:v>规则ID</x:v>
      </x:c>
    </x:row>
    <x:row r="5">
      <x:c r="A5" s="68" t="str">
        <x:v>SC01</x:v>
      </x:c>
      <x:c r="B5" s="69" t="str">
        <x:v>透干有根｜冲突通道外显且可重复</x:v>
      </x:c>
      <x:c r="C5" s="69" t="str">
        <x:v>主通道 +8；可见度 +5</x:v>
      </x:c>
      <x:c r="D5" s="69" t="str">
        <x:v>primary_conflict_channel</x:v>
      </x:c>
      <x:c r="E5" s="69" t="str">
        <x:v>冲突方式容易被看见，并且不只在一次事件中出现。</x:v>
      </x:c>
      <x:c r="F5" s="69" t="str">
        <x:v>分歧中，你较容易把这项处理方式直接表现出来，而且具有一定重复性。</x:v>
      </x:c>
      <x:c r="G5" s="69" t="str">
        <x:v>中高</x:v>
      </x:c>
      <x:c r="H5" s="70" t="str">
        <x:v>M3-CONFLICT-208</x:v>
      </x:c>
    </x:row>
    <x:row r="6">
      <x:c r="A6" s="71" t="str">
        <x:v>SC02</x:v>
      </x:c>
      <x:c r="B6" s="72" t="str">
        <x:v>透干无根｜先可见后验证</x:v>
      </x:c>
      <x:c r="C6" s="72" t="str">
        <x:v>候选 +4；连续性待验证</x:v>
      </x:c>
      <x:c r="D6" s="72" t="str">
        <x:v>first_response</x:v>
      </x:c>
      <x:c r="E6" s="72" t="str">
        <x:v>反应可能较早外显，但能否持续完成处理需要后续证据。</x:v>
      </x:c>
      <x:c r="F6" s="72" t="str">
        <x:v>你可能很快表现出某种第一反应，但它是否能稳定完成整场分歧仍需观察。</x:v>
      </x:c>
      <x:c r="G6" s="72" t="str">
        <x:v>中</x:v>
      </x:c>
      <x:c r="H6" s="73" t="str">
        <x:v>M3-CONFLICT-209</x:v>
      </x:c>
    </x:row>
    <x:row r="7">
      <x:c r="A7" s="71" t="str">
        <x:v>SC03</x:v>
      </x:c>
      <x:c r="B7" s="72" t="str">
        <x:v>藏支有根｜隐性稳定</x:v>
      </x:c>
      <x:c r="C7" s="72" t="str">
        <x:v>主通道 +6；隐性 +5</x:v>
      </x:c>
      <x:c r="D7" s="72" t="str">
        <x:v>primary_conflict_channel</x:v>
      </x:c>
      <x:c r="E7" s="72" t="str">
        <x:v>处理方式不一定立即说出来，但可能稳定存在于长期相处和压力反应中。</x:v>
      </x:c>
      <x:c r="F7" s="72" t="str">
        <x:v>你的冲突处理方式未必第一时间被看见，但在长期关系里会逐渐显现。</x:v>
      </x:c>
      <x:c r="G7" s="72" t="str">
        <x:v>中高</x:v>
      </x:c>
      <x:c r="H7" s="73" t="str">
        <x:v>M3-CONFLICT-210</x:v>
      </x:c>
    </x:row>
    <x:row r="8">
      <x:c r="A8" s="71" t="str">
        <x:v>SC04</x:v>
      </x:c>
      <x:c r="B8" s="72" t="str">
        <x:v>藏支无根／弱远｜仅保留候选</x:v>
      </x:c>
      <x:c r="C8" s="72" t="str">
        <x:v>候选 +2；降置信</x:v>
      </x:c>
      <x:c r="D8" s="72" t="str">
        <x:v>secondary_conflict_channel</x:v>
      </x:c>
      <x:c r="E8" s="72" t="str">
        <x:v>只能作为潜在背景，不宜写成固定第一反应。</x:v>
      </x:c>
      <x:c r="F8" s="72" t="str">
        <x:v>这种方式目前只能作为低权重候选，不能写成你每次都会这样处理。</x:v>
      </x:c>
      <x:c r="G8" s="72" t="str">
        <x:v>中低</x:v>
      </x:c>
      <x:c r="H8" s="73" t="str">
        <x:v>M3-CONFLICT-211</x:v>
      </x:c>
    </x:row>
    <x:row r="9">
      <x:c r="A9" s="71" t="str">
        <x:v>SC05</x:v>
      </x:c>
      <x:c r="B9" s="72" t="str">
        <x:v>同根透藏｜一次证据两种表现</x:v>
      </x:c>
      <x:c r="C9" s="72" t="str">
        <x:v>去重；外显／稳定分工</x:v>
      </x:c>
      <x:c r="D9" s="72" t="str">
        <x:v>provenance</x:v>
      </x:c>
      <x:c r="E9" s="72" t="str">
        <x:v>同一冲突功能既可外显又有内在来源，但仍是一个source_id。</x:v>
      </x:c>
      <x:c r="F9" s="72" t="str">
        <x:v>同一种处理方式可能既容易被看见，也有稳定来源，但不会重复计分。</x:v>
      </x:c>
      <x:c r="G9" s="72" t="str">
        <x:v>高</x:v>
      </x:c>
      <x:c r="H9" s="73" t="str">
        <x:v>M3-CONFLICT-212</x:v>
      </x:c>
    </x:row>
    <x:row r="10">
      <x:c r="A10" s="71" t="str">
        <x:v>SC06</x:v>
      </x:c>
      <x:c r="B10" s="72" t="str">
        <x:v>多根同类｜重复性提高</x:v>
      </x:c>
      <x:c r="C10" s="72" t="str">
        <x:v>稳定性 +6；不新增通道</x:v>
      </x:c>
      <x:c r="D10" s="72" t="str">
        <x:v>state_shift</x:v>
      </x:c>
      <x:c r="E10" s="72" t="str">
        <x:v>同类功能在多种场景更可能重复调用。</x:v>
      </x:c>
      <x:c r="F10" s="72" t="str">
        <x:v>这项处理方式更可能在不同分歧中反复出现。</x:v>
      </x:c>
      <x:c r="G10" s="72" t="str">
        <x:v>中高</x:v>
      </x:c>
      <x:c r="H10" s="73" t="str">
        <x:v>M3-CONFLICT-213</x:v>
      </x:c>
    </x:row>
    <x:row r="11">
      <x:c r="A11" s="71" t="str">
        <x:v>SC07</x:v>
      </x:c>
      <x:c r="B11" s="72" t="str">
        <x:v>有根但受损｜功能保留、完成受限</x:v>
      </x:c>
      <x:c r="C11" s="72" t="str">
        <x:v>主通道保留；完成度 -3</x:v>
      </x:c>
      <x:c r="D11" s="72" t="str">
        <x:v>conflict_end_condition</x:v>
      </x:c>
      <x:c r="E11" s="72" t="str">
        <x:v>第一反应仍可能出现，但从启动到完成方案之间可能需要其他通道支持。</x:v>
      </x:c>
      <x:c r="F11" s="72" t="str">
        <x:v>这项方式仍会出现，只是能否顺利把分歧处理完，更依赖当时条件。</x:v>
      </x:c>
      <x:c r="G11" s="72" t="str">
        <x:v>中</x:v>
      </x:c>
      <x:c r="H11" s="73" t="str">
        <x:v>M3-CONFLICT-214</x:v>
      </x:c>
    </x:row>
    <x:row r="12">
      <x:c r="A12" s="71" t="str">
        <x:v>SC08</x:v>
      </x:c>
      <x:c r="B12" s="72" t="str">
        <x:v>无根但近位行为验证｜条件性成立</x:v>
      </x:c>
      <x:c r="C12" s="72" t="str">
        <x:v>条件性 +5；标记案例依赖</x:v>
      </x:c>
      <x:c r="D12" s="72" t="str">
        <x:v>confidence</x:v>
      </x:c>
      <x:c r="E12" s="72" t="str">
        <x:v>结构来源较弱，但真实关系中的重复行为可以支持条件性使用。</x:v>
      </x:c>
      <x:c r="F12" s="72" t="str">
        <x:v>虽然命局基础较弱，但真实相处中若反复出现，可以保留为条件性结论。</x:v>
      </x:c>
      <x:c r="G12" s="72" t="str">
        <x:v>中</x:v>
      </x:c>
      <x:c r="H12" s="73" t="str">
        <x:v>M3-CONFLICT-215</x:v>
      </x:c>
    </x:row>
    <x:row r="13">
      <x:c r="A13" s="71" t="str">
        <x:v>SC09</x:v>
      </x:c>
      <x:c r="B13" s="72" t="str">
        <x:v>旺而平衡｜自然调用</x:v>
      </x:c>
      <x:c r="C13" s="72" t="str">
        <x:v>主通道 +7</x:v>
      </x:c>
      <x:c r="D13" s="72" t="str">
        <x:v>primary_conflict_channel</x:v>
      </x:c>
      <x:c r="E13" s="72" t="str">
        <x:v>无需强烈刺激便能自然使用该处理方式。</x:v>
      </x:c>
      <x:c r="F13" s="72" t="str">
        <x:v>你通常不必等到问题很严重，便能较自然地使用这项处理方式。</x:v>
      </x:c>
      <x:c r="G13" s="72" t="str">
        <x:v>中高</x:v>
      </x:c>
      <x:c r="H13" s="73" t="str">
        <x:v>M3-CONFLICT-216</x:v>
      </x:c>
    </x:row>
    <x:row r="14">
      <x:c r="A14" s="71" t="str">
        <x:v>SC10</x:v>
      </x:c>
      <x:c r="B14" s="72" t="str">
        <x:v>旺而过度占位｜抢先但不判风险</x:v>
      </x:c>
      <x:c r="C14" s="72" t="str">
        <x:v>抢先 +5；路由M4</x:v>
      </x:c>
      <x:c r="D14" s="72" t="str">
        <x:v>state_shift</x:v>
      </x:c>
      <x:c r="E14" s="72" t="str">
        <x:v>该通道容易在压力下抢先占位，但是否损害关系需M4与案例。</x:v>
      </x:c>
      <x:c r="F14" s="72" t="str">
        <x:v>压力增加时，这种处理方式可能更快占据主导；是否形成问题要另行判断。</x:v>
      </x:c>
      <x:c r="G14" s="72" t="str">
        <x:v>中</x:v>
      </x:c>
      <x:c r="H14" s="73" t="str">
        <x:v>M3-CONFLICT-217</x:v>
      </x:c>
    </x:row>
    <x:row r="15">
      <x:c r="A15" s="71" t="str">
        <x:v>SC11</x:v>
      </x:c>
      <x:c r="B15" s="72" t="str">
        <x:v>中和可用｜依情境调用</x:v>
      </x:c>
      <x:c r="C15" s="72" t="str">
        <x:v>主通道 +5</x:v>
      </x:c>
      <x:c r="D15" s="72" t="str">
        <x:v>primary_conflict_channel</x:v>
      </x:c>
      <x:c r="E15" s="72" t="str">
        <x:v>能够根据议题灵活调用，不必长期压过其他通道。</x:v>
      </x:c>
      <x:c r="F15" s="72" t="str">
        <x:v>你通常会按议题和强度使用这项方式，不一定每次都同样明显。</x:v>
      </x:c>
      <x:c r="G15" s="72" t="str">
        <x:v>中</x:v>
      </x:c>
      <x:c r="H15" s="73" t="str">
        <x:v>M3-CONFLICT-218</x:v>
      </x:c>
    </x:row>
    <x:row r="16">
      <x:c r="A16" s="71" t="str">
        <x:v>SC12</x:v>
      </x:c>
      <x:c r="B16" s="72" t="str">
        <x:v>偏弱有助｜需要明确条件</x:v>
      </x:c>
      <x:c r="C16" s="72" t="str">
        <x:v>条件性 +4</x:v>
      </x:c>
      <x:c r="D16" s="72" t="str">
        <x:v>first_response</x:v>
      </x:c>
      <x:c r="E16" s="72" t="str">
        <x:v>在关系安全、问题清楚或有外部支持时更容易出现。</x:v>
      </x:c>
      <x:c r="F16" s="72" t="str">
        <x:v>这项处理方式更容易在条件明确、有人回应或关系安全时被调用。</x:v>
      </x:c>
      <x:c r="G16" s="72" t="str">
        <x:v>中</x:v>
      </x:c>
      <x:c r="H16" s="73" t="str">
        <x:v>M3-CONFLICT-219</x:v>
      </x:c>
    </x:row>
    <x:row r="17">
      <x:c r="A17" s="71" t="str">
        <x:v>SC13</x:v>
      </x:c>
      <x:c r="B17" s="72" t="str">
        <x:v>偏弱无助｜不写稳定模式</x:v>
      </x:c>
      <x:c r="C17" s="72" t="str">
        <x:v>候选 +1；降置信</x:v>
      </x:c>
      <x:c r="D17" s="72" t="str">
        <x:v>primary_conflict_channel</x:v>
      </x:c>
      <x:c r="E17" s="72" t="str">
        <x:v>只能保留系统背景，不能写成稳定冲突习惯。</x:v>
      </x:c>
      <x:c r="F17" s="72" t="str">
        <x:v>目前只能说明你可能偏向这一方向，不能固定成主要处理模式。</x:v>
      </x:c>
      <x:c r="G17" s="72" t="str">
        <x:v>中低</x:v>
      </x:c>
      <x:c r="H17" s="73" t="str">
        <x:v>M3-CONFLICT-220</x:v>
      </x:c>
    </x:row>
    <x:row r="18">
      <x:c r="A18" s="71" t="str">
        <x:v>SC14</x:v>
      </x:c>
      <x:c r="B18" s="72" t="str">
        <x:v>强弱争议｜回退到五系统</x:v>
      </x:c>
      <x:c r="C18" s="72" t="str">
        <x:v>停止十神级输出</x:v>
      </x:c>
      <x:c r="D18" s="72" t="str">
        <x:v>report_status</x:v>
      </x:c>
      <x:c r="E18" s="72" t="str">
        <x:v>十神级主次不可靠时，只保留表达、现实、责任、承接或自主系统。</x:v>
      </x:c>
      <x:c r="F18" s="72" t="str">
        <x:v>目前只能判断你更偏向某一类处理系统，具体方式仍需保留不确定性。</x:v>
      </x:c>
      <x:c r="G18" s="72" t="str">
        <x:v>低</x:v>
      </x:c>
      <x:c r="H18" s="73" t="str">
        <x:v>M3-CONFLICT-221</x:v>
      </x:c>
    </x:row>
    <x:row r="19">
      <x:c r="A19" s="71" t="str">
        <x:v>SC15</x:v>
      </x:c>
      <x:c r="B19" s="72" t="str">
        <x:v>为喜且平衡｜调用较顺畅</x:v>
      </x:c>
      <x:c r="C19" s="72" t="str">
        <x:v>顺畅度 +4</x:v>
      </x:c>
      <x:c r="D19" s="72" t="str">
        <x:v>state_shift</x:v>
      </x:c>
      <x:c r="E19" s="72" t="str">
        <x:v>该通道更容易从启动走向完成，不代表一定没有分歧。</x:v>
      </x:c>
      <x:c r="F19" s="72" t="str">
        <x:v>你使用这项方式时通常较顺手，也更容易把分歧推进到可处理状态。</x:v>
      </x:c>
      <x:c r="G19" s="72" t="str">
        <x:v>中</x:v>
      </x:c>
      <x:c r="H19" s="73" t="str">
        <x:v>M3-CONFLICT-222</x:v>
      </x:c>
    </x:row>
    <x:row r="20">
      <x:c r="A20" s="71" t="str">
        <x:v>SC16</x:v>
      </x:c>
      <x:c r="B20" s="72" t="str">
        <x:v>为忌但有效｜仍可高频调用</x:v>
      </x:c>
      <x:c r="C20" s="72" t="str">
        <x:v>强度保留；路由M4</x:v>
      </x:c>
      <x:c r="D20" s="72" t="str">
        <x:v>state_shift</x:v>
      </x:c>
      <x:c r="E20" s="72" t="str">
        <x:v>喜忌不决定是否调用；有效且为忌仍可能高频出现。</x:v>
      </x:c>
      <x:c r="F20" s="72" t="str">
        <x:v>这项方式仍可能很常用；是否让你或关系承受压力，需要交给M4。</x:v>
      </x:c>
      <x:c r="G20" s="72" t="str">
        <x:v>中</x:v>
      </x:c>
      <x:c r="H20" s="73" t="str">
        <x:v>M3-CONFLICT-223</x:v>
      </x:c>
    </x:row>
    <x:row r="21">
      <x:c r="A21" s="71" t="str">
        <x:v>SC17</x:v>
      </x:c>
      <x:c r="B21" s="72" t="str">
        <x:v>喜忌未定｜只用功能语言</x:v>
      </x:c>
      <x:c r="C21" s="72" t="str">
        <x:v>功能保留；不写体验质量</x:v>
      </x:c>
      <x:c r="D21" s="72" t="str">
        <x:v>boundary_note</x:v>
      </x:c>
      <x:c r="E21" s="72" t="str">
        <x:v>可描述处理顺序，但不评价轻松、成熟或有压力。</x:v>
      </x:c>
      <x:c r="F21" s="72" t="str">
        <x:v>可以说明你怎样处理分歧，但不评价这种方式是否轻松或理想。</x:v>
      </x:c>
      <x:c r="G21" s="72" t="str">
        <x:v>中</x:v>
      </x:c>
      <x:c r="H21" s="73" t="str">
        <x:v>M3-CONFLICT-224</x:v>
      </x:c>
    </x:row>
    <x:row r="22">
      <x:c r="A22" s="71" t="str">
        <x:v>SC18</x:v>
      </x:c>
      <x:c r="B22" s="72" t="str">
        <x:v>忌而过旺｜禁止直接写冲突失控</x:v>
      </x:c>
      <x:c r="C22" s="72" t="str">
        <x:v>路由M4；CONFLICT不判风险</x:v>
      </x:c>
      <x:c r="D22" s="72" t="str">
        <x:v>risk_route</x:v>
      </x:c>
      <x:c r="E22" s="72" t="str">
        <x:v>只能说明该通道容易抢先，不能直接写成攻击、控制、冷战或关系失控。</x:v>
      </x:c>
      <x:c r="F22" s="72" t="str">
        <x:v>只能说这种反应容易先出现，不能直接把它写成冲突失控。</x:v>
      </x:c>
      <x:c r="G22" s="72" t="str">
        <x:v>高</x:v>
      </x:c>
      <x:c r="H22" s="73" t="str">
        <x:v>M3-CONFLICT-225</x:v>
      </x:c>
    </x:row>
    <x:row r="23">
      <x:c r="A23" s="71" t="str">
        <x:v>SC19</x:v>
      </x:c>
      <x:c r="B23" s="72" t="str">
        <x:v>有制有化｜经过另一系统调节</x:v>
      </x:c>
      <x:c r="C23" s="72" t="str">
        <x:v>建立桥接路径 +5</x:v>
      </x:c>
      <x:c r="D23" s="72" t="str">
        <x:v>conflict_path</x:v>
      </x:c>
      <x:c r="E23" s="72" t="str">
        <x:v>原通道会通过沟通、现实、规则、承接或边界系统进行调节。</x:v>
      </x:c>
      <x:c r="F23" s="72" t="str">
        <x:v>你的第一反应可能会经过另一种方式调节，再形成真正的处理结果。</x:v>
      </x:c>
      <x:c r="G23" s="72" t="str">
        <x:v>中高</x:v>
      </x:c>
      <x:c r="H23" s="73" t="str">
        <x:v>M3-CONFLICT-226</x:v>
      </x:c>
    </x:row>
    <x:row r="24">
      <x:c r="A24" s="71" t="str">
        <x:v>SC20</x:v>
      </x:c>
      <x:c r="B24" s="72" t="str">
        <x:v>强而无制｜压力下更易抢先</x:v>
      </x:c>
      <x:c r="C24" s="72" t="str">
        <x:v>压力通道 +5</x:v>
      </x:c>
      <x:c r="D24" s="72" t="str">
        <x:v>state_shift</x:v>
      </x:c>
      <x:c r="E24" s="72" t="str">
        <x:v>压力状态下该通道更可能成为第一反应，但不代表平时只有这一种。</x:v>
      </x:c>
      <x:c r="F24" s="72" t="str">
        <x:v>压力增加时，这种处理方式更可能先出现，但不能由此定义你的全部相处方式。</x:v>
      </x:c>
      <x:c r="G24" s="72" t="str">
        <x:v>中</x:v>
      </x:c>
      <x:c r="H24" s="73" t="str">
        <x:v>M3-CONFLICT-227</x:v>
      </x:c>
    </x:row>
    <x:row r="25">
      <x:c r="A25" s="71" t="str">
        <x:v>SC21</x:v>
      </x:c>
      <x:c r="B25" s="72" t="str">
        <x:v>真合化｜原通道清零并重建</x:v>
      </x:c>
      <x:c r="C25" s="72" t="str">
        <x:v>原分清零；替换路由</x:v>
      </x:c>
      <x:c r="D25" s="72" t="str">
        <x:v>report_status</x:v>
      </x:c>
      <x:c r="E25" s="72" t="str">
        <x:v>真合化成立时原十神冲突通道不再保留，按化神功能系统重建。</x:v>
      </x:c>
      <x:c r="F25" s="72" t="str">
        <x:v>原来的冲突解释不再保留，改按合化后的功能系统重新判断。</x:v>
      </x:c>
      <x:c r="G25" s="72" t="str">
        <x:v>高</x:v>
      </x:c>
      <x:c r="H25" s="73" t="str">
        <x:v>M3-CONFLICT-228</x:v>
      </x:c>
    </x:row>
    <x:row r="26">
      <x:c r="A26" s="71" t="str">
        <x:v>SC22</x:v>
      </x:c>
      <x:c r="B26" s="72" t="str">
        <x:v>日柱／日支近位｜亲密分歧直接调用</x:v>
      </x:c>
      <x:c r="C26" s="72" t="str">
        <x:v>主通道 +7</x:v>
      </x:c>
      <x:c r="D26" s="72" t="str">
        <x:v>primary_conflict_channel</x:v>
      </x:c>
      <x:c r="E26" s="72" t="str">
        <x:v>近位信号更容易直接进入亲密关系中的意见不一致。</x:v>
      </x:c>
      <x:c r="F26" s="72" t="str">
        <x:v>这项处理方式更容易直接出现在亲密关系的分歧中。</x:v>
      </x:c>
      <x:c r="G26" s="72" t="str">
        <x:v>中高</x:v>
      </x:c>
      <x:c r="H26" s="73" t="str">
        <x:v>M3-CONFLICT-229</x:v>
      </x:c>
    </x:row>
    <x:row r="27">
      <x:c r="A27" s="71" t="str">
        <x:v>SC23</x:v>
      </x:c>
      <x:c r="B27" s="72" t="str">
        <x:v>月柱中近位｜长期背景</x:v>
      </x:c>
      <x:c r="C27" s="72" t="str">
        <x:v>主／次候选 +4</x:v>
      </x:c>
      <x:c r="D27" s="72" t="str">
        <x:v>secondary_conflict_channel</x:v>
      </x:c>
      <x:c r="E27" s="72" t="str">
        <x:v>可能成为长期生活中的稳定背景，但仍需日支或行为验证。</x:v>
      </x:c>
      <x:c r="F27" s="72" t="str">
        <x:v>这项方式更可能成为长期相处中的背景处理习惯。</x:v>
      </x:c>
      <x:c r="G27" s="72" t="str">
        <x:v>中</x:v>
      </x:c>
      <x:c r="H27" s="73" t="str">
        <x:v>M3-CONFLICT-230</x:v>
      </x:c>
    </x:row>
    <x:row r="28">
      <x:c r="A28" s="74" t="str">
        <x:v>SC24</x:v>
      </x:c>
      <x:c r="B28" s="75" t="str">
        <x:v>年时远位｜情境或阶段化</x:v>
      </x:c>
      <x:c r="C28" s="75" t="str">
        <x:v>次候选 +2；降置信</x:v>
      </x:c>
      <x:c r="D28" s="75" t="str">
        <x:v>secondary_conflict_channel</x:v>
      </x:c>
      <x:c r="E28" s="75" t="str">
        <x:v>更依赖特定环境、角色或阶段，不宜直接写成亲密关系核心。</x:v>
      </x:c>
      <x:c r="F28" s="75" t="str">
        <x:v>这项方式可能更依赖特定情境或人生阶段，不宜直接写成核心反应。</x:v>
      </x:c>
      <x:c r="G28" s="75" t="str">
        <x:v>中低</x:v>
      </x:c>
      <x:c r="H28" s="76" t="str">
        <x:v>M3-CONFLICT-231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6" hidden="0" customWidth="1"/>
    <x:col min="4" max="4" width="44" hidden="0" customWidth="1"/>
    <x:col min="5" max="5" width="42" hidden="0" customWidth="1"/>
    <x:col min="6" max="6" width="24" hidden="0" customWidth="1"/>
    <x:col min="7" max="7" width="24" hidden="0" customWidth="1"/>
    <x:col min="8" max="8" width="10" hidden="0" customWidth="1"/>
  </x:cols>
  <x:sheetData>
    <x:row r="1" ht="28" customHeight="1">
      <x:c r="A1" s="7" t="str">
        <x:v>跨模块接口、同源去重与停止｜IF01—IF24</x:v>
      </x:c>
      <x:c r="B1" s="7" t="str">
        <x:v>跨模块接口、同源去重与停止｜IF01—IF24</x:v>
      </x:c>
      <x:c r="C1" s="7" t="str">
        <x:v>跨模块接口、同源去重与停止｜IF01—IF24</x:v>
      </x:c>
      <x:c r="D1" s="7" t="str">
        <x:v>跨模块接口、同源去重与停止｜IF01—IF24</x:v>
      </x:c>
      <x:c r="E1" s="7" t="str">
        <x:v>跨模块接口、同源去重与停止｜IF01—IF24</x:v>
      </x:c>
      <x:c r="F1" s="7" t="str">
        <x:v>跨模块接口、同源去重与停止｜IF01—IF24</x:v>
      </x:c>
      <x:c r="G1" s="7" t="str">
        <x:v>跨模块接口、同源去重与停止｜IF01—IF24</x:v>
      </x:c>
      <x:c r="H1" s="7" t="str">
        <x:v>跨模块接口、同源去重与停止｜IF01—IF24</x:v>
      </x:c>
    </x:row>
    <x:row r="2" ht="30" customHeight="1">
      <x:c r="A2" s="17" t="str">
        <x:v>同一事实可被多个模块翻译，但基础权重只能计算一次。CONFLICT只拥有分歧处理字段的解释权。</x:v>
      </x:c>
      <x:c r="B2" s="17" t="str">
        <x:v>同一事实可被多个模块翻译，但基础权重只能计算一次。CONFLICT只拥有分歧处理字段的解释权。</x:v>
      </x:c>
      <x:c r="C2" s="17" t="str">
        <x:v>同一事实可被多个模块翻译，但基础权重只能计算一次。CONFLICT只拥有分歧处理字段的解释权。</x:v>
      </x:c>
      <x:c r="D2" s="17" t="str">
        <x:v>同一事实可被多个模块翻译，但基础权重只能计算一次。CONFLICT只拥有分歧处理字段的解释权。</x:v>
      </x:c>
      <x:c r="E2" s="17" t="str">
        <x:v>同一事实可被多个模块翻译，但基础权重只能计算一次。CONFLICT只拥有分歧处理字段的解释权。</x:v>
      </x:c>
      <x:c r="F2" s="17" t="str">
        <x:v>同一事实可被多个模块翻译，但基础权重只能计算一次。CONFLICT只拥有分歧处理字段的解释权。</x:v>
      </x:c>
      <x:c r="G2" s="17" t="str">
        <x:v>同一事实可被多个模块翻译，但基础权重只能计算一次。CONFLICT只拥有分歧处理字段的解释权。</x:v>
      </x:c>
      <x:c r="H2" s="17" t="str">
        <x:v>同一事实可被多个模块翻译，但基础权重只能计算一次。CONFLICT只拥有分歧处理字段的解释权。</x:v>
      </x:c>
    </x:row>
    <x:row r="4" ht="24" customHeight="1">
      <x:c r="A4" s="33" t="str">
        <x:v>编号</x:v>
      </x:c>
      <x:c r="B4" s="34" t="str">
        <x:v>接口／门控</x:v>
      </x:c>
      <x:c r="C4" s="34" t="str">
        <x:v>输入信号</x:v>
      </x:c>
      <x:c r="D4" s="34" t="str">
        <x:v>正确处理</x:v>
      </x:c>
      <x:c r="E4" s="34" t="str">
        <x:v>用户语言</x:v>
      </x:c>
      <x:c r="F4" s="34" t="str">
        <x:v>输出字段</x:v>
      </x:c>
      <x:c r="G4" s="34" t="str">
        <x:v>分值／路由</x:v>
      </x:c>
      <x:c r="H4" s="35" t="str">
        <x:v>置信</x:v>
      </x:c>
    </x:row>
    <x:row r="5">
      <x:c r="A5" s="68" t="str">
        <x:v>IF01</x:v>
      </x:c>
      <x:c r="B5" s="69" t="str">
        <x:v>BASE同源接口｜底盘与冲突共享一次权重</x:v>
      </x:c>
      <x:c r="C5" s="69" t="str">
        <x:v>BASE同一source_id</x:v>
      </x:c>
      <x:c r="D5" s="69" t="str">
        <x:v>关系底盘可以细化为冲突通道，但基础证据只计一次。</x:v>
      </x:c>
      <x:c r="E5" s="69" t="str">
        <x:v>你的日常关系底盘会影响分歧处理，但不会因为被两个模块读取就重复加重结论。</x:v>
      </x:c>
      <x:c r="F5" s="69" t="str">
        <x:v>provenance</x:v>
      </x:c>
      <x:c r="G5" s="69" t="str">
        <x:v>不加分；接口／去重／路由</x:v>
      </x:c>
      <x:c r="H5" s="70" t="str">
        <x:v>高</x:v>
      </x:c>
    </x:row>
    <x:row r="6">
      <x:c r="A6" s="71" t="str">
        <x:v>IF02</x:v>
      </x:c>
      <x:c r="B6" s="72" t="str">
        <x:v>BASE异源接口｜次通道可独立升级</x:v>
      </x:c>
      <x:c r="C6" s="72" t="str">
        <x:v>BASE独立source_id</x:v>
      </x:c>
      <x:c r="D6" s="72" t="str">
        <x:v>若BASE底盘与CONFLICT通道来自不同可靠来源，可保留功能不同的次通道。</x:v>
      </x:c>
      <x:c r="E6" s="72" t="str">
        <x:v>你的日常相处底盘和分歧处理不完全相同时，可以保留一个有独立依据的补充方式。</x:v>
      </x:c>
      <x:c r="F6" s="72" t="str">
        <x:v>secondary_conflict_channel</x:v>
      </x:c>
      <x:c r="G6" s="72" t="str">
        <x:v>不加分；接口／去重／路由</x:v>
      </x:c>
      <x:c r="H6" s="73" t="str">
        <x:v>中高</x:v>
      </x:c>
    </x:row>
    <x:row r="7">
      <x:c r="A7" s="71" t="str">
        <x:v>IF03</x:v>
      </x:c>
      <x:c r="B7" s="72" t="str">
        <x:v>EXPR日常沟通→CONFLICT启动修正</x:v>
      </x:c>
      <x:c r="C7" s="72" t="str">
        <x:v>EXPR表达通道</x:v>
      </x:c>
      <x:c r="D7" s="72" t="str">
        <x:v>EXPR可提供语言、行动或内化方式，但不能单独决定压力下第一反应。</x:v>
      </x:c>
      <x:c r="E7" s="72" t="str">
        <x:v>你平时怎样表达会影响分歧中的沟通入口，但压力下是否保持同样顺序还要继续判断。</x:v>
      </x:c>
      <x:c r="F7" s="72" t="str">
        <x:v>first_response</x:v>
      </x:c>
      <x:c r="G7" s="72" t="str">
        <x:v>不加分；接口／去重／路由</x:v>
      </x:c>
      <x:c r="H7" s="73" t="str">
        <x:v>高</x:v>
      </x:c>
    </x:row>
    <x:row r="8">
      <x:c r="A8" s="71" t="str">
        <x:v>IF04</x:v>
      </x:c>
      <x:c r="B8" s="72" t="str">
        <x:v>EXPR直接表达≠攻击</x:v>
      </x:c>
      <x:c r="C8" s="72" t="str">
        <x:v>伤官／比肩／官杀表达</x:v>
      </x:c>
      <x:c r="D8" s="72" t="str">
        <x:v>直接、清楚或强度高的表达不自动等于攻击；语气、尊重和结果交给M4与案例。</x:v>
      </x:c>
      <x:c r="E8" s="72" t="str">
        <x:v>你可能把问题说得直接，但这不自动意味着会攻击对方。</x:v>
      </x:c>
      <x:c r="F8" s="72" t="str">
        <x:v>boundary_note</x:v>
      </x:c>
      <x:c r="G8" s="72" t="str">
        <x:v>不加分；边界检查</x:v>
      </x:c>
      <x:c r="H8" s="73" t="str">
        <x:v>高</x:v>
      </x:c>
    </x:row>
    <x:row r="9">
      <x:c r="A9" s="71" t="str">
        <x:v>IF05</x:v>
      </x:c>
      <x:c r="B9" s="72" t="str">
        <x:v>CARE支持方式≠冲突解决方式</x:v>
      </x:c>
      <x:c r="C9" s="72" t="str">
        <x:v>CARE通道</x:v>
      </x:c>
      <x:c r="D9" s="72" t="str">
        <x:v>用户平时怎样照顾对方，不等于分歧时先采用同一通道。</x:v>
      </x:c>
      <x:c r="E9" s="72" t="str">
        <x:v>你平时如何支持对方，和意见不一致时怎样处理，是两套不同功能。</x:v>
      </x:c>
      <x:c r="F9" s="72" t="str">
        <x:v>boundary_note</x:v>
      </x:c>
      <x:c r="G9" s="72" t="str">
        <x:v>不加分；接口／去重／路由</x:v>
      </x:c>
      <x:c r="H9" s="73" t="str">
        <x:v>高</x:v>
      </x:c>
    </x:row>
    <x:row r="10">
      <x:c r="A10" s="71" t="str">
        <x:v>IF06</x:v>
      </x:c>
      <x:c r="B10" s="72" t="str">
        <x:v>BOUND边界内容→CONFLICT议题输入</x:v>
      </x:c>
      <x:c r="C10" s="72" t="str">
        <x:v>BOUND限制内容</x:v>
      </x:c>
      <x:c r="D10" s="72" t="str">
        <x:v>BOUND提供不能接受、需要暂停或权限范围；CONFLICT决定怎样处理这些内容。</x:v>
      </x:c>
      <x:c r="E10" s="72" t="str">
        <x:v>你的边界会成为分歧议题，但具体怎样说、怎样暂停和怎样形成方案要另外判断。</x:v>
      </x:c>
      <x:c r="F10" s="72" t="str">
        <x:v>position_expression</x:v>
      </x:c>
      <x:c r="G10" s="72" t="str">
        <x:v>不加分；接口／去重／路由</x:v>
      </x:c>
      <x:c r="H10" s="73" t="str">
        <x:v>高</x:v>
      </x:c>
    </x:row>
    <x:row r="11">
      <x:c r="A11" s="71" t="str">
        <x:v>IF07</x:v>
      </x:c>
      <x:c r="B11" s="72" t="str">
        <x:v>BOUND暂停≠冷战｜回归路径复核</x:v>
      </x:c>
      <x:c r="C11" s="72" t="str">
        <x:v>BOUND暂停</x:v>
      </x:c>
      <x:c r="D11" s="72" t="str">
        <x:v>只有暂停目的、范围和回归路径可识别时，CONFLICT才可输出暂停。</x:v>
      </x:c>
      <x:c r="E11" s="72" t="str">
        <x:v>你需要暂停时，会继续检查你怎样回到问题，而不是直接写成冷战。</x:v>
      </x:c>
      <x:c r="F11" s="72" t="str">
        <x:v>pause_style</x:v>
      </x:c>
      <x:c r="G11" s="72" t="str">
        <x:v>不加分；停止／路由</x:v>
      </x:c>
      <x:c r="H11" s="73" t="str">
        <x:v>高</x:v>
      </x:c>
    </x:row>
    <x:row r="12">
      <x:c r="A12" s="71" t="str">
        <x:v>IF08</x:v>
      </x:c>
      <x:c r="B12" s="72" t="str">
        <x:v>REPAIR接口｜问题结束≠联结恢复</x:v>
      </x:c>
      <x:c r="C12" s="72" t="str">
        <x:v>REPAIR待调用</x:v>
      </x:c>
      <x:c r="D12" s="72" t="str">
        <x:v>CONFLICT负责阶段结果，REPAIR负责重新理解、靠近和信任恢复。</x:v>
      </x:c>
      <x:c r="E12" s="72" t="str">
        <x:v>事情有了处理结果，不代表关系已经恢复；后续怎样重新联结会单独判断。</x:v>
      </x:c>
      <x:c r="F12" s="72" t="str">
        <x:v>conflict_end_condition</x:v>
      </x:c>
      <x:c r="G12" s="72" t="str">
        <x:v>不加分；接口／路由</x:v>
      </x:c>
      <x:c r="H12" s="73" t="str">
        <x:v>高</x:v>
      </x:c>
    </x:row>
    <x:row r="13">
      <x:c r="A13" s="71" t="str">
        <x:v>IF09</x:v>
      </x:c>
      <x:c r="B13" s="72" t="str">
        <x:v>STATE接口｜先确定平稳主通道</x:v>
      </x:c>
      <x:c r="C13" s="72" t="str">
        <x:v>STATE平稳状态</x:v>
      </x:c>
      <x:c r="D13" s="72" t="str">
        <x:v>先确定平稳状态的默认冲突通道，再说明压力下是否切换。</x:v>
      </x:c>
      <x:c r="E13" s="72" t="str">
        <x:v>会先看你通常怎样处理小分歧，再说明高压力时是否改变方式。</x:v>
      </x:c>
      <x:c r="F13" s="72" t="str">
        <x:v>state_shift</x:v>
      </x:c>
      <x:c r="G13" s="72" t="str">
        <x:v>不加分；接口／路由</x:v>
      </x:c>
      <x:c r="H13" s="73" t="str">
        <x:v>高</x:v>
      </x:c>
    </x:row>
    <x:row r="14">
      <x:c r="A14" s="71" t="str">
        <x:v>IF10</x:v>
      </x:c>
      <x:c r="B14" s="72" t="str">
        <x:v>STATE接口｜压力切换需要独立证据</x:v>
      </x:c>
      <x:c r="C14" s="72" t="str">
        <x:v>STATE压力状态</x:v>
      </x:c>
      <x:c r="D14" s="72" t="str">
        <x:v>压力切换至少需要旺衰／制化、宫位动态和真实行为中的两类证据。</x:v>
      </x:c>
      <x:c r="E14" s="72" t="str">
        <x:v>只有多类证据一致时，才会把压力下的另一种反应写进结论。</x:v>
      </x:c>
      <x:c r="F14" s="72" t="str">
        <x:v>state_shift</x:v>
      </x:c>
      <x:c r="G14" s="72" t="str">
        <x:v>不加分；接口／门控</x:v>
      </x:c>
      <x:c r="H14" s="73" t="str">
        <x:v>中高</x:v>
      </x:c>
    </x:row>
    <x:row r="15">
      <x:c r="A15" s="71" t="str">
        <x:v>IF11</x:v>
      </x:c>
      <x:c r="B15" s="72" t="str">
        <x:v>M2接口｜关系准入标准不等于冲突规则</x:v>
      </x:c>
      <x:c r="C15" s="72" t="str">
        <x:v>M2准入维度</x:v>
      </x:c>
      <x:c r="D15" s="72" t="str">
        <x:v>M2可说明哪些议题容易重要，但不能决定分歧如何处理。</x:v>
      </x:c>
      <x:c r="E15" s="72" t="str">
        <x:v>你选择关系时看重的条件，可能成为分歧议题，但不会直接决定你的处理方式。</x:v>
      </x:c>
      <x:c r="F15" s="72" t="str">
        <x:v>boundary_note</x:v>
      </x:c>
      <x:c r="G15" s="72" t="str">
        <x:v>不加分；接口／路由</x:v>
      </x:c>
      <x:c r="H15" s="73" t="str">
        <x:v>高</x:v>
      </x:c>
    </x:row>
    <x:row r="16">
      <x:c r="A16" s="71" t="str">
        <x:v>IF12</x:v>
      </x:c>
      <x:c r="B16" s="72" t="str">
        <x:v>M1接口｜心动触发不参与冲突加分</x:v>
      </x:c>
      <x:c r="C16" s="72" t="str">
        <x:v>M1心动维度</x:v>
      </x:c>
      <x:c r="D16" s="72" t="str">
        <x:v>M1只做对照，不参与CONFLICT核心分值。</x:v>
      </x:c>
      <x:c r="E16" s="72" t="str">
        <x:v>让你心动的特质不会被当成分歧处理证据。</x:v>
      </x:c>
      <x:c r="F16" s="72" t="str">
        <x:v>provenance</x:v>
      </x:c>
      <x:c r="G16" s="72" t="str">
        <x:v>不加分；去重／边界</x:v>
      </x:c>
      <x:c r="H16" s="73" t="str">
        <x:v>高</x:v>
      </x:c>
    </x:row>
    <x:row r="17">
      <x:c r="A17" s="71" t="str">
        <x:v>IF13</x:v>
      </x:c>
      <x:c r="B17" s="72" t="str">
        <x:v>M4路由｜直接通道过强候选</x:v>
      </x:c>
      <x:c r="C17" s="72" t="str">
        <x:v>伤官／比肩／官杀过旺</x:v>
      </x:c>
      <x:c r="D17" s="72" t="str">
        <x:v>只记录直接性、抢先和压力占位；攻击、压迫或僵持风险交给M4。</x:v>
      </x:c>
      <x:c r="E17" s="72" t="str">
        <x:v>这种反应可能很直接，但是否伤害关系，需要在风险模型里判断。</x:v>
      </x:c>
      <x:c r="F17" s="72" t="str">
        <x:v>risk_route</x:v>
      </x:c>
      <x:c r="G17" s="72" t="str">
        <x:v>不加分；路由M4</x:v>
      </x:c>
      <x:c r="H17" s="73" t="str">
        <x:v>高</x:v>
      </x:c>
    </x:row>
    <x:row r="18">
      <x:c r="A18" s="71" t="str">
        <x:v>IF14</x:v>
      </x:c>
      <x:c r="B18" s="72" t="str">
        <x:v>M4路由｜暂停通道过强候选</x:v>
      </x:c>
      <x:c r="C18" s="72" t="str">
        <x:v>印星／暂停通道过旺</x:v>
      </x:c>
      <x:c r="D18" s="72" t="str">
        <x:v>只记录暂停和内部整理；长期断联、冷战或回避需真实行为与M4。</x:v>
      </x:c>
      <x:c r="E18" s="72" t="str">
        <x:v>你可能需要更多整理时间，但是否变成长时间不回应，不能由本模块直接判断。</x:v>
      </x:c>
      <x:c r="F18" s="72" t="str">
        <x:v>risk_route</x:v>
      </x:c>
      <x:c r="G18" s="72" t="str">
        <x:v>不加分；路由M4</x:v>
      </x:c>
      <x:c r="H18" s="73" t="str">
        <x:v>高</x:v>
      </x:c>
    </x:row>
    <x:row r="19">
      <x:c r="A19" s="71" t="str">
        <x:v>IF15</x:v>
      </x:c>
      <x:c r="B19" s="72" t="str">
        <x:v>M4路由｜行动决断过强候选</x:v>
      </x:c>
      <x:c r="C19" s="72" t="str">
        <x:v>七杀／劫财过旺</x:v>
      </x:c>
      <x:c r="D19" s="72" t="str">
        <x:v>只记录行动、止损和快速推进；控制、替代对方决定或激烈行为需M4。</x:v>
      </x:c>
      <x:c r="E19" s="72" t="str">
        <x:v>你可能更快行动，但是否压过对方参与权，要交给边界和风险模块。</x:v>
      </x:c>
      <x:c r="F19" s="72" t="str">
        <x:v>risk_route</x:v>
      </x:c>
      <x:c r="G19" s="72" t="str">
        <x:v>不加分；路由M4</x:v>
      </x:c>
      <x:c r="H19" s="73" t="str">
        <x:v>高</x:v>
      </x:c>
    </x:row>
    <x:row r="20">
      <x:c r="A20" s="71" t="str">
        <x:v>IF16</x:v>
      </x:c>
      <x:c r="B20" s="72" t="str">
        <x:v>M5接口｜冲突风格不得直接给适配答案</x:v>
      </x:c>
      <x:c r="C20" s="72" t="str">
        <x:v>M5适配待调用</x:v>
      </x:c>
      <x:c r="D20" s="72" t="str">
        <x:v>常用冲突方式可作为M5输入，但不直接推出适合哪类伴侣。</x:v>
      </x:c>
      <x:c r="E20" s="72" t="str">
        <x:v>你的分歧处理方式会影响长期适配，但不是最终适配结论。</x:v>
      </x:c>
      <x:c r="F20" s="72" t="str">
        <x:v>boundary_note</x:v>
      </x:c>
      <x:c r="G20" s="72" t="str">
        <x:v>不加分；接口／路由</x:v>
      </x:c>
      <x:c r="H20" s="73" t="str">
        <x:v>高</x:v>
      </x:c>
    </x:row>
    <x:row r="21">
      <x:c r="A21" s="71" t="str">
        <x:v>IF17</x:v>
      </x:c>
      <x:c r="B21" s="72" t="str">
        <x:v>夫妻星入日支｜选择—责任议题连续性</x:v>
      </x:c>
      <x:c r="C21" s="72" t="str">
        <x:v>夫妻星入日支</x:v>
      </x:c>
      <x:c r="D21" s="72" t="str">
        <x:v>夫妻星入宫可让承诺、行动或投入成为高频议题，但仍与BASE同源去重。</x:v>
      </x:c>
      <x:c r="E21" s="72" t="str">
        <x:v>你选择关系时看重的责任、行动或投入，进入关系后也可能成为分歧中反复需要确认的内容。</x:v>
      </x:c>
      <x:c r="F21" s="72" t="str">
        <x:v>provenance</x:v>
      </x:c>
      <x:c r="G21" s="72" t="str">
        <x:v>不加分；接口／去重</x:v>
      </x:c>
      <x:c r="H21" s="73" t="str">
        <x:v>中高</x:v>
      </x:c>
    </x:row>
    <x:row r="22">
      <x:c r="A22" s="71" t="str">
        <x:v>IF18</x:v>
      </x:c>
      <x:c r="B22" s="72" t="str">
        <x:v>source_id去重｜共享事实只计一次</x:v>
      </x:c>
      <x:c r="C22" s="72" t="str">
        <x:v>相同source_id</x:v>
      </x:c>
      <x:c r="D22" s="72" t="str">
        <x:v>同一基础事实在多个模块出现时只保留一次权重，多模块解释写入来源日志。</x:v>
      </x:c>
      <x:c r="E22" s="72" t="str">
        <x:v>同一个事实可以解释多个环节，但不会重复增加证据数量。</x:v>
      </x:c>
      <x:c r="F22" s="72" t="str">
        <x:v>provenance</x:v>
      </x:c>
      <x:c r="G22" s="72" t="str">
        <x:v>不加分；去重</x:v>
      </x:c>
      <x:c r="H22" s="73" t="str">
        <x:v>高</x:v>
      </x:c>
    </x:row>
    <x:row r="23">
      <x:c r="A23" s="71" t="str">
        <x:v>IF19</x:v>
      </x:c>
      <x:c r="B23" s="72" t="str">
        <x:v>同根透藏去重｜外显与稳定分工</x:v>
      </x:c>
      <x:c r="C23" s="72" t="str">
        <x:v>同根透藏</x:v>
      </x:c>
      <x:c r="D23" s="72" t="str">
        <x:v>透干负责可见度、藏支负责稳定背景，不能当成两项独立冲突通道。</x:v>
      </x:c>
      <x:c r="E23" s="72" t="str">
        <x:v>同一种方式既可能被看见，也可能有长期来源，但仍是一项核心证据。</x:v>
      </x:c>
      <x:c r="F23" s="72" t="str">
        <x:v>provenance</x:v>
      </x:c>
      <x:c r="G23" s="72" t="str">
        <x:v>不加分；去重</x:v>
      </x:c>
      <x:c r="H23" s="73" t="str">
        <x:v>高</x:v>
      </x:c>
    </x:row>
    <x:row r="24">
      <x:c r="A24" s="71" t="str">
        <x:v>IF20</x:v>
      </x:c>
      <x:c r="B24" s="72" t="str">
        <x:v>同系统正偏十神收敛｜先系统后风格</x:v>
      </x:c>
      <x:c r="C24" s="72" t="str">
        <x:v>正偏同系统</x:v>
      </x:c>
      <x:c r="D24" s="72" t="str">
        <x:v>食伤、财、官杀、印、比劫同系统并见时先判断共同功能，再区分风格和顺序。</x:v>
      </x:c>
      <x:c r="E24" s="72" t="str">
        <x:v>两种相近方式同时出现时，会先看共同功能，再说明谁负责启动、谁负责完成。</x:v>
      </x:c>
      <x:c r="F24" s="72" t="str">
        <x:v>secondary_conflict_channel</x:v>
      </x:c>
      <x:c r="G24" s="72" t="str">
        <x:v>不加分；收敛／分工</x:v>
      </x:c>
      <x:c r="H24" s="73" t="str">
        <x:v>高</x:v>
      </x:c>
    </x:row>
    <x:row r="25">
      <x:c r="A25" s="71" t="str">
        <x:v>IF21</x:v>
      </x:c>
      <x:c r="B25" s="72" t="str">
        <x:v>真合化替换｜原通道不得并存</x:v>
      </x:c>
      <x:c r="C25" s="72" t="str">
        <x:v>真合化成立</x:v>
      </x:c>
      <x:c r="D25" s="72" t="str">
        <x:v>原十神冲突分值清零，按化神映射重新建立通道、顺序和输出。</x:v>
      </x:c>
      <x:c r="E25" s="72" t="str">
        <x:v>真合化成立时，原来的处理方式不再同时保留。</x:v>
      </x:c>
      <x:c r="F25" s="72" t="str">
        <x:v>report_status</x:v>
      </x:c>
      <x:c r="G25" s="72" t="str">
        <x:v>原分清零；替换路由</x:v>
      </x:c>
      <x:c r="H25" s="73" t="str">
        <x:v>高</x:v>
      </x:c>
    </x:row>
    <x:row r="26">
      <x:c r="A26" s="71" t="str">
        <x:v>IF22</x:v>
      </x:c>
      <x:c r="B26" s="72" t="str">
        <x:v>弱远争议回退｜只到五系统层</x:v>
      </x:c>
      <x:c r="C26" s="72" t="str">
        <x:v>弱远／强弱争议</x:v>
      </x:c>
      <x:c r="D26" s="72" t="str">
        <x:v>无法可靠区分具体十神时，回退为自主、表达、现实、责任或承接系统。</x:v>
      </x:c>
      <x:c r="E26" s="72" t="str">
        <x:v>目前只能说明你更偏向某类处理功能，不能精确到固定的冲突风格。</x:v>
      </x:c>
      <x:c r="F26" s="72" t="str">
        <x:v>report_status</x:v>
      </x:c>
      <x:c r="G26" s="72" t="str">
        <x:v>降级到系统层</x:v>
      </x:c>
      <x:c r="H26" s="73" t="str">
        <x:v>高</x:v>
      </x:c>
    </x:row>
    <x:row r="27">
      <x:c r="A27" s="71" t="str">
        <x:v>IF23</x:v>
      </x:c>
      <x:c r="B27" s="72" t="str">
        <x:v>无可靠通道停止｜不得硬凑模式</x:v>
      </x:c>
      <x:c r="C27" s="72" t="str">
        <x:v>无有效主通道</x:v>
      </x:c>
      <x:c r="D27" s="72" t="str">
        <x:v>没有达到主通道门槛、关键基础未定或候选高度冲突时停止固定模式。</x:v>
      </x:c>
      <x:c r="E27" s="72" t="str">
        <x:v>现有信息不足以判断稳定冲突方式，只保留需要验证的方向。</x:v>
      </x:c>
      <x:c r="F27" s="72" t="str">
        <x:v>report_status</x:v>
      </x:c>
      <x:c r="G27" s="72" t="str">
        <x:v>停止固定判断</x:v>
      </x:c>
      <x:c r="H27" s="73" t="str">
        <x:v>高</x:v>
      </x:c>
    </x:row>
    <x:row r="28">
      <x:c r="A28" s="74" t="str">
        <x:v>IF24</x:v>
      </x:c>
      <x:c r="B28" s="75" t="str">
        <x:v>有限回退输出｜局部信息可用</x:v>
      </x:c>
      <x:c r="C28" s="75" t="str">
        <x:v>局部可靠证据</x:v>
      </x:c>
      <x:c r="D28" s="75" t="str">
        <x:v>主模式停止但第一关注点、暂停需要或现实行为有可靠证据时，只输出局部字段。</x:v>
      </x:c>
      <x:c r="E28" s="75" t="str">
        <x:v>目前可以说明你在分歧中较关注什么，但完整处理顺序仍需真实案例确认。</x:v>
      </x:c>
      <x:c r="F28" s="75" t="str">
        <x:v>report_status</x:v>
      </x:c>
      <x:c r="G28" s="75" t="str">
        <x:v>有限回退</x:v>
      </x:c>
      <x:c r="H28" s="76" t="str">
        <x:v>中高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22" hidden="0" customWidth="1"/>
    <x:col min="4" max="4" width="28" hidden="0" customWidth="1"/>
    <x:col min="5" max="5" width="12" hidden="0" customWidth="1"/>
    <x:col min="6" max="6" width="18" hidden="0" customWidth="1"/>
    <x:col min="7" max="7" width="22" hidden="0" customWidth="1"/>
    <x:col min="8" max="8" width="22" hidden="0" customWidth="1"/>
    <x:col min="9" max="9" width="46" hidden="0" customWidth="1"/>
    <x:col min="10" max="10" width="42" hidden="0" customWidth="1"/>
    <x:col min="11" max="11" width="34" hidden="0" customWidth="1"/>
    <x:col min="12" max="12" width="34" hidden="0" customWidth="1"/>
    <x:col min="13" max="13" width="34" hidden="0" customWidth="1"/>
    <x:col min="14" max="14" width="28" hidden="0" customWidth="1"/>
    <x:col min="15" max="15" width="26" hidden="0" customWidth="1"/>
    <x:col min="16" max="16" width="16" hidden="0" customWidth="1"/>
    <x:col min="17" max="17" width="16" hidden="0" customWidth="1"/>
    <x:col min="18" max="18" width="28" hidden="0" customWidth="1"/>
    <x:col min="19" max="19" width="28" hidden="0" customWidth="1"/>
    <x:col min="20" max="20" width="18" hidden="0" customWidth="1"/>
    <x:col min="21" max="21" width="10" hidden="0" customWidth="1"/>
    <x:col min="22" max="22" width="24" hidden="0" customWidth="1"/>
    <x:col min="23" max="23" width="24" hidden="0" customWidth="1"/>
    <x:col min="24" max="24" width="48" hidden="0" customWidth="1"/>
    <x:col min="25" max="25" width="48" hidden="0" customWidth="1"/>
    <x:col min="26" max="26" width="48" hidden="0" customWidth="1"/>
    <x:col min="27" max="27" width="12" hidden="0" customWidth="1"/>
    <x:col min="28" max="28" width="12" hidden="0" customWidth="1"/>
    <x:col min="29" max="29" width="18" hidden="0" customWidth="1"/>
    <x:col min="30" max="30" width="32" hidden="0" customWidth="1"/>
    <x:col min="31" max="31" width="10" hidden="0" customWidth="1"/>
  </x:cols>
  <x:sheetData>
    <x:row r="1" ht="28" customHeight="1">
      <x:c r="A1" s="7" t="str">
        <x:v>M3-CONFLICT 原子规则主表｜280条｜唯一正式真源</x:v>
      </x:c>
      <x:c r="B1" s="7" t="str">
        <x:v>M3-CONFLICT 原子规则主表｜280条｜唯一正式真源</x:v>
      </x:c>
      <x:c r="C1" s="7" t="str">
        <x:v>M3-CONFLICT 原子规则主表｜280条｜唯一正式真源</x:v>
      </x:c>
      <x:c r="D1" s="7" t="str">
        <x:v>M3-CONFLICT 原子规则主表｜280条｜唯一正式真源</x:v>
      </x:c>
      <x:c r="E1" s="7" t="str">
        <x:v>M3-CONFLICT 原子规则主表｜280条｜唯一正式真源</x:v>
      </x:c>
      <x:c r="F1" s="7" t="str">
        <x:v>M3-CONFLICT 原子规则主表｜280条｜唯一正式真源</x:v>
      </x:c>
      <x:c r="G1" s="7" t="str">
        <x:v>M3-CONFLICT 原子规则主表｜280条｜唯一正式真源</x:v>
      </x:c>
      <x:c r="H1" s="7" t="str">
        <x:v>M3-CONFLICT 原子规则主表｜280条｜唯一正式真源</x:v>
      </x:c>
      <x:c r="I1" s="7" t="str">
        <x:v>M3-CONFLICT 原子规则主表｜280条｜唯一正式真源</x:v>
      </x:c>
      <x:c r="J1" s="7" t="str">
        <x:v>M3-CONFLICT 原子规则主表｜280条｜唯一正式真源</x:v>
      </x:c>
      <x:c r="K1" s="7" t="str">
        <x:v>M3-CONFLICT 原子规则主表｜280条｜唯一正式真源</x:v>
      </x:c>
      <x:c r="L1" s="7" t="str">
        <x:v>M3-CONFLICT 原子规则主表｜280条｜唯一正式真源</x:v>
      </x:c>
      <x:c r="M1" s="7" t="str">
        <x:v>M3-CONFLICT 原子规则主表｜280条｜唯一正式真源</x:v>
      </x:c>
      <x:c r="N1" s="7" t="str">
        <x:v>M3-CONFLICT 原子规则主表｜280条｜唯一正式真源</x:v>
      </x:c>
      <x:c r="O1" s="7" t="str">
        <x:v>M3-CONFLICT 原子规则主表｜280条｜唯一正式真源</x:v>
      </x:c>
      <x:c r="P1" s="7" t="str">
        <x:v>M3-CONFLICT 原子规则主表｜280条｜唯一正式真源</x:v>
      </x:c>
      <x:c r="Q1" s="7" t="str">
        <x:v>M3-CONFLICT 原子规则主表｜280条｜唯一正式真源</x:v>
      </x:c>
      <x:c r="R1" s="7" t="str">
        <x:v>M3-CONFLICT 原子规则主表｜280条｜唯一正式真源</x:v>
      </x:c>
      <x:c r="S1" s="7" t="str">
        <x:v>M3-CONFLICT 原子规则主表｜280条｜唯一正式真源</x:v>
      </x:c>
      <x:c r="T1" s="7" t="str">
        <x:v>M3-CONFLICT 原子规则主表｜280条｜唯一正式真源</x:v>
      </x:c>
      <x:c r="U1" s="7" t="str">
        <x:v>M3-CONFLICT 原子规则主表｜280条｜唯一正式真源</x:v>
      </x:c>
      <x:c r="V1" s="7" t="str">
        <x:v>M3-CONFLICT 原子规则主表｜280条｜唯一正式真源</x:v>
      </x:c>
      <x:c r="W1" s="7" t="str">
        <x:v>M3-CONFLICT 原子规则主表｜280条｜唯一正式真源</x:v>
      </x:c>
      <x:c r="X1" s="7" t="str">
        <x:v>M3-CONFLICT 原子规则主表｜280条｜唯一正式真源</x:v>
      </x:c>
      <x:c r="Y1" s="7" t="str">
        <x:v>M3-CONFLICT 原子规则主表｜280条｜唯一正式真源</x:v>
      </x:c>
      <x:c r="Z1" s="7" t="str">
        <x:v>M3-CONFLICT 原子规则主表｜280条｜唯一正式真源</x:v>
      </x:c>
      <x:c r="AA1" s="7" t="str">
        <x:v>M3-CONFLICT 原子规则主表｜280条｜唯一正式真源</x:v>
      </x:c>
      <x:c r="AB1" s="7" t="str">
        <x:v>M3-CONFLICT 原子规则主表｜280条｜唯一正式真源</x:v>
      </x:c>
      <x:c r="AC1" s="7" t="str">
        <x:v>M3-CONFLICT 原子规则主表｜280条｜唯一正式真源</x:v>
      </x:c>
      <x:c r="AD1" s="7" t="str">
        <x:v>M3-CONFLICT 原子规则主表｜280条｜唯一正式真源</x:v>
      </x:c>
      <x:c r="AE1" s="7" t="str">
        <x:v>M3-CONFLICT 原子规则主表｜280条｜唯一正式真源</x:v>
      </x:c>
    </x:row>
    <x:row r="2" ht="30" customHeight="1">
      <x:c r="A2" s="17" t="str">
        <x:v>每一行只表达一个判断或门控。修改规则时以本表为准；其他速查表均为阅读视图。</x:v>
      </x:c>
      <x:c r="B2" s="17" t="str">
        <x:v>每一行只表达一个判断或门控。修改规则时以本表为准；其他速查表均为阅读视图。</x:v>
      </x:c>
      <x:c r="C2" s="17" t="str">
        <x:v>每一行只表达一个判断或门控。修改规则时以本表为准；其他速查表均为阅读视图。</x:v>
      </x:c>
      <x:c r="D2" s="17" t="str">
        <x:v>每一行只表达一个判断或门控。修改规则时以本表为准；其他速查表均为阅读视图。</x:v>
      </x:c>
      <x:c r="E2" s="17" t="str">
        <x:v>每一行只表达一个判断或门控。修改规则时以本表为准；其他速查表均为阅读视图。</x:v>
      </x:c>
      <x:c r="F2" s="17" t="str">
        <x:v>每一行只表达一个判断或门控。修改规则时以本表为准；其他速查表均为阅读视图。</x:v>
      </x:c>
      <x:c r="G2" s="17" t="str">
        <x:v>每一行只表达一个判断或门控。修改规则时以本表为准；其他速查表均为阅读视图。</x:v>
      </x:c>
      <x:c r="H2" s="17" t="str">
        <x:v>每一行只表达一个判断或门控。修改规则时以本表为准；其他速查表均为阅读视图。</x:v>
      </x:c>
      <x:c r="I2" s="17" t="str">
        <x:v>每一行只表达一个判断或门控。修改规则时以本表为准；其他速查表均为阅读视图。</x:v>
      </x:c>
      <x:c r="J2" s="17" t="str">
        <x:v>每一行只表达一个判断或门控。修改规则时以本表为准；其他速查表均为阅读视图。</x:v>
      </x:c>
      <x:c r="K2" s="17" t="str">
        <x:v>每一行只表达一个判断或门控。修改规则时以本表为准；其他速查表均为阅读视图。</x:v>
      </x:c>
      <x:c r="L2" s="17" t="str">
        <x:v>每一行只表达一个判断或门控。修改规则时以本表为准；其他速查表均为阅读视图。</x:v>
      </x:c>
      <x:c r="M2" s="17" t="str">
        <x:v>每一行只表达一个判断或门控。修改规则时以本表为准；其他速查表均为阅读视图。</x:v>
      </x:c>
      <x:c r="N2" s="17" t="str">
        <x:v>每一行只表达一个判断或门控。修改规则时以本表为准；其他速查表均为阅读视图。</x:v>
      </x:c>
      <x:c r="O2" s="17" t="str">
        <x:v>每一行只表达一个判断或门控。修改规则时以本表为准；其他速查表均为阅读视图。</x:v>
      </x:c>
      <x:c r="P2" s="17" t="str">
        <x:v>每一行只表达一个判断或门控。修改规则时以本表为准；其他速查表均为阅读视图。</x:v>
      </x:c>
      <x:c r="Q2" s="17" t="str">
        <x:v>每一行只表达一个判断或门控。修改规则时以本表为准；其他速查表均为阅读视图。</x:v>
      </x:c>
      <x:c r="R2" s="17" t="str">
        <x:v>每一行只表达一个判断或门控。修改规则时以本表为准；其他速查表均为阅读视图。</x:v>
      </x:c>
      <x:c r="S2" s="17" t="str">
        <x:v>每一行只表达一个判断或门控。修改规则时以本表为准；其他速查表均为阅读视图。</x:v>
      </x:c>
      <x:c r="T2" s="17" t="str">
        <x:v>每一行只表达一个判断或门控。修改规则时以本表为准；其他速查表均为阅读视图。</x:v>
      </x:c>
      <x:c r="U2" s="17" t="str">
        <x:v>每一行只表达一个判断或门控。修改规则时以本表为准；其他速查表均为阅读视图。</x:v>
      </x:c>
      <x:c r="V2" s="17" t="str">
        <x:v>每一行只表达一个判断或门控。修改规则时以本表为准；其他速查表均为阅读视图。</x:v>
      </x:c>
      <x:c r="W2" s="17" t="str">
        <x:v>每一行只表达一个判断或门控。修改规则时以本表为准；其他速查表均为阅读视图。</x:v>
      </x:c>
      <x:c r="X2" s="17" t="str">
        <x:v>每一行只表达一个判断或门控。修改规则时以本表为准；其他速查表均为阅读视图。</x:v>
      </x:c>
      <x:c r="Y2" s="17" t="str">
        <x:v>每一行只表达一个判断或门控。修改规则时以本表为准；其他速查表均为阅读视图。</x:v>
      </x:c>
      <x:c r="Z2" s="17" t="str">
        <x:v>每一行只表达一个判断或门控。修改规则时以本表为准；其他速查表均为阅读视图。</x:v>
      </x:c>
      <x:c r="AA2" s="17" t="str">
        <x:v>每一行只表达一个判断或门控。修改规则时以本表为准；其他速查表均为阅读视图。</x:v>
      </x:c>
      <x:c r="AB2" s="17" t="str">
        <x:v>每一行只表达一个判断或门控。修改规则时以本表为准；其他速查表均为阅读视图。</x:v>
      </x:c>
      <x:c r="AC2" s="17" t="str">
        <x:v>每一行只表达一个判断或门控。修改规则时以本表为准；其他速查表均为阅读视图。</x:v>
      </x:c>
      <x:c r="AD2" s="17" t="str">
        <x:v>每一行只表达一个判断或门控。修改规则时以本表为准；其他速查表均为阅读视图。</x:v>
      </x:c>
      <x:c r="AE2" s="17" t="str">
        <x:v>每一行只表达一个判断或门控。修改规则时以本表为准；其他速查表均为阅读视图。</x:v>
      </x:c>
    </x:row>
    <x:row r="4" ht="24" customHeight="1">
      <x:c r="A4" s="33" t="str">
        <x:v>rule_id</x:v>
      </x:c>
      <x:c r="B4" s="34" t="str">
        <x:v>rule_name</x:v>
      </x:c>
      <x:c r="C4" s="34" t="str">
        <x:v>layer</x:v>
      </x:c>
      <x:c r="D4" s="34" t="str">
        <x:v>module</x:v>
      </x:c>
      <x:c r="E4" s="34" t="str">
        <x:v>applicable_group</x:v>
      </x:c>
      <x:c r="F4" s="34" t="str">
        <x:v>rule_type</x:v>
      </x:c>
      <x:c r="G4" s="34" t="str">
        <x:v>main_signal</x:v>
      </x:c>
      <x:c r="H4" s="34" t="str">
        <x:v>secondary_signal</x:v>
      </x:c>
      <x:c r="I4" s="34" t="str">
        <x:v>required_conditions</x:v>
      </x:c>
      <x:c r="J4" s="34" t="str">
        <x:v>excluded_conditions</x:v>
      </x:c>
      <x:c r="K4" s="34" t="str">
        <x:v>self_strength_status</x:v>
      </x:c>
      <x:c r="L4" s="34" t="str">
        <x:v>spouse_star_status</x:v>
      </x:c>
      <x:c r="M4" s="34" t="str">
        <x:v>palace_signal</x:v>
      </x:c>
      <x:c r="N4" s="34" t="str">
        <x:v>flow_path</x:v>
      </x:c>
      <x:c r="O4" s="34" t="str">
        <x:v>signal_position</x:v>
      </x:c>
      <x:c r="P4" s="34" t="str">
        <x:v>root_status</x:v>
      </x:c>
      <x:c r="Q4" s="34" t="str">
        <x:v>strength_level</x:v>
      </x:c>
      <x:c r="R4" s="34" t="str">
        <x:v>favorability</x:v>
      </x:c>
      <x:c r="S4" s="34" t="str">
        <x:v>transformation_status</x:v>
      </x:c>
      <x:c r="T4" s="34" t="str">
        <x:v>distance_level</x:v>
      </x:c>
      <x:c r="U4" s="34" t="str">
        <x:v>priority</x:v>
      </x:c>
      <x:c r="V4" s="34" t="str">
        <x:v>score_effect</x:v>
      </x:c>
      <x:c r="W4" s="34" t="str">
        <x:v>output_slot</x:v>
      </x:c>
      <x:c r="X4" s="34" t="str">
        <x:v>internal_logic</x:v>
      </x:c>
      <x:c r="Y4" s="34" t="str">
        <x:v>user_explanation</x:v>
      </x:c>
      <x:c r="Z4" s="34" t="str">
        <x:v>forbidden_inference</x:v>
      </x:c>
      <x:c r="AA4" s="34" t="str">
        <x:v>confidence_base</x:v>
      </x:c>
      <x:c r="AB4" s="34" t="str">
        <x:v>validation_status</x:v>
      </x:c>
      <x:c r="AC4" s="34" t="str">
        <x:v>case_refs</x:v>
      </x:c>
      <x:c r="AD4" s="34" t="str">
        <x:v>notes</x:v>
      </x:c>
      <x:c r="AE4" s="35" t="str">
        <x:v>version</x:v>
      </x:c>
    </x:row>
    <x:row r="5">
      <x:c r="A5" s="68" t="str">
        <x:v>M3-CONFLICT-001</x:v>
      </x:c>
      <x:c r="B5" s="69" t="str">
        <x:v>M3-CONFLICT正式定义｜分歧响应与冲突处理</x:v>
      </x:c>
      <x:c r="C5" s="69" t="str">
        <x:v>L0 模型边界与证据</x:v>
      </x:c>
      <x:c r="D5" s="69" t="str">
        <x:v>CONFLICT-定义边界</x:v>
      </x:c>
      <x:c r="E5" s="69" t="str">
        <x:v>通用</x:v>
      </x:c>
      <x:c r="F5" s="69" t="str">
        <x:v>定义</x:v>
      </x:c>
      <x:c r="G5" s="69" t="str">
        <x:v>M3-CONFLICT模块规则</x:v>
      </x:c>
      <x:c r="H5" s="69" t="str"/>
      <x:c r="I5" s="69" t="str">
        <x:v>M3-CONFLICT被调用；分析对象为关系建立后的分歧启动、信息排序、暂停、协商、解决与结束条件。</x:v>
      </x:c>
      <x:c r="J5" s="69" t="str">
        <x:v>基础信号未定；真合化后原信号已失效；只有单一弱远争议信号；或该结论会越界到M4风险、M5适配。</x:v>
      </x:c>
      <x:c r="K5" s="69" t="str">
        <x:v>由共享基础引擎与M3-STATE修正；日主承载只修正冲突处理的可执行性，不直接等于强硬或软弱。</x:v>
      </x:c>
      <x:c r="L5" s="69" t="str">
        <x:v>不限定；夫妻星只在责任、行动、投入等冲突议题中参与接口，不作为CONFLICT唯一主轴。</x:v>
      </x:c>
      <x:c r="M5" s="69" t="str">
        <x:v>由M3-BASE、日支主气及宫位动态提供；不得把日支直接写成配偶性格。</x:v>
      </x:c>
      <x:c r="N5" s="69" t="str">
        <x:v>无／待CONFLICT顺序与路径规则组合</x:v>
      </x:c>
      <x:c r="O5" s="69" t="str">
        <x:v>日柱与日支近位优先；全局有效独立信号可作次通道。</x:v>
      </x:c>
      <x:c r="P5" s="69" t="str">
        <x:v>由共享基础引擎判定</x:v>
      </x:c>
      <x:c r="Q5" s="69" t="str">
        <x:v>由共享基础引擎判定</x:v>
      </x:c>
      <x:c r="R5" s="69" t="str">
        <x:v>喜忌不直接等于冲突方式好坏；只修正调用顺畅度、资源压力和状态切换。</x:v>
      </x:c>
      <x:c r="S5" s="69" t="str">
        <x:v>原十神性质有效；真合化成立时按化神所属功能系统重建。</x:v>
      </x:c>
      <x:c r="T5" s="69" t="str">
        <x:v>由共享基础引擎判定</x:v>
      </x:c>
      <x:c r="U5" s="69" t="str">
        <x:v>99</x:v>
      </x:c>
      <x:c r="V5" s="69" t="str">
        <x:v>不加分；说明／路由</x:v>
      </x:c>
      <x:c r="W5" s="69" t="str">
        <x:v>report_status</x:v>
      </x:c>
      <x:c r="X5" s="69" t="str">
        <x:v>M3-CONFLICT描述分歧出现以后用户怎样处理信息与关系，不判断冲突是否严重、谁对谁错或关系结果。</x:v>
      </x:c>
      <x:c r="Y5" s="69" t="str">
        <x:v>这一部分关注：意见不一致时你通常先处理什么、怎样表达、何时暂停，以及怎样形成一个暂时可执行的处理结果。</x:v>
      </x:c>
      <x:c r="Z5" s="69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5" s="69" t="str">
        <x:v>高</x:v>
      </x:c>
      <x:c r="AB5" s="69" t="str">
        <x:v>待验证</x:v>
      </x:c>
      <x:c r="AC5" s="69" t="str"/>
      <x:c r="AD5" s="69" t="str">
        <x:v>provisional=true; rule_group=CONFLICT-定义边界</x:v>
      </x:c>
      <x:c r="AE5" s="70" t="str">
        <x:v>0.6</x:v>
      </x:c>
    </x:row>
    <x:row r="6">
      <x:c r="A6" s="71" t="str">
        <x:v>M3-CONFLICT-002</x:v>
      </x:c>
      <x:c r="B6" s="72" t="str">
        <x:v>核心问题｜处理顺序而非冲突好坏</x:v>
      </x:c>
      <x:c r="C6" s="72" t="str">
        <x:v>L0 模型边界与证据</x:v>
      </x:c>
      <x:c r="D6" s="72" t="str">
        <x:v>CONFLICT-定义边界</x:v>
      </x:c>
      <x:c r="E6" s="72" t="str">
        <x:v>通用</x:v>
      </x:c>
      <x:c r="F6" s="72" t="str">
        <x:v>边界</x:v>
      </x:c>
      <x:c r="G6" s="72" t="str">
        <x:v>M3-CONFLICT模块规则</x:v>
      </x:c>
      <x:c r="H6" s="72" t="str"/>
      <x:c r="I6" s="72" t="str">
        <x:v>需要判断第一反应、事实与情绪顺序、责任分配、方案形成、暂停及结束条件。</x:v>
      </x:c>
      <x:c r="J6" s="72" t="str">
        <x:v>基础信号未定；真合化后原信号已失效；只有单一弱远争议信号；或该结论会越界到M4风险、M5适配。</x:v>
      </x:c>
      <x:c r="K6" s="72" t="str">
        <x:v>由共享基础引擎与M3-STATE修正；日主承载只修正冲突处理的可执行性，不直接等于强硬或软弱。</x:v>
      </x:c>
      <x:c r="L6" s="72" t="str">
        <x:v>不限定；夫妻星只在责任、行动、投入等冲突议题中参与接口，不作为CONFLICT唯一主轴。</x:v>
      </x:c>
      <x:c r="M6" s="72" t="str">
        <x:v>由M3-BASE、日支主气及宫位动态提供；不得把日支直接写成配偶性格。</x:v>
      </x:c>
      <x:c r="N6" s="72" t="str">
        <x:v>无／待CONFLICT顺序与路径规则组合</x:v>
      </x:c>
      <x:c r="O6" s="72" t="str">
        <x:v>日柱与日支近位优先；全局有效独立信号可作次通道。</x:v>
      </x:c>
      <x:c r="P6" s="72" t="str">
        <x:v>由共享基础引擎判定</x:v>
      </x:c>
      <x:c r="Q6" s="72" t="str">
        <x:v>由共享基础引擎判定</x:v>
      </x:c>
      <x:c r="R6" s="72" t="str">
        <x:v>喜忌不直接等于冲突方式好坏；只修正调用顺畅度、资源压力和状态切换。</x:v>
      </x:c>
      <x:c r="S6" s="72" t="str">
        <x:v>原十神性质有效；真合化成立时按化神所属功能系统重建。</x:v>
      </x:c>
      <x:c r="T6" s="72" t="str">
        <x:v>由共享基础引擎判定</x:v>
      </x:c>
      <x:c r="U6" s="72" t="str">
        <x:v>98</x:v>
      </x:c>
      <x:c r="V6" s="72" t="str">
        <x:v>不加分；说明／路由</x:v>
      </x:c>
      <x:c r="W6" s="72" t="str">
        <x:v>boundary_note</x:v>
      </x:c>
      <x:c r="X6" s="72" t="str">
        <x:v>同一种通道在平稳和压力状态下可能表现不同；本模块先描述顺序，不做道德评价。</x:v>
      </x:c>
      <x:c r="Y6" s="72" t="str">
        <x:v>这里先说明你在分歧里通常怎样处理事情，不把它简单评成会吵、不会吵、成熟或有问题。</x:v>
      </x:c>
      <x:c r="Z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6" s="72" t="str">
        <x:v>高</x:v>
      </x:c>
      <x:c r="AB6" s="72" t="str">
        <x:v>待验证</x:v>
      </x:c>
      <x:c r="AC6" s="72" t="str"/>
      <x:c r="AD6" s="72" t="str">
        <x:v>provisional=true; rule_group=CONFLICT-定义边界</x:v>
      </x:c>
      <x:c r="AE6" s="73" t="str">
        <x:v>0.6</x:v>
      </x:c>
    </x:row>
    <x:row r="7">
      <x:c r="A7" s="71" t="str">
        <x:v>M3-CONFLICT-003</x:v>
      </x:c>
      <x:c r="B7" s="72" t="str">
        <x:v>标准输入｜共享基础引擎</x:v>
      </x:c>
      <x:c r="C7" s="72" t="str">
        <x:v>L0 模型边界与证据</x:v>
      </x:c>
      <x:c r="D7" s="72" t="str">
        <x:v>CONFLICT-定义边界</x:v>
      </x:c>
      <x:c r="E7" s="72" t="str">
        <x:v>通用</x:v>
      </x:c>
      <x:c r="F7" s="72" t="str">
        <x:v>输入门控</x:v>
      </x:c>
      <x:c r="G7" s="72" t="str">
        <x:v>M3-CONFLICT模块规则</x:v>
      </x:c>
      <x:c r="H7" s="72" t="str"/>
      <x:c r="I7" s="72" t="str">
        <x:v>排盘、十神、日支藏干、透藏、根气、旺弱、喜忌、合化、有效流向和source_id已由共享引擎提供。</x:v>
      </x:c>
      <x:c r="J7" s="72" t="str">
        <x:v>基础信号未定；真合化后原信号已失效；只有单一弱远争议信号；或该结论会越界到M4风险、M5适配。</x:v>
      </x:c>
      <x:c r="K7" s="72" t="str">
        <x:v>由共享基础引擎与M3-STATE修正；日主承载只修正冲突处理的可执行性，不直接等于强硬或软弱。</x:v>
      </x:c>
      <x:c r="L7" s="72" t="str">
        <x:v>不限定；夫妻星只在责任、行动、投入等冲突议题中参与接口，不作为CONFLICT唯一主轴。</x:v>
      </x:c>
      <x:c r="M7" s="72" t="str">
        <x:v>由M3-BASE、日支主气及宫位动态提供；不得把日支直接写成配偶性格。</x:v>
      </x:c>
      <x:c r="N7" s="72" t="str">
        <x:v>无／待CONFLICT顺序与路径规则组合</x:v>
      </x:c>
      <x:c r="O7" s="72" t="str">
        <x:v>日柱与日支近位优先；全局有效独立信号可作次通道。</x:v>
      </x:c>
      <x:c r="P7" s="72" t="str">
        <x:v>由共享基础引擎判定</x:v>
      </x:c>
      <x:c r="Q7" s="72" t="str">
        <x:v>由共享基础引擎判定</x:v>
      </x:c>
      <x:c r="R7" s="72" t="str">
        <x:v>喜忌不直接等于冲突方式好坏；只修正调用顺畅度、资源压力和状态切换。</x:v>
      </x:c>
      <x:c r="S7" s="72" t="str">
        <x:v>原十神性质有效；真合化成立时按化神所属功能系统重建。</x:v>
      </x:c>
      <x:c r="T7" s="72" t="str">
        <x:v>由共享基础引擎判定</x:v>
      </x:c>
      <x:c r="U7" s="72" t="str">
        <x:v>97</x:v>
      </x:c>
      <x:c r="V7" s="72" t="str">
        <x:v>不加分；说明／路由</x:v>
      </x:c>
      <x:c r="W7" s="72" t="str">
        <x:v>report_status</x:v>
      </x:c>
      <x:c r="X7" s="72" t="str">
        <x:v>CONFLICT不重新排盘，也不独立裁定合化旺衰，只翻译可靠基础事实。</x:v>
      </x:c>
      <x:c r="Y7" s="72" t="str">
        <x:v>基础状态有争议时，会保留不确定性，而不会为了完整硬写固定的冲突反应。</x:v>
      </x:c>
      <x:c r="Z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7" s="72" t="str">
        <x:v>高</x:v>
      </x:c>
      <x:c r="AB7" s="72" t="str">
        <x:v>待验证</x:v>
      </x:c>
      <x:c r="AC7" s="72" t="str"/>
      <x:c r="AD7" s="72" t="str">
        <x:v>provisional=true; rule_group=CONFLICT-定义边界</x:v>
      </x:c>
      <x:c r="AE7" s="73" t="str">
        <x:v>0.6</x:v>
      </x:c>
    </x:row>
    <x:row r="8">
      <x:c r="A8" s="71" t="str">
        <x:v>M3-CONFLICT-004</x:v>
      </x:c>
      <x:c r="B8" s="72" t="str">
        <x:v>标准输出｜冲突处理字段</x:v>
      </x:c>
      <x:c r="C8" s="72" t="str">
        <x:v>L0 模型边界与证据</x:v>
      </x:c>
      <x:c r="D8" s="72" t="str">
        <x:v>CONFLICT-定义边界</x:v>
      </x:c>
      <x:c r="E8" s="72" t="str">
        <x:v>通用</x:v>
      </x:c>
      <x:c r="F8" s="72" t="str">
        <x:v>输出合同</x:v>
      </x:c>
      <x:c r="G8" s="72" t="str">
        <x:v>M3-CONFLICT模块规则</x:v>
      </x:c>
      <x:c r="H8" s="72" t="str"/>
      <x:c r="I8" s="72" t="str">
        <x:v>至少一项有效冲突通道成立，且关键基础字段未停止。</x:v>
      </x:c>
      <x:c r="J8" s="72" t="str">
        <x:v>基础信号未定；真合化后原信号已失效；只有单一弱远争议信号；或该结论会越界到M4风险、M5适配。</x:v>
      </x:c>
      <x:c r="K8" s="72" t="str">
        <x:v>由共享基础引擎与M3-STATE修正；日主承载只修正冲突处理的可执行性，不直接等于强硬或软弱。</x:v>
      </x:c>
      <x:c r="L8" s="72" t="str">
        <x:v>不限定；夫妻星只在责任、行动、投入等冲突议题中参与接口，不作为CONFLICT唯一主轴。</x:v>
      </x:c>
      <x:c r="M8" s="72" t="str">
        <x:v>由M3-BASE、日支主气及宫位动态提供；不得把日支直接写成配偶性格。</x:v>
      </x:c>
      <x:c r="N8" s="72" t="str">
        <x:v>无／待CONFLICT顺序与路径规则组合</x:v>
      </x:c>
      <x:c r="O8" s="72" t="str">
        <x:v>日柱与日支近位优先；全局有效独立信号可作次通道。</x:v>
      </x:c>
      <x:c r="P8" s="72" t="str">
        <x:v>由共享基础引擎判定</x:v>
      </x:c>
      <x:c r="Q8" s="72" t="str">
        <x:v>由共享基础引擎判定</x:v>
      </x:c>
      <x:c r="R8" s="72" t="str">
        <x:v>喜忌不直接等于冲突方式好坏；只修正调用顺畅度、资源压力和状态切换。</x:v>
      </x:c>
      <x:c r="S8" s="72" t="str">
        <x:v>原十神性质有效；真合化成立时按化神所属功能系统重建。</x:v>
      </x:c>
      <x:c r="T8" s="72" t="str">
        <x:v>由共享基础引擎判定</x:v>
      </x:c>
      <x:c r="U8" s="72" t="str">
        <x:v>96</x:v>
      </x:c>
      <x:c r="V8" s="72" t="str">
        <x:v>不加分；说明／路由</x:v>
      </x:c>
      <x:c r="W8" s="72" t="str">
        <x:v>report_template</x:v>
      </x:c>
      <x:c r="X8" s="72" t="str">
        <x:v>输出主／次通道、第一反应、注意焦点、事实情绪顺序、责任处理、方案、暂停、结束条件、复盘、路径、状态与置信度。</x:v>
      </x:c>
      <x:c r="Y8" s="72" t="str">
        <x:v>最终会回答：分歧出现时你先做什么、怎样把问题说清、怎样形成方案，以及什么条件下你会认为这一轮可以先告一段落。</x:v>
      </x:c>
      <x:c r="Z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8" s="72" t="str">
        <x:v>中高</x:v>
      </x:c>
      <x:c r="AB8" s="72" t="str">
        <x:v>待验证</x:v>
      </x:c>
      <x:c r="AC8" s="72" t="str"/>
      <x:c r="AD8" s="72" t="str">
        <x:v>provisional=true; rule_group=CONFLICT-定义边界</x:v>
      </x:c>
      <x:c r="AE8" s="73" t="str">
        <x:v>0.6</x:v>
      </x:c>
    </x:row>
    <x:row r="9">
      <x:c r="A9" s="71" t="str">
        <x:v>M3-CONFLICT-005</x:v>
      </x:c>
      <x:c r="B9" s="72" t="str">
        <x:v>M1边界｜心动偏好不等于分歧方式</x:v>
      </x:c>
      <x:c r="C9" s="72" t="str">
        <x:v>L0 模型边界与证据</x:v>
      </x:c>
      <x:c r="D9" s="72" t="str">
        <x:v>CONFLICT-定义边界</x:v>
      </x:c>
      <x:c r="E9" s="72" t="str">
        <x:v>通用</x:v>
      </x:c>
      <x:c r="F9" s="72" t="str">
        <x:v>跨模型边界</x:v>
      </x:c>
      <x:c r="G9" s="72" t="str">
        <x:v>M3-CONFLICT模块规则</x:v>
      </x:c>
      <x:c r="H9" s="72" t="str"/>
      <x:c r="I9" s="72" t="str">
        <x:v>M1心动偏好与M3-CONFLICT信号同时可见。</x:v>
      </x:c>
      <x:c r="J9" s="72" t="str">
        <x:v>基础信号未定；真合化后原信号已失效；只有单一弱远争议信号；或该结论会越界到M4风险、M5适配。</x:v>
      </x:c>
      <x:c r="K9" s="72" t="str">
        <x:v>由共享基础引擎与M3-STATE修正；日主承载只修正冲突处理的可执行性，不直接等于强硬或软弱。</x:v>
      </x:c>
      <x:c r="L9" s="72" t="str">
        <x:v>不限定；夫妻星只在责任、行动、投入等冲突议题中参与接口，不作为CONFLICT唯一主轴。</x:v>
      </x:c>
      <x:c r="M9" s="72" t="str">
        <x:v>由M3-BASE、日支主气及宫位动态提供；不得把日支直接写成配偶性格。</x:v>
      </x:c>
      <x:c r="N9" s="72" t="str">
        <x:v>无／待CONFLICT顺序与路径规则组合</x:v>
      </x:c>
      <x:c r="O9" s="72" t="str">
        <x:v>日柱与日支近位优先；全局有效独立信号可作次通道。</x:v>
      </x:c>
      <x:c r="P9" s="72" t="str">
        <x:v>由共享基础引擎判定</x:v>
      </x:c>
      <x:c r="Q9" s="72" t="str">
        <x:v>由共享基础引擎判定</x:v>
      </x:c>
      <x:c r="R9" s="72" t="str">
        <x:v>喜忌不直接等于冲突方式好坏；只修正调用顺畅度、资源压力和状态切换。</x:v>
      </x:c>
      <x:c r="S9" s="72" t="str">
        <x:v>原十神性质有效；真合化成立时按化神所属功能系统重建。</x:v>
      </x:c>
      <x:c r="T9" s="72" t="str">
        <x:v>由共享基础引擎判定</x:v>
      </x:c>
      <x:c r="U9" s="72" t="str">
        <x:v>95</x:v>
      </x:c>
      <x:c r="V9" s="72" t="str">
        <x:v>不加分；说明／路由</x:v>
      </x:c>
      <x:c r="W9" s="72" t="str">
        <x:v>boundary_note</x:v>
      </x:c>
      <x:c r="X9" s="72" t="str">
        <x:v>被某类特质吸引，不能推出面对分歧时一定采用同一种方式。</x:v>
      </x:c>
      <x:c r="Y9" s="72" t="str">
        <x:v>让你心动的特质，和你真正出现意见不一致时怎样处理，会分开判断。</x:v>
      </x:c>
      <x:c r="Z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9" s="72" t="str">
        <x:v>高</x:v>
      </x:c>
      <x:c r="AB9" s="72" t="str">
        <x:v>待验证</x:v>
      </x:c>
      <x:c r="AC9" s="72" t="str"/>
      <x:c r="AD9" s="72" t="str">
        <x:v>provisional=true; rule_group=CONFLICT-定义边界</x:v>
      </x:c>
      <x:c r="AE9" s="73" t="str">
        <x:v>0.6</x:v>
      </x:c>
    </x:row>
    <x:row r="10">
      <x:c r="A10" s="71" t="str">
        <x:v>M3-CONFLICT-006</x:v>
      </x:c>
      <x:c r="B10" s="72" t="str">
        <x:v>M2边界｜关系准入不等于冲突处理</x:v>
      </x:c>
      <x:c r="C10" s="72" t="str">
        <x:v>L0 模型边界与证据</x:v>
      </x:c>
      <x:c r="D10" s="72" t="str">
        <x:v>CONFLICT-定义边界</x:v>
      </x:c>
      <x:c r="E10" s="72" t="str">
        <x:v>通用</x:v>
      </x:c>
      <x:c r="F10" s="72" t="str">
        <x:v>跨模型边界</x:v>
      </x:c>
      <x:c r="G10" s="72" t="str">
        <x:v>M3-CONFLICT模块规则</x:v>
      </x:c>
      <x:c r="H10" s="72" t="str"/>
      <x:c r="I10" s="72" t="str">
        <x:v>M2关系门槛与M3-CONFLICT信号同时可见。</x:v>
      </x:c>
      <x:c r="J10" s="72" t="str">
        <x:v>基础信号未定；真合化后原信号已失效；只有单一弱远争议信号；或该结论会越界到M4风险、M5适配。</x:v>
      </x:c>
      <x:c r="K10" s="72" t="str">
        <x:v>由共享基础引擎与M3-STATE修正；日主承载只修正冲突处理的可执行性，不直接等于强硬或软弱。</x:v>
      </x:c>
      <x:c r="L10" s="72" t="str">
        <x:v>不限定；夫妻星只在责任、行动、投入等冲突议题中参与接口，不作为CONFLICT唯一主轴。</x:v>
      </x:c>
      <x:c r="M10" s="72" t="str">
        <x:v>由M3-BASE、日支主气及宫位动态提供；不得把日支直接写成配偶性格。</x:v>
      </x:c>
      <x:c r="N10" s="72" t="str">
        <x:v>无／待CONFLICT顺序与路径规则组合</x:v>
      </x:c>
      <x:c r="O10" s="72" t="str">
        <x:v>日柱与日支近位优先；全局有效独立信号可作次通道。</x:v>
      </x:c>
      <x:c r="P10" s="72" t="str">
        <x:v>由共享基础引擎判定</x:v>
      </x:c>
      <x:c r="Q10" s="72" t="str">
        <x:v>由共享基础引擎判定</x:v>
      </x:c>
      <x:c r="R10" s="72" t="str">
        <x:v>喜忌不直接等于冲突方式好坏；只修正调用顺畅度、资源压力和状态切换。</x:v>
      </x:c>
      <x:c r="S10" s="72" t="str">
        <x:v>原十神性质有效；真合化成立时按化神所属功能系统重建。</x:v>
      </x:c>
      <x:c r="T10" s="72" t="str">
        <x:v>由共享基础引擎判定</x:v>
      </x:c>
      <x:c r="U10" s="72" t="str">
        <x:v>94</x:v>
      </x:c>
      <x:c r="V10" s="72" t="str">
        <x:v>不加分；说明／路由</x:v>
      </x:c>
      <x:c r="W10" s="72" t="str">
        <x:v>boundary_note</x:v>
      </x:c>
      <x:c r="X10" s="72" t="str">
        <x:v>选择关系时的门槛，只说明什么人能进入关系，不说明分歧发生后的处理顺序。</x:v>
      </x:c>
      <x:c r="Y10" s="72" t="str">
        <x:v>你决定和谁进入关系，和进入关系后怎样处理意见不一致，是两个不同问题。</x:v>
      </x:c>
      <x:c r="Z1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0" s="72" t="str">
        <x:v>高</x:v>
      </x:c>
      <x:c r="AB10" s="72" t="str">
        <x:v>待验证</x:v>
      </x:c>
      <x:c r="AC10" s="72" t="str"/>
      <x:c r="AD10" s="72" t="str">
        <x:v>provisional=true; rule_group=CONFLICT-定义边界</x:v>
      </x:c>
      <x:c r="AE10" s="73" t="str">
        <x:v>0.6</x:v>
      </x:c>
    </x:row>
    <x:row r="11">
      <x:c r="A11" s="71" t="str">
        <x:v>M3-CONFLICT-007</x:v>
      </x:c>
      <x:c r="B11" s="72" t="str">
        <x:v>M3-EXPR边界｜日常表达不等于压力表达</x:v>
      </x:c>
      <x:c r="C11" s="72" t="str">
        <x:v>L0 模型边界与证据</x:v>
      </x:c>
      <x:c r="D11" s="72" t="str">
        <x:v>CONFLICT-定义边界</x:v>
      </x:c>
      <x:c r="E11" s="72" t="str">
        <x:v>通用</x:v>
      </x:c>
      <x:c r="F11" s="72" t="str">
        <x:v>跨模块边界</x:v>
      </x:c>
      <x:c r="G11" s="72" t="str">
        <x:v>M3-CONFLICT模块规则</x:v>
      </x:c>
      <x:c r="H11" s="72" t="str"/>
      <x:c r="I11" s="72" t="str">
        <x:v>EXPR与CONFLICT共享表达证据。</x:v>
      </x:c>
      <x:c r="J11" s="72" t="str">
        <x:v>基础信号未定；真合化后原信号已失效；只有单一弱远争议信号；或该结论会越界到M4风险、M5适配。</x:v>
      </x:c>
      <x:c r="K11" s="72" t="str">
        <x:v>由共享基础引擎与M3-STATE修正；日主承载只修正冲突处理的可执行性，不直接等于强硬或软弱。</x:v>
      </x:c>
      <x:c r="L11" s="72" t="str">
        <x:v>不限定；夫妻星只在责任、行动、投入等冲突议题中参与接口，不作为CONFLICT唯一主轴。</x:v>
      </x:c>
      <x:c r="M11" s="72" t="str">
        <x:v>由M3-BASE、日支主气及宫位动态提供；不得把日支直接写成配偶性格。</x:v>
      </x:c>
      <x:c r="N11" s="72" t="str">
        <x:v>无／待CONFLICT顺序与路径规则组合</x:v>
      </x:c>
      <x:c r="O11" s="72" t="str">
        <x:v>日柱与日支近位优先；全局有效独立信号可作次通道。</x:v>
      </x:c>
      <x:c r="P11" s="72" t="str">
        <x:v>由共享基础引擎判定</x:v>
      </x:c>
      <x:c r="Q11" s="72" t="str">
        <x:v>由共享基础引擎判定</x:v>
      </x:c>
      <x:c r="R11" s="72" t="str">
        <x:v>喜忌不直接等于冲突方式好坏；只修正调用顺畅度、资源压力和状态切换。</x:v>
      </x:c>
      <x:c r="S11" s="72" t="str">
        <x:v>原十神性质有效；真合化成立时按化神所属功能系统重建。</x:v>
      </x:c>
      <x:c r="T11" s="72" t="str">
        <x:v>由共享基础引擎判定</x:v>
      </x:c>
      <x:c r="U11" s="72" t="str">
        <x:v>93</x:v>
      </x:c>
      <x:c r="V11" s="72" t="str">
        <x:v>不加分；说明／路由</x:v>
      </x:c>
      <x:c r="W11" s="72" t="str">
        <x:v>boundary_note</x:v>
      </x:c>
      <x:c r="X11" s="72" t="str">
        <x:v>平时会表达，不代表压力下仍按同一顺序；平时话少，也不代表分歧时不能说明立场。</x:v>
      </x:c>
      <x:c r="Y11" s="72" t="str">
        <x:v>你日常怎样沟通，会影响分歧中的表达，但压力增加时是否切换，需要另外判断。</x:v>
      </x:c>
      <x:c r="Z1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1" s="72" t="str">
        <x:v>高</x:v>
      </x:c>
      <x:c r="AB11" s="72" t="str">
        <x:v>待验证</x:v>
      </x:c>
      <x:c r="AC11" s="72" t="str"/>
      <x:c r="AD11" s="72" t="str">
        <x:v>provisional=true; rule_group=CONFLICT-定义边界</x:v>
      </x:c>
      <x:c r="AE11" s="73" t="str">
        <x:v>0.6</x:v>
      </x:c>
    </x:row>
    <x:row r="12">
      <x:c r="A12" s="71" t="str">
        <x:v>M3-CONFLICT-008</x:v>
      </x:c>
      <x:c r="B12" s="72" t="str">
        <x:v>M3-BOUND边界｜边界内容不等于冲突过程</x:v>
      </x:c>
      <x:c r="C12" s="72" t="str">
        <x:v>L0 模型边界与证据</x:v>
      </x:c>
      <x:c r="D12" s="72" t="str">
        <x:v>CONFLICT-定义边界</x:v>
      </x:c>
      <x:c r="E12" s="72" t="str">
        <x:v>通用</x:v>
      </x:c>
      <x:c r="F12" s="72" t="str">
        <x:v>跨模块边界</x:v>
      </x:c>
      <x:c r="G12" s="72" t="str">
        <x:v>M3-CONFLICT模块规则</x:v>
      </x:c>
      <x:c r="H12" s="72" t="str"/>
      <x:c r="I12" s="72" t="str">
        <x:v>BOUND已说明限制、权限或暂停需要。</x:v>
      </x:c>
      <x:c r="J12" s="72" t="str">
        <x:v>基础信号未定；真合化后原信号已失效；只有单一弱远争议信号；或该结论会越界到M4风险、M5适配。</x:v>
      </x:c>
      <x:c r="K12" s="72" t="str">
        <x:v>由共享基础引擎与M3-STATE修正；日主承载只修正冲突处理的可执行性，不直接等于强硬或软弱。</x:v>
      </x:c>
      <x:c r="L12" s="72" t="str">
        <x:v>不限定；夫妻星只在责任、行动、投入等冲突议题中参与接口，不作为CONFLICT唯一主轴。</x:v>
      </x:c>
      <x:c r="M12" s="72" t="str">
        <x:v>由M3-BASE、日支主气及宫位动态提供；不得把日支直接写成配偶性格。</x:v>
      </x:c>
      <x:c r="N12" s="72" t="str">
        <x:v>无／待CONFLICT顺序与路径规则组合</x:v>
      </x:c>
      <x:c r="O12" s="72" t="str">
        <x:v>日柱与日支近位优先；全局有效独立信号可作次通道。</x:v>
      </x:c>
      <x:c r="P12" s="72" t="str">
        <x:v>由共享基础引擎判定</x:v>
      </x:c>
      <x:c r="Q12" s="72" t="str">
        <x:v>由共享基础引擎判定</x:v>
      </x:c>
      <x:c r="R12" s="72" t="str">
        <x:v>喜忌不直接等于冲突方式好坏；只修正调用顺畅度、资源压力和状态切换。</x:v>
      </x:c>
      <x:c r="S12" s="72" t="str">
        <x:v>原十神性质有效；真合化成立时按化神所属功能系统重建。</x:v>
      </x:c>
      <x:c r="T12" s="72" t="str">
        <x:v>由共享基础引擎判定</x:v>
      </x:c>
      <x:c r="U12" s="72" t="str">
        <x:v>92</x:v>
      </x:c>
      <x:c r="V12" s="72" t="str">
        <x:v>不加分；说明／路由</x:v>
      </x:c>
      <x:c r="W12" s="72" t="str">
        <x:v>boundary_note</x:v>
      </x:c>
      <x:c r="X12" s="72" t="str">
        <x:v>BOUND回答“什么不能接受”，CONFLICT回答“出现不一致时怎样处理”。</x:v>
      </x:c>
      <x:c r="Y12" s="72" t="str">
        <x:v>你有哪些边界，和你怎样把边界放进一场分歧里处理，会分别说明。</x:v>
      </x:c>
      <x:c r="Z1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2" s="72" t="str">
        <x:v>高</x:v>
      </x:c>
      <x:c r="AB12" s="72" t="str">
        <x:v>待验证</x:v>
      </x:c>
      <x:c r="AC12" s="72" t="str"/>
      <x:c r="AD12" s="72" t="str">
        <x:v>provisional=true; rule_group=CONFLICT-定义边界</x:v>
      </x:c>
      <x:c r="AE12" s="73" t="str">
        <x:v>0.6</x:v>
      </x:c>
    </x:row>
    <x:row r="13">
      <x:c r="A13" s="71" t="str">
        <x:v>M3-CONFLICT-009</x:v>
      </x:c>
      <x:c r="B13" s="72" t="str">
        <x:v>M3-REPAIR边界｜冲突结束不等于关系修复</x:v>
      </x:c>
      <x:c r="C13" s="72" t="str">
        <x:v>L0 模型边界与证据</x:v>
      </x:c>
      <x:c r="D13" s="72" t="str">
        <x:v>CONFLICT-定义边界</x:v>
      </x:c>
      <x:c r="E13" s="72" t="str">
        <x:v>通用</x:v>
      </x:c>
      <x:c r="F13" s="72" t="str">
        <x:v>跨模块边界</x:v>
      </x:c>
      <x:c r="G13" s="72" t="str">
        <x:v>M3-CONFLICT模块规则</x:v>
      </x:c>
      <x:c r="H13" s="72" t="str"/>
      <x:c r="I13" s="72" t="str">
        <x:v>分歧已经形成暂时结果，但情绪联结是否恢复尚未判断。</x:v>
      </x:c>
      <x:c r="J13" s="72" t="str">
        <x:v>基础信号未定；真合化后原信号已失效；只有单一弱远争议信号；或该结论会越界到M4风险、M5适配。</x:v>
      </x:c>
      <x:c r="K13" s="72" t="str">
        <x:v>由共享基础引擎与M3-STATE修正；日主承载只修正冲突处理的可执行性，不直接等于强硬或软弱。</x:v>
      </x:c>
      <x:c r="L13" s="72" t="str">
        <x:v>不限定；夫妻星只在责任、行动、投入等冲突议题中参与接口，不作为CONFLICT唯一主轴。</x:v>
      </x:c>
      <x:c r="M13" s="72" t="str">
        <x:v>由M3-BASE、日支主气及宫位动态提供；不得把日支直接写成配偶性格。</x:v>
      </x:c>
      <x:c r="N13" s="72" t="str">
        <x:v>无／待CONFLICT顺序与路径规则组合</x:v>
      </x:c>
      <x:c r="O13" s="72" t="str">
        <x:v>日柱与日支近位优先；全局有效独立信号可作次通道。</x:v>
      </x:c>
      <x:c r="P13" s="72" t="str">
        <x:v>由共享基础引擎判定</x:v>
      </x:c>
      <x:c r="Q13" s="72" t="str">
        <x:v>由共享基础引擎判定</x:v>
      </x:c>
      <x:c r="R13" s="72" t="str">
        <x:v>喜忌不直接等于冲突方式好坏；只修正调用顺畅度、资源压力和状态切换。</x:v>
      </x:c>
      <x:c r="S13" s="72" t="str">
        <x:v>原十神性质有效；真合化成立时按化神所属功能系统重建。</x:v>
      </x:c>
      <x:c r="T13" s="72" t="str">
        <x:v>由共享基础引擎判定</x:v>
      </x:c>
      <x:c r="U13" s="72" t="str">
        <x:v>91</x:v>
      </x:c>
      <x:c r="V13" s="72" t="str">
        <x:v>不加分；说明／路由</x:v>
      </x:c>
      <x:c r="W13" s="72" t="str">
        <x:v>boundary_note</x:v>
      </x:c>
      <x:c r="X13" s="72" t="str">
        <x:v>问题有方案不等于关系已经重新亲近；REPAIR负责重新联结。</x:v>
      </x:c>
      <x:c r="Y13" s="72" t="str">
        <x:v>事情谈完或处理完，只代表这一轮分歧有了结果；你们怎样恢复理解和亲近，会在修复模块继续判断。</x:v>
      </x:c>
      <x:c r="Z1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3" s="72" t="str">
        <x:v>高</x:v>
      </x:c>
      <x:c r="AB13" s="72" t="str">
        <x:v>待验证</x:v>
      </x:c>
      <x:c r="AC13" s="72" t="str"/>
      <x:c r="AD13" s="72" t="str">
        <x:v>provisional=true; rule_group=CONFLICT-定义边界</x:v>
      </x:c>
      <x:c r="AE13" s="73" t="str">
        <x:v>0.6</x:v>
      </x:c>
    </x:row>
    <x:row r="14">
      <x:c r="A14" s="71" t="str">
        <x:v>M3-CONFLICT-010</x:v>
      </x:c>
      <x:c r="B14" s="72" t="str">
        <x:v>M4边界｜强烈反应不等于风险结论</x:v>
      </x:c>
      <x:c r="C14" s="72" t="str">
        <x:v>L0 模型边界与证据</x:v>
      </x:c>
      <x:c r="D14" s="72" t="str">
        <x:v>CONFLICT-定义边界</x:v>
      </x:c>
      <x:c r="E14" s="72" t="str">
        <x:v>通用</x:v>
      </x:c>
      <x:c r="F14" s="72" t="str">
        <x:v>跨模型边界</x:v>
      </x:c>
      <x:c r="G14" s="72" t="str">
        <x:v>M3-CONFLICT模块规则</x:v>
      </x:c>
      <x:c r="H14" s="72" t="str"/>
      <x:c r="I14" s="72" t="str">
        <x:v>冲突通道明显、过旺或压力下抢先。</x:v>
      </x:c>
      <x:c r="J14" s="72" t="str">
        <x:v>基础信号未定；真合化后原信号已失效；只有单一弱远争议信号；或该结论会越界到M4风险、M5适配。</x:v>
      </x:c>
      <x:c r="K14" s="72" t="str">
        <x:v>由共享基础引擎与M3-STATE修正；日主承载只修正冲突处理的可执行性，不直接等于强硬或软弱。</x:v>
      </x:c>
      <x:c r="L14" s="72" t="str">
        <x:v>不限定；夫妻星只在责任、行动、投入等冲突议题中参与接口，不作为CONFLICT唯一主轴。</x:v>
      </x:c>
      <x:c r="M14" s="72" t="str">
        <x:v>由M3-BASE、日支主气及宫位动态提供；不得把日支直接写成配偶性格。</x:v>
      </x:c>
      <x:c r="N14" s="72" t="str">
        <x:v>无／待CONFLICT顺序与路径规则组合</x:v>
      </x:c>
      <x:c r="O14" s="72" t="str">
        <x:v>日柱与日支近位优先；全局有效独立信号可作次通道。</x:v>
      </x:c>
      <x:c r="P14" s="72" t="str">
        <x:v>由共享基础引擎判定</x:v>
      </x:c>
      <x:c r="Q14" s="72" t="str">
        <x:v>由共享基础引擎判定</x:v>
      </x:c>
      <x:c r="R14" s="72" t="str">
        <x:v>喜忌不直接等于冲突方式好坏；只修正调用顺畅度、资源压力和状态切换。</x:v>
      </x:c>
      <x:c r="S14" s="72" t="str">
        <x:v>原十神性质有效；真合化成立时按化神所属功能系统重建。</x:v>
      </x:c>
      <x:c r="T14" s="72" t="str">
        <x:v>由共享基础引擎判定</x:v>
      </x:c>
      <x:c r="U14" s="72" t="str">
        <x:v>90</x:v>
      </x:c>
      <x:c r="V14" s="72" t="str">
        <x:v>不加分；说明／路由</x:v>
      </x:c>
      <x:c r="W14" s="72" t="str">
        <x:v>risk_route</x:v>
      </x:c>
      <x:c r="X14" s="72" t="str">
        <x:v>CONFLICT只记录第一反应与处理顺序；是否形成攻击、压迫、冷战或消耗交给M4。</x:v>
      </x:c>
      <x:c r="Y14" s="72" t="str">
        <x:v>某种处理方式很强，只说明它容易先出现，不直接等于会伤害关系。</x:v>
      </x:c>
      <x:c r="Z1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4" s="72" t="str">
        <x:v>高</x:v>
      </x:c>
      <x:c r="AB14" s="72" t="str">
        <x:v>待验证</x:v>
      </x:c>
      <x:c r="AC14" s="72" t="str"/>
      <x:c r="AD14" s="72" t="str">
        <x:v>provisional=true; rule_group=CONFLICT-定义边界</x:v>
      </x:c>
      <x:c r="AE14" s="73" t="str">
        <x:v>0.6</x:v>
      </x:c>
    </x:row>
    <x:row r="15">
      <x:c r="A15" s="71" t="str">
        <x:v>M3-CONFLICT-011</x:v>
      </x:c>
      <x:c r="B15" s="72" t="str">
        <x:v>M5边界｜常用方式不等于最适配方式</x:v>
      </x:c>
      <x:c r="C15" s="72" t="str">
        <x:v>L0 模型边界与证据</x:v>
      </x:c>
      <x:c r="D15" s="72" t="str">
        <x:v>CONFLICT-定义边界</x:v>
      </x:c>
      <x:c r="E15" s="72" t="str">
        <x:v>通用</x:v>
      </x:c>
      <x:c r="F15" s="72" t="str">
        <x:v>跨模型边界</x:v>
      </x:c>
      <x:c r="G15" s="72" t="str">
        <x:v>M3-CONFLICT模块规则</x:v>
      </x:c>
      <x:c r="H15" s="72" t="str"/>
      <x:c r="I15" s="72" t="str">
        <x:v>需要把相处惯性与长期适配区分。</x:v>
      </x:c>
      <x:c r="J15" s="72" t="str">
        <x:v>基础信号未定；真合化后原信号已失效；只有单一弱远争议信号；或该结论会越界到M4风险、M5适配。</x:v>
      </x:c>
      <x:c r="K15" s="72" t="str">
        <x:v>由共享基础引擎与M3-STATE修正；日主承载只修正冲突处理的可执行性，不直接等于强硬或软弱。</x:v>
      </x:c>
      <x:c r="L15" s="72" t="str">
        <x:v>不限定；夫妻星只在责任、行动、投入等冲突议题中参与接口，不作为CONFLICT唯一主轴。</x:v>
      </x:c>
      <x:c r="M15" s="72" t="str">
        <x:v>由M3-BASE、日支主气及宫位动态提供；不得把日支直接写成配偶性格。</x:v>
      </x:c>
      <x:c r="N15" s="72" t="str">
        <x:v>无／待CONFLICT顺序与路径规则组合</x:v>
      </x:c>
      <x:c r="O15" s="72" t="str">
        <x:v>日柱与日支近位优先；全局有效独立信号可作次通道。</x:v>
      </x:c>
      <x:c r="P15" s="72" t="str">
        <x:v>由共享基础引擎判定</x:v>
      </x:c>
      <x:c r="Q15" s="72" t="str">
        <x:v>由共享基础引擎判定</x:v>
      </x:c>
      <x:c r="R15" s="72" t="str">
        <x:v>喜忌不直接等于冲突方式好坏；只修正调用顺畅度、资源压力和状态切换。</x:v>
      </x:c>
      <x:c r="S15" s="72" t="str">
        <x:v>原十神性质有效；真合化成立时按化神所属功能系统重建。</x:v>
      </x:c>
      <x:c r="T15" s="72" t="str">
        <x:v>由共享基础引擎判定</x:v>
      </x:c>
      <x:c r="U15" s="72" t="str">
        <x:v>89</x:v>
      </x:c>
      <x:c r="V15" s="72" t="str">
        <x:v>不加分；说明／路由</x:v>
      </x:c>
      <x:c r="W15" s="72" t="str">
        <x:v>boundary_note</x:v>
      </x:c>
      <x:c r="X15" s="72" t="str">
        <x:v>默认冲突方式是描述性事实，不是最适合用户的关系方案。</x:v>
      </x:c>
      <x:c r="Y15" s="72" t="str">
        <x:v>你习惯怎样处理分歧，会影响适配，但不能直接当成最适合你的相处答案。</x:v>
      </x:c>
      <x:c r="Z1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5" s="72" t="str">
        <x:v>高</x:v>
      </x:c>
      <x:c r="AB15" s="72" t="str">
        <x:v>待验证</x:v>
      </x:c>
      <x:c r="AC15" s="72" t="str"/>
      <x:c r="AD15" s="72" t="str">
        <x:v>provisional=true; rule_group=CONFLICT-定义边界</x:v>
      </x:c>
      <x:c r="AE15" s="73" t="str">
        <x:v>0.6</x:v>
      </x:c>
    </x:row>
    <x:row r="16">
      <x:c r="A16" s="71" t="str">
        <x:v>M3-CONFLICT-012</x:v>
      </x:c>
      <x:c r="B16" s="72" t="str">
        <x:v>事实、情绪、立场、责任和方案必须分层</x:v>
      </x:c>
      <x:c r="C16" s="72" t="str">
        <x:v>L0 模型边界与证据</x:v>
      </x:c>
      <x:c r="D16" s="72" t="str">
        <x:v>CONFLICT-定义边界</x:v>
      </x:c>
      <x:c r="E16" s="72" t="str">
        <x:v>通用</x:v>
      </x:c>
      <x:c r="F16" s="72" t="str">
        <x:v>证据合同</x:v>
      </x:c>
      <x:c r="G16" s="72" t="str">
        <x:v>M3-CONFLICT模块规则</x:v>
      </x:c>
      <x:c r="H16" s="72" t="str"/>
      <x:c r="I16" s="72" t="str">
        <x:v>存在多个冲突信息维度。</x:v>
      </x:c>
      <x:c r="J16" s="72" t="str">
        <x:v>基础信号未定；真合化后原信号已失效；只有单一弱远争议信号；或该结论会越界到M4风险、M5适配。</x:v>
      </x:c>
      <x:c r="K16" s="72" t="str">
        <x:v>由共享基础引擎与M3-STATE修正；日主承载只修正冲突处理的可执行性，不直接等于强硬或软弱。</x:v>
      </x:c>
      <x:c r="L16" s="72" t="str">
        <x:v>不限定；夫妻星只在责任、行动、投入等冲突议题中参与接口，不作为CONFLICT唯一主轴。</x:v>
      </x:c>
      <x:c r="M16" s="72" t="str">
        <x:v>由M3-BASE、日支主气及宫位动态提供；不得把日支直接写成配偶性格。</x:v>
      </x:c>
      <x:c r="N16" s="72" t="str">
        <x:v>无／待CONFLICT顺序与路径规则组合</x:v>
      </x:c>
      <x:c r="O16" s="72" t="str">
        <x:v>日柱与日支近位优先；全局有效独立信号可作次通道。</x:v>
      </x:c>
      <x:c r="P16" s="72" t="str">
        <x:v>由共享基础引擎判定</x:v>
      </x:c>
      <x:c r="Q16" s="72" t="str">
        <x:v>由共享基础引擎判定</x:v>
      </x:c>
      <x:c r="R16" s="72" t="str">
        <x:v>喜忌不直接等于冲突方式好坏；只修正调用顺畅度、资源压力和状态切换。</x:v>
      </x:c>
      <x:c r="S16" s="72" t="str">
        <x:v>原十神性质有效；真合化成立时按化神所属功能系统重建。</x:v>
      </x:c>
      <x:c r="T16" s="72" t="str">
        <x:v>由共享基础引擎判定</x:v>
      </x:c>
      <x:c r="U16" s="72" t="str">
        <x:v>88</x:v>
      </x:c>
      <x:c r="V16" s="72" t="str">
        <x:v>不加分；说明／路由</x:v>
      </x:c>
      <x:c r="W16" s="72" t="str">
        <x:v>attention_focus</x:v>
      </x:c>
      <x:c r="X16" s="72" t="str">
        <x:v>五类信息可以有先后和分工，不能被压成“会不会沟通”一个标签。</x:v>
      </x:c>
      <x:c r="Y16" s="72" t="str">
        <x:v>分析时会区分：你先看事实、先处理感受、先说明立场、先核对责任，还是先形成方案。</x:v>
      </x:c>
      <x:c r="Z1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6" s="72" t="str">
        <x:v>高</x:v>
      </x:c>
      <x:c r="AB16" s="72" t="str">
        <x:v>待验证</x:v>
      </x:c>
      <x:c r="AC16" s="72" t="str"/>
      <x:c r="AD16" s="72" t="str">
        <x:v>provisional=true; rule_group=CONFLICT-定义边界</x:v>
      </x:c>
      <x:c r="AE16" s="73" t="str">
        <x:v>0.6</x:v>
      </x:c>
    </x:row>
    <x:row r="17">
      <x:c r="A17" s="71" t="str">
        <x:v>M3-CONFLICT-013</x:v>
      </x:c>
      <x:c r="B17" s="72" t="str">
        <x:v>第一反应不等于最终处理方式</x:v>
      </x:c>
      <x:c r="C17" s="72" t="str">
        <x:v>L0 模型边界与证据</x:v>
      </x:c>
      <x:c r="D17" s="72" t="str">
        <x:v>CONFLICT-定义边界</x:v>
      </x:c>
      <x:c r="E17" s="72" t="str">
        <x:v>通用</x:v>
      </x:c>
      <x:c r="F17" s="72" t="str">
        <x:v>证据合同</x:v>
      </x:c>
      <x:c r="G17" s="72" t="str">
        <x:v>M3-CONFLICT模块规则</x:v>
      </x:c>
      <x:c r="H17" s="72" t="str"/>
      <x:c r="I17" s="72" t="str">
        <x:v>压力下第一通道与后续通道不同。</x:v>
      </x:c>
      <x:c r="J17" s="72" t="str">
        <x:v>基础信号未定；真合化后原信号已失效；只有单一弱远争议信号；或该结论会越界到M4风险、M5适配。</x:v>
      </x:c>
      <x:c r="K17" s="72" t="str">
        <x:v>由共享基础引擎与M3-STATE修正；日主承载只修正冲突处理的可执行性，不直接等于强硬或软弱。</x:v>
      </x:c>
      <x:c r="L17" s="72" t="str">
        <x:v>不限定；夫妻星只在责任、行动、投入等冲突议题中参与接口，不作为CONFLICT唯一主轴。</x:v>
      </x:c>
      <x:c r="M17" s="72" t="str">
        <x:v>由M3-BASE、日支主气及宫位动态提供；不得把日支直接写成配偶性格。</x:v>
      </x:c>
      <x:c r="N17" s="72" t="str">
        <x:v>无／待CONFLICT顺序与路径规则组合</x:v>
      </x:c>
      <x:c r="O17" s="72" t="str">
        <x:v>日柱与日支近位优先；全局有效独立信号可作次通道。</x:v>
      </x:c>
      <x:c r="P17" s="72" t="str">
        <x:v>由共享基础引擎判定</x:v>
      </x:c>
      <x:c r="Q17" s="72" t="str">
        <x:v>由共享基础引擎判定</x:v>
      </x:c>
      <x:c r="R17" s="72" t="str">
        <x:v>喜忌不直接等于冲突方式好坏；只修正调用顺畅度、资源压力和状态切换。</x:v>
      </x:c>
      <x:c r="S17" s="72" t="str">
        <x:v>原十神性质有效；真合化成立时按化神所属功能系统重建。</x:v>
      </x:c>
      <x:c r="T17" s="72" t="str">
        <x:v>由共享基础引擎判定</x:v>
      </x:c>
      <x:c r="U17" s="72" t="str">
        <x:v>87</x:v>
      </x:c>
      <x:c r="V17" s="72" t="str">
        <x:v>不加分；说明／路由</x:v>
      </x:c>
      <x:c r="W17" s="72" t="str">
        <x:v>first_response</x:v>
      </x:c>
      <x:c r="X17" s="72" t="str">
        <x:v>CONFLICT必须同时记录启动通道和后续完成通道。</x:v>
      </x:c>
      <x:c r="Y17" s="72" t="str">
        <x:v>你最先做的事，不一定就是你最后用来解决问题的方式；两者会分开写。</x:v>
      </x:c>
      <x:c r="Z1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7" s="72" t="str">
        <x:v>高</x:v>
      </x:c>
      <x:c r="AB17" s="72" t="str">
        <x:v>待验证</x:v>
      </x:c>
      <x:c r="AC17" s="72" t="str"/>
      <x:c r="AD17" s="72" t="str">
        <x:v>provisional=true; rule_group=CONFLICT-定义边界</x:v>
      </x:c>
      <x:c r="AE17" s="73" t="str">
        <x:v>0.6</x:v>
      </x:c>
    </x:row>
    <x:row r="18">
      <x:c r="A18" s="71" t="str">
        <x:v>M3-CONFLICT-014</x:v>
      </x:c>
      <x:c r="B18" s="72" t="str">
        <x:v>暂停不等于冷战</x:v>
      </x:c>
      <x:c r="C18" s="72" t="str">
        <x:v>L0 模型边界与证据</x:v>
      </x:c>
      <x:c r="D18" s="72" t="str">
        <x:v>CONFLICT-定义边界</x:v>
      </x:c>
      <x:c r="E18" s="72" t="str">
        <x:v>通用</x:v>
      </x:c>
      <x:c r="F18" s="72" t="str">
        <x:v>禁止误读</x:v>
      </x:c>
      <x:c r="G18" s="72" t="str">
        <x:v>M3-CONFLICT模块规则</x:v>
      </x:c>
      <x:c r="H18" s="72" t="str"/>
      <x:c r="I18" s="72" t="str">
        <x:v>出现短暂停顿、内部整理或任务处理后回归。</x:v>
      </x:c>
      <x:c r="J18" s="72" t="str">
        <x:v>基础信号未定；真合化后原信号已失效；只有单一弱远争议信号；或该结论会越界到M4风险、M5适配。</x:v>
      </x:c>
      <x:c r="K18" s="72" t="str">
        <x:v>由共享基础引擎与M3-STATE修正；日主承载只修正冲突处理的可执行性，不直接等于强硬或软弱。</x:v>
      </x:c>
      <x:c r="L18" s="72" t="str">
        <x:v>不限定；夫妻星只在责任、行动、投入等冲突议题中参与接口，不作为CONFLICT唯一主轴。</x:v>
      </x:c>
      <x:c r="M18" s="72" t="str">
        <x:v>由M3-BASE、日支主气及宫位动态提供；不得把日支直接写成配偶性格。</x:v>
      </x:c>
      <x:c r="N18" s="72" t="str">
        <x:v>无／待CONFLICT顺序与路径规则组合</x:v>
      </x:c>
      <x:c r="O18" s="72" t="str">
        <x:v>日柱与日支近位优先；全局有效独立信号可作次通道。</x:v>
      </x:c>
      <x:c r="P18" s="72" t="str">
        <x:v>由共享基础引擎判定</x:v>
      </x:c>
      <x:c r="Q18" s="72" t="str">
        <x:v>由共享基础引擎判定</x:v>
      </x:c>
      <x:c r="R18" s="72" t="str">
        <x:v>喜忌不直接等于冲突方式好坏；只修正调用顺畅度、资源压力和状态切换。</x:v>
      </x:c>
      <x:c r="S18" s="72" t="str">
        <x:v>原十神性质有效；真合化成立时按化神所属功能系统重建。</x:v>
      </x:c>
      <x:c r="T18" s="72" t="str">
        <x:v>由共享基础引擎判定</x:v>
      </x:c>
      <x:c r="U18" s="72" t="str">
        <x:v>86</x:v>
      </x:c>
      <x:c r="V18" s="72" t="str">
        <x:v>不加分；说明／路由</x:v>
      </x:c>
      <x:c r="W18" s="72" t="str">
        <x:v>pause_style</x:v>
      </x:c>
      <x:c r="X18" s="72" t="str">
        <x:v>只有存在明确暂停目的和回归路径时，才能写成暂停；是否冷战需M4和行为证据。</x:v>
      </x:c>
      <x:c r="Y18" s="72" t="str">
        <x:v>你可能需要停一下整理信息或降低强度；只要仍有回到问题的路径，就不能直接把它写成冷战。</x:v>
      </x:c>
      <x:c r="Z1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8" s="72" t="str">
        <x:v>高</x:v>
      </x:c>
      <x:c r="AB18" s="72" t="str">
        <x:v>待验证</x:v>
      </x:c>
      <x:c r="AC18" s="72" t="str"/>
      <x:c r="AD18" s="72" t="str">
        <x:v>provisional=true; rule_group=CONFLICT-定义边界</x:v>
      </x:c>
      <x:c r="AE18" s="73" t="str">
        <x:v>0.6</x:v>
      </x:c>
    </x:row>
    <x:row r="19">
      <x:c r="A19" s="71" t="str">
        <x:v>M3-CONFLICT-015</x:v>
      </x:c>
      <x:c r="B19" s="72" t="str">
        <x:v>直接表达不等于攻击</x:v>
      </x:c>
      <x:c r="C19" s="72" t="str">
        <x:v>L0 模型边界与证据</x:v>
      </x:c>
      <x:c r="D19" s="72" t="str">
        <x:v>CONFLICT-定义边界</x:v>
      </x:c>
      <x:c r="E19" s="72" t="str">
        <x:v>通用</x:v>
      </x:c>
      <x:c r="F19" s="72" t="str">
        <x:v>禁止误读</x:v>
      </x:c>
      <x:c r="G19" s="72" t="str">
        <x:v>M3-CONFLICT模块规则</x:v>
      </x:c>
      <x:c r="H19" s="72" t="str"/>
      <x:c r="I19" s="72" t="str">
        <x:v>伤官、比肩、官杀等表达直接。</x:v>
      </x:c>
      <x:c r="J19" s="72" t="str">
        <x:v>基础信号未定；真合化后原信号已失效；只有单一弱远争议信号；或该结论会越界到M4风险、M5适配。</x:v>
      </x:c>
      <x:c r="K19" s="72" t="str">
        <x:v>由共享基础引擎与M3-STATE修正；日主承载只修正冲突处理的可执行性，不直接等于强硬或软弱。</x:v>
      </x:c>
      <x:c r="L19" s="72" t="str">
        <x:v>不限定；夫妻星只在责任、行动、投入等冲突议题中参与接口，不作为CONFLICT唯一主轴。</x:v>
      </x:c>
      <x:c r="M19" s="72" t="str">
        <x:v>由M3-BASE、日支主气及宫位动态提供；不得把日支直接写成配偶性格。</x:v>
      </x:c>
      <x:c r="N19" s="72" t="str">
        <x:v>无／待CONFLICT顺序与路径规则组合</x:v>
      </x:c>
      <x:c r="O19" s="72" t="str">
        <x:v>日柱与日支近位优先；全局有效独立信号可作次通道。</x:v>
      </x:c>
      <x:c r="P19" s="72" t="str">
        <x:v>由共享基础引擎判定</x:v>
      </x:c>
      <x:c r="Q19" s="72" t="str">
        <x:v>由共享基础引擎判定</x:v>
      </x:c>
      <x:c r="R19" s="72" t="str">
        <x:v>喜忌不直接等于冲突方式好坏；只修正调用顺畅度、资源压力和状态切换。</x:v>
      </x:c>
      <x:c r="S19" s="72" t="str">
        <x:v>原十神性质有效；真合化成立时按化神所属功能系统重建。</x:v>
      </x:c>
      <x:c r="T19" s="72" t="str">
        <x:v>由共享基础引擎判定</x:v>
      </x:c>
      <x:c r="U19" s="72" t="str">
        <x:v>85</x:v>
      </x:c>
      <x:c r="V19" s="72" t="str">
        <x:v>不加分；说明／路由</x:v>
      </x:c>
      <x:c r="W19" s="72" t="str">
        <x:v>boundary_note</x:v>
      </x:c>
      <x:c r="X19" s="72" t="str">
        <x:v>直接性只说明信息外显度与立场清晰度，不说明语气、尊重和伤害结果。</x:v>
      </x:c>
      <x:c r="Y19" s="72" t="str">
        <x:v>你可能倾向把问题说得直接，但这不自动等于攻击或不顾感受。</x:v>
      </x:c>
      <x:c r="Z1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9" s="72" t="str">
        <x:v>高</x:v>
      </x:c>
      <x:c r="AB19" s="72" t="str">
        <x:v>待验证</x:v>
      </x:c>
      <x:c r="AC19" s="72" t="str"/>
      <x:c r="AD19" s="72" t="str">
        <x:v>provisional=true; rule_group=CONFLICT-定义边界</x:v>
      </x:c>
      <x:c r="AE19" s="73" t="str">
        <x:v>0.6</x:v>
      </x:c>
    </x:row>
    <x:row r="20">
      <x:c r="A20" s="71" t="str">
        <x:v>M3-CONFLICT-016</x:v>
      </x:c>
      <x:c r="B20" s="72" t="str">
        <x:v>解决问题不等于忽略感受</x:v>
      </x:c>
      <x:c r="C20" s="72" t="str">
        <x:v>L0 模型边界与证据</x:v>
      </x:c>
      <x:c r="D20" s="72" t="str">
        <x:v>CONFLICT-定义边界</x:v>
      </x:c>
      <x:c r="E20" s="72" t="str">
        <x:v>通用</x:v>
      </x:c>
      <x:c r="F20" s="72" t="str">
        <x:v>禁止误读</x:v>
      </x:c>
      <x:c r="G20" s="72" t="str">
        <x:v>M3-CONFLICT模块规则</x:v>
      </x:c>
      <x:c r="H20" s="72" t="str"/>
      <x:c r="I20" s="72" t="str">
        <x:v>财官杀先处理现实、责任或行动。</x:v>
      </x:c>
      <x:c r="J20" s="72" t="str">
        <x:v>基础信号未定；真合化后原信号已失效；只有单一弱远争议信号；或该结论会越界到M4风险、M5适配。</x:v>
      </x:c>
      <x:c r="K20" s="72" t="str">
        <x:v>由共享基础引擎与M3-STATE修正；日主承载只修正冲突处理的可执行性，不直接等于强硬或软弱。</x:v>
      </x:c>
      <x:c r="L20" s="72" t="str">
        <x:v>不限定；夫妻星只在责任、行动、投入等冲突议题中参与接口，不作为CONFLICT唯一主轴。</x:v>
      </x:c>
      <x:c r="M20" s="72" t="str">
        <x:v>由M3-BASE、日支主气及宫位动态提供；不得把日支直接写成配偶性格。</x:v>
      </x:c>
      <x:c r="N20" s="72" t="str">
        <x:v>无／待CONFLICT顺序与路径规则组合</x:v>
      </x:c>
      <x:c r="O20" s="72" t="str">
        <x:v>日柱与日支近位优先；全局有效独立信号可作次通道。</x:v>
      </x:c>
      <x:c r="P20" s="72" t="str">
        <x:v>由共享基础引擎判定</x:v>
      </x:c>
      <x:c r="Q20" s="72" t="str">
        <x:v>由共享基础引擎判定</x:v>
      </x:c>
      <x:c r="R20" s="72" t="str">
        <x:v>喜忌不直接等于冲突方式好坏；只修正调用顺畅度、资源压力和状态切换。</x:v>
      </x:c>
      <x:c r="S20" s="72" t="str">
        <x:v>原十神性质有效；真合化成立时按化神所属功能系统重建。</x:v>
      </x:c>
      <x:c r="T20" s="72" t="str">
        <x:v>由共享基础引擎判定</x:v>
      </x:c>
      <x:c r="U20" s="72" t="str">
        <x:v>84</x:v>
      </x:c>
      <x:c r="V20" s="72" t="str">
        <x:v>不加分；说明／路由</x:v>
      </x:c>
      <x:c r="W20" s="72" t="str">
        <x:v>fact_emotion_order</x:v>
      </x:c>
      <x:c r="X20" s="72" t="str">
        <x:v>先处理问题可能只是顺序；是否长期跳过感受要结合印食伤及真实案例。</x:v>
      </x:c>
      <x:c r="Y20" s="72" t="str">
        <x:v>你可能先把具体问题处理好，再回到情绪沟通；这不能单独解释为不在意感受。</x:v>
      </x:c>
      <x:c r="Z2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0" s="72" t="str">
        <x:v>高</x:v>
      </x:c>
      <x:c r="AB20" s="72" t="str">
        <x:v>待验证</x:v>
      </x:c>
      <x:c r="AC20" s="72" t="str"/>
      <x:c r="AD20" s="72" t="str">
        <x:v>provisional=true; rule_group=CONFLICT-定义边界</x:v>
      </x:c>
      <x:c r="AE20" s="73" t="str">
        <x:v>0.6</x:v>
      </x:c>
    </x:row>
    <x:row r="21">
      <x:c r="A21" s="71" t="str">
        <x:v>M3-CONFLICT-017</x:v>
      </x:c>
      <x:c r="B21" s="72" t="str">
        <x:v>倾听理解不等于没有立场</x:v>
      </x:c>
      <x:c r="C21" s="72" t="str">
        <x:v>L0 模型边界与证据</x:v>
      </x:c>
      <x:c r="D21" s="72" t="str">
        <x:v>CONFLICT-定义边界</x:v>
      </x:c>
      <x:c r="E21" s="72" t="str">
        <x:v>通用</x:v>
      </x:c>
      <x:c r="F21" s="72" t="str">
        <x:v>禁止误读</x:v>
      </x:c>
      <x:c r="G21" s="72" t="str">
        <x:v>M3-CONFLICT模块规则</x:v>
      </x:c>
      <x:c r="H21" s="72" t="str"/>
      <x:c r="I21" s="72" t="str">
        <x:v>印星通道先听、先承接。</x:v>
      </x:c>
      <x:c r="J21" s="72" t="str">
        <x:v>基础信号未定；真合化后原信号已失效；只有单一弱远争议信号；或该结论会越界到M4风险、M5适配。</x:v>
      </x:c>
      <x:c r="K21" s="72" t="str">
        <x:v>由共享基础引擎与M3-STATE修正；日主承载只修正冲突处理的可执行性，不直接等于强硬或软弱。</x:v>
      </x:c>
      <x:c r="L21" s="72" t="str">
        <x:v>不限定；夫妻星只在责任、行动、投入等冲突议题中参与接口，不作为CONFLICT唯一主轴。</x:v>
      </x:c>
      <x:c r="M21" s="72" t="str">
        <x:v>由M3-BASE、日支主气及宫位动态提供；不得把日支直接写成配偶性格。</x:v>
      </x:c>
      <x:c r="N21" s="72" t="str">
        <x:v>无／待CONFLICT顺序与路径规则组合</x:v>
      </x:c>
      <x:c r="O21" s="72" t="str">
        <x:v>日柱与日支近位优先；全局有效独立信号可作次通道。</x:v>
      </x:c>
      <x:c r="P21" s="72" t="str">
        <x:v>由共享基础引擎判定</x:v>
      </x:c>
      <x:c r="Q21" s="72" t="str">
        <x:v>由共享基础引擎判定</x:v>
      </x:c>
      <x:c r="R21" s="72" t="str">
        <x:v>喜忌不直接等于冲突方式好坏；只修正调用顺畅度、资源压力和状态切换。</x:v>
      </x:c>
      <x:c r="S21" s="72" t="str">
        <x:v>原十神性质有效；真合化成立时按化神所属功能系统重建。</x:v>
      </x:c>
      <x:c r="T21" s="72" t="str">
        <x:v>由共享基础引擎判定</x:v>
      </x:c>
      <x:c r="U21" s="72" t="str">
        <x:v>83</x:v>
      </x:c>
      <x:c r="V21" s="72" t="str">
        <x:v>不加分；说明／路由</x:v>
      </x:c>
      <x:c r="W21" s="72" t="str">
        <x:v>response_reception</x:v>
      </x:c>
      <x:c r="X21" s="72" t="str">
        <x:v>倾听是信息获取与降温方式，不等于放弃自己的判断。</x:v>
      </x:c>
      <x:c r="Y21" s="72" t="str">
        <x:v>你可能先把对方听明白，再形成自己的回应；这不代表你没有立场。</x:v>
      </x:c>
      <x:c r="Z2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1" s="72" t="str">
        <x:v>高</x:v>
      </x:c>
      <x:c r="AB21" s="72" t="str">
        <x:v>待验证</x:v>
      </x:c>
      <x:c r="AC21" s="72" t="str"/>
      <x:c r="AD21" s="72" t="str">
        <x:v>provisional=true; rule_group=CONFLICT-定义边界</x:v>
      </x:c>
      <x:c r="AE21" s="73" t="str">
        <x:v>0.6</x:v>
      </x:c>
    </x:row>
    <x:row r="22">
      <x:c r="A22" s="71" t="str">
        <x:v>M3-CONFLICT-018</x:v>
      </x:c>
      <x:c r="B22" s="72" t="str">
        <x:v>妥协与协商必须区分</x:v>
      </x:c>
      <x:c r="C22" s="72" t="str">
        <x:v>L0 模型边界与证据</x:v>
      </x:c>
      <x:c r="D22" s="72" t="str">
        <x:v>CONFLICT-定义边界</x:v>
      </x:c>
      <x:c r="E22" s="72" t="str">
        <x:v>通用</x:v>
      </x:c>
      <x:c r="F22" s="72" t="str">
        <x:v>证据合同</x:v>
      </x:c>
      <x:c r="G22" s="72" t="str">
        <x:v>M3-CONFLICT模块规则</x:v>
      </x:c>
      <x:c r="H22" s="72" t="str"/>
      <x:c r="I22" s="72" t="str">
        <x:v>出现调整方案、角色分工或资源重排。</x:v>
      </x:c>
      <x:c r="J22" s="72" t="str">
        <x:v>基础信号未定；真合化后原信号已失效；只有单一弱远争议信号；或该结论会越界到M4风险、M5适配。</x:v>
      </x:c>
      <x:c r="K22" s="72" t="str">
        <x:v>由共享基础引擎与M3-STATE修正；日主承载只修正冲突处理的可执行性，不直接等于强硬或软弱。</x:v>
      </x:c>
      <x:c r="L22" s="72" t="str">
        <x:v>不限定；夫妻星只在责任、行动、投入等冲突议题中参与接口，不作为CONFLICT唯一主轴。</x:v>
      </x:c>
      <x:c r="M22" s="72" t="str">
        <x:v>由M3-BASE、日支主气及宫位动态提供；不得把日支直接写成配偶性格。</x:v>
      </x:c>
      <x:c r="N22" s="72" t="str">
        <x:v>无／待CONFLICT顺序与路径规则组合</x:v>
      </x:c>
      <x:c r="O22" s="72" t="str">
        <x:v>日柱与日支近位优先；全局有效独立信号可作次通道。</x:v>
      </x:c>
      <x:c r="P22" s="72" t="str">
        <x:v>由共享基础引擎判定</x:v>
      </x:c>
      <x:c r="Q22" s="72" t="str">
        <x:v>由共享基础引擎判定</x:v>
      </x:c>
      <x:c r="R22" s="72" t="str">
        <x:v>喜忌不直接等于冲突方式好坏；只修正调用顺畅度、资源压力和状态切换。</x:v>
      </x:c>
      <x:c r="S22" s="72" t="str">
        <x:v>原十神性质有效；真合化成立时按化神所属功能系统重建。</x:v>
      </x:c>
      <x:c r="T22" s="72" t="str">
        <x:v>由共享基础引擎判定</x:v>
      </x:c>
      <x:c r="U22" s="72" t="str">
        <x:v>82</x:v>
      </x:c>
      <x:c r="V22" s="72" t="str">
        <x:v>不加分；说明／路由</x:v>
      </x:c>
      <x:c r="W22" s="72" t="str">
        <x:v>solution_style</x:v>
      </x:c>
      <x:c r="X22" s="72" t="str">
        <x:v>协商应保留双方信息与选择；单方退让需真实行为证据，不能由十神直接推出。</x:v>
      </x:c>
      <x:c r="Y22" s="72" t="str">
        <x:v>你愿意调整方案，不等于总是退让；需要看调整是否仍保留双方参与。</x:v>
      </x:c>
      <x:c r="Z2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2" s="72" t="str">
        <x:v>高</x:v>
      </x:c>
      <x:c r="AB22" s="72" t="str">
        <x:v>待验证</x:v>
      </x:c>
      <x:c r="AC22" s="72" t="str"/>
      <x:c r="AD22" s="72" t="str">
        <x:v>provisional=true; rule_group=CONFLICT-定义边界</x:v>
      </x:c>
      <x:c r="AE22" s="73" t="str">
        <x:v>0.6</x:v>
      </x:c>
    </x:row>
    <x:row r="23">
      <x:c r="A23" s="71" t="str">
        <x:v>M3-CONFLICT-019</x:v>
      </x:c>
      <x:c r="B23" s="72" t="str">
        <x:v>同源证据只计一次</x:v>
      </x:c>
      <x:c r="C23" s="72" t="str">
        <x:v>L0 模型边界与证据</x:v>
      </x:c>
      <x:c r="D23" s="72" t="str">
        <x:v>CONFLICT-定义边界</x:v>
      </x:c>
      <x:c r="E23" s="72" t="str">
        <x:v>通用</x:v>
      </x:c>
      <x:c r="F23" s="72" t="str">
        <x:v>去重合同</x:v>
      </x:c>
      <x:c r="G23" s="72" t="str">
        <x:v>M3-CONFLICT模块规则</x:v>
      </x:c>
      <x:c r="H23" s="72" t="str"/>
      <x:c r="I23" s="72" t="str">
        <x:v>同一日支、同根透藏或同一十神事实被BASE、EXPR、BOUND和CONFLICT多次读取。</x:v>
      </x:c>
      <x:c r="J23" s="72" t="str">
        <x:v>基础信号未定；真合化后原信号已失效；只有单一弱远争议信号；或该结论会越界到M4风险、M5适配。</x:v>
      </x:c>
      <x:c r="K23" s="72" t="str">
        <x:v>由共享基础引擎与M3-STATE修正；日主承载只修正冲突处理的可执行性，不直接等于强硬或软弱。</x:v>
      </x:c>
      <x:c r="L23" s="72" t="str">
        <x:v>不限定；夫妻星只在责任、行动、投入等冲突议题中参与接口，不作为CONFLICT唯一主轴。</x:v>
      </x:c>
      <x:c r="M23" s="72" t="str">
        <x:v>由M3-BASE、日支主气及宫位动态提供；不得把日支直接写成配偶性格。</x:v>
      </x:c>
      <x:c r="N23" s="72" t="str">
        <x:v>无／待CONFLICT顺序与路径规则组合</x:v>
      </x:c>
      <x:c r="O23" s="72" t="str">
        <x:v>日柱与日支近位优先；全局有效独立信号可作次通道。</x:v>
      </x:c>
      <x:c r="P23" s="72" t="str">
        <x:v>由共享基础引擎判定</x:v>
      </x:c>
      <x:c r="Q23" s="72" t="str">
        <x:v>由共享基础引擎判定</x:v>
      </x:c>
      <x:c r="R23" s="72" t="str">
        <x:v>喜忌不直接等于冲突方式好坏；只修正调用顺畅度、资源压力和状态切换。</x:v>
      </x:c>
      <x:c r="S23" s="72" t="str">
        <x:v>原十神性质有效；真合化成立时按化神所属功能系统重建。</x:v>
      </x:c>
      <x:c r="T23" s="72" t="str">
        <x:v>由共享基础引擎判定</x:v>
      </x:c>
      <x:c r="U23" s="72" t="str">
        <x:v>81</x:v>
      </x:c>
      <x:c r="V23" s="72" t="str">
        <x:v>不加分；说明／路由</x:v>
      </x:c>
      <x:c r="W23" s="72" t="str">
        <x:v>provenance</x:v>
      </x:c>
      <x:c r="X23" s="72" t="str">
        <x:v>同一个source_id只能计算一次基础权重，各模块仅做功能翻译。</x:v>
      </x:c>
      <x:c r="Y23" s="72" t="str">
        <x:v>同一个命理事实可以从不同角度解释，但不会因为被多个模块读到就重复抬高结论。</x:v>
      </x:c>
      <x:c r="Z2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3" s="72" t="str">
        <x:v>高</x:v>
      </x:c>
      <x:c r="AB23" s="72" t="str">
        <x:v>待验证</x:v>
      </x:c>
      <x:c r="AC23" s="72" t="str"/>
      <x:c r="AD23" s="72" t="str">
        <x:v>provisional=true; rule_group=CONFLICT-定义边界</x:v>
      </x:c>
      <x:c r="AE23" s="73" t="str">
        <x:v>0.6</x:v>
      </x:c>
    </x:row>
    <x:row r="24">
      <x:c r="A24" s="71" t="str">
        <x:v>M3-CONFLICT-020</x:v>
      </x:c>
      <x:c r="B24" s="72" t="str">
        <x:v>证据不足时停止或回退</x:v>
      </x:c>
      <x:c r="C24" s="72" t="str">
        <x:v>L0 模型边界与证据</x:v>
      </x:c>
      <x:c r="D24" s="72" t="str">
        <x:v>CONFLICT-定义边界</x:v>
      </x:c>
      <x:c r="E24" s="72" t="str">
        <x:v>通用</x:v>
      </x:c>
      <x:c r="F24" s="72" t="str">
        <x:v>停止合同</x:v>
      </x:c>
      <x:c r="G24" s="72" t="str">
        <x:v>M3-CONFLICT模块规则</x:v>
      </x:c>
      <x:c r="H24" s="72" t="str"/>
      <x:c r="I24" s="72" t="str">
        <x:v>基础十神、主次、合化、宫位动态或有效路径存在争议。</x:v>
      </x:c>
      <x:c r="J24" s="72" t="str">
        <x:v>基础信号未定；真合化后原信号已失效；只有单一弱远争议信号；或该结论会越界到M4风险、M5适配。</x:v>
      </x:c>
      <x:c r="K24" s="72" t="str">
        <x:v>由共享基础引擎与M3-STATE修正；日主承载只修正冲突处理的可执行性，不直接等于强硬或软弱。</x:v>
      </x:c>
      <x:c r="L24" s="72" t="str">
        <x:v>不限定；夫妻星只在责任、行动、投入等冲突议题中参与接口，不作为CONFLICT唯一主轴。</x:v>
      </x:c>
      <x:c r="M24" s="72" t="str">
        <x:v>由M3-BASE、日支主气及宫位动态提供；不得把日支直接写成配偶性格。</x:v>
      </x:c>
      <x:c r="N24" s="72" t="str">
        <x:v>无／待CONFLICT顺序与路径规则组合</x:v>
      </x:c>
      <x:c r="O24" s="72" t="str">
        <x:v>日柱与日支近位优先；全局有效独立信号可作次通道。</x:v>
      </x:c>
      <x:c r="P24" s="72" t="str">
        <x:v>由共享基础引擎判定</x:v>
      </x:c>
      <x:c r="Q24" s="72" t="str">
        <x:v>由共享基础引擎判定</x:v>
      </x:c>
      <x:c r="R24" s="72" t="str">
        <x:v>喜忌不直接等于冲突方式好坏；只修正调用顺畅度、资源压力和状态切换。</x:v>
      </x:c>
      <x:c r="S24" s="72" t="str">
        <x:v>原十神性质有效；真合化成立时按化神所属功能系统重建。</x:v>
      </x:c>
      <x:c r="T24" s="72" t="str">
        <x:v>由共享基础引擎判定</x:v>
      </x:c>
      <x:c r="U24" s="72" t="str">
        <x:v>80</x:v>
      </x:c>
      <x:c r="V24" s="72" t="str">
        <x:v>不加分；说明／路由</x:v>
      </x:c>
      <x:c r="W24" s="72" t="str">
        <x:v>report_status</x:v>
      </x:c>
      <x:c r="X24" s="72" t="str">
        <x:v>优先回退到五类功能系统；仍不足时停止固定冲突模式。</x:v>
      </x:c>
      <x:c r="Y24" s="72" t="str">
        <x:v>资料不足时，只会保留“更偏向沟通／行动／承接”等系统方向，不会硬写你一定怎样争执。</x:v>
      </x:c>
      <x:c r="Z2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4" s="72" t="str">
        <x:v>高</x:v>
      </x:c>
      <x:c r="AB24" s="72" t="str">
        <x:v>待验证</x:v>
      </x:c>
      <x:c r="AC24" s="72" t="str"/>
      <x:c r="AD24" s="72" t="str">
        <x:v>provisional=true; rule_group=CONFLICT-定义边界</x:v>
      </x:c>
      <x:c r="AE24" s="73" t="str">
        <x:v>0.6</x:v>
      </x:c>
    </x:row>
    <x:row r="25">
      <x:c r="A25" s="71" t="str">
        <x:v>M3-CONFLICT-021</x:v>
      </x:c>
      <x:c r="B25" s="72" t="str">
        <x:v>CF01 比肩｜平等立场通道定义</x:v>
      </x:c>
      <x:c r="C25" s="72" t="str">
        <x:v>L1 十神冲突通道</x:v>
      </x:c>
      <x:c r="D25" s="72" t="str">
        <x:v>CONFLICT-CF01-比肩平等立场</x:v>
      </x:c>
      <x:c r="E25" s="72" t="str">
        <x:v>通用</x:v>
      </x:c>
      <x:c r="F25" s="72" t="str">
        <x:v>通道定义</x:v>
      </x:c>
      <x:c r="G25" s="72" t="str">
        <x:v>比肩</x:v>
      </x:c>
      <x:c r="H25" s="72" t="str"/>
      <x:c r="I25" s="72" t="str">
        <x:v>比肩形成有效独立信号，且未因真合化失效；至少有日支／日柱、近位有根或现实重复行为中的一类可靠证据。</x:v>
      </x:c>
      <x:c r="J25" s="72" t="str">
        <x:v>基础信号未定；真合化后原信号已失效；只有单一弱远争议信号；或该结论会越界到M4风险、M5适配。</x:v>
      </x:c>
      <x:c r="K25" s="72" t="str">
        <x:v>由共享基础引擎与M3-STATE修正；日主承载只修正冲突处理的可执行性，不直接等于强硬或软弱。</x:v>
      </x:c>
      <x:c r="L25" s="72" t="str">
        <x:v>不限定；夫妻星只在责任、行动、投入等冲突议题中参与接口，不作为CONFLICT唯一主轴。</x:v>
      </x:c>
      <x:c r="M25" s="72" t="str">
        <x:v>由M3-BASE、日支主气及宫位动态提供；不得把日支直接写成配偶性格。</x:v>
      </x:c>
      <x:c r="N25" s="72" t="str">
        <x:v>无／待CONFLICT顺序与路径规则组合</x:v>
      </x:c>
      <x:c r="O25" s="72" t="str">
        <x:v>日柱与日支近位优先；全局有效独立信号可作次通道。</x:v>
      </x:c>
      <x:c r="P25" s="72" t="str">
        <x:v>由共享基础引擎判定</x:v>
      </x:c>
      <x:c r="Q25" s="72" t="str">
        <x:v>由共享基础引擎判定</x:v>
      </x:c>
      <x:c r="R25" s="72" t="str">
        <x:v>喜忌不直接等于冲突方式好坏；只修正调用顺畅度、资源压力和状态切换。</x:v>
      </x:c>
      <x:c r="S25" s="72" t="str">
        <x:v>原十神性质有效；真合化成立时按化神所属功能系统重建。</x:v>
      </x:c>
      <x:c r="T25" s="72" t="str">
        <x:v>由共享基础引擎判定</x:v>
      </x:c>
      <x:c r="U25" s="72" t="str">
        <x:v>75</x:v>
      </x:c>
      <x:c r="V25" s="72" t="str">
        <x:v>通道候选 +10</x:v>
      </x:c>
      <x:c r="W25" s="72" t="str">
        <x:v>primary_conflict_channel</x:v>
      </x:c>
      <x:c r="X25" s="72" t="str">
        <x:v>比肩在CONFLICT中主要负责：以平等、各自负责和保留双方决定权的方式处理分歧。</x:v>
      </x:c>
      <x:c r="Y25" s="72" t="str">
        <x:v>分歧出现时，你更容易先把自己的立场说清，也希望对方明确表达，而不是靠猜测完成沟通。</x:v>
      </x:c>
      <x:c r="Z2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5" s="72" t="str">
        <x:v>中高</x:v>
      </x:c>
      <x:c r="AB25" s="72" t="str">
        <x:v>待验证</x:v>
      </x:c>
      <x:c r="AC25" s="72" t="str"/>
      <x:c r="AD25" s="72" t="str">
        <x:v>provisional=true; channel=CF01; ten_god=比肩</x:v>
      </x:c>
      <x:c r="AE25" s="73" t="str">
        <x:v>0.6</x:v>
      </x:c>
    </x:row>
    <x:row r="26">
      <x:c r="A26" s="71" t="str">
        <x:v>M3-CONFLICT-022</x:v>
      </x:c>
      <x:c r="B26" s="72" t="str">
        <x:v>CF01 比肩｜第一反应</x:v>
      </x:c>
      <x:c r="C26" s="72" t="str">
        <x:v>L1 十神冲突通道</x:v>
      </x:c>
      <x:c r="D26" s="72" t="str">
        <x:v>CONFLICT-CF01-比肩平等立场</x:v>
      </x:c>
      <x:c r="E26" s="72" t="str">
        <x:v>通用</x:v>
      </x:c>
      <x:c r="F26" s="72" t="str">
        <x:v>第一反应</x:v>
      </x:c>
      <x:c r="G26" s="72" t="str">
        <x:v>比肩</x:v>
      </x:c>
      <x:c r="H26" s="72" t="str"/>
      <x:c r="I26" s="72" t="str">
        <x:v>比肩形成有效独立信号，且未因真合化失效；至少有日支／日柱、近位有根或现实重复行为中的一类可靠证据。</x:v>
      </x:c>
      <x:c r="J26" s="72" t="str">
        <x:v>基础信号未定；真合化后原信号已失效；只有单一弱远争议信号；或该结论会越界到M4风险、M5适配。</x:v>
      </x:c>
      <x:c r="K26" s="72" t="str">
        <x:v>由共享基础引擎与M3-STATE修正；日主承载只修正冲突处理的可执行性，不直接等于强硬或软弱。</x:v>
      </x:c>
      <x:c r="L26" s="72" t="str">
        <x:v>不限定；夫妻星只在责任、行动、投入等冲突议题中参与接口，不作为CONFLICT唯一主轴。</x:v>
      </x:c>
      <x:c r="M26" s="72" t="str">
        <x:v>由M3-BASE、日支主气及宫位动态提供；不得把日支直接写成配偶性格。</x:v>
      </x:c>
      <x:c r="N26" s="72" t="str">
        <x:v>无／待CONFLICT顺序与路径规则组合</x:v>
      </x:c>
      <x:c r="O26" s="72" t="str">
        <x:v>日柱与日支近位优先；全局有效独立信号可作次通道。</x:v>
      </x:c>
      <x:c r="P26" s="72" t="str">
        <x:v>由共享基础引擎判定</x:v>
      </x:c>
      <x:c r="Q26" s="72" t="str">
        <x:v>由共享基础引擎判定</x:v>
      </x:c>
      <x:c r="R26" s="72" t="str">
        <x:v>喜忌不直接等于冲突方式好坏；只修正调用顺畅度、资源压力和状态切换。</x:v>
      </x:c>
      <x:c r="S26" s="72" t="str">
        <x:v>原十神性质有效；真合化成立时按化神所属功能系统重建。</x:v>
      </x:c>
      <x:c r="T26" s="72" t="str">
        <x:v>由共享基础引擎判定</x:v>
      </x:c>
      <x:c r="U26" s="72" t="str">
        <x:v>72</x:v>
      </x:c>
      <x:c r="V26" s="72" t="str">
        <x:v>第一反应候选 +6</x:v>
      </x:c>
      <x:c r="W26" s="72" t="str">
        <x:v>first_response</x:v>
      </x:c>
      <x:c r="X26" s="72" t="str">
        <x:v>先说明自己的立场，也要求对方把立场和责任说清楚</x:v>
      </x:c>
      <x:c r="Y26" s="72" t="str">
        <x:v>分歧刚出现时，你更可能先说明自己的立场，也要求对方把立场和责任说清楚。</x:v>
      </x:c>
      <x:c r="Z2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6" s="72" t="str">
        <x:v>中</x:v>
      </x:c>
      <x:c r="AB26" s="72" t="str">
        <x:v>待验证</x:v>
      </x:c>
      <x:c r="AC26" s="72" t="str"/>
      <x:c r="AD26" s="72" t="str">
        <x:v>provisional=true; channel=CF01; ten_god=比肩</x:v>
      </x:c>
      <x:c r="AE26" s="73" t="str">
        <x:v>0.6</x:v>
      </x:c>
    </x:row>
    <x:row r="27">
      <x:c r="A27" s="71" t="str">
        <x:v>M3-CONFLICT-023</x:v>
      </x:c>
      <x:c r="B27" s="72" t="str">
        <x:v>CF01 比肩｜注意焦点</x:v>
      </x:c>
      <x:c r="C27" s="72" t="str">
        <x:v>L1 十神冲突通道</x:v>
      </x:c>
      <x:c r="D27" s="72" t="str">
        <x:v>CONFLICT-CF01-比肩平等立场</x:v>
      </x:c>
      <x:c r="E27" s="72" t="str">
        <x:v>通用</x:v>
      </x:c>
      <x:c r="F27" s="72" t="str">
        <x:v>信息焦点</x:v>
      </x:c>
      <x:c r="G27" s="72" t="str">
        <x:v>比肩</x:v>
      </x:c>
      <x:c r="H27" s="72" t="str"/>
      <x:c r="I27" s="72" t="str">
        <x:v>比肩形成有效独立信号，且未因真合化失效；至少有日支／日柱、近位有根或现实重复行为中的一类可靠证据。</x:v>
      </x:c>
      <x:c r="J27" s="72" t="str">
        <x:v>基础信号未定；真合化后原信号已失效；只有单一弱远争议信号；或该结论会越界到M4风险、M5适配。</x:v>
      </x:c>
      <x:c r="K27" s="72" t="str">
        <x:v>由共享基础引擎与M3-STATE修正；日主承载只修正冲突处理的可执行性，不直接等于强硬或软弱。</x:v>
      </x:c>
      <x:c r="L27" s="72" t="str">
        <x:v>不限定；夫妻星只在责任、行动、投入等冲突议题中参与接口，不作为CONFLICT唯一主轴。</x:v>
      </x:c>
      <x:c r="M27" s="72" t="str">
        <x:v>由M3-BASE、日支主气及宫位动态提供；不得把日支直接写成配偶性格。</x:v>
      </x:c>
      <x:c r="N27" s="72" t="str">
        <x:v>无／待CONFLICT顺序与路径规则组合</x:v>
      </x:c>
      <x:c r="O27" s="72" t="str">
        <x:v>日柱与日支近位优先；全局有效独立信号可作次通道。</x:v>
      </x:c>
      <x:c r="P27" s="72" t="str">
        <x:v>由共享基础引擎判定</x:v>
      </x:c>
      <x:c r="Q27" s="72" t="str">
        <x:v>由共享基础引擎判定</x:v>
      </x:c>
      <x:c r="R27" s="72" t="str">
        <x:v>喜忌不直接等于冲突方式好坏；只修正调用顺畅度、资源压力和状态切换。</x:v>
      </x:c>
      <x:c r="S27" s="72" t="str">
        <x:v>原十神性质有效；真合化成立时按化神所属功能系统重建。</x:v>
      </x:c>
      <x:c r="T27" s="72" t="str">
        <x:v>由共享基础引擎判定</x:v>
      </x:c>
      <x:c r="U27" s="72" t="str">
        <x:v>70</x:v>
      </x:c>
      <x:c r="V27" s="72" t="str">
        <x:v>焦点候选 +5</x:v>
      </x:c>
      <x:c r="W27" s="72" t="str">
        <x:v>attention_focus</x:v>
      </x:c>
      <x:c r="X27" s="72" t="str">
        <x:v>该通道首先读取：双方立场、决定权、公平性和各自应承担的部分。</x:v>
      </x:c>
      <x:c r="Y27" s="72" t="str">
        <x:v>你在分歧中会特别注意双方立场、决定权、公平性和各自应承担的部分。</x:v>
      </x:c>
      <x:c r="Z2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7" s="72" t="str">
        <x:v>中</x:v>
      </x:c>
      <x:c r="AB27" s="72" t="str">
        <x:v>待验证</x:v>
      </x:c>
      <x:c r="AC27" s="72" t="str"/>
      <x:c r="AD27" s="72" t="str">
        <x:v>provisional=true; channel=CF01; ten_god=比肩</x:v>
      </x:c>
      <x:c r="AE27" s="73" t="str">
        <x:v>0.6</x:v>
      </x:c>
    </x:row>
    <x:row r="28">
      <x:c r="A28" s="71" t="str">
        <x:v>M3-CONFLICT-024</x:v>
      </x:c>
      <x:c r="B28" s="72" t="str">
        <x:v>CF01 比肩｜阶段结束条件</x:v>
      </x:c>
      <x:c r="C28" s="72" t="str">
        <x:v>L1 十神冲突通道</x:v>
      </x:c>
      <x:c r="D28" s="72" t="str">
        <x:v>CONFLICT-CF01-比肩平等立场</x:v>
      </x:c>
      <x:c r="E28" s="72" t="str">
        <x:v>通用</x:v>
      </x:c>
      <x:c r="F28" s="72" t="str">
        <x:v>结束条件</x:v>
      </x:c>
      <x:c r="G28" s="72" t="str">
        <x:v>比肩</x:v>
      </x:c>
      <x:c r="H28" s="72" t="str"/>
      <x:c r="I28" s="72" t="str">
        <x:v>比肩形成有效独立信号，且未因真合化失效；至少有日支／日柱、近位有根或现实重复行为中的一类可靠证据。</x:v>
      </x:c>
      <x:c r="J28" s="72" t="str">
        <x:v>基础信号未定；真合化后原信号已失效；只有单一弱远争议信号；或该结论会越界到M4风险、M5适配。</x:v>
      </x:c>
      <x:c r="K28" s="72" t="str">
        <x:v>由共享基础引擎与M3-STATE修正；日主承载只修正冲突处理的可执行性，不直接等于强硬或软弱。</x:v>
      </x:c>
      <x:c r="L28" s="72" t="str">
        <x:v>不限定；夫妻星只在责任、行动、投入等冲突议题中参与接口，不作为CONFLICT唯一主轴。</x:v>
      </x:c>
      <x:c r="M28" s="72" t="str">
        <x:v>由M3-BASE、日支主气及宫位动态提供；不得把日支直接写成配偶性格。</x:v>
      </x:c>
      <x:c r="N28" s="72" t="str">
        <x:v>无／待CONFLICT顺序与路径规则组合</x:v>
      </x:c>
      <x:c r="O28" s="72" t="str">
        <x:v>日柱与日支近位优先；全局有效独立信号可作次通道。</x:v>
      </x:c>
      <x:c r="P28" s="72" t="str">
        <x:v>由共享基础引擎判定</x:v>
      </x:c>
      <x:c r="Q28" s="72" t="str">
        <x:v>由共享基础引擎判定</x:v>
      </x:c>
      <x:c r="R28" s="72" t="str">
        <x:v>喜忌不直接等于冲突方式好坏；只修正调用顺畅度、资源压力和状态切换。</x:v>
      </x:c>
      <x:c r="S28" s="72" t="str">
        <x:v>原十神性质有效；真合化成立时按化神所属功能系统重建。</x:v>
      </x:c>
      <x:c r="T28" s="72" t="str">
        <x:v>由共享基础引擎判定</x:v>
      </x:c>
      <x:c r="U28" s="72" t="str">
        <x:v>68</x:v>
      </x:c>
      <x:c r="V28" s="72" t="str">
        <x:v>结束条件候选 +5</x:v>
      </x:c>
      <x:c r="W28" s="72" t="str">
        <x:v>conflict_end_condition</x:v>
      </x:c>
      <x:c r="X28" s="72" t="str">
        <x:v>在双方都保留参与权的前提下形成可执行共识</x:v>
      </x:c>
      <x:c r="Y28" s="72" t="str">
        <x:v>对你来说，这一轮分歧更容易在“在双方都保留参与权的前提下形成可执行共识”之后暂时告一段落。</x:v>
      </x:c>
      <x:c r="Z2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8" s="72" t="str">
        <x:v>中</x:v>
      </x:c>
      <x:c r="AB28" s="72" t="str">
        <x:v>待验证</x:v>
      </x:c>
      <x:c r="AC28" s="72" t="str"/>
      <x:c r="AD28" s="72" t="str">
        <x:v>provisional=true; channel=CF01; ten_god=比肩</x:v>
      </x:c>
      <x:c r="AE28" s="73" t="str">
        <x:v>0.6</x:v>
      </x:c>
    </x:row>
    <x:row r="29">
      <x:c r="A29" s="71" t="str">
        <x:v>M3-CONFLICT-025</x:v>
      </x:c>
      <x:c r="B29" s="72" t="str">
        <x:v>CF01 比肩｜弱远或条件性调用</x:v>
      </x:c>
      <x:c r="C29" s="72" t="str">
        <x:v>L1 十神冲突通道</x:v>
      </x:c>
      <x:c r="D29" s="72" t="str">
        <x:v>CONFLICT-CF01-比肩平等立场</x:v>
      </x:c>
      <x:c r="E29" s="72" t="str">
        <x:v>通用</x:v>
      </x:c>
      <x:c r="F29" s="72" t="str">
        <x:v>条件修正</x:v>
      </x:c>
      <x:c r="G29" s="72" t="str">
        <x:v>比肩</x:v>
      </x:c>
      <x:c r="H29" s="72" t="str"/>
      <x:c r="I29" s="72" t="str">
        <x:v>比肩偏弱、远位、无根，或只有单一间接证据。</x:v>
      </x:c>
      <x:c r="J29" s="72" t="str">
        <x:v>基础信号未定；真合化后原信号已失效；只有单一弱远争议信号；或该结论会越界到M4风险、M5适配。</x:v>
      </x:c>
      <x:c r="K29" s="72" t="str">
        <x:v>由共享基础引擎与M3-STATE修正；日主承载只修正冲突处理的可执行性，不直接等于强硬或软弱。</x:v>
      </x:c>
      <x:c r="L29" s="72" t="str">
        <x:v>不限定；夫妻星只在责任、行动、投入等冲突议题中参与接口，不作为CONFLICT唯一主轴。</x:v>
      </x:c>
      <x:c r="M29" s="72" t="str">
        <x:v>由M3-BASE、日支主气及宫位动态提供；不得把日支直接写成配偶性格。</x:v>
      </x:c>
      <x:c r="N29" s="72" t="str">
        <x:v>无／待CONFLICT顺序与路径规则组合</x:v>
      </x:c>
      <x:c r="O29" s="72" t="str">
        <x:v>日柱与日支近位优先；全局有效独立信号可作次通道。</x:v>
      </x:c>
      <x:c r="P29" s="72" t="str">
        <x:v>由共享基础引擎判定</x:v>
      </x:c>
      <x:c r="Q29" s="72" t="str">
        <x:v>由共享基础引擎判定</x:v>
      </x:c>
      <x:c r="R29" s="72" t="str">
        <x:v>喜忌不直接等于冲突方式好坏；只修正调用顺畅度、资源压力和状态切换。</x:v>
      </x:c>
      <x:c r="S29" s="72" t="str">
        <x:v>原十神性质有效；真合化成立时按化神所属功能系统重建。</x:v>
      </x:c>
      <x:c r="T29" s="72" t="str">
        <x:v>由共享基础引擎判定</x:v>
      </x:c>
      <x:c r="U29" s="72" t="str">
        <x:v>60</x:v>
      </x:c>
      <x:c r="V29" s="72" t="str">
        <x:v>候选 +2；降置信</x:v>
      </x:c>
      <x:c r="W29" s="72" t="str">
        <x:v>secondary_conflict_channel</x:v>
      </x:c>
      <x:c r="X29" s="72" t="str">
        <x:v>信号偏弱或远位时，只能说明你重视平等，不能直接写成每次都能坚持或说清立场。</x:v>
      </x:c>
      <x:c r="Y29" s="72" t="str">
        <x:v>信号偏弱或远位时，只能说明你重视平等，不能直接写成每次都能坚持或说清立场。</x:v>
      </x:c>
      <x:c r="Z2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9" s="72" t="str">
        <x:v>中低</x:v>
      </x:c>
      <x:c r="AB29" s="72" t="str">
        <x:v>待验证</x:v>
      </x:c>
      <x:c r="AC29" s="72" t="str"/>
      <x:c r="AD29" s="72" t="str">
        <x:v>provisional=true; channel=CF01; ten_god=比肩</x:v>
      </x:c>
      <x:c r="AE29" s="73" t="str">
        <x:v>0.6</x:v>
      </x:c>
    </x:row>
    <x:row r="30">
      <x:c r="A30" s="71" t="str">
        <x:v>M3-CONFLICT-026</x:v>
      </x:c>
      <x:c r="B30" s="72" t="str">
        <x:v>CF01 比肩｜压力下抢先或切换</x:v>
      </x:c>
      <x:c r="C30" s="72" t="str">
        <x:v>L1 十神冲突通道</x:v>
      </x:c>
      <x:c r="D30" s="72" t="str">
        <x:v>CONFLICT-CF01-比肩平等立场</x:v>
      </x:c>
      <x:c r="E30" s="72" t="str">
        <x:v>通用</x:v>
      </x:c>
      <x:c r="F30" s="72" t="str">
        <x:v>压力修正</x:v>
      </x:c>
      <x:c r="G30" s="72" t="str">
        <x:v>比肩</x:v>
      </x:c>
      <x:c r="H30" s="72" t="str"/>
      <x:c r="I30" s="72" t="str">
        <x:v>比肩过旺、强而无制，或M3-STATE显示该通道在压力状态被放大。</x:v>
      </x:c>
      <x:c r="J30" s="72" t="str">
        <x:v>基础信号未定；真合化后原信号已失效；只有单一弱远争议信号；或该结论会越界到M4风险、M5适配。</x:v>
      </x:c>
      <x:c r="K30" s="72" t="str">
        <x:v>由共享基础引擎与M3-STATE修正；日主承载只修正冲突处理的可执行性，不直接等于强硬或软弱。</x:v>
      </x:c>
      <x:c r="L30" s="72" t="str">
        <x:v>不限定；夫妻星只在责任、行动、投入等冲突议题中参与接口，不作为CONFLICT唯一主轴。</x:v>
      </x:c>
      <x:c r="M30" s="72" t="str">
        <x:v>由M3-BASE、日支主气及宫位动态提供；不得把日支直接写成配偶性格。</x:v>
      </x:c>
      <x:c r="N30" s="72" t="str">
        <x:v>无／待CONFLICT顺序与路径规则组合</x:v>
      </x:c>
      <x:c r="O30" s="72" t="str">
        <x:v>日柱与日支近位优先；全局有效独立信号可作次通道。</x:v>
      </x:c>
      <x:c r="P30" s="72" t="str">
        <x:v>由共享基础引擎判定</x:v>
      </x:c>
      <x:c r="Q30" s="72" t="str">
        <x:v>由共享基础引擎判定</x:v>
      </x:c>
      <x:c r="R30" s="72" t="str">
        <x:v>喜忌不直接等于冲突方式好坏；只修正调用顺畅度、资源压力和状态切换。</x:v>
      </x:c>
      <x:c r="S30" s="72" t="str">
        <x:v>原十神性质有效；真合化成立时按化神所属功能系统重建。</x:v>
      </x:c>
      <x:c r="T30" s="72" t="str">
        <x:v>由共享基础引擎判定</x:v>
      </x:c>
      <x:c r="U30" s="72" t="str">
        <x:v>66</x:v>
      </x:c>
      <x:c r="V30" s="72" t="str">
        <x:v>压力通道 +5；路由STATE/M4</x:v>
      </x:c>
      <x:c r="W30" s="72" t="str">
        <x:v>state_shift</x:v>
      </x:c>
      <x:c r="X30" s="72" t="str">
        <x:v>压力增加时，立场与自主权更容易抢先进入注意范围；是否变成僵持需交给M4。</x:v>
      </x:c>
      <x:c r="Y30" s="72" t="str">
        <x:v>压力增加时，立场与自主权更容易抢先进入注意范围；是否变成僵持需交给M4。</x:v>
      </x:c>
      <x:c r="Z3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30" s="72" t="str">
        <x:v>中</x:v>
      </x:c>
      <x:c r="AB30" s="72" t="str">
        <x:v>待验证</x:v>
      </x:c>
      <x:c r="AC30" s="72" t="str"/>
      <x:c r="AD30" s="72" t="str">
        <x:v>provisional=true; channel=CF01; ten_god=比肩</x:v>
      </x:c>
      <x:c r="AE30" s="73" t="str">
        <x:v>0.6</x:v>
      </x:c>
    </x:row>
    <x:row r="31">
      <x:c r="A31" s="71" t="str">
        <x:v>M3-CONFLICT-027</x:v>
      </x:c>
      <x:c r="B31" s="72" t="str">
        <x:v>CF01 比肩｜禁止人格化和结果化</x:v>
      </x:c>
      <x:c r="C31" s="72" t="str">
        <x:v>L1 十神冲突通道</x:v>
      </x:c>
      <x:c r="D31" s="72" t="str">
        <x:v>CONFLICT-CF01-比肩平等立场</x:v>
      </x:c>
      <x:c r="E31" s="72" t="str">
        <x:v>通用</x:v>
      </x:c>
      <x:c r="F31" s="72" t="str">
        <x:v>禁止推断</x:v>
      </x:c>
      <x:c r="G31" s="72" t="str">
        <x:v>比肩</x:v>
      </x:c>
      <x:c r="H31" s="72" t="str"/>
      <x:c r="I31" s="72" t="str">
        <x:v>比肩冲突通道被识别。</x:v>
      </x:c>
      <x:c r="J31" s="72" t="str">
        <x:v>基础信号未定；真合化后原信号已失效；只有单一弱远争议信号；或该结论会越界到M4风险、M5适配。</x:v>
      </x:c>
      <x:c r="K31" s="72" t="str">
        <x:v>由共享基础引擎与M3-STATE修正；日主承载只修正冲突处理的可执行性，不直接等于强硬或软弱。</x:v>
      </x:c>
      <x:c r="L31" s="72" t="str">
        <x:v>不限定；夫妻星只在责任、行动、投入等冲突议题中参与接口，不作为CONFLICT唯一主轴。</x:v>
      </x:c>
      <x:c r="M31" s="72" t="str">
        <x:v>由M3-BASE、日支主气及宫位动态提供；不得把日支直接写成配偶性格。</x:v>
      </x:c>
      <x:c r="N31" s="72" t="str">
        <x:v>无／待CONFLICT顺序与路径规则组合</x:v>
      </x:c>
      <x:c r="O31" s="72" t="str">
        <x:v>日柱与日支近位优先；全局有效独立信号可作次通道。</x:v>
      </x:c>
      <x:c r="P31" s="72" t="str">
        <x:v>由共享基础引擎判定</x:v>
      </x:c>
      <x:c r="Q31" s="72" t="str">
        <x:v>由共享基础引擎判定</x:v>
      </x:c>
      <x:c r="R31" s="72" t="str">
        <x:v>喜忌不直接等于冲突方式好坏；只修正调用顺畅度、资源压力和状态切换。</x:v>
      </x:c>
      <x:c r="S31" s="72" t="str">
        <x:v>原十神性质有效；真合化成立时按化神所属功能系统重建。</x:v>
      </x:c>
      <x:c r="T31" s="72" t="str">
        <x:v>由共享基础引擎判定</x:v>
      </x:c>
      <x:c r="U31" s="72" t="str">
        <x:v>90</x:v>
      </x:c>
      <x:c r="V31" s="72" t="str">
        <x:v>不加分；边界检查</x:v>
      </x:c>
      <x:c r="W31" s="72" t="str">
        <x:v>boundary_note</x:v>
      </x:c>
      <x:c r="X31" s="72" t="str">
        <x:v>不得直接写成固执、争强、好胜或不肯妥协。</x:v>
      </x:c>
      <x:c r="Y31" s="72" t="str">
        <x:v>不得直接写成固执、争强、好胜或不肯妥协，这里只描述处理顺序。</x:v>
      </x:c>
      <x:c r="Z3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不得直接写成固执、争强、好胜或不肯妥协。</x:v>
      </x:c>
      <x:c r="AA31" s="72" t="str">
        <x:v>高</x:v>
      </x:c>
      <x:c r="AB31" s="72" t="str">
        <x:v>待验证</x:v>
      </x:c>
      <x:c r="AC31" s="72" t="str"/>
      <x:c r="AD31" s="72" t="str">
        <x:v>provisional=true; channel=CF01; ten_god=比肩</x:v>
      </x:c>
      <x:c r="AE31" s="73" t="str">
        <x:v>0.6</x:v>
      </x:c>
    </x:row>
    <x:row r="32">
      <x:c r="A32" s="71" t="str">
        <x:v>M3-CONFLICT-028</x:v>
      </x:c>
      <x:c r="B32" s="72" t="str">
        <x:v>CF02 劫财｜即时介入通道定义</x:v>
      </x:c>
      <x:c r="C32" s="72" t="str">
        <x:v>L1 十神冲突通道</x:v>
      </x:c>
      <x:c r="D32" s="72" t="str">
        <x:v>CONFLICT-CF02-劫财即时介入</x:v>
      </x:c>
      <x:c r="E32" s="72" t="str">
        <x:v>通用</x:v>
      </x:c>
      <x:c r="F32" s="72" t="str">
        <x:v>通道定义</x:v>
      </x:c>
      <x:c r="G32" s="72" t="str">
        <x:v>劫财</x:v>
      </x:c>
      <x:c r="H32" s="72" t="str"/>
      <x:c r="I32" s="72" t="str">
        <x:v>劫财形成有效独立信号，且未因真合化失效；至少有日支／日柱、近位有根或现实重复行为中的一类可靠证据。</x:v>
      </x:c>
      <x:c r="J32" s="72" t="str">
        <x:v>基础信号未定；真合化后原信号已失效；只有单一弱远争议信号；或该结论会越界到M4风险、M5适配。</x:v>
      </x:c>
      <x:c r="K32" s="72" t="str">
        <x:v>由共享基础引擎与M3-STATE修正；日主承载只修正冲突处理的可执行性，不直接等于强硬或软弱。</x:v>
      </x:c>
      <x:c r="L32" s="72" t="str">
        <x:v>不限定；夫妻星只在责任、行动、投入等冲突议题中参与接口，不作为CONFLICT唯一主轴。</x:v>
      </x:c>
      <x:c r="M32" s="72" t="str">
        <x:v>由M3-BASE、日支主气及宫位动态提供；不得把日支直接写成配偶性格。</x:v>
      </x:c>
      <x:c r="N32" s="72" t="str">
        <x:v>无／待CONFLICT顺序与路径规则组合</x:v>
      </x:c>
      <x:c r="O32" s="72" t="str">
        <x:v>日柱与日支近位优先；全局有效独立信号可作次通道。</x:v>
      </x:c>
      <x:c r="P32" s="72" t="str">
        <x:v>由共享基础引擎判定</x:v>
      </x:c>
      <x:c r="Q32" s="72" t="str">
        <x:v>由共享基础引擎判定</x:v>
      </x:c>
      <x:c r="R32" s="72" t="str">
        <x:v>喜忌不直接等于冲突方式好坏；只修正调用顺畅度、资源压力和状态切换。</x:v>
      </x:c>
      <x:c r="S32" s="72" t="str">
        <x:v>原十神性质有效；真合化成立时按化神所属功能系统重建。</x:v>
      </x:c>
      <x:c r="T32" s="72" t="str">
        <x:v>由共享基础引擎判定</x:v>
      </x:c>
      <x:c r="U32" s="72" t="str">
        <x:v>75</x:v>
      </x:c>
      <x:c r="V32" s="72" t="str">
        <x:v>通道候选 +10</x:v>
      </x:c>
      <x:c r="W32" s="72" t="str">
        <x:v>primary_conflict_channel</x:v>
      </x:c>
      <x:c r="X32" s="72" t="str">
        <x:v>劫财在CONFLICT中主要负责：通过快速回应、共同参与和边处理边沟通进入分歧。</x:v>
      </x:c>
      <x:c r="Y32" s="72" t="str">
        <x:v>你更容易在问题出现时快速进入现场，边回应、边协作、边调整，而不是长时间停在抽象讨论里。</x:v>
      </x:c>
      <x:c r="Z3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32" s="72" t="str">
        <x:v>中高</x:v>
      </x:c>
      <x:c r="AB32" s="72" t="str">
        <x:v>待验证</x:v>
      </x:c>
      <x:c r="AC32" s="72" t="str"/>
      <x:c r="AD32" s="72" t="str">
        <x:v>provisional=true; channel=CF02; ten_god=劫财</x:v>
      </x:c>
      <x:c r="AE32" s="73" t="str">
        <x:v>0.6</x:v>
      </x:c>
    </x:row>
    <x:row r="33">
      <x:c r="A33" s="71" t="str">
        <x:v>M3-CONFLICT-029</x:v>
      </x:c>
      <x:c r="B33" s="72" t="str">
        <x:v>CF02 劫财｜第一反应</x:v>
      </x:c>
      <x:c r="C33" s="72" t="str">
        <x:v>L1 十神冲突通道</x:v>
      </x:c>
      <x:c r="D33" s="72" t="str">
        <x:v>CONFLICT-CF02-劫财即时介入</x:v>
      </x:c>
      <x:c r="E33" s="72" t="str">
        <x:v>通用</x:v>
      </x:c>
      <x:c r="F33" s="72" t="str">
        <x:v>第一反应</x:v>
      </x:c>
      <x:c r="G33" s="72" t="str">
        <x:v>劫财</x:v>
      </x:c>
      <x:c r="H33" s="72" t="str"/>
      <x:c r="I33" s="72" t="str">
        <x:v>劫财形成有效独立信号，且未因真合化失效；至少有日支／日柱、近位有根或现实重复行为中的一类可靠证据。</x:v>
      </x:c>
      <x:c r="J33" s="72" t="str">
        <x:v>基础信号未定；真合化后原信号已失效；只有单一弱远争议信号；或该结论会越界到M4风险、M5适配。</x:v>
      </x:c>
      <x:c r="K33" s="72" t="str">
        <x:v>由共享基础引擎与M3-STATE修正；日主承载只修正冲突处理的可执行性，不直接等于强硬或软弱。</x:v>
      </x:c>
      <x:c r="L33" s="72" t="str">
        <x:v>不限定；夫妻星只在责任、行动、投入等冲突议题中参与接口，不作为CONFLICT唯一主轴。</x:v>
      </x:c>
      <x:c r="M33" s="72" t="str">
        <x:v>由M3-BASE、日支主气及宫位动态提供；不得把日支直接写成配偶性格。</x:v>
      </x:c>
      <x:c r="N33" s="72" t="str">
        <x:v>无／待CONFLICT顺序与路径规则组合</x:v>
      </x:c>
      <x:c r="O33" s="72" t="str">
        <x:v>日柱与日支近位优先；全局有效独立信号可作次通道。</x:v>
      </x:c>
      <x:c r="P33" s="72" t="str">
        <x:v>由共享基础引擎判定</x:v>
      </x:c>
      <x:c r="Q33" s="72" t="str">
        <x:v>由共享基础引擎判定</x:v>
      </x:c>
      <x:c r="R33" s="72" t="str">
        <x:v>喜忌不直接等于冲突方式好坏；只修正调用顺畅度、资源压力和状态切换。</x:v>
      </x:c>
      <x:c r="S33" s="72" t="str">
        <x:v>原十神性质有效；真合化成立时按化神所属功能系统重建。</x:v>
      </x:c>
      <x:c r="T33" s="72" t="str">
        <x:v>由共享基础引擎判定</x:v>
      </x:c>
      <x:c r="U33" s="72" t="str">
        <x:v>72</x:v>
      </x:c>
      <x:c r="V33" s="72" t="str">
        <x:v>第一反应候选 +6</x:v>
      </x:c>
      <x:c r="W33" s="72" t="str">
        <x:v>first_response</x:v>
      </x:c>
      <x:c r="X33" s="72" t="str">
        <x:v>先介入现场、提出即时回应或拉着对方一起处理</x:v>
      </x:c>
      <x:c r="Y33" s="72" t="str">
        <x:v>分歧刚出现时，你更可能先介入现场、提出即时回应或拉着对方一起处理。</x:v>
      </x:c>
      <x:c r="Z3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33" s="72" t="str">
        <x:v>中</x:v>
      </x:c>
      <x:c r="AB33" s="72" t="str">
        <x:v>待验证</x:v>
      </x:c>
      <x:c r="AC33" s="72" t="str"/>
      <x:c r="AD33" s="72" t="str">
        <x:v>provisional=true; channel=CF02; ten_god=劫财</x:v>
      </x:c>
      <x:c r="AE33" s="73" t="str">
        <x:v>0.6</x:v>
      </x:c>
    </x:row>
    <x:row r="34">
      <x:c r="A34" s="71" t="str">
        <x:v>M3-CONFLICT-030</x:v>
      </x:c>
      <x:c r="B34" s="72" t="str">
        <x:v>CF02 劫财｜注意焦点</x:v>
      </x:c>
      <x:c r="C34" s="72" t="str">
        <x:v>L1 十神冲突通道</x:v>
      </x:c>
      <x:c r="D34" s="72" t="str">
        <x:v>CONFLICT-CF02-劫财即时介入</x:v>
      </x:c>
      <x:c r="E34" s="72" t="str">
        <x:v>通用</x:v>
      </x:c>
      <x:c r="F34" s="72" t="str">
        <x:v>信息焦点</x:v>
      </x:c>
      <x:c r="G34" s="72" t="str">
        <x:v>劫财</x:v>
      </x:c>
      <x:c r="H34" s="72" t="str"/>
      <x:c r="I34" s="72" t="str">
        <x:v>劫财形成有效独立信号，且未因真合化失效；至少有日支／日柱、近位有根或现实重复行为中的一类可靠证据。</x:v>
      </x:c>
      <x:c r="J34" s="72" t="str">
        <x:v>基础信号未定；真合化后原信号已失效；只有单一弱远争议信号；或该结论会越界到M4风险、M5适配。</x:v>
      </x:c>
      <x:c r="K34" s="72" t="str">
        <x:v>由共享基础引擎与M3-STATE修正；日主承载只修正冲突处理的可执行性，不直接等于强硬或软弱。</x:v>
      </x:c>
      <x:c r="L34" s="72" t="str">
        <x:v>不限定；夫妻星只在责任、行动、投入等冲突议题中参与接口，不作为CONFLICT唯一主轴。</x:v>
      </x:c>
      <x:c r="M34" s="72" t="str">
        <x:v>由M3-BASE、日支主气及宫位动态提供；不得把日支直接写成配偶性格。</x:v>
      </x:c>
      <x:c r="N34" s="72" t="str">
        <x:v>无／待CONFLICT顺序与路径规则组合</x:v>
      </x:c>
      <x:c r="O34" s="72" t="str">
        <x:v>日柱与日支近位优先；全局有效独立信号可作次通道。</x:v>
      </x:c>
      <x:c r="P34" s="72" t="str">
        <x:v>由共享基础引擎判定</x:v>
      </x:c>
      <x:c r="Q34" s="72" t="str">
        <x:v>由共享基础引擎判定</x:v>
      </x:c>
      <x:c r="R34" s="72" t="str">
        <x:v>喜忌不直接等于冲突方式好坏；只修正调用顺畅度、资源压力和状态切换。</x:v>
      </x:c>
      <x:c r="S34" s="72" t="str">
        <x:v>原十神性质有效；真合化成立时按化神所属功能系统重建。</x:v>
      </x:c>
      <x:c r="T34" s="72" t="str">
        <x:v>由共享基础引擎判定</x:v>
      </x:c>
      <x:c r="U34" s="72" t="str">
        <x:v>70</x:v>
      </x:c>
      <x:c r="V34" s="72" t="str">
        <x:v>焦点候选 +5</x:v>
      </x:c>
      <x:c r="W34" s="72" t="str">
        <x:v>attention_focus</x:v>
      </x:c>
      <x:c r="X34" s="72" t="str">
        <x:v>该通道首先读取：当前局面、双方参与、资源调动和马上能做的事。</x:v>
      </x:c>
      <x:c r="Y34" s="72" t="str">
        <x:v>你在分歧中会特别注意当前局面、双方参与、资源调动和马上能做的事。</x:v>
      </x:c>
      <x:c r="Z3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34" s="72" t="str">
        <x:v>中</x:v>
      </x:c>
      <x:c r="AB34" s="72" t="str">
        <x:v>待验证</x:v>
      </x:c>
      <x:c r="AC34" s="72" t="str"/>
      <x:c r="AD34" s="72" t="str">
        <x:v>provisional=true; channel=CF02; ten_god=劫财</x:v>
      </x:c>
      <x:c r="AE34" s="73" t="str">
        <x:v>0.6</x:v>
      </x:c>
    </x:row>
    <x:row r="35">
      <x:c r="A35" s="71" t="str">
        <x:v>M3-CONFLICT-031</x:v>
      </x:c>
      <x:c r="B35" s="72" t="str">
        <x:v>CF02 劫财｜阶段结束条件</x:v>
      </x:c>
      <x:c r="C35" s="72" t="str">
        <x:v>L1 十神冲突通道</x:v>
      </x:c>
      <x:c r="D35" s="72" t="str">
        <x:v>CONFLICT-CF02-劫财即时介入</x:v>
      </x:c>
      <x:c r="E35" s="72" t="str">
        <x:v>通用</x:v>
      </x:c>
      <x:c r="F35" s="72" t="str">
        <x:v>结束条件</x:v>
      </x:c>
      <x:c r="G35" s="72" t="str">
        <x:v>劫财</x:v>
      </x:c>
      <x:c r="H35" s="72" t="str"/>
      <x:c r="I35" s="72" t="str">
        <x:v>劫财形成有效独立信号，且未因真合化失效；至少有日支／日柱、近位有根或现实重复行为中的一类可靠证据。</x:v>
      </x:c>
      <x:c r="J35" s="72" t="str">
        <x:v>基础信号未定；真合化后原信号已失效；只有单一弱远争议信号；或该结论会越界到M4风险、M5适配。</x:v>
      </x:c>
      <x:c r="K35" s="72" t="str">
        <x:v>由共享基础引擎与M3-STATE修正；日主承载只修正冲突处理的可执行性，不直接等于强硬或软弱。</x:v>
      </x:c>
      <x:c r="L35" s="72" t="str">
        <x:v>不限定；夫妻星只在责任、行动、投入等冲突议题中参与接口，不作为CONFLICT唯一主轴。</x:v>
      </x:c>
      <x:c r="M35" s="72" t="str">
        <x:v>由M3-BASE、日支主气及宫位动态提供；不得把日支直接写成配偶性格。</x:v>
      </x:c>
      <x:c r="N35" s="72" t="str">
        <x:v>无／待CONFLICT顺序与路径规则组合</x:v>
      </x:c>
      <x:c r="O35" s="72" t="str">
        <x:v>日柱与日支近位优先；全局有效独立信号可作次通道。</x:v>
      </x:c>
      <x:c r="P35" s="72" t="str">
        <x:v>由共享基础引擎判定</x:v>
      </x:c>
      <x:c r="Q35" s="72" t="str">
        <x:v>由共享基础引擎判定</x:v>
      </x:c>
      <x:c r="R35" s="72" t="str">
        <x:v>喜忌不直接等于冲突方式好坏；只修正调用顺畅度、资源压力和状态切换。</x:v>
      </x:c>
      <x:c r="S35" s="72" t="str">
        <x:v>原十神性质有效；真合化成立时按化神所属功能系统重建。</x:v>
      </x:c>
      <x:c r="T35" s="72" t="str">
        <x:v>由共享基础引擎判定</x:v>
      </x:c>
      <x:c r="U35" s="72" t="str">
        <x:v>68</x:v>
      </x:c>
      <x:c r="V35" s="72" t="str">
        <x:v>结束条件候选 +5</x:v>
      </x:c>
      <x:c r="W35" s="72" t="str">
        <x:v>conflict_end_condition</x:v>
      </x:c>
      <x:c r="X35" s="72" t="str">
        <x:v>通过共同执行或即时调整，让问题从停滞转为可继续处理</x:v>
      </x:c>
      <x:c r="Y35" s="72" t="str">
        <x:v>对你来说，这一轮分歧更容易在“通过共同执行或即时调整，让问题从停滞转为可继续处理”之后暂时告一段落。</x:v>
      </x:c>
      <x:c r="Z3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35" s="72" t="str">
        <x:v>中</x:v>
      </x:c>
      <x:c r="AB35" s="72" t="str">
        <x:v>待验证</x:v>
      </x:c>
      <x:c r="AC35" s="72" t="str"/>
      <x:c r="AD35" s="72" t="str">
        <x:v>provisional=true; channel=CF02; ten_god=劫财</x:v>
      </x:c>
      <x:c r="AE35" s="73" t="str">
        <x:v>0.6</x:v>
      </x:c>
    </x:row>
    <x:row r="36">
      <x:c r="A36" s="71" t="str">
        <x:v>M3-CONFLICT-032</x:v>
      </x:c>
      <x:c r="B36" s="72" t="str">
        <x:v>CF02 劫财｜弱远或条件性调用</x:v>
      </x:c>
      <x:c r="C36" s="72" t="str">
        <x:v>L1 十神冲突通道</x:v>
      </x:c>
      <x:c r="D36" s="72" t="str">
        <x:v>CONFLICT-CF02-劫财即时介入</x:v>
      </x:c>
      <x:c r="E36" s="72" t="str">
        <x:v>通用</x:v>
      </x:c>
      <x:c r="F36" s="72" t="str">
        <x:v>条件修正</x:v>
      </x:c>
      <x:c r="G36" s="72" t="str">
        <x:v>劫财</x:v>
      </x:c>
      <x:c r="H36" s="72" t="str"/>
      <x:c r="I36" s="72" t="str">
        <x:v>劫财偏弱、远位、无根，或只有单一间接证据。</x:v>
      </x:c>
      <x:c r="J36" s="72" t="str">
        <x:v>基础信号未定；真合化后原信号已失效；只有单一弱远争议信号；或该结论会越界到M4风险、M5适配。</x:v>
      </x:c>
      <x:c r="K36" s="72" t="str">
        <x:v>由共享基础引擎与M3-STATE修正；日主承载只修正冲突处理的可执行性，不直接等于强硬或软弱。</x:v>
      </x:c>
      <x:c r="L36" s="72" t="str">
        <x:v>不限定；夫妻星只在责任、行动、投入等冲突议题中参与接口，不作为CONFLICT唯一主轴。</x:v>
      </x:c>
      <x:c r="M36" s="72" t="str">
        <x:v>由M3-BASE、日支主气及宫位动态提供；不得把日支直接写成配偶性格。</x:v>
      </x:c>
      <x:c r="N36" s="72" t="str">
        <x:v>无／待CONFLICT顺序与路径规则组合</x:v>
      </x:c>
      <x:c r="O36" s="72" t="str">
        <x:v>日柱与日支近位优先；全局有效独立信号可作次通道。</x:v>
      </x:c>
      <x:c r="P36" s="72" t="str">
        <x:v>由共享基础引擎判定</x:v>
      </x:c>
      <x:c r="Q36" s="72" t="str">
        <x:v>由共享基础引擎判定</x:v>
      </x:c>
      <x:c r="R36" s="72" t="str">
        <x:v>喜忌不直接等于冲突方式好坏；只修正调用顺畅度、资源压力和状态切换。</x:v>
      </x:c>
      <x:c r="S36" s="72" t="str">
        <x:v>原十神性质有效；真合化成立时按化神所属功能系统重建。</x:v>
      </x:c>
      <x:c r="T36" s="72" t="str">
        <x:v>由共享基础引擎判定</x:v>
      </x:c>
      <x:c r="U36" s="72" t="str">
        <x:v>60</x:v>
      </x:c>
      <x:c r="V36" s="72" t="str">
        <x:v>候选 +2；降置信</x:v>
      </x:c>
      <x:c r="W36" s="72" t="str">
        <x:v>secondary_conflict_channel</x:v>
      </x:c>
      <x:c r="X36" s="72" t="str">
        <x:v>信号偏弱时，只保留“需要共同参与”这一方向，不写成反应一定快。</x:v>
      </x:c>
      <x:c r="Y36" s="72" t="str">
        <x:v>信号偏弱时，只保留“需要共同参与”这一方向，不写成反应一定快。</x:v>
      </x:c>
      <x:c r="Z3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36" s="72" t="str">
        <x:v>中低</x:v>
      </x:c>
      <x:c r="AB36" s="72" t="str">
        <x:v>待验证</x:v>
      </x:c>
      <x:c r="AC36" s="72" t="str"/>
      <x:c r="AD36" s="72" t="str">
        <x:v>provisional=true; channel=CF02; ten_god=劫财</x:v>
      </x:c>
      <x:c r="AE36" s="73" t="str">
        <x:v>0.6</x:v>
      </x:c>
    </x:row>
    <x:row r="37">
      <x:c r="A37" s="71" t="str">
        <x:v>M3-CONFLICT-033</x:v>
      </x:c>
      <x:c r="B37" s="72" t="str">
        <x:v>CF02 劫财｜压力下抢先或切换</x:v>
      </x:c>
      <x:c r="C37" s="72" t="str">
        <x:v>L1 十神冲突通道</x:v>
      </x:c>
      <x:c r="D37" s="72" t="str">
        <x:v>CONFLICT-CF02-劫财即时介入</x:v>
      </x:c>
      <x:c r="E37" s="72" t="str">
        <x:v>通用</x:v>
      </x:c>
      <x:c r="F37" s="72" t="str">
        <x:v>压力修正</x:v>
      </x:c>
      <x:c r="G37" s="72" t="str">
        <x:v>劫财</x:v>
      </x:c>
      <x:c r="H37" s="72" t="str"/>
      <x:c r="I37" s="72" t="str">
        <x:v>劫财过旺、强而无制，或M3-STATE显示该通道在压力状态被放大。</x:v>
      </x:c>
      <x:c r="J37" s="72" t="str">
        <x:v>基础信号未定；真合化后原信号已失效；只有单一弱远争议信号；或该结论会越界到M4风险、M5适配。</x:v>
      </x:c>
      <x:c r="K37" s="72" t="str">
        <x:v>由共享基础引擎与M3-STATE修正；日主承载只修正冲突处理的可执行性，不直接等于强硬或软弱。</x:v>
      </x:c>
      <x:c r="L37" s="72" t="str">
        <x:v>不限定；夫妻星只在责任、行动、投入等冲突议题中参与接口，不作为CONFLICT唯一主轴。</x:v>
      </x:c>
      <x:c r="M37" s="72" t="str">
        <x:v>由M3-BASE、日支主气及宫位动态提供；不得把日支直接写成配偶性格。</x:v>
      </x:c>
      <x:c r="N37" s="72" t="str">
        <x:v>无／待CONFLICT顺序与路径规则组合</x:v>
      </x:c>
      <x:c r="O37" s="72" t="str">
        <x:v>日柱与日支近位优先；全局有效独立信号可作次通道。</x:v>
      </x:c>
      <x:c r="P37" s="72" t="str">
        <x:v>由共享基础引擎判定</x:v>
      </x:c>
      <x:c r="Q37" s="72" t="str">
        <x:v>由共享基础引擎判定</x:v>
      </x:c>
      <x:c r="R37" s="72" t="str">
        <x:v>喜忌不直接等于冲突方式好坏；只修正调用顺畅度、资源压力和状态切换。</x:v>
      </x:c>
      <x:c r="S37" s="72" t="str">
        <x:v>原十神性质有效；真合化成立时按化神所属功能系统重建。</x:v>
      </x:c>
      <x:c r="T37" s="72" t="str">
        <x:v>由共享基础引擎判定</x:v>
      </x:c>
      <x:c r="U37" s="72" t="str">
        <x:v>66</x:v>
      </x:c>
      <x:c r="V37" s="72" t="str">
        <x:v>压力通道 +5；路由STATE/M4</x:v>
      </x:c>
      <x:c r="W37" s="72" t="str">
        <x:v>state_shift</x:v>
      </x:c>
      <x:c r="X37" s="72" t="str">
        <x:v>压力增加时，行动和即时回应可能先于完整说明；是否形成抢话或争夺需M4判断。</x:v>
      </x:c>
      <x:c r="Y37" s="72" t="str">
        <x:v>压力增加时，行动和即时回应可能先于完整说明；是否形成抢话或争夺需M4判断。</x:v>
      </x:c>
      <x:c r="Z3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37" s="72" t="str">
        <x:v>中</x:v>
      </x:c>
      <x:c r="AB37" s="72" t="str">
        <x:v>待验证</x:v>
      </x:c>
      <x:c r="AC37" s="72" t="str"/>
      <x:c r="AD37" s="72" t="str">
        <x:v>provisional=true; channel=CF02; ten_god=劫财</x:v>
      </x:c>
      <x:c r="AE37" s="73" t="str">
        <x:v>0.6</x:v>
      </x:c>
    </x:row>
    <x:row r="38">
      <x:c r="A38" s="71" t="str">
        <x:v>M3-CONFLICT-034</x:v>
      </x:c>
      <x:c r="B38" s="72" t="str">
        <x:v>CF02 劫财｜禁止人格化和结果化</x:v>
      </x:c>
      <x:c r="C38" s="72" t="str">
        <x:v>L1 十神冲突通道</x:v>
      </x:c>
      <x:c r="D38" s="72" t="str">
        <x:v>CONFLICT-CF02-劫财即时介入</x:v>
      </x:c>
      <x:c r="E38" s="72" t="str">
        <x:v>通用</x:v>
      </x:c>
      <x:c r="F38" s="72" t="str">
        <x:v>禁止推断</x:v>
      </x:c>
      <x:c r="G38" s="72" t="str">
        <x:v>劫财</x:v>
      </x:c>
      <x:c r="H38" s="72" t="str"/>
      <x:c r="I38" s="72" t="str">
        <x:v>劫财冲突通道被识别。</x:v>
      </x:c>
      <x:c r="J38" s="72" t="str">
        <x:v>基础信号未定；真合化后原信号已失效；只有单一弱远争议信号；或该结论会越界到M4风险、M5适配。</x:v>
      </x:c>
      <x:c r="K38" s="72" t="str">
        <x:v>由共享基础引擎与M3-STATE修正；日主承载只修正冲突处理的可执行性，不直接等于强硬或软弱。</x:v>
      </x:c>
      <x:c r="L38" s="72" t="str">
        <x:v>不限定；夫妻星只在责任、行动、投入等冲突议题中参与接口，不作为CONFLICT唯一主轴。</x:v>
      </x:c>
      <x:c r="M38" s="72" t="str">
        <x:v>由M3-BASE、日支主气及宫位动态提供；不得把日支直接写成配偶性格。</x:v>
      </x:c>
      <x:c r="N38" s="72" t="str">
        <x:v>无／待CONFLICT顺序与路径规则组合</x:v>
      </x:c>
      <x:c r="O38" s="72" t="str">
        <x:v>日柱与日支近位优先；全局有效独立信号可作次通道。</x:v>
      </x:c>
      <x:c r="P38" s="72" t="str">
        <x:v>由共享基础引擎判定</x:v>
      </x:c>
      <x:c r="Q38" s="72" t="str">
        <x:v>由共享基础引擎判定</x:v>
      </x:c>
      <x:c r="R38" s="72" t="str">
        <x:v>喜忌不直接等于冲突方式好坏；只修正调用顺畅度、资源压力和状态切换。</x:v>
      </x:c>
      <x:c r="S38" s="72" t="str">
        <x:v>原十神性质有效；真合化成立时按化神所属功能系统重建。</x:v>
      </x:c>
      <x:c r="T38" s="72" t="str">
        <x:v>由共享基础引擎判定</x:v>
      </x:c>
      <x:c r="U38" s="72" t="str">
        <x:v>90</x:v>
      </x:c>
      <x:c r="V38" s="72" t="str">
        <x:v>不加分；边界检查</x:v>
      </x:c>
      <x:c r="W38" s="72" t="str">
        <x:v>boundary_note</x:v>
      </x:c>
      <x:c r="X38" s="72" t="str">
        <x:v>不得直接写成冲动、抢夺、竞争或容易打起来。</x:v>
      </x:c>
      <x:c r="Y38" s="72" t="str">
        <x:v>不得直接写成冲动、抢夺、竞争或容易打起来，这里只描述处理顺序。</x:v>
      </x:c>
      <x:c r="Z3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不得直接写成冲动、抢夺、竞争或容易打起来。</x:v>
      </x:c>
      <x:c r="AA38" s="72" t="str">
        <x:v>高</x:v>
      </x:c>
      <x:c r="AB38" s="72" t="str">
        <x:v>待验证</x:v>
      </x:c>
      <x:c r="AC38" s="72" t="str"/>
      <x:c r="AD38" s="72" t="str">
        <x:v>provisional=true; channel=CF02; ten_god=劫财</x:v>
      </x:c>
      <x:c r="AE38" s="73" t="str">
        <x:v>0.6</x:v>
      </x:c>
    </x:row>
    <x:row r="39">
      <x:c r="A39" s="71" t="str">
        <x:v>M3-CONFLICT-035</x:v>
      </x:c>
      <x:c r="B39" s="72" t="str">
        <x:v>CF03 食神｜缓冲降温通道定义</x:v>
      </x:c>
      <x:c r="C39" s="72" t="str">
        <x:v>L1 十神冲突通道</x:v>
      </x:c>
      <x:c r="D39" s="72" t="str">
        <x:v>CONFLICT-CF03-食神缓冲降温</x:v>
      </x:c>
      <x:c r="E39" s="72" t="str">
        <x:v>通用</x:v>
      </x:c>
      <x:c r="F39" s="72" t="str">
        <x:v>通道定义</x:v>
      </x:c>
      <x:c r="G39" s="72" t="str">
        <x:v>食神</x:v>
      </x:c>
      <x:c r="H39" s="72" t="str"/>
      <x:c r="I39" s="72" t="str">
        <x:v>食神形成有效独立信号，且未因真合化失效；至少有日支／日柱、近位有根或现实重复行为中的一类可靠证据。</x:v>
      </x:c>
      <x:c r="J39" s="72" t="str">
        <x:v>基础信号未定；真合化后原信号已失效；只有单一弱远争议信号；或该结论会越界到M4风险、M5适配。</x:v>
      </x:c>
      <x:c r="K39" s="72" t="str">
        <x:v>由共享基础引擎与M3-STATE修正；日主承载只修正冲突处理的可执行性，不直接等于强硬或软弱。</x:v>
      </x:c>
      <x:c r="L39" s="72" t="str">
        <x:v>不限定；夫妻星只在责任、行动、投入等冲突议题中参与接口，不作为CONFLICT唯一主轴。</x:v>
      </x:c>
      <x:c r="M39" s="72" t="str">
        <x:v>由M3-BASE、日支主气及宫位动态提供；不得把日支直接写成配偶性格。</x:v>
      </x:c>
      <x:c r="N39" s="72" t="str">
        <x:v>无／待CONFLICT顺序与路径规则组合</x:v>
      </x:c>
      <x:c r="O39" s="72" t="str">
        <x:v>日柱与日支近位优先；全局有效独立信号可作次通道。</x:v>
      </x:c>
      <x:c r="P39" s="72" t="str">
        <x:v>由共享基础引擎判定</x:v>
      </x:c>
      <x:c r="Q39" s="72" t="str">
        <x:v>由共享基础引擎判定</x:v>
      </x:c>
      <x:c r="R39" s="72" t="str">
        <x:v>喜忌不直接等于冲突方式好坏；只修正调用顺畅度、资源压力和状态切换。</x:v>
      </x:c>
      <x:c r="S39" s="72" t="str">
        <x:v>原十神性质有效；真合化成立时按化神所属功能系统重建。</x:v>
      </x:c>
      <x:c r="T39" s="72" t="str">
        <x:v>由共享基础引擎判定</x:v>
      </x:c>
      <x:c r="U39" s="72" t="str">
        <x:v>75</x:v>
      </x:c>
      <x:c r="V39" s="72" t="str">
        <x:v>通道候选 +10</x:v>
      </x:c>
      <x:c r="W39" s="72" t="str">
        <x:v>primary_conflict_channel</x:v>
      </x:c>
      <x:c r="X39" s="72" t="str">
        <x:v>食神在CONFLICT中主要负责：先降低交流强度、恢复可谈状态，再处理具体分歧。</x:v>
      </x:c>
      <x:c r="Y39" s="72" t="str">
        <x:v>意见不一致时，你更容易先把气氛降下来，让双方能够继续说话，再进入具体问题。</x:v>
      </x:c>
      <x:c r="Z3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39" s="72" t="str">
        <x:v>中高</x:v>
      </x:c>
      <x:c r="AB39" s="72" t="str">
        <x:v>待验证</x:v>
      </x:c>
      <x:c r="AC39" s="72" t="str"/>
      <x:c r="AD39" s="72" t="str">
        <x:v>provisional=true; channel=CF03; ten_god=食神</x:v>
      </x:c>
      <x:c r="AE39" s="73" t="str">
        <x:v>0.6</x:v>
      </x:c>
    </x:row>
    <x:row r="40">
      <x:c r="A40" s="71" t="str">
        <x:v>M3-CONFLICT-036</x:v>
      </x:c>
      <x:c r="B40" s="72" t="str">
        <x:v>CF03 食神｜第一反应</x:v>
      </x:c>
      <x:c r="C40" s="72" t="str">
        <x:v>L1 十神冲突通道</x:v>
      </x:c>
      <x:c r="D40" s="72" t="str">
        <x:v>CONFLICT-CF03-食神缓冲降温</x:v>
      </x:c>
      <x:c r="E40" s="72" t="str">
        <x:v>通用</x:v>
      </x:c>
      <x:c r="F40" s="72" t="str">
        <x:v>第一反应</x:v>
      </x:c>
      <x:c r="G40" s="72" t="str">
        <x:v>食神</x:v>
      </x:c>
      <x:c r="H40" s="72" t="str"/>
      <x:c r="I40" s="72" t="str">
        <x:v>食神形成有效独立信号，且未因真合化失效；至少有日支／日柱、近位有根或现实重复行为中的一类可靠证据。</x:v>
      </x:c>
      <x:c r="J40" s="72" t="str">
        <x:v>基础信号未定；真合化后原信号已失效；只有单一弱远争议信号；或该结论会越界到M4风险、M5适配。</x:v>
      </x:c>
      <x:c r="K40" s="72" t="str">
        <x:v>由共享基础引擎与M3-STATE修正；日主承载只修正冲突处理的可执行性，不直接等于强硬或软弱。</x:v>
      </x:c>
      <x:c r="L40" s="72" t="str">
        <x:v>不限定；夫妻星只在责任、行动、投入等冲突议题中参与接口，不作为CONFLICT唯一主轴。</x:v>
      </x:c>
      <x:c r="M40" s="72" t="str">
        <x:v>由M3-BASE、日支主气及宫位动态提供；不得把日支直接写成配偶性格。</x:v>
      </x:c>
      <x:c r="N40" s="72" t="str">
        <x:v>无／待CONFLICT顺序与路径规则组合</x:v>
      </x:c>
      <x:c r="O40" s="72" t="str">
        <x:v>日柱与日支近位优先；全局有效独立信号可作次通道。</x:v>
      </x:c>
      <x:c r="P40" s="72" t="str">
        <x:v>由共享基础引擎判定</x:v>
      </x:c>
      <x:c r="Q40" s="72" t="str">
        <x:v>由共享基础引擎判定</x:v>
      </x:c>
      <x:c r="R40" s="72" t="str">
        <x:v>喜忌不直接等于冲突方式好坏；只修正调用顺畅度、资源压力和状态切换。</x:v>
      </x:c>
      <x:c r="S40" s="72" t="str">
        <x:v>原十神性质有效；真合化成立时按化神所属功能系统重建。</x:v>
      </x:c>
      <x:c r="T40" s="72" t="str">
        <x:v>由共享基础引擎判定</x:v>
      </x:c>
      <x:c r="U40" s="72" t="str">
        <x:v>72</x:v>
      </x:c>
      <x:c r="V40" s="72" t="str">
        <x:v>第一反应候选 +6</x:v>
      </x:c>
      <x:c r="W40" s="72" t="str">
        <x:v>first_response</x:v>
      </x:c>
      <x:c r="X40" s="72" t="str">
        <x:v>先放慢节奏、调整语气、缓和氛围或处理基本舒适度</x:v>
      </x:c>
      <x:c r="Y40" s="72" t="str">
        <x:v>分歧刚出现时，你更可能先放慢节奏、调整语气、缓和氛围或处理基本舒适度。</x:v>
      </x:c>
      <x:c r="Z4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40" s="72" t="str">
        <x:v>中</x:v>
      </x:c>
      <x:c r="AB40" s="72" t="str">
        <x:v>待验证</x:v>
      </x:c>
      <x:c r="AC40" s="72" t="str"/>
      <x:c r="AD40" s="72" t="str">
        <x:v>provisional=true; channel=CF03; ten_god=食神</x:v>
      </x:c>
      <x:c r="AE40" s="73" t="str">
        <x:v>0.6</x:v>
      </x:c>
    </x:row>
    <x:row r="41">
      <x:c r="A41" s="71" t="str">
        <x:v>M3-CONFLICT-037</x:v>
      </x:c>
      <x:c r="B41" s="72" t="str">
        <x:v>CF03 食神｜注意焦点</x:v>
      </x:c>
      <x:c r="C41" s="72" t="str">
        <x:v>L1 十神冲突通道</x:v>
      </x:c>
      <x:c r="D41" s="72" t="str">
        <x:v>CONFLICT-CF03-食神缓冲降温</x:v>
      </x:c>
      <x:c r="E41" s="72" t="str">
        <x:v>通用</x:v>
      </x:c>
      <x:c r="F41" s="72" t="str">
        <x:v>信息焦点</x:v>
      </x:c>
      <x:c r="G41" s="72" t="str">
        <x:v>食神</x:v>
      </x:c>
      <x:c r="H41" s="72" t="str"/>
      <x:c r="I41" s="72" t="str">
        <x:v>食神形成有效独立信号，且未因真合化失效；至少有日支／日柱、近位有根或现实重复行为中的一类可靠证据。</x:v>
      </x:c>
      <x:c r="J41" s="72" t="str">
        <x:v>基础信号未定；真合化后原信号已失效；只有单一弱远争议信号；或该结论会越界到M4风险、M5适配。</x:v>
      </x:c>
      <x:c r="K41" s="72" t="str">
        <x:v>由共享基础引擎与M3-STATE修正；日主承载只修正冲突处理的可执行性，不直接等于强硬或软弱。</x:v>
      </x:c>
      <x:c r="L41" s="72" t="str">
        <x:v>不限定；夫妻星只在责任、行动、投入等冲突议题中参与接口，不作为CONFLICT唯一主轴。</x:v>
      </x:c>
      <x:c r="M41" s="72" t="str">
        <x:v>由M3-BASE、日支主气及宫位动态提供；不得把日支直接写成配偶性格。</x:v>
      </x:c>
      <x:c r="N41" s="72" t="str">
        <x:v>无／待CONFLICT顺序与路径规则组合</x:v>
      </x:c>
      <x:c r="O41" s="72" t="str">
        <x:v>日柱与日支近位优先；全局有效独立信号可作次通道。</x:v>
      </x:c>
      <x:c r="P41" s="72" t="str">
        <x:v>由共享基础引擎判定</x:v>
      </x:c>
      <x:c r="Q41" s="72" t="str">
        <x:v>由共享基础引擎判定</x:v>
      </x:c>
      <x:c r="R41" s="72" t="str">
        <x:v>喜忌不直接等于冲突方式好坏；只修正调用顺畅度、资源压力和状态切换。</x:v>
      </x:c>
      <x:c r="S41" s="72" t="str">
        <x:v>原十神性质有效；真合化成立时按化神所属功能系统重建。</x:v>
      </x:c>
      <x:c r="T41" s="72" t="str">
        <x:v>由共享基础引擎判定</x:v>
      </x:c>
      <x:c r="U41" s="72" t="str">
        <x:v>70</x:v>
      </x:c>
      <x:c r="V41" s="72" t="str">
        <x:v>焦点候选 +5</x:v>
      </x:c>
      <x:c r="W41" s="72" t="str">
        <x:v>attention_focus</x:v>
      </x:c>
      <x:c r="X41" s="72" t="str">
        <x:v>该通道首先读取：沟通强度、双方可承受度、情绪温度和能否继续交流。</x:v>
      </x:c>
      <x:c r="Y41" s="72" t="str">
        <x:v>你在分歧中会特别注意沟通强度、双方可承受度、情绪温度和能否继续交流。</x:v>
      </x:c>
      <x:c r="Z4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41" s="72" t="str">
        <x:v>中</x:v>
      </x:c>
      <x:c r="AB41" s="72" t="str">
        <x:v>待验证</x:v>
      </x:c>
      <x:c r="AC41" s="72" t="str"/>
      <x:c r="AD41" s="72" t="str">
        <x:v>provisional=true; channel=CF03; ten_god=食神</x:v>
      </x:c>
      <x:c r="AE41" s="73" t="str">
        <x:v>0.6</x:v>
      </x:c>
    </x:row>
    <x:row r="42">
      <x:c r="A42" s="71" t="str">
        <x:v>M3-CONFLICT-038</x:v>
      </x:c>
      <x:c r="B42" s="72" t="str">
        <x:v>CF03 食神｜阶段结束条件</x:v>
      </x:c>
      <x:c r="C42" s="72" t="str">
        <x:v>L1 十神冲突通道</x:v>
      </x:c>
      <x:c r="D42" s="72" t="str">
        <x:v>CONFLICT-CF03-食神缓冲降温</x:v>
      </x:c>
      <x:c r="E42" s="72" t="str">
        <x:v>通用</x:v>
      </x:c>
      <x:c r="F42" s="72" t="str">
        <x:v>结束条件</x:v>
      </x:c>
      <x:c r="G42" s="72" t="str">
        <x:v>食神</x:v>
      </x:c>
      <x:c r="H42" s="72" t="str"/>
      <x:c r="I42" s="72" t="str">
        <x:v>食神形成有效独立信号，且未因真合化失效；至少有日支／日柱、近位有根或现实重复行为中的一类可靠证据。</x:v>
      </x:c>
      <x:c r="J42" s="72" t="str">
        <x:v>基础信号未定；真合化后原信号已失效；只有单一弱远争议信号；或该结论会越界到M4风险、M5适配。</x:v>
      </x:c>
      <x:c r="K42" s="72" t="str">
        <x:v>由共享基础引擎与M3-STATE修正；日主承载只修正冲突处理的可执行性，不直接等于强硬或软弱。</x:v>
      </x:c>
      <x:c r="L42" s="72" t="str">
        <x:v>不限定；夫妻星只在责任、行动、投入等冲突议题中参与接口，不作为CONFLICT唯一主轴。</x:v>
      </x:c>
      <x:c r="M42" s="72" t="str">
        <x:v>由M3-BASE、日支主气及宫位动态提供；不得把日支直接写成配偶性格。</x:v>
      </x:c>
      <x:c r="N42" s="72" t="str">
        <x:v>无／待CONFLICT顺序与路径规则组合</x:v>
      </x:c>
      <x:c r="O42" s="72" t="str">
        <x:v>日柱与日支近位优先；全局有效独立信号可作次通道。</x:v>
      </x:c>
      <x:c r="P42" s="72" t="str">
        <x:v>由共享基础引擎判定</x:v>
      </x:c>
      <x:c r="Q42" s="72" t="str">
        <x:v>由共享基础引擎判定</x:v>
      </x:c>
      <x:c r="R42" s="72" t="str">
        <x:v>喜忌不直接等于冲突方式好坏；只修正调用顺畅度、资源压力和状态切换。</x:v>
      </x:c>
      <x:c r="S42" s="72" t="str">
        <x:v>原十神性质有效；真合化成立时按化神所属功能系统重建。</x:v>
      </x:c>
      <x:c r="T42" s="72" t="str">
        <x:v>由共享基础引擎判定</x:v>
      </x:c>
      <x:c r="U42" s="72" t="str">
        <x:v>68</x:v>
      </x:c>
      <x:c r="V42" s="72" t="str">
        <x:v>结束条件候选 +5</x:v>
      </x:c>
      <x:c r="W42" s="72" t="str">
        <x:v>conflict_end_condition</x:v>
      </x:c>
      <x:c r="X42" s="72" t="str">
        <x:v>在双方恢复可交流状态后，再逐步说明问题和安排</x:v>
      </x:c>
      <x:c r="Y42" s="72" t="str">
        <x:v>对你来说，这一轮分歧更容易在“在双方恢复可交流状态后，再逐步说明问题和安排”之后暂时告一段落。</x:v>
      </x:c>
      <x:c r="Z4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42" s="72" t="str">
        <x:v>中</x:v>
      </x:c>
      <x:c r="AB42" s="72" t="str">
        <x:v>待验证</x:v>
      </x:c>
      <x:c r="AC42" s="72" t="str"/>
      <x:c r="AD42" s="72" t="str">
        <x:v>provisional=true; channel=CF03; ten_god=食神</x:v>
      </x:c>
      <x:c r="AE42" s="73" t="str">
        <x:v>0.6</x:v>
      </x:c>
    </x:row>
    <x:row r="43">
      <x:c r="A43" s="71" t="str">
        <x:v>M3-CONFLICT-039</x:v>
      </x:c>
      <x:c r="B43" s="72" t="str">
        <x:v>CF03 食神｜弱远或条件性调用</x:v>
      </x:c>
      <x:c r="C43" s="72" t="str">
        <x:v>L1 十神冲突通道</x:v>
      </x:c>
      <x:c r="D43" s="72" t="str">
        <x:v>CONFLICT-CF03-食神缓冲降温</x:v>
      </x:c>
      <x:c r="E43" s="72" t="str">
        <x:v>通用</x:v>
      </x:c>
      <x:c r="F43" s="72" t="str">
        <x:v>条件修正</x:v>
      </x:c>
      <x:c r="G43" s="72" t="str">
        <x:v>食神</x:v>
      </x:c>
      <x:c r="H43" s="72" t="str"/>
      <x:c r="I43" s="72" t="str">
        <x:v>食神偏弱、远位、无根，或只有单一间接证据。</x:v>
      </x:c>
      <x:c r="J43" s="72" t="str">
        <x:v>基础信号未定；真合化后原信号已失效；只有单一弱远争议信号；或该结论会越界到M4风险、M5适配。</x:v>
      </x:c>
      <x:c r="K43" s="72" t="str">
        <x:v>由共享基础引擎与M3-STATE修正；日主承载只修正冲突处理的可执行性，不直接等于强硬或软弱。</x:v>
      </x:c>
      <x:c r="L43" s="72" t="str">
        <x:v>不限定；夫妻星只在责任、行动、投入等冲突议题中参与接口，不作为CONFLICT唯一主轴。</x:v>
      </x:c>
      <x:c r="M43" s="72" t="str">
        <x:v>由M3-BASE、日支主气及宫位动态提供；不得把日支直接写成配偶性格。</x:v>
      </x:c>
      <x:c r="N43" s="72" t="str">
        <x:v>无／待CONFLICT顺序与路径规则组合</x:v>
      </x:c>
      <x:c r="O43" s="72" t="str">
        <x:v>日柱与日支近位优先；全局有效独立信号可作次通道。</x:v>
      </x:c>
      <x:c r="P43" s="72" t="str">
        <x:v>由共享基础引擎判定</x:v>
      </x:c>
      <x:c r="Q43" s="72" t="str">
        <x:v>由共享基础引擎判定</x:v>
      </x:c>
      <x:c r="R43" s="72" t="str">
        <x:v>喜忌不直接等于冲突方式好坏；只修正调用顺畅度、资源压力和状态切换。</x:v>
      </x:c>
      <x:c r="S43" s="72" t="str">
        <x:v>原十神性质有效；真合化成立时按化神所属功能系统重建。</x:v>
      </x:c>
      <x:c r="T43" s="72" t="str">
        <x:v>由共享基础引擎判定</x:v>
      </x:c>
      <x:c r="U43" s="72" t="str">
        <x:v>60</x:v>
      </x:c>
      <x:c r="V43" s="72" t="str">
        <x:v>候选 +2；降置信</x:v>
      </x:c>
      <x:c r="W43" s="72" t="str">
        <x:v>secondary_conflict_channel</x:v>
      </x:c>
      <x:c r="X43" s="72" t="str">
        <x:v>信号偏弱时，只能说明你重视低压力沟通，不能写成一定能主动安抚。</x:v>
      </x:c>
      <x:c r="Y43" s="72" t="str">
        <x:v>信号偏弱时，只能说明你重视低压力沟通，不能写成一定能主动安抚。</x:v>
      </x:c>
      <x:c r="Z4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43" s="72" t="str">
        <x:v>中低</x:v>
      </x:c>
      <x:c r="AB43" s="72" t="str">
        <x:v>待验证</x:v>
      </x:c>
      <x:c r="AC43" s="72" t="str"/>
      <x:c r="AD43" s="72" t="str">
        <x:v>provisional=true; channel=CF03; ten_god=食神</x:v>
      </x:c>
      <x:c r="AE43" s="73" t="str">
        <x:v>0.6</x:v>
      </x:c>
    </x:row>
    <x:row r="44">
      <x:c r="A44" s="71" t="str">
        <x:v>M3-CONFLICT-040</x:v>
      </x:c>
      <x:c r="B44" s="72" t="str">
        <x:v>CF03 食神｜压力下抢先或切换</x:v>
      </x:c>
      <x:c r="C44" s="72" t="str">
        <x:v>L1 十神冲突通道</x:v>
      </x:c>
      <x:c r="D44" s="72" t="str">
        <x:v>CONFLICT-CF03-食神缓冲降温</x:v>
      </x:c>
      <x:c r="E44" s="72" t="str">
        <x:v>通用</x:v>
      </x:c>
      <x:c r="F44" s="72" t="str">
        <x:v>压力修正</x:v>
      </x:c>
      <x:c r="G44" s="72" t="str">
        <x:v>食神</x:v>
      </x:c>
      <x:c r="H44" s="72" t="str"/>
      <x:c r="I44" s="72" t="str">
        <x:v>食神过旺、强而无制，或M3-STATE显示该通道在压力状态被放大。</x:v>
      </x:c>
      <x:c r="J44" s="72" t="str">
        <x:v>基础信号未定；真合化后原信号已失效；只有单一弱远争议信号；或该结论会越界到M4风险、M5适配。</x:v>
      </x:c>
      <x:c r="K44" s="72" t="str">
        <x:v>由共享基础引擎与M3-STATE修正；日主承载只修正冲突处理的可执行性，不直接等于强硬或软弱。</x:v>
      </x:c>
      <x:c r="L44" s="72" t="str">
        <x:v>不限定；夫妻星只在责任、行动、投入等冲突议题中参与接口，不作为CONFLICT唯一主轴。</x:v>
      </x:c>
      <x:c r="M44" s="72" t="str">
        <x:v>由M3-BASE、日支主气及宫位动态提供；不得把日支直接写成配偶性格。</x:v>
      </x:c>
      <x:c r="N44" s="72" t="str">
        <x:v>无／待CONFLICT顺序与路径规则组合</x:v>
      </x:c>
      <x:c r="O44" s="72" t="str">
        <x:v>日柱与日支近位优先；全局有效独立信号可作次通道。</x:v>
      </x:c>
      <x:c r="P44" s="72" t="str">
        <x:v>由共享基础引擎判定</x:v>
      </x:c>
      <x:c r="Q44" s="72" t="str">
        <x:v>由共享基础引擎判定</x:v>
      </x:c>
      <x:c r="R44" s="72" t="str">
        <x:v>喜忌不直接等于冲突方式好坏；只修正调用顺畅度、资源压力和状态切换。</x:v>
      </x:c>
      <x:c r="S44" s="72" t="str">
        <x:v>原十神性质有效；真合化成立时按化神所属功能系统重建。</x:v>
      </x:c>
      <x:c r="T44" s="72" t="str">
        <x:v>由共享基础引擎判定</x:v>
      </x:c>
      <x:c r="U44" s="72" t="str">
        <x:v>66</x:v>
      </x:c>
      <x:c r="V44" s="72" t="str">
        <x:v>压力通道 +5；路由STATE/M4</x:v>
      </x:c>
      <x:c r="W44" s="72" t="str">
        <x:v>state_shift</x:v>
      </x:c>
      <x:c r="X44" s="72" t="str">
        <x:v>压力过高时，缓冲通道可能被其他强通道覆盖；是否拖延问题需结合路径与案例。</x:v>
      </x:c>
      <x:c r="Y44" s="72" t="str">
        <x:v>压力过高时，缓冲通道可能被其他强通道覆盖；是否拖延问题需结合路径与案例。</x:v>
      </x:c>
      <x:c r="Z4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44" s="72" t="str">
        <x:v>中</x:v>
      </x:c>
      <x:c r="AB44" s="72" t="str">
        <x:v>待验证</x:v>
      </x:c>
      <x:c r="AC44" s="72" t="str"/>
      <x:c r="AD44" s="72" t="str">
        <x:v>provisional=true; channel=CF03; ten_god=食神</x:v>
      </x:c>
      <x:c r="AE44" s="73" t="str">
        <x:v>0.6</x:v>
      </x:c>
    </x:row>
    <x:row r="45">
      <x:c r="A45" s="71" t="str">
        <x:v>M3-CONFLICT-041</x:v>
      </x:c>
      <x:c r="B45" s="72" t="str">
        <x:v>CF03 食神｜禁止人格化和结果化</x:v>
      </x:c>
      <x:c r="C45" s="72" t="str">
        <x:v>L1 十神冲突通道</x:v>
      </x:c>
      <x:c r="D45" s="72" t="str">
        <x:v>CONFLICT-CF03-食神缓冲降温</x:v>
      </x:c>
      <x:c r="E45" s="72" t="str">
        <x:v>通用</x:v>
      </x:c>
      <x:c r="F45" s="72" t="str">
        <x:v>禁止推断</x:v>
      </x:c>
      <x:c r="G45" s="72" t="str">
        <x:v>食神</x:v>
      </x:c>
      <x:c r="H45" s="72" t="str"/>
      <x:c r="I45" s="72" t="str">
        <x:v>食神冲突通道被识别。</x:v>
      </x:c>
      <x:c r="J45" s="72" t="str">
        <x:v>基础信号未定；真合化后原信号已失效；只有单一弱远争议信号；或该结论会越界到M4风险、M5适配。</x:v>
      </x:c>
      <x:c r="K45" s="72" t="str">
        <x:v>由共享基础引擎与M3-STATE修正；日主承载只修正冲突处理的可执行性，不直接等于强硬或软弱。</x:v>
      </x:c>
      <x:c r="L45" s="72" t="str">
        <x:v>不限定；夫妻星只在责任、行动、投入等冲突议题中参与接口，不作为CONFLICT唯一主轴。</x:v>
      </x:c>
      <x:c r="M45" s="72" t="str">
        <x:v>由M3-BASE、日支主气及宫位动态提供；不得把日支直接写成配偶性格。</x:v>
      </x:c>
      <x:c r="N45" s="72" t="str">
        <x:v>无／待CONFLICT顺序与路径规则组合</x:v>
      </x:c>
      <x:c r="O45" s="72" t="str">
        <x:v>日柱与日支近位优先；全局有效独立信号可作次通道。</x:v>
      </x:c>
      <x:c r="P45" s="72" t="str">
        <x:v>由共享基础引擎判定</x:v>
      </x:c>
      <x:c r="Q45" s="72" t="str">
        <x:v>由共享基础引擎判定</x:v>
      </x:c>
      <x:c r="R45" s="72" t="str">
        <x:v>喜忌不直接等于冲突方式好坏；只修正调用顺畅度、资源压力和状态切换。</x:v>
      </x:c>
      <x:c r="S45" s="72" t="str">
        <x:v>原十神性质有效；真合化成立时按化神所属功能系统重建。</x:v>
      </x:c>
      <x:c r="T45" s="72" t="str">
        <x:v>由共享基础引擎判定</x:v>
      </x:c>
      <x:c r="U45" s="72" t="str">
        <x:v>90</x:v>
      </x:c>
      <x:c r="V45" s="72" t="str">
        <x:v>不加分；边界检查</x:v>
      </x:c>
      <x:c r="W45" s="72" t="str">
        <x:v>boundary_note</x:v>
      </x:c>
      <x:c r="X45" s="72" t="str">
        <x:v>不得直接写成逃避问题、怕冲突、讨好或一味和稀泥。</x:v>
      </x:c>
      <x:c r="Y45" s="72" t="str">
        <x:v>不得直接写成逃避问题、怕冲突、讨好或一味和稀泥，这里只描述处理顺序。</x:v>
      </x:c>
      <x:c r="Z4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不得直接写成逃避问题、怕冲突、讨好或一味和稀泥。</x:v>
      </x:c>
      <x:c r="AA45" s="72" t="str">
        <x:v>高</x:v>
      </x:c>
      <x:c r="AB45" s="72" t="str">
        <x:v>待验证</x:v>
      </x:c>
      <x:c r="AC45" s="72" t="str"/>
      <x:c r="AD45" s="72" t="str">
        <x:v>provisional=true; channel=CF03; ten_god=食神</x:v>
      </x:c>
      <x:c r="AE45" s="73" t="str">
        <x:v>0.6</x:v>
      </x:c>
    </x:row>
    <x:row r="46">
      <x:c r="A46" s="71" t="str">
        <x:v>M3-CONFLICT-042</x:v>
      </x:c>
      <x:c r="B46" s="72" t="str">
        <x:v>CF04 伤官｜分析澄清通道定义</x:v>
      </x:c>
      <x:c r="C46" s="72" t="str">
        <x:v>L1 十神冲突通道</x:v>
      </x:c>
      <x:c r="D46" s="72" t="str">
        <x:v>CONFLICT-CF04-伤官分析澄清</x:v>
      </x:c>
      <x:c r="E46" s="72" t="str">
        <x:v>通用</x:v>
      </x:c>
      <x:c r="F46" s="72" t="str">
        <x:v>通道定义</x:v>
      </x:c>
      <x:c r="G46" s="72" t="str">
        <x:v>伤官</x:v>
      </x:c>
      <x:c r="H46" s="72" t="str"/>
      <x:c r="I46" s="72" t="str">
        <x:v>伤官形成有效独立信号，且未因真合化失效；至少有日支／日柱、近位有根或现实重复行为中的一类可靠证据。</x:v>
      </x:c>
      <x:c r="J46" s="72" t="str">
        <x:v>基础信号未定；真合化后原信号已失效；只有单一弱远争议信号；或该结论会越界到M4风险、M5适配。</x:v>
      </x:c>
      <x:c r="K46" s="72" t="str">
        <x:v>由共享基础引擎与M3-STATE修正；日主承载只修正冲突处理的可执行性，不直接等于强硬或软弱。</x:v>
      </x:c>
      <x:c r="L46" s="72" t="str">
        <x:v>不限定；夫妻星只在责任、行动、投入等冲突议题中参与接口，不作为CONFLICT唯一主轴。</x:v>
      </x:c>
      <x:c r="M46" s="72" t="str">
        <x:v>由M3-BASE、日支主气及宫位动态提供；不得把日支直接写成配偶性格。</x:v>
      </x:c>
      <x:c r="N46" s="72" t="str">
        <x:v>无／待CONFLICT顺序与路径规则组合</x:v>
      </x:c>
      <x:c r="O46" s="72" t="str">
        <x:v>日柱与日支近位优先；全局有效独立信号可作次通道。</x:v>
      </x:c>
      <x:c r="P46" s="72" t="str">
        <x:v>由共享基础引擎判定</x:v>
      </x:c>
      <x:c r="Q46" s="72" t="str">
        <x:v>由共享基础引擎判定</x:v>
      </x:c>
      <x:c r="R46" s="72" t="str">
        <x:v>喜忌不直接等于冲突方式好坏；只修正调用顺畅度、资源压力和状态切换。</x:v>
      </x:c>
      <x:c r="S46" s="72" t="str">
        <x:v>原十神性质有效；真合化成立时按化神所属功能系统重建。</x:v>
      </x:c>
      <x:c r="T46" s="72" t="str">
        <x:v>由共享基础引擎判定</x:v>
      </x:c>
      <x:c r="U46" s="72" t="str">
        <x:v>75</x:v>
      </x:c>
      <x:c r="V46" s="72" t="str">
        <x:v>通道候选 +10</x:v>
      </x:c>
      <x:c r="W46" s="72" t="str">
        <x:v>primary_conflict_channel</x:v>
      </x:c>
      <x:c r="X46" s="72" t="str">
        <x:v>伤官在CONFLICT中主要负责：通过提问、拆解、解释和指出矛盾点处理分歧。</x:v>
      </x:c>
      <x:c r="Y46" s="72" t="str">
        <x:v>分歧出现时，你更容易先把问题拆开，问清楚事实和逻辑，希望彼此真正知道在争什么。</x:v>
      </x:c>
      <x:c r="Z4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46" s="72" t="str">
        <x:v>中高</x:v>
      </x:c>
      <x:c r="AB46" s="72" t="str">
        <x:v>待验证</x:v>
      </x:c>
      <x:c r="AC46" s="72" t="str"/>
      <x:c r="AD46" s="72" t="str">
        <x:v>provisional=true; channel=CF04; ten_god=伤官</x:v>
      </x:c>
      <x:c r="AE46" s="73" t="str">
        <x:v>0.6</x:v>
      </x:c>
    </x:row>
    <x:row r="47">
      <x:c r="A47" s="71" t="str">
        <x:v>M3-CONFLICT-043</x:v>
      </x:c>
      <x:c r="B47" s="72" t="str">
        <x:v>CF04 伤官｜第一反应</x:v>
      </x:c>
      <x:c r="C47" s="72" t="str">
        <x:v>L1 十神冲突通道</x:v>
      </x:c>
      <x:c r="D47" s="72" t="str">
        <x:v>CONFLICT-CF04-伤官分析澄清</x:v>
      </x:c>
      <x:c r="E47" s="72" t="str">
        <x:v>通用</x:v>
      </x:c>
      <x:c r="F47" s="72" t="str">
        <x:v>第一反应</x:v>
      </x:c>
      <x:c r="G47" s="72" t="str">
        <x:v>伤官</x:v>
      </x:c>
      <x:c r="H47" s="72" t="str"/>
      <x:c r="I47" s="72" t="str">
        <x:v>伤官形成有效独立信号，且未因真合化失效；至少有日支／日柱、近位有根或现实重复行为中的一类可靠证据。</x:v>
      </x:c>
      <x:c r="J47" s="72" t="str">
        <x:v>基础信号未定；真合化后原信号已失效；只有单一弱远争议信号；或该结论会越界到M4风险、M5适配。</x:v>
      </x:c>
      <x:c r="K47" s="72" t="str">
        <x:v>由共享基础引擎与M3-STATE修正；日主承载只修正冲突处理的可执行性，不直接等于强硬或软弱。</x:v>
      </x:c>
      <x:c r="L47" s="72" t="str">
        <x:v>不限定；夫妻星只在责任、行动、投入等冲突议题中参与接口，不作为CONFLICT唯一主轴。</x:v>
      </x:c>
      <x:c r="M47" s="72" t="str">
        <x:v>由M3-BASE、日支主气及宫位动态提供；不得把日支直接写成配偶性格。</x:v>
      </x:c>
      <x:c r="N47" s="72" t="str">
        <x:v>无／待CONFLICT顺序与路径规则组合</x:v>
      </x:c>
      <x:c r="O47" s="72" t="str">
        <x:v>日柱与日支近位优先；全局有效独立信号可作次通道。</x:v>
      </x:c>
      <x:c r="P47" s="72" t="str">
        <x:v>由共享基础引擎判定</x:v>
      </x:c>
      <x:c r="Q47" s="72" t="str">
        <x:v>由共享基础引擎判定</x:v>
      </x:c>
      <x:c r="R47" s="72" t="str">
        <x:v>喜忌不直接等于冲突方式好坏；只修正调用顺畅度、资源压力和状态切换。</x:v>
      </x:c>
      <x:c r="S47" s="72" t="str">
        <x:v>原十神性质有效；真合化成立时按化神所属功能系统重建。</x:v>
      </x:c>
      <x:c r="T47" s="72" t="str">
        <x:v>由共享基础引擎判定</x:v>
      </x:c>
      <x:c r="U47" s="72" t="str">
        <x:v>72</x:v>
      </x:c>
      <x:c r="V47" s="72" t="str">
        <x:v>第一反应候选 +6</x:v>
      </x:c>
      <x:c r="W47" s="72" t="str">
        <x:v>first_response</x:v>
      </x:c>
      <x:c r="X47" s="72" t="str">
        <x:v>先把不一致之处说出来，追问事实、逻辑或真实原因</x:v>
      </x:c>
      <x:c r="Y47" s="72" t="str">
        <x:v>分歧刚出现时，你更可能先把不一致之处说出来，追问事实、逻辑或真实原因。</x:v>
      </x:c>
      <x:c r="Z4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47" s="72" t="str">
        <x:v>中</x:v>
      </x:c>
      <x:c r="AB47" s="72" t="str">
        <x:v>待验证</x:v>
      </x:c>
      <x:c r="AC47" s="72" t="str"/>
      <x:c r="AD47" s="72" t="str">
        <x:v>provisional=true; channel=CF04; ten_god=伤官</x:v>
      </x:c>
      <x:c r="AE47" s="73" t="str">
        <x:v>0.6</x:v>
      </x:c>
    </x:row>
    <x:row r="48">
      <x:c r="A48" s="71" t="str">
        <x:v>M3-CONFLICT-044</x:v>
      </x:c>
      <x:c r="B48" s="72" t="str">
        <x:v>CF04 伤官｜注意焦点</x:v>
      </x:c>
      <x:c r="C48" s="72" t="str">
        <x:v>L1 十神冲突通道</x:v>
      </x:c>
      <x:c r="D48" s="72" t="str">
        <x:v>CONFLICT-CF04-伤官分析澄清</x:v>
      </x:c>
      <x:c r="E48" s="72" t="str">
        <x:v>通用</x:v>
      </x:c>
      <x:c r="F48" s="72" t="str">
        <x:v>信息焦点</x:v>
      </x:c>
      <x:c r="G48" s="72" t="str">
        <x:v>伤官</x:v>
      </x:c>
      <x:c r="H48" s="72" t="str"/>
      <x:c r="I48" s="72" t="str">
        <x:v>伤官形成有效独立信号，且未因真合化失效；至少有日支／日柱、近位有根或现实重复行为中的一类可靠证据。</x:v>
      </x:c>
      <x:c r="J48" s="72" t="str">
        <x:v>基础信号未定；真合化后原信号已失效；只有单一弱远争议信号；或该结论会越界到M4风险、M5适配。</x:v>
      </x:c>
      <x:c r="K48" s="72" t="str">
        <x:v>由共享基础引擎与M3-STATE修正；日主承载只修正冲突处理的可执行性，不直接等于强硬或软弱。</x:v>
      </x:c>
      <x:c r="L48" s="72" t="str">
        <x:v>不限定；夫妻星只在责任、行动、投入等冲突议题中参与接口，不作为CONFLICT唯一主轴。</x:v>
      </x:c>
      <x:c r="M48" s="72" t="str">
        <x:v>由M3-BASE、日支主气及宫位动态提供；不得把日支直接写成配偶性格。</x:v>
      </x:c>
      <x:c r="N48" s="72" t="str">
        <x:v>无／待CONFLICT顺序与路径规则组合</x:v>
      </x:c>
      <x:c r="O48" s="72" t="str">
        <x:v>日柱与日支近位优先；全局有效独立信号可作次通道。</x:v>
      </x:c>
      <x:c r="P48" s="72" t="str">
        <x:v>由共享基础引擎判定</x:v>
      </x:c>
      <x:c r="Q48" s="72" t="str">
        <x:v>由共享基础引擎判定</x:v>
      </x:c>
      <x:c r="R48" s="72" t="str">
        <x:v>喜忌不直接等于冲突方式好坏；只修正调用顺畅度、资源压力和状态切换。</x:v>
      </x:c>
      <x:c r="S48" s="72" t="str">
        <x:v>原十神性质有效；真合化成立时按化神所属功能系统重建。</x:v>
      </x:c>
      <x:c r="T48" s="72" t="str">
        <x:v>由共享基础引擎判定</x:v>
      </x:c>
      <x:c r="U48" s="72" t="str">
        <x:v>70</x:v>
      </x:c>
      <x:c r="V48" s="72" t="str">
        <x:v>焦点候选 +5</x:v>
      </x:c>
      <x:c r="W48" s="72" t="str">
        <x:v>attention_focus</x:v>
      </x:c>
      <x:c r="X48" s="72" t="str">
        <x:v>该通道首先读取：信息是否一致、逻辑是否成立、表达是否准确和问题究竟在哪里。</x:v>
      </x:c>
      <x:c r="Y48" s="72" t="str">
        <x:v>你在分歧中会特别注意信息是否一致、逻辑是否成立、表达是否准确和问题究竟在哪里。</x:v>
      </x:c>
      <x:c r="Z4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48" s="72" t="str">
        <x:v>中</x:v>
      </x:c>
      <x:c r="AB48" s="72" t="str">
        <x:v>待验证</x:v>
      </x:c>
      <x:c r="AC48" s="72" t="str"/>
      <x:c r="AD48" s="72" t="str">
        <x:v>provisional=true; channel=CF04; ten_god=伤官</x:v>
      </x:c>
      <x:c r="AE48" s="73" t="str">
        <x:v>0.6</x:v>
      </x:c>
    </x:row>
    <x:row r="49">
      <x:c r="A49" s="71" t="str">
        <x:v>M3-CONFLICT-045</x:v>
      </x:c>
      <x:c r="B49" s="72" t="str">
        <x:v>CF04 伤官｜阶段结束条件</x:v>
      </x:c>
      <x:c r="C49" s="72" t="str">
        <x:v>L1 十神冲突通道</x:v>
      </x:c>
      <x:c r="D49" s="72" t="str">
        <x:v>CONFLICT-CF04-伤官分析澄清</x:v>
      </x:c>
      <x:c r="E49" s="72" t="str">
        <x:v>通用</x:v>
      </x:c>
      <x:c r="F49" s="72" t="str">
        <x:v>结束条件</x:v>
      </x:c>
      <x:c r="G49" s="72" t="str">
        <x:v>伤官</x:v>
      </x:c>
      <x:c r="H49" s="72" t="str"/>
      <x:c r="I49" s="72" t="str">
        <x:v>伤官形成有效独立信号，且未因真合化失效；至少有日支／日柱、近位有根或现实重复行为中的一类可靠证据。</x:v>
      </x:c>
      <x:c r="J49" s="72" t="str">
        <x:v>基础信号未定；真合化后原信号已失效；只有单一弱远争议信号；或该结论会越界到M4风险、M5适配。</x:v>
      </x:c>
      <x:c r="K49" s="72" t="str">
        <x:v>由共享基础引擎与M3-STATE修正；日主承载只修正冲突处理的可执行性，不直接等于强硬或软弱。</x:v>
      </x:c>
      <x:c r="L49" s="72" t="str">
        <x:v>不限定；夫妻星只在责任、行动、投入等冲突议题中参与接口，不作为CONFLICT唯一主轴。</x:v>
      </x:c>
      <x:c r="M49" s="72" t="str">
        <x:v>由M3-BASE、日支主气及宫位动态提供；不得把日支直接写成配偶性格。</x:v>
      </x:c>
      <x:c r="N49" s="72" t="str">
        <x:v>无／待CONFLICT顺序与路径规则组合</x:v>
      </x:c>
      <x:c r="O49" s="72" t="str">
        <x:v>日柱与日支近位优先；全局有效独立信号可作次通道。</x:v>
      </x:c>
      <x:c r="P49" s="72" t="str">
        <x:v>由共享基础引擎判定</x:v>
      </x:c>
      <x:c r="Q49" s="72" t="str">
        <x:v>由共享基础引擎判定</x:v>
      </x:c>
      <x:c r="R49" s="72" t="str">
        <x:v>喜忌不直接等于冲突方式好坏；只修正调用顺畅度、资源压力和状态切换。</x:v>
      </x:c>
      <x:c r="S49" s="72" t="str">
        <x:v>原十神性质有效；真合化成立时按化神所属功能系统重建。</x:v>
      </x:c>
      <x:c r="T49" s="72" t="str">
        <x:v>由共享基础引擎判定</x:v>
      </x:c>
      <x:c r="U49" s="72" t="str">
        <x:v>68</x:v>
      </x:c>
      <x:c r="V49" s="72" t="str">
        <x:v>结束条件候选 +5</x:v>
      </x:c>
      <x:c r="W49" s="72" t="str">
        <x:v>conflict_end_condition</x:v>
      </x:c>
      <x:c r="X49" s="72" t="str">
        <x:v>当事实、定义和各自观点被说明清楚后，再进入方案或责任处理</x:v>
      </x:c>
      <x:c r="Y49" s="72" t="str">
        <x:v>对你来说，这一轮分歧更容易在“当事实、定义和各自观点被说明清楚后，再进入方案或责任处理”之后暂时告一段落。</x:v>
      </x:c>
      <x:c r="Z4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49" s="72" t="str">
        <x:v>中</x:v>
      </x:c>
      <x:c r="AB49" s="72" t="str">
        <x:v>待验证</x:v>
      </x:c>
      <x:c r="AC49" s="72" t="str"/>
      <x:c r="AD49" s="72" t="str">
        <x:v>provisional=true; channel=CF04; ten_god=伤官</x:v>
      </x:c>
      <x:c r="AE49" s="73" t="str">
        <x:v>0.6</x:v>
      </x:c>
    </x:row>
    <x:row r="50">
      <x:c r="A50" s="71" t="str">
        <x:v>M3-CONFLICT-046</x:v>
      </x:c>
      <x:c r="B50" s="72" t="str">
        <x:v>CF04 伤官｜弱远或条件性调用</x:v>
      </x:c>
      <x:c r="C50" s="72" t="str">
        <x:v>L1 十神冲突通道</x:v>
      </x:c>
      <x:c r="D50" s="72" t="str">
        <x:v>CONFLICT-CF04-伤官分析澄清</x:v>
      </x:c>
      <x:c r="E50" s="72" t="str">
        <x:v>通用</x:v>
      </x:c>
      <x:c r="F50" s="72" t="str">
        <x:v>条件修正</x:v>
      </x:c>
      <x:c r="G50" s="72" t="str">
        <x:v>伤官</x:v>
      </x:c>
      <x:c r="H50" s="72" t="str"/>
      <x:c r="I50" s="72" t="str">
        <x:v>伤官偏弱、远位、无根，或只有单一间接证据。</x:v>
      </x:c>
      <x:c r="J50" s="72" t="str">
        <x:v>基础信号未定；真合化后原信号已失效；只有单一弱远争议信号；或该结论会越界到M4风险、M5适配。</x:v>
      </x:c>
      <x:c r="K50" s="72" t="str">
        <x:v>由共享基础引擎与M3-STATE修正；日主承载只修正冲突处理的可执行性，不直接等于强硬或软弱。</x:v>
      </x:c>
      <x:c r="L50" s="72" t="str">
        <x:v>不限定；夫妻星只在责任、行动、投入等冲突议题中参与接口，不作为CONFLICT唯一主轴。</x:v>
      </x:c>
      <x:c r="M50" s="72" t="str">
        <x:v>由M3-BASE、日支主气及宫位动态提供；不得把日支直接写成配偶性格。</x:v>
      </x:c>
      <x:c r="N50" s="72" t="str">
        <x:v>无／待CONFLICT顺序与路径规则组合</x:v>
      </x:c>
      <x:c r="O50" s="72" t="str">
        <x:v>日柱与日支近位优先；全局有效独立信号可作次通道。</x:v>
      </x:c>
      <x:c r="P50" s="72" t="str">
        <x:v>由共享基础引擎判定</x:v>
      </x:c>
      <x:c r="Q50" s="72" t="str">
        <x:v>由共享基础引擎判定</x:v>
      </x:c>
      <x:c r="R50" s="72" t="str">
        <x:v>喜忌不直接等于冲突方式好坏；只修正调用顺畅度、资源压力和状态切换。</x:v>
      </x:c>
      <x:c r="S50" s="72" t="str">
        <x:v>原十神性质有效；真合化成立时按化神所属功能系统重建。</x:v>
      </x:c>
      <x:c r="T50" s="72" t="str">
        <x:v>由共享基础引擎判定</x:v>
      </x:c>
      <x:c r="U50" s="72" t="str">
        <x:v>60</x:v>
      </x:c>
      <x:c r="V50" s="72" t="str">
        <x:v>候选 +2；降置信</x:v>
      </x:c>
      <x:c r="W50" s="72" t="str">
        <x:v>secondary_conflict_channel</x:v>
      </x:c>
      <x:c r="X50" s="72" t="str">
        <x:v>信号偏弱时，只保留“需要说清问题”这一方向，不写成一定擅长完整表达。</x:v>
      </x:c>
      <x:c r="Y50" s="72" t="str">
        <x:v>信号偏弱时，只保留“需要说清问题”这一方向，不写成一定擅长完整表达。</x:v>
      </x:c>
      <x:c r="Z5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50" s="72" t="str">
        <x:v>中低</x:v>
      </x:c>
      <x:c r="AB50" s="72" t="str">
        <x:v>待验证</x:v>
      </x:c>
      <x:c r="AC50" s="72" t="str"/>
      <x:c r="AD50" s="72" t="str">
        <x:v>provisional=true; channel=CF04; ten_god=伤官</x:v>
      </x:c>
      <x:c r="AE50" s="73" t="str">
        <x:v>0.6</x:v>
      </x:c>
    </x:row>
    <x:row r="51">
      <x:c r="A51" s="71" t="str">
        <x:v>M3-CONFLICT-047</x:v>
      </x:c>
      <x:c r="B51" s="72" t="str">
        <x:v>CF04 伤官｜压力下抢先或切换</x:v>
      </x:c>
      <x:c r="C51" s="72" t="str">
        <x:v>L1 十神冲突通道</x:v>
      </x:c>
      <x:c r="D51" s="72" t="str">
        <x:v>CONFLICT-CF04-伤官分析澄清</x:v>
      </x:c>
      <x:c r="E51" s="72" t="str">
        <x:v>通用</x:v>
      </x:c>
      <x:c r="F51" s="72" t="str">
        <x:v>压力修正</x:v>
      </x:c>
      <x:c r="G51" s="72" t="str">
        <x:v>伤官</x:v>
      </x:c>
      <x:c r="H51" s="72" t="str"/>
      <x:c r="I51" s="72" t="str">
        <x:v>伤官过旺、强而无制，或M3-STATE显示该通道在压力状态被放大。</x:v>
      </x:c>
      <x:c r="J51" s="72" t="str">
        <x:v>基础信号未定；真合化后原信号已失效；只有单一弱远争议信号；或该结论会越界到M4风险、M5适配。</x:v>
      </x:c>
      <x:c r="K51" s="72" t="str">
        <x:v>由共享基础引擎与M3-STATE修正；日主承载只修正冲突处理的可执行性，不直接等于强硬或软弱。</x:v>
      </x:c>
      <x:c r="L51" s="72" t="str">
        <x:v>不限定；夫妻星只在责任、行动、投入等冲突议题中参与接口，不作为CONFLICT唯一主轴。</x:v>
      </x:c>
      <x:c r="M51" s="72" t="str">
        <x:v>由M3-BASE、日支主气及宫位动态提供；不得把日支直接写成配偶性格。</x:v>
      </x:c>
      <x:c r="N51" s="72" t="str">
        <x:v>无／待CONFLICT顺序与路径规则组合</x:v>
      </x:c>
      <x:c r="O51" s="72" t="str">
        <x:v>日柱与日支近位优先；全局有效独立信号可作次通道。</x:v>
      </x:c>
      <x:c r="P51" s="72" t="str">
        <x:v>由共享基础引擎判定</x:v>
      </x:c>
      <x:c r="Q51" s="72" t="str">
        <x:v>由共享基础引擎判定</x:v>
      </x:c>
      <x:c r="R51" s="72" t="str">
        <x:v>喜忌不直接等于冲突方式好坏；只修正调用顺畅度、资源压力和状态切换。</x:v>
      </x:c>
      <x:c r="S51" s="72" t="str">
        <x:v>原十神性质有效；真合化成立时按化神所属功能系统重建。</x:v>
      </x:c>
      <x:c r="T51" s="72" t="str">
        <x:v>由共享基础引擎判定</x:v>
      </x:c>
      <x:c r="U51" s="72" t="str">
        <x:v>66</x:v>
      </x:c>
      <x:c r="V51" s="72" t="str">
        <x:v>压力通道 +5；路由STATE/M4</x:v>
      </x:c>
      <x:c r="W51" s="72" t="str">
        <x:v>state_shift</x:v>
      </x:c>
      <x:c r="X51" s="72" t="str">
        <x:v>压力增加时，分析和指出问题可能变得更直接；是否伤人不能由本模块判断。</x:v>
      </x:c>
      <x:c r="Y51" s="72" t="str">
        <x:v>压力增加时，分析和指出问题可能变得更直接；是否伤人不能由本模块判断。</x:v>
      </x:c>
      <x:c r="Z5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51" s="72" t="str">
        <x:v>中</x:v>
      </x:c>
      <x:c r="AB51" s="72" t="str">
        <x:v>待验证</x:v>
      </x:c>
      <x:c r="AC51" s="72" t="str"/>
      <x:c r="AD51" s="72" t="str">
        <x:v>provisional=true; channel=CF04; ten_god=伤官</x:v>
      </x:c>
      <x:c r="AE51" s="73" t="str">
        <x:v>0.6</x:v>
      </x:c>
    </x:row>
    <x:row r="52">
      <x:c r="A52" s="71" t="str">
        <x:v>M3-CONFLICT-048</x:v>
      </x:c>
      <x:c r="B52" s="72" t="str">
        <x:v>CF04 伤官｜禁止人格化和结果化</x:v>
      </x:c>
      <x:c r="C52" s="72" t="str">
        <x:v>L1 十神冲突通道</x:v>
      </x:c>
      <x:c r="D52" s="72" t="str">
        <x:v>CONFLICT-CF04-伤官分析澄清</x:v>
      </x:c>
      <x:c r="E52" s="72" t="str">
        <x:v>通用</x:v>
      </x:c>
      <x:c r="F52" s="72" t="str">
        <x:v>禁止推断</x:v>
      </x:c>
      <x:c r="G52" s="72" t="str">
        <x:v>伤官</x:v>
      </x:c>
      <x:c r="H52" s="72" t="str"/>
      <x:c r="I52" s="72" t="str">
        <x:v>伤官冲突通道被识别。</x:v>
      </x:c>
      <x:c r="J52" s="72" t="str">
        <x:v>基础信号未定；真合化后原信号已失效；只有单一弱远争议信号；或该结论会越界到M4风险、M5适配。</x:v>
      </x:c>
      <x:c r="K52" s="72" t="str">
        <x:v>由共享基础引擎与M3-STATE修正；日主承载只修正冲突处理的可执行性，不直接等于强硬或软弱。</x:v>
      </x:c>
      <x:c r="L52" s="72" t="str">
        <x:v>不限定；夫妻星只在责任、行动、投入等冲突议题中参与接口，不作为CONFLICT唯一主轴。</x:v>
      </x:c>
      <x:c r="M52" s="72" t="str">
        <x:v>由M3-BASE、日支主气及宫位动态提供；不得把日支直接写成配偶性格。</x:v>
      </x:c>
      <x:c r="N52" s="72" t="str">
        <x:v>无／待CONFLICT顺序与路径规则组合</x:v>
      </x:c>
      <x:c r="O52" s="72" t="str">
        <x:v>日柱与日支近位优先；全局有效独立信号可作次通道。</x:v>
      </x:c>
      <x:c r="P52" s="72" t="str">
        <x:v>由共享基础引擎判定</x:v>
      </x:c>
      <x:c r="Q52" s="72" t="str">
        <x:v>由共享基础引擎判定</x:v>
      </x:c>
      <x:c r="R52" s="72" t="str">
        <x:v>喜忌不直接等于冲突方式好坏；只修正调用顺畅度、资源压力和状态切换。</x:v>
      </x:c>
      <x:c r="S52" s="72" t="str">
        <x:v>原十神性质有效；真合化成立时按化神所属功能系统重建。</x:v>
      </x:c>
      <x:c r="T52" s="72" t="str">
        <x:v>由共享基础引擎判定</x:v>
      </x:c>
      <x:c r="U52" s="72" t="str">
        <x:v>90</x:v>
      </x:c>
      <x:c r="V52" s="72" t="str">
        <x:v>不加分；边界检查</x:v>
      </x:c>
      <x:c r="W52" s="72" t="str">
        <x:v>boundary_note</x:v>
      </x:c>
      <x:c r="X52" s="72" t="str">
        <x:v>不得直接写成刻薄、挑剔、毒舌、爱抬杠或必然伤人。</x:v>
      </x:c>
      <x:c r="Y52" s="72" t="str">
        <x:v>不得直接写成刻薄、挑剔、毒舌、爱抬杠或必然伤人，这里只描述处理顺序。</x:v>
      </x:c>
      <x:c r="Z5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不得直接写成刻薄、挑剔、毒舌、爱抬杠或必然伤人。</x:v>
      </x:c>
      <x:c r="AA52" s="72" t="str">
        <x:v>高</x:v>
      </x:c>
      <x:c r="AB52" s="72" t="str">
        <x:v>待验证</x:v>
      </x:c>
      <x:c r="AC52" s="72" t="str"/>
      <x:c r="AD52" s="72" t="str">
        <x:v>provisional=true; channel=CF04; ten_god=伤官</x:v>
      </x:c>
      <x:c r="AE52" s="73" t="str">
        <x:v>0.6</x:v>
      </x:c>
    </x:row>
    <x:row r="53">
      <x:c r="A53" s="71" t="str">
        <x:v>M3-CONFLICT-049</x:v>
      </x:c>
      <x:c r="B53" s="72" t="str">
        <x:v>CF05 正财｜现实校准通道定义</x:v>
      </x:c>
      <x:c r="C53" s="72" t="str">
        <x:v>L1 十神冲突通道</x:v>
      </x:c>
      <x:c r="D53" s="72" t="str">
        <x:v>CONFLICT-CF05-正财现实校准</x:v>
      </x:c>
      <x:c r="E53" s="72" t="str">
        <x:v>通用</x:v>
      </x:c>
      <x:c r="F53" s="72" t="str">
        <x:v>通道定义</x:v>
      </x:c>
      <x:c r="G53" s="72" t="str">
        <x:v>正财</x:v>
      </x:c>
      <x:c r="H53" s="72" t="str"/>
      <x:c r="I53" s="72" t="str">
        <x:v>正财形成有效独立信号，且未因真合化失效；至少有日支／日柱、近位有根或现实重复行为中的一类可靠证据。</x:v>
      </x:c>
      <x:c r="J53" s="72" t="str">
        <x:v>基础信号未定；真合化后原信号已失效；只有单一弱远争议信号；或该结论会越界到M4风险、M5适配。</x:v>
      </x:c>
      <x:c r="K53" s="72" t="str">
        <x:v>由共享基础引擎与M3-STATE修正；日主承载只修正冲突处理的可执行性，不直接等于强硬或软弱。</x:v>
      </x:c>
      <x:c r="L53" s="72" t="str">
        <x:v>不限定；夫妻星只在责任、行动、投入等冲突议题中参与接口，不作为CONFLICT唯一主轴。</x:v>
      </x:c>
      <x:c r="M53" s="72" t="str">
        <x:v>由M3-BASE、日支主气及宫位动态提供；不得把日支直接写成配偶性格。</x:v>
      </x:c>
      <x:c r="N53" s="72" t="str">
        <x:v>无／待CONFLICT顺序与路径规则组合</x:v>
      </x:c>
      <x:c r="O53" s="72" t="str">
        <x:v>日柱与日支近位优先；全局有效独立信号可作次通道。</x:v>
      </x:c>
      <x:c r="P53" s="72" t="str">
        <x:v>由共享基础引擎判定</x:v>
      </x:c>
      <x:c r="Q53" s="72" t="str">
        <x:v>由共享基础引擎判定</x:v>
      </x:c>
      <x:c r="R53" s="72" t="str">
        <x:v>喜忌不直接等于冲突方式好坏；只修正调用顺畅度、资源压力和状态切换。</x:v>
      </x:c>
      <x:c r="S53" s="72" t="str">
        <x:v>原十神性质有效；真合化成立时按化神所属功能系统重建。</x:v>
      </x:c>
      <x:c r="T53" s="72" t="str">
        <x:v>由共享基础引擎判定</x:v>
      </x:c>
      <x:c r="U53" s="72" t="str">
        <x:v>75</x:v>
      </x:c>
      <x:c r="V53" s="72" t="str">
        <x:v>通道候选 +10</x:v>
      </x:c>
      <x:c r="W53" s="72" t="str">
        <x:v>primary_conflict_channel</x:v>
      </x:c>
      <x:c r="X53" s="72" t="str">
        <x:v>正财在CONFLICT中主要负责：把分歧落到时间、资源、安排、行为和可持续执行上。</x:v>
      </x:c>
      <x:c r="Y53" s="72" t="str">
        <x:v>你更容易把分歧落到具体安排上：时间怎么分、事情怎么做、资源怎样协调，以及后续能否持续。</x:v>
      </x:c>
      <x:c r="Z5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53" s="72" t="str">
        <x:v>中高</x:v>
      </x:c>
      <x:c r="AB53" s="72" t="str">
        <x:v>待验证</x:v>
      </x:c>
      <x:c r="AC53" s="72" t="str"/>
      <x:c r="AD53" s="72" t="str">
        <x:v>provisional=true; channel=CF05; ten_god=正财</x:v>
      </x:c>
      <x:c r="AE53" s="73" t="str">
        <x:v>0.6</x:v>
      </x:c>
    </x:row>
    <x:row r="54">
      <x:c r="A54" s="71" t="str">
        <x:v>M3-CONFLICT-050</x:v>
      </x:c>
      <x:c r="B54" s="72" t="str">
        <x:v>CF05 正财｜第一反应</x:v>
      </x:c>
      <x:c r="C54" s="72" t="str">
        <x:v>L1 十神冲突通道</x:v>
      </x:c>
      <x:c r="D54" s="72" t="str">
        <x:v>CONFLICT-CF05-正财现实校准</x:v>
      </x:c>
      <x:c r="E54" s="72" t="str">
        <x:v>通用</x:v>
      </x:c>
      <x:c r="F54" s="72" t="str">
        <x:v>第一反应</x:v>
      </x:c>
      <x:c r="G54" s="72" t="str">
        <x:v>正财</x:v>
      </x:c>
      <x:c r="H54" s="72" t="str"/>
      <x:c r="I54" s="72" t="str">
        <x:v>正财形成有效独立信号，且未因真合化失效；至少有日支／日柱、近位有根或现实重复行为中的一类可靠证据。</x:v>
      </x:c>
      <x:c r="J54" s="72" t="str">
        <x:v>基础信号未定；真合化后原信号已失效；只有单一弱远争议信号；或该结论会越界到M4风险、M5适配。</x:v>
      </x:c>
      <x:c r="K54" s="72" t="str">
        <x:v>由共享基础引擎与M3-STATE修正；日主承载只修正冲突处理的可执行性，不直接等于强硬或软弱。</x:v>
      </x:c>
      <x:c r="L54" s="72" t="str">
        <x:v>不限定；夫妻星只在责任、行动、投入等冲突议题中参与接口，不作为CONFLICT唯一主轴。</x:v>
      </x:c>
      <x:c r="M54" s="72" t="str">
        <x:v>由M3-BASE、日支主气及宫位动态提供；不得把日支直接写成配偶性格。</x:v>
      </x:c>
      <x:c r="N54" s="72" t="str">
        <x:v>无／待CONFLICT顺序与路径规则组合</x:v>
      </x:c>
      <x:c r="O54" s="72" t="str">
        <x:v>日柱与日支近位优先；全局有效独立信号可作次通道。</x:v>
      </x:c>
      <x:c r="P54" s="72" t="str">
        <x:v>由共享基础引擎判定</x:v>
      </x:c>
      <x:c r="Q54" s="72" t="str">
        <x:v>由共享基础引擎判定</x:v>
      </x:c>
      <x:c r="R54" s="72" t="str">
        <x:v>喜忌不直接等于冲突方式好坏；只修正调用顺畅度、资源压力和状态切换。</x:v>
      </x:c>
      <x:c r="S54" s="72" t="str">
        <x:v>原十神性质有效；真合化成立时按化神所属功能系统重建。</x:v>
      </x:c>
      <x:c r="T54" s="72" t="str">
        <x:v>由共享基础引擎判定</x:v>
      </x:c>
      <x:c r="U54" s="72" t="str">
        <x:v>72</x:v>
      </x:c>
      <x:c r="V54" s="72" t="str">
        <x:v>第一反应候选 +6</x:v>
      </x:c>
      <x:c r="W54" s="72" t="str">
        <x:v>first_response</x:v>
      </x:c>
      <x:c r="X54" s="72" t="str">
        <x:v>先核对发生了什么、谁做了什么、现实条件允许什么</x:v>
      </x:c>
      <x:c r="Y54" s="72" t="str">
        <x:v>分歧刚出现时，你更可能先核对发生了什么、谁做了什么、现实条件允许什么。</x:v>
      </x:c>
      <x:c r="Z5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54" s="72" t="str">
        <x:v>中</x:v>
      </x:c>
      <x:c r="AB54" s="72" t="str">
        <x:v>待验证</x:v>
      </x:c>
      <x:c r="AC54" s="72" t="str"/>
      <x:c r="AD54" s="72" t="str">
        <x:v>provisional=true; channel=CF05; ten_god=正财</x:v>
      </x:c>
      <x:c r="AE54" s="73" t="str">
        <x:v>0.6</x:v>
      </x:c>
    </x:row>
    <x:row r="55">
      <x:c r="A55" s="71" t="str">
        <x:v>M3-CONFLICT-051</x:v>
      </x:c>
      <x:c r="B55" s="72" t="str">
        <x:v>CF05 正财｜注意焦点</x:v>
      </x:c>
      <x:c r="C55" s="72" t="str">
        <x:v>L1 十神冲突通道</x:v>
      </x:c>
      <x:c r="D55" s="72" t="str">
        <x:v>CONFLICT-CF05-正财现实校准</x:v>
      </x:c>
      <x:c r="E55" s="72" t="str">
        <x:v>通用</x:v>
      </x:c>
      <x:c r="F55" s="72" t="str">
        <x:v>信息焦点</x:v>
      </x:c>
      <x:c r="G55" s="72" t="str">
        <x:v>正财</x:v>
      </x:c>
      <x:c r="H55" s="72" t="str"/>
      <x:c r="I55" s="72" t="str">
        <x:v>正财形成有效独立信号，且未因真合化失效；至少有日支／日柱、近位有根或现实重复行为中的一类可靠证据。</x:v>
      </x:c>
      <x:c r="J55" s="72" t="str">
        <x:v>基础信号未定；真合化后原信号已失效；只有单一弱远争议信号；或该结论会越界到M4风险、M5适配。</x:v>
      </x:c>
      <x:c r="K55" s="72" t="str">
        <x:v>由共享基础引擎与M3-STATE修正；日主承载只修正冲突处理的可执行性，不直接等于强硬或软弱。</x:v>
      </x:c>
      <x:c r="L55" s="72" t="str">
        <x:v>不限定；夫妻星只在责任、行动、投入等冲突议题中参与接口，不作为CONFLICT唯一主轴。</x:v>
      </x:c>
      <x:c r="M55" s="72" t="str">
        <x:v>由M3-BASE、日支主气及宫位动态提供；不得把日支直接写成配偶性格。</x:v>
      </x:c>
      <x:c r="N55" s="72" t="str">
        <x:v>无／待CONFLICT顺序与路径规则组合</x:v>
      </x:c>
      <x:c r="O55" s="72" t="str">
        <x:v>日柱与日支近位优先；全局有效独立信号可作次通道。</x:v>
      </x:c>
      <x:c r="P55" s="72" t="str">
        <x:v>由共享基础引擎判定</x:v>
      </x:c>
      <x:c r="Q55" s="72" t="str">
        <x:v>由共享基础引擎判定</x:v>
      </x:c>
      <x:c r="R55" s="72" t="str">
        <x:v>喜忌不直接等于冲突方式好坏；只修正调用顺畅度、资源压力和状态切换。</x:v>
      </x:c>
      <x:c r="S55" s="72" t="str">
        <x:v>原十神性质有效；真合化成立时按化神所属功能系统重建。</x:v>
      </x:c>
      <x:c r="T55" s="72" t="str">
        <x:v>由共享基础引擎判定</x:v>
      </x:c>
      <x:c r="U55" s="72" t="str">
        <x:v>70</x:v>
      </x:c>
      <x:c r="V55" s="72" t="str">
        <x:v>焦点候选 +5</x:v>
      </x:c>
      <x:c r="W55" s="72" t="str">
        <x:v>attention_focus</x:v>
      </x:c>
      <x:c r="X55" s="72" t="str">
        <x:v>该通道首先读取：时间、金钱、分工、日常安排、持续投入和实际兑现。</x:v>
      </x:c>
      <x:c r="Y55" s="72" t="str">
        <x:v>你在分歧中会特别注意时间、金钱、分工、日常安排、持续投入和实际兑现。</x:v>
      </x:c>
      <x:c r="Z5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55" s="72" t="str">
        <x:v>中</x:v>
      </x:c>
      <x:c r="AB55" s="72" t="str">
        <x:v>待验证</x:v>
      </x:c>
      <x:c r="AC55" s="72" t="str"/>
      <x:c r="AD55" s="72" t="str">
        <x:v>provisional=true; channel=CF05; ten_god=正财</x:v>
      </x:c>
      <x:c r="AE55" s="73" t="str">
        <x:v>0.6</x:v>
      </x:c>
    </x:row>
    <x:row r="56">
      <x:c r="A56" s="71" t="str">
        <x:v>M3-CONFLICT-052</x:v>
      </x:c>
      <x:c r="B56" s="72" t="str">
        <x:v>CF05 正财｜阶段结束条件</x:v>
      </x:c>
      <x:c r="C56" s="72" t="str">
        <x:v>L1 十神冲突通道</x:v>
      </x:c>
      <x:c r="D56" s="72" t="str">
        <x:v>CONFLICT-CF05-正财现实校准</x:v>
      </x:c>
      <x:c r="E56" s="72" t="str">
        <x:v>通用</x:v>
      </x:c>
      <x:c r="F56" s="72" t="str">
        <x:v>结束条件</x:v>
      </x:c>
      <x:c r="G56" s="72" t="str">
        <x:v>正财</x:v>
      </x:c>
      <x:c r="H56" s="72" t="str"/>
      <x:c r="I56" s="72" t="str">
        <x:v>正财形成有效独立信号，且未因真合化失效；至少有日支／日柱、近位有根或现实重复行为中的一类可靠证据。</x:v>
      </x:c>
      <x:c r="J56" s="72" t="str">
        <x:v>基础信号未定；真合化后原信号已失效；只有单一弱远争议信号；或该结论会越界到M4风险、M5适配。</x:v>
      </x:c>
      <x:c r="K56" s="72" t="str">
        <x:v>由共享基础引擎与M3-STATE修正；日主承载只修正冲突处理的可执行性，不直接等于强硬或软弱。</x:v>
      </x:c>
      <x:c r="L56" s="72" t="str">
        <x:v>不限定；夫妻星只在责任、行动、投入等冲突议题中参与接口，不作为CONFLICT唯一主轴。</x:v>
      </x:c>
      <x:c r="M56" s="72" t="str">
        <x:v>由M3-BASE、日支主气及宫位动态提供；不得把日支直接写成配偶性格。</x:v>
      </x:c>
      <x:c r="N56" s="72" t="str">
        <x:v>无／待CONFLICT顺序与路径规则组合</x:v>
      </x:c>
      <x:c r="O56" s="72" t="str">
        <x:v>日柱与日支近位优先；全局有效独立信号可作次通道。</x:v>
      </x:c>
      <x:c r="P56" s="72" t="str">
        <x:v>由共享基础引擎判定</x:v>
      </x:c>
      <x:c r="Q56" s="72" t="str">
        <x:v>由共享基础引擎判定</x:v>
      </x:c>
      <x:c r="R56" s="72" t="str">
        <x:v>喜忌不直接等于冲突方式好坏；只修正调用顺畅度、资源压力和状态切换。</x:v>
      </x:c>
      <x:c r="S56" s="72" t="str">
        <x:v>原十神性质有效；真合化成立时按化神所属功能系统重建。</x:v>
      </x:c>
      <x:c r="T56" s="72" t="str">
        <x:v>由共享基础引擎判定</x:v>
      </x:c>
      <x:c r="U56" s="72" t="str">
        <x:v>68</x:v>
      </x:c>
      <x:c r="V56" s="72" t="str">
        <x:v>结束条件候选 +5</x:v>
      </x:c>
      <x:c r="W56" s="72" t="str">
        <x:v>conflict_end_condition</x:v>
      </x:c>
      <x:c r="X56" s="72" t="str">
        <x:v>形成明确、可重复执行的现实安排，并观察后续能否持续</x:v>
      </x:c>
      <x:c r="Y56" s="72" t="str">
        <x:v>对你来说，这一轮分歧更容易在“形成明确、可重复执行的现实安排，并观察后续能否持续”之后暂时告一段落。</x:v>
      </x:c>
      <x:c r="Z5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56" s="72" t="str">
        <x:v>中</x:v>
      </x:c>
      <x:c r="AB56" s="72" t="str">
        <x:v>待验证</x:v>
      </x:c>
      <x:c r="AC56" s="72" t="str"/>
      <x:c r="AD56" s="72" t="str">
        <x:v>provisional=true; channel=CF05; ten_god=正财</x:v>
      </x:c>
      <x:c r="AE56" s="73" t="str">
        <x:v>0.6</x:v>
      </x:c>
    </x:row>
    <x:row r="57">
      <x:c r="A57" s="71" t="str">
        <x:v>M3-CONFLICT-053</x:v>
      </x:c>
      <x:c r="B57" s="72" t="str">
        <x:v>CF05 正财｜弱远或条件性调用</x:v>
      </x:c>
      <x:c r="C57" s="72" t="str">
        <x:v>L1 十神冲突通道</x:v>
      </x:c>
      <x:c r="D57" s="72" t="str">
        <x:v>CONFLICT-CF05-正财现实校准</x:v>
      </x:c>
      <x:c r="E57" s="72" t="str">
        <x:v>通用</x:v>
      </x:c>
      <x:c r="F57" s="72" t="str">
        <x:v>条件修正</x:v>
      </x:c>
      <x:c r="G57" s="72" t="str">
        <x:v>正财</x:v>
      </x:c>
      <x:c r="H57" s="72" t="str"/>
      <x:c r="I57" s="72" t="str">
        <x:v>正财偏弱、远位、无根，或只有单一间接证据。</x:v>
      </x:c>
      <x:c r="J57" s="72" t="str">
        <x:v>基础信号未定；真合化后原信号已失效；只有单一弱远争议信号；或该结论会越界到M4风险、M5适配。</x:v>
      </x:c>
      <x:c r="K57" s="72" t="str">
        <x:v>由共享基础引擎与M3-STATE修正；日主承载只修正冲突处理的可执行性，不直接等于强硬或软弱。</x:v>
      </x:c>
      <x:c r="L57" s="72" t="str">
        <x:v>不限定；夫妻星只在责任、行动、投入等冲突议题中参与接口，不作为CONFLICT唯一主轴。</x:v>
      </x:c>
      <x:c r="M57" s="72" t="str">
        <x:v>由M3-BASE、日支主气及宫位动态提供；不得把日支直接写成配偶性格。</x:v>
      </x:c>
      <x:c r="N57" s="72" t="str">
        <x:v>无／待CONFLICT顺序与路径规则组合</x:v>
      </x:c>
      <x:c r="O57" s="72" t="str">
        <x:v>日柱与日支近位优先；全局有效独立信号可作次通道。</x:v>
      </x:c>
      <x:c r="P57" s="72" t="str">
        <x:v>由共享基础引擎判定</x:v>
      </x:c>
      <x:c r="Q57" s="72" t="str">
        <x:v>由共享基础引擎判定</x:v>
      </x:c>
      <x:c r="R57" s="72" t="str">
        <x:v>喜忌不直接等于冲突方式好坏；只修正调用顺畅度、资源压力和状态切换。</x:v>
      </x:c>
      <x:c r="S57" s="72" t="str">
        <x:v>原十神性质有效；真合化成立时按化神所属功能系统重建。</x:v>
      </x:c>
      <x:c r="T57" s="72" t="str">
        <x:v>由共享基础引擎判定</x:v>
      </x:c>
      <x:c r="U57" s="72" t="str">
        <x:v>60</x:v>
      </x:c>
      <x:c r="V57" s="72" t="str">
        <x:v>候选 +2；降置信</x:v>
      </x:c>
      <x:c r="W57" s="72" t="str">
        <x:v>secondary_conflict_channel</x:v>
      </x:c>
      <x:c r="X57" s="72" t="str">
        <x:v>信号偏弱时，只能说明你需要现实依据，不写成一定会主动承担或安排。</x:v>
      </x:c>
      <x:c r="Y57" s="72" t="str">
        <x:v>信号偏弱时，只能说明你需要现实依据，不写成一定会主动承担或安排。</x:v>
      </x:c>
      <x:c r="Z5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57" s="72" t="str">
        <x:v>中低</x:v>
      </x:c>
      <x:c r="AB57" s="72" t="str">
        <x:v>待验证</x:v>
      </x:c>
      <x:c r="AC57" s="72" t="str"/>
      <x:c r="AD57" s="72" t="str">
        <x:v>provisional=true; channel=CF05; ten_god=正财</x:v>
      </x:c>
      <x:c r="AE57" s="73" t="str">
        <x:v>0.6</x:v>
      </x:c>
    </x:row>
    <x:row r="58">
      <x:c r="A58" s="71" t="str">
        <x:v>M3-CONFLICT-054</x:v>
      </x:c>
      <x:c r="B58" s="72" t="str">
        <x:v>CF05 正财｜压力下抢先或切换</x:v>
      </x:c>
      <x:c r="C58" s="72" t="str">
        <x:v>L1 十神冲突通道</x:v>
      </x:c>
      <x:c r="D58" s="72" t="str">
        <x:v>CONFLICT-CF05-正财现实校准</x:v>
      </x:c>
      <x:c r="E58" s="72" t="str">
        <x:v>通用</x:v>
      </x:c>
      <x:c r="F58" s="72" t="str">
        <x:v>压力修正</x:v>
      </x:c>
      <x:c r="G58" s="72" t="str">
        <x:v>正财</x:v>
      </x:c>
      <x:c r="H58" s="72" t="str"/>
      <x:c r="I58" s="72" t="str">
        <x:v>正财过旺、强而无制，或M3-STATE显示该通道在压力状态被放大。</x:v>
      </x:c>
      <x:c r="J58" s="72" t="str">
        <x:v>基础信号未定；真合化后原信号已失效；只有单一弱远争议信号；或该结论会越界到M4风险、M5适配。</x:v>
      </x:c>
      <x:c r="K58" s="72" t="str">
        <x:v>由共享基础引擎与M3-STATE修正；日主承载只修正冲突处理的可执行性，不直接等于强硬或软弱。</x:v>
      </x:c>
      <x:c r="L58" s="72" t="str">
        <x:v>不限定；夫妻星只在责任、行动、投入等冲突议题中参与接口，不作为CONFLICT唯一主轴。</x:v>
      </x:c>
      <x:c r="M58" s="72" t="str">
        <x:v>由M3-BASE、日支主气及宫位动态提供；不得把日支直接写成配偶性格。</x:v>
      </x:c>
      <x:c r="N58" s="72" t="str">
        <x:v>无／待CONFLICT顺序与路径规则组合</x:v>
      </x:c>
      <x:c r="O58" s="72" t="str">
        <x:v>日柱与日支近位优先；全局有效独立信号可作次通道。</x:v>
      </x:c>
      <x:c r="P58" s="72" t="str">
        <x:v>由共享基础引擎判定</x:v>
      </x:c>
      <x:c r="Q58" s="72" t="str">
        <x:v>由共享基础引擎判定</x:v>
      </x:c>
      <x:c r="R58" s="72" t="str">
        <x:v>喜忌不直接等于冲突方式好坏；只修正调用顺畅度、资源压力和状态切换。</x:v>
      </x:c>
      <x:c r="S58" s="72" t="str">
        <x:v>原十神性质有效；真合化成立时按化神所属功能系统重建。</x:v>
      </x:c>
      <x:c r="T58" s="72" t="str">
        <x:v>由共享基础引擎判定</x:v>
      </x:c>
      <x:c r="U58" s="72" t="str">
        <x:v>66</x:v>
      </x:c>
      <x:c r="V58" s="72" t="str">
        <x:v>压力通道 +5；路由STATE/M4</x:v>
      </x:c>
      <x:c r="W58" s="72" t="str">
        <x:v>state_shift</x:v>
      </x:c>
      <x:c r="X58" s="72" t="str">
        <x:v>压力增加时，现实细节可能占据主要注意；是否忽略感受需继续看印食伤与真实反馈。</x:v>
      </x:c>
      <x:c r="Y58" s="72" t="str">
        <x:v>压力增加时，现实细节可能占据主要注意；是否忽略感受需继续看印食伤与真实反馈。</x:v>
      </x:c>
      <x:c r="Z5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58" s="72" t="str">
        <x:v>中</x:v>
      </x:c>
      <x:c r="AB58" s="72" t="str">
        <x:v>待验证</x:v>
      </x:c>
      <x:c r="AC58" s="72" t="str"/>
      <x:c r="AD58" s="72" t="str">
        <x:v>provisional=true; channel=CF05; ten_god=正财</x:v>
      </x:c>
      <x:c r="AE58" s="73" t="str">
        <x:v>0.6</x:v>
      </x:c>
    </x:row>
    <x:row r="59">
      <x:c r="A59" s="71" t="str">
        <x:v>M3-CONFLICT-055</x:v>
      </x:c>
      <x:c r="B59" s="72" t="str">
        <x:v>CF05 正财｜禁止人格化和结果化</x:v>
      </x:c>
      <x:c r="C59" s="72" t="str">
        <x:v>L1 十神冲突通道</x:v>
      </x:c>
      <x:c r="D59" s="72" t="str">
        <x:v>CONFLICT-CF05-正财现实校准</x:v>
      </x:c>
      <x:c r="E59" s="72" t="str">
        <x:v>通用</x:v>
      </x:c>
      <x:c r="F59" s="72" t="str">
        <x:v>禁止推断</x:v>
      </x:c>
      <x:c r="G59" s="72" t="str">
        <x:v>正财</x:v>
      </x:c>
      <x:c r="H59" s="72" t="str"/>
      <x:c r="I59" s="72" t="str">
        <x:v>正财冲突通道被识别。</x:v>
      </x:c>
      <x:c r="J59" s="72" t="str">
        <x:v>基础信号未定；真合化后原信号已失效；只有单一弱远争议信号；或该结论会越界到M4风险、M5适配。</x:v>
      </x:c>
      <x:c r="K59" s="72" t="str">
        <x:v>由共享基础引擎与M3-STATE修正；日主承载只修正冲突处理的可执行性，不直接等于强硬或软弱。</x:v>
      </x:c>
      <x:c r="L59" s="72" t="str">
        <x:v>不限定；夫妻星只在责任、行动、投入等冲突议题中参与接口，不作为CONFLICT唯一主轴。</x:v>
      </x:c>
      <x:c r="M59" s="72" t="str">
        <x:v>由M3-BASE、日支主气及宫位动态提供；不得把日支直接写成配偶性格。</x:v>
      </x:c>
      <x:c r="N59" s="72" t="str">
        <x:v>无／待CONFLICT顺序与路径规则组合</x:v>
      </x:c>
      <x:c r="O59" s="72" t="str">
        <x:v>日柱与日支近位优先；全局有效独立信号可作次通道。</x:v>
      </x:c>
      <x:c r="P59" s="72" t="str">
        <x:v>由共享基础引擎判定</x:v>
      </x:c>
      <x:c r="Q59" s="72" t="str">
        <x:v>由共享基础引擎判定</x:v>
      </x:c>
      <x:c r="R59" s="72" t="str">
        <x:v>喜忌不直接等于冲突方式好坏；只修正调用顺畅度、资源压力和状态切换。</x:v>
      </x:c>
      <x:c r="S59" s="72" t="str">
        <x:v>原十神性质有效；真合化成立时按化神所属功能系统重建。</x:v>
      </x:c>
      <x:c r="T59" s="72" t="str">
        <x:v>由共享基础引擎判定</x:v>
      </x:c>
      <x:c r="U59" s="72" t="str">
        <x:v>90</x:v>
      </x:c>
      <x:c r="V59" s="72" t="str">
        <x:v>不加分；边界检查</x:v>
      </x:c>
      <x:c r="W59" s="72" t="str">
        <x:v>boundary_note</x:v>
      </x:c>
      <x:c r="X59" s="72" t="str">
        <x:v>不得直接写成计较、现实、只看利益或用钱解决一切。</x:v>
      </x:c>
      <x:c r="Y59" s="72" t="str">
        <x:v>不得直接写成计较、现实、只看利益或用钱解决一切，这里只描述处理顺序。</x:v>
      </x:c>
      <x:c r="Z5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不得直接写成计较、现实、只看利益或用钱解决一切。</x:v>
      </x:c>
      <x:c r="AA59" s="72" t="str">
        <x:v>高</x:v>
      </x:c>
      <x:c r="AB59" s="72" t="str">
        <x:v>待验证</x:v>
      </x:c>
      <x:c r="AC59" s="72" t="str"/>
      <x:c r="AD59" s="72" t="str">
        <x:v>provisional=true; channel=CF05; ten_god=正财</x:v>
      </x:c>
      <x:c r="AE59" s="73" t="str">
        <x:v>0.6</x:v>
      </x:c>
    </x:row>
    <x:row r="60">
      <x:c r="A60" s="71" t="str">
        <x:v>M3-CONFLICT-056</x:v>
      </x:c>
      <x:c r="B60" s="72" t="str">
        <x:v>CF06 偏财｜灵活换案通道定义</x:v>
      </x:c>
      <x:c r="C60" s="72" t="str">
        <x:v>L1 十神冲突通道</x:v>
      </x:c>
      <x:c r="D60" s="72" t="str">
        <x:v>CONFLICT-CF06-偏财灵活换案</x:v>
      </x:c>
      <x:c r="E60" s="72" t="str">
        <x:v>通用</x:v>
      </x:c>
      <x:c r="F60" s="72" t="str">
        <x:v>通道定义</x:v>
      </x:c>
      <x:c r="G60" s="72" t="str">
        <x:v>偏财</x:v>
      </x:c>
      <x:c r="H60" s="72" t="str"/>
      <x:c r="I60" s="72" t="str">
        <x:v>偏财形成有效独立信号，且未因真合化失效；至少有日支／日柱、近位有根或现实重复行为中的一类可靠证据。</x:v>
      </x:c>
      <x:c r="J60" s="72" t="str">
        <x:v>基础信号未定；真合化后原信号已失效；只有单一弱远争议信号；或该结论会越界到M4风险、M5适配。</x:v>
      </x:c>
      <x:c r="K60" s="72" t="str">
        <x:v>由共享基础引擎与M3-STATE修正；日主承载只修正冲突处理的可执行性，不直接等于强硬或软弱。</x:v>
      </x:c>
      <x:c r="L60" s="72" t="str">
        <x:v>不限定；夫妻星只在责任、行动、投入等冲突议题中参与接口，不作为CONFLICT唯一主轴。</x:v>
      </x:c>
      <x:c r="M60" s="72" t="str">
        <x:v>由M3-BASE、日支主气及宫位动态提供；不得把日支直接写成配偶性格。</x:v>
      </x:c>
      <x:c r="N60" s="72" t="str">
        <x:v>无／待CONFLICT顺序与路径规则组合</x:v>
      </x:c>
      <x:c r="O60" s="72" t="str">
        <x:v>日柱与日支近位优先；全局有效独立信号可作次通道。</x:v>
      </x:c>
      <x:c r="P60" s="72" t="str">
        <x:v>由共享基础引擎判定</x:v>
      </x:c>
      <x:c r="Q60" s="72" t="str">
        <x:v>由共享基础引擎判定</x:v>
      </x:c>
      <x:c r="R60" s="72" t="str">
        <x:v>喜忌不直接等于冲突方式好坏；只修正调用顺畅度、资源压力和状态切换。</x:v>
      </x:c>
      <x:c r="S60" s="72" t="str">
        <x:v>原十神性质有效；真合化成立时按化神所属功能系统重建。</x:v>
      </x:c>
      <x:c r="T60" s="72" t="str">
        <x:v>由共享基础引擎判定</x:v>
      </x:c>
      <x:c r="U60" s="72" t="str">
        <x:v>75</x:v>
      </x:c>
      <x:c r="V60" s="72" t="str">
        <x:v>通道候选 +10</x:v>
      </x:c>
      <x:c r="W60" s="72" t="str">
        <x:v>primary_conflict_channel</x:v>
      </x:c>
      <x:c r="X60" s="72" t="str">
        <x:v>偏财在CONFLICT中主要负责：通过调整方式、寻找替代方案和改变互动情境处理分歧。</x:v>
      </x:c>
      <x:c r="Y60" s="72" t="str">
        <x:v>你在分歧中往往会寻找别的处理办法，愿意调整方式、场景或方案，让关系重新有可移动的空间。</x:v>
      </x:c>
      <x:c r="Z6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60" s="72" t="str">
        <x:v>中高</x:v>
      </x:c>
      <x:c r="AB60" s="72" t="str">
        <x:v>待验证</x:v>
      </x:c>
      <x:c r="AC60" s="72" t="str"/>
      <x:c r="AD60" s="72" t="str">
        <x:v>provisional=true; channel=CF06; ten_god=偏财</x:v>
      </x:c>
      <x:c r="AE60" s="73" t="str">
        <x:v>0.6</x:v>
      </x:c>
    </x:row>
    <x:row r="61">
      <x:c r="A61" s="71" t="str">
        <x:v>M3-CONFLICT-057</x:v>
      </x:c>
      <x:c r="B61" s="72" t="str">
        <x:v>CF06 偏财｜第一反应</x:v>
      </x:c>
      <x:c r="C61" s="72" t="str">
        <x:v>L1 十神冲突通道</x:v>
      </x:c>
      <x:c r="D61" s="72" t="str">
        <x:v>CONFLICT-CF06-偏财灵活换案</x:v>
      </x:c>
      <x:c r="E61" s="72" t="str">
        <x:v>通用</x:v>
      </x:c>
      <x:c r="F61" s="72" t="str">
        <x:v>第一反应</x:v>
      </x:c>
      <x:c r="G61" s="72" t="str">
        <x:v>偏财</x:v>
      </x:c>
      <x:c r="H61" s="72" t="str"/>
      <x:c r="I61" s="72" t="str">
        <x:v>偏财形成有效独立信号，且未因真合化失效；至少有日支／日柱、近位有根或现实重复行为中的一类可靠证据。</x:v>
      </x:c>
      <x:c r="J61" s="72" t="str">
        <x:v>基础信号未定；真合化后原信号已失效；只有单一弱远争议信号；或该结论会越界到M4风险、M5适配。</x:v>
      </x:c>
      <x:c r="K61" s="72" t="str">
        <x:v>由共享基础引擎与M3-STATE修正；日主承载只修正冲突处理的可执行性，不直接等于强硬或软弱。</x:v>
      </x:c>
      <x:c r="L61" s="72" t="str">
        <x:v>不限定；夫妻星只在责任、行动、投入等冲突议题中参与接口，不作为CONFLICT唯一主轴。</x:v>
      </x:c>
      <x:c r="M61" s="72" t="str">
        <x:v>由M3-BASE、日支主气及宫位动态提供；不得把日支直接写成配偶性格。</x:v>
      </x:c>
      <x:c r="N61" s="72" t="str">
        <x:v>无／待CONFLICT顺序与路径规则组合</x:v>
      </x:c>
      <x:c r="O61" s="72" t="str">
        <x:v>日柱与日支近位优先；全局有效独立信号可作次通道。</x:v>
      </x:c>
      <x:c r="P61" s="72" t="str">
        <x:v>由共享基础引擎判定</x:v>
      </x:c>
      <x:c r="Q61" s="72" t="str">
        <x:v>由共享基础引擎判定</x:v>
      </x:c>
      <x:c r="R61" s="72" t="str">
        <x:v>喜忌不直接等于冲突方式好坏；只修正调用顺畅度、资源压力和状态切换。</x:v>
      </x:c>
      <x:c r="S61" s="72" t="str">
        <x:v>原十神性质有效；真合化成立时按化神所属功能系统重建。</x:v>
      </x:c>
      <x:c r="T61" s="72" t="str">
        <x:v>由共享基础引擎判定</x:v>
      </x:c>
      <x:c r="U61" s="72" t="str">
        <x:v>72</x:v>
      </x:c>
      <x:c r="V61" s="72" t="str">
        <x:v>第一反应候选 +6</x:v>
      </x:c>
      <x:c r="W61" s="72" t="str">
        <x:v>first_response</x:v>
      </x:c>
      <x:c r="X61" s="72" t="str">
        <x:v>先寻找更灵活的处理办法，改变时间、场景、资源或互动方式</x:v>
      </x:c>
      <x:c r="Y61" s="72" t="str">
        <x:v>分歧刚出现时，你更可能先寻找更灵活的处理办法，改变时间、场景、资源或互动方式。</x:v>
      </x:c>
      <x:c r="Z6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61" s="72" t="str">
        <x:v>中</x:v>
      </x:c>
      <x:c r="AB61" s="72" t="str">
        <x:v>待验证</x:v>
      </x:c>
      <x:c r="AC61" s="72" t="str"/>
      <x:c r="AD61" s="72" t="str">
        <x:v>provisional=true; channel=CF06; ten_god=偏财</x:v>
      </x:c>
      <x:c r="AE61" s="73" t="str">
        <x:v>0.6</x:v>
      </x:c>
    </x:row>
    <x:row r="62">
      <x:c r="A62" s="71" t="str">
        <x:v>M3-CONFLICT-058</x:v>
      </x:c>
      <x:c r="B62" s="72" t="str">
        <x:v>CF06 偏财｜注意焦点</x:v>
      </x:c>
      <x:c r="C62" s="72" t="str">
        <x:v>L1 十神冲突通道</x:v>
      </x:c>
      <x:c r="D62" s="72" t="str">
        <x:v>CONFLICT-CF06-偏财灵活换案</x:v>
      </x:c>
      <x:c r="E62" s="72" t="str">
        <x:v>通用</x:v>
      </x:c>
      <x:c r="F62" s="72" t="str">
        <x:v>信息焦点</x:v>
      </x:c>
      <x:c r="G62" s="72" t="str">
        <x:v>偏财</x:v>
      </x:c>
      <x:c r="H62" s="72" t="str"/>
      <x:c r="I62" s="72" t="str">
        <x:v>偏财形成有效独立信号，且未因真合化失效；至少有日支／日柱、近位有根或现实重复行为中的一类可靠证据。</x:v>
      </x:c>
      <x:c r="J62" s="72" t="str">
        <x:v>基础信号未定；真合化后原信号已失效；只有单一弱远争议信号；或该结论会越界到M4风险、M5适配。</x:v>
      </x:c>
      <x:c r="K62" s="72" t="str">
        <x:v>由共享基础引擎与M3-STATE修正；日主承载只修正冲突处理的可执行性，不直接等于强硬或软弱。</x:v>
      </x:c>
      <x:c r="L62" s="72" t="str">
        <x:v>不限定；夫妻星只在责任、行动、投入等冲突议题中参与接口，不作为CONFLICT唯一主轴。</x:v>
      </x:c>
      <x:c r="M62" s="72" t="str">
        <x:v>由M3-BASE、日支主气及宫位动态提供；不得把日支直接写成配偶性格。</x:v>
      </x:c>
      <x:c r="N62" s="72" t="str">
        <x:v>无／待CONFLICT顺序与路径规则组合</x:v>
      </x:c>
      <x:c r="O62" s="72" t="str">
        <x:v>日柱与日支近位优先；全局有效独立信号可作次通道。</x:v>
      </x:c>
      <x:c r="P62" s="72" t="str">
        <x:v>由共享基础引擎判定</x:v>
      </x:c>
      <x:c r="Q62" s="72" t="str">
        <x:v>由共享基础引擎判定</x:v>
      </x:c>
      <x:c r="R62" s="72" t="str">
        <x:v>喜忌不直接等于冲突方式好坏；只修正调用顺畅度、资源压力和状态切换。</x:v>
      </x:c>
      <x:c r="S62" s="72" t="str">
        <x:v>原十神性质有效；真合化成立时按化神所属功能系统重建。</x:v>
      </x:c>
      <x:c r="T62" s="72" t="str">
        <x:v>由共享基础引擎判定</x:v>
      </x:c>
      <x:c r="U62" s="72" t="str">
        <x:v>70</x:v>
      </x:c>
      <x:c r="V62" s="72" t="str">
        <x:v>焦点候选 +5</x:v>
      </x:c>
      <x:c r="W62" s="72" t="str">
        <x:v>attention_focus</x:v>
      </x:c>
      <x:c r="X62" s="72" t="str">
        <x:v>该通道首先读取：是否还有替代路径、双方体验、现实机会和可调整空间。</x:v>
      </x:c>
      <x:c r="Y62" s="72" t="str">
        <x:v>你在分歧中会特别注意是否还有替代路径、双方体验、现实机会和可调整空间。</x:v>
      </x:c>
      <x:c r="Z6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62" s="72" t="str">
        <x:v>中</x:v>
      </x:c>
      <x:c r="AB62" s="72" t="str">
        <x:v>待验证</x:v>
      </x:c>
      <x:c r="AC62" s="72" t="str"/>
      <x:c r="AD62" s="72" t="str">
        <x:v>provisional=true; channel=CF06; ten_god=偏财</x:v>
      </x:c>
      <x:c r="AE62" s="73" t="str">
        <x:v>0.6</x:v>
      </x:c>
    </x:row>
    <x:row r="63">
      <x:c r="A63" s="71" t="str">
        <x:v>M3-CONFLICT-059</x:v>
      </x:c>
      <x:c r="B63" s="72" t="str">
        <x:v>CF06 偏财｜阶段结束条件</x:v>
      </x:c>
      <x:c r="C63" s="72" t="str">
        <x:v>L1 十神冲突通道</x:v>
      </x:c>
      <x:c r="D63" s="72" t="str">
        <x:v>CONFLICT-CF06-偏财灵活换案</x:v>
      </x:c>
      <x:c r="E63" s="72" t="str">
        <x:v>通用</x:v>
      </x:c>
      <x:c r="F63" s="72" t="str">
        <x:v>结束条件</x:v>
      </x:c>
      <x:c r="G63" s="72" t="str">
        <x:v>偏财</x:v>
      </x:c>
      <x:c r="H63" s="72" t="str"/>
      <x:c r="I63" s="72" t="str">
        <x:v>偏财形成有效独立信号，且未因真合化失效；至少有日支／日柱、近位有根或现实重复行为中的一类可靠证据。</x:v>
      </x:c>
      <x:c r="J63" s="72" t="str">
        <x:v>基础信号未定；真合化后原信号已失效；只有单一弱远争议信号；或该结论会越界到M4风险、M5适配。</x:v>
      </x:c>
      <x:c r="K63" s="72" t="str">
        <x:v>由共享基础引擎与M3-STATE修正；日主承载只修正冲突处理的可执行性，不直接等于强硬或软弱。</x:v>
      </x:c>
      <x:c r="L63" s="72" t="str">
        <x:v>不限定；夫妻星只在责任、行动、投入等冲突议题中参与接口，不作为CONFLICT唯一主轴。</x:v>
      </x:c>
      <x:c r="M63" s="72" t="str">
        <x:v>由M3-BASE、日支主气及宫位动态提供；不得把日支直接写成配偶性格。</x:v>
      </x:c>
      <x:c r="N63" s="72" t="str">
        <x:v>无／待CONFLICT顺序与路径规则组合</x:v>
      </x:c>
      <x:c r="O63" s="72" t="str">
        <x:v>日柱与日支近位优先；全局有效独立信号可作次通道。</x:v>
      </x:c>
      <x:c r="P63" s="72" t="str">
        <x:v>由共享基础引擎判定</x:v>
      </x:c>
      <x:c r="Q63" s="72" t="str">
        <x:v>由共享基础引擎判定</x:v>
      </x:c>
      <x:c r="R63" s="72" t="str">
        <x:v>喜忌不直接等于冲突方式好坏；只修正调用顺畅度、资源压力和状态切换。</x:v>
      </x:c>
      <x:c r="S63" s="72" t="str">
        <x:v>原十神性质有效；真合化成立时按化神所属功能系统重建。</x:v>
      </x:c>
      <x:c r="T63" s="72" t="str">
        <x:v>由共享基础引擎判定</x:v>
      </x:c>
      <x:c r="U63" s="72" t="str">
        <x:v>68</x:v>
      </x:c>
      <x:c r="V63" s="72" t="str">
        <x:v>结束条件候选 +5</x:v>
      </x:c>
      <x:c r="W63" s="72" t="str">
        <x:v>conflict_end_condition</x:v>
      </x:c>
      <x:c r="X63" s="72" t="str">
        <x:v>在不固守单一方案的情况下，找到双方愿意继续尝试的替代做法</x:v>
      </x:c>
      <x:c r="Y63" s="72" t="str">
        <x:v>对你来说，这一轮分歧更容易在“在不固守单一方案的情况下，找到双方愿意继续尝试的替代做法”之后暂时告一段落。</x:v>
      </x:c>
      <x:c r="Z6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63" s="72" t="str">
        <x:v>中</x:v>
      </x:c>
      <x:c r="AB63" s="72" t="str">
        <x:v>待验证</x:v>
      </x:c>
      <x:c r="AC63" s="72" t="str"/>
      <x:c r="AD63" s="72" t="str">
        <x:v>provisional=true; channel=CF06; ten_god=偏财</x:v>
      </x:c>
      <x:c r="AE63" s="73" t="str">
        <x:v>0.6</x:v>
      </x:c>
    </x:row>
    <x:row r="64">
      <x:c r="A64" s="71" t="str">
        <x:v>M3-CONFLICT-060</x:v>
      </x:c>
      <x:c r="B64" s="72" t="str">
        <x:v>CF06 偏财｜弱远或条件性调用</x:v>
      </x:c>
      <x:c r="C64" s="72" t="str">
        <x:v>L1 十神冲突通道</x:v>
      </x:c>
      <x:c r="D64" s="72" t="str">
        <x:v>CONFLICT-CF06-偏财灵活换案</x:v>
      </x:c>
      <x:c r="E64" s="72" t="str">
        <x:v>通用</x:v>
      </x:c>
      <x:c r="F64" s="72" t="str">
        <x:v>条件修正</x:v>
      </x:c>
      <x:c r="G64" s="72" t="str">
        <x:v>偏财</x:v>
      </x:c>
      <x:c r="H64" s="72" t="str"/>
      <x:c r="I64" s="72" t="str">
        <x:v>偏财偏弱、远位、无根，或只有单一间接证据。</x:v>
      </x:c>
      <x:c r="J64" s="72" t="str">
        <x:v>基础信号未定；真合化后原信号已失效；只有单一弱远争议信号；或该结论会越界到M4风险、M5适配。</x:v>
      </x:c>
      <x:c r="K64" s="72" t="str">
        <x:v>由共享基础引擎与M3-STATE修正；日主承载只修正冲突处理的可执行性，不直接等于强硬或软弱。</x:v>
      </x:c>
      <x:c r="L64" s="72" t="str">
        <x:v>不限定；夫妻星只在责任、行动、投入等冲突议题中参与接口，不作为CONFLICT唯一主轴。</x:v>
      </x:c>
      <x:c r="M64" s="72" t="str">
        <x:v>由M3-BASE、日支主气及宫位动态提供；不得把日支直接写成配偶性格。</x:v>
      </x:c>
      <x:c r="N64" s="72" t="str">
        <x:v>无／待CONFLICT顺序与路径规则组合</x:v>
      </x:c>
      <x:c r="O64" s="72" t="str">
        <x:v>日柱与日支近位优先；全局有效独立信号可作次通道。</x:v>
      </x:c>
      <x:c r="P64" s="72" t="str">
        <x:v>由共享基础引擎判定</x:v>
      </x:c>
      <x:c r="Q64" s="72" t="str">
        <x:v>由共享基础引擎判定</x:v>
      </x:c>
      <x:c r="R64" s="72" t="str">
        <x:v>喜忌不直接等于冲突方式好坏；只修正调用顺畅度、资源压力和状态切换。</x:v>
      </x:c>
      <x:c r="S64" s="72" t="str">
        <x:v>原十神性质有效；真合化成立时按化神所属功能系统重建。</x:v>
      </x:c>
      <x:c r="T64" s="72" t="str">
        <x:v>由共享基础引擎判定</x:v>
      </x:c>
      <x:c r="U64" s="72" t="str">
        <x:v>60</x:v>
      </x:c>
      <x:c r="V64" s="72" t="str">
        <x:v>候选 +2；降置信</x:v>
      </x:c>
      <x:c r="W64" s="72" t="str">
        <x:v>secondary_conflict_channel</x:v>
      </x:c>
      <x:c r="X64" s="72" t="str">
        <x:v>信号偏弱时，只保留“愿意调整方案”这一候选，不写成每次都能迅速变通。</x:v>
      </x:c>
      <x:c r="Y64" s="72" t="str">
        <x:v>信号偏弱时，只保留“愿意调整方案”这一候选，不写成每次都能迅速变通。</x:v>
      </x:c>
      <x:c r="Z6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64" s="72" t="str">
        <x:v>中低</x:v>
      </x:c>
      <x:c r="AB64" s="72" t="str">
        <x:v>待验证</x:v>
      </x:c>
      <x:c r="AC64" s="72" t="str"/>
      <x:c r="AD64" s="72" t="str">
        <x:v>provisional=true; channel=CF06; ten_god=偏财</x:v>
      </x:c>
      <x:c r="AE64" s="73" t="str">
        <x:v>0.6</x:v>
      </x:c>
    </x:row>
    <x:row r="65">
      <x:c r="A65" s="71" t="str">
        <x:v>M3-CONFLICT-061</x:v>
      </x:c>
      <x:c r="B65" s="72" t="str">
        <x:v>CF06 偏财｜压力下抢先或切换</x:v>
      </x:c>
      <x:c r="C65" s="72" t="str">
        <x:v>L1 十神冲突通道</x:v>
      </x:c>
      <x:c r="D65" s="72" t="str">
        <x:v>CONFLICT-CF06-偏财灵活换案</x:v>
      </x:c>
      <x:c r="E65" s="72" t="str">
        <x:v>通用</x:v>
      </x:c>
      <x:c r="F65" s="72" t="str">
        <x:v>压力修正</x:v>
      </x:c>
      <x:c r="G65" s="72" t="str">
        <x:v>偏财</x:v>
      </x:c>
      <x:c r="H65" s="72" t="str"/>
      <x:c r="I65" s="72" t="str">
        <x:v>偏财过旺、强而无制，或M3-STATE显示该通道在压力状态被放大。</x:v>
      </x:c>
      <x:c r="J65" s="72" t="str">
        <x:v>基础信号未定；真合化后原信号已失效；只有单一弱远争议信号；或该结论会越界到M4风险、M5适配。</x:v>
      </x:c>
      <x:c r="K65" s="72" t="str">
        <x:v>由共享基础引擎与M3-STATE修正；日主承载只修正冲突处理的可执行性，不直接等于强硬或软弱。</x:v>
      </x:c>
      <x:c r="L65" s="72" t="str">
        <x:v>不限定；夫妻星只在责任、行动、投入等冲突议题中参与接口，不作为CONFLICT唯一主轴。</x:v>
      </x:c>
      <x:c r="M65" s="72" t="str">
        <x:v>由M3-BASE、日支主气及宫位动态提供；不得把日支直接写成配偶性格。</x:v>
      </x:c>
      <x:c r="N65" s="72" t="str">
        <x:v>无／待CONFLICT顺序与路径规则组合</x:v>
      </x:c>
      <x:c r="O65" s="72" t="str">
        <x:v>日柱与日支近位优先；全局有效独立信号可作次通道。</x:v>
      </x:c>
      <x:c r="P65" s="72" t="str">
        <x:v>由共享基础引擎判定</x:v>
      </x:c>
      <x:c r="Q65" s="72" t="str">
        <x:v>由共享基础引擎判定</x:v>
      </x:c>
      <x:c r="R65" s="72" t="str">
        <x:v>喜忌不直接等于冲突方式好坏；只修正调用顺畅度、资源压力和状态切换。</x:v>
      </x:c>
      <x:c r="S65" s="72" t="str">
        <x:v>原十神性质有效；真合化成立时按化神所属功能系统重建。</x:v>
      </x:c>
      <x:c r="T65" s="72" t="str">
        <x:v>由共享基础引擎判定</x:v>
      </x:c>
      <x:c r="U65" s="72" t="str">
        <x:v>66</x:v>
      </x:c>
      <x:c r="V65" s="72" t="str">
        <x:v>压力通道 +5；路由STATE/M4</x:v>
      </x:c>
      <x:c r="W65" s="72" t="str">
        <x:v>state_shift</x:v>
      </x:c>
      <x:c r="X65" s="72" t="str">
        <x:v>压力增加时，可能更快换方案或转移场景；是否回避核心议题要结合结束条件。</x:v>
      </x:c>
      <x:c r="Y65" s="72" t="str">
        <x:v>压力增加时，可能更快换方案或转移场景；是否回避核心议题要结合结束条件。</x:v>
      </x:c>
      <x:c r="Z6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65" s="72" t="str">
        <x:v>中</x:v>
      </x:c>
      <x:c r="AB65" s="72" t="str">
        <x:v>待验证</x:v>
      </x:c>
      <x:c r="AC65" s="72" t="str"/>
      <x:c r="AD65" s="72" t="str">
        <x:v>provisional=true; channel=CF06; ten_god=偏财</x:v>
      </x:c>
      <x:c r="AE65" s="73" t="str">
        <x:v>0.6</x:v>
      </x:c>
    </x:row>
    <x:row r="66">
      <x:c r="A66" s="71" t="str">
        <x:v>M3-CONFLICT-062</x:v>
      </x:c>
      <x:c r="B66" s="72" t="str">
        <x:v>CF06 偏财｜禁止人格化和结果化</x:v>
      </x:c>
      <x:c r="C66" s="72" t="str">
        <x:v>L1 十神冲突通道</x:v>
      </x:c>
      <x:c r="D66" s="72" t="str">
        <x:v>CONFLICT-CF06-偏财灵活换案</x:v>
      </x:c>
      <x:c r="E66" s="72" t="str">
        <x:v>通用</x:v>
      </x:c>
      <x:c r="F66" s="72" t="str">
        <x:v>禁止推断</x:v>
      </x:c>
      <x:c r="G66" s="72" t="str">
        <x:v>偏财</x:v>
      </x:c>
      <x:c r="H66" s="72" t="str"/>
      <x:c r="I66" s="72" t="str">
        <x:v>偏财冲突通道被识别。</x:v>
      </x:c>
      <x:c r="J66" s="72" t="str">
        <x:v>基础信号未定；真合化后原信号已失效；只有单一弱远争议信号；或该结论会越界到M4风险、M5适配。</x:v>
      </x:c>
      <x:c r="K66" s="72" t="str">
        <x:v>由共享基础引擎与M3-STATE修正；日主承载只修正冲突处理的可执行性，不直接等于强硬或软弱。</x:v>
      </x:c>
      <x:c r="L66" s="72" t="str">
        <x:v>不限定；夫妻星只在责任、行动、投入等冲突议题中参与接口，不作为CONFLICT唯一主轴。</x:v>
      </x:c>
      <x:c r="M66" s="72" t="str">
        <x:v>由M3-BASE、日支主气及宫位动态提供；不得把日支直接写成配偶性格。</x:v>
      </x:c>
      <x:c r="N66" s="72" t="str">
        <x:v>无／待CONFLICT顺序与路径规则组合</x:v>
      </x:c>
      <x:c r="O66" s="72" t="str">
        <x:v>日柱与日支近位优先；全局有效独立信号可作次通道。</x:v>
      </x:c>
      <x:c r="P66" s="72" t="str">
        <x:v>由共享基础引擎判定</x:v>
      </x:c>
      <x:c r="Q66" s="72" t="str">
        <x:v>由共享基础引擎判定</x:v>
      </x:c>
      <x:c r="R66" s="72" t="str">
        <x:v>喜忌不直接等于冲突方式好坏；只修正调用顺畅度、资源压力和状态切换。</x:v>
      </x:c>
      <x:c r="S66" s="72" t="str">
        <x:v>原十神性质有效；真合化成立时按化神所属功能系统重建。</x:v>
      </x:c>
      <x:c r="T66" s="72" t="str">
        <x:v>由共享基础引擎判定</x:v>
      </x:c>
      <x:c r="U66" s="72" t="str">
        <x:v>90</x:v>
      </x:c>
      <x:c r="V66" s="72" t="str">
        <x:v>不加分；边界检查</x:v>
      </x:c>
      <x:c r="W66" s="72" t="str">
        <x:v>boundary_note</x:v>
      </x:c>
      <x:c r="X66" s="72" t="str">
        <x:v>不得直接写成不稳定、敷衍、花心、只会转移话题或没有原则。</x:v>
      </x:c>
      <x:c r="Y66" s="72" t="str">
        <x:v>不得直接写成不稳定、敷衍、花心、只会转移话题或没有原则，这里只描述处理顺序。</x:v>
      </x:c>
      <x:c r="Z6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不得直接写成不稳定、敷衍、花心、只会转移话题或没有原则。</x:v>
      </x:c>
      <x:c r="AA66" s="72" t="str">
        <x:v>高</x:v>
      </x:c>
      <x:c r="AB66" s="72" t="str">
        <x:v>待验证</x:v>
      </x:c>
      <x:c r="AC66" s="72" t="str"/>
      <x:c r="AD66" s="72" t="str">
        <x:v>provisional=true; channel=CF06; ten_god=偏财</x:v>
      </x:c>
      <x:c r="AE66" s="73" t="str">
        <x:v>0.6</x:v>
      </x:c>
    </x:row>
    <x:row r="67">
      <x:c r="A67" s="71" t="str">
        <x:v>M3-CONFLICT-063</x:v>
      </x:c>
      <x:c r="B67" s="72" t="str">
        <x:v>CF07 正官｜规则复核通道定义</x:v>
      </x:c>
      <x:c r="C67" s="72" t="str">
        <x:v>L1 十神冲突通道</x:v>
      </x:c>
      <x:c r="D67" s="72" t="str">
        <x:v>CONFLICT-CF07-正官规则复核</x:v>
      </x:c>
      <x:c r="E67" s="72" t="str">
        <x:v>通用</x:v>
      </x:c>
      <x:c r="F67" s="72" t="str">
        <x:v>通道定义</x:v>
      </x:c>
      <x:c r="G67" s="72" t="str">
        <x:v>正官</x:v>
      </x:c>
      <x:c r="H67" s="72" t="str"/>
      <x:c r="I67" s="72" t="str">
        <x:v>正官形成有效独立信号，且未因真合化失效；至少有日支／日柱、近位有根或现实重复行为中的一类可靠证据。</x:v>
      </x:c>
      <x:c r="J67" s="72" t="str">
        <x:v>基础信号未定；真合化后原信号已失效；只有单一弱远争议信号；或该结论会越界到M4风险、M5适配。</x:v>
      </x:c>
      <x:c r="K67" s="72" t="str">
        <x:v>由共享基础引擎与M3-STATE修正；日主承载只修正冲突处理的可执行性，不直接等于强硬或软弱。</x:v>
      </x:c>
      <x:c r="L67" s="72" t="str">
        <x:v>不限定；夫妻星只在责任、行动、投入等冲突议题中参与接口，不作为CONFLICT唯一主轴。</x:v>
      </x:c>
      <x:c r="M67" s="72" t="str">
        <x:v>由M3-BASE、日支主气及宫位动态提供；不得把日支直接写成配偶性格。</x:v>
      </x:c>
      <x:c r="N67" s="72" t="str">
        <x:v>无／待CONFLICT顺序与路径规则组合</x:v>
      </x:c>
      <x:c r="O67" s="72" t="str">
        <x:v>日柱与日支近位优先；全局有效独立信号可作次通道。</x:v>
      </x:c>
      <x:c r="P67" s="72" t="str">
        <x:v>由共享基础引擎判定</x:v>
      </x:c>
      <x:c r="Q67" s="72" t="str">
        <x:v>由共享基础引擎判定</x:v>
      </x:c>
      <x:c r="R67" s="72" t="str">
        <x:v>喜忌不直接等于冲突方式好坏；只修正调用顺畅度、资源压力和状态切换。</x:v>
      </x:c>
      <x:c r="S67" s="72" t="str">
        <x:v>原十神性质有效；真合化成立时按化神所属功能系统重建。</x:v>
      </x:c>
      <x:c r="T67" s="72" t="str">
        <x:v>由共享基础引擎判定</x:v>
      </x:c>
      <x:c r="U67" s="72" t="str">
        <x:v>75</x:v>
      </x:c>
      <x:c r="V67" s="72" t="str">
        <x:v>通道候选 +10</x:v>
      </x:c>
      <x:c r="W67" s="72" t="str">
        <x:v>primary_conflict_channel</x:v>
      </x:c>
      <x:c r="X67" s="72" t="str">
        <x:v>正官在CONFLICT中主要负责：对照承诺、规则、角色和责任边界处理分歧。</x:v>
      </x:c>
      <x:c r="Y67" s="72" t="str">
        <x:v>分歧出现时，你更容易回到承诺、分工和共同规则上，确认双方原本怎么说、现在该怎样负责。</x:v>
      </x:c>
      <x:c r="Z6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67" s="72" t="str">
        <x:v>中高</x:v>
      </x:c>
      <x:c r="AB67" s="72" t="str">
        <x:v>待验证</x:v>
      </x:c>
      <x:c r="AC67" s="72" t="str"/>
      <x:c r="AD67" s="72" t="str">
        <x:v>provisional=true; channel=CF07; ten_god=正官</x:v>
      </x:c>
      <x:c r="AE67" s="73" t="str">
        <x:v>0.6</x:v>
      </x:c>
    </x:row>
    <x:row r="68">
      <x:c r="A68" s="71" t="str">
        <x:v>M3-CONFLICT-064</x:v>
      </x:c>
      <x:c r="B68" s="72" t="str">
        <x:v>CF07 正官｜第一反应</x:v>
      </x:c>
      <x:c r="C68" s="72" t="str">
        <x:v>L1 十神冲突通道</x:v>
      </x:c>
      <x:c r="D68" s="72" t="str">
        <x:v>CONFLICT-CF07-正官规则复核</x:v>
      </x:c>
      <x:c r="E68" s="72" t="str">
        <x:v>通用</x:v>
      </x:c>
      <x:c r="F68" s="72" t="str">
        <x:v>第一反应</x:v>
      </x:c>
      <x:c r="G68" s="72" t="str">
        <x:v>正官</x:v>
      </x:c>
      <x:c r="H68" s="72" t="str"/>
      <x:c r="I68" s="72" t="str">
        <x:v>正官形成有效独立信号，且未因真合化失效；至少有日支／日柱、近位有根或现实重复行为中的一类可靠证据。</x:v>
      </x:c>
      <x:c r="J68" s="72" t="str">
        <x:v>基础信号未定；真合化后原信号已失效；只有单一弱远争议信号；或该结论会越界到M4风险、M5适配。</x:v>
      </x:c>
      <x:c r="K68" s="72" t="str">
        <x:v>由共享基础引擎与M3-STATE修正；日主承载只修正冲突处理的可执行性，不直接等于强硬或软弱。</x:v>
      </x:c>
      <x:c r="L68" s="72" t="str">
        <x:v>不限定；夫妻星只在责任、行动、投入等冲突议题中参与接口，不作为CONFLICT唯一主轴。</x:v>
      </x:c>
      <x:c r="M68" s="72" t="str">
        <x:v>由M3-BASE、日支主气及宫位动态提供；不得把日支直接写成配偶性格。</x:v>
      </x:c>
      <x:c r="N68" s="72" t="str">
        <x:v>无／待CONFLICT顺序与路径规则组合</x:v>
      </x:c>
      <x:c r="O68" s="72" t="str">
        <x:v>日柱与日支近位优先；全局有效独立信号可作次通道。</x:v>
      </x:c>
      <x:c r="P68" s="72" t="str">
        <x:v>由共享基础引擎判定</x:v>
      </x:c>
      <x:c r="Q68" s="72" t="str">
        <x:v>由共享基础引擎判定</x:v>
      </x:c>
      <x:c r="R68" s="72" t="str">
        <x:v>喜忌不直接等于冲突方式好坏；只修正调用顺畅度、资源压力和状态切换。</x:v>
      </x:c>
      <x:c r="S68" s="72" t="str">
        <x:v>原十神性质有效；真合化成立时按化神所属功能系统重建。</x:v>
      </x:c>
      <x:c r="T68" s="72" t="str">
        <x:v>由共享基础引擎判定</x:v>
      </x:c>
      <x:c r="U68" s="72" t="str">
        <x:v>72</x:v>
      </x:c>
      <x:c r="V68" s="72" t="str">
        <x:v>第一反应候选 +6</x:v>
      </x:c>
      <x:c r="W68" s="72" t="str">
        <x:v>first_response</x:v>
      </x:c>
      <x:c r="X68" s="72" t="str">
        <x:v>先确认原先怎样约定、各自负责什么、哪些规则需要执行或重订</x:v>
      </x:c>
      <x:c r="Y68" s="72" t="str">
        <x:v>分歧刚出现时，你更可能先确认原先怎样约定、各自负责什么、哪些规则需要执行或重订。</x:v>
      </x:c>
      <x:c r="Z6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68" s="72" t="str">
        <x:v>中</x:v>
      </x:c>
      <x:c r="AB68" s="72" t="str">
        <x:v>待验证</x:v>
      </x:c>
      <x:c r="AC68" s="72" t="str"/>
      <x:c r="AD68" s="72" t="str">
        <x:v>provisional=true; channel=CF07; ten_god=正官</x:v>
      </x:c>
      <x:c r="AE68" s="73" t="str">
        <x:v>0.6</x:v>
      </x:c>
    </x:row>
    <x:row r="69">
      <x:c r="A69" s="71" t="str">
        <x:v>M3-CONFLICT-065</x:v>
      </x:c>
      <x:c r="B69" s="72" t="str">
        <x:v>CF07 正官｜注意焦点</x:v>
      </x:c>
      <x:c r="C69" s="72" t="str">
        <x:v>L1 十神冲突通道</x:v>
      </x:c>
      <x:c r="D69" s="72" t="str">
        <x:v>CONFLICT-CF07-正官规则复核</x:v>
      </x:c>
      <x:c r="E69" s="72" t="str">
        <x:v>通用</x:v>
      </x:c>
      <x:c r="F69" s="72" t="str">
        <x:v>信息焦点</x:v>
      </x:c>
      <x:c r="G69" s="72" t="str">
        <x:v>正官</x:v>
      </x:c>
      <x:c r="H69" s="72" t="str"/>
      <x:c r="I69" s="72" t="str">
        <x:v>正官形成有效独立信号，且未因真合化失效；至少有日支／日柱、近位有根或现实重复行为中的一类可靠证据。</x:v>
      </x:c>
      <x:c r="J69" s="72" t="str">
        <x:v>基础信号未定；真合化后原信号已失效；只有单一弱远争议信号；或该结论会越界到M4风险、M5适配。</x:v>
      </x:c>
      <x:c r="K69" s="72" t="str">
        <x:v>由共享基础引擎与M3-STATE修正；日主承载只修正冲突处理的可执行性，不直接等于强硬或软弱。</x:v>
      </x:c>
      <x:c r="L69" s="72" t="str">
        <x:v>不限定；夫妻星只在责任、行动、投入等冲突议题中参与接口，不作为CONFLICT唯一主轴。</x:v>
      </x:c>
      <x:c r="M69" s="72" t="str">
        <x:v>由M3-BASE、日支主气及宫位动态提供；不得把日支直接写成配偶性格。</x:v>
      </x:c>
      <x:c r="N69" s="72" t="str">
        <x:v>无／待CONFLICT顺序与路径规则组合</x:v>
      </x:c>
      <x:c r="O69" s="72" t="str">
        <x:v>日柱与日支近位优先；全局有效独立信号可作次通道。</x:v>
      </x:c>
      <x:c r="P69" s="72" t="str">
        <x:v>由共享基础引擎判定</x:v>
      </x:c>
      <x:c r="Q69" s="72" t="str">
        <x:v>由共享基础引擎判定</x:v>
      </x:c>
      <x:c r="R69" s="72" t="str">
        <x:v>喜忌不直接等于冲突方式好坏；只修正调用顺畅度、资源压力和状态切换。</x:v>
      </x:c>
      <x:c r="S69" s="72" t="str">
        <x:v>原十神性质有效；真合化成立时按化神所属功能系统重建。</x:v>
      </x:c>
      <x:c r="T69" s="72" t="str">
        <x:v>由共享基础引擎判定</x:v>
      </x:c>
      <x:c r="U69" s="72" t="str">
        <x:v>70</x:v>
      </x:c>
      <x:c r="V69" s="72" t="str">
        <x:v>焦点候选 +5</x:v>
      </x:c>
      <x:c r="W69" s="72" t="str">
        <x:v>attention_focus</x:v>
      </x:c>
      <x:c r="X69" s="72" t="str">
        <x:v>该通道首先读取：承诺是否兑现、角色是否清楚、责任边界和共同规则。</x:v>
      </x:c>
      <x:c r="Y69" s="72" t="str">
        <x:v>你在分歧中会特别注意承诺是否兑现、角色是否清楚、责任边界和共同规则。</x:v>
      </x:c>
      <x:c r="Z6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69" s="72" t="str">
        <x:v>中</x:v>
      </x:c>
      <x:c r="AB69" s="72" t="str">
        <x:v>待验证</x:v>
      </x:c>
      <x:c r="AC69" s="72" t="str"/>
      <x:c r="AD69" s="72" t="str">
        <x:v>provisional=true; channel=CF07; ten_god=正官</x:v>
      </x:c>
      <x:c r="AE69" s="73" t="str">
        <x:v>0.6</x:v>
      </x:c>
    </x:row>
    <x:row r="70">
      <x:c r="A70" s="71" t="str">
        <x:v>M3-CONFLICT-066</x:v>
      </x:c>
      <x:c r="B70" s="72" t="str">
        <x:v>CF07 正官｜阶段结束条件</x:v>
      </x:c>
      <x:c r="C70" s="72" t="str">
        <x:v>L1 十神冲突通道</x:v>
      </x:c>
      <x:c r="D70" s="72" t="str">
        <x:v>CONFLICT-CF07-正官规则复核</x:v>
      </x:c>
      <x:c r="E70" s="72" t="str">
        <x:v>通用</x:v>
      </x:c>
      <x:c r="F70" s="72" t="str">
        <x:v>结束条件</x:v>
      </x:c>
      <x:c r="G70" s="72" t="str">
        <x:v>正官</x:v>
      </x:c>
      <x:c r="H70" s="72" t="str"/>
      <x:c r="I70" s="72" t="str">
        <x:v>正官形成有效独立信号，且未因真合化失效；至少有日支／日柱、近位有根或现实重复行为中的一类可靠证据。</x:v>
      </x:c>
      <x:c r="J70" s="72" t="str">
        <x:v>基础信号未定；真合化后原信号已失效；只有单一弱远争议信号；或该结论会越界到M4风险、M5适配。</x:v>
      </x:c>
      <x:c r="K70" s="72" t="str">
        <x:v>由共享基础引擎与M3-STATE修正；日主承载只修正冲突处理的可执行性，不直接等于强硬或软弱。</x:v>
      </x:c>
      <x:c r="L70" s="72" t="str">
        <x:v>不限定；夫妻星只在责任、行动、投入等冲突议题中参与接口，不作为CONFLICT唯一主轴。</x:v>
      </x:c>
      <x:c r="M70" s="72" t="str">
        <x:v>由M3-BASE、日支主气及宫位动态提供；不得把日支直接写成配偶性格。</x:v>
      </x:c>
      <x:c r="N70" s="72" t="str">
        <x:v>无／待CONFLICT顺序与路径规则组合</x:v>
      </x:c>
      <x:c r="O70" s="72" t="str">
        <x:v>日柱与日支近位优先；全局有效独立信号可作次通道。</x:v>
      </x:c>
      <x:c r="P70" s="72" t="str">
        <x:v>由共享基础引擎判定</x:v>
      </x:c>
      <x:c r="Q70" s="72" t="str">
        <x:v>由共享基础引擎判定</x:v>
      </x:c>
      <x:c r="R70" s="72" t="str">
        <x:v>喜忌不直接等于冲突方式好坏；只修正调用顺畅度、资源压力和状态切换。</x:v>
      </x:c>
      <x:c r="S70" s="72" t="str">
        <x:v>原十神性质有效；真合化成立时按化神所属功能系统重建。</x:v>
      </x:c>
      <x:c r="T70" s="72" t="str">
        <x:v>由共享基础引擎判定</x:v>
      </x:c>
      <x:c r="U70" s="72" t="str">
        <x:v>68</x:v>
      </x:c>
      <x:c r="V70" s="72" t="str">
        <x:v>结束条件候选 +5</x:v>
      </x:c>
      <x:c r="W70" s="72" t="str">
        <x:v>conflict_end_condition</x:v>
      </x:c>
      <x:c r="X70" s="72" t="str">
        <x:v>通过明确责任、修订约定或形成可追踪规则结束这一轮分歧</x:v>
      </x:c>
      <x:c r="Y70" s="72" t="str">
        <x:v>对你来说，这一轮分歧更容易在“通过明确责任、修订约定或形成可追踪规则结束这一轮分歧”之后暂时告一段落。</x:v>
      </x:c>
      <x:c r="Z7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70" s="72" t="str">
        <x:v>中</x:v>
      </x:c>
      <x:c r="AB70" s="72" t="str">
        <x:v>待验证</x:v>
      </x:c>
      <x:c r="AC70" s="72" t="str"/>
      <x:c r="AD70" s="72" t="str">
        <x:v>provisional=true; channel=CF07; ten_god=正官</x:v>
      </x:c>
      <x:c r="AE70" s="73" t="str">
        <x:v>0.6</x:v>
      </x:c>
    </x:row>
    <x:row r="71">
      <x:c r="A71" s="71" t="str">
        <x:v>M3-CONFLICT-067</x:v>
      </x:c>
      <x:c r="B71" s="72" t="str">
        <x:v>CF07 正官｜弱远或条件性调用</x:v>
      </x:c>
      <x:c r="C71" s="72" t="str">
        <x:v>L1 十神冲突通道</x:v>
      </x:c>
      <x:c r="D71" s="72" t="str">
        <x:v>CONFLICT-CF07-正官规则复核</x:v>
      </x:c>
      <x:c r="E71" s="72" t="str">
        <x:v>通用</x:v>
      </x:c>
      <x:c r="F71" s="72" t="str">
        <x:v>条件修正</x:v>
      </x:c>
      <x:c r="G71" s="72" t="str">
        <x:v>正官</x:v>
      </x:c>
      <x:c r="H71" s="72" t="str"/>
      <x:c r="I71" s="72" t="str">
        <x:v>正官偏弱、远位、无根，或只有单一间接证据。</x:v>
      </x:c>
      <x:c r="J71" s="72" t="str">
        <x:v>基础信号未定；真合化后原信号已失效；只有单一弱远争议信号；或该结论会越界到M4风险、M5适配。</x:v>
      </x:c>
      <x:c r="K71" s="72" t="str">
        <x:v>由共享基础引擎与M3-STATE修正；日主承载只修正冲突处理的可执行性，不直接等于强硬或软弱。</x:v>
      </x:c>
      <x:c r="L71" s="72" t="str">
        <x:v>不限定；夫妻星只在责任、行动、投入等冲突议题中参与接口，不作为CONFLICT唯一主轴。</x:v>
      </x:c>
      <x:c r="M71" s="72" t="str">
        <x:v>由M3-BASE、日支主气及宫位动态提供；不得把日支直接写成配偶性格。</x:v>
      </x:c>
      <x:c r="N71" s="72" t="str">
        <x:v>无／待CONFLICT顺序与路径规则组合</x:v>
      </x:c>
      <x:c r="O71" s="72" t="str">
        <x:v>日柱与日支近位优先；全局有效独立信号可作次通道。</x:v>
      </x:c>
      <x:c r="P71" s="72" t="str">
        <x:v>由共享基础引擎判定</x:v>
      </x:c>
      <x:c r="Q71" s="72" t="str">
        <x:v>由共享基础引擎判定</x:v>
      </x:c>
      <x:c r="R71" s="72" t="str">
        <x:v>喜忌不直接等于冲突方式好坏；只修正调用顺畅度、资源压力和状态切换。</x:v>
      </x:c>
      <x:c r="S71" s="72" t="str">
        <x:v>原十神性质有效；真合化成立时按化神所属功能系统重建。</x:v>
      </x:c>
      <x:c r="T71" s="72" t="str">
        <x:v>由共享基础引擎判定</x:v>
      </x:c>
      <x:c r="U71" s="72" t="str">
        <x:v>60</x:v>
      </x:c>
      <x:c r="V71" s="72" t="str">
        <x:v>候选 +2；降置信</x:v>
      </x:c>
      <x:c r="W71" s="72" t="str">
        <x:v>secondary_conflict_channel</x:v>
      </x:c>
      <x:c r="X71" s="72" t="str">
        <x:v>信号偏弱时，只能说明你需要明确责任，不写成一定严格执行规则。</x:v>
      </x:c>
      <x:c r="Y71" s="72" t="str">
        <x:v>信号偏弱时，只能说明你需要明确责任，不写成一定严格执行规则。</x:v>
      </x:c>
      <x:c r="Z7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71" s="72" t="str">
        <x:v>中低</x:v>
      </x:c>
      <x:c r="AB71" s="72" t="str">
        <x:v>待验证</x:v>
      </x:c>
      <x:c r="AC71" s="72" t="str"/>
      <x:c r="AD71" s="72" t="str">
        <x:v>provisional=true; channel=CF07; ten_god=正官</x:v>
      </x:c>
      <x:c r="AE71" s="73" t="str">
        <x:v>0.6</x:v>
      </x:c>
    </x:row>
    <x:row r="72">
      <x:c r="A72" s="71" t="str">
        <x:v>M3-CONFLICT-068</x:v>
      </x:c>
      <x:c r="B72" s="72" t="str">
        <x:v>CF07 正官｜压力下抢先或切换</x:v>
      </x:c>
      <x:c r="C72" s="72" t="str">
        <x:v>L1 十神冲突通道</x:v>
      </x:c>
      <x:c r="D72" s="72" t="str">
        <x:v>CONFLICT-CF07-正官规则复核</x:v>
      </x:c>
      <x:c r="E72" s="72" t="str">
        <x:v>通用</x:v>
      </x:c>
      <x:c r="F72" s="72" t="str">
        <x:v>压力修正</x:v>
      </x:c>
      <x:c r="G72" s="72" t="str">
        <x:v>正官</x:v>
      </x:c>
      <x:c r="H72" s="72" t="str"/>
      <x:c r="I72" s="72" t="str">
        <x:v>正官过旺、强而无制，或M3-STATE显示该通道在压力状态被放大。</x:v>
      </x:c>
      <x:c r="J72" s="72" t="str">
        <x:v>基础信号未定；真合化后原信号已失效；只有单一弱远争议信号；或该结论会越界到M4风险、M5适配。</x:v>
      </x:c>
      <x:c r="K72" s="72" t="str">
        <x:v>由共享基础引擎与M3-STATE修正；日主承载只修正冲突处理的可执行性，不直接等于强硬或软弱。</x:v>
      </x:c>
      <x:c r="L72" s="72" t="str">
        <x:v>不限定；夫妻星只在责任、行动、投入等冲突议题中参与接口，不作为CONFLICT唯一主轴。</x:v>
      </x:c>
      <x:c r="M72" s="72" t="str">
        <x:v>由M3-BASE、日支主气及宫位动态提供；不得把日支直接写成配偶性格。</x:v>
      </x:c>
      <x:c r="N72" s="72" t="str">
        <x:v>无／待CONFLICT顺序与路径规则组合</x:v>
      </x:c>
      <x:c r="O72" s="72" t="str">
        <x:v>日柱与日支近位优先；全局有效独立信号可作次通道。</x:v>
      </x:c>
      <x:c r="P72" s="72" t="str">
        <x:v>由共享基础引擎判定</x:v>
      </x:c>
      <x:c r="Q72" s="72" t="str">
        <x:v>由共享基础引擎判定</x:v>
      </x:c>
      <x:c r="R72" s="72" t="str">
        <x:v>喜忌不直接等于冲突方式好坏；只修正调用顺畅度、资源压力和状态切换。</x:v>
      </x:c>
      <x:c r="S72" s="72" t="str">
        <x:v>原十神性质有效；真合化成立时按化神所属功能系统重建。</x:v>
      </x:c>
      <x:c r="T72" s="72" t="str">
        <x:v>由共享基础引擎判定</x:v>
      </x:c>
      <x:c r="U72" s="72" t="str">
        <x:v>66</x:v>
      </x:c>
      <x:c r="V72" s="72" t="str">
        <x:v>压力通道 +5；路由STATE/M4</x:v>
      </x:c>
      <x:c r="W72" s="72" t="str">
        <x:v>state_shift</x:v>
      </x:c>
      <x:c r="X72" s="72" t="str">
        <x:v>压力增加时，规则和责任更容易抢先；是否变成僵化或要求过高需M4判断。</x:v>
      </x:c>
      <x:c r="Y72" s="72" t="str">
        <x:v>压力增加时，规则和责任更容易抢先；是否变成僵化或要求过高需M4判断。</x:v>
      </x:c>
      <x:c r="Z7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72" s="72" t="str">
        <x:v>中</x:v>
      </x:c>
      <x:c r="AB72" s="72" t="str">
        <x:v>待验证</x:v>
      </x:c>
      <x:c r="AC72" s="72" t="str"/>
      <x:c r="AD72" s="72" t="str">
        <x:v>provisional=true; channel=CF07; ten_god=正官</x:v>
      </x:c>
      <x:c r="AE72" s="73" t="str">
        <x:v>0.6</x:v>
      </x:c>
    </x:row>
    <x:row r="73">
      <x:c r="A73" s="71" t="str">
        <x:v>M3-CONFLICT-069</x:v>
      </x:c>
      <x:c r="B73" s="72" t="str">
        <x:v>CF07 正官｜禁止人格化和结果化</x:v>
      </x:c>
      <x:c r="C73" s="72" t="str">
        <x:v>L1 十神冲突通道</x:v>
      </x:c>
      <x:c r="D73" s="72" t="str">
        <x:v>CONFLICT-CF07-正官规则复核</x:v>
      </x:c>
      <x:c r="E73" s="72" t="str">
        <x:v>通用</x:v>
      </x:c>
      <x:c r="F73" s="72" t="str">
        <x:v>禁止推断</x:v>
      </x:c>
      <x:c r="G73" s="72" t="str">
        <x:v>正官</x:v>
      </x:c>
      <x:c r="H73" s="72" t="str"/>
      <x:c r="I73" s="72" t="str">
        <x:v>正官冲突通道被识别。</x:v>
      </x:c>
      <x:c r="J73" s="72" t="str">
        <x:v>基础信号未定；真合化后原信号已失效；只有单一弱远争议信号；或该结论会越界到M4风险、M5适配。</x:v>
      </x:c>
      <x:c r="K73" s="72" t="str">
        <x:v>由共享基础引擎与M3-STATE修正；日主承载只修正冲突处理的可执行性，不直接等于强硬或软弱。</x:v>
      </x:c>
      <x:c r="L73" s="72" t="str">
        <x:v>不限定；夫妻星只在责任、行动、投入等冲突议题中参与接口，不作为CONFLICT唯一主轴。</x:v>
      </x:c>
      <x:c r="M73" s="72" t="str">
        <x:v>由M3-BASE、日支主气及宫位动态提供；不得把日支直接写成配偶性格。</x:v>
      </x:c>
      <x:c r="N73" s="72" t="str">
        <x:v>无／待CONFLICT顺序与路径规则组合</x:v>
      </x:c>
      <x:c r="O73" s="72" t="str">
        <x:v>日柱与日支近位优先；全局有效独立信号可作次通道。</x:v>
      </x:c>
      <x:c r="P73" s="72" t="str">
        <x:v>由共享基础引擎判定</x:v>
      </x:c>
      <x:c r="Q73" s="72" t="str">
        <x:v>由共享基础引擎判定</x:v>
      </x:c>
      <x:c r="R73" s="72" t="str">
        <x:v>喜忌不直接等于冲突方式好坏；只修正调用顺畅度、资源压力和状态切换。</x:v>
      </x:c>
      <x:c r="S73" s="72" t="str">
        <x:v>原十神性质有效；真合化成立时按化神所属功能系统重建。</x:v>
      </x:c>
      <x:c r="T73" s="72" t="str">
        <x:v>由共享基础引擎判定</x:v>
      </x:c>
      <x:c r="U73" s="72" t="str">
        <x:v>90</x:v>
      </x:c>
      <x:c r="V73" s="72" t="str">
        <x:v>不加分；边界检查</x:v>
      </x:c>
      <x:c r="W73" s="72" t="str">
        <x:v>boundary_note</x:v>
      </x:c>
      <x:c r="X73" s="72" t="str">
        <x:v>不得直接写成控制、说教、官僚、压迫或必须分出对错。</x:v>
      </x:c>
      <x:c r="Y73" s="72" t="str">
        <x:v>不得直接写成控制、说教、官僚、压迫或必须分出对错，这里只描述处理顺序。</x:v>
      </x:c>
      <x:c r="Z7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不得直接写成控制、说教、官僚、压迫或必须分出对错。</x:v>
      </x:c>
      <x:c r="AA73" s="72" t="str">
        <x:v>高</x:v>
      </x:c>
      <x:c r="AB73" s="72" t="str">
        <x:v>待验证</x:v>
      </x:c>
      <x:c r="AC73" s="72" t="str"/>
      <x:c r="AD73" s="72" t="str">
        <x:v>provisional=true; channel=CF07; ten_god=正官</x:v>
      </x:c>
      <x:c r="AE73" s="73" t="str">
        <x:v>0.6</x:v>
      </x:c>
    </x:row>
    <x:row r="74">
      <x:c r="A74" s="71" t="str">
        <x:v>M3-CONFLICT-070</x:v>
      </x:c>
      <x:c r="B74" s="72" t="str">
        <x:v>CF08 七杀｜决断处置通道定义</x:v>
      </x:c>
      <x:c r="C74" s="72" t="str">
        <x:v>L1 十神冲突通道</x:v>
      </x:c>
      <x:c r="D74" s="72" t="str">
        <x:v>CONFLICT-CF08-七杀决断处置</x:v>
      </x:c>
      <x:c r="E74" s="72" t="str">
        <x:v>通用</x:v>
      </x:c>
      <x:c r="F74" s="72" t="str">
        <x:v>通道定义</x:v>
      </x:c>
      <x:c r="G74" s="72" t="str">
        <x:v>七杀</x:v>
      </x:c>
      <x:c r="H74" s="72" t="str"/>
      <x:c r="I74" s="72" t="str">
        <x:v>七杀形成有效独立信号，且未因真合化失效；至少有日支／日柱、近位有根或现实重复行为中的一类可靠证据。</x:v>
      </x:c>
      <x:c r="J74" s="72" t="str">
        <x:v>基础信号未定；真合化后原信号已失效；只有单一弱远争议信号；或该结论会越界到M4风险、M5适配。</x:v>
      </x:c>
      <x:c r="K74" s="72" t="str">
        <x:v>由共享基础引擎与M3-STATE修正；日主承载只修正冲突处理的可执行性，不直接等于强硬或软弱。</x:v>
      </x:c>
      <x:c r="L74" s="72" t="str">
        <x:v>不限定；夫妻星只在责任、行动、投入等冲突议题中参与接口，不作为CONFLICT唯一主轴。</x:v>
      </x:c>
      <x:c r="M74" s="72" t="str">
        <x:v>由M3-BASE、日支主气及宫位动态提供；不得把日支直接写成配偶性格。</x:v>
      </x:c>
      <x:c r="N74" s="72" t="str">
        <x:v>无／待CONFLICT顺序与路径规则组合</x:v>
      </x:c>
      <x:c r="O74" s="72" t="str">
        <x:v>日柱与日支近位优先；全局有效独立信号可作次通道。</x:v>
      </x:c>
      <x:c r="P74" s="72" t="str">
        <x:v>由共享基础引擎判定</x:v>
      </x:c>
      <x:c r="Q74" s="72" t="str">
        <x:v>由共享基础引擎判定</x:v>
      </x:c>
      <x:c r="R74" s="72" t="str">
        <x:v>喜忌不直接等于冲突方式好坏；只修正调用顺畅度、资源压力和状态切换。</x:v>
      </x:c>
      <x:c r="S74" s="72" t="str">
        <x:v>原十神性质有效；真合化成立时按化神所属功能系统重建。</x:v>
      </x:c>
      <x:c r="T74" s="72" t="str">
        <x:v>由共享基础引擎判定</x:v>
      </x:c>
      <x:c r="U74" s="72" t="str">
        <x:v>75</x:v>
      </x:c>
      <x:c r="V74" s="72" t="str">
        <x:v>通道候选 +10</x:v>
      </x:c>
      <x:c r="W74" s="72" t="str">
        <x:v>primary_conflict_channel</x:v>
      </x:c>
      <x:c r="X74" s="72" t="str">
        <x:v>七杀在CONFLICT中主要负责：先处理紧急问题、划定停止线或快速推动关键决定。</x:v>
      </x:c>
      <x:c r="Y74" s="72" t="str">
        <x:v>遇到明显分歧或紧急问题时，你更容易先处理关键事项、做决定或划定停止线，再回头讨论细节。</x:v>
      </x:c>
      <x:c r="Z7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74" s="72" t="str">
        <x:v>中高</x:v>
      </x:c>
      <x:c r="AB74" s="72" t="str">
        <x:v>待验证</x:v>
      </x:c>
      <x:c r="AC74" s="72" t="str"/>
      <x:c r="AD74" s="72" t="str">
        <x:v>provisional=true; channel=CF08; ten_god=七杀</x:v>
      </x:c>
      <x:c r="AE74" s="73" t="str">
        <x:v>0.6</x:v>
      </x:c>
    </x:row>
    <x:row r="75">
      <x:c r="A75" s="71" t="str">
        <x:v>M3-CONFLICT-071</x:v>
      </x:c>
      <x:c r="B75" s="72" t="str">
        <x:v>CF08 七杀｜第一反应</x:v>
      </x:c>
      <x:c r="C75" s="72" t="str">
        <x:v>L1 十神冲突通道</x:v>
      </x:c>
      <x:c r="D75" s="72" t="str">
        <x:v>CONFLICT-CF08-七杀决断处置</x:v>
      </x:c>
      <x:c r="E75" s="72" t="str">
        <x:v>通用</x:v>
      </x:c>
      <x:c r="F75" s="72" t="str">
        <x:v>第一反应</x:v>
      </x:c>
      <x:c r="G75" s="72" t="str">
        <x:v>七杀</x:v>
      </x:c>
      <x:c r="H75" s="72" t="str"/>
      <x:c r="I75" s="72" t="str">
        <x:v>七杀形成有效独立信号，且未因真合化失效；至少有日支／日柱、近位有根或现实重复行为中的一类可靠证据。</x:v>
      </x:c>
      <x:c r="J75" s="72" t="str">
        <x:v>基础信号未定；真合化后原信号已失效；只有单一弱远争议信号；或该结论会越界到M4风险、M5适配。</x:v>
      </x:c>
      <x:c r="K75" s="72" t="str">
        <x:v>由共享基础引擎与M3-STATE修正；日主承载只修正冲突处理的可执行性，不直接等于强硬或软弱。</x:v>
      </x:c>
      <x:c r="L75" s="72" t="str">
        <x:v>不限定；夫妻星只在责任、行动、投入等冲突议题中参与接口，不作为CONFLICT唯一主轴。</x:v>
      </x:c>
      <x:c r="M75" s="72" t="str">
        <x:v>由M3-BASE、日支主气及宫位动态提供；不得把日支直接写成配偶性格。</x:v>
      </x:c>
      <x:c r="N75" s="72" t="str">
        <x:v>无／待CONFLICT顺序与路径规则组合</x:v>
      </x:c>
      <x:c r="O75" s="72" t="str">
        <x:v>日柱与日支近位优先；全局有效独立信号可作次通道。</x:v>
      </x:c>
      <x:c r="P75" s="72" t="str">
        <x:v>由共享基础引擎判定</x:v>
      </x:c>
      <x:c r="Q75" s="72" t="str">
        <x:v>由共享基础引擎判定</x:v>
      </x:c>
      <x:c r="R75" s="72" t="str">
        <x:v>喜忌不直接等于冲突方式好坏；只修正调用顺畅度、资源压力和状态切换。</x:v>
      </x:c>
      <x:c r="S75" s="72" t="str">
        <x:v>原十神性质有效；真合化成立时按化神所属功能系统重建。</x:v>
      </x:c>
      <x:c r="T75" s="72" t="str">
        <x:v>由共享基础引擎判定</x:v>
      </x:c>
      <x:c r="U75" s="72" t="str">
        <x:v>72</x:v>
      </x:c>
      <x:c r="V75" s="72" t="str">
        <x:v>第一反应候选 +6</x:v>
      </x:c>
      <x:c r="W75" s="72" t="str">
        <x:v>first_response</x:v>
      </x:c>
      <x:c r="X75" s="72" t="str">
        <x:v>先止损、做决定、处理风险或把需要立即解决的部分控制住</x:v>
      </x:c>
      <x:c r="Y75" s="72" t="str">
        <x:v>分歧刚出现时，你更可能先止损、做决定、处理风险或把需要立即解决的部分控制住。</x:v>
      </x:c>
      <x:c r="Z7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75" s="72" t="str">
        <x:v>中</x:v>
      </x:c>
      <x:c r="AB75" s="72" t="str">
        <x:v>待验证</x:v>
      </x:c>
      <x:c r="AC75" s="72" t="str"/>
      <x:c r="AD75" s="72" t="str">
        <x:v>provisional=true; channel=CF08; ten_god=七杀</x:v>
      </x:c>
      <x:c r="AE75" s="73" t="str">
        <x:v>0.6</x:v>
      </x:c>
    </x:row>
    <x:row r="76">
      <x:c r="A76" s="71" t="str">
        <x:v>M3-CONFLICT-072</x:v>
      </x:c>
      <x:c r="B76" s="72" t="str">
        <x:v>CF08 七杀｜注意焦点</x:v>
      </x:c>
      <x:c r="C76" s="72" t="str">
        <x:v>L1 十神冲突通道</x:v>
      </x:c>
      <x:c r="D76" s="72" t="str">
        <x:v>CONFLICT-CF08-七杀决断处置</x:v>
      </x:c>
      <x:c r="E76" s="72" t="str">
        <x:v>通用</x:v>
      </x:c>
      <x:c r="F76" s="72" t="str">
        <x:v>信息焦点</x:v>
      </x:c>
      <x:c r="G76" s="72" t="str">
        <x:v>七杀</x:v>
      </x:c>
      <x:c r="H76" s="72" t="str"/>
      <x:c r="I76" s="72" t="str">
        <x:v>七杀形成有效独立信号，且未因真合化失效；至少有日支／日柱、近位有根或现实重复行为中的一类可靠证据。</x:v>
      </x:c>
      <x:c r="J76" s="72" t="str">
        <x:v>基础信号未定；真合化后原信号已失效；只有单一弱远争议信号；或该结论会越界到M4风险、M5适配。</x:v>
      </x:c>
      <x:c r="K76" s="72" t="str">
        <x:v>由共享基础引擎与M3-STATE修正；日主承载只修正冲突处理的可执行性，不直接等于强硬或软弱。</x:v>
      </x:c>
      <x:c r="L76" s="72" t="str">
        <x:v>不限定；夫妻星只在责任、行动、投入等冲突议题中参与接口，不作为CONFLICT唯一主轴。</x:v>
      </x:c>
      <x:c r="M76" s="72" t="str">
        <x:v>由M3-BASE、日支主气及宫位动态提供；不得把日支直接写成配偶性格。</x:v>
      </x:c>
      <x:c r="N76" s="72" t="str">
        <x:v>无／待CONFLICT顺序与路径规则组合</x:v>
      </x:c>
      <x:c r="O76" s="72" t="str">
        <x:v>日柱与日支近位优先；全局有效独立信号可作次通道。</x:v>
      </x:c>
      <x:c r="P76" s="72" t="str">
        <x:v>由共享基础引擎判定</x:v>
      </x:c>
      <x:c r="Q76" s="72" t="str">
        <x:v>由共享基础引擎判定</x:v>
      </x:c>
      <x:c r="R76" s="72" t="str">
        <x:v>喜忌不直接等于冲突方式好坏；只修正调用顺畅度、资源压力和状态切换。</x:v>
      </x:c>
      <x:c r="S76" s="72" t="str">
        <x:v>原十神性质有效；真合化成立时按化神所属功能系统重建。</x:v>
      </x:c>
      <x:c r="T76" s="72" t="str">
        <x:v>由共享基础引擎判定</x:v>
      </x:c>
      <x:c r="U76" s="72" t="str">
        <x:v>70</x:v>
      </x:c>
      <x:c r="V76" s="72" t="str">
        <x:v>焦点候选 +5</x:v>
      </x:c>
      <x:c r="W76" s="72" t="str">
        <x:v>attention_focus</x:v>
      </x:c>
      <x:c r="X76" s="72" t="str">
        <x:v>该通道首先读取：风险、时效、关键行动、停止线和谁来承担。</x:v>
      </x:c>
      <x:c r="Y76" s="72" t="str">
        <x:v>你在分歧中会特别注意风险、时效、关键行动、停止线和谁来承担。</x:v>
      </x:c>
      <x:c r="Z7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76" s="72" t="str">
        <x:v>中</x:v>
      </x:c>
      <x:c r="AB76" s="72" t="str">
        <x:v>待验证</x:v>
      </x:c>
      <x:c r="AC76" s="72" t="str"/>
      <x:c r="AD76" s="72" t="str">
        <x:v>provisional=true; channel=CF08; ten_god=七杀</x:v>
      </x:c>
      <x:c r="AE76" s="73" t="str">
        <x:v>0.6</x:v>
      </x:c>
    </x:row>
    <x:row r="77">
      <x:c r="A77" s="71" t="str">
        <x:v>M3-CONFLICT-073</x:v>
      </x:c>
      <x:c r="B77" s="72" t="str">
        <x:v>CF08 七杀｜阶段结束条件</x:v>
      </x:c>
      <x:c r="C77" s="72" t="str">
        <x:v>L1 十神冲突通道</x:v>
      </x:c>
      <x:c r="D77" s="72" t="str">
        <x:v>CONFLICT-CF08-七杀决断处置</x:v>
      </x:c>
      <x:c r="E77" s="72" t="str">
        <x:v>通用</x:v>
      </x:c>
      <x:c r="F77" s="72" t="str">
        <x:v>结束条件</x:v>
      </x:c>
      <x:c r="G77" s="72" t="str">
        <x:v>七杀</x:v>
      </x:c>
      <x:c r="H77" s="72" t="str"/>
      <x:c r="I77" s="72" t="str">
        <x:v>七杀形成有效独立信号，且未因真合化失效；至少有日支／日柱、近位有根或现实重复行为中的一类可靠证据。</x:v>
      </x:c>
      <x:c r="J77" s="72" t="str">
        <x:v>基础信号未定；真合化后原信号已失效；只有单一弱远争议信号；或该结论会越界到M4风险、M5适配。</x:v>
      </x:c>
      <x:c r="K77" s="72" t="str">
        <x:v>由共享基础引擎与M3-STATE修正；日主承载只修正冲突处理的可执行性，不直接等于强硬或软弱。</x:v>
      </x:c>
      <x:c r="L77" s="72" t="str">
        <x:v>不限定；夫妻星只在责任、行动、投入等冲突议题中参与接口，不作为CONFLICT唯一主轴。</x:v>
      </x:c>
      <x:c r="M77" s="72" t="str">
        <x:v>由M3-BASE、日支主气及宫位动态提供；不得把日支直接写成配偶性格。</x:v>
      </x:c>
      <x:c r="N77" s="72" t="str">
        <x:v>无／待CONFLICT顺序与路径规则组合</x:v>
      </x:c>
      <x:c r="O77" s="72" t="str">
        <x:v>日柱与日支近位优先；全局有效独立信号可作次通道。</x:v>
      </x:c>
      <x:c r="P77" s="72" t="str">
        <x:v>由共享基础引擎判定</x:v>
      </x:c>
      <x:c r="Q77" s="72" t="str">
        <x:v>由共享基础引擎判定</x:v>
      </x:c>
      <x:c r="R77" s="72" t="str">
        <x:v>喜忌不直接等于冲突方式好坏；只修正调用顺畅度、资源压力和状态切换。</x:v>
      </x:c>
      <x:c r="S77" s="72" t="str">
        <x:v>原十神性质有效；真合化成立时按化神所属功能系统重建。</x:v>
      </x:c>
      <x:c r="T77" s="72" t="str">
        <x:v>由共享基础引擎判定</x:v>
      </x:c>
      <x:c r="U77" s="72" t="str">
        <x:v>68</x:v>
      </x:c>
      <x:c r="V77" s="72" t="str">
        <x:v>结束条件候选 +5</x:v>
      </x:c>
      <x:c r="W77" s="72" t="str">
        <x:v>conflict_end_condition</x:v>
      </x:c>
      <x:c r="X77" s="72" t="str">
        <x:v>紧急问题得到处理、责任有人承担，之后再决定是否补充沟通和复盘</x:v>
      </x:c>
      <x:c r="Y77" s="72" t="str">
        <x:v>对你来说，这一轮分歧更容易在“紧急问题得到处理、责任有人承担，之后再决定是否补充沟通和复盘”之后暂时告一段落。</x:v>
      </x:c>
      <x:c r="Z7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77" s="72" t="str">
        <x:v>中</x:v>
      </x:c>
      <x:c r="AB77" s="72" t="str">
        <x:v>待验证</x:v>
      </x:c>
      <x:c r="AC77" s="72" t="str"/>
      <x:c r="AD77" s="72" t="str">
        <x:v>provisional=true; channel=CF08; ten_god=七杀</x:v>
      </x:c>
      <x:c r="AE77" s="73" t="str">
        <x:v>0.6</x:v>
      </x:c>
    </x:row>
    <x:row r="78">
      <x:c r="A78" s="71" t="str">
        <x:v>M3-CONFLICT-074</x:v>
      </x:c>
      <x:c r="B78" s="72" t="str">
        <x:v>CF08 七杀｜弱远或条件性调用</x:v>
      </x:c>
      <x:c r="C78" s="72" t="str">
        <x:v>L1 十神冲突通道</x:v>
      </x:c>
      <x:c r="D78" s="72" t="str">
        <x:v>CONFLICT-CF08-七杀决断处置</x:v>
      </x:c>
      <x:c r="E78" s="72" t="str">
        <x:v>通用</x:v>
      </x:c>
      <x:c r="F78" s="72" t="str">
        <x:v>条件修正</x:v>
      </x:c>
      <x:c r="G78" s="72" t="str">
        <x:v>七杀</x:v>
      </x:c>
      <x:c r="H78" s="72" t="str"/>
      <x:c r="I78" s="72" t="str">
        <x:v>七杀偏弱、远位、无根，或只有单一间接证据。</x:v>
      </x:c>
      <x:c r="J78" s="72" t="str">
        <x:v>基础信号未定；真合化后原信号已失效；只有单一弱远争议信号；或该结论会越界到M4风险、M5适配。</x:v>
      </x:c>
      <x:c r="K78" s="72" t="str">
        <x:v>由共享基础引擎与M3-STATE修正；日主承载只修正冲突处理的可执行性，不直接等于强硬或软弱。</x:v>
      </x:c>
      <x:c r="L78" s="72" t="str">
        <x:v>不限定；夫妻星只在责任、行动、投入等冲突议题中参与接口，不作为CONFLICT唯一主轴。</x:v>
      </x:c>
      <x:c r="M78" s="72" t="str">
        <x:v>由M3-BASE、日支主气及宫位动态提供；不得把日支直接写成配偶性格。</x:v>
      </x:c>
      <x:c r="N78" s="72" t="str">
        <x:v>无／待CONFLICT顺序与路径规则组合</x:v>
      </x:c>
      <x:c r="O78" s="72" t="str">
        <x:v>日柱与日支近位优先；全局有效独立信号可作次通道。</x:v>
      </x:c>
      <x:c r="P78" s="72" t="str">
        <x:v>由共享基础引擎判定</x:v>
      </x:c>
      <x:c r="Q78" s="72" t="str">
        <x:v>由共享基础引擎判定</x:v>
      </x:c>
      <x:c r="R78" s="72" t="str">
        <x:v>喜忌不直接等于冲突方式好坏；只修正调用顺畅度、资源压力和状态切换。</x:v>
      </x:c>
      <x:c r="S78" s="72" t="str">
        <x:v>原十神性质有效；真合化成立时按化神所属功能系统重建。</x:v>
      </x:c>
      <x:c r="T78" s="72" t="str">
        <x:v>由共享基础引擎判定</x:v>
      </x:c>
      <x:c r="U78" s="72" t="str">
        <x:v>60</x:v>
      </x:c>
      <x:c r="V78" s="72" t="str">
        <x:v>候选 +2；降置信</x:v>
      </x:c>
      <x:c r="W78" s="72" t="str">
        <x:v>secondary_conflict_channel</x:v>
      </x:c>
      <x:c r="X78" s="72" t="str">
        <x:v>信号偏弱时，只能说明关键时刻重视行动，不写成平时都强硬快速。</x:v>
      </x:c>
      <x:c r="Y78" s="72" t="str">
        <x:v>信号偏弱时，只能说明关键时刻重视行动，不写成平时都强硬快速。</x:v>
      </x:c>
      <x:c r="Z7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78" s="72" t="str">
        <x:v>中低</x:v>
      </x:c>
      <x:c r="AB78" s="72" t="str">
        <x:v>待验证</x:v>
      </x:c>
      <x:c r="AC78" s="72" t="str"/>
      <x:c r="AD78" s="72" t="str">
        <x:v>provisional=true; channel=CF08; ten_god=七杀</x:v>
      </x:c>
      <x:c r="AE78" s="73" t="str">
        <x:v>0.6</x:v>
      </x:c>
    </x:row>
    <x:row r="79">
      <x:c r="A79" s="71" t="str">
        <x:v>M3-CONFLICT-075</x:v>
      </x:c>
      <x:c r="B79" s="72" t="str">
        <x:v>CF08 七杀｜压力下抢先或切换</x:v>
      </x:c>
      <x:c r="C79" s="72" t="str">
        <x:v>L1 十神冲突通道</x:v>
      </x:c>
      <x:c r="D79" s="72" t="str">
        <x:v>CONFLICT-CF08-七杀决断处置</x:v>
      </x:c>
      <x:c r="E79" s="72" t="str">
        <x:v>通用</x:v>
      </x:c>
      <x:c r="F79" s="72" t="str">
        <x:v>压力修正</x:v>
      </x:c>
      <x:c r="G79" s="72" t="str">
        <x:v>七杀</x:v>
      </x:c>
      <x:c r="H79" s="72" t="str"/>
      <x:c r="I79" s="72" t="str">
        <x:v>七杀过旺、强而无制，或M3-STATE显示该通道在压力状态被放大。</x:v>
      </x:c>
      <x:c r="J79" s="72" t="str">
        <x:v>基础信号未定；真合化后原信号已失效；只有单一弱远争议信号；或该结论会越界到M4风险、M5适配。</x:v>
      </x:c>
      <x:c r="K79" s="72" t="str">
        <x:v>由共享基础引擎与M3-STATE修正；日主承载只修正冲突处理的可执行性，不直接等于强硬或软弱。</x:v>
      </x:c>
      <x:c r="L79" s="72" t="str">
        <x:v>不限定；夫妻星只在责任、行动、投入等冲突议题中参与接口，不作为CONFLICT唯一主轴。</x:v>
      </x:c>
      <x:c r="M79" s="72" t="str">
        <x:v>由M3-BASE、日支主气及宫位动态提供；不得把日支直接写成配偶性格。</x:v>
      </x:c>
      <x:c r="N79" s="72" t="str">
        <x:v>无／待CONFLICT顺序与路径规则组合</x:v>
      </x:c>
      <x:c r="O79" s="72" t="str">
        <x:v>日柱与日支近位优先；全局有效独立信号可作次通道。</x:v>
      </x:c>
      <x:c r="P79" s="72" t="str">
        <x:v>由共享基础引擎判定</x:v>
      </x:c>
      <x:c r="Q79" s="72" t="str">
        <x:v>由共享基础引擎判定</x:v>
      </x:c>
      <x:c r="R79" s="72" t="str">
        <x:v>喜忌不直接等于冲突方式好坏；只修正调用顺畅度、资源压力和状态切换。</x:v>
      </x:c>
      <x:c r="S79" s="72" t="str">
        <x:v>原十神性质有效；真合化成立时按化神所属功能系统重建。</x:v>
      </x:c>
      <x:c r="T79" s="72" t="str">
        <x:v>由共享基础引擎判定</x:v>
      </x:c>
      <x:c r="U79" s="72" t="str">
        <x:v>66</x:v>
      </x:c>
      <x:c r="V79" s="72" t="str">
        <x:v>压力通道 +5；路由STATE/M4</x:v>
      </x:c>
      <x:c r="W79" s="72" t="str">
        <x:v>state_shift</x:v>
      </x:c>
      <x:c r="X79" s="72" t="str">
        <x:v>压力增加时，行动和决断可能先于情绪沟通；是否形成压迫或单方面决定需M4与BOUND判断。</x:v>
      </x:c>
      <x:c r="Y79" s="72" t="str">
        <x:v>压力增加时，行动和决断可能先于情绪沟通；是否形成压迫或单方面决定需M4与BOUND判断。</x:v>
      </x:c>
      <x:c r="Z7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79" s="72" t="str">
        <x:v>中</x:v>
      </x:c>
      <x:c r="AB79" s="72" t="str">
        <x:v>待验证</x:v>
      </x:c>
      <x:c r="AC79" s="72" t="str"/>
      <x:c r="AD79" s="72" t="str">
        <x:v>provisional=true; channel=CF08; ten_god=七杀</x:v>
      </x:c>
      <x:c r="AE79" s="73" t="str">
        <x:v>0.6</x:v>
      </x:c>
    </x:row>
    <x:row r="80">
      <x:c r="A80" s="71" t="str">
        <x:v>M3-CONFLICT-076</x:v>
      </x:c>
      <x:c r="B80" s="72" t="str">
        <x:v>CF08 七杀｜禁止人格化和结果化</x:v>
      </x:c>
      <x:c r="C80" s="72" t="str">
        <x:v>L1 十神冲突通道</x:v>
      </x:c>
      <x:c r="D80" s="72" t="str">
        <x:v>CONFLICT-CF08-七杀决断处置</x:v>
      </x:c>
      <x:c r="E80" s="72" t="str">
        <x:v>通用</x:v>
      </x:c>
      <x:c r="F80" s="72" t="str">
        <x:v>禁止推断</x:v>
      </x:c>
      <x:c r="G80" s="72" t="str">
        <x:v>七杀</x:v>
      </x:c>
      <x:c r="H80" s="72" t="str"/>
      <x:c r="I80" s="72" t="str">
        <x:v>七杀冲突通道被识别。</x:v>
      </x:c>
      <x:c r="J80" s="72" t="str">
        <x:v>基础信号未定；真合化后原信号已失效；只有单一弱远争议信号；或该结论会越界到M4风险、M5适配。</x:v>
      </x:c>
      <x:c r="K80" s="72" t="str">
        <x:v>由共享基础引擎与M3-STATE修正；日主承载只修正冲突处理的可执行性，不直接等于强硬或软弱。</x:v>
      </x:c>
      <x:c r="L80" s="72" t="str">
        <x:v>不限定；夫妻星只在责任、行动、投入等冲突议题中参与接口，不作为CONFLICT唯一主轴。</x:v>
      </x:c>
      <x:c r="M80" s="72" t="str">
        <x:v>由M3-BASE、日支主气及宫位动态提供；不得把日支直接写成配偶性格。</x:v>
      </x:c>
      <x:c r="N80" s="72" t="str">
        <x:v>无／待CONFLICT顺序与路径规则组合</x:v>
      </x:c>
      <x:c r="O80" s="72" t="str">
        <x:v>日柱与日支近位优先；全局有效独立信号可作次通道。</x:v>
      </x:c>
      <x:c r="P80" s="72" t="str">
        <x:v>由共享基础引擎判定</x:v>
      </x:c>
      <x:c r="Q80" s="72" t="str">
        <x:v>由共享基础引擎判定</x:v>
      </x:c>
      <x:c r="R80" s="72" t="str">
        <x:v>喜忌不直接等于冲突方式好坏；只修正调用顺畅度、资源压力和状态切换。</x:v>
      </x:c>
      <x:c r="S80" s="72" t="str">
        <x:v>原十神性质有效；真合化成立时按化神所属功能系统重建。</x:v>
      </x:c>
      <x:c r="T80" s="72" t="str">
        <x:v>由共享基础引擎判定</x:v>
      </x:c>
      <x:c r="U80" s="72" t="str">
        <x:v>90</x:v>
      </x:c>
      <x:c r="V80" s="72" t="str">
        <x:v>不加分；边界检查</x:v>
      </x:c>
      <x:c r="W80" s="72" t="str">
        <x:v>boundary_note</x:v>
      </x:c>
      <x:c r="X80" s="72" t="str">
        <x:v>不得直接写成暴力、强势控制、脾气大、危险或必然压制对方。</x:v>
      </x:c>
      <x:c r="Y80" s="72" t="str">
        <x:v>不得直接写成暴力、强势控制、脾气大、危险或必然压制对方，这里只描述处理顺序。</x:v>
      </x:c>
      <x:c r="Z8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不得直接写成暴力、强势控制、脾气大、危险或必然压制对方。</x:v>
      </x:c>
      <x:c r="AA80" s="72" t="str">
        <x:v>高</x:v>
      </x:c>
      <x:c r="AB80" s="72" t="str">
        <x:v>待验证</x:v>
      </x:c>
      <x:c r="AC80" s="72" t="str"/>
      <x:c r="AD80" s="72" t="str">
        <x:v>provisional=true; channel=CF08; ten_god=七杀</x:v>
      </x:c>
      <x:c r="AE80" s="73" t="str">
        <x:v>0.6</x:v>
      </x:c>
    </x:row>
    <x:row r="81">
      <x:c r="A81" s="71" t="str">
        <x:v>M3-CONFLICT-077</x:v>
      </x:c>
      <x:c r="B81" s="72" t="str">
        <x:v>CF09 正印｜倾听承接通道定义</x:v>
      </x:c>
      <x:c r="C81" s="72" t="str">
        <x:v>L1 十神冲突通道</x:v>
      </x:c>
      <x:c r="D81" s="72" t="str">
        <x:v>CONFLICT-CF09-正印倾听承接</x:v>
      </x:c>
      <x:c r="E81" s="72" t="str">
        <x:v>通用</x:v>
      </x:c>
      <x:c r="F81" s="72" t="str">
        <x:v>通道定义</x:v>
      </x:c>
      <x:c r="G81" s="72" t="str">
        <x:v>正印</x:v>
      </x:c>
      <x:c r="H81" s="72" t="str"/>
      <x:c r="I81" s="72" t="str">
        <x:v>正印形成有效独立信号，且未因真合化失效；至少有日支／日柱、近位有根或现实重复行为中的一类可靠证据。</x:v>
      </x:c>
      <x:c r="J81" s="72" t="str">
        <x:v>基础信号未定；真合化后原信号已失效；只有单一弱远争议信号；或该结论会越界到M4风险、M5适配。</x:v>
      </x:c>
      <x:c r="K81" s="72" t="str">
        <x:v>由共享基础引擎与M3-STATE修正；日主承载只修正冲突处理的可执行性，不直接等于强硬或软弱。</x:v>
      </x:c>
      <x:c r="L81" s="72" t="str">
        <x:v>不限定；夫妻星只在责任、行动、投入等冲突议题中参与接口，不作为CONFLICT唯一主轴。</x:v>
      </x:c>
      <x:c r="M81" s="72" t="str">
        <x:v>由M3-BASE、日支主气及宫位动态提供；不得把日支直接写成配偶性格。</x:v>
      </x:c>
      <x:c r="N81" s="72" t="str">
        <x:v>无／待CONFLICT顺序与路径规则组合</x:v>
      </x:c>
      <x:c r="O81" s="72" t="str">
        <x:v>日柱与日支近位优先；全局有效独立信号可作次通道。</x:v>
      </x:c>
      <x:c r="P81" s="72" t="str">
        <x:v>由共享基础引擎判定</x:v>
      </x:c>
      <x:c r="Q81" s="72" t="str">
        <x:v>由共享基础引擎判定</x:v>
      </x:c>
      <x:c r="R81" s="72" t="str">
        <x:v>喜忌不直接等于冲突方式好坏；只修正调用顺畅度、资源压力和状态切换。</x:v>
      </x:c>
      <x:c r="S81" s="72" t="str">
        <x:v>原十神性质有效；真合化成立时按化神所属功能系统重建。</x:v>
      </x:c>
      <x:c r="T81" s="72" t="str">
        <x:v>由共享基础引擎判定</x:v>
      </x:c>
      <x:c r="U81" s="72" t="str">
        <x:v>75</x:v>
      </x:c>
      <x:c r="V81" s="72" t="str">
        <x:v>通道候选 +10</x:v>
      </x:c>
      <x:c r="W81" s="72" t="str">
        <x:v>primary_conflict_channel</x:v>
      </x:c>
      <x:c r="X81" s="72" t="str">
        <x:v>正印在CONFLICT中主要负责：先理解感受、背景和双方为什么会这样反应，再形成回应。</x:v>
      </x:c>
      <x:c r="Y81" s="72" t="str">
        <x:v>分歧出现时，你更容易先听清双方的感受和背景，确认彼此为什么会这样，再决定怎样回应。</x:v>
      </x:c>
      <x:c r="Z8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81" s="72" t="str">
        <x:v>中高</x:v>
      </x:c>
      <x:c r="AB81" s="72" t="str">
        <x:v>待验证</x:v>
      </x:c>
      <x:c r="AC81" s="72" t="str"/>
      <x:c r="AD81" s="72" t="str">
        <x:v>provisional=true; channel=CF09; ten_god=正印</x:v>
      </x:c>
      <x:c r="AE81" s="73" t="str">
        <x:v>0.6</x:v>
      </x:c>
    </x:row>
    <x:row r="82">
      <x:c r="A82" s="71" t="str">
        <x:v>M3-CONFLICT-078</x:v>
      </x:c>
      <x:c r="B82" s="72" t="str">
        <x:v>CF09 正印｜第一反应</x:v>
      </x:c>
      <x:c r="C82" s="72" t="str">
        <x:v>L1 十神冲突通道</x:v>
      </x:c>
      <x:c r="D82" s="72" t="str">
        <x:v>CONFLICT-CF09-正印倾听承接</x:v>
      </x:c>
      <x:c r="E82" s="72" t="str">
        <x:v>通用</x:v>
      </x:c>
      <x:c r="F82" s="72" t="str">
        <x:v>第一反应</x:v>
      </x:c>
      <x:c r="G82" s="72" t="str">
        <x:v>正印</x:v>
      </x:c>
      <x:c r="H82" s="72" t="str"/>
      <x:c r="I82" s="72" t="str">
        <x:v>正印形成有效独立信号，且未因真合化失效；至少有日支／日柱、近位有根或现实重复行为中的一类可靠证据。</x:v>
      </x:c>
      <x:c r="J82" s="72" t="str">
        <x:v>基础信号未定；真合化后原信号已失效；只有单一弱远争议信号；或该结论会越界到M4风险、M5适配。</x:v>
      </x:c>
      <x:c r="K82" s="72" t="str">
        <x:v>由共享基础引擎与M3-STATE修正；日主承载只修正冲突处理的可执行性，不直接等于强硬或软弱。</x:v>
      </x:c>
      <x:c r="L82" s="72" t="str">
        <x:v>不限定；夫妻星只在责任、行动、投入等冲突议题中参与接口，不作为CONFLICT唯一主轴。</x:v>
      </x:c>
      <x:c r="M82" s="72" t="str">
        <x:v>由M3-BASE、日支主气及宫位动态提供；不得把日支直接写成配偶性格。</x:v>
      </x:c>
      <x:c r="N82" s="72" t="str">
        <x:v>无／待CONFLICT顺序与路径规则组合</x:v>
      </x:c>
      <x:c r="O82" s="72" t="str">
        <x:v>日柱与日支近位优先；全局有效独立信号可作次通道。</x:v>
      </x:c>
      <x:c r="P82" s="72" t="str">
        <x:v>由共享基础引擎判定</x:v>
      </x:c>
      <x:c r="Q82" s="72" t="str">
        <x:v>由共享基础引擎判定</x:v>
      </x:c>
      <x:c r="R82" s="72" t="str">
        <x:v>喜忌不直接等于冲突方式好坏；只修正调用顺畅度、资源压力和状态切换。</x:v>
      </x:c>
      <x:c r="S82" s="72" t="str">
        <x:v>原十神性质有效；真合化成立时按化神所属功能系统重建。</x:v>
      </x:c>
      <x:c r="T82" s="72" t="str">
        <x:v>由共享基础引擎判定</x:v>
      </x:c>
      <x:c r="U82" s="72" t="str">
        <x:v>72</x:v>
      </x:c>
      <x:c r="V82" s="72" t="str">
        <x:v>第一反应候选 +6</x:v>
      </x:c>
      <x:c r="W82" s="72" t="str">
        <x:v>first_response</x:v>
      </x:c>
      <x:c r="X82" s="72" t="str">
        <x:v>先听、确认感受、补足背景信息或让双方恢复安全感</x:v>
      </x:c>
      <x:c r="Y82" s="72" t="str">
        <x:v>分歧刚出现时，你更可能先听、确认感受、补足背景信息或让双方恢复安全感。</x:v>
      </x:c>
      <x:c r="Z8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82" s="72" t="str">
        <x:v>中</x:v>
      </x:c>
      <x:c r="AB82" s="72" t="str">
        <x:v>待验证</x:v>
      </x:c>
      <x:c r="AC82" s="72" t="str"/>
      <x:c r="AD82" s="72" t="str">
        <x:v>provisional=true; channel=CF09; ten_god=正印</x:v>
      </x:c>
      <x:c r="AE82" s="73" t="str">
        <x:v>0.6</x:v>
      </x:c>
    </x:row>
    <x:row r="83">
      <x:c r="A83" s="71" t="str">
        <x:v>M3-CONFLICT-079</x:v>
      </x:c>
      <x:c r="B83" s="72" t="str">
        <x:v>CF09 正印｜注意焦点</x:v>
      </x:c>
      <x:c r="C83" s="72" t="str">
        <x:v>L1 十神冲突通道</x:v>
      </x:c>
      <x:c r="D83" s="72" t="str">
        <x:v>CONFLICT-CF09-正印倾听承接</x:v>
      </x:c>
      <x:c r="E83" s="72" t="str">
        <x:v>通用</x:v>
      </x:c>
      <x:c r="F83" s="72" t="str">
        <x:v>信息焦点</x:v>
      </x:c>
      <x:c r="G83" s="72" t="str">
        <x:v>正印</x:v>
      </x:c>
      <x:c r="H83" s="72" t="str"/>
      <x:c r="I83" s="72" t="str">
        <x:v>正印形成有效独立信号，且未因真合化失效；至少有日支／日柱、近位有根或现实重复行为中的一类可靠证据。</x:v>
      </x:c>
      <x:c r="J83" s="72" t="str">
        <x:v>基础信号未定；真合化后原信号已失效；只有单一弱远争议信号；或该结论会越界到M4风险、M5适配。</x:v>
      </x:c>
      <x:c r="K83" s="72" t="str">
        <x:v>由共享基础引擎与M3-STATE修正；日主承载只修正冲突处理的可执行性，不直接等于强硬或软弱。</x:v>
      </x:c>
      <x:c r="L83" s="72" t="str">
        <x:v>不限定；夫妻星只在责任、行动、投入等冲突议题中参与接口，不作为CONFLICT唯一主轴。</x:v>
      </x:c>
      <x:c r="M83" s="72" t="str">
        <x:v>由M3-BASE、日支主气及宫位动态提供；不得把日支直接写成配偶性格。</x:v>
      </x:c>
      <x:c r="N83" s="72" t="str">
        <x:v>无／待CONFLICT顺序与路径规则组合</x:v>
      </x:c>
      <x:c r="O83" s="72" t="str">
        <x:v>日柱与日支近位优先；全局有效独立信号可作次通道。</x:v>
      </x:c>
      <x:c r="P83" s="72" t="str">
        <x:v>由共享基础引擎判定</x:v>
      </x:c>
      <x:c r="Q83" s="72" t="str">
        <x:v>由共享基础引擎判定</x:v>
      </x:c>
      <x:c r="R83" s="72" t="str">
        <x:v>喜忌不直接等于冲突方式好坏；只修正调用顺畅度、资源压力和状态切换。</x:v>
      </x:c>
      <x:c r="S83" s="72" t="str">
        <x:v>原十神性质有效；真合化成立时按化神所属功能系统重建。</x:v>
      </x:c>
      <x:c r="T83" s="72" t="str">
        <x:v>由共享基础引擎判定</x:v>
      </x:c>
      <x:c r="U83" s="72" t="str">
        <x:v>70</x:v>
      </x:c>
      <x:c r="V83" s="72" t="str">
        <x:v>焦点候选 +5</x:v>
      </x:c>
      <x:c r="W83" s="72" t="str">
        <x:v>attention_focus</x:v>
      </x:c>
      <x:c r="X83" s="72" t="str">
        <x:v>该通道首先读取：感受、动机、背景、可信度和是否被理解。</x:v>
      </x:c>
      <x:c r="Y83" s="72" t="str">
        <x:v>你在分歧中会特别注意感受、动机、背景、可信度和是否被理解。</x:v>
      </x:c>
      <x:c r="Z8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83" s="72" t="str">
        <x:v>中</x:v>
      </x:c>
      <x:c r="AB83" s="72" t="str">
        <x:v>待验证</x:v>
      </x:c>
      <x:c r="AC83" s="72" t="str"/>
      <x:c r="AD83" s="72" t="str">
        <x:v>provisional=true; channel=CF09; ten_god=正印</x:v>
      </x:c>
      <x:c r="AE83" s="73" t="str">
        <x:v>0.6</x:v>
      </x:c>
    </x:row>
    <x:row r="84">
      <x:c r="A84" s="71" t="str">
        <x:v>M3-CONFLICT-080</x:v>
      </x:c>
      <x:c r="B84" s="72" t="str">
        <x:v>CF09 正印｜阶段结束条件</x:v>
      </x:c>
      <x:c r="C84" s="72" t="str">
        <x:v>L1 十神冲突通道</x:v>
      </x:c>
      <x:c r="D84" s="72" t="str">
        <x:v>CONFLICT-CF09-正印倾听承接</x:v>
      </x:c>
      <x:c r="E84" s="72" t="str">
        <x:v>通用</x:v>
      </x:c>
      <x:c r="F84" s="72" t="str">
        <x:v>结束条件</x:v>
      </x:c>
      <x:c r="G84" s="72" t="str">
        <x:v>正印</x:v>
      </x:c>
      <x:c r="H84" s="72" t="str"/>
      <x:c r="I84" s="72" t="str">
        <x:v>正印形成有效独立信号，且未因真合化失效；至少有日支／日柱、近位有根或现实重复行为中的一类可靠证据。</x:v>
      </x:c>
      <x:c r="J84" s="72" t="str">
        <x:v>基础信号未定；真合化后原信号已失效；只有单一弱远争议信号；或该结论会越界到M4风险、M5适配。</x:v>
      </x:c>
      <x:c r="K84" s="72" t="str">
        <x:v>由共享基础引擎与M3-STATE修正；日主承载只修正冲突处理的可执行性，不直接等于强硬或软弱。</x:v>
      </x:c>
      <x:c r="L84" s="72" t="str">
        <x:v>不限定；夫妻星只在责任、行动、投入等冲突议题中参与接口，不作为CONFLICT唯一主轴。</x:v>
      </x:c>
      <x:c r="M84" s="72" t="str">
        <x:v>由M3-BASE、日支主气及宫位动态提供；不得把日支直接写成配偶性格。</x:v>
      </x:c>
      <x:c r="N84" s="72" t="str">
        <x:v>无／待CONFLICT顺序与路径规则组合</x:v>
      </x:c>
      <x:c r="O84" s="72" t="str">
        <x:v>日柱与日支近位优先；全局有效独立信号可作次通道。</x:v>
      </x:c>
      <x:c r="P84" s="72" t="str">
        <x:v>由共享基础引擎判定</x:v>
      </x:c>
      <x:c r="Q84" s="72" t="str">
        <x:v>由共享基础引擎判定</x:v>
      </x:c>
      <x:c r="R84" s="72" t="str">
        <x:v>喜忌不直接等于冲突方式好坏；只修正调用顺畅度、资源压力和状态切换。</x:v>
      </x:c>
      <x:c r="S84" s="72" t="str">
        <x:v>原十神性质有效；真合化成立时按化神所属功能系统重建。</x:v>
      </x:c>
      <x:c r="T84" s="72" t="str">
        <x:v>由共享基础引擎判定</x:v>
      </x:c>
      <x:c r="U84" s="72" t="str">
        <x:v>68</x:v>
      </x:c>
      <x:c r="V84" s="72" t="str">
        <x:v>结束条件候选 +5</x:v>
      </x:c>
      <x:c r="W84" s="72" t="str">
        <x:v>conflict_end_condition</x:v>
      </x:c>
      <x:c r="X84" s="72" t="str">
        <x:v>当双方感到被听见并理解核心背景后，再进入立场、责任或方案</x:v>
      </x:c>
      <x:c r="Y84" s="72" t="str">
        <x:v>对你来说，这一轮分歧更容易在“当双方感到被听见并理解核心背景后，再进入立场、责任或方案”之后暂时告一段落。</x:v>
      </x:c>
      <x:c r="Z8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84" s="72" t="str">
        <x:v>中</x:v>
      </x:c>
      <x:c r="AB84" s="72" t="str">
        <x:v>待验证</x:v>
      </x:c>
      <x:c r="AC84" s="72" t="str"/>
      <x:c r="AD84" s="72" t="str">
        <x:v>provisional=true; channel=CF09; ten_god=正印</x:v>
      </x:c>
      <x:c r="AE84" s="73" t="str">
        <x:v>0.6</x:v>
      </x:c>
    </x:row>
    <x:row r="85">
      <x:c r="A85" s="71" t="str">
        <x:v>M3-CONFLICT-081</x:v>
      </x:c>
      <x:c r="B85" s="72" t="str">
        <x:v>CF09 正印｜弱远或条件性调用</x:v>
      </x:c>
      <x:c r="C85" s="72" t="str">
        <x:v>L1 十神冲突通道</x:v>
      </x:c>
      <x:c r="D85" s="72" t="str">
        <x:v>CONFLICT-CF09-正印倾听承接</x:v>
      </x:c>
      <x:c r="E85" s="72" t="str">
        <x:v>通用</x:v>
      </x:c>
      <x:c r="F85" s="72" t="str">
        <x:v>条件修正</x:v>
      </x:c>
      <x:c r="G85" s="72" t="str">
        <x:v>正印</x:v>
      </x:c>
      <x:c r="H85" s="72" t="str"/>
      <x:c r="I85" s="72" t="str">
        <x:v>正印偏弱、远位、无根，或只有单一间接证据。</x:v>
      </x:c>
      <x:c r="J85" s="72" t="str">
        <x:v>基础信号未定；真合化后原信号已失效；只有单一弱远争议信号；或该结论会越界到M4风险、M5适配。</x:v>
      </x:c>
      <x:c r="K85" s="72" t="str">
        <x:v>由共享基础引擎与M3-STATE修正；日主承载只修正冲突处理的可执行性，不直接等于强硬或软弱。</x:v>
      </x:c>
      <x:c r="L85" s="72" t="str">
        <x:v>不限定；夫妻星只在责任、行动、投入等冲突议题中参与接口，不作为CONFLICT唯一主轴。</x:v>
      </x:c>
      <x:c r="M85" s="72" t="str">
        <x:v>由M3-BASE、日支主气及宫位动态提供；不得把日支直接写成配偶性格。</x:v>
      </x:c>
      <x:c r="N85" s="72" t="str">
        <x:v>无／待CONFLICT顺序与路径规则组合</x:v>
      </x:c>
      <x:c r="O85" s="72" t="str">
        <x:v>日柱与日支近位优先；全局有效独立信号可作次通道。</x:v>
      </x:c>
      <x:c r="P85" s="72" t="str">
        <x:v>由共享基础引擎判定</x:v>
      </x:c>
      <x:c r="Q85" s="72" t="str">
        <x:v>由共享基础引擎判定</x:v>
      </x:c>
      <x:c r="R85" s="72" t="str">
        <x:v>喜忌不直接等于冲突方式好坏；只修正调用顺畅度、资源压力和状态切换。</x:v>
      </x:c>
      <x:c r="S85" s="72" t="str">
        <x:v>原十神性质有效；真合化成立时按化神所属功能系统重建。</x:v>
      </x:c>
      <x:c r="T85" s="72" t="str">
        <x:v>由共享基础引擎判定</x:v>
      </x:c>
      <x:c r="U85" s="72" t="str">
        <x:v>60</x:v>
      </x:c>
      <x:c r="V85" s="72" t="str">
        <x:v>候选 +2；降置信</x:v>
      </x:c>
      <x:c r="W85" s="72" t="str">
        <x:v>secondary_conflict_channel</x:v>
      </x:c>
      <x:c r="X85" s="72" t="str">
        <x:v>信号偏弱时，只能说明你需要理解背景，不写成一定能持续承接情绪。</x:v>
      </x:c>
      <x:c r="Y85" s="72" t="str">
        <x:v>信号偏弱时，只能说明你需要理解背景，不写成一定能持续承接情绪。</x:v>
      </x:c>
      <x:c r="Z8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85" s="72" t="str">
        <x:v>中低</x:v>
      </x:c>
      <x:c r="AB85" s="72" t="str">
        <x:v>待验证</x:v>
      </x:c>
      <x:c r="AC85" s="72" t="str"/>
      <x:c r="AD85" s="72" t="str">
        <x:v>provisional=true; channel=CF09; ten_god=正印</x:v>
      </x:c>
      <x:c r="AE85" s="73" t="str">
        <x:v>0.6</x:v>
      </x:c>
    </x:row>
    <x:row r="86">
      <x:c r="A86" s="71" t="str">
        <x:v>M3-CONFLICT-082</x:v>
      </x:c>
      <x:c r="B86" s="72" t="str">
        <x:v>CF09 正印｜压力下抢先或切换</x:v>
      </x:c>
      <x:c r="C86" s="72" t="str">
        <x:v>L1 十神冲突通道</x:v>
      </x:c>
      <x:c r="D86" s="72" t="str">
        <x:v>CONFLICT-CF09-正印倾听承接</x:v>
      </x:c>
      <x:c r="E86" s="72" t="str">
        <x:v>通用</x:v>
      </x:c>
      <x:c r="F86" s="72" t="str">
        <x:v>压力修正</x:v>
      </x:c>
      <x:c r="G86" s="72" t="str">
        <x:v>正印</x:v>
      </x:c>
      <x:c r="H86" s="72" t="str"/>
      <x:c r="I86" s="72" t="str">
        <x:v>正印过旺、强而无制，或M3-STATE显示该通道在压力状态被放大。</x:v>
      </x:c>
      <x:c r="J86" s="72" t="str">
        <x:v>基础信号未定；真合化后原信号已失效；只有单一弱远争议信号；或该结论会越界到M4风险、M5适配。</x:v>
      </x:c>
      <x:c r="K86" s="72" t="str">
        <x:v>由共享基础引擎与M3-STATE修正；日主承载只修正冲突处理的可执行性，不直接等于强硬或软弱。</x:v>
      </x:c>
      <x:c r="L86" s="72" t="str">
        <x:v>不限定；夫妻星只在责任、行动、投入等冲突议题中参与接口，不作为CONFLICT唯一主轴。</x:v>
      </x:c>
      <x:c r="M86" s="72" t="str">
        <x:v>由M3-BASE、日支主气及宫位动态提供；不得把日支直接写成配偶性格。</x:v>
      </x:c>
      <x:c r="N86" s="72" t="str">
        <x:v>无／待CONFLICT顺序与路径规则组合</x:v>
      </x:c>
      <x:c r="O86" s="72" t="str">
        <x:v>日柱与日支近位优先；全局有效独立信号可作次通道。</x:v>
      </x:c>
      <x:c r="P86" s="72" t="str">
        <x:v>由共享基础引擎判定</x:v>
      </x:c>
      <x:c r="Q86" s="72" t="str">
        <x:v>由共享基础引擎判定</x:v>
      </x:c>
      <x:c r="R86" s="72" t="str">
        <x:v>喜忌不直接等于冲突方式好坏；只修正调用顺畅度、资源压力和状态切换。</x:v>
      </x:c>
      <x:c r="S86" s="72" t="str">
        <x:v>原十神性质有效；真合化成立时按化神所属功能系统重建。</x:v>
      </x:c>
      <x:c r="T86" s="72" t="str">
        <x:v>由共享基础引擎判定</x:v>
      </x:c>
      <x:c r="U86" s="72" t="str">
        <x:v>66</x:v>
      </x:c>
      <x:c r="V86" s="72" t="str">
        <x:v>压力通道 +5；路由STATE/M4</x:v>
      </x:c>
      <x:c r="W86" s="72" t="str">
        <x:v>state_shift</x:v>
      </x:c>
      <x:c r="X86" s="72" t="str">
        <x:v>压力过高时，倾听可能需要更明确的安全条件；是否变成压抑自身立场需结合比劫和案例。</x:v>
      </x:c>
      <x:c r="Y86" s="72" t="str">
        <x:v>压力过高时，倾听可能需要更明确的安全条件；是否变成压抑自身立场需结合比劫和案例。</x:v>
      </x:c>
      <x:c r="Z8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86" s="72" t="str">
        <x:v>中</x:v>
      </x:c>
      <x:c r="AB86" s="72" t="str">
        <x:v>待验证</x:v>
      </x:c>
      <x:c r="AC86" s="72" t="str"/>
      <x:c r="AD86" s="72" t="str">
        <x:v>provisional=true; channel=CF09; ten_god=正印</x:v>
      </x:c>
      <x:c r="AE86" s="73" t="str">
        <x:v>0.6</x:v>
      </x:c>
    </x:row>
    <x:row r="87">
      <x:c r="A87" s="71" t="str">
        <x:v>M3-CONFLICT-083</x:v>
      </x:c>
      <x:c r="B87" s="72" t="str">
        <x:v>CF09 正印｜禁止人格化和结果化</x:v>
      </x:c>
      <x:c r="C87" s="72" t="str">
        <x:v>L1 十神冲突通道</x:v>
      </x:c>
      <x:c r="D87" s="72" t="str">
        <x:v>CONFLICT-CF09-正印倾听承接</x:v>
      </x:c>
      <x:c r="E87" s="72" t="str">
        <x:v>通用</x:v>
      </x:c>
      <x:c r="F87" s="72" t="str">
        <x:v>禁止推断</x:v>
      </x:c>
      <x:c r="G87" s="72" t="str">
        <x:v>正印</x:v>
      </x:c>
      <x:c r="H87" s="72" t="str"/>
      <x:c r="I87" s="72" t="str">
        <x:v>正印冲突通道被识别。</x:v>
      </x:c>
      <x:c r="J87" s="72" t="str">
        <x:v>基础信号未定；真合化后原信号已失效；只有单一弱远争议信号；或该结论会越界到M4风险、M5适配。</x:v>
      </x:c>
      <x:c r="K87" s="72" t="str">
        <x:v>由共享基础引擎与M3-STATE修正；日主承载只修正冲突处理的可执行性，不直接等于强硬或软弱。</x:v>
      </x:c>
      <x:c r="L87" s="72" t="str">
        <x:v>不限定；夫妻星只在责任、行动、投入等冲突议题中参与接口，不作为CONFLICT唯一主轴。</x:v>
      </x:c>
      <x:c r="M87" s="72" t="str">
        <x:v>由M3-BASE、日支主气及宫位动态提供；不得把日支直接写成配偶性格。</x:v>
      </x:c>
      <x:c r="N87" s="72" t="str">
        <x:v>无／待CONFLICT顺序与路径规则组合</x:v>
      </x:c>
      <x:c r="O87" s="72" t="str">
        <x:v>日柱与日支近位优先；全局有效独立信号可作次通道。</x:v>
      </x:c>
      <x:c r="P87" s="72" t="str">
        <x:v>由共享基础引擎判定</x:v>
      </x:c>
      <x:c r="Q87" s="72" t="str">
        <x:v>由共享基础引擎判定</x:v>
      </x:c>
      <x:c r="R87" s="72" t="str">
        <x:v>喜忌不直接等于冲突方式好坏；只修正调用顺畅度、资源压力和状态切换。</x:v>
      </x:c>
      <x:c r="S87" s="72" t="str">
        <x:v>原十神性质有效；真合化成立时按化神所属功能系统重建。</x:v>
      </x:c>
      <x:c r="T87" s="72" t="str">
        <x:v>由共享基础引擎判定</x:v>
      </x:c>
      <x:c r="U87" s="72" t="str">
        <x:v>90</x:v>
      </x:c>
      <x:c r="V87" s="72" t="str">
        <x:v>不加分；边界检查</x:v>
      </x:c>
      <x:c r="W87" s="72" t="str">
        <x:v>boundary_note</x:v>
      </x:c>
      <x:c r="X87" s="72" t="str">
        <x:v>不得直接写成没有立场、过度包容、依赖、忍耐或总替别人找理由。</x:v>
      </x:c>
      <x:c r="Y87" s="72" t="str">
        <x:v>不得直接写成没有立场、过度包容、依赖、忍耐或总替别人找理由，这里只描述处理顺序。</x:v>
      </x:c>
      <x:c r="Z8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不得直接写成没有立场、过度包容、依赖、忍耐或总替别人找理由。</x:v>
      </x:c>
      <x:c r="AA87" s="72" t="str">
        <x:v>高</x:v>
      </x:c>
      <x:c r="AB87" s="72" t="str">
        <x:v>待验证</x:v>
      </x:c>
      <x:c r="AC87" s="72" t="str"/>
      <x:c r="AD87" s="72" t="str">
        <x:v>provisional=true; channel=CF09; ten_god=正印</x:v>
      </x:c>
      <x:c r="AE87" s="73" t="str">
        <x:v>0.6</x:v>
      </x:c>
    </x:row>
    <x:row r="88">
      <x:c r="A88" s="71" t="str">
        <x:v>M3-CONFLICT-084</x:v>
      </x:c>
      <x:c r="B88" s="72" t="str">
        <x:v>CF10 偏印｜暂停内化通道定义</x:v>
      </x:c>
      <x:c r="C88" s="72" t="str">
        <x:v>L1 十神冲突通道</x:v>
      </x:c>
      <x:c r="D88" s="72" t="str">
        <x:v>CONFLICT-CF10-偏印暂停内化</x:v>
      </x:c>
      <x:c r="E88" s="72" t="str">
        <x:v>通用</x:v>
      </x:c>
      <x:c r="F88" s="72" t="str">
        <x:v>通道定义</x:v>
      </x:c>
      <x:c r="G88" s="72" t="str">
        <x:v>偏印</x:v>
      </x:c>
      <x:c r="H88" s="72" t="str"/>
      <x:c r="I88" s="72" t="str">
        <x:v>偏印形成有效独立信号，且未因真合化失效；至少有日支／日柱、近位有根或现实重复行为中的一类可靠证据。</x:v>
      </x:c>
      <x:c r="J88" s="72" t="str">
        <x:v>基础信号未定；真合化后原信号已失效；只有单一弱远争议信号；或该结论会越界到M4风险、M5适配。</x:v>
      </x:c>
      <x:c r="K88" s="72" t="str">
        <x:v>由共享基础引擎与M3-STATE修正；日主承载只修正冲突处理的可执行性，不直接等于强硬或软弱。</x:v>
      </x:c>
      <x:c r="L88" s="72" t="str">
        <x:v>不限定；夫妻星只在责任、行动、投入等冲突议题中参与接口，不作为CONFLICT唯一主轴。</x:v>
      </x:c>
      <x:c r="M88" s="72" t="str">
        <x:v>由M3-BASE、日支主气及宫位动态提供；不得把日支直接写成配偶性格。</x:v>
      </x:c>
      <x:c r="N88" s="72" t="str">
        <x:v>无／待CONFLICT顺序与路径规则组合</x:v>
      </x:c>
      <x:c r="O88" s="72" t="str">
        <x:v>日柱与日支近位优先；全局有效独立信号可作次通道。</x:v>
      </x:c>
      <x:c r="P88" s="72" t="str">
        <x:v>由共享基础引擎判定</x:v>
      </x:c>
      <x:c r="Q88" s="72" t="str">
        <x:v>由共享基础引擎判定</x:v>
      </x:c>
      <x:c r="R88" s="72" t="str">
        <x:v>喜忌不直接等于冲突方式好坏；只修正调用顺畅度、资源压力和状态切换。</x:v>
      </x:c>
      <x:c r="S88" s="72" t="str">
        <x:v>原十神性质有效；真合化成立时按化神所属功能系统重建。</x:v>
      </x:c>
      <x:c r="T88" s="72" t="str">
        <x:v>由共享基础引擎判定</x:v>
      </x:c>
      <x:c r="U88" s="72" t="str">
        <x:v>75</x:v>
      </x:c>
      <x:c r="V88" s="72" t="str">
        <x:v>通道候选 +10</x:v>
      </x:c>
      <x:c r="W88" s="72" t="str">
        <x:v>primary_conflict_channel</x:v>
      </x:c>
      <x:c r="X88" s="72" t="str">
        <x:v>偏印在CONFLICT中主要负责：先独立整理复杂信息、区分真正问题，再选择性回应。</x:v>
      </x:c>
      <x:c r="Y88" s="72" t="str">
        <x:v>面对复杂分歧时，你可能先退一步整理信息，想清楚真正的问题，再选择核心部分回应。</x:v>
      </x:c>
      <x:c r="Z8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88" s="72" t="str">
        <x:v>中高</x:v>
      </x:c>
      <x:c r="AB88" s="72" t="str">
        <x:v>待验证</x:v>
      </x:c>
      <x:c r="AC88" s="72" t="str"/>
      <x:c r="AD88" s="72" t="str">
        <x:v>provisional=true; channel=CF10; ten_god=偏印</x:v>
      </x:c>
      <x:c r="AE88" s="73" t="str">
        <x:v>0.6</x:v>
      </x:c>
    </x:row>
    <x:row r="89">
      <x:c r="A89" s="71" t="str">
        <x:v>M3-CONFLICT-085</x:v>
      </x:c>
      <x:c r="B89" s="72" t="str">
        <x:v>CF10 偏印｜第一反应</x:v>
      </x:c>
      <x:c r="C89" s="72" t="str">
        <x:v>L1 十神冲突通道</x:v>
      </x:c>
      <x:c r="D89" s="72" t="str">
        <x:v>CONFLICT-CF10-偏印暂停内化</x:v>
      </x:c>
      <x:c r="E89" s="72" t="str">
        <x:v>通用</x:v>
      </x:c>
      <x:c r="F89" s="72" t="str">
        <x:v>第一反应</x:v>
      </x:c>
      <x:c r="G89" s="72" t="str">
        <x:v>偏印</x:v>
      </x:c>
      <x:c r="H89" s="72" t="str"/>
      <x:c r="I89" s="72" t="str">
        <x:v>偏印形成有效独立信号，且未因真合化失效；至少有日支／日柱、近位有根或现实重复行为中的一类可靠证据。</x:v>
      </x:c>
      <x:c r="J89" s="72" t="str">
        <x:v>基础信号未定；真合化后原信号已失效；只有单一弱远争议信号；或该结论会越界到M4风险、M5适配。</x:v>
      </x:c>
      <x:c r="K89" s="72" t="str">
        <x:v>由共享基础引擎与M3-STATE修正；日主承载只修正冲突处理的可执行性，不直接等于强硬或软弱。</x:v>
      </x:c>
      <x:c r="L89" s="72" t="str">
        <x:v>不限定；夫妻星只在责任、行动、投入等冲突议题中参与接口，不作为CONFLICT唯一主轴。</x:v>
      </x:c>
      <x:c r="M89" s="72" t="str">
        <x:v>由M3-BASE、日支主气及宫位动态提供；不得把日支直接写成配偶性格。</x:v>
      </x:c>
      <x:c r="N89" s="72" t="str">
        <x:v>无／待CONFLICT顺序与路径规则组合</x:v>
      </x:c>
      <x:c r="O89" s="72" t="str">
        <x:v>日柱与日支近位优先；全局有效独立信号可作次通道。</x:v>
      </x:c>
      <x:c r="P89" s="72" t="str">
        <x:v>由共享基础引擎判定</x:v>
      </x:c>
      <x:c r="Q89" s="72" t="str">
        <x:v>由共享基础引擎判定</x:v>
      </x:c>
      <x:c r="R89" s="72" t="str">
        <x:v>喜忌不直接等于冲突方式好坏；只修正调用顺畅度、资源压力和状态切换。</x:v>
      </x:c>
      <x:c r="S89" s="72" t="str">
        <x:v>原十神性质有效；真合化成立时按化神所属功能系统重建。</x:v>
      </x:c>
      <x:c r="T89" s="72" t="str">
        <x:v>由共享基础引擎判定</x:v>
      </x:c>
      <x:c r="U89" s="72" t="str">
        <x:v>72</x:v>
      </x:c>
      <x:c r="V89" s="72" t="str">
        <x:v>第一反应候选 +6</x:v>
      </x:c>
      <x:c r="W89" s="72" t="str">
        <x:v>first_response</x:v>
      </x:c>
      <x:c r="X89" s="72" t="str">
        <x:v>先暂停、抽离现场噪音、独立分析或只回应最核心部分</x:v>
      </x:c>
      <x:c r="Y89" s="72" t="str">
        <x:v>分歧刚出现时，你更可能先暂停、抽离现场噪音、独立分析或只回应最核心部分。</x:v>
      </x:c>
      <x:c r="Z8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89" s="72" t="str">
        <x:v>中</x:v>
      </x:c>
      <x:c r="AB89" s="72" t="str">
        <x:v>待验证</x:v>
      </x:c>
      <x:c r="AC89" s="72" t="str"/>
      <x:c r="AD89" s="72" t="str">
        <x:v>provisional=true; channel=CF10; ten_god=偏印</x:v>
      </x:c>
      <x:c r="AE89" s="73" t="str">
        <x:v>0.6</x:v>
      </x:c>
    </x:row>
    <x:row r="90">
      <x:c r="A90" s="71" t="str">
        <x:v>M3-CONFLICT-086</x:v>
      </x:c>
      <x:c r="B90" s="72" t="str">
        <x:v>CF10 偏印｜注意焦点</x:v>
      </x:c>
      <x:c r="C90" s="72" t="str">
        <x:v>L1 十神冲突通道</x:v>
      </x:c>
      <x:c r="D90" s="72" t="str">
        <x:v>CONFLICT-CF10-偏印暂停内化</x:v>
      </x:c>
      <x:c r="E90" s="72" t="str">
        <x:v>通用</x:v>
      </x:c>
      <x:c r="F90" s="72" t="str">
        <x:v>信息焦点</x:v>
      </x:c>
      <x:c r="G90" s="72" t="str">
        <x:v>偏印</x:v>
      </x:c>
      <x:c r="H90" s="72" t="str"/>
      <x:c r="I90" s="72" t="str">
        <x:v>偏印形成有效独立信号，且未因真合化失效；至少有日支／日柱、近位有根或现实重复行为中的一类可靠证据。</x:v>
      </x:c>
      <x:c r="J90" s="72" t="str">
        <x:v>基础信号未定；真合化后原信号已失效；只有单一弱远争议信号；或该结论会越界到M4风险、M5适配。</x:v>
      </x:c>
      <x:c r="K90" s="72" t="str">
        <x:v>由共享基础引擎与M3-STATE修正；日主承载只修正冲突处理的可执行性，不直接等于强硬或软弱。</x:v>
      </x:c>
      <x:c r="L90" s="72" t="str">
        <x:v>不限定；夫妻星只在责任、行动、投入等冲突议题中参与接口，不作为CONFLICT唯一主轴。</x:v>
      </x:c>
      <x:c r="M90" s="72" t="str">
        <x:v>由M3-BASE、日支主气及宫位动态提供；不得把日支直接写成配偶性格。</x:v>
      </x:c>
      <x:c r="N90" s="72" t="str">
        <x:v>无／待CONFLICT顺序与路径规则组合</x:v>
      </x:c>
      <x:c r="O90" s="72" t="str">
        <x:v>日柱与日支近位优先；全局有效独立信号可作次通道。</x:v>
      </x:c>
      <x:c r="P90" s="72" t="str">
        <x:v>由共享基础引擎判定</x:v>
      </x:c>
      <x:c r="Q90" s="72" t="str">
        <x:v>由共享基础引擎判定</x:v>
      </x:c>
      <x:c r="R90" s="72" t="str">
        <x:v>喜忌不直接等于冲突方式好坏；只修正调用顺畅度、资源压力和状态切换。</x:v>
      </x:c>
      <x:c r="S90" s="72" t="str">
        <x:v>原十神性质有效；真合化成立时按化神所属功能系统重建。</x:v>
      </x:c>
      <x:c r="T90" s="72" t="str">
        <x:v>由共享基础引擎判定</x:v>
      </x:c>
      <x:c r="U90" s="72" t="str">
        <x:v>70</x:v>
      </x:c>
      <x:c r="V90" s="72" t="str">
        <x:v>焦点候选 +5</x:v>
      </x:c>
      <x:c r="W90" s="72" t="str">
        <x:v>attention_focus</x:v>
      </x:c>
      <x:c r="X90" s="72" t="str">
        <x:v>该通道首先读取：隐藏原因、复杂信息、个人感受边界和真正值得回应的部分。</x:v>
      </x:c>
      <x:c r="Y90" s="72" t="str">
        <x:v>你在分歧中会特别注意隐藏原因、复杂信息、个人感受边界和真正值得回应的部分。</x:v>
      </x:c>
      <x:c r="Z9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90" s="72" t="str">
        <x:v>中</x:v>
      </x:c>
      <x:c r="AB90" s="72" t="str">
        <x:v>待验证</x:v>
      </x:c>
      <x:c r="AC90" s="72" t="str"/>
      <x:c r="AD90" s="72" t="str">
        <x:v>provisional=true; channel=CF10; ten_god=偏印</x:v>
      </x:c>
      <x:c r="AE90" s="73" t="str">
        <x:v>0.6</x:v>
      </x:c>
    </x:row>
    <x:row r="91">
      <x:c r="A91" s="71" t="str">
        <x:v>M3-CONFLICT-087</x:v>
      </x:c>
      <x:c r="B91" s="72" t="str">
        <x:v>CF10 偏印｜阶段结束条件</x:v>
      </x:c>
      <x:c r="C91" s="72" t="str">
        <x:v>L1 十神冲突通道</x:v>
      </x:c>
      <x:c r="D91" s="72" t="str">
        <x:v>CONFLICT-CF10-偏印暂停内化</x:v>
      </x:c>
      <x:c r="E91" s="72" t="str">
        <x:v>通用</x:v>
      </x:c>
      <x:c r="F91" s="72" t="str">
        <x:v>结束条件</x:v>
      </x:c>
      <x:c r="G91" s="72" t="str">
        <x:v>偏印</x:v>
      </x:c>
      <x:c r="H91" s="72" t="str"/>
      <x:c r="I91" s="72" t="str">
        <x:v>偏印形成有效独立信号，且未因真合化失效；至少有日支／日柱、近位有根或现实重复行为中的一类可靠证据。</x:v>
      </x:c>
      <x:c r="J91" s="72" t="str">
        <x:v>基础信号未定；真合化后原信号已失效；只有单一弱远争议信号；或该结论会越界到M4风险、M5适配。</x:v>
      </x:c>
      <x:c r="K91" s="72" t="str">
        <x:v>由共享基础引擎与M3-STATE修正；日主承载只修正冲突处理的可执行性，不直接等于强硬或软弱。</x:v>
      </x:c>
      <x:c r="L91" s="72" t="str">
        <x:v>不限定；夫妻星只在责任、行动、投入等冲突议题中参与接口，不作为CONFLICT唯一主轴。</x:v>
      </x:c>
      <x:c r="M91" s="72" t="str">
        <x:v>由M3-BASE、日支主气及宫位动态提供；不得把日支直接写成配偶性格。</x:v>
      </x:c>
      <x:c r="N91" s="72" t="str">
        <x:v>无／待CONFLICT顺序与路径规则组合</x:v>
      </x:c>
      <x:c r="O91" s="72" t="str">
        <x:v>日柱与日支近位优先；全局有效独立信号可作次通道。</x:v>
      </x:c>
      <x:c r="P91" s="72" t="str">
        <x:v>由共享基础引擎判定</x:v>
      </x:c>
      <x:c r="Q91" s="72" t="str">
        <x:v>由共享基础引擎判定</x:v>
      </x:c>
      <x:c r="R91" s="72" t="str">
        <x:v>喜忌不直接等于冲突方式好坏；只修正调用顺畅度、资源压力和状态切换。</x:v>
      </x:c>
      <x:c r="S91" s="72" t="str">
        <x:v>原十神性质有效；真合化成立时按化神所属功能系统重建。</x:v>
      </x:c>
      <x:c r="T91" s="72" t="str">
        <x:v>由共享基础引擎判定</x:v>
      </x:c>
      <x:c r="U91" s="72" t="str">
        <x:v>68</x:v>
      </x:c>
      <x:c r="V91" s="72" t="str">
        <x:v>结束条件候选 +5</x:v>
      </x:c>
      <x:c r="W91" s="72" t="str">
        <x:v>conflict_end_condition</x:v>
      </x:c>
      <x:c r="X91" s="72" t="str">
        <x:v>内部逻辑形成以后，以较精简、精准或选择性的方式重新进入沟通</x:v>
      </x:c>
      <x:c r="Y91" s="72" t="str">
        <x:v>对你来说，这一轮分歧更容易在“内部逻辑形成以后，以较精简、精准或选择性的方式重新进入沟通”之后暂时告一段落。</x:v>
      </x:c>
      <x:c r="Z9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91" s="72" t="str">
        <x:v>中</x:v>
      </x:c>
      <x:c r="AB91" s="72" t="str">
        <x:v>待验证</x:v>
      </x:c>
      <x:c r="AC91" s="72" t="str"/>
      <x:c r="AD91" s="72" t="str">
        <x:v>provisional=true; channel=CF10; ten_god=偏印</x:v>
      </x:c>
      <x:c r="AE91" s="73" t="str">
        <x:v>0.6</x:v>
      </x:c>
    </x:row>
    <x:row r="92">
      <x:c r="A92" s="71" t="str">
        <x:v>M3-CONFLICT-088</x:v>
      </x:c>
      <x:c r="B92" s="72" t="str">
        <x:v>CF10 偏印｜弱远或条件性调用</x:v>
      </x:c>
      <x:c r="C92" s="72" t="str">
        <x:v>L1 十神冲突通道</x:v>
      </x:c>
      <x:c r="D92" s="72" t="str">
        <x:v>CONFLICT-CF10-偏印暂停内化</x:v>
      </x:c>
      <x:c r="E92" s="72" t="str">
        <x:v>通用</x:v>
      </x:c>
      <x:c r="F92" s="72" t="str">
        <x:v>条件修正</x:v>
      </x:c>
      <x:c r="G92" s="72" t="str">
        <x:v>偏印</x:v>
      </x:c>
      <x:c r="H92" s="72" t="str"/>
      <x:c r="I92" s="72" t="str">
        <x:v>偏印偏弱、远位、无根，或只有单一间接证据。</x:v>
      </x:c>
      <x:c r="J92" s="72" t="str">
        <x:v>基础信号未定；真合化后原信号已失效；只有单一弱远争议信号；或该结论会越界到M4风险、M5适配。</x:v>
      </x:c>
      <x:c r="K92" s="72" t="str">
        <x:v>由共享基础引擎与M3-STATE修正；日主承载只修正冲突处理的可执行性，不直接等于强硬或软弱。</x:v>
      </x:c>
      <x:c r="L92" s="72" t="str">
        <x:v>不限定；夫妻星只在责任、行动、投入等冲突议题中参与接口，不作为CONFLICT唯一主轴。</x:v>
      </x:c>
      <x:c r="M92" s="72" t="str">
        <x:v>由M3-BASE、日支主气及宫位动态提供；不得把日支直接写成配偶性格。</x:v>
      </x:c>
      <x:c r="N92" s="72" t="str">
        <x:v>无／待CONFLICT顺序与路径规则组合</x:v>
      </x:c>
      <x:c r="O92" s="72" t="str">
        <x:v>日柱与日支近位优先；全局有效独立信号可作次通道。</x:v>
      </x:c>
      <x:c r="P92" s="72" t="str">
        <x:v>由共享基础引擎判定</x:v>
      </x:c>
      <x:c r="Q92" s="72" t="str">
        <x:v>由共享基础引擎判定</x:v>
      </x:c>
      <x:c r="R92" s="72" t="str">
        <x:v>喜忌不直接等于冲突方式好坏；只修正调用顺畅度、资源压力和状态切换。</x:v>
      </x:c>
      <x:c r="S92" s="72" t="str">
        <x:v>原十神性质有效；真合化成立时按化神所属功能系统重建。</x:v>
      </x:c>
      <x:c r="T92" s="72" t="str">
        <x:v>由共享基础引擎判定</x:v>
      </x:c>
      <x:c r="U92" s="72" t="str">
        <x:v>60</x:v>
      </x:c>
      <x:c r="V92" s="72" t="str">
        <x:v>候选 +2；降置信</x:v>
      </x:c>
      <x:c r="W92" s="72" t="str">
        <x:v>secondary_conflict_channel</x:v>
      </x:c>
      <x:c r="X92" s="72" t="str">
        <x:v>信号偏弱时，只保留“需要整理后回应”这一候选，不写成固定需要长时间独处。</x:v>
      </x:c>
      <x:c r="Y92" s="72" t="str">
        <x:v>信号偏弱时，只保留“需要整理后回应”这一候选，不写成固定需要长时间独处。</x:v>
      </x:c>
      <x:c r="Z9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92" s="72" t="str">
        <x:v>中低</x:v>
      </x:c>
      <x:c r="AB92" s="72" t="str">
        <x:v>待验证</x:v>
      </x:c>
      <x:c r="AC92" s="72" t="str"/>
      <x:c r="AD92" s="72" t="str">
        <x:v>provisional=true; channel=CF10; ten_god=偏印</x:v>
      </x:c>
      <x:c r="AE92" s="73" t="str">
        <x:v>0.6</x:v>
      </x:c>
    </x:row>
    <x:row r="93">
      <x:c r="A93" s="71" t="str">
        <x:v>M3-CONFLICT-089</x:v>
      </x:c>
      <x:c r="B93" s="72" t="str">
        <x:v>CF10 偏印｜压力下抢先或切换</x:v>
      </x:c>
      <x:c r="C93" s="72" t="str">
        <x:v>L1 十神冲突通道</x:v>
      </x:c>
      <x:c r="D93" s="72" t="str">
        <x:v>CONFLICT-CF10-偏印暂停内化</x:v>
      </x:c>
      <x:c r="E93" s="72" t="str">
        <x:v>通用</x:v>
      </x:c>
      <x:c r="F93" s="72" t="str">
        <x:v>压力修正</x:v>
      </x:c>
      <x:c r="G93" s="72" t="str">
        <x:v>偏印</x:v>
      </x:c>
      <x:c r="H93" s="72" t="str"/>
      <x:c r="I93" s="72" t="str">
        <x:v>偏印过旺、强而无制，或M3-STATE显示该通道在压力状态被放大。</x:v>
      </x:c>
      <x:c r="J93" s="72" t="str">
        <x:v>基础信号未定；真合化后原信号已失效；只有单一弱远争议信号；或该结论会越界到M4风险、M5适配。</x:v>
      </x:c>
      <x:c r="K93" s="72" t="str">
        <x:v>由共享基础引擎与M3-STATE修正；日主承载只修正冲突处理的可执行性，不直接等于强硬或软弱。</x:v>
      </x:c>
      <x:c r="L93" s="72" t="str">
        <x:v>不限定；夫妻星只在责任、行动、投入等冲突议题中参与接口，不作为CONFLICT唯一主轴。</x:v>
      </x:c>
      <x:c r="M93" s="72" t="str">
        <x:v>由M3-BASE、日支主气及宫位动态提供；不得把日支直接写成配偶性格。</x:v>
      </x:c>
      <x:c r="N93" s="72" t="str">
        <x:v>无／待CONFLICT顺序与路径规则组合</x:v>
      </x:c>
      <x:c r="O93" s="72" t="str">
        <x:v>日柱与日支近位优先；全局有效独立信号可作次通道。</x:v>
      </x:c>
      <x:c r="P93" s="72" t="str">
        <x:v>由共享基础引擎判定</x:v>
      </x:c>
      <x:c r="Q93" s="72" t="str">
        <x:v>由共享基础引擎判定</x:v>
      </x:c>
      <x:c r="R93" s="72" t="str">
        <x:v>喜忌不直接等于冲突方式好坏；只修正调用顺畅度、资源压力和状态切换。</x:v>
      </x:c>
      <x:c r="S93" s="72" t="str">
        <x:v>原十神性质有效；真合化成立时按化神所属功能系统重建。</x:v>
      </x:c>
      <x:c r="T93" s="72" t="str">
        <x:v>由共享基础引擎判定</x:v>
      </x:c>
      <x:c r="U93" s="72" t="str">
        <x:v>66</x:v>
      </x:c>
      <x:c r="V93" s="72" t="str">
        <x:v>压力通道 +5；路由STATE/M4</x:v>
      </x:c>
      <x:c r="W93" s="72" t="str">
        <x:v>state_shift</x:v>
      </x:c>
      <x:c r="X93" s="72" t="str">
        <x:v>压力增加时，内部整理需求可能变强；是否变成长期断联或冷战必须交给M4和REPAIR。</x:v>
      </x:c>
      <x:c r="Y93" s="72" t="str">
        <x:v>压力增加时，内部整理需求可能变强；是否变成长期断联或冷战必须交给M4和REPAIR。</x:v>
      </x:c>
      <x:c r="Z9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93" s="72" t="str">
        <x:v>中</x:v>
      </x:c>
      <x:c r="AB93" s="72" t="str">
        <x:v>待验证</x:v>
      </x:c>
      <x:c r="AC93" s="72" t="str"/>
      <x:c r="AD93" s="72" t="str">
        <x:v>provisional=true; channel=CF10; ten_god=偏印</x:v>
      </x:c>
      <x:c r="AE93" s="73" t="str">
        <x:v>0.6</x:v>
      </x:c>
    </x:row>
    <x:row r="94">
      <x:c r="A94" s="71" t="str">
        <x:v>M3-CONFLICT-090</x:v>
      </x:c>
      <x:c r="B94" s="72" t="str">
        <x:v>CF10 偏印｜禁止人格化和结果化</x:v>
      </x:c>
      <x:c r="C94" s="72" t="str">
        <x:v>L1 十神冲突通道</x:v>
      </x:c>
      <x:c r="D94" s="72" t="str">
        <x:v>CONFLICT-CF10-偏印暂停内化</x:v>
      </x:c>
      <x:c r="E94" s="72" t="str">
        <x:v>通用</x:v>
      </x:c>
      <x:c r="F94" s="72" t="str">
        <x:v>禁止推断</x:v>
      </x:c>
      <x:c r="G94" s="72" t="str">
        <x:v>偏印</x:v>
      </x:c>
      <x:c r="H94" s="72" t="str"/>
      <x:c r="I94" s="72" t="str">
        <x:v>偏印冲突通道被识别。</x:v>
      </x:c>
      <x:c r="J94" s="72" t="str">
        <x:v>基础信号未定；真合化后原信号已失效；只有单一弱远争议信号；或该结论会越界到M4风险、M5适配。</x:v>
      </x:c>
      <x:c r="K94" s="72" t="str">
        <x:v>由共享基础引擎与M3-STATE修正；日主承载只修正冲突处理的可执行性，不直接等于强硬或软弱。</x:v>
      </x:c>
      <x:c r="L94" s="72" t="str">
        <x:v>不限定；夫妻星只在责任、行动、投入等冲突议题中参与接口，不作为CONFLICT唯一主轴。</x:v>
      </x:c>
      <x:c r="M94" s="72" t="str">
        <x:v>由M3-BASE、日支主气及宫位动态提供；不得把日支直接写成配偶性格。</x:v>
      </x:c>
      <x:c r="N94" s="72" t="str">
        <x:v>无／待CONFLICT顺序与路径规则组合</x:v>
      </x:c>
      <x:c r="O94" s="72" t="str">
        <x:v>日柱与日支近位优先；全局有效独立信号可作次通道。</x:v>
      </x:c>
      <x:c r="P94" s="72" t="str">
        <x:v>由共享基础引擎判定</x:v>
      </x:c>
      <x:c r="Q94" s="72" t="str">
        <x:v>由共享基础引擎判定</x:v>
      </x:c>
      <x:c r="R94" s="72" t="str">
        <x:v>喜忌不直接等于冲突方式好坏；只修正调用顺畅度、资源压力和状态切换。</x:v>
      </x:c>
      <x:c r="S94" s="72" t="str">
        <x:v>原十神性质有效；真合化成立时按化神所属功能系统重建。</x:v>
      </x:c>
      <x:c r="T94" s="72" t="str">
        <x:v>由共享基础引擎判定</x:v>
      </x:c>
      <x:c r="U94" s="72" t="str">
        <x:v>90</x:v>
      </x:c>
      <x:c r="V94" s="72" t="str">
        <x:v>不加分；边界检查</x:v>
      </x:c>
      <x:c r="W94" s="72" t="str">
        <x:v>boundary_note</x:v>
      </x:c>
      <x:c r="X94" s="72" t="str">
        <x:v>不得直接写成冷漠、回避、神秘、拒绝沟通或故意不回应。</x:v>
      </x:c>
      <x:c r="Y94" s="72" t="str">
        <x:v>不得直接写成冷漠、回避、神秘、拒绝沟通或故意不回应，这里只描述处理顺序。</x:v>
      </x:c>
      <x:c r="Z9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不得直接写成冷漠、回避、神秘、拒绝沟通或故意不回应。</x:v>
      </x:c>
      <x:c r="AA94" s="72" t="str">
        <x:v>高</x:v>
      </x:c>
      <x:c r="AB94" s="72" t="str">
        <x:v>待验证</x:v>
      </x:c>
      <x:c r="AC94" s="72" t="str"/>
      <x:c r="AD94" s="72" t="str">
        <x:v>provisional=true; channel=CF10; ten_god=偏印</x:v>
      </x:c>
      <x:c r="AE94" s="73" t="str">
        <x:v>0.6</x:v>
      </x:c>
    </x:row>
    <x:row r="95">
      <x:c r="A95" s="71" t="str">
        <x:v>M3-CONFLICT-091</x:v>
      </x:c>
      <x:c r="B95" s="72" t="str">
        <x:v>FQ01 分歧启动速度｜A01 快速回应</x:v>
      </x:c>
      <x:c r="C95" s="72" t="str">
        <x:v>L2 冲突过程维度</x:v>
      </x:c>
      <x:c r="D95" s="72" t="str">
        <x:v>CONFLICT-过程维度</x:v>
      </x:c>
      <x:c r="E95" s="72" t="str">
        <x:v>通用</x:v>
      </x:c>
      <x:c r="F95" s="72" t="str">
        <x:v>维度状态</x:v>
      </x:c>
      <x:c r="G95" s="72" t="str">
        <x:v>FQ01</x:v>
      </x:c>
      <x:c r="H95" s="72" t="str"/>
      <x:c r="I95" s="72" t="str">
        <x:v>至少两类独立证据支持“快速回应”，或一类可靠近位信号与重复案例行为一致。</x:v>
      </x:c>
      <x:c r="J95" s="72" t="str">
        <x:v>基础信号未定；真合化后原信号已失效；只有单一弱远争议信号；或该结论会越界到M4风险、M5适配。</x:v>
      </x:c>
      <x:c r="K95" s="72" t="str">
        <x:v>由共享基础引擎与M3-STATE修正；日主承载只修正冲突处理的可执行性，不直接等于强硬或软弱。</x:v>
      </x:c>
      <x:c r="L95" s="72" t="str">
        <x:v>不限定；夫妻星只在责任、行动、投入等冲突议题中参与接口，不作为CONFLICT唯一主轴。</x:v>
      </x:c>
      <x:c r="M95" s="72" t="str">
        <x:v>由M3-BASE、日支主气及宫位动态提供；不得把日支直接写成配偶性格。</x:v>
      </x:c>
      <x:c r="N95" s="72" t="str">
        <x:v>无／待CONFLICT顺序与路径规则组合</x:v>
      </x:c>
      <x:c r="O95" s="72" t="str">
        <x:v>日柱与日支近位优先；全局有效独立信号可作次通道。</x:v>
      </x:c>
      <x:c r="P95" s="72" t="str">
        <x:v>由共享基础引擎判定</x:v>
      </x:c>
      <x:c r="Q95" s="72" t="str">
        <x:v>由共享基础引擎判定</x:v>
      </x:c>
      <x:c r="R95" s="72" t="str">
        <x:v>喜忌不直接等于冲突方式好坏；只修正调用顺畅度、资源压力和状态切换。</x:v>
      </x:c>
      <x:c r="S95" s="72" t="str">
        <x:v>原十神性质有效；真合化成立时按化神所属功能系统重建。</x:v>
      </x:c>
      <x:c r="T95" s="72" t="str">
        <x:v>由共享基础引擎判定</x:v>
      </x:c>
      <x:c r="U95" s="72" t="str">
        <x:v>62</x:v>
      </x:c>
      <x:c r="V95" s="72" t="str">
        <x:v>启动 +5</x:v>
      </x:c>
      <x:c r="W95" s="72" t="str">
        <x:v>conflict_start_speed</x:v>
      </x:c>
      <x:c r="X95" s="72" t="str">
        <x:v>分歧启动速度用于区分用户在分歧处理过程中的具体顺序。判断用户多快进入分歧处理，不等于确认关系的速度。</x:v>
      </x:c>
      <x:c r="Y95" s="72" t="str">
        <x:v>分歧一出现便较快表达、介入或处理。</x:v>
      </x:c>
      <x:c r="Z9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95" s="72" t="str">
        <x:v>中</x:v>
      </x:c>
      <x:c r="AB95" s="72" t="str">
        <x:v>待验证</x:v>
      </x:c>
      <x:c r="AC95" s="72" t="str"/>
      <x:c r="AD95" s="72" t="str">
        <x:v>provisional=true; dimension=FQ01; state=A01</x:v>
      </x:c>
      <x:c r="AE95" s="73" t="str">
        <x:v>0.6</x:v>
      </x:c>
    </x:row>
    <x:row r="96">
      <x:c r="A96" s="71" t="str">
        <x:v>M3-CONFLICT-092</x:v>
      </x:c>
      <x:c r="B96" s="72" t="str">
        <x:v>FQ01 分歧启动速度｜A02 观察后回应</x:v>
      </x:c>
      <x:c r="C96" s="72" t="str">
        <x:v>L2 冲突过程维度</x:v>
      </x:c>
      <x:c r="D96" s="72" t="str">
        <x:v>CONFLICT-过程维度</x:v>
      </x:c>
      <x:c r="E96" s="72" t="str">
        <x:v>通用</x:v>
      </x:c>
      <x:c r="F96" s="72" t="str">
        <x:v>维度状态</x:v>
      </x:c>
      <x:c r="G96" s="72" t="str">
        <x:v>FQ01</x:v>
      </x:c>
      <x:c r="H96" s="72" t="str"/>
      <x:c r="I96" s="72" t="str">
        <x:v>至少两类独立证据支持“观察后回应”，或一类可靠近位信号与重复案例行为一致。</x:v>
      </x:c>
      <x:c r="J96" s="72" t="str">
        <x:v>基础信号未定；真合化后原信号已失效；只有单一弱远争议信号；或该结论会越界到M4风险、M5适配。</x:v>
      </x:c>
      <x:c r="K96" s="72" t="str">
        <x:v>由共享基础引擎与M3-STATE修正；日主承载只修正冲突处理的可执行性，不直接等于强硬或软弱。</x:v>
      </x:c>
      <x:c r="L96" s="72" t="str">
        <x:v>不限定；夫妻星只在责任、行动、投入等冲突议题中参与接口，不作为CONFLICT唯一主轴。</x:v>
      </x:c>
      <x:c r="M96" s="72" t="str">
        <x:v>由M3-BASE、日支主气及宫位动态提供；不得把日支直接写成配偶性格。</x:v>
      </x:c>
      <x:c r="N96" s="72" t="str">
        <x:v>无／待CONFLICT顺序与路径规则组合</x:v>
      </x:c>
      <x:c r="O96" s="72" t="str">
        <x:v>日柱与日支近位优先；全局有效独立信号可作次通道。</x:v>
      </x:c>
      <x:c r="P96" s="72" t="str">
        <x:v>由共享基础引擎判定</x:v>
      </x:c>
      <x:c r="Q96" s="72" t="str">
        <x:v>由共享基础引擎判定</x:v>
      </x:c>
      <x:c r="R96" s="72" t="str">
        <x:v>喜忌不直接等于冲突方式好坏；只修正调用顺畅度、资源压力和状态切换。</x:v>
      </x:c>
      <x:c r="S96" s="72" t="str">
        <x:v>原十神性质有效；真合化成立时按化神所属功能系统重建。</x:v>
      </x:c>
      <x:c r="T96" s="72" t="str">
        <x:v>由共享基础引擎判定</x:v>
      </x:c>
      <x:c r="U96" s="72" t="str">
        <x:v>62</x:v>
      </x:c>
      <x:c r="V96" s="72" t="str">
        <x:v>启动 +5</x:v>
      </x:c>
      <x:c r="W96" s="72" t="str">
        <x:v>conflict_start_speed</x:v>
      </x:c>
      <x:c r="X96" s="72" t="str">
        <x:v>分歧启动速度用于区分用户在分歧处理过程中的具体顺序。判断用户多快进入分歧处理，不等于确认关系的速度。</x:v>
      </x:c>
      <x:c r="Y96" s="72" t="str">
        <x:v>先确认事实、对方状态或问题性质，再进入处理。</x:v>
      </x:c>
      <x:c r="Z9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96" s="72" t="str">
        <x:v>中</x:v>
      </x:c>
      <x:c r="AB96" s="72" t="str">
        <x:v>待验证</x:v>
      </x:c>
      <x:c r="AC96" s="72" t="str"/>
      <x:c r="AD96" s="72" t="str">
        <x:v>provisional=true; dimension=FQ01; state=A02</x:v>
      </x:c>
      <x:c r="AE96" s="73" t="str">
        <x:v>0.6</x:v>
      </x:c>
    </x:row>
    <x:row r="97">
      <x:c r="A97" s="71" t="str">
        <x:v>M3-CONFLICT-093</x:v>
      </x:c>
      <x:c r="B97" s="72" t="str">
        <x:v>FQ01 分歧启动速度｜A03 暂停后回应</x:v>
      </x:c>
      <x:c r="C97" s="72" t="str">
        <x:v>L2 冲突过程维度</x:v>
      </x:c>
      <x:c r="D97" s="72" t="str">
        <x:v>CONFLICT-过程维度</x:v>
      </x:c>
      <x:c r="E97" s="72" t="str">
        <x:v>通用</x:v>
      </x:c>
      <x:c r="F97" s="72" t="str">
        <x:v>维度状态</x:v>
      </x:c>
      <x:c r="G97" s="72" t="str">
        <x:v>FQ01</x:v>
      </x:c>
      <x:c r="H97" s="72" t="str"/>
      <x:c r="I97" s="72" t="str">
        <x:v>至少两类独立证据支持“暂停后回应”，或一类可靠近位信号与重复案例行为一致。</x:v>
      </x:c>
      <x:c r="J97" s="72" t="str">
        <x:v>基础信号未定；真合化后原信号已失效；只有单一弱远争议信号；或该结论会越界到M4风险、M5适配。</x:v>
      </x:c>
      <x:c r="K97" s="72" t="str">
        <x:v>由共享基础引擎与M3-STATE修正；日主承载只修正冲突处理的可执行性，不直接等于强硬或软弱。</x:v>
      </x:c>
      <x:c r="L97" s="72" t="str">
        <x:v>不限定；夫妻星只在责任、行动、投入等冲突议题中参与接口，不作为CONFLICT唯一主轴。</x:v>
      </x:c>
      <x:c r="M97" s="72" t="str">
        <x:v>由M3-BASE、日支主气及宫位动态提供；不得把日支直接写成配偶性格。</x:v>
      </x:c>
      <x:c r="N97" s="72" t="str">
        <x:v>无／待CONFLICT顺序与路径规则组合</x:v>
      </x:c>
      <x:c r="O97" s="72" t="str">
        <x:v>日柱与日支近位优先；全局有效独立信号可作次通道。</x:v>
      </x:c>
      <x:c r="P97" s="72" t="str">
        <x:v>由共享基础引擎判定</x:v>
      </x:c>
      <x:c r="Q97" s="72" t="str">
        <x:v>由共享基础引擎判定</x:v>
      </x:c>
      <x:c r="R97" s="72" t="str">
        <x:v>喜忌不直接等于冲突方式好坏；只修正调用顺畅度、资源压力和状态切换。</x:v>
      </x:c>
      <x:c r="S97" s="72" t="str">
        <x:v>原十神性质有效；真合化成立时按化神所属功能系统重建。</x:v>
      </x:c>
      <x:c r="T97" s="72" t="str">
        <x:v>由共享基础引擎判定</x:v>
      </x:c>
      <x:c r="U97" s="72" t="str">
        <x:v>62</x:v>
      </x:c>
      <x:c r="V97" s="72" t="str">
        <x:v>启动 +5</x:v>
      </x:c>
      <x:c r="W97" s="72" t="str">
        <x:v>conflict_start_speed</x:v>
      </x:c>
      <x:c r="X97" s="72" t="str">
        <x:v>分歧启动速度用于区分用户在分歧处理过程中的具体顺序。判断用户多快进入分歧处理，不等于确认关系的速度。</x:v>
      </x:c>
      <x:c r="Y97" s="72" t="str">
        <x:v>先进行短暂整理、降温或任务处理，随后回到分歧。</x:v>
      </x:c>
      <x:c r="Z9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97" s="72" t="str">
        <x:v>中</x:v>
      </x:c>
      <x:c r="AB97" s="72" t="str">
        <x:v>待验证</x:v>
      </x:c>
      <x:c r="AC97" s="72" t="str"/>
      <x:c r="AD97" s="72" t="str">
        <x:v>provisional=true; dimension=FQ01; state=A03</x:v>
      </x:c>
      <x:c r="AE97" s="73" t="str">
        <x:v>0.6</x:v>
      </x:c>
    </x:row>
    <x:row r="98">
      <x:c r="A98" s="71" t="str">
        <x:v>M3-CONFLICT-094</x:v>
      </x:c>
      <x:c r="B98" s="72" t="str">
        <x:v>FQ01 分歧启动速度｜A04 启动未定</x:v>
      </x:c>
      <x:c r="C98" s="72" t="str">
        <x:v>L2 冲突过程维度</x:v>
      </x:c>
      <x:c r="D98" s="72" t="str">
        <x:v>CONFLICT-过程维度</x:v>
      </x:c>
      <x:c r="E98" s="72" t="str">
        <x:v>通用</x:v>
      </x:c>
      <x:c r="F98" s="72" t="str">
        <x:v>维度状态</x:v>
      </x:c>
      <x:c r="G98" s="72" t="str">
        <x:v>FQ01</x:v>
      </x:c>
      <x:c r="H98" s="72" t="str"/>
      <x:c r="I98" s="72" t="str">
        <x:v>至少两类独立证据支持“启动未定”，或一类可靠近位信号与重复案例行为一致。</x:v>
      </x:c>
      <x:c r="J98" s="72" t="str">
        <x:v>基础信号未定；真合化后原信号已失效；只有单一弱远争议信号；或该结论会越界到M4风险、M5适配。</x:v>
      </x:c>
      <x:c r="K98" s="72" t="str">
        <x:v>由共享基础引擎与M3-STATE修正；日主承载只修正冲突处理的可执行性，不直接等于强硬或软弱。</x:v>
      </x:c>
      <x:c r="L98" s="72" t="str">
        <x:v>不限定；夫妻星只在责任、行动、投入等冲突议题中参与接口，不作为CONFLICT唯一主轴。</x:v>
      </x:c>
      <x:c r="M98" s="72" t="str">
        <x:v>由M3-BASE、日支主气及宫位动态提供；不得把日支直接写成配偶性格。</x:v>
      </x:c>
      <x:c r="N98" s="72" t="str">
        <x:v>无／待CONFLICT顺序与路径规则组合</x:v>
      </x:c>
      <x:c r="O98" s="72" t="str">
        <x:v>日柱与日支近位优先；全局有效独立信号可作次通道。</x:v>
      </x:c>
      <x:c r="P98" s="72" t="str">
        <x:v>由共享基础引擎判定</x:v>
      </x:c>
      <x:c r="Q98" s="72" t="str">
        <x:v>由共享基础引擎判定</x:v>
      </x:c>
      <x:c r="R98" s="72" t="str">
        <x:v>喜忌不直接等于冲突方式好坏；只修正调用顺畅度、资源压力和状态切换。</x:v>
      </x:c>
      <x:c r="S98" s="72" t="str">
        <x:v>原十神性质有效；真合化成立时按化神所属功能系统重建。</x:v>
      </x:c>
      <x:c r="T98" s="72" t="str">
        <x:v>由共享基础引擎判定</x:v>
      </x:c>
      <x:c r="U98" s="72" t="str">
        <x:v>62</x:v>
      </x:c>
      <x:c r="V98" s="72" t="str">
        <x:v>不加分；降置信</x:v>
      </x:c>
      <x:c r="W98" s="72" t="str">
        <x:v>conflict_start_speed</x:v>
      </x:c>
      <x:c r="X98" s="72" t="str">
        <x:v>分歧启动速度用于区分用户在分歧处理过程中的具体顺序。判断用户多快进入分歧处理，不等于确认关系的速度。</x:v>
      </x:c>
      <x:c r="Y98" s="72" t="str">
        <x:v>不同情境可能调用不同速度，现有证据不足以固定。</x:v>
      </x:c>
      <x:c r="Z9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98" s="72" t="str">
        <x:v>中</x:v>
      </x:c>
      <x:c r="AB98" s="72" t="str">
        <x:v>待验证</x:v>
      </x:c>
      <x:c r="AC98" s="72" t="str"/>
      <x:c r="AD98" s="72" t="str">
        <x:v>provisional=true; dimension=FQ01; state=A04</x:v>
      </x:c>
      <x:c r="AE98" s="73" t="str">
        <x:v>0.6</x:v>
      </x:c>
    </x:row>
    <x:row r="99">
      <x:c r="A99" s="71" t="str">
        <x:v>M3-CONFLICT-095</x:v>
      </x:c>
      <x:c r="B99" s="72" t="str">
        <x:v>FQ02 第一关注点｜B01 立场与权限</x:v>
      </x:c>
      <x:c r="C99" s="72" t="str">
        <x:v>L2 冲突过程维度</x:v>
      </x:c>
      <x:c r="D99" s="72" t="str">
        <x:v>CONFLICT-过程维度</x:v>
      </x:c>
      <x:c r="E99" s="72" t="str">
        <x:v>通用</x:v>
      </x:c>
      <x:c r="F99" s="72" t="str">
        <x:v>维度状态</x:v>
      </x:c>
      <x:c r="G99" s="72" t="str">
        <x:v>FQ02</x:v>
      </x:c>
      <x:c r="H99" s="72" t="str"/>
      <x:c r="I99" s="72" t="str">
        <x:v>至少两类独立证据支持“立场与权限”，或一类可靠近位信号与重复案例行为一致。</x:v>
      </x:c>
      <x:c r="J99" s="72" t="str">
        <x:v>基础信号未定；真合化后原信号已失效；只有单一弱远争议信号；或该结论会越界到M4风险、M5适配。</x:v>
      </x:c>
      <x:c r="K99" s="72" t="str">
        <x:v>由共享基础引擎与M3-STATE修正；日主承载只修正冲突处理的可执行性，不直接等于强硬或软弱。</x:v>
      </x:c>
      <x:c r="L99" s="72" t="str">
        <x:v>不限定；夫妻星只在责任、行动、投入等冲突议题中参与接口，不作为CONFLICT唯一主轴。</x:v>
      </x:c>
      <x:c r="M99" s="72" t="str">
        <x:v>由M3-BASE、日支主气及宫位动态提供；不得把日支直接写成配偶性格。</x:v>
      </x:c>
      <x:c r="N99" s="72" t="str">
        <x:v>无／待CONFLICT顺序与路径规则组合</x:v>
      </x:c>
      <x:c r="O99" s="72" t="str">
        <x:v>日柱与日支近位优先；全局有效独立信号可作次通道。</x:v>
      </x:c>
      <x:c r="P99" s="72" t="str">
        <x:v>由共享基础引擎判定</x:v>
      </x:c>
      <x:c r="Q99" s="72" t="str">
        <x:v>由共享基础引擎判定</x:v>
      </x:c>
      <x:c r="R99" s="72" t="str">
        <x:v>喜忌不直接等于冲突方式好坏；只修正调用顺畅度、资源压力和状态切换。</x:v>
      </x:c>
      <x:c r="S99" s="72" t="str">
        <x:v>原十神性质有效；真合化成立时按化神所属功能系统重建。</x:v>
      </x:c>
      <x:c r="T99" s="72" t="str">
        <x:v>由共享基础引擎判定</x:v>
      </x:c>
      <x:c r="U99" s="72" t="str">
        <x:v>62</x:v>
      </x:c>
      <x:c r="V99" s="72" t="str">
        <x:v>焦点 +5</x:v>
      </x:c>
      <x:c r="W99" s="72" t="str">
        <x:v>attention_focus</x:v>
      </x:c>
      <x:c r="X99" s="72" t="str">
        <x:v>第一关注点用于区分用户在分歧处理过程中的具体顺序。第一关注点不等于唯一关注点，后续仍可进入其他维度。</x:v>
      </x:c>
      <x:c r="Y99" s="72" t="str">
        <x:v>先确认双方观点、决定权和各自边界。</x:v>
      </x:c>
      <x:c r="Z9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99" s="72" t="str">
        <x:v>中</x:v>
      </x:c>
      <x:c r="AB99" s="72" t="str">
        <x:v>待验证</x:v>
      </x:c>
      <x:c r="AC99" s="72" t="str"/>
      <x:c r="AD99" s="72" t="str">
        <x:v>provisional=true; dimension=FQ02; state=B01</x:v>
      </x:c>
      <x:c r="AE99" s="73" t="str">
        <x:v>0.6</x:v>
      </x:c>
    </x:row>
    <x:row r="100">
      <x:c r="A100" s="71" t="str">
        <x:v>M3-CONFLICT-096</x:v>
      </x:c>
      <x:c r="B100" s="72" t="str">
        <x:v>FQ02 第一关注点｜B02 事实与逻辑</x:v>
      </x:c>
      <x:c r="C100" s="72" t="str">
        <x:v>L2 冲突过程维度</x:v>
      </x:c>
      <x:c r="D100" s="72" t="str">
        <x:v>CONFLICT-过程维度</x:v>
      </x:c>
      <x:c r="E100" s="72" t="str">
        <x:v>通用</x:v>
      </x:c>
      <x:c r="F100" s="72" t="str">
        <x:v>维度状态</x:v>
      </x:c>
      <x:c r="G100" s="72" t="str">
        <x:v>FQ02</x:v>
      </x:c>
      <x:c r="H100" s="72" t="str"/>
      <x:c r="I100" s="72" t="str">
        <x:v>至少两类独立证据支持“事实与逻辑”，或一类可靠近位信号与重复案例行为一致。</x:v>
      </x:c>
      <x:c r="J100" s="72" t="str">
        <x:v>基础信号未定；真合化后原信号已失效；只有单一弱远争议信号；或该结论会越界到M4风险、M5适配。</x:v>
      </x:c>
      <x:c r="K100" s="72" t="str">
        <x:v>由共享基础引擎与M3-STATE修正；日主承载只修正冲突处理的可执行性，不直接等于强硬或软弱。</x:v>
      </x:c>
      <x:c r="L100" s="72" t="str">
        <x:v>不限定；夫妻星只在责任、行动、投入等冲突议题中参与接口，不作为CONFLICT唯一主轴。</x:v>
      </x:c>
      <x:c r="M100" s="72" t="str">
        <x:v>由M3-BASE、日支主气及宫位动态提供；不得把日支直接写成配偶性格。</x:v>
      </x:c>
      <x:c r="N100" s="72" t="str">
        <x:v>无／待CONFLICT顺序与路径规则组合</x:v>
      </x:c>
      <x:c r="O100" s="72" t="str">
        <x:v>日柱与日支近位优先；全局有效独立信号可作次通道。</x:v>
      </x:c>
      <x:c r="P100" s="72" t="str">
        <x:v>由共享基础引擎判定</x:v>
      </x:c>
      <x:c r="Q100" s="72" t="str">
        <x:v>由共享基础引擎判定</x:v>
      </x:c>
      <x:c r="R100" s="72" t="str">
        <x:v>喜忌不直接等于冲突方式好坏；只修正调用顺畅度、资源压力和状态切换。</x:v>
      </x:c>
      <x:c r="S100" s="72" t="str">
        <x:v>原十神性质有效；真合化成立时按化神所属功能系统重建。</x:v>
      </x:c>
      <x:c r="T100" s="72" t="str">
        <x:v>由共享基础引擎判定</x:v>
      </x:c>
      <x:c r="U100" s="72" t="str">
        <x:v>62</x:v>
      </x:c>
      <x:c r="V100" s="72" t="str">
        <x:v>焦点 +5</x:v>
      </x:c>
      <x:c r="W100" s="72" t="str">
        <x:v>attention_focus</x:v>
      </x:c>
      <x:c r="X100" s="72" t="str">
        <x:v>第一关注点用于区分用户在分歧处理过程中的具体顺序。第一关注点不等于唯一关注点，后续仍可进入其他维度。</x:v>
      </x:c>
      <x:c r="Y100" s="72" t="str">
        <x:v>先核对发生了什么、信息是否一致、问题在哪里。</x:v>
      </x:c>
      <x:c r="Z10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00" s="72" t="str">
        <x:v>中</x:v>
      </x:c>
      <x:c r="AB100" s="72" t="str">
        <x:v>待验证</x:v>
      </x:c>
      <x:c r="AC100" s="72" t="str"/>
      <x:c r="AD100" s="72" t="str">
        <x:v>provisional=true; dimension=FQ02; state=B02</x:v>
      </x:c>
      <x:c r="AE100" s="73" t="str">
        <x:v>0.6</x:v>
      </x:c>
    </x:row>
    <x:row r="101">
      <x:c r="A101" s="71" t="str">
        <x:v>M3-CONFLICT-097</x:v>
      </x:c>
      <x:c r="B101" s="72" t="str">
        <x:v>FQ02 第一关注点｜B03 感受与背景</x:v>
      </x:c>
      <x:c r="C101" s="72" t="str">
        <x:v>L2 冲突过程维度</x:v>
      </x:c>
      <x:c r="D101" s="72" t="str">
        <x:v>CONFLICT-过程维度</x:v>
      </x:c>
      <x:c r="E101" s="72" t="str">
        <x:v>通用</x:v>
      </x:c>
      <x:c r="F101" s="72" t="str">
        <x:v>维度状态</x:v>
      </x:c>
      <x:c r="G101" s="72" t="str">
        <x:v>FQ02</x:v>
      </x:c>
      <x:c r="H101" s="72" t="str"/>
      <x:c r="I101" s="72" t="str">
        <x:v>至少两类独立证据支持“感受与背景”，或一类可靠近位信号与重复案例行为一致。</x:v>
      </x:c>
      <x:c r="J101" s="72" t="str">
        <x:v>基础信号未定；真合化后原信号已失效；只有单一弱远争议信号；或该结论会越界到M4风险、M5适配。</x:v>
      </x:c>
      <x:c r="K101" s="72" t="str">
        <x:v>由共享基础引擎与M3-STATE修正；日主承载只修正冲突处理的可执行性，不直接等于强硬或软弱。</x:v>
      </x:c>
      <x:c r="L101" s="72" t="str">
        <x:v>不限定；夫妻星只在责任、行动、投入等冲突议题中参与接口，不作为CONFLICT唯一主轴。</x:v>
      </x:c>
      <x:c r="M101" s="72" t="str">
        <x:v>由M3-BASE、日支主气及宫位动态提供；不得把日支直接写成配偶性格。</x:v>
      </x:c>
      <x:c r="N101" s="72" t="str">
        <x:v>无／待CONFLICT顺序与路径规则组合</x:v>
      </x:c>
      <x:c r="O101" s="72" t="str">
        <x:v>日柱与日支近位优先；全局有效独立信号可作次通道。</x:v>
      </x:c>
      <x:c r="P101" s="72" t="str">
        <x:v>由共享基础引擎判定</x:v>
      </x:c>
      <x:c r="Q101" s="72" t="str">
        <x:v>由共享基础引擎判定</x:v>
      </x:c>
      <x:c r="R101" s="72" t="str">
        <x:v>喜忌不直接等于冲突方式好坏；只修正调用顺畅度、资源压力和状态切换。</x:v>
      </x:c>
      <x:c r="S101" s="72" t="str">
        <x:v>原十神性质有效；真合化成立时按化神所属功能系统重建。</x:v>
      </x:c>
      <x:c r="T101" s="72" t="str">
        <x:v>由共享基础引擎判定</x:v>
      </x:c>
      <x:c r="U101" s="72" t="str">
        <x:v>62</x:v>
      </x:c>
      <x:c r="V101" s="72" t="str">
        <x:v>焦点 +5</x:v>
      </x:c>
      <x:c r="W101" s="72" t="str">
        <x:v>attention_focus</x:v>
      </x:c>
      <x:c r="X101" s="72" t="str">
        <x:v>第一关注点用于区分用户在分歧处理过程中的具体顺序。第一关注点不等于唯一关注点，后续仍可进入其他维度。</x:v>
      </x:c>
      <x:c r="Y101" s="72" t="str">
        <x:v>先确认双方感受、动机和为什么会这样反应。</x:v>
      </x:c>
      <x:c r="Z10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01" s="72" t="str">
        <x:v>中</x:v>
      </x:c>
      <x:c r="AB101" s="72" t="str">
        <x:v>待验证</x:v>
      </x:c>
      <x:c r="AC101" s="72" t="str"/>
      <x:c r="AD101" s="72" t="str">
        <x:v>provisional=true; dimension=FQ02; state=B03</x:v>
      </x:c>
      <x:c r="AE101" s="73" t="str">
        <x:v>0.6</x:v>
      </x:c>
    </x:row>
    <x:row r="102">
      <x:c r="A102" s="71" t="str">
        <x:v>M3-CONFLICT-098</x:v>
      </x:c>
      <x:c r="B102" s="72" t="str">
        <x:v>FQ02 第一关注点｜B04 任务与现实</x:v>
      </x:c>
      <x:c r="C102" s="72" t="str">
        <x:v>L2 冲突过程维度</x:v>
      </x:c>
      <x:c r="D102" s="72" t="str">
        <x:v>CONFLICT-过程维度</x:v>
      </x:c>
      <x:c r="E102" s="72" t="str">
        <x:v>通用</x:v>
      </x:c>
      <x:c r="F102" s="72" t="str">
        <x:v>维度状态</x:v>
      </x:c>
      <x:c r="G102" s="72" t="str">
        <x:v>FQ02</x:v>
      </x:c>
      <x:c r="H102" s="72" t="str"/>
      <x:c r="I102" s="72" t="str">
        <x:v>至少两类独立证据支持“任务与现实”，或一类可靠近位信号与重复案例行为一致。</x:v>
      </x:c>
      <x:c r="J102" s="72" t="str">
        <x:v>基础信号未定；真合化后原信号已失效；只有单一弱远争议信号；或该结论会越界到M4风险、M5适配。</x:v>
      </x:c>
      <x:c r="K102" s="72" t="str">
        <x:v>由共享基础引擎与M3-STATE修正；日主承载只修正冲突处理的可执行性，不直接等于强硬或软弱。</x:v>
      </x:c>
      <x:c r="L102" s="72" t="str">
        <x:v>不限定；夫妻星只在责任、行动、投入等冲突议题中参与接口，不作为CONFLICT唯一主轴。</x:v>
      </x:c>
      <x:c r="M102" s="72" t="str">
        <x:v>由M3-BASE、日支主气及宫位动态提供；不得把日支直接写成配偶性格。</x:v>
      </x:c>
      <x:c r="N102" s="72" t="str">
        <x:v>无／待CONFLICT顺序与路径规则组合</x:v>
      </x:c>
      <x:c r="O102" s="72" t="str">
        <x:v>日柱与日支近位优先；全局有效独立信号可作次通道。</x:v>
      </x:c>
      <x:c r="P102" s="72" t="str">
        <x:v>由共享基础引擎判定</x:v>
      </x:c>
      <x:c r="Q102" s="72" t="str">
        <x:v>由共享基础引擎判定</x:v>
      </x:c>
      <x:c r="R102" s="72" t="str">
        <x:v>喜忌不直接等于冲突方式好坏；只修正调用顺畅度、资源压力和状态切换。</x:v>
      </x:c>
      <x:c r="S102" s="72" t="str">
        <x:v>原十神性质有效；真合化成立时按化神所属功能系统重建。</x:v>
      </x:c>
      <x:c r="T102" s="72" t="str">
        <x:v>由共享基础引擎判定</x:v>
      </x:c>
      <x:c r="U102" s="72" t="str">
        <x:v>62</x:v>
      </x:c>
      <x:c r="V102" s="72" t="str">
        <x:v>焦点 +5</x:v>
      </x:c>
      <x:c r="W102" s="72" t="str">
        <x:v>attention_focus</x:v>
      </x:c>
      <x:c r="X102" s="72" t="str">
        <x:v>第一关注点用于区分用户在分歧处理过程中的具体顺序。第一关注点不等于唯一关注点，后续仍可进入其他维度。</x:v>
      </x:c>
      <x:c r="Y102" s="72" t="str">
        <x:v>先处理时间、资源、风险、责任或现实安排。</x:v>
      </x:c>
      <x:c r="Z10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02" s="72" t="str">
        <x:v>中</x:v>
      </x:c>
      <x:c r="AB102" s="72" t="str">
        <x:v>待验证</x:v>
      </x:c>
      <x:c r="AC102" s="72" t="str"/>
      <x:c r="AD102" s="72" t="str">
        <x:v>provisional=true; dimension=FQ02; state=B04</x:v>
      </x:c>
      <x:c r="AE102" s="73" t="str">
        <x:v>0.6</x:v>
      </x:c>
    </x:row>
    <x:row r="103">
      <x:c r="A103" s="71" t="str">
        <x:v>M3-CONFLICT-099</x:v>
      </x:c>
      <x:c r="B103" s="72" t="str">
        <x:v>FQ03 事实与情绪顺序｜C01 事实先于感受</x:v>
      </x:c>
      <x:c r="C103" s="72" t="str">
        <x:v>L2 冲突过程维度</x:v>
      </x:c>
      <x:c r="D103" s="72" t="str">
        <x:v>CONFLICT-过程维度</x:v>
      </x:c>
      <x:c r="E103" s="72" t="str">
        <x:v>通用</x:v>
      </x:c>
      <x:c r="F103" s="72" t="str">
        <x:v>维度状态</x:v>
      </x:c>
      <x:c r="G103" s="72" t="str">
        <x:v>FQ03</x:v>
      </x:c>
      <x:c r="H103" s="72" t="str"/>
      <x:c r="I103" s="72" t="str">
        <x:v>至少两类独立证据支持“事实先于感受”，或一类可靠近位信号与重复案例行为一致。</x:v>
      </x:c>
      <x:c r="J103" s="72" t="str">
        <x:v>基础信号未定；真合化后原信号已失效；只有单一弱远争议信号；或该结论会越界到M4风险、M5适配。</x:v>
      </x:c>
      <x:c r="K103" s="72" t="str">
        <x:v>由共享基础引擎与M3-STATE修正；日主承载只修正冲突处理的可执行性，不直接等于强硬或软弱。</x:v>
      </x:c>
      <x:c r="L103" s="72" t="str">
        <x:v>不限定；夫妻星只在责任、行动、投入等冲突议题中参与接口，不作为CONFLICT唯一主轴。</x:v>
      </x:c>
      <x:c r="M103" s="72" t="str">
        <x:v>由M3-BASE、日支主气及宫位动态提供；不得把日支直接写成配偶性格。</x:v>
      </x:c>
      <x:c r="N103" s="72" t="str">
        <x:v>无／待CONFLICT顺序与路径规则组合</x:v>
      </x:c>
      <x:c r="O103" s="72" t="str">
        <x:v>日柱与日支近位优先；全局有效独立信号可作次通道。</x:v>
      </x:c>
      <x:c r="P103" s="72" t="str">
        <x:v>由共享基础引擎判定</x:v>
      </x:c>
      <x:c r="Q103" s="72" t="str">
        <x:v>由共享基础引擎判定</x:v>
      </x:c>
      <x:c r="R103" s="72" t="str">
        <x:v>喜忌不直接等于冲突方式好坏；只修正调用顺畅度、资源压力和状态切换。</x:v>
      </x:c>
      <x:c r="S103" s="72" t="str">
        <x:v>原十神性质有效；真合化成立时按化神所属功能系统重建。</x:v>
      </x:c>
      <x:c r="T103" s="72" t="str">
        <x:v>由共享基础引擎判定</x:v>
      </x:c>
      <x:c r="U103" s="72" t="str">
        <x:v>62</x:v>
      </x:c>
      <x:c r="V103" s="72" t="str">
        <x:v>顺序 +6</x:v>
      </x:c>
      <x:c r="W103" s="72" t="str">
        <x:v>fact_emotion_order</x:v>
      </x:c>
      <x:c r="X103" s="72" t="str">
        <x:v>事实与情绪顺序用于区分用户在分歧处理过程中的具体顺序。解决问题与承接感受可以有先后，但不能把先后写成重视或不重视。</x:v>
      </x:c>
      <x:c r="Y103" s="72" t="str">
        <x:v>先把事实、逻辑或安排说清，再补情绪与理解。</x:v>
      </x:c>
      <x:c r="Z10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03" s="72" t="str">
        <x:v>中</x:v>
      </x:c>
      <x:c r="AB103" s="72" t="str">
        <x:v>待验证</x:v>
      </x:c>
      <x:c r="AC103" s="72" t="str"/>
      <x:c r="AD103" s="72" t="str">
        <x:v>provisional=true; dimension=FQ03; state=C01</x:v>
      </x:c>
      <x:c r="AE103" s="73" t="str">
        <x:v>0.6</x:v>
      </x:c>
    </x:row>
    <x:row r="104">
      <x:c r="A104" s="71" t="str">
        <x:v>M3-CONFLICT-100</x:v>
      </x:c>
      <x:c r="B104" s="72" t="str">
        <x:v>FQ03 事实与情绪顺序｜C02 感受先于事实</x:v>
      </x:c>
      <x:c r="C104" s="72" t="str">
        <x:v>L2 冲突过程维度</x:v>
      </x:c>
      <x:c r="D104" s="72" t="str">
        <x:v>CONFLICT-过程维度</x:v>
      </x:c>
      <x:c r="E104" s="72" t="str">
        <x:v>通用</x:v>
      </x:c>
      <x:c r="F104" s="72" t="str">
        <x:v>维度状态</x:v>
      </x:c>
      <x:c r="G104" s="72" t="str">
        <x:v>FQ03</x:v>
      </x:c>
      <x:c r="H104" s="72" t="str"/>
      <x:c r="I104" s="72" t="str">
        <x:v>至少两类独立证据支持“感受先于事实”，或一类可靠近位信号与重复案例行为一致。</x:v>
      </x:c>
      <x:c r="J104" s="72" t="str">
        <x:v>基础信号未定；真合化后原信号已失效；只有单一弱远争议信号；或该结论会越界到M4风险、M5适配。</x:v>
      </x:c>
      <x:c r="K104" s="72" t="str">
        <x:v>由共享基础引擎与M3-STATE修正；日主承载只修正冲突处理的可执行性，不直接等于强硬或软弱。</x:v>
      </x:c>
      <x:c r="L104" s="72" t="str">
        <x:v>不限定；夫妻星只在责任、行动、投入等冲突议题中参与接口，不作为CONFLICT唯一主轴。</x:v>
      </x:c>
      <x:c r="M104" s="72" t="str">
        <x:v>由M3-BASE、日支主气及宫位动态提供；不得把日支直接写成配偶性格。</x:v>
      </x:c>
      <x:c r="N104" s="72" t="str">
        <x:v>无／待CONFLICT顺序与路径规则组合</x:v>
      </x:c>
      <x:c r="O104" s="72" t="str">
        <x:v>日柱与日支近位优先；全局有效独立信号可作次通道。</x:v>
      </x:c>
      <x:c r="P104" s="72" t="str">
        <x:v>由共享基础引擎判定</x:v>
      </x:c>
      <x:c r="Q104" s="72" t="str">
        <x:v>由共享基础引擎判定</x:v>
      </x:c>
      <x:c r="R104" s="72" t="str">
        <x:v>喜忌不直接等于冲突方式好坏；只修正调用顺畅度、资源压力和状态切换。</x:v>
      </x:c>
      <x:c r="S104" s="72" t="str">
        <x:v>原十神性质有效；真合化成立时按化神所属功能系统重建。</x:v>
      </x:c>
      <x:c r="T104" s="72" t="str">
        <x:v>由共享基础引擎判定</x:v>
      </x:c>
      <x:c r="U104" s="72" t="str">
        <x:v>62</x:v>
      </x:c>
      <x:c r="V104" s="72" t="str">
        <x:v>顺序 +6</x:v>
      </x:c>
      <x:c r="W104" s="72" t="str">
        <x:v>fact_emotion_order</x:v>
      </x:c>
      <x:c r="X104" s="72" t="str">
        <x:v>事实与情绪顺序用于区分用户在分歧处理过程中的具体顺序。解决问题与承接感受可以有先后，但不能把先后写成重视或不重视。</x:v>
      </x:c>
      <x:c r="Y104" s="72" t="str">
        <x:v>先恢复理解和安全，再进入事实与方案。</x:v>
      </x:c>
      <x:c r="Z10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04" s="72" t="str">
        <x:v>中</x:v>
      </x:c>
      <x:c r="AB104" s="72" t="str">
        <x:v>待验证</x:v>
      </x:c>
      <x:c r="AC104" s="72" t="str"/>
      <x:c r="AD104" s="72" t="str">
        <x:v>provisional=true; dimension=FQ03; state=C02</x:v>
      </x:c>
      <x:c r="AE104" s="73" t="str">
        <x:v>0.6</x:v>
      </x:c>
    </x:row>
    <x:row r="105">
      <x:c r="A105" s="71" t="str">
        <x:v>M3-CONFLICT-101</x:v>
      </x:c>
      <x:c r="B105" s="72" t="str">
        <x:v>FQ03 事实与情绪顺序｜C03 事实情绪往返</x:v>
      </x:c>
      <x:c r="C105" s="72" t="str">
        <x:v>L2 冲突过程维度</x:v>
      </x:c>
      <x:c r="D105" s="72" t="str">
        <x:v>CONFLICT-过程维度</x:v>
      </x:c>
      <x:c r="E105" s="72" t="str">
        <x:v>通用</x:v>
      </x:c>
      <x:c r="F105" s="72" t="str">
        <x:v>维度状态</x:v>
      </x:c>
      <x:c r="G105" s="72" t="str">
        <x:v>FQ03</x:v>
      </x:c>
      <x:c r="H105" s="72" t="str"/>
      <x:c r="I105" s="72" t="str">
        <x:v>至少两类独立证据支持“事实情绪往返”，或一类可靠近位信号与重复案例行为一致。</x:v>
      </x:c>
      <x:c r="J105" s="72" t="str">
        <x:v>基础信号未定；真合化后原信号已失效；只有单一弱远争议信号；或该结论会越界到M4风险、M5适配。</x:v>
      </x:c>
      <x:c r="K105" s="72" t="str">
        <x:v>由共享基础引擎与M3-STATE修正；日主承载只修正冲突处理的可执行性，不直接等于强硬或软弱。</x:v>
      </x:c>
      <x:c r="L105" s="72" t="str">
        <x:v>不限定；夫妻星只在责任、行动、投入等冲突议题中参与接口，不作为CONFLICT唯一主轴。</x:v>
      </x:c>
      <x:c r="M105" s="72" t="str">
        <x:v>由M3-BASE、日支主气及宫位动态提供；不得把日支直接写成配偶性格。</x:v>
      </x:c>
      <x:c r="N105" s="72" t="str">
        <x:v>无／待CONFLICT顺序与路径规则组合</x:v>
      </x:c>
      <x:c r="O105" s="72" t="str">
        <x:v>日柱与日支近位优先；全局有效独立信号可作次通道。</x:v>
      </x:c>
      <x:c r="P105" s="72" t="str">
        <x:v>由共享基础引擎判定</x:v>
      </x:c>
      <x:c r="Q105" s="72" t="str">
        <x:v>由共享基础引擎判定</x:v>
      </x:c>
      <x:c r="R105" s="72" t="str">
        <x:v>喜忌不直接等于冲突方式好坏；只修正调用顺畅度、资源压力和状态切换。</x:v>
      </x:c>
      <x:c r="S105" s="72" t="str">
        <x:v>原十神性质有效；真合化成立时按化神所属功能系统重建。</x:v>
      </x:c>
      <x:c r="T105" s="72" t="str">
        <x:v>由共享基础引擎判定</x:v>
      </x:c>
      <x:c r="U105" s="72" t="str">
        <x:v>62</x:v>
      </x:c>
      <x:c r="V105" s="72" t="str">
        <x:v>顺序 +6</x:v>
      </x:c>
      <x:c r="W105" s="72" t="str">
        <x:v>fact_emotion_order</x:v>
      </x:c>
      <x:c r="X105" s="72" t="str">
        <x:v>事实与情绪顺序用于区分用户在分歧处理过程中的具体顺序。解决问题与承接感受可以有先后，但不能把先后写成重视或不重视。</x:v>
      </x:c>
      <x:c r="Y105" s="72" t="str">
        <x:v>事实和感受反复校准，不固定只走单向。</x:v>
      </x:c>
      <x:c r="Z10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05" s="72" t="str">
        <x:v>中</x:v>
      </x:c>
      <x:c r="AB105" s="72" t="str">
        <x:v>待验证</x:v>
      </x:c>
      <x:c r="AC105" s="72" t="str"/>
      <x:c r="AD105" s="72" t="str">
        <x:v>provisional=true; dimension=FQ03; state=C03</x:v>
      </x:c>
      <x:c r="AE105" s="73" t="str">
        <x:v>0.6</x:v>
      </x:c>
    </x:row>
    <x:row r="106">
      <x:c r="A106" s="71" t="str">
        <x:v>M3-CONFLICT-102</x:v>
      </x:c>
      <x:c r="B106" s="72" t="str">
        <x:v>FQ03 事实与情绪顺序｜C04 顺序未定</x:v>
      </x:c>
      <x:c r="C106" s="72" t="str">
        <x:v>L2 冲突过程维度</x:v>
      </x:c>
      <x:c r="D106" s="72" t="str">
        <x:v>CONFLICT-过程维度</x:v>
      </x:c>
      <x:c r="E106" s="72" t="str">
        <x:v>通用</x:v>
      </x:c>
      <x:c r="F106" s="72" t="str">
        <x:v>维度状态</x:v>
      </x:c>
      <x:c r="G106" s="72" t="str">
        <x:v>FQ03</x:v>
      </x:c>
      <x:c r="H106" s="72" t="str"/>
      <x:c r="I106" s="72" t="str">
        <x:v>至少两类独立证据支持“顺序未定”，或一类可靠近位信号与重复案例行为一致。</x:v>
      </x:c>
      <x:c r="J106" s="72" t="str">
        <x:v>基础信号未定；真合化后原信号已失效；只有单一弱远争议信号；或该结论会越界到M4风险、M5适配。</x:v>
      </x:c>
      <x:c r="K106" s="72" t="str">
        <x:v>由共享基础引擎与M3-STATE修正；日主承载只修正冲突处理的可执行性，不直接等于强硬或软弱。</x:v>
      </x:c>
      <x:c r="L106" s="72" t="str">
        <x:v>不限定；夫妻星只在责任、行动、投入等冲突议题中参与接口，不作为CONFLICT唯一主轴。</x:v>
      </x:c>
      <x:c r="M106" s="72" t="str">
        <x:v>由M3-BASE、日支主气及宫位动态提供；不得把日支直接写成配偶性格。</x:v>
      </x:c>
      <x:c r="N106" s="72" t="str">
        <x:v>无／待CONFLICT顺序与路径规则组合</x:v>
      </x:c>
      <x:c r="O106" s="72" t="str">
        <x:v>日柱与日支近位优先；全局有效独立信号可作次通道。</x:v>
      </x:c>
      <x:c r="P106" s="72" t="str">
        <x:v>由共享基础引擎判定</x:v>
      </x:c>
      <x:c r="Q106" s="72" t="str">
        <x:v>由共享基础引擎判定</x:v>
      </x:c>
      <x:c r="R106" s="72" t="str">
        <x:v>喜忌不直接等于冲突方式好坏；只修正调用顺畅度、资源压力和状态切换。</x:v>
      </x:c>
      <x:c r="S106" s="72" t="str">
        <x:v>原十神性质有效；真合化成立时按化神所属功能系统重建。</x:v>
      </x:c>
      <x:c r="T106" s="72" t="str">
        <x:v>由共享基础引擎判定</x:v>
      </x:c>
      <x:c r="U106" s="72" t="str">
        <x:v>62</x:v>
      </x:c>
      <x:c r="V106" s="72" t="str">
        <x:v>不加分；降置信</x:v>
      </x:c>
      <x:c r="W106" s="72" t="str">
        <x:v>fact_emotion_order</x:v>
      </x:c>
      <x:c r="X106" s="72" t="str">
        <x:v>事实与情绪顺序用于区分用户在分歧处理过程中的具体顺序。解决问题与承接感受可以有先后，但不能把先后写成重视或不重视。</x:v>
      </x:c>
      <x:c r="Y106" s="72" t="str">
        <x:v>现有证据不足，或不同压力情境会改变顺序。</x:v>
      </x:c>
      <x:c r="Z10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06" s="72" t="str">
        <x:v>中</x:v>
      </x:c>
      <x:c r="AB106" s="72" t="str">
        <x:v>待验证</x:v>
      </x:c>
      <x:c r="AC106" s="72" t="str"/>
      <x:c r="AD106" s="72" t="str">
        <x:v>provisional=true; dimension=FQ03; state=C04</x:v>
      </x:c>
      <x:c r="AE106" s="73" t="str">
        <x:v>0.6</x:v>
      </x:c>
    </x:row>
    <x:row r="107">
      <x:c r="A107" s="71" t="str">
        <x:v>M3-CONFLICT-103</x:v>
      </x:c>
      <x:c r="B107" s="72" t="str">
        <x:v>FQ04 立场与需求表达｜D01 直接具体</x:v>
      </x:c>
      <x:c r="C107" s="72" t="str">
        <x:v>L2 冲突过程维度</x:v>
      </x:c>
      <x:c r="D107" s="72" t="str">
        <x:v>CONFLICT-过程维度</x:v>
      </x:c>
      <x:c r="E107" s="72" t="str">
        <x:v>通用</x:v>
      </x:c>
      <x:c r="F107" s="72" t="str">
        <x:v>维度状态</x:v>
      </x:c>
      <x:c r="G107" s="72" t="str">
        <x:v>FQ04</x:v>
      </x:c>
      <x:c r="H107" s="72" t="str"/>
      <x:c r="I107" s="72" t="str">
        <x:v>至少两类独立证据支持“直接具体”，或一类可靠近位信号与重复案例行为一致。</x:v>
      </x:c>
      <x:c r="J107" s="72" t="str">
        <x:v>基础信号未定；真合化后原信号已失效；只有单一弱远争议信号；或该结论会越界到M4风险、M5适配。</x:v>
      </x:c>
      <x:c r="K107" s="72" t="str">
        <x:v>由共享基础引擎与M3-STATE修正；日主承载只修正冲突处理的可执行性，不直接等于强硬或软弱。</x:v>
      </x:c>
      <x:c r="L107" s="72" t="str">
        <x:v>不限定；夫妻星只在责任、行动、投入等冲突议题中参与接口，不作为CONFLICT唯一主轴。</x:v>
      </x:c>
      <x:c r="M107" s="72" t="str">
        <x:v>由M3-BASE、日支主气及宫位动态提供；不得把日支直接写成配偶性格。</x:v>
      </x:c>
      <x:c r="N107" s="72" t="str">
        <x:v>无／待CONFLICT顺序与路径规则组合</x:v>
      </x:c>
      <x:c r="O107" s="72" t="str">
        <x:v>日柱与日支近位优先；全局有效独立信号可作次通道。</x:v>
      </x:c>
      <x:c r="P107" s="72" t="str">
        <x:v>由共享基础引擎判定</x:v>
      </x:c>
      <x:c r="Q107" s="72" t="str">
        <x:v>由共享基础引擎判定</x:v>
      </x:c>
      <x:c r="R107" s="72" t="str">
        <x:v>喜忌不直接等于冲突方式好坏；只修正调用顺畅度、资源压力和状态切换。</x:v>
      </x:c>
      <x:c r="S107" s="72" t="str">
        <x:v>原十神性质有效；真合化成立时按化神所属功能系统重建。</x:v>
      </x:c>
      <x:c r="T107" s="72" t="str">
        <x:v>由共享基础引擎判定</x:v>
      </x:c>
      <x:c r="U107" s="72" t="str">
        <x:v>62</x:v>
      </x:c>
      <x:c r="V107" s="72" t="str">
        <x:v>表达 +5</x:v>
      </x:c>
      <x:c r="W107" s="72" t="str">
        <x:v>position_expression</x:v>
      </x:c>
      <x:c r="X107" s="72" t="str">
        <x:v>立场与需求表达用于区分用户在分歧处理过程中的具体顺序。表达方式不等于现实边界执行，后者继续看BOUND。</x:v>
      </x:c>
      <x:c r="Y107" s="72" t="str">
        <x:v>直接说明不同意、需要、范围或希望怎样调整。</x:v>
      </x:c>
      <x:c r="Z10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07" s="72" t="str">
        <x:v>中</x:v>
      </x:c>
      <x:c r="AB107" s="72" t="str">
        <x:v>待验证</x:v>
      </x:c>
      <x:c r="AC107" s="72" t="str"/>
      <x:c r="AD107" s="72" t="str">
        <x:v>provisional=true; dimension=FQ04; state=D01</x:v>
      </x:c>
      <x:c r="AE107" s="73" t="str">
        <x:v>0.6</x:v>
      </x:c>
    </x:row>
    <x:row r="108">
      <x:c r="A108" s="71" t="str">
        <x:v>M3-CONFLICT-104</x:v>
      </x:c>
      <x:c r="B108" s="72" t="str">
        <x:v>FQ04 立场与需求表达｜D02 解释背景</x:v>
      </x:c>
      <x:c r="C108" s="72" t="str">
        <x:v>L2 冲突过程维度</x:v>
      </x:c>
      <x:c r="D108" s="72" t="str">
        <x:v>CONFLICT-过程维度</x:v>
      </x:c>
      <x:c r="E108" s="72" t="str">
        <x:v>通用</x:v>
      </x:c>
      <x:c r="F108" s="72" t="str">
        <x:v>维度状态</x:v>
      </x:c>
      <x:c r="G108" s="72" t="str">
        <x:v>FQ04</x:v>
      </x:c>
      <x:c r="H108" s="72" t="str"/>
      <x:c r="I108" s="72" t="str">
        <x:v>至少两类独立证据支持“解释背景”，或一类可靠近位信号与重复案例行为一致。</x:v>
      </x:c>
      <x:c r="J108" s="72" t="str">
        <x:v>基础信号未定；真合化后原信号已失效；只有单一弱远争议信号；或该结论会越界到M4风险、M5适配。</x:v>
      </x:c>
      <x:c r="K108" s="72" t="str">
        <x:v>由共享基础引擎与M3-STATE修正；日主承载只修正冲突处理的可执行性，不直接等于强硬或软弱。</x:v>
      </x:c>
      <x:c r="L108" s="72" t="str">
        <x:v>不限定；夫妻星只在责任、行动、投入等冲突议题中参与接口，不作为CONFLICT唯一主轴。</x:v>
      </x:c>
      <x:c r="M108" s="72" t="str">
        <x:v>由M3-BASE、日支主气及宫位动态提供；不得把日支直接写成配偶性格。</x:v>
      </x:c>
      <x:c r="N108" s="72" t="str">
        <x:v>无／待CONFLICT顺序与路径规则组合</x:v>
      </x:c>
      <x:c r="O108" s="72" t="str">
        <x:v>日柱与日支近位优先；全局有效独立信号可作次通道。</x:v>
      </x:c>
      <x:c r="P108" s="72" t="str">
        <x:v>由共享基础引擎判定</x:v>
      </x:c>
      <x:c r="Q108" s="72" t="str">
        <x:v>由共享基础引擎判定</x:v>
      </x:c>
      <x:c r="R108" s="72" t="str">
        <x:v>喜忌不直接等于冲突方式好坏；只修正调用顺畅度、资源压力和状态切换。</x:v>
      </x:c>
      <x:c r="S108" s="72" t="str">
        <x:v>原十神性质有效；真合化成立时按化神所属功能系统重建。</x:v>
      </x:c>
      <x:c r="T108" s="72" t="str">
        <x:v>由共享基础引擎判定</x:v>
      </x:c>
      <x:c r="U108" s="72" t="str">
        <x:v>62</x:v>
      </x:c>
      <x:c r="V108" s="72" t="str">
        <x:v>表达 +5</x:v>
      </x:c>
      <x:c r="W108" s="72" t="str">
        <x:v>position_expression</x:v>
      </x:c>
      <x:c r="X108" s="72" t="str">
        <x:v>立场与需求表达用于区分用户在分歧处理过程中的具体顺序。表达方式不等于现实边界执行，后者继续看BOUND。</x:v>
      </x:c>
      <x:c r="Y108" s="72" t="str">
        <x:v>先说明原因、感受和上下文，再提出立场。</x:v>
      </x:c>
      <x:c r="Z10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08" s="72" t="str">
        <x:v>中</x:v>
      </x:c>
      <x:c r="AB108" s="72" t="str">
        <x:v>待验证</x:v>
      </x:c>
      <x:c r="AC108" s="72" t="str"/>
      <x:c r="AD108" s="72" t="str">
        <x:v>provisional=true; dimension=FQ04; state=D02</x:v>
      </x:c>
      <x:c r="AE108" s="73" t="str">
        <x:v>0.6</x:v>
      </x:c>
    </x:row>
    <x:row r="109">
      <x:c r="A109" s="71" t="str">
        <x:v>M3-CONFLICT-105</x:v>
      </x:c>
      <x:c r="B109" s="72" t="str">
        <x:v>FQ04 立场与需求表达｜D03 行动带出</x:v>
      </x:c>
      <x:c r="C109" s="72" t="str">
        <x:v>L2 冲突过程维度</x:v>
      </x:c>
      <x:c r="D109" s="72" t="str">
        <x:v>CONFLICT-过程维度</x:v>
      </x:c>
      <x:c r="E109" s="72" t="str">
        <x:v>通用</x:v>
      </x:c>
      <x:c r="F109" s="72" t="str">
        <x:v>维度状态</x:v>
      </x:c>
      <x:c r="G109" s="72" t="str">
        <x:v>FQ04</x:v>
      </x:c>
      <x:c r="H109" s="72" t="str"/>
      <x:c r="I109" s="72" t="str">
        <x:v>至少两类独立证据支持“行动带出”，或一类可靠近位信号与重复案例行为一致。</x:v>
      </x:c>
      <x:c r="J109" s="72" t="str">
        <x:v>基础信号未定；真合化后原信号已失效；只有单一弱远争议信号；或该结论会越界到M4风险、M5适配。</x:v>
      </x:c>
      <x:c r="K109" s="72" t="str">
        <x:v>由共享基础引擎与M3-STATE修正；日主承载只修正冲突处理的可执行性，不直接等于强硬或软弱。</x:v>
      </x:c>
      <x:c r="L109" s="72" t="str">
        <x:v>不限定；夫妻星只在责任、行动、投入等冲突议题中参与接口，不作为CONFLICT唯一主轴。</x:v>
      </x:c>
      <x:c r="M109" s="72" t="str">
        <x:v>由M3-BASE、日支主气及宫位动态提供；不得把日支直接写成配偶性格。</x:v>
      </x:c>
      <x:c r="N109" s="72" t="str">
        <x:v>无／待CONFLICT顺序与路径规则组合</x:v>
      </x:c>
      <x:c r="O109" s="72" t="str">
        <x:v>日柱与日支近位优先；全局有效独立信号可作次通道。</x:v>
      </x:c>
      <x:c r="P109" s="72" t="str">
        <x:v>由共享基础引擎判定</x:v>
      </x:c>
      <x:c r="Q109" s="72" t="str">
        <x:v>由共享基础引擎判定</x:v>
      </x:c>
      <x:c r="R109" s="72" t="str">
        <x:v>喜忌不直接等于冲突方式好坏；只修正调用顺畅度、资源压力和状态切换。</x:v>
      </x:c>
      <x:c r="S109" s="72" t="str">
        <x:v>原十神性质有效；真合化成立时按化神所属功能系统重建。</x:v>
      </x:c>
      <x:c r="T109" s="72" t="str">
        <x:v>由共享基础引擎判定</x:v>
      </x:c>
      <x:c r="U109" s="72" t="str">
        <x:v>62</x:v>
      </x:c>
      <x:c r="V109" s="72" t="str">
        <x:v>表达 +5</x:v>
      </x:c>
      <x:c r="W109" s="72" t="str">
        <x:v>position_expression</x:v>
      </x:c>
      <x:c r="X109" s="72" t="str">
        <x:v>立场与需求表达用于区分用户在分歧处理过程中的具体顺序。表达方式不等于现实边界执行，后者继续看BOUND。</x:v>
      </x:c>
      <x:c r="Y109" s="72" t="str">
        <x:v>通过停止、调整安排、共同任务或实际选择表达立场。</x:v>
      </x:c>
      <x:c r="Z10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09" s="72" t="str">
        <x:v>中</x:v>
      </x:c>
      <x:c r="AB109" s="72" t="str">
        <x:v>待验证</x:v>
      </x:c>
      <x:c r="AC109" s="72" t="str"/>
      <x:c r="AD109" s="72" t="str">
        <x:v>provisional=true; dimension=FQ04; state=D03</x:v>
      </x:c>
      <x:c r="AE109" s="73" t="str">
        <x:v>0.6</x:v>
      </x:c>
    </x:row>
    <x:row r="110">
      <x:c r="A110" s="71" t="str">
        <x:v>M3-CONFLICT-106</x:v>
      </x:c>
      <x:c r="B110" s="72" t="str">
        <x:v>FQ04 立场与需求表达｜D04 先内部整理</x:v>
      </x:c>
      <x:c r="C110" s="72" t="str">
        <x:v>L2 冲突过程维度</x:v>
      </x:c>
      <x:c r="D110" s="72" t="str">
        <x:v>CONFLICT-过程维度</x:v>
      </x:c>
      <x:c r="E110" s="72" t="str">
        <x:v>通用</x:v>
      </x:c>
      <x:c r="F110" s="72" t="str">
        <x:v>维度状态</x:v>
      </x:c>
      <x:c r="G110" s="72" t="str">
        <x:v>FQ04</x:v>
      </x:c>
      <x:c r="H110" s="72" t="str"/>
      <x:c r="I110" s="72" t="str">
        <x:v>至少两类独立证据支持“先内部整理”，或一类可靠近位信号与重复案例行为一致。</x:v>
      </x:c>
      <x:c r="J110" s="72" t="str">
        <x:v>基础信号未定；真合化后原信号已失效；只有单一弱远争议信号；或该结论会越界到M4风险、M5适配。</x:v>
      </x:c>
      <x:c r="K110" s="72" t="str">
        <x:v>由共享基础引擎与M3-STATE修正；日主承载只修正冲突处理的可执行性，不直接等于强硬或软弱。</x:v>
      </x:c>
      <x:c r="L110" s="72" t="str">
        <x:v>不限定；夫妻星只在责任、行动、投入等冲突议题中参与接口，不作为CONFLICT唯一主轴。</x:v>
      </x:c>
      <x:c r="M110" s="72" t="str">
        <x:v>由M3-BASE、日支主气及宫位动态提供；不得把日支直接写成配偶性格。</x:v>
      </x:c>
      <x:c r="N110" s="72" t="str">
        <x:v>无／待CONFLICT顺序与路径规则组合</x:v>
      </x:c>
      <x:c r="O110" s="72" t="str">
        <x:v>日柱与日支近位优先；全局有效独立信号可作次通道。</x:v>
      </x:c>
      <x:c r="P110" s="72" t="str">
        <x:v>由共享基础引擎判定</x:v>
      </x:c>
      <x:c r="Q110" s="72" t="str">
        <x:v>由共享基础引擎判定</x:v>
      </x:c>
      <x:c r="R110" s="72" t="str">
        <x:v>喜忌不直接等于冲突方式好坏；只修正调用顺畅度、资源压力和状态切换。</x:v>
      </x:c>
      <x:c r="S110" s="72" t="str">
        <x:v>原十神性质有效；真合化成立时按化神所属功能系统重建。</x:v>
      </x:c>
      <x:c r="T110" s="72" t="str">
        <x:v>由共享基础引擎判定</x:v>
      </x:c>
      <x:c r="U110" s="72" t="str">
        <x:v>62</x:v>
      </x:c>
      <x:c r="V110" s="72" t="str">
        <x:v>表达 +5</x:v>
      </x:c>
      <x:c r="W110" s="72" t="str">
        <x:v>position_expression</x:v>
      </x:c>
      <x:c r="X110" s="72" t="str">
        <x:v>立场与需求表达用于区分用户在分歧处理过程中的具体顺序。表达方式不等于现实边界执行，后者继续看BOUND。</x:v>
      </x:c>
      <x:c r="Y110" s="72" t="str">
        <x:v>先想清楚真正立场和优先级，再选择性说明。</x:v>
      </x:c>
      <x:c r="Z11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10" s="72" t="str">
        <x:v>中</x:v>
      </x:c>
      <x:c r="AB110" s="72" t="str">
        <x:v>待验证</x:v>
      </x:c>
      <x:c r="AC110" s="72" t="str"/>
      <x:c r="AD110" s="72" t="str">
        <x:v>provisional=true; dimension=FQ04; state=D04</x:v>
      </x:c>
      <x:c r="AE110" s="73" t="str">
        <x:v>0.6</x:v>
      </x:c>
    </x:row>
    <x:row r="111">
      <x:c r="A111" s="71" t="str">
        <x:v>M3-CONFLICT-107</x:v>
      </x:c>
      <x:c r="B111" s="72" t="str">
        <x:v>FQ05 责任归属处理｜E01 对照约定</x:v>
      </x:c>
      <x:c r="C111" s="72" t="str">
        <x:v>L2 冲突过程维度</x:v>
      </x:c>
      <x:c r="D111" s="72" t="str">
        <x:v>CONFLICT-过程维度</x:v>
      </x:c>
      <x:c r="E111" s="72" t="str">
        <x:v>通用</x:v>
      </x:c>
      <x:c r="F111" s="72" t="str">
        <x:v>维度状态</x:v>
      </x:c>
      <x:c r="G111" s="72" t="str">
        <x:v>FQ05</x:v>
      </x:c>
      <x:c r="H111" s="72" t="str"/>
      <x:c r="I111" s="72" t="str">
        <x:v>至少两类独立证据支持“对照约定”，或一类可靠近位信号与重复案例行为一致。</x:v>
      </x:c>
      <x:c r="J111" s="72" t="str">
        <x:v>基础信号未定；真合化后原信号已失效；只有单一弱远争议信号；或该结论会越界到M4风险、M5适配。</x:v>
      </x:c>
      <x:c r="K111" s="72" t="str">
        <x:v>由共享基础引擎与M3-STATE修正；日主承载只修正冲突处理的可执行性，不直接等于强硬或软弱。</x:v>
      </x:c>
      <x:c r="L111" s="72" t="str">
        <x:v>不限定；夫妻星只在责任、行动、投入等冲突议题中参与接口，不作为CONFLICT唯一主轴。</x:v>
      </x:c>
      <x:c r="M111" s="72" t="str">
        <x:v>由M3-BASE、日支主气及宫位动态提供；不得把日支直接写成配偶性格。</x:v>
      </x:c>
      <x:c r="N111" s="72" t="str">
        <x:v>无／待CONFLICT顺序与路径规则组合</x:v>
      </x:c>
      <x:c r="O111" s="72" t="str">
        <x:v>日柱与日支近位优先；全局有效独立信号可作次通道。</x:v>
      </x:c>
      <x:c r="P111" s="72" t="str">
        <x:v>由共享基础引擎判定</x:v>
      </x:c>
      <x:c r="Q111" s="72" t="str">
        <x:v>由共享基础引擎判定</x:v>
      </x:c>
      <x:c r="R111" s="72" t="str">
        <x:v>喜忌不直接等于冲突方式好坏；只修正调用顺畅度、资源压力和状态切换。</x:v>
      </x:c>
      <x:c r="S111" s="72" t="str">
        <x:v>原十神性质有效；真合化成立时按化神所属功能系统重建。</x:v>
      </x:c>
      <x:c r="T111" s="72" t="str">
        <x:v>由共享基础引擎判定</x:v>
      </x:c>
      <x:c r="U111" s="72" t="str">
        <x:v>62</x:v>
      </x:c>
      <x:c r="V111" s="72" t="str">
        <x:v>责任 +5</x:v>
      </x:c>
      <x:c r="W111" s="72" t="str">
        <x:v>responsibility_handling</x:v>
      </x:c>
      <x:c r="X111" s="72" t="str">
        <x:v>责任归属处理用于区分用户在分歧处理过程中的具体顺序。责任处理不等于追责，也不等于一定要判出谁对谁错。</x:v>
      </x:c>
      <x:c r="Y111" s="72" t="str">
        <x:v>回到承诺、规则和原先分工确认责任。</x:v>
      </x:c>
      <x:c r="Z11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11" s="72" t="str">
        <x:v>中</x:v>
      </x:c>
      <x:c r="AB111" s="72" t="str">
        <x:v>待验证</x:v>
      </x:c>
      <x:c r="AC111" s="72" t="str"/>
      <x:c r="AD111" s="72" t="str">
        <x:v>provisional=true; dimension=FQ05; state=E01</x:v>
      </x:c>
      <x:c r="AE111" s="73" t="str">
        <x:v>0.6</x:v>
      </x:c>
    </x:row>
    <x:row r="112">
      <x:c r="A112" s="71" t="str">
        <x:v>M3-CONFLICT-108</x:v>
      </x:c>
      <x:c r="B112" s="72" t="str">
        <x:v>FQ05 责任归属处理｜E02 共同拆分</x:v>
      </x:c>
      <x:c r="C112" s="72" t="str">
        <x:v>L2 冲突过程维度</x:v>
      </x:c>
      <x:c r="D112" s="72" t="str">
        <x:v>CONFLICT-过程维度</x:v>
      </x:c>
      <x:c r="E112" s="72" t="str">
        <x:v>通用</x:v>
      </x:c>
      <x:c r="F112" s="72" t="str">
        <x:v>维度状态</x:v>
      </x:c>
      <x:c r="G112" s="72" t="str">
        <x:v>FQ05</x:v>
      </x:c>
      <x:c r="H112" s="72" t="str"/>
      <x:c r="I112" s="72" t="str">
        <x:v>至少两类独立证据支持“共同拆分”，或一类可靠近位信号与重复案例行为一致。</x:v>
      </x:c>
      <x:c r="J112" s="72" t="str">
        <x:v>基础信号未定；真合化后原信号已失效；只有单一弱远争议信号；或该结论会越界到M4风险、M5适配。</x:v>
      </x:c>
      <x:c r="K112" s="72" t="str">
        <x:v>由共享基础引擎与M3-STATE修正；日主承载只修正冲突处理的可执行性，不直接等于强硬或软弱。</x:v>
      </x:c>
      <x:c r="L112" s="72" t="str">
        <x:v>不限定；夫妻星只在责任、行动、投入等冲突议题中参与接口，不作为CONFLICT唯一主轴。</x:v>
      </x:c>
      <x:c r="M112" s="72" t="str">
        <x:v>由M3-BASE、日支主气及宫位动态提供；不得把日支直接写成配偶性格。</x:v>
      </x:c>
      <x:c r="N112" s="72" t="str">
        <x:v>无／待CONFLICT顺序与路径规则组合</x:v>
      </x:c>
      <x:c r="O112" s="72" t="str">
        <x:v>日柱与日支近位优先；全局有效独立信号可作次通道。</x:v>
      </x:c>
      <x:c r="P112" s="72" t="str">
        <x:v>由共享基础引擎判定</x:v>
      </x:c>
      <x:c r="Q112" s="72" t="str">
        <x:v>由共享基础引擎判定</x:v>
      </x:c>
      <x:c r="R112" s="72" t="str">
        <x:v>喜忌不直接等于冲突方式好坏；只修正调用顺畅度、资源压力和状态切换。</x:v>
      </x:c>
      <x:c r="S112" s="72" t="str">
        <x:v>原十神性质有效；真合化成立时按化神所属功能系统重建。</x:v>
      </x:c>
      <x:c r="T112" s="72" t="str">
        <x:v>由共享基础引擎判定</x:v>
      </x:c>
      <x:c r="U112" s="72" t="str">
        <x:v>62</x:v>
      </x:c>
      <x:c r="V112" s="72" t="str">
        <x:v>责任 +5</x:v>
      </x:c>
      <x:c r="W112" s="72" t="str">
        <x:v>responsibility_handling</x:v>
      </x:c>
      <x:c r="X112" s="72" t="str">
        <x:v>责任归属处理用于区分用户在分歧处理过程中的具体顺序。责任处理不等于追责，也不等于一定要判出谁对谁错。</x:v>
      </x:c>
      <x:c r="Y112" s="72" t="str">
        <x:v>把问题拆成双方各自负责和共同负责的部分。</x:v>
      </x:c>
      <x:c r="Z11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12" s="72" t="str">
        <x:v>中</x:v>
      </x:c>
      <x:c r="AB112" s="72" t="str">
        <x:v>待验证</x:v>
      </x:c>
      <x:c r="AC112" s="72" t="str"/>
      <x:c r="AD112" s="72" t="str">
        <x:v>provisional=true; dimension=FQ05; state=E02</x:v>
      </x:c>
      <x:c r="AE112" s="73" t="str">
        <x:v>0.6</x:v>
      </x:c>
    </x:row>
    <x:row r="113">
      <x:c r="A113" s="71" t="str">
        <x:v>M3-CONFLICT-109</x:v>
      </x:c>
      <x:c r="B113" s="72" t="str">
        <x:v>FQ05 责任归属处理｜E03 按事件调整</x:v>
      </x:c>
      <x:c r="C113" s="72" t="str">
        <x:v>L2 冲突过程维度</x:v>
      </x:c>
      <x:c r="D113" s="72" t="str">
        <x:v>CONFLICT-过程维度</x:v>
      </x:c>
      <x:c r="E113" s="72" t="str">
        <x:v>通用</x:v>
      </x:c>
      <x:c r="F113" s="72" t="str">
        <x:v>维度状态</x:v>
      </x:c>
      <x:c r="G113" s="72" t="str">
        <x:v>FQ05</x:v>
      </x:c>
      <x:c r="H113" s="72" t="str"/>
      <x:c r="I113" s="72" t="str">
        <x:v>至少两类独立证据支持“按事件调整”，或一类可靠近位信号与重复案例行为一致。</x:v>
      </x:c>
      <x:c r="J113" s="72" t="str">
        <x:v>基础信号未定；真合化后原信号已失效；只有单一弱远争议信号；或该结论会越界到M4风险、M5适配。</x:v>
      </x:c>
      <x:c r="K113" s="72" t="str">
        <x:v>由共享基础引擎与M3-STATE修正；日主承载只修正冲突处理的可执行性，不直接等于强硬或软弱。</x:v>
      </x:c>
      <x:c r="L113" s="72" t="str">
        <x:v>不限定；夫妻星只在责任、行动、投入等冲突议题中参与接口，不作为CONFLICT唯一主轴。</x:v>
      </x:c>
      <x:c r="M113" s="72" t="str">
        <x:v>由M3-BASE、日支主气及宫位动态提供；不得把日支直接写成配偶性格。</x:v>
      </x:c>
      <x:c r="N113" s="72" t="str">
        <x:v>无／待CONFLICT顺序与路径规则组合</x:v>
      </x:c>
      <x:c r="O113" s="72" t="str">
        <x:v>日柱与日支近位优先；全局有效独立信号可作次通道。</x:v>
      </x:c>
      <x:c r="P113" s="72" t="str">
        <x:v>由共享基础引擎判定</x:v>
      </x:c>
      <x:c r="Q113" s="72" t="str">
        <x:v>由共享基础引擎判定</x:v>
      </x:c>
      <x:c r="R113" s="72" t="str">
        <x:v>喜忌不直接等于冲突方式好坏；只修正调用顺畅度、资源压力和状态切换。</x:v>
      </x:c>
      <x:c r="S113" s="72" t="str">
        <x:v>原十神性质有效；真合化成立时按化神所属功能系统重建。</x:v>
      </x:c>
      <x:c r="T113" s="72" t="str">
        <x:v>由共享基础引擎判定</x:v>
      </x:c>
      <x:c r="U113" s="72" t="str">
        <x:v>62</x:v>
      </x:c>
      <x:c r="V113" s="72" t="str">
        <x:v>责任 +5</x:v>
      </x:c>
      <x:c r="W113" s="72" t="str">
        <x:v>responsibility_handling</x:v>
      </x:c>
      <x:c r="X113" s="72" t="str">
        <x:v>责任归属处理用于区分用户在分歧处理过程中的具体顺序。责任处理不等于追责，也不等于一定要判出谁对谁错。</x:v>
      </x:c>
      <x:c r="Y113" s="72" t="str">
        <x:v>不机械套旧规则，根据当次情境重新分配。</x:v>
      </x:c>
      <x:c r="Z11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13" s="72" t="str">
        <x:v>中</x:v>
      </x:c>
      <x:c r="AB113" s="72" t="str">
        <x:v>待验证</x:v>
      </x:c>
      <x:c r="AC113" s="72" t="str"/>
      <x:c r="AD113" s="72" t="str">
        <x:v>provisional=true; dimension=FQ05; state=E03</x:v>
      </x:c>
      <x:c r="AE113" s="73" t="str">
        <x:v>0.6</x:v>
      </x:c>
    </x:row>
    <x:row r="114">
      <x:c r="A114" s="71" t="str">
        <x:v>M3-CONFLICT-110</x:v>
      </x:c>
      <x:c r="B114" s="72" t="str">
        <x:v>FQ05 责任归属处理｜E04 责任未定</x:v>
      </x:c>
      <x:c r="C114" s="72" t="str">
        <x:v>L2 冲突过程维度</x:v>
      </x:c>
      <x:c r="D114" s="72" t="str">
        <x:v>CONFLICT-过程维度</x:v>
      </x:c>
      <x:c r="E114" s="72" t="str">
        <x:v>通用</x:v>
      </x:c>
      <x:c r="F114" s="72" t="str">
        <x:v>维度状态</x:v>
      </x:c>
      <x:c r="G114" s="72" t="str">
        <x:v>FQ05</x:v>
      </x:c>
      <x:c r="H114" s="72" t="str"/>
      <x:c r="I114" s="72" t="str">
        <x:v>至少两类独立证据支持“责任未定”，或一类可靠近位信号与重复案例行为一致。</x:v>
      </x:c>
      <x:c r="J114" s="72" t="str">
        <x:v>基础信号未定；真合化后原信号已失效；只有单一弱远争议信号；或该结论会越界到M4风险、M5适配。</x:v>
      </x:c>
      <x:c r="K114" s="72" t="str">
        <x:v>由共享基础引擎与M3-STATE修正；日主承载只修正冲突处理的可执行性，不直接等于强硬或软弱。</x:v>
      </x:c>
      <x:c r="L114" s="72" t="str">
        <x:v>不限定；夫妻星只在责任、行动、投入等冲突议题中参与接口，不作为CONFLICT唯一主轴。</x:v>
      </x:c>
      <x:c r="M114" s="72" t="str">
        <x:v>由M3-BASE、日支主气及宫位动态提供；不得把日支直接写成配偶性格。</x:v>
      </x:c>
      <x:c r="N114" s="72" t="str">
        <x:v>无／待CONFLICT顺序与路径规则组合</x:v>
      </x:c>
      <x:c r="O114" s="72" t="str">
        <x:v>日柱与日支近位优先；全局有效独立信号可作次通道。</x:v>
      </x:c>
      <x:c r="P114" s="72" t="str">
        <x:v>由共享基础引擎判定</x:v>
      </x:c>
      <x:c r="Q114" s="72" t="str">
        <x:v>由共享基础引擎判定</x:v>
      </x:c>
      <x:c r="R114" s="72" t="str">
        <x:v>喜忌不直接等于冲突方式好坏；只修正调用顺畅度、资源压力和状态切换。</x:v>
      </x:c>
      <x:c r="S114" s="72" t="str">
        <x:v>原十神性质有效；真合化成立时按化神所属功能系统重建。</x:v>
      </x:c>
      <x:c r="T114" s="72" t="str">
        <x:v>由共享基础引擎判定</x:v>
      </x:c>
      <x:c r="U114" s="72" t="str">
        <x:v>62</x:v>
      </x:c>
      <x:c r="V114" s="72" t="str">
        <x:v>不加分；降置信</x:v>
      </x:c>
      <x:c r="W114" s="72" t="str">
        <x:v>responsibility_handling</x:v>
      </x:c>
      <x:c r="X114" s="72" t="str">
        <x:v>责任归属处理用于区分用户在分歧处理过程中的具体顺序。责任处理不等于追责，也不等于一定要判出谁对谁错。</x:v>
      </x:c>
      <x:c r="Y114" s="72" t="str">
        <x:v>责任界面不清或证据不足，暂不固定。</x:v>
      </x:c>
      <x:c r="Z11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14" s="72" t="str">
        <x:v>中</x:v>
      </x:c>
      <x:c r="AB114" s="72" t="str">
        <x:v>待验证</x:v>
      </x:c>
      <x:c r="AC114" s="72" t="str"/>
      <x:c r="AD114" s="72" t="str">
        <x:v>provisional=true; dimension=FQ05; state=E04</x:v>
      </x:c>
      <x:c r="AE114" s="73" t="str">
        <x:v>0.6</x:v>
      </x:c>
    </x:row>
    <x:row r="115">
      <x:c r="A115" s="71" t="str">
        <x:v>M3-CONFLICT-111</x:v>
      </x:c>
      <x:c r="B115" s="72" t="str">
        <x:v>FQ06 解决方案生成｜F01 明确单案</x:v>
      </x:c>
      <x:c r="C115" s="72" t="str">
        <x:v>L2 冲突过程维度</x:v>
      </x:c>
      <x:c r="D115" s="72" t="str">
        <x:v>CONFLICT-过程维度</x:v>
      </x:c>
      <x:c r="E115" s="72" t="str">
        <x:v>通用</x:v>
      </x:c>
      <x:c r="F115" s="72" t="str">
        <x:v>维度状态</x:v>
      </x:c>
      <x:c r="G115" s="72" t="str">
        <x:v>FQ06</x:v>
      </x:c>
      <x:c r="H115" s="72" t="str"/>
      <x:c r="I115" s="72" t="str">
        <x:v>至少两类独立证据支持“明确单案”，或一类可靠近位信号与重复案例行为一致。</x:v>
      </x:c>
      <x:c r="J115" s="72" t="str">
        <x:v>基础信号未定；真合化后原信号已失效；只有单一弱远争议信号；或该结论会越界到M4风险、M5适配。</x:v>
      </x:c>
      <x:c r="K115" s="72" t="str">
        <x:v>由共享基础引擎与M3-STATE修正；日主承载只修正冲突处理的可执行性，不直接等于强硬或软弱。</x:v>
      </x:c>
      <x:c r="L115" s="72" t="str">
        <x:v>不限定；夫妻星只在责任、行动、投入等冲突议题中参与接口，不作为CONFLICT唯一主轴。</x:v>
      </x:c>
      <x:c r="M115" s="72" t="str">
        <x:v>由M3-BASE、日支主气及宫位动态提供；不得把日支直接写成配偶性格。</x:v>
      </x:c>
      <x:c r="N115" s="72" t="str">
        <x:v>无／待CONFLICT顺序与路径规则组合</x:v>
      </x:c>
      <x:c r="O115" s="72" t="str">
        <x:v>日柱与日支近位优先；全局有效独立信号可作次通道。</x:v>
      </x:c>
      <x:c r="P115" s="72" t="str">
        <x:v>由共享基础引擎判定</x:v>
      </x:c>
      <x:c r="Q115" s="72" t="str">
        <x:v>由共享基础引擎判定</x:v>
      </x:c>
      <x:c r="R115" s="72" t="str">
        <x:v>喜忌不直接等于冲突方式好坏；只修正调用顺畅度、资源压力和状态切换。</x:v>
      </x:c>
      <x:c r="S115" s="72" t="str">
        <x:v>原十神性质有效；真合化成立时按化神所属功能系统重建。</x:v>
      </x:c>
      <x:c r="T115" s="72" t="str">
        <x:v>由共享基础引擎判定</x:v>
      </x:c>
      <x:c r="U115" s="72" t="str">
        <x:v>62</x:v>
      </x:c>
      <x:c r="V115" s="72" t="str">
        <x:v>方案 +5</x:v>
      </x:c>
      <x:c r="W115" s="72" t="str">
        <x:v>solution_style</x:v>
      </x:c>
      <x:c r="X115" s="72" t="str">
        <x:v>解决方案生成用于区分用户在分歧处理过程中的具体顺序。方案速度不等于关系修复速度。</x:v>
      </x:c>
      <x:c r="Y115" s="72" t="str">
        <x:v>倾向尽快形成一个清楚、可执行的方案。</x:v>
      </x:c>
      <x:c r="Z11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15" s="72" t="str">
        <x:v>中</x:v>
      </x:c>
      <x:c r="AB115" s="72" t="str">
        <x:v>待验证</x:v>
      </x:c>
      <x:c r="AC115" s="72" t="str"/>
      <x:c r="AD115" s="72" t="str">
        <x:v>provisional=true; dimension=FQ06; state=F01</x:v>
      </x:c>
      <x:c r="AE115" s="73" t="str">
        <x:v>0.6</x:v>
      </x:c>
    </x:row>
    <x:row r="116">
      <x:c r="A116" s="71" t="str">
        <x:v>M3-CONFLICT-112</x:v>
      </x:c>
      <x:c r="B116" s="72" t="str">
        <x:v>FQ06 解决方案生成｜F02 多案协商</x:v>
      </x:c>
      <x:c r="C116" s="72" t="str">
        <x:v>L2 冲突过程维度</x:v>
      </x:c>
      <x:c r="D116" s="72" t="str">
        <x:v>CONFLICT-过程维度</x:v>
      </x:c>
      <x:c r="E116" s="72" t="str">
        <x:v>通用</x:v>
      </x:c>
      <x:c r="F116" s="72" t="str">
        <x:v>维度状态</x:v>
      </x:c>
      <x:c r="G116" s="72" t="str">
        <x:v>FQ06</x:v>
      </x:c>
      <x:c r="H116" s="72" t="str"/>
      <x:c r="I116" s="72" t="str">
        <x:v>至少两类独立证据支持“多案协商”，或一类可靠近位信号与重复案例行为一致。</x:v>
      </x:c>
      <x:c r="J116" s="72" t="str">
        <x:v>基础信号未定；真合化后原信号已失效；只有单一弱远争议信号；或该结论会越界到M4风险、M5适配。</x:v>
      </x:c>
      <x:c r="K116" s="72" t="str">
        <x:v>由共享基础引擎与M3-STATE修正；日主承载只修正冲突处理的可执行性，不直接等于强硬或软弱。</x:v>
      </x:c>
      <x:c r="L116" s="72" t="str">
        <x:v>不限定；夫妻星只在责任、行动、投入等冲突议题中参与接口，不作为CONFLICT唯一主轴。</x:v>
      </x:c>
      <x:c r="M116" s="72" t="str">
        <x:v>由M3-BASE、日支主气及宫位动态提供；不得把日支直接写成配偶性格。</x:v>
      </x:c>
      <x:c r="N116" s="72" t="str">
        <x:v>无／待CONFLICT顺序与路径规则组合</x:v>
      </x:c>
      <x:c r="O116" s="72" t="str">
        <x:v>日柱与日支近位优先；全局有效独立信号可作次通道。</x:v>
      </x:c>
      <x:c r="P116" s="72" t="str">
        <x:v>由共享基础引擎判定</x:v>
      </x:c>
      <x:c r="Q116" s="72" t="str">
        <x:v>由共享基础引擎判定</x:v>
      </x:c>
      <x:c r="R116" s="72" t="str">
        <x:v>喜忌不直接等于冲突方式好坏；只修正调用顺畅度、资源压力和状态切换。</x:v>
      </x:c>
      <x:c r="S116" s="72" t="str">
        <x:v>原十神性质有效；真合化成立时按化神所属功能系统重建。</x:v>
      </x:c>
      <x:c r="T116" s="72" t="str">
        <x:v>由共享基础引擎判定</x:v>
      </x:c>
      <x:c r="U116" s="72" t="str">
        <x:v>62</x:v>
      </x:c>
      <x:c r="V116" s="72" t="str">
        <x:v>方案 +5</x:v>
      </x:c>
      <x:c r="W116" s="72" t="str">
        <x:v>solution_style</x:v>
      </x:c>
      <x:c r="X116" s="72" t="str">
        <x:v>解决方案生成用于区分用户在分歧处理过程中的具体顺序。方案速度不等于关系修复速度。</x:v>
      </x:c>
      <x:c r="Y116" s="72" t="str">
        <x:v>提出多个选择，再由双方比较和决定。</x:v>
      </x:c>
      <x:c r="Z11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16" s="72" t="str">
        <x:v>中</x:v>
      </x:c>
      <x:c r="AB116" s="72" t="str">
        <x:v>待验证</x:v>
      </x:c>
      <x:c r="AC116" s="72" t="str"/>
      <x:c r="AD116" s="72" t="str">
        <x:v>provisional=true; dimension=FQ06; state=F02</x:v>
      </x:c>
      <x:c r="AE116" s="73" t="str">
        <x:v>0.6</x:v>
      </x:c>
    </x:row>
    <x:row r="117">
      <x:c r="A117" s="71" t="str">
        <x:v>M3-CONFLICT-113</x:v>
      </x:c>
      <x:c r="B117" s="72" t="str">
        <x:v>FQ06 解决方案生成｜F03 先试后调</x:v>
      </x:c>
      <x:c r="C117" s="72" t="str">
        <x:v>L2 冲突过程维度</x:v>
      </x:c>
      <x:c r="D117" s="72" t="str">
        <x:v>CONFLICT-过程维度</x:v>
      </x:c>
      <x:c r="E117" s="72" t="str">
        <x:v>通用</x:v>
      </x:c>
      <x:c r="F117" s="72" t="str">
        <x:v>维度状态</x:v>
      </x:c>
      <x:c r="G117" s="72" t="str">
        <x:v>FQ06</x:v>
      </x:c>
      <x:c r="H117" s="72" t="str"/>
      <x:c r="I117" s="72" t="str">
        <x:v>至少两类独立证据支持“先试后调”，或一类可靠近位信号与重复案例行为一致。</x:v>
      </x:c>
      <x:c r="J117" s="72" t="str">
        <x:v>基础信号未定；真合化后原信号已失效；只有单一弱远争议信号；或该结论会越界到M4风险、M5适配。</x:v>
      </x:c>
      <x:c r="K117" s="72" t="str">
        <x:v>由共享基础引擎与M3-STATE修正；日主承载只修正冲突处理的可执行性，不直接等于强硬或软弱。</x:v>
      </x:c>
      <x:c r="L117" s="72" t="str">
        <x:v>不限定；夫妻星只在责任、行动、投入等冲突议题中参与接口，不作为CONFLICT唯一主轴。</x:v>
      </x:c>
      <x:c r="M117" s="72" t="str">
        <x:v>由M3-BASE、日支主气及宫位动态提供；不得把日支直接写成配偶性格。</x:v>
      </x:c>
      <x:c r="N117" s="72" t="str">
        <x:v>无／待CONFLICT顺序与路径规则组合</x:v>
      </x:c>
      <x:c r="O117" s="72" t="str">
        <x:v>日柱与日支近位优先；全局有效独立信号可作次通道。</x:v>
      </x:c>
      <x:c r="P117" s="72" t="str">
        <x:v>由共享基础引擎判定</x:v>
      </x:c>
      <x:c r="Q117" s="72" t="str">
        <x:v>由共享基础引擎判定</x:v>
      </x:c>
      <x:c r="R117" s="72" t="str">
        <x:v>喜忌不直接等于冲突方式好坏；只修正调用顺畅度、资源压力和状态切换。</x:v>
      </x:c>
      <x:c r="S117" s="72" t="str">
        <x:v>原十神性质有效；真合化成立时按化神所属功能系统重建。</x:v>
      </x:c>
      <x:c r="T117" s="72" t="str">
        <x:v>由共享基础引擎判定</x:v>
      </x:c>
      <x:c r="U117" s="72" t="str">
        <x:v>62</x:v>
      </x:c>
      <x:c r="V117" s="72" t="str">
        <x:v>方案 +5</x:v>
      </x:c>
      <x:c r="W117" s="72" t="str">
        <x:v>solution_style</x:v>
      </x:c>
      <x:c r="X117" s="72" t="str">
        <x:v>解决方案生成用于区分用户在分歧处理过程中的具体顺序。方案速度不等于关系修复速度。</x:v>
      </x:c>
      <x:c r="Y117" s="72" t="str">
        <x:v>先做一个可逆的小调整，再根据结果修订。</x:v>
      </x:c>
      <x:c r="Z11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17" s="72" t="str">
        <x:v>中</x:v>
      </x:c>
      <x:c r="AB117" s="72" t="str">
        <x:v>待验证</x:v>
      </x:c>
      <x:c r="AC117" s="72" t="str"/>
      <x:c r="AD117" s="72" t="str">
        <x:v>provisional=true; dimension=FQ06; state=F03</x:v>
      </x:c>
      <x:c r="AE117" s="73" t="str">
        <x:v>0.6</x:v>
      </x:c>
    </x:row>
    <x:row r="118">
      <x:c r="A118" s="71" t="str">
        <x:v>M3-CONFLICT-114</x:v>
      </x:c>
      <x:c r="B118" s="72" t="str">
        <x:v>FQ06 解决方案生成｜F04 方案未定</x:v>
      </x:c>
      <x:c r="C118" s="72" t="str">
        <x:v>L2 冲突过程维度</x:v>
      </x:c>
      <x:c r="D118" s="72" t="str">
        <x:v>CONFLICT-过程维度</x:v>
      </x:c>
      <x:c r="E118" s="72" t="str">
        <x:v>通用</x:v>
      </x:c>
      <x:c r="F118" s="72" t="str">
        <x:v>维度状态</x:v>
      </x:c>
      <x:c r="G118" s="72" t="str">
        <x:v>FQ06</x:v>
      </x:c>
      <x:c r="H118" s="72" t="str"/>
      <x:c r="I118" s="72" t="str">
        <x:v>至少两类独立证据支持“方案未定”，或一类可靠近位信号与重复案例行为一致。</x:v>
      </x:c>
      <x:c r="J118" s="72" t="str">
        <x:v>基础信号未定；真合化后原信号已失效；只有单一弱远争议信号；或该结论会越界到M4风险、M5适配。</x:v>
      </x:c>
      <x:c r="K118" s="72" t="str">
        <x:v>由共享基础引擎与M3-STATE修正；日主承载只修正冲突处理的可执行性，不直接等于强硬或软弱。</x:v>
      </x:c>
      <x:c r="L118" s="72" t="str">
        <x:v>不限定；夫妻星只在责任、行动、投入等冲突议题中参与接口，不作为CONFLICT唯一主轴。</x:v>
      </x:c>
      <x:c r="M118" s="72" t="str">
        <x:v>由M3-BASE、日支主气及宫位动态提供；不得把日支直接写成配偶性格。</x:v>
      </x:c>
      <x:c r="N118" s="72" t="str">
        <x:v>无／待CONFLICT顺序与路径规则组合</x:v>
      </x:c>
      <x:c r="O118" s="72" t="str">
        <x:v>日柱与日支近位优先；全局有效独立信号可作次通道。</x:v>
      </x:c>
      <x:c r="P118" s="72" t="str">
        <x:v>由共享基础引擎判定</x:v>
      </x:c>
      <x:c r="Q118" s="72" t="str">
        <x:v>由共享基础引擎判定</x:v>
      </x:c>
      <x:c r="R118" s="72" t="str">
        <x:v>喜忌不直接等于冲突方式好坏；只修正调用顺畅度、资源压力和状态切换。</x:v>
      </x:c>
      <x:c r="S118" s="72" t="str">
        <x:v>原十神性质有效；真合化成立时按化神所属功能系统重建。</x:v>
      </x:c>
      <x:c r="T118" s="72" t="str">
        <x:v>由共享基础引擎判定</x:v>
      </x:c>
      <x:c r="U118" s="72" t="str">
        <x:v>62</x:v>
      </x:c>
      <x:c r="V118" s="72" t="str">
        <x:v>不加分；降置信</x:v>
      </x:c>
      <x:c r="W118" s="72" t="str">
        <x:v>solution_style</x:v>
      </x:c>
      <x:c r="X118" s="72" t="str">
        <x:v>解决方案生成用于区分用户在分歧处理过程中的具体顺序。方案速度不等于关系修复速度。</x:v>
      </x:c>
      <x:c r="Y118" s="72" t="str">
        <x:v>目前只能说明需要解决，无法固定方案风格。</x:v>
      </x:c>
      <x:c r="Z11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18" s="72" t="str">
        <x:v>中</x:v>
      </x:c>
      <x:c r="AB118" s="72" t="str">
        <x:v>待验证</x:v>
      </x:c>
      <x:c r="AC118" s="72" t="str"/>
      <x:c r="AD118" s="72" t="str">
        <x:v>provisional=true; dimension=FQ06; state=F04</x:v>
      </x:c>
      <x:c r="AE118" s="73" t="str">
        <x:v>0.6</x:v>
      </x:c>
    </x:row>
    <x:row r="119">
      <x:c r="A119" s="71" t="str">
        <x:v>M3-CONFLICT-115</x:v>
      </x:c>
      <x:c r="B119" s="72" t="str">
        <x:v>FQ07 暂停使用方式｜G01 短暂停顿</x:v>
      </x:c>
      <x:c r="C119" s="72" t="str">
        <x:v>L2 冲突过程维度</x:v>
      </x:c>
      <x:c r="D119" s="72" t="str">
        <x:v>CONFLICT-过程维度</x:v>
      </x:c>
      <x:c r="E119" s="72" t="str">
        <x:v>通用</x:v>
      </x:c>
      <x:c r="F119" s="72" t="str">
        <x:v>维度状态</x:v>
      </x:c>
      <x:c r="G119" s="72" t="str">
        <x:v>FQ07</x:v>
      </x:c>
      <x:c r="H119" s="72" t="str"/>
      <x:c r="I119" s="72" t="str">
        <x:v>至少两类独立证据支持“短暂停顿”，或一类可靠近位信号与重复案例行为一致。</x:v>
      </x:c>
      <x:c r="J119" s="72" t="str">
        <x:v>基础信号未定；真合化后原信号已失效；只有单一弱远争议信号；或该结论会越界到M4风险、M5适配。</x:v>
      </x:c>
      <x:c r="K119" s="72" t="str">
        <x:v>由共享基础引擎与M3-STATE修正；日主承载只修正冲突处理的可执行性，不直接等于强硬或软弱。</x:v>
      </x:c>
      <x:c r="L119" s="72" t="str">
        <x:v>不限定；夫妻星只在责任、行动、投入等冲突议题中参与接口，不作为CONFLICT唯一主轴。</x:v>
      </x:c>
      <x:c r="M119" s="72" t="str">
        <x:v>由M3-BASE、日支主气及宫位动态提供；不得把日支直接写成配偶性格。</x:v>
      </x:c>
      <x:c r="N119" s="72" t="str">
        <x:v>无／待CONFLICT顺序与路径规则组合</x:v>
      </x:c>
      <x:c r="O119" s="72" t="str">
        <x:v>日柱与日支近位优先；全局有效独立信号可作次通道。</x:v>
      </x:c>
      <x:c r="P119" s="72" t="str">
        <x:v>由共享基础引擎判定</x:v>
      </x:c>
      <x:c r="Q119" s="72" t="str">
        <x:v>由共享基础引擎判定</x:v>
      </x:c>
      <x:c r="R119" s="72" t="str">
        <x:v>喜忌不直接等于冲突方式好坏；只修正调用顺畅度、资源压力和状态切换。</x:v>
      </x:c>
      <x:c r="S119" s="72" t="str">
        <x:v>原十神性质有效；真合化成立时按化神所属功能系统重建。</x:v>
      </x:c>
      <x:c r="T119" s="72" t="str">
        <x:v>由共享基础引擎判定</x:v>
      </x:c>
      <x:c r="U119" s="72" t="str">
        <x:v>62</x:v>
      </x:c>
      <x:c r="V119" s="72" t="str">
        <x:v>暂停 +5</x:v>
      </x:c>
      <x:c r="W119" s="72" t="str">
        <x:v>pause_style</x:v>
      </x:c>
      <x:c r="X119" s="72" t="str">
        <x:v>暂停使用方式用于区分用户在分歧处理过程中的具体顺序。暂停必须包含目的和回归路径，不能直接写成冷战。</x:v>
      </x:c>
      <x:c r="Y119" s="72" t="str">
        <x:v>短时间整理或降温，随后回到原问题。</x:v>
      </x:c>
      <x:c r="Z11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19" s="72" t="str">
        <x:v>中</x:v>
      </x:c>
      <x:c r="AB119" s="72" t="str">
        <x:v>待验证</x:v>
      </x:c>
      <x:c r="AC119" s="72" t="str"/>
      <x:c r="AD119" s="72" t="str">
        <x:v>provisional=true; dimension=FQ07; state=G01</x:v>
      </x:c>
      <x:c r="AE119" s="73" t="str">
        <x:v>0.6</x:v>
      </x:c>
    </x:row>
    <x:row r="120">
      <x:c r="A120" s="71" t="str">
        <x:v>M3-CONFLICT-116</x:v>
      </x:c>
      <x:c r="B120" s="72" t="str">
        <x:v>FQ07 暂停使用方式｜G02 任务处理后回归</x:v>
      </x:c>
      <x:c r="C120" s="72" t="str">
        <x:v>L2 冲突过程维度</x:v>
      </x:c>
      <x:c r="D120" s="72" t="str">
        <x:v>CONFLICT-过程维度</x:v>
      </x:c>
      <x:c r="E120" s="72" t="str">
        <x:v>通用</x:v>
      </x:c>
      <x:c r="F120" s="72" t="str">
        <x:v>维度状态</x:v>
      </x:c>
      <x:c r="G120" s="72" t="str">
        <x:v>FQ07</x:v>
      </x:c>
      <x:c r="H120" s="72" t="str"/>
      <x:c r="I120" s="72" t="str">
        <x:v>至少两类独立证据支持“任务处理后回归”，或一类可靠近位信号与重复案例行为一致。</x:v>
      </x:c>
      <x:c r="J120" s="72" t="str">
        <x:v>基础信号未定；真合化后原信号已失效；只有单一弱远争议信号；或该结论会越界到M4风险、M5适配。</x:v>
      </x:c>
      <x:c r="K120" s="72" t="str">
        <x:v>由共享基础引擎与M3-STATE修正；日主承载只修正冲突处理的可执行性，不直接等于强硬或软弱。</x:v>
      </x:c>
      <x:c r="L120" s="72" t="str">
        <x:v>不限定；夫妻星只在责任、行动、投入等冲突议题中参与接口，不作为CONFLICT唯一主轴。</x:v>
      </x:c>
      <x:c r="M120" s="72" t="str">
        <x:v>由M3-BASE、日支主气及宫位动态提供；不得把日支直接写成配偶性格。</x:v>
      </x:c>
      <x:c r="N120" s="72" t="str">
        <x:v>无／待CONFLICT顺序与路径规则组合</x:v>
      </x:c>
      <x:c r="O120" s="72" t="str">
        <x:v>日柱与日支近位优先；全局有效独立信号可作次通道。</x:v>
      </x:c>
      <x:c r="P120" s="72" t="str">
        <x:v>由共享基础引擎判定</x:v>
      </x:c>
      <x:c r="Q120" s="72" t="str">
        <x:v>由共享基础引擎判定</x:v>
      </x:c>
      <x:c r="R120" s="72" t="str">
        <x:v>喜忌不直接等于冲突方式好坏；只修正调用顺畅度、资源压力和状态切换。</x:v>
      </x:c>
      <x:c r="S120" s="72" t="str">
        <x:v>原十神性质有效；真合化成立时按化神所属功能系统重建。</x:v>
      </x:c>
      <x:c r="T120" s="72" t="str">
        <x:v>由共享基础引擎判定</x:v>
      </x:c>
      <x:c r="U120" s="72" t="str">
        <x:v>62</x:v>
      </x:c>
      <x:c r="V120" s="72" t="str">
        <x:v>暂停 +5</x:v>
      </x:c>
      <x:c r="W120" s="72" t="str">
        <x:v>pause_style</x:v>
      </x:c>
      <x:c r="X120" s="72" t="str">
        <x:v>暂停使用方式用于区分用户在分歧处理过程中的具体顺序。暂停必须包含目的和回归路径，不能直接写成冷战。</x:v>
      </x:c>
      <x:c r="Y120" s="72" t="str">
        <x:v>先处理紧急现实或行动部分，再回到沟通。</x:v>
      </x:c>
      <x:c r="Z12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20" s="72" t="str">
        <x:v>中</x:v>
      </x:c>
      <x:c r="AB120" s="72" t="str">
        <x:v>待验证</x:v>
      </x:c>
      <x:c r="AC120" s="72" t="str"/>
      <x:c r="AD120" s="72" t="str">
        <x:v>provisional=true; dimension=FQ07; state=G02</x:v>
      </x:c>
      <x:c r="AE120" s="73" t="str">
        <x:v>0.6</x:v>
      </x:c>
    </x:row>
    <x:row r="121">
      <x:c r="A121" s="71" t="str">
        <x:v>M3-CONFLICT-117</x:v>
      </x:c>
      <x:c r="B121" s="72" t="str">
        <x:v>FQ07 暂停使用方式｜G03 安全恢复后回归</x:v>
      </x:c>
      <x:c r="C121" s="72" t="str">
        <x:v>L2 冲突过程维度</x:v>
      </x:c>
      <x:c r="D121" s="72" t="str">
        <x:v>CONFLICT-过程维度</x:v>
      </x:c>
      <x:c r="E121" s="72" t="str">
        <x:v>通用</x:v>
      </x:c>
      <x:c r="F121" s="72" t="str">
        <x:v>维度状态</x:v>
      </x:c>
      <x:c r="G121" s="72" t="str">
        <x:v>FQ07</x:v>
      </x:c>
      <x:c r="H121" s="72" t="str"/>
      <x:c r="I121" s="72" t="str">
        <x:v>至少两类独立证据支持“安全恢复后回归”，或一类可靠近位信号与重复案例行为一致。</x:v>
      </x:c>
      <x:c r="J121" s="72" t="str">
        <x:v>基础信号未定；真合化后原信号已失效；只有单一弱远争议信号；或该结论会越界到M4风险、M5适配。</x:v>
      </x:c>
      <x:c r="K121" s="72" t="str">
        <x:v>由共享基础引擎与M3-STATE修正；日主承载只修正冲突处理的可执行性，不直接等于强硬或软弱。</x:v>
      </x:c>
      <x:c r="L121" s="72" t="str">
        <x:v>不限定；夫妻星只在责任、行动、投入等冲突议题中参与接口，不作为CONFLICT唯一主轴。</x:v>
      </x:c>
      <x:c r="M121" s="72" t="str">
        <x:v>由M3-BASE、日支主气及宫位动态提供；不得把日支直接写成配偶性格。</x:v>
      </x:c>
      <x:c r="N121" s="72" t="str">
        <x:v>无／待CONFLICT顺序与路径规则组合</x:v>
      </x:c>
      <x:c r="O121" s="72" t="str">
        <x:v>日柱与日支近位优先；全局有效独立信号可作次通道。</x:v>
      </x:c>
      <x:c r="P121" s="72" t="str">
        <x:v>由共享基础引擎判定</x:v>
      </x:c>
      <x:c r="Q121" s="72" t="str">
        <x:v>由共享基础引擎判定</x:v>
      </x:c>
      <x:c r="R121" s="72" t="str">
        <x:v>喜忌不直接等于冲突方式好坏；只修正调用顺畅度、资源压力和状态切换。</x:v>
      </x:c>
      <x:c r="S121" s="72" t="str">
        <x:v>原十神性质有效；真合化成立时按化神所属功能系统重建。</x:v>
      </x:c>
      <x:c r="T121" s="72" t="str">
        <x:v>由共享基础引擎判定</x:v>
      </x:c>
      <x:c r="U121" s="72" t="str">
        <x:v>62</x:v>
      </x:c>
      <x:c r="V121" s="72" t="str">
        <x:v>暂停 +5</x:v>
      </x:c>
      <x:c r="W121" s="72" t="str">
        <x:v>pause_style</x:v>
      </x:c>
      <x:c r="X121" s="72" t="str">
        <x:v>暂停使用方式用于区分用户在分歧处理过程中的具体顺序。暂停必须包含目的和回归路径，不能直接写成冷战。</x:v>
      </x:c>
      <x:c r="Y121" s="72" t="str">
        <x:v>先恢复被理解、可交流或情绪稳定，再继续。</x:v>
      </x:c>
      <x:c r="Z12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21" s="72" t="str">
        <x:v>中</x:v>
      </x:c>
      <x:c r="AB121" s="72" t="str">
        <x:v>待验证</x:v>
      </x:c>
      <x:c r="AC121" s="72" t="str"/>
      <x:c r="AD121" s="72" t="str">
        <x:v>provisional=true; dimension=FQ07; state=G03</x:v>
      </x:c>
      <x:c r="AE121" s="73" t="str">
        <x:v>0.6</x:v>
      </x:c>
    </x:row>
    <x:row r="122">
      <x:c r="A122" s="71" t="str">
        <x:v>M3-CONFLICT-118</x:v>
      </x:c>
      <x:c r="B122" s="72" t="str">
        <x:v>FQ07 暂停使用方式｜G04 暂停未定</x:v>
      </x:c>
      <x:c r="C122" s="72" t="str">
        <x:v>L2 冲突过程维度</x:v>
      </x:c>
      <x:c r="D122" s="72" t="str">
        <x:v>CONFLICT-过程维度</x:v>
      </x:c>
      <x:c r="E122" s="72" t="str">
        <x:v>通用</x:v>
      </x:c>
      <x:c r="F122" s="72" t="str">
        <x:v>维度状态</x:v>
      </x:c>
      <x:c r="G122" s="72" t="str">
        <x:v>FQ07</x:v>
      </x:c>
      <x:c r="H122" s="72" t="str"/>
      <x:c r="I122" s="72" t="str">
        <x:v>至少两类独立证据支持“暂停未定”，或一类可靠近位信号与重复案例行为一致。</x:v>
      </x:c>
      <x:c r="J122" s="72" t="str">
        <x:v>基础信号未定；真合化后原信号已失效；只有单一弱远争议信号；或该结论会越界到M4风险、M5适配。</x:v>
      </x:c>
      <x:c r="K122" s="72" t="str">
        <x:v>由共享基础引擎与M3-STATE修正；日主承载只修正冲突处理的可执行性，不直接等于强硬或软弱。</x:v>
      </x:c>
      <x:c r="L122" s="72" t="str">
        <x:v>不限定；夫妻星只在责任、行动、投入等冲突议题中参与接口，不作为CONFLICT唯一主轴。</x:v>
      </x:c>
      <x:c r="M122" s="72" t="str">
        <x:v>由M3-BASE、日支主气及宫位动态提供；不得把日支直接写成配偶性格。</x:v>
      </x:c>
      <x:c r="N122" s="72" t="str">
        <x:v>无／待CONFLICT顺序与路径规则组合</x:v>
      </x:c>
      <x:c r="O122" s="72" t="str">
        <x:v>日柱与日支近位优先；全局有效独立信号可作次通道。</x:v>
      </x:c>
      <x:c r="P122" s="72" t="str">
        <x:v>由共享基础引擎判定</x:v>
      </x:c>
      <x:c r="Q122" s="72" t="str">
        <x:v>由共享基础引擎判定</x:v>
      </x:c>
      <x:c r="R122" s="72" t="str">
        <x:v>喜忌不直接等于冲突方式好坏；只修正调用顺畅度、资源压力和状态切换。</x:v>
      </x:c>
      <x:c r="S122" s="72" t="str">
        <x:v>原十神性质有效；真合化成立时按化神所属功能系统重建。</x:v>
      </x:c>
      <x:c r="T122" s="72" t="str">
        <x:v>由共享基础引擎判定</x:v>
      </x:c>
      <x:c r="U122" s="72" t="str">
        <x:v>62</x:v>
      </x:c>
      <x:c r="V122" s="72" t="str">
        <x:v>不加分；路由REPAIR</x:v>
      </x:c>
      <x:c r="W122" s="72" t="str">
        <x:v>pause_style</x:v>
      </x:c>
      <x:c r="X122" s="72" t="str">
        <x:v>暂停使用方式用于区分用户在分歧处理过程中的具体顺序。暂停必须包含目的和回归路径，不能直接写成冷战。</x:v>
      </x:c>
      <x:c r="Y122" s="72" t="str">
        <x:v>有暂停需要，但回归时间和条件仍需REPAIR判断。</x:v>
      </x:c>
      <x:c r="Z12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22" s="72" t="str">
        <x:v>中</x:v>
      </x:c>
      <x:c r="AB122" s="72" t="str">
        <x:v>待验证</x:v>
      </x:c>
      <x:c r="AC122" s="72" t="str"/>
      <x:c r="AD122" s="72" t="str">
        <x:v>provisional=true; dimension=FQ07; state=G04</x:v>
      </x:c>
      <x:c r="AE122" s="73" t="str">
        <x:v>0.6</x:v>
      </x:c>
    </x:row>
    <x:row r="123">
      <x:c r="A123" s="71" t="str">
        <x:v>M3-CONFLICT-119</x:v>
      </x:c>
      <x:c r="B123" s="72" t="str">
        <x:v>FQ08 接收对方回应｜H01 先听完整</x:v>
      </x:c>
      <x:c r="C123" s="72" t="str">
        <x:v>L2 冲突过程维度</x:v>
      </x:c>
      <x:c r="D123" s="72" t="str">
        <x:v>CONFLICT-过程维度</x:v>
      </x:c>
      <x:c r="E123" s="72" t="str">
        <x:v>通用</x:v>
      </x:c>
      <x:c r="F123" s="72" t="str">
        <x:v>维度状态</x:v>
      </x:c>
      <x:c r="G123" s="72" t="str">
        <x:v>FQ08</x:v>
      </x:c>
      <x:c r="H123" s="72" t="str"/>
      <x:c r="I123" s="72" t="str">
        <x:v>至少两类独立证据支持“先听完整”，或一类可靠近位信号与重复案例行为一致。</x:v>
      </x:c>
      <x:c r="J123" s="72" t="str">
        <x:v>基础信号未定；真合化后原信号已失效；只有单一弱远争议信号；或该结论会越界到M4风险、M5适配。</x:v>
      </x:c>
      <x:c r="K123" s="72" t="str">
        <x:v>由共享基础引擎与M3-STATE修正；日主承载只修正冲突处理的可执行性，不直接等于强硬或软弱。</x:v>
      </x:c>
      <x:c r="L123" s="72" t="str">
        <x:v>不限定；夫妻星只在责任、行动、投入等冲突议题中参与接口，不作为CONFLICT唯一主轴。</x:v>
      </x:c>
      <x:c r="M123" s="72" t="str">
        <x:v>由M3-BASE、日支主气及宫位动态提供；不得把日支直接写成配偶性格。</x:v>
      </x:c>
      <x:c r="N123" s="72" t="str">
        <x:v>无／待CONFLICT顺序与路径规则组合</x:v>
      </x:c>
      <x:c r="O123" s="72" t="str">
        <x:v>日柱与日支近位优先；全局有效独立信号可作次通道。</x:v>
      </x:c>
      <x:c r="P123" s="72" t="str">
        <x:v>由共享基础引擎判定</x:v>
      </x:c>
      <x:c r="Q123" s="72" t="str">
        <x:v>由共享基础引擎判定</x:v>
      </x:c>
      <x:c r="R123" s="72" t="str">
        <x:v>喜忌不直接等于冲突方式好坏；只修正调用顺畅度、资源压力和状态切换。</x:v>
      </x:c>
      <x:c r="S123" s="72" t="str">
        <x:v>原十神性质有效；真合化成立时按化神所属功能系统重建。</x:v>
      </x:c>
      <x:c r="T123" s="72" t="str">
        <x:v>由共享基础引擎判定</x:v>
      </x:c>
      <x:c r="U123" s="72" t="str">
        <x:v>62</x:v>
      </x:c>
      <x:c r="V123" s="72" t="str">
        <x:v>接收 +5</x:v>
      </x:c>
      <x:c r="W123" s="72" t="str">
        <x:v>response_reception</x:v>
      </x:c>
      <x:c r="X123" s="72" t="str">
        <x:v>接收对方回应用于区分用户在分歧处理过程中的具体顺序。倾听不等于认同，验证也不等于不信任。</x:v>
      </x:c>
      <x:c r="Y123" s="72" t="str">
        <x:v>先让对方把感受、事实和立场说完整，再回应。</x:v>
      </x:c>
      <x:c r="Z12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23" s="72" t="str">
        <x:v>中</x:v>
      </x:c>
      <x:c r="AB123" s="72" t="str">
        <x:v>待验证</x:v>
      </x:c>
      <x:c r="AC123" s="72" t="str"/>
      <x:c r="AD123" s="72" t="str">
        <x:v>provisional=true; dimension=FQ08; state=H01</x:v>
      </x:c>
      <x:c r="AE123" s="73" t="str">
        <x:v>0.6</x:v>
      </x:c>
    </x:row>
    <x:row r="124">
      <x:c r="A124" s="71" t="str">
        <x:v>M3-CONFLICT-120</x:v>
      </x:c>
      <x:c r="B124" s="72" t="str">
        <x:v>FQ08 接收对方回应｜H02 边听边校准</x:v>
      </x:c>
      <x:c r="C124" s="72" t="str">
        <x:v>L2 冲突过程维度</x:v>
      </x:c>
      <x:c r="D124" s="72" t="str">
        <x:v>CONFLICT-过程维度</x:v>
      </x:c>
      <x:c r="E124" s="72" t="str">
        <x:v>通用</x:v>
      </x:c>
      <x:c r="F124" s="72" t="str">
        <x:v>维度状态</x:v>
      </x:c>
      <x:c r="G124" s="72" t="str">
        <x:v>FQ08</x:v>
      </x:c>
      <x:c r="H124" s="72" t="str"/>
      <x:c r="I124" s="72" t="str">
        <x:v>至少两类独立证据支持“边听边校准”，或一类可靠近位信号与重复案例行为一致。</x:v>
      </x:c>
      <x:c r="J124" s="72" t="str">
        <x:v>基础信号未定；真合化后原信号已失效；只有单一弱远争议信号；或该结论会越界到M4风险、M5适配。</x:v>
      </x:c>
      <x:c r="K124" s="72" t="str">
        <x:v>由共享基础引擎与M3-STATE修正；日主承载只修正冲突处理的可执行性，不直接等于强硬或软弱。</x:v>
      </x:c>
      <x:c r="L124" s="72" t="str">
        <x:v>不限定；夫妻星只在责任、行动、投入等冲突议题中参与接口，不作为CONFLICT唯一主轴。</x:v>
      </x:c>
      <x:c r="M124" s="72" t="str">
        <x:v>由M3-BASE、日支主气及宫位动态提供；不得把日支直接写成配偶性格。</x:v>
      </x:c>
      <x:c r="N124" s="72" t="str">
        <x:v>无／待CONFLICT顺序与路径规则组合</x:v>
      </x:c>
      <x:c r="O124" s="72" t="str">
        <x:v>日柱与日支近位优先；全局有效独立信号可作次通道。</x:v>
      </x:c>
      <x:c r="P124" s="72" t="str">
        <x:v>由共享基础引擎判定</x:v>
      </x:c>
      <x:c r="Q124" s="72" t="str">
        <x:v>由共享基础引擎判定</x:v>
      </x:c>
      <x:c r="R124" s="72" t="str">
        <x:v>喜忌不直接等于冲突方式好坏；只修正调用顺畅度、资源压力和状态切换。</x:v>
      </x:c>
      <x:c r="S124" s="72" t="str">
        <x:v>原十神性质有效；真合化成立时按化神所属功能系统重建。</x:v>
      </x:c>
      <x:c r="T124" s="72" t="str">
        <x:v>由共享基础引擎判定</x:v>
      </x:c>
      <x:c r="U124" s="72" t="str">
        <x:v>62</x:v>
      </x:c>
      <x:c r="V124" s="72" t="str">
        <x:v>接收 +5</x:v>
      </x:c>
      <x:c r="W124" s="72" t="str">
        <x:v>response_reception</x:v>
      </x:c>
      <x:c r="X124" s="72" t="str">
        <x:v>接收对方回应用于区分用户在分歧处理过程中的具体顺序。倾听不等于认同，验证也不等于不信任。</x:v>
      </x:c>
      <x:c r="Y124" s="72" t="str">
        <x:v>在对话中即时提问、澄清和修正理解。</x:v>
      </x:c>
      <x:c r="Z12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24" s="72" t="str">
        <x:v>中</x:v>
      </x:c>
      <x:c r="AB124" s="72" t="str">
        <x:v>待验证</x:v>
      </x:c>
      <x:c r="AC124" s="72" t="str"/>
      <x:c r="AD124" s="72" t="str">
        <x:v>provisional=true; dimension=FQ08; state=H02</x:v>
      </x:c>
      <x:c r="AE124" s="73" t="str">
        <x:v>0.6</x:v>
      </x:c>
    </x:row>
    <x:row r="125">
      <x:c r="A125" s="71" t="str">
        <x:v>M3-CONFLICT-121</x:v>
      </x:c>
      <x:c r="B125" s="72" t="str">
        <x:v>FQ08 接收对方回应｜H03 先验证事实</x:v>
      </x:c>
      <x:c r="C125" s="72" t="str">
        <x:v>L2 冲突过程维度</x:v>
      </x:c>
      <x:c r="D125" s="72" t="str">
        <x:v>CONFLICT-过程维度</x:v>
      </x:c>
      <x:c r="E125" s="72" t="str">
        <x:v>通用</x:v>
      </x:c>
      <x:c r="F125" s="72" t="str">
        <x:v>维度状态</x:v>
      </x:c>
      <x:c r="G125" s="72" t="str">
        <x:v>FQ08</x:v>
      </x:c>
      <x:c r="H125" s="72" t="str"/>
      <x:c r="I125" s="72" t="str">
        <x:v>至少两类独立证据支持“先验证事实”，或一类可靠近位信号与重复案例行为一致。</x:v>
      </x:c>
      <x:c r="J125" s="72" t="str">
        <x:v>基础信号未定；真合化后原信号已失效；只有单一弱远争议信号；或该结论会越界到M4风险、M5适配。</x:v>
      </x:c>
      <x:c r="K125" s="72" t="str">
        <x:v>由共享基础引擎与M3-STATE修正；日主承载只修正冲突处理的可执行性，不直接等于强硬或软弱。</x:v>
      </x:c>
      <x:c r="L125" s="72" t="str">
        <x:v>不限定；夫妻星只在责任、行动、投入等冲突议题中参与接口，不作为CONFLICT唯一主轴。</x:v>
      </x:c>
      <x:c r="M125" s="72" t="str">
        <x:v>由M3-BASE、日支主气及宫位动态提供；不得把日支直接写成配偶性格。</x:v>
      </x:c>
      <x:c r="N125" s="72" t="str">
        <x:v>无／待CONFLICT顺序与路径规则组合</x:v>
      </x:c>
      <x:c r="O125" s="72" t="str">
        <x:v>日柱与日支近位优先；全局有效独立信号可作次通道。</x:v>
      </x:c>
      <x:c r="P125" s="72" t="str">
        <x:v>由共享基础引擎判定</x:v>
      </x:c>
      <x:c r="Q125" s="72" t="str">
        <x:v>由共享基础引擎判定</x:v>
      </x:c>
      <x:c r="R125" s="72" t="str">
        <x:v>喜忌不直接等于冲突方式好坏；只修正调用顺畅度、资源压力和状态切换。</x:v>
      </x:c>
      <x:c r="S125" s="72" t="str">
        <x:v>原十神性质有效；真合化成立时按化神所属功能系统重建。</x:v>
      </x:c>
      <x:c r="T125" s="72" t="str">
        <x:v>由共享基础引擎判定</x:v>
      </x:c>
      <x:c r="U125" s="72" t="str">
        <x:v>62</x:v>
      </x:c>
      <x:c r="V125" s="72" t="str">
        <x:v>接收 +5</x:v>
      </x:c>
      <x:c r="W125" s="72" t="str">
        <x:v>response_reception</x:v>
      </x:c>
      <x:c r="X125" s="72" t="str">
        <x:v>接收对方回应用于区分用户在分歧处理过程中的具体顺序。倾听不等于认同，验证也不等于不信任。</x:v>
      </x:c>
      <x:c r="Y125" s="72" t="str">
        <x:v>先核对具体行为、安排或证据，再接收解释。</x:v>
      </x:c>
      <x:c r="Z12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25" s="72" t="str">
        <x:v>中</x:v>
      </x:c>
      <x:c r="AB125" s="72" t="str">
        <x:v>待验证</x:v>
      </x:c>
      <x:c r="AC125" s="72" t="str"/>
      <x:c r="AD125" s="72" t="str">
        <x:v>provisional=true; dimension=FQ08; state=H03</x:v>
      </x:c>
      <x:c r="AE125" s="73" t="str">
        <x:v>0.6</x:v>
      </x:c>
    </x:row>
    <x:row r="126">
      <x:c r="A126" s="71" t="str">
        <x:v>M3-CONFLICT-122</x:v>
      </x:c>
      <x:c r="B126" s="72" t="str">
        <x:v>FQ08 接收对方回应｜H04 接收未定</x:v>
      </x:c>
      <x:c r="C126" s="72" t="str">
        <x:v>L2 冲突过程维度</x:v>
      </x:c>
      <x:c r="D126" s="72" t="str">
        <x:v>CONFLICT-过程维度</x:v>
      </x:c>
      <x:c r="E126" s="72" t="str">
        <x:v>通用</x:v>
      </x:c>
      <x:c r="F126" s="72" t="str">
        <x:v>维度状态</x:v>
      </x:c>
      <x:c r="G126" s="72" t="str">
        <x:v>FQ08</x:v>
      </x:c>
      <x:c r="H126" s="72" t="str"/>
      <x:c r="I126" s="72" t="str">
        <x:v>至少两类独立证据支持“接收未定”，或一类可靠近位信号与重复案例行为一致。</x:v>
      </x:c>
      <x:c r="J126" s="72" t="str">
        <x:v>基础信号未定；真合化后原信号已失效；只有单一弱远争议信号；或该结论会越界到M4风险、M5适配。</x:v>
      </x:c>
      <x:c r="K126" s="72" t="str">
        <x:v>由共享基础引擎与M3-STATE修正；日主承载只修正冲突处理的可执行性，不直接等于强硬或软弱。</x:v>
      </x:c>
      <x:c r="L126" s="72" t="str">
        <x:v>不限定；夫妻星只在责任、行动、投入等冲突议题中参与接口，不作为CONFLICT唯一主轴。</x:v>
      </x:c>
      <x:c r="M126" s="72" t="str">
        <x:v>由M3-BASE、日支主气及宫位动态提供；不得把日支直接写成配偶性格。</x:v>
      </x:c>
      <x:c r="N126" s="72" t="str">
        <x:v>无／待CONFLICT顺序与路径规则组合</x:v>
      </x:c>
      <x:c r="O126" s="72" t="str">
        <x:v>日柱与日支近位优先；全局有效独立信号可作次通道。</x:v>
      </x:c>
      <x:c r="P126" s="72" t="str">
        <x:v>由共享基础引擎判定</x:v>
      </x:c>
      <x:c r="Q126" s="72" t="str">
        <x:v>由共享基础引擎判定</x:v>
      </x:c>
      <x:c r="R126" s="72" t="str">
        <x:v>喜忌不直接等于冲突方式好坏；只修正调用顺畅度、资源压力和状态切换。</x:v>
      </x:c>
      <x:c r="S126" s="72" t="str">
        <x:v>原十神性质有效；真合化成立时按化神所属功能系统重建。</x:v>
      </x:c>
      <x:c r="T126" s="72" t="str">
        <x:v>由共享基础引擎判定</x:v>
      </x:c>
      <x:c r="U126" s="72" t="str">
        <x:v>62</x:v>
      </x:c>
      <x:c r="V126" s="72" t="str">
        <x:v>不加分；降置信</x:v>
      </x:c>
      <x:c r="W126" s="72" t="str">
        <x:v>response_reception</x:v>
      </x:c>
      <x:c r="X126" s="72" t="str">
        <x:v>接收对方回应用于区分用户在分歧处理过程中的具体顺序。倾听不等于认同，验证也不等于不信任。</x:v>
      </x:c>
      <x:c r="Y126" s="72" t="str">
        <x:v>不同议题会使用不同接收方式，现有证据不足。</x:v>
      </x:c>
      <x:c r="Z12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26" s="72" t="str">
        <x:v>中</x:v>
      </x:c>
      <x:c r="AB126" s="72" t="str">
        <x:v>待验证</x:v>
      </x:c>
      <x:c r="AC126" s="72" t="str"/>
      <x:c r="AD126" s="72" t="str">
        <x:v>provisional=true; dimension=FQ08; state=H04</x:v>
      </x:c>
      <x:c r="AE126" s="73" t="str">
        <x:v>0.6</x:v>
      </x:c>
    </x:row>
    <x:row r="127">
      <x:c r="A127" s="71" t="str">
        <x:v>M3-CONFLICT-123</x:v>
      </x:c>
      <x:c r="B127" s="72" t="str">
        <x:v>FQ09 分歧阶段结束条件｜I01 事实说清</x:v>
      </x:c>
      <x:c r="C127" s="72" t="str">
        <x:v>L2 冲突过程维度</x:v>
      </x:c>
      <x:c r="D127" s="72" t="str">
        <x:v>CONFLICT-过程维度</x:v>
      </x:c>
      <x:c r="E127" s="72" t="str">
        <x:v>通用</x:v>
      </x:c>
      <x:c r="F127" s="72" t="str">
        <x:v>维度状态</x:v>
      </x:c>
      <x:c r="G127" s="72" t="str">
        <x:v>FQ09</x:v>
      </x:c>
      <x:c r="H127" s="72" t="str"/>
      <x:c r="I127" s="72" t="str">
        <x:v>至少两类独立证据支持“事实说清”，或一类可靠近位信号与重复案例行为一致。</x:v>
      </x:c>
      <x:c r="J127" s="72" t="str">
        <x:v>基础信号未定；真合化后原信号已失效；只有单一弱远争议信号；或该结论会越界到M4风险、M5适配。</x:v>
      </x:c>
      <x:c r="K127" s="72" t="str">
        <x:v>由共享基础引擎与M3-STATE修正；日主承载只修正冲突处理的可执行性，不直接等于强硬或软弱。</x:v>
      </x:c>
      <x:c r="L127" s="72" t="str">
        <x:v>不限定；夫妻星只在责任、行动、投入等冲突议题中参与接口，不作为CONFLICT唯一主轴。</x:v>
      </x:c>
      <x:c r="M127" s="72" t="str">
        <x:v>由M3-BASE、日支主气及宫位动态提供；不得把日支直接写成配偶性格。</x:v>
      </x:c>
      <x:c r="N127" s="72" t="str">
        <x:v>无／待CONFLICT顺序与路径规则组合</x:v>
      </x:c>
      <x:c r="O127" s="72" t="str">
        <x:v>日柱与日支近位优先；全局有效独立信号可作次通道。</x:v>
      </x:c>
      <x:c r="P127" s="72" t="str">
        <x:v>由共享基础引擎判定</x:v>
      </x:c>
      <x:c r="Q127" s="72" t="str">
        <x:v>由共享基础引擎判定</x:v>
      </x:c>
      <x:c r="R127" s="72" t="str">
        <x:v>喜忌不直接等于冲突方式好坏；只修正调用顺畅度、资源压力和状态切换。</x:v>
      </x:c>
      <x:c r="S127" s="72" t="str">
        <x:v>原十神性质有效；真合化成立时按化神所属功能系统重建。</x:v>
      </x:c>
      <x:c r="T127" s="72" t="str">
        <x:v>由共享基础引擎判定</x:v>
      </x:c>
      <x:c r="U127" s="72" t="str">
        <x:v>62</x:v>
      </x:c>
      <x:c r="V127" s="72" t="str">
        <x:v>结束 +5</x:v>
      </x:c>
      <x:c r="W127" s="72" t="str">
        <x:v>conflict_end_condition</x:v>
      </x:c>
      <x:c r="X127" s="72" t="str">
        <x:v>分歧阶段结束条件用于区分用户在分歧处理过程中的具体顺序。阶段结束不等于关系已经修复或情绪完全恢复。</x:v>
      </x:c>
      <x:c r="Y127" s="72" t="str">
        <x:v>核心事实、定义和双方观点已经被准确理解。</x:v>
      </x:c>
      <x:c r="Z12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27" s="72" t="str">
        <x:v>中</x:v>
      </x:c>
      <x:c r="AB127" s="72" t="str">
        <x:v>待验证</x:v>
      </x:c>
      <x:c r="AC127" s="72" t="str"/>
      <x:c r="AD127" s="72" t="str">
        <x:v>provisional=true; dimension=FQ09; state=I01</x:v>
      </x:c>
      <x:c r="AE127" s="73" t="str">
        <x:v>0.6</x:v>
      </x:c>
    </x:row>
    <x:row r="128">
      <x:c r="A128" s="71" t="str">
        <x:v>M3-CONFLICT-124</x:v>
      </x:c>
      <x:c r="B128" s="72" t="str">
        <x:v>FQ09 分歧阶段结束条件｜I02 责任落实</x:v>
      </x:c>
      <x:c r="C128" s="72" t="str">
        <x:v>L2 冲突过程维度</x:v>
      </x:c>
      <x:c r="D128" s="72" t="str">
        <x:v>CONFLICT-过程维度</x:v>
      </x:c>
      <x:c r="E128" s="72" t="str">
        <x:v>通用</x:v>
      </x:c>
      <x:c r="F128" s="72" t="str">
        <x:v>维度状态</x:v>
      </x:c>
      <x:c r="G128" s="72" t="str">
        <x:v>FQ09</x:v>
      </x:c>
      <x:c r="H128" s="72" t="str"/>
      <x:c r="I128" s="72" t="str">
        <x:v>至少两类独立证据支持“责任落实”，或一类可靠近位信号与重复案例行为一致。</x:v>
      </x:c>
      <x:c r="J128" s="72" t="str">
        <x:v>基础信号未定；真合化后原信号已失效；只有单一弱远争议信号；或该结论会越界到M4风险、M5适配。</x:v>
      </x:c>
      <x:c r="K128" s="72" t="str">
        <x:v>由共享基础引擎与M3-STATE修正；日主承载只修正冲突处理的可执行性，不直接等于强硬或软弱。</x:v>
      </x:c>
      <x:c r="L128" s="72" t="str">
        <x:v>不限定；夫妻星只在责任、行动、投入等冲突议题中参与接口，不作为CONFLICT唯一主轴。</x:v>
      </x:c>
      <x:c r="M128" s="72" t="str">
        <x:v>由M3-BASE、日支主气及宫位动态提供；不得把日支直接写成配偶性格。</x:v>
      </x:c>
      <x:c r="N128" s="72" t="str">
        <x:v>无／待CONFLICT顺序与路径规则组合</x:v>
      </x:c>
      <x:c r="O128" s="72" t="str">
        <x:v>日柱与日支近位优先；全局有效独立信号可作次通道。</x:v>
      </x:c>
      <x:c r="P128" s="72" t="str">
        <x:v>由共享基础引擎判定</x:v>
      </x:c>
      <x:c r="Q128" s="72" t="str">
        <x:v>由共享基础引擎判定</x:v>
      </x:c>
      <x:c r="R128" s="72" t="str">
        <x:v>喜忌不直接等于冲突方式好坏；只修正调用顺畅度、资源压力和状态切换。</x:v>
      </x:c>
      <x:c r="S128" s="72" t="str">
        <x:v>原十神性质有效；真合化成立时按化神所属功能系统重建。</x:v>
      </x:c>
      <x:c r="T128" s="72" t="str">
        <x:v>由共享基础引擎判定</x:v>
      </x:c>
      <x:c r="U128" s="72" t="str">
        <x:v>62</x:v>
      </x:c>
      <x:c r="V128" s="72" t="str">
        <x:v>结束 +5</x:v>
      </x:c>
      <x:c r="W128" s="72" t="str">
        <x:v>conflict_end_condition</x:v>
      </x:c>
      <x:c r="X128" s="72" t="str">
        <x:v>分歧阶段结束条件用于区分用户在分歧处理过程中的具体顺序。阶段结束不等于关系已经修复或情绪完全恢复。</x:v>
      </x:c>
      <x:c r="Y128" s="72" t="str">
        <x:v>谁做什么、何时完成、怎样追踪已经明确。</x:v>
      </x:c>
      <x:c r="Z12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28" s="72" t="str">
        <x:v>中</x:v>
      </x:c>
      <x:c r="AB128" s="72" t="str">
        <x:v>待验证</x:v>
      </x:c>
      <x:c r="AC128" s="72" t="str"/>
      <x:c r="AD128" s="72" t="str">
        <x:v>provisional=true; dimension=FQ09; state=I02</x:v>
      </x:c>
      <x:c r="AE128" s="73" t="str">
        <x:v>0.6</x:v>
      </x:c>
    </x:row>
    <x:row r="129">
      <x:c r="A129" s="71" t="str">
        <x:v>M3-CONFLICT-125</x:v>
      </x:c>
      <x:c r="B129" s="72" t="str">
        <x:v>FQ09 分歧阶段结束条件｜I03 感受被理解</x:v>
      </x:c>
      <x:c r="C129" s="72" t="str">
        <x:v>L2 冲突过程维度</x:v>
      </x:c>
      <x:c r="D129" s="72" t="str">
        <x:v>CONFLICT-过程维度</x:v>
      </x:c>
      <x:c r="E129" s="72" t="str">
        <x:v>通用</x:v>
      </x:c>
      <x:c r="F129" s="72" t="str">
        <x:v>维度状态</x:v>
      </x:c>
      <x:c r="G129" s="72" t="str">
        <x:v>FQ09</x:v>
      </x:c>
      <x:c r="H129" s="72" t="str"/>
      <x:c r="I129" s="72" t="str">
        <x:v>至少两类独立证据支持“感受被理解”，或一类可靠近位信号与重复案例行为一致。</x:v>
      </x:c>
      <x:c r="J129" s="72" t="str">
        <x:v>基础信号未定；真合化后原信号已失效；只有单一弱远争议信号；或该结论会越界到M4风险、M5适配。</x:v>
      </x:c>
      <x:c r="K129" s="72" t="str">
        <x:v>由共享基础引擎与M3-STATE修正；日主承载只修正冲突处理的可执行性，不直接等于强硬或软弱。</x:v>
      </x:c>
      <x:c r="L129" s="72" t="str">
        <x:v>不限定；夫妻星只在责任、行动、投入等冲突议题中参与接口，不作为CONFLICT唯一主轴。</x:v>
      </x:c>
      <x:c r="M129" s="72" t="str">
        <x:v>由M3-BASE、日支主气及宫位动态提供；不得把日支直接写成配偶性格。</x:v>
      </x:c>
      <x:c r="N129" s="72" t="str">
        <x:v>无／待CONFLICT顺序与路径规则组合</x:v>
      </x:c>
      <x:c r="O129" s="72" t="str">
        <x:v>日柱与日支近位优先；全局有效独立信号可作次通道。</x:v>
      </x:c>
      <x:c r="P129" s="72" t="str">
        <x:v>由共享基础引擎判定</x:v>
      </x:c>
      <x:c r="Q129" s="72" t="str">
        <x:v>由共享基础引擎判定</x:v>
      </x:c>
      <x:c r="R129" s="72" t="str">
        <x:v>喜忌不直接等于冲突方式好坏；只修正调用顺畅度、资源压力和状态切换。</x:v>
      </x:c>
      <x:c r="S129" s="72" t="str">
        <x:v>原十神性质有效；真合化成立时按化神所属功能系统重建。</x:v>
      </x:c>
      <x:c r="T129" s="72" t="str">
        <x:v>由共享基础引擎判定</x:v>
      </x:c>
      <x:c r="U129" s="72" t="str">
        <x:v>62</x:v>
      </x:c>
      <x:c r="V129" s="72" t="str">
        <x:v>结束 +5</x:v>
      </x:c>
      <x:c r="W129" s="72" t="str">
        <x:v>conflict_end_condition</x:v>
      </x:c>
      <x:c r="X129" s="72" t="str">
        <x:v>分歧阶段结束条件用于区分用户在分歧处理过程中的具体顺序。阶段结束不等于关系已经修复或情绪完全恢复。</x:v>
      </x:c>
      <x:c r="Y129" s="72" t="str">
        <x:v>双方核心感受和背景已被听见并承接。</x:v>
      </x:c>
      <x:c r="Z12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29" s="72" t="str">
        <x:v>中</x:v>
      </x:c>
      <x:c r="AB129" s="72" t="str">
        <x:v>待验证</x:v>
      </x:c>
      <x:c r="AC129" s="72" t="str"/>
      <x:c r="AD129" s="72" t="str">
        <x:v>provisional=true; dimension=FQ09; state=I03</x:v>
      </x:c>
      <x:c r="AE129" s="73" t="str">
        <x:v>0.6</x:v>
      </x:c>
    </x:row>
    <x:row r="130">
      <x:c r="A130" s="71" t="str">
        <x:v>M3-CONFLICT-126</x:v>
      </x:c>
      <x:c r="B130" s="72" t="str">
        <x:v>FQ09 分歧阶段结束条件｜I04 暂定方案形成</x:v>
      </x:c>
      <x:c r="C130" s="72" t="str">
        <x:v>L2 冲突过程维度</x:v>
      </x:c>
      <x:c r="D130" s="72" t="str">
        <x:v>CONFLICT-过程维度</x:v>
      </x:c>
      <x:c r="E130" s="72" t="str">
        <x:v>通用</x:v>
      </x:c>
      <x:c r="F130" s="72" t="str">
        <x:v>维度状态</x:v>
      </x:c>
      <x:c r="G130" s="72" t="str">
        <x:v>FQ09</x:v>
      </x:c>
      <x:c r="H130" s="72" t="str"/>
      <x:c r="I130" s="72" t="str">
        <x:v>至少两类独立证据支持“暂定方案形成”，或一类可靠近位信号与重复案例行为一致。</x:v>
      </x:c>
      <x:c r="J130" s="72" t="str">
        <x:v>基础信号未定；真合化后原信号已失效；只有单一弱远争议信号；或该结论会越界到M4风险、M5适配。</x:v>
      </x:c>
      <x:c r="K130" s="72" t="str">
        <x:v>由共享基础引擎与M3-STATE修正；日主承载只修正冲突处理的可执行性，不直接等于强硬或软弱。</x:v>
      </x:c>
      <x:c r="L130" s="72" t="str">
        <x:v>不限定；夫妻星只在责任、行动、投入等冲突议题中参与接口，不作为CONFLICT唯一主轴。</x:v>
      </x:c>
      <x:c r="M130" s="72" t="str">
        <x:v>由M3-BASE、日支主气及宫位动态提供；不得把日支直接写成配偶性格。</x:v>
      </x:c>
      <x:c r="N130" s="72" t="str">
        <x:v>无／待CONFLICT顺序与路径规则组合</x:v>
      </x:c>
      <x:c r="O130" s="72" t="str">
        <x:v>日柱与日支近位优先；全局有效独立信号可作次通道。</x:v>
      </x:c>
      <x:c r="P130" s="72" t="str">
        <x:v>由共享基础引擎判定</x:v>
      </x:c>
      <x:c r="Q130" s="72" t="str">
        <x:v>由共享基础引擎判定</x:v>
      </x:c>
      <x:c r="R130" s="72" t="str">
        <x:v>喜忌不直接等于冲突方式好坏；只修正调用顺畅度、资源压力和状态切换。</x:v>
      </x:c>
      <x:c r="S130" s="72" t="str">
        <x:v>原十神性质有效；真合化成立时按化神所属功能系统重建。</x:v>
      </x:c>
      <x:c r="T130" s="72" t="str">
        <x:v>由共享基础引擎判定</x:v>
      </x:c>
      <x:c r="U130" s="72" t="str">
        <x:v>62</x:v>
      </x:c>
      <x:c r="V130" s="72" t="str">
        <x:v>结束 +5</x:v>
      </x:c>
      <x:c r="W130" s="72" t="str">
        <x:v>conflict_end_condition</x:v>
      </x:c>
      <x:c r="X130" s="72" t="str">
        <x:v>分歧阶段结束条件用于区分用户在分歧处理过程中的具体顺序。阶段结束不等于关系已经修复或情绪完全恢复。</x:v>
      </x:c>
      <x:c r="Y130" s="72" t="str">
        <x:v>先形成可执行的临时方案，之后再复盘。</x:v>
      </x:c>
      <x:c r="Z13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30" s="72" t="str">
        <x:v>中</x:v>
      </x:c>
      <x:c r="AB130" s="72" t="str">
        <x:v>待验证</x:v>
      </x:c>
      <x:c r="AC130" s="72" t="str"/>
      <x:c r="AD130" s="72" t="str">
        <x:v>provisional=true; dimension=FQ09; state=I04</x:v>
      </x:c>
      <x:c r="AE130" s="73" t="str">
        <x:v>0.6</x:v>
      </x:c>
    </x:row>
    <x:row r="131">
      <x:c r="A131" s="71" t="str">
        <x:v>M3-CONFLICT-127</x:v>
      </x:c>
      <x:c r="B131" s="72" t="str">
        <x:v>FQ10 复盘与再校准｜J01 即时复盘</x:v>
      </x:c>
      <x:c r="C131" s="72" t="str">
        <x:v>L2 冲突过程维度</x:v>
      </x:c>
      <x:c r="D131" s="72" t="str">
        <x:v>CONFLICT-过程维度</x:v>
      </x:c>
      <x:c r="E131" s="72" t="str">
        <x:v>通用</x:v>
      </x:c>
      <x:c r="F131" s="72" t="str">
        <x:v>维度状态</x:v>
      </x:c>
      <x:c r="G131" s="72" t="str">
        <x:v>FQ10</x:v>
      </x:c>
      <x:c r="H131" s="72" t="str"/>
      <x:c r="I131" s="72" t="str">
        <x:v>至少两类独立证据支持“即时复盘”，或一类可靠近位信号与重复案例行为一致。</x:v>
      </x:c>
      <x:c r="J131" s="72" t="str">
        <x:v>基础信号未定；真合化后原信号已失效；只有单一弱远争议信号；或该结论会越界到M4风险、M5适配。</x:v>
      </x:c>
      <x:c r="K131" s="72" t="str">
        <x:v>由共享基础引擎与M3-STATE修正；日主承载只修正冲突处理的可执行性，不直接等于强硬或软弱。</x:v>
      </x:c>
      <x:c r="L131" s="72" t="str">
        <x:v>不限定；夫妻星只在责任、行动、投入等冲突议题中参与接口，不作为CONFLICT唯一主轴。</x:v>
      </x:c>
      <x:c r="M131" s="72" t="str">
        <x:v>由M3-BASE、日支主气及宫位动态提供；不得把日支直接写成配偶性格。</x:v>
      </x:c>
      <x:c r="N131" s="72" t="str">
        <x:v>无／待CONFLICT顺序与路径规则组合</x:v>
      </x:c>
      <x:c r="O131" s="72" t="str">
        <x:v>日柱与日支近位优先；全局有效独立信号可作次通道。</x:v>
      </x:c>
      <x:c r="P131" s="72" t="str">
        <x:v>由共享基础引擎判定</x:v>
      </x:c>
      <x:c r="Q131" s="72" t="str">
        <x:v>由共享基础引擎判定</x:v>
      </x:c>
      <x:c r="R131" s="72" t="str">
        <x:v>喜忌不直接等于冲突方式好坏；只修正调用顺畅度、资源压力和状态切换。</x:v>
      </x:c>
      <x:c r="S131" s="72" t="str">
        <x:v>原十神性质有效；真合化成立时按化神所属功能系统重建。</x:v>
      </x:c>
      <x:c r="T131" s="72" t="str">
        <x:v>由共享基础引擎判定</x:v>
      </x:c>
      <x:c r="U131" s="72" t="str">
        <x:v>62</x:v>
      </x:c>
      <x:c r="V131" s="72" t="str">
        <x:v>复盘 +5</x:v>
      </x:c>
      <x:c r="W131" s="72" t="str">
        <x:v>review_style</x:v>
      </x:c>
      <x:c r="X131" s="72" t="str">
        <x:v>复盘与再校准用于区分用户在分歧处理过程中的具体顺序。复盘方式不等于反复翻旧账。</x:v>
      </x:c>
      <x:c r="Y131" s="72" t="str">
        <x:v>事情处理后较快总结问题和下次做法。</x:v>
      </x:c>
      <x:c r="Z13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31" s="72" t="str">
        <x:v>中</x:v>
      </x:c>
      <x:c r="AB131" s="72" t="str">
        <x:v>待验证</x:v>
      </x:c>
      <x:c r="AC131" s="72" t="str"/>
      <x:c r="AD131" s="72" t="str">
        <x:v>provisional=true; dimension=FQ10; state=J01</x:v>
      </x:c>
      <x:c r="AE131" s="73" t="str">
        <x:v>0.6</x:v>
      </x:c>
    </x:row>
    <x:row r="132">
      <x:c r="A132" s="71" t="str">
        <x:v>M3-CONFLICT-128</x:v>
      </x:c>
      <x:c r="B132" s="72" t="str">
        <x:v>FQ10 复盘与再校准｜J02 事后复盘</x:v>
      </x:c>
      <x:c r="C132" s="72" t="str">
        <x:v>L2 冲突过程维度</x:v>
      </x:c>
      <x:c r="D132" s="72" t="str">
        <x:v>CONFLICT-过程维度</x:v>
      </x:c>
      <x:c r="E132" s="72" t="str">
        <x:v>通用</x:v>
      </x:c>
      <x:c r="F132" s="72" t="str">
        <x:v>维度状态</x:v>
      </x:c>
      <x:c r="G132" s="72" t="str">
        <x:v>FQ10</x:v>
      </x:c>
      <x:c r="H132" s="72" t="str"/>
      <x:c r="I132" s="72" t="str">
        <x:v>至少两类独立证据支持“事后复盘”，或一类可靠近位信号与重复案例行为一致。</x:v>
      </x:c>
      <x:c r="J132" s="72" t="str">
        <x:v>基础信号未定；真合化后原信号已失效；只有单一弱远争议信号；或该结论会越界到M4风险、M5适配。</x:v>
      </x:c>
      <x:c r="K132" s="72" t="str">
        <x:v>由共享基础引擎与M3-STATE修正；日主承载只修正冲突处理的可执行性，不直接等于强硬或软弱。</x:v>
      </x:c>
      <x:c r="L132" s="72" t="str">
        <x:v>不限定；夫妻星只在责任、行动、投入等冲突议题中参与接口，不作为CONFLICT唯一主轴。</x:v>
      </x:c>
      <x:c r="M132" s="72" t="str">
        <x:v>由M3-BASE、日支主气及宫位动态提供；不得把日支直接写成配偶性格。</x:v>
      </x:c>
      <x:c r="N132" s="72" t="str">
        <x:v>无／待CONFLICT顺序与路径规则组合</x:v>
      </x:c>
      <x:c r="O132" s="72" t="str">
        <x:v>日柱与日支近位优先；全局有效独立信号可作次通道。</x:v>
      </x:c>
      <x:c r="P132" s="72" t="str">
        <x:v>由共享基础引擎判定</x:v>
      </x:c>
      <x:c r="Q132" s="72" t="str">
        <x:v>由共享基础引擎判定</x:v>
      </x:c>
      <x:c r="R132" s="72" t="str">
        <x:v>喜忌不直接等于冲突方式好坏；只修正调用顺畅度、资源压力和状态切换。</x:v>
      </x:c>
      <x:c r="S132" s="72" t="str">
        <x:v>原十神性质有效；真合化成立时按化神所属功能系统重建。</x:v>
      </x:c>
      <x:c r="T132" s="72" t="str">
        <x:v>由共享基础引擎判定</x:v>
      </x:c>
      <x:c r="U132" s="72" t="str">
        <x:v>62</x:v>
      </x:c>
      <x:c r="V132" s="72" t="str">
        <x:v>复盘 +5</x:v>
      </x:c>
      <x:c r="W132" s="72" t="str">
        <x:v>review_style</x:v>
      </x:c>
      <x:c r="X132" s="72" t="str">
        <x:v>复盘与再校准用于区分用户在分歧处理过程中的具体顺序。复盘方式不等于反复翻旧账。</x:v>
      </x:c>
      <x:c r="Y132" s="72" t="str">
        <x:v>待情绪或现实稳定以后，再回头整理。</x:v>
      </x:c>
      <x:c r="Z13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32" s="72" t="str">
        <x:v>中</x:v>
      </x:c>
      <x:c r="AB132" s="72" t="str">
        <x:v>待验证</x:v>
      </x:c>
      <x:c r="AC132" s="72" t="str"/>
      <x:c r="AD132" s="72" t="str">
        <x:v>provisional=true; dimension=FQ10; state=J02</x:v>
      </x:c>
      <x:c r="AE132" s="73" t="str">
        <x:v>0.6</x:v>
      </x:c>
    </x:row>
    <x:row r="133">
      <x:c r="A133" s="71" t="str">
        <x:v>M3-CONFLICT-129</x:v>
      </x:c>
      <x:c r="B133" s="72" t="str">
        <x:v>FQ10 复盘与再校准｜J03 事件触发复盘</x:v>
      </x:c>
      <x:c r="C133" s="72" t="str">
        <x:v>L2 冲突过程维度</x:v>
      </x:c>
      <x:c r="D133" s="72" t="str">
        <x:v>CONFLICT-过程维度</x:v>
      </x:c>
      <x:c r="E133" s="72" t="str">
        <x:v>通用</x:v>
      </x:c>
      <x:c r="F133" s="72" t="str">
        <x:v>维度状态</x:v>
      </x:c>
      <x:c r="G133" s="72" t="str">
        <x:v>FQ10</x:v>
      </x:c>
      <x:c r="H133" s="72" t="str"/>
      <x:c r="I133" s="72" t="str">
        <x:v>至少两类独立证据支持“事件触发复盘”，或一类可靠近位信号与重复案例行为一致。</x:v>
      </x:c>
      <x:c r="J133" s="72" t="str">
        <x:v>基础信号未定；真合化后原信号已失效；只有单一弱远争议信号；或该结论会越界到M4风险、M5适配。</x:v>
      </x:c>
      <x:c r="K133" s="72" t="str">
        <x:v>由共享基础引擎与M3-STATE修正；日主承载只修正冲突处理的可执行性，不直接等于强硬或软弱。</x:v>
      </x:c>
      <x:c r="L133" s="72" t="str">
        <x:v>不限定；夫妻星只在责任、行动、投入等冲突议题中参与接口，不作为CONFLICT唯一主轴。</x:v>
      </x:c>
      <x:c r="M133" s="72" t="str">
        <x:v>由M3-BASE、日支主气及宫位动态提供；不得把日支直接写成配偶性格。</x:v>
      </x:c>
      <x:c r="N133" s="72" t="str">
        <x:v>无／待CONFLICT顺序与路径规则组合</x:v>
      </x:c>
      <x:c r="O133" s="72" t="str">
        <x:v>日柱与日支近位优先；全局有效独立信号可作次通道。</x:v>
      </x:c>
      <x:c r="P133" s="72" t="str">
        <x:v>由共享基础引擎判定</x:v>
      </x:c>
      <x:c r="Q133" s="72" t="str">
        <x:v>由共享基础引擎判定</x:v>
      </x:c>
      <x:c r="R133" s="72" t="str">
        <x:v>喜忌不直接等于冲突方式好坏；只修正调用顺畅度、资源压力和状态切换。</x:v>
      </x:c>
      <x:c r="S133" s="72" t="str">
        <x:v>原十神性质有效；真合化成立时按化神所属功能系统重建。</x:v>
      </x:c>
      <x:c r="T133" s="72" t="str">
        <x:v>由共享基础引擎判定</x:v>
      </x:c>
      <x:c r="U133" s="72" t="str">
        <x:v>62</x:v>
      </x:c>
      <x:c r="V133" s="72" t="str">
        <x:v>复盘 +5</x:v>
      </x:c>
      <x:c r="W133" s="72" t="str">
        <x:v>review_style</x:v>
      </x:c>
      <x:c r="X133" s="72" t="str">
        <x:v>复盘与再校准用于区分用户在分歧处理过程中的具体顺序。复盘方式不等于反复翻旧账。</x:v>
      </x:c>
      <x:c r="Y133" s="72" t="str">
        <x:v>只有同类问题再次出现或结构变化时才重订。</x:v>
      </x:c>
      <x:c r="Z13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33" s="72" t="str">
        <x:v>中</x:v>
      </x:c>
      <x:c r="AB133" s="72" t="str">
        <x:v>待验证</x:v>
      </x:c>
      <x:c r="AC133" s="72" t="str"/>
      <x:c r="AD133" s="72" t="str">
        <x:v>provisional=true; dimension=FQ10; state=J03</x:v>
      </x:c>
      <x:c r="AE133" s="73" t="str">
        <x:v>0.6</x:v>
      </x:c>
    </x:row>
    <x:row r="134">
      <x:c r="A134" s="71" t="str">
        <x:v>M3-CONFLICT-130</x:v>
      </x:c>
      <x:c r="B134" s="72" t="str">
        <x:v>FQ10 复盘与再校准｜J04 复盘未定</x:v>
      </x:c>
      <x:c r="C134" s="72" t="str">
        <x:v>L2 冲突过程维度</x:v>
      </x:c>
      <x:c r="D134" s="72" t="str">
        <x:v>CONFLICT-过程维度</x:v>
      </x:c>
      <x:c r="E134" s="72" t="str">
        <x:v>通用</x:v>
      </x:c>
      <x:c r="F134" s="72" t="str">
        <x:v>维度状态</x:v>
      </x:c>
      <x:c r="G134" s="72" t="str">
        <x:v>FQ10</x:v>
      </x:c>
      <x:c r="H134" s="72" t="str"/>
      <x:c r="I134" s="72" t="str">
        <x:v>至少两类独立证据支持“复盘未定”，或一类可靠近位信号与重复案例行为一致。</x:v>
      </x:c>
      <x:c r="J134" s="72" t="str">
        <x:v>基础信号未定；真合化后原信号已失效；只有单一弱远争议信号；或该结论会越界到M4风险、M5适配。</x:v>
      </x:c>
      <x:c r="K134" s="72" t="str">
        <x:v>由共享基础引擎与M3-STATE修正；日主承载只修正冲突处理的可执行性，不直接等于强硬或软弱。</x:v>
      </x:c>
      <x:c r="L134" s="72" t="str">
        <x:v>不限定；夫妻星只在责任、行动、投入等冲突议题中参与接口，不作为CONFLICT唯一主轴。</x:v>
      </x:c>
      <x:c r="M134" s="72" t="str">
        <x:v>由M3-BASE、日支主气及宫位动态提供；不得把日支直接写成配偶性格。</x:v>
      </x:c>
      <x:c r="N134" s="72" t="str">
        <x:v>无／待CONFLICT顺序与路径规则组合</x:v>
      </x:c>
      <x:c r="O134" s="72" t="str">
        <x:v>日柱与日支近位优先；全局有效独立信号可作次通道。</x:v>
      </x:c>
      <x:c r="P134" s="72" t="str">
        <x:v>由共享基础引擎判定</x:v>
      </x:c>
      <x:c r="Q134" s="72" t="str">
        <x:v>由共享基础引擎判定</x:v>
      </x:c>
      <x:c r="R134" s="72" t="str">
        <x:v>喜忌不直接等于冲突方式好坏；只修正调用顺畅度、资源压力和状态切换。</x:v>
      </x:c>
      <x:c r="S134" s="72" t="str">
        <x:v>原十神性质有效；真合化成立时按化神所属功能系统重建。</x:v>
      </x:c>
      <x:c r="T134" s="72" t="str">
        <x:v>由共享基础引擎判定</x:v>
      </x:c>
      <x:c r="U134" s="72" t="str">
        <x:v>62</x:v>
      </x:c>
      <x:c r="V134" s="72" t="str">
        <x:v>不加分；降置信</x:v>
      </x:c>
      <x:c r="W134" s="72" t="str">
        <x:v>review_style</x:v>
      </x:c>
      <x:c r="X134" s="72" t="str">
        <x:v>复盘与再校准用于区分用户在分歧处理过程中的具体顺序。复盘方式不等于反复翻旧账。</x:v>
      </x:c>
      <x:c r="Y134" s="72" t="str">
        <x:v>目前看不出稳定复盘习惯，需交给REPAIR与案例。</x:v>
      </x:c>
      <x:c r="Z13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34" s="72" t="str">
        <x:v>中</x:v>
      </x:c>
      <x:c r="AB134" s="72" t="str">
        <x:v>待验证</x:v>
      </x:c>
      <x:c r="AC134" s="72" t="str"/>
      <x:c r="AD134" s="72" t="str">
        <x:v>provisional=true; dimension=FQ10; state=J04</x:v>
      </x:c>
      <x:c r="AE134" s="73" t="str">
        <x:v>0.6</x:v>
      </x:c>
    </x:row>
    <x:row r="135">
      <x:c r="A135" s="71" t="str">
        <x:v>M3-CONFLICT-131</x:v>
      </x:c>
      <x:c r="B135" s="72" t="str">
        <x:v>FP01 平等对谈型｜模式定义</x:v>
      </x:c>
      <x:c r="C135" s="72" t="str">
        <x:v>L3 冲突模式</x:v>
      </x:c>
      <x:c r="D135" s="72" t="str">
        <x:v>CONFLICT-冲突模式</x:v>
      </x:c>
      <x:c r="E135" s="72" t="str">
        <x:v>通用</x:v>
      </x:c>
      <x:c r="F135" s="72" t="str">
        <x:v>模式定义</x:v>
      </x:c>
      <x:c r="G135" s="72" t="str">
        <x:v>CF01 比肩平等立场</x:v>
      </x:c>
      <x:c r="H135" s="72" t="str"/>
      <x:c r="I135" s="72" t="str">
        <x:v>主冲突通道与至少一项过程维度共同支持平等对谈型；不得仅凭单一十神标签。</x:v>
      </x:c>
      <x:c r="J135" s="72" t="str">
        <x:v>基础信号未定；真合化后原信号已失效；只有单一弱远争议信号；或该结论会越界到M4风险、M5适配。</x:v>
      </x:c>
      <x:c r="K135" s="72" t="str">
        <x:v>由共享基础引擎与M3-STATE修正；日主承载只修正冲突处理的可执行性，不直接等于强硬或软弱。</x:v>
      </x:c>
      <x:c r="L135" s="72" t="str">
        <x:v>不限定；夫妻星只在责任、行动、投入等冲突议题中参与接口，不作为CONFLICT唯一主轴。</x:v>
      </x:c>
      <x:c r="M135" s="72" t="str">
        <x:v>由M3-BASE、日支主气及宫位动态提供；不得把日支直接写成配偶性格。</x:v>
      </x:c>
      <x:c r="N135" s="72" t="str">
        <x:v>无／待CONFLICT顺序与路径规则组合</x:v>
      </x:c>
      <x:c r="O135" s="72" t="str">
        <x:v>日柱与日支近位优先；全局有效独立信号可作次通道。</x:v>
      </x:c>
      <x:c r="P135" s="72" t="str">
        <x:v>由共享基础引擎判定</x:v>
      </x:c>
      <x:c r="Q135" s="72" t="str">
        <x:v>由共享基础引擎判定</x:v>
      </x:c>
      <x:c r="R135" s="72" t="str">
        <x:v>喜忌不直接等于冲突方式好坏；只修正调用顺畅度、资源压力和状态切换。</x:v>
      </x:c>
      <x:c r="S135" s="72" t="str">
        <x:v>原十神性质有效；真合化成立时按化神所属功能系统重建。</x:v>
      </x:c>
      <x:c r="T135" s="72" t="str">
        <x:v>由共享基础引擎判定</x:v>
      </x:c>
      <x:c r="U135" s="72" t="str">
        <x:v>58</x:v>
      </x:c>
      <x:c r="V135" s="72" t="str">
        <x:v>模式候选 +10</x:v>
      </x:c>
      <x:c r="W135" s="72" t="str">
        <x:v>conflict_pattern</x:v>
      </x:c>
      <x:c r="X135" s="72" t="str">
        <x:v>平等对谈型是对冲突处理过程的功能概括，不是人格标签。</x:v>
      </x:c>
      <x:c r="Y135" s="72" t="str">
        <x:v>你的分歧处理更接近平等对谈型：先把双方立场和权限说清，再寻找都能参与的处理方式。</x:v>
      </x:c>
      <x:c r="Z13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35" s="72" t="str">
        <x:v>中高</x:v>
      </x:c>
      <x:c r="AB135" s="72" t="str">
        <x:v>待验证</x:v>
      </x:c>
      <x:c r="AC135" s="72" t="str"/>
      <x:c r="AD135" s="72" t="str">
        <x:v>provisional=true; pattern=FP01</x:v>
      </x:c>
      <x:c r="AE135" s="73" t="str">
        <x:v>0.6</x:v>
      </x:c>
    </x:row>
    <x:row r="136">
      <x:c r="A136" s="71" t="str">
        <x:v>M3-CONFLICT-132</x:v>
      </x:c>
      <x:c r="B136" s="72" t="str">
        <x:v>FP01 平等对谈型｜成立与输出门槛</x:v>
      </x:c>
      <x:c r="C136" s="72" t="str">
        <x:v>L3 冲突模式</x:v>
      </x:c>
      <x:c r="D136" s="72" t="str">
        <x:v>CONFLICT-冲突模式</x:v>
      </x:c>
      <x:c r="E136" s="72" t="str">
        <x:v>通用</x:v>
      </x:c>
      <x:c r="F136" s="72" t="str">
        <x:v>模式门槛</x:v>
      </x:c>
      <x:c r="G136" s="72" t="str">
        <x:v>CF01 比肩平等立场</x:v>
      </x:c>
      <x:c r="H136" s="72" t="str"/>
      <x:c r="I136" s="72" t="str">
        <x:v>至少两类独立证据支持，且与第一反应、信息焦点或结束条件中的一项一致。</x:v>
      </x:c>
      <x:c r="J136" s="72" t="str">
        <x:v>基础信号未定；真合化后原信号已失效；只有单一弱远争议信号；或该结论会越界到M4风险、M5适配。</x:v>
      </x:c>
      <x:c r="K136" s="72" t="str">
        <x:v>由共享基础引擎与M3-STATE修正；日主承载只修正冲突处理的可执行性，不直接等于强硬或软弱。</x:v>
      </x:c>
      <x:c r="L136" s="72" t="str">
        <x:v>不限定；夫妻星只在责任、行动、投入等冲突议题中参与接口，不作为CONFLICT唯一主轴。</x:v>
      </x:c>
      <x:c r="M136" s="72" t="str">
        <x:v>由M3-BASE、日支主气及宫位动态提供；不得把日支直接写成配偶性格。</x:v>
      </x:c>
      <x:c r="N136" s="72" t="str">
        <x:v>无／待CONFLICT顺序与路径规则组合</x:v>
      </x:c>
      <x:c r="O136" s="72" t="str">
        <x:v>日柱与日支近位优先；全局有效独立信号可作次通道。</x:v>
      </x:c>
      <x:c r="P136" s="72" t="str">
        <x:v>由共享基础引擎判定</x:v>
      </x:c>
      <x:c r="Q136" s="72" t="str">
        <x:v>由共享基础引擎判定</x:v>
      </x:c>
      <x:c r="R136" s="72" t="str">
        <x:v>喜忌不直接等于冲突方式好坏；只修正调用顺畅度、资源压力和状态切换。</x:v>
      </x:c>
      <x:c r="S136" s="72" t="str">
        <x:v>原十神性质有效；真合化成立时按化神所属功能系统重建。</x:v>
      </x:c>
      <x:c r="T136" s="72" t="str">
        <x:v>由共享基础引擎判定</x:v>
      </x:c>
      <x:c r="U136" s="72" t="str">
        <x:v>57</x:v>
      </x:c>
      <x:c r="V136" s="72" t="str">
        <x:v>达到门槛后写入主模式；否则降为候选</x:v>
      </x:c>
      <x:c r="W136" s="72" t="str">
        <x:v>conflict_pattern</x:v>
      </x:c>
      <x:c r="X136" s="72" t="str">
        <x:v>模式只有在不同来源相互印证时才可写入正文；否则降为候选。</x:v>
      </x:c>
      <x:c r="Y136" s="72" t="str">
        <x:v>这一判断只概括你怎样处理分歧，不代表其他方式完全缺失。</x:v>
      </x:c>
      <x:c r="Z13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36" s="72" t="str">
        <x:v>中</x:v>
      </x:c>
      <x:c r="AB136" s="72" t="str">
        <x:v>待验证</x:v>
      </x:c>
      <x:c r="AC136" s="72" t="str"/>
      <x:c r="AD136" s="72" t="str">
        <x:v>provisional=true; pattern=FP01; threshold=true</x:v>
      </x:c>
      <x:c r="AE136" s="73" t="str">
        <x:v>0.6</x:v>
      </x:c>
    </x:row>
    <x:row r="137">
      <x:c r="A137" s="71" t="str">
        <x:v>M3-CONFLICT-133</x:v>
      </x:c>
      <x:c r="B137" s="72" t="str">
        <x:v>FP02 即时协作型｜模式定义</x:v>
      </x:c>
      <x:c r="C137" s="72" t="str">
        <x:v>L3 冲突模式</x:v>
      </x:c>
      <x:c r="D137" s="72" t="str">
        <x:v>CONFLICT-冲突模式</x:v>
      </x:c>
      <x:c r="E137" s="72" t="str">
        <x:v>通用</x:v>
      </x:c>
      <x:c r="F137" s="72" t="str">
        <x:v>模式定义</x:v>
      </x:c>
      <x:c r="G137" s="72" t="str">
        <x:v>CF02 劫财即时介入</x:v>
      </x:c>
      <x:c r="H137" s="72" t="str"/>
      <x:c r="I137" s="72" t="str">
        <x:v>主冲突通道与至少一项过程维度共同支持即时协作型；不得仅凭单一十神标签。</x:v>
      </x:c>
      <x:c r="J137" s="72" t="str">
        <x:v>基础信号未定；真合化后原信号已失效；只有单一弱远争议信号；或该结论会越界到M4风险、M5适配。</x:v>
      </x:c>
      <x:c r="K137" s="72" t="str">
        <x:v>由共享基础引擎与M3-STATE修正；日主承载只修正冲突处理的可执行性，不直接等于强硬或软弱。</x:v>
      </x:c>
      <x:c r="L137" s="72" t="str">
        <x:v>不限定；夫妻星只在责任、行动、投入等冲突议题中参与接口，不作为CONFLICT唯一主轴。</x:v>
      </x:c>
      <x:c r="M137" s="72" t="str">
        <x:v>由M3-BASE、日支主气及宫位动态提供；不得把日支直接写成配偶性格。</x:v>
      </x:c>
      <x:c r="N137" s="72" t="str">
        <x:v>无／待CONFLICT顺序与路径规则组合</x:v>
      </x:c>
      <x:c r="O137" s="72" t="str">
        <x:v>日柱与日支近位优先；全局有效独立信号可作次通道。</x:v>
      </x:c>
      <x:c r="P137" s="72" t="str">
        <x:v>由共享基础引擎判定</x:v>
      </x:c>
      <x:c r="Q137" s="72" t="str">
        <x:v>由共享基础引擎判定</x:v>
      </x:c>
      <x:c r="R137" s="72" t="str">
        <x:v>喜忌不直接等于冲突方式好坏；只修正调用顺畅度、资源压力和状态切换。</x:v>
      </x:c>
      <x:c r="S137" s="72" t="str">
        <x:v>原十神性质有效；真合化成立时按化神所属功能系统重建。</x:v>
      </x:c>
      <x:c r="T137" s="72" t="str">
        <x:v>由共享基础引擎判定</x:v>
      </x:c>
      <x:c r="U137" s="72" t="str">
        <x:v>58</x:v>
      </x:c>
      <x:c r="V137" s="72" t="str">
        <x:v>模式候选 +10</x:v>
      </x:c>
      <x:c r="W137" s="72" t="str">
        <x:v>conflict_pattern</x:v>
      </x:c>
      <x:c r="X137" s="72" t="str">
        <x:v>即时协作型是对冲突处理过程的功能概括，不是人格标签。</x:v>
      </x:c>
      <x:c r="Y137" s="72" t="str">
        <x:v>你的分歧处理更接近即时协作型：问题出现时先一起做、一起调，再在行动中补充说明。</x:v>
      </x:c>
      <x:c r="Z13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37" s="72" t="str">
        <x:v>中高</x:v>
      </x:c>
      <x:c r="AB137" s="72" t="str">
        <x:v>待验证</x:v>
      </x:c>
      <x:c r="AC137" s="72" t="str"/>
      <x:c r="AD137" s="72" t="str">
        <x:v>provisional=true; pattern=FP02</x:v>
      </x:c>
      <x:c r="AE137" s="73" t="str">
        <x:v>0.6</x:v>
      </x:c>
    </x:row>
    <x:row r="138">
      <x:c r="A138" s="71" t="str">
        <x:v>M3-CONFLICT-134</x:v>
      </x:c>
      <x:c r="B138" s="72" t="str">
        <x:v>FP02 即时协作型｜成立与输出门槛</x:v>
      </x:c>
      <x:c r="C138" s="72" t="str">
        <x:v>L3 冲突模式</x:v>
      </x:c>
      <x:c r="D138" s="72" t="str">
        <x:v>CONFLICT-冲突模式</x:v>
      </x:c>
      <x:c r="E138" s="72" t="str">
        <x:v>通用</x:v>
      </x:c>
      <x:c r="F138" s="72" t="str">
        <x:v>模式门槛</x:v>
      </x:c>
      <x:c r="G138" s="72" t="str">
        <x:v>CF02 劫财即时介入</x:v>
      </x:c>
      <x:c r="H138" s="72" t="str"/>
      <x:c r="I138" s="72" t="str">
        <x:v>至少两类独立证据支持，且与第一反应、信息焦点或结束条件中的一项一致。</x:v>
      </x:c>
      <x:c r="J138" s="72" t="str">
        <x:v>基础信号未定；真合化后原信号已失效；只有单一弱远争议信号；或该结论会越界到M4风险、M5适配。</x:v>
      </x:c>
      <x:c r="K138" s="72" t="str">
        <x:v>由共享基础引擎与M3-STATE修正；日主承载只修正冲突处理的可执行性，不直接等于强硬或软弱。</x:v>
      </x:c>
      <x:c r="L138" s="72" t="str">
        <x:v>不限定；夫妻星只在责任、行动、投入等冲突议题中参与接口，不作为CONFLICT唯一主轴。</x:v>
      </x:c>
      <x:c r="M138" s="72" t="str">
        <x:v>由M3-BASE、日支主气及宫位动态提供；不得把日支直接写成配偶性格。</x:v>
      </x:c>
      <x:c r="N138" s="72" t="str">
        <x:v>无／待CONFLICT顺序与路径规则组合</x:v>
      </x:c>
      <x:c r="O138" s="72" t="str">
        <x:v>日柱与日支近位优先；全局有效独立信号可作次通道。</x:v>
      </x:c>
      <x:c r="P138" s="72" t="str">
        <x:v>由共享基础引擎判定</x:v>
      </x:c>
      <x:c r="Q138" s="72" t="str">
        <x:v>由共享基础引擎判定</x:v>
      </x:c>
      <x:c r="R138" s="72" t="str">
        <x:v>喜忌不直接等于冲突方式好坏；只修正调用顺畅度、资源压力和状态切换。</x:v>
      </x:c>
      <x:c r="S138" s="72" t="str">
        <x:v>原十神性质有效；真合化成立时按化神所属功能系统重建。</x:v>
      </x:c>
      <x:c r="T138" s="72" t="str">
        <x:v>由共享基础引擎判定</x:v>
      </x:c>
      <x:c r="U138" s="72" t="str">
        <x:v>57</x:v>
      </x:c>
      <x:c r="V138" s="72" t="str">
        <x:v>达到门槛后写入主模式；否则降为候选</x:v>
      </x:c>
      <x:c r="W138" s="72" t="str">
        <x:v>conflict_pattern</x:v>
      </x:c>
      <x:c r="X138" s="72" t="str">
        <x:v>模式只有在不同来源相互印证时才可写入正文；否则降为候选。</x:v>
      </x:c>
      <x:c r="Y138" s="72" t="str">
        <x:v>这一判断只概括你怎样处理分歧，不代表其他方式完全缺失。</x:v>
      </x:c>
      <x:c r="Z13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38" s="72" t="str">
        <x:v>中</x:v>
      </x:c>
      <x:c r="AB138" s="72" t="str">
        <x:v>待验证</x:v>
      </x:c>
      <x:c r="AC138" s="72" t="str"/>
      <x:c r="AD138" s="72" t="str">
        <x:v>provisional=true; pattern=FP02; threshold=true</x:v>
      </x:c>
      <x:c r="AE138" s="73" t="str">
        <x:v>0.6</x:v>
      </x:c>
    </x:row>
    <x:row r="139">
      <x:c r="A139" s="71" t="str">
        <x:v>M3-CONFLICT-135</x:v>
      </x:c>
      <x:c r="B139" s="72" t="str">
        <x:v>FP03 缓冲降温型｜模式定义</x:v>
      </x:c>
      <x:c r="C139" s="72" t="str">
        <x:v>L3 冲突模式</x:v>
      </x:c>
      <x:c r="D139" s="72" t="str">
        <x:v>CONFLICT-冲突模式</x:v>
      </x:c>
      <x:c r="E139" s="72" t="str">
        <x:v>通用</x:v>
      </x:c>
      <x:c r="F139" s="72" t="str">
        <x:v>模式定义</x:v>
      </x:c>
      <x:c r="G139" s="72" t="str">
        <x:v>CF03 食神缓冲降温</x:v>
      </x:c>
      <x:c r="H139" s="72" t="str"/>
      <x:c r="I139" s="72" t="str">
        <x:v>主冲突通道与至少一项过程维度共同支持缓冲降温型；不得仅凭单一十神标签。</x:v>
      </x:c>
      <x:c r="J139" s="72" t="str">
        <x:v>基础信号未定；真合化后原信号已失效；只有单一弱远争议信号；或该结论会越界到M4风险、M5适配。</x:v>
      </x:c>
      <x:c r="K139" s="72" t="str">
        <x:v>由共享基础引擎与M3-STATE修正；日主承载只修正冲突处理的可执行性，不直接等于强硬或软弱。</x:v>
      </x:c>
      <x:c r="L139" s="72" t="str">
        <x:v>不限定；夫妻星只在责任、行动、投入等冲突议题中参与接口，不作为CONFLICT唯一主轴。</x:v>
      </x:c>
      <x:c r="M139" s="72" t="str">
        <x:v>由M3-BASE、日支主气及宫位动态提供；不得把日支直接写成配偶性格。</x:v>
      </x:c>
      <x:c r="N139" s="72" t="str">
        <x:v>无／待CONFLICT顺序与路径规则组合</x:v>
      </x:c>
      <x:c r="O139" s="72" t="str">
        <x:v>日柱与日支近位优先；全局有效独立信号可作次通道。</x:v>
      </x:c>
      <x:c r="P139" s="72" t="str">
        <x:v>由共享基础引擎判定</x:v>
      </x:c>
      <x:c r="Q139" s="72" t="str">
        <x:v>由共享基础引擎判定</x:v>
      </x:c>
      <x:c r="R139" s="72" t="str">
        <x:v>喜忌不直接等于冲突方式好坏；只修正调用顺畅度、资源压力和状态切换。</x:v>
      </x:c>
      <x:c r="S139" s="72" t="str">
        <x:v>原十神性质有效；真合化成立时按化神所属功能系统重建。</x:v>
      </x:c>
      <x:c r="T139" s="72" t="str">
        <x:v>由共享基础引擎判定</x:v>
      </x:c>
      <x:c r="U139" s="72" t="str">
        <x:v>58</x:v>
      </x:c>
      <x:c r="V139" s="72" t="str">
        <x:v>模式候选 +10</x:v>
      </x:c>
      <x:c r="W139" s="72" t="str">
        <x:v>conflict_pattern</x:v>
      </x:c>
      <x:c r="X139" s="72" t="str">
        <x:v>缓冲降温型是对冲突处理过程的功能概括，不是人格标签。</x:v>
      </x:c>
      <x:c r="Y139" s="72" t="str">
        <x:v>你的分歧处理更接近缓冲降温型：先让沟通恢复到双方能承受的程度，再处理事情本身。</x:v>
      </x:c>
      <x:c r="Z13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39" s="72" t="str">
        <x:v>中高</x:v>
      </x:c>
      <x:c r="AB139" s="72" t="str">
        <x:v>待验证</x:v>
      </x:c>
      <x:c r="AC139" s="72" t="str"/>
      <x:c r="AD139" s="72" t="str">
        <x:v>provisional=true; pattern=FP03</x:v>
      </x:c>
      <x:c r="AE139" s="73" t="str">
        <x:v>0.6</x:v>
      </x:c>
    </x:row>
    <x:row r="140">
      <x:c r="A140" s="71" t="str">
        <x:v>M3-CONFLICT-136</x:v>
      </x:c>
      <x:c r="B140" s="72" t="str">
        <x:v>FP03 缓冲降温型｜成立与输出门槛</x:v>
      </x:c>
      <x:c r="C140" s="72" t="str">
        <x:v>L3 冲突模式</x:v>
      </x:c>
      <x:c r="D140" s="72" t="str">
        <x:v>CONFLICT-冲突模式</x:v>
      </x:c>
      <x:c r="E140" s="72" t="str">
        <x:v>通用</x:v>
      </x:c>
      <x:c r="F140" s="72" t="str">
        <x:v>模式门槛</x:v>
      </x:c>
      <x:c r="G140" s="72" t="str">
        <x:v>CF03 食神缓冲降温</x:v>
      </x:c>
      <x:c r="H140" s="72" t="str"/>
      <x:c r="I140" s="72" t="str">
        <x:v>至少两类独立证据支持，且与第一反应、信息焦点或结束条件中的一项一致。</x:v>
      </x:c>
      <x:c r="J140" s="72" t="str">
        <x:v>基础信号未定；真合化后原信号已失效；只有单一弱远争议信号；或该结论会越界到M4风险、M5适配。</x:v>
      </x:c>
      <x:c r="K140" s="72" t="str">
        <x:v>由共享基础引擎与M3-STATE修正；日主承载只修正冲突处理的可执行性，不直接等于强硬或软弱。</x:v>
      </x:c>
      <x:c r="L140" s="72" t="str">
        <x:v>不限定；夫妻星只在责任、行动、投入等冲突议题中参与接口，不作为CONFLICT唯一主轴。</x:v>
      </x:c>
      <x:c r="M140" s="72" t="str">
        <x:v>由M3-BASE、日支主气及宫位动态提供；不得把日支直接写成配偶性格。</x:v>
      </x:c>
      <x:c r="N140" s="72" t="str">
        <x:v>无／待CONFLICT顺序与路径规则组合</x:v>
      </x:c>
      <x:c r="O140" s="72" t="str">
        <x:v>日柱与日支近位优先；全局有效独立信号可作次通道。</x:v>
      </x:c>
      <x:c r="P140" s="72" t="str">
        <x:v>由共享基础引擎判定</x:v>
      </x:c>
      <x:c r="Q140" s="72" t="str">
        <x:v>由共享基础引擎判定</x:v>
      </x:c>
      <x:c r="R140" s="72" t="str">
        <x:v>喜忌不直接等于冲突方式好坏；只修正调用顺畅度、资源压力和状态切换。</x:v>
      </x:c>
      <x:c r="S140" s="72" t="str">
        <x:v>原十神性质有效；真合化成立时按化神所属功能系统重建。</x:v>
      </x:c>
      <x:c r="T140" s="72" t="str">
        <x:v>由共享基础引擎判定</x:v>
      </x:c>
      <x:c r="U140" s="72" t="str">
        <x:v>57</x:v>
      </x:c>
      <x:c r="V140" s="72" t="str">
        <x:v>达到门槛后写入主模式；否则降为候选</x:v>
      </x:c>
      <x:c r="W140" s="72" t="str">
        <x:v>conflict_pattern</x:v>
      </x:c>
      <x:c r="X140" s="72" t="str">
        <x:v>模式只有在不同来源相互印证时才可写入正文；否则降为候选。</x:v>
      </x:c>
      <x:c r="Y140" s="72" t="str">
        <x:v>这一判断只概括你怎样处理分歧，不代表其他方式完全缺失。</x:v>
      </x:c>
      <x:c r="Z14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40" s="72" t="str">
        <x:v>中</x:v>
      </x:c>
      <x:c r="AB140" s="72" t="str">
        <x:v>待验证</x:v>
      </x:c>
      <x:c r="AC140" s="72" t="str"/>
      <x:c r="AD140" s="72" t="str">
        <x:v>provisional=true; pattern=FP03; threshold=true</x:v>
      </x:c>
      <x:c r="AE140" s="73" t="str">
        <x:v>0.6</x:v>
      </x:c>
    </x:row>
    <x:row r="141">
      <x:c r="A141" s="71" t="str">
        <x:v>M3-CONFLICT-137</x:v>
      </x:c>
      <x:c r="B141" s="72" t="str">
        <x:v>FP04 分析澄清型｜模式定义</x:v>
      </x:c>
      <x:c r="C141" s="72" t="str">
        <x:v>L3 冲突模式</x:v>
      </x:c>
      <x:c r="D141" s="72" t="str">
        <x:v>CONFLICT-冲突模式</x:v>
      </x:c>
      <x:c r="E141" s="72" t="str">
        <x:v>通用</x:v>
      </x:c>
      <x:c r="F141" s="72" t="str">
        <x:v>模式定义</x:v>
      </x:c>
      <x:c r="G141" s="72" t="str">
        <x:v>CF04 伤官分析澄清</x:v>
      </x:c>
      <x:c r="H141" s="72" t="str"/>
      <x:c r="I141" s="72" t="str">
        <x:v>主冲突通道与至少一项过程维度共同支持分析澄清型；不得仅凭单一十神标签。</x:v>
      </x:c>
      <x:c r="J141" s="72" t="str">
        <x:v>基础信号未定；真合化后原信号已失效；只有单一弱远争议信号；或该结论会越界到M4风险、M5适配。</x:v>
      </x:c>
      <x:c r="K141" s="72" t="str">
        <x:v>由共享基础引擎与M3-STATE修正；日主承载只修正冲突处理的可执行性，不直接等于强硬或软弱。</x:v>
      </x:c>
      <x:c r="L141" s="72" t="str">
        <x:v>不限定；夫妻星只在责任、行动、投入等冲突议题中参与接口，不作为CONFLICT唯一主轴。</x:v>
      </x:c>
      <x:c r="M141" s="72" t="str">
        <x:v>由M3-BASE、日支主气及宫位动态提供；不得把日支直接写成配偶性格。</x:v>
      </x:c>
      <x:c r="N141" s="72" t="str">
        <x:v>无／待CONFLICT顺序与路径规则组合</x:v>
      </x:c>
      <x:c r="O141" s="72" t="str">
        <x:v>日柱与日支近位优先；全局有效独立信号可作次通道。</x:v>
      </x:c>
      <x:c r="P141" s="72" t="str">
        <x:v>由共享基础引擎判定</x:v>
      </x:c>
      <x:c r="Q141" s="72" t="str">
        <x:v>由共享基础引擎判定</x:v>
      </x:c>
      <x:c r="R141" s="72" t="str">
        <x:v>喜忌不直接等于冲突方式好坏；只修正调用顺畅度、资源压力和状态切换。</x:v>
      </x:c>
      <x:c r="S141" s="72" t="str">
        <x:v>原十神性质有效；真合化成立时按化神所属功能系统重建。</x:v>
      </x:c>
      <x:c r="T141" s="72" t="str">
        <x:v>由共享基础引擎判定</x:v>
      </x:c>
      <x:c r="U141" s="72" t="str">
        <x:v>58</x:v>
      </x:c>
      <x:c r="V141" s="72" t="str">
        <x:v>模式候选 +10</x:v>
      </x:c>
      <x:c r="W141" s="72" t="str">
        <x:v>conflict_pattern</x:v>
      </x:c>
      <x:c r="X141" s="72" t="str">
        <x:v>分析澄清型是对冲突处理过程的功能概括，不是人格标签。</x:v>
      </x:c>
      <x:c r="Y141" s="72" t="str">
        <x:v>你的分歧处理更接近分析澄清型：你需要先知道真正的问题在哪里，才愿意进入方案。</x:v>
      </x:c>
      <x:c r="Z14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41" s="72" t="str">
        <x:v>中高</x:v>
      </x:c>
      <x:c r="AB141" s="72" t="str">
        <x:v>待验证</x:v>
      </x:c>
      <x:c r="AC141" s="72" t="str"/>
      <x:c r="AD141" s="72" t="str">
        <x:v>provisional=true; pattern=FP04</x:v>
      </x:c>
      <x:c r="AE141" s="73" t="str">
        <x:v>0.6</x:v>
      </x:c>
    </x:row>
    <x:row r="142">
      <x:c r="A142" s="71" t="str">
        <x:v>M3-CONFLICT-138</x:v>
      </x:c>
      <x:c r="B142" s="72" t="str">
        <x:v>FP04 分析澄清型｜成立与输出门槛</x:v>
      </x:c>
      <x:c r="C142" s="72" t="str">
        <x:v>L3 冲突模式</x:v>
      </x:c>
      <x:c r="D142" s="72" t="str">
        <x:v>CONFLICT-冲突模式</x:v>
      </x:c>
      <x:c r="E142" s="72" t="str">
        <x:v>通用</x:v>
      </x:c>
      <x:c r="F142" s="72" t="str">
        <x:v>模式门槛</x:v>
      </x:c>
      <x:c r="G142" s="72" t="str">
        <x:v>CF04 伤官分析澄清</x:v>
      </x:c>
      <x:c r="H142" s="72" t="str"/>
      <x:c r="I142" s="72" t="str">
        <x:v>至少两类独立证据支持，且与第一反应、信息焦点或结束条件中的一项一致。</x:v>
      </x:c>
      <x:c r="J142" s="72" t="str">
        <x:v>基础信号未定；真合化后原信号已失效；只有单一弱远争议信号；或该结论会越界到M4风险、M5适配。</x:v>
      </x:c>
      <x:c r="K142" s="72" t="str">
        <x:v>由共享基础引擎与M3-STATE修正；日主承载只修正冲突处理的可执行性，不直接等于强硬或软弱。</x:v>
      </x:c>
      <x:c r="L142" s="72" t="str">
        <x:v>不限定；夫妻星只在责任、行动、投入等冲突议题中参与接口，不作为CONFLICT唯一主轴。</x:v>
      </x:c>
      <x:c r="M142" s="72" t="str">
        <x:v>由M3-BASE、日支主气及宫位动态提供；不得把日支直接写成配偶性格。</x:v>
      </x:c>
      <x:c r="N142" s="72" t="str">
        <x:v>无／待CONFLICT顺序与路径规则组合</x:v>
      </x:c>
      <x:c r="O142" s="72" t="str">
        <x:v>日柱与日支近位优先；全局有效独立信号可作次通道。</x:v>
      </x:c>
      <x:c r="P142" s="72" t="str">
        <x:v>由共享基础引擎判定</x:v>
      </x:c>
      <x:c r="Q142" s="72" t="str">
        <x:v>由共享基础引擎判定</x:v>
      </x:c>
      <x:c r="R142" s="72" t="str">
        <x:v>喜忌不直接等于冲突方式好坏；只修正调用顺畅度、资源压力和状态切换。</x:v>
      </x:c>
      <x:c r="S142" s="72" t="str">
        <x:v>原十神性质有效；真合化成立时按化神所属功能系统重建。</x:v>
      </x:c>
      <x:c r="T142" s="72" t="str">
        <x:v>由共享基础引擎判定</x:v>
      </x:c>
      <x:c r="U142" s="72" t="str">
        <x:v>57</x:v>
      </x:c>
      <x:c r="V142" s="72" t="str">
        <x:v>达到门槛后写入主模式；否则降为候选</x:v>
      </x:c>
      <x:c r="W142" s="72" t="str">
        <x:v>conflict_pattern</x:v>
      </x:c>
      <x:c r="X142" s="72" t="str">
        <x:v>模式只有在不同来源相互印证时才可写入正文；否则降为候选。</x:v>
      </x:c>
      <x:c r="Y142" s="72" t="str">
        <x:v>这一判断只概括你怎样处理分歧，不代表其他方式完全缺失。</x:v>
      </x:c>
      <x:c r="Z14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42" s="72" t="str">
        <x:v>中</x:v>
      </x:c>
      <x:c r="AB142" s="72" t="str">
        <x:v>待验证</x:v>
      </x:c>
      <x:c r="AC142" s="72" t="str"/>
      <x:c r="AD142" s="72" t="str">
        <x:v>provisional=true; pattern=FP04; threshold=true</x:v>
      </x:c>
      <x:c r="AE142" s="73" t="str">
        <x:v>0.6</x:v>
      </x:c>
    </x:row>
    <x:row r="143">
      <x:c r="A143" s="71" t="str">
        <x:v>M3-CONFLICT-139</x:v>
      </x:c>
      <x:c r="B143" s="72" t="str">
        <x:v>FP05 现实校准型｜模式定义</x:v>
      </x:c>
      <x:c r="C143" s="72" t="str">
        <x:v>L3 冲突模式</x:v>
      </x:c>
      <x:c r="D143" s="72" t="str">
        <x:v>CONFLICT-冲突模式</x:v>
      </x:c>
      <x:c r="E143" s="72" t="str">
        <x:v>通用</x:v>
      </x:c>
      <x:c r="F143" s="72" t="str">
        <x:v>模式定义</x:v>
      </x:c>
      <x:c r="G143" s="72" t="str">
        <x:v>CF05 正财现实校准</x:v>
      </x:c>
      <x:c r="H143" s="72" t="str"/>
      <x:c r="I143" s="72" t="str">
        <x:v>主冲突通道与至少一项过程维度共同支持现实校准型；不得仅凭单一十神标签。</x:v>
      </x:c>
      <x:c r="J143" s="72" t="str">
        <x:v>基础信号未定；真合化后原信号已失效；只有单一弱远争议信号；或该结论会越界到M4风险、M5适配。</x:v>
      </x:c>
      <x:c r="K143" s="72" t="str">
        <x:v>由共享基础引擎与M3-STATE修正；日主承载只修正冲突处理的可执行性，不直接等于强硬或软弱。</x:v>
      </x:c>
      <x:c r="L143" s="72" t="str">
        <x:v>不限定；夫妻星只在责任、行动、投入等冲突议题中参与接口，不作为CONFLICT唯一主轴。</x:v>
      </x:c>
      <x:c r="M143" s="72" t="str">
        <x:v>由M3-BASE、日支主气及宫位动态提供；不得把日支直接写成配偶性格。</x:v>
      </x:c>
      <x:c r="N143" s="72" t="str">
        <x:v>无／待CONFLICT顺序与路径规则组合</x:v>
      </x:c>
      <x:c r="O143" s="72" t="str">
        <x:v>日柱与日支近位优先；全局有效独立信号可作次通道。</x:v>
      </x:c>
      <x:c r="P143" s="72" t="str">
        <x:v>由共享基础引擎判定</x:v>
      </x:c>
      <x:c r="Q143" s="72" t="str">
        <x:v>由共享基础引擎判定</x:v>
      </x:c>
      <x:c r="R143" s="72" t="str">
        <x:v>喜忌不直接等于冲突方式好坏；只修正调用顺畅度、资源压力和状态切换。</x:v>
      </x:c>
      <x:c r="S143" s="72" t="str">
        <x:v>原十神性质有效；真合化成立时按化神所属功能系统重建。</x:v>
      </x:c>
      <x:c r="T143" s="72" t="str">
        <x:v>由共享基础引擎判定</x:v>
      </x:c>
      <x:c r="U143" s="72" t="str">
        <x:v>58</x:v>
      </x:c>
      <x:c r="V143" s="72" t="str">
        <x:v>模式候选 +10</x:v>
      </x:c>
      <x:c r="W143" s="72" t="str">
        <x:v>conflict_pattern</x:v>
      </x:c>
      <x:c r="X143" s="72" t="str">
        <x:v>现实校准型是对冲突处理过程的功能概括，不是人格标签。</x:v>
      </x:c>
      <x:c r="Y143" s="72" t="str">
        <x:v>你的分歧处理更接近现实校准型：你更看重具体安排能否调整、后续能否真正做到。</x:v>
      </x:c>
      <x:c r="Z14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43" s="72" t="str">
        <x:v>中高</x:v>
      </x:c>
      <x:c r="AB143" s="72" t="str">
        <x:v>待验证</x:v>
      </x:c>
      <x:c r="AC143" s="72" t="str"/>
      <x:c r="AD143" s="72" t="str">
        <x:v>provisional=true; pattern=FP05</x:v>
      </x:c>
      <x:c r="AE143" s="73" t="str">
        <x:v>0.6</x:v>
      </x:c>
    </x:row>
    <x:row r="144">
      <x:c r="A144" s="71" t="str">
        <x:v>M3-CONFLICT-140</x:v>
      </x:c>
      <x:c r="B144" s="72" t="str">
        <x:v>FP05 现实校准型｜成立与输出门槛</x:v>
      </x:c>
      <x:c r="C144" s="72" t="str">
        <x:v>L3 冲突模式</x:v>
      </x:c>
      <x:c r="D144" s="72" t="str">
        <x:v>CONFLICT-冲突模式</x:v>
      </x:c>
      <x:c r="E144" s="72" t="str">
        <x:v>通用</x:v>
      </x:c>
      <x:c r="F144" s="72" t="str">
        <x:v>模式门槛</x:v>
      </x:c>
      <x:c r="G144" s="72" t="str">
        <x:v>CF05 正财现实校准</x:v>
      </x:c>
      <x:c r="H144" s="72" t="str"/>
      <x:c r="I144" s="72" t="str">
        <x:v>至少两类独立证据支持，且与第一反应、信息焦点或结束条件中的一项一致。</x:v>
      </x:c>
      <x:c r="J144" s="72" t="str">
        <x:v>基础信号未定；真合化后原信号已失效；只有单一弱远争议信号；或该结论会越界到M4风险、M5适配。</x:v>
      </x:c>
      <x:c r="K144" s="72" t="str">
        <x:v>由共享基础引擎与M3-STATE修正；日主承载只修正冲突处理的可执行性，不直接等于强硬或软弱。</x:v>
      </x:c>
      <x:c r="L144" s="72" t="str">
        <x:v>不限定；夫妻星只在责任、行动、投入等冲突议题中参与接口，不作为CONFLICT唯一主轴。</x:v>
      </x:c>
      <x:c r="M144" s="72" t="str">
        <x:v>由M3-BASE、日支主气及宫位动态提供；不得把日支直接写成配偶性格。</x:v>
      </x:c>
      <x:c r="N144" s="72" t="str">
        <x:v>无／待CONFLICT顺序与路径规则组合</x:v>
      </x:c>
      <x:c r="O144" s="72" t="str">
        <x:v>日柱与日支近位优先；全局有效独立信号可作次通道。</x:v>
      </x:c>
      <x:c r="P144" s="72" t="str">
        <x:v>由共享基础引擎判定</x:v>
      </x:c>
      <x:c r="Q144" s="72" t="str">
        <x:v>由共享基础引擎判定</x:v>
      </x:c>
      <x:c r="R144" s="72" t="str">
        <x:v>喜忌不直接等于冲突方式好坏；只修正调用顺畅度、资源压力和状态切换。</x:v>
      </x:c>
      <x:c r="S144" s="72" t="str">
        <x:v>原十神性质有效；真合化成立时按化神所属功能系统重建。</x:v>
      </x:c>
      <x:c r="T144" s="72" t="str">
        <x:v>由共享基础引擎判定</x:v>
      </x:c>
      <x:c r="U144" s="72" t="str">
        <x:v>57</x:v>
      </x:c>
      <x:c r="V144" s="72" t="str">
        <x:v>达到门槛后写入主模式；否则降为候选</x:v>
      </x:c>
      <x:c r="W144" s="72" t="str">
        <x:v>conflict_pattern</x:v>
      </x:c>
      <x:c r="X144" s="72" t="str">
        <x:v>模式只有在不同来源相互印证时才可写入正文；否则降为候选。</x:v>
      </x:c>
      <x:c r="Y144" s="72" t="str">
        <x:v>这一判断只概括你怎样处理分歧，不代表其他方式完全缺失。</x:v>
      </x:c>
      <x:c r="Z14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44" s="72" t="str">
        <x:v>中</x:v>
      </x:c>
      <x:c r="AB144" s="72" t="str">
        <x:v>待验证</x:v>
      </x:c>
      <x:c r="AC144" s="72" t="str"/>
      <x:c r="AD144" s="72" t="str">
        <x:v>provisional=true; pattern=FP05; threshold=true</x:v>
      </x:c>
      <x:c r="AE144" s="73" t="str">
        <x:v>0.6</x:v>
      </x:c>
    </x:row>
    <x:row r="145">
      <x:c r="A145" s="71" t="str">
        <x:v>M3-CONFLICT-141</x:v>
      </x:c>
      <x:c r="B145" s="72" t="str">
        <x:v>FP06 灵活换案型｜模式定义</x:v>
      </x:c>
      <x:c r="C145" s="72" t="str">
        <x:v>L3 冲突模式</x:v>
      </x:c>
      <x:c r="D145" s="72" t="str">
        <x:v>CONFLICT-冲突模式</x:v>
      </x:c>
      <x:c r="E145" s="72" t="str">
        <x:v>通用</x:v>
      </x:c>
      <x:c r="F145" s="72" t="str">
        <x:v>模式定义</x:v>
      </x:c>
      <x:c r="G145" s="72" t="str">
        <x:v>CF06 偏财灵活换案</x:v>
      </x:c>
      <x:c r="H145" s="72" t="str"/>
      <x:c r="I145" s="72" t="str">
        <x:v>主冲突通道与至少一项过程维度共同支持灵活换案型；不得仅凭单一十神标签。</x:v>
      </x:c>
      <x:c r="J145" s="72" t="str">
        <x:v>基础信号未定；真合化后原信号已失效；只有单一弱远争议信号；或该结论会越界到M4风险、M5适配。</x:v>
      </x:c>
      <x:c r="K145" s="72" t="str">
        <x:v>由共享基础引擎与M3-STATE修正；日主承载只修正冲突处理的可执行性，不直接等于强硬或软弱。</x:v>
      </x:c>
      <x:c r="L145" s="72" t="str">
        <x:v>不限定；夫妻星只在责任、行动、投入等冲突议题中参与接口，不作为CONFLICT唯一主轴。</x:v>
      </x:c>
      <x:c r="M145" s="72" t="str">
        <x:v>由M3-BASE、日支主气及宫位动态提供；不得把日支直接写成配偶性格。</x:v>
      </x:c>
      <x:c r="N145" s="72" t="str">
        <x:v>无／待CONFLICT顺序与路径规则组合</x:v>
      </x:c>
      <x:c r="O145" s="72" t="str">
        <x:v>日柱与日支近位优先；全局有效独立信号可作次通道。</x:v>
      </x:c>
      <x:c r="P145" s="72" t="str">
        <x:v>由共享基础引擎判定</x:v>
      </x:c>
      <x:c r="Q145" s="72" t="str">
        <x:v>由共享基础引擎判定</x:v>
      </x:c>
      <x:c r="R145" s="72" t="str">
        <x:v>喜忌不直接等于冲突方式好坏；只修正调用顺畅度、资源压力和状态切换。</x:v>
      </x:c>
      <x:c r="S145" s="72" t="str">
        <x:v>原十神性质有效；真合化成立时按化神所属功能系统重建。</x:v>
      </x:c>
      <x:c r="T145" s="72" t="str">
        <x:v>由共享基础引擎判定</x:v>
      </x:c>
      <x:c r="U145" s="72" t="str">
        <x:v>58</x:v>
      </x:c>
      <x:c r="V145" s="72" t="str">
        <x:v>模式候选 +10</x:v>
      </x:c>
      <x:c r="W145" s="72" t="str">
        <x:v>conflict_pattern</x:v>
      </x:c>
      <x:c r="X145" s="72" t="str">
        <x:v>灵活换案型是对冲突处理过程的功能概括，不是人格标签。</x:v>
      </x:c>
      <x:c r="Y145" s="72" t="str">
        <x:v>你的分歧处理更接近灵活换案型：与其固守一种办法，你更愿意寻找双方能继续尝试的新方案。</x:v>
      </x:c>
      <x:c r="Z14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45" s="72" t="str">
        <x:v>中高</x:v>
      </x:c>
      <x:c r="AB145" s="72" t="str">
        <x:v>待验证</x:v>
      </x:c>
      <x:c r="AC145" s="72" t="str"/>
      <x:c r="AD145" s="72" t="str">
        <x:v>provisional=true; pattern=FP06</x:v>
      </x:c>
      <x:c r="AE145" s="73" t="str">
        <x:v>0.6</x:v>
      </x:c>
    </x:row>
    <x:row r="146">
      <x:c r="A146" s="71" t="str">
        <x:v>M3-CONFLICT-142</x:v>
      </x:c>
      <x:c r="B146" s="72" t="str">
        <x:v>FP06 灵活换案型｜成立与输出门槛</x:v>
      </x:c>
      <x:c r="C146" s="72" t="str">
        <x:v>L3 冲突模式</x:v>
      </x:c>
      <x:c r="D146" s="72" t="str">
        <x:v>CONFLICT-冲突模式</x:v>
      </x:c>
      <x:c r="E146" s="72" t="str">
        <x:v>通用</x:v>
      </x:c>
      <x:c r="F146" s="72" t="str">
        <x:v>模式门槛</x:v>
      </x:c>
      <x:c r="G146" s="72" t="str">
        <x:v>CF06 偏财灵活换案</x:v>
      </x:c>
      <x:c r="H146" s="72" t="str"/>
      <x:c r="I146" s="72" t="str">
        <x:v>至少两类独立证据支持，且与第一反应、信息焦点或结束条件中的一项一致。</x:v>
      </x:c>
      <x:c r="J146" s="72" t="str">
        <x:v>基础信号未定；真合化后原信号已失效；只有单一弱远争议信号；或该结论会越界到M4风险、M5适配。</x:v>
      </x:c>
      <x:c r="K146" s="72" t="str">
        <x:v>由共享基础引擎与M3-STATE修正；日主承载只修正冲突处理的可执行性，不直接等于强硬或软弱。</x:v>
      </x:c>
      <x:c r="L146" s="72" t="str">
        <x:v>不限定；夫妻星只在责任、行动、投入等冲突议题中参与接口，不作为CONFLICT唯一主轴。</x:v>
      </x:c>
      <x:c r="M146" s="72" t="str">
        <x:v>由M3-BASE、日支主气及宫位动态提供；不得把日支直接写成配偶性格。</x:v>
      </x:c>
      <x:c r="N146" s="72" t="str">
        <x:v>无／待CONFLICT顺序与路径规则组合</x:v>
      </x:c>
      <x:c r="O146" s="72" t="str">
        <x:v>日柱与日支近位优先；全局有效独立信号可作次通道。</x:v>
      </x:c>
      <x:c r="P146" s="72" t="str">
        <x:v>由共享基础引擎判定</x:v>
      </x:c>
      <x:c r="Q146" s="72" t="str">
        <x:v>由共享基础引擎判定</x:v>
      </x:c>
      <x:c r="R146" s="72" t="str">
        <x:v>喜忌不直接等于冲突方式好坏；只修正调用顺畅度、资源压力和状态切换。</x:v>
      </x:c>
      <x:c r="S146" s="72" t="str">
        <x:v>原十神性质有效；真合化成立时按化神所属功能系统重建。</x:v>
      </x:c>
      <x:c r="T146" s="72" t="str">
        <x:v>由共享基础引擎判定</x:v>
      </x:c>
      <x:c r="U146" s="72" t="str">
        <x:v>57</x:v>
      </x:c>
      <x:c r="V146" s="72" t="str">
        <x:v>达到门槛后写入主模式；否则降为候选</x:v>
      </x:c>
      <x:c r="W146" s="72" t="str">
        <x:v>conflict_pattern</x:v>
      </x:c>
      <x:c r="X146" s="72" t="str">
        <x:v>模式只有在不同来源相互印证时才可写入正文；否则降为候选。</x:v>
      </x:c>
      <x:c r="Y146" s="72" t="str">
        <x:v>这一判断只概括你怎样处理分歧，不代表其他方式完全缺失。</x:v>
      </x:c>
      <x:c r="Z14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46" s="72" t="str">
        <x:v>中</x:v>
      </x:c>
      <x:c r="AB146" s="72" t="str">
        <x:v>待验证</x:v>
      </x:c>
      <x:c r="AC146" s="72" t="str"/>
      <x:c r="AD146" s="72" t="str">
        <x:v>provisional=true; pattern=FP06; threshold=true</x:v>
      </x:c>
      <x:c r="AE146" s="73" t="str">
        <x:v>0.6</x:v>
      </x:c>
    </x:row>
    <x:row r="147">
      <x:c r="A147" s="71" t="str">
        <x:v>M3-CONFLICT-143</x:v>
      </x:c>
      <x:c r="B147" s="72" t="str">
        <x:v>FP07 规则复核型｜模式定义</x:v>
      </x:c>
      <x:c r="C147" s="72" t="str">
        <x:v>L3 冲突模式</x:v>
      </x:c>
      <x:c r="D147" s="72" t="str">
        <x:v>CONFLICT-冲突模式</x:v>
      </x:c>
      <x:c r="E147" s="72" t="str">
        <x:v>通用</x:v>
      </x:c>
      <x:c r="F147" s="72" t="str">
        <x:v>模式定义</x:v>
      </x:c>
      <x:c r="G147" s="72" t="str">
        <x:v>CF07 正官规则复核</x:v>
      </x:c>
      <x:c r="H147" s="72" t="str"/>
      <x:c r="I147" s="72" t="str">
        <x:v>主冲突通道与至少一项过程维度共同支持规则复核型；不得仅凭单一十神标签。</x:v>
      </x:c>
      <x:c r="J147" s="72" t="str">
        <x:v>基础信号未定；真合化后原信号已失效；只有单一弱远争议信号；或该结论会越界到M4风险、M5适配。</x:v>
      </x:c>
      <x:c r="K147" s="72" t="str">
        <x:v>由共享基础引擎与M3-STATE修正；日主承载只修正冲突处理的可执行性，不直接等于强硬或软弱。</x:v>
      </x:c>
      <x:c r="L147" s="72" t="str">
        <x:v>不限定；夫妻星只在责任、行动、投入等冲突议题中参与接口，不作为CONFLICT唯一主轴。</x:v>
      </x:c>
      <x:c r="M147" s="72" t="str">
        <x:v>由M3-BASE、日支主气及宫位动态提供；不得把日支直接写成配偶性格。</x:v>
      </x:c>
      <x:c r="N147" s="72" t="str">
        <x:v>无／待CONFLICT顺序与路径规则组合</x:v>
      </x:c>
      <x:c r="O147" s="72" t="str">
        <x:v>日柱与日支近位优先；全局有效独立信号可作次通道。</x:v>
      </x:c>
      <x:c r="P147" s="72" t="str">
        <x:v>由共享基础引擎判定</x:v>
      </x:c>
      <x:c r="Q147" s="72" t="str">
        <x:v>由共享基础引擎判定</x:v>
      </x:c>
      <x:c r="R147" s="72" t="str">
        <x:v>喜忌不直接等于冲突方式好坏；只修正调用顺畅度、资源压力和状态切换。</x:v>
      </x:c>
      <x:c r="S147" s="72" t="str">
        <x:v>原十神性质有效；真合化成立时按化神所属功能系统重建。</x:v>
      </x:c>
      <x:c r="T147" s="72" t="str">
        <x:v>由共享基础引擎判定</x:v>
      </x:c>
      <x:c r="U147" s="72" t="str">
        <x:v>58</x:v>
      </x:c>
      <x:c r="V147" s="72" t="str">
        <x:v>模式候选 +10</x:v>
      </x:c>
      <x:c r="W147" s="72" t="str">
        <x:v>conflict_pattern</x:v>
      </x:c>
      <x:c r="X147" s="72" t="str">
        <x:v>规则复核型是对冲突处理过程的功能概括，不是人格标签。</x:v>
      </x:c>
      <x:c r="Y147" s="72" t="str">
        <x:v>你的分歧处理更接近规则复核型：你会回到约定、责任和角色，确认问题应怎样被规范处理。</x:v>
      </x:c>
      <x:c r="Z14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47" s="72" t="str">
        <x:v>中高</x:v>
      </x:c>
      <x:c r="AB147" s="72" t="str">
        <x:v>待验证</x:v>
      </x:c>
      <x:c r="AC147" s="72" t="str"/>
      <x:c r="AD147" s="72" t="str">
        <x:v>provisional=true; pattern=FP07</x:v>
      </x:c>
      <x:c r="AE147" s="73" t="str">
        <x:v>0.6</x:v>
      </x:c>
    </x:row>
    <x:row r="148">
      <x:c r="A148" s="71" t="str">
        <x:v>M3-CONFLICT-144</x:v>
      </x:c>
      <x:c r="B148" s="72" t="str">
        <x:v>FP07 规则复核型｜成立与输出门槛</x:v>
      </x:c>
      <x:c r="C148" s="72" t="str">
        <x:v>L3 冲突模式</x:v>
      </x:c>
      <x:c r="D148" s="72" t="str">
        <x:v>CONFLICT-冲突模式</x:v>
      </x:c>
      <x:c r="E148" s="72" t="str">
        <x:v>通用</x:v>
      </x:c>
      <x:c r="F148" s="72" t="str">
        <x:v>模式门槛</x:v>
      </x:c>
      <x:c r="G148" s="72" t="str">
        <x:v>CF07 正官规则复核</x:v>
      </x:c>
      <x:c r="H148" s="72" t="str"/>
      <x:c r="I148" s="72" t="str">
        <x:v>至少两类独立证据支持，且与第一反应、信息焦点或结束条件中的一项一致。</x:v>
      </x:c>
      <x:c r="J148" s="72" t="str">
        <x:v>基础信号未定；真合化后原信号已失效；只有单一弱远争议信号；或该结论会越界到M4风险、M5适配。</x:v>
      </x:c>
      <x:c r="K148" s="72" t="str">
        <x:v>由共享基础引擎与M3-STATE修正；日主承载只修正冲突处理的可执行性，不直接等于强硬或软弱。</x:v>
      </x:c>
      <x:c r="L148" s="72" t="str">
        <x:v>不限定；夫妻星只在责任、行动、投入等冲突议题中参与接口，不作为CONFLICT唯一主轴。</x:v>
      </x:c>
      <x:c r="M148" s="72" t="str">
        <x:v>由M3-BASE、日支主气及宫位动态提供；不得把日支直接写成配偶性格。</x:v>
      </x:c>
      <x:c r="N148" s="72" t="str">
        <x:v>无／待CONFLICT顺序与路径规则组合</x:v>
      </x:c>
      <x:c r="O148" s="72" t="str">
        <x:v>日柱与日支近位优先；全局有效独立信号可作次通道。</x:v>
      </x:c>
      <x:c r="P148" s="72" t="str">
        <x:v>由共享基础引擎判定</x:v>
      </x:c>
      <x:c r="Q148" s="72" t="str">
        <x:v>由共享基础引擎判定</x:v>
      </x:c>
      <x:c r="R148" s="72" t="str">
        <x:v>喜忌不直接等于冲突方式好坏；只修正调用顺畅度、资源压力和状态切换。</x:v>
      </x:c>
      <x:c r="S148" s="72" t="str">
        <x:v>原十神性质有效；真合化成立时按化神所属功能系统重建。</x:v>
      </x:c>
      <x:c r="T148" s="72" t="str">
        <x:v>由共享基础引擎判定</x:v>
      </x:c>
      <x:c r="U148" s="72" t="str">
        <x:v>57</x:v>
      </x:c>
      <x:c r="V148" s="72" t="str">
        <x:v>达到门槛后写入主模式；否则降为候选</x:v>
      </x:c>
      <x:c r="W148" s="72" t="str">
        <x:v>conflict_pattern</x:v>
      </x:c>
      <x:c r="X148" s="72" t="str">
        <x:v>模式只有在不同来源相互印证时才可写入正文；否则降为候选。</x:v>
      </x:c>
      <x:c r="Y148" s="72" t="str">
        <x:v>这一判断只概括你怎样处理分歧，不代表其他方式完全缺失。</x:v>
      </x:c>
      <x:c r="Z14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48" s="72" t="str">
        <x:v>中</x:v>
      </x:c>
      <x:c r="AB148" s="72" t="str">
        <x:v>待验证</x:v>
      </x:c>
      <x:c r="AC148" s="72" t="str"/>
      <x:c r="AD148" s="72" t="str">
        <x:v>provisional=true; pattern=FP07; threshold=true</x:v>
      </x:c>
      <x:c r="AE148" s="73" t="str">
        <x:v>0.6</x:v>
      </x:c>
    </x:row>
    <x:row r="149">
      <x:c r="A149" s="71" t="str">
        <x:v>M3-CONFLICT-145</x:v>
      </x:c>
      <x:c r="B149" s="72" t="str">
        <x:v>FP08 决断处理型｜模式定义</x:v>
      </x:c>
      <x:c r="C149" s="72" t="str">
        <x:v>L3 冲突模式</x:v>
      </x:c>
      <x:c r="D149" s="72" t="str">
        <x:v>CONFLICT-冲突模式</x:v>
      </x:c>
      <x:c r="E149" s="72" t="str">
        <x:v>通用</x:v>
      </x:c>
      <x:c r="F149" s="72" t="str">
        <x:v>模式定义</x:v>
      </x:c>
      <x:c r="G149" s="72" t="str">
        <x:v>CF08 七杀决断处置</x:v>
      </x:c>
      <x:c r="H149" s="72" t="str"/>
      <x:c r="I149" s="72" t="str">
        <x:v>主冲突通道与至少一项过程维度共同支持决断处理型；不得仅凭单一十神标签。</x:v>
      </x:c>
      <x:c r="J149" s="72" t="str">
        <x:v>基础信号未定；真合化后原信号已失效；只有单一弱远争议信号；或该结论会越界到M4风险、M5适配。</x:v>
      </x:c>
      <x:c r="K149" s="72" t="str">
        <x:v>由共享基础引擎与M3-STATE修正；日主承载只修正冲突处理的可执行性，不直接等于强硬或软弱。</x:v>
      </x:c>
      <x:c r="L149" s="72" t="str">
        <x:v>不限定；夫妻星只在责任、行动、投入等冲突议题中参与接口，不作为CONFLICT唯一主轴。</x:v>
      </x:c>
      <x:c r="M149" s="72" t="str">
        <x:v>由M3-BASE、日支主气及宫位动态提供；不得把日支直接写成配偶性格。</x:v>
      </x:c>
      <x:c r="N149" s="72" t="str">
        <x:v>无／待CONFLICT顺序与路径规则组合</x:v>
      </x:c>
      <x:c r="O149" s="72" t="str">
        <x:v>日柱与日支近位优先；全局有效独立信号可作次通道。</x:v>
      </x:c>
      <x:c r="P149" s="72" t="str">
        <x:v>由共享基础引擎判定</x:v>
      </x:c>
      <x:c r="Q149" s="72" t="str">
        <x:v>由共享基础引擎判定</x:v>
      </x:c>
      <x:c r="R149" s="72" t="str">
        <x:v>喜忌不直接等于冲突方式好坏；只修正调用顺畅度、资源压力和状态切换。</x:v>
      </x:c>
      <x:c r="S149" s="72" t="str">
        <x:v>原十神性质有效；真合化成立时按化神所属功能系统重建。</x:v>
      </x:c>
      <x:c r="T149" s="72" t="str">
        <x:v>由共享基础引擎判定</x:v>
      </x:c>
      <x:c r="U149" s="72" t="str">
        <x:v>58</x:v>
      </x:c>
      <x:c r="V149" s="72" t="str">
        <x:v>模式候选 +10</x:v>
      </x:c>
      <x:c r="W149" s="72" t="str">
        <x:v>conflict_pattern</x:v>
      </x:c>
      <x:c r="X149" s="72" t="str">
        <x:v>决断处理型是对冲突处理过程的功能概括，不是人格标签。</x:v>
      </x:c>
      <x:c r="Y149" s="72" t="str">
        <x:v>你的分歧处理更接近决断处理型：关键时刻先把必须处理的部分控制住，再回头谈细节。</x:v>
      </x:c>
      <x:c r="Z14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49" s="72" t="str">
        <x:v>中高</x:v>
      </x:c>
      <x:c r="AB149" s="72" t="str">
        <x:v>待验证</x:v>
      </x:c>
      <x:c r="AC149" s="72" t="str"/>
      <x:c r="AD149" s="72" t="str">
        <x:v>provisional=true; pattern=FP08</x:v>
      </x:c>
      <x:c r="AE149" s="73" t="str">
        <x:v>0.6</x:v>
      </x:c>
    </x:row>
    <x:row r="150">
      <x:c r="A150" s="71" t="str">
        <x:v>M3-CONFLICT-146</x:v>
      </x:c>
      <x:c r="B150" s="72" t="str">
        <x:v>FP08 决断处理型｜成立与输出门槛</x:v>
      </x:c>
      <x:c r="C150" s="72" t="str">
        <x:v>L3 冲突模式</x:v>
      </x:c>
      <x:c r="D150" s="72" t="str">
        <x:v>CONFLICT-冲突模式</x:v>
      </x:c>
      <x:c r="E150" s="72" t="str">
        <x:v>通用</x:v>
      </x:c>
      <x:c r="F150" s="72" t="str">
        <x:v>模式门槛</x:v>
      </x:c>
      <x:c r="G150" s="72" t="str">
        <x:v>CF08 七杀决断处置</x:v>
      </x:c>
      <x:c r="H150" s="72" t="str"/>
      <x:c r="I150" s="72" t="str">
        <x:v>至少两类独立证据支持，且与第一反应、信息焦点或结束条件中的一项一致。</x:v>
      </x:c>
      <x:c r="J150" s="72" t="str">
        <x:v>基础信号未定；真合化后原信号已失效；只有单一弱远争议信号；或该结论会越界到M4风险、M5适配。</x:v>
      </x:c>
      <x:c r="K150" s="72" t="str">
        <x:v>由共享基础引擎与M3-STATE修正；日主承载只修正冲突处理的可执行性，不直接等于强硬或软弱。</x:v>
      </x:c>
      <x:c r="L150" s="72" t="str">
        <x:v>不限定；夫妻星只在责任、行动、投入等冲突议题中参与接口，不作为CONFLICT唯一主轴。</x:v>
      </x:c>
      <x:c r="M150" s="72" t="str">
        <x:v>由M3-BASE、日支主气及宫位动态提供；不得把日支直接写成配偶性格。</x:v>
      </x:c>
      <x:c r="N150" s="72" t="str">
        <x:v>无／待CONFLICT顺序与路径规则组合</x:v>
      </x:c>
      <x:c r="O150" s="72" t="str">
        <x:v>日柱与日支近位优先；全局有效独立信号可作次通道。</x:v>
      </x:c>
      <x:c r="P150" s="72" t="str">
        <x:v>由共享基础引擎判定</x:v>
      </x:c>
      <x:c r="Q150" s="72" t="str">
        <x:v>由共享基础引擎判定</x:v>
      </x:c>
      <x:c r="R150" s="72" t="str">
        <x:v>喜忌不直接等于冲突方式好坏；只修正调用顺畅度、资源压力和状态切换。</x:v>
      </x:c>
      <x:c r="S150" s="72" t="str">
        <x:v>原十神性质有效；真合化成立时按化神所属功能系统重建。</x:v>
      </x:c>
      <x:c r="T150" s="72" t="str">
        <x:v>由共享基础引擎判定</x:v>
      </x:c>
      <x:c r="U150" s="72" t="str">
        <x:v>57</x:v>
      </x:c>
      <x:c r="V150" s="72" t="str">
        <x:v>达到门槛后写入主模式；否则降为候选</x:v>
      </x:c>
      <x:c r="W150" s="72" t="str">
        <x:v>conflict_pattern</x:v>
      </x:c>
      <x:c r="X150" s="72" t="str">
        <x:v>模式只有在不同来源相互印证时才可写入正文；否则降为候选。</x:v>
      </x:c>
      <x:c r="Y150" s="72" t="str">
        <x:v>这一判断只概括你怎样处理分歧，不代表其他方式完全缺失。</x:v>
      </x:c>
      <x:c r="Z15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50" s="72" t="str">
        <x:v>中</x:v>
      </x:c>
      <x:c r="AB150" s="72" t="str">
        <x:v>待验证</x:v>
      </x:c>
      <x:c r="AC150" s="72" t="str"/>
      <x:c r="AD150" s="72" t="str">
        <x:v>provisional=true; pattern=FP08; threshold=true</x:v>
      </x:c>
      <x:c r="AE150" s="73" t="str">
        <x:v>0.6</x:v>
      </x:c>
    </x:row>
    <x:row r="151">
      <x:c r="A151" s="71" t="str">
        <x:v>M3-CONFLICT-147</x:v>
      </x:c>
      <x:c r="B151" s="72" t="str">
        <x:v>FP09 倾听承接型｜模式定义</x:v>
      </x:c>
      <x:c r="C151" s="72" t="str">
        <x:v>L3 冲突模式</x:v>
      </x:c>
      <x:c r="D151" s="72" t="str">
        <x:v>CONFLICT-冲突模式</x:v>
      </x:c>
      <x:c r="E151" s="72" t="str">
        <x:v>通用</x:v>
      </x:c>
      <x:c r="F151" s="72" t="str">
        <x:v>模式定义</x:v>
      </x:c>
      <x:c r="G151" s="72" t="str">
        <x:v>CF09 正印倾听承接</x:v>
      </x:c>
      <x:c r="H151" s="72" t="str"/>
      <x:c r="I151" s="72" t="str">
        <x:v>主冲突通道与至少一项过程维度共同支持倾听承接型；不得仅凭单一十神标签。</x:v>
      </x:c>
      <x:c r="J151" s="72" t="str">
        <x:v>基础信号未定；真合化后原信号已失效；只有单一弱远争议信号；或该结论会越界到M4风险、M5适配。</x:v>
      </x:c>
      <x:c r="K151" s="72" t="str">
        <x:v>由共享基础引擎与M3-STATE修正；日主承载只修正冲突处理的可执行性，不直接等于强硬或软弱。</x:v>
      </x:c>
      <x:c r="L151" s="72" t="str">
        <x:v>不限定；夫妻星只在责任、行动、投入等冲突议题中参与接口，不作为CONFLICT唯一主轴。</x:v>
      </x:c>
      <x:c r="M151" s="72" t="str">
        <x:v>由M3-BASE、日支主气及宫位动态提供；不得把日支直接写成配偶性格。</x:v>
      </x:c>
      <x:c r="N151" s="72" t="str">
        <x:v>无／待CONFLICT顺序与路径规则组合</x:v>
      </x:c>
      <x:c r="O151" s="72" t="str">
        <x:v>日柱与日支近位优先；全局有效独立信号可作次通道。</x:v>
      </x:c>
      <x:c r="P151" s="72" t="str">
        <x:v>由共享基础引擎判定</x:v>
      </x:c>
      <x:c r="Q151" s="72" t="str">
        <x:v>由共享基础引擎判定</x:v>
      </x:c>
      <x:c r="R151" s="72" t="str">
        <x:v>喜忌不直接等于冲突方式好坏；只修正调用顺畅度、资源压力和状态切换。</x:v>
      </x:c>
      <x:c r="S151" s="72" t="str">
        <x:v>原十神性质有效；真合化成立时按化神所属功能系统重建。</x:v>
      </x:c>
      <x:c r="T151" s="72" t="str">
        <x:v>由共享基础引擎判定</x:v>
      </x:c>
      <x:c r="U151" s="72" t="str">
        <x:v>58</x:v>
      </x:c>
      <x:c r="V151" s="72" t="str">
        <x:v>模式候选 +10</x:v>
      </x:c>
      <x:c r="W151" s="72" t="str">
        <x:v>conflict_pattern</x:v>
      </x:c>
      <x:c r="X151" s="72" t="str">
        <x:v>倾听承接型是对冲突处理过程的功能概括，不是人格标签。</x:v>
      </x:c>
      <x:c r="Y151" s="72" t="str">
        <x:v>你的分歧处理更接近倾听承接型：你通常先让双方被听见，再决定问题怎样继续。</x:v>
      </x:c>
      <x:c r="Z15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51" s="72" t="str">
        <x:v>中高</x:v>
      </x:c>
      <x:c r="AB151" s="72" t="str">
        <x:v>待验证</x:v>
      </x:c>
      <x:c r="AC151" s="72" t="str"/>
      <x:c r="AD151" s="72" t="str">
        <x:v>provisional=true; pattern=FP09</x:v>
      </x:c>
      <x:c r="AE151" s="73" t="str">
        <x:v>0.6</x:v>
      </x:c>
    </x:row>
    <x:row r="152">
      <x:c r="A152" s="71" t="str">
        <x:v>M3-CONFLICT-148</x:v>
      </x:c>
      <x:c r="B152" s="72" t="str">
        <x:v>FP09 倾听承接型｜成立与输出门槛</x:v>
      </x:c>
      <x:c r="C152" s="72" t="str">
        <x:v>L3 冲突模式</x:v>
      </x:c>
      <x:c r="D152" s="72" t="str">
        <x:v>CONFLICT-冲突模式</x:v>
      </x:c>
      <x:c r="E152" s="72" t="str">
        <x:v>通用</x:v>
      </x:c>
      <x:c r="F152" s="72" t="str">
        <x:v>模式门槛</x:v>
      </x:c>
      <x:c r="G152" s="72" t="str">
        <x:v>CF09 正印倾听承接</x:v>
      </x:c>
      <x:c r="H152" s="72" t="str"/>
      <x:c r="I152" s="72" t="str">
        <x:v>至少两类独立证据支持，且与第一反应、信息焦点或结束条件中的一项一致。</x:v>
      </x:c>
      <x:c r="J152" s="72" t="str">
        <x:v>基础信号未定；真合化后原信号已失效；只有单一弱远争议信号；或该结论会越界到M4风险、M5适配。</x:v>
      </x:c>
      <x:c r="K152" s="72" t="str">
        <x:v>由共享基础引擎与M3-STATE修正；日主承载只修正冲突处理的可执行性，不直接等于强硬或软弱。</x:v>
      </x:c>
      <x:c r="L152" s="72" t="str">
        <x:v>不限定；夫妻星只在责任、行动、投入等冲突议题中参与接口，不作为CONFLICT唯一主轴。</x:v>
      </x:c>
      <x:c r="M152" s="72" t="str">
        <x:v>由M3-BASE、日支主气及宫位动态提供；不得把日支直接写成配偶性格。</x:v>
      </x:c>
      <x:c r="N152" s="72" t="str">
        <x:v>无／待CONFLICT顺序与路径规则组合</x:v>
      </x:c>
      <x:c r="O152" s="72" t="str">
        <x:v>日柱与日支近位优先；全局有效独立信号可作次通道。</x:v>
      </x:c>
      <x:c r="P152" s="72" t="str">
        <x:v>由共享基础引擎判定</x:v>
      </x:c>
      <x:c r="Q152" s="72" t="str">
        <x:v>由共享基础引擎判定</x:v>
      </x:c>
      <x:c r="R152" s="72" t="str">
        <x:v>喜忌不直接等于冲突方式好坏；只修正调用顺畅度、资源压力和状态切换。</x:v>
      </x:c>
      <x:c r="S152" s="72" t="str">
        <x:v>原十神性质有效；真合化成立时按化神所属功能系统重建。</x:v>
      </x:c>
      <x:c r="T152" s="72" t="str">
        <x:v>由共享基础引擎判定</x:v>
      </x:c>
      <x:c r="U152" s="72" t="str">
        <x:v>57</x:v>
      </x:c>
      <x:c r="V152" s="72" t="str">
        <x:v>达到门槛后写入主模式；否则降为候选</x:v>
      </x:c>
      <x:c r="W152" s="72" t="str">
        <x:v>conflict_pattern</x:v>
      </x:c>
      <x:c r="X152" s="72" t="str">
        <x:v>模式只有在不同来源相互印证时才可写入正文；否则降为候选。</x:v>
      </x:c>
      <x:c r="Y152" s="72" t="str">
        <x:v>这一判断只概括你怎样处理分歧，不代表其他方式完全缺失。</x:v>
      </x:c>
      <x:c r="Z15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52" s="72" t="str">
        <x:v>中</x:v>
      </x:c>
      <x:c r="AB152" s="72" t="str">
        <x:v>待验证</x:v>
      </x:c>
      <x:c r="AC152" s="72" t="str"/>
      <x:c r="AD152" s="72" t="str">
        <x:v>provisional=true; pattern=FP09; threshold=true</x:v>
      </x:c>
      <x:c r="AE152" s="73" t="str">
        <x:v>0.6</x:v>
      </x:c>
    </x:row>
    <x:row r="153">
      <x:c r="A153" s="71" t="str">
        <x:v>M3-CONFLICT-149</x:v>
      </x:c>
      <x:c r="B153" s="72" t="str">
        <x:v>FP10 暂停内化型｜模式定义</x:v>
      </x:c>
      <x:c r="C153" s="72" t="str">
        <x:v>L3 冲突模式</x:v>
      </x:c>
      <x:c r="D153" s="72" t="str">
        <x:v>CONFLICT-冲突模式</x:v>
      </x:c>
      <x:c r="E153" s="72" t="str">
        <x:v>通用</x:v>
      </x:c>
      <x:c r="F153" s="72" t="str">
        <x:v>模式定义</x:v>
      </x:c>
      <x:c r="G153" s="72" t="str">
        <x:v>CF10 偏印暂停内化</x:v>
      </x:c>
      <x:c r="H153" s="72" t="str"/>
      <x:c r="I153" s="72" t="str">
        <x:v>主冲突通道与至少一项过程维度共同支持暂停内化型；不得仅凭单一十神标签。</x:v>
      </x:c>
      <x:c r="J153" s="72" t="str">
        <x:v>基础信号未定；真合化后原信号已失效；只有单一弱远争议信号；或该结论会越界到M4风险、M5适配。</x:v>
      </x:c>
      <x:c r="K153" s="72" t="str">
        <x:v>由共享基础引擎与M3-STATE修正；日主承载只修正冲突处理的可执行性，不直接等于强硬或软弱。</x:v>
      </x:c>
      <x:c r="L153" s="72" t="str">
        <x:v>不限定；夫妻星只在责任、行动、投入等冲突议题中参与接口，不作为CONFLICT唯一主轴。</x:v>
      </x:c>
      <x:c r="M153" s="72" t="str">
        <x:v>由M3-BASE、日支主气及宫位动态提供；不得把日支直接写成配偶性格。</x:v>
      </x:c>
      <x:c r="N153" s="72" t="str">
        <x:v>无／待CONFLICT顺序与路径规则组合</x:v>
      </x:c>
      <x:c r="O153" s="72" t="str">
        <x:v>日柱与日支近位优先；全局有效独立信号可作次通道。</x:v>
      </x:c>
      <x:c r="P153" s="72" t="str">
        <x:v>由共享基础引擎判定</x:v>
      </x:c>
      <x:c r="Q153" s="72" t="str">
        <x:v>由共享基础引擎判定</x:v>
      </x:c>
      <x:c r="R153" s="72" t="str">
        <x:v>喜忌不直接等于冲突方式好坏；只修正调用顺畅度、资源压力和状态切换。</x:v>
      </x:c>
      <x:c r="S153" s="72" t="str">
        <x:v>原十神性质有效；真合化成立时按化神所属功能系统重建。</x:v>
      </x:c>
      <x:c r="T153" s="72" t="str">
        <x:v>由共享基础引擎判定</x:v>
      </x:c>
      <x:c r="U153" s="72" t="str">
        <x:v>58</x:v>
      </x:c>
      <x:c r="V153" s="72" t="str">
        <x:v>模式候选 +10</x:v>
      </x:c>
      <x:c r="W153" s="72" t="str">
        <x:v>conflict_pattern</x:v>
      </x:c>
      <x:c r="X153" s="72" t="str">
        <x:v>暂停内化型是对冲突处理过程的功能概括，不是人格标签。</x:v>
      </x:c>
      <x:c r="Y153" s="72" t="str">
        <x:v>你的分歧处理更接近暂停内化型：你需要先想清楚真正问题，再回到沟通。</x:v>
      </x:c>
      <x:c r="Z15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53" s="72" t="str">
        <x:v>中高</x:v>
      </x:c>
      <x:c r="AB153" s="72" t="str">
        <x:v>待验证</x:v>
      </x:c>
      <x:c r="AC153" s="72" t="str"/>
      <x:c r="AD153" s="72" t="str">
        <x:v>provisional=true; pattern=FP10</x:v>
      </x:c>
      <x:c r="AE153" s="73" t="str">
        <x:v>0.6</x:v>
      </x:c>
    </x:row>
    <x:row r="154">
      <x:c r="A154" s="71" t="str">
        <x:v>M3-CONFLICT-150</x:v>
      </x:c>
      <x:c r="B154" s="72" t="str">
        <x:v>FP10 暂停内化型｜成立与输出门槛</x:v>
      </x:c>
      <x:c r="C154" s="72" t="str">
        <x:v>L3 冲突模式</x:v>
      </x:c>
      <x:c r="D154" s="72" t="str">
        <x:v>CONFLICT-冲突模式</x:v>
      </x:c>
      <x:c r="E154" s="72" t="str">
        <x:v>通用</x:v>
      </x:c>
      <x:c r="F154" s="72" t="str">
        <x:v>模式门槛</x:v>
      </x:c>
      <x:c r="G154" s="72" t="str">
        <x:v>CF10 偏印暂停内化</x:v>
      </x:c>
      <x:c r="H154" s="72" t="str"/>
      <x:c r="I154" s="72" t="str">
        <x:v>至少两类独立证据支持，且与第一反应、信息焦点或结束条件中的一项一致。</x:v>
      </x:c>
      <x:c r="J154" s="72" t="str">
        <x:v>基础信号未定；真合化后原信号已失效；只有单一弱远争议信号；或该结论会越界到M4风险、M5适配。</x:v>
      </x:c>
      <x:c r="K154" s="72" t="str">
        <x:v>由共享基础引擎与M3-STATE修正；日主承载只修正冲突处理的可执行性，不直接等于强硬或软弱。</x:v>
      </x:c>
      <x:c r="L154" s="72" t="str">
        <x:v>不限定；夫妻星只在责任、行动、投入等冲突议题中参与接口，不作为CONFLICT唯一主轴。</x:v>
      </x:c>
      <x:c r="M154" s="72" t="str">
        <x:v>由M3-BASE、日支主气及宫位动态提供；不得把日支直接写成配偶性格。</x:v>
      </x:c>
      <x:c r="N154" s="72" t="str">
        <x:v>无／待CONFLICT顺序与路径规则组合</x:v>
      </x:c>
      <x:c r="O154" s="72" t="str">
        <x:v>日柱与日支近位优先；全局有效独立信号可作次通道。</x:v>
      </x:c>
      <x:c r="P154" s="72" t="str">
        <x:v>由共享基础引擎判定</x:v>
      </x:c>
      <x:c r="Q154" s="72" t="str">
        <x:v>由共享基础引擎判定</x:v>
      </x:c>
      <x:c r="R154" s="72" t="str">
        <x:v>喜忌不直接等于冲突方式好坏；只修正调用顺畅度、资源压力和状态切换。</x:v>
      </x:c>
      <x:c r="S154" s="72" t="str">
        <x:v>原十神性质有效；真合化成立时按化神所属功能系统重建。</x:v>
      </x:c>
      <x:c r="T154" s="72" t="str">
        <x:v>由共享基础引擎判定</x:v>
      </x:c>
      <x:c r="U154" s="72" t="str">
        <x:v>57</x:v>
      </x:c>
      <x:c r="V154" s="72" t="str">
        <x:v>达到门槛后写入主模式；否则降为候选</x:v>
      </x:c>
      <x:c r="W154" s="72" t="str">
        <x:v>conflict_pattern</x:v>
      </x:c>
      <x:c r="X154" s="72" t="str">
        <x:v>模式只有在不同来源相互印证时才可写入正文；否则降为候选。</x:v>
      </x:c>
      <x:c r="Y154" s="72" t="str">
        <x:v>这一判断只概括你怎样处理分歧，不代表其他方式完全缺失。</x:v>
      </x:c>
      <x:c r="Z15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54" s="72" t="str">
        <x:v>中</x:v>
      </x:c>
      <x:c r="AB154" s="72" t="str">
        <x:v>待验证</x:v>
      </x:c>
      <x:c r="AC154" s="72" t="str"/>
      <x:c r="AD154" s="72" t="str">
        <x:v>provisional=true; pattern=FP10; threshold=true</x:v>
      </x:c>
      <x:c r="AE154" s="73" t="str">
        <x:v>0.6</x:v>
      </x:c>
    </x:row>
    <x:row r="155">
      <x:c r="A155" s="71" t="str">
        <x:v>M3-CONFLICT-151</x:v>
      </x:c>
      <x:c r="B155" s="72" t="str">
        <x:v>FP11 双阶段协同型｜模式定义</x:v>
      </x:c>
      <x:c r="C155" s="72" t="str">
        <x:v>L3 冲突模式</x:v>
      </x:c>
      <x:c r="D155" s="72" t="str">
        <x:v>CONFLICT-冲突模式</x:v>
      </x:c>
      <x:c r="E155" s="72" t="str">
        <x:v>通用</x:v>
      </x:c>
      <x:c r="F155" s="72" t="str">
        <x:v>模式定义</x:v>
      </x:c>
      <x:c r="G155" s="72" t="str">
        <x:v>两项功能独立的冲突通道</x:v>
      </x:c>
      <x:c r="H155" s="72" t="str"/>
      <x:c r="I155" s="72" t="str">
        <x:v>主冲突通道与至少一项过程维度共同支持双阶段协同型；不得仅凭单一十神标签。</x:v>
      </x:c>
      <x:c r="J155" s="72" t="str">
        <x:v>基础信号未定；真合化后原信号已失效；只有单一弱远争议信号；或该结论会越界到M4风险、M5适配。</x:v>
      </x:c>
      <x:c r="K155" s="72" t="str">
        <x:v>由共享基础引擎与M3-STATE修正；日主承载只修正冲突处理的可执行性，不直接等于强硬或软弱。</x:v>
      </x:c>
      <x:c r="L155" s="72" t="str">
        <x:v>不限定；夫妻星只在责任、行动、投入等冲突议题中参与接口，不作为CONFLICT唯一主轴。</x:v>
      </x:c>
      <x:c r="M155" s="72" t="str">
        <x:v>由M3-BASE、日支主气及宫位动态提供；不得把日支直接写成配偶性格。</x:v>
      </x:c>
      <x:c r="N155" s="72" t="str">
        <x:v>无／待CONFLICT顺序与路径规则组合</x:v>
      </x:c>
      <x:c r="O155" s="72" t="str">
        <x:v>日柱与日支近位优先；全局有效独立信号可作次通道。</x:v>
      </x:c>
      <x:c r="P155" s="72" t="str">
        <x:v>由共享基础引擎判定</x:v>
      </x:c>
      <x:c r="Q155" s="72" t="str">
        <x:v>由共享基础引擎判定</x:v>
      </x:c>
      <x:c r="R155" s="72" t="str">
        <x:v>喜忌不直接等于冲突方式好坏；只修正调用顺畅度、资源压力和状态切换。</x:v>
      </x:c>
      <x:c r="S155" s="72" t="str">
        <x:v>原十神性质有效；真合化成立时按化神所属功能系统重建。</x:v>
      </x:c>
      <x:c r="T155" s="72" t="str">
        <x:v>由共享基础引擎判定</x:v>
      </x:c>
      <x:c r="U155" s="72" t="str">
        <x:v>58</x:v>
      </x:c>
      <x:c r="V155" s="72" t="str">
        <x:v>模式候选 +10</x:v>
      </x:c>
      <x:c r="W155" s="72" t="str">
        <x:v>conflict_pattern</x:v>
      </x:c>
      <x:c r="X155" s="72" t="str">
        <x:v>双阶段协同型是对冲突处理过程的功能概括，不是人格标签。</x:v>
      </x:c>
      <x:c r="Y155" s="72" t="str">
        <x:v>你的分歧处理更接近双阶段协同型：第一种方式负责让问题进入可处理状态，第二种方式负责把事情完成。</x:v>
      </x:c>
      <x:c r="Z15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55" s="72" t="str">
        <x:v>中高</x:v>
      </x:c>
      <x:c r="AB155" s="72" t="str">
        <x:v>待验证</x:v>
      </x:c>
      <x:c r="AC155" s="72" t="str"/>
      <x:c r="AD155" s="72" t="str">
        <x:v>provisional=true; pattern=FP11</x:v>
      </x:c>
      <x:c r="AE155" s="73" t="str">
        <x:v>0.6</x:v>
      </x:c>
    </x:row>
    <x:row r="156">
      <x:c r="A156" s="71" t="str">
        <x:v>M3-CONFLICT-152</x:v>
      </x:c>
      <x:c r="B156" s="72" t="str">
        <x:v>FP11 双阶段协同型｜成立与输出门槛</x:v>
      </x:c>
      <x:c r="C156" s="72" t="str">
        <x:v>L3 冲突模式</x:v>
      </x:c>
      <x:c r="D156" s="72" t="str">
        <x:v>CONFLICT-冲突模式</x:v>
      </x:c>
      <x:c r="E156" s="72" t="str">
        <x:v>通用</x:v>
      </x:c>
      <x:c r="F156" s="72" t="str">
        <x:v>模式门槛</x:v>
      </x:c>
      <x:c r="G156" s="72" t="str">
        <x:v>两项功能独立的冲突通道</x:v>
      </x:c>
      <x:c r="H156" s="72" t="str"/>
      <x:c r="I156" s="72" t="str">
        <x:v>至少两类独立证据支持，且与第一反应、信息焦点或结束条件中的一项一致。</x:v>
      </x:c>
      <x:c r="J156" s="72" t="str">
        <x:v>基础信号未定；真合化后原信号已失效；只有单一弱远争议信号；或该结论会越界到M4风险、M5适配。</x:v>
      </x:c>
      <x:c r="K156" s="72" t="str">
        <x:v>由共享基础引擎与M3-STATE修正；日主承载只修正冲突处理的可执行性，不直接等于强硬或软弱。</x:v>
      </x:c>
      <x:c r="L156" s="72" t="str">
        <x:v>不限定；夫妻星只在责任、行动、投入等冲突议题中参与接口，不作为CONFLICT唯一主轴。</x:v>
      </x:c>
      <x:c r="M156" s="72" t="str">
        <x:v>由M3-BASE、日支主气及宫位动态提供；不得把日支直接写成配偶性格。</x:v>
      </x:c>
      <x:c r="N156" s="72" t="str">
        <x:v>无／待CONFLICT顺序与路径规则组合</x:v>
      </x:c>
      <x:c r="O156" s="72" t="str">
        <x:v>日柱与日支近位优先；全局有效独立信号可作次通道。</x:v>
      </x:c>
      <x:c r="P156" s="72" t="str">
        <x:v>由共享基础引擎判定</x:v>
      </x:c>
      <x:c r="Q156" s="72" t="str">
        <x:v>由共享基础引擎判定</x:v>
      </x:c>
      <x:c r="R156" s="72" t="str">
        <x:v>喜忌不直接等于冲突方式好坏；只修正调用顺畅度、资源压力和状态切换。</x:v>
      </x:c>
      <x:c r="S156" s="72" t="str">
        <x:v>原十神性质有效；真合化成立时按化神所属功能系统重建。</x:v>
      </x:c>
      <x:c r="T156" s="72" t="str">
        <x:v>由共享基础引擎判定</x:v>
      </x:c>
      <x:c r="U156" s="72" t="str">
        <x:v>57</x:v>
      </x:c>
      <x:c r="V156" s="72" t="str">
        <x:v>达到门槛后写入主模式；否则降为候选</x:v>
      </x:c>
      <x:c r="W156" s="72" t="str">
        <x:v>conflict_pattern</x:v>
      </x:c>
      <x:c r="X156" s="72" t="str">
        <x:v>模式只有在不同来源相互印证时才可写入正文；否则降为候选。</x:v>
      </x:c>
      <x:c r="Y156" s="72" t="str">
        <x:v>这一判断只概括你怎样处理分歧，不代表其他方式完全缺失。</x:v>
      </x:c>
      <x:c r="Z15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56" s="72" t="str">
        <x:v>中</x:v>
      </x:c>
      <x:c r="AB156" s="72" t="str">
        <x:v>待验证</x:v>
      </x:c>
      <x:c r="AC156" s="72" t="str"/>
      <x:c r="AD156" s="72" t="str">
        <x:v>provisional=true; pattern=FP11; threshold=true</x:v>
      </x:c>
      <x:c r="AE156" s="73" t="str">
        <x:v>0.6</x:v>
      </x:c>
    </x:row>
    <x:row r="157">
      <x:c r="A157" s="71" t="str">
        <x:v>M3-CONFLICT-153</x:v>
      </x:c>
      <x:c r="B157" s="72" t="str">
        <x:v>FP12 情境切换型｜模式定义</x:v>
      </x:c>
      <x:c r="C157" s="72" t="str">
        <x:v>L3 冲突模式</x:v>
      </x:c>
      <x:c r="D157" s="72" t="str">
        <x:v>CONFLICT-冲突模式</x:v>
      </x:c>
      <x:c r="E157" s="72" t="str">
        <x:v>通用</x:v>
      </x:c>
      <x:c r="F157" s="72" t="str">
        <x:v>模式定义</x:v>
      </x:c>
      <x:c r="G157" s="72" t="str">
        <x:v>平稳与压力状态调用不同通道</x:v>
      </x:c>
      <x:c r="H157" s="72" t="str"/>
      <x:c r="I157" s="72" t="str">
        <x:v>主冲突通道与至少一项过程维度共同支持情境切换型；不得仅凭单一十神标签。</x:v>
      </x:c>
      <x:c r="J157" s="72" t="str">
        <x:v>基础信号未定；真合化后原信号已失效；只有单一弱远争议信号；或该结论会越界到M4风险、M5适配。</x:v>
      </x:c>
      <x:c r="K157" s="72" t="str">
        <x:v>由共享基础引擎与M3-STATE修正；日主承载只修正冲突处理的可执行性，不直接等于强硬或软弱。</x:v>
      </x:c>
      <x:c r="L157" s="72" t="str">
        <x:v>不限定；夫妻星只在责任、行动、投入等冲突议题中参与接口，不作为CONFLICT唯一主轴。</x:v>
      </x:c>
      <x:c r="M157" s="72" t="str">
        <x:v>由M3-BASE、日支主气及宫位动态提供；不得把日支直接写成配偶性格。</x:v>
      </x:c>
      <x:c r="N157" s="72" t="str">
        <x:v>无／待CONFLICT顺序与路径规则组合</x:v>
      </x:c>
      <x:c r="O157" s="72" t="str">
        <x:v>日柱与日支近位优先；全局有效独立信号可作次通道。</x:v>
      </x:c>
      <x:c r="P157" s="72" t="str">
        <x:v>由共享基础引擎判定</x:v>
      </x:c>
      <x:c r="Q157" s="72" t="str">
        <x:v>由共享基础引擎判定</x:v>
      </x:c>
      <x:c r="R157" s="72" t="str">
        <x:v>喜忌不直接等于冲突方式好坏；只修正调用顺畅度、资源压力和状态切换。</x:v>
      </x:c>
      <x:c r="S157" s="72" t="str">
        <x:v>原十神性质有效；真合化成立时按化神所属功能系统重建。</x:v>
      </x:c>
      <x:c r="T157" s="72" t="str">
        <x:v>由共享基础引擎判定</x:v>
      </x:c>
      <x:c r="U157" s="72" t="str">
        <x:v>58</x:v>
      </x:c>
      <x:c r="V157" s="72" t="str">
        <x:v>模式候选 +10</x:v>
      </x:c>
      <x:c r="W157" s="72" t="str">
        <x:v>conflict_pattern</x:v>
      </x:c>
      <x:c r="X157" s="72" t="str">
        <x:v>情境切换型是对冲突处理过程的功能概括，不是人格标签。</x:v>
      </x:c>
      <x:c r="Y157" s="72" t="str">
        <x:v>你的分歧处理更接近情境切换型：日常小分歧和高压力事件可能调用不同方式。</x:v>
      </x:c>
      <x:c r="Z15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57" s="72" t="str">
        <x:v>中高</x:v>
      </x:c>
      <x:c r="AB157" s="72" t="str">
        <x:v>待验证</x:v>
      </x:c>
      <x:c r="AC157" s="72" t="str"/>
      <x:c r="AD157" s="72" t="str">
        <x:v>provisional=true; pattern=FP12</x:v>
      </x:c>
      <x:c r="AE157" s="73" t="str">
        <x:v>0.6</x:v>
      </x:c>
    </x:row>
    <x:row r="158">
      <x:c r="A158" s="71" t="str">
        <x:v>M3-CONFLICT-154</x:v>
      </x:c>
      <x:c r="B158" s="72" t="str">
        <x:v>FP12 情境切换型｜成立与输出门槛</x:v>
      </x:c>
      <x:c r="C158" s="72" t="str">
        <x:v>L3 冲突模式</x:v>
      </x:c>
      <x:c r="D158" s="72" t="str">
        <x:v>CONFLICT-冲突模式</x:v>
      </x:c>
      <x:c r="E158" s="72" t="str">
        <x:v>通用</x:v>
      </x:c>
      <x:c r="F158" s="72" t="str">
        <x:v>模式门槛</x:v>
      </x:c>
      <x:c r="G158" s="72" t="str">
        <x:v>平稳与压力状态调用不同通道</x:v>
      </x:c>
      <x:c r="H158" s="72" t="str"/>
      <x:c r="I158" s="72" t="str">
        <x:v>至少两类独立证据支持，且与第一反应、信息焦点或结束条件中的一项一致。</x:v>
      </x:c>
      <x:c r="J158" s="72" t="str">
        <x:v>基础信号未定；真合化后原信号已失效；只有单一弱远争议信号；或该结论会越界到M4风险、M5适配。</x:v>
      </x:c>
      <x:c r="K158" s="72" t="str">
        <x:v>由共享基础引擎与M3-STATE修正；日主承载只修正冲突处理的可执行性，不直接等于强硬或软弱。</x:v>
      </x:c>
      <x:c r="L158" s="72" t="str">
        <x:v>不限定；夫妻星只在责任、行动、投入等冲突议题中参与接口，不作为CONFLICT唯一主轴。</x:v>
      </x:c>
      <x:c r="M158" s="72" t="str">
        <x:v>由M3-BASE、日支主气及宫位动态提供；不得把日支直接写成配偶性格。</x:v>
      </x:c>
      <x:c r="N158" s="72" t="str">
        <x:v>无／待CONFLICT顺序与路径规则组合</x:v>
      </x:c>
      <x:c r="O158" s="72" t="str">
        <x:v>日柱与日支近位优先；全局有效独立信号可作次通道。</x:v>
      </x:c>
      <x:c r="P158" s="72" t="str">
        <x:v>由共享基础引擎判定</x:v>
      </x:c>
      <x:c r="Q158" s="72" t="str">
        <x:v>由共享基础引擎判定</x:v>
      </x:c>
      <x:c r="R158" s="72" t="str">
        <x:v>喜忌不直接等于冲突方式好坏；只修正调用顺畅度、资源压力和状态切换。</x:v>
      </x:c>
      <x:c r="S158" s="72" t="str">
        <x:v>原十神性质有效；真合化成立时按化神所属功能系统重建。</x:v>
      </x:c>
      <x:c r="T158" s="72" t="str">
        <x:v>由共享基础引擎判定</x:v>
      </x:c>
      <x:c r="U158" s="72" t="str">
        <x:v>57</x:v>
      </x:c>
      <x:c r="V158" s="72" t="str">
        <x:v>达到门槛后写入主模式；否则降为候选</x:v>
      </x:c>
      <x:c r="W158" s="72" t="str">
        <x:v>conflict_pattern</x:v>
      </x:c>
      <x:c r="X158" s="72" t="str">
        <x:v>模式只有在不同来源相互印证时才可写入正文；否则降为候选。</x:v>
      </x:c>
      <x:c r="Y158" s="72" t="str">
        <x:v>这一判断只概括你怎样处理分歧，不代表其他方式完全缺失。</x:v>
      </x:c>
      <x:c r="Z15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58" s="72" t="str">
        <x:v>中</x:v>
      </x:c>
      <x:c r="AB158" s="72" t="str">
        <x:v>待验证</x:v>
      </x:c>
      <x:c r="AC158" s="72" t="str"/>
      <x:c r="AD158" s="72" t="str">
        <x:v>provisional=true; pattern=FP12; threshold=true</x:v>
      </x:c>
      <x:c r="AE158" s="73" t="str">
        <x:v>0.6</x:v>
      </x:c>
    </x:row>
    <x:row r="159">
      <x:c r="A159" s="71" t="str">
        <x:v>M3-CONFLICT-155</x:v>
      </x:c>
      <x:c r="B159" s="72" t="str">
        <x:v>FO01 立场先行｜冲突处理顺序</x:v>
      </x:c>
      <x:c r="C159" s="72" t="str">
        <x:v>L4 处理顺序与路径</x:v>
      </x:c>
      <x:c r="D159" s="72" t="str">
        <x:v>CONFLICT-处理顺序</x:v>
      </x:c>
      <x:c r="E159" s="72" t="str">
        <x:v>通用</x:v>
      </x:c>
      <x:c r="F159" s="72" t="str">
        <x:v>顺序</x:v>
      </x:c>
      <x:c r="G159" s="72" t="str">
        <x:v>FO01</x:v>
      </x:c>
      <x:c r="H159" s="72" t="str"/>
      <x:c r="I159" s="72" t="str">
        <x:v>至少两个有效节点形成可解释先后，且不是仅由柱位或五行生克机械推出。</x:v>
      </x:c>
      <x:c r="J159" s="72" t="str">
        <x:v>基础信号未定；真合化后原信号已失效；只有单一弱远争议信号；或该结论会越界到M4风险、M5适配。</x:v>
      </x:c>
      <x:c r="K159" s="72" t="str">
        <x:v>由共享基础引擎与M3-STATE修正；日主承载只修正冲突处理的可执行性，不直接等于强硬或软弱。</x:v>
      </x:c>
      <x:c r="L159" s="72" t="str">
        <x:v>不限定；夫妻星只在责任、行动、投入等冲突议题中参与接口，不作为CONFLICT唯一主轴。</x:v>
      </x:c>
      <x:c r="M159" s="72" t="str">
        <x:v>由M3-BASE、日支主气及宫位动态提供；不得把日支直接写成配偶性格。</x:v>
      </x:c>
      <x:c r="N159" s="72" t="str">
        <x:v>无／待CONFLICT顺序与路径规则组合</x:v>
      </x:c>
      <x:c r="O159" s="72" t="str">
        <x:v>日柱与日支近位优先；全局有效独立信号可作次通道。</x:v>
      </x:c>
      <x:c r="P159" s="72" t="str">
        <x:v>由共享基础引擎判定</x:v>
      </x:c>
      <x:c r="Q159" s="72" t="str">
        <x:v>由共享基础引擎判定</x:v>
      </x:c>
      <x:c r="R159" s="72" t="str">
        <x:v>喜忌不直接等于冲突方式好坏；只修正调用顺畅度、资源压力和状态切换。</x:v>
      </x:c>
      <x:c r="S159" s="72" t="str">
        <x:v>原十神性质有效；真合化成立时按化神所属功能系统重建。</x:v>
      </x:c>
      <x:c r="T159" s="72" t="str">
        <x:v>由共享基础引擎判定</x:v>
      </x:c>
      <x:c r="U159" s="72" t="str">
        <x:v>55</x:v>
      </x:c>
      <x:c r="V159" s="72" t="str">
        <x:v>顺序候选 +6</x:v>
      </x:c>
      <x:c r="W159" s="72" t="str">
        <x:v>conflict_sequence</x:v>
      </x:c>
      <x:c r="X159" s="72" t="str">
        <x:v>先说明各自观点、权限和不能接受的部分，再协商。</x:v>
      </x:c>
      <x:c r="Y159" s="72" t="str">
        <x:v>分歧出现时，你更容易先把自己的立场和边界说清，再进入具体协商。</x:v>
      </x:c>
      <x:c r="Z15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59" s="72" t="str">
        <x:v>中</x:v>
      </x:c>
      <x:c r="AB159" s="72" t="str">
        <x:v>待验证</x:v>
      </x:c>
      <x:c r="AC159" s="72" t="str"/>
      <x:c r="AD159" s="72" t="str">
        <x:v>provisional=true; order=FO01</x:v>
      </x:c>
      <x:c r="AE159" s="73" t="str">
        <x:v>0.6</x:v>
      </x:c>
    </x:row>
    <x:row r="160">
      <x:c r="A160" s="71" t="str">
        <x:v>M3-CONFLICT-156</x:v>
      </x:c>
      <x:c r="B160" s="72" t="str">
        <x:v>FO02 事实先行｜冲突处理顺序</x:v>
      </x:c>
      <x:c r="C160" s="72" t="str">
        <x:v>L4 处理顺序与路径</x:v>
      </x:c>
      <x:c r="D160" s="72" t="str">
        <x:v>CONFLICT-处理顺序</x:v>
      </x:c>
      <x:c r="E160" s="72" t="str">
        <x:v>通用</x:v>
      </x:c>
      <x:c r="F160" s="72" t="str">
        <x:v>顺序</x:v>
      </x:c>
      <x:c r="G160" s="72" t="str">
        <x:v>FO02</x:v>
      </x:c>
      <x:c r="H160" s="72" t="str"/>
      <x:c r="I160" s="72" t="str">
        <x:v>至少两个有效节点形成可解释先后，且不是仅由柱位或五行生克机械推出。</x:v>
      </x:c>
      <x:c r="J160" s="72" t="str">
        <x:v>基础信号未定；真合化后原信号已失效；只有单一弱远争议信号；或该结论会越界到M4风险、M5适配。</x:v>
      </x:c>
      <x:c r="K160" s="72" t="str">
        <x:v>由共享基础引擎与M3-STATE修正；日主承载只修正冲突处理的可执行性，不直接等于强硬或软弱。</x:v>
      </x:c>
      <x:c r="L160" s="72" t="str">
        <x:v>不限定；夫妻星只在责任、行动、投入等冲突议题中参与接口，不作为CONFLICT唯一主轴。</x:v>
      </x:c>
      <x:c r="M160" s="72" t="str">
        <x:v>由M3-BASE、日支主气及宫位动态提供；不得把日支直接写成配偶性格。</x:v>
      </x:c>
      <x:c r="N160" s="72" t="str">
        <x:v>无／待CONFLICT顺序与路径规则组合</x:v>
      </x:c>
      <x:c r="O160" s="72" t="str">
        <x:v>日柱与日支近位优先；全局有效独立信号可作次通道。</x:v>
      </x:c>
      <x:c r="P160" s="72" t="str">
        <x:v>由共享基础引擎判定</x:v>
      </x:c>
      <x:c r="Q160" s="72" t="str">
        <x:v>由共享基础引擎判定</x:v>
      </x:c>
      <x:c r="R160" s="72" t="str">
        <x:v>喜忌不直接等于冲突方式好坏；只修正调用顺畅度、资源压力和状态切换。</x:v>
      </x:c>
      <x:c r="S160" s="72" t="str">
        <x:v>原十神性质有效；真合化成立时按化神所属功能系统重建。</x:v>
      </x:c>
      <x:c r="T160" s="72" t="str">
        <x:v>由共享基础引擎判定</x:v>
      </x:c>
      <x:c r="U160" s="72" t="str">
        <x:v>55</x:v>
      </x:c>
      <x:c r="V160" s="72" t="str">
        <x:v>顺序候选 +6</x:v>
      </x:c>
      <x:c r="W160" s="72" t="str">
        <x:v>conflict_sequence</x:v>
      </x:c>
      <x:c r="X160" s="72" t="str">
        <x:v>先核对发生了什么、信息是否一致，再处理感受和责任。</x:v>
      </x:c>
      <x:c r="Y160" s="72" t="str">
        <x:v>你通常先确认事实和问题本身，再讨论情绪、责任或下一步。</x:v>
      </x:c>
      <x:c r="Z16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60" s="72" t="str">
        <x:v>中</x:v>
      </x:c>
      <x:c r="AB160" s="72" t="str">
        <x:v>待验证</x:v>
      </x:c>
      <x:c r="AC160" s="72" t="str"/>
      <x:c r="AD160" s="72" t="str">
        <x:v>provisional=true; order=FO02</x:v>
      </x:c>
      <x:c r="AE160" s="73" t="str">
        <x:v>0.6</x:v>
      </x:c>
    </x:row>
    <x:row r="161">
      <x:c r="A161" s="71" t="str">
        <x:v>M3-CONFLICT-157</x:v>
      </x:c>
      <x:c r="B161" s="72" t="str">
        <x:v>FO03 感受先行｜冲突处理顺序</x:v>
      </x:c>
      <x:c r="C161" s="72" t="str">
        <x:v>L4 处理顺序与路径</x:v>
      </x:c>
      <x:c r="D161" s="72" t="str">
        <x:v>CONFLICT-处理顺序</x:v>
      </x:c>
      <x:c r="E161" s="72" t="str">
        <x:v>通用</x:v>
      </x:c>
      <x:c r="F161" s="72" t="str">
        <x:v>顺序</x:v>
      </x:c>
      <x:c r="G161" s="72" t="str">
        <x:v>FO03</x:v>
      </x:c>
      <x:c r="H161" s="72" t="str"/>
      <x:c r="I161" s="72" t="str">
        <x:v>至少两个有效节点形成可解释先后，且不是仅由柱位或五行生克机械推出。</x:v>
      </x:c>
      <x:c r="J161" s="72" t="str">
        <x:v>基础信号未定；真合化后原信号已失效；只有单一弱远争议信号；或该结论会越界到M4风险、M5适配。</x:v>
      </x:c>
      <x:c r="K161" s="72" t="str">
        <x:v>由共享基础引擎与M3-STATE修正；日主承载只修正冲突处理的可执行性，不直接等于强硬或软弱。</x:v>
      </x:c>
      <x:c r="L161" s="72" t="str">
        <x:v>不限定；夫妻星只在责任、行动、投入等冲突议题中参与接口，不作为CONFLICT唯一主轴。</x:v>
      </x:c>
      <x:c r="M161" s="72" t="str">
        <x:v>由M3-BASE、日支主气及宫位动态提供；不得把日支直接写成配偶性格。</x:v>
      </x:c>
      <x:c r="N161" s="72" t="str">
        <x:v>无／待CONFLICT顺序与路径规则组合</x:v>
      </x:c>
      <x:c r="O161" s="72" t="str">
        <x:v>日柱与日支近位优先；全局有效独立信号可作次通道。</x:v>
      </x:c>
      <x:c r="P161" s="72" t="str">
        <x:v>由共享基础引擎判定</x:v>
      </x:c>
      <x:c r="Q161" s="72" t="str">
        <x:v>由共享基础引擎判定</x:v>
      </x:c>
      <x:c r="R161" s="72" t="str">
        <x:v>喜忌不直接等于冲突方式好坏；只修正调用顺畅度、资源压力和状态切换。</x:v>
      </x:c>
      <x:c r="S161" s="72" t="str">
        <x:v>原十神性质有效；真合化成立时按化神所属功能系统重建。</x:v>
      </x:c>
      <x:c r="T161" s="72" t="str">
        <x:v>由共享基础引擎判定</x:v>
      </x:c>
      <x:c r="U161" s="72" t="str">
        <x:v>55</x:v>
      </x:c>
      <x:c r="V161" s="72" t="str">
        <x:v>顺序候选 +6</x:v>
      </x:c>
      <x:c r="W161" s="72" t="str">
        <x:v>conflict_sequence</x:v>
      </x:c>
      <x:c r="X161" s="72" t="str">
        <x:v>先确认感受与背景，让沟通恢复安全，再进入事实和方案。</x:v>
      </x:c>
      <x:c r="Y161" s="72" t="str">
        <x:v>你更容易先把彼此的感受和背景听明白，再处理事情本身。</x:v>
      </x:c>
      <x:c r="Z16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61" s="72" t="str">
        <x:v>中</x:v>
      </x:c>
      <x:c r="AB161" s="72" t="str">
        <x:v>待验证</x:v>
      </x:c>
      <x:c r="AC161" s="72" t="str"/>
      <x:c r="AD161" s="72" t="str">
        <x:v>provisional=true; order=FO03</x:v>
      </x:c>
      <x:c r="AE161" s="73" t="str">
        <x:v>0.6</x:v>
      </x:c>
    </x:row>
    <x:row r="162">
      <x:c r="A162" s="71" t="str">
        <x:v>M3-CONFLICT-158</x:v>
      </x:c>
      <x:c r="B162" s="72" t="str">
        <x:v>FO04 责任先行｜冲突处理顺序</x:v>
      </x:c>
      <x:c r="C162" s="72" t="str">
        <x:v>L4 处理顺序与路径</x:v>
      </x:c>
      <x:c r="D162" s="72" t="str">
        <x:v>CONFLICT-处理顺序</x:v>
      </x:c>
      <x:c r="E162" s="72" t="str">
        <x:v>通用</x:v>
      </x:c>
      <x:c r="F162" s="72" t="str">
        <x:v>顺序</x:v>
      </x:c>
      <x:c r="G162" s="72" t="str">
        <x:v>FO04</x:v>
      </x:c>
      <x:c r="H162" s="72" t="str"/>
      <x:c r="I162" s="72" t="str">
        <x:v>至少两个有效节点形成可解释先后，且不是仅由柱位或五行生克机械推出。</x:v>
      </x:c>
      <x:c r="J162" s="72" t="str">
        <x:v>基础信号未定；真合化后原信号已失效；只有单一弱远争议信号；或该结论会越界到M4风险、M5适配。</x:v>
      </x:c>
      <x:c r="K162" s="72" t="str">
        <x:v>由共享基础引擎与M3-STATE修正；日主承载只修正冲突处理的可执行性，不直接等于强硬或软弱。</x:v>
      </x:c>
      <x:c r="L162" s="72" t="str">
        <x:v>不限定；夫妻星只在责任、行动、投入等冲突议题中参与接口，不作为CONFLICT唯一主轴。</x:v>
      </x:c>
      <x:c r="M162" s="72" t="str">
        <x:v>由M3-BASE、日支主气及宫位动态提供；不得把日支直接写成配偶性格。</x:v>
      </x:c>
      <x:c r="N162" s="72" t="str">
        <x:v>无／待CONFLICT顺序与路径规则组合</x:v>
      </x:c>
      <x:c r="O162" s="72" t="str">
        <x:v>日柱与日支近位优先；全局有效独立信号可作次通道。</x:v>
      </x:c>
      <x:c r="P162" s="72" t="str">
        <x:v>由共享基础引擎判定</x:v>
      </x:c>
      <x:c r="Q162" s="72" t="str">
        <x:v>由共享基础引擎判定</x:v>
      </x:c>
      <x:c r="R162" s="72" t="str">
        <x:v>喜忌不直接等于冲突方式好坏；只修正调用顺畅度、资源压力和状态切换。</x:v>
      </x:c>
      <x:c r="S162" s="72" t="str">
        <x:v>原十神性质有效；真合化成立时按化神所属功能系统重建。</x:v>
      </x:c>
      <x:c r="T162" s="72" t="str">
        <x:v>由共享基础引擎判定</x:v>
      </x:c>
      <x:c r="U162" s="72" t="str">
        <x:v>55</x:v>
      </x:c>
      <x:c r="V162" s="72" t="str">
        <x:v>顺序候选 +6</x:v>
      </x:c>
      <x:c r="W162" s="72" t="str">
        <x:v>conflict_sequence</x:v>
      </x:c>
      <x:c r="X162" s="72" t="str">
        <x:v>先确认承诺、分工和应承担部分，再决定怎样修正。</x:v>
      </x:c>
      <x:c r="Y162" s="72" t="str">
        <x:v>你往往先回到责任和约定，确认谁需要做什么，再讨论其他层面。</x:v>
      </x:c>
      <x:c r="Z16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62" s="72" t="str">
        <x:v>中</x:v>
      </x:c>
      <x:c r="AB162" s="72" t="str">
        <x:v>待验证</x:v>
      </x:c>
      <x:c r="AC162" s="72" t="str"/>
      <x:c r="AD162" s="72" t="str">
        <x:v>provisional=true; order=FO04</x:v>
      </x:c>
      <x:c r="AE162" s="73" t="str">
        <x:v>0.6</x:v>
      </x:c>
    </x:row>
    <x:row r="163">
      <x:c r="A163" s="71" t="str">
        <x:v>M3-CONFLICT-159</x:v>
      </x:c>
      <x:c r="B163" s="72" t="str">
        <x:v>FO05 方案先行｜冲突处理顺序</x:v>
      </x:c>
      <x:c r="C163" s="72" t="str">
        <x:v>L4 处理顺序与路径</x:v>
      </x:c>
      <x:c r="D163" s="72" t="str">
        <x:v>CONFLICT-处理顺序</x:v>
      </x:c>
      <x:c r="E163" s="72" t="str">
        <x:v>通用</x:v>
      </x:c>
      <x:c r="F163" s="72" t="str">
        <x:v>顺序</x:v>
      </x:c>
      <x:c r="G163" s="72" t="str">
        <x:v>FO05</x:v>
      </x:c>
      <x:c r="H163" s="72" t="str"/>
      <x:c r="I163" s="72" t="str">
        <x:v>至少两个有效节点形成可解释先后，且不是仅由柱位或五行生克机械推出。</x:v>
      </x:c>
      <x:c r="J163" s="72" t="str">
        <x:v>基础信号未定；真合化后原信号已失效；只有单一弱远争议信号；或该结论会越界到M4风险、M5适配。</x:v>
      </x:c>
      <x:c r="K163" s="72" t="str">
        <x:v>由共享基础引擎与M3-STATE修正；日主承载只修正冲突处理的可执行性，不直接等于强硬或软弱。</x:v>
      </x:c>
      <x:c r="L163" s="72" t="str">
        <x:v>不限定；夫妻星只在责任、行动、投入等冲突议题中参与接口，不作为CONFLICT唯一主轴。</x:v>
      </x:c>
      <x:c r="M163" s="72" t="str">
        <x:v>由M3-BASE、日支主气及宫位动态提供；不得把日支直接写成配偶性格。</x:v>
      </x:c>
      <x:c r="N163" s="72" t="str">
        <x:v>无／待CONFLICT顺序与路径规则组合</x:v>
      </x:c>
      <x:c r="O163" s="72" t="str">
        <x:v>日柱与日支近位优先；全局有效独立信号可作次通道。</x:v>
      </x:c>
      <x:c r="P163" s="72" t="str">
        <x:v>由共享基础引擎判定</x:v>
      </x:c>
      <x:c r="Q163" s="72" t="str">
        <x:v>由共享基础引擎判定</x:v>
      </x:c>
      <x:c r="R163" s="72" t="str">
        <x:v>喜忌不直接等于冲突方式好坏；只修正调用顺畅度、资源压力和状态切换。</x:v>
      </x:c>
      <x:c r="S163" s="72" t="str">
        <x:v>原十神性质有效；真合化成立时按化神所属功能系统重建。</x:v>
      </x:c>
      <x:c r="T163" s="72" t="str">
        <x:v>由共享基础引擎判定</x:v>
      </x:c>
      <x:c r="U163" s="72" t="str">
        <x:v>55</x:v>
      </x:c>
      <x:c r="V163" s="72" t="str">
        <x:v>顺序候选 +6</x:v>
      </x:c>
      <x:c r="W163" s="72" t="str">
        <x:v>conflict_sequence</x:v>
      </x:c>
      <x:c r="X163" s="72" t="str">
        <x:v>先形成可执行的临时或正式方案，再补充解释和复盘。</x:v>
      </x:c>
      <x:c r="Y163" s="72" t="str">
        <x:v>你更容易先推动一个能执行的办法，让问题停止扩大，再补充沟通。</x:v>
      </x:c>
      <x:c r="Z16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63" s="72" t="str">
        <x:v>中</x:v>
      </x:c>
      <x:c r="AB163" s="72" t="str">
        <x:v>待验证</x:v>
      </x:c>
      <x:c r="AC163" s="72" t="str"/>
      <x:c r="AD163" s="72" t="str">
        <x:v>provisional=true; order=FO05</x:v>
      </x:c>
      <x:c r="AE163" s="73" t="str">
        <x:v>0.6</x:v>
      </x:c>
    </x:row>
    <x:row r="164">
      <x:c r="A164" s="71" t="str">
        <x:v>M3-CONFLICT-160</x:v>
      </x:c>
      <x:c r="B164" s="72" t="str">
        <x:v>FO06 降温先行｜冲突处理顺序</x:v>
      </x:c>
      <x:c r="C164" s="72" t="str">
        <x:v>L4 处理顺序与路径</x:v>
      </x:c>
      <x:c r="D164" s="72" t="str">
        <x:v>CONFLICT-处理顺序</x:v>
      </x:c>
      <x:c r="E164" s="72" t="str">
        <x:v>通用</x:v>
      </x:c>
      <x:c r="F164" s="72" t="str">
        <x:v>顺序</x:v>
      </x:c>
      <x:c r="G164" s="72" t="str">
        <x:v>FO06</x:v>
      </x:c>
      <x:c r="H164" s="72" t="str"/>
      <x:c r="I164" s="72" t="str">
        <x:v>至少两个有效节点形成可解释先后，且不是仅由柱位或五行生克机械推出。</x:v>
      </x:c>
      <x:c r="J164" s="72" t="str">
        <x:v>基础信号未定；真合化后原信号已失效；只有单一弱远争议信号；或该结论会越界到M4风险、M5适配。</x:v>
      </x:c>
      <x:c r="K164" s="72" t="str">
        <x:v>由共享基础引擎与M3-STATE修正；日主承载只修正冲突处理的可执行性，不直接等于强硬或软弱。</x:v>
      </x:c>
      <x:c r="L164" s="72" t="str">
        <x:v>不限定；夫妻星只在责任、行动、投入等冲突议题中参与接口，不作为CONFLICT唯一主轴。</x:v>
      </x:c>
      <x:c r="M164" s="72" t="str">
        <x:v>由M3-BASE、日支主气及宫位动态提供；不得把日支直接写成配偶性格。</x:v>
      </x:c>
      <x:c r="N164" s="72" t="str">
        <x:v>无／待CONFLICT顺序与路径规则组合</x:v>
      </x:c>
      <x:c r="O164" s="72" t="str">
        <x:v>日柱与日支近位优先；全局有效独立信号可作次通道。</x:v>
      </x:c>
      <x:c r="P164" s="72" t="str">
        <x:v>由共享基础引擎判定</x:v>
      </x:c>
      <x:c r="Q164" s="72" t="str">
        <x:v>由共享基础引擎判定</x:v>
      </x:c>
      <x:c r="R164" s="72" t="str">
        <x:v>喜忌不直接等于冲突方式好坏；只修正调用顺畅度、资源压力和状态切换。</x:v>
      </x:c>
      <x:c r="S164" s="72" t="str">
        <x:v>原十神性质有效；真合化成立时按化神所属功能系统重建。</x:v>
      </x:c>
      <x:c r="T164" s="72" t="str">
        <x:v>由共享基础引擎判定</x:v>
      </x:c>
      <x:c r="U164" s="72" t="str">
        <x:v>55</x:v>
      </x:c>
      <x:c r="V164" s="72" t="str">
        <x:v>顺序候选 +6</x:v>
      </x:c>
      <x:c r="W164" s="72" t="str">
        <x:v>conflict_sequence</x:v>
      </x:c>
      <x:c r="X164" s="72" t="str">
        <x:v>先降低交流强度、调整环境和节奏，再进入核心议题。</x:v>
      </x:c>
      <x:c r="Y164" s="72" t="str">
        <x:v>你通常先让双方回到可以继续说话的状态，再处理冲突内容。</x:v>
      </x:c>
      <x:c r="Z16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64" s="72" t="str">
        <x:v>中</x:v>
      </x:c>
      <x:c r="AB164" s="72" t="str">
        <x:v>待验证</x:v>
      </x:c>
      <x:c r="AC164" s="72" t="str"/>
      <x:c r="AD164" s="72" t="str">
        <x:v>provisional=true; order=FO06</x:v>
      </x:c>
      <x:c r="AE164" s="73" t="str">
        <x:v>0.6</x:v>
      </x:c>
    </x:row>
    <x:row r="165">
      <x:c r="A165" s="71" t="str">
        <x:v>M3-CONFLICT-161</x:v>
      </x:c>
      <x:c r="B165" s="72" t="str">
        <x:v>FO07 暂停整理先行｜冲突处理顺序</x:v>
      </x:c>
      <x:c r="C165" s="72" t="str">
        <x:v>L4 处理顺序与路径</x:v>
      </x:c>
      <x:c r="D165" s="72" t="str">
        <x:v>CONFLICT-处理顺序</x:v>
      </x:c>
      <x:c r="E165" s="72" t="str">
        <x:v>通用</x:v>
      </x:c>
      <x:c r="F165" s="72" t="str">
        <x:v>顺序</x:v>
      </x:c>
      <x:c r="G165" s="72" t="str">
        <x:v>FO07</x:v>
      </x:c>
      <x:c r="H165" s="72" t="str"/>
      <x:c r="I165" s="72" t="str">
        <x:v>至少两个有效节点形成可解释先后，且不是仅由柱位或五行生克机械推出。</x:v>
      </x:c>
      <x:c r="J165" s="72" t="str">
        <x:v>基础信号未定；真合化后原信号已失效；只有单一弱远争议信号；或该结论会越界到M4风险、M5适配。</x:v>
      </x:c>
      <x:c r="K165" s="72" t="str">
        <x:v>由共享基础引擎与M3-STATE修正；日主承载只修正冲突处理的可执行性，不直接等于强硬或软弱。</x:v>
      </x:c>
      <x:c r="L165" s="72" t="str">
        <x:v>不限定；夫妻星只在责任、行动、投入等冲突议题中参与接口，不作为CONFLICT唯一主轴。</x:v>
      </x:c>
      <x:c r="M165" s="72" t="str">
        <x:v>由M3-BASE、日支主气及宫位动态提供；不得把日支直接写成配偶性格。</x:v>
      </x:c>
      <x:c r="N165" s="72" t="str">
        <x:v>无／待CONFLICT顺序与路径规则组合</x:v>
      </x:c>
      <x:c r="O165" s="72" t="str">
        <x:v>日柱与日支近位优先；全局有效独立信号可作次通道。</x:v>
      </x:c>
      <x:c r="P165" s="72" t="str">
        <x:v>由共享基础引擎判定</x:v>
      </x:c>
      <x:c r="Q165" s="72" t="str">
        <x:v>由共享基础引擎判定</x:v>
      </x:c>
      <x:c r="R165" s="72" t="str">
        <x:v>喜忌不直接等于冲突方式好坏；只修正调用顺畅度、资源压力和状态切换。</x:v>
      </x:c>
      <x:c r="S165" s="72" t="str">
        <x:v>原十神性质有效；真合化成立时按化神所属功能系统重建。</x:v>
      </x:c>
      <x:c r="T165" s="72" t="str">
        <x:v>由共享基础引擎判定</x:v>
      </x:c>
      <x:c r="U165" s="72" t="str">
        <x:v>55</x:v>
      </x:c>
      <x:c r="V165" s="72" t="str">
        <x:v>顺序候选 +6</x:v>
      </x:c>
      <x:c r="W165" s="72" t="str">
        <x:v>conflict_sequence</x:v>
      </x:c>
      <x:c r="X165" s="72" t="str">
        <x:v>先短暂停顿或独立整理，随后带着更清楚的信息回归。</x:v>
      </x:c>
      <x:c r="Y165" s="72" t="str">
        <x:v>你可能需要先停一下想清楚，再回到沟通，而不是在混乱中继续推进。</x:v>
      </x:c>
      <x:c r="Z16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65" s="72" t="str">
        <x:v>中</x:v>
      </x:c>
      <x:c r="AB165" s="72" t="str">
        <x:v>待验证</x:v>
      </x:c>
      <x:c r="AC165" s="72" t="str"/>
      <x:c r="AD165" s="72" t="str">
        <x:v>provisional=true; order=FO07</x:v>
      </x:c>
      <x:c r="AE165" s="73" t="str">
        <x:v>0.6</x:v>
      </x:c>
    </x:row>
    <x:row r="166">
      <x:c r="A166" s="71" t="str">
        <x:v>M3-CONFLICT-162</x:v>
      </x:c>
      <x:c r="B166" s="72" t="str">
        <x:v>FO08 行动止损先行｜冲突处理顺序</x:v>
      </x:c>
      <x:c r="C166" s="72" t="str">
        <x:v>L4 处理顺序与路径</x:v>
      </x:c>
      <x:c r="D166" s="72" t="str">
        <x:v>CONFLICT-处理顺序</x:v>
      </x:c>
      <x:c r="E166" s="72" t="str">
        <x:v>通用</x:v>
      </x:c>
      <x:c r="F166" s="72" t="str">
        <x:v>顺序</x:v>
      </x:c>
      <x:c r="G166" s="72" t="str">
        <x:v>FO08</x:v>
      </x:c>
      <x:c r="H166" s="72" t="str"/>
      <x:c r="I166" s="72" t="str">
        <x:v>至少两个有效节点形成可解释先后，且不是仅由柱位或五行生克机械推出。</x:v>
      </x:c>
      <x:c r="J166" s="72" t="str">
        <x:v>基础信号未定；真合化后原信号已失效；只有单一弱远争议信号；或该结论会越界到M4风险、M5适配。</x:v>
      </x:c>
      <x:c r="K166" s="72" t="str">
        <x:v>由共享基础引擎与M3-STATE修正；日主承载只修正冲突处理的可执行性，不直接等于强硬或软弱。</x:v>
      </x:c>
      <x:c r="L166" s="72" t="str">
        <x:v>不限定；夫妻星只在责任、行动、投入等冲突议题中参与接口，不作为CONFLICT唯一主轴。</x:v>
      </x:c>
      <x:c r="M166" s="72" t="str">
        <x:v>由M3-BASE、日支主气及宫位动态提供；不得把日支直接写成配偶性格。</x:v>
      </x:c>
      <x:c r="N166" s="72" t="str">
        <x:v>无／待CONFLICT顺序与路径规则组合</x:v>
      </x:c>
      <x:c r="O166" s="72" t="str">
        <x:v>日柱与日支近位优先；全局有效独立信号可作次通道。</x:v>
      </x:c>
      <x:c r="P166" s="72" t="str">
        <x:v>由共享基础引擎判定</x:v>
      </x:c>
      <x:c r="Q166" s="72" t="str">
        <x:v>由共享基础引擎判定</x:v>
      </x:c>
      <x:c r="R166" s="72" t="str">
        <x:v>喜忌不直接等于冲突方式好坏；只修正调用顺畅度、资源压力和状态切换。</x:v>
      </x:c>
      <x:c r="S166" s="72" t="str">
        <x:v>原十神性质有效；真合化成立时按化神所属功能系统重建。</x:v>
      </x:c>
      <x:c r="T166" s="72" t="str">
        <x:v>由共享基础引擎判定</x:v>
      </x:c>
      <x:c r="U166" s="72" t="str">
        <x:v>55</x:v>
      </x:c>
      <x:c r="V166" s="72" t="str">
        <x:v>顺序候选 +6</x:v>
      </x:c>
      <x:c r="W166" s="72" t="str">
        <x:v>conflict_sequence</x:v>
      </x:c>
      <x:c r="X166" s="72" t="str">
        <x:v>先处理紧急问题、风险和停止线，之后再复盘关系感受。</x:v>
      </x:c>
      <x:c r="Y166" s="72" t="str">
        <x:v>遇到紧急或高压力分歧时，你更容易先把关键问题处理住，再回头谈感受。</x:v>
      </x:c>
      <x:c r="Z16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66" s="72" t="str">
        <x:v>中</x:v>
      </x:c>
      <x:c r="AB166" s="72" t="str">
        <x:v>待验证</x:v>
      </x:c>
      <x:c r="AC166" s="72" t="str"/>
      <x:c r="AD166" s="72" t="str">
        <x:v>provisional=true; order=FO08</x:v>
      </x:c>
      <x:c r="AE166" s="73" t="str">
        <x:v>0.6</x:v>
      </x:c>
    </x:row>
    <x:row r="167">
      <x:c r="A167" s="71" t="str">
        <x:v>M3-CONFLICT-163</x:v>
      </x:c>
      <x:c r="B167" s="72" t="str">
        <x:v>FO09 先听后说｜冲突处理顺序</x:v>
      </x:c>
      <x:c r="C167" s="72" t="str">
        <x:v>L4 处理顺序与路径</x:v>
      </x:c>
      <x:c r="D167" s="72" t="str">
        <x:v>CONFLICT-处理顺序</x:v>
      </x:c>
      <x:c r="E167" s="72" t="str">
        <x:v>通用</x:v>
      </x:c>
      <x:c r="F167" s="72" t="str">
        <x:v>顺序</x:v>
      </x:c>
      <x:c r="G167" s="72" t="str">
        <x:v>FO09</x:v>
      </x:c>
      <x:c r="H167" s="72" t="str"/>
      <x:c r="I167" s="72" t="str">
        <x:v>至少两个有效节点形成可解释先后，且不是仅由柱位或五行生克机械推出。</x:v>
      </x:c>
      <x:c r="J167" s="72" t="str">
        <x:v>基础信号未定；真合化后原信号已失效；只有单一弱远争议信号；或该结论会越界到M4风险、M5适配。</x:v>
      </x:c>
      <x:c r="K167" s="72" t="str">
        <x:v>由共享基础引擎与M3-STATE修正；日主承载只修正冲突处理的可执行性，不直接等于强硬或软弱。</x:v>
      </x:c>
      <x:c r="L167" s="72" t="str">
        <x:v>不限定；夫妻星只在责任、行动、投入等冲突议题中参与接口，不作为CONFLICT唯一主轴。</x:v>
      </x:c>
      <x:c r="M167" s="72" t="str">
        <x:v>由M3-BASE、日支主气及宫位动态提供；不得把日支直接写成配偶性格。</x:v>
      </x:c>
      <x:c r="N167" s="72" t="str">
        <x:v>无／待CONFLICT顺序与路径规则组合</x:v>
      </x:c>
      <x:c r="O167" s="72" t="str">
        <x:v>日柱与日支近位优先；全局有效独立信号可作次通道。</x:v>
      </x:c>
      <x:c r="P167" s="72" t="str">
        <x:v>由共享基础引擎判定</x:v>
      </x:c>
      <x:c r="Q167" s="72" t="str">
        <x:v>由共享基础引擎判定</x:v>
      </x:c>
      <x:c r="R167" s="72" t="str">
        <x:v>喜忌不直接等于冲突方式好坏；只修正调用顺畅度、资源压力和状态切换。</x:v>
      </x:c>
      <x:c r="S167" s="72" t="str">
        <x:v>原十神性质有效；真合化成立时按化神所属功能系统重建。</x:v>
      </x:c>
      <x:c r="T167" s="72" t="str">
        <x:v>由共享基础引擎判定</x:v>
      </x:c>
      <x:c r="U167" s="72" t="str">
        <x:v>55</x:v>
      </x:c>
      <x:c r="V167" s="72" t="str">
        <x:v>顺序候选 +6</x:v>
      </x:c>
      <x:c r="W167" s="72" t="str">
        <x:v>conflict_sequence</x:v>
      </x:c>
      <x:c r="X167" s="72" t="str">
        <x:v>先完整接收对方的感受、事实和立场，再形成自己的回应。</x:v>
      </x:c>
      <x:c r="Y167" s="72" t="str">
        <x:v>你更倾向先听清对方在说什么，再决定怎样表达自己的部分。</x:v>
      </x:c>
      <x:c r="Z16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67" s="72" t="str">
        <x:v>中</x:v>
      </x:c>
      <x:c r="AB167" s="72" t="str">
        <x:v>待验证</x:v>
      </x:c>
      <x:c r="AC167" s="72" t="str"/>
      <x:c r="AD167" s="72" t="str">
        <x:v>provisional=true; order=FO09</x:v>
      </x:c>
      <x:c r="AE167" s="73" t="str">
        <x:v>0.6</x:v>
      </x:c>
    </x:row>
    <x:row r="168">
      <x:c r="A168" s="71" t="str">
        <x:v>M3-CONFLICT-164</x:v>
      </x:c>
      <x:c r="B168" s="72" t="str">
        <x:v>FO10 先说后落实｜冲突处理顺序</x:v>
      </x:c>
      <x:c r="C168" s="72" t="str">
        <x:v>L4 处理顺序与路径</x:v>
      </x:c>
      <x:c r="D168" s="72" t="str">
        <x:v>CONFLICT-处理顺序</x:v>
      </x:c>
      <x:c r="E168" s="72" t="str">
        <x:v>通用</x:v>
      </x:c>
      <x:c r="F168" s="72" t="str">
        <x:v>顺序</x:v>
      </x:c>
      <x:c r="G168" s="72" t="str">
        <x:v>FO10</x:v>
      </x:c>
      <x:c r="H168" s="72" t="str"/>
      <x:c r="I168" s="72" t="str">
        <x:v>至少两个有效节点形成可解释先后，且不是仅由柱位或五行生克机械推出。</x:v>
      </x:c>
      <x:c r="J168" s="72" t="str">
        <x:v>基础信号未定；真合化后原信号已失效；只有单一弱远争议信号；或该结论会越界到M4风险、M5适配。</x:v>
      </x:c>
      <x:c r="K168" s="72" t="str">
        <x:v>由共享基础引擎与M3-STATE修正；日主承载只修正冲突处理的可执行性，不直接等于强硬或软弱。</x:v>
      </x:c>
      <x:c r="L168" s="72" t="str">
        <x:v>不限定；夫妻星只在责任、行动、投入等冲突议题中参与接口，不作为CONFLICT唯一主轴。</x:v>
      </x:c>
      <x:c r="M168" s="72" t="str">
        <x:v>由M3-BASE、日支主气及宫位动态提供；不得把日支直接写成配偶性格。</x:v>
      </x:c>
      <x:c r="N168" s="72" t="str">
        <x:v>无／待CONFLICT顺序与路径规则组合</x:v>
      </x:c>
      <x:c r="O168" s="72" t="str">
        <x:v>日柱与日支近位优先；全局有效独立信号可作次通道。</x:v>
      </x:c>
      <x:c r="P168" s="72" t="str">
        <x:v>由共享基础引擎判定</x:v>
      </x:c>
      <x:c r="Q168" s="72" t="str">
        <x:v>由共享基础引擎判定</x:v>
      </x:c>
      <x:c r="R168" s="72" t="str">
        <x:v>喜忌不直接等于冲突方式好坏；只修正调用顺畅度、资源压力和状态切换。</x:v>
      </x:c>
      <x:c r="S168" s="72" t="str">
        <x:v>原十神性质有效；真合化成立时按化神所属功能系统重建。</x:v>
      </x:c>
      <x:c r="T168" s="72" t="str">
        <x:v>由共享基础引擎判定</x:v>
      </x:c>
      <x:c r="U168" s="72" t="str">
        <x:v>55</x:v>
      </x:c>
      <x:c r="V168" s="72" t="str">
        <x:v>顺序候选 +6</x:v>
      </x:c>
      <x:c r="W168" s="72" t="str">
        <x:v>conflict_sequence</x:v>
      </x:c>
      <x:c r="X168" s="72" t="str">
        <x:v>先把问题、需要和方案说明，再转成现实安排和行动。</x:v>
      </x:c>
      <x:c r="Y168" s="72" t="str">
        <x:v>你更容易先说清楚，再把沟通转成具体做法和后续安排。</x:v>
      </x:c>
      <x:c r="Z16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68" s="72" t="str">
        <x:v>中</x:v>
      </x:c>
      <x:c r="AB168" s="72" t="str">
        <x:v>待验证</x:v>
      </x:c>
      <x:c r="AC168" s="72" t="str"/>
      <x:c r="AD168" s="72" t="str">
        <x:v>provisional=true; order=FO10</x:v>
      </x:c>
      <x:c r="AE168" s="73" t="str">
        <x:v>0.6</x:v>
      </x:c>
    </x:row>
    <x:row r="169">
      <x:c r="A169" s="71" t="str">
        <x:v>M3-CONFLICT-165</x:v>
      </x:c>
      <x:c r="B169" s="72" t="str">
        <x:v>FO11 往返校准｜冲突处理顺序</x:v>
      </x:c>
      <x:c r="C169" s="72" t="str">
        <x:v>L4 处理顺序与路径</x:v>
      </x:c>
      <x:c r="D169" s="72" t="str">
        <x:v>CONFLICT-处理顺序</x:v>
      </x:c>
      <x:c r="E169" s="72" t="str">
        <x:v>通用</x:v>
      </x:c>
      <x:c r="F169" s="72" t="str">
        <x:v>顺序</x:v>
      </x:c>
      <x:c r="G169" s="72" t="str">
        <x:v>FO11</x:v>
      </x:c>
      <x:c r="H169" s="72" t="str"/>
      <x:c r="I169" s="72" t="str">
        <x:v>至少两个有效节点形成可解释先后，且不是仅由柱位或五行生克机械推出。</x:v>
      </x:c>
      <x:c r="J169" s="72" t="str">
        <x:v>基础信号未定；真合化后原信号已失效；只有单一弱远争议信号；或该结论会越界到M4风险、M5适配。</x:v>
      </x:c>
      <x:c r="K169" s="72" t="str">
        <x:v>由共享基础引擎与M3-STATE修正；日主承载只修正冲突处理的可执行性，不直接等于强硬或软弱。</x:v>
      </x:c>
      <x:c r="L169" s="72" t="str">
        <x:v>不限定；夫妻星只在责任、行动、投入等冲突议题中参与接口，不作为CONFLICT唯一主轴。</x:v>
      </x:c>
      <x:c r="M169" s="72" t="str">
        <x:v>由M3-BASE、日支主气及宫位动态提供；不得把日支直接写成配偶性格。</x:v>
      </x:c>
      <x:c r="N169" s="72" t="str">
        <x:v>无／待CONFLICT顺序与路径规则组合</x:v>
      </x:c>
      <x:c r="O169" s="72" t="str">
        <x:v>日柱与日支近位优先；全局有效独立信号可作次通道。</x:v>
      </x:c>
      <x:c r="P169" s="72" t="str">
        <x:v>由共享基础引擎判定</x:v>
      </x:c>
      <x:c r="Q169" s="72" t="str">
        <x:v>由共享基础引擎判定</x:v>
      </x:c>
      <x:c r="R169" s="72" t="str">
        <x:v>喜忌不直接等于冲突方式好坏；只修正调用顺畅度、资源压力和状态切换。</x:v>
      </x:c>
      <x:c r="S169" s="72" t="str">
        <x:v>原十神性质有效；真合化成立时按化神所属功能系统重建。</x:v>
      </x:c>
      <x:c r="T169" s="72" t="str">
        <x:v>由共享基础引擎判定</x:v>
      </x:c>
      <x:c r="U169" s="72" t="str">
        <x:v>55</x:v>
      </x:c>
      <x:c r="V169" s="72" t="str">
        <x:v>顺序候选 +6</x:v>
      </x:c>
      <x:c r="W169" s="72" t="str">
        <x:v>conflict_sequence</x:v>
      </x:c>
      <x:c r="X169" s="72" t="str">
        <x:v>事实、感受、立场和方案在对话中反复互相校准。</x:v>
      </x:c>
      <x:c r="Y169" s="72" t="str">
        <x:v>你的处理过程更像来回校准：每获得一段新信息，就调整理解和方案。</x:v>
      </x:c>
      <x:c r="Z16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69" s="72" t="str">
        <x:v>中</x:v>
      </x:c>
      <x:c r="AB169" s="72" t="str">
        <x:v>待验证</x:v>
      </x:c>
      <x:c r="AC169" s="72" t="str"/>
      <x:c r="AD169" s="72" t="str">
        <x:v>provisional=true; order=FO11</x:v>
      </x:c>
      <x:c r="AE169" s="73" t="str">
        <x:v>0.6</x:v>
      </x:c>
    </x:row>
    <x:row r="170">
      <x:c r="A170" s="71" t="str">
        <x:v>M3-CONFLICT-166</x:v>
      </x:c>
      <x:c r="B170" s="72" t="str">
        <x:v>FO12 顺序未定｜冲突处理顺序</x:v>
      </x:c>
      <x:c r="C170" s="72" t="str">
        <x:v>L4 处理顺序与路径</x:v>
      </x:c>
      <x:c r="D170" s="72" t="str">
        <x:v>CONFLICT-处理顺序</x:v>
      </x:c>
      <x:c r="E170" s="72" t="str">
        <x:v>通用</x:v>
      </x:c>
      <x:c r="F170" s="72" t="str">
        <x:v>顺序</x:v>
      </x:c>
      <x:c r="G170" s="72" t="str">
        <x:v>FO12</x:v>
      </x:c>
      <x:c r="H170" s="72" t="str"/>
      <x:c r="I170" s="72" t="str">
        <x:v>至少两个有效节点形成可解释先后，且不是仅由柱位或五行生克机械推出。</x:v>
      </x:c>
      <x:c r="J170" s="72" t="str">
        <x:v>基础信号未定；真合化后原信号已失效；只有单一弱远争议信号；或该结论会越界到M4风险、M5适配。</x:v>
      </x:c>
      <x:c r="K170" s="72" t="str">
        <x:v>由共享基础引擎与M3-STATE修正；日主承载只修正冲突处理的可执行性，不直接等于强硬或软弱。</x:v>
      </x:c>
      <x:c r="L170" s="72" t="str">
        <x:v>不限定；夫妻星只在责任、行动、投入等冲突议题中参与接口，不作为CONFLICT唯一主轴。</x:v>
      </x:c>
      <x:c r="M170" s="72" t="str">
        <x:v>由M3-BASE、日支主气及宫位动态提供；不得把日支直接写成配偶性格。</x:v>
      </x:c>
      <x:c r="N170" s="72" t="str">
        <x:v>无／待CONFLICT顺序与路径规则组合</x:v>
      </x:c>
      <x:c r="O170" s="72" t="str">
        <x:v>日柱与日支近位优先；全局有效独立信号可作次通道。</x:v>
      </x:c>
      <x:c r="P170" s="72" t="str">
        <x:v>由共享基础引擎判定</x:v>
      </x:c>
      <x:c r="Q170" s="72" t="str">
        <x:v>由共享基础引擎判定</x:v>
      </x:c>
      <x:c r="R170" s="72" t="str">
        <x:v>喜忌不直接等于冲突方式好坏；只修正调用顺畅度、资源压力和状态切换。</x:v>
      </x:c>
      <x:c r="S170" s="72" t="str">
        <x:v>原十神性质有效；真合化成立时按化神所属功能系统重建。</x:v>
      </x:c>
      <x:c r="T170" s="72" t="str">
        <x:v>由共享基础引擎判定</x:v>
      </x:c>
      <x:c r="U170" s="72" t="str">
        <x:v>55</x:v>
      </x:c>
      <x:c r="V170" s="72" t="str">
        <x:v>不加分；降置信</x:v>
      </x:c>
      <x:c r="W170" s="72" t="str">
        <x:v>conflict_sequence</x:v>
      </x:c>
      <x:c r="X170" s="72" t="str">
        <x:v>不同议题或压力水平会改变先后，现有证据不足以固定。</x:v>
      </x:c>
      <x:c r="Y170" s="72" t="str">
        <x:v>目前只能确认你会在表达、暂停、行动和承接之间切换，具体先后取决于情境。</x:v>
      </x:c>
      <x:c r="Z17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70" s="72" t="str">
        <x:v>中</x:v>
      </x:c>
      <x:c r="AB170" s="72" t="str">
        <x:v>待验证</x:v>
      </x:c>
      <x:c r="AC170" s="72" t="str"/>
      <x:c r="AD170" s="72" t="str">
        <x:v>provisional=true; order=FO12</x:v>
      </x:c>
      <x:c r="AE170" s="73" t="str">
        <x:v>0.6</x:v>
      </x:c>
    </x:row>
    <x:row r="171">
      <x:c r="A171" s="71" t="str">
        <x:v>M3-CONFLICT-167</x:v>
      </x:c>
      <x:c r="B171" s="72" t="str">
        <x:v>FS01 事实→感受｜序列结构</x:v>
      </x:c>
      <x:c r="C171" s="72" t="str">
        <x:v>L4 处理顺序与路径</x:v>
      </x:c>
      <x:c r="D171" s="72" t="str">
        <x:v>CONFLICT-序列结构</x:v>
      </x:c>
      <x:c r="E171" s="72" t="str">
        <x:v>通用</x:v>
      </x:c>
      <x:c r="F171" s="72" t="str">
        <x:v>序列</x:v>
      </x:c>
      <x:c r="G171" s="72" t="str">
        <x:v>FS01</x:v>
      </x:c>
      <x:c r="H171" s="72" t="str"/>
      <x:c r="I171" s="72" t="str">
        <x:v>起点、转换和终点均有可靠证据；FS01为FS08时适用于桥梁缺失或状态争议。</x:v>
      </x:c>
      <x:c r="J171" s="72" t="str">
        <x:v>基础信号未定；真合化后原信号已失效；只有单一弱远争议信号；或该结论会越界到M4风险、M5适配。</x:v>
      </x:c>
      <x:c r="K171" s="72" t="str">
        <x:v>由共享基础引擎与M3-STATE修正；日主承载只修正冲突处理的可执行性，不直接等于强硬或软弱。</x:v>
      </x:c>
      <x:c r="L171" s="72" t="str">
        <x:v>不限定；夫妻星只在责任、行动、投入等冲突议题中参与接口，不作为CONFLICT唯一主轴。</x:v>
      </x:c>
      <x:c r="M171" s="72" t="str">
        <x:v>由M3-BASE、日支主气及宫位动态提供；不得把日支直接写成配偶性格。</x:v>
      </x:c>
      <x:c r="N171" s="72" t="str">
        <x:v>无／待CONFLICT顺序与路径规则组合</x:v>
      </x:c>
      <x:c r="O171" s="72" t="str">
        <x:v>日柱与日支近位优先；全局有效独立信号可作次通道。</x:v>
      </x:c>
      <x:c r="P171" s="72" t="str">
        <x:v>由共享基础引擎判定</x:v>
      </x:c>
      <x:c r="Q171" s="72" t="str">
        <x:v>由共享基础引擎判定</x:v>
      </x:c>
      <x:c r="R171" s="72" t="str">
        <x:v>喜忌不直接等于冲突方式好坏；只修正调用顺畅度、资源压力和状态切换。</x:v>
      </x:c>
      <x:c r="S171" s="72" t="str">
        <x:v>原十神性质有效；真合化成立时按化神所属功能系统重建。</x:v>
      </x:c>
      <x:c r="T171" s="72" t="str">
        <x:v>由共享基础引擎判定</x:v>
      </x:c>
      <x:c r="U171" s="72" t="str">
        <x:v>54</x:v>
      </x:c>
      <x:c r="V171" s="72" t="str">
        <x:v>序列候选 +6</x:v>
      </x:c>
      <x:c r="W171" s="72" t="str">
        <x:v>conflict_sequence</x:v>
      </x:c>
      <x:c r="X171" s="72" t="str">
        <x:v>先核对事实、逻辑或安排，再补充感受和理解。</x:v>
      </x:c>
      <x:c r="Y171" s="72" t="str">
        <x:v>你通常先把事情说清，再回到彼此感受，避免情绪和事实混在一起。</x:v>
      </x:c>
      <x:c r="Z17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71" s="72" t="str">
        <x:v>中</x:v>
      </x:c>
      <x:c r="AB171" s="72" t="str">
        <x:v>待验证</x:v>
      </x:c>
      <x:c r="AC171" s="72" t="str"/>
      <x:c r="AD171" s="72" t="str">
        <x:v>provisional=true; sequence=FS01</x:v>
      </x:c>
      <x:c r="AE171" s="73" t="str">
        <x:v>0.6</x:v>
      </x:c>
    </x:row>
    <x:row r="172">
      <x:c r="A172" s="71" t="str">
        <x:v>M3-CONFLICT-168</x:v>
      </x:c>
      <x:c r="B172" s="72" t="str">
        <x:v>FS02 感受→事实｜序列结构</x:v>
      </x:c>
      <x:c r="C172" s="72" t="str">
        <x:v>L4 处理顺序与路径</x:v>
      </x:c>
      <x:c r="D172" s="72" t="str">
        <x:v>CONFLICT-序列结构</x:v>
      </x:c>
      <x:c r="E172" s="72" t="str">
        <x:v>通用</x:v>
      </x:c>
      <x:c r="F172" s="72" t="str">
        <x:v>序列</x:v>
      </x:c>
      <x:c r="G172" s="72" t="str">
        <x:v>FS02</x:v>
      </x:c>
      <x:c r="H172" s="72" t="str"/>
      <x:c r="I172" s="72" t="str">
        <x:v>起点、转换和终点均有可靠证据；FS02为FS08时适用于桥梁缺失或状态争议。</x:v>
      </x:c>
      <x:c r="J172" s="72" t="str">
        <x:v>基础信号未定；真合化后原信号已失效；只有单一弱远争议信号；或该结论会越界到M4风险、M5适配。</x:v>
      </x:c>
      <x:c r="K172" s="72" t="str">
        <x:v>由共享基础引擎与M3-STATE修正；日主承载只修正冲突处理的可执行性，不直接等于强硬或软弱。</x:v>
      </x:c>
      <x:c r="L172" s="72" t="str">
        <x:v>不限定；夫妻星只在责任、行动、投入等冲突议题中参与接口，不作为CONFLICT唯一主轴。</x:v>
      </x:c>
      <x:c r="M172" s="72" t="str">
        <x:v>由M3-BASE、日支主气及宫位动态提供；不得把日支直接写成配偶性格。</x:v>
      </x:c>
      <x:c r="N172" s="72" t="str">
        <x:v>无／待CONFLICT顺序与路径规则组合</x:v>
      </x:c>
      <x:c r="O172" s="72" t="str">
        <x:v>日柱与日支近位优先；全局有效独立信号可作次通道。</x:v>
      </x:c>
      <x:c r="P172" s="72" t="str">
        <x:v>由共享基础引擎判定</x:v>
      </x:c>
      <x:c r="Q172" s="72" t="str">
        <x:v>由共享基础引擎判定</x:v>
      </x:c>
      <x:c r="R172" s="72" t="str">
        <x:v>喜忌不直接等于冲突方式好坏；只修正调用顺畅度、资源压力和状态切换。</x:v>
      </x:c>
      <x:c r="S172" s="72" t="str">
        <x:v>原十神性质有效；真合化成立时按化神所属功能系统重建。</x:v>
      </x:c>
      <x:c r="T172" s="72" t="str">
        <x:v>由共享基础引擎判定</x:v>
      </x:c>
      <x:c r="U172" s="72" t="str">
        <x:v>54</x:v>
      </x:c>
      <x:c r="V172" s="72" t="str">
        <x:v>序列候选 +6</x:v>
      </x:c>
      <x:c r="W172" s="72" t="str">
        <x:v>conflict_sequence</x:v>
      </x:c>
      <x:c r="X172" s="72" t="str">
        <x:v>先恢复被理解和可交流状态，再进入事实、责任与方案。</x:v>
      </x:c>
      <x:c r="Y172" s="72" t="str">
        <x:v>你更容易先确认双方感受，再处理具体问题。</x:v>
      </x:c>
      <x:c r="Z17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72" s="72" t="str">
        <x:v>中</x:v>
      </x:c>
      <x:c r="AB172" s="72" t="str">
        <x:v>待验证</x:v>
      </x:c>
      <x:c r="AC172" s="72" t="str"/>
      <x:c r="AD172" s="72" t="str">
        <x:v>provisional=true; sequence=FS02</x:v>
      </x:c>
      <x:c r="AE172" s="73" t="str">
        <x:v>0.6</x:v>
      </x:c>
    </x:row>
    <x:row r="173">
      <x:c r="A173" s="71" t="str">
        <x:v>M3-CONFLICT-169</x:v>
      </x:c>
      <x:c r="B173" s="72" t="str">
        <x:v>FS03 立场→协商｜序列结构</x:v>
      </x:c>
      <x:c r="C173" s="72" t="str">
        <x:v>L4 处理顺序与路径</x:v>
      </x:c>
      <x:c r="D173" s="72" t="str">
        <x:v>CONFLICT-序列结构</x:v>
      </x:c>
      <x:c r="E173" s="72" t="str">
        <x:v>通用</x:v>
      </x:c>
      <x:c r="F173" s="72" t="str">
        <x:v>序列</x:v>
      </x:c>
      <x:c r="G173" s="72" t="str">
        <x:v>FS03</x:v>
      </x:c>
      <x:c r="H173" s="72" t="str"/>
      <x:c r="I173" s="72" t="str">
        <x:v>起点、转换和终点均有可靠证据；FS03为FS08时适用于桥梁缺失或状态争议。</x:v>
      </x:c>
      <x:c r="J173" s="72" t="str">
        <x:v>基础信号未定；真合化后原信号已失效；只有单一弱远争议信号；或该结论会越界到M4风险、M5适配。</x:v>
      </x:c>
      <x:c r="K173" s="72" t="str">
        <x:v>由共享基础引擎与M3-STATE修正；日主承载只修正冲突处理的可执行性，不直接等于强硬或软弱。</x:v>
      </x:c>
      <x:c r="L173" s="72" t="str">
        <x:v>不限定；夫妻星只在责任、行动、投入等冲突议题中参与接口，不作为CONFLICT唯一主轴。</x:v>
      </x:c>
      <x:c r="M173" s="72" t="str">
        <x:v>由M3-BASE、日支主气及宫位动态提供；不得把日支直接写成配偶性格。</x:v>
      </x:c>
      <x:c r="N173" s="72" t="str">
        <x:v>无／待CONFLICT顺序与路径规则组合</x:v>
      </x:c>
      <x:c r="O173" s="72" t="str">
        <x:v>日柱与日支近位优先；全局有效独立信号可作次通道。</x:v>
      </x:c>
      <x:c r="P173" s="72" t="str">
        <x:v>由共享基础引擎判定</x:v>
      </x:c>
      <x:c r="Q173" s="72" t="str">
        <x:v>由共享基础引擎判定</x:v>
      </x:c>
      <x:c r="R173" s="72" t="str">
        <x:v>喜忌不直接等于冲突方式好坏；只修正调用顺畅度、资源压力和状态切换。</x:v>
      </x:c>
      <x:c r="S173" s="72" t="str">
        <x:v>原十神性质有效；真合化成立时按化神所属功能系统重建。</x:v>
      </x:c>
      <x:c r="T173" s="72" t="str">
        <x:v>由共享基础引擎判定</x:v>
      </x:c>
      <x:c r="U173" s="72" t="str">
        <x:v>54</x:v>
      </x:c>
      <x:c r="V173" s="72" t="str">
        <x:v>序列候选 +6</x:v>
      </x:c>
      <x:c r="W173" s="72" t="str">
        <x:v>conflict_sequence</x:v>
      </x:c>
      <x:c r="X173" s="72" t="str">
        <x:v>先说明立场和限制，再讨论可调整范围与共同方案。</x:v>
      </x:c>
      <x:c r="Y173" s="72" t="str">
        <x:v>你会先让彼此知道各自的位置，再进入协商。</x:v>
      </x:c>
      <x:c r="Z17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73" s="72" t="str">
        <x:v>中</x:v>
      </x:c>
      <x:c r="AB173" s="72" t="str">
        <x:v>待验证</x:v>
      </x:c>
      <x:c r="AC173" s="72" t="str"/>
      <x:c r="AD173" s="72" t="str">
        <x:v>provisional=true; sequence=FS03</x:v>
      </x:c>
      <x:c r="AE173" s="73" t="str">
        <x:v>0.6</x:v>
      </x:c>
    </x:row>
    <x:row r="174">
      <x:c r="A174" s="71" t="str">
        <x:v>M3-CONFLICT-170</x:v>
      </x:c>
      <x:c r="B174" s="72" t="str">
        <x:v>FS04 规则→方案｜序列结构</x:v>
      </x:c>
      <x:c r="C174" s="72" t="str">
        <x:v>L4 处理顺序与路径</x:v>
      </x:c>
      <x:c r="D174" s="72" t="str">
        <x:v>CONFLICT-序列结构</x:v>
      </x:c>
      <x:c r="E174" s="72" t="str">
        <x:v>通用</x:v>
      </x:c>
      <x:c r="F174" s="72" t="str">
        <x:v>序列</x:v>
      </x:c>
      <x:c r="G174" s="72" t="str">
        <x:v>FS04</x:v>
      </x:c>
      <x:c r="H174" s="72" t="str"/>
      <x:c r="I174" s="72" t="str">
        <x:v>起点、转换和终点均有可靠证据；FS04为FS08时适用于桥梁缺失或状态争议。</x:v>
      </x:c>
      <x:c r="J174" s="72" t="str">
        <x:v>基础信号未定；真合化后原信号已失效；只有单一弱远争议信号；或该结论会越界到M4风险、M5适配。</x:v>
      </x:c>
      <x:c r="K174" s="72" t="str">
        <x:v>由共享基础引擎与M3-STATE修正；日主承载只修正冲突处理的可执行性，不直接等于强硬或软弱。</x:v>
      </x:c>
      <x:c r="L174" s="72" t="str">
        <x:v>不限定；夫妻星只在责任、行动、投入等冲突议题中参与接口，不作为CONFLICT唯一主轴。</x:v>
      </x:c>
      <x:c r="M174" s="72" t="str">
        <x:v>由M3-BASE、日支主气及宫位动态提供；不得把日支直接写成配偶性格。</x:v>
      </x:c>
      <x:c r="N174" s="72" t="str">
        <x:v>无／待CONFLICT顺序与路径规则组合</x:v>
      </x:c>
      <x:c r="O174" s="72" t="str">
        <x:v>日柱与日支近位优先；全局有效独立信号可作次通道。</x:v>
      </x:c>
      <x:c r="P174" s="72" t="str">
        <x:v>由共享基础引擎判定</x:v>
      </x:c>
      <x:c r="Q174" s="72" t="str">
        <x:v>由共享基础引擎判定</x:v>
      </x:c>
      <x:c r="R174" s="72" t="str">
        <x:v>喜忌不直接等于冲突方式好坏；只修正调用顺畅度、资源压力和状态切换。</x:v>
      </x:c>
      <x:c r="S174" s="72" t="str">
        <x:v>原十神性质有效；真合化成立时按化神所属功能系统重建。</x:v>
      </x:c>
      <x:c r="T174" s="72" t="str">
        <x:v>由共享基础引擎判定</x:v>
      </x:c>
      <x:c r="U174" s="72" t="str">
        <x:v>54</x:v>
      </x:c>
      <x:c r="V174" s="72" t="str">
        <x:v>序列候选 +6</x:v>
      </x:c>
      <x:c r="W174" s="72" t="str">
        <x:v>conflict_sequence</x:v>
      </x:c>
      <x:c r="X174" s="72" t="str">
        <x:v>先核对约定、角色和责任，再形成执行方案。</x:v>
      </x:c>
      <x:c r="Y174" s="72" t="str">
        <x:v>你往往先确认规则和责任，再决定具体怎么改。</x:v>
      </x:c>
      <x:c r="Z17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74" s="72" t="str">
        <x:v>中</x:v>
      </x:c>
      <x:c r="AB174" s="72" t="str">
        <x:v>待验证</x:v>
      </x:c>
      <x:c r="AC174" s="72" t="str"/>
      <x:c r="AD174" s="72" t="str">
        <x:v>provisional=true; sequence=FS04</x:v>
      </x:c>
      <x:c r="AE174" s="73" t="str">
        <x:v>0.6</x:v>
      </x:c>
    </x:row>
    <x:row r="175">
      <x:c r="A175" s="71" t="str">
        <x:v>M3-CONFLICT-171</x:v>
      </x:c>
      <x:c r="B175" s="72" t="str">
        <x:v>FS05 行动→复盘｜序列结构</x:v>
      </x:c>
      <x:c r="C175" s="72" t="str">
        <x:v>L4 处理顺序与路径</x:v>
      </x:c>
      <x:c r="D175" s="72" t="str">
        <x:v>CONFLICT-序列结构</x:v>
      </x:c>
      <x:c r="E175" s="72" t="str">
        <x:v>通用</x:v>
      </x:c>
      <x:c r="F175" s="72" t="str">
        <x:v>序列</x:v>
      </x:c>
      <x:c r="G175" s="72" t="str">
        <x:v>FS05</x:v>
      </x:c>
      <x:c r="H175" s="72" t="str"/>
      <x:c r="I175" s="72" t="str">
        <x:v>起点、转换和终点均有可靠证据；FS05为FS08时适用于桥梁缺失或状态争议。</x:v>
      </x:c>
      <x:c r="J175" s="72" t="str">
        <x:v>基础信号未定；真合化后原信号已失效；只有单一弱远争议信号；或该结论会越界到M4风险、M5适配。</x:v>
      </x:c>
      <x:c r="K175" s="72" t="str">
        <x:v>由共享基础引擎与M3-STATE修正；日主承载只修正冲突处理的可执行性，不直接等于强硬或软弱。</x:v>
      </x:c>
      <x:c r="L175" s="72" t="str">
        <x:v>不限定；夫妻星只在责任、行动、投入等冲突议题中参与接口，不作为CONFLICT唯一主轴。</x:v>
      </x:c>
      <x:c r="M175" s="72" t="str">
        <x:v>由M3-BASE、日支主气及宫位动态提供；不得把日支直接写成配偶性格。</x:v>
      </x:c>
      <x:c r="N175" s="72" t="str">
        <x:v>无／待CONFLICT顺序与路径规则组合</x:v>
      </x:c>
      <x:c r="O175" s="72" t="str">
        <x:v>日柱与日支近位优先；全局有效独立信号可作次通道。</x:v>
      </x:c>
      <x:c r="P175" s="72" t="str">
        <x:v>由共享基础引擎判定</x:v>
      </x:c>
      <x:c r="Q175" s="72" t="str">
        <x:v>由共享基础引擎判定</x:v>
      </x:c>
      <x:c r="R175" s="72" t="str">
        <x:v>喜忌不直接等于冲突方式好坏；只修正调用顺畅度、资源压力和状态切换。</x:v>
      </x:c>
      <x:c r="S175" s="72" t="str">
        <x:v>原十神性质有效；真合化成立时按化神所属功能系统重建。</x:v>
      </x:c>
      <x:c r="T175" s="72" t="str">
        <x:v>由共享基础引擎判定</x:v>
      </x:c>
      <x:c r="U175" s="72" t="str">
        <x:v>54</x:v>
      </x:c>
      <x:c r="V175" s="72" t="str">
        <x:v>序列候选 +6</x:v>
      </x:c>
      <x:c r="W175" s="72" t="str">
        <x:v>conflict_sequence</x:v>
      </x:c>
      <x:c r="X175" s="72" t="str">
        <x:v>先止损或处理现实任务，事情稳定后再复盘原因和感受。</x:v>
      </x:c>
      <x:c r="Y175" s="72" t="str">
        <x:v>你可能先把眼前问题处理好，再回头整理这次分歧。</x:v>
      </x:c>
      <x:c r="Z17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75" s="72" t="str">
        <x:v>中</x:v>
      </x:c>
      <x:c r="AB175" s="72" t="str">
        <x:v>待验证</x:v>
      </x:c>
      <x:c r="AC175" s="72" t="str"/>
      <x:c r="AD175" s="72" t="str">
        <x:v>provisional=true; sequence=FS05</x:v>
      </x:c>
      <x:c r="AE175" s="73" t="str">
        <x:v>0.6</x:v>
      </x:c>
    </x:row>
    <x:row r="176">
      <x:c r="A176" s="71" t="str">
        <x:v>M3-CONFLICT-172</x:v>
      </x:c>
      <x:c r="B176" s="72" t="str">
        <x:v>FS06 暂停→回归｜序列结构</x:v>
      </x:c>
      <x:c r="C176" s="72" t="str">
        <x:v>L4 处理顺序与路径</x:v>
      </x:c>
      <x:c r="D176" s="72" t="str">
        <x:v>CONFLICT-序列结构</x:v>
      </x:c>
      <x:c r="E176" s="72" t="str">
        <x:v>通用</x:v>
      </x:c>
      <x:c r="F176" s="72" t="str">
        <x:v>序列</x:v>
      </x:c>
      <x:c r="G176" s="72" t="str">
        <x:v>FS06</x:v>
      </x:c>
      <x:c r="H176" s="72" t="str"/>
      <x:c r="I176" s="72" t="str">
        <x:v>起点、转换和终点均有可靠证据；FS06为FS08时适用于桥梁缺失或状态争议。</x:v>
      </x:c>
      <x:c r="J176" s="72" t="str">
        <x:v>基础信号未定；真合化后原信号已失效；只有单一弱远争议信号；或该结论会越界到M4风险、M5适配。</x:v>
      </x:c>
      <x:c r="K176" s="72" t="str">
        <x:v>由共享基础引擎与M3-STATE修正；日主承载只修正冲突处理的可执行性，不直接等于强硬或软弱。</x:v>
      </x:c>
      <x:c r="L176" s="72" t="str">
        <x:v>不限定；夫妻星只在责任、行动、投入等冲突议题中参与接口，不作为CONFLICT唯一主轴。</x:v>
      </x:c>
      <x:c r="M176" s="72" t="str">
        <x:v>由M3-BASE、日支主气及宫位动态提供；不得把日支直接写成配偶性格。</x:v>
      </x:c>
      <x:c r="N176" s="72" t="str">
        <x:v>无／待CONFLICT顺序与路径规则组合</x:v>
      </x:c>
      <x:c r="O176" s="72" t="str">
        <x:v>日柱与日支近位优先；全局有效独立信号可作次通道。</x:v>
      </x:c>
      <x:c r="P176" s="72" t="str">
        <x:v>由共享基础引擎判定</x:v>
      </x:c>
      <x:c r="Q176" s="72" t="str">
        <x:v>由共享基础引擎判定</x:v>
      </x:c>
      <x:c r="R176" s="72" t="str">
        <x:v>喜忌不直接等于冲突方式好坏；只修正调用顺畅度、资源压力和状态切换。</x:v>
      </x:c>
      <x:c r="S176" s="72" t="str">
        <x:v>原十神性质有效；真合化成立时按化神所属功能系统重建。</x:v>
      </x:c>
      <x:c r="T176" s="72" t="str">
        <x:v>由共享基础引擎判定</x:v>
      </x:c>
      <x:c r="U176" s="72" t="str">
        <x:v>54</x:v>
      </x:c>
      <x:c r="V176" s="72" t="str">
        <x:v>序列候选 +6</x:v>
      </x:c>
      <x:c r="W176" s="72" t="str">
        <x:v>conflict_sequence</x:v>
      </x:c>
      <x:c r="X176" s="72" t="str">
        <x:v>先暂停整理或降温，再带着更清楚的信息回到同一问题。</x:v>
      </x:c>
      <x:c r="Y176" s="72" t="str">
        <x:v>你需要的暂停有明确回归点，而不是无限期搁置。</x:v>
      </x:c>
      <x:c r="Z17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76" s="72" t="str">
        <x:v>中</x:v>
      </x:c>
      <x:c r="AB176" s="72" t="str">
        <x:v>待验证</x:v>
      </x:c>
      <x:c r="AC176" s="72" t="str"/>
      <x:c r="AD176" s="72" t="str">
        <x:v>provisional=true; sequence=FS06</x:v>
      </x:c>
      <x:c r="AE176" s="73" t="str">
        <x:v>0.6</x:v>
      </x:c>
    </x:row>
    <x:row r="177">
      <x:c r="A177" s="71" t="str">
        <x:v>M3-CONFLICT-173</x:v>
      </x:c>
      <x:c r="B177" s="72" t="str">
        <x:v>FS07 往返验证｜序列结构</x:v>
      </x:c>
      <x:c r="C177" s="72" t="str">
        <x:v>L4 处理顺序与路径</x:v>
      </x:c>
      <x:c r="D177" s="72" t="str">
        <x:v>CONFLICT-序列结构</x:v>
      </x:c>
      <x:c r="E177" s="72" t="str">
        <x:v>通用</x:v>
      </x:c>
      <x:c r="F177" s="72" t="str">
        <x:v>序列</x:v>
      </x:c>
      <x:c r="G177" s="72" t="str">
        <x:v>FS07</x:v>
      </x:c>
      <x:c r="H177" s="72" t="str"/>
      <x:c r="I177" s="72" t="str">
        <x:v>起点、转换和终点均有可靠证据；FS07为FS08时适用于桥梁缺失或状态争议。</x:v>
      </x:c>
      <x:c r="J177" s="72" t="str">
        <x:v>基础信号未定；真合化后原信号已失效；只有单一弱远争议信号；或该结论会越界到M4风险、M5适配。</x:v>
      </x:c>
      <x:c r="K177" s="72" t="str">
        <x:v>由共享基础引擎与M3-STATE修正；日主承载只修正冲突处理的可执行性，不直接等于强硬或软弱。</x:v>
      </x:c>
      <x:c r="L177" s="72" t="str">
        <x:v>不限定；夫妻星只在责任、行动、投入等冲突议题中参与接口，不作为CONFLICT唯一主轴。</x:v>
      </x:c>
      <x:c r="M177" s="72" t="str">
        <x:v>由M3-BASE、日支主气及宫位动态提供；不得把日支直接写成配偶性格。</x:v>
      </x:c>
      <x:c r="N177" s="72" t="str">
        <x:v>无／待CONFLICT顺序与路径规则组合</x:v>
      </x:c>
      <x:c r="O177" s="72" t="str">
        <x:v>日柱与日支近位优先；全局有效独立信号可作次通道。</x:v>
      </x:c>
      <x:c r="P177" s="72" t="str">
        <x:v>由共享基础引擎判定</x:v>
      </x:c>
      <x:c r="Q177" s="72" t="str">
        <x:v>由共享基础引擎判定</x:v>
      </x:c>
      <x:c r="R177" s="72" t="str">
        <x:v>喜忌不直接等于冲突方式好坏；只修正调用顺畅度、资源压力和状态切换。</x:v>
      </x:c>
      <x:c r="S177" s="72" t="str">
        <x:v>原十神性质有效；真合化成立时按化神所属功能系统重建。</x:v>
      </x:c>
      <x:c r="T177" s="72" t="str">
        <x:v>由共享基础引擎判定</x:v>
      </x:c>
      <x:c r="U177" s="72" t="str">
        <x:v>54</x:v>
      </x:c>
      <x:c r="V177" s="72" t="str">
        <x:v>序列候选 +6</x:v>
      </x:c>
      <x:c r="W177" s="72" t="str">
        <x:v>conflict_sequence</x:v>
      </x:c>
      <x:c r="X177" s="72" t="str">
        <x:v>事实、感受、责任和方案通过多轮回应互相修正。</x:v>
      </x:c>
      <x:c r="Y177" s="72" t="str">
        <x:v>你的处理更像多轮校准，答案会随着新信息逐步清楚。</x:v>
      </x:c>
      <x:c r="Z17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77" s="72" t="str">
        <x:v>中</x:v>
      </x:c>
      <x:c r="AB177" s="72" t="str">
        <x:v>待验证</x:v>
      </x:c>
      <x:c r="AC177" s="72" t="str"/>
      <x:c r="AD177" s="72" t="str">
        <x:v>provisional=true; sequence=FS07</x:v>
      </x:c>
      <x:c r="AE177" s="73" t="str">
        <x:v>0.6</x:v>
      </x:c>
    </x:row>
    <x:row r="178">
      <x:c r="A178" s="71" t="str">
        <x:v>M3-CONFLICT-174</x:v>
      </x:c>
      <x:c r="B178" s="72" t="str">
        <x:v>FS08 断流／未定｜序列结构</x:v>
      </x:c>
      <x:c r="C178" s="72" t="str">
        <x:v>L4 处理顺序与路径</x:v>
      </x:c>
      <x:c r="D178" s="72" t="str">
        <x:v>CONFLICT-序列结构</x:v>
      </x:c>
      <x:c r="E178" s="72" t="str">
        <x:v>通用</x:v>
      </x:c>
      <x:c r="F178" s="72" t="str">
        <x:v>序列</x:v>
      </x:c>
      <x:c r="G178" s="72" t="str">
        <x:v>FS08</x:v>
      </x:c>
      <x:c r="H178" s="72" t="str"/>
      <x:c r="I178" s="72" t="str">
        <x:v>起点、转换和终点均有可靠证据；FS08为FS08时适用于桥梁缺失或状态争议。</x:v>
      </x:c>
      <x:c r="J178" s="72" t="str">
        <x:v>基础信号未定；真合化后原信号已失效；只有单一弱远争议信号；或该结论会越界到M4风险、M5适配。</x:v>
      </x:c>
      <x:c r="K178" s="72" t="str">
        <x:v>由共享基础引擎与M3-STATE修正；日主承载只修正冲突处理的可执行性，不直接等于强硬或软弱。</x:v>
      </x:c>
      <x:c r="L178" s="72" t="str">
        <x:v>不限定；夫妻星只在责任、行动、投入等冲突议题中参与接口，不作为CONFLICT唯一主轴。</x:v>
      </x:c>
      <x:c r="M178" s="72" t="str">
        <x:v>由M3-BASE、日支主气及宫位动态提供；不得把日支直接写成配偶性格。</x:v>
      </x:c>
      <x:c r="N178" s="72" t="str">
        <x:v>无／待CONFLICT顺序与路径规则组合</x:v>
      </x:c>
      <x:c r="O178" s="72" t="str">
        <x:v>日柱与日支近位优先；全局有效独立信号可作次通道。</x:v>
      </x:c>
      <x:c r="P178" s="72" t="str">
        <x:v>由共享基础引擎判定</x:v>
      </x:c>
      <x:c r="Q178" s="72" t="str">
        <x:v>由共享基础引擎判定</x:v>
      </x:c>
      <x:c r="R178" s="72" t="str">
        <x:v>喜忌不直接等于冲突方式好坏；只修正调用顺畅度、资源压力和状态切换。</x:v>
      </x:c>
      <x:c r="S178" s="72" t="str">
        <x:v>原十神性质有效；真合化成立时按化神所属功能系统重建。</x:v>
      </x:c>
      <x:c r="T178" s="72" t="str">
        <x:v>由共享基础引擎判定</x:v>
      </x:c>
      <x:c r="U178" s="72" t="str">
        <x:v>54</x:v>
      </x:c>
      <x:c r="V178" s="72" t="str">
        <x:v>停止／降置信</x:v>
      </x:c>
      <x:c r="W178" s="72" t="str">
        <x:v>conflict_sequence</x:v>
      </x:c>
      <x:c r="X178" s="72" t="str">
        <x:v>关键桥梁缺失、主次争议或没有可靠回归路径。</x:v>
      </x:c>
      <x:c r="Y178" s="72" t="str">
        <x:v>目前无法确认稳定处理链，只能保留局部反应，不硬写完整流程。</x:v>
      </x:c>
      <x:c r="Z17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78" s="72" t="str">
        <x:v>中</x:v>
      </x:c>
      <x:c r="AB178" s="72" t="str">
        <x:v>待验证</x:v>
      </x:c>
      <x:c r="AC178" s="72" t="str"/>
      <x:c r="AD178" s="72" t="str">
        <x:v>provisional=true; sequence=FS08</x:v>
      </x:c>
      <x:c r="AE178" s="73" t="str">
        <x:v>0.6</x:v>
      </x:c>
    </x:row>
    <x:row r="179">
      <x:c r="A179" s="71" t="str">
        <x:v>M3-CONFLICT-175</x:v>
      </x:c>
      <x:c r="B179" s="72" t="str">
        <x:v>FF01 安全→立场｜功能转换路径</x:v>
      </x:c>
      <x:c r="C179" s="72" t="str">
        <x:v>L4 处理顺序与路径</x:v>
      </x:c>
      <x:c r="D179" s="72" t="str">
        <x:v>CONFLICT-功能路径</x:v>
      </x:c>
      <x:c r="E179" s="72" t="str">
        <x:v>通用</x:v>
      </x:c>
      <x:c r="F179" s="72" t="str">
        <x:v>路径</x:v>
      </x:c>
      <x:c r="G179" s="72" t="str">
        <x:v>正印／偏印→比肩／劫财</x:v>
      </x:c>
      <x:c r="H179" s="72" t="str"/>
      <x:c r="I179" s="72" t="str">
        <x:v>两端功能信号均有效，且存在第二类独立证据支持现实先后或转换；不得仅凭五行生克。</x:v>
      </x:c>
      <x:c r="J179" s="72" t="str">
        <x:v>基础信号未定；真合化后原信号已失效；只有单一弱远争议信号；或该结论会越界到M4风险、M5适配。</x:v>
      </x:c>
      <x:c r="K179" s="72" t="str">
        <x:v>由共享基础引擎与M3-STATE修正；日主承载只修正冲突处理的可执行性，不直接等于强硬或软弱。</x:v>
      </x:c>
      <x:c r="L179" s="72" t="str">
        <x:v>不限定；夫妻星只在责任、行动、投入等冲突议题中参与接口，不作为CONFLICT唯一主轴。</x:v>
      </x:c>
      <x:c r="M179" s="72" t="str">
        <x:v>由M3-BASE、日支主气及宫位动态提供；不得把日支直接写成配偶性格。</x:v>
      </x:c>
      <x:c r="N179" s="72" t="str">
        <x:v>无／待CONFLICT顺序与路径规则组合</x:v>
      </x:c>
      <x:c r="O179" s="72" t="str">
        <x:v>日柱与日支近位优先；全局有效独立信号可作次通道。</x:v>
      </x:c>
      <x:c r="P179" s="72" t="str">
        <x:v>由共享基础引擎判定</x:v>
      </x:c>
      <x:c r="Q179" s="72" t="str">
        <x:v>由共享基础引擎判定</x:v>
      </x:c>
      <x:c r="R179" s="72" t="str">
        <x:v>喜忌不直接等于冲突方式好坏；只修正调用顺畅度、资源压力和状态切换。</x:v>
      </x:c>
      <x:c r="S179" s="72" t="str">
        <x:v>原十神性质有效；真合化成立时按化神所属功能系统重建。</x:v>
      </x:c>
      <x:c r="T179" s="72" t="str">
        <x:v>由共享基础引擎判定</x:v>
      </x:c>
      <x:c r="U179" s="72" t="str">
        <x:v>53</x:v>
      </x:c>
      <x:c r="V179" s="72" t="str">
        <x:v>路径候选 +6</x:v>
      </x:c>
      <x:c r="W179" s="72" t="str">
        <x:v>conflict_path</x:v>
      </x:c>
      <x:c r="X179" s="72" t="str">
        <x:v>先获得理解、整理和安全感，再形成自己的立场与参与方式。</x:v>
      </x:c>
      <x:c r="Y179" s="72" t="str">
        <x:v>你更容易在被理解或想清楚以后，再把自己的立场说出来。</x:v>
      </x:c>
      <x:c r="Z17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79" s="72" t="str">
        <x:v>中高</x:v>
      </x:c>
      <x:c r="AB179" s="72" t="str">
        <x:v>待验证</x:v>
      </x:c>
      <x:c r="AC179" s="72" t="str"/>
      <x:c r="AD179" s="72" t="str">
        <x:v>provisional=true; path=FF01</x:v>
      </x:c>
      <x:c r="AE179" s="73" t="str">
        <x:v>0.6</x:v>
      </x:c>
    </x:row>
    <x:row r="180">
      <x:c r="A180" s="71" t="str">
        <x:v>M3-CONFLICT-176</x:v>
      </x:c>
      <x:c r="B180" s="72" t="str">
        <x:v>FF02 平等→表达｜功能转换路径</x:v>
      </x:c>
      <x:c r="C180" s="72" t="str">
        <x:v>L4 处理顺序与路径</x:v>
      </x:c>
      <x:c r="D180" s="72" t="str">
        <x:v>CONFLICT-功能路径</x:v>
      </x:c>
      <x:c r="E180" s="72" t="str">
        <x:v>通用</x:v>
      </x:c>
      <x:c r="F180" s="72" t="str">
        <x:v>路径</x:v>
      </x:c>
      <x:c r="G180" s="72" t="str">
        <x:v>比肩／劫财→食神／伤官</x:v>
      </x:c>
      <x:c r="H180" s="72" t="str"/>
      <x:c r="I180" s="72" t="str">
        <x:v>两端功能信号均有效，且存在第二类独立证据支持现实先后或转换；不得仅凭五行生克。</x:v>
      </x:c>
      <x:c r="J180" s="72" t="str">
        <x:v>基础信号未定；真合化后原信号已失效；只有单一弱远争议信号；或该结论会越界到M4风险、M5适配。</x:v>
      </x:c>
      <x:c r="K180" s="72" t="str">
        <x:v>由共享基础引擎与M3-STATE修正；日主承载只修正冲突处理的可执行性，不直接等于强硬或软弱。</x:v>
      </x:c>
      <x:c r="L180" s="72" t="str">
        <x:v>不限定；夫妻星只在责任、行动、投入等冲突议题中参与接口，不作为CONFLICT唯一主轴。</x:v>
      </x:c>
      <x:c r="M180" s="72" t="str">
        <x:v>由M3-BASE、日支主气及宫位动态提供；不得把日支直接写成配偶性格。</x:v>
      </x:c>
      <x:c r="N180" s="72" t="str">
        <x:v>无／待CONFLICT顺序与路径规则组合</x:v>
      </x:c>
      <x:c r="O180" s="72" t="str">
        <x:v>日柱与日支近位优先；全局有效独立信号可作次通道。</x:v>
      </x:c>
      <x:c r="P180" s="72" t="str">
        <x:v>由共享基础引擎判定</x:v>
      </x:c>
      <x:c r="Q180" s="72" t="str">
        <x:v>由共享基础引擎判定</x:v>
      </x:c>
      <x:c r="R180" s="72" t="str">
        <x:v>喜忌不直接等于冲突方式好坏；只修正调用顺畅度、资源压力和状态切换。</x:v>
      </x:c>
      <x:c r="S180" s="72" t="str">
        <x:v>原十神性质有效；真合化成立时按化神所属功能系统重建。</x:v>
      </x:c>
      <x:c r="T180" s="72" t="str">
        <x:v>由共享基础引擎判定</x:v>
      </x:c>
      <x:c r="U180" s="72" t="str">
        <x:v>53</x:v>
      </x:c>
      <x:c r="V180" s="72" t="str">
        <x:v>路径候选 +6</x:v>
      </x:c>
      <x:c r="W180" s="72" t="str">
        <x:v>conflict_path</x:v>
      </x:c>
      <x:c r="X180" s="72" t="str">
        <x:v>先确认双方都有表达和选择权，再进入具体沟通。</x:v>
      </x:c>
      <x:c r="Y180" s="72" t="str">
        <x:v>你需要先确认彼此能够平等参与，才更愿意把问题完整说开。</x:v>
      </x:c>
      <x:c r="Z18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80" s="72" t="str">
        <x:v>中高</x:v>
      </x:c>
      <x:c r="AB180" s="72" t="str">
        <x:v>待验证</x:v>
      </x:c>
      <x:c r="AC180" s="72" t="str"/>
      <x:c r="AD180" s="72" t="str">
        <x:v>provisional=true; path=FF02</x:v>
      </x:c>
      <x:c r="AE180" s="73" t="str">
        <x:v>0.6</x:v>
      </x:c>
    </x:row>
    <x:row r="181">
      <x:c r="A181" s="71" t="str">
        <x:v>M3-CONFLICT-177</x:v>
      </x:c>
      <x:c r="B181" s="72" t="str">
        <x:v>FF03 表达→现实｜功能转换路径</x:v>
      </x:c>
      <x:c r="C181" s="72" t="str">
        <x:v>L4 处理顺序与路径</x:v>
      </x:c>
      <x:c r="D181" s="72" t="str">
        <x:v>CONFLICT-功能路径</x:v>
      </x:c>
      <x:c r="E181" s="72" t="str">
        <x:v>通用</x:v>
      </x:c>
      <x:c r="F181" s="72" t="str">
        <x:v>路径</x:v>
      </x:c>
      <x:c r="G181" s="72" t="str">
        <x:v>食神／伤官→正财／偏财</x:v>
      </x:c>
      <x:c r="H181" s="72" t="str"/>
      <x:c r="I181" s="72" t="str">
        <x:v>两端功能信号均有效，且存在第二类独立证据支持现实先后或转换；不得仅凭五行生克。</x:v>
      </x:c>
      <x:c r="J181" s="72" t="str">
        <x:v>基础信号未定；真合化后原信号已失效；只有单一弱远争议信号；或该结论会越界到M4风险、M5适配。</x:v>
      </x:c>
      <x:c r="K181" s="72" t="str">
        <x:v>由共享基础引擎与M3-STATE修正；日主承载只修正冲突处理的可执行性，不直接等于强硬或软弱。</x:v>
      </x:c>
      <x:c r="L181" s="72" t="str">
        <x:v>不限定；夫妻星只在责任、行动、投入等冲突议题中参与接口，不作为CONFLICT唯一主轴。</x:v>
      </x:c>
      <x:c r="M181" s="72" t="str">
        <x:v>由M3-BASE、日支主气及宫位动态提供；不得把日支直接写成配偶性格。</x:v>
      </x:c>
      <x:c r="N181" s="72" t="str">
        <x:v>无／待CONFLICT顺序与路径规则组合</x:v>
      </x:c>
      <x:c r="O181" s="72" t="str">
        <x:v>日柱与日支近位优先；全局有效独立信号可作次通道。</x:v>
      </x:c>
      <x:c r="P181" s="72" t="str">
        <x:v>由共享基础引擎判定</x:v>
      </x:c>
      <x:c r="Q181" s="72" t="str">
        <x:v>由共享基础引擎判定</x:v>
      </x:c>
      <x:c r="R181" s="72" t="str">
        <x:v>喜忌不直接等于冲突方式好坏；只修正调用顺畅度、资源压力和状态切换。</x:v>
      </x:c>
      <x:c r="S181" s="72" t="str">
        <x:v>原十神性质有效；真合化成立时按化神所属功能系统重建。</x:v>
      </x:c>
      <x:c r="T181" s="72" t="str">
        <x:v>由共享基础引擎判定</x:v>
      </x:c>
      <x:c r="U181" s="72" t="str">
        <x:v>53</x:v>
      </x:c>
      <x:c r="V181" s="72" t="str">
        <x:v>路径候选 +6</x:v>
      </x:c>
      <x:c r="W181" s="72" t="str">
        <x:v>conflict_path</x:v>
      </x:c>
      <x:c r="X181" s="72" t="str">
        <x:v>先把问题、感受和需求说清，再转成时间、资源和安排。</x:v>
      </x:c>
      <x:c r="Y181" s="72" t="str">
        <x:v>你会先通过沟通形成理解，再把结果落实到具体安排。</x:v>
      </x:c>
      <x:c r="Z18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81" s="72" t="str">
        <x:v>中高</x:v>
      </x:c>
      <x:c r="AB181" s="72" t="str">
        <x:v>待验证</x:v>
      </x:c>
      <x:c r="AC181" s="72" t="str"/>
      <x:c r="AD181" s="72" t="str">
        <x:v>provisional=true; path=FF03</x:v>
      </x:c>
      <x:c r="AE181" s="73" t="str">
        <x:v>0.6</x:v>
      </x:c>
    </x:row>
    <x:row r="182">
      <x:c r="A182" s="71" t="str">
        <x:v>M3-CONFLICT-178</x:v>
      </x:c>
      <x:c r="B182" s="72" t="str">
        <x:v>FF04 现实→责任｜功能转换路径</x:v>
      </x:c>
      <x:c r="C182" s="72" t="str">
        <x:v>L4 处理顺序与路径</x:v>
      </x:c>
      <x:c r="D182" s="72" t="str">
        <x:v>CONFLICT-功能路径</x:v>
      </x:c>
      <x:c r="E182" s="72" t="str">
        <x:v>通用</x:v>
      </x:c>
      <x:c r="F182" s="72" t="str">
        <x:v>路径</x:v>
      </x:c>
      <x:c r="G182" s="72" t="str">
        <x:v>正财／偏财→正官／七杀</x:v>
      </x:c>
      <x:c r="H182" s="72" t="str"/>
      <x:c r="I182" s="72" t="str">
        <x:v>两端功能信号均有效，且存在第二类独立证据支持现实先后或转换；不得仅凭五行生克。</x:v>
      </x:c>
      <x:c r="J182" s="72" t="str">
        <x:v>基础信号未定；真合化后原信号已失效；只有单一弱远争议信号；或该结论会越界到M4风险、M5适配。</x:v>
      </x:c>
      <x:c r="K182" s="72" t="str">
        <x:v>由共享基础引擎与M3-STATE修正；日主承载只修正冲突处理的可执行性，不直接等于强硬或软弱。</x:v>
      </x:c>
      <x:c r="L182" s="72" t="str">
        <x:v>不限定；夫妻星只在责任、行动、投入等冲突议题中参与接口，不作为CONFLICT唯一主轴。</x:v>
      </x:c>
      <x:c r="M182" s="72" t="str">
        <x:v>由M3-BASE、日支主气及宫位动态提供；不得把日支直接写成配偶性格。</x:v>
      </x:c>
      <x:c r="N182" s="72" t="str">
        <x:v>无／待CONFLICT顺序与路径规则组合</x:v>
      </x:c>
      <x:c r="O182" s="72" t="str">
        <x:v>日柱与日支近位优先；全局有效独立信号可作次通道。</x:v>
      </x:c>
      <x:c r="P182" s="72" t="str">
        <x:v>由共享基础引擎判定</x:v>
      </x:c>
      <x:c r="Q182" s="72" t="str">
        <x:v>由共享基础引擎判定</x:v>
      </x:c>
      <x:c r="R182" s="72" t="str">
        <x:v>喜忌不直接等于冲突方式好坏；只修正调用顺畅度、资源压力和状态切换。</x:v>
      </x:c>
      <x:c r="S182" s="72" t="str">
        <x:v>原十神性质有效；真合化成立时按化神所属功能系统重建。</x:v>
      </x:c>
      <x:c r="T182" s="72" t="str">
        <x:v>由共享基础引擎判定</x:v>
      </x:c>
      <x:c r="U182" s="72" t="str">
        <x:v>53</x:v>
      </x:c>
      <x:c r="V182" s="72" t="str">
        <x:v>路径候选 +6</x:v>
      </x:c>
      <x:c r="W182" s="72" t="str">
        <x:v>conflict_path</x:v>
      </x:c>
      <x:c r="X182" s="72" t="str">
        <x:v>先核对实际投入和条件，再明确谁负责、怎样执行或止损。</x:v>
      </x:c>
      <x:c r="Y182" s="72" t="str">
        <x:v>你通常先看现实发生了什么，再把责任和下一步定下来。</x:v>
      </x:c>
      <x:c r="Z18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82" s="72" t="str">
        <x:v>中高</x:v>
      </x:c>
      <x:c r="AB182" s="72" t="str">
        <x:v>待验证</x:v>
      </x:c>
      <x:c r="AC182" s="72" t="str"/>
      <x:c r="AD182" s="72" t="str">
        <x:v>provisional=true; path=FF04</x:v>
      </x:c>
      <x:c r="AE182" s="73" t="str">
        <x:v>0.6</x:v>
      </x:c>
    </x:row>
    <x:row r="183">
      <x:c r="A183" s="71" t="str">
        <x:v>M3-CONFLICT-179</x:v>
      </x:c>
      <x:c r="B183" s="72" t="str">
        <x:v>FF05 责任→理解｜功能转换路径</x:v>
      </x:c>
      <x:c r="C183" s="72" t="str">
        <x:v>L4 处理顺序与路径</x:v>
      </x:c>
      <x:c r="D183" s="72" t="str">
        <x:v>CONFLICT-功能路径</x:v>
      </x:c>
      <x:c r="E183" s="72" t="str">
        <x:v>通用</x:v>
      </x:c>
      <x:c r="F183" s="72" t="str">
        <x:v>路径</x:v>
      </x:c>
      <x:c r="G183" s="72" t="str">
        <x:v>正官／七杀→正印／偏印</x:v>
      </x:c>
      <x:c r="H183" s="72" t="str"/>
      <x:c r="I183" s="72" t="str">
        <x:v>两端功能信号均有效，且存在第二类独立证据支持现实先后或转换；不得仅凭五行生克。</x:v>
      </x:c>
      <x:c r="J183" s="72" t="str">
        <x:v>基础信号未定；真合化后原信号已失效；只有单一弱远争议信号；或该结论会越界到M4风险、M5适配。</x:v>
      </x:c>
      <x:c r="K183" s="72" t="str">
        <x:v>由共享基础引擎与M3-STATE修正；日主承载只修正冲突处理的可执行性，不直接等于强硬或软弱。</x:v>
      </x:c>
      <x:c r="L183" s="72" t="str">
        <x:v>不限定；夫妻星只在责任、行动、投入等冲突议题中参与接口，不作为CONFLICT唯一主轴。</x:v>
      </x:c>
      <x:c r="M183" s="72" t="str">
        <x:v>由M3-BASE、日支主气及宫位动态提供；不得把日支直接写成配偶性格。</x:v>
      </x:c>
      <x:c r="N183" s="72" t="str">
        <x:v>无／待CONFLICT顺序与路径规则组合</x:v>
      </x:c>
      <x:c r="O183" s="72" t="str">
        <x:v>日柱与日支近位优先；全局有效独立信号可作次通道。</x:v>
      </x:c>
      <x:c r="P183" s="72" t="str">
        <x:v>由共享基础引擎判定</x:v>
      </x:c>
      <x:c r="Q183" s="72" t="str">
        <x:v>由共享基础引擎判定</x:v>
      </x:c>
      <x:c r="R183" s="72" t="str">
        <x:v>喜忌不直接等于冲突方式好坏；只修正调用顺畅度、资源压力和状态切换。</x:v>
      </x:c>
      <x:c r="S183" s="72" t="str">
        <x:v>原十神性质有效；真合化成立时按化神所属功能系统重建。</x:v>
      </x:c>
      <x:c r="T183" s="72" t="str">
        <x:v>由共享基础引擎判定</x:v>
      </x:c>
      <x:c r="U183" s="72" t="str">
        <x:v>53</x:v>
      </x:c>
      <x:c r="V183" s="72" t="str">
        <x:v>路径候选 +6</x:v>
      </x:c>
      <x:c r="W183" s="72" t="str">
        <x:v>conflict_path</x:v>
      </x:c>
      <x:c r="X183" s="72" t="str">
        <x:v>先处理责任、风险或紧急事项，再补充情绪承接和内部整理。</x:v>
      </x:c>
      <x:c r="Y183" s="72" t="str">
        <x:v>你可能先把必须承担的事情处理好，再回到理解和感受。</x:v>
      </x:c>
      <x:c r="Z18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83" s="72" t="str">
        <x:v>中高</x:v>
      </x:c>
      <x:c r="AB183" s="72" t="str">
        <x:v>待验证</x:v>
      </x:c>
      <x:c r="AC183" s="72" t="str"/>
      <x:c r="AD183" s="72" t="str">
        <x:v>provisional=true; path=FF05</x:v>
      </x:c>
      <x:c r="AE183" s="73" t="str">
        <x:v>0.6</x:v>
      </x:c>
    </x:row>
    <x:row r="184">
      <x:c r="A184" s="71" t="str">
        <x:v>M3-CONFLICT-180</x:v>
      </x:c>
      <x:c r="B184" s="72" t="str">
        <x:v>FF06 内化→说明｜功能转换路径</x:v>
      </x:c>
      <x:c r="C184" s="72" t="str">
        <x:v>L4 处理顺序与路径</x:v>
      </x:c>
      <x:c r="D184" s="72" t="str">
        <x:v>CONFLICT-功能路径</x:v>
      </x:c>
      <x:c r="E184" s="72" t="str">
        <x:v>通用</x:v>
      </x:c>
      <x:c r="F184" s="72" t="str">
        <x:v>路径</x:v>
      </x:c>
      <x:c r="G184" s="72" t="str">
        <x:v>偏印／正印→伤官／食神</x:v>
      </x:c>
      <x:c r="H184" s="72" t="str"/>
      <x:c r="I184" s="72" t="str">
        <x:v>两端功能信号均有效，且存在第二类独立证据支持现实先后或转换；不得仅凭五行生克。</x:v>
      </x:c>
      <x:c r="J184" s="72" t="str">
        <x:v>基础信号未定；真合化后原信号已失效；只有单一弱远争议信号；或该结论会越界到M4风险、M5适配。</x:v>
      </x:c>
      <x:c r="K184" s="72" t="str">
        <x:v>由共享基础引擎与M3-STATE修正；日主承载只修正冲突处理的可执行性，不直接等于强硬或软弱。</x:v>
      </x:c>
      <x:c r="L184" s="72" t="str">
        <x:v>不限定；夫妻星只在责任、行动、投入等冲突议题中参与接口，不作为CONFLICT唯一主轴。</x:v>
      </x:c>
      <x:c r="M184" s="72" t="str">
        <x:v>由M3-BASE、日支主气及宫位动态提供；不得把日支直接写成配偶性格。</x:v>
      </x:c>
      <x:c r="N184" s="72" t="str">
        <x:v>无／待CONFLICT顺序与路径规则组合</x:v>
      </x:c>
      <x:c r="O184" s="72" t="str">
        <x:v>日柱与日支近位优先；全局有效独立信号可作次通道。</x:v>
      </x:c>
      <x:c r="P184" s="72" t="str">
        <x:v>由共享基础引擎判定</x:v>
      </x:c>
      <x:c r="Q184" s="72" t="str">
        <x:v>由共享基础引擎判定</x:v>
      </x:c>
      <x:c r="R184" s="72" t="str">
        <x:v>喜忌不直接等于冲突方式好坏；只修正调用顺畅度、资源压力和状态切换。</x:v>
      </x:c>
      <x:c r="S184" s="72" t="str">
        <x:v>原十神性质有效；真合化成立时按化神所属功能系统重建。</x:v>
      </x:c>
      <x:c r="T184" s="72" t="str">
        <x:v>由共享基础引擎判定</x:v>
      </x:c>
      <x:c r="U184" s="72" t="str">
        <x:v>53</x:v>
      </x:c>
      <x:c r="V184" s="72" t="str">
        <x:v>路径候选 +6</x:v>
      </x:c>
      <x:c r="W184" s="72" t="str">
        <x:v>conflict_path</x:v>
      </x:c>
      <x:c r="X184" s="72" t="str">
        <x:v>先整理复杂信息和感受，再以清楚或温和方式回应。</x:v>
      </x:c>
      <x:c r="Y184" s="72" t="str">
        <x:v>你通常先想清楚，再选择合适的方式把核心说出来。</x:v>
      </x:c>
      <x:c r="Z18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84" s="72" t="str">
        <x:v>中高</x:v>
      </x:c>
      <x:c r="AB184" s="72" t="str">
        <x:v>待验证</x:v>
      </x:c>
      <x:c r="AC184" s="72" t="str"/>
      <x:c r="AD184" s="72" t="str">
        <x:v>provisional=true; path=FF06</x:v>
      </x:c>
      <x:c r="AE184" s="73" t="str">
        <x:v>0.6</x:v>
      </x:c>
    </x:row>
    <x:row r="185">
      <x:c r="A185" s="71" t="str">
        <x:v>M3-CONFLICT-181</x:v>
      </x:c>
      <x:c r="B185" s="72" t="str">
        <x:v>FF07 行动→承接｜功能转换路径</x:v>
      </x:c>
      <x:c r="C185" s="72" t="str">
        <x:v>L4 处理顺序与路径</x:v>
      </x:c>
      <x:c r="D185" s="72" t="str">
        <x:v>CONFLICT-功能路径</x:v>
      </x:c>
      <x:c r="E185" s="72" t="str">
        <x:v>通用</x:v>
      </x:c>
      <x:c r="F185" s="72" t="str">
        <x:v>路径</x:v>
      </x:c>
      <x:c r="G185" s="72" t="str">
        <x:v>七杀／劫财→正印／食神</x:v>
      </x:c>
      <x:c r="H185" s="72" t="str"/>
      <x:c r="I185" s="72" t="str">
        <x:v>两端功能信号均有效，且存在第二类独立证据支持现实先后或转换；不得仅凭五行生克。</x:v>
      </x:c>
      <x:c r="J185" s="72" t="str">
        <x:v>基础信号未定；真合化后原信号已失效；只有单一弱远争议信号；或该结论会越界到M4风险、M5适配。</x:v>
      </x:c>
      <x:c r="K185" s="72" t="str">
        <x:v>由共享基础引擎与M3-STATE修正；日主承载只修正冲突处理的可执行性，不直接等于强硬或软弱。</x:v>
      </x:c>
      <x:c r="L185" s="72" t="str">
        <x:v>不限定；夫妻星只在责任、行动、投入等冲突议题中参与接口，不作为CONFLICT唯一主轴。</x:v>
      </x:c>
      <x:c r="M185" s="72" t="str">
        <x:v>由M3-BASE、日支主气及宫位动态提供；不得把日支直接写成配偶性格。</x:v>
      </x:c>
      <x:c r="N185" s="72" t="str">
        <x:v>无／待CONFLICT顺序与路径规则组合</x:v>
      </x:c>
      <x:c r="O185" s="72" t="str">
        <x:v>日柱与日支近位优先；全局有效独立信号可作次通道。</x:v>
      </x:c>
      <x:c r="P185" s="72" t="str">
        <x:v>由共享基础引擎判定</x:v>
      </x:c>
      <x:c r="Q185" s="72" t="str">
        <x:v>由共享基础引擎判定</x:v>
      </x:c>
      <x:c r="R185" s="72" t="str">
        <x:v>喜忌不直接等于冲突方式好坏；只修正调用顺畅度、资源压力和状态切换。</x:v>
      </x:c>
      <x:c r="S185" s="72" t="str">
        <x:v>原十神性质有效；真合化成立时按化神所属功能系统重建。</x:v>
      </x:c>
      <x:c r="T185" s="72" t="str">
        <x:v>由共享基础引擎判定</x:v>
      </x:c>
      <x:c r="U185" s="72" t="str">
        <x:v>53</x:v>
      </x:c>
      <x:c r="V185" s="72" t="str">
        <x:v>路径候选 +6</x:v>
      </x:c>
      <x:c r="W185" s="72" t="str">
        <x:v>conflict_path</x:v>
      </x:c>
      <x:c r="X185" s="72" t="str">
        <x:v>先介入、止损或共同处理，随后降低强度并恢复可交流状态。</x:v>
      </x:c>
      <x:c r="Y185" s="72" t="str">
        <x:v>你可能先处理眼前问题，随后再让双方重新回到可沟通状态。</x:v>
      </x:c>
      <x:c r="Z18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85" s="72" t="str">
        <x:v>中高</x:v>
      </x:c>
      <x:c r="AB185" s="72" t="str">
        <x:v>待验证</x:v>
      </x:c>
      <x:c r="AC185" s="72" t="str"/>
      <x:c r="AD185" s="72" t="str">
        <x:v>provisional=true; path=FF07</x:v>
      </x:c>
      <x:c r="AE185" s="73" t="str">
        <x:v>0.6</x:v>
      </x:c>
    </x:row>
    <x:row r="186">
      <x:c r="A186" s="71" t="str">
        <x:v>M3-CONFLICT-182</x:v>
      </x:c>
      <x:c r="B186" s="72" t="str">
        <x:v>FF08 方案→重订｜功能转换路径</x:v>
      </x:c>
      <x:c r="C186" s="72" t="str">
        <x:v>L4 处理顺序与路径</x:v>
      </x:c>
      <x:c r="D186" s="72" t="str">
        <x:v>CONFLICT-功能路径</x:v>
      </x:c>
      <x:c r="E186" s="72" t="str">
        <x:v>通用</x:v>
      </x:c>
      <x:c r="F186" s="72" t="str">
        <x:v>路径</x:v>
      </x:c>
      <x:c r="G186" s="72" t="str">
        <x:v>财星／官杀→BOUND／REPAIR</x:v>
      </x:c>
      <x:c r="H186" s="72" t="str"/>
      <x:c r="I186" s="72" t="str">
        <x:v>两端功能信号均有效，且存在第二类独立证据支持现实先后或转换；不得仅凭五行生克。</x:v>
      </x:c>
      <x:c r="J186" s="72" t="str">
        <x:v>基础信号未定；真合化后原信号已失效；只有单一弱远争议信号；或该结论会越界到M4风险、M5适配。</x:v>
      </x:c>
      <x:c r="K186" s="72" t="str">
        <x:v>由共享基础引擎与M3-STATE修正；日主承载只修正冲突处理的可执行性，不直接等于强硬或软弱。</x:v>
      </x:c>
      <x:c r="L186" s="72" t="str">
        <x:v>不限定；夫妻星只在责任、行动、投入等冲突议题中参与接口，不作为CONFLICT唯一主轴。</x:v>
      </x:c>
      <x:c r="M186" s="72" t="str">
        <x:v>由M3-BASE、日支主气及宫位动态提供；不得把日支直接写成配偶性格。</x:v>
      </x:c>
      <x:c r="N186" s="72" t="str">
        <x:v>无／待CONFLICT顺序与路径规则组合</x:v>
      </x:c>
      <x:c r="O186" s="72" t="str">
        <x:v>日柱与日支近位优先；全局有效独立信号可作次通道。</x:v>
      </x:c>
      <x:c r="P186" s="72" t="str">
        <x:v>由共享基础引擎判定</x:v>
      </x:c>
      <x:c r="Q186" s="72" t="str">
        <x:v>由共享基础引擎判定</x:v>
      </x:c>
      <x:c r="R186" s="72" t="str">
        <x:v>喜忌不直接等于冲突方式好坏；只修正调用顺畅度、资源压力和状态切换。</x:v>
      </x:c>
      <x:c r="S186" s="72" t="str">
        <x:v>原十神性质有效；真合化成立时按化神所属功能系统重建。</x:v>
      </x:c>
      <x:c r="T186" s="72" t="str">
        <x:v>由共享基础引擎判定</x:v>
      </x:c>
      <x:c r="U186" s="72" t="str">
        <x:v>53</x:v>
      </x:c>
      <x:c r="V186" s="72" t="str">
        <x:v>路径候选 +6</x:v>
      </x:c>
      <x:c r="W186" s="72" t="str">
        <x:v>conflict_path</x:v>
      </x:c>
      <x:c r="X186" s="72" t="str">
        <x:v>先形成现实方案，再把权限、规则或后续修复条件重新确认。</x:v>
      </x:c>
      <x:c r="Y186" s="72" t="str">
        <x:v>事情有了办法以后，你还需要把新的分工、边界或后续安排说清。</x:v>
      </x:c>
      <x:c r="Z18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86" s="72" t="str">
        <x:v>中高</x:v>
      </x:c>
      <x:c r="AB186" s="72" t="str">
        <x:v>待验证</x:v>
      </x:c>
      <x:c r="AC186" s="72" t="str"/>
      <x:c r="AD186" s="72" t="str">
        <x:v>provisional=true; path=FF08</x:v>
      </x:c>
      <x:c r="AE186" s="73" t="str">
        <x:v>0.6</x:v>
      </x:c>
    </x:row>
    <x:row r="187">
      <x:c r="A187" s="71" t="str">
        <x:v>M3-CONFLICT-183</x:v>
      </x:c>
      <x:c r="B187" s="72" t="str">
        <x:v>日支合｜CONFLICT基础节奏</x:v>
      </x:c>
      <x:c r="C187" s="72" t="str">
        <x:v>L5 宫位动态修正</x:v>
      </x:c>
      <x:c r="D187" s="72" t="str">
        <x:v>CONFLICT-日支合</x:v>
      </x:c>
      <x:c r="E187" s="72" t="str">
        <x:v>通用</x:v>
      </x:c>
      <x:c r="F187" s="72" t="str">
        <x:v>宫位动态</x:v>
      </x:c>
      <x:c r="G187" s="72" t="str">
        <x:v>日支合</x:v>
      </x:c>
      <x:c r="H187" s="72" t="str"/>
      <x:c r="I187" s="72" t="str">
        <x:v>日支合成立且基础结构可靠；只作为冲突节奏修正。</x:v>
      </x:c>
      <x:c r="J187" s="72" t="str">
        <x:v>基础信号未定；真合化后原信号已失效；只有单一弱远争议信号；或该结论会越界到M4风险、M5适配。</x:v>
      </x:c>
      <x:c r="K187" s="72" t="str">
        <x:v>由共享基础引擎与M3-STATE修正；日主承载只修正冲突处理的可执行性，不直接等于强硬或软弱。</x:v>
      </x:c>
      <x:c r="L187" s="72" t="str">
        <x:v>不限定；夫妻星只在责任、行动、投入等冲突议题中参与接口，不作为CONFLICT唯一主轴。</x:v>
      </x:c>
      <x:c r="M187" s="72" t="str">
        <x:v>由M3-BASE、日支主气及宫位动态提供；不得把日支直接写成配偶性格。</x:v>
      </x:c>
      <x:c r="N187" s="72" t="str">
        <x:v>无／待CONFLICT顺序与路径规则组合</x:v>
      </x:c>
      <x:c r="O187" s="72" t="str">
        <x:v>日柱与日支近位优先；全局有效独立信号可作次通道。</x:v>
      </x:c>
      <x:c r="P187" s="72" t="str">
        <x:v>由共享基础引擎判定</x:v>
      </x:c>
      <x:c r="Q187" s="72" t="str">
        <x:v>由共享基础引擎判定</x:v>
      </x:c>
      <x:c r="R187" s="72" t="str">
        <x:v>喜忌不直接等于冲突方式好坏；只修正调用顺畅度、资源压力和状态切换。</x:v>
      </x:c>
      <x:c r="S187" s="72" t="str">
        <x:v>原十神性质有效；真合化成立时按化神所属功能系统重建。</x:v>
      </x:c>
      <x:c r="T187" s="72" t="str">
        <x:v>由共享基础引擎判定</x:v>
      </x:c>
      <x:c r="U187" s="72" t="str">
        <x:v>64</x:v>
      </x:c>
      <x:c r="V187" s="72" t="str">
        <x:v>节奏修正 +4</x:v>
      </x:c>
      <x:c r="W187" s="72" t="str">
        <x:v>palace_rhythm</x:v>
      </x:c>
      <x:c r="X187" s="72" t="str">
        <x:v>分歧中的多个议题、关系需要或现实条件容易被牵连到一起，需要先区分哪些应合并处理、哪些应分开。</x:v>
      </x:c>
      <x:c r="Y187" s="72" t="str">
        <x:v>分歧中的多个议题、关系需要或现实条件容易被牵连到一起，需要先区分哪些应合并处理、哪些应分开。</x:v>
      </x:c>
      <x:c r="Z18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87" s="72" t="str">
        <x:v>中</x:v>
      </x:c>
      <x:c r="AB187" s="72" t="str">
        <x:v>待验证</x:v>
      </x:c>
      <x:c r="AC187" s="72" t="str"/>
      <x:c r="AD187" s="72" t="str">
        <x:v>provisional=true; palace_dynamic=合; item=base</x:v>
      </x:c>
      <x:c r="AE187" s="73" t="str">
        <x:v>0.6</x:v>
      </x:c>
    </x:row>
    <x:row r="188">
      <x:c r="A188" s="71" t="str">
        <x:v>M3-CONFLICT-184</x:v>
      </x:c>
      <x:c r="B188" s="72" t="str">
        <x:v>日支合｜第一反应修正</x:v>
      </x:c>
      <x:c r="C188" s="72" t="str">
        <x:v>L5 宫位动态修正</x:v>
      </x:c>
      <x:c r="D188" s="72" t="str">
        <x:v>CONFLICT-日支合</x:v>
      </x:c>
      <x:c r="E188" s="72" t="str">
        <x:v>通用</x:v>
      </x:c>
      <x:c r="F188" s="72" t="str">
        <x:v>第一反应修正</x:v>
      </x:c>
      <x:c r="G188" s="72" t="str">
        <x:v>日支合</x:v>
      </x:c>
      <x:c r="H188" s="72" t="str"/>
      <x:c r="I188" s="72" t="str">
        <x:v>日支合成立，且主冲突通道已有可靠基础。</x:v>
      </x:c>
      <x:c r="J188" s="72" t="str">
        <x:v>基础信号未定；真合化后原信号已失效；只有单一弱远争议信号；或该结论会越界到M4风险、M5适配。</x:v>
      </x:c>
      <x:c r="K188" s="72" t="str">
        <x:v>由共享基础引擎与M3-STATE修正；日主承载只修正冲突处理的可执行性，不直接等于强硬或软弱。</x:v>
      </x:c>
      <x:c r="L188" s="72" t="str">
        <x:v>不限定；夫妻星只在责任、行动、投入等冲突议题中参与接口，不作为CONFLICT唯一主轴。</x:v>
      </x:c>
      <x:c r="M188" s="72" t="str">
        <x:v>由M3-BASE、日支主气及宫位动态提供；不得把日支直接写成配偶性格。</x:v>
      </x:c>
      <x:c r="N188" s="72" t="str">
        <x:v>无／待CONFLICT顺序与路径规则组合</x:v>
      </x:c>
      <x:c r="O188" s="72" t="str">
        <x:v>日柱与日支近位优先；全局有效独立信号可作次通道。</x:v>
      </x:c>
      <x:c r="P188" s="72" t="str">
        <x:v>由共享基础引擎判定</x:v>
      </x:c>
      <x:c r="Q188" s="72" t="str">
        <x:v>由共享基础引擎判定</x:v>
      </x:c>
      <x:c r="R188" s="72" t="str">
        <x:v>喜忌不直接等于冲突方式好坏；只修正调用顺畅度、资源压力和状态切换。</x:v>
      </x:c>
      <x:c r="S188" s="72" t="str">
        <x:v>原十神性质有效；真合化成立时按化神所属功能系统重建。</x:v>
      </x:c>
      <x:c r="T188" s="72" t="str">
        <x:v>由共享基础引擎判定</x:v>
      </x:c>
      <x:c r="U188" s="72" t="str">
        <x:v>61</x:v>
      </x:c>
      <x:c r="V188" s="72" t="str">
        <x:v>第一反应修正 +3</x:v>
      </x:c>
      <x:c r="W188" s="72" t="str">
        <x:v>first_response</x:v>
      </x:c>
      <x:c r="X188" s="72" t="str">
        <x:v>第一反应可能倾向协调、寻找共同点或避免把问题完全切成对立双方。</x:v>
      </x:c>
      <x:c r="Y188" s="72" t="str">
        <x:v>第一反应可能倾向协调、寻找共同点或避免把问题完全切成对立双方。</x:v>
      </x:c>
      <x:c r="Z18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88" s="72" t="str">
        <x:v>中</x:v>
      </x:c>
      <x:c r="AB188" s="72" t="str">
        <x:v>待验证</x:v>
      </x:c>
      <x:c r="AC188" s="72" t="str"/>
      <x:c r="AD188" s="72" t="str">
        <x:v>provisional=true; palace_dynamic=合; item=first</x:v>
      </x:c>
      <x:c r="AE188" s="73" t="str">
        <x:v>0.6</x:v>
      </x:c>
    </x:row>
    <x:row r="189">
      <x:c r="A189" s="71" t="str">
        <x:v>M3-CONFLICT-185</x:v>
      </x:c>
      <x:c r="B189" s="72" t="str">
        <x:v>日支合｜暂停与回归修正</x:v>
      </x:c>
      <x:c r="C189" s="72" t="str">
        <x:v>L5 宫位动态修正</x:v>
      </x:c>
      <x:c r="D189" s="72" t="str">
        <x:v>CONFLICT-日支合</x:v>
      </x:c>
      <x:c r="E189" s="72" t="str">
        <x:v>通用</x:v>
      </x:c>
      <x:c r="F189" s="72" t="str">
        <x:v>暂停修正</x:v>
      </x:c>
      <x:c r="G189" s="72" t="str">
        <x:v>日支合</x:v>
      </x:c>
      <x:c r="H189" s="72" t="str"/>
      <x:c r="I189" s="72" t="str">
        <x:v>日支合成立，且FQ07或REPAIR接口被调用。</x:v>
      </x:c>
      <x:c r="J189" s="72" t="str">
        <x:v>基础信号未定；真合化后原信号已失效；只有单一弱远争议信号；或该结论会越界到M4风险、M5适配。</x:v>
      </x:c>
      <x:c r="K189" s="72" t="str">
        <x:v>由共享基础引擎与M3-STATE修正；日主承载只修正冲突处理的可执行性，不直接等于强硬或软弱。</x:v>
      </x:c>
      <x:c r="L189" s="72" t="str">
        <x:v>不限定；夫妻星只在责任、行动、投入等冲突议题中参与接口，不作为CONFLICT唯一主轴。</x:v>
      </x:c>
      <x:c r="M189" s="72" t="str">
        <x:v>由M3-BASE、日支主气及宫位动态提供；不得把日支直接写成配偶性格。</x:v>
      </x:c>
      <x:c r="N189" s="72" t="str">
        <x:v>无／待CONFLICT顺序与路径规则组合</x:v>
      </x:c>
      <x:c r="O189" s="72" t="str">
        <x:v>日柱与日支近位优先；全局有效独立信号可作次通道。</x:v>
      </x:c>
      <x:c r="P189" s="72" t="str">
        <x:v>由共享基础引擎判定</x:v>
      </x:c>
      <x:c r="Q189" s="72" t="str">
        <x:v>由共享基础引擎判定</x:v>
      </x:c>
      <x:c r="R189" s="72" t="str">
        <x:v>喜忌不直接等于冲突方式好坏；只修正调用顺畅度、资源压力和状态切换。</x:v>
      </x:c>
      <x:c r="S189" s="72" t="str">
        <x:v>原十神性质有效；真合化成立时按化神所属功能系统重建。</x:v>
      </x:c>
      <x:c r="T189" s="72" t="str">
        <x:v>由共享基础引擎判定</x:v>
      </x:c>
      <x:c r="U189" s="72" t="str">
        <x:v>60</x:v>
      </x:c>
      <x:c r="V189" s="72" t="str">
        <x:v>暂停／回归候选 +3</x:v>
      </x:c>
      <x:c r="W189" s="72" t="str">
        <x:v>pause_style</x:v>
      </x:c>
      <x:c r="X189" s="72" t="str">
        <x:v>暂停后更适合回到共同目标，再分别处理细节和责任。</x:v>
      </x:c>
      <x:c r="Y189" s="72" t="str">
        <x:v>暂停后更适合回到共同目标，再分别处理细节和责任。</x:v>
      </x:c>
      <x:c r="Z18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89" s="72" t="str">
        <x:v>中</x:v>
      </x:c>
      <x:c r="AB189" s="72" t="str">
        <x:v>待验证</x:v>
      </x:c>
      <x:c r="AC189" s="72" t="str"/>
      <x:c r="AD189" s="72" t="str">
        <x:v>provisional=true; palace_dynamic=合; item=pause</x:v>
      </x:c>
      <x:c r="AE189" s="73" t="str">
        <x:v>0.6</x:v>
      </x:c>
    </x:row>
    <x:row r="190">
      <x:c r="A190" s="71" t="str">
        <x:v>M3-CONFLICT-186</x:v>
      </x:c>
      <x:c r="B190" s="72" t="str">
        <x:v>日支合｜禁止结果化解释</x:v>
      </x:c>
      <x:c r="C190" s="72" t="str">
        <x:v>L5 宫位动态修正</x:v>
      </x:c>
      <x:c r="D190" s="72" t="str">
        <x:v>CONFLICT-日支合</x:v>
      </x:c>
      <x:c r="E190" s="72" t="str">
        <x:v>通用</x:v>
      </x:c>
      <x:c r="F190" s="72" t="str">
        <x:v>禁止推断</x:v>
      </x:c>
      <x:c r="G190" s="72" t="str">
        <x:v>日支合</x:v>
      </x:c>
      <x:c r="H190" s="72" t="str"/>
      <x:c r="I190" s="72" t="str">
        <x:v>日支合被识别。</x:v>
      </x:c>
      <x:c r="J190" s="72" t="str">
        <x:v>基础信号未定；真合化后原信号已失效；只有单一弱远争议信号；或该结论会越界到M4风险、M5适配。</x:v>
      </x:c>
      <x:c r="K190" s="72" t="str">
        <x:v>由共享基础引擎与M3-STATE修正；日主承载只修正冲突处理的可执行性，不直接等于强硬或软弱。</x:v>
      </x:c>
      <x:c r="L190" s="72" t="str">
        <x:v>不限定；夫妻星只在责任、行动、投入等冲突议题中参与接口，不作为CONFLICT唯一主轴。</x:v>
      </x:c>
      <x:c r="M190" s="72" t="str">
        <x:v>由M3-BASE、日支主气及宫位动态提供；不得把日支直接写成配偶性格。</x:v>
      </x:c>
      <x:c r="N190" s="72" t="str">
        <x:v>无／待CONFLICT顺序与路径规则组合</x:v>
      </x:c>
      <x:c r="O190" s="72" t="str">
        <x:v>日柱与日支近位优先；全局有效独立信号可作次通道。</x:v>
      </x:c>
      <x:c r="P190" s="72" t="str">
        <x:v>由共享基础引擎判定</x:v>
      </x:c>
      <x:c r="Q190" s="72" t="str">
        <x:v>由共享基础引擎判定</x:v>
      </x:c>
      <x:c r="R190" s="72" t="str">
        <x:v>喜忌不直接等于冲突方式好坏；只修正调用顺畅度、资源压力和状态切换。</x:v>
      </x:c>
      <x:c r="S190" s="72" t="str">
        <x:v>原十神性质有效；真合化成立时按化神所属功能系统重建。</x:v>
      </x:c>
      <x:c r="T190" s="72" t="str">
        <x:v>由共享基础引擎判定</x:v>
      </x:c>
      <x:c r="U190" s="72" t="str">
        <x:v>92</x:v>
      </x:c>
      <x:c r="V190" s="72" t="str">
        <x:v>不加分；边界检查</x:v>
      </x:c>
      <x:c r="W190" s="72" t="str">
        <x:v>boundary_note</x:v>
      </x:c>
      <x:c r="X190" s="72" t="str">
        <x:v>日支合在M3-CONFLICT中只修正分歧的显化、校正或重订节奏。</x:v>
      </x:c>
      <x:c r="Y190" s="72" t="str">
        <x:v>这里仅把日支合作为分歧节奏修正，不把它直接写成关系结果。</x:v>
      </x:c>
      <x:c r="Z19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90" s="72" t="str">
        <x:v>高</x:v>
      </x:c>
      <x:c r="AB190" s="72" t="str">
        <x:v>待验证</x:v>
      </x:c>
      <x:c r="AC190" s="72" t="str"/>
      <x:c r="AD190" s="72" t="str">
        <x:v>provisional=true; palace_dynamic=合; item=forbid</x:v>
      </x:c>
      <x:c r="AE190" s="73" t="str">
        <x:v>0.6</x:v>
      </x:c>
    </x:row>
    <x:row r="191">
      <x:c r="A191" s="71" t="str">
        <x:v>M3-CONFLICT-187</x:v>
      </x:c>
      <x:c r="B191" s="72" t="str">
        <x:v>日支合｜停止／改道路由</x:v>
      </x:c>
      <x:c r="C191" s="72" t="str">
        <x:v>L5 宫位动态修正</x:v>
      </x:c>
      <x:c r="D191" s="72" t="str">
        <x:v>CONFLICT-日支合</x:v>
      </x:c>
      <x:c r="E191" s="72" t="str">
        <x:v>通用</x:v>
      </x:c>
      <x:c r="F191" s="72" t="str">
        <x:v>停止／路由</x:v>
      </x:c>
      <x:c r="G191" s="72" t="str">
        <x:v>日支合</x:v>
      </x:c>
      <x:c r="H191" s="72" t="str"/>
      <x:c r="I191" s="72" t="str">
        <x:v>日支合的成立、作用对象、阶段性或合化状态存在争议。</x:v>
      </x:c>
      <x:c r="J191" s="72" t="str">
        <x:v>基础信号未定；真合化后原信号已失效；只有单一弱远争议信号；或该结论会越界到M4风险、M5适配。</x:v>
      </x:c>
      <x:c r="K191" s="72" t="str">
        <x:v>由共享基础引擎与M3-STATE修正；日主承载只修正冲突处理的可执行性，不直接等于强硬或软弱。</x:v>
      </x:c>
      <x:c r="L191" s="72" t="str">
        <x:v>不限定；夫妻星只在责任、行动、投入等冲突议题中参与接口，不作为CONFLICT唯一主轴。</x:v>
      </x:c>
      <x:c r="M191" s="72" t="str">
        <x:v>由M3-BASE、日支主气及宫位动态提供；不得把日支直接写成配偶性格。</x:v>
      </x:c>
      <x:c r="N191" s="72" t="str">
        <x:v>无／待CONFLICT顺序与路径规则组合</x:v>
      </x:c>
      <x:c r="O191" s="72" t="str">
        <x:v>日柱与日支近位优先；全局有效独立信号可作次通道。</x:v>
      </x:c>
      <x:c r="P191" s="72" t="str">
        <x:v>由共享基础引擎判定</x:v>
      </x:c>
      <x:c r="Q191" s="72" t="str">
        <x:v>由共享基础引擎判定</x:v>
      </x:c>
      <x:c r="R191" s="72" t="str">
        <x:v>喜忌不直接等于冲突方式好坏；只修正调用顺畅度、资源压力和状态切换。</x:v>
      </x:c>
      <x:c r="S191" s="72" t="str">
        <x:v>原十神性质有效；真合化成立时按化神所属功能系统重建。</x:v>
      </x:c>
      <x:c r="T191" s="72" t="str">
        <x:v>由共享基础引擎判定</x:v>
      </x:c>
      <x:c r="U191" s="72" t="str">
        <x:v>91</x:v>
      </x:c>
      <x:c r="V191" s="72" t="str">
        <x:v>停止／替换／降置信</x:v>
      </x:c>
      <x:c r="W191" s="72" t="str">
        <x:v>report_status</x:v>
      </x:c>
      <x:c r="X191" s="72" t="str">
        <x:v>合的具体对象、是否合化或作用层级存在争议时，只保留“整合需求”而不固定冲突模式。</x:v>
      </x:c>
      <x:c r="Y191" s="72" t="str">
        <x:v>合的具体对象、是否合化或作用层级存在争议时，只保留“整合需求”而不固定冲突模式。</x:v>
      </x:c>
      <x:c r="Z19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91" s="72" t="str">
        <x:v>高</x:v>
      </x:c>
      <x:c r="AB191" s="72" t="str">
        <x:v>待验证</x:v>
      </x:c>
      <x:c r="AC191" s="72" t="str"/>
      <x:c r="AD191" s="72" t="str">
        <x:v>provisional=true; palace_dynamic=合; item=stop</x:v>
      </x:c>
      <x:c r="AE191" s="73" t="str">
        <x:v>0.6</x:v>
      </x:c>
    </x:row>
    <x:row r="192">
      <x:c r="A192" s="71" t="str">
        <x:v>M3-CONFLICT-188</x:v>
      </x:c>
      <x:c r="B192" s="72" t="str">
        <x:v>日支冲｜CONFLICT基础节奏</x:v>
      </x:c>
      <x:c r="C192" s="72" t="str">
        <x:v>L5 宫位动态修正</x:v>
      </x:c>
      <x:c r="D192" s="72" t="str">
        <x:v>CONFLICT-日支冲</x:v>
      </x:c>
      <x:c r="E192" s="72" t="str">
        <x:v>通用</x:v>
      </x:c>
      <x:c r="F192" s="72" t="str">
        <x:v>宫位动态</x:v>
      </x:c>
      <x:c r="G192" s="72" t="str">
        <x:v>日支冲</x:v>
      </x:c>
      <x:c r="H192" s="72" t="str"/>
      <x:c r="I192" s="72" t="str">
        <x:v>日支冲成立且基础结构可靠；只作为冲突节奏修正。</x:v>
      </x:c>
      <x:c r="J192" s="72" t="str">
        <x:v>基础信号未定；真合化后原信号已失效；只有单一弱远争议信号；或该结论会越界到M4风险、M5适配。</x:v>
      </x:c>
      <x:c r="K192" s="72" t="str">
        <x:v>由共享基础引擎与M3-STATE修正；日主承载只修正冲突处理的可执行性，不直接等于强硬或软弱。</x:v>
      </x:c>
      <x:c r="L192" s="72" t="str">
        <x:v>不限定；夫妻星只在责任、行动、投入等冲突议题中参与接口，不作为CONFLICT唯一主轴。</x:v>
      </x:c>
      <x:c r="M192" s="72" t="str">
        <x:v>由M3-BASE、日支主气及宫位动态提供；不得把日支直接写成配偶性格。</x:v>
      </x:c>
      <x:c r="N192" s="72" t="str">
        <x:v>无／待CONFLICT顺序与路径规则组合</x:v>
      </x:c>
      <x:c r="O192" s="72" t="str">
        <x:v>日柱与日支近位优先；全局有效独立信号可作次通道。</x:v>
      </x:c>
      <x:c r="P192" s="72" t="str">
        <x:v>由共享基础引擎判定</x:v>
      </x:c>
      <x:c r="Q192" s="72" t="str">
        <x:v>由共享基础引擎判定</x:v>
      </x:c>
      <x:c r="R192" s="72" t="str">
        <x:v>喜忌不直接等于冲突方式好坏；只修正调用顺畅度、资源压力和状态切换。</x:v>
      </x:c>
      <x:c r="S192" s="72" t="str">
        <x:v>原十神性质有效；真合化成立时按化神所属功能系统重建。</x:v>
      </x:c>
      <x:c r="T192" s="72" t="str">
        <x:v>由共享基础引擎判定</x:v>
      </x:c>
      <x:c r="U192" s="72" t="str">
        <x:v>64</x:v>
      </x:c>
      <x:c r="V192" s="72" t="str">
        <x:v>节奏修正 +4</x:v>
      </x:c>
      <x:c r="W192" s="72" t="str">
        <x:v>palace_rhythm</x:v>
      </x:c>
      <x:c r="X192" s="72" t="str">
        <x:v>差异更容易外显，分歧可能较快被看见，需要及时调整节奏、位置或安排。</x:v>
      </x:c>
      <x:c r="Y192" s="72" t="str">
        <x:v>差异更容易外显，分歧可能较快被看见，需要及时调整节奏、位置或安排。</x:v>
      </x:c>
      <x:c r="Z19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92" s="72" t="str">
        <x:v>中</x:v>
      </x:c>
      <x:c r="AB192" s="72" t="str">
        <x:v>待验证</x:v>
      </x:c>
      <x:c r="AC192" s="72" t="str"/>
      <x:c r="AD192" s="72" t="str">
        <x:v>provisional=true; palace_dynamic=冲; item=base</x:v>
      </x:c>
      <x:c r="AE192" s="73" t="str">
        <x:v>0.6</x:v>
      </x:c>
    </x:row>
    <x:row r="193">
      <x:c r="A193" s="71" t="str">
        <x:v>M3-CONFLICT-189</x:v>
      </x:c>
      <x:c r="B193" s="72" t="str">
        <x:v>日支冲｜第一反应修正</x:v>
      </x:c>
      <x:c r="C193" s="72" t="str">
        <x:v>L5 宫位动态修正</x:v>
      </x:c>
      <x:c r="D193" s="72" t="str">
        <x:v>CONFLICT-日支冲</x:v>
      </x:c>
      <x:c r="E193" s="72" t="str">
        <x:v>通用</x:v>
      </x:c>
      <x:c r="F193" s="72" t="str">
        <x:v>第一反应修正</x:v>
      </x:c>
      <x:c r="G193" s="72" t="str">
        <x:v>日支冲</x:v>
      </x:c>
      <x:c r="H193" s="72" t="str"/>
      <x:c r="I193" s="72" t="str">
        <x:v>日支冲成立，且主冲突通道已有可靠基础。</x:v>
      </x:c>
      <x:c r="J193" s="72" t="str">
        <x:v>基础信号未定；真合化后原信号已失效；只有单一弱远争议信号；或该结论会越界到M4风险、M5适配。</x:v>
      </x:c>
      <x:c r="K193" s="72" t="str">
        <x:v>由共享基础引擎与M3-STATE修正；日主承载只修正冲突处理的可执行性，不直接等于强硬或软弱。</x:v>
      </x:c>
      <x:c r="L193" s="72" t="str">
        <x:v>不限定；夫妻星只在责任、行动、投入等冲突议题中参与接口，不作为CONFLICT唯一主轴。</x:v>
      </x:c>
      <x:c r="M193" s="72" t="str">
        <x:v>由M3-BASE、日支主气及宫位动态提供；不得把日支直接写成配偶性格。</x:v>
      </x:c>
      <x:c r="N193" s="72" t="str">
        <x:v>无／待CONFLICT顺序与路径规则组合</x:v>
      </x:c>
      <x:c r="O193" s="72" t="str">
        <x:v>日柱与日支近位优先；全局有效独立信号可作次通道。</x:v>
      </x:c>
      <x:c r="P193" s="72" t="str">
        <x:v>由共享基础引擎判定</x:v>
      </x:c>
      <x:c r="Q193" s="72" t="str">
        <x:v>由共享基础引擎判定</x:v>
      </x:c>
      <x:c r="R193" s="72" t="str">
        <x:v>喜忌不直接等于冲突方式好坏；只修正调用顺畅度、资源压力和状态切换。</x:v>
      </x:c>
      <x:c r="S193" s="72" t="str">
        <x:v>原十神性质有效；真合化成立时按化神所属功能系统重建。</x:v>
      </x:c>
      <x:c r="T193" s="72" t="str">
        <x:v>由共享基础引擎判定</x:v>
      </x:c>
      <x:c r="U193" s="72" t="str">
        <x:v>61</x:v>
      </x:c>
      <x:c r="V193" s="72" t="str">
        <x:v>第一反应修正 +3</x:v>
      </x:c>
      <x:c r="W193" s="72" t="str">
        <x:v>first_response</x:v>
      </x:c>
      <x:c r="X193" s="72" t="str">
        <x:v>第一反应更可能直接回应、改变安排或把不一致摆到台面。</x:v>
      </x:c>
      <x:c r="Y193" s="72" t="str">
        <x:v>第一反应更可能直接回应、改变安排或把不一致摆到台面。</x:v>
      </x:c>
      <x:c r="Z19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93" s="72" t="str">
        <x:v>中</x:v>
      </x:c>
      <x:c r="AB193" s="72" t="str">
        <x:v>待验证</x:v>
      </x:c>
      <x:c r="AC193" s="72" t="str"/>
      <x:c r="AD193" s="72" t="str">
        <x:v>provisional=true; palace_dynamic=冲; item=first</x:v>
      </x:c>
      <x:c r="AE193" s="73" t="str">
        <x:v>0.6</x:v>
      </x:c>
    </x:row>
    <x:row r="194">
      <x:c r="A194" s="71" t="str">
        <x:v>M3-CONFLICT-190</x:v>
      </x:c>
      <x:c r="B194" s="72" t="str">
        <x:v>日支冲｜暂停与回归修正</x:v>
      </x:c>
      <x:c r="C194" s="72" t="str">
        <x:v>L5 宫位动态修正</x:v>
      </x:c>
      <x:c r="D194" s="72" t="str">
        <x:v>CONFLICT-日支冲</x:v>
      </x:c>
      <x:c r="E194" s="72" t="str">
        <x:v>通用</x:v>
      </x:c>
      <x:c r="F194" s="72" t="str">
        <x:v>暂停修正</x:v>
      </x:c>
      <x:c r="G194" s="72" t="str">
        <x:v>日支冲</x:v>
      </x:c>
      <x:c r="H194" s="72" t="str"/>
      <x:c r="I194" s="72" t="str">
        <x:v>日支冲成立，且FQ07或REPAIR接口被调用。</x:v>
      </x:c>
      <x:c r="J194" s="72" t="str">
        <x:v>基础信号未定；真合化后原信号已失效；只有单一弱远争议信号；或该结论会越界到M4风险、M5适配。</x:v>
      </x:c>
      <x:c r="K194" s="72" t="str">
        <x:v>由共享基础引擎与M3-STATE修正；日主承载只修正冲突处理的可执行性，不直接等于强硬或软弱。</x:v>
      </x:c>
      <x:c r="L194" s="72" t="str">
        <x:v>不限定；夫妻星只在责任、行动、投入等冲突议题中参与接口，不作为CONFLICT唯一主轴。</x:v>
      </x:c>
      <x:c r="M194" s="72" t="str">
        <x:v>由M3-BASE、日支主气及宫位动态提供；不得把日支直接写成配偶性格。</x:v>
      </x:c>
      <x:c r="N194" s="72" t="str">
        <x:v>无／待CONFLICT顺序与路径规则组合</x:v>
      </x:c>
      <x:c r="O194" s="72" t="str">
        <x:v>日柱与日支近位优先；全局有效独立信号可作次通道。</x:v>
      </x:c>
      <x:c r="P194" s="72" t="str">
        <x:v>由共享基础引擎判定</x:v>
      </x:c>
      <x:c r="Q194" s="72" t="str">
        <x:v>由共享基础引擎判定</x:v>
      </x:c>
      <x:c r="R194" s="72" t="str">
        <x:v>喜忌不直接等于冲突方式好坏；只修正调用顺畅度、资源压力和状态切换。</x:v>
      </x:c>
      <x:c r="S194" s="72" t="str">
        <x:v>原十神性质有效；真合化成立时按化神所属功能系统重建。</x:v>
      </x:c>
      <x:c r="T194" s="72" t="str">
        <x:v>由共享基础引擎判定</x:v>
      </x:c>
      <x:c r="U194" s="72" t="str">
        <x:v>60</x:v>
      </x:c>
      <x:c r="V194" s="72" t="str">
        <x:v>暂停／回归候选 +3</x:v>
      </x:c>
      <x:c r="W194" s="72" t="str">
        <x:v>pause_style</x:v>
      </x:c>
      <x:c r="X194" s="72" t="str">
        <x:v>若强度过高，可先短暂停顿或处理现实变化，再回到核心议题。</x:v>
      </x:c>
      <x:c r="Y194" s="72" t="str">
        <x:v>若强度过高，可先短暂停顿或处理现实变化，再回到核心议题。</x:v>
      </x:c>
      <x:c r="Z19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94" s="72" t="str">
        <x:v>中</x:v>
      </x:c>
      <x:c r="AB194" s="72" t="str">
        <x:v>待验证</x:v>
      </x:c>
      <x:c r="AC194" s="72" t="str"/>
      <x:c r="AD194" s="72" t="str">
        <x:v>provisional=true; palace_dynamic=冲; item=pause</x:v>
      </x:c>
      <x:c r="AE194" s="73" t="str">
        <x:v>0.6</x:v>
      </x:c>
    </x:row>
    <x:row r="195">
      <x:c r="A195" s="71" t="str">
        <x:v>M3-CONFLICT-191</x:v>
      </x:c>
      <x:c r="B195" s="72" t="str">
        <x:v>日支冲｜禁止结果化解释</x:v>
      </x:c>
      <x:c r="C195" s="72" t="str">
        <x:v>L5 宫位动态修正</x:v>
      </x:c>
      <x:c r="D195" s="72" t="str">
        <x:v>CONFLICT-日支冲</x:v>
      </x:c>
      <x:c r="E195" s="72" t="str">
        <x:v>通用</x:v>
      </x:c>
      <x:c r="F195" s="72" t="str">
        <x:v>禁止推断</x:v>
      </x:c>
      <x:c r="G195" s="72" t="str">
        <x:v>日支冲</x:v>
      </x:c>
      <x:c r="H195" s="72" t="str"/>
      <x:c r="I195" s="72" t="str">
        <x:v>日支冲被识别。</x:v>
      </x:c>
      <x:c r="J195" s="72" t="str">
        <x:v>基础信号未定；真合化后原信号已失效；只有单一弱远争议信号；或该结论会越界到M4风险、M5适配。</x:v>
      </x:c>
      <x:c r="K195" s="72" t="str">
        <x:v>由共享基础引擎与M3-STATE修正；日主承载只修正冲突处理的可执行性，不直接等于强硬或软弱。</x:v>
      </x:c>
      <x:c r="L195" s="72" t="str">
        <x:v>不限定；夫妻星只在责任、行动、投入等冲突议题中参与接口，不作为CONFLICT唯一主轴。</x:v>
      </x:c>
      <x:c r="M195" s="72" t="str">
        <x:v>由M3-BASE、日支主气及宫位动态提供；不得把日支直接写成配偶性格。</x:v>
      </x:c>
      <x:c r="N195" s="72" t="str">
        <x:v>无／待CONFLICT顺序与路径规则组合</x:v>
      </x:c>
      <x:c r="O195" s="72" t="str">
        <x:v>日柱与日支近位优先；全局有效独立信号可作次通道。</x:v>
      </x:c>
      <x:c r="P195" s="72" t="str">
        <x:v>由共享基础引擎判定</x:v>
      </x:c>
      <x:c r="Q195" s="72" t="str">
        <x:v>由共享基础引擎判定</x:v>
      </x:c>
      <x:c r="R195" s="72" t="str">
        <x:v>喜忌不直接等于冲突方式好坏；只修正调用顺畅度、资源压力和状态切换。</x:v>
      </x:c>
      <x:c r="S195" s="72" t="str">
        <x:v>原十神性质有效；真合化成立时按化神所属功能系统重建。</x:v>
      </x:c>
      <x:c r="T195" s="72" t="str">
        <x:v>由共享基础引擎判定</x:v>
      </x:c>
      <x:c r="U195" s="72" t="str">
        <x:v>92</x:v>
      </x:c>
      <x:c r="V195" s="72" t="str">
        <x:v>不加分；边界检查</x:v>
      </x:c>
      <x:c r="W195" s="72" t="str">
        <x:v>boundary_note</x:v>
      </x:c>
      <x:c r="X195" s="72" t="str">
        <x:v>日支冲在M3-CONFLICT中只修正分歧的显化、校正或重订节奏。</x:v>
      </x:c>
      <x:c r="Y195" s="72" t="str">
        <x:v>这里仅把日支冲作为分歧节奏修正，不把它直接写成关系结果。</x:v>
      </x:c>
      <x:c r="Z19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95" s="72" t="str">
        <x:v>高</x:v>
      </x:c>
      <x:c r="AB195" s="72" t="str">
        <x:v>待验证</x:v>
      </x:c>
      <x:c r="AC195" s="72" t="str"/>
      <x:c r="AD195" s="72" t="str">
        <x:v>provisional=true; palace_dynamic=冲; item=forbid</x:v>
      </x:c>
      <x:c r="AE195" s="73" t="str">
        <x:v>0.6</x:v>
      </x:c>
    </x:row>
    <x:row r="196">
      <x:c r="A196" s="71" t="str">
        <x:v>M3-CONFLICT-192</x:v>
      </x:c>
      <x:c r="B196" s="72" t="str">
        <x:v>日支冲｜停止／改道路由</x:v>
      </x:c>
      <x:c r="C196" s="72" t="str">
        <x:v>L5 宫位动态修正</x:v>
      </x:c>
      <x:c r="D196" s="72" t="str">
        <x:v>CONFLICT-日支冲</x:v>
      </x:c>
      <x:c r="E196" s="72" t="str">
        <x:v>通用</x:v>
      </x:c>
      <x:c r="F196" s="72" t="str">
        <x:v>停止／路由</x:v>
      </x:c>
      <x:c r="G196" s="72" t="str">
        <x:v>日支冲</x:v>
      </x:c>
      <x:c r="H196" s="72" t="str"/>
      <x:c r="I196" s="72" t="str">
        <x:v>日支冲的成立、作用对象、阶段性或合化状态存在争议。</x:v>
      </x:c>
      <x:c r="J196" s="72" t="str">
        <x:v>基础信号未定；真合化后原信号已失效；只有单一弱远争议信号；或该结论会越界到M4风险、M5适配。</x:v>
      </x:c>
      <x:c r="K196" s="72" t="str">
        <x:v>由共享基础引擎与M3-STATE修正；日主承载只修正冲突处理的可执行性，不直接等于强硬或软弱。</x:v>
      </x:c>
      <x:c r="L196" s="72" t="str">
        <x:v>不限定；夫妻星只在责任、行动、投入等冲突议题中参与接口，不作为CONFLICT唯一主轴。</x:v>
      </x:c>
      <x:c r="M196" s="72" t="str">
        <x:v>由M3-BASE、日支主气及宫位动态提供；不得把日支直接写成配偶性格。</x:v>
      </x:c>
      <x:c r="N196" s="72" t="str">
        <x:v>无／待CONFLICT顺序与路径规则组合</x:v>
      </x:c>
      <x:c r="O196" s="72" t="str">
        <x:v>日柱与日支近位优先；全局有效独立信号可作次通道。</x:v>
      </x:c>
      <x:c r="P196" s="72" t="str">
        <x:v>由共享基础引擎判定</x:v>
      </x:c>
      <x:c r="Q196" s="72" t="str">
        <x:v>由共享基础引擎判定</x:v>
      </x:c>
      <x:c r="R196" s="72" t="str">
        <x:v>喜忌不直接等于冲突方式好坏；只修正调用顺畅度、资源压力和状态切换。</x:v>
      </x:c>
      <x:c r="S196" s="72" t="str">
        <x:v>原十神性质有效；真合化成立时按化神所属功能系统重建。</x:v>
      </x:c>
      <x:c r="T196" s="72" t="str">
        <x:v>由共享基础引擎判定</x:v>
      </x:c>
      <x:c r="U196" s="72" t="str">
        <x:v>91</x:v>
      </x:c>
      <x:c r="V196" s="72" t="str">
        <x:v>停止／替换／降置信</x:v>
      </x:c>
      <x:c r="W196" s="72" t="str">
        <x:v>report_status</x:v>
      </x:c>
      <x:c r="X196" s="72" t="str">
        <x:v>冲的成立、力量或作用对象不清时，只能写“差异容易外显”，不得细化为固定争执。</x:v>
      </x:c>
      <x:c r="Y196" s="72" t="str">
        <x:v>冲的成立、力量或作用对象不清时，只能写“差异容易外显”，不得细化为固定争执。</x:v>
      </x:c>
      <x:c r="Z19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96" s="72" t="str">
        <x:v>高</x:v>
      </x:c>
      <x:c r="AB196" s="72" t="str">
        <x:v>待验证</x:v>
      </x:c>
      <x:c r="AC196" s="72" t="str"/>
      <x:c r="AD196" s="72" t="str">
        <x:v>provisional=true; palace_dynamic=冲; item=stop</x:v>
      </x:c>
      <x:c r="AE196" s="73" t="str">
        <x:v>0.6</x:v>
      </x:c>
    </x:row>
    <x:row r="197">
      <x:c r="A197" s="71" t="str">
        <x:v>M3-CONFLICT-193</x:v>
      </x:c>
      <x:c r="B197" s="72" t="str">
        <x:v>日支刑｜CONFLICT基础节奏</x:v>
      </x:c>
      <x:c r="C197" s="72" t="str">
        <x:v>L5 宫位动态修正</x:v>
      </x:c>
      <x:c r="D197" s="72" t="str">
        <x:v>CONFLICT-日支刑</x:v>
      </x:c>
      <x:c r="E197" s="72" t="str">
        <x:v>通用</x:v>
      </x:c>
      <x:c r="F197" s="72" t="str">
        <x:v>宫位动态</x:v>
      </x:c>
      <x:c r="G197" s="72" t="str">
        <x:v>日支刑</x:v>
      </x:c>
      <x:c r="H197" s="72" t="str"/>
      <x:c r="I197" s="72" t="str">
        <x:v>日支刑成立且基础结构可靠；只作为冲突节奏修正。</x:v>
      </x:c>
      <x:c r="J197" s="72" t="str">
        <x:v>基础信号未定；真合化后原信号已失效；只有单一弱远争议信号；或该结论会越界到M4风险、M5适配。</x:v>
      </x:c>
      <x:c r="K197" s="72" t="str">
        <x:v>由共享基础引擎与M3-STATE修正；日主承载只修正冲突处理的可执行性，不直接等于强硬或软弱。</x:v>
      </x:c>
      <x:c r="L197" s="72" t="str">
        <x:v>不限定；夫妻星只在责任、行动、投入等冲突议题中参与接口，不作为CONFLICT唯一主轴。</x:v>
      </x:c>
      <x:c r="M197" s="72" t="str">
        <x:v>由M3-BASE、日支主气及宫位动态提供；不得把日支直接写成配偶性格。</x:v>
      </x:c>
      <x:c r="N197" s="72" t="str">
        <x:v>无／待CONFLICT顺序与路径规则组合</x:v>
      </x:c>
      <x:c r="O197" s="72" t="str">
        <x:v>日柱与日支近位优先；全局有效独立信号可作次通道。</x:v>
      </x:c>
      <x:c r="P197" s="72" t="str">
        <x:v>由共享基础引擎判定</x:v>
      </x:c>
      <x:c r="Q197" s="72" t="str">
        <x:v>由共享基础引擎判定</x:v>
      </x:c>
      <x:c r="R197" s="72" t="str">
        <x:v>喜忌不直接等于冲突方式好坏；只修正调用顺畅度、资源压力和状态切换。</x:v>
      </x:c>
      <x:c r="S197" s="72" t="str">
        <x:v>原十神性质有效；真合化成立时按化神所属功能系统重建。</x:v>
      </x:c>
      <x:c r="T197" s="72" t="str">
        <x:v>由共享基础引擎判定</x:v>
      </x:c>
      <x:c r="U197" s="72" t="str">
        <x:v>64</x:v>
      </x:c>
      <x:c r="V197" s="72" t="str">
        <x:v>节奏修正 +4</x:v>
      </x:c>
      <x:c r="W197" s="72" t="str">
        <x:v>palace_rhythm</x:v>
      </x:c>
      <x:c r="X197" s="72" t="str">
        <x:v>同一议题可能需要反复校正，细节、标准或表达方式容易成为持续关注点。</x:v>
      </x:c>
      <x:c r="Y197" s="72" t="str">
        <x:v>同一议题可能需要反复校正，细节、标准或表达方式容易成为持续关注点。</x:v>
      </x:c>
      <x:c r="Z19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97" s="72" t="str">
        <x:v>中</x:v>
      </x:c>
      <x:c r="AB197" s="72" t="str">
        <x:v>待验证</x:v>
      </x:c>
      <x:c r="AC197" s="72" t="str"/>
      <x:c r="AD197" s="72" t="str">
        <x:v>provisional=true; palace_dynamic=刑; item=base</x:v>
      </x:c>
      <x:c r="AE197" s="73" t="str">
        <x:v>0.6</x:v>
      </x:c>
    </x:row>
    <x:row r="198">
      <x:c r="A198" s="71" t="str">
        <x:v>M3-CONFLICT-194</x:v>
      </x:c>
      <x:c r="B198" s="72" t="str">
        <x:v>日支刑｜第一反应修正</x:v>
      </x:c>
      <x:c r="C198" s="72" t="str">
        <x:v>L5 宫位动态修正</x:v>
      </x:c>
      <x:c r="D198" s="72" t="str">
        <x:v>CONFLICT-日支刑</x:v>
      </x:c>
      <x:c r="E198" s="72" t="str">
        <x:v>通用</x:v>
      </x:c>
      <x:c r="F198" s="72" t="str">
        <x:v>第一反应修正</x:v>
      </x:c>
      <x:c r="G198" s="72" t="str">
        <x:v>日支刑</x:v>
      </x:c>
      <x:c r="H198" s="72" t="str"/>
      <x:c r="I198" s="72" t="str">
        <x:v>日支刑成立，且主冲突通道已有可靠基础。</x:v>
      </x:c>
      <x:c r="J198" s="72" t="str">
        <x:v>基础信号未定；真合化后原信号已失效；只有单一弱远争议信号；或该结论会越界到M4风险、M5适配。</x:v>
      </x:c>
      <x:c r="K198" s="72" t="str">
        <x:v>由共享基础引擎与M3-STATE修正；日主承载只修正冲突处理的可执行性，不直接等于强硬或软弱。</x:v>
      </x:c>
      <x:c r="L198" s="72" t="str">
        <x:v>不限定；夫妻星只在责任、行动、投入等冲突议题中参与接口，不作为CONFLICT唯一主轴。</x:v>
      </x:c>
      <x:c r="M198" s="72" t="str">
        <x:v>由M3-BASE、日支主气及宫位动态提供；不得把日支直接写成配偶性格。</x:v>
      </x:c>
      <x:c r="N198" s="72" t="str">
        <x:v>无／待CONFLICT顺序与路径规则组合</x:v>
      </x:c>
      <x:c r="O198" s="72" t="str">
        <x:v>日柱与日支近位优先；全局有效独立信号可作次通道。</x:v>
      </x:c>
      <x:c r="P198" s="72" t="str">
        <x:v>由共享基础引擎判定</x:v>
      </x:c>
      <x:c r="Q198" s="72" t="str">
        <x:v>由共享基础引擎判定</x:v>
      </x:c>
      <x:c r="R198" s="72" t="str">
        <x:v>喜忌不直接等于冲突方式好坏；只修正调用顺畅度、资源压力和状态切换。</x:v>
      </x:c>
      <x:c r="S198" s="72" t="str">
        <x:v>原十神性质有效；真合化成立时按化神所属功能系统重建。</x:v>
      </x:c>
      <x:c r="T198" s="72" t="str">
        <x:v>由共享基础引擎判定</x:v>
      </x:c>
      <x:c r="U198" s="72" t="str">
        <x:v>61</x:v>
      </x:c>
      <x:c r="V198" s="72" t="str">
        <x:v>第一反应修正 +3</x:v>
      </x:c>
      <x:c r="W198" s="72" t="str">
        <x:v>first_response</x:v>
      </x:c>
      <x:c r="X198" s="72" t="str">
        <x:v>第一反应可能先检查哪里不准确、哪里没有按预期运行，之后多轮调整。</x:v>
      </x:c>
      <x:c r="Y198" s="72" t="str">
        <x:v>第一反应可能先检查哪里不准确、哪里没有按预期运行，之后多轮调整。</x:v>
      </x:c>
      <x:c r="Z19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98" s="72" t="str">
        <x:v>中</x:v>
      </x:c>
      <x:c r="AB198" s="72" t="str">
        <x:v>待验证</x:v>
      </x:c>
      <x:c r="AC198" s="72" t="str"/>
      <x:c r="AD198" s="72" t="str">
        <x:v>provisional=true; palace_dynamic=刑; item=first</x:v>
      </x:c>
      <x:c r="AE198" s="73" t="str">
        <x:v>0.6</x:v>
      </x:c>
    </x:row>
    <x:row r="199">
      <x:c r="A199" s="71" t="str">
        <x:v>M3-CONFLICT-195</x:v>
      </x:c>
      <x:c r="B199" s="72" t="str">
        <x:v>日支刑｜暂停与回归修正</x:v>
      </x:c>
      <x:c r="C199" s="72" t="str">
        <x:v>L5 宫位动态修正</x:v>
      </x:c>
      <x:c r="D199" s="72" t="str">
        <x:v>CONFLICT-日支刑</x:v>
      </x:c>
      <x:c r="E199" s="72" t="str">
        <x:v>通用</x:v>
      </x:c>
      <x:c r="F199" s="72" t="str">
        <x:v>暂停修正</x:v>
      </x:c>
      <x:c r="G199" s="72" t="str">
        <x:v>日支刑</x:v>
      </x:c>
      <x:c r="H199" s="72" t="str"/>
      <x:c r="I199" s="72" t="str">
        <x:v>日支刑成立，且FQ07或REPAIR接口被调用。</x:v>
      </x:c>
      <x:c r="J199" s="72" t="str">
        <x:v>基础信号未定；真合化后原信号已失效；只有单一弱远争议信号；或该结论会越界到M4风险、M5适配。</x:v>
      </x:c>
      <x:c r="K199" s="72" t="str">
        <x:v>由共享基础引擎与M3-STATE修正；日主承载只修正冲突处理的可执行性，不直接等于强硬或软弱。</x:v>
      </x:c>
      <x:c r="L199" s="72" t="str">
        <x:v>不限定；夫妻星只在责任、行动、投入等冲突议题中参与接口，不作为CONFLICT唯一主轴。</x:v>
      </x:c>
      <x:c r="M199" s="72" t="str">
        <x:v>由M3-BASE、日支主气及宫位动态提供；不得把日支直接写成配偶性格。</x:v>
      </x:c>
      <x:c r="N199" s="72" t="str">
        <x:v>无／待CONFLICT顺序与路径规则组合</x:v>
      </x:c>
      <x:c r="O199" s="72" t="str">
        <x:v>日柱与日支近位优先；全局有效独立信号可作次通道。</x:v>
      </x:c>
      <x:c r="P199" s="72" t="str">
        <x:v>由共享基础引擎判定</x:v>
      </x:c>
      <x:c r="Q199" s="72" t="str">
        <x:v>由共享基础引擎判定</x:v>
      </x:c>
      <x:c r="R199" s="72" t="str">
        <x:v>喜忌不直接等于冲突方式好坏；只修正调用顺畅度、资源压力和状态切换。</x:v>
      </x:c>
      <x:c r="S199" s="72" t="str">
        <x:v>原十神性质有效；真合化成立时按化神所属功能系统重建。</x:v>
      </x:c>
      <x:c r="T199" s="72" t="str">
        <x:v>由共享基础引擎判定</x:v>
      </x:c>
      <x:c r="U199" s="72" t="str">
        <x:v>60</x:v>
      </x:c>
      <x:c r="V199" s="72" t="str">
        <x:v>暂停／回归候选 +3</x:v>
      </x:c>
      <x:c r="W199" s="72" t="str">
        <x:v>pause_style</x:v>
      </x:c>
      <x:c r="X199" s="72" t="str">
        <x:v>暂停后更适合逐项复盘，而不是一次性要求所有问题结束。</x:v>
      </x:c>
      <x:c r="Y199" s="72" t="str">
        <x:v>暂停后更适合逐项复盘，而不是一次性要求所有问题结束。</x:v>
      </x:c>
      <x:c r="Z19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199" s="72" t="str">
        <x:v>中</x:v>
      </x:c>
      <x:c r="AB199" s="72" t="str">
        <x:v>待验证</x:v>
      </x:c>
      <x:c r="AC199" s="72" t="str"/>
      <x:c r="AD199" s="72" t="str">
        <x:v>provisional=true; palace_dynamic=刑; item=pause</x:v>
      </x:c>
      <x:c r="AE199" s="73" t="str">
        <x:v>0.6</x:v>
      </x:c>
    </x:row>
    <x:row r="200">
      <x:c r="A200" s="71" t="str">
        <x:v>M3-CONFLICT-196</x:v>
      </x:c>
      <x:c r="B200" s="72" t="str">
        <x:v>日支刑｜禁止结果化解释</x:v>
      </x:c>
      <x:c r="C200" s="72" t="str">
        <x:v>L5 宫位动态修正</x:v>
      </x:c>
      <x:c r="D200" s="72" t="str">
        <x:v>CONFLICT-日支刑</x:v>
      </x:c>
      <x:c r="E200" s="72" t="str">
        <x:v>通用</x:v>
      </x:c>
      <x:c r="F200" s="72" t="str">
        <x:v>禁止推断</x:v>
      </x:c>
      <x:c r="G200" s="72" t="str">
        <x:v>日支刑</x:v>
      </x:c>
      <x:c r="H200" s="72" t="str"/>
      <x:c r="I200" s="72" t="str">
        <x:v>日支刑被识别。</x:v>
      </x:c>
      <x:c r="J200" s="72" t="str">
        <x:v>基础信号未定；真合化后原信号已失效；只有单一弱远争议信号；或该结论会越界到M4风险、M5适配。</x:v>
      </x:c>
      <x:c r="K200" s="72" t="str">
        <x:v>由共享基础引擎与M3-STATE修正；日主承载只修正冲突处理的可执行性，不直接等于强硬或软弱。</x:v>
      </x:c>
      <x:c r="L200" s="72" t="str">
        <x:v>不限定；夫妻星只在责任、行动、投入等冲突议题中参与接口，不作为CONFLICT唯一主轴。</x:v>
      </x:c>
      <x:c r="M200" s="72" t="str">
        <x:v>由M3-BASE、日支主气及宫位动态提供；不得把日支直接写成配偶性格。</x:v>
      </x:c>
      <x:c r="N200" s="72" t="str">
        <x:v>无／待CONFLICT顺序与路径规则组合</x:v>
      </x:c>
      <x:c r="O200" s="72" t="str">
        <x:v>日柱与日支近位优先；全局有效独立信号可作次通道。</x:v>
      </x:c>
      <x:c r="P200" s="72" t="str">
        <x:v>由共享基础引擎判定</x:v>
      </x:c>
      <x:c r="Q200" s="72" t="str">
        <x:v>由共享基础引擎判定</x:v>
      </x:c>
      <x:c r="R200" s="72" t="str">
        <x:v>喜忌不直接等于冲突方式好坏；只修正调用顺畅度、资源压力和状态切换。</x:v>
      </x:c>
      <x:c r="S200" s="72" t="str">
        <x:v>原十神性质有效；真合化成立时按化神所属功能系统重建。</x:v>
      </x:c>
      <x:c r="T200" s="72" t="str">
        <x:v>由共享基础引擎判定</x:v>
      </x:c>
      <x:c r="U200" s="72" t="str">
        <x:v>92</x:v>
      </x:c>
      <x:c r="V200" s="72" t="str">
        <x:v>不加分；边界检查</x:v>
      </x:c>
      <x:c r="W200" s="72" t="str">
        <x:v>boundary_note</x:v>
      </x:c>
      <x:c r="X200" s="72" t="str">
        <x:v>日支刑在M3-CONFLICT中只修正分歧的显化、校正或重订节奏。</x:v>
      </x:c>
      <x:c r="Y200" s="72" t="str">
        <x:v>这里仅把日支刑作为分歧节奏修正，不把它直接写成关系结果。</x:v>
      </x:c>
      <x:c r="Z20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00" s="72" t="str">
        <x:v>高</x:v>
      </x:c>
      <x:c r="AB200" s="72" t="str">
        <x:v>待验证</x:v>
      </x:c>
      <x:c r="AC200" s="72" t="str"/>
      <x:c r="AD200" s="72" t="str">
        <x:v>provisional=true; palace_dynamic=刑; item=forbid</x:v>
      </x:c>
      <x:c r="AE200" s="73" t="str">
        <x:v>0.6</x:v>
      </x:c>
    </x:row>
    <x:row r="201">
      <x:c r="A201" s="71" t="str">
        <x:v>M3-CONFLICT-197</x:v>
      </x:c>
      <x:c r="B201" s="72" t="str">
        <x:v>日支刑｜停止／改道路由</x:v>
      </x:c>
      <x:c r="C201" s="72" t="str">
        <x:v>L5 宫位动态修正</x:v>
      </x:c>
      <x:c r="D201" s="72" t="str">
        <x:v>CONFLICT-日支刑</x:v>
      </x:c>
      <x:c r="E201" s="72" t="str">
        <x:v>通用</x:v>
      </x:c>
      <x:c r="F201" s="72" t="str">
        <x:v>停止／路由</x:v>
      </x:c>
      <x:c r="G201" s="72" t="str">
        <x:v>日支刑</x:v>
      </x:c>
      <x:c r="H201" s="72" t="str"/>
      <x:c r="I201" s="72" t="str">
        <x:v>日支刑的成立、作用对象、阶段性或合化状态存在争议。</x:v>
      </x:c>
      <x:c r="J201" s="72" t="str">
        <x:v>基础信号未定；真合化后原信号已失效；只有单一弱远争议信号；或该结论会越界到M4风险、M5适配。</x:v>
      </x:c>
      <x:c r="K201" s="72" t="str">
        <x:v>由共享基础引擎与M3-STATE修正；日主承载只修正冲突处理的可执行性，不直接等于强硬或软弱。</x:v>
      </x:c>
      <x:c r="L201" s="72" t="str">
        <x:v>不限定；夫妻星只在责任、行动、投入等冲突议题中参与接口，不作为CONFLICT唯一主轴。</x:v>
      </x:c>
      <x:c r="M201" s="72" t="str">
        <x:v>由M3-BASE、日支主气及宫位动态提供；不得把日支直接写成配偶性格。</x:v>
      </x:c>
      <x:c r="N201" s="72" t="str">
        <x:v>无／待CONFLICT顺序与路径规则组合</x:v>
      </x:c>
      <x:c r="O201" s="72" t="str">
        <x:v>日柱与日支近位优先；全局有效独立信号可作次通道。</x:v>
      </x:c>
      <x:c r="P201" s="72" t="str">
        <x:v>由共享基础引擎判定</x:v>
      </x:c>
      <x:c r="Q201" s="72" t="str">
        <x:v>由共享基础引擎判定</x:v>
      </x:c>
      <x:c r="R201" s="72" t="str">
        <x:v>喜忌不直接等于冲突方式好坏；只修正调用顺畅度、资源压力和状态切换。</x:v>
      </x:c>
      <x:c r="S201" s="72" t="str">
        <x:v>原十神性质有效；真合化成立时按化神所属功能系统重建。</x:v>
      </x:c>
      <x:c r="T201" s="72" t="str">
        <x:v>由共享基础引擎判定</x:v>
      </x:c>
      <x:c r="U201" s="72" t="str">
        <x:v>91</x:v>
      </x:c>
      <x:c r="V201" s="72" t="str">
        <x:v>停止／替换／降置信</x:v>
      </x:c>
      <x:c r="W201" s="72" t="str">
        <x:v>report_status</x:v>
      </x:c>
      <x:c r="X201" s="72" t="str">
        <x:v>刑的具体结构、强弱或对象有争议时，降低置信度，不写成必然反复冲突。</x:v>
      </x:c>
      <x:c r="Y201" s="72" t="str">
        <x:v>刑的具体结构、强弱或对象有争议时，降低置信度，不写成必然反复冲突。</x:v>
      </x:c>
      <x:c r="Z20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01" s="72" t="str">
        <x:v>高</x:v>
      </x:c>
      <x:c r="AB201" s="72" t="str">
        <x:v>待验证</x:v>
      </x:c>
      <x:c r="AC201" s="72" t="str"/>
      <x:c r="AD201" s="72" t="str">
        <x:v>provisional=true; palace_dynamic=刑; item=stop</x:v>
      </x:c>
      <x:c r="AE201" s="73" t="str">
        <x:v>0.6</x:v>
      </x:c>
    </x:row>
    <x:row r="202">
      <x:c r="A202" s="71" t="str">
        <x:v>M3-CONFLICT-198</x:v>
      </x:c>
      <x:c r="B202" s="72" t="str">
        <x:v>日支害｜CONFLICT基础节奏</x:v>
      </x:c>
      <x:c r="C202" s="72" t="str">
        <x:v>L5 宫位动态修正</x:v>
      </x:c>
      <x:c r="D202" s="72" t="str">
        <x:v>CONFLICT-日支害</x:v>
      </x:c>
      <x:c r="E202" s="72" t="str">
        <x:v>通用</x:v>
      </x:c>
      <x:c r="F202" s="72" t="str">
        <x:v>宫位动态</x:v>
      </x:c>
      <x:c r="G202" s="72" t="str">
        <x:v>日支害</x:v>
      </x:c>
      <x:c r="H202" s="72" t="str"/>
      <x:c r="I202" s="72" t="str">
        <x:v>日支害成立且基础结构可靠；只作为冲突节奏修正。</x:v>
      </x:c>
      <x:c r="J202" s="72" t="str">
        <x:v>基础信号未定；真合化后原信号已失效；只有单一弱远争议信号；或该结论会越界到M4风险、M5适配。</x:v>
      </x:c>
      <x:c r="K202" s="72" t="str">
        <x:v>由共享基础引擎与M3-STATE修正；日主承载只修正冲突处理的可执行性，不直接等于强硬或软弱。</x:v>
      </x:c>
      <x:c r="L202" s="72" t="str">
        <x:v>不限定；夫妻星只在责任、行动、投入等冲突议题中参与接口，不作为CONFLICT唯一主轴。</x:v>
      </x:c>
      <x:c r="M202" s="72" t="str">
        <x:v>由M3-BASE、日支主气及宫位动态提供；不得把日支直接写成配偶性格。</x:v>
      </x:c>
      <x:c r="N202" s="72" t="str">
        <x:v>无／待CONFLICT顺序与路径规则组合</x:v>
      </x:c>
      <x:c r="O202" s="72" t="str">
        <x:v>日柱与日支近位优先；全局有效独立信号可作次通道。</x:v>
      </x:c>
      <x:c r="P202" s="72" t="str">
        <x:v>由共享基础引擎判定</x:v>
      </x:c>
      <x:c r="Q202" s="72" t="str">
        <x:v>由共享基础引擎判定</x:v>
      </x:c>
      <x:c r="R202" s="72" t="str">
        <x:v>喜忌不直接等于冲突方式好坏；只修正调用顺畅度、资源压力和状态切换。</x:v>
      </x:c>
      <x:c r="S202" s="72" t="str">
        <x:v>原十神性质有效；真合化成立时按化神所属功能系统重建。</x:v>
      </x:c>
      <x:c r="T202" s="72" t="str">
        <x:v>由共享基础引擎判定</x:v>
      </x:c>
      <x:c r="U202" s="72" t="str">
        <x:v>64</x:v>
      </x:c>
      <x:c r="V202" s="72" t="str">
        <x:v>节奏修正 +4</x:v>
      </x:c>
      <x:c r="W202" s="72" t="str">
        <x:v>palace_rhythm</x:v>
      </x:c>
      <x:c r="X202" s="72" t="str">
        <x:v>隐性期待、默认理解或间接信息可能出现错位，分歧需要更多澄清“各自原本以为是什么”。</x:v>
      </x:c>
      <x:c r="Y202" s="72" t="str">
        <x:v>隐性期待、默认理解或间接信息可能出现错位，分歧需要更多澄清“各自原本以为是什么”。</x:v>
      </x:c>
      <x:c r="Z20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02" s="72" t="str">
        <x:v>中</x:v>
      </x:c>
      <x:c r="AB202" s="72" t="str">
        <x:v>待验证</x:v>
      </x:c>
      <x:c r="AC202" s="72" t="str"/>
      <x:c r="AD202" s="72" t="str">
        <x:v>provisional=true; palace_dynamic=害; item=base</x:v>
      </x:c>
      <x:c r="AE202" s="73" t="str">
        <x:v>0.6</x:v>
      </x:c>
    </x:row>
    <x:row r="203">
      <x:c r="A203" s="71" t="str">
        <x:v>M3-CONFLICT-199</x:v>
      </x:c>
      <x:c r="B203" s="72" t="str">
        <x:v>日支害｜第一反应修正</x:v>
      </x:c>
      <x:c r="C203" s="72" t="str">
        <x:v>L5 宫位动态修正</x:v>
      </x:c>
      <x:c r="D203" s="72" t="str">
        <x:v>CONFLICT-日支害</x:v>
      </x:c>
      <x:c r="E203" s="72" t="str">
        <x:v>通用</x:v>
      </x:c>
      <x:c r="F203" s="72" t="str">
        <x:v>第一反应修正</x:v>
      </x:c>
      <x:c r="G203" s="72" t="str">
        <x:v>日支害</x:v>
      </x:c>
      <x:c r="H203" s="72" t="str"/>
      <x:c r="I203" s="72" t="str">
        <x:v>日支害成立，且主冲突通道已有可靠基础。</x:v>
      </x:c>
      <x:c r="J203" s="72" t="str">
        <x:v>基础信号未定；真合化后原信号已失效；只有单一弱远争议信号；或该结论会越界到M4风险、M5适配。</x:v>
      </x:c>
      <x:c r="K203" s="72" t="str">
        <x:v>由共享基础引擎与M3-STATE修正；日主承载只修正冲突处理的可执行性，不直接等于强硬或软弱。</x:v>
      </x:c>
      <x:c r="L203" s="72" t="str">
        <x:v>不限定；夫妻星只在责任、行动、投入等冲突议题中参与接口，不作为CONFLICT唯一主轴。</x:v>
      </x:c>
      <x:c r="M203" s="72" t="str">
        <x:v>由M3-BASE、日支主气及宫位动态提供；不得把日支直接写成配偶性格。</x:v>
      </x:c>
      <x:c r="N203" s="72" t="str">
        <x:v>无／待CONFLICT顺序与路径规则组合</x:v>
      </x:c>
      <x:c r="O203" s="72" t="str">
        <x:v>日柱与日支近位优先；全局有效独立信号可作次通道。</x:v>
      </x:c>
      <x:c r="P203" s="72" t="str">
        <x:v>由共享基础引擎判定</x:v>
      </x:c>
      <x:c r="Q203" s="72" t="str">
        <x:v>由共享基础引擎判定</x:v>
      </x:c>
      <x:c r="R203" s="72" t="str">
        <x:v>喜忌不直接等于冲突方式好坏；只修正调用顺畅度、资源压力和状态切换。</x:v>
      </x:c>
      <x:c r="S203" s="72" t="str">
        <x:v>原十神性质有效；真合化成立时按化神所属功能系统重建。</x:v>
      </x:c>
      <x:c r="T203" s="72" t="str">
        <x:v>由共享基础引擎判定</x:v>
      </x:c>
      <x:c r="U203" s="72" t="str">
        <x:v>61</x:v>
      </x:c>
      <x:c r="V203" s="72" t="str">
        <x:v>第一反应修正 +3</x:v>
      </x:c>
      <x:c r="W203" s="72" t="str">
        <x:v>first_response</x:v>
      </x:c>
      <x:c r="X203" s="72" t="str">
        <x:v>第一反应不一定立即指向真正问题，可能需要追问背景和未说出口的期待。</x:v>
      </x:c>
      <x:c r="Y203" s="72" t="str">
        <x:v>第一反应不一定立即指向真正问题，可能需要追问背景和未说出口的期待。</x:v>
      </x:c>
      <x:c r="Z20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03" s="72" t="str">
        <x:v>中</x:v>
      </x:c>
      <x:c r="AB203" s="72" t="str">
        <x:v>待验证</x:v>
      </x:c>
      <x:c r="AC203" s="72" t="str"/>
      <x:c r="AD203" s="72" t="str">
        <x:v>provisional=true; palace_dynamic=害; item=first</x:v>
      </x:c>
      <x:c r="AE203" s="73" t="str">
        <x:v>0.6</x:v>
      </x:c>
    </x:row>
    <x:row r="204">
      <x:c r="A204" s="71" t="str">
        <x:v>M3-CONFLICT-200</x:v>
      </x:c>
      <x:c r="B204" s="72" t="str">
        <x:v>日支害｜暂停与回归修正</x:v>
      </x:c>
      <x:c r="C204" s="72" t="str">
        <x:v>L5 宫位动态修正</x:v>
      </x:c>
      <x:c r="D204" s="72" t="str">
        <x:v>CONFLICT-日支害</x:v>
      </x:c>
      <x:c r="E204" s="72" t="str">
        <x:v>通用</x:v>
      </x:c>
      <x:c r="F204" s="72" t="str">
        <x:v>暂停修正</x:v>
      </x:c>
      <x:c r="G204" s="72" t="str">
        <x:v>日支害</x:v>
      </x:c>
      <x:c r="H204" s="72" t="str"/>
      <x:c r="I204" s="72" t="str">
        <x:v>日支害成立，且FQ07或REPAIR接口被调用。</x:v>
      </x:c>
      <x:c r="J204" s="72" t="str">
        <x:v>基础信号未定；真合化后原信号已失效；只有单一弱远争议信号；或该结论会越界到M4风险、M5适配。</x:v>
      </x:c>
      <x:c r="K204" s="72" t="str">
        <x:v>由共享基础引擎与M3-STATE修正；日主承载只修正冲突处理的可执行性，不直接等于强硬或软弱。</x:v>
      </x:c>
      <x:c r="L204" s="72" t="str">
        <x:v>不限定；夫妻星只在责任、行动、投入等冲突议题中参与接口，不作为CONFLICT唯一主轴。</x:v>
      </x:c>
      <x:c r="M204" s="72" t="str">
        <x:v>由M3-BASE、日支主气及宫位动态提供；不得把日支直接写成配偶性格。</x:v>
      </x:c>
      <x:c r="N204" s="72" t="str">
        <x:v>无／待CONFLICT顺序与路径规则组合</x:v>
      </x:c>
      <x:c r="O204" s="72" t="str">
        <x:v>日柱与日支近位优先；全局有效独立信号可作次通道。</x:v>
      </x:c>
      <x:c r="P204" s="72" t="str">
        <x:v>由共享基础引擎判定</x:v>
      </x:c>
      <x:c r="Q204" s="72" t="str">
        <x:v>由共享基础引擎判定</x:v>
      </x:c>
      <x:c r="R204" s="72" t="str">
        <x:v>喜忌不直接等于冲突方式好坏；只修正调用顺畅度、资源压力和状态切换。</x:v>
      </x:c>
      <x:c r="S204" s="72" t="str">
        <x:v>原十神性质有效；真合化成立时按化神所属功能系统重建。</x:v>
      </x:c>
      <x:c r="T204" s="72" t="str">
        <x:v>由共享基础引擎判定</x:v>
      </x:c>
      <x:c r="U204" s="72" t="str">
        <x:v>60</x:v>
      </x:c>
      <x:c r="V204" s="72" t="str">
        <x:v>暂停／回归候选 +3</x:v>
      </x:c>
      <x:c r="W204" s="72" t="str">
        <x:v>pause_style</x:v>
      </x:c>
      <x:c r="X204" s="72" t="str">
        <x:v>暂停后更适合把默认规则、感受差异和信息遗漏逐一说清。</x:v>
      </x:c>
      <x:c r="Y204" s="72" t="str">
        <x:v>暂停后更适合把默认规则、感受差异和信息遗漏逐一说清。</x:v>
      </x:c>
      <x:c r="Z20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04" s="72" t="str">
        <x:v>中</x:v>
      </x:c>
      <x:c r="AB204" s="72" t="str">
        <x:v>待验证</x:v>
      </x:c>
      <x:c r="AC204" s="72" t="str"/>
      <x:c r="AD204" s="72" t="str">
        <x:v>provisional=true; palace_dynamic=害; item=pause</x:v>
      </x:c>
      <x:c r="AE204" s="73" t="str">
        <x:v>0.6</x:v>
      </x:c>
    </x:row>
    <x:row r="205">
      <x:c r="A205" s="71" t="str">
        <x:v>M3-CONFLICT-201</x:v>
      </x:c>
      <x:c r="B205" s="72" t="str">
        <x:v>日支害｜禁止结果化解释</x:v>
      </x:c>
      <x:c r="C205" s="72" t="str">
        <x:v>L5 宫位动态修正</x:v>
      </x:c>
      <x:c r="D205" s="72" t="str">
        <x:v>CONFLICT-日支害</x:v>
      </x:c>
      <x:c r="E205" s="72" t="str">
        <x:v>通用</x:v>
      </x:c>
      <x:c r="F205" s="72" t="str">
        <x:v>禁止推断</x:v>
      </x:c>
      <x:c r="G205" s="72" t="str">
        <x:v>日支害</x:v>
      </x:c>
      <x:c r="H205" s="72" t="str"/>
      <x:c r="I205" s="72" t="str">
        <x:v>日支害被识别。</x:v>
      </x:c>
      <x:c r="J205" s="72" t="str">
        <x:v>基础信号未定；真合化后原信号已失效；只有单一弱远争议信号；或该结论会越界到M4风险、M5适配。</x:v>
      </x:c>
      <x:c r="K205" s="72" t="str">
        <x:v>由共享基础引擎与M3-STATE修正；日主承载只修正冲突处理的可执行性，不直接等于强硬或软弱。</x:v>
      </x:c>
      <x:c r="L205" s="72" t="str">
        <x:v>不限定；夫妻星只在责任、行动、投入等冲突议题中参与接口，不作为CONFLICT唯一主轴。</x:v>
      </x:c>
      <x:c r="M205" s="72" t="str">
        <x:v>由M3-BASE、日支主气及宫位动态提供；不得把日支直接写成配偶性格。</x:v>
      </x:c>
      <x:c r="N205" s="72" t="str">
        <x:v>无／待CONFLICT顺序与路径规则组合</x:v>
      </x:c>
      <x:c r="O205" s="72" t="str">
        <x:v>日柱与日支近位优先；全局有效独立信号可作次通道。</x:v>
      </x:c>
      <x:c r="P205" s="72" t="str">
        <x:v>由共享基础引擎判定</x:v>
      </x:c>
      <x:c r="Q205" s="72" t="str">
        <x:v>由共享基础引擎判定</x:v>
      </x:c>
      <x:c r="R205" s="72" t="str">
        <x:v>喜忌不直接等于冲突方式好坏；只修正调用顺畅度、资源压力和状态切换。</x:v>
      </x:c>
      <x:c r="S205" s="72" t="str">
        <x:v>原十神性质有效；真合化成立时按化神所属功能系统重建。</x:v>
      </x:c>
      <x:c r="T205" s="72" t="str">
        <x:v>由共享基础引擎判定</x:v>
      </x:c>
      <x:c r="U205" s="72" t="str">
        <x:v>92</x:v>
      </x:c>
      <x:c r="V205" s="72" t="str">
        <x:v>不加分；边界检查</x:v>
      </x:c>
      <x:c r="W205" s="72" t="str">
        <x:v>boundary_note</x:v>
      </x:c>
      <x:c r="X205" s="72" t="str">
        <x:v>日支害在M3-CONFLICT中只修正分歧的显化、校正或重订节奏。</x:v>
      </x:c>
      <x:c r="Y205" s="72" t="str">
        <x:v>这里仅把日支害作为分歧节奏修正，不把它直接写成关系结果。</x:v>
      </x:c>
      <x:c r="Z20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05" s="72" t="str">
        <x:v>高</x:v>
      </x:c>
      <x:c r="AB205" s="72" t="str">
        <x:v>待验证</x:v>
      </x:c>
      <x:c r="AC205" s="72" t="str"/>
      <x:c r="AD205" s="72" t="str">
        <x:v>provisional=true; palace_dynamic=害; item=forbid</x:v>
      </x:c>
      <x:c r="AE205" s="73" t="str">
        <x:v>0.6</x:v>
      </x:c>
    </x:row>
    <x:row r="206">
      <x:c r="A206" s="71" t="str">
        <x:v>M3-CONFLICT-202</x:v>
      </x:c>
      <x:c r="B206" s="72" t="str">
        <x:v>日支害｜停止／改道路由</x:v>
      </x:c>
      <x:c r="C206" s="72" t="str">
        <x:v>L5 宫位动态修正</x:v>
      </x:c>
      <x:c r="D206" s="72" t="str">
        <x:v>CONFLICT-日支害</x:v>
      </x:c>
      <x:c r="E206" s="72" t="str">
        <x:v>通用</x:v>
      </x:c>
      <x:c r="F206" s="72" t="str">
        <x:v>停止／路由</x:v>
      </x:c>
      <x:c r="G206" s="72" t="str">
        <x:v>日支害</x:v>
      </x:c>
      <x:c r="H206" s="72" t="str"/>
      <x:c r="I206" s="72" t="str">
        <x:v>日支害的成立、作用对象、阶段性或合化状态存在争议。</x:v>
      </x:c>
      <x:c r="J206" s="72" t="str">
        <x:v>基础信号未定；真合化后原信号已失效；只有单一弱远争议信号；或该结论会越界到M4风险、M5适配。</x:v>
      </x:c>
      <x:c r="K206" s="72" t="str">
        <x:v>由共享基础引擎与M3-STATE修正；日主承载只修正冲突处理的可执行性，不直接等于强硬或软弱。</x:v>
      </x:c>
      <x:c r="L206" s="72" t="str">
        <x:v>不限定；夫妻星只在责任、行动、投入等冲突议题中参与接口，不作为CONFLICT唯一主轴。</x:v>
      </x:c>
      <x:c r="M206" s="72" t="str">
        <x:v>由M3-BASE、日支主气及宫位动态提供；不得把日支直接写成配偶性格。</x:v>
      </x:c>
      <x:c r="N206" s="72" t="str">
        <x:v>无／待CONFLICT顺序与路径规则组合</x:v>
      </x:c>
      <x:c r="O206" s="72" t="str">
        <x:v>日柱与日支近位优先；全局有效独立信号可作次通道。</x:v>
      </x:c>
      <x:c r="P206" s="72" t="str">
        <x:v>由共享基础引擎判定</x:v>
      </x:c>
      <x:c r="Q206" s="72" t="str">
        <x:v>由共享基础引擎判定</x:v>
      </x:c>
      <x:c r="R206" s="72" t="str">
        <x:v>喜忌不直接等于冲突方式好坏；只修正调用顺畅度、资源压力和状态切换。</x:v>
      </x:c>
      <x:c r="S206" s="72" t="str">
        <x:v>原十神性质有效；真合化成立时按化神所属功能系统重建。</x:v>
      </x:c>
      <x:c r="T206" s="72" t="str">
        <x:v>由共享基础引擎判定</x:v>
      </x:c>
      <x:c r="U206" s="72" t="str">
        <x:v>91</x:v>
      </x:c>
      <x:c r="V206" s="72" t="str">
        <x:v>停止／替换／降置信</x:v>
      </x:c>
      <x:c r="W206" s="72" t="str">
        <x:v>report_status</x:v>
      </x:c>
      <x:c r="X206" s="72" t="str">
        <x:v>只有害而无具体错位、沟通或行为证据时，不得写成暗伤、背叛或故意伤害。</x:v>
      </x:c>
      <x:c r="Y206" s="72" t="str">
        <x:v>只有害而无具体错位、沟通或行为证据时，不得写成暗伤、背叛或故意伤害。</x:v>
      </x:c>
      <x:c r="Z20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06" s="72" t="str">
        <x:v>高</x:v>
      </x:c>
      <x:c r="AB206" s="72" t="str">
        <x:v>待验证</x:v>
      </x:c>
      <x:c r="AC206" s="72" t="str"/>
      <x:c r="AD206" s="72" t="str">
        <x:v>provisional=true; palace_dynamic=害; item=stop</x:v>
      </x:c>
      <x:c r="AE206" s="73" t="str">
        <x:v>0.6</x:v>
      </x:c>
    </x:row>
    <x:row r="207">
      <x:c r="A207" s="71" t="str">
        <x:v>M3-CONFLICT-203</x:v>
      </x:c>
      <x:c r="B207" s="72" t="str">
        <x:v>日支破｜CONFLICT基础节奏</x:v>
      </x:c>
      <x:c r="C207" s="72" t="str">
        <x:v>L5 宫位动态修正</x:v>
      </x:c>
      <x:c r="D207" s="72" t="str">
        <x:v>CONFLICT-日支破</x:v>
      </x:c>
      <x:c r="E207" s="72" t="str">
        <x:v>通用</x:v>
      </x:c>
      <x:c r="F207" s="72" t="str">
        <x:v>宫位动态</x:v>
      </x:c>
      <x:c r="G207" s="72" t="str">
        <x:v>日支破</x:v>
      </x:c>
      <x:c r="H207" s="72" t="str"/>
      <x:c r="I207" s="72" t="str">
        <x:v>日支破成立且基础结构可靠；只作为冲突节奏修正。</x:v>
      </x:c>
      <x:c r="J207" s="72" t="str">
        <x:v>基础信号未定；真合化后原信号已失效；只有单一弱远争议信号；或该结论会越界到M4风险、M5适配。</x:v>
      </x:c>
      <x:c r="K207" s="72" t="str">
        <x:v>由共享基础引擎与M3-STATE修正；日主承载只修正冲突处理的可执行性，不直接等于强硬或软弱。</x:v>
      </x:c>
      <x:c r="L207" s="72" t="str">
        <x:v>不限定；夫妻星只在责任、行动、投入等冲突议题中参与接口，不作为CONFLICT唯一主轴。</x:v>
      </x:c>
      <x:c r="M207" s="72" t="str">
        <x:v>由M3-BASE、日支主气及宫位动态提供；不得把日支直接写成配偶性格。</x:v>
      </x:c>
      <x:c r="N207" s="72" t="str">
        <x:v>无／待CONFLICT顺序与路径规则组合</x:v>
      </x:c>
      <x:c r="O207" s="72" t="str">
        <x:v>日柱与日支近位优先；全局有效独立信号可作次通道。</x:v>
      </x:c>
      <x:c r="P207" s="72" t="str">
        <x:v>由共享基础引擎判定</x:v>
      </x:c>
      <x:c r="Q207" s="72" t="str">
        <x:v>由共享基础引擎判定</x:v>
      </x:c>
      <x:c r="R207" s="72" t="str">
        <x:v>喜忌不直接等于冲突方式好坏；只修正调用顺畅度、资源压力和状态切换。</x:v>
      </x:c>
      <x:c r="S207" s="72" t="str">
        <x:v>原十神性质有效；真合化成立时按化神所属功能系统重建。</x:v>
      </x:c>
      <x:c r="T207" s="72" t="str">
        <x:v>由共享基础引擎判定</x:v>
      </x:c>
      <x:c r="U207" s="72" t="str">
        <x:v>64</x:v>
      </x:c>
      <x:c r="V207" s="72" t="str">
        <x:v>节奏修正 +4</x:v>
      </x:c>
      <x:c r="W207" s="72" t="str">
        <x:v>palace_rhythm</x:v>
      </x:c>
      <x:c r="X207" s="72" t="str">
        <x:v>原有安排、角色或处理办法可能不再适用，分歧重点在于旧结构如何重新组合。</x:v>
      </x:c>
      <x:c r="Y207" s="72" t="str">
        <x:v>原有安排、角色或处理办法可能不再适用，分歧重点在于旧结构如何重新组合。</x:v>
      </x:c>
      <x:c r="Z20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07" s="72" t="str">
        <x:v>中</x:v>
      </x:c>
      <x:c r="AB207" s="72" t="str">
        <x:v>待验证</x:v>
      </x:c>
      <x:c r="AC207" s="72" t="str"/>
      <x:c r="AD207" s="72" t="str">
        <x:v>provisional=true; palace_dynamic=破; item=base</x:v>
      </x:c>
      <x:c r="AE207" s="73" t="str">
        <x:v>0.6</x:v>
      </x:c>
    </x:row>
    <x:row r="208">
      <x:c r="A208" s="71" t="str">
        <x:v>M3-CONFLICT-204</x:v>
      </x:c>
      <x:c r="B208" s="72" t="str">
        <x:v>日支破｜第一反应修正</x:v>
      </x:c>
      <x:c r="C208" s="72" t="str">
        <x:v>L5 宫位动态修正</x:v>
      </x:c>
      <x:c r="D208" s="72" t="str">
        <x:v>CONFLICT-日支破</x:v>
      </x:c>
      <x:c r="E208" s="72" t="str">
        <x:v>通用</x:v>
      </x:c>
      <x:c r="F208" s="72" t="str">
        <x:v>第一反应修正</x:v>
      </x:c>
      <x:c r="G208" s="72" t="str">
        <x:v>日支破</x:v>
      </x:c>
      <x:c r="H208" s="72" t="str"/>
      <x:c r="I208" s="72" t="str">
        <x:v>日支破成立，且主冲突通道已有可靠基础。</x:v>
      </x:c>
      <x:c r="J208" s="72" t="str">
        <x:v>基础信号未定；真合化后原信号已失效；只有单一弱远争议信号；或该结论会越界到M4风险、M5适配。</x:v>
      </x:c>
      <x:c r="K208" s="72" t="str">
        <x:v>由共享基础引擎与M3-STATE修正；日主承载只修正冲突处理的可执行性，不直接等于强硬或软弱。</x:v>
      </x:c>
      <x:c r="L208" s="72" t="str">
        <x:v>不限定；夫妻星只在责任、行动、投入等冲突议题中参与接口，不作为CONFLICT唯一主轴。</x:v>
      </x:c>
      <x:c r="M208" s="72" t="str">
        <x:v>由M3-BASE、日支主气及宫位动态提供；不得把日支直接写成配偶性格。</x:v>
      </x:c>
      <x:c r="N208" s="72" t="str">
        <x:v>无／待CONFLICT顺序与路径规则组合</x:v>
      </x:c>
      <x:c r="O208" s="72" t="str">
        <x:v>日柱与日支近位优先；全局有效独立信号可作次通道。</x:v>
      </x:c>
      <x:c r="P208" s="72" t="str">
        <x:v>由共享基础引擎判定</x:v>
      </x:c>
      <x:c r="Q208" s="72" t="str">
        <x:v>由共享基础引擎判定</x:v>
      </x:c>
      <x:c r="R208" s="72" t="str">
        <x:v>喜忌不直接等于冲突方式好坏；只修正调用顺畅度、资源压力和状态切换。</x:v>
      </x:c>
      <x:c r="S208" s="72" t="str">
        <x:v>原十神性质有效；真合化成立时按化神所属功能系统重建。</x:v>
      </x:c>
      <x:c r="T208" s="72" t="str">
        <x:v>由共享基础引擎判定</x:v>
      </x:c>
      <x:c r="U208" s="72" t="str">
        <x:v>61</x:v>
      </x:c>
      <x:c r="V208" s="72" t="str">
        <x:v>第一反应修正 +3</x:v>
      </x:c>
      <x:c r="W208" s="72" t="str">
        <x:v>first_response</x:v>
      </x:c>
      <x:c r="X208" s="72" t="str">
        <x:v>第一反应可能先发现“原来的办法行不通”，随后调整分工、规则或资源。</x:v>
      </x:c>
      <x:c r="Y208" s="72" t="str">
        <x:v>第一反应可能先发现“原来的办法行不通”，随后调整分工、规则或资源。</x:v>
      </x:c>
      <x:c r="Z20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08" s="72" t="str">
        <x:v>中</x:v>
      </x:c>
      <x:c r="AB208" s="72" t="str">
        <x:v>待验证</x:v>
      </x:c>
      <x:c r="AC208" s="72" t="str"/>
      <x:c r="AD208" s="72" t="str">
        <x:v>provisional=true; palace_dynamic=破; item=first</x:v>
      </x:c>
      <x:c r="AE208" s="73" t="str">
        <x:v>0.6</x:v>
      </x:c>
    </x:row>
    <x:row r="209">
      <x:c r="A209" s="71" t="str">
        <x:v>M3-CONFLICT-205</x:v>
      </x:c>
      <x:c r="B209" s="72" t="str">
        <x:v>日支破｜暂停与回归修正</x:v>
      </x:c>
      <x:c r="C209" s="72" t="str">
        <x:v>L5 宫位动态修正</x:v>
      </x:c>
      <x:c r="D209" s="72" t="str">
        <x:v>CONFLICT-日支破</x:v>
      </x:c>
      <x:c r="E209" s="72" t="str">
        <x:v>通用</x:v>
      </x:c>
      <x:c r="F209" s="72" t="str">
        <x:v>暂停修正</x:v>
      </x:c>
      <x:c r="G209" s="72" t="str">
        <x:v>日支破</x:v>
      </x:c>
      <x:c r="H209" s="72" t="str"/>
      <x:c r="I209" s="72" t="str">
        <x:v>日支破成立，且FQ07或REPAIR接口被调用。</x:v>
      </x:c>
      <x:c r="J209" s="72" t="str">
        <x:v>基础信号未定；真合化后原信号已失效；只有单一弱远争议信号；或该结论会越界到M4风险、M5适配。</x:v>
      </x:c>
      <x:c r="K209" s="72" t="str">
        <x:v>由共享基础引擎与M3-STATE修正；日主承载只修正冲突处理的可执行性，不直接等于强硬或软弱。</x:v>
      </x:c>
      <x:c r="L209" s="72" t="str">
        <x:v>不限定；夫妻星只在责任、行动、投入等冲突议题中参与接口，不作为CONFLICT唯一主轴。</x:v>
      </x:c>
      <x:c r="M209" s="72" t="str">
        <x:v>由M3-BASE、日支主气及宫位动态提供；不得把日支直接写成配偶性格。</x:v>
      </x:c>
      <x:c r="N209" s="72" t="str">
        <x:v>无／待CONFLICT顺序与路径规则组合</x:v>
      </x:c>
      <x:c r="O209" s="72" t="str">
        <x:v>日柱与日支近位优先；全局有效独立信号可作次通道。</x:v>
      </x:c>
      <x:c r="P209" s="72" t="str">
        <x:v>由共享基础引擎判定</x:v>
      </x:c>
      <x:c r="Q209" s="72" t="str">
        <x:v>由共享基础引擎判定</x:v>
      </x:c>
      <x:c r="R209" s="72" t="str">
        <x:v>喜忌不直接等于冲突方式好坏；只修正调用顺畅度、资源压力和状态切换。</x:v>
      </x:c>
      <x:c r="S209" s="72" t="str">
        <x:v>原十神性质有效；真合化成立时按化神所属功能系统重建。</x:v>
      </x:c>
      <x:c r="T209" s="72" t="str">
        <x:v>由共享基础引擎判定</x:v>
      </x:c>
      <x:c r="U209" s="72" t="str">
        <x:v>60</x:v>
      </x:c>
      <x:c r="V209" s="72" t="str">
        <x:v>暂停／回归候选 +3</x:v>
      </x:c>
      <x:c r="W209" s="72" t="str">
        <x:v>pause_style</x:v>
      </x:c>
      <x:c r="X209" s="72" t="str">
        <x:v>暂停后更适合重新设计方案，而不是反复恢复旧安排。</x:v>
      </x:c>
      <x:c r="Y209" s="72" t="str">
        <x:v>暂停后更适合重新设计方案，而不是反复恢复旧安排。</x:v>
      </x:c>
      <x:c r="Z20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09" s="72" t="str">
        <x:v>中</x:v>
      </x:c>
      <x:c r="AB209" s="72" t="str">
        <x:v>待验证</x:v>
      </x:c>
      <x:c r="AC209" s="72" t="str"/>
      <x:c r="AD209" s="72" t="str">
        <x:v>provisional=true; palace_dynamic=破; item=pause</x:v>
      </x:c>
      <x:c r="AE209" s="73" t="str">
        <x:v>0.6</x:v>
      </x:c>
    </x:row>
    <x:row r="210">
      <x:c r="A210" s="71" t="str">
        <x:v>M3-CONFLICT-206</x:v>
      </x:c>
      <x:c r="B210" s="72" t="str">
        <x:v>日支破｜禁止结果化解释</x:v>
      </x:c>
      <x:c r="C210" s="72" t="str">
        <x:v>L5 宫位动态修正</x:v>
      </x:c>
      <x:c r="D210" s="72" t="str">
        <x:v>CONFLICT-日支破</x:v>
      </x:c>
      <x:c r="E210" s="72" t="str">
        <x:v>通用</x:v>
      </x:c>
      <x:c r="F210" s="72" t="str">
        <x:v>禁止推断</x:v>
      </x:c>
      <x:c r="G210" s="72" t="str">
        <x:v>日支破</x:v>
      </x:c>
      <x:c r="H210" s="72" t="str"/>
      <x:c r="I210" s="72" t="str">
        <x:v>日支破被识别。</x:v>
      </x:c>
      <x:c r="J210" s="72" t="str">
        <x:v>基础信号未定；真合化后原信号已失效；只有单一弱远争议信号；或该结论会越界到M4风险、M5适配。</x:v>
      </x:c>
      <x:c r="K210" s="72" t="str">
        <x:v>由共享基础引擎与M3-STATE修正；日主承载只修正冲突处理的可执行性，不直接等于强硬或软弱。</x:v>
      </x:c>
      <x:c r="L210" s="72" t="str">
        <x:v>不限定；夫妻星只在责任、行动、投入等冲突议题中参与接口，不作为CONFLICT唯一主轴。</x:v>
      </x:c>
      <x:c r="M210" s="72" t="str">
        <x:v>由M3-BASE、日支主气及宫位动态提供；不得把日支直接写成配偶性格。</x:v>
      </x:c>
      <x:c r="N210" s="72" t="str">
        <x:v>无／待CONFLICT顺序与路径规则组合</x:v>
      </x:c>
      <x:c r="O210" s="72" t="str">
        <x:v>日柱与日支近位优先；全局有效独立信号可作次通道。</x:v>
      </x:c>
      <x:c r="P210" s="72" t="str">
        <x:v>由共享基础引擎判定</x:v>
      </x:c>
      <x:c r="Q210" s="72" t="str">
        <x:v>由共享基础引擎判定</x:v>
      </x:c>
      <x:c r="R210" s="72" t="str">
        <x:v>喜忌不直接等于冲突方式好坏；只修正调用顺畅度、资源压力和状态切换。</x:v>
      </x:c>
      <x:c r="S210" s="72" t="str">
        <x:v>原十神性质有效；真合化成立时按化神所属功能系统重建。</x:v>
      </x:c>
      <x:c r="T210" s="72" t="str">
        <x:v>由共享基础引擎判定</x:v>
      </x:c>
      <x:c r="U210" s="72" t="str">
        <x:v>92</x:v>
      </x:c>
      <x:c r="V210" s="72" t="str">
        <x:v>不加分；边界检查</x:v>
      </x:c>
      <x:c r="W210" s="72" t="str">
        <x:v>boundary_note</x:v>
      </x:c>
      <x:c r="X210" s="72" t="str">
        <x:v>日支破在M3-CONFLICT中只修正分歧的显化、校正或重订节奏。</x:v>
      </x:c>
      <x:c r="Y210" s="72" t="str">
        <x:v>这里仅把日支破作为分歧节奏修正，不把它直接写成关系结果。</x:v>
      </x:c>
      <x:c r="Z21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10" s="72" t="str">
        <x:v>高</x:v>
      </x:c>
      <x:c r="AB210" s="72" t="str">
        <x:v>待验证</x:v>
      </x:c>
      <x:c r="AC210" s="72" t="str"/>
      <x:c r="AD210" s="72" t="str">
        <x:v>provisional=true; palace_dynamic=破; item=forbid</x:v>
      </x:c>
      <x:c r="AE210" s="73" t="str">
        <x:v>0.6</x:v>
      </x:c>
    </x:row>
    <x:row r="211">
      <x:c r="A211" s="71" t="str">
        <x:v>M3-CONFLICT-207</x:v>
      </x:c>
      <x:c r="B211" s="72" t="str">
        <x:v>日支破｜停止／改道路由</x:v>
      </x:c>
      <x:c r="C211" s="72" t="str">
        <x:v>L5 宫位动态修正</x:v>
      </x:c>
      <x:c r="D211" s="72" t="str">
        <x:v>CONFLICT-日支破</x:v>
      </x:c>
      <x:c r="E211" s="72" t="str">
        <x:v>通用</x:v>
      </x:c>
      <x:c r="F211" s="72" t="str">
        <x:v>停止／路由</x:v>
      </x:c>
      <x:c r="G211" s="72" t="str">
        <x:v>日支破</x:v>
      </x:c>
      <x:c r="H211" s="72" t="str"/>
      <x:c r="I211" s="72" t="str">
        <x:v>日支破的成立、作用对象、阶段性或合化状态存在争议。</x:v>
      </x:c>
      <x:c r="J211" s="72" t="str">
        <x:v>基础信号未定；真合化后原信号已失效；只有单一弱远争议信号；或该结论会越界到M4风险、M5适配。</x:v>
      </x:c>
      <x:c r="K211" s="72" t="str">
        <x:v>由共享基础引擎与M3-STATE修正；日主承载只修正冲突处理的可执行性，不直接等于强硬或软弱。</x:v>
      </x:c>
      <x:c r="L211" s="72" t="str">
        <x:v>不限定；夫妻星只在责任、行动、投入等冲突议题中参与接口，不作为CONFLICT唯一主轴。</x:v>
      </x:c>
      <x:c r="M211" s="72" t="str">
        <x:v>由M3-BASE、日支主气及宫位动态提供；不得把日支直接写成配偶性格。</x:v>
      </x:c>
      <x:c r="N211" s="72" t="str">
        <x:v>无／待CONFLICT顺序与路径规则组合</x:v>
      </x:c>
      <x:c r="O211" s="72" t="str">
        <x:v>日柱与日支近位优先；全局有效独立信号可作次通道。</x:v>
      </x:c>
      <x:c r="P211" s="72" t="str">
        <x:v>由共享基础引擎判定</x:v>
      </x:c>
      <x:c r="Q211" s="72" t="str">
        <x:v>由共享基础引擎判定</x:v>
      </x:c>
      <x:c r="R211" s="72" t="str">
        <x:v>喜忌不直接等于冲突方式好坏；只修正调用顺畅度、资源压力和状态切换。</x:v>
      </x:c>
      <x:c r="S211" s="72" t="str">
        <x:v>原十神性质有效；真合化成立时按化神所属功能系统重建。</x:v>
      </x:c>
      <x:c r="T211" s="72" t="str">
        <x:v>由共享基础引擎判定</x:v>
      </x:c>
      <x:c r="U211" s="72" t="str">
        <x:v>91</x:v>
      </x:c>
      <x:c r="V211" s="72" t="str">
        <x:v>停止／替换／降置信</x:v>
      </x:c>
      <x:c r="W211" s="72" t="str">
        <x:v>report_status</x:v>
      </x:c>
      <x:c r="X211" s="72" t="str">
        <x:v>若破只是阶段覆盖或基础作用未定，应标记阶段性，不改写原局主冲突通道。</x:v>
      </x:c>
      <x:c r="Y211" s="72" t="str">
        <x:v>若破只是阶段覆盖或基础作用未定，应标记阶段性，不改写原局主冲突通道。</x:v>
      </x:c>
      <x:c r="Z21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11" s="72" t="str">
        <x:v>高</x:v>
      </x:c>
      <x:c r="AB211" s="72" t="str">
        <x:v>待验证</x:v>
      </x:c>
      <x:c r="AC211" s="72" t="str"/>
      <x:c r="AD211" s="72" t="str">
        <x:v>provisional=true; palace_dynamic=破; item=stop</x:v>
      </x:c>
      <x:c r="AE211" s="73" t="str">
        <x:v>0.6</x:v>
      </x:c>
    </x:row>
    <x:row r="212">
      <x:c r="A212" s="71" t="str">
        <x:v>M3-CONFLICT-208</x:v>
      </x:c>
      <x:c r="B212" s="72" t="str">
        <x:v>SC01 透干有根｜冲突通道外显且可重复</x:v>
      </x:c>
      <x:c r="C212" s="72" t="str">
        <x:v>L6 状态修正</x:v>
      </x:c>
      <x:c r="D212" s="72" t="str">
        <x:v>CONFLICT-状态修正</x:v>
      </x:c>
      <x:c r="E212" s="72" t="str">
        <x:v>通用</x:v>
      </x:c>
      <x:c r="F212" s="72" t="str">
        <x:v>状态修正</x:v>
      </x:c>
      <x:c r="G212" s="72" t="str">
        <x:v>透干有根</x:v>
      </x:c>
      <x:c r="H212" s="72" t="str"/>
      <x:c r="I212" s="72" t="str">
        <x:v>透干有根由共享基础引擎可靠判定；主冲突通道基础性质有效。</x:v>
      </x:c>
      <x:c r="J212" s="72" t="str">
        <x:v>基础信号未定；真合化后原信号已失效；只有单一弱远争议信号；或该结论会越界到M4风险、M5适配。</x:v>
      </x:c>
      <x:c r="K212" s="72" t="str">
        <x:v>由共享基础引擎与M3-STATE修正；日主承载只修正冲突处理的可执行性，不直接等于强硬或软弱。</x:v>
      </x:c>
      <x:c r="L212" s="72" t="str">
        <x:v>不限定；夫妻星只在责任、行动、投入等冲突议题中参与接口，不作为CONFLICT唯一主轴。</x:v>
      </x:c>
      <x:c r="M212" s="72" t="str">
        <x:v>由M3-BASE、日支主气及宫位动态提供；不得把日支直接写成配偶性格。</x:v>
      </x:c>
      <x:c r="N212" s="72" t="str">
        <x:v>无／待CONFLICT顺序与路径规则组合</x:v>
      </x:c>
      <x:c r="O212" s="72" t="str">
        <x:v>日柱与日支近位优先；全局有效独立信号可作次通道。</x:v>
      </x:c>
      <x:c r="P212" s="72" t="str">
        <x:v>由共享基础引擎判定</x:v>
      </x:c>
      <x:c r="Q212" s="72" t="str">
        <x:v>由共享基础引擎判定</x:v>
      </x:c>
      <x:c r="R212" s="72" t="str">
        <x:v>喜忌不直接等于冲突方式好坏；只修正调用顺畅度、资源压力和状态切换。</x:v>
      </x:c>
      <x:c r="S212" s="72" t="str">
        <x:v>原十神性质有效；真合化成立时按化神所属功能系统重建。</x:v>
      </x:c>
      <x:c r="T212" s="72" t="str">
        <x:v>由共享基础引擎判定</x:v>
      </x:c>
      <x:c r="U212" s="72" t="str">
        <x:v>63</x:v>
      </x:c>
      <x:c r="V212" s="72" t="str">
        <x:v>主通道 +8；可见度 +5</x:v>
      </x:c>
      <x:c r="W212" s="72" t="str">
        <x:v>primary_conflict_channel</x:v>
      </x:c>
      <x:c r="X212" s="72" t="str">
        <x:v>冲突方式容易被看见，并且不只在一次事件中出现。</x:v>
      </x:c>
      <x:c r="Y212" s="72" t="str">
        <x:v>分歧中，你较容易把这项处理方式直接表现出来，而且具有一定重复性。</x:v>
      </x:c>
      <x:c r="Z21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12" s="72" t="str">
        <x:v>中高</x:v>
      </x:c>
      <x:c r="AB212" s="72" t="str">
        <x:v>待验证</x:v>
      </x:c>
      <x:c r="AC212" s="72" t="str"/>
      <x:c r="AD212" s="72" t="str">
        <x:v>provisional=true; state_modifier=SC01</x:v>
      </x:c>
      <x:c r="AE212" s="73" t="str">
        <x:v>0.6</x:v>
      </x:c>
    </x:row>
    <x:row r="213">
      <x:c r="A213" s="71" t="str">
        <x:v>M3-CONFLICT-209</x:v>
      </x:c>
      <x:c r="B213" s="72" t="str">
        <x:v>SC02 透干无根｜先可见后验证</x:v>
      </x:c>
      <x:c r="C213" s="72" t="str">
        <x:v>L6 状态修正</x:v>
      </x:c>
      <x:c r="D213" s="72" t="str">
        <x:v>CONFLICT-状态修正</x:v>
      </x:c>
      <x:c r="E213" s="72" t="str">
        <x:v>通用</x:v>
      </x:c>
      <x:c r="F213" s="72" t="str">
        <x:v>状态修正</x:v>
      </x:c>
      <x:c r="G213" s="72" t="str">
        <x:v>透干无根</x:v>
      </x:c>
      <x:c r="H213" s="72" t="str"/>
      <x:c r="I213" s="72" t="str">
        <x:v>透干无根由共享基础引擎可靠判定；主冲突通道基础性质有效。</x:v>
      </x:c>
      <x:c r="J213" s="72" t="str">
        <x:v>基础信号未定；真合化后原信号已失效；只有单一弱远争议信号；或该结论会越界到M4风险、M5适配。</x:v>
      </x:c>
      <x:c r="K213" s="72" t="str">
        <x:v>由共享基础引擎与M3-STATE修正；日主承载只修正冲突处理的可执行性，不直接等于强硬或软弱。</x:v>
      </x:c>
      <x:c r="L213" s="72" t="str">
        <x:v>不限定；夫妻星只在责任、行动、投入等冲突议题中参与接口，不作为CONFLICT唯一主轴。</x:v>
      </x:c>
      <x:c r="M213" s="72" t="str">
        <x:v>由M3-BASE、日支主气及宫位动态提供；不得把日支直接写成配偶性格。</x:v>
      </x:c>
      <x:c r="N213" s="72" t="str">
        <x:v>无／待CONFLICT顺序与路径规则组合</x:v>
      </x:c>
      <x:c r="O213" s="72" t="str">
        <x:v>日柱与日支近位优先；全局有效独立信号可作次通道。</x:v>
      </x:c>
      <x:c r="P213" s="72" t="str">
        <x:v>由共享基础引擎判定</x:v>
      </x:c>
      <x:c r="Q213" s="72" t="str">
        <x:v>由共享基础引擎判定</x:v>
      </x:c>
      <x:c r="R213" s="72" t="str">
        <x:v>喜忌不直接等于冲突方式好坏；只修正调用顺畅度、资源压力和状态切换。</x:v>
      </x:c>
      <x:c r="S213" s="72" t="str">
        <x:v>原十神性质有效；真合化成立时按化神所属功能系统重建。</x:v>
      </x:c>
      <x:c r="T213" s="72" t="str">
        <x:v>由共享基础引擎判定</x:v>
      </x:c>
      <x:c r="U213" s="72" t="str">
        <x:v>63</x:v>
      </x:c>
      <x:c r="V213" s="72" t="str">
        <x:v>候选 +4；连续性待验证</x:v>
      </x:c>
      <x:c r="W213" s="72" t="str">
        <x:v>first_response</x:v>
      </x:c>
      <x:c r="X213" s="72" t="str">
        <x:v>反应可能较早外显，但能否持续完成处理需要后续证据。</x:v>
      </x:c>
      <x:c r="Y213" s="72" t="str">
        <x:v>你可能很快表现出某种第一反应，但它是否能稳定完成整场分歧仍需观察。</x:v>
      </x:c>
      <x:c r="Z21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13" s="72" t="str">
        <x:v>中</x:v>
      </x:c>
      <x:c r="AB213" s="72" t="str">
        <x:v>待验证</x:v>
      </x:c>
      <x:c r="AC213" s="72" t="str"/>
      <x:c r="AD213" s="72" t="str">
        <x:v>provisional=true; state_modifier=SC02</x:v>
      </x:c>
      <x:c r="AE213" s="73" t="str">
        <x:v>0.6</x:v>
      </x:c>
    </x:row>
    <x:row r="214">
      <x:c r="A214" s="71" t="str">
        <x:v>M3-CONFLICT-210</x:v>
      </x:c>
      <x:c r="B214" s="72" t="str">
        <x:v>SC03 藏支有根｜隐性稳定</x:v>
      </x:c>
      <x:c r="C214" s="72" t="str">
        <x:v>L6 状态修正</x:v>
      </x:c>
      <x:c r="D214" s="72" t="str">
        <x:v>CONFLICT-状态修正</x:v>
      </x:c>
      <x:c r="E214" s="72" t="str">
        <x:v>通用</x:v>
      </x:c>
      <x:c r="F214" s="72" t="str">
        <x:v>状态修正</x:v>
      </x:c>
      <x:c r="G214" s="72" t="str">
        <x:v>藏支有根</x:v>
      </x:c>
      <x:c r="H214" s="72" t="str"/>
      <x:c r="I214" s="72" t="str">
        <x:v>藏支有根由共享基础引擎可靠判定；主冲突通道基础性质有效。</x:v>
      </x:c>
      <x:c r="J214" s="72" t="str">
        <x:v>基础信号未定；真合化后原信号已失效；只有单一弱远争议信号；或该结论会越界到M4风险、M5适配。</x:v>
      </x:c>
      <x:c r="K214" s="72" t="str">
        <x:v>由共享基础引擎与M3-STATE修正；日主承载只修正冲突处理的可执行性，不直接等于强硬或软弱。</x:v>
      </x:c>
      <x:c r="L214" s="72" t="str">
        <x:v>不限定；夫妻星只在责任、行动、投入等冲突议题中参与接口，不作为CONFLICT唯一主轴。</x:v>
      </x:c>
      <x:c r="M214" s="72" t="str">
        <x:v>由M3-BASE、日支主气及宫位动态提供；不得把日支直接写成配偶性格。</x:v>
      </x:c>
      <x:c r="N214" s="72" t="str">
        <x:v>无／待CONFLICT顺序与路径规则组合</x:v>
      </x:c>
      <x:c r="O214" s="72" t="str">
        <x:v>日柱与日支近位优先；全局有效独立信号可作次通道。</x:v>
      </x:c>
      <x:c r="P214" s="72" t="str">
        <x:v>由共享基础引擎判定</x:v>
      </x:c>
      <x:c r="Q214" s="72" t="str">
        <x:v>由共享基础引擎判定</x:v>
      </x:c>
      <x:c r="R214" s="72" t="str">
        <x:v>喜忌不直接等于冲突方式好坏；只修正调用顺畅度、资源压力和状态切换。</x:v>
      </x:c>
      <x:c r="S214" s="72" t="str">
        <x:v>原十神性质有效；真合化成立时按化神所属功能系统重建。</x:v>
      </x:c>
      <x:c r="T214" s="72" t="str">
        <x:v>由共享基础引擎判定</x:v>
      </x:c>
      <x:c r="U214" s="72" t="str">
        <x:v>63</x:v>
      </x:c>
      <x:c r="V214" s="72" t="str">
        <x:v>主通道 +6；隐性 +5</x:v>
      </x:c>
      <x:c r="W214" s="72" t="str">
        <x:v>primary_conflict_channel</x:v>
      </x:c>
      <x:c r="X214" s="72" t="str">
        <x:v>处理方式不一定立即说出来，但可能稳定存在于长期相处和压力反应中。</x:v>
      </x:c>
      <x:c r="Y214" s="72" t="str">
        <x:v>你的冲突处理方式未必第一时间被看见，但在长期关系里会逐渐显现。</x:v>
      </x:c>
      <x:c r="Z21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14" s="72" t="str">
        <x:v>中高</x:v>
      </x:c>
      <x:c r="AB214" s="72" t="str">
        <x:v>待验证</x:v>
      </x:c>
      <x:c r="AC214" s="72" t="str"/>
      <x:c r="AD214" s="72" t="str">
        <x:v>provisional=true; state_modifier=SC03</x:v>
      </x:c>
      <x:c r="AE214" s="73" t="str">
        <x:v>0.6</x:v>
      </x:c>
    </x:row>
    <x:row r="215">
      <x:c r="A215" s="71" t="str">
        <x:v>M3-CONFLICT-211</x:v>
      </x:c>
      <x:c r="B215" s="72" t="str">
        <x:v>SC04 藏支无根／弱远｜仅保留候选</x:v>
      </x:c>
      <x:c r="C215" s="72" t="str">
        <x:v>L6 状态修正</x:v>
      </x:c>
      <x:c r="D215" s="72" t="str">
        <x:v>CONFLICT-状态修正</x:v>
      </x:c>
      <x:c r="E215" s="72" t="str">
        <x:v>通用</x:v>
      </x:c>
      <x:c r="F215" s="72" t="str">
        <x:v>状态修正</x:v>
      </x:c>
      <x:c r="G215" s="72" t="str">
        <x:v>藏支无根／弱远</x:v>
      </x:c>
      <x:c r="H215" s="72" t="str"/>
      <x:c r="I215" s="72" t="str">
        <x:v>藏支无根／弱远由共享基础引擎可靠判定；主冲突通道基础性质有效。</x:v>
      </x:c>
      <x:c r="J215" s="72" t="str">
        <x:v>基础信号未定；真合化后原信号已失效；只有单一弱远争议信号；或该结论会越界到M4风险、M5适配。</x:v>
      </x:c>
      <x:c r="K215" s="72" t="str">
        <x:v>由共享基础引擎与M3-STATE修正；日主承载只修正冲突处理的可执行性，不直接等于强硬或软弱。</x:v>
      </x:c>
      <x:c r="L215" s="72" t="str">
        <x:v>不限定；夫妻星只在责任、行动、投入等冲突议题中参与接口，不作为CONFLICT唯一主轴。</x:v>
      </x:c>
      <x:c r="M215" s="72" t="str">
        <x:v>由M3-BASE、日支主气及宫位动态提供；不得把日支直接写成配偶性格。</x:v>
      </x:c>
      <x:c r="N215" s="72" t="str">
        <x:v>无／待CONFLICT顺序与路径规则组合</x:v>
      </x:c>
      <x:c r="O215" s="72" t="str">
        <x:v>日柱与日支近位优先；全局有效独立信号可作次通道。</x:v>
      </x:c>
      <x:c r="P215" s="72" t="str">
        <x:v>由共享基础引擎判定</x:v>
      </x:c>
      <x:c r="Q215" s="72" t="str">
        <x:v>由共享基础引擎判定</x:v>
      </x:c>
      <x:c r="R215" s="72" t="str">
        <x:v>喜忌不直接等于冲突方式好坏；只修正调用顺畅度、资源压力和状态切换。</x:v>
      </x:c>
      <x:c r="S215" s="72" t="str">
        <x:v>原十神性质有效；真合化成立时按化神所属功能系统重建。</x:v>
      </x:c>
      <x:c r="T215" s="72" t="str">
        <x:v>由共享基础引擎判定</x:v>
      </x:c>
      <x:c r="U215" s="72" t="str">
        <x:v>63</x:v>
      </x:c>
      <x:c r="V215" s="72" t="str">
        <x:v>候选 +2；降置信</x:v>
      </x:c>
      <x:c r="W215" s="72" t="str">
        <x:v>secondary_conflict_channel</x:v>
      </x:c>
      <x:c r="X215" s="72" t="str">
        <x:v>只能作为潜在背景，不宜写成固定第一反应。</x:v>
      </x:c>
      <x:c r="Y215" s="72" t="str">
        <x:v>这种方式目前只能作为低权重候选，不能写成你每次都会这样处理。</x:v>
      </x:c>
      <x:c r="Z21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15" s="72" t="str">
        <x:v>中低</x:v>
      </x:c>
      <x:c r="AB215" s="72" t="str">
        <x:v>待验证</x:v>
      </x:c>
      <x:c r="AC215" s="72" t="str"/>
      <x:c r="AD215" s="72" t="str">
        <x:v>provisional=true; state_modifier=SC04</x:v>
      </x:c>
      <x:c r="AE215" s="73" t="str">
        <x:v>0.6</x:v>
      </x:c>
    </x:row>
    <x:row r="216">
      <x:c r="A216" s="71" t="str">
        <x:v>M3-CONFLICT-212</x:v>
      </x:c>
      <x:c r="B216" s="72" t="str">
        <x:v>SC05 同根透藏｜一次证据两种表现</x:v>
      </x:c>
      <x:c r="C216" s="72" t="str">
        <x:v>L6 状态修正</x:v>
      </x:c>
      <x:c r="D216" s="72" t="str">
        <x:v>CONFLICT-状态修正</x:v>
      </x:c>
      <x:c r="E216" s="72" t="str">
        <x:v>通用</x:v>
      </x:c>
      <x:c r="F216" s="72" t="str">
        <x:v>状态修正</x:v>
      </x:c>
      <x:c r="G216" s="72" t="str">
        <x:v>同根透藏</x:v>
      </x:c>
      <x:c r="H216" s="72" t="str"/>
      <x:c r="I216" s="72" t="str">
        <x:v>同根透藏由共享基础引擎可靠判定；主冲突通道基础性质有效。</x:v>
      </x:c>
      <x:c r="J216" s="72" t="str">
        <x:v>基础信号未定；真合化后原信号已失效；只有单一弱远争议信号；或该结论会越界到M4风险、M5适配。</x:v>
      </x:c>
      <x:c r="K216" s="72" t="str">
        <x:v>由共享基础引擎与M3-STATE修正；日主承载只修正冲突处理的可执行性，不直接等于强硬或软弱。</x:v>
      </x:c>
      <x:c r="L216" s="72" t="str">
        <x:v>不限定；夫妻星只在责任、行动、投入等冲突议题中参与接口，不作为CONFLICT唯一主轴。</x:v>
      </x:c>
      <x:c r="M216" s="72" t="str">
        <x:v>由M3-BASE、日支主气及宫位动态提供；不得把日支直接写成配偶性格。</x:v>
      </x:c>
      <x:c r="N216" s="72" t="str">
        <x:v>无／待CONFLICT顺序与路径规则组合</x:v>
      </x:c>
      <x:c r="O216" s="72" t="str">
        <x:v>日柱与日支近位优先；全局有效独立信号可作次通道。</x:v>
      </x:c>
      <x:c r="P216" s="72" t="str">
        <x:v>由共享基础引擎判定</x:v>
      </x:c>
      <x:c r="Q216" s="72" t="str">
        <x:v>由共享基础引擎判定</x:v>
      </x:c>
      <x:c r="R216" s="72" t="str">
        <x:v>喜忌不直接等于冲突方式好坏；只修正调用顺畅度、资源压力和状态切换。</x:v>
      </x:c>
      <x:c r="S216" s="72" t="str">
        <x:v>原十神性质有效；真合化成立时按化神所属功能系统重建。</x:v>
      </x:c>
      <x:c r="T216" s="72" t="str">
        <x:v>由共享基础引擎判定</x:v>
      </x:c>
      <x:c r="U216" s="72" t="str">
        <x:v>63</x:v>
      </x:c>
      <x:c r="V216" s="72" t="str">
        <x:v>去重；外显／稳定分工</x:v>
      </x:c>
      <x:c r="W216" s="72" t="str">
        <x:v>provenance</x:v>
      </x:c>
      <x:c r="X216" s="72" t="str">
        <x:v>同一冲突功能既可外显又有内在来源，但仍是一个source_id。</x:v>
      </x:c>
      <x:c r="Y216" s="72" t="str">
        <x:v>同一种处理方式可能既容易被看见，也有稳定来源，但不会重复计分。</x:v>
      </x:c>
      <x:c r="Z21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16" s="72" t="str">
        <x:v>高</x:v>
      </x:c>
      <x:c r="AB216" s="72" t="str">
        <x:v>待验证</x:v>
      </x:c>
      <x:c r="AC216" s="72" t="str"/>
      <x:c r="AD216" s="72" t="str">
        <x:v>provisional=true; state_modifier=SC05</x:v>
      </x:c>
      <x:c r="AE216" s="73" t="str">
        <x:v>0.6</x:v>
      </x:c>
    </x:row>
    <x:row r="217">
      <x:c r="A217" s="71" t="str">
        <x:v>M3-CONFLICT-213</x:v>
      </x:c>
      <x:c r="B217" s="72" t="str">
        <x:v>SC06 多根同类｜重复性提高</x:v>
      </x:c>
      <x:c r="C217" s="72" t="str">
        <x:v>L6 状态修正</x:v>
      </x:c>
      <x:c r="D217" s="72" t="str">
        <x:v>CONFLICT-状态修正</x:v>
      </x:c>
      <x:c r="E217" s="72" t="str">
        <x:v>通用</x:v>
      </x:c>
      <x:c r="F217" s="72" t="str">
        <x:v>状态修正</x:v>
      </x:c>
      <x:c r="G217" s="72" t="str">
        <x:v>多根同类</x:v>
      </x:c>
      <x:c r="H217" s="72" t="str"/>
      <x:c r="I217" s="72" t="str">
        <x:v>多根同类由共享基础引擎可靠判定；主冲突通道基础性质有效。</x:v>
      </x:c>
      <x:c r="J217" s="72" t="str">
        <x:v>基础信号未定；真合化后原信号已失效；只有单一弱远争议信号；或该结论会越界到M4风险、M5适配。</x:v>
      </x:c>
      <x:c r="K217" s="72" t="str">
        <x:v>由共享基础引擎与M3-STATE修正；日主承载只修正冲突处理的可执行性，不直接等于强硬或软弱。</x:v>
      </x:c>
      <x:c r="L217" s="72" t="str">
        <x:v>不限定；夫妻星只在责任、行动、投入等冲突议题中参与接口，不作为CONFLICT唯一主轴。</x:v>
      </x:c>
      <x:c r="M217" s="72" t="str">
        <x:v>由M3-BASE、日支主气及宫位动态提供；不得把日支直接写成配偶性格。</x:v>
      </x:c>
      <x:c r="N217" s="72" t="str">
        <x:v>无／待CONFLICT顺序与路径规则组合</x:v>
      </x:c>
      <x:c r="O217" s="72" t="str">
        <x:v>日柱与日支近位优先；全局有效独立信号可作次通道。</x:v>
      </x:c>
      <x:c r="P217" s="72" t="str">
        <x:v>由共享基础引擎判定</x:v>
      </x:c>
      <x:c r="Q217" s="72" t="str">
        <x:v>由共享基础引擎判定</x:v>
      </x:c>
      <x:c r="R217" s="72" t="str">
        <x:v>喜忌不直接等于冲突方式好坏；只修正调用顺畅度、资源压力和状态切换。</x:v>
      </x:c>
      <x:c r="S217" s="72" t="str">
        <x:v>原十神性质有效；真合化成立时按化神所属功能系统重建。</x:v>
      </x:c>
      <x:c r="T217" s="72" t="str">
        <x:v>由共享基础引擎判定</x:v>
      </x:c>
      <x:c r="U217" s="72" t="str">
        <x:v>63</x:v>
      </x:c>
      <x:c r="V217" s="72" t="str">
        <x:v>稳定性 +6；不新增通道</x:v>
      </x:c>
      <x:c r="W217" s="72" t="str">
        <x:v>state_shift</x:v>
      </x:c>
      <x:c r="X217" s="72" t="str">
        <x:v>同类功能在多种场景更可能重复调用。</x:v>
      </x:c>
      <x:c r="Y217" s="72" t="str">
        <x:v>这项处理方式更可能在不同分歧中反复出现。</x:v>
      </x:c>
      <x:c r="Z21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17" s="72" t="str">
        <x:v>中高</x:v>
      </x:c>
      <x:c r="AB217" s="72" t="str">
        <x:v>待验证</x:v>
      </x:c>
      <x:c r="AC217" s="72" t="str"/>
      <x:c r="AD217" s="72" t="str">
        <x:v>provisional=true; state_modifier=SC06</x:v>
      </x:c>
      <x:c r="AE217" s="73" t="str">
        <x:v>0.6</x:v>
      </x:c>
    </x:row>
    <x:row r="218">
      <x:c r="A218" s="71" t="str">
        <x:v>M3-CONFLICT-214</x:v>
      </x:c>
      <x:c r="B218" s="72" t="str">
        <x:v>SC07 有根但受损｜功能保留、完成受限</x:v>
      </x:c>
      <x:c r="C218" s="72" t="str">
        <x:v>L6 状态修正</x:v>
      </x:c>
      <x:c r="D218" s="72" t="str">
        <x:v>CONFLICT-状态修正</x:v>
      </x:c>
      <x:c r="E218" s="72" t="str">
        <x:v>通用</x:v>
      </x:c>
      <x:c r="F218" s="72" t="str">
        <x:v>状态修正</x:v>
      </x:c>
      <x:c r="G218" s="72" t="str">
        <x:v>有根但受损</x:v>
      </x:c>
      <x:c r="H218" s="72" t="str"/>
      <x:c r="I218" s="72" t="str">
        <x:v>有根但受损由共享基础引擎可靠判定；主冲突通道基础性质有效。</x:v>
      </x:c>
      <x:c r="J218" s="72" t="str">
        <x:v>基础信号未定；真合化后原信号已失效；只有单一弱远争议信号；或该结论会越界到M4风险、M5适配。</x:v>
      </x:c>
      <x:c r="K218" s="72" t="str">
        <x:v>由共享基础引擎与M3-STATE修正；日主承载只修正冲突处理的可执行性，不直接等于强硬或软弱。</x:v>
      </x:c>
      <x:c r="L218" s="72" t="str">
        <x:v>不限定；夫妻星只在责任、行动、投入等冲突议题中参与接口，不作为CONFLICT唯一主轴。</x:v>
      </x:c>
      <x:c r="M218" s="72" t="str">
        <x:v>由M3-BASE、日支主气及宫位动态提供；不得把日支直接写成配偶性格。</x:v>
      </x:c>
      <x:c r="N218" s="72" t="str">
        <x:v>无／待CONFLICT顺序与路径规则组合</x:v>
      </x:c>
      <x:c r="O218" s="72" t="str">
        <x:v>日柱与日支近位优先；全局有效独立信号可作次通道。</x:v>
      </x:c>
      <x:c r="P218" s="72" t="str">
        <x:v>由共享基础引擎判定</x:v>
      </x:c>
      <x:c r="Q218" s="72" t="str">
        <x:v>由共享基础引擎判定</x:v>
      </x:c>
      <x:c r="R218" s="72" t="str">
        <x:v>喜忌不直接等于冲突方式好坏；只修正调用顺畅度、资源压力和状态切换。</x:v>
      </x:c>
      <x:c r="S218" s="72" t="str">
        <x:v>原十神性质有效；真合化成立时按化神所属功能系统重建。</x:v>
      </x:c>
      <x:c r="T218" s="72" t="str">
        <x:v>由共享基础引擎判定</x:v>
      </x:c>
      <x:c r="U218" s="72" t="str">
        <x:v>63</x:v>
      </x:c>
      <x:c r="V218" s="72" t="str">
        <x:v>主通道保留；完成度 -3</x:v>
      </x:c>
      <x:c r="W218" s="72" t="str">
        <x:v>conflict_end_condition</x:v>
      </x:c>
      <x:c r="X218" s="72" t="str">
        <x:v>第一反应仍可能出现，但从启动到完成方案之间可能需要其他通道支持。</x:v>
      </x:c>
      <x:c r="Y218" s="72" t="str">
        <x:v>这项方式仍会出现，只是能否顺利把分歧处理完，更依赖当时条件。</x:v>
      </x:c>
      <x:c r="Z21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18" s="72" t="str">
        <x:v>中</x:v>
      </x:c>
      <x:c r="AB218" s="72" t="str">
        <x:v>待验证</x:v>
      </x:c>
      <x:c r="AC218" s="72" t="str"/>
      <x:c r="AD218" s="72" t="str">
        <x:v>provisional=true; state_modifier=SC07</x:v>
      </x:c>
      <x:c r="AE218" s="73" t="str">
        <x:v>0.6</x:v>
      </x:c>
    </x:row>
    <x:row r="219">
      <x:c r="A219" s="71" t="str">
        <x:v>M3-CONFLICT-215</x:v>
      </x:c>
      <x:c r="B219" s="72" t="str">
        <x:v>SC08 无根但近位行为验证｜条件性成立</x:v>
      </x:c>
      <x:c r="C219" s="72" t="str">
        <x:v>L6 状态修正</x:v>
      </x:c>
      <x:c r="D219" s="72" t="str">
        <x:v>CONFLICT-状态修正</x:v>
      </x:c>
      <x:c r="E219" s="72" t="str">
        <x:v>通用</x:v>
      </x:c>
      <x:c r="F219" s="72" t="str">
        <x:v>状态修正</x:v>
      </x:c>
      <x:c r="G219" s="72" t="str">
        <x:v>无根＋近位行为验证</x:v>
      </x:c>
      <x:c r="H219" s="72" t="str"/>
      <x:c r="I219" s="72" t="str">
        <x:v>无根＋近位行为验证由共享基础引擎可靠判定；主冲突通道基础性质有效。</x:v>
      </x:c>
      <x:c r="J219" s="72" t="str">
        <x:v>基础信号未定；真合化后原信号已失效；只有单一弱远争议信号；或该结论会越界到M4风险、M5适配。</x:v>
      </x:c>
      <x:c r="K219" s="72" t="str">
        <x:v>由共享基础引擎与M3-STATE修正；日主承载只修正冲突处理的可执行性，不直接等于强硬或软弱。</x:v>
      </x:c>
      <x:c r="L219" s="72" t="str">
        <x:v>不限定；夫妻星只在责任、行动、投入等冲突议题中参与接口，不作为CONFLICT唯一主轴。</x:v>
      </x:c>
      <x:c r="M219" s="72" t="str">
        <x:v>由M3-BASE、日支主气及宫位动态提供；不得把日支直接写成配偶性格。</x:v>
      </x:c>
      <x:c r="N219" s="72" t="str">
        <x:v>无／待CONFLICT顺序与路径规则组合</x:v>
      </x:c>
      <x:c r="O219" s="72" t="str">
        <x:v>日柱与日支近位优先；全局有效独立信号可作次通道。</x:v>
      </x:c>
      <x:c r="P219" s="72" t="str">
        <x:v>由共享基础引擎判定</x:v>
      </x:c>
      <x:c r="Q219" s="72" t="str">
        <x:v>由共享基础引擎判定</x:v>
      </x:c>
      <x:c r="R219" s="72" t="str">
        <x:v>喜忌不直接等于冲突方式好坏；只修正调用顺畅度、资源压力和状态切换。</x:v>
      </x:c>
      <x:c r="S219" s="72" t="str">
        <x:v>原十神性质有效；真合化成立时按化神所属功能系统重建。</x:v>
      </x:c>
      <x:c r="T219" s="72" t="str">
        <x:v>由共享基础引擎判定</x:v>
      </x:c>
      <x:c r="U219" s="72" t="str">
        <x:v>63</x:v>
      </x:c>
      <x:c r="V219" s="72" t="str">
        <x:v>条件性 +5；标记案例依赖</x:v>
      </x:c>
      <x:c r="W219" s="72" t="str">
        <x:v>confidence</x:v>
      </x:c>
      <x:c r="X219" s="72" t="str">
        <x:v>结构来源较弱，但真实关系中的重复行为可以支持条件性使用。</x:v>
      </x:c>
      <x:c r="Y219" s="72" t="str">
        <x:v>虽然命局基础较弱，但真实相处中若反复出现，可以保留为条件性结论。</x:v>
      </x:c>
      <x:c r="Z21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19" s="72" t="str">
        <x:v>中</x:v>
      </x:c>
      <x:c r="AB219" s="72" t="str">
        <x:v>待验证</x:v>
      </x:c>
      <x:c r="AC219" s="72" t="str"/>
      <x:c r="AD219" s="72" t="str">
        <x:v>provisional=true; state_modifier=SC08</x:v>
      </x:c>
      <x:c r="AE219" s="73" t="str">
        <x:v>0.6</x:v>
      </x:c>
    </x:row>
    <x:row r="220">
      <x:c r="A220" s="71" t="str">
        <x:v>M3-CONFLICT-216</x:v>
      </x:c>
      <x:c r="B220" s="72" t="str">
        <x:v>SC09 旺而平衡｜自然调用</x:v>
      </x:c>
      <x:c r="C220" s="72" t="str">
        <x:v>L6 状态修正</x:v>
      </x:c>
      <x:c r="D220" s="72" t="str">
        <x:v>CONFLICT-状态修正</x:v>
      </x:c>
      <x:c r="E220" s="72" t="str">
        <x:v>通用</x:v>
      </x:c>
      <x:c r="F220" s="72" t="str">
        <x:v>状态修正</x:v>
      </x:c>
      <x:c r="G220" s="72" t="str">
        <x:v>旺而平衡</x:v>
      </x:c>
      <x:c r="H220" s="72" t="str"/>
      <x:c r="I220" s="72" t="str">
        <x:v>旺而平衡由共享基础引擎可靠判定；主冲突通道基础性质有效。</x:v>
      </x:c>
      <x:c r="J220" s="72" t="str">
        <x:v>基础信号未定；真合化后原信号已失效；只有单一弱远争议信号；或该结论会越界到M4风险、M5适配。</x:v>
      </x:c>
      <x:c r="K220" s="72" t="str">
        <x:v>由共享基础引擎与M3-STATE修正；日主承载只修正冲突处理的可执行性，不直接等于强硬或软弱。</x:v>
      </x:c>
      <x:c r="L220" s="72" t="str">
        <x:v>不限定；夫妻星只在责任、行动、投入等冲突议题中参与接口，不作为CONFLICT唯一主轴。</x:v>
      </x:c>
      <x:c r="M220" s="72" t="str">
        <x:v>由M3-BASE、日支主气及宫位动态提供；不得把日支直接写成配偶性格。</x:v>
      </x:c>
      <x:c r="N220" s="72" t="str">
        <x:v>无／待CONFLICT顺序与路径规则组合</x:v>
      </x:c>
      <x:c r="O220" s="72" t="str">
        <x:v>日柱与日支近位优先；全局有效独立信号可作次通道。</x:v>
      </x:c>
      <x:c r="P220" s="72" t="str">
        <x:v>由共享基础引擎判定</x:v>
      </x:c>
      <x:c r="Q220" s="72" t="str">
        <x:v>由共享基础引擎判定</x:v>
      </x:c>
      <x:c r="R220" s="72" t="str">
        <x:v>喜忌不直接等于冲突方式好坏；只修正调用顺畅度、资源压力和状态切换。</x:v>
      </x:c>
      <x:c r="S220" s="72" t="str">
        <x:v>原十神性质有效；真合化成立时按化神所属功能系统重建。</x:v>
      </x:c>
      <x:c r="T220" s="72" t="str">
        <x:v>由共享基础引擎判定</x:v>
      </x:c>
      <x:c r="U220" s="72" t="str">
        <x:v>63</x:v>
      </x:c>
      <x:c r="V220" s="72" t="str">
        <x:v>主通道 +7</x:v>
      </x:c>
      <x:c r="W220" s="72" t="str">
        <x:v>primary_conflict_channel</x:v>
      </x:c>
      <x:c r="X220" s="72" t="str">
        <x:v>无需强烈刺激便能自然使用该处理方式。</x:v>
      </x:c>
      <x:c r="Y220" s="72" t="str">
        <x:v>你通常不必等到问题很严重，便能较自然地使用这项处理方式。</x:v>
      </x:c>
      <x:c r="Z22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20" s="72" t="str">
        <x:v>中高</x:v>
      </x:c>
      <x:c r="AB220" s="72" t="str">
        <x:v>待验证</x:v>
      </x:c>
      <x:c r="AC220" s="72" t="str"/>
      <x:c r="AD220" s="72" t="str">
        <x:v>provisional=true; state_modifier=SC09</x:v>
      </x:c>
      <x:c r="AE220" s="73" t="str">
        <x:v>0.6</x:v>
      </x:c>
    </x:row>
    <x:row r="221">
      <x:c r="A221" s="71" t="str">
        <x:v>M3-CONFLICT-217</x:v>
      </x:c>
      <x:c r="B221" s="72" t="str">
        <x:v>SC10 旺而过度占位｜抢先但不判风险</x:v>
      </x:c>
      <x:c r="C221" s="72" t="str">
        <x:v>L6 状态修正</x:v>
      </x:c>
      <x:c r="D221" s="72" t="str">
        <x:v>CONFLICT-状态修正</x:v>
      </x:c>
      <x:c r="E221" s="72" t="str">
        <x:v>通用</x:v>
      </x:c>
      <x:c r="F221" s="72" t="str">
        <x:v>状态修正</x:v>
      </x:c>
      <x:c r="G221" s="72" t="str">
        <x:v>旺而失衡</x:v>
      </x:c>
      <x:c r="H221" s="72" t="str"/>
      <x:c r="I221" s="72" t="str">
        <x:v>旺而失衡由共享基础引擎可靠判定；主冲突通道基础性质有效。</x:v>
      </x:c>
      <x:c r="J221" s="72" t="str">
        <x:v>基础信号未定；真合化后原信号已失效；只有单一弱远争议信号；或该结论会越界到M4风险、M5适配。</x:v>
      </x:c>
      <x:c r="K221" s="72" t="str">
        <x:v>由共享基础引擎与M3-STATE修正；日主承载只修正冲突处理的可执行性，不直接等于强硬或软弱。</x:v>
      </x:c>
      <x:c r="L221" s="72" t="str">
        <x:v>不限定；夫妻星只在责任、行动、投入等冲突议题中参与接口，不作为CONFLICT唯一主轴。</x:v>
      </x:c>
      <x:c r="M221" s="72" t="str">
        <x:v>由M3-BASE、日支主气及宫位动态提供；不得把日支直接写成配偶性格。</x:v>
      </x:c>
      <x:c r="N221" s="72" t="str">
        <x:v>无／待CONFLICT顺序与路径规则组合</x:v>
      </x:c>
      <x:c r="O221" s="72" t="str">
        <x:v>日柱与日支近位优先；全局有效独立信号可作次通道。</x:v>
      </x:c>
      <x:c r="P221" s="72" t="str">
        <x:v>由共享基础引擎判定</x:v>
      </x:c>
      <x:c r="Q221" s="72" t="str">
        <x:v>由共享基础引擎判定</x:v>
      </x:c>
      <x:c r="R221" s="72" t="str">
        <x:v>喜忌不直接等于冲突方式好坏；只修正调用顺畅度、资源压力和状态切换。</x:v>
      </x:c>
      <x:c r="S221" s="72" t="str">
        <x:v>原十神性质有效；真合化成立时按化神所属功能系统重建。</x:v>
      </x:c>
      <x:c r="T221" s="72" t="str">
        <x:v>由共享基础引擎判定</x:v>
      </x:c>
      <x:c r="U221" s="72" t="str">
        <x:v>63</x:v>
      </x:c>
      <x:c r="V221" s="72" t="str">
        <x:v>抢先 +5；路由M4</x:v>
      </x:c>
      <x:c r="W221" s="72" t="str">
        <x:v>state_shift</x:v>
      </x:c>
      <x:c r="X221" s="72" t="str">
        <x:v>该通道容易在压力下抢先占位，但是否损害关系需M4与案例。</x:v>
      </x:c>
      <x:c r="Y221" s="72" t="str">
        <x:v>压力增加时，这种处理方式可能更快占据主导；是否形成问题要另行判断。</x:v>
      </x:c>
      <x:c r="Z22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21" s="72" t="str">
        <x:v>中</x:v>
      </x:c>
      <x:c r="AB221" s="72" t="str">
        <x:v>待验证</x:v>
      </x:c>
      <x:c r="AC221" s="72" t="str"/>
      <x:c r="AD221" s="72" t="str">
        <x:v>provisional=true; state_modifier=SC10</x:v>
      </x:c>
      <x:c r="AE221" s="73" t="str">
        <x:v>0.6</x:v>
      </x:c>
    </x:row>
    <x:row r="222">
      <x:c r="A222" s="71" t="str">
        <x:v>M3-CONFLICT-218</x:v>
      </x:c>
      <x:c r="B222" s="72" t="str">
        <x:v>SC11 中和可用｜依情境调用</x:v>
      </x:c>
      <x:c r="C222" s="72" t="str">
        <x:v>L6 状态修正</x:v>
      </x:c>
      <x:c r="D222" s="72" t="str">
        <x:v>CONFLICT-状态修正</x:v>
      </x:c>
      <x:c r="E222" s="72" t="str">
        <x:v>通用</x:v>
      </x:c>
      <x:c r="F222" s="72" t="str">
        <x:v>状态修正</x:v>
      </x:c>
      <x:c r="G222" s="72" t="str">
        <x:v>中和可用</x:v>
      </x:c>
      <x:c r="H222" s="72" t="str"/>
      <x:c r="I222" s="72" t="str">
        <x:v>中和可用由共享基础引擎可靠判定；主冲突通道基础性质有效。</x:v>
      </x:c>
      <x:c r="J222" s="72" t="str">
        <x:v>基础信号未定；真合化后原信号已失效；只有单一弱远争议信号；或该结论会越界到M4风险、M5适配。</x:v>
      </x:c>
      <x:c r="K222" s="72" t="str">
        <x:v>由共享基础引擎与M3-STATE修正；日主承载只修正冲突处理的可执行性，不直接等于强硬或软弱。</x:v>
      </x:c>
      <x:c r="L222" s="72" t="str">
        <x:v>不限定；夫妻星只在责任、行动、投入等冲突议题中参与接口，不作为CONFLICT唯一主轴。</x:v>
      </x:c>
      <x:c r="M222" s="72" t="str">
        <x:v>由M3-BASE、日支主气及宫位动态提供；不得把日支直接写成配偶性格。</x:v>
      </x:c>
      <x:c r="N222" s="72" t="str">
        <x:v>无／待CONFLICT顺序与路径规则组合</x:v>
      </x:c>
      <x:c r="O222" s="72" t="str">
        <x:v>日柱与日支近位优先；全局有效独立信号可作次通道。</x:v>
      </x:c>
      <x:c r="P222" s="72" t="str">
        <x:v>由共享基础引擎判定</x:v>
      </x:c>
      <x:c r="Q222" s="72" t="str">
        <x:v>由共享基础引擎判定</x:v>
      </x:c>
      <x:c r="R222" s="72" t="str">
        <x:v>喜忌不直接等于冲突方式好坏；只修正调用顺畅度、资源压力和状态切换。</x:v>
      </x:c>
      <x:c r="S222" s="72" t="str">
        <x:v>原十神性质有效；真合化成立时按化神所属功能系统重建。</x:v>
      </x:c>
      <x:c r="T222" s="72" t="str">
        <x:v>由共享基础引擎判定</x:v>
      </x:c>
      <x:c r="U222" s="72" t="str">
        <x:v>63</x:v>
      </x:c>
      <x:c r="V222" s="72" t="str">
        <x:v>主通道 +5</x:v>
      </x:c>
      <x:c r="W222" s="72" t="str">
        <x:v>primary_conflict_channel</x:v>
      </x:c>
      <x:c r="X222" s="72" t="str">
        <x:v>能够根据议题灵活调用，不必长期压过其他通道。</x:v>
      </x:c>
      <x:c r="Y222" s="72" t="str">
        <x:v>你通常会按议题和强度使用这项方式，不一定每次都同样明显。</x:v>
      </x:c>
      <x:c r="Z22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22" s="72" t="str">
        <x:v>中</x:v>
      </x:c>
      <x:c r="AB222" s="72" t="str">
        <x:v>待验证</x:v>
      </x:c>
      <x:c r="AC222" s="72" t="str"/>
      <x:c r="AD222" s="72" t="str">
        <x:v>provisional=true; state_modifier=SC11</x:v>
      </x:c>
      <x:c r="AE222" s="73" t="str">
        <x:v>0.6</x:v>
      </x:c>
    </x:row>
    <x:row r="223">
      <x:c r="A223" s="71" t="str">
        <x:v>M3-CONFLICT-219</x:v>
      </x:c>
      <x:c r="B223" s="72" t="str">
        <x:v>SC12 偏弱有助｜需要明确条件</x:v>
      </x:c>
      <x:c r="C223" s="72" t="str">
        <x:v>L6 状态修正</x:v>
      </x:c>
      <x:c r="D223" s="72" t="str">
        <x:v>CONFLICT-状态修正</x:v>
      </x:c>
      <x:c r="E223" s="72" t="str">
        <x:v>通用</x:v>
      </x:c>
      <x:c r="F223" s="72" t="str">
        <x:v>状态修正</x:v>
      </x:c>
      <x:c r="G223" s="72" t="str">
        <x:v>偏弱有助</x:v>
      </x:c>
      <x:c r="H223" s="72" t="str"/>
      <x:c r="I223" s="72" t="str">
        <x:v>偏弱有助由共享基础引擎可靠判定；主冲突通道基础性质有效。</x:v>
      </x:c>
      <x:c r="J223" s="72" t="str">
        <x:v>基础信号未定；真合化后原信号已失效；只有单一弱远争议信号；或该结论会越界到M4风险、M5适配。</x:v>
      </x:c>
      <x:c r="K223" s="72" t="str">
        <x:v>由共享基础引擎与M3-STATE修正；日主承载只修正冲突处理的可执行性，不直接等于强硬或软弱。</x:v>
      </x:c>
      <x:c r="L223" s="72" t="str">
        <x:v>不限定；夫妻星只在责任、行动、投入等冲突议题中参与接口，不作为CONFLICT唯一主轴。</x:v>
      </x:c>
      <x:c r="M223" s="72" t="str">
        <x:v>由M3-BASE、日支主气及宫位动态提供；不得把日支直接写成配偶性格。</x:v>
      </x:c>
      <x:c r="N223" s="72" t="str">
        <x:v>无／待CONFLICT顺序与路径规则组合</x:v>
      </x:c>
      <x:c r="O223" s="72" t="str">
        <x:v>日柱与日支近位优先；全局有效独立信号可作次通道。</x:v>
      </x:c>
      <x:c r="P223" s="72" t="str">
        <x:v>由共享基础引擎判定</x:v>
      </x:c>
      <x:c r="Q223" s="72" t="str">
        <x:v>由共享基础引擎判定</x:v>
      </x:c>
      <x:c r="R223" s="72" t="str">
        <x:v>喜忌不直接等于冲突方式好坏；只修正调用顺畅度、资源压力和状态切换。</x:v>
      </x:c>
      <x:c r="S223" s="72" t="str">
        <x:v>原十神性质有效；真合化成立时按化神所属功能系统重建。</x:v>
      </x:c>
      <x:c r="T223" s="72" t="str">
        <x:v>由共享基础引擎判定</x:v>
      </x:c>
      <x:c r="U223" s="72" t="str">
        <x:v>63</x:v>
      </x:c>
      <x:c r="V223" s="72" t="str">
        <x:v>条件性 +4</x:v>
      </x:c>
      <x:c r="W223" s="72" t="str">
        <x:v>first_response</x:v>
      </x:c>
      <x:c r="X223" s="72" t="str">
        <x:v>在关系安全、问题清楚或有外部支持时更容易出现。</x:v>
      </x:c>
      <x:c r="Y223" s="72" t="str">
        <x:v>这项处理方式更容易在条件明确、有人回应或关系安全时被调用。</x:v>
      </x:c>
      <x:c r="Z22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23" s="72" t="str">
        <x:v>中</x:v>
      </x:c>
      <x:c r="AB223" s="72" t="str">
        <x:v>待验证</x:v>
      </x:c>
      <x:c r="AC223" s="72" t="str"/>
      <x:c r="AD223" s="72" t="str">
        <x:v>provisional=true; state_modifier=SC12</x:v>
      </x:c>
      <x:c r="AE223" s="73" t="str">
        <x:v>0.6</x:v>
      </x:c>
    </x:row>
    <x:row r="224">
      <x:c r="A224" s="71" t="str">
        <x:v>M3-CONFLICT-220</x:v>
      </x:c>
      <x:c r="B224" s="72" t="str">
        <x:v>SC13 偏弱无助｜不写稳定模式</x:v>
      </x:c>
      <x:c r="C224" s="72" t="str">
        <x:v>L6 状态修正</x:v>
      </x:c>
      <x:c r="D224" s="72" t="str">
        <x:v>CONFLICT-状态修正</x:v>
      </x:c>
      <x:c r="E224" s="72" t="str">
        <x:v>通用</x:v>
      </x:c>
      <x:c r="F224" s="72" t="str">
        <x:v>状态修正</x:v>
      </x:c>
      <x:c r="G224" s="72" t="str">
        <x:v>偏弱无助</x:v>
      </x:c>
      <x:c r="H224" s="72" t="str"/>
      <x:c r="I224" s="72" t="str">
        <x:v>偏弱无助由共享基础引擎可靠判定；主冲突通道基础性质有效。</x:v>
      </x:c>
      <x:c r="J224" s="72" t="str">
        <x:v>基础信号未定；真合化后原信号已失效；只有单一弱远争议信号；或该结论会越界到M4风险、M5适配。</x:v>
      </x:c>
      <x:c r="K224" s="72" t="str">
        <x:v>由共享基础引擎与M3-STATE修正；日主承载只修正冲突处理的可执行性，不直接等于强硬或软弱。</x:v>
      </x:c>
      <x:c r="L224" s="72" t="str">
        <x:v>不限定；夫妻星只在责任、行动、投入等冲突议题中参与接口，不作为CONFLICT唯一主轴。</x:v>
      </x:c>
      <x:c r="M224" s="72" t="str">
        <x:v>由M3-BASE、日支主气及宫位动态提供；不得把日支直接写成配偶性格。</x:v>
      </x:c>
      <x:c r="N224" s="72" t="str">
        <x:v>无／待CONFLICT顺序与路径规则组合</x:v>
      </x:c>
      <x:c r="O224" s="72" t="str">
        <x:v>日柱与日支近位优先；全局有效独立信号可作次通道。</x:v>
      </x:c>
      <x:c r="P224" s="72" t="str">
        <x:v>由共享基础引擎判定</x:v>
      </x:c>
      <x:c r="Q224" s="72" t="str">
        <x:v>由共享基础引擎判定</x:v>
      </x:c>
      <x:c r="R224" s="72" t="str">
        <x:v>喜忌不直接等于冲突方式好坏；只修正调用顺畅度、资源压力和状态切换。</x:v>
      </x:c>
      <x:c r="S224" s="72" t="str">
        <x:v>原十神性质有效；真合化成立时按化神所属功能系统重建。</x:v>
      </x:c>
      <x:c r="T224" s="72" t="str">
        <x:v>由共享基础引擎判定</x:v>
      </x:c>
      <x:c r="U224" s="72" t="str">
        <x:v>63</x:v>
      </x:c>
      <x:c r="V224" s="72" t="str">
        <x:v>候选 +1；降置信</x:v>
      </x:c>
      <x:c r="W224" s="72" t="str">
        <x:v>primary_conflict_channel</x:v>
      </x:c>
      <x:c r="X224" s="72" t="str">
        <x:v>只能保留系统背景，不能写成稳定冲突习惯。</x:v>
      </x:c>
      <x:c r="Y224" s="72" t="str">
        <x:v>目前只能说明你可能偏向这一方向，不能固定成主要处理模式。</x:v>
      </x:c>
      <x:c r="Z22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24" s="72" t="str">
        <x:v>中低</x:v>
      </x:c>
      <x:c r="AB224" s="72" t="str">
        <x:v>待验证</x:v>
      </x:c>
      <x:c r="AC224" s="72" t="str"/>
      <x:c r="AD224" s="72" t="str">
        <x:v>provisional=true; state_modifier=SC13</x:v>
      </x:c>
      <x:c r="AE224" s="73" t="str">
        <x:v>0.6</x:v>
      </x:c>
    </x:row>
    <x:row r="225">
      <x:c r="A225" s="71" t="str">
        <x:v>M3-CONFLICT-221</x:v>
      </x:c>
      <x:c r="B225" s="72" t="str">
        <x:v>SC14 强弱争议｜回退到五系统</x:v>
      </x:c>
      <x:c r="C225" s="72" t="str">
        <x:v>L6 状态修正</x:v>
      </x:c>
      <x:c r="D225" s="72" t="str">
        <x:v>CONFLICT-状态修正</x:v>
      </x:c>
      <x:c r="E225" s="72" t="str">
        <x:v>通用</x:v>
      </x:c>
      <x:c r="F225" s="72" t="str">
        <x:v>状态修正</x:v>
      </x:c>
      <x:c r="G225" s="72" t="str">
        <x:v>强弱争议</x:v>
      </x:c>
      <x:c r="H225" s="72" t="str"/>
      <x:c r="I225" s="72" t="str">
        <x:v>强弱争议由共享基础引擎可靠判定；主冲突通道基础性质有效。</x:v>
      </x:c>
      <x:c r="J225" s="72" t="str">
        <x:v>基础信号未定；真合化后原信号已失效；只有单一弱远争议信号；或该结论会越界到M4风险、M5适配。</x:v>
      </x:c>
      <x:c r="K225" s="72" t="str">
        <x:v>由共享基础引擎与M3-STATE修正；日主承载只修正冲突处理的可执行性，不直接等于强硬或软弱。</x:v>
      </x:c>
      <x:c r="L225" s="72" t="str">
        <x:v>不限定；夫妻星只在责任、行动、投入等冲突议题中参与接口，不作为CONFLICT唯一主轴。</x:v>
      </x:c>
      <x:c r="M225" s="72" t="str">
        <x:v>由M3-BASE、日支主气及宫位动态提供；不得把日支直接写成配偶性格。</x:v>
      </x:c>
      <x:c r="N225" s="72" t="str">
        <x:v>无／待CONFLICT顺序与路径规则组合</x:v>
      </x:c>
      <x:c r="O225" s="72" t="str">
        <x:v>日柱与日支近位优先；全局有效独立信号可作次通道。</x:v>
      </x:c>
      <x:c r="P225" s="72" t="str">
        <x:v>由共享基础引擎判定</x:v>
      </x:c>
      <x:c r="Q225" s="72" t="str">
        <x:v>由共享基础引擎判定</x:v>
      </x:c>
      <x:c r="R225" s="72" t="str">
        <x:v>喜忌不直接等于冲突方式好坏；只修正调用顺畅度、资源压力和状态切换。</x:v>
      </x:c>
      <x:c r="S225" s="72" t="str">
        <x:v>原十神性质有效；真合化成立时按化神所属功能系统重建。</x:v>
      </x:c>
      <x:c r="T225" s="72" t="str">
        <x:v>由共享基础引擎判定</x:v>
      </x:c>
      <x:c r="U225" s="72" t="str">
        <x:v>90</x:v>
      </x:c>
      <x:c r="V225" s="72" t="str">
        <x:v>停止十神级输出</x:v>
      </x:c>
      <x:c r="W225" s="72" t="str">
        <x:v>report_status</x:v>
      </x:c>
      <x:c r="X225" s="72" t="str">
        <x:v>十神级主次不可靠时，只保留表达、现实、责任、承接或自主系统。</x:v>
      </x:c>
      <x:c r="Y225" s="72" t="str">
        <x:v>目前只能判断你更偏向某一类处理系统，具体方式仍需保留不确定性。</x:v>
      </x:c>
      <x:c r="Z22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25" s="72" t="str">
        <x:v>低</x:v>
      </x:c>
      <x:c r="AB225" s="72" t="str">
        <x:v>待验证</x:v>
      </x:c>
      <x:c r="AC225" s="72" t="str"/>
      <x:c r="AD225" s="72" t="str">
        <x:v>provisional=true; state_modifier=SC14</x:v>
      </x:c>
      <x:c r="AE225" s="73" t="str">
        <x:v>0.6</x:v>
      </x:c>
    </x:row>
    <x:row r="226">
      <x:c r="A226" s="71" t="str">
        <x:v>M3-CONFLICT-222</x:v>
      </x:c>
      <x:c r="B226" s="72" t="str">
        <x:v>SC15 为喜且平衡｜调用较顺畅</x:v>
      </x:c>
      <x:c r="C226" s="72" t="str">
        <x:v>L6 状态修正</x:v>
      </x:c>
      <x:c r="D226" s="72" t="str">
        <x:v>CONFLICT-状态修正</x:v>
      </x:c>
      <x:c r="E226" s="72" t="str">
        <x:v>通用</x:v>
      </x:c>
      <x:c r="F226" s="72" t="str">
        <x:v>状态修正</x:v>
      </x:c>
      <x:c r="G226" s="72" t="str">
        <x:v>为喜且平衡</x:v>
      </x:c>
      <x:c r="H226" s="72" t="str"/>
      <x:c r="I226" s="72" t="str">
        <x:v>为喜且平衡由共享基础引擎可靠判定；主冲突通道基础性质有效。</x:v>
      </x:c>
      <x:c r="J226" s="72" t="str">
        <x:v>基础信号未定；真合化后原信号已失效；只有单一弱远争议信号；或该结论会越界到M4风险、M5适配。</x:v>
      </x:c>
      <x:c r="K226" s="72" t="str">
        <x:v>由共享基础引擎与M3-STATE修正；日主承载只修正冲突处理的可执行性，不直接等于强硬或软弱。</x:v>
      </x:c>
      <x:c r="L226" s="72" t="str">
        <x:v>不限定；夫妻星只在责任、行动、投入等冲突议题中参与接口，不作为CONFLICT唯一主轴。</x:v>
      </x:c>
      <x:c r="M226" s="72" t="str">
        <x:v>由M3-BASE、日支主气及宫位动态提供；不得把日支直接写成配偶性格。</x:v>
      </x:c>
      <x:c r="N226" s="72" t="str">
        <x:v>无／待CONFLICT顺序与路径规则组合</x:v>
      </x:c>
      <x:c r="O226" s="72" t="str">
        <x:v>日柱与日支近位优先；全局有效独立信号可作次通道。</x:v>
      </x:c>
      <x:c r="P226" s="72" t="str">
        <x:v>由共享基础引擎判定</x:v>
      </x:c>
      <x:c r="Q226" s="72" t="str">
        <x:v>由共享基础引擎判定</x:v>
      </x:c>
      <x:c r="R226" s="72" t="str">
        <x:v>喜忌不直接等于冲突方式好坏；只修正调用顺畅度、资源压力和状态切换。</x:v>
      </x:c>
      <x:c r="S226" s="72" t="str">
        <x:v>原十神性质有效；真合化成立时按化神所属功能系统重建。</x:v>
      </x:c>
      <x:c r="T226" s="72" t="str">
        <x:v>由共享基础引擎判定</x:v>
      </x:c>
      <x:c r="U226" s="72" t="str">
        <x:v>63</x:v>
      </x:c>
      <x:c r="V226" s="72" t="str">
        <x:v>顺畅度 +4</x:v>
      </x:c>
      <x:c r="W226" s="72" t="str">
        <x:v>state_shift</x:v>
      </x:c>
      <x:c r="X226" s="72" t="str">
        <x:v>该通道更容易从启动走向完成，不代表一定没有分歧。</x:v>
      </x:c>
      <x:c r="Y226" s="72" t="str">
        <x:v>你使用这项方式时通常较顺手，也更容易把分歧推进到可处理状态。</x:v>
      </x:c>
      <x:c r="Z22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26" s="72" t="str">
        <x:v>中</x:v>
      </x:c>
      <x:c r="AB226" s="72" t="str">
        <x:v>待验证</x:v>
      </x:c>
      <x:c r="AC226" s="72" t="str"/>
      <x:c r="AD226" s="72" t="str">
        <x:v>provisional=true; state_modifier=SC15</x:v>
      </x:c>
      <x:c r="AE226" s="73" t="str">
        <x:v>0.6</x:v>
      </x:c>
    </x:row>
    <x:row r="227">
      <x:c r="A227" s="71" t="str">
        <x:v>M3-CONFLICT-223</x:v>
      </x:c>
      <x:c r="B227" s="72" t="str">
        <x:v>SC16 为忌但有效｜仍可高频调用</x:v>
      </x:c>
      <x:c r="C227" s="72" t="str">
        <x:v>L6 状态修正</x:v>
      </x:c>
      <x:c r="D227" s="72" t="str">
        <x:v>CONFLICT-状态修正</x:v>
      </x:c>
      <x:c r="E227" s="72" t="str">
        <x:v>通用</x:v>
      </x:c>
      <x:c r="F227" s="72" t="str">
        <x:v>状态修正</x:v>
      </x:c>
      <x:c r="G227" s="72" t="str">
        <x:v>为忌但有效</x:v>
      </x:c>
      <x:c r="H227" s="72" t="str"/>
      <x:c r="I227" s="72" t="str">
        <x:v>为忌但有效由共享基础引擎可靠判定；主冲突通道基础性质有效。</x:v>
      </x:c>
      <x:c r="J227" s="72" t="str">
        <x:v>基础信号未定；真合化后原信号已失效；只有单一弱远争议信号；或该结论会越界到M4风险、M5适配。</x:v>
      </x:c>
      <x:c r="K227" s="72" t="str">
        <x:v>由共享基础引擎与M3-STATE修正；日主承载只修正冲突处理的可执行性，不直接等于强硬或软弱。</x:v>
      </x:c>
      <x:c r="L227" s="72" t="str">
        <x:v>不限定；夫妻星只在责任、行动、投入等冲突议题中参与接口，不作为CONFLICT唯一主轴。</x:v>
      </x:c>
      <x:c r="M227" s="72" t="str">
        <x:v>由M3-BASE、日支主气及宫位动态提供；不得把日支直接写成配偶性格。</x:v>
      </x:c>
      <x:c r="N227" s="72" t="str">
        <x:v>无／待CONFLICT顺序与路径规则组合</x:v>
      </x:c>
      <x:c r="O227" s="72" t="str">
        <x:v>日柱与日支近位优先；全局有效独立信号可作次通道。</x:v>
      </x:c>
      <x:c r="P227" s="72" t="str">
        <x:v>由共享基础引擎判定</x:v>
      </x:c>
      <x:c r="Q227" s="72" t="str">
        <x:v>由共享基础引擎判定</x:v>
      </x:c>
      <x:c r="R227" s="72" t="str">
        <x:v>喜忌不直接等于冲突方式好坏；只修正调用顺畅度、资源压力和状态切换。</x:v>
      </x:c>
      <x:c r="S227" s="72" t="str">
        <x:v>原十神性质有效；真合化成立时按化神所属功能系统重建。</x:v>
      </x:c>
      <x:c r="T227" s="72" t="str">
        <x:v>由共享基础引擎判定</x:v>
      </x:c>
      <x:c r="U227" s="72" t="str">
        <x:v>63</x:v>
      </x:c>
      <x:c r="V227" s="72" t="str">
        <x:v>强度保留；路由M4</x:v>
      </x:c>
      <x:c r="W227" s="72" t="str">
        <x:v>state_shift</x:v>
      </x:c>
      <x:c r="X227" s="72" t="str">
        <x:v>喜忌不决定是否调用；有效且为忌仍可能高频出现。</x:v>
      </x:c>
      <x:c r="Y227" s="72" t="str">
        <x:v>这项方式仍可能很常用；是否让你或关系承受压力，需要交给M4。</x:v>
      </x:c>
      <x:c r="Z22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27" s="72" t="str">
        <x:v>中</x:v>
      </x:c>
      <x:c r="AB227" s="72" t="str">
        <x:v>待验证</x:v>
      </x:c>
      <x:c r="AC227" s="72" t="str"/>
      <x:c r="AD227" s="72" t="str">
        <x:v>provisional=true; state_modifier=SC16</x:v>
      </x:c>
      <x:c r="AE227" s="73" t="str">
        <x:v>0.6</x:v>
      </x:c>
    </x:row>
    <x:row r="228">
      <x:c r="A228" s="71" t="str">
        <x:v>M3-CONFLICT-224</x:v>
      </x:c>
      <x:c r="B228" s="72" t="str">
        <x:v>SC17 喜忌未定｜只用功能语言</x:v>
      </x:c>
      <x:c r="C228" s="72" t="str">
        <x:v>L6 状态修正</x:v>
      </x:c>
      <x:c r="D228" s="72" t="str">
        <x:v>CONFLICT-状态修正</x:v>
      </x:c>
      <x:c r="E228" s="72" t="str">
        <x:v>通用</x:v>
      </x:c>
      <x:c r="F228" s="72" t="str">
        <x:v>状态修正</x:v>
      </x:c>
      <x:c r="G228" s="72" t="str">
        <x:v>喜忌未定</x:v>
      </x:c>
      <x:c r="H228" s="72" t="str"/>
      <x:c r="I228" s="72" t="str">
        <x:v>喜忌未定由共享基础引擎可靠判定；主冲突通道基础性质有效。</x:v>
      </x:c>
      <x:c r="J228" s="72" t="str">
        <x:v>基础信号未定；真合化后原信号已失效；只有单一弱远争议信号；或该结论会越界到M4风险、M5适配。</x:v>
      </x:c>
      <x:c r="K228" s="72" t="str">
        <x:v>由共享基础引擎与M3-STATE修正；日主承载只修正冲突处理的可执行性，不直接等于强硬或软弱。</x:v>
      </x:c>
      <x:c r="L228" s="72" t="str">
        <x:v>不限定；夫妻星只在责任、行动、投入等冲突议题中参与接口，不作为CONFLICT唯一主轴。</x:v>
      </x:c>
      <x:c r="M228" s="72" t="str">
        <x:v>由M3-BASE、日支主气及宫位动态提供；不得把日支直接写成配偶性格。</x:v>
      </x:c>
      <x:c r="N228" s="72" t="str">
        <x:v>无／待CONFLICT顺序与路径规则组合</x:v>
      </x:c>
      <x:c r="O228" s="72" t="str">
        <x:v>日柱与日支近位优先；全局有效独立信号可作次通道。</x:v>
      </x:c>
      <x:c r="P228" s="72" t="str">
        <x:v>由共享基础引擎判定</x:v>
      </x:c>
      <x:c r="Q228" s="72" t="str">
        <x:v>由共享基础引擎判定</x:v>
      </x:c>
      <x:c r="R228" s="72" t="str">
        <x:v>喜忌不直接等于冲突方式好坏；只修正调用顺畅度、资源压力和状态切换。</x:v>
      </x:c>
      <x:c r="S228" s="72" t="str">
        <x:v>原十神性质有效；真合化成立时按化神所属功能系统重建。</x:v>
      </x:c>
      <x:c r="T228" s="72" t="str">
        <x:v>由共享基础引擎判定</x:v>
      </x:c>
      <x:c r="U228" s="72" t="str">
        <x:v>63</x:v>
      </x:c>
      <x:c r="V228" s="72" t="str">
        <x:v>功能保留；不写体验质量</x:v>
      </x:c>
      <x:c r="W228" s="72" t="str">
        <x:v>boundary_note</x:v>
      </x:c>
      <x:c r="X228" s="72" t="str">
        <x:v>可描述处理顺序，但不评价轻松、成熟或有压力。</x:v>
      </x:c>
      <x:c r="Y228" s="72" t="str">
        <x:v>可以说明你怎样处理分歧，但不评价这种方式是否轻松或理想。</x:v>
      </x:c>
      <x:c r="Z22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28" s="72" t="str">
        <x:v>中</x:v>
      </x:c>
      <x:c r="AB228" s="72" t="str">
        <x:v>待验证</x:v>
      </x:c>
      <x:c r="AC228" s="72" t="str"/>
      <x:c r="AD228" s="72" t="str">
        <x:v>provisional=true; state_modifier=SC17</x:v>
      </x:c>
      <x:c r="AE228" s="73" t="str">
        <x:v>0.6</x:v>
      </x:c>
    </x:row>
    <x:row r="229">
      <x:c r="A229" s="71" t="str">
        <x:v>M3-CONFLICT-225</x:v>
      </x:c>
      <x:c r="B229" s="72" t="str">
        <x:v>SC18 忌而过旺｜禁止直接写冲突失控</x:v>
      </x:c>
      <x:c r="C229" s="72" t="str">
        <x:v>L6 状态修正</x:v>
      </x:c>
      <x:c r="D229" s="72" t="str">
        <x:v>CONFLICT-状态修正</x:v>
      </x:c>
      <x:c r="E229" s="72" t="str">
        <x:v>通用</x:v>
      </x:c>
      <x:c r="F229" s="72" t="str">
        <x:v>状态修正</x:v>
      </x:c>
      <x:c r="G229" s="72" t="str">
        <x:v>忌而过旺</x:v>
      </x:c>
      <x:c r="H229" s="72" t="str"/>
      <x:c r="I229" s="72" t="str">
        <x:v>忌而过旺由共享基础引擎可靠判定；主冲突通道基础性质有效。</x:v>
      </x:c>
      <x:c r="J229" s="72" t="str">
        <x:v>基础信号未定；真合化后原信号已失效；只有单一弱远争议信号；或该结论会越界到M4风险、M5适配。</x:v>
      </x:c>
      <x:c r="K229" s="72" t="str">
        <x:v>由共享基础引擎与M3-STATE修正；日主承载只修正冲突处理的可执行性，不直接等于强硬或软弱。</x:v>
      </x:c>
      <x:c r="L229" s="72" t="str">
        <x:v>不限定；夫妻星只在责任、行动、投入等冲突议题中参与接口，不作为CONFLICT唯一主轴。</x:v>
      </x:c>
      <x:c r="M229" s="72" t="str">
        <x:v>由M3-BASE、日支主气及宫位动态提供；不得把日支直接写成配偶性格。</x:v>
      </x:c>
      <x:c r="N229" s="72" t="str">
        <x:v>无／待CONFLICT顺序与路径规则组合</x:v>
      </x:c>
      <x:c r="O229" s="72" t="str">
        <x:v>日柱与日支近位优先；全局有效独立信号可作次通道。</x:v>
      </x:c>
      <x:c r="P229" s="72" t="str">
        <x:v>由共享基础引擎判定</x:v>
      </x:c>
      <x:c r="Q229" s="72" t="str">
        <x:v>由共享基础引擎判定</x:v>
      </x:c>
      <x:c r="R229" s="72" t="str">
        <x:v>喜忌不直接等于冲突方式好坏；只修正调用顺畅度、资源压力和状态切换。</x:v>
      </x:c>
      <x:c r="S229" s="72" t="str">
        <x:v>原十神性质有效；真合化成立时按化神所属功能系统重建。</x:v>
      </x:c>
      <x:c r="T229" s="72" t="str">
        <x:v>由共享基础引擎判定</x:v>
      </x:c>
      <x:c r="U229" s="72" t="str">
        <x:v>90</x:v>
      </x:c>
      <x:c r="V229" s="72" t="str">
        <x:v>路由M4；CONFLICT不判风险</x:v>
      </x:c>
      <x:c r="W229" s="72" t="str">
        <x:v>risk_route</x:v>
      </x:c>
      <x:c r="X229" s="72" t="str">
        <x:v>只能说明该通道容易抢先，不能直接写成攻击、控制、冷战或关系失控。</x:v>
      </x:c>
      <x:c r="Y229" s="72" t="str">
        <x:v>只能说这种反应容易先出现，不能直接把它写成冲突失控。</x:v>
      </x:c>
      <x:c r="Z22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29" s="72" t="str">
        <x:v>高</x:v>
      </x:c>
      <x:c r="AB229" s="72" t="str">
        <x:v>待验证</x:v>
      </x:c>
      <x:c r="AC229" s="72" t="str"/>
      <x:c r="AD229" s="72" t="str">
        <x:v>provisional=true; state_modifier=SC18</x:v>
      </x:c>
      <x:c r="AE229" s="73" t="str">
        <x:v>0.6</x:v>
      </x:c>
    </x:row>
    <x:row r="230">
      <x:c r="A230" s="71" t="str">
        <x:v>M3-CONFLICT-226</x:v>
      </x:c>
      <x:c r="B230" s="72" t="str">
        <x:v>SC19 有制有化｜经过另一系统调节</x:v>
      </x:c>
      <x:c r="C230" s="72" t="str">
        <x:v>L6 状态修正</x:v>
      </x:c>
      <x:c r="D230" s="72" t="str">
        <x:v>CONFLICT-状态修正</x:v>
      </x:c>
      <x:c r="E230" s="72" t="str">
        <x:v>通用</x:v>
      </x:c>
      <x:c r="F230" s="72" t="str">
        <x:v>状态修正</x:v>
      </x:c>
      <x:c r="G230" s="72" t="str">
        <x:v>有制有化</x:v>
      </x:c>
      <x:c r="H230" s="72" t="str"/>
      <x:c r="I230" s="72" t="str">
        <x:v>有制有化由共享基础引擎可靠判定；主冲突通道基础性质有效。</x:v>
      </x:c>
      <x:c r="J230" s="72" t="str">
        <x:v>基础信号未定；真合化后原信号已失效；只有单一弱远争议信号；或该结论会越界到M4风险、M5适配。</x:v>
      </x:c>
      <x:c r="K230" s="72" t="str">
        <x:v>由共享基础引擎与M3-STATE修正；日主承载只修正冲突处理的可执行性，不直接等于强硬或软弱。</x:v>
      </x:c>
      <x:c r="L230" s="72" t="str">
        <x:v>不限定；夫妻星只在责任、行动、投入等冲突议题中参与接口，不作为CONFLICT唯一主轴。</x:v>
      </x:c>
      <x:c r="M230" s="72" t="str">
        <x:v>由M3-BASE、日支主气及宫位动态提供；不得把日支直接写成配偶性格。</x:v>
      </x:c>
      <x:c r="N230" s="72" t="str">
        <x:v>无／待CONFLICT顺序与路径规则组合</x:v>
      </x:c>
      <x:c r="O230" s="72" t="str">
        <x:v>日柱与日支近位优先；全局有效独立信号可作次通道。</x:v>
      </x:c>
      <x:c r="P230" s="72" t="str">
        <x:v>由共享基础引擎判定</x:v>
      </x:c>
      <x:c r="Q230" s="72" t="str">
        <x:v>由共享基础引擎判定</x:v>
      </x:c>
      <x:c r="R230" s="72" t="str">
        <x:v>喜忌不直接等于冲突方式好坏；只修正调用顺畅度、资源压力和状态切换。</x:v>
      </x:c>
      <x:c r="S230" s="72" t="str">
        <x:v>原十神性质有效；真合化成立时按化神所属功能系统重建。</x:v>
      </x:c>
      <x:c r="T230" s="72" t="str">
        <x:v>由共享基础引擎判定</x:v>
      </x:c>
      <x:c r="U230" s="72" t="str">
        <x:v>63</x:v>
      </x:c>
      <x:c r="V230" s="72" t="str">
        <x:v>建立桥接路径 +5</x:v>
      </x:c>
      <x:c r="W230" s="72" t="str">
        <x:v>conflict_path</x:v>
      </x:c>
      <x:c r="X230" s="72" t="str">
        <x:v>原通道会通过沟通、现实、规则、承接或边界系统进行调节。</x:v>
      </x:c>
      <x:c r="Y230" s="72" t="str">
        <x:v>你的第一反应可能会经过另一种方式调节，再形成真正的处理结果。</x:v>
      </x:c>
      <x:c r="Z23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30" s="72" t="str">
        <x:v>中高</x:v>
      </x:c>
      <x:c r="AB230" s="72" t="str">
        <x:v>待验证</x:v>
      </x:c>
      <x:c r="AC230" s="72" t="str"/>
      <x:c r="AD230" s="72" t="str">
        <x:v>provisional=true; state_modifier=SC19</x:v>
      </x:c>
      <x:c r="AE230" s="73" t="str">
        <x:v>0.6</x:v>
      </x:c>
    </x:row>
    <x:row r="231">
      <x:c r="A231" s="71" t="str">
        <x:v>M3-CONFLICT-227</x:v>
      </x:c>
      <x:c r="B231" s="72" t="str">
        <x:v>SC20 强而无制｜压力下更易抢先</x:v>
      </x:c>
      <x:c r="C231" s="72" t="str">
        <x:v>L6 状态修正</x:v>
      </x:c>
      <x:c r="D231" s="72" t="str">
        <x:v>CONFLICT-状态修正</x:v>
      </x:c>
      <x:c r="E231" s="72" t="str">
        <x:v>通用</x:v>
      </x:c>
      <x:c r="F231" s="72" t="str">
        <x:v>状态修正</x:v>
      </x:c>
      <x:c r="G231" s="72" t="str">
        <x:v>强而无制</x:v>
      </x:c>
      <x:c r="H231" s="72" t="str"/>
      <x:c r="I231" s="72" t="str">
        <x:v>强而无制由共享基础引擎可靠判定；主冲突通道基础性质有效。</x:v>
      </x:c>
      <x:c r="J231" s="72" t="str">
        <x:v>基础信号未定；真合化后原信号已失效；只有单一弱远争议信号；或该结论会越界到M4风险、M5适配。</x:v>
      </x:c>
      <x:c r="K231" s="72" t="str">
        <x:v>由共享基础引擎与M3-STATE修正；日主承载只修正冲突处理的可执行性，不直接等于强硬或软弱。</x:v>
      </x:c>
      <x:c r="L231" s="72" t="str">
        <x:v>不限定；夫妻星只在责任、行动、投入等冲突议题中参与接口，不作为CONFLICT唯一主轴。</x:v>
      </x:c>
      <x:c r="M231" s="72" t="str">
        <x:v>由M3-BASE、日支主气及宫位动态提供；不得把日支直接写成配偶性格。</x:v>
      </x:c>
      <x:c r="N231" s="72" t="str">
        <x:v>无／待CONFLICT顺序与路径规则组合</x:v>
      </x:c>
      <x:c r="O231" s="72" t="str">
        <x:v>日柱与日支近位优先；全局有效独立信号可作次通道。</x:v>
      </x:c>
      <x:c r="P231" s="72" t="str">
        <x:v>由共享基础引擎判定</x:v>
      </x:c>
      <x:c r="Q231" s="72" t="str">
        <x:v>由共享基础引擎判定</x:v>
      </x:c>
      <x:c r="R231" s="72" t="str">
        <x:v>喜忌不直接等于冲突方式好坏；只修正调用顺畅度、资源压力和状态切换。</x:v>
      </x:c>
      <x:c r="S231" s="72" t="str">
        <x:v>原十神性质有效；真合化成立时按化神所属功能系统重建。</x:v>
      </x:c>
      <x:c r="T231" s="72" t="str">
        <x:v>由共享基础引擎判定</x:v>
      </x:c>
      <x:c r="U231" s="72" t="str">
        <x:v>63</x:v>
      </x:c>
      <x:c r="V231" s="72" t="str">
        <x:v>压力通道 +5</x:v>
      </x:c>
      <x:c r="W231" s="72" t="str">
        <x:v>state_shift</x:v>
      </x:c>
      <x:c r="X231" s="72" t="str">
        <x:v>压力状态下该通道更可能成为第一反应，但不代表平时只有这一种。</x:v>
      </x:c>
      <x:c r="Y231" s="72" t="str">
        <x:v>压力增加时，这种处理方式更可能先出现，但不能由此定义你的全部相处方式。</x:v>
      </x:c>
      <x:c r="Z23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31" s="72" t="str">
        <x:v>中</x:v>
      </x:c>
      <x:c r="AB231" s="72" t="str">
        <x:v>待验证</x:v>
      </x:c>
      <x:c r="AC231" s="72" t="str"/>
      <x:c r="AD231" s="72" t="str">
        <x:v>provisional=true; state_modifier=SC20</x:v>
      </x:c>
      <x:c r="AE231" s="73" t="str">
        <x:v>0.6</x:v>
      </x:c>
    </x:row>
    <x:row r="232">
      <x:c r="A232" s="71" t="str">
        <x:v>M3-CONFLICT-228</x:v>
      </x:c>
      <x:c r="B232" s="72" t="str">
        <x:v>SC21 真合化｜原通道清零并重建</x:v>
      </x:c>
      <x:c r="C232" s="72" t="str">
        <x:v>L6 状态修正</x:v>
      </x:c>
      <x:c r="D232" s="72" t="str">
        <x:v>CONFLICT-状态修正</x:v>
      </x:c>
      <x:c r="E232" s="72" t="str">
        <x:v>通用</x:v>
      </x:c>
      <x:c r="F232" s="72" t="str">
        <x:v>状态修正</x:v>
      </x:c>
      <x:c r="G232" s="72" t="str">
        <x:v>真合化</x:v>
      </x:c>
      <x:c r="H232" s="72" t="str"/>
      <x:c r="I232" s="72" t="str">
        <x:v>真合化由共享基础引擎可靠判定；主冲突通道基础性质有效。</x:v>
      </x:c>
      <x:c r="J232" s="72" t="str">
        <x:v>基础信号未定；真合化后原信号已失效；只有单一弱远争议信号；或该结论会越界到M4风险、M5适配。</x:v>
      </x:c>
      <x:c r="K232" s="72" t="str">
        <x:v>由共享基础引擎与M3-STATE修正；日主承载只修正冲突处理的可执行性，不直接等于强硬或软弱。</x:v>
      </x:c>
      <x:c r="L232" s="72" t="str">
        <x:v>不限定；夫妻星只在责任、行动、投入等冲突议题中参与接口，不作为CONFLICT唯一主轴。</x:v>
      </x:c>
      <x:c r="M232" s="72" t="str">
        <x:v>由M3-BASE、日支主气及宫位动态提供；不得把日支直接写成配偶性格。</x:v>
      </x:c>
      <x:c r="N232" s="72" t="str">
        <x:v>无／待CONFLICT顺序与路径规则组合</x:v>
      </x:c>
      <x:c r="O232" s="72" t="str">
        <x:v>日柱与日支近位优先；全局有效独立信号可作次通道。</x:v>
      </x:c>
      <x:c r="P232" s="72" t="str">
        <x:v>由共享基础引擎判定</x:v>
      </x:c>
      <x:c r="Q232" s="72" t="str">
        <x:v>由共享基础引擎判定</x:v>
      </x:c>
      <x:c r="R232" s="72" t="str">
        <x:v>喜忌不直接等于冲突方式好坏；只修正调用顺畅度、资源压力和状态切换。</x:v>
      </x:c>
      <x:c r="S232" s="72" t="str">
        <x:v>原十神性质有效；真合化成立时按化神所属功能系统重建。</x:v>
      </x:c>
      <x:c r="T232" s="72" t="str">
        <x:v>由共享基础引擎判定</x:v>
      </x:c>
      <x:c r="U232" s="72" t="str">
        <x:v>90</x:v>
      </x:c>
      <x:c r="V232" s="72" t="str">
        <x:v>原分清零；替换路由</x:v>
      </x:c>
      <x:c r="W232" s="72" t="str">
        <x:v>report_status</x:v>
      </x:c>
      <x:c r="X232" s="72" t="str">
        <x:v>真合化成立时原十神冲突通道不再保留，按化神功能系统重建。</x:v>
      </x:c>
      <x:c r="Y232" s="72" t="str">
        <x:v>原来的冲突解释不再保留，改按合化后的功能系统重新判断。</x:v>
      </x:c>
      <x:c r="Z23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32" s="72" t="str">
        <x:v>高</x:v>
      </x:c>
      <x:c r="AB232" s="72" t="str">
        <x:v>待验证</x:v>
      </x:c>
      <x:c r="AC232" s="72" t="str"/>
      <x:c r="AD232" s="72" t="str">
        <x:v>provisional=true; state_modifier=SC21</x:v>
      </x:c>
      <x:c r="AE232" s="73" t="str">
        <x:v>0.6</x:v>
      </x:c>
    </x:row>
    <x:row r="233">
      <x:c r="A233" s="71" t="str">
        <x:v>M3-CONFLICT-229</x:v>
      </x:c>
      <x:c r="B233" s="72" t="str">
        <x:v>SC22 日柱／日支近位｜亲密分歧直接调用</x:v>
      </x:c>
      <x:c r="C233" s="72" t="str">
        <x:v>L6 状态修正</x:v>
      </x:c>
      <x:c r="D233" s="72" t="str">
        <x:v>CONFLICT-状态修正</x:v>
      </x:c>
      <x:c r="E233" s="72" t="str">
        <x:v>通用</x:v>
      </x:c>
      <x:c r="F233" s="72" t="str">
        <x:v>状态修正</x:v>
      </x:c>
      <x:c r="G233" s="72" t="str">
        <x:v>日柱／日支近位</x:v>
      </x:c>
      <x:c r="H233" s="72" t="str"/>
      <x:c r="I233" s="72" t="str">
        <x:v>日柱／日支近位由共享基础引擎可靠判定；主冲突通道基础性质有效。</x:v>
      </x:c>
      <x:c r="J233" s="72" t="str">
        <x:v>基础信号未定；真合化后原信号已失效；只有单一弱远争议信号；或该结论会越界到M4风险、M5适配。</x:v>
      </x:c>
      <x:c r="K233" s="72" t="str">
        <x:v>由共享基础引擎与M3-STATE修正；日主承载只修正冲突处理的可执行性，不直接等于强硬或软弱。</x:v>
      </x:c>
      <x:c r="L233" s="72" t="str">
        <x:v>不限定；夫妻星只在责任、行动、投入等冲突议题中参与接口，不作为CONFLICT唯一主轴。</x:v>
      </x:c>
      <x:c r="M233" s="72" t="str">
        <x:v>由M3-BASE、日支主气及宫位动态提供；不得把日支直接写成配偶性格。</x:v>
      </x:c>
      <x:c r="N233" s="72" t="str">
        <x:v>无／待CONFLICT顺序与路径规则组合</x:v>
      </x:c>
      <x:c r="O233" s="72" t="str">
        <x:v>日柱与日支近位优先；全局有效独立信号可作次通道。</x:v>
      </x:c>
      <x:c r="P233" s="72" t="str">
        <x:v>由共享基础引擎判定</x:v>
      </x:c>
      <x:c r="Q233" s="72" t="str">
        <x:v>由共享基础引擎判定</x:v>
      </x:c>
      <x:c r="R233" s="72" t="str">
        <x:v>喜忌不直接等于冲突方式好坏；只修正调用顺畅度、资源压力和状态切换。</x:v>
      </x:c>
      <x:c r="S233" s="72" t="str">
        <x:v>原十神性质有效；真合化成立时按化神所属功能系统重建。</x:v>
      </x:c>
      <x:c r="T233" s="72" t="str">
        <x:v>由共享基础引擎判定</x:v>
      </x:c>
      <x:c r="U233" s="72" t="str">
        <x:v>63</x:v>
      </x:c>
      <x:c r="V233" s="72" t="str">
        <x:v>主通道 +7</x:v>
      </x:c>
      <x:c r="W233" s="72" t="str">
        <x:v>primary_conflict_channel</x:v>
      </x:c>
      <x:c r="X233" s="72" t="str">
        <x:v>近位信号更容易直接进入亲密关系中的意见不一致。</x:v>
      </x:c>
      <x:c r="Y233" s="72" t="str">
        <x:v>这项处理方式更容易直接出现在亲密关系的分歧中。</x:v>
      </x:c>
      <x:c r="Z23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33" s="72" t="str">
        <x:v>中高</x:v>
      </x:c>
      <x:c r="AB233" s="72" t="str">
        <x:v>待验证</x:v>
      </x:c>
      <x:c r="AC233" s="72" t="str"/>
      <x:c r="AD233" s="72" t="str">
        <x:v>provisional=true; state_modifier=SC22</x:v>
      </x:c>
      <x:c r="AE233" s="73" t="str">
        <x:v>0.6</x:v>
      </x:c>
    </x:row>
    <x:row r="234">
      <x:c r="A234" s="71" t="str">
        <x:v>M3-CONFLICT-230</x:v>
      </x:c>
      <x:c r="B234" s="72" t="str">
        <x:v>SC23 月柱中近位｜长期背景</x:v>
      </x:c>
      <x:c r="C234" s="72" t="str">
        <x:v>L6 状态修正</x:v>
      </x:c>
      <x:c r="D234" s="72" t="str">
        <x:v>CONFLICT-状态修正</x:v>
      </x:c>
      <x:c r="E234" s="72" t="str">
        <x:v>通用</x:v>
      </x:c>
      <x:c r="F234" s="72" t="str">
        <x:v>状态修正</x:v>
      </x:c>
      <x:c r="G234" s="72" t="str">
        <x:v>月柱中近位</x:v>
      </x:c>
      <x:c r="H234" s="72" t="str"/>
      <x:c r="I234" s="72" t="str">
        <x:v>月柱中近位由共享基础引擎可靠判定；主冲突通道基础性质有效。</x:v>
      </x:c>
      <x:c r="J234" s="72" t="str">
        <x:v>基础信号未定；真合化后原信号已失效；只有单一弱远争议信号；或该结论会越界到M4风险、M5适配。</x:v>
      </x:c>
      <x:c r="K234" s="72" t="str">
        <x:v>由共享基础引擎与M3-STATE修正；日主承载只修正冲突处理的可执行性，不直接等于强硬或软弱。</x:v>
      </x:c>
      <x:c r="L234" s="72" t="str">
        <x:v>不限定；夫妻星只在责任、行动、投入等冲突议题中参与接口，不作为CONFLICT唯一主轴。</x:v>
      </x:c>
      <x:c r="M234" s="72" t="str">
        <x:v>由M3-BASE、日支主气及宫位动态提供；不得把日支直接写成配偶性格。</x:v>
      </x:c>
      <x:c r="N234" s="72" t="str">
        <x:v>无／待CONFLICT顺序与路径规则组合</x:v>
      </x:c>
      <x:c r="O234" s="72" t="str">
        <x:v>日柱与日支近位优先；全局有效独立信号可作次通道。</x:v>
      </x:c>
      <x:c r="P234" s="72" t="str">
        <x:v>由共享基础引擎判定</x:v>
      </x:c>
      <x:c r="Q234" s="72" t="str">
        <x:v>由共享基础引擎判定</x:v>
      </x:c>
      <x:c r="R234" s="72" t="str">
        <x:v>喜忌不直接等于冲突方式好坏；只修正调用顺畅度、资源压力和状态切换。</x:v>
      </x:c>
      <x:c r="S234" s="72" t="str">
        <x:v>原十神性质有效；真合化成立时按化神所属功能系统重建。</x:v>
      </x:c>
      <x:c r="T234" s="72" t="str">
        <x:v>由共享基础引擎判定</x:v>
      </x:c>
      <x:c r="U234" s="72" t="str">
        <x:v>63</x:v>
      </x:c>
      <x:c r="V234" s="72" t="str">
        <x:v>主／次候选 +4</x:v>
      </x:c>
      <x:c r="W234" s="72" t="str">
        <x:v>secondary_conflict_channel</x:v>
      </x:c>
      <x:c r="X234" s="72" t="str">
        <x:v>可能成为长期生活中的稳定背景，但仍需日支或行为验证。</x:v>
      </x:c>
      <x:c r="Y234" s="72" t="str">
        <x:v>这项方式更可能成为长期相处中的背景处理习惯。</x:v>
      </x:c>
      <x:c r="Z23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34" s="72" t="str">
        <x:v>中</x:v>
      </x:c>
      <x:c r="AB234" s="72" t="str">
        <x:v>待验证</x:v>
      </x:c>
      <x:c r="AC234" s="72" t="str"/>
      <x:c r="AD234" s="72" t="str">
        <x:v>provisional=true; state_modifier=SC23</x:v>
      </x:c>
      <x:c r="AE234" s="73" t="str">
        <x:v>0.6</x:v>
      </x:c>
    </x:row>
    <x:row r="235">
      <x:c r="A235" s="71" t="str">
        <x:v>M3-CONFLICT-231</x:v>
      </x:c>
      <x:c r="B235" s="72" t="str">
        <x:v>SC24 年时远位｜情境或阶段化</x:v>
      </x:c>
      <x:c r="C235" s="72" t="str">
        <x:v>L6 状态修正</x:v>
      </x:c>
      <x:c r="D235" s="72" t="str">
        <x:v>CONFLICT-状态修正</x:v>
      </x:c>
      <x:c r="E235" s="72" t="str">
        <x:v>通用</x:v>
      </x:c>
      <x:c r="F235" s="72" t="str">
        <x:v>状态修正</x:v>
      </x:c>
      <x:c r="G235" s="72" t="str">
        <x:v>年时远位</x:v>
      </x:c>
      <x:c r="H235" s="72" t="str"/>
      <x:c r="I235" s="72" t="str">
        <x:v>年时远位由共享基础引擎可靠判定；主冲突通道基础性质有效。</x:v>
      </x:c>
      <x:c r="J235" s="72" t="str">
        <x:v>基础信号未定；真合化后原信号已失效；只有单一弱远争议信号；或该结论会越界到M4风险、M5适配。</x:v>
      </x:c>
      <x:c r="K235" s="72" t="str">
        <x:v>由共享基础引擎与M3-STATE修正；日主承载只修正冲突处理的可执行性，不直接等于强硬或软弱。</x:v>
      </x:c>
      <x:c r="L235" s="72" t="str">
        <x:v>不限定；夫妻星只在责任、行动、投入等冲突议题中参与接口，不作为CONFLICT唯一主轴。</x:v>
      </x:c>
      <x:c r="M235" s="72" t="str">
        <x:v>由M3-BASE、日支主气及宫位动态提供；不得把日支直接写成配偶性格。</x:v>
      </x:c>
      <x:c r="N235" s="72" t="str">
        <x:v>无／待CONFLICT顺序与路径规则组合</x:v>
      </x:c>
      <x:c r="O235" s="72" t="str">
        <x:v>日柱与日支近位优先；全局有效独立信号可作次通道。</x:v>
      </x:c>
      <x:c r="P235" s="72" t="str">
        <x:v>由共享基础引擎判定</x:v>
      </x:c>
      <x:c r="Q235" s="72" t="str">
        <x:v>由共享基础引擎判定</x:v>
      </x:c>
      <x:c r="R235" s="72" t="str">
        <x:v>喜忌不直接等于冲突方式好坏；只修正调用顺畅度、资源压力和状态切换。</x:v>
      </x:c>
      <x:c r="S235" s="72" t="str">
        <x:v>原十神性质有效；真合化成立时按化神所属功能系统重建。</x:v>
      </x:c>
      <x:c r="T235" s="72" t="str">
        <x:v>由共享基础引擎判定</x:v>
      </x:c>
      <x:c r="U235" s="72" t="str">
        <x:v>63</x:v>
      </x:c>
      <x:c r="V235" s="72" t="str">
        <x:v>次候选 +2；降置信</x:v>
      </x:c>
      <x:c r="W235" s="72" t="str">
        <x:v>secondary_conflict_channel</x:v>
      </x:c>
      <x:c r="X235" s="72" t="str">
        <x:v>更依赖特定环境、角色或阶段，不宜直接写成亲密关系核心。</x:v>
      </x:c>
      <x:c r="Y235" s="72" t="str">
        <x:v>这项方式可能更依赖特定情境或人生阶段，不宜直接写成核心反应。</x:v>
      </x:c>
      <x:c r="Z23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35" s="72" t="str">
        <x:v>中低</x:v>
      </x:c>
      <x:c r="AB235" s="72" t="str">
        <x:v>待验证</x:v>
      </x:c>
      <x:c r="AC235" s="72" t="str"/>
      <x:c r="AD235" s="72" t="str">
        <x:v>provisional=true; state_modifier=SC24</x:v>
      </x:c>
      <x:c r="AE235" s="73" t="str">
        <x:v>0.6</x:v>
      </x:c>
    </x:row>
    <x:row r="236">
      <x:c r="A236" s="71" t="str">
        <x:v>M3-CONFLICT-232</x:v>
      </x:c>
      <x:c r="B236" s="72" t="str">
        <x:v>IF01 BASE同源接口｜底盘与冲突共享一次权重</x:v>
      </x:c>
      <x:c r="C236" s="72" t="str">
        <x:v>L7 接口、去重与停止</x:v>
      </x:c>
      <x:c r="D236" s="72" t="str">
        <x:v>CONFLICT-接口门控</x:v>
      </x:c>
      <x:c r="E236" s="72" t="str">
        <x:v>通用</x:v>
      </x:c>
      <x:c r="F236" s="72" t="str">
        <x:v>接口／去重／停止</x:v>
      </x:c>
      <x:c r="G236" s="72" t="str">
        <x:v>BASE同一source_id</x:v>
      </x:c>
      <x:c r="H236" s="72" t="str"/>
      <x:c r="I236" s="72" t="str">
        <x:v>BASE同一source_id被调用，且相应上游模块或基础事实可追溯。</x:v>
      </x:c>
      <x:c r="J236" s="72" t="str">
        <x:v>基础信号未定；真合化后原信号已失效；只有单一弱远争议信号；或该结论会越界到M4风险、M5适配。</x:v>
      </x:c>
      <x:c r="K236" s="72" t="str">
        <x:v>由共享基础引擎与M3-STATE修正；日主承载只修正冲突处理的可执行性，不直接等于强硬或软弱。</x:v>
      </x:c>
      <x:c r="L236" s="72" t="str">
        <x:v>不限定；夫妻星只在责任、行动、投入等冲突议题中参与接口，不作为CONFLICT唯一主轴。</x:v>
      </x:c>
      <x:c r="M236" s="72" t="str">
        <x:v>由M3-BASE、日支主气及宫位动态提供；不得把日支直接写成配偶性格。</x:v>
      </x:c>
      <x:c r="N236" s="72" t="str">
        <x:v>无／待CONFLICT顺序与路径规则组合</x:v>
      </x:c>
      <x:c r="O236" s="72" t="str">
        <x:v>日柱与日支近位优先；全局有效独立信号可作次通道。</x:v>
      </x:c>
      <x:c r="P236" s="72" t="str">
        <x:v>由共享基础引擎判定</x:v>
      </x:c>
      <x:c r="Q236" s="72" t="str">
        <x:v>由共享基础引擎判定</x:v>
      </x:c>
      <x:c r="R236" s="72" t="str">
        <x:v>喜忌不直接等于冲突方式好坏；只修正调用顺畅度、资源压力和状态切换。</x:v>
      </x:c>
      <x:c r="S236" s="72" t="str">
        <x:v>原十神性质有效；真合化成立时按化神所属功能系统重建。</x:v>
      </x:c>
      <x:c r="T236" s="72" t="str">
        <x:v>由共享基础引擎判定</x:v>
      </x:c>
      <x:c r="U236" s="72" t="str">
        <x:v>89</x:v>
      </x:c>
      <x:c r="V236" s="72" t="str">
        <x:v>不加分；接口／去重／路由</x:v>
      </x:c>
      <x:c r="W236" s="72" t="str">
        <x:v>provenance</x:v>
      </x:c>
      <x:c r="X236" s="72" t="str">
        <x:v>关系底盘可以细化为冲突通道，但基础证据只计一次。</x:v>
      </x:c>
      <x:c r="Y236" s="72" t="str">
        <x:v>你的日常关系底盘会影响分歧处理，但不会因为被两个模块读取就重复加重结论。</x:v>
      </x:c>
      <x:c r="Z23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36" s="72" t="str">
        <x:v>高</x:v>
      </x:c>
      <x:c r="AB236" s="72" t="str">
        <x:v>待验证</x:v>
      </x:c>
      <x:c r="AC236" s="72" t="str"/>
      <x:c r="AD236" s="72" t="str">
        <x:v>provisional=true; interface=IF01</x:v>
      </x:c>
      <x:c r="AE236" s="73" t="str">
        <x:v>0.6</x:v>
      </x:c>
    </x:row>
    <x:row r="237">
      <x:c r="A237" s="71" t="str">
        <x:v>M3-CONFLICT-233</x:v>
      </x:c>
      <x:c r="B237" s="72" t="str">
        <x:v>IF02 BASE异源接口｜次通道可独立升级</x:v>
      </x:c>
      <x:c r="C237" s="72" t="str">
        <x:v>L7 接口、去重与停止</x:v>
      </x:c>
      <x:c r="D237" s="72" t="str">
        <x:v>CONFLICT-接口门控</x:v>
      </x:c>
      <x:c r="E237" s="72" t="str">
        <x:v>通用</x:v>
      </x:c>
      <x:c r="F237" s="72" t="str">
        <x:v>接口／去重／停止</x:v>
      </x:c>
      <x:c r="G237" s="72" t="str">
        <x:v>BASE独立source_id</x:v>
      </x:c>
      <x:c r="H237" s="72" t="str"/>
      <x:c r="I237" s="72" t="str">
        <x:v>BASE独立source_id被调用，且相应上游模块或基础事实可追溯。</x:v>
      </x:c>
      <x:c r="J237" s="72" t="str">
        <x:v>基础信号未定；真合化后原信号已失效；只有单一弱远争议信号；或该结论会越界到M4风险、M5适配。</x:v>
      </x:c>
      <x:c r="K237" s="72" t="str">
        <x:v>由共享基础引擎与M3-STATE修正；日主承载只修正冲突处理的可执行性，不直接等于强硬或软弱。</x:v>
      </x:c>
      <x:c r="L237" s="72" t="str">
        <x:v>不限定；夫妻星只在责任、行动、投入等冲突议题中参与接口，不作为CONFLICT唯一主轴。</x:v>
      </x:c>
      <x:c r="M237" s="72" t="str">
        <x:v>由M3-BASE、日支主气及宫位动态提供；不得把日支直接写成配偶性格。</x:v>
      </x:c>
      <x:c r="N237" s="72" t="str">
        <x:v>无／待CONFLICT顺序与路径规则组合</x:v>
      </x:c>
      <x:c r="O237" s="72" t="str">
        <x:v>日柱与日支近位优先；全局有效独立信号可作次通道。</x:v>
      </x:c>
      <x:c r="P237" s="72" t="str">
        <x:v>由共享基础引擎判定</x:v>
      </x:c>
      <x:c r="Q237" s="72" t="str">
        <x:v>由共享基础引擎判定</x:v>
      </x:c>
      <x:c r="R237" s="72" t="str">
        <x:v>喜忌不直接等于冲突方式好坏；只修正调用顺畅度、资源压力和状态切换。</x:v>
      </x:c>
      <x:c r="S237" s="72" t="str">
        <x:v>原十神性质有效；真合化成立时按化神所属功能系统重建。</x:v>
      </x:c>
      <x:c r="T237" s="72" t="str">
        <x:v>由共享基础引擎判定</x:v>
      </x:c>
      <x:c r="U237" s="72" t="str">
        <x:v>75</x:v>
      </x:c>
      <x:c r="V237" s="72" t="str">
        <x:v>不加分；接口／去重／路由</x:v>
      </x:c>
      <x:c r="W237" s="72" t="str">
        <x:v>secondary_conflict_channel</x:v>
      </x:c>
      <x:c r="X237" s="72" t="str">
        <x:v>若BASE底盘与CONFLICT通道来自不同可靠来源，可保留功能不同的次通道。</x:v>
      </x:c>
      <x:c r="Y237" s="72" t="str">
        <x:v>你的日常相处底盘和分歧处理不完全相同时，可以保留一个有独立依据的补充方式。</x:v>
      </x:c>
      <x:c r="Z23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37" s="72" t="str">
        <x:v>中高</x:v>
      </x:c>
      <x:c r="AB237" s="72" t="str">
        <x:v>待验证</x:v>
      </x:c>
      <x:c r="AC237" s="72" t="str"/>
      <x:c r="AD237" s="72" t="str">
        <x:v>provisional=true; interface=IF02</x:v>
      </x:c>
      <x:c r="AE237" s="73" t="str">
        <x:v>0.6</x:v>
      </x:c>
    </x:row>
    <x:row r="238">
      <x:c r="A238" s="71" t="str">
        <x:v>M3-CONFLICT-234</x:v>
      </x:c>
      <x:c r="B238" s="72" t="str">
        <x:v>IF03 EXPR日常沟通→CONFLICT启动修正</x:v>
      </x:c>
      <x:c r="C238" s="72" t="str">
        <x:v>L7 接口、去重与停止</x:v>
      </x:c>
      <x:c r="D238" s="72" t="str">
        <x:v>CONFLICT-接口门控</x:v>
      </x:c>
      <x:c r="E238" s="72" t="str">
        <x:v>通用</x:v>
      </x:c>
      <x:c r="F238" s="72" t="str">
        <x:v>接口／去重／停止</x:v>
      </x:c>
      <x:c r="G238" s="72" t="str">
        <x:v>EXPR表达通道</x:v>
      </x:c>
      <x:c r="H238" s="72" t="str"/>
      <x:c r="I238" s="72" t="str">
        <x:v>EXPR表达通道被调用，且相应上游模块或基础事实可追溯。</x:v>
      </x:c>
      <x:c r="J238" s="72" t="str">
        <x:v>基础信号未定；真合化后原信号已失效；只有单一弱远争议信号；或该结论会越界到M4风险、M5适配。</x:v>
      </x:c>
      <x:c r="K238" s="72" t="str">
        <x:v>由共享基础引擎与M3-STATE修正；日主承载只修正冲突处理的可执行性，不直接等于强硬或软弱。</x:v>
      </x:c>
      <x:c r="L238" s="72" t="str">
        <x:v>不限定；夫妻星只在责任、行动、投入等冲突议题中参与接口，不作为CONFLICT唯一主轴。</x:v>
      </x:c>
      <x:c r="M238" s="72" t="str">
        <x:v>由M3-BASE、日支主气及宫位动态提供；不得把日支直接写成配偶性格。</x:v>
      </x:c>
      <x:c r="N238" s="72" t="str">
        <x:v>无／待CONFLICT顺序与路径规则组合</x:v>
      </x:c>
      <x:c r="O238" s="72" t="str">
        <x:v>日柱与日支近位优先；全局有效独立信号可作次通道。</x:v>
      </x:c>
      <x:c r="P238" s="72" t="str">
        <x:v>由共享基础引擎判定</x:v>
      </x:c>
      <x:c r="Q238" s="72" t="str">
        <x:v>由共享基础引擎判定</x:v>
      </x:c>
      <x:c r="R238" s="72" t="str">
        <x:v>喜忌不直接等于冲突方式好坏；只修正调用顺畅度、资源压力和状态切换。</x:v>
      </x:c>
      <x:c r="S238" s="72" t="str">
        <x:v>原十神性质有效；真合化成立时按化神所属功能系统重建。</x:v>
      </x:c>
      <x:c r="T238" s="72" t="str">
        <x:v>由共享基础引擎判定</x:v>
      </x:c>
      <x:c r="U238" s="72" t="str">
        <x:v>89</x:v>
      </x:c>
      <x:c r="V238" s="72" t="str">
        <x:v>不加分；接口／去重／路由</x:v>
      </x:c>
      <x:c r="W238" s="72" t="str">
        <x:v>first_response</x:v>
      </x:c>
      <x:c r="X238" s="72" t="str">
        <x:v>EXPR可提供语言、行动或内化方式，但不能单独决定压力下第一反应。</x:v>
      </x:c>
      <x:c r="Y238" s="72" t="str">
        <x:v>你平时怎样表达会影响分歧中的沟通入口，但压力下是否保持同样顺序还要继续判断。</x:v>
      </x:c>
      <x:c r="Z23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38" s="72" t="str">
        <x:v>高</x:v>
      </x:c>
      <x:c r="AB238" s="72" t="str">
        <x:v>待验证</x:v>
      </x:c>
      <x:c r="AC238" s="72" t="str"/>
      <x:c r="AD238" s="72" t="str">
        <x:v>provisional=true; interface=IF03</x:v>
      </x:c>
      <x:c r="AE238" s="73" t="str">
        <x:v>0.6</x:v>
      </x:c>
    </x:row>
    <x:row r="239">
      <x:c r="A239" s="71" t="str">
        <x:v>M3-CONFLICT-235</x:v>
      </x:c>
      <x:c r="B239" s="72" t="str">
        <x:v>IF04 EXPR直接表达≠攻击</x:v>
      </x:c>
      <x:c r="C239" s="72" t="str">
        <x:v>L7 接口、去重与停止</x:v>
      </x:c>
      <x:c r="D239" s="72" t="str">
        <x:v>CONFLICT-接口门控</x:v>
      </x:c>
      <x:c r="E239" s="72" t="str">
        <x:v>通用</x:v>
      </x:c>
      <x:c r="F239" s="72" t="str">
        <x:v>接口／去重／停止</x:v>
      </x:c>
      <x:c r="G239" s="72" t="str">
        <x:v>伤官／比肩／官杀表达</x:v>
      </x:c>
      <x:c r="H239" s="72" t="str"/>
      <x:c r="I239" s="72" t="str">
        <x:v>伤官／比肩／官杀表达被调用，且相应上游模块或基础事实可追溯。</x:v>
      </x:c>
      <x:c r="J239" s="72" t="str">
        <x:v>基础信号未定；真合化后原信号已失效；只有单一弱远争议信号；或该结论会越界到M4风险、M5适配。</x:v>
      </x:c>
      <x:c r="K239" s="72" t="str">
        <x:v>由共享基础引擎与M3-STATE修正；日主承载只修正冲突处理的可执行性，不直接等于强硬或软弱。</x:v>
      </x:c>
      <x:c r="L239" s="72" t="str">
        <x:v>不限定；夫妻星只在责任、行动、投入等冲突议题中参与接口，不作为CONFLICT唯一主轴。</x:v>
      </x:c>
      <x:c r="M239" s="72" t="str">
        <x:v>由M3-BASE、日支主气及宫位动态提供；不得把日支直接写成配偶性格。</x:v>
      </x:c>
      <x:c r="N239" s="72" t="str">
        <x:v>无／待CONFLICT顺序与路径规则组合</x:v>
      </x:c>
      <x:c r="O239" s="72" t="str">
        <x:v>日柱与日支近位优先；全局有效独立信号可作次通道。</x:v>
      </x:c>
      <x:c r="P239" s="72" t="str">
        <x:v>由共享基础引擎判定</x:v>
      </x:c>
      <x:c r="Q239" s="72" t="str">
        <x:v>由共享基础引擎判定</x:v>
      </x:c>
      <x:c r="R239" s="72" t="str">
        <x:v>喜忌不直接等于冲突方式好坏；只修正调用顺畅度、资源压力和状态切换。</x:v>
      </x:c>
      <x:c r="S239" s="72" t="str">
        <x:v>原十神性质有效；真合化成立时按化神所属功能系统重建。</x:v>
      </x:c>
      <x:c r="T239" s="72" t="str">
        <x:v>由共享基础引擎判定</x:v>
      </x:c>
      <x:c r="U239" s="72" t="str">
        <x:v>89</x:v>
      </x:c>
      <x:c r="V239" s="72" t="str">
        <x:v>不加分；边界检查</x:v>
      </x:c>
      <x:c r="W239" s="72" t="str">
        <x:v>boundary_note</x:v>
      </x:c>
      <x:c r="X239" s="72" t="str">
        <x:v>直接、清楚或强度高的表达不自动等于攻击；语气、尊重和结果交给M4与案例。</x:v>
      </x:c>
      <x:c r="Y239" s="72" t="str">
        <x:v>你可能把问题说得直接，但这不自动意味着会攻击对方。</x:v>
      </x:c>
      <x:c r="Z23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39" s="72" t="str">
        <x:v>高</x:v>
      </x:c>
      <x:c r="AB239" s="72" t="str">
        <x:v>待验证</x:v>
      </x:c>
      <x:c r="AC239" s="72" t="str"/>
      <x:c r="AD239" s="72" t="str">
        <x:v>provisional=true; interface=IF04</x:v>
      </x:c>
      <x:c r="AE239" s="73" t="str">
        <x:v>0.6</x:v>
      </x:c>
    </x:row>
    <x:row r="240">
      <x:c r="A240" s="71" t="str">
        <x:v>M3-CONFLICT-236</x:v>
      </x:c>
      <x:c r="B240" s="72" t="str">
        <x:v>IF05 CARE支持方式≠冲突解决方式</x:v>
      </x:c>
      <x:c r="C240" s="72" t="str">
        <x:v>L7 接口、去重与停止</x:v>
      </x:c>
      <x:c r="D240" s="72" t="str">
        <x:v>CONFLICT-接口门控</x:v>
      </x:c>
      <x:c r="E240" s="72" t="str">
        <x:v>通用</x:v>
      </x:c>
      <x:c r="F240" s="72" t="str">
        <x:v>接口／去重／停止</x:v>
      </x:c>
      <x:c r="G240" s="72" t="str">
        <x:v>CARE通道</x:v>
      </x:c>
      <x:c r="H240" s="72" t="str"/>
      <x:c r="I240" s="72" t="str">
        <x:v>CARE通道被调用，且相应上游模块或基础事实可追溯。</x:v>
      </x:c>
      <x:c r="J240" s="72" t="str">
        <x:v>基础信号未定；真合化后原信号已失效；只有单一弱远争议信号；或该结论会越界到M4风险、M5适配。</x:v>
      </x:c>
      <x:c r="K240" s="72" t="str">
        <x:v>由共享基础引擎与M3-STATE修正；日主承载只修正冲突处理的可执行性，不直接等于强硬或软弱。</x:v>
      </x:c>
      <x:c r="L240" s="72" t="str">
        <x:v>不限定；夫妻星只在责任、行动、投入等冲突议题中参与接口，不作为CONFLICT唯一主轴。</x:v>
      </x:c>
      <x:c r="M240" s="72" t="str">
        <x:v>由M3-BASE、日支主气及宫位动态提供；不得把日支直接写成配偶性格。</x:v>
      </x:c>
      <x:c r="N240" s="72" t="str">
        <x:v>无／待CONFLICT顺序与路径规则组合</x:v>
      </x:c>
      <x:c r="O240" s="72" t="str">
        <x:v>日柱与日支近位优先；全局有效独立信号可作次通道。</x:v>
      </x:c>
      <x:c r="P240" s="72" t="str">
        <x:v>由共享基础引擎判定</x:v>
      </x:c>
      <x:c r="Q240" s="72" t="str">
        <x:v>由共享基础引擎判定</x:v>
      </x:c>
      <x:c r="R240" s="72" t="str">
        <x:v>喜忌不直接等于冲突方式好坏；只修正调用顺畅度、资源压力和状态切换。</x:v>
      </x:c>
      <x:c r="S240" s="72" t="str">
        <x:v>原十神性质有效；真合化成立时按化神所属功能系统重建。</x:v>
      </x:c>
      <x:c r="T240" s="72" t="str">
        <x:v>由共享基础引擎判定</x:v>
      </x:c>
      <x:c r="U240" s="72" t="str">
        <x:v>89</x:v>
      </x:c>
      <x:c r="V240" s="72" t="str">
        <x:v>不加分；接口／去重／路由</x:v>
      </x:c>
      <x:c r="W240" s="72" t="str">
        <x:v>boundary_note</x:v>
      </x:c>
      <x:c r="X240" s="72" t="str">
        <x:v>用户平时怎样照顾对方，不等于分歧时先采用同一通道。</x:v>
      </x:c>
      <x:c r="Y240" s="72" t="str">
        <x:v>你平时如何支持对方，和意见不一致时怎样处理，是两套不同功能。</x:v>
      </x:c>
      <x:c r="Z24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40" s="72" t="str">
        <x:v>高</x:v>
      </x:c>
      <x:c r="AB240" s="72" t="str">
        <x:v>待验证</x:v>
      </x:c>
      <x:c r="AC240" s="72" t="str"/>
      <x:c r="AD240" s="72" t="str">
        <x:v>provisional=true; interface=IF05</x:v>
      </x:c>
      <x:c r="AE240" s="73" t="str">
        <x:v>0.6</x:v>
      </x:c>
    </x:row>
    <x:row r="241">
      <x:c r="A241" s="71" t="str">
        <x:v>M3-CONFLICT-237</x:v>
      </x:c>
      <x:c r="B241" s="72" t="str">
        <x:v>IF06 BOUND边界内容→CONFLICT议题输入</x:v>
      </x:c>
      <x:c r="C241" s="72" t="str">
        <x:v>L7 接口、去重与停止</x:v>
      </x:c>
      <x:c r="D241" s="72" t="str">
        <x:v>CONFLICT-接口门控</x:v>
      </x:c>
      <x:c r="E241" s="72" t="str">
        <x:v>通用</x:v>
      </x:c>
      <x:c r="F241" s="72" t="str">
        <x:v>接口／去重／停止</x:v>
      </x:c>
      <x:c r="G241" s="72" t="str">
        <x:v>BOUND限制内容</x:v>
      </x:c>
      <x:c r="H241" s="72" t="str"/>
      <x:c r="I241" s="72" t="str">
        <x:v>BOUND限制内容被调用，且相应上游模块或基础事实可追溯。</x:v>
      </x:c>
      <x:c r="J241" s="72" t="str">
        <x:v>基础信号未定；真合化后原信号已失效；只有单一弱远争议信号；或该结论会越界到M4风险、M5适配。</x:v>
      </x:c>
      <x:c r="K241" s="72" t="str">
        <x:v>由共享基础引擎与M3-STATE修正；日主承载只修正冲突处理的可执行性，不直接等于强硬或软弱。</x:v>
      </x:c>
      <x:c r="L241" s="72" t="str">
        <x:v>不限定；夫妻星只在责任、行动、投入等冲突议题中参与接口，不作为CONFLICT唯一主轴。</x:v>
      </x:c>
      <x:c r="M241" s="72" t="str">
        <x:v>由M3-BASE、日支主气及宫位动态提供；不得把日支直接写成配偶性格。</x:v>
      </x:c>
      <x:c r="N241" s="72" t="str">
        <x:v>无／待CONFLICT顺序与路径规则组合</x:v>
      </x:c>
      <x:c r="O241" s="72" t="str">
        <x:v>日柱与日支近位优先；全局有效独立信号可作次通道。</x:v>
      </x:c>
      <x:c r="P241" s="72" t="str">
        <x:v>由共享基础引擎判定</x:v>
      </x:c>
      <x:c r="Q241" s="72" t="str">
        <x:v>由共享基础引擎判定</x:v>
      </x:c>
      <x:c r="R241" s="72" t="str">
        <x:v>喜忌不直接等于冲突方式好坏；只修正调用顺畅度、资源压力和状态切换。</x:v>
      </x:c>
      <x:c r="S241" s="72" t="str">
        <x:v>原十神性质有效；真合化成立时按化神所属功能系统重建。</x:v>
      </x:c>
      <x:c r="T241" s="72" t="str">
        <x:v>由共享基础引擎判定</x:v>
      </x:c>
      <x:c r="U241" s="72" t="str">
        <x:v>89</x:v>
      </x:c>
      <x:c r="V241" s="72" t="str">
        <x:v>不加分；接口／去重／路由</x:v>
      </x:c>
      <x:c r="W241" s="72" t="str">
        <x:v>position_expression</x:v>
      </x:c>
      <x:c r="X241" s="72" t="str">
        <x:v>BOUND提供不能接受、需要暂停或权限范围；CONFLICT决定怎样处理这些内容。</x:v>
      </x:c>
      <x:c r="Y241" s="72" t="str">
        <x:v>你的边界会成为分歧议题，但具体怎样说、怎样暂停和怎样形成方案要另外判断。</x:v>
      </x:c>
      <x:c r="Z24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41" s="72" t="str">
        <x:v>高</x:v>
      </x:c>
      <x:c r="AB241" s="72" t="str">
        <x:v>待验证</x:v>
      </x:c>
      <x:c r="AC241" s="72" t="str"/>
      <x:c r="AD241" s="72" t="str">
        <x:v>provisional=true; interface=IF06</x:v>
      </x:c>
      <x:c r="AE241" s="73" t="str">
        <x:v>0.6</x:v>
      </x:c>
    </x:row>
    <x:row r="242">
      <x:c r="A242" s="71" t="str">
        <x:v>M3-CONFLICT-238</x:v>
      </x:c>
      <x:c r="B242" s="72" t="str">
        <x:v>IF07 BOUND暂停≠冷战｜回归路径复核</x:v>
      </x:c>
      <x:c r="C242" s="72" t="str">
        <x:v>L7 接口、去重与停止</x:v>
      </x:c>
      <x:c r="D242" s="72" t="str">
        <x:v>CONFLICT-接口门控</x:v>
      </x:c>
      <x:c r="E242" s="72" t="str">
        <x:v>通用</x:v>
      </x:c>
      <x:c r="F242" s="72" t="str">
        <x:v>接口／去重／停止</x:v>
      </x:c>
      <x:c r="G242" s="72" t="str">
        <x:v>BOUND暂停</x:v>
      </x:c>
      <x:c r="H242" s="72" t="str"/>
      <x:c r="I242" s="72" t="str">
        <x:v>BOUND暂停被调用，且相应上游模块或基础事实可追溯。</x:v>
      </x:c>
      <x:c r="J242" s="72" t="str">
        <x:v>基础信号未定；真合化后原信号已失效；只有单一弱远争议信号；或该结论会越界到M4风险、M5适配。</x:v>
      </x:c>
      <x:c r="K242" s="72" t="str">
        <x:v>由共享基础引擎与M3-STATE修正；日主承载只修正冲突处理的可执行性，不直接等于强硬或软弱。</x:v>
      </x:c>
      <x:c r="L242" s="72" t="str">
        <x:v>不限定；夫妻星只在责任、行动、投入等冲突议题中参与接口，不作为CONFLICT唯一主轴。</x:v>
      </x:c>
      <x:c r="M242" s="72" t="str">
        <x:v>由M3-BASE、日支主气及宫位动态提供；不得把日支直接写成配偶性格。</x:v>
      </x:c>
      <x:c r="N242" s="72" t="str">
        <x:v>无／待CONFLICT顺序与路径规则组合</x:v>
      </x:c>
      <x:c r="O242" s="72" t="str">
        <x:v>日柱与日支近位优先；全局有效独立信号可作次通道。</x:v>
      </x:c>
      <x:c r="P242" s="72" t="str">
        <x:v>由共享基础引擎判定</x:v>
      </x:c>
      <x:c r="Q242" s="72" t="str">
        <x:v>由共享基础引擎判定</x:v>
      </x:c>
      <x:c r="R242" s="72" t="str">
        <x:v>喜忌不直接等于冲突方式好坏；只修正调用顺畅度、资源压力和状态切换。</x:v>
      </x:c>
      <x:c r="S242" s="72" t="str">
        <x:v>原十神性质有效；真合化成立时按化神所属功能系统重建。</x:v>
      </x:c>
      <x:c r="T242" s="72" t="str">
        <x:v>由共享基础引擎判定</x:v>
      </x:c>
      <x:c r="U242" s="72" t="str">
        <x:v>89</x:v>
      </x:c>
      <x:c r="V242" s="72" t="str">
        <x:v>不加分；停止／路由</x:v>
      </x:c>
      <x:c r="W242" s="72" t="str">
        <x:v>pause_style</x:v>
      </x:c>
      <x:c r="X242" s="72" t="str">
        <x:v>只有暂停目的、范围和回归路径可识别时，CONFLICT才可输出暂停。</x:v>
      </x:c>
      <x:c r="Y242" s="72" t="str">
        <x:v>你需要暂停时，会继续检查你怎样回到问题，而不是直接写成冷战。</x:v>
      </x:c>
      <x:c r="Z24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42" s="72" t="str">
        <x:v>高</x:v>
      </x:c>
      <x:c r="AB242" s="72" t="str">
        <x:v>待验证</x:v>
      </x:c>
      <x:c r="AC242" s="72" t="str"/>
      <x:c r="AD242" s="72" t="str">
        <x:v>provisional=true; interface=IF07</x:v>
      </x:c>
      <x:c r="AE242" s="73" t="str">
        <x:v>0.6</x:v>
      </x:c>
    </x:row>
    <x:row r="243">
      <x:c r="A243" s="71" t="str">
        <x:v>M3-CONFLICT-239</x:v>
      </x:c>
      <x:c r="B243" s="72" t="str">
        <x:v>IF08 REPAIR接口｜问题结束≠联结恢复</x:v>
      </x:c>
      <x:c r="C243" s="72" t="str">
        <x:v>L7 接口、去重与停止</x:v>
      </x:c>
      <x:c r="D243" s="72" t="str">
        <x:v>CONFLICT-接口门控</x:v>
      </x:c>
      <x:c r="E243" s="72" t="str">
        <x:v>通用</x:v>
      </x:c>
      <x:c r="F243" s="72" t="str">
        <x:v>接口／去重／停止</x:v>
      </x:c>
      <x:c r="G243" s="72" t="str">
        <x:v>REPAIR待调用</x:v>
      </x:c>
      <x:c r="H243" s="72" t="str"/>
      <x:c r="I243" s="72" t="str">
        <x:v>REPAIR待调用被调用，且相应上游模块或基础事实可追溯。</x:v>
      </x:c>
      <x:c r="J243" s="72" t="str">
        <x:v>基础信号未定；真合化后原信号已失效；只有单一弱远争议信号；或该结论会越界到M4风险、M5适配。</x:v>
      </x:c>
      <x:c r="K243" s="72" t="str">
        <x:v>由共享基础引擎与M3-STATE修正；日主承载只修正冲突处理的可执行性，不直接等于强硬或软弱。</x:v>
      </x:c>
      <x:c r="L243" s="72" t="str">
        <x:v>不限定；夫妻星只在责任、行动、投入等冲突议题中参与接口，不作为CONFLICT唯一主轴。</x:v>
      </x:c>
      <x:c r="M243" s="72" t="str">
        <x:v>由M3-BASE、日支主气及宫位动态提供；不得把日支直接写成配偶性格。</x:v>
      </x:c>
      <x:c r="N243" s="72" t="str">
        <x:v>无／待CONFLICT顺序与路径规则组合</x:v>
      </x:c>
      <x:c r="O243" s="72" t="str">
        <x:v>日柱与日支近位优先；全局有效独立信号可作次通道。</x:v>
      </x:c>
      <x:c r="P243" s="72" t="str">
        <x:v>由共享基础引擎判定</x:v>
      </x:c>
      <x:c r="Q243" s="72" t="str">
        <x:v>由共享基础引擎判定</x:v>
      </x:c>
      <x:c r="R243" s="72" t="str">
        <x:v>喜忌不直接等于冲突方式好坏；只修正调用顺畅度、资源压力和状态切换。</x:v>
      </x:c>
      <x:c r="S243" s="72" t="str">
        <x:v>原十神性质有效；真合化成立时按化神所属功能系统重建。</x:v>
      </x:c>
      <x:c r="T243" s="72" t="str">
        <x:v>由共享基础引擎判定</x:v>
      </x:c>
      <x:c r="U243" s="72" t="str">
        <x:v>89</x:v>
      </x:c>
      <x:c r="V243" s="72" t="str">
        <x:v>不加分；接口／路由</x:v>
      </x:c>
      <x:c r="W243" s="72" t="str">
        <x:v>conflict_end_condition</x:v>
      </x:c>
      <x:c r="X243" s="72" t="str">
        <x:v>CONFLICT负责阶段结果，REPAIR负责重新理解、靠近和信任恢复。</x:v>
      </x:c>
      <x:c r="Y243" s="72" t="str">
        <x:v>事情有了处理结果，不代表关系已经恢复；后续怎样重新联结会单独判断。</x:v>
      </x:c>
      <x:c r="Z24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43" s="72" t="str">
        <x:v>高</x:v>
      </x:c>
      <x:c r="AB243" s="72" t="str">
        <x:v>待验证</x:v>
      </x:c>
      <x:c r="AC243" s="72" t="str"/>
      <x:c r="AD243" s="72" t="str">
        <x:v>provisional=true; interface=IF08</x:v>
      </x:c>
      <x:c r="AE243" s="73" t="str">
        <x:v>0.6</x:v>
      </x:c>
    </x:row>
    <x:row r="244">
      <x:c r="A244" s="71" t="str">
        <x:v>M3-CONFLICT-240</x:v>
      </x:c>
      <x:c r="B244" s="72" t="str">
        <x:v>IF09 STATE接口｜先确定平稳主通道</x:v>
      </x:c>
      <x:c r="C244" s="72" t="str">
        <x:v>L7 接口、去重与停止</x:v>
      </x:c>
      <x:c r="D244" s="72" t="str">
        <x:v>CONFLICT-接口门控</x:v>
      </x:c>
      <x:c r="E244" s="72" t="str">
        <x:v>通用</x:v>
      </x:c>
      <x:c r="F244" s="72" t="str">
        <x:v>接口／去重／停止</x:v>
      </x:c>
      <x:c r="G244" s="72" t="str">
        <x:v>STATE平稳状态</x:v>
      </x:c>
      <x:c r="H244" s="72" t="str"/>
      <x:c r="I244" s="72" t="str">
        <x:v>STATE平稳状态被调用，且相应上游模块或基础事实可追溯。</x:v>
      </x:c>
      <x:c r="J244" s="72" t="str">
        <x:v>基础信号未定；真合化后原信号已失效；只有单一弱远争议信号；或该结论会越界到M4风险、M5适配。</x:v>
      </x:c>
      <x:c r="K244" s="72" t="str">
        <x:v>由共享基础引擎与M3-STATE修正；日主承载只修正冲突处理的可执行性，不直接等于强硬或软弱。</x:v>
      </x:c>
      <x:c r="L244" s="72" t="str">
        <x:v>不限定；夫妻星只在责任、行动、投入等冲突议题中参与接口，不作为CONFLICT唯一主轴。</x:v>
      </x:c>
      <x:c r="M244" s="72" t="str">
        <x:v>由M3-BASE、日支主气及宫位动态提供；不得把日支直接写成配偶性格。</x:v>
      </x:c>
      <x:c r="N244" s="72" t="str">
        <x:v>无／待CONFLICT顺序与路径规则组合</x:v>
      </x:c>
      <x:c r="O244" s="72" t="str">
        <x:v>日柱与日支近位优先；全局有效独立信号可作次通道。</x:v>
      </x:c>
      <x:c r="P244" s="72" t="str">
        <x:v>由共享基础引擎判定</x:v>
      </x:c>
      <x:c r="Q244" s="72" t="str">
        <x:v>由共享基础引擎判定</x:v>
      </x:c>
      <x:c r="R244" s="72" t="str">
        <x:v>喜忌不直接等于冲突方式好坏；只修正调用顺畅度、资源压力和状态切换。</x:v>
      </x:c>
      <x:c r="S244" s="72" t="str">
        <x:v>原十神性质有效；真合化成立时按化神所属功能系统重建。</x:v>
      </x:c>
      <x:c r="T244" s="72" t="str">
        <x:v>由共享基础引擎判定</x:v>
      </x:c>
      <x:c r="U244" s="72" t="str">
        <x:v>89</x:v>
      </x:c>
      <x:c r="V244" s="72" t="str">
        <x:v>不加分；接口／路由</x:v>
      </x:c>
      <x:c r="W244" s="72" t="str">
        <x:v>state_shift</x:v>
      </x:c>
      <x:c r="X244" s="72" t="str">
        <x:v>先确定平稳状态的默认冲突通道，再说明压力下是否切换。</x:v>
      </x:c>
      <x:c r="Y244" s="72" t="str">
        <x:v>会先看你通常怎样处理小分歧，再说明高压力时是否改变方式。</x:v>
      </x:c>
      <x:c r="Z24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44" s="72" t="str">
        <x:v>高</x:v>
      </x:c>
      <x:c r="AB244" s="72" t="str">
        <x:v>待验证</x:v>
      </x:c>
      <x:c r="AC244" s="72" t="str"/>
      <x:c r="AD244" s="72" t="str">
        <x:v>provisional=true; interface=IF09</x:v>
      </x:c>
      <x:c r="AE244" s="73" t="str">
        <x:v>0.6</x:v>
      </x:c>
    </x:row>
    <x:row r="245">
      <x:c r="A245" s="71" t="str">
        <x:v>M3-CONFLICT-241</x:v>
      </x:c>
      <x:c r="B245" s="72" t="str">
        <x:v>IF10 STATE接口｜压力切换需要独立证据</x:v>
      </x:c>
      <x:c r="C245" s="72" t="str">
        <x:v>L7 接口、去重与停止</x:v>
      </x:c>
      <x:c r="D245" s="72" t="str">
        <x:v>CONFLICT-接口门控</x:v>
      </x:c>
      <x:c r="E245" s="72" t="str">
        <x:v>通用</x:v>
      </x:c>
      <x:c r="F245" s="72" t="str">
        <x:v>接口／去重／停止</x:v>
      </x:c>
      <x:c r="G245" s="72" t="str">
        <x:v>STATE压力状态</x:v>
      </x:c>
      <x:c r="H245" s="72" t="str"/>
      <x:c r="I245" s="72" t="str">
        <x:v>STATE压力状态被调用，且相应上游模块或基础事实可追溯。</x:v>
      </x:c>
      <x:c r="J245" s="72" t="str">
        <x:v>基础信号未定；真合化后原信号已失效；只有单一弱远争议信号；或该结论会越界到M4风险、M5适配。</x:v>
      </x:c>
      <x:c r="K245" s="72" t="str">
        <x:v>由共享基础引擎与M3-STATE修正；日主承载只修正冲突处理的可执行性，不直接等于强硬或软弱。</x:v>
      </x:c>
      <x:c r="L245" s="72" t="str">
        <x:v>不限定；夫妻星只在责任、行动、投入等冲突议题中参与接口，不作为CONFLICT唯一主轴。</x:v>
      </x:c>
      <x:c r="M245" s="72" t="str">
        <x:v>由M3-BASE、日支主气及宫位动态提供；不得把日支直接写成配偶性格。</x:v>
      </x:c>
      <x:c r="N245" s="72" t="str">
        <x:v>无／待CONFLICT顺序与路径规则组合</x:v>
      </x:c>
      <x:c r="O245" s="72" t="str">
        <x:v>日柱与日支近位优先；全局有效独立信号可作次通道。</x:v>
      </x:c>
      <x:c r="P245" s="72" t="str">
        <x:v>由共享基础引擎判定</x:v>
      </x:c>
      <x:c r="Q245" s="72" t="str">
        <x:v>由共享基础引擎判定</x:v>
      </x:c>
      <x:c r="R245" s="72" t="str">
        <x:v>喜忌不直接等于冲突方式好坏；只修正调用顺畅度、资源压力和状态切换。</x:v>
      </x:c>
      <x:c r="S245" s="72" t="str">
        <x:v>原十神性质有效；真合化成立时按化神所属功能系统重建。</x:v>
      </x:c>
      <x:c r="T245" s="72" t="str">
        <x:v>由共享基础引擎判定</x:v>
      </x:c>
      <x:c r="U245" s="72" t="str">
        <x:v>75</x:v>
      </x:c>
      <x:c r="V245" s="72" t="str">
        <x:v>不加分；接口／门控</x:v>
      </x:c>
      <x:c r="W245" s="72" t="str">
        <x:v>state_shift</x:v>
      </x:c>
      <x:c r="X245" s="72" t="str">
        <x:v>压力切换至少需要旺衰／制化、宫位动态和真实行为中的两类证据。</x:v>
      </x:c>
      <x:c r="Y245" s="72" t="str">
        <x:v>只有多类证据一致时，才会把压力下的另一种反应写进结论。</x:v>
      </x:c>
      <x:c r="Z24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45" s="72" t="str">
        <x:v>中高</x:v>
      </x:c>
      <x:c r="AB245" s="72" t="str">
        <x:v>待验证</x:v>
      </x:c>
      <x:c r="AC245" s="72" t="str"/>
      <x:c r="AD245" s="72" t="str">
        <x:v>provisional=true; interface=IF10</x:v>
      </x:c>
      <x:c r="AE245" s="73" t="str">
        <x:v>0.6</x:v>
      </x:c>
    </x:row>
    <x:row r="246">
      <x:c r="A246" s="71" t="str">
        <x:v>M3-CONFLICT-242</x:v>
      </x:c>
      <x:c r="B246" s="72" t="str">
        <x:v>IF11 M2接口｜关系准入标准不等于冲突规则</x:v>
      </x:c>
      <x:c r="C246" s="72" t="str">
        <x:v>L7 接口、去重与停止</x:v>
      </x:c>
      <x:c r="D246" s="72" t="str">
        <x:v>CONFLICT-接口门控</x:v>
      </x:c>
      <x:c r="E246" s="72" t="str">
        <x:v>通用</x:v>
      </x:c>
      <x:c r="F246" s="72" t="str">
        <x:v>接口／去重／停止</x:v>
      </x:c>
      <x:c r="G246" s="72" t="str">
        <x:v>M2准入维度</x:v>
      </x:c>
      <x:c r="H246" s="72" t="str"/>
      <x:c r="I246" s="72" t="str">
        <x:v>M2准入维度被调用，且相应上游模块或基础事实可追溯。</x:v>
      </x:c>
      <x:c r="J246" s="72" t="str">
        <x:v>基础信号未定；真合化后原信号已失效；只有单一弱远争议信号；或该结论会越界到M4风险、M5适配。</x:v>
      </x:c>
      <x:c r="K246" s="72" t="str">
        <x:v>由共享基础引擎与M3-STATE修正；日主承载只修正冲突处理的可执行性，不直接等于强硬或软弱。</x:v>
      </x:c>
      <x:c r="L246" s="72" t="str">
        <x:v>不限定；夫妻星只在责任、行动、投入等冲突议题中参与接口，不作为CONFLICT唯一主轴。</x:v>
      </x:c>
      <x:c r="M246" s="72" t="str">
        <x:v>由M3-BASE、日支主气及宫位动态提供；不得把日支直接写成配偶性格。</x:v>
      </x:c>
      <x:c r="N246" s="72" t="str">
        <x:v>无／待CONFLICT顺序与路径规则组合</x:v>
      </x:c>
      <x:c r="O246" s="72" t="str">
        <x:v>日柱与日支近位优先；全局有效独立信号可作次通道。</x:v>
      </x:c>
      <x:c r="P246" s="72" t="str">
        <x:v>由共享基础引擎判定</x:v>
      </x:c>
      <x:c r="Q246" s="72" t="str">
        <x:v>由共享基础引擎判定</x:v>
      </x:c>
      <x:c r="R246" s="72" t="str">
        <x:v>喜忌不直接等于冲突方式好坏；只修正调用顺畅度、资源压力和状态切换。</x:v>
      </x:c>
      <x:c r="S246" s="72" t="str">
        <x:v>原十神性质有效；真合化成立时按化神所属功能系统重建。</x:v>
      </x:c>
      <x:c r="T246" s="72" t="str">
        <x:v>由共享基础引擎判定</x:v>
      </x:c>
      <x:c r="U246" s="72" t="str">
        <x:v>89</x:v>
      </x:c>
      <x:c r="V246" s="72" t="str">
        <x:v>不加分；接口／路由</x:v>
      </x:c>
      <x:c r="W246" s="72" t="str">
        <x:v>boundary_note</x:v>
      </x:c>
      <x:c r="X246" s="72" t="str">
        <x:v>M2可说明哪些议题容易重要，但不能决定分歧如何处理。</x:v>
      </x:c>
      <x:c r="Y246" s="72" t="str">
        <x:v>你选择关系时看重的条件，可能成为分歧议题，但不会直接决定你的处理方式。</x:v>
      </x:c>
      <x:c r="Z24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46" s="72" t="str">
        <x:v>高</x:v>
      </x:c>
      <x:c r="AB246" s="72" t="str">
        <x:v>待验证</x:v>
      </x:c>
      <x:c r="AC246" s="72" t="str"/>
      <x:c r="AD246" s="72" t="str">
        <x:v>provisional=true; interface=IF11</x:v>
      </x:c>
      <x:c r="AE246" s="73" t="str">
        <x:v>0.6</x:v>
      </x:c>
    </x:row>
    <x:row r="247">
      <x:c r="A247" s="71" t="str">
        <x:v>M3-CONFLICT-243</x:v>
      </x:c>
      <x:c r="B247" s="72" t="str">
        <x:v>IF12 M1接口｜心动触发不参与冲突加分</x:v>
      </x:c>
      <x:c r="C247" s="72" t="str">
        <x:v>L7 接口、去重与停止</x:v>
      </x:c>
      <x:c r="D247" s="72" t="str">
        <x:v>CONFLICT-接口门控</x:v>
      </x:c>
      <x:c r="E247" s="72" t="str">
        <x:v>通用</x:v>
      </x:c>
      <x:c r="F247" s="72" t="str">
        <x:v>接口／去重／停止</x:v>
      </x:c>
      <x:c r="G247" s="72" t="str">
        <x:v>M1心动维度</x:v>
      </x:c>
      <x:c r="H247" s="72" t="str"/>
      <x:c r="I247" s="72" t="str">
        <x:v>M1心动维度被调用，且相应上游模块或基础事实可追溯。</x:v>
      </x:c>
      <x:c r="J247" s="72" t="str">
        <x:v>基础信号未定；真合化后原信号已失效；只有单一弱远争议信号；或该结论会越界到M4风险、M5适配。</x:v>
      </x:c>
      <x:c r="K247" s="72" t="str">
        <x:v>由共享基础引擎与M3-STATE修正；日主承载只修正冲突处理的可执行性，不直接等于强硬或软弱。</x:v>
      </x:c>
      <x:c r="L247" s="72" t="str">
        <x:v>不限定；夫妻星只在责任、行动、投入等冲突议题中参与接口，不作为CONFLICT唯一主轴。</x:v>
      </x:c>
      <x:c r="M247" s="72" t="str">
        <x:v>由M3-BASE、日支主气及宫位动态提供；不得把日支直接写成配偶性格。</x:v>
      </x:c>
      <x:c r="N247" s="72" t="str">
        <x:v>无／待CONFLICT顺序与路径规则组合</x:v>
      </x:c>
      <x:c r="O247" s="72" t="str">
        <x:v>日柱与日支近位优先；全局有效独立信号可作次通道。</x:v>
      </x:c>
      <x:c r="P247" s="72" t="str">
        <x:v>由共享基础引擎判定</x:v>
      </x:c>
      <x:c r="Q247" s="72" t="str">
        <x:v>由共享基础引擎判定</x:v>
      </x:c>
      <x:c r="R247" s="72" t="str">
        <x:v>喜忌不直接等于冲突方式好坏；只修正调用顺畅度、资源压力和状态切换。</x:v>
      </x:c>
      <x:c r="S247" s="72" t="str">
        <x:v>原十神性质有效；真合化成立时按化神所属功能系统重建。</x:v>
      </x:c>
      <x:c r="T247" s="72" t="str">
        <x:v>由共享基础引擎判定</x:v>
      </x:c>
      <x:c r="U247" s="72" t="str">
        <x:v>89</x:v>
      </x:c>
      <x:c r="V247" s="72" t="str">
        <x:v>不加分；去重／边界</x:v>
      </x:c>
      <x:c r="W247" s="72" t="str">
        <x:v>provenance</x:v>
      </x:c>
      <x:c r="X247" s="72" t="str">
        <x:v>M1只做对照，不参与CONFLICT核心分值。</x:v>
      </x:c>
      <x:c r="Y247" s="72" t="str">
        <x:v>让你心动的特质不会被当成分歧处理证据。</x:v>
      </x:c>
      <x:c r="Z24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47" s="72" t="str">
        <x:v>高</x:v>
      </x:c>
      <x:c r="AB247" s="72" t="str">
        <x:v>待验证</x:v>
      </x:c>
      <x:c r="AC247" s="72" t="str"/>
      <x:c r="AD247" s="72" t="str">
        <x:v>provisional=true; interface=IF12</x:v>
      </x:c>
      <x:c r="AE247" s="73" t="str">
        <x:v>0.6</x:v>
      </x:c>
    </x:row>
    <x:row r="248">
      <x:c r="A248" s="71" t="str">
        <x:v>M3-CONFLICT-244</x:v>
      </x:c>
      <x:c r="B248" s="72" t="str">
        <x:v>IF13 M4路由｜直接通道过强候选</x:v>
      </x:c>
      <x:c r="C248" s="72" t="str">
        <x:v>L7 接口、去重与停止</x:v>
      </x:c>
      <x:c r="D248" s="72" t="str">
        <x:v>CONFLICT-接口门控</x:v>
      </x:c>
      <x:c r="E248" s="72" t="str">
        <x:v>通用</x:v>
      </x:c>
      <x:c r="F248" s="72" t="str">
        <x:v>接口／去重／停止</x:v>
      </x:c>
      <x:c r="G248" s="72" t="str">
        <x:v>伤官／比肩／官杀过旺</x:v>
      </x:c>
      <x:c r="H248" s="72" t="str"/>
      <x:c r="I248" s="72" t="str">
        <x:v>伤官／比肩／官杀过旺被调用，且相应上游模块或基础事实可追溯。</x:v>
      </x:c>
      <x:c r="J248" s="72" t="str">
        <x:v>基础信号未定；真合化后原信号已失效；只有单一弱远争议信号；或该结论会越界到M4风险、M5适配。</x:v>
      </x:c>
      <x:c r="K248" s="72" t="str">
        <x:v>由共享基础引擎与M3-STATE修正；日主承载只修正冲突处理的可执行性，不直接等于强硬或软弱。</x:v>
      </x:c>
      <x:c r="L248" s="72" t="str">
        <x:v>不限定；夫妻星只在责任、行动、投入等冲突议题中参与接口，不作为CONFLICT唯一主轴。</x:v>
      </x:c>
      <x:c r="M248" s="72" t="str">
        <x:v>由M3-BASE、日支主气及宫位动态提供；不得把日支直接写成配偶性格。</x:v>
      </x:c>
      <x:c r="N248" s="72" t="str">
        <x:v>无／待CONFLICT顺序与路径规则组合</x:v>
      </x:c>
      <x:c r="O248" s="72" t="str">
        <x:v>日柱与日支近位优先；全局有效独立信号可作次通道。</x:v>
      </x:c>
      <x:c r="P248" s="72" t="str">
        <x:v>由共享基础引擎判定</x:v>
      </x:c>
      <x:c r="Q248" s="72" t="str">
        <x:v>由共享基础引擎判定</x:v>
      </x:c>
      <x:c r="R248" s="72" t="str">
        <x:v>喜忌不直接等于冲突方式好坏；只修正调用顺畅度、资源压力和状态切换。</x:v>
      </x:c>
      <x:c r="S248" s="72" t="str">
        <x:v>原十神性质有效；真合化成立时按化神所属功能系统重建。</x:v>
      </x:c>
      <x:c r="T248" s="72" t="str">
        <x:v>由共享基础引擎判定</x:v>
      </x:c>
      <x:c r="U248" s="72" t="str">
        <x:v>89</x:v>
      </x:c>
      <x:c r="V248" s="72" t="str">
        <x:v>不加分；路由M4</x:v>
      </x:c>
      <x:c r="W248" s="72" t="str">
        <x:v>risk_route</x:v>
      </x:c>
      <x:c r="X248" s="72" t="str">
        <x:v>只记录直接性、抢先和压力占位；攻击、压迫或僵持风险交给M4。</x:v>
      </x:c>
      <x:c r="Y248" s="72" t="str">
        <x:v>这种反应可能很直接，但是否伤害关系，需要在风险模型里判断。</x:v>
      </x:c>
      <x:c r="Z24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48" s="72" t="str">
        <x:v>高</x:v>
      </x:c>
      <x:c r="AB248" s="72" t="str">
        <x:v>待验证</x:v>
      </x:c>
      <x:c r="AC248" s="72" t="str"/>
      <x:c r="AD248" s="72" t="str">
        <x:v>provisional=true; interface=IF13</x:v>
      </x:c>
      <x:c r="AE248" s="73" t="str">
        <x:v>0.6</x:v>
      </x:c>
    </x:row>
    <x:row r="249">
      <x:c r="A249" s="71" t="str">
        <x:v>M3-CONFLICT-245</x:v>
      </x:c>
      <x:c r="B249" s="72" t="str">
        <x:v>IF14 M4路由｜暂停通道过强候选</x:v>
      </x:c>
      <x:c r="C249" s="72" t="str">
        <x:v>L7 接口、去重与停止</x:v>
      </x:c>
      <x:c r="D249" s="72" t="str">
        <x:v>CONFLICT-接口门控</x:v>
      </x:c>
      <x:c r="E249" s="72" t="str">
        <x:v>通用</x:v>
      </x:c>
      <x:c r="F249" s="72" t="str">
        <x:v>接口／去重／停止</x:v>
      </x:c>
      <x:c r="G249" s="72" t="str">
        <x:v>印星／暂停通道过旺</x:v>
      </x:c>
      <x:c r="H249" s="72" t="str"/>
      <x:c r="I249" s="72" t="str">
        <x:v>印星／暂停通道过旺被调用，且相应上游模块或基础事实可追溯。</x:v>
      </x:c>
      <x:c r="J249" s="72" t="str">
        <x:v>基础信号未定；真合化后原信号已失效；只有单一弱远争议信号；或该结论会越界到M4风险、M5适配。</x:v>
      </x:c>
      <x:c r="K249" s="72" t="str">
        <x:v>由共享基础引擎与M3-STATE修正；日主承载只修正冲突处理的可执行性，不直接等于强硬或软弱。</x:v>
      </x:c>
      <x:c r="L249" s="72" t="str">
        <x:v>不限定；夫妻星只在责任、行动、投入等冲突议题中参与接口，不作为CONFLICT唯一主轴。</x:v>
      </x:c>
      <x:c r="M249" s="72" t="str">
        <x:v>由M3-BASE、日支主气及宫位动态提供；不得把日支直接写成配偶性格。</x:v>
      </x:c>
      <x:c r="N249" s="72" t="str">
        <x:v>无／待CONFLICT顺序与路径规则组合</x:v>
      </x:c>
      <x:c r="O249" s="72" t="str">
        <x:v>日柱与日支近位优先；全局有效独立信号可作次通道。</x:v>
      </x:c>
      <x:c r="P249" s="72" t="str">
        <x:v>由共享基础引擎判定</x:v>
      </x:c>
      <x:c r="Q249" s="72" t="str">
        <x:v>由共享基础引擎判定</x:v>
      </x:c>
      <x:c r="R249" s="72" t="str">
        <x:v>喜忌不直接等于冲突方式好坏；只修正调用顺畅度、资源压力和状态切换。</x:v>
      </x:c>
      <x:c r="S249" s="72" t="str">
        <x:v>原十神性质有效；真合化成立时按化神所属功能系统重建。</x:v>
      </x:c>
      <x:c r="T249" s="72" t="str">
        <x:v>由共享基础引擎判定</x:v>
      </x:c>
      <x:c r="U249" s="72" t="str">
        <x:v>89</x:v>
      </x:c>
      <x:c r="V249" s="72" t="str">
        <x:v>不加分；路由M4</x:v>
      </x:c>
      <x:c r="W249" s="72" t="str">
        <x:v>risk_route</x:v>
      </x:c>
      <x:c r="X249" s="72" t="str">
        <x:v>只记录暂停和内部整理；长期断联、冷战或回避需真实行为与M4。</x:v>
      </x:c>
      <x:c r="Y249" s="72" t="str">
        <x:v>你可能需要更多整理时间，但是否变成长时间不回应，不能由本模块直接判断。</x:v>
      </x:c>
      <x:c r="Z24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49" s="72" t="str">
        <x:v>高</x:v>
      </x:c>
      <x:c r="AB249" s="72" t="str">
        <x:v>待验证</x:v>
      </x:c>
      <x:c r="AC249" s="72" t="str"/>
      <x:c r="AD249" s="72" t="str">
        <x:v>provisional=true; interface=IF14</x:v>
      </x:c>
      <x:c r="AE249" s="73" t="str">
        <x:v>0.6</x:v>
      </x:c>
    </x:row>
    <x:row r="250">
      <x:c r="A250" s="71" t="str">
        <x:v>M3-CONFLICT-246</x:v>
      </x:c>
      <x:c r="B250" s="72" t="str">
        <x:v>IF15 M4路由｜行动决断过强候选</x:v>
      </x:c>
      <x:c r="C250" s="72" t="str">
        <x:v>L7 接口、去重与停止</x:v>
      </x:c>
      <x:c r="D250" s="72" t="str">
        <x:v>CONFLICT-接口门控</x:v>
      </x:c>
      <x:c r="E250" s="72" t="str">
        <x:v>通用</x:v>
      </x:c>
      <x:c r="F250" s="72" t="str">
        <x:v>接口／去重／停止</x:v>
      </x:c>
      <x:c r="G250" s="72" t="str">
        <x:v>七杀／劫财过旺</x:v>
      </x:c>
      <x:c r="H250" s="72" t="str"/>
      <x:c r="I250" s="72" t="str">
        <x:v>七杀／劫财过旺被调用，且相应上游模块或基础事实可追溯。</x:v>
      </x:c>
      <x:c r="J250" s="72" t="str">
        <x:v>基础信号未定；真合化后原信号已失效；只有单一弱远争议信号；或该结论会越界到M4风险、M5适配。</x:v>
      </x:c>
      <x:c r="K250" s="72" t="str">
        <x:v>由共享基础引擎与M3-STATE修正；日主承载只修正冲突处理的可执行性，不直接等于强硬或软弱。</x:v>
      </x:c>
      <x:c r="L250" s="72" t="str">
        <x:v>不限定；夫妻星只在责任、行动、投入等冲突议题中参与接口，不作为CONFLICT唯一主轴。</x:v>
      </x:c>
      <x:c r="M250" s="72" t="str">
        <x:v>由M3-BASE、日支主气及宫位动态提供；不得把日支直接写成配偶性格。</x:v>
      </x:c>
      <x:c r="N250" s="72" t="str">
        <x:v>无／待CONFLICT顺序与路径规则组合</x:v>
      </x:c>
      <x:c r="O250" s="72" t="str">
        <x:v>日柱与日支近位优先；全局有效独立信号可作次通道。</x:v>
      </x:c>
      <x:c r="P250" s="72" t="str">
        <x:v>由共享基础引擎判定</x:v>
      </x:c>
      <x:c r="Q250" s="72" t="str">
        <x:v>由共享基础引擎判定</x:v>
      </x:c>
      <x:c r="R250" s="72" t="str">
        <x:v>喜忌不直接等于冲突方式好坏；只修正调用顺畅度、资源压力和状态切换。</x:v>
      </x:c>
      <x:c r="S250" s="72" t="str">
        <x:v>原十神性质有效；真合化成立时按化神所属功能系统重建。</x:v>
      </x:c>
      <x:c r="T250" s="72" t="str">
        <x:v>由共享基础引擎判定</x:v>
      </x:c>
      <x:c r="U250" s="72" t="str">
        <x:v>89</x:v>
      </x:c>
      <x:c r="V250" s="72" t="str">
        <x:v>不加分；路由M4</x:v>
      </x:c>
      <x:c r="W250" s="72" t="str">
        <x:v>risk_route</x:v>
      </x:c>
      <x:c r="X250" s="72" t="str">
        <x:v>只记录行动、止损和快速推进；控制、替代对方决定或激烈行为需M4。</x:v>
      </x:c>
      <x:c r="Y250" s="72" t="str">
        <x:v>你可能更快行动，但是否压过对方参与权，要交给边界和风险模块。</x:v>
      </x:c>
      <x:c r="Z25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50" s="72" t="str">
        <x:v>高</x:v>
      </x:c>
      <x:c r="AB250" s="72" t="str">
        <x:v>待验证</x:v>
      </x:c>
      <x:c r="AC250" s="72" t="str"/>
      <x:c r="AD250" s="72" t="str">
        <x:v>provisional=true; interface=IF15</x:v>
      </x:c>
      <x:c r="AE250" s="73" t="str">
        <x:v>0.6</x:v>
      </x:c>
    </x:row>
    <x:row r="251">
      <x:c r="A251" s="71" t="str">
        <x:v>M3-CONFLICT-247</x:v>
      </x:c>
      <x:c r="B251" s="72" t="str">
        <x:v>IF16 M5接口｜冲突风格不得直接给适配答案</x:v>
      </x:c>
      <x:c r="C251" s="72" t="str">
        <x:v>L7 接口、去重与停止</x:v>
      </x:c>
      <x:c r="D251" s="72" t="str">
        <x:v>CONFLICT-接口门控</x:v>
      </x:c>
      <x:c r="E251" s="72" t="str">
        <x:v>通用</x:v>
      </x:c>
      <x:c r="F251" s="72" t="str">
        <x:v>接口／去重／停止</x:v>
      </x:c>
      <x:c r="G251" s="72" t="str">
        <x:v>M5适配待调用</x:v>
      </x:c>
      <x:c r="H251" s="72" t="str"/>
      <x:c r="I251" s="72" t="str">
        <x:v>M5适配待调用被调用，且相应上游模块或基础事实可追溯。</x:v>
      </x:c>
      <x:c r="J251" s="72" t="str">
        <x:v>基础信号未定；真合化后原信号已失效；只有单一弱远争议信号；或该结论会越界到M4风险、M5适配。</x:v>
      </x:c>
      <x:c r="K251" s="72" t="str">
        <x:v>由共享基础引擎与M3-STATE修正；日主承载只修正冲突处理的可执行性，不直接等于强硬或软弱。</x:v>
      </x:c>
      <x:c r="L251" s="72" t="str">
        <x:v>不限定；夫妻星只在责任、行动、投入等冲突议题中参与接口，不作为CONFLICT唯一主轴。</x:v>
      </x:c>
      <x:c r="M251" s="72" t="str">
        <x:v>由M3-BASE、日支主气及宫位动态提供；不得把日支直接写成配偶性格。</x:v>
      </x:c>
      <x:c r="N251" s="72" t="str">
        <x:v>无／待CONFLICT顺序与路径规则组合</x:v>
      </x:c>
      <x:c r="O251" s="72" t="str">
        <x:v>日柱与日支近位优先；全局有效独立信号可作次通道。</x:v>
      </x:c>
      <x:c r="P251" s="72" t="str">
        <x:v>由共享基础引擎判定</x:v>
      </x:c>
      <x:c r="Q251" s="72" t="str">
        <x:v>由共享基础引擎判定</x:v>
      </x:c>
      <x:c r="R251" s="72" t="str">
        <x:v>喜忌不直接等于冲突方式好坏；只修正调用顺畅度、资源压力和状态切换。</x:v>
      </x:c>
      <x:c r="S251" s="72" t="str">
        <x:v>原十神性质有效；真合化成立时按化神所属功能系统重建。</x:v>
      </x:c>
      <x:c r="T251" s="72" t="str">
        <x:v>由共享基础引擎判定</x:v>
      </x:c>
      <x:c r="U251" s="72" t="str">
        <x:v>89</x:v>
      </x:c>
      <x:c r="V251" s="72" t="str">
        <x:v>不加分；接口／路由</x:v>
      </x:c>
      <x:c r="W251" s="72" t="str">
        <x:v>boundary_note</x:v>
      </x:c>
      <x:c r="X251" s="72" t="str">
        <x:v>常用冲突方式可作为M5输入，但不直接推出适合哪类伴侣。</x:v>
      </x:c>
      <x:c r="Y251" s="72" t="str">
        <x:v>你的分歧处理方式会影响长期适配，但不是最终适配结论。</x:v>
      </x:c>
      <x:c r="Z25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51" s="72" t="str">
        <x:v>高</x:v>
      </x:c>
      <x:c r="AB251" s="72" t="str">
        <x:v>待验证</x:v>
      </x:c>
      <x:c r="AC251" s="72" t="str"/>
      <x:c r="AD251" s="72" t="str">
        <x:v>provisional=true; interface=IF16</x:v>
      </x:c>
      <x:c r="AE251" s="73" t="str">
        <x:v>0.6</x:v>
      </x:c>
    </x:row>
    <x:row r="252">
      <x:c r="A252" s="71" t="str">
        <x:v>M3-CONFLICT-248</x:v>
      </x:c>
      <x:c r="B252" s="72" t="str">
        <x:v>IF17 夫妻星入日支｜选择—责任议题连续性</x:v>
      </x:c>
      <x:c r="C252" s="72" t="str">
        <x:v>L7 接口、去重与停止</x:v>
      </x:c>
      <x:c r="D252" s="72" t="str">
        <x:v>CONFLICT-接口门控</x:v>
      </x:c>
      <x:c r="E252" s="72" t="str">
        <x:v>通用</x:v>
      </x:c>
      <x:c r="F252" s="72" t="str">
        <x:v>接口／去重／停止</x:v>
      </x:c>
      <x:c r="G252" s="72" t="str">
        <x:v>夫妻星入日支</x:v>
      </x:c>
      <x:c r="H252" s="72" t="str"/>
      <x:c r="I252" s="72" t="str">
        <x:v>夫妻星入日支被调用，且相应上游模块或基础事实可追溯。</x:v>
      </x:c>
      <x:c r="J252" s="72" t="str">
        <x:v>基础信号未定；真合化后原信号已失效；只有单一弱远争议信号；或该结论会越界到M4风险、M5适配。</x:v>
      </x:c>
      <x:c r="K252" s="72" t="str">
        <x:v>由共享基础引擎与M3-STATE修正；日主承载只修正冲突处理的可执行性，不直接等于强硬或软弱。</x:v>
      </x:c>
      <x:c r="L252" s="72" t="str">
        <x:v>不限定；夫妻星只在责任、行动、投入等冲突议题中参与接口，不作为CONFLICT唯一主轴。</x:v>
      </x:c>
      <x:c r="M252" s="72" t="str">
        <x:v>由M3-BASE、日支主气及宫位动态提供；不得把日支直接写成配偶性格。</x:v>
      </x:c>
      <x:c r="N252" s="72" t="str">
        <x:v>无／待CONFLICT顺序与路径规则组合</x:v>
      </x:c>
      <x:c r="O252" s="72" t="str">
        <x:v>日柱与日支近位优先；全局有效独立信号可作次通道。</x:v>
      </x:c>
      <x:c r="P252" s="72" t="str">
        <x:v>由共享基础引擎判定</x:v>
      </x:c>
      <x:c r="Q252" s="72" t="str">
        <x:v>由共享基础引擎判定</x:v>
      </x:c>
      <x:c r="R252" s="72" t="str">
        <x:v>喜忌不直接等于冲突方式好坏；只修正调用顺畅度、资源压力和状态切换。</x:v>
      </x:c>
      <x:c r="S252" s="72" t="str">
        <x:v>原十神性质有效；真合化成立时按化神所属功能系统重建。</x:v>
      </x:c>
      <x:c r="T252" s="72" t="str">
        <x:v>由共享基础引擎判定</x:v>
      </x:c>
      <x:c r="U252" s="72" t="str">
        <x:v>75</x:v>
      </x:c>
      <x:c r="V252" s="72" t="str">
        <x:v>不加分；接口／去重</x:v>
      </x:c>
      <x:c r="W252" s="72" t="str">
        <x:v>provenance</x:v>
      </x:c>
      <x:c r="X252" s="72" t="str">
        <x:v>夫妻星入宫可让承诺、行动或投入成为高频议题，但仍与BASE同源去重。</x:v>
      </x:c>
      <x:c r="Y252" s="72" t="str">
        <x:v>你选择关系时看重的责任、行动或投入，进入关系后也可能成为分歧中反复需要确认的内容。</x:v>
      </x:c>
      <x:c r="Z25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52" s="72" t="str">
        <x:v>中高</x:v>
      </x:c>
      <x:c r="AB252" s="72" t="str">
        <x:v>待验证</x:v>
      </x:c>
      <x:c r="AC252" s="72" t="str"/>
      <x:c r="AD252" s="72" t="str">
        <x:v>provisional=true; interface=IF17</x:v>
      </x:c>
      <x:c r="AE252" s="73" t="str">
        <x:v>0.6</x:v>
      </x:c>
    </x:row>
    <x:row r="253">
      <x:c r="A253" s="71" t="str">
        <x:v>M3-CONFLICT-249</x:v>
      </x:c>
      <x:c r="B253" s="72" t="str">
        <x:v>IF18 source_id去重｜共享事实只计一次</x:v>
      </x:c>
      <x:c r="C253" s="72" t="str">
        <x:v>L7 接口、去重与停止</x:v>
      </x:c>
      <x:c r="D253" s="72" t="str">
        <x:v>CONFLICT-接口门控</x:v>
      </x:c>
      <x:c r="E253" s="72" t="str">
        <x:v>通用</x:v>
      </x:c>
      <x:c r="F253" s="72" t="str">
        <x:v>接口／去重／停止</x:v>
      </x:c>
      <x:c r="G253" s="72" t="str">
        <x:v>相同source_id</x:v>
      </x:c>
      <x:c r="H253" s="72" t="str"/>
      <x:c r="I253" s="72" t="str">
        <x:v>相同source_id被调用，且相应上游模块或基础事实可追溯。</x:v>
      </x:c>
      <x:c r="J253" s="72" t="str">
        <x:v>基础信号未定；真合化后原信号已失效；只有单一弱远争议信号；或该结论会越界到M4风险、M5适配。</x:v>
      </x:c>
      <x:c r="K253" s="72" t="str">
        <x:v>由共享基础引擎与M3-STATE修正；日主承载只修正冲突处理的可执行性，不直接等于强硬或软弱。</x:v>
      </x:c>
      <x:c r="L253" s="72" t="str">
        <x:v>不限定；夫妻星只在责任、行动、投入等冲突议题中参与接口，不作为CONFLICT唯一主轴。</x:v>
      </x:c>
      <x:c r="M253" s="72" t="str">
        <x:v>由M3-BASE、日支主气及宫位动态提供；不得把日支直接写成配偶性格。</x:v>
      </x:c>
      <x:c r="N253" s="72" t="str">
        <x:v>无／待CONFLICT顺序与路径规则组合</x:v>
      </x:c>
      <x:c r="O253" s="72" t="str">
        <x:v>日柱与日支近位优先；全局有效独立信号可作次通道。</x:v>
      </x:c>
      <x:c r="P253" s="72" t="str">
        <x:v>由共享基础引擎判定</x:v>
      </x:c>
      <x:c r="Q253" s="72" t="str">
        <x:v>由共享基础引擎判定</x:v>
      </x:c>
      <x:c r="R253" s="72" t="str">
        <x:v>喜忌不直接等于冲突方式好坏；只修正调用顺畅度、资源压力和状态切换。</x:v>
      </x:c>
      <x:c r="S253" s="72" t="str">
        <x:v>原十神性质有效；真合化成立时按化神所属功能系统重建。</x:v>
      </x:c>
      <x:c r="T253" s="72" t="str">
        <x:v>由共享基础引擎判定</x:v>
      </x:c>
      <x:c r="U253" s="72" t="str">
        <x:v>89</x:v>
      </x:c>
      <x:c r="V253" s="72" t="str">
        <x:v>不加分；去重</x:v>
      </x:c>
      <x:c r="W253" s="72" t="str">
        <x:v>provenance</x:v>
      </x:c>
      <x:c r="X253" s="72" t="str">
        <x:v>同一基础事实在多个模块出现时只保留一次权重，多模块解释写入来源日志。</x:v>
      </x:c>
      <x:c r="Y253" s="72" t="str">
        <x:v>同一个事实可以解释多个环节，但不会重复增加证据数量。</x:v>
      </x:c>
      <x:c r="Z25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53" s="72" t="str">
        <x:v>高</x:v>
      </x:c>
      <x:c r="AB253" s="72" t="str">
        <x:v>待验证</x:v>
      </x:c>
      <x:c r="AC253" s="72" t="str"/>
      <x:c r="AD253" s="72" t="str">
        <x:v>provisional=true; interface=IF18</x:v>
      </x:c>
      <x:c r="AE253" s="73" t="str">
        <x:v>0.6</x:v>
      </x:c>
    </x:row>
    <x:row r="254">
      <x:c r="A254" s="71" t="str">
        <x:v>M3-CONFLICT-250</x:v>
      </x:c>
      <x:c r="B254" s="72" t="str">
        <x:v>IF19 同根透藏去重｜外显与稳定分工</x:v>
      </x:c>
      <x:c r="C254" s="72" t="str">
        <x:v>L7 接口、去重与停止</x:v>
      </x:c>
      <x:c r="D254" s="72" t="str">
        <x:v>CONFLICT-接口门控</x:v>
      </x:c>
      <x:c r="E254" s="72" t="str">
        <x:v>通用</x:v>
      </x:c>
      <x:c r="F254" s="72" t="str">
        <x:v>接口／去重／停止</x:v>
      </x:c>
      <x:c r="G254" s="72" t="str">
        <x:v>同根透藏</x:v>
      </x:c>
      <x:c r="H254" s="72" t="str"/>
      <x:c r="I254" s="72" t="str">
        <x:v>同根透藏被调用，且相应上游模块或基础事实可追溯。</x:v>
      </x:c>
      <x:c r="J254" s="72" t="str">
        <x:v>基础信号未定；真合化后原信号已失效；只有单一弱远争议信号；或该结论会越界到M4风险、M5适配。</x:v>
      </x:c>
      <x:c r="K254" s="72" t="str">
        <x:v>由共享基础引擎与M3-STATE修正；日主承载只修正冲突处理的可执行性，不直接等于强硬或软弱。</x:v>
      </x:c>
      <x:c r="L254" s="72" t="str">
        <x:v>不限定；夫妻星只在责任、行动、投入等冲突议题中参与接口，不作为CONFLICT唯一主轴。</x:v>
      </x:c>
      <x:c r="M254" s="72" t="str">
        <x:v>由M3-BASE、日支主气及宫位动态提供；不得把日支直接写成配偶性格。</x:v>
      </x:c>
      <x:c r="N254" s="72" t="str">
        <x:v>无／待CONFLICT顺序与路径规则组合</x:v>
      </x:c>
      <x:c r="O254" s="72" t="str">
        <x:v>日柱与日支近位优先；全局有效独立信号可作次通道。</x:v>
      </x:c>
      <x:c r="P254" s="72" t="str">
        <x:v>由共享基础引擎判定</x:v>
      </x:c>
      <x:c r="Q254" s="72" t="str">
        <x:v>由共享基础引擎判定</x:v>
      </x:c>
      <x:c r="R254" s="72" t="str">
        <x:v>喜忌不直接等于冲突方式好坏；只修正调用顺畅度、资源压力和状态切换。</x:v>
      </x:c>
      <x:c r="S254" s="72" t="str">
        <x:v>原十神性质有效；真合化成立时按化神所属功能系统重建。</x:v>
      </x:c>
      <x:c r="T254" s="72" t="str">
        <x:v>由共享基础引擎判定</x:v>
      </x:c>
      <x:c r="U254" s="72" t="str">
        <x:v>89</x:v>
      </x:c>
      <x:c r="V254" s="72" t="str">
        <x:v>不加分；去重</x:v>
      </x:c>
      <x:c r="W254" s="72" t="str">
        <x:v>provenance</x:v>
      </x:c>
      <x:c r="X254" s="72" t="str">
        <x:v>透干负责可见度、藏支负责稳定背景，不能当成两项独立冲突通道。</x:v>
      </x:c>
      <x:c r="Y254" s="72" t="str">
        <x:v>同一种方式既可能被看见，也可能有长期来源，但仍是一项核心证据。</x:v>
      </x:c>
      <x:c r="Z25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54" s="72" t="str">
        <x:v>高</x:v>
      </x:c>
      <x:c r="AB254" s="72" t="str">
        <x:v>待验证</x:v>
      </x:c>
      <x:c r="AC254" s="72" t="str"/>
      <x:c r="AD254" s="72" t="str">
        <x:v>provisional=true; interface=IF19</x:v>
      </x:c>
      <x:c r="AE254" s="73" t="str">
        <x:v>0.6</x:v>
      </x:c>
    </x:row>
    <x:row r="255">
      <x:c r="A255" s="71" t="str">
        <x:v>M3-CONFLICT-251</x:v>
      </x:c>
      <x:c r="B255" s="72" t="str">
        <x:v>IF20 同系统正偏十神收敛｜先系统后风格</x:v>
      </x:c>
      <x:c r="C255" s="72" t="str">
        <x:v>L7 接口、去重与停止</x:v>
      </x:c>
      <x:c r="D255" s="72" t="str">
        <x:v>CONFLICT-接口门控</x:v>
      </x:c>
      <x:c r="E255" s="72" t="str">
        <x:v>通用</x:v>
      </x:c>
      <x:c r="F255" s="72" t="str">
        <x:v>接口／去重／停止</x:v>
      </x:c>
      <x:c r="G255" s="72" t="str">
        <x:v>正偏同系统</x:v>
      </x:c>
      <x:c r="H255" s="72" t="str"/>
      <x:c r="I255" s="72" t="str">
        <x:v>正偏同系统被调用，且相应上游模块或基础事实可追溯。</x:v>
      </x:c>
      <x:c r="J255" s="72" t="str">
        <x:v>基础信号未定；真合化后原信号已失效；只有单一弱远争议信号；或该结论会越界到M4风险、M5适配。</x:v>
      </x:c>
      <x:c r="K255" s="72" t="str">
        <x:v>由共享基础引擎与M3-STATE修正；日主承载只修正冲突处理的可执行性，不直接等于强硬或软弱。</x:v>
      </x:c>
      <x:c r="L255" s="72" t="str">
        <x:v>不限定；夫妻星只在责任、行动、投入等冲突议题中参与接口，不作为CONFLICT唯一主轴。</x:v>
      </x:c>
      <x:c r="M255" s="72" t="str">
        <x:v>由M3-BASE、日支主气及宫位动态提供；不得把日支直接写成配偶性格。</x:v>
      </x:c>
      <x:c r="N255" s="72" t="str">
        <x:v>无／待CONFLICT顺序与路径规则组合</x:v>
      </x:c>
      <x:c r="O255" s="72" t="str">
        <x:v>日柱与日支近位优先；全局有效独立信号可作次通道。</x:v>
      </x:c>
      <x:c r="P255" s="72" t="str">
        <x:v>由共享基础引擎判定</x:v>
      </x:c>
      <x:c r="Q255" s="72" t="str">
        <x:v>由共享基础引擎判定</x:v>
      </x:c>
      <x:c r="R255" s="72" t="str">
        <x:v>喜忌不直接等于冲突方式好坏；只修正调用顺畅度、资源压力和状态切换。</x:v>
      </x:c>
      <x:c r="S255" s="72" t="str">
        <x:v>原十神性质有效；真合化成立时按化神所属功能系统重建。</x:v>
      </x:c>
      <x:c r="T255" s="72" t="str">
        <x:v>由共享基础引擎判定</x:v>
      </x:c>
      <x:c r="U255" s="72" t="str">
        <x:v>89</x:v>
      </x:c>
      <x:c r="V255" s="72" t="str">
        <x:v>不加分；收敛／分工</x:v>
      </x:c>
      <x:c r="W255" s="72" t="str">
        <x:v>secondary_conflict_channel</x:v>
      </x:c>
      <x:c r="X255" s="72" t="str">
        <x:v>食伤、财、官杀、印、比劫同系统并见时先判断共同功能，再区分风格和顺序。</x:v>
      </x:c>
      <x:c r="Y255" s="72" t="str">
        <x:v>两种相近方式同时出现时，会先看共同功能，再说明谁负责启动、谁负责完成。</x:v>
      </x:c>
      <x:c r="Z25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55" s="72" t="str">
        <x:v>高</x:v>
      </x:c>
      <x:c r="AB255" s="72" t="str">
        <x:v>待验证</x:v>
      </x:c>
      <x:c r="AC255" s="72" t="str"/>
      <x:c r="AD255" s="72" t="str">
        <x:v>provisional=true; interface=IF20</x:v>
      </x:c>
      <x:c r="AE255" s="73" t="str">
        <x:v>0.6</x:v>
      </x:c>
    </x:row>
    <x:row r="256">
      <x:c r="A256" s="71" t="str">
        <x:v>M3-CONFLICT-252</x:v>
      </x:c>
      <x:c r="B256" s="72" t="str">
        <x:v>IF21 真合化替换｜原通道不得并存</x:v>
      </x:c>
      <x:c r="C256" s="72" t="str">
        <x:v>L7 接口、去重与停止</x:v>
      </x:c>
      <x:c r="D256" s="72" t="str">
        <x:v>CONFLICT-接口门控</x:v>
      </x:c>
      <x:c r="E256" s="72" t="str">
        <x:v>通用</x:v>
      </x:c>
      <x:c r="F256" s="72" t="str">
        <x:v>接口／去重／停止</x:v>
      </x:c>
      <x:c r="G256" s="72" t="str">
        <x:v>真合化成立</x:v>
      </x:c>
      <x:c r="H256" s="72" t="str"/>
      <x:c r="I256" s="72" t="str">
        <x:v>真合化成立被调用，且相应上游模块或基础事实可追溯。</x:v>
      </x:c>
      <x:c r="J256" s="72" t="str">
        <x:v>基础信号未定；真合化后原信号已失效；只有单一弱远争议信号；或该结论会越界到M4风险、M5适配。</x:v>
      </x:c>
      <x:c r="K256" s="72" t="str">
        <x:v>由共享基础引擎与M3-STATE修正；日主承载只修正冲突处理的可执行性，不直接等于强硬或软弱。</x:v>
      </x:c>
      <x:c r="L256" s="72" t="str">
        <x:v>不限定；夫妻星只在责任、行动、投入等冲突议题中参与接口，不作为CONFLICT唯一主轴。</x:v>
      </x:c>
      <x:c r="M256" s="72" t="str">
        <x:v>由M3-BASE、日支主气及宫位动态提供；不得把日支直接写成配偶性格。</x:v>
      </x:c>
      <x:c r="N256" s="72" t="str">
        <x:v>无／待CONFLICT顺序与路径规则组合</x:v>
      </x:c>
      <x:c r="O256" s="72" t="str">
        <x:v>日柱与日支近位优先；全局有效独立信号可作次通道。</x:v>
      </x:c>
      <x:c r="P256" s="72" t="str">
        <x:v>由共享基础引擎判定</x:v>
      </x:c>
      <x:c r="Q256" s="72" t="str">
        <x:v>由共享基础引擎判定</x:v>
      </x:c>
      <x:c r="R256" s="72" t="str">
        <x:v>喜忌不直接等于冲突方式好坏；只修正调用顺畅度、资源压力和状态切换。</x:v>
      </x:c>
      <x:c r="S256" s="72" t="str">
        <x:v>原十神性质有效；真合化成立时按化神所属功能系统重建。</x:v>
      </x:c>
      <x:c r="T256" s="72" t="str">
        <x:v>由共享基础引擎判定</x:v>
      </x:c>
      <x:c r="U256" s="72" t="str">
        <x:v>89</x:v>
      </x:c>
      <x:c r="V256" s="72" t="str">
        <x:v>原分清零；替换路由</x:v>
      </x:c>
      <x:c r="W256" s="72" t="str">
        <x:v>report_status</x:v>
      </x:c>
      <x:c r="X256" s="72" t="str">
        <x:v>原十神冲突分值清零，按化神映射重新建立通道、顺序和输出。</x:v>
      </x:c>
      <x:c r="Y256" s="72" t="str">
        <x:v>真合化成立时，原来的处理方式不再同时保留。</x:v>
      </x:c>
      <x:c r="Z25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56" s="72" t="str">
        <x:v>高</x:v>
      </x:c>
      <x:c r="AB256" s="72" t="str">
        <x:v>待验证</x:v>
      </x:c>
      <x:c r="AC256" s="72" t="str"/>
      <x:c r="AD256" s="72" t="str">
        <x:v>provisional=true; interface=IF21</x:v>
      </x:c>
      <x:c r="AE256" s="73" t="str">
        <x:v>0.6</x:v>
      </x:c>
    </x:row>
    <x:row r="257">
      <x:c r="A257" s="71" t="str">
        <x:v>M3-CONFLICT-253</x:v>
      </x:c>
      <x:c r="B257" s="72" t="str">
        <x:v>IF22 弱远争议回退｜只到五系统层</x:v>
      </x:c>
      <x:c r="C257" s="72" t="str">
        <x:v>L7 接口、去重与停止</x:v>
      </x:c>
      <x:c r="D257" s="72" t="str">
        <x:v>CONFLICT-接口门控</x:v>
      </x:c>
      <x:c r="E257" s="72" t="str">
        <x:v>通用</x:v>
      </x:c>
      <x:c r="F257" s="72" t="str">
        <x:v>接口／去重／停止</x:v>
      </x:c>
      <x:c r="G257" s="72" t="str">
        <x:v>弱远／强弱争议</x:v>
      </x:c>
      <x:c r="H257" s="72" t="str"/>
      <x:c r="I257" s="72" t="str">
        <x:v>弱远／强弱争议被调用，且相应上游模块或基础事实可追溯。</x:v>
      </x:c>
      <x:c r="J257" s="72" t="str">
        <x:v>基础信号未定；真合化后原信号已失效；只有单一弱远争议信号；或该结论会越界到M4风险、M5适配。</x:v>
      </x:c>
      <x:c r="K257" s="72" t="str">
        <x:v>由共享基础引擎与M3-STATE修正；日主承载只修正冲突处理的可执行性，不直接等于强硬或软弱。</x:v>
      </x:c>
      <x:c r="L257" s="72" t="str">
        <x:v>不限定；夫妻星只在责任、行动、投入等冲突议题中参与接口，不作为CONFLICT唯一主轴。</x:v>
      </x:c>
      <x:c r="M257" s="72" t="str">
        <x:v>由M3-BASE、日支主气及宫位动态提供；不得把日支直接写成配偶性格。</x:v>
      </x:c>
      <x:c r="N257" s="72" t="str">
        <x:v>无／待CONFLICT顺序与路径规则组合</x:v>
      </x:c>
      <x:c r="O257" s="72" t="str">
        <x:v>日柱与日支近位优先；全局有效独立信号可作次通道。</x:v>
      </x:c>
      <x:c r="P257" s="72" t="str">
        <x:v>由共享基础引擎判定</x:v>
      </x:c>
      <x:c r="Q257" s="72" t="str">
        <x:v>由共享基础引擎判定</x:v>
      </x:c>
      <x:c r="R257" s="72" t="str">
        <x:v>喜忌不直接等于冲突方式好坏；只修正调用顺畅度、资源压力和状态切换。</x:v>
      </x:c>
      <x:c r="S257" s="72" t="str">
        <x:v>原十神性质有效；真合化成立时按化神所属功能系统重建。</x:v>
      </x:c>
      <x:c r="T257" s="72" t="str">
        <x:v>由共享基础引擎判定</x:v>
      </x:c>
      <x:c r="U257" s="72" t="str">
        <x:v>89</x:v>
      </x:c>
      <x:c r="V257" s="72" t="str">
        <x:v>降级到系统层</x:v>
      </x:c>
      <x:c r="W257" s="72" t="str">
        <x:v>report_status</x:v>
      </x:c>
      <x:c r="X257" s="72" t="str">
        <x:v>无法可靠区分具体十神时，回退为自主、表达、现实、责任或承接系统。</x:v>
      </x:c>
      <x:c r="Y257" s="72" t="str">
        <x:v>目前只能说明你更偏向某类处理功能，不能精确到固定的冲突风格。</x:v>
      </x:c>
      <x:c r="Z25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57" s="72" t="str">
        <x:v>高</x:v>
      </x:c>
      <x:c r="AB257" s="72" t="str">
        <x:v>待验证</x:v>
      </x:c>
      <x:c r="AC257" s="72" t="str"/>
      <x:c r="AD257" s="72" t="str">
        <x:v>provisional=true; interface=IF22</x:v>
      </x:c>
      <x:c r="AE257" s="73" t="str">
        <x:v>0.6</x:v>
      </x:c>
    </x:row>
    <x:row r="258">
      <x:c r="A258" s="71" t="str">
        <x:v>M3-CONFLICT-254</x:v>
      </x:c>
      <x:c r="B258" s="72" t="str">
        <x:v>IF23 无可靠通道停止｜不得硬凑模式</x:v>
      </x:c>
      <x:c r="C258" s="72" t="str">
        <x:v>L7 接口、去重与停止</x:v>
      </x:c>
      <x:c r="D258" s="72" t="str">
        <x:v>CONFLICT-接口门控</x:v>
      </x:c>
      <x:c r="E258" s="72" t="str">
        <x:v>通用</x:v>
      </x:c>
      <x:c r="F258" s="72" t="str">
        <x:v>接口／去重／停止</x:v>
      </x:c>
      <x:c r="G258" s="72" t="str">
        <x:v>无有效主通道</x:v>
      </x:c>
      <x:c r="H258" s="72" t="str"/>
      <x:c r="I258" s="72" t="str">
        <x:v>无有效主通道被调用，且相应上游模块或基础事实可追溯。</x:v>
      </x:c>
      <x:c r="J258" s="72" t="str">
        <x:v>基础信号未定；真合化后原信号已失效；只有单一弱远争议信号；或该结论会越界到M4风险、M5适配。</x:v>
      </x:c>
      <x:c r="K258" s="72" t="str">
        <x:v>由共享基础引擎与M3-STATE修正；日主承载只修正冲突处理的可执行性，不直接等于强硬或软弱。</x:v>
      </x:c>
      <x:c r="L258" s="72" t="str">
        <x:v>不限定；夫妻星只在责任、行动、投入等冲突议题中参与接口，不作为CONFLICT唯一主轴。</x:v>
      </x:c>
      <x:c r="M258" s="72" t="str">
        <x:v>由M3-BASE、日支主气及宫位动态提供；不得把日支直接写成配偶性格。</x:v>
      </x:c>
      <x:c r="N258" s="72" t="str">
        <x:v>无／待CONFLICT顺序与路径规则组合</x:v>
      </x:c>
      <x:c r="O258" s="72" t="str">
        <x:v>日柱与日支近位优先；全局有效独立信号可作次通道。</x:v>
      </x:c>
      <x:c r="P258" s="72" t="str">
        <x:v>由共享基础引擎判定</x:v>
      </x:c>
      <x:c r="Q258" s="72" t="str">
        <x:v>由共享基础引擎判定</x:v>
      </x:c>
      <x:c r="R258" s="72" t="str">
        <x:v>喜忌不直接等于冲突方式好坏；只修正调用顺畅度、资源压力和状态切换。</x:v>
      </x:c>
      <x:c r="S258" s="72" t="str">
        <x:v>原十神性质有效；真合化成立时按化神所属功能系统重建。</x:v>
      </x:c>
      <x:c r="T258" s="72" t="str">
        <x:v>由共享基础引擎判定</x:v>
      </x:c>
      <x:c r="U258" s="72" t="str">
        <x:v>89</x:v>
      </x:c>
      <x:c r="V258" s="72" t="str">
        <x:v>停止固定判断</x:v>
      </x:c>
      <x:c r="W258" s="72" t="str">
        <x:v>report_status</x:v>
      </x:c>
      <x:c r="X258" s="72" t="str">
        <x:v>没有达到主通道门槛、关键基础未定或候选高度冲突时停止固定模式。</x:v>
      </x:c>
      <x:c r="Y258" s="72" t="str">
        <x:v>现有信息不足以判断稳定冲突方式，只保留需要验证的方向。</x:v>
      </x:c>
      <x:c r="Z25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58" s="72" t="str">
        <x:v>高</x:v>
      </x:c>
      <x:c r="AB258" s="72" t="str">
        <x:v>待验证</x:v>
      </x:c>
      <x:c r="AC258" s="72" t="str"/>
      <x:c r="AD258" s="72" t="str">
        <x:v>provisional=true; interface=IF23</x:v>
      </x:c>
      <x:c r="AE258" s="73" t="str">
        <x:v>0.6</x:v>
      </x:c>
    </x:row>
    <x:row r="259">
      <x:c r="A259" s="71" t="str">
        <x:v>M3-CONFLICT-255</x:v>
      </x:c>
      <x:c r="B259" s="72" t="str">
        <x:v>IF24 有限回退输出｜局部信息可用</x:v>
      </x:c>
      <x:c r="C259" s="72" t="str">
        <x:v>L7 接口、去重与停止</x:v>
      </x:c>
      <x:c r="D259" s="72" t="str">
        <x:v>CONFLICT-接口门控</x:v>
      </x:c>
      <x:c r="E259" s="72" t="str">
        <x:v>通用</x:v>
      </x:c>
      <x:c r="F259" s="72" t="str">
        <x:v>接口／去重／停止</x:v>
      </x:c>
      <x:c r="G259" s="72" t="str">
        <x:v>局部可靠证据</x:v>
      </x:c>
      <x:c r="H259" s="72" t="str"/>
      <x:c r="I259" s="72" t="str">
        <x:v>局部可靠证据被调用，且相应上游模块或基础事实可追溯。</x:v>
      </x:c>
      <x:c r="J259" s="72" t="str">
        <x:v>基础信号未定；真合化后原信号已失效；只有单一弱远争议信号；或该结论会越界到M4风险、M5适配。</x:v>
      </x:c>
      <x:c r="K259" s="72" t="str">
        <x:v>由共享基础引擎与M3-STATE修正；日主承载只修正冲突处理的可执行性，不直接等于强硬或软弱。</x:v>
      </x:c>
      <x:c r="L259" s="72" t="str">
        <x:v>不限定；夫妻星只在责任、行动、投入等冲突议题中参与接口，不作为CONFLICT唯一主轴。</x:v>
      </x:c>
      <x:c r="M259" s="72" t="str">
        <x:v>由M3-BASE、日支主气及宫位动态提供；不得把日支直接写成配偶性格。</x:v>
      </x:c>
      <x:c r="N259" s="72" t="str">
        <x:v>无／待CONFLICT顺序与路径规则组合</x:v>
      </x:c>
      <x:c r="O259" s="72" t="str">
        <x:v>日柱与日支近位优先；全局有效独立信号可作次通道。</x:v>
      </x:c>
      <x:c r="P259" s="72" t="str">
        <x:v>由共享基础引擎判定</x:v>
      </x:c>
      <x:c r="Q259" s="72" t="str">
        <x:v>由共享基础引擎判定</x:v>
      </x:c>
      <x:c r="R259" s="72" t="str">
        <x:v>喜忌不直接等于冲突方式好坏；只修正调用顺畅度、资源压力和状态切换。</x:v>
      </x:c>
      <x:c r="S259" s="72" t="str">
        <x:v>原十神性质有效；真合化成立时按化神所属功能系统重建。</x:v>
      </x:c>
      <x:c r="T259" s="72" t="str">
        <x:v>由共享基础引擎判定</x:v>
      </x:c>
      <x:c r="U259" s="72" t="str">
        <x:v>75</x:v>
      </x:c>
      <x:c r="V259" s="72" t="str">
        <x:v>有限回退</x:v>
      </x:c>
      <x:c r="W259" s="72" t="str">
        <x:v>report_status</x:v>
      </x:c>
      <x:c r="X259" s="72" t="str">
        <x:v>主模式停止但第一关注点、暂停需要或现实行为有可靠证据时，只输出局部字段。</x:v>
      </x:c>
      <x:c r="Y259" s="72" t="str">
        <x:v>目前可以说明你在分歧中较关注什么，但完整处理顺序仍需真实案例确认。</x:v>
      </x:c>
      <x:c r="Z25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59" s="72" t="str">
        <x:v>中高</x:v>
      </x:c>
      <x:c r="AB259" s="72" t="str">
        <x:v>待验证</x:v>
      </x:c>
      <x:c r="AC259" s="72" t="str"/>
      <x:c r="AD259" s="72" t="str">
        <x:v>provisional=true; interface=IF24</x:v>
      </x:c>
      <x:c r="AE259" s="73" t="str">
        <x:v>0.6</x:v>
      </x:c>
    </x:row>
    <x:row r="260">
      <x:c r="A260" s="71" t="str">
        <x:v>M3-CONFLICT-256</x:v>
      </x:c>
      <x:c r="B260" s="72" t="str">
        <x:v>SO01 来源权重｜日支主气／日柱直接事实</x:v>
      </x:c>
      <x:c r="C260" s="72" t="str">
        <x:v>L8 合成、评分与报告</x:v>
      </x:c>
      <x:c r="D260" s="72" t="str">
        <x:v>CONFLICT-合成输出</x:v>
      </x:c>
      <x:c r="E260" s="72" t="str">
        <x:v>通用</x:v>
      </x:c>
      <x:c r="F260" s="72" t="str">
        <x:v>评分</x:v>
      </x:c>
      <x:c r="G260" s="72" t="str">
        <x:v>日支主气／日柱</x:v>
      </x:c>
      <x:c r="H260" s="72" t="str"/>
      <x:c r="I260" s="72" t="str">
        <x:v>日支主气、日干日支关系或日柱直接事实有效。</x:v>
      </x:c>
      <x:c r="J260" s="72" t="str">
        <x:v>基础信号未定；真合化后原信号已失效；只有单一弱远争议信号；或该结论会越界到M4风险、M5适配。</x:v>
      </x:c>
      <x:c r="K260" s="72" t="str">
        <x:v>由共享基础引擎与M3-STATE修正；日主承载只修正冲突处理的可执行性，不直接等于强硬或软弱。</x:v>
      </x:c>
      <x:c r="L260" s="72" t="str">
        <x:v>不限定；夫妻星只在责任、行动、投入等冲突议题中参与接口，不作为CONFLICT唯一主轴。</x:v>
      </x:c>
      <x:c r="M260" s="72" t="str">
        <x:v>由M3-BASE、日支主气及宫位动态提供；不得把日支直接写成配偶性格。</x:v>
      </x:c>
      <x:c r="N260" s="72" t="str">
        <x:v>无／待CONFLICT顺序与路径规则组合</x:v>
      </x:c>
      <x:c r="O260" s="72" t="str">
        <x:v>日柱与日支近位优先；全局有效独立信号可作次通道。</x:v>
      </x:c>
      <x:c r="P260" s="72" t="str">
        <x:v>由共享基础引擎判定</x:v>
      </x:c>
      <x:c r="Q260" s="72" t="str">
        <x:v>由共享基础引擎判定</x:v>
      </x:c>
      <x:c r="R260" s="72" t="str">
        <x:v>喜忌不直接等于冲突方式好坏；只修正调用顺畅度、资源压力和状态切换。</x:v>
      </x:c>
      <x:c r="S260" s="72" t="str">
        <x:v>原十神性质有效；真合化成立时按化神所属功能系统重建。</x:v>
      </x:c>
      <x:c r="T260" s="72" t="str">
        <x:v>由共享基础引擎判定</x:v>
      </x:c>
      <x:c r="U260" s="72" t="str">
        <x:v>70</x:v>
      </x:c>
      <x:c r="V260" s="72" t="str">
        <x:v>基础 +18</x:v>
      </x:c>
      <x:c r="W260" s="72" t="str">
        <x:v>primary_conflict_channel</x:v>
      </x:c>
      <x:c r="X260" s="72" t="str">
        <x:v>亲密关系中的直接事实拥有最高基础权重。</x:v>
      </x:c>
      <x:c r="Y260" s="72" t="str">
        <x:v>这类信号更容易直接进入亲密关系的分歧处理。</x:v>
      </x:c>
      <x:c r="Z26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60" s="72" t="str">
        <x:v>中高</x:v>
      </x:c>
      <x:c r="AB260" s="72" t="str">
        <x:v>待验证</x:v>
      </x:c>
      <x:c r="AC260" s="72" t="str"/>
      <x:c r="AD260" s="72" t="str">
        <x:v>provisional=true; synthesis=SO01</x:v>
      </x:c>
      <x:c r="AE260" s="73" t="str">
        <x:v>0.6</x:v>
      </x:c>
    </x:row>
    <x:row r="261">
      <x:c r="A261" s="71" t="str">
        <x:v>M3-CONFLICT-257</x:v>
      </x:c>
      <x:c r="B261" s="72" t="str">
        <x:v>SO02 来源权重｜近位有根独立信号</x:v>
      </x:c>
      <x:c r="C261" s="72" t="str">
        <x:v>L8 合成、评分与报告</x:v>
      </x:c>
      <x:c r="D261" s="72" t="str">
        <x:v>CONFLICT-合成输出</x:v>
      </x:c>
      <x:c r="E261" s="72" t="str">
        <x:v>通用</x:v>
      </x:c>
      <x:c r="F261" s="72" t="str">
        <x:v>评分</x:v>
      </x:c>
      <x:c r="G261" s="72" t="str">
        <x:v>近位有根</x:v>
      </x:c>
      <x:c r="H261" s="72" t="str"/>
      <x:c r="I261" s="72" t="str">
        <x:v>近位、有根且source_id独立。</x:v>
      </x:c>
      <x:c r="J261" s="72" t="str">
        <x:v>基础信号未定；真合化后原信号已失效；只有单一弱远争议信号；或该结论会越界到M4风险、M5适配。</x:v>
      </x:c>
      <x:c r="K261" s="72" t="str">
        <x:v>由共享基础引擎与M3-STATE修正；日主承载只修正冲突处理的可执行性，不直接等于强硬或软弱。</x:v>
      </x:c>
      <x:c r="L261" s="72" t="str">
        <x:v>不限定；夫妻星只在责任、行动、投入等冲突议题中参与接口，不作为CONFLICT唯一主轴。</x:v>
      </x:c>
      <x:c r="M261" s="72" t="str">
        <x:v>由M3-BASE、日支主气及宫位动态提供；不得把日支直接写成配偶性格。</x:v>
      </x:c>
      <x:c r="N261" s="72" t="str">
        <x:v>无／待CONFLICT顺序与路径规则组合</x:v>
      </x:c>
      <x:c r="O261" s="72" t="str">
        <x:v>日柱与日支近位优先；全局有效独立信号可作次通道。</x:v>
      </x:c>
      <x:c r="P261" s="72" t="str">
        <x:v>由共享基础引擎判定</x:v>
      </x:c>
      <x:c r="Q261" s="72" t="str">
        <x:v>由共享基础引擎判定</x:v>
      </x:c>
      <x:c r="R261" s="72" t="str">
        <x:v>喜忌不直接等于冲突方式好坏；只修正调用顺畅度、资源压力和状态切换。</x:v>
      </x:c>
      <x:c r="S261" s="72" t="str">
        <x:v>原十神性质有效；真合化成立时按化神所属功能系统重建。</x:v>
      </x:c>
      <x:c r="T261" s="72" t="str">
        <x:v>由共享基础引擎判定</x:v>
      </x:c>
      <x:c r="U261" s="72" t="str">
        <x:v>70</x:v>
      </x:c>
      <x:c r="V261" s="72" t="str">
        <x:v>基础 +14</x:v>
      </x:c>
      <x:c r="W261" s="72" t="str">
        <x:v>primary_conflict_channel</x:v>
      </x:c>
      <x:c r="X261" s="72" t="str">
        <x:v>靠近日柱且有稳定来源的冲突功能更容易成为真实习惯。</x:v>
      </x:c>
      <x:c r="Y261" s="72" t="str">
        <x:v>靠近日柱且有稳定来源的处理方式，更容易成为你的真实相处惯性。</x:v>
      </x:c>
      <x:c r="Z26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61" s="72" t="str">
        <x:v>中高</x:v>
      </x:c>
      <x:c r="AB261" s="72" t="str">
        <x:v>待验证</x:v>
      </x:c>
      <x:c r="AC261" s="72" t="str"/>
      <x:c r="AD261" s="72" t="str">
        <x:v>provisional=true; synthesis=SO02</x:v>
      </x:c>
      <x:c r="AE261" s="73" t="str">
        <x:v>0.6</x:v>
      </x:c>
    </x:row>
    <x:row r="262">
      <x:c r="A262" s="71" t="str">
        <x:v>M3-CONFLICT-258</x:v>
      </x:c>
      <x:c r="B262" s="72" t="str">
        <x:v>SO03 来源权重｜透干有根外显信号</x:v>
      </x:c>
      <x:c r="C262" s="72" t="str">
        <x:v>L8 合成、评分与报告</x:v>
      </x:c>
      <x:c r="D262" s="72" t="str">
        <x:v>CONFLICT-合成输出</x:v>
      </x:c>
      <x:c r="E262" s="72" t="str">
        <x:v>通用</x:v>
      </x:c>
      <x:c r="F262" s="72" t="str">
        <x:v>评分</x:v>
      </x:c>
      <x:c r="G262" s="72" t="str">
        <x:v>透干有根</x:v>
      </x:c>
      <x:c r="H262" s="72" t="str"/>
      <x:c r="I262" s="72" t="str">
        <x:v>透干有根，且未与日支事实同源重复。</x:v>
      </x:c>
      <x:c r="J262" s="72" t="str">
        <x:v>基础信号未定；真合化后原信号已失效；只有单一弱远争议信号；或该结论会越界到M4风险、M5适配。</x:v>
      </x:c>
      <x:c r="K262" s="72" t="str">
        <x:v>由共享基础引擎与M3-STATE修正；日主承载只修正冲突处理的可执行性，不直接等于强硬或软弱。</x:v>
      </x:c>
      <x:c r="L262" s="72" t="str">
        <x:v>不限定；夫妻星只在责任、行动、投入等冲突议题中参与接口，不作为CONFLICT唯一主轴。</x:v>
      </x:c>
      <x:c r="M262" s="72" t="str">
        <x:v>由M3-BASE、日支主气及宫位动态提供；不得把日支直接写成配偶性格。</x:v>
      </x:c>
      <x:c r="N262" s="72" t="str">
        <x:v>无／待CONFLICT顺序与路径规则组合</x:v>
      </x:c>
      <x:c r="O262" s="72" t="str">
        <x:v>日柱与日支近位优先；全局有效独立信号可作次通道。</x:v>
      </x:c>
      <x:c r="P262" s="72" t="str">
        <x:v>由共享基础引擎判定</x:v>
      </x:c>
      <x:c r="Q262" s="72" t="str">
        <x:v>由共享基础引擎判定</x:v>
      </x:c>
      <x:c r="R262" s="72" t="str">
        <x:v>喜忌不直接等于冲突方式好坏；只修正调用顺畅度、资源压力和状态切换。</x:v>
      </x:c>
      <x:c r="S262" s="72" t="str">
        <x:v>原十神性质有效；真合化成立时按化神所属功能系统重建。</x:v>
      </x:c>
      <x:c r="T262" s="72" t="str">
        <x:v>由共享基础引擎判定</x:v>
      </x:c>
      <x:c r="U262" s="72" t="str">
        <x:v>70</x:v>
      </x:c>
      <x:c r="V262" s="72" t="str">
        <x:v>基础 +12</x:v>
      </x:c>
      <x:c r="W262" s="72" t="str">
        <x:v>first_response</x:v>
      </x:c>
      <x:c r="X262" s="72" t="str">
        <x:v>外显与稳定兼具，但仍需同源去重。</x:v>
      </x:c>
      <x:c r="Y262" s="72" t="str">
        <x:v>这种方式既容易被看见，也有一定重复出现的基础。</x:v>
      </x:c>
      <x:c r="Z26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62" s="72" t="str">
        <x:v>中高</x:v>
      </x:c>
      <x:c r="AB262" s="72" t="str">
        <x:v>待验证</x:v>
      </x:c>
      <x:c r="AC262" s="72" t="str"/>
      <x:c r="AD262" s="72" t="str">
        <x:v>provisional=true; synthesis=SO03</x:v>
      </x:c>
      <x:c r="AE262" s="73" t="str">
        <x:v>0.6</x:v>
      </x:c>
    </x:row>
    <x:row r="263">
      <x:c r="A263" s="71" t="str">
        <x:v>M3-CONFLICT-259</x:v>
      </x:c>
      <x:c r="B263" s="72" t="str">
        <x:v>SO04 来源权重｜全局有效独立信号</x:v>
      </x:c>
      <x:c r="C263" s="72" t="str">
        <x:v>L8 合成、评分与报告</x:v>
      </x:c>
      <x:c r="D263" s="72" t="str">
        <x:v>CONFLICT-合成输出</x:v>
      </x:c>
      <x:c r="E263" s="72" t="str">
        <x:v>通用</x:v>
      </x:c>
      <x:c r="F263" s="72" t="str">
        <x:v>评分</x:v>
      </x:c>
      <x:c r="G263" s="72" t="str">
        <x:v>全局有效独立信号</x:v>
      </x:c>
      <x:c r="H263" s="72" t="str"/>
      <x:c r="I263" s="72" t="str">
        <x:v>信号有效且独立，但位置不是日柱核心。</x:v>
      </x:c>
      <x:c r="J263" s="72" t="str">
        <x:v>基础信号未定；真合化后原信号已失效；只有单一弱远争议信号；或该结论会越界到M4风险、M5适配。</x:v>
      </x:c>
      <x:c r="K263" s="72" t="str">
        <x:v>由共享基础引擎与M3-STATE修正；日主承载只修正冲突处理的可执行性，不直接等于强硬或软弱。</x:v>
      </x:c>
      <x:c r="L263" s="72" t="str">
        <x:v>不限定；夫妻星只在责任、行动、投入等冲突议题中参与接口，不作为CONFLICT唯一主轴。</x:v>
      </x:c>
      <x:c r="M263" s="72" t="str">
        <x:v>由M3-BASE、日支主气及宫位动态提供；不得把日支直接写成配偶性格。</x:v>
      </x:c>
      <x:c r="N263" s="72" t="str">
        <x:v>无／待CONFLICT顺序与路径规则组合</x:v>
      </x:c>
      <x:c r="O263" s="72" t="str">
        <x:v>日柱与日支近位优先；全局有效独立信号可作次通道。</x:v>
      </x:c>
      <x:c r="P263" s="72" t="str">
        <x:v>由共享基础引擎判定</x:v>
      </x:c>
      <x:c r="Q263" s="72" t="str">
        <x:v>由共享基础引擎判定</x:v>
      </x:c>
      <x:c r="R263" s="72" t="str">
        <x:v>喜忌不直接等于冲突方式好坏；只修正调用顺畅度、资源压力和状态切换。</x:v>
      </x:c>
      <x:c r="S263" s="72" t="str">
        <x:v>原十神性质有效；真合化成立时按化神所属功能系统重建。</x:v>
      </x:c>
      <x:c r="T263" s="72" t="str">
        <x:v>由共享基础引擎判定</x:v>
      </x:c>
      <x:c r="U263" s="72" t="str">
        <x:v>70</x:v>
      </x:c>
      <x:c r="V263" s="72" t="str">
        <x:v>基础 +8</x:v>
      </x:c>
      <x:c r="W263" s="72" t="str">
        <x:v>secondary_conflict_channel</x:v>
      </x:c>
      <x:c r="X263" s="72" t="str">
        <x:v>可作为次通道或情境通道。</x:v>
      </x:c>
      <x:c r="Y263" s="72" t="str">
        <x:v>这项方式在命局中有效，但是否成为亲密分歧核心，需要结合位置和真实行为。</x:v>
      </x:c>
      <x:c r="Z26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63" s="72" t="str">
        <x:v>中</x:v>
      </x:c>
      <x:c r="AB263" s="72" t="str">
        <x:v>待验证</x:v>
      </x:c>
      <x:c r="AC263" s="72" t="str"/>
      <x:c r="AD263" s="72" t="str">
        <x:v>provisional=true; synthesis=SO04</x:v>
      </x:c>
      <x:c r="AE263" s="73" t="str">
        <x:v>0.6</x:v>
      </x:c>
    </x:row>
    <x:row r="264">
      <x:c r="A264" s="71" t="str">
        <x:v>M3-CONFLICT-260</x:v>
      </x:c>
      <x:c r="B264" s="72" t="str">
        <x:v>SO05 案例行为校准｜真实重复行为修正</x:v>
      </x:c>
      <x:c r="C264" s="72" t="str">
        <x:v>L8 合成、评分与报告</x:v>
      </x:c>
      <x:c r="D264" s="72" t="str">
        <x:v>CONFLICT-合成输出</x:v>
      </x:c>
      <x:c r="E264" s="72" t="str">
        <x:v>通用</x:v>
      </x:c>
      <x:c r="F264" s="72" t="str">
        <x:v>评分</x:v>
      </x:c>
      <x:c r="G264" s="72" t="str">
        <x:v>案例行为</x:v>
      </x:c>
      <x:c r="H264" s="72" t="str"/>
      <x:c r="I264" s="72" t="str">
        <x:v>至少两个真实关系情境出现相同处理顺序，并能排除单次事件。</x:v>
      </x:c>
      <x:c r="J264" s="72" t="str">
        <x:v>基础信号未定；真合化后原信号已失效；只有单一弱远争议信号；或该结论会越界到M4风险、M5适配。</x:v>
      </x:c>
      <x:c r="K264" s="72" t="str">
        <x:v>由共享基础引擎与M3-STATE修正；日主承载只修正冲突处理的可执行性，不直接等于强硬或软弱。</x:v>
      </x:c>
      <x:c r="L264" s="72" t="str">
        <x:v>不限定；夫妻星只在责任、行动、投入等冲突议题中参与接口，不作为CONFLICT唯一主轴。</x:v>
      </x:c>
      <x:c r="M264" s="72" t="str">
        <x:v>由M3-BASE、日支主气及宫位动态提供；不得把日支直接写成配偶性格。</x:v>
      </x:c>
      <x:c r="N264" s="72" t="str">
        <x:v>无／待CONFLICT顺序与路径规则组合</x:v>
      </x:c>
      <x:c r="O264" s="72" t="str">
        <x:v>日柱与日支近位优先；全局有效独立信号可作次通道。</x:v>
      </x:c>
      <x:c r="P264" s="72" t="str">
        <x:v>由共享基础引擎判定</x:v>
      </x:c>
      <x:c r="Q264" s="72" t="str">
        <x:v>由共享基础引擎判定</x:v>
      </x:c>
      <x:c r="R264" s="72" t="str">
        <x:v>喜忌不直接等于冲突方式好坏；只修正调用顺畅度、资源压力和状态切换。</x:v>
      </x:c>
      <x:c r="S264" s="72" t="str">
        <x:v>原十神性质有效；真合化成立时按化神所属功能系统重建。</x:v>
      </x:c>
      <x:c r="T264" s="72" t="str">
        <x:v>由共享基础引擎判定</x:v>
      </x:c>
      <x:c r="U264" s="72" t="str">
        <x:v>70</x:v>
      </x:c>
      <x:c r="V264" s="72" t="str">
        <x:v>案例修正 +0—6</x:v>
      </x:c>
      <x:c r="W264" s="72" t="str">
        <x:v>confidence</x:v>
      </x:c>
      <x:c r="X264" s="72" t="str">
        <x:v>真实重复行为用于校准知识库参数，而不替代命理基础。</x:v>
      </x:c>
      <x:c r="Y264" s="72" t="str">
        <x:v>真实相处中的重复行为会用于校准，而不是用一次争执定义你。</x:v>
      </x:c>
      <x:c r="Z26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64" s="72" t="str">
        <x:v>中高</x:v>
      </x:c>
      <x:c r="AB264" s="72" t="str">
        <x:v>待验证</x:v>
      </x:c>
      <x:c r="AC264" s="72" t="str"/>
      <x:c r="AD264" s="72" t="str">
        <x:v>provisional=true; synthesis=SO05</x:v>
      </x:c>
      <x:c r="AE264" s="73" t="str">
        <x:v>0.6</x:v>
      </x:c>
    </x:row>
    <x:row r="265">
      <x:c r="A265" s="71" t="str">
        <x:v>M3-CONFLICT-261</x:v>
      </x:c>
      <x:c r="B265" s="72" t="str">
        <x:v>SO06 主冲突通道门槛｜36分且领先</x:v>
      </x:c>
      <x:c r="C265" s="72" t="str">
        <x:v>L8 合成、评分与报告</x:v>
      </x:c>
      <x:c r="D265" s="72" t="str">
        <x:v>CONFLICT-合成输出</x:v>
      </x:c>
      <x:c r="E265" s="72" t="str">
        <x:v>通用</x:v>
      </x:c>
      <x:c r="F265" s="72" t="str">
        <x:v>门槛</x:v>
      </x:c>
      <x:c r="G265" s="72" t="str">
        <x:v>主通道候选</x:v>
      </x:c>
      <x:c r="H265" s="72" t="str"/>
      <x:c r="I265" s="72" t="str">
        <x:v>候选总分≥36，领先第二候选≥8，且至少两类独立证据。</x:v>
      </x:c>
      <x:c r="J265" s="72" t="str">
        <x:v>基础信号未定；真合化后原信号已失效；只有单一弱远争议信号；或该结论会越界到M4风险、M5适配。</x:v>
      </x:c>
      <x:c r="K265" s="72" t="str">
        <x:v>由共享基础引擎与M3-STATE修正；日主承载只修正冲突处理的可执行性，不直接等于强硬或软弱。</x:v>
      </x:c>
      <x:c r="L265" s="72" t="str">
        <x:v>不限定；夫妻星只在责任、行动、投入等冲突议题中参与接口，不作为CONFLICT唯一主轴。</x:v>
      </x:c>
      <x:c r="M265" s="72" t="str">
        <x:v>由M3-BASE、日支主气及宫位动态提供；不得把日支直接写成配偶性格。</x:v>
      </x:c>
      <x:c r="N265" s="72" t="str">
        <x:v>无／待CONFLICT顺序与路径规则组合</x:v>
      </x:c>
      <x:c r="O265" s="72" t="str">
        <x:v>日柱与日支近位优先；全局有效独立信号可作次通道。</x:v>
      </x:c>
      <x:c r="P265" s="72" t="str">
        <x:v>由共享基础引擎判定</x:v>
      </x:c>
      <x:c r="Q265" s="72" t="str">
        <x:v>由共享基础引擎判定</x:v>
      </x:c>
      <x:c r="R265" s="72" t="str">
        <x:v>喜忌不直接等于冲突方式好坏；只修正调用顺畅度、资源压力和状态切换。</x:v>
      </x:c>
      <x:c r="S265" s="72" t="str">
        <x:v>原十神性质有效；真合化成立时按化神所属功能系统重建。</x:v>
      </x:c>
      <x:c r="T265" s="72" t="str">
        <x:v>由共享基础引擎判定</x:v>
      </x:c>
      <x:c r="U265" s="72" t="str">
        <x:v>70</x:v>
      </x:c>
      <x:c r="V265" s="72" t="str">
        <x:v>门槛：≥36且领先≥8</x:v>
      </x:c>
      <x:c r="W265" s="72" t="str">
        <x:v>primary_conflict_channel</x:v>
      </x:c>
      <x:c r="X265" s="72" t="str">
        <x:v>只有证据集中且功能稳定时，才写入主通道。</x:v>
      </x:c>
      <x:c r="Y265" s="72" t="str">
        <x:v>只有证据足够集中时，才会把一种方式写成你的主要冲突处理通道。</x:v>
      </x:c>
      <x:c r="Z26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65" s="72" t="str">
        <x:v>中</x:v>
      </x:c>
      <x:c r="AB265" s="72" t="str">
        <x:v>待验证</x:v>
      </x:c>
      <x:c r="AC265" s="72" t="str"/>
      <x:c r="AD265" s="72" t="str">
        <x:v>provisional=true; synthesis=SO06</x:v>
      </x:c>
      <x:c r="AE265" s="73" t="str">
        <x:v>0.6</x:v>
      </x:c>
    </x:row>
    <x:row r="266">
      <x:c r="A266" s="71" t="str">
        <x:v>M3-CONFLICT-262</x:v>
      </x:c>
      <x:c r="B266" s="72" t="str">
        <x:v>SO07 次冲突通道门槛｜25分且功能独立</x:v>
      </x:c>
      <x:c r="C266" s="72" t="str">
        <x:v>L8 合成、评分与报告</x:v>
      </x:c>
      <x:c r="D266" s="72" t="str">
        <x:v>CONFLICT-合成输出</x:v>
      </x:c>
      <x:c r="E266" s="72" t="str">
        <x:v>通用</x:v>
      </x:c>
      <x:c r="F266" s="72" t="str">
        <x:v>门槛</x:v>
      </x:c>
      <x:c r="G266" s="72" t="str">
        <x:v>次通道候选</x:v>
      </x:c>
      <x:c r="H266" s="72" t="str"/>
      <x:c r="I266" s="72" t="str">
        <x:v>候选总分≥25，来源独立、功能不同，且不是主通道同义重复。</x:v>
      </x:c>
      <x:c r="J266" s="72" t="str">
        <x:v>基础信号未定；真合化后原信号已失效；只有单一弱远争议信号；或该结论会越界到M4风险、M5适配。</x:v>
      </x:c>
      <x:c r="K266" s="72" t="str">
        <x:v>由共享基础引擎与M3-STATE修正；日主承载只修正冲突处理的可执行性，不直接等于强硬或软弱。</x:v>
      </x:c>
      <x:c r="L266" s="72" t="str">
        <x:v>不限定；夫妻星只在责任、行动、投入等冲突议题中参与接口，不作为CONFLICT唯一主轴。</x:v>
      </x:c>
      <x:c r="M266" s="72" t="str">
        <x:v>由M3-BASE、日支主气及宫位动态提供；不得把日支直接写成配偶性格。</x:v>
      </x:c>
      <x:c r="N266" s="72" t="str">
        <x:v>无／待CONFLICT顺序与路径规则组合</x:v>
      </x:c>
      <x:c r="O266" s="72" t="str">
        <x:v>日柱与日支近位优先；全局有效独立信号可作次通道。</x:v>
      </x:c>
      <x:c r="P266" s="72" t="str">
        <x:v>由共享基础引擎判定</x:v>
      </x:c>
      <x:c r="Q266" s="72" t="str">
        <x:v>由共享基础引擎判定</x:v>
      </x:c>
      <x:c r="R266" s="72" t="str">
        <x:v>喜忌不直接等于冲突方式好坏；只修正调用顺畅度、资源压力和状态切换。</x:v>
      </x:c>
      <x:c r="S266" s="72" t="str">
        <x:v>原十神性质有效；真合化成立时按化神所属功能系统重建。</x:v>
      </x:c>
      <x:c r="T266" s="72" t="str">
        <x:v>由共享基础引擎判定</x:v>
      </x:c>
      <x:c r="U266" s="72" t="str">
        <x:v>70</x:v>
      </x:c>
      <x:c r="V266" s="72" t="str">
        <x:v>门槛：≥25</x:v>
      </x:c>
      <x:c r="W266" s="72" t="str">
        <x:v>secondary_conflict_channel</x:v>
      </x:c>
      <x:c r="X266" s="72" t="str">
        <x:v>次通道只在提供独立功能时保留。</x:v>
      </x:c>
      <x:c r="Y266" s="72" t="str">
        <x:v>补充方式只有在来源独立、功能不同且证据足够时才会保留。</x:v>
      </x:c>
      <x:c r="Z26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66" s="72" t="str">
        <x:v>中</x:v>
      </x:c>
      <x:c r="AB266" s="72" t="str">
        <x:v>待验证</x:v>
      </x:c>
      <x:c r="AC266" s="72" t="str"/>
      <x:c r="AD266" s="72" t="str">
        <x:v>provisional=true; synthesis=SO07</x:v>
      </x:c>
      <x:c r="AE266" s="73" t="str">
        <x:v>0.6</x:v>
      </x:c>
    </x:row>
    <x:row r="267">
      <x:c r="A267" s="71" t="str">
        <x:v>M3-CONFLICT-263</x:v>
      </x:c>
      <x:c r="B267" s="72" t="str">
        <x:v>SO08 双阶段协同门槛｜一项启动一项完成</x:v>
      </x:c>
      <x:c r="C267" s="72" t="str">
        <x:v>L8 合成、评分与报告</x:v>
      </x:c>
      <x:c r="D267" s="72" t="str">
        <x:v>CONFLICT-合成输出</x:v>
      </x:c>
      <x:c r="E267" s="72" t="str">
        <x:v>通用</x:v>
      </x:c>
      <x:c r="F267" s="72" t="str">
        <x:v>门槛</x:v>
      </x:c>
      <x:c r="G267" s="72" t="str">
        <x:v>双阶段候选</x:v>
      </x:c>
      <x:c r="H267" s="72" t="str"/>
      <x:c r="I267" s="72" t="str">
        <x:v>两个通道均达门槛，分差&lt;8，且一项负责启动／降温，另一项负责方案／责任／结束。</x:v>
      </x:c>
      <x:c r="J267" s="72" t="str">
        <x:v>基础信号未定；真合化后原信号已失效；只有单一弱远争议信号；或该结论会越界到M4风险、M5适配。</x:v>
      </x:c>
      <x:c r="K267" s="72" t="str">
        <x:v>由共享基础引擎与M3-STATE修正；日主承载只修正冲突处理的可执行性，不直接等于强硬或软弱。</x:v>
      </x:c>
      <x:c r="L267" s="72" t="str">
        <x:v>不限定；夫妻星只在责任、行动、投入等冲突议题中参与接口，不作为CONFLICT唯一主轴。</x:v>
      </x:c>
      <x:c r="M267" s="72" t="str">
        <x:v>由M3-BASE、日支主气及宫位动态提供；不得把日支直接写成配偶性格。</x:v>
      </x:c>
      <x:c r="N267" s="72" t="str">
        <x:v>无／待CONFLICT顺序与路径规则组合</x:v>
      </x:c>
      <x:c r="O267" s="72" t="str">
        <x:v>日柱与日支近位优先；全局有效独立信号可作次通道。</x:v>
      </x:c>
      <x:c r="P267" s="72" t="str">
        <x:v>由共享基础引擎判定</x:v>
      </x:c>
      <x:c r="Q267" s="72" t="str">
        <x:v>由共享基础引擎判定</x:v>
      </x:c>
      <x:c r="R267" s="72" t="str">
        <x:v>喜忌不直接等于冲突方式好坏；只修正调用顺畅度、资源压力和状态切换。</x:v>
      </x:c>
      <x:c r="S267" s="72" t="str">
        <x:v>原十神性质有效；真合化成立时按化神所属功能系统重建。</x:v>
      </x:c>
      <x:c r="T267" s="72" t="str">
        <x:v>由共享基础引擎判定</x:v>
      </x:c>
      <x:c r="U267" s="72" t="str">
        <x:v>70</x:v>
      </x:c>
      <x:c r="V267" s="72" t="str">
        <x:v>双阶段路由</x:v>
      </x:c>
      <x:c r="W267" s="72" t="str">
        <x:v>conflict_pattern</x:v>
      </x:c>
      <x:c r="X267" s="72" t="str">
        <x:v>两个强通道必须有明确功能分工，不能简单堆积。</x:v>
      </x:c>
      <x:c r="Y267" s="72" t="str">
        <x:v>当两种方式都明显时，会说明谁负责让问题进入可处理状态，谁负责把事情完成。</x:v>
      </x:c>
      <x:c r="Z26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67" s="72" t="str">
        <x:v>中</x:v>
      </x:c>
      <x:c r="AB267" s="72" t="str">
        <x:v>待验证</x:v>
      </x:c>
      <x:c r="AC267" s="72" t="str"/>
      <x:c r="AD267" s="72" t="str">
        <x:v>provisional=true; synthesis=SO08</x:v>
      </x:c>
      <x:c r="AE267" s="73" t="str">
        <x:v>0.6</x:v>
      </x:c>
    </x:row>
    <x:row r="268">
      <x:c r="A268" s="71" t="str">
        <x:v>M3-CONFLICT-264</x:v>
      </x:c>
      <x:c r="B268" s="72" t="str">
        <x:v>SO09 模式门槛｜至少两类独立证据</x:v>
      </x:c>
      <x:c r="C268" s="72" t="str">
        <x:v>L8 合成、评分与报告</x:v>
      </x:c>
      <x:c r="D268" s="72" t="str">
        <x:v>CONFLICT-合成输出</x:v>
      </x:c>
      <x:c r="E268" s="72" t="str">
        <x:v>通用</x:v>
      </x:c>
      <x:c r="F268" s="72" t="str">
        <x:v>门槛</x:v>
      </x:c>
      <x:c r="G268" s="72" t="str">
        <x:v>模式候选</x:v>
      </x:c>
      <x:c r="H268" s="72" t="str"/>
      <x:c r="I268" s="72" t="str">
        <x:v>通道证据＋过程维度／宫位动态／重复行为中的至少一项独立证据。</x:v>
      </x:c>
      <x:c r="J268" s="72" t="str">
        <x:v>基础信号未定；真合化后原信号已失效；只有单一弱远争议信号；或该结论会越界到M4风险、M5适配。</x:v>
      </x:c>
      <x:c r="K268" s="72" t="str">
        <x:v>由共享基础引擎与M3-STATE修正；日主承载只修正冲突处理的可执行性，不直接等于强硬或软弱。</x:v>
      </x:c>
      <x:c r="L268" s="72" t="str">
        <x:v>不限定；夫妻星只在责任、行动、投入等冲突议题中参与接口，不作为CONFLICT唯一主轴。</x:v>
      </x:c>
      <x:c r="M268" s="72" t="str">
        <x:v>由M3-BASE、日支主气及宫位动态提供；不得把日支直接写成配偶性格。</x:v>
      </x:c>
      <x:c r="N268" s="72" t="str">
        <x:v>无／待CONFLICT顺序与路径规则组合</x:v>
      </x:c>
      <x:c r="O268" s="72" t="str">
        <x:v>日柱与日支近位优先；全局有效独立信号可作次通道。</x:v>
      </x:c>
      <x:c r="P268" s="72" t="str">
        <x:v>由共享基础引擎判定</x:v>
      </x:c>
      <x:c r="Q268" s="72" t="str">
        <x:v>由共享基础引擎判定</x:v>
      </x:c>
      <x:c r="R268" s="72" t="str">
        <x:v>喜忌不直接等于冲突方式好坏；只修正调用顺畅度、资源压力和状态切换。</x:v>
      </x:c>
      <x:c r="S268" s="72" t="str">
        <x:v>原十神性质有效；真合化成立时按化神所属功能系统重建。</x:v>
      </x:c>
      <x:c r="T268" s="72" t="str">
        <x:v>由共享基础引擎判定</x:v>
      </x:c>
      <x:c r="U268" s="72" t="str">
        <x:v>88</x:v>
      </x:c>
      <x:c r="V268" s="72" t="str">
        <x:v>模式门控</x:v>
      </x:c>
      <x:c r="W268" s="72" t="str">
        <x:v>conflict_pattern</x:v>
      </x:c>
      <x:c r="X268" s="72" t="str">
        <x:v>单一十神标签不能直接生成模式。</x:v>
      </x:c>
      <x:c r="Y268" s="72" t="str">
        <x:v>模式标签只有在不同证据相互支持时才会使用。</x:v>
      </x:c>
      <x:c r="Z26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68" s="72" t="str">
        <x:v>高</x:v>
      </x:c>
      <x:c r="AB268" s="72" t="str">
        <x:v>待验证</x:v>
      </x:c>
      <x:c r="AC268" s="72" t="str"/>
      <x:c r="AD268" s="72" t="str">
        <x:v>provisional=true; synthesis=SO09</x:v>
      </x:c>
      <x:c r="AE268" s="73" t="str">
        <x:v>0.6</x:v>
      </x:c>
    </x:row>
    <x:row r="269">
      <x:c r="A269" s="71" t="str">
        <x:v>M3-CONFLICT-265</x:v>
      </x:c>
      <x:c r="B269" s="72" t="str">
        <x:v>SO10 顺序门槛｜至少两个有效节点和一条桥梁</x:v>
      </x:c>
      <x:c r="C269" s="72" t="str">
        <x:v>L8 合成、评分与报告</x:v>
      </x:c>
      <x:c r="D269" s="72" t="str">
        <x:v>CONFLICT-合成输出</x:v>
      </x:c>
      <x:c r="E269" s="72" t="str">
        <x:v>通用</x:v>
      </x:c>
      <x:c r="F269" s="72" t="str">
        <x:v>门槛</x:v>
      </x:c>
      <x:c r="G269" s="72" t="str">
        <x:v>顺序候选</x:v>
      </x:c>
      <x:c r="H269" s="72" t="str"/>
      <x:c r="I269" s="72" t="str">
        <x:v>起点、转换和终点可追溯；不得仅凭柱位或五行生克。</x:v>
      </x:c>
      <x:c r="J269" s="72" t="str">
        <x:v>基础信号未定；真合化后原信号已失效；只有单一弱远争议信号；或该结论会越界到M4风险、M5适配。</x:v>
      </x:c>
      <x:c r="K269" s="72" t="str">
        <x:v>由共享基础引擎与M3-STATE修正；日主承载只修正冲突处理的可执行性，不直接等于强硬或软弱。</x:v>
      </x:c>
      <x:c r="L269" s="72" t="str">
        <x:v>不限定；夫妻星只在责任、行动、投入等冲突议题中参与接口，不作为CONFLICT唯一主轴。</x:v>
      </x:c>
      <x:c r="M269" s="72" t="str">
        <x:v>由M3-BASE、日支主气及宫位动态提供；不得把日支直接写成配偶性格。</x:v>
      </x:c>
      <x:c r="N269" s="72" t="str">
        <x:v>无／待CONFLICT顺序与路径规则组合</x:v>
      </x:c>
      <x:c r="O269" s="72" t="str">
        <x:v>日柱与日支近位优先；全局有效独立信号可作次通道。</x:v>
      </x:c>
      <x:c r="P269" s="72" t="str">
        <x:v>由共享基础引擎判定</x:v>
      </x:c>
      <x:c r="Q269" s="72" t="str">
        <x:v>由共享基础引擎判定</x:v>
      </x:c>
      <x:c r="R269" s="72" t="str">
        <x:v>喜忌不直接等于冲突方式好坏；只修正调用顺畅度、资源压力和状态切换。</x:v>
      </x:c>
      <x:c r="S269" s="72" t="str">
        <x:v>原十神性质有效；真合化成立时按化神所属功能系统重建。</x:v>
      </x:c>
      <x:c r="T269" s="72" t="str">
        <x:v>由共享基础引擎判定</x:v>
      </x:c>
      <x:c r="U269" s="72" t="str">
        <x:v>88</x:v>
      </x:c>
      <x:c r="V269" s="72" t="str">
        <x:v>顺序门控</x:v>
      </x:c>
      <x:c r="W269" s="72" t="str">
        <x:v>conflict_sequence</x:v>
      </x:c>
      <x:c r="X269" s="72" t="str">
        <x:v>现实先后必须由功能和独立证据共同支持。</x:v>
      </x:c>
      <x:c r="Y269" s="72" t="str">
        <x:v>只有能说明“先什么、再什么、最后怎样结束”时，才会写完整处理顺序。</x:v>
      </x:c>
      <x:c r="Z26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69" s="72" t="str">
        <x:v>高</x:v>
      </x:c>
      <x:c r="AB269" s="72" t="str">
        <x:v>待验证</x:v>
      </x:c>
      <x:c r="AC269" s="72" t="str"/>
      <x:c r="AD269" s="72" t="str">
        <x:v>provisional=true; synthesis=SO10</x:v>
      </x:c>
      <x:c r="AE269" s="73" t="str">
        <x:v>0.6</x:v>
      </x:c>
    </x:row>
    <x:row r="270">
      <x:c r="A270" s="71" t="str">
        <x:v>M3-CONFLICT-266</x:v>
      </x:c>
      <x:c r="B270" s="72" t="str">
        <x:v>SO11 输出上限｜一主一次一顺序一结束条件</x:v>
      </x:c>
      <x:c r="C270" s="72" t="str">
        <x:v>L8 合成、评分与报告</x:v>
      </x:c>
      <x:c r="D270" s="72" t="str">
        <x:v>CONFLICT-合成输出</x:v>
      </x:c>
      <x:c r="E270" s="72" t="str">
        <x:v>通用</x:v>
      </x:c>
      <x:c r="F270" s="72" t="str">
        <x:v>门槛</x:v>
      </x:c>
      <x:c r="G270" s="72" t="str">
        <x:v>输出裁剪</x:v>
      </x:c>
      <x:c r="H270" s="72" t="str"/>
      <x:c r="I270" s="72" t="str">
        <x:v>完成评分、去重和冲突路由后。</x:v>
      </x:c>
      <x:c r="J270" s="72" t="str">
        <x:v>基础信号未定；真合化后原信号已失效；只有单一弱远争议信号；或该结论会越界到M4风险、M5适配。</x:v>
      </x:c>
      <x:c r="K270" s="72" t="str">
        <x:v>由共享基础引擎与M3-STATE修正；日主承载只修正冲突处理的可执行性，不直接等于强硬或软弱。</x:v>
      </x:c>
      <x:c r="L270" s="72" t="str">
        <x:v>不限定；夫妻星只在责任、行动、投入等冲突议题中参与接口，不作为CONFLICT唯一主轴。</x:v>
      </x:c>
      <x:c r="M270" s="72" t="str">
        <x:v>由M3-BASE、日支主气及宫位动态提供；不得把日支直接写成配偶性格。</x:v>
      </x:c>
      <x:c r="N270" s="72" t="str">
        <x:v>无／待CONFLICT顺序与路径规则组合</x:v>
      </x:c>
      <x:c r="O270" s="72" t="str">
        <x:v>日柱与日支近位优先；全局有效独立信号可作次通道。</x:v>
      </x:c>
      <x:c r="P270" s="72" t="str">
        <x:v>由共享基础引擎判定</x:v>
      </x:c>
      <x:c r="Q270" s="72" t="str">
        <x:v>由共享基础引擎判定</x:v>
      </x:c>
      <x:c r="R270" s="72" t="str">
        <x:v>喜忌不直接等于冲突方式好坏；只修正调用顺畅度、资源压力和状态切换。</x:v>
      </x:c>
      <x:c r="S270" s="72" t="str">
        <x:v>原十神性质有效；真合化成立时按化神所属功能系统重建。</x:v>
      </x:c>
      <x:c r="T270" s="72" t="str">
        <x:v>由共享基础引擎判定</x:v>
      </x:c>
      <x:c r="U270" s="72" t="str">
        <x:v>88</x:v>
      </x:c>
      <x:c r="V270" s="72" t="str">
        <x:v>不加分；裁剪</x:v>
      </x:c>
      <x:c r="W270" s="72" t="str">
        <x:v>report_template</x:v>
      </x:c>
      <x:c r="X270" s="72" t="str">
        <x:v>最终正文限制标签数量，避免万能画像。</x:v>
      </x:c>
      <x:c r="Y270" s="72" t="str">
        <x:v>最终会保留一个主通道、一个真正独立的次通道、一个处理顺序和一个阶段结束条件。</x:v>
      </x:c>
      <x:c r="Z27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70" s="72" t="str">
        <x:v>高</x:v>
      </x:c>
      <x:c r="AB270" s="72" t="str">
        <x:v>待验证</x:v>
      </x:c>
      <x:c r="AC270" s="72" t="str"/>
      <x:c r="AD270" s="72" t="str">
        <x:v>provisional=true; synthesis=SO11</x:v>
      </x:c>
      <x:c r="AE270" s="73" t="str">
        <x:v>0.6</x:v>
      </x:c>
    </x:row>
    <x:row r="271">
      <x:c r="A271" s="71" t="str">
        <x:v>M3-CONFLICT-267</x:v>
      </x:c>
      <x:c r="B271" s="72" t="str">
        <x:v>SO12 高置信｜多源独立且基础稳定</x:v>
      </x:c>
      <x:c r="C271" s="72" t="str">
        <x:v>L8 合成、评分与报告</x:v>
      </x:c>
      <x:c r="D271" s="72" t="str">
        <x:v>CONFLICT-合成输出</x:v>
      </x:c>
      <x:c r="E271" s="72" t="str">
        <x:v>通用</x:v>
      </x:c>
      <x:c r="F271" s="72" t="str">
        <x:v>置信</x:v>
      </x:c>
      <x:c r="G271" s="72" t="str">
        <x:v>置信度</x:v>
      </x:c>
      <x:c r="H271" s="72" t="str"/>
      <x:c r="I271" s="72" t="str">
        <x:v>主通道多源独立、合化旺衰无关键争议、过程维度与案例一致。</x:v>
      </x:c>
      <x:c r="J271" s="72" t="str">
        <x:v>基础信号未定；真合化后原信号已失效；只有单一弱远争议信号；或该结论会越界到M4风险、M5适配。</x:v>
      </x:c>
      <x:c r="K271" s="72" t="str">
        <x:v>由共享基础引擎与M3-STATE修正；日主承载只修正冲突处理的可执行性，不直接等于强硬或软弱。</x:v>
      </x:c>
      <x:c r="L271" s="72" t="str">
        <x:v>不限定；夫妻星只在责任、行动、投入等冲突议题中参与接口，不作为CONFLICT唯一主轴。</x:v>
      </x:c>
      <x:c r="M271" s="72" t="str">
        <x:v>由M3-BASE、日支主气及宫位动态提供；不得把日支直接写成配偶性格。</x:v>
      </x:c>
      <x:c r="N271" s="72" t="str">
        <x:v>无／待CONFLICT顺序与路径规则组合</x:v>
      </x:c>
      <x:c r="O271" s="72" t="str">
        <x:v>日柱与日支近位优先；全局有效独立信号可作次通道。</x:v>
      </x:c>
      <x:c r="P271" s="72" t="str">
        <x:v>由共享基础引擎判定</x:v>
      </x:c>
      <x:c r="Q271" s="72" t="str">
        <x:v>由共享基础引擎判定</x:v>
      </x:c>
      <x:c r="R271" s="72" t="str">
        <x:v>喜忌不直接等于冲突方式好坏；只修正调用顺畅度、资源压力和状态切换。</x:v>
      </x:c>
      <x:c r="S271" s="72" t="str">
        <x:v>原十神性质有效；真合化成立时按化神所属功能系统重建。</x:v>
      </x:c>
      <x:c r="T271" s="72" t="str">
        <x:v>由共享基础引擎判定</x:v>
      </x:c>
      <x:c r="U271" s="72" t="str">
        <x:v>88</x:v>
      </x:c>
      <x:c r="V271" s="72" t="str">
        <x:v>高=90</x:v>
      </x:c>
      <x:c r="W271" s="72" t="str">
        <x:v>confidence</x:v>
      </x:c>
      <x:c r="X271" s="72" t="str">
        <x:v>高置信表示内部证据充分，不是统计准确率。</x:v>
      </x:c>
      <x:c r="Y271" s="72" t="str">
        <x:v>这一判断有多类独立证据支持，但仍保留模型边界。</x:v>
      </x:c>
      <x:c r="Z27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71" s="72" t="str">
        <x:v>高</x:v>
      </x:c>
      <x:c r="AB271" s="72" t="str">
        <x:v>待验证</x:v>
      </x:c>
      <x:c r="AC271" s="72" t="str"/>
      <x:c r="AD271" s="72" t="str">
        <x:v>provisional=true; synthesis=SO12</x:v>
      </x:c>
      <x:c r="AE271" s="73" t="str">
        <x:v>0.6</x:v>
      </x:c>
    </x:row>
    <x:row r="272">
      <x:c r="A272" s="71" t="str">
        <x:v>M3-CONFLICT-268</x:v>
      </x:c>
      <x:c r="B272" s="72" t="str">
        <x:v>SO13 中高置信｜一主一辅且无关键冲突</x:v>
      </x:c>
      <x:c r="C272" s="72" t="str">
        <x:v>L8 合成、评分与报告</x:v>
      </x:c>
      <x:c r="D272" s="72" t="str">
        <x:v>CONFLICT-合成输出</x:v>
      </x:c>
      <x:c r="E272" s="72" t="str">
        <x:v>通用</x:v>
      </x:c>
      <x:c r="F272" s="72" t="str">
        <x:v>置信</x:v>
      </x:c>
      <x:c r="G272" s="72" t="str">
        <x:v>置信度</x:v>
      </x:c>
      <x:c r="H272" s="72" t="str"/>
      <x:c r="I272" s="72" t="str">
        <x:v>主方向清楚，次通道或顺序有独立支持，无关键停止条件。</x:v>
      </x:c>
      <x:c r="J272" s="72" t="str">
        <x:v>基础信号未定；真合化后原信号已失效；只有单一弱远争议信号；或该结论会越界到M4风险、M5适配。</x:v>
      </x:c>
      <x:c r="K272" s="72" t="str">
        <x:v>由共享基础引擎与M3-STATE修正；日主承载只修正冲突处理的可执行性，不直接等于强硬或软弱。</x:v>
      </x:c>
      <x:c r="L272" s="72" t="str">
        <x:v>不限定；夫妻星只在责任、行动、投入等冲突议题中参与接口，不作为CONFLICT唯一主轴。</x:v>
      </x:c>
      <x:c r="M272" s="72" t="str">
        <x:v>由M3-BASE、日支主气及宫位动态提供；不得把日支直接写成配偶性格。</x:v>
      </x:c>
      <x:c r="N272" s="72" t="str">
        <x:v>无／待CONFLICT顺序与路径规则组合</x:v>
      </x:c>
      <x:c r="O272" s="72" t="str">
        <x:v>日柱与日支近位优先；全局有效独立信号可作次通道。</x:v>
      </x:c>
      <x:c r="P272" s="72" t="str">
        <x:v>由共享基础引擎判定</x:v>
      </x:c>
      <x:c r="Q272" s="72" t="str">
        <x:v>由共享基础引擎判定</x:v>
      </x:c>
      <x:c r="R272" s="72" t="str">
        <x:v>喜忌不直接等于冲突方式好坏；只修正调用顺畅度、资源压力和状态切换。</x:v>
      </x:c>
      <x:c r="S272" s="72" t="str">
        <x:v>原十神性质有效；真合化成立时按化神所属功能系统重建。</x:v>
      </x:c>
      <x:c r="T272" s="72" t="str">
        <x:v>由共享基础引擎判定</x:v>
      </x:c>
      <x:c r="U272" s="72" t="str">
        <x:v>70</x:v>
      </x:c>
      <x:c r="V272" s="72" t="str">
        <x:v>中高=80</x:v>
      </x:c>
      <x:c r="W272" s="72" t="str">
        <x:v>confidence</x:v>
      </x:c>
      <x:c r="X272" s="72" t="str">
        <x:v>中高置信适用于主要方向清楚但部分细节待验证。</x:v>
      </x:c>
      <x:c r="Y272" s="72" t="str">
        <x:v>主要方向比较清楚，同时仍有部分处理细节需要真实相处验证。</x:v>
      </x:c>
      <x:c r="Z27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72" s="72" t="str">
        <x:v>中高</x:v>
      </x:c>
      <x:c r="AB272" s="72" t="str">
        <x:v>待验证</x:v>
      </x:c>
      <x:c r="AC272" s="72" t="str"/>
      <x:c r="AD272" s="72" t="str">
        <x:v>provisional=true; synthesis=SO13</x:v>
      </x:c>
      <x:c r="AE272" s="73" t="str">
        <x:v>0.6</x:v>
      </x:c>
    </x:row>
    <x:row r="273">
      <x:c r="A273" s="71" t="str">
        <x:v>M3-CONFLICT-269</x:v>
      </x:c>
      <x:c r="B273" s="72" t="str">
        <x:v>SO14 中置信｜单一可靠来源或主次接近</x:v>
      </x:c>
      <x:c r="C273" s="72" t="str">
        <x:v>L8 合成、评分与报告</x:v>
      </x:c>
      <x:c r="D273" s="72" t="str">
        <x:v>CONFLICT-合成输出</x:v>
      </x:c>
      <x:c r="E273" s="72" t="str">
        <x:v>通用</x:v>
      </x:c>
      <x:c r="F273" s="72" t="str">
        <x:v>置信</x:v>
      </x:c>
      <x:c r="G273" s="72" t="str">
        <x:v>置信度</x:v>
      </x:c>
      <x:c r="H273" s="72" t="str"/>
      <x:c r="I273" s="72" t="str">
        <x:v>只有一类可靠来源，或主次分差较小但仍可有限输出。</x:v>
      </x:c>
      <x:c r="J273" s="72" t="str">
        <x:v>基础信号未定；真合化后原信号已失效；只有单一弱远争议信号；或该结论会越界到M4风险、M5适配。</x:v>
      </x:c>
      <x:c r="K273" s="72" t="str">
        <x:v>由共享基础引擎与M3-STATE修正；日主承载只修正冲突处理的可执行性，不直接等于强硬或软弱。</x:v>
      </x:c>
      <x:c r="L273" s="72" t="str">
        <x:v>不限定；夫妻星只在责任、行动、投入等冲突议题中参与接口，不作为CONFLICT唯一主轴。</x:v>
      </x:c>
      <x:c r="M273" s="72" t="str">
        <x:v>由M3-BASE、日支主气及宫位动态提供；不得把日支直接写成配偶性格。</x:v>
      </x:c>
      <x:c r="N273" s="72" t="str">
        <x:v>无／待CONFLICT顺序与路径规则组合</x:v>
      </x:c>
      <x:c r="O273" s="72" t="str">
        <x:v>日柱与日支近位优先；全局有效独立信号可作次通道。</x:v>
      </x:c>
      <x:c r="P273" s="72" t="str">
        <x:v>由共享基础引擎判定</x:v>
      </x:c>
      <x:c r="Q273" s="72" t="str">
        <x:v>由共享基础引擎判定</x:v>
      </x:c>
      <x:c r="R273" s="72" t="str">
        <x:v>喜忌不直接等于冲突方式好坏；只修正调用顺畅度、资源压力和状态切换。</x:v>
      </x:c>
      <x:c r="S273" s="72" t="str">
        <x:v>原十神性质有效；真合化成立时按化神所属功能系统重建。</x:v>
      </x:c>
      <x:c r="T273" s="72" t="str">
        <x:v>由共享基础引擎判定</x:v>
      </x:c>
      <x:c r="U273" s="72" t="str">
        <x:v>70</x:v>
      </x:c>
      <x:c r="V273" s="72" t="str">
        <x:v>中=68</x:v>
      </x:c>
      <x:c r="W273" s="72" t="str">
        <x:v>confidence</x:v>
      </x:c>
      <x:c r="X273" s="72" t="str">
        <x:v>中置信表示可用但不能过度细化。</x:v>
      </x:c>
      <x:c r="Y273" s="72" t="str">
        <x:v>目前有可用证据，但具体主次或完整顺序仍需要真实案例验证。</x:v>
      </x:c>
      <x:c r="Z27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73" s="72" t="str">
        <x:v>中</x:v>
      </x:c>
      <x:c r="AB273" s="72" t="str">
        <x:v>待验证</x:v>
      </x:c>
      <x:c r="AC273" s="72" t="str"/>
      <x:c r="AD273" s="72" t="str">
        <x:v>provisional=true; synthesis=SO14</x:v>
      </x:c>
      <x:c r="AE273" s="73" t="str">
        <x:v>0.6</x:v>
      </x:c>
    </x:row>
    <x:row r="274">
      <x:c r="A274" s="71" t="str">
        <x:v>M3-CONFLICT-270</x:v>
      </x:c>
      <x:c r="B274" s="72" t="str">
        <x:v>SO15 中低／低／停止｜关键证据不足</x:v>
      </x:c>
      <x:c r="C274" s="72" t="str">
        <x:v>L8 合成、评分与报告</x:v>
      </x:c>
      <x:c r="D274" s="72" t="str">
        <x:v>CONFLICT-合成输出</x:v>
      </x:c>
      <x:c r="E274" s="72" t="str">
        <x:v>通用</x:v>
      </x:c>
      <x:c r="F274" s="72" t="str">
        <x:v>置信</x:v>
      </x:c>
      <x:c r="G274" s="72" t="str">
        <x:v>置信度</x:v>
      </x:c>
      <x:c r="H274" s="72" t="str"/>
      <x:c r="I274" s="72" t="str">
        <x:v>信号弱远、基础争议、桥梁缺失、真合化未定或无主通道。</x:v>
      </x:c>
      <x:c r="J274" s="72" t="str">
        <x:v>基础信号未定；真合化后原信号已失效；只有单一弱远争议信号；或该结论会越界到M4风险、M5适配。</x:v>
      </x:c>
      <x:c r="K274" s="72" t="str">
        <x:v>由共享基础引擎与M3-STATE修正；日主承载只修正冲突处理的可执行性，不直接等于强硬或软弱。</x:v>
      </x:c>
      <x:c r="L274" s="72" t="str">
        <x:v>不限定；夫妻星只在责任、行动、投入等冲突议题中参与接口，不作为CONFLICT唯一主轴。</x:v>
      </x:c>
      <x:c r="M274" s="72" t="str">
        <x:v>由M3-BASE、日支主气及宫位动态提供；不得把日支直接写成配偶性格。</x:v>
      </x:c>
      <x:c r="N274" s="72" t="str">
        <x:v>无／待CONFLICT顺序与路径规则组合</x:v>
      </x:c>
      <x:c r="O274" s="72" t="str">
        <x:v>日柱与日支近位优先；全局有效独立信号可作次通道。</x:v>
      </x:c>
      <x:c r="P274" s="72" t="str">
        <x:v>由共享基础引擎判定</x:v>
      </x:c>
      <x:c r="Q274" s="72" t="str">
        <x:v>由共享基础引擎判定</x:v>
      </x:c>
      <x:c r="R274" s="72" t="str">
        <x:v>喜忌不直接等于冲突方式好坏；只修正调用顺畅度、资源压力和状态切换。</x:v>
      </x:c>
      <x:c r="S274" s="72" t="str">
        <x:v>原十神性质有效；真合化成立时按化神所属功能系统重建。</x:v>
      </x:c>
      <x:c r="T274" s="72" t="str">
        <x:v>由共享基础引擎判定</x:v>
      </x:c>
      <x:c r="U274" s="72" t="str">
        <x:v>88</x:v>
      </x:c>
      <x:c r="V274" s="72" t="str">
        <x:v>中低55／低40／停止0</x:v>
      </x:c>
      <x:c r="W274" s="72" t="str">
        <x:v>confidence</x:v>
      </x:c>
      <x:c r="X274" s="72" t="str">
        <x:v>根据可用程度回退、低置信或停止。</x:v>
      </x:c>
      <x:c r="Y274" s="72" t="str">
        <x:v>目前证据不足，只能保留有限方向或停止固定判断。</x:v>
      </x:c>
      <x:c r="Z27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74" s="72" t="str">
        <x:v>高</x:v>
      </x:c>
      <x:c r="AB274" s="72" t="str">
        <x:v>待验证</x:v>
      </x:c>
      <x:c r="AC274" s="72" t="str"/>
      <x:c r="AD274" s="72" t="str">
        <x:v>provisional=true; synthesis=SO15</x:v>
      </x:c>
      <x:c r="AE274" s="73" t="str">
        <x:v>0.6</x:v>
      </x:c>
    </x:row>
    <x:row r="275">
      <x:c r="A275" s="71" t="str">
        <x:v>M3-CONFLICT-271</x:v>
      </x:c>
      <x:c r="B275" s="72" t="str">
        <x:v>SO16 最终字段权威｜CONFLICT负责分歧处理</x:v>
      </x:c>
      <x:c r="C275" s="72" t="str">
        <x:v>L8 合成、评分与报告</x:v>
      </x:c>
      <x:c r="D275" s="72" t="str">
        <x:v>CONFLICT-合成输出</x:v>
      </x:c>
      <x:c r="E275" s="72" t="str">
        <x:v>通用</x:v>
      </x:c>
      <x:c r="F275" s="72" t="str">
        <x:v>输出</x:v>
      </x:c>
      <x:c r="G275" s="72" t="str">
        <x:v>字段权威</x:v>
      </x:c>
      <x:c r="H275" s="72" t="str"/>
      <x:c r="I275" s="72" t="str">
        <x:v>模型三总合成调用CONFLICT字段。</x:v>
      </x:c>
      <x:c r="J275" s="72" t="str">
        <x:v>基础信号未定；真合化后原信号已失效；只有单一弱远争议信号；或该结论会越界到M4风险、M5适配。</x:v>
      </x:c>
      <x:c r="K275" s="72" t="str">
        <x:v>由共享基础引擎与M3-STATE修正；日主承载只修正冲突处理的可执行性，不直接等于强硬或软弱。</x:v>
      </x:c>
      <x:c r="L275" s="72" t="str">
        <x:v>不限定；夫妻星只在责任、行动、投入等冲突议题中参与接口，不作为CONFLICT唯一主轴。</x:v>
      </x:c>
      <x:c r="M275" s="72" t="str">
        <x:v>由M3-BASE、日支主气及宫位动态提供；不得把日支直接写成配偶性格。</x:v>
      </x:c>
      <x:c r="N275" s="72" t="str">
        <x:v>无／待CONFLICT顺序与路径规则组合</x:v>
      </x:c>
      <x:c r="O275" s="72" t="str">
        <x:v>日柱与日支近位优先；全局有效独立信号可作次通道。</x:v>
      </x:c>
      <x:c r="P275" s="72" t="str">
        <x:v>由共享基础引擎判定</x:v>
      </x:c>
      <x:c r="Q275" s="72" t="str">
        <x:v>由共享基础引擎判定</x:v>
      </x:c>
      <x:c r="R275" s="72" t="str">
        <x:v>喜忌不直接等于冲突方式好坏；只修正调用顺畅度、资源压力和状态切换。</x:v>
      </x:c>
      <x:c r="S275" s="72" t="str">
        <x:v>原十神性质有效；真合化成立时按化神所属功能系统重建。</x:v>
      </x:c>
      <x:c r="T275" s="72" t="str">
        <x:v>由共享基础引擎判定</x:v>
      </x:c>
      <x:c r="U275" s="72" t="str">
        <x:v>88</x:v>
      </x:c>
      <x:c r="V275" s="72" t="str">
        <x:v>不加分；字段权威</x:v>
      </x:c>
      <x:c r="W275" s="72" t="str">
        <x:v>provenance</x:v>
      </x:c>
      <x:c r="X275" s="72" t="str">
        <x:v>M3总报告中的第一反应、处理顺序、暂停和阶段结束以CONFLICT为主权威。</x:v>
      </x:c>
      <x:c r="Y275" s="72" t="str">
        <x:v>模型三总报告里，分歧处理方式以这一模块为准。</x:v>
      </x:c>
      <x:c r="Z27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75" s="72" t="str">
        <x:v>高</x:v>
      </x:c>
      <x:c r="AB275" s="72" t="str">
        <x:v>待验证</x:v>
      </x:c>
      <x:c r="AC275" s="72" t="str"/>
      <x:c r="AD275" s="72" t="str">
        <x:v>provisional=true; synthesis=SO16</x:v>
      </x:c>
      <x:c r="AE275" s="73" t="str">
        <x:v>0.6</x:v>
      </x:c>
    </x:row>
    <x:row r="276">
      <x:c r="A276" s="71" t="str">
        <x:v>M3-CONFLICT-272</x:v>
      </x:c>
      <x:c r="B276" s="72" t="str">
        <x:v>SO17 单通道标准模板｜直接可用</x:v>
      </x:c>
      <x:c r="C276" s="72" t="str">
        <x:v>L8 合成、评分与报告</x:v>
      </x:c>
      <x:c r="D276" s="72" t="str">
        <x:v>CONFLICT-合成输出</x:v>
      </x:c>
      <x:c r="E276" s="72" t="str">
        <x:v>通用</x:v>
      </x:c>
      <x:c r="F276" s="72" t="str">
        <x:v>输出</x:v>
      </x:c>
      <x:c r="G276" s="72" t="str">
        <x:v>单通道输出</x:v>
      </x:c>
      <x:c r="H276" s="72" t="str"/>
      <x:c r="I276" s="72" t="str">
        <x:v>一个主通道成立，次通道未达门槛或同义收敛。</x:v>
      </x:c>
      <x:c r="J276" s="72" t="str">
        <x:v>基础信号未定；真合化后原信号已失效；只有单一弱远争议信号；或该结论会越界到M4风险、M5适配。</x:v>
      </x:c>
      <x:c r="K276" s="72" t="str">
        <x:v>由共享基础引擎与M3-STATE修正；日主承载只修正冲突处理的可执行性，不直接等于强硬或软弱。</x:v>
      </x:c>
      <x:c r="L276" s="72" t="str">
        <x:v>不限定；夫妻星只在责任、行动、投入等冲突议题中参与接口，不作为CONFLICT唯一主轴。</x:v>
      </x:c>
      <x:c r="M276" s="72" t="str">
        <x:v>由M3-BASE、日支主气及宫位动态提供；不得把日支直接写成配偶性格。</x:v>
      </x:c>
      <x:c r="N276" s="72" t="str">
        <x:v>无／待CONFLICT顺序与路径规则组合</x:v>
      </x:c>
      <x:c r="O276" s="72" t="str">
        <x:v>日柱与日支近位优先；全局有效独立信号可作次通道。</x:v>
      </x:c>
      <x:c r="P276" s="72" t="str">
        <x:v>由共享基础引擎判定</x:v>
      </x:c>
      <x:c r="Q276" s="72" t="str">
        <x:v>由共享基础引擎判定</x:v>
      </x:c>
      <x:c r="R276" s="72" t="str">
        <x:v>喜忌不直接等于冲突方式好坏；只修正调用顺畅度、资源压力和状态切换。</x:v>
      </x:c>
      <x:c r="S276" s="72" t="str">
        <x:v>原十神性质有效；真合化成立时按化神所属功能系统重建。</x:v>
      </x:c>
      <x:c r="T276" s="72" t="str">
        <x:v>由共享基础引擎判定</x:v>
      </x:c>
      <x:c r="U276" s="72" t="str">
        <x:v>88</x:v>
      </x:c>
      <x:c r="V276" s="72" t="str">
        <x:v>不加分；模板</x:v>
      </x:c>
      <x:c r="W276" s="72" t="str">
        <x:v>report_template</x:v>
      </x:c>
      <x:c r="X276" s="72" t="str">
        <x:v>用一主通道＋顺序＋结束条件形成简洁用户文案。</x:v>
      </x:c>
      <x:c r="Y276" s="72" t="str">
        <x:v>分歧出现时，你更习惯先【第一反应】，重点确认【注意焦点】。之后会通过【主要通道】把问题推进到【阶段结束条件】。</x:v>
      </x:c>
      <x:c r="Z27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76" s="72" t="str">
        <x:v>高</x:v>
      </x:c>
      <x:c r="AB276" s="72" t="str">
        <x:v>待验证</x:v>
      </x:c>
      <x:c r="AC276" s="72" t="str"/>
      <x:c r="AD276" s="72" t="str">
        <x:v>provisional=true; synthesis=SO17</x:v>
      </x:c>
      <x:c r="AE276" s="73" t="str">
        <x:v>0.6</x:v>
      </x:c>
    </x:row>
    <x:row r="277">
      <x:c r="A277" s="71" t="str">
        <x:v>M3-CONFLICT-273</x:v>
      </x:c>
      <x:c r="B277" s="72" t="str">
        <x:v>SO18 双阶段模板｜说明功能分工</x:v>
      </x:c>
      <x:c r="C277" s="72" t="str">
        <x:v>L8 合成、评分与报告</x:v>
      </x:c>
      <x:c r="D277" s="72" t="str">
        <x:v>CONFLICT-合成输出</x:v>
      </x:c>
      <x:c r="E277" s="72" t="str">
        <x:v>通用</x:v>
      </x:c>
      <x:c r="F277" s="72" t="str">
        <x:v>输出</x:v>
      </x:c>
      <x:c r="G277" s="72" t="str">
        <x:v>双阶段输出</x:v>
      </x:c>
      <x:c r="H277" s="72" t="str"/>
      <x:c r="I277" s="72" t="str">
        <x:v>FP11双阶段协同型成立。</x:v>
      </x:c>
      <x:c r="J277" s="72" t="str">
        <x:v>基础信号未定；真合化后原信号已失效；只有单一弱远争议信号；或该结论会越界到M4风险、M5适配。</x:v>
      </x:c>
      <x:c r="K277" s="72" t="str">
        <x:v>由共享基础引擎与M3-STATE修正；日主承载只修正冲突处理的可执行性，不直接等于强硬或软弱。</x:v>
      </x:c>
      <x:c r="L277" s="72" t="str">
        <x:v>不限定；夫妻星只在责任、行动、投入等冲突议题中参与接口，不作为CONFLICT唯一主轴。</x:v>
      </x:c>
      <x:c r="M277" s="72" t="str">
        <x:v>由M3-BASE、日支主气及宫位动态提供；不得把日支直接写成配偶性格。</x:v>
      </x:c>
      <x:c r="N277" s="72" t="str">
        <x:v>无／待CONFLICT顺序与路径规则组合</x:v>
      </x:c>
      <x:c r="O277" s="72" t="str">
        <x:v>日柱与日支近位优先；全局有效独立信号可作次通道。</x:v>
      </x:c>
      <x:c r="P277" s="72" t="str">
        <x:v>由共享基础引擎判定</x:v>
      </x:c>
      <x:c r="Q277" s="72" t="str">
        <x:v>由共享基础引擎判定</x:v>
      </x:c>
      <x:c r="R277" s="72" t="str">
        <x:v>喜忌不直接等于冲突方式好坏；只修正调用顺畅度、资源压力和状态切换。</x:v>
      </x:c>
      <x:c r="S277" s="72" t="str">
        <x:v>原十神性质有效；真合化成立时按化神所属功能系统重建。</x:v>
      </x:c>
      <x:c r="T277" s="72" t="str">
        <x:v>由共享基础引擎判定</x:v>
      </x:c>
      <x:c r="U277" s="72" t="str">
        <x:v>88</x:v>
      </x:c>
      <x:c r="V277" s="72" t="str">
        <x:v>不加分；模板</x:v>
      </x:c>
      <x:c r="W277" s="72" t="str">
        <x:v>report_template</x:v>
      </x:c>
      <x:c r="X277" s="72" t="str">
        <x:v>必须说明A负责启动／降温，B负责完成／责任／方案。</x:v>
      </x:c>
      <x:c r="Y277" s="72" t="str">
        <x:v>你的处理通常分两段：先用【A】让问题进入可处理状态，再用【B】形成方案、责任或结束条件。</x:v>
      </x:c>
      <x:c r="Z27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77" s="72" t="str">
        <x:v>高</x:v>
      </x:c>
      <x:c r="AB277" s="72" t="str">
        <x:v>待验证</x:v>
      </x:c>
      <x:c r="AC277" s="72" t="str"/>
      <x:c r="AD277" s="72" t="str">
        <x:v>provisional=true; synthesis=SO18</x:v>
      </x:c>
      <x:c r="AE277" s="73" t="str">
        <x:v>0.6</x:v>
      </x:c>
    </x:row>
    <x:row r="278">
      <x:c r="A278" s="71" t="str">
        <x:v>M3-CONFLICT-274</x:v>
      </x:c>
      <x:c r="B278" s="72" t="str">
        <x:v>SO19 低置信模板｜说明不确定来源</x:v>
      </x:c>
      <x:c r="C278" s="72" t="str">
        <x:v>L8 合成、评分与报告</x:v>
      </x:c>
      <x:c r="D278" s="72" t="str">
        <x:v>CONFLICT-合成输出</x:v>
      </x:c>
      <x:c r="E278" s="72" t="str">
        <x:v>通用</x:v>
      </x:c>
      <x:c r="F278" s="72" t="str">
        <x:v>输出</x:v>
      </x:c>
      <x:c r="G278" s="72" t="str">
        <x:v>低置信输出</x:v>
      </x:c>
      <x:c r="H278" s="72" t="str"/>
      <x:c r="I278" s="72" t="str">
        <x:v>主通道未稳定，但系统方向或局部字段可用。</x:v>
      </x:c>
      <x:c r="J278" s="72" t="str">
        <x:v>基础信号未定；真合化后原信号已失效；只有单一弱远争议信号；或该结论会越界到M4风险、M5适配。</x:v>
      </x:c>
      <x:c r="K278" s="72" t="str">
        <x:v>由共享基础引擎与M3-STATE修正；日主承载只修正冲突处理的可执行性，不直接等于强硬或软弱。</x:v>
      </x:c>
      <x:c r="L278" s="72" t="str">
        <x:v>不限定；夫妻星只在责任、行动、投入等冲突议题中参与接口，不作为CONFLICT唯一主轴。</x:v>
      </x:c>
      <x:c r="M278" s="72" t="str">
        <x:v>由M3-BASE、日支主气及宫位动态提供；不得把日支直接写成配偶性格。</x:v>
      </x:c>
      <x:c r="N278" s="72" t="str">
        <x:v>无／待CONFLICT顺序与路径规则组合</x:v>
      </x:c>
      <x:c r="O278" s="72" t="str">
        <x:v>日柱与日支近位优先；全局有效独立信号可作次通道。</x:v>
      </x:c>
      <x:c r="P278" s="72" t="str">
        <x:v>由共享基础引擎判定</x:v>
      </x:c>
      <x:c r="Q278" s="72" t="str">
        <x:v>由共享基础引擎判定</x:v>
      </x:c>
      <x:c r="R278" s="72" t="str">
        <x:v>喜忌不直接等于冲突方式好坏；只修正调用顺畅度、资源压力和状态切换。</x:v>
      </x:c>
      <x:c r="S278" s="72" t="str">
        <x:v>原十神性质有效；真合化成立时按化神所属功能系统重建。</x:v>
      </x:c>
      <x:c r="T278" s="72" t="str">
        <x:v>由共享基础引擎判定</x:v>
      </x:c>
      <x:c r="U278" s="72" t="str">
        <x:v>88</x:v>
      </x:c>
      <x:c r="V278" s="72" t="str">
        <x:v>不加分；模板</x:v>
      </x:c>
      <x:c r="W278" s="72" t="str">
        <x:v>report_template</x:v>
      </x:c>
      <x:c r="X278" s="72" t="str">
        <x:v>低置信输出必须写清不确定原因。</x:v>
      </x:c>
      <x:c r="Y278" s="72" t="str">
        <x:v>目前只能判断你在分歧中较偏向【系统方向】，但【基础争议／主次接近／回归路径未定】仍会改变具体方式。</x:v>
      </x:c>
      <x:c r="Z27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78" s="72" t="str">
        <x:v>高</x:v>
      </x:c>
      <x:c r="AB278" s="72" t="str">
        <x:v>待验证</x:v>
      </x:c>
      <x:c r="AC278" s="72" t="str"/>
      <x:c r="AD278" s="72" t="str">
        <x:v>provisional=true; synthesis=SO19</x:v>
      </x:c>
      <x:c r="AE278" s="73" t="str">
        <x:v>0.6</x:v>
      </x:c>
    </x:row>
    <x:row r="279">
      <x:c r="A279" s="71" t="str">
        <x:v>M3-CONFLICT-275</x:v>
      </x:c>
      <x:c r="B279" s="72" t="str">
        <x:v>SO20 边界说明模板｜不人格化不结果化</x:v>
      </x:c>
      <x:c r="C279" s="72" t="str">
        <x:v>L8 合成、评分与报告</x:v>
      </x:c>
      <x:c r="D279" s="72" t="str">
        <x:v>CONFLICT-合成输出</x:v>
      </x:c>
      <x:c r="E279" s="72" t="str">
        <x:v>通用</x:v>
      </x:c>
      <x:c r="F279" s="72" t="str">
        <x:v>输出</x:v>
      </x:c>
      <x:c r="G279" s="72" t="str">
        <x:v>边界模板</x:v>
      </x:c>
      <x:c r="H279" s="72" t="str"/>
      <x:c r="I279" s="72" t="str">
        <x:v>任一CONFLICT报告生成。</x:v>
      </x:c>
      <x:c r="J279" s="72" t="str">
        <x:v>基础信号未定；真合化后原信号已失效；只有单一弱远争议信号；或该结论会越界到M4风险、M5适配。</x:v>
      </x:c>
      <x:c r="K279" s="72" t="str">
        <x:v>由共享基础引擎与M3-STATE修正；日主承载只修正冲突处理的可执行性，不直接等于强硬或软弱。</x:v>
      </x:c>
      <x:c r="L279" s="72" t="str">
        <x:v>不限定；夫妻星只在责任、行动、投入等冲突议题中参与接口，不作为CONFLICT唯一主轴。</x:v>
      </x:c>
      <x:c r="M279" s="72" t="str">
        <x:v>由M3-BASE、日支主气及宫位动态提供；不得把日支直接写成配偶性格。</x:v>
      </x:c>
      <x:c r="N279" s="72" t="str">
        <x:v>无／待CONFLICT顺序与路径规则组合</x:v>
      </x:c>
      <x:c r="O279" s="72" t="str">
        <x:v>日柱与日支近位优先；全局有效独立信号可作次通道。</x:v>
      </x:c>
      <x:c r="P279" s="72" t="str">
        <x:v>由共享基础引擎判定</x:v>
      </x:c>
      <x:c r="Q279" s="72" t="str">
        <x:v>由共享基础引擎判定</x:v>
      </x:c>
      <x:c r="R279" s="72" t="str">
        <x:v>喜忌不直接等于冲突方式好坏；只修正调用顺畅度、资源压力和状态切换。</x:v>
      </x:c>
      <x:c r="S279" s="72" t="str">
        <x:v>原十神性质有效；真合化成立时按化神所属功能系统重建。</x:v>
      </x:c>
      <x:c r="T279" s="72" t="str">
        <x:v>由共享基础引擎判定</x:v>
      </x:c>
      <x:c r="U279" s="72" t="str">
        <x:v>88</x:v>
      </x:c>
      <x:c r="V279" s="72" t="str">
        <x:v>不加分；模板</x:v>
      </x:c>
      <x:c r="W279" s="72" t="str">
        <x:v>boundary_note</x:v>
      </x:c>
      <x:c r="X279" s="72" t="str">
        <x:v>固定附带模型边界，防止用户把处理顺序理解为人格和结果。</x:v>
      </x:c>
      <x:c r="Y279" s="72" t="str">
        <x:v>这描述的是你的默认处理顺序，不等于你一定会攻击、冷战或让关系失败。</x:v>
      </x:c>
      <x:c r="Z27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79" s="72" t="str">
        <x:v>高</x:v>
      </x:c>
      <x:c r="AB279" s="72" t="str">
        <x:v>待验证</x:v>
      </x:c>
      <x:c r="AC279" s="72" t="str"/>
      <x:c r="AD279" s="72" t="str">
        <x:v>provisional=true; synthesis=SO20</x:v>
      </x:c>
      <x:c r="AE279" s="73" t="str">
        <x:v>0.6</x:v>
      </x:c>
    </x:row>
    <x:row r="280">
      <x:c r="A280" s="71" t="str">
        <x:v>M3-CONFLICT-276</x:v>
      </x:c>
      <x:c r="B280" s="72" t="str">
        <x:v>SO21 报告就绪门控｜关键字段齐全</x:v>
      </x:c>
      <x:c r="C280" s="72" t="str">
        <x:v>L8 合成、评分与报告</x:v>
      </x:c>
      <x:c r="D280" s="72" t="str">
        <x:v>CONFLICT-合成输出</x:v>
      </x:c>
      <x:c r="E280" s="72" t="str">
        <x:v>通用</x:v>
      </x:c>
      <x:c r="F280" s="72" t="str">
        <x:v>输出</x:v>
      </x:c>
      <x:c r="G280" s="72" t="str">
        <x:v>报告状态</x:v>
      </x:c>
      <x:c r="H280" s="72" t="str"/>
      <x:c r="I280" s="72" t="str">
        <x:v>主通道、第一反应、一个处理顺序或结束条件、置信度均已确定。</x:v>
      </x:c>
      <x:c r="J280" s="72" t="str">
        <x:v>基础信号未定；真合化后原信号已失效；只有单一弱远争议信号；或该结论会越界到M4风险、M5适配。</x:v>
      </x:c>
      <x:c r="K280" s="72" t="str">
        <x:v>由共享基础引擎与M3-STATE修正；日主承载只修正冲突处理的可执行性，不直接等于强硬或软弱。</x:v>
      </x:c>
      <x:c r="L280" s="72" t="str">
        <x:v>不限定；夫妻星只在责任、行动、投入等冲突议题中参与接口，不作为CONFLICT唯一主轴。</x:v>
      </x:c>
      <x:c r="M280" s="72" t="str">
        <x:v>由M3-BASE、日支主气及宫位动态提供；不得把日支直接写成配偶性格。</x:v>
      </x:c>
      <x:c r="N280" s="72" t="str">
        <x:v>无／待CONFLICT顺序与路径规则组合</x:v>
      </x:c>
      <x:c r="O280" s="72" t="str">
        <x:v>日柱与日支近位优先；全局有效独立信号可作次通道。</x:v>
      </x:c>
      <x:c r="P280" s="72" t="str">
        <x:v>由共享基础引擎判定</x:v>
      </x:c>
      <x:c r="Q280" s="72" t="str">
        <x:v>由共享基础引擎判定</x:v>
      </x:c>
      <x:c r="R280" s="72" t="str">
        <x:v>喜忌不直接等于冲突方式好坏；只修正调用顺畅度、资源压力和状态切换。</x:v>
      </x:c>
      <x:c r="S280" s="72" t="str">
        <x:v>原十神性质有效；真合化成立时按化神所属功能系统重建。</x:v>
      </x:c>
      <x:c r="T280" s="72" t="str">
        <x:v>由共享基础引擎判定</x:v>
      </x:c>
      <x:c r="U280" s="72" t="str">
        <x:v>88</x:v>
      </x:c>
      <x:c r="V280" s="72" t="str">
        <x:v>report_status=ready</x:v>
      </x:c>
      <x:c r="W280" s="72" t="str">
        <x:v>report_status</x:v>
      </x:c>
      <x:c r="X280" s="72" t="str">
        <x:v>关键字段齐全后才能输出正式CONFLICT段落。</x:v>
      </x:c>
      <x:c r="Y280" s="72" t="str">
        <x:v>关键处理信息已经足够，可以生成正式的分歧响应说明。</x:v>
      </x:c>
      <x:c r="Z28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80" s="72" t="str">
        <x:v>高</x:v>
      </x:c>
      <x:c r="AB280" s="72" t="str">
        <x:v>待验证</x:v>
      </x:c>
      <x:c r="AC280" s="72" t="str"/>
      <x:c r="AD280" s="72" t="str">
        <x:v>provisional=true; synthesis=SO21</x:v>
      </x:c>
      <x:c r="AE280" s="73" t="str">
        <x:v>0.6</x:v>
      </x:c>
    </x:row>
    <x:row r="281">
      <x:c r="A281" s="71" t="str">
        <x:v>M3-CONFLICT-277</x:v>
      </x:c>
      <x:c r="B281" s="72" t="str">
        <x:v>SO22 停止报告模板｜关键基础未定</x:v>
      </x:c>
      <x:c r="C281" s="72" t="str">
        <x:v>L8 合成、评分与报告</x:v>
      </x:c>
      <x:c r="D281" s="72" t="str">
        <x:v>CONFLICT-合成输出</x:v>
      </x:c>
      <x:c r="E281" s="72" t="str">
        <x:v>通用</x:v>
      </x:c>
      <x:c r="F281" s="72" t="str">
        <x:v>输出</x:v>
      </x:c>
      <x:c r="G281" s="72" t="str">
        <x:v>停止输出</x:v>
      </x:c>
      <x:c r="H281" s="72" t="str"/>
      <x:c r="I281" s="72" t="str">
        <x:v>基础十神、合化、主次或回归路径触发停止。</x:v>
      </x:c>
      <x:c r="J281" s="72" t="str">
        <x:v>基础信号未定；真合化后原信号已失效；只有单一弱远争议信号；或该结论会越界到M4风险、M5适配。</x:v>
      </x:c>
      <x:c r="K281" s="72" t="str">
        <x:v>由共享基础引擎与M3-STATE修正；日主承载只修正冲突处理的可执行性，不直接等于强硬或软弱。</x:v>
      </x:c>
      <x:c r="L281" s="72" t="str">
        <x:v>不限定；夫妻星只在责任、行动、投入等冲突议题中参与接口，不作为CONFLICT唯一主轴。</x:v>
      </x:c>
      <x:c r="M281" s="72" t="str">
        <x:v>由M3-BASE、日支主气及宫位动态提供；不得把日支直接写成配偶性格。</x:v>
      </x:c>
      <x:c r="N281" s="72" t="str">
        <x:v>无／待CONFLICT顺序与路径规则组合</x:v>
      </x:c>
      <x:c r="O281" s="72" t="str">
        <x:v>日柱与日支近位优先；全局有效独立信号可作次通道。</x:v>
      </x:c>
      <x:c r="P281" s="72" t="str">
        <x:v>由共享基础引擎判定</x:v>
      </x:c>
      <x:c r="Q281" s="72" t="str">
        <x:v>由共享基础引擎判定</x:v>
      </x:c>
      <x:c r="R281" s="72" t="str">
        <x:v>喜忌不直接等于冲突方式好坏；只修正调用顺畅度、资源压力和状态切换。</x:v>
      </x:c>
      <x:c r="S281" s="72" t="str">
        <x:v>原十神性质有效；真合化成立时按化神所属功能系统重建。</x:v>
      </x:c>
      <x:c r="T281" s="72" t="str">
        <x:v>由共享基础引擎判定</x:v>
      </x:c>
      <x:c r="U281" s="72" t="str">
        <x:v>88</x:v>
      </x:c>
      <x:c r="V281" s="72" t="str">
        <x:v>report_status=stopped</x:v>
      </x:c>
      <x:c r="W281" s="72" t="str">
        <x:v>report_template</x:v>
      </x:c>
      <x:c r="X281" s="72" t="str">
        <x:v>停止报告不硬补缺失字段，只说明可用局部方向。</x:v>
      </x:c>
      <x:c r="Y281" s="72" t="str">
        <x:v>现有命理证据不足以固定你的冲突处理模式；目前只能保留【局部可靠信息】，其余需要真实案例确认。</x:v>
      </x:c>
      <x:c r="Z28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81" s="72" t="str">
        <x:v>高</x:v>
      </x:c>
      <x:c r="AB281" s="72" t="str">
        <x:v>待验证</x:v>
      </x:c>
      <x:c r="AC281" s="72" t="str"/>
      <x:c r="AD281" s="72" t="str">
        <x:v>provisional=true; synthesis=SO22</x:v>
      </x:c>
      <x:c r="AE281" s="73" t="str">
        <x:v>0.6</x:v>
      </x:c>
    </x:row>
    <x:row r="282">
      <x:c r="A282" s="71" t="str">
        <x:v>M3-CONFLICT-278</x:v>
      </x:c>
      <x:c r="B282" s="72" t="str">
        <x:v>SO23 禁止标签与诊断｜发布前硬检查</x:v>
      </x:c>
      <x:c r="C282" s="72" t="str">
        <x:v>L8 合成、评分与报告</x:v>
      </x:c>
      <x:c r="D282" s="72" t="str">
        <x:v>CONFLICT-合成输出</x:v>
      </x:c>
      <x:c r="E282" s="72" t="str">
        <x:v>通用</x:v>
      </x:c>
      <x:c r="F282" s="72" t="str">
        <x:v>禁止推断</x:v>
      </x:c>
      <x:c r="G282" s="72" t="str">
        <x:v>发布边界</x:v>
      </x:c>
      <x:c r="H282" s="72" t="str"/>
      <x:c r="I282" s="72" t="str">
        <x:v>准备生成用户报告。</x:v>
      </x:c>
      <x:c r="J282" s="72" t="str">
        <x:v>基础信号未定；真合化后原信号已失效；只有单一弱远争议信号；或该结论会越界到M4风险、M5适配。</x:v>
      </x:c>
      <x:c r="K282" s="72" t="str">
        <x:v>由共享基础引擎与M3-STATE修正；日主承载只修正冲突处理的可执行性，不直接等于强硬或软弱。</x:v>
      </x:c>
      <x:c r="L282" s="72" t="str">
        <x:v>不限定；夫妻星只在责任、行动、投入等冲突议题中参与接口，不作为CONFLICT唯一主轴。</x:v>
      </x:c>
      <x:c r="M282" s="72" t="str">
        <x:v>由M3-BASE、日支主气及宫位动态提供；不得把日支直接写成配偶性格。</x:v>
      </x:c>
      <x:c r="N282" s="72" t="str">
        <x:v>无／待CONFLICT顺序与路径规则组合</x:v>
      </x:c>
      <x:c r="O282" s="72" t="str">
        <x:v>日柱与日支近位优先；全局有效独立信号可作次通道。</x:v>
      </x:c>
      <x:c r="P282" s="72" t="str">
        <x:v>由共享基础引擎判定</x:v>
      </x:c>
      <x:c r="Q282" s="72" t="str">
        <x:v>由共享基础引擎判定</x:v>
      </x:c>
      <x:c r="R282" s="72" t="str">
        <x:v>喜忌不直接等于冲突方式好坏；只修正调用顺畅度、资源压力和状态切换。</x:v>
      </x:c>
      <x:c r="S282" s="72" t="str">
        <x:v>原十神性质有效；真合化成立时按化神所属功能系统重建。</x:v>
      </x:c>
      <x:c r="T282" s="72" t="str">
        <x:v>由共享基础引擎判定</x:v>
      </x:c>
      <x:c r="U282" s="72" t="str">
        <x:v>88</x:v>
      </x:c>
      <x:c r="V282" s="72" t="str">
        <x:v>不加分；发布检查</x:v>
      </x:c>
      <x:c r="W282" s="72" t="str">
        <x:v>boundary_note</x:v>
      </x:c>
      <x:c r="X282" s="72" t="str">
        <x:v>删除固执、冷战型、控制型、回避型、暴力、情绪化等未经M4验证的标签。</x:v>
      </x:c>
      <x:c r="Y282" s="72" t="str">
        <x:v>报告只使用行为和顺序语言，不使用人格化、病理化或结果化标签。</x:v>
      </x:c>
      <x:c r="Z28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82" s="72" t="str">
        <x:v>高</x:v>
      </x:c>
      <x:c r="AB282" s="72" t="str">
        <x:v>待验证</x:v>
      </x:c>
      <x:c r="AC282" s="72" t="str"/>
      <x:c r="AD282" s="72" t="str">
        <x:v>provisional=true; synthesis=SO23</x:v>
      </x:c>
      <x:c r="AE282" s="73" t="str">
        <x:v>0.6</x:v>
      </x:c>
    </x:row>
    <x:row r="283">
      <x:c r="A283" s="71" t="str">
        <x:v>M3-CONFLICT-279</x:v>
      </x:c>
      <x:c r="B283" s="72" t="str">
        <x:v>SO24 案例验证规则｜至少两个情境和一项伴侣反馈</x:v>
      </x:c>
      <x:c r="C283" s="72" t="str">
        <x:v>L8 合成、评分与报告</x:v>
      </x:c>
      <x:c r="D283" s="72" t="str">
        <x:v>CONFLICT-合成输出</x:v>
      </x:c>
      <x:c r="E283" s="72" t="str">
        <x:v>通用</x:v>
      </x:c>
      <x:c r="F283" s="72" t="str">
        <x:v>验证</x:v>
      </x:c>
      <x:c r="G283" s="72" t="str">
        <x:v>案例校准</x:v>
      </x:c>
      <x:c r="H283" s="72" t="str"/>
      <x:c r="I283" s="72" t="str">
        <x:v>进入规则校准阶段。</x:v>
      </x:c>
      <x:c r="J283" s="72" t="str">
        <x:v>基础信号未定；真合化后原信号已失效；只有单一弱远争议信号；或该结论会越界到M4风险、M5适配。</x:v>
      </x:c>
      <x:c r="K283" s="72" t="str">
        <x:v>由共享基础引擎与M3-STATE修正；日主承载只修正冲突处理的可执行性，不直接等于强硬或软弱。</x:v>
      </x:c>
      <x:c r="L283" s="72" t="str">
        <x:v>不限定；夫妻星只在责任、行动、投入等冲突议题中参与接口，不作为CONFLICT唯一主轴。</x:v>
      </x:c>
      <x:c r="M283" s="72" t="str">
        <x:v>由M3-BASE、日支主气及宫位动态提供；不得把日支直接写成配偶性格。</x:v>
      </x:c>
      <x:c r="N283" s="72" t="str">
        <x:v>无／待CONFLICT顺序与路径规则组合</x:v>
      </x:c>
      <x:c r="O283" s="72" t="str">
        <x:v>日柱与日支近位优先；全局有效独立信号可作次通道。</x:v>
      </x:c>
      <x:c r="P283" s="72" t="str">
        <x:v>由共享基础引擎判定</x:v>
      </x:c>
      <x:c r="Q283" s="72" t="str">
        <x:v>由共享基础引擎判定</x:v>
      </x:c>
      <x:c r="R283" s="72" t="str">
        <x:v>喜忌不直接等于冲突方式好坏；只修正调用顺畅度、资源压力和状态切换。</x:v>
      </x:c>
      <x:c r="S283" s="72" t="str">
        <x:v>原十神性质有效；真合化成立时按化神所属功能系统重建。</x:v>
      </x:c>
      <x:c r="T283" s="72" t="str">
        <x:v>由共享基础引擎判定</x:v>
      </x:c>
      <x:c r="U283" s="72" t="str">
        <x:v>70</x:v>
      </x:c>
      <x:c r="V283" s="72" t="str">
        <x:v>案例验证</x:v>
      </x:c>
      <x:c r="W283" s="72" t="str">
        <x:v>case_refs</x:v>
      </x:c>
      <x:c r="X283" s="72" t="str">
        <x:v>优先收集用户自述、伴侣观察、具体冲突情境和处理后续，区分第一反应与最终结果。</x:v>
      </x:c>
      <x:c r="Y283" s="72" t="str">
        <x:v>真实案例会重点验证：你最先做什么、后来怎样处理，以及什么条件下才认为问题暂时结束。</x:v>
      </x:c>
      <x:c r="Z28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83" s="72" t="str">
        <x:v>中高</x:v>
      </x:c>
      <x:c r="AB283" s="72" t="str">
        <x:v>待验证</x:v>
      </x:c>
      <x:c r="AC283" s="72" t="str"/>
      <x:c r="AD283" s="72" t="str">
        <x:v>provisional=true; synthesis=SO24</x:v>
      </x:c>
      <x:c r="AE283" s="73" t="str">
        <x:v>0.6</x:v>
      </x:c>
    </x:row>
    <x:row r="284">
      <x:c r="A284" s="74" t="str">
        <x:v>M3-CONFLICT-280</x:v>
      </x:c>
      <x:c r="B284" s="75" t="str">
        <x:v>SO25 后续接口｜转入REPAIR与STATE</x:v>
      </x:c>
      <x:c r="C284" s="75" t="str">
        <x:v>L8 合成、评分与报告</x:v>
      </x:c>
      <x:c r="D284" s="75" t="str">
        <x:v>CONFLICT-合成输出</x:v>
      </x:c>
      <x:c r="E284" s="75" t="str">
        <x:v>通用</x:v>
      </x:c>
      <x:c r="F284" s="75" t="str">
        <x:v>接口</x:v>
      </x:c>
      <x:c r="G284" s="75" t="str">
        <x:v>后续路由</x:v>
      </x:c>
      <x:c r="H284" s="75" t="str"/>
      <x:c r="I284" s="75" t="str">
        <x:v>CONFLICT已形成阶段结果或识别压力切换候选。</x:v>
      </x:c>
      <x:c r="J284" s="75" t="str">
        <x:v>基础信号未定；真合化后原信号已失效；只有单一弱远争议信号；或该结论会越界到M4风险、M5适配。</x:v>
      </x:c>
      <x:c r="K284" s="75" t="str">
        <x:v>由共享基础引擎与M3-STATE修正；日主承载只修正冲突处理的可执行性，不直接等于强硬或软弱。</x:v>
      </x:c>
      <x:c r="L284" s="75" t="str">
        <x:v>不限定；夫妻星只在责任、行动、投入等冲突议题中参与接口，不作为CONFLICT唯一主轴。</x:v>
      </x:c>
      <x:c r="M284" s="75" t="str">
        <x:v>由M3-BASE、日支主气及宫位动态提供；不得把日支直接写成配偶性格。</x:v>
      </x:c>
      <x:c r="N284" s="75" t="str">
        <x:v>无／待CONFLICT顺序与路径规则组合</x:v>
      </x:c>
      <x:c r="O284" s="75" t="str">
        <x:v>日柱与日支近位优先；全局有效独立信号可作次通道。</x:v>
      </x:c>
      <x:c r="P284" s="75" t="str">
        <x:v>由共享基础引擎判定</x:v>
      </x:c>
      <x:c r="Q284" s="75" t="str">
        <x:v>由共享基础引擎判定</x:v>
      </x:c>
      <x:c r="R284" s="75" t="str">
        <x:v>喜忌不直接等于冲突方式好坏；只修正调用顺畅度、资源压力和状态切换。</x:v>
      </x:c>
      <x:c r="S284" s="75" t="str">
        <x:v>原十神性质有效；真合化成立时按化神所属功能系统重建。</x:v>
      </x:c>
      <x:c r="T284" s="75" t="str">
        <x:v>由共享基础引擎判定</x:v>
      </x:c>
      <x:c r="U284" s="75" t="str">
        <x:v>88</x:v>
      </x:c>
      <x:c r="V284" s="75" t="str">
        <x:v>不加分；路由</x:v>
      </x:c>
      <x:c r="W284" s="75" t="str">
        <x:v>report_status</x:v>
      </x:c>
      <x:c r="X284" s="75" t="str">
        <x:v>将结束条件传给REPAIR，将平稳／压力差异传给STATE，不在本模块重复。</x:v>
      </x:c>
      <x:c r="Y284" s="75" t="str">
        <x:v>下一步会继续判断：问题处理以后你怎样重新联结，以及压力状态是否改变你的相处方式。</x:v>
      </x:c>
      <x:c r="Z284" s="75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AA284" s="75" t="str">
        <x:v>高</x:v>
      </x:c>
      <x:c r="AB284" s="75" t="str">
        <x:v>待验证</x:v>
      </x:c>
      <x:c r="AC284" s="75" t="str"/>
      <x:c r="AD284" s="75" t="str">
        <x:v>provisional=true; synthesis=SO25</x:v>
      </x:c>
      <x:c r="AE284" s="76" t="str">
        <x:v>0.6</x:v>
      </x:c>
    </x:row>
  </x:sheetData>
  <x:mergeCells>
    <x:mergeCell ref="A1:AE1"/>
    <x:mergeCell ref="A2:AE2"/>
  </x:mergeCells>
  <x:conditionalFormatting sqref="AB5:AB284">
    <x:cfRule type="expression" dxfId="0" priority="1">
      <x:formula>AB5="已验证"</x:formula>
    </x:cfRule>
    <x:cfRule type="expression" dxfId="1" priority="2">
      <x:formula>AB5="需修改"</x:formula>
    </x:cfRule>
    <x:cfRule type="expression" dxfId="2" priority="3">
      <x:formula>AB5="停用"</x:formula>
    </x:cfRule>
  </x:conditionalFormatting>
  <x:dataValidations count="2">
    <x:dataValidation type="list" sqref="AA5:AA284">
      <x:formula1>"高,中高,中,中低,低,停止"</x:formula1>
    </x:dataValidation>
    <x:dataValidation type="list" sqref="AB5:AB284">
      <x:formula1>"待验证,已验证,需修改,停用"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d0f60dee8a450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46" hidden="0" customWidth="1"/>
    <x:col min="4" max="4" width="46" hidden="0" customWidth="1"/>
    <x:col min="5" max="5" width="46" hidden="0" customWidth="1"/>
    <x:col min="6" max="6" width="48" hidden="0" customWidth="1"/>
    <x:col min="7" max="7" width="24" hidden="0" customWidth="1"/>
    <x:col min="8" max="8" width="10" hidden="0" customWidth="1"/>
  </x:cols>
  <x:sheetData>
    <x:row r="1" ht="28" customHeight="1">
      <x:c r="A1" s="7" t="str">
        <x:v>输出前门控、停止、去重与禁止推断</x:v>
      </x:c>
      <x:c r="B1" s="7" t="str">
        <x:v>输出前门控、停止、去重与禁止推断</x:v>
      </x:c>
      <x:c r="C1" s="7" t="str">
        <x:v>输出前门控、停止、去重与禁止推断</x:v>
      </x:c>
      <x:c r="D1" s="7" t="str">
        <x:v>输出前门控、停止、去重与禁止推断</x:v>
      </x:c>
      <x:c r="E1" s="7" t="str">
        <x:v>输出前门控、停止、去重与禁止推断</x:v>
      </x:c>
      <x:c r="F1" s="7" t="str">
        <x:v>输出前门控、停止、去重与禁止推断</x:v>
      </x:c>
      <x:c r="G1" s="7" t="str">
        <x:v>输出前门控、停止、去重与禁止推断</x:v>
      </x:c>
      <x:c r="H1" s="7" t="str">
        <x:v>输出前门控、停止、去重与禁止推断</x:v>
      </x:c>
    </x:row>
    <x:row r="2" ht="30" customHeight="1">
      <x:c r="A2" s="17" t="str">
        <x:v>分析案例时先查这一页：只要触发停止、真合化、同源重复或跨模型越界，就先处理边界，再生成正文。</x:v>
      </x:c>
      <x:c r="B2" s="17" t="str">
        <x:v>分析案例时先查这一页：只要触发停止、真合化、同源重复或跨模型越界，就先处理边界，再生成正文。</x:v>
      </x:c>
      <x:c r="C2" s="17" t="str">
        <x:v>分析案例时先查这一页：只要触发停止、真合化、同源重复或跨模型越界，就先处理边界，再生成正文。</x:v>
      </x:c>
      <x:c r="D2" s="17" t="str">
        <x:v>分析案例时先查这一页：只要触发停止、真合化、同源重复或跨模型越界，就先处理边界，再生成正文。</x:v>
      </x:c>
      <x:c r="E2" s="17" t="str">
        <x:v>分析案例时先查这一页：只要触发停止、真合化、同源重复或跨模型越界，就先处理边界，再生成正文。</x:v>
      </x:c>
      <x:c r="F2" s="17" t="str">
        <x:v>分析案例时先查这一页：只要触发停止、真合化、同源重复或跨模型越界，就先处理边界，再生成正文。</x:v>
      </x:c>
      <x:c r="G2" s="17" t="str">
        <x:v>分析案例时先查这一页：只要触发停止、真合化、同源重复或跨模型越界，就先处理边界，再生成正文。</x:v>
      </x:c>
      <x:c r="H2" s="17" t="str">
        <x:v>分析案例时先查这一页：只要触发停止、真合化、同源重复或跨模型越界，就先处理边界，再生成正文。</x:v>
      </x:c>
    </x:row>
    <x:row r="4" ht="24" customHeight="1">
      <x:c r="A4" s="33" t="str">
        <x:v>规则ID</x:v>
      </x:c>
      <x:c r="B4" s="34" t="str">
        <x:v>规则名称</x:v>
      </x:c>
      <x:c r="C4" s="34" t="str">
        <x:v>触发条件</x:v>
      </x:c>
      <x:c r="D4" s="34" t="str">
        <x:v>正确处理</x:v>
      </x:c>
      <x:c r="E4" s="34" t="str">
        <x:v>用户语言</x:v>
      </x:c>
      <x:c r="F4" s="34" t="str">
        <x:v>禁止推出</x:v>
      </x:c>
      <x:c r="G4" s="34" t="str">
        <x:v>输出字段</x:v>
      </x:c>
      <x:c r="H4" s="35" t="str">
        <x:v>优先级</x:v>
      </x:c>
    </x:row>
    <x:row r="5">
      <x:c r="A5" s="68" t="str">
        <x:v>M3-CONFLICT-001</x:v>
      </x:c>
      <x:c r="B5" s="69" t="str">
        <x:v>M3-CONFLICT正式定义｜分歧响应与冲突处理</x:v>
      </x:c>
      <x:c r="C5" s="69" t="str">
        <x:v>M3-CONFLICT被调用；分析对象为关系建立后的分歧启动、信息排序、暂停、协商、解决与结束条件。</x:v>
      </x:c>
      <x:c r="D5" s="69" t="str">
        <x:v>M3-CONFLICT描述分歧出现以后用户怎样处理信息与关系，不判断冲突是否严重、谁对谁错或关系结果。</x:v>
      </x:c>
      <x:c r="E5" s="69" t="str">
        <x:v>这一部分关注：意见不一致时你通常先处理什么、怎样表达、何时暂停，以及怎样形成一个暂时可执行的处理结果。</x:v>
      </x:c>
      <x:c r="F5" s="69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5" s="69" t="str">
        <x:v>report_status</x:v>
      </x:c>
      <x:c r="H5" s="70" t="str">
        <x:v>99</x:v>
      </x:c>
    </x:row>
    <x:row r="6">
      <x:c r="A6" s="71" t="str">
        <x:v>M3-CONFLICT-002</x:v>
      </x:c>
      <x:c r="B6" s="72" t="str">
        <x:v>核心问题｜处理顺序而非冲突好坏</x:v>
      </x:c>
      <x:c r="C6" s="72" t="str">
        <x:v>需要判断第一反应、事实与情绪顺序、责任分配、方案形成、暂停及结束条件。</x:v>
      </x:c>
      <x:c r="D6" s="72" t="str">
        <x:v>同一种通道在平稳和压力状态下可能表现不同；本模块先描述顺序，不做道德评价。</x:v>
      </x:c>
      <x:c r="E6" s="72" t="str">
        <x:v>这里先说明你在分歧里通常怎样处理事情，不把它简单评成会吵、不会吵、成熟或有问题。</x:v>
      </x:c>
      <x:c r="F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6" s="72" t="str">
        <x:v>boundary_note</x:v>
      </x:c>
      <x:c r="H6" s="73" t="str">
        <x:v>98</x:v>
      </x:c>
    </x:row>
    <x:row r="7">
      <x:c r="A7" s="71" t="str">
        <x:v>M3-CONFLICT-003</x:v>
      </x:c>
      <x:c r="B7" s="72" t="str">
        <x:v>标准输入｜共享基础引擎</x:v>
      </x:c>
      <x:c r="C7" s="72" t="str">
        <x:v>排盘、十神、日支藏干、透藏、根气、旺弱、喜忌、合化、有效流向和source_id已由共享引擎提供。</x:v>
      </x:c>
      <x:c r="D7" s="72" t="str">
        <x:v>CONFLICT不重新排盘，也不独立裁定合化旺衰，只翻译可靠基础事实。</x:v>
      </x:c>
      <x:c r="E7" s="72" t="str">
        <x:v>基础状态有争议时，会保留不确定性，而不会为了完整硬写固定的冲突反应。</x:v>
      </x:c>
      <x:c r="F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7" s="72" t="str">
        <x:v>report_status</x:v>
      </x:c>
      <x:c r="H7" s="73" t="str">
        <x:v>97</x:v>
      </x:c>
    </x:row>
    <x:row r="8">
      <x:c r="A8" s="71" t="str">
        <x:v>M3-CONFLICT-004</x:v>
      </x:c>
      <x:c r="B8" s="72" t="str">
        <x:v>标准输出｜冲突处理字段</x:v>
      </x:c>
      <x:c r="C8" s="72" t="str">
        <x:v>至少一项有效冲突通道成立，且关键基础字段未停止。</x:v>
      </x:c>
      <x:c r="D8" s="72" t="str">
        <x:v>输出主／次通道、第一反应、注意焦点、事实情绪顺序、责任处理、方案、暂停、结束条件、复盘、路径、状态与置信度。</x:v>
      </x:c>
      <x:c r="E8" s="72" t="str">
        <x:v>最终会回答：分歧出现时你先做什么、怎样把问题说清、怎样形成方案，以及什么条件下你会认为这一轮可以先告一段落。</x:v>
      </x:c>
      <x:c r="F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8" s="72" t="str">
        <x:v>report_template</x:v>
      </x:c>
      <x:c r="H8" s="73" t="str">
        <x:v>96</x:v>
      </x:c>
    </x:row>
    <x:row r="9">
      <x:c r="A9" s="71" t="str">
        <x:v>M3-CONFLICT-005</x:v>
      </x:c>
      <x:c r="B9" s="72" t="str">
        <x:v>M1边界｜心动偏好不等于分歧方式</x:v>
      </x:c>
      <x:c r="C9" s="72" t="str">
        <x:v>M1心动偏好与M3-CONFLICT信号同时可见。</x:v>
      </x:c>
      <x:c r="D9" s="72" t="str">
        <x:v>被某类特质吸引，不能推出面对分歧时一定采用同一种方式。</x:v>
      </x:c>
      <x:c r="E9" s="72" t="str">
        <x:v>让你心动的特质，和你真正出现意见不一致时怎样处理，会分开判断。</x:v>
      </x:c>
      <x:c r="F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9" s="72" t="str">
        <x:v>boundary_note</x:v>
      </x:c>
      <x:c r="H9" s="73" t="str">
        <x:v>95</x:v>
      </x:c>
    </x:row>
    <x:row r="10">
      <x:c r="A10" s="71" t="str">
        <x:v>M3-CONFLICT-006</x:v>
      </x:c>
      <x:c r="B10" s="72" t="str">
        <x:v>M2边界｜关系准入不等于冲突处理</x:v>
      </x:c>
      <x:c r="C10" s="72" t="str">
        <x:v>M2关系门槛与M3-CONFLICT信号同时可见。</x:v>
      </x:c>
      <x:c r="D10" s="72" t="str">
        <x:v>选择关系时的门槛，只说明什么人能进入关系，不说明分歧发生后的处理顺序。</x:v>
      </x:c>
      <x:c r="E10" s="72" t="str">
        <x:v>你决定和谁进入关系，和进入关系后怎样处理意见不一致，是两个不同问题。</x:v>
      </x:c>
      <x:c r="F1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10" s="72" t="str">
        <x:v>boundary_note</x:v>
      </x:c>
      <x:c r="H10" s="73" t="str">
        <x:v>94</x:v>
      </x:c>
    </x:row>
    <x:row r="11">
      <x:c r="A11" s="71" t="str">
        <x:v>M3-CONFLICT-007</x:v>
      </x:c>
      <x:c r="B11" s="72" t="str">
        <x:v>M3-EXPR边界｜日常表达不等于压力表达</x:v>
      </x:c>
      <x:c r="C11" s="72" t="str">
        <x:v>EXPR与CONFLICT共享表达证据。</x:v>
      </x:c>
      <x:c r="D11" s="72" t="str">
        <x:v>平时会表达，不代表压力下仍按同一顺序；平时话少，也不代表分歧时不能说明立场。</x:v>
      </x:c>
      <x:c r="E11" s="72" t="str">
        <x:v>你日常怎样沟通，会影响分歧中的表达，但压力增加时是否切换，需要另外判断。</x:v>
      </x:c>
      <x:c r="F1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11" s="72" t="str">
        <x:v>boundary_note</x:v>
      </x:c>
      <x:c r="H11" s="73" t="str">
        <x:v>93</x:v>
      </x:c>
    </x:row>
    <x:row r="12">
      <x:c r="A12" s="71" t="str">
        <x:v>M3-CONFLICT-008</x:v>
      </x:c>
      <x:c r="B12" s="72" t="str">
        <x:v>M3-BOUND边界｜边界内容不等于冲突过程</x:v>
      </x:c>
      <x:c r="C12" s="72" t="str">
        <x:v>BOUND已说明限制、权限或暂停需要。</x:v>
      </x:c>
      <x:c r="D12" s="72" t="str">
        <x:v>BOUND回答“什么不能接受”，CONFLICT回答“出现不一致时怎样处理”。</x:v>
      </x:c>
      <x:c r="E12" s="72" t="str">
        <x:v>你有哪些边界，和你怎样把边界放进一场分歧里处理，会分别说明。</x:v>
      </x:c>
      <x:c r="F1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12" s="72" t="str">
        <x:v>boundary_note</x:v>
      </x:c>
      <x:c r="H12" s="73" t="str">
        <x:v>92</x:v>
      </x:c>
    </x:row>
    <x:row r="13">
      <x:c r="A13" s="71" t="str">
        <x:v>M3-CONFLICT-009</x:v>
      </x:c>
      <x:c r="B13" s="72" t="str">
        <x:v>M3-REPAIR边界｜冲突结束不等于关系修复</x:v>
      </x:c>
      <x:c r="C13" s="72" t="str">
        <x:v>分歧已经形成暂时结果，但情绪联结是否恢复尚未判断。</x:v>
      </x:c>
      <x:c r="D13" s="72" t="str">
        <x:v>问题有方案不等于关系已经重新亲近；REPAIR负责重新联结。</x:v>
      </x:c>
      <x:c r="E13" s="72" t="str">
        <x:v>事情谈完或处理完，只代表这一轮分歧有了结果；你们怎样恢复理解和亲近，会在修复模块继续判断。</x:v>
      </x:c>
      <x:c r="F1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13" s="72" t="str">
        <x:v>boundary_note</x:v>
      </x:c>
      <x:c r="H13" s="73" t="str">
        <x:v>91</x:v>
      </x:c>
    </x:row>
    <x:row r="14">
      <x:c r="A14" s="71" t="str">
        <x:v>M3-CONFLICT-010</x:v>
      </x:c>
      <x:c r="B14" s="72" t="str">
        <x:v>M4边界｜强烈反应不等于风险结论</x:v>
      </x:c>
      <x:c r="C14" s="72" t="str">
        <x:v>冲突通道明显、过旺或压力下抢先。</x:v>
      </x:c>
      <x:c r="D14" s="72" t="str">
        <x:v>CONFLICT只记录第一反应与处理顺序；是否形成攻击、压迫、冷战或消耗交给M4。</x:v>
      </x:c>
      <x:c r="E14" s="72" t="str">
        <x:v>某种处理方式很强，只说明它容易先出现，不直接等于会伤害关系。</x:v>
      </x:c>
      <x:c r="F1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14" s="72" t="str">
        <x:v>risk_route</x:v>
      </x:c>
      <x:c r="H14" s="73" t="str">
        <x:v>90</x:v>
      </x:c>
    </x:row>
    <x:row r="15">
      <x:c r="A15" s="71" t="str">
        <x:v>M3-CONFLICT-011</x:v>
      </x:c>
      <x:c r="B15" s="72" t="str">
        <x:v>M5边界｜常用方式不等于最适配方式</x:v>
      </x:c>
      <x:c r="C15" s="72" t="str">
        <x:v>需要把相处惯性与长期适配区分。</x:v>
      </x:c>
      <x:c r="D15" s="72" t="str">
        <x:v>默认冲突方式是描述性事实，不是最适合用户的关系方案。</x:v>
      </x:c>
      <x:c r="E15" s="72" t="str">
        <x:v>你习惯怎样处理分歧，会影响适配，但不能直接当成最适合你的相处答案。</x:v>
      </x:c>
      <x:c r="F1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15" s="72" t="str">
        <x:v>boundary_note</x:v>
      </x:c>
      <x:c r="H15" s="73" t="str">
        <x:v>89</x:v>
      </x:c>
    </x:row>
    <x:row r="16">
      <x:c r="A16" s="71" t="str">
        <x:v>M3-CONFLICT-012</x:v>
      </x:c>
      <x:c r="B16" s="72" t="str">
        <x:v>事实、情绪、立场、责任和方案必须分层</x:v>
      </x:c>
      <x:c r="C16" s="72" t="str">
        <x:v>存在多个冲突信息维度。</x:v>
      </x:c>
      <x:c r="D16" s="72" t="str">
        <x:v>五类信息可以有先后和分工，不能被压成“会不会沟通”一个标签。</x:v>
      </x:c>
      <x:c r="E16" s="72" t="str">
        <x:v>分析时会区分：你先看事实、先处理感受、先说明立场、先核对责任，还是先形成方案。</x:v>
      </x:c>
      <x:c r="F1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16" s="72" t="str">
        <x:v>attention_focus</x:v>
      </x:c>
      <x:c r="H16" s="73" t="str">
        <x:v>88</x:v>
      </x:c>
    </x:row>
    <x:row r="17">
      <x:c r="A17" s="71" t="str">
        <x:v>M3-CONFLICT-014</x:v>
      </x:c>
      <x:c r="B17" s="72" t="str">
        <x:v>暂停不等于冷战</x:v>
      </x:c>
      <x:c r="C17" s="72" t="str">
        <x:v>出现短暂停顿、内部整理或任务处理后回归。</x:v>
      </x:c>
      <x:c r="D17" s="72" t="str">
        <x:v>只有存在明确暂停目的和回归路径时，才能写成暂停；是否冷战需M4和行为证据。</x:v>
      </x:c>
      <x:c r="E17" s="72" t="str">
        <x:v>你可能需要停一下整理信息或降低强度；只要仍有回到问题的路径，就不能直接把它写成冷战。</x:v>
      </x:c>
      <x:c r="F1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17" s="72" t="str">
        <x:v>pause_style</x:v>
      </x:c>
      <x:c r="H17" s="73" t="str">
        <x:v>86</x:v>
      </x:c>
    </x:row>
    <x:row r="18">
      <x:c r="A18" s="71" t="str">
        <x:v>M3-CONFLICT-015</x:v>
      </x:c>
      <x:c r="B18" s="72" t="str">
        <x:v>直接表达不等于攻击</x:v>
      </x:c>
      <x:c r="C18" s="72" t="str">
        <x:v>伤官、比肩、官杀等表达直接。</x:v>
      </x:c>
      <x:c r="D18" s="72" t="str">
        <x:v>直接性只说明信息外显度与立场清晰度，不说明语气、尊重和伤害结果。</x:v>
      </x:c>
      <x:c r="E18" s="72" t="str">
        <x:v>你可能倾向把问题说得直接，但这不自动等于攻击或不顾感受。</x:v>
      </x:c>
      <x:c r="F1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18" s="72" t="str">
        <x:v>boundary_note</x:v>
      </x:c>
      <x:c r="H18" s="73" t="str">
        <x:v>85</x:v>
      </x:c>
    </x:row>
    <x:row r="19">
      <x:c r="A19" s="71" t="str">
        <x:v>M3-CONFLICT-016</x:v>
      </x:c>
      <x:c r="B19" s="72" t="str">
        <x:v>解决问题不等于忽略感受</x:v>
      </x:c>
      <x:c r="C19" s="72" t="str">
        <x:v>财官杀先处理现实、责任或行动。</x:v>
      </x:c>
      <x:c r="D19" s="72" t="str">
        <x:v>先处理问题可能只是顺序；是否长期跳过感受要结合印食伤及真实案例。</x:v>
      </x:c>
      <x:c r="E19" s="72" t="str">
        <x:v>你可能先把具体问题处理好，再回到情绪沟通；这不能单独解释为不在意感受。</x:v>
      </x:c>
      <x:c r="F1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19" s="72" t="str">
        <x:v>fact_emotion_order</x:v>
      </x:c>
      <x:c r="H19" s="73" t="str">
        <x:v>84</x:v>
      </x:c>
    </x:row>
    <x:row r="20">
      <x:c r="A20" s="71" t="str">
        <x:v>M3-CONFLICT-017</x:v>
      </x:c>
      <x:c r="B20" s="72" t="str">
        <x:v>倾听理解不等于没有立场</x:v>
      </x:c>
      <x:c r="C20" s="72" t="str">
        <x:v>印星通道先听、先承接。</x:v>
      </x:c>
      <x:c r="D20" s="72" t="str">
        <x:v>倾听是信息获取与降温方式，不等于放弃自己的判断。</x:v>
      </x:c>
      <x:c r="E20" s="72" t="str">
        <x:v>你可能先把对方听明白，再形成自己的回应；这不代表你没有立场。</x:v>
      </x:c>
      <x:c r="F2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20" s="72" t="str">
        <x:v>response_reception</x:v>
      </x:c>
      <x:c r="H20" s="73" t="str">
        <x:v>83</x:v>
      </x:c>
    </x:row>
    <x:row r="21">
      <x:c r="A21" s="71" t="str">
        <x:v>M3-CONFLICT-019</x:v>
      </x:c>
      <x:c r="B21" s="72" t="str">
        <x:v>同源证据只计一次</x:v>
      </x:c>
      <x:c r="C21" s="72" t="str">
        <x:v>同一日支、同根透藏或同一十神事实被BASE、EXPR、BOUND和CONFLICT多次读取。</x:v>
      </x:c>
      <x:c r="D21" s="72" t="str">
        <x:v>同一个source_id只能计算一次基础权重，各模块仅做功能翻译。</x:v>
      </x:c>
      <x:c r="E21" s="72" t="str">
        <x:v>同一个命理事实可以从不同角度解释，但不会因为被多个模块读到就重复抬高结论。</x:v>
      </x:c>
      <x:c r="F2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21" s="72" t="str">
        <x:v>provenance</x:v>
      </x:c>
      <x:c r="H21" s="73" t="str">
        <x:v>81</x:v>
      </x:c>
    </x:row>
    <x:row r="22">
      <x:c r="A22" s="71" t="str">
        <x:v>M3-CONFLICT-020</x:v>
      </x:c>
      <x:c r="B22" s="72" t="str">
        <x:v>证据不足时停止或回退</x:v>
      </x:c>
      <x:c r="C22" s="72" t="str">
        <x:v>基础十神、主次、合化、宫位动态或有效路径存在争议。</x:v>
      </x:c>
      <x:c r="D22" s="72" t="str">
        <x:v>优先回退到五类功能系统；仍不足时停止固定冲突模式。</x:v>
      </x:c>
      <x:c r="E22" s="72" t="str">
        <x:v>资料不足时，只会保留“更偏向沟通／行动／承接”等系统方向，不会硬写你一定怎样争执。</x:v>
      </x:c>
      <x:c r="F2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22" s="72" t="str">
        <x:v>report_status</x:v>
      </x:c>
      <x:c r="H22" s="73" t="str">
        <x:v>80</x:v>
      </x:c>
    </x:row>
    <x:row r="23">
      <x:c r="A23" s="71" t="str">
        <x:v>M3-CONFLICT-027</x:v>
      </x:c>
      <x:c r="B23" s="72" t="str">
        <x:v>CF01 比肩｜禁止人格化和结果化</x:v>
      </x:c>
      <x:c r="C23" s="72" t="str">
        <x:v>比肩冲突通道被识别。</x:v>
      </x:c>
      <x:c r="D23" s="72" t="str">
        <x:v>不得直接写成固执、争强、好胜或不肯妥协。</x:v>
      </x:c>
      <x:c r="E23" s="72" t="str">
        <x:v>不得直接写成固执、争强、好胜或不肯妥协，这里只描述处理顺序。</x:v>
      </x:c>
      <x:c r="F2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不得直接写成固执、争强、好胜或不肯妥协。</x:v>
      </x:c>
      <x:c r="G23" s="72" t="str">
        <x:v>boundary_note</x:v>
      </x:c>
      <x:c r="H23" s="73" t="str">
        <x:v>90</x:v>
      </x:c>
    </x:row>
    <x:row r="24">
      <x:c r="A24" s="71" t="str">
        <x:v>M3-CONFLICT-034</x:v>
      </x:c>
      <x:c r="B24" s="72" t="str">
        <x:v>CF02 劫财｜禁止人格化和结果化</x:v>
      </x:c>
      <x:c r="C24" s="72" t="str">
        <x:v>劫财冲突通道被识别。</x:v>
      </x:c>
      <x:c r="D24" s="72" t="str">
        <x:v>不得直接写成冲动、抢夺、竞争或容易打起来。</x:v>
      </x:c>
      <x:c r="E24" s="72" t="str">
        <x:v>不得直接写成冲动、抢夺、竞争或容易打起来，这里只描述处理顺序。</x:v>
      </x:c>
      <x:c r="F2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不得直接写成冲动、抢夺、竞争或容易打起来。</x:v>
      </x:c>
      <x:c r="G24" s="72" t="str">
        <x:v>boundary_note</x:v>
      </x:c>
      <x:c r="H24" s="73" t="str">
        <x:v>90</x:v>
      </x:c>
    </x:row>
    <x:row r="25">
      <x:c r="A25" s="71" t="str">
        <x:v>M3-CONFLICT-041</x:v>
      </x:c>
      <x:c r="B25" s="72" t="str">
        <x:v>CF03 食神｜禁止人格化和结果化</x:v>
      </x:c>
      <x:c r="C25" s="72" t="str">
        <x:v>食神冲突通道被识别。</x:v>
      </x:c>
      <x:c r="D25" s="72" t="str">
        <x:v>不得直接写成逃避问题、怕冲突、讨好或一味和稀泥。</x:v>
      </x:c>
      <x:c r="E25" s="72" t="str">
        <x:v>不得直接写成逃避问题、怕冲突、讨好或一味和稀泥，这里只描述处理顺序。</x:v>
      </x:c>
      <x:c r="F2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不得直接写成逃避问题、怕冲突、讨好或一味和稀泥。</x:v>
      </x:c>
      <x:c r="G25" s="72" t="str">
        <x:v>boundary_note</x:v>
      </x:c>
      <x:c r="H25" s="73" t="str">
        <x:v>90</x:v>
      </x:c>
    </x:row>
    <x:row r="26">
      <x:c r="A26" s="71" t="str">
        <x:v>M3-CONFLICT-048</x:v>
      </x:c>
      <x:c r="B26" s="72" t="str">
        <x:v>CF04 伤官｜禁止人格化和结果化</x:v>
      </x:c>
      <x:c r="C26" s="72" t="str">
        <x:v>伤官冲突通道被识别。</x:v>
      </x:c>
      <x:c r="D26" s="72" t="str">
        <x:v>不得直接写成刻薄、挑剔、毒舌、爱抬杠或必然伤人。</x:v>
      </x:c>
      <x:c r="E26" s="72" t="str">
        <x:v>不得直接写成刻薄、挑剔、毒舌、爱抬杠或必然伤人，这里只描述处理顺序。</x:v>
      </x:c>
      <x:c r="F2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不得直接写成刻薄、挑剔、毒舌、爱抬杠或必然伤人。</x:v>
      </x:c>
      <x:c r="G26" s="72" t="str">
        <x:v>boundary_note</x:v>
      </x:c>
      <x:c r="H26" s="73" t="str">
        <x:v>90</x:v>
      </x:c>
    </x:row>
    <x:row r="27">
      <x:c r="A27" s="71" t="str">
        <x:v>M3-CONFLICT-055</x:v>
      </x:c>
      <x:c r="B27" s="72" t="str">
        <x:v>CF05 正财｜禁止人格化和结果化</x:v>
      </x:c>
      <x:c r="C27" s="72" t="str">
        <x:v>正财冲突通道被识别。</x:v>
      </x:c>
      <x:c r="D27" s="72" t="str">
        <x:v>不得直接写成计较、现实、只看利益或用钱解决一切。</x:v>
      </x:c>
      <x:c r="E27" s="72" t="str">
        <x:v>不得直接写成计较、现实、只看利益或用钱解决一切，这里只描述处理顺序。</x:v>
      </x:c>
      <x:c r="F2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不得直接写成计较、现实、只看利益或用钱解决一切。</x:v>
      </x:c>
      <x:c r="G27" s="72" t="str">
        <x:v>boundary_note</x:v>
      </x:c>
      <x:c r="H27" s="73" t="str">
        <x:v>90</x:v>
      </x:c>
    </x:row>
    <x:row r="28">
      <x:c r="A28" s="71" t="str">
        <x:v>M3-CONFLICT-062</x:v>
      </x:c>
      <x:c r="B28" s="72" t="str">
        <x:v>CF06 偏财｜禁止人格化和结果化</x:v>
      </x:c>
      <x:c r="C28" s="72" t="str">
        <x:v>偏财冲突通道被识别。</x:v>
      </x:c>
      <x:c r="D28" s="72" t="str">
        <x:v>不得直接写成不稳定、敷衍、花心、只会转移话题或没有原则。</x:v>
      </x:c>
      <x:c r="E28" s="72" t="str">
        <x:v>不得直接写成不稳定、敷衍、花心、只会转移话题或没有原则，这里只描述处理顺序。</x:v>
      </x:c>
      <x:c r="F2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不得直接写成不稳定、敷衍、花心、只会转移话题或没有原则。</x:v>
      </x:c>
      <x:c r="G28" s="72" t="str">
        <x:v>boundary_note</x:v>
      </x:c>
      <x:c r="H28" s="73" t="str">
        <x:v>90</x:v>
      </x:c>
    </x:row>
    <x:row r="29">
      <x:c r="A29" s="71" t="str">
        <x:v>M3-CONFLICT-069</x:v>
      </x:c>
      <x:c r="B29" s="72" t="str">
        <x:v>CF07 正官｜禁止人格化和结果化</x:v>
      </x:c>
      <x:c r="C29" s="72" t="str">
        <x:v>正官冲突通道被识别。</x:v>
      </x:c>
      <x:c r="D29" s="72" t="str">
        <x:v>不得直接写成控制、说教、官僚、压迫或必须分出对错。</x:v>
      </x:c>
      <x:c r="E29" s="72" t="str">
        <x:v>不得直接写成控制、说教、官僚、压迫或必须分出对错，这里只描述处理顺序。</x:v>
      </x:c>
      <x:c r="F2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不得直接写成控制、说教、官僚、压迫或必须分出对错。</x:v>
      </x:c>
      <x:c r="G29" s="72" t="str">
        <x:v>boundary_note</x:v>
      </x:c>
      <x:c r="H29" s="73" t="str">
        <x:v>90</x:v>
      </x:c>
    </x:row>
    <x:row r="30">
      <x:c r="A30" s="71" t="str">
        <x:v>M3-CONFLICT-076</x:v>
      </x:c>
      <x:c r="B30" s="72" t="str">
        <x:v>CF08 七杀｜禁止人格化和结果化</x:v>
      </x:c>
      <x:c r="C30" s="72" t="str">
        <x:v>七杀冲突通道被识别。</x:v>
      </x:c>
      <x:c r="D30" s="72" t="str">
        <x:v>不得直接写成暴力、强势控制、脾气大、危险或必然压制对方。</x:v>
      </x:c>
      <x:c r="E30" s="72" t="str">
        <x:v>不得直接写成暴力、强势控制、脾气大、危险或必然压制对方，这里只描述处理顺序。</x:v>
      </x:c>
      <x:c r="F3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不得直接写成暴力、强势控制、脾气大、危险或必然压制对方。</x:v>
      </x:c>
      <x:c r="G30" s="72" t="str">
        <x:v>boundary_note</x:v>
      </x:c>
      <x:c r="H30" s="73" t="str">
        <x:v>90</x:v>
      </x:c>
    </x:row>
    <x:row r="31">
      <x:c r="A31" s="71" t="str">
        <x:v>M3-CONFLICT-083</x:v>
      </x:c>
      <x:c r="B31" s="72" t="str">
        <x:v>CF09 正印｜禁止人格化和结果化</x:v>
      </x:c>
      <x:c r="C31" s="72" t="str">
        <x:v>正印冲突通道被识别。</x:v>
      </x:c>
      <x:c r="D31" s="72" t="str">
        <x:v>不得直接写成没有立场、过度包容、依赖、忍耐或总替别人找理由。</x:v>
      </x:c>
      <x:c r="E31" s="72" t="str">
        <x:v>不得直接写成没有立场、过度包容、依赖、忍耐或总替别人找理由，这里只描述处理顺序。</x:v>
      </x:c>
      <x:c r="F3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不得直接写成没有立场、过度包容、依赖、忍耐或总替别人找理由。</x:v>
      </x:c>
      <x:c r="G31" s="72" t="str">
        <x:v>boundary_note</x:v>
      </x:c>
      <x:c r="H31" s="73" t="str">
        <x:v>90</x:v>
      </x:c>
    </x:row>
    <x:row r="32">
      <x:c r="A32" s="71" t="str">
        <x:v>M3-CONFLICT-090</x:v>
      </x:c>
      <x:c r="B32" s="72" t="str">
        <x:v>CF10 偏印｜禁止人格化和结果化</x:v>
      </x:c>
      <x:c r="C32" s="72" t="str">
        <x:v>偏印冲突通道被识别。</x:v>
      </x:c>
      <x:c r="D32" s="72" t="str">
        <x:v>不得直接写成冷漠、回避、神秘、拒绝沟通或故意不回应。</x:v>
      </x:c>
      <x:c r="E32" s="72" t="str">
        <x:v>不得直接写成冷漠、回避、神秘、拒绝沟通或故意不回应，这里只描述处理顺序。</x:v>
      </x:c>
      <x:c r="F3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不得直接写成冷漠、回避、神秘、拒绝沟通或故意不回应。</x:v>
      </x:c>
      <x:c r="G32" s="72" t="str">
        <x:v>boundary_note</x:v>
      </x:c>
      <x:c r="H32" s="73" t="str">
        <x:v>90</x:v>
      </x:c>
    </x:row>
    <x:row r="33">
      <x:c r="A33" s="71" t="str">
        <x:v>M3-CONFLICT-132</x:v>
      </x:c>
      <x:c r="B33" s="72" t="str">
        <x:v>FP01 平等对谈型｜成立与输出门槛</x:v>
      </x:c>
      <x:c r="C33" s="72" t="str">
        <x:v>至少两类独立证据支持，且与第一反应、信息焦点或结束条件中的一项一致。</x:v>
      </x:c>
      <x:c r="D33" s="72" t="str">
        <x:v>模式只有在不同来源相互印证时才可写入正文；否则降为候选。</x:v>
      </x:c>
      <x:c r="E33" s="72" t="str">
        <x:v>这一判断只概括你怎样处理分歧，不代表其他方式完全缺失。</x:v>
      </x:c>
      <x:c r="F3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33" s="72" t="str">
        <x:v>conflict_pattern</x:v>
      </x:c>
      <x:c r="H33" s="73" t="str">
        <x:v>57</x:v>
      </x:c>
    </x:row>
    <x:row r="34">
      <x:c r="A34" s="71" t="str">
        <x:v>M3-CONFLICT-134</x:v>
      </x:c>
      <x:c r="B34" s="72" t="str">
        <x:v>FP02 即时协作型｜成立与输出门槛</x:v>
      </x:c>
      <x:c r="C34" s="72" t="str">
        <x:v>至少两类独立证据支持，且与第一反应、信息焦点或结束条件中的一项一致。</x:v>
      </x:c>
      <x:c r="D34" s="72" t="str">
        <x:v>模式只有在不同来源相互印证时才可写入正文；否则降为候选。</x:v>
      </x:c>
      <x:c r="E34" s="72" t="str">
        <x:v>这一判断只概括你怎样处理分歧，不代表其他方式完全缺失。</x:v>
      </x:c>
      <x:c r="F3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34" s="72" t="str">
        <x:v>conflict_pattern</x:v>
      </x:c>
      <x:c r="H34" s="73" t="str">
        <x:v>57</x:v>
      </x:c>
    </x:row>
    <x:row r="35">
      <x:c r="A35" s="71" t="str">
        <x:v>M3-CONFLICT-136</x:v>
      </x:c>
      <x:c r="B35" s="72" t="str">
        <x:v>FP03 缓冲降温型｜成立与输出门槛</x:v>
      </x:c>
      <x:c r="C35" s="72" t="str">
        <x:v>至少两类独立证据支持，且与第一反应、信息焦点或结束条件中的一项一致。</x:v>
      </x:c>
      <x:c r="D35" s="72" t="str">
        <x:v>模式只有在不同来源相互印证时才可写入正文；否则降为候选。</x:v>
      </x:c>
      <x:c r="E35" s="72" t="str">
        <x:v>这一判断只概括你怎样处理分歧，不代表其他方式完全缺失。</x:v>
      </x:c>
      <x:c r="F3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35" s="72" t="str">
        <x:v>conflict_pattern</x:v>
      </x:c>
      <x:c r="H35" s="73" t="str">
        <x:v>57</x:v>
      </x:c>
    </x:row>
    <x:row r="36">
      <x:c r="A36" s="71" t="str">
        <x:v>M3-CONFLICT-138</x:v>
      </x:c>
      <x:c r="B36" s="72" t="str">
        <x:v>FP04 分析澄清型｜成立与输出门槛</x:v>
      </x:c>
      <x:c r="C36" s="72" t="str">
        <x:v>至少两类独立证据支持，且与第一反应、信息焦点或结束条件中的一项一致。</x:v>
      </x:c>
      <x:c r="D36" s="72" t="str">
        <x:v>模式只有在不同来源相互印证时才可写入正文；否则降为候选。</x:v>
      </x:c>
      <x:c r="E36" s="72" t="str">
        <x:v>这一判断只概括你怎样处理分歧，不代表其他方式完全缺失。</x:v>
      </x:c>
      <x:c r="F3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36" s="72" t="str">
        <x:v>conflict_pattern</x:v>
      </x:c>
      <x:c r="H36" s="73" t="str">
        <x:v>57</x:v>
      </x:c>
    </x:row>
    <x:row r="37">
      <x:c r="A37" s="71" t="str">
        <x:v>M3-CONFLICT-140</x:v>
      </x:c>
      <x:c r="B37" s="72" t="str">
        <x:v>FP05 现实校准型｜成立与输出门槛</x:v>
      </x:c>
      <x:c r="C37" s="72" t="str">
        <x:v>至少两类独立证据支持，且与第一反应、信息焦点或结束条件中的一项一致。</x:v>
      </x:c>
      <x:c r="D37" s="72" t="str">
        <x:v>模式只有在不同来源相互印证时才可写入正文；否则降为候选。</x:v>
      </x:c>
      <x:c r="E37" s="72" t="str">
        <x:v>这一判断只概括你怎样处理分歧，不代表其他方式完全缺失。</x:v>
      </x:c>
      <x:c r="F3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37" s="72" t="str">
        <x:v>conflict_pattern</x:v>
      </x:c>
      <x:c r="H37" s="73" t="str">
        <x:v>57</x:v>
      </x:c>
    </x:row>
    <x:row r="38">
      <x:c r="A38" s="71" t="str">
        <x:v>M3-CONFLICT-142</x:v>
      </x:c>
      <x:c r="B38" s="72" t="str">
        <x:v>FP06 灵活换案型｜成立与输出门槛</x:v>
      </x:c>
      <x:c r="C38" s="72" t="str">
        <x:v>至少两类独立证据支持，且与第一反应、信息焦点或结束条件中的一项一致。</x:v>
      </x:c>
      <x:c r="D38" s="72" t="str">
        <x:v>模式只有在不同来源相互印证时才可写入正文；否则降为候选。</x:v>
      </x:c>
      <x:c r="E38" s="72" t="str">
        <x:v>这一判断只概括你怎样处理分歧，不代表其他方式完全缺失。</x:v>
      </x:c>
      <x:c r="F3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38" s="72" t="str">
        <x:v>conflict_pattern</x:v>
      </x:c>
      <x:c r="H38" s="73" t="str">
        <x:v>57</x:v>
      </x:c>
    </x:row>
    <x:row r="39">
      <x:c r="A39" s="71" t="str">
        <x:v>M3-CONFLICT-144</x:v>
      </x:c>
      <x:c r="B39" s="72" t="str">
        <x:v>FP07 规则复核型｜成立与输出门槛</x:v>
      </x:c>
      <x:c r="C39" s="72" t="str">
        <x:v>至少两类独立证据支持，且与第一反应、信息焦点或结束条件中的一项一致。</x:v>
      </x:c>
      <x:c r="D39" s="72" t="str">
        <x:v>模式只有在不同来源相互印证时才可写入正文；否则降为候选。</x:v>
      </x:c>
      <x:c r="E39" s="72" t="str">
        <x:v>这一判断只概括你怎样处理分歧，不代表其他方式完全缺失。</x:v>
      </x:c>
      <x:c r="F3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39" s="72" t="str">
        <x:v>conflict_pattern</x:v>
      </x:c>
      <x:c r="H39" s="73" t="str">
        <x:v>57</x:v>
      </x:c>
    </x:row>
    <x:row r="40">
      <x:c r="A40" s="71" t="str">
        <x:v>M3-CONFLICT-146</x:v>
      </x:c>
      <x:c r="B40" s="72" t="str">
        <x:v>FP08 决断处理型｜成立与输出门槛</x:v>
      </x:c>
      <x:c r="C40" s="72" t="str">
        <x:v>至少两类独立证据支持，且与第一反应、信息焦点或结束条件中的一项一致。</x:v>
      </x:c>
      <x:c r="D40" s="72" t="str">
        <x:v>模式只有在不同来源相互印证时才可写入正文；否则降为候选。</x:v>
      </x:c>
      <x:c r="E40" s="72" t="str">
        <x:v>这一判断只概括你怎样处理分歧，不代表其他方式完全缺失。</x:v>
      </x:c>
      <x:c r="F4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40" s="72" t="str">
        <x:v>conflict_pattern</x:v>
      </x:c>
      <x:c r="H40" s="73" t="str">
        <x:v>57</x:v>
      </x:c>
    </x:row>
    <x:row r="41">
      <x:c r="A41" s="71" t="str">
        <x:v>M3-CONFLICT-148</x:v>
      </x:c>
      <x:c r="B41" s="72" t="str">
        <x:v>FP09 倾听承接型｜成立与输出门槛</x:v>
      </x:c>
      <x:c r="C41" s="72" t="str">
        <x:v>至少两类独立证据支持，且与第一反应、信息焦点或结束条件中的一项一致。</x:v>
      </x:c>
      <x:c r="D41" s="72" t="str">
        <x:v>模式只有在不同来源相互印证时才可写入正文；否则降为候选。</x:v>
      </x:c>
      <x:c r="E41" s="72" t="str">
        <x:v>这一判断只概括你怎样处理分歧，不代表其他方式完全缺失。</x:v>
      </x:c>
      <x:c r="F4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41" s="72" t="str">
        <x:v>conflict_pattern</x:v>
      </x:c>
      <x:c r="H41" s="73" t="str">
        <x:v>57</x:v>
      </x:c>
    </x:row>
    <x:row r="42">
      <x:c r="A42" s="71" t="str">
        <x:v>M3-CONFLICT-150</x:v>
      </x:c>
      <x:c r="B42" s="72" t="str">
        <x:v>FP10 暂停内化型｜成立与输出门槛</x:v>
      </x:c>
      <x:c r="C42" s="72" t="str">
        <x:v>至少两类独立证据支持，且与第一反应、信息焦点或结束条件中的一项一致。</x:v>
      </x:c>
      <x:c r="D42" s="72" t="str">
        <x:v>模式只有在不同来源相互印证时才可写入正文；否则降为候选。</x:v>
      </x:c>
      <x:c r="E42" s="72" t="str">
        <x:v>这一判断只概括你怎样处理分歧，不代表其他方式完全缺失。</x:v>
      </x:c>
      <x:c r="F4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42" s="72" t="str">
        <x:v>conflict_pattern</x:v>
      </x:c>
      <x:c r="H42" s="73" t="str">
        <x:v>57</x:v>
      </x:c>
    </x:row>
    <x:row r="43">
      <x:c r="A43" s="71" t="str">
        <x:v>M3-CONFLICT-152</x:v>
      </x:c>
      <x:c r="B43" s="72" t="str">
        <x:v>FP11 双阶段协同型｜成立与输出门槛</x:v>
      </x:c>
      <x:c r="C43" s="72" t="str">
        <x:v>至少两类独立证据支持，且与第一反应、信息焦点或结束条件中的一项一致。</x:v>
      </x:c>
      <x:c r="D43" s="72" t="str">
        <x:v>模式只有在不同来源相互印证时才可写入正文；否则降为候选。</x:v>
      </x:c>
      <x:c r="E43" s="72" t="str">
        <x:v>这一判断只概括你怎样处理分歧，不代表其他方式完全缺失。</x:v>
      </x:c>
      <x:c r="F4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43" s="72" t="str">
        <x:v>conflict_pattern</x:v>
      </x:c>
      <x:c r="H43" s="73" t="str">
        <x:v>57</x:v>
      </x:c>
    </x:row>
    <x:row r="44">
      <x:c r="A44" s="71" t="str">
        <x:v>M3-CONFLICT-154</x:v>
      </x:c>
      <x:c r="B44" s="72" t="str">
        <x:v>FP12 情境切换型｜成立与输出门槛</x:v>
      </x:c>
      <x:c r="C44" s="72" t="str">
        <x:v>至少两类独立证据支持，且与第一反应、信息焦点或结束条件中的一项一致。</x:v>
      </x:c>
      <x:c r="D44" s="72" t="str">
        <x:v>模式只有在不同来源相互印证时才可写入正文；否则降为候选。</x:v>
      </x:c>
      <x:c r="E44" s="72" t="str">
        <x:v>这一判断只概括你怎样处理分歧，不代表其他方式完全缺失。</x:v>
      </x:c>
      <x:c r="F4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44" s="72" t="str">
        <x:v>conflict_pattern</x:v>
      </x:c>
      <x:c r="H44" s="73" t="str">
        <x:v>57</x:v>
      </x:c>
    </x:row>
    <x:row r="45">
      <x:c r="A45" s="71" t="str">
        <x:v>M3-CONFLICT-174</x:v>
      </x:c>
      <x:c r="B45" s="72" t="str">
        <x:v>FS08 断流／未定｜序列结构</x:v>
      </x:c>
      <x:c r="C45" s="72" t="str">
        <x:v>起点、转换和终点均有可靠证据；FS08为FS08时适用于桥梁缺失或状态争议。</x:v>
      </x:c>
      <x:c r="D45" s="72" t="str">
        <x:v>关键桥梁缺失、主次争议或没有可靠回归路径。</x:v>
      </x:c>
      <x:c r="E45" s="72" t="str">
        <x:v>目前无法确认稳定处理链，只能保留局部反应，不硬写完整流程。</x:v>
      </x:c>
      <x:c r="F4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45" s="72" t="str">
        <x:v>conflict_sequence</x:v>
      </x:c>
      <x:c r="H45" s="73" t="str">
        <x:v>54</x:v>
      </x:c>
    </x:row>
    <x:row r="46">
      <x:c r="A46" s="71" t="str">
        <x:v>M3-CONFLICT-186</x:v>
      </x:c>
      <x:c r="B46" s="72" t="str">
        <x:v>日支合｜禁止结果化解释</x:v>
      </x:c>
      <x:c r="C46" s="72" t="str">
        <x:v>日支合被识别。</x:v>
      </x:c>
      <x:c r="D46" s="72" t="str">
        <x:v>日支合在M3-CONFLICT中只修正分歧的显化、校正或重订节奏。</x:v>
      </x:c>
      <x:c r="E46" s="72" t="str">
        <x:v>这里仅把日支合作为分歧节奏修正，不把它直接写成关系结果。</x:v>
      </x:c>
      <x:c r="F4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46" s="72" t="str">
        <x:v>boundary_note</x:v>
      </x:c>
      <x:c r="H46" s="73" t="str">
        <x:v>92</x:v>
      </x:c>
    </x:row>
    <x:row r="47">
      <x:c r="A47" s="71" t="str">
        <x:v>M3-CONFLICT-187</x:v>
      </x:c>
      <x:c r="B47" s="72" t="str">
        <x:v>日支合｜停止／改道路由</x:v>
      </x:c>
      <x:c r="C47" s="72" t="str">
        <x:v>日支合的成立、作用对象、阶段性或合化状态存在争议。</x:v>
      </x:c>
      <x:c r="D47" s="72" t="str">
        <x:v>合的具体对象、是否合化或作用层级存在争议时，只保留“整合需求”而不固定冲突模式。</x:v>
      </x:c>
      <x:c r="E47" s="72" t="str">
        <x:v>合的具体对象、是否合化或作用层级存在争议时，只保留“整合需求”而不固定冲突模式。</x:v>
      </x:c>
      <x:c r="F4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47" s="72" t="str">
        <x:v>report_status</x:v>
      </x:c>
      <x:c r="H47" s="73" t="str">
        <x:v>91</x:v>
      </x:c>
    </x:row>
    <x:row r="48">
      <x:c r="A48" s="71" t="str">
        <x:v>M3-CONFLICT-191</x:v>
      </x:c>
      <x:c r="B48" s="72" t="str">
        <x:v>日支冲｜禁止结果化解释</x:v>
      </x:c>
      <x:c r="C48" s="72" t="str">
        <x:v>日支冲被识别。</x:v>
      </x:c>
      <x:c r="D48" s="72" t="str">
        <x:v>日支冲在M3-CONFLICT中只修正分歧的显化、校正或重订节奏。</x:v>
      </x:c>
      <x:c r="E48" s="72" t="str">
        <x:v>这里仅把日支冲作为分歧节奏修正，不把它直接写成关系结果。</x:v>
      </x:c>
      <x:c r="F4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48" s="72" t="str">
        <x:v>boundary_note</x:v>
      </x:c>
      <x:c r="H48" s="73" t="str">
        <x:v>92</x:v>
      </x:c>
    </x:row>
    <x:row r="49">
      <x:c r="A49" s="71" t="str">
        <x:v>M3-CONFLICT-192</x:v>
      </x:c>
      <x:c r="B49" s="72" t="str">
        <x:v>日支冲｜停止／改道路由</x:v>
      </x:c>
      <x:c r="C49" s="72" t="str">
        <x:v>日支冲的成立、作用对象、阶段性或合化状态存在争议。</x:v>
      </x:c>
      <x:c r="D49" s="72" t="str">
        <x:v>冲的成立、力量或作用对象不清时，只能写“差异容易外显”，不得细化为固定争执。</x:v>
      </x:c>
      <x:c r="E49" s="72" t="str">
        <x:v>冲的成立、力量或作用对象不清时，只能写“差异容易外显”，不得细化为固定争执。</x:v>
      </x:c>
      <x:c r="F4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49" s="72" t="str">
        <x:v>report_status</x:v>
      </x:c>
      <x:c r="H49" s="73" t="str">
        <x:v>91</x:v>
      </x:c>
    </x:row>
    <x:row r="50">
      <x:c r="A50" s="71" t="str">
        <x:v>M3-CONFLICT-196</x:v>
      </x:c>
      <x:c r="B50" s="72" t="str">
        <x:v>日支刑｜禁止结果化解释</x:v>
      </x:c>
      <x:c r="C50" s="72" t="str">
        <x:v>日支刑被识别。</x:v>
      </x:c>
      <x:c r="D50" s="72" t="str">
        <x:v>日支刑在M3-CONFLICT中只修正分歧的显化、校正或重订节奏。</x:v>
      </x:c>
      <x:c r="E50" s="72" t="str">
        <x:v>这里仅把日支刑作为分歧节奏修正，不把它直接写成关系结果。</x:v>
      </x:c>
      <x:c r="F5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50" s="72" t="str">
        <x:v>boundary_note</x:v>
      </x:c>
      <x:c r="H50" s="73" t="str">
        <x:v>92</x:v>
      </x:c>
    </x:row>
    <x:row r="51">
      <x:c r="A51" s="71" t="str">
        <x:v>M3-CONFLICT-197</x:v>
      </x:c>
      <x:c r="B51" s="72" t="str">
        <x:v>日支刑｜停止／改道路由</x:v>
      </x:c>
      <x:c r="C51" s="72" t="str">
        <x:v>日支刑的成立、作用对象、阶段性或合化状态存在争议。</x:v>
      </x:c>
      <x:c r="D51" s="72" t="str">
        <x:v>刑的具体结构、强弱或对象有争议时，降低置信度，不写成必然反复冲突。</x:v>
      </x:c>
      <x:c r="E51" s="72" t="str">
        <x:v>刑的具体结构、强弱或对象有争议时，降低置信度，不写成必然反复冲突。</x:v>
      </x:c>
      <x:c r="F5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51" s="72" t="str">
        <x:v>report_status</x:v>
      </x:c>
      <x:c r="H51" s="73" t="str">
        <x:v>91</x:v>
      </x:c>
    </x:row>
    <x:row r="52">
      <x:c r="A52" s="71" t="str">
        <x:v>M3-CONFLICT-201</x:v>
      </x:c>
      <x:c r="B52" s="72" t="str">
        <x:v>日支害｜禁止结果化解释</x:v>
      </x:c>
      <x:c r="C52" s="72" t="str">
        <x:v>日支害被识别。</x:v>
      </x:c>
      <x:c r="D52" s="72" t="str">
        <x:v>日支害在M3-CONFLICT中只修正分歧的显化、校正或重订节奏。</x:v>
      </x:c>
      <x:c r="E52" s="72" t="str">
        <x:v>这里仅把日支害作为分歧节奏修正，不把它直接写成关系结果。</x:v>
      </x:c>
      <x:c r="F5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52" s="72" t="str">
        <x:v>boundary_note</x:v>
      </x:c>
      <x:c r="H52" s="73" t="str">
        <x:v>92</x:v>
      </x:c>
    </x:row>
    <x:row r="53">
      <x:c r="A53" s="71" t="str">
        <x:v>M3-CONFLICT-202</x:v>
      </x:c>
      <x:c r="B53" s="72" t="str">
        <x:v>日支害｜停止／改道路由</x:v>
      </x:c>
      <x:c r="C53" s="72" t="str">
        <x:v>日支害的成立、作用对象、阶段性或合化状态存在争议。</x:v>
      </x:c>
      <x:c r="D53" s="72" t="str">
        <x:v>只有害而无具体错位、沟通或行为证据时，不得写成暗伤、背叛或故意伤害。</x:v>
      </x:c>
      <x:c r="E53" s="72" t="str">
        <x:v>只有害而无具体错位、沟通或行为证据时，不得写成暗伤、背叛或故意伤害。</x:v>
      </x:c>
      <x:c r="F5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53" s="72" t="str">
        <x:v>report_status</x:v>
      </x:c>
      <x:c r="H53" s="73" t="str">
        <x:v>91</x:v>
      </x:c>
    </x:row>
    <x:row r="54">
      <x:c r="A54" s="71" t="str">
        <x:v>M3-CONFLICT-206</x:v>
      </x:c>
      <x:c r="B54" s="72" t="str">
        <x:v>日支破｜禁止结果化解释</x:v>
      </x:c>
      <x:c r="C54" s="72" t="str">
        <x:v>日支破被识别。</x:v>
      </x:c>
      <x:c r="D54" s="72" t="str">
        <x:v>日支破在M3-CONFLICT中只修正分歧的显化、校正或重订节奏。</x:v>
      </x:c>
      <x:c r="E54" s="72" t="str">
        <x:v>这里仅把日支破作为分歧节奏修正，不把它直接写成关系结果。</x:v>
      </x:c>
      <x:c r="F5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54" s="72" t="str">
        <x:v>boundary_note</x:v>
      </x:c>
      <x:c r="H54" s="73" t="str">
        <x:v>92</x:v>
      </x:c>
    </x:row>
    <x:row r="55">
      <x:c r="A55" s="71" t="str">
        <x:v>M3-CONFLICT-207</x:v>
      </x:c>
      <x:c r="B55" s="72" t="str">
        <x:v>日支破｜停止／改道路由</x:v>
      </x:c>
      <x:c r="C55" s="72" t="str">
        <x:v>日支破的成立、作用对象、阶段性或合化状态存在争议。</x:v>
      </x:c>
      <x:c r="D55" s="72" t="str">
        <x:v>若破只是阶段覆盖或基础作用未定，应标记阶段性，不改写原局主冲突通道。</x:v>
      </x:c>
      <x:c r="E55" s="72" t="str">
        <x:v>若破只是阶段覆盖或基础作用未定，应标记阶段性，不改写原局主冲突通道。</x:v>
      </x:c>
      <x:c r="F5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55" s="72" t="str">
        <x:v>report_status</x:v>
      </x:c>
      <x:c r="H55" s="73" t="str">
        <x:v>91</x:v>
      </x:c>
    </x:row>
    <x:row r="56">
      <x:c r="A56" s="71" t="str">
        <x:v>M3-CONFLICT-221</x:v>
      </x:c>
      <x:c r="B56" s="72" t="str">
        <x:v>SC14 强弱争议｜回退到五系统</x:v>
      </x:c>
      <x:c r="C56" s="72" t="str">
        <x:v>强弱争议由共享基础引擎可靠判定；主冲突通道基础性质有效。</x:v>
      </x:c>
      <x:c r="D56" s="72" t="str">
        <x:v>十神级主次不可靠时，只保留表达、现实、责任、承接或自主系统。</x:v>
      </x:c>
      <x:c r="E56" s="72" t="str">
        <x:v>目前只能判断你更偏向某一类处理系统，具体方式仍需保留不确定性。</x:v>
      </x:c>
      <x:c r="F5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56" s="72" t="str">
        <x:v>report_status</x:v>
      </x:c>
      <x:c r="H56" s="73" t="str">
        <x:v>90</x:v>
      </x:c>
    </x:row>
    <x:row r="57">
      <x:c r="A57" s="71" t="str">
        <x:v>M3-CONFLICT-225</x:v>
      </x:c>
      <x:c r="B57" s="72" t="str">
        <x:v>SC18 忌而过旺｜禁止直接写冲突失控</x:v>
      </x:c>
      <x:c r="C57" s="72" t="str">
        <x:v>忌而过旺由共享基础引擎可靠判定；主冲突通道基础性质有效。</x:v>
      </x:c>
      <x:c r="D57" s="72" t="str">
        <x:v>只能说明该通道容易抢先，不能直接写成攻击、控制、冷战或关系失控。</x:v>
      </x:c>
      <x:c r="E57" s="72" t="str">
        <x:v>只能说这种反应容易先出现，不能直接把它写成冲突失控。</x:v>
      </x:c>
      <x:c r="F5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57" s="72" t="str">
        <x:v>risk_route</x:v>
      </x:c>
      <x:c r="H57" s="73" t="str">
        <x:v>90</x:v>
      </x:c>
    </x:row>
    <x:row r="58">
      <x:c r="A58" s="71" t="str">
        <x:v>M3-CONFLICT-228</x:v>
      </x:c>
      <x:c r="B58" s="72" t="str">
        <x:v>SC21 真合化｜原通道清零并重建</x:v>
      </x:c>
      <x:c r="C58" s="72" t="str">
        <x:v>真合化由共享基础引擎可靠判定；主冲突通道基础性质有效。</x:v>
      </x:c>
      <x:c r="D58" s="72" t="str">
        <x:v>真合化成立时原十神冲突通道不再保留，按化神功能系统重建。</x:v>
      </x:c>
      <x:c r="E58" s="72" t="str">
        <x:v>原来的冲突解释不再保留，改按合化后的功能系统重新判断。</x:v>
      </x:c>
      <x:c r="F5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58" s="72" t="str">
        <x:v>report_status</x:v>
      </x:c>
      <x:c r="H58" s="73" t="str">
        <x:v>90</x:v>
      </x:c>
    </x:row>
    <x:row r="59">
      <x:c r="A59" s="71" t="str">
        <x:v>M3-CONFLICT-232</x:v>
      </x:c>
      <x:c r="B59" s="72" t="str">
        <x:v>IF01 BASE同源接口｜底盘与冲突共享一次权重</x:v>
      </x:c>
      <x:c r="C59" s="72" t="str">
        <x:v>BASE同一source_id被调用，且相应上游模块或基础事实可追溯。</x:v>
      </x:c>
      <x:c r="D59" s="72" t="str">
        <x:v>关系底盘可以细化为冲突通道，但基础证据只计一次。</x:v>
      </x:c>
      <x:c r="E59" s="72" t="str">
        <x:v>你的日常关系底盘会影响分歧处理，但不会因为被两个模块读取就重复加重结论。</x:v>
      </x:c>
      <x:c r="F5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59" s="72" t="str">
        <x:v>provenance</x:v>
      </x:c>
      <x:c r="H59" s="73" t="str">
        <x:v>89</x:v>
      </x:c>
    </x:row>
    <x:row r="60">
      <x:c r="A60" s="71" t="str">
        <x:v>M3-CONFLICT-233</x:v>
      </x:c>
      <x:c r="B60" s="72" t="str">
        <x:v>IF02 BASE异源接口｜次通道可独立升级</x:v>
      </x:c>
      <x:c r="C60" s="72" t="str">
        <x:v>BASE独立source_id被调用，且相应上游模块或基础事实可追溯。</x:v>
      </x:c>
      <x:c r="D60" s="72" t="str">
        <x:v>若BASE底盘与CONFLICT通道来自不同可靠来源，可保留功能不同的次通道。</x:v>
      </x:c>
      <x:c r="E60" s="72" t="str">
        <x:v>你的日常相处底盘和分歧处理不完全相同时，可以保留一个有独立依据的补充方式。</x:v>
      </x:c>
      <x:c r="F6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60" s="72" t="str">
        <x:v>secondary_conflict_channel</x:v>
      </x:c>
      <x:c r="H60" s="73" t="str">
        <x:v>75</x:v>
      </x:c>
    </x:row>
    <x:row r="61">
      <x:c r="A61" s="71" t="str">
        <x:v>M3-CONFLICT-234</x:v>
      </x:c>
      <x:c r="B61" s="72" t="str">
        <x:v>IF03 EXPR日常沟通→CONFLICT启动修正</x:v>
      </x:c>
      <x:c r="C61" s="72" t="str">
        <x:v>EXPR表达通道被调用，且相应上游模块或基础事实可追溯。</x:v>
      </x:c>
      <x:c r="D61" s="72" t="str">
        <x:v>EXPR可提供语言、行动或内化方式，但不能单独决定压力下第一反应。</x:v>
      </x:c>
      <x:c r="E61" s="72" t="str">
        <x:v>你平时怎样表达会影响分歧中的沟通入口，但压力下是否保持同样顺序还要继续判断。</x:v>
      </x:c>
      <x:c r="F6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61" s="72" t="str">
        <x:v>first_response</x:v>
      </x:c>
      <x:c r="H61" s="73" t="str">
        <x:v>89</x:v>
      </x:c>
    </x:row>
    <x:row r="62">
      <x:c r="A62" s="71" t="str">
        <x:v>M3-CONFLICT-235</x:v>
      </x:c>
      <x:c r="B62" s="72" t="str">
        <x:v>IF04 EXPR直接表达≠攻击</x:v>
      </x:c>
      <x:c r="C62" s="72" t="str">
        <x:v>伤官／比肩／官杀表达被调用，且相应上游模块或基础事实可追溯。</x:v>
      </x:c>
      <x:c r="D62" s="72" t="str">
        <x:v>直接、清楚或强度高的表达不自动等于攻击；语气、尊重和结果交给M4与案例。</x:v>
      </x:c>
      <x:c r="E62" s="72" t="str">
        <x:v>你可能把问题说得直接，但这不自动意味着会攻击对方。</x:v>
      </x:c>
      <x:c r="F6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62" s="72" t="str">
        <x:v>boundary_note</x:v>
      </x:c>
      <x:c r="H62" s="73" t="str">
        <x:v>89</x:v>
      </x:c>
    </x:row>
    <x:row r="63">
      <x:c r="A63" s="71" t="str">
        <x:v>M3-CONFLICT-236</x:v>
      </x:c>
      <x:c r="B63" s="72" t="str">
        <x:v>IF05 CARE支持方式≠冲突解决方式</x:v>
      </x:c>
      <x:c r="C63" s="72" t="str">
        <x:v>CARE通道被调用，且相应上游模块或基础事实可追溯。</x:v>
      </x:c>
      <x:c r="D63" s="72" t="str">
        <x:v>用户平时怎样照顾对方，不等于分歧时先采用同一通道。</x:v>
      </x:c>
      <x:c r="E63" s="72" t="str">
        <x:v>你平时如何支持对方，和意见不一致时怎样处理，是两套不同功能。</x:v>
      </x:c>
      <x:c r="F6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63" s="72" t="str">
        <x:v>boundary_note</x:v>
      </x:c>
      <x:c r="H63" s="73" t="str">
        <x:v>89</x:v>
      </x:c>
    </x:row>
    <x:row r="64">
      <x:c r="A64" s="71" t="str">
        <x:v>M3-CONFLICT-237</x:v>
      </x:c>
      <x:c r="B64" s="72" t="str">
        <x:v>IF06 BOUND边界内容→CONFLICT议题输入</x:v>
      </x:c>
      <x:c r="C64" s="72" t="str">
        <x:v>BOUND限制内容被调用，且相应上游模块或基础事实可追溯。</x:v>
      </x:c>
      <x:c r="D64" s="72" t="str">
        <x:v>BOUND提供不能接受、需要暂停或权限范围；CONFLICT决定怎样处理这些内容。</x:v>
      </x:c>
      <x:c r="E64" s="72" t="str">
        <x:v>你的边界会成为分歧议题，但具体怎样说、怎样暂停和怎样形成方案要另外判断。</x:v>
      </x:c>
      <x:c r="F6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64" s="72" t="str">
        <x:v>position_expression</x:v>
      </x:c>
      <x:c r="H64" s="73" t="str">
        <x:v>89</x:v>
      </x:c>
    </x:row>
    <x:row r="65">
      <x:c r="A65" s="71" t="str">
        <x:v>M3-CONFLICT-238</x:v>
      </x:c>
      <x:c r="B65" s="72" t="str">
        <x:v>IF07 BOUND暂停≠冷战｜回归路径复核</x:v>
      </x:c>
      <x:c r="C65" s="72" t="str">
        <x:v>BOUND暂停被调用，且相应上游模块或基础事实可追溯。</x:v>
      </x:c>
      <x:c r="D65" s="72" t="str">
        <x:v>只有暂停目的、范围和回归路径可识别时，CONFLICT才可输出暂停。</x:v>
      </x:c>
      <x:c r="E65" s="72" t="str">
        <x:v>你需要暂停时，会继续检查你怎样回到问题，而不是直接写成冷战。</x:v>
      </x:c>
      <x:c r="F6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65" s="72" t="str">
        <x:v>pause_style</x:v>
      </x:c>
      <x:c r="H65" s="73" t="str">
        <x:v>89</x:v>
      </x:c>
    </x:row>
    <x:row r="66">
      <x:c r="A66" s="71" t="str">
        <x:v>M3-CONFLICT-239</x:v>
      </x:c>
      <x:c r="B66" s="72" t="str">
        <x:v>IF08 REPAIR接口｜问题结束≠联结恢复</x:v>
      </x:c>
      <x:c r="C66" s="72" t="str">
        <x:v>REPAIR待调用被调用，且相应上游模块或基础事实可追溯。</x:v>
      </x:c>
      <x:c r="D66" s="72" t="str">
        <x:v>CONFLICT负责阶段结果，REPAIR负责重新理解、靠近和信任恢复。</x:v>
      </x:c>
      <x:c r="E66" s="72" t="str">
        <x:v>事情有了处理结果，不代表关系已经恢复；后续怎样重新联结会单独判断。</x:v>
      </x:c>
      <x:c r="F6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66" s="72" t="str">
        <x:v>conflict_end_condition</x:v>
      </x:c>
      <x:c r="H66" s="73" t="str">
        <x:v>89</x:v>
      </x:c>
    </x:row>
    <x:row r="67">
      <x:c r="A67" s="71" t="str">
        <x:v>M3-CONFLICT-240</x:v>
      </x:c>
      <x:c r="B67" s="72" t="str">
        <x:v>IF09 STATE接口｜先确定平稳主通道</x:v>
      </x:c>
      <x:c r="C67" s="72" t="str">
        <x:v>STATE平稳状态被调用，且相应上游模块或基础事实可追溯。</x:v>
      </x:c>
      <x:c r="D67" s="72" t="str">
        <x:v>先确定平稳状态的默认冲突通道，再说明压力下是否切换。</x:v>
      </x:c>
      <x:c r="E67" s="72" t="str">
        <x:v>会先看你通常怎样处理小分歧，再说明高压力时是否改变方式。</x:v>
      </x:c>
      <x:c r="F6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67" s="72" t="str">
        <x:v>state_shift</x:v>
      </x:c>
      <x:c r="H67" s="73" t="str">
        <x:v>89</x:v>
      </x:c>
    </x:row>
    <x:row r="68">
      <x:c r="A68" s="71" t="str">
        <x:v>M3-CONFLICT-241</x:v>
      </x:c>
      <x:c r="B68" s="72" t="str">
        <x:v>IF10 STATE接口｜压力切换需要独立证据</x:v>
      </x:c>
      <x:c r="C68" s="72" t="str">
        <x:v>STATE压力状态被调用，且相应上游模块或基础事实可追溯。</x:v>
      </x:c>
      <x:c r="D68" s="72" t="str">
        <x:v>压力切换至少需要旺衰／制化、宫位动态和真实行为中的两类证据。</x:v>
      </x:c>
      <x:c r="E68" s="72" t="str">
        <x:v>只有多类证据一致时，才会把压力下的另一种反应写进结论。</x:v>
      </x:c>
      <x:c r="F6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68" s="72" t="str">
        <x:v>state_shift</x:v>
      </x:c>
      <x:c r="H68" s="73" t="str">
        <x:v>75</x:v>
      </x:c>
    </x:row>
    <x:row r="69">
      <x:c r="A69" s="71" t="str">
        <x:v>M3-CONFLICT-242</x:v>
      </x:c>
      <x:c r="B69" s="72" t="str">
        <x:v>IF11 M2接口｜关系准入标准不等于冲突规则</x:v>
      </x:c>
      <x:c r="C69" s="72" t="str">
        <x:v>M2准入维度被调用，且相应上游模块或基础事实可追溯。</x:v>
      </x:c>
      <x:c r="D69" s="72" t="str">
        <x:v>M2可说明哪些议题容易重要，但不能决定分歧如何处理。</x:v>
      </x:c>
      <x:c r="E69" s="72" t="str">
        <x:v>你选择关系时看重的条件，可能成为分歧议题，但不会直接决定你的处理方式。</x:v>
      </x:c>
      <x:c r="F6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69" s="72" t="str">
        <x:v>boundary_note</x:v>
      </x:c>
      <x:c r="H69" s="73" t="str">
        <x:v>89</x:v>
      </x:c>
    </x:row>
    <x:row r="70">
      <x:c r="A70" s="71" t="str">
        <x:v>M3-CONFLICT-243</x:v>
      </x:c>
      <x:c r="B70" s="72" t="str">
        <x:v>IF12 M1接口｜心动触发不参与冲突加分</x:v>
      </x:c>
      <x:c r="C70" s="72" t="str">
        <x:v>M1心动维度被调用，且相应上游模块或基础事实可追溯。</x:v>
      </x:c>
      <x:c r="D70" s="72" t="str">
        <x:v>M1只做对照，不参与CONFLICT核心分值。</x:v>
      </x:c>
      <x:c r="E70" s="72" t="str">
        <x:v>让你心动的特质不会被当成分歧处理证据。</x:v>
      </x:c>
      <x:c r="F7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70" s="72" t="str">
        <x:v>provenance</x:v>
      </x:c>
      <x:c r="H70" s="73" t="str">
        <x:v>89</x:v>
      </x:c>
    </x:row>
    <x:row r="71">
      <x:c r="A71" s="71" t="str">
        <x:v>M3-CONFLICT-244</x:v>
      </x:c>
      <x:c r="B71" s="72" t="str">
        <x:v>IF13 M4路由｜直接通道过强候选</x:v>
      </x:c>
      <x:c r="C71" s="72" t="str">
        <x:v>伤官／比肩／官杀过旺被调用，且相应上游模块或基础事实可追溯。</x:v>
      </x:c>
      <x:c r="D71" s="72" t="str">
        <x:v>只记录直接性、抢先和压力占位；攻击、压迫或僵持风险交给M4。</x:v>
      </x:c>
      <x:c r="E71" s="72" t="str">
        <x:v>这种反应可能很直接，但是否伤害关系，需要在风险模型里判断。</x:v>
      </x:c>
      <x:c r="F7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71" s="72" t="str">
        <x:v>risk_route</x:v>
      </x:c>
      <x:c r="H71" s="73" t="str">
        <x:v>89</x:v>
      </x:c>
    </x:row>
    <x:row r="72">
      <x:c r="A72" s="71" t="str">
        <x:v>M3-CONFLICT-245</x:v>
      </x:c>
      <x:c r="B72" s="72" t="str">
        <x:v>IF14 M4路由｜暂停通道过强候选</x:v>
      </x:c>
      <x:c r="C72" s="72" t="str">
        <x:v>印星／暂停通道过旺被调用，且相应上游模块或基础事实可追溯。</x:v>
      </x:c>
      <x:c r="D72" s="72" t="str">
        <x:v>只记录暂停和内部整理；长期断联、冷战或回避需真实行为与M4。</x:v>
      </x:c>
      <x:c r="E72" s="72" t="str">
        <x:v>你可能需要更多整理时间，但是否变成长时间不回应，不能由本模块直接判断。</x:v>
      </x:c>
      <x:c r="F7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72" s="72" t="str">
        <x:v>risk_route</x:v>
      </x:c>
      <x:c r="H72" s="73" t="str">
        <x:v>89</x:v>
      </x:c>
    </x:row>
    <x:row r="73">
      <x:c r="A73" s="71" t="str">
        <x:v>M3-CONFLICT-246</x:v>
      </x:c>
      <x:c r="B73" s="72" t="str">
        <x:v>IF15 M4路由｜行动决断过强候选</x:v>
      </x:c>
      <x:c r="C73" s="72" t="str">
        <x:v>七杀／劫财过旺被调用，且相应上游模块或基础事实可追溯。</x:v>
      </x:c>
      <x:c r="D73" s="72" t="str">
        <x:v>只记录行动、止损和快速推进；控制、替代对方决定或激烈行为需M4。</x:v>
      </x:c>
      <x:c r="E73" s="72" t="str">
        <x:v>你可能更快行动，但是否压过对方参与权，要交给边界和风险模块。</x:v>
      </x:c>
      <x:c r="F7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73" s="72" t="str">
        <x:v>risk_route</x:v>
      </x:c>
      <x:c r="H73" s="73" t="str">
        <x:v>89</x:v>
      </x:c>
    </x:row>
    <x:row r="74">
      <x:c r="A74" s="71" t="str">
        <x:v>M3-CONFLICT-247</x:v>
      </x:c>
      <x:c r="B74" s="72" t="str">
        <x:v>IF16 M5接口｜冲突风格不得直接给适配答案</x:v>
      </x:c>
      <x:c r="C74" s="72" t="str">
        <x:v>M5适配待调用被调用，且相应上游模块或基础事实可追溯。</x:v>
      </x:c>
      <x:c r="D74" s="72" t="str">
        <x:v>常用冲突方式可作为M5输入，但不直接推出适合哪类伴侣。</x:v>
      </x:c>
      <x:c r="E74" s="72" t="str">
        <x:v>你的分歧处理方式会影响长期适配，但不是最终适配结论。</x:v>
      </x:c>
      <x:c r="F7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74" s="72" t="str">
        <x:v>boundary_note</x:v>
      </x:c>
      <x:c r="H74" s="73" t="str">
        <x:v>89</x:v>
      </x:c>
    </x:row>
    <x:row r="75">
      <x:c r="A75" s="71" t="str">
        <x:v>M3-CONFLICT-248</x:v>
      </x:c>
      <x:c r="B75" s="72" t="str">
        <x:v>IF17 夫妻星入日支｜选择—责任议题连续性</x:v>
      </x:c>
      <x:c r="C75" s="72" t="str">
        <x:v>夫妻星入日支被调用，且相应上游模块或基础事实可追溯。</x:v>
      </x:c>
      <x:c r="D75" s="72" t="str">
        <x:v>夫妻星入宫可让承诺、行动或投入成为高频议题，但仍与BASE同源去重。</x:v>
      </x:c>
      <x:c r="E75" s="72" t="str">
        <x:v>你选择关系时看重的责任、行动或投入，进入关系后也可能成为分歧中反复需要确认的内容。</x:v>
      </x:c>
      <x:c r="F7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75" s="72" t="str">
        <x:v>provenance</x:v>
      </x:c>
      <x:c r="H75" s="73" t="str">
        <x:v>75</x:v>
      </x:c>
    </x:row>
    <x:row r="76">
      <x:c r="A76" s="71" t="str">
        <x:v>M3-CONFLICT-249</x:v>
      </x:c>
      <x:c r="B76" s="72" t="str">
        <x:v>IF18 source_id去重｜共享事实只计一次</x:v>
      </x:c>
      <x:c r="C76" s="72" t="str">
        <x:v>相同source_id被调用，且相应上游模块或基础事实可追溯。</x:v>
      </x:c>
      <x:c r="D76" s="72" t="str">
        <x:v>同一基础事实在多个模块出现时只保留一次权重，多模块解释写入来源日志。</x:v>
      </x:c>
      <x:c r="E76" s="72" t="str">
        <x:v>同一个事实可以解释多个环节，但不会重复增加证据数量。</x:v>
      </x:c>
      <x:c r="F7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76" s="72" t="str">
        <x:v>provenance</x:v>
      </x:c>
      <x:c r="H76" s="73" t="str">
        <x:v>89</x:v>
      </x:c>
    </x:row>
    <x:row r="77">
      <x:c r="A77" s="71" t="str">
        <x:v>M3-CONFLICT-250</x:v>
      </x:c>
      <x:c r="B77" s="72" t="str">
        <x:v>IF19 同根透藏去重｜外显与稳定分工</x:v>
      </x:c>
      <x:c r="C77" s="72" t="str">
        <x:v>同根透藏被调用，且相应上游模块或基础事实可追溯。</x:v>
      </x:c>
      <x:c r="D77" s="72" t="str">
        <x:v>透干负责可见度、藏支负责稳定背景，不能当成两项独立冲突通道。</x:v>
      </x:c>
      <x:c r="E77" s="72" t="str">
        <x:v>同一种方式既可能被看见，也可能有长期来源，但仍是一项核心证据。</x:v>
      </x:c>
      <x:c r="F7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77" s="72" t="str">
        <x:v>provenance</x:v>
      </x:c>
      <x:c r="H77" s="73" t="str">
        <x:v>89</x:v>
      </x:c>
    </x:row>
    <x:row r="78">
      <x:c r="A78" s="71" t="str">
        <x:v>M3-CONFLICT-251</x:v>
      </x:c>
      <x:c r="B78" s="72" t="str">
        <x:v>IF20 同系统正偏十神收敛｜先系统后风格</x:v>
      </x:c>
      <x:c r="C78" s="72" t="str">
        <x:v>正偏同系统被调用，且相应上游模块或基础事实可追溯。</x:v>
      </x:c>
      <x:c r="D78" s="72" t="str">
        <x:v>食伤、财、官杀、印、比劫同系统并见时先判断共同功能，再区分风格和顺序。</x:v>
      </x:c>
      <x:c r="E78" s="72" t="str">
        <x:v>两种相近方式同时出现时，会先看共同功能，再说明谁负责启动、谁负责完成。</x:v>
      </x:c>
      <x:c r="F7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78" s="72" t="str">
        <x:v>secondary_conflict_channel</x:v>
      </x:c>
      <x:c r="H78" s="73" t="str">
        <x:v>89</x:v>
      </x:c>
    </x:row>
    <x:row r="79">
      <x:c r="A79" s="71" t="str">
        <x:v>M3-CONFLICT-252</x:v>
      </x:c>
      <x:c r="B79" s="72" t="str">
        <x:v>IF21 真合化替换｜原通道不得并存</x:v>
      </x:c>
      <x:c r="C79" s="72" t="str">
        <x:v>真合化成立被调用，且相应上游模块或基础事实可追溯。</x:v>
      </x:c>
      <x:c r="D79" s="72" t="str">
        <x:v>原十神冲突分值清零，按化神映射重新建立通道、顺序和输出。</x:v>
      </x:c>
      <x:c r="E79" s="72" t="str">
        <x:v>真合化成立时，原来的处理方式不再同时保留。</x:v>
      </x:c>
      <x:c r="F7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79" s="72" t="str">
        <x:v>report_status</x:v>
      </x:c>
      <x:c r="H79" s="73" t="str">
        <x:v>89</x:v>
      </x:c>
    </x:row>
    <x:row r="80">
      <x:c r="A80" s="71" t="str">
        <x:v>M3-CONFLICT-253</x:v>
      </x:c>
      <x:c r="B80" s="72" t="str">
        <x:v>IF22 弱远争议回退｜只到五系统层</x:v>
      </x:c>
      <x:c r="C80" s="72" t="str">
        <x:v>弱远／强弱争议被调用，且相应上游模块或基础事实可追溯。</x:v>
      </x:c>
      <x:c r="D80" s="72" t="str">
        <x:v>无法可靠区分具体十神时，回退为自主、表达、现实、责任或承接系统。</x:v>
      </x:c>
      <x:c r="E80" s="72" t="str">
        <x:v>目前只能说明你更偏向某类处理功能，不能精确到固定的冲突风格。</x:v>
      </x:c>
      <x:c r="F8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80" s="72" t="str">
        <x:v>report_status</x:v>
      </x:c>
      <x:c r="H80" s="73" t="str">
        <x:v>89</x:v>
      </x:c>
    </x:row>
    <x:row r="81">
      <x:c r="A81" s="71" t="str">
        <x:v>M3-CONFLICT-254</x:v>
      </x:c>
      <x:c r="B81" s="72" t="str">
        <x:v>IF23 无可靠通道停止｜不得硬凑模式</x:v>
      </x:c>
      <x:c r="C81" s="72" t="str">
        <x:v>无有效主通道被调用，且相应上游模块或基础事实可追溯。</x:v>
      </x:c>
      <x:c r="D81" s="72" t="str">
        <x:v>没有达到主通道门槛、关键基础未定或候选高度冲突时停止固定模式。</x:v>
      </x:c>
      <x:c r="E81" s="72" t="str">
        <x:v>现有信息不足以判断稳定冲突方式，只保留需要验证的方向。</x:v>
      </x:c>
      <x:c r="F8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81" s="72" t="str">
        <x:v>report_status</x:v>
      </x:c>
      <x:c r="H81" s="73" t="str">
        <x:v>89</x:v>
      </x:c>
    </x:row>
    <x:row r="82">
      <x:c r="A82" s="71" t="str">
        <x:v>M3-CONFLICT-255</x:v>
      </x:c>
      <x:c r="B82" s="72" t="str">
        <x:v>IF24 有限回退输出｜局部信息可用</x:v>
      </x:c>
      <x:c r="C82" s="72" t="str">
        <x:v>局部可靠证据被调用，且相应上游模块或基础事实可追溯。</x:v>
      </x:c>
      <x:c r="D82" s="72" t="str">
        <x:v>主模式停止但第一关注点、暂停需要或现实行为有可靠证据时，只输出局部字段。</x:v>
      </x:c>
      <x:c r="E82" s="72" t="str">
        <x:v>目前可以说明你在分歧中较关注什么，但完整处理顺序仍需真实案例确认。</x:v>
      </x:c>
      <x:c r="F8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82" s="72" t="str">
        <x:v>report_status</x:v>
      </x:c>
      <x:c r="H82" s="73" t="str">
        <x:v>75</x:v>
      </x:c>
    </x:row>
    <x:row r="83">
      <x:c r="A83" s="71" t="str">
        <x:v>M3-CONFLICT-261</x:v>
      </x:c>
      <x:c r="B83" s="72" t="str">
        <x:v>SO06 主冲突通道门槛｜36分且领先</x:v>
      </x:c>
      <x:c r="C83" s="72" t="str">
        <x:v>候选总分≥36，领先第二候选≥8，且至少两类独立证据。</x:v>
      </x:c>
      <x:c r="D83" s="72" t="str">
        <x:v>只有证据集中且功能稳定时，才写入主通道。</x:v>
      </x:c>
      <x:c r="E83" s="72" t="str">
        <x:v>只有证据足够集中时，才会把一种方式写成你的主要冲突处理通道。</x:v>
      </x:c>
      <x:c r="F8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83" s="72" t="str">
        <x:v>primary_conflict_channel</x:v>
      </x:c>
      <x:c r="H83" s="73" t="str">
        <x:v>70</x:v>
      </x:c>
    </x:row>
    <x:row r="84">
      <x:c r="A84" s="71" t="str">
        <x:v>M3-CONFLICT-262</x:v>
      </x:c>
      <x:c r="B84" s="72" t="str">
        <x:v>SO07 次冲突通道门槛｜25分且功能独立</x:v>
      </x:c>
      <x:c r="C84" s="72" t="str">
        <x:v>候选总分≥25，来源独立、功能不同，且不是主通道同义重复。</x:v>
      </x:c>
      <x:c r="D84" s="72" t="str">
        <x:v>次通道只在提供独立功能时保留。</x:v>
      </x:c>
      <x:c r="E84" s="72" t="str">
        <x:v>补充方式只有在来源独立、功能不同且证据足够时才会保留。</x:v>
      </x:c>
      <x:c r="F8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84" s="72" t="str">
        <x:v>secondary_conflict_channel</x:v>
      </x:c>
      <x:c r="H84" s="73" t="str">
        <x:v>70</x:v>
      </x:c>
    </x:row>
    <x:row r="85">
      <x:c r="A85" s="71" t="str">
        <x:v>M3-CONFLICT-263</x:v>
      </x:c>
      <x:c r="B85" s="72" t="str">
        <x:v>SO08 双阶段协同门槛｜一项启动一项完成</x:v>
      </x:c>
      <x:c r="C85" s="72" t="str">
        <x:v>两个通道均达门槛，分差&lt;8，且一项负责启动／降温，另一项负责方案／责任／结束。</x:v>
      </x:c>
      <x:c r="D85" s="72" t="str">
        <x:v>两个强通道必须有明确功能分工，不能简单堆积。</x:v>
      </x:c>
      <x:c r="E85" s="72" t="str">
        <x:v>当两种方式都明显时，会说明谁负责让问题进入可处理状态，谁负责把事情完成。</x:v>
      </x:c>
      <x:c r="F8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85" s="72" t="str">
        <x:v>conflict_pattern</x:v>
      </x:c>
      <x:c r="H85" s="73" t="str">
        <x:v>70</x:v>
      </x:c>
    </x:row>
    <x:row r="86">
      <x:c r="A86" s="71" t="str">
        <x:v>M3-CONFLICT-264</x:v>
      </x:c>
      <x:c r="B86" s="72" t="str">
        <x:v>SO09 模式门槛｜至少两类独立证据</x:v>
      </x:c>
      <x:c r="C86" s="72" t="str">
        <x:v>通道证据＋过程维度／宫位动态／重复行为中的至少一项独立证据。</x:v>
      </x:c>
      <x:c r="D86" s="72" t="str">
        <x:v>单一十神标签不能直接生成模式。</x:v>
      </x:c>
      <x:c r="E86" s="72" t="str">
        <x:v>模式标签只有在不同证据相互支持时才会使用。</x:v>
      </x:c>
      <x:c r="F8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86" s="72" t="str">
        <x:v>conflict_pattern</x:v>
      </x:c>
      <x:c r="H86" s="73" t="str">
        <x:v>88</x:v>
      </x:c>
    </x:row>
    <x:row r="87">
      <x:c r="A87" s="71" t="str">
        <x:v>M3-CONFLICT-265</x:v>
      </x:c>
      <x:c r="B87" s="72" t="str">
        <x:v>SO10 顺序门槛｜至少两个有效节点和一条桥梁</x:v>
      </x:c>
      <x:c r="C87" s="72" t="str">
        <x:v>起点、转换和终点可追溯；不得仅凭柱位或五行生克。</x:v>
      </x:c>
      <x:c r="D87" s="72" t="str">
        <x:v>现实先后必须由功能和独立证据共同支持。</x:v>
      </x:c>
      <x:c r="E87" s="72" t="str">
        <x:v>只有能说明“先什么、再什么、最后怎样结束”时，才会写完整处理顺序。</x:v>
      </x:c>
      <x:c r="F8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87" s="72" t="str">
        <x:v>conflict_sequence</x:v>
      </x:c>
      <x:c r="H87" s="73" t="str">
        <x:v>88</x:v>
      </x:c>
    </x:row>
    <x:row r="88">
      <x:c r="A88" s="71" t="str">
        <x:v>M3-CONFLICT-266</x:v>
      </x:c>
      <x:c r="B88" s="72" t="str">
        <x:v>SO11 输出上限｜一主一次一顺序一结束条件</x:v>
      </x:c>
      <x:c r="C88" s="72" t="str">
        <x:v>完成评分、去重和冲突路由后。</x:v>
      </x:c>
      <x:c r="D88" s="72" t="str">
        <x:v>最终正文限制标签数量，避免万能画像。</x:v>
      </x:c>
      <x:c r="E88" s="72" t="str">
        <x:v>最终会保留一个主通道、一个真正独立的次通道、一个处理顺序和一个阶段结束条件。</x:v>
      </x:c>
      <x:c r="F8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88" s="72" t="str">
        <x:v>report_template</x:v>
      </x:c>
      <x:c r="H88" s="73" t="str">
        <x:v>88</x:v>
      </x:c>
    </x:row>
    <x:row r="89">
      <x:c r="A89" s="71" t="str">
        <x:v>M3-CONFLICT-267</x:v>
      </x:c>
      <x:c r="B89" s="72" t="str">
        <x:v>SO12 高置信｜多源独立且基础稳定</x:v>
      </x:c>
      <x:c r="C89" s="72" t="str">
        <x:v>主通道多源独立、合化旺衰无关键争议、过程维度与案例一致。</x:v>
      </x:c>
      <x:c r="D89" s="72" t="str">
        <x:v>高置信表示内部证据充分，不是统计准确率。</x:v>
      </x:c>
      <x:c r="E89" s="72" t="str">
        <x:v>这一判断有多类独立证据支持，但仍保留模型边界。</x:v>
      </x:c>
      <x:c r="F89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89" s="72" t="str">
        <x:v>confidence</x:v>
      </x:c>
      <x:c r="H89" s="73" t="str">
        <x:v>88</x:v>
      </x:c>
    </x:row>
    <x:row r="90">
      <x:c r="A90" s="71" t="str">
        <x:v>M3-CONFLICT-270</x:v>
      </x:c>
      <x:c r="B90" s="72" t="str">
        <x:v>SO15 中低／低／停止｜关键证据不足</x:v>
      </x:c>
      <x:c r="C90" s="72" t="str">
        <x:v>信号弱远、基础争议、桥梁缺失、真合化未定或无主通道。</x:v>
      </x:c>
      <x:c r="D90" s="72" t="str">
        <x:v>根据可用程度回退、低置信或停止。</x:v>
      </x:c>
      <x:c r="E90" s="72" t="str">
        <x:v>目前证据不足，只能保留有限方向或停止固定判断。</x:v>
      </x:c>
      <x:c r="F90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90" s="72" t="str">
        <x:v>confidence</x:v>
      </x:c>
      <x:c r="H90" s="73" t="str">
        <x:v>88</x:v>
      </x:c>
    </x:row>
    <x:row r="91">
      <x:c r="A91" s="71" t="str">
        <x:v>M3-CONFLICT-271</x:v>
      </x:c>
      <x:c r="B91" s="72" t="str">
        <x:v>SO16 最终字段权威｜CONFLICT负责分歧处理</x:v>
      </x:c>
      <x:c r="C91" s="72" t="str">
        <x:v>模型三总合成调用CONFLICT字段。</x:v>
      </x:c>
      <x:c r="D91" s="72" t="str">
        <x:v>M3总报告中的第一反应、处理顺序、暂停和阶段结束以CONFLICT为主权威。</x:v>
      </x:c>
      <x:c r="E91" s="72" t="str">
        <x:v>模型三总报告里，分歧处理方式以这一模块为准。</x:v>
      </x:c>
      <x:c r="F91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91" s="72" t="str">
        <x:v>provenance</x:v>
      </x:c>
      <x:c r="H91" s="73" t="str">
        <x:v>88</x:v>
      </x:c>
    </x:row>
    <x:row r="92">
      <x:c r="A92" s="71" t="str">
        <x:v>M3-CONFLICT-272</x:v>
      </x:c>
      <x:c r="B92" s="72" t="str">
        <x:v>SO17 单通道标准模板｜直接可用</x:v>
      </x:c>
      <x:c r="C92" s="72" t="str">
        <x:v>一个主通道成立，次通道未达门槛或同义收敛。</x:v>
      </x:c>
      <x:c r="D92" s="72" t="str">
        <x:v>用一主通道＋顺序＋结束条件形成简洁用户文案。</x:v>
      </x:c>
      <x:c r="E92" s="72" t="str">
        <x:v>分歧出现时，你更习惯先【第一反应】，重点确认【注意焦点】。之后会通过【主要通道】把问题推进到【阶段结束条件】。</x:v>
      </x:c>
      <x:c r="F92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92" s="72" t="str">
        <x:v>report_template</x:v>
      </x:c>
      <x:c r="H92" s="73" t="str">
        <x:v>88</x:v>
      </x:c>
    </x:row>
    <x:row r="93">
      <x:c r="A93" s="71" t="str">
        <x:v>M3-CONFLICT-273</x:v>
      </x:c>
      <x:c r="B93" s="72" t="str">
        <x:v>SO18 双阶段模板｜说明功能分工</x:v>
      </x:c>
      <x:c r="C93" s="72" t="str">
        <x:v>FP11双阶段协同型成立。</x:v>
      </x:c>
      <x:c r="D93" s="72" t="str">
        <x:v>必须说明A负责启动／降温，B负责完成／责任／方案。</x:v>
      </x:c>
      <x:c r="E93" s="72" t="str">
        <x:v>你的处理通常分两段：先用【A】让问题进入可处理状态，再用【B】形成方案、责任或结束条件。</x:v>
      </x:c>
      <x:c r="F93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93" s="72" t="str">
        <x:v>report_template</x:v>
      </x:c>
      <x:c r="H93" s="73" t="str">
        <x:v>88</x:v>
      </x:c>
    </x:row>
    <x:row r="94">
      <x:c r="A94" s="71" t="str">
        <x:v>M3-CONFLICT-274</x:v>
      </x:c>
      <x:c r="B94" s="72" t="str">
        <x:v>SO19 低置信模板｜说明不确定来源</x:v>
      </x:c>
      <x:c r="C94" s="72" t="str">
        <x:v>主通道未稳定，但系统方向或局部字段可用。</x:v>
      </x:c>
      <x:c r="D94" s="72" t="str">
        <x:v>低置信输出必须写清不确定原因。</x:v>
      </x:c>
      <x:c r="E94" s="72" t="str">
        <x:v>目前只能判断你在分歧中较偏向【系统方向】，但【基础争议／主次接近／回归路径未定】仍会改变具体方式。</x:v>
      </x:c>
      <x:c r="F94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94" s="72" t="str">
        <x:v>report_template</x:v>
      </x:c>
      <x:c r="H94" s="73" t="str">
        <x:v>88</x:v>
      </x:c>
    </x:row>
    <x:row r="95">
      <x:c r="A95" s="71" t="str">
        <x:v>M3-CONFLICT-275</x:v>
      </x:c>
      <x:c r="B95" s="72" t="str">
        <x:v>SO20 边界说明模板｜不人格化不结果化</x:v>
      </x:c>
      <x:c r="C95" s="72" t="str">
        <x:v>任一CONFLICT报告生成。</x:v>
      </x:c>
      <x:c r="D95" s="72" t="str">
        <x:v>固定附带模型边界，防止用户把处理顺序理解为人格和结果。</x:v>
      </x:c>
      <x:c r="E95" s="72" t="str">
        <x:v>这描述的是你的默认处理顺序，不等于你一定会攻击、冷战或让关系失败。</x:v>
      </x:c>
      <x:c r="F95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95" s="72" t="str">
        <x:v>boundary_note</x:v>
      </x:c>
      <x:c r="H95" s="73" t="str">
        <x:v>88</x:v>
      </x:c>
    </x:row>
    <x:row r="96">
      <x:c r="A96" s="71" t="str">
        <x:v>M3-CONFLICT-276</x:v>
      </x:c>
      <x:c r="B96" s="72" t="str">
        <x:v>SO21 报告就绪门控｜关键字段齐全</x:v>
      </x:c>
      <x:c r="C96" s="72" t="str">
        <x:v>主通道、第一反应、一个处理顺序或结束条件、置信度均已确定。</x:v>
      </x:c>
      <x:c r="D96" s="72" t="str">
        <x:v>关键字段齐全后才能输出正式CONFLICT段落。</x:v>
      </x:c>
      <x:c r="E96" s="72" t="str">
        <x:v>关键处理信息已经足够，可以生成正式的分歧响应说明。</x:v>
      </x:c>
      <x:c r="F96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96" s="72" t="str">
        <x:v>report_status</x:v>
      </x:c>
      <x:c r="H96" s="73" t="str">
        <x:v>88</x:v>
      </x:c>
    </x:row>
    <x:row r="97">
      <x:c r="A97" s="71" t="str">
        <x:v>M3-CONFLICT-277</x:v>
      </x:c>
      <x:c r="B97" s="72" t="str">
        <x:v>SO22 停止报告模板｜关键基础未定</x:v>
      </x:c>
      <x:c r="C97" s="72" t="str">
        <x:v>基础十神、合化、主次或回归路径触发停止。</x:v>
      </x:c>
      <x:c r="D97" s="72" t="str">
        <x:v>停止报告不硬补缺失字段，只说明可用局部方向。</x:v>
      </x:c>
      <x:c r="E97" s="72" t="str">
        <x:v>现有命理证据不足以固定你的冲突处理模式；目前只能保留【局部可靠信息】，其余需要真实案例确认。</x:v>
      </x:c>
      <x:c r="F97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97" s="72" t="str">
        <x:v>report_template</x:v>
      </x:c>
      <x:c r="H97" s="73" t="str">
        <x:v>88</x:v>
      </x:c>
    </x:row>
    <x:row r="98">
      <x:c r="A98" s="71" t="str">
        <x:v>M3-CONFLICT-278</x:v>
      </x:c>
      <x:c r="B98" s="72" t="str">
        <x:v>SO23 禁止标签与诊断｜发布前硬检查</x:v>
      </x:c>
      <x:c r="C98" s="72" t="str">
        <x:v>准备生成用户报告。</x:v>
      </x:c>
      <x:c r="D98" s="72" t="str">
        <x:v>删除固执、冷战型、控制型、回避型、暴力、情绪化等未经M4验证的标签。</x:v>
      </x:c>
      <x:c r="E98" s="72" t="str">
        <x:v>报告只使用行为和顺序语言，不使用人格化、病理化或结果化标签。</x:v>
      </x:c>
      <x:c r="F98" s="72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98" s="72" t="str">
        <x:v>boundary_note</x:v>
      </x:c>
      <x:c r="H98" s="73" t="str">
        <x:v>88</x:v>
      </x:c>
    </x:row>
    <x:row r="99">
      <x:c r="A99" s="74" t="str">
        <x:v>M3-CONFLICT-280</x:v>
      </x:c>
      <x:c r="B99" s="75" t="str">
        <x:v>SO25 后续接口｜转入REPAIR与STATE</x:v>
      </x:c>
      <x:c r="C99" s="75" t="str">
        <x:v>CONFLICT已形成阶段结果或识别压力切换候选。</x:v>
      </x:c>
      <x:c r="D99" s="75" t="str">
        <x:v>将结束条件传给REPAIR，将平稳／压力差异传给STATE，不在本模块重复。</x:v>
      </x:c>
      <x:c r="E99" s="75" t="str">
        <x:v>下一步会继续判断：问题处理以后你怎样重新联结，以及压力状态是否改变你的相处方式。</x:v>
      </x:c>
      <x:c r="F99" s="75" t="str">
        <x:v>不得由本规则直接推出攻击、冷战、控制、情绪虐待、暴力、分手离婚、关系失败、人格或依恋类型；不得把某种分歧处理顺序等同于爱得更多或更少。风险与失衡需转入M4，适配需转入M5。</x:v>
      </x:c>
      <x:c r="G99" s="75" t="str">
        <x:v>report_status</x:v>
      </x:c>
      <x:c r="H99" s="76" t="str">
        <x:v>88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67bde700a2447d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8" hidden="0" customWidth="1"/>
    <x:col min="4" max="4" width="58" hidden="0" customWidth="1"/>
    <x:col min="5" max="5" width="44" hidden="0" customWidth="1"/>
    <x:col min="6" max="6" width="28" hidden="0" customWidth="1"/>
  </x:cols>
  <x:sheetData>
    <x:row r="1" ht="28" customHeight="1">
      <x:c r="A1" s="7" t="str">
        <x:v>用户输出模板与可直接改写句库</x:v>
      </x:c>
      <x:c r="B1" s="7" t="str">
        <x:v>用户输出模板与可直接改写句库</x:v>
      </x:c>
      <x:c r="C1" s="7" t="str">
        <x:v>用户输出模板与可直接改写句库</x:v>
      </x:c>
      <x:c r="D1" s="7" t="str">
        <x:v>用户输出模板与可直接改写句库</x:v>
      </x:c>
      <x:c r="E1" s="7" t="str">
        <x:v>用户输出模板与可直接改写句库</x:v>
      </x:c>
      <x:c r="F1" s="7" t="str">
        <x:v>用户输出模板与可直接改写句库</x:v>
      </x:c>
    </x:row>
    <x:row r="2" ht="30" customHeight="1">
      <x:c r="A2" s="17" t="str">
        <x:v>先确定编号，再从本页抽取一句核心判断、一句处理顺序、一句结束条件和一句边界说明。不要堆积所有标签。</x:v>
      </x:c>
      <x:c r="B2" s="17" t="str">
        <x:v>先确定编号，再从本页抽取一句核心判断、一句处理顺序、一句结束条件和一句边界说明。不要堆积所有标签。</x:v>
      </x:c>
      <x:c r="C2" s="17" t="str">
        <x:v>先确定编号，再从本页抽取一句核心判断、一句处理顺序、一句结束条件和一句边界说明。不要堆积所有标签。</x:v>
      </x:c>
      <x:c r="D2" s="17" t="str">
        <x:v>先确定编号，再从本页抽取一句核心判断、一句处理顺序、一句结束条件和一句边界说明。不要堆积所有标签。</x:v>
      </x:c>
      <x:c r="E2" s="17" t="str">
        <x:v>先确定编号，再从本页抽取一句核心判断、一句处理顺序、一句结束条件和一句边界说明。不要堆积所有标签。</x:v>
      </x:c>
      <x:c r="F2" s="17" t="str">
        <x:v>先确定编号，再从本页抽取一句核心判断、一句处理顺序、一句结束条件和一句边界说明。不要堆积所有标签。</x:v>
      </x:c>
    </x:row>
    <x:row r="4" ht="24" customHeight="1">
      <x:c r="A4" s="33" t="str">
        <x:v>类型</x:v>
      </x:c>
      <x:c r="B4" s="34" t="str">
        <x:v>编号／位置</x:v>
      </x:c>
      <x:c r="C4" s="34" t="str">
        <x:v>使用条件</x:v>
      </x:c>
      <x:c r="D4" s="34" t="str">
        <x:v>模板／句库</x:v>
      </x:c>
      <x:c r="E4" s="34" t="str">
        <x:v>禁止写法</x:v>
      </x:c>
      <x:c r="F4" s="35" t="str">
        <x:v>备注</x:v>
      </x:c>
    </x:row>
    <x:row r="5">
      <x:c r="A5" s="68" t="str">
        <x:v>报告结构</x:v>
      </x:c>
      <x:c r="B5" s="69" t="str">
        <x:v>1 核心通道</x:v>
      </x:c>
      <x:c r="C5" s="69" t="str">
        <x:v>主通道达到门槛</x:v>
      </x:c>
      <x:c r="D5" s="69" t="str">
        <x:v>分歧出现时，你更习惯先【第一反应】，重点确认【注意焦点】。</x:v>
      </x:c>
      <x:c r="E5" s="69" t="str">
        <x:v>你就是……型的人</x:v>
      </x:c>
      <x:c r="F5" s="70" t="str">
        <x:v>一主通道即可</x:v>
      </x:c>
    </x:row>
    <x:row r="6">
      <x:c r="A6" s="71" t="str">
        <x:v>报告结构</x:v>
      </x:c>
      <x:c r="B6" s="72" t="str">
        <x:v>2 处理顺序</x:v>
      </x:c>
      <x:c r="C6" s="72" t="str">
        <x:v>至少两个节点和一条桥梁</x:v>
      </x:c>
      <x:c r="D6" s="72" t="str">
        <x:v>通常会先【起点】，再通过【桥梁】进入【终点】。</x:v>
      </x:c>
      <x:c r="E6" s="72" t="str">
        <x:v>你一定先……后……</x:v>
      </x:c>
      <x:c r="F6" s="73" t="str">
        <x:v>用“更可能／通常”</x:v>
      </x:c>
    </x:row>
    <x:row r="7">
      <x:c r="A7" s="71" t="str">
        <x:v>报告结构</x:v>
      </x:c>
      <x:c r="B7" s="72" t="str">
        <x:v>3 责任与方案</x:v>
      </x:c>
      <x:c r="C7" s="72" t="str">
        <x:v>FQ05—FQ06成立</x:v>
      </x:c>
      <x:c r="D7" s="72" t="str">
        <x:v>在责任和方案上，你更倾向【责任处理】，并通过【方案方式】形成可执行结果。</x:v>
      </x:c>
      <x:c r="E7" s="72" t="str">
        <x:v>你一定要分对错</x:v>
      </x:c>
      <x:c r="F7" s="73" t="str">
        <x:v>不评价好坏</x:v>
      </x:c>
    </x:row>
    <x:row r="8">
      <x:c r="A8" s="71" t="str">
        <x:v>报告结构</x:v>
      </x:c>
      <x:c r="B8" s="72" t="str">
        <x:v>4 暂停与回应</x:v>
      </x:c>
      <x:c r="C8" s="72" t="str">
        <x:v>FQ07—FQ08成立</x:v>
      </x:c>
      <x:c r="D8" s="72" t="str">
        <x:v>需要暂停时，你更可能【暂停方式】；重新进入沟通时，会先【接收方式】。</x:v>
      </x:c>
      <x:c r="E8" s="72" t="str">
        <x:v>你会冷战</x:v>
      </x:c>
      <x:c r="F8" s="73" t="str">
        <x:v>必须有回归路径</x:v>
      </x:c>
    </x:row>
    <x:row r="9">
      <x:c r="A9" s="71" t="str">
        <x:v>报告结构</x:v>
      </x:c>
      <x:c r="B9" s="72" t="str">
        <x:v>5 阶段结束</x:v>
      </x:c>
      <x:c r="C9" s="72" t="str">
        <x:v>FQ09成立</x:v>
      </x:c>
      <x:c r="D9" s="72" t="str">
        <x:v>对你来说，这一轮分歧通常要到【阶段结束条件】以后，才会暂时告一段落。</x:v>
      </x:c>
      <x:c r="E9" s="72" t="str">
        <x:v>问题解决=关系修复</x:v>
      </x:c>
      <x:c r="F9" s="73" t="str">
        <x:v>修复交REPAIR</x:v>
      </x:c>
    </x:row>
    <x:row r="10">
      <x:c r="A10" s="71" t="str">
        <x:v>报告结构</x:v>
      </x:c>
      <x:c r="B10" s="72" t="str">
        <x:v>6 边界说明</x:v>
      </x:c>
      <x:c r="C10" s="72" t="str">
        <x:v>所有正式输出</x:v>
      </x:c>
      <x:c r="D10" s="72" t="str">
        <x:v>这描述的是你的默认处理顺序，不等于你一定会攻击、冷战或让关系失败。</x:v>
      </x:c>
      <x:c r="E10" s="72" t="str">
        <x:v>风险断语</x:v>
      </x:c>
      <x:c r="F10" s="73" t="str">
        <x:v>固定附带</x:v>
      </x:c>
    </x:row>
    <x:row r="11">
      <x:c r="A11" s="71" t="str">
        <x:v>标准模板</x:v>
      </x:c>
      <x:c r="B11" s="72" t="str">
        <x:v>单通道</x:v>
      </x:c>
      <x:c r="C11" s="72" t="str">
        <x:v>一个主通道成立</x:v>
      </x:c>
      <x:c r="D11" s="72" t="str">
        <x:v>分歧出现时，你更习惯先【第一反应】，重点确认【注意焦点】。之后会通过【主要通道】把问题推进到【阶段结束条件】。</x:v>
      </x:c>
      <x:c r="E11" s="72" t="str">
        <x:v>堆积多种十神</x:v>
      </x:c>
      <x:c r="F11" s="73" t="str">
        <x:v>SO17</x:v>
      </x:c>
    </x:row>
    <x:row r="12">
      <x:c r="A12" s="71" t="str">
        <x:v>标准模板</x:v>
      </x:c>
      <x:c r="B12" s="72" t="str">
        <x:v>双阶段</x:v>
      </x:c>
      <x:c r="C12" s="72" t="str">
        <x:v>FP11成立</x:v>
      </x:c>
      <x:c r="D12" s="72" t="str">
        <x:v>你的处理通常分两段：先用【A】让问题进入可处理状态，再用【B】形成方案、责任或结束条件。</x:v>
      </x:c>
      <x:c r="E12" s="72" t="str">
        <x:v>既……又……无分工</x:v>
      </x:c>
      <x:c r="F12" s="73" t="str">
        <x:v>SO18</x:v>
      </x:c>
    </x:row>
    <x:row r="13">
      <x:c r="A13" s="71" t="str">
        <x:v>标准模板</x:v>
      </x:c>
      <x:c r="B13" s="72" t="str">
        <x:v>低置信</x:v>
      </x:c>
      <x:c r="C13" s="72" t="str">
        <x:v>主通道未稳定</x:v>
      </x:c>
      <x:c r="D13" s="72" t="str">
        <x:v>目前只能判断你在分歧中较偏向【系统方向】，但【不确定原因】仍会改变具体方式。</x:v>
      </x:c>
      <x:c r="E13" s="72" t="str">
        <x:v>硬写固定模式</x:v>
      </x:c>
      <x:c r="F13" s="73" t="str">
        <x:v>SO19</x:v>
      </x:c>
    </x:row>
    <x:row r="14">
      <x:c r="A14" s="74" t="str">
        <x:v>标准模板</x:v>
      </x:c>
      <x:c r="B14" s="75" t="str">
        <x:v>停止版</x:v>
      </x:c>
      <x:c r="C14" s="75" t="str">
        <x:v>关键基础未定</x:v>
      </x:c>
      <x:c r="D14" s="75" t="str">
        <x:v>现有命理证据不足以固定你的冲突处理模式；目前只能保留【局部可靠信息】，其余需要真实案例确认。</x:v>
      </x:c>
      <x:c r="E14" s="75" t="str">
        <x:v>为了完整硬凑结论</x:v>
      </x:c>
      <x:c r="F14" s="76" t="str">
        <x:v>SO22</x:v>
      </x:c>
    </x:row>
    <x:row r="16" ht="24" customHeight="1">
      <x:c r="A16" s="33" t="str">
        <x:v>类型</x:v>
      </x:c>
      <x:c r="B16" s="34" t="str">
        <x:v>编号</x:v>
      </x:c>
      <x:c r="C16" s="34" t="str">
        <x:v>名称</x:v>
      </x:c>
      <x:c r="D16" s="34" t="str">
        <x:v>可直接使用的用户句</x:v>
      </x:c>
      <x:c r="E16" s="34" t="str">
        <x:v>边界句</x:v>
      </x:c>
      <x:c r="F16" s="35" t="str">
        <x:v>关键词</x:v>
      </x:c>
    </x:row>
    <x:row r="17">
      <x:c r="A17" s="68" t="str">
        <x:v>十神通道</x:v>
      </x:c>
      <x:c r="B17" s="69" t="str">
        <x:v>CF01</x:v>
      </x:c>
      <x:c r="C17" s="69" t="str">
        <x:v>比肩｜平等立场</x:v>
      </x:c>
      <x:c r="D17" s="69" t="str">
        <x:v>分歧出现时，你更容易先把自己的立场说清，也希望对方明确表达，而不是靠猜测完成沟通。</x:v>
      </x:c>
      <x:c r="E17" s="69" t="str">
        <x:v>不得直接写成固执、争强、好胜或不肯妥协。</x:v>
      </x:c>
      <x:c r="F17" s="70" t="str">
        <x:v>比肩、CF01、平等立场</x:v>
      </x:c>
    </x:row>
    <x:row r="18">
      <x:c r="A18" s="71" t="str">
        <x:v>十神通道</x:v>
      </x:c>
      <x:c r="B18" s="72" t="str">
        <x:v>CF02</x:v>
      </x:c>
      <x:c r="C18" s="72" t="str">
        <x:v>劫财｜即时介入</x:v>
      </x:c>
      <x:c r="D18" s="72" t="str">
        <x:v>你更容易在问题出现时快速进入现场，边回应、边协作、边调整，而不是长时间停在抽象讨论里。</x:v>
      </x:c>
      <x:c r="E18" s="72" t="str">
        <x:v>不得直接写成冲动、抢夺、竞争或容易打起来。</x:v>
      </x:c>
      <x:c r="F18" s="73" t="str">
        <x:v>劫财、CF02、即时介入</x:v>
      </x:c>
    </x:row>
    <x:row r="19">
      <x:c r="A19" s="71" t="str">
        <x:v>十神通道</x:v>
      </x:c>
      <x:c r="B19" s="72" t="str">
        <x:v>CF03</x:v>
      </x:c>
      <x:c r="C19" s="72" t="str">
        <x:v>食神｜缓冲降温</x:v>
      </x:c>
      <x:c r="D19" s="72" t="str">
        <x:v>意见不一致时，你更容易先把气氛降下来，让双方能够继续说话，再进入具体问题。</x:v>
      </x:c>
      <x:c r="E19" s="72" t="str">
        <x:v>不得直接写成逃避问题、怕冲突、讨好或一味和稀泥。</x:v>
      </x:c>
      <x:c r="F19" s="73" t="str">
        <x:v>食神、CF03、缓冲降温</x:v>
      </x:c>
    </x:row>
    <x:row r="20">
      <x:c r="A20" s="71" t="str">
        <x:v>十神通道</x:v>
      </x:c>
      <x:c r="B20" s="72" t="str">
        <x:v>CF04</x:v>
      </x:c>
      <x:c r="C20" s="72" t="str">
        <x:v>伤官｜分析澄清</x:v>
      </x:c>
      <x:c r="D20" s="72" t="str">
        <x:v>分歧出现时，你更容易先把问题拆开，问清楚事实和逻辑，希望彼此真正知道在争什么。</x:v>
      </x:c>
      <x:c r="E20" s="72" t="str">
        <x:v>不得直接写成刻薄、挑剔、毒舌、爱抬杠或必然伤人。</x:v>
      </x:c>
      <x:c r="F20" s="73" t="str">
        <x:v>伤官、CF04、分析澄清</x:v>
      </x:c>
    </x:row>
    <x:row r="21">
      <x:c r="A21" s="71" t="str">
        <x:v>十神通道</x:v>
      </x:c>
      <x:c r="B21" s="72" t="str">
        <x:v>CF05</x:v>
      </x:c>
      <x:c r="C21" s="72" t="str">
        <x:v>正财｜现实校准</x:v>
      </x:c>
      <x:c r="D21" s="72" t="str">
        <x:v>你更容易把分歧落到具体安排上：时间怎么分、事情怎么做、资源怎样协调，以及后续能否持续。</x:v>
      </x:c>
      <x:c r="E21" s="72" t="str">
        <x:v>不得直接写成计较、现实、只看利益或用钱解决一切。</x:v>
      </x:c>
      <x:c r="F21" s="73" t="str">
        <x:v>正财、CF05、现实校准</x:v>
      </x:c>
    </x:row>
    <x:row r="22">
      <x:c r="A22" s="71" t="str">
        <x:v>十神通道</x:v>
      </x:c>
      <x:c r="B22" s="72" t="str">
        <x:v>CF06</x:v>
      </x:c>
      <x:c r="C22" s="72" t="str">
        <x:v>偏财｜灵活换案</x:v>
      </x:c>
      <x:c r="D22" s="72" t="str">
        <x:v>你在分歧中往往会寻找别的处理办法，愿意调整方式、场景或方案，让关系重新有可移动的空间。</x:v>
      </x:c>
      <x:c r="E22" s="72" t="str">
        <x:v>不得直接写成不稳定、敷衍、花心、只会转移话题或没有原则。</x:v>
      </x:c>
      <x:c r="F22" s="73" t="str">
        <x:v>偏财、CF06、灵活换案</x:v>
      </x:c>
    </x:row>
    <x:row r="23">
      <x:c r="A23" s="71" t="str">
        <x:v>十神通道</x:v>
      </x:c>
      <x:c r="B23" s="72" t="str">
        <x:v>CF07</x:v>
      </x:c>
      <x:c r="C23" s="72" t="str">
        <x:v>正官｜规则复核</x:v>
      </x:c>
      <x:c r="D23" s="72" t="str">
        <x:v>分歧出现时，你更容易回到承诺、分工和共同规则上，确认双方原本怎么说、现在该怎样负责。</x:v>
      </x:c>
      <x:c r="E23" s="72" t="str">
        <x:v>不得直接写成控制、说教、官僚、压迫或必须分出对错。</x:v>
      </x:c>
      <x:c r="F23" s="73" t="str">
        <x:v>正官、CF07、规则复核</x:v>
      </x:c>
    </x:row>
    <x:row r="24">
      <x:c r="A24" s="71" t="str">
        <x:v>十神通道</x:v>
      </x:c>
      <x:c r="B24" s="72" t="str">
        <x:v>CF08</x:v>
      </x:c>
      <x:c r="C24" s="72" t="str">
        <x:v>七杀｜决断处置</x:v>
      </x:c>
      <x:c r="D24" s="72" t="str">
        <x:v>遇到明显分歧或紧急问题时，你更容易先处理关键事项、做决定或划定停止线，再回头讨论细节。</x:v>
      </x:c>
      <x:c r="E24" s="72" t="str">
        <x:v>不得直接写成暴力、强势控制、脾气大、危险或必然压制对方。</x:v>
      </x:c>
      <x:c r="F24" s="73" t="str">
        <x:v>七杀、CF08、决断处置</x:v>
      </x:c>
    </x:row>
    <x:row r="25">
      <x:c r="A25" s="71" t="str">
        <x:v>十神通道</x:v>
      </x:c>
      <x:c r="B25" s="72" t="str">
        <x:v>CF09</x:v>
      </x:c>
      <x:c r="C25" s="72" t="str">
        <x:v>正印｜倾听承接</x:v>
      </x:c>
      <x:c r="D25" s="72" t="str">
        <x:v>分歧出现时，你更容易先听清双方的感受和背景，确认彼此为什么会这样，再决定怎样回应。</x:v>
      </x:c>
      <x:c r="E25" s="72" t="str">
        <x:v>不得直接写成没有立场、过度包容、依赖、忍耐或总替别人找理由。</x:v>
      </x:c>
      <x:c r="F25" s="73" t="str">
        <x:v>正印、CF09、倾听承接</x:v>
      </x:c>
    </x:row>
    <x:row r="26">
      <x:c r="A26" s="74" t="str">
        <x:v>十神通道</x:v>
      </x:c>
      <x:c r="B26" s="75" t="str">
        <x:v>CF10</x:v>
      </x:c>
      <x:c r="C26" s="75" t="str">
        <x:v>偏印｜暂停内化</x:v>
      </x:c>
      <x:c r="D26" s="75" t="str">
        <x:v>面对复杂分歧时，你可能先退一步整理信息，想清楚真正的问题，再选择核心部分回应。</x:v>
      </x:c>
      <x:c r="E26" s="75" t="str">
        <x:v>不得直接写成冷漠、回避、神秘、拒绝沟通或故意不回应。</x:v>
      </x:c>
      <x:c r="F26" s="76" t="str">
        <x:v>偏印、CF10、暂停内化</x:v>
      </x:c>
    </x:row>
    <x:row r="28" ht="24" customHeight="1">
      <x:c r="A28" s="33" t="str">
        <x:v>类型</x:v>
      </x:c>
      <x:c r="B28" s="34" t="str">
        <x:v>编号</x:v>
      </x:c>
      <x:c r="C28" s="34" t="str">
        <x:v>名称</x:v>
      </x:c>
      <x:c r="D28" s="34" t="str">
        <x:v>可直接使用的用户句</x:v>
      </x:c>
      <x:c r="E28" s="34" t="str">
        <x:v>成立提醒</x:v>
      </x:c>
      <x:c r="F28" s="35" t="str">
        <x:v>禁止误读</x:v>
      </x:c>
    </x:row>
    <x:row r="29">
      <x:c r="A29" s="68" t="str">
        <x:v>处理顺序</x:v>
      </x:c>
      <x:c r="B29" s="69" t="str">
        <x:v>FO01</x:v>
      </x:c>
      <x:c r="C29" s="69" t="str">
        <x:v>立场先行</x:v>
      </x:c>
      <x:c r="D29" s="69" t="str">
        <x:v>分歧出现时，你更容易先把自己的立场和边界说清，再进入具体协商。</x:v>
      </x:c>
      <x:c r="E29" s="69" t="str">
        <x:v>至少两个节点且非机械时序。</x:v>
      </x:c>
      <x:c r="F29" s="70" t="str">
        <x:v>先后不等于重要程度或速度。</x:v>
      </x:c>
    </x:row>
    <x:row r="30">
      <x:c r="A30" s="71" t="str">
        <x:v>处理顺序</x:v>
      </x:c>
      <x:c r="B30" s="72" t="str">
        <x:v>FO02</x:v>
      </x:c>
      <x:c r="C30" s="72" t="str">
        <x:v>事实先行</x:v>
      </x:c>
      <x:c r="D30" s="72" t="str">
        <x:v>你通常先确认事实和问题本身，再讨论情绪、责任或下一步。</x:v>
      </x:c>
      <x:c r="E30" s="72" t="str">
        <x:v>至少两个节点且非机械时序。</x:v>
      </x:c>
      <x:c r="F30" s="73" t="str">
        <x:v>先后不等于重要程度或速度。</x:v>
      </x:c>
    </x:row>
    <x:row r="31">
      <x:c r="A31" s="71" t="str">
        <x:v>处理顺序</x:v>
      </x:c>
      <x:c r="B31" s="72" t="str">
        <x:v>FO03</x:v>
      </x:c>
      <x:c r="C31" s="72" t="str">
        <x:v>感受先行</x:v>
      </x:c>
      <x:c r="D31" s="72" t="str">
        <x:v>你更容易先把彼此的感受和背景听明白，再处理事情本身。</x:v>
      </x:c>
      <x:c r="E31" s="72" t="str">
        <x:v>至少两个节点且非机械时序。</x:v>
      </x:c>
      <x:c r="F31" s="73" t="str">
        <x:v>先后不等于重要程度或速度。</x:v>
      </x:c>
    </x:row>
    <x:row r="32">
      <x:c r="A32" s="71" t="str">
        <x:v>处理顺序</x:v>
      </x:c>
      <x:c r="B32" s="72" t="str">
        <x:v>FO04</x:v>
      </x:c>
      <x:c r="C32" s="72" t="str">
        <x:v>责任先行</x:v>
      </x:c>
      <x:c r="D32" s="72" t="str">
        <x:v>你往往先回到责任和约定，确认谁需要做什么，再讨论其他层面。</x:v>
      </x:c>
      <x:c r="E32" s="72" t="str">
        <x:v>至少两个节点且非机械时序。</x:v>
      </x:c>
      <x:c r="F32" s="73" t="str">
        <x:v>先后不等于重要程度或速度。</x:v>
      </x:c>
    </x:row>
    <x:row r="33">
      <x:c r="A33" s="71" t="str">
        <x:v>处理顺序</x:v>
      </x:c>
      <x:c r="B33" s="72" t="str">
        <x:v>FO05</x:v>
      </x:c>
      <x:c r="C33" s="72" t="str">
        <x:v>方案先行</x:v>
      </x:c>
      <x:c r="D33" s="72" t="str">
        <x:v>你更容易先推动一个能执行的办法，让问题停止扩大，再补充沟通。</x:v>
      </x:c>
      <x:c r="E33" s="72" t="str">
        <x:v>至少两个节点且非机械时序。</x:v>
      </x:c>
      <x:c r="F33" s="73" t="str">
        <x:v>先后不等于重要程度或速度。</x:v>
      </x:c>
    </x:row>
    <x:row r="34">
      <x:c r="A34" s="71" t="str">
        <x:v>处理顺序</x:v>
      </x:c>
      <x:c r="B34" s="72" t="str">
        <x:v>FO06</x:v>
      </x:c>
      <x:c r="C34" s="72" t="str">
        <x:v>降温先行</x:v>
      </x:c>
      <x:c r="D34" s="72" t="str">
        <x:v>你通常先让双方回到可以继续说话的状态，再处理冲突内容。</x:v>
      </x:c>
      <x:c r="E34" s="72" t="str">
        <x:v>至少两个节点且非机械时序。</x:v>
      </x:c>
      <x:c r="F34" s="73" t="str">
        <x:v>先后不等于重要程度或速度。</x:v>
      </x:c>
    </x:row>
    <x:row r="35">
      <x:c r="A35" s="71" t="str">
        <x:v>处理顺序</x:v>
      </x:c>
      <x:c r="B35" s="72" t="str">
        <x:v>FO07</x:v>
      </x:c>
      <x:c r="C35" s="72" t="str">
        <x:v>暂停整理先行</x:v>
      </x:c>
      <x:c r="D35" s="72" t="str">
        <x:v>你可能需要先停一下想清楚，再回到沟通，而不是在混乱中继续推进。</x:v>
      </x:c>
      <x:c r="E35" s="72" t="str">
        <x:v>至少两个节点且非机械时序。</x:v>
      </x:c>
      <x:c r="F35" s="73" t="str">
        <x:v>先后不等于重要程度或速度。</x:v>
      </x:c>
    </x:row>
    <x:row r="36">
      <x:c r="A36" s="71" t="str">
        <x:v>处理顺序</x:v>
      </x:c>
      <x:c r="B36" s="72" t="str">
        <x:v>FO08</x:v>
      </x:c>
      <x:c r="C36" s="72" t="str">
        <x:v>行动止损先行</x:v>
      </x:c>
      <x:c r="D36" s="72" t="str">
        <x:v>遇到紧急或高压力分歧时，你更容易先把关键问题处理住，再回头谈感受。</x:v>
      </x:c>
      <x:c r="E36" s="72" t="str">
        <x:v>至少两个节点且非机械时序。</x:v>
      </x:c>
      <x:c r="F36" s="73" t="str">
        <x:v>先后不等于重要程度或速度。</x:v>
      </x:c>
    </x:row>
    <x:row r="37">
      <x:c r="A37" s="71" t="str">
        <x:v>处理顺序</x:v>
      </x:c>
      <x:c r="B37" s="72" t="str">
        <x:v>FO09</x:v>
      </x:c>
      <x:c r="C37" s="72" t="str">
        <x:v>先听后说</x:v>
      </x:c>
      <x:c r="D37" s="72" t="str">
        <x:v>你更倾向先听清对方在说什么，再决定怎样表达自己的部分。</x:v>
      </x:c>
      <x:c r="E37" s="72" t="str">
        <x:v>至少两个节点且非机械时序。</x:v>
      </x:c>
      <x:c r="F37" s="73" t="str">
        <x:v>先后不等于重要程度或速度。</x:v>
      </x:c>
    </x:row>
    <x:row r="38">
      <x:c r="A38" s="71" t="str">
        <x:v>处理顺序</x:v>
      </x:c>
      <x:c r="B38" s="72" t="str">
        <x:v>FO10</x:v>
      </x:c>
      <x:c r="C38" s="72" t="str">
        <x:v>先说后落实</x:v>
      </x:c>
      <x:c r="D38" s="72" t="str">
        <x:v>你更容易先说清楚，再把沟通转成具体做法和后续安排。</x:v>
      </x:c>
      <x:c r="E38" s="72" t="str">
        <x:v>至少两个节点且非机械时序。</x:v>
      </x:c>
      <x:c r="F38" s="73" t="str">
        <x:v>先后不等于重要程度或速度。</x:v>
      </x:c>
    </x:row>
    <x:row r="39">
      <x:c r="A39" s="71" t="str">
        <x:v>处理顺序</x:v>
      </x:c>
      <x:c r="B39" s="72" t="str">
        <x:v>FO11</x:v>
      </x:c>
      <x:c r="C39" s="72" t="str">
        <x:v>往返校准</x:v>
      </x:c>
      <x:c r="D39" s="72" t="str">
        <x:v>你的处理过程更像来回校准：每获得一段新信息，就调整理解和方案。</x:v>
      </x:c>
      <x:c r="E39" s="72" t="str">
        <x:v>至少两个节点且非机械时序。</x:v>
      </x:c>
      <x:c r="F39" s="73" t="str">
        <x:v>先后不等于重要程度或速度。</x:v>
      </x:c>
    </x:row>
    <x:row r="40">
      <x:c r="A40" s="71" t="str">
        <x:v>处理顺序</x:v>
      </x:c>
      <x:c r="B40" s="72" t="str">
        <x:v>FO12</x:v>
      </x:c>
      <x:c r="C40" s="72" t="str">
        <x:v>顺序未定</x:v>
      </x:c>
      <x:c r="D40" s="72" t="str">
        <x:v>目前只能确认你会在表达、暂停、行动和承接之间切换，具体先后取决于情境。</x:v>
      </x:c>
      <x:c r="E40" s="72" t="str">
        <x:v>至少两个节点且非机械时序。</x:v>
      </x:c>
      <x:c r="F40" s="73" t="str">
        <x:v>先后不等于重要程度或速度。</x:v>
      </x:c>
    </x:row>
    <x:row r="41">
      <x:c r="A41" s="71" t="str">
        <x:v>序列结构</x:v>
      </x:c>
      <x:c r="B41" s="72" t="str">
        <x:v>FS01</x:v>
      </x:c>
      <x:c r="C41" s="72" t="str">
        <x:v>事实→感受</x:v>
      </x:c>
      <x:c r="D41" s="72" t="str">
        <x:v>你通常先把事情说清，再回到彼此感受，避免情绪和事实混在一起。</x:v>
      </x:c>
      <x:c r="E41" s="72" t="str">
        <x:v>起点、转换、终点均可靠。</x:v>
      </x:c>
      <x:c r="F41" s="73" t="str">
        <x:v>阶段结束不等于修复。</x:v>
      </x:c>
    </x:row>
    <x:row r="42">
      <x:c r="A42" s="71" t="str">
        <x:v>序列结构</x:v>
      </x:c>
      <x:c r="B42" s="72" t="str">
        <x:v>FS02</x:v>
      </x:c>
      <x:c r="C42" s="72" t="str">
        <x:v>感受→事实</x:v>
      </x:c>
      <x:c r="D42" s="72" t="str">
        <x:v>你更容易先确认双方感受，再处理具体问题。</x:v>
      </x:c>
      <x:c r="E42" s="72" t="str">
        <x:v>起点、转换、终点均可靠。</x:v>
      </x:c>
      <x:c r="F42" s="73" t="str">
        <x:v>阶段结束不等于修复。</x:v>
      </x:c>
    </x:row>
    <x:row r="43">
      <x:c r="A43" s="71" t="str">
        <x:v>序列结构</x:v>
      </x:c>
      <x:c r="B43" s="72" t="str">
        <x:v>FS03</x:v>
      </x:c>
      <x:c r="C43" s="72" t="str">
        <x:v>立场→协商</x:v>
      </x:c>
      <x:c r="D43" s="72" t="str">
        <x:v>你会先让彼此知道各自的位置，再进入协商。</x:v>
      </x:c>
      <x:c r="E43" s="72" t="str">
        <x:v>起点、转换、终点均可靠。</x:v>
      </x:c>
      <x:c r="F43" s="73" t="str">
        <x:v>阶段结束不等于修复。</x:v>
      </x:c>
    </x:row>
    <x:row r="44">
      <x:c r="A44" s="71" t="str">
        <x:v>序列结构</x:v>
      </x:c>
      <x:c r="B44" s="72" t="str">
        <x:v>FS04</x:v>
      </x:c>
      <x:c r="C44" s="72" t="str">
        <x:v>规则→方案</x:v>
      </x:c>
      <x:c r="D44" s="72" t="str">
        <x:v>你往往先确认规则和责任，再决定具体怎么改。</x:v>
      </x:c>
      <x:c r="E44" s="72" t="str">
        <x:v>起点、转换、终点均可靠。</x:v>
      </x:c>
      <x:c r="F44" s="73" t="str">
        <x:v>阶段结束不等于修复。</x:v>
      </x:c>
    </x:row>
    <x:row r="45">
      <x:c r="A45" s="71" t="str">
        <x:v>序列结构</x:v>
      </x:c>
      <x:c r="B45" s="72" t="str">
        <x:v>FS05</x:v>
      </x:c>
      <x:c r="C45" s="72" t="str">
        <x:v>行动→复盘</x:v>
      </x:c>
      <x:c r="D45" s="72" t="str">
        <x:v>你可能先把眼前问题处理好，再回头整理这次分歧。</x:v>
      </x:c>
      <x:c r="E45" s="72" t="str">
        <x:v>起点、转换、终点均可靠。</x:v>
      </x:c>
      <x:c r="F45" s="73" t="str">
        <x:v>阶段结束不等于修复。</x:v>
      </x:c>
    </x:row>
    <x:row r="46">
      <x:c r="A46" s="71" t="str">
        <x:v>序列结构</x:v>
      </x:c>
      <x:c r="B46" s="72" t="str">
        <x:v>FS06</x:v>
      </x:c>
      <x:c r="C46" s="72" t="str">
        <x:v>暂停→回归</x:v>
      </x:c>
      <x:c r="D46" s="72" t="str">
        <x:v>你需要的暂停有明确回归点，而不是无限期搁置。</x:v>
      </x:c>
      <x:c r="E46" s="72" t="str">
        <x:v>起点、转换、终点均可靠。</x:v>
      </x:c>
      <x:c r="F46" s="73" t="str">
        <x:v>阶段结束不等于修复。</x:v>
      </x:c>
    </x:row>
    <x:row r="47">
      <x:c r="A47" s="71" t="str">
        <x:v>序列结构</x:v>
      </x:c>
      <x:c r="B47" s="72" t="str">
        <x:v>FS07</x:v>
      </x:c>
      <x:c r="C47" s="72" t="str">
        <x:v>往返验证</x:v>
      </x:c>
      <x:c r="D47" s="72" t="str">
        <x:v>你的处理更像多轮校准，答案会随着新信息逐步清楚。</x:v>
      </x:c>
      <x:c r="E47" s="72" t="str">
        <x:v>起点、转换、终点均可靠。</x:v>
      </x:c>
      <x:c r="F47" s="73" t="str">
        <x:v>阶段结束不等于修复。</x:v>
      </x:c>
    </x:row>
    <x:row r="48">
      <x:c r="A48" s="74" t="str">
        <x:v>序列结构</x:v>
      </x:c>
      <x:c r="B48" s="75" t="str">
        <x:v>FS08</x:v>
      </x:c>
      <x:c r="C48" s="75" t="str">
        <x:v>断流／未定</x:v>
      </x:c>
      <x:c r="D48" s="75" t="str">
        <x:v>目前无法确认稳定处理链，只能保留局部反应，不硬写完整流程。</x:v>
      </x:c>
      <x:c r="E48" s="75" t="str">
        <x:v>起点、转换、终点均可靠。</x:v>
      </x:c>
      <x:c r="F48" s="76" t="str">
        <x:v>阶段结束不等于修复。</x:v>
      </x:c>
    </x:row>
    <x:row r="50" ht="24" customHeight="1">
      <x:c r="A50" s="33" t="str">
        <x:v>常见误写</x:v>
      </x:c>
      <x:c r="B50" s="34" t="str">
        <x:v>错误原因</x:v>
      </x:c>
      <x:c r="C50" s="34" t="str">
        <x:v>正确改写</x:v>
      </x:c>
      <x:c r="D50" s="34" t="str">
        <x:v>路由模块</x:v>
      </x:c>
      <x:c r="E50" s="34" t="str">
        <x:v>检索词</x:v>
      </x:c>
      <x:c r="F50" s="35" t="str">
        <x:v>规则参考</x:v>
      </x:c>
    </x:row>
    <x:row r="51">
      <x:c r="A51" s="68" t="str">
        <x:v>你说话很冲、容易伤人</x:v>
      </x:c>
      <x:c r="B51" s="69" t="str">
        <x:v>直接表达不等于攻击</x:v>
      </x:c>
      <x:c r="C51" s="69" t="str">
        <x:v>你更容易把问题说得直接；语气和关系影响需结合真实行为。</x:v>
      </x:c>
      <x:c r="D51" s="69" t="str">
        <x:v>M4</x:v>
      </x:c>
      <x:c r="E51" s="69" t="str">
        <x:v>直接表达、伤官</x:v>
      </x:c>
      <x:c r="F51" s="70" t="str">
        <x:v>M3-CONFLICT-015 / IF04</x:v>
      </x:c>
    </x:row>
    <x:row r="52">
      <x:c r="A52" s="71" t="str">
        <x:v>你一吵架就冷战</x:v>
      </x:c>
      <x:c r="B52" s="72" t="str">
        <x:v>暂停不等于冷战</x:v>
      </x:c>
      <x:c r="C52" s="72" t="str">
        <x:v>你可能需要先整理；是否形成长时间不回应，要看回归路径和真实行为。</x:v>
      </x:c>
      <x:c r="D52" s="72" t="str">
        <x:v>REPAIR＋M4</x:v>
      </x:c>
      <x:c r="E52" s="72" t="str">
        <x:v>暂停、偏印</x:v>
      </x:c>
      <x:c r="F52" s="73" t="str">
        <x:v>M3-CONFLICT-014 / IF07</x:v>
      </x:c>
    </x:row>
    <x:row r="53">
      <x:c r="A53" s="71" t="str">
        <x:v>你只解决问题，不管感受</x:v>
      </x:c>
      <x:c r="B53" s="72" t="str">
        <x:v>先后不等于忽略</x:v>
      </x:c>
      <x:c r="C53" s="72" t="str">
        <x:v>你可能先处理现实或紧急问题，再回到感受与理解。</x:v>
      </x:c>
      <x:c r="D53" s="72" t="str">
        <x:v>REPAIR／STATE</x:v>
      </x:c>
      <x:c r="E53" s="72" t="str">
        <x:v>七杀、正财</x:v>
      </x:c>
      <x:c r="F53" s="73" t="str">
        <x:v>M3-CONFLICT-016</x:v>
      </x:c>
    </x:row>
    <x:row r="54">
      <x:c r="A54" s="71" t="str">
        <x:v>你没有立场，只会包容</x:v>
      </x:c>
      <x:c r="B54" s="72" t="str">
        <x:v>倾听不等于同意</x:v>
      </x:c>
      <x:c r="C54" s="72" t="str">
        <x:v>你更容易先听清背景，再形成自己的回应。</x:v>
      </x:c>
      <x:c r="D54" s="72" t="str">
        <x:v>BOUND</x:v>
      </x:c>
      <x:c r="E54" s="72" t="str">
        <x:v>正印</x:v>
      </x:c>
      <x:c r="F54" s="73" t="str">
        <x:v>M3-CONFLICT-017</x:v>
      </x:c>
    </x:row>
    <x:row r="55">
      <x:c r="A55" s="71" t="str">
        <x:v>你很固执，不会妥协</x:v>
      </x:c>
      <x:c r="B55" s="72" t="str">
        <x:v>立场清楚不等于僵持</x:v>
      </x:c>
      <x:c r="C55" s="72" t="str">
        <x:v>你重视双方立场和参与权；是否出现僵持需看M4和案例。</x:v>
      </x:c>
      <x:c r="D55" s="72" t="str">
        <x:v>M4</x:v>
      </x:c>
      <x:c r="E55" s="72" t="str">
        <x:v>比肩</x:v>
      </x:c>
      <x:c r="F55" s="73" t="str">
        <x:v>CF01</x:v>
      </x:c>
    </x:row>
    <x:row r="56">
      <x:c r="A56" s="71" t="str">
        <x:v>你什么都要按规则来</x:v>
      </x:c>
      <x:c r="B56" s="72" t="str">
        <x:v>规则复核不等于控制</x:v>
      </x:c>
      <x:c r="C56" s="72" t="str">
        <x:v>你更容易回到承诺和分工，确认怎样负责或重订。</x:v>
      </x:c>
      <x:c r="D56" s="72" t="str">
        <x:v>M4</x:v>
      </x:c>
      <x:c r="E56" s="72" t="str">
        <x:v>正官</x:v>
      </x:c>
      <x:c r="F56" s="73" t="str">
        <x:v>CF07</x:v>
      </x:c>
    </x:row>
    <x:row r="57">
      <x:c r="A57" s="71" t="str">
        <x:v>你很冲动，先做了再说</x:v>
      </x:c>
      <x:c r="B57" s="72" t="str">
        <x:v>行动先行不等于冲动</x:v>
      </x:c>
      <x:c r="C57" s="72" t="str">
        <x:v>你可能先处理紧急事项，再补充说明和复盘。</x:v>
      </x:c>
      <x:c r="D57" s="72" t="str">
        <x:v>STATE／M4</x:v>
      </x:c>
      <x:c r="E57" s="72" t="str">
        <x:v>七杀、劫财</x:v>
      </x:c>
      <x:c r="F57" s="73" t="str">
        <x:v>CF02 / CF08</x:v>
      </x:c>
    </x:row>
    <x:row r="58">
      <x:c r="A58" s="74" t="str">
        <x:v>日支冲所以一定经常争吵</x:v>
      </x:c>
      <x:c r="B58" s="75" t="str">
        <x:v>宫位动态不等于结果</x:v>
      </x:c>
      <x:c r="C58" s="75" t="str">
        <x:v>日支冲只说明差异较容易外显，需要及时调整节奏。</x:v>
      </x:c>
      <x:c r="D58" s="75" t="str">
        <x:v>M4</x:v>
      </x:c>
      <x:c r="E58" s="75" t="str">
        <x:v>日支冲</x:v>
      </x:c>
      <x:c r="F58" s="76" t="str">
        <x:v>M3-CONFLICT-188—192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4" hidden="0" customWidth="1"/>
    <x:col min="4" max="4" width="24" hidden="0" customWidth="1"/>
    <x:col min="5" max="5" width="24" hidden="0" customWidth="1"/>
    <x:col min="6" max="6" width="22" hidden="0" customWidth="1"/>
    <x:col min="7" max="7" width="22" hidden="0" customWidth="1"/>
    <x:col min="8" max="8" width="28" hidden="0" customWidth="1"/>
    <x:col min="9" max="9" width="28" hidden="0" customWidth="1"/>
    <x:col min="10" max="10" width="34" hidden="0" customWidth="1"/>
    <x:col min="11" max="11" width="26" hidden="0" customWidth="1"/>
    <x:col min="12" max="12" width="30" hidden="0" customWidth="1"/>
    <x:col min="13" max="13" width="24" hidden="0" customWidth="1"/>
    <x:col min="14" max="14" width="26" hidden="0" customWidth="1"/>
    <x:col min="15" max="15" width="10" hidden="0" customWidth="1"/>
    <x:col min="16" max="16" width="48" hidden="0" customWidth="1"/>
    <x:col min="17" max="17" width="44" hidden="0" customWidth="1"/>
    <x:col min="18" max="18" width="14" hidden="0" customWidth="1"/>
    <x:col min="19" max="19" width="40" hidden="0" customWidth="1"/>
  </x:cols>
  <x:sheetData>
    <x:row r="1" ht="28" customHeight="1">
      <x:c r="A1" s="7" t="str">
        <x:v>M3-CONFLICT 案例验证与校准记录</x:v>
      </x:c>
      <x:c r="B1" s="7" t="str">
        <x:v>M3-CONFLICT 案例验证与校准记录</x:v>
      </x:c>
      <x:c r="C1" s="7" t="str">
        <x:v>M3-CONFLICT 案例验证与校准记录</x:v>
      </x:c>
      <x:c r="D1" s="7" t="str">
        <x:v>M3-CONFLICT 案例验证与校准记录</x:v>
      </x:c>
      <x:c r="E1" s="7" t="str">
        <x:v>M3-CONFLICT 案例验证与校准记录</x:v>
      </x:c>
      <x:c r="F1" s="7" t="str">
        <x:v>M3-CONFLICT 案例验证与校准记录</x:v>
      </x:c>
      <x:c r="G1" s="7" t="str">
        <x:v>M3-CONFLICT 案例验证与校准记录</x:v>
      </x:c>
      <x:c r="H1" s="7" t="str">
        <x:v>M3-CONFLICT 案例验证与校准记录</x:v>
      </x:c>
      <x:c r="I1" s="7" t="str">
        <x:v>M3-CONFLICT 案例验证与校准记录</x:v>
      </x:c>
      <x:c r="J1" s="7" t="str">
        <x:v>M3-CONFLICT 案例验证与校准记录</x:v>
      </x:c>
      <x:c r="K1" s="7" t="str">
        <x:v>M3-CONFLICT 案例验证与校准记录</x:v>
      </x:c>
      <x:c r="L1" s="7" t="str">
        <x:v>M3-CONFLICT 案例验证与校准记录</x:v>
      </x:c>
      <x:c r="M1" s="7" t="str">
        <x:v>M3-CONFLICT 案例验证与校准记录</x:v>
      </x:c>
      <x:c r="N1" s="7" t="str">
        <x:v>M3-CONFLICT 案例验证与校准记录</x:v>
      </x:c>
      <x:c r="O1" s="7" t="str">
        <x:v>M3-CONFLICT 案例验证与校准记录</x:v>
      </x:c>
      <x:c r="P1" s="7" t="str">
        <x:v>M3-CONFLICT 案例验证与校准记录</x:v>
      </x:c>
      <x:c r="Q1" s="7" t="str">
        <x:v>M3-CONFLICT 案例验证与校准记录</x:v>
      </x:c>
      <x:c r="R1" s="7" t="str">
        <x:v>M3-CONFLICT 案例验证与校准记录</x:v>
      </x:c>
      <x:c r="S1" s="7" t="str">
        <x:v>M3-CONFLICT 案例验证与校准记录</x:v>
      </x:c>
    </x:row>
    <x:row r="2" ht="30" customHeight="1">
      <x:c r="A2" s="17" t="str">
        <x:v>优先记录具体分歧事件：第一反应、后续处理、阶段结束条件和是否重新联结。一次事件不能定义稳定模式。</x:v>
      </x:c>
      <x:c r="B2" s="17" t="str">
        <x:v>优先记录具体分歧事件：第一反应、后续处理、阶段结束条件和是否重新联结。一次事件不能定义稳定模式。</x:v>
      </x:c>
      <x:c r="C2" s="17" t="str">
        <x:v>优先记录具体分歧事件：第一反应、后续处理、阶段结束条件和是否重新联结。一次事件不能定义稳定模式。</x:v>
      </x:c>
      <x:c r="D2" s="17" t="str">
        <x:v>优先记录具体分歧事件：第一反应、后续处理、阶段结束条件和是否重新联结。一次事件不能定义稳定模式。</x:v>
      </x:c>
      <x:c r="E2" s="17" t="str">
        <x:v>优先记录具体分歧事件：第一反应、后续处理、阶段结束条件和是否重新联结。一次事件不能定义稳定模式。</x:v>
      </x:c>
      <x:c r="F2" s="17" t="str">
        <x:v>优先记录具体分歧事件：第一反应、后续处理、阶段结束条件和是否重新联结。一次事件不能定义稳定模式。</x:v>
      </x:c>
      <x:c r="G2" s="17" t="str">
        <x:v>优先记录具体分歧事件：第一反应、后续处理、阶段结束条件和是否重新联结。一次事件不能定义稳定模式。</x:v>
      </x:c>
      <x:c r="H2" s="17" t="str">
        <x:v>优先记录具体分歧事件：第一反应、后续处理、阶段结束条件和是否重新联结。一次事件不能定义稳定模式。</x:v>
      </x:c>
      <x:c r="I2" s="17" t="str">
        <x:v>优先记录具体分歧事件：第一反应、后续处理、阶段结束条件和是否重新联结。一次事件不能定义稳定模式。</x:v>
      </x:c>
      <x:c r="J2" s="17" t="str">
        <x:v>优先记录具体分歧事件：第一反应、后续处理、阶段结束条件和是否重新联结。一次事件不能定义稳定模式。</x:v>
      </x:c>
      <x:c r="K2" s="17" t="str">
        <x:v>优先记录具体分歧事件：第一反应、后续处理、阶段结束条件和是否重新联结。一次事件不能定义稳定模式。</x:v>
      </x:c>
      <x:c r="L2" s="17" t="str">
        <x:v>优先记录具体分歧事件：第一反应、后续处理、阶段结束条件和是否重新联结。一次事件不能定义稳定模式。</x:v>
      </x:c>
      <x:c r="M2" s="17" t="str">
        <x:v>优先记录具体分歧事件：第一反应、后续处理、阶段结束条件和是否重新联结。一次事件不能定义稳定模式。</x:v>
      </x:c>
      <x:c r="N2" s="17" t="str">
        <x:v>优先记录具体分歧事件：第一反应、后续处理、阶段结束条件和是否重新联结。一次事件不能定义稳定模式。</x:v>
      </x:c>
      <x:c r="O2" s="17" t="str">
        <x:v>优先记录具体分歧事件：第一反应、后续处理、阶段结束条件和是否重新联结。一次事件不能定义稳定模式。</x:v>
      </x:c>
      <x:c r="P2" s="17" t="str">
        <x:v>优先记录具体分歧事件：第一反应、后续处理、阶段结束条件和是否重新联结。一次事件不能定义稳定模式。</x:v>
      </x:c>
      <x:c r="Q2" s="17" t="str">
        <x:v>优先记录具体分歧事件：第一反应、后续处理、阶段结束条件和是否重新联结。一次事件不能定义稳定模式。</x:v>
      </x:c>
      <x:c r="R2" s="17" t="str">
        <x:v>优先记录具体分歧事件：第一反应、后续处理、阶段结束条件和是否重新联结。一次事件不能定义稳定模式。</x:v>
      </x:c>
      <x:c r="S2" s="17" t="str">
        <x:v>优先记录具体分歧事件：第一反应、后续处理、阶段结束条件和是否重新联结。一次事件不能定义稳定模式。</x:v>
      </x:c>
    </x:row>
    <x:row r="4">
      <x:c r="A4" t="str">
        <x:v>案例ID</x:v>
      </x:c>
      <x:c r="B4" t="str">
        <x:v>案例类型</x:v>
      </x:c>
      <x:c r="C4" t="str">
        <x:v>结构摘要</x:v>
      </x:c>
      <x:c r="D4" t="str">
        <x:v>source_id摘要</x:v>
      </x:c>
      <x:c r="E4" t="str">
        <x:v>BASE底盘</x:v>
      </x:c>
      <x:c r="F4" t="str">
        <x:v>主冲突通道</x:v>
      </x:c>
      <x:c r="G4" t="str">
        <x:v>次冲突通道</x:v>
      </x:c>
      <x:c r="H4" t="str">
        <x:v>第一反应</x:v>
      </x:c>
      <x:c r="I4" t="str">
        <x:v>注意焦点</x:v>
      </x:c>
      <x:c r="J4" t="str">
        <x:v>处理顺序</x:v>
      </x:c>
      <x:c r="K4" t="str">
        <x:v>暂停方式</x:v>
      </x:c>
      <x:c r="L4" t="str">
        <x:v>阶段结束条件</x:v>
      </x:c>
      <x:c r="M4" t="str">
        <x:v>冲突模式</x:v>
      </x:c>
      <x:c r="N4" t="str">
        <x:v>状态切换</x:v>
      </x:c>
      <x:c r="O4" t="str">
        <x:v>置信度</x:v>
      </x:c>
      <x:c r="P4" t="str">
        <x:v>预期用户输出</x:v>
      </x:c>
      <x:c r="Q4" t="str">
        <x:v>真实反馈</x:v>
      </x:c>
      <x:c r="R4" t="str">
        <x:v>匹配程度</x:v>
      </x:c>
      <x:c r="S4" t="str">
        <x:v>偏差／修改建议</x:v>
      </x:c>
    </x:row>
    <x:row r="5">
      <x:c r="A5" s="68" t="str">
        <x:v>M3-CF-CASE-001</x:v>
      </x:c>
      <x:c r="B5" s="69" t="str">
        <x:v>示例｜表达→现实</x:v>
      </x:c>
      <x:c r="C5" s="69" t="str">
        <x:v>日支伤官主气；正财近位有根；BASE有效</x:v>
      </x:c>
      <x:c r="D5" s="69" t="str">
        <x:v>src-dz-main; src-cai-near</x:v>
      </x:c>
      <x:c r="E5" s="69" t="str">
        <x:v>表达交流底盘</x:v>
      </x:c>
      <x:c r="F5" s="69" t="str">
        <x:v>CF04 分析澄清</x:v>
      </x:c>
      <x:c r="G5" s="69" t="str">
        <x:v>CF05 现实校准</x:v>
      </x:c>
      <x:c r="H5" s="69" t="str">
        <x:v>先指出问题并核对事实</x:v>
      </x:c>
      <x:c r="I5" s="69" t="str">
        <x:v>事实与逻辑</x:v>
      </x:c>
      <x:c r="J5" s="69" t="str">
        <x:v>FO02事实先行；FF03表达→现实</x:v>
      </x:c>
      <x:c r="K5" s="69" t="str">
        <x:v>短暂停顿</x:v>
      </x:c>
      <x:c r="L5" s="69" t="str">
        <x:v>形成具体安排</x:v>
      </x:c>
      <x:c r="M5" s="69" t="str">
        <x:v>FP11 双阶段协同型</x:v>
      </x:c>
      <x:c r="N5" s="69" t="str">
        <x:v>平稳伤官，压力后转现实</x:v>
      </x:c>
      <x:c r="O5" s="69" t="str">
        <x:v>中高</x:v>
      </x:c>
      <x:c r="P5" s="69" t="str">
        <x:v>分歧时先把问题拆清，再落到具体安排；事实说清并有执行方案后暂时结束。</x:v>
      </x:c>
      <x:c r="Q5" s="69" t="str"/>
      <x:c r="R5" s="69" t="str">
        <x:v>待验证</x:v>
      </x:c>
      <x:c r="S5" s="70" t="str"/>
    </x:row>
    <x:row r="6">
      <x:c r="A6" s="71" t="str">
        <x:v>M3-CF-CASE-002</x:v>
      </x:c>
      <x:c r="B6" s="72" t="str">
        <x:v>示例｜行动→承接</x:v>
      </x:c>
      <x:c r="C6" s="72" t="str">
        <x:v>七杀近位有根；正印有效；日支冲</x:v>
      </x:c>
      <x:c r="D6" s="72" t="str">
        <x:v>src-sha-near; src-yin; src-chong</x:v>
      </x:c>
      <x:c r="E6" s="72" t="str">
        <x:v>行动解决底盘</x:v>
      </x:c>
      <x:c r="F6" s="72" t="str">
        <x:v>CF08 决断处置</x:v>
      </x:c>
      <x:c r="G6" s="72" t="str">
        <x:v>CF09 倾听承接</x:v>
      </x:c>
      <x:c r="H6" s="72" t="str">
        <x:v>先止损和处理紧急事项</x:v>
      </x:c>
      <x:c r="I6" s="72" t="str">
        <x:v>任务与风险</x:v>
      </x:c>
      <x:c r="J6" s="72" t="str">
        <x:v>FO08行动止损先行；FF07行动→承接</x:v>
      </x:c>
      <x:c r="K6" s="72" t="str">
        <x:v>任务处理后回归</x:v>
      </x:c>
      <x:c r="L6" s="72" t="str">
        <x:v>紧急问题处理＋感受被理解</x:v>
      </x:c>
      <x:c r="M6" s="72" t="str">
        <x:v>FP11 双阶段协同型</x:v>
      </x:c>
      <x:c r="N6" s="72" t="str">
        <x:v>外部处理快、内部恢复稍后</x:v>
      </x:c>
      <x:c r="O6" s="72" t="str">
        <x:v>中高</x:v>
      </x:c>
      <x:c r="P6" s="72" t="str">
        <x:v>高压时先处理关键问题，事情稳定后再回到感受和理解。</x:v>
      </x:c>
      <x:c r="Q6" s="72" t="str"/>
      <x:c r="R6" s="72" t="str">
        <x:v>待验证</x:v>
      </x:c>
      <x:c r="S6" s="73" t="str"/>
    </x:row>
    <x:row r="7">
      <x:c r="A7" s="71" t="str">
        <x:v>M3-CF-CASE-003</x:v>
      </x:c>
      <x:c r="B7" s="72" t="str">
        <x:v>示例｜安全→立场</x:v>
      </x:c>
      <x:c r="C7" s="72" t="str">
        <x:v>正印日支主气；比肩透干有根</x:v>
      </x:c>
      <x:c r="D7" s="72" t="str">
        <x:v>src-yin-dz; src-bijian</x:v>
      </x:c>
      <x:c r="E7" s="72" t="str">
        <x:v>安全承接底盘</x:v>
      </x:c>
      <x:c r="F7" s="72" t="str">
        <x:v>CF09 倾听承接</x:v>
      </x:c>
      <x:c r="G7" s="72" t="str">
        <x:v>CF01 平等立场</x:v>
      </x:c>
      <x:c r="H7" s="72" t="str">
        <x:v>先听完整</x:v>
      </x:c>
      <x:c r="I7" s="72" t="str">
        <x:v>感受与背景</x:v>
      </x:c>
      <x:c r="J7" s="72" t="str">
        <x:v>FO09先听后说；FF01安全→立场</x:v>
      </x:c>
      <x:c r="K7" s="72" t="str">
        <x:v>安全恢复后回归</x:v>
      </x:c>
      <x:c r="L7" s="72" t="str">
        <x:v>双方被理解且立场说清</x:v>
      </x:c>
      <x:c r="M7" s="72" t="str">
        <x:v>FP11 双阶段协同型</x:v>
      </x:c>
      <x:c r="N7" s="72" t="str">
        <x:v>平稳承接，必要时转立场</x:v>
      </x:c>
      <x:c r="O7" s="72" t="str">
        <x:v>中高</x:v>
      </x:c>
      <x:c r="P7" s="72" t="str">
        <x:v>先听清彼此感受，再说明自己的立场和可协商范围。</x:v>
      </x:c>
      <x:c r="Q7" s="72" t="str"/>
      <x:c r="R7" s="72" t="str">
        <x:v>待验证</x:v>
      </x:c>
      <x:c r="S7" s="73" t="str"/>
    </x:row>
    <x:row r="8">
      <x:c r="A8" s="71" t="str">
        <x:v>M3-CF-CASE-004</x:v>
      </x:c>
      <x:c r="B8" s="72" t="str">
        <x:v>示例｜规则→方案</x:v>
      </x:c>
      <x:c r="C8" s="72" t="str">
        <x:v>正官日支主气；正财中气有效</x:v>
      </x:c>
      <x:c r="D8" s="72" t="str">
        <x:v>src-guan-dz; src-cai-mid</x:v>
      </x:c>
      <x:c r="E8" s="72" t="str">
        <x:v>责任维护底盘</x:v>
      </x:c>
      <x:c r="F8" s="72" t="str">
        <x:v>CF07 规则复核</x:v>
      </x:c>
      <x:c r="G8" s="72" t="str">
        <x:v>CF05 现实校准</x:v>
      </x:c>
      <x:c r="H8" s="72" t="str">
        <x:v>先对照约定</x:v>
      </x:c>
      <x:c r="I8" s="72" t="str">
        <x:v>责任与现实安排</x:v>
      </x:c>
      <x:c r="J8" s="72" t="str">
        <x:v>FS04规则→方案</x:v>
      </x:c>
      <x:c r="K8" s="72" t="str">
        <x:v>短暂停顿</x:v>
      </x:c>
      <x:c r="L8" s="72" t="str">
        <x:v>责任落实</x:v>
      </x:c>
      <x:c r="M8" s="72" t="str">
        <x:v>FP07 规则复核型</x:v>
      </x:c>
      <x:c r="N8" s="72" t="str">
        <x:v>压力下规则更抢先</x:v>
      </x:c>
      <x:c r="O8" s="72" t="str">
        <x:v>中高</x:v>
      </x:c>
      <x:c r="P8" s="72" t="str">
        <x:v>分歧时先确认承诺和分工，再把责任落实到具体时间与安排。</x:v>
      </x:c>
      <x:c r="Q8" s="72" t="str"/>
      <x:c r="R8" s="72" t="str">
        <x:v>待验证</x:v>
      </x:c>
      <x:c r="S8" s="73" t="str"/>
    </x:row>
    <x:row r="9">
      <x:c r="A9" s="71" t="str">
        <x:v>M3-CF-CASE-005</x:v>
      </x:c>
      <x:c r="B9" s="72" t="str">
        <x:v>示例｜缓冲→澄清</x:v>
      </x:c>
      <x:c r="C9" s="72" t="str">
        <x:v>食神主气；伤官透干；日支合而不化</x:v>
      </x:c>
      <x:c r="D9" s="72" t="str">
        <x:v>src-shishen-dz; src-shangguan</x:v>
      </x:c>
      <x:c r="E9" s="72" t="str">
        <x:v>舒缓陪伴底盘</x:v>
      </x:c>
      <x:c r="F9" s="72" t="str">
        <x:v>CF03 缓冲降温</x:v>
      </x:c>
      <x:c r="G9" s="72" t="str">
        <x:v>CF04 分析澄清</x:v>
      </x:c>
      <x:c r="H9" s="72" t="str">
        <x:v>先降低强度</x:v>
      </x:c>
      <x:c r="I9" s="72" t="str">
        <x:v>可交流状态＋事实</x:v>
      </x:c>
      <x:c r="J9" s="72" t="str">
        <x:v>FO06降温先行；再FO02事实先行</x:v>
      </x:c>
      <x:c r="K9" s="72" t="str">
        <x:v>短暂停顿</x:v>
      </x:c>
      <x:c r="L9" s="72" t="str">
        <x:v>事实说清</x:v>
      </x:c>
      <x:c r="M9" s="72" t="str">
        <x:v>FP11 双阶段协同型</x:v>
      </x:c>
      <x:c r="N9" s="72" t="str">
        <x:v>平稳缓冲，议题重要时转澄清</x:v>
      </x:c>
      <x:c r="O9" s="72" t="str">
        <x:v>中高</x:v>
      </x:c>
      <x:c r="P9" s="72" t="str">
        <x:v>先让交流恢复到双方都能承受的程度，再把真正问题说清。</x:v>
      </x:c>
      <x:c r="Q9" s="72" t="str"/>
      <x:c r="R9" s="72" t="str">
        <x:v>待验证</x:v>
      </x:c>
      <x:c r="S9" s="73" t="str"/>
    </x:row>
    <x:row r="10">
      <x:c r="A10" s="71" t="str">
        <x:v>M3-CF-CASE-006</x:v>
      </x:c>
      <x:c r="B10" s="72" t="str">
        <x:v>示例｜内化→说明</x:v>
      </x:c>
      <x:c r="C10" s="72" t="str">
        <x:v>偏印主气；伤官有根；日支害</x:v>
      </x:c>
      <x:c r="D10" s="72" t="str">
        <x:v>src-pianyin-dz; src-shangguan; src-hai</x:v>
      </x:c>
      <x:c r="E10" s="72" t="str">
        <x:v>深度内化底盘</x:v>
      </x:c>
      <x:c r="F10" s="72" t="str">
        <x:v>CF10 暂停内化</x:v>
      </x:c>
      <x:c r="G10" s="72" t="str">
        <x:v>CF04 分析澄清</x:v>
      </x:c>
      <x:c r="H10" s="72" t="str">
        <x:v>先整理复杂信息</x:v>
      </x:c>
      <x:c r="I10" s="72" t="str">
        <x:v>隐藏原因与逻辑</x:v>
      </x:c>
      <x:c r="J10" s="72" t="str">
        <x:v>FS06暂停→回归；FF06内化→说明</x:v>
      </x:c>
      <x:c r="K10" s="72" t="str">
        <x:v>短暂停顿／选择性回归</x:v>
      </x:c>
      <x:c r="L10" s="72" t="str">
        <x:v>核心问题被准确说明</x:v>
      </x:c>
      <x:c r="M10" s="72" t="str">
        <x:v>FP10 暂停内化型</x:v>
      </x:c>
      <x:c r="N10" s="72" t="str">
        <x:v>压力下暂停需求增加</x:v>
      </x:c>
      <x:c r="O10" s="72" t="str">
        <x:v>中</x:v>
      </x:c>
      <x:c r="P10" s="72" t="str">
        <x:v>复杂分歧中先整理真正问题，再选择核心部分说明；需要检查是否有稳定回归路径。</x:v>
      </x:c>
      <x:c r="Q10" s="72" t="str"/>
      <x:c r="R10" s="72" t="str">
        <x:v>待验证</x:v>
      </x:c>
      <x:c r="S10" s="73" t="str"/>
    </x:row>
    <x:row r="11">
      <x:c r="A11" s="71" t="str">
        <x:v>M3-CF-CASE-007</x:v>
      </x:c>
      <x:c r="B11" s="72" t="str">
        <x:v>示例｜灵活换案</x:v>
      </x:c>
      <x:c r="C11" s="72" t="str">
        <x:v>偏财近位有根；比肩辅助</x:v>
      </x:c>
      <x:c r="D11" s="72" t="str">
        <x:v>src-piancai; src-bijian</x:v>
      </x:c>
      <x:c r="E11" s="72" t="str">
        <x:v>体验联结底盘</x:v>
      </x:c>
      <x:c r="F11" s="72" t="str">
        <x:v>CF06 灵活换案</x:v>
      </x:c>
      <x:c r="G11" s="72" t="str">
        <x:v>CF01 平等立场</x:v>
      </x:c>
      <x:c r="H11" s="72" t="str">
        <x:v>先提出替代方案</x:v>
      </x:c>
      <x:c r="I11" s="72" t="str">
        <x:v>可调整空间</x:v>
      </x:c>
      <x:c r="J11" s="72" t="str">
        <x:v>FO05方案先行；FS03立场→协商</x:v>
      </x:c>
      <x:c r="K11" s="72" t="str">
        <x:v>边听边调整</x:v>
      </x:c>
      <x:c r="L11" s="72" t="str">
        <x:v>暂定方案形成</x:v>
      </x:c>
      <x:c r="M11" s="72" t="str">
        <x:v>FP06 灵活换案型</x:v>
      </x:c>
      <x:c r="N11" s="72" t="str">
        <x:v>情境变化时切换方案</x:v>
      </x:c>
      <x:c r="O11" s="72" t="str">
        <x:v>中</x:v>
      </x:c>
      <x:c r="P11" s="72" t="str">
        <x:v>更愿意提出替代方案，并保留双方参与决定的空间。</x:v>
      </x:c>
      <x:c r="Q11" s="72" t="str"/>
      <x:c r="R11" s="72" t="str">
        <x:v>待验证</x:v>
      </x:c>
      <x:c r="S11" s="73" t="str"/>
    </x:row>
    <x:row r="12">
      <x:c r="A12" s="74" t="str">
        <x:v>M3-CF-CASE-008</x:v>
      </x:c>
      <x:c r="B12" s="75" t="str">
        <x:v>示例｜停止／有限回退</x:v>
      </x:c>
      <x:c r="C12" s="75" t="str">
        <x:v>主气合化争议；多个弱远候选</x:v>
      </x:c>
      <x:c r="D12" s="75" t="str">
        <x:v>src-disputed</x:v>
      </x:c>
      <x:c r="E12" s="75" t="str">
        <x:v>BASE未定</x:v>
      </x:c>
      <x:c r="F12" s="75" t="str">
        <x:v>系统级：表达／承接候选</x:v>
      </x:c>
      <x:c r="G12" s="75" t="str"/>
      <x:c r="H12" s="75" t="str">
        <x:v>先后未定</x:v>
      </x:c>
      <x:c r="I12" s="75" t="str">
        <x:v>局部可见</x:v>
      </x:c>
      <x:c r="J12" s="75" t="str">
        <x:v>FS08断流／未定</x:v>
      </x:c>
      <x:c r="K12" s="75" t="str">
        <x:v>未定</x:v>
      </x:c>
      <x:c r="L12" s="75" t="str">
        <x:v>未定</x:v>
      </x:c>
      <x:c r="M12" s="75" t="str">
        <x:v>停止固定模式</x:v>
      </x:c>
      <x:c r="N12" s="75" t="str">
        <x:v>未定</x:v>
      </x:c>
      <x:c r="O12" s="75" t="str">
        <x:v>低</x:v>
      </x:c>
      <x:c r="P12" s="75" t="str">
        <x:v>目前只能判断分歧中既有表达需求，也可能需要内部整理；完整顺序需真实案例确认。</x:v>
      </x:c>
      <x:c r="Q12" s="75" t="str"/>
      <x:c r="R12" s="75" t="str">
        <x:v>待验证</x:v>
      </x:c>
      <x:c r="S12" s="76" t="str">
        <x:v>基础争议时不硬写模式</x:v>
      </x:c>
    </x:row>
    <x:row r="13">
      <x:c r="A13" s="68" t="str">
        <x:v>M3-CF-CASE-009</x:v>
      </x:c>
      <x:c r="B13" s="69" t="str">
        <x:v>真实案例</x:v>
      </x:c>
      <x:c r="C13" s="69" t="str"/>
      <x:c r="D13" s="69" t="str"/>
      <x:c r="E13" s="69" t="str"/>
      <x:c r="F13" s="69" t="str"/>
      <x:c r="G13" s="69" t="str"/>
      <x:c r="H13" s="69" t="str"/>
      <x:c r="I13" s="69" t="str"/>
      <x:c r="J13" s="69" t="str"/>
      <x:c r="K13" s="69" t="str"/>
      <x:c r="L13" s="69" t="str"/>
      <x:c r="M13" s="69" t="str"/>
      <x:c r="N13" s="69" t="str"/>
      <x:c r="O13" s="69" t="str"/>
      <x:c r="P13" s="69" t="str"/>
      <x:c r="Q13" s="69" t="str"/>
      <x:c r="R13" s="69" t="str">
        <x:v>待录入</x:v>
      </x:c>
      <x:c r="S13" s="70" t="str"/>
    </x:row>
    <x:row r="14">
      <x:c r="A14" s="71" t="str">
        <x:v>M3-CF-CASE-010</x:v>
      </x:c>
      <x:c r="B14" s="72" t="str">
        <x:v>真实案例</x:v>
      </x:c>
      <x:c r="C14" s="72" t="str"/>
      <x:c r="D14" s="72" t="str"/>
      <x:c r="E14" s="72" t="str"/>
      <x:c r="F14" s="72" t="str"/>
      <x:c r="G14" s="72" t="str"/>
      <x:c r="H14" s="72" t="str"/>
      <x:c r="I14" s="72" t="str"/>
      <x:c r="J14" s="72" t="str"/>
      <x:c r="K14" s="72" t="str"/>
      <x:c r="L14" s="72" t="str"/>
      <x:c r="M14" s="72" t="str"/>
      <x:c r="N14" s="72" t="str"/>
      <x:c r="O14" s="72" t="str"/>
      <x:c r="P14" s="72" t="str"/>
      <x:c r="Q14" s="72" t="str"/>
      <x:c r="R14" s="72" t="str">
        <x:v>待录入</x:v>
      </x:c>
      <x:c r="S14" s="73" t="str"/>
    </x:row>
    <x:row r="15">
      <x:c r="A15" s="71" t="str">
        <x:v>M3-CF-CASE-011</x:v>
      </x:c>
      <x:c r="B15" s="72" t="str">
        <x:v>真实案例</x:v>
      </x:c>
      <x:c r="C15" s="72" t="str"/>
      <x:c r="D15" s="72" t="str"/>
      <x:c r="E15" s="72" t="str"/>
      <x:c r="F15" s="72" t="str"/>
      <x:c r="G15" s="72" t="str"/>
      <x:c r="H15" s="72" t="str"/>
      <x:c r="I15" s="72" t="str"/>
      <x:c r="J15" s="72" t="str"/>
      <x:c r="K15" s="72" t="str"/>
      <x:c r="L15" s="72" t="str"/>
      <x:c r="M15" s="72" t="str"/>
      <x:c r="N15" s="72" t="str"/>
      <x:c r="O15" s="72" t="str"/>
      <x:c r="P15" s="72" t="str"/>
      <x:c r="Q15" s="72" t="str"/>
      <x:c r="R15" s="72" t="str">
        <x:v>待录入</x:v>
      </x:c>
      <x:c r="S15" s="73" t="str"/>
    </x:row>
    <x:row r="16">
      <x:c r="A16" s="71" t="str">
        <x:v>M3-CF-CASE-012</x:v>
      </x:c>
      <x:c r="B16" s="72" t="str">
        <x:v>真实案例</x:v>
      </x:c>
      <x:c r="C16" s="72" t="str"/>
      <x:c r="D16" s="72" t="str"/>
      <x:c r="E16" s="72" t="str"/>
      <x:c r="F16" s="72" t="str"/>
      <x:c r="G16" s="72" t="str"/>
      <x:c r="H16" s="72" t="str"/>
      <x:c r="I16" s="72" t="str"/>
      <x:c r="J16" s="72" t="str"/>
      <x:c r="K16" s="72" t="str"/>
      <x:c r="L16" s="72" t="str"/>
      <x:c r="M16" s="72" t="str"/>
      <x:c r="N16" s="72" t="str"/>
      <x:c r="O16" s="72" t="str"/>
      <x:c r="P16" s="72" t="str"/>
      <x:c r="Q16" s="72" t="str"/>
      <x:c r="R16" s="72" t="str">
        <x:v>待录入</x:v>
      </x:c>
      <x:c r="S16" s="73" t="str"/>
    </x:row>
    <x:row r="17">
      <x:c r="A17" s="71" t="str">
        <x:v>M3-CF-CASE-013</x:v>
      </x:c>
      <x:c r="B17" s="72" t="str">
        <x:v>真实案例</x:v>
      </x:c>
      <x:c r="C17" s="72" t="str"/>
      <x:c r="D17" s="72" t="str"/>
      <x:c r="E17" s="72" t="str"/>
      <x:c r="F17" s="72" t="str"/>
      <x:c r="G17" s="72" t="str"/>
      <x:c r="H17" s="72" t="str"/>
      <x:c r="I17" s="72" t="str"/>
      <x:c r="J17" s="72" t="str"/>
      <x:c r="K17" s="72" t="str"/>
      <x:c r="L17" s="72" t="str"/>
      <x:c r="M17" s="72" t="str"/>
      <x:c r="N17" s="72" t="str"/>
      <x:c r="O17" s="72" t="str"/>
      <x:c r="P17" s="72" t="str"/>
      <x:c r="Q17" s="72" t="str"/>
      <x:c r="R17" s="72" t="str">
        <x:v>待录入</x:v>
      </x:c>
      <x:c r="S17" s="73" t="str"/>
    </x:row>
    <x:row r="18">
      <x:c r="A18" s="71" t="str">
        <x:v>M3-CF-CASE-014</x:v>
      </x:c>
      <x:c r="B18" s="72" t="str">
        <x:v>真实案例</x:v>
      </x:c>
      <x:c r="C18" s="72" t="str"/>
      <x:c r="D18" s="72" t="str"/>
      <x:c r="E18" s="72" t="str"/>
      <x:c r="F18" s="72" t="str"/>
      <x:c r="G18" s="72" t="str"/>
      <x:c r="H18" s="72" t="str"/>
      <x:c r="I18" s="72" t="str"/>
      <x:c r="J18" s="72" t="str"/>
      <x:c r="K18" s="72" t="str"/>
      <x:c r="L18" s="72" t="str"/>
      <x:c r="M18" s="72" t="str"/>
      <x:c r="N18" s="72" t="str"/>
      <x:c r="O18" s="72" t="str"/>
      <x:c r="P18" s="72" t="str"/>
      <x:c r="Q18" s="72" t="str"/>
      <x:c r="R18" s="72" t="str">
        <x:v>待录入</x:v>
      </x:c>
      <x:c r="S18" s="73" t="str"/>
    </x:row>
    <x:row r="19">
      <x:c r="A19" s="71" t="str">
        <x:v>M3-CF-CASE-015</x:v>
      </x:c>
      <x:c r="B19" s="72" t="str">
        <x:v>真实案例</x:v>
      </x:c>
      <x:c r="C19" s="72" t="str"/>
      <x:c r="D19" s="72" t="str"/>
      <x:c r="E19" s="72" t="str"/>
      <x:c r="F19" s="72" t="str"/>
      <x:c r="G19" s="72" t="str"/>
      <x:c r="H19" s="72" t="str"/>
      <x:c r="I19" s="72" t="str"/>
      <x:c r="J19" s="72" t="str"/>
      <x:c r="K19" s="72" t="str"/>
      <x:c r="L19" s="72" t="str"/>
      <x:c r="M19" s="72" t="str"/>
      <x:c r="N19" s="72" t="str"/>
      <x:c r="O19" s="72" t="str"/>
      <x:c r="P19" s="72" t="str"/>
      <x:c r="Q19" s="72" t="str"/>
      <x:c r="R19" s="72" t="str">
        <x:v>待录入</x:v>
      </x:c>
      <x:c r="S19" s="73" t="str"/>
    </x:row>
    <x:row r="20">
      <x:c r="A20" s="71" t="str">
        <x:v>M3-CF-CASE-016</x:v>
      </x:c>
      <x:c r="B20" s="72" t="str">
        <x:v>真实案例</x:v>
      </x:c>
      <x:c r="C20" s="72" t="str"/>
      <x:c r="D20" s="72" t="str"/>
      <x:c r="E20" s="72" t="str"/>
      <x:c r="F20" s="72" t="str"/>
      <x:c r="G20" s="72" t="str"/>
      <x:c r="H20" s="72" t="str"/>
      <x:c r="I20" s="72" t="str"/>
      <x:c r="J20" s="72" t="str"/>
      <x:c r="K20" s="72" t="str"/>
      <x:c r="L20" s="72" t="str"/>
      <x:c r="M20" s="72" t="str"/>
      <x:c r="N20" s="72" t="str"/>
      <x:c r="O20" s="72" t="str"/>
      <x:c r="P20" s="72" t="str"/>
      <x:c r="Q20" s="72" t="str"/>
      <x:c r="R20" s="72" t="str">
        <x:v>待录入</x:v>
      </x:c>
      <x:c r="S20" s="73" t="str"/>
    </x:row>
    <x:row r="21">
      <x:c r="A21" s="71" t="str">
        <x:v>M3-CF-CASE-017</x:v>
      </x:c>
      <x:c r="B21" s="72" t="str">
        <x:v>真实案例</x:v>
      </x:c>
      <x:c r="C21" s="72" t="str"/>
      <x:c r="D21" s="72" t="str"/>
      <x:c r="E21" s="72" t="str"/>
      <x:c r="F21" s="72" t="str"/>
      <x:c r="G21" s="72" t="str"/>
      <x:c r="H21" s="72" t="str"/>
      <x:c r="I21" s="72" t="str"/>
      <x:c r="J21" s="72" t="str"/>
      <x:c r="K21" s="72" t="str"/>
      <x:c r="L21" s="72" t="str"/>
      <x:c r="M21" s="72" t="str"/>
      <x:c r="N21" s="72" t="str"/>
      <x:c r="O21" s="72" t="str"/>
      <x:c r="P21" s="72" t="str"/>
      <x:c r="Q21" s="72" t="str"/>
      <x:c r="R21" s="72" t="str">
        <x:v>待录入</x:v>
      </x:c>
      <x:c r="S21" s="73" t="str"/>
    </x:row>
    <x:row r="22">
      <x:c r="A22" s="71" t="str">
        <x:v>M3-CF-CASE-018</x:v>
      </x:c>
      <x:c r="B22" s="72" t="str">
        <x:v>真实案例</x:v>
      </x:c>
      <x:c r="C22" s="72" t="str"/>
      <x:c r="D22" s="72" t="str"/>
      <x:c r="E22" s="72" t="str"/>
      <x:c r="F22" s="72" t="str"/>
      <x:c r="G22" s="72" t="str"/>
      <x:c r="H22" s="72" t="str"/>
      <x:c r="I22" s="72" t="str"/>
      <x:c r="J22" s="72" t="str"/>
      <x:c r="K22" s="72" t="str"/>
      <x:c r="L22" s="72" t="str"/>
      <x:c r="M22" s="72" t="str"/>
      <x:c r="N22" s="72" t="str"/>
      <x:c r="O22" s="72" t="str"/>
      <x:c r="P22" s="72" t="str"/>
      <x:c r="Q22" s="72" t="str"/>
      <x:c r="R22" s="72" t="str">
        <x:v>待录入</x:v>
      </x:c>
      <x:c r="S22" s="73" t="str"/>
    </x:row>
    <x:row r="23">
      <x:c r="A23" s="71" t="str">
        <x:v>M3-CF-CASE-019</x:v>
      </x:c>
      <x:c r="B23" s="72" t="str">
        <x:v>真实案例</x:v>
      </x:c>
      <x:c r="C23" s="72" t="str"/>
      <x:c r="D23" s="72" t="str"/>
      <x:c r="E23" s="72" t="str"/>
      <x:c r="F23" s="72" t="str"/>
      <x:c r="G23" s="72" t="str"/>
      <x:c r="H23" s="72" t="str"/>
      <x:c r="I23" s="72" t="str"/>
      <x:c r="J23" s="72" t="str"/>
      <x:c r="K23" s="72" t="str"/>
      <x:c r="L23" s="72" t="str"/>
      <x:c r="M23" s="72" t="str"/>
      <x:c r="N23" s="72" t="str"/>
      <x:c r="O23" s="72" t="str"/>
      <x:c r="P23" s="72" t="str"/>
      <x:c r="Q23" s="72" t="str"/>
      <x:c r="R23" s="72" t="str">
        <x:v>待录入</x:v>
      </x:c>
      <x:c r="S23" s="73" t="str"/>
    </x:row>
    <x:row r="24">
      <x:c r="A24" s="71" t="str">
        <x:v>M3-CF-CASE-020</x:v>
      </x:c>
      <x:c r="B24" s="72" t="str">
        <x:v>真实案例</x:v>
      </x:c>
      <x:c r="C24" s="72" t="str"/>
      <x:c r="D24" s="72" t="str"/>
      <x:c r="E24" s="72" t="str"/>
      <x:c r="F24" s="72" t="str"/>
      <x:c r="G24" s="72" t="str"/>
      <x:c r="H24" s="72" t="str"/>
      <x:c r="I24" s="72" t="str"/>
      <x:c r="J24" s="72" t="str"/>
      <x:c r="K24" s="72" t="str"/>
      <x:c r="L24" s="72" t="str"/>
      <x:c r="M24" s="72" t="str"/>
      <x:c r="N24" s="72" t="str"/>
      <x:c r="O24" s="72" t="str"/>
      <x:c r="P24" s="72" t="str"/>
      <x:c r="Q24" s="72" t="str"/>
      <x:c r="R24" s="72" t="str">
        <x:v>待录入</x:v>
      </x:c>
      <x:c r="S24" s="73" t="str"/>
    </x:row>
    <x:row r="25">
      <x:c r="A25" s="71" t="str">
        <x:v>M3-CF-CASE-021</x:v>
      </x:c>
      <x:c r="B25" s="72" t="str">
        <x:v>真实案例</x:v>
      </x:c>
      <x:c r="C25" s="72" t="str"/>
      <x:c r="D25" s="72" t="str"/>
      <x:c r="E25" s="72" t="str"/>
      <x:c r="F25" s="72" t="str"/>
      <x:c r="G25" s="72" t="str"/>
      <x:c r="H25" s="72" t="str"/>
      <x:c r="I25" s="72" t="str"/>
      <x:c r="J25" s="72" t="str"/>
      <x:c r="K25" s="72" t="str"/>
      <x:c r="L25" s="72" t="str"/>
      <x:c r="M25" s="72" t="str"/>
      <x:c r="N25" s="72" t="str"/>
      <x:c r="O25" s="72" t="str"/>
      <x:c r="P25" s="72" t="str"/>
      <x:c r="Q25" s="72" t="str"/>
      <x:c r="R25" s="72" t="str">
        <x:v>待录入</x:v>
      </x:c>
      <x:c r="S25" s="73" t="str"/>
    </x:row>
    <x:row r="26">
      <x:c r="A26" s="71" t="str">
        <x:v>M3-CF-CASE-022</x:v>
      </x:c>
      <x:c r="B26" s="72" t="str">
        <x:v>真实案例</x:v>
      </x:c>
      <x:c r="C26" s="72" t="str"/>
      <x:c r="D26" s="72" t="str"/>
      <x:c r="E26" s="72" t="str"/>
      <x:c r="F26" s="72" t="str"/>
      <x:c r="G26" s="72" t="str"/>
      <x:c r="H26" s="72" t="str"/>
      <x:c r="I26" s="72" t="str"/>
      <x:c r="J26" s="72" t="str"/>
      <x:c r="K26" s="72" t="str"/>
      <x:c r="L26" s="72" t="str"/>
      <x:c r="M26" s="72" t="str"/>
      <x:c r="N26" s="72" t="str"/>
      <x:c r="O26" s="72" t="str"/>
      <x:c r="P26" s="72" t="str"/>
      <x:c r="Q26" s="72" t="str"/>
      <x:c r="R26" s="72" t="str">
        <x:v>待录入</x:v>
      </x:c>
      <x:c r="S26" s="73" t="str"/>
    </x:row>
    <x:row r="27">
      <x:c r="A27" s="71" t="str">
        <x:v>M3-CF-CASE-023</x:v>
      </x:c>
      <x:c r="B27" s="72" t="str">
        <x:v>真实案例</x:v>
      </x:c>
      <x:c r="C27" s="72" t="str"/>
      <x:c r="D27" s="72" t="str"/>
      <x:c r="E27" s="72" t="str"/>
      <x:c r="F27" s="72" t="str"/>
      <x:c r="G27" s="72" t="str"/>
      <x:c r="H27" s="72" t="str"/>
      <x:c r="I27" s="72" t="str"/>
      <x:c r="J27" s="72" t="str"/>
      <x:c r="K27" s="72" t="str"/>
      <x:c r="L27" s="72" t="str"/>
      <x:c r="M27" s="72" t="str"/>
      <x:c r="N27" s="72" t="str"/>
      <x:c r="O27" s="72" t="str"/>
      <x:c r="P27" s="72" t="str"/>
      <x:c r="Q27" s="72" t="str"/>
      <x:c r="R27" s="72" t="str">
        <x:v>待录入</x:v>
      </x:c>
      <x:c r="S27" s="73" t="str"/>
    </x:row>
    <x:row r="28">
      <x:c r="A28" s="71" t="str">
        <x:v>M3-CF-CASE-024</x:v>
      </x:c>
      <x:c r="B28" s="72" t="str">
        <x:v>真实案例</x:v>
      </x:c>
      <x:c r="C28" s="72" t="str"/>
      <x:c r="D28" s="72" t="str"/>
      <x:c r="E28" s="72" t="str"/>
      <x:c r="F28" s="72" t="str"/>
      <x:c r="G28" s="72" t="str"/>
      <x:c r="H28" s="72" t="str"/>
      <x:c r="I28" s="72" t="str"/>
      <x:c r="J28" s="72" t="str"/>
      <x:c r="K28" s="72" t="str"/>
      <x:c r="L28" s="72" t="str"/>
      <x:c r="M28" s="72" t="str"/>
      <x:c r="N28" s="72" t="str"/>
      <x:c r="O28" s="72" t="str"/>
      <x:c r="P28" s="72" t="str"/>
      <x:c r="Q28" s="72" t="str"/>
      <x:c r="R28" s="72" t="str">
        <x:v>待录入</x:v>
      </x:c>
      <x:c r="S28" s="73" t="str"/>
    </x:row>
    <x:row r="29">
      <x:c r="A29" s="71" t="str">
        <x:v>M3-CF-CASE-025</x:v>
      </x:c>
      <x:c r="B29" s="72" t="str">
        <x:v>真实案例</x:v>
      </x:c>
      <x:c r="C29" s="72" t="str"/>
      <x:c r="D29" s="72" t="str"/>
      <x:c r="E29" s="72" t="str"/>
      <x:c r="F29" s="72" t="str"/>
      <x:c r="G29" s="72" t="str"/>
      <x:c r="H29" s="72" t="str"/>
      <x:c r="I29" s="72" t="str"/>
      <x:c r="J29" s="72" t="str"/>
      <x:c r="K29" s="72" t="str"/>
      <x:c r="L29" s="72" t="str"/>
      <x:c r="M29" s="72" t="str"/>
      <x:c r="N29" s="72" t="str"/>
      <x:c r="O29" s="72" t="str"/>
      <x:c r="P29" s="72" t="str"/>
      <x:c r="Q29" s="72" t="str"/>
      <x:c r="R29" s="72" t="str">
        <x:v>待录入</x:v>
      </x:c>
      <x:c r="S29" s="73" t="str"/>
    </x:row>
    <x:row r="30">
      <x:c r="A30" s="71" t="str">
        <x:v>M3-CF-CASE-026</x:v>
      </x:c>
      <x:c r="B30" s="72" t="str">
        <x:v>真实案例</x:v>
      </x:c>
      <x:c r="C30" s="72" t="str"/>
      <x:c r="D30" s="72" t="str"/>
      <x:c r="E30" s="72" t="str"/>
      <x:c r="F30" s="72" t="str"/>
      <x:c r="G30" s="72" t="str"/>
      <x:c r="H30" s="72" t="str"/>
      <x:c r="I30" s="72" t="str"/>
      <x:c r="J30" s="72" t="str"/>
      <x:c r="K30" s="72" t="str"/>
      <x:c r="L30" s="72" t="str"/>
      <x:c r="M30" s="72" t="str"/>
      <x:c r="N30" s="72" t="str"/>
      <x:c r="O30" s="72" t="str"/>
      <x:c r="P30" s="72" t="str"/>
      <x:c r="Q30" s="72" t="str"/>
      <x:c r="R30" s="72" t="str">
        <x:v>待录入</x:v>
      </x:c>
      <x:c r="S30" s="73" t="str"/>
    </x:row>
    <x:row r="31">
      <x:c r="A31" s="71" t="str">
        <x:v>M3-CF-CASE-027</x:v>
      </x:c>
      <x:c r="B31" s="72" t="str">
        <x:v>真实案例</x:v>
      </x:c>
      <x:c r="C31" s="72" t="str"/>
      <x:c r="D31" s="72" t="str"/>
      <x:c r="E31" s="72" t="str"/>
      <x:c r="F31" s="72" t="str"/>
      <x:c r="G31" s="72" t="str"/>
      <x:c r="H31" s="72" t="str"/>
      <x:c r="I31" s="72" t="str"/>
      <x:c r="J31" s="72" t="str"/>
      <x:c r="K31" s="72" t="str"/>
      <x:c r="L31" s="72" t="str"/>
      <x:c r="M31" s="72" t="str"/>
      <x:c r="N31" s="72" t="str"/>
      <x:c r="O31" s="72" t="str"/>
      <x:c r="P31" s="72" t="str"/>
      <x:c r="Q31" s="72" t="str"/>
      <x:c r="R31" s="72" t="str">
        <x:v>待录入</x:v>
      </x:c>
      <x:c r="S31" s="73" t="str"/>
    </x:row>
    <x:row r="32">
      <x:c r="A32" s="74" t="str">
        <x:v>M3-CF-CASE-028</x:v>
      </x:c>
      <x:c r="B32" s="75" t="str">
        <x:v>真实案例</x:v>
      </x:c>
      <x:c r="C32" s="75" t="str"/>
      <x:c r="D32" s="75" t="str"/>
      <x:c r="E32" s="75" t="str"/>
      <x:c r="F32" s="75" t="str"/>
      <x:c r="G32" s="75" t="str"/>
      <x:c r="H32" s="75" t="str"/>
      <x:c r="I32" s="75" t="str"/>
      <x:c r="J32" s="75" t="str"/>
      <x:c r="K32" s="75" t="str"/>
      <x:c r="L32" s="75" t="str"/>
      <x:c r="M32" s="75" t="str"/>
      <x:c r="N32" s="75" t="str"/>
      <x:c r="O32" s="75" t="str"/>
      <x:c r="P32" s="75" t="str"/>
      <x:c r="Q32" s="75" t="str"/>
      <x:c r="R32" s="75" t="str">
        <x:v>待录入</x:v>
      </x:c>
      <x:c r="S32" s="76" t="str"/>
    </x:row>
  </x:sheetData>
  <x:mergeCells>
    <x:mergeCell ref="A1:S1"/>
    <x:mergeCell ref="A2:S2"/>
  </x:mergeCells>
  <x:conditionalFormatting sqref="R5:R32">
    <x:cfRule type="expression" dxfId="3" priority="1">
      <x:formula>R5="完全吻合"</x:formula>
    </x:cfRule>
    <x:cfRule type="expression" dxfId="4" priority="2">
      <x:formula>R5="部分吻合"</x:formula>
    </x:cfRule>
    <x:cfRule type="expression" dxfId="5" priority="3">
      <x:formula>R5="明显不符"</x:formula>
    </x:cfRule>
  </x:conditionalFormatting>
  <x:dataValidations count="2">
    <x:dataValidation type="list" sqref="O5:O32">
      <x:formula1>"高,中高,中,中低,低,停止"</x:formula1>
    </x:dataValidation>
    <x:dataValidation type="list" sqref="R5:R32">
      <x:formula1>"待录入,完全吻合,部分吻合,明显不符,信息不足,待验证"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4aead37159426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6" hidden="0" customWidth="1"/>
    <x:col min="4" max="4" width="52" hidden="0" customWidth="1"/>
    <x:col min="5" max="5" width="46" hidden="0" customWidth="1"/>
    <x:col min="6" max="6" width="24" hidden="0" customWidth="1"/>
  </x:cols>
  <x:sheetData>
    <x:row r="1" ht="28" customHeight="1">
      <x:c r="A1" s="7" t="str">
        <x:v>字段词典、代码表与输出槽位</x:v>
      </x:c>
      <x:c r="B1" s="7" t="str">
        <x:v>字段词典、代码表与输出槽位</x:v>
      </x:c>
      <x:c r="C1" s="7" t="str">
        <x:v>字段词典、代码表与输出槽位</x:v>
      </x:c>
      <x:c r="D1" s="7" t="str">
        <x:v>字段词典、代码表与输出槽位</x:v>
      </x:c>
      <x:c r="E1" s="7" t="str">
        <x:v>字段词典、代码表与输出槽位</x:v>
      </x:c>
      <x:c r="F1" s="7" t="str">
        <x:v>字段词典、代码表与输出槽位</x:v>
      </x:c>
    </x:row>
    <x:row r="2" ht="30" customHeight="1">
      <x:c r="A2" s="17" t="str">
        <x:v>用于人工维护、程序迁移和案例检索。英文列名保持跨模块一致，中文解释说明本模块的具体含义。</x:v>
      </x:c>
      <x:c r="B2" s="17" t="str">
        <x:v>用于人工维护、程序迁移和案例检索。英文列名保持跨模块一致，中文解释说明本模块的具体含义。</x:v>
      </x:c>
      <x:c r="C2" s="17" t="str">
        <x:v>用于人工维护、程序迁移和案例检索。英文列名保持跨模块一致，中文解释说明本模块的具体含义。</x:v>
      </x:c>
      <x:c r="D2" s="17" t="str">
        <x:v>用于人工维护、程序迁移和案例检索。英文列名保持跨模块一致，中文解释说明本模块的具体含义。</x:v>
      </x:c>
      <x:c r="E2" s="17" t="str">
        <x:v>用于人工维护、程序迁移和案例检索。英文列名保持跨模块一致，中文解释说明本模块的具体含义。</x:v>
      </x:c>
      <x:c r="F2" s="17" t="str">
        <x:v>用于人工维护、程序迁移和案例检索。英文列名保持跨模块一致，中文解释说明本模块的具体含义。</x:v>
      </x:c>
    </x:row>
    <x:row r="4" ht="24" customHeight="1">
      <x:c r="A4" s="33" t="str">
        <x:v>类别</x:v>
      </x:c>
      <x:c r="B4" s="34" t="str">
        <x:v>代码／字段</x:v>
      </x:c>
      <x:c r="C4" s="34" t="str">
        <x:v>中文名称</x:v>
      </x:c>
      <x:c r="D4" s="34" t="str">
        <x:v>准确含义</x:v>
      </x:c>
      <x:c r="E4" s="34" t="str">
        <x:v>常见值／选项</x:v>
      </x:c>
      <x:c r="F4" s="35" t="str">
        <x:v>备注</x:v>
      </x:c>
    </x:row>
    <x:row r="5">
      <x:c r="A5" s="68" t="str">
        <x:v>原子规则字段</x:v>
      </x:c>
      <x:c r="B5" s="69" t="str">
        <x:v>rule_id</x:v>
      </x:c>
      <x:c r="C5" s="69" t="str">
        <x:v>rule_id</x:v>
      </x:c>
      <x:c r="D5" s="69" t="str">
        <x:v>唯一规则编号；M3-CONFLICT-001—280。</x:v>
      </x:c>
      <x:c r="E5" s="69" t="str">
        <x:v>见原子规则主表</x:v>
      </x:c>
      <x:c r="F5" s="70" t="str">
        <x:v>跨模块统一31字段</x:v>
      </x:c>
    </x:row>
    <x:row r="6">
      <x:c r="A6" s="71" t="str">
        <x:v>原子规则字段</x:v>
      </x:c>
      <x:c r="B6" s="72" t="str">
        <x:v>rule_name</x:v>
      </x:c>
      <x:c r="C6" s="72" t="str">
        <x:v>rule_name</x:v>
      </x:c>
      <x:c r="D6" s="72" t="str">
        <x:v>规则中文名称，包含编号或功能关键词。</x:v>
      </x:c>
      <x:c r="E6" s="72" t="str">
        <x:v>见原子规则主表</x:v>
      </x:c>
      <x:c r="F6" s="73" t="str">
        <x:v>跨模块统一31字段</x:v>
      </x:c>
    </x:row>
    <x:row r="7">
      <x:c r="A7" s="71" t="str">
        <x:v>原子规则字段</x:v>
      </x:c>
      <x:c r="B7" s="72" t="str">
        <x:v>layer</x:v>
      </x:c>
      <x:c r="C7" s="72" t="str">
        <x:v>layer</x:v>
      </x:c>
      <x:c r="D7" s="72" t="str">
        <x:v>规则所在逻辑层级。</x:v>
      </x:c>
      <x:c r="E7" s="72" t="str">
        <x:v>见原子规则主表</x:v>
      </x:c>
      <x:c r="F7" s="73" t="str">
        <x:v>跨模块统一31字段</x:v>
      </x:c>
    </x:row>
    <x:row r="8">
      <x:c r="A8" s="71" t="str">
        <x:v>原子规则字段</x:v>
      </x:c>
      <x:c r="B8" s="72" t="str">
        <x:v>module</x:v>
      </x:c>
      <x:c r="C8" s="72" t="str">
        <x:v>module</x:v>
      </x:c>
      <x:c r="D8" s="72" t="str">
        <x:v>细分模块或规则组。</x:v>
      </x:c>
      <x:c r="E8" s="72" t="str">
        <x:v>见原子规则主表</x:v>
      </x:c>
      <x:c r="F8" s="73" t="str">
        <x:v>跨模块统一31字段</x:v>
      </x:c>
    </x:row>
    <x:row r="9">
      <x:c r="A9" s="71" t="str">
        <x:v>原子规则字段</x:v>
      </x:c>
      <x:c r="B9" s="72" t="str">
        <x:v>applicable_group</x:v>
      </x:c>
      <x:c r="C9" s="72" t="str">
        <x:v>applicable_group</x:v>
      </x:c>
      <x:c r="D9" s="72" t="str">
        <x:v>适用对象；本模块通常为通用。</x:v>
      </x:c>
      <x:c r="E9" s="72" t="str">
        <x:v>见原子规则主表</x:v>
      </x:c>
      <x:c r="F9" s="73" t="str">
        <x:v>跨模块统一31字段</x:v>
      </x:c>
    </x:row>
    <x:row r="10">
      <x:c r="A10" s="71" t="str">
        <x:v>原子规则字段</x:v>
      </x:c>
      <x:c r="B10" s="72" t="str">
        <x:v>rule_type</x:v>
      </x:c>
      <x:c r="C10" s="72" t="str">
        <x:v>rule_type</x:v>
      </x:c>
      <x:c r="D10" s="72" t="str">
        <x:v>定义、通道、维度、模式、顺序、路径、门控、评分等。</x:v>
      </x:c>
      <x:c r="E10" s="72" t="str">
        <x:v>见原子规则主表</x:v>
      </x:c>
      <x:c r="F10" s="73" t="str">
        <x:v>跨模块统一31字段</x:v>
      </x:c>
    </x:row>
    <x:row r="11">
      <x:c r="A11" s="71" t="str">
        <x:v>原子规则字段</x:v>
      </x:c>
      <x:c r="B11" s="72" t="str">
        <x:v>main_signal</x:v>
      </x:c>
      <x:c r="C11" s="72" t="str">
        <x:v>main_signal</x:v>
      </x:c>
      <x:c r="D11" s="72" t="str">
        <x:v>主要命理或工程信号。</x:v>
      </x:c>
      <x:c r="E11" s="72" t="str">
        <x:v>见原子规则主表</x:v>
      </x:c>
      <x:c r="F11" s="73" t="str">
        <x:v>跨模块统一31字段</x:v>
      </x:c>
    </x:row>
    <x:row r="12">
      <x:c r="A12" s="71" t="str">
        <x:v>原子规则字段</x:v>
      </x:c>
      <x:c r="B12" s="72" t="str">
        <x:v>secondary_signal</x:v>
      </x:c>
      <x:c r="C12" s="72" t="str">
        <x:v>secondary_signal</x:v>
      </x:c>
      <x:c r="D12" s="72" t="str">
        <x:v>参与组合的第二信号。</x:v>
      </x:c>
      <x:c r="E12" s="72" t="str">
        <x:v>见原子规则主表</x:v>
      </x:c>
      <x:c r="F12" s="73" t="str">
        <x:v>跨模块统一31字段</x:v>
      </x:c>
    </x:row>
    <x:row r="13">
      <x:c r="A13" s="71" t="str">
        <x:v>原子规则字段</x:v>
      </x:c>
      <x:c r="B13" s="72" t="str">
        <x:v>required_conditions</x:v>
      </x:c>
      <x:c r="C13" s="72" t="str">
        <x:v>required_conditions</x:v>
      </x:c>
      <x:c r="D13" s="72" t="str">
        <x:v>规则成立必须满足的条件。</x:v>
      </x:c>
      <x:c r="E13" s="72" t="str">
        <x:v>见原子规则主表</x:v>
      </x:c>
      <x:c r="F13" s="73" t="str">
        <x:v>跨模块统一31字段</x:v>
      </x:c>
    </x:row>
    <x:row r="14">
      <x:c r="A14" s="71" t="str">
        <x:v>原子规则字段</x:v>
      </x:c>
      <x:c r="B14" s="72" t="str">
        <x:v>excluded_conditions</x:v>
      </x:c>
      <x:c r="C14" s="72" t="str">
        <x:v>excluded_conditions</x:v>
      </x:c>
      <x:c r="D14" s="72" t="str">
        <x:v>出现这些条件时不得调用或需要停止。</x:v>
      </x:c>
      <x:c r="E14" s="72" t="str">
        <x:v>见原子规则主表</x:v>
      </x:c>
      <x:c r="F14" s="73" t="str">
        <x:v>跨模块统一31字段</x:v>
      </x:c>
    </x:row>
    <x:row r="15">
      <x:c r="A15" s="71" t="str">
        <x:v>原子规则字段</x:v>
      </x:c>
      <x:c r="B15" s="72" t="str">
        <x:v>self_strength_status</x:v>
      </x:c>
      <x:c r="C15" s="72" t="str">
        <x:v>self_strength_status</x:v>
      </x:c>
      <x:c r="D15" s="72" t="str">
        <x:v>日主承载及STATE接口说明。</x:v>
      </x:c>
      <x:c r="E15" s="72" t="str">
        <x:v>见原子规则主表</x:v>
      </x:c>
      <x:c r="F15" s="73" t="str">
        <x:v>跨模块统一31字段</x:v>
      </x:c>
    </x:row>
    <x:row r="16">
      <x:c r="A16" s="71" t="str">
        <x:v>原子规则字段</x:v>
      </x:c>
      <x:c r="B16" s="72" t="str">
        <x:v>spouse_star_status</x:v>
      </x:c>
      <x:c r="C16" s="72" t="str">
        <x:v>spouse_star_status</x:v>
      </x:c>
      <x:c r="D16" s="72" t="str">
        <x:v>夫妻星在本模块中的接口状态。</x:v>
      </x:c>
      <x:c r="E16" s="72" t="str">
        <x:v>见原子规则主表</x:v>
      </x:c>
      <x:c r="F16" s="73" t="str">
        <x:v>跨模块统一31字段</x:v>
      </x:c>
    </x:row>
    <x:row r="17">
      <x:c r="A17" s="71" t="str">
        <x:v>原子规则字段</x:v>
      </x:c>
      <x:c r="B17" s="72" t="str">
        <x:v>palace_signal</x:v>
      </x:c>
      <x:c r="C17" s="72" t="str">
        <x:v>palace_signal</x:v>
      </x:c>
      <x:c r="D17" s="72" t="str">
        <x:v>日支、夫妻宫和宫位动态来源。</x:v>
      </x:c>
      <x:c r="E17" s="72" t="str">
        <x:v>见原子规则主表</x:v>
      </x:c>
      <x:c r="F17" s="73" t="str">
        <x:v>跨模块统一31字段</x:v>
      </x:c>
    </x:row>
    <x:row r="18">
      <x:c r="A18" s="71" t="str">
        <x:v>原子规则字段</x:v>
      </x:c>
      <x:c r="B18" s="72" t="str">
        <x:v>flow_path</x:v>
      </x:c>
      <x:c r="C18" s="72" t="str">
        <x:v>flow_path</x:v>
      </x:c>
      <x:c r="D18" s="72" t="str">
        <x:v>功能转换或处理路径。</x:v>
      </x:c>
      <x:c r="E18" s="72" t="str">
        <x:v>见原子规则主表</x:v>
      </x:c>
      <x:c r="F18" s="73" t="str">
        <x:v>跨模块统一31字段</x:v>
      </x:c>
    </x:row>
    <x:row r="19">
      <x:c r="A19" s="71" t="str">
        <x:v>原子规则字段</x:v>
      </x:c>
      <x:c r="B19" s="72" t="str">
        <x:v>signal_position</x:v>
      </x:c>
      <x:c r="C19" s="72" t="str">
        <x:v>signal_position</x:v>
      </x:c>
      <x:c r="D19" s="72" t="str">
        <x:v>日柱、月柱、年时远近说明。</x:v>
      </x:c>
      <x:c r="E19" s="72" t="str">
        <x:v>见原子规则主表</x:v>
      </x:c>
      <x:c r="F19" s="73" t="str">
        <x:v>跨模块统一31字段</x:v>
      </x:c>
    </x:row>
    <x:row r="20">
      <x:c r="A20" s="71" t="str">
        <x:v>原子规则字段</x:v>
      </x:c>
      <x:c r="B20" s="72" t="str">
        <x:v>root_status</x:v>
      </x:c>
      <x:c r="C20" s="72" t="str">
        <x:v>root_status</x:v>
      </x:c>
      <x:c r="D20" s="72" t="str">
        <x:v>有根、无根、同根透藏等。</x:v>
      </x:c>
      <x:c r="E20" s="72" t="str">
        <x:v>见原子规则主表</x:v>
      </x:c>
      <x:c r="F20" s="73" t="str">
        <x:v>跨模块统一31字段</x:v>
      </x:c>
    </x:row>
    <x:row r="21">
      <x:c r="A21" s="71" t="str">
        <x:v>原子规则字段</x:v>
      </x:c>
      <x:c r="B21" s="72" t="str">
        <x:v>strength_level</x:v>
      </x:c>
      <x:c r="C21" s="72" t="str">
        <x:v>strength_level</x:v>
      </x:c>
      <x:c r="D21" s="72" t="str">
        <x:v>旺、弱、中和和争议状态。</x:v>
      </x:c>
      <x:c r="E21" s="72" t="str">
        <x:v>见原子规则主表</x:v>
      </x:c>
      <x:c r="F21" s="73" t="str">
        <x:v>跨模块统一31字段</x:v>
      </x:c>
    </x:row>
    <x:row r="22">
      <x:c r="A22" s="71" t="str">
        <x:v>原子规则字段</x:v>
      </x:c>
      <x:c r="B22" s="72" t="str">
        <x:v>favorability</x:v>
      </x:c>
      <x:c r="C22" s="72" t="str">
        <x:v>favorability</x:v>
      </x:c>
      <x:c r="D22" s="72" t="str">
        <x:v>喜忌只修正调用体验，不决定好坏。</x:v>
      </x:c>
      <x:c r="E22" s="72" t="str">
        <x:v>见原子规则主表</x:v>
      </x:c>
      <x:c r="F22" s="73" t="str">
        <x:v>跨模块统一31字段</x:v>
      </x:c>
    </x:row>
    <x:row r="23">
      <x:c r="A23" s="71" t="str">
        <x:v>原子规则字段</x:v>
      </x:c>
      <x:c r="B23" s="72" t="str">
        <x:v>transformation_status</x:v>
      </x:c>
      <x:c r="C23" s="72" t="str">
        <x:v>transformation_status</x:v>
      </x:c>
      <x:c r="D23" s="72" t="str">
        <x:v>合化、制化及替换路由状态。</x:v>
      </x:c>
      <x:c r="E23" s="72" t="str">
        <x:v>见原子规则主表</x:v>
      </x:c>
      <x:c r="F23" s="73" t="str">
        <x:v>跨模块统一31字段</x:v>
      </x:c>
    </x:row>
    <x:row r="24">
      <x:c r="A24" s="71" t="str">
        <x:v>原子规则字段</x:v>
      </x:c>
      <x:c r="B24" s="72" t="str">
        <x:v>distance_level</x:v>
      </x:c>
      <x:c r="C24" s="72" t="str">
        <x:v>distance_level</x:v>
      </x:c>
      <x:c r="D24" s="72" t="str">
        <x:v>信号与日柱或关系核心的距离。</x:v>
      </x:c>
      <x:c r="E24" s="72" t="str">
        <x:v>见原子规则主表</x:v>
      </x:c>
      <x:c r="F24" s="73" t="str">
        <x:v>跨模块统一31字段</x:v>
      </x:c>
    </x:row>
    <x:row r="25">
      <x:c r="A25" s="71" t="str">
        <x:v>原子规则字段</x:v>
      </x:c>
      <x:c r="B25" s="72" t="str">
        <x:v>priority</x:v>
      </x:c>
      <x:c r="C25" s="72" t="str">
        <x:v>priority</x:v>
      </x:c>
      <x:c r="D25" s="72" t="str">
        <x:v>规则裁决优先级。</x:v>
      </x:c>
      <x:c r="E25" s="72" t="str">
        <x:v>见原子规则主表</x:v>
      </x:c>
      <x:c r="F25" s="73" t="str">
        <x:v>跨模块统一31字段</x:v>
      </x:c>
    </x:row>
    <x:row r="26">
      <x:c r="A26" s="71" t="str">
        <x:v>原子规则字段</x:v>
      </x:c>
      <x:c r="B26" s="72" t="str">
        <x:v>score_effect</x:v>
      </x:c>
      <x:c r="C26" s="72" t="str">
        <x:v>score_effect</x:v>
      </x:c>
      <x:c r="D26" s="72" t="str">
        <x:v>初始分值、去重、门控或路由作用。</x:v>
      </x:c>
      <x:c r="E26" s="72" t="str">
        <x:v>见原子规则主表</x:v>
      </x:c>
      <x:c r="F26" s="73" t="str">
        <x:v>跨模块统一31字段</x:v>
      </x:c>
    </x:row>
    <x:row r="27">
      <x:c r="A27" s="71" t="str">
        <x:v>原子规则字段</x:v>
      </x:c>
      <x:c r="B27" s="72" t="str">
        <x:v>output_slot</x:v>
      </x:c>
      <x:c r="C27" s="72" t="str">
        <x:v>output_slot</x:v>
      </x:c>
      <x:c r="D27" s="72" t="str">
        <x:v>该规则主要写入的输出字段。</x:v>
      </x:c>
      <x:c r="E27" s="72" t="str">
        <x:v>见原子规则主表</x:v>
      </x:c>
      <x:c r="F27" s="73" t="str">
        <x:v>跨模块统一31字段</x:v>
      </x:c>
    </x:row>
    <x:row r="28">
      <x:c r="A28" s="71" t="str">
        <x:v>原子规则字段</x:v>
      </x:c>
      <x:c r="B28" s="72" t="str">
        <x:v>internal_logic</x:v>
      </x:c>
      <x:c r="C28" s="72" t="str">
        <x:v>internal_logic</x:v>
      </x:c>
      <x:c r="D28" s="72" t="str">
        <x:v>给知识库维护者和开发者的专业解释。</x:v>
      </x:c>
      <x:c r="E28" s="72" t="str">
        <x:v>见原子规则主表</x:v>
      </x:c>
      <x:c r="F28" s="73" t="str">
        <x:v>跨模块统一31字段</x:v>
      </x:c>
    </x:row>
    <x:row r="29">
      <x:c r="A29" s="71" t="str">
        <x:v>原子规则字段</x:v>
      </x:c>
      <x:c r="B29" s="72" t="str">
        <x:v>user_explanation</x:v>
      </x:c>
      <x:c r="C29" s="72" t="str">
        <x:v>user_explanation</x:v>
      </x:c>
      <x:c r="D29" s="72" t="str">
        <x:v>可向用户展示或改写的自然语言。</x:v>
      </x:c>
      <x:c r="E29" s="72" t="str">
        <x:v>见原子规则主表</x:v>
      </x:c>
      <x:c r="F29" s="73" t="str">
        <x:v>跨模块统一31字段</x:v>
      </x:c>
    </x:row>
    <x:row r="30">
      <x:c r="A30" s="71" t="str">
        <x:v>原子规则字段</x:v>
      </x:c>
      <x:c r="B30" s="72" t="str">
        <x:v>forbidden_inference</x:v>
      </x:c>
      <x:c r="C30" s="72" t="str">
        <x:v>forbidden_inference</x:v>
      </x:c>
      <x:c r="D30" s="72" t="str">
        <x:v>禁止由该规则继续推出的结论。</x:v>
      </x:c>
      <x:c r="E30" s="72" t="str">
        <x:v>见原子规则主表</x:v>
      </x:c>
      <x:c r="F30" s="73" t="str">
        <x:v>跨模块统一31字段</x:v>
      </x:c>
    </x:row>
    <x:row r="31">
      <x:c r="A31" s="71" t="str">
        <x:v>原子规则字段</x:v>
      </x:c>
      <x:c r="B31" s="72" t="str">
        <x:v>confidence_base</x:v>
      </x:c>
      <x:c r="C31" s="72" t="str">
        <x:v>confidence_base</x:v>
      </x:c>
      <x:c r="D31" s="72" t="str">
        <x:v>规则初始置信等级。</x:v>
      </x:c>
      <x:c r="E31" s="72" t="str">
        <x:v>见原子规则主表</x:v>
      </x:c>
      <x:c r="F31" s="73" t="str">
        <x:v>跨模块统一31字段</x:v>
      </x:c>
    </x:row>
    <x:row r="32">
      <x:c r="A32" s="71" t="str">
        <x:v>原子规则字段</x:v>
      </x:c>
      <x:c r="B32" s="72" t="str">
        <x:v>validation_status</x:v>
      </x:c>
      <x:c r="C32" s="72" t="str">
        <x:v>validation_status</x:v>
      </x:c>
      <x:c r="D32" s="72" t="str">
        <x:v>待验证、已验证、需修改或停用。</x:v>
      </x:c>
      <x:c r="E32" s="72" t="str">
        <x:v>见原子规则主表</x:v>
      </x:c>
      <x:c r="F32" s="73" t="str">
        <x:v>跨模块统一31字段</x:v>
      </x:c>
    </x:row>
    <x:row r="33">
      <x:c r="A33" s="71" t="str">
        <x:v>原子规则字段</x:v>
      </x:c>
      <x:c r="B33" s="72" t="str">
        <x:v>case_refs</x:v>
      </x:c>
      <x:c r="C33" s="72" t="str">
        <x:v>case_refs</x:v>
      </x:c>
      <x:c r="D33" s="72" t="str">
        <x:v>支持案例和反例编号。</x:v>
      </x:c>
      <x:c r="E33" s="72" t="str">
        <x:v>见原子规则主表</x:v>
      </x:c>
      <x:c r="F33" s="73" t="str">
        <x:v>跨模块统一31字段</x:v>
      </x:c>
    </x:row>
    <x:row r="34">
      <x:c r="A34" s="71" t="str">
        <x:v>原子规则字段</x:v>
      </x:c>
      <x:c r="B34" s="72" t="str">
        <x:v>notes</x:v>
      </x:c>
      <x:c r="C34" s="72" t="str">
        <x:v>notes</x:v>
      </x:c>
      <x:c r="D34" s="72" t="str">
        <x:v>工程备注、规则组和provisional标记。</x:v>
      </x:c>
      <x:c r="E34" s="72" t="str">
        <x:v>见原子规则主表</x:v>
      </x:c>
      <x:c r="F34" s="73" t="str">
        <x:v>跨模块统一31字段</x:v>
      </x:c>
    </x:row>
    <x:row r="35">
      <x:c r="A35" s="71" t="str">
        <x:v>原子规则字段</x:v>
      </x:c>
      <x:c r="B35" s="72" t="str">
        <x:v>version</x:v>
      </x:c>
      <x:c r="C35" s="72" t="str">
        <x:v>version</x:v>
      </x:c>
      <x:c r="D35" s="72" t="str">
        <x:v>当前规则版本。</x:v>
      </x:c>
      <x:c r="E35" s="72" t="str">
        <x:v>见原子规则主表</x:v>
      </x:c>
      <x:c r="F35" s="73" t="str">
        <x:v>跨模块统一31字段</x:v>
      </x:c>
    </x:row>
    <x:row r="36">
      <x:c r="A36" s="71" t="str">
        <x:v>输出字段</x:v>
      </x:c>
      <x:c r="B36" s="72" t="str">
        <x:v>primary_conflict_channel</x:v>
      </x:c>
      <x:c r="C36" s="72" t="str">
        <x:v>主冲突通道</x:v>
      </x:c>
      <x:c r="D36" s="72" t="str">
        <x:v>分歧中最主要的处理功能</x:v>
      </x:c>
      <x:c r="E36" s="72" t="str">
        <x:v>CF01—CF10／系统级回退</x:v>
      </x:c>
      <x:c r="F36" s="73" t="str">
        <x:v>M3总合成字段</x:v>
      </x:c>
    </x:row>
    <x:row r="37">
      <x:c r="A37" s="71" t="str">
        <x:v>输出字段</x:v>
      </x:c>
      <x:c r="B37" s="72" t="str">
        <x:v>secondary_conflict_channel</x:v>
      </x:c>
      <x:c r="C37" s="72" t="str">
        <x:v>次冲突通道</x:v>
      </x:c>
      <x:c r="D37" s="72" t="str">
        <x:v>功能独立、达到门槛的补充方式</x:v>
      </x:c>
      <x:c r="E37" s="72" t="str">
        <x:v>CF01—CF10／空</x:v>
      </x:c>
      <x:c r="F37" s="73" t="str">
        <x:v>M3总合成字段</x:v>
      </x:c>
    </x:row>
    <x:row r="38">
      <x:c r="A38" s="71" t="str">
        <x:v>输出字段</x:v>
      </x:c>
      <x:c r="B38" s="72" t="str">
        <x:v>conflict_pattern</x:v>
      </x:c>
      <x:c r="C38" s="72" t="str">
        <x:v>冲突处理模式</x:v>
      </x:c>
      <x:c r="D38" s="72" t="str">
        <x:v>主通道与过程维度合成的模式</x:v>
      </x:c>
      <x:c r="E38" s="72" t="str">
        <x:v>FP01—FP12</x:v>
      </x:c>
      <x:c r="F38" s="73" t="str">
        <x:v>M3总合成字段</x:v>
      </x:c>
    </x:row>
    <x:row r="39">
      <x:c r="A39" s="71" t="str">
        <x:v>输出字段</x:v>
      </x:c>
      <x:c r="B39" s="72" t="str">
        <x:v>first_response</x:v>
      </x:c>
      <x:c r="C39" s="72" t="str">
        <x:v>第一反应</x:v>
      </x:c>
      <x:c r="D39" s="72" t="str">
        <x:v>分歧刚出现时最先启动的动作或信息处理</x:v>
      </x:c>
      <x:c r="E39" s="72" t="str">
        <x:v>自然语言／通道候选</x:v>
      </x:c>
      <x:c r="F39" s="73" t="str">
        <x:v>M3总合成字段</x:v>
      </x:c>
    </x:row>
    <x:row r="40">
      <x:c r="A40" s="71" t="str">
        <x:v>输出字段</x:v>
      </x:c>
      <x:c r="B40" s="72" t="str">
        <x:v>attention_focus</x:v>
      </x:c>
      <x:c r="C40" s="72" t="str">
        <x:v>注意焦点</x:v>
      </x:c>
      <x:c r="D40" s="72" t="str">
        <x:v>首先关注立场、事实、感受或任务</x:v>
      </x:c>
      <x:c r="E40" s="72" t="str">
        <x:v>FQ02</x:v>
      </x:c>
      <x:c r="F40" s="73" t="str">
        <x:v>M3总合成字段</x:v>
      </x:c>
    </x:row>
    <x:row r="41">
      <x:c r="A41" s="71" t="str">
        <x:v>输出字段</x:v>
      </x:c>
      <x:c r="B41" s="72" t="str">
        <x:v>fact_emotion_order</x:v>
      </x:c>
      <x:c r="C41" s="72" t="str">
        <x:v>事实情绪顺序</x:v>
      </x:c>
      <x:c r="D41" s="72" t="str">
        <x:v>事实与感受的先后或往返</x:v>
      </x:c>
      <x:c r="E41" s="72" t="str">
        <x:v>FQ03</x:v>
      </x:c>
      <x:c r="F41" s="73" t="str">
        <x:v>M3总合成字段</x:v>
      </x:c>
    </x:row>
    <x:row r="42">
      <x:c r="A42" s="71" t="str">
        <x:v>输出字段</x:v>
      </x:c>
      <x:c r="B42" s="72" t="str">
        <x:v>position_expression</x:v>
      </x:c>
      <x:c r="C42" s="72" t="str">
        <x:v>立场需求表达</x:v>
      </x:c>
      <x:c r="D42" s="72" t="str">
        <x:v>如何说明不同意见、需求和限制</x:v>
      </x:c>
      <x:c r="E42" s="72" t="str">
        <x:v>FQ04</x:v>
      </x:c>
      <x:c r="F42" s="73" t="str">
        <x:v>M3总合成字段</x:v>
      </x:c>
    </x:row>
    <x:row r="43">
      <x:c r="A43" s="71" t="str">
        <x:v>输出字段</x:v>
      </x:c>
      <x:c r="B43" s="72" t="str">
        <x:v>responsibility_handling</x:v>
      </x:c>
      <x:c r="C43" s="72" t="str">
        <x:v>责任处理</x:v>
      </x:c>
      <x:c r="D43" s="72" t="str">
        <x:v>怎样核对、拆分或重订责任</x:v>
      </x:c>
      <x:c r="E43" s="72" t="str">
        <x:v>FQ05</x:v>
      </x:c>
      <x:c r="F43" s="73" t="str">
        <x:v>M3总合成字段</x:v>
      </x:c>
    </x:row>
    <x:row r="44">
      <x:c r="A44" s="71" t="str">
        <x:v>输出字段</x:v>
      </x:c>
      <x:c r="B44" s="72" t="str">
        <x:v>solution_style</x:v>
      </x:c>
      <x:c r="C44" s="72" t="str">
        <x:v>方案生成</x:v>
      </x:c>
      <x:c r="D44" s="72" t="str">
        <x:v>怎样形成单案、多案或试行方案</x:v>
      </x:c>
      <x:c r="E44" s="72" t="str">
        <x:v>FQ06</x:v>
      </x:c>
      <x:c r="F44" s="73" t="str">
        <x:v>M3总合成字段</x:v>
      </x:c>
    </x:row>
    <x:row r="45">
      <x:c r="A45" s="71" t="str">
        <x:v>输出字段</x:v>
      </x:c>
      <x:c r="B45" s="72" t="str">
        <x:v>pause_style</x:v>
      </x:c>
      <x:c r="C45" s="72" t="str">
        <x:v>暂停方式</x:v>
      </x:c>
      <x:c r="D45" s="72" t="str">
        <x:v>暂停目的、条件和回归候选</x:v>
      </x:c>
      <x:c r="E45" s="72" t="str">
        <x:v>FQ07</x:v>
      </x:c>
      <x:c r="F45" s="73" t="str">
        <x:v>M3总合成字段</x:v>
      </x:c>
    </x:row>
    <x:row r="46">
      <x:c r="A46" s="71" t="str">
        <x:v>输出字段</x:v>
      </x:c>
      <x:c r="B46" s="72" t="str">
        <x:v>response_reception</x:v>
      </x:c>
      <x:c r="C46" s="72" t="str">
        <x:v>接收对方回应</x:v>
      </x:c>
      <x:c r="D46" s="72" t="str">
        <x:v>先听、边听边校准或先验证事实</x:v>
      </x:c>
      <x:c r="E46" s="72" t="str">
        <x:v>FQ08</x:v>
      </x:c>
      <x:c r="F46" s="73" t="str">
        <x:v>M3总合成字段</x:v>
      </x:c>
    </x:row>
    <x:row r="47">
      <x:c r="A47" s="71" t="str">
        <x:v>输出字段</x:v>
      </x:c>
      <x:c r="B47" s="72" t="str">
        <x:v>conflict_end_condition</x:v>
      </x:c>
      <x:c r="C47" s="72" t="str">
        <x:v>阶段结束条件</x:v>
      </x:c>
      <x:c r="D47" s="72" t="str">
        <x:v>什么条件下认为这一轮可先结束</x:v>
      </x:c>
      <x:c r="E47" s="72" t="str">
        <x:v>FQ09</x:v>
      </x:c>
      <x:c r="F47" s="73" t="str">
        <x:v>M3总合成字段</x:v>
      </x:c>
    </x:row>
    <x:row r="48">
      <x:c r="A48" s="71" t="str">
        <x:v>输出字段</x:v>
      </x:c>
      <x:c r="B48" s="72" t="str">
        <x:v>review_style</x:v>
      </x:c>
      <x:c r="C48" s="72" t="str">
        <x:v>复盘方式</x:v>
      </x:c>
      <x:c r="D48" s="72" t="str">
        <x:v>即时、事后、事件触发或未定</x:v>
      </x:c>
      <x:c r="E48" s="72" t="str">
        <x:v>FQ10</x:v>
      </x:c>
      <x:c r="F48" s="73" t="str">
        <x:v>M3总合成字段</x:v>
      </x:c>
    </x:row>
    <x:row r="49">
      <x:c r="A49" s="71" t="str">
        <x:v>输出字段</x:v>
      </x:c>
      <x:c r="B49" s="72" t="str">
        <x:v>conflict_sequence</x:v>
      </x:c>
      <x:c r="C49" s="72" t="str">
        <x:v>处理顺序</x:v>
      </x:c>
      <x:c r="D49" s="72" t="str">
        <x:v>FO／FS序列</x:v>
      </x:c>
      <x:c r="E49" s="72" t="str">
        <x:v>FO01—FO12；FS01—FS08</x:v>
      </x:c>
      <x:c r="F49" s="73" t="str">
        <x:v>M3总合成字段</x:v>
      </x:c>
    </x:row>
    <x:row r="50">
      <x:c r="A50" s="71" t="str">
        <x:v>输出字段</x:v>
      </x:c>
      <x:c r="B50" s="72" t="str">
        <x:v>conflict_path</x:v>
      </x:c>
      <x:c r="C50" s="72" t="str">
        <x:v>功能路径</x:v>
      </x:c>
      <x:c r="D50" s="72" t="str">
        <x:v>不同系统之间的有效转换</x:v>
      </x:c>
      <x:c r="E50" s="72" t="str">
        <x:v>FF01—FF08</x:v>
      </x:c>
      <x:c r="F50" s="73" t="str">
        <x:v>M3总合成字段</x:v>
      </x:c>
    </x:row>
    <x:row r="51">
      <x:c r="A51" s="71" t="str">
        <x:v>输出字段</x:v>
      </x:c>
      <x:c r="B51" s="72" t="str">
        <x:v>palace_rhythm</x:v>
      </x:c>
      <x:c r="C51" s="72" t="str">
        <x:v>宫位节奏</x:v>
      </x:c>
      <x:c r="D51" s="72" t="str">
        <x:v>合冲刑害破的中性节奏修正</x:v>
      </x:c>
      <x:c r="E51" s="72" t="str">
        <x:v>合／冲／刑／害／破</x:v>
      </x:c>
      <x:c r="F51" s="73" t="str">
        <x:v>M3总合成字段</x:v>
      </x:c>
    </x:row>
    <x:row r="52">
      <x:c r="A52" s="71" t="str">
        <x:v>输出字段</x:v>
      </x:c>
      <x:c r="B52" s="72" t="str">
        <x:v>state_shift</x:v>
      </x:c>
      <x:c r="C52" s="72" t="str">
        <x:v>状态切换</x:v>
      </x:c>
      <x:c r="D52" s="72" t="str">
        <x:v>平稳和压力状态是否改变通道</x:v>
      </x:c>
      <x:c r="E52" s="72" t="str">
        <x:v>由SC与STATE合成</x:v>
      </x:c>
      <x:c r="F52" s="73" t="str">
        <x:v>M3总合成字段</x:v>
      </x:c>
    </x:row>
    <x:row r="53">
      <x:c r="A53" s="71" t="str">
        <x:v>输出字段</x:v>
      </x:c>
      <x:c r="B53" s="72" t="str">
        <x:v>confidence</x:v>
      </x:c>
      <x:c r="C53" s="72" t="str">
        <x:v>置信度</x:v>
      </x:c>
      <x:c r="D53" s="72" t="str">
        <x:v>内部证据充分程度</x:v>
      </x:c>
      <x:c r="E53" s="72" t="str">
        <x:v>高／中高／中／中低／低／停止</x:v>
      </x:c>
      <x:c r="F53" s="73" t="str">
        <x:v>M3总合成字段</x:v>
      </x:c>
    </x:row>
    <x:row r="54">
      <x:c r="A54" s="71" t="str">
        <x:v>输出字段</x:v>
      </x:c>
      <x:c r="B54" s="72" t="str">
        <x:v>provenance</x:v>
      </x:c>
      <x:c r="C54" s="72" t="str">
        <x:v>来源记录</x:v>
      </x:c>
      <x:c r="D54" s="72" t="str">
        <x:v>source_id、去重和模块接口</x:v>
      </x:c>
      <x:c r="E54" s="72" t="str">
        <x:v>来源ID列表</x:v>
      </x:c>
      <x:c r="F54" s="73" t="str">
        <x:v>M3总合成字段</x:v>
      </x:c>
    </x:row>
    <x:row r="55">
      <x:c r="A55" s="71" t="str">
        <x:v>输出字段</x:v>
      </x:c>
      <x:c r="B55" s="72" t="str">
        <x:v>risk_route</x:v>
      </x:c>
      <x:c r="C55" s="72" t="str">
        <x:v>风险路由</x:v>
      </x:c>
      <x:c r="D55" s="72" t="str">
        <x:v>需交给M4的过强或失衡候选</x:v>
      </x:c>
      <x:c r="E55" s="72" t="str">
        <x:v>不直接展示风险结论</x:v>
      </x:c>
      <x:c r="F55" s="73" t="str">
        <x:v>M3总合成字段</x:v>
      </x:c>
    </x:row>
    <x:row r="56">
      <x:c r="A56" s="71" t="str">
        <x:v>输出字段</x:v>
      </x:c>
      <x:c r="B56" s="72" t="str">
        <x:v>report_status</x:v>
      </x:c>
      <x:c r="C56" s="72" t="str">
        <x:v>报告状态</x:v>
      </x:c>
      <x:c r="D56" s="72" t="str">
        <x:v>ready、limited、stopped</x:v>
      </x:c>
      <x:c r="E56" s="72" t="str">
        <x:v>就绪／有限回退／停止</x:v>
      </x:c>
      <x:c r="F56" s="73" t="str">
        <x:v>M3总合成字段</x:v>
      </x:c>
    </x:row>
    <x:row r="57">
      <x:c r="A57" s="71" t="str">
        <x:v>输出字段</x:v>
      </x:c>
      <x:c r="B57" s="72" t="str">
        <x:v>boundary_note</x:v>
      </x:c>
      <x:c r="C57" s="72" t="str">
        <x:v>边界说明</x:v>
      </x:c>
      <x:c r="D57" s="72" t="str">
        <x:v>防止人格化、病理化和结果化</x:v>
      </x:c>
      <x:c r="E57" s="72" t="str">
        <x:v>固定附带</x:v>
      </x:c>
      <x:c r="F57" s="73" t="str">
        <x:v>M3总合成字段</x:v>
      </x:c>
    </x:row>
    <x:row r="58">
      <x:c r="A58" s="71" t="str">
        <x:v>输出字段</x:v>
      </x:c>
      <x:c r="B58" s="72" t="str">
        <x:v>report_template</x:v>
      </x:c>
      <x:c r="C58" s="72" t="str">
        <x:v>报告模板</x:v>
      </x:c>
      <x:c r="D58" s="72" t="str">
        <x:v>单通道、双阶段、低置信或停止版</x:v>
      </x:c>
      <x:c r="E58" s="72" t="str">
        <x:v>SO17—SO22</x:v>
      </x:c>
      <x:c r="F58" s="73" t="str">
        <x:v>M3总合成字段</x:v>
      </x:c>
    </x:row>
    <x:row r="59">
      <x:c r="A59" s="71" t="str">
        <x:v>十神通道</x:v>
      </x:c>
      <x:c r="B59" s="72" t="str">
        <x:v>CF01</x:v>
      </x:c>
      <x:c r="C59" s="72" t="str">
        <x:v>比肩｜平等立场</x:v>
      </x:c>
      <x:c r="D59" s="72" t="str">
        <x:v>以平等、各自负责和保留双方决定权的方式处理分歧</x:v>
      </x:c>
      <x:c r="E59" s="72" t="str">
        <x:v>先说明自己的立场，也要求对方把立场和责任说清楚</x:v>
      </x:c>
      <x:c r="F59" s="73" t="str">
        <x:v>CF01—CF10</x:v>
      </x:c>
    </x:row>
    <x:row r="60">
      <x:c r="A60" s="71" t="str">
        <x:v>十神通道</x:v>
      </x:c>
      <x:c r="B60" s="72" t="str">
        <x:v>CF02</x:v>
      </x:c>
      <x:c r="C60" s="72" t="str">
        <x:v>劫财｜即时介入</x:v>
      </x:c>
      <x:c r="D60" s="72" t="str">
        <x:v>通过快速回应、共同参与和边处理边沟通进入分歧</x:v>
      </x:c>
      <x:c r="E60" s="72" t="str">
        <x:v>先介入现场、提出即时回应或拉着对方一起处理</x:v>
      </x:c>
      <x:c r="F60" s="73" t="str">
        <x:v>CF01—CF10</x:v>
      </x:c>
    </x:row>
    <x:row r="61">
      <x:c r="A61" s="71" t="str">
        <x:v>十神通道</x:v>
      </x:c>
      <x:c r="B61" s="72" t="str">
        <x:v>CF03</x:v>
      </x:c>
      <x:c r="C61" s="72" t="str">
        <x:v>食神｜缓冲降温</x:v>
      </x:c>
      <x:c r="D61" s="72" t="str">
        <x:v>先降低交流强度、恢复可谈状态，再处理具体分歧</x:v>
      </x:c>
      <x:c r="E61" s="72" t="str">
        <x:v>先放慢节奏、调整语气、缓和氛围或处理基本舒适度</x:v>
      </x:c>
      <x:c r="F61" s="73" t="str">
        <x:v>CF01—CF10</x:v>
      </x:c>
    </x:row>
    <x:row r="62">
      <x:c r="A62" s="71" t="str">
        <x:v>十神通道</x:v>
      </x:c>
      <x:c r="B62" s="72" t="str">
        <x:v>CF04</x:v>
      </x:c>
      <x:c r="C62" s="72" t="str">
        <x:v>伤官｜分析澄清</x:v>
      </x:c>
      <x:c r="D62" s="72" t="str">
        <x:v>通过提问、拆解、解释和指出矛盾点处理分歧</x:v>
      </x:c>
      <x:c r="E62" s="72" t="str">
        <x:v>先把不一致之处说出来，追问事实、逻辑或真实原因</x:v>
      </x:c>
      <x:c r="F62" s="73" t="str">
        <x:v>CF01—CF10</x:v>
      </x:c>
    </x:row>
    <x:row r="63">
      <x:c r="A63" s="71" t="str">
        <x:v>十神通道</x:v>
      </x:c>
      <x:c r="B63" s="72" t="str">
        <x:v>CF05</x:v>
      </x:c>
      <x:c r="C63" s="72" t="str">
        <x:v>正财｜现实校准</x:v>
      </x:c>
      <x:c r="D63" s="72" t="str">
        <x:v>把分歧落到时间、资源、安排、行为和可持续执行上</x:v>
      </x:c>
      <x:c r="E63" s="72" t="str">
        <x:v>先核对发生了什么、谁做了什么、现实条件允许什么</x:v>
      </x:c>
      <x:c r="F63" s="73" t="str">
        <x:v>CF01—CF10</x:v>
      </x:c>
    </x:row>
    <x:row r="64">
      <x:c r="A64" s="71" t="str">
        <x:v>十神通道</x:v>
      </x:c>
      <x:c r="B64" s="72" t="str">
        <x:v>CF06</x:v>
      </x:c>
      <x:c r="C64" s="72" t="str">
        <x:v>偏财｜灵活换案</x:v>
      </x:c>
      <x:c r="D64" s="72" t="str">
        <x:v>通过调整方式、寻找替代方案和改变互动情境处理分歧</x:v>
      </x:c>
      <x:c r="E64" s="72" t="str">
        <x:v>先寻找更灵活的处理办法，改变时间、场景、资源或互动方式</x:v>
      </x:c>
      <x:c r="F64" s="73" t="str">
        <x:v>CF01—CF10</x:v>
      </x:c>
    </x:row>
    <x:row r="65">
      <x:c r="A65" s="71" t="str">
        <x:v>十神通道</x:v>
      </x:c>
      <x:c r="B65" s="72" t="str">
        <x:v>CF07</x:v>
      </x:c>
      <x:c r="C65" s="72" t="str">
        <x:v>正官｜规则复核</x:v>
      </x:c>
      <x:c r="D65" s="72" t="str">
        <x:v>对照承诺、规则、角色和责任边界处理分歧</x:v>
      </x:c>
      <x:c r="E65" s="72" t="str">
        <x:v>先确认原先怎样约定、各自负责什么、哪些规则需要执行或重订</x:v>
      </x:c>
      <x:c r="F65" s="73" t="str">
        <x:v>CF01—CF10</x:v>
      </x:c>
    </x:row>
    <x:row r="66">
      <x:c r="A66" s="71" t="str">
        <x:v>十神通道</x:v>
      </x:c>
      <x:c r="B66" s="72" t="str">
        <x:v>CF08</x:v>
      </x:c>
      <x:c r="C66" s="72" t="str">
        <x:v>七杀｜决断处置</x:v>
      </x:c>
      <x:c r="D66" s="72" t="str">
        <x:v>先处理紧急问题、划定停止线或快速推动关键决定</x:v>
      </x:c>
      <x:c r="E66" s="72" t="str">
        <x:v>先止损、做决定、处理风险或把需要立即解决的部分控制住</x:v>
      </x:c>
      <x:c r="F66" s="73" t="str">
        <x:v>CF01—CF10</x:v>
      </x:c>
    </x:row>
    <x:row r="67">
      <x:c r="A67" s="71" t="str">
        <x:v>十神通道</x:v>
      </x:c>
      <x:c r="B67" s="72" t="str">
        <x:v>CF09</x:v>
      </x:c>
      <x:c r="C67" s="72" t="str">
        <x:v>正印｜倾听承接</x:v>
      </x:c>
      <x:c r="D67" s="72" t="str">
        <x:v>先理解感受、背景和双方为什么会这样反应，再形成回应</x:v>
      </x:c>
      <x:c r="E67" s="72" t="str">
        <x:v>先听、确认感受、补足背景信息或让双方恢复安全感</x:v>
      </x:c>
      <x:c r="F67" s="73" t="str">
        <x:v>CF01—CF10</x:v>
      </x:c>
    </x:row>
    <x:row r="68">
      <x:c r="A68" s="71" t="str">
        <x:v>十神通道</x:v>
      </x:c>
      <x:c r="B68" s="72" t="str">
        <x:v>CF10</x:v>
      </x:c>
      <x:c r="C68" s="72" t="str">
        <x:v>偏印｜暂停内化</x:v>
      </x:c>
      <x:c r="D68" s="72" t="str">
        <x:v>先独立整理复杂信息、区分真正问题，再选择性回应</x:v>
      </x:c>
      <x:c r="E68" s="72" t="str">
        <x:v>先暂停、抽离现场噪音、独立分析或只回应最核心部分</x:v>
      </x:c>
      <x:c r="F68" s="73" t="str">
        <x:v>CF01—CF10</x:v>
      </x:c>
    </x:row>
    <x:row r="69">
      <x:c r="A69" s="71" t="str">
        <x:v>模式代码</x:v>
      </x:c>
      <x:c r="B69" s="72" t="str">
        <x:v>FP01</x:v>
      </x:c>
      <x:c r="C69" s="72" t="str">
        <x:v>平等对谈型</x:v>
      </x:c>
      <x:c r="D69" s="72" t="str">
        <x:v>先说明各自观点和决定权，再协商共同方案</x:v>
      </x:c>
      <x:c r="E69" s="72" t="str">
        <x:v>你的分歧处理更接近平等对谈型：先把双方立场和权限说清，再寻找都能参与的处理方式。</x:v>
      </x:c>
      <x:c r="F69" s="73" t="str">
        <x:v>FP01—FP12</x:v>
      </x:c>
    </x:row>
    <x:row r="70">
      <x:c r="A70" s="71" t="str">
        <x:v>模式代码</x:v>
      </x:c>
      <x:c r="B70" s="72" t="str">
        <x:v>FP02</x:v>
      </x:c>
      <x:c r="C70" s="72" t="str">
        <x:v>即时协作型</x:v>
      </x:c>
      <x:c r="D70" s="72" t="str">
        <x:v>通过快速回应、共同执行和现场调整推进处理</x:v>
      </x:c>
      <x:c r="E70" s="72" t="str">
        <x:v>你的分歧处理更接近即时协作型：问题出现时先一起做、一起调，再在行动中补充说明。</x:v>
      </x:c>
      <x:c r="F70" s="73" t="str">
        <x:v>FP01—FP12</x:v>
      </x:c>
    </x:row>
    <x:row r="71">
      <x:c r="A71" s="71" t="str">
        <x:v>模式代码</x:v>
      </x:c>
      <x:c r="B71" s="72" t="str">
        <x:v>FP03</x:v>
      </x:c>
      <x:c r="C71" s="72" t="str">
        <x:v>缓冲降温型</x:v>
      </x:c>
      <x:c r="D71" s="72" t="str">
        <x:v>先降低强度、恢复可谈状态，再进入具体议题</x:v>
      </x:c>
      <x:c r="E71" s="72" t="str">
        <x:v>你的分歧处理更接近缓冲降温型：先让沟通恢复到双方能承受的程度，再处理事情本身。</x:v>
      </x:c>
      <x:c r="F71" s="73" t="str">
        <x:v>FP01—FP12</x:v>
      </x:c>
    </x:row>
    <x:row r="72">
      <x:c r="A72" s="71" t="str">
        <x:v>模式代码</x:v>
      </x:c>
      <x:c r="B72" s="72" t="str">
        <x:v>FP04</x:v>
      </x:c>
      <x:c r="C72" s="72" t="str">
        <x:v>分析澄清型</x:v>
      </x:c>
      <x:c r="D72" s="72" t="str">
        <x:v>先拆解问题、核对事实和逻辑，再形成处理意见</x:v>
      </x:c>
      <x:c r="E72" s="72" t="str">
        <x:v>你的分歧处理更接近分析澄清型：你需要先知道真正的问题在哪里，才愿意进入方案。</x:v>
      </x:c>
      <x:c r="F72" s="73" t="str">
        <x:v>FP01—FP12</x:v>
      </x:c>
    </x:row>
    <x:row r="73">
      <x:c r="A73" s="71" t="str">
        <x:v>模式代码</x:v>
      </x:c>
      <x:c r="B73" s="72" t="str">
        <x:v>FP05</x:v>
      </x:c>
      <x:c r="C73" s="72" t="str">
        <x:v>现实校准型</x:v>
      </x:c>
      <x:c r="D73" s="72" t="str">
        <x:v>把分歧落到时间、资源、分工和后续执行</x:v>
      </x:c>
      <x:c r="E73" s="72" t="str">
        <x:v>你的分歧处理更接近现实校准型：你更看重具体安排能否调整、后续能否真正做到。</x:v>
      </x:c>
      <x:c r="F73" s="73" t="str">
        <x:v>FP01—FP12</x:v>
      </x:c>
    </x:row>
    <x:row r="74">
      <x:c r="A74" s="71" t="str">
        <x:v>模式代码</x:v>
      </x:c>
      <x:c r="B74" s="72" t="str">
        <x:v>FP06</x:v>
      </x:c>
      <x:c r="C74" s="72" t="str">
        <x:v>灵活换案型</x:v>
      </x:c>
      <x:c r="D74" s="72" t="str">
        <x:v>通过替代方案、场景调整和灵活资源恢复可行动空间</x:v>
      </x:c>
      <x:c r="E74" s="72" t="str">
        <x:v>你的分歧处理更接近灵活换案型：与其固守一种办法，你更愿意寻找双方能继续尝试的新方案。</x:v>
      </x:c>
      <x:c r="F74" s="73" t="str">
        <x:v>FP01—FP12</x:v>
      </x:c>
    </x:row>
    <x:row r="75">
      <x:c r="A75" s="71" t="str">
        <x:v>模式代码</x:v>
      </x:c>
      <x:c r="B75" s="72" t="str">
        <x:v>FP07</x:v>
      </x:c>
      <x:c r="C75" s="72" t="str">
        <x:v>规则复核型</x:v>
      </x:c>
      <x:c r="D75" s="72" t="str">
        <x:v>回到承诺、角色和责任边界，确认需执行或重订的规则</x:v>
      </x:c>
      <x:c r="E75" s="72" t="str">
        <x:v>你的分歧处理更接近规则复核型：你会回到约定、责任和角色，确认问题应怎样被规范处理。</x:v>
      </x:c>
      <x:c r="F75" s="73" t="str">
        <x:v>FP01—FP12</x:v>
      </x:c>
    </x:row>
    <x:row r="76">
      <x:c r="A76" s="71" t="str">
        <x:v>模式代码</x:v>
      </x:c>
      <x:c r="B76" s="72" t="str">
        <x:v>FP08</x:v>
      </x:c>
      <x:c r="C76" s="72" t="str">
        <x:v>决断处理型</x:v>
      </x:c>
      <x:c r="D76" s="72" t="str">
        <x:v>先止损、处理紧急问题或划定停止线，再补充讨论</x:v>
      </x:c>
      <x:c r="E76" s="72" t="str">
        <x:v>你的分歧处理更接近决断处理型：关键时刻先把必须处理的部分控制住，再回头谈细节。</x:v>
      </x:c>
      <x:c r="F76" s="73" t="str">
        <x:v>FP01—FP12</x:v>
      </x:c>
    </x:row>
    <x:row r="77">
      <x:c r="A77" s="71" t="str">
        <x:v>模式代码</x:v>
      </x:c>
      <x:c r="B77" s="72" t="str">
        <x:v>FP09</x:v>
      </x:c>
      <x:c r="C77" s="72" t="str">
        <x:v>倾听承接型</x:v>
      </x:c>
      <x:c r="D77" s="72" t="str">
        <x:v>先理解感受和背景，再进入立场、事实与方案</x:v>
      </x:c>
      <x:c r="E77" s="72" t="str">
        <x:v>你的分歧处理更接近倾听承接型：你通常先让双方被听见，再决定问题怎样继续。</x:v>
      </x:c>
      <x:c r="F77" s="73" t="str">
        <x:v>FP01—FP12</x:v>
      </x:c>
    </x:row>
    <x:row r="78">
      <x:c r="A78" s="71" t="str">
        <x:v>模式代码</x:v>
      </x:c>
      <x:c r="B78" s="72" t="str">
        <x:v>FP10</x:v>
      </x:c>
      <x:c r="C78" s="72" t="str">
        <x:v>暂停内化型</x:v>
      </x:c>
      <x:c r="D78" s="72" t="str">
        <x:v>先独立整理复杂信息，再以精简、选择性的方式回应</x:v>
      </x:c>
      <x:c r="E78" s="72" t="str">
        <x:v>你的分歧处理更接近暂停内化型：你需要先想清楚真正问题，再回到沟通。</x:v>
      </x:c>
      <x:c r="F78" s="73" t="str">
        <x:v>FP01—FP12</x:v>
      </x:c>
    </x:row>
    <x:row r="79">
      <x:c r="A79" s="71" t="str">
        <x:v>模式代码</x:v>
      </x:c>
      <x:c r="B79" s="72" t="str">
        <x:v>FP11</x:v>
      </x:c>
      <x:c r="C79" s="72" t="str">
        <x:v>双阶段协同型</x:v>
      </x:c>
      <x:c r="D79" s="72" t="str">
        <x:v>一项负责启动或降温，另一项负责完成方案或责任</x:v>
      </x:c>
      <x:c r="E79" s="72" t="str">
        <x:v>你的分歧处理更接近双阶段协同型：第一种方式负责让问题进入可处理状态，第二种方式负责把事情完成。</x:v>
      </x:c>
      <x:c r="F79" s="73" t="str">
        <x:v>FP01—FP12</x:v>
      </x:c>
    </x:row>
    <x:row r="80">
      <x:c r="A80" s="71" t="str">
        <x:v>模式代码</x:v>
      </x:c>
      <x:c r="B80" s="72" t="str">
        <x:v>FP12</x:v>
      </x:c>
      <x:c r="C80" s="72" t="str">
        <x:v>情境切换型</x:v>
      </x:c>
      <x:c r="D80" s="72" t="str">
        <x:v>不同议题、强度或关系阶段会改变第一反应和处理顺序</x:v>
      </x:c>
      <x:c r="E80" s="72" t="str">
        <x:v>你的分歧处理更接近情境切换型：日常小分歧和高压力事件可能调用不同方式。</x:v>
      </x:c>
      <x:c r="F80" s="73" t="str">
        <x:v>FP01—FP12</x:v>
      </x:c>
    </x:row>
    <x:row r="81">
      <x:c r="A81" s="71" t="str">
        <x:v>顺序代码</x:v>
      </x:c>
      <x:c r="B81" s="72" t="str">
        <x:v>FO01</x:v>
      </x:c>
      <x:c r="C81" s="72" t="str">
        <x:v>立场先行</x:v>
      </x:c>
      <x:c r="D81" s="72" t="str">
        <x:v>先说明各自观点、权限和不能接受的部分，再协商。</x:v>
      </x:c>
      <x:c r="E81" s="72" t="str">
        <x:v>分歧出现时，你更容易先把自己的立场和边界说清，再进入具体协商。</x:v>
      </x:c>
      <x:c r="F81" s="73" t="str">
        <x:v>FO01—FO12</x:v>
      </x:c>
    </x:row>
    <x:row r="82">
      <x:c r="A82" s="71" t="str">
        <x:v>顺序代码</x:v>
      </x:c>
      <x:c r="B82" s="72" t="str">
        <x:v>FO02</x:v>
      </x:c>
      <x:c r="C82" s="72" t="str">
        <x:v>事实先行</x:v>
      </x:c>
      <x:c r="D82" s="72" t="str">
        <x:v>先核对发生了什么、信息是否一致，再处理感受和责任。</x:v>
      </x:c>
      <x:c r="E82" s="72" t="str">
        <x:v>你通常先确认事实和问题本身，再讨论情绪、责任或下一步。</x:v>
      </x:c>
      <x:c r="F82" s="73" t="str">
        <x:v>FO01—FO12</x:v>
      </x:c>
    </x:row>
    <x:row r="83">
      <x:c r="A83" s="71" t="str">
        <x:v>顺序代码</x:v>
      </x:c>
      <x:c r="B83" s="72" t="str">
        <x:v>FO03</x:v>
      </x:c>
      <x:c r="C83" s="72" t="str">
        <x:v>感受先行</x:v>
      </x:c>
      <x:c r="D83" s="72" t="str">
        <x:v>先确认感受与背景，让沟通恢复安全，再进入事实和方案。</x:v>
      </x:c>
      <x:c r="E83" s="72" t="str">
        <x:v>你更容易先把彼此的感受和背景听明白，再处理事情本身。</x:v>
      </x:c>
      <x:c r="F83" s="73" t="str">
        <x:v>FO01—FO12</x:v>
      </x:c>
    </x:row>
    <x:row r="84">
      <x:c r="A84" s="71" t="str">
        <x:v>顺序代码</x:v>
      </x:c>
      <x:c r="B84" s="72" t="str">
        <x:v>FO04</x:v>
      </x:c>
      <x:c r="C84" s="72" t="str">
        <x:v>责任先行</x:v>
      </x:c>
      <x:c r="D84" s="72" t="str">
        <x:v>先确认承诺、分工和应承担部分，再决定怎样修正。</x:v>
      </x:c>
      <x:c r="E84" s="72" t="str">
        <x:v>你往往先回到责任和约定，确认谁需要做什么，再讨论其他层面。</x:v>
      </x:c>
      <x:c r="F84" s="73" t="str">
        <x:v>FO01—FO12</x:v>
      </x:c>
    </x:row>
    <x:row r="85">
      <x:c r="A85" s="71" t="str">
        <x:v>顺序代码</x:v>
      </x:c>
      <x:c r="B85" s="72" t="str">
        <x:v>FO05</x:v>
      </x:c>
      <x:c r="C85" s="72" t="str">
        <x:v>方案先行</x:v>
      </x:c>
      <x:c r="D85" s="72" t="str">
        <x:v>先形成可执行的临时或正式方案，再补充解释和复盘。</x:v>
      </x:c>
      <x:c r="E85" s="72" t="str">
        <x:v>你更容易先推动一个能执行的办法，让问题停止扩大，再补充沟通。</x:v>
      </x:c>
      <x:c r="F85" s="73" t="str">
        <x:v>FO01—FO12</x:v>
      </x:c>
    </x:row>
    <x:row r="86">
      <x:c r="A86" s="71" t="str">
        <x:v>顺序代码</x:v>
      </x:c>
      <x:c r="B86" s="72" t="str">
        <x:v>FO06</x:v>
      </x:c>
      <x:c r="C86" s="72" t="str">
        <x:v>降温先行</x:v>
      </x:c>
      <x:c r="D86" s="72" t="str">
        <x:v>先降低交流强度、调整环境和节奏，再进入核心议题。</x:v>
      </x:c>
      <x:c r="E86" s="72" t="str">
        <x:v>你通常先让双方回到可以继续说话的状态，再处理冲突内容。</x:v>
      </x:c>
      <x:c r="F86" s="73" t="str">
        <x:v>FO01—FO12</x:v>
      </x:c>
    </x:row>
    <x:row r="87">
      <x:c r="A87" s="71" t="str">
        <x:v>顺序代码</x:v>
      </x:c>
      <x:c r="B87" s="72" t="str">
        <x:v>FO07</x:v>
      </x:c>
      <x:c r="C87" s="72" t="str">
        <x:v>暂停整理先行</x:v>
      </x:c>
      <x:c r="D87" s="72" t="str">
        <x:v>先短暂停顿或独立整理，随后带着更清楚的信息回归。</x:v>
      </x:c>
      <x:c r="E87" s="72" t="str">
        <x:v>你可能需要先停一下想清楚，再回到沟通，而不是在混乱中继续推进。</x:v>
      </x:c>
      <x:c r="F87" s="73" t="str">
        <x:v>FO01—FO12</x:v>
      </x:c>
    </x:row>
    <x:row r="88">
      <x:c r="A88" s="71" t="str">
        <x:v>顺序代码</x:v>
      </x:c>
      <x:c r="B88" s="72" t="str">
        <x:v>FO08</x:v>
      </x:c>
      <x:c r="C88" s="72" t="str">
        <x:v>行动止损先行</x:v>
      </x:c>
      <x:c r="D88" s="72" t="str">
        <x:v>先处理紧急问题、风险和停止线，之后再复盘关系感受。</x:v>
      </x:c>
      <x:c r="E88" s="72" t="str">
        <x:v>遇到紧急或高压力分歧时，你更容易先把关键问题处理住，再回头谈感受。</x:v>
      </x:c>
      <x:c r="F88" s="73" t="str">
        <x:v>FO01—FO12</x:v>
      </x:c>
    </x:row>
    <x:row r="89">
      <x:c r="A89" s="71" t="str">
        <x:v>顺序代码</x:v>
      </x:c>
      <x:c r="B89" s="72" t="str">
        <x:v>FO09</x:v>
      </x:c>
      <x:c r="C89" s="72" t="str">
        <x:v>先听后说</x:v>
      </x:c>
      <x:c r="D89" s="72" t="str">
        <x:v>先完整接收对方的感受、事实和立场，再形成自己的回应。</x:v>
      </x:c>
      <x:c r="E89" s="72" t="str">
        <x:v>你更倾向先听清对方在说什么，再决定怎样表达自己的部分。</x:v>
      </x:c>
      <x:c r="F89" s="73" t="str">
        <x:v>FO01—FO12</x:v>
      </x:c>
    </x:row>
    <x:row r="90">
      <x:c r="A90" s="71" t="str">
        <x:v>顺序代码</x:v>
      </x:c>
      <x:c r="B90" s="72" t="str">
        <x:v>FO10</x:v>
      </x:c>
      <x:c r="C90" s="72" t="str">
        <x:v>先说后落实</x:v>
      </x:c>
      <x:c r="D90" s="72" t="str">
        <x:v>先把问题、需要和方案说明，再转成现实安排和行动。</x:v>
      </x:c>
      <x:c r="E90" s="72" t="str">
        <x:v>你更容易先说清楚，再把沟通转成具体做法和后续安排。</x:v>
      </x:c>
      <x:c r="F90" s="73" t="str">
        <x:v>FO01—FO12</x:v>
      </x:c>
    </x:row>
    <x:row r="91">
      <x:c r="A91" s="71" t="str">
        <x:v>顺序代码</x:v>
      </x:c>
      <x:c r="B91" s="72" t="str">
        <x:v>FO11</x:v>
      </x:c>
      <x:c r="C91" s="72" t="str">
        <x:v>往返校准</x:v>
      </x:c>
      <x:c r="D91" s="72" t="str">
        <x:v>事实、感受、立场和方案在对话中反复互相校准。</x:v>
      </x:c>
      <x:c r="E91" s="72" t="str">
        <x:v>你的处理过程更像来回校准：每获得一段新信息，就调整理解和方案。</x:v>
      </x:c>
      <x:c r="F91" s="73" t="str">
        <x:v>FO01—FO12</x:v>
      </x:c>
    </x:row>
    <x:row r="92">
      <x:c r="A92" s="71" t="str">
        <x:v>顺序代码</x:v>
      </x:c>
      <x:c r="B92" s="72" t="str">
        <x:v>FO12</x:v>
      </x:c>
      <x:c r="C92" s="72" t="str">
        <x:v>顺序未定</x:v>
      </x:c>
      <x:c r="D92" s="72" t="str">
        <x:v>不同议题或压力水平会改变先后，现有证据不足以固定。</x:v>
      </x:c>
      <x:c r="E92" s="72" t="str">
        <x:v>目前只能确认你会在表达、暂停、行动和承接之间切换，具体先后取决于情境。</x:v>
      </x:c>
      <x:c r="F92" s="73" t="str">
        <x:v>FO01—FO12</x:v>
      </x:c>
    </x:row>
    <x:row r="93">
      <x:c r="A93" s="71" t="str">
        <x:v>序列代码</x:v>
      </x:c>
      <x:c r="B93" s="72" t="str">
        <x:v>FS01</x:v>
      </x:c>
      <x:c r="C93" s="72" t="str">
        <x:v>事实→感受</x:v>
      </x:c>
      <x:c r="D93" s="72" t="str">
        <x:v>先核对事实、逻辑或安排，再补充感受和理解。</x:v>
      </x:c>
      <x:c r="E93" s="72" t="str">
        <x:v>你通常先把事情说清，再回到彼此感受，避免情绪和事实混在一起。</x:v>
      </x:c>
      <x:c r="F93" s="73" t="str">
        <x:v>FS01—FS08</x:v>
      </x:c>
    </x:row>
    <x:row r="94">
      <x:c r="A94" s="71" t="str">
        <x:v>序列代码</x:v>
      </x:c>
      <x:c r="B94" s="72" t="str">
        <x:v>FS02</x:v>
      </x:c>
      <x:c r="C94" s="72" t="str">
        <x:v>感受→事实</x:v>
      </x:c>
      <x:c r="D94" s="72" t="str">
        <x:v>先恢复被理解和可交流状态，再进入事实、责任与方案。</x:v>
      </x:c>
      <x:c r="E94" s="72" t="str">
        <x:v>你更容易先确认双方感受，再处理具体问题。</x:v>
      </x:c>
      <x:c r="F94" s="73" t="str">
        <x:v>FS01—FS08</x:v>
      </x:c>
    </x:row>
    <x:row r="95">
      <x:c r="A95" s="71" t="str">
        <x:v>序列代码</x:v>
      </x:c>
      <x:c r="B95" s="72" t="str">
        <x:v>FS03</x:v>
      </x:c>
      <x:c r="C95" s="72" t="str">
        <x:v>立场→协商</x:v>
      </x:c>
      <x:c r="D95" s="72" t="str">
        <x:v>先说明立场和限制，再讨论可调整范围与共同方案。</x:v>
      </x:c>
      <x:c r="E95" s="72" t="str">
        <x:v>你会先让彼此知道各自的位置，再进入协商。</x:v>
      </x:c>
      <x:c r="F95" s="73" t="str">
        <x:v>FS01—FS08</x:v>
      </x:c>
    </x:row>
    <x:row r="96">
      <x:c r="A96" s="71" t="str">
        <x:v>序列代码</x:v>
      </x:c>
      <x:c r="B96" s="72" t="str">
        <x:v>FS04</x:v>
      </x:c>
      <x:c r="C96" s="72" t="str">
        <x:v>规则→方案</x:v>
      </x:c>
      <x:c r="D96" s="72" t="str">
        <x:v>先核对约定、角色和责任，再形成执行方案。</x:v>
      </x:c>
      <x:c r="E96" s="72" t="str">
        <x:v>你往往先确认规则和责任，再决定具体怎么改。</x:v>
      </x:c>
      <x:c r="F96" s="73" t="str">
        <x:v>FS01—FS08</x:v>
      </x:c>
    </x:row>
    <x:row r="97">
      <x:c r="A97" s="71" t="str">
        <x:v>序列代码</x:v>
      </x:c>
      <x:c r="B97" s="72" t="str">
        <x:v>FS05</x:v>
      </x:c>
      <x:c r="C97" s="72" t="str">
        <x:v>行动→复盘</x:v>
      </x:c>
      <x:c r="D97" s="72" t="str">
        <x:v>先止损或处理现实任务，事情稳定后再复盘原因和感受。</x:v>
      </x:c>
      <x:c r="E97" s="72" t="str">
        <x:v>你可能先把眼前问题处理好，再回头整理这次分歧。</x:v>
      </x:c>
      <x:c r="F97" s="73" t="str">
        <x:v>FS01—FS08</x:v>
      </x:c>
    </x:row>
    <x:row r="98">
      <x:c r="A98" s="71" t="str">
        <x:v>序列代码</x:v>
      </x:c>
      <x:c r="B98" s="72" t="str">
        <x:v>FS06</x:v>
      </x:c>
      <x:c r="C98" s="72" t="str">
        <x:v>暂停→回归</x:v>
      </x:c>
      <x:c r="D98" s="72" t="str">
        <x:v>先暂停整理或降温，再带着更清楚的信息回到同一问题。</x:v>
      </x:c>
      <x:c r="E98" s="72" t="str">
        <x:v>你需要的暂停有明确回归点，而不是无限期搁置。</x:v>
      </x:c>
      <x:c r="F98" s="73" t="str">
        <x:v>FS01—FS08</x:v>
      </x:c>
    </x:row>
    <x:row r="99">
      <x:c r="A99" s="71" t="str">
        <x:v>序列代码</x:v>
      </x:c>
      <x:c r="B99" s="72" t="str">
        <x:v>FS07</x:v>
      </x:c>
      <x:c r="C99" s="72" t="str">
        <x:v>往返验证</x:v>
      </x:c>
      <x:c r="D99" s="72" t="str">
        <x:v>事实、感受、责任和方案通过多轮回应互相修正。</x:v>
      </x:c>
      <x:c r="E99" s="72" t="str">
        <x:v>你的处理更像多轮校准，答案会随着新信息逐步清楚。</x:v>
      </x:c>
      <x:c r="F99" s="73" t="str">
        <x:v>FS01—FS08</x:v>
      </x:c>
    </x:row>
    <x:row r="100">
      <x:c r="A100" s="71" t="str">
        <x:v>序列代码</x:v>
      </x:c>
      <x:c r="B100" s="72" t="str">
        <x:v>FS08</x:v>
      </x:c>
      <x:c r="C100" s="72" t="str">
        <x:v>断流／未定</x:v>
      </x:c>
      <x:c r="D100" s="72" t="str">
        <x:v>关键桥梁缺失、主次争议或没有可靠回归路径。</x:v>
      </x:c>
      <x:c r="E100" s="72" t="str">
        <x:v>目前无法确认稳定处理链，只能保留局部反应，不硬写完整流程。</x:v>
      </x:c>
      <x:c r="F100" s="73" t="str">
        <x:v>FS01—FS08</x:v>
      </x:c>
    </x:row>
    <x:row r="101">
      <x:c r="A101" s="71" t="str">
        <x:v>路径代码</x:v>
      </x:c>
      <x:c r="B101" s="72" t="str">
        <x:v>FF01</x:v>
      </x:c>
      <x:c r="C101" s="72" t="str">
        <x:v>安全→立场</x:v>
      </x:c>
      <x:c r="D101" s="72" t="str">
        <x:v>先获得理解、整理和安全感，再形成自己的立场与参与方式。</x:v>
      </x:c>
      <x:c r="E101" s="72" t="str">
        <x:v>你更容易在被理解或想清楚以后，再把自己的立场说出来。</x:v>
      </x:c>
      <x:c r="F101" s="73" t="str">
        <x:v>FF01—FF08</x:v>
      </x:c>
    </x:row>
    <x:row r="102">
      <x:c r="A102" s="71" t="str">
        <x:v>路径代码</x:v>
      </x:c>
      <x:c r="B102" s="72" t="str">
        <x:v>FF02</x:v>
      </x:c>
      <x:c r="C102" s="72" t="str">
        <x:v>平等→表达</x:v>
      </x:c>
      <x:c r="D102" s="72" t="str">
        <x:v>先确认双方都有表达和选择权，再进入具体沟通。</x:v>
      </x:c>
      <x:c r="E102" s="72" t="str">
        <x:v>你需要先确认彼此能够平等参与，才更愿意把问题完整说开。</x:v>
      </x:c>
      <x:c r="F102" s="73" t="str">
        <x:v>FF01—FF08</x:v>
      </x:c>
    </x:row>
    <x:row r="103">
      <x:c r="A103" s="71" t="str">
        <x:v>路径代码</x:v>
      </x:c>
      <x:c r="B103" s="72" t="str">
        <x:v>FF03</x:v>
      </x:c>
      <x:c r="C103" s="72" t="str">
        <x:v>表达→现实</x:v>
      </x:c>
      <x:c r="D103" s="72" t="str">
        <x:v>先把问题、感受和需求说清，再转成时间、资源和安排。</x:v>
      </x:c>
      <x:c r="E103" s="72" t="str">
        <x:v>你会先通过沟通形成理解，再把结果落实到具体安排。</x:v>
      </x:c>
      <x:c r="F103" s="73" t="str">
        <x:v>FF01—FF08</x:v>
      </x:c>
    </x:row>
    <x:row r="104">
      <x:c r="A104" s="71" t="str">
        <x:v>路径代码</x:v>
      </x:c>
      <x:c r="B104" s="72" t="str">
        <x:v>FF04</x:v>
      </x:c>
      <x:c r="C104" s="72" t="str">
        <x:v>现实→责任</x:v>
      </x:c>
      <x:c r="D104" s="72" t="str">
        <x:v>先核对实际投入和条件，再明确谁负责、怎样执行或止损。</x:v>
      </x:c>
      <x:c r="E104" s="72" t="str">
        <x:v>你通常先看现实发生了什么，再把责任和下一步定下来。</x:v>
      </x:c>
      <x:c r="F104" s="73" t="str">
        <x:v>FF01—FF08</x:v>
      </x:c>
    </x:row>
    <x:row r="105">
      <x:c r="A105" s="71" t="str">
        <x:v>路径代码</x:v>
      </x:c>
      <x:c r="B105" s="72" t="str">
        <x:v>FF05</x:v>
      </x:c>
      <x:c r="C105" s="72" t="str">
        <x:v>责任→理解</x:v>
      </x:c>
      <x:c r="D105" s="72" t="str">
        <x:v>先处理责任、风险或紧急事项，再补充情绪承接和内部整理。</x:v>
      </x:c>
      <x:c r="E105" s="72" t="str">
        <x:v>你可能先把必须承担的事情处理好，再回到理解和感受。</x:v>
      </x:c>
      <x:c r="F105" s="73" t="str">
        <x:v>FF01—FF08</x:v>
      </x:c>
    </x:row>
    <x:row r="106">
      <x:c r="A106" s="71" t="str">
        <x:v>路径代码</x:v>
      </x:c>
      <x:c r="B106" s="72" t="str">
        <x:v>FF06</x:v>
      </x:c>
      <x:c r="C106" s="72" t="str">
        <x:v>内化→说明</x:v>
      </x:c>
      <x:c r="D106" s="72" t="str">
        <x:v>先整理复杂信息和感受，再以清楚或温和方式回应。</x:v>
      </x:c>
      <x:c r="E106" s="72" t="str">
        <x:v>你通常先想清楚，再选择合适的方式把核心说出来。</x:v>
      </x:c>
      <x:c r="F106" s="73" t="str">
        <x:v>FF01—FF08</x:v>
      </x:c>
    </x:row>
    <x:row r="107">
      <x:c r="A107" s="71" t="str">
        <x:v>路径代码</x:v>
      </x:c>
      <x:c r="B107" s="72" t="str">
        <x:v>FF07</x:v>
      </x:c>
      <x:c r="C107" s="72" t="str">
        <x:v>行动→承接</x:v>
      </x:c>
      <x:c r="D107" s="72" t="str">
        <x:v>先介入、止损或共同处理，随后降低强度并恢复可交流状态。</x:v>
      </x:c>
      <x:c r="E107" s="72" t="str">
        <x:v>你可能先处理眼前问题，随后再让双方重新回到可沟通状态。</x:v>
      </x:c>
      <x:c r="F107" s="73" t="str">
        <x:v>FF01—FF08</x:v>
      </x:c>
    </x:row>
    <x:row r="108">
      <x:c r="A108" s="74" t="str">
        <x:v>路径代码</x:v>
      </x:c>
      <x:c r="B108" s="75" t="str">
        <x:v>FF08</x:v>
      </x:c>
      <x:c r="C108" s="75" t="str">
        <x:v>方案→重订</x:v>
      </x:c>
      <x:c r="D108" s="75" t="str">
        <x:v>先形成现实方案，再把权限、规则或后续修复条件重新确认。</x:v>
      </x:c>
      <x:c r="E108" s="75" t="str">
        <x:v>事情有了办法以后，你还需要把新的分工、边界或后续安排说清。</x:v>
      </x:c>
      <x:c r="F108" s="76" t="str">
        <x:v>FF01—FF08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22" hidden="0" customWidth="1"/>
    <x:col min="5" max="5" width="34" hidden="0" customWidth="1"/>
    <x:col min="6" max="6" width="30" hidden="0" customWidth="1"/>
  </x:cols>
  <x:sheetData>
    <x:row r="1" ht="28" customHeight="1">
      <x:c r="A1" s="7" t="str">
        <x:v>M3-CONFLICT 版本、规则统计与发布检查</x:v>
      </x:c>
      <x:c r="B1" s="7" t="str">
        <x:v>M3-CONFLICT 版本、规则统计与发布检查</x:v>
      </x:c>
      <x:c r="C1" s="7" t="str">
        <x:v>M3-CONFLICT 版本、规则统计与发布检查</x:v>
      </x:c>
      <x:c r="D1" s="7" t="str">
        <x:v>M3-CONFLICT 版本、规则统计与发布检查</x:v>
      </x:c>
      <x:c r="E1" s="7" t="str">
        <x:v>M3-CONFLICT 版本、规则统计与发布检查</x:v>
      </x:c>
      <x:c r="F1" s="7" t="str">
        <x:v>M3-CONFLICT 版本、规则统计与发布检查</x:v>
      </x:c>
    </x:row>
    <x:row r="2" ht="30" customHeight="1">
      <x:c r="A2" s="17" t="str">
        <x:v>本页使用公式自动统计规则与案例状态。所有分值和阈值为初始知识库参数，需真实案例校准。</x:v>
      </x:c>
      <x:c r="B2" s="17" t="str">
        <x:v>本页使用公式自动统计规则与案例状态。所有分值和阈值为初始知识库参数，需真实案例校准。</x:v>
      </x:c>
      <x:c r="C2" s="17" t="str">
        <x:v>本页使用公式自动统计规则与案例状态。所有分值和阈值为初始知识库参数，需真实案例校准。</x:v>
      </x:c>
      <x:c r="D2" s="17" t="str">
        <x:v>本页使用公式自动统计规则与案例状态。所有分值和阈值为初始知识库参数，需真实案例校准。</x:v>
      </x:c>
      <x:c r="E2" s="17" t="str">
        <x:v>本页使用公式自动统计规则与案例状态。所有分值和阈值为初始知识库参数，需真实案例校准。</x:v>
      </x:c>
      <x:c r="F2" s="17" t="str">
        <x:v>本页使用公式自动统计规则与案例状态。所有分值和阈值为初始知识库参数，需真实案例校准。</x:v>
      </x:c>
    </x:row>
    <x:row r="4" ht="24" customHeight="1">
      <x:c r="A4" s="33" t="str">
        <x:v>统计项目</x:v>
      </x:c>
      <x:c r="B4" s="34" t="str">
        <x:v>公式结果</x:v>
      </x:c>
      <x:c r="C4" s="35" t="str">
        <x:v>说明</x:v>
      </x:c>
      <x:c r="E4" s="33" t="str">
        <x:v>版本信息</x:v>
      </x:c>
      <x:c r="F4" s="35" t="str">
        <x:v>内容</x:v>
      </x:c>
    </x:row>
    <x:row r="5">
      <x:c r="A5" s="68" t="str">
        <x:v>规则总数</x:v>
      </x:c>
      <x:c r="B5" s="69" t="n">
        <x:f>COUNTA('08_原子规则'!A5:A1000)</x:f>
        <x:v>280</x:v>
      </x:c>
      <x:c r="C5" s="70" t="str">
        <x:v>应为280</x:v>
      </x:c>
      <x:c r="E5" s="68" t="str">
        <x:v>当前版本</x:v>
      </x:c>
      <x:c r="F5" s="70" t="str">
        <x:v>V0.6</x:v>
      </x:c>
    </x:row>
    <x:row r="6">
      <x:c r="A6" s="71" t="str">
        <x:v>待验证规则</x:v>
      </x:c>
      <x:c r="B6" s="72" t="n">
        <x:f>COUNTIF('08_原子规则'!AB5:AB1000,"待验证")</x:f>
        <x:v>280</x:v>
      </x:c>
      <x:c r="C6" s="73" t="str">
        <x:v>当前应为280</x:v>
      </x:c>
      <x:c r="E6" s="71" t="str">
        <x:v>模块</x:v>
      </x:c>
      <x:c r="F6" s="73" t="str">
        <x:v>M3-CONFLICT 分歧响应与冲突处理</x:v>
      </x:c>
    </x:row>
    <x:row r="7">
      <x:c r="A7" s="71" t="str">
        <x:v>已验证规则</x:v>
      </x:c>
      <x:c r="B7" s="72" t="n">
        <x:f>COUNTIF('08_原子规则'!AB5:AB1000,"已验证")</x:f>
        <x:v>0</x:v>
      </x:c>
      <x:c r="C7" s="73" t="str">
        <x:v>案例校准后逐步增加</x:v>
      </x:c>
      <x:c r="E7" s="71" t="str">
        <x:v>规则范围</x:v>
      </x:c>
      <x:c r="F7" s="73" t="str">
        <x:v>M3-CONFLICT-001—280</x:v>
      </x:c>
    </x:row>
    <x:row r="8">
      <x:c r="A8" s="71" t="str">
        <x:v>需修改规则</x:v>
      </x:c>
      <x:c r="B8" s="72" t="n">
        <x:f>COUNTIF('08_原子规则'!AB5:AB1000,"需修改")</x:f>
        <x:v>0</x:v>
      </x:c>
      <x:c r="C8" s="73" t="str">
        <x:v>发现系统偏差时标记</x:v>
      </x:c>
      <x:c r="E8" s="71" t="str">
        <x:v>发布日期</x:v>
      </x:c>
      <x:c r="F8" s="73" t="str">
        <x:v>2026-08-26</x:v>
      </x:c>
    </x:row>
    <x:row r="9">
      <x:c r="A9" s="71" t="str">
        <x:v>停用规则</x:v>
      </x:c>
      <x:c r="B9" s="72" t="n">
        <x:f>COUNTIF('08_原子规则'!AB5:AB1000,"停用")</x:f>
        <x:v>0</x:v>
      </x:c>
      <x:c r="C9" s="73" t="str">
        <x:v>保留历史，不参与正式输出</x:v>
      </x:c>
      <x:c r="E9" s="71" t="str">
        <x:v>validation_status</x:v>
      </x:c>
      <x:c r="F9" s="73" t="str">
        <x:v>全部待验证</x:v>
      </x:c>
    </x:row>
    <x:row r="10">
      <x:c r="A10" s="71" t="str">
        <x:v>案例总数</x:v>
      </x:c>
      <x:c r="B10" s="72" t="n">
        <x:f>COUNTA('11_案例验证'!A5:A100)</x:f>
        <x:v>28</x:v>
      </x:c>
      <x:c r="C10" s="73" t="str">
        <x:v>含8个结构示例＋20个待录入位</x:v>
      </x:c>
      <x:c r="E10" s="71" t="str">
        <x:v>provisional</x:v>
      </x:c>
      <x:c r="F10" s="73" t="str">
        <x:v>true</x:v>
      </x:c>
    </x:row>
    <x:row r="11">
      <x:c r="A11" s="71" t="str">
        <x:v>完全吻合案例</x:v>
      </x:c>
      <x:c r="B11" s="72" t="n">
        <x:f>COUNTIF('11_案例验证'!R5:R100,"完全吻合")</x:f>
        <x:v>0</x:v>
      </x:c>
      <x:c r="C11" s="73" t="str">
        <x:v>真实案例校准指标</x:v>
      </x:c>
      <x:c r="E11" s="74" t="str">
        <x:v>下一阶段</x:v>
      </x:c>
      <x:c r="F11" s="76" t="str">
        <x:v>M3-REPAIR 修复与重新联结 V0.7</x:v>
      </x:c>
    </x:row>
    <x:row r="12">
      <x:c r="A12" s="71" t="str">
        <x:v>部分吻合案例</x:v>
      </x:c>
      <x:c r="B12" s="72" t="n">
        <x:f>COUNTIF('11_案例验证'!R5:R100,"部分吻合")</x:f>
        <x:v>0</x:v>
      </x:c>
      <x:c r="C12" s="73" t="str">
        <x:v>重点检查主次、顺序或文案</x:v>
      </x:c>
    </x:row>
    <x:row r="13">
      <x:c r="A13" s="71" t="str">
        <x:v>明显不符案例</x:v>
      </x:c>
      <x:c r="B13" s="72" t="n">
        <x:f>COUNTIF('11_案例验证'!R5:R100,"明显不符")</x:f>
        <x:v>0</x:v>
      </x:c>
      <x:c r="C13" s="73" t="str">
        <x:v>需定位具体规则ID</x:v>
      </x:c>
    </x:row>
    <x:row r="14">
      <x:c r="A14" s="74" t="str">
        <x:v>信息不足案例</x:v>
      </x:c>
      <x:c r="B14" s="75" t="n">
        <x:f>COUNTIF('11_案例验证'!R5:R100,"信息不足")</x:f>
        <x:v>0</x:v>
      </x:c>
      <x:c r="C14" s="76" t="str">
        <x:v>不应强迫归入不吻合</x:v>
      </x:c>
    </x:row>
    <x:row r="17" ht="24" customHeight="1">
      <x:c r="A17" s="33" t="str">
        <x:v>发布前检查项</x:v>
      </x:c>
      <x:c r="B17" s="34" t="str">
        <x:v>通过标准</x:v>
      </x:c>
      <x:c r="C17" s="34" t="str">
        <x:v>当前状态</x:v>
      </x:c>
      <x:c r="D17" s="34" t="str">
        <x:v>负责模块</x:v>
      </x:c>
      <x:c r="E17" s="34" t="str">
        <x:v>检查方式</x:v>
      </x:c>
      <x:c r="F17" s="35" t="str">
        <x:v>备注</x:v>
      </x:c>
    </x:row>
    <x:row r="18">
      <x:c r="A18" s="68" t="str">
        <x:v>基础十神与合化已确认</x:v>
      </x:c>
      <x:c r="B18" s="69" t="str">
        <x:v>无关键基础争议</x:v>
      </x:c>
      <x:c r="C18" s="69" t="str">
        <x:v>待检查</x:v>
      </x:c>
      <x:c r="D18" s="69" t="str">
        <x:v>共享基础引擎</x:v>
      </x:c>
      <x:c r="E18" s="69" t="str">
        <x:v>核对source_id与合化状态</x:v>
      </x:c>
      <x:c r="F18" s="70" t="str"/>
    </x:row>
    <x:row r="19">
      <x:c r="A19" s="71" t="str">
        <x:v>同源证据已去重</x:v>
      </x:c>
      <x:c r="B19" s="72" t="str">
        <x:v>相同source_id只计一次</x:v>
      </x:c>
      <x:c r="C19" s="72" t="str">
        <x:v>待检查</x:v>
      </x:c>
      <x:c r="D19" s="72" t="str">
        <x:v>SYNTH／CONFLICT</x:v>
      </x:c>
      <x:c r="E19" s="72" t="str">
        <x:v>查07_接口与去重</x:v>
      </x:c>
      <x:c r="F19" s="73" t="str"/>
    </x:row>
    <x:row r="20">
      <x:c r="A20" s="71" t="str">
        <x:v>主通道达到门槛</x:v>
      </x:c>
      <x:c r="B20" s="72" t="str">
        <x:v>≥36且领先≥8</x:v>
      </x:c>
      <x:c r="C20" s="72" t="str">
        <x:v>待检查</x:v>
      </x:c>
      <x:c r="D20" s="72" t="str">
        <x:v>CONFLICT</x:v>
      </x:c>
      <x:c r="E20" s="72" t="str">
        <x:v>查评分汇总</x:v>
      </x:c>
      <x:c r="F20" s="73" t="str"/>
    </x:row>
    <x:row r="21">
      <x:c r="A21" s="71" t="str">
        <x:v>次通道功能独立</x:v>
      </x:c>
      <x:c r="B21" s="72" t="str">
        <x:v>≥25且非同义重复</x:v>
      </x:c>
      <x:c r="C21" s="72" t="str">
        <x:v>待检查</x:v>
      </x:c>
      <x:c r="D21" s="72" t="str">
        <x:v>CONFLICT</x:v>
      </x:c>
      <x:c r="E21" s="72" t="str">
        <x:v>查SO07—SO08</x:v>
      </x:c>
      <x:c r="F21" s="73" t="str"/>
    </x:row>
    <x:row r="22">
      <x:c r="A22" s="71" t="str">
        <x:v>处理顺序有起点桥梁终点</x:v>
      </x:c>
      <x:c r="B22" s="72" t="str">
        <x:v>非柱位／生克机械时序</x:v>
      </x:c>
      <x:c r="C22" s="72" t="str">
        <x:v>待检查</x:v>
      </x:c>
      <x:c r="D22" s="72" t="str">
        <x:v>CONFLICT</x:v>
      </x:c>
      <x:c r="E22" s="72" t="str">
        <x:v>查04_处理顺序与路径</x:v>
      </x:c>
      <x:c r="F22" s="73" t="str"/>
    </x:row>
    <x:row r="23">
      <x:c r="A23" s="71" t="str">
        <x:v>暂停存在回归路径</x:v>
      </x:c>
      <x:c r="B23" s="72" t="str">
        <x:v>不把暂停写成冷战</x:v>
      </x:c>
      <x:c r="C23" s="72" t="str">
        <x:v>待检查</x:v>
      </x:c>
      <x:c r="D23" s="72" t="str">
        <x:v>CONFLICT／REPAIR</x:v>
      </x:c>
      <x:c r="E23" s="72" t="str">
        <x:v>查FQ07与IF07</x:v>
      </x:c>
      <x:c r="F23" s="73" t="str"/>
    </x:row>
    <x:row r="24">
      <x:c r="A24" s="71" t="str">
        <x:v>阶段结束与修复分开</x:v>
      </x:c>
      <x:c r="B24" s="72" t="str">
        <x:v>问题处理不等于联结恢复</x:v>
      </x:c>
      <x:c r="C24" s="72" t="str">
        <x:v>待检查</x:v>
      </x:c>
      <x:c r="D24" s="72" t="str">
        <x:v>CONFLICT／REPAIR</x:v>
      </x:c>
      <x:c r="E24" s="72" t="str">
        <x:v>查IF08</x:v>
      </x:c>
      <x:c r="F24" s="73" t="str"/>
    </x:row>
    <x:row r="25">
      <x:c r="A25" s="71" t="str">
        <x:v>压力风险已路由M4</x:v>
      </x:c>
      <x:c r="B25" s="72" t="str">
        <x:v>不输出攻击、控制、冷战等结论</x:v>
      </x:c>
      <x:c r="C25" s="72" t="str">
        <x:v>待检查</x:v>
      </x:c>
      <x:c r="D25" s="72" t="str">
        <x:v>M4</x:v>
      </x:c>
      <x:c r="E25" s="72" t="str">
        <x:v>查IF13—IF15</x:v>
      </x:c>
      <x:c r="F25" s="73" t="str"/>
    </x:row>
    <x:row r="26">
      <x:c r="A26" s="71" t="str">
        <x:v>用户正文完成裁剪</x:v>
      </x:c>
      <x:c r="B26" s="72" t="str">
        <x:v>一主一次一顺序一结束条件</x:v>
      </x:c>
      <x:c r="C26" s="72" t="str">
        <x:v>待检查</x:v>
      </x:c>
      <x:c r="D26" s="72" t="str">
        <x:v>SYNTH</x:v>
      </x:c>
      <x:c r="E26" s="72" t="str">
        <x:v>查SO11</x:v>
      </x:c>
      <x:c r="F26" s="73" t="str"/>
    </x:row>
    <x:row r="27">
      <x:c r="A27" s="74" t="str">
        <x:v>边界说明已附加</x:v>
      </x:c>
      <x:c r="B27" s="75" t="str">
        <x:v>不人格化、不结果化</x:v>
      </x:c>
      <x:c r="C27" s="75" t="str">
        <x:v>待检查</x:v>
      </x:c>
      <x:c r="D27" s="75" t="str">
        <x:v>CONFLICT</x:v>
      </x:c>
      <x:c r="E27" s="75" t="str">
        <x:v>查SO20与SO23</x:v>
      </x:c>
      <x:c r="F27" s="76" t="str"/>
    </x:row>
  </x:sheetData>
  <x:mergeCells>
    <x:mergeCell ref="A1:F1"/>
    <x:mergeCell ref="A2:F2"/>
  </x:mergeCells>
  <x:conditionalFormatting sqref="C18:C27">
    <x:cfRule type="expression" dxfId="6" priority="1">
      <x:formula>C18="通过"</x:formula>
    </x:cfRule>
    <x:cfRule type="expression" dxfId="7" priority="2">
      <x:formula>C18="需修改"</x:formula>
    </x:cfRule>
    <x:cfRule type="expression" dxfId="8" priority="3">
      <x:formula>C18="待检查"</x:formula>
    </x:cfRule>
  </x:conditionalFormatting>
  <x:dataValidations count="1">
    <x:dataValidation type="list" sqref="C18:C27">
      <x:formula1>"待检查,通过,需修改,不适用"</x:formula1>
    </x:dataValidation>
  </x:dataValidations>
  <x:pageMargins left="0.7" right="0.7" top="0.75" bottom="0.75" header="0.3" footer="0.3"/>
</x:worksheet>
</file>