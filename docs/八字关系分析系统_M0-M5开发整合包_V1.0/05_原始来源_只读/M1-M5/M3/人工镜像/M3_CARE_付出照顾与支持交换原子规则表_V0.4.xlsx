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tables/table11.xml" ContentType="application/vnd.openxmlformats-officedocument.spreadsheetml.table+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638798031564473" /></Relationships>
</file>

<file path=xl/workbook.xml><?xml version="1.0" encoding="utf-8"?>
<x:workbook xmlns:x="http://schemas.openxmlformats.org/spreadsheetml/2006/main">
  <x:sheets>
    <x:sheet xmlns:r="http://schemas.openxmlformats.org/officeDocument/2006/relationships" name="00_阅读说明" sheetId="1" r:id="Ra5eb4b112937433d"/>
    <x:sheet xmlns:r="http://schemas.openxmlformats.org/officeDocument/2006/relationships" name="01_十神照顾速查" sheetId="2" r:id="R870e38cba94d4e97"/>
    <x:sheet xmlns:r="http://schemas.openxmlformats.org/officeDocument/2006/relationships" name="02_过程维度矩阵" sheetId="3" r:id="R6d43825d18a94b28"/>
    <x:sheet xmlns:r="http://schemas.openxmlformats.org/officeDocument/2006/relationships" name="03_付出模式矩阵" sheetId="4" r:id="Rfd69d42fffa248ad"/>
    <x:sheet xmlns:r="http://schemas.openxmlformats.org/officeDocument/2006/relationships" name="04_状态修正矩阵" sheetId="5" r:id="Rfc56db6b6cb04889"/>
    <x:sheet xmlns:r="http://schemas.openxmlformats.org/officeDocument/2006/relationships" name="05_接口与去重" sheetId="6" r:id="R5b38e5a083f74610"/>
    <x:sheet xmlns:r="http://schemas.openxmlformats.org/officeDocument/2006/relationships" name="06_原子规则" sheetId="7" r:id="R8d6271df9d4b4775"/>
    <x:sheet xmlns:r="http://schemas.openxmlformats.org/officeDocument/2006/relationships" name="07_门控与停止" sheetId="8" r:id="Rfa6b4421cf7c467b"/>
    <x:sheet xmlns:r="http://schemas.openxmlformats.org/officeDocument/2006/relationships" name="08_输出模板与句库" sheetId="9" r:id="Rb6bd04fc60e24228"/>
    <x:sheet xmlns:r="http://schemas.openxmlformats.org/officeDocument/2006/relationships" name="09_案例验证" sheetId="10" r:id="R5edace33db1d4fd2"/>
    <x:sheet xmlns:r="http://schemas.openxmlformats.org/officeDocument/2006/relationships" name="10_字段词典" sheetId="11" r:id="Rcf297df38901493e"/>
    <x:sheet xmlns:r="http://schemas.openxmlformats.org/officeDocument/2006/relationships" name="11_版本与验证" sheetId="12" r:id="R70a86e3fb68f4cd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11">
    <x:font>
      <x:sz val="11"/>
      <x:name val="Carlito"/>
    </x:font>
    <x:font>
      <x:b/>
      <x:sz val="16"/>
      <x:color rgb="FFFFFFFF"/>
      <x:name val="Carlito"/>
    </x:font>
    <x:font>
      <x:i/>
      <x:sz val="10"/>
      <x:color rgb="FF595959"/>
      <x:name val="Carlito"/>
    </x:font>
    <x:font>
      <x:sz val="10"/>
      <x:name val="Carlito"/>
    </x:font>
    <x:font>
      <x:b/>
      <x:sz val="10"/>
      <x:color rgb="FFFFFFFF"/>
      <x:name val="Carlito"/>
    </x:font>
    <x:font>
      <x:b/>
      <x:sz val="10"/>
      <x:color rgb="FF1F4E78"/>
      <x:name val="Carlito"/>
    </x:font>
    <x:font>
      <x:b/>
      <x:sz val="10"/>
      <x:color rgb="FF595959"/>
      <x:name val="Carlito"/>
    </x:font>
    <x:font>
      <x:sz val="9"/>
      <x:name val="Carlito"/>
    </x:font>
    <x:font>
      <x:b/>
      <x:sz val="9"/>
      <x:color rgb="FFFFFFFF"/>
      <x:name val="Carlito"/>
    </x:font>
    <x:font>
      <x:sz val="8"/>
      <x:name val="Carlito"/>
    </x:font>
    <x:font>
      <x:b/>
      <x:sz val="11"/>
      <x:color rgb="FFFFFFFF"/>
      <x:name val="Carlito"/>
    </x:font>
  </x:fonts>
  <x:fills count="15">
    <x:fill>
      <x:patternFill patternType="none"/>
    </x:fill>
    <x:fill>
      <x:patternFill patternType="gray125"/>
    </x:fill>
    <x:fill>
      <x:patternFill patternType="solid">
        <x:fgColor rgb="FF1F4E78"/>
      </x:patternFill>
    </x:fill>
    <x:fill>
      <x:patternFill patternType="solid">
        <x:fgColor rgb="FFDDEBF7"/>
      </x:patternFill>
    </x:fill>
    <x:fill>
      <x:patternFill patternType="solid">
        <x:fgColor rgb="FF2F75B5"/>
      </x:patternFill>
    </x:fill>
    <x:fill>
      <x:patternFill patternType="solid">
        <x:fgColor rgb="FF0F766E"/>
      </x:patternFill>
    </x:fill>
    <x:fill>
      <x:patternFill patternType="solid">
        <x:fgColor rgb="FFFCE4D6"/>
      </x:patternFill>
    </x:fill>
    <x:fill>
      <x:patternFill patternType="solid">
        <x:fgColor rgb="FFF2F2F2"/>
      </x:patternFill>
    </x:fill>
    <x:fill>
      <x:patternFill patternType="solid">
        <x:fgColor rgb="FFEAF4F4"/>
      </x:patternFill>
    </x:fill>
    <x:fill>
      <x:patternFill patternType="solid">
        <x:fgColor rgb="FFF3F7E8"/>
      </x:patternFill>
    </x:fill>
    <x:fill>
      <x:patternFill patternType="solid">
        <x:fgColor rgb="FFFFF5E6"/>
      </x:patternFill>
    </x:fill>
    <x:fill>
      <x:patternFill patternType="solid">
        <x:fgColor rgb="FFF1ECF7"/>
      </x:patternFill>
    </x:fill>
    <x:fill>
      <x:patternFill patternType="solid">
        <x:fgColor rgb="FFFCE8E6"/>
      </x:patternFill>
    </x:fill>
    <x:fill>
      <x:patternFill patternType="solid">
        <x:fgColor rgb="FFE6F4EA"/>
      </x:patternFill>
    </x:fill>
    <x:fill>
      <x:patternFill patternType="solid">
        <x:fgColor rgb="FFF4CCCC"/>
      </x:patternFill>
    </x:fill>
  </x:fills>
  <x:borders count="2">
    <x:border/>
    <x:border/>
  </x:borders>
  <x:cellStyleXfs count="1">
    <x:xf numFmtId="0" fontId="0" fillId="0" borderId="0"/>
  </x:cellStyleXfs>
  <x:cellXfs count="11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3" fillId="0" borderId="1" xfId="0" applyNumberFormat="1" applyFont="1" applyFill="1" applyBorder="1"/>
    <x:xf numFmtId="0" fontId="3" fillId="0" borderId="1" xfId="0" applyNumberFormat="1" applyFont="1" applyFill="1" applyBorder="1" applyAlignment="1">
      <x:alignment wrapText="1"/>
    </x:xf>
    <x:xf numFmtId="0" fontId="3" fillId="0" borderId="1"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0" xfId="0" applyNumberFormat="1" applyFont="1" applyFill="1" applyBorder="1" applyAlignment="1">
      <x:alignment vertical="center" wrapText="1"/>
    </x:xf>
    <x:xf numFmtId="0" fontId="3" fillId="4" borderId="1" xfId="0" applyNumberFormat="1" applyFont="1" applyFill="1" applyBorder="1" applyAlignment="1">
      <x:alignment vertical="top" wrapText="1"/>
    </x:xf>
    <x:xf numFmtId="0" fontId="4" fillId="4" borderId="1" xfId="0" applyNumberFormat="1" applyFont="1" applyFill="1" applyBorder="1" applyAlignment="1">
      <x:alignment vertical="top" wrapText="1"/>
    </x:xf>
    <x:xf numFmtId="0" fontId="4" fillId="4" borderId="1" xfId="0" applyNumberFormat="1" applyFont="1" applyFill="1" applyBorder="1" applyAlignment="1">
      <x:alignment vertical="center" wrapText="1"/>
    </x:xf>
    <x:xf numFmtId="0" fontId="3" fillId="5" borderId="0"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0" xfId="0" applyNumberFormat="1" applyFont="1" applyFill="1" applyBorder="1" applyAlignment="1">
      <x:alignment vertical="center" wrapText="1"/>
    </x:xf>
    <x:xf numFmtId="0" fontId="3" fillId="5" borderId="1"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1" xfId="0" applyNumberFormat="1" applyFont="1" applyFill="1" applyBorder="1" applyAlignment="1">
      <x:alignment vertical="center" wrapText="1"/>
    </x:xf>
    <x:xf numFmtId="0" fontId="3" fillId="3" borderId="0" xfId="0" applyNumberFormat="1" applyFont="1" applyFill="1" applyBorder="1" applyAlignment="1">
      <x:alignment vertical="top" wrapText="1"/>
    </x:xf>
    <x:xf numFmtId="0" fontId="3" fillId="3" borderId="1" xfId="0" applyNumberFormat="1" applyFont="1" applyFill="1" applyBorder="1" applyAlignment="1">
      <x:alignment vertical="top" wrapText="1"/>
    </x:xf>
    <x:xf numFmtId="0" fontId="5" fillId="3" borderId="0" xfId="0" applyNumberFormat="1" applyFont="1" applyFill="1" applyBorder="1" applyAlignment="1">
      <x:alignment vertical="top" wrapText="1"/>
    </x:xf>
    <x:xf numFmtId="0" fontId="5" fillId="3" borderId="1"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3" fillId="6" borderId="1" xfId="0" applyNumberFormat="1" applyFont="1" applyFill="1" applyBorder="1" applyAlignment="1">
      <x:alignment vertical="top" wrapText="1"/>
    </x:xf>
    <x:xf numFmtId="0" fontId="6" fillId="6" borderId="0" xfId="0" applyNumberFormat="1" applyFont="1" applyFill="1" applyBorder="1" applyAlignment="1">
      <x:alignment vertical="top" wrapText="1"/>
    </x:xf>
    <x:xf numFmtId="0" fontId="6" fillId="6" borderId="1" xfId="0" applyNumberFormat="1" applyFont="1" applyFill="1" applyBorder="1" applyAlignment="1">
      <x:alignment vertical="top" wrapText="1"/>
    </x:xf>
    <x:xf numFmtId="0" fontId="1" fillId="2" borderId="0" xfId="0" applyNumberFormat="1" applyFont="1" applyFill="1" applyBorder="1" applyAlignment="1">
      <x:alignment horizontal="left" vertical="center" wrapText="1"/>
    </x:xf>
    <x:xf numFmtId="0" fontId="1" fillId="2" borderId="1" xfId="0" applyNumberFormat="1" applyFont="1" applyFill="1" applyBorder="1" applyAlignment="1">
      <x:alignment horizontal="left" vertical="center"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horizontal="center" wrapText="1"/>
    </x:xf>
    <x:xf numFmtId="0" fontId="4" fillId="4" borderId="0" xfId="0" applyNumberFormat="1" applyFont="1" applyFill="1" applyBorder="1" applyAlignment="1">
      <x:alignment horizontal="center" vertical="center" wrapText="1"/>
    </x:xf>
    <x:xf numFmtId="0" fontId="0"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wrapText="1"/>
    </x:xf>
    <x:xf numFmtId="0" fontId="4" fillId="4" borderId="1" xfId="0" applyNumberFormat="1" applyFont="1" applyFill="1" applyBorder="1" applyAlignment="1">
      <x:alignment horizontal="center" wrapText="1"/>
    </x:xf>
    <x:xf numFmtId="0" fontId="4" fillId="4" borderId="1" xfId="0" applyNumberFormat="1" applyFont="1" applyFill="1" applyBorder="1" applyAlignment="1">
      <x:alignment horizontal="center" vertical="center" wrapText="1"/>
    </x:xf>
    <x:xf numFmtId="0" fontId="7" fillId="0" borderId="0" xfId="0" applyNumberFormat="1" applyFont="1" applyFill="1" applyBorder="1"/>
    <x:xf numFmtId="0" fontId="7" fillId="0" borderId="0" xfId="0" applyNumberFormat="1" applyFont="1" applyFill="1" applyBorder="1" applyAlignment="1">
      <x:alignment wrapText="1"/>
    </x:xf>
    <x:xf numFmtId="0" fontId="7" fillId="0" borderId="0" xfId="0" applyNumberFormat="1" applyFont="1" applyFill="1" applyBorder="1" applyAlignment="1">
      <x:alignment vertical="top" wrapText="1"/>
    </x:xf>
    <x:xf numFmtId="0" fontId="7" fillId="0" borderId="1" xfId="0" applyNumberFormat="1" applyFont="1" applyFill="1" applyBorder="1"/>
    <x:xf numFmtId="0" fontId="7" fillId="0" borderId="1" xfId="0" applyNumberFormat="1" applyFont="1" applyFill="1" applyBorder="1" applyAlignment="1">
      <x:alignment wrapText="1"/>
    </x:xf>
    <x:xf numFmtId="0" fontId="7" fillId="0" borderId="1" xfId="0" applyNumberFormat="1" applyFont="1" applyFill="1" applyBorder="1" applyAlignment="1">
      <x:alignment vertical="top" wrapText="1"/>
    </x:xf>
    <x:xf numFmtId="0" fontId="7" fillId="7" borderId="0" xfId="0" applyNumberFormat="1" applyFont="1" applyFill="1" applyBorder="1" applyAlignment="1">
      <x:alignment vertical="top" wrapText="1"/>
    </x:xf>
    <x:xf numFmtId="0" fontId="7" fillId="7" borderId="1" xfId="0" applyNumberFormat="1" applyFont="1" applyFill="1" applyBorder="1" applyAlignment="1">
      <x:alignment vertical="top" wrapText="1"/>
    </x:xf>
    <x:xf numFmtId="0" fontId="8" fillId="4" borderId="0" xfId="0" applyNumberFormat="1" applyFont="1" applyFill="1" applyBorder="1"/>
    <x:xf numFmtId="0" fontId="8" fillId="4" borderId="0" xfId="0" applyNumberFormat="1" applyFont="1" applyFill="1" applyBorder="1" applyAlignment="1">
      <x:alignment wrapText="1"/>
    </x:xf>
    <x:xf numFmtId="0" fontId="8" fillId="4" borderId="0" xfId="0" applyNumberFormat="1" applyFont="1" applyFill="1" applyBorder="1" applyAlignment="1">
      <x:alignment horizontal="center" wrapText="1"/>
    </x:xf>
    <x:xf numFmtId="0" fontId="8" fillId="4" borderId="0" xfId="0" applyNumberFormat="1" applyFont="1" applyFill="1" applyBorder="1" applyAlignment="1">
      <x:alignment horizontal="center" vertical="center" wrapText="1"/>
    </x:xf>
    <x:xf numFmtId="0" fontId="8" fillId="4" borderId="1" xfId="0" applyNumberFormat="1" applyFont="1" applyFill="1" applyBorder="1"/>
    <x:xf numFmtId="0" fontId="8" fillId="4" borderId="1" xfId="0" applyNumberFormat="1" applyFont="1" applyFill="1" applyBorder="1" applyAlignment="1">
      <x:alignment wrapText="1"/>
    </x:xf>
    <x:xf numFmtId="0" fontId="8" fillId="4" borderId="1" xfId="0" applyNumberFormat="1" applyFont="1" applyFill="1" applyBorder="1" applyAlignment="1">
      <x:alignment horizontal="center" wrapText="1"/>
    </x:xf>
    <x:xf numFmtId="0" fontId="8" fillId="4" borderId="1" xfId="0" applyNumberFormat="1" applyFont="1" applyFill="1" applyBorder="1" applyAlignment="1">
      <x:alignment horizontal="center" vertical="center" wrapText="1"/>
    </x:xf>
    <x:xf numFmtId="0" fontId="9" fillId="0" borderId="0" xfId="0" applyNumberFormat="1" applyFont="1" applyFill="1" applyBorder="1"/>
    <x:xf numFmtId="0" fontId="9" fillId="0" borderId="0" xfId="0" applyNumberFormat="1" applyFont="1" applyFill="1" applyBorder="1" applyAlignment="1">
      <x:alignment wrapText="1"/>
    </x:xf>
    <x:xf numFmtId="0" fontId="9" fillId="0" borderId="0" xfId="0" applyNumberFormat="1" applyFont="1" applyFill="1" applyBorder="1" applyAlignment="1">
      <x:alignment vertical="top" wrapText="1"/>
    </x:xf>
    <x:xf numFmtId="0" fontId="9" fillId="0" borderId="1" xfId="0" applyNumberFormat="1" applyFont="1" applyFill="1" applyBorder="1"/>
    <x:xf numFmtId="0" fontId="9" fillId="0" borderId="1" xfId="0" applyNumberFormat="1" applyFont="1" applyFill="1" applyBorder="1" applyAlignment="1">
      <x:alignment wrapText="1"/>
    </x:xf>
    <x:xf numFmtId="0" fontId="9" fillId="0" borderId="1" xfId="0" applyNumberFormat="1" applyFont="1" applyFill="1" applyBorder="1" applyAlignment="1">
      <x:alignment vertical="top" wrapText="1"/>
    </x:xf>
    <x:xf numFmtId="0" fontId="9" fillId="3" borderId="0" xfId="0" applyNumberFormat="1" applyFont="1" applyFill="1" applyBorder="1" applyAlignment="1">
      <x:alignment vertical="top" wrapText="1"/>
    </x:xf>
    <x:xf numFmtId="0" fontId="9" fillId="3" borderId="1" xfId="0" applyNumberFormat="1" applyFont="1" applyFill="1" applyBorder="1" applyAlignment="1">
      <x:alignment vertical="top" wrapText="1"/>
    </x:xf>
    <x:xf numFmtId="0" fontId="9" fillId="8" borderId="0" xfId="0" applyNumberFormat="1" applyFont="1" applyFill="1" applyBorder="1" applyAlignment="1">
      <x:alignment vertical="top" wrapText="1"/>
    </x:xf>
    <x:xf numFmtId="0" fontId="9" fillId="8" borderId="1" xfId="0" applyNumberFormat="1" applyFont="1" applyFill="1" applyBorder="1" applyAlignment="1">
      <x:alignment vertical="top" wrapText="1"/>
    </x:xf>
    <x:xf numFmtId="0" fontId="9" fillId="9" borderId="0" xfId="0" applyNumberFormat="1" applyFont="1" applyFill="1" applyBorder="1" applyAlignment="1">
      <x:alignment vertical="top" wrapText="1"/>
    </x:xf>
    <x:xf numFmtId="0" fontId="9" fillId="9" borderId="1" xfId="0" applyNumberFormat="1" applyFont="1" applyFill="1" applyBorder="1" applyAlignment="1">
      <x:alignment vertical="top" wrapText="1"/>
    </x:xf>
    <x:xf numFmtId="0" fontId="9" fillId="10" borderId="0" xfId="0" applyNumberFormat="1" applyFont="1" applyFill="1" applyBorder="1" applyAlignment="1">
      <x:alignment vertical="top" wrapText="1"/>
    </x:xf>
    <x:xf numFmtId="0" fontId="9" fillId="10" borderId="1" xfId="0" applyNumberFormat="1" applyFont="1" applyFill="1" applyBorder="1" applyAlignment="1">
      <x:alignment vertical="top" wrapText="1"/>
    </x:xf>
    <x:xf numFmtId="0" fontId="9" fillId="11" borderId="0" xfId="0" applyNumberFormat="1" applyFont="1" applyFill="1" applyBorder="1" applyAlignment="1">
      <x:alignment vertical="top" wrapText="1"/>
    </x:xf>
    <x:xf numFmtId="0" fontId="9" fillId="11" borderId="1" xfId="0" applyNumberFormat="1" applyFont="1" applyFill="1" applyBorder="1" applyAlignment="1">
      <x:alignment vertical="top" wrapText="1"/>
    </x:xf>
    <x:xf numFmtId="0" fontId="9" fillId="12" borderId="0" xfId="0" applyNumberFormat="1" applyFont="1" applyFill="1" applyBorder="1" applyAlignment="1">
      <x:alignment vertical="top" wrapText="1"/>
    </x:xf>
    <x:xf numFmtId="0" fontId="9" fillId="12" borderId="1" xfId="0" applyNumberFormat="1" applyFont="1" applyFill="1" applyBorder="1" applyAlignment="1">
      <x:alignment vertical="top" wrapText="1"/>
    </x:xf>
    <x:xf numFmtId="0" fontId="9" fillId="13" borderId="0" xfId="0" applyNumberFormat="1" applyFont="1" applyFill="1" applyBorder="1" applyAlignment="1">
      <x:alignment vertical="top" wrapText="1"/>
    </x:xf>
    <x:xf numFmtId="0" fontId="9" fillId="13" borderId="1" xfId="0" applyNumberFormat="1" applyFont="1" applyFill="1" applyBorder="1" applyAlignment="1">
      <x:alignment vertical="top" wrapText="1"/>
    </x:xf>
    <x:xf numFmtId="0" fontId="7" fillId="6" borderId="0" xfId="0" applyNumberFormat="1" applyFont="1" applyFill="1" applyBorder="1" applyAlignment="1">
      <x:alignment vertical="top" wrapText="1"/>
    </x:xf>
    <x:xf numFmtId="0" fontId="7" fillId="6" borderId="1" xfId="0" applyNumberFormat="1" applyFont="1" applyFill="1" applyBorder="1" applyAlignment="1">
      <x:alignment vertical="top" wrapText="1"/>
    </x:xf>
    <x:xf numFmtId="0" fontId="7" fillId="14" borderId="0" xfId="0" applyNumberFormat="1" applyFont="1" applyFill="1" applyBorder="1" applyAlignment="1">
      <x:alignment vertical="top" wrapText="1"/>
    </x:xf>
    <x:xf numFmtId="0" fontId="7" fillId="14" borderId="1" xfId="0" applyNumberFormat="1" applyFont="1" applyFill="1" applyBorder="1" applyAlignment="1">
      <x:alignment vertical="top" wrapText="1"/>
    </x:xf>
    <x:xf numFmtId="0" fontId="7" fillId="4" borderId="0" xfId="0" applyNumberFormat="1" applyFont="1" applyFill="1" applyBorder="1" applyAlignment="1">
      <x:alignment vertical="top" wrapText="1"/>
    </x:xf>
    <x:xf numFmtId="0" fontId="8" fillId="4" borderId="0" xfId="0" applyNumberFormat="1" applyFont="1" applyFill="1" applyBorder="1" applyAlignment="1">
      <x:alignment vertical="top" wrapText="1"/>
    </x:xf>
    <x:xf numFmtId="0" fontId="7" fillId="4" borderId="1" xfId="0" applyNumberFormat="1" applyFont="1" applyFill="1" applyBorder="1" applyAlignment="1">
      <x:alignment vertical="top" wrapText="1"/>
    </x:xf>
    <x:xf numFmtId="0" fontId="8" fillId="4" borderId="1" xfId="0" applyNumberFormat="1" applyFont="1" applyFill="1" applyBorder="1" applyAlignment="1">
      <x:alignment vertical="top" wrapText="1"/>
    </x:xf>
    <x:xf numFmtId="0" fontId="0" fillId="5" borderId="0" xfId="0" applyNumberFormat="1" applyFont="1" applyFill="1" applyBorder="1"/>
    <x:xf numFmtId="0" fontId="10" fillId="5" borderId="0" xfId="0" applyNumberFormat="1" applyFont="1" applyFill="1" applyBorder="1"/>
    <x:xf numFmtId="0" fontId="0" fillId="5" borderId="1" xfId="0" applyNumberFormat="1" applyFont="1" applyFill="1" applyBorder="1"/>
    <x:xf numFmtId="0" fontId="10" fillId="5" borderId="1" xfId="0" applyNumberFormat="1" applyFont="1" applyFill="1" applyBorder="1"/>
    <x:xf numFmtId="0" fontId="10" fillId="4" borderId="0" xfId="0" applyNumberFormat="1" applyFont="1" applyFill="1" applyBorder="1"/>
    <x:xf numFmtId="0" fontId="10" fillId="4" borderId="0" xfId="0" applyNumberFormat="1" applyFont="1" applyFill="1" applyBorder="1" applyAlignment="1">
      <x:alignment wrapText="1"/>
    </x:xf>
    <x:xf numFmtId="0" fontId="10" fillId="4" borderId="1" xfId="0" applyNumberFormat="1" applyFont="1" applyFill="1" applyBorder="1"/>
    <x:xf numFmtId="0" fontId="10" fillId="4"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0" fillId="4"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10" fillId="4"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cellXfs>
  <x:cellStyles count="1">
    <x:cellStyle name="Normal" xfId="0"/>
  </x:cellStyles>
  <x:dxfs count="11">
    <x:dxf>
      <x:fill>
        <x:patternFill patternType="solid">
          <x:bgColor rgb="FFD9EAD3"/>
        </x:patternFill>
      </x:fill>
    </x:dxf>
    <x:dxf>
      <x:fill>
        <x:patternFill patternType="solid">
          <x:bgColor rgb="FFFFF2CC"/>
        </x:patternFill>
      </x:fill>
    </x:dxf>
    <x:dxf>
      <x:fill>
        <x:patternFill patternType="solid">
          <x:bgColor rgb="FFF4CCCC"/>
        </x:patternFill>
      </x:fill>
    </x:dxf>
    <x:dxf>
      <x:fill>
        <x:patternFill patternType="solid">
          <x:bgColor rgb="FFD9EAD3"/>
        </x:patternFill>
      </x:fill>
    </x:dxf>
    <x:dxf>
      <x:fill>
        <x:patternFill patternType="solid">
          <x:bgColor rgb="FFFFF2CC"/>
        </x:patternFill>
      </x:fill>
    </x:dxf>
    <x:dxf>
      <x:fill>
        <x:patternFill patternType="solid">
          <x:bgColor rgb="FFF4CCCC"/>
        </x:patternFill>
      </x:fill>
    </x:dxf>
    <x:dxf>
      <x:fill>
        <x:patternFill patternType="solid">
          <x:bgColor rgb="FFD9EAD3"/>
        </x:patternFill>
      </x:fill>
    </x:dxf>
    <x:dxf>
      <x:fill>
        <x:patternFill patternType="solid">
          <x:bgColor rgb="FFFFF2CC"/>
        </x:patternFill>
      </x:fill>
    </x:dxf>
    <x:dxf>
      <x:fill>
        <x:patternFill patternType="solid">
          <x:bgColor rgb="FFF4CCCC"/>
        </x:patternFill>
      </x:fill>
    </x:dxf>
    <x:dxf>
      <x:fill>
        <x:patternFill patternType="solid">
          <x:bgColor rgb="FFD9EAD3"/>
        </x:patternFill>
      </x:fill>
    </x:dxf>
    <x:dxf>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ff92cdf544e4153" /><Relationship Type="http://schemas.openxmlformats.org/officeDocument/2006/relationships/theme" Target="/xl/theme/theme1.xml" Id="Re19dcbfe03284dab" /><Relationship Type="http://schemas.openxmlformats.org/officeDocument/2006/relationships/sharedStrings" Target="/xl/sharedStrings.xml" Id="Rad48fa2e97f44f1d" /><Relationship Type="http://schemas.openxmlformats.org/officeDocument/2006/relationships/worksheet" Target="/xl/worksheets/sheet1.xml" Id="Ra5eb4b112937433d" /><Relationship Type="http://schemas.openxmlformats.org/officeDocument/2006/relationships/worksheet" Target="/xl/worksheets/sheet2.xml" Id="R870e38cba94d4e97" /><Relationship Type="http://schemas.openxmlformats.org/officeDocument/2006/relationships/worksheet" Target="/xl/worksheets/sheet3.xml" Id="R6d43825d18a94b28" /><Relationship Type="http://schemas.openxmlformats.org/officeDocument/2006/relationships/worksheet" Target="/xl/worksheets/sheet4.xml" Id="Rfd69d42fffa248ad" /><Relationship Type="http://schemas.openxmlformats.org/officeDocument/2006/relationships/worksheet" Target="/xl/worksheets/sheet5.xml" Id="Rfc56db6b6cb04889" /><Relationship Type="http://schemas.openxmlformats.org/officeDocument/2006/relationships/worksheet" Target="/xl/worksheets/sheet6.xml" Id="R5b38e5a083f74610" /><Relationship Type="http://schemas.openxmlformats.org/officeDocument/2006/relationships/worksheet" Target="/xl/worksheets/sheet7.xml" Id="R8d6271df9d4b4775" /><Relationship Type="http://schemas.openxmlformats.org/officeDocument/2006/relationships/worksheet" Target="/xl/worksheets/sheet8.xml" Id="Rfa6b4421cf7c467b" /><Relationship Type="http://schemas.openxmlformats.org/officeDocument/2006/relationships/worksheet" Target="/xl/worksheets/sheet9.xml" Id="Rb6bd04fc60e24228" /><Relationship Type="http://schemas.openxmlformats.org/officeDocument/2006/relationships/worksheet" Target="/xl/worksheets/sheet10.xml" Id="R5edace33db1d4fd2" /><Relationship Type="http://schemas.openxmlformats.org/officeDocument/2006/relationships/worksheet" Target="/xl/worksheets/sheet11.xml" Id="Rcf297df38901493e" /><Relationship Type="http://schemas.openxmlformats.org/officeDocument/2006/relationships/worksheet" Target="/xl/worksheets/sheet12.xml" Id="R70a86e3fb68f4cd6" /></Relationships>
</file>

<file path=xl/tables/table1.xml><?xml version="1.0" encoding="utf-8"?>
<x:table xmlns:x="http://schemas.openxmlformats.org/spreadsheetml/2006/main" id="1" name="CareChannelsTable" displayName="CareChannelsTable" ref="A4:J14" headerRowCount="1" totalsRowCount="0" totalsRowShown="0">
  <x:tableColumns count="10">
    <x:tableColumn id="1" name="通道ID"/>
    <x:tableColumn id="2" name="十神"/>
    <x:tableColumn id="3" name="功能系统"/>
    <x:tableColumn id="4" name="正式名称"/>
    <x:tableColumn id="5" name="核心支持逻辑"/>
    <x:tableColumn id="6" name="给予行为"/>
    <x:tableColumn id="7" name="请求支持"/>
    <x:tableColumn id="8" name="接受支持"/>
    <x:tableColumn id="9" name="连续性判断"/>
    <x:tableColumn id="10" name="禁止误读"/>
  </x:tableColumns>
  <x:tableStyleInfo name="TableStyleMedium2" showFirstColumn="0" showLastColumn="0" showRowStripes="1" showColumnStripes="0"/>
</x:table>
</file>

<file path=xl/tables/table2.xml><?xml version="1.0" encoding="utf-8"?>
<x:table xmlns:x="http://schemas.openxmlformats.org/spreadsheetml/2006/main" id="2" name="CareDimensionsTable" displayName="CareDimensionsTable" ref="A4:I40" headerRowCount="1" totalsRowCount="0" totalsRowShown="0">
  <x:tableColumns count="9">
    <x:tableColumn id="1" name="维度ID"/>
    <x:tableColumn id="2" name="维度"/>
    <x:tableColumn id="3" name="状态ID"/>
    <x:tableColumn id="4" name="状态"/>
    <x:tableColumn id="5" name="成立条件"/>
    <x:tableColumn id="6" name="内部含义"/>
    <x:tableColumn id="7" name="用户表达"/>
    <x:tableColumn id="8" name="输出字段"/>
    <x:tableColumn id="9" name="分值／作用"/>
  </x:tableColumns>
  <x:tableStyleInfo name="TableStyleMedium2" showFirstColumn="0" showLastColumn="0" showRowStripes="1" showColumnStripes="0"/>
</x:table>
</file>

<file path=xl/tables/table3.xml><?xml version="1.0" encoding="utf-8"?>
<x:table xmlns:x="http://schemas.openxmlformats.org/spreadsheetml/2006/main" id="3" name="CarePatternsTable" displayName="CarePatternsTable" ref="A4:H32" headerRowCount="1" totalsRowCount="0" totalsRowShown="0">
  <x:tableColumns count="8">
    <x:tableColumn id="1" name="编号"/>
    <x:tableColumn id="2" name="类别"/>
    <x:tableColumn id="3" name="名称"/>
    <x:tableColumn id="4" name="核心含义"/>
    <x:tableColumn id="5" name="成立条件"/>
    <x:tableColumn id="6" name="用户语言"/>
    <x:tableColumn id="7" name="输出字段"/>
    <x:tableColumn id="8" name="边界"/>
  </x:tableColumns>
  <x:tableStyleInfo name="TableStyleMedium2" showFirstColumn="0" showLastColumn="0" showRowStripes="1" showColumnStripes="0"/>
</x:table>
</file>

<file path=xl/tables/table4.xml><?xml version="1.0" encoding="utf-8"?>
<x:table xmlns:x="http://schemas.openxmlformats.org/spreadsheetml/2006/main" id="4" name="CareStateTable" displayName="CareStateTable" ref="A4:I32" headerRowCount="1" totalsRowCount="0" totalsRowShown="0">
  <x:tableColumns count="9">
    <x:tableColumn id="1" name="规则ID"/>
    <x:tableColumn id="2" name="状态名称"/>
    <x:tableColumn id="3" name="必要条件"/>
    <x:tableColumn id="4" name="内部修正"/>
    <x:tableColumn id="5" name="用户表达"/>
    <x:tableColumn id="6" name="分值／作用"/>
    <x:tableColumn id="7" name="输出字段"/>
    <x:tableColumn id="8" name="置信"/>
    <x:tableColumn id="9" name="禁止误读"/>
  </x:tableColumns>
  <x:tableStyleInfo name="TableStyleMedium2" showFirstColumn="0" showLastColumn="0" showRowStripes="1" showColumnStripes="0"/>
</x:table>
</file>

<file path=xl/tables/table5.xml><?xml version="1.0" encoding="utf-8"?>
<x:table xmlns:x="http://schemas.openxmlformats.org/spreadsheetml/2006/main" id="5" name="CareInterfacesTable" displayName="CareInterfacesTable" ref="A4:I28" headerRowCount="1" totalsRowCount="0" totalsRowShown="0">
  <x:tableColumns count="9">
    <x:tableColumn id="1" name="规则ID"/>
    <x:tableColumn id="2" name="接口／门控"/>
    <x:tableColumn id="3" name="相关模块"/>
    <x:tableColumn id="4" name="触发条件"/>
    <x:tableColumn id="5" name="正确处理"/>
    <x:tableColumn id="6" name="用户语言"/>
    <x:tableColumn id="7" name="输出字段"/>
    <x:tableColumn id="8" name="置信"/>
    <x:tableColumn id="9" name="禁止越界"/>
  </x:tableColumns>
  <x:tableStyleInfo name="TableStyleMedium2" showFirstColumn="0" showLastColumn="0" showRowStripes="1" showColumnStripes="0"/>
</x:table>
</file>

<file path=xl/tables/table6.xml><?xml version="1.0" encoding="utf-8"?>
<x:table xmlns:x="http://schemas.openxmlformats.org/spreadsheetml/2006/main" id="6" name="CareAtomicRulesTable" displayName="CareAtomicRulesTable" ref="A4:AE240" headerRowCount="1" totalsRowCount="0" totalsRowShown="0">
  <x:tableColumns count="31">
    <x:tableColumn id="1" name="rule_id"/>
    <x:tableColumn id="2" name="rule_name"/>
    <x:tableColumn id="3" name="layer"/>
    <x:tableColumn id="4" name="module"/>
    <x:tableColumn id="5" name="applicable_group"/>
    <x:tableColumn id="6" name="rule_type"/>
    <x:tableColumn id="7" name="main_signal"/>
    <x:tableColumn id="8" name="secondary_signal"/>
    <x:tableColumn id="9" name="required_conditions"/>
    <x:tableColumn id="10" name="excluded_conditions"/>
    <x:tableColumn id="11" name="self_strength_status"/>
    <x:tableColumn id="12" name="spouse_star_status"/>
    <x:tableColumn id="13" name="palace_signal"/>
    <x:tableColumn id="14" name="flow_path"/>
    <x:tableColumn id="15" name="signal_position"/>
    <x:tableColumn id="16" name="root_status"/>
    <x:tableColumn id="17" name="strength_level"/>
    <x:tableColumn id="18" name="favorability"/>
    <x:tableColumn id="19" name="transformation_status"/>
    <x:tableColumn id="20" name="distance_level"/>
    <x:tableColumn id="21" name="priority"/>
    <x:tableColumn id="22" name="score_effect"/>
    <x:tableColumn id="23" name="output_slot"/>
    <x:tableColumn id="24" name="internal_logic"/>
    <x:tableColumn id="25" name="user_explanation"/>
    <x:tableColumn id="26" name="forbidden_inference"/>
    <x:tableColumn id="27" name="confidence_base"/>
    <x:tableColumn id="28" name="validation_status"/>
    <x:tableColumn id="29" name="case_refs"/>
    <x:tableColumn id="30" name="notes"/>
    <x:tableColumn id="31" name="version"/>
  </x:tableColumns>
  <x:tableStyleInfo name="TableStyleMedium2" showFirstColumn="0" showLastColumn="0" showRowStripes="1" showColumnStripes="0"/>
</x:table>
</file>

<file path=xl/tables/table7.xml><?xml version="1.0" encoding="utf-8"?>
<x:table xmlns:x="http://schemas.openxmlformats.org/spreadsheetml/2006/main" id="7" name="CareGatesTable" displayName="CareGatesTable" ref="A4:I68" headerRowCount="1" totalsRowCount="0" totalsRowShown="0">
  <x:tableColumns count="9">
    <x:tableColumn id="1" name="规则ID"/>
    <x:tableColumn id="2" name="类别"/>
    <x:tableColumn id="3" name="规则名称"/>
    <x:tableColumn id="4" name="触发条件"/>
    <x:tableColumn id="5" name="正确处理"/>
    <x:tableColumn id="6" name="用户表达"/>
    <x:tableColumn id="7" name="禁止推断"/>
    <x:tableColumn id="8" name="输出字段"/>
    <x:tableColumn id="9" name="置信"/>
  </x:tableColumns>
  <x:tableStyleInfo name="TableStyleMedium2" showFirstColumn="0" showLastColumn="0" showRowStripes="1" showColumnStripes="0"/>
</x:table>
</file>

<file path=xl/tables/table8.xml><?xml version="1.0" encoding="utf-8"?>
<x:table xmlns:x="http://schemas.openxmlformats.org/spreadsheetml/2006/main" id="8" name="CareSentenceBankTable" displayName="CareSentenceBankTable" ref="A4:F35" headerRowCount="1" totalsRowCount="0" totalsRowShown="0">
  <x:tableColumns count="6">
    <x:tableColumn id="1" name="类别"/>
    <x:tableColumn id="2" name="编号"/>
    <x:tableColumn id="3" name="用途"/>
    <x:tableColumn id="4" name="可直接使用的句式"/>
    <x:tableColumn id="5" name="使用条件"/>
    <x:tableColumn id="6" name="禁止搭配"/>
  </x:tableColumns>
  <x:tableStyleInfo name="TableStyleMedium2" showFirstColumn="0" showLastColumn="0" showRowStripes="1" showColumnStripes="0"/>
</x:table>
</file>

<file path=xl/tables/table9.xml><?xml version="1.0" encoding="utf-8"?>
<x:table xmlns:x="http://schemas.openxmlformats.org/spreadsheetml/2006/main" id="9" name="CareCasesTable" displayName="CareCasesTable" ref="A4:R32" headerRowCount="1" totalsRowCount="0" totalsRowShown="0">
  <x:tableColumns count="18">
    <x:tableColumn id="1" name="案例ID"/>
    <x:tableColumn id="2" name="案例日期"/>
    <x:tableColumn id="3" name="资料来源"/>
    <x:tableColumn id="4" name="命盘结构摘要"/>
    <x:tableColumn id="5" name="BASE结果"/>
    <x:tableColumn id="6" name="主CARE通道"/>
    <x:tableColumn id="7" name="次CARE通道"/>
    <x:tableColumn id="8" name="CARE模式"/>
    <x:tableColumn id="9" name="投入启动"/>
    <x:tableColumn id="10" name="连续性"/>
    <x:tableColumn id="11" name="接受支持"/>
    <x:tableColumn id="12" name="交换结构／路径"/>
    <x:tableColumn id="13" name="模型输出摘要"/>
    <x:tableColumn id="14" name="真实反馈"/>
    <x:tableColumn id="15" name="匹配程度"/>
    <x:tableColumn id="16" name="偏差类型"/>
    <x:tableColumn id="17" name="关联规则ID"/>
    <x:tableColumn id="18" name="备注"/>
  </x:tableColumns>
  <x:tableStyleInfo name="TableStyleMedium2" showFirstColumn="0" showLastColumn="0" showRowStripes="1" showColumnStripes="0"/>
</x:table>
</file>

<file path=xl/tables/table10.xml><?xml version="1.0" encoding="utf-8"?>
<x:table xmlns:x="http://schemas.openxmlformats.org/spreadsheetml/2006/main" id="10" name="CareFieldDictionaryTable" displayName="CareFieldDictionaryTable" ref="A4:E50" headerRowCount="1" totalsRowCount="0" totalsRowShown="0">
  <x:tableColumns count="5">
    <x:tableColumn id="1" name="字段／代码"/>
    <x:tableColumn id="2" name="含义"/>
    <x:tableColumn id="3" name="类别"/>
    <x:tableColumn id="4" name="字段权威／所属"/>
    <x:tableColumn id="5" name="备注"/>
  </x:tableColumns>
  <x:tableStyleInfo name="TableStyleMedium2" showFirstColumn="0" showLastColumn="0" showRowStripes="1" showColumnStripes="0"/>
</x:table>
</file>

<file path=xl/tables/table11.xml><?xml version="1.0" encoding="utf-8"?>
<x:table xmlns:x="http://schemas.openxmlformats.org/spreadsheetml/2006/main" id="11" name="CareCodeDictionaryTable" displayName="CareCodeDictionaryTable" ref="A54:E92" headerRowCount="1" totalsRowCount="0" totalsRowShown="0">
  <x:tableColumns count="5">
    <x:tableColumn id="1" name="编号"/>
    <x:tableColumn id="2" name="名称"/>
    <x:tableColumn id="3" name="类别"/>
    <x:tableColumn id="4" name="十神"/>
    <x:tableColumn id="5" name="说明"/>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ea476aec9a84241" /></Relationships>
</file>

<file path=xl/worksheets/_rels/sheet3.xml.rels>&#65279;<?xml version="1.0" encoding="utf-8"?><Relationships xmlns="http://schemas.openxmlformats.org/package/2006/relationships"><Relationship Type="http://schemas.openxmlformats.org/officeDocument/2006/relationships/table" Target="/xl/tables/table2.xml" Id="Rb56a8ab668ba4223" /></Relationships>
</file>

<file path=xl/worksheets/_rels/sheet4.xml.rels>&#65279;<?xml version="1.0" encoding="utf-8"?><Relationships xmlns="http://schemas.openxmlformats.org/package/2006/relationships"><Relationship Type="http://schemas.openxmlformats.org/officeDocument/2006/relationships/table" Target="/xl/tables/table3.xml" Id="R9286f905084a4f42" /></Relationships>
</file>

<file path=xl/worksheets/_rels/sheet5.xml.rels>&#65279;<?xml version="1.0" encoding="utf-8"?><Relationships xmlns="http://schemas.openxmlformats.org/package/2006/relationships"><Relationship Type="http://schemas.openxmlformats.org/officeDocument/2006/relationships/table" Target="/xl/tables/table4.xml" Id="R6a9b7edb550f497b" /></Relationships>
</file>

<file path=xl/worksheets/_rels/sheet6.xml.rels>&#65279;<?xml version="1.0" encoding="utf-8"?><Relationships xmlns="http://schemas.openxmlformats.org/package/2006/relationships"><Relationship Type="http://schemas.openxmlformats.org/officeDocument/2006/relationships/table" Target="/xl/tables/table5.xml" Id="Ra89da362ac1b403e" /></Relationships>
</file>

<file path=xl/worksheets/_rels/sheet7.xml.rels>&#65279;<?xml version="1.0" encoding="utf-8"?><Relationships xmlns="http://schemas.openxmlformats.org/package/2006/relationships"><Relationship Type="http://schemas.openxmlformats.org/officeDocument/2006/relationships/table" Target="/xl/tables/table6.xml" Id="R83a7f5c51ce647d4" /></Relationships>
</file>

<file path=xl/worksheets/_rels/sheet8.xml.rels>&#65279;<?xml version="1.0" encoding="utf-8"?><Relationships xmlns="http://schemas.openxmlformats.org/package/2006/relationships"><Relationship Type="http://schemas.openxmlformats.org/officeDocument/2006/relationships/table" Target="/xl/tables/table7.xml" Id="R4c8df5eb345c4382" /></Relationships>
</file>

<file path=xl/worksheets/_rels/sheet9.xml.rels>&#65279;<?xml version="1.0" encoding="utf-8"?><Relationships xmlns="http://schemas.openxmlformats.org/package/2006/relationships"><Relationship Type="http://schemas.openxmlformats.org/officeDocument/2006/relationships/table" Target="/xl/tables/table8.xml" Id="R003380459b9e4ba0" /></Relationships>
</file>

<file path=xl/worksheets/_rels/sheet10.xml.rels>&#65279;<?xml version="1.0" encoding="utf-8"?><Relationships xmlns="http://schemas.openxmlformats.org/package/2006/relationships"><Relationship Type="http://schemas.openxmlformats.org/officeDocument/2006/relationships/table" Target="/xl/tables/table9.xml" Id="R95debe7c9b3a4f0e" /></Relationships>
</file>

<file path=xl/worksheets/_rels/sheet11.xml.rels>&#65279;<?xml version="1.0" encoding="utf-8"?><Relationships xmlns="http://schemas.openxmlformats.org/package/2006/relationships"><Relationship Type="http://schemas.openxmlformats.org/officeDocument/2006/relationships/table" Target="/xl/tables/table10.xml" Id="Rd8ef7c5ddea24b9a" /><Relationship Type="http://schemas.openxmlformats.org/officeDocument/2006/relationships/table" Target="/xl/tables/table11.xml" Id="R6f60afe5463a4a77" /></Relationships>
</file>

<file path=xl/worksheets/sheet1.xml><?xml version="1.0" encoding="utf-8"?>
<x:worksheet xmlns:x="http://schemas.openxmlformats.org/spreadsheetml/2006/main">
  <x:sheetFormatPr defaultRowHeight="15"/>
  <x:cols>
    <x:col min="1" max="1" width="15" hidden="0" customWidth="1"/>
    <x:col min="2" max="2" width="42" hidden="0" customWidth="1"/>
    <x:col min="3" max="3" width="38" hidden="0" customWidth="1"/>
    <x:col min="4" max="4" width="42" hidden="0" customWidth="1"/>
  </x:cols>
  <x:sheetData>
    <x:row r="1" ht="30" customHeight="1">
      <x:c r="A1" s="44" t="str">
        <x:v>M3-CARE 付出、照顾与支持交换原子规则库 V0.4</x:v>
      </x:c>
      <x:c r="B1" s="44"/>
      <x:c r="C1" s="44"/>
      <x:c r="D1" s="44"/>
    </x:row>
    <x:row r="2" ht="32" customHeight="1">
      <x:c r="A2" s="13" t="str">
        <x:v>用途：快速学习、案例分析、规则检索与后续程序迁移。当前236条规则均为待验证、provisional=true。</x:v>
      </x:c>
      <x:c r="B2" s="13"/>
      <x:c r="C2" s="13"/>
      <x:c r="D2" s="13"/>
    </x:row>
    <x:row r="3" ht="8" customHeight="1"/>
    <x:row r="4">
      <x:c r="A4" s="26" t="str">
        <x:v>项目</x:v>
      </x:c>
      <x:c r="B4" s="26" t="str">
        <x:v>内容</x:v>
      </x:c>
      <x:c r="C4" s="26" t="str">
        <x:v>检查重点</x:v>
      </x:c>
      <x:c r="D4" s="26" t="str">
        <x:v>快速检索提示</x:v>
      </x:c>
    </x:row>
    <x:row r="5">
      <x:c r="A5" s="20" t="str">
        <x:v>模型问题</x:v>
      </x:c>
      <x:c r="B5" s="20" t="str">
        <x:v>进入关系后，用户通常把什么投入关系、怎样启动和持续支持、怎样提出需要、接受帮助并形成回馈？</x:v>
      </x:c>
      <x:c r="C5" s="20" t="str">
        <x:v>只描述支持交换，不判断过度、风险或适配。</x:v>
      </x:c>
      <x:c r="D5" s="20" t="str">
        <x:v>Ctrl+F：正财、七杀、CA05、CQ02、G03、RC02、CE03、CF04、真合化、同源去重</x:v>
      </x:c>
    </x:row>
    <x:row r="6">
      <x:c r="A6" s="20" t="str">
        <x:v>本模块输出</x:v>
      </x:c>
      <x:c r="B6" s="20" t="str">
        <x:v>主／次CARE通道、付出内容、启动方向、连续性、请求与接受支持、回馈结构、CARE路径、状态切换和置信度</x:v>
      </x:c>
      <x:c r="C6" s="20" t="str">
        <x:v>给予与接受必须分栏；正文一主一次。</x:v>
      </x:c>
      <x:c r="D6" s="20" t="str">
        <x:v>先看01—05，再到06查规则ID，输出前看07—08。</x:v>
      </x:c>
    </x:row>
    <x:row r="7">
      <x:c r="A7" s="20" t="str">
        <x:v>规则数量</x:v>
      </x:c>
      <x:c r="B7" s="20" t="n">
        <x:v>236</x:v>
      </x:c>
      <x:c r="C7" s="20" t="str">
        <x:v>M3-CARE-001—M3-CARE-236</x:v>
      </x:c>
      <x:c r="D7" s="20" t="str">
        <x:v>全部待验证、provisional=true</x:v>
      </x:c>
    </x:row>
    <x:row r="8">
      <x:c r="A8" s="20" t="str">
        <x:v>版本日期</x:v>
      </x:c>
      <x:c r="B8" s="20" t="str">
        <x:v>2026-08-26</x:v>
      </x:c>
      <x:c r="C8" s="20" t="str">
        <x:v>知识库工程参数，不是统计准确率。</x:v>
      </x:c>
      <x:c r="D8" s="20" t="str"/>
    </x:row>
    <x:row r="9">
      <x:c r="A9" s="20" t="str"/>
      <x:c r="B9" s="20" t="str"/>
      <x:c r="C9" s="20" t="str"/>
      <x:c r="D9" s="20" t="str"/>
    </x:row>
    <x:row r="10">
      <x:c r="A10" s="38" t="str">
        <x:v>90秒案例分析顺序</x:v>
      </x:c>
      <x:c r="B10" s="38" t="str"/>
      <x:c r="C10" s="38" t="str"/>
      <x:c r="D10" s="38" t="str"/>
    </x:row>
    <x:row r="11">
      <x:c r="A11" s="32" t="str">
        <x:v>步骤</x:v>
      </x:c>
      <x:c r="B11" s="32" t="str">
        <x:v>任务</x:v>
      </x:c>
      <x:c r="C11" s="32" t="str">
        <x:v>检查重点</x:v>
      </x:c>
      <x:c r="D11" s="32" t="str">
        <x:v>快速提示</x:v>
      </x:c>
    </x:row>
    <x:row r="12">
      <x:c r="A12" s="26" t="str">
        <x:v>1</x:v>
      </x:c>
      <x:c r="B12" s="26" t="str">
        <x:v>确认M3-BASE有效</x:v>
      </x:c>
      <x:c r="C12" s="26" t="str">
        <x:v>日支主气、合化、共享基础状态先可靠。</x:v>
      </x:c>
      <x:c r="D12" s="26" t="str">
        <x:v>BASE未定时CARE不得硬输出。</x:v>
      </x:c>
    </x:row>
    <x:row r="13">
      <x:c r="A13" s="20" t="str">
        <x:v>2</x:v>
      </x:c>
      <x:c r="B13" s="20" t="str">
        <x:v>标记十类CARE候选</x:v>
      </x:c>
      <x:c r="C13" s="20" t="str">
        <x:v>CA01—CA10对应并肩、协作、舒缓、解题、稳定投入、灵活馈赠、责任、行动、承接、个性支持。</x:v>
      </x:c>
      <x:c r="D13" s="20" t="str">
        <x:v>01_十神照顾速查</x:v>
      </x:c>
    </x:row>
    <x:row r="14">
      <x:c r="A14" s="20" t="str">
        <x:v>3</x:v>
      </x:c>
      <x:c r="B14" s="20" t="str">
        <x:v>分开给予与接受</x:v>
      </x:c>
      <x:c r="C14" s="20" t="str">
        <x:v>怎样帮助对方，怎样请求和接受帮助，不能互相代替。</x:v>
      </x:c>
      <x:c r="D14" s="20" t="str">
        <x:v>CQ05、CQ06</x:v>
      </x:c>
    </x:row>
    <x:row r="15">
      <x:c r="A15" s="20" t="str">
        <x:v>4</x:v>
      </x:c>
      <x:c r="B15" s="20" t="str">
        <x:v>判断可见度与连续性</x:v>
      </x:c>
      <x:c r="C15" s="20" t="str">
        <x:v>透干主要提高可见度，根气和重复行为主要提高连续性。</x:v>
      </x:c>
      <x:c r="D15" s="20" t="str">
        <x:v>CQ01、CQ02</x:v>
      </x:c>
    </x:row>
    <x:row r="16">
      <x:c r="A16" s="20" t="str">
        <x:v>5</x:v>
      </x:c>
      <x:c r="B16" s="20" t="str">
        <x:v>判断启动方向</x:v>
      </x:c>
      <x:c r="C16" s="20" t="str">
        <x:v>G01主动、G02回应、G03共同、G04条件启动。</x:v>
      </x:c>
      <x:c r="D16" s="20" t="str">
        <x:v>02_过程维度矩阵</x:v>
      </x:c>
    </x:row>
    <x:row r="17">
      <x:c r="A17" s="20" t="str">
        <x:v>6</x:v>
      </x:c>
      <x:c r="B17" s="20" t="str">
        <x:v>判断支持内容与回馈</x:v>
      </x:c>
      <x:c r="C17" s="20" t="str">
        <x:v>H01—H06内容；FB01—FB04回馈。</x:v>
      </x:c>
      <x:c r="D17" s="20" t="str">
        <x:v>情绪、现实、认知、行动、体验、并肩</x:v>
      </x:c>
    </x:row>
    <x:row r="18">
      <x:c r="A18" s="20" t="str">
        <x:v>7</x:v>
      </x:c>
      <x:c r="B18" s="20" t="str">
        <x:v>应用状态修正</x:v>
      </x:c>
      <x:c r="C18" s="20" t="str">
        <x:v>透藏、根气、旺弱、喜忌、制化、位置和真合化。</x:v>
      </x:c>
      <x:c r="D18" s="20" t="str">
        <x:v>04_状态修正矩阵</x:v>
      </x:c>
    </x:row>
    <x:row r="19">
      <x:c r="A19" s="20" t="str">
        <x:v>8</x:v>
      </x:c>
      <x:c r="B19" s="20" t="str">
        <x:v>完成同源去重</x:v>
      </x:c>
      <x:c r="C19" s="20" t="str">
        <x:v>BASE、EXPR、CARE共享事实只计一次基础权重。</x:v>
      </x:c>
      <x:c r="D19" s="20" t="str">
        <x:v>05_接口与去重</x:v>
      </x:c>
    </x:row>
    <x:row r="20">
      <x:c r="A20" s="20" t="str">
        <x:v>9</x:v>
      </x:c>
      <x:c r="B20" s="20" t="str">
        <x:v>确定模式与路径</x:v>
      </x:c>
      <x:c r="C20" s="20" t="str">
        <x:v>CP01—CP12、CE01—CE08、CF01—CF08。</x:v>
      </x:c>
      <x:c r="D20" s="20" t="str">
        <x:v>03_付出模式矩阵</x:v>
      </x:c>
    </x:row>
    <x:row r="21">
      <x:c r="A21" s="20" t="str">
        <x:v>10</x:v>
      </x:c>
      <x:c r="B21" s="20" t="str">
        <x:v>主次、置信与输出</x:v>
      </x:c>
      <x:c r="C21" s="20" t="str">
        <x:v>主≥32且领先≥8；次≥22且功能独立；正文一主一次。</x:v>
      </x:c>
      <x:c r="D21" s="20" t="str">
        <x:v>08_输出模板与句库</x:v>
      </x:c>
    </x:row>
    <x:row r="22">
      <x:c r="A22" s="42" t="str"/>
      <x:c r="B22" s="42" t="str"/>
      <x:c r="C22" s="42" t="str"/>
      <x:c r="D22" s="42" t="str"/>
    </x:row>
    <x:row r="23">
      <x:c r="A23" s="32" t="str">
        <x:v>四条硬边界</x:v>
      </x:c>
      <x:c r="B23" s="32" t="str"/>
      <x:c r="C23" s="32" t="str"/>
      <x:c r="D23" s="32" t="str">
        <x:v>核心记忆句</x:v>
      </x:c>
    </x:row>
    <x:row r="24">
      <x:c r="A24" s="26" t="str">
        <x:v>情形</x:v>
      </x:c>
      <x:c r="B24" s="26" t="str">
        <x:v>正确处理</x:v>
      </x:c>
      <x:c r="C24" s="26" t="str"/>
      <x:c r="D24" s="26" t="str">
        <x:v>财把支持落到现实；官杀把现实组织为责任和行动；印负责承接与接受；食伤提供陪伴和解题；比劫负责共同参与与自主。</x:v>
      </x:c>
    </x:row>
    <x:row r="25">
      <x:c r="A25" s="20" t="str">
        <x:v>行动表达</x:v>
      </x:c>
      <x:c r="B25" s="20" t="str">
        <x:v>不等于持续投入；继续检查根气、重复行为和资源安排。</x:v>
      </x:c>
      <x:c r="C25" s="20" t="str"/>
      <x:c r="D25" s="20" t="str"/>
    </x:row>
    <x:row r="26">
      <x:c r="A26" s="20" t="str">
        <x:v>付出很多</x:v>
      </x:c>
      <x:c r="B26" s="20" t="str">
        <x:v>不等于边界差；资源权限、拒绝和停止点交给M3-BOUND。</x:v>
      </x:c>
      <x:c r="C26" s="20" t="str"/>
      <x:c r="D26" s="20" t="str"/>
    </x:row>
    <x:row r="27">
      <x:c r="A27" s="20" t="str">
        <x:v>单向可见</x:v>
      </x:c>
      <x:c r="B27" s="20" t="str">
        <x:v>不等于单向关系；检查隐性支持、错峰回馈和资料缺失。</x:v>
      </x:c>
      <x:c r="C27" s="20" t="str"/>
      <x:c r="D27" s="20" t="str"/>
    </x:row>
    <x:row r="28">
      <x:c r="A28" s="20" t="str">
        <x:v>过旺或为忌</x:v>
      </x:c>
      <x:c r="B28" s="20" t="str">
        <x:v>不等于过度付出；CARE只说明抢先和资源占位，风险交给M4。</x:v>
      </x:c>
      <x:c r="C28" s="20" t="str"/>
      <x:c r="D28" s="20" t="str"/>
    </x:row>
  </x:sheetData>
  <x:mergeCells>
    <x:mergeCell ref="A1:D1"/>
    <x:mergeCell ref="A2:D2"/>
  </x:mergeCells>
  <x:pageMargins left="0.7" right="0.7" top="0.75" bottom="0.75" header="0.3" footer="0.3"/>
</x:worksheet>
</file>

<file path=xl/worksheets/sheet2.xml><?xml version="1.0" encoding="utf-8"?>
<x:worksheet xmlns:x="http://schemas.openxmlformats.org/spreadsheetml/2006/main">
  <x:sheetFormatPr defaultRowHeight="15"/>
  <x:cols>
    <x:col min="1" max="1" width="9" hidden="0" customWidth="1"/>
    <x:col min="2" max="2" width="8" hidden="0" customWidth="1"/>
    <x:col min="3" max="3" width="18" hidden="0" customWidth="1"/>
    <x:col min="4" max="4" width="14" hidden="0" customWidth="1"/>
    <x:col min="5" max="5" width="38" hidden="0" customWidth="1"/>
    <x:col min="6" max="6" width="38" hidden="0" customWidth="1"/>
    <x:col min="7" max="7" width="34" hidden="0" customWidth="1"/>
    <x:col min="8" max="8" width="34" hidden="0" customWidth="1"/>
    <x:col min="9" max="9" width="36" hidden="0" customWidth="1"/>
    <x:col min="10" max="10" width="38" hidden="0" customWidth="1"/>
  </x:cols>
  <x:sheetData>
    <x:row r="1" ht="30" customHeight="1">
      <x:c r="A1" s="5" t="str">
        <x:v>十类CARE通道速查</x:v>
      </x:c>
      <x:c r="B1" s="5"/>
      <x:c r="C1" s="5"/>
      <x:c r="D1" s="5"/>
      <x:c r="E1" s="5"/>
      <x:c r="F1" s="5"/>
      <x:c r="G1" s="5"/>
      <x:c r="H1" s="5"/>
      <x:c r="I1" s="5"/>
      <x:c r="J1" s="5"/>
    </x:row>
    <x:row r="2" ht="32" customHeight="1">
      <x:c r="A2" s="13" t="str">
        <x:v>先确定主要CARE通道，再结合可见度、连续性、投入启动、请求／接受支持和交换结构。十神只负责功能，不直接等于人格好坏。</x:v>
      </x:c>
      <x:c r="B2" s="13"/>
      <x:c r="C2" s="13"/>
      <x:c r="D2" s="13"/>
      <x:c r="E2" s="13"/>
      <x:c r="F2" s="13"/>
      <x:c r="G2" s="13"/>
      <x:c r="H2" s="13"/>
      <x:c r="I2" s="13"/>
      <x:c r="J2" s="13"/>
    </x:row>
    <x:row r="3" ht="8" customHeight="1"/>
    <x:row r="4" ht="28" customHeight="1">
      <x:c r="A4" s="50" t="str">
        <x:v>通道ID</x:v>
      </x:c>
      <x:c r="B4" s="50" t="str">
        <x:v>十神</x:v>
      </x:c>
      <x:c r="C4" s="50" t="str">
        <x:v>功能系统</x:v>
      </x:c>
      <x:c r="D4" s="50" t="str">
        <x:v>正式名称</x:v>
      </x:c>
      <x:c r="E4" s="50" t="str">
        <x:v>核心支持逻辑</x:v>
      </x:c>
      <x:c r="F4" s="50" t="str">
        <x:v>给予行为</x:v>
      </x:c>
      <x:c r="G4" s="50" t="str">
        <x:v>请求支持</x:v>
      </x:c>
      <x:c r="H4" s="50" t="str">
        <x:v>接受支持</x:v>
      </x:c>
      <x:c r="I4" s="50" t="str">
        <x:v>连续性判断</x:v>
      </x:c>
      <x:c r="J4" s="50" t="str">
        <x:v>禁止误读</x:v>
      </x:c>
    </x:row>
    <x:row r="5" ht="74" customHeight="1">
      <x:c r="A5" s="58" t="str">
        <x:v>CA01</x:v>
      </x:c>
      <x:c r="B5" s="58" t="str">
        <x:v>比肩</x:v>
      </x:c>
      <x:c r="C5" s="58" t="str">
        <x:v>SYS01 自我边界系统</x:v>
      </x:c>
      <x:c r="D5" s="58" t="str">
        <x:v>并肩互助</x:v>
      </x:c>
      <x:c r="E5" s="58" t="str">
        <x:v>通过平等参与、分担任务、尊重选择和各自负责，把支持做成“我们一起处理”，而不是一方完全替另一方承担。</x:v>
      </x:c>
      <x:c r="F5" s="58" t="str">
        <x:v>愿意并肩完成事情、共享信息、讨论分工、尊重对方自己处理的部分，并在需要时补位。</x:v>
      </x:c>
      <x:c r="G5" s="58" t="str">
        <x:v>更容易把求助说成具体协作，例如“这部分能不能一起处理”或“我需要你负责哪一段”。</x:v>
      </x:c>
      <x:c r="H5" s="58" t="str">
        <x:v>更容易接受不替自己做决定、不过度接管、允许自己保留能力和选择权的帮助。</x:v>
      </x:c>
      <x:c r="I5" s="58" t="str">
        <x:v>持续性通常来自清楚分工、双方都参与和各自责任可见；若只有单方要求而无协商，通道不宜直接判为稳定。</x:v>
      </x:c>
      <x:c r="J5" s="58" t="str">
        <x:v>不得推出用户计较、冷淡、不愿照顾、凡事AA、缺乏亲密或一定拒绝依赖。</x:v>
      </x:c>
    </x:row>
    <x:row r="6" ht="74" customHeight="1">
      <x:c r="A6" s="62" t="str">
        <x:v>CA02</x:v>
      </x:c>
      <x:c r="B6" s="62" t="str">
        <x:v>劫财</x:v>
      </x:c>
      <x:c r="C6" s="62" t="str">
        <x:v>SYS01 自我边界系统</x:v>
      </x:c>
      <x:c r="D6" s="62" t="str">
        <x:v>即时协作</x:v>
      </x:c>
      <x:c r="E6" s="62" t="str">
        <x:v>通过快速加入、调动资源、共同执行和现场补位提供支持，重视“需要的时候我能马上参与”。</x:v>
      </x:c>
      <x:c r="F6" s="62" t="str">
        <x:v>遇到事情时会主动出现、一起跑流程、联系资源、推动进度，或直接加入对方正在做的事。</x:v>
      </x:c>
      <x:c r="G6" s="62" t="str">
        <x:v>求助常以直接邀约、即时任务或共同挑战出现，希望对方尽快回应并一起动起来。</x:v>
      </x:c>
      <x:c r="H6" s="62" t="str">
        <x:v>更容易接受能马上参与、提供资源、共同承担现场任务的支持；过度说教但不行动未必容易被感知为帮助。</x:v>
      </x:c>
      <x:c r="I6" s="62" t="str">
        <x:v>更容易在明确任务、共同目标或紧迫情境中持续；是否能转为日常稳定投入，需要财星、官杀或根气的独立支持。</x:v>
      </x:c>
      <x:c r="J6" s="62" t="str">
        <x:v>不得推出用户争抢、冲动花钱、爱竞争、关系中有第三者、资源一定失控或无法长期坚持。</x:v>
      </x:c>
    </x:row>
    <x:row r="7" ht="74" customHeight="1">
      <x:c r="A7" s="58" t="str">
        <x:v>CA03</x:v>
      </x:c>
      <x:c r="B7" s="58" t="str">
        <x:v>食神</x:v>
      </x:c>
      <x:c r="C7" s="58" t="str">
        <x:v>SYS02 表达交流系统</x:v>
      </x:c>
      <x:c r="D7" s="58" t="str">
        <x:v>舒缓照料</x:v>
      </x:c>
      <x:c r="E7" s="58" t="str">
        <x:v>通过陪伴、饮食起居、舒适氛围、耐心安抚和让日常变得轻松来照顾关系。</x:v>
      </x:c>
      <x:c r="F7" s="58" t="str">
        <x:v>会用陪伴、做饭、分享、照顾休息、缓和氛围、提供情绪价值或让对方放松来表达支持。</x:v>
      </x:c>
      <x:c r="G7" s="58" t="str">
        <x:v>更容易在安全、温和的语境里提出需要，例如希望陪伴、休息、被体谅或一起过得舒服一点。</x:v>
      </x:c>
      <x:c r="H7" s="58" t="str">
        <x:v>更容易接受不急迫、不过度要求、能照顾节奏和身体情绪状态的支持。</x:v>
      </x:c>
      <x:c r="I7" s="58" t="str">
        <x:v>持续性通常体现为日常小事和稳定陪伴，而不是高强度事件；根气和重复行为比一次浪漫更重要。</x:v>
      </x:c>
      <x:c r="J7" s="58" t="str">
        <x:v>不得推出用户讨好、懒散、没有原则、只会提供情绪价值、一定擅长家务或永远情绪稳定。</x:v>
      </x:c>
    </x:row>
    <x:row r="8" ht="74" customHeight="1">
      <x:c r="A8" s="62" t="str">
        <x:v>CA04</x:v>
      </x:c>
      <x:c r="B8" s="62" t="str">
        <x:v>伤官</x:v>
      </x:c>
      <x:c r="C8" s="62" t="str">
        <x:v>SYS02 表达交流系统</x:v>
      </x:c>
      <x:c r="D8" s="62" t="str">
        <x:v>解题支持</x:v>
      </x:c>
      <x:c r="E8" s="62" t="str">
        <x:v>通过分析问题、给出思路、解释信息、优化方案和帮助对方看清关键点提供支持。</x:v>
      </x:c>
      <x:c r="F8" s="62" t="str">
        <x:v>会认真听问题、拆解原因、提供建议、查资料、指出遗漏、设计更有效的处理方法。</x:v>
      </x:c>
      <x:c r="G8" s="62" t="str">
        <x:v>求助时倾向说明问题、背景、卡点和希望得到的具体反馈，不一定只需要安慰。</x:v>
      </x:c>
      <x:c r="H8" s="62" t="str">
        <x:v>更容易接受有内容、能回应具体问题、允许讨论并提供可验证方法的帮助。</x:v>
      </x:c>
      <x:c r="I8" s="62" t="str">
        <x:v>更容易在有明确问题、需要认知或技能输出时持续；是否能落实到长期行动，需要财星或官杀的支持。</x:v>
      </x:c>
      <x:c r="J8" s="62" t="str">
        <x:v>不得推出用户爱批评、说话伤人、只会讲道理、缺少情绪价值、一定和伴侣争辩或不尊重对方。</x:v>
      </x:c>
    </x:row>
    <x:row r="9" ht="74" customHeight="1">
      <x:c r="A9" s="58" t="str">
        <x:v>CA05</x:v>
      </x:c>
      <x:c r="B9" s="58" t="str">
        <x:v>正财</x:v>
      </x:c>
      <x:c r="C9" s="58" t="str">
        <x:v>SYS03 投入经营系统</x:v>
      </x:c>
      <x:c r="D9" s="58" t="str">
        <x:v>稳定投入</x:v>
      </x:c>
      <x:c r="E9" s="58" t="str">
        <x:v>通过持续安排时间、处理日常事务、稳定投入资源和维护可重复的生活秩序照顾关系。</x:v>
      </x:c>
      <x:c r="F9" s="58" t="str">
        <x:v>会记住承诺、安排时间、处理生活细节、分配预算、持续出现、把对方纳入现实计划。</x:v>
      </x:c>
      <x:c r="G9" s="58" t="str">
        <x:v>更容易把求助说成具体事项、时间、预算、分工和可执行步骤。</x:v>
      </x:c>
      <x:c r="H9" s="58" t="str">
        <x:v>更容易从对方是否持续出现、把话落实、处理现实问题和尊重共同安排中感到被支持。</x:v>
      </x:c>
      <x:c r="I9" s="58" t="str">
        <x:v>正财的核心证据是重复、可预期和可落实；单次礼物或一次承担不能替代长期稳定性。</x:v>
      </x:c>
      <x:c r="J9" s="58" t="str">
        <x:v>不得推出用户功利、只看金钱、精于算计、缺乏浪漫、一定顾家或必然承担全部家务。</x:v>
      </x:c>
    </x:row>
    <x:row r="10" ht="74" customHeight="1">
      <x:c r="A10" s="62" t="str">
        <x:v>CA06</x:v>
      </x:c>
      <x:c r="B10" s="62" t="str">
        <x:v>偏财</x:v>
      </x:c>
      <x:c r="C10" s="62" t="str">
        <x:v>SYS03 投入经营系统</x:v>
      </x:c>
      <x:c r="D10" s="62" t="str">
        <x:v>灵活馈赠</x:v>
      </x:c>
      <x:c r="E10" s="62" t="str">
        <x:v>通过灵活调配资源、创造体验、及时回应机会、分享人脉或让关系保持活力来提供支持。</x:v>
      </x:c>
      <x:c r="F10" s="62" t="str">
        <x:v>会邀约、送礼、制造体验、临时调整安排、分享资源和人脉，或在当下迅速满足一个具体需要。</x:v>
      </x:c>
      <x:c r="G10" s="62" t="str">
        <x:v>求助常以当下需要、机会、资源或共同体验的形式提出，较少要求严格固定流程。</x:v>
      </x:c>
      <x:c r="H10" s="62" t="str">
        <x:v>更容易接受灵活、有回应、能带来实际便利或新鲜体验的帮助。</x:v>
      </x:c>
      <x:c r="I10" s="62" t="str">
        <x:v>更强调回应速度、体验质量和资源灵活度；是否形成稳定长期投入，需要根气、正财或官杀的独立证据。</x:v>
      </x:c>
      <x:c r="J10" s="62" t="str">
        <x:v>不得推出用户花心、挥霍、爱暧昧、只追求新鲜、不会负责或一定擅长社交。</x:v>
      </x:c>
    </x:row>
    <x:row r="11" ht="74" customHeight="1">
      <x:c r="A11" s="58" t="str">
        <x:v>CA07</x:v>
      </x:c>
      <x:c r="B11" s="58" t="str">
        <x:v>正官</x:v>
      </x:c>
      <x:c r="C11" s="58" t="str">
        <x:v>SYS04 责任行动系统</x:v>
      </x:c>
      <x:c r="D11" s="58" t="str">
        <x:v>责任承担</x:v>
      </x:c>
      <x:c r="E11" s="58" t="str">
        <x:v>通过明确责任、守约、稳定履职、建立规则和把共同事务纳入正式安排来支持关系。</x:v>
      </x:c>
      <x:c r="F11" s="58" t="str">
        <x:v>会按约完成、主动承担固定事务、给出清楚交代、维护共同规则，并在需要时承担角色责任。</x:v>
      </x:c>
      <x:c r="G11" s="58" t="str">
        <x:v>更容易用责任、角色、约定和双方应怎样配合来提出需要。</x:v>
      </x:c>
      <x:c r="H11" s="58" t="str">
        <x:v>更容易接受有交代、守约、尊重规则、愿意承担后果的支持。</x:v>
      </x:c>
      <x:c r="I11" s="58" t="str">
        <x:v>持续性来自责任边界清楚、承诺可追踪和行为前后一致；只有口头原则而无兑现不构成稳定CARE。</x:v>
      </x:c>
      <x:c r="J11" s="58" t="str">
        <x:v>不得推出用户古板、爱管人、权威主义、没有情感、一定遵循传统角色或关系必然稳定。</x:v>
      </x:c>
    </x:row>
    <x:row r="12" ht="74" customHeight="1">
      <x:c r="A12" s="62" t="str">
        <x:v>CA08</x:v>
      </x:c>
      <x:c r="B12" s="62" t="str">
        <x:v>七杀</x:v>
      </x:c>
      <x:c r="C12" s="62" t="str">
        <x:v>SYS04 责任行动系统</x:v>
      </x:c>
      <x:c r="D12" s="62" t="str">
        <x:v>行动保护</x:v>
      </x:c>
      <x:c r="E12" s="62" t="str">
        <x:v>通过关键时刻出现、快速决策、处理危机、排除障碍和推动问题解决提供支持。</x:v>
      </x:c>
      <x:c r="F12" s="62" t="str">
        <x:v>会迅速采取行动、保护对方、处理棘手事务、做决定、承担高压任务或替关系推进关键环节。</x:v>
      </x:c>
      <x:c r="G12" s="62" t="str">
        <x:v>求助时更倾向直接说明目标、紧迫问题和需要对方立即处理的部分。</x:v>
      </x:c>
      <x:c r="H12" s="62" t="str">
        <x:v>更容易接受清楚、果断、能真正解决问题并承担后续的帮助。</x:v>
      </x:c>
      <x:c r="I12" s="62" t="str">
        <x:v>七杀更容易在紧迫、困难和需要决断的情境中显现；是否转成日常稳定照顾，需要正官、财星或根气支持。</x:v>
      </x:c>
      <x:c r="J12" s="62" t="str">
        <x:v>不得推出用户暴力、强迫、控制欲强、情绪粗暴、一定替对方做决定或关系存在危险。</x:v>
      </x:c>
    </x:row>
    <x:row r="13" ht="74" customHeight="1">
      <x:c r="A13" s="58" t="str">
        <x:v>CA09</x:v>
      </x:c>
      <x:c r="B13" s="58" t="str">
        <x:v>正印</x:v>
      </x:c>
      <x:c r="C13" s="58" t="str">
        <x:v>SYS05 承接内化系统</x:v>
      </x:c>
      <x:c r="D13" s="58" t="str">
        <x:v>安全承接</x:v>
      </x:c>
      <x:c r="E13" s="58" t="str">
        <x:v>通过倾听、理解、耐心照顾、提供知识与稳定支持，让对方在关系里有被接住的感受。</x:v>
      </x:c>
      <x:c r="F13" s="58" t="str">
        <x:v>会倾听、安抚、照顾健康和休息、提供信息或经验、记住对方的状态，并给出稳定支持。</x:v>
      </x:c>
      <x:c r="G13" s="58" t="str">
        <x:v>更容易在安全和信任中表达需要，希望得到理解、时间、指导或稳定陪伴。</x:v>
      </x:c>
      <x:c r="H13" s="58" t="str">
        <x:v>更容易接受不催促、不轻易否定、愿意理解背景并提供稳定承接的帮助。</x:v>
      </x:c>
      <x:c r="I13" s="58" t="str">
        <x:v>持续性来自耐心、重复回应和可靠的承接环境；一次安慰不能替代长期可依赖的支持。</x:v>
      </x:c>
      <x:c r="J13" s="58" t="str">
        <x:v>不得推出用户依赖、软弱、母性／父性过强、没有边界、喜欢被照顾或一定牺牲自己。</x:v>
      </x:c>
    </x:row>
    <x:row r="14" ht="74" customHeight="1">
      <x:c r="A14" s="62" t="str">
        <x:v>CA10</x:v>
      </x:c>
      <x:c r="B14" s="62" t="str">
        <x:v>偏印</x:v>
      </x:c>
      <x:c r="C14" s="62" t="str">
        <x:v>SYS05 承接内化系统</x:v>
      </x:c>
      <x:c r="D14" s="62" t="str">
        <x:v>个性支持</x:v>
      </x:c>
      <x:c r="E14" s="62" t="str">
        <x:v>通过洞察独特需要、提供专业或非标准方法、尊重私人空间和选择性深度回应来支持关系。</x:v>
      </x:c>
      <x:c r="F14" s="62" t="str">
        <x:v>会观察细节、给出专业建议、寻找小众资源、提供安静陪伴、尊重独处，或用定制化方式帮助对方。</x:v>
      </x:c>
      <x:c r="G14" s="62" t="str">
        <x:v>求助可能较含蓄或专业化，更愿意说明真正卡点，并保留独立消化和选择的空间。</x:v>
      </x:c>
      <x:c r="H14" s="62" t="str">
        <x:v>更容易接受尊重复杂性、不过度打扰、能理解特殊需要并提供精准帮助的支持。</x:v>
      </x:c>
      <x:c r="I14" s="62" t="str">
        <x:v>更依赖信任、问题匹配度和对方是否真正需要这种深度支持；外显频率可能不高，但不等于没有投入。</x:v>
      </x:c>
      <x:c r="J14" s="62" t="str">
        <x:v>不得推出用户冷漠、神秘、回避亲密、精神异常、故意不说或不愿接受任何帮助。</x:v>
      </x:c>
    </x:row>
  </x:sheetData>
  <x:mergeCells>
    <x:mergeCell ref="A1:J1"/>
    <x:mergeCell ref="A2:J2"/>
  </x:mergeCells>
  <x:pageMargins left="0.7" right="0.7" top="0.75" bottom="0.75" header="0.3" footer="0.3"/>
  <x:tableParts count="1">
    <x:tablePart xmlns:r="http://schemas.openxmlformats.org/officeDocument/2006/relationships" r:id="R9ea476aec9a84241"/>
  </x:tableParts>
</x:worksheet>
</file>

<file path=xl/worksheets/sheet3.xml><?xml version="1.0" encoding="utf-8"?>
<x:worksheet xmlns:x="http://schemas.openxmlformats.org/spreadsheetml/2006/main">
  <x:sheetFormatPr defaultRowHeight="15"/>
  <x:cols>
    <x:col min="1" max="1" width="10" hidden="0" customWidth="1"/>
    <x:col min="2" max="2" width="14" hidden="0" customWidth="1"/>
    <x:col min="3" max="3" width="10" hidden="0" customWidth="1"/>
    <x:col min="4" max="4" width="18" hidden="0" customWidth="1"/>
    <x:col min="5" max="5" width="34" hidden="0" customWidth="1"/>
    <x:col min="6" max="6" width="34" hidden="0" customWidth="1"/>
    <x:col min="7" max="7" width="38" hidden="0" customWidth="1"/>
    <x:col min="8" max="8" width="22" hidden="0" customWidth="1"/>
    <x:col min="9" max="9" width="18" hidden="0" customWidth="1"/>
  </x:cols>
  <x:sheetData>
    <x:row r="1" ht="30" customHeight="1">
      <x:c r="A1" s="5" t="str">
        <x:v>九项CARE过程维度矩阵</x:v>
      </x:c>
      <x:c r="B1" s="5"/>
      <x:c r="C1" s="5"/>
      <x:c r="D1" s="5"/>
      <x:c r="E1" s="5"/>
      <x:c r="F1" s="5"/>
      <x:c r="G1" s="5"/>
      <x:c r="H1" s="5"/>
      <x:c r="I1" s="5"/>
    </x:row>
    <x:row r="2" ht="32" customHeight="1">
      <x:c r="A2" s="13" t="str">
        <x:v>用于区分“怎么付出、何时启动、能否持续、怎样求助、怎样接受和怎样形成回馈”。</x:v>
      </x:c>
      <x:c r="B2" s="13"/>
      <x:c r="C2" s="13"/>
      <x:c r="D2" s="13"/>
      <x:c r="E2" s="13"/>
      <x:c r="F2" s="13"/>
      <x:c r="G2" s="13"/>
      <x:c r="H2" s="13"/>
      <x:c r="I2" s="13"/>
    </x:row>
    <x:row r="3" ht="8" customHeight="1"/>
    <x:row r="4" ht="28" customHeight="1">
      <x:c r="A4" s="50" t="str">
        <x:v>维度ID</x:v>
      </x:c>
      <x:c r="B4" s="50" t="str">
        <x:v>维度</x:v>
      </x:c>
      <x:c r="C4" s="50" t="str">
        <x:v>状态ID</x:v>
      </x:c>
      <x:c r="D4" s="50" t="str">
        <x:v>状态</x:v>
      </x:c>
      <x:c r="E4" s="50" t="str">
        <x:v>成立条件</x:v>
      </x:c>
      <x:c r="F4" s="50" t="str">
        <x:v>内部含义</x:v>
      </x:c>
      <x:c r="G4" s="50" t="str">
        <x:v>用户表达</x:v>
      </x:c>
      <x:c r="H4" s="50" t="str">
        <x:v>输出字段</x:v>
      </x:c>
      <x:c r="I4" s="50" t="str">
        <x:v>分值／作用</x:v>
      </x:c>
    </x:row>
    <x:row r="5" ht="56" customHeight="1">
      <x:c r="A5" s="58" t="str">
        <x:v>CQ01</x:v>
      </x:c>
      <x:c r="B5" s="58" t="str">
        <x:v>支持可见度</x:v>
      </x:c>
      <x:c r="C5" s="58" t="str">
        <x:v>V01</x:v>
      </x:c>
      <x:c r="D5" s="58" t="str">
        <x:v>外显可见</x:v>
      </x:c>
      <x:c r="E5" s="58" t="str">
        <x:v>主CARE信号透干、近位或具有稳定可观察行为。</x:v>
      </x:c>
      <x:c r="F5" s="58" t="str">
        <x:v>透干、近位或行动证据使支持容易被对方直接注意。</x:v>
      </x:c>
      <x:c r="G5" s="58" t="str">
        <x:v>你的支持通常比较容易被看见，对方能从明确行动、安排或回应中知道你在投入。</x:v>
      </x:c>
      <x:c r="H5" s="58" t="str">
        <x:v>care_visibility</x:v>
      </x:c>
      <x:c r="I5" s="58" t="str">
        <x:v>候选 +5</x:v>
      </x:c>
    </x:row>
    <x:row r="6" ht="56" customHeight="1">
      <x:c r="A6" s="62" t="str">
        <x:v>CQ01</x:v>
      </x:c>
      <x:c r="B6" s="62" t="str">
        <x:v>支持可见度</x:v>
      </x:c>
      <x:c r="C6" s="62" t="str">
        <x:v>V02</x:v>
      </x:c>
      <x:c r="D6" s="62" t="str">
        <x:v>隐性累积</x:v>
      </x:c>
      <x:c r="E6" s="62" t="str">
        <x:v>主CARE信号藏支有根，或以长期细节、承接和观察发挥。</x:v>
      </x:c>
      <x:c r="F6" s="62" t="str">
        <x:v>藏而有根、日常细节或内部承接使支持更多通过长期积累被感知。</x:v>
      </x:c>
      <x:c r="G6" s="62" t="str">
        <x:v>你的支持可能不总是高调表达，而是藏在长期记得、默默处理和稳定回应里。</x:v>
      </x:c>
      <x:c r="H6" s="62" t="str">
        <x:v>care_visibility</x:v>
      </x:c>
      <x:c r="I6" s="62" t="str">
        <x:v>候选 +5</x:v>
      </x:c>
    </x:row>
    <x:row r="7" ht="56" customHeight="1">
      <x:c r="A7" s="58" t="str">
        <x:v>CQ01</x:v>
      </x:c>
      <x:c r="B7" s="58" t="str">
        <x:v>支持可见度</x:v>
      </x:c>
      <x:c r="C7" s="58" t="str">
        <x:v>V03</x:v>
      </x:c>
      <x:c r="D7" s="58" t="str">
        <x:v>行动可见／情绪隐性</x:v>
      </x:c>
      <x:c r="E7" s="58" t="str">
        <x:v>财官杀外显，印或需求表达信号内隐，且来源独立。</x:v>
      </x:c>
      <x:c r="F7" s="58" t="str">
        <x:v>行动、安排或责任较外显，而情绪和请求支持较内隐。</x:v>
      </x:c>
      <x:c r="G7" s="58" t="str">
        <x:v>你做了什么往往比你说自己需要什么更容易被看见；对方可能先看到行动，后理解你的感受。</x:v>
      </x:c>
      <x:c r="H7" s="58" t="str">
        <x:v>care_visibility</x:v>
      </x:c>
      <x:c r="I7" s="58" t="str">
        <x:v>候选 +5</x:v>
      </x:c>
    </x:row>
    <x:row r="8" ht="56" customHeight="1">
      <x:c r="A8" s="62" t="str">
        <x:v>CQ01</x:v>
      </x:c>
      <x:c r="B8" s="62" t="str">
        <x:v>支持可见度</x:v>
      </x:c>
      <x:c r="C8" s="62" t="str">
        <x:v>V04</x:v>
      </x:c>
      <x:c r="D8" s="62" t="str">
        <x:v>状态未定</x:v>
      </x:c>
      <x:c r="E8" s="62" t="str">
        <x:v>关键透藏、根气或合化状态未定。</x:v>
      </x:c>
      <x:c r="F8" s="62" t="str">
        <x:v>信号弱远、合化争议或可见行为与内部信号冲突时，不应固定可见度。</x:v>
      </x:c>
      <x:c r="G8" s="62" t="str">
        <x:v>目前只能判断你的支持可能在显性行动和隐性积累之间切换，具体可见度仍需结合真实相处。</x:v>
      </x:c>
      <x:c r="H8" s="62" t="str">
        <x:v>care_visibility</x:v>
      </x:c>
      <x:c r="I8" s="62" t="str">
        <x:v>不加分；降置信</x:v>
      </x:c>
    </x:row>
    <x:row r="9" ht="56" customHeight="1">
      <x:c r="A9" s="58" t="str">
        <x:v>CQ02</x:v>
      </x:c>
      <x:c r="B9" s="58" t="str">
        <x:v>投入连续性</x:v>
      </x:c>
      <x:c r="C9" s="58" t="str">
        <x:v>N01</x:v>
      </x:c>
      <x:c r="D9" s="58" t="str">
        <x:v>稳定重复</x:v>
      </x:c>
      <x:c r="E9" s="58" t="str">
        <x:v>主CARE通道有根、近位并有重复行为或独立同向证据。</x:v>
      </x:c>
      <x:c r="F9" s="58" t="str">
        <x:v>有根、近位、同类重复或长期行为证据支持可预期的投入。</x:v>
      </x:c>
      <x:c r="G9" s="58" t="str">
        <x:v>你的支持更容易以重复、可预期的方式出现，不只依赖临时情绪或单次事件。</x:v>
      </x:c>
      <x:c r="H9" s="58" t="str">
        <x:v>continuity_mode</x:v>
      </x:c>
      <x:c r="I9" s="58" t="str">
        <x:v>连续性 +8</x:v>
      </x:c>
    </x:row>
    <x:row r="10" ht="56" customHeight="1">
      <x:c r="A10" s="62" t="str">
        <x:v>CQ02</x:v>
      </x:c>
      <x:c r="B10" s="62" t="str">
        <x:v>投入连续性</x:v>
      </x:c>
      <x:c r="C10" s="62" t="str">
        <x:v>N02</x:v>
      </x:c>
      <x:c r="D10" s="62" t="str">
        <x:v>事件触发</x:v>
      </x:c>
      <x:c r="E10" s="62" t="str">
        <x:v>劫财、七杀、偏财或任务型信号主导，稳定根气不足。</x:v>
      </x:c>
      <x:c r="F10" s="62" t="str">
        <x:v>通道主要在明确任务、危机、邀约或具体需要出现时启动。</x:v>
      </x:c>
      <x:c r="G10" s="62" t="str">
        <x:v>你的投入更容易在有明确事情、目标或需要时迅速出现，平时未必以同样频率外显。</x:v>
      </x:c>
      <x:c r="H10" s="62" t="str">
        <x:v>continuity_mode</x:v>
      </x:c>
      <x:c r="I10" s="62" t="str">
        <x:v>候选 +5</x:v>
      </x:c>
    </x:row>
    <x:row r="11" ht="56" customHeight="1">
      <x:c r="A11" s="58" t="str">
        <x:v>CQ02</x:v>
      </x:c>
      <x:c r="B11" s="58" t="str">
        <x:v>投入连续性</x:v>
      </x:c>
      <x:c r="C11" s="58" t="str">
        <x:v>N03</x:v>
      </x:c>
      <x:c r="D11" s="58" t="str">
        <x:v>熟悉累积</x:v>
      </x:c>
      <x:c r="E11" s="58" t="str">
        <x:v>藏而有根、印食神或熟悉路径得到支持。</x:v>
      </x:c>
      <x:c r="F11" s="58" t="str">
        <x:v>藏支有根、印食神或长期近位信号使投入随着信任与熟悉逐渐稳定。</x:v>
      </x:c>
      <x:c r="G11" s="58" t="str">
        <x:v>你的支持往往在关系熟悉以后越来越稳定，需要时间让对方看见完整的投入方式。</x:v>
      </x:c>
      <x:c r="H11" s="58" t="str">
        <x:v>continuity_mode</x:v>
      </x:c>
      <x:c r="I11" s="58" t="str">
        <x:v>连续性 +6</x:v>
      </x:c>
    </x:row>
    <x:row r="12" ht="56" customHeight="1">
      <x:c r="A12" s="62" t="str">
        <x:v>CQ02</x:v>
      </x:c>
      <x:c r="B12" s="62" t="str">
        <x:v>投入连续性</x:v>
      </x:c>
      <x:c r="C12" s="62" t="str">
        <x:v>N04</x:v>
      </x:c>
      <x:c r="D12" s="62" t="str">
        <x:v>连续性不足以判断</x:v>
      </x:c>
      <x:c r="E12" s="62" t="str">
        <x:v>仅有单次事件、弱远无根或流年阶段性信号。</x:v>
      </x:c>
      <x:c r="F12" s="62" t="str">
        <x:v>只有单次高强度行为、弱远无根或阶段覆盖时，不应写成长期投入。</x:v>
      </x:c>
      <x:c r="G12" s="62" t="str">
        <x:v>目前只能确认你在某些情境会投入，但还不足以判断这种方式是否长期稳定。</x:v>
      </x:c>
      <x:c r="H12" s="62" t="str">
        <x:v>continuity_mode</x:v>
      </x:c>
      <x:c r="I12" s="62" t="str">
        <x:v>不加分；停止连续性</x:v>
      </x:c>
    </x:row>
    <x:row r="13" ht="56" customHeight="1">
      <x:c r="A13" s="58" t="str">
        <x:v>CQ03</x:v>
      </x:c>
      <x:c r="B13" s="58" t="str">
        <x:v>投入启动方向</x:v>
      </x:c>
      <x:c r="C13" s="58" t="str">
        <x:v>G01</x:v>
      </x:c>
      <x:c r="D13" s="58" t="str">
        <x:v>主动投入</x:v>
      </x:c>
      <x:c r="E13" s="58" t="str">
        <x:v>主CARE信号外显近位，并有自发启动证据。</x:v>
      </x:c>
      <x:c r="F13" s="58" t="str">
        <x:v>主通道透干近位、日支参与或自发行为证据显示用户会先启动支持。</x:v>
      </x:c>
      <x:c r="G13" s="58" t="str">
        <x:v>当你认定关系需要被照顾时，通常会较早主动安排、询问或承担。</x:v>
      </x:c>
      <x:c r="H13" s="58" t="str">
        <x:v>investment_mode</x:v>
      </x:c>
      <x:c r="I13" s="58" t="str">
        <x:v>模式 +6</x:v>
      </x:c>
    </x:row>
    <x:row r="14" ht="56" customHeight="1">
      <x:c r="A14" s="62" t="str">
        <x:v>CQ03</x:v>
      </x:c>
      <x:c r="B14" s="62" t="str">
        <x:v>投入启动方向</x:v>
      </x:c>
      <x:c r="C14" s="62" t="str">
        <x:v>G02</x:v>
      </x:c>
      <x:c r="D14" s="62" t="str">
        <x:v>回应式支持</x:v>
      </x:c>
      <x:c r="E14" s="62" t="str">
        <x:v>印、正财、正官或藏支通道明显，且启动依赖明确需求或回应。</x:v>
      </x:c>
      <x:c r="F14" s="62" t="str">
        <x:v>用户在看见明确需要、请求或对方投入后更容易启动自己的支持。</x:v>
      </x:c>
      <x:c r="G14" s="62" t="str">
        <x:v>你更容易在需求被说清楚、对方先发出信号后，给出具体而有针对性的回应。</x:v>
      </x:c>
      <x:c r="H14" s="62" t="str">
        <x:v>investment_mode</x:v>
      </x:c>
      <x:c r="I14" s="62" t="str">
        <x:v>候选 +5</x:v>
      </x:c>
    </x:row>
    <x:row r="15" ht="56" customHeight="1">
      <x:c r="A15" s="58" t="str">
        <x:v>CQ03</x:v>
      </x:c>
      <x:c r="B15" s="58" t="str">
        <x:v>投入启动方向</x:v>
      </x:c>
      <x:c r="C15" s="58" t="str">
        <x:v>G03</x:v>
      </x:c>
      <x:c r="D15" s="58" t="str">
        <x:v>共同启动</x:v>
      </x:c>
      <x:c r="E15" s="58" t="str">
        <x:v>比劫系统有效，或独立双向协作证据成立。</x:v>
      </x:c>
      <x:c r="F15" s="58" t="str">
        <x:v>比劫、劫财或双方协作证据使支持在共同讨论、共同任务中产生。</x:v>
      </x:c>
      <x:c r="G15" s="58" t="str">
        <x:v>你更习惯把支持做成双方一起参与的过程，而不是一方长期单独承担。</x:v>
      </x:c>
      <x:c r="H15" s="58" t="str">
        <x:v>investment_mode</x:v>
      </x:c>
      <x:c r="I15" s="58" t="str">
        <x:v>模式 +6</x:v>
      </x:c>
    </x:row>
    <x:row r="16" ht="56" customHeight="1">
      <x:c r="A16" s="62" t="str">
        <x:v>CQ03</x:v>
      </x:c>
      <x:c r="B16" s="62" t="str">
        <x:v>投入启动方向</x:v>
      </x:c>
      <x:c r="C16" s="62" t="str">
        <x:v>G04</x:v>
      </x:c>
      <x:c r="D16" s="62" t="str">
        <x:v>条件启动</x:v>
      </x:c>
      <x:c r="E16" s="62" t="str">
        <x:v>偏印、官杀、资源边界或明确条件信号成立。</x:v>
      </x:c>
      <x:c r="F16" s="62" t="str">
        <x:v>偏印、官杀、资源门槛或需要明确匹配时，支持在特定条件满足后启动。</x:v>
      </x:c>
      <x:c r="G16" s="62" t="str">
        <x:v>你并非没有投入意愿，而是更需要确认问题、责任或资源边界以后再开始支持。</x:v>
      </x:c>
      <x:c r="H16" s="62" t="str">
        <x:v>investment_mode</x:v>
      </x:c>
      <x:c r="I16" s="62" t="str">
        <x:v>候选 +5</x:v>
      </x:c>
    </x:row>
    <x:row r="17" ht="56" customHeight="1">
      <x:c r="A17" s="58" t="str">
        <x:v>CQ04</x:v>
      </x:c>
      <x:c r="B17" s="58" t="str">
        <x:v>支持内容</x:v>
      </x:c>
      <x:c r="C17" s="58" t="str">
        <x:v>H01</x:v>
      </x:c>
      <x:c r="D17" s="58" t="str">
        <x:v>情绪舒缓</x:v>
      </x:c>
      <x:c r="E17" s="58" t="str">
        <x:v>食神、正印或温和承接信号有效。</x:v>
      </x:c>
      <x:c r="F17" s="58" t="str">
        <x:v>情绪舒缓是CARE内容分类，不单独评价价值高低；需要由相应十神及行为证据支持。</x:v>
      </x:c>
      <x:c r="G17" s="58" t="str">
        <x:v>陪伴、安抚、照顾节奏和让对方放松是你的重要支持内容。</x:v>
      </x:c>
      <x:c r="H17" s="58" t="str">
        <x:v>giving_content</x:v>
      </x:c>
      <x:c r="I17" s="58" t="str">
        <x:v>内容候选 +5</x:v>
      </x:c>
    </x:row>
    <x:row r="18" ht="56" customHeight="1">
      <x:c r="A18" s="62" t="str">
        <x:v>CQ04</x:v>
      </x:c>
      <x:c r="B18" s="62" t="str">
        <x:v>支持内容</x:v>
      </x:c>
      <x:c r="C18" s="62" t="str">
        <x:v>H02</x:v>
      </x:c>
      <x:c r="D18" s="62" t="str">
        <x:v>现实安排</x:v>
      </x:c>
      <x:c r="E18" s="62" t="str">
        <x:v>正财、正官或稳定日常信号有效。</x:v>
      </x:c>
      <x:c r="F18" s="62" t="str">
        <x:v>现实安排是CARE内容分类，不单独评价价值高低；需要由相应十神及行为证据支持。</x:v>
      </x:c>
      <x:c r="G18" s="62" t="str">
        <x:v>你会把支持落实到时间、生活事务、分工和可执行安排里。</x:v>
      </x:c>
      <x:c r="H18" s="62" t="str">
        <x:v>giving_content</x:v>
      </x:c>
      <x:c r="I18" s="62" t="str">
        <x:v>内容候选 +5</x:v>
      </x:c>
    </x:row>
    <x:row r="19" ht="56" customHeight="1">
      <x:c r="A19" s="58" t="str">
        <x:v>CQ04</x:v>
      </x:c>
      <x:c r="B19" s="58" t="str">
        <x:v>支持内容</x:v>
      </x:c>
      <x:c r="C19" s="58" t="str">
        <x:v>H03</x:v>
      </x:c>
      <x:c r="D19" s="58" t="str">
        <x:v>认知解题</x:v>
      </x:c>
      <x:c r="E19" s="58" t="str">
        <x:v>伤官、偏印或知识技能信号有效。</x:v>
      </x:c>
      <x:c r="F19" s="58" t="str">
        <x:v>认知解题是CARE内容分类，不单独评价价值高低；需要由相应十神及行为证据支持。</x:v>
      </x:c>
      <x:c r="G19" s="58" t="str">
        <x:v>你容易通过分析、信息、专业建议和帮助对方看清问题来支持。</x:v>
      </x:c>
      <x:c r="H19" s="58" t="str">
        <x:v>giving_content</x:v>
      </x:c>
      <x:c r="I19" s="58" t="str">
        <x:v>内容候选 +5</x:v>
      </x:c>
    </x:row>
    <x:row r="20" ht="56" customHeight="1">
      <x:c r="A20" s="62" t="str">
        <x:v>CQ04</x:v>
      </x:c>
      <x:c r="B20" s="62" t="str">
        <x:v>支持内容</x:v>
      </x:c>
      <x:c r="C20" s="62" t="str">
        <x:v>H04</x:v>
      </x:c>
      <x:c r="D20" s="62" t="str">
        <x:v>行动保护</x:v>
      </x:c>
      <x:c r="E20" s="62" t="str">
        <x:v>七杀、劫财或紧急任务信号有效。</x:v>
      </x:c>
      <x:c r="F20" s="62" t="str">
        <x:v>行动保护是CARE内容分类，不单独评价价值高低；需要由相应十神及行为证据支持。</x:v>
      </x:c>
      <x:c r="G20" s="62" t="str">
        <x:v>关键时刻出现、推动处理和解决现实障碍，是你较明显的支持内容。</x:v>
      </x:c>
      <x:c r="H20" s="62" t="str">
        <x:v>giving_content</x:v>
      </x:c>
      <x:c r="I20" s="62" t="str">
        <x:v>内容候选 +5</x:v>
      </x:c>
    </x:row>
    <x:row r="21" ht="56" customHeight="1">
      <x:c r="A21" s="58" t="str">
        <x:v>CQ04</x:v>
      </x:c>
      <x:c r="B21" s="58" t="str">
        <x:v>支持内容</x:v>
      </x:c>
      <x:c r="C21" s="58" t="str">
        <x:v>H05</x:v>
      </x:c>
      <x:c r="D21" s="58" t="str">
        <x:v>体验联结</x:v>
      </x:c>
      <x:c r="E21" s="58" t="str">
        <x:v>偏财、食神或共同体验信号有效。</x:v>
      </x:c>
      <x:c r="F21" s="58" t="str">
        <x:v>体验联结是CARE内容分类，不单独评价价值高低；需要由相应十神及行为证据支持。</x:v>
      </x:c>
      <x:c r="G21" s="58" t="str">
        <x:v>你会通过邀约、体验、礼物、气氛和共同参与让关系得到滋养。</x:v>
      </x:c>
      <x:c r="H21" s="58" t="str">
        <x:v>giving_content</x:v>
      </x:c>
      <x:c r="I21" s="58" t="str">
        <x:v>内容候选 +5</x:v>
      </x:c>
    </x:row>
    <x:row r="22" ht="56" customHeight="1">
      <x:c r="A22" s="62" t="str">
        <x:v>CQ04</x:v>
      </x:c>
      <x:c r="B22" s="62" t="str">
        <x:v>支持内容</x:v>
      </x:c>
      <x:c r="C22" s="62" t="str">
        <x:v>H06</x:v>
      </x:c>
      <x:c r="D22" s="62" t="str">
        <x:v>并肩自主</x:v>
      </x:c>
      <x:c r="E22" s="62" t="str">
        <x:v>比肩、劫财或边界协作信号有效。</x:v>
      </x:c>
      <x:c r="F22" s="62" t="str">
        <x:v>并肩自主是CARE内容分类，不单独评价价值高低；需要由相应十神及行为证据支持。</x:v>
      </x:c>
      <x:c r="G22" s="62" t="str">
        <x:v>你更重视让双方都保有能力和参与感，通过并肩而不是完全接管来支持。</x:v>
      </x:c>
      <x:c r="H22" s="62" t="str">
        <x:v>giving_content</x:v>
      </x:c>
      <x:c r="I22" s="62" t="str">
        <x:v>内容候选 +5</x:v>
      </x:c>
    </x:row>
    <x:row r="23" ht="56" customHeight="1">
      <x:c r="A23" s="58" t="str">
        <x:v>CQ05</x:v>
      </x:c>
      <x:c r="B23" s="58" t="str">
        <x:v>请求支持方式</x:v>
      </x:c>
      <x:c r="C23" s="58" t="str">
        <x:v>RQ01</x:v>
      </x:c>
      <x:c r="D23" s="58" t="str">
        <x:v>直接具体</x:v>
      </x:c>
      <x:c r="E23" s="58" t="str">
        <x:v>比劫、伤官、财官杀外显，且请求功能未被印星完全内化。</x:v>
      </x:c>
      <x:c r="F23" s="58" t="str">
        <x:v>比劫、伤官、财官杀外显时，求助更容易被具体化为任务、条件或希望。</x:v>
      </x:c>
      <x:c r="G23" s="58" t="str">
        <x:v>需要帮助时，你更容易说明具体事项、希望对方做什么以及怎样配合。</x:v>
      </x:c>
      <x:c r="H23" s="58" t="str">
        <x:v>support_request_style</x:v>
      </x:c>
      <x:c r="I23" s="58" t="str">
        <x:v>候选 +5</x:v>
      </x:c>
    </x:row>
    <x:row r="24" ht="56" customHeight="1">
      <x:c r="A24" s="62" t="str">
        <x:v>CQ05</x:v>
      </x:c>
      <x:c r="B24" s="62" t="str">
        <x:v>请求支持方式</x:v>
      </x:c>
      <x:c r="C24" s="62" t="str">
        <x:v>RQ02</x:v>
      </x:c>
      <x:c r="D24" s="62" t="str">
        <x:v>先铺垫再请求</x:v>
      </x:c>
      <x:c r="E24" s="62" t="str">
        <x:v>食神、正印或安全承接路径有效。</x:v>
      </x:c>
      <x:c r="F24" s="62" t="str">
        <x:v>食神、正印或安全语境需求使请求经过情绪铺垫和关系确认。</x:v>
      </x:c>
      <x:c r="G24" s="62" t="str">
        <x:v>你更容易在气氛安全、被理解以后，再逐步说出自己真正需要什么。</x:v>
      </x:c>
      <x:c r="H24" s="62" t="str">
        <x:v>support_request_style</x:v>
      </x:c>
      <x:c r="I24" s="62" t="str">
        <x:v>候选 +5</x:v>
      </x:c>
    </x:row>
    <x:row r="25" ht="56" customHeight="1">
      <x:c r="A25" s="58" t="str">
        <x:v>CQ05</x:v>
      </x:c>
      <x:c r="B25" s="58" t="str">
        <x:v>请求支持方式</x:v>
      </x:c>
      <x:c r="C25" s="58" t="str">
        <x:v>RQ03</x:v>
      </x:c>
      <x:c r="D25" s="58" t="str">
        <x:v>先内部整理</x:v>
      </x:c>
      <x:c r="E25" s="58" t="str">
        <x:v>偏印或印星内化明显，且存在后续外化桥梁。</x:v>
      </x:c>
      <x:c r="F25" s="58" t="str">
        <x:v>偏印或印星内化使用户先确认需求本身，再选择性开口。</x:v>
      </x:c>
      <x:c r="G25" s="58" t="str">
        <x:v>你通常需要先把问题和感受想清楚，确认自己真正需要什么以后再求助。</x:v>
      </x:c>
      <x:c r="H25" s="58" t="str">
        <x:v>support_request_style</x:v>
      </x:c>
      <x:c r="I25" s="58" t="str">
        <x:v>候选 +5</x:v>
      </x:c>
    </x:row>
    <x:row r="26" ht="56" customHeight="1">
      <x:c r="A26" s="62" t="str">
        <x:v>CQ05</x:v>
      </x:c>
      <x:c r="B26" s="62" t="str">
        <x:v>请求支持方式</x:v>
      </x:c>
      <x:c r="C26" s="62" t="str">
        <x:v>RQ04</x:v>
      </x:c>
      <x:c r="D26" s="62" t="str">
        <x:v>通过共同任务带出</x:v>
      </x:c>
      <x:c r="E26" s="62" t="str">
        <x:v>劫财、偏财、共同参与或任务路径成立。</x:v>
      </x:c>
      <x:c r="F26" s="62" t="str">
        <x:v>劫财、偏财或共同体验使求助以一起做、一起去或一起处理的形式出现。</x:v>
      </x:c>
      <x:c r="G26" s="62" t="str">
        <x:v>你的需要可能不会先以抽象情绪表达，而是通过邀请对方一起做一件事被带出来。</x:v>
      </x:c>
      <x:c r="H26" s="62" t="str">
        <x:v>support_request_style</x:v>
      </x:c>
      <x:c r="I26" s="62" t="str">
        <x:v>候选 +5</x:v>
      </x:c>
    </x:row>
    <x:row r="27" ht="56" customHeight="1">
      <x:c r="A27" s="58" t="str">
        <x:v>CQ06</x:v>
      </x:c>
      <x:c r="B27" s="58" t="str">
        <x:v>接受支持方式</x:v>
      </x:c>
      <x:c r="C27" s="58" t="str">
        <x:v>RC01</x:v>
      </x:c>
      <x:c r="D27" s="58" t="str">
        <x:v>直接接收</x:v>
      </x:c>
      <x:c r="E27" s="58" t="str">
        <x:v>正印、正财、正官或稳定信任证据有效。</x:v>
      </x:c>
      <x:c r="F27" s="58" t="str">
        <x:v>安全感、信任或现实需要清楚时，用户能把支持直接纳入关系。</x:v>
      </x:c>
      <x:c r="G27" s="58" t="str">
        <x:v>当帮助方式清楚、尊重你并真正有用时，你通常能够直接接受。</x:v>
      </x:c>
      <x:c r="H27" s="58" t="str">
        <x:v>support_receiving_style</x:v>
      </x:c>
      <x:c r="I27" s="58" t="str">
        <x:v>候选 +5</x:v>
      </x:c>
    </x:row>
    <x:row r="28" ht="56" customHeight="1">
      <x:c r="A28" s="62" t="str">
        <x:v>CQ06</x:v>
      </x:c>
      <x:c r="B28" s="62" t="str">
        <x:v>接受支持方式</x:v>
      </x:c>
      <x:c r="C28" s="62" t="str">
        <x:v>RC02</x:v>
      </x:c>
      <x:c r="D28" s="62" t="str">
        <x:v>保留自主后接收</x:v>
      </x:c>
      <x:c r="E28" s="62" t="str">
        <x:v>比肩、偏印或自主边界信号有效。</x:v>
      </x:c>
      <x:c r="F28" s="62" t="str">
        <x:v>比肩或偏印要求支持不能替代用户决定。</x:v>
      </x:c>
      <x:c r="G28" s="62" t="str">
        <x:v>你更容易接受保留选择权、不过度接管、允许自己参与决定的帮助。</x:v>
      </x:c>
      <x:c r="H28" s="62" t="str">
        <x:v>support_receiving_style</x:v>
      </x:c>
      <x:c r="I28" s="62" t="str">
        <x:v>候选 +5</x:v>
      </x:c>
    </x:row>
    <x:row r="29" ht="56" customHeight="1">
      <x:c r="A29" s="58" t="str">
        <x:v>CQ06</x:v>
      </x:c>
      <x:c r="B29" s="58" t="str">
        <x:v>接受支持方式</x:v>
      </x:c>
      <x:c r="C29" s="58" t="str">
        <x:v>RC03</x:v>
      </x:c>
      <x:c r="D29" s="58" t="str">
        <x:v>先验证再接收</x:v>
      </x:c>
      <x:c r="E29" s="58" t="str">
        <x:v>正官、正财、持续性或守约证据有效。</x:v>
      </x:c>
      <x:c r="F29" s="58" t="str">
        <x:v>正官、正财或持续性门槛使用户先看帮助是否可靠、可持续。</x:v>
      </x:c>
      <x:c r="G29" s="58" t="str">
        <x:v>你可能先观察对方能否持续、是否说到做到，再真正把这份帮助当成可依赖的支持。</x:v>
      </x:c>
      <x:c r="H29" s="58" t="str">
        <x:v>support_receiving_style</x:v>
      </x:c>
      <x:c r="I29" s="58" t="str">
        <x:v>候选 +5</x:v>
      </x:c>
    </x:row>
    <x:row r="30" ht="56" customHeight="1">
      <x:c r="A30" s="62" t="str">
        <x:v>CQ06</x:v>
      </x:c>
      <x:c r="B30" s="62" t="str">
        <x:v>接受支持方式</x:v>
      </x:c>
      <x:c r="C30" s="62" t="str">
        <x:v>RC04</x:v>
      </x:c>
      <x:c r="D30" s="62" t="str">
        <x:v>行动中接收</x:v>
      </x:c>
      <x:c r="E30" s="62" t="str">
        <x:v>劫财、七杀或共同行动路径成立。</x:v>
      </x:c>
      <x:c r="F30" s="62" t="str">
        <x:v>劫财、七杀或共同任务使用户在一起处理事情的过程中接受帮助。</x:v>
      </x:c>
      <x:c r="G30" s="62" t="str">
        <x:v>你更容易在双方一起做事、即时协作和真实解决问题时感受到自己正在被支持。</x:v>
      </x:c>
      <x:c r="H30" s="62" t="str">
        <x:v>support_receiving_style</x:v>
      </x:c>
      <x:c r="I30" s="62" t="str">
        <x:v>候选 +5</x:v>
      </x:c>
    </x:row>
    <x:row r="31" ht="56" customHeight="1">
      <x:c r="A31" s="58" t="str">
        <x:v>CQ07</x:v>
      </x:c>
      <x:c r="B31" s="58" t="str">
        <x:v>支持回馈结构</x:v>
      </x:c>
      <x:c r="C31" s="58" t="str">
        <x:v>FB01</x:v>
      </x:c>
      <x:c r="D31" s="58" t="str">
        <x:v>即时往返</x:v>
      </x:c>
      <x:c r="E31" s="58" t="str">
        <x:v>劫财、偏财或双方互动证据成立。</x:v>
      </x:c>
      <x:c r="F31" s="58" t="str">
        <x:v>互动、劫财、偏财或明显回应链使支持快速形成来回。</x:v>
      </x:c>
      <x:c r="G31" s="58" t="str">
        <x:v>你们的支持更容易在即时回应和共同参与中形成来回。</x:v>
      </x:c>
      <x:c r="H31" s="58" t="str">
        <x:v>reciprocity_pattern</x:v>
      </x:c>
      <x:c r="I31" s="58" t="str">
        <x:v>候选 +5</x:v>
      </x:c>
    </x:row>
    <x:row r="32" ht="56" customHeight="1">
      <x:c r="A32" s="62" t="str">
        <x:v>CQ07</x:v>
      </x:c>
      <x:c r="B32" s="62" t="str">
        <x:v>支持回馈结构</x:v>
      </x:c>
      <x:c r="C32" s="62" t="str">
        <x:v>FB02</x:v>
      </x:c>
      <x:c r="D32" s="62" t="str">
        <x:v>稳定互惠</x:v>
      </x:c>
      <x:c r="E32" s="62" t="str">
        <x:v>正财、正官、正印或稳定分工证据成立。</x:v>
      </x:c>
      <x:c r="F32" s="62" t="str">
        <x:v>正财、正官、正印或长期分工使支持以可预期方式互相回馈。</x:v>
      </x:c>
      <x:c r="G32" s="62" t="str">
        <x:v>你更重视长期、可预期的互相支持，而不是只在某一次特别热烈。</x:v>
      </x:c>
      <x:c r="H32" s="62" t="str">
        <x:v>reciprocity_pattern</x:v>
      </x:c>
      <x:c r="I32" s="62" t="str">
        <x:v>回馈 +6</x:v>
      </x:c>
    </x:row>
    <x:row r="33" ht="56" customHeight="1">
      <x:c r="A33" s="58" t="str">
        <x:v>CQ07</x:v>
      </x:c>
      <x:c r="B33" s="58" t="str">
        <x:v>支持回馈结构</x:v>
      </x:c>
      <x:c r="C33" s="58" t="str">
        <x:v>FB03</x:v>
      </x:c>
      <x:c r="D33" s="58" t="str">
        <x:v>角色分工</x:v>
      </x:c>
      <x:c r="E33" s="58" t="str">
        <x:v>两项独立CARE通道功能不同，且没有同源重复。</x:v>
      </x:c>
      <x:c r="F33" s="58" t="str">
        <x:v>不同通道在双方或不同事务中承担不同功能。</x:v>
      </x:c>
      <x:c r="G33" s="58" t="str">
        <x:v>支持不一定完全对称，更可能形成清楚分工：一方负责某类事务，另一方负责另一类承接。</x:v>
      </x:c>
      <x:c r="H33" s="58" t="str">
        <x:v>reciprocity_pattern</x:v>
      </x:c>
      <x:c r="I33" s="58" t="str">
        <x:v>候选 +5</x:v>
      </x:c>
    </x:row>
    <x:row r="34" ht="56" customHeight="1">
      <x:c r="A34" s="62" t="str">
        <x:v>CQ07</x:v>
      </x:c>
      <x:c r="B34" s="62" t="str">
        <x:v>支持回馈结构</x:v>
      </x:c>
      <x:c r="C34" s="62" t="str">
        <x:v>FB04</x:v>
      </x:c>
      <x:c r="D34" s="62" t="str">
        <x:v>反馈未定</x:v>
      </x:c>
      <x:c r="E34" s="62" t="str">
        <x:v>缺少伴侣反馈、独立双向证据或交换链不完整。</x:v>
      </x:c>
      <x:c r="F34" s="62" t="str">
        <x:v>只有单向自述、无伴侣反馈或同源证据重复时，不判断互惠结构。</x:v>
      </x:c>
      <x:c r="G34" s="62" t="str">
        <x:v>目前能看见你的支持方式，但双方怎样回应和回馈仍需要真实相处信息。</x:v>
      </x:c>
      <x:c r="H34" s="62" t="str">
        <x:v>reciprocity_pattern</x:v>
      </x:c>
      <x:c r="I34" s="62" t="str">
        <x:v>不加分；降置信</x:v>
      </x:c>
    </x:row>
    <x:row r="35" ht="56" customHeight="1">
      <x:c r="A35" s="58" t="str">
        <x:v>CQ08</x:v>
      </x:c>
      <x:c r="B35" s="58" t="str">
        <x:v>资源边界</x:v>
      </x:c>
      <x:c r="C35" s="58" t="str">
        <x:v>RB01</x:v>
      </x:c>
      <x:c r="D35" s="58" t="str">
        <x:v>分工清楚</x:v>
      </x:c>
      <x:c r="E35" s="58" t="str">
        <x:v>比肩、正官、正财或清楚分工证据有效。</x:v>
      </x:c>
      <x:c r="F35" s="58" t="str">
        <x:v>比肩、正官、正财或明确责任边界支持资源分配可被说明。</x:v>
      </x:c>
      <x:c r="G35" s="58" t="str">
        <x:v>你更容易在分工、时间和责任说清楚以后稳定投入。</x:v>
      </x:c>
      <x:c r="H35" s="58" t="str">
        <x:v>resource_boundary_note</x:v>
      </x:c>
      <x:c r="I35" s="58" t="str">
        <x:v>候选 +5</x:v>
      </x:c>
    </x:row>
    <x:row r="36" ht="56" customHeight="1">
      <x:c r="A36" s="62" t="str">
        <x:v>CQ08</x:v>
      </x:c>
      <x:c r="B36" s="62" t="str">
        <x:v>资源边界</x:v>
      </x:c>
      <x:c r="C36" s="62" t="str">
        <x:v>RB02</x:v>
      </x:c>
      <x:c r="D36" s="62" t="str">
        <x:v>弹性调配</x:v>
      </x:c>
      <x:c r="E36" s="62" t="str">
        <x:v>偏财、劫财或情境切换证据有效。</x:v>
      </x:c>
      <x:c r="F36" s="62" t="str">
        <x:v>偏财、劫财或情境支持使资源随当下需要灵活调整。</x:v>
      </x:c>
      <x:c r="G36" s="62" t="str">
        <x:v>你的投入更可能随着当下需要灵活变化，不一定每次都采用固定分工。</x:v>
      </x:c>
      <x:c r="H36" s="62" t="str">
        <x:v>resource_boundary_note</x:v>
      </x:c>
      <x:c r="I36" s="62" t="str">
        <x:v>候选 +5</x:v>
      </x:c>
    </x:row>
    <x:row r="37" ht="56" customHeight="1">
      <x:c r="A37" s="58" t="str">
        <x:v>CQ08</x:v>
      </x:c>
      <x:c r="B37" s="58" t="str">
        <x:v>资源边界</x:v>
      </x:c>
      <x:c r="C37" s="58" t="str">
        <x:v>RB03</x:v>
      </x:c>
      <x:c r="D37" s="58" t="str">
        <x:v>边界需后续判断</x:v>
      </x:c>
      <x:c r="E37" s="58" t="str">
        <x:v>缺少M3-BOUND独立证据，或出现过旺失衡候选。</x:v>
      </x:c>
      <x:c r="F37" s="58" t="str">
        <x:v>CARE只能看到投入方向，无法确认权限、拒绝能力或资源耗竭。</x:v>
      </x:c>
      <x:c r="G37" s="58" t="str">
        <x:v>目前可以说明你会怎样投入，但投入到什么程度、何时停止，需要在边界与风险模型中继续判断。</x:v>
      </x:c>
      <x:c r="H37" s="58" t="str">
        <x:v>resource_boundary_note</x:v>
      </x:c>
      <x:c r="I37" s="58" t="str">
        <x:v>不加分；路由BOUND/M4</x:v>
      </x:c>
    </x:row>
    <x:row r="38" ht="56" customHeight="1">
      <x:c r="A38" s="62" t="str">
        <x:v>CQ09</x:v>
      </x:c>
      <x:c r="B38" s="62" t="str">
        <x:v>状态切换</x:v>
      </x:c>
      <x:c r="C38" s="62" t="str">
        <x:v>ST01</x:v>
      </x:c>
      <x:c r="D38" s="62" t="str">
        <x:v>平稳通道持续</x:v>
      </x:c>
      <x:c r="E38" s="62" t="str">
        <x:v>主CARE通道在平稳与压力状态均有效。</x:v>
      </x:c>
      <x:c r="F38" s="62" t="str">
        <x:v>平稳与压力情境读取同一主通道，且有根或独立重复支持。</x:v>
      </x:c>
      <x:c r="G38" s="62" t="str">
        <x:v>日常和压力增加时，你仍倾向使用相近的支持方式，只是强度可能变化。</x:v>
      </x:c>
      <x:c r="H38" s="62" t="str">
        <x:v>state_shift</x:v>
      </x:c>
      <x:c r="I38" s="62" t="str">
        <x:v>候选 +5</x:v>
      </x:c>
    </x:row>
    <x:row r="39" ht="56" customHeight="1">
      <x:c r="A39" s="58" t="str">
        <x:v>CQ09</x:v>
      </x:c>
      <x:c r="B39" s="58" t="str">
        <x:v>状态切换</x:v>
      </x:c>
      <x:c r="C39" s="58" t="str">
        <x:v>ST02</x:v>
      </x:c>
      <x:c r="D39" s="58" t="str">
        <x:v>压力通道抢先</x:v>
      </x:c>
      <x:c r="E39" s="58" t="str">
        <x:v>M3-STATE提供独立压力切换证据。</x:v>
      </x:c>
      <x:c r="F39" s="58" t="str">
        <x:v>官杀、劫财或特定通道在压力下抢先，但平稳主通道仍保留。</x:v>
      </x:c>
      <x:c r="G39" s="58" t="str">
        <x:v>平时你可能更温和或稳定地照顾关系，压力增加时会先转向处理问题、承担或快速协作。</x:v>
      </x:c>
      <x:c r="H39" s="58" t="str">
        <x:v>state_shift</x:v>
      </x:c>
      <x:c r="I39" s="58" t="str">
        <x:v>候选 +5</x:v>
      </x:c>
    </x:row>
    <x:row r="40" ht="56" customHeight="1">
      <x:c r="A40" s="62" t="str">
        <x:v>CQ09</x:v>
      </x:c>
      <x:c r="B40" s="62" t="str">
        <x:v>状态切换</x:v>
      </x:c>
      <x:c r="C40" s="62" t="str">
        <x:v>ST03</x:v>
      </x:c>
      <x:c r="D40" s="62" t="str">
        <x:v>恢复后回归</x:v>
      </x:c>
      <x:c r="E40" s="62" t="str">
        <x:v>存在有效恢复链或M3-STATE回归证据。</x:v>
      </x:c>
      <x:c r="F40" s="62" t="str">
        <x:v>压力通道完成任务后，系统回到印、食神、财或原主CARE通道。</x:v>
      </x:c>
      <x:c r="G40" s="62" t="str">
        <x:v>事情稳定以后，你更容易回到原本的陪伴、沟通或日常经营方式。</x:v>
      </x:c>
      <x:c r="H40" s="62" t="str">
        <x:v>state_shift</x:v>
      </x:c>
      <x:c r="I40" s="62" t="str">
        <x:v>候选 +5</x:v>
      </x:c>
    </x:row>
  </x:sheetData>
  <x:mergeCells>
    <x:mergeCell ref="A1:I1"/>
    <x:mergeCell ref="A2:I2"/>
  </x:mergeCells>
  <x:pageMargins left="0.7" right="0.7" top="0.75" bottom="0.75" header="0.3" footer="0.3"/>
  <x:tableParts count="1">
    <x:tablePart xmlns:r="http://schemas.openxmlformats.org/officeDocument/2006/relationships" r:id="Rb56a8ab668ba4223"/>
  </x:tableParts>
</x:worksheet>
</file>

<file path=xl/worksheets/sheet4.xml><?xml version="1.0" encoding="utf-8"?>
<x:worksheet xmlns:x="http://schemas.openxmlformats.org/spreadsheetml/2006/main">
  <x:sheetFormatPr defaultRowHeight="15"/>
  <x:cols>
    <x:col min="1" max="1" width="10" hidden="0" customWidth="1"/>
    <x:col min="2" max="2" width="14" hidden="0" customWidth="1"/>
    <x:col min="3" max="3" width="20" hidden="0" customWidth="1"/>
    <x:col min="4" max="4" width="38" hidden="0" customWidth="1"/>
    <x:col min="5" max="5" width="38" hidden="0" customWidth="1"/>
    <x:col min="6" max="6" width="38" hidden="0" customWidth="1"/>
    <x:col min="7" max="7" width="22" hidden="0" customWidth="1"/>
    <x:col min="8" max="8" width="34" hidden="0" customWidth="1"/>
  </x:cols>
  <x:sheetData>
    <x:row r="1" ht="30" customHeight="1">
      <x:c r="A1" s="5" t="str">
        <x:v>CARE模式、交换结构与流向路径</x:v>
      </x:c>
      <x:c r="B1" s="5"/>
      <x:c r="C1" s="5"/>
      <x:c r="D1" s="5"/>
      <x:c r="E1" s="5"/>
      <x:c r="F1" s="5"/>
      <x:c r="G1" s="5"/>
      <x:c r="H1" s="5"/>
    </x:row>
    <x:row r="2" ht="32" customHeight="1">
      <x:c r="A2" s="13" t="str">
        <x:v>CP负责整体支持模式，CE负责双方怎样形成交换，CF负责支持如何从一个功能转到另一个功能。</x:v>
      </x:c>
      <x:c r="B2" s="13"/>
      <x:c r="C2" s="13"/>
      <x:c r="D2" s="13"/>
      <x:c r="E2" s="13"/>
      <x:c r="F2" s="13"/>
      <x:c r="G2" s="13"/>
      <x:c r="H2" s="13"/>
    </x:row>
    <x:row r="3" ht="8" customHeight="1"/>
    <x:row r="4" ht="28" customHeight="1">
      <x:c r="A4" s="50" t="str">
        <x:v>编号</x:v>
      </x:c>
      <x:c r="B4" s="50" t="str">
        <x:v>类别</x:v>
      </x:c>
      <x:c r="C4" s="50" t="str">
        <x:v>名称</x:v>
      </x:c>
      <x:c r="D4" s="50" t="str">
        <x:v>核心含义</x:v>
      </x:c>
      <x:c r="E4" s="50" t="str">
        <x:v>成立条件</x:v>
      </x:c>
      <x:c r="F4" s="50" t="str">
        <x:v>用户语言</x:v>
      </x:c>
      <x:c r="G4" s="50" t="str">
        <x:v>输出字段</x:v>
      </x:c>
      <x:c r="H4" s="50" t="str">
        <x:v>边界</x:v>
      </x:c>
    </x:row>
    <x:row r="5" ht="56" customHeight="1">
      <x:c r="A5" s="58" t="str">
        <x:v>CP01</x:v>
      </x:c>
      <x:c r="B5" s="58" t="str">
        <x:v>CARE模式</x:v>
      </x:c>
      <x:c r="C5" s="58" t="str">
        <x:v>主动投入型</x:v>
      </x:c>
      <x:c r="D5" s="58" t="str">
        <x:v>用户较容易先注意关系需要并启动照顾、安排或支持。</x:v>
      </x:c>
      <x:c r="E5" s="58" t="str">
        <x:v>主CARE通道外显近位；G01主动投入成立；有至少一项稳定行为证据。</x:v>
      </x:c>
      <x:c r="F5" s="58" t="str">
        <x:v>当你认定关系需要被照顾时，通常会较早主动安排、询问或承担。</x:v>
      </x:c>
      <x:c r="G5" s="58" t="str">
        <x:v>care_pattern</x:v>
      </x:c>
      <x:c r="H5" s="58" t="str">
        <x:v>至少两类证据；不能由单一十神标签直接确定。</x:v>
      </x:c>
    </x:row>
    <x:row r="6" ht="56" customHeight="1">
      <x:c r="A6" s="62" t="str">
        <x:v>CP02</x:v>
      </x:c>
      <x:c r="B6" s="62" t="str">
        <x:v>CARE模式</x:v>
      </x:c>
      <x:c r="C6" s="62" t="str">
        <x:v>回应式支持型</x:v>
      </x:c>
      <x:c r="D6" s="62" t="str">
        <x:v>用户在需要、请求或对方投入清楚后，给出有针对性的回应。</x:v>
      </x:c>
      <x:c r="E6" s="62" t="str">
        <x:v>G02回应式支持成立；支持内容清楚；不能只有弱远藏干。</x:v>
      </x:c>
      <x:c r="F6" s="62" t="str">
        <x:v>你更容易在看见明确需要、收到清楚请求或感受到对方投入后，给出具体回应。</x:v>
      </x:c>
      <x:c r="G6" s="62" t="str">
        <x:v>care_pattern</x:v>
      </x:c>
      <x:c r="H6" s="62" t="str">
        <x:v>至少两类证据；不能由单一十神标签直接确定。</x:v>
      </x:c>
    </x:row>
    <x:row r="7" ht="56" customHeight="1">
      <x:c r="A7" s="58" t="str">
        <x:v>CP03</x:v>
      </x:c>
      <x:c r="B7" s="58" t="str">
        <x:v>CARE模式</x:v>
      </x:c>
      <x:c r="C7" s="58" t="str">
        <x:v>共同投入型</x:v>
      </x:c>
      <x:c r="D7" s="58" t="str">
        <x:v>支持通过双方共同参与、协作和分工形成，而不是单方包办。</x:v>
      </x:c>
      <x:c r="E7" s="58" t="str">
        <x:v>比劫系统或独立协作证据有效；G03共同启动成立。</x:v>
      </x:c>
      <x:c r="F7" s="58" t="str">
        <x:v>你更习惯把照顾关系做成双方一起参与的过程，重视共同承担和彼此补位。</x:v>
      </x:c>
      <x:c r="G7" s="58" t="str">
        <x:v>care_pattern</x:v>
      </x:c>
      <x:c r="H7" s="58" t="str">
        <x:v>至少两类证据；不能由单一十神标签直接确定。</x:v>
      </x:c>
    </x:row>
    <x:row r="8" ht="56" customHeight="1">
      <x:c r="A8" s="62" t="str">
        <x:v>CP04</x:v>
      </x:c>
      <x:c r="B8" s="62" t="str">
        <x:v>CARE模式</x:v>
      </x:c>
      <x:c r="C8" s="62" t="str">
        <x:v>条件启动型</x:v>
      </x:c>
      <x:c r="D8" s="62" t="str">
        <x:v>用户需要先确认问题、责任、资源或边界，再启动支持。</x:v>
      </x:c>
      <x:c r="E8" s="62" t="str">
        <x:v>G04条件启动成立；偏印、官杀、资源边界或明确条件至少两类证据支持。</x:v>
      </x:c>
      <x:c r="F8" s="62" t="str">
        <x:v>你并非不愿付出，而是更容易在问题、责任或资源边界清楚以后投入。</x:v>
      </x:c>
      <x:c r="G8" s="62" t="str">
        <x:v>care_pattern</x:v>
      </x:c>
      <x:c r="H8" s="62" t="str">
        <x:v>至少两类证据；不能由单一十神标签直接确定。</x:v>
      </x:c>
    </x:row>
    <x:row r="9" ht="56" customHeight="1">
      <x:c r="A9" s="58" t="str">
        <x:v>CP05</x:v>
      </x:c>
      <x:c r="B9" s="58" t="str">
        <x:v>CARE模式</x:v>
      </x:c>
      <x:c r="C9" s="58" t="str">
        <x:v>稳定经营型</x:v>
      </x:c>
      <x:c r="D9" s="58" t="str">
        <x:v>支持主要通过持续、可预期的时间资源和日常安排累积。</x:v>
      </x:c>
      <x:c r="E9" s="58" t="str">
        <x:v>正财、正官或N01稳定重复明显；至少一项有根近位证据。</x:v>
      </x:c>
      <x:c r="F9" s="58" t="str">
        <x:v>你更常通过稳定出现、处理日常事务和把关系纳入现实安排来照顾对方。</x:v>
      </x:c>
      <x:c r="G9" s="58" t="str">
        <x:v>care_pattern</x:v>
      </x:c>
      <x:c r="H9" s="58" t="str">
        <x:v>至少两类证据；不能由单一十神标签直接确定。</x:v>
      </x:c>
    </x:row>
    <x:row r="10" ht="56" customHeight="1">
      <x:c r="A10" s="62" t="str">
        <x:v>CP06</x:v>
      </x:c>
      <x:c r="B10" s="62" t="str">
        <x:v>CARE模式</x:v>
      </x:c>
      <x:c r="C10" s="62" t="str">
        <x:v>舒缓照料型</x:v>
      </x:c>
      <x:c r="D10" s="62" t="str">
        <x:v>支持主要通过陪伴、安抚、照顾状态和建立舒适环境完成。</x:v>
      </x:c>
      <x:c r="E10" s="62" t="str">
        <x:v>食神、正印或H01情绪舒缓明显；有重复或安全承接证据。</x:v>
      </x:c>
      <x:c r="F10" s="62" t="str">
        <x:v>你更容易通过陪伴、理解、照顾节奏和让对方放松来提供支持。</x:v>
      </x:c>
      <x:c r="G10" s="62" t="str">
        <x:v>care_pattern</x:v>
      </x:c>
      <x:c r="H10" s="62" t="str">
        <x:v>至少两类证据；不能由单一十神标签直接确定。</x:v>
      </x:c>
    </x:row>
    <x:row r="11" ht="56" customHeight="1">
      <x:c r="A11" s="58" t="str">
        <x:v>CP07</x:v>
      </x:c>
      <x:c r="B11" s="58" t="str">
        <x:v>CARE模式</x:v>
      </x:c>
      <x:c r="C11" s="58" t="str">
        <x:v>解题支持型</x:v>
      </x:c>
      <x:c r="D11" s="58" t="str">
        <x:v>支持主要通过分析、信息、建议、技能和问题解决完成。</x:v>
      </x:c>
      <x:c r="E11" s="58" t="str">
        <x:v>伤官、偏印或H03认知解题明显；存在可观察的知识/方案输出。</x:v>
      </x:c>
      <x:c r="F11" s="58" t="str">
        <x:v>你更容易通过分析问题、提供思路和帮助对方看清关键点来支持关系。</x:v>
      </x:c>
      <x:c r="G11" s="58" t="str">
        <x:v>care_pattern</x:v>
      </x:c>
      <x:c r="H11" s="58" t="str">
        <x:v>至少两类证据；不能由单一十神标签直接确定。</x:v>
      </x:c>
    </x:row>
    <x:row r="12" ht="56" customHeight="1">
      <x:c r="A12" s="62" t="str">
        <x:v>CP08</x:v>
      </x:c>
      <x:c r="B12" s="62" t="str">
        <x:v>CARE模式</x:v>
      </x:c>
      <x:c r="C12" s="62" t="str">
        <x:v>责任承担型</x:v>
      </x:c>
      <x:c r="D12" s="62" t="str">
        <x:v>支持主要通过守约、固定分工、角色责任和稳定履职完成。</x:v>
      </x:c>
      <x:c r="E12" s="62" t="str">
        <x:v>正官或H02现实安排明显；守约和责任兑现证据独立成立。</x:v>
      </x:c>
      <x:c r="F12" s="62" t="str">
        <x:v>你会把支持落实为清楚责任、稳定履行和共同规则，让对方知道哪些事情可以依赖你。</x:v>
      </x:c>
      <x:c r="G12" s="62" t="str">
        <x:v>care_pattern</x:v>
      </x:c>
      <x:c r="H12" s="62" t="str">
        <x:v>至少两类证据；不能由单一十神标签直接确定。</x:v>
      </x:c>
    </x:row>
    <x:row r="13" ht="56" customHeight="1">
      <x:c r="A13" s="58" t="str">
        <x:v>CP09</x:v>
      </x:c>
      <x:c r="B13" s="58" t="str">
        <x:v>CARE模式</x:v>
      </x:c>
      <x:c r="C13" s="58" t="str">
        <x:v>行动保护型</x:v>
      </x:c>
      <x:c r="D13" s="58" t="str">
        <x:v>支持主要在关键时刻通过快速处理、保护和推进问题解决。</x:v>
      </x:c>
      <x:c r="E13" s="58" t="str">
        <x:v>七杀、劫财或H04行动保护明显；存在关键任务行为证据。</x:v>
      </x:c>
      <x:c r="F13" s="58" t="str">
        <x:v>遇到明确困难时，你更容易先采取行动、处理障碍和推动事情落地。</x:v>
      </x:c>
      <x:c r="G13" s="58" t="str">
        <x:v>care_pattern</x:v>
      </x:c>
      <x:c r="H13" s="58" t="str">
        <x:v>至少两类证据；不能由单一十神标签直接确定。</x:v>
      </x:c>
    </x:row>
    <x:row r="14" ht="56" customHeight="1">
      <x:c r="A14" s="62" t="str">
        <x:v>CP10</x:v>
      </x:c>
      <x:c r="B14" s="62" t="str">
        <x:v>CARE模式</x:v>
      </x:c>
      <x:c r="C14" s="62" t="str">
        <x:v>灵活体验型</x:v>
      </x:c>
      <x:c r="D14" s="62" t="str">
        <x:v>支持主要通过体验、资源、人脉、礼物和灵活回应保持关系活力。</x:v>
      </x:c>
      <x:c r="E14" s="62" t="str">
        <x:v>偏财、食神或H05体验联结明显；支持行为不只是一项单次标签。</x:v>
      </x:c>
      <x:c r="F14" s="62" t="str">
        <x:v>你会通过灵活安排、共同体验、分享资源和及时回应，让关系保持活力。</x:v>
      </x:c>
      <x:c r="G14" s="62" t="str">
        <x:v>care_pattern</x:v>
      </x:c>
      <x:c r="H14" s="62" t="str">
        <x:v>至少两类证据；不能由单一十神标签直接确定。</x:v>
      </x:c>
    </x:row>
    <x:row r="15" ht="56" customHeight="1">
      <x:c r="A15" s="58" t="str">
        <x:v>CP11</x:v>
      </x:c>
      <x:c r="B15" s="58" t="str">
        <x:v>CARE模式</x:v>
      </x:c>
      <x:c r="C15" s="58" t="str">
        <x:v>双通道交换型</x:v>
      </x:c>
      <x:c r="D15" s="58" t="str">
        <x:v>两个来源独立、功能不同的CARE通道分工合作。</x:v>
      </x:c>
      <x:c r="E15" s="58" t="str">
        <x:v>两个通道均达到候选阈值；source_id独立；功能不同；未同义收敛。</x:v>
      </x:c>
      <x:c r="F15" s="58" t="str">
        <x:v>你通常不只用一种方式支持关系：一项负责主要投入，另一项负责补充或回馈。</x:v>
      </x:c>
      <x:c r="G15" s="58" t="str">
        <x:v>care_pattern</x:v>
      </x:c>
      <x:c r="H15" s="58" t="str">
        <x:v>至少两类证据；不能由单一十神标签直接确定。</x:v>
      </x:c>
    </x:row>
    <x:row r="16" ht="56" customHeight="1">
      <x:c r="A16" s="62" t="str">
        <x:v>CP12</x:v>
      </x:c>
      <x:c r="B16" s="62" t="str">
        <x:v>CARE模式</x:v>
      </x:c>
      <x:c r="C16" s="62" t="str">
        <x:v>情境切换型</x:v>
      </x:c>
      <x:c r="D16" s="62" t="str">
        <x:v>不同情境、阶段或压力水平会改变支持通道的启动顺序。</x:v>
      </x:c>
      <x:c r="E16" s="62" t="str">
        <x:v>至少两项通道在不同情境各自有独立证据；M3-STATE或阶段信息支持切换。</x:v>
      </x:c>
      <x:c r="F16" s="62" t="str">
        <x:v>你在日常、明确任务和压力状态下，可能会调用不同的支持方式。</x:v>
      </x:c>
      <x:c r="G16" s="62" t="str">
        <x:v>care_pattern</x:v>
      </x:c>
      <x:c r="H16" s="62" t="str">
        <x:v>至少两类证据；不能由单一十神标签直接确定。</x:v>
      </x:c>
    </x:row>
    <x:row r="17" ht="56" customHeight="1">
      <x:c r="A17" s="58" t="str">
        <x:v>CE01</x:v>
      </x:c>
      <x:c r="B17" s="58" t="str">
        <x:v>交换结构</x:v>
      </x:c>
      <x:c r="C17" s="58" t="str">
        <x:v>同步互惠</x:v>
      </x:c>
      <x:c r="D17" s="58" t="str">
        <x:v>双方在相近时间用可识别方式相互回应，支持形成即时或稳定来回。</x:v>
      </x:c>
      <x:c r="E17" s="58" t="str">
        <x:v>FB01或FB02成立；双方行为证据可见且来源独立。</x:v>
      </x:c>
      <x:c r="F17" s="58" t="str">
        <x:v>你更容易在双方都能及时回应、支持有来有回时感受到关系在共同运转。</x:v>
      </x:c>
      <x:c r="G17" s="58" t="str">
        <x:v>reciprocity_pattern</x:v>
      </x:c>
      <x:c r="H17" s="58" t="str">
        <x:v>单向可见不等于单向关系；缺一不可需要案例验证。</x:v>
      </x:c>
    </x:row>
    <x:row r="18" ht="56" customHeight="1">
      <x:c r="A18" s="62" t="str">
        <x:v>CE02</x:v>
      </x:c>
      <x:c r="B18" s="62" t="str">
        <x:v>交换结构</x:v>
      </x:c>
      <x:c r="C18" s="62" t="str">
        <x:v>错峰互惠</x:v>
      </x:c>
      <x:c r="D18" s="62" t="str">
        <x:v>双方并非同时付出，而是在不同阶段轮流承担和回应。</x:v>
      </x:c>
      <x:c r="E18" s="62" t="str">
        <x:v>存在先给后收或先收后回的独立时间顺序；并非单向长期缺失。</x:v>
      </x:c>
      <x:c r="F18" s="62" t="str">
        <x:v>你们的支持可能不是同时发生，而是随着不同阶段轮流承担和回馈。</x:v>
      </x:c>
      <x:c r="G18" s="62" t="str">
        <x:v>reciprocity_pattern</x:v>
      </x:c>
      <x:c r="H18" s="62" t="str">
        <x:v>单向可见不等于单向关系；缺一不可需要案例验证。</x:v>
      </x:c>
    </x:row>
    <x:row r="19" ht="56" customHeight="1">
      <x:c r="A19" s="58" t="str">
        <x:v>CE03</x:v>
      </x:c>
      <x:c r="B19" s="58" t="str">
        <x:v>交换结构</x:v>
      </x:c>
      <x:c r="C19" s="58" t="str">
        <x:v>角色分工</x:v>
      </x:c>
      <x:c r="D19" s="58" t="str">
        <x:v>双方或两个CARE通道承担不同类型的支持功能。</x:v>
      </x:c>
      <x:c r="E19" s="58" t="str">
        <x:v>FB03角色分工成立；两个通道功能不同且没有同源重复。</x:v>
      </x:c>
      <x:c r="F19" s="58" t="str">
        <x:v>关系中的支持更可能通过分工完成：一项负责现实事务，另一项负责情绪、认知或行动支持。</x:v>
      </x:c>
      <x:c r="G19" s="58" t="str">
        <x:v>reciprocity_pattern</x:v>
      </x:c>
      <x:c r="H19" s="58" t="str">
        <x:v>单向可见不等于单向关系；缺一不可需要案例验证。</x:v>
      </x:c>
    </x:row>
    <x:row r="20" ht="56" customHeight="1">
      <x:c r="A20" s="62" t="str">
        <x:v>CE04</x:v>
      </x:c>
      <x:c r="B20" s="62" t="str">
        <x:v>交换结构</x:v>
      </x:c>
      <x:c r="C20" s="62" t="str">
        <x:v>先给后收</x:v>
      </x:c>
      <x:c r="D20" s="62" t="str">
        <x:v>用户较早投入，之后通过对方回应、稳定表现或信任建立接受支持。</x:v>
      </x:c>
      <x:c r="E20" s="62" t="str">
        <x:v>G01主动投入与RC02/RC03接受方式同时成立，且路径顺序有独立证据。</x:v>
      </x:c>
      <x:c r="F20" s="62" t="str">
        <x:v>你可能先通过行动或安排表达支持，等确认对方能够回应和尊重你以后，再更充分地接受帮助。</x:v>
      </x:c>
      <x:c r="G20" s="62" t="str">
        <x:v>reciprocity_pattern</x:v>
      </x:c>
      <x:c r="H20" s="62" t="str">
        <x:v>单向可见不等于单向关系；缺一不可需要案例验证。</x:v>
      </x:c>
    </x:row>
    <x:row r="21" ht="56" customHeight="1">
      <x:c r="A21" s="58" t="str">
        <x:v>CE05</x:v>
      </x:c>
      <x:c r="B21" s="58" t="str">
        <x:v>交换结构</x:v>
      </x:c>
      <x:c r="C21" s="58" t="str">
        <x:v>先收后回</x:v>
      </x:c>
      <x:c r="D21" s="58" t="str">
        <x:v>用户先在理解、明确需要或获得支持后，转为实际回馈。</x:v>
      </x:c>
      <x:c r="E21" s="58" t="str">
        <x:v>正印/偏印接收与财官杀回馈形成有效桥梁。</x:v>
      </x:c>
      <x:c r="F21" s="58" t="str">
        <x:v>你更容易在先被理解、得到清楚支持后，再把这份支持转化为实际行动和回馈。</x:v>
      </x:c>
      <x:c r="G21" s="58" t="str">
        <x:v>reciprocity_pattern</x:v>
      </x:c>
      <x:c r="H21" s="58" t="str">
        <x:v>单向可见不等于单向关系；缺一不可需要案例验证。</x:v>
      </x:c>
    </x:row>
    <x:row r="22" ht="56" customHeight="1">
      <x:c r="A22" s="62" t="str">
        <x:v>CE06</x:v>
      </x:c>
      <x:c r="B22" s="62" t="str">
        <x:v>交换结构</x:v>
      </x:c>
      <x:c r="C22" s="62" t="str">
        <x:v>单向可见候选</x:v>
      </x:c>
      <x:c r="D22" s="62" t="str">
        <x:v>目前只能看见一侧支持行为，另一侧可能隐性、延后或资料不足。</x:v>
      </x:c>
      <x:c r="E22" s="62" t="str">
        <x:v>用户自述或命理证据只覆盖给予或接受一侧，缺少双向独立证据。</x:v>
      </x:c>
      <x:c r="F22" s="62" t="str">
        <x:v>目前较容易看见你怎样付出，但怎样接受和回馈还需要真实相处资料，不能直接判断为单向关系。</x:v>
      </x:c>
      <x:c r="G22" s="62" t="str">
        <x:v>reciprocity_pattern</x:v>
      </x:c>
      <x:c r="H22" s="62" t="str">
        <x:v>单向可见不等于单向关系；缺一不可需要案例验证。</x:v>
      </x:c>
    </x:row>
    <x:row r="23" ht="56" customHeight="1">
      <x:c r="A23" s="58" t="str">
        <x:v>CE07</x:v>
      </x:c>
      <x:c r="B23" s="58" t="str">
        <x:v>交换结构</x:v>
      </x:c>
      <x:c r="C23" s="58" t="str">
        <x:v>同义收敛</x:v>
      </x:c>
      <x:c r="D23" s="58" t="str">
        <x:v>多个规则实际描述同一支持事实，应合并为一项功能。</x:v>
      </x:c>
      <x:c r="E23" s="58" t="str">
        <x:v>同一source_id、同根透干或BASE/EXPR/CARE读取同一事实。</x:v>
      </x:c>
      <x:c r="F23" s="58" t="str">
        <x:v>看似有多项支持方式时，会先检查是否只是同一行为的不同解释，避免重复堆叠。</x:v>
      </x:c>
      <x:c r="G23" s="58" t="str">
        <x:v>reciprocity_pattern</x:v>
      </x:c>
      <x:c r="H23" s="58" t="str">
        <x:v>单向可见不等于单向关系；缺一不可需要案例验证。</x:v>
      </x:c>
    </x:row>
    <x:row r="24" ht="56" customHeight="1">
      <x:c r="A24" s="62" t="str">
        <x:v>CE08</x:v>
      </x:c>
      <x:c r="B24" s="62" t="str">
        <x:v>交换结构</x:v>
      </x:c>
      <x:c r="C24" s="62" t="str">
        <x:v>交换结构未定</x:v>
      </x:c>
      <x:c r="D24" s="62" t="str">
        <x:v>证据冲突、合化未定或双向资料不足时，不固定互惠模式。</x:v>
      </x:c>
      <x:c r="E24" s="62" t="str">
        <x:v>关键source_id缺失、主次分差不足、伴侣反馈缺失或基础状态争议。</x:v>
      </x:c>
      <x:c r="F24" s="62" t="str">
        <x:v>目前可以描述你的主要支持方式，但双方怎样形成稳定交换仍不宜固定判断。</x:v>
      </x:c>
      <x:c r="G24" s="62" t="str">
        <x:v>reciprocity_pattern</x:v>
      </x:c>
      <x:c r="H24" s="62" t="str">
        <x:v>单向可见不等于单向关系；缺一不可需要案例验证。</x:v>
      </x:c>
    </x:row>
    <x:row r="25" ht="56" customHeight="1">
      <x:c r="A25" s="58" t="str">
        <x:v>CF01</x:v>
      </x:c>
      <x:c r="B25" s="58" t="str">
        <x:v>CARE路径</x:v>
      </x:c>
      <x:c r="C25" s="58" t="str">
        <x:v>印→比劫｜支持转自主</x:v>
      </x:c>
      <x:c r="D25" s="58" t="str">
        <x:v>先被理解、接住或获得信息，再回到自己的选择和分工。</x:v>
      </x:c>
      <x:c r="E25" s="58" t="str">
        <x:v>印星与比劫均有效；存在由承接到自主参与的独立桥梁。</x:v>
      </x:c>
      <x:c r="F25" s="58" t="str">
        <x:v>你更容易在先被理解和获得可靠支持后，再回到自己的判断，与对方一起决定怎样处理。</x:v>
      </x:c>
      <x:c r="G25" s="58" t="str">
        <x:v>care_path</x:v>
      </x:c>
      <x:c r="H25" s="58" t="str">
        <x:v>五行生助不能单独生成现实先后。</x:v>
      </x:c>
    </x:row>
    <x:row r="26" ht="56" customHeight="1">
      <x:c r="A26" s="62" t="str">
        <x:v>CF02</x:v>
      </x:c>
      <x:c r="B26" s="62" t="str">
        <x:v>CARE路径</x:v>
      </x:c>
      <x:c r="C26" s="62" t="str">
        <x:v>比劫→食伤｜并肩转交流</x:v>
      </x:c>
      <x:c r="D26" s="62" t="str">
        <x:v>先确认平等参与和边界，再通过交流、陪伴或说明完成支持。</x:v>
      </x:c>
      <x:c r="E26" s="62" t="str">
        <x:v>比劫与食伤均有效；平等参与是起点，表达交流是后续。</x:v>
      </x:c>
      <x:c r="F26" s="62" t="str">
        <x:v>你更容易先确认双方能平等参与，再通过沟通、分享或陪伴把支持做完整。</x:v>
      </x:c>
      <x:c r="G26" s="62" t="str">
        <x:v>care_path</x:v>
      </x:c>
      <x:c r="H26" s="62" t="str">
        <x:v>五行生助不能单独生成现实先后。</x:v>
      </x:c>
    </x:row>
    <x:row r="27" ht="56" customHeight="1">
      <x:c r="A27" s="58" t="str">
        <x:v>CF03</x:v>
      </x:c>
      <x:c r="B27" s="58" t="str">
        <x:v>CARE路径</x:v>
      </x:c>
      <x:c r="C27" s="58" t="str">
        <x:v>食伤→财｜感受转落实</x:v>
      </x:c>
      <x:c r="D27" s="58" t="str">
        <x:v>先通过陪伴、表达或解题建立理解，再落实到时间、资源和现实安排。</x:v>
      </x:c>
      <x:c r="E27" s="58" t="str">
        <x:v>食伤与财星均有效；存在从交流/舒缓到现实投入的行为证据。</x:v>
      </x:c>
      <x:c r="F27" s="58" t="str">
        <x:v>你可能先让对方感到被理解或把问题说清，再用实际安排和持续行动把支持落实。</x:v>
      </x:c>
      <x:c r="G27" s="58" t="str">
        <x:v>care_path</x:v>
      </x:c>
      <x:c r="H27" s="58" t="str">
        <x:v>五行生助不能单独生成现实先后。</x:v>
      </x:c>
    </x:row>
    <x:row r="28" ht="56" customHeight="1">
      <x:c r="A28" s="62" t="str">
        <x:v>CF04</x:v>
      </x:c>
      <x:c r="B28" s="62" t="str">
        <x:v>CARE路径</x:v>
      </x:c>
      <x:c r="C28" s="62" t="str">
        <x:v>财→官杀｜投入转责任</x:v>
      </x:c>
      <x:c r="D28" s="62" t="str">
        <x:v>先出现现实投入，再把它固定为分工、承诺、责任或关键行动。</x:v>
      </x:c>
      <x:c r="E28" s="62" t="str">
        <x:v>财星与官杀均有效；持续投入能转为清楚责任。</x:v>
      </x:c>
      <x:c r="F28" s="62" t="str">
        <x:v>你会先从实际投入开始，随后把重要事项变成清楚分工、承诺和可依赖的责任。</x:v>
      </x:c>
      <x:c r="G28" s="62" t="str">
        <x:v>care_path</x:v>
      </x:c>
      <x:c r="H28" s="62" t="str">
        <x:v>五行生助不能单独生成现实先后。</x:v>
      </x:c>
    </x:row>
    <x:row r="29" ht="56" customHeight="1">
      <x:c r="A29" s="58" t="str">
        <x:v>CF05</x:v>
      </x:c>
      <x:c r="B29" s="58" t="str">
        <x:v>CARE路径</x:v>
      </x:c>
      <x:c r="C29" s="58" t="str">
        <x:v>官杀→印｜承担转安全</x:v>
      </x:c>
      <x:c r="D29" s="58" t="str">
        <x:v>先通过行动、解决问题或责任兑现，再形成安全、信任和接受支持。</x:v>
      </x:c>
      <x:c r="E29" s="58" t="str">
        <x:v>官杀与印星均有效；责任/行动兑现后形成承接。</x:v>
      </x:c>
      <x:c r="F29" s="58" t="str">
        <x:v>你更容易先用承担和解决问题让关系稳定下来，事情有结果后再回到理解、安抚和信任。</x:v>
      </x:c>
      <x:c r="G29" s="58" t="str">
        <x:v>care_path</x:v>
      </x:c>
      <x:c r="H29" s="58" t="str">
        <x:v>五行生助不能单独生成现实先后。</x:v>
      </x:c>
    </x:row>
    <x:row r="30" ht="56" customHeight="1">
      <x:c r="A30" s="62" t="str">
        <x:v>CF06</x:v>
      </x:c>
      <x:c r="B30" s="62" t="str">
        <x:v>CARE路径</x:v>
      </x:c>
      <x:c r="C30" s="62" t="str">
        <x:v>直接流｜单通道完成支持</x:v>
      </x:c>
      <x:c r="D30" s="62" t="str">
        <x:v>一个主CARE通道同时完成启动、内容和可观察输出。</x:v>
      </x:c>
      <x:c r="E30" s="62" t="str">
        <x:v>单一通道高权威、近位、有根，且没有必要的第二桥梁。</x:v>
      </x:c>
      <x:c r="F30" s="62" t="str">
        <x:v>你的支持方式相对集中，通常能通过一条主要通道直接完成。</x:v>
      </x:c>
      <x:c r="G30" s="62" t="str">
        <x:v>care_path</x:v>
      </x:c>
      <x:c r="H30" s="62" t="str">
        <x:v>五行生助不能单独生成现实先后。</x:v>
      </x:c>
    </x:row>
    <x:row r="31" ht="56" customHeight="1">
      <x:c r="A31" s="58" t="str">
        <x:v>CF07</x:v>
      </x:c>
      <x:c r="B31" s="58" t="str">
        <x:v>CARE路径</x:v>
      </x:c>
      <x:c r="C31" s="58" t="str">
        <x:v>桥接流｜两通道分工</x:v>
      </x:c>
      <x:c r="D31" s="58" t="str">
        <x:v>一个通道负责启动，另一个通道负责落实、接收或回馈。</x:v>
      </x:c>
      <x:c r="E31" s="58" t="str">
        <x:v>两个独立通道功能不同，且存在明确先后或分工。</x:v>
      </x:c>
      <x:c r="F31" s="58" t="str">
        <x:v>你通常会先用一种方式启动支持，再用另一种方式把它落实或完成回馈。</x:v>
      </x:c>
      <x:c r="G31" s="58" t="str">
        <x:v>care_path</x:v>
      </x:c>
      <x:c r="H31" s="58" t="str">
        <x:v>五行生助不能单独生成现实先后。</x:v>
      </x:c>
    </x:row>
    <x:row r="32" ht="56" customHeight="1">
      <x:c r="A32" s="62" t="str">
        <x:v>CF08</x:v>
      </x:c>
      <x:c r="B32" s="62" t="str">
        <x:v>CARE路径</x:v>
      </x:c>
      <x:c r="C32" s="62" t="str">
        <x:v>闭环流｜支持—回应—再调整</x:v>
      </x:c>
      <x:c r="D32" s="62" t="str">
        <x:v>支持行为、对方反馈和后续调整形成多轮循环。</x:v>
      </x:c>
      <x:c r="E32" s="62" t="str">
        <x:v>至少三段独立证据：给予、回应、调整；不能由单一生克关系推断。</x:v>
      </x:c>
      <x:c r="F32" s="62" t="str">
        <x:v>你更容易根据对方的回应继续调整支持方式，关系中的照顾会通过多轮反馈逐渐稳定。</x:v>
      </x:c>
      <x:c r="G32" s="62" t="str">
        <x:v>care_path</x:v>
      </x:c>
      <x:c r="H32" s="62" t="str">
        <x:v>五行生助不能单独生成现实先后。</x:v>
      </x:c>
    </x:row>
  </x:sheetData>
  <x:mergeCells>
    <x:mergeCell ref="A1:H1"/>
    <x:mergeCell ref="A2:H2"/>
  </x:mergeCells>
  <x:pageMargins left="0.7" right="0.7" top="0.75" bottom="0.75" header="0.3" footer="0.3"/>
  <x:tableParts count="1">
    <x:tablePart xmlns:r="http://schemas.openxmlformats.org/officeDocument/2006/relationships" r:id="R9286f905084a4f42"/>
  </x:tableParts>
</x:worksheet>
</file>

<file path=xl/worksheets/sheet5.xml><?xml version="1.0" encoding="utf-8"?>
<x:worksheet xmlns:x="http://schemas.openxmlformats.org/spreadsheetml/2006/main">
  <x:sheetFormatPr defaultRowHeight="15"/>
  <x:cols>
    <x:col min="1" max="1" width="15" hidden="0" customWidth="1"/>
    <x:col min="2" max="2" width="28" hidden="0" customWidth="1"/>
    <x:col min="3" max="3" width="38" hidden="0" customWidth="1"/>
    <x:col min="4" max="4" width="34" hidden="0" customWidth="1"/>
    <x:col min="5" max="5" width="38" hidden="0" customWidth="1"/>
    <x:col min="6" max="6" width="20" hidden="0" customWidth="1"/>
    <x:col min="7" max="7" width="22" hidden="0" customWidth="1"/>
    <x:col min="8" max="8" width="10" hidden="0" customWidth="1"/>
    <x:col min="9" max="9" width="38" hidden="0" customWidth="1"/>
  </x:cols>
  <x:sheetData>
    <x:row r="1" ht="30" customHeight="1">
      <x:c r="A1" s="5" t="str">
        <x:v>透藏、根气、旺弱、喜忌、制化、位置与同系统收敛</x:v>
      </x:c>
      <x:c r="B1" s="5"/>
      <x:c r="C1" s="5"/>
      <x:c r="D1" s="5"/>
      <x:c r="E1" s="5"/>
      <x:c r="F1" s="5"/>
      <x:c r="G1" s="5"/>
      <x:c r="H1" s="5"/>
      <x:c r="I1" s="5"/>
    </x:row>
    <x:row r="2" ht="32" customHeight="1">
      <x:c r="A2" s="13" t="str">
        <x:v>状态修正只改变可见度、连续性、强度、顺畅度与路由；不直接等于付出好坏或关系风险。</x:v>
      </x:c>
      <x:c r="B2" s="13"/>
      <x:c r="C2" s="13"/>
      <x:c r="D2" s="13"/>
      <x:c r="E2" s="13"/>
      <x:c r="F2" s="13"/>
      <x:c r="G2" s="13"/>
      <x:c r="H2" s="13"/>
      <x:c r="I2" s="13"/>
    </x:row>
    <x:row r="3" ht="8" customHeight="1"/>
    <x:row r="4" ht="28" customHeight="1">
      <x:c r="A4" s="50" t="str">
        <x:v>规则ID</x:v>
      </x:c>
      <x:c r="B4" s="50" t="str">
        <x:v>状态名称</x:v>
      </x:c>
      <x:c r="C4" s="50" t="str">
        <x:v>必要条件</x:v>
      </x:c>
      <x:c r="D4" s="50" t="str">
        <x:v>内部修正</x:v>
      </x:c>
      <x:c r="E4" s="50" t="str">
        <x:v>用户表达</x:v>
      </x:c>
      <x:c r="F4" s="50" t="str">
        <x:v>分值／作用</x:v>
      </x:c>
      <x:c r="G4" s="50" t="str">
        <x:v>输出字段</x:v>
      </x:c>
      <x:c r="H4" s="50" t="str">
        <x:v>置信</x:v>
      </x:c>
      <x:c r="I4" s="50" t="str">
        <x:v>禁止误读</x:v>
      </x:c>
    </x:row>
    <x:row r="5" ht="58" customHeight="1">
      <x:c r="A5" s="58" t="str">
        <x:v>M3-CARE-167</x:v>
      </x:c>
      <x:c r="B5" s="58" t="str">
        <x:v>SC01 透干且有根｜CARE外显并可重复</x:v>
      </x:c>
      <x:c r="C5" s="58" t="str">
        <x:v>主CARE信号透干且有根，原十神性质有效。</x:v>
      </x:c>
      <x:c r="D5" s="58" t="str">
        <x:v>主CARE信号透干且有根，原十神性质有效。</x:v>
      </x:c>
      <x:c r="E5" s="58" t="str">
        <x:v>支持方式容易被看见，也更可能在不同情境重复出现。</x:v>
      </x:c>
      <x:c r="F5" s="58" t="str">
        <x:v>主通道 +8；可见度外显</x:v>
      </x:c>
      <x:c r="G5" s="58" t="str">
        <x:v>care_visibility</x:v>
      </x:c>
      <x:c r="H5" s="58" t="str">
        <x:v>中高</x:v>
      </x:c>
      <x:c r="I5" s="58" t="str">
        <x:v>不得由本规则直接推出过度付出、付出失衡、依赖、控制、忠诚度、关系结果或适配度；不得把某种照顾方式等同于爱得更多或更少。</x:v>
      </x:c>
    </x:row>
    <x:row r="6" ht="58" customHeight="1">
      <x:c r="A6" s="62" t="str">
        <x:v>M3-CARE-168</x:v>
      </x:c>
      <x:c r="B6" s="62" t="str">
        <x:v>SC02 透干但无根｜先看见、后验证</x:v>
      </x:c>
      <x:c r="C6" s="62" t="str">
        <x:v>主CARE信号透干但无根，且无近位独立支持。</x:v>
      </x:c>
      <x:c r="D6" s="62" t="str">
        <x:v>主CARE信号透干但无根，且无近位独立支持。</x:v>
      </x:c>
      <x:c r="E6" s="62" t="str">
        <x:v>对方可能较早看见这种支持表现，但是否能稳定持续仍需要重复行为验证。</x:v>
      </x:c>
      <x:c r="F6" s="62" t="str">
        <x:v>可见度 +5；连续性不加分</x:v>
      </x:c>
      <x:c r="G6" s="62" t="str">
        <x:v>care_visibility</x:v>
      </x:c>
      <x:c r="H6" s="62" t="str">
        <x:v>中</x:v>
      </x:c>
      <x:c r="I6" s="62" t="str">
        <x:v>不得由本规则直接推出过度付出、付出失衡、依赖、控制、忠诚度、关系结果或适配度；不得把某种照顾方式等同于爱得更多或更少。</x:v>
      </x:c>
    </x:row>
    <x:row r="7" ht="58" customHeight="1">
      <x:c r="A7" s="58" t="str">
        <x:v>M3-CARE-169</x:v>
      </x:c>
      <x:c r="B7" s="58" t="str">
        <x:v>SC03 藏支有根｜隐性累积</x:v>
      </x:c>
      <x:c r="C7" s="58" t="str">
        <x:v>主CARE信号藏支且有根，未被真合化替换。</x:v>
      </x:c>
      <x:c r="D7" s="58" t="str">
        <x:v>主CARE信号藏支且有根，未被真合化替换。</x:v>
      </x:c>
      <x:c r="E7" s="58" t="str">
        <x:v>支持不一定高调外显，更容易藏在长期细节、熟悉后的投入和稳定回应里。</x:v>
      </x:c>
      <x:c r="F7" s="58" t="str">
        <x:v>主通道 +6；连续性 +5</x:v>
      </x:c>
      <x:c r="G7" s="58" t="str">
        <x:v>care_visibility</x:v>
      </x:c>
      <x:c r="H7" s="58" t="str">
        <x:v>中高</x:v>
      </x:c>
      <x:c r="I7" s="58" t="str">
        <x:v>不得由本规则直接推出过度付出、付出失衡、依赖、控制、忠诚度、关系结果或适配度；不得把某种照顾方式等同于爱得更多或更少。</x:v>
      </x:c>
    </x:row>
    <x:row r="8" ht="58" customHeight="1">
      <x:c r="A8" s="62" t="str">
        <x:v>M3-CARE-170</x:v>
      </x:c>
      <x:c r="B8" s="62" t="str">
        <x:v>SC04 藏支无根／弱远｜仅保留候选</x:v>
      </x:c>
      <x:c r="C8" s="62" t="str">
        <x:v>主CARE信号仅藏、无根、远位且没有独立流向支持。</x:v>
      </x:c>
      <x:c r="D8" s="62" t="str">
        <x:v>主CARE信号仅藏、无根、远位且没有独立流向支持。</x:v>
      </x:c>
      <x:c r="E8" s="62" t="str">
        <x:v>目前只能把这种方式保留为潜在支持倾向，不宜写成稳定习惯。</x:v>
      </x:c>
      <x:c r="F8" s="62" t="str">
        <x:v>候选 +2；降置信</x:v>
      </x:c>
      <x:c r="G8" s="62" t="str">
        <x:v>primary_care_channel</x:v>
      </x:c>
      <x:c r="H8" s="62" t="str">
        <x:v>中低</x:v>
      </x:c>
      <x:c r="I8" s="62" t="str">
        <x:v>不得由本规则直接推出过度付出、付出失衡、依赖、控制、忠诚度、关系结果或适配度；不得把某种照顾方式等同于爱得更多或更少。</x:v>
      </x:c>
    </x:row>
    <x:row r="9" ht="58" customHeight="1">
      <x:c r="A9" s="58" t="str">
        <x:v>M3-CARE-171</x:v>
      </x:c>
      <x:c r="B9" s="58" t="str">
        <x:v>SC05 同根透藏｜一次证据、两种表现</x:v>
      </x:c>
      <x:c r="C9" s="58" t="str">
        <x:v>透干与藏支来自同一根或同一source_id。</x:v>
      </x:c>
      <x:c r="D9" s="58" t="str">
        <x:v>透干与藏支来自同一根或同一source_id。</x:v>
      </x:c>
      <x:c r="E9" s="58" t="str">
        <x:v>同一支持功能可能既有外显行为，也有内部稳定来源，但只计算一次基础证据。</x:v>
      </x:c>
      <x:c r="F9" s="58" t="str">
        <x:v>去重；稳定性修正 +3</x:v>
      </x:c>
      <x:c r="G9" s="58" t="str">
        <x:v>provenance</x:v>
      </x:c>
      <x:c r="H9" s="58" t="str">
        <x:v>高</x:v>
      </x:c>
      <x:c r="I9" s="58" t="str">
        <x:v>不得由本规则直接推出过度付出、付出失衡、依赖、控制、忠诚度、关系结果或适配度；不得把某种照顾方式等同于爱得更多或更少。</x:v>
      </x:c>
    </x:row>
    <x:row r="10" ht="58" customHeight="1">
      <x:c r="A10" s="62" t="str">
        <x:v>M3-CARE-172</x:v>
      </x:c>
      <x:c r="B10" s="62" t="str">
        <x:v>SC06 多根同类｜重复性提高</x:v>
      </x:c>
      <x:c r="C10" s="62" t="str">
        <x:v>同一CARE通道有两个以上独立根气或不同位置重复支持。</x:v>
      </x:c>
      <x:c r="D10" s="62" t="str">
        <x:v>同一CARE通道有两个以上独立根气或不同位置重复支持。</x:v>
      </x:c>
      <x:c r="E10" s="62" t="str">
        <x:v>这种支持方式更容易在不同场景反复出现，连续性判断可提高。</x:v>
      </x:c>
      <x:c r="F10" s="62" t="str">
        <x:v>连续性 +6；不增加新通道</x:v>
      </x:c>
      <x:c r="G10" s="62" t="str">
        <x:v>continuity_mode</x:v>
      </x:c>
      <x:c r="H10" s="62" t="str">
        <x:v>中高</x:v>
      </x:c>
      <x:c r="I10" s="62" t="str">
        <x:v>不得由本规则直接推出过度付出、付出失衡、依赖、控制、忠诚度、关系结果或适配度；不得把某种照顾方式等同于爱得更多或更少。</x:v>
      </x:c>
    </x:row>
    <x:row r="11" ht="58" customHeight="1">
      <x:c r="A11" s="58" t="str">
        <x:v>M3-CARE-173</x:v>
      </x:c>
      <x:c r="B11" s="58" t="str">
        <x:v>SC07 有根但受损｜功能保留、调用受限</x:v>
      </x:c>
      <x:c r="C11" s="58" t="str">
        <x:v>主CARE信号有根但受到有效冲克、制约或环境限制，且未完全失效。</x:v>
      </x:c>
      <x:c r="D11" s="58" t="str">
        <x:v>主CARE信号有根但受到有效冲克、制约或环境限制，且未完全失效。</x:v>
      </x:c>
      <x:c r="E11" s="58" t="str">
        <x:v>这项支持能力仍然存在，但是否顺畅调用更依赖具体情境和资源条件。</x:v>
      </x:c>
      <x:c r="F11" s="58" t="str">
        <x:v>主通道保留；顺畅度 -3</x:v>
      </x:c>
      <x:c r="G11" s="58" t="str">
        <x:v>state_shift</x:v>
      </x:c>
      <x:c r="H11" s="58" t="str">
        <x:v>中</x:v>
      </x:c>
      <x:c r="I11" s="58" t="str">
        <x:v>不得由本规则直接推出过度付出、付出失衡、依赖、控制、忠诚度、关系结果或适配度；不得把某种照顾方式等同于爱得更多或更少。</x:v>
      </x:c>
    </x:row>
    <x:row r="12" ht="58" customHeight="1">
      <x:c r="A12" s="62" t="str">
        <x:v>M3-CARE-174</x:v>
      </x:c>
      <x:c r="B12" s="62" t="str">
        <x:v>SC08 无根但近位行为验证｜条件性成立</x:v>
      </x:c>
      <x:c r="C12" s="62" t="str">
        <x:v>无根信号位于近位，并有真实重复行为或第二独立证据支持。</x:v>
      </x:c>
      <x:c r="D12" s="62" t="str">
        <x:v>无根信号位于近位，并有真实重复行为或第二独立证据支持。</x:v>
      </x:c>
      <x:c r="E12" s="62" t="str">
        <x:v>虽然命盘结构中的稳定来源较弱，但现实行为显示这项支持方式在特定关系中可以成立。</x:v>
      </x:c>
      <x:c r="F12" s="62" t="str">
        <x:v>条件性 +5；标记案例依赖</x:v>
      </x:c>
      <x:c r="G12" s="62" t="str">
        <x:v>continuity_mode</x:v>
      </x:c>
      <x:c r="H12" s="62" t="str">
        <x:v>中</x:v>
      </x:c>
      <x:c r="I12" s="62" t="str">
        <x:v>不得由本规则直接推出过度付出、付出失衡、依赖、控制、忠诚度、关系结果或适配度；不得把某种照顾方式等同于爱得更多或更少。</x:v>
      </x:c>
    </x:row>
    <x:row r="13" ht="58" customHeight="1">
      <x:c r="A13" s="58" t="str">
        <x:v>M3-CARE-175</x:v>
      </x:c>
      <x:c r="B13" s="58" t="str">
        <x:v>SC09 旺而平衡｜自然调用</x:v>
      </x:c>
      <x:c r="C13" s="58" t="str">
        <x:v>主CARE通道旺而有序、未明显失衡。</x:v>
      </x:c>
      <x:c r="D13" s="58" t="str">
        <x:v>主CARE通道旺而有序、未明显失衡。</x:v>
      </x:c>
      <x:c r="E13" s="58" t="str">
        <x:v>这类支持方式较容易自然出现，用户不必等到特殊事件才会调用。</x:v>
      </x:c>
      <x:c r="F13" s="58" t="str">
        <x:v>主通道 +7</x:v>
      </x:c>
      <x:c r="G13" s="58" t="str">
        <x:v>primary_care_channel</x:v>
      </x:c>
      <x:c r="H13" s="58" t="str">
        <x:v>中高</x:v>
      </x:c>
      <x:c r="I13" s="58" t="str">
        <x:v>不得由本规则直接推出过度付出、付出失衡、依赖、控制、忠诚度、关系结果或适配度；不得把某种照顾方式等同于爱得更多或更少。</x:v>
      </x:c>
    </x:row>
    <x:row r="14" ht="58" customHeight="1">
      <x:c r="A14" s="62" t="str">
        <x:v>M3-CARE-176</x:v>
      </x:c>
      <x:c r="B14" s="62" t="str">
        <x:v>SC10 旺而过度占位｜先启动但不判风险</x:v>
      </x:c>
      <x:c r="C14" s="62" t="str">
        <x:v>主CARE通道过旺或明显抢先，且缺少调节。</x:v>
      </x:c>
      <x:c r="D14" s="62" t="str">
        <x:v>主CARE通道过旺或明显抢先，且缺少调节。</x:v>
      </x:c>
      <x:c r="E14" s="62" t="str">
        <x:v>这种支持方式更容易成为第一反应、占据较多关系资源；是否过度或耗竭必须交给M4。</x:v>
      </x:c>
      <x:c r="F14" s="62" t="str">
        <x:v>抢先 +5；路由M4观察</x:v>
      </x:c>
      <x:c r="G14" s="62" t="str">
        <x:v>state_shift</x:v>
      </x:c>
      <x:c r="H14" s="62" t="str">
        <x:v>中</x:v>
      </x:c>
      <x:c r="I14" s="62" t="str">
        <x:v>不得由本规则直接推出过度付出、付出失衡、依赖、控制、忠诚度、关系结果或适配度；不得把某种照顾方式等同于爱得更多或更少。</x:v>
      </x:c>
    </x:row>
    <x:row r="15" ht="58" customHeight="1">
      <x:c r="A15" s="58" t="str">
        <x:v>M3-CARE-177</x:v>
      </x:c>
      <x:c r="B15" s="58" t="str">
        <x:v>SC11 中和可用｜依情境稳定调用</x:v>
      </x:c>
      <x:c r="C15" s="58" t="str">
        <x:v>CARE通道力量中和，有根或有近位支持。</x:v>
      </x:c>
      <x:c r="D15" s="58" t="str">
        <x:v>CARE通道力量中和，有根或有近位支持。</x:v>
      </x:c>
      <x:c r="E15" s="58" t="str">
        <x:v>你通常能在合适情境里调用这项支持方式，强度不会持续压过其他通道。</x:v>
      </x:c>
      <x:c r="F15" s="58" t="str">
        <x:v>主通道 +5</x:v>
      </x:c>
      <x:c r="G15" s="58" t="str">
        <x:v>primary_care_channel</x:v>
      </x:c>
      <x:c r="H15" s="58" t="str">
        <x:v>中</x:v>
      </x:c>
      <x:c r="I15" s="58" t="str">
        <x:v>不得由本规则直接推出过度付出、付出失衡、依赖、控制、忠诚度、关系结果或适配度；不得把某种照顾方式等同于爱得更多或更少。</x:v>
      </x:c>
    </x:row>
    <x:row r="16" ht="58" customHeight="1">
      <x:c r="A16" s="62" t="str">
        <x:v>M3-CARE-178</x:v>
      </x:c>
      <x:c r="B16" s="62" t="str">
        <x:v>SC12 偏弱有助｜需要明确需要或安全条件</x:v>
      </x:c>
      <x:c r="C16" s="62" t="str">
        <x:v>CARE通道偏弱，但有生助、近位或后续桥梁。</x:v>
      </x:c>
      <x:c r="D16" s="62" t="str">
        <x:v>CARE通道偏弱，但有生助、近位或后续桥梁。</x:v>
      </x:c>
      <x:c r="E16" s="62" t="str">
        <x:v>这项支持方式并非缺失，而是更容易在需求清楚、关系安全或有人回应时出现。</x:v>
      </x:c>
      <x:c r="F16" s="62" t="str">
        <x:v>条件性 +4</x:v>
      </x:c>
      <x:c r="G16" s="62" t="str">
        <x:v>investment_mode</x:v>
      </x:c>
      <x:c r="H16" s="62" t="str">
        <x:v>中</x:v>
      </x:c>
      <x:c r="I16" s="62" t="str">
        <x:v>不得由本规则直接推出过度付出、付出失衡、依赖、控制、忠诚度、关系结果或适配度；不得把某种照顾方式等同于爱得更多或更少。</x:v>
      </x:c>
    </x:row>
    <x:row r="17" ht="58" customHeight="1">
      <x:c r="A17" s="58" t="str">
        <x:v>M3-CARE-179</x:v>
      </x:c>
      <x:c r="B17" s="58" t="str">
        <x:v>SC13 偏弱无助｜不写稳定模式</x:v>
      </x:c>
      <x:c r="C17" s="58" t="str">
        <x:v>CARE通道偏弱、无根、无近位支持且无有效流向。</x:v>
      </x:c>
      <x:c r="D17" s="58" t="str">
        <x:v>CARE通道偏弱、无根、无近位支持且无有效流向。</x:v>
      </x:c>
      <x:c r="E17" s="58" t="str">
        <x:v>目前不足以把这项方式写成稳定的支持习惯，只能作为低权重背景。</x:v>
      </x:c>
      <x:c r="F17" s="58" t="str">
        <x:v>候选 +1；降置信</x:v>
      </x:c>
      <x:c r="G17" s="58" t="str">
        <x:v>primary_care_channel</x:v>
      </x:c>
      <x:c r="H17" s="58" t="str">
        <x:v>中低</x:v>
      </x:c>
      <x:c r="I17" s="58" t="str">
        <x:v>不得由本规则直接推出过度付出、付出失衡、依赖、控制、忠诚度、关系结果或适配度；不得把某种照顾方式等同于爱得更多或更少。</x:v>
      </x:c>
    </x:row>
    <x:row r="18" ht="58" customHeight="1">
      <x:c r="A18" s="62" t="str">
        <x:v>M3-CARE-180</x:v>
      </x:c>
      <x:c r="B18" s="62" t="str">
        <x:v>SC14 强弱争议｜回退到五系统</x:v>
      </x:c>
      <x:c r="C18" s="62" t="str">
        <x:v>旺衰判断存在实质争议，且不同判法会改变主CARE通道。</x:v>
      </x:c>
      <x:c r="D18" s="62" t="str">
        <x:v>旺衰判断存在实质争议，且不同判法会改变主CARE通道。</x:v>
      </x:c>
      <x:c r="E18" s="62" t="str">
        <x:v>目前只能判断你更偏向某一类支持系统，具体十神方式仍需保留不确定性。</x:v>
      </x:c>
      <x:c r="F18" s="62" t="str">
        <x:v>停止十神级输出</x:v>
      </x:c>
      <x:c r="G18" s="62" t="str">
        <x:v>report_status</x:v>
      </x:c>
      <x:c r="H18" s="62" t="str">
        <x:v>低</x:v>
      </x:c>
      <x:c r="I18" s="62" t="str">
        <x:v>不得由本规则直接推出过度付出、付出失衡、依赖、控制、忠诚度、关系结果或适配度；不得把某种照顾方式等同于爱得更多或更少。</x:v>
      </x:c>
    </x:row>
    <x:row r="19" ht="58" customHeight="1">
      <x:c r="A19" s="58" t="str">
        <x:v>M3-CARE-181</x:v>
      </x:c>
      <x:c r="B19" s="58" t="str">
        <x:v>SC15 为喜且平衡｜调用较顺畅</x:v>
      </x:c>
      <x:c r="C19" s="58" t="str">
        <x:v>CARE通道为喜且平衡，基础性质有效。</x:v>
      </x:c>
      <x:c r="D19" s="58" t="str">
        <x:v>CARE通道为喜且平衡，基础性质有效。</x:v>
      </x:c>
      <x:c r="E19" s="58" t="str">
        <x:v>你使用这类支持方式时通常较顺手，也更容易收到清楚反馈。</x:v>
      </x:c>
      <x:c r="F19" s="58" t="str">
        <x:v>顺畅度 +4</x:v>
      </x:c>
      <x:c r="G19" s="58" t="str">
        <x:v>state_shift</x:v>
      </x:c>
      <x:c r="H19" s="58" t="str">
        <x:v>中</x:v>
      </x:c>
      <x:c r="I19" s="58" t="str">
        <x:v>不得由本规则直接推出过度付出、付出失衡、依赖、控制、忠诚度、关系结果或适配度；不得把某种照顾方式等同于爱得更多或更少。</x:v>
      </x:c>
    </x:row>
    <x:row r="20" ht="58" customHeight="1">
      <x:c r="A20" s="62" t="str">
        <x:v>M3-CARE-182</x:v>
      </x:c>
      <x:c r="B20" s="62" t="str">
        <x:v>SC16 为忌但有效｜仍可高频调用</x:v>
      </x:c>
      <x:c r="C20" s="62" t="str">
        <x:v>CARE通道为忌但结构有效或力量明显。</x:v>
      </x:c>
      <x:c r="D20" s="62" t="str">
        <x:v>CARE通道为忌但结构有效或力量明显。</x:v>
      </x:c>
      <x:c r="E20" s="62" t="str">
        <x:v>这项支持方式仍可能很常用；喜忌不能翻译成愿不愿付出，只提示资源压力或调用感受需要观察。</x:v>
      </x:c>
      <x:c r="F20" s="62" t="str">
        <x:v>强度保留；路由M4观察</x:v>
      </x:c>
      <x:c r="G20" s="62" t="str">
        <x:v>state_shift</x:v>
      </x:c>
      <x:c r="H20" s="62" t="str">
        <x:v>中</x:v>
      </x:c>
      <x:c r="I20" s="62" t="str">
        <x:v>不得由本规则直接推出过度付出、付出失衡、依赖、控制、忠诚度、关系结果或适配度；不得把某种照顾方式等同于爱得更多或更少。</x:v>
      </x:c>
    </x:row>
    <x:row r="21" ht="58" customHeight="1">
      <x:c r="A21" s="58" t="str">
        <x:v>M3-CARE-183</x:v>
      </x:c>
      <x:c r="B21" s="58" t="str">
        <x:v>SC17 喜忌未定｜只用功能性语言</x:v>
      </x:c>
      <x:c r="C21" s="58" t="str">
        <x:v>CARE通道喜忌存在争议，但十神功能与位置可靠。</x:v>
      </x:c>
      <x:c r="D21" s="58" t="str">
        <x:v>CARE通道喜忌存在争议，但十神功能与位置可靠。</x:v>
      </x:c>
      <x:c r="E21" s="58" t="str">
        <x:v>可以说明你怎样支持关系，但不评价这种方式是否顺畅、轻松或容易形成压力。</x:v>
      </x:c>
      <x:c r="F21" s="58" t="str">
        <x:v>功能保留；不写体验质量</x:v>
      </x:c>
      <x:c r="G21" s="58" t="str">
        <x:v>boundary_note</x:v>
      </x:c>
      <x:c r="H21" s="58" t="str">
        <x:v>中</x:v>
      </x:c>
      <x:c r="I21" s="58" t="str">
        <x:v>不得由本规则直接推出过度付出、付出失衡、依赖、控制、忠诚度、关系结果或适配度；不得把某种照顾方式等同于爱得更多或更少。</x:v>
      </x:c>
    </x:row>
    <x:row r="22" ht="58" customHeight="1">
      <x:c r="A22" s="62" t="str">
        <x:v>M3-CARE-184</x:v>
      </x:c>
      <x:c r="B22" s="62" t="str">
        <x:v>SC18 忌而过旺｜禁止直接写过度付出</x:v>
      </x:c>
      <x:c r="C22" s="62" t="str">
        <x:v>CARE通道为忌且过旺，调节不足。</x:v>
      </x:c>
      <x:c r="D22" s="62" t="str">
        <x:v>CARE通道为忌且过旺，调节不足。</x:v>
      </x:c>
      <x:c r="E22" s="62" t="str">
        <x:v>只能说明这项支持方式容易抢先或占据资源，不能直接下“牺牲、耗竭、控制”的结论。</x:v>
      </x:c>
      <x:c r="F22" s="62" t="str">
        <x:v>路由M4；CARE不判风险</x:v>
      </x:c>
      <x:c r="G22" s="62" t="str">
        <x:v>boundary_note</x:v>
      </x:c>
      <x:c r="H22" s="62" t="str">
        <x:v>高</x:v>
      </x:c>
      <x:c r="I22" s="62" t="str">
        <x:v>不得由本规则直接推出过度付出、付出失衡、依赖、控制、忠诚度、关系结果或适配度；不得把某种照顾方式等同于爱得更多或更少。</x:v>
      </x:c>
    </x:row>
    <x:row r="23" ht="58" customHeight="1">
      <x:c r="A23" s="58" t="str">
        <x:v>M3-CARE-185</x:v>
      </x:c>
      <x:c r="B23" s="58" t="str">
        <x:v>SC19 有制有化｜通道经过另一系统调节</x:v>
      </x:c>
      <x:c r="C23" s="58" t="str">
        <x:v>原CARE通道有效，且存在可靠制化关系但未真合化替换。</x:v>
      </x:c>
      <x:c r="D23" s="58" t="str">
        <x:v>原CARE通道有效，且存在可靠制化关系但未真合化替换。</x:v>
      </x:c>
      <x:c r="E23" s="58" t="str">
        <x:v>支持方式会经过另一系统调节，例如行动先经过沟通，投入先经过边界协商。</x:v>
      </x:c>
      <x:c r="F23" s="58" t="str">
        <x:v>建立桥接路径 +5</x:v>
      </x:c>
      <x:c r="G23" s="58" t="str">
        <x:v>care_path</x:v>
      </x:c>
      <x:c r="H23" s="58" t="str">
        <x:v>中高</x:v>
      </x:c>
      <x:c r="I23" s="58" t="str">
        <x:v>不得由本规则直接推出过度付出、付出失衡、依赖、控制、忠诚度、关系结果或适配度；不得把某种照顾方式等同于爱得更多或更少。</x:v>
      </x:c>
    </x:row>
    <x:row r="24" ht="58" customHeight="1">
      <x:c r="A24" s="62" t="str">
        <x:v>M3-CARE-186</x:v>
      </x:c>
      <x:c r="B24" s="62" t="str">
        <x:v>SC20 强而无制｜压力下更易抢先</x:v>
      </x:c>
      <x:c r="C24" s="62" t="str">
        <x:v>主CARE通道强而无制，且M3-STATE显示压力触发。</x:v>
      </x:c>
      <x:c r="D24" s="62" t="str">
        <x:v>主CARE通道强而无制，且M3-STATE显示压力触发。</x:v>
      </x:c>
      <x:c r="E24" s="62" t="str">
        <x:v>压力增加时，这项支持方式更容易成为第一反应，但不等于平时只有这一种方式。</x:v>
      </x:c>
      <x:c r="F24" s="62" t="str">
        <x:v>压力通道 +5</x:v>
      </x:c>
      <x:c r="G24" s="62" t="str">
        <x:v>state_shift</x:v>
      </x:c>
      <x:c r="H24" s="62" t="str">
        <x:v>中</x:v>
      </x:c>
      <x:c r="I24" s="62" t="str">
        <x:v>不得由本规则直接推出过度付出、付出失衡、依赖、控制、忠诚度、关系结果或适配度；不得把某种照顾方式等同于爱得更多或更少。</x:v>
      </x:c>
    </x:row>
    <x:row r="25" ht="58" customHeight="1">
      <x:c r="A25" s="58" t="str">
        <x:v>M3-CARE-187</x:v>
      </x:c>
      <x:c r="B25" s="58" t="str">
        <x:v>SC21 合而不化｜保留原通道并修正牵连</x:v>
      </x:c>
      <x:c r="C25" s="58" t="str">
        <x:v>存在合，但真合化条件不成立。</x:v>
      </x:c>
      <x:c r="D25" s="58" t="str">
        <x:v>存在合，但真合化条件不成立。</x:v>
      </x:c>
      <x:c r="E25" s="58" t="str">
        <x:v>原CARE通道仍然有效，只是更容易与另一项支持内容绑定、协商或相互牵连。</x:v>
      </x:c>
      <x:c r="F25" s="58" t="str">
        <x:v>原通道保留；双通道候选 +3</x:v>
      </x:c>
      <x:c r="G25" s="58" t="str">
        <x:v>care_path</x:v>
      </x:c>
      <x:c r="H25" s="58" t="str">
        <x:v>中</x:v>
      </x:c>
      <x:c r="I25" s="58" t="str">
        <x:v>不得由本规则直接推出过度付出、付出失衡、依赖、控制、忠诚度、关系结果或适配度；不得把某种照顾方式等同于爱得更多或更少。</x:v>
      </x:c>
    </x:row>
    <x:row r="26" ht="58" customHeight="1">
      <x:c r="A26" s="62" t="str">
        <x:v>M3-CARE-188</x:v>
      </x:c>
      <x:c r="B26" s="62" t="str">
        <x:v>SC22 真合化｜原通道清零并按化神重建</x:v>
      </x:c>
      <x:c r="C26" s="62" t="str">
        <x:v>共享基础引擎确认真合化成立，化神五行与阴阳映射可靠。</x:v>
      </x:c>
      <x:c r="D26" s="62" t="str">
        <x:v>共享基础引擎确认真合化成立，化神五行与阴阳映射可靠。</x:v>
      </x:c>
      <x:c r="E26" s="62" t="str">
        <x:v>原十神CARE性质停止计分，改按化神所属功能系统重新判断支持方式。</x:v>
      </x:c>
      <x:c r="F26" s="62" t="str">
        <x:v>原分清零；替换路由</x:v>
      </x:c>
      <x:c r="G26" s="62" t="str">
        <x:v>report_status</x:v>
      </x:c>
      <x:c r="H26" s="62" t="str">
        <x:v>高</x:v>
      </x:c>
      <x:c r="I26" s="62" t="str">
        <x:v>不得由本规则直接推出过度付出、付出失衡、依赖、控制、忠诚度、关系结果或适配度；不得把某种照顾方式等同于爱得更多或更少。</x:v>
      </x:c>
    </x:row>
    <x:row r="27" ht="58" customHeight="1">
      <x:c r="A27" s="58" t="str">
        <x:v>M3-CARE-189</x:v>
      </x:c>
      <x:c r="B27" s="58" t="str">
        <x:v>SC23 日柱／日支近位｜亲密关系直接调用</x:v>
      </x:c>
      <x:c r="C27" s="58" t="str">
        <x:v>CARE信号位于日柱、日支主气或与日主形成直接近位关系。</x:v>
      </x:c>
      <x:c r="D27" s="58" t="str">
        <x:v>CARE信号位于日柱、日支主气或与日主形成直接近位关系。</x:v>
      </x:c>
      <x:c r="E27" s="58" t="str">
        <x:v>这项支持方式更容易直接进入亲密关系日常，而不只停留在外部角色。</x:v>
      </x:c>
      <x:c r="F27" s="58" t="str">
        <x:v>主通道 +7</x:v>
      </x:c>
      <x:c r="G27" s="58" t="str">
        <x:v>primary_care_channel</x:v>
      </x:c>
      <x:c r="H27" s="58" t="str">
        <x:v>中高</x:v>
      </x:c>
      <x:c r="I27" s="58" t="str">
        <x:v>不得由本规则直接推出过度付出、付出失衡、依赖、控制、忠诚度、关系结果或适配度；不得把某种照顾方式等同于爱得更多或更少。</x:v>
      </x:c>
    </x:row>
    <x:row r="28" ht="58" customHeight="1">
      <x:c r="A28" s="62" t="str">
        <x:v>M3-CARE-190</x:v>
      </x:c>
      <x:c r="B28" s="62" t="str">
        <x:v>SC24 月柱中近位｜稳定背景支持</x:v>
      </x:c>
      <x:c r="C28" s="62" t="str">
        <x:v>CARE信号位于月柱或与日柱有稳定连接。</x:v>
      </x:c>
      <x:c r="D28" s="62" t="str">
        <x:v>CARE信号位于月柱或与日柱有稳定连接。</x:v>
      </x:c>
      <x:c r="E28" s="62" t="str">
        <x:v>这项支持方式较容易成为长期生活和关系角色中的稳定背景。</x:v>
      </x:c>
      <x:c r="F28" s="62" t="str">
        <x:v>主/次候选 +4</x:v>
      </x:c>
      <x:c r="G28" s="62" t="str">
        <x:v>secondary_care_channel</x:v>
      </x:c>
      <x:c r="H28" s="62" t="str">
        <x:v>中</x:v>
      </x:c>
      <x:c r="I28" s="62" t="str">
        <x:v>不得由本规则直接推出过度付出、付出失衡、依赖、控制、忠诚度、关系结果或适配度；不得把某种照顾方式等同于爱得更多或更少。</x:v>
      </x:c>
    </x:row>
    <x:row r="29" ht="58" customHeight="1">
      <x:c r="A29" s="58" t="str">
        <x:v>M3-CARE-191</x:v>
      </x:c>
      <x:c r="B29" s="58" t="str">
        <x:v>SC25 年时远位｜情境或阶段化表达</x:v>
      </x:c>
      <x:c r="C29" s="58" t="str">
        <x:v>CARE信号主要位于年柱、时柱或与日柱连接较弱。</x:v>
      </x:c>
      <x:c r="D29" s="58" t="str">
        <x:v>CARE信号主要位于年柱、时柱或与日柱连接较弱。</x:v>
      </x:c>
      <x:c r="E29" s="58" t="str">
        <x:v>这项支持方式可能更依赖特定环境、未来阶段或外部角色，不宜直接写成亲密关系核心。</x:v>
      </x:c>
      <x:c r="F29" s="58" t="str">
        <x:v>次候选 +2；降置信</x:v>
      </x:c>
      <x:c r="G29" s="58" t="str">
        <x:v>secondary_care_channel</x:v>
      </x:c>
      <x:c r="H29" s="58" t="str">
        <x:v>中低</x:v>
      </x:c>
      <x:c r="I29" s="58" t="str">
        <x:v>不得由本规则直接推出过度付出、付出失衡、依赖、控制、忠诚度、关系结果或适配度；不得把某种照顾方式等同于爱得更多或更少。</x:v>
      </x:c>
    </x:row>
    <x:row r="30" ht="58" customHeight="1">
      <x:c r="A30" s="62" t="str">
        <x:v>M3-CARE-192</x:v>
      </x:c>
      <x:c r="B30" s="62" t="str">
        <x:v>SC26 正偏同系统并见｜先收敛功能系统</x:v>
      </x:c>
      <x:c r="C30" s="62" t="str">
        <x:v>同一五系统中的正偏十神同时有效。</x:v>
      </x:c>
      <x:c r="D30" s="62" t="str">
        <x:v>同一五系统中的正偏十神同时有效。</x:v>
      </x:c>
      <x:c r="E30" s="62" t="str">
        <x:v>先合并为同一支持系统，再判断两者是风格分工、主次还是同义重复。</x:v>
      </x:c>
      <x:c r="F30" s="62" t="str">
        <x:v>系统层合并；不重复加基础分</x:v>
      </x:c>
      <x:c r="G30" s="62" t="str">
        <x:v>provenance</x:v>
      </x:c>
      <x:c r="H30" s="62" t="str">
        <x:v>高</x:v>
      </x:c>
      <x:c r="I30" s="62" t="str">
        <x:v>不得由本规则直接推出过度付出、付出失衡、依赖、控制、忠诚度、关系结果或适配度；不得把某种照顾方式等同于爱得更多或更少。</x:v>
      </x:c>
    </x:row>
    <x:row r="31" ht="58" customHeight="1">
      <x:c r="A31" s="58" t="str">
        <x:v>M3-CARE-193</x:v>
      </x:c>
      <x:c r="B31" s="58" t="str">
        <x:v>SC27 正偏同系统功能分工｜稳定与灵活并存</x:v>
      </x:c>
      <x:c r="C31" s="58" t="str">
        <x:v>正偏十神来源独立、功能不同且均达到次通道门槛。</x:v>
      </x:c>
      <x:c r="D31" s="58" t="str">
        <x:v>正偏十神来源独立、功能不同且均达到次通道门槛。</x:v>
      </x:c>
      <x:c r="E31" s="58" t="str">
        <x:v>可以输出同一系统内的分工，例如正财负责稳定投入，偏财负责灵活体验，但正文仍只保留一个系统主轴。</x:v>
      </x:c>
      <x:c r="F31" s="58" t="str">
        <x:v>双风格候选 +4</x:v>
      </x:c>
      <x:c r="G31" s="58" t="str">
        <x:v>secondary_care_channel</x:v>
      </x:c>
      <x:c r="H31" s="58" t="str">
        <x:v>中</x:v>
      </x:c>
      <x:c r="I31" s="58" t="str">
        <x:v>不得由本规则直接推出过度付出、付出失衡、依赖、控制、忠诚度、关系结果或适配度；不得把某种照顾方式等同于爱得更多或更少。</x:v>
      </x:c>
    </x:row>
    <x:row r="32" ht="58" customHeight="1">
      <x:c r="A32" s="62" t="str">
        <x:v>M3-CARE-194</x:v>
      </x:c>
      <x:c r="B32" s="62" t="str">
        <x:v>SC28 正偏同源重复｜同义收敛</x:v>
      </x:c>
      <x:c r="C32" s="62" t="str">
        <x:v>正偏信号实际来自同一source_id、同一合化结果或无法证明功能独立。</x:v>
      </x:c>
      <x:c r="D32" s="62" t="str">
        <x:v>正偏信号实际来自同一source_id、同一合化结果或无法证明功能独立。</x:v>
      </x:c>
      <x:c r="E32" s="62" t="str">
        <x:v>看似两种支持方式时，若本质是同一事实，应合并而不是堆成双通道。</x:v>
      </x:c>
      <x:c r="F32" s="62" t="str">
        <x:v>去重；仅保留高权威描述</x:v>
      </x:c>
      <x:c r="G32" s="62" t="str">
        <x:v>provenance</x:v>
      </x:c>
      <x:c r="H32" s="62" t="str">
        <x:v>高</x:v>
      </x:c>
      <x:c r="I32" s="62" t="str">
        <x:v>不得由本规则直接推出过度付出、付出失衡、依赖、控制、忠诚度、关系结果或适配度；不得把某种照顾方式等同于爱得更多或更少。</x:v>
      </x:c>
    </x:row>
  </x:sheetData>
  <x:mergeCells>
    <x:mergeCell ref="A1:I1"/>
    <x:mergeCell ref="A2:I2"/>
  </x:mergeCells>
  <x:pageMargins left="0.7" right="0.7" top="0.75" bottom="0.75" header="0.3" footer="0.3"/>
  <x:tableParts count="1">
    <x:tablePart xmlns:r="http://schemas.openxmlformats.org/officeDocument/2006/relationships" r:id="R6a9b7edb550f497b"/>
  </x:tableParts>
</x:worksheet>
</file>

<file path=xl/worksheets/sheet6.xml><?xml version="1.0" encoding="utf-8"?>
<x:worksheet xmlns:x="http://schemas.openxmlformats.org/spreadsheetml/2006/main">
  <x:sheetFormatPr defaultRowHeight="15"/>
  <x:cols>
    <x:col min="1" max="1" width="15" hidden="0" customWidth="1"/>
    <x:col min="2" max="2" width="30" hidden="0" customWidth="1"/>
    <x:col min="3" max="3" width="18" hidden="0" customWidth="1"/>
    <x:col min="4" max="4" width="38" hidden="0" customWidth="1"/>
    <x:col min="5" max="5" width="38" hidden="0" customWidth="1"/>
    <x:col min="6" max="6" width="38" hidden="0" customWidth="1"/>
    <x:col min="7" max="7" width="22" hidden="0" customWidth="1"/>
    <x:col min="8" max="8" width="10" hidden="0" customWidth="1"/>
    <x:col min="9" max="9" width="38" hidden="0" customWidth="1"/>
  </x:cols>
  <x:sheetData>
    <x:row r="1" ht="30" customHeight="1">
      <x:c r="A1" s="5" t="str">
        <x:v>跨模块接口、source_id去重与停止规则</x:v>
      </x:c>
      <x:c r="B1" s="5"/>
      <x:c r="C1" s="5"/>
      <x:c r="D1" s="5"/>
      <x:c r="E1" s="5"/>
      <x:c r="F1" s="5"/>
      <x:c r="G1" s="5"/>
      <x:c r="H1" s="5"/>
      <x:c r="I1" s="5"/>
    </x:row>
    <x:row r="2" ht="32" customHeight="1">
      <x:c r="A2" s="13" t="str">
        <x:v>BASE定底盘，EXPR定表达，CARE定支持交换；BOUND、CONFLICT、REPAIR、STATE和M4不得被CARE越权代替。</x:v>
      </x:c>
      <x:c r="B2" s="13"/>
      <x:c r="C2" s="13"/>
      <x:c r="D2" s="13"/>
      <x:c r="E2" s="13"/>
      <x:c r="F2" s="13"/>
      <x:c r="G2" s="13"/>
      <x:c r="H2" s="13"/>
      <x:c r="I2" s="13"/>
    </x:row>
    <x:row r="3" ht="8" customHeight="1"/>
    <x:row r="4" ht="28" customHeight="1">
      <x:c r="A4" s="50" t="str">
        <x:v>规则ID</x:v>
      </x:c>
      <x:c r="B4" s="50" t="str">
        <x:v>接口／门控</x:v>
      </x:c>
      <x:c r="C4" s="50" t="str">
        <x:v>相关模块</x:v>
      </x:c>
      <x:c r="D4" s="50" t="str">
        <x:v>触发条件</x:v>
      </x:c>
      <x:c r="E4" s="50" t="str">
        <x:v>正确处理</x:v>
      </x:c>
      <x:c r="F4" s="50" t="str">
        <x:v>用户语言</x:v>
      </x:c>
      <x:c r="G4" s="50" t="str">
        <x:v>输出字段</x:v>
      </x:c>
      <x:c r="H4" s="50" t="str">
        <x:v>置信</x:v>
      </x:c>
      <x:c r="I4" s="50" t="str">
        <x:v>禁止越界</x:v>
      </x:c>
    </x:row>
    <x:row r="5" ht="58" customHeight="1">
      <x:c r="A5" s="58" t="str">
        <x:v>M3-CARE-195</x:v>
      </x:c>
      <x:c r="B5" s="58" t="str">
        <x:v>IF01 BASE同源接口｜底盘与CARE共享一次基础权重</x:v>
      </x:c>
      <x:c r="C5" s="58" t="str">
        <x:v>M3-BASE</x:v>
      </x:c>
      <x:c r="D5" s="58" t="str">
        <x:v>BASE和CARE读取同一日支、同一藏干或同一source_id。</x:v>
      </x:c>
      <x:c r="E5" s="58" t="str">
        <x:v>BASE保留关系运行主题，CARE细化具体支持行为；基础权重只计一次。</x:v>
      </x:c>
      <x:c r="F5" s="58" t="str">
        <x:v>同一个日支可以同时说明关系主题和照顾方式，但不会被当成两份独立证据。</x:v>
      </x:c>
      <x:c r="G5" s="58" t="str">
        <x:v>provenance</x:v>
      </x:c>
      <x:c r="H5" s="58" t="str">
        <x:v>高</x:v>
      </x:c>
      <x:c r="I5" s="58" t="str">
        <x:v>不得由本规则直接推出过度付出、付出失衡、依赖、控制、忠诚度、关系结果或适配度；不得把某种照顾方式等同于爱得更多或更少。</x:v>
      </x:c>
    </x:row>
    <x:row r="6" ht="58" customHeight="1">
      <x:c r="A6" s="62" t="str">
        <x:v>M3-CARE-196</x:v>
      </x:c>
      <x:c r="B6" s="62" t="str">
        <x:v>IF02 BASE异源接口｜次通道可独立升级</x:v>
      </x:c>
      <x:c r="C6" s="62" t="str">
        <x:v>M3-BASE</x:v>
      </x:c>
      <x:c r="D6" s="62" t="str">
        <x:v>BASE主底盘与另一独立CARE信号来源不同、功能不同。</x:v>
      </x:c>
      <x:c r="E6" s="62" t="str">
        <x:v>独立次信号可形成次CARE通道，但必须达到次通道门槛并说明功能分工。</x:v>
      </x:c>
      <x:c r="F6" s="62" t="str">
        <x:v>关系底盘和具体支持方式不完全相同时，可以保留一个真正有作用的补充通道。</x:v>
      </x:c>
      <x:c r="G6" s="62" t="str">
        <x:v>secondary_care_channel</x:v>
      </x:c>
      <x:c r="H6" s="62" t="str">
        <x:v>中高</x:v>
      </x:c>
      <x:c r="I6" s="62" t="str">
        <x:v>不得由本规则直接推出过度付出、付出失衡、依赖、控制、忠诚度、关系结果或适配度；不得把某种照顾方式等同于爱得更多或更少。</x:v>
      </x:c>
    </x:row>
    <x:row r="7" ht="58" customHeight="1">
      <x:c r="A7" s="58" t="str">
        <x:v>M3-CARE-197</x:v>
      </x:c>
      <x:c r="B7" s="58" t="str">
        <x:v>IF03 EXPR行动表达→CARE连续性复核</x:v>
      </x:c>
      <x:c r="C7" s="58" t="str">
        <x:v>M3-EXPR</x:v>
      </x:c>
      <x:c r="D7" s="58" t="str">
        <x:v>EXPR识别正财、偏财、官杀或行动为在意表达。</x:v>
      </x:c>
      <x:c r="E7" s="58" t="str">
        <x:v>CARE必须继续检查根气、重复行为、资源安排和反馈链，不能把表达动作直接写成长投入。</x:v>
      </x:c>
      <x:c r="F7" s="58" t="str">
        <x:v>用行动表达在意之后，还要看这种行动是否持续、怎样分工和怎样被对方接收。</x:v>
      </x:c>
      <x:c r="G7" s="58" t="str">
        <x:v>continuity_mode</x:v>
      </x:c>
      <x:c r="H7" s="58" t="str">
        <x:v>高</x:v>
      </x:c>
      <x:c r="I7" s="58" t="str">
        <x:v>不得由本规则直接推出过度付出、付出失衡、依赖、控制、忠诚度、关系结果或适配度；不得把某种照顾方式等同于爱得更多或更少。</x:v>
      </x:c>
    </x:row>
    <x:row r="8" ht="58" customHeight="1">
      <x:c r="A8" s="62" t="str">
        <x:v>M3-CARE-198</x:v>
      </x:c>
      <x:c r="B8" s="62" t="str">
        <x:v>IF04 EXPR倾听承接→CARE给予与接受分栏</x:v>
      </x:c>
      <x:c r="C8" s="62" t="str">
        <x:v>M3-EXPR</x:v>
      </x:c>
      <x:c r="D8" s="62" t="str">
        <x:v>EXPR识别正印或偏印为倾听、内化或回应方式。</x:v>
      </x:c>
      <x:c r="E8" s="62" t="str">
        <x:v>CARE分别判断用户是否主动承接对方、是否能请求与接受支持，不能只写“会倾听”。</x:v>
      </x:c>
      <x:c r="F8" s="62" t="str">
        <x:v>你愿意倾听对方，不自动代表你同样容易向对方求助或接受照顾。</x:v>
      </x:c>
      <x:c r="G8" s="62" t="str">
        <x:v>support_receiving_style</x:v>
      </x:c>
      <x:c r="H8" s="62" t="str">
        <x:v>高</x:v>
      </x:c>
      <x:c r="I8" s="62" t="str">
        <x:v>不得由本规则直接推出过度付出、付出失衡、依赖、控制、忠诚度、关系结果或适配度；不得把某种照顾方式等同于爱得更多或更少。</x:v>
      </x:c>
    </x:row>
    <x:row r="9" ht="58" customHeight="1">
      <x:c r="A9" s="58" t="str">
        <x:v>M3-CARE-199</x:v>
      </x:c>
      <x:c r="B9" s="58" t="str">
        <x:v>IF05 EXPR语言→CARE落实桥梁</x:v>
      </x:c>
      <x:c r="C9" s="58" t="str">
        <x:v>M3-EXPR</x:v>
      </x:c>
      <x:c r="D9" s="58" t="str">
        <x:v>食伤表达与财官杀投入同时有效，且来源独立。</x:v>
      </x:c>
      <x:c r="E9" s="58" t="str">
        <x:v>可建立CF03或CF04路径，说明表达怎样转为安排和责任；不能由五行相生单独推断。</x:v>
      </x:c>
      <x:c r="F9" s="58" t="str">
        <x:v>当交流与现实行动都有证据时，可以说明你如何从说清楚转向实际落实。</x:v>
      </x:c>
      <x:c r="G9" s="58" t="str">
        <x:v>care_path</x:v>
      </x:c>
      <x:c r="H9" s="58" t="str">
        <x:v>中高</x:v>
      </x:c>
      <x:c r="I9" s="58" t="str">
        <x:v>不得由本规则直接推出过度付出、付出失衡、依赖、控制、忠诚度、关系结果或适配度；不得把某种照顾方式等同于爱得更多或更少。</x:v>
      </x:c>
    </x:row>
    <x:row r="10" ht="58" customHeight="1">
      <x:c r="A10" s="62" t="str">
        <x:v>M3-CARE-200</x:v>
      </x:c>
      <x:c r="B10" s="62" t="str">
        <x:v>IF06 BOUND接口｜资源权限与停止点后续判断</x:v>
      </x:c>
      <x:c r="C10" s="62" t="str">
        <x:v>M3-BOUND</x:v>
      </x:c>
      <x:c r="D10" s="62" t="str">
        <x:v>CARE识别大量投入、共同资源、替对方处理或接受帮助。</x:v>
      </x:c>
      <x:c r="E10" s="62" t="str">
        <x:v>CARE只写内容与交换方式；谁有决定权、何时停止和是否可拒绝由BOUND判断。</x:v>
      </x:c>
      <x:c r="F10" s="62" t="str">
        <x:v>这里能说明你怎样投入，但投入到什么程度、谁来决定，需要在边界模块继续看。</x:v>
      </x:c>
      <x:c r="G10" s="62" t="str">
        <x:v>resource_boundary_note</x:v>
      </x:c>
      <x:c r="H10" s="62" t="str">
        <x:v>高</x:v>
      </x:c>
      <x:c r="I10" s="62" t="str">
        <x:v>不得由本规则直接推出过度付出、付出失衡、依赖、控制、忠诚度、关系结果或适配度；不得把某种照顾方式等同于爱得更多或更少。</x:v>
      </x:c>
    </x:row>
    <x:row r="11" ht="58" customHeight="1">
      <x:c r="A11" s="58" t="str">
        <x:v>M3-CARE-201</x:v>
      </x:c>
      <x:c r="B11" s="58" t="str">
        <x:v>IF07 BOUND接口｜能求助不等于依赖</x:v>
      </x:c>
      <x:c r="C11" s="58" t="str">
        <x:v>M3-BOUND</x:v>
      </x:c>
      <x:c r="D11" s="58" t="str">
        <x:v>RQ01—RQ04任一请求支持方式成立。</x:v>
      </x:c>
      <x:c r="E11" s="58" t="str">
        <x:v>请求帮助是支持交换能力，不直接代表依赖或自主性不足。</x:v>
      </x:c>
      <x:c r="F11" s="58" t="str">
        <x:v>能够说出需要，是一种关系沟通方式，不等于你没有独立处理事情的能力。</x:v>
      </x:c>
      <x:c r="G11" s="58" t="str">
        <x:v>boundary_note</x:v>
      </x:c>
      <x:c r="H11" s="58" t="str">
        <x:v>高</x:v>
      </x:c>
      <x:c r="I11" s="58" t="str">
        <x:v>不得由本规则直接推出过度付出、付出失衡、依赖、控制、忠诚度、关系结果或适配度；不得把某种照顾方式等同于爱得更多或更少。</x:v>
      </x:c>
    </x:row>
    <x:row r="12" ht="58" customHeight="1">
      <x:c r="A12" s="62" t="str">
        <x:v>M3-CARE-202</x:v>
      </x:c>
      <x:c r="B12" s="62" t="str">
        <x:v>IF08 BOUND接口｜并肩支持不等于拒绝亲密</x:v>
      </x:c>
      <x:c r="C12" s="62" t="str">
        <x:v>M3-BOUND</x:v>
      </x:c>
      <x:c r="D12" s="62" t="str">
        <x:v>比肩、劫财或保留自主后接收成立。</x:v>
      </x:c>
      <x:c r="E12" s="62" t="str">
        <x:v>尊重自主和共同参与只描述支持结构，不能推断用户排斥照顾或不愿亲近。</x:v>
      </x:c>
      <x:c r="F12" s="62" t="str">
        <x:v>你更喜欢保留参与感和选择权，不代表你拒绝被照顾或不需要亲密。</x:v>
      </x:c>
      <x:c r="G12" s="62" t="str">
        <x:v>boundary_note</x:v>
      </x:c>
      <x:c r="H12" s="62" t="str">
        <x:v>高</x:v>
      </x:c>
      <x:c r="I12" s="62" t="str">
        <x:v>不得由本规则直接推出过度付出、付出失衡、依赖、控制、忠诚度、关系结果或适配度；不得把某种照顾方式等同于爱得更多或更少。</x:v>
      </x:c>
    </x:row>
    <x:row r="13" ht="58" customHeight="1">
      <x:c r="A13" s="58" t="str">
        <x:v>M3-CARE-203</x:v>
      </x:c>
      <x:c r="B13" s="58" t="str">
        <x:v>IF09 CONFLICT接口｜危机处理与分歧反应分开</x:v>
      </x:c>
      <x:c r="C13" s="58" t="str">
        <x:v>M3-CONFLICT</x:v>
      </x:c>
      <x:c r="D13" s="58" t="str">
        <x:v>CP09行动保护或七杀CARE在困难情境有效。</x:v>
      </x:c>
      <x:c r="E13" s="58" t="str">
        <x:v>关键时刻先处理问题可作为支持方式；分歧时的语气、权力和协商需CONFLICT独立判断。</x:v>
      </x:c>
      <x:c r="F13" s="58" t="str">
        <x:v>你可能在困难时先解决问题，但这不能单独说明发生分歧时怎样沟通。</x:v>
      </x:c>
      <x:c r="G13" s="58" t="str">
        <x:v>boundary_note</x:v>
      </x:c>
      <x:c r="H13" s="58" t="str">
        <x:v>高</x:v>
      </x:c>
      <x:c r="I13" s="58" t="str">
        <x:v>不得由本规则直接推出过度付出、付出失衡、依赖、控制、忠诚度、关系结果或适配度；不得把某种照顾方式等同于爱得更多或更少。</x:v>
      </x:c>
    </x:row>
    <x:row r="14" ht="58" customHeight="1">
      <x:c r="A14" s="62" t="str">
        <x:v>M3-CARE-204</x:v>
      </x:c>
      <x:c r="B14" s="62" t="str">
        <x:v>IF10 CONFLICT接口｜解题支持不等于纠错压制</x:v>
      </x:c>
      <x:c r="C14" s="62" t="str">
        <x:v>M3-CONFLICT</x:v>
      </x:c>
      <x:c r="D14" s="62" t="str">
        <x:v>CP07解题支持或伤官CARE成立。</x:v>
      </x:c>
      <x:c r="E14" s="62" t="str">
        <x:v>提供建议与分析是支持内容；是否在冲突中变成否定或压迫必须有独立风险证据。</x:v>
      </x:c>
      <x:c r="F14" s="62" t="str">
        <x:v>你会给方案和分析，不等于每次分歧都会纠正对方或压过对方感受。</x:v>
      </x:c>
      <x:c r="G14" s="62" t="str">
        <x:v>boundary_note</x:v>
      </x:c>
      <x:c r="H14" s="62" t="str">
        <x:v>高</x:v>
      </x:c>
      <x:c r="I14" s="62" t="str">
        <x:v>不得由本规则直接推出过度付出、付出失衡、依赖、控制、忠诚度、关系结果或适配度；不得把某种照顾方式等同于爱得更多或更少。</x:v>
      </x:c>
    </x:row>
    <x:row r="15" ht="58" customHeight="1">
      <x:c r="A15" s="58" t="str">
        <x:v>M3-CARE-205</x:v>
      </x:c>
      <x:c r="B15" s="58" t="str">
        <x:v>IF11 REPAIR接口｜舒缓照料可作为修复资源</x:v>
      </x:c>
      <x:c r="C15" s="58" t="str">
        <x:v>M3-REPAIR</x:v>
      </x:c>
      <x:c r="D15" s="58" t="str">
        <x:v>食神、正印或CP06日常支持稳定，并在紧张后有独立调用证据。</x:v>
      </x:c>
      <x:c r="E15" s="58" t="str">
        <x:v>CARE可向REPAIR提供可用资源，但不直接决定修复是否启动或成功。</x:v>
      </x:c>
      <x:c r="F15" s="58" t="str">
        <x:v>陪伴和安抚可能成为关系缓和的资源，但是否会在矛盾后主动使用，需要修复模块确认。</x:v>
      </x:c>
      <x:c r="G15" s="58" t="str">
        <x:v>repair_resource</x:v>
      </x:c>
      <x:c r="H15" s="58" t="str">
        <x:v>中</x:v>
      </x:c>
      <x:c r="I15" s="58" t="str">
        <x:v>不得由本规则直接推出过度付出、付出失衡、依赖、控制、忠诚度、关系结果或适配度；不得把某种照顾方式等同于爱得更多或更少。</x:v>
      </x:c>
    </x:row>
    <x:row r="16" ht="58" customHeight="1">
      <x:c r="A16" s="62" t="str">
        <x:v>M3-CARE-206</x:v>
      </x:c>
      <x:c r="B16" s="62" t="str">
        <x:v>IF12 REPAIR接口｜行动承担可作为修复资源</x:v>
      </x:c>
      <x:c r="C16" s="62" t="str">
        <x:v>M3-REPAIR</x:v>
      </x:c>
      <x:c r="D16" s="62" t="str">
        <x:v>财官杀CARE稳定，并在问题后出现补救、兑现或承担行为。</x:v>
      </x:c>
      <x:c r="E16" s="62" t="str">
        <x:v>实际补救可成为修复路径的一部分，但不能只凭官杀财星推断用户一定会主动修复。</x:v>
      </x:c>
      <x:c r="F16" s="62" t="str">
        <x:v>把事情补上、重新兑现或处理遗留问题，可能是你的修复资源之一。</x:v>
      </x:c>
      <x:c r="G16" s="62" t="str">
        <x:v>repair_resource</x:v>
      </x:c>
      <x:c r="H16" s="62" t="str">
        <x:v>中</x:v>
      </x:c>
      <x:c r="I16" s="62" t="str">
        <x:v>不得由本规则直接推出过度付出、付出失衡、依赖、控制、忠诚度、关系结果或适配度；不得把某种照顾方式等同于爱得更多或更少。</x:v>
      </x:c>
    </x:row>
    <x:row r="17" ht="58" customHeight="1">
      <x:c r="A17" s="58" t="str">
        <x:v>M3-CARE-207</x:v>
      </x:c>
      <x:c r="B17" s="58" t="str">
        <x:v>IF13 STATE接口｜平稳主CARE先确定</x:v>
      </x:c>
      <x:c r="C17" s="58" t="str">
        <x:v>M3-STATE</x:v>
      </x:c>
      <x:c r="D17" s="58" t="str">
        <x:v>需要比较日常、压力和恢复状态。</x:v>
      </x:c>
      <x:c r="E17" s="58" t="str">
        <x:v>先由CARE确定平稳主通道，再由STATE判断压力抢占和恢复回归，避免用极端情境覆盖日常。</x:v>
      </x:c>
      <x:c r="F17" s="58" t="str">
        <x:v>先看你平时怎样照顾关系，再说明压力增加时是否会切换。</x:v>
      </x:c>
      <x:c r="G17" s="58" t="str">
        <x:v>state_shift</x:v>
      </x:c>
      <x:c r="H17" s="58" t="str">
        <x:v>高</x:v>
      </x:c>
      <x:c r="I17" s="58" t="str">
        <x:v>不得由本规则直接推出过度付出、付出失衡、依赖、控制、忠诚度、关系结果或适配度；不得把某种照顾方式等同于爱得更多或更少。</x:v>
      </x:c>
    </x:row>
    <x:row r="18" ht="58" customHeight="1">
      <x:c r="A18" s="62" t="str">
        <x:v>M3-CARE-208</x:v>
      </x:c>
      <x:c r="B18" s="62" t="str">
        <x:v>IF14 STATE接口｜恢复回归需要独立链</x:v>
      </x:c>
      <x:c r="C18" s="62" t="str">
        <x:v>M3-STATE</x:v>
      </x:c>
      <x:c r="D18" s="62" t="str">
        <x:v>存在ST02压力通道抢先或不同通道切换。</x:v>
      </x:c>
      <x:c r="E18" s="62" t="str">
        <x:v>只有具备恢复证据时，才能写“事情稳定后回到原通道”；不能凭五行循环自动生成。</x:v>
      </x:c>
      <x:c r="F18" s="62" t="str">
        <x:v>是否会在事情处理后回到陪伴、沟通或日常经营，需要真实的恢复链支持。</x:v>
      </x:c>
      <x:c r="G18" s="62" t="str">
        <x:v>state_shift</x:v>
      </x:c>
      <x:c r="H18" s="62" t="str">
        <x:v>中高</x:v>
      </x:c>
      <x:c r="I18" s="62" t="str">
        <x:v>不得由本规则直接推出过度付出、付出失衡、依赖、控制、忠诚度、关系结果或适配度；不得把某种照顾方式等同于爱得更多或更少。</x:v>
      </x:c>
    </x:row>
    <x:row r="19" ht="58" customHeight="1">
      <x:c r="A19" s="58" t="str">
        <x:v>M3-CARE-209</x:v>
      </x:c>
      <x:c r="B19" s="58" t="str">
        <x:v>IF15 M4路由｜强通道占位候选</x:v>
      </x:c>
      <x:c r="C19" s="58" t="str">
        <x:v>M4</x:v>
      </x:c>
      <x:c r="D19" s="58" t="str">
        <x:v>SC10、SC18或单一通道过旺无制成立。</x:v>
      </x:c>
      <x:c r="E19" s="58" t="str">
        <x:v>CARE只标记通道容易抢先、资源集中或反馈不清；过度承担、耗竭和关系失衡交给M4。</x:v>
      </x:c>
      <x:c r="F19" s="58" t="str">
        <x:v>这项支持方式可能很容易成为第一反应，但是否形成负担，需要在关系盲点模型中判断。</x:v>
      </x:c>
      <x:c r="G19" s="58" t="str">
        <x:v>risk_route</x:v>
      </x:c>
      <x:c r="H19" s="58" t="str">
        <x:v>高</x:v>
      </x:c>
      <x:c r="I19" s="58" t="str">
        <x:v>不得由本规则直接推出过度付出、付出失衡、依赖、控制、忠诚度、关系结果或适配度；不得把某种照顾方式等同于爱得更多或更少。</x:v>
      </x:c>
    </x:row>
    <x:row r="20" ht="58" customHeight="1">
      <x:c r="A20" s="62" t="str">
        <x:v>M3-CARE-210</x:v>
      </x:c>
      <x:c r="B20" s="62" t="str">
        <x:v>IF16 M4路由｜单向可见不等于单向关系</x:v>
      </x:c>
      <x:c r="C20" s="62" t="str">
        <x:v>M4</x:v>
      </x:c>
      <x:c r="D20" s="62" t="str">
        <x:v>CE06单向可见候选成立。</x:v>
      </x:c>
      <x:c r="E20" s="62" t="str">
        <x:v>缺少一侧资料时先保留未知；只有持续无回应、资源耗竭等独立证据才能进入M4。</x:v>
      </x:c>
      <x:c r="F20" s="62" t="str">
        <x:v>目前只说明哪一侧更容易被看见，不能直接说关系只有一方付出。</x:v>
      </x:c>
      <x:c r="G20" s="62" t="str">
        <x:v>boundary_note</x:v>
      </x:c>
      <x:c r="H20" s="62" t="str">
        <x:v>高</x:v>
      </x:c>
      <x:c r="I20" s="62" t="str">
        <x:v>不得由本规则直接推出过度付出、付出失衡、依赖、控制、忠诚度、关系结果或适配度；不得把某种照顾方式等同于爱得更多或更少。</x:v>
      </x:c>
    </x:row>
    <x:row r="21" ht="58" customHeight="1">
      <x:c r="A21" s="58" t="str">
        <x:v>M3-CARE-211</x:v>
      </x:c>
      <x:c r="B21" s="58" t="str">
        <x:v>IF17 M5接口｜CARE风格不得直接生成适配结论</x:v>
      </x:c>
      <x:c r="C21" s="58" t="str">
        <x:v>M5</x:v>
      </x:c>
      <x:c r="D21" s="58" t="str">
        <x:v>用户询问哪种支持最适合或伴侣应怎样回应。</x:v>
      </x:c>
      <x:c r="E21" s="58" t="str">
        <x:v>M3提供常用支持与接收方式；M5结合双方结构判断适配，不能由M3单独决定。</x:v>
      </x:c>
      <x:c r="F21" s="58" t="str">
        <x:v>你常用的方式会成为适配分析的输入，但不是最终适合结论。</x:v>
      </x:c>
      <x:c r="G21" s="58" t="str">
        <x:v>boundary_note</x:v>
      </x:c>
      <x:c r="H21" s="58" t="str">
        <x:v>高</x:v>
      </x:c>
      <x:c r="I21" s="58" t="str">
        <x:v>不得由本规则直接推出过度付出、付出失衡、依赖、控制、忠诚度、关系结果或适配度；不得把某种照顾方式等同于爱得更多或更少。</x:v>
      </x:c>
    </x:row>
    <x:row r="22" ht="58" customHeight="1">
      <x:c r="A22" s="62" t="str">
        <x:v>M3-CARE-212</x:v>
      </x:c>
      <x:c r="B22" s="62" t="str">
        <x:v>IF18 夫妻星入日支｜选择—相处—照顾连续性</x:v>
      </x:c>
      <x:c r="C22" s="62" t="str">
        <x:v>M2/M3-BASE</x:v>
      </x:c>
      <x:c r="D22" s="62" t="str">
        <x:v>夫妻星进入日支主气或高权威近位，且M2与CARE读取同一事实。</x:v>
      </x:c>
      <x:c r="E22" s="62" t="str">
        <x:v>可以说明用户选择时看重的资格证据，进入关系后可能延续为支持行为；基础证据仍只算一次。</x:v>
      </x:c>
      <x:c r="F22" s="62" t="str">
        <x:v>你在选择关系时看重的行动、责任或投入，进入关系后也可能成为你维持关系的方式。</x:v>
      </x:c>
      <x:c r="G22" s="62" t="str">
        <x:v>provenance</x:v>
      </x:c>
      <x:c r="H22" s="62" t="str">
        <x:v>中高</x:v>
      </x:c>
      <x:c r="I22" s="62" t="str">
        <x:v>不得由本规则直接推出过度付出、付出失衡、依赖、控制、忠诚度、关系结果或适配度；不得把某种照顾方式等同于爱得更多或更少。</x:v>
      </x:c>
    </x:row>
    <x:row r="23" ht="58" customHeight="1">
      <x:c r="A23" s="58" t="str">
        <x:v>M3-CARE-213</x:v>
      </x:c>
      <x:c r="B23" s="58" t="str">
        <x:v>IF19 夫妻星不作为CARE唯一主轴</x:v>
      </x:c>
      <x:c r="C23" s="58" t="str">
        <x:v>M2</x:v>
      </x:c>
      <x:c r="D23" s="58" t="str">
        <x:v>夫妻星明显，但其他CARE通道有更高近位或独立支持。</x:v>
      </x:c>
      <x:c r="E23" s="58" t="str">
        <x:v>CARE主通道按关系运行证据裁决，不因夫妻星身份自动覆盖日支、根气和有效流向。</x:v>
      </x:c>
      <x:c r="F23" s="58" t="str">
        <x:v>伴侣资格信号不会自动决定你所有的照顾方式。</x:v>
      </x:c>
      <x:c r="G23" s="58" t="str">
        <x:v>boundary_note</x:v>
      </x:c>
      <x:c r="H23" s="58" t="str">
        <x:v>高</x:v>
      </x:c>
      <x:c r="I23" s="58" t="str">
        <x:v>不得由本规则直接推出过度付出、付出失衡、依赖、控制、忠诚度、关系结果或适配度；不得把某种照顾方式等同于爱得更多或更少。</x:v>
      </x:c>
    </x:row>
    <x:row r="24" ht="58" customHeight="1">
      <x:c r="A24" s="62" t="str">
        <x:v>M3-CARE-214</x:v>
      </x:c>
      <x:c r="B24" s="62" t="str">
        <x:v>IF20 source_id基础去重｜跨模块共享事实</x:v>
      </x:c>
      <x:c r="C24" s="62" t="str">
        <x:v>全局</x:v>
      </x:c>
      <x:c r="D24" s="62" t="str">
        <x:v>多个模块引用同一事实编号。</x:v>
      </x:c>
      <x:c r="E24" s="62" t="str">
        <x:v>只保留一个基础分；其他模块记录interpretation_role，不增加独立证据计数。</x:v>
      </x:c>
      <x:c r="F24" s="62" t="str">
        <x:v>同一事实可以被不同模块解释，但不会被重复计算。</x:v>
      </x:c>
      <x:c r="G24" s="62" t="str">
        <x:v>provenance</x:v>
      </x:c>
      <x:c r="H24" s="62" t="str">
        <x:v>高</x:v>
      </x:c>
      <x:c r="I24" s="62" t="str">
        <x:v>不得由本规则直接推出过度付出、付出失衡、依赖、控制、忠诚度、关系结果或适配度；不得把某种照顾方式等同于爱得更多或更少。</x:v>
      </x:c>
    </x:row>
    <x:row r="25" ht="58" customHeight="1">
      <x:c r="A25" s="58" t="str">
        <x:v>M3-CARE-215</x:v>
      </x:c>
      <x:c r="B25" s="58" t="str">
        <x:v>IF21 同根透藏去重｜外显与稳定分工</x:v>
      </x:c>
      <x:c r="C25" s="58" t="str">
        <x:v>全局</x:v>
      </x:c>
      <x:c r="D25" s="58" t="str">
        <x:v>透干与藏支同根或同一支系。</x:v>
      </x:c>
      <x:c r="E25" s="58" t="str">
        <x:v>透干只修正可见度，根气修正重复性；不得把两者当成两个CARE通道。</x:v>
      </x:c>
      <x:c r="F25" s="58" t="str">
        <x:v>同一种支持方式既可能外显又有稳定来源，但本质仍是一项功能。</x:v>
      </x:c>
      <x:c r="G25" s="58" t="str">
        <x:v>provenance</x:v>
      </x:c>
      <x:c r="H25" s="58" t="str">
        <x:v>高</x:v>
      </x:c>
      <x:c r="I25" s="58" t="str">
        <x:v>不得由本规则直接推出过度付出、付出失衡、依赖、控制、忠诚度、关系结果或适配度；不得把某种照顾方式等同于爱得更多或更少。</x:v>
      </x:c>
    </x:row>
    <x:row r="26" ht="58" customHeight="1">
      <x:c r="A26" s="62" t="str">
        <x:v>M3-CARE-216</x:v>
      </x:c>
      <x:c r="B26" s="62" t="str">
        <x:v>IF22 正偏同系统去重｜先系统后风格</x:v>
      </x:c>
      <x:c r="C26" s="62" t="str">
        <x:v>全局</x:v>
      </x:c>
      <x:c r="D26" s="62" t="str">
        <x:v>正偏同系统同时出现。</x:v>
      </x:c>
      <x:c r="E26" s="62" t="str">
        <x:v>先合并五系统基础分，再判断稳定/灵活、温和/分析等风格；只有独立功能才保留次通道。</x:v>
      </x:c>
      <x:c r="F26" s="62" t="str">
        <x:v>正偏十神同时出现时，会先看它们是否只是同一支持系统的两种风格。</x:v>
      </x:c>
      <x:c r="G26" s="62" t="str">
        <x:v>provenance</x:v>
      </x:c>
      <x:c r="H26" s="62" t="str">
        <x:v>高</x:v>
      </x:c>
      <x:c r="I26" s="62" t="str">
        <x:v>不得由本规则直接推出过度付出、付出失衡、依赖、控制、忠诚度、关系结果或适配度；不得把某种照顾方式等同于爱得更多或更少。</x:v>
      </x:c>
    </x:row>
    <x:row r="27" ht="58" customHeight="1">
      <x:c r="A27" s="58" t="str">
        <x:v>M3-CARE-217</x:v>
      </x:c>
      <x:c r="B27" s="58" t="str">
        <x:v>IF23 停止｜真合化或基础关键争议</x:v>
      </x:c>
      <x:c r="C27" s="58" t="str">
        <x:v>全局</x:v>
      </x:c>
      <x:c r="D27" s="58" t="str">
        <x:v>真合化成立但化神映射未完成，或日支主气、旺衰、十神映射存在关键争议。</x:v>
      </x:c>
      <x:c r="E27" s="58" t="str">
        <x:v>停止十神级CARE结论；保留原因和所需补充字段。</x:v>
      </x:c>
      <x:c r="F27" s="58" t="str">
        <x:v>关键基础还没有确定时，不会为了完整而硬写固定的照顾模式。</x:v>
      </x:c>
      <x:c r="G27" s="58" t="str">
        <x:v>report_status</x:v>
      </x:c>
      <x:c r="H27" s="58" t="str">
        <x:v>高</x:v>
      </x:c>
      <x:c r="I27" s="58" t="str">
        <x:v>不得由本规则直接推出过度付出、付出失衡、依赖、控制、忠诚度、关系结果或适配度；不得把某种照顾方式等同于爱得更多或更少。</x:v>
      </x:c>
    </x:row>
    <x:row r="28" ht="58" customHeight="1">
      <x:c r="A28" s="62" t="str">
        <x:v>M3-CARE-218</x:v>
      </x:c>
      <x:c r="B28" s="62" t="str">
        <x:v>IF24 有限回退｜五系统层输出</x:v>
      </x:c>
      <x:c r="C28" s="62" t="str">
        <x:v>全局</x:v>
      </x:c>
      <x:c r="D28" s="62" t="str">
        <x:v>具体十神不确定，但五行功能系统与位置较可靠。</x:v>
      </x:c>
      <x:c r="E28" s="62" t="str">
        <x:v>可以回退到自我边界、表达交流、投入经营、责任行动或承接内化系统，置信度不高于中低。</x:v>
      </x:c>
      <x:c r="F28" s="62" t="str">
        <x:v>目前可以判断你更偏向某一类支持系统，但具体方式还需要更多证据。</x:v>
      </x:c>
      <x:c r="G28" s="62" t="str">
        <x:v>report_status</x:v>
      </x:c>
      <x:c r="H28" s="62" t="str">
        <x:v>中高</x:v>
      </x:c>
      <x:c r="I28" s="62" t="str">
        <x:v>不得由本规则直接推出过度付出、付出失衡、依赖、控制、忠诚度、关系结果或适配度；不得把某种照顾方式等同于爱得更多或更少。</x:v>
      </x:c>
    </x:row>
  </x:sheetData>
  <x:mergeCells>
    <x:mergeCell ref="A1:I1"/>
    <x:mergeCell ref="A2:I2"/>
  </x:mergeCells>
  <x:pageMargins left="0.7" right="0.7" top="0.75" bottom="0.75" header="0.3" footer="0.3"/>
  <x:tableParts count="1">
    <x:tablePart xmlns:r="http://schemas.openxmlformats.org/officeDocument/2006/relationships" r:id="Ra89da362ac1b403e"/>
  </x:tableParts>
</x:worksheet>
</file>

<file path=xl/worksheets/sheet7.xml><?xml version="1.0" encoding="utf-8"?>
<x:worksheet xmlns:x="http://schemas.openxmlformats.org/spreadsheetml/2006/main">
  <x:sheetFormatPr defaultRowHeight="15"/>
  <x:cols>
    <x:col min="1" max="1" width="15" hidden="0" customWidth="1"/>
    <x:col min="2" max="2" width="34" hidden="0" customWidth="1"/>
    <x:col min="3" max="3" width="22" hidden="0" customWidth="1"/>
    <x:col min="4" max="4" width="20" hidden="0" customWidth="1"/>
    <x:col min="5" max="5" width="12" hidden="0" customWidth="1"/>
    <x:col min="6" max="6" width="16" hidden="0" customWidth="1"/>
    <x:col min="7" max="7" width="26" hidden="0" customWidth="1"/>
    <x:col min="8" max="8" width="24" hidden="0" customWidth="1"/>
    <x:col min="9" max="9" width="40" hidden="0" customWidth="1"/>
    <x:col min="10" max="10" width="38" hidden="0" customWidth="1"/>
    <x:col min="11" max="11" width="24" hidden="0" customWidth="1"/>
    <x:col min="12" max="12" width="26" hidden="0" customWidth="1"/>
    <x:col min="13" max="13" width="26" hidden="0" customWidth="1"/>
    <x:col min="14" max="14" width="24" hidden="0" customWidth="1"/>
    <x:col min="15" max="15" width="22" hidden="0" customWidth="1"/>
    <x:col min="16" max="16" width="18" hidden="0" customWidth="1"/>
    <x:col min="17" max="17" width="18" hidden="0" customWidth="1"/>
    <x:col min="18" max="18" width="24" hidden="0" customWidth="1"/>
    <x:col min="19" max="19" width="24" hidden="0" customWidth="1"/>
    <x:col min="20" max="20" width="18" hidden="0" customWidth="1"/>
    <x:col min="21" max="21" width="10" hidden="0" customWidth="1"/>
    <x:col min="22" max="22" width="22" hidden="0" customWidth="1"/>
    <x:col min="23" max="23" width="24" hidden="0" customWidth="1"/>
    <x:col min="24" max="24" width="48" hidden="0" customWidth="1"/>
    <x:col min="25" max="25" width="48" hidden="0" customWidth="1"/>
    <x:col min="26" max="26" width="42" hidden="0" customWidth="1"/>
    <x:col min="27" max="27" width="10" hidden="0" customWidth="1"/>
    <x:col min="28" max="28" width="12" hidden="0" customWidth="1"/>
    <x:col min="29" max="29" width="18" hidden="0" customWidth="1"/>
    <x:col min="30" max="30" width="34" hidden="0" customWidth="1"/>
    <x:col min="31" max="31" width="8" hidden="0" customWidth="1"/>
  </x:cols>
  <x:sheetData>
    <x:row r="1" ht="30" customHeight="1">
      <x:c r="A1" s="5" t="str">
        <x:v>M3-CARE 原子规则主表（唯一正式真源）</x:v>
      </x:c>
      <x:c r="B1" s="5"/>
      <x:c r="C1" s="5"/>
      <x:c r="D1" s="5"/>
      <x:c r="E1" s="5"/>
      <x:c r="F1" s="5"/>
      <x:c r="G1" s="5"/>
      <x:c r="H1" s="5"/>
      <x:c r="I1" s="5"/>
      <x:c r="J1" s="5"/>
      <x:c r="K1" s="5"/>
      <x:c r="L1" s="5"/>
      <x:c r="M1" s="5"/>
      <x:c r="N1" s="5"/>
      <x:c r="O1" s="5"/>
      <x:c r="P1" s="5"/>
      <x:c r="Q1" s="5"/>
      <x:c r="R1" s="5"/>
      <x:c r="S1" s="5"/>
      <x:c r="T1" s="5"/>
      <x:c r="U1" s="5"/>
      <x:c r="V1" s="5"/>
      <x:c r="W1" s="5"/>
      <x:c r="X1" s="5"/>
      <x:c r="Y1" s="5"/>
      <x:c r="Z1" s="5"/>
      <x:c r="AA1" s="5"/>
      <x:c r="AB1" s="5"/>
      <x:c r="AC1" s="5"/>
      <x:c r="AD1" s="5"/>
      <x:c r="AE1" s="5"/>
    </x:row>
    <x:row r="2" ht="32" customHeight="1">
      <x:c r="A2" s="13" t="str">
        <x:v>236条规则、31个统一字段。请优先按rule_id、module、rule_type、main_signal和output_slot筛选。</x:v>
      </x:c>
      <x:c r="B2" s="13"/>
      <x:c r="C2" s="13"/>
      <x:c r="D2" s="13"/>
      <x:c r="E2" s="13"/>
      <x:c r="F2" s="13"/>
      <x:c r="G2" s="13"/>
      <x:c r="H2" s="13"/>
      <x:c r="I2" s="13"/>
      <x:c r="J2" s="13"/>
      <x:c r="K2" s="13"/>
      <x:c r="L2" s="13"/>
      <x:c r="M2" s="13"/>
      <x:c r="N2" s="13"/>
      <x:c r="O2" s="13"/>
      <x:c r="P2" s="13"/>
      <x:c r="Q2" s="13"/>
      <x:c r="R2" s="13"/>
      <x:c r="S2" s="13"/>
      <x:c r="T2" s="13"/>
      <x:c r="U2" s="13"/>
      <x:c r="V2" s="13"/>
      <x:c r="W2" s="13"/>
      <x:c r="X2" s="13"/>
      <x:c r="Y2" s="13"/>
      <x:c r="Z2" s="13"/>
      <x:c r="AA2" s="13"/>
      <x:c r="AB2" s="13"/>
      <x:c r="AC2" s="13"/>
      <x:c r="AD2" s="13"/>
      <x:c r="AE2" s="13"/>
    </x:row>
    <x:row r="3" ht="8" customHeight="1"/>
    <x:row r="4" ht="32" customHeight="1">
      <x:c r="A4" s="67" t="str">
        <x:v>rule_id</x:v>
      </x:c>
      <x:c r="B4" s="67" t="str">
        <x:v>rule_name</x:v>
      </x:c>
      <x:c r="C4" s="67" t="str">
        <x:v>layer</x:v>
      </x:c>
      <x:c r="D4" s="67" t="str">
        <x:v>module</x:v>
      </x:c>
      <x:c r="E4" s="67" t="str">
        <x:v>applicable_group</x:v>
      </x:c>
      <x:c r="F4" s="67" t="str">
        <x:v>rule_type</x:v>
      </x:c>
      <x:c r="G4" s="67" t="str">
        <x:v>main_signal</x:v>
      </x:c>
      <x:c r="H4" s="67" t="str">
        <x:v>secondary_signal</x:v>
      </x:c>
      <x:c r="I4" s="67" t="str">
        <x:v>required_conditions</x:v>
      </x:c>
      <x:c r="J4" s="67" t="str">
        <x:v>excluded_conditions</x:v>
      </x:c>
      <x:c r="K4" s="67" t="str">
        <x:v>self_strength_status</x:v>
      </x:c>
      <x:c r="L4" s="67" t="str">
        <x:v>spouse_star_status</x:v>
      </x:c>
      <x:c r="M4" s="67" t="str">
        <x:v>palace_signal</x:v>
      </x:c>
      <x:c r="N4" s="67" t="str">
        <x:v>flow_path</x:v>
      </x:c>
      <x:c r="O4" s="67" t="str">
        <x:v>signal_position</x:v>
      </x:c>
      <x:c r="P4" s="67" t="str">
        <x:v>root_status</x:v>
      </x:c>
      <x:c r="Q4" s="67" t="str">
        <x:v>strength_level</x:v>
      </x:c>
      <x:c r="R4" s="67" t="str">
        <x:v>favorability</x:v>
      </x:c>
      <x:c r="S4" s="67" t="str">
        <x:v>transformation_status</x:v>
      </x:c>
      <x:c r="T4" s="67" t="str">
        <x:v>distance_level</x:v>
      </x:c>
      <x:c r="U4" s="67" t="str">
        <x:v>priority</x:v>
      </x:c>
      <x:c r="V4" s="67" t="str">
        <x:v>score_effect</x:v>
      </x:c>
      <x:c r="W4" s="67" t="str">
        <x:v>output_slot</x:v>
      </x:c>
      <x:c r="X4" s="67" t="str">
        <x:v>internal_logic</x:v>
      </x:c>
      <x:c r="Y4" s="67" t="str">
        <x:v>user_explanation</x:v>
      </x:c>
      <x:c r="Z4" s="67" t="str">
        <x:v>forbidden_inference</x:v>
      </x:c>
      <x:c r="AA4" s="67" t="str">
        <x:v>confidence_base</x:v>
      </x:c>
      <x:c r="AB4" s="67" t="str">
        <x:v>validation_status</x:v>
      </x:c>
      <x:c r="AC4" s="67" t="str">
        <x:v>case_refs</x:v>
      </x:c>
      <x:c r="AD4" s="67" t="str">
        <x:v>notes</x:v>
      </x:c>
      <x:c r="AE4" s="67" t="str">
        <x:v>version</x:v>
      </x:c>
    </x:row>
    <x:row r="5">
      <x:c r="A5" s="78" t="str">
        <x:v>M3-CARE-001</x:v>
      </x:c>
      <x:c r="B5" s="78" t="str">
        <x:v>M3-CARE正式定义｜关系建立后的付出与支持交换</x:v>
      </x:c>
      <x:c r="C5" s="78" t="str">
        <x:v>L0 模型边界与证据</x:v>
      </x:c>
      <x:c r="D5" s="78" t="str">
        <x:v>CARE-定义边界</x:v>
      </x:c>
      <x:c r="E5" s="78" t="str">
        <x:v>通用</x:v>
      </x:c>
      <x:c r="F5" s="78" t="str">
        <x:v>定义</x:v>
      </x:c>
      <x:c r="G5" s="74" t="str">
        <x:v>M3-CARE模块规则</x:v>
      </x:c>
      <x:c r="H5" s="74" t="str"/>
      <x:c r="I5" s="74" t="str">
        <x:v>M3-CARE模块已被调用；分析对象为关系建立后的日常投入、照顾、请求支持、接受支持与回馈。</x:v>
      </x:c>
      <x:c r="J5" s="74" t="str">
        <x:v>基础信号未定；真合化后原信号已失效；只有单一弱远争议信号。</x:v>
      </x:c>
      <x:c r="K5" s="74" t="str">
        <x:v>由共享基础引擎与M3-STATE修正</x:v>
      </x:c>
      <x:c r="L5" s="74" t="str">
        <x:v>不限定；夫妻星仅在形成独立CARE证据或入宫接口时参与</x:v>
      </x:c>
      <x:c r="M5" s="74" t="str">
        <x:v>由M3-BASE、日支结构及共享引擎提供</x:v>
      </x:c>
      <x:c r="N5" s="74" t="str">
        <x:v>无／待CARE路径规则组合</x:v>
      </x:c>
      <x:c r="O5" s="74" t="str">
        <x:v>全局有效信号；日柱及亲密关系近位优先</x:v>
      </x:c>
      <x:c r="P5" s="74" t="str">
        <x:v>由共享基础引擎判定</x:v>
      </x:c>
      <x:c r="Q5" s="74" t="str">
        <x:v>由共享基础引擎判定</x:v>
      </x:c>
      <x:c r="R5" s="74" t="str">
        <x:v>喜忌不直接等于愿不愿付出；只修正调用顺畅度与资源压力</x:v>
      </x:c>
      <x:c r="S5" s="74" t="str">
        <x:v>原十神性质有效；真合化成立时按化神路由</x:v>
      </x:c>
      <x:c r="T5" s="74" t="str">
        <x:v>由共享基础引擎判定</x:v>
      </x:c>
      <x:c r="U5" s="74" t="str">
        <x:v>99</x:v>
      </x:c>
      <x:c r="V5" s="74" t="str">
        <x:v>不加分；门控／路由</x:v>
      </x:c>
      <x:c r="W5" s="74" t="str">
        <x:v>report_status</x:v>
      </x:c>
      <x:c r="X5" s="74" t="str">
        <x:v>M3-CARE描述用户怎样把时间、精力、资源、责任、陪伴和理解投入关系，并怎样接收与回馈支持。</x:v>
      </x:c>
      <x:c r="Y5" s="74" t="str">
        <x:v>模型三这一部分关注的不是你爱得多不多，而是你通常用什么内容、怎样的频率和怎样的交换方式照顾关系。</x:v>
      </x:c>
      <x:c r="Z5" s="74" t="str">
        <x:v>不得由本规则直接推出过度付出、付出失衡、依赖、控制、忠诚度、关系结果或适配度；不得把某种照顾方式等同于爱得更多或更少。</x:v>
      </x:c>
      <x:c r="AA5" s="74" t="str">
        <x:v>高</x:v>
      </x:c>
      <x:c r="AB5" s="74" t="str">
        <x:v>待验证</x:v>
      </x:c>
      <x:c r="AC5" s="74" t="str"/>
      <x:c r="AD5" s="74" t="str">
        <x:v>provisional=true; rule_group=DEFINITION_01</x:v>
      </x:c>
      <x:c r="AE5" s="74" t="str">
        <x:v>0.4</x:v>
      </x:c>
    </x:row>
    <x:row r="6">
      <x:c r="A6" s="78" t="str">
        <x:v>M3-CARE-002</x:v>
      </x:c>
      <x:c r="B6" s="78" t="str">
        <x:v>M3-CARE核心问题｜付出方式而非付出好坏</x:v>
      </x:c>
      <x:c r="C6" s="78" t="str">
        <x:v>L0 模型边界与证据</x:v>
      </x:c>
      <x:c r="D6" s="78" t="str">
        <x:v>CARE-定义边界</x:v>
      </x:c>
      <x:c r="E6" s="78" t="str">
        <x:v>通用</x:v>
      </x:c>
      <x:c r="F6" s="78" t="str">
        <x:v>边界</x:v>
      </x:c>
      <x:c r="G6" s="74" t="str">
        <x:v>M3-CARE模块规则</x:v>
      </x:c>
      <x:c r="H6" s="74" t="str"/>
      <x:c r="I6" s="74" t="str">
        <x:v>需要判断投入内容、启动方式、连续性、请求支持、接受支持或回馈方式。</x:v>
      </x:c>
      <x:c r="J6" s="74" t="str">
        <x:v>基础信号未定；真合化后原信号已失效；只有单一弱远争议信号。</x:v>
      </x:c>
      <x:c r="K6" s="74" t="str">
        <x:v>由共享基础引擎与M3-STATE修正</x:v>
      </x:c>
      <x:c r="L6" s="74" t="str">
        <x:v>不限定；夫妻星仅在形成独立CARE证据或入宫接口时参与</x:v>
      </x:c>
      <x:c r="M6" s="74" t="str">
        <x:v>由M3-BASE、日支结构及共享引擎提供</x:v>
      </x:c>
      <x:c r="N6" s="74" t="str">
        <x:v>无／待CARE路径规则组合</x:v>
      </x:c>
      <x:c r="O6" s="74" t="str">
        <x:v>全局有效信号；日柱及亲密关系近位优先</x:v>
      </x:c>
      <x:c r="P6" s="74" t="str">
        <x:v>由共享基础引擎判定</x:v>
      </x:c>
      <x:c r="Q6" s="74" t="str">
        <x:v>由共享基础引擎判定</x:v>
      </x:c>
      <x:c r="R6" s="74" t="str">
        <x:v>喜忌不直接等于愿不愿付出；只修正调用顺畅度与资源压力</x:v>
      </x:c>
      <x:c r="S6" s="74" t="str">
        <x:v>原十神性质有效；真合化成立时按化神路由</x:v>
      </x:c>
      <x:c r="T6" s="74" t="str">
        <x:v>由共享基础引擎判定</x:v>
      </x:c>
      <x:c r="U6" s="74" t="str">
        <x:v>98</x:v>
      </x:c>
      <x:c r="V6" s="74" t="str">
        <x:v>不加分；门控／路由</x:v>
      </x:c>
      <x:c r="W6" s="74" t="str">
        <x:v>boundary_note</x:v>
      </x:c>
      <x:c r="X6" s="74" t="str">
        <x:v>付出存在内容、显隐、连续性和交换结构差异；本模块不把任何一种方式直接评为成熟、无私、自私或有问题。</x:v>
      </x:c>
      <x:c r="Y6" s="74" t="str">
        <x:v>这里先说明你通常怎样付出、怎样接受帮助，不把它简单评成多或少、好或坏。</x:v>
      </x:c>
      <x:c r="Z6" s="74" t="str">
        <x:v>不得由本规则直接推出过度付出、付出失衡、依赖、控制、忠诚度、关系结果或适配度；不得把某种照顾方式等同于爱得更多或更少。</x:v>
      </x:c>
      <x:c r="AA6" s="74" t="str">
        <x:v>高</x:v>
      </x:c>
      <x:c r="AB6" s="74" t="str">
        <x:v>待验证</x:v>
      </x:c>
      <x:c r="AC6" s="74" t="str"/>
      <x:c r="AD6" s="74" t="str">
        <x:v>provisional=true; rule_group=DEFINITION_02</x:v>
      </x:c>
      <x:c r="AE6" s="74" t="str">
        <x:v>0.4</x:v>
      </x:c>
    </x:row>
    <x:row r="7">
      <x:c r="A7" s="78" t="str">
        <x:v>M3-CARE-003</x:v>
      </x:c>
      <x:c r="B7" s="78" t="str">
        <x:v>M3-CARE标准输入｜共享基础引擎</x:v>
      </x:c>
      <x:c r="C7" s="78" t="str">
        <x:v>L0 模型边界与证据</x:v>
      </x:c>
      <x:c r="D7" s="78" t="str">
        <x:v>CARE-定义边界</x:v>
      </x:c>
      <x:c r="E7" s="78" t="str">
        <x:v>通用</x:v>
      </x:c>
      <x:c r="F7" s="78" t="str">
        <x:v>输入门控</x:v>
      </x:c>
      <x:c r="G7" s="74" t="str">
        <x:v>M3-CARE模块规则</x:v>
      </x:c>
      <x:c r="H7" s="74" t="str"/>
      <x:c r="I7" s="74" t="str">
        <x:v>排盘、十神、日支藏干、透藏、根气、旺弱、喜忌、合化、有效流向和source_id已由共享引擎提供。</x:v>
      </x:c>
      <x:c r="J7" s="74" t="str">
        <x:v>基础信号未定；真合化后原信号已失效；只有单一弱远争议信号。</x:v>
      </x:c>
      <x:c r="K7" s="74" t="str">
        <x:v>由共享基础引擎与M3-STATE修正</x:v>
      </x:c>
      <x:c r="L7" s="74" t="str">
        <x:v>不限定；夫妻星仅在形成独立CARE证据或入宫接口时参与</x:v>
      </x:c>
      <x:c r="M7" s="74" t="str">
        <x:v>由M3-BASE、日支结构及共享引擎提供</x:v>
      </x:c>
      <x:c r="N7" s="74" t="str">
        <x:v>无／待CARE路径规则组合</x:v>
      </x:c>
      <x:c r="O7" s="74" t="str">
        <x:v>全局有效信号；日柱及亲密关系近位优先</x:v>
      </x:c>
      <x:c r="P7" s="74" t="str">
        <x:v>由共享基础引擎判定</x:v>
      </x:c>
      <x:c r="Q7" s="74" t="str">
        <x:v>由共享基础引擎判定</x:v>
      </x:c>
      <x:c r="R7" s="74" t="str">
        <x:v>喜忌不直接等于愿不愿付出；只修正调用顺畅度与资源压力</x:v>
      </x:c>
      <x:c r="S7" s="74" t="str">
        <x:v>原十神性质有效；真合化成立时按化神路由</x:v>
      </x:c>
      <x:c r="T7" s="74" t="str">
        <x:v>由共享基础引擎判定</x:v>
      </x:c>
      <x:c r="U7" s="74" t="str">
        <x:v>97</x:v>
      </x:c>
      <x:c r="V7" s="74" t="str">
        <x:v>不加分；门控／路由</x:v>
      </x:c>
      <x:c r="W7" s="74" t="str">
        <x:v>report_status</x:v>
      </x:c>
      <x:c r="X7" s="74" t="str">
        <x:v>M3-CARE不重新排盘或独立裁定旺衰合化，只把可靠基础事实翻译为支持交换行为。</x:v>
      </x:c>
      <x:c r="Y7" s="74" t="str">
        <x:v>基础信息有争议时，会保留不确定性，而不会把一项弱远信号写成固定的付出模式。</x:v>
      </x:c>
      <x:c r="Z7" s="74" t="str">
        <x:v>不得由本规则直接推出过度付出、付出失衡、依赖、控制、忠诚度、关系结果或适配度；不得把某种照顾方式等同于爱得更多或更少。</x:v>
      </x:c>
      <x:c r="AA7" s="74" t="str">
        <x:v>高</x:v>
      </x:c>
      <x:c r="AB7" s="74" t="str">
        <x:v>待验证</x:v>
      </x:c>
      <x:c r="AC7" s="74" t="str"/>
      <x:c r="AD7" s="74" t="str">
        <x:v>provisional=true; rule_group=DEFINITION_03</x:v>
      </x:c>
      <x:c r="AE7" s="74" t="str">
        <x:v>0.4</x:v>
      </x:c>
    </x:row>
    <x:row r="8">
      <x:c r="A8" s="78" t="str">
        <x:v>M3-CARE-004</x:v>
      </x:c>
      <x:c r="B8" s="78" t="str">
        <x:v>M3-CARE标准输出｜十二个CARE字段</x:v>
      </x:c>
      <x:c r="C8" s="78" t="str">
        <x:v>L0 模型边界与证据</x:v>
      </x:c>
      <x:c r="D8" s="78" t="str">
        <x:v>CARE-定义边界</x:v>
      </x:c>
      <x:c r="E8" s="78" t="str">
        <x:v>通用</x:v>
      </x:c>
      <x:c r="F8" s="78" t="str">
        <x:v>输出合同</x:v>
      </x:c>
      <x:c r="G8" s="74" t="str">
        <x:v>M3-CARE模块规则</x:v>
      </x:c>
      <x:c r="H8" s="74" t="str"/>
      <x:c r="I8" s="74" t="str">
        <x:v>至少一项有效CARE信号成立，且关键基础字段未停止。</x:v>
      </x:c>
      <x:c r="J8" s="74" t="str">
        <x:v>基础信号未定；真合化后原信号已失效；只有单一弱远争议信号。</x:v>
      </x:c>
      <x:c r="K8" s="74" t="str">
        <x:v>由共享基础引擎与M3-STATE修正</x:v>
      </x:c>
      <x:c r="L8" s="74" t="str">
        <x:v>不限定；夫妻星仅在形成独立CARE证据或入宫接口时参与</x:v>
      </x:c>
      <x:c r="M8" s="74" t="str">
        <x:v>由M3-BASE、日支结构及共享引擎提供</x:v>
      </x:c>
      <x:c r="N8" s="74" t="str">
        <x:v>无／待CARE路径规则组合</x:v>
      </x:c>
      <x:c r="O8" s="74" t="str">
        <x:v>全局有效信号；日柱及亲密关系近位优先</x:v>
      </x:c>
      <x:c r="P8" s="74" t="str">
        <x:v>由共享基础引擎判定</x:v>
      </x:c>
      <x:c r="Q8" s="74" t="str">
        <x:v>由共享基础引擎判定</x:v>
      </x:c>
      <x:c r="R8" s="74" t="str">
        <x:v>喜忌不直接等于愿不愿付出；只修正调用顺畅度与资源压力</x:v>
      </x:c>
      <x:c r="S8" s="74" t="str">
        <x:v>原十神性质有效；真合化成立时按化神路由</x:v>
      </x:c>
      <x:c r="T8" s="74" t="str">
        <x:v>由共享基础引擎判定</x:v>
      </x:c>
      <x:c r="U8" s="74" t="str">
        <x:v>96</x:v>
      </x:c>
      <x:c r="V8" s="74" t="str">
        <x:v>不加分；门控／路由</x:v>
      </x:c>
      <x:c r="W8" s="74" t="str">
        <x:v>boundary_note</x:v>
      </x:c>
      <x:c r="X8" s="74" t="str">
        <x:v>输出主CARE通道、次通道、付出内容、投入启动、连续性、请求支持、接受支持、回馈结构、资源边界、状态切换、CARE路径和置信度。</x:v>
      </x:c>
      <x:c r="Y8" s="74" t="str">
        <x:v>最终会回答：你主要怎样照顾关系、什么时候会投入、怎样接受帮助，以及双方支持怎样形成来回。</x:v>
      </x:c>
      <x:c r="Z8" s="74" t="str">
        <x:v>不得由本规则直接推出过度付出、付出失衡、依赖、控制、忠诚度、关系结果或适配度；不得把某种照顾方式等同于爱得更多或更少。</x:v>
      </x:c>
      <x:c r="AA8" s="74" t="str">
        <x:v>中高</x:v>
      </x:c>
      <x:c r="AB8" s="74" t="str">
        <x:v>待验证</x:v>
      </x:c>
      <x:c r="AC8" s="74" t="str"/>
      <x:c r="AD8" s="74" t="str">
        <x:v>provisional=true; rule_group=DEFINITION_04</x:v>
      </x:c>
      <x:c r="AE8" s="74" t="str">
        <x:v>0.4</x:v>
      </x:c>
    </x:row>
    <x:row r="9">
      <x:c r="A9" s="78" t="str">
        <x:v>M3-CARE-005</x:v>
      </x:c>
      <x:c r="B9" s="78" t="str">
        <x:v>M1边界｜心动偏好不等于照顾方式</x:v>
      </x:c>
      <x:c r="C9" s="78" t="str">
        <x:v>L0 模型边界与证据</x:v>
      </x:c>
      <x:c r="D9" s="78" t="str">
        <x:v>CARE-定义边界</x:v>
      </x:c>
      <x:c r="E9" s="78" t="str">
        <x:v>通用</x:v>
      </x:c>
      <x:c r="F9" s="78" t="str">
        <x:v>跨模型边界</x:v>
      </x:c>
      <x:c r="G9" s="74" t="str">
        <x:v>M3-CARE模块规则</x:v>
      </x:c>
      <x:c r="H9" s="74" t="str"/>
      <x:c r="I9" s="74" t="str">
        <x:v>M1心动偏好与M3-CARE信号同时可见。</x:v>
      </x:c>
      <x:c r="J9" s="74" t="str">
        <x:v>基础信号未定；真合化后原信号已失效；只有单一弱远争议信号。</x:v>
      </x:c>
      <x:c r="K9" s="74" t="str">
        <x:v>由共享基础引擎与M3-STATE修正</x:v>
      </x:c>
      <x:c r="L9" s="74" t="str">
        <x:v>不限定；夫妻星仅在形成独立CARE证据或入宫接口时参与</x:v>
      </x:c>
      <x:c r="M9" s="74" t="str">
        <x:v>由M3-BASE、日支结构及共享引擎提供</x:v>
      </x:c>
      <x:c r="N9" s="74" t="str">
        <x:v>无／待CARE路径规则组合</x:v>
      </x:c>
      <x:c r="O9" s="74" t="str">
        <x:v>全局有效信号；日柱及亲密关系近位优先</x:v>
      </x:c>
      <x:c r="P9" s="74" t="str">
        <x:v>由共享基础引擎判定</x:v>
      </x:c>
      <x:c r="Q9" s="74" t="str">
        <x:v>由共享基础引擎判定</x:v>
      </x:c>
      <x:c r="R9" s="74" t="str">
        <x:v>喜忌不直接等于愿不愿付出；只修正调用顺畅度与资源压力</x:v>
      </x:c>
      <x:c r="S9" s="74" t="str">
        <x:v>原十神性质有效；真合化成立时按化神路由</x:v>
      </x:c>
      <x:c r="T9" s="74" t="str">
        <x:v>由共享基础引擎判定</x:v>
      </x:c>
      <x:c r="U9" s="74" t="str">
        <x:v>95</x:v>
      </x:c>
      <x:c r="V9" s="74" t="str">
        <x:v>不加分；门控／路由</x:v>
      </x:c>
      <x:c r="W9" s="74" t="str">
        <x:v>boundary_note</x:v>
      </x:c>
      <x:c r="X9" s="74" t="str">
        <x:v>被什么特质吸引与进入关系后怎样投入是不同字段；M1只能用于比较，不给CARE通道加基础分。</x:v>
      </x:c>
      <x:c r="Y9" s="74" t="str">
        <x:v>让你心动的特质，未必就是你照顾关系时使用的方式，两者会分开判断。</x:v>
      </x:c>
      <x:c r="Z9" s="74" t="str">
        <x:v>不得由本规则直接推出过度付出、付出失衡、依赖、控制、忠诚度、关系结果或适配度；不得把某种照顾方式等同于爱得更多或更少。</x:v>
      </x:c>
      <x:c r="AA9" s="74" t="str">
        <x:v>高</x:v>
      </x:c>
      <x:c r="AB9" s="74" t="str">
        <x:v>待验证</x:v>
      </x:c>
      <x:c r="AC9" s="74" t="str"/>
      <x:c r="AD9" s="74" t="str">
        <x:v>provisional=true; rule_group=DEFINITION_05</x:v>
      </x:c>
      <x:c r="AE9" s="74" t="str">
        <x:v>0.4</x:v>
      </x:c>
    </x:row>
    <x:row r="10">
      <x:c r="A10" s="78" t="str">
        <x:v>M3-CARE-006</x:v>
      </x:c>
      <x:c r="B10" s="78" t="str">
        <x:v>M2边界｜准入条件不等于长期投入</x:v>
      </x:c>
      <x:c r="C10" s="78" t="str">
        <x:v>L0 模型边界与证据</x:v>
      </x:c>
      <x:c r="D10" s="78" t="str">
        <x:v>CARE-定义边界</x:v>
      </x:c>
      <x:c r="E10" s="78" t="str">
        <x:v>通用</x:v>
      </x:c>
      <x:c r="F10" s="78" t="str">
        <x:v>跨模型边界</x:v>
      </x:c>
      <x:c r="G10" s="74" t="str">
        <x:v>M3-CARE模块规则</x:v>
      </x:c>
      <x:c r="H10" s="74" t="str"/>
      <x:c r="I10" s="74" t="str">
        <x:v>M2关系门槛或资格证据与M3-CARE信号同时出现。</x:v>
      </x:c>
      <x:c r="J10" s="74" t="str">
        <x:v>基础信号未定；真合化后原信号已失效；只有单一弱远争议信号。</x:v>
      </x:c>
      <x:c r="K10" s="74" t="str">
        <x:v>由共享基础引擎与M3-STATE修正</x:v>
      </x:c>
      <x:c r="L10" s="74" t="str">
        <x:v>不限定；夫妻星仅在形成独立CARE证据或入宫接口时参与</x:v>
      </x:c>
      <x:c r="M10" s="74" t="str">
        <x:v>由M3-BASE、日支结构及共享引擎提供</x:v>
      </x:c>
      <x:c r="N10" s="74" t="str">
        <x:v>无／待CARE路径规则组合</x:v>
      </x:c>
      <x:c r="O10" s="74" t="str">
        <x:v>全局有效信号；日柱及亲密关系近位优先</x:v>
      </x:c>
      <x:c r="P10" s="74" t="str">
        <x:v>由共享基础引擎判定</x:v>
      </x:c>
      <x:c r="Q10" s="74" t="str">
        <x:v>由共享基础引擎判定</x:v>
      </x:c>
      <x:c r="R10" s="74" t="str">
        <x:v>喜忌不直接等于愿不愿付出；只修正调用顺畅度与资源压力</x:v>
      </x:c>
      <x:c r="S10" s="74" t="str">
        <x:v>原十神性质有效；真合化成立时按化神路由</x:v>
      </x:c>
      <x:c r="T10" s="74" t="str">
        <x:v>由共享基础引擎判定</x:v>
      </x:c>
      <x:c r="U10" s="74" t="str">
        <x:v>94</x:v>
      </x:c>
      <x:c r="V10" s="74" t="str">
        <x:v>不加分；门控／路由</x:v>
      </x:c>
      <x:c r="W10" s="74" t="str">
        <x:v>boundary_note</x:v>
      </x:c>
      <x:c r="X10" s="74" t="str">
        <x:v>选择一个人时看重的条件，只有在M3中有独立证据时，才能写成关系建立后的投入习惯。</x:v>
      </x:c>
      <x:c r="Y10" s="74" t="str">
        <x:v>你选择关系时看重的责任、行动或投入，可能延续到相处中，也可能只是一道准入标准。</x:v>
      </x:c>
      <x:c r="Z10" s="74" t="str">
        <x:v>不得由本规则直接推出过度付出、付出失衡、依赖、控制、忠诚度、关系结果或适配度；不得把某种照顾方式等同于爱得更多或更少。</x:v>
      </x:c>
      <x:c r="AA10" s="74" t="str">
        <x:v>高</x:v>
      </x:c>
      <x:c r="AB10" s="74" t="str">
        <x:v>待验证</x:v>
      </x:c>
      <x:c r="AC10" s="74" t="str"/>
      <x:c r="AD10" s="74" t="str">
        <x:v>provisional=true; rule_group=DEFINITION_06</x:v>
      </x:c>
      <x:c r="AE10" s="74" t="str">
        <x:v>0.4</x:v>
      </x:c>
    </x:row>
    <x:row r="11">
      <x:c r="A11" s="78" t="str">
        <x:v>M3-CARE-007</x:v>
      </x:c>
      <x:c r="B11" s="78" t="str">
        <x:v>M3-BASE接口｜底盘说明主题，CARE说明支持行为</x:v>
      </x:c>
      <x:c r="C11" s="78" t="str">
        <x:v>L0 模型边界与证据</x:v>
      </x:c>
      <x:c r="D11" s="78" t="str">
        <x:v>CARE-定义边界</x:v>
      </x:c>
      <x:c r="E11" s="78" t="str">
        <x:v>通用</x:v>
      </x:c>
      <x:c r="F11" s="78" t="str">
        <x:v>模块边界</x:v>
      </x:c>
      <x:c r="G11" s="74" t="str">
        <x:v>M3-BASE</x:v>
      </x:c>
      <x:c r="H11" s="74" t="str"/>
      <x:c r="I11" s="74" t="str">
        <x:v>M3-BASE与M3-CARE读取同一日支或同一有效十神。</x:v>
      </x:c>
      <x:c r="J11" s="74" t="str">
        <x:v>基础信号未定；真合化后原信号已失效；只有单一弱远争议信号。</x:v>
      </x:c>
      <x:c r="K11" s="74" t="str">
        <x:v>由共享基础引擎与M3-STATE修正</x:v>
      </x:c>
      <x:c r="L11" s="74" t="str">
        <x:v>不限定；夫妻星仅在形成独立CARE证据或入宫接口时参与</x:v>
      </x:c>
      <x:c r="M11" s="74" t="str">
        <x:v>由M3-BASE、日支结构及共享引擎提供</x:v>
      </x:c>
      <x:c r="N11" s="74" t="str">
        <x:v>无／待CARE路径规则组合</x:v>
      </x:c>
      <x:c r="O11" s="74" t="str">
        <x:v>全局有效信号；日柱及亲密关系近位优先</x:v>
      </x:c>
      <x:c r="P11" s="74" t="str">
        <x:v>由共享基础引擎判定</x:v>
      </x:c>
      <x:c r="Q11" s="74" t="str">
        <x:v>由共享基础引擎判定</x:v>
      </x:c>
      <x:c r="R11" s="74" t="str">
        <x:v>喜忌不直接等于愿不愿付出；只修正调用顺畅度与资源压力</x:v>
      </x:c>
      <x:c r="S11" s="74" t="str">
        <x:v>原十神性质有效；真合化成立时按化神路由</x:v>
      </x:c>
      <x:c r="T11" s="74" t="str">
        <x:v>由共享基础引擎判定</x:v>
      </x:c>
      <x:c r="U11" s="74" t="str">
        <x:v>93</x:v>
      </x:c>
      <x:c r="V11" s="74" t="str">
        <x:v>不加分；门控／路由</x:v>
      </x:c>
      <x:c r="W11" s="74" t="str">
        <x:v>boundary_note</x:v>
      </x:c>
      <x:c r="X11" s="74" t="str">
        <x:v>BASE回答关系自然围绕什么主题运行；CARE回答时间、资源、责任和情绪支持怎样实际交换。</x:v>
      </x:c>
      <x:c r="Y11" s="74" t="str">
        <x:v>同一个关系底盘可以在CARE中细化为具体付出，但基础证据只计算一次。</x:v>
      </x:c>
      <x:c r="Z11" s="74" t="str">
        <x:v>不得由本规则直接推出过度付出、付出失衡、依赖、控制、忠诚度、关系结果或适配度；不得把某种照顾方式等同于爱得更多或更少。</x:v>
      </x:c>
      <x:c r="AA11" s="74" t="str">
        <x:v>高</x:v>
      </x:c>
      <x:c r="AB11" s="74" t="str">
        <x:v>待验证</x:v>
      </x:c>
      <x:c r="AC11" s="74" t="str"/>
      <x:c r="AD11" s="74" t="str">
        <x:v>provisional=true; rule_group=DEFINITION_07</x:v>
      </x:c>
      <x:c r="AE11" s="74" t="str">
        <x:v>0.4</x:v>
      </x:c>
    </x:row>
    <x:row r="12">
      <x:c r="A12" s="78" t="str">
        <x:v>M3-CARE-008</x:v>
      </x:c>
      <x:c r="B12" s="78" t="str">
        <x:v>M3-EXPR边界｜行动表达不等于持续投入</x:v>
      </x:c>
      <x:c r="C12" s="78" t="str">
        <x:v>L0 模型边界与证据</x:v>
      </x:c>
      <x:c r="D12" s="78" t="str">
        <x:v>CARE-定义边界</x:v>
      </x:c>
      <x:c r="E12" s="78" t="str">
        <x:v>通用</x:v>
      </x:c>
      <x:c r="F12" s="78" t="str">
        <x:v>模块边界</x:v>
      </x:c>
      <x:c r="G12" s="74" t="str">
        <x:v>M3-EXPR</x:v>
      </x:c>
      <x:c r="H12" s="74" t="str"/>
      <x:c r="I12" s="74" t="str">
        <x:v>EXPR识别行动、安排、倾听或承担为表达通道。</x:v>
      </x:c>
      <x:c r="J12" s="74" t="str">
        <x:v>基础信号未定；真合化后原信号已失效；只有单一弱远争议信号。</x:v>
      </x:c>
      <x:c r="K12" s="74" t="str">
        <x:v>由共享基础引擎与M3-STATE修正</x:v>
      </x:c>
      <x:c r="L12" s="74" t="str">
        <x:v>不限定；夫妻星仅在形成独立CARE证据或入宫接口时参与</x:v>
      </x:c>
      <x:c r="M12" s="74" t="str">
        <x:v>由M3-BASE、日支结构及共享引擎提供</x:v>
      </x:c>
      <x:c r="N12" s="74" t="str">
        <x:v>无／待CARE路径规则组合</x:v>
      </x:c>
      <x:c r="O12" s="74" t="str">
        <x:v>全局有效信号；日柱及亲密关系近位优先</x:v>
      </x:c>
      <x:c r="P12" s="74" t="str">
        <x:v>由共享基础引擎判定</x:v>
      </x:c>
      <x:c r="Q12" s="74" t="str">
        <x:v>由共享基础引擎判定</x:v>
      </x:c>
      <x:c r="R12" s="74" t="str">
        <x:v>喜忌不直接等于愿不愿付出；只修正调用顺畅度与资源压力</x:v>
      </x:c>
      <x:c r="S12" s="74" t="str">
        <x:v>原十神性质有效；真合化成立时按化神路由</x:v>
      </x:c>
      <x:c r="T12" s="74" t="str">
        <x:v>由共享基础引擎判定</x:v>
      </x:c>
      <x:c r="U12" s="74" t="str">
        <x:v>92</x:v>
      </x:c>
      <x:c r="V12" s="74" t="str">
        <x:v>不加分；门控／路由</x:v>
      </x:c>
      <x:c r="W12" s="74" t="str">
        <x:v>boundary_note</x:v>
      </x:c>
      <x:c r="X12" s="74" t="str">
        <x:v>EXPR只说明用户怎样让对方看见在意；CARE必须继续判断是否重复、持续、可请求、可接受和可回馈。</x:v>
      </x:c>
      <x:c r="Y12" s="74" t="str">
        <x:v>你可能会用行动表达态度，但这种行动是否稳定、怎样分工和怎样形成互相支持，需要在CARE里另行判断。</x:v>
      </x:c>
      <x:c r="Z12" s="74" t="str">
        <x:v>不得由本规则直接推出过度付出、付出失衡、依赖、控制、忠诚度、关系结果或适配度；不得把某种照顾方式等同于爱得更多或更少。</x:v>
      </x:c>
      <x:c r="AA12" s="74" t="str">
        <x:v>高</x:v>
      </x:c>
      <x:c r="AB12" s="74" t="str">
        <x:v>待验证</x:v>
      </x:c>
      <x:c r="AC12" s="74" t="str"/>
      <x:c r="AD12" s="74" t="str">
        <x:v>provisional=true; rule_group=DEFINITION_08</x:v>
      </x:c>
      <x:c r="AE12" s="74" t="str">
        <x:v>0.4</x:v>
      </x:c>
    </x:row>
    <x:row r="13">
      <x:c r="A13" s="78" t="str">
        <x:v>M3-CARE-009</x:v>
      </x:c>
      <x:c r="B13" s="78" t="str">
        <x:v>M3-BOUND边界｜付出数量不等于边界状态</x:v>
      </x:c>
      <x:c r="C13" s="78" t="str">
        <x:v>L0 模型边界与证据</x:v>
      </x:c>
      <x:c r="D13" s="78" t="str">
        <x:v>CARE-定义边界</x:v>
      </x:c>
      <x:c r="E13" s="78" t="str">
        <x:v>通用</x:v>
      </x:c>
      <x:c r="F13" s="78" t="str">
        <x:v>模块边界</x:v>
      </x:c>
      <x:c r="G13" s="74" t="str">
        <x:v>M3-BOUND</x:v>
      </x:c>
      <x:c r="H13" s="74" t="str"/>
      <x:c r="I13" s="74" t="str">
        <x:v>CARE识别付出、资源投入或接受支持。</x:v>
      </x:c>
      <x:c r="J13" s="74" t="str">
        <x:v>基础信号未定；真合化后原信号已失效；只有单一弱远争议信号。</x:v>
      </x:c>
      <x:c r="K13" s="74" t="str">
        <x:v>由共享基础引擎与M3-STATE修正</x:v>
      </x:c>
      <x:c r="L13" s="74" t="str">
        <x:v>不限定；夫妻星仅在形成独立CARE证据或入宫接口时参与</x:v>
      </x:c>
      <x:c r="M13" s="74" t="str">
        <x:v>由M3-BASE、日支结构及共享引擎提供</x:v>
      </x:c>
      <x:c r="N13" s="74" t="str">
        <x:v>无／待CARE路径规则组合</x:v>
      </x:c>
      <x:c r="O13" s="74" t="str">
        <x:v>全局有效信号；日柱及亲密关系近位优先</x:v>
      </x:c>
      <x:c r="P13" s="74" t="str">
        <x:v>由共享基础引擎判定</x:v>
      </x:c>
      <x:c r="Q13" s="74" t="str">
        <x:v>由共享基础引擎判定</x:v>
      </x:c>
      <x:c r="R13" s="74" t="str">
        <x:v>喜忌不直接等于愿不愿付出；只修正调用顺畅度与资源压力</x:v>
      </x:c>
      <x:c r="S13" s="74" t="str">
        <x:v>原十神性质有效；真合化成立时按化神路由</x:v>
      </x:c>
      <x:c r="T13" s="74" t="str">
        <x:v>由共享基础引擎判定</x:v>
      </x:c>
      <x:c r="U13" s="74" t="str">
        <x:v>91</x:v>
      </x:c>
      <x:c r="V13" s="74" t="str">
        <x:v>不加分；门控／路由</x:v>
      </x:c>
      <x:c r="W13" s="74" t="str">
        <x:v>boundary_note</x:v>
      </x:c>
      <x:c r="X13" s="74" t="str">
        <x:v>投入多、投入少、愿意接受帮助，都不能直接推出边界清楚或边界薄弱；资源权限和亲密距离交给BOUND。</x:v>
      </x:c>
      <x:c r="Y13" s="74" t="str">
        <x:v>付出的多少不能单独说明你有没有边界，接受帮助也不等于依赖。</x:v>
      </x:c>
      <x:c r="Z13" s="74" t="str">
        <x:v>不得由本规则直接推出过度付出、付出失衡、依赖、控制、忠诚度、关系结果或适配度；不得把某种照顾方式等同于爱得更多或更少。</x:v>
      </x:c>
      <x:c r="AA13" s="74" t="str">
        <x:v>高</x:v>
      </x:c>
      <x:c r="AB13" s="74" t="str">
        <x:v>待验证</x:v>
      </x:c>
      <x:c r="AC13" s="74" t="str"/>
      <x:c r="AD13" s="74" t="str">
        <x:v>provisional=true; rule_group=DEFINITION_09</x:v>
      </x:c>
      <x:c r="AE13" s="74" t="str">
        <x:v>0.4</x:v>
      </x:c>
    </x:row>
    <x:row r="14">
      <x:c r="A14" s="78" t="str">
        <x:v>M3-CARE-010</x:v>
      </x:c>
      <x:c r="B14" s="78" t="str">
        <x:v>M3-CONFLICT边界｜危机行动不等于冲突方式</x:v>
      </x:c>
      <x:c r="C14" s="78" t="str">
        <x:v>L0 模型边界与证据</x:v>
      </x:c>
      <x:c r="D14" s="78" t="str">
        <x:v>CARE-定义边界</x:v>
      </x:c>
      <x:c r="E14" s="78" t="str">
        <x:v>通用</x:v>
      </x:c>
      <x:c r="F14" s="78" t="str">
        <x:v>模块边界</x:v>
      </x:c>
      <x:c r="G14" s="74" t="str">
        <x:v>M3-CONFLICT</x:v>
      </x:c>
      <x:c r="H14" s="74" t="str"/>
      <x:c r="I14" s="74" t="str">
        <x:v>七杀、官杀或行动型CARE信号在困难情境中被识别。</x:v>
      </x:c>
      <x:c r="J14" s="74" t="str">
        <x:v>基础信号未定；真合化后原信号已失效；只有单一弱远争议信号。</x:v>
      </x:c>
      <x:c r="K14" s="74" t="str">
        <x:v>由共享基础引擎与M3-STATE修正</x:v>
      </x:c>
      <x:c r="L14" s="74" t="str">
        <x:v>不限定；夫妻星仅在形成独立CARE证据或入宫接口时参与</x:v>
      </x:c>
      <x:c r="M14" s="74" t="str">
        <x:v>由M3-BASE、日支结构及共享引擎提供</x:v>
      </x:c>
      <x:c r="N14" s="74" t="str">
        <x:v>无／待CARE路径规则组合</x:v>
      </x:c>
      <x:c r="O14" s="74" t="str">
        <x:v>全局有效信号；日柱及亲密关系近位优先</x:v>
      </x:c>
      <x:c r="P14" s="74" t="str">
        <x:v>由共享基础引擎判定</x:v>
      </x:c>
      <x:c r="Q14" s="74" t="str">
        <x:v>由共享基础引擎判定</x:v>
      </x:c>
      <x:c r="R14" s="74" t="str">
        <x:v>喜忌不直接等于愿不愿付出；只修正调用顺畅度与资源压力</x:v>
      </x:c>
      <x:c r="S14" s="74" t="str">
        <x:v>原十神性质有效；真合化成立时按化神路由</x:v>
      </x:c>
      <x:c r="T14" s="74" t="str">
        <x:v>由共享基础引擎判定</x:v>
      </x:c>
      <x:c r="U14" s="74" t="str">
        <x:v>90</x:v>
      </x:c>
      <x:c r="V14" s="74" t="str">
        <x:v>不加分；门控／路由</x:v>
      </x:c>
      <x:c r="W14" s="74" t="str">
        <x:v>boundary_note</x:v>
      </x:c>
      <x:c r="X14" s="74" t="str">
        <x:v>关键时刻解决问题可以是支持方式，但分歧时是否压迫、回避或争执必须由CONFLICT独立判断。</x:v>
      </x:c>
      <x:c r="Y14" s="74" t="str">
        <x:v>遇到事情先处理问题，是一种支持顺序，不等于你发生分歧时一定强硬或控制。</x:v>
      </x:c>
      <x:c r="Z14" s="74" t="str">
        <x:v>不得由本规则直接推出过度付出、付出失衡、依赖、控制、忠诚度、关系结果或适配度；不得把某种照顾方式等同于爱得更多或更少。</x:v>
      </x:c>
      <x:c r="AA14" s="74" t="str">
        <x:v>高</x:v>
      </x:c>
      <x:c r="AB14" s="74" t="str">
        <x:v>待验证</x:v>
      </x:c>
      <x:c r="AC14" s="74" t="str"/>
      <x:c r="AD14" s="74" t="str">
        <x:v>provisional=true; rule_group=DEFINITION_10</x:v>
      </x:c>
      <x:c r="AE14" s="74" t="str">
        <x:v>0.4</x:v>
      </x:c>
    </x:row>
    <x:row r="15">
      <x:c r="A15" s="78" t="str">
        <x:v>M3-CARE-011</x:v>
      </x:c>
      <x:c r="B15" s="78" t="str">
        <x:v>M3-REPAIR边界｜安抚照顾不自动等于修复路径</x:v>
      </x:c>
      <x:c r="C15" s="78" t="str">
        <x:v>L0 模型边界与证据</x:v>
      </x:c>
      <x:c r="D15" s="78" t="str">
        <x:v>CARE-定义边界</x:v>
      </x:c>
      <x:c r="E15" s="78" t="str">
        <x:v>通用</x:v>
      </x:c>
      <x:c r="F15" s="78" t="str">
        <x:v>模块边界</x:v>
      </x:c>
      <x:c r="G15" s="74" t="str">
        <x:v>M3-REPAIR</x:v>
      </x:c>
      <x:c r="H15" s="74" t="str"/>
      <x:c r="I15" s="74" t="str">
        <x:v>食神、印星或实际照顾在关系紧张后出现。</x:v>
      </x:c>
      <x:c r="J15" s="74" t="str">
        <x:v>基础信号未定；真合化后原信号已失效；只有单一弱远争议信号。</x:v>
      </x:c>
      <x:c r="K15" s="74" t="str">
        <x:v>由共享基础引擎与M3-STATE修正</x:v>
      </x:c>
      <x:c r="L15" s="74" t="str">
        <x:v>不限定；夫妻星仅在形成独立CARE证据或入宫接口时参与</x:v>
      </x:c>
      <x:c r="M15" s="74" t="str">
        <x:v>由M3-BASE、日支结构及共享引擎提供</x:v>
      </x:c>
      <x:c r="N15" s="74" t="str">
        <x:v>无／待CARE路径规则组合</x:v>
      </x:c>
      <x:c r="O15" s="74" t="str">
        <x:v>全局有效信号；日柱及亲密关系近位优先</x:v>
      </x:c>
      <x:c r="P15" s="74" t="str">
        <x:v>由共享基础引擎判定</x:v>
      </x:c>
      <x:c r="Q15" s="74" t="str">
        <x:v>由共享基础引擎判定</x:v>
      </x:c>
      <x:c r="R15" s="74" t="str">
        <x:v>喜忌不直接等于愿不愿付出；只修正调用顺畅度与资源压力</x:v>
      </x:c>
      <x:c r="S15" s="74" t="str">
        <x:v>原十神性质有效；真合化成立时按化神路由</x:v>
      </x:c>
      <x:c r="T15" s="74" t="str">
        <x:v>由共享基础引擎判定</x:v>
      </x:c>
      <x:c r="U15" s="74" t="str">
        <x:v>89</x:v>
      </x:c>
      <x:c r="V15" s="74" t="str">
        <x:v>不加分；门控／路由</x:v>
      </x:c>
      <x:c r="W15" s="74" t="str">
        <x:v>boundary_note</x:v>
      </x:c>
      <x:c r="X15" s="74" t="str">
        <x:v>CARE说明日常支持资源；只有紧张后重新联结的独立证据，才能进入REPAIR。</x:v>
      </x:c>
      <x:c r="Y15" s="74" t="str">
        <x:v>你平时会倾听或照顾，不代表每次矛盾后都用同样方式修复关系。</x:v>
      </x:c>
      <x:c r="Z15" s="74" t="str">
        <x:v>不得由本规则直接推出过度付出、付出失衡、依赖、控制、忠诚度、关系结果或适配度；不得把某种照顾方式等同于爱得更多或更少。</x:v>
      </x:c>
      <x:c r="AA15" s="74" t="str">
        <x:v>高</x:v>
      </x:c>
      <x:c r="AB15" s="74" t="str">
        <x:v>待验证</x:v>
      </x:c>
      <x:c r="AC15" s="74" t="str"/>
      <x:c r="AD15" s="74" t="str">
        <x:v>provisional=true; rule_group=DEFINITION_11</x:v>
      </x:c>
      <x:c r="AE15" s="74" t="str">
        <x:v>0.4</x:v>
      </x:c>
    </x:row>
    <x:row r="16">
      <x:c r="A16" s="78" t="str">
        <x:v>M3-CARE-012</x:v>
      </x:c>
      <x:c r="B16" s="78" t="str">
        <x:v>M3-STATE边界｜平稳CARE与压力CARE分开</x:v>
      </x:c>
      <x:c r="C16" s="78" t="str">
        <x:v>L0 模型边界与证据</x:v>
      </x:c>
      <x:c r="D16" s="78" t="str">
        <x:v>CARE-定义边界</x:v>
      </x:c>
      <x:c r="E16" s="78" t="str">
        <x:v>通用</x:v>
      </x:c>
      <x:c r="F16" s="78" t="str">
        <x:v>模块边界</x:v>
      </x:c>
      <x:c r="G16" s="74" t="str">
        <x:v>M3-STATE</x:v>
      </x:c>
      <x:c r="H16" s="74" t="str"/>
      <x:c r="I16" s="74" t="str">
        <x:v>同一用户在平稳和压力情境出现不同CARE通道。</x:v>
      </x:c>
      <x:c r="J16" s="74" t="str">
        <x:v>基础信号未定；真合化后原信号已失效；只有单一弱远争议信号。</x:v>
      </x:c>
      <x:c r="K16" s="74" t="str">
        <x:v>由共享基础引擎与M3-STATE修正</x:v>
      </x:c>
      <x:c r="L16" s="74" t="str">
        <x:v>不限定；夫妻星仅在形成独立CARE证据或入宫接口时参与</x:v>
      </x:c>
      <x:c r="M16" s="74" t="str">
        <x:v>由M3-BASE、日支结构及共享引擎提供</x:v>
      </x:c>
      <x:c r="N16" s="74" t="str">
        <x:v>无／待CARE路径规则组合</x:v>
      </x:c>
      <x:c r="O16" s="74" t="str">
        <x:v>全局有效信号；日柱及亲密关系近位优先</x:v>
      </x:c>
      <x:c r="P16" s="74" t="str">
        <x:v>由共享基础引擎判定</x:v>
      </x:c>
      <x:c r="Q16" s="74" t="str">
        <x:v>由共享基础引擎判定</x:v>
      </x:c>
      <x:c r="R16" s="74" t="str">
        <x:v>喜忌不直接等于愿不愿付出；只修正调用顺畅度与资源压力</x:v>
      </x:c>
      <x:c r="S16" s="74" t="str">
        <x:v>原十神性质有效；真合化成立时按化神路由</x:v>
      </x:c>
      <x:c r="T16" s="74" t="str">
        <x:v>由共享基础引擎判定</x:v>
      </x:c>
      <x:c r="U16" s="74" t="str">
        <x:v>88</x:v>
      </x:c>
      <x:c r="V16" s="74" t="str">
        <x:v>不加分；门控／路由</x:v>
      </x:c>
      <x:c r="W16" s="74" t="str">
        <x:v>boundary_note</x:v>
      </x:c>
      <x:c r="X16" s="74" t="str">
        <x:v>CARE先给出平稳状态的主通道；压力抢占、恢复回归由STATE组合，不能用一次极端事件替代日常模式。</x:v>
      </x:c>
      <x:c r="Y16" s="74" t="str">
        <x:v>平时怎样照顾关系，和压力很大时先做什么，可能不是同一个通道。</x:v>
      </x:c>
      <x:c r="Z16" s="74" t="str">
        <x:v>不得由本规则直接推出过度付出、付出失衡、依赖、控制、忠诚度、关系结果或适配度；不得把某种照顾方式等同于爱得更多或更少。</x:v>
      </x:c>
      <x:c r="AA16" s="74" t="str">
        <x:v>高</x:v>
      </x:c>
      <x:c r="AB16" s="74" t="str">
        <x:v>待验证</x:v>
      </x:c>
      <x:c r="AC16" s="74" t="str"/>
      <x:c r="AD16" s="74" t="str">
        <x:v>provisional=true; rule_group=DEFINITION_12</x:v>
      </x:c>
      <x:c r="AE16" s="74" t="str">
        <x:v>0.4</x:v>
      </x:c>
    </x:row>
    <x:row r="17">
      <x:c r="A17" s="78" t="str">
        <x:v>M3-CARE-013</x:v>
      </x:c>
      <x:c r="B17" s="78" t="str">
        <x:v>M4边界｜付出失衡与耗竭属于风险模型</x:v>
      </x:c>
      <x:c r="C17" s="78" t="str">
        <x:v>L0 模型边界与证据</x:v>
      </x:c>
      <x:c r="D17" s="78" t="str">
        <x:v>CARE-定义边界</x:v>
      </x:c>
      <x:c r="E17" s="78" t="str">
        <x:v>通用</x:v>
      </x:c>
      <x:c r="F17" s="78" t="str">
        <x:v>跨模型边界</x:v>
      </x:c>
      <x:c r="G17" s="74" t="str">
        <x:v>M4</x:v>
      </x:c>
      <x:c r="H17" s="74" t="str"/>
      <x:c r="I17" s="74" t="str">
        <x:v>出现过旺、无制、单向可见或资源压力候选。</x:v>
      </x:c>
      <x:c r="J17" s="74" t="str">
        <x:v>基础信号未定；真合化后原信号已失效；只有单一弱远争议信号。</x:v>
      </x:c>
      <x:c r="K17" s="74" t="str">
        <x:v>由共享基础引擎与M3-STATE修正</x:v>
      </x:c>
      <x:c r="L17" s="74" t="str">
        <x:v>不限定；夫妻星仅在形成独立CARE证据或入宫接口时参与</x:v>
      </x:c>
      <x:c r="M17" s="74" t="str">
        <x:v>由M3-BASE、日支结构及共享引擎提供</x:v>
      </x:c>
      <x:c r="N17" s="74" t="str">
        <x:v>无／待CARE路径规则组合</x:v>
      </x:c>
      <x:c r="O17" s="74" t="str">
        <x:v>全局有效信号；日柱及亲密关系近位优先</x:v>
      </x:c>
      <x:c r="P17" s="74" t="str">
        <x:v>由共享基础引擎判定</x:v>
      </x:c>
      <x:c r="Q17" s="74" t="str">
        <x:v>由共享基础引擎判定</x:v>
      </x:c>
      <x:c r="R17" s="74" t="str">
        <x:v>喜忌不直接等于愿不愿付出；只修正调用顺畅度与资源压力</x:v>
      </x:c>
      <x:c r="S17" s="74" t="str">
        <x:v>原十神性质有效；真合化成立时按化神路由</x:v>
      </x:c>
      <x:c r="T17" s="74" t="str">
        <x:v>由共享基础引擎判定</x:v>
      </x:c>
      <x:c r="U17" s="74" t="str">
        <x:v>87</x:v>
      </x:c>
      <x:c r="V17" s="74" t="str">
        <x:v>不加分；门控／路由</x:v>
      </x:c>
      <x:c r="W17" s="74" t="str">
        <x:v>boundary_note</x:v>
      </x:c>
      <x:c r="X17" s="74" t="str">
        <x:v>CARE只能描述某类支持通道调用强、交换反馈不清或资源边界需要继续观察；是否形成耗竭、失衡或控制交给M4。</x:v>
      </x:c>
      <x:c r="Y17" s="74" t="str">
        <x:v>这里可以提示某种付出方式很容易占据关系，但不能直接说你会过度付出或被消耗。</x:v>
      </x:c>
      <x:c r="Z17" s="74" t="str">
        <x:v>不得由本规则直接推出过度付出、付出失衡、依赖、控制、忠诚度、关系结果或适配度；不得把某种照顾方式等同于爱得更多或更少。</x:v>
      </x:c>
      <x:c r="AA17" s="74" t="str">
        <x:v>高</x:v>
      </x:c>
      <x:c r="AB17" s="74" t="str">
        <x:v>待验证</x:v>
      </x:c>
      <x:c r="AC17" s="74" t="str"/>
      <x:c r="AD17" s="74" t="str">
        <x:v>provisional=true; rule_group=DEFINITION_13</x:v>
      </x:c>
      <x:c r="AE17" s="74" t="str">
        <x:v>0.4</x:v>
      </x:c>
    </x:row>
    <x:row r="18">
      <x:c r="A18" s="78" t="str">
        <x:v>M3-CARE-014</x:v>
      </x:c>
      <x:c r="B18" s="78" t="str">
        <x:v>M5边界｜常用照顾方式不等于最适配方式</x:v>
      </x:c>
      <x:c r="C18" s="78" t="str">
        <x:v>L0 模型边界与证据</x:v>
      </x:c>
      <x:c r="D18" s="78" t="str">
        <x:v>CARE-定义边界</x:v>
      </x:c>
      <x:c r="E18" s="78" t="str">
        <x:v>通用</x:v>
      </x:c>
      <x:c r="F18" s="78" t="str">
        <x:v>跨模型边界</x:v>
      </x:c>
      <x:c r="G18" s="74" t="str">
        <x:v>M5</x:v>
      </x:c>
      <x:c r="H18" s="74" t="str"/>
      <x:c r="I18" s="74" t="str">
        <x:v>M3-CARE与适配问题同时被询问。</x:v>
      </x:c>
      <x:c r="J18" s="74" t="str">
        <x:v>基础信号未定；真合化后原信号已失效；只有单一弱远争议信号。</x:v>
      </x:c>
      <x:c r="K18" s="74" t="str">
        <x:v>由共享基础引擎与M3-STATE修正</x:v>
      </x:c>
      <x:c r="L18" s="74" t="str">
        <x:v>不限定；夫妻星仅在形成独立CARE证据或入宫接口时参与</x:v>
      </x:c>
      <x:c r="M18" s="74" t="str">
        <x:v>由M3-BASE、日支结构及共享引擎提供</x:v>
      </x:c>
      <x:c r="N18" s="74" t="str">
        <x:v>无／待CARE路径规则组合</x:v>
      </x:c>
      <x:c r="O18" s="74" t="str">
        <x:v>全局有效信号；日柱及亲密关系近位优先</x:v>
      </x:c>
      <x:c r="P18" s="74" t="str">
        <x:v>由共享基础引擎判定</x:v>
      </x:c>
      <x:c r="Q18" s="74" t="str">
        <x:v>由共享基础引擎判定</x:v>
      </x:c>
      <x:c r="R18" s="74" t="str">
        <x:v>喜忌不直接等于愿不愿付出；只修正调用顺畅度与资源压力</x:v>
      </x:c>
      <x:c r="S18" s="74" t="str">
        <x:v>原十神性质有效；真合化成立时按化神路由</x:v>
      </x:c>
      <x:c r="T18" s="74" t="str">
        <x:v>由共享基础引擎判定</x:v>
      </x:c>
      <x:c r="U18" s="74" t="str">
        <x:v>86</x:v>
      </x:c>
      <x:c r="V18" s="74" t="str">
        <x:v>不加分；门控／路由</x:v>
      </x:c>
      <x:c r="W18" s="74" t="str">
        <x:v>boundary_note</x:v>
      </x:c>
      <x:c r="X18" s="74" t="str">
        <x:v>用户常用的支持方式，不自动等于对方最需要或长期最合适的交换结构；适配由M5判断。</x:v>
      </x:c>
      <x:c r="Y18" s="74" t="str">
        <x:v>你习惯怎样照顾人，和什么样的支持交换最适合你，是两个不同问题。</x:v>
      </x:c>
      <x:c r="Z18" s="74" t="str">
        <x:v>不得由本规则直接推出过度付出、付出失衡、依赖、控制、忠诚度、关系结果或适配度；不得把某种照顾方式等同于爱得更多或更少。</x:v>
      </x:c>
      <x:c r="AA18" s="74" t="str">
        <x:v>高</x:v>
      </x:c>
      <x:c r="AB18" s="74" t="str">
        <x:v>待验证</x:v>
      </x:c>
      <x:c r="AC18" s="74" t="str"/>
      <x:c r="AD18" s="74" t="str">
        <x:v>provisional=true; rule_group=DEFINITION_14</x:v>
      </x:c>
      <x:c r="AE18" s="74" t="str">
        <x:v>0.4</x:v>
      </x:c>
    </x:row>
    <x:row r="19">
      <x:c r="A19" s="78" t="str">
        <x:v>M3-CARE-015</x:v>
      </x:c>
      <x:c r="B19" s="78" t="str">
        <x:v>给予与接受必须分栏</x:v>
      </x:c>
      <x:c r="C19" s="78" t="str">
        <x:v>L0 模型边界与证据</x:v>
      </x:c>
      <x:c r="D19" s="78" t="str">
        <x:v>CARE-定义边界</x:v>
      </x:c>
      <x:c r="E19" s="78" t="str">
        <x:v>通用</x:v>
      </x:c>
      <x:c r="F19" s="78" t="str">
        <x:v>定义边界</x:v>
      </x:c>
      <x:c r="G19" s="74" t="str">
        <x:v>M3-CARE模块规则</x:v>
      </x:c>
      <x:c r="H19" s="74" t="str"/>
      <x:c r="I19" s="74" t="str">
        <x:v>至少一项给予或接受支持的证据成立。</x:v>
      </x:c>
      <x:c r="J19" s="74" t="str">
        <x:v>基础信号未定；真合化后原信号已失效；只有单一弱远争议信号。</x:v>
      </x:c>
      <x:c r="K19" s="74" t="str">
        <x:v>由共享基础引擎与M3-STATE修正</x:v>
      </x:c>
      <x:c r="L19" s="74" t="str">
        <x:v>不限定；夫妻星仅在形成独立CARE证据或入宫接口时参与</x:v>
      </x:c>
      <x:c r="M19" s="74" t="str">
        <x:v>由M3-BASE、日支结构及共享引擎提供</x:v>
      </x:c>
      <x:c r="N19" s="74" t="str">
        <x:v>无／待CARE路径规则组合</x:v>
      </x:c>
      <x:c r="O19" s="74" t="str">
        <x:v>全局有效信号；日柱及亲密关系近位优先</x:v>
      </x:c>
      <x:c r="P19" s="74" t="str">
        <x:v>由共享基础引擎判定</x:v>
      </x:c>
      <x:c r="Q19" s="74" t="str">
        <x:v>由共享基础引擎判定</x:v>
      </x:c>
      <x:c r="R19" s="74" t="str">
        <x:v>喜忌不直接等于愿不愿付出；只修正调用顺畅度与资源压力</x:v>
      </x:c>
      <x:c r="S19" s="74" t="str">
        <x:v>原十神性质有效；真合化成立时按化神路由</x:v>
      </x:c>
      <x:c r="T19" s="74" t="str">
        <x:v>由共享基础引擎判定</x:v>
      </x:c>
      <x:c r="U19" s="74" t="str">
        <x:v>85</x:v>
      </x:c>
      <x:c r="V19" s="74" t="str">
        <x:v>不加分；门控／路由</x:v>
      </x:c>
      <x:c r="W19" s="74" t="str">
        <x:v>boundary_note</x:v>
      </x:c>
      <x:c r="X19" s="74" t="str">
        <x:v>同一十神可以影响给予和接受，但两个方向不能互相代替；报告必须分别保留。</x:v>
      </x:c>
      <x:c r="Y19" s="74" t="str">
        <x:v>你怎样帮助对方，以及你怎样接受对方帮助，会分开说明。</x:v>
      </x:c>
      <x:c r="Z19" s="74" t="str">
        <x:v>不得由本规则直接推出过度付出、付出失衡、依赖、控制、忠诚度、关系结果或适配度；不得把某种照顾方式等同于爱得更多或更少。</x:v>
      </x:c>
      <x:c r="AA19" s="74" t="str">
        <x:v>高</x:v>
      </x:c>
      <x:c r="AB19" s="74" t="str">
        <x:v>待验证</x:v>
      </x:c>
      <x:c r="AC19" s="74" t="str"/>
      <x:c r="AD19" s="74" t="str">
        <x:v>provisional=true; rule_group=DEFINITION_15</x:v>
      </x:c>
      <x:c r="AE19" s="74" t="str">
        <x:v>0.4</x:v>
      </x:c>
    </x:row>
    <x:row r="20">
      <x:c r="A20" s="78" t="str">
        <x:v>M3-CARE-016</x:v>
      </x:c>
      <x:c r="B20" s="78" t="str">
        <x:v>付出可见度不等于付出量</x:v>
      </x:c>
      <x:c r="C20" s="78" t="str">
        <x:v>L0 模型边界与证据</x:v>
      </x:c>
      <x:c r="D20" s="78" t="str">
        <x:v>CARE-定义边界</x:v>
      </x:c>
      <x:c r="E20" s="78" t="str">
        <x:v>通用</x:v>
      </x:c>
      <x:c r="F20" s="78" t="str">
        <x:v>定义边界</x:v>
      </x:c>
      <x:c r="G20" s="74" t="str">
        <x:v>M3-CARE模块规则</x:v>
      </x:c>
      <x:c r="H20" s="74" t="str"/>
      <x:c r="I20" s="74" t="str">
        <x:v>存在透藏、行动、语言或隐性支持差异。</x:v>
      </x:c>
      <x:c r="J20" s="74" t="str">
        <x:v>基础信号未定；真合化后原信号已失效；只有单一弱远争议信号。</x:v>
      </x:c>
      <x:c r="K20" s="74" t="str">
        <x:v>由共享基础引擎与M3-STATE修正</x:v>
      </x:c>
      <x:c r="L20" s="74" t="str">
        <x:v>不限定；夫妻星仅在形成独立CARE证据或入宫接口时参与</x:v>
      </x:c>
      <x:c r="M20" s="74" t="str">
        <x:v>由M3-BASE、日支结构及共享引擎提供</x:v>
      </x:c>
      <x:c r="N20" s="74" t="str">
        <x:v>无／待CARE路径规则组合</x:v>
      </x:c>
      <x:c r="O20" s="74" t="str">
        <x:v>全局有效信号；日柱及亲密关系近位优先</x:v>
      </x:c>
      <x:c r="P20" s="74" t="str">
        <x:v>由共享基础引擎判定</x:v>
      </x:c>
      <x:c r="Q20" s="74" t="str">
        <x:v>由共享基础引擎判定</x:v>
      </x:c>
      <x:c r="R20" s="74" t="str">
        <x:v>喜忌不直接等于愿不愿付出；只修正调用顺畅度与资源压力</x:v>
      </x:c>
      <x:c r="S20" s="74" t="str">
        <x:v>原十神性质有效；真合化成立时按化神路由</x:v>
      </x:c>
      <x:c r="T20" s="74" t="str">
        <x:v>由共享基础引擎判定</x:v>
      </x:c>
      <x:c r="U20" s="74" t="str">
        <x:v>84</x:v>
      </x:c>
      <x:c r="V20" s="74" t="str">
        <x:v>不加分；门控／路由</x:v>
      </x:c>
      <x:c r="W20" s="74" t="str">
        <x:v>boundary_note</x:v>
      </x:c>
      <x:c r="X20" s="74" t="str">
        <x:v>可见度只说明对方是否容易注意到支持，不说明实际投入总量。</x:v>
      </x:c>
      <x:c r="Y20" s="74" t="str">
        <x:v>有些付出很容易被看见，有些藏在安排、观察或长期坚持里；看不见不等于没有。</x:v>
      </x:c>
      <x:c r="Z20" s="74" t="str">
        <x:v>不得由本规则直接推出过度付出、付出失衡、依赖、控制、忠诚度、关系结果或适配度；不得把某种照顾方式等同于爱得更多或更少。</x:v>
      </x:c>
      <x:c r="AA20" s="74" t="str">
        <x:v>高</x:v>
      </x:c>
      <x:c r="AB20" s="74" t="str">
        <x:v>待验证</x:v>
      </x:c>
      <x:c r="AC20" s="74" t="str"/>
      <x:c r="AD20" s="74" t="str">
        <x:v>provisional=true; rule_group=DEFINITION_16</x:v>
      </x:c>
      <x:c r="AE20" s="74" t="str">
        <x:v>0.4</x:v>
      </x:c>
    </x:row>
    <x:row r="21">
      <x:c r="A21" s="78" t="str">
        <x:v>M3-CARE-017</x:v>
      </x:c>
      <x:c r="B21" s="78" t="str">
        <x:v>主动付出与回应式付出不分高低</x:v>
      </x:c>
      <x:c r="C21" s="78" t="str">
        <x:v>L0 模型边界与证据</x:v>
      </x:c>
      <x:c r="D21" s="78" t="str">
        <x:v>CARE-定义边界</x:v>
      </x:c>
      <x:c r="E21" s="78" t="str">
        <x:v>通用</x:v>
      </x:c>
      <x:c r="F21" s="78" t="str">
        <x:v>定义边界</x:v>
      </x:c>
      <x:c r="G21" s="74" t="str">
        <x:v>M3-CARE模块规则</x:v>
      </x:c>
      <x:c r="H21" s="74" t="str"/>
      <x:c r="I21" s="74" t="str">
        <x:v>需要判断支持由谁启动。</x:v>
      </x:c>
      <x:c r="J21" s="74" t="str">
        <x:v>基础信号未定；真合化后原信号已失效；只有单一弱远争议信号。</x:v>
      </x:c>
      <x:c r="K21" s="74" t="str">
        <x:v>由共享基础引擎与M3-STATE修正</x:v>
      </x:c>
      <x:c r="L21" s="74" t="str">
        <x:v>不限定；夫妻星仅在形成独立CARE证据或入宫接口时参与</x:v>
      </x:c>
      <x:c r="M21" s="74" t="str">
        <x:v>由M3-BASE、日支结构及共享引擎提供</x:v>
      </x:c>
      <x:c r="N21" s="74" t="str">
        <x:v>无／待CARE路径规则组合</x:v>
      </x:c>
      <x:c r="O21" s="74" t="str">
        <x:v>全局有效信号；日柱及亲密关系近位优先</x:v>
      </x:c>
      <x:c r="P21" s="74" t="str">
        <x:v>由共享基础引擎判定</x:v>
      </x:c>
      <x:c r="Q21" s="74" t="str">
        <x:v>由共享基础引擎判定</x:v>
      </x:c>
      <x:c r="R21" s="74" t="str">
        <x:v>喜忌不直接等于愿不愿付出；只修正调用顺畅度与资源压力</x:v>
      </x:c>
      <x:c r="S21" s="74" t="str">
        <x:v>原十神性质有效；真合化成立时按化神路由</x:v>
      </x:c>
      <x:c r="T21" s="74" t="str">
        <x:v>由共享基础引擎判定</x:v>
      </x:c>
      <x:c r="U21" s="74" t="str">
        <x:v>83</x:v>
      </x:c>
      <x:c r="V21" s="74" t="str">
        <x:v>不加分；门控／路由</x:v>
      </x:c>
      <x:c r="W21" s="74" t="str">
        <x:v>boundary_note</x:v>
      </x:c>
      <x:c r="X21" s="74" t="str">
        <x:v>主动、回应、共同启动或条件启动只是交换方向，不代表主动者爱得更多、回应者更被动。</x:v>
      </x:c>
      <x:c r="Y21" s="74" t="str">
        <x:v>你可能先主动，也可能在看见明确需要后再投入；这两种方式不直接代表感情深浅。</x:v>
      </x:c>
      <x:c r="Z21" s="74" t="str">
        <x:v>不得由本规则直接推出过度付出、付出失衡、依赖、控制、忠诚度、关系结果或适配度；不得把某种照顾方式等同于爱得更多或更少。</x:v>
      </x:c>
      <x:c r="AA21" s="74" t="str">
        <x:v>高</x:v>
      </x:c>
      <x:c r="AB21" s="74" t="str">
        <x:v>待验证</x:v>
      </x:c>
      <x:c r="AC21" s="74" t="str"/>
      <x:c r="AD21" s="74" t="str">
        <x:v>provisional=true; rule_group=DEFINITION_17</x:v>
      </x:c>
      <x:c r="AE21" s="74" t="str">
        <x:v>0.4</x:v>
      </x:c>
    </x:row>
    <x:row r="22">
      <x:c r="A22" s="78" t="str">
        <x:v>M3-CARE-018</x:v>
      </x:c>
      <x:c r="B22" s="78" t="str">
        <x:v>单次帮助与持续投入严格区分</x:v>
      </x:c>
      <x:c r="C22" s="78" t="str">
        <x:v>L0 模型边界与证据</x:v>
      </x:c>
      <x:c r="D22" s="78" t="str">
        <x:v>CARE-定义边界</x:v>
      </x:c>
      <x:c r="E22" s="78" t="str">
        <x:v>通用</x:v>
      </x:c>
      <x:c r="F22" s="78" t="str">
        <x:v>定义边界</x:v>
      </x:c>
      <x:c r="G22" s="74" t="str">
        <x:v>M3-CARE模块规则</x:v>
      </x:c>
      <x:c r="H22" s="74" t="str"/>
      <x:c r="I22" s="74" t="str">
        <x:v>出现一次性行动、关键事件或长期重复行为。</x:v>
      </x:c>
      <x:c r="J22" s="74" t="str">
        <x:v>基础信号未定；真合化后原信号已失效；只有单一弱远争议信号。</x:v>
      </x:c>
      <x:c r="K22" s="74" t="str">
        <x:v>由共享基础引擎与M3-STATE修正</x:v>
      </x:c>
      <x:c r="L22" s="74" t="str">
        <x:v>不限定；夫妻星仅在形成独立CARE证据或入宫接口时参与</x:v>
      </x:c>
      <x:c r="M22" s="74" t="str">
        <x:v>由M3-BASE、日支结构及共享引擎提供</x:v>
      </x:c>
      <x:c r="N22" s="74" t="str">
        <x:v>无／待CARE路径规则组合</x:v>
      </x:c>
      <x:c r="O22" s="74" t="str">
        <x:v>全局有效信号；日柱及亲密关系近位优先</x:v>
      </x:c>
      <x:c r="P22" s="74" t="str">
        <x:v>由共享基础引擎判定</x:v>
      </x:c>
      <x:c r="Q22" s="74" t="str">
        <x:v>由共享基础引擎判定</x:v>
      </x:c>
      <x:c r="R22" s="74" t="str">
        <x:v>喜忌不直接等于愿不愿付出；只修正调用顺畅度与资源压力</x:v>
      </x:c>
      <x:c r="S22" s="74" t="str">
        <x:v>原十神性质有效；真合化成立时按化神路由</x:v>
      </x:c>
      <x:c r="T22" s="74" t="str">
        <x:v>由共享基础引擎判定</x:v>
      </x:c>
      <x:c r="U22" s="74" t="str">
        <x:v>82</x:v>
      </x:c>
      <x:c r="V22" s="74" t="str">
        <x:v>不加分；门控／路由</x:v>
      </x:c>
      <x:c r="W22" s="74" t="str">
        <x:v>boundary_note</x:v>
      </x:c>
      <x:c r="X22" s="74" t="str">
        <x:v>单次高强度行为不能自动升级为稳定CARE通道；持续性必须有根气、重复行为或多源证据。</x:v>
      </x:c>
      <x:c r="Y22" s="74" t="str">
        <x:v>关键时刻帮过一次，和长期稳定投入是两种不同证据，不能混在一起。</x:v>
      </x:c>
      <x:c r="Z22" s="74" t="str">
        <x:v>不得由本规则直接推出过度付出、付出失衡、依赖、控制、忠诚度、关系结果或适配度；不得把某种照顾方式等同于爱得更多或更少。</x:v>
      </x:c>
      <x:c r="AA22" s="74" t="str">
        <x:v>高</x:v>
      </x:c>
      <x:c r="AB22" s="74" t="str">
        <x:v>待验证</x:v>
      </x:c>
      <x:c r="AC22" s="74" t="str"/>
      <x:c r="AD22" s="74" t="str">
        <x:v>provisional=true; rule_group=DEFINITION_18</x:v>
      </x:c>
      <x:c r="AE22" s="74" t="str">
        <x:v>0.4</x:v>
      </x:c>
    </x:row>
    <x:row r="23">
      <x:c r="A23" s="78" t="str">
        <x:v>M3-CARE-019</x:v>
      </x:c>
      <x:c r="B23" s="78" t="str">
        <x:v>source_id独立性与同源去重</x:v>
      </x:c>
      <x:c r="C23" s="78" t="str">
        <x:v>L0 模型边界与证据</x:v>
      </x:c>
      <x:c r="D23" s="78" t="str">
        <x:v>CARE-定义边界</x:v>
      </x:c>
      <x:c r="E23" s="78" t="str">
        <x:v>通用</x:v>
      </x:c>
      <x:c r="F23" s="78" t="str">
        <x:v>证据门控</x:v>
      </x:c>
      <x:c r="G23" s="74" t="str">
        <x:v>M3-CARE模块规则</x:v>
      </x:c>
      <x:c r="H23" s="74" t="str"/>
      <x:c r="I23" s="74" t="str">
        <x:v>多个模块或多条规则读取同一个命理事实。</x:v>
      </x:c>
      <x:c r="J23" s="74" t="str">
        <x:v>基础信号未定；真合化后原信号已失效；只有单一弱远争议信号。</x:v>
      </x:c>
      <x:c r="K23" s="74" t="str">
        <x:v>由共享基础引擎与M3-STATE修正</x:v>
      </x:c>
      <x:c r="L23" s="74" t="str">
        <x:v>不限定；夫妻星仅在形成独立CARE证据或入宫接口时参与</x:v>
      </x:c>
      <x:c r="M23" s="74" t="str">
        <x:v>由M3-BASE、日支结构及共享引擎提供</x:v>
      </x:c>
      <x:c r="N23" s="74" t="str">
        <x:v>无／待CARE路径规则组合</x:v>
      </x:c>
      <x:c r="O23" s="74" t="str">
        <x:v>全局有效信号；日柱及亲密关系近位优先</x:v>
      </x:c>
      <x:c r="P23" s="74" t="str">
        <x:v>由共享基础引擎判定</x:v>
      </x:c>
      <x:c r="Q23" s="74" t="str">
        <x:v>由共享基础引擎判定</x:v>
      </x:c>
      <x:c r="R23" s="74" t="str">
        <x:v>喜忌不直接等于愿不愿付出；只修正调用顺畅度与资源压力</x:v>
      </x:c>
      <x:c r="S23" s="74" t="str">
        <x:v>原十神性质有效；真合化成立时按化神路由</x:v>
      </x:c>
      <x:c r="T23" s="74" t="str">
        <x:v>由共享基础引擎判定</x:v>
      </x:c>
      <x:c r="U23" s="74" t="str">
        <x:v>81</x:v>
      </x:c>
      <x:c r="V23" s="74" t="str">
        <x:v>不加分；门控／路由</x:v>
      </x:c>
      <x:c r="W23" s="74" t="str">
        <x:v>provenance</x:v>
      </x:c>
      <x:c r="X23" s="74" t="str">
        <x:v>同一日支、同根透干、同一合化结果只形成一次基础权重；可以多角度解释，不能伪装成多项独立证据。</x:v>
      </x:c>
      <x:c r="Y23" s="74" t="str">
        <x:v>同一个命盘事实即使能解释多个行为，也不会被重复计算成多份证据。</x:v>
      </x:c>
      <x:c r="Z23" s="74" t="str">
        <x:v>不得由本规则直接推出过度付出、付出失衡、依赖、控制、忠诚度、关系结果或适配度；不得把某种照顾方式等同于爱得更多或更少。</x:v>
      </x:c>
      <x:c r="AA23" s="74" t="str">
        <x:v>高</x:v>
      </x:c>
      <x:c r="AB23" s="74" t="str">
        <x:v>待验证</x:v>
      </x:c>
      <x:c r="AC23" s="74" t="str"/>
      <x:c r="AD23" s="74" t="str">
        <x:v>provisional=true; rule_group=DEFINITION_19</x:v>
      </x:c>
      <x:c r="AE23" s="74" t="str">
        <x:v>0.4</x:v>
      </x:c>
    </x:row>
    <x:row r="24">
      <x:c r="A24" s="78" t="str">
        <x:v>M3-CARE-020</x:v>
      </x:c>
      <x:c r="B24" s="78" t="str">
        <x:v>停止条件｜基础不可靠时有限输出</x:v>
      </x:c>
      <x:c r="C24" s="78" t="str">
        <x:v>L0 模型边界与证据</x:v>
      </x:c>
      <x:c r="D24" s="78" t="str">
        <x:v>CARE-定义边界</x:v>
      </x:c>
      <x:c r="E24" s="78" t="str">
        <x:v>通用</x:v>
      </x:c>
      <x:c r="F24" s="78" t="str">
        <x:v>停止</x:v>
      </x:c>
      <x:c r="G24" s="74" t="str">
        <x:v>M3-CARE模块规则</x:v>
      </x:c>
      <x:c r="H24" s="74" t="str"/>
      <x:c r="I24" s="74" t="str">
        <x:v>真合化未定、日支主气争议、旺衰严重争议、唯一信号弱远无根或关键source_id缺失。</x:v>
      </x:c>
      <x:c r="J24" s="74" t="str">
        <x:v>基础信号未定；真合化后原信号已失效；只有单一弱远争议信号。</x:v>
      </x:c>
      <x:c r="K24" s="74" t="str">
        <x:v>由共享基础引擎与M3-STATE修正</x:v>
      </x:c>
      <x:c r="L24" s="74" t="str">
        <x:v>不限定；夫妻星仅在形成独立CARE证据或入宫接口时参与</x:v>
      </x:c>
      <x:c r="M24" s="74" t="str">
        <x:v>由M3-BASE、日支结构及共享引擎提供</x:v>
      </x:c>
      <x:c r="N24" s="74" t="str">
        <x:v>无／待CARE路径规则组合</x:v>
      </x:c>
      <x:c r="O24" s="74" t="str">
        <x:v>全局有效信号；日柱及亲密关系近位优先</x:v>
      </x:c>
      <x:c r="P24" s="74" t="str">
        <x:v>由共享基础引擎判定</x:v>
      </x:c>
      <x:c r="Q24" s="74" t="str">
        <x:v>由共享基础引擎判定</x:v>
      </x:c>
      <x:c r="R24" s="74" t="str">
        <x:v>喜忌不直接等于愿不愿付出；只修正调用顺畅度与资源压力</x:v>
      </x:c>
      <x:c r="S24" s="74" t="str">
        <x:v>原十神性质有效；真合化成立时按化神路由</x:v>
      </x:c>
      <x:c r="T24" s="74" t="str">
        <x:v>由共享基础引擎判定</x:v>
      </x:c>
      <x:c r="U24" s="74" t="str">
        <x:v>100</x:v>
      </x:c>
      <x:c r="V24" s="74" t="str">
        <x:v>不加分；门控／路由</x:v>
      </x:c>
      <x:c r="W24" s="74" t="str">
        <x:v>report_status</x:v>
      </x:c>
      <x:c r="X24" s="74" t="str">
        <x:v>关键基础未定时停止固定CARE类型；最多回退到五系统层，并说明需要哪些信息。</x:v>
      </x:c>
      <x:c r="Y24" s="74" t="str">
        <x:v>目前只能判断你可能偏向某一类支持系统，但具体付出方式仍受关键基础状态影响，不宜写成固定结论。</x:v>
      </x:c>
      <x:c r="Z24" s="74" t="str">
        <x:v>不得由本规则直接推出过度付出、付出失衡、依赖、控制、忠诚度、关系结果或适配度；不得把某种照顾方式等同于爱得更多或更少。</x:v>
      </x:c>
      <x:c r="AA24" s="74" t="str">
        <x:v>高</x:v>
      </x:c>
      <x:c r="AB24" s="74" t="str">
        <x:v>待验证</x:v>
      </x:c>
      <x:c r="AC24" s="74" t="str"/>
      <x:c r="AD24" s="74" t="str">
        <x:v>provisional=true; rule_group=DEFINITION_20</x:v>
      </x:c>
      <x:c r="AE24" s="74" t="str">
        <x:v>0.4</x:v>
      </x:c>
    </x:row>
    <x:row r="25">
      <x:c r="A25" s="80" t="str">
        <x:v>M3-CARE-021</x:v>
      </x:c>
      <x:c r="B25" s="80" t="str">
        <x:v>比肩CARE通道｜CA01 并肩互助</x:v>
      </x:c>
      <x:c r="C25" s="80" t="str">
        <x:v>L1 十神CARE通道</x:v>
      </x:c>
      <x:c r="D25" s="80" t="str">
        <x:v>CARE-十神通道</x:v>
      </x:c>
      <x:c r="E25" s="80" t="str">
        <x:v>通用</x:v>
      </x:c>
      <x:c r="F25" s="80" t="str">
        <x:v>基础通道</x:v>
      </x:c>
      <x:c r="G25" s="74" t="str">
        <x:v>CA01 比肩 并肩互助</x:v>
      </x:c>
      <x:c r="H25" s="74" t="str"/>
      <x:c r="I25" s="74" t="str">
        <x:v>比肩为有效信号，且未被真合化替换；至少具备透干、有根、近位、日支参与或独立流向支持之一。</x:v>
      </x:c>
      <x:c r="J25" s="74" t="str">
        <x:v>比肩真合化后失效；仅有单一弱远无根信号；基础十神判定有争议。</x:v>
      </x:c>
      <x:c r="K25" s="74" t="str">
        <x:v>由共享基础引擎与M3-STATE修正</x:v>
      </x:c>
      <x:c r="L25" s="74" t="str">
        <x:v>不限定；夫妻星仅在形成独立CARE证据或入宫接口时参与</x:v>
      </x:c>
      <x:c r="M25" s="74" t="str">
        <x:v>由M3-BASE、日支结构及共享引擎提供</x:v>
      </x:c>
      <x:c r="N25" s="74" t="str">
        <x:v>CP03 共同投入型／CF02 并行支持</x:v>
      </x:c>
      <x:c r="O25" s="74" t="str">
        <x:v>全局有效信号；日柱及亲密关系近位优先</x:v>
      </x:c>
      <x:c r="P25" s="74" t="str">
        <x:v>由共享基础引擎判定</x:v>
      </x:c>
      <x:c r="Q25" s="74" t="str">
        <x:v>由共享基础引擎判定</x:v>
      </x:c>
      <x:c r="R25" s="74" t="str">
        <x:v>喜忌不直接等于愿不愿付出；只修正调用顺畅度与资源压力</x:v>
      </x:c>
      <x:c r="S25" s="74" t="str">
        <x:v>原十神性质有效；真合化成立时按化神路由</x:v>
      </x:c>
      <x:c r="T25" s="74" t="str">
        <x:v>由共享基础引擎判定</x:v>
      </x:c>
      <x:c r="U25" s="74" t="str">
        <x:v>76</x:v>
      </x:c>
      <x:c r="V25" s="74" t="str">
        <x:v>主CARE候选 +18</x:v>
      </x:c>
      <x:c r="W25" s="74" t="str">
        <x:v>primary_care_channel</x:v>
      </x:c>
      <x:c r="X25" s="74" t="str">
        <x:v>通过平等参与、分担任务、尊重选择和各自负责，把支持做成“我们一起处理”，而不是一方完全替另一方承担。</x:v>
      </x:c>
      <x:c r="Y25" s="74" t="str">
        <x:v>你更容易通过平等参与、分工、信息共享与自主支持来照顾关系。通过平等参与、分担任务、尊重选择和各自负责，把支持做成“我们一起处理”，而不是一方完全替另一方承担。</x:v>
      </x:c>
      <x:c r="Z25" s="74" t="str">
        <x:v>不得推出用户计较、冷淡、不愿照顾、凡事AA、缺乏亲密或一定拒绝依赖。</x:v>
      </x:c>
      <x:c r="AA25" s="74" t="str">
        <x:v>中高</x:v>
      </x:c>
      <x:c r="AB25" s="74" t="str">
        <x:v>待验证</x:v>
      </x:c>
      <x:c r="AC25" s="74" t="str"/>
      <x:c r="AD25" s="74" t="str">
        <x:v>provisional=true; channel_id=CA01; ten_god=比肩; aspect=base</x:v>
      </x:c>
      <x:c r="AE25" s="74" t="str">
        <x:v>0.4</x:v>
      </x:c>
    </x:row>
    <x:row r="26">
      <x:c r="A26" s="80" t="str">
        <x:v>M3-CARE-022</x:v>
      </x:c>
      <x:c r="B26" s="80" t="str">
        <x:v>比肩给予方式｜可观察支持行为</x:v>
      </x:c>
      <x:c r="C26" s="80" t="str">
        <x:v>L1 十神CARE通道</x:v>
      </x:c>
      <x:c r="D26" s="80" t="str">
        <x:v>CARE-十神通道</x:v>
      </x:c>
      <x:c r="E26" s="80" t="str">
        <x:v>通用</x:v>
      </x:c>
      <x:c r="F26" s="80" t="str">
        <x:v>行为证据</x:v>
      </x:c>
      <x:c r="G26" s="74" t="str">
        <x:v>CA01 比肩 并肩互助</x:v>
      </x:c>
      <x:c r="H26" s="74" t="str"/>
      <x:c r="I26" s="74" t="str">
        <x:v>比肩通道有效，并出现可观察的付出、照顾或支持行为。</x:v>
      </x:c>
      <x:c r="J26" s="74" t="str">
        <x:v>只有抽象标签而无行为证据；一次事件不足以判断长期连续性。</x:v>
      </x:c>
      <x:c r="K26" s="74" t="str">
        <x:v>由共享基础引擎与M3-STATE修正</x:v>
      </x:c>
      <x:c r="L26" s="74" t="str">
        <x:v>不限定；夫妻星仅在形成独立CARE证据或入宫接口时参与</x:v>
      </x:c>
      <x:c r="M26" s="74" t="str">
        <x:v>由M3-BASE、日支结构及共享引擎提供</x:v>
      </x:c>
      <x:c r="N26" s="74" t="str">
        <x:v>CP03 共同投入型／CF02 并行支持</x:v>
      </x:c>
      <x:c r="O26" s="74" t="str">
        <x:v>全局有效信号；日柱及亲密关系近位优先</x:v>
      </x:c>
      <x:c r="P26" s="74" t="str">
        <x:v>由共享基础引擎判定</x:v>
      </x:c>
      <x:c r="Q26" s="74" t="str">
        <x:v>由共享基础引擎判定</x:v>
      </x:c>
      <x:c r="R26" s="74" t="str">
        <x:v>喜忌不直接等于愿不愿付出；只修正调用顺畅度与资源压力</x:v>
      </x:c>
      <x:c r="S26" s="74" t="str">
        <x:v>原十神性质有效；真合化成立时按化神路由</x:v>
      </x:c>
      <x:c r="T26" s="74" t="str">
        <x:v>由共享基础引擎判定</x:v>
      </x:c>
      <x:c r="U26" s="74" t="str">
        <x:v>72</x:v>
      </x:c>
      <x:c r="V26" s="74" t="str">
        <x:v>行为证据 +8</x:v>
      </x:c>
      <x:c r="W26" s="74" t="str">
        <x:v>giving_content</x:v>
      </x:c>
      <x:c r="X26" s="74" t="str">
        <x:v>愿意并肩完成事情、共享信息、讨论分工、尊重对方自己处理的部分，并在需要时补位。</x:v>
      </x:c>
      <x:c r="Y26" s="74" t="str">
        <x:v>在实际相处中，你可能会愿意并肩完成事情、共享信息、讨论分工、尊重对方自己处理的部分，并在需要时补位。</x:v>
      </x:c>
      <x:c r="Z26" s="74" t="str">
        <x:v>不得推出用户计较、冷淡、不愿照顾、凡事AA、缺乏亲密或一定拒绝依赖。</x:v>
      </x:c>
      <x:c r="AA26" s="74" t="str">
        <x:v>中高</x:v>
      </x:c>
      <x:c r="AB26" s="74" t="str">
        <x:v>待验证</x:v>
      </x:c>
      <x:c r="AC26" s="74" t="str"/>
      <x:c r="AD26" s="74" t="str">
        <x:v>provisional=true; channel_id=CA01; ten_god=比肩; aspect=giving</x:v>
      </x:c>
      <x:c r="AE26" s="74" t="str">
        <x:v>0.4</x:v>
      </x:c>
    </x:row>
    <x:row r="27">
      <x:c r="A27" s="80" t="str">
        <x:v>M3-CARE-023</x:v>
      </x:c>
      <x:c r="B27" s="80" t="str">
        <x:v>比肩连续性｜稳定投入成立条件</x:v>
      </x:c>
      <x:c r="C27" s="80" t="str">
        <x:v>L1 十神CARE通道</x:v>
      </x:c>
      <x:c r="D27" s="80" t="str">
        <x:v>CARE-十神通道</x:v>
      </x:c>
      <x:c r="E27" s="80" t="str">
        <x:v>通用</x:v>
      </x:c>
      <x:c r="F27" s="80" t="str">
        <x:v>连续性</x:v>
      </x:c>
      <x:c r="G27" s="74" t="str">
        <x:v>CA01 比肩 并肩互助</x:v>
      </x:c>
      <x:c r="H27" s="74" t="str"/>
      <x:c r="I27" s="74" t="str">
        <x:v>比肩通道需要判断是否形成可重复CARE模式。</x:v>
      </x:c>
      <x:c r="J27" s="74" t="str">
        <x:v>只有单次事件、短期触发或流年覆盖且原局无支持。</x:v>
      </x:c>
      <x:c r="K27" s="74" t="str">
        <x:v>由共享基础引擎与M3-STATE修正</x:v>
      </x:c>
      <x:c r="L27" s="74" t="str">
        <x:v>不限定；夫妻星仅在形成独立CARE证据或入宫接口时参与</x:v>
      </x:c>
      <x:c r="M27" s="74" t="str">
        <x:v>由M3-BASE、日支结构及共享引擎提供</x:v>
      </x:c>
      <x:c r="N27" s="74" t="str">
        <x:v>CP03 共同投入型／CF02 并行支持</x:v>
      </x:c>
      <x:c r="O27" s="74" t="str">
        <x:v>全局有效信号；日柱及亲密关系近位优先</x:v>
      </x:c>
      <x:c r="P27" s="74" t="str">
        <x:v>由共享基础引擎判定</x:v>
      </x:c>
      <x:c r="Q27" s="74" t="str">
        <x:v>由共享基础引擎判定</x:v>
      </x:c>
      <x:c r="R27" s="74" t="str">
        <x:v>喜忌不直接等于愿不愿付出；只修正调用顺畅度与资源压力</x:v>
      </x:c>
      <x:c r="S27" s="74" t="str">
        <x:v>原十神性质有效；真合化成立时按化神路由</x:v>
      </x:c>
      <x:c r="T27" s="74" t="str">
        <x:v>由共享基础引擎判定</x:v>
      </x:c>
      <x:c r="U27" s="74" t="str">
        <x:v>68</x:v>
      </x:c>
      <x:c r="V27" s="74" t="str">
        <x:v>连续性按根气和重复证据 +0—8</x:v>
      </x:c>
      <x:c r="W27" s="74" t="str">
        <x:v>continuity_mode</x:v>
      </x:c>
      <x:c r="X27" s="74" t="str">
        <x:v>持续性通常来自清楚分工、双方都参与和各自责任可见；若只有单方要求而无协商，通道不宜直接判为稳定。</x:v>
      </x:c>
      <x:c r="Y27" s="74" t="str">
        <x:v>持续性通常来自清楚分工、双方都参与和各自责任可见；若只有单方要求而无协商，通道不宜直接判为稳定。</x:v>
      </x:c>
      <x:c r="Z27" s="74" t="str">
        <x:v>不得推出用户计较、冷淡、不愿照顾、凡事AA、缺乏亲密或一定拒绝依赖。</x:v>
      </x:c>
      <x:c r="AA27" s="74" t="str">
        <x:v>中</x:v>
      </x:c>
      <x:c r="AB27" s="74" t="str">
        <x:v>待验证</x:v>
      </x:c>
      <x:c r="AC27" s="74" t="str"/>
      <x:c r="AD27" s="74" t="str">
        <x:v>provisional=true; channel_id=CA01; ten_god=比肩; aspect=continuity</x:v>
      </x:c>
      <x:c r="AE27" s="74" t="str">
        <x:v>0.4</x:v>
      </x:c>
    </x:row>
    <x:row r="28">
      <x:c r="A28" s="80" t="str">
        <x:v>M3-CARE-024</x:v>
      </x:c>
      <x:c r="B28" s="80" t="str">
        <x:v>比肩请求支持｜怎样说出需要</x:v>
      </x:c>
      <x:c r="C28" s="80" t="str">
        <x:v>L1 十神CARE通道</x:v>
      </x:c>
      <x:c r="D28" s="80" t="str">
        <x:v>CARE-十神通道</x:v>
      </x:c>
      <x:c r="E28" s="80" t="str">
        <x:v>通用</x:v>
      </x:c>
      <x:c r="F28" s="80" t="str">
        <x:v>请求方式</x:v>
      </x:c>
      <x:c r="G28" s="74" t="str">
        <x:v>CA01 比肩 并肩互助</x:v>
      </x:c>
      <x:c r="H28" s="74" t="str"/>
      <x:c r="I28" s="74" t="str">
        <x:v>比肩在请求帮助或说明资源需要的功能中有效。</x:v>
      </x:c>
      <x:c r="J28" s="74" t="str">
        <x:v>仅凭一个十神推断用户一定会主动求助；没有表达或行为证据。</x:v>
      </x:c>
      <x:c r="K28" s="74" t="str">
        <x:v>由共享基础引擎与M3-STATE修正</x:v>
      </x:c>
      <x:c r="L28" s="74" t="str">
        <x:v>不限定；夫妻星仅在形成独立CARE证据或入宫接口时参与</x:v>
      </x:c>
      <x:c r="M28" s="74" t="str">
        <x:v>由M3-BASE、日支结构及共享引擎提供</x:v>
      </x:c>
      <x:c r="N28" s="74" t="str">
        <x:v>CP03 共同投入型／CF02 并行支持</x:v>
      </x:c>
      <x:c r="O28" s="74" t="str">
        <x:v>全局有效信号；日柱及亲密关系近位优先</x:v>
      </x:c>
      <x:c r="P28" s="74" t="str">
        <x:v>由共享基础引擎判定</x:v>
      </x:c>
      <x:c r="Q28" s="74" t="str">
        <x:v>由共享基础引擎判定</x:v>
      </x:c>
      <x:c r="R28" s="74" t="str">
        <x:v>喜忌不直接等于愿不愿付出；只修正调用顺畅度与资源压力</x:v>
      </x:c>
      <x:c r="S28" s="74" t="str">
        <x:v>原十神性质有效；真合化成立时按化神路由</x:v>
      </x:c>
      <x:c r="T28" s="74" t="str">
        <x:v>由共享基础引擎判定</x:v>
      </x:c>
      <x:c r="U28" s="74" t="str">
        <x:v>64</x:v>
      </x:c>
      <x:c r="V28" s="74" t="str">
        <x:v>请求方式候选 +4</x:v>
      </x:c>
      <x:c r="W28" s="74" t="str">
        <x:v>support_request_style</x:v>
      </x:c>
      <x:c r="X28" s="74" t="str">
        <x:v>更容易把求助说成具体协作，例如“这部分能不能一起处理”或“我需要你负责哪一段”。</x:v>
      </x:c>
      <x:c r="Y28" s="74" t="str">
        <x:v>当你需要支持时，更容易把求助说成具体协作，例如“这部分能不能一起处理”或“我需要你负责哪一段”。</x:v>
      </x:c>
      <x:c r="Z28" s="74" t="str">
        <x:v>不得推出用户计较、冷淡、不愿照顾、凡事AA、缺乏亲密或一定拒绝依赖。</x:v>
      </x:c>
      <x:c r="AA28" s="74" t="str">
        <x:v>中</x:v>
      </x:c>
      <x:c r="AB28" s="74" t="str">
        <x:v>待验证</x:v>
      </x:c>
      <x:c r="AC28" s="74" t="str"/>
      <x:c r="AD28" s="74" t="str">
        <x:v>provisional=true; channel_id=CA01; ten_god=比肩; aspect=request</x:v>
      </x:c>
      <x:c r="AE28" s="74" t="str">
        <x:v>0.4</x:v>
      </x:c>
    </x:row>
    <x:row r="29">
      <x:c r="A29" s="80" t="str">
        <x:v>M3-CARE-025</x:v>
      </x:c>
      <x:c r="B29" s="80" t="str">
        <x:v>比肩接受支持｜什么帮助更容易被接收</x:v>
      </x:c>
      <x:c r="C29" s="80" t="str">
        <x:v>L1 十神CARE通道</x:v>
      </x:c>
      <x:c r="D29" s="80" t="str">
        <x:v>CARE-十神通道</x:v>
      </x:c>
      <x:c r="E29" s="80" t="str">
        <x:v>通用</x:v>
      </x:c>
      <x:c r="F29" s="80" t="str">
        <x:v>接受方式</x:v>
      </x:c>
      <x:c r="G29" s="74" t="str">
        <x:v>CA01 比肩 并肩互助</x:v>
      </x:c>
      <x:c r="H29" s="74" t="str"/>
      <x:c r="I29" s="74" t="str">
        <x:v>比肩在接收、识别或评价支持的功能中有效。</x:v>
      </x:c>
      <x:c r="J29" s="74" t="str">
        <x:v>把M2选择标准直接当作M3接受支持习惯；只有单一弱远信号。</x:v>
      </x:c>
      <x:c r="K29" s="74" t="str">
        <x:v>由共享基础引擎与M3-STATE修正</x:v>
      </x:c>
      <x:c r="L29" s="74" t="str">
        <x:v>不限定；夫妻星仅在形成独立CARE证据或入宫接口时参与</x:v>
      </x:c>
      <x:c r="M29" s="74" t="str">
        <x:v>由M3-BASE、日支结构及共享引擎提供</x:v>
      </x:c>
      <x:c r="N29" s="74" t="str">
        <x:v>CP03 共同投入型／CF02 并行支持</x:v>
      </x:c>
      <x:c r="O29" s="74" t="str">
        <x:v>全局有效信号；日柱及亲密关系近位优先</x:v>
      </x:c>
      <x:c r="P29" s="74" t="str">
        <x:v>由共享基础引擎判定</x:v>
      </x:c>
      <x:c r="Q29" s="74" t="str">
        <x:v>由共享基础引擎判定</x:v>
      </x:c>
      <x:c r="R29" s="74" t="str">
        <x:v>喜忌不直接等于愿不愿付出；只修正调用顺畅度与资源压力</x:v>
      </x:c>
      <x:c r="S29" s="74" t="str">
        <x:v>原十神性质有效；真合化成立时按化神路由</x:v>
      </x:c>
      <x:c r="T29" s="74" t="str">
        <x:v>由共享基础引擎判定</x:v>
      </x:c>
      <x:c r="U29" s="74" t="str">
        <x:v>63</x:v>
      </x:c>
      <x:c r="V29" s="74" t="str">
        <x:v>接受方式候选 +4</x:v>
      </x:c>
      <x:c r="W29" s="74" t="str">
        <x:v>support_receiving_style</x:v>
      </x:c>
      <x:c r="X29" s="74" t="str">
        <x:v>更容易接受不替自己做决定、不过度接管、允许自己保留能力和选择权的帮助。</x:v>
      </x:c>
      <x:c r="Y29" s="74" t="str">
        <x:v>你更容易把不替自己做决定、不过度接管、允许自己保留能力和选择权的帮助。感知为真正有帮助。</x:v>
      </x:c>
      <x:c r="Z29" s="74" t="str">
        <x:v>不得推出用户计较、冷淡、不愿照顾、凡事AA、缺乏亲密或一定拒绝依赖。</x:v>
      </x:c>
      <x:c r="AA29" s="74" t="str">
        <x:v>中</x:v>
      </x:c>
      <x:c r="AB29" s="74" t="str">
        <x:v>待验证</x:v>
      </x:c>
      <x:c r="AC29" s="74" t="str"/>
      <x:c r="AD29" s="74" t="str">
        <x:v>provisional=true; channel_id=CA01; ten_god=比肩; aspect=receive</x:v>
      </x:c>
      <x:c r="AE29" s="74" t="str">
        <x:v>0.4</x:v>
      </x:c>
    </x:row>
    <x:row r="30">
      <x:c r="A30" s="80" t="str">
        <x:v>M3-CARE-026</x:v>
      </x:c>
      <x:c r="B30" s="80" t="str">
        <x:v>比肩状态修正｜平衡与抢先启动</x:v>
      </x:c>
      <x:c r="C30" s="80" t="str">
        <x:v>L1 十神CARE通道</x:v>
      </x:c>
      <x:c r="D30" s="80" t="str">
        <x:v>CARE-十神通道</x:v>
      </x:c>
      <x:c r="E30" s="80" t="str">
        <x:v>通用</x:v>
      </x:c>
      <x:c r="F30" s="80" t="str">
        <x:v>状态修正</x:v>
      </x:c>
      <x:c r="G30" s="74" t="str">
        <x:v>CA01 比肩 并肩互助</x:v>
      </x:c>
      <x:c r="H30" s="74" t="str"/>
      <x:c r="I30" s="74" t="str">
        <x:v>比肩通道强度已由共享引擎判定为平衡、过旺或抢先启动。</x:v>
      </x:c>
      <x:c r="J30" s="74" t="str">
        <x:v>旺衰未定；把过旺直接解释为过度付出或风险。</x:v>
      </x:c>
      <x:c r="K30" s="74" t="str">
        <x:v>由共享基础引擎与M3-STATE修正</x:v>
      </x:c>
      <x:c r="L30" s="74" t="str">
        <x:v>不限定；夫妻星仅在形成独立CARE证据或入宫接口时参与</x:v>
      </x:c>
      <x:c r="M30" s="74" t="str">
        <x:v>由M3-BASE、日支结构及共享引擎提供</x:v>
      </x:c>
      <x:c r="N30" s="74" t="str">
        <x:v>CP03 共同投入型／CF02 并行支持</x:v>
      </x:c>
      <x:c r="O30" s="74" t="str">
        <x:v>全局有效信号；日柱及亲密关系近位优先</x:v>
      </x:c>
      <x:c r="P30" s="74" t="str">
        <x:v>由共享基础引擎判定</x:v>
      </x:c>
      <x:c r="Q30" s="74" t="str">
        <x:v>由共享基础引擎判定</x:v>
      </x:c>
      <x:c r="R30" s="74" t="str">
        <x:v>喜忌不直接等于愿不愿付出；只修正调用顺畅度与资源压力</x:v>
      </x:c>
      <x:c r="S30" s="74" t="str">
        <x:v>原十神性质有效；真合化成立时按化神路由</x:v>
      </x:c>
      <x:c r="T30" s="74" t="str">
        <x:v>由共享基础引擎判定</x:v>
      </x:c>
      <x:c r="U30" s="74" t="str">
        <x:v>59</x:v>
      </x:c>
      <x:c r="V30" s="74" t="str">
        <x:v>修正强度，不新增独立证据</x:v>
      </x:c>
      <x:c r="W30" s="74" t="str">
        <x:v>state_shift</x:v>
      </x:c>
      <x:c r="X30" s="74" t="str">
        <x:v>平衡时呈现为互相尊重、各自有位置的合作；过旺或抢先启动时，只能说用户更倾向自己把分工和边界先定清楚。</x:v>
      </x:c>
      <x:c r="Y30" s="74" t="str">
        <x:v>平衡时呈现为互相尊重、各自有位置的合作；过旺或抢先启动时，只能说用户更倾向自己把分工和边界先定清楚。</x:v>
      </x:c>
      <x:c r="Z30" s="74" t="str">
        <x:v>不得推出用户计较、冷淡、不愿照顾、凡事AA、缺乏亲密或一定拒绝依赖。</x:v>
      </x:c>
      <x:c r="AA30" s="74" t="str">
        <x:v>中</x:v>
      </x:c>
      <x:c r="AB30" s="74" t="str">
        <x:v>待验证</x:v>
      </x:c>
      <x:c r="AC30" s="74" t="str"/>
      <x:c r="AD30" s="74" t="str">
        <x:v>provisional=true; channel_id=CA01; ten_god=比肩; aspect=state</x:v>
      </x:c>
      <x:c r="AE30" s="74" t="str">
        <x:v>0.4</x:v>
      </x:c>
    </x:row>
    <x:row r="31">
      <x:c r="A31" s="80" t="str">
        <x:v>M3-CARE-027</x:v>
      </x:c>
      <x:c r="B31" s="80" t="str">
        <x:v>比肩禁止误读｜并肩互助边界</x:v>
      </x:c>
      <x:c r="C31" s="80" t="str">
        <x:v>L1 十神CARE通道</x:v>
      </x:c>
      <x:c r="D31" s="80" t="str">
        <x:v>CARE-十神通道</x:v>
      </x:c>
      <x:c r="E31" s="80" t="str">
        <x:v>通用</x:v>
      </x:c>
      <x:c r="F31" s="80" t="str">
        <x:v>禁止推断</x:v>
      </x:c>
      <x:c r="G31" s="74" t="str">
        <x:v>CA01 比肩 并肩互助</x:v>
      </x:c>
      <x:c r="H31" s="74" t="str"/>
      <x:c r="I31" s="74" t="str">
        <x:v>正在把比肩CARE通道翻译为用户语言。</x:v>
      </x:c>
      <x:c r="J31" s="74" t="str">
        <x:v>无</x:v>
      </x:c>
      <x:c r="K31" s="74" t="str">
        <x:v>由共享基础引擎与M3-STATE修正</x:v>
      </x:c>
      <x:c r="L31" s="74" t="str">
        <x:v>不限定；夫妻星仅在形成独立CARE证据或入宫接口时参与</x:v>
      </x:c>
      <x:c r="M31" s="74" t="str">
        <x:v>由M3-BASE、日支结构及共享引擎提供</x:v>
      </x:c>
      <x:c r="N31" s="74" t="str">
        <x:v>CP03 共同投入型／CF02 并行支持</x:v>
      </x:c>
      <x:c r="O31" s="74" t="str">
        <x:v>全局有效信号；日柱及亲密关系近位优先</x:v>
      </x:c>
      <x:c r="P31" s="74" t="str">
        <x:v>由共享基础引擎判定</x:v>
      </x:c>
      <x:c r="Q31" s="74" t="str">
        <x:v>由共享基础引擎判定</x:v>
      </x:c>
      <x:c r="R31" s="74" t="str">
        <x:v>喜忌不直接等于愿不愿付出；只修正调用顺畅度与资源压力</x:v>
      </x:c>
      <x:c r="S31" s="74" t="str">
        <x:v>原十神性质有效；真合化成立时按化神路由</x:v>
      </x:c>
      <x:c r="T31" s="74" t="str">
        <x:v>由共享基础引擎判定</x:v>
      </x:c>
      <x:c r="U31" s="74" t="str">
        <x:v>58</x:v>
      </x:c>
      <x:c r="V31" s="74" t="str">
        <x:v>不加分；边界检查</x:v>
      </x:c>
      <x:c r="W31" s="74" t="str">
        <x:v>boundary_note</x:v>
      </x:c>
      <x:c r="X31" s="74" t="str">
        <x:v>比肩只提供平等参与、分工、信息共享与自主支持这一支持功能，不能越界到人格好坏、关系风险或结果。</x:v>
      </x:c>
      <x:c r="Y31" s="74" t="str">
        <x:v>这里描述的是你可能更常使用的支持方式，不代表你只能这样照顾人，也不代表其他方式一定缺失。</x:v>
      </x:c>
      <x:c r="Z31" s="74" t="str">
        <x:v>不得推出用户计较、冷淡、不愿照顾、凡事AA、缺乏亲密或一定拒绝依赖。</x:v>
      </x:c>
      <x:c r="AA31" s="74" t="str">
        <x:v>高</x:v>
      </x:c>
      <x:c r="AB31" s="74" t="str">
        <x:v>待验证</x:v>
      </x:c>
      <x:c r="AC31" s="74" t="str"/>
      <x:c r="AD31" s="74" t="str">
        <x:v>provisional=true; channel_id=CA01; ten_god=比肩; aspect=boundary</x:v>
      </x:c>
      <x:c r="AE31" s="74" t="str">
        <x:v>0.4</x:v>
      </x:c>
    </x:row>
    <x:row r="32">
      <x:c r="A32" s="80" t="str">
        <x:v>M3-CARE-028</x:v>
      </x:c>
      <x:c r="B32" s="80" t="str">
        <x:v>劫财CARE通道｜CA02 即时协作</x:v>
      </x:c>
      <x:c r="C32" s="80" t="str">
        <x:v>L1 十神CARE通道</x:v>
      </x:c>
      <x:c r="D32" s="80" t="str">
        <x:v>CARE-十神通道</x:v>
      </x:c>
      <x:c r="E32" s="80" t="str">
        <x:v>通用</x:v>
      </x:c>
      <x:c r="F32" s="80" t="str">
        <x:v>基础通道</x:v>
      </x:c>
      <x:c r="G32" s="74" t="str">
        <x:v>CA02 劫财 即时协作</x:v>
      </x:c>
      <x:c r="H32" s="74" t="str"/>
      <x:c r="I32" s="74" t="str">
        <x:v>劫财为有效信号，且未被真合化替换；至少具备透干、有根、近位、日支参与或独立流向支持之一。</x:v>
      </x:c>
      <x:c r="J32" s="74" t="str">
        <x:v>劫财真合化后失效；仅有单一弱远无根信号；基础十神判定有争议。</x:v>
      </x:c>
      <x:c r="K32" s="74" t="str">
        <x:v>由共享基础引擎与M3-STATE修正</x:v>
      </x:c>
      <x:c r="L32" s="74" t="str">
        <x:v>不限定；夫妻星仅在形成独立CARE证据或入宫接口时参与</x:v>
      </x:c>
      <x:c r="M32" s="74" t="str">
        <x:v>由M3-BASE、日支结构及共享引擎提供</x:v>
      </x:c>
      <x:c r="N32" s="74" t="str">
        <x:v>CP03 共同投入型／CP09 行动保护型</x:v>
      </x:c>
      <x:c r="O32" s="74" t="str">
        <x:v>全局有效信号；日柱及亲密关系近位优先</x:v>
      </x:c>
      <x:c r="P32" s="74" t="str">
        <x:v>由共享基础引擎判定</x:v>
      </x:c>
      <x:c r="Q32" s="74" t="str">
        <x:v>由共享基础引擎判定</x:v>
      </x:c>
      <x:c r="R32" s="74" t="str">
        <x:v>喜忌不直接等于愿不愿付出；只修正调用顺畅度与资源压力</x:v>
      </x:c>
      <x:c r="S32" s="74" t="str">
        <x:v>原十神性质有效；真合化成立时按化神路由</x:v>
      </x:c>
      <x:c r="T32" s="74" t="str">
        <x:v>由共享基础引擎判定</x:v>
      </x:c>
      <x:c r="U32" s="74" t="str">
        <x:v>76</x:v>
      </x:c>
      <x:c r="V32" s="74" t="str">
        <x:v>主CARE候选 +18</x:v>
      </x:c>
      <x:c r="W32" s="74" t="str">
        <x:v>primary_care_channel</x:v>
      </x:c>
      <x:c r="X32" s="74" t="str">
        <x:v>通过快速加入、调动资源、共同执行和现场补位提供支持，重视“需要的时候我能马上参与”。</x:v>
      </x:c>
      <x:c r="Y32" s="74" t="str">
        <x:v>你更容易通过即时响应、共同执行、资源动员与现场补位来照顾关系。通过快速加入、调动资源、共同执行和现场补位提供支持，重视“需要的时候我能马上参与”。</x:v>
      </x:c>
      <x:c r="Z32" s="74" t="str">
        <x:v>不得推出用户争抢、冲动花钱、爱竞争、关系中有第三者、资源一定失控或无法长期坚持。</x:v>
      </x:c>
      <x:c r="AA32" s="74" t="str">
        <x:v>中高</x:v>
      </x:c>
      <x:c r="AB32" s="74" t="str">
        <x:v>待验证</x:v>
      </x:c>
      <x:c r="AC32" s="74" t="str"/>
      <x:c r="AD32" s="74" t="str">
        <x:v>provisional=true; channel_id=CA02; ten_god=劫财; aspect=base</x:v>
      </x:c>
      <x:c r="AE32" s="74" t="str">
        <x:v>0.4</x:v>
      </x:c>
    </x:row>
    <x:row r="33">
      <x:c r="A33" s="80" t="str">
        <x:v>M3-CARE-029</x:v>
      </x:c>
      <x:c r="B33" s="80" t="str">
        <x:v>劫财给予方式｜可观察支持行为</x:v>
      </x:c>
      <x:c r="C33" s="80" t="str">
        <x:v>L1 十神CARE通道</x:v>
      </x:c>
      <x:c r="D33" s="80" t="str">
        <x:v>CARE-十神通道</x:v>
      </x:c>
      <x:c r="E33" s="80" t="str">
        <x:v>通用</x:v>
      </x:c>
      <x:c r="F33" s="80" t="str">
        <x:v>行为证据</x:v>
      </x:c>
      <x:c r="G33" s="74" t="str">
        <x:v>CA02 劫财 即时协作</x:v>
      </x:c>
      <x:c r="H33" s="74" t="str"/>
      <x:c r="I33" s="74" t="str">
        <x:v>劫财通道有效，并出现可观察的付出、照顾或支持行为。</x:v>
      </x:c>
      <x:c r="J33" s="74" t="str">
        <x:v>只有抽象标签而无行为证据；一次事件不足以判断长期连续性。</x:v>
      </x:c>
      <x:c r="K33" s="74" t="str">
        <x:v>由共享基础引擎与M3-STATE修正</x:v>
      </x:c>
      <x:c r="L33" s="74" t="str">
        <x:v>不限定；夫妻星仅在形成独立CARE证据或入宫接口时参与</x:v>
      </x:c>
      <x:c r="M33" s="74" t="str">
        <x:v>由M3-BASE、日支结构及共享引擎提供</x:v>
      </x:c>
      <x:c r="N33" s="74" t="str">
        <x:v>CP03 共同投入型／CP09 行动保护型</x:v>
      </x:c>
      <x:c r="O33" s="74" t="str">
        <x:v>全局有效信号；日柱及亲密关系近位优先</x:v>
      </x:c>
      <x:c r="P33" s="74" t="str">
        <x:v>由共享基础引擎判定</x:v>
      </x:c>
      <x:c r="Q33" s="74" t="str">
        <x:v>由共享基础引擎判定</x:v>
      </x:c>
      <x:c r="R33" s="74" t="str">
        <x:v>喜忌不直接等于愿不愿付出；只修正调用顺畅度与资源压力</x:v>
      </x:c>
      <x:c r="S33" s="74" t="str">
        <x:v>原十神性质有效；真合化成立时按化神路由</x:v>
      </x:c>
      <x:c r="T33" s="74" t="str">
        <x:v>由共享基础引擎判定</x:v>
      </x:c>
      <x:c r="U33" s="74" t="str">
        <x:v>72</x:v>
      </x:c>
      <x:c r="V33" s="74" t="str">
        <x:v>行为证据 +8</x:v>
      </x:c>
      <x:c r="W33" s="74" t="str">
        <x:v>giving_content</x:v>
      </x:c>
      <x:c r="X33" s="74" t="str">
        <x:v>遇到事情时会主动出现、一起跑流程、联系资源、推动进度，或直接加入对方正在做的事。</x:v>
      </x:c>
      <x:c r="Y33" s="74" t="str">
        <x:v>在实际相处中，你可能会遇到事情时会主动出现、一起跑流程、联系资源、推动进度，或直接加入对方正在做的事。</x:v>
      </x:c>
      <x:c r="Z33" s="74" t="str">
        <x:v>不得推出用户争抢、冲动花钱、爱竞争、关系中有第三者、资源一定失控或无法长期坚持。</x:v>
      </x:c>
      <x:c r="AA33" s="74" t="str">
        <x:v>中高</x:v>
      </x:c>
      <x:c r="AB33" s="74" t="str">
        <x:v>待验证</x:v>
      </x:c>
      <x:c r="AC33" s="74" t="str"/>
      <x:c r="AD33" s="74" t="str">
        <x:v>provisional=true; channel_id=CA02; ten_god=劫财; aspect=giving</x:v>
      </x:c>
      <x:c r="AE33" s="74" t="str">
        <x:v>0.4</x:v>
      </x:c>
    </x:row>
    <x:row r="34">
      <x:c r="A34" s="80" t="str">
        <x:v>M3-CARE-030</x:v>
      </x:c>
      <x:c r="B34" s="80" t="str">
        <x:v>劫财连续性｜稳定投入成立条件</x:v>
      </x:c>
      <x:c r="C34" s="80" t="str">
        <x:v>L1 十神CARE通道</x:v>
      </x:c>
      <x:c r="D34" s="80" t="str">
        <x:v>CARE-十神通道</x:v>
      </x:c>
      <x:c r="E34" s="80" t="str">
        <x:v>通用</x:v>
      </x:c>
      <x:c r="F34" s="80" t="str">
        <x:v>连续性</x:v>
      </x:c>
      <x:c r="G34" s="74" t="str">
        <x:v>CA02 劫财 即时协作</x:v>
      </x:c>
      <x:c r="H34" s="74" t="str"/>
      <x:c r="I34" s="74" t="str">
        <x:v>劫财通道需要判断是否形成可重复CARE模式。</x:v>
      </x:c>
      <x:c r="J34" s="74" t="str">
        <x:v>只有单次事件、短期触发或流年覆盖且原局无支持。</x:v>
      </x:c>
      <x:c r="K34" s="74" t="str">
        <x:v>由共享基础引擎与M3-STATE修正</x:v>
      </x:c>
      <x:c r="L34" s="74" t="str">
        <x:v>不限定；夫妻星仅在形成独立CARE证据或入宫接口时参与</x:v>
      </x:c>
      <x:c r="M34" s="74" t="str">
        <x:v>由M3-BASE、日支结构及共享引擎提供</x:v>
      </x:c>
      <x:c r="N34" s="74" t="str">
        <x:v>CP03 共同投入型／CP09 行动保护型</x:v>
      </x:c>
      <x:c r="O34" s="74" t="str">
        <x:v>全局有效信号；日柱及亲密关系近位优先</x:v>
      </x:c>
      <x:c r="P34" s="74" t="str">
        <x:v>由共享基础引擎判定</x:v>
      </x:c>
      <x:c r="Q34" s="74" t="str">
        <x:v>由共享基础引擎判定</x:v>
      </x:c>
      <x:c r="R34" s="74" t="str">
        <x:v>喜忌不直接等于愿不愿付出；只修正调用顺畅度与资源压力</x:v>
      </x:c>
      <x:c r="S34" s="74" t="str">
        <x:v>原十神性质有效；真合化成立时按化神路由</x:v>
      </x:c>
      <x:c r="T34" s="74" t="str">
        <x:v>由共享基础引擎判定</x:v>
      </x:c>
      <x:c r="U34" s="74" t="str">
        <x:v>68</x:v>
      </x:c>
      <x:c r="V34" s="74" t="str">
        <x:v>连续性按根气和重复证据 +0—8</x:v>
      </x:c>
      <x:c r="W34" s="74" t="str">
        <x:v>continuity_mode</x:v>
      </x:c>
      <x:c r="X34" s="74" t="str">
        <x:v>更容易在明确任务、共同目标或紧迫情境中持续；是否能转为日常稳定投入，需要财星、官杀或根气的独立支持。</x:v>
      </x:c>
      <x:c r="Y34" s="74" t="str">
        <x:v>更容易在明确任务、共同目标或紧迫情境中持续；是否能转为日常稳定投入，需要财星、官杀或根气的独立支持。</x:v>
      </x:c>
      <x:c r="Z34" s="74" t="str">
        <x:v>不得推出用户争抢、冲动花钱、爱竞争、关系中有第三者、资源一定失控或无法长期坚持。</x:v>
      </x:c>
      <x:c r="AA34" s="74" t="str">
        <x:v>中</x:v>
      </x:c>
      <x:c r="AB34" s="74" t="str">
        <x:v>待验证</x:v>
      </x:c>
      <x:c r="AC34" s="74" t="str"/>
      <x:c r="AD34" s="74" t="str">
        <x:v>provisional=true; channel_id=CA02; ten_god=劫财; aspect=continuity</x:v>
      </x:c>
      <x:c r="AE34" s="74" t="str">
        <x:v>0.4</x:v>
      </x:c>
    </x:row>
    <x:row r="35">
      <x:c r="A35" s="80" t="str">
        <x:v>M3-CARE-031</x:v>
      </x:c>
      <x:c r="B35" s="80" t="str">
        <x:v>劫财请求支持｜怎样说出需要</x:v>
      </x:c>
      <x:c r="C35" s="80" t="str">
        <x:v>L1 十神CARE通道</x:v>
      </x:c>
      <x:c r="D35" s="80" t="str">
        <x:v>CARE-十神通道</x:v>
      </x:c>
      <x:c r="E35" s="80" t="str">
        <x:v>通用</x:v>
      </x:c>
      <x:c r="F35" s="80" t="str">
        <x:v>请求方式</x:v>
      </x:c>
      <x:c r="G35" s="74" t="str">
        <x:v>CA02 劫财 即时协作</x:v>
      </x:c>
      <x:c r="H35" s="74" t="str"/>
      <x:c r="I35" s="74" t="str">
        <x:v>劫财在请求帮助或说明资源需要的功能中有效。</x:v>
      </x:c>
      <x:c r="J35" s="74" t="str">
        <x:v>仅凭一个十神推断用户一定会主动求助；没有表达或行为证据。</x:v>
      </x:c>
      <x:c r="K35" s="74" t="str">
        <x:v>由共享基础引擎与M3-STATE修正</x:v>
      </x:c>
      <x:c r="L35" s="74" t="str">
        <x:v>不限定；夫妻星仅在形成独立CARE证据或入宫接口时参与</x:v>
      </x:c>
      <x:c r="M35" s="74" t="str">
        <x:v>由M3-BASE、日支结构及共享引擎提供</x:v>
      </x:c>
      <x:c r="N35" s="74" t="str">
        <x:v>CP03 共同投入型／CP09 行动保护型</x:v>
      </x:c>
      <x:c r="O35" s="74" t="str">
        <x:v>全局有效信号；日柱及亲密关系近位优先</x:v>
      </x:c>
      <x:c r="P35" s="74" t="str">
        <x:v>由共享基础引擎判定</x:v>
      </x:c>
      <x:c r="Q35" s="74" t="str">
        <x:v>由共享基础引擎判定</x:v>
      </x:c>
      <x:c r="R35" s="74" t="str">
        <x:v>喜忌不直接等于愿不愿付出；只修正调用顺畅度与资源压力</x:v>
      </x:c>
      <x:c r="S35" s="74" t="str">
        <x:v>原十神性质有效；真合化成立时按化神路由</x:v>
      </x:c>
      <x:c r="T35" s="74" t="str">
        <x:v>由共享基础引擎判定</x:v>
      </x:c>
      <x:c r="U35" s="74" t="str">
        <x:v>64</x:v>
      </x:c>
      <x:c r="V35" s="74" t="str">
        <x:v>请求方式候选 +4</x:v>
      </x:c>
      <x:c r="W35" s="74" t="str">
        <x:v>support_request_style</x:v>
      </x:c>
      <x:c r="X35" s="74" t="str">
        <x:v>求助常以直接邀约、即时任务或共同挑战出现，希望对方尽快回应并一起动起来。</x:v>
      </x:c>
      <x:c r="Y35" s="74" t="str">
        <x:v>当你需要支持时，求助常以直接邀约、即时任务或共同挑战出现，希望对方尽快回应并一起动起来。</x:v>
      </x:c>
      <x:c r="Z35" s="74" t="str">
        <x:v>不得推出用户争抢、冲动花钱、爱竞争、关系中有第三者、资源一定失控或无法长期坚持。</x:v>
      </x:c>
      <x:c r="AA35" s="74" t="str">
        <x:v>中</x:v>
      </x:c>
      <x:c r="AB35" s="74" t="str">
        <x:v>待验证</x:v>
      </x:c>
      <x:c r="AC35" s="74" t="str"/>
      <x:c r="AD35" s="74" t="str">
        <x:v>provisional=true; channel_id=CA02; ten_god=劫财; aspect=request</x:v>
      </x:c>
      <x:c r="AE35" s="74" t="str">
        <x:v>0.4</x:v>
      </x:c>
    </x:row>
    <x:row r="36">
      <x:c r="A36" s="80" t="str">
        <x:v>M3-CARE-032</x:v>
      </x:c>
      <x:c r="B36" s="80" t="str">
        <x:v>劫财接受支持｜什么帮助更容易被接收</x:v>
      </x:c>
      <x:c r="C36" s="80" t="str">
        <x:v>L1 十神CARE通道</x:v>
      </x:c>
      <x:c r="D36" s="80" t="str">
        <x:v>CARE-十神通道</x:v>
      </x:c>
      <x:c r="E36" s="80" t="str">
        <x:v>通用</x:v>
      </x:c>
      <x:c r="F36" s="80" t="str">
        <x:v>接受方式</x:v>
      </x:c>
      <x:c r="G36" s="74" t="str">
        <x:v>CA02 劫财 即时协作</x:v>
      </x:c>
      <x:c r="H36" s="74" t="str"/>
      <x:c r="I36" s="74" t="str">
        <x:v>劫财在接收、识别或评价支持的功能中有效。</x:v>
      </x:c>
      <x:c r="J36" s="74" t="str">
        <x:v>把M2选择标准直接当作M3接受支持习惯；只有单一弱远信号。</x:v>
      </x:c>
      <x:c r="K36" s="74" t="str">
        <x:v>由共享基础引擎与M3-STATE修正</x:v>
      </x:c>
      <x:c r="L36" s="74" t="str">
        <x:v>不限定；夫妻星仅在形成独立CARE证据或入宫接口时参与</x:v>
      </x:c>
      <x:c r="M36" s="74" t="str">
        <x:v>由M3-BASE、日支结构及共享引擎提供</x:v>
      </x:c>
      <x:c r="N36" s="74" t="str">
        <x:v>CP03 共同投入型／CP09 行动保护型</x:v>
      </x:c>
      <x:c r="O36" s="74" t="str">
        <x:v>全局有效信号；日柱及亲密关系近位优先</x:v>
      </x:c>
      <x:c r="P36" s="74" t="str">
        <x:v>由共享基础引擎判定</x:v>
      </x:c>
      <x:c r="Q36" s="74" t="str">
        <x:v>由共享基础引擎判定</x:v>
      </x:c>
      <x:c r="R36" s="74" t="str">
        <x:v>喜忌不直接等于愿不愿付出；只修正调用顺畅度与资源压力</x:v>
      </x:c>
      <x:c r="S36" s="74" t="str">
        <x:v>原十神性质有效；真合化成立时按化神路由</x:v>
      </x:c>
      <x:c r="T36" s="74" t="str">
        <x:v>由共享基础引擎判定</x:v>
      </x:c>
      <x:c r="U36" s="74" t="str">
        <x:v>63</x:v>
      </x:c>
      <x:c r="V36" s="74" t="str">
        <x:v>接受方式候选 +4</x:v>
      </x:c>
      <x:c r="W36" s="74" t="str">
        <x:v>support_receiving_style</x:v>
      </x:c>
      <x:c r="X36" s="74" t="str">
        <x:v>更容易接受能马上参与、提供资源、共同承担现场任务的支持；过度说教但不行动未必容易被感知为帮助。</x:v>
      </x:c>
      <x:c r="Y36" s="74" t="str">
        <x:v>你更容易把能马上参与、提供资源、共同承担现场任务的支持；过度说教但不行动未必容易被感知为帮助。感知为真正有帮助。</x:v>
      </x:c>
      <x:c r="Z36" s="74" t="str">
        <x:v>不得推出用户争抢、冲动花钱、爱竞争、关系中有第三者、资源一定失控或无法长期坚持。</x:v>
      </x:c>
      <x:c r="AA36" s="74" t="str">
        <x:v>中</x:v>
      </x:c>
      <x:c r="AB36" s="74" t="str">
        <x:v>待验证</x:v>
      </x:c>
      <x:c r="AC36" s="74" t="str"/>
      <x:c r="AD36" s="74" t="str">
        <x:v>provisional=true; channel_id=CA02; ten_god=劫财; aspect=receive</x:v>
      </x:c>
      <x:c r="AE36" s="74" t="str">
        <x:v>0.4</x:v>
      </x:c>
    </x:row>
    <x:row r="37">
      <x:c r="A37" s="80" t="str">
        <x:v>M3-CARE-033</x:v>
      </x:c>
      <x:c r="B37" s="80" t="str">
        <x:v>劫财状态修正｜平衡与抢先启动</x:v>
      </x:c>
      <x:c r="C37" s="80" t="str">
        <x:v>L1 十神CARE通道</x:v>
      </x:c>
      <x:c r="D37" s="80" t="str">
        <x:v>CARE-十神通道</x:v>
      </x:c>
      <x:c r="E37" s="80" t="str">
        <x:v>通用</x:v>
      </x:c>
      <x:c r="F37" s="80" t="str">
        <x:v>状态修正</x:v>
      </x:c>
      <x:c r="G37" s="74" t="str">
        <x:v>CA02 劫财 即时协作</x:v>
      </x:c>
      <x:c r="H37" s="74" t="str"/>
      <x:c r="I37" s="74" t="str">
        <x:v>劫财通道强度已由共享引擎判定为平衡、过旺或抢先启动。</x:v>
      </x:c>
      <x:c r="J37" s="74" t="str">
        <x:v>旺衰未定；把过旺直接解释为过度付出或风险。</x:v>
      </x:c>
      <x:c r="K37" s="74" t="str">
        <x:v>由共享基础引擎与M3-STATE修正</x:v>
      </x:c>
      <x:c r="L37" s="74" t="str">
        <x:v>不限定；夫妻星仅在形成独立CARE证据或入宫接口时参与</x:v>
      </x:c>
      <x:c r="M37" s="74" t="str">
        <x:v>由M3-BASE、日支结构及共享引擎提供</x:v>
      </x:c>
      <x:c r="N37" s="74" t="str">
        <x:v>CP03 共同投入型／CP09 行动保护型</x:v>
      </x:c>
      <x:c r="O37" s="74" t="str">
        <x:v>全局有效信号；日柱及亲密关系近位优先</x:v>
      </x:c>
      <x:c r="P37" s="74" t="str">
        <x:v>由共享基础引擎判定</x:v>
      </x:c>
      <x:c r="Q37" s="74" t="str">
        <x:v>由共享基础引擎判定</x:v>
      </x:c>
      <x:c r="R37" s="74" t="str">
        <x:v>喜忌不直接等于愿不愿付出；只修正调用顺畅度与资源压力</x:v>
      </x:c>
      <x:c r="S37" s="74" t="str">
        <x:v>原十神性质有效；真合化成立时按化神路由</x:v>
      </x:c>
      <x:c r="T37" s="74" t="str">
        <x:v>由共享基础引擎判定</x:v>
      </x:c>
      <x:c r="U37" s="74" t="str">
        <x:v>59</x:v>
      </x:c>
      <x:c r="V37" s="74" t="str">
        <x:v>修正强度，不新增独立证据</x:v>
      </x:c>
      <x:c r="W37" s="74" t="str">
        <x:v>state_shift</x:v>
      </x:c>
      <x:c r="X37" s="74" t="str">
        <x:v>平衡时是快速响应和共同动员；过旺时只表示现场参与容易抢先启动，不直接等于冲动或越界。</x:v>
      </x:c>
      <x:c r="Y37" s="74" t="str">
        <x:v>平衡时是快速响应和共同动员；过旺时只表示现场参与容易抢先启动，不直接等于冲动或越界。</x:v>
      </x:c>
      <x:c r="Z37" s="74" t="str">
        <x:v>不得推出用户争抢、冲动花钱、爱竞争、关系中有第三者、资源一定失控或无法长期坚持。</x:v>
      </x:c>
      <x:c r="AA37" s="74" t="str">
        <x:v>中</x:v>
      </x:c>
      <x:c r="AB37" s="74" t="str">
        <x:v>待验证</x:v>
      </x:c>
      <x:c r="AC37" s="74" t="str"/>
      <x:c r="AD37" s="74" t="str">
        <x:v>provisional=true; channel_id=CA02; ten_god=劫财; aspect=state</x:v>
      </x:c>
      <x:c r="AE37" s="74" t="str">
        <x:v>0.4</x:v>
      </x:c>
    </x:row>
    <x:row r="38">
      <x:c r="A38" s="80" t="str">
        <x:v>M3-CARE-034</x:v>
      </x:c>
      <x:c r="B38" s="80" t="str">
        <x:v>劫财禁止误读｜即时协作边界</x:v>
      </x:c>
      <x:c r="C38" s="80" t="str">
        <x:v>L1 十神CARE通道</x:v>
      </x:c>
      <x:c r="D38" s="80" t="str">
        <x:v>CARE-十神通道</x:v>
      </x:c>
      <x:c r="E38" s="80" t="str">
        <x:v>通用</x:v>
      </x:c>
      <x:c r="F38" s="80" t="str">
        <x:v>禁止推断</x:v>
      </x:c>
      <x:c r="G38" s="74" t="str">
        <x:v>CA02 劫财 即时协作</x:v>
      </x:c>
      <x:c r="H38" s="74" t="str"/>
      <x:c r="I38" s="74" t="str">
        <x:v>正在把劫财CARE通道翻译为用户语言。</x:v>
      </x:c>
      <x:c r="J38" s="74" t="str">
        <x:v>无</x:v>
      </x:c>
      <x:c r="K38" s="74" t="str">
        <x:v>由共享基础引擎与M3-STATE修正</x:v>
      </x:c>
      <x:c r="L38" s="74" t="str">
        <x:v>不限定；夫妻星仅在形成独立CARE证据或入宫接口时参与</x:v>
      </x:c>
      <x:c r="M38" s="74" t="str">
        <x:v>由M3-BASE、日支结构及共享引擎提供</x:v>
      </x:c>
      <x:c r="N38" s="74" t="str">
        <x:v>CP03 共同投入型／CP09 行动保护型</x:v>
      </x:c>
      <x:c r="O38" s="74" t="str">
        <x:v>全局有效信号；日柱及亲密关系近位优先</x:v>
      </x:c>
      <x:c r="P38" s="74" t="str">
        <x:v>由共享基础引擎判定</x:v>
      </x:c>
      <x:c r="Q38" s="74" t="str">
        <x:v>由共享基础引擎判定</x:v>
      </x:c>
      <x:c r="R38" s="74" t="str">
        <x:v>喜忌不直接等于愿不愿付出；只修正调用顺畅度与资源压力</x:v>
      </x:c>
      <x:c r="S38" s="74" t="str">
        <x:v>原十神性质有效；真合化成立时按化神路由</x:v>
      </x:c>
      <x:c r="T38" s="74" t="str">
        <x:v>由共享基础引擎判定</x:v>
      </x:c>
      <x:c r="U38" s="74" t="str">
        <x:v>58</x:v>
      </x:c>
      <x:c r="V38" s="74" t="str">
        <x:v>不加分；边界检查</x:v>
      </x:c>
      <x:c r="W38" s="74" t="str">
        <x:v>boundary_note</x:v>
      </x:c>
      <x:c r="X38" s="74" t="str">
        <x:v>劫财只提供即时响应、共同执行、资源动员与现场补位这一支持功能，不能越界到人格好坏、关系风险或结果。</x:v>
      </x:c>
      <x:c r="Y38" s="74" t="str">
        <x:v>这里描述的是你可能更常使用的支持方式，不代表你只能这样照顾人，也不代表其他方式一定缺失。</x:v>
      </x:c>
      <x:c r="Z38" s="74" t="str">
        <x:v>不得推出用户争抢、冲动花钱、爱竞争、关系中有第三者、资源一定失控或无法长期坚持。</x:v>
      </x:c>
      <x:c r="AA38" s="74" t="str">
        <x:v>高</x:v>
      </x:c>
      <x:c r="AB38" s="74" t="str">
        <x:v>待验证</x:v>
      </x:c>
      <x:c r="AC38" s="74" t="str"/>
      <x:c r="AD38" s="74" t="str">
        <x:v>provisional=true; channel_id=CA02; ten_god=劫财; aspect=boundary</x:v>
      </x:c>
      <x:c r="AE38" s="74" t="str">
        <x:v>0.4</x:v>
      </x:c>
    </x:row>
    <x:row r="39">
      <x:c r="A39" s="80" t="str">
        <x:v>M3-CARE-035</x:v>
      </x:c>
      <x:c r="B39" s="80" t="str">
        <x:v>食神CARE通道｜CA03 舒缓照料</x:v>
      </x:c>
      <x:c r="C39" s="80" t="str">
        <x:v>L1 十神CARE通道</x:v>
      </x:c>
      <x:c r="D39" s="80" t="str">
        <x:v>CARE-十神通道</x:v>
      </x:c>
      <x:c r="E39" s="80" t="str">
        <x:v>通用</x:v>
      </x:c>
      <x:c r="F39" s="80" t="str">
        <x:v>基础通道</x:v>
      </x:c>
      <x:c r="G39" s="74" t="str">
        <x:v>CA03 食神 舒缓照料</x:v>
      </x:c>
      <x:c r="H39" s="74" t="str"/>
      <x:c r="I39" s="74" t="str">
        <x:v>食神为有效信号，且未被真合化替换；至少具备透干、有根、近位、日支参与或独立流向支持之一。</x:v>
      </x:c>
      <x:c r="J39" s="74" t="str">
        <x:v>食神真合化后失效；仅有单一弱远无根信号；基础十神判定有争议。</x:v>
      </x:c>
      <x:c r="K39" s="74" t="str">
        <x:v>由共享基础引擎与M3-STATE修正</x:v>
      </x:c>
      <x:c r="L39" s="74" t="str">
        <x:v>不限定；夫妻星仅在形成独立CARE证据或入宫接口时参与</x:v>
      </x:c>
      <x:c r="M39" s="74" t="str">
        <x:v>由M3-BASE、日支结构及共享引擎提供</x:v>
      </x:c>
      <x:c r="N39" s="74" t="str">
        <x:v>CP06 舒缓照料型／CF03 表达转投入</x:v>
      </x:c>
      <x:c r="O39" s="74" t="str">
        <x:v>全局有效信号；日柱及亲密关系近位优先</x:v>
      </x:c>
      <x:c r="P39" s="74" t="str">
        <x:v>由共享基础引擎判定</x:v>
      </x:c>
      <x:c r="Q39" s="74" t="str">
        <x:v>由共享基础引擎判定</x:v>
      </x:c>
      <x:c r="R39" s="74" t="str">
        <x:v>喜忌不直接等于愿不愿付出；只修正调用顺畅度与资源压力</x:v>
      </x:c>
      <x:c r="S39" s="74" t="str">
        <x:v>原十神性质有效；真合化成立时按化神路由</x:v>
      </x:c>
      <x:c r="T39" s="74" t="str">
        <x:v>由共享基础引擎判定</x:v>
      </x:c>
      <x:c r="U39" s="74" t="str">
        <x:v>76</x:v>
      </x:c>
      <x:c r="V39" s="74" t="str">
        <x:v>主CARE候选 +18</x:v>
      </x:c>
      <x:c r="W39" s="74" t="str">
        <x:v>primary_care_channel</x:v>
      </x:c>
      <x:c r="X39" s="74" t="str">
        <x:v>通过陪伴、饮食起居、舒适氛围、耐心安抚和让日常变得轻松来照顾关系。</x:v>
      </x:c>
      <x:c r="Y39" s="74" t="str">
        <x:v>你更容易通过陪伴、舒缓、日常照料与情绪安抚来照顾关系。通过陪伴、饮食起居、舒适氛围、耐心安抚和让日常变得轻松来照顾关系。</x:v>
      </x:c>
      <x:c r="Z39" s="74" t="str">
        <x:v>不得推出用户讨好、懒散、没有原则、只会提供情绪价值、一定擅长家务或永远情绪稳定。</x:v>
      </x:c>
      <x:c r="AA39" s="74" t="str">
        <x:v>中高</x:v>
      </x:c>
      <x:c r="AB39" s="74" t="str">
        <x:v>待验证</x:v>
      </x:c>
      <x:c r="AC39" s="74" t="str"/>
      <x:c r="AD39" s="74" t="str">
        <x:v>provisional=true; channel_id=CA03; ten_god=食神; aspect=base</x:v>
      </x:c>
      <x:c r="AE39" s="74" t="str">
        <x:v>0.4</x:v>
      </x:c>
    </x:row>
    <x:row r="40">
      <x:c r="A40" s="80" t="str">
        <x:v>M3-CARE-036</x:v>
      </x:c>
      <x:c r="B40" s="80" t="str">
        <x:v>食神给予方式｜可观察支持行为</x:v>
      </x:c>
      <x:c r="C40" s="80" t="str">
        <x:v>L1 十神CARE通道</x:v>
      </x:c>
      <x:c r="D40" s="80" t="str">
        <x:v>CARE-十神通道</x:v>
      </x:c>
      <x:c r="E40" s="80" t="str">
        <x:v>通用</x:v>
      </x:c>
      <x:c r="F40" s="80" t="str">
        <x:v>行为证据</x:v>
      </x:c>
      <x:c r="G40" s="74" t="str">
        <x:v>CA03 食神 舒缓照料</x:v>
      </x:c>
      <x:c r="H40" s="74" t="str"/>
      <x:c r="I40" s="74" t="str">
        <x:v>食神通道有效，并出现可观察的付出、照顾或支持行为。</x:v>
      </x:c>
      <x:c r="J40" s="74" t="str">
        <x:v>只有抽象标签而无行为证据；一次事件不足以判断长期连续性。</x:v>
      </x:c>
      <x:c r="K40" s="74" t="str">
        <x:v>由共享基础引擎与M3-STATE修正</x:v>
      </x:c>
      <x:c r="L40" s="74" t="str">
        <x:v>不限定；夫妻星仅在形成独立CARE证据或入宫接口时参与</x:v>
      </x:c>
      <x:c r="M40" s="74" t="str">
        <x:v>由M3-BASE、日支结构及共享引擎提供</x:v>
      </x:c>
      <x:c r="N40" s="74" t="str">
        <x:v>CP06 舒缓照料型／CF03 表达转投入</x:v>
      </x:c>
      <x:c r="O40" s="74" t="str">
        <x:v>全局有效信号；日柱及亲密关系近位优先</x:v>
      </x:c>
      <x:c r="P40" s="74" t="str">
        <x:v>由共享基础引擎判定</x:v>
      </x:c>
      <x:c r="Q40" s="74" t="str">
        <x:v>由共享基础引擎判定</x:v>
      </x:c>
      <x:c r="R40" s="74" t="str">
        <x:v>喜忌不直接等于愿不愿付出；只修正调用顺畅度与资源压力</x:v>
      </x:c>
      <x:c r="S40" s="74" t="str">
        <x:v>原十神性质有效；真合化成立时按化神路由</x:v>
      </x:c>
      <x:c r="T40" s="74" t="str">
        <x:v>由共享基础引擎判定</x:v>
      </x:c>
      <x:c r="U40" s="74" t="str">
        <x:v>72</x:v>
      </x:c>
      <x:c r="V40" s="74" t="str">
        <x:v>行为证据 +8</x:v>
      </x:c>
      <x:c r="W40" s="74" t="str">
        <x:v>giving_content</x:v>
      </x:c>
      <x:c r="X40" s="74" t="str">
        <x:v>会用陪伴、做饭、分享、照顾休息、缓和氛围、提供情绪价值或让对方放松来表达支持。</x:v>
      </x:c>
      <x:c r="Y40" s="74" t="str">
        <x:v>在实际相处中，你可能会会用陪伴、做饭、分享、照顾休息、缓和氛围、提供情绪价值或让对方放松来表达支持。</x:v>
      </x:c>
      <x:c r="Z40" s="74" t="str">
        <x:v>不得推出用户讨好、懒散、没有原则、只会提供情绪价值、一定擅长家务或永远情绪稳定。</x:v>
      </x:c>
      <x:c r="AA40" s="74" t="str">
        <x:v>中高</x:v>
      </x:c>
      <x:c r="AB40" s="74" t="str">
        <x:v>待验证</x:v>
      </x:c>
      <x:c r="AC40" s="74" t="str"/>
      <x:c r="AD40" s="74" t="str">
        <x:v>provisional=true; channel_id=CA03; ten_god=食神; aspect=giving</x:v>
      </x:c>
      <x:c r="AE40" s="74" t="str">
        <x:v>0.4</x:v>
      </x:c>
    </x:row>
    <x:row r="41">
      <x:c r="A41" s="80" t="str">
        <x:v>M3-CARE-037</x:v>
      </x:c>
      <x:c r="B41" s="80" t="str">
        <x:v>食神连续性｜稳定投入成立条件</x:v>
      </x:c>
      <x:c r="C41" s="80" t="str">
        <x:v>L1 十神CARE通道</x:v>
      </x:c>
      <x:c r="D41" s="80" t="str">
        <x:v>CARE-十神通道</x:v>
      </x:c>
      <x:c r="E41" s="80" t="str">
        <x:v>通用</x:v>
      </x:c>
      <x:c r="F41" s="80" t="str">
        <x:v>连续性</x:v>
      </x:c>
      <x:c r="G41" s="74" t="str">
        <x:v>CA03 食神 舒缓照料</x:v>
      </x:c>
      <x:c r="H41" s="74" t="str"/>
      <x:c r="I41" s="74" t="str">
        <x:v>食神通道需要判断是否形成可重复CARE模式。</x:v>
      </x:c>
      <x:c r="J41" s="74" t="str">
        <x:v>只有单次事件、短期触发或流年覆盖且原局无支持。</x:v>
      </x:c>
      <x:c r="K41" s="74" t="str">
        <x:v>由共享基础引擎与M3-STATE修正</x:v>
      </x:c>
      <x:c r="L41" s="74" t="str">
        <x:v>不限定；夫妻星仅在形成独立CARE证据或入宫接口时参与</x:v>
      </x:c>
      <x:c r="M41" s="74" t="str">
        <x:v>由M3-BASE、日支结构及共享引擎提供</x:v>
      </x:c>
      <x:c r="N41" s="74" t="str">
        <x:v>CP06 舒缓照料型／CF03 表达转投入</x:v>
      </x:c>
      <x:c r="O41" s="74" t="str">
        <x:v>全局有效信号；日柱及亲密关系近位优先</x:v>
      </x:c>
      <x:c r="P41" s="74" t="str">
        <x:v>由共享基础引擎判定</x:v>
      </x:c>
      <x:c r="Q41" s="74" t="str">
        <x:v>由共享基础引擎判定</x:v>
      </x:c>
      <x:c r="R41" s="74" t="str">
        <x:v>喜忌不直接等于愿不愿付出；只修正调用顺畅度与资源压力</x:v>
      </x:c>
      <x:c r="S41" s="74" t="str">
        <x:v>原十神性质有效；真合化成立时按化神路由</x:v>
      </x:c>
      <x:c r="T41" s="74" t="str">
        <x:v>由共享基础引擎判定</x:v>
      </x:c>
      <x:c r="U41" s="74" t="str">
        <x:v>68</x:v>
      </x:c>
      <x:c r="V41" s="74" t="str">
        <x:v>连续性按根气和重复证据 +0—8</x:v>
      </x:c>
      <x:c r="W41" s="74" t="str">
        <x:v>continuity_mode</x:v>
      </x:c>
      <x:c r="X41" s="74" t="str">
        <x:v>持续性通常体现为日常小事和稳定陪伴，而不是高强度事件；根气和重复行为比一次浪漫更重要。</x:v>
      </x:c>
      <x:c r="Y41" s="74" t="str">
        <x:v>持续性通常体现为日常小事和稳定陪伴，而不是高强度事件；根气和重复行为比一次浪漫更重要。</x:v>
      </x:c>
      <x:c r="Z41" s="74" t="str">
        <x:v>不得推出用户讨好、懒散、没有原则、只会提供情绪价值、一定擅长家务或永远情绪稳定。</x:v>
      </x:c>
      <x:c r="AA41" s="74" t="str">
        <x:v>中</x:v>
      </x:c>
      <x:c r="AB41" s="74" t="str">
        <x:v>待验证</x:v>
      </x:c>
      <x:c r="AC41" s="74" t="str"/>
      <x:c r="AD41" s="74" t="str">
        <x:v>provisional=true; channel_id=CA03; ten_god=食神; aspect=continuity</x:v>
      </x:c>
      <x:c r="AE41" s="74" t="str">
        <x:v>0.4</x:v>
      </x:c>
    </x:row>
    <x:row r="42">
      <x:c r="A42" s="80" t="str">
        <x:v>M3-CARE-038</x:v>
      </x:c>
      <x:c r="B42" s="80" t="str">
        <x:v>食神请求支持｜怎样说出需要</x:v>
      </x:c>
      <x:c r="C42" s="80" t="str">
        <x:v>L1 十神CARE通道</x:v>
      </x:c>
      <x:c r="D42" s="80" t="str">
        <x:v>CARE-十神通道</x:v>
      </x:c>
      <x:c r="E42" s="80" t="str">
        <x:v>通用</x:v>
      </x:c>
      <x:c r="F42" s="80" t="str">
        <x:v>请求方式</x:v>
      </x:c>
      <x:c r="G42" s="74" t="str">
        <x:v>CA03 食神 舒缓照料</x:v>
      </x:c>
      <x:c r="H42" s="74" t="str"/>
      <x:c r="I42" s="74" t="str">
        <x:v>食神在请求帮助或说明资源需要的功能中有效。</x:v>
      </x:c>
      <x:c r="J42" s="74" t="str">
        <x:v>仅凭一个十神推断用户一定会主动求助；没有表达或行为证据。</x:v>
      </x:c>
      <x:c r="K42" s="74" t="str">
        <x:v>由共享基础引擎与M3-STATE修正</x:v>
      </x:c>
      <x:c r="L42" s="74" t="str">
        <x:v>不限定；夫妻星仅在形成独立CARE证据或入宫接口时参与</x:v>
      </x:c>
      <x:c r="M42" s="74" t="str">
        <x:v>由M3-BASE、日支结构及共享引擎提供</x:v>
      </x:c>
      <x:c r="N42" s="74" t="str">
        <x:v>CP06 舒缓照料型／CF03 表达转投入</x:v>
      </x:c>
      <x:c r="O42" s="74" t="str">
        <x:v>全局有效信号；日柱及亲密关系近位优先</x:v>
      </x:c>
      <x:c r="P42" s="74" t="str">
        <x:v>由共享基础引擎判定</x:v>
      </x:c>
      <x:c r="Q42" s="74" t="str">
        <x:v>由共享基础引擎判定</x:v>
      </x:c>
      <x:c r="R42" s="74" t="str">
        <x:v>喜忌不直接等于愿不愿付出；只修正调用顺畅度与资源压力</x:v>
      </x:c>
      <x:c r="S42" s="74" t="str">
        <x:v>原十神性质有效；真合化成立时按化神路由</x:v>
      </x:c>
      <x:c r="T42" s="74" t="str">
        <x:v>由共享基础引擎判定</x:v>
      </x:c>
      <x:c r="U42" s="74" t="str">
        <x:v>64</x:v>
      </x:c>
      <x:c r="V42" s="74" t="str">
        <x:v>请求方式候选 +4</x:v>
      </x:c>
      <x:c r="W42" s="74" t="str">
        <x:v>support_request_style</x:v>
      </x:c>
      <x:c r="X42" s="74" t="str">
        <x:v>更容易在安全、温和的语境里提出需要，例如希望陪伴、休息、被体谅或一起过得舒服一点。</x:v>
      </x:c>
      <x:c r="Y42" s="74" t="str">
        <x:v>当你需要支持时，更容易在安全、温和的语境里提出需要，例如希望陪伴、休息、被体谅或一起过得舒服一点。</x:v>
      </x:c>
      <x:c r="Z42" s="74" t="str">
        <x:v>不得推出用户讨好、懒散、没有原则、只会提供情绪价值、一定擅长家务或永远情绪稳定。</x:v>
      </x:c>
      <x:c r="AA42" s="74" t="str">
        <x:v>中</x:v>
      </x:c>
      <x:c r="AB42" s="74" t="str">
        <x:v>待验证</x:v>
      </x:c>
      <x:c r="AC42" s="74" t="str"/>
      <x:c r="AD42" s="74" t="str">
        <x:v>provisional=true; channel_id=CA03; ten_god=食神; aspect=request</x:v>
      </x:c>
      <x:c r="AE42" s="74" t="str">
        <x:v>0.4</x:v>
      </x:c>
    </x:row>
    <x:row r="43">
      <x:c r="A43" s="80" t="str">
        <x:v>M3-CARE-039</x:v>
      </x:c>
      <x:c r="B43" s="80" t="str">
        <x:v>食神接受支持｜什么帮助更容易被接收</x:v>
      </x:c>
      <x:c r="C43" s="80" t="str">
        <x:v>L1 十神CARE通道</x:v>
      </x:c>
      <x:c r="D43" s="80" t="str">
        <x:v>CARE-十神通道</x:v>
      </x:c>
      <x:c r="E43" s="80" t="str">
        <x:v>通用</x:v>
      </x:c>
      <x:c r="F43" s="80" t="str">
        <x:v>接受方式</x:v>
      </x:c>
      <x:c r="G43" s="74" t="str">
        <x:v>CA03 食神 舒缓照料</x:v>
      </x:c>
      <x:c r="H43" s="74" t="str"/>
      <x:c r="I43" s="74" t="str">
        <x:v>食神在接收、识别或评价支持的功能中有效。</x:v>
      </x:c>
      <x:c r="J43" s="74" t="str">
        <x:v>把M2选择标准直接当作M3接受支持习惯；只有单一弱远信号。</x:v>
      </x:c>
      <x:c r="K43" s="74" t="str">
        <x:v>由共享基础引擎与M3-STATE修正</x:v>
      </x:c>
      <x:c r="L43" s="74" t="str">
        <x:v>不限定；夫妻星仅在形成独立CARE证据或入宫接口时参与</x:v>
      </x:c>
      <x:c r="M43" s="74" t="str">
        <x:v>由M3-BASE、日支结构及共享引擎提供</x:v>
      </x:c>
      <x:c r="N43" s="74" t="str">
        <x:v>CP06 舒缓照料型／CF03 表达转投入</x:v>
      </x:c>
      <x:c r="O43" s="74" t="str">
        <x:v>全局有效信号；日柱及亲密关系近位优先</x:v>
      </x:c>
      <x:c r="P43" s="74" t="str">
        <x:v>由共享基础引擎判定</x:v>
      </x:c>
      <x:c r="Q43" s="74" t="str">
        <x:v>由共享基础引擎判定</x:v>
      </x:c>
      <x:c r="R43" s="74" t="str">
        <x:v>喜忌不直接等于愿不愿付出；只修正调用顺畅度与资源压力</x:v>
      </x:c>
      <x:c r="S43" s="74" t="str">
        <x:v>原十神性质有效；真合化成立时按化神路由</x:v>
      </x:c>
      <x:c r="T43" s="74" t="str">
        <x:v>由共享基础引擎判定</x:v>
      </x:c>
      <x:c r="U43" s="74" t="str">
        <x:v>63</x:v>
      </x:c>
      <x:c r="V43" s="74" t="str">
        <x:v>接受方式候选 +4</x:v>
      </x:c>
      <x:c r="W43" s="74" t="str">
        <x:v>support_receiving_style</x:v>
      </x:c>
      <x:c r="X43" s="74" t="str">
        <x:v>更容易接受不急迫、不过度要求、能照顾节奏和身体情绪状态的支持。</x:v>
      </x:c>
      <x:c r="Y43" s="74" t="str">
        <x:v>你更容易把不急迫、不过度要求、能照顾节奏和身体情绪状态的支持。感知为真正有帮助。</x:v>
      </x:c>
      <x:c r="Z43" s="74" t="str">
        <x:v>不得推出用户讨好、懒散、没有原则、只会提供情绪价值、一定擅长家务或永远情绪稳定。</x:v>
      </x:c>
      <x:c r="AA43" s="74" t="str">
        <x:v>中</x:v>
      </x:c>
      <x:c r="AB43" s="74" t="str">
        <x:v>待验证</x:v>
      </x:c>
      <x:c r="AC43" s="74" t="str"/>
      <x:c r="AD43" s="74" t="str">
        <x:v>provisional=true; channel_id=CA03; ten_god=食神; aspect=receive</x:v>
      </x:c>
      <x:c r="AE43" s="74" t="str">
        <x:v>0.4</x:v>
      </x:c>
    </x:row>
    <x:row r="44">
      <x:c r="A44" s="80" t="str">
        <x:v>M3-CARE-040</x:v>
      </x:c>
      <x:c r="B44" s="80" t="str">
        <x:v>食神状态修正｜平衡与抢先启动</x:v>
      </x:c>
      <x:c r="C44" s="80" t="str">
        <x:v>L1 十神CARE通道</x:v>
      </x:c>
      <x:c r="D44" s="80" t="str">
        <x:v>CARE-十神通道</x:v>
      </x:c>
      <x:c r="E44" s="80" t="str">
        <x:v>通用</x:v>
      </x:c>
      <x:c r="F44" s="80" t="str">
        <x:v>状态修正</x:v>
      </x:c>
      <x:c r="G44" s="74" t="str">
        <x:v>CA03 食神 舒缓照料</x:v>
      </x:c>
      <x:c r="H44" s="74" t="str"/>
      <x:c r="I44" s="74" t="str">
        <x:v>食神通道强度已由共享引擎判定为平衡、过旺或抢先启动。</x:v>
      </x:c>
      <x:c r="J44" s="74" t="str">
        <x:v>旺衰未定；把过旺直接解释为过度付出或风险。</x:v>
      </x:c>
      <x:c r="K44" s="74" t="str">
        <x:v>由共享基础引擎与M3-STATE修正</x:v>
      </x:c>
      <x:c r="L44" s="74" t="str">
        <x:v>不限定；夫妻星仅在形成独立CARE证据或入宫接口时参与</x:v>
      </x:c>
      <x:c r="M44" s="74" t="str">
        <x:v>由M3-BASE、日支结构及共享引擎提供</x:v>
      </x:c>
      <x:c r="N44" s="74" t="str">
        <x:v>CP06 舒缓照料型／CF03 表达转投入</x:v>
      </x:c>
      <x:c r="O44" s="74" t="str">
        <x:v>全局有效信号；日柱及亲密关系近位优先</x:v>
      </x:c>
      <x:c r="P44" s="74" t="str">
        <x:v>由共享基础引擎判定</x:v>
      </x:c>
      <x:c r="Q44" s="74" t="str">
        <x:v>由共享基础引擎判定</x:v>
      </x:c>
      <x:c r="R44" s="74" t="str">
        <x:v>喜忌不直接等于愿不愿付出；只修正调用顺畅度与资源压力</x:v>
      </x:c>
      <x:c r="S44" s="74" t="str">
        <x:v>原十神性质有效；真合化成立时按化神路由</x:v>
      </x:c>
      <x:c r="T44" s="74" t="str">
        <x:v>由共享基础引擎判定</x:v>
      </x:c>
      <x:c r="U44" s="74" t="str">
        <x:v>59</x:v>
      </x:c>
      <x:c r="V44" s="74" t="str">
        <x:v>修正强度，不新增独立证据</x:v>
      </x:c>
      <x:c r="W44" s="74" t="str">
        <x:v>state_shift</x:v>
      </x:c>
      <x:c r="X44" s="74" t="str">
        <x:v>平衡时是温和、持续、不过度侵入的照料；过旺时只说明舒缓和照顾氛围更容易占据支持方式。</x:v>
      </x:c>
      <x:c r="Y44" s="74" t="str">
        <x:v>平衡时是温和、持续、不过度侵入的照料；过旺时只说明舒缓和照顾氛围更容易占据支持方式。</x:v>
      </x:c>
      <x:c r="Z44" s="74" t="str">
        <x:v>不得推出用户讨好、懒散、没有原则、只会提供情绪价值、一定擅长家务或永远情绪稳定。</x:v>
      </x:c>
      <x:c r="AA44" s="74" t="str">
        <x:v>中</x:v>
      </x:c>
      <x:c r="AB44" s="74" t="str">
        <x:v>待验证</x:v>
      </x:c>
      <x:c r="AC44" s="74" t="str"/>
      <x:c r="AD44" s="74" t="str">
        <x:v>provisional=true; channel_id=CA03; ten_god=食神; aspect=state</x:v>
      </x:c>
      <x:c r="AE44" s="74" t="str">
        <x:v>0.4</x:v>
      </x:c>
    </x:row>
    <x:row r="45">
      <x:c r="A45" s="80" t="str">
        <x:v>M3-CARE-041</x:v>
      </x:c>
      <x:c r="B45" s="80" t="str">
        <x:v>食神禁止误读｜舒缓照料边界</x:v>
      </x:c>
      <x:c r="C45" s="80" t="str">
        <x:v>L1 十神CARE通道</x:v>
      </x:c>
      <x:c r="D45" s="80" t="str">
        <x:v>CARE-十神通道</x:v>
      </x:c>
      <x:c r="E45" s="80" t="str">
        <x:v>通用</x:v>
      </x:c>
      <x:c r="F45" s="80" t="str">
        <x:v>禁止推断</x:v>
      </x:c>
      <x:c r="G45" s="74" t="str">
        <x:v>CA03 食神 舒缓照料</x:v>
      </x:c>
      <x:c r="H45" s="74" t="str"/>
      <x:c r="I45" s="74" t="str">
        <x:v>正在把食神CARE通道翻译为用户语言。</x:v>
      </x:c>
      <x:c r="J45" s="74" t="str">
        <x:v>无</x:v>
      </x:c>
      <x:c r="K45" s="74" t="str">
        <x:v>由共享基础引擎与M3-STATE修正</x:v>
      </x:c>
      <x:c r="L45" s="74" t="str">
        <x:v>不限定；夫妻星仅在形成独立CARE证据或入宫接口时参与</x:v>
      </x:c>
      <x:c r="M45" s="74" t="str">
        <x:v>由M3-BASE、日支结构及共享引擎提供</x:v>
      </x:c>
      <x:c r="N45" s="74" t="str">
        <x:v>CP06 舒缓照料型／CF03 表达转投入</x:v>
      </x:c>
      <x:c r="O45" s="74" t="str">
        <x:v>全局有效信号；日柱及亲密关系近位优先</x:v>
      </x:c>
      <x:c r="P45" s="74" t="str">
        <x:v>由共享基础引擎判定</x:v>
      </x:c>
      <x:c r="Q45" s="74" t="str">
        <x:v>由共享基础引擎判定</x:v>
      </x:c>
      <x:c r="R45" s="74" t="str">
        <x:v>喜忌不直接等于愿不愿付出；只修正调用顺畅度与资源压力</x:v>
      </x:c>
      <x:c r="S45" s="74" t="str">
        <x:v>原十神性质有效；真合化成立时按化神路由</x:v>
      </x:c>
      <x:c r="T45" s="74" t="str">
        <x:v>由共享基础引擎判定</x:v>
      </x:c>
      <x:c r="U45" s="74" t="str">
        <x:v>58</x:v>
      </x:c>
      <x:c r="V45" s="74" t="str">
        <x:v>不加分；边界检查</x:v>
      </x:c>
      <x:c r="W45" s="74" t="str">
        <x:v>boundary_note</x:v>
      </x:c>
      <x:c r="X45" s="74" t="str">
        <x:v>食神只提供陪伴、舒缓、日常照料与情绪安抚这一支持功能，不能越界到人格好坏、关系风险或结果。</x:v>
      </x:c>
      <x:c r="Y45" s="74" t="str">
        <x:v>这里描述的是你可能更常使用的支持方式，不代表你只能这样照顾人，也不代表其他方式一定缺失。</x:v>
      </x:c>
      <x:c r="Z45" s="74" t="str">
        <x:v>不得推出用户讨好、懒散、没有原则、只会提供情绪价值、一定擅长家务或永远情绪稳定。</x:v>
      </x:c>
      <x:c r="AA45" s="74" t="str">
        <x:v>高</x:v>
      </x:c>
      <x:c r="AB45" s="74" t="str">
        <x:v>待验证</x:v>
      </x:c>
      <x:c r="AC45" s="74" t="str"/>
      <x:c r="AD45" s="74" t="str">
        <x:v>provisional=true; channel_id=CA03; ten_god=食神; aspect=boundary</x:v>
      </x:c>
      <x:c r="AE45" s="74" t="str">
        <x:v>0.4</x:v>
      </x:c>
    </x:row>
    <x:row r="46">
      <x:c r="A46" s="80" t="str">
        <x:v>M3-CARE-042</x:v>
      </x:c>
      <x:c r="B46" s="80" t="str">
        <x:v>伤官CARE通道｜CA04 解题支持</x:v>
      </x:c>
      <x:c r="C46" s="80" t="str">
        <x:v>L1 十神CARE通道</x:v>
      </x:c>
      <x:c r="D46" s="80" t="str">
        <x:v>CARE-十神通道</x:v>
      </x:c>
      <x:c r="E46" s="80" t="str">
        <x:v>通用</x:v>
      </x:c>
      <x:c r="F46" s="80" t="str">
        <x:v>基础通道</x:v>
      </x:c>
      <x:c r="G46" s="74" t="str">
        <x:v>CA04 伤官 解题支持</x:v>
      </x:c>
      <x:c r="H46" s="74" t="str"/>
      <x:c r="I46" s="74" t="str">
        <x:v>伤官为有效信号，且未被真合化替换；至少具备透干、有根、近位、日支参与或独立流向支持之一。</x:v>
      </x:c>
      <x:c r="J46" s="74" t="str">
        <x:v>伤官真合化后失效；仅有单一弱远无根信号；基础十神判定有争议。</x:v>
      </x:c>
      <x:c r="K46" s="74" t="str">
        <x:v>由共享基础引擎与M3-STATE修正</x:v>
      </x:c>
      <x:c r="L46" s="74" t="str">
        <x:v>不限定；夫妻星仅在形成独立CARE证据或入宫接口时参与</x:v>
      </x:c>
      <x:c r="M46" s="74" t="str">
        <x:v>由M3-BASE、日支结构及共享引擎提供</x:v>
      </x:c>
      <x:c r="N46" s="74" t="str">
        <x:v>CP07 解题支持型／CF03 表达转投入</x:v>
      </x:c>
      <x:c r="O46" s="74" t="str">
        <x:v>全局有效信号；日柱及亲密关系近位优先</x:v>
      </x:c>
      <x:c r="P46" s="74" t="str">
        <x:v>由共享基础引擎判定</x:v>
      </x:c>
      <x:c r="Q46" s="74" t="str">
        <x:v>由共享基础引擎判定</x:v>
      </x:c>
      <x:c r="R46" s="74" t="str">
        <x:v>喜忌不直接等于愿不愿付出；只修正调用顺畅度与资源压力</x:v>
      </x:c>
      <x:c r="S46" s="74" t="str">
        <x:v>原十神性质有效；真合化成立时按化神路由</x:v>
      </x:c>
      <x:c r="T46" s="74" t="str">
        <x:v>由共享基础引擎判定</x:v>
      </x:c>
      <x:c r="U46" s="74" t="str">
        <x:v>76</x:v>
      </x:c>
      <x:c r="V46" s="74" t="str">
        <x:v>主CARE候选 +18</x:v>
      </x:c>
      <x:c r="W46" s="74" t="str">
        <x:v>primary_care_channel</x:v>
      </x:c>
      <x:c r="X46" s="74" t="str">
        <x:v>通过分析问题、给出思路、解释信息、优化方案和帮助对方看清关键点提供支持。</x:v>
      </x:c>
      <x:c r="Y46" s="74" t="str">
        <x:v>你更容易通过信息、建议、分析、技能与解决方案来照顾关系。通过分析问题、给出思路、解释信息、优化方案和帮助对方看清关键点提供支持。</x:v>
      </x:c>
      <x:c r="Z46" s="74" t="str">
        <x:v>不得推出用户爱批评、说话伤人、只会讲道理、缺少情绪价值、一定和伴侣争辩或不尊重对方。</x:v>
      </x:c>
      <x:c r="AA46" s="74" t="str">
        <x:v>中高</x:v>
      </x:c>
      <x:c r="AB46" s="74" t="str">
        <x:v>待验证</x:v>
      </x:c>
      <x:c r="AC46" s="74" t="str"/>
      <x:c r="AD46" s="74" t="str">
        <x:v>provisional=true; channel_id=CA04; ten_god=伤官; aspect=base</x:v>
      </x:c>
      <x:c r="AE46" s="74" t="str">
        <x:v>0.4</x:v>
      </x:c>
    </x:row>
    <x:row r="47">
      <x:c r="A47" s="80" t="str">
        <x:v>M3-CARE-043</x:v>
      </x:c>
      <x:c r="B47" s="80" t="str">
        <x:v>伤官给予方式｜可观察支持行为</x:v>
      </x:c>
      <x:c r="C47" s="80" t="str">
        <x:v>L1 十神CARE通道</x:v>
      </x:c>
      <x:c r="D47" s="80" t="str">
        <x:v>CARE-十神通道</x:v>
      </x:c>
      <x:c r="E47" s="80" t="str">
        <x:v>通用</x:v>
      </x:c>
      <x:c r="F47" s="80" t="str">
        <x:v>行为证据</x:v>
      </x:c>
      <x:c r="G47" s="74" t="str">
        <x:v>CA04 伤官 解题支持</x:v>
      </x:c>
      <x:c r="H47" s="74" t="str"/>
      <x:c r="I47" s="74" t="str">
        <x:v>伤官通道有效，并出现可观察的付出、照顾或支持行为。</x:v>
      </x:c>
      <x:c r="J47" s="74" t="str">
        <x:v>只有抽象标签而无行为证据；一次事件不足以判断长期连续性。</x:v>
      </x:c>
      <x:c r="K47" s="74" t="str">
        <x:v>由共享基础引擎与M3-STATE修正</x:v>
      </x:c>
      <x:c r="L47" s="74" t="str">
        <x:v>不限定；夫妻星仅在形成独立CARE证据或入宫接口时参与</x:v>
      </x:c>
      <x:c r="M47" s="74" t="str">
        <x:v>由M3-BASE、日支结构及共享引擎提供</x:v>
      </x:c>
      <x:c r="N47" s="74" t="str">
        <x:v>CP07 解题支持型／CF03 表达转投入</x:v>
      </x:c>
      <x:c r="O47" s="74" t="str">
        <x:v>全局有效信号；日柱及亲密关系近位优先</x:v>
      </x:c>
      <x:c r="P47" s="74" t="str">
        <x:v>由共享基础引擎判定</x:v>
      </x:c>
      <x:c r="Q47" s="74" t="str">
        <x:v>由共享基础引擎判定</x:v>
      </x:c>
      <x:c r="R47" s="74" t="str">
        <x:v>喜忌不直接等于愿不愿付出；只修正调用顺畅度与资源压力</x:v>
      </x:c>
      <x:c r="S47" s="74" t="str">
        <x:v>原十神性质有效；真合化成立时按化神路由</x:v>
      </x:c>
      <x:c r="T47" s="74" t="str">
        <x:v>由共享基础引擎判定</x:v>
      </x:c>
      <x:c r="U47" s="74" t="str">
        <x:v>72</x:v>
      </x:c>
      <x:c r="V47" s="74" t="str">
        <x:v>行为证据 +8</x:v>
      </x:c>
      <x:c r="W47" s="74" t="str">
        <x:v>giving_content</x:v>
      </x:c>
      <x:c r="X47" s="74" t="str">
        <x:v>会认真听问题、拆解原因、提供建议、查资料、指出遗漏、设计更有效的处理方法。</x:v>
      </x:c>
      <x:c r="Y47" s="74" t="str">
        <x:v>在实际相处中，你可能会会认真听问题、拆解原因、提供建议、查资料、指出遗漏、设计更有效的处理方法。</x:v>
      </x:c>
      <x:c r="Z47" s="74" t="str">
        <x:v>不得推出用户爱批评、说话伤人、只会讲道理、缺少情绪价值、一定和伴侣争辩或不尊重对方。</x:v>
      </x:c>
      <x:c r="AA47" s="74" t="str">
        <x:v>中高</x:v>
      </x:c>
      <x:c r="AB47" s="74" t="str">
        <x:v>待验证</x:v>
      </x:c>
      <x:c r="AC47" s="74" t="str"/>
      <x:c r="AD47" s="74" t="str">
        <x:v>provisional=true; channel_id=CA04; ten_god=伤官; aspect=giving</x:v>
      </x:c>
      <x:c r="AE47" s="74" t="str">
        <x:v>0.4</x:v>
      </x:c>
    </x:row>
    <x:row r="48">
      <x:c r="A48" s="80" t="str">
        <x:v>M3-CARE-044</x:v>
      </x:c>
      <x:c r="B48" s="80" t="str">
        <x:v>伤官连续性｜稳定投入成立条件</x:v>
      </x:c>
      <x:c r="C48" s="80" t="str">
        <x:v>L1 十神CARE通道</x:v>
      </x:c>
      <x:c r="D48" s="80" t="str">
        <x:v>CARE-十神通道</x:v>
      </x:c>
      <x:c r="E48" s="80" t="str">
        <x:v>通用</x:v>
      </x:c>
      <x:c r="F48" s="80" t="str">
        <x:v>连续性</x:v>
      </x:c>
      <x:c r="G48" s="74" t="str">
        <x:v>CA04 伤官 解题支持</x:v>
      </x:c>
      <x:c r="H48" s="74" t="str"/>
      <x:c r="I48" s="74" t="str">
        <x:v>伤官通道需要判断是否形成可重复CARE模式。</x:v>
      </x:c>
      <x:c r="J48" s="74" t="str">
        <x:v>只有单次事件、短期触发或流年覆盖且原局无支持。</x:v>
      </x:c>
      <x:c r="K48" s="74" t="str">
        <x:v>由共享基础引擎与M3-STATE修正</x:v>
      </x:c>
      <x:c r="L48" s="74" t="str">
        <x:v>不限定；夫妻星仅在形成独立CARE证据或入宫接口时参与</x:v>
      </x:c>
      <x:c r="M48" s="74" t="str">
        <x:v>由M3-BASE、日支结构及共享引擎提供</x:v>
      </x:c>
      <x:c r="N48" s="74" t="str">
        <x:v>CP07 解题支持型／CF03 表达转投入</x:v>
      </x:c>
      <x:c r="O48" s="74" t="str">
        <x:v>全局有效信号；日柱及亲密关系近位优先</x:v>
      </x:c>
      <x:c r="P48" s="74" t="str">
        <x:v>由共享基础引擎判定</x:v>
      </x:c>
      <x:c r="Q48" s="74" t="str">
        <x:v>由共享基础引擎判定</x:v>
      </x:c>
      <x:c r="R48" s="74" t="str">
        <x:v>喜忌不直接等于愿不愿付出；只修正调用顺畅度与资源压力</x:v>
      </x:c>
      <x:c r="S48" s="74" t="str">
        <x:v>原十神性质有效；真合化成立时按化神路由</x:v>
      </x:c>
      <x:c r="T48" s="74" t="str">
        <x:v>由共享基础引擎判定</x:v>
      </x:c>
      <x:c r="U48" s="74" t="str">
        <x:v>68</x:v>
      </x:c>
      <x:c r="V48" s="74" t="str">
        <x:v>连续性按根气和重复证据 +0—8</x:v>
      </x:c>
      <x:c r="W48" s="74" t="str">
        <x:v>continuity_mode</x:v>
      </x:c>
      <x:c r="X48" s="74" t="str">
        <x:v>更容易在有明确问题、需要认知或技能输出时持续；是否能落实到长期行动，需要财星或官杀的支持。</x:v>
      </x:c>
      <x:c r="Y48" s="74" t="str">
        <x:v>更容易在有明确问题、需要认知或技能输出时持续；是否能落实到长期行动，需要财星或官杀的支持。</x:v>
      </x:c>
      <x:c r="Z48" s="74" t="str">
        <x:v>不得推出用户爱批评、说话伤人、只会讲道理、缺少情绪价值、一定和伴侣争辩或不尊重对方。</x:v>
      </x:c>
      <x:c r="AA48" s="74" t="str">
        <x:v>中</x:v>
      </x:c>
      <x:c r="AB48" s="74" t="str">
        <x:v>待验证</x:v>
      </x:c>
      <x:c r="AC48" s="74" t="str"/>
      <x:c r="AD48" s="74" t="str">
        <x:v>provisional=true; channel_id=CA04; ten_god=伤官; aspect=continuity</x:v>
      </x:c>
      <x:c r="AE48" s="74" t="str">
        <x:v>0.4</x:v>
      </x:c>
    </x:row>
    <x:row r="49">
      <x:c r="A49" s="80" t="str">
        <x:v>M3-CARE-045</x:v>
      </x:c>
      <x:c r="B49" s="80" t="str">
        <x:v>伤官请求支持｜怎样说出需要</x:v>
      </x:c>
      <x:c r="C49" s="80" t="str">
        <x:v>L1 十神CARE通道</x:v>
      </x:c>
      <x:c r="D49" s="80" t="str">
        <x:v>CARE-十神通道</x:v>
      </x:c>
      <x:c r="E49" s="80" t="str">
        <x:v>通用</x:v>
      </x:c>
      <x:c r="F49" s="80" t="str">
        <x:v>请求方式</x:v>
      </x:c>
      <x:c r="G49" s="74" t="str">
        <x:v>CA04 伤官 解题支持</x:v>
      </x:c>
      <x:c r="H49" s="74" t="str"/>
      <x:c r="I49" s="74" t="str">
        <x:v>伤官在请求帮助或说明资源需要的功能中有效。</x:v>
      </x:c>
      <x:c r="J49" s="74" t="str">
        <x:v>仅凭一个十神推断用户一定会主动求助；没有表达或行为证据。</x:v>
      </x:c>
      <x:c r="K49" s="74" t="str">
        <x:v>由共享基础引擎与M3-STATE修正</x:v>
      </x:c>
      <x:c r="L49" s="74" t="str">
        <x:v>不限定；夫妻星仅在形成独立CARE证据或入宫接口时参与</x:v>
      </x:c>
      <x:c r="M49" s="74" t="str">
        <x:v>由M3-BASE、日支结构及共享引擎提供</x:v>
      </x:c>
      <x:c r="N49" s="74" t="str">
        <x:v>CP07 解题支持型／CF03 表达转投入</x:v>
      </x:c>
      <x:c r="O49" s="74" t="str">
        <x:v>全局有效信号；日柱及亲密关系近位优先</x:v>
      </x:c>
      <x:c r="P49" s="74" t="str">
        <x:v>由共享基础引擎判定</x:v>
      </x:c>
      <x:c r="Q49" s="74" t="str">
        <x:v>由共享基础引擎判定</x:v>
      </x:c>
      <x:c r="R49" s="74" t="str">
        <x:v>喜忌不直接等于愿不愿付出；只修正调用顺畅度与资源压力</x:v>
      </x:c>
      <x:c r="S49" s="74" t="str">
        <x:v>原十神性质有效；真合化成立时按化神路由</x:v>
      </x:c>
      <x:c r="T49" s="74" t="str">
        <x:v>由共享基础引擎判定</x:v>
      </x:c>
      <x:c r="U49" s="74" t="str">
        <x:v>64</x:v>
      </x:c>
      <x:c r="V49" s="74" t="str">
        <x:v>请求方式候选 +4</x:v>
      </x:c>
      <x:c r="W49" s="74" t="str">
        <x:v>support_request_style</x:v>
      </x:c>
      <x:c r="X49" s="74" t="str">
        <x:v>求助时倾向说明问题、背景、卡点和希望得到的具体反馈，不一定只需要安慰。</x:v>
      </x:c>
      <x:c r="Y49" s="74" t="str">
        <x:v>当你需要支持时，求助时倾向说明问题、背景、卡点和希望得到的具体反馈，不一定只需要安慰。</x:v>
      </x:c>
      <x:c r="Z49" s="74" t="str">
        <x:v>不得推出用户爱批评、说话伤人、只会讲道理、缺少情绪价值、一定和伴侣争辩或不尊重对方。</x:v>
      </x:c>
      <x:c r="AA49" s="74" t="str">
        <x:v>中</x:v>
      </x:c>
      <x:c r="AB49" s="74" t="str">
        <x:v>待验证</x:v>
      </x:c>
      <x:c r="AC49" s="74" t="str"/>
      <x:c r="AD49" s="74" t="str">
        <x:v>provisional=true; channel_id=CA04; ten_god=伤官; aspect=request</x:v>
      </x:c>
      <x:c r="AE49" s="74" t="str">
        <x:v>0.4</x:v>
      </x:c>
    </x:row>
    <x:row r="50">
      <x:c r="A50" s="80" t="str">
        <x:v>M3-CARE-046</x:v>
      </x:c>
      <x:c r="B50" s="80" t="str">
        <x:v>伤官接受支持｜什么帮助更容易被接收</x:v>
      </x:c>
      <x:c r="C50" s="80" t="str">
        <x:v>L1 十神CARE通道</x:v>
      </x:c>
      <x:c r="D50" s="80" t="str">
        <x:v>CARE-十神通道</x:v>
      </x:c>
      <x:c r="E50" s="80" t="str">
        <x:v>通用</x:v>
      </x:c>
      <x:c r="F50" s="80" t="str">
        <x:v>接受方式</x:v>
      </x:c>
      <x:c r="G50" s="74" t="str">
        <x:v>CA04 伤官 解题支持</x:v>
      </x:c>
      <x:c r="H50" s="74" t="str"/>
      <x:c r="I50" s="74" t="str">
        <x:v>伤官在接收、识别或评价支持的功能中有效。</x:v>
      </x:c>
      <x:c r="J50" s="74" t="str">
        <x:v>把M2选择标准直接当作M3接受支持习惯；只有单一弱远信号。</x:v>
      </x:c>
      <x:c r="K50" s="74" t="str">
        <x:v>由共享基础引擎与M3-STATE修正</x:v>
      </x:c>
      <x:c r="L50" s="74" t="str">
        <x:v>不限定；夫妻星仅在形成独立CARE证据或入宫接口时参与</x:v>
      </x:c>
      <x:c r="M50" s="74" t="str">
        <x:v>由M3-BASE、日支结构及共享引擎提供</x:v>
      </x:c>
      <x:c r="N50" s="74" t="str">
        <x:v>CP07 解题支持型／CF03 表达转投入</x:v>
      </x:c>
      <x:c r="O50" s="74" t="str">
        <x:v>全局有效信号；日柱及亲密关系近位优先</x:v>
      </x:c>
      <x:c r="P50" s="74" t="str">
        <x:v>由共享基础引擎判定</x:v>
      </x:c>
      <x:c r="Q50" s="74" t="str">
        <x:v>由共享基础引擎判定</x:v>
      </x:c>
      <x:c r="R50" s="74" t="str">
        <x:v>喜忌不直接等于愿不愿付出；只修正调用顺畅度与资源压力</x:v>
      </x:c>
      <x:c r="S50" s="74" t="str">
        <x:v>原十神性质有效；真合化成立时按化神路由</x:v>
      </x:c>
      <x:c r="T50" s="74" t="str">
        <x:v>由共享基础引擎判定</x:v>
      </x:c>
      <x:c r="U50" s="74" t="str">
        <x:v>63</x:v>
      </x:c>
      <x:c r="V50" s="74" t="str">
        <x:v>接受方式候选 +4</x:v>
      </x:c>
      <x:c r="W50" s="74" t="str">
        <x:v>support_receiving_style</x:v>
      </x:c>
      <x:c r="X50" s="74" t="str">
        <x:v>更容易接受有内容、能回应具体问题、允许讨论并提供可验证方法的帮助。</x:v>
      </x:c>
      <x:c r="Y50" s="74" t="str">
        <x:v>你更容易把有内容、能回应具体问题、允许讨论并提供可验证方法的帮助。感知为真正有帮助。</x:v>
      </x:c>
      <x:c r="Z50" s="74" t="str">
        <x:v>不得推出用户爱批评、说话伤人、只会讲道理、缺少情绪价值、一定和伴侣争辩或不尊重对方。</x:v>
      </x:c>
      <x:c r="AA50" s="74" t="str">
        <x:v>中</x:v>
      </x:c>
      <x:c r="AB50" s="74" t="str">
        <x:v>待验证</x:v>
      </x:c>
      <x:c r="AC50" s="74" t="str"/>
      <x:c r="AD50" s="74" t="str">
        <x:v>provisional=true; channel_id=CA04; ten_god=伤官; aspect=receive</x:v>
      </x:c>
      <x:c r="AE50" s="74" t="str">
        <x:v>0.4</x:v>
      </x:c>
    </x:row>
    <x:row r="51">
      <x:c r="A51" s="80" t="str">
        <x:v>M3-CARE-047</x:v>
      </x:c>
      <x:c r="B51" s="80" t="str">
        <x:v>伤官状态修正｜平衡与抢先启动</x:v>
      </x:c>
      <x:c r="C51" s="80" t="str">
        <x:v>L1 十神CARE通道</x:v>
      </x:c>
      <x:c r="D51" s="80" t="str">
        <x:v>CARE-十神通道</x:v>
      </x:c>
      <x:c r="E51" s="80" t="str">
        <x:v>通用</x:v>
      </x:c>
      <x:c r="F51" s="80" t="str">
        <x:v>状态修正</x:v>
      </x:c>
      <x:c r="G51" s="74" t="str">
        <x:v>CA04 伤官 解题支持</x:v>
      </x:c>
      <x:c r="H51" s="74" t="str"/>
      <x:c r="I51" s="74" t="str">
        <x:v>伤官通道强度已由共享引擎判定为平衡、过旺或抢先启动。</x:v>
      </x:c>
      <x:c r="J51" s="74" t="str">
        <x:v>旺衰未定；把过旺直接解释为过度付出或风险。</x:v>
      </x:c>
      <x:c r="K51" s="74" t="str">
        <x:v>由共享基础引擎与M3-STATE修正</x:v>
      </x:c>
      <x:c r="L51" s="74" t="str">
        <x:v>不限定；夫妻星仅在形成独立CARE证据或入宫接口时参与</x:v>
      </x:c>
      <x:c r="M51" s="74" t="str">
        <x:v>由M3-BASE、日支结构及共享引擎提供</x:v>
      </x:c>
      <x:c r="N51" s="74" t="str">
        <x:v>CP07 解题支持型／CF03 表达转投入</x:v>
      </x:c>
      <x:c r="O51" s="74" t="str">
        <x:v>全局有效信号；日柱及亲密关系近位优先</x:v>
      </x:c>
      <x:c r="P51" s="74" t="str">
        <x:v>由共享基础引擎判定</x:v>
      </x:c>
      <x:c r="Q51" s="74" t="str">
        <x:v>由共享基础引擎判定</x:v>
      </x:c>
      <x:c r="R51" s="74" t="str">
        <x:v>喜忌不直接等于愿不愿付出；只修正调用顺畅度与资源压力</x:v>
      </x:c>
      <x:c r="S51" s="74" t="str">
        <x:v>原十神性质有效；真合化成立时按化神路由</x:v>
      </x:c>
      <x:c r="T51" s="74" t="str">
        <x:v>由共享基础引擎判定</x:v>
      </x:c>
      <x:c r="U51" s="74" t="str">
        <x:v>59</x:v>
      </x:c>
      <x:c r="V51" s="74" t="str">
        <x:v>修正强度，不新增独立证据</x:v>
      </x:c>
      <x:c r="W51" s="74" t="str">
        <x:v>state_shift</x:v>
      </x:c>
      <x:c r="X51" s="74" t="str">
        <x:v>平衡时是清楚、有效的认知支持；过旺时只能说建议、分析或纠错容易先出现，不直接评价为挑剔。</x:v>
      </x:c>
      <x:c r="Y51" s="74" t="str">
        <x:v>平衡时是清楚、有效的认知支持；过旺时只能说建议、分析或纠错容易先出现，不直接评价为挑剔。</x:v>
      </x:c>
      <x:c r="Z51" s="74" t="str">
        <x:v>不得推出用户爱批评、说话伤人、只会讲道理、缺少情绪价值、一定和伴侣争辩或不尊重对方。</x:v>
      </x:c>
      <x:c r="AA51" s="74" t="str">
        <x:v>中</x:v>
      </x:c>
      <x:c r="AB51" s="74" t="str">
        <x:v>待验证</x:v>
      </x:c>
      <x:c r="AC51" s="74" t="str"/>
      <x:c r="AD51" s="74" t="str">
        <x:v>provisional=true; channel_id=CA04; ten_god=伤官; aspect=state</x:v>
      </x:c>
      <x:c r="AE51" s="74" t="str">
        <x:v>0.4</x:v>
      </x:c>
    </x:row>
    <x:row r="52">
      <x:c r="A52" s="80" t="str">
        <x:v>M3-CARE-048</x:v>
      </x:c>
      <x:c r="B52" s="80" t="str">
        <x:v>伤官禁止误读｜解题支持边界</x:v>
      </x:c>
      <x:c r="C52" s="80" t="str">
        <x:v>L1 十神CARE通道</x:v>
      </x:c>
      <x:c r="D52" s="80" t="str">
        <x:v>CARE-十神通道</x:v>
      </x:c>
      <x:c r="E52" s="80" t="str">
        <x:v>通用</x:v>
      </x:c>
      <x:c r="F52" s="80" t="str">
        <x:v>禁止推断</x:v>
      </x:c>
      <x:c r="G52" s="74" t="str">
        <x:v>CA04 伤官 解题支持</x:v>
      </x:c>
      <x:c r="H52" s="74" t="str"/>
      <x:c r="I52" s="74" t="str">
        <x:v>正在把伤官CARE通道翻译为用户语言。</x:v>
      </x:c>
      <x:c r="J52" s="74" t="str">
        <x:v>无</x:v>
      </x:c>
      <x:c r="K52" s="74" t="str">
        <x:v>由共享基础引擎与M3-STATE修正</x:v>
      </x:c>
      <x:c r="L52" s="74" t="str">
        <x:v>不限定；夫妻星仅在形成独立CARE证据或入宫接口时参与</x:v>
      </x:c>
      <x:c r="M52" s="74" t="str">
        <x:v>由M3-BASE、日支结构及共享引擎提供</x:v>
      </x:c>
      <x:c r="N52" s="74" t="str">
        <x:v>CP07 解题支持型／CF03 表达转投入</x:v>
      </x:c>
      <x:c r="O52" s="74" t="str">
        <x:v>全局有效信号；日柱及亲密关系近位优先</x:v>
      </x:c>
      <x:c r="P52" s="74" t="str">
        <x:v>由共享基础引擎判定</x:v>
      </x:c>
      <x:c r="Q52" s="74" t="str">
        <x:v>由共享基础引擎判定</x:v>
      </x:c>
      <x:c r="R52" s="74" t="str">
        <x:v>喜忌不直接等于愿不愿付出；只修正调用顺畅度与资源压力</x:v>
      </x:c>
      <x:c r="S52" s="74" t="str">
        <x:v>原十神性质有效；真合化成立时按化神路由</x:v>
      </x:c>
      <x:c r="T52" s="74" t="str">
        <x:v>由共享基础引擎判定</x:v>
      </x:c>
      <x:c r="U52" s="74" t="str">
        <x:v>58</x:v>
      </x:c>
      <x:c r="V52" s="74" t="str">
        <x:v>不加分；边界检查</x:v>
      </x:c>
      <x:c r="W52" s="74" t="str">
        <x:v>boundary_note</x:v>
      </x:c>
      <x:c r="X52" s="74" t="str">
        <x:v>伤官只提供信息、建议、分析、技能与解决方案这一支持功能，不能越界到人格好坏、关系风险或结果。</x:v>
      </x:c>
      <x:c r="Y52" s="74" t="str">
        <x:v>这里描述的是你可能更常使用的支持方式，不代表你只能这样照顾人，也不代表其他方式一定缺失。</x:v>
      </x:c>
      <x:c r="Z52" s="74" t="str">
        <x:v>不得推出用户爱批评、说话伤人、只会讲道理、缺少情绪价值、一定和伴侣争辩或不尊重对方。</x:v>
      </x:c>
      <x:c r="AA52" s="74" t="str">
        <x:v>高</x:v>
      </x:c>
      <x:c r="AB52" s="74" t="str">
        <x:v>待验证</x:v>
      </x:c>
      <x:c r="AC52" s="74" t="str"/>
      <x:c r="AD52" s="74" t="str">
        <x:v>provisional=true; channel_id=CA04; ten_god=伤官; aspect=boundary</x:v>
      </x:c>
      <x:c r="AE52" s="74" t="str">
        <x:v>0.4</x:v>
      </x:c>
    </x:row>
    <x:row r="53">
      <x:c r="A53" s="80" t="str">
        <x:v>M3-CARE-049</x:v>
      </x:c>
      <x:c r="B53" s="80" t="str">
        <x:v>正财CARE通道｜CA05 稳定投入</x:v>
      </x:c>
      <x:c r="C53" s="80" t="str">
        <x:v>L1 十神CARE通道</x:v>
      </x:c>
      <x:c r="D53" s="80" t="str">
        <x:v>CARE-十神通道</x:v>
      </x:c>
      <x:c r="E53" s="80" t="str">
        <x:v>通用</x:v>
      </x:c>
      <x:c r="F53" s="80" t="str">
        <x:v>基础通道</x:v>
      </x:c>
      <x:c r="G53" s="74" t="str">
        <x:v>CA05 正财 稳定投入</x:v>
      </x:c>
      <x:c r="H53" s="74" t="str"/>
      <x:c r="I53" s="74" t="str">
        <x:v>正财为有效信号，且未被真合化替换；至少具备透干、有根、近位、日支参与或独立流向支持之一。</x:v>
      </x:c>
      <x:c r="J53" s="74" t="str">
        <x:v>正财真合化后失效；仅有单一弱远无根信号；基础十神判定有争议。</x:v>
      </x:c>
      <x:c r="K53" s="74" t="str">
        <x:v>由共享基础引擎与M3-STATE修正</x:v>
      </x:c>
      <x:c r="L53" s="74" t="str">
        <x:v>不限定；夫妻星仅在形成独立CARE证据或入宫接口时参与</x:v>
      </x:c>
      <x:c r="M53" s="74" t="str">
        <x:v>由M3-BASE、日支结构及共享引擎提供</x:v>
      </x:c>
      <x:c r="N53" s="74" t="str">
        <x:v>CP05 稳定经营型／CF04 投入转责任</x:v>
      </x:c>
      <x:c r="O53" s="74" t="str">
        <x:v>全局有效信号；日柱及亲密关系近位优先</x:v>
      </x:c>
      <x:c r="P53" s="74" t="str">
        <x:v>由共享基础引擎判定</x:v>
      </x:c>
      <x:c r="Q53" s="74" t="str">
        <x:v>由共享基础引擎判定</x:v>
      </x:c>
      <x:c r="R53" s="74" t="str">
        <x:v>喜忌不直接等于愿不愿付出；只修正调用顺畅度与资源压力</x:v>
      </x:c>
      <x:c r="S53" s="74" t="str">
        <x:v>原十神性质有效；真合化成立时按化神路由</x:v>
      </x:c>
      <x:c r="T53" s="74" t="str">
        <x:v>由共享基础引擎判定</x:v>
      </x:c>
      <x:c r="U53" s="74" t="str">
        <x:v>76</x:v>
      </x:c>
      <x:c r="V53" s="74" t="str">
        <x:v>主CARE候选 +18</x:v>
      </x:c>
      <x:c r="W53" s="74" t="str">
        <x:v>primary_care_channel</x:v>
      </x:c>
      <x:c r="X53" s="74" t="str">
        <x:v>通过持续安排时间、处理日常事务、稳定投入资源和维护可重复的生活秩序照顾关系。</x:v>
      </x:c>
      <x:c r="Y53" s="74" t="str">
        <x:v>你更容易通过时间、金钱、生活事务、持续出现与现实安排来照顾关系。通过持续安排时间、处理日常事务、稳定投入资源和维护可重复的生活秩序照顾关系。</x:v>
      </x:c>
      <x:c r="Z53" s="74" t="str">
        <x:v>不得推出用户功利、只看金钱、精于算计、缺乏浪漫、一定顾家或必然承担全部家务。</x:v>
      </x:c>
      <x:c r="AA53" s="74" t="str">
        <x:v>中高</x:v>
      </x:c>
      <x:c r="AB53" s="74" t="str">
        <x:v>待验证</x:v>
      </x:c>
      <x:c r="AC53" s="74" t="str"/>
      <x:c r="AD53" s="74" t="str">
        <x:v>provisional=true; channel_id=CA05; ten_god=正财; aspect=base</x:v>
      </x:c>
      <x:c r="AE53" s="74" t="str">
        <x:v>0.4</x:v>
      </x:c>
    </x:row>
    <x:row r="54">
      <x:c r="A54" s="80" t="str">
        <x:v>M3-CARE-050</x:v>
      </x:c>
      <x:c r="B54" s="80" t="str">
        <x:v>正财给予方式｜可观察支持行为</x:v>
      </x:c>
      <x:c r="C54" s="80" t="str">
        <x:v>L1 十神CARE通道</x:v>
      </x:c>
      <x:c r="D54" s="80" t="str">
        <x:v>CARE-十神通道</x:v>
      </x:c>
      <x:c r="E54" s="80" t="str">
        <x:v>通用</x:v>
      </x:c>
      <x:c r="F54" s="80" t="str">
        <x:v>行为证据</x:v>
      </x:c>
      <x:c r="G54" s="74" t="str">
        <x:v>CA05 正财 稳定投入</x:v>
      </x:c>
      <x:c r="H54" s="74" t="str"/>
      <x:c r="I54" s="74" t="str">
        <x:v>正财通道有效，并出现可观察的付出、照顾或支持行为。</x:v>
      </x:c>
      <x:c r="J54" s="74" t="str">
        <x:v>只有抽象标签而无行为证据；一次事件不足以判断长期连续性。</x:v>
      </x:c>
      <x:c r="K54" s="74" t="str">
        <x:v>由共享基础引擎与M3-STATE修正</x:v>
      </x:c>
      <x:c r="L54" s="74" t="str">
        <x:v>不限定；夫妻星仅在形成独立CARE证据或入宫接口时参与</x:v>
      </x:c>
      <x:c r="M54" s="74" t="str">
        <x:v>由M3-BASE、日支结构及共享引擎提供</x:v>
      </x:c>
      <x:c r="N54" s="74" t="str">
        <x:v>CP05 稳定经营型／CF04 投入转责任</x:v>
      </x:c>
      <x:c r="O54" s="74" t="str">
        <x:v>全局有效信号；日柱及亲密关系近位优先</x:v>
      </x:c>
      <x:c r="P54" s="74" t="str">
        <x:v>由共享基础引擎判定</x:v>
      </x:c>
      <x:c r="Q54" s="74" t="str">
        <x:v>由共享基础引擎判定</x:v>
      </x:c>
      <x:c r="R54" s="74" t="str">
        <x:v>喜忌不直接等于愿不愿付出；只修正调用顺畅度与资源压力</x:v>
      </x:c>
      <x:c r="S54" s="74" t="str">
        <x:v>原十神性质有效；真合化成立时按化神路由</x:v>
      </x:c>
      <x:c r="T54" s="74" t="str">
        <x:v>由共享基础引擎判定</x:v>
      </x:c>
      <x:c r="U54" s="74" t="str">
        <x:v>72</x:v>
      </x:c>
      <x:c r="V54" s="74" t="str">
        <x:v>行为证据 +8</x:v>
      </x:c>
      <x:c r="W54" s="74" t="str">
        <x:v>giving_content</x:v>
      </x:c>
      <x:c r="X54" s="74" t="str">
        <x:v>会记住承诺、安排时间、处理生活细节、分配预算、持续出现、把对方纳入现实计划。</x:v>
      </x:c>
      <x:c r="Y54" s="74" t="str">
        <x:v>在实际相处中，你可能会会记住承诺、安排时间、处理生活细节、分配预算、持续出现、把对方纳入现实计划。</x:v>
      </x:c>
      <x:c r="Z54" s="74" t="str">
        <x:v>不得推出用户功利、只看金钱、精于算计、缺乏浪漫、一定顾家或必然承担全部家务。</x:v>
      </x:c>
      <x:c r="AA54" s="74" t="str">
        <x:v>中高</x:v>
      </x:c>
      <x:c r="AB54" s="74" t="str">
        <x:v>待验证</x:v>
      </x:c>
      <x:c r="AC54" s="74" t="str"/>
      <x:c r="AD54" s="74" t="str">
        <x:v>provisional=true; channel_id=CA05; ten_god=正财; aspect=giving</x:v>
      </x:c>
      <x:c r="AE54" s="74" t="str">
        <x:v>0.4</x:v>
      </x:c>
    </x:row>
    <x:row r="55">
      <x:c r="A55" s="80" t="str">
        <x:v>M3-CARE-051</x:v>
      </x:c>
      <x:c r="B55" s="80" t="str">
        <x:v>正财连续性｜稳定投入成立条件</x:v>
      </x:c>
      <x:c r="C55" s="80" t="str">
        <x:v>L1 十神CARE通道</x:v>
      </x:c>
      <x:c r="D55" s="80" t="str">
        <x:v>CARE-十神通道</x:v>
      </x:c>
      <x:c r="E55" s="80" t="str">
        <x:v>通用</x:v>
      </x:c>
      <x:c r="F55" s="80" t="str">
        <x:v>连续性</x:v>
      </x:c>
      <x:c r="G55" s="74" t="str">
        <x:v>CA05 正财 稳定投入</x:v>
      </x:c>
      <x:c r="H55" s="74" t="str"/>
      <x:c r="I55" s="74" t="str">
        <x:v>正财通道需要判断是否形成可重复CARE模式。</x:v>
      </x:c>
      <x:c r="J55" s="74" t="str">
        <x:v>只有单次事件、短期触发或流年覆盖且原局无支持。</x:v>
      </x:c>
      <x:c r="K55" s="74" t="str">
        <x:v>由共享基础引擎与M3-STATE修正</x:v>
      </x:c>
      <x:c r="L55" s="74" t="str">
        <x:v>不限定；夫妻星仅在形成独立CARE证据或入宫接口时参与</x:v>
      </x:c>
      <x:c r="M55" s="74" t="str">
        <x:v>由M3-BASE、日支结构及共享引擎提供</x:v>
      </x:c>
      <x:c r="N55" s="74" t="str">
        <x:v>CP05 稳定经营型／CF04 投入转责任</x:v>
      </x:c>
      <x:c r="O55" s="74" t="str">
        <x:v>全局有效信号；日柱及亲密关系近位优先</x:v>
      </x:c>
      <x:c r="P55" s="74" t="str">
        <x:v>由共享基础引擎判定</x:v>
      </x:c>
      <x:c r="Q55" s="74" t="str">
        <x:v>由共享基础引擎判定</x:v>
      </x:c>
      <x:c r="R55" s="74" t="str">
        <x:v>喜忌不直接等于愿不愿付出；只修正调用顺畅度与资源压力</x:v>
      </x:c>
      <x:c r="S55" s="74" t="str">
        <x:v>原十神性质有效；真合化成立时按化神路由</x:v>
      </x:c>
      <x:c r="T55" s="74" t="str">
        <x:v>由共享基础引擎判定</x:v>
      </x:c>
      <x:c r="U55" s="74" t="str">
        <x:v>68</x:v>
      </x:c>
      <x:c r="V55" s="74" t="str">
        <x:v>连续性按根气和重复证据 +0—8</x:v>
      </x:c>
      <x:c r="W55" s="74" t="str">
        <x:v>continuity_mode</x:v>
      </x:c>
      <x:c r="X55" s="74" t="str">
        <x:v>正财的核心证据是重复、可预期和可落实；单次礼物或一次承担不能替代长期稳定性。</x:v>
      </x:c>
      <x:c r="Y55" s="74" t="str">
        <x:v>正财的核心证据是重复、可预期和可落实；单次礼物或一次承担不能替代长期稳定性。</x:v>
      </x:c>
      <x:c r="Z55" s="74" t="str">
        <x:v>不得推出用户功利、只看金钱、精于算计、缺乏浪漫、一定顾家或必然承担全部家务。</x:v>
      </x:c>
      <x:c r="AA55" s="74" t="str">
        <x:v>中</x:v>
      </x:c>
      <x:c r="AB55" s="74" t="str">
        <x:v>待验证</x:v>
      </x:c>
      <x:c r="AC55" s="74" t="str"/>
      <x:c r="AD55" s="74" t="str">
        <x:v>provisional=true; channel_id=CA05; ten_god=正财; aspect=continuity</x:v>
      </x:c>
      <x:c r="AE55" s="74" t="str">
        <x:v>0.4</x:v>
      </x:c>
    </x:row>
    <x:row r="56">
      <x:c r="A56" s="80" t="str">
        <x:v>M3-CARE-052</x:v>
      </x:c>
      <x:c r="B56" s="80" t="str">
        <x:v>正财请求支持｜怎样说出需要</x:v>
      </x:c>
      <x:c r="C56" s="80" t="str">
        <x:v>L1 十神CARE通道</x:v>
      </x:c>
      <x:c r="D56" s="80" t="str">
        <x:v>CARE-十神通道</x:v>
      </x:c>
      <x:c r="E56" s="80" t="str">
        <x:v>通用</x:v>
      </x:c>
      <x:c r="F56" s="80" t="str">
        <x:v>请求方式</x:v>
      </x:c>
      <x:c r="G56" s="74" t="str">
        <x:v>CA05 正财 稳定投入</x:v>
      </x:c>
      <x:c r="H56" s="74" t="str"/>
      <x:c r="I56" s="74" t="str">
        <x:v>正财在请求帮助或说明资源需要的功能中有效。</x:v>
      </x:c>
      <x:c r="J56" s="74" t="str">
        <x:v>仅凭一个十神推断用户一定会主动求助；没有表达或行为证据。</x:v>
      </x:c>
      <x:c r="K56" s="74" t="str">
        <x:v>由共享基础引擎与M3-STATE修正</x:v>
      </x:c>
      <x:c r="L56" s="74" t="str">
        <x:v>不限定；夫妻星仅在形成独立CARE证据或入宫接口时参与</x:v>
      </x:c>
      <x:c r="M56" s="74" t="str">
        <x:v>由M3-BASE、日支结构及共享引擎提供</x:v>
      </x:c>
      <x:c r="N56" s="74" t="str">
        <x:v>CP05 稳定经营型／CF04 投入转责任</x:v>
      </x:c>
      <x:c r="O56" s="74" t="str">
        <x:v>全局有效信号；日柱及亲密关系近位优先</x:v>
      </x:c>
      <x:c r="P56" s="74" t="str">
        <x:v>由共享基础引擎判定</x:v>
      </x:c>
      <x:c r="Q56" s="74" t="str">
        <x:v>由共享基础引擎判定</x:v>
      </x:c>
      <x:c r="R56" s="74" t="str">
        <x:v>喜忌不直接等于愿不愿付出；只修正调用顺畅度与资源压力</x:v>
      </x:c>
      <x:c r="S56" s="74" t="str">
        <x:v>原十神性质有效；真合化成立时按化神路由</x:v>
      </x:c>
      <x:c r="T56" s="74" t="str">
        <x:v>由共享基础引擎判定</x:v>
      </x:c>
      <x:c r="U56" s="74" t="str">
        <x:v>64</x:v>
      </x:c>
      <x:c r="V56" s="74" t="str">
        <x:v>请求方式候选 +4</x:v>
      </x:c>
      <x:c r="W56" s="74" t="str">
        <x:v>support_request_style</x:v>
      </x:c>
      <x:c r="X56" s="74" t="str">
        <x:v>更容易把求助说成具体事项、时间、预算、分工和可执行步骤。</x:v>
      </x:c>
      <x:c r="Y56" s="74" t="str">
        <x:v>当你需要支持时，更容易把求助说成具体事项、时间、预算、分工和可执行步骤。</x:v>
      </x:c>
      <x:c r="Z56" s="74" t="str">
        <x:v>不得推出用户功利、只看金钱、精于算计、缺乏浪漫、一定顾家或必然承担全部家务。</x:v>
      </x:c>
      <x:c r="AA56" s="74" t="str">
        <x:v>中</x:v>
      </x:c>
      <x:c r="AB56" s="74" t="str">
        <x:v>待验证</x:v>
      </x:c>
      <x:c r="AC56" s="74" t="str"/>
      <x:c r="AD56" s="74" t="str">
        <x:v>provisional=true; channel_id=CA05; ten_god=正财; aspect=request</x:v>
      </x:c>
      <x:c r="AE56" s="74" t="str">
        <x:v>0.4</x:v>
      </x:c>
    </x:row>
    <x:row r="57">
      <x:c r="A57" s="80" t="str">
        <x:v>M3-CARE-053</x:v>
      </x:c>
      <x:c r="B57" s="80" t="str">
        <x:v>正财接受支持｜什么帮助更容易被接收</x:v>
      </x:c>
      <x:c r="C57" s="80" t="str">
        <x:v>L1 十神CARE通道</x:v>
      </x:c>
      <x:c r="D57" s="80" t="str">
        <x:v>CARE-十神通道</x:v>
      </x:c>
      <x:c r="E57" s="80" t="str">
        <x:v>通用</x:v>
      </x:c>
      <x:c r="F57" s="80" t="str">
        <x:v>接受方式</x:v>
      </x:c>
      <x:c r="G57" s="74" t="str">
        <x:v>CA05 正财 稳定投入</x:v>
      </x:c>
      <x:c r="H57" s="74" t="str"/>
      <x:c r="I57" s="74" t="str">
        <x:v>正财在接收、识别或评价支持的功能中有效。</x:v>
      </x:c>
      <x:c r="J57" s="74" t="str">
        <x:v>把M2选择标准直接当作M3接受支持习惯；只有单一弱远信号。</x:v>
      </x:c>
      <x:c r="K57" s="74" t="str">
        <x:v>由共享基础引擎与M3-STATE修正</x:v>
      </x:c>
      <x:c r="L57" s="74" t="str">
        <x:v>不限定；夫妻星仅在形成独立CARE证据或入宫接口时参与</x:v>
      </x:c>
      <x:c r="M57" s="74" t="str">
        <x:v>由M3-BASE、日支结构及共享引擎提供</x:v>
      </x:c>
      <x:c r="N57" s="74" t="str">
        <x:v>CP05 稳定经营型／CF04 投入转责任</x:v>
      </x:c>
      <x:c r="O57" s="74" t="str">
        <x:v>全局有效信号；日柱及亲密关系近位优先</x:v>
      </x:c>
      <x:c r="P57" s="74" t="str">
        <x:v>由共享基础引擎判定</x:v>
      </x:c>
      <x:c r="Q57" s="74" t="str">
        <x:v>由共享基础引擎判定</x:v>
      </x:c>
      <x:c r="R57" s="74" t="str">
        <x:v>喜忌不直接等于愿不愿付出；只修正调用顺畅度与资源压力</x:v>
      </x:c>
      <x:c r="S57" s="74" t="str">
        <x:v>原十神性质有效；真合化成立时按化神路由</x:v>
      </x:c>
      <x:c r="T57" s="74" t="str">
        <x:v>由共享基础引擎判定</x:v>
      </x:c>
      <x:c r="U57" s="74" t="str">
        <x:v>63</x:v>
      </x:c>
      <x:c r="V57" s="74" t="str">
        <x:v>接受方式候选 +4</x:v>
      </x:c>
      <x:c r="W57" s="74" t="str">
        <x:v>support_receiving_style</x:v>
      </x:c>
      <x:c r="X57" s="74" t="str">
        <x:v>更容易从对方是否持续出现、把话落实、处理现实问题和尊重共同安排中感到被支持。</x:v>
      </x:c>
      <x:c r="Y57" s="74" t="str">
        <x:v>你更容易把更容易从对方是否持续出现、把话落实、处理现实问题和尊重共同安排中感到被支持。感知为真正有帮助。</x:v>
      </x:c>
      <x:c r="Z57" s="74" t="str">
        <x:v>不得推出用户功利、只看金钱、精于算计、缺乏浪漫、一定顾家或必然承担全部家务。</x:v>
      </x:c>
      <x:c r="AA57" s="74" t="str">
        <x:v>中</x:v>
      </x:c>
      <x:c r="AB57" s="74" t="str">
        <x:v>待验证</x:v>
      </x:c>
      <x:c r="AC57" s="74" t="str"/>
      <x:c r="AD57" s="74" t="str">
        <x:v>provisional=true; channel_id=CA05; ten_god=正财; aspect=receive</x:v>
      </x:c>
      <x:c r="AE57" s="74" t="str">
        <x:v>0.4</x:v>
      </x:c>
    </x:row>
    <x:row r="58">
      <x:c r="A58" s="80" t="str">
        <x:v>M3-CARE-054</x:v>
      </x:c>
      <x:c r="B58" s="80" t="str">
        <x:v>正财状态修正｜平衡与抢先启动</x:v>
      </x:c>
      <x:c r="C58" s="80" t="str">
        <x:v>L1 十神CARE通道</x:v>
      </x:c>
      <x:c r="D58" s="80" t="str">
        <x:v>CARE-十神通道</x:v>
      </x:c>
      <x:c r="E58" s="80" t="str">
        <x:v>通用</x:v>
      </x:c>
      <x:c r="F58" s="80" t="str">
        <x:v>状态修正</x:v>
      </x:c>
      <x:c r="G58" s="74" t="str">
        <x:v>CA05 正财 稳定投入</x:v>
      </x:c>
      <x:c r="H58" s="74" t="str"/>
      <x:c r="I58" s="74" t="str">
        <x:v>正财通道强度已由共享引擎判定为平衡、过旺或抢先启动。</x:v>
      </x:c>
      <x:c r="J58" s="74" t="str">
        <x:v>旺衰未定；把过旺直接解释为过度付出或风险。</x:v>
      </x:c>
      <x:c r="K58" s="74" t="str">
        <x:v>由共享基础引擎与M3-STATE修正</x:v>
      </x:c>
      <x:c r="L58" s="74" t="str">
        <x:v>不限定；夫妻星仅在形成独立CARE证据或入宫接口时参与</x:v>
      </x:c>
      <x:c r="M58" s="74" t="str">
        <x:v>由M3-BASE、日支结构及共享引擎提供</x:v>
      </x:c>
      <x:c r="N58" s="74" t="str">
        <x:v>CP05 稳定经营型／CF04 投入转责任</x:v>
      </x:c>
      <x:c r="O58" s="74" t="str">
        <x:v>全局有效信号；日柱及亲密关系近位优先</x:v>
      </x:c>
      <x:c r="P58" s="74" t="str">
        <x:v>由共享基础引擎判定</x:v>
      </x:c>
      <x:c r="Q58" s="74" t="str">
        <x:v>由共享基础引擎判定</x:v>
      </x:c>
      <x:c r="R58" s="74" t="str">
        <x:v>喜忌不直接等于愿不愿付出；只修正调用顺畅度与资源压力</x:v>
      </x:c>
      <x:c r="S58" s="74" t="str">
        <x:v>原十神性质有效；真合化成立时按化神路由</x:v>
      </x:c>
      <x:c r="T58" s="74" t="str">
        <x:v>由共享基础引擎判定</x:v>
      </x:c>
      <x:c r="U58" s="74" t="str">
        <x:v>59</x:v>
      </x:c>
      <x:c r="V58" s="74" t="str">
        <x:v>修正强度，不新增独立证据</x:v>
      </x:c>
      <x:c r="W58" s="74" t="str">
        <x:v>state_shift</x:v>
      </x:c>
      <x:c r="X58" s="74" t="str">
        <x:v>平衡时呈现为稳定而有节奏的经营；过旺时只说明现实安排和资源分配容易成为支持的优先入口。</x:v>
      </x:c>
      <x:c r="Y58" s="74" t="str">
        <x:v>平衡时呈现为稳定而有节奏的经营；过旺时只说明现实安排和资源分配容易成为支持的优先入口。</x:v>
      </x:c>
      <x:c r="Z58" s="74" t="str">
        <x:v>不得推出用户功利、只看金钱、精于算计、缺乏浪漫、一定顾家或必然承担全部家务。</x:v>
      </x:c>
      <x:c r="AA58" s="74" t="str">
        <x:v>中</x:v>
      </x:c>
      <x:c r="AB58" s="74" t="str">
        <x:v>待验证</x:v>
      </x:c>
      <x:c r="AC58" s="74" t="str"/>
      <x:c r="AD58" s="74" t="str">
        <x:v>provisional=true; channel_id=CA05; ten_god=正财; aspect=state</x:v>
      </x:c>
      <x:c r="AE58" s="74" t="str">
        <x:v>0.4</x:v>
      </x:c>
    </x:row>
    <x:row r="59">
      <x:c r="A59" s="80" t="str">
        <x:v>M3-CARE-055</x:v>
      </x:c>
      <x:c r="B59" s="80" t="str">
        <x:v>正财禁止误读｜稳定投入边界</x:v>
      </x:c>
      <x:c r="C59" s="80" t="str">
        <x:v>L1 十神CARE通道</x:v>
      </x:c>
      <x:c r="D59" s="80" t="str">
        <x:v>CARE-十神通道</x:v>
      </x:c>
      <x:c r="E59" s="80" t="str">
        <x:v>通用</x:v>
      </x:c>
      <x:c r="F59" s="80" t="str">
        <x:v>禁止推断</x:v>
      </x:c>
      <x:c r="G59" s="74" t="str">
        <x:v>CA05 正财 稳定投入</x:v>
      </x:c>
      <x:c r="H59" s="74" t="str"/>
      <x:c r="I59" s="74" t="str">
        <x:v>正在把正财CARE通道翻译为用户语言。</x:v>
      </x:c>
      <x:c r="J59" s="74" t="str">
        <x:v>无</x:v>
      </x:c>
      <x:c r="K59" s="74" t="str">
        <x:v>由共享基础引擎与M3-STATE修正</x:v>
      </x:c>
      <x:c r="L59" s="74" t="str">
        <x:v>不限定；夫妻星仅在形成独立CARE证据或入宫接口时参与</x:v>
      </x:c>
      <x:c r="M59" s="74" t="str">
        <x:v>由M3-BASE、日支结构及共享引擎提供</x:v>
      </x:c>
      <x:c r="N59" s="74" t="str">
        <x:v>CP05 稳定经营型／CF04 投入转责任</x:v>
      </x:c>
      <x:c r="O59" s="74" t="str">
        <x:v>全局有效信号；日柱及亲密关系近位优先</x:v>
      </x:c>
      <x:c r="P59" s="74" t="str">
        <x:v>由共享基础引擎判定</x:v>
      </x:c>
      <x:c r="Q59" s="74" t="str">
        <x:v>由共享基础引擎判定</x:v>
      </x:c>
      <x:c r="R59" s="74" t="str">
        <x:v>喜忌不直接等于愿不愿付出；只修正调用顺畅度与资源压力</x:v>
      </x:c>
      <x:c r="S59" s="74" t="str">
        <x:v>原十神性质有效；真合化成立时按化神路由</x:v>
      </x:c>
      <x:c r="T59" s="74" t="str">
        <x:v>由共享基础引擎判定</x:v>
      </x:c>
      <x:c r="U59" s="74" t="str">
        <x:v>58</x:v>
      </x:c>
      <x:c r="V59" s="74" t="str">
        <x:v>不加分；边界检查</x:v>
      </x:c>
      <x:c r="W59" s="74" t="str">
        <x:v>boundary_note</x:v>
      </x:c>
      <x:c r="X59" s="74" t="str">
        <x:v>正财只提供时间、金钱、生活事务、持续出现与现实安排这一支持功能，不能越界到人格好坏、关系风险或结果。</x:v>
      </x:c>
      <x:c r="Y59" s="74" t="str">
        <x:v>这里描述的是你可能更常使用的支持方式，不代表你只能这样照顾人，也不代表其他方式一定缺失。</x:v>
      </x:c>
      <x:c r="Z59" s="74" t="str">
        <x:v>不得推出用户功利、只看金钱、精于算计、缺乏浪漫、一定顾家或必然承担全部家务。</x:v>
      </x:c>
      <x:c r="AA59" s="74" t="str">
        <x:v>高</x:v>
      </x:c>
      <x:c r="AB59" s="74" t="str">
        <x:v>待验证</x:v>
      </x:c>
      <x:c r="AC59" s="74" t="str"/>
      <x:c r="AD59" s="74" t="str">
        <x:v>provisional=true; channel_id=CA05; ten_god=正财; aspect=boundary</x:v>
      </x:c>
      <x:c r="AE59" s="74" t="str">
        <x:v>0.4</x:v>
      </x:c>
    </x:row>
    <x:row r="60">
      <x:c r="A60" s="80" t="str">
        <x:v>M3-CARE-056</x:v>
      </x:c>
      <x:c r="B60" s="80" t="str">
        <x:v>偏财CARE通道｜CA06 灵活馈赠</x:v>
      </x:c>
      <x:c r="C60" s="80" t="str">
        <x:v>L1 十神CARE通道</x:v>
      </x:c>
      <x:c r="D60" s="80" t="str">
        <x:v>CARE-十神通道</x:v>
      </x:c>
      <x:c r="E60" s="80" t="str">
        <x:v>通用</x:v>
      </x:c>
      <x:c r="F60" s="80" t="str">
        <x:v>基础通道</x:v>
      </x:c>
      <x:c r="G60" s="74" t="str">
        <x:v>CA06 偏财 灵活馈赠</x:v>
      </x:c>
      <x:c r="H60" s="74" t="str"/>
      <x:c r="I60" s="74" t="str">
        <x:v>偏财为有效信号，且未被真合化替换；至少具备透干、有根、近位、日支参与或独立流向支持之一。</x:v>
      </x:c>
      <x:c r="J60" s="74" t="str">
        <x:v>偏财真合化后失效；仅有单一弱远无根信号；基础十神判定有争议。</x:v>
      </x:c>
      <x:c r="K60" s="74" t="str">
        <x:v>由共享基础引擎与M3-STATE修正</x:v>
      </x:c>
      <x:c r="L60" s="74" t="str">
        <x:v>不限定；夫妻星仅在形成独立CARE证据或入宫接口时参与</x:v>
      </x:c>
      <x:c r="M60" s="74" t="str">
        <x:v>由M3-BASE、日支结构及共享引擎提供</x:v>
      </x:c>
      <x:c r="N60" s="74" t="str">
        <x:v>CP10 灵活体验型／CF04 投入转责任</x:v>
      </x:c>
      <x:c r="O60" s="74" t="str">
        <x:v>全局有效信号；日柱及亲密关系近位优先</x:v>
      </x:c>
      <x:c r="P60" s="74" t="str">
        <x:v>由共享基础引擎判定</x:v>
      </x:c>
      <x:c r="Q60" s="74" t="str">
        <x:v>由共享基础引擎判定</x:v>
      </x:c>
      <x:c r="R60" s="74" t="str">
        <x:v>喜忌不直接等于愿不愿付出；只修正调用顺畅度与资源压力</x:v>
      </x:c>
      <x:c r="S60" s="74" t="str">
        <x:v>原十神性质有效；真合化成立时按化神路由</x:v>
      </x:c>
      <x:c r="T60" s="74" t="str">
        <x:v>由共享基础引擎判定</x:v>
      </x:c>
      <x:c r="U60" s="74" t="str">
        <x:v>76</x:v>
      </x:c>
      <x:c r="V60" s="74" t="str">
        <x:v>主CARE候选 +18</x:v>
      </x:c>
      <x:c r="W60" s="74" t="str">
        <x:v>primary_care_channel</x:v>
      </x:c>
      <x:c r="X60" s="74" t="str">
        <x:v>通过灵活调配资源、创造体验、及时回应机会、分享人脉或让关系保持活力来提供支持。</x:v>
      </x:c>
      <x:c r="Y60" s="74" t="str">
        <x:v>你更容易通过灵活资源、礼物、体验、人脉与即时便利来照顾关系。通过灵活调配资源、创造体验、及时回应机会、分享人脉或让关系保持活力来提供支持。</x:v>
      </x:c>
      <x:c r="Z60" s="74" t="str">
        <x:v>不得推出用户花心、挥霍、爱暧昧、只追求新鲜、不会负责或一定擅长社交。</x:v>
      </x:c>
      <x:c r="AA60" s="74" t="str">
        <x:v>中高</x:v>
      </x:c>
      <x:c r="AB60" s="74" t="str">
        <x:v>待验证</x:v>
      </x:c>
      <x:c r="AC60" s="74" t="str"/>
      <x:c r="AD60" s="74" t="str">
        <x:v>provisional=true; channel_id=CA06; ten_god=偏财; aspect=base</x:v>
      </x:c>
      <x:c r="AE60" s="74" t="str">
        <x:v>0.4</x:v>
      </x:c>
    </x:row>
    <x:row r="61">
      <x:c r="A61" s="80" t="str">
        <x:v>M3-CARE-057</x:v>
      </x:c>
      <x:c r="B61" s="80" t="str">
        <x:v>偏财给予方式｜可观察支持行为</x:v>
      </x:c>
      <x:c r="C61" s="80" t="str">
        <x:v>L1 十神CARE通道</x:v>
      </x:c>
      <x:c r="D61" s="80" t="str">
        <x:v>CARE-十神通道</x:v>
      </x:c>
      <x:c r="E61" s="80" t="str">
        <x:v>通用</x:v>
      </x:c>
      <x:c r="F61" s="80" t="str">
        <x:v>行为证据</x:v>
      </x:c>
      <x:c r="G61" s="74" t="str">
        <x:v>CA06 偏财 灵活馈赠</x:v>
      </x:c>
      <x:c r="H61" s="74" t="str"/>
      <x:c r="I61" s="74" t="str">
        <x:v>偏财通道有效，并出现可观察的付出、照顾或支持行为。</x:v>
      </x:c>
      <x:c r="J61" s="74" t="str">
        <x:v>只有抽象标签而无行为证据；一次事件不足以判断长期连续性。</x:v>
      </x:c>
      <x:c r="K61" s="74" t="str">
        <x:v>由共享基础引擎与M3-STATE修正</x:v>
      </x:c>
      <x:c r="L61" s="74" t="str">
        <x:v>不限定；夫妻星仅在形成独立CARE证据或入宫接口时参与</x:v>
      </x:c>
      <x:c r="M61" s="74" t="str">
        <x:v>由M3-BASE、日支结构及共享引擎提供</x:v>
      </x:c>
      <x:c r="N61" s="74" t="str">
        <x:v>CP10 灵活体验型／CF04 投入转责任</x:v>
      </x:c>
      <x:c r="O61" s="74" t="str">
        <x:v>全局有效信号；日柱及亲密关系近位优先</x:v>
      </x:c>
      <x:c r="P61" s="74" t="str">
        <x:v>由共享基础引擎判定</x:v>
      </x:c>
      <x:c r="Q61" s="74" t="str">
        <x:v>由共享基础引擎判定</x:v>
      </x:c>
      <x:c r="R61" s="74" t="str">
        <x:v>喜忌不直接等于愿不愿付出；只修正调用顺畅度与资源压力</x:v>
      </x:c>
      <x:c r="S61" s="74" t="str">
        <x:v>原十神性质有效；真合化成立时按化神路由</x:v>
      </x:c>
      <x:c r="T61" s="74" t="str">
        <x:v>由共享基础引擎判定</x:v>
      </x:c>
      <x:c r="U61" s="74" t="str">
        <x:v>72</x:v>
      </x:c>
      <x:c r="V61" s="74" t="str">
        <x:v>行为证据 +8</x:v>
      </x:c>
      <x:c r="W61" s="74" t="str">
        <x:v>giving_content</x:v>
      </x:c>
      <x:c r="X61" s="74" t="str">
        <x:v>会邀约、送礼、制造体验、临时调整安排、分享资源和人脉，或在当下迅速满足一个具体需要。</x:v>
      </x:c>
      <x:c r="Y61" s="74" t="str">
        <x:v>在实际相处中，你可能会会邀约、送礼、制造体验、临时调整安排、分享资源和人脉，或在当下迅速满足一个具体需要。</x:v>
      </x:c>
      <x:c r="Z61" s="74" t="str">
        <x:v>不得推出用户花心、挥霍、爱暧昧、只追求新鲜、不会负责或一定擅长社交。</x:v>
      </x:c>
      <x:c r="AA61" s="74" t="str">
        <x:v>中高</x:v>
      </x:c>
      <x:c r="AB61" s="74" t="str">
        <x:v>待验证</x:v>
      </x:c>
      <x:c r="AC61" s="74" t="str"/>
      <x:c r="AD61" s="74" t="str">
        <x:v>provisional=true; channel_id=CA06; ten_god=偏财; aspect=giving</x:v>
      </x:c>
      <x:c r="AE61" s="74" t="str">
        <x:v>0.4</x:v>
      </x:c>
    </x:row>
    <x:row r="62">
      <x:c r="A62" s="80" t="str">
        <x:v>M3-CARE-058</x:v>
      </x:c>
      <x:c r="B62" s="80" t="str">
        <x:v>偏财连续性｜稳定投入成立条件</x:v>
      </x:c>
      <x:c r="C62" s="80" t="str">
        <x:v>L1 十神CARE通道</x:v>
      </x:c>
      <x:c r="D62" s="80" t="str">
        <x:v>CARE-十神通道</x:v>
      </x:c>
      <x:c r="E62" s="80" t="str">
        <x:v>通用</x:v>
      </x:c>
      <x:c r="F62" s="80" t="str">
        <x:v>连续性</x:v>
      </x:c>
      <x:c r="G62" s="74" t="str">
        <x:v>CA06 偏财 灵活馈赠</x:v>
      </x:c>
      <x:c r="H62" s="74" t="str"/>
      <x:c r="I62" s="74" t="str">
        <x:v>偏财通道需要判断是否形成可重复CARE模式。</x:v>
      </x:c>
      <x:c r="J62" s="74" t="str">
        <x:v>只有单次事件、短期触发或流年覆盖且原局无支持。</x:v>
      </x:c>
      <x:c r="K62" s="74" t="str">
        <x:v>由共享基础引擎与M3-STATE修正</x:v>
      </x:c>
      <x:c r="L62" s="74" t="str">
        <x:v>不限定；夫妻星仅在形成独立CARE证据或入宫接口时参与</x:v>
      </x:c>
      <x:c r="M62" s="74" t="str">
        <x:v>由M3-BASE、日支结构及共享引擎提供</x:v>
      </x:c>
      <x:c r="N62" s="74" t="str">
        <x:v>CP10 灵活体验型／CF04 投入转责任</x:v>
      </x:c>
      <x:c r="O62" s="74" t="str">
        <x:v>全局有效信号；日柱及亲密关系近位优先</x:v>
      </x:c>
      <x:c r="P62" s="74" t="str">
        <x:v>由共享基础引擎判定</x:v>
      </x:c>
      <x:c r="Q62" s="74" t="str">
        <x:v>由共享基础引擎判定</x:v>
      </x:c>
      <x:c r="R62" s="74" t="str">
        <x:v>喜忌不直接等于愿不愿付出；只修正调用顺畅度与资源压力</x:v>
      </x:c>
      <x:c r="S62" s="74" t="str">
        <x:v>原十神性质有效；真合化成立时按化神路由</x:v>
      </x:c>
      <x:c r="T62" s="74" t="str">
        <x:v>由共享基础引擎判定</x:v>
      </x:c>
      <x:c r="U62" s="74" t="str">
        <x:v>68</x:v>
      </x:c>
      <x:c r="V62" s="74" t="str">
        <x:v>连续性按根气和重复证据 +0—8</x:v>
      </x:c>
      <x:c r="W62" s="74" t="str">
        <x:v>continuity_mode</x:v>
      </x:c>
      <x:c r="X62" s="74" t="str">
        <x:v>更强调回应速度、体验质量和资源灵活度；是否形成稳定长期投入，需要根气、正财或官杀的独立证据。</x:v>
      </x:c>
      <x:c r="Y62" s="74" t="str">
        <x:v>更强调回应速度、体验质量和资源灵活度；是否形成稳定长期投入，需要根气、正财或官杀的独立证据。</x:v>
      </x:c>
      <x:c r="Z62" s="74" t="str">
        <x:v>不得推出用户花心、挥霍、爱暧昧、只追求新鲜、不会负责或一定擅长社交。</x:v>
      </x:c>
      <x:c r="AA62" s="74" t="str">
        <x:v>中</x:v>
      </x:c>
      <x:c r="AB62" s="74" t="str">
        <x:v>待验证</x:v>
      </x:c>
      <x:c r="AC62" s="74" t="str"/>
      <x:c r="AD62" s="74" t="str">
        <x:v>provisional=true; channel_id=CA06; ten_god=偏财; aspect=continuity</x:v>
      </x:c>
      <x:c r="AE62" s="74" t="str">
        <x:v>0.4</x:v>
      </x:c>
    </x:row>
    <x:row r="63">
      <x:c r="A63" s="80" t="str">
        <x:v>M3-CARE-059</x:v>
      </x:c>
      <x:c r="B63" s="80" t="str">
        <x:v>偏财请求支持｜怎样说出需要</x:v>
      </x:c>
      <x:c r="C63" s="80" t="str">
        <x:v>L1 十神CARE通道</x:v>
      </x:c>
      <x:c r="D63" s="80" t="str">
        <x:v>CARE-十神通道</x:v>
      </x:c>
      <x:c r="E63" s="80" t="str">
        <x:v>通用</x:v>
      </x:c>
      <x:c r="F63" s="80" t="str">
        <x:v>请求方式</x:v>
      </x:c>
      <x:c r="G63" s="74" t="str">
        <x:v>CA06 偏财 灵活馈赠</x:v>
      </x:c>
      <x:c r="H63" s="74" t="str"/>
      <x:c r="I63" s="74" t="str">
        <x:v>偏财在请求帮助或说明资源需要的功能中有效。</x:v>
      </x:c>
      <x:c r="J63" s="74" t="str">
        <x:v>仅凭一个十神推断用户一定会主动求助；没有表达或行为证据。</x:v>
      </x:c>
      <x:c r="K63" s="74" t="str">
        <x:v>由共享基础引擎与M3-STATE修正</x:v>
      </x:c>
      <x:c r="L63" s="74" t="str">
        <x:v>不限定；夫妻星仅在形成独立CARE证据或入宫接口时参与</x:v>
      </x:c>
      <x:c r="M63" s="74" t="str">
        <x:v>由M3-BASE、日支结构及共享引擎提供</x:v>
      </x:c>
      <x:c r="N63" s="74" t="str">
        <x:v>CP10 灵活体验型／CF04 投入转责任</x:v>
      </x:c>
      <x:c r="O63" s="74" t="str">
        <x:v>全局有效信号；日柱及亲密关系近位优先</x:v>
      </x:c>
      <x:c r="P63" s="74" t="str">
        <x:v>由共享基础引擎判定</x:v>
      </x:c>
      <x:c r="Q63" s="74" t="str">
        <x:v>由共享基础引擎判定</x:v>
      </x:c>
      <x:c r="R63" s="74" t="str">
        <x:v>喜忌不直接等于愿不愿付出；只修正调用顺畅度与资源压力</x:v>
      </x:c>
      <x:c r="S63" s="74" t="str">
        <x:v>原十神性质有效；真合化成立时按化神路由</x:v>
      </x:c>
      <x:c r="T63" s="74" t="str">
        <x:v>由共享基础引擎判定</x:v>
      </x:c>
      <x:c r="U63" s="74" t="str">
        <x:v>64</x:v>
      </x:c>
      <x:c r="V63" s="74" t="str">
        <x:v>请求方式候选 +4</x:v>
      </x:c>
      <x:c r="W63" s="74" t="str">
        <x:v>support_request_style</x:v>
      </x:c>
      <x:c r="X63" s="74" t="str">
        <x:v>求助常以当下需要、机会、资源或共同体验的形式提出，较少要求严格固定流程。</x:v>
      </x:c>
      <x:c r="Y63" s="74" t="str">
        <x:v>当你需要支持时，求助常以当下需要、机会、资源或共同体验的形式提出，较少要求严格固定流程。</x:v>
      </x:c>
      <x:c r="Z63" s="74" t="str">
        <x:v>不得推出用户花心、挥霍、爱暧昧、只追求新鲜、不会负责或一定擅长社交。</x:v>
      </x:c>
      <x:c r="AA63" s="74" t="str">
        <x:v>中</x:v>
      </x:c>
      <x:c r="AB63" s="74" t="str">
        <x:v>待验证</x:v>
      </x:c>
      <x:c r="AC63" s="74" t="str"/>
      <x:c r="AD63" s="74" t="str">
        <x:v>provisional=true; channel_id=CA06; ten_god=偏财; aspect=request</x:v>
      </x:c>
      <x:c r="AE63" s="74" t="str">
        <x:v>0.4</x:v>
      </x:c>
    </x:row>
    <x:row r="64">
      <x:c r="A64" s="80" t="str">
        <x:v>M3-CARE-060</x:v>
      </x:c>
      <x:c r="B64" s="80" t="str">
        <x:v>偏财接受支持｜什么帮助更容易被接收</x:v>
      </x:c>
      <x:c r="C64" s="80" t="str">
        <x:v>L1 十神CARE通道</x:v>
      </x:c>
      <x:c r="D64" s="80" t="str">
        <x:v>CARE-十神通道</x:v>
      </x:c>
      <x:c r="E64" s="80" t="str">
        <x:v>通用</x:v>
      </x:c>
      <x:c r="F64" s="80" t="str">
        <x:v>接受方式</x:v>
      </x:c>
      <x:c r="G64" s="74" t="str">
        <x:v>CA06 偏财 灵活馈赠</x:v>
      </x:c>
      <x:c r="H64" s="74" t="str"/>
      <x:c r="I64" s="74" t="str">
        <x:v>偏财在接收、识别或评价支持的功能中有效。</x:v>
      </x:c>
      <x:c r="J64" s="74" t="str">
        <x:v>把M2选择标准直接当作M3接受支持习惯；只有单一弱远信号。</x:v>
      </x:c>
      <x:c r="K64" s="74" t="str">
        <x:v>由共享基础引擎与M3-STATE修正</x:v>
      </x:c>
      <x:c r="L64" s="74" t="str">
        <x:v>不限定；夫妻星仅在形成独立CARE证据或入宫接口时参与</x:v>
      </x:c>
      <x:c r="M64" s="74" t="str">
        <x:v>由M3-BASE、日支结构及共享引擎提供</x:v>
      </x:c>
      <x:c r="N64" s="74" t="str">
        <x:v>CP10 灵活体验型／CF04 投入转责任</x:v>
      </x:c>
      <x:c r="O64" s="74" t="str">
        <x:v>全局有效信号；日柱及亲密关系近位优先</x:v>
      </x:c>
      <x:c r="P64" s="74" t="str">
        <x:v>由共享基础引擎判定</x:v>
      </x:c>
      <x:c r="Q64" s="74" t="str">
        <x:v>由共享基础引擎判定</x:v>
      </x:c>
      <x:c r="R64" s="74" t="str">
        <x:v>喜忌不直接等于愿不愿付出；只修正调用顺畅度与资源压力</x:v>
      </x:c>
      <x:c r="S64" s="74" t="str">
        <x:v>原十神性质有效；真合化成立时按化神路由</x:v>
      </x:c>
      <x:c r="T64" s="74" t="str">
        <x:v>由共享基础引擎判定</x:v>
      </x:c>
      <x:c r="U64" s="74" t="str">
        <x:v>63</x:v>
      </x:c>
      <x:c r="V64" s="74" t="str">
        <x:v>接受方式候选 +4</x:v>
      </x:c>
      <x:c r="W64" s="74" t="str">
        <x:v>support_receiving_style</x:v>
      </x:c>
      <x:c r="X64" s="74" t="str">
        <x:v>更容易接受灵活、有回应、能带来实际便利或新鲜体验的帮助。</x:v>
      </x:c>
      <x:c r="Y64" s="74" t="str">
        <x:v>你更容易把灵活、有回应、能带来实际便利或新鲜体验的帮助。感知为真正有帮助。</x:v>
      </x:c>
      <x:c r="Z64" s="74" t="str">
        <x:v>不得推出用户花心、挥霍、爱暧昧、只追求新鲜、不会负责或一定擅长社交。</x:v>
      </x:c>
      <x:c r="AA64" s="74" t="str">
        <x:v>中</x:v>
      </x:c>
      <x:c r="AB64" s="74" t="str">
        <x:v>待验证</x:v>
      </x:c>
      <x:c r="AC64" s="74" t="str"/>
      <x:c r="AD64" s="74" t="str">
        <x:v>provisional=true; channel_id=CA06; ten_god=偏财; aspect=receive</x:v>
      </x:c>
      <x:c r="AE64" s="74" t="str">
        <x:v>0.4</x:v>
      </x:c>
    </x:row>
    <x:row r="65">
      <x:c r="A65" s="80" t="str">
        <x:v>M3-CARE-061</x:v>
      </x:c>
      <x:c r="B65" s="80" t="str">
        <x:v>偏财状态修正｜平衡与抢先启动</x:v>
      </x:c>
      <x:c r="C65" s="80" t="str">
        <x:v>L1 十神CARE通道</x:v>
      </x:c>
      <x:c r="D65" s="80" t="str">
        <x:v>CARE-十神通道</x:v>
      </x:c>
      <x:c r="E65" s="80" t="str">
        <x:v>通用</x:v>
      </x:c>
      <x:c r="F65" s="80" t="str">
        <x:v>状态修正</x:v>
      </x:c>
      <x:c r="G65" s="74" t="str">
        <x:v>CA06 偏财 灵活馈赠</x:v>
      </x:c>
      <x:c r="H65" s="74" t="str"/>
      <x:c r="I65" s="74" t="str">
        <x:v>偏财通道强度已由共享引擎判定为平衡、过旺或抢先启动。</x:v>
      </x:c>
      <x:c r="J65" s="74" t="str">
        <x:v>旺衰未定；把过旺直接解释为过度付出或风险。</x:v>
      </x:c>
      <x:c r="K65" s="74" t="str">
        <x:v>由共享基础引擎与M3-STATE修正</x:v>
      </x:c>
      <x:c r="L65" s="74" t="str">
        <x:v>不限定；夫妻星仅在形成独立CARE证据或入宫接口时参与</x:v>
      </x:c>
      <x:c r="M65" s="74" t="str">
        <x:v>由M3-BASE、日支结构及共享引擎提供</x:v>
      </x:c>
      <x:c r="N65" s="74" t="str">
        <x:v>CP10 灵活体验型／CF04 投入转责任</x:v>
      </x:c>
      <x:c r="O65" s="74" t="str">
        <x:v>全局有效信号；日柱及亲密关系近位优先</x:v>
      </x:c>
      <x:c r="P65" s="74" t="str">
        <x:v>由共享基础引擎判定</x:v>
      </x:c>
      <x:c r="Q65" s="74" t="str">
        <x:v>由共享基础引擎判定</x:v>
      </x:c>
      <x:c r="R65" s="74" t="str">
        <x:v>喜忌不直接等于愿不愿付出；只修正调用顺畅度与资源压力</x:v>
      </x:c>
      <x:c r="S65" s="74" t="str">
        <x:v>原十神性质有效；真合化成立时按化神路由</x:v>
      </x:c>
      <x:c r="T65" s="74" t="str">
        <x:v>由共享基础引擎判定</x:v>
      </x:c>
      <x:c r="U65" s="74" t="str">
        <x:v>59</x:v>
      </x:c>
      <x:c r="V65" s="74" t="str">
        <x:v>修正强度，不新增独立证据</x:v>
      </x:c>
      <x:c r="W65" s="74" t="str">
        <x:v>state_shift</x:v>
      </x:c>
      <x:c r="X65" s="74" t="str">
        <x:v>平衡时是灵活、慷慨而不僵化的支持；过旺时只说明资源和体验回应容易抢先出现。</x:v>
      </x:c>
      <x:c r="Y65" s="74" t="str">
        <x:v>平衡时是灵活、慷慨而不僵化的支持；过旺时只说明资源和体验回应容易抢先出现。</x:v>
      </x:c>
      <x:c r="Z65" s="74" t="str">
        <x:v>不得推出用户花心、挥霍、爱暧昧、只追求新鲜、不会负责或一定擅长社交。</x:v>
      </x:c>
      <x:c r="AA65" s="74" t="str">
        <x:v>中</x:v>
      </x:c>
      <x:c r="AB65" s="74" t="str">
        <x:v>待验证</x:v>
      </x:c>
      <x:c r="AC65" s="74" t="str"/>
      <x:c r="AD65" s="74" t="str">
        <x:v>provisional=true; channel_id=CA06; ten_god=偏财; aspect=state</x:v>
      </x:c>
      <x:c r="AE65" s="74" t="str">
        <x:v>0.4</x:v>
      </x:c>
    </x:row>
    <x:row r="66">
      <x:c r="A66" s="80" t="str">
        <x:v>M3-CARE-062</x:v>
      </x:c>
      <x:c r="B66" s="80" t="str">
        <x:v>偏财禁止误读｜灵活馈赠边界</x:v>
      </x:c>
      <x:c r="C66" s="80" t="str">
        <x:v>L1 十神CARE通道</x:v>
      </x:c>
      <x:c r="D66" s="80" t="str">
        <x:v>CARE-十神通道</x:v>
      </x:c>
      <x:c r="E66" s="80" t="str">
        <x:v>通用</x:v>
      </x:c>
      <x:c r="F66" s="80" t="str">
        <x:v>禁止推断</x:v>
      </x:c>
      <x:c r="G66" s="74" t="str">
        <x:v>CA06 偏财 灵活馈赠</x:v>
      </x:c>
      <x:c r="H66" s="74" t="str"/>
      <x:c r="I66" s="74" t="str">
        <x:v>正在把偏财CARE通道翻译为用户语言。</x:v>
      </x:c>
      <x:c r="J66" s="74" t="str">
        <x:v>无</x:v>
      </x:c>
      <x:c r="K66" s="74" t="str">
        <x:v>由共享基础引擎与M3-STATE修正</x:v>
      </x:c>
      <x:c r="L66" s="74" t="str">
        <x:v>不限定；夫妻星仅在形成独立CARE证据或入宫接口时参与</x:v>
      </x:c>
      <x:c r="M66" s="74" t="str">
        <x:v>由M3-BASE、日支结构及共享引擎提供</x:v>
      </x:c>
      <x:c r="N66" s="74" t="str">
        <x:v>CP10 灵活体验型／CF04 投入转责任</x:v>
      </x:c>
      <x:c r="O66" s="74" t="str">
        <x:v>全局有效信号；日柱及亲密关系近位优先</x:v>
      </x:c>
      <x:c r="P66" s="74" t="str">
        <x:v>由共享基础引擎判定</x:v>
      </x:c>
      <x:c r="Q66" s="74" t="str">
        <x:v>由共享基础引擎判定</x:v>
      </x:c>
      <x:c r="R66" s="74" t="str">
        <x:v>喜忌不直接等于愿不愿付出；只修正调用顺畅度与资源压力</x:v>
      </x:c>
      <x:c r="S66" s="74" t="str">
        <x:v>原十神性质有效；真合化成立时按化神路由</x:v>
      </x:c>
      <x:c r="T66" s="74" t="str">
        <x:v>由共享基础引擎判定</x:v>
      </x:c>
      <x:c r="U66" s="74" t="str">
        <x:v>58</x:v>
      </x:c>
      <x:c r="V66" s="74" t="str">
        <x:v>不加分；边界检查</x:v>
      </x:c>
      <x:c r="W66" s="74" t="str">
        <x:v>boundary_note</x:v>
      </x:c>
      <x:c r="X66" s="74" t="str">
        <x:v>偏财只提供灵活资源、礼物、体验、人脉与即时便利这一支持功能，不能越界到人格好坏、关系风险或结果。</x:v>
      </x:c>
      <x:c r="Y66" s="74" t="str">
        <x:v>这里描述的是你可能更常使用的支持方式，不代表你只能这样照顾人，也不代表其他方式一定缺失。</x:v>
      </x:c>
      <x:c r="Z66" s="74" t="str">
        <x:v>不得推出用户花心、挥霍、爱暧昧、只追求新鲜、不会负责或一定擅长社交。</x:v>
      </x:c>
      <x:c r="AA66" s="74" t="str">
        <x:v>高</x:v>
      </x:c>
      <x:c r="AB66" s="74" t="str">
        <x:v>待验证</x:v>
      </x:c>
      <x:c r="AC66" s="74" t="str"/>
      <x:c r="AD66" s="74" t="str">
        <x:v>provisional=true; channel_id=CA06; ten_god=偏财; aspect=boundary</x:v>
      </x:c>
      <x:c r="AE66" s="74" t="str">
        <x:v>0.4</x:v>
      </x:c>
    </x:row>
    <x:row r="67">
      <x:c r="A67" s="80" t="str">
        <x:v>M3-CARE-063</x:v>
      </x:c>
      <x:c r="B67" s="80" t="str">
        <x:v>正官CARE通道｜CA07 责任承担</x:v>
      </x:c>
      <x:c r="C67" s="80" t="str">
        <x:v>L1 十神CARE通道</x:v>
      </x:c>
      <x:c r="D67" s="80" t="str">
        <x:v>CARE-十神通道</x:v>
      </x:c>
      <x:c r="E67" s="80" t="str">
        <x:v>通用</x:v>
      </x:c>
      <x:c r="F67" s="80" t="str">
        <x:v>基础通道</x:v>
      </x:c>
      <x:c r="G67" s="74" t="str">
        <x:v>CA07 正官 责任承担</x:v>
      </x:c>
      <x:c r="H67" s="74" t="str"/>
      <x:c r="I67" s="74" t="str">
        <x:v>正官为有效信号，且未被真合化替换；至少具备透干、有根、近位、日支参与或独立流向支持之一。</x:v>
      </x:c>
      <x:c r="J67" s="74" t="str">
        <x:v>正官真合化后失效；仅有单一弱远无根信号；基础十神判定有争议。</x:v>
      </x:c>
      <x:c r="K67" s="74" t="str">
        <x:v>由共享基础引擎与M3-STATE修正</x:v>
      </x:c>
      <x:c r="L67" s="74" t="str">
        <x:v>不限定；夫妻星仅在形成独立CARE证据或入宫接口时参与</x:v>
      </x:c>
      <x:c r="M67" s="74" t="str">
        <x:v>由M3-BASE、日支结构及共享引擎提供</x:v>
      </x:c>
      <x:c r="N67" s="74" t="str">
        <x:v>CP08 责任承担型／CF05 责任转安全</x:v>
      </x:c>
      <x:c r="O67" s="74" t="str">
        <x:v>全局有效信号；日柱及亲密关系近位优先</x:v>
      </x:c>
      <x:c r="P67" s="74" t="str">
        <x:v>由共享基础引擎判定</x:v>
      </x:c>
      <x:c r="Q67" s="74" t="str">
        <x:v>由共享基础引擎判定</x:v>
      </x:c>
      <x:c r="R67" s="74" t="str">
        <x:v>喜忌不直接等于愿不愿付出；只修正调用顺畅度与资源压力</x:v>
      </x:c>
      <x:c r="S67" s="74" t="str">
        <x:v>原十神性质有效；真合化成立时按化神路由</x:v>
      </x:c>
      <x:c r="T67" s="74" t="str">
        <x:v>由共享基础引擎判定</x:v>
      </x:c>
      <x:c r="U67" s="74" t="str">
        <x:v>76</x:v>
      </x:c>
      <x:c r="V67" s="74" t="str">
        <x:v>主CARE候选 +18</x:v>
      </x:c>
      <x:c r="W67" s="74" t="str">
        <x:v>primary_care_channel</x:v>
      </x:c>
      <x:c r="X67" s="74" t="str">
        <x:v>通过明确责任、守约、稳定履职、建立规则和把共同事务纳入正式安排来支持关系。</x:v>
      </x:c>
      <x:c r="Y67" s="74" t="str">
        <x:v>你更容易通过承诺、守约、角色责任、分工与共同规则来照顾关系。通过明确责任、守约、稳定履职、建立规则和把共同事务纳入正式安排来支持关系。</x:v>
      </x:c>
      <x:c r="Z67" s="74" t="str">
        <x:v>不得推出用户古板、爱管人、权威主义、没有情感、一定遵循传统角色或关系必然稳定。</x:v>
      </x:c>
      <x:c r="AA67" s="74" t="str">
        <x:v>中高</x:v>
      </x:c>
      <x:c r="AB67" s="74" t="str">
        <x:v>待验证</x:v>
      </x:c>
      <x:c r="AC67" s="74" t="str"/>
      <x:c r="AD67" s="74" t="str">
        <x:v>provisional=true; channel_id=CA07; ten_god=正官; aspect=base</x:v>
      </x:c>
      <x:c r="AE67" s="74" t="str">
        <x:v>0.4</x:v>
      </x:c>
    </x:row>
    <x:row r="68">
      <x:c r="A68" s="80" t="str">
        <x:v>M3-CARE-064</x:v>
      </x:c>
      <x:c r="B68" s="80" t="str">
        <x:v>正官给予方式｜可观察支持行为</x:v>
      </x:c>
      <x:c r="C68" s="80" t="str">
        <x:v>L1 十神CARE通道</x:v>
      </x:c>
      <x:c r="D68" s="80" t="str">
        <x:v>CARE-十神通道</x:v>
      </x:c>
      <x:c r="E68" s="80" t="str">
        <x:v>通用</x:v>
      </x:c>
      <x:c r="F68" s="80" t="str">
        <x:v>行为证据</x:v>
      </x:c>
      <x:c r="G68" s="74" t="str">
        <x:v>CA07 正官 责任承担</x:v>
      </x:c>
      <x:c r="H68" s="74" t="str"/>
      <x:c r="I68" s="74" t="str">
        <x:v>正官通道有效，并出现可观察的付出、照顾或支持行为。</x:v>
      </x:c>
      <x:c r="J68" s="74" t="str">
        <x:v>只有抽象标签而无行为证据；一次事件不足以判断长期连续性。</x:v>
      </x:c>
      <x:c r="K68" s="74" t="str">
        <x:v>由共享基础引擎与M3-STATE修正</x:v>
      </x:c>
      <x:c r="L68" s="74" t="str">
        <x:v>不限定；夫妻星仅在形成独立CARE证据或入宫接口时参与</x:v>
      </x:c>
      <x:c r="M68" s="74" t="str">
        <x:v>由M3-BASE、日支结构及共享引擎提供</x:v>
      </x:c>
      <x:c r="N68" s="74" t="str">
        <x:v>CP08 责任承担型／CF05 责任转安全</x:v>
      </x:c>
      <x:c r="O68" s="74" t="str">
        <x:v>全局有效信号；日柱及亲密关系近位优先</x:v>
      </x:c>
      <x:c r="P68" s="74" t="str">
        <x:v>由共享基础引擎判定</x:v>
      </x:c>
      <x:c r="Q68" s="74" t="str">
        <x:v>由共享基础引擎判定</x:v>
      </x:c>
      <x:c r="R68" s="74" t="str">
        <x:v>喜忌不直接等于愿不愿付出；只修正调用顺畅度与资源压力</x:v>
      </x:c>
      <x:c r="S68" s="74" t="str">
        <x:v>原十神性质有效；真合化成立时按化神路由</x:v>
      </x:c>
      <x:c r="T68" s="74" t="str">
        <x:v>由共享基础引擎判定</x:v>
      </x:c>
      <x:c r="U68" s="74" t="str">
        <x:v>72</x:v>
      </x:c>
      <x:c r="V68" s="74" t="str">
        <x:v>行为证据 +8</x:v>
      </x:c>
      <x:c r="W68" s="74" t="str">
        <x:v>giving_content</x:v>
      </x:c>
      <x:c r="X68" s="74" t="str">
        <x:v>会按约完成、主动承担固定事务、给出清楚交代、维护共同规则，并在需要时承担角色责任。</x:v>
      </x:c>
      <x:c r="Y68" s="74" t="str">
        <x:v>在实际相处中，你可能会会按约完成、主动承担固定事务、给出清楚交代、维护共同规则，并在需要时承担角色责任。</x:v>
      </x:c>
      <x:c r="Z68" s="74" t="str">
        <x:v>不得推出用户古板、爱管人、权威主义、没有情感、一定遵循传统角色或关系必然稳定。</x:v>
      </x:c>
      <x:c r="AA68" s="74" t="str">
        <x:v>中高</x:v>
      </x:c>
      <x:c r="AB68" s="74" t="str">
        <x:v>待验证</x:v>
      </x:c>
      <x:c r="AC68" s="74" t="str"/>
      <x:c r="AD68" s="74" t="str">
        <x:v>provisional=true; channel_id=CA07; ten_god=正官; aspect=giving</x:v>
      </x:c>
      <x:c r="AE68" s="74" t="str">
        <x:v>0.4</x:v>
      </x:c>
    </x:row>
    <x:row r="69">
      <x:c r="A69" s="80" t="str">
        <x:v>M3-CARE-065</x:v>
      </x:c>
      <x:c r="B69" s="80" t="str">
        <x:v>正官连续性｜稳定投入成立条件</x:v>
      </x:c>
      <x:c r="C69" s="80" t="str">
        <x:v>L1 十神CARE通道</x:v>
      </x:c>
      <x:c r="D69" s="80" t="str">
        <x:v>CARE-十神通道</x:v>
      </x:c>
      <x:c r="E69" s="80" t="str">
        <x:v>通用</x:v>
      </x:c>
      <x:c r="F69" s="80" t="str">
        <x:v>连续性</x:v>
      </x:c>
      <x:c r="G69" s="74" t="str">
        <x:v>CA07 正官 责任承担</x:v>
      </x:c>
      <x:c r="H69" s="74" t="str"/>
      <x:c r="I69" s="74" t="str">
        <x:v>正官通道需要判断是否形成可重复CARE模式。</x:v>
      </x:c>
      <x:c r="J69" s="74" t="str">
        <x:v>只有单次事件、短期触发或流年覆盖且原局无支持。</x:v>
      </x:c>
      <x:c r="K69" s="74" t="str">
        <x:v>由共享基础引擎与M3-STATE修正</x:v>
      </x:c>
      <x:c r="L69" s="74" t="str">
        <x:v>不限定；夫妻星仅在形成独立CARE证据或入宫接口时参与</x:v>
      </x:c>
      <x:c r="M69" s="74" t="str">
        <x:v>由M3-BASE、日支结构及共享引擎提供</x:v>
      </x:c>
      <x:c r="N69" s="74" t="str">
        <x:v>CP08 责任承担型／CF05 责任转安全</x:v>
      </x:c>
      <x:c r="O69" s="74" t="str">
        <x:v>全局有效信号；日柱及亲密关系近位优先</x:v>
      </x:c>
      <x:c r="P69" s="74" t="str">
        <x:v>由共享基础引擎判定</x:v>
      </x:c>
      <x:c r="Q69" s="74" t="str">
        <x:v>由共享基础引擎判定</x:v>
      </x:c>
      <x:c r="R69" s="74" t="str">
        <x:v>喜忌不直接等于愿不愿付出；只修正调用顺畅度与资源压力</x:v>
      </x:c>
      <x:c r="S69" s="74" t="str">
        <x:v>原十神性质有效；真合化成立时按化神路由</x:v>
      </x:c>
      <x:c r="T69" s="74" t="str">
        <x:v>由共享基础引擎判定</x:v>
      </x:c>
      <x:c r="U69" s="74" t="str">
        <x:v>68</x:v>
      </x:c>
      <x:c r="V69" s="74" t="str">
        <x:v>连续性按根气和重复证据 +0—8</x:v>
      </x:c>
      <x:c r="W69" s="74" t="str">
        <x:v>continuity_mode</x:v>
      </x:c>
      <x:c r="X69" s="74" t="str">
        <x:v>持续性来自责任边界清楚、承诺可追踪和行为前后一致；只有口头原则而无兑现不构成稳定CARE。</x:v>
      </x:c>
      <x:c r="Y69" s="74" t="str">
        <x:v>持续性来自责任边界清楚、承诺可追踪和行为前后一致；只有口头原则而无兑现不构成稳定CARE。</x:v>
      </x:c>
      <x:c r="Z69" s="74" t="str">
        <x:v>不得推出用户古板、爱管人、权威主义、没有情感、一定遵循传统角色或关系必然稳定。</x:v>
      </x:c>
      <x:c r="AA69" s="74" t="str">
        <x:v>中</x:v>
      </x:c>
      <x:c r="AB69" s="74" t="str">
        <x:v>待验证</x:v>
      </x:c>
      <x:c r="AC69" s="74" t="str"/>
      <x:c r="AD69" s="74" t="str">
        <x:v>provisional=true; channel_id=CA07; ten_god=正官; aspect=continuity</x:v>
      </x:c>
      <x:c r="AE69" s="74" t="str">
        <x:v>0.4</x:v>
      </x:c>
    </x:row>
    <x:row r="70">
      <x:c r="A70" s="80" t="str">
        <x:v>M3-CARE-066</x:v>
      </x:c>
      <x:c r="B70" s="80" t="str">
        <x:v>正官请求支持｜怎样说出需要</x:v>
      </x:c>
      <x:c r="C70" s="80" t="str">
        <x:v>L1 十神CARE通道</x:v>
      </x:c>
      <x:c r="D70" s="80" t="str">
        <x:v>CARE-十神通道</x:v>
      </x:c>
      <x:c r="E70" s="80" t="str">
        <x:v>通用</x:v>
      </x:c>
      <x:c r="F70" s="80" t="str">
        <x:v>请求方式</x:v>
      </x:c>
      <x:c r="G70" s="74" t="str">
        <x:v>CA07 正官 责任承担</x:v>
      </x:c>
      <x:c r="H70" s="74" t="str"/>
      <x:c r="I70" s="74" t="str">
        <x:v>正官在请求帮助或说明资源需要的功能中有效。</x:v>
      </x:c>
      <x:c r="J70" s="74" t="str">
        <x:v>仅凭一个十神推断用户一定会主动求助；没有表达或行为证据。</x:v>
      </x:c>
      <x:c r="K70" s="74" t="str">
        <x:v>由共享基础引擎与M3-STATE修正</x:v>
      </x:c>
      <x:c r="L70" s="74" t="str">
        <x:v>不限定；夫妻星仅在形成独立CARE证据或入宫接口时参与</x:v>
      </x:c>
      <x:c r="M70" s="74" t="str">
        <x:v>由M3-BASE、日支结构及共享引擎提供</x:v>
      </x:c>
      <x:c r="N70" s="74" t="str">
        <x:v>CP08 责任承担型／CF05 责任转安全</x:v>
      </x:c>
      <x:c r="O70" s="74" t="str">
        <x:v>全局有效信号；日柱及亲密关系近位优先</x:v>
      </x:c>
      <x:c r="P70" s="74" t="str">
        <x:v>由共享基础引擎判定</x:v>
      </x:c>
      <x:c r="Q70" s="74" t="str">
        <x:v>由共享基础引擎判定</x:v>
      </x:c>
      <x:c r="R70" s="74" t="str">
        <x:v>喜忌不直接等于愿不愿付出；只修正调用顺畅度与资源压力</x:v>
      </x:c>
      <x:c r="S70" s="74" t="str">
        <x:v>原十神性质有效；真合化成立时按化神路由</x:v>
      </x:c>
      <x:c r="T70" s="74" t="str">
        <x:v>由共享基础引擎判定</x:v>
      </x:c>
      <x:c r="U70" s="74" t="str">
        <x:v>64</x:v>
      </x:c>
      <x:c r="V70" s="74" t="str">
        <x:v>请求方式候选 +4</x:v>
      </x:c>
      <x:c r="W70" s="74" t="str">
        <x:v>support_request_style</x:v>
      </x:c>
      <x:c r="X70" s="74" t="str">
        <x:v>更容易用责任、角色、约定和双方应怎样配合来提出需要。</x:v>
      </x:c>
      <x:c r="Y70" s="74" t="str">
        <x:v>当你需要支持时，更容易用责任、角色、约定和双方应怎样配合来提出需要。</x:v>
      </x:c>
      <x:c r="Z70" s="74" t="str">
        <x:v>不得推出用户古板、爱管人、权威主义、没有情感、一定遵循传统角色或关系必然稳定。</x:v>
      </x:c>
      <x:c r="AA70" s="74" t="str">
        <x:v>中</x:v>
      </x:c>
      <x:c r="AB70" s="74" t="str">
        <x:v>待验证</x:v>
      </x:c>
      <x:c r="AC70" s="74" t="str"/>
      <x:c r="AD70" s="74" t="str">
        <x:v>provisional=true; channel_id=CA07; ten_god=正官; aspect=request</x:v>
      </x:c>
      <x:c r="AE70" s="74" t="str">
        <x:v>0.4</x:v>
      </x:c>
    </x:row>
    <x:row r="71">
      <x:c r="A71" s="80" t="str">
        <x:v>M3-CARE-067</x:v>
      </x:c>
      <x:c r="B71" s="80" t="str">
        <x:v>正官接受支持｜什么帮助更容易被接收</x:v>
      </x:c>
      <x:c r="C71" s="80" t="str">
        <x:v>L1 十神CARE通道</x:v>
      </x:c>
      <x:c r="D71" s="80" t="str">
        <x:v>CARE-十神通道</x:v>
      </x:c>
      <x:c r="E71" s="80" t="str">
        <x:v>通用</x:v>
      </x:c>
      <x:c r="F71" s="80" t="str">
        <x:v>接受方式</x:v>
      </x:c>
      <x:c r="G71" s="74" t="str">
        <x:v>CA07 正官 责任承担</x:v>
      </x:c>
      <x:c r="H71" s="74" t="str"/>
      <x:c r="I71" s="74" t="str">
        <x:v>正官在接收、识别或评价支持的功能中有效。</x:v>
      </x:c>
      <x:c r="J71" s="74" t="str">
        <x:v>把M2选择标准直接当作M3接受支持习惯；只有单一弱远信号。</x:v>
      </x:c>
      <x:c r="K71" s="74" t="str">
        <x:v>由共享基础引擎与M3-STATE修正</x:v>
      </x:c>
      <x:c r="L71" s="74" t="str">
        <x:v>不限定；夫妻星仅在形成独立CARE证据或入宫接口时参与</x:v>
      </x:c>
      <x:c r="M71" s="74" t="str">
        <x:v>由M3-BASE、日支结构及共享引擎提供</x:v>
      </x:c>
      <x:c r="N71" s="74" t="str">
        <x:v>CP08 责任承担型／CF05 责任转安全</x:v>
      </x:c>
      <x:c r="O71" s="74" t="str">
        <x:v>全局有效信号；日柱及亲密关系近位优先</x:v>
      </x:c>
      <x:c r="P71" s="74" t="str">
        <x:v>由共享基础引擎判定</x:v>
      </x:c>
      <x:c r="Q71" s="74" t="str">
        <x:v>由共享基础引擎判定</x:v>
      </x:c>
      <x:c r="R71" s="74" t="str">
        <x:v>喜忌不直接等于愿不愿付出；只修正调用顺畅度与资源压力</x:v>
      </x:c>
      <x:c r="S71" s="74" t="str">
        <x:v>原十神性质有效；真合化成立时按化神路由</x:v>
      </x:c>
      <x:c r="T71" s="74" t="str">
        <x:v>由共享基础引擎判定</x:v>
      </x:c>
      <x:c r="U71" s="74" t="str">
        <x:v>63</x:v>
      </x:c>
      <x:c r="V71" s="74" t="str">
        <x:v>接受方式候选 +4</x:v>
      </x:c>
      <x:c r="W71" s="74" t="str">
        <x:v>support_receiving_style</x:v>
      </x:c>
      <x:c r="X71" s="74" t="str">
        <x:v>更容易接受有交代、守约、尊重规则、愿意承担后果的支持。</x:v>
      </x:c>
      <x:c r="Y71" s="74" t="str">
        <x:v>你更容易把有交代、守约、尊重规则、愿意承担后果的支持。感知为真正有帮助。</x:v>
      </x:c>
      <x:c r="Z71" s="74" t="str">
        <x:v>不得推出用户古板、爱管人、权威主义、没有情感、一定遵循传统角色或关系必然稳定。</x:v>
      </x:c>
      <x:c r="AA71" s="74" t="str">
        <x:v>中</x:v>
      </x:c>
      <x:c r="AB71" s="74" t="str">
        <x:v>待验证</x:v>
      </x:c>
      <x:c r="AC71" s="74" t="str"/>
      <x:c r="AD71" s="74" t="str">
        <x:v>provisional=true; channel_id=CA07; ten_god=正官; aspect=receive</x:v>
      </x:c>
      <x:c r="AE71" s="74" t="str">
        <x:v>0.4</x:v>
      </x:c>
    </x:row>
    <x:row r="72">
      <x:c r="A72" s="80" t="str">
        <x:v>M3-CARE-068</x:v>
      </x:c>
      <x:c r="B72" s="80" t="str">
        <x:v>正官状态修正｜平衡与抢先启动</x:v>
      </x:c>
      <x:c r="C72" s="80" t="str">
        <x:v>L1 十神CARE通道</x:v>
      </x:c>
      <x:c r="D72" s="80" t="str">
        <x:v>CARE-十神通道</x:v>
      </x:c>
      <x:c r="E72" s="80" t="str">
        <x:v>通用</x:v>
      </x:c>
      <x:c r="F72" s="80" t="str">
        <x:v>状态修正</x:v>
      </x:c>
      <x:c r="G72" s="74" t="str">
        <x:v>CA07 正官 责任承担</x:v>
      </x:c>
      <x:c r="H72" s="74" t="str"/>
      <x:c r="I72" s="74" t="str">
        <x:v>正官通道强度已由共享引擎判定为平衡、过旺或抢先启动。</x:v>
      </x:c>
      <x:c r="J72" s="74" t="str">
        <x:v>旺衰未定；把过旺直接解释为过度付出或风险。</x:v>
      </x:c>
      <x:c r="K72" s="74" t="str">
        <x:v>由共享基础引擎与M3-STATE修正</x:v>
      </x:c>
      <x:c r="L72" s="74" t="str">
        <x:v>不限定；夫妻星仅在形成独立CARE证据或入宫接口时参与</x:v>
      </x:c>
      <x:c r="M72" s="74" t="str">
        <x:v>由M3-BASE、日支结构及共享引擎提供</x:v>
      </x:c>
      <x:c r="N72" s="74" t="str">
        <x:v>CP08 责任承担型／CF05 责任转安全</x:v>
      </x:c>
      <x:c r="O72" s="74" t="str">
        <x:v>全局有效信号；日柱及亲密关系近位优先</x:v>
      </x:c>
      <x:c r="P72" s="74" t="str">
        <x:v>由共享基础引擎判定</x:v>
      </x:c>
      <x:c r="Q72" s="74" t="str">
        <x:v>由共享基础引擎判定</x:v>
      </x:c>
      <x:c r="R72" s="74" t="str">
        <x:v>喜忌不直接等于愿不愿付出；只修正调用顺畅度与资源压力</x:v>
      </x:c>
      <x:c r="S72" s="74" t="str">
        <x:v>原十神性质有效；真合化成立时按化神路由</x:v>
      </x:c>
      <x:c r="T72" s="74" t="str">
        <x:v>由共享基础引擎判定</x:v>
      </x:c>
      <x:c r="U72" s="74" t="str">
        <x:v>59</x:v>
      </x:c>
      <x:c r="V72" s="74" t="str">
        <x:v>修正强度，不新增独立证据</x:v>
      </x:c>
      <x:c r="W72" s="74" t="str">
        <x:v>state_shift</x:v>
      </x:c>
      <x:c r="X72" s="74" t="str">
        <x:v>平衡时是可靠、有边界的责任投入；过旺时只说明规则和职责容易先组织关系，不直接等于控制。</x:v>
      </x:c>
      <x:c r="Y72" s="74" t="str">
        <x:v>平衡时是可靠、有边界的责任投入；过旺时只说明规则和职责容易先组织关系，不直接等于控制。</x:v>
      </x:c>
      <x:c r="Z72" s="74" t="str">
        <x:v>不得推出用户古板、爱管人、权威主义、没有情感、一定遵循传统角色或关系必然稳定。</x:v>
      </x:c>
      <x:c r="AA72" s="74" t="str">
        <x:v>中</x:v>
      </x:c>
      <x:c r="AB72" s="74" t="str">
        <x:v>待验证</x:v>
      </x:c>
      <x:c r="AC72" s="74" t="str"/>
      <x:c r="AD72" s="74" t="str">
        <x:v>provisional=true; channel_id=CA07; ten_god=正官; aspect=state</x:v>
      </x:c>
      <x:c r="AE72" s="74" t="str">
        <x:v>0.4</x:v>
      </x:c>
    </x:row>
    <x:row r="73">
      <x:c r="A73" s="80" t="str">
        <x:v>M3-CARE-069</x:v>
      </x:c>
      <x:c r="B73" s="80" t="str">
        <x:v>正官禁止误读｜责任承担边界</x:v>
      </x:c>
      <x:c r="C73" s="80" t="str">
        <x:v>L1 十神CARE通道</x:v>
      </x:c>
      <x:c r="D73" s="80" t="str">
        <x:v>CARE-十神通道</x:v>
      </x:c>
      <x:c r="E73" s="80" t="str">
        <x:v>通用</x:v>
      </x:c>
      <x:c r="F73" s="80" t="str">
        <x:v>禁止推断</x:v>
      </x:c>
      <x:c r="G73" s="74" t="str">
        <x:v>CA07 正官 责任承担</x:v>
      </x:c>
      <x:c r="H73" s="74" t="str"/>
      <x:c r="I73" s="74" t="str">
        <x:v>正在把正官CARE通道翻译为用户语言。</x:v>
      </x:c>
      <x:c r="J73" s="74" t="str">
        <x:v>无</x:v>
      </x:c>
      <x:c r="K73" s="74" t="str">
        <x:v>由共享基础引擎与M3-STATE修正</x:v>
      </x:c>
      <x:c r="L73" s="74" t="str">
        <x:v>不限定；夫妻星仅在形成独立CARE证据或入宫接口时参与</x:v>
      </x:c>
      <x:c r="M73" s="74" t="str">
        <x:v>由M3-BASE、日支结构及共享引擎提供</x:v>
      </x:c>
      <x:c r="N73" s="74" t="str">
        <x:v>CP08 责任承担型／CF05 责任转安全</x:v>
      </x:c>
      <x:c r="O73" s="74" t="str">
        <x:v>全局有效信号；日柱及亲密关系近位优先</x:v>
      </x:c>
      <x:c r="P73" s="74" t="str">
        <x:v>由共享基础引擎判定</x:v>
      </x:c>
      <x:c r="Q73" s="74" t="str">
        <x:v>由共享基础引擎判定</x:v>
      </x:c>
      <x:c r="R73" s="74" t="str">
        <x:v>喜忌不直接等于愿不愿付出；只修正调用顺畅度与资源压力</x:v>
      </x:c>
      <x:c r="S73" s="74" t="str">
        <x:v>原十神性质有效；真合化成立时按化神路由</x:v>
      </x:c>
      <x:c r="T73" s="74" t="str">
        <x:v>由共享基础引擎判定</x:v>
      </x:c>
      <x:c r="U73" s="74" t="str">
        <x:v>58</x:v>
      </x:c>
      <x:c r="V73" s="74" t="str">
        <x:v>不加分；边界检查</x:v>
      </x:c>
      <x:c r="W73" s="74" t="str">
        <x:v>boundary_note</x:v>
      </x:c>
      <x:c r="X73" s="74" t="str">
        <x:v>正官只提供承诺、守约、角色责任、分工与共同规则这一支持功能，不能越界到人格好坏、关系风险或结果。</x:v>
      </x:c>
      <x:c r="Y73" s="74" t="str">
        <x:v>这里描述的是你可能更常使用的支持方式，不代表你只能这样照顾人，也不代表其他方式一定缺失。</x:v>
      </x:c>
      <x:c r="Z73" s="74" t="str">
        <x:v>不得推出用户古板、爱管人、权威主义、没有情感、一定遵循传统角色或关系必然稳定。</x:v>
      </x:c>
      <x:c r="AA73" s="74" t="str">
        <x:v>高</x:v>
      </x:c>
      <x:c r="AB73" s="74" t="str">
        <x:v>待验证</x:v>
      </x:c>
      <x:c r="AC73" s="74" t="str"/>
      <x:c r="AD73" s="74" t="str">
        <x:v>provisional=true; channel_id=CA07; ten_god=正官; aspect=boundary</x:v>
      </x:c>
      <x:c r="AE73" s="74" t="str">
        <x:v>0.4</x:v>
      </x:c>
    </x:row>
    <x:row r="74">
      <x:c r="A74" s="80" t="str">
        <x:v>M3-CARE-070</x:v>
      </x:c>
      <x:c r="B74" s="80" t="str">
        <x:v>七杀CARE通道｜CA08 行动保护</x:v>
      </x:c>
      <x:c r="C74" s="80" t="str">
        <x:v>L1 十神CARE通道</x:v>
      </x:c>
      <x:c r="D74" s="80" t="str">
        <x:v>CARE-十神通道</x:v>
      </x:c>
      <x:c r="E74" s="80" t="str">
        <x:v>通用</x:v>
      </x:c>
      <x:c r="F74" s="80" t="str">
        <x:v>基础通道</x:v>
      </x:c>
      <x:c r="G74" s="74" t="str">
        <x:v>CA08 七杀 行动保护</x:v>
      </x:c>
      <x:c r="H74" s="74" t="str"/>
      <x:c r="I74" s="74" t="str">
        <x:v>七杀为有效信号，且未被真合化替换；至少具备透干、有根、近位、日支参与或独立流向支持之一。</x:v>
      </x:c>
      <x:c r="J74" s="74" t="str">
        <x:v>七杀真合化后失效；仅有单一弱远无根信号；基础十神判定有争议。</x:v>
      </x:c>
      <x:c r="K74" s="74" t="str">
        <x:v>由共享基础引擎与M3-STATE修正</x:v>
      </x:c>
      <x:c r="L74" s="74" t="str">
        <x:v>不限定；夫妻星仅在形成独立CARE证据或入宫接口时参与</x:v>
      </x:c>
      <x:c r="M74" s="74" t="str">
        <x:v>由M3-BASE、日支结构及共享引擎提供</x:v>
      </x:c>
      <x:c r="N74" s="74" t="str">
        <x:v>CP09 行动保护型／CF05 责任转安全</x:v>
      </x:c>
      <x:c r="O74" s="74" t="str">
        <x:v>全局有效信号；日柱及亲密关系近位优先</x:v>
      </x:c>
      <x:c r="P74" s="74" t="str">
        <x:v>由共享基础引擎判定</x:v>
      </x:c>
      <x:c r="Q74" s="74" t="str">
        <x:v>由共享基础引擎判定</x:v>
      </x:c>
      <x:c r="R74" s="74" t="str">
        <x:v>喜忌不直接等于愿不愿付出；只修正调用顺畅度与资源压力</x:v>
      </x:c>
      <x:c r="S74" s="74" t="str">
        <x:v>原十神性质有效；真合化成立时按化神路由</x:v>
      </x:c>
      <x:c r="T74" s="74" t="str">
        <x:v>由共享基础引擎判定</x:v>
      </x:c>
      <x:c r="U74" s="74" t="str">
        <x:v>76</x:v>
      </x:c>
      <x:c r="V74" s="74" t="str">
        <x:v>主CARE候选 +18</x:v>
      </x:c>
      <x:c r="W74" s="74" t="str">
        <x:v>primary_care_channel</x:v>
      </x:c>
      <x:c r="X74" s="74" t="str">
        <x:v>通过关键时刻出现、快速决策、处理危机、排除障碍和推动问题解决提供支持。</x:v>
      </x:c>
      <x:c r="Y74" s="74" t="str">
        <x:v>你更容易通过危机处理、保护、决断、推进与高压任务承担来照顾关系。通过关键时刻出现、快速决策、处理危机、排除障碍和推动问题解决提供支持。</x:v>
      </x:c>
      <x:c r="Z74" s="74" t="str">
        <x:v>不得推出用户暴力、强迫、控制欲强、情绪粗暴、一定替对方做决定或关系存在危险。</x:v>
      </x:c>
      <x:c r="AA74" s="74" t="str">
        <x:v>中高</x:v>
      </x:c>
      <x:c r="AB74" s="74" t="str">
        <x:v>待验证</x:v>
      </x:c>
      <x:c r="AC74" s="74" t="str"/>
      <x:c r="AD74" s="74" t="str">
        <x:v>provisional=true; channel_id=CA08; ten_god=七杀; aspect=base</x:v>
      </x:c>
      <x:c r="AE74" s="74" t="str">
        <x:v>0.4</x:v>
      </x:c>
    </x:row>
    <x:row r="75">
      <x:c r="A75" s="80" t="str">
        <x:v>M3-CARE-071</x:v>
      </x:c>
      <x:c r="B75" s="80" t="str">
        <x:v>七杀给予方式｜可观察支持行为</x:v>
      </x:c>
      <x:c r="C75" s="80" t="str">
        <x:v>L1 十神CARE通道</x:v>
      </x:c>
      <x:c r="D75" s="80" t="str">
        <x:v>CARE-十神通道</x:v>
      </x:c>
      <x:c r="E75" s="80" t="str">
        <x:v>通用</x:v>
      </x:c>
      <x:c r="F75" s="80" t="str">
        <x:v>行为证据</x:v>
      </x:c>
      <x:c r="G75" s="74" t="str">
        <x:v>CA08 七杀 行动保护</x:v>
      </x:c>
      <x:c r="H75" s="74" t="str"/>
      <x:c r="I75" s="74" t="str">
        <x:v>七杀通道有效，并出现可观察的付出、照顾或支持行为。</x:v>
      </x:c>
      <x:c r="J75" s="74" t="str">
        <x:v>只有抽象标签而无行为证据；一次事件不足以判断长期连续性。</x:v>
      </x:c>
      <x:c r="K75" s="74" t="str">
        <x:v>由共享基础引擎与M3-STATE修正</x:v>
      </x:c>
      <x:c r="L75" s="74" t="str">
        <x:v>不限定；夫妻星仅在形成独立CARE证据或入宫接口时参与</x:v>
      </x:c>
      <x:c r="M75" s="74" t="str">
        <x:v>由M3-BASE、日支结构及共享引擎提供</x:v>
      </x:c>
      <x:c r="N75" s="74" t="str">
        <x:v>CP09 行动保护型／CF05 责任转安全</x:v>
      </x:c>
      <x:c r="O75" s="74" t="str">
        <x:v>全局有效信号；日柱及亲密关系近位优先</x:v>
      </x:c>
      <x:c r="P75" s="74" t="str">
        <x:v>由共享基础引擎判定</x:v>
      </x:c>
      <x:c r="Q75" s="74" t="str">
        <x:v>由共享基础引擎判定</x:v>
      </x:c>
      <x:c r="R75" s="74" t="str">
        <x:v>喜忌不直接等于愿不愿付出；只修正调用顺畅度与资源压力</x:v>
      </x:c>
      <x:c r="S75" s="74" t="str">
        <x:v>原十神性质有效；真合化成立时按化神路由</x:v>
      </x:c>
      <x:c r="T75" s="74" t="str">
        <x:v>由共享基础引擎判定</x:v>
      </x:c>
      <x:c r="U75" s="74" t="str">
        <x:v>72</x:v>
      </x:c>
      <x:c r="V75" s="74" t="str">
        <x:v>行为证据 +8</x:v>
      </x:c>
      <x:c r="W75" s="74" t="str">
        <x:v>giving_content</x:v>
      </x:c>
      <x:c r="X75" s="74" t="str">
        <x:v>会迅速采取行动、保护对方、处理棘手事务、做决定、承担高压任务或替关系推进关键环节。</x:v>
      </x:c>
      <x:c r="Y75" s="74" t="str">
        <x:v>在实际相处中，你可能会会迅速采取行动、保护对方、处理棘手事务、做决定、承担高压任务或替关系推进关键环节。</x:v>
      </x:c>
      <x:c r="Z75" s="74" t="str">
        <x:v>不得推出用户暴力、强迫、控制欲强、情绪粗暴、一定替对方做决定或关系存在危险。</x:v>
      </x:c>
      <x:c r="AA75" s="74" t="str">
        <x:v>中高</x:v>
      </x:c>
      <x:c r="AB75" s="74" t="str">
        <x:v>待验证</x:v>
      </x:c>
      <x:c r="AC75" s="74" t="str"/>
      <x:c r="AD75" s="74" t="str">
        <x:v>provisional=true; channel_id=CA08; ten_god=七杀; aspect=giving</x:v>
      </x:c>
      <x:c r="AE75" s="74" t="str">
        <x:v>0.4</x:v>
      </x:c>
    </x:row>
    <x:row r="76">
      <x:c r="A76" s="80" t="str">
        <x:v>M3-CARE-072</x:v>
      </x:c>
      <x:c r="B76" s="80" t="str">
        <x:v>七杀连续性｜稳定投入成立条件</x:v>
      </x:c>
      <x:c r="C76" s="80" t="str">
        <x:v>L1 十神CARE通道</x:v>
      </x:c>
      <x:c r="D76" s="80" t="str">
        <x:v>CARE-十神通道</x:v>
      </x:c>
      <x:c r="E76" s="80" t="str">
        <x:v>通用</x:v>
      </x:c>
      <x:c r="F76" s="80" t="str">
        <x:v>连续性</x:v>
      </x:c>
      <x:c r="G76" s="74" t="str">
        <x:v>CA08 七杀 行动保护</x:v>
      </x:c>
      <x:c r="H76" s="74" t="str"/>
      <x:c r="I76" s="74" t="str">
        <x:v>七杀通道需要判断是否形成可重复CARE模式。</x:v>
      </x:c>
      <x:c r="J76" s="74" t="str">
        <x:v>只有单次事件、短期触发或流年覆盖且原局无支持。</x:v>
      </x:c>
      <x:c r="K76" s="74" t="str">
        <x:v>由共享基础引擎与M3-STATE修正</x:v>
      </x:c>
      <x:c r="L76" s="74" t="str">
        <x:v>不限定；夫妻星仅在形成独立CARE证据或入宫接口时参与</x:v>
      </x:c>
      <x:c r="M76" s="74" t="str">
        <x:v>由M3-BASE、日支结构及共享引擎提供</x:v>
      </x:c>
      <x:c r="N76" s="74" t="str">
        <x:v>CP09 行动保护型／CF05 责任转安全</x:v>
      </x:c>
      <x:c r="O76" s="74" t="str">
        <x:v>全局有效信号；日柱及亲密关系近位优先</x:v>
      </x:c>
      <x:c r="P76" s="74" t="str">
        <x:v>由共享基础引擎判定</x:v>
      </x:c>
      <x:c r="Q76" s="74" t="str">
        <x:v>由共享基础引擎判定</x:v>
      </x:c>
      <x:c r="R76" s="74" t="str">
        <x:v>喜忌不直接等于愿不愿付出；只修正调用顺畅度与资源压力</x:v>
      </x:c>
      <x:c r="S76" s="74" t="str">
        <x:v>原十神性质有效；真合化成立时按化神路由</x:v>
      </x:c>
      <x:c r="T76" s="74" t="str">
        <x:v>由共享基础引擎判定</x:v>
      </x:c>
      <x:c r="U76" s="74" t="str">
        <x:v>68</x:v>
      </x:c>
      <x:c r="V76" s="74" t="str">
        <x:v>连续性按根气和重复证据 +0—8</x:v>
      </x:c>
      <x:c r="W76" s="74" t="str">
        <x:v>continuity_mode</x:v>
      </x:c>
      <x:c r="X76" s="74" t="str">
        <x:v>七杀更容易在紧迫、困难和需要决断的情境中显现；是否转成日常稳定照顾，需要正官、财星或根气支持。</x:v>
      </x:c>
      <x:c r="Y76" s="74" t="str">
        <x:v>七杀更容易在紧迫、困难和需要决断的情境中显现；是否转成日常稳定照顾，需要正官、财星或根气支持。</x:v>
      </x:c>
      <x:c r="Z76" s="74" t="str">
        <x:v>不得推出用户暴力、强迫、控制欲强、情绪粗暴、一定替对方做决定或关系存在危险。</x:v>
      </x:c>
      <x:c r="AA76" s="74" t="str">
        <x:v>中</x:v>
      </x:c>
      <x:c r="AB76" s="74" t="str">
        <x:v>待验证</x:v>
      </x:c>
      <x:c r="AC76" s="74" t="str"/>
      <x:c r="AD76" s="74" t="str">
        <x:v>provisional=true; channel_id=CA08; ten_god=七杀; aspect=continuity</x:v>
      </x:c>
      <x:c r="AE76" s="74" t="str">
        <x:v>0.4</x:v>
      </x:c>
    </x:row>
    <x:row r="77">
      <x:c r="A77" s="80" t="str">
        <x:v>M3-CARE-073</x:v>
      </x:c>
      <x:c r="B77" s="80" t="str">
        <x:v>七杀请求支持｜怎样说出需要</x:v>
      </x:c>
      <x:c r="C77" s="80" t="str">
        <x:v>L1 十神CARE通道</x:v>
      </x:c>
      <x:c r="D77" s="80" t="str">
        <x:v>CARE-十神通道</x:v>
      </x:c>
      <x:c r="E77" s="80" t="str">
        <x:v>通用</x:v>
      </x:c>
      <x:c r="F77" s="80" t="str">
        <x:v>请求方式</x:v>
      </x:c>
      <x:c r="G77" s="74" t="str">
        <x:v>CA08 七杀 行动保护</x:v>
      </x:c>
      <x:c r="H77" s="74" t="str"/>
      <x:c r="I77" s="74" t="str">
        <x:v>七杀在请求帮助或说明资源需要的功能中有效。</x:v>
      </x:c>
      <x:c r="J77" s="74" t="str">
        <x:v>仅凭一个十神推断用户一定会主动求助；没有表达或行为证据。</x:v>
      </x:c>
      <x:c r="K77" s="74" t="str">
        <x:v>由共享基础引擎与M3-STATE修正</x:v>
      </x:c>
      <x:c r="L77" s="74" t="str">
        <x:v>不限定；夫妻星仅在形成独立CARE证据或入宫接口时参与</x:v>
      </x:c>
      <x:c r="M77" s="74" t="str">
        <x:v>由M3-BASE、日支结构及共享引擎提供</x:v>
      </x:c>
      <x:c r="N77" s="74" t="str">
        <x:v>CP09 行动保护型／CF05 责任转安全</x:v>
      </x:c>
      <x:c r="O77" s="74" t="str">
        <x:v>全局有效信号；日柱及亲密关系近位优先</x:v>
      </x:c>
      <x:c r="P77" s="74" t="str">
        <x:v>由共享基础引擎判定</x:v>
      </x:c>
      <x:c r="Q77" s="74" t="str">
        <x:v>由共享基础引擎判定</x:v>
      </x:c>
      <x:c r="R77" s="74" t="str">
        <x:v>喜忌不直接等于愿不愿付出；只修正调用顺畅度与资源压力</x:v>
      </x:c>
      <x:c r="S77" s="74" t="str">
        <x:v>原十神性质有效；真合化成立时按化神路由</x:v>
      </x:c>
      <x:c r="T77" s="74" t="str">
        <x:v>由共享基础引擎判定</x:v>
      </x:c>
      <x:c r="U77" s="74" t="str">
        <x:v>64</x:v>
      </x:c>
      <x:c r="V77" s="74" t="str">
        <x:v>请求方式候选 +4</x:v>
      </x:c>
      <x:c r="W77" s="74" t="str">
        <x:v>support_request_style</x:v>
      </x:c>
      <x:c r="X77" s="74" t="str">
        <x:v>求助时更倾向直接说明目标、紧迫问题和需要对方立即处理的部分。</x:v>
      </x:c>
      <x:c r="Y77" s="74" t="str">
        <x:v>当你需要支持时，求助时更倾向直接说明目标、紧迫问题和需要对方立即处理的部分。</x:v>
      </x:c>
      <x:c r="Z77" s="74" t="str">
        <x:v>不得推出用户暴力、强迫、控制欲强、情绪粗暴、一定替对方做决定或关系存在危险。</x:v>
      </x:c>
      <x:c r="AA77" s="74" t="str">
        <x:v>中</x:v>
      </x:c>
      <x:c r="AB77" s="74" t="str">
        <x:v>待验证</x:v>
      </x:c>
      <x:c r="AC77" s="74" t="str"/>
      <x:c r="AD77" s="74" t="str">
        <x:v>provisional=true; channel_id=CA08; ten_god=七杀; aspect=request</x:v>
      </x:c>
      <x:c r="AE77" s="74" t="str">
        <x:v>0.4</x:v>
      </x:c>
    </x:row>
    <x:row r="78">
      <x:c r="A78" s="80" t="str">
        <x:v>M3-CARE-074</x:v>
      </x:c>
      <x:c r="B78" s="80" t="str">
        <x:v>七杀接受支持｜什么帮助更容易被接收</x:v>
      </x:c>
      <x:c r="C78" s="80" t="str">
        <x:v>L1 十神CARE通道</x:v>
      </x:c>
      <x:c r="D78" s="80" t="str">
        <x:v>CARE-十神通道</x:v>
      </x:c>
      <x:c r="E78" s="80" t="str">
        <x:v>通用</x:v>
      </x:c>
      <x:c r="F78" s="80" t="str">
        <x:v>接受方式</x:v>
      </x:c>
      <x:c r="G78" s="74" t="str">
        <x:v>CA08 七杀 行动保护</x:v>
      </x:c>
      <x:c r="H78" s="74" t="str"/>
      <x:c r="I78" s="74" t="str">
        <x:v>七杀在接收、识别或评价支持的功能中有效。</x:v>
      </x:c>
      <x:c r="J78" s="74" t="str">
        <x:v>把M2选择标准直接当作M3接受支持习惯；只有单一弱远信号。</x:v>
      </x:c>
      <x:c r="K78" s="74" t="str">
        <x:v>由共享基础引擎与M3-STATE修正</x:v>
      </x:c>
      <x:c r="L78" s="74" t="str">
        <x:v>不限定；夫妻星仅在形成独立CARE证据或入宫接口时参与</x:v>
      </x:c>
      <x:c r="M78" s="74" t="str">
        <x:v>由M3-BASE、日支结构及共享引擎提供</x:v>
      </x:c>
      <x:c r="N78" s="74" t="str">
        <x:v>CP09 行动保护型／CF05 责任转安全</x:v>
      </x:c>
      <x:c r="O78" s="74" t="str">
        <x:v>全局有效信号；日柱及亲密关系近位优先</x:v>
      </x:c>
      <x:c r="P78" s="74" t="str">
        <x:v>由共享基础引擎判定</x:v>
      </x:c>
      <x:c r="Q78" s="74" t="str">
        <x:v>由共享基础引擎判定</x:v>
      </x:c>
      <x:c r="R78" s="74" t="str">
        <x:v>喜忌不直接等于愿不愿付出；只修正调用顺畅度与资源压力</x:v>
      </x:c>
      <x:c r="S78" s="74" t="str">
        <x:v>原十神性质有效；真合化成立时按化神路由</x:v>
      </x:c>
      <x:c r="T78" s="74" t="str">
        <x:v>由共享基础引擎判定</x:v>
      </x:c>
      <x:c r="U78" s="74" t="str">
        <x:v>63</x:v>
      </x:c>
      <x:c r="V78" s="74" t="str">
        <x:v>接受方式候选 +4</x:v>
      </x:c>
      <x:c r="W78" s="74" t="str">
        <x:v>support_receiving_style</x:v>
      </x:c>
      <x:c r="X78" s="74" t="str">
        <x:v>更容易接受清楚、果断、能真正解决问题并承担后续的帮助。</x:v>
      </x:c>
      <x:c r="Y78" s="74" t="str">
        <x:v>你更容易把清楚、果断、能真正解决问题并承担后续的帮助。感知为真正有帮助。</x:v>
      </x:c>
      <x:c r="Z78" s="74" t="str">
        <x:v>不得推出用户暴力、强迫、控制欲强、情绪粗暴、一定替对方做决定或关系存在危险。</x:v>
      </x:c>
      <x:c r="AA78" s="74" t="str">
        <x:v>中</x:v>
      </x:c>
      <x:c r="AB78" s="74" t="str">
        <x:v>待验证</x:v>
      </x:c>
      <x:c r="AC78" s="74" t="str"/>
      <x:c r="AD78" s="74" t="str">
        <x:v>provisional=true; channel_id=CA08; ten_god=七杀; aspect=receive</x:v>
      </x:c>
      <x:c r="AE78" s="74" t="str">
        <x:v>0.4</x:v>
      </x:c>
    </x:row>
    <x:row r="79">
      <x:c r="A79" s="80" t="str">
        <x:v>M3-CARE-075</x:v>
      </x:c>
      <x:c r="B79" s="80" t="str">
        <x:v>七杀状态修正｜平衡与抢先启动</x:v>
      </x:c>
      <x:c r="C79" s="80" t="str">
        <x:v>L1 十神CARE通道</x:v>
      </x:c>
      <x:c r="D79" s="80" t="str">
        <x:v>CARE-十神通道</x:v>
      </x:c>
      <x:c r="E79" s="80" t="str">
        <x:v>通用</x:v>
      </x:c>
      <x:c r="F79" s="80" t="str">
        <x:v>状态修正</x:v>
      </x:c>
      <x:c r="G79" s="74" t="str">
        <x:v>CA08 七杀 行动保护</x:v>
      </x:c>
      <x:c r="H79" s="74" t="str"/>
      <x:c r="I79" s="74" t="str">
        <x:v>七杀通道强度已由共享引擎判定为平衡、过旺或抢先启动。</x:v>
      </x:c>
      <x:c r="J79" s="74" t="str">
        <x:v>旺衰未定；把过旺直接解释为过度付出或风险。</x:v>
      </x:c>
      <x:c r="K79" s="74" t="str">
        <x:v>由共享基础引擎与M3-STATE修正</x:v>
      </x:c>
      <x:c r="L79" s="74" t="str">
        <x:v>不限定；夫妻星仅在形成独立CARE证据或入宫接口时参与</x:v>
      </x:c>
      <x:c r="M79" s="74" t="str">
        <x:v>由M3-BASE、日支结构及共享引擎提供</x:v>
      </x:c>
      <x:c r="N79" s="74" t="str">
        <x:v>CP09 行动保护型／CF05 责任转安全</x:v>
      </x:c>
      <x:c r="O79" s="74" t="str">
        <x:v>全局有效信号；日柱及亲密关系近位优先</x:v>
      </x:c>
      <x:c r="P79" s="74" t="str">
        <x:v>由共享基础引擎判定</x:v>
      </x:c>
      <x:c r="Q79" s="74" t="str">
        <x:v>由共享基础引擎判定</x:v>
      </x:c>
      <x:c r="R79" s="74" t="str">
        <x:v>喜忌不直接等于愿不愿付出；只修正调用顺畅度与资源压力</x:v>
      </x:c>
      <x:c r="S79" s="74" t="str">
        <x:v>原十神性质有效；真合化成立时按化神路由</x:v>
      </x:c>
      <x:c r="T79" s="74" t="str">
        <x:v>由共享基础引擎判定</x:v>
      </x:c>
      <x:c r="U79" s="74" t="str">
        <x:v>59</x:v>
      </x:c>
      <x:c r="V79" s="74" t="str">
        <x:v>修正强度，不新增独立证据</x:v>
      </x:c>
      <x:c r="W79" s="74" t="str">
        <x:v>state_shift</x:v>
      </x:c>
      <x:c r="X79" s="74" t="str">
        <x:v>平衡时是有分寸的快速保护和问题处理；过旺时只说明行动解决容易抢先，不直接等于压迫或控制。</x:v>
      </x:c>
      <x:c r="Y79" s="74" t="str">
        <x:v>平衡时是有分寸的快速保护和问题处理；过旺时只说明行动解决容易抢先，不直接等于压迫或控制。</x:v>
      </x:c>
      <x:c r="Z79" s="74" t="str">
        <x:v>不得推出用户暴力、强迫、控制欲强、情绪粗暴、一定替对方做决定或关系存在危险。</x:v>
      </x:c>
      <x:c r="AA79" s="74" t="str">
        <x:v>中</x:v>
      </x:c>
      <x:c r="AB79" s="74" t="str">
        <x:v>待验证</x:v>
      </x:c>
      <x:c r="AC79" s="74" t="str"/>
      <x:c r="AD79" s="74" t="str">
        <x:v>provisional=true; channel_id=CA08; ten_god=七杀; aspect=state</x:v>
      </x:c>
      <x:c r="AE79" s="74" t="str">
        <x:v>0.4</x:v>
      </x:c>
    </x:row>
    <x:row r="80">
      <x:c r="A80" s="80" t="str">
        <x:v>M3-CARE-076</x:v>
      </x:c>
      <x:c r="B80" s="80" t="str">
        <x:v>七杀禁止误读｜行动保护边界</x:v>
      </x:c>
      <x:c r="C80" s="80" t="str">
        <x:v>L1 十神CARE通道</x:v>
      </x:c>
      <x:c r="D80" s="80" t="str">
        <x:v>CARE-十神通道</x:v>
      </x:c>
      <x:c r="E80" s="80" t="str">
        <x:v>通用</x:v>
      </x:c>
      <x:c r="F80" s="80" t="str">
        <x:v>禁止推断</x:v>
      </x:c>
      <x:c r="G80" s="74" t="str">
        <x:v>CA08 七杀 行动保护</x:v>
      </x:c>
      <x:c r="H80" s="74" t="str"/>
      <x:c r="I80" s="74" t="str">
        <x:v>正在把七杀CARE通道翻译为用户语言。</x:v>
      </x:c>
      <x:c r="J80" s="74" t="str">
        <x:v>无</x:v>
      </x:c>
      <x:c r="K80" s="74" t="str">
        <x:v>由共享基础引擎与M3-STATE修正</x:v>
      </x:c>
      <x:c r="L80" s="74" t="str">
        <x:v>不限定；夫妻星仅在形成独立CARE证据或入宫接口时参与</x:v>
      </x:c>
      <x:c r="M80" s="74" t="str">
        <x:v>由M3-BASE、日支结构及共享引擎提供</x:v>
      </x:c>
      <x:c r="N80" s="74" t="str">
        <x:v>CP09 行动保护型／CF05 责任转安全</x:v>
      </x:c>
      <x:c r="O80" s="74" t="str">
        <x:v>全局有效信号；日柱及亲密关系近位优先</x:v>
      </x:c>
      <x:c r="P80" s="74" t="str">
        <x:v>由共享基础引擎判定</x:v>
      </x:c>
      <x:c r="Q80" s="74" t="str">
        <x:v>由共享基础引擎判定</x:v>
      </x:c>
      <x:c r="R80" s="74" t="str">
        <x:v>喜忌不直接等于愿不愿付出；只修正调用顺畅度与资源压力</x:v>
      </x:c>
      <x:c r="S80" s="74" t="str">
        <x:v>原十神性质有效；真合化成立时按化神路由</x:v>
      </x:c>
      <x:c r="T80" s="74" t="str">
        <x:v>由共享基础引擎判定</x:v>
      </x:c>
      <x:c r="U80" s="74" t="str">
        <x:v>58</x:v>
      </x:c>
      <x:c r="V80" s="74" t="str">
        <x:v>不加分；边界检查</x:v>
      </x:c>
      <x:c r="W80" s="74" t="str">
        <x:v>boundary_note</x:v>
      </x:c>
      <x:c r="X80" s="74" t="str">
        <x:v>七杀只提供危机处理、保护、决断、推进与高压任务承担这一支持功能，不能越界到人格好坏、关系风险或结果。</x:v>
      </x:c>
      <x:c r="Y80" s="74" t="str">
        <x:v>这里描述的是你可能更常使用的支持方式，不代表你只能这样照顾人，也不代表其他方式一定缺失。</x:v>
      </x:c>
      <x:c r="Z80" s="74" t="str">
        <x:v>不得推出用户暴力、强迫、控制欲强、情绪粗暴、一定替对方做决定或关系存在危险。</x:v>
      </x:c>
      <x:c r="AA80" s="74" t="str">
        <x:v>高</x:v>
      </x:c>
      <x:c r="AB80" s="74" t="str">
        <x:v>待验证</x:v>
      </x:c>
      <x:c r="AC80" s="74" t="str"/>
      <x:c r="AD80" s="74" t="str">
        <x:v>provisional=true; channel_id=CA08; ten_god=七杀; aspect=boundary</x:v>
      </x:c>
      <x:c r="AE80" s="74" t="str">
        <x:v>0.4</x:v>
      </x:c>
    </x:row>
    <x:row r="81">
      <x:c r="A81" s="80" t="str">
        <x:v>M3-CARE-077</x:v>
      </x:c>
      <x:c r="B81" s="80" t="str">
        <x:v>正印CARE通道｜CA09 安全承接</x:v>
      </x:c>
      <x:c r="C81" s="80" t="str">
        <x:v>L1 十神CARE通道</x:v>
      </x:c>
      <x:c r="D81" s="80" t="str">
        <x:v>CARE-十神通道</x:v>
      </x:c>
      <x:c r="E81" s="80" t="str">
        <x:v>通用</x:v>
      </x:c>
      <x:c r="F81" s="80" t="str">
        <x:v>基础通道</x:v>
      </x:c>
      <x:c r="G81" s="74" t="str">
        <x:v>CA09 正印 安全承接</x:v>
      </x:c>
      <x:c r="H81" s="74" t="str"/>
      <x:c r="I81" s="74" t="str">
        <x:v>正印为有效信号，且未被真合化替换；至少具备透干、有根、近位、日支参与或独立流向支持之一。</x:v>
      </x:c>
      <x:c r="J81" s="74" t="str">
        <x:v>正印真合化后失效；仅有单一弱远无根信号；基础十神判定有争议。</x:v>
      </x:c>
      <x:c r="K81" s="74" t="str">
        <x:v>由共享基础引擎与M3-STATE修正</x:v>
      </x:c>
      <x:c r="L81" s="74" t="str">
        <x:v>不限定；夫妻星仅在形成独立CARE证据或入宫接口时参与</x:v>
      </x:c>
      <x:c r="M81" s="74" t="str">
        <x:v>由M3-BASE、日支结构及共享引擎提供</x:v>
      </x:c>
      <x:c r="N81" s="74" t="str">
        <x:v>CP06 舒缓照料型／CF01 支持转自主</x:v>
      </x:c>
      <x:c r="O81" s="74" t="str">
        <x:v>全局有效信号；日柱及亲密关系近位优先</x:v>
      </x:c>
      <x:c r="P81" s="74" t="str">
        <x:v>由共享基础引擎判定</x:v>
      </x:c>
      <x:c r="Q81" s="74" t="str">
        <x:v>由共享基础引擎判定</x:v>
      </x:c>
      <x:c r="R81" s="74" t="str">
        <x:v>喜忌不直接等于愿不愿付出；只修正调用顺畅度与资源压力</x:v>
      </x:c>
      <x:c r="S81" s="74" t="str">
        <x:v>原十神性质有效；真合化成立时按化神路由</x:v>
      </x:c>
      <x:c r="T81" s="74" t="str">
        <x:v>由共享基础引擎判定</x:v>
      </x:c>
      <x:c r="U81" s="74" t="str">
        <x:v>76</x:v>
      </x:c>
      <x:c r="V81" s="74" t="str">
        <x:v>主CARE候选 +18</x:v>
      </x:c>
      <x:c r="W81" s="74" t="str">
        <x:v>primary_care_channel</x:v>
      </x:c>
      <x:c r="X81" s="74" t="str">
        <x:v>通过倾听、理解、耐心照顾、提供知识与稳定支持，让对方在关系里有被接住的感受。</x:v>
      </x:c>
      <x:c r="Y81" s="74" t="str">
        <x:v>你更容易通过倾听、理解、知识、健康照顾与稳定承接来照顾关系。通过倾听、理解、耐心照顾、提供知识与稳定支持，让对方在关系里有被接住的感受。</x:v>
      </x:c>
      <x:c r="Z81" s="74" t="str">
        <x:v>不得推出用户依赖、软弱、母性／父性过强、没有边界、喜欢被照顾或一定牺牲自己。</x:v>
      </x:c>
      <x:c r="AA81" s="74" t="str">
        <x:v>中高</x:v>
      </x:c>
      <x:c r="AB81" s="74" t="str">
        <x:v>待验证</x:v>
      </x:c>
      <x:c r="AC81" s="74" t="str"/>
      <x:c r="AD81" s="74" t="str">
        <x:v>provisional=true; channel_id=CA09; ten_god=正印; aspect=base</x:v>
      </x:c>
      <x:c r="AE81" s="74" t="str">
        <x:v>0.4</x:v>
      </x:c>
    </x:row>
    <x:row r="82">
      <x:c r="A82" s="80" t="str">
        <x:v>M3-CARE-078</x:v>
      </x:c>
      <x:c r="B82" s="80" t="str">
        <x:v>正印给予方式｜可观察支持行为</x:v>
      </x:c>
      <x:c r="C82" s="80" t="str">
        <x:v>L1 十神CARE通道</x:v>
      </x:c>
      <x:c r="D82" s="80" t="str">
        <x:v>CARE-十神通道</x:v>
      </x:c>
      <x:c r="E82" s="80" t="str">
        <x:v>通用</x:v>
      </x:c>
      <x:c r="F82" s="80" t="str">
        <x:v>行为证据</x:v>
      </x:c>
      <x:c r="G82" s="74" t="str">
        <x:v>CA09 正印 安全承接</x:v>
      </x:c>
      <x:c r="H82" s="74" t="str"/>
      <x:c r="I82" s="74" t="str">
        <x:v>正印通道有效，并出现可观察的付出、照顾或支持行为。</x:v>
      </x:c>
      <x:c r="J82" s="74" t="str">
        <x:v>只有抽象标签而无行为证据；一次事件不足以判断长期连续性。</x:v>
      </x:c>
      <x:c r="K82" s="74" t="str">
        <x:v>由共享基础引擎与M3-STATE修正</x:v>
      </x:c>
      <x:c r="L82" s="74" t="str">
        <x:v>不限定；夫妻星仅在形成独立CARE证据或入宫接口时参与</x:v>
      </x:c>
      <x:c r="M82" s="74" t="str">
        <x:v>由M3-BASE、日支结构及共享引擎提供</x:v>
      </x:c>
      <x:c r="N82" s="74" t="str">
        <x:v>CP06 舒缓照料型／CF01 支持转自主</x:v>
      </x:c>
      <x:c r="O82" s="74" t="str">
        <x:v>全局有效信号；日柱及亲密关系近位优先</x:v>
      </x:c>
      <x:c r="P82" s="74" t="str">
        <x:v>由共享基础引擎判定</x:v>
      </x:c>
      <x:c r="Q82" s="74" t="str">
        <x:v>由共享基础引擎判定</x:v>
      </x:c>
      <x:c r="R82" s="74" t="str">
        <x:v>喜忌不直接等于愿不愿付出；只修正调用顺畅度与资源压力</x:v>
      </x:c>
      <x:c r="S82" s="74" t="str">
        <x:v>原十神性质有效；真合化成立时按化神路由</x:v>
      </x:c>
      <x:c r="T82" s="74" t="str">
        <x:v>由共享基础引擎判定</x:v>
      </x:c>
      <x:c r="U82" s="74" t="str">
        <x:v>72</x:v>
      </x:c>
      <x:c r="V82" s="74" t="str">
        <x:v>行为证据 +8</x:v>
      </x:c>
      <x:c r="W82" s="74" t="str">
        <x:v>giving_content</x:v>
      </x:c>
      <x:c r="X82" s="74" t="str">
        <x:v>会倾听、安抚、照顾健康和休息、提供信息或经验、记住对方的状态，并给出稳定支持。</x:v>
      </x:c>
      <x:c r="Y82" s="74" t="str">
        <x:v>在实际相处中，你可能会会倾听、安抚、照顾健康和休息、提供信息或经验、记住对方的状态，并给出稳定支持。</x:v>
      </x:c>
      <x:c r="Z82" s="74" t="str">
        <x:v>不得推出用户依赖、软弱、母性／父性过强、没有边界、喜欢被照顾或一定牺牲自己。</x:v>
      </x:c>
      <x:c r="AA82" s="74" t="str">
        <x:v>中高</x:v>
      </x:c>
      <x:c r="AB82" s="74" t="str">
        <x:v>待验证</x:v>
      </x:c>
      <x:c r="AC82" s="74" t="str"/>
      <x:c r="AD82" s="74" t="str">
        <x:v>provisional=true; channel_id=CA09; ten_god=正印; aspect=giving</x:v>
      </x:c>
      <x:c r="AE82" s="74" t="str">
        <x:v>0.4</x:v>
      </x:c>
    </x:row>
    <x:row r="83">
      <x:c r="A83" s="80" t="str">
        <x:v>M3-CARE-079</x:v>
      </x:c>
      <x:c r="B83" s="80" t="str">
        <x:v>正印连续性｜稳定投入成立条件</x:v>
      </x:c>
      <x:c r="C83" s="80" t="str">
        <x:v>L1 十神CARE通道</x:v>
      </x:c>
      <x:c r="D83" s="80" t="str">
        <x:v>CARE-十神通道</x:v>
      </x:c>
      <x:c r="E83" s="80" t="str">
        <x:v>通用</x:v>
      </x:c>
      <x:c r="F83" s="80" t="str">
        <x:v>连续性</x:v>
      </x:c>
      <x:c r="G83" s="74" t="str">
        <x:v>CA09 正印 安全承接</x:v>
      </x:c>
      <x:c r="H83" s="74" t="str"/>
      <x:c r="I83" s="74" t="str">
        <x:v>正印通道需要判断是否形成可重复CARE模式。</x:v>
      </x:c>
      <x:c r="J83" s="74" t="str">
        <x:v>只有单次事件、短期触发或流年覆盖且原局无支持。</x:v>
      </x:c>
      <x:c r="K83" s="74" t="str">
        <x:v>由共享基础引擎与M3-STATE修正</x:v>
      </x:c>
      <x:c r="L83" s="74" t="str">
        <x:v>不限定；夫妻星仅在形成独立CARE证据或入宫接口时参与</x:v>
      </x:c>
      <x:c r="M83" s="74" t="str">
        <x:v>由M3-BASE、日支结构及共享引擎提供</x:v>
      </x:c>
      <x:c r="N83" s="74" t="str">
        <x:v>CP06 舒缓照料型／CF01 支持转自主</x:v>
      </x:c>
      <x:c r="O83" s="74" t="str">
        <x:v>全局有效信号；日柱及亲密关系近位优先</x:v>
      </x:c>
      <x:c r="P83" s="74" t="str">
        <x:v>由共享基础引擎判定</x:v>
      </x:c>
      <x:c r="Q83" s="74" t="str">
        <x:v>由共享基础引擎判定</x:v>
      </x:c>
      <x:c r="R83" s="74" t="str">
        <x:v>喜忌不直接等于愿不愿付出；只修正调用顺畅度与资源压力</x:v>
      </x:c>
      <x:c r="S83" s="74" t="str">
        <x:v>原十神性质有效；真合化成立时按化神路由</x:v>
      </x:c>
      <x:c r="T83" s="74" t="str">
        <x:v>由共享基础引擎判定</x:v>
      </x:c>
      <x:c r="U83" s="74" t="str">
        <x:v>68</x:v>
      </x:c>
      <x:c r="V83" s="74" t="str">
        <x:v>连续性按根气和重复证据 +0—8</x:v>
      </x:c>
      <x:c r="W83" s="74" t="str">
        <x:v>continuity_mode</x:v>
      </x:c>
      <x:c r="X83" s="74" t="str">
        <x:v>持续性来自耐心、重复回应和可靠的承接环境；一次安慰不能替代长期可依赖的支持。</x:v>
      </x:c>
      <x:c r="Y83" s="74" t="str">
        <x:v>持续性来自耐心、重复回应和可靠的承接环境；一次安慰不能替代长期可依赖的支持。</x:v>
      </x:c>
      <x:c r="Z83" s="74" t="str">
        <x:v>不得推出用户依赖、软弱、母性／父性过强、没有边界、喜欢被照顾或一定牺牲自己。</x:v>
      </x:c>
      <x:c r="AA83" s="74" t="str">
        <x:v>中</x:v>
      </x:c>
      <x:c r="AB83" s="74" t="str">
        <x:v>待验证</x:v>
      </x:c>
      <x:c r="AC83" s="74" t="str"/>
      <x:c r="AD83" s="74" t="str">
        <x:v>provisional=true; channel_id=CA09; ten_god=正印; aspect=continuity</x:v>
      </x:c>
      <x:c r="AE83" s="74" t="str">
        <x:v>0.4</x:v>
      </x:c>
    </x:row>
    <x:row r="84">
      <x:c r="A84" s="80" t="str">
        <x:v>M3-CARE-080</x:v>
      </x:c>
      <x:c r="B84" s="80" t="str">
        <x:v>正印请求支持｜怎样说出需要</x:v>
      </x:c>
      <x:c r="C84" s="80" t="str">
        <x:v>L1 十神CARE通道</x:v>
      </x:c>
      <x:c r="D84" s="80" t="str">
        <x:v>CARE-十神通道</x:v>
      </x:c>
      <x:c r="E84" s="80" t="str">
        <x:v>通用</x:v>
      </x:c>
      <x:c r="F84" s="80" t="str">
        <x:v>请求方式</x:v>
      </x:c>
      <x:c r="G84" s="74" t="str">
        <x:v>CA09 正印 安全承接</x:v>
      </x:c>
      <x:c r="H84" s="74" t="str"/>
      <x:c r="I84" s="74" t="str">
        <x:v>正印在请求帮助或说明资源需要的功能中有效。</x:v>
      </x:c>
      <x:c r="J84" s="74" t="str">
        <x:v>仅凭一个十神推断用户一定会主动求助；没有表达或行为证据。</x:v>
      </x:c>
      <x:c r="K84" s="74" t="str">
        <x:v>由共享基础引擎与M3-STATE修正</x:v>
      </x:c>
      <x:c r="L84" s="74" t="str">
        <x:v>不限定；夫妻星仅在形成独立CARE证据或入宫接口时参与</x:v>
      </x:c>
      <x:c r="M84" s="74" t="str">
        <x:v>由M3-BASE、日支结构及共享引擎提供</x:v>
      </x:c>
      <x:c r="N84" s="74" t="str">
        <x:v>CP06 舒缓照料型／CF01 支持转自主</x:v>
      </x:c>
      <x:c r="O84" s="74" t="str">
        <x:v>全局有效信号；日柱及亲密关系近位优先</x:v>
      </x:c>
      <x:c r="P84" s="74" t="str">
        <x:v>由共享基础引擎判定</x:v>
      </x:c>
      <x:c r="Q84" s="74" t="str">
        <x:v>由共享基础引擎判定</x:v>
      </x:c>
      <x:c r="R84" s="74" t="str">
        <x:v>喜忌不直接等于愿不愿付出；只修正调用顺畅度与资源压力</x:v>
      </x:c>
      <x:c r="S84" s="74" t="str">
        <x:v>原十神性质有效；真合化成立时按化神路由</x:v>
      </x:c>
      <x:c r="T84" s="74" t="str">
        <x:v>由共享基础引擎判定</x:v>
      </x:c>
      <x:c r="U84" s="74" t="str">
        <x:v>64</x:v>
      </x:c>
      <x:c r="V84" s="74" t="str">
        <x:v>请求方式候选 +4</x:v>
      </x:c>
      <x:c r="W84" s="74" t="str">
        <x:v>support_request_style</x:v>
      </x:c>
      <x:c r="X84" s="74" t="str">
        <x:v>更容易在安全和信任中表达需要，希望得到理解、时间、指导或稳定陪伴。</x:v>
      </x:c>
      <x:c r="Y84" s="74" t="str">
        <x:v>当你需要支持时，更容易在安全和信任中表达需要，希望得到理解、时间、指导或稳定陪伴。</x:v>
      </x:c>
      <x:c r="Z84" s="74" t="str">
        <x:v>不得推出用户依赖、软弱、母性／父性过强、没有边界、喜欢被照顾或一定牺牲自己。</x:v>
      </x:c>
      <x:c r="AA84" s="74" t="str">
        <x:v>中</x:v>
      </x:c>
      <x:c r="AB84" s="74" t="str">
        <x:v>待验证</x:v>
      </x:c>
      <x:c r="AC84" s="74" t="str"/>
      <x:c r="AD84" s="74" t="str">
        <x:v>provisional=true; channel_id=CA09; ten_god=正印; aspect=request</x:v>
      </x:c>
      <x:c r="AE84" s="74" t="str">
        <x:v>0.4</x:v>
      </x:c>
    </x:row>
    <x:row r="85">
      <x:c r="A85" s="80" t="str">
        <x:v>M3-CARE-081</x:v>
      </x:c>
      <x:c r="B85" s="80" t="str">
        <x:v>正印接受支持｜什么帮助更容易被接收</x:v>
      </x:c>
      <x:c r="C85" s="80" t="str">
        <x:v>L1 十神CARE通道</x:v>
      </x:c>
      <x:c r="D85" s="80" t="str">
        <x:v>CARE-十神通道</x:v>
      </x:c>
      <x:c r="E85" s="80" t="str">
        <x:v>通用</x:v>
      </x:c>
      <x:c r="F85" s="80" t="str">
        <x:v>接受方式</x:v>
      </x:c>
      <x:c r="G85" s="74" t="str">
        <x:v>CA09 正印 安全承接</x:v>
      </x:c>
      <x:c r="H85" s="74" t="str"/>
      <x:c r="I85" s="74" t="str">
        <x:v>正印在接收、识别或评价支持的功能中有效。</x:v>
      </x:c>
      <x:c r="J85" s="74" t="str">
        <x:v>把M2选择标准直接当作M3接受支持习惯；只有单一弱远信号。</x:v>
      </x:c>
      <x:c r="K85" s="74" t="str">
        <x:v>由共享基础引擎与M3-STATE修正</x:v>
      </x:c>
      <x:c r="L85" s="74" t="str">
        <x:v>不限定；夫妻星仅在形成独立CARE证据或入宫接口时参与</x:v>
      </x:c>
      <x:c r="M85" s="74" t="str">
        <x:v>由M3-BASE、日支结构及共享引擎提供</x:v>
      </x:c>
      <x:c r="N85" s="74" t="str">
        <x:v>CP06 舒缓照料型／CF01 支持转自主</x:v>
      </x:c>
      <x:c r="O85" s="74" t="str">
        <x:v>全局有效信号；日柱及亲密关系近位优先</x:v>
      </x:c>
      <x:c r="P85" s="74" t="str">
        <x:v>由共享基础引擎判定</x:v>
      </x:c>
      <x:c r="Q85" s="74" t="str">
        <x:v>由共享基础引擎判定</x:v>
      </x:c>
      <x:c r="R85" s="74" t="str">
        <x:v>喜忌不直接等于愿不愿付出；只修正调用顺畅度与资源压力</x:v>
      </x:c>
      <x:c r="S85" s="74" t="str">
        <x:v>原十神性质有效；真合化成立时按化神路由</x:v>
      </x:c>
      <x:c r="T85" s="74" t="str">
        <x:v>由共享基础引擎判定</x:v>
      </x:c>
      <x:c r="U85" s="74" t="str">
        <x:v>63</x:v>
      </x:c>
      <x:c r="V85" s="74" t="str">
        <x:v>接受方式候选 +4</x:v>
      </x:c>
      <x:c r="W85" s="74" t="str">
        <x:v>support_receiving_style</x:v>
      </x:c>
      <x:c r="X85" s="74" t="str">
        <x:v>更容易接受不催促、不轻易否定、愿意理解背景并提供稳定承接的帮助。</x:v>
      </x:c>
      <x:c r="Y85" s="74" t="str">
        <x:v>你更容易把不催促、不轻易否定、愿意理解背景并提供稳定承接的帮助。感知为真正有帮助。</x:v>
      </x:c>
      <x:c r="Z85" s="74" t="str">
        <x:v>不得推出用户依赖、软弱、母性／父性过强、没有边界、喜欢被照顾或一定牺牲自己。</x:v>
      </x:c>
      <x:c r="AA85" s="74" t="str">
        <x:v>中</x:v>
      </x:c>
      <x:c r="AB85" s="74" t="str">
        <x:v>待验证</x:v>
      </x:c>
      <x:c r="AC85" s="74" t="str"/>
      <x:c r="AD85" s="74" t="str">
        <x:v>provisional=true; channel_id=CA09; ten_god=正印; aspect=receive</x:v>
      </x:c>
      <x:c r="AE85" s="74" t="str">
        <x:v>0.4</x:v>
      </x:c>
    </x:row>
    <x:row r="86">
      <x:c r="A86" s="80" t="str">
        <x:v>M3-CARE-082</x:v>
      </x:c>
      <x:c r="B86" s="80" t="str">
        <x:v>正印状态修正｜平衡与抢先启动</x:v>
      </x:c>
      <x:c r="C86" s="80" t="str">
        <x:v>L1 十神CARE通道</x:v>
      </x:c>
      <x:c r="D86" s="80" t="str">
        <x:v>CARE-十神通道</x:v>
      </x:c>
      <x:c r="E86" s="80" t="str">
        <x:v>通用</x:v>
      </x:c>
      <x:c r="F86" s="80" t="str">
        <x:v>状态修正</x:v>
      </x:c>
      <x:c r="G86" s="74" t="str">
        <x:v>CA09 正印 安全承接</x:v>
      </x:c>
      <x:c r="H86" s="74" t="str"/>
      <x:c r="I86" s="74" t="str">
        <x:v>正印通道强度已由共享引擎判定为平衡、过旺或抢先启动。</x:v>
      </x:c>
      <x:c r="J86" s="74" t="str">
        <x:v>旺衰未定；把过旺直接解释为过度付出或风险。</x:v>
      </x:c>
      <x:c r="K86" s="74" t="str">
        <x:v>由共享基础引擎与M3-STATE修正</x:v>
      </x:c>
      <x:c r="L86" s="74" t="str">
        <x:v>不限定；夫妻星仅在形成独立CARE证据或入宫接口时参与</x:v>
      </x:c>
      <x:c r="M86" s="74" t="str">
        <x:v>由M3-BASE、日支结构及共享引擎提供</x:v>
      </x:c>
      <x:c r="N86" s="74" t="str">
        <x:v>CP06 舒缓照料型／CF01 支持转自主</x:v>
      </x:c>
      <x:c r="O86" s="74" t="str">
        <x:v>全局有效信号；日柱及亲密关系近位优先</x:v>
      </x:c>
      <x:c r="P86" s="74" t="str">
        <x:v>由共享基础引擎判定</x:v>
      </x:c>
      <x:c r="Q86" s="74" t="str">
        <x:v>由共享基础引擎判定</x:v>
      </x:c>
      <x:c r="R86" s="74" t="str">
        <x:v>喜忌不直接等于愿不愿付出；只修正调用顺畅度与资源压力</x:v>
      </x:c>
      <x:c r="S86" s="74" t="str">
        <x:v>原十神性质有效；真合化成立时按化神路由</x:v>
      </x:c>
      <x:c r="T86" s="74" t="str">
        <x:v>由共享基础引擎判定</x:v>
      </x:c>
      <x:c r="U86" s="74" t="str">
        <x:v>59</x:v>
      </x:c>
      <x:c r="V86" s="74" t="str">
        <x:v>修正强度，不新增独立证据</x:v>
      </x:c>
      <x:c r="W86" s="74" t="str">
        <x:v>state_shift</x:v>
      </x:c>
      <x:c r="X86" s="74" t="str">
        <x:v>平衡时是温和、稳定而不替代对方决定的支持；过旺时只说明承接和照顾容易占据关系资源。</x:v>
      </x:c>
      <x:c r="Y86" s="74" t="str">
        <x:v>平衡时是温和、稳定而不替代对方决定的支持；过旺时只说明承接和照顾容易占据关系资源。</x:v>
      </x:c>
      <x:c r="Z86" s="74" t="str">
        <x:v>不得推出用户依赖、软弱、母性／父性过强、没有边界、喜欢被照顾或一定牺牲自己。</x:v>
      </x:c>
      <x:c r="AA86" s="74" t="str">
        <x:v>中</x:v>
      </x:c>
      <x:c r="AB86" s="74" t="str">
        <x:v>待验证</x:v>
      </x:c>
      <x:c r="AC86" s="74" t="str"/>
      <x:c r="AD86" s="74" t="str">
        <x:v>provisional=true; channel_id=CA09; ten_god=正印; aspect=state</x:v>
      </x:c>
      <x:c r="AE86" s="74" t="str">
        <x:v>0.4</x:v>
      </x:c>
    </x:row>
    <x:row r="87">
      <x:c r="A87" s="80" t="str">
        <x:v>M3-CARE-083</x:v>
      </x:c>
      <x:c r="B87" s="80" t="str">
        <x:v>正印禁止误读｜安全承接边界</x:v>
      </x:c>
      <x:c r="C87" s="80" t="str">
        <x:v>L1 十神CARE通道</x:v>
      </x:c>
      <x:c r="D87" s="80" t="str">
        <x:v>CARE-十神通道</x:v>
      </x:c>
      <x:c r="E87" s="80" t="str">
        <x:v>通用</x:v>
      </x:c>
      <x:c r="F87" s="80" t="str">
        <x:v>禁止推断</x:v>
      </x:c>
      <x:c r="G87" s="74" t="str">
        <x:v>CA09 正印 安全承接</x:v>
      </x:c>
      <x:c r="H87" s="74" t="str"/>
      <x:c r="I87" s="74" t="str">
        <x:v>正在把正印CARE通道翻译为用户语言。</x:v>
      </x:c>
      <x:c r="J87" s="74" t="str">
        <x:v>无</x:v>
      </x:c>
      <x:c r="K87" s="74" t="str">
        <x:v>由共享基础引擎与M3-STATE修正</x:v>
      </x:c>
      <x:c r="L87" s="74" t="str">
        <x:v>不限定；夫妻星仅在形成独立CARE证据或入宫接口时参与</x:v>
      </x:c>
      <x:c r="M87" s="74" t="str">
        <x:v>由M3-BASE、日支结构及共享引擎提供</x:v>
      </x:c>
      <x:c r="N87" s="74" t="str">
        <x:v>CP06 舒缓照料型／CF01 支持转自主</x:v>
      </x:c>
      <x:c r="O87" s="74" t="str">
        <x:v>全局有效信号；日柱及亲密关系近位优先</x:v>
      </x:c>
      <x:c r="P87" s="74" t="str">
        <x:v>由共享基础引擎判定</x:v>
      </x:c>
      <x:c r="Q87" s="74" t="str">
        <x:v>由共享基础引擎判定</x:v>
      </x:c>
      <x:c r="R87" s="74" t="str">
        <x:v>喜忌不直接等于愿不愿付出；只修正调用顺畅度与资源压力</x:v>
      </x:c>
      <x:c r="S87" s="74" t="str">
        <x:v>原十神性质有效；真合化成立时按化神路由</x:v>
      </x:c>
      <x:c r="T87" s="74" t="str">
        <x:v>由共享基础引擎判定</x:v>
      </x:c>
      <x:c r="U87" s="74" t="str">
        <x:v>58</x:v>
      </x:c>
      <x:c r="V87" s="74" t="str">
        <x:v>不加分；边界检查</x:v>
      </x:c>
      <x:c r="W87" s="74" t="str">
        <x:v>boundary_note</x:v>
      </x:c>
      <x:c r="X87" s="74" t="str">
        <x:v>正印只提供倾听、理解、知识、健康照顾与稳定承接这一支持功能，不能越界到人格好坏、关系风险或结果。</x:v>
      </x:c>
      <x:c r="Y87" s="74" t="str">
        <x:v>这里描述的是你可能更常使用的支持方式，不代表你只能这样照顾人，也不代表其他方式一定缺失。</x:v>
      </x:c>
      <x:c r="Z87" s="74" t="str">
        <x:v>不得推出用户依赖、软弱、母性／父性过强、没有边界、喜欢被照顾或一定牺牲自己。</x:v>
      </x:c>
      <x:c r="AA87" s="74" t="str">
        <x:v>高</x:v>
      </x:c>
      <x:c r="AB87" s="74" t="str">
        <x:v>待验证</x:v>
      </x:c>
      <x:c r="AC87" s="74" t="str"/>
      <x:c r="AD87" s="74" t="str">
        <x:v>provisional=true; channel_id=CA09; ten_god=正印; aspect=boundary</x:v>
      </x:c>
      <x:c r="AE87" s="74" t="str">
        <x:v>0.4</x:v>
      </x:c>
    </x:row>
    <x:row r="88">
      <x:c r="A88" s="80" t="str">
        <x:v>M3-CARE-084</x:v>
      </x:c>
      <x:c r="B88" s="80" t="str">
        <x:v>偏印CARE通道｜CA10 个性支持</x:v>
      </x:c>
      <x:c r="C88" s="80" t="str">
        <x:v>L1 十神CARE通道</x:v>
      </x:c>
      <x:c r="D88" s="80" t="str">
        <x:v>CARE-十神通道</x:v>
      </x:c>
      <x:c r="E88" s="80" t="str">
        <x:v>通用</x:v>
      </x:c>
      <x:c r="F88" s="80" t="str">
        <x:v>基础通道</x:v>
      </x:c>
      <x:c r="G88" s="74" t="str">
        <x:v>CA10 偏印 个性支持</x:v>
      </x:c>
      <x:c r="H88" s="74" t="str"/>
      <x:c r="I88" s="74" t="str">
        <x:v>偏印为有效信号，且未被真合化替换；至少具备透干、有根、近位、日支参与或独立流向支持之一。</x:v>
      </x:c>
      <x:c r="J88" s="74" t="str">
        <x:v>偏印真合化后失效；仅有单一弱远无根信号；基础十神判定有争议。</x:v>
      </x:c>
      <x:c r="K88" s="74" t="str">
        <x:v>由共享基础引擎与M3-STATE修正</x:v>
      </x:c>
      <x:c r="L88" s="74" t="str">
        <x:v>不限定；夫妻星仅在形成独立CARE证据或入宫接口时参与</x:v>
      </x:c>
      <x:c r="M88" s="74" t="str">
        <x:v>由M3-BASE、日支结构及共享引擎提供</x:v>
      </x:c>
      <x:c r="N88" s="74" t="str">
        <x:v>CP10 个性支持型／CF01 支持转自主</x:v>
      </x:c>
      <x:c r="O88" s="74" t="str">
        <x:v>全局有效信号；日柱及亲密关系近位优先</x:v>
      </x:c>
      <x:c r="P88" s="74" t="str">
        <x:v>由共享基础引擎判定</x:v>
      </x:c>
      <x:c r="Q88" s="74" t="str">
        <x:v>由共享基础引擎判定</x:v>
      </x:c>
      <x:c r="R88" s="74" t="str">
        <x:v>喜忌不直接等于愿不愿付出；只修正调用顺畅度与资源压力</x:v>
      </x:c>
      <x:c r="S88" s="74" t="str">
        <x:v>原十神性质有效；真合化成立时按化神路由</x:v>
      </x:c>
      <x:c r="T88" s="74" t="str">
        <x:v>由共享基础引擎判定</x:v>
      </x:c>
      <x:c r="U88" s="74" t="str">
        <x:v>76</x:v>
      </x:c>
      <x:c r="V88" s="74" t="str">
        <x:v>主CARE候选 +18</x:v>
      </x:c>
      <x:c r="W88" s="74" t="str">
        <x:v>primary_care_channel</x:v>
      </x:c>
      <x:c r="X88" s="74" t="str">
        <x:v>通过洞察独特需要、提供专业或非标准方法、尊重私人空间和选择性深度回应来支持关系。</x:v>
      </x:c>
      <x:c r="Y88" s="74" t="str">
        <x:v>你更容易通过洞察、专业方法、私人空间、定制资源与选择性回应来照顾关系。通过洞察独特需要、提供专业或非标准方法、尊重私人空间和选择性深度回应来支持关系。</x:v>
      </x:c>
      <x:c r="Z88" s="74" t="str">
        <x:v>不得推出用户冷漠、神秘、回避亲密、精神异常、故意不说或不愿接受任何帮助。</x:v>
      </x:c>
      <x:c r="AA88" s="74" t="str">
        <x:v>中高</x:v>
      </x:c>
      <x:c r="AB88" s="74" t="str">
        <x:v>待验证</x:v>
      </x:c>
      <x:c r="AC88" s="74" t="str"/>
      <x:c r="AD88" s="74" t="str">
        <x:v>provisional=true; channel_id=CA10; ten_god=偏印; aspect=base</x:v>
      </x:c>
      <x:c r="AE88" s="74" t="str">
        <x:v>0.4</x:v>
      </x:c>
    </x:row>
    <x:row r="89">
      <x:c r="A89" s="80" t="str">
        <x:v>M3-CARE-085</x:v>
      </x:c>
      <x:c r="B89" s="80" t="str">
        <x:v>偏印给予方式｜可观察支持行为</x:v>
      </x:c>
      <x:c r="C89" s="80" t="str">
        <x:v>L1 十神CARE通道</x:v>
      </x:c>
      <x:c r="D89" s="80" t="str">
        <x:v>CARE-十神通道</x:v>
      </x:c>
      <x:c r="E89" s="80" t="str">
        <x:v>通用</x:v>
      </x:c>
      <x:c r="F89" s="80" t="str">
        <x:v>行为证据</x:v>
      </x:c>
      <x:c r="G89" s="74" t="str">
        <x:v>CA10 偏印 个性支持</x:v>
      </x:c>
      <x:c r="H89" s="74" t="str"/>
      <x:c r="I89" s="74" t="str">
        <x:v>偏印通道有效，并出现可观察的付出、照顾或支持行为。</x:v>
      </x:c>
      <x:c r="J89" s="74" t="str">
        <x:v>只有抽象标签而无行为证据；一次事件不足以判断长期连续性。</x:v>
      </x:c>
      <x:c r="K89" s="74" t="str">
        <x:v>由共享基础引擎与M3-STATE修正</x:v>
      </x:c>
      <x:c r="L89" s="74" t="str">
        <x:v>不限定；夫妻星仅在形成独立CARE证据或入宫接口时参与</x:v>
      </x:c>
      <x:c r="M89" s="74" t="str">
        <x:v>由M3-BASE、日支结构及共享引擎提供</x:v>
      </x:c>
      <x:c r="N89" s="74" t="str">
        <x:v>CP10 个性支持型／CF01 支持转自主</x:v>
      </x:c>
      <x:c r="O89" s="74" t="str">
        <x:v>全局有效信号；日柱及亲密关系近位优先</x:v>
      </x:c>
      <x:c r="P89" s="74" t="str">
        <x:v>由共享基础引擎判定</x:v>
      </x:c>
      <x:c r="Q89" s="74" t="str">
        <x:v>由共享基础引擎判定</x:v>
      </x:c>
      <x:c r="R89" s="74" t="str">
        <x:v>喜忌不直接等于愿不愿付出；只修正调用顺畅度与资源压力</x:v>
      </x:c>
      <x:c r="S89" s="74" t="str">
        <x:v>原十神性质有效；真合化成立时按化神路由</x:v>
      </x:c>
      <x:c r="T89" s="74" t="str">
        <x:v>由共享基础引擎判定</x:v>
      </x:c>
      <x:c r="U89" s="74" t="str">
        <x:v>72</x:v>
      </x:c>
      <x:c r="V89" s="74" t="str">
        <x:v>行为证据 +8</x:v>
      </x:c>
      <x:c r="W89" s="74" t="str">
        <x:v>giving_content</x:v>
      </x:c>
      <x:c r="X89" s="74" t="str">
        <x:v>会观察细节、给出专业建议、寻找小众资源、提供安静陪伴、尊重独处，或用定制化方式帮助对方。</x:v>
      </x:c>
      <x:c r="Y89" s="74" t="str">
        <x:v>在实际相处中，你可能会会观察细节、给出专业建议、寻找小众资源、提供安静陪伴、尊重独处，或用定制化方式帮助对方。</x:v>
      </x:c>
      <x:c r="Z89" s="74" t="str">
        <x:v>不得推出用户冷漠、神秘、回避亲密、精神异常、故意不说或不愿接受任何帮助。</x:v>
      </x:c>
      <x:c r="AA89" s="74" t="str">
        <x:v>中高</x:v>
      </x:c>
      <x:c r="AB89" s="74" t="str">
        <x:v>待验证</x:v>
      </x:c>
      <x:c r="AC89" s="74" t="str"/>
      <x:c r="AD89" s="74" t="str">
        <x:v>provisional=true; channel_id=CA10; ten_god=偏印; aspect=giving</x:v>
      </x:c>
      <x:c r="AE89" s="74" t="str">
        <x:v>0.4</x:v>
      </x:c>
    </x:row>
    <x:row r="90">
      <x:c r="A90" s="80" t="str">
        <x:v>M3-CARE-086</x:v>
      </x:c>
      <x:c r="B90" s="80" t="str">
        <x:v>偏印连续性｜稳定投入成立条件</x:v>
      </x:c>
      <x:c r="C90" s="80" t="str">
        <x:v>L1 十神CARE通道</x:v>
      </x:c>
      <x:c r="D90" s="80" t="str">
        <x:v>CARE-十神通道</x:v>
      </x:c>
      <x:c r="E90" s="80" t="str">
        <x:v>通用</x:v>
      </x:c>
      <x:c r="F90" s="80" t="str">
        <x:v>连续性</x:v>
      </x:c>
      <x:c r="G90" s="74" t="str">
        <x:v>CA10 偏印 个性支持</x:v>
      </x:c>
      <x:c r="H90" s="74" t="str"/>
      <x:c r="I90" s="74" t="str">
        <x:v>偏印通道需要判断是否形成可重复CARE模式。</x:v>
      </x:c>
      <x:c r="J90" s="74" t="str">
        <x:v>只有单次事件、短期触发或流年覆盖且原局无支持。</x:v>
      </x:c>
      <x:c r="K90" s="74" t="str">
        <x:v>由共享基础引擎与M3-STATE修正</x:v>
      </x:c>
      <x:c r="L90" s="74" t="str">
        <x:v>不限定；夫妻星仅在形成独立CARE证据或入宫接口时参与</x:v>
      </x:c>
      <x:c r="M90" s="74" t="str">
        <x:v>由M3-BASE、日支结构及共享引擎提供</x:v>
      </x:c>
      <x:c r="N90" s="74" t="str">
        <x:v>CP10 个性支持型／CF01 支持转自主</x:v>
      </x:c>
      <x:c r="O90" s="74" t="str">
        <x:v>全局有效信号；日柱及亲密关系近位优先</x:v>
      </x:c>
      <x:c r="P90" s="74" t="str">
        <x:v>由共享基础引擎判定</x:v>
      </x:c>
      <x:c r="Q90" s="74" t="str">
        <x:v>由共享基础引擎判定</x:v>
      </x:c>
      <x:c r="R90" s="74" t="str">
        <x:v>喜忌不直接等于愿不愿付出；只修正调用顺畅度与资源压力</x:v>
      </x:c>
      <x:c r="S90" s="74" t="str">
        <x:v>原十神性质有效；真合化成立时按化神路由</x:v>
      </x:c>
      <x:c r="T90" s="74" t="str">
        <x:v>由共享基础引擎判定</x:v>
      </x:c>
      <x:c r="U90" s="74" t="str">
        <x:v>68</x:v>
      </x:c>
      <x:c r="V90" s="74" t="str">
        <x:v>连续性按根气和重复证据 +0—8</x:v>
      </x:c>
      <x:c r="W90" s="74" t="str">
        <x:v>continuity_mode</x:v>
      </x:c>
      <x:c r="X90" s="74" t="str">
        <x:v>更依赖信任、问题匹配度和对方是否真正需要这种深度支持；外显频率可能不高，但不等于没有投入。</x:v>
      </x:c>
      <x:c r="Y90" s="74" t="str">
        <x:v>更依赖信任、问题匹配度和对方是否真正需要这种深度支持；外显频率可能不高，但不等于没有投入。</x:v>
      </x:c>
      <x:c r="Z90" s="74" t="str">
        <x:v>不得推出用户冷漠、神秘、回避亲密、精神异常、故意不说或不愿接受任何帮助。</x:v>
      </x:c>
      <x:c r="AA90" s="74" t="str">
        <x:v>中</x:v>
      </x:c>
      <x:c r="AB90" s="74" t="str">
        <x:v>待验证</x:v>
      </x:c>
      <x:c r="AC90" s="74" t="str"/>
      <x:c r="AD90" s="74" t="str">
        <x:v>provisional=true; channel_id=CA10; ten_god=偏印; aspect=continuity</x:v>
      </x:c>
      <x:c r="AE90" s="74" t="str">
        <x:v>0.4</x:v>
      </x:c>
    </x:row>
    <x:row r="91">
      <x:c r="A91" s="80" t="str">
        <x:v>M3-CARE-087</x:v>
      </x:c>
      <x:c r="B91" s="80" t="str">
        <x:v>偏印请求支持｜怎样说出需要</x:v>
      </x:c>
      <x:c r="C91" s="80" t="str">
        <x:v>L1 十神CARE通道</x:v>
      </x:c>
      <x:c r="D91" s="80" t="str">
        <x:v>CARE-十神通道</x:v>
      </x:c>
      <x:c r="E91" s="80" t="str">
        <x:v>通用</x:v>
      </x:c>
      <x:c r="F91" s="80" t="str">
        <x:v>请求方式</x:v>
      </x:c>
      <x:c r="G91" s="74" t="str">
        <x:v>CA10 偏印 个性支持</x:v>
      </x:c>
      <x:c r="H91" s="74" t="str"/>
      <x:c r="I91" s="74" t="str">
        <x:v>偏印在请求帮助或说明资源需要的功能中有效。</x:v>
      </x:c>
      <x:c r="J91" s="74" t="str">
        <x:v>仅凭一个十神推断用户一定会主动求助；没有表达或行为证据。</x:v>
      </x:c>
      <x:c r="K91" s="74" t="str">
        <x:v>由共享基础引擎与M3-STATE修正</x:v>
      </x:c>
      <x:c r="L91" s="74" t="str">
        <x:v>不限定；夫妻星仅在形成独立CARE证据或入宫接口时参与</x:v>
      </x:c>
      <x:c r="M91" s="74" t="str">
        <x:v>由M3-BASE、日支结构及共享引擎提供</x:v>
      </x:c>
      <x:c r="N91" s="74" t="str">
        <x:v>CP10 个性支持型／CF01 支持转自主</x:v>
      </x:c>
      <x:c r="O91" s="74" t="str">
        <x:v>全局有效信号；日柱及亲密关系近位优先</x:v>
      </x:c>
      <x:c r="P91" s="74" t="str">
        <x:v>由共享基础引擎判定</x:v>
      </x:c>
      <x:c r="Q91" s="74" t="str">
        <x:v>由共享基础引擎判定</x:v>
      </x:c>
      <x:c r="R91" s="74" t="str">
        <x:v>喜忌不直接等于愿不愿付出；只修正调用顺畅度与资源压力</x:v>
      </x:c>
      <x:c r="S91" s="74" t="str">
        <x:v>原十神性质有效；真合化成立时按化神路由</x:v>
      </x:c>
      <x:c r="T91" s="74" t="str">
        <x:v>由共享基础引擎判定</x:v>
      </x:c>
      <x:c r="U91" s="74" t="str">
        <x:v>64</x:v>
      </x:c>
      <x:c r="V91" s="74" t="str">
        <x:v>请求方式候选 +4</x:v>
      </x:c>
      <x:c r="W91" s="74" t="str">
        <x:v>support_request_style</x:v>
      </x:c>
      <x:c r="X91" s="74" t="str">
        <x:v>求助可能较含蓄或专业化，更愿意说明真正卡点，并保留独立消化和选择的空间。</x:v>
      </x:c>
      <x:c r="Y91" s="74" t="str">
        <x:v>当你需要支持时，求助可能较含蓄或专业化，更愿意说明真正卡点，并保留独立消化和选择的空间。</x:v>
      </x:c>
      <x:c r="Z91" s="74" t="str">
        <x:v>不得推出用户冷漠、神秘、回避亲密、精神异常、故意不说或不愿接受任何帮助。</x:v>
      </x:c>
      <x:c r="AA91" s="74" t="str">
        <x:v>中</x:v>
      </x:c>
      <x:c r="AB91" s="74" t="str">
        <x:v>待验证</x:v>
      </x:c>
      <x:c r="AC91" s="74" t="str"/>
      <x:c r="AD91" s="74" t="str">
        <x:v>provisional=true; channel_id=CA10; ten_god=偏印; aspect=request</x:v>
      </x:c>
      <x:c r="AE91" s="74" t="str">
        <x:v>0.4</x:v>
      </x:c>
    </x:row>
    <x:row r="92">
      <x:c r="A92" s="80" t="str">
        <x:v>M3-CARE-088</x:v>
      </x:c>
      <x:c r="B92" s="80" t="str">
        <x:v>偏印接受支持｜什么帮助更容易被接收</x:v>
      </x:c>
      <x:c r="C92" s="80" t="str">
        <x:v>L1 十神CARE通道</x:v>
      </x:c>
      <x:c r="D92" s="80" t="str">
        <x:v>CARE-十神通道</x:v>
      </x:c>
      <x:c r="E92" s="80" t="str">
        <x:v>通用</x:v>
      </x:c>
      <x:c r="F92" s="80" t="str">
        <x:v>接受方式</x:v>
      </x:c>
      <x:c r="G92" s="74" t="str">
        <x:v>CA10 偏印 个性支持</x:v>
      </x:c>
      <x:c r="H92" s="74" t="str"/>
      <x:c r="I92" s="74" t="str">
        <x:v>偏印在接收、识别或评价支持的功能中有效。</x:v>
      </x:c>
      <x:c r="J92" s="74" t="str">
        <x:v>把M2选择标准直接当作M3接受支持习惯；只有单一弱远信号。</x:v>
      </x:c>
      <x:c r="K92" s="74" t="str">
        <x:v>由共享基础引擎与M3-STATE修正</x:v>
      </x:c>
      <x:c r="L92" s="74" t="str">
        <x:v>不限定；夫妻星仅在形成独立CARE证据或入宫接口时参与</x:v>
      </x:c>
      <x:c r="M92" s="74" t="str">
        <x:v>由M3-BASE、日支结构及共享引擎提供</x:v>
      </x:c>
      <x:c r="N92" s="74" t="str">
        <x:v>CP10 个性支持型／CF01 支持转自主</x:v>
      </x:c>
      <x:c r="O92" s="74" t="str">
        <x:v>全局有效信号；日柱及亲密关系近位优先</x:v>
      </x:c>
      <x:c r="P92" s="74" t="str">
        <x:v>由共享基础引擎判定</x:v>
      </x:c>
      <x:c r="Q92" s="74" t="str">
        <x:v>由共享基础引擎判定</x:v>
      </x:c>
      <x:c r="R92" s="74" t="str">
        <x:v>喜忌不直接等于愿不愿付出；只修正调用顺畅度与资源压力</x:v>
      </x:c>
      <x:c r="S92" s="74" t="str">
        <x:v>原十神性质有效；真合化成立时按化神路由</x:v>
      </x:c>
      <x:c r="T92" s="74" t="str">
        <x:v>由共享基础引擎判定</x:v>
      </x:c>
      <x:c r="U92" s="74" t="str">
        <x:v>63</x:v>
      </x:c>
      <x:c r="V92" s="74" t="str">
        <x:v>接受方式候选 +4</x:v>
      </x:c>
      <x:c r="W92" s="74" t="str">
        <x:v>support_receiving_style</x:v>
      </x:c>
      <x:c r="X92" s="74" t="str">
        <x:v>更容易接受尊重复杂性、不过度打扰、能理解特殊需要并提供精准帮助的支持。</x:v>
      </x:c>
      <x:c r="Y92" s="74" t="str">
        <x:v>你更容易把尊重复杂性、不过度打扰、能理解特殊需要并提供精准帮助的支持。感知为真正有帮助。</x:v>
      </x:c>
      <x:c r="Z92" s="74" t="str">
        <x:v>不得推出用户冷漠、神秘、回避亲密、精神异常、故意不说或不愿接受任何帮助。</x:v>
      </x:c>
      <x:c r="AA92" s="74" t="str">
        <x:v>中</x:v>
      </x:c>
      <x:c r="AB92" s="74" t="str">
        <x:v>待验证</x:v>
      </x:c>
      <x:c r="AC92" s="74" t="str"/>
      <x:c r="AD92" s="74" t="str">
        <x:v>provisional=true; channel_id=CA10; ten_god=偏印; aspect=receive</x:v>
      </x:c>
      <x:c r="AE92" s="74" t="str">
        <x:v>0.4</x:v>
      </x:c>
    </x:row>
    <x:row r="93">
      <x:c r="A93" s="80" t="str">
        <x:v>M3-CARE-089</x:v>
      </x:c>
      <x:c r="B93" s="80" t="str">
        <x:v>偏印状态修正｜平衡与抢先启动</x:v>
      </x:c>
      <x:c r="C93" s="80" t="str">
        <x:v>L1 十神CARE通道</x:v>
      </x:c>
      <x:c r="D93" s="80" t="str">
        <x:v>CARE-十神通道</x:v>
      </x:c>
      <x:c r="E93" s="80" t="str">
        <x:v>通用</x:v>
      </x:c>
      <x:c r="F93" s="80" t="str">
        <x:v>状态修正</x:v>
      </x:c>
      <x:c r="G93" s="74" t="str">
        <x:v>CA10 偏印 个性支持</x:v>
      </x:c>
      <x:c r="H93" s="74" t="str"/>
      <x:c r="I93" s="74" t="str">
        <x:v>偏印通道强度已由共享引擎判定为平衡、过旺或抢先启动。</x:v>
      </x:c>
      <x:c r="J93" s="74" t="str">
        <x:v>旺衰未定；把过旺直接解释为过度付出或风险。</x:v>
      </x:c>
      <x:c r="K93" s="74" t="str">
        <x:v>由共享基础引擎与M3-STATE修正</x:v>
      </x:c>
      <x:c r="L93" s="74" t="str">
        <x:v>不限定；夫妻星仅在形成独立CARE证据或入宫接口时参与</x:v>
      </x:c>
      <x:c r="M93" s="74" t="str">
        <x:v>由M3-BASE、日支结构及共享引擎提供</x:v>
      </x:c>
      <x:c r="N93" s="74" t="str">
        <x:v>CP10 个性支持型／CF01 支持转自主</x:v>
      </x:c>
      <x:c r="O93" s="74" t="str">
        <x:v>全局有效信号；日柱及亲密关系近位优先</x:v>
      </x:c>
      <x:c r="P93" s="74" t="str">
        <x:v>由共享基础引擎判定</x:v>
      </x:c>
      <x:c r="Q93" s="74" t="str">
        <x:v>由共享基础引擎判定</x:v>
      </x:c>
      <x:c r="R93" s="74" t="str">
        <x:v>喜忌不直接等于愿不愿付出；只修正调用顺畅度与资源压力</x:v>
      </x:c>
      <x:c r="S93" s="74" t="str">
        <x:v>原十神性质有效；真合化成立时按化神路由</x:v>
      </x:c>
      <x:c r="T93" s="74" t="str">
        <x:v>由共享基础引擎判定</x:v>
      </x:c>
      <x:c r="U93" s="74" t="str">
        <x:v>59</x:v>
      </x:c>
      <x:c r="V93" s="74" t="str">
        <x:v>修正强度，不新增独立证据</x:v>
      </x:c>
      <x:c r="W93" s="74" t="str">
        <x:v>state_shift</x:v>
      </x:c>
      <x:c r="X93" s="74" t="str">
        <x:v>平衡时是精准、尊重差异的支持；过旺时只说明内部观察和特殊方法更容易抢先，不直接等于疏离。</x:v>
      </x:c>
      <x:c r="Y93" s="74" t="str">
        <x:v>平衡时是精准、尊重差异的支持；过旺时只说明内部观察和特殊方法更容易抢先，不直接等于疏离。</x:v>
      </x:c>
      <x:c r="Z93" s="74" t="str">
        <x:v>不得推出用户冷漠、神秘、回避亲密、精神异常、故意不说或不愿接受任何帮助。</x:v>
      </x:c>
      <x:c r="AA93" s="74" t="str">
        <x:v>中</x:v>
      </x:c>
      <x:c r="AB93" s="74" t="str">
        <x:v>待验证</x:v>
      </x:c>
      <x:c r="AC93" s="74" t="str"/>
      <x:c r="AD93" s="74" t="str">
        <x:v>provisional=true; channel_id=CA10; ten_god=偏印; aspect=state</x:v>
      </x:c>
      <x:c r="AE93" s="74" t="str">
        <x:v>0.4</x:v>
      </x:c>
    </x:row>
    <x:row r="94">
      <x:c r="A94" s="80" t="str">
        <x:v>M3-CARE-090</x:v>
      </x:c>
      <x:c r="B94" s="80" t="str">
        <x:v>偏印禁止误读｜个性支持边界</x:v>
      </x:c>
      <x:c r="C94" s="80" t="str">
        <x:v>L1 十神CARE通道</x:v>
      </x:c>
      <x:c r="D94" s="80" t="str">
        <x:v>CARE-十神通道</x:v>
      </x:c>
      <x:c r="E94" s="80" t="str">
        <x:v>通用</x:v>
      </x:c>
      <x:c r="F94" s="80" t="str">
        <x:v>禁止推断</x:v>
      </x:c>
      <x:c r="G94" s="74" t="str">
        <x:v>CA10 偏印 个性支持</x:v>
      </x:c>
      <x:c r="H94" s="74" t="str"/>
      <x:c r="I94" s="74" t="str">
        <x:v>正在把偏印CARE通道翻译为用户语言。</x:v>
      </x:c>
      <x:c r="J94" s="74" t="str">
        <x:v>无</x:v>
      </x:c>
      <x:c r="K94" s="74" t="str">
        <x:v>由共享基础引擎与M3-STATE修正</x:v>
      </x:c>
      <x:c r="L94" s="74" t="str">
        <x:v>不限定；夫妻星仅在形成独立CARE证据或入宫接口时参与</x:v>
      </x:c>
      <x:c r="M94" s="74" t="str">
        <x:v>由M3-BASE、日支结构及共享引擎提供</x:v>
      </x:c>
      <x:c r="N94" s="74" t="str">
        <x:v>CP10 个性支持型／CF01 支持转自主</x:v>
      </x:c>
      <x:c r="O94" s="74" t="str">
        <x:v>全局有效信号；日柱及亲密关系近位优先</x:v>
      </x:c>
      <x:c r="P94" s="74" t="str">
        <x:v>由共享基础引擎判定</x:v>
      </x:c>
      <x:c r="Q94" s="74" t="str">
        <x:v>由共享基础引擎判定</x:v>
      </x:c>
      <x:c r="R94" s="74" t="str">
        <x:v>喜忌不直接等于愿不愿付出；只修正调用顺畅度与资源压力</x:v>
      </x:c>
      <x:c r="S94" s="74" t="str">
        <x:v>原十神性质有效；真合化成立时按化神路由</x:v>
      </x:c>
      <x:c r="T94" s="74" t="str">
        <x:v>由共享基础引擎判定</x:v>
      </x:c>
      <x:c r="U94" s="74" t="str">
        <x:v>58</x:v>
      </x:c>
      <x:c r="V94" s="74" t="str">
        <x:v>不加分；边界检查</x:v>
      </x:c>
      <x:c r="W94" s="74" t="str">
        <x:v>boundary_note</x:v>
      </x:c>
      <x:c r="X94" s="74" t="str">
        <x:v>偏印只提供洞察、专业方法、私人空间、定制资源与选择性回应这一支持功能，不能越界到人格好坏、关系风险或结果。</x:v>
      </x:c>
      <x:c r="Y94" s="74" t="str">
        <x:v>这里描述的是你可能更常使用的支持方式，不代表你只能这样照顾人，也不代表其他方式一定缺失。</x:v>
      </x:c>
      <x:c r="Z94" s="74" t="str">
        <x:v>不得推出用户冷漠、神秘、回避亲密、精神异常、故意不说或不愿接受任何帮助。</x:v>
      </x:c>
      <x:c r="AA94" s="74" t="str">
        <x:v>高</x:v>
      </x:c>
      <x:c r="AB94" s="74" t="str">
        <x:v>待验证</x:v>
      </x:c>
      <x:c r="AC94" s="74" t="str"/>
      <x:c r="AD94" s="74" t="str">
        <x:v>provisional=true; channel_id=CA10; ten_god=偏印; aspect=boundary</x:v>
      </x:c>
      <x:c r="AE94" s="74" t="str">
        <x:v>0.4</x:v>
      </x:c>
    </x:row>
    <x:row r="95">
      <x:c r="A95" s="82" t="str">
        <x:v>M3-CARE-091</x:v>
      </x:c>
      <x:c r="B95" s="82" t="str">
        <x:v>CQ01 支持可见度｜V01 外显可见</x:v>
      </x:c>
      <x:c r="C95" s="82" t="str">
        <x:v>L2 CARE过程维度</x:v>
      </x:c>
      <x:c r="D95" s="82" t="str">
        <x:v>CARE-过程维度</x:v>
      </x:c>
      <x:c r="E95" s="82" t="str">
        <x:v>通用</x:v>
      </x:c>
      <x:c r="F95" s="82" t="str">
        <x:v>维度状态</x:v>
      </x:c>
      <x:c r="G95" s="74" t="str">
        <x:v>CQ01 支持可见度</x:v>
      </x:c>
      <x:c r="H95" s="74" t="str">
        <x:v>V01 外显可见</x:v>
      </x:c>
      <x:c r="I95" s="74" t="str">
        <x:v>主CARE信号透干、近位或具有稳定可观察行为。</x:v>
      </x:c>
      <x:c r="J95" s="74" t="str">
        <x:v>只有单一标签；source_id重复；基础信号失效或真合化已替换。</x:v>
      </x:c>
      <x:c r="K95" s="74" t="str">
        <x:v>由共享基础引擎与M3-STATE修正</x:v>
      </x:c>
      <x:c r="L95" s="74" t="str">
        <x:v>不限定；夫妻星仅在形成独立CARE证据或入宫接口时参与</x:v>
      </x:c>
      <x:c r="M95" s="74" t="str">
        <x:v>由M3-BASE、日支结构及共享引擎提供</x:v>
      </x:c>
      <x:c r="N95" s="74" t="str">
        <x:v>无／待CARE路径规则组合</x:v>
      </x:c>
      <x:c r="O95" s="74" t="str">
        <x:v>全局有效信号；日柱及亲密关系近位优先</x:v>
      </x:c>
      <x:c r="P95" s="74" t="str">
        <x:v>由共享基础引擎判定</x:v>
      </x:c>
      <x:c r="Q95" s="74" t="str">
        <x:v>由共享基础引擎判定</x:v>
      </x:c>
      <x:c r="R95" s="74" t="str">
        <x:v>喜忌不直接等于愿不愿付出；只修正调用顺畅度与资源压力</x:v>
      </x:c>
      <x:c r="S95" s="74" t="str">
        <x:v>原十神性质有效；真合化成立时按化神路由</x:v>
      </x:c>
      <x:c r="T95" s="74" t="str">
        <x:v>由共享基础引擎判定</x:v>
      </x:c>
      <x:c r="U95" s="74" t="str">
        <x:v>55</x:v>
      </x:c>
      <x:c r="V95" s="74" t="str">
        <x:v>候选 +5</x:v>
      </x:c>
      <x:c r="W95" s="74" t="str">
        <x:v>care_visibility</x:v>
      </x:c>
      <x:c r="X95" s="74" t="str">
        <x:v>透干、近位或行动证据使支持容易被对方直接注意。</x:v>
      </x:c>
      <x:c r="Y95" s="74" t="str">
        <x:v>你的支持通常比较容易被看见，对方能从明确行动、安排或回应中知道你在投入。</x:v>
      </x:c>
      <x:c r="Z95" s="74" t="str">
        <x:v>不得由本规则直接推出过度付出、付出失衡、依赖、控制、忠诚度、关系结果或适配度；不得把某种照顾方式等同于爱得更多或更少。</x:v>
      </x:c>
      <x:c r="AA95" s="74" t="str">
        <x:v>中</x:v>
      </x:c>
      <x:c r="AB95" s="74" t="str">
        <x:v>待验证</x:v>
      </x:c>
      <x:c r="AC95" s="74" t="str"/>
      <x:c r="AD95" s="74" t="str">
        <x:v>provisional=true; dimension=CQ01; state=V01</x:v>
      </x:c>
      <x:c r="AE95" s="74" t="str">
        <x:v>0.4</x:v>
      </x:c>
    </x:row>
    <x:row r="96">
      <x:c r="A96" s="82" t="str">
        <x:v>M3-CARE-092</x:v>
      </x:c>
      <x:c r="B96" s="82" t="str">
        <x:v>CQ01 支持可见度｜V02 隐性累积</x:v>
      </x:c>
      <x:c r="C96" s="82" t="str">
        <x:v>L2 CARE过程维度</x:v>
      </x:c>
      <x:c r="D96" s="82" t="str">
        <x:v>CARE-过程维度</x:v>
      </x:c>
      <x:c r="E96" s="82" t="str">
        <x:v>通用</x:v>
      </x:c>
      <x:c r="F96" s="82" t="str">
        <x:v>维度状态</x:v>
      </x:c>
      <x:c r="G96" s="74" t="str">
        <x:v>CQ01 支持可见度</x:v>
      </x:c>
      <x:c r="H96" s="74" t="str">
        <x:v>V02 隐性累积</x:v>
      </x:c>
      <x:c r="I96" s="74" t="str">
        <x:v>主CARE信号藏支有根，或以长期细节、承接和观察发挥。</x:v>
      </x:c>
      <x:c r="J96" s="74" t="str">
        <x:v>只有单一标签；source_id重复；基础信号失效或真合化已替换。</x:v>
      </x:c>
      <x:c r="K96" s="74" t="str">
        <x:v>由共享基础引擎与M3-STATE修正</x:v>
      </x:c>
      <x:c r="L96" s="74" t="str">
        <x:v>不限定；夫妻星仅在形成独立CARE证据或入宫接口时参与</x:v>
      </x:c>
      <x:c r="M96" s="74" t="str">
        <x:v>由M3-BASE、日支结构及共享引擎提供</x:v>
      </x:c>
      <x:c r="N96" s="74" t="str">
        <x:v>无／待CARE路径规则组合</x:v>
      </x:c>
      <x:c r="O96" s="74" t="str">
        <x:v>全局有效信号；日柱及亲密关系近位优先</x:v>
      </x:c>
      <x:c r="P96" s="74" t="str">
        <x:v>由共享基础引擎判定</x:v>
      </x:c>
      <x:c r="Q96" s="74" t="str">
        <x:v>由共享基础引擎判定</x:v>
      </x:c>
      <x:c r="R96" s="74" t="str">
        <x:v>喜忌不直接等于愿不愿付出；只修正调用顺畅度与资源压力</x:v>
      </x:c>
      <x:c r="S96" s="74" t="str">
        <x:v>原十神性质有效；真合化成立时按化神路由</x:v>
      </x:c>
      <x:c r="T96" s="74" t="str">
        <x:v>由共享基础引擎判定</x:v>
      </x:c>
      <x:c r="U96" s="74" t="str">
        <x:v>55</x:v>
      </x:c>
      <x:c r="V96" s="74" t="str">
        <x:v>候选 +5</x:v>
      </x:c>
      <x:c r="W96" s="74" t="str">
        <x:v>care_visibility</x:v>
      </x:c>
      <x:c r="X96" s="74" t="str">
        <x:v>藏而有根、日常细节或内部承接使支持更多通过长期积累被感知。</x:v>
      </x:c>
      <x:c r="Y96" s="74" t="str">
        <x:v>你的支持可能不总是高调表达，而是藏在长期记得、默默处理和稳定回应里。</x:v>
      </x:c>
      <x:c r="Z96" s="74" t="str">
        <x:v>不得由本规则直接推出过度付出、付出失衡、依赖、控制、忠诚度、关系结果或适配度；不得把某种照顾方式等同于爱得更多或更少。</x:v>
      </x:c>
      <x:c r="AA96" s="74" t="str">
        <x:v>中</x:v>
      </x:c>
      <x:c r="AB96" s="74" t="str">
        <x:v>待验证</x:v>
      </x:c>
      <x:c r="AC96" s="74" t="str"/>
      <x:c r="AD96" s="74" t="str">
        <x:v>provisional=true; dimension=CQ01; state=V02</x:v>
      </x:c>
      <x:c r="AE96" s="74" t="str">
        <x:v>0.4</x:v>
      </x:c>
    </x:row>
    <x:row r="97">
      <x:c r="A97" s="82" t="str">
        <x:v>M3-CARE-093</x:v>
      </x:c>
      <x:c r="B97" s="82" t="str">
        <x:v>CQ01 支持可见度｜V03 行动可见／情绪隐性</x:v>
      </x:c>
      <x:c r="C97" s="82" t="str">
        <x:v>L2 CARE过程维度</x:v>
      </x:c>
      <x:c r="D97" s="82" t="str">
        <x:v>CARE-过程维度</x:v>
      </x:c>
      <x:c r="E97" s="82" t="str">
        <x:v>通用</x:v>
      </x:c>
      <x:c r="F97" s="82" t="str">
        <x:v>维度状态</x:v>
      </x:c>
      <x:c r="G97" s="74" t="str">
        <x:v>CQ01 支持可见度</x:v>
      </x:c>
      <x:c r="H97" s="74" t="str">
        <x:v>V03 行动可见／情绪隐性</x:v>
      </x:c>
      <x:c r="I97" s="74" t="str">
        <x:v>财官杀外显，印或需求表达信号内隐，且来源独立。</x:v>
      </x:c>
      <x:c r="J97" s="74" t="str">
        <x:v>只有单一标签；source_id重复；基础信号失效或真合化已替换。</x:v>
      </x:c>
      <x:c r="K97" s="74" t="str">
        <x:v>由共享基础引擎与M3-STATE修正</x:v>
      </x:c>
      <x:c r="L97" s="74" t="str">
        <x:v>不限定；夫妻星仅在形成独立CARE证据或入宫接口时参与</x:v>
      </x:c>
      <x:c r="M97" s="74" t="str">
        <x:v>由M3-BASE、日支结构及共享引擎提供</x:v>
      </x:c>
      <x:c r="N97" s="74" t="str">
        <x:v>无／待CARE路径规则组合</x:v>
      </x:c>
      <x:c r="O97" s="74" t="str">
        <x:v>全局有效信号；日柱及亲密关系近位优先</x:v>
      </x:c>
      <x:c r="P97" s="74" t="str">
        <x:v>由共享基础引擎判定</x:v>
      </x:c>
      <x:c r="Q97" s="74" t="str">
        <x:v>由共享基础引擎判定</x:v>
      </x:c>
      <x:c r="R97" s="74" t="str">
        <x:v>喜忌不直接等于愿不愿付出；只修正调用顺畅度与资源压力</x:v>
      </x:c>
      <x:c r="S97" s="74" t="str">
        <x:v>原十神性质有效；真合化成立时按化神路由</x:v>
      </x:c>
      <x:c r="T97" s="74" t="str">
        <x:v>由共享基础引擎判定</x:v>
      </x:c>
      <x:c r="U97" s="74" t="str">
        <x:v>55</x:v>
      </x:c>
      <x:c r="V97" s="74" t="str">
        <x:v>候选 +5</x:v>
      </x:c>
      <x:c r="W97" s="74" t="str">
        <x:v>care_visibility</x:v>
      </x:c>
      <x:c r="X97" s="74" t="str">
        <x:v>行动、安排或责任较外显，而情绪和请求支持较内隐。</x:v>
      </x:c>
      <x:c r="Y97" s="74" t="str">
        <x:v>你做了什么往往比你说自己需要什么更容易被看见；对方可能先看到行动，后理解你的感受。</x:v>
      </x:c>
      <x:c r="Z97" s="74" t="str">
        <x:v>不得由本规则直接推出过度付出、付出失衡、依赖、控制、忠诚度、关系结果或适配度；不得把某种照顾方式等同于爱得更多或更少。</x:v>
      </x:c>
      <x:c r="AA97" s="74" t="str">
        <x:v>中</x:v>
      </x:c>
      <x:c r="AB97" s="74" t="str">
        <x:v>待验证</x:v>
      </x:c>
      <x:c r="AC97" s="74" t="str"/>
      <x:c r="AD97" s="74" t="str">
        <x:v>provisional=true; dimension=CQ01; state=V03</x:v>
      </x:c>
      <x:c r="AE97" s="74" t="str">
        <x:v>0.4</x:v>
      </x:c>
    </x:row>
    <x:row r="98">
      <x:c r="A98" s="82" t="str">
        <x:v>M3-CARE-094</x:v>
      </x:c>
      <x:c r="B98" s="82" t="str">
        <x:v>CQ01 支持可见度｜V04 状态未定</x:v>
      </x:c>
      <x:c r="C98" s="82" t="str">
        <x:v>L2 CARE过程维度</x:v>
      </x:c>
      <x:c r="D98" s="82" t="str">
        <x:v>CARE-过程维度</x:v>
      </x:c>
      <x:c r="E98" s="82" t="str">
        <x:v>通用</x:v>
      </x:c>
      <x:c r="F98" s="82" t="str">
        <x:v>维度状态</x:v>
      </x:c>
      <x:c r="G98" s="74" t="str">
        <x:v>CQ01 支持可见度</x:v>
      </x:c>
      <x:c r="H98" s="74" t="str">
        <x:v>V04 状态未定</x:v>
      </x:c>
      <x:c r="I98" s="74" t="str">
        <x:v>关键透藏、根气或合化状态未定。</x:v>
      </x:c>
      <x:c r="J98" s="74" t="str">
        <x:v>只有单一标签；source_id重复；基础信号失效或真合化已替换。</x:v>
      </x:c>
      <x:c r="K98" s="74" t="str">
        <x:v>由共享基础引擎与M3-STATE修正</x:v>
      </x:c>
      <x:c r="L98" s="74" t="str">
        <x:v>不限定；夫妻星仅在形成独立CARE证据或入宫接口时参与</x:v>
      </x:c>
      <x:c r="M98" s="74" t="str">
        <x:v>由M3-BASE、日支结构及共享引擎提供</x:v>
      </x:c>
      <x:c r="N98" s="74" t="str">
        <x:v>无／待CARE路径规则组合</x:v>
      </x:c>
      <x:c r="O98" s="74" t="str">
        <x:v>全局有效信号；日柱及亲密关系近位优先</x:v>
      </x:c>
      <x:c r="P98" s="74" t="str">
        <x:v>由共享基础引擎判定</x:v>
      </x:c>
      <x:c r="Q98" s="74" t="str">
        <x:v>由共享基础引擎判定</x:v>
      </x:c>
      <x:c r="R98" s="74" t="str">
        <x:v>喜忌不直接等于愿不愿付出；只修正调用顺畅度与资源压力</x:v>
      </x:c>
      <x:c r="S98" s="74" t="str">
        <x:v>原十神性质有效；真合化成立时按化神路由</x:v>
      </x:c>
      <x:c r="T98" s="74" t="str">
        <x:v>由共享基础引擎判定</x:v>
      </x:c>
      <x:c r="U98" s="74" t="str">
        <x:v>55</x:v>
      </x:c>
      <x:c r="V98" s="74" t="str">
        <x:v>不加分；降置信</x:v>
      </x:c>
      <x:c r="W98" s="74" t="str">
        <x:v>care_visibility</x:v>
      </x:c>
      <x:c r="X98" s="74" t="str">
        <x:v>信号弱远、合化争议或可见行为与内部信号冲突时，不应固定可见度。</x:v>
      </x:c>
      <x:c r="Y98" s="74" t="str">
        <x:v>目前只能判断你的支持可能在显性行动和隐性积累之间切换，具体可见度仍需结合真实相处。</x:v>
      </x:c>
      <x:c r="Z98" s="74" t="str">
        <x:v>不得由本规则直接推出过度付出、付出失衡、依赖、控制、忠诚度、关系结果或适配度；不得把某种照顾方式等同于爱得更多或更少。</x:v>
      </x:c>
      <x:c r="AA98" s="74" t="str">
        <x:v>中低</x:v>
      </x:c>
      <x:c r="AB98" s="74" t="str">
        <x:v>待验证</x:v>
      </x:c>
      <x:c r="AC98" s="74" t="str"/>
      <x:c r="AD98" s="74" t="str">
        <x:v>provisional=true; dimension=CQ01; state=V04</x:v>
      </x:c>
      <x:c r="AE98" s="74" t="str">
        <x:v>0.4</x:v>
      </x:c>
    </x:row>
    <x:row r="99">
      <x:c r="A99" s="82" t="str">
        <x:v>M3-CARE-095</x:v>
      </x:c>
      <x:c r="B99" s="82" t="str">
        <x:v>CQ02 投入连续性｜N01 稳定重复</x:v>
      </x:c>
      <x:c r="C99" s="82" t="str">
        <x:v>L2 CARE过程维度</x:v>
      </x:c>
      <x:c r="D99" s="82" t="str">
        <x:v>CARE-过程维度</x:v>
      </x:c>
      <x:c r="E99" s="82" t="str">
        <x:v>通用</x:v>
      </x:c>
      <x:c r="F99" s="82" t="str">
        <x:v>维度状态</x:v>
      </x:c>
      <x:c r="G99" s="74" t="str">
        <x:v>CQ02 投入连续性</x:v>
      </x:c>
      <x:c r="H99" s="74" t="str">
        <x:v>N01 稳定重复</x:v>
      </x:c>
      <x:c r="I99" s="74" t="str">
        <x:v>主CARE通道有根、近位并有重复行为或独立同向证据。</x:v>
      </x:c>
      <x:c r="J99" s="74" t="str">
        <x:v>只有单一标签；source_id重复；基础信号失效或真合化已替换。</x:v>
      </x:c>
      <x:c r="K99" s="74" t="str">
        <x:v>由共享基础引擎与M3-STATE修正</x:v>
      </x:c>
      <x:c r="L99" s="74" t="str">
        <x:v>不限定；夫妻星仅在形成独立CARE证据或入宫接口时参与</x:v>
      </x:c>
      <x:c r="M99" s="74" t="str">
        <x:v>由M3-BASE、日支结构及共享引擎提供</x:v>
      </x:c>
      <x:c r="N99" s="74" t="str">
        <x:v>无／待CARE路径规则组合</x:v>
      </x:c>
      <x:c r="O99" s="74" t="str">
        <x:v>全局有效信号；日柱及亲密关系近位优先</x:v>
      </x:c>
      <x:c r="P99" s="74" t="str">
        <x:v>由共享基础引擎判定</x:v>
      </x:c>
      <x:c r="Q99" s="74" t="str">
        <x:v>由共享基础引擎判定</x:v>
      </x:c>
      <x:c r="R99" s="74" t="str">
        <x:v>喜忌不直接等于愿不愿付出；只修正调用顺畅度与资源压力</x:v>
      </x:c>
      <x:c r="S99" s="74" t="str">
        <x:v>原十神性质有效；真合化成立时按化神路由</x:v>
      </x:c>
      <x:c r="T99" s="74" t="str">
        <x:v>由共享基础引擎判定</x:v>
      </x:c>
      <x:c r="U99" s="74" t="str">
        <x:v>55</x:v>
      </x:c>
      <x:c r="V99" s="74" t="str">
        <x:v>连续性 +8</x:v>
      </x:c>
      <x:c r="W99" s="74" t="str">
        <x:v>continuity_mode</x:v>
      </x:c>
      <x:c r="X99" s="74" t="str">
        <x:v>有根、近位、同类重复或长期行为证据支持可预期的投入。</x:v>
      </x:c>
      <x:c r="Y99" s="74" t="str">
        <x:v>你的支持更容易以重复、可预期的方式出现，不只依赖临时情绪或单次事件。</x:v>
      </x:c>
      <x:c r="Z99" s="74" t="str">
        <x:v>不得由本规则直接推出过度付出、付出失衡、依赖、控制、忠诚度、关系结果或适配度；不得把某种照顾方式等同于爱得更多或更少。</x:v>
      </x:c>
      <x:c r="AA99" s="74" t="str">
        <x:v>中高</x:v>
      </x:c>
      <x:c r="AB99" s="74" t="str">
        <x:v>待验证</x:v>
      </x:c>
      <x:c r="AC99" s="74" t="str"/>
      <x:c r="AD99" s="74" t="str">
        <x:v>provisional=true; dimension=CQ02; state=N01</x:v>
      </x:c>
      <x:c r="AE99" s="74" t="str">
        <x:v>0.4</x:v>
      </x:c>
    </x:row>
    <x:row r="100">
      <x:c r="A100" s="82" t="str">
        <x:v>M3-CARE-096</x:v>
      </x:c>
      <x:c r="B100" s="82" t="str">
        <x:v>CQ02 投入连续性｜N02 事件触发</x:v>
      </x:c>
      <x:c r="C100" s="82" t="str">
        <x:v>L2 CARE过程维度</x:v>
      </x:c>
      <x:c r="D100" s="82" t="str">
        <x:v>CARE-过程维度</x:v>
      </x:c>
      <x:c r="E100" s="82" t="str">
        <x:v>通用</x:v>
      </x:c>
      <x:c r="F100" s="82" t="str">
        <x:v>维度状态</x:v>
      </x:c>
      <x:c r="G100" s="74" t="str">
        <x:v>CQ02 投入连续性</x:v>
      </x:c>
      <x:c r="H100" s="74" t="str">
        <x:v>N02 事件触发</x:v>
      </x:c>
      <x:c r="I100" s="74" t="str">
        <x:v>劫财、七杀、偏财或任务型信号主导，稳定根气不足。</x:v>
      </x:c>
      <x:c r="J100" s="74" t="str">
        <x:v>只有单一标签；source_id重复；基础信号失效或真合化已替换。</x:v>
      </x:c>
      <x:c r="K100" s="74" t="str">
        <x:v>由共享基础引擎与M3-STATE修正</x:v>
      </x:c>
      <x:c r="L100" s="74" t="str">
        <x:v>不限定；夫妻星仅在形成独立CARE证据或入宫接口时参与</x:v>
      </x:c>
      <x:c r="M100" s="74" t="str">
        <x:v>由M3-BASE、日支结构及共享引擎提供</x:v>
      </x:c>
      <x:c r="N100" s="74" t="str">
        <x:v>无／待CARE路径规则组合</x:v>
      </x:c>
      <x:c r="O100" s="74" t="str">
        <x:v>全局有效信号；日柱及亲密关系近位优先</x:v>
      </x:c>
      <x:c r="P100" s="74" t="str">
        <x:v>由共享基础引擎判定</x:v>
      </x:c>
      <x:c r="Q100" s="74" t="str">
        <x:v>由共享基础引擎判定</x:v>
      </x:c>
      <x:c r="R100" s="74" t="str">
        <x:v>喜忌不直接等于愿不愿付出；只修正调用顺畅度与资源压力</x:v>
      </x:c>
      <x:c r="S100" s="74" t="str">
        <x:v>原十神性质有效；真合化成立时按化神路由</x:v>
      </x:c>
      <x:c r="T100" s="74" t="str">
        <x:v>由共享基础引擎判定</x:v>
      </x:c>
      <x:c r="U100" s="74" t="str">
        <x:v>55</x:v>
      </x:c>
      <x:c r="V100" s="74" t="str">
        <x:v>候选 +5</x:v>
      </x:c>
      <x:c r="W100" s="74" t="str">
        <x:v>continuity_mode</x:v>
      </x:c>
      <x:c r="X100" s="74" t="str">
        <x:v>通道主要在明确任务、危机、邀约或具体需要出现时启动。</x:v>
      </x:c>
      <x:c r="Y100" s="74" t="str">
        <x:v>你的投入更容易在有明确事情、目标或需要时迅速出现，平时未必以同样频率外显。</x:v>
      </x:c>
      <x:c r="Z100" s="74" t="str">
        <x:v>不得由本规则直接推出过度付出、付出失衡、依赖、控制、忠诚度、关系结果或适配度；不得把某种照顾方式等同于爱得更多或更少。</x:v>
      </x:c>
      <x:c r="AA100" s="74" t="str">
        <x:v>中</x:v>
      </x:c>
      <x:c r="AB100" s="74" t="str">
        <x:v>待验证</x:v>
      </x:c>
      <x:c r="AC100" s="74" t="str"/>
      <x:c r="AD100" s="74" t="str">
        <x:v>provisional=true; dimension=CQ02; state=N02</x:v>
      </x:c>
      <x:c r="AE100" s="74" t="str">
        <x:v>0.4</x:v>
      </x:c>
    </x:row>
    <x:row r="101">
      <x:c r="A101" s="82" t="str">
        <x:v>M3-CARE-097</x:v>
      </x:c>
      <x:c r="B101" s="82" t="str">
        <x:v>CQ02 投入连续性｜N03 熟悉累积</x:v>
      </x:c>
      <x:c r="C101" s="82" t="str">
        <x:v>L2 CARE过程维度</x:v>
      </x:c>
      <x:c r="D101" s="82" t="str">
        <x:v>CARE-过程维度</x:v>
      </x:c>
      <x:c r="E101" s="82" t="str">
        <x:v>通用</x:v>
      </x:c>
      <x:c r="F101" s="82" t="str">
        <x:v>维度状态</x:v>
      </x:c>
      <x:c r="G101" s="74" t="str">
        <x:v>CQ02 投入连续性</x:v>
      </x:c>
      <x:c r="H101" s="74" t="str">
        <x:v>N03 熟悉累积</x:v>
      </x:c>
      <x:c r="I101" s="74" t="str">
        <x:v>藏而有根、印食神或熟悉路径得到支持。</x:v>
      </x:c>
      <x:c r="J101" s="74" t="str">
        <x:v>只有单一标签；source_id重复；基础信号失效或真合化已替换。</x:v>
      </x:c>
      <x:c r="K101" s="74" t="str">
        <x:v>由共享基础引擎与M3-STATE修正</x:v>
      </x:c>
      <x:c r="L101" s="74" t="str">
        <x:v>不限定；夫妻星仅在形成独立CARE证据或入宫接口时参与</x:v>
      </x:c>
      <x:c r="M101" s="74" t="str">
        <x:v>由M3-BASE、日支结构及共享引擎提供</x:v>
      </x:c>
      <x:c r="N101" s="74" t="str">
        <x:v>无／待CARE路径规则组合</x:v>
      </x:c>
      <x:c r="O101" s="74" t="str">
        <x:v>全局有效信号；日柱及亲密关系近位优先</x:v>
      </x:c>
      <x:c r="P101" s="74" t="str">
        <x:v>由共享基础引擎判定</x:v>
      </x:c>
      <x:c r="Q101" s="74" t="str">
        <x:v>由共享基础引擎判定</x:v>
      </x:c>
      <x:c r="R101" s="74" t="str">
        <x:v>喜忌不直接等于愿不愿付出；只修正调用顺畅度与资源压力</x:v>
      </x:c>
      <x:c r="S101" s="74" t="str">
        <x:v>原十神性质有效；真合化成立时按化神路由</x:v>
      </x:c>
      <x:c r="T101" s="74" t="str">
        <x:v>由共享基础引擎判定</x:v>
      </x:c>
      <x:c r="U101" s="74" t="str">
        <x:v>55</x:v>
      </x:c>
      <x:c r="V101" s="74" t="str">
        <x:v>连续性 +6</x:v>
      </x:c>
      <x:c r="W101" s="74" t="str">
        <x:v>continuity_mode</x:v>
      </x:c>
      <x:c r="X101" s="74" t="str">
        <x:v>藏支有根、印食神或长期近位信号使投入随着信任与熟悉逐渐稳定。</x:v>
      </x:c>
      <x:c r="Y101" s="74" t="str">
        <x:v>你的支持往往在关系熟悉以后越来越稳定，需要时间让对方看见完整的投入方式。</x:v>
      </x:c>
      <x:c r="Z101" s="74" t="str">
        <x:v>不得由本规则直接推出过度付出、付出失衡、依赖、控制、忠诚度、关系结果或适配度；不得把某种照顾方式等同于爱得更多或更少。</x:v>
      </x:c>
      <x:c r="AA101" s="74" t="str">
        <x:v>中</x:v>
      </x:c>
      <x:c r="AB101" s="74" t="str">
        <x:v>待验证</x:v>
      </x:c>
      <x:c r="AC101" s="74" t="str"/>
      <x:c r="AD101" s="74" t="str">
        <x:v>provisional=true; dimension=CQ02; state=N03</x:v>
      </x:c>
      <x:c r="AE101" s="74" t="str">
        <x:v>0.4</x:v>
      </x:c>
    </x:row>
    <x:row r="102">
      <x:c r="A102" s="82" t="str">
        <x:v>M3-CARE-098</x:v>
      </x:c>
      <x:c r="B102" s="82" t="str">
        <x:v>CQ02 投入连续性｜N04 连续性不足以判断</x:v>
      </x:c>
      <x:c r="C102" s="82" t="str">
        <x:v>L2 CARE过程维度</x:v>
      </x:c>
      <x:c r="D102" s="82" t="str">
        <x:v>CARE-过程维度</x:v>
      </x:c>
      <x:c r="E102" s="82" t="str">
        <x:v>通用</x:v>
      </x:c>
      <x:c r="F102" s="82" t="str">
        <x:v>维度状态</x:v>
      </x:c>
      <x:c r="G102" s="74" t="str">
        <x:v>CQ02 投入连续性</x:v>
      </x:c>
      <x:c r="H102" s="74" t="str">
        <x:v>N04 连续性不足以判断</x:v>
      </x:c>
      <x:c r="I102" s="74" t="str">
        <x:v>仅有单次事件、弱远无根或流年阶段性信号。</x:v>
      </x:c>
      <x:c r="J102" s="74" t="str">
        <x:v>只有单一标签；source_id重复；基础信号失效或真合化已替换。</x:v>
      </x:c>
      <x:c r="K102" s="74" t="str">
        <x:v>由共享基础引擎与M3-STATE修正</x:v>
      </x:c>
      <x:c r="L102" s="74" t="str">
        <x:v>不限定；夫妻星仅在形成独立CARE证据或入宫接口时参与</x:v>
      </x:c>
      <x:c r="M102" s="74" t="str">
        <x:v>由M3-BASE、日支结构及共享引擎提供</x:v>
      </x:c>
      <x:c r="N102" s="74" t="str">
        <x:v>无／待CARE路径规则组合</x:v>
      </x:c>
      <x:c r="O102" s="74" t="str">
        <x:v>全局有效信号；日柱及亲密关系近位优先</x:v>
      </x:c>
      <x:c r="P102" s="74" t="str">
        <x:v>由共享基础引擎判定</x:v>
      </x:c>
      <x:c r="Q102" s="74" t="str">
        <x:v>由共享基础引擎判定</x:v>
      </x:c>
      <x:c r="R102" s="74" t="str">
        <x:v>喜忌不直接等于愿不愿付出；只修正调用顺畅度与资源压力</x:v>
      </x:c>
      <x:c r="S102" s="74" t="str">
        <x:v>原十神性质有效；真合化成立时按化神路由</x:v>
      </x:c>
      <x:c r="T102" s="74" t="str">
        <x:v>由共享基础引擎判定</x:v>
      </x:c>
      <x:c r="U102" s="74" t="str">
        <x:v>55</x:v>
      </x:c>
      <x:c r="V102" s="74" t="str">
        <x:v>不加分；停止连续性</x:v>
      </x:c>
      <x:c r="W102" s="74" t="str">
        <x:v>continuity_mode</x:v>
      </x:c>
      <x:c r="X102" s="74" t="str">
        <x:v>只有单次高强度行为、弱远无根或阶段覆盖时，不应写成长期投入。</x:v>
      </x:c>
      <x:c r="Y102" s="74" t="str">
        <x:v>目前只能确认你在某些情境会投入，但还不足以判断这种方式是否长期稳定。</x:v>
      </x:c>
      <x:c r="Z102" s="74" t="str">
        <x:v>不得由本规则直接推出过度付出、付出失衡、依赖、控制、忠诚度、关系结果或适配度；不得把某种照顾方式等同于爱得更多或更少。</x:v>
      </x:c>
      <x:c r="AA102" s="74" t="str">
        <x:v>中低</x:v>
      </x:c>
      <x:c r="AB102" s="74" t="str">
        <x:v>待验证</x:v>
      </x:c>
      <x:c r="AC102" s="74" t="str"/>
      <x:c r="AD102" s="74" t="str">
        <x:v>provisional=true; dimension=CQ02; state=N04</x:v>
      </x:c>
      <x:c r="AE102" s="74" t="str">
        <x:v>0.4</x:v>
      </x:c>
    </x:row>
    <x:row r="103">
      <x:c r="A103" s="82" t="str">
        <x:v>M3-CARE-099</x:v>
      </x:c>
      <x:c r="B103" s="82" t="str">
        <x:v>CQ03 投入启动方向｜G01 主动投入</x:v>
      </x:c>
      <x:c r="C103" s="82" t="str">
        <x:v>L2 CARE过程维度</x:v>
      </x:c>
      <x:c r="D103" s="82" t="str">
        <x:v>CARE-过程维度</x:v>
      </x:c>
      <x:c r="E103" s="82" t="str">
        <x:v>通用</x:v>
      </x:c>
      <x:c r="F103" s="82" t="str">
        <x:v>维度状态</x:v>
      </x:c>
      <x:c r="G103" s="74" t="str">
        <x:v>CQ03 投入启动方向</x:v>
      </x:c>
      <x:c r="H103" s="74" t="str">
        <x:v>G01 主动投入</x:v>
      </x:c>
      <x:c r="I103" s="74" t="str">
        <x:v>主CARE信号外显近位，并有自发启动证据。</x:v>
      </x:c>
      <x:c r="J103" s="74" t="str">
        <x:v>只有单一标签；source_id重复；基础信号失效或真合化已替换。</x:v>
      </x:c>
      <x:c r="K103" s="74" t="str">
        <x:v>由共享基础引擎与M3-STATE修正</x:v>
      </x:c>
      <x:c r="L103" s="74" t="str">
        <x:v>不限定；夫妻星仅在形成独立CARE证据或入宫接口时参与</x:v>
      </x:c>
      <x:c r="M103" s="74" t="str">
        <x:v>由M3-BASE、日支结构及共享引擎提供</x:v>
      </x:c>
      <x:c r="N103" s="74" t="str">
        <x:v>无／待CARE路径规则组合</x:v>
      </x:c>
      <x:c r="O103" s="74" t="str">
        <x:v>全局有效信号；日柱及亲密关系近位优先</x:v>
      </x:c>
      <x:c r="P103" s="74" t="str">
        <x:v>由共享基础引擎判定</x:v>
      </x:c>
      <x:c r="Q103" s="74" t="str">
        <x:v>由共享基础引擎判定</x:v>
      </x:c>
      <x:c r="R103" s="74" t="str">
        <x:v>喜忌不直接等于愿不愿付出；只修正调用顺畅度与资源压力</x:v>
      </x:c>
      <x:c r="S103" s="74" t="str">
        <x:v>原十神性质有效；真合化成立时按化神路由</x:v>
      </x:c>
      <x:c r="T103" s="74" t="str">
        <x:v>由共享基础引擎判定</x:v>
      </x:c>
      <x:c r="U103" s="74" t="str">
        <x:v>55</x:v>
      </x:c>
      <x:c r="V103" s="74" t="str">
        <x:v>模式 +6</x:v>
      </x:c>
      <x:c r="W103" s="74" t="str">
        <x:v>investment_mode</x:v>
      </x:c>
      <x:c r="X103" s="74" t="str">
        <x:v>主通道透干近位、日支参与或自发行为证据显示用户会先启动支持。</x:v>
      </x:c>
      <x:c r="Y103" s="74" t="str">
        <x:v>当你认定关系需要被照顾时，通常会较早主动安排、询问或承担。</x:v>
      </x:c>
      <x:c r="Z103" s="74" t="str">
        <x:v>不得由本规则直接推出过度付出、付出失衡、依赖、控制、忠诚度、关系结果或适配度；不得把某种照顾方式等同于爱得更多或更少。</x:v>
      </x:c>
      <x:c r="AA103" s="74" t="str">
        <x:v>中</x:v>
      </x:c>
      <x:c r="AB103" s="74" t="str">
        <x:v>待验证</x:v>
      </x:c>
      <x:c r="AC103" s="74" t="str"/>
      <x:c r="AD103" s="74" t="str">
        <x:v>provisional=true; dimension=CQ03; state=G01</x:v>
      </x:c>
      <x:c r="AE103" s="74" t="str">
        <x:v>0.4</x:v>
      </x:c>
    </x:row>
    <x:row r="104">
      <x:c r="A104" s="82" t="str">
        <x:v>M3-CARE-100</x:v>
      </x:c>
      <x:c r="B104" s="82" t="str">
        <x:v>CQ03 投入启动方向｜G02 回应式支持</x:v>
      </x:c>
      <x:c r="C104" s="82" t="str">
        <x:v>L2 CARE过程维度</x:v>
      </x:c>
      <x:c r="D104" s="82" t="str">
        <x:v>CARE-过程维度</x:v>
      </x:c>
      <x:c r="E104" s="82" t="str">
        <x:v>通用</x:v>
      </x:c>
      <x:c r="F104" s="82" t="str">
        <x:v>维度状态</x:v>
      </x:c>
      <x:c r="G104" s="74" t="str">
        <x:v>CQ03 投入启动方向</x:v>
      </x:c>
      <x:c r="H104" s="74" t="str">
        <x:v>G02 回应式支持</x:v>
      </x:c>
      <x:c r="I104" s="74" t="str">
        <x:v>印、正财、正官或藏支通道明显，且启动依赖明确需求或回应。</x:v>
      </x:c>
      <x:c r="J104" s="74" t="str">
        <x:v>只有单一标签；source_id重复；基础信号失效或真合化已替换。</x:v>
      </x:c>
      <x:c r="K104" s="74" t="str">
        <x:v>由共享基础引擎与M3-STATE修正</x:v>
      </x:c>
      <x:c r="L104" s="74" t="str">
        <x:v>不限定；夫妻星仅在形成独立CARE证据或入宫接口时参与</x:v>
      </x:c>
      <x:c r="M104" s="74" t="str">
        <x:v>由M3-BASE、日支结构及共享引擎提供</x:v>
      </x:c>
      <x:c r="N104" s="74" t="str">
        <x:v>无／待CARE路径规则组合</x:v>
      </x:c>
      <x:c r="O104" s="74" t="str">
        <x:v>全局有效信号；日柱及亲密关系近位优先</x:v>
      </x:c>
      <x:c r="P104" s="74" t="str">
        <x:v>由共享基础引擎判定</x:v>
      </x:c>
      <x:c r="Q104" s="74" t="str">
        <x:v>由共享基础引擎判定</x:v>
      </x:c>
      <x:c r="R104" s="74" t="str">
        <x:v>喜忌不直接等于愿不愿付出；只修正调用顺畅度与资源压力</x:v>
      </x:c>
      <x:c r="S104" s="74" t="str">
        <x:v>原十神性质有效；真合化成立时按化神路由</x:v>
      </x:c>
      <x:c r="T104" s="74" t="str">
        <x:v>由共享基础引擎判定</x:v>
      </x:c>
      <x:c r="U104" s="74" t="str">
        <x:v>55</x:v>
      </x:c>
      <x:c r="V104" s="74" t="str">
        <x:v>候选 +5</x:v>
      </x:c>
      <x:c r="W104" s="74" t="str">
        <x:v>investment_mode</x:v>
      </x:c>
      <x:c r="X104" s="74" t="str">
        <x:v>用户在看见明确需要、请求或对方投入后更容易启动自己的支持。</x:v>
      </x:c>
      <x:c r="Y104" s="74" t="str">
        <x:v>你更容易在需求被说清楚、对方先发出信号后，给出具体而有针对性的回应。</x:v>
      </x:c>
      <x:c r="Z104" s="74" t="str">
        <x:v>不得由本规则直接推出过度付出、付出失衡、依赖、控制、忠诚度、关系结果或适配度；不得把某种照顾方式等同于爱得更多或更少。</x:v>
      </x:c>
      <x:c r="AA104" s="74" t="str">
        <x:v>中</x:v>
      </x:c>
      <x:c r="AB104" s="74" t="str">
        <x:v>待验证</x:v>
      </x:c>
      <x:c r="AC104" s="74" t="str"/>
      <x:c r="AD104" s="74" t="str">
        <x:v>provisional=true; dimension=CQ03; state=G02</x:v>
      </x:c>
      <x:c r="AE104" s="74" t="str">
        <x:v>0.4</x:v>
      </x:c>
    </x:row>
    <x:row r="105">
      <x:c r="A105" s="82" t="str">
        <x:v>M3-CARE-101</x:v>
      </x:c>
      <x:c r="B105" s="82" t="str">
        <x:v>CQ03 投入启动方向｜G03 共同启动</x:v>
      </x:c>
      <x:c r="C105" s="82" t="str">
        <x:v>L2 CARE过程维度</x:v>
      </x:c>
      <x:c r="D105" s="82" t="str">
        <x:v>CARE-过程维度</x:v>
      </x:c>
      <x:c r="E105" s="82" t="str">
        <x:v>通用</x:v>
      </x:c>
      <x:c r="F105" s="82" t="str">
        <x:v>维度状态</x:v>
      </x:c>
      <x:c r="G105" s="74" t="str">
        <x:v>CQ03 投入启动方向</x:v>
      </x:c>
      <x:c r="H105" s="74" t="str">
        <x:v>G03 共同启动</x:v>
      </x:c>
      <x:c r="I105" s="74" t="str">
        <x:v>比劫系统有效，或独立双向协作证据成立。</x:v>
      </x:c>
      <x:c r="J105" s="74" t="str">
        <x:v>只有单一标签；source_id重复；基础信号失效或真合化已替换。</x:v>
      </x:c>
      <x:c r="K105" s="74" t="str">
        <x:v>由共享基础引擎与M3-STATE修正</x:v>
      </x:c>
      <x:c r="L105" s="74" t="str">
        <x:v>不限定；夫妻星仅在形成独立CARE证据或入宫接口时参与</x:v>
      </x:c>
      <x:c r="M105" s="74" t="str">
        <x:v>由M3-BASE、日支结构及共享引擎提供</x:v>
      </x:c>
      <x:c r="N105" s="74" t="str">
        <x:v>无／待CARE路径规则组合</x:v>
      </x:c>
      <x:c r="O105" s="74" t="str">
        <x:v>全局有效信号；日柱及亲密关系近位优先</x:v>
      </x:c>
      <x:c r="P105" s="74" t="str">
        <x:v>由共享基础引擎判定</x:v>
      </x:c>
      <x:c r="Q105" s="74" t="str">
        <x:v>由共享基础引擎判定</x:v>
      </x:c>
      <x:c r="R105" s="74" t="str">
        <x:v>喜忌不直接等于愿不愿付出；只修正调用顺畅度与资源压力</x:v>
      </x:c>
      <x:c r="S105" s="74" t="str">
        <x:v>原十神性质有效；真合化成立时按化神路由</x:v>
      </x:c>
      <x:c r="T105" s="74" t="str">
        <x:v>由共享基础引擎判定</x:v>
      </x:c>
      <x:c r="U105" s="74" t="str">
        <x:v>55</x:v>
      </x:c>
      <x:c r="V105" s="74" t="str">
        <x:v>模式 +6</x:v>
      </x:c>
      <x:c r="W105" s="74" t="str">
        <x:v>investment_mode</x:v>
      </x:c>
      <x:c r="X105" s="74" t="str">
        <x:v>比劫、劫财或双方协作证据使支持在共同讨论、共同任务中产生。</x:v>
      </x:c>
      <x:c r="Y105" s="74" t="str">
        <x:v>你更习惯把支持做成双方一起参与的过程，而不是一方长期单独承担。</x:v>
      </x:c>
      <x:c r="Z105" s="74" t="str">
        <x:v>不得由本规则直接推出过度付出、付出失衡、依赖、控制、忠诚度、关系结果或适配度；不得把某种照顾方式等同于爱得更多或更少。</x:v>
      </x:c>
      <x:c r="AA105" s="74" t="str">
        <x:v>中</x:v>
      </x:c>
      <x:c r="AB105" s="74" t="str">
        <x:v>待验证</x:v>
      </x:c>
      <x:c r="AC105" s="74" t="str"/>
      <x:c r="AD105" s="74" t="str">
        <x:v>provisional=true; dimension=CQ03; state=G03</x:v>
      </x:c>
      <x:c r="AE105" s="74" t="str">
        <x:v>0.4</x:v>
      </x:c>
    </x:row>
    <x:row r="106">
      <x:c r="A106" s="82" t="str">
        <x:v>M3-CARE-102</x:v>
      </x:c>
      <x:c r="B106" s="82" t="str">
        <x:v>CQ03 投入启动方向｜G04 条件启动</x:v>
      </x:c>
      <x:c r="C106" s="82" t="str">
        <x:v>L2 CARE过程维度</x:v>
      </x:c>
      <x:c r="D106" s="82" t="str">
        <x:v>CARE-过程维度</x:v>
      </x:c>
      <x:c r="E106" s="82" t="str">
        <x:v>通用</x:v>
      </x:c>
      <x:c r="F106" s="82" t="str">
        <x:v>维度状态</x:v>
      </x:c>
      <x:c r="G106" s="74" t="str">
        <x:v>CQ03 投入启动方向</x:v>
      </x:c>
      <x:c r="H106" s="74" t="str">
        <x:v>G04 条件启动</x:v>
      </x:c>
      <x:c r="I106" s="74" t="str">
        <x:v>偏印、官杀、资源边界或明确条件信号成立。</x:v>
      </x:c>
      <x:c r="J106" s="74" t="str">
        <x:v>只有单一标签；source_id重复；基础信号失效或真合化已替换。</x:v>
      </x:c>
      <x:c r="K106" s="74" t="str">
        <x:v>由共享基础引擎与M3-STATE修正</x:v>
      </x:c>
      <x:c r="L106" s="74" t="str">
        <x:v>不限定；夫妻星仅在形成独立CARE证据或入宫接口时参与</x:v>
      </x:c>
      <x:c r="M106" s="74" t="str">
        <x:v>由M3-BASE、日支结构及共享引擎提供</x:v>
      </x:c>
      <x:c r="N106" s="74" t="str">
        <x:v>无／待CARE路径规则组合</x:v>
      </x:c>
      <x:c r="O106" s="74" t="str">
        <x:v>全局有效信号；日柱及亲密关系近位优先</x:v>
      </x:c>
      <x:c r="P106" s="74" t="str">
        <x:v>由共享基础引擎判定</x:v>
      </x:c>
      <x:c r="Q106" s="74" t="str">
        <x:v>由共享基础引擎判定</x:v>
      </x:c>
      <x:c r="R106" s="74" t="str">
        <x:v>喜忌不直接等于愿不愿付出；只修正调用顺畅度与资源压力</x:v>
      </x:c>
      <x:c r="S106" s="74" t="str">
        <x:v>原十神性质有效；真合化成立时按化神路由</x:v>
      </x:c>
      <x:c r="T106" s="74" t="str">
        <x:v>由共享基础引擎判定</x:v>
      </x:c>
      <x:c r="U106" s="74" t="str">
        <x:v>55</x:v>
      </x:c>
      <x:c r="V106" s="74" t="str">
        <x:v>候选 +5</x:v>
      </x:c>
      <x:c r="W106" s="74" t="str">
        <x:v>investment_mode</x:v>
      </x:c>
      <x:c r="X106" s="74" t="str">
        <x:v>偏印、官杀、资源门槛或需要明确匹配时，支持在特定条件满足后启动。</x:v>
      </x:c>
      <x:c r="Y106" s="74" t="str">
        <x:v>你并非没有投入意愿，而是更需要确认问题、责任或资源边界以后再开始支持。</x:v>
      </x:c>
      <x:c r="Z106" s="74" t="str">
        <x:v>不得由本规则直接推出过度付出、付出失衡、依赖、控制、忠诚度、关系结果或适配度；不得把某种照顾方式等同于爱得更多或更少。</x:v>
      </x:c>
      <x:c r="AA106" s="74" t="str">
        <x:v>中</x:v>
      </x:c>
      <x:c r="AB106" s="74" t="str">
        <x:v>待验证</x:v>
      </x:c>
      <x:c r="AC106" s="74" t="str"/>
      <x:c r="AD106" s="74" t="str">
        <x:v>provisional=true; dimension=CQ03; state=G04</x:v>
      </x:c>
      <x:c r="AE106" s="74" t="str">
        <x:v>0.4</x:v>
      </x:c>
    </x:row>
    <x:row r="107">
      <x:c r="A107" s="82" t="str">
        <x:v>M3-CARE-103</x:v>
      </x:c>
      <x:c r="B107" s="82" t="str">
        <x:v>CQ04 支持内容｜H01 情绪舒缓</x:v>
      </x:c>
      <x:c r="C107" s="82" t="str">
        <x:v>L2 CARE过程维度</x:v>
      </x:c>
      <x:c r="D107" s="82" t="str">
        <x:v>CARE-过程维度</x:v>
      </x:c>
      <x:c r="E107" s="82" t="str">
        <x:v>通用</x:v>
      </x:c>
      <x:c r="F107" s="82" t="str">
        <x:v>维度状态</x:v>
      </x:c>
      <x:c r="G107" s="74" t="str">
        <x:v>CQ04 支持内容</x:v>
      </x:c>
      <x:c r="H107" s="74" t="str">
        <x:v>H01 情绪舒缓</x:v>
      </x:c>
      <x:c r="I107" s="74" t="str">
        <x:v>食神、正印或温和承接信号有效。</x:v>
      </x:c>
      <x:c r="J107" s="74" t="str">
        <x:v>只有单一标签；source_id重复；基础信号失效或真合化已替换。</x:v>
      </x:c>
      <x:c r="K107" s="74" t="str">
        <x:v>由共享基础引擎与M3-STATE修正</x:v>
      </x:c>
      <x:c r="L107" s="74" t="str">
        <x:v>不限定；夫妻星仅在形成独立CARE证据或入宫接口时参与</x:v>
      </x:c>
      <x:c r="M107" s="74" t="str">
        <x:v>由M3-BASE、日支结构及共享引擎提供</x:v>
      </x:c>
      <x:c r="N107" s="74" t="str">
        <x:v>无／待CARE路径规则组合</x:v>
      </x:c>
      <x:c r="O107" s="74" t="str">
        <x:v>全局有效信号；日柱及亲密关系近位优先</x:v>
      </x:c>
      <x:c r="P107" s="74" t="str">
        <x:v>由共享基础引擎判定</x:v>
      </x:c>
      <x:c r="Q107" s="74" t="str">
        <x:v>由共享基础引擎判定</x:v>
      </x:c>
      <x:c r="R107" s="74" t="str">
        <x:v>喜忌不直接等于愿不愿付出；只修正调用顺畅度与资源压力</x:v>
      </x:c>
      <x:c r="S107" s="74" t="str">
        <x:v>原十神性质有效；真合化成立时按化神路由</x:v>
      </x:c>
      <x:c r="T107" s="74" t="str">
        <x:v>由共享基础引擎判定</x:v>
      </x:c>
      <x:c r="U107" s="74" t="str">
        <x:v>55</x:v>
      </x:c>
      <x:c r="V107" s="74" t="str">
        <x:v>内容候选 +5</x:v>
      </x:c>
      <x:c r="W107" s="74" t="str">
        <x:v>giving_content</x:v>
      </x:c>
      <x:c r="X107" s="74" t="str">
        <x:v>情绪舒缓是CARE内容分类，不单独评价价值高低；需要由相应十神及行为证据支持。</x:v>
      </x:c>
      <x:c r="Y107" s="74" t="str">
        <x:v>陪伴、安抚、照顾节奏和让对方放松是你的重要支持内容。</x:v>
      </x:c>
      <x:c r="Z107" s="74" t="str">
        <x:v>不得由本规则直接推出过度付出、付出失衡、依赖、控制、忠诚度、关系结果或适配度；不得把某种照顾方式等同于爱得更多或更少。</x:v>
      </x:c>
      <x:c r="AA107" s="74" t="str">
        <x:v>中</x:v>
      </x:c>
      <x:c r="AB107" s="74" t="str">
        <x:v>待验证</x:v>
      </x:c>
      <x:c r="AC107" s="74" t="str"/>
      <x:c r="AD107" s="74" t="str">
        <x:v>provisional=true; dimension=CQ04; state=H01</x:v>
      </x:c>
      <x:c r="AE107" s="74" t="str">
        <x:v>0.4</x:v>
      </x:c>
    </x:row>
    <x:row r="108">
      <x:c r="A108" s="82" t="str">
        <x:v>M3-CARE-104</x:v>
      </x:c>
      <x:c r="B108" s="82" t="str">
        <x:v>CQ04 支持内容｜H02 现实安排</x:v>
      </x:c>
      <x:c r="C108" s="82" t="str">
        <x:v>L2 CARE过程维度</x:v>
      </x:c>
      <x:c r="D108" s="82" t="str">
        <x:v>CARE-过程维度</x:v>
      </x:c>
      <x:c r="E108" s="82" t="str">
        <x:v>通用</x:v>
      </x:c>
      <x:c r="F108" s="82" t="str">
        <x:v>维度状态</x:v>
      </x:c>
      <x:c r="G108" s="74" t="str">
        <x:v>CQ04 支持内容</x:v>
      </x:c>
      <x:c r="H108" s="74" t="str">
        <x:v>H02 现实安排</x:v>
      </x:c>
      <x:c r="I108" s="74" t="str">
        <x:v>正财、正官或稳定日常信号有效。</x:v>
      </x:c>
      <x:c r="J108" s="74" t="str">
        <x:v>只有单一标签；source_id重复；基础信号失效或真合化已替换。</x:v>
      </x:c>
      <x:c r="K108" s="74" t="str">
        <x:v>由共享基础引擎与M3-STATE修正</x:v>
      </x:c>
      <x:c r="L108" s="74" t="str">
        <x:v>不限定；夫妻星仅在形成独立CARE证据或入宫接口时参与</x:v>
      </x:c>
      <x:c r="M108" s="74" t="str">
        <x:v>由M3-BASE、日支结构及共享引擎提供</x:v>
      </x:c>
      <x:c r="N108" s="74" t="str">
        <x:v>无／待CARE路径规则组合</x:v>
      </x:c>
      <x:c r="O108" s="74" t="str">
        <x:v>全局有效信号；日柱及亲密关系近位优先</x:v>
      </x:c>
      <x:c r="P108" s="74" t="str">
        <x:v>由共享基础引擎判定</x:v>
      </x:c>
      <x:c r="Q108" s="74" t="str">
        <x:v>由共享基础引擎判定</x:v>
      </x:c>
      <x:c r="R108" s="74" t="str">
        <x:v>喜忌不直接等于愿不愿付出；只修正调用顺畅度与资源压力</x:v>
      </x:c>
      <x:c r="S108" s="74" t="str">
        <x:v>原十神性质有效；真合化成立时按化神路由</x:v>
      </x:c>
      <x:c r="T108" s="74" t="str">
        <x:v>由共享基础引擎判定</x:v>
      </x:c>
      <x:c r="U108" s="74" t="str">
        <x:v>55</x:v>
      </x:c>
      <x:c r="V108" s="74" t="str">
        <x:v>内容候选 +5</x:v>
      </x:c>
      <x:c r="W108" s="74" t="str">
        <x:v>giving_content</x:v>
      </x:c>
      <x:c r="X108" s="74" t="str">
        <x:v>现实安排是CARE内容分类，不单独评价价值高低；需要由相应十神及行为证据支持。</x:v>
      </x:c>
      <x:c r="Y108" s="74" t="str">
        <x:v>你会把支持落实到时间、生活事务、分工和可执行安排里。</x:v>
      </x:c>
      <x:c r="Z108" s="74" t="str">
        <x:v>不得由本规则直接推出过度付出、付出失衡、依赖、控制、忠诚度、关系结果或适配度；不得把某种照顾方式等同于爱得更多或更少。</x:v>
      </x:c>
      <x:c r="AA108" s="74" t="str">
        <x:v>中</x:v>
      </x:c>
      <x:c r="AB108" s="74" t="str">
        <x:v>待验证</x:v>
      </x:c>
      <x:c r="AC108" s="74" t="str"/>
      <x:c r="AD108" s="74" t="str">
        <x:v>provisional=true; dimension=CQ04; state=H02</x:v>
      </x:c>
      <x:c r="AE108" s="74" t="str">
        <x:v>0.4</x:v>
      </x:c>
    </x:row>
    <x:row r="109">
      <x:c r="A109" s="82" t="str">
        <x:v>M3-CARE-105</x:v>
      </x:c>
      <x:c r="B109" s="82" t="str">
        <x:v>CQ04 支持内容｜H03 认知解题</x:v>
      </x:c>
      <x:c r="C109" s="82" t="str">
        <x:v>L2 CARE过程维度</x:v>
      </x:c>
      <x:c r="D109" s="82" t="str">
        <x:v>CARE-过程维度</x:v>
      </x:c>
      <x:c r="E109" s="82" t="str">
        <x:v>通用</x:v>
      </x:c>
      <x:c r="F109" s="82" t="str">
        <x:v>维度状态</x:v>
      </x:c>
      <x:c r="G109" s="74" t="str">
        <x:v>CQ04 支持内容</x:v>
      </x:c>
      <x:c r="H109" s="74" t="str">
        <x:v>H03 认知解题</x:v>
      </x:c>
      <x:c r="I109" s="74" t="str">
        <x:v>伤官、偏印或知识技能信号有效。</x:v>
      </x:c>
      <x:c r="J109" s="74" t="str">
        <x:v>只有单一标签；source_id重复；基础信号失效或真合化已替换。</x:v>
      </x:c>
      <x:c r="K109" s="74" t="str">
        <x:v>由共享基础引擎与M3-STATE修正</x:v>
      </x:c>
      <x:c r="L109" s="74" t="str">
        <x:v>不限定；夫妻星仅在形成独立CARE证据或入宫接口时参与</x:v>
      </x:c>
      <x:c r="M109" s="74" t="str">
        <x:v>由M3-BASE、日支结构及共享引擎提供</x:v>
      </x:c>
      <x:c r="N109" s="74" t="str">
        <x:v>无／待CARE路径规则组合</x:v>
      </x:c>
      <x:c r="O109" s="74" t="str">
        <x:v>全局有效信号；日柱及亲密关系近位优先</x:v>
      </x:c>
      <x:c r="P109" s="74" t="str">
        <x:v>由共享基础引擎判定</x:v>
      </x:c>
      <x:c r="Q109" s="74" t="str">
        <x:v>由共享基础引擎判定</x:v>
      </x:c>
      <x:c r="R109" s="74" t="str">
        <x:v>喜忌不直接等于愿不愿付出；只修正调用顺畅度与资源压力</x:v>
      </x:c>
      <x:c r="S109" s="74" t="str">
        <x:v>原十神性质有效；真合化成立时按化神路由</x:v>
      </x:c>
      <x:c r="T109" s="74" t="str">
        <x:v>由共享基础引擎判定</x:v>
      </x:c>
      <x:c r="U109" s="74" t="str">
        <x:v>55</x:v>
      </x:c>
      <x:c r="V109" s="74" t="str">
        <x:v>内容候选 +5</x:v>
      </x:c>
      <x:c r="W109" s="74" t="str">
        <x:v>giving_content</x:v>
      </x:c>
      <x:c r="X109" s="74" t="str">
        <x:v>认知解题是CARE内容分类，不单独评价价值高低；需要由相应十神及行为证据支持。</x:v>
      </x:c>
      <x:c r="Y109" s="74" t="str">
        <x:v>你容易通过分析、信息、专业建议和帮助对方看清问题来支持。</x:v>
      </x:c>
      <x:c r="Z109" s="74" t="str">
        <x:v>不得由本规则直接推出过度付出、付出失衡、依赖、控制、忠诚度、关系结果或适配度；不得把某种照顾方式等同于爱得更多或更少。</x:v>
      </x:c>
      <x:c r="AA109" s="74" t="str">
        <x:v>中</x:v>
      </x:c>
      <x:c r="AB109" s="74" t="str">
        <x:v>待验证</x:v>
      </x:c>
      <x:c r="AC109" s="74" t="str"/>
      <x:c r="AD109" s="74" t="str">
        <x:v>provisional=true; dimension=CQ04; state=H03</x:v>
      </x:c>
      <x:c r="AE109" s="74" t="str">
        <x:v>0.4</x:v>
      </x:c>
    </x:row>
    <x:row r="110">
      <x:c r="A110" s="82" t="str">
        <x:v>M3-CARE-106</x:v>
      </x:c>
      <x:c r="B110" s="82" t="str">
        <x:v>CQ04 支持内容｜H04 行动保护</x:v>
      </x:c>
      <x:c r="C110" s="82" t="str">
        <x:v>L2 CARE过程维度</x:v>
      </x:c>
      <x:c r="D110" s="82" t="str">
        <x:v>CARE-过程维度</x:v>
      </x:c>
      <x:c r="E110" s="82" t="str">
        <x:v>通用</x:v>
      </x:c>
      <x:c r="F110" s="82" t="str">
        <x:v>维度状态</x:v>
      </x:c>
      <x:c r="G110" s="74" t="str">
        <x:v>CQ04 支持内容</x:v>
      </x:c>
      <x:c r="H110" s="74" t="str">
        <x:v>H04 行动保护</x:v>
      </x:c>
      <x:c r="I110" s="74" t="str">
        <x:v>七杀、劫财或紧急任务信号有效。</x:v>
      </x:c>
      <x:c r="J110" s="74" t="str">
        <x:v>只有单一标签；source_id重复；基础信号失效或真合化已替换。</x:v>
      </x:c>
      <x:c r="K110" s="74" t="str">
        <x:v>由共享基础引擎与M3-STATE修正</x:v>
      </x:c>
      <x:c r="L110" s="74" t="str">
        <x:v>不限定；夫妻星仅在形成独立CARE证据或入宫接口时参与</x:v>
      </x:c>
      <x:c r="M110" s="74" t="str">
        <x:v>由M3-BASE、日支结构及共享引擎提供</x:v>
      </x:c>
      <x:c r="N110" s="74" t="str">
        <x:v>无／待CARE路径规则组合</x:v>
      </x:c>
      <x:c r="O110" s="74" t="str">
        <x:v>全局有效信号；日柱及亲密关系近位优先</x:v>
      </x:c>
      <x:c r="P110" s="74" t="str">
        <x:v>由共享基础引擎判定</x:v>
      </x:c>
      <x:c r="Q110" s="74" t="str">
        <x:v>由共享基础引擎判定</x:v>
      </x:c>
      <x:c r="R110" s="74" t="str">
        <x:v>喜忌不直接等于愿不愿付出；只修正调用顺畅度与资源压力</x:v>
      </x:c>
      <x:c r="S110" s="74" t="str">
        <x:v>原十神性质有效；真合化成立时按化神路由</x:v>
      </x:c>
      <x:c r="T110" s="74" t="str">
        <x:v>由共享基础引擎判定</x:v>
      </x:c>
      <x:c r="U110" s="74" t="str">
        <x:v>55</x:v>
      </x:c>
      <x:c r="V110" s="74" t="str">
        <x:v>内容候选 +5</x:v>
      </x:c>
      <x:c r="W110" s="74" t="str">
        <x:v>giving_content</x:v>
      </x:c>
      <x:c r="X110" s="74" t="str">
        <x:v>行动保护是CARE内容分类，不单独评价价值高低；需要由相应十神及行为证据支持。</x:v>
      </x:c>
      <x:c r="Y110" s="74" t="str">
        <x:v>关键时刻出现、推动处理和解决现实障碍，是你较明显的支持内容。</x:v>
      </x:c>
      <x:c r="Z110" s="74" t="str">
        <x:v>不得由本规则直接推出过度付出、付出失衡、依赖、控制、忠诚度、关系结果或适配度；不得把某种照顾方式等同于爱得更多或更少。</x:v>
      </x:c>
      <x:c r="AA110" s="74" t="str">
        <x:v>中</x:v>
      </x:c>
      <x:c r="AB110" s="74" t="str">
        <x:v>待验证</x:v>
      </x:c>
      <x:c r="AC110" s="74" t="str"/>
      <x:c r="AD110" s="74" t="str">
        <x:v>provisional=true; dimension=CQ04; state=H04</x:v>
      </x:c>
      <x:c r="AE110" s="74" t="str">
        <x:v>0.4</x:v>
      </x:c>
    </x:row>
    <x:row r="111">
      <x:c r="A111" s="82" t="str">
        <x:v>M3-CARE-107</x:v>
      </x:c>
      <x:c r="B111" s="82" t="str">
        <x:v>CQ04 支持内容｜H05 体验联结</x:v>
      </x:c>
      <x:c r="C111" s="82" t="str">
        <x:v>L2 CARE过程维度</x:v>
      </x:c>
      <x:c r="D111" s="82" t="str">
        <x:v>CARE-过程维度</x:v>
      </x:c>
      <x:c r="E111" s="82" t="str">
        <x:v>通用</x:v>
      </x:c>
      <x:c r="F111" s="82" t="str">
        <x:v>维度状态</x:v>
      </x:c>
      <x:c r="G111" s="74" t="str">
        <x:v>CQ04 支持内容</x:v>
      </x:c>
      <x:c r="H111" s="74" t="str">
        <x:v>H05 体验联结</x:v>
      </x:c>
      <x:c r="I111" s="74" t="str">
        <x:v>偏财、食神或共同体验信号有效。</x:v>
      </x:c>
      <x:c r="J111" s="74" t="str">
        <x:v>只有单一标签；source_id重复；基础信号失效或真合化已替换。</x:v>
      </x:c>
      <x:c r="K111" s="74" t="str">
        <x:v>由共享基础引擎与M3-STATE修正</x:v>
      </x:c>
      <x:c r="L111" s="74" t="str">
        <x:v>不限定；夫妻星仅在形成独立CARE证据或入宫接口时参与</x:v>
      </x:c>
      <x:c r="M111" s="74" t="str">
        <x:v>由M3-BASE、日支结构及共享引擎提供</x:v>
      </x:c>
      <x:c r="N111" s="74" t="str">
        <x:v>无／待CARE路径规则组合</x:v>
      </x:c>
      <x:c r="O111" s="74" t="str">
        <x:v>全局有效信号；日柱及亲密关系近位优先</x:v>
      </x:c>
      <x:c r="P111" s="74" t="str">
        <x:v>由共享基础引擎判定</x:v>
      </x:c>
      <x:c r="Q111" s="74" t="str">
        <x:v>由共享基础引擎判定</x:v>
      </x:c>
      <x:c r="R111" s="74" t="str">
        <x:v>喜忌不直接等于愿不愿付出；只修正调用顺畅度与资源压力</x:v>
      </x:c>
      <x:c r="S111" s="74" t="str">
        <x:v>原十神性质有效；真合化成立时按化神路由</x:v>
      </x:c>
      <x:c r="T111" s="74" t="str">
        <x:v>由共享基础引擎判定</x:v>
      </x:c>
      <x:c r="U111" s="74" t="str">
        <x:v>55</x:v>
      </x:c>
      <x:c r="V111" s="74" t="str">
        <x:v>内容候选 +5</x:v>
      </x:c>
      <x:c r="W111" s="74" t="str">
        <x:v>giving_content</x:v>
      </x:c>
      <x:c r="X111" s="74" t="str">
        <x:v>体验联结是CARE内容分类，不单独评价价值高低；需要由相应十神及行为证据支持。</x:v>
      </x:c>
      <x:c r="Y111" s="74" t="str">
        <x:v>你会通过邀约、体验、礼物、气氛和共同参与让关系得到滋养。</x:v>
      </x:c>
      <x:c r="Z111" s="74" t="str">
        <x:v>不得由本规则直接推出过度付出、付出失衡、依赖、控制、忠诚度、关系结果或适配度；不得把某种照顾方式等同于爱得更多或更少。</x:v>
      </x:c>
      <x:c r="AA111" s="74" t="str">
        <x:v>中</x:v>
      </x:c>
      <x:c r="AB111" s="74" t="str">
        <x:v>待验证</x:v>
      </x:c>
      <x:c r="AC111" s="74" t="str"/>
      <x:c r="AD111" s="74" t="str">
        <x:v>provisional=true; dimension=CQ04; state=H05</x:v>
      </x:c>
      <x:c r="AE111" s="74" t="str">
        <x:v>0.4</x:v>
      </x:c>
    </x:row>
    <x:row r="112">
      <x:c r="A112" s="82" t="str">
        <x:v>M3-CARE-108</x:v>
      </x:c>
      <x:c r="B112" s="82" t="str">
        <x:v>CQ04 支持内容｜H06 并肩自主</x:v>
      </x:c>
      <x:c r="C112" s="82" t="str">
        <x:v>L2 CARE过程维度</x:v>
      </x:c>
      <x:c r="D112" s="82" t="str">
        <x:v>CARE-过程维度</x:v>
      </x:c>
      <x:c r="E112" s="82" t="str">
        <x:v>通用</x:v>
      </x:c>
      <x:c r="F112" s="82" t="str">
        <x:v>维度状态</x:v>
      </x:c>
      <x:c r="G112" s="74" t="str">
        <x:v>CQ04 支持内容</x:v>
      </x:c>
      <x:c r="H112" s="74" t="str">
        <x:v>H06 并肩自主</x:v>
      </x:c>
      <x:c r="I112" s="74" t="str">
        <x:v>比肩、劫财或边界协作信号有效。</x:v>
      </x:c>
      <x:c r="J112" s="74" t="str">
        <x:v>只有单一标签；source_id重复；基础信号失效或真合化已替换。</x:v>
      </x:c>
      <x:c r="K112" s="74" t="str">
        <x:v>由共享基础引擎与M3-STATE修正</x:v>
      </x:c>
      <x:c r="L112" s="74" t="str">
        <x:v>不限定；夫妻星仅在形成独立CARE证据或入宫接口时参与</x:v>
      </x:c>
      <x:c r="M112" s="74" t="str">
        <x:v>由M3-BASE、日支结构及共享引擎提供</x:v>
      </x:c>
      <x:c r="N112" s="74" t="str">
        <x:v>无／待CARE路径规则组合</x:v>
      </x:c>
      <x:c r="O112" s="74" t="str">
        <x:v>全局有效信号；日柱及亲密关系近位优先</x:v>
      </x:c>
      <x:c r="P112" s="74" t="str">
        <x:v>由共享基础引擎判定</x:v>
      </x:c>
      <x:c r="Q112" s="74" t="str">
        <x:v>由共享基础引擎判定</x:v>
      </x:c>
      <x:c r="R112" s="74" t="str">
        <x:v>喜忌不直接等于愿不愿付出；只修正调用顺畅度与资源压力</x:v>
      </x:c>
      <x:c r="S112" s="74" t="str">
        <x:v>原十神性质有效；真合化成立时按化神路由</x:v>
      </x:c>
      <x:c r="T112" s="74" t="str">
        <x:v>由共享基础引擎判定</x:v>
      </x:c>
      <x:c r="U112" s="74" t="str">
        <x:v>55</x:v>
      </x:c>
      <x:c r="V112" s="74" t="str">
        <x:v>内容候选 +5</x:v>
      </x:c>
      <x:c r="W112" s="74" t="str">
        <x:v>giving_content</x:v>
      </x:c>
      <x:c r="X112" s="74" t="str">
        <x:v>并肩自主是CARE内容分类，不单独评价价值高低；需要由相应十神及行为证据支持。</x:v>
      </x:c>
      <x:c r="Y112" s="74" t="str">
        <x:v>你更重视让双方都保有能力和参与感，通过并肩而不是完全接管来支持。</x:v>
      </x:c>
      <x:c r="Z112" s="74" t="str">
        <x:v>不得由本规则直接推出过度付出、付出失衡、依赖、控制、忠诚度、关系结果或适配度；不得把某种照顾方式等同于爱得更多或更少。</x:v>
      </x:c>
      <x:c r="AA112" s="74" t="str">
        <x:v>中</x:v>
      </x:c>
      <x:c r="AB112" s="74" t="str">
        <x:v>待验证</x:v>
      </x:c>
      <x:c r="AC112" s="74" t="str"/>
      <x:c r="AD112" s="74" t="str">
        <x:v>provisional=true; dimension=CQ04; state=H06</x:v>
      </x:c>
      <x:c r="AE112" s="74" t="str">
        <x:v>0.4</x:v>
      </x:c>
    </x:row>
    <x:row r="113">
      <x:c r="A113" s="82" t="str">
        <x:v>M3-CARE-109</x:v>
      </x:c>
      <x:c r="B113" s="82" t="str">
        <x:v>CQ05 请求支持方式｜RQ01 直接具体</x:v>
      </x:c>
      <x:c r="C113" s="82" t="str">
        <x:v>L2 CARE过程维度</x:v>
      </x:c>
      <x:c r="D113" s="82" t="str">
        <x:v>CARE-过程维度</x:v>
      </x:c>
      <x:c r="E113" s="82" t="str">
        <x:v>通用</x:v>
      </x:c>
      <x:c r="F113" s="82" t="str">
        <x:v>维度状态</x:v>
      </x:c>
      <x:c r="G113" s="74" t="str">
        <x:v>CQ05 请求支持方式</x:v>
      </x:c>
      <x:c r="H113" s="74" t="str">
        <x:v>RQ01 直接具体</x:v>
      </x:c>
      <x:c r="I113" s="74" t="str">
        <x:v>比劫、伤官、财官杀外显，且请求功能未被印星完全内化。</x:v>
      </x:c>
      <x:c r="J113" s="74" t="str">
        <x:v>只有单一标签；source_id重复；基础信号失效或真合化已替换。</x:v>
      </x:c>
      <x:c r="K113" s="74" t="str">
        <x:v>由共享基础引擎与M3-STATE修正</x:v>
      </x:c>
      <x:c r="L113" s="74" t="str">
        <x:v>不限定；夫妻星仅在形成独立CARE证据或入宫接口时参与</x:v>
      </x:c>
      <x:c r="M113" s="74" t="str">
        <x:v>由M3-BASE、日支结构及共享引擎提供</x:v>
      </x:c>
      <x:c r="N113" s="74" t="str">
        <x:v>无／待CARE路径规则组合</x:v>
      </x:c>
      <x:c r="O113" s="74" t="str">
        <x:v>全局有效信号；日柱及亲密关系近位优先</x:v>
      </x:c>
      <x:c r="P113" s="74" t="str">
        <x:v>由共享基础引擎判定</x:v>
      </x:c>
      <x:c r="Q113" s="74" t="str">
        <x:v>由共享基础引擎判定</x:v>
      </x:c>
      <x:c r="R113" s="74" t="str">
        <x:v>喜忌不直接等于愿不愿付出；只修正调用顺畅度与资源压力</x:v>
      </x:c>
      <x:c r="S113" s="74" t="str">
        <x:v>原十神性质有效；真合化成立时按化神路由</x:v>
      </x:c>
      <x:c r="T113" s="74" t="str">
        <x:v>由共享基础引擎判定</x:v>
      </x:c>
      <x:c r="U113" s="74" t="str">
        <x:v>55</x:v>
      </x:c>
      <x:c r="V113" s="74" t="str">
        <x:v>候选 +5</x:v>
      </x:c>
      <x:c r="W113" s="74" t="str">
        <x:v>support_request_style</x:v>
      </x:c>
      <x:c r="X113" s="74" t="str">
        <x:v>比劫、伤官、财官杀外显时，求助更容易被具体化为任务、条件或希望。</x:v>
      </x:c>
      <x:c r="Y113" s="74" t="str">
        <x:v>需要帮助时，你更容易说明具体事项、希望对方做什么以及怎样配合。</x:v>
      </x:c>
      <x:c r="Z113" s="74" t="str">
        <x:v>不得由本规则直接推出过度付出、付出失衡、依赖、控制、忠诚度、关系结果或适配度；不得把某种照顾方式等同于爱得更多或更少。</x:v>
      </x:c>
      <x:c r="AA113" s="74" t="str">
        <x:v>中</x:v>
      </x:c>
      <x:c r="AB113" s="74" t="str">
        <x:v>待验证</x:v>
      </x:c>
      <x:c r="AC113" s="74" t="str"/>
      <x:c r="AD113" s="74" t="str">
        <x:v>provisional=true; dimension=CQ05; state=RQ01</x:v>
      </x:c>
      <x:c r="AE113" s="74" t="str">
        <x:v>0.4</x:v>
      </x:c>
    </x:row>
    <x:row r="114">
      <x:c r="A114" s="82" t="str">
        <x:v>M3-CARE-110</x:v>
      </x:c>
      <x:c r="B114" s="82" t="str">
        <x:v>CQ05 请求支持方式｜RQ02 先铺垫再请求</x:v>
      </x:c>
      <x:c r="C114" s="82" t="str">
        <x:v>L2 CARE过程维度</x:v>
      </x:c>
      <x:c r="D114" s="82" t="str">
        <x:v>CARE-过程维度</x:v>
      </x:c>
      <x:c r="E114" s="82" t="str">
        <x:v>通用</x:v>
      </x:c>
      <x:c r="F114" s="82" t="str">
        <x:v>维度状态</x:v>
      </x:c>
      <x:c r="G114" s="74" t="str">
        <x:v>CQ05 请求支持方式</x:v>
      </x:c>
      <x:c r="H114" s="74" t="str">
        <x:v>RQ02 先铺垫再请求</x:v>
      </x:c>
      <x:c r="I114" s="74" t="str">
        <x:v>食神、正印或安全承接路径有效。</x:v>
      </x:c>
      <x:c r="J114" s="74" t="str">
        <x:v>只有单一标签；source_id重复；基础信号失效或真合化已替换。</x:v>
      </x:c>
      <x:c r="K114" s="74" t="str">
        <x:v>由共享基础引擎与M3-STATE修正</x:v>
      </x:c>
      <x:c r="L114" s="74" t="str">
        <x:v>不限定；夫妻星仅在形成独立CARE证据或入宫接口时参与</x:v>
      </x:c>
      <x:c r="M114" s="74" t="str">
        <x:v>由M3-BASE、日支结构及共享引擎提供</x:v>
      </x:c>
      <x:c r="N114" s="74" t="str">
        <x:v>无／待CARE路径规则组合</x:v>
      </x:c>
      <x:c r="O114" s="74" t="str">
        <x:v>全局有效信号；日柱及亲密关系近位优先</x:v>
      </x:c>
      <x:c r="P114" s="74" t="str">
        <x:v>由共享基础引擎判定</x:v>
      </x:c>
      <x:c r="Q114" s="74" t="str">
        <x:v>由共享基础引擎判定</x:v>
      </x:c>
      <x:c r="R114" s="74" t="str">
        <x:v>喜忌不直接等于愿不愿付出；只修正调用顺畅度与资源压力</x:v>
      </x:c>
      <x:c r="S114" s="74" t="str">
        <x:v>原十神性质有效；真合化成立时按化神路由</x:v>
      </x:c>
      <x:c r="T114" s="74" t="str">
        <x:v>由共享基础引擎判定</x:v>
      </x:c>
      <x:c r="U114" s="74" t="str">
        <x:v>55</x:v>
      </x:c>
      <x:c r="V114" s="74" t="str">
        <x:v>候选 +5</x:v>
      </x:c>
      <x:c r="W114" s="74" t="str">
        <x:v>support_request_style</x:v>
      </x:c>
      <x:c r="X114" s="74" t="str">
        <x:v>食神、正印或安全语境需求使请求经过情绪铺垫和关系确认。</x:v>
      </x:c>
      <x:c r="Y114" s="74" t="str">
        <x:v>你更容易在气氛安全、被理解以后，再逐步说出自己真正需要什么。</x:v>
      </x:c>
      <x:c r="Z114" s="74" t="str">
        <x:v>不得由本规则直接推出过度付出、付出失衡、依赖、控制、忠诚度、关系结果或适配度；不得把某种照顾方式等同于爱得更多或更少。</x:v>
      </x:c>
      <x:c r="AA114" s="74" t="str">
        <x:v>中</x:v>
      </x:c>
      <x:c r="AB114" s="74" t="str">
        <x:v>待验证</x:v>
      </x:c>
      <x:c r="AC114" s="74" t="str"/>
      <x:c r="AD114" s="74" t="str">
        <x:v>provisional=true; dimension=CQ05; state=RQ02</x:v>
      </x:c>
      <x:c r="AE114" s="74" t="str">
        <x:v>0.4</x:v>
      </x:c>
    </x:row>
    <x:row r="115">
      <x:c r="A115" s="82" t="str">
        <x:v>M3-CARE-111</x:v>
      </x:c>
      <x:c r="B115" s="82" t="str">
        <x:v>CQ05 请求支持方式｜RQ03 先内部整理</x:v>
      </x:c>
      <x:c r="C115" s="82" t="str">
        <x:v>L2 CARE过程维度</x:v>
      </x:c>
      <x:c r="D115" s="82" t="str">
        <x:v>CARE-过程维度</x:v>
      </x:c>
      <x:c r="E115" s="82" t="str">
        <x:v>通用</x:v>
      </x:c>
      <x:c r="F115" s="82" t="str">
        <x:v>维度状态</x:v>
      </x:c>
      <x:c r="G115" s="74" t="str">
        <x:v>CQ05 请求支持方式</x:v>
      </x:c>
      <x:c r="H115" s="74" t="str">
        <x:v>RQ03 先内部整理</x:v>
      </x:c>
      <x:c r="I115" s="74" t="str">
        <x:v>偏印或印星内化明显，且存在后续外化桥梁。</x:v>
      </x:c>
      <x:c r="J115" s="74" t="str">
        <x:v>只有单一标签；source_id重复；基础信号失效或真合化已替换。</x:v>
      </x:c>
      <x:c r="K115" s="74" t="str">
        <x:v>由共享基础引擎与M3-STATE修正</x:v>
      </x:c>
      <x:c r="L115" s="74" t="str">
        <x:v>不限定；夫妻星仅在形成独立CARE证据或入宫接口时参与</x:v>
      </x:c>
      <x:c r="M115" s="74" t="str">
        <x:v>由M3-BASE、日支结构及共享引擎提供</x:v>
      </x:c>
      <x:c r="N115" s="74" t="str">
        <x:v>无／待CARE路径规则组合</x:v>
      </x:c>
      <x:c r="O115" s="74" t="str">
        <x:v>全局有效信号；日柱及亲密关系近位优先</x:v>
      </x:c>
      <x:c r="P115" s="74" t="str">
        <x:v>由共享基础引擎判定</x:v>
      </x:c>
      <x:c r="Q115" s="74" t="str">
        <x:v>由共享基础引擎判定</x:v>
      </x:c>
      <x:c r="R115" s="74" t="str">
        <x:v>喜忌不直接等于愿不愿付出；只修正调用顺畅度与资源压力</x:v>
      </x:c>
      <x:c r="S115" s="74" t="str">
        <x:v>原十神性质有效；真合化成立时按化神路由</x:v>
      </x:c>
      <x:c r="T115" s="74" t="str">
        <x:v>由共享基础引擎判定</x:v>
      </x:c>
      <x:c r="U115" s="74" t="str">
        <x:v>55</x:v>
      </x:c>
      <x:c r="V115" s="74" t="str">
        <x:v>候选 +5</x:v>
      </x:c>
      <x:c r="W115" s="74" t="str">
        <x:v>support_request_style</x:v>
      </x:c>
      <x:c r="X115" s="74" t="str">
        <x:v>偏印或印星内化使用户先确认需求本身，再选择性开口。</x:v>
      </x:c>
      <x:c r="Y115" s="74" t="str">
        <x:v>你通常需要先把问题和感受想清楚，确认自己真正需要什么以后再求助。</x:v>
      </x:c>
      <x:c r="Z115" s="74" t="str">
        <x:v>不得由本规则直接推出过度付出、付出失衡、依赖、控制、忠诚度、关系结果或适配度；不得把某种照顾方式等同于爱得更多或更少。</x:v>
      </x:c>
      <x:c r="AA115" s="74" t="str">
        <x:v>中</x:v>
      </x:c>
      <x:c r="AB115" s="74" t="str">
        <x:v>待验证</x:v>
      </x:c>
      <x:c r="AC115" s="74" t="str"/>
      <x:c r="AD115" s="74" t="str">
        <x:v>provisional=true; dimension=CQ05; state=RQ03</x:v>
      </x:c>
      <x:c r="AE115" s="74" t="str">
        <x:v>0.4</x:v>
      </x:c>
    </x:row>
    <x:row r="116">
      <x:c r="A116" s="82" t="str">
        <x:v>M3-CARE-112</x:v>
      </x:c>
      <x:c r="B116" s="82" t="str">
        <x:v>CQ05 请求支持方式｜RQ04 通过共同任务带出</x:v>
      </x:c>
      <x:c r="C116" s="82" t="str">
        <x:v>L2 CARE过程维度</x:v>
      </x:c>
      <x:c r="D116" s="82" t="str">
        <x:v>CARE-过程维度</x:v>
      </x:c>
      <x:c r="E116" s="82" t="str">
        <x:v>通用</x:v>
      </x:c>
      <x:c r="F116" s="82" t="str">
        <x:v>维度状态</x:v>
      </x:c>
      <x:c r="G116" s="74" t="str">
        <x:v>CQ05 请求支持方式</x:v>
      </x:c>
      <x:c r="H116" s="74" t="str">
        <x:v>RQ04 通过共同任务带出</x:v>
      </x:c>
      <x:c r="I116" s="74" t="str">
        <x:v>劫财、偏财、共同参与或任务路径成立。</x:v>
      </x:c>
      <x:c r="J116" s="74" t="str">
        <x:v>只有单一标签；source_id重复；基础信号失效或真合化已替换。</x:v>
      </x:c>
      <x:c r="K116" s="74" t="str">
        <x:v>由共享基础引擎与M3-STATE修正</x:v>
      </x:c>
      <x:c r="L116" s="74" t="str">
        <x:v>不限定；夫妻星仅在形成独立CARE证据或入宫接口时参与</x:v>
      </x:c>
      <x:c r="M116" s="74" t="str">
        <x:v>由M3-BASE、日支结构及共享引擎提供</x:v>
      </x:c>
      <x:c r="N116" s="74" t="str">
        <x:v>无／待CARE路径规则组合</x:v>
      </x:c>
      <x:c r="O116" s="74" t="str">
        <x:v>全局有效信号；日柱及亲密关系近位优先</x:v>
      </x:c>
      <x:c r="P116" s="74" t="str">
        <x:v>由共享基础引擎判定</x:v>
      </x:c>
      <x:c r="Q116" s="74" t="str">
        <x:v>由共享基础引擎判定</x:v>
      </x:c>
      <x:c r="R116" s="74" t="str">
        <x:v>喜忌不直接等于愿不愿付出；只修正调用顺畅度与资源压力</x:v>
      </x:c>
      <x:c r="S116" s="74" t="str">
        <x:v>原十神性质有效；真合化成立时按化神路由</x:v>
      </x:c>
      <x:c r="T116" s="74" t="str">
        <x:v>由共享基础引擎判定</x:v>
      </x:c>
      <x:c r="U116" s="74" t="str">
        <x:v>55</x:v>
      </x:c>
      <x:c r="V116" s="74" t="str">
        <x:v>候选 +5</x:v>
      </x:c>
      <x:c r="W116" s="74" t="str">
        <x:v>support_request_style</x:v>
      </x:c>
      <x:c r="X116" s="74" t="str">
        <x:v>劫财、偏财或共同体验使求助以一起做、一起去或一起处理的形式出现。</x:v>
      </x:c>
      <x:c r="Y116" s="74" t="str">
        <x:v>你的需要可能不会先以抽象情绪表达，而是通过邀请对方一起做一件事被带出来。</x:v>
      </x:c>
      <x:c r="Z116" s="74" t="str">
        <x:v>不得由本规则直接推出过度付出、付出失衡、依赖、控制、忠诚度、关系结果或适配度；不得把某种照顾方式等同于爱得更多或更少。</x:v>
      </x:c>
      <x:c r="AA116" s="74" t="str">
        <x:v>中</x:v>
      </x:c>
      <x:c r="AB116" s="74" t="str">
        <x:v>待验证</x:v>
      </x:c>
      <x:c r="AC116" s="74" t="str"/>
      <x:c r="AD116" s="74" t="str">
        <x:v>provisional=true; dimension=CQ05; state=RQ04</x:v>
      </x:c>
      <x:c r="AE116" s="74" t="str">
        <x:v>0.4</x:v>
      </x:c>
    </x:row>
    <x:row r="117">
      <x:c r="A117" s="82" t="str">
        <x:v>M3-CARE-113</x:v>
      </x:c>
      <x:c r="B117" s="82" t="str">
        <x:v>CQ06 接受支持方式｜RC01 直接接收</x:v>
      </x:c>
      <x:c r="C117" s="82" t="str">
        <x:v>L2 CARE过程维度</x:v>
      </x:c>
      <x:c r="D117" s="82" t="str">
        <x:v>CARE-过程维度</x:v>
      </x:c>
      <x:c r="E117" s="82" t="str">
        <x:v>通用</x:v>
      </x:c>
      <x:c r="F117" s="82" t="str">
        <x:v>维度状态</x:v>
      </x:c>
      <x:c r="G117" s="74" t="str">
        <x:v>CQ06 接受支持方式</x:v>
      </x:c>
      <x:c r="H117" s="74" t="str">
        <x:v>RC01 直接接收</x:v>
      </x:c>
      <x:c r="I117" s="74" t="str">
        <x:v>正印、正财、正官或稳定信任证据有效。</x:v>
      </x:c>
      <x:c r="J117" s="74" t="str">
        <x:v>只有单一标签；source_id重复；基础信号失效或真合化已替换。</x:v>
      </x:c>
      <x:c r="K117" s="74" t="str">
        <x:v>由共享基础引擎与M3-STATE修正</x:v>
      </x:c>
      <x:c r="L117" s="74" t="str">
        <x:v>不限定；夫妻星仅在形成独立CARE证据或入宫接口时参与</x:v>
      </x:c>
      <x:c r="M117" s="74" t="str">
        <x:v>由M3-BASE、日支结构及共享引擎提供</x:v>
      </x:c>
      <x:c r="N117" s="74" t="str">
        <x:v>无／待CARE路径规则组合</x:v>
      </x:c>
      <x:c r="O117" s="74" t="str">
        <x:v>全局有效信号；日柱及亲密关系近位优先</x:v>
      </x:c>
      <x:c r="P117" s="74" t="str">
        <x:v>由共享基础引擎判定</x:v>
      </x:c>
      <x:c r="Q117" s="74" t="str">
        <x:v>由共享基础引擎判定</x:v>
      </x:c>
      <x:c r="R117" s="74" t="str">
        <x:v>喜忌不直接等于愿不愿付出；只修正调用顺畅度与资源压力</x:v>
      </x:c>
      <x:c r="S117" s="74" t="str">
        <x:v>原十神性质有效；真合化成立时按化神路由</x:v>
      </x:c>
      <x:c r="T117" s="74" t="str">
        <x:v>由共享基础引擎判定</x:v>
      </x:c>
      <x:c r="U117" s="74" t="str">
        <x:v>55</x:v>
      </x:c>
      <x:c r="V117" s="74" t="str">
        <x:v>候选 +5</x:v>
      </x:c>
      <x:c r="W117" s="74" t="str">
        <x:v>support_receiving_style</x:v>
      </x:c>
      <x:c r="X117" s="74" t="str">
        <x:v>安全感、信任或现实需要清楚时，用户能把支持直接纳入关系。</x:v>
      </x:c>
      <x:c r="Y117" s="74" t="str">
        <x:v>当帮助方式清楚、尊重你并真正有用时，你通常能够直接接受。</x:v>
      </x:c>
      <x:c r="Z117" s="74" t="str">
        <x:v>不得由本规则直接推出过度付出、付出失衡、依赖、控制、忠诚度、关系结果或适配度；不得把某种照顾方式等同于爱得更多或更少。</x:v>
      </x:c>
      <x:c r="AA117" s="74" t="str">
        <x:v>中</x:v>
      </x:c>
      <x:c r="AB117" s="74" t="str">
        <x:v>待验证</x:v>
      </x:c>
      <x:c r="AC117" s="74" t="str"/>
      <x:c r="AD117" s="74" t="str">
        <x:v>provisional=true; dimension=CQ06; state=RC01</x:v>
      </x:c>
      <x:c r="AE117" s="74" t="str">
        <x:v>0.4</x:v>
      </x:c>
    </x:row>
    <x:row r="118">
      <x:c r="A118" s="82" t="str">
        <x:v>M3-CARE-114</x:v>
      </x:c>
      <x:c r="B118" s="82" t="str">
        <x:v>CQ06 接受支持方式｜RC02 保留自主后接收</x:v>
      </x:c>
      <x:c r="C118" s="82" t="str">
        <x:v>L2 CARE过程维度</x:v>
      </x:c>
      <x:c r="D118" s="82" t="str">
        <x:v>CARE-过程维度</x:v>
      </x:c>
      <x:c r="E118" s="82" t="str">
        <x:v>通用</x:v>
      </x:c>
      <x:c r="F118" s="82" t="str">
        <x:v>维度状态</x:v>
      </x:c>
      <x:c r="G118" s="74" t="str">
        <x:v>CQ06 接受支持方式</x:v>
      </x:c>
      <x:c r="H118" s="74" t="str">
        <x:v>RC02 保留自主后接收</x:v>
      </x:c>
      <x:c r="I118" s="74" t="str">
        <x:v>比肩、偏印或自主边界信号有效。</x:v>
      </x:c>
      <x:c r="J118" s="74" t="str">
        <x:v>只有单一标签；source_id重复；基础信号失效或真合化已替换。</x:v>
      </x:c>
      <x:c r="K118" s="74" t="str">
        <x:v>由共享基础引擎与M3-STATE修正</x:v>
      </x:c>
      <x:c r="L118" s="74" t="str">
        <x:v>不限定；夫妻星仅在形成独立CARE证据或入宫接口时参与</x:v>
      </x:c>
      <x:c r="M118" s="74" t="str">
        <x:v>由M3-BASE、日支结构及共享引擎提供</x:v>
      </x:c>
      <x:c r="N118" s="74" t="str">
        <x:v>无／待CARE路径规则组合</x:v>
      </x:c>
      <x:c r="O118" s="74" t="str">
        <x:v>全局有效信号；日柱及亲密关系近位优先</x:v>
      </x:c>
      <x:c r="P118" s="74" t="str">
        <x:v>由共享基础引擎判定</x:v>
      </x:c>
      <x:c r="Q118" s="74" t="str">
        <x:v>由共享基础引擎判定</x:v>
      </x:c>
      <x:c r="R118" s="74" t="str">
        <x:v>喜忌不直接等于愿不愿付出；只修正调用顺畅度与资源压力</x:v>
      </x:c>
      <x:c r="S118" s="74" t="str">
        <x:v>原十神性质有效；真合化成立时按化神路由</x:v>
      </x:c>
      <x:c r="T118" s="74" t="str">
        <x:v>由共享基础引擎判定</x:v>
      </x:c>
      <x:c r="U118" s="74" t="str">
        <x:v>55</x:v>
      </x:c>
      <x:c r="V118" s="74" t="str">
        <x:v>候选 +5</x:v>
      </x:c>
      <x:c r="W118" s="74" t="str">
        <x:v>support_receiving_style</x:v>
      </x:c>
      <x:c r="X118" s="74" t="str">
        <x:v>比肩或偏印要求支持不能替代用户决定。</x:v>
      </x:c>
      <x:c r="Y118" s="74" t="str">
        <x:v>你更容易接受保留选择权、不过度接管、允许自己参与决定的帮助。</x:v>
      </x:c>
      <x:c r="Z118" s="74" t="str">
        <x:v>不得由本规则直接推出过度付出、付出失衡、依赖、控制、忠诚度、关系结果或适配度；不得把某种照顾方式等同于爱得更多或更少。</x:v>
      </x:c>
      <x:c r="AA118" s="74" t="str">
        <x:v>中</x:v>
      </x:c>
      <x:c r="AB118" s="74" t="str">
        <x:v>待验证</x:v>
      </x:c>
      <x:c r="AC118" s="74" t="str"/>
      <x:c r="AD118" s="74" t="str">
        <x:v>provisional=true; dimension=CQ06; state=RC02</x:v>
      </x:c>
      <x:c r="AE118" s="74" t="str">
        <x:v>0.4</x:v>
      </x:c>
    </x:row>
    <x:row r="119">
      <x:c r="A119" s="82" t="str">
        <x:v>M3-CARE-115</x:v>
      </x:c>
      <x:c r="B119" s="82" t="str">
        <x:v>CQ06 接受支持方式｜RC03 先验证再接收</x:v>
      </x:c>
      <x:c r="C119" s="82" t="str">
        <x:v>L2 CARE过程维度</x:v>
      </x:c>
      <x:c r="D119" s="82" t="str">
        <x:v>CARE-过程维度</x:v>
      </x:c>
      <x:c r="E119" s="82" t="str">
        <x:v>通用</x:v>
      </x:c>
      <x:c r="F119" s="82" t="str">
        <x:v>维度状态</x:v>
      </x:c>
      <x:c r="G119" s="74" t="str">
        <x:v>CQ06 接受支持方式</x:v>
      </x:c>
      <x:c r="H119" s="74" t="str">
        <x:v>RC03 先验证再接收</x:v>
      </x:c>
      <x:c r="I119" s="74" t="str">
        <x:v>正官、正财、持续性或守约证据有效。</x:v>
      </x:c>
      <x:c r="J119" s="74" t="str">
        <x:v>只有单一标签；source_id重复；基础信号失效或真合化已替换。</x:v>
      </x:c>
      <x:c r="K119" s="74" t="str">
        <x:v>由共享基础引擎与M3-STATE修正</x:v>
      </x:c>
      <x:c r="L119" s="74" t="str">
        <x:v>不限定；夫妻星仅在形成独立CARE证据或入宫接口时参与</x:v>
      </x:c>
      <x:c r="M119" s="74" t="str">
        <x:v>由M3-BASE、日支结构及共享引擎提供</x:v>
      </x:c>
      <x:c r="N119" s="74" t="str">
        <x:v>无／待CARE路径规则组合</x:v>
      </x:c>
      <x:c r="O119" s="74" t="str">
        <x:v>全局有效信号；日柱及亲密关系近位优先</x:v>
      </x:c>
      <x:c r="P119" s="74" t="str">
        <x:v>由共享基础引擎判定</x:v>
      </x:c>
      <x:c r="Q119" s="74" t="str">
        <x:v>由共享基础引擎判定</x:v>
      </x:c>
      <x:c r="R119" s="74" t="str">
        <x:v>喜忌不直接等于愿不愿付出；只修正调用顺畅度与资源压力</x:v>
      </x:c>
      <x:c r="S119" s="74" t="str">
        <x:v>原十神性质有效；真合化成立时按化神路由</x:v>
      </x:c>
      <x:c r="T119" s="74" t="str">
        <x:v>由共享基础引擎判定</x:v>
      </x:c>
      <x:c r="U119" s="74" t="str">
        <x:v>55</x:v>
      </x:c>
      <x:c r="V119" s="74" t="str">
        <x:v>候选 +5</x:v>
      </x:c>
      <x:c r="W119" s="74" t="str">
        <x:v>support_receiving_style</x:v>
      </x:c>
      <x:c r="X119" s="74" t="str">
        <x:v>正官、正财或持续性门槛使用户先看帮助是否可靠、可持续。</x:v>
      </x:c>
      <x:c r="Y119" s="74" t="str">
        <x:v>你可能先观察对方能否持续、是否说到做到，再真正把这份帮助当成可依赖的支持。</x:v>
      </x:c>
      <x:c r="Z119" s="74" t="str">
        <x:v>不得由本规则直接推出过度付出、付出失衡、依赖、控制、忠诚度、关系结果或适配度；不得把某种照顾方式等同于爱得更多或更少。</x:v>
      </x:c>
      <x:c r="AA119" s="74" t="str">
        <x:v>中</x:v>
      </x:c>
      <x:c r="AB119" s="74" t="str">
        <x:v>待验证</x:v>
      </x:c>
      <x:c r="AC119" s="74" t="str"/>
      <x:c r="AD119" s="74" t="str">
        <x:v>provisional=true; dimension=CQ06; state=RC03</x:v>
      </x:c>
      <x:c r="AE119" s="74" t="str">
        <x:v>0.4</x:v>
      </x:c>
    </x:row>
    <x:row r="120">
      <x:c r="A120" s="82" t="str">
        <x:v>M3-CARE-116</x:v>
      </x:c>
      <x:c r="B120" s="82" t="str">
        <x:v>CQ06 接受支持方式｜RC04 行动中接收</x:v>
      </x:c>
      <x:c r="C120" s="82" t="str">
        <x:v>L2 CARE过程维度</x:v>
      </x:c>
      <x:c r="D120" s="82" t="str">
        <x:v>CARE-过程维度</x:v>
      </x:c>
      <x:c r="E120" s="82" t="str">
        <x:v>通用</x:v>
      </x:c>
      <x:c r="F120" s="82" t="str">
        <x:v>维度状态</x:v>
      </x:c>
      <x:c r="G120" s="74" t="str">
        <x:v>CQ06 接受支持方式</x:v>
      </x:c>
      <x:c r="H120" s="74" t="str">
        <x:v>RC04 行动中接收</x:v>
      </x:c>
      <x:c r="I120" s="74" t="str">
        <x:v>劫财、七杀或共同行动路径成立。</x:v>
      </x:c>
      <x:c r="J120" s="74" t="str">
        <x:v>只有单一标签；source_id重复；基础信号失效或真合化已替换。</x:v>
      </x:c>
      <x:c r="K120" s="74" t="str">
        <x:v>由共享基础引擎与M3-STATE修正</x:v>
      </x:c>
      <x:c r="L120" s="74" t="str">
        <x:v>不限定；夫妻星仅在形成独立CARE证据或入宫接口时参与</x:v>
      </x:c>
      <x:c r="M120" s="74" t="str">
        <x:v>由M3-BASE、日支结构及共享引擎提供</x:v>
      </x:c>
      <x:c r="N120" s="74" t="str">
        <x:v>无／待CARE路径规则组合</x:v>
      </x:c>
      <x:c r="O120" s="74" t="str">
        <x:v>全局有效信号；日柱及亲密关系近位优先</x:v>
      </x:c>
      <x:c r="P120" s="74" t="str">
        <x:v>由共享基础引擎判定</x:v>
      </x:c>
      <x:c r="Q120" s="74" t="str">
        <x:v>由共享基础引擎判定</x:v>
      </x:c>
      <x:c r="R120" s="74" t="str">
        <x:v>喜忌不直接等于愿不愿付出；只修正调用顺畅度与资源压力</x:v>
      </x:c>
      <x:c r="S120" s="74" t="str">
        <x:v>原十神性质有效；真合化成立时按化神路由</x:v>
      </x:c>
      <x:c r="T120" s="74" t="str">
        <x:v>由共享基础引擎判定</x:v>
      </x:c>
      <x:c r="U120" s="74" t="str">
        <x:v>55</x:v>
      </x:c>
      <x:c r="V120" s="74" t="str">
        <x:v>候选 +5</x:v>
      </x:c>
      <x:c r="W120" s="74" t="str">
        <x:v>support_receiving_style</x:v>
      </x:c>
      <x:c r="X120" s="74" t="str">
        <x:v>劫财、七杀或共同任务使用户在一起处理事情的过程中接受帮助。</x:v>
      </x:c>
      <x:c r="Y120" s="74" t="str">
        <x:v>你更容易在双方一起做事、即时协作和真实解决问题时感受到自己正在被支持。</x:v>
      </x:c>
      <x:c r="Z120" s="74" t="str">
        <x:v>不得由本规则直接推出过度付出、付出失衡、依赖、控制、忠诚度、关系结果或适配度；不得把某种照顾方式等同于爱得更多或更少。</x:v>
      </x:c>
      <x:c r="AA120" s="74" t="str">
        <x:v>中</x:v>
      </x:c>
      <x:c r="AB120" s="74" t="str">
        <x:v>待验证</x:v>
      </x:c>
      <x:c r="AC120" s="74" t="str"/>
      <x:c r="AD120" s="74" t="str">
        <x:v>provisional=true; dimension=CQ06; state=RC04</x:v>
      </x:c>
      <x:c r="AE120" s="74" t="str">
        <x:v>0.4</x:v>
      </x:c>
    </x:row>
    <x:row r="121">
      <x:c r="A121" s="82" t="str">
        <x:v>M3-CARE-117</x:v>
      </x:c>
      <x:c r="B121" s="82" t="str">
        <x:v>CQ07 支持回馈结构｜FB01 即时往返</x:v>
      </x:c>
      <x:c r="C121" s="82" t="str">
        <x:v>L2 CARE过程维度</x:v>
      </x:c>
      <x:c r="D121" s="82" t="str">
        <x:v>CARE-过程维度</x:v>
      </x:c>
      <x:c r="E121" s="82" t="str">
        <x:v>通用</x:v>
      </x:c>
      <x:c r="F121" s="82" t="str">
        <x:v>维度状态</x:v>
      </x:c>
      <x:c r="G121" s="74" t="str">
        <x:v>CQ07 支持回馈结构</x:v>
      </x:c>
      <x:c r="H121" s="74" t="str">
        <x:v>FB01 即时往返</x:v>
      </x:c>
      <x:c r="I121" s="74" t="str">
        <x:v>劫财、偏财或双方互动证据成立。</x:v>
      </x:c>
      <x:c r="J121" s="74" t="str">
        <x:v>只有单一标签；source_id重复；基础信号失效或真合化已替换。</x:v>
      </x:c>
      <x:c r="K121" s="74" t="str">
        <x:v>由共享基础引擎与M3-STATE修正</x:v>
      </x:c>
      <x:c r="L121" s="74" t="str">
        <x:v>不限定；夫妻星仅在形成独立CARE证据或入宫接口时参与</x:v>
      </x:c>
      <x:c r="M121" s="74" t="str">
        <x:v>由M3-BASE、日支结构及共享引擎提供</x:v>
      </x:c>
      <x:c r="N121" s="74" t="str">
        <x:v>无／待CARE路径规则组合</x:v>
      </x:c>
      <x:c r="O121" s="74" t="str">
        <x:v>全局有效信号；日柱及亲密关系近位优先</x:v>
      </x:c>
      <x:c r="P121" s="74" t="str">
        <x:v>由共享基础引擎判定</x:v>
      </x:c>
      <x:c r="Q121" s="74" t="str">
        <x:v>由共享基础引擎判定</x:v>
      </x:c>
      <x:c r="R121" s="74" t="str">
        <x:v>喜忌不直接等于愿不愿付出；只修正调用顺畅度与资源压力</x:v>
      </x:c>
      <x:c r="S121" s="74" t="str">
        <x:v>原十神性质有效；真合化成立时按化神路由</x:v>
      </x:c>
      <x:c r="T121" s="74" t="str">
        <x:v>由共享基础引擎判定</x:v>
      </x:c>
      <x:c r="U121" s="74" t="str">
        <x:v>55</x:v>
      </x:c>
      <x:c r="V121" s="74" t="str">
        <x:v>候选 +5</x:v>
      </x:c>
      <x:c r="W121" s="74" t="str">
        <x:v>reciprocity_pattern</x:v>
      </x:c>
      <x:c r="X121" s="74" t="str">
        <x:v>互动、劫财、偏财或明显回应链使支持快速形成来回。</x:v>
      </x:c>
      <x:c r="Y121" s="74" t="str">
        <x:v>你们的支持更容易在即时回应和共同参与中形成来回。</x:v>
      </x:c>
      <x:c r="Z121" s="74" t="str">
        <x:v>不得由本规则直接推出过度付出、付出失衡、依赖、控制、忠诚度、关系结果或适配度；不得把某种照顾方式等同于爱得更多或更少。</x:v>
      </x:c>
      <x:c r="AA121" s="74" t="str">
        <x:v>中</x:v>
      </x:c>
      <x:c r="AB121" s="74" t="str">
        <x:v>待验证</x:v>
      </x:c>
      <x:c r="AC121" s="74" t="str"/>
      <x:c r="AD121" s="74" t="str">
        <x:v>provisional=true; dimension=CQ07; state=FB01</x:v>
      </x:c>
      <x:c r="AE121" s="74" t="str">
        <x:v>0.4</x:v>
      </x:c>
    </x:row>
    <x:row r="122">
      <x:c r="A122" s="82" t="str">
        <x:v>M3-CARE-118</x:v>
      </x:c>
      <x:c r="B122" s="82" t="str">
        <x:v>CQ07 支持回馈结构｜FB02 稳定互惠</x:v>
      </x:c>
      <x:c r="C122" s="82" t="str">
        <x:v>L2 CARE过程维度</x:v>
      </x:c>
      <x:c r="D122" s="82" t="str">
        <x:v>CARE-过程维度</x:v>
      </x:c>
      <x:c r="E122" s="82" t="str">
        <x:v>通用</x:v>
      </x:c>
      <x:c r="F122" s="82" t="str">
        <x:v>维度状态</x:v>
      </x:c>
      <x:c r="G122" s="74" t="str">
        <x:v>CQ07 支持回馈结构</x:v>
      </x:c>
      <x:c r="H122" s="74" t="str">
        <x:v>FB02 稳定互惠</x:v>
      </x:c>
      <x:c r="I122" s="74" t="str">
        <x:v>正财、正官、正印或稳定分工证据成立。</x:v>
      </x:c>
      <x:c r="J122" s="74" t="str">
        <x:v>只有单一标签；source_id重复；基础信号失效或真合化已替换。</x:v>
      </x:c>
      <x:c r="K122" s="74" t="str">
        <x:v>由共享基础引擎与M3-STATE修正</x:v>
      </x:c>
      <x:c r="L122" s="74" t="str">
        <x:v>不限定；夫妻星仅在形成独立CARE证据或入宫接口时参与</x:v>
      </x:c>
      <x:c r="M122" s="74" t="str">
        <x:v>由M3-BASE、日支结构及共享引擎提供</x:v>
      </x:c>
      <x:c r="N122" s="74" t="str">
        <x:v>无／待CARE路径规则组合</x:v>
      </x:c>
      <x:c r="O122" s="74" t="str">
        <x:v>全局有效信号；日柱及亲密关系近位优先</x:v>
      </x:c>
      <x:c r="P122" s="74" t="str">
        <x:v>由共享基础引擎判定</x:v>
      </x:c>
      <x:c r="Q122" s="74" t="str">
        <x:v>由共享基础引擎判定</x:v>
      </x:c>
      <x:c r="R122" s="74" t="str">
        <x:v>喜忌不直接等于愿不愿付出；只修正调用顺畅度与资源压力</x:v>
      </x:c>
      <x:c r="S122" s="74" t="str">
        <x:v>原十神性质有效；真合化成立时按化神路由</x:v>
      </x:c>
      <x:c r="T122" s="74" t="str">
        <x:v>由共享基础引擎判定</x:v>
      </x:c>
      <x:c r="U122" s="74" t="str">
        <x:v>55</x:v>
      </x:c>
      <x:c r="V122" s="74" t="str">
        <x:v>回馈 +6</x:v>
      </x:c>
      <x:c r="W122" s="74" t="str">
        <x:v>reciprocity_pattern</x:v>
      </x:c>
      <x:c r="X122" s="74" t="str">
        <x:v>正财、正官、正印或长期分工使支持以可预期方式互相回馈。</x:v>
      </x:c>
      <x:c r="Y122" s="74" t="str">
        <x:v>你更重视长期、可预期的互相支持，而不是只在某一次特别热烈。</x:v>
      </x:c>
      <x:c r="Z122" s="74" t="str">
        <x:v>不得由本规则直接推出过度付出、付出失衡、依赖、控制、忠诚度、关系结果或适配度；不得把某种照顾方式等同于爱得更多或更少。</x:v>
      </x:c>
      <x:c r="AA122" s="74" t="str">
        <x:v>中</x:v>
      </x:c>
      <x:c r="AB122" s="74" t="str">
        <x:v>待验证</x:v>
      </x:c>
      <x:c r="AC122" s="74" t="str"/>
      <x:c r="AD122" s="74" t="str">
        <x:v>provisional=true; dimension=CQ07; state=FB02</x:v>
      </x:c>
      <x:c r="AE122" s="74" t="str">
        <x:v>0.4</x:v>
      </x:c>
    </x:row>
    <x:row r="123">
      <x:c r="A123" s="82" t="str">
        <x:v>M3-CARE-119</x:v>
      </x:c>
      <x:c r="B123" s="82" t="str">
        <x:v>CQ07 支持回馈结构｜FB03 角色分工</x:v>
      </x:c>
      <x:c r="C123" s="82" t="str">
        <x:v>L2 CARE过程维度</x:v>
      </x:c>
      <x:c r="D123" s="82" t="str">
        <x:v>CARE-过程维度</x:v>
      </x:c>
      <x:c r="E123" s="82" t="str">
        <x:v>通用</x:v>
      </x:c>
      <x:c r="F123" s="82" t="str">
        <x:v>维度状态</x:v>
      </x:c>
      <x:c r="G123" s="74" t="str">
        <x:v>CQ07 支持回馈结构</x:v>
      </x:c>
      <x:c r="H123" s="74" t="str">
        <x:v>FB03 角色分工</x:v>
      </x:c>
      <x:c r="I123" s="74" t="str">
        <x:v>两项独立CARE通道功能不同，且没有同源重复。</x:v>
      </x:c>
      <x:c r="J123" s="74" t="str">
        <x:v>只有单一标签；source_id重复；基础信号失效或真合化已替换。</x:v>
      </x:c>
      <x:c r="K123" s="74" t="str">
        <x:v>由共享基础引擎与M3-STATE修正</x:v>
      </x:c>
      <x:c r="L123" s="74" t="str">
        <x:v>不限定；夫妻星仅在形成独立CARE证据或入宫接口时参与</x:v>
      </x:c>
      <x:c r="M123" s="74" t="str">
        <x:v>由M3-BASE、日支结构及共享引擎提供</x:v>
      </x:c>
      <x:c r="N123" s="74" t="str">
        <x:v>无／待CARE路径规则组合</x:v>
      </x:c>
      <x:c r="O123" s="74" t="str">
        <x:v>全局有效信号；日柱及亲密关系近位优先</x:v>
      </x:c>
      <x:c r="P123" s="74" t="str">
        <x:v>由共享基础引擎判定</x:v>
      </x:c>
      <x:c r="Q123" s="74" t="str">
        <x:v>由共享基础引擎判定</x:v>
      </x:c>
      <x:c r="R123" s="74" t="str">
        <x:v>喜忌不直接等于愿不愿付出；只修正调用顺畅度与资源压力</x:v>
      </x:c>
      <x:c r="S123" s="74" t="str">
        <x:v>原十神性质有效；真合化成立时按化神路由</x:v>
      </x:c>
      <x:c r="T123" s="74" t="str">
        <x:v>由共享基础引擎判定</x:v>
      </x:c>
      <x:c r="U123" s="74" t="str">
        <x:v>55</x:v>
      </x:c>
      <x:c r="V123" s="74" t="str">
        <x:v>候选 +5</x:v>
      </x:c>
      <x:c r="W123" s="74" t="str">
        <x:v>reciprocity_pattern</x:v>
      </x:c>
      <x:c r="X123" s="74" t="str">
        <x:v>不同通道在双方或不同事务中承担不同功能。</x:v>
      </x:c>
      <x:c r="Y123" s="74" t="str">
        <x:v>支持不一定完全对称，更可能形成清楚分工：一方负责某类事务，另一方负责另一类承接。</x:v>
      </x:c>
      <x:c r="Z123" s="74" t="str">
        <x:v>不得由本规则直接推出过度付出、付出失衡、依赖、控制、忠诚度、关系结果或适配度；不得把某种照顾方式等同于爱得更多或更少。</x:v>
      </x:c>
      <x:c r="AA123" s="74" t="str">
        <x:v>中</x:v>
      </x:c>
      <x:c r="AB123" s="74" t="str">
        <x:v>待验证</x:v>
      </x:c>
      <x:c r="AC123" s="74" t="str"/>
      <x:c r="AD123" s="74" t="str">
        <x:v>provisional=true; dimension=CQ07; state=FB03</x:v>
      </x:c>
      <x:c r="AE123" s="74" t="str">
        <x:v>0.4</x:v>
      </x:c>
    </x:row>
    <x:row r="124">
      <x:c r="A124" s="82" t="str">
        <x:v>M3-CARE-120</x:v>
      </x:c>
      <x:c r="B124" s="82" t="str">
        <x:v>CQ07 支持回馈结构｜FB04 反馈未定</x:v>
      </x:c>
      <x:c r="C124" s="82" t="str">
        <x:v>L2 CARE过程维度</x:v>
      </x:c>
      <x:c r="D124" s="82" t="str">
        <x:v>CARE-过程维度</x:v>
      </x:c>
      <x:c r="E124" s="82" t="str">
        <x:v>通用</x:v>
      </x:c>
      <x:c r="F124" s="82" t="str">
        <x:v>维度状态</x:v>
      </x:c>
      <x:c r="G124" s="74" t="str">
        <x:v>CQ07 支持回馈结构</x:v>
      </x:c>
      <x:c r="H124" s="74" t="str">
        <x:v>FB04 反馈未定</x:v>
      </x:c>
      <x:c r="I124" s="74" t="str">
        <x:v>缺少伴侣反馈、独立双向证据或交换链不完整。</x:v>
      </x:c>
      <x:c r="J124" s="74" t="str">
        <x:v>只有单一标签；source_id重复；基础信号失效或真合化已替换。</x:v>
      </x:c>
      <x:c r="K124" s="74" t="str">
        <x:v>由共享基础引擎与M3-STATE修正</x:v>
      </x:c>
      <x:c r="L124" s="74" t="str">
        <x:v>不限定；夫妻星仅在形成独立CARE证据或入宫接口时参与</x:v>
      </x:c>
      <x:c r="M124" s="74" t="str">
        <x:v>由M3-BASE、日支结构及共享引擎提供</x:v>
      </x:c>
      <x:c r="N124" s="74" t="str">
        <x:v>无／待CARE路径规则组合</x:v>
      </x:c>
      <x:c r="O124" s="74" t="str">
        <x:v>全局有效信号；日柱及亲密关系近位优先</x:v>
      </x:c>
      <x:c r="P124" s="74" t="str">
        <x:v>由共享基础引擎判定</x:v>
      </x:c>
      <x:c r="Q124" s="74" t="str">
        <x:v>由共享基础引擎判定</x:v>
      </x:c>
      <x:c r="R124" s="74" t="str">
        <x:v>喜忌不直接等于愿不愿付出；只修正调用顺畅度与资源压力</x:v>
      </x:c>
      <x:c r="S124" s="74" t="str">
        <x:v>原十神性质有效；真合化成立时按化神路由</x:v>
      </x:c>
      <x:c r="T124" s="74" t="str">
        <x:v>由共享基础引擎判定</x:v>
      </x:c>
      <x:c r="U124" s="74" t="str">
        <x:v>55</x:v>
      </x:c>
      <x:c r="V124" s="74" t="str">
        <x:v>不加分；降置信</x:v>
      </x:c>
      <x:c r="W124" s="74" t="str">
        <x:v>reciprocity_pattern</x:v>
      </x:c>
      <x:c r="X124" s="74" t="str">
        <x:v>只有单向自述、无伴侣反馈或同源证据重复时，不判断互惠结构。</x:v>
      </x:c>
      <x:c r="Y124" s="74" t="str">
        <x:v>目前能看见你的支持方式，但双方怎样回应和回馈仍需要真实相处信息。</x:v>
      </x:c>
      <x:c r="Z124" s="74" t="str">
        <x:v>不得由本规则直接推出过度付出、付出失衡、依赖、控制、忠诚度、关系结果或适配度；不得把某种照顾方式等同于爱得更多或更少。</x:v>
      </x:c>
      <x:c r="AA124" s="74" t="str">
        <x:v>中低</x:v>
      </x:c>
      <x:c r="AB124" s="74" t="str">
        <x:v>待验证</x:v>
      </x:c>
      <x:c r="AC124" s="74" t="str"/>
      <x:c r="AD124" s="74" t="str">
        <x:v>provisional=true; dimension=CQ07; state=FB04</x:v>
      </x:c>
      <x:c r="AE124" s="74" t="str">
        <x:v>0.4</x:v>
      </x:c>
    </x:row>
    <x:row r="125">
      <x:c r="A125" s="82" t="str">
        <x:v>M3-CARE-121</x:v>
      </x:c>
      <x:c r="B125" s="82" t="str">
        <x:v>CQ08 资源边界｜RB01 分工清楚</x:v>
      </x:c>
      <x:c r="C125" s="82" t="str">
        <x:v>L2 CARE过程维度</x:v>
      </x:c>
      <x:c r="D125" s="82" t="str">
        <x:v>CARE-过程维度</x:v>
      </x:c>
      <x:c r="E125" s="82" t="str">
        <x:v>通用</x:v>
      </x:c>
      <x:c r="F125" s="82" t="str">
        <x:v>维度状态</x:v>
      </x:c>
      <x:c r="G125" s="74" t="str">
        <x:v>CQ08 资源边界</x:v>
      </x:c>
      <x:c r="H125" s="74" t="str">
        <x:v>RB01 分工清楚</x:v>
      </x:c>
      <x:c r="I125" s="74" t="str">
        <x:v>比肩、正官、正财或清楚分工证据有效。</x:v>
      </x:c>
      <x:c r="J125" s="74" t="str">
        <x:v>只有单一标签；source_id重复；基础信号失效或真合化已替换。</x:v>
      </x:c>
      <x:c r="K125" s="74" t="str">
        <x:v>由共享基础引擎与M3-STATE修正</x:v>
      </x:c>
      <x:c r="L125" s="74" t="str">
        <x:v>不限定；夫妻星仅在形成独立CARE证据或入宫接口时参与</x:v>
      </x:c>
      <x:c r="M125" s="74" t="str">
        <x:v>由M3-BASE、日支结构及共享引擎提供</x:v>
      </x:c>
      <x:c r="N125" s="74" t="str">
        <x:v>无／待CARE路径规则组合</x:v>
      </x:c>
      <x:c r="O125" s="74" t="str">
        <x:v>全局有效信号；日柱及亲密关系近位优先</x:v>
      </x:c>
      <x:c r="P125" s="74" t="str">
        <x:v>由共享基础引擎判定</x:v>
      </x:c>
      <x:c r="Q125" s="74" t="str">
        <x:v>由共享基础引擎判定</x:v>
      </x:c>
      <x:c r="R125" s="74" t="str">
        <x:v>喜忌不直接等于愿不愿付出；只修正调用顺畅度与资源压力</x:v>
      </x:c>
      <x:c r="S125" s="74" t="str">
        <x:v>原十神性质有效；真合化成立时按化神路由</x:v>
      </x:c>
      <x:c r="T125" s="74" t="str">
        <x:v>由共享基础引擎判定</x:v>
      </x:c>
      <x:c r="U125" s="74" t="str">
        <x:v>55</x:v>
      </x:c>
      <x:c r="V125" s="74" t="str">
        <x:v>候选 +5</x:v>
      </x:c>
      <x:c r="W125" s="74" t="str">
        <x:v>resource_boundary_note</x:v>
      </x:c>
      <x:c r="X125" s="74" t="str">
        <x:v>比肩、正官、正财或明确责任边界支持资源分配可被说明。</x:v>
      </x:c>
      <x:c r="Y125" s="74" t="str">
        <x:v>你更容易在分工、时间和责任说清楚以后稳定投入。</x:v>
      </x:c>
      <x:c r="Z125" s="74" t="str">
        <x:v>不得由本规则直接推出过度付出、付出失衡、依赖、控制、忠诚度、关系结果或适配度；不得把某种照顾方式等同于爱得更多或更少。</x:v>
      </x:c>
      <x:c r="AA125" s="74" t="str">
        <x:v>中</x:v>
      </x:c>
      <x:c r="AB125" s="74" t="str">
        <x:v>待验证</x:v>
      </x:c>
      <x:c r="AC125" s="74" t="str"/>
      <x:c r="AD125" s="74" t="str">
        <x:v>provisional=true; dimension=CQ08; state=RB01</x:v>
      </x:c>
      <x:c r="AE125" s="74" t="str">
        <x:v>0.4</x:v>
      </x:c>
    </x:row>
    <x:row r="126">
      <x:c r="A126" s="82" t="str">
        <x:v>M3-CARE-122</x:v>
      </x:c>
      <x:c r="B126" s="82" t="str">
        <x:v>CQ08 资源边界｜RB02 弹性调配</x:v>
      </x:c>
      <x:c r="C126" s="82" t="str">
        <x:v>L2 CARE过程维度</x:v>
      </x:c>
      <x:c r="D126" s="82" t="str">
        <x:v>CARE-过程维度</x:v>
      </x:c>
      <x:c r="E126" s="82" t="str">
        <x:v>通用</x:v>
      </x:c>
      <x:c r="F126" s="82" t="str">
        <x:v>维度状态</x:v>
      </x:c>
      <x:c r="G126" s="74" t="str">
        <x:v>CQ08 资源边界</x:v>
      </x:c>
      <x:c r="H126" s="74" t="str">
        <x:v>RB02 弹性调配</x:v>
      </x:c>
      <x:c r="I126" s="74" t="str">
        <x:v>偏财、劫财或情境切换证据有效。</x:v>
      </x:c>
      <x:c r="J126" s="74" t="str">
        <x:v>只有单一标签；source_id重复；基础信号失效或真合化已替换。</x:v>
      </x:c>
      <x:c r="K126" s="74" t="str">
        <x:v>由共享基础引擎与M3-STATE修正</x:v>
      </x:c>
      <x:c r="L126" s="74" t="str">
        <x:v>不限定；夫妻星仅在形成独立CARE证据或入宫接口时参与</x:v>
      </x:c>
      <x:c r="M126" s="74" t="str">
        <x:v>由M3-BASE、日支结构及共享引擎提供</x:v>
      </x:c>
      <x:c r="N126" s="74" t="str">
        <x:v>无／待CARE路径规则组合</x:v>
      </x:c>
      <x:c r="O126" s="74" t="str">
        <x:v>全局有效信号；日柱及亲密关系近位优先</x:v>
      </x:c>
      <x:c r="P126" s="74" t="str">
        <x:v>由共享基础引擎判定</x:v>
      </x:c>
      <x:c r="Q126" s="74" t="str">
        <x:v>由共享基础引擎判定</x:v>
      </x:c>
      <x:c r="R126" s="74" t="str">
        <x:v>喜忌不直接等于愿不愿付出；只修正调用顺畅度与资源压力</x:v>
      </x:c>
      <x:c r="S126" s="74" t="str">
        <x:v>原十神性质有效；真合化成立时按化神路由</x:v>
      </x:c>
      <x:c r="T126" s="74" t="str">
        <x:v>由共享基础引擎判定</x:v>
      </x:c>
      <x:c r="U126" s="74" t="str">
        <x:v>55</x:v>
      </x:c>
      <x:c r="V126" s="74" t="str">
        <x:v>候选 +5</x:v>
      </x:c>
      <x:c r="W126" s="74" t="str">
        <x:v>resource_boundary_note</x:v>
      </x:c>
      <x:c r="X126" s="74" t="str">
        <x:v>偏财、劫财或情境支持使资源随当下需要灵活调整。</x:v>
      </x:c>
      <x:c r="Y126" s="74" t="str">
        <x:v>你的投入更可能随着当下需要灵活变化，不一定每次都采用固定分工。</x:v>
      </x:c>
      <x:c r="Z126" s="74" t="str">
        <x:v>不得由本规则直接推出过度付出、付出失衡、依赖、控制、忠诚度、关系结果或适配度；不得把某种照顾方式等同于爱得更多或更少。</x:v>
      </x:c>
      <x:c r="AA126" s="74" t="str">
        <x:v>中</x:v>
      </x:c>
      <x:c r="AB126" s="74" t="str">
        <x:v>待验证</x:v>
      </x:c>
      <x:c r="AC126" s="74" t="str"/>
      <x:c r="AD126" s="74" t="str">
        <x:v>provisional=true; dimension=CQ08; state=RB02</x:v>
      </x:c>
      <x:c r="AE126" s="74" t="str">
        <x:v>0.4</x:v>
      </x:c>
    </x:row>
    <x:row r="127">
      <x:c r="A127" s="82" t="str">
        <x:v>M3-CARE-123</x:v>
      </x:c>
      <x:c r="B127" s="82" t="str">
        <x:v>CQ08 资源边界｜RB03 边界需后续判断</x:v>
      </x:c>
      <x:c r="C127" s="82" t="str">
        <x:v>L2 CARE过程维度</x:v>
      </x:c>
      <x:c r="D127" s="82" t="str">
        <x:v>CARE-过程维度</x:v>
      </x:c>
      <x:c r="E127" s="82" t="str">
        <x:v>通用</x:v>
      </x:c>
      <x:c r="F127" s="82" t="str">
        <x:v>维度状态</x:v>
      </x:c>
      <x:c r="G127" s="74" t="str">
        <x:v>CQ08 资源边界</x:v>
      </x:c>
      <x:c r="H127" s="74" t="str">
        <x:v>RB03 边界需后续判断</x:v>
      </x:c>
      <x:c r="I127" s="74" t="str">
        <x:v>缺少M3-BOUND独立证据，或出现过旺失衡候选。</x:v>
      </x:c>
      <x:c r="J127" s="74" t="str">
        <x:v>只有单一标签；source_id重复；基础信号失效或真合化已替换。</x:v>
      </x:c>
      <x:c r="K127" s="74" t="str">
        <x:v>由共享基础引擎与M3-STATE修正</x:v>
      </x:c>
      <x:c r="L127" s="74" t="str">
        <x:v>不限定；夫妻星仅在形成独立CARE证据或入宫接口时参与</x:v>
      </x:c>
      <x:c r="M127" s="74" t="str">
        <x:v>由M3-BASE、日支结构及共享引擎提供</x:v>
      </x:c>
      <x:c r="N127" s="74" t="str">
        <x:v>无／待CARE路径规则组合</x:v>
      </x:c>
      <x:c r="O127" s="74" t="str">
        <x:v>全局有效信号；日柱及亲密关系近位优先</x:v>
      </x:c>
      <x:c r="P127" s="74" t="str">
        <x:v>由共享基础引擎判定</x:v>
      </x:c>
      <x:c r="Q127" s="74" t="str">
        <x:v>由共享基础引擎判定</x:v>
      </x:c>
      <x:c r="R127" s="74" t="str">
        <x:v>喜忌不直接等于愿不愿付出；只修正调用顺畅度与资源压力</x:v>
      </x:c>
      <x:c r="S127" s="74" t="str">
        <x:v>原十神性质有效；真合化成立时按化神路由</x:v>
      </x:c>
      <x:c r="T127" s="74" t="str">
        <x:v>由共享基础引擎判定</x:v>
      </x:c>
      <x:c r="U127" s="74" t="str">
        <x:v>55</x:v>
      </x:c>
      <x:c r="V127" s="74" t="str">
        <x:v>不加分；路由BOUND/M4</x:v>
      </x:c>
      <x:c r="W127" s="74" t="str">
        <x:v>resource_boundary_note</x:v>
      </x:c>
      <x:c r="X127" s="74" t="str">
        <x:v>CARE只能看到投入方向，无法确认权限、拒绝能力或资源耗竭。</x:v>
      </x:c>
      <x:c r="Y127" s="74" t="str">
        <x:v>目前可以说明你会怎样投入，但投入到什么程度、何时停止，需要在边界与风险模型中继续判断。</x:v>
      </x:c>
      <x:c r="Z127" s="74" t="str">
        <x:v>不得由本规则直接推出过度付出、付出失衡、依赖、控制、忠诚度、关系结果或适配度；不得把某种照顾方式等同于爱得更多或更少。</x:v>
      </x:c>
      <x:c r="AA127" s="74" t="str">
        <x:v>高</x:v>
      </x:c>
      <x:c r="AB127" s="74" t="str">
        <x:v>待验证</x:v>
      </x:c>
      <x:c r="AC127" s="74" t="str"/>
      <x:c r="AD127" s="74" t="str">
        <x:v>provisional=true; dimension=CQ08; state=RB03</x:v>
      </x:c>
      <x:c r="AE127" s="74" t="str">
        <x:v>0.4</x:v>
      </x:c>
    </x:row>
    <x:row r="128">
      <x:c r="A128" s="82" t="str">
        <x:v>M3-CARE-124</x:v>
      </x:c>
      <x:c r="B128" s="82" t="str">
        <x:v>CQ09 状态切换｜ST01 平稳通道持续</x:v>
      </x:c>
      <x:c r="C128" s="82" t="str">
        <x:v>L2 CARE过程维度</x:v>
      </x:c>
      <x:c r="D128" s="82" t="str">
        <x:v>CARE-过程维度</x:v>
      </x:c>
      <x:c r="E128" s="82" t="str">
        <x:v>通用</x:v>
      </x:c>
      <x:c r="F128" s="82" t="str">
        <x:v>维度状态</x:v>
      </x:c>
      <x:c r="G128" s="74" t="str">
        <x:v>CQ09 状态切换</x:v>
      </x:c>
      <x:c r="H128" s="74" t="str">
        <x:v>ST01 平稳通道持续</x:v>
      </x:c>
      <x:c r="I128" s="74" t="str">
        <x:v>主CARE通道在平稳与压力状态均有效。</x:v>
      </x:c>
      <x:c r="J128" s="74" t="str">
        <x:v>只有单一标签；source_id重复；基础信号失效或真合化已替换。</x:v>
      </x:c>
      <x:c r="K128" s="74" t="str">
        <x:v>由共享基础引擎与M3-STATE修正</x:v>
      </x:c>
      <x:c r="L128" s="74" t="str">
        <x:v>不限定；夫妻星仅在形成独立CARE证据或入宫接口时参与</x:v>
      </x:c>
      <x:c r="M128" s="74" t="str">
        <x:v>由M3-BASE、日支结构及共享引擎提供</x:v>
      </x:c>
      <x:c r="N128" s="74" t="str">
        <x:v>无／待CARE路径规则组合</x:v>
      </x:c>
      <x:c r="O128" s="74" t="str">
        <x:v>全局有效信号；日柱及亲密关系近位优先</x:v>
      </x:c>
      <x:c r="P128" s="74" t="str">
        <x:v>由共享基础引擎判定</x:v>
      </x:c>
      <x:c r="Q128" s="74" t="str">
        <x:v>由共享基础引擎判定</x:v>
      </x:c>
      <x:c r="R128" s="74" t="str">
        <x:v>喜忌不直接等于愿不愿付出；只修正调用顺畅度与资源压力</x:v>
      </x:c>
      <x:c r="S128" s="74" t="str">
        <x:v>原十神性质有效；真合化成立时按化神路由</x:v>
      </x:c>
      <x:c r="T128" s="74" t="str">
        <x:v>由共享基础引擎判定</x:v>
      </x:c>
      <x:c r="U128" s="74" t="str">
        <x:v>55</x:v>
      </x:c>
      <x:c r="V128" s="74" t="str">
        <x:v>候选 +5</x:v>
      </x:c>
      <x:c r="W128" s="74" t="str">
        <x:v>state_shift</x:v>
      </x:c>
      <x:c r="X128" s="74" t="str">
        <x:v>平稳与压力情境读取同一主通道，且有根或独立重复支持。</x:v>
      </x:c>
      <x:c r="Y128" s="74" t="str">
        <x:v>日常和压力增加时，你仍倾向使用相近的支持方式，只是强度可能变化。</x:v>
      </x:c>
      <x:c r="Z128" s="74" t="str">
        <x:v>不得由本规则直接推出过度付出、付出失衡、依赖、控制、忠诚度、关系结果或适配度；不得把某种照顾方式等同于爱得更多或更少。</x:v>
      </x:c>
      <x:c r="AA128" s="74" t="str">
        <x:v>中</x:v>
      </x:c>
      <x:c r="AB128" s="74" t="str">
        <x:v>待验证</x:v>
      </x:c>
      <x:c r="AC128" s="74" t="str"/>
      <x:c r="AD128" s="74" t="str">
        <x:v>provisional=true; dimension=CQ09; state=ST01</x:v>
      </x:c>
      <x:c r="AE128" s="74" t="str">
        <x:v>0.4</x:v>
      </x:c>
    </x:row>
    <x:row r="129">
      <x:c r="A129" s="82" t="str">
        <x:v>M3-CARE-125</x:v>
      </x:c>
      <x:c r="B129" s="82" t="str">
        <x:v>CQ09 状态切换｜ST02 压力通道抢先</x:v>
      </x:c>
      <x:c r="C129" s="82" t="str">
        <x:v>L2 CARE过程维度</x:v>
      </x:c>
      <x:c r="D129" s="82" t="str">
        <x:v>CARE-过程维度</x:v>
      </x:c>
      <x:c r="E129" s="82" t="str">
        <x:v>通用</x:v>
      </x:c>
      <x:c r="F129" s="82" t="str">
        <x:v>维度状态</x:v>
      </x:c>
      <x:c r="G129" s="74" t="str">
        <x:v>CQ09 状态切换</x:v>
      </x:c>
      <x:c r="H129" s="74" t="str">
        <x:v>ST02 压力通道抢先</x:v>
      </x:c>
      <x:c r="I129" s="74" t="str">
        <x:v>M3-STATE提供独立压力切换证据。</x:v>
      </x:c>
      <x:c r="J129" s="74" t="str">
        <x:v>只有单一标签；source_id重复；基础信号失效或真合化已替换。</x:v>
      </x:c>
      <x:c r="K129" s="74" t="str">
        <x:v>由共享基础引擎与M3-STATE修正</x:v>
      </x:c>
      <x:c r="L129" s="74" t="str">
        <x:v>不限定；夫妻星仅在形成独立CARE证据或入宫接口时参与</x:v>
      </x:c>
      <x:c r="M129" s="74" t="str">
        <x:v>由M3-BASE、日支结构及共享引擎提供</x:v>
      </x:c>
      <x:c r="N129" s="74" t="str">
        <x:v>无／待CARE路径规则组合</x:v>
      </x:c>
      <x:c r="O129" s="74" t="str">
        <x:v>全局有效信号；日柱及亲密关系近位优先</x:v>
      </x:c>
      <x:c r="P129" s="74" t="str">
        <x:v>由共享基础引擎判定</x:v>
      </x:c>
      <x:c r="Q129" s="74" t="str">
        <x:v>由共享基础引擎判定</x:v>
      </x:c>
      <x:c r="R129" s="74" t="str">
        <x:v>喜忌不直接等于愿不愿付出；只修正调用顺畅度与资源压力</x:v>
      </x:c>
      <x:c r="S129" s="74" t="str">
        <x:v>原十神性质有效；真合化成立时按化神路由</x:v>
      </x:c>
      <x:c r="T129" s="74" t="str">
        <x:v>由共享基础引擎判定</x:v>
      </x:c>
      <x:c r="U129" s="74" t="str">
        <x:v>55</x:v>
      </x:c>
      <x:c r="V129" s="74" t="str">
        <x:v>候选 +5</x:v>
      </x:c>
      <x:c r="W129" s="74" t="str">
        <x:v>state_shift</x:v>
      </x:c>
      <x:c r="X129" s="74" t="str">
        <x:v>官杀、劫财或特定通道在压力下抢先，但平稳主通道仍保留。</x:v>
      </x:c>
      <x:c r="Y129" s="74" t="str">
        <x:v>平时你可能更温和或稳定地照顾关系，压力增加时会先转向处理问题、承担或快速协作。</x:v>
      </x:c>
      <x:c r="Z129" s="74" t="str">
        <x:v>不得由本规则直接推出过度付出、付出失衡、依赖、控制、忠诚度、关系结果或适配度；不得把某种照顾方式等同于爱得更多或更少。</x:v>
      </x:c>
      <x:c r="AA129" s="74" t="str">
        <x:v>中</x:v>
      </x:c>
      <x:c r="AB129" s="74" t="str">
        <x:v>待验证</x:v>
      </x:c>
      <x:c r="AC129" s="74" t="str"/>
      <x:c r="AD129" s="74" t="str">
        <x:v>provisional=true; dimension=CQ09; state=ST02</x:v>
      </x:c>
      <x:c r="AE129" s="74" t="str">
        <x:v>0.4</x:v>
      </x:c>
    </x:row>
    <x:row r="130">
      <x:c r="A130" s="82" t="str">
        <x:v>M3-CARE-126</x:v>
      </x:c>
      <x:c r="B130" s="82" t="str">
        <x:v>CQ09 状态切换｜ST03 恢复后回归</x:v>
      </x:c>
      <x:c r="C130" s="82" t="str">
        <x:v>L2 CARE过程维度</x:v>
      </x:c>
      <x:c r="D130" s="82" t="str">
        <x:v>CARE-过程维度</x:v>
      </x:c>
      <x:c r="E130" s="82" t="str">
        <x:v>通用</x:v>
      </x:c>
      <x:c r="F130" s="82" t="str">
        <x:v>维度状态</x:v>
      </x:c>
      <x:c r="G130" s="74" t="str">
        <x:v>CQ09 状态切换</x:v>
      </x:c>
      <x:c r="H130" s="74" t="str">
        <x:v>ST03 恢复后回归</x:v>
      </x:c>
      <x:c r="I130" s="74" t="str">
        <x:v>存在有效恢复链或M3-STATE回归证据。</x:v>
      </x:c>
      <x:c r="J130" s="74" t="str">
        <x:v>只有单一标签；source_id重复；基础信号失效或真合化已替换。</x:v>
      </x:c>
      <x:c r="K130" s="74" t="str">
        <x:v>由共享基础引擎与M3-STATE修正</x:v>
      </x:c>
      <x:c r="L130" s="74" t="str">
        <x:v>不限定；夫妻星仅在形成独立CARE证据或入宫接口时参与</x:v>
      </x:c>
      <x:c r="M130" s="74" t="str">
        <x:v>由M3-BASE、日支结构及共享引擎提供</x:v>
      </x:c>
      <x:c r="N130" s="74" t="str">
        <x:v>无／待CARE路径规则组合</x:v>
      </x:c>
      <x:c r="O130" s="74" t="str">
        <x:v>全局有效信号；日柱及亲密关系近位优先</x:v>
      </x:c>
      <x:c r="P130" s="74" t="str">
        <x:v>由共享基础引擎判定</x:v>
      </x:c>
      <x:c r="Q130" s="74" t="str">
        <x:v>由共享基础引擎判定</x:v>
      </x:c>
      <x:c r="R130" s="74" t="str">
        <x:v>喜忌不直接等于愿不愿付出；只修正调用顺畅度与资源压力</x:v>
      </x:c>
      <x:c r="S130" s="74" t="str">
        <x:v>原十神性质有效；真合化成立时按化神路由</x:v>
      </x:c>
      <x:c r="T130" s="74" t="str">
        <x:v>由共享基础引擎判定</x:v>
      </x:c>
      <x:c r="U130" s="74" t="str">
        <x:v>55</x:v>
      </x:c>
      <x:c r="V130" s="74" t="str">
        <x:v>候选 +5</x:v>
      </x:c>
      <x:c r="W130" s="74" t="str">
        <x:v>state_shift</x:v>
      </x:c>
      <x:c r="X130" s="74" t="str">
        <x:v>压力通道完成任务后，系统回到印、食神、财或原主CARE通道。</x:v>
      </x:c>
      <x:c r="Y130" s="74" t="str">
        <x:v>事情稳定以后，你更容易回到原本的陪伴、沟通或日常经营方式。</x:v>
      </x:c>
      <x:c r="Z130" s="74" t="str">
        <x:v>不得由本规则直接推出过度付出、付出失衡、依赖、控制、忠诚度、关系结果或适配度；不得把某种照顾方式等同于爱得更多或更少。</x:v>
      </x:c>
      <x:c r="AA130" s="74" t="str">
        <x:v>中</x:v>
      </x:c>
      <x:c r="AB130" s="74" t="str">
        <x:v>待验证</x:v>
      </x:c>
      <x:c r="AC130" s="74" t="str"/>
      <x:c r="AD130" s="74" t="str">
        <x:v>provisional=true; dimension=CQ09; state=ST03</x:v>
      </x:c>
      <x:c r="AE130" s="74" t="str">
        <x:v>0.4</x:v>
      </x:c>
    </x:row>
    <x:row r="131">
      <x:c r="A131" s="84" t="str">
        <x:v>M3-CARE-127</x:v>
      </x:c>
      <x:c r="B131" s="84" t="str">
        <x:v>CP01 主动投入型｜模式定义</x:v>
      </x:c>
      <x:c r="C131" s="84" t="str">
        <x:v>L3 CARE模式与路径</x:v>
      </x:c>
      <x:c r="D131" s="84" t="str">
        <x:v>CARE-付出模式</x:v>
      </x:c>
      <x:c r="E131" s="84" t="str">
        <x:v>通用</x:v>
      </x:c>
      <x:c r="F131" s="84" t="str">
        <x:v>模式定义</x:v>
      </x:c>
      <x:c r="G131" s="74" t="str">
        <x:v>CP01 主动投入型</x:v>
      </x:c>
      <x:c r="H131" s="74" t="str"/>
      <x:c r="I131" s="74" t="str">
        <x:v>主CARE通道外显近位；G01主动投入成立；有至少一项稳定行为证据。</x:v>
      </x:c>
      <x:c r="J131" s="74" t="str">
        <x:v>只有单一弱远信号；source_id重复；基础状态未定。</x:v>
      </x:c>
      <x:c r="K131" s="74" t="str">
        <x:v>由共享基础引擎与M3-STATE修正</x:v>
      </x:c>
      <x:c r="L131" s="74" t="str">
        <x:v>不限定；夫妻星仅在形成独立CARE证据或入宫接口时参与</x:v>
      </x:c>
      <x:c r="M131" s="74" t="str">
        <x:v>由M3-BASE、日支结构及共享引擎提供</x:v>
      </x:c>
      <x:c r="N131" s="74" t="str">
        <x:v>无／待CARE路径规则组合</x:v>
      </x:c>
      <x:c r="O131" s="74" t="str">
        <x:v>全局有效信号；日柱及亲密关系近位优先</x:v>
      </x:c>
      <x:c r="P131" s="74" t="str">
        <x:v>由共享基础引擎判定</x:v>
      </x:c>
      <x:c r="Q131" s="74" t="str">
        <x:v>由共享基础引擎判定</x:v>
      </x:c>
      <x:c r="R131" s="74" t="str">
        <x:v>喜忌不直接等于愿不愿付出；只修正调用顺畅度与资源压力</x:v>
      </x:c>
      <x:c r="S131" s="74" t="str">
        <x:v>原十神性质有效；真合化成立时按化神路由</x:v>
      </x:c>
      <x:c r="T131" s="74" t="str">
        <x:v>由共享基础引擎判定</x:v>
      </x:c>
      <x:c r="U131" s="74" t="str">
        <x:v>67</x:v>
      </x:c>
      <x:c r="V131" s="74" t="str">
        <x:v>模式候选 +10</x:v>
      </x:c>
      <x:c r="W131" s="74" t="str">
        <x:v>care_pattern</x:v>
      </x:c>
      <x:c r="X131" s="74" t="str">
        <x:v>用户较容易先注意关系需要并启动照顾、安排或支持。</x:v>
      </x:c>
      <x:c r="Y131" s="74" t="str">
        <x:v>当你认定关系需要被照顾时，通常会较早主动安排、询问或承担。</x:v>
      </x:c>
      <x:c r="Z131" s="74" t="str">
        <x:v>不得由本规则直接推出过度付出、付出失衡、依赖、控制、忠诚度、关系结果或适配度；不得把某种照顾方式等同于爱得更多或更少。</x:v>
      </x:c>
      <x:c r="AA131" s="74" t="str">
        <x:v>中高</x:v>
      </x:c>
      <x:c r="AB131" s="74" t="str">
        <x:v>待验证</x:v>
      </x:c>
      <x:c r="AC131" s="74" t="str"/>
      <x:c r="AD131" s="74" t="str">
        <x:v>provisional=true; pattern=CP01; aspect=definition</x:v>
      </x:c>
      <x:c r="AE131" s="74" t="str">
        <x:v>0.4</x:v>
      </x:c>
    </x:row>
    <x:row r="132">
      <x:c r="A132" s="84" t="str">
        <x:v>M3-CARE-128</x:v>
      </x:c>
      <x:c r="B132" s="84" t="str">
        <x:v>CP01 主动投入型｜成立与输出门槛</x:v>
      </x:c>
      <x:c r="C132" s="84" t="str">
        <x:v>L3 CARE模式与路径</x:v>
      </x:c>
      <x:c r="D132" s="84" t="str">
        <x:v>CARE-付出模式</x:v>
      </x:c>
      <x:c r="E132" s="84" t="str">
        <x:v>通用</x:v>
      </x:c>
      <x:c r="F132" s="84" t="str">
        <x:v>模式门槛</x:v>
      </x:c>
      <x:c r="G132" s="74" t="str">
        <x:v>CP01 主动投入型</x:v>
      </x:c>
      <x:c r="H132" s="74" t="str"/>
      <x:c r="I132" s="74" t="str">
        <x:v>主CARE通道外显近位；G01主动投入成立；有至少一项稳定行为证据。；至少有两类证据或一类高权威近位证据与行为验证。</x:v>
      </x:c>
      <x:c r="J132" s="74" t="str">
        <x:v>仅由一个十神标签推断；与另一候选分差不足且无功能区分。</x:v>
      </x:c>
      <x:c r="K132" s="74" t="str">
        <x:v>由共享基础引擎与M3-STATE修正</x:v>
      </x:c>
      <x:c r="L132" s="74" t="str">
        <x:v>不限定；夫妻星仅在形成独立CARE证据或入宫接口时参与</x:v>
      </x:c>
      <x:c r="M132" s="74" t="str">
        <x:v>由M3-BASE、日支结构及共享引擎提供</x:v>
      </x:c>
      <x:c r="N132" s="74" t="str">
        <x:v>无／待CARE路径规则组合</x:v>
      </x:c>
      <x:c r="O132" s="74" t="str">
        <x:v>全局有效信号；日柱及亲密关系近位优先</x:v>
      </x:c>
      <x:c r="P132" s="74" t="str">
        <x:v>由共享基础引擎判定</x:v>
      </x:c>
      <x:c r="Q132" s="74" t="str">
        <x:v>由共享基础引擎判定</x:v>
      </x:c>
      <x:c r="R132" s="74" t="str">
        <x:v>喜忌不直接等于愿不愿付出；只修正调用顺畅度与资源压力</x:v>
      </x:c>
      <x:c r="S132" s="74" t="str">
        <x:v>原十神性质有效；真合化成立时按化神路由</x:v>
      </x:c>
      <x:c r="T132" s="74" t="str">
        <x:v>由共享基础引擎判定</x:v>
      </x:c>
      <x:c r="U132" s="74" t="str">
        <x:v>66</x:v>
      </x:c>
      <x:c r="V132" s="74" t="str">
        <x:v>达到门槛后写入主模式；否则降为候选</x:v>
      </x:c>
      <x:c r="W132" s="74" t="str">
        <x:v>care_pattern</x:v>
      </x:c>
      <x:c r="X132" s="74" t="str">
        <x:v>主动投入型只有在启动方向、内容与连续性至少两项互相支持时成立，不能由单一标签直接确定。</x:v>
      </x:c>
      <x:c r="Y132" s="74" t="str">
        <x:v>当你认定关系需要被照顾时，通常会较早主动安排、询问或承担。 这一判断看的是支持如何启动和持续，不代表其他方式缺失。</x:v>
      </x:c>
      <x:c r="Z132" s="74" t="str">
        <x:v>不得由本规则直接推出过度付出、付出失衡、依赖、控制、忠诚度、关系结果或适配度；不得把某种照顾方式等同于爱得更多或更少。</x:v>
      </x:c>
      <x:c r="AA132" s="74" t="str">
        <x:v>中</x:v>
      </x:c>
      <x:c r="AB132" s="74" t="str">
        <x:v>待验证</x:v>
      </x:c>
      <x:c r="AC132" s="74" t="str"/>
      <x:c r="AD132" s="74" t="str">
        <x:v>provisional=true; pattern=CP01; aspect=threshold</x:v>
      </x:c>
      <x:c r="AE132" s="74" t="str">
        <x:v>0.4</x:v>
      </x:c>
    </x:row>
    <x:row r="133">
      <x:c r="A133" s="84" t="str">
        <x:v>M3-CARE-129</x:v>
      </x:c>
      <x:c r="B133" s="84" t="str">
        <x:v>CP02 回应式支持型｜模式定义</x:v>
      </x:c>
      <x:c r="C133" s="84" t="str">
        <x:v>L3 CARE模式与路径</x:v>
      </x:c>
      <x:c r="D133" s="84" t="str">
        <x:v>CARE-付出模式</x:v>
      </x:c>
      <x:c r="E133" s="84" t="str">
        <x:v>通用</x:v>
      </x:c>
      <x:c r="F133" s="84" t="str">
        <x:v>模式定义</x:v>
      </x:c>
      <x:c r="G133" s="74" t="str">
        <x:v>CP02 回应式支持型</x:v>
      </x:c>
      <x:c r="H133" s="74" t="str"/>
      <x:c r="I133" s="74" t="str">
        <x:v>G02回应式支持成立；支持内容清楚；不能只有弱远藏干。</x:v>
      </x:c>
      <x:c r="J133" s="74" t="str">
        <x:v>只有单一弱远信号；source_id重复；基础状态未定。</x:v>
      </x:c>
      <x:c r="K133" s="74" t="str">
        <x:v>由共享基础引擎与M3-STATE修正</x:v>
      </x:c>
      <x:c r="L133" s="74" t="str">
        <x:v>不限定；夫妻星仅在形成独立CARE证据或入宫接口时参与</x:v>
      </x:c>
      <x:c r="M133" s="74" t="str">
        <x:v>由M3-BASE、日支结构及共享引擎提供</x:v>
      </x:c>
      <x:c r="N133" s="74" t="str">
        <x:v>无／待CARE路径规则组合</x:v>
      </x:c>
      <x:c r="O133" s="74" t="str">
        <x:v>全局有效信号；日柱及亲密关系近位优先</x:v>
      </x:c>
      <x:c r="P133" s="74" t="str">
        <x:v>由共享基础引擎判定</x:v>
      </x:c>
      <x:c r="Q133" s="74" t="str">
        <x:v>由共享基础引擎判定</x:v>
      </x:c>
      <x:c r="R133" s="74" t="str">
        <x:v>喜忌不直接等于愿不愿付出；只修正调用顺畅度与资源压力</x:v>
      </x:c>
      <x:c r="S133" s="74" t="str">
        <x:v>原十神性质有效；真合化成立时按化神路由</x:v>
      </x:c>
      <x:c r="T133" s="74" t="str">
        <x:v>由共享基础引擎判定</x:v>
      </x:c>
      <x:c r="U133" s="74" t="str">
        <x:v>67</x:v>
      </x:c>
      <x:c r="V133" s="74" t="str">
        <x:v>模式候选 +10</x:v>
      </x:c>
      <x:c r="W133" s="74" t="str">
        <x:v>care_pattern</x:v>
      </x:c>
      <x:c r="X133" s="74" t="str">
        <x:v>用户在需要、请求或对方投入清楚后，给出有针对性的回应。</x:v>
      </x:c>
      <x:c r="Y133" s="74" t="str">
        <x:v>你更容易在看见明确需要、收到清楚请求或感受到对方投入后，给出具体回应。</x:v>
      </x:c>
      <x:c r="Z133" s="74" t="str">
        <x:v>不得由本规则直接推出过度付出、付出失衡、依赖、控制、忠诚度、关系结果或适配度；不得把某种照顾方式等同于爱得更多或更少。</x:v>
      </x:c>
      <x:c r="AA133" s="74" t="str">
        <x:v>中高</x:v>
      </x:c>
      <x:c r="AB133" s="74" t="str">
        <x:v>待验证</x:v>
      </x:c>
      <x:c r="AC133" s="74" t="str"/>
      <x:c r="AD133" s="74" t="str">
        <x:v>provisional=true; pattern=CP02; aspect=definition</x:v>
      </x:c>
      <x:c r="AE133" s="74" t="str">
        <x:v>0.4</x:v>
      </x:c>
    </x:row>
    <x:row r="134">
      <x:c r="A134" s="84" t="str">
        <x:v>M3-CARE-130</x:v>
      </x:c>
      <x:c r="B134" s="84" t="str">
        <x:v>CP02 回应式支持型｜成立与输出门槛</x:v>
      </x:c>
      <x:c r="C134" s="84" t="str">
        <x:v>L3 CARE模式与路径</x:v>
      </x:c>
      <x:c r="D134" s="84" t="str">
        <x:v>CARE-付出模式</x:v>
      </x:c>
      <x:c r="E134" s="84" t="str">
        <x:v>通用</x:v>
      </x:c>
      <x:c r="F134" s="84" t="str">
        <x:v>模式门槛</x:v>
      </x:c>
      <x:c r="G134" s="74" t="str">
        <x:v>CP02 回应式支持型</x:v>
      </x:c>
      <x:c r="H134" s="74" t="str"/>
      <x:c r="I134" s="74" t="str">
        <x:v>G02回应式支持成立；支持内容清楚；不能只有弱远藏干。；至少有两类证据或一类高权威近位证据与行为验证。</x:v>
      </x:c>
      <x:c r="J134" s="74" t="str">
        <x:v>仅由一个十神标签推断；与另一候选分差不足且无功能区分。</x:v>
      </x:c>
      <x:c r="K134" s="74" t="str">
        <x:v>由共享基础引擎与M3-STATE修正</x:v>
      </x:c>
      <x:c r="L134" s="74" t="str">
        <x:v>不限定；夫妻星仅在形成独立CARE证据或入宫接口时参与</x:v>
      </x:c>
      <x:c r="M134" s="74" t="str">
        <x:v>由M3-BASE、日支结构及共享引擎提供</x:v>
      </x:c>
      <x:c r="N134" s="74" t="str">
        <x:v>无／待CARE路径规则组合</x:v>
      </x:c>
      <x:c r="O134" s="74" t="str">
        <x:v>全局有效信号；日柱及亲密关系近位优先</x:v>
      </x:c>
      <x:c r="P134" s="74" t="str">
        <x:v>由共享基础引擎判定</x:v>
      </x:c>
      <x:c r="Q134" s="74" t="str">
        <x:v>由共享基础引擎判定</x:v>
      </x:c>
      <x:c r="R134" s="74" t="str">
        <x:v>喜忌不直接等于愿不愿付出；只修正调用顺畅度与资源压力</x:v>
      </x:c>
      <x:c r="S134" s="74" t="str">
        <x:v>原十神性质有效；真合化成立时按化神路由</x:v>
      </x:c>
      <x:c r="T134" s="74" t="str">
        <x:v>由共享基础引擎判定</x:v>
      </x:c>
      <x:c r="U134" s="74" t="str">
        <x:v>66</x:v>
      </x:c>
      <x:c r="V134" s="74" t="str">
        <x:v>达到门槛后写入主模式；否则降为候选</x:v>
      </x:c>
      <x:c r="W134" s="74" t="str">
        <x:v>care_pattern</x:v>
      </x:c>
      <x:c r="X134" s="74" t="str">
        <x:v>回应式支持型只有在启动方向、内容与连续性至少两项互相支持时成立，不能由单一标签直接确定。</x:v>
      </x:c>
      <x:c r="Y134" s="74" t="str">
        <x:v>你更容易在看见明确需要、收到清楚请求或感受到对方投入后，给出具体回应。 这一判断看的是支持如何启动和持续，不代表其他方式缺失。</x:v>
      </x:c>
      <x:c r="Z134" s="74" t="str">
        <x:v>不得由本规则直接推出过度付出、付出失衡、依赖、控制、忠诚度、关系结果或适配度；不得把某种照顾方式等同于爱得更多或更少。</x:v>
      </x:c>
      <x:c r="AA134" s="74" t="str">
        <x:v>中</x:v>
      </x:c>
      <x:c r="AB134" s="74" t="str">
        <x:v>待验证</x:v>
      </x:c>
      <x:c r="AC134" s="74" t="str"/>
      <x:c r="AD134" s="74" t="str">
        <x:v>provisional=true; pattern=CP02; aspect=threshold</x:v>
      </x:c>
      <x:c r="AE134" s="74" t="str">
        <x:v>0.4</x:v>
      </x:c>
    </x:row>
    <x:row r="135">
      <x:c r="A135" s="84" t="str">
        <x:v>M3-CARE-131</x:v>
      </x:c>
      <x:c r="B135" s="84" t="str">
        <x:v>CP03 共同投入型｜模式定义</x:v>
      </x:c>
      <x:c r="C135" s="84" t="str">
        <x:v>L3 CARE模式与路径</x:v>
      </x:c>
      <x:c r="D135" s="84" t="str">
        <x:v>CARE-付出模式</x:v>
      </x:c>
      <x:c r="E135" s="84" t="str">
        <x:v>通用</x:v>
      </x:c>
      <x:c r="F135" s="84" t="str">
        <x:v>模式定义</x:v>
      </x:c>
      <x:c r="G135" s="74" t="str">
        <x:v>CP03 共同投入型</x:v>
      </x:c>
      <x:c r="H135" s="74" t="str"/>
      <x:c r="I135" s="74" t="str">
        <x:v>比劫系统或独立协作证据有效；G03共同启动成立。</x:v>
      </x:c>
      <x:c r="J135" s="74" t="str">
        <x:v>只有单一弱远信号；source_id重复；基础状态未定。</x:v>
      </x:c>
      <x:c r="K135" s="74" t="str">
        <x:v>由共享基础引擎与M3-STATE修正</x:v>
      </x:c>
      <x:c r="L135" s="74" t="str">
        <x:v>不限定；夫妻星仅在形成独立CARE证据或入宫接口时参与</x:v>
      </x:c>
      <x:c r="M135" s="74" t="str">
        <x:v>由M3-BASE、日支结构及共享引擎提供</x:v>
      </x:c>
      <x:c r="N135" s="74" t="str">
        <x:v>无／待CARE路径规则组合</x:v>
      </x:c>
      <x:c r="O135" s="74" t="str">
        <x:v>全局有效信号；日柱及亲密关系近位优先</x:v>
      </x:c>
      <x:c r="P135" s="74" t="str">
        <x:v>由共享基础引擎判定</x:v>
      </x:c>
      <x:c r="Q135" s="74" t="str">
        <x:v>由共享基础引擎判定</x:v>
      </x:c>
      <x:c r="R135" s="74" t="str">
        <x:v>喜忌不直接等于愿不愿付出；只修正调用顺畅度与资源压力</x:v>
      </x:c>
      <x:c r="S135" s="74" t="str">
        <x:v>原十神性质有效；真合化成立时按化神路由</x:v>
      </x:c>
      <x:c r="T135" s="74" t="str">
        <x:v>由共享基础引擎判定</x:v>
      </x:c>
      <x:c r="U135" s="74" t="str">
        <x:v>67</x:v>
      </x:c>
      <x:c r="V135" s="74" t="str">
        <x:v>模式候选 +10</x:v>
      </x:c>
      <x:c r="W135" s="74" t="str">
        <x:v>care_pattern</x:v>
      </x:c>
      <x:c r="X135" s="74" t="str">
        <x:v>支持通过双方共同参与、协作和分工形成，而不是单方包办。</x:v>
      </x:c>
      <x:c r="Y135" s="74" t="str">
        <x:v>你更习惯把照顾关系做成双方一起参与的过程，重视共同承担和彼此补位。</x:v>
      </x:c>
      <x:c r="Z135" s="74" t="str">
        <x:v>不得由本规则直接推出过度付出、付出失衡、依赖、控制、忠诚度、关系结果或适配度；不得把某种照顾方式等同于爱得更多或更少。</x:v>
      </x:c>
      <x:c r="AA135" s="74" t="str">
        <x:v>中高</x:v>
      </x:c>
      <x:c r="AB135" s="74" t="str">
        <x:v>待验证</x:v>
      </x:c>
      <x:c r="AC135" s="74" t="str"/>
      <x:c r="AD135" s="74" t="str">
        <x:v>provisional=true; pattern=CP03; aspect=definition</x:v>
      </x:c>
      <x:c r="AE135" s="74" t="str">
        <x:v>0.4</x:v>
      </x:c>
    </x:row>
    <x:row r="136">
      <x:c r="A136" s="84" t="str">
        <x:v>M3-CARE-132</x:v>
      </x:c>
      <x:c r="B136" s="84" t="str">
        <x:v>CP03 共同投入型｜成立与输出门槛</x:v>
      </x:c>
      <x:c r="C136" s="84" t="str">
        <x:v>L3 CARE模式与路径</x:v>
      </x:c>
      <x:c r="D136" s="84" t="str">
        <x:v>CARE-付出模式</x:v>
      </x:c>
      <x:c r="E136" s="84" t="str">
        <x:v>通用</x:v>
      </x:c>
      <x:c r="F136" s="84" t="str">
        <x:v>模式门槛</x:v>
      </x:c>
      <x:c r="G136" s="74" t="str">
        <x:v>CP03 共同投入型</x:v>
      </x:c>
      <x:c r="H136" s="74" t="str"/>
      <x:c r="I136" s="74" t="str">
        <x:v>比劫系统或独立协作证据有效；G03共同启动成立。；至少有两类证据或一类高权威近位证据与行为验证。</x:v>
      </x:c>
      <x:c r="J136" s="74" t="str">
        <x:v>仅由一个十神标签推断；与另一候选分差不足且无功能区分。</x:v>
      </x:c>
      <x:c r="K136" s="74" t="str">
        <x:v>由共享基础引擎与M3-STATE修正</x:v>
      </x:c>
      <x:c r="L136" s="74" t="str">
        <x:v>不限定；夫妻星仅在形成独立CARE证据或入宫接口时参与</x:v>
      </x:c>
      <x:c r="M136" s="74" t="str">
        <x:v>由M3-BASE、日支结构及共享引擎提供</x:v>
      </x:c>
      <x:c r="N136" s="74" t="str">
        <x:v>无／待CARE路径规则组合</x:v>
      </x:c>
      <x:c r="O136" s="74" t="str">
        <x:v>全局有效信号；日柱及亲密关系近位优先</x:v>
      </x:c>
      <x:c r="P136" s="74" t="str">
        <x:v>由共享基础引擎判定</x:v>
      </x:c>
      <x:c r="Q136" s="74" t="str">
        <x:v>由共享基础引擎判定</x:v>
      </x:c>
      <x:c r="R136" s="74" t="str">
        <x:v>喜忌不直接等于愿不愿付出；只修正调用顺畅度与资源压力</x:v>
      </x:c>
      <x:c r="S136" s="74" t="str">
        <x:v>原十神性质有效；真合化成立时按化神路由</x:v>
      </x:c>
      <x:c r="T136" s="74" t="str">
        <x:v>由共享基础引擎判定</x:v>
      </x:c>
      <x:c r="U136" s="74" t="str">
        <x:v>66</x:v>
      </x:c>
      <x:c r="V136" s="74" t="str">
        <x:v>达到门槛后写入主模式；否则降为候选</x:v>
      </x:c>
      <x:c r="W136" s="74" t="str">
        <x:v>care_pattern</x:v>
      </x:c>
      <x:c r="X136" s="74" t="str">
        <x:v>共同投入型只有在启动方向、内容与连续性至少两项互相支持时成立，不能由单一标签直接确定。</x:v>
      </x:c>
      <x:c r="Y136" s="74" t="str">
        <x:v>你更习惯把照顾关系做成双方一起参与的过程，重视共同承担和彼此补位。 这一判断看的是支持如何启动和持续，不代表其他方式缺失。</x:v>
      </x:c>
      <x:c r="Z136" s="74" t="str">
        <x:v>不得由本规则直接推出过度付出、付出失衡、依赖、控制、忠诚度、关系结果或适配度；不得把某种照顾方式等同于爱得更多或更少。</x:v>
      </x:c>
      <x:c r="AA136" s="74" t="str">
        <x:v>中</x:v>
      </x:c>
      <x:c r="AB136" s="74" t="str">
        <x:v>待验证</x:v>
      </x:c>
      <x:c r="AC136" s="74" t="str"/>
      <x:c r="AD136" s="74" t="str">
        <x:v>provisional=true; pattern=CP03; aspect=threshold</x:v>
      </x:c>
      <x:c r="AE136" s="74" t="str">
        <x:v>0.4</x:v>
      </x:c>
    </x:row>
    <x:row r="137">
      <x:c r="A137" s="84" t="str">
        <x:v>M3-CARE-133</x:v>
      </x:c>
      <x:c r="B137" s="84" t="str">
        <x:v>CP04 条件启动型｜模式定义</x:v>
      </x:c>
      <x:c r="C137" s="84" t="str">
        <x:v>L3 CARE模式与路径</x:v>
      </x:c>
      <x:c r="D137" s="84" t="str">
        <x:v>CARE-付出模式</x:v>
      </x:c>
      <x:c r="E137" s="84" t="str">
        <x:v>通用</x:v>
      </x:c>
      <x:c r="F137" s="84" t="str">
        <x:v>模式定义</x:v>
      </x:c>
      <x:c r="G137" s="74" t="str">
        <x:v>CP04 条件启动型</x:v>
      </x:c>
      <x:c r="H137" s="74" t="str"/>
      <x:c r="I137" s="74" t="str">
        <x:v>G04条件启动成立；偏印、官杀、资源边界或明确条件至少两类证据支持。</x:v>
      </x:c>
      <x:c r="J137" s="74" t="str">
        <x:v>只有单一弱远信号；source_id重复；基础状态未定。</x:v>
      </x:c>
      <x:c r="K137" s="74" t="str">
        <x:v>由共享基础引擎与M3-STATE修正</x:v>
      </x:c>
      <x:c r="L137" s="74" t="str">
        <x:v>不限定；夫妻星仅在形成独立CARE证据或入宫接口时参与</x:v>
      </x:c>
      <x:c r="M137" s="74" t="str">
        <x:v>由M3-BASE、日支结构及共享引擎提供</x:v>
      </x:c>
      <x:c r="N137" s="74" t="str">
        <x:v>无／待CARE路径规则组合</x:v>
      </x:c>
      <x:c r="O137" s="74" t="str">
        <x:v>全局有效信号；日柱及亲密关系近位优先</x:v>
      </x:c>
      <x:c r="P137" s="74" t="str">
        <x:v>由共享基础引擎判定</x:v>
      </x:c>
      <x:c r="Q137" s="74" t="str">
        <x:v>由共享基础引擎判定</x:v>
      </x:c>
      <x:c r="R137" s="74" t="str">
        <x:v>喜忌不直接等于愿不愿付出；只修正调用顺畅度与资源压力</x:v>
      </x:c>
      <x:c r="S137" s="74" t="str">
        <x:v>原十神性质有效；真合化成立时按化神路由</x:v>
      </x:c>
      <x:c r="T137" s="74" t="str">
        <x:v>由共享基础引擎判定</x:v>
      </x:c>
      <x:c r="U137" s="74" t="str">
        <x:v>67</x:v>
      </x:c>
      <x:c r="V137" s="74" t="str">
        <x:v>模式候选 +10</x:v>
      </x:c>
      <x:c r="W137" s="74" t="str">
        <x:v>care_pattern</x:v>
      </x:c>
      <x:c r="X137" s="74" t="str">
        <x:v>用户需要先确认问题、责任、资源或边界，再启动支持。</x:v>
      </x:c>
      <x:c r="Y137" s="74" t="str">
        <x:v>你并非不愿付出，而是更容易在问题、责任或资源边界清楚以后投入。</x:v>
      </x:c>
      <x:c r="Z137" s="74" t="str">
        <x:v>不得由本规则直接推出过度付出、付出失衡、依赖、控制、忠诚度、关系结果或适配度；不得把某种照顾方式等同于爱得更多或更少。</x:v>
      </x:c>
      <x:c r="AA137" s="74" t="str">
        <x:v>中高</x:v>
      </x:c>
      <x:c r="AB137" s="74" t="str">
        <x:v>待验证</x:v>
      </x:c>
      <x:c r="AC137" s="74" t="str"/>
      <x:c r="AD137" s="74" t="str">
        <x:v>provisional=true; pattern=CP04; aspect=definition</x:v>
      </x:c>
      <x:c r="AE137" s="74" t="str">
        <x:v>0.4</x:v>
      </x:c>
    </x:row>
    <x:row r="138">
      <x:c r="A138" s="84" t="str">
        <x:v>M3-CARE-134</x:v>
      </x:c>
      <x:c r="B138" s="84" t="str">
        <x:v>CP04 条件启动型｜成立与输出门槛</x:v>
      </x:c>
      <x:c r="C138" s="84" t="str">
        <x:v>L3 CARE模式与路径</x:v>
      </x:c>
      <x:c r="D138" s="84" t="str">
        <x:v>CARE-付出模式</x:v>
      </x:c>
      <x:c r="E138" s="84" t="str">
        <x:v>通用</x:v>
      </x:c>
      <x:c r="F138" s="84" t="str">
        <x:v>模式门槛</x:v>
      </x:c>
      <x:c r="G138" s="74" t="str">
        <x:v>CP04 条件启动型</x:v>
      </x:c>
      <x:c r="H138" s="74" t="str"/>
      <x:c r="I138" s="74" t="str">
        <x:v>G04条件启动成立；偏印、官杀、资源边界或明确条件至少两类证据支持。；至少有两类证据或一类高权威近位证据与行为验证。</x:v>
      </x:c>
      <x:c r="J138" s="74" t="str">
        <x:v>仅由一个十神标签推断；与另一候选分差不足且无功能区分。</x:v>
      </x:c>
      <x:c r="K138" s="74" t="str">
        <x:v>由共享基础引擎与M3-STATE修正</x:v>
      </x:c>
      <x:c r="L138" s="74" t="str">
        <x:v>不限定；夫妻星仅在形成独立CARE证据或入宫接口时参与</x:v>
      </x:c>
      <x:c r="M138" s="74" t="str">
        <x:v>由M3-BASE、日支结构及共享引擎提供</x:v>
      </x:c>
      <x:c r="N138" s="74" t="str">
        <x:v>无／待CARE路径规则组合</x:v>
      </x:c>
      <x:c r="O138" s="74" t="str">
        <x:v>全局有效信号；日柱及亲密关系近位优先</x:v>
      </x:c>
      <x:c r="P138" s="74" t="str">
        <x:v>由共享基础引擎判定</x:v>
      </x:c>
      <x:c r="Q138" s="74" t="str">
        <x:v>由共享基础引擎判定</x:v>
      </x:c>
      <x:c r="R138" s="74" t="str">
        <x:v>喜忌不直接等于愿不愿付出；只修正调用顺畅度与资源压力</x:v>
      </x:c>
      <x:c r="S138" s="74" t="str">
        <x:v>原十神性质有效；真合化成立时按化神路由</x:v>
      </x:c>
      <x:c r="T138" s="74" t="str">
        <x:v>由共享基础引擎判定</x:v>
      </x:c>
      <x:c r="U138" s="74" t="str">
        <x:v>66</x:v>
      </x:c>
      <x:c r="V138" s="74" t="str">
        <x:v>达到门槛后写入主模式；否则降为候选</x:v>
      </x:c>
      <x:c r="W138" s="74" t="str">
        <x:v>care_pattern</x:v>
      </x:c>
      <x:c r="X138" s="74" t="str">
        <x:v>条件启动型只有在启动方向、内容与连续性至少两项互相支持时成立，不能由单一标签直接确定。</x:v>
      </x:c>
      <x:c r="Y138" s="74" t="str">
        <x:v>你并非不愿付出，而是更容易在问题、责任或资源边界清楚以后投入。 这一判断看的是支持如何启动和持续，不代表其他方式缺失。</x:v>
      </x:c>
      <x:c r="Z138" s="74" t="str">
        <x:v>不得由本规则直接推出过度付出、付出失衡、依赖、控制、忠诚度、关系结果或适配度；不得把某种照顾方式等同于爱得更多或更少。</x:v>
      </x:c>
      <x:c r="AA138" s="74" t="str">
        <x:v>中</x:v>
      </x:c>
      <x:c r="AB138" s="74" t="str">
        <x:v>待验证</x:v>
      </x:c>
      <x:c r="AC138" s="74" t="str"/>
      <x:c r="AD138" s="74" t="str">
        <x:v>provisional=true; pattern=CP04; aspect=threshold</x:v>
      </x:c>
      <x:c r="AE138" s="74" t="str">
        <x:v>0.4</x:v>
      </x:c>
    </x:row>
    <x:row r="139">
      <x:c r="A139" s="84" t="str">
        <x:v>M3-CARE-135</x:v>
      </x:c>
      <x:c r="B139" s="84" t="str">
        <x:v>CP05 稳定经营型｜模式定义</x:v>
      </x:c>
      <x:c r="C139" s="84" t="str">
        <x:v>L3 CARE模式与路径</x:v>
      </x:c>
      <x:c r="D139" s="84" t="str">
        <x:v>CARE-付出模式</x:v>
      </x:c>
      <x:c r="E139" s="84" t="str">
        <x:v>通用</x:v>
      </x:c>
      <x:c r="F139" s="84" t="str">
        <x:v>模式定义</x:v>
      </x:c>
      <x:c r="G139" s="74" t="str">
        <x:v>CP05 稳定经营型</x:v>
      </x:c>
      <x:c r="H139" s="74" t="str"/>
      <x:c r="I139" s="74" t="str">
        <x:v>正财、正官或N01稳定重复明显；至少一项有根近位证据。</x:v>
      </x:c>
      <x:c r="J139" s="74" t="str">
        <x:v>只有单一弱远信号；source_id重复；基础状态未定。</x:v>
      </x:c>
      <x:c r="K139" s="74" t="str">
        <x:v>由共享基础引擎与M3-STATE修正</x:v>
      </x:c>
      <x:c r="L139" s="74" t="str">
        <x:v>不限定；夫妻星仅在形成独立CARE证据或入宫接口时参与</x:v>
      </x:c>
      <x:c r="M139" s="74" t="str">
        <x:v>由M3-BASE、日支结构及共享引擎提供</x:v>
      </x:c>
      <x:c r="N139" s="74" t="str">
        <x:v>无／待CARE路径规则组合</x:v>
      </x:c>
      <x:c r="O139" s="74" t="str">
        <x:v>全局有效信号；日柱及亲密关系近位优先</x:v>
      </x:c>
      <x:c r="P139" s="74" t="str">
        <x:v>由共享基础引擎判定</x:v>
      </x:c>
      <x:c r="Q139" s="74" t="str">
        <x:v>由共享基础引擎判定</x:v>
      </x:c>
      <x:c r="R139" s="74" t="str">
        <x:v>喜忌不直接等于愿不愿付出；只修正调用顺畅度与资源压力</x:v>
      </x:c>
      <x:c r="S139" s="74" t="str">
        <x:v>原十神性质有效；真合化成立时按化神路由</x:v>
      </x:c>
      <x:c r="T139" s="74" t="str">
        <x:v>由共享基础引擎判定</x:v>
      </x:c>
      <x:c r="U139" s="74" t="str">
        <x:v>67</x:v>
      </x:c>
      <x:c r="V139" s="74" t="str">
        <x:v>模式候选 +10</x:v>
      </x:c>
      <x:c r="W139" s="74" t="str">
        <x:v>care_pattern</x:v>
      </x:c>
      <x:c r="X139" s="74" t="str">
        <x:v>支持主要通过持续、可预期的时间资源和日常安排累积。</x:v>
      </x:c>
      <x:c r="Y139" s="74" t="str">
        <x:v>你更常通过稳定出现、处理日常事务和把关系纳入现实安排来照顾对方。</x:v>
      </x:c>
      <x:c r="Z139" s="74" t="str">
        <x:v>不得由本规则直接推出过度付出、付出失衡、依赖、控制、忠诚度、关系结果或适配度；不得把某种照顾方式等同于爱得更多或更少。</x:v>
      </x:c>
      <x:c r="AA139" s="74" t="str">
        <x:v>中高</x:v>
      </x:c>
      <x:c r="AB139" s="74" t="str">
        <x:v>待验证</x:v>
      </x:c>
      <x:c r="AC139" s="74" t="str"/>
      <x:c r="AD139" s="74" t="str">
        <x:v>provisional=true; pattern=CP05; aspect=definition</x:v>
      </x:c>
      <x:c r="AE139" s="74" t="str">
        <x:v>0.4</x:v>
      </x:c>
    </x:row>
    <x:row r="140">
      <x:c r="A140" s="84" t="str">
        <x:v>M3-CARE-136</x:v>
      </x:c>
      <x:c r="B140" s="84" t="str">
        <x:v>CP05 稳定经营型｜成立与输出门槛</x:v>
      </x:c>
      <x:c r="C140" s="84" t="str">
        <x:v>L3 CARE模式与路径</x:v>
      </x:c>
      <x:c r="D140" s="84" t="str">
        <x:v>CARE-付出模式</x:v>
      </x:c>
      <x:c r="E140" s="84" t="str">
        <x:v>通用</x:v>
      </x:c>
      <x:c r="F140" s="84" t="str">
        <x:v>模式门槛</x:v>
      </x:c>
      <x:c r="G140" s="74" t="str">
        <x:v>CP05 稳定经营型</x:v>
      </x:c>
      <x:c r="H140" s="74" t="str"/>
      <x:c r="I140" s="74" t="str">
        <x:v>正财、正官或N01稳定重复明显；至少一项有根近位证据。；至少有两类证据或一类高权威近位证据与行为验证。</x:v>
      </x:c>
      <x:c r="J140" s="74" t="str">
        <x:v>仅由一个十神标签推断；与另一候选分差不足且无功能区分。</x:v>
      </x:c>
      <x:c r="K140" s="74" t="str">
        <x:v>由共享基础引擎与M3-STATE修正</x:v>
      </x:c>
      <x:c r="L140" s="74" t="str">
        <x:v>不限定；夫妻星仅在形成独立CARE证据或入宫接口时参与</x:v>
      </x:c>
      <x:c r="M140" s="74" t="str">
        <x:v>由M3-BASE、日支结构及共享引擎提供</x:v>
      </x:c>
      <x:c r="N140" s="74" t="str">
        <x:v>无／待CARE路径规则组合</x:v>
      </x:c>
      <x:c r="O140" s="74" t="str">
        <x:v>全局有效信号；日柱及亲密关系近位优先</x:v>
      </x:c>
      <x:c r="P140" s="74" t="str">
        <x:v>由共享基础引擎判定</x:v>
      </x:c>
      <x:c r="Q140" s="74" t="str">
        <x:v>由共享基础引擎判定</x:v>
      </x:c>
      <x:c r="R140" s="74" t="str">
        <x:v>喜忌不直接等于愿不愿付出；只修正调用顺畅度与资源压力</x:v>
      </x:c>
      <x:c r="S140" s="74" t="str">
        <x:v>原十神性质有效；真合化成立时按化神路由</x:v>
      </x:c>
      <x:c r="T140" s="74" t="str">
        <x:v>由共享基础引擎判定</x:v>
      </x:c>
      <x:c r="U140" s="74" t="str">
        <x:v>66</x:v>
      </x:c>
      <x:c r="V140" s="74" t="str">
        <x:v>达到门槛后写入主模式；否则降为候选</x:v>
      </x:c>
      <x:c r="W140" s="74" t="str">
        <x:v>care_pattern</x:v>
      </x:c>
      <x:c r="X140" s="74" t="str">
        <x:v>稳定经营型只有在启动方向、内容与连续性至少两项互相支持时成立，不能由单一标签直接确定。</x:v>
      </x:c>
      <x:c r="Y140" s="74" t="str">
        <x:v>你更常通过稳定出现、处理日常事务和把关系纳入现实安排来照顾对方。 这一判断看的是支持如何启动和持续，不代表其他方式缺失。</x:v>
      </x:c>
      <x:c r="Z140" s="74" t="str">
        <x:v>不得由本规则直接推出过度付出、付出失衡、依赖、控制、忠诚度、关系结果或适配度；不得把某种照顾方式等同于爱得更多或更少。</x:v>
      </x:c>
      <x:c r="AA140" s="74" t="str">
        <x:v>中</x:v>
      </x:c>
      <x:c r="AB140" s="74" t="str">
        <x:v>待验证</x:v>
      </x:c>
      <x:c r="AC140" s="74" t="str"/>
      <x:c r="AD140" s="74" t="str">
        <x:v>provisional=true; pattern=CP05; aspect=threshold</x:v>
      </x:c>
      <x:c r="AE140" s="74" t="str">
        <x:v>0.4</x:v>
      </x:c>
    </x:row>
    <x:row r="141">
      <x:c r="A141" s="84" t="str">
        <x:v>M3-CARE-137</x:v>
      </x:c>
      <x:c r="B141" s="84" t="str">
        <x:v>CP06 舒缓照料型｜模式定义</x:v>
      </x:c>
      <x:c r="C141" s="84" t="str">
        <x:v>L3 CARE模式与路径</x:v>
      </x:c>
      <x:c r="D141" s="84" t="str">
        <x:v>CARE-付出模式</x:v>
      </x:c>
      <x:c r="E141" s="84" t="str">
        <x:v>通用</x:v>
      </x:c>
      <x:c r="F141" s="84" t="str">
        <x:v>模式定义</x:v>
      </x:c>
      <x:c r="G141" s="74" t="str">
        <x:v>CP06 舒缓照料型</x:v>
      </x:c>
      <x:c r="H141" s="74" t="str"/>
      <x:c r="I141" s="74" t="str">
        <x:v>食神、正印或H01情绪舒缓明显；有重复或安全承接证据。</x:v>
      </x:c>
      <x:c r="J141" s="74" t="str">
        <x:v>只有单一弱远信号；source_id重复；基础状态未定。</x:v>
      </x:c>
      <x:c r="K141" s="74" t="str">
        <x:v>由共享基础引擎与M3-STATE修正</x:v>
      </x:c>
      <x:c r="L141" s="74" t="str">
        <x:v>不限定；夫妻星仅在形成独立CARE证据或入宫接口时参与</x:v>
      </x:c>
      <x:c r="M141" s="74" t="str">
        <x:v>由M3-BASE、日支结构及共享引擎提供</x:v>
      </x:c>
      <x:c r="N141" s="74" t="str">
        <x:v>无／待CARE路径规则组合</x:v>
      </x:c>
      <x:c r="O141" s="74" t="str">
        <x:v>全局有效信号；日柱及亲密关系近位优先</x:v>
      </x:c>
      <x:c r="P141" s="74" t="str">
        <x:v>由共享基础引擎判定</x:v>
      </x:c>
      <x:c r="Q141" s="74" t="str">
        <x:v>由共享基础引擎判定</x:v>
      </x:c>
      <x:c r="R141" s="74" t="str">
        <x:v>喜忌不直接等于愿不愿付出；只修正调用顺畅度与资源压力</x:v>
      </x:c>
      <x:c r="S141" s="74" t="str">
        <x:v>原十神性质有效；真合化成立时按化神路由</x:v>
      </x:c>
      <x:c r="T141" s="74" t="str">
        <x:v>由共享基础引擎判定</x:v>
      </x:c>
      <x:c r="U141" s="74" t="str">
        <x:v>67</x:v>
      </x:c>
      <x:c r="V141" s="74" t="str">
        <x:v>模式候选 +10</x:v>
      </x:c>
      <x:c r="W141" s="74" t="str">
        <x:v>care_pattern</x:v>
      </x:c>
      <x:c r="X141" s="74" t="str">
        <x:v>支持主要通过陪伴、安抚、照顾状态和建立舒适环境完成。</x:v>
      </x:c>
      <x:c r="Y141" s="74" t="str">
        <x:v>你更容易通过陪伴、理解、照顾节奏和让对方放松来提供支持。</x:v>
      </x:c>
      <x:c r="Z141" s="74" t="str">
        <x:v>不得由本规则直接推出过度付出、付出失衡、依赖、控制、忠诚度、关系结果或适配度；不得把某种照顾方式等同于爱得更多或更少。</x:v>
      </x:c>
      <x:c r="AA141" s="74" t="str">
        <x:v>中高</x:v>
      </x:c>
      <x:c r="AB141" s="74" t="str">
        <x:v>待验证</x:v>
      </x:c>
      <x:c r="AC141" s="74" t="str"/>
      <x:c r="AD141" s="74" t="str">
        <x:v>provisional=true; pattern=CP06; aspect=definition</x:v>
      </x:c>
      <x:c r="AE141" s="74" t="str">
        <x:v>0.4</x:v>
      </x:c>
    </x:row>
    <x:row r="142">
      <x:c r="A142" s="84" t="str">
        <x:v>M3-CARE-138</x:v>
      </x:c>
      <x:c r="B142" s="84" t="str">
        <x:v>CP06 舒缓照料型｜成立与输出门槛</x:v>
      </x:c>
      <x:c r="C142" s="84" t="str">
        <x:v>L3 CARE模式与路径</x:v>
      </x:c>
      <x:c r="D142" s="84" t="str">
        <x:v>CARE-付出模式</x:v>
      </x:c>
      <x:c r="E142" s="84" t="str">
        <x:v>通用</x:v>
      </x:c>
      <x:c r="F142" s="84" t="str">
        <x:v>模式门槛</x:v>
      </x:c>
      <x:c r="G142" s="74" t="str">
        <x:v>CP06 舒缓照料型</x:v>
      </x:c>
      <x:c r="H142" s="74" t="str"/>
      <x:c r="I142" s="74" t="str">
        <x:v>食神、正印或H01情绪舒缓明显；有重复或安全承接证据。；至少有两类证据或一类高权威近位证据与行为验证。</x:v>
      </x:c>
      <x:c r="J142" s="74" t="str">
        <x:v>仅由一个十神标签推断；与另一候选分差不足且无功能区分。</x:v>
      </x:c>
      <x:c r="K142" s="74" t="str">
        <x:v>由共享基础引擎与M3-STATE修正</x:v>
      </x:c>
      <x:c r="L142" s="74" t="str">
        <x:v>不限定；夫妻星仅在形成独立CARE证据或入宫接口时参与</x:v>
      </x:c>
      <x:c r="M142" s="74" t="str">
        <x:v>由M3-BASE、日支结构及共享引擎提供</x:v>
      </x:c>
      <x:c r="N142" s="74" t="str">
        <x:v>无／待CARE路径规则组合</x:v>
      </x:c>
      <x:c r="O142" s="74" t="str">
        <x:v>全局有效信号；日柱及亲密关系近位优先</x:v>
      </x:c>
      <x:c r="P142" s="74" t="str">
        <x:v>由共享基础引擎判定</x:v>
      </x:c>
      <x:c r="Q142" s="74" t="str">
        <x:v>由共享基础引擎判定</x:v>
      </x:c>
      <x:c r="R142" s="74" t="str">
        <x:v>喜忌不直接等于愿不愿付出；只修正调用顺畅度与资源压力</x:v>
      </x:c>
      <x:c r="S142" s="74" t="str">
        <x:v>原十神性质有效；真合化成立时按化神路由</x:v>
      </x:c>
      <x:c r="T142" s="74" t="str">
        <x:v>由共享基础引擎判定</x:v>
      </x:c>
      <x:c r="U142" s="74" t="str">
        <x:v>66</x:v>
      </x:c>
      <x:c r="V142" s="74" t="str">
        <x:v>达到门槛后写入主模式；否则降为候选</x:v>
      </x:c>
      <x:c r="W142" s="74" t="str">
        <x:v>care_pattern</x:v>
      </x:c>
      <x:c r="X142" s="74" t="str">
        <x:v>舒缓照料型只有在启动方向、内容与连续性至少两项互相支持时成立，不能由单一标签直接确定。</x:v>
      </x:c>
      <x:c r="Y142" s="74" t="str">
        <x:v>你更容易通过陪伴、理解、照顾节奏和让对方放松来提供支持。 这一判断看的是支持如何启动和持续，不代表其他方式缺失。</x:v>
      </x:c>
      <x:c r="Z142" s="74" t="str">
        <x:v>不得由本规则直接推出过度付出、付出失衡、依赖、控制、忠诚度、关系结果或适配度；不得把某种照顾方式等同于爱得更多或更少。</x:v>
      </x:c>
      <x:c r="AA142" s="74" t="str">
        <x:v>中</x:v>
      </x:c>
      <x:c r="AB142" s="74" t="str">
        <x:v>待验证</x:v>
      </x:c>
      <x:c r="AC142" s="74" t="str"/>
      <x:c r="AD142" s="74" t="str">
        <x:v>provisional=true; pattern=CP06; aspect=threshold</x:v>
      </x:c>
      <x:c r="AE142" s="74" t="str">
        <x:v>0.4</x:v>
      </x:c>
    </x:row>
    <x:row r="143">
      <x:c r="A143" s="84" t="str">
        <x:v>M3-CARE-139</x:v>
      </x:c>
      <x:c r="B143" s="84" t="str">
        <x:v>CP07 解题支持型｜模式定义</x:v>
      </x:c>
      <x:c r="C143" s="84" t="str">
        <x:v>L3 CARE模式与路径</x:v>
      </x:c>
      <x:c r="D143" s="84" t="str">
        <x:v>CARE-付出模式</x:v>
      </x:c>
      <x:c r="E143" s="84" t="str">
        <x:v>通用</x:v>
      </x:c>
      <x:c r="F143" s="84" t="str">
        <x:v>模式定义</x:v>
      </x:c>
      <x:c r="G143" s="74" t="str">
        <x:v>CP07 解题支持型</x:v>
      </x:c>
      <x:c r="H143" s="74" t="str"/>
      <x:c r="I143" s="74" t="str">
        <x:v>伤官、偏印或H03认知解题明显；存在可观察的知识/方案输出。</x:v>
      </x:c>
      <x:c r="J143" s="74" t="str">
        <x:v>只有单一弱远信号；source_id重复；基础状态未定。</x:v>
      </x:c>
      <x:c r="K143" s="74" t="str">
        <x:v>由共享基础引擎与M3-STATE修正</x:v>
      </x:c>
      <x:c r="L143" s="74" t="str">
        <x:v>不限定；夫妻星仅在形成独立CARE证据或入宫接口时参与</x:v>
      </x:c>
      <x:c r="M143" s="74" t="str">
        <x:v>由M3-BASE、日支结构及共享引擎提供</x:v>
      </x:c>
      <x:c r="N143" s="74" t="str">
        <x:v>无／待CARE路径规则组合</x:v>
      </x:c>
      <x:c r="O143" s="74" t="str">
        <x:v>全局有效信号；日柱及亲密关系近位优先</x:v>
      </x:c>
      <x:c r="P143" s="74" t="str">
        <x:v>由共享基础引擎判定</x:v>
      </x:c>
      <x:c r="Q143" s="74" t="str">
        <x:v>由共享基础引擎判定</x:v>
      </x:c>
      <x:c r="R143" s="74" t="str">
        <x:v>喜忌不直接等于愿不愿付出；只修正调用顺畅度与资源压力</x:v>
      </x:c>
      <x:c r="S143" s="74" t="str">
        <x:v>原十神性质有效；真合化成立时按化神路由</x:v>
      </x:c>
      <x:c r="T143" s="74" t="str">
        <x:v>由共享基础引擎判定</x:v>
      </x:c>
      <x:c r="U143" s="74" t="str">
        <x:v>67</x:v>
      </x:c>
      <x:c r="V143" s="74" t="str">
        <x:v>模式候选 +10</x:v>
      </x:c>
      <x:c r="W143" s="74" t="str">
        <x:v>care_pattern</x:v>
      </x:c>
      <x:c r="X143" s="74" t="str">
        <x:v>支持主要通过分析、信息、建议、技能和问题解决完成。</x:v>
      </x:c>
      <x:c r="Y143" s="74" t="str">
        <x:v>你更容易通过分析问题、提供思路和帮助对方看清关键点来支持关系。</x:v>
      </x:c>
      <x:c r="Z143" s="74" t="str">
        <x:v>不得由本规则直接推出过度付出、付出失衡、依赖、控制、忠诚度、关系结果或适配度；不得把某种照顾方式等同于爱得更多或更少。</x:v>
      </x:c>
      <x:c r="AA143" s="74" t="str">
        <x:v>中高</x:v>
      </x:c>
      <x:c r="AB143" s="74" t="str">
        <x:v>待验证</x:v>
      </x:c>
      <x:c r="AC143" s="74" t="str"/>
      <x:c r="AD143" s="74" t="str">
        <x:v>provisional=true; pattern=CP07; aspect=definition</x:v>
      </x:c>
      <x:c r="AE143" s="74" t="str">
        <x:v>0.4</x:v>
      </x:c>
    </x:row>
    <x:row r="144">
      <x:c r="A144" s="84" t="str">
        <x:v>M3-CARE-140</x:v>
      </x:c>
      <x:c r="B144" s="84" t="str">
        <x:v>CP07 解题支持型｜成立与输出门槛</x:v>
      </x:c>
      <x:c r="C144" s="84" t="str">
        <x:v>L3 CARE模式与路径</x:v>
      </x:c>
      <x:c r="D144" s="84" t="str">
        <x:v>CARE-付出模式</x:v>
      </x:c>
      <x:c r="E144" s="84" t="str">
        <x:v>通用</x:v>
      </x:c>
      <x:c r="F144" s="84" t="str">
        <x:v>模式门槛</x:v>
      </x:c>
      <x:c r="G144" s="74" t="str">
        <x:v>CP07 解题支持型</x:v>
      </x:c>
      <x:c r="H144" s="74" t="str"/>
      <x:c r="I144" s="74" t="str">
        <x:v>伤官、偏印或H03认知解题明显；存在可观察的知识/方案输出。；至少有两类证据或一类高权威近位证据与行为验证。</x:v>
      </x:c>
      <x:c r="J144" s="74" t="str">
        <x:v>仅由一个十神标签推断；与另一候选分差不足且无功能区分。</x:v>
      </x:c>
      <x:c r="K144" s="74" t="str">
        <x:v>由共享基础引擎与M3-STATE修正</x:v>
      </x:c>
      <x:c r="L144" s="74" t="str">
        <x:v>不限定；夫妻星仅在形成独立CARE证据或入宫接口时参与</x:v>
      </x:c>
      <x:c r="M144" s="74" t="str">
        <x:v>由M3-BASE、日支结构及共享引擎提供</x:v>
      </x:c>
      <x:c r="N144" s="74" t="str">
        <x:v>无／待CARE路径规则组合</x:v>
      </x:c>
      <x:c r="O144" s="74" t="str">
        <x:v>全局有效信号；日柱及亲密关系近位优先</x:v>
      </x:c>
      <x:c r="P144" s="74" t="str">
        <x:v>由共享基础引擎判定</x:v>
      </x:c>
      <x:c r="Q144" s="74" t="str">
        <x:v>由共享基础引擎判定</x:v>
      </x:c>
      <x:c r="R144" s="74" t="str">
        <x:v>喜忌不直接等于愿不愿付出；只修正调用顺畅度与资源压力</x:v>
      </x:c>
      <x:c r="S144" s="74" t="str">
        <x:v>原十神性质有效；真合化成立时按化神路由</x:v>
      </x:c>
      <x:c r="T144" s="74" t="str">
        <x:v>由共享基础引擎判定</x:v>
      </x:c>
      <x:c r="U144" s="74" t="str">
        <x:v>66</x:v>
      </x:c>
      <x:c r="V144" s="74" t="str">
        <x:v>达到门槛后写入主模式；否则降为候选</x:v>
      </x:c>
      <x:c r="W144" s="74" t="str">
        <x:v>care_pattern</x:v>
      </x:c>
      <x:c r="X144" s="74" t="str">
        <x:v>解题支持型只有在启动方向、内容与连续性至少两项互相支持时成立，不能由单一标签直接确定。</x:v>
      </x:c>
      <x:c r="Y144" s="74" t="str">
        <x:v>你更容易通过分析问题、提供思路和帮助对方看清关键点来支持关系。 这一判断看的是支持如何启动和持续，不代表其他方式缺失。</x:v>
      </x:c>
      <x:c r="Z144" s="74" t="str">
        <x:v>不得由本规则直接推出过度付出、付出失衡、依赖、控制、忠诚度、关系结果或适配度；不得把某种照顾方式等同于爱得更多或更少。</x:v>
      </x:c>
      <x:c r="AA144" s="74" t="str">
        <x:v>中</x:v>
      </x:c>
      <x:c r="AB144" s="74" t="str">
        <x:v>待验证</x:v>
      </x:c>
      <x:c r="AC144" s="74" t="str"/>
      <x:c r="AD144" s="74" t="str">
        <x:v>provisional=true; pattern=CP07; aspect=threshold</x:v>
      </x:c>
      <x:c r="AE144" s="74" t="str">
        <x:v>0.4</x:v>
      </x:c>
    </x:row>
    <x:row r="145">
      <x:c r="A145" s="84" t="str">
        <x:v>M3-CARE-141</x:v>
      </x:c>
      <x:c r="B145" s="84" t="str">
        <x:v>CP08 责任承担型｜模式定义</x:v>
      </x:c>
      <x:c r="C145" s="84" t="str">
        <x:v>L3 CARE模式与路径</x:v>
      </x:c>
      <x:c r="D145" s="84" t="str">
        <x:v>CARE-付出模式</x:v>
      </x:c>
      <x:c r="E145" s="84" t="str">
        <x:v>通用</x:v>
      </x:c>
      <x:c r="F145" s="84" t="str">
        <x:v>模式定义</x:v>
      </x:c>
      <x:c r="G145" s="74" t="str">
        <x:v>CP08 责任承担型</x:v>
      </x:c>
      <x:c r="H145" s="74" t="str"/>
      <x:c r="I145" s="74" t="str">
        <x:v>正官或H02现实安排明显；守约和责任兑现证据独立成立。</x:v>
      </x:c>
      <x:c r="J145" s="74" t="str">
        <x:v>只有单一弱远信号；source_id重复；基础状态未定。</x:v>
      </x:c>
      <x:c r="K145" s="74" t="str">
        <x:v>由共享基础引擎与M3-STATE修正</x:v>
      </x:c>
      <x:c r="L145" s="74" t="str">
        <x:v>不限定；夫妻星仅在形成独立CARE证据或入宫接口时参与</x:v>
      </x:c>
      <x:c r="M145" s="74" t="str">
        <x:v>由M3-BASE、日支结构及共享引擎提供</x:v>
      </x:c>
      <x:c r="N145" s="74" t="str">
        <x:v>无／待CARE路径规则组合</x:v>
      </x:c>
      <x:c r="O145" s="74" t="str">
        <x:v>全局有效信号；日柱及亲密关系近位优先</x:v>
      </x:c>
      <x:c r="P145" s="74" t="str">
        <x:v>由共享基础引擎判定</x:v>
      </x:c>
      <x:c r="Q145" s="74" t="str">
        <x:v>由共享基础引擎判定</x:v>
      </x:c>
      <x:c r="R145" s="74" t="str">
        <x:v>喜忌不直接等于愿不愿付出；只修正调用顺畅度与资源压力</x:v>
      </x:c>
      <x:c r="S145" s="74" t="str">
        <x:v>原十神性质有效；真合化成立时按化神路由</x:v>
      </x:c>
      <x:c r="T145" s="74" t="str">
        <x:v>由共享基础引擎判定</x:v>
      </x:c>
      <x:c r="U145" s="74" t="str">
        <x:v>67</x:v>
      </x:c>
      <x:c r="V145" s="74" t="str">
        <x:v>模式候选 +10</x:v>
      </x:c>
      <x:c r="W145" s="74" t="str">
        <x:v>care_pattern</x:v>
      </x:c>
      <x:c r="X145" s="74" t="str">
        <x:v>支持主要通过守约、固定分工、角色责任和稳定履职完成。</x:v>
      </x:c>
      <x:c r="Y145" s="74" t="str">
        <x:v>你会把支持落实为清楚责任、稳定履行和共同规则，让对方知道哪些事情可以依赖你。</x:v>
      </x:c>
      <x:c r="Z145" s="74" t="str">
        <x:v>不得由本规则直接推出过度付出、付出失衡、依赖、控制、忠诚度、关系结果或适配度；不得把某种照顾方式等同于爱得更多或更少。</x:v>
      </x:c>
      <x:c r="AA145" s="74" t="str">
        <x:v>中高</x:v>
      </x:c>
      <x:c r="AB145" s="74" t="str">
        <x:v>待验证</x:v>
      </x:c>
      <x:c r="AC145" s="74" t="str"/>
      <x:c r="AD145" s="74" t="str">
        <x:v>provisional=true; pattern=CP08; aspect=definition</x:v>
      </x:c>
      <x:c r="AE145" s="74" t="str">
        <x:v>0.4</x:v>
      </x:c>
    </x:row>
    <x:row r="146">
      <x:c r="A146" s="84" t="str">
        <x:v>M3-CARE-142</x:v>
      </x:c>
      <x:c r="B146" s="84" t="str">
        <x:v>CP08 责任承担型｜成立与输出门槛</x:v>
      </x:c>
      <x:c r="C146" s="84" t="str">
        <x:v>L3 CARE模式与路径</x:v>
      </x:c>
      <x:c r="D146" s="84" t="str">
        <x:v>CARE-付出模式</x:v>
      </x:c>
      <x:c r="E146" s="84" t="str">
        <x:v>通用</x:v>
      </x:c>
      <x:c r="F146" s="84" t="str">
        <x:v>模式门槛</x:v>
      </x:c>
      <x:c r="G146" s="74" t="str">
        <x:v>CP08 责任承担型</x:v>
      </x:c>
      <x:c r="H146" s="74" t="str"/>
      <x:c r="I146" s="74" t="str">
        <x:v>正官或H02现实安排明显；守约和责任兑现证据独立成立。；至少有两类证据或一类高权威近位证据与行为验证。</x:v>
      </x:c>
      <x:c r="J146" s="74" t="str">
        <x:v>仅由一个十神标签推断；与另一候选分差不足且无功能区分。</x:v>
      </x:c>
      <x:c r="K146" s="74" t="str">
        <x:v>由共享基础引擎与M3-STATE修正</x:v>
      </x:c>
      <x:c r="L146" s="74" t="str">
        <x:v>不限定；夫妻星仅在形成独立CARE证据或入宫接口时参与</x:v>
      </x:c>
      <x:c r="M146" s="74" t="str">
        <x:v>由M3-BASE、日支结构及共享引擎提供</x:v>
      </x:c>
      <x:c r="N146" s="74" t="str">
        <x:v>无／待CARE路径规则组合</x:v>
      </x:c>
      <x:c r="O146" s="74" t="str">
        <x:v>全局有效信号；日柱及亲密关系近位优先</x:v>
      </x:c>
      <x:c r="P146" s="74" t="str">
        <x:v>由共享基础引擎判定</x:v>
      </x:c>
      <x:c r="Q146" s="74" t="str">
        <x:v>由共享基础引擎判定</x:v>
      </x:c>
      <x:c r="R146" s="74" t="str">
        <x:v>喜忌不直接等于愿不愿付出；只修正调用顺畅度与资源压力</x:v>
      </x:c>
      <x:c r="S146" s="74" t="str">
        <x:v>原十神性质有效；真合化成立时按化神路由</x:v>
      </x:c>
      <x:c r="T146" s="74" t="str">
        <x:v>由共享基础引擎判定</x:v>
      </x:c>
      <x:c r="U146" s="74" t="str">
        <x:v>66</x:v>
      </x:c>
      <x:c r="V146" s="74" t="str">
        <x:v>达到门槛后写入主模式；否则降为候选</x:v>
      </x:c>
      <x:c r="W146" s="74" t="str">
        <x:v>care_pattern</x:v>
      </x:c>
      <x:c r="X146" s="74" t="str">
        <x:v>责任承担型只有在启动方向、内容与连续性至少两项互相支持时成立，不能由单一标签直接确定。</x:v>
      </x:c>
      <x:c r="Y146" s="74" t="str">
        <x:v>你会把支持落实为清楚责任、稳定履行和共同规则，让对方知道哪些事情可以依赖你。 这一判断看的是支持如何启动和持续，不代表其他方式缺失。</x:v>
      </x:c>
      <x:c r="Z146" s="74" t="str">
        <x:v>不得由本规则直接推出过度付出、付出失衡、依赖、控制、忠诚度、关系结果或适配度；不得把某种照顾方式等同于爱得更多或更少。</x:v>
      </x:c>
      <x:c r="AA146" s="74" t="str">
        <x:v>中</x:v>
      </x:c>
      <x:c r="AB146" s="74" t="str">
        <x:v>待验证</x:v>
      </x:c>
      <x:c r="AC146" s="74" t="str"/>
      <x:c r="AD146" s="74" t="str">
        <x:v>provisional=true; pattern=CP08; aspect=threshold</x:v>
      </x:c>
      <x:c r="AE146" s="74" t="str">
        <x:v>0.4</x:v>
      </x:c>
    </x:row>
    <x:row r="147">
      <x:c r="A147" s="84" t="str">
        <x:v>M3-CARE-143</x:v>
      </x:c>
      <x:c r="B147" s="84" t="str">
        <x:v>CP09 行动保护型｜模式定义</x:v>
      </x:c>
      <x:c r="C147" s="84" t="str">
        <x:v>L3 CARE模式与路径</x:v>
      </x:c>
      <x:c r="D147" s="84" t="str">
        <x:v>CARE-付出模式</x:v>
      </x:c>
      <x:c r="E147" s="84" t="str">
        <x:v>通用</x:v>
      </x:c>
      <x:c r="F147" s="84" t="str">
        <x:v>模式定义</x:v>
      </x:c>
      <x:c r="G147" s="74" t="str">
        <x:v>CP09 行动保护型</x:v>
      </x:c>
      <x:c r="H147" s="74" t="str"/>
      <x:c r="I147" s="74" t="str">
        <x:v>七杀、劫财或H04行动保护明显；存在关键任务行为证据。</x:v>
      </x:c>
      <x:c r="J147" s="74" t="str">
        <x:v>只有单一弱远信号；source_id重复；基础状态未定。</x:v>
      </x:c>
      <x:c r="K147" s="74" t="str">
        <x:v>由共享基础引擎与M3-STATE修正</x:v>
      </x:c>
      <x:c r="L147" s="74" t="str">
        <x:v>不限定；夫妻星仅在形成独立CARE证据或入宫接口时参与</x:v>
      </x:c>
      <x:c r="M147" s="74" t="str">
        <x:v>由M3-BASE、日支结构及共享引擎提供</x:v>
      </x:c>
      <x:c r="N147" s="74" t="str">
        <x:v>无／待CARE路径规则组合</x:v>
      </x:c>
      <x:c r="O147" s="74" t="str">
        <x:v>全局有效信号；日柱及亲密关系近位优先</x:v>
      </x:c>
      <x:c r="P147" s="74" t="str">
        <x:v>由共享基础引擎判定</x:v>
      </x:c>
      <x:c r="Q147" s="74" t="str">
        <x:v>由共享基础引擎判定</x:v>
      </x:c>
      <x:c r="R147" s="74" t="str">
        <x:v>喜忌不直接等于愿不愿付出；只修正调用顺畅度与资源压力</x:v>
      </x:c>
      <x:c r="S147" s="74" t="str">
        <x:v>原十神性质有效；真合化成立时按化神路由</x:v>
      </x:c>
      <x:c r="T147" s="74" t="str">
        <x:v>由共享基础引擎判定</x:v>
      </x:c>
      <x:c r="U147" s="74" t="str">
        <x:v>67</x:v>
      </x:c>
      <x:c r="V147" s="74" t="str">
        <x:v>模式候选 +10</x:v>
      </x:c>
      <x:c r="W147" s="74" t="str">
        <x:v>care_pattern</x:v>
      </x:c>
      <x:c r="X147" s="74" t="str">
        <x:v>支持主要在关键时刻通过快速处理、保护和推进问题解决。</x:v>
      </x:c>
      <x:c r="Y147" s="74" t="str">
        <x:v>遇到明确困难时，你更容易先采取行动、处理障碍和推动事情落地。</x:v>
      </x:c>
      <x:c r="Z147" s="74" t="str">
        <x:v>不得由本规则直接推出过度付出、付出失衡、依赖、控制、忠诚度、关系结果或适配度；不得把某种照顾方式等同于爱得更多或更少。</x:v>
      </x:c>
      <x:c r="AA147" s="74" t="str">
        <x:v>中高</x:v>
      </x:c>
      <x:c r="AB147" s="74" t="str">
        <x:v>待验证</x:v>
      </x:c>
      <x:c r="AC147" s="74" t="str"/>
      <x:c r="AD147" s="74" t="str">
        <x:v>provisional=true; pattern=CP09; aspect=definition</x:v>
      </x:c>
      <x:c r="AE147" s="74" t="str">
        <x:v>0.4</x:v>
      </x:c>
    </x:row>
    <x:row r="148">
      <x:c r="A148" s="84" t="str">
        <x:v>M3-CARE-144</x:v>
      </x:c>
      <x:c r="B148" s="84" t="str">
        <x:v>CP09 行动保护型｜成立与输出门槛</x:v>
      </x:c>
      <x:c r="C148" s="84" t="str">
        <x:v>L3 CARE模式与路径</x:v>
      </x:c>
      <x:c r="D148" s="84" t="str">
        <x:v>CARE-付出模式</x:v>
      </x:c>
      <x:c r="E148" s="84" t="str">
        <x:v>通用</x:v>
      </x:c>
      <x:c r="F148" s="84" t="str">
        <x:v>模式门槛</x:v>
      </x:c>
      <x:c r="G148" s="74" t="str">
        <x:v>CP09 行动保护型</x:v>
      </x:c>
      <x:c r="H148" s="74" t="str"/>
      <x:c r="I148" s="74" t="str">
        <x:v>七杀、劫财或H04行动保护明显；存在关键任务行为证据。；至少有两类证据或一类高权威近位证据与行为验证。</x:v>
      </x:c>
      <x:c r="J148" s="74" t="str">
        <x:v>仅由一个十神标签推断；与另一候选分差不足且无功能区分。</x:v>
      </x:c>
      <x:c r="K148" s="74" t="str">
        <x:v>由共享基础引擎与M3-STATE修正</x:v>
      </x:c>
      <x:c r="L148" s="74" t="str">
        <x:v>不限定；夫妻星仅在形成独立CARE证据或入宫接口时参与</x:v>
      </x:c>
      <x:c r="M148" s="74" t="str">
        <x:v>由M3-BASE、日支结构及共享引擎提供</x:v>
      </x:c>
      <x:c r="N148" s="74" t="str">
        <x:v>无／待CARE路径规则组合</x:v>
      </x:c>
      <x:c r="O148" s="74" t="str">
        <x:v>全局有效信号；日柱及亲密关系近位优先</x:v>
      </x:c>
      <x:c r="P148" s="74" t="str">
        <x:v>由共享基础引擎判定</x:v>
      </x:c>
      <x:c r="Q148" s="74" t="str">
        <x:v>由共享基础引擎判定</x:v>
      </x:c>
      <x:c r="R148" s="74" t="str">
        <x:v>喜忌不直接等于愿不愿付出；只修正调用顺畅度与资源压力</x:v>
      </x:c>
      <x:c r="S148" s="74" t="str">
        <x:v>原十神性质有效；真合化成立时按化神路由</x:v>
      </x:c>
      <x:c r="T148" s="74" t="str">
        <x:v>由共享基础引擎判定</x:v>
      </x:c>
      <x:c r="U148" s="74" t="str">
        <x:v>66</x:v>
      </x:c>
      <x:c r="V148" s="74" t="str">
        <x:v>达到门槛后写入主模式；否则降为候选</x:v>
      </x:c>
      <x:c r="W148" s="74" t="str">
        <x:v>care_pattern</x:v>
      </x:c>
      <x:c r="X148" s="74" t="str">
        <x:v>行动保护型只有在启动方向、内容与连续性至少两项互相支持时成立，不能由单一标签直接确定。</x:v>
      </x:c>
      <x:c r="Y148" s="74" t="str">
        <x:v>遇到明确困难时，你更容易先采取行动、处理障碍和推动事情落地。 这一判断看的是支持如何启动和持续，不代表其他方式缺失。</x:v>
      </x:c>
      <x:c r="Z148" s="74" t="str">
        <x:v>不得由本规则直接推出过度付出、付出失衡、依赖、控制、忠诚度、关系结果或适配度；不得把某种照顾方式等同于爱得更多或更少。</x:v>
      </x:c>
      <x:c r="AA148" s="74" t="str">
        <x:v>中</x:v>
      </x:c>
      <x:c r="AB148" s="74" t="str">
        <x:v>待验证</x:v>
      </x:c>
      <x:c r="AC148" s="74" t="str"/>
      <x:c r="AD148" s="74" t="str">
        <x:v>provisional=true; pattern=CP09; aspect=threshold</x:v>
      </x:c>
      <x:c r="AE148" s="74" t="str">
        <x:v>0.4</x:v>
      </x:c>
    </x:row>
    <x:row r="149">
      <x:c r="A149" s="84" t="str">
        <x:v>M3-CARE-145</x:v>
      </x:c>
      <x:c r="B149" s="84" t="str">
        <x:v>CP10 灵活体验型｜模式定义</x:v>
      </x:c>
      <x:c r="C149" s="84" t="str">
        <x:v>L3 CARE模式与路径</x:v>
      </x:c>
      <x:c r="D149" s="84" t="str">
        <x:v>CARE-付出模式</x:v>
      </x:c>
      <x:c r="E149" s="84" t="str">
        <x:v>通用</x:v>
      </x:c>
      <x:c r="F149" s="84" t="str">
        <x:v>模式定义</x:v>
      </x:c>
      <x:c r="G149" s="74" t="str">
        <x:v>CP10 灵活体验型</x:v>
      </x:c>
      <x:c r="H149" s="74" t="str"/>
      <x:c r="I149" s="74" t="str">
        <x:v>偏财、食神或H05体验联结明显；支持行为不只是一项单次标签。</x:v>
      </x:c>
      <x:c r="J149" s="74" t="str">
        <x:v>只有单一弱远信号；source_id重复；基础状态未定。</x:v>
      </x:c>
      <x:c r="K149" s="74" t="str">
        <x:v>由共享基础引擎与M3-STATE修正</x:v>
      </x:c>
      <x:c r="L149" s="74" t="str">
        <x:v>不限定；夫妻星仅在形成独立CARE证据或入宫接口时参与</x:v>
      </x:c>
      <x:c r="M149" s="74" t="str">
        <x:v>由M3-BASE、日支结构及共享引擎提供</x:v>
      </x:c>
      <x:c r="N149" s="74" t="str">
        <x:v>无／待CARE路径规则组合</x:v>
      </x:c>
      <x:c r="O149" s="74" t="str">
        <x:v>全局有效信号；日柱及亲密关系近位优先</x:v>
      </x:c>
      <x:c r="P149" s="74" t="str">
        <x:v>由共享基础引擎判定</x:v>
      </x:c>
      <x:c r="Q149" s="74" t="str">
        <x:v>由共享基础引擎判定</x:v>
      </x:c>
      <x:c r="R149" s="74" t="str">
        <x:v>喜忌不直接等于愿不愿付出；只修正调用顺畅度与资源压力</x:v>
      </x:c>
      <x:c r="S149" s="74" t="str">
        <x:v>原十神性质有效；真合化成立时按化神路由</x:v>
      </x:c>
      <x:c r="T149" s="74" t="str">
        <x:v>由共享基础引擎判定</x:v>
      </x:c>
      <x:c r="U149" s="74" t="str">
        <x:v>67</x:v>
      </x:c>
      <x:c r="V149" s="74" t="str">
        <x:v>模式候选 +10</x:v>
      </x:c>
      <x:c r="W149" s="74" t="str">
        <x:v>care_pattern</x:v>
      </x:c>
      <x:c r="X149" s="74" t="str">
        <x:v>支持主要通过体验、资源、人脉、礼物和灵活回应保持关系活力。</x:v>
      </x:c>
      <x:c r="Y149" s="74" t="str">
        <x:v>你会通过灵活安排、共同体验、分享资源和及时回应，让关系保持活力。</x:v>
      </x:c>
      <x:c r="Z149" s="74" t="str">
        <x:v>不得由本规则直接推出过度付出、付出失衡、依赖、控制、忠诚度、关系结果或适配度；不得把某种照顾方式等同于爱得更多或更少。</x:v>
      </x:c>
      <x:c r="AA149" s="74" t="str">
        <x:v>中高</x:v>
      </x:c>
      <x:c r="AB149" s="74" t="str">
        <x:v>待验证</x:v>
      </x:c>
      <x:c r="AC149" s="74" t="str"/>
      <x:c r="AD149" s="74" t="str">
        <x:v>provisional=true; pattern=CP10; aspect=definition</x:v>
      </x:c>
      <x:c r="AE149" s="74" t="str">
        <x:v>0.4</x:v>
      </x:c>
    </x:row>
    <x:row r="150">
      <x:c r="A150" s="84" t="str">
        <x:v>M3-CARE-146</x:v>
      </x:c>
      <x:c r="B150" s="84" t="str">
        <x:v>CP10 灵活体验型｜成立与输出门槛</x:v>
      </x:c>
      <x:c r="C150" s="84" t="str">
        <x:v>L3 CARE模式与路径</x:v>
      </x:c>
      <x:c r="D150" s="84" t="str">
        <x:v>CARE-付出模式</x:v>
      </x:c>
      <x:c r="E150" s="84" t="str">
        <x:v>通用</x:v>
      </x:c>
      <x:c r="F150" s="84" t="str">
        <x:v>模式门槛</x:v>
      </x:c>
      <x:c r="G150" s="74" t="str">
        <x:v>CP10 灵活体验型</x:v>
      </x:c>
      <x:c r="H150" s="74" t="str"/>
      <x:c r="I150" s="74" t="str">
        <x:v>偏财、食神或H05体验联结明显；支持行为不只是一项单次标签。；至少有两类证据或一类高权威近位证据与行为验证。</x:v>
      </x:c>
      <x:c r="J150" s="74" t="str">
        <x:v>仅由一个十神标签推断；与另一候选分差不足且无功能区分。</x:v>
      </x:c>
      <x:c r="K150" s="74" t="str">
        <x:v>由共享基础引擎与M3-STATE修正</x:v>
      </x:c>
      <x:c r="L150" s="74" t="str">
        <x:v>不限定；夫妻星仅在形成独立CARE证据或入宫接口时参与</x:v>
      </x:c>
      <x:c r="M150" s="74" t="str">
        <x:v>由M3-BASE、日支结构及共享引擎提供</x:v>
      </x:c>
      <x:c r="N150" s="74" t="str">
        <x:v>无／待CARE路径规则组合</x:v>
      </x:c>
      <x:c r="O150" s="74" t="str">
        <x:v>全局有效信号；日柱及亲密关系近位优先</x:v>
      </x:c>
      <x:c r="P150" s="74" t="str">
        <x:v>由共享基础引擎判定</x:v>
      </x:c>
      <x:c r="Q150" s="74" t="str">
        <x:v>由共享基础引擎判定</x:v>
      </x:c>
      <x:c r="R150" s="74" t="str">
        <x:v>喜忌不直接等于愿不愿付出；只修正调用顺畅度与资源压力</x:v>
      </x:c>
      <x:c r="S150" s="74" t="str">
        <x:v>原十神性质有效；真合化成立时按化神路由</x:v>
      </x:c>
      <x:c r="T150" s="74" t="str">
        <x:v>由共享基础引擎判定</x:v>
      </x:c>
      <x:c r="U150" s="74" t="str">
        <x:v>66</x:v>
      </x:c>
      <x:c r="V150" s="74" t="str">
        <x:v>达到门槛后写入主模式；否则降为候选</x:v>
      </x:c>
      <x:c r="W150" s="74" t="str">
        <x:v>care_pattern</x:v>
      </x:c>
      <x:c r="X150" s="74" t="str">
        <x:v>灵活体验型只有在启动方向、内容与连续性至少两项互相支持时成立，不能由单一标签直接确定。</x:v>
      </x:c>
      <x:c r="Y150" s="74" t="str">
        <x:v>你会通过灵活安排、共同体验、分享资源和及时回应，让关系保持活力。 这一判断看的是支持如何启动和持续，不代表其他方式缺失。</x:v>
      </x:c>
      <x:c r="Z150" s="74" t="str">
        <x:v>不得由本规则直接推出过度付出、付出失衡、依赖、控制、忠诚度、关系结果或适配度；不得把某种照顾方式等同于爱得更多或更少。</x:v>
      </x:c>
      <x:c r="AA150" s="74" t="str">
        <x:v>中</x:v>
      </x:c>
      <x:c r="AB150" s="74" t="str">
        <x:v>待验证</x:v>
      </x:c>
      <x:c r="AC150" s="74" t="str"/>
      <x:c r="AD150" s="74" t="str">
        <x:v>provisional=true; pattern=CP10; aspect=threshold</x:v>
      </x:c>
      <x:c r="AE150" s="74" t="str">
        <x:v>0.4</x:v>
      </x:c>
    </x:row>
    <x:row r="151">
      <x:c r="A151" s="84" t="str">
        <x:v>M3-CARE-147</x:v>
      </x:c>
      <x:c r="B151" s="84" t="str">
        <x:v>CP11 双通道交换型｜模式定义</x:v>
      </x:c>
      <x:c r="C151" s="84" t="str">
        <x:v>L3 CARE模式与路径</x:v>
      </x:c>
      <x:c r="D151" s="84" t="str">
        <x:v>CARE-付出模式</x:v>
      </x:c>
      <x:c r="E151" s="84" t="str">
        <x:v>通用</x:v>
      </x:c>
      <x:c r="F151" s="84" t="str">
        <x:v>模式定义</x:v>
      </x:c>
      <x:c r="G151" s="74" t="str">
        <x:v>CP11 双通道交换型</x:v>
      </x:c>
      <x:c r="H151" s="74" t="str"/>
      <x:c r="I151" s="74" t="str">
        <x:v>两个通道均达到候选阈值；source_id独立；功能不同；未同义收敛。</x:v>
      </x:c>
      <x:c r="J151" s="74" t="str">
        <x:v>只有单一弱远信号；source_id重复；基础状态未定。</x:v>
      </x:c>
      <x:c r="K151" s="74" t="str">
        <x:v>由共享基础引擎与M3-STATE修正</x:v>
      </x:c>
      <x:c r="L151" s="74" t="str">
        <x:v>不限定；夫妻星仅在形成独立CARE证据或入宫接口时参与</x:v>
      </x:c>
      <x:c r="M151" s="74" t="str">
        <x:v>由M3-BASE、日支结构及共享引擎提供</x:v>
      </x:c>
      <x:c r="N151" s="74" t="str">
        <x:v>无／待CARE路径规则组合</x:v>
      </x:c>
      <x:c r="O151" s="74" t="str">
        <x:v>全局有效信号；日柱及亲密关系近位优先</x:v>
      </x:c>
      <x:c r="P151" s="74" t="str">
        <x:v>由共享基础引擎判定</x:v>
      </x:c>
      <x:c r="Q151" s="74" t="str">
        <x:v>由共享基础引擎判定</x:v>
      </x:c>
      <x:c r="R151" s="74" t="str">
        <x:v>喜忌不直接等于愿不愿付出；只修正调用顺畅度与资源压力</x:v>
      </x:c>
      <x:c r="S151" s="74" t="str">
        <x:v>原十神性质有效；真合化成立时按化神路由</x:v>
      </x:c>
      <x:c r="T151" s="74" t="str">
        <x:v>由共享基础引擎判定</x:v>
      </x:c>
      <x:c r="U151" s="74" t="str">
        <x:v>67</x:v>
      </x:c>
      <x:c r="V151" s="74" t="str">
        <x:v>模式候选 +10</x:v>
      </x:c>
      <x:c r="W151" s="74" t="str">
        <x:v>care_pattern</x:v>
      </x:c>
      <x:c r="X151" s="74" t="str">
        <x:v>两个来源独立、功能不同的CARE通道分工合作。</x:v>
      </x:c>
      <x:c r="Y151" s="74" t="str">
        <x:v>你通常不只用一种方式支持关系：一项负责主要投入，另一项负责补充或回馈。</x:v>
      </x:c>
      <x:c r="Z151" s="74" t="str">
        <x:v>不得由本规则直接推出过度付出、付出失衡、依赖、控制、忠诚度、关系结果或适配度；不得把某种照顾方式等同于爱得更多或更少。</x:v>
      </x:c>
      <x:c r="AA151" s="74" t="str">
        <x:v>中高</x:v>
      </x:c>
      <x:c r="AB151" s="74" t="str">
        <x:v>待验证</x:v>
      </x:c>
      <x:c r="AC151" s="74" t="str"/>
      <x:c r="AD151" s="74" t="str">
        <x:v>provisional=true; pattern=CP11; aspect=definition</x:v>
      </x:c>
      <x:c r="AE151" s="74" t="str">
        <x:v>0.4</x:v>
      </x:c>
    </x:row>
    <x:row r="152">
      <x:c r="A152" s="84" t="str">
        <x:v>M3-CARE-148</x:v>
      </x:c>
      <x:c r="B152" s="84" t="str">
        <x:v>CP11 双通道交换型｜成立与输出门槛</x:v>
      </x:c>
      <x:c r="C152" s="84" t="str">
        <x:v>L3 CARE模式与路径</x:v>
      </x:c>
      <x:c r="D152" s="84" t="str">
        <x:v>CARE-付出模式</x:v>
      </x:c>
      <x:c r="E152" s="84" t="str">
        <x:v>通用</x:v>
      </x:c>
      <x:c r="F152" s="84" t="str">
        <x:v>模式门槛</x:v>
      </x:c>
      <x:c r="G152" s="74" t="str">
        <x:v>CP11 双通道交换型</x:v>
      </x:c>
      <x:c r="H152" s="74" t="str"/>
      <x:c r="I152" s="74" t="str">
        <x:v>两个通道均达到候选阈值；source_id独立；功能不同；未同义收敛。；至少有两类证据或一类高权威近位证据与行为验证。</x:v>
      </x:c>
      <x:c r="J152" s="74" t="str">
        <x:v>仅由一个十神标签推断；与另一候选分差不足且无功能区分。</x:v>
      </x:c>
      <x:c r="K152" s="74" t="str">
        <x:v>由共享基础引擎与M3-STATE修正</x:v>
      </x:c>
      <x:c r="L152" s="74" t="str">
        <x:v>不限定；夫妻星仅在形成独立CARE证据或入宫接口时参与</x:v>
      </x:c>
      <x:c r="M152" s="74" t="str">
        <x:v>由M3-BASE、日支结构及共享引擎提供</x:v>
      </x:c>
      <x:c r="N152" s="74" t="str">
        <x:v>无／待CARE路径规则组合</x:v>
      </x:c>
      <x:c r="O152" s="74" t="str">
        <x:v>全局有效信号；日柱及亲密关系近位优先</x:v>
      </x:c>
      <x:c r="P152" s="74" t="str">
        <x:v>由共享基础引擎判定</x:v>
      </x:c>
      <x:c r="Q152" s="74" t="str">
        <x:v>由共享基础引擎判定</x:v>
      </x:c>
      <x:c r="R152" s="74" t="str">
        <x:v>喜忌不直接等于愿不愿付出；只修正调用顺畅度与资源压力</x:v>
      </x:c>
      <x:c r="S152" s="74" t="str">
        <x:v>原十神性质有效；真合化成立时按化神路由</x:v>
      </x:c>
      <x:c r="T152" s="74" t="str">
        <x:v>由共享基础引擎判定</x:v>
      </x:c>
      <x:c r="U152" s="74" t="str">
        <x:v>66</x:v>
      </x:c>
      <x:c r="V152" s="74" t="str">
        <x:v>达到门槛后写入主模式；否则降为候选</x:v>
      </x:c>
      <x:c r="W152" s="74" t="str">
        <x:v>care_pattern</x:v>
      </x:c>
      <x:c r="X152" s="74" t="str">
        <x:v>双通道交换型只有在启动方向、内容与连续性至少两项互相支持时成立，不能由单一标签直接确定。</x:v>
      </x:c>
      <x:c r="Y152" s="74" t="str">
        <x:v>你通常不只用一种方式支持关系：一项负责主要投入，另一项负责补充或回馈。 这一判断看的是支持如何启动和持续，不代表其他方式缺失。</x:v>
      </x:c>
      <x:c r="Z152" s="74" t="str">
        <x:v>不得由本规则直接推出过度付出、付出失衡、依赖、控制、忠诚度、关系结果或适配度；不得把某种照顾方式等同于爱得更多或更少。</x:v>
      </x:c>
      <x:c r="AA152" s="74" t="str">
        <x:v>中</x:v>
      </x:c>
      <x:c r="AB152" s="74" t="str">
        <x:v>待验证</x:v>
      </x:c>
      <x:c r="AC152" s="74" t="str"/>
      <x:c r="AD152" s="74" t="str">
        <x:v>provisional=true; pattern=CP11; aspect=threshold</x:v>
      </x:c>
      <x:c r="AE152" s="74" t="str">
        <x:v>0.4</x:v>
      </x:c>
    </x:row>
    <x:row r="153">
      <x:c r="A153" s="84" t="str">
        <x:v>M3-CARE-149</x:v>
      </x:c>
      <x:c r="B153" s="84" t="str">
        <x:v>CP12 情境切换型｜模式定义</x:v>
      </x:c>
      <x:c r="C153" s="84" t="str">
        <x:v>L3 CARE模式与路径</x:v>
      </x:c>
      <x:c r="D153" s="84" t="str">
        <x:v>CARE-付出模式</x:v>
      </x:c>
      <x:c r="E153" s="84" t="str">
        <x:v>通用</x:v>
      </x:c>
      <x:c r="F153" s="84" t="str">
        <x:v>模式定义</x:v>
      </x:c>
      <x:c r="G153" s="74" t="str">
        <x:v>CP12 情境切换型</x:v>
      </x:c>
      <x:c r="H153" s="74" t="str"/>
      <x:c r="I153" s="74" t="str">
        <x:v>至少两项通道在不同情境各自有独立证据；M3-STATE或阶段信息支持切换。</x:v>
      </x:c>
      <x:c r="J153" s="74" t="str">
        <x:v>只有单一弱远信号；source_id重复；基础状态未定。</x:v>
      </x:c>
      <x:c r="K153" s="74" t="str">
        <x:v>由共享基础引擎与M3-STATE修正</x:v>
      </x:c>
      <x:c r="L153" s="74" t="str">
        <x:v>不限定；夫妻星仅在形成独立CARE证据或入宫接口时参与</x:v>
      </x:c>
      <x:c r="M153" s="74" t="str">
        <x:v>由M3-BASE、日支结构及共享引擎提供</x:v>
      </x:c>
      <x:c r="N153" s="74" t="str">
        <x:v>无／待CARE路径规则组合</x:v>
      </x:c>
      <x:c r="O153" s="74" t="str">
        <x:v>全局有效信号；日柱及亲密关系近位优先</x:v>
      </x:c>
      <x:c r="P153" s="74" t="str">
        <x:v>由共享基础引擎判定</x:v>
      </x:c>
      <x:c r="Q153" s="74" t="str">
        <x:v>由共享基础引擎判定</x:v>
      </x:c>
      <x:c r="R153" s="74" t="str">
        <x:v>喜忌不直接等于愿不愿付出；只修正调用顺畅度与资源压力</x:v>
      </x:c>
      <x:c r="S153" s="74" t="str">
        <x:v>原十神性质有效；真合化成立时按化神路由</x:v>
      </x:c>
      <x:c r="T153" s="74" t="str">
        <x:v>由共享基础引擎判定</x:v>
      </x:c>
      <x:c r="U153" s="74" t="str">
        <x:v>67</x:v>
      </x:c>
      <x:c r="V153" s="74" t="str">
        <x:v>模式候选 +10</x:v>
      </x:c>
      <x:c r="W153" s="74" t="str">
        <x:v>care_pattern</x:v>
      </x:c>
      <x:c r="X153" s="74" t="str">
        <x:v>不同情境、阶段或压力水平会改变支持通道的启动顺序。</x:v>
      </x:c>
      <x:c r="Y153" s="74" t="str">
        <x:v>你在日常、明确任务和压力状态下，可能会调用不同的支持方式。</x:v>
      </x:c>
      <x:c r="Z153" s="74" t="str">
        <x:v>不得由本规则直接推出过度付出、付出失衡、依赖、控制、忠诚度、关系结果或适配度；不得把某种照顾方式等同于爱得更多或更少。</x:v>
      </x:c>
      <x:c r="AA153" s="74" t="str">
        <x:v>中高</x:v>
      </x:c>
      <x:c r="AB153" s="74" t="str">
        <x:v>待验证</x:v>
      </x:c>
      <x:c r="AC153" s="74" t="str"/>
      <x:c r="AD153" s="74" t="str">
        <x:v>provisional=true; pattern=CP12; aspect=definition</x:v>
      </x:c>
      <x:c r="AE153" s="74" t="str">
        <x:v>0.4</x:v>
      </x:c>
    </x:row>
    <x:row r="154">
      <x:c r="A154" s="84" t="str">
        <x:v>M3-CARE-150</x:v>
      </x:c>
      <x:c r="B154" s="84" t="str">
        <x:v>CP12 情境切换型｜成立与输出门槛</x:v>
      </x:c>
      <x:c r="C154" s="84" t="str">
        <x:v>L3 CARE模式与路径</x:v>
      </x:c>
      <x:c r="D154" s="84" t="str">
        <x:v>CARE-付出模式</x:v>
      </x:c>
      <x:c r="E154" s="84" t="str">
        <x:v>通用</x:v>
      </x:c>
      <x:c r="F154" s="84" t="str">
        <x:v>模式门槛</x:v>
      </x:c>
      <x:c r="G154" s="74" t="str">
        <x:v>CP12 情境切换型</x:v>
      </x:c>
      <x:c r="H154" s="74" t="str"/>
      <x:c r="I154" s="74" t="str">
        <x:v>至少两项通道在不同情境各自有独立证据；M3-STATE或阶段信息支持切换。；至少有两类证据或一类高权威近位证据与行为验证。</x:v>
      </x:c>
      <x:c r="J154" s="74" t="str">
        <x:v>仅由一个十神标签推断；与另一候选分差不足且无功能区分。</x:v>
      </x:c>
      <x:c r="K154" s="74" t="str">
        <x:v>由共享基础引擎与M3-STATE修正</x:v>
      </x:c>
      <x:c r="L154" s="74" t="str">
        <x:v>不限定；夫妻星仅在形成独立CARE证据或入宫接口时参与</x:v>
      </x:c>
      <x:c r="M154" s="74" t="str">
        <x:v>由M3-BASE、日支结构及共享引擎提供</x:v>
      </x:c>
      <x:c r="N154" s="74" t="str">
        <x:v>无／待CARE路径规则组合</x:v>
      </x:c>
      <x:c r="O154" s="74" t="str">
        <x:v>全局有效信号；日柱及亲密关系近位优先</x:v>
      </x:c>
      <x:c r="P154" s="74" t="str">
        <x:v>由共享基础引擎判定</x:v>
      </x:c>
      <x:c r="Q154" s="74" t="str">
        <x:v>由共享基础引擎判定</x:v>
      </x:c>
      <x:c r="R154" s="74" t="str">
        <x:v>喜忌不直接等于愿不愿付出；只修正调用顺畅度与资源压力</x:v>
      </x:c>
      <x:c r="S154" s="74" t="str">
        <x:v>原十神性质有效；真合化成立时按化神路由</x:v>
      </x:c>
      <x:c r="T154" s="74" t="str">
        <x:v>由共享基础引擎判定</x:v>
      </x:c>
      <x:c r="U154" s="74" t="str">
        <x:v>66</x:v>
      </x:c>
      <x:c r="V154" s="74" t="str">
        <x:v>达到门槛后写入主模式；否则降为候选</x:v>
      </x:c>
      <x:c r="W154" s="74" t="str">
        <x:v>care_pattern</x:v>
      </x:c>
      <x:c r="X154" s="74" t="str">
        <x:v>情境切换型只有在启动方向、内容与连续性至少两项互相支持时成立，不能由单一标签直接确定。</x:v>
      </x:c>
      <x:c r="Y154" s="74" t="str">
        <x:v>你在日常、明确任务和压力状态下，可能会调用不同的支持方式。 这一判断看的是支持如何启动和持续，不代表其他方式缺失。</x:v>
      </x:c>
      <x:c r="Z154" s="74" t="str">
        <x:v>不得由本规则直接推出过度付出、付出失衡、依赖、控制、忠诚度、关系结果或适配度；不得把某种照顾方式等同于爱得更多或更少。</x:v>
      </x:c>
      <x:c r="AA154" s="74" t="str">
        <x:v>中</x:v>
      </x:c>
      <x:c r="AB154" s="74" t="str">
        <x:v>待验证</x:v>
      </x:c>
      <x:c r="AC154" s="74" t="str"/>
      <x:c r="AD154" s="74" t="str">
        <x:v>provisional=true; pattern=CP12; aspect=threshold</x:v>
      </x:c>
      <x:c r="AE154" s="74" t="str">
        <x:v>0.4</x:v>
      </x:c>
    </x:row>
    <x:row r="155">
      <x:c r="A155" s="84" t="str">
        <x:v>M3-CARE-151</x:v>
      </x:c>
      <x:c r="B155" s="84" t="str">
        <x:v>CE01 同步互惠｜支持交换结构</x:v>
      </x:c>
      <x:c r="C155" s="84" t="str">
        <x:v>L3 CARE模式与路径</x:v>
      </x:c>
      <x:c r="D155" s="84" t="str">
        <x:v>CARE-交换结构</x:v>
      </x:c>
      <x:c r="E155" s="84" t="str">
        <x:v>通用</x:v>
      </x:c>
      <x:c r="F155" s="84" t="str">
        <x:v>交换结构</x:v>
      </x:c>
      <x:c r="G155" s="74" t="str">
        <x:v>CE01 同步互惠</x:v>
      </x:c>
      <x:c r="H155" s="74" t="str"/>
      <x:c r="I155" s="74" t="str">
        <x:v>FB01或FB02成立；双方行为证据可见且来源独立。</x:v>
      </x:c>
      <x:c r="J155" s="74" t="str">
        <x:v>把一次事件当作长期结构；把风险结论写入CARE。</x:v>
      </x:c>
      <x:c r="K155" s="74" t="str">
        <x:v>由共享基础引擎与M3-STATE修正</x:v>
      </x:c>
      <x:c r="L155" s="74" t="str">
        <x:v>不限定；夫妻星仅在形成独立CARE证据或入宫接口时参与</x:v>
      </x:c>
      <x:c r="M155" s="74" t="str">
        <x:v>由M3-BASE、日支结构及共享引擎提供</x:v>
      </x:c>
      <x:c r="N155" s="74" t="str">
        <x:v>无／待CARE路径规则组合</x:v>
      </x:c>
      <x:c r="O155" s="74" t="str">
        <x:v>全局有效信号；日柱及亲密关系近位优先</x:v>
      </x:c>
      <x:c r="P155" s="74" t="str">
        <x:v>由共享基础引擎判定</x:v>
      </x:c>
      <x:c r="Q155" s="74" t="str">
        <x:v>由共享基础引擎判定</x:v>
      </x:c>
      <x:c r="R155" s="74" t="str">
        <x:v>喜忌不直接等于愿不愿付出；只修正调用顺畅度与资源压力</x:v>
      </x:c>
      <x:c r="S155" s="74" t="str">
        <x:v>原十神性质有效；真合化成立时按化神路由</x:v>
      </x:c>
      <x:c r="T155" s="74" t="str">
        <x:v>由共享基础引擎判定</x:v>
      </x:c>
      <x:c r="U155" s="74" t="str">
        <x:v>61</x:v>
      </x:c>
      <x:c r="V155" s="74" t="str">
        <x:v>交换结构候选 +6／门控</x:v>
      </x:c>
      <x:c r="W155" s="74" t="str">
        <x:v>reciprocity_pattern</x:v>
      </x:c>
      <x:c r="X155" s="74" t="str">
        <x:v>双方在相近时间用可识别方式相互回应，支持形成即时或稳定来回。</x:v>
      </x:c>
      <x:c r="Y155" s="74" t="str">
        <x:v>你更容易在双方都能及时回应、支持有来有回时感受到关系在共同运转。</x:v>
      </x:c>
      <x:c r="Z155" s="74" t="str">
        <x:v>不得由本规则直接推出过度付出、付出失衡、依赖、控制、忠诚度、关系结果或适配度；不得把某种照顾方式等同于爱得更多或更少。</x:v>
      </x:c>
      <x:c r="AA155" s="74" t="str">
        <x:v>中</x:v>
      </x:c>
      <x:c r="AB155" s="74" t="str">
        <x:v>待验证</x:v>
      </x:c>
      <x:c r="AC155" s="74" t="str"/>
      <x:c r="AD155" s="74" t="str">
        <x:v>provisional=true; exchange=CE01</x:v>
      </x:c>
      <x:c r="AE155" s="74" t="str">
        <x:v>0.4</x:v>
      </x:c>
    </x:row>
    <x:row r="156">
      <x:c r="A156" s="84" t="str">
        <x:v>M3-CARE-152</x:v>
      </x:c>
      <x:c r="B156" s="84" t="str">
        <x:v>CE02 错峰互惠｜支持交换结构</x:v>
      </x:c>
      <x:c r="C156" s="84" t="str">
        <x:v>L3 CARE模式与路径</x:v>
      </x:c>
      <x:c r="D156" s="84" t="str">
        <x:v>CARE-交换结构</x:v>
      </x:c>
      <x:c r="E156" s="84" t="str">
        <x:v>通用</x:v>
      </x:c>
      <x:c r="F156" s="84" t="str">
        <x:v>交换结构</x:v>
      </x:c>
      <x:c r="G156" s="74" t="str">
        <x:v>CE02 错峰互惠</x:v>
      </x:c>
      <x:c r="H156" s="74" t="str"/>
      <x:c r="I156" s="74" t="str">
        <x:v>存在先给后收或先收后回的独立时间顺序；并非单向长期缺失。</x:v>
      </x:c>
      <x:c r="J156" s="74" t="str">
        <x:v>把一次事件当作长期结构；把风险结论写入CARE。</x:v>
      </x:c>
      <x:c r="K156" s="74" t="str">
        <x:v>由共享基础引擎与M3-STATE修正</x:v>
      </x:c>
      <x:c r="L156" s="74" t="str">
        <x:v>不限定；夫妻星仅在形成独立CARE证据或入宫接口时参与</x:v>
      </x:c>
      <x:c r="M156" s="74" t="str">
        <x:v>由M3-BASE、日支结构及共享引擎提供</x:v>
      </x:c>
      <x:c r="N156" s="74" t="str">
        <x:v>无／待CARE路径规则组合</x:v>
      </x:c>
      <x:c r="O156" s="74" t="str">
        <x:v>全局有效信号；日柱及亲密关系近位优先</x:v>
      </x:c>
      <x:c r="P156" s="74" t="str">
        <x:v>由共享基础引擎判定</x:v>
      </x:c>
      <x:c r="Q156" s="74" t="str">
        <x:v>由共享基础引擎判定</x:v>
      </x:c>
      <x:c r="R156" s="74" t="str">
        <x:v>喜忌不直接等于愿不愿付出；只修正调用顺畅度与资源压力</x:v>
      </x:c>
      <x:c r="S156" s="74" t="str">
        <x:v>原十神性质有效；真合化成立时按化神路由</x:v>
      </x:c>
      <x:c r="T156" s="74" t="str">
        <x:v>由共享基础引擎判定</x:v>
      </x:c>
      <x:c r="U156" s="74" t="str">
        <x:v>61</x:v>
      </x:c>
      <x:c r="V156" s="74" t="str">
        <x:v>交换结构候选 +6／门控</x:v>
      </x:c>
      <x:c r="W156" s="74" t="str">
        <x:v>reciprocity_pattern</x:v>
      </x:c>
      <x:c r="X156" s="74" t="str">
        <x:v>双方并非同时付出，而是在不同阶段轮流承担和回应。</x:v>
      </x:c>
      <x:c r="Y156" s="74" t="str">
        <x:v>你们的支持可能不是同时发生，而是随着不同阶段轮流承担和回馈。</x:v>
      </x:c>
      <x:c r="Z156" s="74" t="str">
        <x:v>不得由本规则直接推出过度付出、付出失衡、依赖、控制、忠诚度、关系结果或适配度；不得把某种照顾方式等同于爱得更多或更少。</x:v>
      </x:c>
      <x:c r="AA156" s="74" t="str">
        <x:v>中</x:v>
      </x:c>
      <x:c r="AB156" s="74" t="str">
        <x:v>待验证</x:v>
      </x:c>
      <x:c r="AC156" s="74" t="str"/>
      <x:c r="AD156" s="74" t="str">
        <x:v>provisional=true; exchange=CE02</x:v>
      </x:c>
      <x:c r="AE156" s="74" t="str">
        <x:v>0.4</x:v>
      </x:c>
    </x:row>
    <x:row r="157">
      <x:c r="A157" s="84" t="str">
        <x:v>M3-CARE-153</x:v>
      </x:c>
      <x:c r="B157" s="84" t="str">
        <x:v>CE03 角色分工｜支持交换结构</x:v>
      </x:c>
      <x:c r="C157" s="84" t="str">
        <x:v>L3 CARE模式与路径</x:v>
      </x:c>
      <x:c r="D157" s="84" t="str">
        <x:v>CARE-交换结构</x:v>
      </x:c>
      <x:c r="E157" s="84" t="str">
        <x:v>通用</x:v>
      </x:c>
      <x:c r="F157" s="84" t="str">
        <x:v>交换结构</x:v>
      </x:c>
      <x:c r="G157" s="74" t="str">
        <x:v>CE03 角色分工</x:v>
      </x:c>
      <x:c r="H157" s="74" t="str"/>
      <x:c r="I157" s="74" t="str">
        <x:v>FB03角色分工成立；两个通道功能不同且没有同源重复。</x:v>
      </x:c>
      <x:c r="J157" s="74" t="str">
        <x:v>把一次事件当作长期结构；把风险结论写入CARE。</x:v>
      </x:c>
      <x:c r="K157" s="74" t="str">
        <x:v>由共享基础引擎与M3-STATE修正</x:v>
      </x:c>
      <x:c r="L157" s="74" t="str">
        <x:v>不限定；夫妻星仅在形成独立CARE证据或入宫接口时参与</x:v>
      </x:c>
      <x:c r="M157" s="74" t="str">
        <x:v>由M3-BASE、日支结构及共享引擎提供</x:v>
      </x:c>
      <x:c r="N157" s="74" t="str">
        <x:v>无／待CARE路径规则组合</x:v>
      </x:c>
      <x:c r="O157" s="74" t="str">
        <x:v>全局有效信号；日柱及亲密关系近位优先</x:v>
      </x:c>
      <x:c r="P157" s="74" t="str">
        <x:v>由共享基础引擎判定</x:v>
      </x:c>
      <x:c r="Q157" s="74" t="str">
        <x:v>由共享基础引擎判定</x:v>
      </x:c>
      <x:c r="R157" s="74" t="str">
        <x:v>喜忌不直接等于愿不愿付出；只修正调用顺畅度与资源压力</x:v>
      </x:c>
      <x:c r="S157" s="74" t="str">
        <x:v>原十神性质有效；真合化成立时按化神路由</x:v>
      </x:c>
      <x:c r="T157" s="74" t="str">
        <x:v>由共享基础引擎判定</x:v>
      </x:c>
      <x:c r="U157" s="74" t="str">
        <x:v>61</x:v>
      </x:c>
      <x:c r="V157" s="74" t="str">
        <x:v>交换结构候选 +6／门控</x:v>
      </x:c>
      <x:c r="W157" s="74" t="str">
        <x:v>reciprocity_pattern</x:v>
      </x:c>
      <x:c r="X157" s="74" t="str">
        <x:v>双方或两个CARE通道承担不同类型的支持功能。</x:v>
      </x:c>
      <x:c r="Y157" s="74" t="str">
        <x:v>关系中的支持更可能通过分工完成：一项负责现实事务，另一项负责情绪、认知或行动支持。</x:v>
      </x:c>
      <x:c r="Z157" s="74" t="str">
        <x:v>不得由本规则直接推出过度付出、付出失衡、依赖、控制、忠诚度、关系结果或适配度；不得把某种照顾方式等同于爱得更多或更少。</x:v>
      </x:c>
      <x:c r="AA157" s="74" t="str">
        <x:v>中</x:v>
      </x:c>
      <x:c r="AB157" s="74" t="str">
        <x:v>待验证</x:v>
      </x:c>
      <x:c r="AC157" s="74" t="str"/>
      <x:c r="AD157" s="74" t="str">
        <x:v>provisional=true; exchange=CE03</x:v>
      </x:c>
      <x:c r="AE157" s="74" t="str">
        <x:v>0.4</x:v>
      </x:c>
    </x:row>
    <x:row r="158">
      <x:c r="A158" s="84" t="str">
        <x:v>M3-CARE-154</x:v>
      </x:c>
      <x:c r="B158" s="84" t="str">
        <x:v>CE04 先给后收｜支持交换结构</x:v>
      </x:c>
      <x:c r="C158" s="84" t="str">
        <x:v>L3 CARE模式与路径</x:v>
      </x:c>
      <x:c r="D158" s="84" t="str">
        <x:v>CARE-交换结构</x:v>
      </x:c>
      <x:c r="E158" s="84" t="str">
        <x:v>通用</x:v>
      </x:c>
      <x:c r="F158" s="84" t="str">
        <x:v>交换结构</x:v>
      </x:c>
      <x:c r="G158" s="74" t="str">
        <x:v>CE04 先给后收</x:v>
      </x:c>
      <x:c r="H158" s="74" t="str"/>
      <x:c r="I158" s="74" t="str">
        <x:v>G01主动投入与RC02/RC03接受方式同时成立，且路径顺序有独立证据。</x:v>
      </x:c>
      <x:c r="J158" s="74" t="str">
        <x:v>把一次事件当作长期结构；把风险结论写入CARE。</x:v>
      </x:c>
      <x:c r="K158" s="74" t="str">
        <x:v>由共享基础引擎与M3-STATE修正</x:v>
      </x:c>
      <x:c r="L158" s="74" t="str">
        <x:v>不限定；夫妻星仅在形成独立CARE证据或入宫接口时参与</x:v>
      </x:c>
      <x:c r="M158" s="74" t="str">
        <x:v>由M3-BASE、日支结构及共享引擎提供</x:v>
      </x:c>
      <x:c r="N158" s="74" t="str">
        <x:v>无／待CARE路径规则组合</x:v>
      </x:c>
      <x:c r="O158" s="74" t="str">
        <x:v>全局有效信号；日柱及亲密关系近位优先</x:v>
      </x:c>
      <x:c r="P158" s="74" t="str">
        <x:v>由共享基础引擎判定</x:v>
      </x:c>
      <x:c r="Q158" s="74" t="str">
        <x:v>由共享基础引擎判定</x:v>
      </x:c>
      <x:c r="R158" s="74" t="str">
        <x:v>喜忌不直接等于愿不愿付出；只修正调用顺畅度与资源压力</x:v>
      </x:c>
      <x:c r="S158" s="74" t="str">
        <x:v>原十神性质有效；真合化成立时按化神路由</x:v>
      </x:c>
      <x:c r="T158" s="74" t="str">
        <x:v>由共享基础引擎判定</x:v>
      </x:c>
      <x:c r="U158" s="74" t="str">
        <x:v>61</x:v>
      </x:c>
      <x:c r="V158" s="74" t="str">
        <x:v>交换结构候选 +6／门控</x:v>
      </x:c>
      <x:c r="W158" s="74" t="str">
        <x:v>reciprocity_pattern</x:v>
      </x:c>
      <x:c r="X158" s="74" t="str">
        <x:v>用户较早投入，之后通过对方回应、稳定表现或信任建立接受支持。</x:v>
      </x:c>
      <x:c r="Y158" s="74" t="str">
        <x:v>你可能先通过行动或安排表达支持，等确认对方能够回应和尊重你以后，再更充分地接受帮助。</x:v>
      </x:c>
      <x:c r="Z158" s="74" t="str">
        <x:v>不得由本规则直接推出过度付出、付出失衡、依赖、控制、忠诚度、关系结果或适配度；不得把某种照顾方式等同于爱得更多或更少。</x:v>
      </x:c>
      <x:c r="AA158" s="74" t="str">
        <x:v>中</x:v>
      </x:c>
      <x:c r="AB158" s="74" t="str">
        <x:v>待验证</x:v>
      </x:c>
      <x:c r="AC158" s="74" t="str"/>
      <x:c r="AD158" s="74" t="str">
        <x:v>provisional=true; exchange=CE04</x:v>
      </x:c>
      <x:c r="AE158" s="74" t="str">
        <x:v>0.4</x:v>
      </x:c>
    </x:row>
    <x:row r="159">
      <x:c r="A159" s="84" t="str">
        <x:v>M3-CARE-155</x:v>
      </x:c>
      <x:c r="B159" s="84" t="str">
        <x:v>CE05 先收后回｜支持交换结构</x:v>
      </x:c>
      <x:c r="C159" s="84" t="str">
        <x:v>L3 CARE模式与路径</x:v>
      </x:c>
      <x:c r="D159" s="84" t="str">
        <x:v>CARE-交换结构</x:v>
      </x:c>
      <x:c r="E159" s="84" t="str">
        <x:v>通用</x:v>
      </x:c>
      <x:c r="F159" s="84" t="str">
        <x:v>交换结构</x:v>
      </x:c>
      <x:c r="G159" s="74" t="str">
        <x:v>CE05 先收后回</x:v>
      </x:c>
      <x:c r="H159" s="74" t="str"/>
      <x:c r="I159" s="74" t="str">
        <x:v>正印/偏印接收与财官杀回馈形成有效桥梁。</x:v>
      </x:c>
      <x:c r="J159" s="74" t="str">
        <x:v>把一次事件当作长期结构；把风险结论写入CARE。</x:v>
      </x:c>
      <x:c r="K159" s="74" t="str">
        <x:v>由共享基础引擎与M3-STATE修正</x:v>
      </x:c>
      <x:c r="L159" s="74" t="str">
        <x:v>不限定；夫妻星仅在形成独立CARE证据或入宫接口时参与</x:v>
      </x:c>
      <x:c r="M159" s="74" t="str">
        <x:v>由M3-BASE、日支结构及共享引擎提供</x:v>
      </x:c>
      <x:c r="N159" s="74" t="str">
        <x:v>无／待CARE路径规则组合</x:v>
      </x:c>
      <x:c r="O159" s="74" t="str">
        <x:v>全局有效信号；日柱及亲密关系近位优先</x:v>
      </x:c>
      <x:c r="P159" s="74" t="str">
        <x:v>由共享基础引擎判定</x:v>
      </x:c>
      <x:c r="Q159" s="74" t="str">
        <x:v>由共享基础引擎判定</x:v>
      </x:c>
      <x:c r="R159" s="74" t="str">
        <x:v>喜忌不直接等于愿不愿付出；只修正调用顺畅度与资源压力</x:v>
      </x:c>
      <x:c r="S159" s="74" t="str">
        <x:v>原十神性质有效；真合化成立时按化神路由</x:v>
      </x:c>
      <x:c r="T159" s="74" t="str">
        <x:v>由共享基础引擎判定</x:v>
      </x:c>
      <x:c r="U159" s="74" t="str">
        <x:v>61</x:v>
      </x:c>
      <x:c r="V159" s="74" t="str">
        <x:v>交换结构候选 +6／门控</x:v>
      </x:c>
      <x:c r="W159" s="74" t="str">
        <x:v>reciprocity_pattern</x:v>
      </x:c>
      <x:c r="X159" s="74" t="str">
        <x:v>用户先在理解、明确需要或获得支持后，转为实际回馈。</x:v>
      </x:c>
      <x:c r="Y159" s="74" t="str">
        <x:v>你更容易在先被理解、得到清楚支持后，再把这份支持转化为实际行动和回馈。</x:v>
      </x:c>
      <x:c r="Z159" s="74" t="str">
        <x:v>不得由本规则直接推出过度付出、付出失衡、依赖、控制、忠诚度、关系结果或适配度；不得把某种照顾方式等同于爱得更多或更少。</x:v>
      </x:c>
      <x:c r="AA159" s="74" t="str">
        <x:v>中</x:v>
      </x:c>
      <x:c r="AB159" s="74" t="str">
        <x:v>待验证</x:v>
      </x:c>
      <x:c r="AC159" s="74" t="str"/>
      <x:c r="AD159" s="74" t="str">
        <x:v>provisional=true; exchange=CE05</x:v>
      </x:c>
      <x:c r="AE159" s="74" t="str">
        <x:v>0.4</x:v>
      </x:c>
    </x:row>
    <x:row r="160">
      <x:c r="A160" s="84" t="str">
        <x:v>M3-CARE-156</x:v>
      </x:c>
      <x:c r="B160" s="84" t="str">
        <x:v>CE06 单向可见候选｜支持交换结构</x:v>
      </x:c>
      <x:c r="C160" s="84" t="str">
        <x:v>L3 CARE模式与路径</x:v>
      </x:c>
      <x:c r="D160" s="84" t="str">
        <x:v>CARE-交换结构</x:v>
      </x:c>
      <x:c r="E160" s="84" t="str">
        <x:v>通用</x:v>
      </x:c>
      <x:c r="F160" s="84" t="str">
        <x:v>交换结构</x:v>
      </x:c>
      <x:c r="G160" s="74" t="str">
        <x:v>CE06 单向可见候选</x:v>
      </x:c>
      <x:c r="H160" s="74" t="str"/>
      <x:c r="I160" s="74" t="str">
        <x:v>用户自述或命理证据只覆盖给予或接受一侧，缺少双向独立证据。</x:v>
      </x:c>
      <x:c r="J160" s="74" t="str">
        <x:v>把一次事件当作长期结构；把风险结论写入CARE。</x:v>
      </x:c>
      <x:c r="K160" s="74" t="str">
        <x:v>由共享基础引擎与M3-STATE修正</x:v>
      </x:c>
      <x:c r="L160" s="74" t="str">
        <x:v>不限定；夫妻星仅在形成独立CARE证据或入宫接口时参与</x:v>
      </x:c>
      <x:c r="M160" s="74" t="str">
        <x:v>由M3-BASE、日支结构及共享引擎提供</x:v>
      </x:c>
      <x:c r="N160" s="74" t="str">
        <x:v>无／待CARE路径规则组合</x:v>
      </x:c>
      <x:c r="O160" s="74" t="str">
        <x:v>全局有效信号；日柱及亲密关系近位优先</x:v>
      </x:c>
      <x:c r="P160" s="74" t="str">
        <x:v>由共享基础引擎判定</x:v>
      </x:c>
      <x:c r="Q160" s="74" t="str">
        <x:v>由共享基础引擎判定</x:v>
      </x:c>
      <x:c r="R160" s="74" t="str">
        <x:v>喜忌不直接等于愿不愿付出；只修正调用顺畅度与资源压力</x:v>
      </x:c>
      <x:c r="S160" s="74" t="str">
        <x:v>原十神性质有效；真合化成立时按化神路由</x:v>
      </x:c>
      <x:c r="T160" s="74" t="str">
        <x:v>由共享基础引擎判定</x:v>
      </x:c>
      <x:c r="U160" s="74" t="str">
        <x:v>61</x:v>
      </x:c>
      <x:c r="V160" s="74" t="str">
        <x:v>交换结构候选 +6／门控</x:v>
      </x:c>
      <x:c r="W160" s="74" t="str">
        <x:v>reciprocity_pattern</x:v>
      </x:c>
      <x:c r="X160" s="74" t="str">
        <x:v>目前只能看见一侧支持行为，另一侧可能隐性、延后或资料不足。</x:v>
      </x:c>
      <x:c r="Y160" s="74" t="str">
        <x:v>目前较容易看见你怎样付出，但怎样接受和回馈还需要真实相处资料，不能直接判断为单向关系。</x:v>
      </x:c>
      <x:c r="Z160" s="74" t="str">
        <x:v>不得由本规则直接推出过度付出、付出失衡、依赖、控制、忠诚度、关系结果或适配度；不得把某种照顾方式等同于爱得更多或更少。</x:v>
      </x:c>
      <x:c r="AA160" s="74" t="str">
        <x:v>中</x:v>
      </x:c>
      <x:c r="AB160" s="74" t="str">
        <x:v>待验证</x:v>
      </x:c>
      <x:c r="AC160" s="74" t="str"/>
      <x:c r="AD160" s="74" t="str">
        <x:v>provisional=true; exchange=CE06</x:v>
      </x:c>
      <x:c r="AE160" s="74" t="str">
        <x:v>0.4</x:v>
      </x:c>
    </x:row>
    <x:row r="161">
      <x:c r="A161" s="84" t="str">
        <x:v>M3-CARE-157</x:v>
      </x:c>
      <x:c r="B161" s="84" t="str">
        <x:v>CE07 同义收敛｜支持交换结构</x:v>
      </x:c>
      <x:c r="C161" s="84" t="str">
        <x:v>L3 CARE模式与路径</x:v>
      </x:c>
      <x:c r="D161" s="84" t="str">
        <x:v>CARE-交换结构</x:v>
      </x:c>
      <x:c r="E161" s="84" t="str">
        <x:v>通用</x:v>
      </x:c>
      <x:c r="F161" s="84" t="str">
        <x:v>交换结构</x:v>
      </x:c>
      <x:c r="G161" s="74" t="str">
        <x:v>CE07 同义收敛</x:v>
      </x:c>
      <x:c r="H161" s="74" t="str"/>
      <x:c r="I161" s="74" t="str">
        <x:v>同一source_id、同根透干或BASE/EXPR/CARE读取同一事实。</x:v>
      </x:c>
      <x:c r="J161" s="74" t="str">
        <x:v>把一次事件当作长期结构；把风险结论写入CARE。</x:v>
      </x:c>
      <x:c r="K161" s="74" t="str">
        <x:v>由共享基础引擎与M3-STATE修正</x:v>
      </x:c>
      <x:c r="L161" s="74" t="str">
        <x:v>不限定；夫妻星仅在形成独立CARE证据或入宫接口时参与</x:v>
      </x:c>
      <x:c r="M161" s="74" t="str">
        <x:v>由M3-BASE、日支结构及共享引擎提供</x:v>
      </x:c>
      <x:c r="N161" s="74" t="str">
        <x:v>无／待CARE路径规则组合</x:v>
      </x:c>
      <x:c r="O161" s="74" t="str">
        <x:v>全局有效信号；日柱及亲密关系近位优先</x:v>
      </x:c>
      <x:c r="P161" s="74" t="str">
        <x:v>由共享基础引擎判定</x:v>
      </x:c>
      <x:c r="Q161" s="74" t="str">
        <x:v>由共享基础引擎判定</x:v>
      </x:c>
      <x:c r="R161" s="74" t="str">
        <x:v>喜忌不直接等于愿不愿付出；只修正调用顺畅度与资源压力</x:v>
      </x:c>
      <x:c r="S161" s="74" t="str">
        <x:v>原十神性质有效；真合化成立时按化神路由</x:v>
      </x:c>
      <x:c r="T161" s="74" t="str">
        <x:v>由共享基础引擎判定</x:v>
      </x:c>
      <x:c r="U161" s="74" t="str">
        <x:v>61</x:v>
      </x:c>
      <x:c r="V161" s="74" t="str">
        <x:v>交换结构候选 +6／门控</x:v>
      </x:c>
      <x:c r="W161" s="74" t="str">
        <x:v>reciprocity_pattern</x:v>
      </x:c>
      <x:c r="X161" s="74" t="str">
        <x:v>多个规则实际描述同一支持事实，应合并为一项功能。</x:v>
      </x:c>
      <x:c r="Y161" s="74" t="str">
        <x:v>看似有多项支持方式时，会先检查是否只是同一行为的不同解释，避免重复堆叠。</x:v>
      </x:c>
      <x:c r="Z161" s="74" t="str">
        <x:v>不得由本规则直接推出过度付出、付出失衡、依赖、控制、忠诚度、关系结果或适配度；不得把某种照顾方式等同于爱得更多或更少。</x:v>
      </x:c>
      <x:c r="AA161" s="74" t="str">
        <x:v>中</x:v>
      </x:c>
      <x:c r="AB161" s="74" t="str">
        <x:v>待验证</x:v>
      </x:c>
      <x:c r="AC161" s="74" t="str"/>
      <x:c r="AD161" s="74" t="str">
        <x:v>provisional=true; exchange=CE07</x:v>
      </x:c>
      <x:c r="AE161" s="74" t="str">
        <x:v>0.4</x:v>
      </x:c>
    </x:row>
    <x:row r="162">
      <x:c r="A162" s="84" t="str">
        <x:v>M3-CARE-158</x:v>
      </x:c>
      <x:c r="B162" s="84" t="str">
        <x:v>CE08 交换结构未定｜支持交换结构</x:v>
      </x:c>
      <x:c r="C162" s="84" t="str">
        <x:v>L3 CARE模式与路径</x:v>
      </x:c>
      <x:c r="D162" s="84" t="str">
        <x:v>CARE-交换结构</x:v>
      </x:c>
      <x:c r="E162" s="84" t="str">
        <x:v>通用</x:v>
      </x:c>
      <x:c r="F162" s="84" t="str">
        <x:v>交换结构</x:v>
      </x:c>
      <x:c r="G162" s="74" t="str">
        <x:v>CE08 交换结构未定</x:v>
      </x:c>
      <x:c r="H162" s="74" t="str"/>
      <x:c r="I162" s="74" t="str">
        <x:v>关键source_id缺失、主次分差不足、伴侣反馈缺失或基础状态争议。</x:v>
      </x:c>
      <x:c r="J162" s="74" t="str">
        <x:v>把一次事件当作长期结构；把风险结论写入CARE。</x:v>
      </x:c>
      <x:c r="K162" s="74" t="str">
        <x:v>由共享基础引擎与M3-STATE修正</x:v>
      </x:c>
      <x:c r="L162" s="74" t="str">
        <x:v>不限定；夫妻星仅在形成独立CARE证据或入宫接口时参与</x:v>
      </x:c>
      <x:c r="M162" s="74" t="str">
        <x:v>由M3-BASE、日支结构及共享引擎提供</x:v>
      </x:c>
      <x:c r="N162" s="74" t="str">
        <x:v>无／待CARE路径规则组合</x:v>
      </x:c>
      <x:c r="O162" s="74" t="str">
        <x:v>全局有效信号；日柱及亲密关系近位优先</x:v>
      </x:c>
      <x:c r="P162" s="74" t="str">
        <x:v>由共享基础引擎判定</x:v>
      </x:c>
      <x:c r="Q162" s="74" t="str">
        <x:v>由共享基础引擎判定</x:v>
      </x:c>
      <x:c r="R162" s="74" t="str">
        <x:v>喜忌不直接等于愿不愿付出；只修正调用顺畅度与资源压力</x:v>
      </x:c>
      <x:c r="S162" s="74" t="str">
        <x:v>原十神性质有效；真合化成立时按化神路由</x:v>
      </x:c>
      <x:c r="T162" s="74" t="str">
        <x:v>由共享基础引擎判定</x:v>
      </x:c>
      <x:c r="U162" s="74" t="str">
        <x:v>61</x:v>
      </x:c>
      <x:c r="V162" s="74" t="str">
        <x:v>交换结构候选 +6／门控</x:v>
      </x:c>
      <x:c r="W162" s="74" t="str">
        <x:v>reciprocity_pattern</x:v>
      </x:c>
      <x:c r="X162" s="74" t="str">
        <x:v>证据冲突、合化未定或双向资料不足时，不固定互惠模式。</x:v>
      </x:c>
      <x:c r="Y162" s="74" t="str">
        <x:v>目前可以描述你的主要支持方式，但双方怎样形成稳定交换仍不宜固定判断。</x:v>
      </x:c>
      <x:c r="Z162" s="74" t="str">
        <x:v>不得由本规则直接推出过度付出、付出失衡、依赖、控制、忠诚度、关系结果或适配度；不得把某种照顾方式等同于爱得更多或更少。</x:v>
      </x:c>
      <x:c r="AA162" s="74" t="str">
        <x:v>中</x:v>
      </x:c>
      <x:c r="AB162" s="74" t="str">
        <x:v>待验证</x:v>
      </x:c>
      <x:c r="AC162" s="74" t="str"/>
      <x:c r="AD162" s="74" t="str">
        <x:v>provisional=true; exchange=CE08</x:v>
      </x:c>
      <x:c r="AE162" s="74" t="str">
        <x:v>0.4</x:v>
      </x:c>
    </x:row>
    <x:row r="163">
      <x:c r="A163" s="84" t="str">
        <x:v>M3-CARE-159</x:v>
      </x:c>
      <x:c r="B163" s="84" t="str">
        <x:v>CF01 印→比劫｜支持转自主｜CARE流向</x:v>
      </x:c>
      <x:c r="C163" s="84" t="str">
        <x:v>L3 CARE模式与路径</x:v>
      </x:c>
      <x:c r="D163" s="84" t="str">
        <x:v>CARE-流向路径</x:v>
      </x:c>
      <x:c r="E163" s="84" t="str">
        <x:v>通用</x:v>
      </x:c>
      <x:c r="F163" s="84" t="str">
        <x:v>路径</x:v>
      </x:c>
      <x:c r="G163" s="74" t="str">
        <x:v>CF01 印→比劫｜支持转自主</x:v>
      </x:c>
      <x:c r="H163" s="74" t="str"/>
      <x:c r="I163" s="74" t="str">
        <x:v>印星与比劫均有效；存在由承接到自主参与的独立桥梁。</x:v>
      </x:c>
      <x:c r="J163" s="74" t="str">
        <x:v>只有五行生克而无现实功能证据；source_id重复；中间桥梁失效。</x:v>
      </x:c>
      <x:c r="K163" s="74" t="str">
        <x:v>由共享基础引擎与M3-STATE修正</x:v>
      </x:c>
      <x:c r="L163" s="74" t="str">
        <x:v>不限定；夫妻星仅在形成独立CARE证据或入宫接口时参与</x:v>
      </x:c>
      <x:c r="M163" s="74" t="str">
        <x:v>由M3-BASE、日支结构及共享引擎提供</x:v>
      </x:c>
      <x:c r="N163" s="74" t="str">
        <x:v>CF01 印→比劫｜支持转自主</x:v>
      </x:c>
      <x:c r="O163" s="74" t="str">
        <x:v>全局有效信号；日柱及亲密关系近位优先</x:v>
      </x:c>
      <x:c r="P163" s="74" t="str">
        <x:v>由共享基础引擎判定</x:v>
      </x:c>
      <x:c r="Q163" s="74" t="str">
        <x:v>由共享基础引擎判定</x:v>
      </x:c>
      <x:c r="R163" s="74" t="str">
        <x:v>喜忌不直接等于愿不愿付出；只修正调用顺畅度与资源压力</x:v>
      </x:c>
      <x:c r="S163" s="74" t="str">
        <x:v>原十神性质有效；真合化成立时按化神路由</x:v>
      </x:c>
      <x:c r="T163" s="74" t="str">
        <x:v>由共享基础引擎判定</x:v>
      </x:c>
      <x:c r="U163" s="74" t="str">
        <x:v>60</x:v>
      </x:c>
      <x:c r="V163" s="74" t="str">
        <x:v>路径候选 +7</x:v>
      </x:c>
      <x:c r="W163" s="74" t="str">
        <x:v>care_path</x:v>
      </x:c>
      <x:c r="X163" s="74" t="str">
        <x:v>先被理解、接住或获得信息，再回到自己的选择和分工。</x:v>
      </x:c>
      <x:c r="Y163" s="74" t="str">
        <x:v>你更容易在先被理解和获得可靠支持后，再回到自己的判断，与对方一起决定怎样处理。</x:v>
      </x:c>
      <x:c r="Z163" s="74" t="str">
        <x:v>不得由本规则直接推出过度付出、付出失衡、依赖、控制、忠诚度、关系结果或适配度；不得把某种照顾方式等同于爱得更多或更少。</x:v>
      </x:c>
      <x:c r="AA163" s="74" t="str">
        <x:v>中</x:v>
      </x:c>
      <x:c r="AB163" s="74" t="str">
        <x:v>待验证</x:v>
      </x:c>
      <x:c r="AC163" s="74" t="str"/>
      <x:c r="AD163" s="74" t="str">
        <x:v>provisional=true; flow=CF01</x:v>
      </x:c>
      <x:c r="AE163" s="74" t="str">
        <x:v>0.4</x:v>
      </x:c>
    </x:row>
    <x:row r="164">
      <x:c r="A164" s="84" t="str">
        <x:v>M3-CARE-160</x:v>
      </x:c>
      <x:c r="B164" s="84" t="str">
        <x:v>CF02 比劫→食伤｜并肩转交流｜CARE流向</x:v>
      </x:c>
      <x:c r="C164" s="84" t="str">
        <x:v>L3 CARE模式与路径</x:v>
      </x:c>
      <x:c r="D164" s="84" t="str">
        <x:v>CARE-流向路径</x:v>
      </x:c>
      <x:c r="E164" s="84" t="str">
        <x:v>通用</x:v>
      </x:c>
      <x:c r="F164" s="84" t="str">
        <x:v>路径</x:v>
      </x:c>
      <x:c r="G164" s="74" t="str">
        <x:v>CF02 比劫→食伤｜并肩转交流</x:v>
      </x:c>
      <x:c r="H164" s="74" t="str"/>
      <x:c r="I164" s="74" t="str">
        <x:v>比劫与食伤均有效；平等参与是起点，表达交流是后续。</x:v>
      </x:c>
      <x:c r="J164" s="74" t="str">
        <x:v>只有五行生克而无现实功能证据；source_id重复；中间桥梁失效。</x:v>
      </x:c>
      <x:c r="K164" s="74" t="str">
        <x:v>由共享基础引擎与M3-STATE修正</x:v>
      </x:c>
      <x:c r="L164" s="74" t="str">
        <x:v>不限定；夫妻星仅在形成独立CARE证据或入宫接口时参与</x:v>
      </x:c>
      <x:c r="M164" s="74" t="str">
        <x:v>由M3-BASE、日支结构及共享引擎提供</x:v>
      </x:c>
      <x:c r="N164" s="74" t="str">
        <x:v>CF02 比劫→食伤｜并肩转交流</x:v>
      </x:c>
      <x:c r="O164" s="74" t="str">
        <x:v>全局有效信号；日柱及亲密关系近位优先</x:v>
      </x:c>
      <x:c r="P164" s="74" t="str">
        <x:v>由共享基础引擎判定</x:v>
      </x:c>
      <x:c r="Q164" s="74" t="str">
        <x:v>由共享基础引擎判定</x:v>
      </x:c>
      <x:c r="R164" s="74" t="str">
        <x:v>喜忌不直接等于愿不愿付出；只修正调用顺畅度与资源压力</x:v>
      </x:c>
      <x:c r="S164" s="74" t="str">
        <x:v>原十神性质有效；真合化成立时按化神路由</x:v>
      </x:c>
      <x:c r="T164" s="74" t="str">
        <x:v>由共享基础引擎判定</x:v>
      </x:c>
      <x:c r="U164" s="74" t="str">
        <x:v>60</x:v>
      </x:c>
      <x:c r="V164" s="74" t="str">
        <x:v>路径候选 +7</x:v>
      </x:c>
      <x:c r="W164" s="74" t="str">
        <x:v>care_path</x:v>
      </x:c>
      <x:c r="X164" s="74" t="str">
        <x:v>先确认平等参与和边界，再通过交流、陪伴或说明完成支持。</x:v>
      </x:c>
      <x:c r="Y164" s="74" t="str">
        <x:v>你更容易先确认双方能平等参与，再通过沟通、分享或陪伴把支持做完整。</x:v>
      </x:c>
      <x:c r="Z164" s="74" t="str">
        <x:v>不得由本规则直接推出过度付出、付出失衡、依赖、控制、忠诚度、关系结果或适配度；不得把某种照顾方式等同于爱得更多或更少。</x:v>
      </x:c>
      <x:c r="AA164" s="74" t="str">
        <x:v>中</x:v>
      </x:c>
      <x:c r="AB164" s="74" t="str">
        <x:v>待验证</x:v>
      </x:c>
      <x:c r="AC164" s="74" t="str"/>
      <x:c r="AD164" s="74" t="str">
        <x:v>provisional=true; flow=CF02</x:v>
      </x:c>
      <x:c r="AE164" s="74" t="str">
        <x:v>0.4</x:v>
      </x:c>
    </x:row>
    <x:row r="165">
      <x:c r="A165" s="84" t="str">
        <x:v>M3-CARE-161</x:v>
      </x:c>
      <x:c r="B165" s="84" t="str">
        <x:v>CF03 食伤→财｜感受转落实｜CARE流向</x:v>
      </x:c>
      <x:c r="C165" s="84" t="str">
        <x:v>L3 CARE模式与路径</x:v>
      </x:c>
      <x:c r="D165" s="84" t="str">
        <x:v>CARE-流向路径</x:v>
      </x:c>
      <x:c r="E165" s="84" t="str">
        <x:v>通用</x:v>
      </x:c>
      <x:c r="F165" s="84" t="str">
        <x:v>路径</x:v>
      </x:c>
      <x:c r="G165" s="74" t="str">
        <x:v>CF03 食伤→财｜感受转落实</x:v>
      </x:c>
      <x:c r="H165" s="74" t="str"/>
      <x:c r="I165" s="74" t="str">
        <x:v>食伤与财星均有效；存在从交流/舒缓到现实投入的行为证据。</x:v>
      </x:c>
      <x:c r="J165" s="74" t="str">
        <x:v>只有五行生克而无现实功能证据；source_id重复；中间桥梁失效。</x:v>
      </x:c>
      <x:c r="K165" s="74" t="str">
        <x:v>由共享基础引擎与M3-STATE修正</x:v>
      </x:c>
      <x:c r="L165" s="74" t="str">
        <x:v>不限定；夫妻星仅在形成独立CARE证据或入宫接口时参与</x:v>
      </x:c>
      <x:c r="M165" s="74" t="str">
        <x:v>由M3-BASE、日支结构及共享引擎提供</x:v>
      </x:c>
      <x:c r="N165" s="74" t="str">
        <x:v>CF03 食伤→财｜感受转落实</x:v>
      </x:c>
      <x:c r="O165" s="74" t="str">
        <x:v>全局有效信号；日柱及亲密关系近位优先</x:v>
      </x:c>
      <x:c r="P165" s="74" t="str">
        <x:v>由共享基础引擎判定</x:v>
      </x:c>
      <x:c r="Q165" s="74" t="str">
        <x:v>由共享基础引擎判定</x:v>
      </x:c>
      <x:c r="R165" s="74" t="str">
        <x:v>喜忌不直接等于愿不愿付出；只修正调用顺畅度与资源压力</x:v>
      </x:c>
      <x:c r="S165" s="74" t="str">
        <x:v>原十神性质有效；真合化成立时按化神路由</x:v>
      </x:c>
      <x:c r="T165" s="74" t="str">
        <x:v>由共享基础引擎判定</x:v>
      </x:c>
      <x:c r="U165" s="74" t="str">
        <x:v>60</x:v>
      </x:c>
      <x:c r="V165" s="74" t="str">
        <x:v>路径候选 +7</x:v>
      </x:c>
      <x:c r="W165" s="74" t="str">
        <x:v>care_path</x:v>
      </x:c>
      <x:c r="X165" s="74" t="str">
        <x:v>先通过陪伴、表达或解题建立理解，再落实到时间、资源和现实安排。</x:v>
      </x:c>
      <x:c r="Y165" s="74" t="str">
        <x:v>你可能先让对方感到被理解或把问题说清，再用实际安排和持续行动把支持落实。</x:v>
      </x:c>
      <x:c r="Z165" s="74" t="str">
        <x:v>不得由本规则直接推出过度付出、付出失衡、依赖、控制、忠诚度、关系结果或适配度；不得把某种照顾方式等同于爱得更多或更少。</x:v>
      </x:c>
      <x:c r="AA165" s="74" t="str">
        <x:v>中</x:v>
      </x:c>
      <x:c r="AB165" s="74" t="str">
        <x:v>待验证</x:v>
      </x:c>
      <x:c r="AC165" s="74" t="str"/>
      <x:c r="AD165" s="74" t="str">
        <x:v>provisional=true; flow=CF03</x:v>
      </x:c>
      <x:c r="AE165" s="74" t="str">
        <x:v>0.4</x:v>
      </x:c>
    </x:row>
    <x:row r="166">
      <x:c r="A166" s="84" t="str">
        <x:v>M3-CARE-162</x:v>
      </x:c>
      <x:c r="B166" s="84" t="str">
        <x:v>CF04 财→官杀｜投入转责任｜CARE流向</x:v>
      </x:c>
      <x:c r="C166" s="84" t="str">
        <x:v>L3 CARE模式与路径</x:v>
      </x:c>
      <x:c r="D166" s="84" t="str">
        <x:v>CARE-流向路径</x:v>
      </x:c>
      <x:c r="E166" s="84" t="str">
        <x:v>通用</x:v>
      </x:c>
      <x:c r="F166" s="84" t="str">
        <x:v>路径</x:v>
      </x:c>
      <x:c r="G166" s="74" t="str">
        <x:v>CF04 财→官杀｜投入转责任</x:v>
      </x:c>
      <x:c r="H166" s="74" t="str"/>
      <x:c r="I166" s="74" t="str">
        <x:v>财星与官杀均有效；持续投入能转为清楚责任。</x:v>
      </x:c>
      <x:c r="J166" s="74" t="str">
        <x:v>只有五行生克而无现实功能证据；source_id重复；中间桥梁失效。</x:v>
      </x:c>
      <x:c r="K166" s="74" t="str">
        <x:v>由共享基础引擎与M3-STATE修正</x:v>
      </x:c>
      <x:c r="L166" s="74" t="str">
        <x:v>不限定；夫妻星仅在形成独立CARE证据或入宫接口时参与</x:v>
      </x:c>
      <x:c r="M166" s="74" t="str">
        <x:v>由M3-BASE、日支结构及共享引擎提供</x:v>
      </x:c>
      <x:c r="N166" s="74" t="str">
        <x:v>CF04 财→官杀｜投入转责任</x:v>
      </x:c>
      <x:c r="O166" s="74" t="str">
        <x:v>全局有效信号；日柱及亲密关系近位优先</x:v>
      </x:c>
      <x:c r="P166" s="74" t="str">
        <x:v>由共享基础引擎判定</x:v>
      </x:c>
      <x:c r="Q166" s="74" t="str">
        <x:v>由共享基础引擎判定</x:v>
      </x:c>
      <x:c r="R166" s="74" t="str">
        <x:v>喜忌不直接等于愿不愿付出；只修正调用顺畅度与资源压力</x:v>
      </x:c>
      <x:c r="S166" s="74" t="str">
        <x:v>原十神性质有效；真合化成立时按化神路由</x:v>
      </x:c>
      <x:c r="T166" s="74" t="str">
        <x:v>由共享基础引擎判定</x:v>
      </x:c>
      <x:c r="U166" s="74" t="str">
        <x:v>60</x:v>
      </x:c>
      <x:c r="V166" s="74" t="str">
        <x:v>路径候选 +7</x:v>
      </x:c>
      <x:c r="W166" s="74" t="str">
        <x:v>care_path</x:v>
      </x:c>
      <x:c r="X166" s="74" t="str">
        <x:v>先出现现实投入，再把它固定为分工、承诺、责任或关键行动。</x:v>
      </x:c>
      <x:c r="Y166" s="74" t="str">
        <x:v>你会先从实际投入开始，随后把重要事项变成清楚分工、承诺和可依赖的责任。</x:v>
      </x:c>
      <x:c r="Z166" s="74" t="str">
        <x:v>不得由本规则直接推出过度付出、付出失衡、依赖、控制、忠诚度、关系结果或适配度；不得把某种照顾方式等同于爱得更多或更少。</x:v>
      </x:c>
      <x:c r="AA166" s="74" t="str">
        <x:v>中</x:v>
      </x:c>
      <x:c r="AB166" s="74" t="str">
        <x:v>待验证</x:v>
      </x:c>
      <x:c r="AC166" s="74" t="str"/>
      <x:c r="AD166" s="74" t="str">
        <x:v>provisional=true; flow=CF04</x:v>
      </x:c>
      <x:c r="AE166" s="74" t="str">
        <x:v>0.4</x:v>
      </x:c>
    </x:row>
    <x:row r="167">
      <x:c r="A167" s="84" t="str">
        <x:v>M3-CARE-163</x:v>
      </x:c>
      <x:c r="B167" s="84" t="str">
        <x:v>CF05 官杀→印｜承担转安全｜CARE流向</x:v>
      </x:c>
      <x:c r="C167" s="84" t="str">
        <x:v>L3 CARE模式与路径</x:v>
      </x:c>
      <x:c r="D167" s="84" t="str">
        <x:v>CARE-流向路径</x:v>
      </x:c>
      <x:c r="E167" s="84" t="str">
        <x:v>通用</x:v>
      </x:c>
      <x:c r="F167" s="84" t="str">
        <x:v>路径</x:v>
      </x:c>
      <x:c r="G167" s="74" t="str">
        <x:v>CF05 官杀→印｜承担转安全</x:v>
      </x:c>
      <x:c r="H167" s="74" t="str"/>
      <x:c r="I167" s="74" t="str">
        <x:v>官杀与印星均有效；责任/行动兑现后形成承接。</x:v>
      </x:c>
      <x:c r="J167" s="74" t="str">
        <x:v>只有五行生克而无现实功能证据；source_id重复；中间桥梁失效。</x:v>
      </x:c>
      <x:c r="K167" s="74" t="str">
        <x:v>由共享基础引擎与M3-STATE修正</x:v>
      </x:c>
      <x:c r="L167" s="74" t="str">
        <x:v>不限定；夫妻星仅在形成独立CARE证据或入宫接口时参与</x:v>
      </x:c>
      <x:c r="M167" s="74" t="str">
        <x:v>由M3-BASE、日支结构及共享引擎提供</x:v>
      </x:c>
      <x:c r="N167" s="74" t="str">
        <x:v>CF05 官杀→印｜承担转安全</x:v>
      </x:c>
      <x:c r="O167" s="74" t="str">
        <x:v>全局有效信号；日柱及亲密关系近位优先</x:v>
      </x:c>
      <x:c r="P167" s="74" t="str">
        <x:v>由共享基础引擎判定</x:v>
      </x:c>
      <x:c r="Q167" s="74" t="str">
        <x:v>由共享基础引擎判定</x:v>
      </x:c>
      <x:c r="R167" s="74" t="str">
        <x:v>喜忌不直接等于愿不愿付出；只修正调用顺畅度与资源压力</x:v>
      </x:c>
      <x:c r="S167" s="74" t="str">
        <x:v>原十神性质有效；真合化成立时按化神路由</x:v>
      </x:c>
      <x:c r="T167" s="74" t="str">
        <x:v>由共享基础引擎判定</x:v>
      </x:c>
      <x:c r="U167" s="74" t="str">
        <x:v>60</x:v>
      </x:c>
      <x:c r="V167" s="74" t="str">
        <x:v>路径候选 +7</x:v>
      </x:c>
      <x:c r="W167" s="74" t="str">
        <x:v>care_path</x:v>
      </x:c>
      <x:c r="X167" s="74" t="str">
        <x:v>先通过行动、解决问题或责任兑现，再形成安全、信任和接受支持。</x:v>
      </x:c>
      <x:c r="Y167" s="74" t="str">
        <x:v>你更容易先用承担和解决问题让关系稳定下来，事情有结果后再回到理解、安抚和信任。</x:v>
      </x:c>
      <x:c r="Z167" s="74" t="str">
        <x:v>不得由本规则直接推出过度付出、付出失衡、依赖、控制、忠诚度、关系结果或适配度；不得把某种照顾方式等同于爱得更多或更少。</x:v>
      </x:c>
      <x:c r="AA167" s="74" t="str">
        <x:v>中</x:v>
      </x:c>
      <x:c r="AB167" s="74" t="str">
        <x:v>待验证</x:v>
      </x:c>
      <x:c r="AC167" s="74" t="str"/>
      <x:c r="AD167" s="74" t="str">
        <x:v>provisional=true; flow=CF05</x:v>
      </x:c>
      <x:c r="AE167" s="74" t="str">
        <x:v>0.4</x:v>
      </x:c>
    </x:row>
    <x:row r="168">
      <x:c r="A168" s="84" t="str">
        <x:v>M3-CARE-164</x:v>
      </x:c>
      <x:c r="B168" s="84" t="str">
        <x:v>CF06 直接流｜单通道完成支持｜CARE流向</x:v>
      </x:c>
      <x:c r="C168" s="84" t="str">
        <x:v>L3 CARE模式与路径</x:v>
      </x:c>
      <x:c r="D168" s="84" t="str">
        <x:v>CARE-流向路径</x:v>
      </x:c>
      <x:c r="E168" s="84" t="str">
        <x:v>通用</x:v>
      </x:c>
      <x:c r="F168" s="84" t="str">
        <x:v>路径</x:v>
      </x:c>
      <x:c r="G168" s="74" t="str">
        <x:v>CF06 直接流｜单通道完成支持</x:v>
      </x:c>
      <x:c r="H168" s="74" t="str"/>
      <x:c r="I168" s="74" t="str">
        <x:v>单一通道高权威、近位、有根，且没有必要的第二桥梁。</x:v>
      </x:c>
      <x:c r="J168" s="74" t="str">
        <x:v>只有五行生克而无现实功能证据；source_id重复；中间桥梁失效。</x:v>
      </x:c>
      <x:c r="K168" s="74" t="str">
        <x:v>由共享基础引擎与M3-STATE修正</x:v>
      </x:c>
      <x:c r="L168" s="74" t="str">
        <x:v>不限定；夫妻星仅在形成独立CARE证据或入宫接口时参与</x:v>
      </x:c>
      <x:c r="M168" s="74" t="str">
        <x:v>由M3-BASE、日支结构及共享引擎提供</x:v>
      </x:c>
      <x:c r="N168" s="74" t="str">
        <x:v>CF06 直接流｜单通道完成支持</x:v>
      </x:c>
      <x:c r="O168" s="74" t="str">
        <x:v>全局有效信号；日柱及亲密关系近位优先</x:v>
      </x:c>
      <x:c r="P168" s="74" t="str">
        <x:v>由共享基础引擎判定</x:v>
      </x:c>
      <x:c r="Q168" s="74" t="str">
        <x:v>由共享基础引擎判定</x:v>
      </x:c>
      <x:c r="R168" s="74" t="str">
        <x:v>喜忌不直接等于愿不愿付出；只修正调用顺畅度与资源压力</x:v>
      </x:c>
      <x:c r="S168" s="74" t="str">
        <x:v>原十神性质有效；真合化成立时按化神路由</x:v>
      </x:c>
      <x:c r="T168" s="74" t="str">
        <x:v>由共享基础引擎判定</x:v>
      </x:c>
      <x:c r="U168" s="74" t="str">
        <x:v>60</x:v>
      </x:c>
      <x:c r="V168" s="74" t="str">
        <x:v>路径候选 +7</x:v>
      </x:c>
      <x:c r="W168" s="74" t="str">
        <x:v>care_path</x:v>
      </x:c>
      <x:c r="X168" s="74" t="str">
        <x:v>一个主CARE通道同时完成启动、内容和可观察输出。</x:v>
      </x:c>
      <x:c r="Y168" s="74" t="str">
        <x:v>你的支持方式相对集中，通常能通过一条主要通道直接完成。</x:v>
      </x:c>
      <x:c r="Z168" s="74" t="str">
        <x:v>不得由本规则直接推出过度付出、付出失衡、依赖、控制、忠诚度、关系结果或适配度；不得把某种照顾方式等同于爱得更多或更少。</x:v>
      </x:c>
      <x:c r="AA168" s="74" t="str">
        <x:v>中</x:v>
      </x:c>
      <x:c r="AB168" s="74" t="str">
        <x:v>待验证</x:v>
      </x:c>
      <x:c r="AC168" s="74" t="str"/>
      <x:c r="AD168" s="74" t="str">
        <x:v>provisional=true; flow=CF06</x:v>
      </x:c>
      <x:c r="AE168" s="74" t="str">
        <x:v>0.4</x:v>
      </x:c>
    </x:row>
    <x:row r="169">
      <x:c r="A169" s="84" t="str">
        <x:v>M3-CARE-165</x:v>
      </x:c>
      <x:c r="B169" s="84" t="str">
        <x:v>CF07 桥接流｜两通道分工｜CARE流向</x:v>
      </x:c>
      <x:c r="C169" s="84" t="str">
        <x:v>L3 CARE模式与路径</x:v>
      </x:c>
      <x:c r="D169" s="84" t="str">
        <x:v>CARE-流向路径</x:v>
      </x:c>
      <x:c r="E169" s="84" t="str">
        <x:v>通用</x:v>
      </x:c>
      <x:c r="F169" s="84" t="str">
        <x:v>路径</x:v>
      </x:c>
      <x:c r="G169" s="74" t="str">
        <x:v>CF07 桥接流｜两通道分工</x:v>
      </x:c>
      <x:c r="H169" s="74" t="str"/>
      <x:c r="I169" s="74" t="str">
        <x:v>两个独立通道功能不同，且存在明确先后或分工。</x:v>
      </x:c>
      <x:c r="J169" s="74" t="str">
        <x:v>只有五行生克而无现实功能证据；source_id重复；中间桥梁失效。</x:v>
      </x:c>
      <x:c r="K169" s="74" t="str">
        <x:v>由共享基础引擎与M3-STATE修正</x:v>
      </x:c>
      <x:c r="L169" s="74" t="str">
        <x:v>不限定；夫妻星仅在形成独立CARE证据或入宫接口时参与</x:v>
      </x:c>
      <x:c r="M169" s="74" t="str">
        <x:v>由M3-BASE、日支结构及共享引擎提供</x:v>
      </x:c>
      <x:c r="N169" s="74" t="str">
        <x:v>CF07 桥接流｜两通道分工</x:v>
      </x:c>
      <x:c r="O169" s="74" t="str">
        <x:v>全局有效信号；日柱及亲密关系近位优先</x:v>
      </x:c>
      <x:c r="P169" s="74" t="str">
        <x:v>由共享基础引擎判定</x:v>
      </x:c>
      <x:c r="Q169" s="74" t="str">
        <x:v>由共享基础引擎判定</x:v>
      </x:c>
      <x:c r="R169" s="74" t="str">
        <x:v>喜忌不直接等于愿不愿付出；只修正调用顺畅度与资源压力</x:v>
      </x:c>
      <x:c r="S169" s="74" t="str">
        <x:v>原十神性质有效；真合化成立时按化神路由</x:v>
      </x:c>
      <x:c r="T169" s="74" t="str">
        <x:v>由共享基础引擎判定</x:v>
      </x:c>
      <x:c r="U169" s="74" t="str">
        <x:v>60</x:v>
      </x:c>
      <x:c r="V169" s="74" t="str">
        <x:v>路径候选 +7</x:v>
      </x:c>
      <x:c r="W169" s="74" t="str">
        <x:v>care_path</x:v>
      </x:c>
      <x:c r="X169" s="74" t="str">
        <x:v>一个通道负责启动，另一个通道负责落实、接收或回馈。</x:v>
      </x:c>
      <x:c r="Y169" s="74" t="str">
        <x:v>你通常会先用一种方式启动支持，再用另一种方式把它落实或完成回馈。</x:v>
      </x:c>
      <x:c r="Z169" s="74" t="str">
        <x:v>不得由本规则直接推出过度付出、付出失衡、依赖、控制、忠诚度、关系结果或适配度；不得把某种照顾方式等同于爱得更多或更少。</x:v>
      </x:c>
      <x:c r="AA169" s="74" t="str">
        <x:v>中</x:v>
      </x:c>
      <x:c r="AB169" s="74" t="str">
        <x:v>待验证</x:v>
      </x:c>
      <x:c r="AC169" s="74" t="str"/>
      <x:c r="AD169" s="74" t="str">
        <x:v>provisional=true; flow=CF07</x:v>
      </x:c>
      <x:c r="AE169" s="74" t="str">
        <x:v>0.4</x:v>
      </x:c>
    </x:row>
    <x:row r="170">
      <x:c r="A170" s="84" t="str">
        <x:v>M3-CARE-166</x:v>
      </x:c>
      <x:c r="B170" s="84" t="str">
        <x:v>CF08 闭环流｜支持—回应—再调整｜CARE流向</x:v>
      </x:c>
      <x:c r="C170" s="84" t="str">
        <x:v>L3 CARE模式与路径</x:v>
      </x:c>
      <x:c r="D170" s="84" t="str">
        <x:v>CARE-流向路径</x:v>
      </x:c>
      <x:c r="E170" s="84" t="str">
        <x:v>通用</x:v>
      </x:c>
      <x:c r="F170" s="84" t="str">
        <x:v>路径</x:v>
      </x:c>
      <x:c r="G170" s="74" t="str">
        <x:v>CF08 闭环流｜支持—回应—再调整</x:v>
      </x:c>
      <x:c r="H170" s="74" t="str"/>
      <x:c r="I170" s="74" t="str">
        <x:v>至少三段独立证据：给予、回应、调整；不能由单一生克关系推断。</x:v>
      </x:c>
      <x:c r="J170" s="74" t="str">
        <x:v>只有五行生克而无现实功能证据；source_id重复；中间桥梁失效。</x:v>
      </x:c>
      <x:c r="K170" s="74" t="str">
        <x:v>由共享基础引擎与M3-STATE修正</x:v>
      </x:c>
      <x:c r="L170" s="74" t="str">
        <x:v>不限定；夫妻星仅在形成独立CARE证据或入宫接口时参与</x:v>
      </x:c>
      <x:c r="M170" s="74" t="str">
        <x:v>由M3-BASE、日支结构及共享引擎提供</x:v>
      </x:c>
      <x:c r="N170" s="74" t="str">
        <x:v>CF08 闭环流｜支持—回应—再调整</x:v>
      </x:c>
      <x:c r="O170" s="74" t="str">
        <x:v>全局有效信号；日柱及亲密关系近位优先</x:v>
      </x:c>
      <x:c r="P170" s="74" t="str">
        <x:v>由共享基础引擎判定</x:v>
      </x:c>
      <x:c r="Q170" s="74" t="str">
        <x:v>由共享基础引擎判定</x:v>
      </x:c>
      <x:c r="R170" s="74" t="str">
        <x:v>喜忌不直接等于愿不愿付出；只修正调用顺畅度与资源压力</x:v>
      </x:c>
      <x:c r="S170" s="74" t="str">
        <x:v>原十神性质有效；真合化成立时按化神路由</x:v>
      </x:c>
      <x:c r="T170" s="74" t="str">
        <x:v>由共享基础引擎判定</x:v>
      </x:c>
      <x:c r="U170" s="74" t="str">
        <x:v>60</x:v>
      </x:c>
      <x:c r="V170" s="74" t="str">
        <x:v>路径候选 +7</x:v>
      </x:c>
      <x:c r="W170" s="74" t="str">
        <x:v>care_path</x:v>
      </x:c>
      <x:c r="X170" s="74" t="str">
        <x:v>支持行为、对方反馈和后续调整形成多轮循环。</x:v>
      </x:c>
      <x:c r="Y170" s="74" t="str">
        <x:v>你更容易根据对方的回应继续调整支持方式，关系中的照顾会通过多轮反馈逐渐稳定。</x:v>
      </x:c>
      <x:c r="Z170" s="74" t="str">
        <x:v>不得由本规则直接推出过度付出、付出失衡、依赖、控制、忠诚度、关系结果或适配度；不得把某种照顾方式等同于爱得更多或更少。</x:v>
      </x:c>
      <x:c r="AA170" s="74" t="str">
        <x:v>中</x:v>
      </x:c>
      <x:c r="AB170" s="74" t="str">
        <x:v>待验证</x:v>
      </x:c>
      <x:c r="AC170" s="74" t="str"/>
      <x:c r="AD170" s="74" t="str">
        <x:v>provisional=true; flow=CF08</x:v>
      </x:c>
      <x:c r="AE170" s="74" t="str">
        <x:v>0.4</x:v>
      </x:c>
    </x:row>
    <x:row r="171">
      <x:c r="A171" s="86" t="str">
        <x:v>M3-CARE-167</x:v>
      </x:c>
      <x:c r="B171" s="86" t="str">
        <x:v>SC01 透干且有根｜CARE外显并可重复</x:v>
      </x:c>
      <x:c r="C171" s="86" t="str">
        <x:v>L4 状态修正</x:v>
      </x:c>
      <x:c r="D171" s="86" t="str">
        <x:v>CARE-状态修正</x:v>
      </x:c>
      <x:c r="E171" s="86" t="str">
        <x:v>通用</x:v>
      </x:c>
      <x:c r="F171" s="86" t="str">
        <x:v>状态修正</x:v>
      </x:c>
      <x:c r="G171" s="74" t="str">
        <x:v>SC01 透干且有根｜CARE外显并可重复</x:v>
      </x:c>
      <x:c r="H171" s="74" t="str"/>
      <x:c r="I171" s="74" t="str">
        <x:v>主CARE信号透干且有根，原十神性质有效。</x:v>
      </x:c>
      <x:c r="J171" s="74" t="str">
        <x:v>基础事实失效；与共享引擎结果冲突；source_id重复而未去重。</x:v>
      </x:c>
      <x:c r="K171" s="74" t="str">
        <x:v>由共享基础引擎与M3-STATE修正</x:v>
      </x:c>
      <x:c r="L171" s="74" t="str">
        <x:v>不限定；夫妻星仅在形成独立CARE证据或入宫接口时参与</x:v>
      </x:c>
      <x:c r="M171" s="74" t="str">
        <x:v>由M3-BASE、日支结构及共享引擎提供</x:v>
      </x:c>
      <x:c r="N171" s="74" t="str">
        <x:v>无／待CARE路径规则组合</x:v>
      </x:c>
      <x:c r="O171" s="74" t="str">
        <x:v>全局有效信号；日柱及亲密关系近位优先</x:v>
      </x:c>
      <x:c r="P171" s="74" t="str">
        <x:v>由共享基础引擎判定</x:v>
      </x:c>
      <x:c r="Q171" s="74" t="str">
        <x:v>由共享基础引擎判定</x:v>
      </x:c>
      <x:c r="R171" s="74" t="str">
        <x:v>喜忌不直接等于愿不愿付出；只修正调用顺畅度与资源压力</x:v>
      </x:c>
      <x:c r="S171" s="74" t="str">
        <x:v>原十神性质有效；真合化成立时按化神路由</x:v>
      </x:c>
      <x:c r="T171" s="74" t="str">
        <x:v>由共享基础引擎判定</x:v>
      </x:c>
      <x:c r="U171" s="74" t="str">
        <x:v>57</x:v>
      </x:c>
      <x:c r="V171" s="74" t="str">
        <x:v>主通道 +8；可见度外显</x:v>
      </x:c>
      <x:c r="W171" s="74" t="str">
        <x:v>care_visibility</x:v>
      </x:c>
      <x:c r="X171" s="74" t="str">
        <x:v>主CARE信号透干且有根，原十神性质有效。</x:v>
      </x:c>
      <x:c r="Y171" s="74" t="str">
        <x:v>支持方式容易被看见，也更可能在不同情境重复出现。</x:v>
      </x:c>
      <x:c r="Z171" s="74" t="str">
        <x:v>不得由本规则直接推出过度付出、付出失衡、依赖、控制、忠诚度、关系结果或适配度；不得把某种照顾方式等同于爱得更多或更少。</x:v>
      </x:c>
      <x:c r="AA171" s="74" t="str">
        <x:v>中高</x:v>
      </x:c>
      <x:c r="AB171" s="74" t="str">
        <x:v>待验证</x:v>
      </x:c>
      <x:c r="AC171" s="74" t="str"/>
      <x:c r="AD171" s="74" t="str">
        <x:v>provisional=true; state_rule=SC01</x:v>
      </x:c>
      <x:c r="AE171" s="74" t="str">
        <x:v>0.4</x:v>
      </x:c>
    </x:row>
    <x:row r="172">
      <x:c r="A172" s="86" t="str">
        <x:v>M3-CARE-168</x:v>
      </x:c>
      <x:c r="B172" s="86" t="str">
        <x:v>SC02 透干但无根｜先看见、后验证</x:v>
      </x:c>
      <x:c r="C172" s="86" t="str">
        <x:v>L4 状态修正</x:v>
      </x:c>
      <x:c r="D172" s="86" t="str">
        <x:v>CARE-状态修正</x:v>
      </x:c>
      <x:c r="E172" s="86" t="str">
        <x:v>通用</x:v>
      </x:c>
      <x:c r="F172" s="86" t="str">
        <x:v>状态修正</x:v>
      </x:c>
      <x:c r="G172" s="74" t="str">
        <x:v>SC02 透干但无根｜先看见、后验证</x:v>
      </x:c>
      <x:c r="H172" s="74" t="str"/>
      <x:c r="I172" s="74" t="str">
        <x:v>主CARE信号透干但无根，且无近位独立支持。</x:v>
      </x:c>
      <x:c r="J172" s="74" t="str">
        <x:v>基础事实失效；与共享引擎结果冲突；source_id重复而未去重。</x:v>
      </x:c>
      <x:c r="K172" s="74" t="str">
        <x:v>由共享基础引擎与M3-STATE修正</x:v>
      </x:c>
      <x:c r="L172" s="74" t="str">
        <x:v>不限定；夫妻星仅在形成独立CARE证据或入宫接口时参与</x:v>
      </x:c>
      <x:c r="M172" s="74" t="str">
        <x:v>由M3-BASE、日支结构及共享引擎提供</x:v>
      </x:c>
      <x:c r="N172" s="74" t="str">
        <x:v>无／待CARE路径规则组合</x:v>
      </x:c>
      <x:c r="O172" s="74" t="str">
        <x:v>全局有效信号；日柱及亲密关系近位优先</x:v>
      </x:c>
      <x:c r="P172" s="74" t="str">
        <x:v>由共享基础引擎判定</x:v>
      </x:c>
      <x:c r="Q172" s="74" t="str">
        <x:v>由共享基础引擎判定</x:v>
      </x:c>
      <x:c r="R172" s="74" t="str">
        <x:v>喜忌不直接等于愿不愿付出；只修正调用顺畅度与资源压力</x:v>
      </x:c>
      <x:c r="S172" s="74" t="str">
        <x:v>原十神性质有效；真合化成立时按化神路由</x:v>
      </x:c>
      <x:c r="T172" s="74" t="str">
        <x:v>由共享基础引擎判定</x:v>
      </x:c>
      <x:c r="U172" s="74" t="str">
        <x:v>57</x:v>
      </x:c>
      <x:c r="V172" s="74" t="str">
        <x:v>可见度 +5；连续性不加分</x:v>
      </x:c>
      <x:c r="W172" s="74" t="str">
        <x:v>care_visibility</x:v>
      </x:c>
      <x:c r="X172" s="74" t="str">
        <x:v>主CARE信号透干但无根，且无近位独立支持。</x:v>
      </x:c>
      <x:c r="Y172" s="74" t="str">
        <x:v>对方可能较早看见这种支持表现，但是否能稳定持续仍需要重复行为验证。</x:v>
      </x:c>
      <x:c r="Z172" s="74" t="str">
        <x:v>不得由本规则直接推出过度付出、付出失衡、依赖、控制、忠诚度、关系结果或适配度；不得把某种照顾方式等同于爱得更多或更少。</x:v>
      </x:c>
      <x:c r="AA172" s="74" t="str">
        <x:v>中</x:v>
      </x:c>
      <x:c r="AB172" s="74" t="str">
        <x:v>待验证</x:v>
      </x:c>
      <x:c r="AC172" s="74" t="str"/>
      <x:c r="AD172" s="74" t="str">
        <x:v>provisional=true; state_rule=SC02</x:v>
      </x:c>
      <x:c r="AE172" s="74" t="str">
        <x:v>0.4</x:v>
      </x:c>
    </x:row>
    <x:row r="173">
      <x:c r="A173" s="86" t="str">
        <x:v>M3-CARE-169</x:v>
      </x:c>
      <x:c r="B173" s="86" t="str">
        <x:v>SC03 藏支有根｜隐性累积</x:v>
      </x:c>
      <x:c r="C173" s="86" t="str">
        <x:v>L4 状态修正</x:v>
      </x:c>
      <x:c r="D173" s="86" t="str">
        <x:v>CARE-状态修正</x:v>
      </x:c>
      <x:c r="E173" s="86" t="str">
        <x:v>通用</x:v>
      </x:c>
      <x:c r="F173" s="86" t="str">
        <x:v>状态修正</x:v>
      </x:c>
      <x:c r="G173" s="74" t="str">
        <x:v>SC03 藏支有根｜隐性累积</x:v>
      </x:c>
      <x:c r="H173" s="74" t="str"/>
      <x:c r="I173" s="74" t="str">
        <x:v>主CARE信号藏支且有根，未被真合化替换。</x:v>
      </x:c>
      <x:c r="J173" s="74" t="str">
        <x:v>基础事实失效；与共享引擎结果冲突；source_id重复而未去重。</x:v>
      </x:c>
      <x:c r="K173" s="74" t="str">
        <x:v>由共享基础引擎与M3-STATE修正</x:v>
      </x:c>
      <x:c r="L173" s="74" t="str">
        <x:v>不限定；夫妻星仅在形成独立CARE证据或入宫接口时参与</x:v>
      </x:c>
      <x:c r="M173" s="74" t="str">
        <x:v>由M3-BASE、日支结构及共享引擎提供</x:v>
      </x:c>
      <x:c r="N173" s="74" t="str">
        <x:v>无／待CARE路径规则组合</x:v>
      </x:c>
      <x:c r="O173" s="74" t="str">
        <x:v>全局有效信号；日柱及亲密关系近位优先</x:v>
      </x:c>
      <x:c r="P173" s="74" t="str">
        <x:v>由共享基础引擎判定</x:v>
      </x:c>
      <x:c r="Q173" s="74" t="str">
        <x:v>由共享基础引擎判定</x:v>
      </x:c>
      <x:c r="R173" s="74" t="str">
        <x:v>喜忌不直接等于愿不愿付出；只修正调用顺畅度与资源压力</x:v>
      </x:c>
      <x:c r="S173" s="74" t="str">
        <x:v>原十神性质有效；真合化成立时按化神路由</x:v>
      </x:c>
      <x:c r="T173" s="74" t="str">
        <x:v>由共享基础引擎判定</x:v>
      </x:c>
      <x:c r="U173" s="74" t="str">
        <x:v>57</x:v>
      </x:c>
      <x:c r="V173" s="74" t="str">
        <x:v>主通道 +6；连续性 +5</x:v>
      </x:c>
      <x:c r="W173" s="74" t="str">
        <x:v>care_visibility</x:v>
      </x:c>
      <x:c r="X173" s="74" t="str">
        <x:v>主CARE信号藏支且有根，未被真合化替换。</x:v>
      </x:c>
      <x:c r="Y173" s="74" t="str">
        <x:v>支持不一定高调外显，更容易藏在长期细节、熟悉后的投入和稳定回应里。</x:v>
      </x:c>
      <x:c r="Z173" s="74" t="str">
        <x:v>不得由本规则直接推出过度付出、付出失衡、依赖、控制、忠诚度、关系结果或适配度；不得把某种照顾方式等同于爱得更多或更少。</x:v>
      </x:c>
      <x:c r="AA173" s="74" t="str">
        <x:v>中高</x:v>
      </x:c>
      <x:c r="AB173" s="74" t="str">
        <x:v>待验证</x:v>
      </x:c>
      <x:c r="AC173" s="74" t="str"/>
      <x:c r="AD173" s="74" t="str">
        <x:v>provisional=true; state_rule=SC03</x:v>
      </x:c>
      <x:c r="AE173" s="74" t="str">
        <x:v>0.4</x:v>
      </x:c>
    </x:row>
    <x:row r="174">
      <x:c r="A174" s="86" t="str">
        <x:v>M3-CARE-170</x:v>
      </x:c>
      <x:c r="B174" s="86" t="str">
        <x:v>SC04 藏支无根／弱远｜仅保留候选</x:v>
      </x:c>
      <x:c r="C174" s="86" t="str">
        <x:v>L4 状态修正</x:v>
      </x:c>
      <x:c r="D174" s="86" t="str">
        <x:v>CARE-状态修正</x:v>
      </x:c>
      <x:c r="E174" s="86" t="str">
        <x:v>通用</x:v>
      </x:c>
      <x:c r="F174" s="86" t="str">
        <x:v>状态修正</x:v>
      </x:c>
      <x:c r="G174" s="74" t="str">
        <x:v>SC04 藏支无根／弱远｜仅保留候选</x:v>
      </x:c>
      <x:c r="H174" s="74" t="str"/>
      <x:c r="I174" s="74" t="str">
        <x:v>主CARE信号仅藏、无根、远位且没有独立流向支持。</x:v>
      </x:c>
      <x:c r="J174" s="74" t="str">
        <x:v>基础事实失效；与共享引擎结果冲突；source_id重复而未去重。</x:v>
      </x:c>
      <x:c r="K174" s="74" t="str">
        <x:v>由共享基础引擎与M3-STATE修正</x:v>
      </x:c>
      <x:c r="L174" s="74" t="str">
        <x:v>不限定；夫妻星仅在形成独立CARE证据或入宫接口时参与</x:v>
      </x:c>
      <x:c r="M174" s="74" t="str">
        <x:v>由M3-BASE、日支结构及共享引擎提供</x:v>
      </x:c>
      <x:c r="N174" s="74" t="str">
        <x:v>无／待CARE路径规则组合</x:v>
      </x:c>
      <x:c r="O174" s="74" t="str">
        <x:v>全局有效信号；日柱及亲密关系近位优先</x:v>
      </x:c>
      <x:c r="P174" s="74" t="str">
        <x:v>由共享基础引擎判定</x:v>
      </x:c>
      <x:c r="Q174" s="74" t="str">
        <x:v>由共享基础引擎判定</x:v>
      </x:c>
      <x:c r="R174" s="74" t="str">
        <x:v>喜忌不直接等于愿不愿付出；只修正调用顺畅度与资源压力</x:v>
      </x:c>
      <x:c r="S174" s="74" t="str">
        <x:v>原十神性质有效；真合化成立时按化神路由</x:v>
      </x:c>
      <x:c r="T174" s="74" t="str">
        <x:v>由共享基础引擎判定</x:v>
      </x:c>
      <x:c r="U174" s="74" t="str">
        <x:v>57</x:v>
      </x:c>
      <x:c r="V174" s="74" t="str">
        <x:v>候选 +2；降置信</x:v>
      </x:c>
      <x:c r="W174" s="74" t="str">
        <x:v>primary_care_channel</x:v>
      </x:c>
      <x:c r="X174" s="74" t="str">
        <x:v>主CARE信号仅藏、无根、远位且没有独立流向支持。</x:v>
      </x:c>
      <x:c r="Y174" s="74" t="str">
        <x:v>目前只能把这种方式保留为潜在支持倾向，不宜写成稳定习惯。</x:v>
      </x:c>
      <x:c r="Z174" s="74" t="str">
        <x:v>不得由本规则直接推出过度付出、付出失衡、依赖、控制、忠诚度、关系结果或适配度；不得把某种照顾方式等同于爱得更多或更少。</x:v>
      </x:c>
      <x:c r="AA174" s="74" t="str">
        <x:v>中低</x:v>
      </x:c>
      <x:c r="AB174" s="74" t="str">
        <x:v>待验证</x:v>
      </x:c>
      <x:c r="AC174" s="74" t="str"/>
      <x:c r="AD174" s="74" t="str">
        <x:v>provisional=true; state_rule=SC04</x:v>
      </x:c>
      <x:c r="AE174" s="74" t="str">
        <x:v>0.4</x:v>
      </x:c>
    </x:row>
    <x:row r="175">
      <x:c r="A175" s="86" t="str">
        <x:v>M3-CARE-171</x:v>
      </x:c>
      <x:c r="B175" s="86" t="str">
        <x:v>SC05 同根透藏｜一次证据、两种表现</x:v>
      </x:c>
      <x:c r="C175" s="86" t="str">
        <x:v>L4 状态修正</x:v>
      </x:c>
      <x:c r="D175" s="86" t="str">
        <x:v>CARE-状态修正</x:v>
      </x:c>
      <x:c r="E175" s="86" t="str">
        <x:v>通用</x:v>
      </x:c>
      <x:c r="F175" s="86" t="str">
        <x:v>状态修正</x:v>
      </x:c>
      <x:c r="G175" s="74" t="str">
        <x:v>SC05 同根透藏｜一次证据、两种表现</x:v>
      </x:c>
      <x:c r="H175" s="74" t="str"/>
      <x:c r="I175" s="74" t="str">
        <x:v>透干与藏支来自同一根或同一source_id。</x:v>
      </x:c>
      <x:c r="J175" s="74" t="str">
        <x:v>基础事实失效；与共享引擎结果冲突；source_id重复而未去重。</x:v>
      </x:c>
      <x:c r="K175" s="74" t="str">
        <x:v>由共享基础引擎与M3-STATE修正</x:v>
      </x:c>
      <x:c r="L175" s="74" t="str">
        <x:v>不限定；夫妻星仅在形成独立CARE证据或入宫接口时参与</x:v>
      </x:c>
      <x:c r="M175" s="74" t="str">
        <x:v>由M3-BASE、日支结构及共享引擎提供</x:v>
      </x:c>
      <x:c r="N175" s="74" t="str">
        <x:v>无／待CARE路径规则组合</x:v>
      </x:c>
      <x:c r="O175" s="74" t="str">
        <x:v>全局有效信号；日柱及亲密关系近位优先</x:v>
      </x:c>
      <x:c r="P175" s="74" t="str">
        <x:v>由共享基础引擎判定</x:v>
      </x:c>
      <x:c r="Q175" s="74" t="str">
        <x:v>由共享基础引擎判定</x:v>
      </x:c>
      <x:c r="R175" s="74" t="str">
        <x:v>喜忌不直接等于愿不愿付出；只修正调用顺畅度与资源压力</x:v>
      </x:c>
      <x:c r="S175" s="74" t="str">
        <x:v>原十神性质有效；真合化成立时按化神路由</x:v>
      </x:c>
      <x:c r="T175" s="74" t="str">
        <x:v>由共享基础引擎判定</x:v>
      </x:c>
      <x:c r="U175" s="74" t="str">
        <x:v>57</x:v>
      </x:c>
      <x:c r="V175" s="74" t="str">
        <x:v>去重；稳定性修正 +3</x:v>
      </x:c>
      <x:c r="W175" s="74" t="str">
        <x:v>provenance</x:v>
      </x:c>
      <x:c r="X175" s="74" t="str">
        <x:v>透干与藏支来自同一根或同一source_id。</x:v>
      </x:c>
      <x:c r="Y175" s="74" t="str">
        <x:v>同一支持功能可能既有外显行为，也有内部稳定来源，但只计算一次基础证据。</x:v>
      </x:c>
      <x:c r="Z175" s="74" t="str">
        <x:v>不得由本规则直接推出过度付出、付出失衡、依赖、控制、忠诚度、关系结果或适配度；不得把某种照顾方式等同于爱得更多或更少。</x:v>
      </x:c>
      <x:c r="AA175" s="74" t="str">
        <x:v>高</x:v>
      </x:c>
      <x:c r="AB175" s="74" t="str">
        <x:v>待验证</x:v>
      </x:c>
      <x:c r="AC175" s="74" t="str"/>
      <x:c r="AD175" s="74" t="str">
        <x:v>provisional=true; state_rule=SC05</x:v>
      </x:c>
      <x:c r="AE175" s="74" t="str">
        <x:v>0.4</x:v>
      </x:c>
    </x:row>
    <x:row r="176">
      <x:c r="A176" s="86" t="str">
        <x:v>M3-CARE-172</x:v>
      </x:c>
      <x:c r="B176" s="86" t="str">
        <x:v>SC06 多根同类｜重复性提高</x:v>
      </x:c>
      <x:c r="C176" s="86" t="str">
        <x:v>L4 状态修正</x:v>
      </x:c>
      <x:c r="D176" s="86" t="str">
        <x:v>CARE-状态修正</x:v>
      </x:c>
      <x:c r="E176" s="86" t="str">
        <x:v>通用</x:v>
      </x:c>
      <x:c r="F176" s="86" t="str">
        <x:v>状态修正</x:v>
      </x:c>
      <x:c r="G176" s="74" t="str">
        <x:v>SC06 多根同类｜重复性提高</x:v>
      </x:c>
      <x:c r="H176" s="74" t="str"/>
      <x:c r="I176" s="74" t="str">
        <x:v>同一CARE通道有两个以上独立根气或不同位置重复支持。</x:v>
      </x:c>
      <x:c r="J176" s="74" t="str">
        <x:v>基础事实失效；与共享引擎结果冲突；source_id重复而未去重。</x:v>
      </x:c>
      <x:c r="K176" s="74" t="str">
        <x:v>由共享基础引擎与M3-STATE修正</x:v>
      </x:c>
      <x:c r="L176" s="74" t="str">
        <x:v>不限定；夫妻星仅在形成独立CARE证据或入宫接口时参与</x:v>
      </x:c>
      <x:c r="M176" s="74" t="str">
        <x:v>由M3-BASE、日支结构及共享引擎提供</x:v>
      </x:c>
      <x:c r="N176" s="74" t="str">
        <x:v>无／待CARE路径规则组合</x:v>
      </x:c>
      <x:c r="O176" s="74" t="str">
        <x:v>全局有效信号；日柱及亲密关系近位优先</x:v>
      </x:c>
      <x:c r="P176" s="74" t="str">
        <x:v>由共享基础引擎判定</x:v>
      </x:c>
      <x:c r="Q176" s="74" t="str">
        <x:v>由共享基础引擎判定</x:v>
      </x:c>
      <x:c r="R176" s="74" t="str">
        <x:v>喜忌不直接等于愿不愿付出；只修正调用顺畅度与资源压力</x:v>
      </x:c>
      <x:c r="S176" s="74" t="str">
        <x:v>原十神性质有效；真合化成立时按化神路由</x:v>
      </x:c>
      <x:c r="T176" s="74" t="str">
        <x:v>由共享基础引擎判定</x:v>
      </x:c>
      <x:c r="U176" s="74" t="str">
        <x:v>57</x:v>
      </x:c>
      <x:c r="V176" s="74" t="str">
        <x:v>连续性 +6；不增加新通道</x:v>
      </x:c>
      <x:c r="W176" s="74" t="str">
        <x:v>continuity_mode</x:v>
      </x:c>
      <x:c r="X176" s="74" t="str">
        <x:v>同一CARE通道有两个以上独立根气或不同位置重复支持。</x:v>
      </x:c>
      <x:c r="Y176" s="74" t="str">
        <x:v>这种支持方式更容易在不同场景反复出现，连续性判断可提高。</x:v>
      </x:c>
      <x:c r="Z176" s="74" t="str">
        <x:v>不得由本规则直接推出过度付出、付出失衡、依赖、控制、忠诚度、关系结果或适配度；不得把某种照顾方式等同于爱得更多或更少。</x:v>
      </x:c>
      <x:c r="AA176" s="74" t="str">
        <x:v>中高</x:v>
      </x:c>
      <x:c r="AB176" s="74" t="str">
        <x:v>待验证</x:v>
      </x:c>
      <x:c r="AC176" s="74" t="str"/>
      <x:c r="AD176" s="74" t="str">
        <x:v>provisional=true; state_rule=SC06</x:v>
      </x:c>
      <x:c r="AE176" s="74" t="str">
        <x:v>0.4</x:v>
      </x:c>
    </x:row>
    <x:row r="177">
      <x:c r="A177" s="86" t="str">
        <x:v>M3-CARE-173</x:v>
      </x:c>
      <x:c r="B177" s="86" t="str">
        <x:v>SC07 有根但受损｜功能保留、调用受限</x:v>
      </x:c>
      <x:c r="C177" s="86" t="str">
        <x:v>L4 状态修正</x:v>
      </x:c>
      <x:c r="D177" s="86" t="str">
        <x:v>CARE-状态修正</x:v>
      </x:c>
      <x:c r="E177" s="86" t="str">
        <x:v>通用</x:v>
      </x:c>
      <x:c r="F177" s="86" t="str">
        <x:v>状态修正</x:v>
      </x:c>
      <x:c r="G177" s="74" t="str">
        <x:v>SC07 有根但受损｜功能保留、调用受限</x:v>
      </x:c>
      <x:c r="H177" s="74" t="str"/>
      <x:c r="I177" s="74" t="str">
        <x:v>主CARE信号有根但受到有效冲克、制约或环境限制，且未完全失效。</x:v>
      </x:c>
      <x:c r="J177" s="74" t="str">
        <x:v>基础事实失效；与共享引擎结果冲突；source_id重复而未去重。</x:v>
      </x:c>
      <x:c r="K177" s="74" t="str">
        <x:v>由共享基础引擎与M3-STATE修正</x:v>
      </x:c>
      <x:c r="L177" s="74" t="str">
        <x:v>不限定；夫妻星仅在形成独立CARE证据或入宫接口时参与</x:v>
      </x:c>
      <x:c r="M177" s="74" t="str">
        <x:v>由M3-BASE、日支结构及共享引擎提供</x:v>
      </x:c>
      <x:c r="N177" s="74" t="str">
        <x:v>无／待CARE路径规则组合</x:v>
      </x:c>
      <x:c r="O177" s="74" t="str">
        <x:v>全局有效信号；日柱及亲密关系近位优先</x:v>
      </x:c>
      <x:c r="P177" s="74" t="str">
        <x:v>由共享基础引擎判定</x:v>
      </x:c>
      <x:c r="Q177" s="74" t="str">
        <x:v>由共享基础引擎判定</x:v>
      </x:c>
      <x:c r="R177" s="74" t="str">
        <x:v>喜忌不直接等于愿不愿付出；只修正调用顺畅度与资源压力</x:v>
      </x:c>
      <x:c r="S177" s="74" t="str">
        <x:v>原十神性质有效；真合化成立时按化神路由</x:v>
      </x:c>
      <x:c r="T177" s="74" t="str">
        <x:v>由共享基础引擎判定</x:v>
      </x:c>
      <x:c r="U177" s="74" t="str">
        <x:v>57</x:v>
      </x:c>
      <x:c r="V177" s="74" t="str">
        <x:v>主通道保留；顺畅度 -3</x:v>
      </x:c>
      <x:c r="W177" s="74" t="str">
        <x:v>state_shift</x:v>
      </x:c>
      <x:c r="X177" s="74" t="str">
        <x:v>主CARE信号有根但受到有效冲克、制约或环境限制，且未完全失效。</x:v>
      </x:c>
      <x:c r="Y177" s="74" t="str">
        <x:v>这项支持能力仍然存在，但是否顺畅调用更依赖具体情境和资源条件。</x:v>
      </x:c>
      <x:c r="Z177" s="74" t="str">
        <x:v>不得由本规则直接推出过度付出、付出失衡、依赖、控制、忠诚度、关系结果或适配度；不得把某种照顾方式等同于爱得更多或更少。</x:v>
      </x:c>
      <x:c r="AA177" s="74" t="str">
        <x:v>中</x:v>
      </x:c>
      <x:c r="AB177" s="74" t="str">
        <x:v>待验证</x:v>
      </x:c>
      <x:c r="AC177" s="74" t="str"/>
      <x:c r="AD177" s="74" t="str">
        <x:v>provisional=true; state_rule=SC07</x:v>
      </x:c>
      <x:c r="AE177" s="74" t="str">
        <x:v>0.4</x:v>
      </x:c>
    </x:row>
    <x:row r="178">
      <x:c r="A178" s="86" t="str">
        <x:v>M3-CARE-174</x:v>
      </x:c>
      <x:c r="B178" s="86" t="str">
        <x:v>SC08 无根但近位行为验证｜条件性成立</x:v>
      </x:c>
      <x:c r="C178" s="86" t="str">
        <x:v>L4 状态修正</x:v>
      </x:c>
      <x:c r="D178" s="86" t="str">
        <x:v>CARE-状态修正</x:v>
      </x:c>
      <x:c r="E178" s="86" t="str">
        <x:v>通用</x:v>
      </x:c>
      <x:c r="F178" s="86" t="str">
        <x:v>状态修正</x:v>
      </x:c>
      <x:c r="G178" s="74" t="str">
        <x:v>SC08 无根但近位行为验证｜条件性成立</x:v>
      </x:c>
      <x:c r="H178" s="74" t="str"/>
      <x:c r="I178" s="74" t="str">
        <x:v>无根信号位于近位，并有真实重复行为或第二独立证据支持。</x:v>
      </x:c>
      <x:c r="J178" s="74" t="str">
        <x:v>基础事实失效；与共享引擎结果冲突；source_id重复而未去重。</x:v>
      </x:c>
      <x:c r="K178" s="74" t="str">
        <x:v>由共享基础引擎与M3-STATE修正</x:v>
      </x:c>
      <x:c r="L178" s="74" t="str">
        <x:v>不限定；夫妻星仅在形成独立CARE证据或入宫接口时参与</x:v>
      </x:c>
      <x:c r="M178" s="74" t="str">
        <x:v>由M3-BASE、日支结构及共享引擎提供</x:v>
      </x:c>
      <x:c r="N178" s="74" t="str">
        <x:v>无／待CARE路径规则组合</x:v>
      </x:c>
      <x:c r="O178" s="74" t="str">
        <x:v>全局有效信号；日柱及亲密关系近位优先</x:v>
      </x:c>
      <x:c r="P178" s="74" t="str">
        <x:v>由共享基础引擎判定</x:v>
      </x:c>
      <x:c r="Q178" s="74" t="str">
        <x:v>由共享基础引擎判定</x:v>
      </x:c>
      <x:c r="R178" s="74" t="str">
        <x:v>喜忌不直接等于愿不愿付出；只修正调用顺畅度与资源压力</x:v>
      </x:c>
      <x:c r="S178" s="74" t="str">
        <x:v>原十神性质有效；真合化成立时按化神路由</x:v>
      </x:c>
      <x:c r="T178" s="74" t="str">
        <x:v>由共享基础引擎判定</x:v>
      </x:c>
      <x:c r="U178" s="74" t="str">
        <x:v>57</x:v>
      </x:c>
      <x:c r="V178" s="74" t="str">
        <x:v>条件性 +5；标记案例依赖</x:v>
      </x:c>
      <x:c r="W178" s="74" t="str">
        <x:v>continuity_mode</x:v>
      </x:c>
      <x:c r="X178" s="74" t="str">
        <x:v>无根信号位于近位，并有真实重复行为或第二独立证据支持。</x:v>
      </x:c>
      <x:c r="Y178" s="74" t="str">
        <x:v>虽然命盘结构中的稳定来源较弱，但现实行为显示这项支持方式在特定关系中可以成立。</x:v>
      </x:c>
      <x:c r="Z178" s="74" t="str">
        <x:v>不得由本规则直接推出过度付出、付出失衡、依赖、控制、忠诚度、关系结果或适配度；不得把某种照顾方式等同于爱得更多或更少。</x:v>
      </x:c>
      <x:c r="AA178" s="74" t="str">
        <x:v>中</x:v>
      </x:c>
      <x:c r="AB178" s="74" t="str">
        <x:v>待验证</x:v>
      </x:c>
      <x:c r="AC178" s="74" t="str"/>
      <x:c r="AD178" s="74" t="str">
        <x:v>provisional=true; state_rule=SC08</x:v>
      </x:c>
      <x:c r="AE178" s="74" t="str">
        <x:v>0.4</x:v>
      </x:c>
    </x:row>
    <x:row r="179">
      <x:c r="A179" s="86" t="str">
        <x:v>M3-CARE-175</x:v>
      </x:c>
      <x:c r="B179" s="86" t="str">
        <x:v>SC09 旺而平衡｜自然调用</x:v>
      </x:c>
      <x:c r="C179" s="86" t="str">
        <x:v>L4 状态修正</x:v>
      </x:c>
      <x:c r="D179" s="86" t="str">
        <x:v>CARE-状态修正</x:v>
      </x:c>
      <x:c r="E179" s="86" t="str">
        <x:v>通用</x:v>
      </x:c>
      <x:c r="F179" s="86" t="str">
        <x:v>状态修正</x:v>
      </x:c>
      <x:c r="G179" s="74" t="str">
        <x:v>SC09 旺而平衡｜自然调用</x:v>
      </x:c>
      <x:c r="H179" s="74" t="str"/>
      <x:c r="I179" s="74" t="str">
        <x:v>主CARE通道旺而有序、未明显失衡。</x:v>
      </x:c>
      <x:c r="J179" s="74" t="str">
        <x:v>基础事实失效；与共享引擎结果冲突；source_id重复而未去重。</x:v>
      </x:c>
      <x:c r="K179" s="74" t="str">
        <x:v>由共享基础引擎与M3-STATE修正</x:v>
      </x:c>
      <x:c r="L179" s="74" t="str">
        <x:v>不限定；夫妻星仅在形成独立CARE证据或入宫接口时参与</x:v>
      </x:c>
      <x:c r="M179" s="74" t="str">
        <x:v>由M3-BASE、日支结构及共享引擎提供</x:v>
      </x:c>
      <x:c r="N179" s="74" t="str">
        <x:v>无／待CARE路径规则组合</x:v>
      </x:c>
      <x:c r="O179" s="74" t="str">
        <x:v>全局有效信号；日柱及亲密关系近位优先</x:v>
      </x:c>
      <x:c r="P179" s="74" t="str">
        <x:v>由共享基础引擎判定</x:v>
      </x:c>
      <x:c r="Q179" s="74" t="str">
        <x:v>由共享基础引擎判定</x:v>
      </x:c>
      <x:c r="R179" s="74" t="str">
        <x:v>喜忌不直接等于愿不愿付出；只修正调用顺畅度与资源压力</x:v>
      </x:c>
      <x:c r="S179" s="74" t="str">
        <x:v>原十神性质有效；真合化成立时按化神路由</x:v>
      </x:c>
      <x:c r="T179" s="74" t="str">
        <x:v>由共享基础引擎判定</x:v>
      </x:c>
      <x:c r="U179" s="74" t="str">
        <x:v>57</x:v>
      </x:c>
      <x:c r="V179" s="74" t="str">
        <x:v>主通道 +7</x:v>
      </x:c>
      <x:c r="W179" s="74" t="str">
        <x:v>primary_care_channel</x:v>
      </x:c>
      <x:c r="X179" s="74" t="str">
        <x:v>主CARE通道旺而有序、未明显失衡。</x:v>
      </x:c>
      <x:c r="Y179" s="74" t="str">
        <x:v>这类支持方式较容易自然出现，用户不必等到特殊事件才会调用。</x:v>
      </x:c>
      <x:c r="Z179" s="74" t="str">
        <x:v>不得由本规则直接推出过度付出、付出失衡、依赖、控制、忠诚度、关系结果或适配度；不得把某种照顾方式等同于爱得更多或更少。</x:v>
      </x:c>
      <x:c r="AA179" s="74" t="str">
        <x:v>中高</x:v>
      </x:c>
      <x:c r="AB179" s="74" t="str">
        <x:v>待验证</x:v>
      </x:c>
      <x:c r="AC179" s="74" t="str"/>
      <x:c r="AD179" s="74" t="str">
        <x:v>provisional=true; state_rule=SC09</x:v>
      </x:c>
      <x:c r="AE179" s="74" t="str">
        <x:v>0.4</x:v>
      </x:c>
    </x:row>
    <x:row r="180">
      <x:c r="A180" s="86" t="str">
        <x:v>M3-CARE-176</x:v>
      </x:c>
      <x:c r="B180" s="86" t="str">
        <x:v>SC10 旺而过度占位｜先启动但不判风险</x:v>
      </x:c>
      <x:c r="C180" s="86" t="str">
        <x:v>L4 状态修正</x:v>
      </x:c>
      <x:c r="D180" s="86" t="str">
        <x:v>CARE-状态修正</x:v>
      </x:c>
      <x:c r="E180" s="86" t="str">
        <x:v>通用</x:v>
      </x:c>
      <x:c r="F180" s="86" t="str">
        <x:v>状态修正</x:v>
      </x:c>
      <x:c r="G180" s="74" t="str">
        <x:v>SC10 旺而过度占位｜先启动但不判风险</x:v>
      </x:c>
      <x:c r="H180" s="74" t="str"/>
      <x:c r="I180" s="74" t="str">
        <x:v>主CARE通道过旺或明显抢先，且缺少调节。</x:v>
      </x:c>
      <x:c r="J180" s="74" t="str">
        <x:v>基础事实失效；与共享引擎结果冲突；source_id重复而未去重。</x:v>
      </x:c>
      <x:c r="K180" s="74" t="str">
        <x:v>由共享基础引擎与M3-STATE修正</x:v>
      </x:c>
      <x:c r="L180" s="74" t="str">
        <x:v>不限定；夫妻星仅在形成独立CARE证据或入宫接口时参与</x:v>
      </x:c>
      <x:c r="M180" s="74" t="str">
        <x:v>由M3-BASE、日支结构及共享引擎提供</x:v>
      </x:c>
      <x:c r="N180" s="74" t="str">
        <x:v>无／待CARE路径规则组合</x:v>
      </x:c>
      <x:c r="O180" s="74" t="str">
        <x:v>全局有效信号；日柱及亲密关系近位优先</x:v>
      </x:c>
      <x:c r="P180" s="74" t="str">
        <x:v>由共享基础引擎判定</x:v>
      </x:c>
      <x:c r="Q180" s="74" t="str">
        <x:v>由共享基础引擎判定</x:v>
      </x:c>
      <x:c r="R180" s="74" t="str">
        <x:v>喜忌不直接等于愿不愿付出；只修正调用顺畅度与资源压力</x:v>
      </x:c>
      <x:c r="S180" s="74" t="str">
        <x:v>原十神性质有效；真合化成立时按化神路由</x:v>
      </x:c>
      <x:c r="T180" s="74" t="str">
        <x:v>由共享基础引擎判定</x:v>
      </x:c>
      <x:c r="U180" s="74" t="str">
        <x:v>57</x:v>
      </x:c>
      <x:c r="V180" s="74" t="str">
        <x:v>抢先 +5；路由M4观察</x:v>
      </x:c>
      <x:c r="W180" s="74" t="str">
        <x:v>state_shift</x:v>
      </x:c>
      <x:c r="X180" s="74" t="str">
        <x:v>主CARE通道过旺或明显抢先，且缺少调节。</x:v>
      </x:c>
      <x:c r="Y180" s="74" t="str">
        <x:v>这种支持方式更容易成为第一反应、占据较多关系资源；是否过度或耗竭必须交给M4。</x:v>
      </x:c>
      <x:c r="Z180" s="74" t="str">
        <x:v>不得由本规则直接推出过度付出、付出失衡、依赖、控制、忠诚度、关系结果或适配度；不得把某种照顾方式等同于爱得更多或更少。</x:v>
      </x:c>
      <x:c r="AA180" s="74" t="str">
        <x:v>中</x:v>
      </x:c>
      <x:c r="AB180" s="74" t="str">
        <x:v>待验证</x:v>
      </x:c>
      <x:c r="AC180" s="74" t="str"/>
      <x:c r="AD180" s="74" t="str">
        <x:v>provisional=true; state_rule=SC10</x:v>
      </x:c>
      <x:c r="AE180" s="74" t="str">
        <x:v>0.4</x:v>
      </x:c>
    </x:row>
    <x:row r="181">
      <x:c r="A181" s="86" t="str">
        <x:v>M3-CARE-177</x:v>
      </x:c>
      <x:c r="B181" s="86" t="str">
        <x:v>SC11 中和可用｜依情境稳定调用</x:v>
      </x:c>
      <x:c r="C181" s="86" t="str">
        <x:v>L4 状态修正</x:v>
      </x:c>
      <x:c r="D181" s="86" t="str">
        <x:v>CARE-状态修正</x:v>
      </x:c>
      <x:c r="E181" s="86" t="str">
        <x:v>通用</x:v>
      </x:c>
      <x:c r="F181" s="86" t="str">
        <x:v>状态修正</x:v>
      </x:c>
      <x:c r="G181" s="74" t="str">
        <x:v>SC11 中和可用｜依情境稳定调用</x:v>
      </x:c>
      <x:c r="H181" s="74" t="str"/>
      <x:c r="I181" s="74" t="str">
        <x:v>CARE通道力量中和，有根或有近位支持。</x:v>
      </x:c>
      <x:c r="J181" s="74" t="str">
        <x:v>基础事实失效；与共享引擎结果冲突；source_id重复而未去重。</x:v>
      </x:c>
      <x:c r="K181" s="74" t="str">
        <x:v>由共享基础引擎与M3-STATE修正</x:v>
      </x:c>
      <x:c r="L181" s="74" t="str">
        <x:v>不限定；夫妻星仅在形成独立CARE证据或入宫接口时参与</x:v>
      </x:c>
      <x:c r="M181" s="74" t="str">
        <x:v>由M3-BASE、日支结构及共享引擎提供</x:v>
      </x:c>
      <x:c r="N181" s="74" t="str">
        <x:v>无／待CARE路径规则组合</x:v>
      </x:c>
      <x:c r="O181" s="74" t="str">
        <x:v>全局有效信号；日柱及亲密关系近位优先</x:v>
      </x:c>
      <x:c r="P181" s="74" t="str">
        <x:v>由共享基础引擎判定</x:v>
      </x:c>
      <x:c r="Q181" s="74" t="str">
        <x:v>由共享基础引擎判定</x:v>
      </x:c>
      <x:c r="R181" s="74" t="str">
        <x:v>喜忌不直接等于愿不愿付出；只修正调用顺畅度与资源压力</x:v>
      </x:c>
      <x:c r="S181" s="74" t="str">
        <x:v>原十神性质有效；真合化成立时按化神路由</x:v>
      </x:c>
      <x:c r="T181" s="74" t="str">
        <x:v>由共享基础引擎判定</x:v>
      </x:c>
      <x:c r="U181" s="74" t="str">
        <x:v>57</x:v>
      </x:c>
      <x:c r="V181" s="74" t="str">
        <x:v>主通道 +5</x:v>
      </x:c>
      <x:c r="W181" s="74" t="str">
        <x:v>primary_care_channel</x:v>
      </x:c>
      <x:c r="X181" s="74" t="str">
        <x:v>CARE通道力量中和，有根或有近位支持。</x:v>
      </x:c>
      <x:c r="Y181" s="74" t="str">
        <x:v>你通常能在合适情境里调用这项支持方式，强度不会持续压过其他通道。</x:v>
      </x:c>
      <x:c r="Z181" s="74" t="str">
        <x:v>不得由本规则直接推出过度付出、付出失衡、依赖、控制、忠诚度、关系结果或适配度；不得把某种照顾方式等同于爱得更多或更少。</x:v>
      </x:c>
      <x:c r="AA181" s="74" t="str">
        <x:v>中</x:v>
      </x:c>
      <x:c r="AB181" s="74" t="str">
        <x:v>待验证</x:v>
      </x:c>
      <x:c r="AC181" s="74" t="str"/>
      <x:c r="AD181" s="74" t="str">
        <x:v>provisional=true; state_rule=SC11</x:v>
      </x:c>
      <x:c r="AE181" s="74" t="str">
        <x:v>0.4</x:v>
      </x:c>
    </x:row>
    <x:row r="182">
      <x:c r="A182" s="86" t="str">
        <x:v>M3-CARE-178</x:v>
      </x:c>
      <x:c r="B182" s="86" t="str">
        <x:v>SC12 偏弱有助｜需要明确需要或安全条件</x:v>
      </x:c>
      <x:c r="C182" s="86" t="str">
        <x:v>L4 状态修正</x:v>
      </x:c>
      <x:c r="D182" s="86" t="str">
        <x:v>CARE-状态修正</x:v>
      </x:c>
      <x:c r="E182" s="86" t="str">
        <x:v>通用</x:v>
      </x:c>
      <x:c r="F182" s="86" t="str">
        <x:v>状态修正</x:v>
      </x:c>
      <x:c r="G182" s="74" t="str">
        <x:v>SC12 偏弱有助｜需要明确需要或安全条件</x:v>
      </x:c>
      <x:c r="H182" s="74" t="str"/>
      <x:c r="I182" s="74" t="str">
        <x:v>CARE通道偏弱，但有生助、近位或后续桥梁。</x:v>
      </x:c>
      <x:c r="J182" s="74" t="str">
        <x:v>基础事实失效；与共享引擎结果冲突；source_id重复而未去重。</x:v>
      </x:c>
      <x:c r="K182" s="74" t="str">
        <x:v>由共享基础引擎与M3-STATE修正</x:v>
      </x:c>
      <x:c r="L182" s="74" t="str">
        <x:v>不限定；夫妻星仅在形成独立CARE证据或入宫接口时参与</x:v>
      </x:c>
      <x:c r="M182" s="74" t="str">
        <x:v>由M3-BASE、日支结构及共享引擎提供</x:v>
      </x:c>
      <x:c r="N182" s="74" t="str">
        <x:v>无／待CARE路径规则组合</x:v>
      </x:c>
      <x:c r="O182" s="74" t="str">
        <x:v>全局有效信号；日柱及亲密关系近位优先</x:v>
      </x:c>
      <x:c r="P182" s="74" t="str">
        <x:v>由共享基础引擎判定</x:v>
      </x:c>
      <x:c r="Q182" s="74" t="str">
        <x:v>由共享基础引擎判定</x:v>
      </x:c>
      <x:c r="R182" s="74" t="str">
        <x:v>喜忌不直接等于愿不愿付出；只修正调用顺畅度与资源压力</x:v>
      </x:c>
      <x:c r="S182" s="74" t="str">
        <x:v>原十神性质有效；真合化成立时按化神路由</x:v>
      </x:c>
      <x:c r="T182" s="74" t="str">
        <x:v>由共享基础引擎判定</x:v>
      </x:c>
      <x:c r="U182" s="74" t="str">
        <x:v>57</x:v>
      </x:c>
      <x:c r="V182" s="74" t="str">
        <x:v>条件性 +4</x:v>
      </x:c>
      <x:c r="W182" s="74" t="str">
        <x:v>investment_mode</x:v>
      </x:c>
      <x:c r="X182" s="74" t="str">
        <x:v>CARE通道偏弱，但有生助、近位或后续桥梁。</x:v>
      </x:c>
      <x:c r="Y182" s="74" t="str">
        <x:v>这项支持方式并非缺失，而是更容易在需求清楚、关系安全或有人回应时出现。</x:v>
      </x:c>
      <x:c r="Z182" s="74" t="str">
        <x:v>不得由本规则直接推出过度付出、付出失衡、依赖、控制、忠诚度、关系结果或适配度；不得把某种照顾方式等同于爱得更多或更少。</x:v>
      </x:c>
      <x:c r="AA182" s="74" t="str">
        <x:v>中</x:v>
      </x:c>
      <x:c r="AB182" s="74" t="str">
        <x:v>待验证</x:v>
      </x:c>
      <x:c r="AC182" s="74" t="str"/>
      <x:c r="AD182" s="74" t="str">
        <x:v>provisional=true; state_rule=SC12</x:v>
      </x:c>
      <x:c r="AE182" s="74" t="str">
        <x:v>0.4</x:v>
      </x:c>
    </x:row>
    <x:row r="183">
      <x:c r="A183" s="86" t="str">
        <x:v>M3-CARE-179</x:v>
      </x:c>
      <x:c r="B183" s="86" t="str">
        <x:v>SC13 偏弱无助｜不写稳定模式</x:v>
      </x:c>
      <x:c r="C183" s="86" t="str">
        <x:v>L4 状态修正</x:v>
      </x:c>
      <x:c r="D183" s="86" t="str">
        <x:v>CARE-状态修正</x:v>
      </x:c>
      <x:c r="E183" s="86" t="str">
        <x:v>通用</x:v>
      </x:c>
      <x:c r="F183" s="86" t="str">
        <x:v>状态修正</x:v>
      </x:c>
      <x:c r="G183" s="74" t="str">
        <x:v>SC13 偏弱无助｜不写稳定模式</x:v>
      </x:c>
      <x:c r="H183" s="74" t="str"/>
      <x:c r="I183" s="74" t="str">
        <x:v>CARE通道偏弱、无根、无近位支持且无有效流向。</x:v>
      </x:c>
      <x:c r="J183" s="74" t="str">
        <x:v>基础事实失效；与共享引擎结果冲突；source_id重复而未去重。</x:v>
      </x:c>
      <x:c r="K183" s="74" t="str">
        <x:v>由共享基础引擎与M3-STATE修正</x:v>
      </x:c>
      <x:c r="L183" s="74" t="str">
        <x:v>不限定；夫妻星仅在形成独立CARE证据或入宫接口时参与</x:v>
      </x:c>
      <x:c r="M183" s="74" t="str">
        <x:v>由M3-BASE、日支结构及共享引擎提供</x:v>
      </x:c>
      <x:c r="N183" s="74" t="str">
        <x:v>无／待CARE路径规则组合</x:v>
      </x:c>
      <x:c r="O183" s="74" t="str">
        <x:v>全局有效信号；日柱及亲密关系近位优先</x:v>
      </x:c>
      <x:c r="P183" s="74" t="str">
        <x:v>由共享基础引擎判定</x:v>
      </x:c>
      <x:c r="Q183" s="74" t="str">
        <x:v>由共享基础引擎判定</x:v>
      </x:c>
      <x:c r="R183" s="74" t="str">
        <x:v>喜忌不直接等于愿不愿付出；只修正调用顺畅度与资源压力</x:v>
      </x:c>
      <x:c r="S183" s="74" t="str">
        <x:v>原十神性质有效；真合化成立时按化神路由</x:v>
      </x:c>
      <x:c r="T183" s="74" t="str">
        <x:v>由共享基础引擎判定</x:v>
      </x:c>
      <x:c r="U183" s="74" t="str">
        <x:v>57</x:v>
      </x:c>
      <x:c r="V183" s="74" t="str">
        <x:v>候选 +1；降置信</x:v>
      </x:c>
      <x:c r="W183" s="74" t="str">
        <x:v>primary_care_channel</x:v>
      </x:c>
      <x:c r="X183" s="74" t="str">
        <x:v>CARE通道偏弱、无根、无近位支持且无有效流向。</x:v>
      </x:c>
      <x:c r="Y183" s="74" t="str">
        <x:v>目前不足以把这项方式写成稳定的支持习惯，只能作为低权重背景。</x:v>
      </x:c>
      <x:c r="Z183" s="74" t="str">
        <x:v>不得由本规则直接推出过度付出、付出失衡、依赖、控制、忠诚度、关系结果或适配度；不得把某种照顾方式等同于爱得更多或更少。</x:v>
      </x:c>
      <x:c r="AA183" s="74" t="str">
        <x:v>中低</x:v>
      </x:c>
      <x:c r="AB183" s="74" t="str">
        <x:v>待验证</x:v>
      </x:c>
      <x:c r="AC183" s="74" t="str"/>
      <x:c r="AD183" s="74" t="str">
        <x:v>provisional=true; state_rule=SC13</x:v>
      </x:c>
      <x:c r="AE183" s="74" t="str">
        <x:v>0.4</x:v>
      </x:c>
    </x:row>
    <x:row r="184">
      <x:c r="A184" s="86" t="str">
        <x:v>M3-CARE-180</x:v>
      </x:c>
      <x:c r="B184" s="86" t="str">
        <x:v>SC14 强弱争议｜回退到五系统</x:v>
      </x:c>
      <x:c r="C184" s="86" t="str">
        <x:v>L4 状态修正</x:v>
      </x:c>
      <x:c r="D184" s="86" t="str">
        <x:v>CARE-状态修正</x:v>
      </x:c>
      <x:c r="E184" s="86" t="str">
        <x:v>通用</x:v>
      </x:c>
      <x:c r="F184" s="86" t="str">
        <x:v>状态修正</x:v>
      </x:c>
      <x:c r="G184" s="74" t="str">
        <x:v>SC14 强弱争议｜回退到五系统</x:v>
      </x:c>
      <x:c r="H184" s="74" t="str"/>
      <x:c r="I184" s="74" t="str">
        <x:v>旺衰判断存在实质争议，且不同判法会改变主CARE通道。</x:v>
      </x:c>
      <x:c r="J184" s="74" t="str">
        <x:v>基础事实失效；与共享引擎结果冲突；source_id重复而未去重。</x:v>
      </x:c>
      <x:c r="K184" s="74" t="str">
        <x:v>由共享基础引擎与M3-STATE修正</x:v>
      </x:c>
      <x:c r="L184" s="74" t="str">
        <x:v>不限定；夫妻星仅在形成独立CARE证据或入宫接口时参与</x:v>
      </x:c>
      <x:c r="M184" s="74" t="str">
        <x:v>由M3-BASE、日支结构及共享引擎提供</x:v>
      </x:c>
      <x:c r="N184" s="74" t="str">
        <x:v>无／待CARE路径规则组合</x:v>
      </x:c>
      <x:c r="O184" s="74" t="str">
        <x:v>全局有效信号；日柱及亲密关系近位优先</x:v>
      </x:c>
      <x:c r="P184" s="74" t="str">
        <x:v>由共享基础引擎判定</x:v>
      </x:c>
      <x:c r="Q184" s="74" t="str">
        <x:v>由共享基础引擎判定</x:v>
      </x:c>
      <x:c r="R184" s="74" t="str">
        <x:v>喜忌不直接等于愿不愿付出；只修正调用顺畅度与资源压力</x:v>
      </x:c>
      <x:c r="S184" s="74" t="str">
        <x:v>原十神性质有效；真合化成立时按化神路由</x:v>
      </x:c>
      <x:c r="T184" s="74" t="str">
        <x:v>由共享基础引擎判定</x:v>
      </x:c>
      <x:c r="U184" s="74" t="str">
        <x:v>57</x:v>
      </x:c>
      <x:c r="V184" s="74" t="str">
        <x:v>停止十神级输出</x:v>
      </x:c>
      <x:c r="W184" s="74" t="str">
        <x:v>report_status</x:v>
      </x:c>
      <x:c r="X184" s="74" t="str">
        <x:v>旺衰判断存在实质争议，且不同判法会改变主CARE通道。</x:v>
      </x:c>
      <x:c r="Y184" s="74" t="str">
        <x:v>目前只能判断你更偏向某一类支持系统，具体十神方式仍需保留不确定性。</x:v>
      </x:c>
      <x:c r="Z184" s="74" t="str">
        <x:v>不得由本规则直接推出过度付出、付出失衡、依赖、控制、忠诚度、关系结果或适配度；不得把某种照顾方式等同于爱得更多或更少。</x:v>
      </x:c>
      <x:c r="AA184" s="74" t="str">
        <x:v>低</x:v>
      </x:c>
      <x:c r="AB184" s="74" t="str">
        <x:v>待验证</x:v>
      </x:c>
      <x:c r="AC184" s="74" t="str"/>
      <x:c r="AD184" s="74" t="str">
        <x:v>provisional=true; state_rule=SC14</x:v>
      </x:c>
      <x:c r="AE184" s="74" t="str">
        <x:v>0.4</x:v>
      </x:c>
    </x:row>
    <x:row r="185">
      <x:c r="A185" s="86" t="str">
        <x:v>M3-CARE-181</x:v>
      </x:c>
      <x:c r="B185" s="86" t="str">
        <x:v>SC15 为喜且平衡｜调用较顺畅</x:v>
      </x:c>
      <x:c r="C185" s="86" t="str">
        <x:v>L4 状态修正</x:v>
      </x:c>
      <x:c r="D185" s="86" t="str">
        <x:v>CARE-状态修正</x:v>
      </x:c>
      <x:c r="E185" s="86" t="str">
        <x:v>通用</x:v>
      </x:c>
      <x:c r="F185" s="86" t="str">
        <x:v>状态修正</x:v>
      </x:c>
      <x:c r="G185" s="74" t="str">
        <x:v>SC15 为喜且平衡｜调用较顺畅</x:v>
      </x:c>
      <x:c r="H185" s="74" t="str"/>
      <x:c r="I185" s="74" t="str">
        <x:v>CARE通道为喜且平衡，基础性质有效。</x:v>
      </x:c>
      <x:c r="J185" s="74" t="str">
        <x:v>基础事实失效；与共享引擎结果冲突；source_id重复而未去重。</x:v>
      </x:c>
      <x:c r="K185" s="74" t="str">
        <x:v>由共享基础引擎与M3-STATE修正</x:v>
      </x:c>
      <x:c r="L185" s="74" t="str">
        <x:v>不限定；夫妻星仅在形成独立CARE证据或入宫接口时参与</x:v>
      </x:c>
      <x:c r="M185" s="74" t="str">
        <x:v>由M3-BASE、日支结构及共享引擎提供</x:v>
      </x:c>
      <x:c r="N185" s="74" t="str">
        <x:v>无／待CARE路径规则组合</x:v>
      </x:c>
      <x:c r="O185" s="74" t="str">
        <x:v>全局有效信号；日柱及亲密关系近位优先</x:v>
      </x:c>
      <x:c r="P185" s="74" t="str">
        <x:v>由共享基础引擎判定</x:v>
      </x:c>
      <x:c r="Q185" s="74" t="str">
        <x:v>由共享基础引擎判定</x:v>
      </x:c>
      <x:c r="R185" s="74" t="str">
        <x:v>喜忌不直接等于愿不愿付出；只修正调用顺畅度与资源压力</x:v>
      </x:c>
      <x:c r="S185" s="74" t="str">
        <x:v>原十神性质有效；真合化成立时按化神路由</x:v>
      </x:c>
      <x:c r="T185" s="74" t="str">
        <x:v>由共享基础引擎判定</x:v>
      </x:c>
      <x:c r="U185" s="74" t="str">
        <x:v>57</x:v>
      </x:c>
      <x:c r="V185" s="74" t="str">
        <x:v>顺畅度 +4</x:v>
      </x:c>
      <x:c r="W185" s="74" t="str">
        <x:v>state_shift</x:v>
      </x:c>
      <x:c r="X185" s="74" t="str">
        <x:v>CARE通道为喜且平衡，基础性质有效。</x:v>
      </x:c>
      <x:c r="Y185" s="74" t="str">
        <x:v>你使用这类支持方式时通常较顺手，也更容易收到清楚反馈。</x:v>
      </x:c>
      <x:c r="Z185" s="74" t="str">
        <x:v>不得由本规则直接推出过度付出、付出失衡、依赖、控制、忠诚度、关系结果或适配度；不得把某种照顾方式等同于爱得更多或更少。</x:v>
      </x:c>
      <x:c r="AA185" s="74" t="str">
        <x:v>中</x:v>
      </x:c>
      <x:c r="AB185" s="74" t="str">
        <x:v>待验证</x:v>
      </x:c>
      <x:c r="AC185" s="74" t="str"/>
      <x:c r="AD185" s="74" t="str">
        <x:v>provisional=true; state_rule=SC15</x:v>
      </x:c>
      <x:c r="AE185" s="74" t="str">
        <x:v>0.4</x:v>
      </x:c>
    </x:row>
    <x:row r="186">
      <x:c r="A186" s="86" t="str">
        <x:v>M3-CARE-182</x:v>
      </x:c>
      <x:c r="B186" s="86" t="str">
        <x:v>SC16 为忌但有效｜仍可高频调用</x:v>
      </x:c>
      <x:c r="C186" s="86" t="str">
        <x:v>L4 状态修正</x:v>
      </x:c>
      <x:c r="D186" s="86" t="str">
        <x:v>CARE-状态修正</x:v>
      </x:c>
      <x:c r="E186" s="86" t="str">
        <x:v>通用</x:v>
      </x:c>
      <x:c r="F186" s="86" t="str">
        <x:v>状态修正</x:v>
      </x:c>
      <x:c r="G186" s="74" t="str">
        <x:v>SC16 为忌但有效｜仍可高频调用</x:v>
      </x:c>
      <x:c r="H186" s="74" t="str"/>
      <x:c r="I186" s="74" t="str">
        <x:v>CARE通道为忌但结构有效或力量明显。</x:v>
      </x:c>
      <x:c r="J186" s="74" t="str">
        <x:v>基础事实失效；与共享引擎结果冲突；source_id重复而未去重。</x:v>
      </x:c>
      <x:c r="K186" s="74" t="str">
        <x:v>由共享基础引擎与M3-STATE修正</x:v>
      </x:c>
      <x:c r="L186" s="74" t="str">
        <x:v>不限定；夫妻星仅在形成独立CARE证据或入宫接口时参与</x:v>
      </x:c>
      <x:c r="M186" s="74" t="str">
        <x:v>由M3-BASE、日支结构及共享引擎提供</x:v>
      </x:c>
      <x:c r="N186" s="74" t="str">
        <x:v>无／待CARE路径规则组合</x:v>
      </x:c>
      <x:c r="O186" s="74" t="str">
        <x:v>全局有效信号；日柱及亲密关系近位优先</x:v>
      </x:c>
      <x:c r="P186" s="74" t="str">
        <x:v>由共享基础引擎判定</x:v>
      </x:c>
      <x:c r="Q186" s="74" t="str">
        <x:v>由共享基础引擎判定</x:v>
      </x:c>
      <x:c r="R186" s="74" t="str">
        <x:v>喜忌不直接等于愿不愿付出；只修正调用顺畅度与资源压力</x:v>
      </x:c>
      <x:c r="S186" s="74" t="str">
        <x:v>原十神性质有效；真合化成立时按化神路由</x:v>
      </x:c>
      <x:c r="T186" s="74" t="str">
        <x:v>由共享基础引擎判定</x:v>
      </x:c>
      <x:c r="U186" s="74" t="str">
        <x:v>57</x:v>
      </x:c>
      <x:c r="V186" s="74" t="str">
        <x:v>强度保留；路由M4观察</x:v>
      </x:c>
      <x:c r="W186" s="74" t="str">
        <x:v>state_shift</x:v>
      </x:c>
      <x:c r="X186" s="74" t="str">
        <x:v>CARE通道为忌但结构有效或力量明显。</x:v>
      </x:c>
      <x:c r="Y186" s="74" t="str">
        <x:v>这项支持方式仍可能很常用；喜忌不能翻译成愿不愿付出，只提示资源压力或调用感受需要观察。</x:v>
      </x:c>
      <x:c r="Z186" s="74" t="str">
        <x:v>不得由本规则直接推出过度付出、付出失衡、依赖、控制、忠诚度、关系结果或适配度；不得把某种照顾方式等同于爱得更多或更少。</x:v>
      </x:c>
      <x:c r="AA186" s="74" t="str">
        <x:v>中</x:v>
      </x:c>
      <x:c r="AB186" s="74" t="str">
        <x:v>待验证</x:v>
      </x:c>
      <x:c r="AC186" s="74" t="str"/>
      <x:c r="AD186" s="74" t="str">
        <x:v>provisional=true; state_rule=SC16</x:v>
      </x:c>
      <x:c r="AE186" s="74" t="str">
        <x:v>0.4</x:v>
      </x:c>
    </x:row>
    <x:row r="187">
      <x:c r="A187" s="86" t="str">
        <x:v>M3-CARE-183</x:v>
      </x:c>
      <x:c r="B187" s="86" t="str">
        <x:v>SC17 喜忌未定｜只用功能性语言</x:v>
      </x:c>
      <x:c r="C187" s="86" t="str">
        <x:v>L4 状态修正</x:v>
      </x:c>
      <x:c r="D187" s="86" t="str">
        <x:v>CARE-状态修正</x:v>
      </x:c>
      <x:c r="E187" s="86" t="str">
        <x:v>通用</x:v>
      </x:c>
      <x:c r="F187" s="86" t="str">
        <x:v>状态修正</x:v>
      </x:c>
      <x:c r="G187" s="74" t="str">
        <x:v>SC17 喜忌未定｜只用功能性语言</x:v>
      </x:c>
      <x:c r="H187" s="74" t="str"/>
      <x:c r="I187" s="74" t="str">
        <x:v>CARE通道喜忌存在争议，但十神功能与位置可靠。</x:v>
      </x:c>
      <x:c r="J187" s="74" t="str">
        <x:v>基础事实失效；与共享引擎结果冲突；source_id重复而未去重。</x:v>
      </x:c>
      <x:c r="K187" s="74" t="str">
        <x:v>由共享基础引擎与M3-STATE修正</x:v>
      </x:c>
      <x:c r="L187" s="74" t="str">
        <x:v>不限定；夫妻星仅在形成独立CARE证据或入宫接口时参与</x:v>
      </x:c>
      <x:c r="M187" s="74" t="str">
        <x:v>由M3-BASE、日支结构及共享引擎提供</x:v>
      </x:c>
      <x:c r="N187" s="74" t="str">
        <x:v>无／待CARE路径规则组合</x:v>
      </x:c>
      <x:c r="O187" s="74" t="str">
        <x:v>全局有效信号；日柱及亲密关系近位优先</x:v>
      </x:c>
      <x:c r="P187" s="74" t="str">
        <x:v>由共享基础引擎判定</x:v>
      </x:c>
      <x:c r="Q187" s="74" t="str">
        <x:v>由共享基础引擎判定</x:v>
      </x:c>
      <x:c r="R187" s="74" t="str">
        <x:v>喜忌不直接等于愿不愿付出；只修正调用顺畅度与资源压力</x:v>
      </x:c>
      <x:c r="S187" s="74" t="str">
        <x:v>原十神性质有效；真合化成立时按化神路由</x:v>
      </x:c>
      <x:c r="T187" s="74" t="str">
        <x:v>由共享基础引擎判定</x:v>
      </x:c>
      <x:c r="U187" s="74" t="str">
        <x:v>57</x:v>
      </x:c>
      <x:c r="V187" s="74" t="str">
        <x:v>功能保留；不写体验质量</x:v>
      </x:c>
      <x:c r="W187" s="74" t="str">
        <x:v>boundary_note</x:v>
      </x:c>
      <x:c r="X187" s="74" t="str">
        <x:v>CARE通道喜忌存在争议，但十神功能与位置可靠。</x:v>
      </x:c>
      <x:c r="Y187" s="74" t="str">
        <x:v>可以说明你怎样支持关系，但不评价这种方式是否顺畅、轻松或容易形成压力。</x:v>
      </x:c>
      <x:c r="Z187" s="74" t="str">
        <x:v>不得由本规则直接推出过度付出、付出失衡、依赖、控制、忠诚度、关系结果或适配度；不得把某种照顾方式等同于爱得更多或更少。</x:v>
      </x:c>
      <x:c r="AA187" s="74" t="str">
        <x:v>中</x:v>
      </x:c>
      <x:c r="AB187" s="74" t="str">
        <x:v>待验证</x:v>
      </x:c>
      <x:c r="AC187" s="74" t="str"/>
      <x:c r="AD187" s="74" t="str">
        <x:v>provisional=true; state_rule=SC17</x:v>
      </x:c>
      <x:c r="AE187" s="74" t="str">
        <x:v>0.4</x:v>
      </x:c>
    </x:row>
    <x:row r="188">
      <x:c r="A188" s="86" t="str">
        <x:v>M3-CARE-184</x:v>
      </x:c>
      <x:c r="B188" s="86" t="str">
        <x:v>SC18 忌而过旺｜禁止直接写过度付出</x:v>
      </x:c>
      <x:c r="C188" s="86" t="str">
        <x:v>L4 状态修正</x:v>
      </x:c>
      <x:c r="D188" s="86" t="str">
        <x:v>CARE-状态修正</x:v>
      </x:c>
      <x:c r="E188" s="86" t="str">
        <x:v>通用</x:v>
      </x:c>
      <x:c r="F188" s="86" t="str">
        <x:v>状态修正</x:v>
      </x:c>
      <x:c r="G188" s="74" t="str">
        <x:v>SC18 忌而过旺｜禁止直接写过度付出</x:v>
      </x:c>
      <x:c r="H188" s="74" t="str"/>
      <x:c r="I188" s="74" t="str">
        <x:v>CARE通道为忌且过旺，调节不足。</x:v>
      </x:c>
      <x:c r="J188" s="74" t="str">
        <x:v>基础事实失效；与共享引擎结果冲突；source_id重复而未去重。</x:v>
      </x:c>
      <x:c r="K188" s="74" t="str">
        <x:v>由共享基础引擎与M3-STATE修正</x:v>
      </x:c>
      <x:c r="L188" s="74" t="str">
        <x:v>不限定；夫妻星仅在形成独立CARE证据或入宫接口时参与</x:v>
      </x:c>
      <x:c r="M188" s="74" t="str">
        <x:v>由M3-BASE、日支结构及共享引擎提供</x:v>
      </x:c>
      <x:c r="N188" s="74" t="str">
        <x:v>无／待CARE路径规则组合</x:v>
      </x:c>
      <x:c r="O188" s="74" t="str">
        <x:v>全局有效信号；日柱及亲密关系近位优先</x:v>
      </x:c>
      <x:c r="P188" s="74" t="str">
        <x:v>由共享基础引擎判定</x:v>
      </x:c>
      <x:c r="Q188" s="74" t="str">
        <x:v>由共享基础引擎判定</x:v>
      </x:c>
      <x:c r="R188" s="74" t="str">
        <x:v>喜忌不直接等于愿不愿付出；只修正调用顺畅度与资源压力</x:v>
      </x:c>
      <x:c r="S188" s="74" t="str">
        <x:v>原十神性质有效；真合化成立时按化神路由</x:v>
      </x:c>
      <x:c r="T188" s="74" t="str">
        <x:v>由共享基础引擎判定</x:v>
      </x:c>
      <x:c r="U188" s="74" t="str">
        <x:v>57</x:v>
      </x:c>
      <x:c r="V188" s="74" t="str">
        <x:v>路由M4；CARE不判风险</x:v>
      </x:c>
      <x:c r="W188" s="74" t="str">
        <x:v>boundary_note</x:v>
      </x:c>
      <x:c r="X188" s="74" t="str">
        <x:v>CARE通道为忌且过旺，调节不足。</x:v>
      </x:c>
      <x:c r="Y188" s="74" t="str">
        <x:v>只能说明这项支持方式容易抢先或占据资源，不能直接下“牺牲、耗竭、控制”的结论。</x:v>
      </x:c>
      <x:c r="Z188" s="74" t="str">
        <x:v>不得由本规则直接推出过度付出、付出失衡、依赖、控制、忠诚度、关系结果或适配度；不得把某种照顾方式等同于爱得更多或更少。</x:v>
      </x:c>
      <x:c r="AA188" s="74" t="str">
        <x:v>高</x:v>
      </x:c>
      <x:c r="AB188" s="74" t="str">
        <x:v>待验证</x:v>
      </x:c>
      <x:c r="AC188" s="74" t="str"/>
      <x:c r="AD188" s="74" t="str">
        <x:v>provisional=true; state_rule=SC18</x:v>
      </x:c>
      <x:c r="AE188" s="74" t="str">
        <x:v>0.4</x:v>
      </x:c>
    </x:row>
    <x:row r="189">
      <x:c r="A189" s="86" t="str">
        <x:v>M3-CARE-185</x:v>
      </x:c>
      <x:c r="B189" s="86" t="str">
        <x:v>SC19 有制有化｜通道经过另一系统调节</x:v>
      </x:c>
      <x:c r="C189" s="86" t="str">
        <x:v>L4 状态修正</x:v>
      </x:c>
      <x:c r="D189" s="86" t="str">
        <x:v>CARE-状态修正</x:v>
      </x:c>
      <x:c r="E189" s="86" t="str">
        <x:v>通用</x:v>
      </x:c>
      <x:c r="F189" s="86" t="str">
        <x:v>状态修正</x:v>
      </x:c>
      <x:c r="G189" s="74" t="str">
        <x:v>SC19 有制有化｜通道经过另一系统调节</x:v>
      </x:c>
      <x:c r="H189" s="74" t="str"/>
      <x:c r="I189" s="74" t="str">
        <x:v>原CARE通道有效，且存在可靠制化关系但未真合化替换。</x:v>
      </x:c>
      <x:c r="J189" s="74" t="str">
        <x:v>基础事实失效；与共享引擎结果冲突；source_id重复而未去重。</x:v>
      </x:c>
      <x:c r="K189" s="74" t="str">
        <x:v>由共享基础引擎与M3-STATE修正</x:v>
      </x:c>
      <x:c r="L189" s="74" t="str">
        <x:v>不限定；夫妻星仅在形成独立CARE证据或入宫接口时参与</x:v>
      </x:c>
      <x:c r="M189" s="74" t="str">
        <x:v>由M3-BASE、日支结构及共享引擎提供</x:v>
      </x:c>
      <x:c r="N189" s="74" t="str">
        <x:v>无／待CARE路径规则组合</x:v>
      </x:c>
      <x:c r="O189" s="74" t="str">
        <x:v>全局有效信号；日柱及亲密关系近位优先</x:v>
      </x:c>
      <x:c r="P189" s="74" t="str">
        <x:v>由共享基础引擎判定</x:v>
      </x:c>
      <x:c r="Q189" s="74" t="str">
        <x:v>由共享基础引擎判定</x:v>
      </x:c>
      <x:c r="R189" s="74" t="str">
        <x:v>喜忌不直接等于愿不愿付出；只修正调用顺畅度与资源压力</x:v>
      </x:c>
      <x:c r="S189" s="74" t="str">
        <x:v>原十神性质有效；真合化成立时按化神路由</x:v>
      </x:c>
      <x:c r="T189" s="74" t="str">
        <x:v>由共享基础引擎判定</x:v>
      </x:c>
      <x:c r="U189" s="74" t="str">
        <x:v>57</x:v>
      </x:c>
      <x:c r="V189" s="74" t="str">
        <x:v>建立桥接路径 +5</x:v>
      </x:c>
      <x:c r="W189" s="74" t="str">
        <x:v>care_path</x:v>
      </x:c>
      <x:c r="X189" s="74" t="str">
        <x:v>原CARE通道有效，且存在可靠制化关系但未真合化替换。</x:v>
      </x:c>
      <x:c r="Y189" s="74" t="str">
        <x:v>支持方式会经过另一系统调节，例如行动先经过沟通，投入先经过边界协商。</x:v>
      </x:c>
      <x:c r="Z189" s="74" t="str">
        <x:v>不得由本规则直接推出过度付出、付出失衡、依赖、控制、忠诚度、关系结果或适配度；不得把某种照顾方式等同于爱得更多或更少。</x:v>
      </x:c>
      <x:c r="AA189" s="74" t="str">
        <x:v>中高</x:v>
      </x:c>
      <x:c r="AB189" s="74" t="str">
        <x:v>待验证</x:v>
      </x:c>
      <x:c r="AC189" s="74" t="str"/>
      <x:c r="AD189" s="74" t="str">
        <x:v>provisional=true; state_rule=SC19</x:v>
      </x:c>
      <x:c r="AE189" s="74" t="str">
        <x:v>0.4</x:v>
      </x:c>
    </x:row>
    <x:row r="190">
      <x:c r="A190" s="86" t="str">
        <x:v>M3-CARE-186</x:v>
      </x:c>
      <x:c r="B190" s="86" t="str">
        <x:v>SC20 强而无制｜压力下更易抢先</x:v>
      </x:c>
      <x:c r="C190" s="86" t="str">
        <x:v>L4 状态修正</x:v>
      </x:c>
      <x:c r="D190" s="86" t="str">
        <x:v>CARE-状态修正</x:v>
      </x:c>
      <x:c r="E190" s="86" t="str">
        <x:v>通用</x:v>
      </x:c>
      <x:c r="F190" s="86" t="str">
        <x:v>状态修正</x:v>
      </x:c>
      <x:c r="G190" s="74" t="str">
        <x:v>SC20 强而无制｜压力下更易抢先</x:v>
      </x:c>
      <x:c r="H190" s="74" t="str"/>
      <x:c r="I190" s="74" t="str">
        <x:v>主CARE通道强而无制，且M3-STATE显示压力触发。</x:v>
      </x:c>
      <x:c r="J190" s="74" t="str">
        <x:v>基础事实失效；与共享引擎结果冲突；source_id重复而未去重。</x:v>
      </x:c>
      <x:c r="K190" s="74" t="str">
        <x:v>由共享基础引擎与M3-STATE修正</x:v>
      </x:c>
      <x:c r="L190" s="74" t="str">
        <x:v>不限定；夫妻星仅在形成独立CARE证据或入宫接口时参与</x:v>
      </x:c>
      <x:c r="M190" s="74" t="str">
        <x:v>由M3-BASE、日支结构及共享引擎提供</x:v>
      </x:c>
      <x:c r="N190" s="74" t="str">
        <x:v>无／待CARE路径规则组合</x:v>
      </x:c>
      <x:c r="O190" s="74" t="str">
        <x:v>全局有效信号；日柱及亲密关系近位优先</x:v>
      </x:c>
      <x:c r="P190" s="74" t="str">
        <x:v>由共享基础引擎判定</x:v>
      </x:c>
      <x:c r="Q190" s="74" t="str">
        <x:v>由共享基础引擎判定</x:v>
      </x:c>
      <x:c r="R190" s="74" t="str">
        <x:v>喜忌不直接等于愿不愿付出；只修正调用顺畅度与资源压力</x:v>
      </x:c>
      <x:c r="S190" s="74" t="str">
        <x:v>原十神性质有效；真合化成立时按化神路由</x:v>
      </x:c>
      <x:c r="T190" s="74" t="str">
        <x:v>由共享基础引擎判定</x:v>
      </x:c>
      <x:c r="U190" s="74" t="str">
        <x:v>57</x:v>
      </x:c>
      <x:c r="V190" s="74" t="str">
        <x:v>压力通道 +5</x:v>
      </x:c>
      <x:c r="W190" s="74" t="str">
        <x:v>state_shift</x:v>
      </x:c>
      <x:c r="X190" s="74" t="str">
        <x:v>主CARE通道强而无制，且M3-STATE显示压力触发。</x:v>
      </x:c>
      <x:c r="Y190" s="74" t="str">
        <x:v>压力增加时，这项支持方式更容易成为第一反应，但不等于平时只有这一种方式。</x:v>
      </x:c>
      <x:c r="Z190" s="74" t="str">
        <x:v>不得由本规则直接推出过度付出、付出失衡、依赖、控制、忠诚度、关系结果或适配度；不得把某种照顾方式等同于爱得更多或更少。</x:v>
      </x:c>
      <x:c r="AA190" s="74" t="str">
        <x:v>中</x:v>
      </x:c>
      <x:c r="AB190" s="74" t="str">
        <x:v>待验证</x:v>
      </x:c>
      <x:c r="AC190" s="74" t="str"/>
      <x:c r="AD190" s="74" t="str">
        <x:v>provisional=true; state_rule=SC20</x:v>
      </x:c>
      <x:c r="AE190" s="74" t="str">
        <x:v>0.4</x:v>
      </x:c>
    </x:row>
    <x:row r="191">
      <x:c r="A191" s="86" t="str">
        <x:v>M3-CARE-187</x:v>
      </x:c>
      <x:c r="B191" s="86" t="str">
        <x:v>SC21 合而不化｜保留原通道并修正牵连</x:v>
      </x:c>
      <x:c r="C191" s="86" t="str">
        <x:v>L4 状态修正</x:v>
      </x:c>
      <x:c r="D191" s="86" t="str">
        <x:v>CARE-状态修正</x:v>
      </x:c>
      <x:c r="E191" s="86" t="str">
        <x:v>通用</x:v>
      </x:c>
      <x:c r="F191" s="86" t="str">
        <x:v>状态修正</x:v>
      </x:c>
      <x:c r="G191" s="74" t="str">
        <x:v>SC21 合而不化｜保留原通道并修正牵连</x:v>
      </x:c>
      <x:c r="H191" s="74" t="str"/>
      <x:c r="I191" s="74" t="str">
        <x:v>存在合，但真合化条件不成立。</x:v>
      </x:c>
      <x:c r="J191" s="74" t="str">
        <x:v>基础事实失效；与共享引擎结果冲突；source_id重复而未去重。</x:v>
      </x:c>
      <x:c r="K191" s="74" t="str">
        <x:v>由共享基础引擎与M3-STATE修正</x:v>
      </x:c>
      <x:c r="L191" s="74" t="str">
        <x:v>不限定；夫妻星仅在形成独立CARE证据或入宫接口时参与</x:v>
      </x:c>
      <x:c r="M191" s="74" t="str">
        <x:v>由M3-BASE、日支结构及共享引擎提供</x:v>
      </x:c>
      <x:c r="N191" s="74" t="str">
        <x:v>无／待CARE路径规则组合</x:v>
      </x:c>
      <x:c r="O191" s="74" t="str">
        <x:v>全局有效信号；日柱及亲密关系近位优先</x:v>
      </x:c>
      <x:c r="P191" s="74" t="str">
        <x:v>由共享基础引擎判定</x:v>
      </x:c>
      <x:c r="Q191" s="74" t="str">
        <x:v>由共享基础引擎判定</x:v>
      </x:c>
      <x:c r="R191" s="74" t="str">
        <x:v>喜忌不直接等于愿不愿付出；只修正调用顺畅度与资源压力</x:v>
      </x:c>
      <x:c r="S191" s="74" t="str">
        <x:v>原十神性质有效；真合化成立时按化神路由</x:v>
      </x:c>
      <x:c r="T191" s="74" t="str">
        <x:v>由共享基础引擎判定</x:v>
      </x:c>
      <x:c r="U191" s="74" t="str">
        <x:v>57</x:v>
      </x:c>
      <x:c r="V191" s="74" t="str">
        <x:v>原通道保留；双通道候选 +3</x:v>
      </x:c>
      <x:c r="W191" s="74" t="str">
        <x:v>care_path</x:v>
      </x:c>
      <x:c r="X191" s="74" t="str">
        <x:v>存在合，但真合化条件不成立。</x:v>
      </x:c>
      <x:c r="Y191" s="74" t="str">
        <x:v>原CARE通道仍然有效，只是更容易与另一项支持内容绑定、协商或相互牵连。</x:v>
      </x:c>
      <x:c r="Z191" s="74" t="str">
        <x:v>不得由本规则直接推出过度付出、付出失衡、依赖、控制、忠诚度、关系结果或适配度；不得把某种照顾方式等同于爱得更多或更少。</x:v>
      </x:c>
      <x:c r="AA191" s="74" t="str">
        <x:v>中</x:v>
      </x:c>
      <x:c r="AB191" s="74" t="str">
        <x:v>待验证</x:v>
      </x:c>
      <x:c r="AC191" s="74" t="str"/>
      <x:c r="AD191" s="74" t="str">
        <x:v>provisional=true; state_rule=SC21</x:v>
      </x:c>
      <x:c r="AE191" s="74" t="str">
        <x:v>0.4</x:v>
      </x:c>
    </x:row>
    <x:row r="192">
      <x:c r="A192" s="86" t="str">
        <x:v>M3-CARE-188</x:v>
      </x:c>
      <x:c r="B192" s="86" t="str">
        <x:v>SC22 真合化｜原通道清零并按化神重建</x:v>
      </x:c>
      <x:c r="C192" s="86" t="str">
        <x:v>L4 状态修正</x:v>
      </x:c>
      <x:c r="D192" s="86" t="str">
        <x:v>CARE-状态修正</x:v>
      </x:c>
      <x:c r="E192" s="86" t="str">
        <x:v>通用</x:v>
      </x:c>
      <x:c r="F192" s="86" t="str">
        <x:v>状态修正</x:v>
      </x:c>
      <x:c r="G192" s="74" t="str">
        <x:v>SC22 真合化｜原通道清零并按化神重建</x:v>
      </x:c>
      <x:c r="H192" s="74" t="str"/>
      <x:c r="I192" s="74" t="str">
        <x:v>共享基础引擎确认真合化成立，化神五行与阴阳映射可靠。</x:v>
      </x:c>
      <x:c r="J192" s="74" t="str">
        <x:v>基础事实失效；与共享引擎结果冲突；source_id重复而未去重。</x:v>
      </x:c>
      <x:c r="K192" s="74" t="str">
        <x:v>由共享基础引擎与M3-STATE修正</x:v>
      </x:c>
      <x:c r="L192" s="74" t="str">
        <x:v>不限定；夫妻星仅在形成独立CARE证据或入宫接口时参与</x:v>
      </x:c>
      <x:c r="M192" s="74" t="str">
        <x:v>由M3-BASE、日支结构及共享引擎提供</x:v>
      </x:c>
      <x:c r="N192" s="74" t="str">
        <x:v>无／待CARE路径规则组合</x:v>
      </x:c>
      <x:c r="O192" s="74" t="str">
        <x:v>全局有效信号；日柱及亲密关系近位优先</x:v>
      </x:c>
      <x:c r="P192" s="74" t="str">
        <x:v>由共享基础引擎判定</x:v>
      </x:c>
      <x:c r="Q192" s="74" t="str">
        <x:v>由共享基础引擎判定</x:v>
      </x:c>
      <x:c r="R192" s="74" t="str">
        <x:v>喜忌不直接等于愿不愿付出；只修正调用顺畅度与资源压力</x:v>
      </x:c>
      <x:c r="S192" s="74" t="str">
        <x:v>原十神性质有效；真合化成立时按化神路由</x:v>
      </x:c>
      <x:c r="T192" s="74" t="str">
        <x:v>由共享基础引擎判定</x:v>
      </x:c>
      <x:c r="U192" s="74" t="str">
        <x:v>57</x:v>
      </x:c>
      <x:c r="V192" s="74" t="str">
        <x:v>原分清零；替换路由</x:v>
      </x:c>
      <x:c r="W192" s="74" t="str">
        <x:v>report_status</x:v>
      </x:c>
      <x:c r="X192" s="74" t="str">
        <x:v>共享基础引擎确认真合化成立，化神五行与阴阳映射可靠。</x:v>
      </x:c>
      <x:c r="Y192" s="74" t="str">
        <x:v>原十神CARE性质停止计分，改按化神所属功能系统重新判断支持方式。</x:v>
      </x:c>
      <x:c r="Z192" s="74" t="str">
        <x:v>不得由本规则直接推出过度付出、付出失衡、依赖、控制、忠诚度、关系结果或适配度；不得把某种照顾方式等同于爱得更多或更少。</x:v>
      </x:c>
      <x:c r="AA192" s="74" t="str">
        <x:v>高</x:v>
      </x:c>
      <x:c r="AB192" s="74" t="str">
        <x:v>待验证</x:v>
      </x:c>
      <x:c r="AC192" s="74" t="str"/>
      <x:c r="AD192" s="74" t="str">
        <x:v>provisional=true; state_rule=SC22</x:v>
      </x:c>
      <x:c r="AE192" s="74" t="str">
        <x:v>0.4</x:v>
      </x:c>
    </x:row>
    <x:row r="193">
      <x:c r="A193" s="86" t="str">
        <x:v>M3-CARE-189</x:v>
      </x:c>
      <x:c r="B193" s="86" t="str">
        <x:v>SC23 日柱／日支近位｜亲密关系直接调用</x:v>
      </x:c>
      <x:c r="C193" s="86" t="str">
        <x:v>L4 状态修正</x:v>
      </x:c>
      <x:c r="D193" s="86" t="str">
        <x:v>CARE-状态修正</x:v>
      </x:c>
      <x:c r="E193" s="86" t="str">
        <x:v>通用</x:v>
      </x:c>
      <x:c r="F193" s="86" t="str">
        <x:v>状态修正</x:v>
      </x:c>
      <x:c r="G193" s="74" t="str">
        <x:v>SC23 日柱／日支近位｜亲密关系直接调用</x:v>
      </x:c>
      <x:c r="H193" s="74" t="str"/>
      <x:c r="I193" s="74" t="str">
        <x:v>CARE信号位于日柱、日支主气或与日主形成直接近位关系。</x:v>
      </x:c>
      <x:c r="J193" s="74" t="str">
        <x:v>基础事实失效；与共享引擎结果冲突；source_id重复而未去重。</x:v>
      </x:c>
      <x:c r="K193" s="74" t="str">
        <x:v>由共享基础引擎与M3-STATE修正</x:v>
      </x:c>
      <x:c r="L193" s="74" t="str">
        <x:v>不限定；夫妻星仅在形成独立CARE证据或入宫接口时参与</x:v>
      </x:c>
      <x:c r="M193" s="74" t="str">
        <x:v>由M3-BASE、日支结构及共享引擎提供</x:v>
      </x:c>
      <x:c r="N193" s="74" t="str">
        <x:v>无／待CARE路径规则组合</x:v>
      </x:c>
      <x:c r="O193" s="74" t="str">
        <x:v>全局有效信号；日柱及亲密关系近位优先</x:v>
      </x:c>
      <x:c r="P193" s="74" t="str">
        <x:v>由共享基础引擎判定</x:v>
      </x:c>
      <x:c r="Q193" s="74" t="str">
        <x:v>由共享基础引擎判定</x:v>
      </x:c>
      <x:c r="R193" s="74" t="str">
        <x:v>喜忌不直接等于愿不愿付出；只修正调用顺畅度与资源压力</x:v>
      </x:c>
      <x:c r="S193" s="74" t="str">
        <x:v>原十神性质有效；真合化成立时按化神路由</x:v>
      </x:c>
      <x:c r="T193" s="74" t="str">
        <x:v>由共享基础引擎判定</x:v>
      </x:c>
      <x:c r="U193" s="74" t="str">
        <x:v>57</x:v>
      </x:c>
      <x:c r="V193" s="74" t="str">
        <x:v>主通道 +7</x:v>
      </x:c>
      <x:c r="W193" s="74" t="str">
        <x:v>primary_care_channel</x:v>
      </x:c>
      <x:c r="X193" s="74" t="str">
        <x:v>CARE信号位于日柱、日支主气或与日主形成直接近位关系。</x:v>
      </x:c>
      <x:c r="Y193" s="74" t="str">
        <x:v>这项支持方式更容易直接进入亲密关系日常，而不只停留在外部角色。</x:v>
      </x:c>
      <x:c r="Z193" s="74" t="str">
        <x:v>不得由本规则直接推出过度付出、付出失衡、依赖、控制、忠诚度、关系结果或适配度；不得把某种照顾方式等同于爱得更多或更少。</x:v>
      </x:c>
      <x:c r="AA193" s="74" t="str">
        <x:v>中高</x:v>
      </x:c>
      <x:c r="AB193" s="74" t="str">
        <x:v>待验证</x:v>
      </x:c>
      <x:c r="AC193" s="74" t="str"/>
      <x:c r="AD193" s="74" t="str">
        <x:v>provisional=true; state_rule=SC23</x:v>
      </x:c>
      <x:c r="AE193" s="74" t="str">
        <x:v>0.4</x:v>
      </x:c>
    </x:row>
    <x:row r="194">
      <x:c r="A194" s="86" t="str">
        <x:v>M3-CARE-190</x:v>
      </x:c>
      <x:c r="B194" s="86" t="str">
        <x:v>SC24 月柱中近位｜稳定背景支持</x:v>
      </x:c>
      <x:c r="C194" s="86" t="str">
        <x:v>L4 状态修正</x:v>
      </x:c>
      <x:c r="D194" s="86" t="str">
        <x:v>CARE-状态修正</x:v>
      </x:c>
      <x:c r="E194" s="86" t="str">
        <x:v>通用</x:v>
      </x:c>
      <x:c r="F194" s="86" t="str">
        <x:v>状态修正</x:v>
      </x:c>
      <x:c r="G194" s="74" t="str">
        <x:v>SC24 月柱中近位｜稳定背景支持</x:v>
      </x:c>
      <x:c r="H194" s="74" t="str"/>
      <x:c r="I194" s="74" t="str">
        <x:v>CARE信号位于月柱或与日柱有稳定连接。</x:v>
      </x:c>
      <x:c r="J194" s="74" t="str">
        <x:v>基础事实失效；与共享引擎结果冲突；source_id重复而未去重。</x:v>
      </x:c>
      <x:c r="K194" s="74" t="str">
        <x:v>由共享基础引擎与M3-STATE修正</x:v>
      </x:c>
      <x:c r="L194" s="74" t="str">
        <x:v>不限定；夫妻星仅在形成独立CARE证据或入宫接口时参与</x:v>
      </x:c>
      <x:c r="M194" s="74" t="str">
        <x:v>由M3-BASE、日支结构及共享引擎提供</x:v>
      </x:c>
      <x:c r="N194" s="74" t="str">
        <x:v>无／待CARE路径规则组合</x:v>
      </x:c>
      <x:c r="O194" s="74" t="str">
        <x:v>全局有效信号；日柱及亲密关系近位优先</x:v>
      </x:c>
      <x:c r="P194" s="74" t="str">
        <x:v>由共享基础引擎判定</x:v>
      </x:c>
      <x:c r="Q194" s="74" t="str">
        <x:v>由共享基础引擎判定</x:v>
      </x:c>
      <x:c r="R194" s="74" t="str">
        <x:v>喜忌不直接等于愿不愿付出；只修正调用顺畅度与资源压力</x:v>
      </x:c>
      <x:c r="S194" s="74" t="str">
        <x:v>原十神性质有效；真合化成立时按化神路由</x:v>
      </x:c>
      <x:c r="T194" s="74" t="str">
        <x:v>由共享基础引擎判定</x:v>
      </x:c>
      <x:c r="U194" s="74" t="str">
        <x:v>57</x:v>
      </x:c>
      <x:c r="V194" s="74" t="str">
        <x:v>主/次候选 +4</x:v>
      </x:c>
      <x:c r="W194" s="74" t="str">
        <x:v>secondary_care_channel</x:v>
      </x:c>
      <x:c r="X194" s="74" t="str">
        <x:v>CARE信号位于月柱或与日柱有稳定连接。</x:v>
      </x:c>
      <x:c r="Y194" s="74" t="str">
        <x:v>这项支持方式较容易成为长期生活和关系角色中的稳定背景。</x:v>
      </x:c>
      <x:c r="Z194" s="74" t="str">
        <x:v>不得由本规则直接推出过度付出、付出失衡、依赖、控制、忠诚度、关系结果或适配度；不得把某种照顾方式等同于爱得更多或更少。</x:v>
      </x:c>
      <x:c r="AA194" s="74" t="str">
        <x:v>中</x:v>
      </x:c>
      <x:c r="AB194" s="74" t="str">
        <x:v>待验证</x:v>
      </x:c>
      <x:c r="AC194" s="74" t="str"/>
      <x:c r="AD194" s="74" t="str">
        <x:v>provisional=true; state_rule=SC24</x:v>
      </x:c>
      <x:c r="AE194" s="74" t="str">
        <x:v>0.4</x:v>
      </x:c>
    </x:row>
    <x:row r="195">
      <x:c r="A195" s="86" t="str">
        <x:v>M3-CARE-191</x:v>
      </x:c>
      <x:c r="B195" s="86" t="str">
        <x:v>SC25 年时远位｜情境或阶段化表达</x:v>
      </x:c>
      <x:c r="C195" s="86" t="str">
        <x:v>L4 状态修正</x:v>
      </x:c>
      <x:c r="D195" s="86" t="str">
        <x:v>CARE-状态修正</x:v>
      </x:c>
      <x:c r="E195" s="86" t="str">
        <x:v>通用</x:v>
      </x:c>
      <x:c r="F195" s="86" t="str">
        <x:v>状态修正</x:v>
      </x:c>
      <x:c r="G195" s="74" t="str">
        <x:v>SC25 年时远位｜情境或阶段化表达</x:v>
      </x:c>
      <x:c r="H195" s="74" t="str"/>
      <x:c r="I195" s="74" t="str">
        <x:v>CARE信号主要位于年柱、时柱或与日柱连接较弱。</x:v>
      </x:c>
      <x:c r="J195" s="74" t="str">
        <x:v>基础事实失效；与共享引擎结果冲突；source_id重复而未去重。</x:v>
      </x:c>
      <x:c r="K195" s="74" t="str">
        <x:v>由共享基础引擎与M3-STATE修正</x:v>
      </x:c>
      <x:c r="L195" s="74" t="str">
        <x:v>不限定；夫妻星仅在形成独立CARE证据或入宫接口时参与</x:v>
      </x:c>
      <x:c r="M195" s="74" t="str">
        <x:v>由M3-BASE、日支结构及共享引擎提供</x:v>
      </x:c>
      <x:c r="N195" s="74" t="str">
        <x:v>无／待CARE路径规则组合</x:v>
      </x:c>
      <x:c r="O195" s="74" t="str">
        <x:v>全局有效信号；日柱及亲密关系近位优先</x:v>
      </x:c>
      <x:c r="P195" s="74" t="str">
        <x:v>由共享基础引擎判定</x:v>
      </x:c>
      <x:c r="Q195" s="74" t="str">
        <x:v>由共享基础引擎判定</x:v>
      </x:c>
      <x:c r="R195" s="74" t="str">
        <x:v>喜忌不直接等于愿不愿付出；只修正调用顺畅度与资源压力</x:v>
      </x:c>
      <x:c r="S195" s="74" t="str">
        <x:v>原十神性质有效；真合化成立时按化神路由</x:v>
      </x:c>
      <x:c r="T195" s="74" t="str">
        <x:v>由共享基础引擎判定</x:v>
      </x:c>
      <x:c r="U195" s="74" t="str">
        <x:v>57</x:v>
      </x:c>
      <x:c r="V195" s="74" t="str">
        <x:v>次候选 +2；降置信</x:v>
      </x:c>
      <x:c r="W195" s="74" t="str">
        <x:v>secondary_care_channel</x:v>
      </x:c>
      <x:c r="X195" s="74" t="str">
        <x:v>CARE信号主要位于年柱、时柱或与日柱连接较弱。</x:v>
      </x:c>
      <x:c r="Y195" s="74" t="str">
        <x:v>这项支持方式可能更依赖特定环境、未来阶段或外部角色，不宜直接写成亲密关系核心。</x:v>
      </x:c>
      <x:c r="Z195" s="74" t="str">
        <x:v>不得由本规则直接推出过度付出、付出失衡、依赖、控制、忠诚度、关系结果或适配度；不得把某种照顾方式等同于爱得更多或更少。</x:v>
      </x:c>
      <x:c r="AA195" s="74" t="str">
        <x:v>中低</x:v>
      </x:c>
      <x:c r="AB195" s="74" t="str">
        <x:v>待验证</x:v>
      </x:c>
      <x:c r="AC195" s="74" t="str"/>
      <x:c r="AD195" s="74" t="str">
        <x:v>provisional=true; state_rule=SC25</x:v>
      </x:c>
      <x:c r="AE195" s="74" t="str">
        <x:v>0.4</x:v>
      </x:c>
    </x:row>
    <x:row r="196">
      <x:c r="A196" s="86" t="str">
        <x:v>M3-CARE-192</x:v>
      </x:c>
      <x:c r="B196" s="86" t="str">
        <x:v>SC26 正偏同系统并见｜先收敛功能系统</x:v>
      </x:c>
      <x:c r="C196" s="86" t="str">
        <x:v>L4 状态修正</x:v>
      </x:c>
      <x:c r="D196" s="86" t="str">
        <x:v>CARE-状态修正</x:v>
      </x:c>
      <x:c r="E196" s="86" t="str">
        <x:v>通用</x:v>
      </x:c>
      <x:c r="F196" s="86" t="str">
        <x:v>状态修正</x:v>
      </x:c>
      <x:c r="G196" s="74" t="str">
        <x:v>SC26 正偏同系统并见｜先收敛功能系统</x:v>
      </x:c>
      <x:c r="H196" s="74" t="str"/>
      <x:c r="I196" s="74" t="str">
        <x:v>同一五系统中的正偏十神同时有效。</x:v>
      </x:c>
      <x:c r="J196" s="74" t="str">
        <x:v>基础事实失效；与共享引擎结果冲突；source_id重复而未去重。</x:v>
      </x:c>
      <x:c r="K196" s="74" t="str">
        <x:v>由共享基础引擎与M3-STATE修正</x:v>
      </x:c>
      <x:c r="L196" s="74" t="str">
        <x:v>不限定；夫妻星仅在形成独立CARE证据或入宫接口时参与</x:v>
      </x:c>
      <x:c r="M196" s="74" t="str">
        <x:v>由M3-BASE、日支结构及共享引擎提供</x:v>
      </x:c>
      <x:c r="N196" s="74" t="str">
        <x:v>无／待CARE路径规则组合</x:v>
      </x:c>
      <x:c r="O196" s="74" t="str">
        <x:v>全局有效信号；日柱及亲密关系近位优先</x:v>
      </x:c>
      <x:c r="P196" s="74" t="str">
        <x:v>由共享基础引擎判定</x:v>
      </x:c>
      <x:c r="Q196" s="74" t="str">
        <x:v>由共享基础引擎判定</x:v>
      </x:c>
      <x:c r="R196" s="74" t="str">
        <x:v>喜忌不直接等于愿不愿付出；只修正调用顺畅度与资源压力</x:v>
      </x:c>
      <x:c r="S196" s="74" t="str">
        <x:v>原十神性质有效；真合化成立时按化神路由</x:v>
      </x:c>
      <x:c r="T196" s="74" t="str">
        <x:v>由共享基础引擎判定</x:v>
      </x:c>
      <x:c r="U196" s="74" t="str">
        <x:v>57</x:v>
      </x:c>
      <x:c r="V196" s="74" t="str">
        <x:v>系统层合并；不重复加基础分</x:v>
      </x:c>
      <x:c r="W196" s="74" t="str">
        <x:v>provenance</x:v>
      </x:c>
      <x:c r="X196" s="74" t="str">
        <x:v>同一五系统中的正偏十神同时有效。</x:v>
      </x:c>
      <x:c r="Y196" s="74" t="str">
        <x:v>先合并为同一支持系统，再判断两者是风格分工、主次还是同义重复。</x:v>
      </x:c>
      <x:c r="Z196" s="74" t="str">
        <x:v>不得由本规则直接推出过度付出、付出失衡、依赖、控制、忠诚度、关系结果或适配度；不得把某种照顾方式等同于爱得更多或更少。</x:v>
      </x:c>
      <x:c r="AA196" s="74" t="str">
        <x:v>高</x:v>
      </x:c>
      <x:c r="AB196" s="74" t="str">
        <x:v>待验证</x:v>
      </x:c>
      <x:c r="AC196" s="74" t="str"/>
      <x:c r="AD196" s="74" t="str">
        <x:v>provisional=true; state_rule=SC26</x:v>
      </x:c>
      <x:c r="AE196" s="74" t="str">
        <x:v>0.4</x:v>
      </x:c>
    </x:row>
    <x:row r="197">
      <x:c r="A197" s="86" t="str">
        <x:v>M3-CARE-193</x:v>
      </x:c>
      <x:c r="B197" s="86" t="str">
        <x:v>SC27 正偏同系统功能分工｜稳定与灵活并存</x:v>
      </x:c>
      <x:c r="C197" s="86" t="str">
        <x:v>L4 状态修正</x:v>
      </x:c>
      <x:c r="D197" s="86" t="str">
        <x:v>CARE-状态修正</x:v>
      </x:c>
      <x:c r="E197" s="86" t="str">
        <x:v>通用</x:v>
      </x:c>
      <x:c r="F197" s="86" t="str">
        <x:v>状态修正</x:v>
      </x:c>
      <x:c r="G197" s="74" t="str">
        <x:v>SC27 正偏同系统功能分工｜稳定与灵活并存</x:v>
      </x:c>
      <x:c r="H197" s="74" t="str"/>
      <x:c r="I197" s="74" t="str">
        <x:v>正偏十神来源独立、功能不同且均达到次通道门槛。</x:v>
      </x:c>
      <x:c r="J197" s="74" t="str">
        <x:v>基础事实失效；与共享引擎结果冲突；source_id重复而未去重。</x:v>
      </x:c>
      <x:c r="K197" s="74" t="str">
        <x:v>由共享基础引擎与M3-STATE修正</x:v>
      </x:c>
      <x:c r="L197" s="74" t="str">
        <x:v>不限定；夫妻星仅在形成独立CARE证据或入宫接口时参与</x:v>
      </x:c>
      <x:c r="M197" s="74" t="str">
        <x:v>由M3-BASE、日支结构及共享引擎提供</x:v>
      </x:c>
      <x:c r="N197" s="74" t="str">
        <x:v>无／待CARE路径规则组合</x:v>
      </x:c>
      <x:c r="O197" s="74" t="str">
        <x:v>全局有效信号；日柱及亲密关系近位优先</x:v>
      </x:c>
      <x:c r="P197" s="74" t="str">
        <x:v>由共享基础引擎判定</x:v>
      </x:c>
      <x:c r="Q197" s="74" t="str">
        <x:v>由共享基础引擎判定</x:v>
      </x:c>
      <x:c r="R197" s="74" t="str">
        <x:v>喜忌不直接等于愿不愿付出；只修正调用顺畅度与资源压力</x:v>
      </x:c>
      <x:c r="S197" s="74" t="str">
        <x:v>原十神性质有效；真合化成立时按化神路由</x:v>
      </x:c>
      <x:c r="T197" s="74" t="str">
        <x:v>由共享基础引擎判定</x:v>
      </x:c>
      <x:c r="U197" s="74" t="str">
        <x:v>57</x:v>
      </x:c>
      <x:c r="V197" s="74" t="str">
        <x:v>双风格候选 +4</x:v>
      </x:c>
      <x:c r="W197" s="74" t="str">
        <x:v>secondary_care_channel</x:v>
      </x:c>
      <x:c r="X197" s="74" t="str">
        <x:v>正偏十神来源独立、功能不同且均达到次通道门槛。</x:v>
      </x:c>
      <x:c r="Y197" s="74" t="str">
        <x:v>可以输出同一系统内的分工，例如正财负责稳定投入，偏财负责灵活体验，但正文仍只保留一个系统主轴。</x:v>
      </x:c>
      <x:c r="Z197" s="74" t="str">
        <x:v>不得由本规则直接推出过度付出、付出失衡、依赖、控制、忠诚度、关系结果或适配度；不得把某种照顾方式等同于爱得更多或更少。</x:v>
      </x:c>
      <x:c r="AA197" s="74" t="str">
        <x:v>中</x:v>
      </x:c>
      <x:c r="AB197" s="74" t="str">
        <x:v>待验证</x:v>
      </x:c>
      <x:c r="AC197" s="74" t="str"/>
      <x:c r="AD197" s="74" t="str">
        <x:v>provisional=true; state_rule=SC27</x:v>
      </x:c>
      <x:c r="AE197" s="74" t="str">
        <x:v>0.4</x:v>
      </x:c>
    </x:row>
    <x:row r="198">
      <x:c r="A198" s="86" t="str">
        <x:v>M3-CARE-194</x:v>
      </x:c>
      <x:c r="B198" s="86" t="str">
        <x:v>SC28 正偏同源重复｜同义收敛</x:v>
      </x:c>
      <x:c r="C198" s="86" t="str">
        <x:v>L4 状态修正</x:v>
      </x:c>
      <x:c r="D198" s="86" t="str">
        <x:v>CARE-状态修正</x:v>
      </x:c>
      <x:c r="E198" s="86" t="str">
        <x:v>通用</x:v>
      </x:c>
      <x:c r="F198" s="86" t="str">
        <x:v>状态修正</x:v>
      </x:c>
      <x:c r="G198" s="74" t="str">
        <x:v>SC28 正偏同源重复｜同义收敛</x:v>
      </x:c>
      <x:c r="H198" s="74" t="str"/>
      <x:c r="I198" s="74" t="str">
        <x:v>正偏信号实际来自同一source_id、同一合化结果或无法证明功能独立。</x:v>
      </x:c>
      <x:c r="J198" s="74" t="str">
        <x:v>基础事实失效；与共享引擎结果冲突；source_id重复而未去重。</x:v>
      </x:c>
      <x:c r="K198" s="74" t="str">
        <x:v>由共享基础引擎与M3-STATE修正</x:v>
      </x:c>
      <x:c r="L198" s="74" t="str">
        <x:v>不限定；夫妻星仅在形成独立CARE证据或入宫接口时参与</x:v>
      </x:c>
      <x:c r="M198" s="74" t="str">
        <x:v>由M3-BASE、日支结构及共享引擎提供</x:v>
      </x:c>
      <x:c r="N198" s="74" t="str">
        <x:v>无／待CARE路径规则组合</x:v>
      </x:c>
      <x:c r="O198" s="74" t="str">
        <x:v>全局有效信号；日柱及亲密关系近位优先</x:v>
      </x:c>
      <x:c r="P198" s="74" t="str">
        <x:v>由共享基础引擎判定</x:v>
      </x:c>
      <x:c r="Q198" s="74" t="str">
        <x:v>由共享基础引擎判定</x:v>
      </x:c>
      <x:c r="R198" s="74" t="str">
        <x:v>喜忌不直接等于愿不愿付出；只修正调用顺畅度与资源压力</x:v>
      </x:c>
      <x:c r="S198" s="74" t="str">
        <x:v>原十神性质有效；真合化成立时按化神路由</x:v>
      </x:c>
      <x:c r="T198" s="74" t="str">
        <x:v>由共享基础引擎判定</x:v>
      </x:c>
      <x:c r="U198" s="74" t="str">
        <x:v>57</x:v>
      </x:c>
      <x:c r="V198" s="74" t="str">
        <x:v>去重；仅保留高权威描述</x:v>
      </x:c>
      <x:c r="W198" s="74" t="str">
        <x:v>provenance</x:v>
      </x:c>
      <x:c r="X198" s="74" t="str">
        <x:v>正偏信号实际来自同一source_id、同一合化结果或无法证明功能独立。</x:v>
      </x:c>
      <x:c r="Y198" s="74" t="str">
        <x:v>看似两种支持方式时，若本质是同一事实，应合并而不是堆成双通道。</x:v>
      </x:c>
      <x:c r="Z198" s="74" t="str">
        <x:v>不得由本规则直接推出过度付出、付出失衡、依赖、控制、忠诚度、关系结果或适配度；不得把某种照顾方式等同于爱得更多或更少。</x:v>
      </x:c>
      <x:c r="AA198" s="74" t="str">
        <x:v>高</x:v>
      </x:c>
      <x:c r="AB198" s="74" t="str">
        <x:v>待验证</x:v>
      </x:c>
      <x:c r="AC198" s="74" t="str"/>
      <x:c r="AD198" s="74" t="str">
        <x:v>provisional=true; state_rule=SC28</x:v>
      </x:c>
      <x:c r="AE198" s="74" t="str">
        <x:v>0.4</x:v>
      </x:c>
    </x:row>
    <x:row r="199">
      <x:c r="A199" s="88" t="str">
        <x:v>M3-CARE-195</x:v>
      </x:c>
      <x:c r="B199" s="88" t="str">
        <x:v>IF01 BASE同源接口｜底盘与CARE共享一次基础权重</x:v>
      </x:c>
      <x:c r="C199" s="88" t="str">
        <x:v>L5 接口、去重与停止</x:v>
      </x:c>
      <x:c r="D199" s="88" t="str">
        <x:v>CARE-接口门控</x:v>
      </x:c>
      <x:c r="E199" s="88" t="str">
        <x:v>通用</x:v>
      </x:c>
      <x:c r="F199" s="88" t="str">
        <x:v>接口／去重／停止</x:v>
      </x:c>
      <x:c r="G199" s="74" t="str">
        <x:v>M3-BASE</x:v>
      </x:c>
      <x:c r="H199" s="74" t="str"/>
      <x:c r="I199" s="74" t="str">
        <x:v>BASE和CARE读取同一日支、同一藏干或同一source_id。</x:v>
      </x:c>
      <x:c r="J199" s="74" t="str">
        <x:v>无；按规则本身执行。</x:v>
      </x:c>
      <x:c r="K199" s="74" t="str">
        <x:v>由共享基础引擎与M3-STATE修正</x:v>
      </x:c>
      <x:c r="L199" s="74" t="str">
        <x:v>不限定；夫妻星仅在形成独立CARE证据或入宫接口时参与</x:v>
      </x:c>
      <x:c r="M199" s="74" t="str">
        <x:v>由M3-BASE、日支结构及共享引擎提供</x:v>
      </x:c>
      <x:c r="N199" s="74" t="str">
        <x:v>无／待CARE路径规则组合</x:v>
      </x:c>
      <x:c r="O199" s="74" t="str">
        <x:v>全局有效信号；日柱及亲密关系近位优先</x:v>
      </x:c>
      <x:c r="P199" s="74" t="str">
        <x:v>由共享基础引擎判定</x:v>
      </x:c>
      <x:c r="Q199" s="74" t="str">
        <x:v>由共享基础引擎判定</x:v>
      </x:c>
      <x:c r="R199" s="74" t="str">
        <x:v>喜忌不直接等于愿不愿付出；只修正调用顺畅度与资源压力</x:v>
      </x:c>
      <x:c r="S199" s="74" t="str">
        <x:v>原十神性质有效；真合化成立时按化神路由</x:v>
      </x:c>
      <x:c r="T199" s="74" t="str">
        <x:v>由共享基础引擎判定</x:v>
      </x:c>
      <x:c r="U199" s="74" t="str">
        <x:v>62</x:v>
      </x:c>
      <x:c r="V199" s="74" t="str">
        <x:v>不加分；接口／去重／路由</x:v>
      </x:c>
      <x:c r="W199" s="74" t="str">
        <x:v>provenance</x:v>
      </x:c>
      <x:c r="X199" s="74" t="str">
        <x:v>BASE保留关系运行主题，CARE细化具体支持行为；基础权重只计一次。</x:v>
      </x:c>
      <x:c r="Y199" s="74" t="str">
        <x:v>同一个日支可以同时说明关系主题和照顾方式，但不会被当成两份独立证据。</x:v>
      </x:c>
      <x:c r="Z199" s="74" t="str">
        <x:v>不得由本规则直接推出过度付出、付出失衡、依赖、控制、忠诚度、关系结果或适配度；不得把某种照顾方式等同于爱得更多或更少。</x:v>
      </x:c>
      <x:c r="AA199" s="74" t="str">
        <x:v>高</x:v>
      </x:c>
      <x:c r="AB199" s="74" t="str">
        <x:v>待验证</x:v>
      </x:c>
      <x:c r="AC199" s="74" t="str"/>
      <x:c r="AD199" s="74" t="str">
        <x:v>provisional=true; interface=IF01</x:v>
      </x:c>
      <x:c r="AE199" s="74" t="str">
        <x:v>0.4</x:v>
      </x:c>
    </x:row>
    <x:row r="200">
      <x:c r="A200" s="88" t="str">
        <x:v>M3-CARE-196</x:v>
      </x:c>
      <x:c r="B200" s="88" t="str">
        <x:v>IF02 BASE异源接口｜次通道可独立升级</x:v>
      </x:c>
      <x:c r="C200" s="88" t="str">
        <x:v>L5 接口、去重与停止</x:v>
      </x:c>
      <x:c r="D200" s="88" t="str">
        <x:v>CARE-接口门控</x:v>
      </x:c>
      <x:c r="E200" s="88" t="str">
        <x:v>通用</x:v>
      </x:c>
      <x:c r="F200" s="88" t="str">
        <x:v>接口／去重／停止</x:v>
      </x:c>
      <x:c r="G200" s="74" t="str">
        <x:v>M3-BASE</x:v>
      </x:c>
      <x:c r="H200" s="74" t="str"/>
      <x:c r="I200" s="74" t="str">
        <x:v>BASE主底盘与另一独立CARE信号来源不同、功能不同。</x:v>
      </x:c>
      <x:c r="J200" s="74" t="str">
        <x:v>无；按规则本身执行。</x:v>
      </x:c>
      <x:c r="K200" s="74" t="str">
        <x:v>由共享基础引擎与M3-STATE修正</x:v>
      </x:c>
      <x:c r="L200" s="74" t="str">
        <x:v>不限定；夫妻星仅在形成独立CARE证据或入宫接口时参与</x:v>
      </x:c>
      <x:c r="M200" s="74" t="str">
        <x:v>由M3-BASE、日支结构及共享引擎提供</x:v>
      </x:c>
      <x:c r="N200" s="74" t="str">
        <x:v>无／待CARE路径规则组合</x:v>
      </x:c>
      <x:c r="O200" s="74" t="str">
        <x:v>全局有效信号；日柱及亲密关系近位优先</x:v>
      </x:c>
      <x:c r="P200" s="74" t="str">
        <x:v>由共享基础引擎判定</x:v>
      </x:c>
      <x:c r="Q200" s="74" t="str">
        <x:v>由共享基础引擎判定</x:v>
      </x:c>
      <x:c r="R200" s="74" t="str">
        <x:v>喜忌不直接等于愿不愿付出；只修正调用顺畅度与资源压力</x:v>
      </x:c>
      <x:c r="S200" s="74" t="str">
        <x:v>原十神性质有效；真合化成立时按化神路由</x:v>
      </x:c>
      <x:c r="T200" s="74" t="str">
        <x:v>由共享基础引擎判定</x:v>
      </x:c>
      <x:c r="U200" s="74" t="str">
        <x:v>62</x:v>
      </x:c>
      <x:c r="V200" s="74" t="str">
        <x:v>不加分；接口／去重／路由</x:v>
      </x:c>
      <x:c r="W200" s="74" t="str">
        <x:v>secondary_care_channel</x:v>
      </x:c>
      <x:c r="X200" s="74" t="str">
        <x:v>独立次信号可形成次CARE通道，但必须达到次通道门槛并说明功能分工。</x:v>
      </x:c>
      <x:c r="Y200" s="74" t="str">
        <x:v>关系底盘和具体支持方式不完全相同时，可以保留一个真正有作用的补充通道。</x:v>
      </x:c>
      <x:c r="Z200" s="74" t="str">
        <x:v>不得由本规则直接推出过度付出、付出失衡、依赖、控制、忠诚度、关系结果或适配度；不得把某种照顾方式等同于爱得更多或更少。</x:v>
      </x:c>
      <x:c r="AA200" s="74" t="str">
        <x:v>中高</x:v>
      </x:c>
      <x:c r="AB200" s="74" t="str">
        <x:v>待验证</x:v>
      </x:c>
      <x:c r="AC200" s="74" t="str"/>
      <x:c r="AD200" s="74" t="str">
        <x:v>provisional=true; interface=IF02</x:v>
      </x:c>
      <x:c r="AE200" s="74" t="str">
        <x:v>0.4</x:v>
      </x:c>
    </x:row>
    <x:row r="201">
      <x:c r="A201" s="88" t="str">
        <x:v>M3-CARE-197</x:v>
      </x:c>
      <x:c r="B201" s="88" t="str">
        <x:v>IF03 EXPR行动表达→CARE连续性复核</x:v>
      </x:c>
      <x:c r="C201" s="88" t="str">
        <x:v>L5 接口、去重与停止</x:v>
      </x:c>
      <x:c r="D201" s="88" t="str">
        <x:v>CARE-接口门控</x:v>
      </x:c>
      <x:c r="E201" s="88" t="str">
        <x:v>通用</x:v>
      </x:c>
      <x:c r="F201" s="88" t="str">
        <x:v>接口／去重／停止</x:v>
      </x:c>
      <x:c r="G201" s="74" t="str">
        <x:v>M3-EXPR</x:v>
      </x:c>
      <x:c r="H201" s="74" t="str"/>
      <x:c r="I201" s="74" t="str">
        <x:v>EXPR识别正财、偏财、官杀或行动为在意表达。</x:v>
      </x:c>
      <x:c r="J201" s="74" t="str">
        <x:v>无；按规则本身执行。</x:v>
      </x:c>
      <x:c r="K201" s="74" t="str">
        <x:v>由共享基础引擎与M3-STATE修正</x:v>
      </x:c>
      <x:c r="L201" s="74" t="str">
        <x:v>不限定；夫妻星仅在形成独立CARE证据或入宫接口时参与</x:v>
      </x:c>
      <x:c r="M201" s="74" t="str">
        <x:v>由M3-BASE、日支结构及共享引擎提供</x:v>
      </x:c>
      <x:c r="N201" s="74" t="str">
        <x:v>无／待CARE路径规则组合</x:v>
      </x:c>
      <x:c r="O201" s="74" t="str">
        <x:v>全局有效信号；日柱及亲密关系近位优先</x:v>
      </x:c>
      <x:c r="P201" s="74" t="str">
        <x:v>由共享基础引擎判定</x:v>
      </x:c>
      <x:c r="Q201" s="74" t="str">
        <x:v>由共享基础引擎判定</x:v>
      </x:c>
      <x:c r="R201" s="74" t="str">
        <x:v>喜忌不直接等于愿不愿付出；只修正调用顺畅度与资源压力</x:v>
      </x:c>
      <x:c r="S201" s="74" t="str">
        <x:v>原十神性质有效；真合化成立时按化神路由</x:v>
      </x:c>
      <x:c r="T201" s="74" t="str">
        <x:v>由共享基础引擎判定</x:v>
      </x:c>
      <x:c r="U201" s="74" t="str">
        <x:v>62</x:v>
      </x:c>
      <x:c r="V201" s="74" t="str">
        <x:v>不加分；接口／去重／路由</x:v>
      </x:c>
      <x:c r="W201" s="74" t="str">
        <x:v>continuity_mode</x:v>
      </x:c>
      <x:c r="X201" s="74" t="str">
        <x:v>CARE必须继续检查根气、重复行为、资源安排和反馈链，不能把表达动作直接写成长投入。</x:v>
      </x:c>
      <x:c r="Y201" s="74" t="str">
        <x:v>用行动表达在意之后，还要看这种行动是否持续、怎样分工和怎样被对方接收。</x:v>
      </x:c>
      <x:c r="Z201" s="74" t="str">
        <x:v>不得由本规则直接推出过度付出、付出失衡、依赖、控制、忠诚度、关系结果或适配度；不得把某种照顾方式等同于爱得更多或更少。</x:v>
      </x:c>
      <x:c r="AA201" s="74" t="str">
        <x:v>高</x:v>
      </x:c>
      <x:c r="AB201" s="74" t="str">
        <x:v>待验证</x:v>
      </x:c>
      <x:c r="AC201" s="74" t="str"/>
      <x:c r="AD201" s="74" t="str">
        <x:v>provisional=true; interface=IF03</x:v>
      </x:c>
      <x:c r="AE201" s="74" t="str">
        <x:v>0.4</x:v>
      </x:c>
    </x:row>
    <x:row r="202">
      <x:c r="A202" s="88" t="str">
        <x:v>M3-CARE-198</x:v>
      </x:c>
      <x:c r="B202" s="88" t="str">
        <x:v>IF04 EXPR倾听承接→CARE给予与接受分栏</x:v>
      </x:c>
      <x:c r="C202" s="88" t="str">
        <x:v>L5 接口、去重与停止</x:v>
      </x:c>
      <x:c r="D202" s="88" t="str">
        <x:v>CARE-接口门控</x:v>
      </x:c>
      <x:c r="E202" s="88" t="str">
        <x:v>通用</x:v>
      </x:c>
      <x:c r="F202" s="88" t="str">
        <x:v>接口／去重／停止</x:v>
      </x:c>
      <x:c r="G202" s="74" t="str">
        <x:v>M3-EXPR</x:v>
      </x:c>
      <x:c r="H202" s="74" t="str"/>
      <x:c r="I202" s="74" t="str">
        <x:v>EXPR识别正印或偏印为倾听、内化或回应方式。</x:v>
      </x:c>
      <x:c r="J202" s="74" t="str">
        <x:v>无；按规则本身执行。</x:v>
      </x:c>
      <x:c r="K202" s="74" t="str">
        <x:v>由共享基础引擎与M3-STATE修正</x:v>
      </x:c>
      <x:c r="L202" s="74" t="str">
        <x:v>不限定；夫妻星仅在形成独立CARE证据或入宫接口时参与</x:v>
      </x:c>
      <x:c r="M202" s="74" t="str">
        <x:v>由M3-BASE、日支结构及共享引擎提供</x:v>
      </x:c>
      <x:c r="N202" s="74" t="str">
        <x:v>无／待CARE路径规则组合</x:v>
      </x:c>
      <x:c r="O202" s="74" t="str">
        <x:v>全局有效信号；日柱及亲密关系近位优先</x:v>
      </x:c>
      <x:c r="P202" s="74" t="str">
        <x:v>由共享基础引擎判定</x:v>
      </x:c>
      <x:c r="Q202" s="74" t="str">
        <x:v>由共享基础引擎判定</x:v>
      </x:c>
      <x:c r="R202" s="74" t="str">
        <x:v>喜忌不直接等于愿不愿付出；只修正调用顺畅度与资源压力</x:v>
      </x:c>
      <x:c r="S202" s="74" t="str">
        <x:v>原十神性质有效；真合化成立时按化神路由</x:v>
      </x:c>
      <x:c r="T202" s="74" t="str">
        <x:v>由共享基础引擎判定</x:v>
      </x:c>
      <x:c r="U202" s="74" t="str">
        <x:v>62</x:v>
      </x:c>
      <x:c r="V202" s="74" t="str">
        <x:v>不加分；接口／去重／路由</x:v>
      </x:c>
      <x:c r="W202" s="74" t="str">
        <x:v>support_receiving_style</x:v>
      </x:c>
      <x:c r="X202" s="74" t="str">
        <x:v>CARE分别判断用户是否主动承接对方、是否能请求与接受支持，不能只写“会倾听”。</x:v>
      </x:c>
      <x:c r="Y202" s="74" t="str">
        <x:v>你愿意倾听对方，不自动代表你同样容易向对方求助或接受照顾。</x:v>
      </x:c>
      <x:c r="Z202" s="74" t="str">
        <x:v>不得由本规则直接推出过度付出、付出失衡、依赖、控制、忠诚度、关系结果或适配度；不得把某种照顾方式等同于爱得更多或更少。</x:v>
      </x:c>
      <x:c r="AA202" s="74" t="str">
        <x:v>高</x:v>
      </x:c>
      <x:c r="AB202" s="74" t="str">
        <x:v>待验证</x:v>
      </x:c>
      <x:c r="AC202" s="74" t="str"/>
      <x:c r="AD202" s="74" t="str">
        <x:v>provisional=true; interface=IF04</x:v>
      </x:c>
      <x:c r="AE202" s="74" t="str">
        <x:v>0.4</x:v>
      </x:c>
    </x:row>
    <x:row r="203">
      <x:c r="A203" s="88" t="str">
        <x:v>M3-CARE-199</x:v>
      </x:c>
      <x:c r="B203" s="88" t="str">
        <x:v>IF05 EXPR语言→CARE落实桥梁</x:v>
      </x:c>
      <x:c r="C203" s="88" t="str">
        <x:v>L5 接口、去重与停止</x:v>
      </x:c>
      <x:c r="D203" s="88" t="str">
        <x:v>CARE-接口门控</x:v>
      </x:c>
      <x:c r="E203" s="88" t="str">
        <x:v>通用</x:v>
      </x:c>
      <x:c r="F203" s="88" t="str">
        <x:v>接口／去重／停止</x:v>
      </x:c>
      <x:c r="G203" s="74" t="str">
        <x:v>M3-EXPR</x:v>
      </x:c>
      <x:c r="H203" s="74" t="str"/>
      <x:c r="I203" s="74" t="str">
        <x:v>食伤表达与财官杀投入同时有效，且来源独立。</x:v>
      </x:c>
      <x:c r="J203" s="74" t="str">
        <x:v>无；按规则本身执行。</x:v>
      </x:c>
      <x:c r="K203" s="74" t="str">
        <x:v>由共享基础引擎与M3-STATE修正</x:v>
      </x:c>
      <x:c r="L203" s="74" t="str">
        <x:v>不限定；夫妻星仅在形成独立CARE证据或入宫接口时参与</x:v>
      </x:c>
      <x:c r="M203" s="74" t="str">
        <x:v>由M3-BASE、日支结构及共享引擎提供</x:v>
      </x:c>
      <x:c r="N203" s="74" t="str">
        <x:v>无／待CARE路径规则组合</x:v>
      </x:c>
      <x:c r="O203" s="74" t="str">
        <x:v>全局有效信号；日柱及亲密关系近位优先</x:v>
      </x:c>
      <x:c r="P203" s="74" t="str">
        <x:v>由共享基础引擎判定</x:v>
      </x:c>
      <x:c r="Q203" s="74" t="str">
        <x:v>由共享基础引擎判定</x:v>
      </x:c>
      <x:c r="R203" s="74" t="str">
        <x:v>喜忌不直接等于愿不愿付出；只修正调用顺畅度与资源压力</x:v>
      </x:c>
      <x:c r="S203" s="74" t="str">
        <x:v>原十神性质有效；真合化成立时按化神路由</x:v>
      </x:c>
      <x:c r="T203" s="74" t="str">
        <x:v>由共享基础引擎判定</x:v>
      </x:c>
      <x:c r="U203" s="74" t="str">
        <x:v>62</x:v>
      </x:c>
      <x:c r="V203" s="74" t="str">
        <x:v>不加分；接口／去重／路由</x:v>
      </x:c>
      <x:c r="W203" s="74" t="str">
        <x:v>care_path</x:v>
      </x:c>
      <x:c r="X203" s="74" t="str">
        <x:v>可建立CF03或CF04路径，说明表达怎样转为安排和责任；不能由五行相生单独推断。</x:v>
      </x:c>
      <x:c r="Y203" s="74" t="str">
        <x:v>当交流与现实行动都有证据时，可以说明你如何从说清楚转向实际落实。</x:v>
      </x:c>
      <x:c r="Z203" s="74" t="str">
        <x:v>不得由本规则直接推出过度付出、付出失衡、依赖、控制、忠诚度、关系结果或适配度；不得把某种照顾方式等同于爱得更多或更少。</x:v>
      </x:c>
      <x:c r="AA203" s="74" t="str">
        <x:v>中高</x:v>
      </x:c>
      <x:c r="AB203" s="74" t="str">
        <x:v>待验证</x:v>
      </x:c>
      <x:c r="AC203" s="74" t="str"/>
      <x:c r="AD203" s="74" t="str">
        <x:v>provisional=true; interface=IF05</x:v>
      </x:c>
      <x:c r="AE203" s="74" t="str">
        <x:v>0.4</x:v>
      </x:c>
    </x:row>
    <x:row r="204">
      <x:c r="A204" s="88" t="str">
        <x:v>M3-CARE-200</x:v>
      </x:c>
      <x:c r="B204" s="88" t="str">
        <x:v>IF06 BOUND接口｜资源权限与停止点后续判断</x:v>
      </x:c>
      <x:c r="C204" s="88" t="str">
        <x:v>L5 接口、去重与停止</x:v>
      </x:c>
      <x:c r="D204" s="88" t="str">
        <x:v>CARE-接口门控</x:v>
      </x:c>
      <x:c r="E204" s="88" t="str">
        <x:v>通用</x:v>
      </x:c>
      <x:c r="F204" s="88" t="str">
        <x:v>接口／去重／停止</x:v>
      </x:c>
      <x:c r="G204" s="74" t="str">
        <x:v>M3-BOUND</x:v>
      </x:c>
      <x:c r="H204" s="74" t="str"/>
      <x:c r="I204" s="74" t="str">
        <x:v>CARE识别大量投入、共同资源、替对方处理或接受帮助。</x:v>
      </x:c>
      <x:c r="J204" s="74" t="str">
        <x:v>无；按规则本身执行。</x:v>
      </x:c>
      <x:c r="K204" s="74" t="str">
        <x:v>由共享基础引擎与M3-STATE修正</x:v>
      </x:c>
      <x:c r="L204" s="74" t="str">
        <x:v>不限定；夫妻星仅在形成独立CARE证据或入宫接口时参与</x:v>
      </x:c>
      <x:c r="M204" s="74" t="str">
        <x:v>由M3-BASE、日支结构及共享引擎提供</x:v>
      </x:c>
      <x:c r="N204" s="74" t="str">
        <x:v>无／待CARE路径规则组合</x:v>
      </x:c>
      <x:c r="O204" s="74" t="str">
        <x:v>全局有效信号；日柱及亲密关系近位优先</x:v>
      </x:c>
      <x:c r="P204" s="74" t="str">
        <x:v>由共享基础引擎判定</x:v>
      </x:c>
      <x:c r="Q204" s="74" t="str">
        <x:v>由共享基础引擎判定</x:v>
      </x:c>
      <x:c r="R204" s="74" t="str">
        <x:v>喜忌不直接等于愿不愿付出；只修正调用顺畅度与资源压力</x:v>
      </x:c>
      <x:c r="S204" s="74" t="str">
        <x:v>原十神性质有效；真合化成立时按化神路由</x:v>
      </x:c>
      <x:c r="T204" s="74" t="str">
        <x:v>由共享基础引擎判定</x:v>
      </x:c>
      <x:c r="U204" s="74" t="str">
        <x:v>80</x:v>
      </x:c>
      <x:c r="V204" s="74" t="str">
        <x:v>不加分；接口／去重／路由</x:v>
      </x:c>
      <x:c r="W204" s="74" t="str">
        <x:v>resource_boundary_note</x:v>
      </x:c>
      <x:c r="X204" s="74" t="str">
        <x:v>CARE只写内容与交换方式；谁有决定权、何时停止和是否可拒绝由BOUND判断。</x:v>
      </x:c>
      <x:c r="Y204" s="74" t="str">
        <x:v>这里能说明你怎样投入，但投入到什么程度、谁来决定，需要在边界模块继续看。</x:v>
      </x:c>
      <x:c r="Z204" s="74" t="str">
        <x:v>不得由本规则直接推出过度付出、付出失衡、依赖、控制、忠诚度、关系结果或适配度；不得把某种照顾方式等同于爱得更多或更少。</x:v>
      </x:c>
      <x:c r="AA204" s="74" t="str">
        <x:v>高</x:v>
      </x:c>
      <x:c r="AB204" s="74" t="str">
        <x:v>待验证</x:v>
      </x:c>
      <x:c r="AC204" s="74" t="str"/>
      <x:c r="AD204" s="74" t="str">
        <x:v>provisional=true; interface=IF06</x:v>
      </x:c>
      <x:c r="AE204" s="74" t="str">
        <x:v>0.4</x:v>
      </x:c>
    </x:row>
    <x:row r="205">
      <x:c r="A205" s="88" t="str">
        <x:v>M3-CARE-201</x:v>
      </x:c>
      <x:c r="B205" s="88" t="str">
        <x:v>IF07 BOUND接口｜能求助不等于依赖</x:v>
      </x:c>
      <x:c r="C205" s="88" t="str">
        <x:v>L5 接口、去重与停止</x:v>
      </x:c>
      <x:c r="D205" s="88" t="str">
        <x:v>CARE-接口门控</x:v>
      </x:c>
      <x:c r="E205" s="88" t="str">
        <x:v>通用</x:v>
      </x:c>
      <x:c r="F205" s="88" t="str">
        <x:v>接口／去重／停止</x:v>
      </x:c>
      <x:c r="G205" s="74" t="str">
        <x:v>M3-BOUND</x:v>
      </x:c>
      <x:c r="H205" s="74" t="str"/>
      <x:c r="I205" s="74" t="str">
        <x:v>RQ01—RQ04任一请求支持方式成立。</x:v>
      </x:c>
      <x:c r="J205" s="74" t="str">
        <x:v>无；按规则本身执行。</x:v>
      </x:c>
      <x:c r="K205" s="74" t="str">
        <x:v>由共享基础引擎与M3-STATE修正</x:v>
      </x:c>
      <x:c r="L205" s="74" t="str">
        <x:v>不限定；夫妻星仅在形成独立CARE证据或入宫接口时参与</x:v>
      </x:c>
      <x:c r="M205" s="74" t="str">
        <x:v>由M3-BASE、日支结构及共享引擎提供</x:v>
      </x:c>
      <x:c r="N205" s="74" t="str">
        <x:v>无／待CARE路径规则组合</x:v>
      </x:c>
      <x:c r="O205" s="74" t="str">
        <x:v>全局有效信号；日柱及亲密关系近位优先</x:v>
      </x:c>
      <x:c r="P205" s="74" t="str">
        <x:v>由共享基础引擎判定</x:v>
      </x:c>
      <x:c r="Q205" s="74" t="str">
        <x:v>由共享基础引擎判定</x:v>
      </x:c>
      <x:c r="R205" s="74" t="str">
        <x:v>喜忌不直接等于愿不愿付出；只修正调用顺畅度与资源压力</x:v>
      </x:c>
      <x:c r="S205" s="74" t="str">
        <x:v>原十神性质有效；真合化成立时按化神路由</x:v>
      </x:c>
      <x:c r="T205" s="74" t="str">
        <x:v>由共享基础引擎判定</x:v>
      </x:c>
      <x:c r="U205" s="74" t="str">
        <x:v>62</x:v>
      </x:c>
      <x:c r="V205" s="74" t="str">
        <x:v>不加分；接口／去重／路由</x:v>
      </x:c>
      <x:c r="W205" s="74" t="str">
        <x:v>boundary_note</x:v>
      </x:c>
      <x:c r="X205" s="74" t="str">
        <x:v>请求帮助是支持交换能力，不直接代表依赖或自主性不足。</x:v>
      </x:c>
      <x:c r="Y205" s="74" t="str">
        <x:v>能够说出需要，是一种关系沟通方式，不等于你没有独立处理事情的能力。</x:v>
      </x:c>
      <x:c r="Z205" s="74" t="str">
        <x:v>不得由本规则直接推出过度付出、付出失衡、依赖、控制、忠诚度、关系结果或适配度；不得把某种照顾方式等同于爱得更多或更少。</x:v>
      </x:c>
      <x:c r="AA205" s="74" t="str">
        <x:v>高</x:v>
      </x:c>
      <x:c r="AB205" s="74" t="str">
        <x:v>待验证</x:v>
      </x:c>
      <x:c r="AC205" s="74" t="str"/>
      <x:c r="AD205" s="74" t="str">
        <x:v>provisional=true; interface=IF07</x:v>
      </x:c>
      <x:c r="AE205" s="74" t="str">
        <x:v>0.4</x:v>
      </x:c>
    </x:row>
    <x:row r="206">
      <x:c r="A206" s="88" t="str">
        <x:v>M3-CARE-202</x:v>
      </x:c>
      <x:c r="B206" s="88" t="str">
        <x:v>IF08 BOUND接口｜并肩支持不等于拒绝亲密</x:v>
      </x:c>
      <x:c r="C206" s="88" t="str">
        <x:v>L5 接口、去重与停止</x:v>
      </x:c>
      <x:c r="D206" s="88" t="str">
        <x:v>CARE-接口门控</x:v>
      </x:c>
      <x:c r="E206" s="88" t="str">
        <x:v>通用</x:v>
      </x:c>
      <x:c r="F206" s="88" t="str">
        <x:v>接口／去重／停止</x:v>
      </x:c>
      <x:c r="G206" s="74" t="str">
        <x:v>M3-BOUND</x:v>
      </x:c>
      <x:c r="H206" s="74" t="str"/>
      <x:c r="I206" s="74" t="str">
        <x:v>比肩、劫财或保留自主后接收成立。</x:v>
      </x:c>
      <x:c r="J206" s="74" t="str">
        <x:v>无；按规则本身执行。</x:v>
      </x:c>
      <x:c r="K206" s="74" t="str">
        <x:v>由共享基础引擎与M3-STATE修正</x:v>
      </x:c>
      <x:c r="L206" s="74" t="str">
        <x:v>不限定；夫妻星仅在形成独立CARE证据或入宫接口时参与</x:v>
      </x:c>
      <x:c r="M206" s="74" t="str">
        <x:v>由M3-BASE、日支结构及共享引擎提供</x:v>
      </x:c>
      <x:c r="N206" s="74" t="str">
        <x:v>无／待CARE路径规则组合</x:v>
      </x:c>
      <x:c r="O206" s="74" t="str">
        <x:v>全局有效信号；日柱及亲密关系近位优先</x:v>
      </x:c>
      <x:c r="P206" s="74" t="str">
        <x:v>由共享基础引擎判定</x:v>
      </x:c>
      <x:c r="Q206" s="74" t="str">
        <x:v>由共享基础引擎判定</x:v>
      </x:c>
      <x:c r="R206" s="74" t="str">
        <x:v>喜忌不直接等于愿不愿付出；只修正调用顺畅度与资源压力</x:v>
      </x:c>
      <x:c r="S206" s="74" t="str">
        <x:v>原十神性质有效；真合化成立时按化神路由</x:v>
      </x:c>
      <x:c r="T206" s="74" t="str">
        <x:v>由共享基础引擎判定</x:v>
      </x:c>
      <x:c r="U206" s="74" t="str">
        <x:v>62</x:v>
      </x:c>
      <x:c r="V206" s="74" t="str">
        <x:v>不加分；接口／去重／路由</x:v>
      </x:c>
      <x:c r="W206" s="74" t="str">
        <x:v>boundary_note</x:v>
      </x:c>
      <x:c r="X206" s="74" t="str">
        <x:v>尊重自主和共同参与只描述支持结构，不能推断用户排斥照顾或不愿亲近。</x:v>
      </x:c>
      <x:c r="Y206" s="74" t="str">
        <x:v>你更喜欢保留参与感和选择权，不代表你拒绝被照顾或不需要亲密。</x:v>
      </x:c>
      <x:c r="Z206" s="74" t="str">
        <x:v>不得由本规则直接推出过度付出、付出失衡、依赖、控制、忠诚度、关系结果或适配度；不得把某种照顾方式等同于爱得更多或更少。</x:v>
      </x:c>
      <x:c r="AA206" s="74" t="str">
        <x:v>高</x:v>
      </x:c>
      <x:c r="AB206" s="74" t="str">
        <x:v>待验证</x:v>
      </x:c>
      <x:c r="AC206" s="74" t="str"/>
      <x:c r="AD206" s="74" t="str">
        <x:v>provisional=true; interface=IF08</x:v>
      </x:c>
      <x:c r="AE206" s="74" t="str">
        <x:v>0.4</x:v>
      </x:c>
    </x:row>
    <x:row r="207">
      <x:c r="A207" s="88" t="str">
        <x:v>M3-CARE-203</x:v>
      </x:c>
      <x:c r="B207" s="88" t="str">
        <x:v>IF09 CONFLICT接口｜危机处理与分歧反应分开</x:v>
      </x:c>
      <x:c r="C207" s="88" t="str">
        <x:v>L5 接口、去重与停止</x:v>
      </x:c>
      <x:c r="D207" s="88" t="str">
        <x:v>CARE-接口门控</x:v>
      </x:c>
      <x:c r="E207" s="88" t="str">
        <x:v>通用</x:v>
      </x:c>
      <x:c r="F207" s="88" t="str">
        <x:v>接口／去重／停止</x:v>
      </x:c>
      <x:c r="G207" s="74" t="str">
        <x:v>M3-CONFLICT</x:v>
      </x:c>
      <x:c r="H207" s="74" t="str"/>
      <x:c r="I207" s="74" t="str">
        <x:v>CP09行动保护或七杀CARE在困难情境有效。</x:v>
      </x:c>
      <x:c r="J207" s="74" t="str">
        <x:v>无；按规则本身执行。</x:v>
      </x:c>
      <x:c r="K207" s="74" t="str">
        <x:v>由共享基础引擎与M3-STATE修正</x:v>
      </x:c>
      <x:c r="L207" s="74" t="str">
        <x:v>不限定；夫妻星仅在形成独立CARE证据或入宫接口时参与</x:v>
      </x:c>
      <x:c r="M207" s="74" t="str">
        <x:v>由M3-BASE、日支结构及共享引擎提供</x:v>
      </x:c>
      <x:c r="N207" s="74" t="str">
        <x:v>无／待CARE路径规则组合</x:v>
      </x:c>
      <x:c r="O207" s="74" t="str">
        <x:v>全局有效信号；日柱及亲密关系近位优先</x:v>
      </x:c>
      <x:c r="P207" s="74" t="str">
        <x:v>由共享基础引擎判定</x:v>
      </x:c>
      <x:c r="Q207" s="74" t="str">
        <x:v>由共享基础引擎判定</x:v>
      </x:c>
      <x:c r="R207" s="74" t="str">
        <x:v>喜忌不直接等于愿不愿付出；只修正调用顺畅度与资源压力</x:v>
      </x:c>
      <x:c r="S207" s="74" t="str">
        <x:v>原十神性质有效；真合化成立时按化神路由</x:v>
      </x:c>
      <x:c r="T207" s="74" t="str">
        <x:v>由共享基础引擎判定</x:v>
      </x:c>
      <x:c r="U207" s="74" t="str">
        <x:v>62</x:v>
      </x:c>
      <x:c r="V207" s="74" t="str">
        <x:v>不加分；接口／去重／路由</x:v>
      </x:c>
      <x:c r="W207" s="74" t="str">
        <x:v>boundary_note</x:v>
      </x:c>
      <x:c r="X207" s="74" t="str">
        <x:v>关键时刻先处理问题可作为支持方式；分歧时的语气、权力和协商需CONFLICT独立判断。</x:v>
      </x:c>
      <x:c r="Y207" s="74" t="str">
        <x:v>你可能在困难时先解决问题，但这不能单独说明发生分歧时怎样沟通。</x:v>
      </x:c>
      <x:c r="Z207" s="74" t="str">
        <x:v>不得由本规则直接推出过度付出、付出失衡、依赖、控制、忠诚度、关系结果或适配度；不得把某种照顾方式等同于爱得更多或更少。</x:v>
      </x:c>
      <x:c r="AA207" s="74" t="str">
        <x:v>高</x:v>
      </x:c>
      <x:c r="AB207" s="74" t="str">
        <x:v>待验证</x:v>
      </x:c>
      <x:c r="AC207" s="74" t="str"/>
      <x:c r="AD207" s="74" t="str">
        <x:v>provisional=true; interface=IF09</x:v>
      </x:c>
      <x:c r="AE207" s="74" t="str">
        <x:v>0.4</x:v>
      </x:c>
    </x:row>
    <x:row r="208">
      <x:c r="A208" s="88" t="str">
        <x:v>M3-CARE-204</x:v>
      </x:c>
      <x:c r="B208" s="88" t="str">
        <x:v>IF10 CONFLICT接口｜解题支持不等于纠错压制</x:v>
      </x:c>
      <x:c r="C208" s="88" t="str">
        <x:v>L5 接口、去重与停止</x:v>
      </x:c>
      <x:c r="D208" s="88" t="str">
        <x:v>CARE-接口门控</x:v>
      </x:c>
      <x:c r="E208" s="88" t="str">
        <x:v>通用</x:v>
      </x:c>
      <x:c r="F208" s="88" t="str">
        <x:v>接口／去重／停止</x:v>
      </x:c>
      <x:c r="G208" s="74" t="str">
        <x:v>M3-CONFLICT</x:v>
      </x:c>
      <x:c r="H208" s="74" t="str"/>
      <x:c r="I208" s="74" t="str">
        <x:v>CP07解题支持或伤官CARE成立。</x:v>
      </x:c>
      <x:c r="J208" s="74" t="str">
        <x:v>无；按规则本身执行。</x:v>
      </x:c>
      <x:c r="K208" s="74" t="str">
        <x:v>由共享基础引擎与M3-STATE修正</x:v>
      </x:c>
      <x:c r="L208" s="74" t="str">
        <x:v>不限定；夫妻星仅在形成独立CARE证据或入宫接口时参与</x:v>
      </x:c>
      <x:c r="M208" s="74" t="str">
        <x:v>由M3-BASE、日支结构及共享引擎提供</x:v>
      </x:c>
      <x:c r="N208" s="74" t="str">
        <x:v>无／待CARE路径规则组合</x:v>
      </x:c>
      <x:c r="O208" s="74" t="str">
        <x:v>全局有效信号；日柱及亲密关系近位优先</x:v>
      </x:c>
      <x:c r="P208" s="74" t="str">
        <x:v>由共享基础引擎判定</x:v>
      </x:c>
      <x:c r="Q208" s="74" t="str">
        <x:v>由共享基础引擎判定</x:v>
      </x:c>
      <x:c r="R208" s="74" t="str">
        <x:v>喜忌不直接等于愿不愿付出；只修正调用顺畅度与资源压力</x:v>
      </x:c>
      <x:c r="S208" s="74" t="str">
        <x:v>原十神性质有效；真合化成立时按化神路由</x:v>
      </x:c>
      <x:c r="T208" s="74" t="str">
        <x:v>由共享基础引擎判定</x:v>
      </x:c>
      <x:c r="U208" s="74" t="str">
        <x:v>62</x:v>
      </x:c>
      <x:c r="V208" s="74" t="str">
        <x:v>不加分；接口／去重／路由</x:v>
      </x:c>
      <x:c r="W208" s="74" t="str">
        <x:v>boundary_note</x:v>
      </x:c>
      <x:c r="X208" s="74" t="str">
        <x:v>提供建议与分析是支持内容；是否在冲突中变成否定或压迫必须有独立风险证据。</x:v>
      </x:c>
      <x:c r="Y208" s="74" t="str">
        <x:v>你会给方案和分析，不等于每次分歧都会纠正对方或压过对方感受。</x:v>
      </x:c>
      <x:c r="Z208" s="74" t="str">
        <x:v>不得由本规则直接推出过度付出、付出失衡、依赖、控制、忠诚度、关系结果或适配度；不得把某种照顾方式等同于爱得更多或更少。</x:v>
      </x:c>
      <x:c r="AA208" s="74" t="str">
        <x:v>高</x:v>
      </x:c>
      <x:c r="AB208" s="74" t="str">
        <x:v>待验证</x:v>
      </x:c>
      <x:c r="AC208" s="74" t="str"/>
      <x:c r="AD208" s="74" t="str">
        <x:v>provisional=true; interface=IF10</x:v>
      </x:c>
      <x:c r="AE208" s="74" t="str">
        <x:v>0.4</x:v>
      </x:c>
    </x:row>
    <x:row r="209">
      <x:c r="A209" s="88" t="str">
        <x:v>M3-CARE-205</x:v>
      </x:c>
      <x:c r="B209" s="88" t="str">
        <x:v>IF11 REPAIR接口｜舒缓照料可作为修复资源</x:v>
      </x:c>
      <x:c r="C209" s="88" t="str">
        <x:v>L5 接口、去重与停止</x:v>
      </x:c>
      <x:c r="D209" s="88" t="str">
        <x:v>CARE-接口门控</x:v>
      </x:c>
      <x:c r="E209" s="88" t="str">
        <x:v>通用</x:v>
      </x:c>
      <x:c r="F209" s="88" t="str">
        <x:v>接口／去重／停止</x:v>
      </x:c>
      <x:c r="G209" s="74" t="str">
        <x:v>M3-REPAIR</x:v>
      </x:c>
      <x:c r="H209" s="74" t="str"/>
      <x:c r="I209" s="74" t="str">
        <x:v>食神、正印或CP06日常支持稳定，并在紧张后有独立调用证据。</x:v>
      </x:c>
      <x:c r="J209" s="74" t="str">
        <x:v>无；按规则本身执行。</x:v>
      </x:c>
      <x:c r="K209" s="74" t="str">
        <x:v>由共享基础引擎与M3-STATE修正</x:v>
      </x:c>
      <x:c r="L209" s="74" t="str">
        <x:v>不限定；夫妻星仅在形成独立CARE证据或入宫接口时参与</x:v>
      </x:c>
      <x:c r="M209" s="74" t="str">
        <x:v>由M3-BASE、日支结构及共享引擎提供</x:v>
      </x:c>
      <x:c r="N209" s="74" t="str">
        <x:v>无／待CARE路径规则组合</x:v>
      </x:c>
      <x:c r="O209" s="74" t="str">
        <x:v>全局有效信号；日柱及亲密关系近位优先</x:v>
      </x:c>
      <x:c r="P209" s="74" t="str">
        <x:v>由共享基础引擎判定</x:v>
      </x:c>
      <x:c r="Q209" s="74" t="str">
        <x:v>由共享基础引擎判定</x:v>
      </x:c>
      <x:c r="R209" s="74" t="str">
        <x:v>喜忌不直接等于愿不愿付出；只修正调用顺畅度与资源压力</x:v>
      </x:c>
      <x:c r="S209" s="74" t="str">
        <x:v>原十神性质有效；真合化成立时按化神路由</x:v>
      </x:c>
      <x:c r="T209" s="74" t="str">
        <x:v>由共享基础引擎判定</x:v>
      </x:c>
      <x:c r="U209" s="74" t="str">
        <x:v>62</x:v>
      </x:c>
      <x:c r="V209" s="74" t="str">
        <x:v>不加分；接口／去重／路由</x:v>
      </x:c>
      <x:c r="W209" s="74" t="str">
        <x:v>repair_resource</x:v>
      </x:c>
      <x:c r="X209" s="74" t="str">
        <x:v>CARE可向REPAIR提供可用资源，但不直接决定修复是否启动或成功。</x:v>
      </x:c>
      <x:c r="Y209" s="74" t="str">
        <x:v>陪伴和安抚可能成为关系缓和的资源，但是否会在矛盾后主动使用，需要修复模块确认。</x:v>
      </x:c>
      <x:c r="Z209" s="74" t="str">
        <x:v>不得由本规则直接推出过度付出、付出失衡、依赖、控制、忠诚度、关系结果或适配度；不得把某种照顾方式等同于爱得更多或更少。</x:v>
      </x:c>
      <x:c r="AA209" s="74" t="str">
        <x:v>中</x:v>
      </x:c>
      <x:c r="AB209" s="74" t="str">
        <x:v>待验证</x:v>
      </x:c>
      <x:c r="AC209" s="74" t="str"/>
      <x:c r="AD209" s="74" t="str">
        <x:v>provisional=true; interface=IF11</x:v>
      </x:c>
      <x:c r="AE209" s="74" t="str">
        <x:v>0.4</x:v>
      </x:c>
    </x:row>
    <x:row r="210">
      <x:c r="A210" s="88" t="str">
        <x:v>M3-CARE-206</x:v>
      </x:c>
      <x:c r="B210" s="88" t="str">
        <x:v>IF12 REPAIR接口｜行动承担可作为修复资源</x:v>
      </x:c>
      <x:c r="C210" s="88" t="str">
        <x:v>L5 接口、去重与停止</x:v>
      </x:c>
      <x:c r="D210" s="88" t="str">
        <x:v>CARE-接口门控</x:v>
      </x:c>
      <x:c r="E210" s="88" t="str">
        <x:v>通用</x:v>
      </x:c>
      <x:c r="F210" s="88" t="str">
        <x:v>接口／去重／停止</x:v>
      </x:c>
      <x:c r="G210" s="74" t="str">
        <x:v>M3-REPAIR</x:v>
      </x:c>
      <x:c r="H210" s="74" t="str"/>
      <x:c r="I210" s="74" t="str">
        <x:v>财官杀CARE稳定，并在问题后出现补救、兑现或承担行为。</x:v>
      </x:c>
      <x:c r="J210" s="74" t="str">
        <x:v>无；按规则本身执行。</x:v>
      </x:c>
      <x:c r="K210" s="74" t="str">
        <x:v>由共享基础引擎与M3-STATE修正</x:v>
      </x:c>
      <x:c r="L210" s="74" t="str">
        <x:v>不限定；夫妻星仅在形成独立CARE证据或入宫接口时参与</x:v>
      </x:c>
      <x:c r="M210" s="74" t="str">
        <x:v>由M3-BASE、日支结构及共享引擎提供</x:v>
      </x:c>
      <x:c r="N210" s="74" t="str">
        <x:v>无／待CARE路径规则组合</x:v>
      </x:c>
      <x:c r="O210" s="74" t="str">
        <x:v>全局有效信号；日柱及亲密关系近位优先</x:v>
      </x:c>
      <x:c r="P210" s="74" t="str">
        <x:v>由共享基础引擎判定</x:v>
      </x:c>
      <x:c r="Q210" s="74" t="str">
        <x:v>由共享基础引擎判定</x:v>
      </x:c>
      <x:c r="R210" s="74" t="str">
        <x:v>喜忌不直接等于愿不愿付出；只修正调用顺畅度与资源压力</x:v>
      </x:c>
      <x:c r="S210" s="74" t="str">
        <x:v>原十神性质有效；真合化成立时按化神路由</x:v>
      </x:c>
      <x:c r="T210" s="74" t="str">
        <x:v>由共享基础引擎判定</x:v>
      </x:c>
      <x:c r="U210" s="74" t="str">
        <x:v>62</x:v>
      </x:c>
      <x:c r="V210" s="74" t="str">
        <x:v>不加分；接口／去重／路由</x:v>
      </x:c>
      <x:c r="W210" s="74" t="str">
        <x:v>repair_resource</x:v>
      </x:c>
      <x:c r="X210" s="74" t="str">
        <x:v>实际补救可成为修复路径的一部分，但不能只凭官杀财星推断用户一定会主动修复。</x:v>
      </x:c>
      <x:c r="Y210" s="74" t="str">
        <x:v>把事情补上、重新兑现或处理遗留问题，可能是你的修复资源之一。</x:v>
      </x:c>
      <x:c r="Z210" s="74" t="str">
        <x:v>不得由本规则直接推出过度付出、付出失衡、依赖、控制、忠诚度、关系结果或适配度；不得把某种照顾方式等同于爱得更多或更少。</x:v>
      </x:c>
      <x:c r="AA210" s="74" t="str">
        <x:v>中</x:v>
      </x:c>
      <x:c r="AB210" s="74" t="str">
        <x:v>待验证</x:v>
      </x:c>
      <x:c r="AC210" s="74" t="str"/>
      <x:c r="AD210" s="74" t="str">
        <x:v>provisional=true; interface=IF12</x:v>
      </x:c>
      <x:c r="AE210" s="74" t="str">
        <x:v>0.4</x:v>
      </x:c>
    </x:row>
    <x:row r="211">
      <x:c r="A211" s="88" t="str">
        <x:v>M3-CARE-207</x:v>
      </x:c>
      <x:c r="B211" s="88" t="str">
        <x:v>IF13 STATE接口｜平稳主CARE先确定</x:v>
      </x:c>
      <x:c r="C211" s="88" t="str">
        <x:v>L5 接口、去重与停止</x:v>
      </x:c>
      <x:c r="D211" s="88" t="str">
        <x:v>CARE-接口门控</x:v>
      </x:c>
      <x:c r="E211" s="88" t="str">
        <x:v>通用</x:v>
      </x:c>
      <x:c r="F211" s="88" t="str">
        <x:v>接口／去重／停止</x:v>
      </x:c>
      <x:c r="G211" s="74" t="str">
        <x:v>M3-STATE</x:v>
      </x:c>
      <x:c r="H211" s="74" t="str"/>
      <x:c r="I211" s="74" t="str">
        <x:v>需要比较日常、压力和恢复状态。</x:v>
      </x:c>
      <x:c r="J211" s="74" t="str">
        <x:v>无；按规则本身执行。</x:v>
      </x:c>
      <x:c r="K211" s="74" t="str">
        <x:v>由共享基础引擎与M3-STATE修正</x:v>
      </x:c>
      <x:c r="L211" s="74" t="str">
        <x:v>不限定；夫妻星仅在形成独立CARE证据或入宫接口时参与</x:v>
      </x:c>
      <x:c r="M211" s="74" t="str">
        <x:v>由M3-BASE、日支结构及共享引擎提供</x:v>
      </x:c>
      <x:c r="N211" s="74" t="str">
        <x:v>无／待CARE路径规则组合</x:v>
      </x:c>
      <x:c r="O211" s="74" t="str">
        <x:v>全局有效信号；日柱及亲密关系近位优先</x:v>
      </x:c>
      <x:c r="P211" s="74" t="str">
        <x:v>由共享基础引擎判定</x:v>
      </x:c>
      <x:c r="Q211" s="74" t="str">
        <x:v>由共享基础引擎判定</x:v>
      </x:c>
      <x:c r="R211" s="74" t="str">
        <x:v>喜忌不直接等于愿不愿付出；只修正调用顺畅度与资源压力</x:v>
      </x:c>
      <x:c r="S211" s="74" t="str">
        <x:v>原十神性质有效；真合化成立时按化神路由</x:v>
      </x:c>
      <x:c r="T211" s="74" t="str">
        <x:v>由共享基础引擎判定</x:v>
      </x:c>
      <x:c r="U211" s="74" t="str">
        <x:v>62</x:v>
      </x:c>
      <x:c r="V211" s="74" t="str">
        <x:v>不加分；接口／去重／路由</x:v>
      </x:c>
      <x:c r="W211" s="74" t="str">
        <x:v>state_shift</x:v>
      </x:c>
      <x:c r="X211" s="74" t="str">
        <x:v>先由CARE确定平稳主通道，再由STATE判断压力抢占和恢复回归，避免用极端情境覆盖日常。</x:v>
      </x:c>
      <x:c r="Y211" s="74" t="str">
        <x:v>先看你平时怎样照顾关系，再说明压力增加时是否会切换。</x:v>
      </x:c>
      <x:c r="Z211" s="74" t="str">
        <x:v>不得由本规则直接推出过度付出、付出失衡、依赖、控制、忠诚度、关系结果或适配度；不得把某种照顾方式等同于爱得更多或更少。</x:v>
      </x:c>
      <x:c r="AA211" s="74" t="str">
        <x:v>高</x:v>
      </x:c>
      <x:c r="AB211" s="74" t="str">
        <x:v>待验证</x:v>
      </x:c>
      <x:c r="AC211" s="74" t="str"/>
      <x:c r="AD211" s="74" t="str">
        <x:v>provisional=true; interface=IF13</x:v>
      </x:c>
      <x:c r="AE211" s="74" t="str">
        <x:v>0.4</x:v>
      </x:c>
    </x:row>
    <x:row r="212">
      <x:c r="A212" s="88" t="str">
        <x:v>M3-CARE-208</x:v>
      </x:c>
      <x:c r="B212" s="88" t="str">
        <x:v>IF14 STATE接口｜恢复回归需要独立链</x:v>
      </x:c>
      <x:c r="C212" s="88" t="str">
        <x:v>L5 接口、去重与停止</x:v>
      </x:c>
      <x:c r="D212" s="88" t="str">
        <x:v>CARE-接口门控</x:v>
      </x:c>
      <x:c r="E212" s="88" t="str">
        <x:v>通用</x:v>
      </x:c>
      <x:c r="F212" s="88" t="str">
        <x:v>接口／去重／停止</x:v>
      </x:c>
      <x:c r="G212" s="74" t="str">
        <x:v>M3-STATE</x:v>
      </x:c>
      <x:c r="H212" s="74" t="str"/>
      <x:c r="I212" s="74" t="str">
        <x:v>存在ST02压力通道抢先或不同通道切换。</x:v>
      </x:c>
      <x:c r="J212" s="74" t="str">
        <x:v>无；按规则本身执行。</x:v>
      </x:c>
      <x:c r="K212" s="74" t="str">
        <x:v>由共享基础引擎与M3-STATE修正</x:v>
      </x:c>
      <x:c r="L212" s="74" t="str">
        <x:v>不限定；夫妻星仅在形成独立CARE证据或入宫接口时参与</x:v>
      </x:c>
      <x:c r="M212" s="74" t="str">
        <x:v>由M3-BASE、日支结构及共享引擎提供</x:v>
      </x:c>
      <x:c r="N212" s="74" t="str">
        <x:v>无／待CARE路径规则组合</x:v>
      </x:c>
      <x:c r="O212" s="74" t="str">
        <x:v>全局有效信号；日柱及亲密关系近位优先</x:v>
      </x:c>
      <x:c r="P212" s="74" t="str">
        <x:v>由共享基础引擎判定</x:v>
      </x:c>
      <x:c r="Q212" s="74" t="str">
        <x:v>由共享基础引擎判定</x:v>
      </x:c>
      <x:c r="R212" s="74" t="str">
        <x:v>喜忌不直接等于愿不愿付出；只修正调用顺畅度与资源压力</x:v>
      </x:c>
      <x:c r="S212" s="74" t="str">
        <x:v>原十神性质有效；真合化成立时按化神路由</x:v>
      </x:c>
      <x:c r="T212" s="74" t="str">
        <x:v>由共享基础引擎判定</x:v>
      </x:c>
      <x:c r="U212" s="74" t="str">
        <x:v>62</x:v>
      </x:c>
      <x:c r="V212" s="74" t="str">
        <x:v>不加分；接口／去重／路由</x:v>
      </x:c>
      <x:c r="W212" s="74" t="str">
        <x:v>state_shift</x:v>
      </x:c>
      <x:c r="X212" s="74" t="str">
        <x:v>只有具备恢复证据时，才能写“事情稳定后回到原通道”；不能凭五行循环自动生成。</x:v>
      </x:c>
      <x:c r="Y212" s="74" t="str">
        <x:v>是否会在事情处理后回到陪伴、沟通或日常经营，需要真实的恢复链支持。</x:v>
      </x:c>
      <x:c r="Z212" s="74" t="str">
        <x:v>不得由本规则直接推出过度付出、付出失衡、依赖、控制、忠诚度、关系结果或适配度；不得把某种照顾方式等同于爱得更多或更少。</x:v>
      </x:c>
      <x:c r="AA212" s="74" t="str">
        <x:v>中高</x:v>
      </x:c>
      <x:c r="AB212" s="74" t="str">
        <x:v>待验证</x:v>
      </x:c>
      <x:c r="AC212" s="74" t="str"/>
      <x:c r="AD212" s="74" t="str">
        <x:v>provisional=true; interface=IF14</x:v>
      </x:c>
      <x:c r="AE212" s="74" t="str">
        <x:v>0.4</x:v>
      </x:c>
    </x:row>
    <x:row r="213">
      <x:c r="A213" s="88" t="str">
        <x:v>M3-CARE-209</x:v>
      </x:c>
      <x:c r="B213" s="88" t="str">
        <x:v>IF15 M4路由｜强通道占位候选</x:v>
      </x:c>
      <x:c r="C213" s="88" t="str">
        <x:v>L5 接口、去重与停止</x:v>
      </x:c>
      <x:c r="D213" s="88" t="str">
        <x:v>CARE-接口门控</x:v>
      </x:c>
      <x:c r="E213" s="88" t="str">
        <x:v>通用</x:v>
      </x:c>
      <x:c r="F213" s="88" t="str">
        <x:v>接口／去重／停止</x:v>
      </x:c>
      <x:c r="G213" s="74" t="str">
        <x:v>M4</x:v>
      </x:c>
      <x:c r="H213" s="74" t="str"/>
      <x:c r="I213" s="74" t="str">
        <x:v>SC10、SC18或单一通道过旺无制成立。</x:v>
      </x:c>
      <x:c r="J213" s="74" t="str">
        <x:v>无；按规则本身执行。</x:v>
      </x:c>
      <x:c r="K213" s="74" t="str">
        <x:v>由共享基础引擎与M3-STATE修正</x:v>
      </x:c>
      <x:c r="L213" s="74" t="str">
        <x:v>不限定；夫妻星仅在形成独立CARE证据或入宫接口时参与</x:v>
      </x:c>
      <x:c r="M213" s="74" t="str">
        <x:v>由M3-BASE、日支结构及共享引擎提供</x:v>
      </x:c>
      <x:c r="N213" s="74" t="str">
        <x:v>无／待CARE路径规则组合</x:v>
      </x:c>
      <x:c r="O213" s="74" t="str">
        <x:v>全局有效信号；日柱及亲密关系近位优先</x:v>
      </x:c>
      <x:c r="P213" s="74" t="str">
        <x:v>由共享基础引擎判定</x:v>
      </x:c>
      <x:c r="Q213" s="74" t="str">
        <x:v>由共享基础引擎判定</x:v>
      </x:c>
      <x:c r="R213" s="74" t="str">
        <x:v>喜忌不直接等于愿不愿付出；只修正调用顺畅度与资源压力</x:v>
      </x:c>
      <x:c r="S213" s="74" t="str">
        <x:v>原十神性质有效；真合化成立时按化神路由</x:v>
      </x:c>
      <x:c r="T213" s="74" t="str">
        <x:v>由共享基础引擎判定</x:v>
      </x:c>
      <x:c r="U213" s="74" t="str">
        <x:v>62</x:v>
      </x:c>
      <x:c r="V213" s="74" t="str">
        <x:v>不加分；接口／去重／路由</x:v>
      </x:c>
      <x:c r="W213" s="74" t="str">
        <x:v>risk_route</x:v>
      </x:c>
      <x:c r="X213" s="74" t="str">
        <x:v>CARE只标记通道容易抢先、资源集中或反馈不清；过度承担、耗竭和关系失衡交给M4。</x:v>
      </x:c>
      <x:c r="Y213" s="74" t="str">
        <x:v>这项支持方式可能很容易成为第一反应，但是否形成负担，需要在关系盲点模型中判断。</x:v>
      </x:c>
      <x:c r="Z213" s="74" t="str">
        <x:v>不得由本规则直接推出过度付出、付出失衡、依赖、控制、忠诚度、关系结果或适配度；不得把某种照顾方式等同于爱得更多或更少。</x:v>
      </x:c>
      <x:c r="AA213" s="74" t="str">
        <x:v>高</x:v>
      </x:c>
      <x:c r="AB213" s="74" t="str">
        <x:v>待验证</x:v>
      </x:c>
      <x:c r="AC213" s="74" t="str"/>
      <x:c r="AD213" s="74" t="str">
        <x:v>provisional=true; interface=IF15</x:v>
      </x:c>
      <x:c r="AE213" s="74" t="str">
        <x:v>0.4</x:v>
      </x:c>
    </x:row>
    <x:row r="214">
      <x:c r="A214" s="88" t="str">
        <x:v>M3-CARE-210</x:v>
      </x:c>
      <x:c r="B214" s="88" t="str">
        <x:v>IF16 M4路由｜单向可见不等于单向关系</x:v>
      </x:c>
      <x:c r="C214" s="88" t="str">
        <x:v>L5 接口、去重与停止</x:v>
      </x:c>
      <x:c r="D214" s="88" t="str">
        <x:v>CARE-接口门控</x:v>
      </x:c>
      <x:c r="E214" s="88" t="str">
        <x:v>通用</x:v>
      </x:c>
      <x:c r="F214" s="88" t="str">
        <x:v>接口／去重／停止</x:v>
      </x:c>
      <x:c r="G214" s="74" t="str">
        <x:v>M4</x:v>
      </x:c>
      <x:c r="H214" s="74" t="str"/>
      <x:c r="I214" s="74" t="str">
        <x:v>CE06单向可见候选成立。</x:v>
      </x:c>
      <x:c r="J214" s="74" t="str">
        <x:v>无；按规则本身执行。</x:v>
      </x:c>
      <x:c r="K214" s="74" t="str">
        <x:v>由共享基础引擎与M3-STATE修正</x:v>
      </x:c>
      <x:c r="L214" s="74" t="str">
        <x:v>不限定；夫妻星仅在形成独立CARE证据或入宫接口时参与</x:v>
      </x:c>
      <x:c r="M214" s="74" t="str">
        <x:v>由M3-BASE、日支结构及共享引擎提供</x:v>
      </x:c>
      <x:c r="N214" s="74" t="str">
        <x:v>无／待CARE路径规则组合</x:v>
      </x:c>
      <x:c r="O214" s="74" t="str">
        <x:v>全局有效信号；日柱及亲密关系近位优先</x:v>
      </x:c>
      <x:c r="P214" s="74" t="str">
        <x:v>由共享基础引擎判定</x:v>
      </x:c>
      <x:c r="Q214" s="74" t="str">
        <x:v>由共享基础引擎判定</x:v>
      </x:c>
      <x:c r="R214" s="74" t="str">
        <x:v>喜忌不直接等于愿不愿付出；只修正调用顺畅度与资源压力</x:v>
      </x:c>
      <x:c r="S214" s="74" t="str">
        <x:v>原十神性质有效；真合化成立时按化神路由</x:v>
      </x:c>
      <x:c r="T214" s="74" t="str">
        <x:v>由共享基础引擎判定</x:v>
      </x:c>
      <x:c r="U214" s="74" t="str">
        <x:v>62</x:v>
      </x:c>
      <x:c r="V214" s="74" t="str">
        <x:v>不加分；接口／去重／路由</x:v>
      </x:c>
      <x:c r="W214" s="74" t="str">
        <x:v>boundary_note</x:v>
      </x:c>
      <x:c r="X214" s="74" t="str">
        <x:v>缺少一侧资料时先保留未知；只有持续无回应、资源耗竭等独立证据才能进入M4。</x:v>
      </x:c>
      <x:c r="Y214" s="74" t="str">
        <x:v>目前只说明哪一侧更容易被看见，不能直接说关系只有一方付出。</x:v>
      </x:c>
      <x:c r="Z214" s="74" t="str">
        <x:v>不得由本规则直接推出过度付出、付出失衡、依赖、控制、忠诚度、关系结果或适配度；不得把某种照顾方式等同于爱得更多或更少。</x:v>
      </x:c>
      <x:c r="AA214" s="74" t="str">
        <x:v>高</x:v>
      </x:c>
      <x:c r="AB214" s="74" t="str">
        <x:v>待验证</x:v>
      </x:c>
      <x:c r="AC214" s="74" t="str"/>
      <x:c r="AD214" s="74" t="str">
        <x:v>provisional=true; interface=IF16</x:v>
      </x:c>
      <x:c r="AE214" s="74" t="str">
        <x:v>0.4</x:v>
      </x:c>
    </x:row>
    <x:row r="215">
      <x:c r="A215" s="88" t="str">
        <x:v>M3-CARE-211</x:v>
      </x:c>
      <x:c r="B215" s="88" t="str">
        <x:v>IF17 M5接口｜CARE风格不得直接生成适配结论</x:v>
      </x:c>
      <x:c r="C215" s="88" t="str">
        <x:v>L5 接口、去重与停止</x:v>
      </x:c>
      <x:c r="D215" s="88" t="str">
        <x:v>CARE-接口门控</x:v>
      </x:c>
      <x:c r="E215" s="88" t="str">
        <x:v>通用</x:v>
      </x:c>
      <x:c r="F215" s="88" t="str">
        <x:v>接口／去重／停止</x:v>
      </x:c>
      <x:c r="G215" s="74" t="str">
        <x:v>M5</x:v>
      </x:c>
      <x:c r="H215" s="74" t="str"/>
      <x:c r="I215" s="74" t="str">
        <x:v>用户询问哪种支持最适合或伴侣应怎样回应。</x:v>
      </x:c>
      <x:c r="J215" s="74" t="str">
        <x:v>无；按规则本身执行。</x:v>
      </x:c>
      <x:c r="K215" s="74" t="str">
        <x:v>由共享基础引擎与M3-STATE修正</x:v>
      </x:c>
      <x:c r="L215" s="74" t="str">
        <x:v>不限定；夫妻星仅在形成独立CARE证据或入宫接口时参与</x:v>
      </x:c>
      <x:c r="M215" s="74" t="str">
        <x:v>由M3-BASE、日支结构及共享引擎提供</x:v>
      </x:c>
      <x:c r="N215" s="74" t="str">
        <x:v>无／待CARE路径规则组合</x:v>
      </x:c>
      <x:c r="O215" s="74" t="str">
        <x:v>全局有效信号；日柱及亲密关系近位优先</x:v>
      </x:c>
      <x:c r="P215" s="74" t="str">
        <x:v>由共享基础引擎判定</x:v>
      </x:c>
      <x:c r="Q215" s="74" t="str">
        <x:v>由共享基础引擎判定</x:v>
      </x:c>
      <x:c r="R215" s="74" t="str">
        <x:v>喜忌不直接等于愿不愿付出；只修正调用顺畅度与资源压力</x:v>
      </x:c>
      <x:c r="S215" s="74" t="str">
        <x:v>原十神性质有效；真合化成立时按化神路由</x:v>
      </x:c>
      <x:c r="T215" s="74" t="str">
        <x:v>由共享基础引擎判定</x:v>
      </x:c>
      <x:c r="U215" s="74" t="str">
        <x:v>62</x:v>
      </x:c>
      <x:c r="V215" s="74" t="str">
        <x:v>不加分；接口／去重／路由</x:v>
      </x:c>
      <x:c r="W215" s="74" t="str">
        <x:v>boundary_note</x:v>
      </x:c>
      <x:c r="X215" s="74" t="str">
        <x:v>M3提供常用支持与接收方式；M5结合双方结构判断适配，不能由M3单独决定。</x:v>
      </x:c>
      <x:c r="Y215" s="74" t="str">
        <x:v>你常用的方式会成为适配分析的输入，但不是最终适合结论。</x:v>
      </x:c>
      <x:c r="Z215" s="74" t="str">
        <x:v>不得由本规则直接推出过度付出、付出失衡、依赖、控制、忠诚度、关系结果或适配度；不得把某种照顾方式等同于爱得更多或更少。</x:v>
      </x:c>
      <x:c r="AA215" s="74" t="str">
        <x:v>高</x:v>
      </x:c>
      <x:c r="AB215" s="74" t="str">
        <x:v>待验证</x:v>
      </x:c>
      <x:c r="AC215" s="74" t="str"/>
      <x:c r="AD215" s="74" t="str">
        <x:v>provisional=true; interface=IF17</x:v>
      </x:c>
      <x:c r="AE215" s="74" t="str">
        <x:v>0.4</x:v>
      </x:c>
    </x:row>
    <x:row r="216">
      <x:c r="A216" s="88" t="str">
        <x:v>M3-CARE-212</x:v>
      </x:c>
      <x:c r="B216" s="88" t="str">
        <x:v>IF18 夫妻星入日支｜选择—相处—照顾连续性</x:v>
      </x:c>
      <x:c r="C216" s="88" t="str">
        <x:v>L5 接口、去重与停止</x:v>
      </x:c>
      <x:c r="D216" s="88" t="str">
        <x:v>CARE-接口门控</x:v>
      </x:c>
      <x:c r="E216" s="88" t="str">
        <x:v>通用</x:v>
      </x:c>
      <x:c r="F216" s="88" t="str">
        <x:v>接口／去重／停止</x:v>
      </x:c>
      <x:c r="G216" s="74" t="str">
        <x:v>M2/M3-BASE</x:v>
      </x:c>
      <x:c r="H216" s="74" t="str"/>
      <x:c r="I216" s="74" t="str">
        <x:v>夫妻星进入日支主气或高权威近位，且M2与CARE读取同一事实。</x:v>
      </x:c>
      <x:c r="J216" s="74" t="str">
        <x:v>无；按规则本身执行。</x:v>
      </x:c>
      <x:c r="K216" s="74" t="str">
        <x:v>由共享基础引擎与M3-STATE修正</x:v>
      </x:c>
      <x:c r="L216" s="74" t="str">
        <x:v>不限定；夫妻星仅在形成独立CARE证据或入宫接口时参与</x:v>
      </x:c>
      <x:c r="M216" s="74" t="str">
        <x:v>由M3-BASE、日支结构及共享引擎提供</x:v>
      </x:c>
      <x:c r="N216" s="74" t="str">
        <x:v>无／待CARE路径规则组合</x:v>
      </x:c>
      <x:c r="O216" s="74" t="str">
        <x:v>全局有效信号；日柱及亲密关系近位优先</x:v>
      </x:c>
      <x:c r="P216" s="74" t="str">
        <x:v>由共享基础引擎判定</x:v>
      </x:c>
      <x:c r="Q216" s="74" t="str">
        <x:v>由共享基础引擎判定</x:v>
      </x:c>
      <x:c r="R216" s="74" t="str">
        <x:v>喜忌不直接等于愿不愿付出；只修正调用顺畅度与资源压力</x:v>
      </x:c>
      <x:c r="S216" s="74" t="str">
        <x:v>原十神性质有效；真合化成立时按化神路由</x:v>
      </x:c>
      <x:c r="T216" s="74" t="str">
        <x:v>由共享基础引擎判定</x:v>
      </x:c>
      <x:c r="U216" s="74" t="str">
        <x:v>62</x:v>
      </x:c>
      <x:c r="V216" s="74" t="str">
        <x:v>不加分；接口／去重／路由</x:v>
      </x:c>
      <x:c r="W216" s="74" t="str">
        <x:v>provenance</x:v>
      </x:c>
      <x:c r="X216" s="74" t="str">
        <x:v>可以说明用户选择时看重的资格证据，进入关系后可能延续为支持行为；基础证据仍只算一次。</x:v>
      </x:c>
      <x:c r="Y216" s="74" t="str">
        <x:v>你在选择关系时看重的行动、责任或投入，进入关系后也可能成为你维持关系的方式。</x:v>
      </x:c>
      <x:c r="Z216" s="74" t="str">
        <x:v>不得由本规则直接推出过度付出、付出失衡、依赖、控制、忠诚度、关系结果或适配度；不得把某种照顾方式等同于爱得更多或更少。</x:v>
      </x:c>
      <x:c r="AA216" s="74" t="str">
        <x:v>中高</x:v>
      </x:c>
      <x:c r="AB216" s="74" t="str">
        <x:v>待验证</x:v>
      </x:c>
      <x:c r="AC216" s="74" t="str"/>
      <x:c r="AD216" s="74" t="str">
        <x:v>provisional=true; interface=IF18</x:v>
      </x:c>
      <x:c r="AE216" s="74" t="str">
        <x:v>0.4</x:v>
      </x:c>
    </x:row>
    <x:row r="217">
      <x:c r="A217" s="88" t="str">
        <x:v>M3-CARE-213</x:v>
      </x:c>
      <x:c r="B217" s="88" t="str">
        <x:v>IF19 夫妻星不作为CARE唯一主轴</x:v>
      </x:c>
      <x:c r="C217" s="88" t="str">
        <x:v>L5 接口、去重与停止</x:v>
      </x:c>
      <x:c r="D217" s="88" t="str">
        <x:v>CARE-接口门控</x:v>
      </x:c>
      <x:c r="E217" s="88" t="str">
        <x:v>通用</x:v>
      </x:c>
      <x:c r="F217" s="88" t="str">
        <x:v>接口／去重／停止</x:v>
      </x:c>
      <x:c r="G217" s="74" t="str">
        <x:v>M2</x:v>
      </x:c>
      <x:c r="H217" s="74" t="str"/>
      <x:c r="I217" s="74" t="str">
        <x:v>夫妻星明显，但其他CARE通道有更高近位或独立支持。</x:v>
      </x:c>
      <x:c r="J217" s="74" t="str">
        <x:v>无；按规则本身执行。</x:v>
      </x:c>
      <x:c r="K217" s="74" t="str">
        <x:v>由共享基础引擎与M3-STATE修正</x:v>
      </x:c>
      <x:c r="L217" s="74" t="str">
        <x:v>不限定；夫妻星仅在形成独立CARE证据或入宫接口时参与</x:v>
      </x:c>
      <x:c r="M217" s="74" t="str">
        <x:v>由M3-BASE、日支结构及共享引擎提供</x:v>
      </x:c>
      <x:c r="N217" s="74" t="str">
        <x:v>无／待CARE路径规则组合</x:v>
      </x:c>
      <x:c r="O217" s="74" t="str">
        <x:v>全局有效信号；日柱及亲密关系近位优先</x:v>
      </x:c>
      <x:c r="P217" s="74" t="str">
        <x:v>由共享基础引擎判定</x:v>
      </x:c>
      <x:c r="Q217" s="74" t="str">
        <x:v>由共享基础引擎判定</x:v>
      </x:c>
      <x:c r="R217" s="74" t="str">
        <x:v>喜忌不直接等于愿不愿付出；只修正调用顺畅度与资源压力</x:v>
      </x:c>
      <x:c r="S217" s="74" t="str">
        <x:v>原十神性质有效；真合化成立时按化神路由</x:v>
      </x:c>
      <x:c r="T217" s="74" t="str">
        <x:v>由共享基础引擎判定</x:v>
      </x:c>
      <x:c r="U217" s="74" t="str">
        <x:v>62</x:v>
      </x:c>
      <x:c r="V217" s="74" t="str">
        <x:v>不加分；接口／去重／路由</x:v>
      </x:c>
      <x:c r="W217" s="74" t="str">
        <x:v>boundary_note</x:v>
      </x:c>
      <x:c r="X217" s="74" t="str">
        <x:v>CARE主通道按关系运行证据裁决，不因夫妻星身份自动覆盖日支、根气和有效流向。</x:v>
      </x:c>
      <x:c r="Y217" s="74" t="str">
        <x:v>伴侣资格信号不会自动决定你所有的照顾方式。</x:v>
      </x:c>
      <x:c r="Z217" s="74" t="str">
        <x:v>不得由本规则直接推出过度付出、付出失衡、依赖、控制、忠诚度、关系结果或适配度；不得把某种照顾方式等同于爱得更多或更少。</x:v>
      </x:c>
      <x:c r="AA217" s="74" t="str">
        <x:v>高</x:v>
      </x:c>
      <x:c r="AB217" s="74" t="str">
        <x:v>待验证</x:v>
      </x:c>
      <x:c r="AC217" s="74" t="str"/>
      <x:c r="AD217" s="74" t="str">
        <x:v>provisional=true; interface=IF19</x:v>
      </x:c>
      <x:c r="AE217" s="74" t="str">
        <x:v>0.4</x:v>
      </x:c>
    </x:row>
    <x:row r="218">
      <x:c r="A218" s="88" t="str">
        <x:v>M3-CARE-214</x:v>
      </x:c>
      <x:c r="B218" s="88" t="str">
        <x:v>IF20 source_id基础去重｜跨模块共享事实</x:v>
      </x:c>
      <x:c r="C218" s="88" t="str">
        <x:v>L5 接口、去重与停止</x:v>
      </x:c>
      <x:c r="D218" s="88" t="str">
        <x:v>CARE-接口门控</x:v>
      </x:c>
      <x:c r="E218" s="88" t="str">
        <x:v>通用</x:v>
      </x:c>
      <x:c r="F218" s="88" t="str">
        <x:v>接口／去重／停止</x:v>
      </x:c>
      <x:c r="G218" s="74" t="str">
        <x:v>全局</x:v>
      </x:c>
      <x:c r="H218" s="74" t="str"/>
      <x:c r="I218" s="74" t="str">
        <x:v>多个模块引用同一事实编号。</x:v>
      </x:c>
      <x:c r="J218" s="74" t="str">
        <x:v>无；按规则本身执行。</x:v>
      </x:c>
      <x:c r="K218" s="74" t="str">
        <x:v>由共享基础引擎与M3-STATE修正</x:v>
      </x:c>
      <x:c r="L218" s="74" t="str">
        <x:v>不限定；夫妻星仅在形成独立CARE证据或入宫接口时参与</x:v>
      </x:c>
      <x:c r="M218" s="74" t="str">
        <x:v>由M3-BASE、日支结构及共享引擎提供</x:v>
      </x:c>
      <x:c r="N218" s="74" t="str">
        <x:v>无／待CARE路径规则组合</x:v>
      </x:c>
      <x:c r="O218" s="74" t="str">
        <x:v>全局有效信号；日柱及亲密关系近位优先</x:v>
      </x:c>
      <x:c r="P218" s="74" t="str">
        <x:v>由共享基础引擎判定</x:v>
      </x:c>
      <x:c r="Q218" s="74" t="str">
        <x:v>由共享基础引擎判定</x:v>
      </x:c>
      <x:c r="R218" s="74" t="str">
        <x:v>喜忌不直接等于愿不愿付出；只修正调用顺畅度与资源压力</x:v>
      </x:c>
      <x:c r="S218" s="74" t="str">
        <x:v>原十神性质有效；真合化成立时按化神路由</x:v>
      </x:c>
      <x:c r="T218" s="74" t="str">
        <x:v>由共享基础引擎判定</x:v>
      </x:c>
      <x:c r="U218" s="74" t="str">
        <x:v>62</x:v>
      </x:c>
      <x:c r="V218" s="74" t="str">
        <x:v>不加分；接口／去重／路由</x:v>
      </x:c>
      <x:c r="W218" s="74" t="str">
        <x:v>provenance</x:v>
      </x:c>
      <x:c r="X218" s="74" t="str">
        <x:v>只保留一个基础分；其他模块记录interpretation_role，不增加独立证据计数。</x:v>
      </x:c>
      <x:c r="Y218" s="74" t="str">
        <x:v>同一事实可以被不同模块解释，但不会被重复计算。</x:v>
      </x:c>
      <x:c r="Z218" s="74" t="str">
        <x:v>不得由本规则直接推出过度付出、付出失衡、依赖、控制、忠诚度、关系结果或适配度；不得把某种照顾方式等同于爱得更多或更少。</x:v>
      </x:c>
      <x:c r="AA218" s="74" t="str">
        <x:v>高</x:v>
      </x:c>
      <x:c r="AB218" s="74" t="str">
        <x:v>待验证</x:v>
      </x:c>
      <x:c r="AC218" s="74" t="str"/>
      <x:c r="AD218" s="74" t="str">
        <x:v>provisional=true; interface=IF20</x:v>
      </x:c>
      <x:c r="AE218" s="74" t="str">
        <x:v>0.4</x:v>
      </x:c>
    </x:row>
    <x:row r="219">
      <x:c r="A219" s="88" t="str">
        <x:v>M3-CARE-215</x:v>
      </x:c>
      <x:c r="B219" s="88" t="str">
        <x:v>IF21 同根透藏去重｜外显与稳定分工</x:v>
      </x:c>
      <x:c r="C219" s="88" t="str">
        <x:v>L5 接口、去重与停止</x:v>
      </x:c>
      <x:c r="D219" s="88" t="str">
        <x:v>CARE-接口门控</x:v>
      </x:c>
      <x:c r="E219" s="88" t="str">
        <x:v>通用</x:v>
      </x:c>
      <x:c r="F219" s="88" t="str">
        <x:v>接口／去重／停止</x:v>
      </x:c>
      <x:c r="G219" s="74" t="str">
        <x:v>全局</x:v>
      </x:c>
      <x:c r="H219" s="74" t="str"/>
      <x:c r="I219" s="74" t="str">
        <x:v>透干与藏支同根或同一支系。</x:v>
      </x:c>
      <x:c r="J219" s="74" t="str">
        <x:v>无；按规则本身执行。</x:v>
      </x:c>
      <x:c r="K219" s="74" t="str">
        <x:v>由共享基础引擎与M3-STATE修正</x:v>
      </x:c>
      <x:c r="L219" s="74" t="str">
        <x:v>不限定；夫妻星仅在形成独立CARE证据或入宫接口时参与</x:v>
      </x:c>
      <x:c r="M219" s="74" t="str">
        <x:v>由M3-BASE、日支结构及共享引擎提供</x:v>
      </x:c>
      <x:c r="N219" s="74" t="str">
        <x:v>无／待CARE路径规则组合</x:v>
      </x:c>
      <x:c r="O219" s="74" t="str">
        <x:v>全局有效信号；日柱及亲密关系近位优先</x:v>
      </x:c>
      <x:c r="P219" s="74" t="str">
        <x:v>由共享基础引擎判定</x:v>
      </x:c>
      <x:c r="Q219" s="74" t="str">
        <x:v>由共享基础引擎判定</x:v>
      </x:c>
      <x:c r="R219" s="74" t="str">
        <x:v>喜忌不直接等于愿不愿付出；只修正调用顺畅度与资源压力</x:v>
      </x:c>
      <x:c r="S219" s="74" t="str">
        <x:v>原十神性质有效；真合化成立时按化神路由</x:v>
      </x:c>
      <x:c r="T219" s="74" t="str">
        <x:v>由共享基础引擎判定</x:v>
      </x:c>
      <x:c r="U219" s="74" t="str">
        <x:v>62</x:v>
      </x:c>
      <x:c r="V219" s="74" t="str">
        <x:v>不加分；接口／去重／路由</x:v>
      </x:c>
      <x:c r="W219" s="74" t="str">
        <x:v>provenance</x:v>
      </x:c>
      <x:c r="X219" s="74" t="str">
        <x:v>透干只修正可见度，根气修正重复性；不得把两者当成两个CARE通道。</x:v>
      </x:c>
      <x:c r="Y219" s="74" t="str">
        <x:v>同一种支持方式既可能外显又有稳定来源，但本质仍是一项功能。</x:v>
      </x:c>
      <x:c r="Z219" s="74" t="str">
        <x:v>不得由本规则直接推出过度付出、付出失衡、依赖、控制、忠诚度、关系结果或适配度；不得把某种照顾方式等同于爱得更多或更少。</x:v>
      </x:c>
      <x:c r="AA219" s="74" t="str">
        <x:v>高</x:v>
      </x:c>
      <x:c r="AB219" s="74" t="str">
        <x:v>待验证</x:v>
      </x:c>
      <x:c r="AC219" s="74" t="str"/>
      <x:c r="AD219" s="74" t="str">
        <x:v>provisional=true; interface=IF21</x:v>
      </x:c>
      <x:c r="AE219" s="74" t="str">
        <x:v>0.4</x:v>
      </x:c>
    </x:row>
    <x:row r="220">
      <x:c r="A220" s="88" t="str">
        <x:v>M3-CARE-216</x:v>
      </x:c>
      <x:c r="B220" s="88" t="str">
        <x:v>IF22 正偏同系统去重｜先系统后风格</x:v>
      </x:c>
      <x:c r="C220" s="88" t="str">
        <x:v>L5 接口、去重与停止</x:v>
      </x:c>
      <x:c r="D220" s="88" t="str">
        <x:v>CARE-接口门控</x:v>
      </x:c>
      <x:c r="E220" s="88" t="str">
        <x:v>通用</x:v>
      </x:c>
      <x:c r="F220" s="88" t="str">
        <x:v>接口／去重／停止</x:v>
      </x:c>
      <x:c r="G220" s="74" t="str">
        <x:v>全局</x:v>
      </x:c>
      <x:c r="H220" s="74" t="str"/>
      <x:c r="I220" s="74" t="str">
        <x:v>正偏同系统同时出现。</x:v>
      </x:c>
      <x:c r="J220" s="74" t="str">
        <x:v>无；按规则本身执行。</x:v>
      </x:c>
      <x:c r="K220" s="74" t="str">
        <x:v>由共享基础引擎与M3-STATE修正</x:v>
      </x:c>
      <x:c r="L220" s="74" t="str">
        <x:v>不限定；夫妻星仅在形成独立CARE证据或入宫接口时参与</x:v>
      </x:c>
      <x:c r="M220" s="74" t="str">
        <x:v>由M3-BASE、日支结构及共享引擎提供</x:v>
      </x:c>
      <x:c r="N220" s="74" t="str">
        <x:v>无／待CARE路径规则组合</x:v>
      </x:c>
      <x:c r="O220" s="74" t="str">
        <x:v>全局有效信号；日柱及亲密关系近位优先</x:v>
      </x:c>
      <x:c r="P220" s="74" t="str">
        <x:v>由共享基础引擎判定</x:v>
      </x:c>
      <x:c r="Q220" s="74" t="str">
        <x:v>由共享基础引擎判定</x:v>
      </x:c>
      <x:c r="R220" s="74" t="str">
        <x:v>喜忌不直接等于愿不愿付出；只修正调用顺畅度与资源压力</x:v>
      </x:c>
      <x:c r="S220" s="74" t="str">
        <x:v>原十神性质有效；真合化成立时按化神路由</x:v>
      </x:c>
      <x:c r="T220" s="74" t="str">
        <x:v>由共享基础引擎判定</x:v>
      </x:c>
      <x:c r="U220" s="74" t="str">
        <x:v>62</x:v>
      </x:c>
      <x:c r="V220" s="74" t="str">
        <x:v>不加分；接口／去重／路由</x:v>
      </x:c>
      <x:c r="W220" s="74" t="str">
        <x:v>provenance</x:v>
      </x:c>
      <x:c r="X220" s="74" t="str">
        <x:v>先合并五系统基础分，再判断稳定/灵活、温和/分析等风格；只有独立功能才保留次通道。</x:v>
      </x:c>
      <x:c r="Y220" s="74" t="str">
        <x:v>正偏十神同时出现时，会先看它们是否只是同一支持系统的两种风格。</x:v>
      </x:c>
      <x:c r="Z220" s="74" t="str">
        <x:v>不得由本规则直接推出过度付出、付出失衡、依赖、控制、忠诚度、关系结果或适配度；不得把某种照顾方式等同于爱得更多或更少。</x:v>
      </x:c>
      <x:c r="AA220" s="74" t="str">
        <x:v>高</x:v>
      </x:c>
      <x:c r="AB220" s="74" t="str">
        <x:v>待验证</x:v>
      </x:c>
      <x:c r="AC220" s="74" t="str"/>
      <x:c r="AD220" s="74" t="str">
        <x:v>provisional=true; interface=IF22</x:v>
      </x:c>
      <x:c r="AE220" s="74" t="str">
        <x:v>0.4</x:v>
      </x:c>
    </x:row>
    <x:row r="221">
      <x:c r="A221" s="88" t="str">
        <x:v>M3-CARE-217</x:v>
      </x:c>
      <x:c r="B221" s="88" t="str">
        <x:v>IF23 停止｜真合化或基础关键争议</x:v>
      </x:c>
      <x:c r="C221" s="88" t="str">
        <x:v>L5 接口、去重与停止</x:v>
      </x:c>
      <x:c r="D221" s="88" t="str">
        <x:v>CARE-接口门控</x:v>
      </x:c>
      <x:c r="E221" s="88" t="str">
        <x:v>通用</x:v>
      </x:c>
      <x:c r="F221" s="88" t="str">
        <x:v>接口／去重／停止</x:v>
      </x:c>
      <x:c r="G221" s="74" t="str">
        <x:v>全局</x:v>
      </x:c>
      <x:c r="H221" s="74" t="str"/>
      <x:c r="I221" s="74" t="str">
        <x:v>真合化成立但化神映射未完成，或日支主气、旺衰、十神映射存在关键争议。</x:v>
      </x:c>
      <x:c r="J221" s="74" t="str">
        <x:v>无；按规则本身执行。</x:v>
      </x:c>
      <x:c r="K221" s="74" t="str">
        <x:v>由共享基础引擎与M3-STATE修正</x:v>
      </x:c>
      <x:c r="L221" s="74" t="str">
        <x:v>不限定；夫妻星仅在形成独立CARE证据或入宫接口时参与</x:v>
      </x:c>
      <x:c r="M221" s="74" t="str">
        <x:v>由M3-BASE、日支结构及共享引擎提供</x:v>
      </x:c>
      <x:c r="N221" s="74" t="str">
        <x:v>无／待CARE路径规则组合</x:v>
      </x:c>
      <x:c r="O221" s="74" t="str">
        <x:v>全局有效信号；日柱及亲密关系近位优先</x:v>
      </x:c>
      <x:c r="P221" s="74" t="str">
        <x:v>由共享基础引擎判定</x:v>
      </x:c>
      <x:c r="Q221" s="74" t="str">
        <x:v>由共享基础引擎判定</x:v>
      </x:c>
      <x:c r="R221" s="74" t="str">
        <x:v>喜忌不直接等于愿不愿付出；只修正调用顺畅度与资源压力</x:v>
      </x:c>
      <x:c r="S221" s="74" t="str">
        <x:v>原十神性质有效；真合化成立时按化神路由</x:v>
      </x:c>
      <x:c r="T221" s="74" t="str">
        <x:v>由共享基础引擎判定</x:v>
      </x:c>
      <x:c r="U221" s="74" t="str">
        <x:v>80</x:v>
      </x:c>
      <x:c r="V221" s="74" t="str">
        <x:v>不加分；接口／去重／路由</x:v>
      </x:c>
      <x:c r="W221" s="74" t="str">
        <x:v>report_status</x:v>
      </x:c>
      <x:c r="X221" s="74" t="str">
        <x:v>停止十神级CARE结论；保留原因和所需补充字段。</x:v>
      </x:c>
      <x:c r="Y221" s="74" t="str">
        <x:v>关键基础还没有确定时，不会为了完整而硬写固定的照顾模式。</x:v>
      </x:c>
      <x:c r="Z221" s="74" t="str">
        <x:v>不得由本规则直接推出过度付出、付出失衡、依赖、控制、忠诚度、关系结果或适配度；不得把某种照顾方式等同于爱得更多或更少。</x:v>
      </x:c>
      <x:c r="AA221" s="74" t="str">
        <x:v>高</x:v>
      </x:c>
      <x:c r="AB221" s="74" t="str">
        <x:v>待验证</x:v>
      </x:c>
      <x:c r="AC221" s="74" t="str"/>
      <x:c r="AD221" s="74" t="str">
        <x:v>provisional=true; interface=IF23</x:v>
      </x:c>
      <x:c r="AE221" s="74" t="str">
        <x:v>0.4</x:v>
      </x:c>
    </x:row>
    <x:row r="222">
      <x:c r="A222" s="88" t="str">
        <x:v>M3-CARE-218</x:v>
      </x:c>
      <x:c r="B222" s="88" t="str">
        <x:v>IF24 有限回退｜五系统层输出</x:v>
      </x:c>
      <x:c r="C222" s="88" t="str">
        <x:v>L5 接口、去重与停止</x:v>
      </x:c>
      <x:c r="D222" s="88" t="str">
        <x:v>CARE-接口门控</x:v>
      </x:c>
      <x:c r="E222" s="88" t="str">
        <x:v>通用</x:v>
      </x:c>
      <x:c r="F222" s="88" t="str">
        <x:v>接口／去重／停止</x:v>
      </x:c>
      <x:c r="G222" s="74" t="str">
        <x:v>全局</x:v>
      </x:c>
      <x:c r="H222" s="74" t="str"/>
      <x:c r="I222" s="74" t="str">
        <x:v>具体十神不确定，但五行功能系统与位置较可靠。</x:v>
      </x:c>
      <x:c r="J222" s="74" t="str">
        <x:v>无；按规则本身执行。</x:v>
      </x:c>
      <x:c r="K222" s="74" t="str">
        <x:v>由共享基础引擎与M3-STATE修正</x:v>
      </x:c>
      <x:c r="L222" s="74" t="str">
        <x:v>不限定；夫妻星仅在形成独立CARE证据或入宫接口时参与</x:v>
      </x:c>
      <x:c r="M222" s="74" t="str">
        <x:v>由M3-BASE、日支结构及共享引擎提供</x:v>
      </x:c>
      <x:c r="N222" s="74" t="str">
        <x:v>无／待CARE路径规则组合</x:v>
      </x:c>
      <x:c r="O222" s="74" t="str">
        <x:v>全局有效信号；日柱及亲密关系近位优先</x:v>
      </x:c>
      <x:c r="P222" s="74" t="str">
        <x:v>由共享基础引擎判定</x:v>
      </x:c>
      <x:c r="Q222" s="74" t="str">
        <x:v>由共享基础引擎判定</x:v>
      </x:c>
      <x:c r="R222" s="74" t="str">
        <x:v>喜忌不直接等于愿不愿付出；只修正调用顺畅度与资源压力</x:v>
      </x:c>
      <x:c r="S222" s="74" t="str">
        <x:v>原十神性质有效；真合化成立时按化神路由</x:v>
      </x:c>
      <x:c r="T222" s="74" t="str">
        <x:v>由共享基础引擎判定</x:v>
      </x:c>
      <x:c r="U222" s="74" t="str">
        <x:v>62</x:v>
      </x:c>
      <x:c r="V222" s="74" t="str">
        <x:v>不加分；接口／去重／路由</x:v>
      </x:c>
      <x:c r="W222" s="74" t="str">
        <x:v>report_status</x:v>
      </x:c>
      <x:c r="X222" s="74" t="str">
        <x:v>可以回退到自我边界、表达交流、投入经营、责任行动或承接内化系统，置信度不高于中低。</x:v>
      </x:c>
      <x:c r="Y222" s="74" t="str">
        <x:v>目前可以判断你更偏向某一类支持系统，但具体方式还需要更多证据。</x:v>
      </x:c>
      <x:c r="Z222" s="74" t="str">
        <x:v>不得由本规则直接推出过度付出、付出失衡、依赖、控制、忠诚度、关系结果或适配度；不得把某种照顾方式等同于爱得更多或更少。</x:v>
      </x:c>
      <x:c r="AA222" s="74" t="str">
        <x:v>中高</x:v>
      </x:c>
      <x:c r="AB222" s="74" t="str">
        <x:v>待验证</x:v>
      </x:c>
      <x:c r="AC222" s="74" t="str"/>
      <x:c r="AD222" s="74" t="str">
        <x:v>provisional=true; interface=IF24</x:v>
      </x:c>
      <x:c r="AE222" s="74" t="str">
        <x:v>0.4</x:v>
      </x:c>
    </x:row>
    <x:row r="223">
      <x:c r="A223" s="90" t="str">
        <x:v>M3-CARE-219</x:v>
      </x:c>
      <x:c r="B223" s="90" t="str">
        <x:v>SO01 来源权重｜日支主气／日柱直接事实</x:v>
      </x:c>
      <x:c r="C223" s="90" t="str">
        <x:v>L6 评分、置信与报告</x:v>
      </x:c>
      <x:c r="D223" s="90" t="str">
        <x:v>CARE-合成输出</x:v>
      </x:c>
      <x:c r="E223" s="90" t="str">
        <x:v>通用</x:v>
      </x:c>
      <x:c r="F223" s="90" t="str">
        <x:v>评分</x:v>
      </x:c>
      <x:c r="G223" s="74" t="str">
        <x:v>SO01 来源权重｜日支主气／日柱直接事实</x:v>
      </x:c>
      <x:c r="H223" s="74" t="str"/>
      <x:c r="I223" s="74" t="str">
        <x:v>有效日支主气、日柱近位或M3-BASE高权威来源。</x:v>
      </x:c>
      <x:c r="J223" s="74" t="str">
        <x:v>未完成source_id去重；关键基础停止；越过M3-CARE边界。</x:v>
      </x:c>
      <x:c r="K223" s="74" t="str">
        <x:v>由共享基础引擎与M3-STATE修正</x:v>
      </x:c>
      <x:c r="L223" s="74" t="str">
        <x:v>不限定；夫妻星仅在形成独立CARE证据或入宫接口时参与</x:v>
      </x:c>
      <x:c r="M223" s="74" t="str">
        <x:v>由M3-BASE、日支结构及共享引擎提供</x:v>
      </x:c>
      <x:c r="N223" s="74" t="str">
        <x:v>无／待CARE路径规则组合</x:v>
      </x:c>
      <x:c r="O223" s="74" t="str">
        <x:v>全局有效信号；日柱及亲密关系近位优先</x:v>
      </x:c>
      <x:c r="P223" s="74" t="str">
        <x:v>由共享基础引擎判定</x:v>
      </x:c>
      <x:c r="Q223" s="74" t="str">
        <x:v>由共享基础引擎判定</x:v>
      </x:c>
      <x:c r="R223" s="74" t="str">
        <x:v>喜忌不直接等于愿不愿付出；只修正调用顺畅度与资源压力</x:v>
      </x:c>
      <x:c r="S223" s="74" t="str">
        <x:v>原十神性质有效；真合化成立时按化神路由</x:v>
      </x:c>
      <x:c r="T223" s="74" t="str">
        <x:v>由共享基础引擎判定</x:v>
      </x:c>
      <x:c r="U223" s="74" t="str">
        <x:v>70</x:v>
      </x:c>
      <x:c r="V223" s="74" t="str">
        <x:v>基础 +18</x:v>
      </x:c>
      <x:c r="W223" s="74" t="str">
        <x:v>primary_care_channel</x:v>
      </x:c>
      <x:c r="X223" s="74" t="str">
        <x:v>日支主气／日柱直接来源作为CARE候选基础分18；同源不重复。</x:v>
      </x:c>
      <x:c r="Y223" s="74" t="str">
        <x:v>这类信号更直接进入亲密关系日常，因此在主CARE判断中权重较高。</x:v>
      </x:c>
      <x:c r="Z223" s="74" t="str">
        <x:v>不得由本规则直接推出过度付出、付出失衡、依赖、控制、忠诚度、关系结果或适配度；不得把某种照顾方式等同于爱得更多或更少。</x:v>
      </x:c>
      <x:c r="AA223" s="74" t="str">
        <x:v>中高</x:v>
      </x:c>
      <x:c r="AB223" s="74" t="str">
        <x:v>待验证</x:v>
      </x:c>
      <x:c r="AC223" s="74" t="str"/>
      <x:c r="AD223" s="74" t="str">
        <x:v>provisional=true; synthesis=SO01</x:v>
      </x:c>
      <x:c r="AE223" s="74" t="str">
        <x:v>0.4</x:v>
      </x:c>
    </x:row>
    <x:row r="224">
      <x:c r="A224" s="90" t="str">
        <x:v>M3-CARE-220</x:v>
      </x:c>
      <x:c r="B224" s="90" t="str">
        <x:v>SO02 来源权重｜近位有根独立信号</x:v>
      </x:c>
      <x:c r="C224" s="90" t="str">
        <x:v>L6 评分、置信与报告</x:v>
      </x:c>
      <x:c r="D224" s="90" t="str">
        <x:v>CARE-合成输出</x:v>
      </x:c>
      <x:c r="E224" s="90" t="str">
        <x:v>通用</x:v>
      </x:c>
      <x:c r="F224" s="90" t="str">
        <x:v>评分</x:v>
      </x:c>
      <x:c r="G224" s="74" t="str">
        <x:v>SO02 来源权重｜近位有根独立信号</x:v>
      </x:c>
      <x:c r="H224" s="74" t="str"/>
      <x:c r="I224" s="74" t="str">
        <x:v>近位、有根、原十神性质有效且source_id独立。</x:v>
      </x:c>
      <x:c r="J224" s="74" t="str">
        <x:v>未完成source_id去重；关键基础停止；越过M3-CARE边界。</x:v>
      </x:c>
      <x:c r="K224" s="74" t="str">
        <x:v>由共享基础引擎与M3-STATE修正</x:v>
      </x:c>
      <x:c r="L224" s="74" t="str">
        <x:v>不限定；夫妻星仅在形成独立CARE证据或入宫接口时参与</x:v>
      </x:c>
      <x:c r="M224" s="74" t="str">
        <x:v>由M3-BASE、日支结构及共享引擎提供</x:v>
      </x:c>
      <x:c r="N224" s="74" t="str">
        <x:v>无／待CARE路径规则组合</x:v>
      </x:c>
      <x:c r="O224" s="74" t="str">
        <x:v>全局有效信号；日柱及亲密关系近位优先</x:v>
      </x:c>
      <x:c r="P224" s="74" t="str">
        <x:v>由共享基础引擎判定</x:v>
      </x:c>
      <x:c r="Q224" s="74" t="str">
        <x:v>由共享基础引擎判定</x:v>
      </x:c>
      <x:c r="R224" s="74" t="str">
        <x:v>喜忌不直接等于愿不愿付出；只修正调用顺畅度与资源压力</x:v>
      </x:c>
      <x:c r="S224" s="74" t="str">
        <x:v>原十神性质有效；真合化成立时按化神路由</x:v>
      </x:c>
      <x:c r="T224" s="74" t="str">
        <x:v>由共享基础引擎判定</x:v>
      </x:c>
      <x:c r="U224" s="74" t="str">
        <x:v>70</x:v>
      </x:c>
      <x:c r="V224" s="74" t="str">
        <x:v>基础 +14</x:v>
      </x:c>
      <x:c r="W224" s="74" t="str">
        <x:v>primary_care_channel</x:v>
      </x:c>
      <x:c r="X224" s="74" t="str">
        <x:v>近位有根独立信号基础分14，可竞争主通道或形成可靠次通道。</x:v>
      </x:c>
      <x:c r="Y224" s="74" t="str">
        <x:v>靠近日柱且有稳定来源的支持方式，更容易成为长期相处中的真实习惯。</x:v>
      </x:c>
      <x:c r="Z224" s="74" t="str">
        <x:v>不得由本规则直接推出过度付出、付出失衡、依赖、控制、忠诚度、关系结果或适配度；不得把某种照顾方式等同于爱得更多或更少。</x:v>
      </x:c>
      <x:c r="AA224" s="74" t="str">
        <x:v>中高</x:v>
      </x:c>
      <x:c r="AB224" s="74" t="str">
        <x:v>待验证</x:v>
      </x:c>
      <x:c r="AC224" s="74" t="str"/>
      <x:c r="AD224" s="74" t="str">
        <x:v>provisional=true; synthesis=SO02</x:v>
      </x:c>
      <x:c r="AE224" s="74" t="str">
        <x:v>0.4</x:v>
      </x:c>
    </x:row>
    <x:row r="225">
      <x:c r="A225" s="90" t="str">
        <x:v>M3-CARE-221</x:v>
      </x:c>
      <x:c r="B225" s="90" t="str">
        <x:v>SO03 来源权重｜透干有根外显信号</x:v>
      </x:c>
      <x:c r="C225" s="90" t="str">
        <x:v>L6 评分、置信与报告</x:v>
      </x:c>
      <x:c r="D225" s="90" t="str">
        <x:v>CARE-合成输出</x:v>
      </x:c>
      <x:c r="E225" s="90" t="str">
        <x:v>通用</x:v>
      </x:c>
      <x:c r="F225" s="90" t="str">
        <x:v>评分</x:v>
      </x:c>
      <x:c r="G225" s="74" t="str">
        <x:v>SO03 来源权重｜透干有根外显信号</x:v>
      </x:c>
      <x:c r="H225" s="74" t="str"/>
      <x:c r="I225" s="74" t="str">
        <x:v>透干有根，但不与日支主气重复。</x:v>
      </x:c>
      <x:c r="J225" s="74" t="str">
        <x:v>未完成source_id去重；关键基础停止；越过M3-CARE边界。</x:v>
      </x:c>
      <x:c r="K225" s="74" t="str">
        <x:v>由共享基础引擎与M3-STATE修正</x:v>
      </x:c>
      <x:c r="L225" s="74" t="str">
        <x:v>不限定；夫妻星仅在形成独立CARE证据或入宫接口时参与</x:v>
      </x:c>
      <x:c r="M225" s="74" t="str">
        <x:v>由M3-BASE、日支结构及共享引擎提供</x:v>
      </x:c>
      <x:c r="N225" s="74" t="str">
        <x:v>无／待CARE路径规则组合</x:v>
      </x:c>
      <x:c r="O225" s="74" t="str">
        <x:v>全局有效信号；日柱及亲密关系近位优先</x:v>
      </x:c>
      <x:c r="P225" s="74" t="str">
        <x:v>由共享基础引擎判定</x:v>
      </x:c>
      <x:c r="Q225" s="74" t="str">
        <x:v>由共享基础引擎判定</x:v>
      </x:c>
      <x:c r="R225" s="74" t="str">
        <x:v>喜忌不直接等于愿不愿付出；只修正调用顺畅度与资源压力</x:v>
      </x:c>
      <x:c r="S225" s="74" t="str">
        <x:v>原十神性质有效；真合化成立时按化神路由</x:v>
      </x:c>
      <x:c r="T225" s="74" t="str">
        <x:v>由共享基础引擎判定</x:v>
      </x:c>
      <x:c r="U225" s="74" t="str">
        <x:v>70</x:v>
      </x:c>
      <x:c r="V225" s="74" t="str">
        <x:v>基础 +12</x:v>
      </x:c>
      <x:c r="W225" s="74" t="str">
        <x:v>care_visibility</x:v>
      </x:c>
      <x:c r="X225" s="74" t="str">
        <x:v>透干有根独立信号基础分12；透干提高可见度，根气提高重复性。</x:v>
      </x:c>
      <x:c r="Y225" s="74" t="str">
        <x:v>这种支持方式既容易被看见，也有一定重复出现的基础。</x:v>
      </x:c>
      <x:c r="Z225" s="74" t="str">
        <x:v>不得由本规则直接推出过度付出、付出失衡、依赖、控制、忠诚度、关系结果或适配度；不得把某种照顾方式等同于爱得更多或更少。</x:v>
      </x:c>
      <x:c r="AA225" s="74" t="str">
        <x:v>中高</x:v>
      </x:c>
      <x:c r="AB225" s="74" t="str">
        <x:v>待验证</x:v>
      </x:c>
      <x:c r="AC225" s="74" t="str"/>
      <x:c r="AD225" s="74" t="str">
        <x:v>provisional=true; synthesis=SO03</x:v>
      </x:c>
      <x:c r="AE225" s="74" t="str">
        <x:v>0.4</x:v>
      </x:c>
    </x:row>
    <x:row r="226">
      <x:c r="A226" s="90" t="str">
        <x:v>M3-CARE-222</x:v>
      </x:c>
      <x:c r="B226" s="90" t="str">
        <x:v>SO04 来源权重｜全局有效独立信号</x:v>
      </x:c>
      <x:c r="C226" s="90" t="str">
        <x:v>L6 评分、置信与报告</x:v>
      </x:c>
      <x:c r="D226" s="90" t="str">
        <x:v>CARE-合成输出</x:v>
      </x:c>
      <x:c r="E226" s="90" t="str">
        <x:v>通用</x:v>
      </x:c>
      <x:c r="F226" s="90" t="str">
        <x:v>评分</x:v>
      </x:c>
      <x:c r="G226" s="74" t="str">
        <x:v>SO04 来源权重｜全局有效独立信号</x:v>
      </x:c>
      <x:c r="H226" s="74" t="str"/>
      <x:c r="I226" s="74" t="str">
        <x:v>全局有效、功能清楚、与主来源独立，但位置不近。</x:v>
      </x:c>
      <x:c r="J226" s="74" t="str">
        <x:v>未完成source_id去重；关键基础停止；越过M3-CARE边界。</x:v>
      </x:c>
      <x:c r="K226" s="74" t="str">
        <x:v>由共享基础引擎与M3-STATE修正</x:v>
      </x:c>
      <x:c r="L226" s="74" t="str">
        <x:v>不限定；夫妻星仅在形成独立CARE证据或入宫接口时参与</x:v>
      </x:c>
      <x:c r="M226" s="74" t="str">
        <x:v>由M3-BASE、日支结构及共享引擎提供</x:v>
      </x:c>
      <x:c r="N226" s="74" t="str">
        <x:v>无／待CARE路径规则组合</x:v>
      </x:c>
      <x:c r="O226" s="74" t="str">
        <x:v>全局有效信号；日柱及亲密关系近位优先</x:v>
      </x:c>
      <x:c r="P226" s="74" t="str">
        <x:v>由共享基础引擎判定</x:v>
      </x:c>
      <x:c r="Q226" s="74" t="str">
        <x:v>由共享基础引擎判定</x:v>
      </x:c>
      <x:c r="R226" s="74" t="str">
        <x:v>喜忌不直接等于愿不愿付出；只修正调用顺畅度与资源压力</x:v>
      </x:c>
      <x:c r="S226" s="74" t="str">
        <x:v>原十神性质有效；真合化成立时按化神路由</x:v>
      </x:c>
      <x:c r="T226" s="74" t="str">
        <x:v>由共享基础引擎判定</x:v>
      </x:c>
      <x:c r="U226" s="74" t="str">
        <x:v>70</x:v>
      </x:c>
      <x:c r="V226" s="74" t="str">
        <x:v>基础 +8</x:v>
      </x:c>
      <x:c r="W226" s="74" t="str">
        <x:v>secondary_care_channel</x:v>
      </x:c>
      <x:c r="X226" s="74" t="str">
        <x:v>全局有效独立信号基础分8，通常作为次通道、状态通道或情境通道。</x:v>
      </x:c>
      <x:c r="Y226" s="74" t="str">
        <x:v>这项支持方式在命局中有效，但是否直接成为亲密关系核心，需要结合位置和真实行为。</x:v>
      </x:c>
      <x:c r="Z226" s="74" t="str">
        <x:v>不得由本规则直接推出过度付出、付出失衡、依赖、控制、忠诚度、关系结果或适配度；不得把某种照顾方式等同于爱得更多或更少。</x:v>
      </x:c>
      <x:c r="AA226" s="74" t="str">
        <x:v>中</x:v>
      </x:c>
      <x:c r="AB226" s="74" t="str">
        <x:v>待验证</x:v>
      </x:c>
      <x:c r="AC226" s="74" t="str"/>
      <x:c r="AD226" s="74" t="str">
        <x:v>provisional=true; synthesis=SO04</x:v>
      </x:c>
      <x:c r="AE226" s="74" t="str">
        <x:v>0.4</x:v>
      </x:c>
    </x:row>
    <x:row r="227">
      <x:c r="A227" s="90" t="str">
        <x:v>M3-CARE-223</x:v>
      </x:c>
      <x:c r="B227" s="90" t="str">
        <x:v>SO05 案例行为校准｜真实重复行为修正</x:v>
      </x:c>
      <x:c r="C227" s="90" t="str">
        <x:v>L6 评分、置信与报告</x:v>
      </x:c>
      <x:c r="D227" s="90" t="str">
        <x:v>CARE-合成输出</x:v>
      </x:c>
      <x:c r="E227" s="90" t="str">
        <x:v>通用</x:v>
      </x:c>
      <x:c r="F227" s="90" t="str">
        <x:v>评分</x:v>
      </x:c>
      <x:c r="G227" s="74" t="str">
        <x:v>SO05 案例行为校准｜真实重复行为修正</x:v>
      </x:c>
      <x:c r="H227" s="74" t="str"/>
      <x:c r="I227" s="74" t="str">
        <x:v>有用户自述、伴侣反馈或多个关系案例中的重复行为记录。</x:v>
      </x:c>
      <x:c r="J227" s="74" t="str">
        <x:v>未完成source_id去重；关键基础停止；越过M3-CARE边界。</x:v>
      </x:c>
      <x:c r="K227" s="74" t="str">
        <x:v>由共享基础引擎与M3-STATE修正</x:v>
      </x:c>
      <x:c r="L227" s="74" t="str">
        <x:v>不限定；夫妻星仅在形成独立CARE证据或入宫接口时参与</x:v>
      </x:c>
      <x:c r="M227" s="74" t="str">
        <x:v>由M3-BASE、日支结构及共享引擎提供</x:v>
      </x:c>
      <x:c r="N227" s="74" t="str">
        <x:v>无／待CARE路径规则组合</x:v>
      </x:c>
      <x:c r="O227" s="74" t="str">
        <x:v>全局有效信号；日柱及亲密关系近位优先</x:v>
      </x:c>
      <x:c r="P227" s="74" t="str">
        <x:v>由共享基础引擎判定</x:v>
      </x:c>
      <x:c r="Q227" s="74" t="str">
        <x:v>由共享基础引擎判定</x:v>
      </x:c>
      <x:c r="R227" s="74" t="str">
        <x:v>喜忌不直接等于愿不愿付出；只修正调用顺畅度与资源压力</x:v>
      </x:c>
      <x:c r="S227" s="74" t="str">
        <x:v>原十神性质有效；真合化成立时按化神路由</x:v>
      </x:c>
      <x:c r="T227" s="74" t="str">
        <x:v>由共享基础引擎判定</x:v>
      </x:c>
      <x:c r="U227" s="74" t="str">
        <x:v>70</x:v>
      </x:c>
      <x:c r="V227" s="74" t="str">
        <x:v>案例修正 +0—6</x:v>
      </x:c>
      <x:c r="W227" s="74" t="str">
        <x:v>confidence</x:v>
      </x:c>
      <x:c r="X227" s="74" t="str">
        <x:v>真实重复行为可在不改变命理基础来源的前提下修正通道可信度与连续性，初始+0—6。</x:v>
      </x:c>
      <x:c r="Y227" s="74" t="str">
        <x:v>真实相处中的重复行为会用于校准规则，而不是用一次事件替代长期模式。</x:v>
      </x:c>
      <x:c r="Z227" s="74" t="str">
        <x:v>不得由本规则直接推出过度付出、付出失衡、依赖、控制、忠诚度、关系结果或适配度；不得把某种照顾方式等同于爱得更多或更少。</x:v>
      </x:c>
      <x:c r="AA227" s="74" t="str">
        <x:v>中高</x:v>
      </x:c>
      <x:c r="AB227" s="74" t="str">
        <x:v>待验证</x:v>
      </x:c>
      <x:c r="AC227" s="74" t="str"/>
      <x:c r="AD227" s="74" t="str">
        <x:v>provisional=true; synthesis=SO05</x:v>
      </x:c>
      <x:c r="AE227" s="74" t="str">
        <x:v>0.4</x:v>
      </x:c>
    </x:row>
    <x:row r="228">
      <x:c r="A228" s="90" t="str">
        <x:v>M3-CARE-224</x:v>
      </x:c>
      <x:c r="B228" s="90" t="str">
        <x:v>SO06 主CARE通道门槛｜32分且领先</x:v>
      </x:c>
      <x:c r="C228" s="90" t="str">
        <x:v>L6 评分、置信与报告</x:v>
      </x:c>
      <x:c r="D228" s="90" t="str">
        <x:v>CARE-合成输出</x:v>
      </x:c>
      <x:c r="E228" s="90" t="str">
        <x:v>通用</x:v>
      </x:c>
      <x:c r="F228" s="90" t="str">
        <x:v>门槛</x:v>
      </x:c>
      <x:c r="G228" s="74" t="str">
        <x:v>SO06 主CARE通道门槛｜32分且领先</x:v>
      </x:c>
      <x:c r="H228" s="74" t="str"/>
      <x:c r="I228" s="74" t="str">
        <x:v>候选通道完成同源去重、状态修正和接口检查。</x:v>
      </x:c>
      <x:c r="J228" s="74" t="str">
        <x:v>未完成source_id去重；关键基础停止；越过M3-CARE边界。</x:v>
      </x:c>
      <x:c r="K228" s="74" t="str">
        <x:v>由共享基础引擎与M3-STATE修正</x:v>
      </x:c>
      <x:c r="L228" s="74" t="str">
        <x:v>不限定；夫妻星仅在形成独立CARE证据或入宫接口时参与</x:v>
      </x:c>
      <x:c r="M228" s="74" t="str">
        <x:v>由M3-BASE、日支结构及共享引擎提供</x:v>
      </x:c>
      <x:c r="N228" s="74" t="str">
        <x:v>无／待CARE路径规则组合</x:v>
      </x:c>
      <x:c r="O228" s="74" t="str">
        <x:v>全局有效信号；日柱及亲密关系近位优先</x:v>
      </x:c>
      <x:c r="P228" s="74" t="str">
        <x:v>由共享基础引擎判定</x:v>
      </x:c>
      <x:c r="Q228" s="74" t="str">
        <x:v>由共享基础引擎判定</x:v>
      </x:c>
      <x:c r="R228" s="74" t="str">
        <x:v>喜忌不直接等于愿不愿付出；只修正调用顺畅度与资源压力</x:v>
      </x:c>
      <x:c r="S228" s="74" t="str">
        <x:v>原十神性质有效；真合化成立时按化神路由</x:v>
      </x:c>
      <x:c r="T228" s="74" t="str">
        <x:v>由共享基础引擎判定</x:v>
      </x:c>
      <x:c r="U228" s="74" t="str">
        <x:v>70</x:v>
      </x:c>
      <x:c r="V228" s="74" t="str">
        <x:v>门槛：≥32且领先≥8</x:v>
      </x:c>
      <x:c r="W228" s="74" t="str">
        <x:v>primary_care_channel</x:v>
      </x:c>
      <x:c r="X228" s="74" t="str">
        <x:v>暂定主通道需达到32分，并领先第二候选至少8分；否则进入双通道或低置信路由。</x:v>
      </x:c>
      <x:c r="Y228" s="74" t="str">
        <x:v>只有证据集中且主次清楚时，才会写成一个明确的主要照顾方式。</x:v>
      </x:c>
      <x:c r="Z228" s="74" t="str">
        <x:v>不得由本规则直接推出过度付出、付出失衡、依赖、控制、忠诚度、关系结果或适配度；不得把某种照顾方式等同于爱得更多或更少。</x:v>
      </x:c>
      <x:c r="AA228" s="74" t="str">
        <x:v>中</x:v>
      </x:c>
      <x:c r="AB228" s="74" t="str">
        <x:v>待验证</x:v>
      </x:c>
      <x:c r="AC228" s="74" t="str"/>
      <x:c r="AD228" s="74" t="str">
        <x:v>provisional=true; synthesis=SO06</x:v>
      </x:c>
      <x:c r="AE228" s="74" t="str">
        <x:v>0.4</x:v>
      </x:c>
    </x:row>
    <x:row r="229">
      <x:c r="A229" s="90" t="str">
        <x:v>M3-CARE-225</x:v>
      </x:c>
      <x:c r="B229" s="90" t="str">
        <x:v>SO07 次CARE通道门槛｜22分且功能独立</x:v>
      </x:c>
      <x:c r="C229" s="90" t="str">
        <x:v>L6 评分、置信与报告</x:v>
      </x:c>
      <x:c r="D229" s="90" t="str">
        <x:v>CARE-合成输出</x:v>
      </x:c>
      <x:c r="E229" s="90" t="str">
        <x:v>通用</x:v>
      </x:c>
      <x:c r="F229" s="90" t="str">
        <x:v>门槛</x:v>
      </x:c>
      <x:c r="G229" s="74" t="str">
        <x:v>SO07 次CARE通道门槛｜22分且功能独立</x:v>
      </x:c>
      <x:c r="H229" s="74" t="str"/>
      <x:c r="I229" s="74" t="str">
        <x:v>第二候选source_id独立、功能不同、非同系统同义重复。</x:v>
      </x:c>
      <x:c r="J229" s="74" t="str">
        <x:v>未完成source_id去重；关键基础停止；越过M3-CARE边界。</x:v>
      </x:c>
      <x:c r="K229" s="74" t="str">
        <x:v>由共享基础引擎与M3-STATE修正</x:v>
      </x:c>
      <x:c r="L229" s="74" t="str">
        <x:v>不限定；夫妻星仅在形成独立CARE证据或入宫接口时参与</x:v>
      </x:c>
      <x:c r="M229" s="74" t="str">
        <x:v>由M3-BASE、日支结构及共享引擎提供</x:v>
      </x:c>
      <x:c r="N229" s="74" t="str">
        <x:v>无／待CARE路径规则组合</x:v>
      </x:c>
      <x:c r="O229" s="74" t="str">
        <x:v>全局有效信号；日柱及亲密关系近位优先</x:v>
      </x:c>
      <x:c r="P229" s="74" t="str">
        <x:v>由共享基础引擎判定</x:v>
      </x:c>
      <x:c r="Q229" s="74" t="str">
        <x:v>由共享基础引擎判定</x:v>
      </x:c>
      <x:c r="R229" s="74" t="str">
        <x:v>喜忌不直接等于愿不愿付出；只修正调用顺畅度与资源压力</x:v>
      </x:c>
      <x:c r="S229" s="74" t="str">
        <x:v>原十神性质有效；真合化成立时按化神路由</x:v>
      </x:c>
      <x:c r="T229" s="74" t="str">
        <x:v>由共享基础引擎判定</x:v>
      </x:c>
      <x:c r="U229" s="74" t="str">
        <x:v>70</x:v>
      </x:c>
      <x:c r="V229" s="74" t="str">
        <x:v>门槛：≥22</x:v>
      </x:c>
      <x:c r="W229" s="74" t="str">
        <x:v>secondary_care_channel</x:v>
      </x:c>
      <x:c r="X229" s="74" t="str">
        <x:v>暂定次通道需达到22分；若与主通道功能相同则收敛，不进入正文双通道。</x:v>
      </x:c>
      <x:c r="Y229" s="74" t="str">
        <x:v>补充方式只有在来源独立、功能不同且证据足够时才会被保留。</x:v>
      </x:c>
      <x:c r="Z229" s="74" t="str">
        <x:v>不得由本规则直接推出过度付出、付出失衡、依赖、控制、忠诚度、关系结果或适配度；不得把某种照顾方式等同于爱得更多或更少。</x:v>
      </x:c>
      <x:c r="AA229" s="74" t="str">
        <x:v>中</x:v>
      </x:c>
      <x:c r="AB229" s="74" t="str">
        <x:v>待验证</x:v>
      </x:c>
      <x:c r="AC229" s="74" t="str"/>
      <x:c r="AD229" s="74" t="str">
        <x:v>provisional=true; synthesis=SO07</x:v>
      </x:c>
      <x:c r="AE229" s="74" t="str">
        <x:v>0.4</x:v>
      </x:c>
    </x:row>
    <x:row r="230">
      <x:c r="A230" s="90" t="str">
        <x:v>M3-CARE-226</x:v>
      </x:c>
      <x:c r="B230" s="90" t="str">
        <x:v>SO08 双通道门槛｜分差小且功能分工</x:v>
      </x:c>
      <x:c r="C230" s="90" t="str">
        <x:v>L6 评分、置信与报告</x:v>
      </x:c>
      <x:c r="D230" s="90" t="str">
        <x:v>CARE-合成输出</x:v>
      </x:c>
      <x:c r="E230" s="90" t="str">
        <x:v>通用</x:v>
      </x:c>
      <x:c r="F230" s="90" t="str">
        <x:v>门槛</x:v>
      </x:c>
      <x:c r="G230" s="74" t="str">
        <x:v>SO08 双通道门槛｜分差小且功能分工</x:v>
      </x:c>
      <x:c r="H230" s="74" t="str"/>
      <x:c r="I230" s="74" t="str">
        <x:v>前两候选均达到主/次门槛，分差小于8，功能不同并有交换或路径关系。</x:v>
      </x:c>
      <x:c r="J230" s="74" t="str">
        <x:v>未完成source_id去重；关键基础停止；越过M3-CARE边界。</x:v>
      </x:c>
      <x:c r="K230" s="74" t="str">
        <x:v>由共享基础引擎与M3-STATE修正</x:v>
      </x:c>
      <x:c r="L230" s="74" t="str">
        <x:v>不限定；夫妻星仅在形成独立CARE证据或入宫接口时参与</x:v>
      </x:c>
      <x:c r="M230" s="74" t="str">
        <x:v>由M3-BASE、日支结构及共享引擎提供</x:v>
      </x:c>
      <x:c r="N230" s="74" t="str">
        <x:v>无／待CARE路径规则组合</x:v>
      </x:c>
      <x:c r="O230" s="74" t="str">
        <x:v>全局有效信号；日柱及亲密关系近位优先</x:v>
      </x:c>
      <x:c r="P230" s="74" t="str">
        <x:v>由共享基础引擎判定</x:v>
      </x:c>
      <x:c r="Q230" s="74" t="str">
        <x:v>由共享基础引擎判定</x:v>
      </x:c>
      <x:c r="R230" s="74" t="str">
        <x:v>喜忌不直接等于愿不愿付出；只修正调用顺畅度与资源压力</x:v>
      </x:c>
      <x:c r="S230" s="74" t="str">
        <x:v>原十神性质有效；真合化成立时按化神路由</x:v>
      </x:c>
      <x:c r="T230" s="74" t="str">
        <x:v>由共享基础引擎判定</x:v>
      </x:c>
      <x:c r="U230" s="74" t="str">
        <x:v>70</x:v>
      </x:c>
      <x:c r="V230" s="74" t="str">
        <x:v>双通道路由</x:v>
      </x:c>
      <x:c r="W230" s="74" t="str">
        <x:v>care_pattern</x:v>
      </x:c>
      <x:c r="X230" s="74" t="str">
        <x:v>转入CP11双通道交换型，正文说明A负责什么、B负责什么，不平铺标签。</x:v>
      </x:c>
      <x:c r="Y230" s="74" t="str">
        <x:v>当两种支持方式都明显时，会说明它们怎样分工，而不是简单说你什么都会。</x:v>
      </x:c>
      <x:c r="Z230" s="74" t="str">
        <x:v>不得由本规则直接推出过度付出、付出失衡、依赖、控制、忠诚度、关系结果或适配度；不得把某种照顾方式等同于爱得更多或更少。</x:v>
      </x:c>
      <x:c r="AA230" s="74" t="str">
        <x:v>中</x:v>
      </x:c>
      <x:c r="AB230" s="74" t="str">
        <x:v>待验证</x:v>
      </x:c>
      <x:c r="AC230" s="74" t="str"/>
      <x:c r="AD230" s="74" t="str">
        <x:v>provisional=true; synthesis=SO08</x:v>
      </x:c>
      <x:c r="AE230" s="74" t="str">
        <x:v>0.4</x:v>
      </x:c>
    </x:row>
    <x:row r="231">
      <x:c r="A231" s="90" t="str">
        <x:v>M3-CARE-227</x:v>
      </x:c>
      <x:c r="B231" s="90" t="str">
        <x:v>SO09 输出上限｜一主一次一主路径</x:v>
      </x:c>
      <x:c r="C231" s="90" t="str">
        <x:v>L6 评分、置信与报告</x:v>
      </x:c>
      <x:c r="D231" s="90" t="str">
        <x:v>CARE-合成输出</x:v>
      </x:c>
      <x:c r="E231" s="90" t="str">
        <x:v>通用</x:v>
      </x:c>
      <x:c r="F231" s="90" t="str">
        <x:v>门槛</x:v>
      </x:c>
      <x:c r="G231" s="74" t="str">
        <x:v>SO09 输出上限｜一主一次一主路径</x:v>
      </x:c>
      <x:c r="H231" s="74" t="str"/>
      <x:c r="I231" s="74" t="str">
        <x:v>生成用户正文。</x:v>
      </x:c>
      <x:c r="J231" s="74" t="str">
        <x:v>未完成source_id去重；关键基础停止；越过M3-CARE边界。</x:v>
      </x:c>
      <x:c r="K231" s="74" t="str">
        <x:v>由共享基础引擎与M3-STATE修正</x:v>
      </x:c>
      <x:c r="L231" s="74" t="str">
        <x:v>不限定；夫妻星仅在形成独立CARE证据或入宫接口时参与</x:v>
      </x:c>
      <x:c r="M231" s="74" t="str">
        <x:v>由M3-BASE、日支结构及共享引擎提供</x:v>
      </x:c>
      <x:c r="N231" s="74" t="str">
        <x:v>无／待CARE路径规则组合</x:v>
      </x:c>
      <x:c r="O231" s="74" t="str">
        <x:v>全局有效信号；日柱及亲密关系近位优先</x:v>
      </x:c>
      <x:c r="P231" s="74" t="str">
        <x:v>由共享基础引擎判定</x:v>
      </x:c>
      <x:c r="Q231" s="74" t="str">
        <x:v>由共享基础引擎判定</x:v>
      </x:c>
      <x:c r="R231" s="74" t="str">
        <x:v>喜忌不直接等于愿不愿付出；只修正调用顺畅度与资源压力</x:v>
      </x:c>
      <x:c r="S231" s="74" t="str">
        <x:v>原十神性质有效；真合化成立时按化神路由</x:v>
      </x:c>
      <x:c r="T231" s="74" t="str">
        <x:v>由共享基础引擎判定</x:v>
      </x:c>
      <x:c r="U231" s="74" t="str">
        <x:v>70</x:v>
      </x:c>
      <x:c r="V231" s="74" t="str">
        <x:v>不加分；裁剪</x:v>
      </x:c>
      <x:c r="W231" s="74" t="str">
        <x:v>report_template</x:v>
      </x:c>
      <x:c r="X231" s="74" t="str">
        <x:v>正文最多保留一个主CARE通道、一个有效次通道、一种投入模式、一种接受方式和一条主CARE路径。</x:v>
      </x:c>
      <x:c r="Y231" s="74" t="str">
        <x:v>最终输出会保留真正有辨识度的重点，不把所有候选标签堆在一起。</x:v>
      </x:c>
      <x:c r="Z231" s="74" t="str">
        <x:v>不得由本规则直接推出过度付出、付出失衡、依赖、控制、忠诚度、关系结果或适配度；不得把某种照顾方式等同于爱得更多或更少。</x:v>
      </x:c>
      <x:c r="AA231" s="74" t="str">
        <x:v>高</x:v>
      </x:c>
      <x:c r="AB231" s="74" t="str">
        <x:v>待验证</x:v>
      </x:c>
      <x:c r="AC231" s="74" t="str"/>
      <x:c r="AD231" s="74" t="str">
        <x:v>provisional=true; synthesis=SO09</x:v>
      </x:c>
      <x:c r="AE231" s="74" t="str">
        <x:v>0.4</x:v>
      </x:c>
    </x:row>
    <x:row r="232">
      <x:c r="A232" s="90" t="str">
        <x:v>M3-CARE-228</x:v>
      </x:c>
      <x:c r="B232" s="90" t="str">
        <x:v>SO10 高置信｜多源独立且基础稳定</x:v>
      </x:c>
      <x:c r="C232" s="90" t="str">
        <x:v>L6 评分、置信与报告</x:v>
      </x:c>
      <x:c r="D232" s="90" t="str">
        <x:v>CARE-合成输出</x:v>
      </x:c>
      <x:c r="E232" s="90" t="str">
        <x:v>通用</x:v>
      </x:c>
      <x:c r="F232" s="90" t="str">
        <x:v>置信</x:v>
      </x:c>
      <x:c r="G232" s="74" t="str">
        <x:v>SO10 高置信｜多源独立且基础稳定</x:v>
      </x:c>
      <x:c r="H232" s="74" t="str"/>
      <x:c r="I232" s="74" t="str">
        <x:v>主通道有至少两类独立高权威证据；基础状态可靠；去重完成；行为反馈一致。</x:v>
      </x:c>
      <x:c r="J232" s="74" t="str">
        <x:v>未完成source_id去重；关键基础停止；越过M3-CARE边界。</x:v>
      </x:c>
      <x:c r="K232" s="74" t="str">
        <x:v>由共享基础引擎与M3-STATE修正</x:v>
      </x:c>
      <x:c r="L232" s="74" t="str">
        <x:v>不限定；夫妻星仅在形成独立CARE证据或入宫接口时参与</x:v>
      </x:c>
      <x:c r="M232" s="74" t="str">
        <x:v>由M3-BASE、日支结构及共享引擎提供</x:v>
      </x:c>
      <x:c r="N232" s="74" t="str">
        <x:v>无／待CARE路径规则组合</x:v>
      </x:c>
      <x:c r="O232" s="74" t="str">
        <x:v>全局有效信号；日柱及亲密关系近位优先</x:v>
      </x:c>
      <x:c r="P232" s="74" t="str">
        <x:v>由共享基础引擎判定</x:v>
      </x:c>
      <x:c r="Q232" s="74" t="str">
        <x:v>由共享基础引擎判定</x:v>
      </x:c>
      <x:c r="R232" s="74" t="str">
        <x:v>喜忌不直接等于愿不愿付出；只修正调用顺畅度与资源压力</x:v>
      </x:c>
      <x:c r="S232" s="74" t="str">
        <x:v>原十神性质有效；真合化成立时按化神路由</x:v>
      </x:c>
      <x:c r="T232" s="74" t="str">
        <x:v>由共享基础引擎判定</x:v>
      </x:c>
      <x:c r="U232" s="74" t="str">
        <x:v>70</x:v>
      </x:c>
      <x:c r="V232" s="74" t="str">
        <x:v>高=90</x:v>
      </x:c>
      <x:c r="W232" s="74" t="str">
        <x:v>confidence</x:v>
      </x:c>
      <x:c r="X232" s="74" t="str">
        <x:v>CARE字段可标记高置信；高置信表示知识库内部证据充分，不代表统计准确率。</x:v>
      </x:c>
      <x:c r="Y232" s="74" t="str">
        <x:v>这一判断有多类独立证据相互支持，但仍会保留模型边界。</x:v>
      </x:c>
      <x:c r="Z232" s="74" t="str">
        <x:v>不得由本规则直接推出过度付出、付出失衡、依赖、控制、忠诚度、关系结果或适配度；不得把某种照顾方式等同于爱得更多或更少。</x:v>
      </x:c>
      <x:c r="AA232" s="74" t="str">
        <x:v>高</x:v>
      </x:c>
      <x:c r="AB232" s="74" t="str">
        <x:v>待验证</x:v>
      </x:c>
      <x:c r="AC232" s="74" t="str"/>
      <x:c r="AD232" s="74" t="str">
        <x:v>provisional=true; synthesis=SO10</x:v>
      </x:c>
      <x:c r="AE232" s="74" t="str">
        <x:v>0.4</x:v>
      </x:c>
    </x:row>
    <x:row r="233">
      <x:c r="A233" s="90" t="str">
        <x:v>M3-CARE-229</x:v>
      </x:c>
      <x:c r="B233" s="90" t="str">
        <x:v>SO11 中高置信｜一主一辅且无关键冲突</x:v>
      </x:c>
      <x:c r="C233" s="90" t="str">
        <x:v>L6 评分、置信与报告</x:v>
      </x:c>
      <x:c r="D233" s="90" t="str">
        <x:v>CARE-合成输出</x:v>
      </x:c>
      <x:c r="E233" s="90" t="str">
        <x:v>通用</x:v>
      </x:c>
      <x:c r="F233" s="90" t="str">
        <x:v>置信</x:v>
      </x:c>
      <x:c r="G233" s="74" t="str">
        <x:v>SO11 中高置信｜一主一辅且无关键冲突</x:v>
      </x:c>
      <x:c r="H233" s="74" t="str"/>
      <x:c r="I233" s="74" t="str">
        <x:v>主通道有一个高权威来源与一个辅助来源；基础无关键争议。</x:v>
      </x:c>
      <x:c r="J233" s="74" t="str">
        <x:v>未完成source_id去重；关键基础停止；越过M3-CARE边界。</x:v>
      </x:c>
      <x:c r="K233" s="74" t="str">
        <x:v>由共享基础引擎与M3-STATE修正</x:v>
      </x:c>
      <x:c r="L233" s="74" t="str">
        <x:v>不限定；夫妻星仅在形成独立CARE证据或入宫接口时参与</x:v>
      </x:c>
      <x:c r="M233" s="74" t="str">
        <x:v>由M3-BASE、日支结构及共享引擎提供</x:v>
      </x:c>
      <x:c r="N233" s="74" t="str">
        <x:v>无／待CARE路径规则组合</x:v>
      </x:c>
      <x:c r="O233" s="74" t="str">
        <x:v>全局有效信号；日柱及亲密关系近位优先</x:v>
      </x:c>
      <x:c r="P233" s="74" t="str">
        <x:v>由共享基础引擎判定</x:v>
      </x:c>
      <x:c r="Q233" s="74" t="str">
        <x:v>由共享基础引擎判定</x:v>
      </x:c>
      <x:c r="R233" s="74" t="str">
        <x:v>喜忌不直接等于愿不愿付出；只修正调用顺畅度与资源压力</x:v>
      </x:c>
      <x:c r="S233" s="74" t="str">
        <x:v>原十神性质有效；真合化成立时按化神路由</x:v>
      </x:c>
      <x:c r="T233" s="74" t="str">
        <x:v>由共享基础引擎判定</x:v>
      </x:c>
      <x:c r="U233" s="74" t="str">
        <x:v>70</x:v>
      </x:c>
      <x:c r="V233" s="74" t="str">
        <x:v>中高=80</x:v>
      </x:c>
      <x:c r="W233" s="74" t="str">
        <x:v>confidence</x:v>
      </x:c>
      <x:c r="X233" s="74" t="str">
        <x:v>CARE字段可标记中高置信，初始值80。</x:v>
      </x:c>
      <x:c r="Y233" s="74" t="str">
        <x:v>主要方向比较清楚，同时仍有部分细节需要案例验证。</x:v>
      </x:c>
      <x:c r="Z233" s="74" t="str">
        <x:v>不得由本规则直接推出过度付出、付出失衡、依赖、控制、忠诚度、关系结果或适配度；不得把某种照顾方式等同于爱得更多或更少。</x:v>
      </x:c>
      <x:c r="AA233" s="74" t="str">
        <x:v>中高</x:v>
      </x:c>
      <x:c r="AB233" s="74" t="str">
        <x:v>待验证</x:v>
      </x:c>
      <x:c r="AC233" s="74" t="str"/>
      <x:c r="AD233" s="74" t="str">
        <x:v>provisional=true; synthesis=SO11</x:v>
      </x:c>
      <x:c r="AE233" s="74" t="str">
        <x:v>0.4</x:v>
      </x:c>
    </x:row>
    <x:row r="234">
      <x:c r="A234" s="90" t="str">
        <x:v>M3-CARE-230</x:v>
      </x:c>
      <x:c r="B234" s="90" t="str">
        <x:v>SO12 中置信｜单一可靠来源或主次接近</x:v>
      </x:c>
      <x:c r="C234" s="90" t="str">
        <x:v>L6 评分、置信与报告</x:v>
      </x:c>
      <x:c r="D234" s="90" t="str">
        <x:v>CARE-合成输出</x:v>
      </x:c>
      <x:c r="E234" s="90" t="str">
        <x:v>通用</x:v>
      </x:c>
      <x:c r="F234" s="90" t="str">
        <x:v>置信</x:v>
      </x:c>
      <x:c r="G234" s="74" t="str">
        <x:v>SO12 中置信｜单一可靠来源或主次接近</x:v>
      </x:c>
      <x:c r="H234" s="74" t="str"/>
      <x:c r="I234" s="74" t="str">
        <x:v>只有一个可靠主来源，或两个候选主次接近但功能尚可区分。</x:v>
      </x:c>
      <x:c r="J234" s="74" t="str">
        <x:v>未完成source_id去重；关键基础停止；越过M3-CARE边界。</x:v>
      </x:c>
      <x:c r="K234" s="74" t="str">
        <x:v>由共享基础引擎与M3-STATE修正</x:v>
      </x:c>
      <x:c r="L234" s="74" t="str">
        <x:v>不限定；夫妻星仅在形成独立CARE证据或入宫接口时参与</x:v>
      </x:c>
      <x:c r="M234" s="74" t="str">
        <x:v>由M3-BASE、日支结构及共享引擎提供</x:v>
      </x:c>
      <x:c r="N234" s="74" t="str">
        <x:v>无／待CARE路径规则组合</x:v>
      </x:c>
      <x:c r="O234" s="74" t="str">
        <x:v>全局有效信号；日柱及亲密关系近位优先</x:v>
      </x:c>
      <x:c r="P234" s="74" t="str">
        <x:v>由共享基础引擎判定</x:v>
      </x:c>
      <x:c r="Q234" s="74" t="str">
        <x:v>由共享基础引擎判定</x:v>
      </x:c>
      <x:c r="R234" s="74" t="str">
        <x:v>喜忌不直接等于愿不愿付出；只修正调用顺畅度与资源压力</x:v>
      </x:c>
      <x:c r="S234" s="74" t="str">
        <x:v>原十神性质有效；真合化成立时按化神路由</x:v>
      </x:c>
      <x:c r="T234" s="74" t="str">
        <x:v>由共享基础引擎判定</x:v>
      </x:c>
      <x:c r="U234" s="74" t="str">
        <x:v>70</x:v>
      </x:c>
      <x:c r="V234" s="74" t="str">
        <x:v>中=68</x:v>
      </x:c>
      <x:c r="W234" s="74" t="str">
        <x:v>confidence</x:v>
      </x:c>
      <x:c r="X234" s="74" t="str">
        <x:v>CARE字段标记中置信，初始值68；用户语言使用“更可能、通常”。</x:v>
      </x:c>
      <x:c r="Y234" s="74" t="str">
        <x:v>目前有可用证据，但具体连续性或主次仍需要真实相处验证。</x:v>
      </x:c>
      <x:c r="Z234" s="74" t="str">
        <x:v>不得由本规则直接推出过度付出、付出失衡、依赖、控制、忠诚度、关系结果或适配度；不得把某种照顾方式等同于爱得更多或更少。</x:v>
      </x:c>
      <x:c r="AA234" s="74" t="str">
        <x:v>中</x:v>
      </x:c>
      <x:c r="AB234" s="74" t="str">
        <x:v>待验证</x:v>
      </x:c>
      <x:c r="AC234" s="74" t="str"/>
      <x:c r="AD234" s="74" t="str">
        <x:v>provisional=true; synthesis=SO12</x:v>
      </x:c>
      <x:c r="AE234" s="74" t="str">
        <x:v>0.4</x:v>
      </x:c>
    </x:row>
    <x:row r="235">
      <x:c r="A235" s="90" t="str">
        <x:v>M3-CARE-231</x:v>
      </x:c>
      <x:c r="B235" s="90" t="str">
        <x:v>SO13 中低／低／停止｜关键证据不足</x:v>
      </x:c>
      <x:c r="C235" s="90" t="str">
        <x:v>L6 评分、置信与报告</x:v>
      </x:c>
      <x:c r="D235" s="90" t="str">
        <x:v>CARE-合成输出</x:v>
      </x:c>
      <x:c r="E235" s="90" t="str">
        <x:v>通用</x:v>
      </x:c>
      <x:c r="F235" s="90" t="str">
        <x:v>置信</x:v>
      </x:c>
      <x:c r="G235" s="74" t="str">
        <x:v>SO13 中低／低／停止｜关键证据不足</x:v>
      </x:c>
      <x:c r="H235" s="74" t="str"/>
      <x:c r="I235" s="74" t="str">
        <x:v>唯一信号弱远无根、合化争议、source_id缺失、主次无法裁决或基础失效。</x:v>
      </x:c>
      <x:c r="J235" s="74" t="str">
        <x:v>未完成source_id去重；关键基础停止；越过M3-CARE边界。</x:v>
      </x:c>
      <x:c r="K235" s="74" t="str">
        <x:v>由共享基础引擎与M3-STATE修正</x:v>
      </x:c>
      <x:c r="L235" s="74" t="str">
        <x:v>不限定；夫妻星仅在形成独立CARE证据或入宫接口时参与</x:v>
      </x:c>
      <x:c r="M235" s="74" t="str">
        <x:v>由M3-BASE、日支结构及共享引擎提供</x:v>
      </x:c>
      <x:c r="N235" s="74" t="str">
        <x:v>无／待CARE路径规则组合</x:v>
      </x:c>
      <x:c r="O235" s="74" t="str">
        <x:v>全局有效信号；日柱及亲密关系近位优先</x:v>
      </x:c>
      <x:c r="P235" s="74" t="str">
        <x:v>由共享基础引擎判定</x:v>
      </x:c>
      <x:c r="Q235" s="74" t="str">
        <x:v>由共享基础引擎判定</x:v>
      </x:c>
      <x:c r="R235" s="74" t="str">
        <x:v>喜忌不直接等于愿不愿付出；只修正调用顺畅度与资源压力</x:v>
      </x:c>
      <x:c r="S235" s="74" t="str">
        <x:v>原十神性质有效；真合化成立时按化神路由</x:v>
      </x:c>
      <x:c r="T235" s="74" t="str">
        <x:v>由共享基础引擎判定</x:v>
      </x:c>
      <x:c r="U235" s="74" t="str">
        <x:v>70</x:v>
      </x:c>
      <x:c r="V235" s="74" t="str">
        <x:v>中低55／低40／停止0</x:v>
      </x:c>
      <x:c r="W235" s="74" t="str">
        <x:v>confidence</x:v>
      </x:c>
      <x:c r="X235" s="74" t="str">
        <x:v>中低55、低40、停止0；不得生成确定性CARE画像。</x:v>
      </x:c>
      <x:c r="Y235" s="74" t="str">
        <x:v>目前证据不足，只能保留有限方向或停止固定判断。</x:v>
      </x:c>
      <x:c r="Z235" s="74" t="str">
        <x:v>不得由本规则直接推出过度付出、付出失衡、依赖、控制、忠诚度、关系结果或适配度；不得把某种照顾方式等同于爱得更多或更少。</x:v>
      </x:c>
      <x:c r="AA235" s="74" t="str">
        <x:v>高</x:v>
      </x:c>
      <x:c r="AB235" s="74" t="str">
        <x:v>待验证</x:v>
      </x:c>
      <x:c r="AC235" s="74" t="str"/>
      <x:c r="AD235" s="74" t="str">
        <x:v>provisional=true; synthesis=SO13</x:v>
      </x:c>
      <x:c r="AE235" s="74" t="str">
        <x:v>0.4</x:v>
      </x:c>
    </x:row>
    <x:row r="236">
      <x:c r="A236" s="90" t="str">
        <x:v>M3-CARE-232</x:v>
      </x:c>
      <x:c r="B236" s="90" t="str">
        <x:v>SO14 最终字段权威｜CARE负责支持交换</x:v>
      </x:c>
      <x:c r="C236" s="90" t="str">
        <x:v>L6 评分、置信与报告</x:v>
      </x:c>
      <x:c r="D236" s="90" t="str">
        <x:v>CARE-合成输出</x:v>
      </x:c>
      <x:c r="E236" s="90" t="str">
        <x:v>通用</x:v>
      </x:c>
      <x:c r="F236" s="90" t="str">
        <x:v>输出</x:v>
      </x:c>
      <x:c r="G236" s="74" t="str">
        <x:v>SO14 最终字段权威｜CARE负责支持交换</x:v>
      </x:c>
      <x:c r="H236" s="74" t="str"/>
      <x:c r="I236" s="74" t="str">
        <x:v>M3-SYNTH生成总报告。</x:v>
      </x:c>
      <x:c r="J236" s="74" t="str">
        <x:v>未完成source_id去重；关键基础停止；越过M3-CARE边界。</x:v>
      </x:c>
      <x:c r="K236" s="74" t="str">
        <x:v>由共享基础引擎与M3-STATE修正</x:v>
      </x:c>
      <x:c r="L236" s="74" t="str">
        <x:v>不限定；夫妻星仅在形成独立CARE证据或入宫接口时参与</x:v>
      </x:c>
      <x:c r="M236" s="74" t="str">
        <x:v>由M3-BASE、日支结构及共享引擎提供</x:v>
      </x:c>
      <x:c r="N236" s="74" t="str">
        <x:v>无／待CARE路径规则组合</x:v>
      </x:c>
      <x:c r="O236" s="74" t="str">
        <x:v>全局有效信号；日柱及亲密关系近位优先</x:v>
      </x:c>
      <x:c r="P236" s="74" t="str">
        <x:v>由共享基础引擎判定</x:v>
      </x:c>
      <x:c r="Q236" s="74" t="str">
        <x:v>由共享基础引擎判定</x:v>
      </x:c>
      <x:c r="R236" s="74" t="str">
        <x:v>喜忌不直接等于愿不愿付出；只修正调用顺畅度与资源压力</x:v>
      </x:c>
      <x:c r="S236" s="74" t="str">
        <x:v>原十神性质有效；真合化成立时按化神路由</x:v>
      </x:c>
      <x:c r="T236" s="74" t="str">
        <x:v>由共享基础引擎判定</x:v>
      </x:c>
      <x:c r="U236" s="74" t="str">
        <x:v>65</x:v>
      </x:c>
      <x:c r="V236" s="74" t="str">
        <x:v>不加分；字段权威</x:v>
      </x:c>
      <x:c r="W236" s="74" t="str">
        <x:v>provenance</x:v>
      </x:c>
      <x:c r="X236" s="74" t="str">
        <x:v>CARE对primary_care_channel、giving_content、investment_mode、continuity_mode、support_request_style、support_receiving_style、reciprocity_pattern和care_path拥有字段主权。</x:v>
      </x:c>
      <x:c r="Y236" s="74" t="str">
        <x:v>模型三总报告中，付出、照顾和接受支持的内容以CARE模块为准。</x:v>
      </x:c>
      <x:c r="Z236" s="74" t="str">
        <x:v>不得由本规则直接推出过度付出、付出失衡、依赖、控制、忠诚度、关系结果或适配度；不得把某种照顾方式等同于爱得更多或更少。</x:v>
      </x:c>
      <x:c r="AA236" s="74" t="str">
        <x:v>高</x:v>
      </x:c>
      <x:c r="AB236" s="74" t="str">
        <x:v>待验证</x:v>
      </x:c>
      <x:c r="AC236" s="74" t="str"/>
      <x:c r="AD236" s="74" t="str">
        <x:v>provisional=true; synthesis=SO14</x:v>
      </x:c>
      <x:c r="AE236" s="74" t="str">
        <x:v>0.4</x:v>
      </x:c>
    </x:row>
    <x:row r="237">
      <x:c r="A237" s="90" t="str">
        <x:v>M3-CARE-233</x:v>
      </x:c>
      <x:c r="B237" s="90" t="str">
        <x:v>SO15 用户句合成顺序｜通道—行为—连续性—交换</x:v>
      </x:c>
      <x:c r="C237" s="90" t="str">
        <x:v>L6 评分、置信与报告</x:v>
      </x:c>
      <x:c r="D237" s="90" t="str">
        <x:v>CARE-合成输出</x:v>
      </x:c>
      <x:c r="E237" s="90" t="str">
        <x:v>通用</x:v>
      </x:c>
      <x:c r="F237" s="90" t="str">
        <x:v>输出</x:v>
      </x:c>
      <x:c r="G237" s="74" t="str">
        <x:v>SO15 用户句合成顺序｜通道—行为—连续性—交换</x:v>
      </x:c>
      <x:c r="H237" s="74" t="str"/>
      <x:c r="I237" s="74" t="str">
        <x:v>至少一个CARE字段有效。</x:v>
      </x:c>
      <x:c r="J237" s="74" t="str">
        <x:v>未完成source_id去重；关键基础停止；越过M3-CARE边界。</x:v>
      </x:c>
      <x:c r="K237" s="74" t="str">
        <x:v>由共享基础引擎与M3-STATE修正</x:v>
      </x:c>
      <x:c r="L237" s="74" t="str">
        <x:v>不限定；夫妻星仅在形成独立CARE证据或入宫接口时参与</x:v>
      </x:c>
      <x:c r="M237" s="74" t="str">
        <x:v>由M3-BASE、日支结构及共享引擎提供</x:v>
      </x:c>
      <x:c r="N237" s="74" t="str">
        <x:v>无／待CARE路径规则组合</x:v>
      </x:c>
      <x:c r="O237" s="74" t="str">
        <x:v>全局有效信号；日柱及亲密关系近位优先</x:v>
      </x:c>
      <x:c r="P237" s="74" t="str">
        <x:v>由共享基础引擎判定</x:v>
      </x:c>
      <x:c r="Q237" s="74" t="str">
        <x:v>由共享基础引擎判定</x:v>
      </x:c>
      <x:c r="R237" s="74" t="str">
        <x:v>喜忌不直接等于愿不愿付出；只修正调用顺畅度与资源压力</x:v>
      </x:c>
      <x:c r="S237" s="74" t="str">
        <x:v>原十神性质有效；真合化成立时按化神路由</x:v>
      </x:c>
      <x:c r="T237" s="74" t="str">
        <x:v>由共享基础引擎判定</x:v>
      </x:c>
      <x:c r="U237" s="74" t="str">
        <x:v>65</x:v>
      </x:c>
      <x:c r="V237" s="74" t="str">
        <x:v>不加分；合成</x:v>
      </x:c>
      <x:c r="W237" s="74" t="str">
        <x:v>report_template</x:v>
      </x:c>
      <x:c r="X237" s="74" t="str">
        <x:v>先写主CARE通道，再写可观察行为、投入怎样启动和持续、如何接受与回馈，最后写状态条件与边界。</x:v>
      </x:c>
      <x:c r="Y237" s="74" t="str">
        <x:v>报告会先告诉你主要怎样照顾关系，再说明具体行为、持续方式和双方怎样形成支持来回。</x:v>
      </x:c>
      <x:c r="Z237" s="74" t="str">
        <x:v>不得由本规则直接推出过度付出、付出失衡、依赖、控制、忠诚度、关系结果或适配度；不得把某种照顾方式等同于爱得更多或更少。</x:v>
      </x:c>
      <x:c r="AA237" s="74" t="str">
        <x:v>高</x:v>
      </x:c>
      <x:c r="AB237" s="74" t="str">
        <x:v>待验证</x:v>
      </x:c>
      <x:c r="AC237" s="74" t="str"/>
      <x:c r="AD237" s="74" t="str">
        <x:v>provisional=true; synthesis=SO15</x:v>
      </x:c>
      <x:c r="AE237" s="74" t="str">
        <x:v>0.4</x:v>
      </x:c>
    </x:row>
    <x:row r="238">
      <x:c r="A238" s="90" t="str">
        <x:v>M3-CARE-234</x:v>
      </x:c>
      <x:c r="B238" s="90" t="str">
        <x:v>SO16 单通道标准模板｜直接可用</x:v>
      </x:c>
      <x:c r="C238" s="90" t="str">
        <x:v>L6 评分、置信与报告</x:v>
      </x:c>
      <x:c r="D238" s="90" t="str">
        <x:v>CARE-合成输出</x:v>
      </x:c>
      <x:c r="E238" s="90" t="str">
        <x:v>通用</x:v>
      </x:c>
      <x:c r="F238" s="90" t="str">
        <x:v>输出</x:v>
      </x:c>
      <x:c r="G238" s="74" t="str">
        <x:v>SO16 单通道标准模板｜直接可用</x:v>
      </x:c>
      <x:c r="H238" s="74" t="str"/>
      <x:c r="I238" s="74" t="str">
        <x:v>一个主CARE通道清楚，次通道未达门槛。</x:v>
      </x:c>
      <x:c r="J238" s="74" t="str">
        <x:v>未完成source_id去重；关键基础停止；越过M3-CARE边界。</x:v>
      </x:c>
      <x:c r="K238" s="74" t="str">
        <x:v>由共享基础引擎与M3-STATE修正</x:v>
      </x:c>
      <x:c r="L238" s="74" t="str">
        <x:v>不限定；夫妻星仅在形成独立CARE证据或入宫接口时参与</x:v>
      </x:c>
      <x:c r="M238" s="74" t="str">
        <x:v>由M3-BASE、日支结构及共享引擎提供</x:v>
      </x:c>
      <x:c r="N238" s="74" t="str">
        <x:v>无／待CARE路径规则组合</x:v>
      </x:c>
      <x:c r="O238" s="74" t="str">
        <x:v>全局有效信号；日柱及亲密关系近位优先</x:v>
      </x:c>
      <x:c r="P238" s="74" t="str">
        <x:v>由共享基础引擎判定</x:v>
      </x:c>
      <x:c r="Q238" s="74" t="str">
        <x:v>由共享基础引擎判定</x:v>
      </x:c>
      <x:c r="R238" s="74" t="str">
        <x:v>喜忌不直接等于愿不愿付出；只修正调用顺畅度与资源压力</x:v>
      </x:c>
      <x:c r="S238" s="74" t="str">
        <x:v>原十神性质有效；真合化成立时按化神路由</x:v>
      </x:c>
      <x:c r="T238" s="74" t="str">
        <x:v>由共享基础引擎判定</x:v>
      </x:c>
      <x:c r="U238" s="74" t="str">
        <x:v>65</x:v>
      </x:c>
      <x:c r="V238" s="74" t="str">
        <x:v>不加分；模板</x:v>
      </x:c>
      <x:c r="W238" s="74" t="str">
        <x:v>report_template</x:v>
      </x:c>
      <x:c r="X238" s="74" t="str">
        <x:v>模板：你更习惯通过【主要通道】照顾关系。具体会【行为】；这种投入通常在【启动条件】出现，并以【连续性】维持。你更容易接受【接收方式】的帮助。</x:v>
      </x:c>
      <x:c r="Y238" s="74" t="str">
        <x:v>你更习惯通过【主要通道】照顾关系。具体会【行为】；这种投入通常在【启动条件】出现，并以【连续性】维持。你更容易接受【接收方式】的帮助。</x:v>
      </x:c>
      <x:c r="Z238" s="74" t="str">
        <x:v>不得由本规则直接推出过度付出、付出失衡、依赖、控制、忠诚度、关系结果或适配度；不得把某种照顾方式等同于爱得更多或更少。</x:v>
      </x:c>
      <x:c r="AA238" s="74" t="str">
        <x:v>高</x:v>
      </x:c>
      <x:c r="AB238" s="74" t="str">
        <x:v>待验证</x:v>
      </x:c>
      <x:c r="AC238" s="74" t="str"/>
      <x:c r="AD238" s="74" t="str">
        <x:v>provisional=true; synthesis=SO16</x:v>
      </x:c>
      <x:c r="AE238" s="74" t="str">
        <x:v>0.4</x:v>
      </x:c>
    </x:row>
    <x:row r="239">
      <x:c r="A239" s="90" t="str">
        <x:v>M3-CARE-235</x:v>
      </x:c>
      <x:c r="B239" s="90" t="str">
        <x:v>SO17 双通道标准模板｜功能分工清楚</x:v>
      </x:c>
      <x:c r="C239" s="90" t="str">
        <x:v>L6 评分、置信与报告</x:v>
      </x:c>
      <x:c r="D239" s="90" t="str">
        <x:v>CARE-合成输出</x:v>
      </x:c>
      <x:c r="E239" s="90" t="str">
        <x:v>通用</x:v>
      </x:c>
      <x:c r="F239" s="90" t="str">
        <x:v>输出</x:v>
      </x:c>
      <x:c r="G239" s="74" t="str">
        <x:v>SO17 双通道标准模板｜功能分工清楚</x:v>
      </x:c>
      <x:c r="H239" s="74" t="str"/>
      <x:c r="I239" s="74" t="str">
        <x:v>CP11双通道成立，两个通道来源独立且功能不同。</x:v>
      </x:c>
      <x:c r="J239" s="74" t="str">
        <x:v>未完成source_id去重；关键基础停止；越过M3-CARE边界。</x:v>
      </x:c>
      <x:c r="K239" s="74" t="str">
        <x:v>由共享基础引擎与M3-STATE修正</x:v>
      </x:c>
      <x:c r="L239" s="74" t="str">
        <x:v>不限定；夫妻星仅在形成独立CARE证据或入宫接口时参与</x:v>
      </x:c>
      <x:c r="M239" s="74" t="str">
        <x:v>由M3-BASE、日支结构及共享引擎提供</x:v>
      </x:c>
      <x:c r="N239" s="74" t="str">
        <x:v>无／待CARE路径规则组合</x:v>
      </x:c>
      <x:c r="O239" s="74" t="str">
        <x:v>全局有效信号；日柱及亲密关系近位优先</x:v>
      </x:c>
      <x:c r="P239" s="74" t="str">
        <x:v>由共享基础引擎判定</x:v>
      </x:c>
      <x:c r="Q239" s="74" t="str">
        <x:v>由共享基础引擎判定</x:v>
      </x:c>
      <x:c r="R239" s="74" t="str">
        <x:v>喜忌不直接等于愿不愿付出；只修正调用顺畅度与资源压力</x:v>
      </x:c>
      <x:c r="S239" s="74" t="str">
        <x:v>原十神性质有效；真合化成立时按化神路由</x:v>
      </x:c>
      <x:c r="T239" s="74" t="str">
        <x:v>由共享基础引擎判定</x:v>
      </x:c>
      <x:c r="U239" s="74" t="str">
        <x:v>65</x:v>
      </x:c>
      <x:c r="V239" s="74" t="str">
        <x:v>不加分；模板</x:v>
      </x:c>
      <x:c r="W239" s="74" t="str">
        <x:v>report_template</x:v>
      </x:c>
      <x:c r="X239" s="74" t="str">
        <x:v>模板：你主要用【A】完成【功能一】，同时用【B】补充【功能二】。A更常在【情境】启动，B负责【落实／承接／回馈】。</x:v>
      </x:c>
      <x:c r="Y239" s="74" t="str">
        <x:v>你主要用【A】完成【功能一】，同时用【B】补充【功能二】。A更常在【情境】启动，B负责【落实／承接／回馈】。</x:v>
      </x:c>
      <x:c r="Z239" s="74" t="str">
        <x:v>不得由本规则直接推出过度付出、付出失衡、依赖、控制、忠诚度、关系结果或适配度；不得把某种照顾方式等同于爱得更多或更少。</x:v>
      </x:c>
      <x:c r="AA239" s="74" t="str">
        <x:v>高</x:v>
      </x:c>
      <x:c r="AB239" s="74" t="str">
        <x:v>待验证</x:v>
      </x:c>
      <x:c r="AC239" s="74" t="str"/>
      <x:c r="AD239" s="74" t="str">
        <x:v>provisional=true; synthesis=SO17</x:v>
      </x:c>
      <x:c r="AE239" s="74" t="str">
        <x:v>0.4</x:v>
      </x:c>
    </x:row>
    <x:row r="240">
      <x:c r="A240" s="90" t="str">
        <x:v>M3-CARE-236</x:v>
      </x:c>
      <x:c r="B240" s="90" t="str">
        <x:v>SO18 低置信／停止模板｜说明不确定原因</x:v>
      </x:c>
      <x:c r="C240" s="90" t="str">
        <x:v>L6 评分、置信与报告</x:v>
      </x:c>
      <x:c r="D240" s="90" t="str">
        <x:v>CARE-合成输出</x:v>
      </x:c>
      <x:c r="E240" s="90" t="str">
        <x:v>通用</x:v>
      </x:c>
      <x:c r="F240" s="90" t="str">
        <x:v>输出</x:v>
      </x:c>
      <x:c r="G240" s="74" t="str">
        <x:v>SO18 低置信／停止模板｜说明不确定原因</x:v>
      </x:c>
      <x:c r="H240" s="74" t="str"/>
      <x:c r="I240" s="74" t="str">
        <x:v>主通道未达门槛、真合化未定或关键基础冲突。</x:v>
      </x:c>
      <x:c r="J240" s="74" t="str">
        <x:v>未完成source_id去重；关键基础停止；越过M3-CARE边界。</x:v>
      </x:c>
      <x:c r="K240" s="74" t="str">
        <x:v>由共享基础引擎与M3-STATE修正</x:v>
      </x:c>
      <x:c r="L240" s="74" t="str">
        <x:v>不限定；夫妻星仅在形成独立CARE证据或入宫接口时参与</x:v>
      </x:c>
      <x:c r="M240" s="74" t="str">
        <x:v>由M3-BASE、日支结构及共享引擎提供</x:v>
      </x:c>
      <x:c r="N240" s="74" t="str">
        <x:v>无／待CARE路径规则组合</x:v>
      </x:c>
      <x:c r="O240" s="74" t="str">
        <x:v>全局有效信号；日柱及亲密关系近位优先</x:v>
      </x:c>
      <x:c r="P240" s="74" t="str">
        <x:v>由共享基础引擎判定</x:v>
      </x:c>
      <x:c r="Q240" s="74" t="str">
        <x:v>由共享基础引擎判定</x:v>
      </x:c>
      <x:c r="R240" s="74" t="str">
        <x:v>喜忌不直接等于愿不愿付出；只修正调用顺畅度与资源压力</x:v>
      </x:c>
      <x:c r="S240" s="74" t="str">
        <x:v>原十神性质有效；真合化成立时按化神路由</x:v>
      </x:c>
      <x:c r="T240" s="74" t="str">
        <x:v>由共享基础引擎判定</x:v>
      </x:c>
      <x:c r="U240" s="74" t="str">
        <x:v>65</x:v>
      </x:c>
      <x:c r="V240" s="74" t="str">
        <x:v>不加分；模板</x:v>
      </x:c>
      <x:c r="W240" s="74" t="str">
        <x:v>report_template</x:v>
      </x:c>
      <x:c r="X240" s="74" t="str">
        <x:v>模板：目前只能判断你可能更偏向【五系统方向】，但【关键不确定原因】仍会改变具体付出与接受支持的方式，因此不宜写成固定结论。</x:v>
      </x:c>
      <x:c r="Y240" s="74" t="str">
        <x:v>目前只能判断你可能更偏向【五系统方向】，但【关键不确定原因】仍会改变具体付出与接受支持的方式，因此不宜写成固定结论。</x:v>
      </x:c>
      <x:c r="Z240" s="74" t="str">
        <x:v>不得由本规则直接推出过度付出、付出失衡、依赖、控制、忠诚度、关系结果或适配度；不得把某种照顾方式等同于爱得更多或更少。</x:v>
      </x:c>
      <x:c r="AA240" s="74" t="str">
        <x:v>高</x:v>
      </x:c>
      <x:c r="AB240" s="74" t="str">
        <x:v>待验证</x:v>
      </x:c>
      <x:c r="AC240" s="74" t="str"/>
      <x:c r="AD240" s="74" t="str">
        <x:v>provisional=true; synthesis=SO18</x:v>
      </x:c>
      <x:c r="AE240" s="74" t="str">
        <x:v>0.4</x:v>
      </x:c>
    </x:row>
  </x:sheetData>
  <x:mergeCells>
    <x:mergeCell ref="A1:AE1"/>
    <x:mergeCell ref="A2:AE2"/>
  </x:mergeCells>
  <x:conditionalFormatting sqref="AB5:AB240">
    <x:cfRule type="expression" dxfId="0" priority="1">
      <x:formula>AB5="已验证"</x:formula>
    </x:cfRule>
    <x:cfRule type="expression" dxfId="1" priority="2">
      <x:formula>AB5="需修改"</x:formula>
    </x:cfRule>
    <x:cfRule type="expression" dxfId="2" priority="3">
      <x:formula>AB5="停用"</x:formula>
    </x:cfRule>
  </x:conditionalFormatting>
  <x:conditionalFormatting sqref="AA5:AA240">
    <x:cfRule type="expression" dxfId="3" priority="4">
      <x:formula>AA5="高"</x:formula>
    </x:cfRule>
    <x:cfRule type="expression" dxfId="4" priority="5">
      <x:formula>AA5="中低"</x:formula>
    </x:cfRule>
    <x:cfRule type="expression" dxfId="5" priority="6">
      <x:formula>AA5="低"</x:formula>
    </x:cfRule>
  </x:conditionalFormatting>
  <x:dataValidations count="2">
    <x:dataValidation type="list" sqref="AA5:AA240">
      <x:formula1>"高,中高,中,中低,低,停止"</x:formula1>
    </x:dataValidation>
    <x:dataValidation type="list" sqref="AB5:AB240">
      <x:formula1>"待验证,已验证,需修改,停用"</x:formula1>
    </x:dataValidation>
  </x:dataValidations>
  <x:pageMargins left="0.7" right="0.7" top="0.75" bottom="0.75" header="0.3" footer="0.3"/>
  <x:tableParts count="1">
    <x:tablePart xmlns:r="http://schemas.openxmlformats.org/officeDocument/2006/relationships" r:id="R83a7f5c51ce647d4"/>
  </x:tableParts>
</x:worksheet>
</file>

<file path=xl/worksheets/sheet8.xml><?xml version="1.0" encoding="utf-8"?>
<x:worksheet xmlns:x="http://schemas.openxmlformats.org/spreadsheetml/2006/main">
  <x:sheetFormatPr defaultRowHeight="15"/>
  <x:cols>
    <x:col min="1" max="1" width="15" hidden="0" customWidth="1"/>
    <x:col min="2" max="2" width="16" hidden="0" customWidth="1"/>
    <x:col min="3" max="3" width="34" hidden="0" customWidth="1"/>
    <x:col min="4" max="4" width="38" hidden="0" customWidth="1"/>
    <x:col min="5" max="5" width="38" hidden="0" customWidth="1"/>
    <x:col min="6" max="6" width="38" hidden="0" customWidth="1"/>
    <x:col min="7" max="7" width="42" hidden="0" customWidth="1"/>
    <x:col min="8" max="8" width="22" hidden="0" customWidth="1"/>
    <x:col min="9" max="9" width="10" hidden="0" customWidth="1"/>
  </x:cols>
  <x:sheetData>
    <x:row r="1" ht="30" customHeight="1">
      <x:c r="A1" s="5" t="str">
        <x:v>输出前门控、停止与禁止越界</x:v>
      </x:c>
      <x:c r="B1" s="5"/>
      <x:c r="C1" s="5"/>
      <x:c r="D1" s="5"/>
      <x:c r="E1" s="5"/>
      <x:c r="F1" s="5"/>
      <x:c r="G1" s="5"/>
      <x:c r="H1" s="5"/>
      <x:c r="I1" s="5"/>
    </x:row>
    <x:row r="2" ht="32" customHeight="1">
      <x:c r="A2" s="13" t="str">
        <x:v>任何一个案例在生成用户语言前，都必须检查基础可靠性、同源去重、模块边界和停止规则。</x:v>
      </x:c>
      <x:c r="B2" s="13"/>
      <x:c r="C2" s="13"/>
      <x:c r="D2" s="13"/>
      <x:c r="E2" s="13"/>
      <x:c r="F2" s="13"/>
      <x:c r="G2" s="13"/>
      <x:c r="H2" s="13"/>
      <x:c r="I2" s="13"/>
    </x:row>
    <x:row r="3" ht="8" customHeight="1"/>
    <x:row r="4" ht="28" customHeight="1">
      <x:c r="A4" s="50" t="str">
        <x:v>规则ID</x:v>
      </x:c>
      <x:c r="B4" s="50" t="str">
        <x:v>类别</x:v>
      </x:c>
      <x:c r="C4" s="50" t="str">
        <x:v>规则名称</x:v>
      </x:c>
      <x:c r="D4" s="50" t="str">
        <x:v>触发条件</x:v>
      </x:c>
      <x:c r="E4" s="50" t="str">
        <x:v>正确处理</x:v>
      </x:c>
      <x:c r="F4" s="50" t="str">
        <x:v>用户表达</x:v>
      </x:c>
      <x:c r="G4" s="50" t="str">
        <x:v>禁止推断</x:v>
      </x:c>
      <x:c r="H4" s="50" t="str">
        <x:v>输出字段</x:v>
      </x:c>
      <x:c r="I4" s="50" t="str">
        <x:v>置信</x:v>
      </x:c>
    </x:row>
    <x:row r="5" ht="54" customHeight="1">
      <x:c r="A5" s="58" t="str">
        <x:v>M3-CARE-001</x:v>
      </x:c>
      <x:c r="B5" s="58" t="str">
        <x:v>定义</x:v>
      </x:c>
      <x:c r="C5" s="58" t="str">
        <x:v>M3-CARE正式定义｜关系建立后的付出与支持交换</x:v>
      </x:c>
      <x:c r="D5" s="58" t="str">
        <x:v>M3-CARE模块已被调用；分析对象为关系建立后的日常投入、照顾、请求支持、接受支持与回馈。</x:v>
      </x:c>
      <x:c r="E5" s="58" t="str">
        <x:v>M3-CARE描述用户怎样把时间、精力、资源、责任、陪伴和理解投入关系，并怎样接收与回馈支持。</x:v>
      </x:c>
      <x:c r="F5" s="58" t="str">
        <x:v>模型三这一部分关注的不是你爱得多不多，而是你通常用什么内容、怎样的频率和怎样的交换方式照顾关系。</x:v>
      </x:c>
      <x:c r="G5" s="58" t="str">
        <x:v>不得由本规则直接推出过度付出、付出失衡、依赖、控制、忠诚度、关系结果或适配度；不得把某种照顾方式等同于爱得更多或更少。</x:v>
      </x:c>
      <x:c r="H5" s="58" t="str">
        <x:v>report_status</x:v>
      </x:c>
      <x:c r="I5" s="58" t="str">
        <x:v>高</x:v>
      </x:c>
    </x:row>
    <x:row r="6" ht="54" customHeight="1">
      <x:c r="A6" s="92" t="str">
        <x:v>M3-CARE-002</x:v>
      </x:c>
      <x:c r="B6" s="92" t="str">
        <x:v>边界</x:v>
      </x:c>
      <x:c r="C6" s="92" t="str">
        <x:v>M3-CARE核心问题｜付出方式而非付出好坏</x:v>
      </x:c>
      <x:c r="D6" s="92" t="str">
        <x:v>需要判断投入内容、启动方式、连续性、请求支持、接受支持或回馈方式。</x:v>
      </x:c>
      <x:c r="E6" s="92" t="str">
        <x:v>付出存在内容、显隐、连续性和交换结构差异；本模块不把任何一种方式直接评为成熟、无私、自私或有问题。</x:v>
      </x:c>
      <x:c r="F6" s="92" t="str">
        <x:v>这里先说明你通常怎样付出、怎样接受帮助，不把它简单评成多或少、好或坏。</x:v>
      </x:c>
      <x:c r="G6" s="92" t="str">
        <x:v>不得由本规则直接推出过度付出、付出失衡、依赖、控制、忠诚度、关系结果或适配度；不得把某种照顾方式等同于爱得更多或更少。</x:v>
      </x:c>
      <x:c r="H6" s="92" t="str">
        <x:v>boundary_note</x:v>
      </x:c>
      <x:c r="I6" s="92" t="str">
        <x:v>高</x:v>
      </x:c>
    </x:row>
    <x:row r="7" ht="54" customHeight="1">
      <x:c r="A7" s="58" t="str">
        <x:v>M3-CARE-003</x:v>
      </x:c>
      <x:c r="B7" s="58" t="str">
        <x:v>输入门控</x:v>
      </x:c>
      <x:c r="C7" s="58" t="str">
        <x:v>M3-CARE标准输入｜共享基础引擎</x:v>
      </x:c>
      <x:c r="D7" s="58" t="str">
        <x:v>排盘、十神、日支藏干、透藏、根气、旺弱、喜忌、合化、有效流向和source_id已由共享引擎提供。</x:v>
      </x:c>
      <x:c r="E7" s="58" t="str">
        <x:v>M3-CARE不重新排盘或独立裁定旺衰合化，只把可靠基础事实翻译为支持交换行为。</x:v>
      </x:c>
      <x:c r="F7" s="58" t="str">
        <x:v>基础信息有争议时，会保留不确定性，而不会把一项弱远信号写成固定的付出模式。</x:v>
      </x:c>
      <x:c r="G7" s="58" t="str">
        <x:v>不得由本规则直接推出过度付出、付出失衡、依赖、控制、忠诚度、关系结果或适配度；不得把某种照顾方式等同于爱得更多或更少。</x:v>
      </x:c>
      <x:c r="H7" s="58" t="str">
        <x:v>report_status</x:v>
      </x:c>
      <x:c r="I7" s="58" t="str">
        <x:v>高</x:v>
      </x:c>
    </x:row>
    <x:row r="8" ht="54" customHeight="1">
      <x:c r="A8" s="62" t="str">
        <x:v>M3-CARE-004</x:v>
      </x:c>
      <x:c r="B8" s="62" t="str">
        <x:v>输出合同</x:v>
      </x:c>
      <x:c r="C8" s="62" t="str">
        <x:v>M3-CARE标准输出｜十二个CARE字段</x:v>
      </x:c>
      <x:c r="D8" s="62" t="str">
        <x:v>至少一项有效CARE信号成立，且关键基础字段未停止。</x:v>
      </x:c>
      <x:c r="E8" s="62" t="str">
        <x:v>输出主CARE通道、次通道、付出内容、投入启动、连续性、请求支持、接受支持、回馈结构、资源边界、状态切换、CARE路径和置信度。</x:v>
      </x:c>
      <x:c r="F8" s="62" t="str">
        <x:v>最终会回答：你主要怎样照顾关系、什么时候会投入、怎样接受帮助，以及双方支持怎样形成来回。</x:v>
      </x:c>
      <x:c r="G8" s="62" t="str">
        <x:v>不得由本规则直接推出过度付出、付出失衡、依赖、控制、忠诚度、关系结果或适配度；不得把某种照顾方式等同于爱得更多或更少。</x:v>
      </x:c>
      <x:c r="H8" s="62" t="str">
        <x:v>boundary_note</x:v>
      </x:c>
      <x:c r="I8" s="62" t="str">
        <x:v>中高</x:v>
      </x:c>
    </x:row>
    <x:row r="9" ht="54" customHeight="1">
      <x:c r="A9" s="92" t="str">
        <x:v>M3-CARE-005</x:v>
      </x:c>
      <x:c r="B9" s="92" t="str">
        <x:v>跨模型边界</x:v>
      </x:c>
      <x:c r="C9" s="92" t="str">
        <x:v>M1边界｜心动偏好不等于照顾方式</x:v>
      </x:c>
      <x:c r="D9" s="92" t="str">
        <x:v>M1心动偏好与M3-CARE信号同时可见。</x:v>
      </x:c>
      <x:c r="E9" s="92" t="str">
        <x:v>被什么特质吸引与进入关系后怎样投入是不同字段；M1只能用于比较，不给CARE通道加基础分。</x:v>
      </x:c>
      <x:c r="F9" s="92" t="str">
        <x:v>让你心动的特质，未必就是你照顾关系时使用的方式，两者会分开判断。</x:v>
      </x:c>
      <x:c r="G9" s="92" t="str">
        <x:v>不得由本规则直接推出过度付出、付出失衡、依赖、控制、忠诚度、关系结果或适配度；不得把某种照顾方式等同于爱得更多或更少。</x:v>
      </x:c>
      <x:c r="H9" s="92" t="str">
        <x:v>boundary_note</x:v>
      </x:c>
      <x:c r="I9" s="92" t="str">
        <x:v>高</x:v>
      </x:c>
    </x:row>
    <x:row r="10" ht="54" customHeight="1">
      <x:c r="A10" s="92" t="str">
        <x:v>M3-CARE-006</x:v>
      </x:c>
      <x:c r="B10" s="92" t="str">
        <x:v>跨模型边界</x:v>
      </x:c>
      <x:c r="C10" s="92" t="str">
        <x:v>M2边界｜准入条件不等于长期投入</x:v>
      </x:c>
      <x:c r="D10" s="92" t="str">
        <x:v>M2关系门槛或资格证据与M3-CARE信号同时出现。</x:v>
      </x:c>
      <x:c r="E10" s="92" t="str">
        <x:v>选择一个人时看重的条件，只有在M3中有独立证据时，才能写成关系建立后的投入习惯。</x:v>
      </x:c>
      <x:c r="F10" s="92" t="str">
        <x:v>你选择关系时看重的责任、行动或投入，可能延续到相处中，也可能只是一道准入标准。</x:v>
      </x:c>
      <x:c r="G10" s="92" t="str">
        <x:v>不得由本规则直接推出过度付出、付出失衡、依赖、控制、忠诚度、关系结果或适配度；不得把某种照顾方式等同于爱得更多或更少。</x:v>
      </x:c>
      <x:c r="H10" s="92" t="str">
        <x:v>boundary_note</x:v>
      </x:c>
      <x:c r="I10" s="92" t="str">
        <x:v>高</x:v>
      </x:c>
    </x:row>
    <x:row r="11" ht="54" customHeight="1">
      <x:c r="A11" s="92" t="str">
        <x:v>M3-CARE-007</x:v>
      </x:c>
      <x:c r="B11" s="92" t="str">
        <x:v>模块边界</x:v>
      </x:c>
      <x:c r="C11" s="92" t="str">
        <x:v>M3-BASE接口｜底盘说明主题，CARE说明支持行为</x:v>
      </x:c>
      <x:c r="D11" s="92" t="str">
        <x:v>M3-BASE与M3-CARE读取同一日支或同一有效十神。</x:v>
      </x:c>
      <x:c r="E11" s="92" t="str">
        <x:v>BASE回答关系自然围绕什么主题运行；CARE回答时间、资源、责任和情绪支持怎样实际交换。</x:v>
      </x:c>
      <x:c r="F11" s="92" t="str">
        <x:v>同一个关系底盘可以在CARE中细化为具体付出，但基础证据只计算一次。</x:v>
      </x:c>
      <x:c r="G11" s="92" t="str">
        <x:v>不得由本规则直接推出过度付出、付出失衡、依赖、控制、忠诚度、关系结果或适配度；不得把某种照顾方式等同于爱得更多或更少。</x:v>
      </x:c>
      <x:c r="H11" s="92" t="str">
        <x:v>boundary_note</x:v>
      </x:c>
      <x:c r="I11" s="92" t="str">
        <x:v>高</x:v>
      </x:c>
    </x:row>
    <x:row r="12" ht="54" customHeight="1">
      <x:c r="A12" s="92" t="str">
        <x:v>M3-CARE-008</x:v>
      </x:c>
      <x:c r="B12" s="92" t="str">
        <x:v>模块边界</x:v>
      </x:c>
      <x:c r="C12" s="92" t="str">
        <x:v>M3-EXPR边界｜行动表达不等于持续投入</x:v>
      </x:c>
      <x:c r="D12" s="92" t="str">
        <x:v>EXPR识别行动、安排、倾听或承担为表达通道。</x:v>
      </x:c>
      <x:c r="E12" s="92" t="str">
        <x:v>EXPR只说明用户怎样让对方看见在意；CARE必须继续判断是否重复、持续、可请求、可接受和可回馈。</x:v>
      </x:c>
      <x:c r="F12" s="92" t="str">
        <x:v>你可能会用行动表达态度，但这种行动是否稳定、怎样分工和怎样形成互相支持，需要在CARE里另行判断。</x:v>
      </x:c>
      <x:c r="G12" s="92" t="str">
        <x:v>不得由本规则直接推出过度付出、付出失衡、依赖、控制、忠诚度、关系结果或适配度；不得把某种照顾方式等同于爱得更多或更少。</x:v>
      </x:c>
      <x:c r="H12" s="92" t="str">
        <x:v>boundary_note</x:v>
      </x:c>
      <x:c r="I12" s="92" t="str">
        <x:v>高</x:v>
      </x:c>
    </x:row>
    <x:row r="13" ht="54" customHeight="1">
      <x:c r="A13" s="92" t="str">
        <x:v>M3-CARE-009</x:v>
      </x:c>
      <x:c r="B13" s="92" t="str">
        <x:v>模块边界</x:v>
      </x:c>
      <x:c r="C13" s="92" t="str">
        <x:v>M3-BOUND边界｜付出数量不等于边界状态</x:v>
      </x:c>
      <x:c r="D13" s="92" t="str">
        <x:v>CARE识别付出、资源投入或接受支持。</x:v>
      </x:c>
      <x:c r="E13" s="92" t="str">
        <x:v>投入多、投入少、愿意接受帮助，都不能直接推出边界清楚或边界薄弱；资源权限和亲密距离交给BOUND。</x:v>
      </x:c>
      <x:c r="F13" s="92" t="str">
        <x:v>付出的多少不能单独说明你有没有边界，接受帮助也不等于依赖。</x:v>
      </x:c>
      <x:c r="G13" s="92" t="str">
        <x:v>不得由本规则直接推出过度付出、付出失衡、依赖、控制、忠诚度、关系结果或适配度；不得把某种照顾方式等同于爱得更多或更少。</x:v>
      </x:c>
      <x:c r="H13" s="92" t="str">
        <x:v>boundary_note</x:v>
      </x:c>
      <x:c r="I13" s="92" t="str">
        <x:v>高</x:v>
      </x:c>
    </x:row>
    <x:row r="14" ht="54" customHeight="1">
      <x:c r="A14" s="92" t="str">
        <x:v>M3-CARE-010</x:v>
      </x:c>
      <x:c r="B14" s="92" t="str">
        <x:v>模块边界</x:v>
      </x:c>
      <x:c r="C14" s="92" t="str">
        <x:v>M3-CONFLICT边界｜危机行动不等于冲突方式</x:v>
      </x:c>
      <x:c r="D14" s="92" t="str">
        <x:v>七杀、官杀或行动型CARE信号在困难情境中被识别。</x:v>
      </x:c>
      <x:c r="E14" s="92" t="str">
        <x:v>关键时刻解决问题可以是支持方式，但分歧时是否压迫、回避或争执必须由CONFLICT独立判断。</x:v>
      </x:c>
      <x:c r="F14" s="92" t="str">
        <x:v>遇到事情先处理问题，是一种支持顺序，不等于你发生分歧时一定强硬或控制。</x:v>
      </x:c>
      <x:c r="G14" s="92" t="str">
        <x:v>不得由本规则直接推出过度付出、付出失衡、依赖、控制、忠诚度、关系结果或适配度；不得把某种照顾方式等同于爱得更多或更少。</x:v>
      </x:c>
      <x:c r="H14" s="92" t="str">
        <x:v>boundary_note</x:v>
      </x:c>
      <x:c r="I14" s="92" t="str">
        <x:v>高</x:v>
      </x:c>
    </x:row>
    <x:row r="15" ht="54" customHeight="1">
      <x:c r="A15" s="92" t="str">
        <x:v>M3-CARE-011</x:v>
      </x:c>
      <x:c r="B15" s="92" t="str">
        <x:v>模块边界</x:v>
      </x:c>
      <x:c r="C15" s="92" t="str">
        <x:v>M3-REPAIR边界｜安抚照顾不自动等于修复路径</x:v>
      </x:c>
      <x:c r="D15" s="92" t="str">
        <x:v>食神、印星或实际照顾在关系紧张后出现。</x:v>
      </x:c>
      <x:c r="E15" s="92" t="str">
        <x:v>CARE说明日常支持资源；只有紧张后重新联结的独立证据，才能进入REPAIR。</x:v>
      </x:c>
      <x:c r="F15" s="92" t="str">
        <x:v>你平时会倾听或照顾，不代表每次矛盾后都用同样方式修复关系。</x:v>
      </x:c>
      <x:c r="G15" s="92" t="str">
        <x:v>不得由本规则直接推出过度付出、付出失衡、依赖、控制、忠诚度、关系结果或适配度；不得把某种照顾方式等同于爱得更多或更少。</x:v>
      </x:c>
      <x:c r="H15" s="92" t="str">
        <x:v>boundary_note</x:v>
      </x:c>
      <x:c r="I15" s="92" t="str">
        <x:v>高</x:v>
      </x:c>
    </x:row>
    <x:row r="16" ht="54" customHeight="1">
      <x:c r="A16" s="92" t="str">
        <x:v>M3-CARE-012</x:v>
      </x:c>
      <x:c r="B16" s="92" t="str">
        <x:v>模块边界</x:v>
      </x:c>
      <x:c r="C16" s="92" t="str">
        <x:v>M3-STATE边界｜平稳CARE与压力CARE分开</x:v>
      </x:c>
      <x:c r="D16" s="92" t="str">
        <x:v>同一用户在平稳和压力情境出现不同CARE通道。</x:v>
      </x:c>
      <x:c r="E16" s="92" t="str">
        <x:v>CARE先给出平稳状态的主通道；压力抢占、恢复回归由STATE组合，不能用一次极端事件替代日常模式。</x:v>
      </x:c>
      <x:c r="F16" s="92" t="str">
        <x:v>平时怎样照顾关系，和压力很大时先做什么，可能不是同一个通道。</x:v>
      </x:c>
      <x:c r="G16" s="92" t="str">
        <x:v>不得由本规则直接推出过度付出、付出失衡、依赖、控制、忠诚度、关系结果或适配度；不得把某种照顾方式等同于爱得更多或更少。</x:v>
      </x:c>
      <x:c r="H16" s="92" t="str">
        <x:v>boundary_note</x:v>
      </x:c>
      <x:c r="I16" s="92" t="str">
        <x:v>高</x:v>
      </x:c>
    </x:row>
    <x:row r="17" ht="54" customHeight="1">
      <x:c r="A17" s="92" t="str">
        <x:v>M3-CARE-013</x:v>
      </x:c>
      <x:c r="B17" s="92" t="str">
        <x:v>跨模型边界</x:v>
      </x:c>
      <x:c r="C17" s="92" t="str">
        <x:v>M4边界｜付出失衡与耗竭属于风险模型</x:v>
      </x:c>
      <x:c r="D17" s="92" t="str">
        <x:v>出现过旺、无制、单向可见或资源压力候选。</x:v>
      </x:c>
      <x:c r="E17" s="92" t="str">
        <x:v>CARE只能描述某类支持通道调用强、交换反馈不清或资源边界需要继续观察；是否形成耗竭、失衡或控制交给M4。</x:v>
      </x:c>
      <x:c r="F17" s="92" t="str">
        <x:v>这里可以提示某种付出方式很容易占据关系，但不能直接说你会过度付出或被消耗。</x:v>
      </x:c>
      <x:c r="G17" s="92" t="str">
        <x:v>不得由本规则直接推出过度付出、付出失衡、依赖、控制、忠诚度、关系结果或适配度；不得把某种照顾方式等同于爱得更多或更少。</x:v>
      </x:c>
      <x:c r="H17" s="92" t="str">
        <x:v>boundary_note</x:v>
      </x:c>
      <x:c r="I17" s="92" t="str">
        <x:v>高</x:v>
      </x:c>
    </x:row>
    <x:row r="18" ht="54" customHeight="1">
      <x:c r="A18" s="92" t="str">
        <x:v>M3-CARE-014</x:v>
      </x:c>
      <x:c r="B18" s="92" t="str">
        <x:v>跨模型边界</x:v>
      </x:c>
      <x:c r="C18" s="92" t="str">
        <x:v>M5边界｜常用照顾方式不等于最适配方式</x:v>
      </x:c>
      <x:c r="D18" s="92" t="str">
        <x:v>M3-CARE与适配问题同时被询问。</x:v>
      </x:c>
      <x:c r="E18" s="92" t="str">
        <x:v>用户常用的支持方式，不自动等于对方最需要或长期最合适的交换结构；适配由M5判断。</x:v>
      </x:c>
      <x:c r="F18" s="92" t="str">
        <x:v>你习惯怎样照顾人，和什么样的支持交换最适合你，是两个不同问题。</x:v>
      </x:c>
      <x:c r="G18" s="92" t="str">
        <x:v>不得由本规则直接推出过度付出、付出失衡、依赖、控制、忠诚度、关系结果或适配度；不得把某种照顾方式等同于爱得更多或更少。</x:v>
      </x:c>
      <x:c r="H18" s="92" t="str">
        <x:v>boundary_note</x:v>
      </x:c>
      <x:c r="I18" s="92" t="str">
        <x:v>高</x:v>
      </x:c>
    </x:row>
    <x:row r="19" ht="54" customHeight="1">
      <x:c r="A19" s="92" t="str">
        <x:v>M3-CARE-015</x:v>
      </x:c>
      <x:c r="B19" s="92" t="str">
        <x:v>定义边界</x:v>
      </x:c>
      <x:c r="C19" s="92" t="str">
        <x:v>给予与接受必须分栏</x:v>
      </x:c>
      <x:c r="D19" s="92" t="str">
        <x:v>至少一项给予或接受支持的证据成立。</x:v>
      </x:c>
      <x:c r="E19" s="92" t="str">
        <x:v>同一十神可以影响给予和接受，但两个方向不能互相代替；报告必须分别保留。</x:v>
      </x:c>
      <x:c r="F19" s="92" t="str">
        <x:v>你怎样帮助对方，以及你怎样接受对方帮助，会分开说明。</x:v>
      </x:c>
      <x:c r="G19" s="92" t="str">
        <x:v>不得由本规则直接推出过度付出、付出失衡、依赖、控制、忠诚度、关系结果或适配度；不得把某种照顾方式等同于爱得更多或更少。</x:v>
      </x:c>
      <x:c r="H19" s="92" t="str">
        <x:v>boundary_note</x:v>
      </x:c>
      <x:c r="I19" s="92" t="str">
        <x:v>高</x:v>
      </x:c>
    </x:row>
    <x:row r="20" ht="54" customHeight="1">
      <x:c r="A20" s="92" t="str">
        <x:v>M3-CARE-016</x:v>
      </x:c>
      <x:c r="B20" s="92" t="str">
        <x:v>定义边界</x:v>
      </x:c>
      <x:c r="C20" s="92" t="str">
        <x:v>付出可见度不等于付出量</x:v>
      </x:c>
      <x:c r="D20" s="92" t="str">
        <x:v>存在透藏、行动、语言或隐性支持差异。</x:v>
      </x:c>
      <x:c r="E20" s="92" t="str">
        <x:v>可见度只说明对方是否容易注意到支持，不说明实际投入总量。</x:v>
      </x:c>
      <x:c r="F20" s="92" t="str">
        <x:v>有些付出很容易被看见，有些藏在安排、观察或长期坚持里；看不见不等于没有。</x:v>
      </x:c>
      <x:c r="G20" s="92" t="str">
        <x:v>不得由本规则直接推出过度付出、付出失衡、依赖、控制、忠诚度、关系结果或适配度；不得把某种照顾方式等同于爱得更多或更少。</x:v>
      </x:c>
      <x:c r="H20" s="92" t="str">
        <x:v>boundary_note</x:v>
      </x:c>
      <x:c r="I20" s="92" t="str">
        <x:v>高</x:v>
      </x:c>
    </x:row>
    <x:row r="21" ht="54" customHeight="1">
      <x:c r="A21" s="92" t="str">
        <x:v>M3-CARE-017</x:v>
      </x:c>
      <x:c r="B21" s="92" t="str">
        <x:v>定义边界</x:v>
      </x:c>
      <x:c r="C21" s="92" t="str">
        <x:v>主动付出与回应式付出不分高低</x:v>
      </x:c>
      <x:c r="D21" s="92" t="str">
        <x:v>需要判断支持由谁启动。</x:v>
      </x:c>
      <x:c r="E21" s="92" t="str">
        <x:v>主动、回应、共同启动或条件启动只是交换方向，不代表主动者爱得更多、回应者更被动。</x:v>
      </x:c>
      <x:c r="F21" s="92" t="str">
        <x:v>你可能先主动，也可能在看见明确需要后再投入；这两种方式不直接代表感情深浅。</x:v>
      </x:c>
      <x:c r="G21" s="92" t="str">
        <x:v>不得由本规则直接推出过度付出、付出失衡、依赖、控制、忠诚度、关系结果或适配度；不得把某种照顾方式等同于爱得更多或更少。</x:v>
      </x:c>
      <x:c r="H21" s="92" t="str">
        <x:v>boundary_note</x:v>
      </x:c>
      <x:c r="I21" s="92" t="str">
        <x:v>高</x:v>
      </x:c>
    </x:row>
    <x:row r="22" ht="54" customHeight="1">
      <x:c r="A22" s="92" t="str">
        <x:v>M3-CARE-018</x:v>
      </x:c>
      <x:c r="B22" s="92" t="str">
        <x:v>定义边界</x:v>
      </x:c>
      <x:c r="C22" s="92" t="str">
        <x:v>单次帮助与持续投入严格区分</x:v>
      </x:c>
      <x:c r="D22" s="92" t="str">
        <x:v>出现一次性行动、关键事件或长期重复行为。</x:v>
      </x:c>
      <x:c r="E22" s="92" t="str">
        <x:v>单次高强度行为不能自动升级为稳定CARE通道；持续性必须有根气、重复行为或多源证据。</x:v>
      </x:c>
      <x:c r="F22" s="92" t="str">
        <x:v>关键时刻帮过一次，和长期稳定投入是两种不同证据，不能混在一起。</x:v>
      </x:c>
      <x:c r="G22" s="92" t="str">
        <x:v>不得由本规则直接推出过度付出、付出失衡、依赖、控制、忠诚度、关系结果或适配度；不得把某种照顾方式等同于爱得更多或更少。</x:v>
      </x:c>
      <x:c r="H22" s="92" t="str">
        <x:v>boundary_note</x:v>
      </x:c>
      <x:c r="I22" s="92" t="str">
        <x:v>高</x:v>
      </x:c>
    </x:row>
    <x:row r="23" ht="54" customHeight="1">
      <x:c r="A23" s="58" t="str">
        <x:v>M3-CARE-019</x:v>
      </x:c>
      <x:c r="B23" s="58" t="str">
        <x:v>证据门控</x:v>
      </x:c>
      <x:c r="C23" s="58" t="str">
        <x:v>source_id独立性与同源去重</x:v>
      </x:c>
      <x:c r="D23" s="58" t="str">
        <x:v>多个模块或多条规则读取同一个命理事实。</x:v>
      </x:c>
      <x:c r="E23" s="58" t="str">
        <x:v>同一日支、同根透干、同一合化结果只形成一次基础权重；可以多角度解释，不能伪装成多项独立证据。</x:v>
      </x:c>
      <x:c r="F23" s="58" t="str">
        <x:v>同一个命盘事实即使能解释多个行为，也不会被重复计算成多份证据。</x:v>
      </x:c>
      <x:c r="G23" s="58" t="str">
        <x:v>不得由本规则直接推出过度付出、付出失衡、依赖、控制、忠诚度、关系结果或适配度；不得把某种照顾方式等同于爱得更多或更少。</x:v>
      </x:c>
      <x:c r="H23" s="58" t="str">
        <x:v>provenance</x:v>
      </x:c>
      <x:c r="I23" s="58" t="str">
        <x:v>高</x:v>
      </x:c>
    </x:row>
    <x:row r="24" ht="54" customHeight="1">
      <x:c r="A24" s="94" t="str">
        <x:v>M3-CARE-020</x:v>
      </x:c>
      <x:c r="B24" s="94" t="str">
        <x:v>停止</x:v>
      </x:c>
      <x:c r="C24" s="94" t="str">
        <x:v>停止条件｜基础不可靠时有限输出</x:v>
      </x:c>
      <x:c r="D24" s="94" t="str">
        <x:v>真合化未定、日支主气争议、旺衰严重争议、唯一信号弱远无根或关键source_id缺失。</x:v>
      </x:c>
      <x:c r="E24" s="94" t="str">
        <x:v>关键基础未定时停止固定CARE类型；最多回退到五系统层，并说明需要哪些信息。</x:v>
      </x:c>
      <x:c r="F24" s="94" t="str">
        <x:v>目前只能判断你可能偏向某一类支持系统，但具体付出方式仍受关键基础状态影响，不宜写成固定结论。</x:v>
      </x:c>
      <x:c r="G24" s="94" t="str">
        <x:v>不得由本规则直接推出过度付出、付出失衡、依赖、控制、忠诚度、关系结果或适配度；不得把某种照顾方式等同于爱得更多或更少。</x:v>
      </x:c>
      <x:c r="H24" s="94" t="str">
        <x:v>report_status</x:v>
      </x:c>
      <x:c r="I24" s="94" t="str">
        <x:v>高</x:v>
      </x:c>
    </x:row>
    <x:row r="25" ht="54" customHeight="1">
      <x:c r="A25" s="92" t="str">
        <x:v>M3-CARE-027</x:v>
      </x:c>
      <x:c r="B25" s="92" t="str">
        <x:v>禁止推断</x:v>
      </x:c>
      <x:c r="C25" s="92" t="str">
        <x:v>比肩禁止误读｜并肩互助边界</x:v>
      </x:c>
      <x:c r="D25" s="92" t="str">
        <x:v>正在把比肩CARE通道翻译为用户语言。</x:v>
      </x:c>
      <x:c r="E25" s="92" t="str">
        <x:v>比肩只提供平等参与、分工、信息共享与自主支持这一支持功能，不能越界到人格好坏、关系风险或结果。</x:v>
      </x:c>
      <x:c r="F25" s="92" t="str">
        <x:v>这里描述的是你可能更常使用的支持方式，不代表你只能这样照顾人，也不代表其他方式一定缺失。</x:v>
      </x:c>
      <x:c r="G25" s="92" t="str">
        <x:v>不得推出用户计较、冷淡、不愿照顾、凡事AA、缺乏亲密或一定拒绝依赖。</x:v>
      </x:c>
      <x:c r="H25" s="92" t="str">
        <x:v>boundary_note</x:v>
      </x:c>
      <x:c r="I25" s="92" t="str">
        <x:v>高</x:v>
      </x:c>
    </x:row>
    <x:row r="26" ht="54" customHeight="1">
      <x:c r="A26" s="92" t="str">
        <x:v>M3-CARE-034</x:v>
      </x:c>
      <x:c r="B26" s="92" t="str">
        <x:v>禁止推断</x:v>
      </x:c>
      <x:c r="C26" s="92" t="str">
        <x:v>劫财禁止误读｜即时协作边界</x:v>
      </x:c>
      <x:c r="D26" s="92" t="str">
        <x:v>正在把劫财CARE通道翻译为用户语言。</x:v>
      </x:c>
      <x:c r="E26" s="92" t="str">
        <x:v>劫财只提供即时响应、共同执行、资源动员与现场补位这一支持功能，不能越界到人格好坏、关系风险或结果。</x:v>
      </x:c>
      <x:c r="F26" s="92" t="str">
        <x:v>这里描述的是你可能更常使用的支持方式，不代表你只能这样照顾人，也不代表其他方式一定缺失。</x:v>
      </x:c>
      <x:c r="G26" s="92" t="str">
        <x:v>不得推出用户争抢、冲动花钱、爱竞争、关系中有第三者、资源一定失控或无法长期坚持。</x:v>
      </x:c>
      <x:c r="H26" s="92" t="str">
        <x:v>boundary_note</x:v>
      </x:c>
      <x:c r="I26" s="92" t="str">
        <x:v>高</x:v>
      </x:c>
    </x:row>
    <x:row r="27" ht="54" customHeight="1">
      <x:c r="A27" s="92" t="str">
        <x:v>M3-CARE-041</x:v>
      </x:c>
      <x:c r="B27" s="92" t="str">
        <x:v>禁止推断</x:v>
      </x:c>
      <x:c r="C27" s="92" t="str">
        <x:v>食神禁止误读｜舒缓照料边界</x:v>
      </x:c>
      <x:c r="D27" s="92" t="str">
        <x:v>正在把食神CARE通道翻译为用户语言。</x:v>
      </x:c>
      <x:c r="E27" s="92" t="str">
        <x:v>食神只提供陪伴、舒缓、日常照料与情绪安抚这一支持功能，不能越界到人格好坏、关系风险或结果。</x:v>
      </x:c>
      <x:c r="F27" s="92" t="str">
        <x:v>这里描述的是你可能更常使用的支持方式，不代表你只能这样照顾人，也不代表其他方式一定缺失。</x:v>
      </x:c>
      <x:c r="G27" s="92" t="str">
        <x:v>不得推出用户讨好、懒散、没有原则、只会提供情绪价值、一定擅长家务或永远情绪稳定。</x:v>
      </x:c>
      <x:c r="H27" s="92" t="str">
        <x:v>boundary_note</x:v>
      </x:c>
      <x:c r="I27" s="92" t="str">
        <x:v>高</x:v>
      </x:c>
    </x:row>
    <x:row r="28" ht="54" customHeight="1">
      <x:c r="A28" s="92" t="str">
        <x:v>M3-CARE-048</x:v>
      </x:c>
      <x:c r="B28" s="92" t="str">
        <x:v>禁止推断</x:v>
      </x:c>
      <x:c r="C28" s="92" t="str">
        <x:v>伤官禁止误读｜解题支持边界</x:v>
      </x:c>
      <x:c r="D28" s="92" t="str">
        <x:v>正在把伤官CARE通道翻译为用户语言。</x:v>
      </x:c>
      <x:c r="E28" s="92" t="str">
        <x:v>伤官只提供信息、建议、分析、技能与解决方案这一支持功能，不能越界到人格好坏、关系风险或结果。</x:v>
      </x:c>
      <x:c r="F28" s="92" t="str">
        <x:v>这里描述的是你可能更常使用的支持方式，不代表你只能这样照顾人，也不代表其他方式一定缺失。</x:v>
      </x:c>
      <x:c r="G28" s="92" t="str">
        <x:v>不得推出用户爱批评、说话伤人、只会讲道理、缺少情绪价值、一定和伴侣争辩或不尊重对方。</x:v>
      </x:c>
      <x:c r="H28" s="92" t="str">
        <x:v>boundary_note</x:v>
      </x:c>
      <x:c r="I28" s="92" t="str">
        <x:v>高</x:v>
      </x:c>
    </x:row>
    <x:row r="29" ht="54" customHeight="1">
      <x:c r="A29" s="92" t="str">
        <x:v>M3-CARE-055</x:v>
      </x:c>
      <x:c r="B29" s="92" t="str">
        <x:v>禁止推断</x:v>
      </x:c>
      <x:c r="C29" s="92" t="str">
        <x:v>正财禁止误读｜稳定投入边界</x:v>
      </x:c>
      <x:c r="D29" s="92" t="str">
        <x:v>正在把正财CARE通道翻译为用户语言。</x:v>
      </x:c>
      <x:c r="E29" s="92" t="str">
        <x:v>正财只提供时间、金钱、生活事务、持续出现与现实安排这一支持功能，不能越界到人格好坏、关系风险或结果。</x:v>
      </x:c>
      <x:c r="F29" s="92" t="str">
        <x:v>这里描述的是你可能更常使用的支持方式，不代表你只能这样照顾人，也不代表其他方式一定缺失。</x:v>
      </x:c>
      <x:c r="G29" s="92" t="str">
        <x:v>不得推出用户功利、只看金钱、精于算计、缺乏浪漫、一定顾家或必然承担全部家务。</x:v>
      </x:c>
      <x:c r="H29" s="92" t="str">
        <x:v>boundary_note</x:v>
      </x:c>
      <x:c r="I29" s="92" t="str">
        <x:v>高</x:v>
      </x:c>
    </x:row>
    <x:row r="30" ht="54" customHeight="1">
      <x:c r="A30" s="92" t="str">
        <x:v>M3-CARE-062</x:v>
      </x:c>
      <x:c r="B30" s="92" t="str">
        <x:v>禁止推断</x:v>
      </x:c>
      <x:c r="C30" s="92" t="str">
        <x:v>偏财禁止误读｜灵活馈赠边界</x:v>
      </x:c>
      <x:c r="D30" s="92" t="str">
        <x:v>正在把偏财CARE通道翻译为用户语言。</x:v>
      </x:c>
      <x:c r="E30" s="92" t="str">
        <x:v>偏财只提供灵活资源、礼物、体验、人脉与即时便利这一支持功能，不能越界到人格好坏、关系风险或结果。</x:v>
      </x:c>
      <x:c r="F30" s="92" t="str">
        <x:v>这里描述的是你可能更常使用的支持方式，不代表你只能这样照顾人，也不代表其他方式一定缺失。</x:v>
      </x:c>
      <x:c r="G30" s="92" t="str">
        <x:v>不得推出用户花心、挥霍、爱暧昧、只追求新鲜、不会负责或一定擅长社交。</x:v>
      </x:c>
      <x:c r="H30" s="92" t="str">
        <x:v>boundary_note</x:v>
      </x:c>
      <x:c r="I30" s="92" t="str">
        <x:v>高</x:v>
      </x:c>
    </x:row>
    <x:row r="31" ht="54" customHeight="1">
      <x:c r="A31" s="92" t="str">
        <x:v>M3-CARE-069</x:v>
      </x:c>
      <x:c r="B31" s="92" t="str">
        <x:v>禁止推断</x:v>
      </x:c>
      <x:c r="C31" s="92" t="str">
        <x:v>正官禁止误读｜责任承担边界</x:v>
      </x:c>
      <x:c r="D31" s="92" t="str">
        <x:v>正在把正官CARE通道翻译为用户语言。</x:v>
      </x:c>
      <x:c r="E31" s="92" t="str">
        <x:v>正官只提供承诺、守约、角色责任、分工与共同规则这一支持功能，不能越界到人格好坏、关系风险或结果。</x:v>
      </x:c>
      <x:c r="F31" s="92" t="str">
        <x:v>这里描述的是你可能更常使用的支持方式，不代表你只能这样照顾人，也不代表其他方式一定缺失。</x:v>
      </x:c>
      <x:c r="G31" s="92" t="str">
        <x:v>不得推出用户古板、爱管人、权威主义、没有情感、一定遵循传统角色或关系必然稳定。</x:v>
      </x:c>
      <x:c r="H31" s="92" t="str">
        <x:v>boundary_note</x:v>
      </x:c>
      <x:c r="I31" s="92" t="str">
        <x:v>高</x:v>
      </x:c>
    </x:row>
    <x:row r="32" ht="54" customHeight="1">
      <x:c r="A32" s="92" t="str">
        <x:v>M3-CARE-076</x:v>
      </x:c>
      <x:c r="B32" s="92" t="str">
        <x:v>禁止推断</x:v>
      </x:c>
      <x:c r="C32" s="92" t="str">
        <x:v>七杀禁止误读｜行动保护边界</x:v>
      </x:c>
      <x:c r="D32" s="92" t="str">
        <x:v>正在把七杀CARE通道翻译为用户语言。</x:v>
      </x:c>
      <x:c r="E32" s="92" t="str">
        <x:v>七杀只提供危机处理、保护、决断、推进与高压任务承担这一支持功能，不能越界到人格好坏、关系风险或结果。</x:v>
      </x:c>
      <x:c r="F32" s="92" t="str">
        <x:v>这里描述的是你可能更常使用的支持方式，不代表你只能这样照顾人，也不代表其他方式一定缺失。</x:v>
      </x:c>
      <x:c r="G32" s="92" t="str">
        <x:v>不得推出用户暴力、强迫、控制欲强、情绪粗暴、一定替对方做决定或关系存在危险。</x:v>
      </x:c>
      <x:c r="H32" s="92" t="str">
        <x:v>boundary_note</x:v>
      </x:c>
      <x:c r="I32" s="92" t="str">
        <x:v>高</x:v>
      </x:c>
    </x:row>
    <x:row r="33" ht="54" customHeight="1">
      <x:c r="A33" s="92" t="str">
        <x:v>M3-CARE-083</x:v>
      </x:c>
      <x:c r="B33" s="92" t="str">
        <x:v>禁止推断</x:v>
      </x:c>
      <x:c r="C33" s="92" t="str">
        <x:v>正印禁止误读｜安全承接边界</x:v>
      </x:c>
      <x:c r="D33" s="92" t="str">
        <x:v>正在把正印CARE通道翻译为用户语言。</x:v>
      </x:c>
      <x:c r="E33" s="92" t="str">
        <x:v>正印只提供倾听、理解、知识、健康照顾与稳定承接这一支持功能，不能越界到人格好坏、关系风险或结果。</x:v>
      </x:c>
      <x:c r="F33" s="92" t="str">
        <x:v>这里描述的是你可能更常使用的支持方式，不代表你只能这样照顾人，也不代表其他方式一定缺失。</x:v>
      </x:c>
      <x:c r="G33" s="92" t="str">
        <x:v>不得推出用户依赖、软弱、母性／父性过强、没有边界、喜欢被照顾或一定牺牲自己。</x:v>
      </x:c>
      <x:c r="H33" s="92" t="str">
        <x:v>boundary_note</x:v>
      </x:c>
      <x:c r="I33" s="92" t="str">
        <x:v>高</x:v>
      </x:c>
    </x:row>
    <x:row r="34" ht="54" customHeight="1">
      <x:c r="A34" s="92" t="str">
        <x:v>M3-CARE-090</x:v>
      </x:c>
      <x:c r="B34" s="92" t="str">
        <x:v>禁止推断</x:v>
      </x:c>
      <x:c r="C34" s="92" t="str">
        <x:v>偏印禁止误读｜个性支持边界</x:v>
      </x:c>
      <x:c r="D34" s="92" t="str">
        <x:v>正在把偏印CARE通道翻译为用户语言。</x:v>
      </x:c>
      <x:c r="E34" s="92" t="str">
        <x:v>偏印只提供洞察、专业方法、私人空间、定制资源与选择性回应这一支持功能，不能越界到人格好坏、关系风险或结果。</x:v>
      </x:c>
      <x:c r="F34" s="92" t="str">
        <x:v>这里描述的是你可能更常使用的支持方式，不代表你只能这样照顾人，也不代表其他方式一定缺失。</x:v>
      </x:c>
      <x:c r="G34" s="92" t="str">
        <x:v>不得推出用户冷漠、神秘、回避亲密、精神异常、故意不说或不愿接受任何帮助。</x:v>
      </x:c>
      <x:c r="H34" s="92" t="str">
        <x:v>boundary_note</x:v>
      </x:c>
      <x:c r="I34" s="92" t="str">
        <x:v>高</x:v>
      </x:c>
    </x:row>
    <x:row r="35" ht="54" customHeight="1">
      <x:c r="A35" s="58" t="str">
        <x:v>M3-CARE-171</x:v>
      </x:c>
      <x:c r="B35" s="58" t="str">
        <x:v>状态修正</x:v>
      </x:c>
      <x:c r="C35" s="58" t="str">
        <x:v>SC05 同根透藏｜一次证据、两种表现</x:v>
      </x:c>
      <x:c r="D35" s="58" t="str">
        <x:v>透干与藏支来自同一根或同一source_id。</x:v>
      </x:c>
      <x:c r="E35" s="58" t="str">
        <x:v>透干与藏支来自同一根或同一source_id。</x:v>
      </x:c>
      <x:c r="F35" s="58" t="str">
        <x:v>同一支持功能可能既有外显行为，也有内部稳定来源，但只计算一次基础证据。</x:v>
      </x:c>
      <x:c r="G35" s="58" t="str">
        <x:v>不得由本规则直接推出过度付出、付出失衡、依赖、控制、忠诚度、关系结果或适配度；不得把某种照顾方式等同于爱得更多或更少。</x:v>
      </x:c>
      <x:c r="H35" s="58" t="str">
        <x:v>provenance</x:v>
      </x:c>
      <x:c r="I35" s="58" t="str">
        <x:v>高</x:v>
      </x:c>
    </x:row>
    <x:row r="36" ht="54" customHeight="1">
      <x:c r="A36" s="62" t="str">
        <x:v>M3-CARE-180</x:v>
      </x:c>
      <x:c r="B36" s="62" t="str">
        <x:v>状态修正</x:v>
      </x:c>
      <x:c r="C36" s="62" t="str">
        <x:v>SC14 强弱争议｜回退到五系统</x:v>
      </x:c>
      <x:c r="D36" s="62" t="str">
        <x:v>旺衰判断存在实质争议，且不同判法会改变主CARE通道。</x:v>
      </x:c>
      <x:c r="E36" s="62" t="str">
        <x:v>旺衰判断存在实质争议，且不同判法会改变主CARE通道。</x:v>
      </x:c>
      <x:c r="F36" s="62" t="str">
        <x:v>目前只能判断你更偏向某一类支持系统，具体十神方式仍需保留不确定性。</x:v>
      </x:c>
      <x:c r="G36" s="62" t="str">
        <x:v>不得由本规则直接推出过度付出、付出失衡、依赖、控制、忠诚度、关系结果或适配度；不得把某种照顾方式等同于爱得更多或更少。</x:v>
      </x:c>
      <x:c r="H36" s="62" t="str">
        <x:v>report_status</x:v>
      </x:c>
      <x:c r="I36" s="62" t="str">
        <x:v>低</x:v>
      </x:c>
    </x:row>
    <x:row r="37" ht="54" customHeight="1">
      <x:c r="A37" s="58" t="str">
        <x:v>M3-CARE-183</x:v>
      </x:c>
      <x:c r="B37" s="58" t="str">
        <x:v>状态修正</x:v>
      </x:c>
      <x:c r="C37" s="58" t="str">
        <x:v>SC17 喜忌未定｜只用功能性语言</x:v>
      </x:c>
      <x:c r="D37" s="58" t="str">
        <x:v>CARE通道喜忌存在争议，但十神功能与位置可靠。</x:v>
      </x:c>
      <x:c r="E37" s="58" t="str">
        <x:v>CARE通道喜忌存在争议，但十神功能与位置可靠。</x:v>
      </x:c>
      <x:c r="F37" s="58" t="str">
        <x:v>可以说明你怎样支持关系，但不评价这种方式是否顺畅、轻松或容易形成压力。</x:v>
      </x:c>
      <x:c r="G37" s="58" t="str">
        <x:v>不得由本规则直接推出过度付出、付出失衡、依赖、控制、忠诚度、关系结果或适配度；不得把某种照顾方式等同于爱得更多或更少。</x:v>
      </x:c>
      <x:c r="H37" s="58" t="str">
        <x:v>boundary_note</x:v>
      </x:c>
      <x:c r="I37" s="58" t="str">
        <x:v>中</x:v>
      </x:c>
    </x:row>
    <x:row r="38" ht="54" customHeight="1">
      <x:c r="A38" s="62" t="str">
        <x:v>M3-CARE-184</x:v>
      </x:c>
      <x:c r="B38" s="62" t="str">
        <x:v>状态修正</x:v>
      </x:c>
      <x:c r="C38" s="62" t="str">
        <x:v>SC18 忌而过旺｜禁止直接写过度付出</x:v>
      </x:c>
      <x:c r="D38" s="62" t="str">
        <x:v>CARE通道为忌且过旺，调节不足。</x:v>
      </x:c>
      <x:c r="E38" s="62" t="str">
        <x:v>CARE通道为忌且过旺，调节不足。</x:v>
      </x:c>
      <x:c r="F38" s="62" t="str">
        <x:v>只能说明这项支持方式容易抢先或占据资源，不能直接下“牺牲、耗竭、控制”的结论。</x:v>
      </x:c>
      <x:c r="G38" s="62" t="str">
        <x:v>不得由本规则直接推出过度付出、付出失衡、依赖、控制、忠诚度、关系结果或适配度；不得把某种照顾方式等同于爱得更多或更少。</x:v>
      </x:c>
      <x:c r="H38" s="62" t="str">
        <x:v>boundary_note</x:v>
      </x:c>
      <x:c r="I38" s="62" t="str">
        <x:v>高</x:v>
      </x:c>
    </x:row>
    <x:row r="39" ht="54" customHeight="1">
      <x:c r="A39" s="58" t="str">
        <x:v>M3-CARE-188</x:v>
      </x:c>
      <x:c r="B39" s="58" t="str">
        <x:v>状态修正</x:v>
      </x:c>
      <x:c r="C39" s="58" t="str">
        <x:v>SC22 真合化｜原通道清零并按化神重建</x:v>
      </x:c>
      <x:c r="D39" s="58" t="str">
        <x:v>共享基础引擎确认真合化成立，化神五行与阴阳映射可靠。</x:v>
      </x:c>
      <x:c r="E39" s="58" t="str">
        <x:v>共享基础引擎确认真合化成立，化神五行与阴阳映射可靠。</x:v>
      </x:c>
      <x:c r="F39" s="58" t="str">
        <x:v>原十神CARE性质停止计分，改按化神所属功能系统重新判断支持方式。</x:v>
      </x:c>
      <x:c r="G39" s="58" t="str">
        <x:v>不得由本规则直接推出过度付出、付出失衡、依赖、控制、忠诚度、关系结果或适配度；不得把某种照顾方式等同于爱得更多或更少。</x:v>
      </x:c>
      <x:c r="H39" s="58" t="str">
        <x:v>report_status</x:v>
      </x:c>
      <x:c r="I39" s="58" t="str">
        <x:v>高</x:v>
      </x:c>
    </x:row>
    <x:row r="40" ht="54" customHeight="1">
      <x:c r="A40" s="62" t="str">
        <x:v>M3-CARE-192</x:v>
      </x:c>
      <x:c r="B40" s="62" t="str">
        <x:v>状态修正</x:v>
      </x:c>
      <x:c r="C40" s="62" t="str">
        <x:v>SC26 正偏同系统并见｜先收敛功能系统</x:v>
      </x:c>
      <x:c r="D40" s="62" t="str">
        <x:v>同一五系统中的正偏十神同时有效。</x:v>
      </x:c>
      <x:c r="E40" s="62" t="str">
        <x:v>同一五系统中的正偏十神同时有效。</x:v>
      </x:c>
      <x:c r="F40" s="62" t="str">
        <x:v>先合并为同一支持系统，再判断两者是风格分工、主次还是同义重复。</x:v>
      </x:c>
      <x:c r="G40" s="62" t="str">
        <x:v>不得由本规则直接推出过度付出、付出失衡、依赖、控制、忠诚度、关系结果或适配度；不得把某种照顾方式等同于爱得更多或更少。</x:v>
      </x:c>
      <x:c r="H40" s="62" t="str">
        <x:v>provenance</x:v>
      </x:c>
      <x:c r="I40" s="62" t="str">
        <x:v>高</x:v>
      </x:c>
    </x:row>
    <x:row r="41" ht="54" customHeight="1">
      <x:c r="A41" s="58" t="str">
        <x:v>M3-CARE-194</x:v>
      </x:c>
      <x:c r="B41" s="58" t="str">
        <x:v>状态修正</x:v>
      </x:c>
      <x:c r="C41" s="58" t="str">
        <x:v>SC28 正偏同源重复｜同义收敛</x:v>
      </x:c>
      <x:c r="D41" s="58" t="str">
        <x:v>正偏信号实际来自同一source_id、同一合化结果或无法证明功能独立。</x:v>
      </x:c>
      <x:c r="E41" s="58" t="str">
        <x:v>正偏信号实际来自同一source_id、同一合化结果或无法证明功能独立。</x:v>
      </x:c>
      <x:c r="F41" s="58" t="str">
        <x:v>看似两种支持方式时，若本质是同一事实，应合并而不是堆成双通道。</x:v>
      </x:c>
      <x:c r="G41" s="58" t="str">
        <x:v>不得由本规则直接推出过度付出、付出失衡、依赖、控制、忠诚度、关系结果或适配度；不得把某种照顾方式等同于爱得更多或更少。</x:v>
      </x:c>
      <x:c r="H41" s="58" t="str">
        <x:v>provenance</x:v>
      </x:c>
      <x:c r="I41" s="58" t="str">
        <x:v>高</x:v>
      </x:c>
    </x:row>
    <x:row r="42" ht="54" customHeight="1">
      <x:c r="A42" s="94" t="str">
        <x:v>M3-CARE-195</x:v>
      </x:c>
      <x:c r="B42" s="94" t="str">
        <x:v>接口／去重／停止</x:v>
      </x:c>
      <x:c r="C42" s="94" t="str">
        <x:v>IF01 BASE同源接口｜底盘与CARE共享一次基础权重</x:v>
      </x:c>
      <x:c r="D42" s="94" t="str">
        <x:v>BASE和CARE读取同一日支、同一藏干或同一source_id。</x:v>
      </x:c>
      <x:c r="E42" s="94" t="str">
        <x:v>BASE保留关系运行主题，CARE细化具体支持行为；基础权重只计一次。</x:v>
      </x:c>
      <x:c r="F42" s="94" t="str">
        <x:v>同一个日支可以同时说明关系主题和照顾方式，但不会被当成两份独立证据。</x:v>
      </x:c>
      <x:c r="G42" s="94" t="str">
        <x:v>不得由本规则直接推出过度付出、付出失衡、依赖、控制、忠诚度、关系结果或适配度；不得把某种照顾方式等同于爱得更多或更少。</x:v>
      </x:c>
      <x:c r="H42" s="94" t="str">
        <x:v>provenance</x:v>
      </x:c>
      <x:c r="I42" s="94" t="str">
        <x:v>高</x:v>
      </x:c>
    </x:row>
    <x:row r="43" ht="54" customHeight="1">
      <x:c r="A43" s="94" t="str">
        <x:v>M3-CARE-196</x:v>
      </x:c>
      <x:c r="B43" s="94" t="str">
        <x:v>接口／去重／停止</x:v>
      </x:c>
      <x:c r="C43" s="94" t="str">
        <x:v>IF02 BASE异源接口｜次通道可独立升级</x:v>
      </x:c>
      <x:c r="D43" s="94" t="str">
        <x:v>BASE主底盘与另一独立CARE信号来源不同、功能不同。</x:v>
      </x:c>
      <x:c r="E43" s="94" t="str">
        <x:v>独立次信号可形成次CARE通道，但必须达到次通道门槛并说明功能分工。</x:v>
      </x:c>
      <x:c r="F43" s="94" t="str">
        <x:v>关系底盘和具体支持方式不完全相同时，可以保留一个真正有作用的补充通道。</x:v>
      </x:c>
      <x:c r="G43" s="94" t="str">
        <x:v>不得由本规则直接推出过度付出、付出失衡、依赖、控制、忠诚度、关系结果或适配度；不得把某种照顾方式等同于爱得更多或更少。</x:v>
      </x:c>
      <x:c r="H43" s="94" t="str">
        <x:v>secondary_care_channel</x:v>
      </x:c>
      <x:c r="I43" s="94" t="str">
        <x:v>中高</x:v>
      </x:c>
    </x:row>
    <x:row r="44" ht="54" customHeight="1">
      <x:c r="A44" s="94" t="str">
        <x:v>M3-CARE-197</x:v>
      </x:c>
      <x:c r="B44" s="94" t="str">
        <x:v>接口／去重／停止</x:v>
      </x:c>
      <x:c r="C44" s="94" t="str">
        <x:v>IF03 EXPR行动表达→CARE连续性复核</x:v>
      </x:c>
      <x:c r="D44" s="94" t="str">
        <x:v>EXPR识别正财、偏财、官杀或行动为在意表达。</x:v>
      </x:c>
      <x:c r="E44" s="94" t="str">
        <x:v>CARE必须继续检查根气、重复行为、资源安排和反馈链，不能把表达动作直接写成长投入。</x:v>
      </x:c>
      <x:c r="F44" s="94" t="str">
        <x:v>用行动表达在意之后，还要看这种行动是否持续、怎样分工和怎样被对方接收。</x:v>
      </x:c>
      <x:c r="G44" s="94" t="str">
        <x:v>不得由本规则直接推出过度付出、付出失衡、依赖、控制、忠诚度、关系结果或适配度；不得把某种照顾方式等同于爱得更多或更少。</x:v>
      </x:c>
      <x:c r="H44" s="94" t="str">
        <x:v>continuity_mode</x:v>
      </x:c>
      <x:c r="I44" s="94" t="str">
        <x:v>高</x:v>
      </x:c>
    </x:row>
    <x:row r="45" ht="54" customHeight="1">
      <x:c r="A45" s="94" t="str">
        <x:v>M3-CARE-198</x:v>
      </x:c>
      <x:c r="B45" s="94" t="str">
        <x:v>接口／去重／停止</x:v>
      </x:c>
      <x:c r="C45" s="94" t="str">
        <x:v>IF04 EXPR倾听承接→CARE给予与接受分栏</x:v>
      </x:c>
      <x:c r="D45" s="94" t="str">
        <x:v>EXPR识别正印或偏印为倾听、内化或回应方式。</x:v>
      </x:c>
      <x:c r="E45" s="94" t="str">
        <x:v>CARE分别判断用户是否主动承接对方、是否能请求与接受支持，不能只写“会倾听”。</x:v>
      </x:c>
      <x:c r="F45" s="94" t="str">
        <x:v>你愿意倾听对方，不自动代表你同样容易向对方求助或接受照顾。</x:v>
      </x:c>
      <x:c r="G45" s="94" t="str">
        <x:v>不得由本规则直接推出过度付出、付出失衡、依赖、控制、忠诚度、关系结果或适配度；不得把某种照顾方式等同于爱得更多或更少。</x:v>
      </x:c>
      <x:c r="H45" s="94" t="str">
        <x:v>support_receiving_style</x:v>
      </x:c>
      <x:c r="I45" s="94" t="str">
        <x:v>高</x:v>
      </x:c>
    </x:row>
    <x:row r="46" ht="54" customHeight="1">
      <x:c r="A46" s="94" t="str">
        <x:v>M3-CARE-199</x:v>
      </x:c>
      <x:c r="B46" s="94" t="str">
        <x:v>接口／去重／停止</x:v>
      </x:c>
      <x:c r="C46" s="94" t="str">
        <x:v>IF05 EXPR语言→CARE落实桥梁</x:v>
      </x:c>
      <x:c r="D46" s="94" t="str">
        <x:v>食伤表达与财官杀投入同时有效，且来源独立。</x:v>
      </x:c>
      <x:c r="E46" s="94" t="str">
        <x:v>可建立CF03或CF04路径，说明表达怎样转为安排和责任；不能由五行相生单独推断。</x:v>
      </x:c>
      <x:c r="F46" s="94" t="str">
        <x:v>当交流与现实行动都有证据时，可以说明你如何从说清楚转向实际落实。</x:v>
      </x:c>
      <x:c r="G46" s="94" t="str">
        <x:v>不得由本规则直接推出过度付出、付出失衡、依赖、控制、忠诚度、关系结果或适配度；不得把某种照顾方式等同于爱得更多或更少。</x:v>
      </x:c>
      <x:c r="H46" s="94" t="str">
        <x:v>care_path</x:v>
      </x:c>
      <x:c r="I46" s="94" t="str">
        <x:v>中高</x:v>
      </x:c>
    </x:row>
    <x:row r="47" ht="54" customHeight="1">
      <x:c r="A47" s="94" t="str">
        <x:v>M3-CARE-200</x:v>
      </x:c>
      <x:c r="B47" s="94" t="str">
        <x:v>接口／去重／停止</x:v>
      </x:c>
      <x:c r="C47" s="94" t="str">
        <x:v>IF06 BOUND接口｜资源权限与停止点后续判断</x:v>
      </x:c>
      <x:c r="D47" s="94" t="str">
        <x:v>CARE识别大量投入、共同资源、替对方处理或接受帮助。</x:v>
      </x:c>
      <x:c r="E47" s="94" t="str">
        <x:v>CARE只写内容与交换方式；谁有决定权、何时停止和是否可拒绝由BOUND判断。</x:v>
      </x:c>
      <x:c r="F47" s="94" t="str">
        <x:v>这里能说明你怎样投入，但投入到什么程度、谁来决定，需要在边界模块继续看。</x:v>
      </x:c>
      <x:c r="G47" s="94" t="str">
        <x:v>不得由本规则直接推出过度付出、付出失衡、依赖、控制、忠诚度、关系结果或适配度；不得把某种照顾方式等同于爱得更多或更少。</x:v>
      </x:c>
      <x:c r="H47" s="94" t="str">
        <x:v>resource_boundary_note</x:v>
      </x:c>
      <x:c r="I47" s="94" t="str">
        <x:v>高</x:v>
      </x:c>
    </x:row>
    <x:row r="48" ht="54" customHeight="1">
      <x:c r="A48" s="94" t="str">
        <x:v>M3-CARE-201</x:v>
      </x:c>
      <x:c r="B48" s="94" t="str">
        <x:v>接口／去重／停止</x:v>
      </x:c>
      <x:c r="C48" s="94" t="str">
        <x:v>IF07 BOUND接口｜能求助不等于依赖</x:v>
      </x:c>
      <x:c r="D48" s="94" t="str">
        <x:v>RQ01—RQ04任一请求支持方式成立。</x:v>
      </x:c>
      <x:c r="E48" s="94" t="str">
        <x:v>请求帮助是支持交换能力，不直接代表依赖或自主性不足。</x:v>
      </x:c>
      <x:c r="F48" s="94" t="str">
        <x:v>能够说出需要，是一种关系沟通方式，不等于你没有独立处理事情的能力。</x:v>
      </x:c>
      <x:c r="G48" s="94" t="str">
        <x:v>不得由本规则直接推出过度付出、付出失衡、依赖、控制、忠诚度、关系结果或适配度；不得把某种照顾方式等同于爱得更多或更少。</x:v>
      </x:c>
      <x:c r="H48" s="94" t="str">
        <x:v>boundary_note</x:v>
      </x:c>
      <x:c r="I48" s="94" t="str">
        <x:v>高</x:v>
      </x:c>
    </x:row>
    <x:row r="49" ht="54" customHeight="1">
      <x:c r="A49" s="94" t="str">
        <x:v>M3-CARE-202</x:v>
      </x:c>
      <x:c r="B49" s="94" t="str">
        <x:v>接口／去重／停止</x:v>
      </x:c>
      <x:c r="C49" s="94" t="str">
        <x:v>IF08 BOUND接口｜并肩支持不等于拒绝亲密</x:v>
      </x:c>
      <x:c r="D49" s="94" t="str">
        <x:v>比肩、劫财或保留自主后接收成立。</x:v>
      </x:c>
      <x:c r="E49" s="94" t="str">
        <x:v>尊重自主和共同参与只描述支持结构，不能推断用户排斥照顾或不愿亲近。</x:v>
      </x:c>
      <x:c r="F49" s="94" t="str">
        <x:v>你更喜欢保留参与感和选择权，不代表你拒绝被照顾或不需要亲密。</x:v>
      </x:c>
      <x:c r="G49" s="94" t="str">
        <x:v>不得由本规则直接推出过度付出、付出失衡、依赖、控制、忠诚度、关系结果或适配度；不得把某种照顾方式等同于爱得更多或更少。</x:v>
      </x:c>
      <x:c r="H49" s="94" t="str">
        <x:v>boundary_note</x:v>
      </x:c>
      <x:c r="I49" s="94" t="str">
        <x:v>高</x:v>
      </x:c>
    </x:row>
    <x:row r="50" ht="54" customHeight="1">
      <x:c r="A50" s="94" t="str">
        <x:v>M3-CARE-203</x:v>
      </x:c>
      <x:c r="B50" s="94" t="str">
        <x:v>接口／去重／停止</x:v>
      </x:c>
      <x:c r="C50" s="94" t="str">
        <x:v>IF09 CONFLICT接口｜危机处理与分歧反应分开</x:v>
      </x:c>
      <x:c r="D50" s="94" t="str">
        <x:v>CP09行动保护或七杀CARE在困难情境有效。</x:v>
      </x:c>
      <x:c r="E50" s="94" t="str">
        <x:v>关键时刻先处理问题可作为支持方式；分歧时的语气、权力和协商需CONFLICT独立判断。</x:v>
      </x:c>
      <x:c r="F50" s="94" t="str">
        <x:v>你可能在困难时先解决问题，但这不能单独说明发生分歧时怎样沟通。</x:v>
      </x:c>
      <x:c r="G50" s="94" t="str">
        <x:v>不得由本规则直接推出过度付出、付出失衡、依赖、控制、忠诚度、关系结果或适配度；不得把某种照顾方式等同于爱得更多或更少。</x:v>
      </x:c>
      <x:c r="H50" s="94" t="str">
        <x:v>boundary_note</x:v>
      </x:c>
      <x:c r="I50" s="94" t="str">
        <x:v>高</x:v>
      </x:c>
    </x:row>
    <x:row r="51" ht="54" customHeight="1">
      <x:c r="A51" s="94" t="str">
        <x:v>M3-CARE-204</x:v>
      </x:c>
      <x:c r="B51" s="94" t="str">
        <x:v>接口／去重／停止</x:v>
      </x:c>
      <x:c r="C51" s="94" t="str">
        <x:v>IF10 CONFLICT接口｜解题支持不等于纠错压制</x:v>
      </x:c>
      <x:c r="D51" s="94" t="str">
        <x:v>CP07解题支持或伤官CARE成立。</x:v>
      </x:c>
      <x:c r="E51" s="94" t="str">
        <x:v>提供建议与分析是支持内容；是否在冲突中变成否定或压迫必须有独立风险证据。</x:v>
      </x:c>
      <x:c r="F51" s="94" t="str">
        <x:v>你会给方案和分析，不等于每次分歧都会纠正对方或压过对方感受。</x:v>
      </x:c>
      <x:c r="G51" s="94" t="str">
        <x:v>不得由本规则直接推出过度付出、付出失衡、依赖、控制、忠诚度、关系结果或适配度；不得把某种照顾方式等同于爱得更多或更少。</x:v>
      </x:c>
      <x:c r="H51" s="94" t="str">
        <x:v>boundary_note</x:v>
      </x:c>
      <x:c r="I51" s="94" t="str">
        <x:v>高</x:v>
      </x:c>
    </x:row>
    <x:row r="52" ht="54" customHeight="1">
      <x:c r="A52" s="94" t="str">
        <x:v>M3-CARE-205</x:v>
      </x:c>
      <x:c r="B52" s="94" t="str">
        <x:v>接口／去重／停止</x:v>
      </x:c>
      <x:c r="C52" s="94" t="str">
        <x:v>IF11 REPAIR接口｜舒缓照料可作为修复资源</x:v>
      </x:c>
      <x:c r="D52" s="94" t="str">
        <x:v>食神、正印或CP06日常支持稳定，并在紧张后有独立调用证据。</x:v>
      </x:c>
      <x:c r="E52" s="94" t="str">
        <x:v>CARE可向REPAIR提供可用资源，但不直接决定修复是否启动或成功。</x:v>
      </x:c>
      <x:c r="F52" s="94" t="str">
        <x:v>陪伴和安抚可能成为关系缓和的资源，但是否会在矛盾后主动使用，需要修复模块确认。</x:v>
      </x:c>
      <x:c r="G52" s="94" t="str">
        <x:v>不得由本规则直接推出过度付出、付出失衡、依赖、控制、忠诚度、关系结果或适配度；不得把某种照顾方式等同于爱得更多或更少。</x:v>
      </x:c>
      <x:c r="H52" s="94" t="str">
        <x:v>repair_resource</x:v>
      </x:c>
      <x:c r="I52" s="94" t="str">
        <x:v>中</x:v>
      </x:c>
    </x:row>
    <x:row r="53" ht="54" customHeight="1">
      <x:c r="A53" s="94" t="str">
        <x:v>M3-CARE-206</x:v>
      </x:c>
      <x:c r="B53" s="94" t="str">
        <x:v>接口／去重／停止</x:v>
      </x:c>
      <x:c r="C53" s="94" t="str">
        <x:v>IF12 REPAIR接口｜行动承担可作为修复资源</x:v>
      </x:c>
      <x:c r="D53" s="94" t="str">
        <x:v>财官杀CARE稳定，并在问题后出现补救、兑现或承担行为。</x:v>
      </x:c>
      <x:c r="E53" s="94" t="str">
        <x:v>实际补救可成为修复路径的一部分，但不能只凭官杀财星推断用户一定会主动修复。</x:v>
      </x:c>
      <x:c r="F53" s="94" t="str">
        <x:v>把事情补上、重新兑现或处理遗留问题，可能是你的修复资源之一。</x:v>
      </x:c>
      <x:c r="G53" s="94" t="str">
        <x:v>不得由本规则直接推出过度付出、付出失衡、依赖、控制、忠诚度、关系结果或适配度；不得把某种照顾方式等同于爱得更多或更少。</x:v>
      </x:c>
      <x:c r="H53" s="94" t="str">
        <x:v>repair_resource</x:v>
      </x:c>
      <x:c r="I53" s="94" t="str">
        <x:v>中</x:v>
      </x:c>
    </x:row>
    <x:row r="54" ht="54" customHeight="1">
      <x:c r="A54" s="94" t="str">
        <x:v>M3-CARE-207</x:v>
      </x:c>
      <x:c r="B54" s="94" t="str">
        <x:v>接口／去重／停止</x:v>
      </x:c>
      <x:c r="C54" s="94" t="str">
        <x:v>IF13 STATE接口｜平稳主CARE先确定</x:v>
      </x:c>
      <x:c r="D54" s="94" t="str">
        <x:v>需要比较日常、压力和恢复状态。</x:v>
      </x:c>
      <x:c r="E54" s="94" t="str">
        <x:v>先由CARE确定平稳主通道，再由STATE判断压力抢占和恢复回归，避免用极端情境覆盖日常。</x:v>
      </x:c>
      <x:c r="F54" s="94" t="str">
        <x:v>先看你平时怎样照顾关系，再说明压力增加时是否会切换。</x:v>
      </x:c>
      <x:c r="G54" s="94" t="str">
        <x:v>不得由本规则直接推出过度付出、付出失衡、依赖、控制、忠诚度、关系结果或适配度；不得把某种照顾方式等同于爱得更多或更少。</x:v>
      </x:c>
      <x:c r="H54" s="94" t="str">
        <x:v>state_shift</x:v>
      </x:c>
      <x:c r="I54" s="94" t="str">
        <x:v>高</x:v>
      </x:c>
    </x:row>
    <x:row r="55" ht="54" customHeight="1">
      <x:c r="A55" s="94" t="str">
        <x:v>M3-CARE-208</x:v>
      </x:c>
      <x:c r="B55" s="94" t="str">
        <x:v>接口／去重／停止</x:v>
      </x:c>
      <x:c r="C55" s="94" t="str">
        <x:v>IF14 STATE接口｜恢复回归需要独立链</x:v>
      </x:c>
      <x:c r="D55" s="94" t="str">
        <x:v>存在ST02压力通道抢先或不同通道切换。</x:v>
      </x:c>
      <x:c r="E55" s="94" t="str">
        <x:v>只有具备恢复证据时，才能写“事情稳定后回到原通道”；不能凭五行循环自动生成。</x:v>
      </x:c>
      <x:c r="F55" s="94" t="str">
        <x:v>是否会在事情处理后回到陪伴、沟通或日常经营，需要真实的恢复链支持。</x:v>
      </x:c>
      <x:c r="G55" s="94" t="str">
        <x:v>不得由本规则直接推出过度付出、付出失衡、依赖、控制、忠诚度、关系结果或适配度；不得把某种照顾方式等同于爱得更多或更少。</x:v>
      </x:c>
      <x:c r="H55" s="94" t="str">
        <x:v>state_shift</x:v>
      </x:c>
      <x:c r="I55" s="94" t="str">
        <x:v>中高</x:v>
      </x:c>
    </x:row>
    <x:row r="56" ht="54" customHeight="1">
      <x:c r="A56" s="94" t="str">
        <x:v>M3-CARE-209</x:v>
      </x:c>
      <x:c r="B56" s="94" t="str">
        <x:v>接口／去重／停止</x:v>
      </x:c>
      <x:c r="C56" s="94" t="str">
        <x:v>IF15 M4路由｜强通道占位候选</x:v>
      </x:c>
      <x:c r="D56" s="94" t="str">
        <x:v>SC10、SC18或单一通道过旺无制成立。</x:v>
      </x:c>
      <x:c r="E56" s="94" t="str">
        <x:v>CARE只标记通道容易抢先、资源集中或反馈不清；过度承担、耗竭和关系失衡交给M4。</x:v>
      </x:c>
      <x:c r="F56" s="94" t="str">
        <x:v>这项支持方式可能很容易成为第一反应，但是否形成负担，需要在关系盲点模型中判断。</x:v>
      </x:c>
      <x:c r="G56" s="94" t="str">
        <x:v>不得由本规则直接推出过度付出、付出失衡、依赖、控制、忠诚度、关系结果或适配度；不得把某种照顾方式等同于爱得更多或更少。</x:v>
      </x:c>
      <x:c r="H56" s="94" t="str">
        <x:v>risk_route</x:v>
      </x:c>
      <x:c r="I56" s="94" t="str">
        <x:v>高</x:v>
      </x:c>
    </x:row>
    <x:row r="57" ht="54" customHeight="1">
      <x:c r="A57" s="94" t="str">
        <x:v>M3-CARE-210</x:v>
      </x:c>
      <x:c r="B57" s="94" t="str">
        <x:v>接口／去重／停止</x:v>
      </x:c>
      <x:c r="C57" s="94" t="str">
        <x:v>IF16 M4路由｜单向可见不等于单向关系</x:v>
      </x:c>
      <x:c r="D57" s="94" t="str">
        <x:v>CE06单向可见候选成立。</x:v>
      </x:c>
      <x:c r="E57" s="94" t="str">
        <x:v>缺少一侧资料时先保留未知；只有持续无回应、资源耗竭等独立证据才能进入M4。</x:v>
      </x:c>
      <x:c r="F57" s="94" t="str">
        <x:v>目前只说明哪一侧更容易被看见，不能直接说关系只有一方付出。</x:v>
      </x:c>
      <x:c r="G57" s="94" t="str">
        <x:v>不得由本规则直接推出过度付出、付出失衡、依赖、控制、忠诚度、关系结果或适配度；不得把某种照顾方式等同于爱得更多或更少。</x:v>
      </x:c>
      <x:c r="H57" s="94" t="str">
        <x:v>boundary_note</x:v>
      </x:c>
      <x:c r="I57" s="94" t="str">
        <x:v>高</x:v>
      </x:c>
    </x:row>
    <x:row r="58" ht="54" customHeight="1">
      <x:c r="A58" s="94" t="str">
        <x:v>M3-CARE-211</x:v>
      </x:c>
      <x:c r="B58" s="94" t="str">
        <x:v>接口／去重／停止</x:v>
      </x:c>
      <x:c r="C58" s="94" t="str">
        <x:v>IF17 M5接口｜CARE风格不得直接生成适配结论</x:v>
      </x:c>
      <x:c r="D58" s="94" t="str">
        <x:v>用户询问哪种支持最适合或伴侣应怎样回应。</x:v>
      </x:c>
      <x:c r="E58" s="94" t="str">
        <x:v>M3提供常用支持与接收方式；M5结合双方结构判断适配，不能由M3单独决定。</x:v>
      </x:c>
      <x:c r="F58" s="94" t="str">
        <x:v>你常用的方式会成为适配分析的输入，但不是最终适合结论。</x:v>
      </x:c>
      <x:c r="G58" s="94" t="str">
        <x:v>不得由本规则直接推出过度付出、付出失衡、依赖、控制、忠诚度、关系结果或适配度；不得把某种照顾方式等同于爱得更多或更少。</x:v>
      </x:c>
      <x:c r="H58" s="94" t="str">
        <x:v>boundary_note</x:v>
      </x:c>
      <x:c r="I58" s="94" t="str">
        <x:v>高</x:v>
      </x:c>
    </x:row>
    <x:row r="59" ht="54" customHeight="1">
      <x:c r="A59" s="94" t="str">
        <x:v>M3-CARE-212</x:v>
      </x:c>
      <x:c r="B59" s="94" t="str">
        <x:v>接口／去重／停止</x:v>
      </x:c>
      <x:c r="C59" s="94" t="str">
        <x:v>IF18 夫妻星入日支｜选择—相处—照顾连续性</x:v>
      </x:c>
      <x:c r="D59" s="94" t="str">
        <x:v>夫妻星进入日支主气或高权威近位，且M2与CARE读取同一事实。</x:v>
      </x:c>
      <x:c r="E59" s="94" t="str">
        <x:v>可以说明用户选择时看重的资格证据，进入关系后可能延续为支持行为；基础证据仍只算一次。</x:v>
      </x:c>
      <x:c r="F59" s="94" t="str">
        <x:v>你在选择关系时看重的行动、责任或投入，进入关系后也可能成为你维持关系的方式。</x:v>
      </x:c>
      <x:c r="G59" s="94" t="str">
        <x:v>不得由本规则直接推出过度付出、付出失衡、依赖、控制、忠诚度、关系结果或适配度；不得把某种照顾方式等同于爱得更多或更少。</x:v>
      </x:c>
      <x:c r="H59" s="94" t="str">
        <x:v>provenance</x:v>
      </x:c>
      <x:c r="I59" s="94" t="str">
        <x:v>中高</x:v>
      </x:c>
    </x:row>
    <x:row r="60" ht="54" customHeight="1">
      <x:c r="A60" s="94" t="str">
        <x:v>M3-CARE-213</x:v>
      </x:c>
      <x:c r="B60" s="94" t="str">
        <x:v>接口／去重／停止</x:v>
      </x:c>
      <x:c r="C60" s="94" t="str">
        <x:v>IF19 夫妻星不作为CARE唯一主轴</x:v>
      </x:c>
      <x:c r="D60" s="94" t="str">
        <x:v>夫妻星明显，但其他CARE通道有更高近位或独立支持。</x:v>
      </x:c>
      <x:c r="E60" s="94" t="str">
        <x:v>CARE主通道按关系运行证据裁决，不因夫妻星身份自动覆盖日支、根气和有效流向。</x:v>
      </x:c>
      <x:c r="F60" s="94" t="str">
        <x:v>伴侣资格信号不会自动决定你所有的照顾方式。</x:v>
      </x:c>
      <x:c r="G60" s="94" t="str">
        <x:v>不得由本规则直接推出过度付出、付出失衡、依赖、控制、忠诚度、关系结果或适配度；不得把某种照顾方式等同于爱得更多或更少。</x:v>
      </x:c>
      <x:c r="H60" s="94" t="str">
        <x:v>boundary_note</x:v>
      </x:c>
      <x:c r="I60" s="94" t="str">
        <x:v>高</x:v>
      </x:c>
    </x:row>
    <x:row r="61" ht="54" customHeight="1">
      <x:c r="A61" s="94" t="str">
        <x:v>M3-CARE-214</x:v>
      </x:c>
      <x:c r="B61" s="94" t="str">
        <x:v>接口／去重／停止</x:v>
      </x:c>
      <x:c r="C61" s="94" t="str">
        <x:v>IF20 source_id基础去重｜跨模块共享事实</x:v>
      </x:c>
      <x:c r="D61" s="94" t="str">
        <x:v>多个模块引用同一事实编号。</x:v>
      </x:c>
      <x:c r="E61" s="94" t="str">
        <x:v>只保留一个基础分；其他模块记录interpretation_role，不增加独立证据计数。</x:v>
      </x:c>
      <x:c r="F61" s="94" t="str">
        <x:v>同一事实可以被不同模块解释，但不会被重复计算。</x:v>
      </x:c>
      <x:c r="G61" s="94" t="str">
        <x:v>不得由本规则直接推出过度付出、付出失衡、依赖、控制、忠诚度、关系结果或适配度；不得把某种照顾方式等同于爱得更多或更少。</x:v>
      </x:c>
      <x:c r="H61" s="94" t="str">
        <x:v>provenance</x:v>
      </x:c>
      <x:c r="I61" s="94" t="str">
        <x:v>高</x:v>
      </x:c>
    </x:row>
    <x:row r="62" ht="54" customHeight="1">
      <x:c r="A62" s="94" t="str">
        <x:v>M3-CARE-215</x:v>
      </x:c>
      <x:c r="B62" s="94" t="str">
        <x:v>接口／去重／停止</x:v>
      </x:c>
      <x:c r="C62" s="94" t="str">
        <x:v>IF21 同根透藏去重｜外显与稳定分工</x:v>
      </x:c>
      <x:c r="D62" s="94" t="str">
        <x:v>透干与藏支同根或同一支系。</x:v>
      </x:c>
      <x:c r="E62" s="94" t="str">
        <x:v>透干只修正可见度，根气修正重复性；不得把两者当成两个CARE通道。</x:v>
      </x:c>
      <x:c r="F62" s="94" t="str">
        <x:v>同一种支持方式既可能外显又有稳定来源，但本质仍是一项功能。</x:v>
      </x:c>
      <x:c r="G62" s="94" t="str">
        <x:v>不得由本规则直接推出过度付出、付出失衡、依赖、控制、忠诚度、关系结果或适配度；不得把某种照顾方式等同于爱得更多或更少。</x:v>
      </x:c>
      <x:c r="H62" s="94" t="str">
        <x:v>provenance</x:v>
      </x:c>
      <x:c r="I62" s="94" t="str">
        <x:v>高</x:v>
      </x:c>
    </x:row>
    <x:row r="63" ht="54" customHeight="1">
      <x:c r="A63" s="94" t="str">
        <x:v>M3-CARE-216</x:v>
      </x:c>
      <x:c r="B63" s="94" t="str">
        <x:v>接口／去重／停止</x:v>
      </x:c>
      <x:c r="C63" s="94" t="str">
        <x:v>IF22 正偏同系统去重｜先系统后风格</x:v>
      </x:c>
      <x:c r="D63" s="94" t="str">
        <x:v>正偏同系统同时出现。</x:v>
      </x:c>
      <x:c r="E63" s="94" t="str">
        <x:v>先合并五系统基础分，再判断稳定/灵活、温和/分析等风格；只有独立功能才保留次通道。</x:v>
      </x:c>
      <x:c r="F63" s="94" t="str">
        <x:v>正偏十神同时出现时，会先看它们是否只是同一支持系统的两种风格。</x:v>
      </x:c>
      <x:c r="G63" s="94" t="str">
        <x:v>不得由本规则直接推出过度付出、付出失衡、依赖、控制、忠诚度、关系结果或适配度；不得把某种照顾方式等同于爱得更多或更少。</x:v>
      </x:c>
      <x:c r="H63" s="94" t="str">
        <x:v>provenance</x:v>
      </x:c>
      <x:c r="I63" s="94" t="str">
        <x:v>高</x:v>
      </x:c>
    </x:row>
    <x:row r="64" ht="54" customHeight="1">
      <x:c r="A64" s="94" t="str">
        <x:v>M3-CARE-217</x:v>
      </x:c>
      <x:c r="B64" s="94" t="str">
        <x:v>接口／去重／停止</x:v>
      </x:c>
      <x:c r="C64" s="94" t="str">
        <x:v>IF23 停止｜真合化或基础关键争议</x:v>
      </x:c>
      <x:c r="D64" s="94" t="str">
        <x:v>真合化成立但化神映射未完成，或日支主气、旺衰、十神映射存在关键争议。</x:v>
      </x:c>
      <x:c r="E64" s="94" t="str">
        <x:v>停止十神级CARE结论；保留原因和所需补充字段。</x:v>
      </x:c>
      <x:c r="F64" s="94" t="str">
        <x:v>关键基础还没有确定时，不会为了完整而硬写固定的照顾模式。</x:v>
      </x:c>
      <x:c r="G64" s="94" t="str">
        <x:v>不得由本规则直接推出过度付出、付出失衡、依赖、控制、忠诚度、关系结果或适配度；不得把某种照顾方式等同于爱得更多或更少。</x:v>
      </x:c>
      <x:c r="H64" s="94" t="str">
        <x:v>report_status</x:v>
      </x:c>
      <x:c r="I64" s="94" t="str">
        <x:v>高</x:v>
      </x:c>
    </x:row>
    <x:row r="65" ht="54" customHeight="1">
      <x:c r="A65" s="94" t="str">
        <x:v>M3-CARE-218</x:v>
      </x:c>
      <x:c r="B65" s="94" t="str">
        <x:v>接口／去重／停止</x:v>
      </x:c>
      <x:c r="C65" s="94" t="str">
        <x:v>IF24 有限回退｜五系统层输出</x:v>
      </x:c>
      <x:c r="D65" s="94" t="str">
        <x:v>具体十神不确定，但五行功能系统与位置较可靠。</x:v>
      </x:c>
      <x:c r="E65" s="94" t="str">
        <x:v>可以回退到自我边界、表达交流、投入经营、责任行动或承接内化系统，置信度不高于中低。</x:v>
      </x:c>
      <x:c r="F65" s="94" t="str">
        <x:v>目前可以判断你更偏向某一类支持系统，但具体方式还需要更多证据。</x:v>
      </x:c>
      <x:c r="G65" s="94" t="str">
        <x:v>不得由本规则直接推出过度付出、付出失衡、依赖、控制、忠诚度、关系结果或适配度；不得把某种照顾方式等同于爱得更多或更少。</x:v>
      </x:c>
      <x:c r="H65" s="94" t="str">
        <x:v>report_status</x:v>
      </x:c>
      <x:c r="I65" s="94" t="str">
        <x:v>中高</x:v>
      </x:c>
    </x:row>
    <x:row r="66" ht="54" customHeight="1">
      <x:c r="A66" s="94" t="str">
        <x:v>M3-CARE-231</x:v>
      </x:c>
      <x:c r="B66" s="94" t="str">
        <x:v>置信</x:v>
      </x:c>
      <x:c r="C66" s="94" t="str">
        <x:v>SO13 中低／低／停止｜关键证据不足</x:v>
      </x:c>
      <x:c r="D66" s="94" t="str">
        <x:v>唯一信号弱远无根、合化争议、source_id缺失、主次无法裁决或基础失效。</x:v>
      </x:c>
      <x:c r="E66" s="94" t="str">
        <x:v>中低55、低40、停止0；不得生成确定性CARE画像。</x:v>
      </x:c>
      <x:c r="F66" s="94" t="str">
        <x:v>目前证据不足，只能保留有限方向或停止固定判断。</x:v>
      </x:c>
      <x:c r="G66" s="94" t="str">
        <x:v>不得由本规则直接推出过度付出、付出失衡、依赖、控制、忠诚度、关系结果或适配度；不得把某种照顾方式等同于爱得更多或更少。</x:v>
      </x:c>
      <x:c r="H66" s="94" t="str">
        <x:v>confidence</x:v>
      </x:c>
      <x:c r="I66" s="94" t="str">
        <x:v>高</x:v>
      </x:c>
    </x:row>
    <x:row r="67" ht="54" customHeight="1">
      <x:c r="A67" s="58" t="str">
        <x:v>M3-CARE-232</x:v>
      </x:c>
      <x:c r="B67" s="58" t="str">
        <x:v>输出</x:v>
      </x:c>
      <x:c r="C67" s="58" t="str">
        <x:v>SO14 最终字段权威｜CARE负责支持交换</x:v>
      </x:c>
      <x:c r="D67" s="58" t="str">
        <x:v>M3-SYNTH生成总报告。</x:v>
      </x:c>
      <x:c r="E67" s="58" t="str">
        <x:v>CARE对primary_care_channel、giving_content、investment_mode、continuity_mode、support_request_style、support_receiving_style、reciprocity_pattern和care_path拥有字段主权。</x:v>
      </x:c>
      <x:c r="F67" s="58" t="str">
        <x:v>模型三总报告中，付出、照顾和接受支持的内容以CARE模块为准。</x:v>
      </x:c>
      <x:c r="G67" s="58" t="str">
        <x:v>不得由本规则直接推出过度付出、付出失衡、依赖、控制、忠诚度、关系结果或适配度；不得把某种照顾方式等同于爱得更多或更少。</x:v>
      </x:c>
      <x:c r="H67" s="58" t="str">
        <x:v>provenance</x:v>
      </x:c>
      <x:c r="I67" s="58" t="str">
        <x:v>高</x:v>
      </x:c>
    </x:row>
    <x:row r="68" ht="54" customHeight="1">
      <x:c r="A68" s="94" t="str">
        <x:v>M3-CARE-236</x:v>
      </x:c>
      <x:c r="B68" s="94" t="str">
        <x:v>输出</x:v>
      </x:c>
      <x:c r="C68" s="94" t="str">
        <x:v>SO18 低置信／停止模板｜说明不确定原因</x:v>
      </x:c>
      <x:c r="D68" s="94" t="str">
        <x:v>主通道未达门槛、真合化未定或关键基础冲突。</x:v>
      </x:c>
      <x:c r="E68" s="94" t="str">
        <x:v>模板：目前只能判断你可能更偏向【五系统方向】，但【关键不确定原因】仍会改变具体付出与接受支持的方式，因此不宜写成固定结论。</x:v>
      </x:c>
      <x:c r="F68" s="94" t="str">
        <x:v>目前只能判断你可能更偏向【五系统方向】，但【关键不确定原因】仍会改变具体付出与接受支持的方式，因此不宜写成固定结论。</x:v>
      </x:c>
      <x:c r="G68" s="94" t="str">
        <x:v>不得由本规则直接推出过度付出、付出失衡、依赖、控制、忠诚度、关系结果或适配度；不得把某种照顾方式等同于爱得更多或更少。</x:v>
      </x:c>
      <x:c r="H68" s="94" t="str">
        <x:v>report_template</x:v>
      </x:c>
      <x:c r="I68" s="94" t="str">
        <x:v>高</x:v>
      </x:c>
    </x:row>
  </x:sheetData>
  <x:mergeCells>
    <x:mergeCell ref="A1:I1"/>
    <x:mergeCell ref="A2:I2"/>
  </x:mergeCells>
  <x:pageMargins left="0.7" right="0.7" top="0.75" bottom="0.75" header="0.3" footer="0.3"/>
  <x:tableParts count="1">
    <x:tablePart xmlns:r="http://schemas.openxmlformats.org/officeDocument/2006/relationships" r:id="R4c8df5eb345c4382"/>
  </x:tableParts>
</x:worksheet>
</file>

<file path=xl/worksheets/sheet9.xml><?xml version="1.0" encoding="utf-8"?>
<x:worksheet xmlns:x="http://schemas.openxmlformats.org/spreadsheetml/2006/main">
  <x:sheetFormatPr defaultRowHeight="15"/>
  <x:cols>
    <x:col min="1" max="1" width="16" hidden="0" customWidth="1"/>
    <x:col min="2" max="2" width="10" hidden="0" customWidth="1"/>
    <x:col min="3" max="3" width="20" hidden="0" customWidth="1"/>
    <x:col min="4" max="4" width="52" hidden="0" customWidth="1"/>
    <x:col min="5" max="5" width="38" hidden="0" customWidth="1"/>
    <x:col min="6" max="6" width="38" hidden="0" customWidth="1"/>
  </x:cols>
  <x:sheetData>
    <x:row r="1" ht="30" customHeight="1">
      <x:c r="A1" s="5" t="str">
        <x:v>CARE用户输出模板与可检索句库</x:v>
      </x:c>
      <x:c r="B1" s="5"/>
      <x:c r="C1" s="5"/>
      <x:c r="D1" s="5"/>
      <x:c r="E1" s="5"/>
      <x:c r="F1" s="5"/>
    </x:row>
    <x:row r="2" ht="32" customHeight="1">
      <x:c r="A2" s="13" t="str">
        <x:v>先确定编号，再从句库中选取并结合案例改写。模板必须保留条件、连续性与边界，不能只贴标签。</x:v>
      </x:c>
      <x:c r="B2" s="13"/>
      <x:c r="C2" s="13"/>
      <x:c r="D2" s="13"/>
      <x:c r="E2" s="13"/>
      <x:c r="F2" s="13"/>
    </x:row>
    <x:row r="3" ht="8" customHeight="1"/>
    <x:row r="4" ht="28" customHeight="1">
      <x:c r="A4" s="50" t="str">
        <x:v>类别</x:v>
      </x:c>
      <x:c r="B4" s="50" t="str">
        <x:v>编号</x:v>
      </x:c>
      <x:c r="C4" s="50" t="str">
        <x:v>用途</x:v>
      </x:c>
      <x:c r="D4" s="50" t="str">
        <x:v>可直接使用的句式</x:v>
      </x:c>
      <x:c r="E4" s="50" t="str">
        <x:v>使用条件</x:v>
      </x:c>
      <x:c r="F4" s="50" t="str">
        <x:v>禁止搭配</x:v>
      </x:c>
    </x:row>
    <x:row r="5" ht="50" customHeight="1">
      <x:c r="A5" s="58" t="str">
        <x:v>十神通道</x:v>
      </x:c>
      <x:c r="B5" s="58" t="str">
        <x:v>CA01</x:v>
      </x:c>
      <x:c r="C5" s="58" t="str">
        <x:v>并肩互助</x:v>
      </x:c>
      <x:c r="D5" s="58" t="str">
        <x:v>你更容易通过平等参与、分工、信息共享与自主支持来照顾关系。具体表现为：愿意并肩完成事情、共享信息、讨论分工、尊重对方自己处理的部分，并在需要时补位。</x:v>
      </x:c>
      <x:c r="E5" s="58" t="str">
        <x:v>比肩通道有效，基础状态可靠。</x:v>
      </x:c>
      <x:c r="F5" s="58" t="str">
        <x:v>不得推出用户计较、冷淡、不愿照顾、凡事AA、缺乏亲密或一定拒绝依赖。</x:v>
      </x:c>
    </x:row>
    <x:row r="6" ht="50" customHeight="1">
      <x:c r="A6" s="62" t="str">
        <x:v>十神通道</x:v>
      </x:c>
      <x:c r="B6" s="62" t="str">
        <x:v>CA02</x:v>
      </x:c>
      <x:c r="C6" s="62" t="str">
        <x:v>即时协作</x:v>
      </x:c>
      <x:c r="D6" s="62" t="str">
        <x:v>你更容易通过即时响应、共同执行、资源动员与现场补位来照顾关系。具体表现为：遇到事情时会主动出现、一起跑流程、联系资源、推动进度，或直接加入对方正在做的事。</x:v>
      </x:c>
      <x:c r="E6" s="62" t="str">
        <x:v>劫财通道有效，基础状态可靠。</x:v>
      </x:c>
      <x:c r="F6" s="62" t="str">
        <x:v>不得推出用户争抢、冲动花钱、爱竞争、关系中有第三者、资源一定失控或无法长期坚持。</x:v>
      </x:c>
    </x:row>
    <x:row r="7" ht="50" customHeight="1">
      <x:c r="A7" s="58" t="str">
        <x:v>十神通道</x:v>
      </x:c>
      <x:c r="B7" s="58" t="str">
        <x:v>CA03</x:v>
      </x:c>
      <x:c r="C7" s="58" t="str">
        <x:v>舒缓照料</x:v>
      </x:c>
      <x:c r="D7" s="58" t="str">
        <x:v>你更容易通过陪伴、舒缓、日常照料与情绪安抚来照顾关系。具体表现为：会用陪伴、做饭、分享、照顾休息、缓和氛围、提供情绪价值或让对方放松来表达支持。</x:v>
      </x:c>
      <x:c r="E7" s="58" t="str">
        <x:v>食神通道有效，基础状态可靠。</x:v>
      </x:c>
      <x:c r="F7" s="58" t="str">
        <x:v>不得推出用户讨好、懒散、没有原则、只会提供情绪价值、一定擅长家务或永远情绪稳定。</x:v>
      </x:c>
    </x:row>
    <x:row r="8" ht="50" customHeight="1">
      <x:c r="A8" s="62" t="str">
        <x:v>十神通道</x:v>
      </x:c>
      <x:c r="B8" s="62" t="str">
        <x:v>CA04</x:v>
      </x:c>
      <x:c r="C8" s="62" t="str">
        <x:v>解题支持</x:v>
      </x:c>
      <x:c r="D8" s="62" t="str">
        <x:v>你更容易通过信息、建议、分析、技能与解决方案来照顾关系。具体表现为：会认真听问题、拆解原因、提供建议、查资料、指出遗漏、设计更有效的处理方法。</x:v>
      </x:c>
      <x:c r="E8" s="62" t="str">
        <x:v>伤官通道有效，基础状态可靠。</x:v>
      </x:c>
      <x:c r="F8" s="62" t="str">
        <x:v>不得推出用户爱批评、说话伤人、只会讲道理、缺少情绪价值、一定和伴侣争辩或不尊重对方。</x:v>
      </x:c>
    </x:row>
    <x:row r="9" ht="50" customHeight="1">
      <x:c r="A9" s="58" t="str">
        <x:v>十神通道</x:v>
      </x:c>
      <x:c r="B9" s="58" t="str">
        <x:v>CA05</x:v>
      </x:c>
      <x:c r="C9" s="58" t="str">
        <x:v>稳定投入</x:v>
      </x:c>
      <x:c r="D9" s="58" t="str">
        <x:v>你更容易通过时间、金钱、生活事务、持续出现与现实安排来照顾关系。具体表现为：会记住承诺、安排时间、处理生活细节、分配预算、持续出现、把对方纳入现实计划。</x:v>
      </x:c>
      <x:c r="E9" s="58" t="str">
        <x:v>正财通道有效，基础状态可靠。</x:v>
      </x:c>
      <x:c r="F9" s="58" t="str">
        <x:v>不得推出用户功利、只看金钱、精于算计、缺乏浪漫、一定顾家或必然承担全部家务。</x:v>
      </x:c>
    </x:row>
    <x:row r="10" ht="50" customHeight="1">
      <x:c r="A10" s="62" t="str">
        <x:v>十神通道</x:v>
      </x:c>
      <x:c r="B10" s="62" t="str">
        <x:v>CA06</x:v>
      </x:c>
      <x:c r="C10" s="62" t="str">
        <x:v>灵活馈赠</x:v>
      </x:c>
      <x:c r="D10" s="62" t="str">
        <x:v>你更容易通过灵活资源、礼物、体验、人脉与即时便利来照顾关系。具体表现为：会邀约、送礼、制造体验、临时调整安排、分享资源和人脉，或在当下迅速满足一个具体需要。</x:v>
      </x:c>
      <x:c r="E10" s="62" t="str">
        <x:v>偏财通道有效，基础状态可靠。</x:v>
      </x:c>
      <x:c r="F10" s="62" t="str">
        <x:v>不得推出用户花心、挥霍、爱暧昧、只追求新鲜、不会负责或一定擅长社交。</x:v>
      </x:c>
    </x:row>
    <x:row r="11" ht="50" customHeight="1">
      <x:c r="A11" s="58" t="str">
        <x:v>十神通道</x:v>
      </x:c>
      <x:c r="B11" s="58" t="str">
        <x:v>CA07</x:v>
      </x:c>
      <x:c r="C11" s="58" t="str">
        <x:v>责任承担</x:v>
      </x:c>
      <x:c r="D11" s="58" t="str">
        <x:v>你更容易通过承诺、守约、角色责任、分工与共同规则来照顾关系。具体表现为：会按约完成、主动承担固定事务、给出清楚交代、维护共同规则，并在需要时承担角色责任。</x:v>
      </x:c>
      <x:c r="E11" s="58" t="str">
        <x:v>正官通道有效，基础状态可靠。</x:v>
      </x:c>
      <x:c r="F11" s="58" t="str">
        <x:v>不得推出用户古板、爱管人、权威主义、没有情感、一定遵循传统角色或关系必然稳定。</x:v>
      </x:c>
    </x:row>
    <x:row r="12" ht="50" customHeight="1">
      <x:c r="A12" s="62" t="str">
        <x:v>十神通道</x:v>
      </x:c>
      <x:c r="B12" s="62" t="str">
        <x:v>CA08</x:v>
      </x:c>
      <x:c r="C12" s="62" t="str">
        <x:v>行动保护</x:v>
      </x:c>
      <x:c r="D12" s="62" t="str">
        <x:v>你更容易通过危机处理、保护、决断、推进与高压任务承担来照顾关系。具体表现为：会迅速采取行动、保护对方、处理棘手事务、做决定、承担高压任务或替关系推进关键环节。</x:v>
      </x:c>
      <x:c r="E12" s="62" t="str">
        <x:v>七杀通道有效，基础状态可靠。</x:v>
      </x:c>
      <x:c r="F12" s="62" t="str">
        <x:v>不得推出用户暴力、强迫、控制欲强、情绪粗暴、一定替对方做决定或关系存在危险。</x:v>
      </x:c>
    </x:row>
    <x:row r="13" ht="50" customHeight="1">
      <x:c r="A13" s="58" t="str">
        <x:v>十神通道</x:v>
      </x:c>
      <x:c r="B13" s="58" t="str">
        <x:v>CA09</x:v>
      </x:c>
      <x:c r="C13" s="58" t="str">
        <x:v>安全承接</x:v>
      </x:c>
      <x:c r="D13" s="58" t="str">
        <x:v>你更容易通过倾听、理解、知识、健康照顾与稳定承接来照顾关系。具体表现为：会倾听、安抚、照顾健康和休息、提供信息或经验、记住对方的状态，并给出稳定支持。</x:v>
      </x:c>
      <x:c r="E13" s="58" t="str">
        <x:v>正印通道有效，基础状态可靠。</x:v>
      </x:c>
      <x:c r="F13" s="58" t="str">
        <x:v>不得推出用户依赖、软弱、母性／父性过强、没有边界、喜欢被照顾或一定牺牲自己。</x:v>
      </x:c>
    </x:row>
    <x:row r="14" ht="50" customHeight="1">
      <x:c r="A14" s="62" t="str">
        <x:v>十神通道</x:v>
      </x:c>
      <x:c r="B14" s="62" t="str">
        <x:v>CA10</x:v>
      </x:c>
      <x:c r="C14" s="62" t="str">
        <x:v>个性支持</x:v>
      </x:c>
      <x:c r="D14" s="62" t="str">
        <x:v>你更容易通过洞察、专业方法、私人空间、定制资源与选择性回应来照顾关系。具体表现为：会观察细节、给出专业建议、寻找小众资源、提供安静陪伴、尊重独处，或用定制化方式帮助对方。</x:v>
      </x:c>
      <x:c r="E14" s="62" t="str">
        <x:v>偏印通道有效，基础状态可靠。</x:v>
      </x:c>
      <x:c r="F14" s="62" t="str">
        <x:v>不得推出用户冷漠、神秘、回避亲密、精神异常、故意不说或不愿接受任何帮助。</x:v>
      </x:c>
    </x:row>
    <x:row r="15" ht="50" customHeight="1">
      <x:c r="A15" s="58" t="str">
        <x:v>投入启动</x:v>
      </x:c>
      <x:c r="B15" s="58" t="str">
        <x:v>G01</x:v>
      </x:c>
      <x:c r="C15" s="58" t="str">
        <x:v>主动投入</x:v>
      </x:c>
      <x:c r="D15" s="58" t="str">
        <x:v>当你认定关系需要被照顾时，通常会较早主动安排、询问或承担。</x:v>
      </x:c>
      <x:c r="E15" s="58" t="str">
        <x:v>主动启动证据成立。</x:v>
      </x:c>
      <x:c r="F15" s="58" t="str">
        <x:v>不写成爱得更多。</x:v>
      </x:c>
    </x:row>
    <x:row r="16" ht="50" customHeight="1">
      <x:c r="A16" s="62" t="str">
        <x:v>投入启动</x:v>
      </x:c>
      <x:c r="B16" s="62" t="str">
        <x:v>G02</x:v>
      </x:c>
      <x:c r="C16" s="62" t="str">
        <x:v>回应式支持</x:v>
      </x:c>
      <x:c r="D16" s="62" t="str">
        <x:v>你更容易在需求被说清楚、对方先发出信号后，给出具体而有针对性的回应。</x:v>
      </x:c>
      <x:c r="E16" s="62" t="str">
        <x:v>回应式证据成立。</x:v>
      </x:c>
      <x:c r="F16" s="62" t="str">
        <x:v>不写成被动或不主动。</x:v>
      </x:c>
    </x:row>
    <x:row r="17" ht="50" customHeight="1">
      <x:c r="A17" s="58" t="str">
        <x:v>投入启动</x:v>
      </x:c>
      <x:c r="B17" s="58" t="str">
        <x:v>G03</x:v>
      </x:c>
      <x:c r="C17" s="58" t="str">
        <x:v>共同启动</x:v>
      </x:c>
      <x:c r="D17" s="58" t="str">
        <x:v>你更习惯把支持做成双方一起参与的过程，重视共同承担和彼此补位。</x:v>
      </x:c>
      <x:c r="E17" s="58" t="str">
        <x:v>协作与比劫证据成立。</x:v>
      </x:c>
      <x:c r="F17" s="58" t="str">
        <x:v>不写成凡事AA。</x:v>
      </x:c>
    </x:row>
    <x:row r="18" ht="50" customHeight="1">
      <x:c r="A18" s="62" t="str">
        <x:v>投入启动</x:v>
      </x:c>
      <x:c r="B18" s="62" t="str">
        <x:v>G04</x:v>
      </x:c>
      <x:c r="C18" s="62" t="str">
        <x:v>条件启动</x:v>
      </x:c>
      <x:c r="D18" s="62" t="str">
        <x:v>你并非不愿付出，而是更需要确认问题、责任或资源边界以后再开始支持。</x:v>
      </x:c>
      <x:c r="E18" s="62" t="str">
        <x:v>条件门槛有独立证据。</x:v>
      </x:c>
      <x:c r="F18" s="62" t="str">
        <x:v>不写成冷漠或算计。</x:v>
      </x:c>
    </x:row>
    <x:row r="19" ht="50" customHeight="1">
      <x:c r="A19" s="58" t="str">
        <x:v>连续性</x:v>
      </x:c>
      <x:c r="B19" s="58" t="str">
        <x:v>N01</x:v>
      </x:c>
      <x:c r="C19" s="58" t="str">
        <x:v>稳定重复</x:v>
      </x:c>
      <x:c r="D19" s="58" t="str">
        <x:v>你的支持更容易以重复、可预期的方式出现，不只依赖临时情绪或单次事件。</x:v>
      </x:c>
      <x:c r="E19" s="58" t="str">
        <x:v>有根、近位、重复行为。</x:v>
      </x:c>
      <x:c r="F19" s="58" t="str">
        <x:v>不等于关系一定稳定。</x:v>
      </x:c>
    </x:row>
    <x:row r="20" ht="50" customHeight="1">
      <x:c r="A20" s="62" t="str">
        <x:v>连续性</x:v>
      </x:c>
      <x:c r="B20" s="62" t="str">
        <x:v>N02</x:v>
      </x:c>
      <x:c r="C20" s="62" t="str">
        <x:v>事件触发</x:v>
      </x:c>
      <x:c r="D20" s="62" t="str">
        <x:v>你的投入更容易在有明确事情、目标或需要时迅速出现，平时未必以同样频率外显。</x:v>
      </x:c>
      <x:c r="E20" s="62" t="str">
        <x:v>任务型信号主导。</x:v>
      </x:c>
      <x:c r="F20" s="62" t="str">
        <x:v>不写成平时不在意。</x:v>
      </x:c>
    </x:row>
    <x:row r="21" ht="50" customHeight="1">
      <x:c r="A21" s="58" t="str">
        <x:v>连续性</x:v>
      </x:c>
      <x:c r="B21" s="58" t="str">
        <x:v>N03</x:v>
      </x:c>
      <x:c r="C21" s="58" t="str">
        <x:v>熟悉累积</x:v>
      </x:c>
      <x:c r="D21" s="58" t="str">
        <x:v>你的支持往往在关系熟悉以后越来越稳定，需要时间让对方看见完整投入。</x:v>
      </x:c>
      <x:c r="E21" s="58" t="str">
        <x:v>藏而有根或熟悉路径。</x:v>
      </x:c>
      <x:c r="F21" s="58" t="str">
        <x:v>不写成慢热人格诊断。</x:v>
      </x:c>
    </x:row>
    <x:row r="22" ht="50" customHeight="1">
      <x:c r="A22" s="62" t="str">
        <x:v>连续性</x:v>
      </x:c>
      <x:c r="B22" s="62" t="str">
        <x:v>N04</x:v>
      </x:c>
      <x:c r="C22" s="62" t="str">
        <x:v>未定</x:v>
      </x:c>
      <x:c r="D22" s="62" t="str">
        <x:v>目前只能确认你在某些情境会投入，但还不足以判断这种方式是否长期稳定。</x:v>
      </x:c>
      <x:c r="E22" s="62" t="str">
        <x:v>单次、弱远或阶段性。</x:v>
      </x:c>
      <x:c r="F22" s="62" t="str">
        <x:v>不得强写稳定模式。</x:v>
      </x:c>
    </x:row>
    <x:row r="23" ht="50" customHeight="1">
      <x:c r="A23" s="58" t="str">
        <x:v>交换结构</x:v>
      </x:c>
      <x:c r="B23" s="58" t="str">
        <x:v>CE01</x:v>
      </x:c>
      <x:c r="C23" s="58" t="str">
        <x:v>同步互惠</x:v>
      </x:c>
      <x:c r="D23" s="58" t="str">
        <x:v>你更容易在双方都能及时回应、支持有来有回时感受到关系在共同运转。</x:v>
      </x:c>
      <x:c r="E23" s="58" t="str">
        <x:v>FB01或FB02成立；双方行为证据可见且来源独立。</x:v>
      </x:c>
      <x:c r="F23" s="58" t="str">
        <x:v>不得由交换结构直接推出公平、失衡或关系结果。</x:v>
      </x:c>
    </x:row>
    <x:row r="24" ht="50" customHeight="1">
      <x:c r="A24" s="62" t="str">
        <x:v>交换结构</x:v>
      </x:c>
      <x:c r="B24" s="62" t="str">
        <x:v>CE02</x:v>
      </x:c>
      <x:c r="C24" s="62" t="str">
        <x:v>错峰互惠</x:v>
      </x:c>
      <x:c r="D24" s="62" t="str">
        <x:v>你们的支持可能不是同时发生，而是随着不同阶段轮流承担和回馈。</x:v>
      </x:c>
      <x:c r="E24" s="62" t="str">
        <x:v>存在先给后收或先收后回的独立时间顺序；并非单向长期缺失。</x:v>
      </x:c>
      <x:c r="F24" s="62" t="str">
        <x:v>不得由交换结构直接推出公平、失衡或关系结果。</x:v>
      </x:c>
    </x:row>
    <x:row r="25" ht="50" customHeight="1">
      <x:c r="A25" s="58" t="str">
        <x:v>交换结构</x:v>
      </x:c>
      <x:c r="B25" s="58" t="str">
        <x:v>CE03</x:v>
      </x:c>
      <x:c r="C25" s="58" t="str">
        <x:v>角色分工</x:v>
      </x:c>
      <x:c r="D25" s="58" t="str">
        <x:v>关系中的支持更可能通过分工完成：一项负责现实事务，另一项负责情绪、认知或行动支持。</x:v>
      </x:c>
      <x:c r="E25" s="58" t="str">
        <x:v>FB03角色分工成立；两个通道功能不同且没有同源重复。</x:v>
      </x:c>
      <x:c r="F25" s="58" t="str">
        <x:v>不得由交换结构直接推出公平、失衡或关系结果。</x:v>
      </x:c>
    </x:row>
    <x:row r="26" ht="50" customHeight="1">
      <x:c r="A26" s="62" t="str">
        <x:v>交换结构</x:v>
      </x:c>
      <x:c r="B26" s="62" t="str">
        <x:v>CE04</x:v>
      </x:c>
      <x:c r="C26" s="62" t="str">
        <x:v>先给后收</x:v>
      </x:c>
      <x:c r="D26" s="62" t="str">
        <x:v>你可能先通过行动或安排表达支持，等确认对方能够回应和尊重你以后，再更充分地接受帮助。</x:v>
      </x:c>
      <x:c r="E26" s="62" t="str">
        <x:v>G01主动投入与RC02/RC03接受方式同时成立，且路径顺序有独立证据。</x:v>
      </x:c>
      <x:c r="F26" s="62" t="str">
        <x:v>不得由交换结构直接推出公平、失衡或关系结果。</x:v>
      </x:c>
    </x:row>
    <x:row r="27" ht="50" customHeight="1">
      <x:c r="A27" s="58" t="str">
        <x:v>交换结构</x:v>
      </x:c>
      <x:c r="B27" s="58" t="str">
        <x:v>CE05</x:v>
      </x:c>
      <x:c r="C27" s="58" t="str">
        <x:v>先收后回</x:v>
      </x:c>
      <x:c r="D27" s="58" t="str">
        <x:v>你更容易在先被理解、得到清楚支持后，再把这份支持转化为实际行动和回馈。</x:v>
      </x:c>
      <x:c r="E27" s="58" t="str">
        <x:v>正印/偏印接收与财官杀回馈形成有效桥梁。</x:v>
      </x:c>
      <x:c r="F27" s="58" t="str">
        <x:v>不得由交换结构直接推出公平、失衡或关系结果。</x:v>
      </x:c>
    </x:row>
    <x:row r="28" ht="50" customHeight="1">
      <x:c r="A28" s="62" t="str">
        <x:v>交换结构</x:v>
      </x:c>
      <x:c r="B28" s="62" t="str">
        <x:v>CE06</x:v>
      </x:c>
      <x:c r="C28" s="62" t="str">
        <x:v>单向可见候选</x:v>
      </x:c>
      <x:c r="D28" s="62" t="str">
        <x:v>目前较容易看见你怎样付出，但怎样接受和回馈还需要真实相处资料，不能直接判断为单向关系。</x:v>
      </x:c>
      <x:c r="E28" s="62" t="str">
        <x:v>用户自述或命理证据只覆盖给予或接受一侧，缺少双向独立证据。</x:v>
      </x:c>
      <x:c r="F28" s="62" t="str">
        <x:v>不得由交换结构直接推出公平、失衡或关系结果。</x:v>
      </x:c>
    </x:row>
    <x:row r="29" ht="50" customHeight="1">
      <x:c r="A29" s="58" t="str">
        <x:v>交换结构</x:v>
      </x:c>
      <x:c r="B29" s="58" t="str">
        <x:v>CE07</x:v>
      </x:c>
      <x:c r="C29" s="58" t="str">
        <x:v>同义收敛</x:v>
      </x:c>
      <x:c r="D29" s="58" t="str">
        <x:v>看似有多项支持方式时，会先检查是否只是同一行为的不同解释，避免重复堆叠。</x:v>
      </x:c>
      <x:c r="E29" s="58" t="str">
        <x:v>同一source_id、同根透干或BASE/EXPR/CARE读取同一事实。</x:v>
      </x:c>
      <x:c r="F29" s="58" t="str">
        <x:v>不得由交换结构直接推出公平、失衡或关系结果。</x:v>
      </x:c>
    </x:row>
    <x:row r="30" ht="50" customHeight="1">
      <x:c r="A30" s="62" t="str">
        <x:v>交换结构</x:v>
      </x:c>
      <x:c r="B30" s="62" t="str">
        <x:v>CE08</x:v>
      </x:c>
      <x:c r="C30" s="62" t="str">
        <x:v>交换结构未定</x:v>
      </x:c>
      <x:c r="D30" s="62" t="str">
        <x:v>目前可以描述你的主要支持方式，但双方怎样形成稳定交换仍不宜固定判断。</x:v>
      </x:c>
      <x:c r="E30" s="62" t="str">
        <x:v>关键source_id缺失、主次分差不足、伴侣反馈缺失或基础状态争议。</x:v>
      </x:c>
      <x:c r="F30" s="62" t="str">
        <x:v>不得由交换结构直接推出公平、失衡或关系结果。</x:v>
      </x:c>
    </x:row>
    <x:row r="31" ht="50" customHeight="1">
      <x:c r="A31" s="58" t="str">
        <x:v>报告模板</x:v>
      </x:c>
      <x:c r="B31" s="58" t="str">
        <x:v>TPL01</x:v>
      </x:c>
      <x:c r="C31" s="58" t="str">
        <x:v>单通道</x:v>
      </x:c>
      <x:c r="D31" s="58" t="str">
        <x:v>你更习惯通过【主要通道】照顾关系。具体会【行为】；这种投入通常在【启动条件】出现，并以【连续性】维持。你更容易接受【接收方式】的帮助。</x:v>
      </x:c>
      <x:c r="E31" s="58" t="str">
        <x:v>一个主通道清楚。</x:v>
      </x:c>
      <x:c r="F31" s="58" t="str">
        <x:v>不要堆叠全部候选。</x:v>
      </x:c>
    </x:row>
    <x:row r="32" ht="50" customHeight="1">
      <x:c r="A32" s="62" t="str">
        <x:v>报告模板</x:v>
      </x:c>
      <x:c r="B32" s="62" t="str">
        <x:v>TPL02</x:v>
      </x:c>
      <x:c r="C32" s="62" t="str">
        <x:v>双通道</x:v>
      </x:c>
      <x:c r="D32" s="62" t="str">
        <x:v>你主要用【A】完成【功能一】，同时用【B】补充【功能二】。A更常在【情境】启动，B负责【落实／承接／回馈】。</x:v>
      </x:c>
      <x:c r="E32" s="62" t="str">
        <x:v>CP11成立。</x:v>
      </x:c>
      <x:c r="F32" s="62" t="str">
        <x:v>两个通道必须来源独立、功能不同。</x:v>
      </x:c>
    </x:row>
    <x:row r="33" ht="50" customHeight="1">
      <x:c r="A33" s="58" t="str">
        <x:v>报告模板</x:v>
      </x:c>
      <x:c r="B33" s="58" t="str">
        <x:v>TPL03</x:v>
      </x:c>
      <x:c r="C33" s="58" t="str">
        <x:v>事件触发</x:v>
      </x:c>
      <x:c r="D33" s="58" t="str">
        <x:v>遇到【任务或困难】时，你更容易迅速通过【行动】提供支持。但目前证据更能说明关键情境中的反应，是否稳定进入所有日常关系仍需要观察。</x:v>
      </x:c>
      <x:c r="E33" s="58" t="str">
        <x:v>N02成立。</x:v>
      </x:c>
      <x:c r="F33" s="58" t="str">
        <x:v>不把单次行为写成长期模式。</x:v>
      </x:c>
    </x:row>
    <x:row r="34" ht="50" customHeight="1">
      <x:c r="A34" s="62" t="str">
        <x:v>报告模板</x:v>
      </x:c>
      <x:c r="B34" s="62" t="str">
        <x:v>TPL04</x:v>
      </x:c>
      <x:c r="C34" s="62" t="str">
        <x:v>先收后回</x:v>
      </x:c>
      <x:c r="D34" s="62" t="str">
        <x:v>你更容易先通过【理解／安全／信息】确认自己真正需要什么。被接住以后，再用【现实投入／责任／行动】完成回馈。</x:v>
      </x:c>
      <x:c r="E34" s="62" t="str">
        <x:v>CE05成立。</x:v>
      </x:c>
      <x:c r="F34" s="62" t="str">
        <x:v>需要真实桥梁，不能只靠五行生助。</x:v>
      </x:c>
    </x:row>
    <x:row r="35" ht="50" customHeight="1">
      <x:c r="A35" s="58" t="str">
        <x:v>报告模板</x:v>
      </x:c>
      <x:c r="B35" s="58" t="str">
        <x:v>TPL05</x:v>
      </x:c>
      <x:c r="C35" s="58" t="str">
        <x:v>低置信</x:v>
      </x:c>
      <x:c r="D35" s="58" t="str">
        <x:v>目前只能判断你可能更偏向【五系统方向】，但【关键不确定原因】仍会改变具体付出与接受支持的方式，因此不宜写成固定结论。</x:v>
      </x:c>
      <x:c r="E35" s="58" t="str">
        <x:v>停止或中低置信。</x:v>
      </x:c>
      <x:c r="F35" s="58" t="str">
        <x:v>必须说明不确定原因。</x:v>
      </x:c>
    </x:row>
  </x:sheetData>
  <x:mergeCells>
    <x:mergeCell ref="A1:F1"/>
    <x:mergeCell ref="A2:F2"/>
  </x:mergeCells>
  <x:pageMargins left="0.7" right="0.7" top="0.75" bottom="0.75" header="0.3" footer="0.3"/>
  <x:tableParts count="1">
    <x:tablePart xmlns:r="http://schemas.openxmlformats.org/officeDocument/2006/relationships" r:id="R003380459b9e4ba0"/>
  </x:tableParts>
</x:worksheet>
</file>

<file path=xl/worksheets/sheet10.xml><?xml version="1.0" encoding="utf-8"?>
<x:worksheet xmlns:x="http://schemas.openxmlformats.org/spreadsheetml/2006/main">
  <x:sheetFormatPr defaultRowHeight="15"/>
  <x:cols>
    <x:col min="1" max="1" width="18" hidden="0" customWidth="1"/>
    <x:col min="2" max="2" width="12" hidden="0" customWidth="1"/>
    <x:col min="3" max="3" width="12" hidden="0" customWidth="1"/>
    <x:col min="4" max="4" width="32" hidden="0" customWidth="1"/>
    <x:col min="5" max="5" width="22" hidden="0" customWidth="1"/>
    <x:col min="6" max="6" width="22" hidden="0" customWidth="1"/>
    <x:col min="7" max="7" width="22" hidden="0" customWidth="1"/>
    <x:col min="8" max="8" width="20" hidden="0" customWidth="1"/>
    <x:col min="9" max="9" width="16" hidden="0" customWidth="1"/>
    <x:col min="10" max="10" width="18" hidden="0" customWidth="1"/>
    <x:col min="11" max="11" width="22" hidden="0" customWidth="1"/>
    <x:col min="12" max="12" width="24" hidden="0" customWidth="1"/>
    <x:col min="13" max="13" width="38" hidden="0" customWidth="1"/>
    <x:col min="14" max="14" width="38" hidden="0" customWidth="1"/>
    <x:col min="15" max="15" width="12" hidden="0" customWidth="1"/>
    <x:col min="16" max="16" width="18" hidden="0" customWidth="1"/>
    <x:col min="17" max="17" width="28" hidden="0" customWidth="1"/>
    <x:col min="18" max="18" width="30" hidden="0" customWidth="1"/>
  </x:cols>
  <x:sheetData>
    <x:row r="1" ht="30" customHeight="1">
      <x:c r="A1" s="5" t="str">
        <x:v>M3-CARE案例验证与偏差记录</x:v>
      </x:c>
      <x:c r="B1" s="5"/>
      <x:c r="C1" s="5"/>
      <x:c r="D1" s="5"/>
      <x:c r="E1" s="5"/>
      <x:c r="F1" s="5"/>
      <x:c r="G1" s="5"/>
      <x:c r="H1" s="5"/>
      <x:c r="I1" s="5"/>
      <x:c r="J1" s="5"/>
      <x:c r="K1" s="5"/>
      <x:c r="L1" s="5"/>
      <x:c r="M1" s="5"/>
      <x:c r="N1" s="5"/>
      <x:c r="O1" s="5"/>
      <x:c r="P1" s="5"/>
      <x:c r="Q1" s="5"/>
      <x:c r="R1" s="5"/>
    </x:row>
    <x:row r="2" ht="32" customHeight="1">
      <x:c r="A2" s="13" t="str">
        <x:v>案例必须分别记录模型输出和真实反馈。一次事件不能单独验证长期连续性，最好同时收集用户自述与伴侣观察。</x:v>
      </x:c>
      <x:c r="B2" s="13"/>
      <x:c r="C2" s="13"/>
      <x:c r="D2" s="13"/>
      <x:c r="E2" s="13"/>
      <x:c r="F2" s="13"/>
      <x:c r="G2" s="13"/>
      <x:c r="H2" s="13"/>
      <x:c r="I2" s="13"/>
      <x:c r="J2" s="13"/>
      <x:c r="K2" s="13"/>
      <x:c r="L2" s="13"/>
      <x:c r="M2" s="13"/>
      <x:c r="N2" s="13"/>
      <x:c r="O2" s="13"/>
      <x:c r="P2" s="13"/>
      <x:c r="Q2" s="13"/>
      <x:c r="R2" s="13"/>
    </x:row>
    <x:row r="3" ht="8" customHeight="1"/>
    <x:row r="4" ht="28" customHeight="1">
      <x:c r="A4" s="50" t="str">
        <x:v>案例ID</x:v>
      </x:c>
      <x:c r="B4" s="50" t="str">
        <x:v>案例日期</x:v>
      </x:c>
      <x:c r="C4" s="50" t="str">
        <x:v>资料来源</x:v>
      </x:c>
      <x:c r="D4" s="50" t="str">
        <x:v>命盘结构摘要</x:v>
      </x:c>
      <x:c r="E4" s="50" t="str">
        <x:v>BASE结果</x:v>
      </x:c>
      <x:c r="F4" s="50" t="str">
        <x:v>主CARE通道</x:v>
      </x:c>
      <x:c r="G4" s="50" t="str">
        <x:v>次CARE通道</x:v>
      </x:c>
      <x:c r="H4" s="50" t="str">
        <x:v>CARE模式</x:v>
      </x:c>
      <x:c r="I4" s="50" t="str">
        <x:v>投入启动</x:v>
      </x:c>
      <x:c r="J4" s="50" t="str">
        <x:v>连续性</x:v>
      </x:c>
      <x:c r="K4" s="50" t="str">
        <x:v>接受支持</x:v>
      </x:c>
      <x:c r="L4" s="50" t="str">
        <x:v>交换结构／路径</x:v>
      </x:c>
      <x:c r="M4" s="50" t="str">
        <x:v>模型输出摘要</x:v>
      </x:c>
      <x:c r="N4" s="50" t="str">
        <x:v>真实反馈</x:v>
      </x:c>
      <x:c r="O4" s="50" t="str">
        <x:v>匹配程度</x:v>
      </x:c>
      <x:c r="P4" s="50" t="str">
        <x:v>偏差类型</x:v>
      </x:c>
      <x:c r="Q4" s="50" t="str">
        <x:v>关联规则ID</x:v>
      </x:c>
      <x:c r="R4" s="50" t="str">
        <x:v>备注</x:v>
      </x:c>
    </x:row>
    <x:row r="5" ht="46" customHeight="1">
      <x:c r="A5" s="58" t="str">
        <x:v>M3-CARE-CASE-001</x:v>
      </x:c>
      <x:c r="B5" s="58" t="str"/>
      <x:c r="C5" s="58" t="str">
        <x:v>示例</x:v>
      </x:c>
      <x:c r="D5" s="58" t="str">
        <x:v>正财近位有根；正官独立有效</x:v>
      </x:c>
      <x:c r="E5" s="58" t="str">
        <x:v>稳定经营底盘</x:v>
      </x:c>
      <x:c r="F5" s="58" t="str">
        <x:v>CA05 正财稳定投入</x:v>
      </x:c>
      <x:c r="G5" s="58" t="str">
        <x:v>CA07 正官责任承担</x:v>
      </x:c>
      <x:c r="H5" s="58" t="str">
        <x:v>CP05 稳定经营</x:v>
      </x:c>
      <x:c r="I5" s="58" t="str">
        <x:v>G01 主动</x:v>
      </x:c>
      <x:c r="J5" s="58" t="str">
        <x:v>N01 稳定重复</x:v>
      </x:c>
      <x:c r="K5" s="58" t="str">
        <x:v>RC03 先验证再接收</x:v>
      </x:c>
      <x:c r="L5" s="58" t="str">
        <x:v>CE03／CF04</x:v>
      </x:c>
      <x:c r="M5" s="58" t="str">
        <x:v>持续安排→固定责任</x:v>
      </x:c>
      <x:c r="N5" s="58" t="str"/>
      <x:c r="O5" s="58" t="str">
        <x:v>待填写</x:v>
      </x:c>
      <x:c r="P5" s="58" t="str">
        <x:v>待填写</x:v>
      </x:c>
      <x:c r="Q5" s="58" t="str">
        <x:v>M3-CARE-055,M3-CARE-063,M3-CARE-130,M3-CARE-162</x:v>
      </x:c>
      <x:c r="R5" s="58" t="str"/>
    </x:row>
    <x:row r="6" ht="46" customHeight="1">
      <x:c r="A6" s="62" t="str">
        <x:v>M3-CARE-CASE-002</x:v>
      </x:c>
      <x:c r="B6" s="62" t="str"/>
      <x:c r="C6" s="62" t="str">
        <x:v>示例</x:v>
      </x:c>
      <x:c r="D6" s="62" t="str">
        <x:v>食神主气有根；正印独立支持</x:v>
      </x:c>
      <x:c r="E6" s="62" t="str">
        <x:v>舒缓陪伴底盘</x:v>
      </x:c>
      <x:c r="F6" s="62" t="str">
        <x:v>CA03 食神舒缓照料</x:v>
      </x:c>
      <x:c r="G6" s="62" t="str">
        <x:v>CA09 正印安全承接</x:v>
      </x:c>
      <x:c r="H6" s="62" t="str">
        <x:v>CP06 舒缓照料</x:v>
      </x:c>
      <x:c r="I6" s="62" t="str">
        <x:v>G02 回应</x:v>
      </x:c>
      <x:c r="J6" s="62" t="str">
        <x:v>N01 稳定重复</x:v>
      </x:c>
      <x:c r="K6" s="62" t="str">
        <x:v>RC01 直接接收</x:v>
      </x:c>
      <x:c r="L6" s="62" t="str">
        <x:v>CE01／CF08</x:v>
      </x:c>
      <x:c r="M6" s="62" t="str">
        <x:v>陪伴安抚→反馈调整</x:v>
      </x:c>
      <x:c r="N6" s="62" t="str"/>
      <x:c r="O6" s="62" t="str">
        <x:v>待填写</x:v>
      </x:c>
      <x:c r="P6" s="62" t="str">
        <x:v>待填写</x:v>
      </x:c>
      <x:c r="Q6" s="62" t="str">
        <x:v>M3-CARE-035,M3-CARE-077,M3-CARE-137,M3-CARE-166</x:v>
      </x:c>
      <x:c r="R6" s="62" t="str"/>
    </x:row>
    <x:row r="7" ht="46" customHeight="1">
      <x:c r="A7" s="58" t="str">
        <x:v>M3-CARE-CASE-003</x:v>
      </x:c>
      <x:c r="B7" s="58" t="str"/>
      <x:c r="C7" s="58" t="str">
        <x:v>示例</x:v>
      </x:c>
      <x:c r="D7" s="58" t="str">
        <x:v>伤官透干有根；正财近位</x:v>
      </x:c>
      <x:c r="E7" s="58" t="str">
        <x:v>表达澄清底盘</x:v>
      </x:c>
      <x:c r="F7" s="58" t="str">
        <x:v>CA04 伤官解题支持</x:v>
      </x:c>
      <x:c r="G7" s="58" t="str">
        <x:v>CA05 正财稳定投入</x:v>
      </x:c>
      <x:c r="H7" s="58" t="str">
        <x:v>CP07 解题支持</x:v>
      </x:c>
      <x:c r="I7" s="58" t="str">
        <x:v>G01 主动</x:v>
      </x:c>
      <x:c r="J7" s="58" t="str">
        <x:v>N01 稳定重复</x:v>
      </x:c>
      <x:c r="K7" s="58" t="str">
        <x:v>RC01 直接接收</x:v>
      </x:c>
      <x:c r="L7" s="58" t="str">
        <x:v>CE03／CF03</x:v>
      </x:c>
      <x:c r="M7" s="58" t="str">
        <x:v>先分析再落实</x:v>
      </x:c>
      <x:c r="N7" s="58" t="str"/>
      <x:c r="O7" s="58" t="str">
        <x:v>待填写</x:v>
      </x:c>
      <x:c r="P7" s="58" t="str">
        <x:v>待填写</x:v>
      </x:c>
      <x:c r="Q7" s="58" t="str">
        <x:v>M3-CARE-042,M3-CARE-056,M3-CARE-139,M3-CARE-161</x:v>
      </x:c>
      <x:c r="R7" s="58" t="str"/>
    </x:row>
    <x:row r="8" ht="46" customHeight="1">
      <x:c r="A8" s="62" t="str">
        <x:v>M3-CARE-CASE-004</x:v>
      </x:c>
      <x:c r="B8" s="62" t="str"/>
      <x:c r="C8" s="62" t="str">
        <x:v>示例</x:v>
      </x:c>
      <x:c r="D8" s="62" t="str">
        <x:v>七杀透干无根；关键事件行为明显</x:v>
      </x:c>
      <x:c r="E8" s="62" t="str">
        <x:v>行动解决底盘</x:v>
      </x:c>
      <x:c r="F8" s="62" t="str">
        <x:v>CA08 七杀行动保护</x:v>
      </x:c>
      <x:c r="G8" s="62" t="str"/>
      <x:c r="H8" s="62" t="str">
        <x:v>CP09候选</x:v>
      </x:c>
      <x:c r="I8" s="62" t="str">
        <x:v>G01 主动</x:v>
      </x:c>
      <x:c r="J8" s="62" t="str">
        <x:v>N02 事件触发</x:v>
      </x:c>
      <x:c r="K8" s="62" t="str">
        <x:v>RC04 行动中接收</x:v>
      </x:c>
      <x:c r="L8" s="62" t="str">
        <x:v>CE06</x:v>
      </x:c>
      <x:c r="M8" s="62" t="str">
        <x:v>关键时刻行动，日常连续性未定</x:v>
      </x:c>
      <x:c r="N8" s="62" t="str"/>
      <x:c r="O8" s="62" t="str">
        <x:v>待填写</x:v>
      </x:c>
      <x:c r="P8" s="62" t="str">
        <x:v>待填写</x:v>
      </x:c>
      <x:c r="Q8" s="62" t="str">
        <x:v>M3-CARE-070,M3-CARE-072,M3-CARE-100,M3-CARE-156</x:v>
      </x:c>
      <x:c r="R8" s="62" t="str"/>
    </x:row>
    <x:row r="9" ht="46" customHeight="1">
      <x:c r="A9" s="58" t="str">
        <x:v>M3-CARE-CASE-005</x:v>
      </x:c>
      <x:c r="B9" s="58" t="str"/>
      <x:c r="C9" s="58" t="str">
        <x:v>示例</x:v>
      </x:c>
      <x:c r="D9" s="58" t="str">
        <x:v>比肩近位有根</x:v>
      </x:c>
      <x:c r="E9" s="58" t="str">
        <x:v>平等伙伴底盘</x:v>
      </x:c>
      <x:c r="F9" s="58" t="str">
        <x:v>CA01 比肩并肩互助</x:v>
      </x:c>
      <x:c r="G9" s="58" t="str"/>
      <x:c r="H9" s="58" t="str">
        <x:v>CP03 共同投入</x:v>
      </x:c>
      <x:c r="I9" s="58" t="str">
        <x:v>G03 共同</x:v>
      </x:c>
      <x:c r="J9" s="58" t="str">
        <x:v>N01 稳定重复</x:v>
      </x:c>
      <x:c r="K9" s="58" t="str">
        <x:v>RC02 保留自主</x:v>
      </x:c>
      <x:c r="L9" s="58" t="str">
        <x:v>CE03</x:v>
      </x:c>
      <x:c r="M9" s="58" t="str">
        <x:v>清楚分工、共同补位</x:v>
      </x:c>
      <x:c r="N9" s="58" t="str"/>
      <x:c r="O9" s="58" t="str">
        <x:v>待填写</x:v>
      </x:c>
      <x:c r="P9" s="58" t="str">
        <x:v>待填写</x:v>
      </x:c>
      <x:c r="Q9" s="58" t="str">
        <x:v>M3-CARE-021,M3-CARE-103,M3-CARE-116,M3-CARE-129</x:v>
      </x:c>
      <x:c r="R9" s="58" t="str"/>
    </x:row>
    <x:row r="10" ht="46" customHeight="1">
      <x:c r="A10" s="62" t="str">
        <x:v>M3-CARE-CASE-006</x:v>
      </x:c>
      <x:c r="B10" s="62" t="str"/>
      <x:c r="C10" s="62" t="str">
        <x:v>示例</x:v>
      </x:c>
      <x:c r="D10" s="62" t="str">
        <x:v>正印主；正财独立近位</x:v>
      </x:c>
      <x:c r="E10" s="62" t="str">
        <x:v>安全承接底盘</x:v>
      </x:c>
      <x:c r="F10" s="62" t="str">
        <x:v>CA09 正印安全承接</x:v>
      </x:c>
      <x:c r="G10" s="62" t="str">
        <x:v>CA05 正财稳定投入</x:v>
      </x:c>
      <x:c r="H10" s="62" t="str">
        <x:v>CP11 双通道</x:v>
      </x:c>
      <x:c r="I10" s="62" t="str">
        <x:v>G02 回应</x:v>
      </x:c>
      <x:c r="J10" s="62" t="str">
        <x:v>N03 熟悉累积</x:v>
      </x:c>
      <x:c r="K10" s="62" t="str">
        <x:v>RC01 直接接收</x:v>
      </x:c>
      <x:c r="L10" s="62" t="str">
        <x:v>CE05</x:v>
      </x:c>
      <x:c r="M10" s="62" t="str">
        <x:v>先被理解，再现实回馈</x:v>
      </x:c>
      <x:c r="N10" s="62" t="str"/>
      <x:c r="O10" s="62" t="str">
        <x:v>待填写</x:v>
      </x:c>
      <x:c r="P10" s="62" t="str">
        <x:v>待填写</x:v>
      </x:c>
      <x:c r="Q10" s="62" t="str">
        <x:v>M3-CARE-077,M3-CARE-056,M3-CARE-155</x:v>
      </x:c>
      <x:c r="R10" s="62" t="str"/>
    </x:row>
    <x:row r="11" ht="46" customHeight="1">
      <x:c r="A11" s="58" t="str">
        <x:v>M3-CARE-CASE-007</x:v>
      </x:c>
      <x:c r="B11" s="58" t="str"/>
      <x:c r="C11" s="58" t="str">
        <x:v>示例</x:v>
      </x:c>
      <x:c r="D11" s="58" t="str">
        <x:v>正偏财均有效且来源独立</x:v>
      </x:c>
      <x:c r="E11" s="58" t="str">
        <x:v>投入经营底盘</x:v>
      </x:c>
      <x:c r="F11" s="58" t="str">
        <x:v>CA05 正财稳定投入</x:v>
      </x:c>
      <x:c r="G11" s="58" t="str">
        <x:v>CA06 偏财灵活馈赠</x:v>
      </x:c>
      <x:c r="H11" s="58" t="str">
        <x:v>CP11 双通道</x:v>
      </x:c>
      <x:c r="I11" s="58" t="str">
        <x:v>G01／G02</x:v>
      </x:c>
      <x:c r="J11" s="58" t="str">
        <x:v>N01＋N02</x:v>
      </x:c>
      <x:c r="K11" s="58" t="str">
        <x:v>RC03</x:v>
      </x:c>
      <x:c r="L11" s="58" t="str">
        <x:v>CE03</x:v>
      </x:c>
      <x:c r="M11" s="58" t="str">
        <x:v>稳定安排为主，体验资源为辅</x:v>
      </x:c>
      <x:c r="N11" s="58" t="str"/>
      <x:c r="O11" s="58" t="str">
        <x:v>待填写</x:v>
      </x:c>
      <x:c r="P11" s="58" t="str">
        <x:v>待填写</x:v>
      </x:c>
      <x:c r="Q11" s="58" t="str">
        <x:v>M3-CARE-055,M3-CARE-062,M3-CARE-192,M3-CARE-193</x:v>
      </x:c>
      <x:c r="R11" s="58" t="str"/>
    </x:row>
    <x:row r="12" ht="46" customHeight="1">
      <x:c r="A12" s="62" t="str">
        <x:v>M3-CARE-CASE-008</x:v>
      </x:c>
      <x:c r="B12" s="62" t="str"/>
      <x:c r="C12" s="62" t="str">
        <x:v>示例</x:v>
      </x:c>
      <x:c r="D12" s="62" t="str">
        <x:v>主CARE信号合化争议</x:v>
      </x:c>
      <x:c r="E12" s="62" t="str">
        <x:v>底盘停止</x:v>
      </x:c>
      <x:c r="F12" s="62" t="str">
        <x:v>系统层候选</x:v>
      </x:c>
      <x:c r="G12" s="62" t="str"/>
      <x:c r="H12" s="62" t="str">
        <x:v>CP12／未定</x:v>
      </x:c>
      <x:c r="I12" s="62" t="str"/>
      <x:c r="J12" s="62" t="str"/>
      <x:c r="K12" s="62" t="str"/>
      <x:c r="L12" s="62" t="str">
        <x:v>CE08</x:v>
      </x:c>
      <x:c r="M12" s="62" t="str">
        <x:v>回退系统层，不固定十神</x:v>
      </x:c>
      <x:c r="N12" s="62" t="str"/>
      <x:c r="O12" s="62" t="str">
        <x:v>待填写</x:v>
      </x:c>
      <x:c r="P12" s="62" t="str">
        <x:v>待填写</x:v>
      </x:c>
      <x:c r="Q12" s="62" t="str">
        <x:v>M3-CARE-188,M3-CARE-217,M3-CARE-236</x:v>
      </x:c>
      <x:c r="R12" s="62" t="str"/>
    </x:row>
    <x:row r="13" ht="46" customHeight="1">
      <x:c r="A13" s="58" t="str">
        <x:v>M3-CARE-CASE-009</x:v>
      </x:c>
      <x:c r="B13" s="58" t="str"/>
      <x:c r="C13" s="58" t="str">
        <x:v>真实案例</x:v>
      </x:c>
      <x:c r="D13" s="58" t="str"/>
      <x:c r="E13" s="58" t="str"/>
      <x:c r="F13" s="58" t="str"/>
      <x:c r="G13" s="58" t="str"/>
      <x:c r="H13" s="58" t="str"/>
      <x:c r="I13" s="58" t="str"/>
      <x:c r="J13" s="58" t="str"/>
      <x:c r="K13" s="58" t="str"/>
      <x:c r="L13" s="58" t="str"/>
      <x:c r="M13" s="58" t="str"/>
      <x:c r="N13" s="58" t="str"/>
      <x:c r="O13" s="58" t="str">
        <x:v>待填写</x:v>
      </x:c>
      <x:c r="P13" s="58" t="str">
        <x:v>待填写</x:v>
      </x:c>
      <x:c r="Q13" s="58" t="str"/>
      <x:c r="R13" s="58" t="str"/>
    </x:row>
    <x:row r="14" ht="46" customHeight="1">
      <x:c r="A14" s="62" t="str">
        <x:v>M3-CARE-CASE-010</x:v>
      </x:c>
      <x:c r="B14" s="62" t="str"/>
      <x:c r="C14" s="62" t="str">
        <x:v>真实案例</x:v>
      </x:c>
      <x:c r="D14" s="62" t="str"/>
      <x:c r="E14" s="62" t="str"/>
      <x:c r="F14" s="62" t="str"/>
      <x:c r="G14" s="62" t="str"/>
      <x:c r="H14" s="62" t="str"/>
      <x:c r="I14" s="62" t="str"/>
      <x:c r="J14" s="62" t="str"/>
      <x:c r="K14" s="62" t="str"/>
      <x:c r="L14" s="62" t="str"/>
      <x:c r="M14" s="62" t="str"/>
      <x:c r="N14" s="62" t="str"/>
      <x:c r="O14" s="62" t="str">
        <x:v>待填写</x:v>
      </x:c>
      <x:c r="P14" s="62" t="str">
        <x:v>待填写</x:v>
      </x:c>
      <x:c r="Q14" s="62" t="str"/>
      <x:c r="R14" s="62" t="str"/>
    </x:row>
    <x:row r="15" ht="46" customHeight="1">
      <x:c r="A15" s="58" t="str">
        <x:v>M3-CARE-CASE-011</x:v>
      </x:c>
      <x:c r="B15" s="58" t="str"/>
      <x:c r="C15" s="58" t="str">
        <x:v>真实案例</x:v>
      </x:c>
      <x:c r="D15" s="58" t="str"/>
      <x:c r="E15" s="58" t="str"/>
      <x:c r="F15" s="58" t="str"/>
      <x:c r="G15" s="58" t="str"/>
      <x:c r="H15" s="58" t="str"/>
      <x:c r="I15" s="58" t="str"/>
      <x:c r="J15" s="58" t="str"/>
      <x:c r="K15" s="58" t="str"/>
      <x:c r="L15" s="58" t="str"/>
      <x:c r="M15" s="58" t="str"/>
      <x:c r="N15" s="58" t="str"/>
      <x:c r="O15" s="58" t="str">
        <x:v>待填写</x:v>
      </x:c>
      <x:c r="P15" s="58" t="str">
        <x:v>待填写</x:v>
      </x:c>
      <x:c r="Q15" s="58" t="str"/>
      <x:c r="R15" s="58" t="str"/>
    </x:row>
    <x:row r="16" ht="46" customHeight="1">
      <x:c r="A16" s="62" t="str">
        <x:v>M3-CARE-CASE-012</x:v>
      </x:c>
      <x:c r="B16" s="62" t="str"/>
      <x:c r="C16" s="62" t="str">
        <x:v>真实案例</x:v>
      </x:c>
      <x:c r="D16" s="62" t="str"/>
      <x:c r="E16" s="62" t="str"/>
      <x:c r="F16" s="62" t="str"/>
      <x:c r="G16" s="62" t="str"/>
      <x:c r="H16" s="62" t="str"/>
      <x:c r="I16" s="62" t="str"/>
      <x:c r="J16" s="62" t="str"/>
      <x:c r="K16" s="62" t="str"/>
      <x:c r="L16" s="62" t="str"/>
      <x:c r="M16" s="62" t="str"/>
      <x:c r="N16" s="62" t="str"/>
      <x:c r="O16" s="62" t="str">
        <x:v>待填写</x:v>
      </x:c>
      <x:c r="P16" s="62" t="str">
        <x:v>待填写</x:v>
      </x:c>
      <x:c r="Q16" s="62" t="str"/>
      <x:c r="R16" s="62" t="str"/>
    </x:row>
    <x:row r="17" ht="46" customHeight="1">
      <x:c r="A17" s="58" t="str">
        <x:v>M3-CARE-CASE-013</x:v>
      </x:c>
      <x:c r="B17" s="58" t="str"/>
      <x:c r="C17" s="58" t="str">
        <x:v>真实案例</x:v>
      </x:c>
      <x:c r="D17" s="58" t="str"/>
      <x:c r="E17" s="58" t="str"/>
      <x:c r="F17" s="58" t="str"/>
      <x:c r="G17" s="58" t="str"/>
      <x:c r="H17" s="58" t="str"/>
      <x:c r="I17" s="58" t="str"/>
      <x:c r="J17" s="58" t="str"/>
      <x:c r="K17" s="58" t="str"/>
      <x:c r="L17" s="58" t="str"/>
      <x:c r="M17" s="58" t="str"/>
      <x:c r="N17" s="58" t="str"/>
      <x:c r="O17" s="58" t="str">
        <x:v>待填写</x:v>
      </x:c>
      <x:c r="P17" s="58" t="str">
        <x:v>待填写</x:v>
      </x:c>
      <x:c r="Q17" s="58" t="str"/>
      <x:c r="R17" s="58" t="str"/>
    </x:row>
    <x:row r="18" ht="46" customHeight="1">
      <x:c r="A18" s="62" t="str">
        <x:v>M3-CARE-CASE-014</x:v>
      </x:c>
      <x:c r="B18" s="62" t="str"/>
      <x:c r="C18" s="62" t="str">
        <x:v>真实案例</x:v>
      </x:c>
      <x:c r="D18" s="62" t="str"/>
      <x:c r="E18" s="62" t="str"/>
      <x:c r="F18" s="62" t="str"/>
      <x:c r="G18" s="62" t="str"/>
      <x:c r="H18" s="62" t="str"/>
      <x:c r="I18" s="62" t="str"/>
      <x:c r="J18" s="62" t="str"/>
      <x:c r="K18" s="62" t="str"/>
      <x:c r="L18" s="62" t="str"/>
      <x:c r="M18" s="62" t="str"/>
      <x:c r="N18" s="62" t="str"/>
      <x:c r="O18" s="62" t="str">
        <x:v>待填写</x:v>
      </x:c>
      <x:c r="P18" s="62" t="str">
        <x:v>待填写</x:v>
      </x:c>
      <x:c r="Q18" s="62" t="str"/>
      <x:c r="R18" s="62" t="str"/>
    </x:row>
    <x:row r="19" ht="46" customHeight="1">
      <x:c r="A19" s="58" t="str">
        <x:v>M3-CARE-CASE-015</x:v>
      </x:c>
      <x:c r="B19" s="58" t="str"/>
      <x:c r="C19" s="58" t="str">
        <x:v>真实案例</x:v>
      </x:c>
      <x:c r="D19" s="58" t="str"/>
      <x:c r="E19" s="58" t="str"/>
      <x:c r="F19" s="58" t="str"/>
      <x:c r="G19" s="58" t="str"/>
      <x:c r="H19" s="58" t="str"/>
      <x:c r="I19" s="58" t="str"/>
      <x:c r="J19" s="58" t="str"/>
      <x:c r="K19" s="58" t="str"/>
      <x:c r="L19" s="58" t="str"/>
      <x:c r="M19" s="58" t="str"/>
      <x:c r="N19" s="58" t="str"/>
      <x:c r="O19" s="58" t="str">
        <x:v>待填写</x:v>
      </x:c>
      <x:c r="P19" s="58" t="str">
        <x:v>待填写</x:v>
      </x:c>
      <x:c r="Q19" s="58" t="str"/>
      <x:c r="R19" s="58" t="str"/>
    </x:row>
    <x:row r="20" ht="46" customHeight="1">
      <x:c r="A20" s="62" t="str">
        <x:v>M3-CARE-CASE-016</x:v>
      </x:c>
      <x:c r="B20" s="62" t="str"/>
      <x:c r="C20" s="62" t="str">
        <x:v>真实案例</x:v>
      </x:c>
      <x:c r="D20" s="62" t="str"/>
      <x:c r="E20" s="62" t="str"/>
      <x:c r="F20" s="62" t="str"/>
      <x:c r="G20" s="62" t="str"/>
      <x:c r="H20" s="62" t="str"/>
      <x:c r="I20" s="62" t="str"/>
      <x:c r="J20" s="62" t="str"/>
      <x:c r="K20" s="62" t="str"/>
      <x:c r="L20" s="62" t="str"/>
      <x:c r="M20" s="62" t="str"/>
      <x:c r="N20" s="62" t="str"/>
      <x:c r="O20" s="62" t="str">
        <x:v>待填写</x:v>
      </x:c>
      <x:c r="P20" s="62" t="str">
        <x:v>待填写</x:v>
      </x:c>
      <x:c r="Q20" s="62" t="str"/>
      <x:c r="R20" s="62" t="str"/>
    </x:row>
    <x:row r="21" ht="46" customHeight="1">
      <x:c r="A21" s="58" t="str">
        <x:v>M3-CARE-CASE-017</x:v>
      </x:c>
      <x:c r="B21" s="58" t="str"/>
      <x:c r="C21" s="58" t="str">
        <x:v>真实案例</x:v>
      </x:c>
      <x:c r="D21" s="58" t="str"/>
      <x:c r="E21" s="58" t="str"/>
      <x:c r="F21" s="58" t="str"/>
      <x:c r="G21" s="58" t="str"/>
      <x:c r="H21" s="58" t="str"/>
      <x:c r="I21" s="58" t="str"/>
      <x:c r="J21" s="58" t="str"/>
      <x:c r="K21" s="58" t="str"/>
      <x:c r="L21" s="58" t="str"/>
      <x:c r="M21" s="58" t="str"/>
      <x:c r="N21" s="58" t="str"/>
      <x:c r="O21" s="58" t="str">
        <x:v>待填写</x:v>
      </x:c>
      <x:c r="P21" s="58" t="str">
        <x:v>待填写</x:v>
      </x:c>
      <x:c r="Q21" s="58" t="str"/>
      <x:c r="R21" s="58" t="str"/>
    </x:row>
    <x:row r="22" ht="46" customHeight="1">
      <x:c r="A22" s="62" t="str">
        <x:v>M3-CARE-CASE-018</x:v>
      </x:c>
      <x:c r="B22" s="62" t="str"/>
      <x:c r="C22" s="62" t="str">
        <x:v>真实案例</x:v>
      </x:c>
      <x:c r="D22" s="62" t="str"/>
      <x:c r="E22" s="62" t="str"/>
      <x:c r="F22" s="62" t="str"/>
      <x:c r="G22" s="62" t="str"/>
      <x:c r="H22" s="62" t="str"/>
      <x:c r="I22" s="62" t="str"/>
      <x:c r="J22" s="62" t="str"/>
      <x:c r="K22" s="62" t="str"/>
      <x:c r="L22" s="62" t="str"/>
      <x:c r="M22" s="62" t="str"/>
      <x:c r="N22" s="62" t="str"/>
      <x:c r="O22" s="62" t="str">
        <x:v>待填写</x:v>
      </x:c>
      <x:c r="P22" s="62" t="str">
        <x:v>待填写</x:v>
      </x:c>
      <x:c r="Q22" s="62" t="str"/>
      <x:c r="R22" s="62" t="str"/>
    </x:row>
    <x:row r="23" ht="46" customHeight="1">
      <x:c r="A23" s="58" t="str">
        <x:v>M3-CARE-CASE-019</x:v>
      </x:c>
      <x:c r="B23" s="58" t="str"/>
      <x:c r="C23" s="58" t="str">
        <x:v>真实案例</x:v>
      </x:c>
      <x:c r="D23" s="58" t="str"/>
      <x:c r="E23" s="58" t="str"/>
      <x:c r="F23" s="58" t="str"/>
      <x:c r="G23" s="58" t="str"/>
      <x:c r="H23" s="58" t="str"/>
      <x:c r="I23" s="58" t="str"/>
      <x:c r="J23" s="58" t="str"/>
      <x:c r="K23" s="58" t="str"/>
      <x:c r="L23" s="58" t="str"/>
      <x:c r="M23" s="58" t="str"/>
      <x:c r="N23" s="58" t="str"/>
      <x:c r="O23" s="58" t="str">
        <x:v>待填写</x:v>
      </x:c>
      <x:c r="P23" s="58" t="str">
        <x:v>待填写</x:v>
      </x:c>
      <x:c r="Q23" s="58" t="str"/>
      <x:c r="R23" s="58" t="str"/>
    </x:row>
    <x:row r="24" ht="46" customHeight="1">
      <x:c r="A24" s="62" t="str">
        <x:v>M3-CARE-CASE-020</x:v>
      </x:c>
      <x:c r="B24" s="62" t="str"/>
      <x:c r="C24" s="62" t="str">
        <x:v>真实案例</x:v>
      </x:c>
      <x:c r="D24" s="62" t="str"/>
      <x:c r="E24" s="62" t="str"/>
      <x:c r="F24" s="62" t="str"/>
      <x:c r="G24" s="62" t="str"/>
      <x:c r="H24" s="62" t="str"/>
      <x:c r="I24" s="62" t="str"/>
      <x:c r="J24" s="62" t="str"/>
      <x:c r="K24" s="62" t="str"/>
      <x:c r="L24" s="62" t="str"/>
      <x:c r="M24" s="62" t="str"/>
      <x:c r="N24" s="62" t="str"/>
      <x:c r="O24" s="62" t="str">
        <x:v>待填写</x:v>
      </x:c>
      <x:c r="P24" s="62" t="str">
        <x:v>待填写</x:v>
      </x:c>
      <x:c r="Q24" s="62" t="str"/>
      <x:c r="R24" s="62" t="str"/>
    </x:row>
    <x:row r="25" ht="46" customHeight="1">
      <x:c r="A25" s="58" t="str">
        <x:v>M3-CARE-CASE-021</x:v>
      </x:c>
      <x:c r="B25" s="58" t="str"/>
      <x:c r="C25" s="58" t="str">
        <x:v>真实案例</x:v>
      </x:c>
      <x:c r="D25" s="58" t="str"/>
      <x:c r="E25" s="58" t="str"/>
      <x:c r="F25" s="58" t="str"/>
      <x:c r="G25" s="58" t="str"/>
      <x:c r="H25" s="58" t="str"/>
      <x:c r="I25" s="58" t="str"/>
      <x:c r="J25" s="58" t="str"/>
      <x:c r="K25" s="58" t="str"/>
      <x:c r="L25" s="58" t="str"/>
      <x:c r="M25" s="58" t="str"/>
      <x:c r="N25" s="58" t="str"/>
      <x:c r="O25" s="58" t="str">
        <x:v>待填写</x:v>
      </x:c>
      <x:c r="P25" s="58" t="str">
        <x:v>待填写</x:v>
      </x:c>
      <x:c r="Q25" s="58" t="str"/>
      <x:c r="R25" s="58" t="str"/>
    </x:row>
    <x:row r="26" ht="46" customHeight="1">
      <x:c r="A26" s="62" t="str">
        <x:v>M3-CARE-CASE-022</x:v>
      </x:c>
      <x:c r="B26" s="62" t="str"/>
      <x:c r="C26" s="62" t="str">
        <x:v>真实案例</x:v>
      </x:c>
      <x:c r="D26" s="62" t="str"/>
      <x:c r="E26" s="62" t="str"/>
      <x:c r="F26" s="62" t="str"/>
      <x:c r="G26" s="62" t="str"/>
      <x:c r="H26" s="62" t="str"/>
      <x:c r="I26" s="62" t="str"/>
      <x:c r="J26" s="62" t="str"/>
      <x:c r="K26" s="62" t="str"/>
      <x:c r="L26" s="62" t="str"/>
      <x:c r="M26" s="62" t="str"/>
      <x:c r="N26" s="62" t="str"/>
      <x:c r="O26" s="62" t="str">
        <x:v>待填写</x:v>
      </x:c>
      <x:c r="P26" s="62" t="str">
        <x:v>待填写</x:v>
      </x:c>
      <x:c r="Q26" s="62" t="str"/>
      <x:c r="R26" s="62" t="str"/>
    </x:row>
    <x:row r="27" ht="46" customHeight="1">
      <x:c r="A27" s="58" t="str">
        <x:v>M3-CARE-CASE-023</x:v>
      </x:c>
      <x:c r="B27" s="58" t="str"/>
      <x:c r="C27" s="58" t="str">
        <x:v>真实案例</x:v>
      </x:c>
      <x:c r="D27" s="58" t="str"/>
      <x:c r="E27" s="58" t="str"/>
      <x:c r="F27" s="58" t="str"/>
      <x:c r="G27" s="58" t="str"/>
      <x:c r="H27" s="58" t="str"/>
      <x:c r="I27" s="58" t="str"/>
      <x:c r="J27" s="58" t="str"/>
      <x:c r="K27" s="58" t="str"/>
      <x:c r="L27" s="58" t="str"/>
      <x:c r="M27" s="58" t="str"/>
      <x:c r="N27" s="58" t="str"/>
      <x:c r="O27" s="58" t="str">
        <x:v>待填写</x:v>
      </x:c>
      <x:c r="P27" s="58" t="str">
        <x:v>待填写</x:v>
      </x:c>
      <x:c r="Q27" s="58" t="str"/>
      <x:c r="R27" s="58" t="str"/>
    </x:row>
    <x:row r="28" ht="46" customHeight="1">
      <x:c r="A28" s="62" t="str">
        <x:v>M3-CARE-CASE-024</x:v>
      </x:c>
      <x:c r="B28" s="62" t="str"/>
      <x:c r="C28" s="62" t="str">
        <x:v>真实案例</x:v>
      </x:c>
      <x:c r="D28" s="62" t="str"/>
      <x:c r="E28" s="62" t="str"/>
      <x:c r="F28" s="62" t="str"/>
      <x:c r="G28" s="62" t="str"/>
      <x:c r="H28" s="62" t="str"/>
      <x:c r="I28" s="62" t="str"/>
      <x:c r="J28" s="62" t="str"/>
      <x:c r="K28" s="62" t="str"/>
      <x:c r="L28" s="62" t="str"/>
      <x:c r="M28" s="62" t="str"/>
      <x:c r="N28" s="62" t="str"/>
      <x:c r="O28" s="62" t="str">
        <x:v>待填写</x:v>
      </x:c>
      <x:c r="P28" s="62" t="str">
        <x:v>待填写</x:v>
      </x:c>
      <x:c r="Q28" s="62" t="str"/>
      <x:c r="R28" s="62" t="str"/>
    </x:row>
    <x:row r="29" ht="46" customHeight="1">
      <x:c r="A29" s="58" t="str">
        <x:v>M3-CARE-CASE-025</x:v>
      </x:c>
      <x:c r="B29" s="58" t="str"/>
      <x:c r="C29" s="58" t="str">
        <x:v>真实案例</x:v>
      </x:c>
      <x:c r="D29" s="58" t="str"/>
      <x:c r="E29" s="58" t="str"/>
      <x:c r="F29" s="58" t="str"/>
      <x:c r="G29" s="58" t="str"/>
      <x:c r="H29" s="58" t="str"/>
      <x:c r="I29" s="58" t="str"/>
      <x:c r="J29" s="58" t="str"/>
      <x:c r="K29" s="58" t="str"/>
      <x:c r="L29" s="58" t="str"/>
      <x:c r="M29" s="58" t="str"/>
      <x:c r="N29" s="58" t="str"/>
      <x:c r="O29" s="58" t="str">
        <x:v>待填写</x:v>
      </x:c>
      <x:c r="P29" s="58" t="str">
        <x:v>待填写</x:v>
      </x:c>
      <x:c r="Q29" s="58" t="str"/>
      <x:c r="R29" s="58" t="str"/>
    </x:row>
    <x:row r="30" ht="46" customHeight="1">
      <x:c r="A30" s="62" t="str">
        <x:v>M3-CARE-CASE-026</x:v>
      </x:c>
      <x:c r="B30" s="62" t="str"/>
      <x:c r="C30" s="62" t="str">
        <x:v>真实案例</x:v>
      </x:c>
      <x:c r="D30" s="62" t="str"/>
      <x:c r="E30" s="62" t="str"/>
      <x:c r="F30" s="62" t="str"/>
      <x:c r="G30" s="62" t="str"/>
      <x:c r="H30" s="62" t="str"/>
      <x:c r="I30" s="62" t="str"/>
      <x:c r="J30" s="62" t="str"/>
      <x:c r="K30" s="62" t="str"/>
      <x:c r="L30" s="62" t="str"/>
      <x:c r="M30" s="62" t="str"/>
      <x:c r="N30" s="62" t="str"/>
      <x:c r="O30" s="62" t="str">
        <x:v>待填写</x:v>
      </x:c>
      <x:c r="P30" s="62" t="str">
        <x:v>待填写</x:v>
      </x:c>
      <x:c r="Q30" s="62" t="str"/>
      <x:c r="R30" s="62" t="str"/>
    </x:row>
    <x:row r="31" ht="46" customHeight="1">
      <x:c r="A31" s="58" t="str">
        <x:v>M3-CARE-CASE-027</x:v>
      </x:c>
      <x:c r="B31" s="58" t="str"/>
      <x:c r="C31" s="58" t="str">
        <x:v>真实案例</x:v>
      </x:c>
      <x:c r="D31" s="58" t="str"/>
      <x:c r="E31" s="58" t="str"/>
      <x:c r="F31" s="58" t="str"/>
      <x:c r="G31" s="58" t="str"/>
      <x:c r="H31" s="58" t="str"/>
      <x:c r="I31" s="58" t="str"/>
      <x:c r="J31" s="58" t="str"/>
      <x:c r="K31" s="58" t="str"/>
      <x:c r="L31" s="58" t="str"/>
      <x:c r="M31" s="58" t="str"/>
      <x:c r="N31" s="58" t="str"/>
      <x:c r="O31" s="58" t="str">
        <x:v>待填写</x:v>
      </x:c>
      <x:c r="P31" s="58" t="str">
        <x:v>待填写</x:v>
      </x:c>
      <x:c r="Q31" s="58" t="str"/>
      <x:c r="R31" s="58" t="str"/>
    </x:row>
    <x:row r="32" ht="46" customHeight="1">
      <x:c r="A32" s="62" t="str">
        <x:v>M3-CARE-CASE-028</x:v>
      </x:c>
      <x:c r="B32" s="62" t="str"/>
      <x:c r="C32" s="62" t="str">
        <x:v>真实案例</x:v>
      </x:c>
      <x:c r="D32" s="62" t="str"/>
      <x:c r="E32" s="62" t="str"/>
      <x:c r="F32" s="62" t="str"/>
      <x:c r="G32" s="62" t="str"/>
      <x:c r="H32" s="62" t="str"/>
      <x:c r="I32" s="62" t="str"/>
      <x:c r="J32" s="62" t="str"/>
      <x:c r="K32" s="62" t="str"/>
      <x:c r="L32" s="62" t="str"/>
      <x:c r="M32" s="62" t="str"/>
      <x:c r="N32" s="62" t="str"/>
      <x:c r="O32" s="62" t="str">
        <x:v>待填写</x:v>
      </x:c>
      <x:c r="P32" s="62" t="str">
        <x:v>待填写</x:v>
      </x:c>
      <x:c r="Q32" s="62" t="str"/>
      <x:c r="R32" s="62" t="str"/>
    </x:row>
  </x:sheetData>
  <x:mergeCells>
    <x:mergeCell ref="A1:R1"/>
    <x:mergeCell ref="A2:R2"/>
  </x:mergeCells>
  <x:conditionalFormatting sqref="O5:O32">
    <x:cfRule type="expression" dxfId="6" priority="1">
      <x:formula>O5="完全吻合"</x:formula>
    </x:cfRule>
    <x:cfRule type="expression" dxfId="7" priority="2">
      <x:formula>O5="部分吻合"</x:formula>
    </x:cfRule>
    <x:cfRule type="expression" dxfId="8" priority="3">
      <x:formula>O5="明显不吻合"</x:formula>
    </x:cfRule>
  </x:conditionalFormatting>
  <x:dataValidations count="2">
    <x:dataValidation type="list" sqref="O5:O32">
      <x:formula1>"待填写,完全吻合,部分吻合,明显不吻合,信息不足"</x:formula1>
    </x:dataValidation>
    <x:dataValidation type="list" sqref="P5:P32">
      <x:formula1>"待填写,内容偏差,主次偏差,连续性偏差,启动方向偏差,接受方式偏差,去重偏差,停止条件偏差,无"</x:formula1>
    </x:dataValidation>
  </x:dataValidations>
  <x:pageMargins left="0.7" right="0.7" top="0.75" bottom="0.75" header="0.3" footer="0.3"/>
  <x:tableParts count="1">
    <x:tablePart xmlns:r="http://schemas.openxmlformats.org/officeDocument/2006/relationships" r:id="R95debe7c9b3a4f0e"/>
  </x:tableParts>
</x:worksheet>
</file>

<file path=xl/worksheets/sheet11.xml><?xml version="1.0" encoding="utf-8"?>
<x:worksheet xmlns:x="http://schemas.openxmlformats.org/spreadsheetml/2006/main">
  <x:sheetFormatPr defaultRowHeight="15"/>
  <x:cols>
    <x:col min="1" max="1" width="24" hidden="0" customWidth="1"/>
    <x:col min="2" max="2" width="42" hidden="0" customWidth="1"/>
    <x:col min="3" max="3" width="20" hidden="0" customWidth="1"/>
    <x:col min="4" max="4" width="18" hidden="0" customWidth="1"/>
    <x:col min="5" max="5" width="60" hidden="0" customWidth="1"/>
  </x:cols>
  <x:sheetData>
    <x:row r="1" ht="30" customHeight="1">
      <x:c r="A1" s="5" t="str">
        <x:v>M3-CARE字段、输出字段与代码词典</x:v>
      </x:c>
      <x:c r="B1" s="5"/>
      <x:c r="C1" s="5"/>
      <x:c r="D1" s="5"/>
      <x:c r="E1" s="5"/>
    </x:row>
    <x:row r="2" ht="32" customHeight="1">
      <x:c r="A2" s="13" t="str">
        <x:v>用于分析者阅读、开发映射和后续JSON迁移。字段名保持英文稳定，中文解释可继续完善。</x:v>
      </x:c>
      <x:c r="B2" s="13"/>
      <x:c r="C2" s="13"/>
      <x:c r="D2" s="13"/>
      <x:c r="E2" s="13"/>
    </x:row>
    <x:row r="3" ht="8" customHeight="1"/>
    <x:row r="4">
      <x:c r="A4" s="97" t="str">
        <x:v>字段／代码</x:v>
      </x:c>
      <x:c r="B4" s="97" t="str">
        <x:v>含义</x:v>
      </x:c>
      <x:c r="C4" s="97" t="str">
        <x:v>类别</x:v>
      </x:c>
      <x:c r="D4" s="97" t="str">
        <x:v>字段权威／所属</x:v>
      </x:c>
      <x:c r="E4" s="97" t="str">
        <x:v>备注</x:v>
      </x:c>
    </x:row>
    <x:row r="5">
      <x:c r="A5" s="58" t="str">
        <x:v>rule_id</x:v>
      </x:c>
      <x:c r="B5" s="58" t="str">
        <x:v>原子规则唯一编号。</x:v>
      </x:c>
      <x:c r="C5" s="58" t="str">
        <x:v>原子规则字段</x:v>
      </x:c>
      <x:c r="D5" s="58" t="str"/>
      <x:c r="E5" s="58" t="str"/>
    </x:row>
    <x:row r="6">
      <x:c r="A6" s="58" t="str">
        <x:v>rule_name</x:v>
      </x:c>
      <x:c r="B6" s="58" t="str">
        <x:v>规则名称，包含对象、状态和核心作用。</x:v>
      </x:c>
      <x:c r="C6" s="58" t="str">
        <x:v>原子规则字段</x:v>
      </x:c>
      <x:c r="D6" s="58" t="str"/>
      <x:c r="E6" s="58" t="str"/>
    </x:row>
    <x:row r="7">
      <x:c r="A7" s="58" t="str">
        <x:v>layer</x:v>
      </x:c>
      <x:c r="B7" s="58" t="str">
        <x:v>知识层级：边界、通道、维度、模式、状态、接口或合成。</x:v>
      </x:c>
      <x:c r="C7" s="58" t="str">
        <x:v>原子规则字段</x:v>
      </x:c>
      <x:c r="D7" s="58" t="str"/>
      <x:c r="E7" s="58" t="str"/>
    </x:row>
    <x:row r="8">
      <x:c r="A8" s="58" t="str">
        <x:v>module</x:v>
      </x:c>
      <x:c r="B8" s="58" t="str">
        <x:v>规则所在子模块。</x:v>
      </x:c>
      <x:c r="C8" s="58" t="str">
        <x:v>原子规则字段</x:v>
      </x:c>
      <x:c r="D8" s="58" t="str"/>
      <x:c r="E8" s="58" t="str"/>
    </x:row>
    <x:row r="9">
      <x:c r="A9" s="58" t="str">
        <x:v>applicable_group</x:v>
      </x:c>
      <x:c r="B9" s="58" t="str">
        <x:v>适用对象，通常为通用；若有性别或特殊条件会明确。</x:v>
      </x:c>
      <x:c r="C9" s="58" t="str">
        <x:v>原子规则字段</x:v>
      </x:c>
      <x:c r="D9" s="58" t="str"/>
      <x:c r="E9" s="58" t="str"/>
    </x:row>
    <x:row r="10">
      <x:c r="A10" s="58" t="str">
        <x:v>rule_type</x:v>
      </x:c>
      <x:c r="B10" s="58" t="str">
        <x:v>定义、通道、行为、连续性、模式、状态修正、停止等。</x:v>
      </x:c>
      <x:c r="C10" s="58" t="str">
        <x:v>原子规则字段</x:v>
      </x:c>
      <x:c r="D10" s="58" t="str"/>
      <x:c r="E10" s="58" t="str"/>
    </x:row>
    <x:row r="11">
      <x:c r="A11" s="58" t="str">
        <x:v>main_signal</x:v>
      </x:c>
      <x:c r="B11" s="58" t="str">
        <x:v>主要十神、系统、维度或规则信号。</x:v>
      </x:c>
      <x:c r="C11" s="58" t="str">
        <x:v>原子规则字段</x:v>
      </x:c>
      <x:c r="D11" s="58" t="str"/>
      <x:c r="E11" s="58" t="str"/>
    </x:row>
    <x:row r="12">
      <x:c r="A12" s="58" t="str">
        <x:v>secondary_signal</x:v>
      </x:c>
      <x:c r="B12" s="58" t="str">
        <x:v>与主信号共同参与的第二信号或状态。</x:v>
      </x:c>
      <x:c r="C12" s="58" t="str">
        <x:v>原子规则字段</x:v>
      </x:c>
      <x:c r="D12" s="58" t="str"/>
      <x:c r="E12" s="58" t="str"/>
    </x:row>
    <x:row r="13">
      <x:c r="A13" s="58" t="str">
        <x:v>required_conditions</x:v>
      </x:c>
      <x:c r="B13" s="58" t="str">
        <x:v>规则成立必须满足的条件。</x:v>
      </x:c>
      <x:c r="C13" s="58" t="str">
        <x:v>原子规则字段</x:v>
      </x:c>
      <x:c r="D13" s="58" t="str"/>
      <x:c r="E13" s="58" t="str"/>
    </x:row>
    <x:row r="14">
      <x:c r="A14" s="58" t="str">
        <x:v>excluded_conditions</x:v>
      </x:c>
      <x:c r="B14" s="58" t="str">
        <x:v>出现这些情况时规则不得调用。</x:v>
      </x:c>
      <x:c r="C14" s="58" t="str">
        <x:v>原子规则字段</x:v>
      </x:c>
      <x:c r="D14" s="58" t="str"/>
      <x:c r="E14" s="58" t="str"/>
    </x:row>
    <x:row r="15">
      <x:c r="A15" s="58" t="str">
        <x:v>self_strength_status</x:v>
      </x:c>
      <x:c r="B15" s="58" t="str">
        <x:v>日主和自我支持状态接口。</x:v>
      </x:c>
      <x:c r="C15" s="58" t="str">
        <x:v>原子规则字段</x:v>
      </x:c>
      <x:c r="D15" s="58" t="str"/>
      <x:c r="E15" s="58" t="str"/>
    </x:row>
    <x:row r="16">
      <x:c r="A16" s="58" t="str">
        <x:v>spouse_star_status</x:v>
      </x:c>
      <x:c r="B16" s="58" t="str">
        <x:v>夫妻星状态接口；CARE不以夫妻星为唯一主轴。</x:v>
      </x:c>
      <x:c r="C16" s="58" t="str">
        <x:v>原子规则字段</x:v>
      </x:c>
      <x:c r="D16" s="58" t="str"/>
      <x:c r="E16" s="58" t="str"/>
    </x:row>
    <x:row r="17">
      <x:c r="A17" s="58" t="str">
        <x:v>palace_signal</x:v>
      </x:c>
      <x:c r="B17" s="58" t="str">
        <x:v>夫妻宫、日支和M3-BASE接口。</x:v>
      </x:c>
      <x:c r="C17" s="58" t="str">
        <x:v>原子规则字段</x:v>
      </x:c>
      <x:c r="D17" s="58" t="str"/>
      <x:c r="E17" s="58" t="str"/>
    </x:row>
    <x:row r="18">
      <x:c r="A18" s="58" t="str">
        <x:v>flow_path</x:v>
      </x:c>
      <x:c r="B18" s="58" t="str">
        <x:v>CARE路径或流向状态。</x:v>
      </x:c>
      <x:c r="C18" s="58" t="str">
        <x:v>原子规则字段</x:v>
      </x:c>
      <x:c r="D18" s="58" t="str"/>
      <x:c r="E18" s="58" t="str"/>
    </x:row>
    <x:row r="19">
      <x:c r="A19" s="58" t="str">
        <x:v>signal_position</x:v>
      </x:c>
      <x:c r="B19" s="58" t="str">
        <x:v>信号位置及亲密关系距离。</x:v>
      </x:c>
      <x:c r="C19" s="58" t="str">
        <x:v>原子规则字段</x:v>
      </x:c>
      <x:c r="D19" s="58" t="str"/>
      <x:c r="E19" s="58" t="str"/>
    </x:row>
    <x:row r="20">
      <x:c r="A20" s="58" t="str">
        <x:v>root_status</x:v>
      </x:c>
      <x:c r="B20" s="58" t="str">
        <x:v>根气和重复性状态。</x:v>
      </x:c>
      <x:c r="C20" s="58" t="str">
        <x:v>原子规则字段</x:v>
      </x:c>
      <x:c r="D20" s="58" t="str"/>
      <x:c r="E20" s="58" t="str"/>
    </x:row>
    <x:row r="21">
      <x:c r="A21" s="58" t="str">
        <x:v>strength_level</x:v>
      </x:c>
      <x:c r="B21" s="58" t="str">
        <x:v>旺、弱、中和及抢先启动状态。</x:v>
      </x:c>
      <x:c r="C21" s="58" t="str">
        <x:v>原子规则字段</x:v>
      </x:c>
      <x:c r="D21" s="58" t="str"/>
      <x:c r="E21" s="58" t="str"/>
    </x:row>
    <x:row r="22">
      <x:c r="A22" s="58" t="str">
        <x:v>favorability</x:v>
      </x:c>
      <x:c r="B22" s="58" t="str">
        <x:v>喜忌只修正顺畅度和资源体验。</x:v>
      </x:c>
      <x:c r="C22" s="58" t="str">
        <x:v>原子规则字段</x:v>
      </x:c>
      <x:c r="D22" s="58" t="str"/>
      <x:c r="E22" s="58" t="str"/>
    </x:row>
    <x:row r="23">
      <x:c r="A23" s="58" t="str">
        <x:v>transformation_status</x:v>
      </x:c>
      <x:c r="B23" s="58" t="str">
        <x:v>制化、合化及真合化替换状态。</x:v>
      </x:c>
      <x:c r="C23" s="58" t="str">
        <x:v>原子规则字段</x:v>
      </x:c>
      <x:c r="D23" s="58" t="str"/>
      <x:c r="E23" s="58" t="str"/>
    </x:row>
    <x:row r="24">
      <x:c r="A24" s="58" t="str">
        <x:v>distance_level</x:v>
      </x:c>
      <x:c r="B24" s="58" t="str">
        <x:v>信号远近。</x:v>
      </x:c>
      <x:c r="C24" s="58" t="str">
        <x:v>原子规则字段</x:v>
      </x:c>
      <x:c r="D24" s="58" t="str"/>
      <x:c r="E24" s="58" t="str"/>
    </x:row>
    <x:row r="25">
      <x:c r="A25" s="58" t="str">
        <x:v>priority</x:v>
      </x:c>
      <x:c r="B25" s="58" t="str">
        <x:v>规则执行优先级，数值越大越先检查。</x:v>
      </x:c>
      <x:c r="C25" s="58" t="str">
        <x:v>原子规则字段</x:v>
      </x:c>
      <x:c r="D25" s="58" t="str"/>
      <x:c r="E25" s="58" t="str"/>
    </x:row>
    <x:row r="26">
      <x:c r="A26" s="58" t="str">
        <x:v>score_effect</x:v>
      </x:c>
      <x:c r="B26" s="58" t="str">
        <x:v>暂定分值、门控、去重或路由作用。</x:v>
      </x:c>
      <x:c r="C26" s="58" t="str">
        <x:v>原子规则字段</x:v>
      </x:c>
      <x:c r="D26" s="58" t="str"/>
      <x:c r="E26" s="58" t="str"/>
    </x:row>
    <x:row r="27">
      <x:c r="A27" s="58" t="str">
        <x:v>output_slot</x:v>
      </x:c>
      <x:c r="B27" s="58" t="str">
        <x:v>最终写入的报告字段。</x:v>
      </x:c>
      <x:c r="C27" s="58" t="str">
        <x:v>原子规则字段</x:v>
      </x:c>
      <x:c r="D27" s="58" t="str"/>
      <x:c r="E27" s="58" t="str"/>
    </x:row>
    <x:row r="28">
      <x:c r="A28" s="58" t="str">
        <x:v>internal_logic</x:v>
      </x:c>
      <x:c r="B28" s="58" t="str">
        <x:v>供分析者和开发理解的专业逻辑。</x:v>
      </x:c>
      <x:c r="C28" s="58" t="str">
        <x:v>原子规则字段</x:v>
      </x:c>
      <x:c r="D28" s="58" t="str"/>
      <x:c r="E28" s="58" t="str"/>
    </x:row>
    <x:row r="29">
      <x:c r="A29" s="58" t="str">
        <x:v>user_explanation</x:v>
      </x:c>
      <x:c r="B29" s="58" t="str">
        <x:v>可直接改写给用户的中性解释。</x:v>
      </x:c>
      <x:c r="C29" s="58" t="str">
        <x:v>原子规则字段</x:v>
      </x:c>
      <x:c r="D29" s="58" t="str"/>
      <x:c r="E29" s="58" t="str"/>
    </x:row>
    <x:row r="30">
      <x:c r="A30" s="58" t="str">
        <x:v>forbidden_inference</x:v>
      </x:c>
      <x:c r="B30" s="58" t="str">
        <x:v>本规则绝对不能继续推出的结论。</x:v>
      </x:c>
      <x:c r="C30" s="58" t="str">
        <x:v>原子规则字段</x:v>
      </x:c>
      <x:c r="D30" s="58" t="str"/>
      <x:c r="E30" s="58" t="str"/>
    </x:row>
    <x:row r="31">
      <x:c r="A31" s="58" t="str">
        <x:v>confidence_base</x:v>
      </x:c>
      <x:c r="B31" s="58" t="str">
        <x:v>规则本身的基础置信等级。</x:v>
      </x:c>
      <x:c r="C31" s="58" t="str">
        <x:v>原子规则字段</x:v>
      </x:c>
      <x:c r="D31" s="58" t="str"/>
      <x:c r="E31" s="58" t="str"/>
    </x:row>
    <x:row r="32">
      <x:c r="A32" s="58" t="str">
        <x:v>validation_status</x:v>
      </x:c>
      <x:c r="B32" s="58" t="str">
        <x:v>待验证、已验证、需修改或停用。</x:v>
      </x:c>
      <x:c r="C32" s="58" t="str">
        <x:v>原子规则字段</x:v>
      </x:c>
      <x:c r="D32" s="58" t="str"/>
      <x:c r="E32" s="58" t="str"/>
    </x:row>
    <x:row r="33">
      <x:c r="A33" s="58" t="str">
        <x:v>case_refs</x:v>
      </x:c>
      <x:c r="B33" s="58" t="str">
        <x:v>支持或反驳这条规则的案例编号。</x:v>
      </x:c>
      <x:c r="C33" s="58" t="str">
        <x:v>原子规则字段</x:v>
      </x:c>
      <x:c r="D33" s="58" t="str"/>
      <x:c r="E33" s="58" t="str"/>
    </x:row>
    <x:row r="34">
      <x:c r="A34" s="58" t="str">
        <x:v>notes</x:v>
      </x:c>
      <x:c r="B34" s="58" t="str">
        <x:v>工程备注、代码、状态或待解决问题。</x:v>
      </x:c>
      <x:c r="C34" s="58" t="str">
        <x:v>原子规则字段</x:v>
      </x:c>
      <x:c r="D34" s="58" t="str"/>
      <x:c r="E34" s="58" t="str"/>
    </x:row>
    <x:row r="35">
      <x:c r="A35" s="58" t="str">
        <x:v>version</x:v>
      </x:c>
      <x:c r="B35" s="58" t="str">
        <x:v>当前规则版本。</x:v>
      </x:c>
      <x:c r="C35" s="58" t="str">
        <x:v>原子规则字段</x:v>
      </x:c>
      <x:c r="D35" s="58" t="str"/>
      <x:c r="E35" s="58" t="str"/>
    </x:row>
    <x:row r="36">
      <x:c r="A36" s="58" t="str">
        <x:v>care_pattern</x:v>
      </x:c>
      <x:c r="B36" s="58" t="str">
        <x:v>整体付出与支持交换模式</x:v>
      </x:c>
      <x:c r="C36" s="58" t="str">
        <x:v>最终输出字段</x:v>
      </x:c>
      <x:c r="D36" s="58" t="str">
        <x:v>CARE</x:v>
      </x:c>
      <x:c r="E36" s="58" t="str"/>
    </x:row>
    <x:row r="37">
      <x:c r="A37" s="58" t="str">
        <x:v>primary_care_channel</x:v>
      </x:c>
      <x:c r="B37" s="58" t="str">
        <x:v>主要CARE通道</x:v>
      </x:c>
      <x:c r="C37" s="58" t="str">
        <x:v>最终输出字段</x:v>
      </x:c>
      <x:c r="D37" s="58" t="str">
        <x:v>CARE</x:v>
      </x:c>
      <x:c r="E37" s="58" t="str"/>
    </x:row>
    <x:row r="38">
      <x:c r="A38" s="58" t="str">
        <x:v>secondary_care_channel</x:v>
      </x:c>
      <x:c r="B38" s="58" t="str">
        <x:v>有效次CARE通道</x:v>
      </x:c>
      <x:c r="C38" s="58" t="str">
        <x:v>最终输出字段</x:v>
      </x:c>
      <x:c r="D38" s="58" t="str">
        <x:v>CARE</x:v>
      </x:c>
      <x:c r="E38" s="58" t="str"/>
    </x:row>
    <x:row r="39">
      <x:c r="A39" s="58" t="str">
        <x:v>giving_content</x:v>
      </x:c>
      <x:c r="B39" s="58" t="str">
        <x:v>主要支持内容</x:v>
      </x:c>
      <x:c r="C39" s="58" t="str">
        <x:v>最终输出字段</x:v>
      </x:c>
      <x:c r="D39" s="58" t="str">
        <x:v>CARE</x:v>
      </x:c>
      <x:c r="E39" s="58" t="str"/>
    </x:row>
    <x:row r="40">
      <x:c r="A40" s="58" t="str">
        <x:v>investment_mode</x:v>
      </x:c>
      <x:c r="B40" s="58" t="str">
        <x:v>投入启动方向</x:v>
      </x:c>
      <x:c r="C40" s="58" t="str">
        <x:v>最终输出字段</x:v>
      </x:c>
      <x:c r="D40" s="58" t="str">
        <x:v>CARE</x:v>
      </x:c>
      <x:c r="E40" s="58" t="str"/>
    </x:row>
    <x:row r="41">
      <x:c r="A41" s="58" t="str">
        <x:v>continuity_mode</x:v>
      </x:c>
      <x:c r="B41" s="58" t="str">
        <x:v>投入连续性</x:v>
      </x:c>
      <x:c r="C41" s="58" t="str">
        <x:v>最终输出字段</x:v>
      </x:c>
      <x:c r="D41" s="58" t="str">
        <x:v>CARE</x:v>
      </x:c>
      <x:c r="E41" s="58" t="str"/>
    </x:row>
    <x:row r="42">
      <x:c r="A42" s="58" t="str">
        <x:v>care_visibility</x:v>
      </x:c>
      <x:c r="B42" s="58" t="str">
        <x:v>支持可见度</x:v>
      </x:c>
      <x:c r="C42" s="58" t="str">
        <x:v>最终输出字段</x:v>
      </x:c>
      <x:c r="D42" s="58" t="str">
        <x:v>CARE</x:v>
      </x:c>
      <x:c r="E42" s="58" t="str"/>
    </x:row>
    <x:row r="43">
      <x:c r="A43" s="58" t="str">
        <x:v>support_request_style</x:v>
      </x:c>
      <x:c r="B43" s="58" t="str">
        <x:v>请求支持方式</x:v>
      </x:c>
      <x:c r="C43" s="58" t="str">
        <x:v>最终输出字段</x:v>
      </x:c>
      <x:c r="D43" s="58" t="str">
        <x:v>CARE</x:v>
      </x:c>
      <x:c r="E43" s="58" t="str"/>
    </x:row>
    <x:row r="44">
      <x:c r="A44" s="58" t="str">
        <x:v>support_receiving_style</x:v>
      </x:c>
      <x:c r="B44" s="58" t="str">
        <x:v>接受支持方式</x:v>
      </x:c>
      <x:c r="C44" s="58" t="str">
        <x:v>最终输出字段</x:v>
      </x:c>
      <x:c r="D44" s="58" t="str">
        <x:v>CARE</x:v>
      </x:c>
      <x:c r="E44" s="58" t="str"/>
    </x:row>
    <x:row r="45">
      <x:c r="A45" s="58" t="str">
        <x:v>reciprocity_pattern</x:v>
      </x:c>
      <x:c r="B45" s="58" t="str">
        <x:v>支持回馈／交换结构</x:v>
      </x:c>
      <x:c r="C45" s="58" t="str">
        <x:v>最终输出字段</x:v>
      </x:c>
      <x:c r="D45" s="58" t="str">
        <x:v>CARE</x:v>
      </x:c>
      <x:c r="E45" s="58" t="str"/>
    </x:row>
    <x:row r="46">
      <x:c r="A46" s="58" t="str">
        <x:v>resource_boundary_note</x:v>
      </x:c>
      <x:c r="B46" s="58" t="str">
        <x:v>资源边界提示；不替代BOUND</x:v>
      </x:c>
      <x:c r="C46" s="58" t="str">
        <x:v>最终输出字段</x:v>
      </x:c>
      <x:c r="D46" s="58" t="str">
        <x:v>CARE→BOUND</x:v>
      </x:c>
      <x:c r="E46" s="58" t="str"/>
    </x:row>
    <x:row r="47">
      <x:c r="A47" s="58" t="str">
        <x:v>care_path</x:v>
      </x:c>
      <x:c r="B47" s="58" t="str">
        <x:v>支持流向与功能桥梁</x:v>
      </x:c>
      <x:c r="C47" s="58" t="str">
        <x:v>最终输出字段</x:v>
      </x:c>
      <x:c r="D47" s="58" t="str">
        <x:v>CARE</x:v>
      </x:c>
      <x:c r="E47" s="58" t="str"/>
    </x:row>
    <x:row r="48">
      <x:c r="A48" s="58" t="str">
        <x:v>state_shift</x:v>
      </x:c>
      <x:c r="B48" s="58" t="str">
        <x:v>平稳、压力与恢复切换提示</x:v>
      </x:c>
      <x:c r="C48" s="58" t="str">
        <x:v>最终输出字段</x:v>
      </x:c>
      <x:c r="D48" s="58" t="str">
        <x:v>CARE→STATE</x:v>
      </x:c>
      <x:c r="E48" s="58" t="str"/>
    </x:row>
    <x:row r="49">
      <x:c r="A49" s="58" t="str">
        <x:v>confidence</x:v>
      </x:c>
      <x:c r="B49" s="58" t="str">
        <x:v>字段置信度</x:v>
      </x:c>
      <x:c r="C49" s="58" t="str">
        <x:v>最终输出字段</x:v>
      </x:c>
      <x:c r="D49" s="58" t="str">
        <x:v>SYNTH</x:v>
      </x:c>
      <x:c r="E49" s="58" t="str"/>
    </x:row>
    <x:row r="50">
      <x:c r="A50" s="58" t="str">
        <x:v>boundary_note</x:v>
      </x:c>
      <x:c r="B50" s="58" t="str">
        <x:v>模型边界与停止原因</x:v>
      </x:c>
      <x:c r="C50" s="58" t="str">
        <x:v>最终输出字段</x:v>
      </x:c>
      <x:c r="D50" s="58" t="str">
        <x:v>CARE</x:v>
      </x:c>
      <x:c r="E50" s="58" t="str"/>
    </x:row>
    <x:row r="53">
      <x:c r="A53" s="101" t="str">
        <x:v>编号速查</x:v>
      </x:c>
      <x:c r="B53" s="101"/>
      <x:c r="C53" s="101"/>
      <x:c r="D53" s="101"/>
      <x:c r="E53" s="101"/>
    </x:row>
    <x:row r="54">
      <x:c r="A54" s="97" t="str">
        <x:v>编号</x:v>
      </x:c>
      <x:c r="B54" s="97" t="str">
        <x:v>名称</x:v>
      </x:c>
      <x:c r="C54" s="97" t="str">
        <x:v>类别</x:v>
      </x:c>
      <x:c r="D54" s="97" t="str">
        <x:v>十神</x:v>
      </x:c>
      <x:c r="E54" s="97" t="str">
        <x:v>说明</x:v>
      </x:c>
    </x:row>
    <x:row r="55">
      <x:c r="A55" s="58" t="str">
        <x:v>CA01</x:v>
      </x:c>
      <x:c r="B55" s="58" t="str">
        <x:v>并肩互助</x:v>
      </x:c>
      <x:c r="C55" s="58" t="str">
        <x:v>CARE通道</x:v>
      </x:c>
      <x:c r="D55" s="58" t="str">
        <x:v>比肩</x:v>
      </x:c>
      <x:c r="E55" s="58" t="str">
        <x:v>SYS01 自我边界系统</x:v>
      </x:c>
    </x:row>
    <x:row r="56">
      <x:c r="A56" s="58" t="str">
        <x:v>CA02</x:v>
      </x:c>
      <x:c r="B56" s="58" t="str">
        <x:v>即时协作</x:v>
      </x:c>
      <x:c r="C56" s="58" t="str">
        <x:v>CARE通道</x:v>
      </x:c>
      <x:c r="D56" s="58" t="str">
        <x:v>劫财</x:v>
      </x:c>
      <x:c r="E56" s="58" t="str">
        <x:v>SYS01 自我边界系统</x:v>
      </x:c>
    </x:row>
    <x:row r="57">
      <x:c r="A57" s="58" t="str">
        <x:v>CA03</x:v>
      </x:c>
      <x:c r="B57" s="58" t="str">
        <x:v>舒缓照料</x:v>
      </x:c>
      <x:c r="C57" s="58" t="str">
        <x:v>CARE通道</x:v>
      </x:c>
      <x:c r="D57" s="58" t="str">
        <x:v>食神</x:v>
      </x:c>
      <x:c r="E57" s="58" t="str">
        <x:v>SYS02 表达交流系统</x:v>
      </x:c>
    </x:row>
    <x:row r="58">
      <x:c r="A58" s="58" t="str">
        <x:v>CA04</x:v>
      </x:c>
      <x:c r="B58" s="58" t="str">
        <x:v>解题支持</x:v>
      </x:c>
      <x:c r="C58" s="58" t="str">
        <x:v>CARE通道</x:v>
      </x:c>
      <x:c r="D58" s="58" t="str">
        <x:v>伤官</x:v>
      </x:c>
      <x:c r="E58" s="58" t="str">
        <x:v>SYS02 表达交流系统</x:v>
      </x:c>
    </x:row>
    <x:row r="59">
      <x:c r="A59" s="58" t="str">
        <x:v>CA05</x:v>
      </x:c>
      <x:c r="B59" s="58" t="str">
        <x:v>稳定投入</x:v>
      </x:c>
      <x:c r="C59" s="58" t="str">
        <x:v>CARE通道</x:v>
      </x:c>
      <x:c r="D59" s="58" t="str">
        <x:v>正财</x:v>
      </x:c>
      <x:c r="E59" s="58" t="str">
        <x:v>SYS03 投入经营系统</x:v>
      </x:c>
    </x:row>
    <x:row r="60">
      <x:c r="A60" s="58" t="str">
        <x:v>CA06</x:v>
      </x:c>
      <x:c r="B60" s="58" t="str">
        <x:v>灵活馈赠</x:v>
      </x:c>
      <x:c r="C60" s="58" t="str">
        <x:v>CARE通道</x:v>
      </x:c>
      <x:c r="D60" s="58" t="str">
        <x:v>偏财</x:v>
      </x:c>
      <x:c r="E60" s="58" t="str">
        <x:v>SYS03 投入经营系统</x:v>
      </x:c>
    </x:row>
    <x:row r="61">
      <x:c r="A61" s="58" t="str">
        <x:v>CA07</x:v>
      </x:c>
      <x:c r="B61" s="58" t="str">
        <x:v>责任承担</x:v>
      </x:c>
      <x:c r="C61" s="58" t="str">
        <x:v>CARE通道</x:v>
      </x:c>
      <x:c r="D61" s="58" t="str">
        <x:v>正官</x:v>
      </x:c>
      <x:c r="E61" s="58" t="str">
        <x:v>SYS04 责任行动系统</x:v>
      </x:c>
    </x:row>
    <x:row r="62">
      <x:c r="A62" s="58" t="str">
        <x:v>CA08</x:v>
      </x:c>
      <x:c r="B62" s="58" t="str">
        <x:v>行动保护</x:v>
      </x:c>
      <x:c r="C62" s="58" t="str">
        <x:v>CARE通道</x:v>
      </x:c>
      <x:c r="D62" s="58" t="str">
        <x:v>七杀</x:v>
      </x:c>
      <x:c r="E62" s="58" t="str">
        <x:v>SYS04 责任行动系统</x:v>
      </x:c>
    </x:row>
    <x:row r="63">
      <x:c r="A63" s="58" t="str">
        <x:v>CA09</x:v>
      </x:c>
      <x:c r="B63" s="58" t="str">
        <x:v>安全承接</x:v>
      </x:c>
      <x:c r="C63" s="58" t="str">
        <x:v>CARE通道</x:v>
      </x:c>
      <x:c r="D63" s="58" t="str">
        <x:v>正印</x:v>
      </x:c>
      <x:c r="E63" s="58" t="str">
        <x:v>SYS05 承接内化系统</x:v>
      </x:c>
    </x:row>
    <x:row r="64">
      <x:c r="A64" s="58" t="str">
        <x:v>CA10</x:v>
      </x:c>
      <x:c r="B64" s="58" t="str">
        <x:v>个性支持</x:v>
      </x:c>
      <x:c r="C64" s="58" t="str">
        <x:v>CARE通道</x:v>
      </x:c>
      <x:c r="D64" s="58" t="str">
        <x:v>偏印</x:v>
      </x:c>
      <x:c r="E64" s="58" t="str">
        <x:v>SYS05 承接内化系统</x:v>
      </x:c>
    </x:row>
    <x:row r="65">
      <x:c r="A65" s="58" t="str">
        <x:v>CP01</x:v>
      </x:c>
      <x:c r="B65" s="58" t="str">
        <x:v>主动投入型</x:v>
      </x:c>
      <x:c r="C65" s="58" t="str">
        <x:v>CARE模式</x:v>
      </x:c>
      <x:c r="D65" s="58" t="str"/>
      <x:c r="E65" s="58" t="str">
        <x:v>用户较容易先注意关系需要并启动照顾、安排或支持。</x:v>
      </x:c>
    </x:row>
    <x:row r="66">
      <x:c r="A66" s="58" t="str">
        <x:v>CP02</x:v>
      </x:c>
      <x:c r="B66" s="58" t="str">
        <x:v>回应式支持型</x:v>
      </x:c>
      <x:c r="C66" s="58" t="str">
        <x:v>CARE模式</x:v>
      </x:c>
      <x:c r="D66" s="58" t="str"/>
      <x:c r="E66" s="58" t="str">
        <x:v>用户在需要、请求或对方投入清楚后，给出有针对性的回应。</x:v>
      </x:c>
    </x:row>
    <x:row r="67">
      <x:c r="A67" s="58" t="str">
        <x:v>CP03</x:v>
      </x:c>
      <x:c r="B67" s="58" t="str">
        <x:v>共同投入型</x:v>
      </x:c>
      <x:c r="C67" s="58" t="str">
        <x:v>CARE模式</x:v>
      </x:c>
      <x:c r="D67" s="58" t="str"/>
      <x:c r="E67" s="58" t="str">
        <x:v>支持通过双方共同参与、协作和分工形成，而不是单方包办。</x:v>
      </x:c>
    </x:row>
    <x:row r="68">
      <x:c r="A68" s="58" t="str">
        <x:v>CP04</x:v>
      </x:c>
      <x:c r="B68" s="58" t="str">
        <x:v>条件启动型</x:v>
      </x:c>
      <x:c r="C68" s="58" t="str">
        <x:v>CARE模式</x:v>
      </x:c>
      <x:c r="D68" s="58" t="str"/>
      <x:c r="E68" s="58" t="str">
        <x:v>用户需要先确认问题、责任、资源或边界，再启动支持。</x:v>
      </x:c>
    </x:row>
    <x:row r="69">
      <x:c r="A69" s="58" t="str">
        <x:v>CP05</x:v>
      </x:c>
      <x:c r="B69" s="58" t="str">
        <x:v>稳定经营型</x:v>
      </x:c>
      <x:c r="C69" s="58" t="str">
        <x:v>CARE模式</x:v>
      </x:c>
      <x:c r="D69" s="58" t="str"/>
      <x:c r="E69" s="58" t="str">
        <x:v>支持主要通过持续、可预期的时间资源和日常安排累积。</x:v>
      </x:c>
    </x:row>
    <x:row r="70">
      <x:c r="A70" s="58" t="str">
        <x:v>CP06</x:v>
      </x:c>
      <x:c r="B70" s="58" t="str">
        <x:v>舒缓照料型</x:v>
      </x:c>
      <x:c r="C70" s="58" t="str">
        <x:v>CARE模式</x:v>
      </x:c>
      <x:c r="D70" s="58" t="str"/>
      <x:c r="E70" s="58" t="str">
        <x:v>支持主要通过陪伴、安抚、照顾状态和建立舒适环境完成。</x:v>
      </x:c>
    </x:row>
    <x:row r="71">
      <x:c r="A71" s="58" t="str">
        <x:v>CP07</x:v>
      </x:c>
      <x:c r="B71" s="58" t="str">
        <x:v>解题支持型</x:v>
      </x:c>
      <x:c r="C71" s="58" t="str">
        <x:v>CARE模式</x:v>
      </x:c>
      <x:c r="D71" s="58" t="str"/>
      <x:c r="E71" s="58" t="str">
        <x:v>支持主要通过分析、信息、建议、技能和问题解决完成。</x:v>
      </x:c>
    </x:row>
    <x:row r="72">
      <x:c r="A72" s="58" t="str">
        <x:v>CP08</x:v>
      </x:c>
      <x:c r="B72" s="58" t="str">
        <x:v>责任承担型</x:v>
      </x:c>
      <x:c r="C72" s="58" t="str">
        <x:v>CARE模式</x:v>
      </x:c>
      <x:c r="D72" s="58" t="str"/>
      <x:c r="E72" s="58" t="str">
        <x:v>支持主要通过守约、固定分工、角色责任和稳定履职完成。</x:v>
      </x:c>
    </x:row>
    <x:row r="73">
      <x:c r="A73" s="58" t="str">
        <x:v>CP09</x:v>
      </x:c>
      <x:c r="B73" s="58" t="str">
        <x:v>行动保护型</x:v>
      </x:c>
      <x:c r="C73" s="58" t="str">
        <x:v>CARE模式</x:v>
      </x:c>
      <x:c r="D73" s="58" t="str"/>
      <x:c r="E73" s="58" t="str">
        <x:v>支持主要在关键时刻通过快速处理、保护和推进问题解决。</x:v>
      </x:c>
    </x:row>
    <x:row r="74">
      <x:c r="A74" s="58" t="str">
        <x:v>CP10</x:v>
      </x:c>
      <x:c r="B74" s="58" t="str">
        <x:v>灵活体验型</x:v>
      </x:c>
      <x:c r="C74" s="58" t="str">
        <x:v>CARE模式</x:v>
      </x:c>
      <x:c r="D74" s="58" t="str"/>
      <x:c r="E74" s="58" t="str">
        <x:v>支持主要通过体验、资源、人脉、礼物和灵活回应保持关系活力。</x:v>
      </x:c>
    </x:row>
    <x:row r="75">
      <x:c r="A75" s="58" t="str">
        <x:v>CP11</x:v>
      </x:c>
      <x:c r="B75" s="58" t="str">
        <x:v>双通道交换型</x:v>
      </x:c>
      <x:c r="C75" s="58" t="str">
        <x:v>CARE模式</x:v>
      </x:c>
      <x:c r="D75" s="58" t="str"/>
      <x:c r="E75" s="58" t="str">
        <x:v>两个来源独立、功能不同的CARE通道分工合作。</x:v>
      </x:c>
    </x:row>
    <x:row r="76">
      <x:c r="A76" s="58" t="str">
        <x:v>CP12</x:v>
      </x:c>
      <x:c r="B76" s="58" t="str">
        <x:v>情境切换型</x:v>
      </x:c>
      <x:c r="C76" s="58" t="str">
        <x:v>CARE模式</x:v>
      </x:c>
      <x:c r="D76" s="58" t="str"/>
      <x:c r="E76" s="58" t="str">
        <x:v>不同情境、阶段或压力水平会改变支持通道的启动顺序。</x:v>
      </x:c>
    </x:row>
    <x:row r="77">
      <x:c r="A77" s="58" t="str">
        <x:v>CE01</x:v>
      </x:c>
      <x:c r="B77" s="58" t="str">
        <x:v>同步互惠</x:v>
      </x:c>
      <x:c r="C77" s="58" t="str">
        <x:v>交换结构</x:v>
      </x:c>
      <x:c r="D77" s="58" t="str"/>
      <x:c r="E77" s="58" t="str">
        <x:v>双方在相近时间用可识别方式相互回应，支持形成即时或稳定来回。</x:v>
      </x:c>
    </x:row>
    <x:row r="78">
      <x:c r="A78" s="58" t="str">
        <x:v>CE02</x:v>
      </x:c>
      <x:c r="B78" s="58" t="str">
        <x:v>错峰互惠</x:v>
      </x:c>
      <x:c r="C78" s="58" t="str">
        <x:v>交换结构</x:v>
      </x:c>
      <x:c r="D78" s="58" t="str"/>
      <x:c r="E78" s="58" t="str">
        <x:v>双方并非同时付出，而是在不同阶段轮流承担和回应。</x:v>
      </x:c>
    </x:row>
    <x:row r="79">
      <x:c r="A79" s="58" t="str">
        <x:v>CE03</x:v>
      </x:c>
      <x:c r="B79" s="58" t="str">
        <x:v>角色分工</x:v>
      </x:c>
      <x:c r="C79" s="58" t="str">
        <x:v>交换结构</x:v>
      </x:c>
      <x:c r="D79" s="58" t="str"/>
      <x:c r="E79" s="58" t="str">
        <x:v>双方或两个CARE通道承担不同类型的支持功能。</x:v>
      </x:c>
    </x:row>
    <x:row r="80">
      <x:c r="A80" s="58" t="str">
        <x:v>CE04</x:v>
      </x:c>
      <x:c r="B80" s="58" t="str">
        <x:v>先给后收</x:v>
      </x:c>
      <x:c r="C80" s="58" t="str">
        <x:v>交换结构</x:v>
      </x:c>
      <x:c r="D80" s="58" t="str"/>
      <x:c r="E80" s="58" t="str">
        <x:v>用户较早投入，之后通过对方回应、稳定表现或信任建立接受支持。</x:v>
      </x:c>
    </x:row>
    <x:row r="81">
      <x:c r="A81" s="58" t="str">
        <x:v>CE05</x:v>
      </x:c>
      <x:c r="B81" s="58" t="str">
        <x:v>先收后回</x:v>
      </x:c>
      <x:c r="C81" s="58" t="str">
        <x:v>交换结构</x:v>
      </x:c>
      <x:c r="D81" s="58" t="str"/>
      <x:c r="E81" s="58" t="str">
        <x:v>用户先在理解、明确需要或获得支持后，转为实际回馈。</x:v>
      </x:c>
    </x:row>
    <x:row r="82">
      <x:c r="A82" s="58" t="str">
        <x:v>CE06</x:v>
      </x:c>
      <x:c r="B82" s="58" t="str">
        <x:v>单向可见候选</x:v>
      </x:c>
      <x:c r="C82" s="58" t="str">
        <x:v>交换结构</x:v>
      </x:c>
      <x:c r="D82" s="58" t="str"/>
      <x:c r="E82" s="58" t="str">
        <x:v>目前只能看见一侧支持行为，另一侧可能隐性、延后或资料不足。</x:v>
      </x:c>
    </x:row>
    <x:row r="83">
      <x:c r="A83" s="58" t="str">
        <x:v>CE07</x:v>
      </x:c>
      <x:c r="B83" s="58" t="str">
        <x:v>同义收敛</x:v>
      </x:c>
      <x:c r="C83" s="58" t="str">
        <x:v>交换结构</x:v>
      </x:c>
      <x:c r="D83" s="58" t="str"/>
      <x:c r="E83" s="58" t="str">
        <x:v>多个规则实际描述同一支持事实，应合并为一项功能。</x:v>
      </x:c>
    </x:row>
    <x:row r="84">
      <x:c r="A84" s="58" t="str">
        <x:v>CE08</x:v>
      </x:c>
      <x:c r="B84" s="58" t="str">
        <x:v>交换结构未定</x:v>
      </x:c>
      <x:c r="C84" s="58" t="str">
        <x:v>交换结构</x:v>
      </x:c>
      <x:c r="D84" s="58" t="str"/>
      <x:c r="E84" s="58" t="str">
        <x:v>证据冲突、合化未定或双向资料不足时，不固定互惠模式。</x:v>
      </x:c>
    </x:row>
    <x:row r="85">
      <x:c r="A85" s="58" t="str">
        <x:v>CF01</x:v>
      </x:c>
      <x:c r="B85" s="58" t="str">
        <x:v>印→比劫｜支持转自主</x:v>
      </x:c>
      <x:c r="C85" s="58" t="str">
        <x:v>CARE路径</x:v>
      </x:c>
      <x:c r="D85" s="58" t="str"/>
      <x:c r="E85" s="58" t="str">
        <x:v>先被理解、接住或获得信息，再回到自己的选择和分工。</x:v>
      </x:c>
    </x:row>
    <x:row r="86">
      <x:c r="A86" s="58" t="str">
        <x:v>CF02</x:v>
      </x:c>
      <x:c r="B86" s="58" t="str">
        <x:v>比劫→食伤｜并肩转交流</x:v>
      </x:c>
      <x:c r="C86" s="58" t="str">
        <x:v>CARE路径</x:v>
      </x:c>
      <x:c r="D86" s="58" t="str"/>
      <x:c r="E86" s="58" t="str">
        <x:v>先确认平等参与和边界，再通过交流、陪伴或说明完成支持。</x:v>
      </x:c>
    </x:row>
    <x:row r="87">
      <x:c r="A87" s="58" t="str">
        <x:v>CF03</x:v>
      </x:c>
      <x:c r="B87" s="58" t="str">
        <x:v>食伤→财｜感受转落实</x:v>
      </x:c>
      <x:c r="C87" s="58" t="str">
        <x:v>CARE路径</x:v>
      </x:c>
      <x:c r="D87" s="58" t="str"/>
      <x:c r="E87" s="58" t="str">
        <x:v>先通过陪伴、表达或解题建立理解，再落实到时间、资源和现实安排。</x:v>
      </x:c>
    </x:row>
    <x:row r="88">
      <x:c r="A88" s="58" t="str">
        <x:v>CF04</x:v>
      </x:c>
      <x:c r="B88" s="58" t="str">
        <x:v>财→官杀｜投入转责任</x:v>
      </x:c>
      <x:c r="C88" s="58" t="str">
        <x:v>CARE路径</x:v>
      </x:c>
      <x:c r="D88" s="58" t="str"/>
      <x:c r="E88" s="58" t="str">
        <x:v>先出现现实投入，再把它固定为分工、承诺、责任或关键行动。</x:v>
      </x:c>
    </x:row>
    <x:row r="89">
      <x:c r="A89" s="58" t="str">
        <x:v>CF05</x:v>
      </x:c>
      <x:c r="B89" s="58" t="str">
        <x:v>官杀→印｜承担转安全</x:v>
      </x:c>
      <x:c r="C89" s="58" t="str">
        <x:v>CARE路径</x:v>
      </x:c>
      <x:c r="D89" s="58" t="str"/>
      <x:c r="E89" s="58" t="str">
        <x:v>先通过行动、解决问题或责任兑现，再形成安全、信任和接受支持。</x:v>
      </x:c>
    </x:row>
    <x:row r="90">
      <x:c r="A90" s="58" t="str">
        <x:v>CF06</x:v>
      </x:c>
      <x:c r="B90" s="58" t="str">
        <x:v>直接流｜单通道完成支持</x:v>
      </x:c>
      <x:c r="C90" s="58" t="str">
        <x:v>CARE路径</x:v>
      </x:c>
      <x:c r="D90" s="58" t="str"/>
      <x:c r="E90" s="58" t="str">
        <x:v>一个主CARE通道同时完成启动、内容和可观察输出。</x:v>
      </x:c>
    </x:row>
    <x:row r="91">
      <x:c r="A91" s="58" t="str">
        <x:v>CF07</x:v>
      </x:c>
      <x:c r="B91" s="58" t="str">
        <x:v>桥接流｜两通道分工</x:v>
      </x:c>
      <x:c r="C91" s="58" t="str">
        <x:v>CARE路径</x:v>
      </x:c>
      <x:c r="D91" s="58" t="str"/>
      <x:c r="E91" s="58" t="str">
        <x:v>一个通道负责启动，另一个通道负责落实、接收或回馈。</x:v>
      </x:c>
    </x:row>
    <x:row r="92">
      <x:c r="A92" s="58" t="str">
        <x:v>CF08</x:v>
      </x:c>
      <x:c r="B92" s="58" t="str">
        <x:v>闭环流｜支持—回应—再调整</x:v>
      </x:c>
      <x:c r="C92" s="58" t="str">
        <x:v>CARE路径</x:v>
      </x:c>
      <x:c r="D92" s="58" t="str"/>
      <x:c r="E92" s="58" t="str">
        <x:v>支持行为、对方反馈和后续调整形成多轮循环。</x:v>
      </x:c>
    </x:row>
  </x:sheetData>
  <x:mergeCells>
    <x:mergeCell ref="A1:E1"/>
    <x:mergeCell ref="A2:E2"/>
    <x:mergeCell ref="A53:E53"/>
  </x:mergeCells>
  <x:pageMargins left="0.7" right="0.7" top="0.75" bottom="0.75" header="0.3" footer="0.3"/>
  <x:tableParts count="2">
    <x:tablePart xmlns:r="http://schemas.openxmlformats.org/officeDocument/2006/relationships" r:id="Rd8ef7c5ddea24b9a"/>
    <x:tablePart xmlns:r="http://schemas.openxmlformats.org/officeDocument/2006/relationships" r:id="R6f60afe5463a4a77"/>
  </x:tableParts>
</x:worksheet>
</file>

<file path=xl/worksheets/sheet12.xml><?xml version="1.0" encoding="utf-8"?>
<x:worksheet xmlns:x="http://schemas.openxmlformats.org/spreadsheetml/2006/main">
  <x:sheetFormatPr defaultRowHeight="15"/>
  <x:cols>
    <x:col min="1" max="1" width="24" hidden="0" customWidth="1"/>
    <x:col min="2" max="2" width="18" hidden="0" customWidth="1"/>
    <x:col min="3" max="3" width="4" hidden="0" customWidth="1"/>
    <x:col min="4" max="4" width="42" hidden="0" customWidth="1"/>
    <x:col min="5" max="5" width="16" hidden="0" customWidth="1"/>
    <x:col min="6" max="6" width="16" hidden="0" customWidth="1"/>
  </x:cols>
  <x:sheetData>
    <x:row r="1" ht="30" customHeight="1">
      <x:c r="A1" s="5" t="str">
        <x:v>版本、规则统计与发布检查</x:v>
      </x:c>
      <x:c r="B1" s="5"/>
      <x:c r="C1" s="5"/>
      <x:c r="D1" s="5"/>
      <x:c r="E1" s="5"/>
      <x:c r="F1" s="5"/>
    </x:row>
    <x:row r="2" ht="32" customHeight="1">
      <x:c r="A2" s="13" t="str">
        <x:v>所有统计引用06_原子规则和09_案例验证；当前V0.4处于待真实案例校准状态。</x:v>
      </x:c>
      <x:c r="B2" s="13"/>
      <x:c r="C2" s="13"/>
      <x:c r="D2" s="13"/>
      <x:c r="E2" s="13"/>
      <x:c r="F2" s="13"/>
    </x:row>
    <x:row r="3" ht="8" customHeight="1"/>
    <x:row r="4">
      <x:c r="A4" s="110" t="str">
        <x:v>指标</x:v>
      </x:c>
      <x:c r="B4" s="110" t="str">
        <x:v>数值</x:v>
      </x:c>
      <x:c r="C4" s="111"/>
      <x:c r="D4" s="110" t="str">
        <x:v>模块</x:v>
      </x:c>
      <x:c r="E4" s="110" t="str">
        <x:v>数量</x:v>
      </x:c>
      <x:c r="F4" s="111"/>
    </x:row>
    <x:row r="5">
      <x:c r="A5" s="111" t="str">
        <x:v>版本</x:v>
      </x:c>
      <x:c r="B5" s="111" t="str">
        <x:v>0.4</x:v>
      </x:c>
      <x:c r="C5" s="111"/>
      <x:c r="D5" s="111" t="str">
        <x:v>CARE-定义边界</x:v>
      </x:c>
      <x:c r="E5" s="111" t="n">
        <x:v>20</x:v>
      </x:c>
      <x:c r="F5" s="111"/>
    </x:row>
    <x:row r="6">
      <x:c r="A6" s="111" t="str">
        <x:v>发布日期</x:v>
      </x:c>
      <x:c r="B6" s="111" t="str">
        <x:v>2026-08-26</x:v>
      </x:c>
      <x:c r="C6" s="111"/>
      <x:c r="D6" s="111" t="str">
        <x:v>CARE-十神通道</x:v>
      </x:c>
      <x:c r="E6" s="111" t="n">
        <x:v>70</x:v>
      </x:c>
      <x:c r="F6" s="111"/>
    </x:row>
    <x:row r="7">
      <x:c r="A7" s="111" t="str">
        <x:v>规则总数</x:v>
      </x:c>
      <x:c r="B7" s="111" t="n">
        <x:f>COUNTA('06_原子规则'!A5:A240)</x:f>
        <x:v>236</x:v>
      </x:c>
      <x:c r="C7" s="111"/>
      <x:c r="D7" s="111" t="str">
        <x:v>CARE-过程维度</x:v>
      </x:c>
      <x:c r="E7" s="111" t="n">
        <x:v>36</x:v>
      </x:c>
      <x:c r="F7" s="111"/>
    </x:row>
    <x:row r="8">
      <x:c r="A8" s="111" t="str">
        <x:v>待验证</x:v>
      </x:c>
      <x:c r="B8" s="111" t="n">
        <x:f>COUNTIF('06_原子规则'!AB5:AB240,"待验证")</x:f>
        <x:v>236</x:v>
      </x:c>
      <x:c r="C8" s="111"/>
      <x:c r="D8" s="111" t="str">
        <x:v>CARE-付出模式</x:v>
      </x:c>
      <x:c r="E8" s="111" t="n">
        <x:v>24</x:v>
      </x:c>
      <x:c r="F8" s="111"/>
    </x:row>
    <x:row r="9">
      <x:c r="A9" s="111" t="str">
        <x:v>已验证</x:v>
      </x:c>
      <x:c r="B9" s="111" t="n">
        <x:f>COUNTIF('06_原子规则'!AB5:AB240,"已验证")</x:f>
        <x:v>0</x:v>
      </x:c>
      <x:c r="C9" s="111"/>
      <x:c r="D9" s="111" t="str">
        <x:v>CARE-交换结构</x:v>
      </x:c>
      <x:c r="E9" s="111" t="n">
        <x:v>8</x:v>
      </x:c>
      <x:c r="F9" s="111"/>
    </x:row>
    <x:row r="10">
      <x:c r="A10" s="111" t="str">
        <x:v>需修改</x:v>
      </x:c>
      <x:c r="B10" s="111" t="n">
        <x:f>COUNTIF('06_原子规则'!AB5:AB240,"需修改")</x:f>
        <x:v>0</x:v>
      </x:c>
      <x:c r="C10" s="111"/>
      <x:c r="D10" s="111" t="str">
        <x:v>CARE-流向路径</x:v>
      </x:c>
      <x:c r="E10" s="111" t="n">
        <x:v>8</x:v>
      </x:c>
      <x:c r="F10" s="111"/>
    </x:row>
    <x:row r="11">
      <x:c r="A11" s="111" t="str">
        <x:v>停用</x:v>
      </x:c>
      <x:c r="B11" s="111" t="n">
        <x:f>COUNTIF('06_原子规则'!AB5:AB240,"停用")</x:f>
        <x:v>0</x:v>
      </x:c>
      <x:c r="C11" s="111"/>
      <x:c r="D11" s="111" t="str">
        <x:v>CARE-状态修正</x:v>
      </x:c>
      <x:c r="E11" s="111" t="n">
        <x:v>28</x:v>
      </x:c>
      <x:c r="F11" s="111"/>
    </x:row>
    <x:row r="12">
      <x:c r="A12" s="111" t="str">
        <x:v>停止／边界类规则</x:v>
      </x:c>
      <x:c r="B12" s="114" t="n">
        <x:f>COUNTIF('06_原子规则'!F5:F240,"停止")+COUNTIF('06_原子规则'!F5:F240,"边界")+COUNTIF('06_原子规则'!F5:F240,"定义边界")+COUNTIF('06_原子规则'!F5:F240,"跨模型边界")+COUNTIF('06_原子规则'!F5:F240,"模块边界")+COUNTIF('06_原子规则'!F5:F240,"禁止推断")</x:f>
        <x:v>26</x:v>
      </x:c>
      <x:c r="C12" s="111"/>
      <x:c r="D12" s="111" t="str">
        <x:v>CARE-接口门控</x:v>
      </x:c>
      <x:c r="E12" s="111" t="n">
        <x:v>24</x:v>
      </x:c>
      <x:c r="F12" s="111"/>
    </x:row>
    <x:row r="13">
      <x:c r="A13" s="111"/>
      <x:c r="B13" s="111"/>
      <x:c r="C13" s="111"/>
      <x:c r="D13" s="111" t="str">
        <x:v>CARE-合成输出</x:v>
      </x:c>
      <x:c r="E13" s="111" t="n">
        <x:v>18</x:v>
      </x:c>
      <x:c r="F13" s="111"/>
    </x:row>
    <x:row r="14">
      <x:c r="A14" s="111"/>
      <x:c r="B14" s="111"/>
      <x:c r="C14" s="111"/>
      <x:c r="D14" s="111"/>
      <x:c r="E14" s="111"/>
      <x:c r="F14" s="111"/>
    </x:row>
    <x:row r="15">
      <x:c r="A15" s="110" t="str">
        <x:v>案例状态</x:v>
      </x:c>
      <x:c r="B15" s="110" t="str">
        <x:v>数量</x:v>
      </x:c>
      <x:c r="C15" s="111"/>
      <x:c r="D15" s="110" t="str">
        <x:v>编号</x:v>
      </x:c>
      <x:c r="E15" s="110" t="str">
        <x:v>发布前检查项</x:v>
      </x:c>
      <x:c r="F15" s="110" t="str">
        <x:v>状态</x:v>
      </x:c>
    </x:row>
    <x:row r="16">
      <x:c r="A16" s="111" t="str">
        <x:v>完全吻合</x:v>
      </x:c>
      <x:c r="B16" s="111" t="n">
        <x:f>COUNTIF('09_案例验证'!O5:O32,"完全吻合")</x:f>
        <x:v>0</x:v>
      </x:c>
      <x:c r="C16" s="111"/>
      <x:c r="D16" s="111" t="str">
        <x:v>1</x:v>
      </x:c>
      <x:c r="E16" s="111" t="str">
        <x:v>基础十神、日支主气、旺衰与合化状态可靠。</x:v>
      </x:c>
      <x:c r="F16" s="111" t="str">
        <x:v>未完成</x:v>
      </x:c>
    </x:row>
    <x:row r="17">
      <x:c r="A17" s="111" t="str">
        <x:v>部分吻合</x:v>
      </x:c>
      <x:c r="B17" s="111" t="n">
        <x:f>COUNTIF('09_案例验证'!O5:O32,"部分吻合")</x:f>
        <x:v>0</x:v>
      </x:c>
      <x:c r="C17" s="111"/>
      <x:c r="D17" s="111" t="str">
        <x:v>2</x:v>
      </x:c>
      <x:c r="E17" s="111" t="str">
        <x:v>给予与接受支持已分别判断。</x:v>
      </x:c>
      <x:c r="F17" s="111" t="str">
        <x:v>未完成</x:v>
      </x:c>
    </x:row>
    <x:row r="18">
      <x:c r="A18" s="111" t="str">
        <x:v>明显不吻合</x:v>
      </x:c>
      <x:c r="B18" s="111" t="n">
        <x:f>COUNTIF('09_案例验证'!O5:O32,"明显不吻合")</x:f>
        <x:v>0</x:v>
      </x:c>
      <x:c r="C18" s="111"/>
      <x:c r="D18" s="111" t="str">
        <x:v>3</x:v>
      </x:c>
      <x:c r="E18" s="111" t="str">
        <x:v>行动表达与长期投入已区分。</x:v>
      </x:c>
      <x:c r="F18" s="111" t="str">
        <x:v>未完成</x:v>
      </x:c>
    </x:row>
    <x:row r="19">
      <x:c r="A19" s="111" t="str">
        <x:v>信息不足</x:v>
      </x:c>
      <x:c r="B19" s="111" t="n">
        <x:f>COUNTIF('09_案例验证'!O5:O32,"信息不足")</x:f>
        <x:v>0</x:v>
      </x:c>
      <x:c r="C19" s="111"/>
      <x:c r="D19" s="111" t="str">
        <x:v>4</x:v>
      </x:c>
      <x:c r="E19" s="111" t="str">
        <x:v>同一source_id、同根透藏和同系统正偏信号已去重。</x:v>
      </x:c>
      <x:c r="F19" s="111" t="str">
        <x:v>未完成</x:v>
      </x:c>
    </x:row>
    <x:row r="20">
      <x:c r="A20" s="111" t="str">
        <x:v>待填写</x:v>
      </x:c>
      <x:c r="B20" s="111" t="n">
        <x:f>COUNTIF('09_案例验证'!O5:O32,"待填写")</x:f>
        <x:v>28</x:v>
      </x:c>
      <x:c r="C20" s="111"/>
      <x:c r="D20" s="111" t="str">
        <x:v>5</x:v>
      </x:c>
      <x:c r="E20" s="111" t="str">
        <x:v>主通道达到门槛；次通道来源独立、功能不同。</x:v>
      </x:c>
      <x:c r="F20" s="111" t="str">
        <x:v>未完成</x:v>
      </x:c>
    </x:row>
    <x:row r="21">
      <x:c r="A21" s="111"/>
      <x:c r="B21" s="111"/>
      <x:c r="C21" s="111"/>
      <x:c r="D21" s="111" t="str">
        <x:v>6</x:v>
      </x:c>
      <x:c r="E21" s="111" t="str">
        <x:v>单次关键行为没有被写成长期稳定投入。</x:v>
      </x:c>
      <x:c r="F21" s="111" t="str">
        <x:v>未完成</x:v>
      </x:c>
    </x:row>
    <x:row r="22">
      <x:c r="A22" s="111"/>
      <x:c r="B22" s="111"/>
      <x:c r="C22" s="111"/>
      <x:c r="D22" s="111" t="str">
        <x:v>7</x:v>
      </x:c>
      <x:c r="E22" s="111" t="str">
        <x:v>付出数量没有被解释为边界或风险。</x:v>
      </x:c>
      <x:c r="F22" s="111" t="str">
        <x:v>未完成</x:v>
      </x:c>
    </x:row>
    <x:row r="23">
      <x:c r="A23" s="111"/>
      <x:c r="B23" s="111"/>
      <x:c r="C23" s="111"/>
      <x:c r="D23" s="111" t="str">
        <x:v>8</x:v>
      </x:c>
      <x:c r="E23" s="111" t="str">
        <x:v>交换结构没有被直接写成公平、单向或失衡。</x:v>
      </x:c>
      <x:c r="F23" s="111" t="str">
        <x:v>未完成</x:v>
      </x:c>
    </x:row>
    <x:row r="24">
      <x:c r="A24" s="111"/>
      <x:c r="B24" s="111"/>
      <x:c r="C24" s="111"/>
      <x:c r="D24" s="111" t="str">
        <x:v>9</x:v>
      </x:c>
      <x:c r="E24" s="111" t="str">
        <x:v>输出正文只保留一主一次、一种启动和一条主路径。</x:v>
      </x:c>
      <x:c r="F24" s="111" t="str">
        <x:v>未完成</x:v>
      </x:c>
    </x:row>
    <x:row r="25">
      <x:c r="A25" s="111"/>
      <x:c r="B25" s="111"/>
      <x:c r="C25" s="111"/>
      <x:c r="D25" s="111" t="str">
        <x:v>10</x:v>
      </x:c>
      <x:c r="E25" s="111" t="str">
        <x:v>已运行禁止断语与M4/M5边界检查。</x:v>
      </x:c>
      <x:c r="F25" s="111" t="str">
        <x:v>未完成</x:v>
      </x:c>
    </x:row>
    <x:row r="26">
      <x:c r="A26" s="111"/>
      <x:c r="B26" s="111"/>
      <x:c r="C26" s="111"/>
      <x:c r="D26" s="111"/>
      <x:c r="E26" s="111"/>
      <x:c r="F26" s="111"/>
    </x:row>
    <x:row r="27">
      <x:c r="A27" s="111"/>
      <x:c r="B27" s="111"/>
      <x:c r="C27" s="111"/>
      <x:c r="D27" s="111"/>
      <x:c r="E27" s="111"/>
      <x:c r="F27" s="111"/>
    </x:row>
    <x:row r="28">
      <x:c r="A28" s="111"/>
      <x:c r="B28" s="111"/>
      <x:c r="C28" s="111"/>
      <x:c r="D28" s="111"/>
      <x:c r="E28" s="111"/>
      <x:c r="F28" s="111"/>
    </x:row>
    <x:row r="29">
      <x:c r="A29" s="111"/>
      <x:c r="B29" s="111"/>
      <x:c r="C29" s="111"/>
      <x:c r="D29" s="111"/>
      <x:c r="E29" s="111"/>
      <x:c r="F29" s="111"/>
    </x:row>
    <x:row r="30">
      <x:c r="A30" s="111"/>
      <x:c r="B30" s="111"/>
      <x:c r="C30" s="111"/>
      <x:c r="D30" s="111"/>
      <x:c r="E30" s="111"/>
      <x:c r="F30" s="111"/>
    </x:row>
  </x:sheetData>
  <x:mergeCells>
    <x:mergeCell ref="A1:F1"/>
    <x:mergeCell ref="A2:F2"/>
  </x:mergeCells>
  <x:conditionalFormatting sqref="F16:F25">
    <x:cfRule type="expression" dxfId="9" priority="1">
      <x:formula>F16="已完成"</x:formula>
    </x:cfRule>
    <x:cfRule type="expression" dxfId="10" priority="2">
      <x:formula>F16="未完成"</x:formula>
    </x:cfRule>
  </x:conditionalFormatting>
  <x:dataValidations count="1">
    <x:dataValidation type="list" sqref="F16:F25">
      <x:formula1>"未完成,已完成,不适用"</x:formula1>
    </x:dataValidation>
  </x:dataValidations>
  <x:pageMargins left="0.7" right="0.7" top="0.75" bottom="0.75" header="0.3" footer="0.3"/>
</x:worksheet>
</file>