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8.xml" ContentType="application/vnd.openxmlformats-officedocument.spreadsheetml.worksheet+xml"/>
  <Override PartName="/xl/tables/table20.xml" ContentType="application/vnd.openxmlformats-officedocument.spreadsheetml.table+xml"/>
  <Override PartName="/xl/worksheets/sheet19.xml" ContentType="application/vnd.openxmlformats-officedocument.spreadsheetml.worksheet+xml"/>
  <Override PartName="/xl/tables/table21.xml" ContentType="application/vnd.openxmlformats-officedocument.spreadsheetml.table+xml"/>
  <Override PartName="/xl/worksheets/sheet20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763925d59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02352c1110124de1"/>
    <x:sheet xmlns:r="http://schemas.openxmlformats.org/officeDocument/2006/relationships" name="01_EC交换通道速查" sheetId="2" r:id="R15da4de628a947ac"/>
    <x:sheet xmlns:r="http://schemas.openxmlformats.org/officeDocument/2006/relationships" name="02_给予请求接收" sheetId="3" r:id="R3772cc953b4241f3"/>
    <x:sheet xmlns:r="http://schemas.openxmlformats.org/officeDocument/2006/relationships" name="03_ED过程维度" sheetId="4" r:id="R6ddf55b6cdc94d65"/>
    <x:sheet xmlns:r="http://schemas.openxmlformats.org/officeDocument/2006/relationships" name="04_EM交换模式" sheetId="5" r:id="R71aa34ec7f42471a"/>
    <x:sheet xmlns:r="http://schemas.openxmlformats.org/officeDocument/2006/relationships" name="05_EP闭环路径" sheetId="6" r:id="R53e525b6dc974aed"/>
    <x:sheet xmlns:r="http://schemas.openxmlformats.org/officeDocument/2006/relationships" name="06_XR交换状态" sheetId="7" r:id="R4b58aa20a5cf4978"/>
    <x:sheet xmlns:r="http://schemas.openxmlformats.org/officeDocument/2006/relationships" name="07_XV证据层级" sheetId="8" r:id="R3aec9a3d7bc648cb"/>
    <x:sheet xmlns:r="http://schemas.openxmlformats.org/officeDocument/2006/relationships" name="08_EB伪互惠" sheetId="9" r:id="Rf2c78536c683483a"/>
    <x:sheet xmlns:r="http://schemas.openxmlformats.org/officeDocument/2006/relationships" name="09_XD交换领域" sheetId="10" r:id="Rd1245bbc44584200"/>
    <x:sheet xmlns:r="http://schemas.openxmlformats.org/officeDocument/2006/relationships" name="10_M3接口" sheetId="11" r:id="R47e2b9f30fcd48ab"/>
    <x:sheet xmlns:r="http://schemas.openxmlformats.org/officeDocument/2006/relationships" name="11_M4风险修复接口" sheetId="12" r:id="R32d9edbb952e435d"/>
    <x:sheet xmlns:r="http://schemas.openxmlformats.org/officeDocument/2006/relationships" name="12_状态去重与停止" sheetId="13" r:id="Rf8f110f8b6ea4bea"/>
    <x:sheet xmlns:r="http://schemas.openxmlformats.org/officeDocument/2006/relationships" name="13_评分与FG路由" sheetId="14" r:id="R2c807ed5d97d4af7"/>
    <x:sheet xmlns:r="http://schemas.openxmlformats.org/officeDocument/2006/relationships" name="14_原子规则" sheetId="15" r:id="R81cd56af910746cd"/>
    <x:sheet xmlns:r="http://schemas.openxmlformats.org/officeDocument/2006/relationships" name="15_门控与停止" sheetId="16" r:id="Rbd22b366cda74753"/>
    <x:sheet xmlns:r="http://schemas.openxmlformats.org/officeDocument/2006/relationships" name="16_输出模板与句库" sheetId="17" r:id="R24471934ca6b4961"/>
    <x:sheet xmlns:r="http://schemas.openxmlformats.org/officeDocument/2006/relationships" name="17_案例验证" sheetId="18" r:id="R5a829085eab746ee"/>
    <x:sheet xmlns:r="http://schemas.openxmlformats.org/officeDocument/2006/relationships" name="18_字段词典" sheetId="19" r:id="Rf1a045f7b7424a48"/>
    <x:sheet xmlns:r="http://schemas.openxmlformats.org/officeDocument/2006/relationships" name="19_版本与验证" sheetId="20" r:id="R22caa8c1d53c40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2937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1"/>
      <x:color rgb="FF1F2937"/>
      <x:name val="Microsoft YaHei"/>
    </x:font>
    <x:font>
      <x:b/>
      <x:sz val="11"/>
      <x:color rgb="FFFFFFFF"/>
      <x:name val="Microsoft YaHei"/>
    </x:font>
    <x:font>
      <x:sz val="11"/>
      <x:color rgb="FF1F293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CE8B2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5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5b4dab9ee43f6" /><Relationship Type="http://schemas.openxmlformats.org/officeDocument/2006/relationships/theme" Target="/xl/theme/theme1.xml" Id="R03a20decf2cd4af0" /><Relationship Type="http://schemas.openxmlformats.org/officeDocument/2006/relationships/sharedStrings" Target="/xl/sharedStrings.xml" Id="Rbfdd733221314e3e" /><Relationship Type="http://schemas.openxmlformats.org/officeDocument/2006/relationships/worksheet" Target="/xl/worksheets/sheet1.xml" Id="R02352c1110124de1" /><Relationship Type="http://schemas.openxmlformats.org/officeDocument/2006/relationships/worksheet" Target="/xl/worksheets/sheet2.xml" Id="R15da4de628a947ac" /><Relationship Type="http://schemas.openxmlformats.org/officeDocument/2006/relationships/worksheet" Target="/xl/worksheets/sheet3.xml" Id="R3772cc953b4241f3" /><Relationship Type="http://schemas.openxmlformats.org/officeDocument/2006/relationships/worksheet" Target="/xl/worksheets/sheet4.xml" Id="R6ddf55b6cdc94d65" /><Relationship Type="http://schemas.openxmlformats.org/officeDocument/2006/relationships/worksheet" Target="/xl/worksheets/sheet5.xml" Id="R71aa34ec7f42471a" /><Relationship Type="http://schemas.openxmlformats.org/officeDocument/2006/relationships/worksheet" Target="/xl/worksheets/sheet6.xml" Id="R53e525b6dc974aed" /><Relationship Type="http://schemas.openxmlformats.org/officeDocument/2006/relationships/worksheet" Target="/xl/worksheets/sheet7.xml" Id="R4b58aa20a5cf4978" /><Relationship Type="http://schemas.openxmlformats.org/officeDocument/2006/relationships/worksheet" Target="/xl/worksheets/sheet8.xml" Id="R3aec9a3d7bc648cb" /><Relationship Type="http://schemas.openxmlformats.org/officeDocument/2006/relationships/worksheet" Target="/xl/worksheets/sheet9.xml" Id="Rf2c78536c683483a" /><Relationship Type="http://schemas.openxmlformats.org/officeDocument/2006/relationships/worksheet" Target="/xl/worksheets/sheet10.xml" Id="Rd1245bbc44584200" /><Relationship Type="http://schemas.openxmlformats.org/officeDocument/2006/relationships/worksheet" Target="/xl/worksheets/sheet11.xml" Id="R47e2b9f30fcd48ab" /><Relationship Type="http://schemas.openxmlformats.org/officeDocument/2006/relationships/worksheet" Target="/xl/worksheets/sheet12.xml" Id="R32d9edbb952e435d" /><Relationship Type="http://schemas.openxmlformats.org/officeDocument/2006/relationships/worksheet" Target="/xl/worksheets/sheet13.xml" Id="Rf8f110f8b6ea4bea" /><Relationship Type="http://schemas.openxmlformats.org/officeDocument/2006/relationships/worksheet" Target="/xl/worksheets/sheet14.xml" Id="R2c807ed5d97d4af7" /><Relationship Type="http://schemas.openxmlformats.org/officeDocument/2006/relationships/worksheet" Target="/xl/worksheets/sheet15.xml" Id="R81cd56af910746cd" /><Relationship Type="http://schemas.openxmlformats.org/officeDocument/2006/relationships/worksheet" Target="/xl/worksheets/sheet16.xml" Id="Rbd22b366cda74753" /><Relationship Type="http://schemas.openxmlformats.org/officeDocument/2006/relationships/worksheet" Target="/xl/worksheets/sheet17.xml" Id="R24471934ca6b4961" /><Relationship Type="http://schemas.openxmlformats.org/officeDocument/2006/relationships/worksheet" Target="/xl/worksheets/sheet18.xml" Id="R5a829085eab746ee" /><Relationship Type="http://schemas.openxmlformats.org/officeDocument/2006/relationships/worksheet" Target="/xl/worksheets/sheet19.xml" Id="Rf1a045f7b7424a48" /><Relationship Type="http://schemas.openxmlformats.org/officeDocument/2006/relationships/worksheet" Target="/xl/worksheets/sheet20.xml" Id="R22caa8c1d53c4079" /></Relationships>
</file>

<file path=xl/tables/table1.xml><?xml version="1.0" encoding="utf-8"?>
<x:table xmlns:x="http://schemas.openxmlformats.org/spreadsheetml/2006/main" id="1" name="ExchangeReadme" displayName="ExchangeReadme" ref="A5:C15" headerRowCount="1" totalsRowCount="0" totalsRowShown="0">
  <x:tableColumns count="3">
    <x:tableColumn id="1" name="步骤"/>
    <x:tableColumn id="2" name="判断任务"/>
    <x:tableColumn id="3" name="快速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hangeBoundaries" displayName="ExchangeBoundaries" ref="A19:B22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CTable" displayName="ECTable" ref="A5:I15" headerRowCount="1" totalsRowCount="0" totalsRowShown="0">
  <x:tableColumns count="9">
    <x:tableColumn id="1" name="EC"/>
    <x:tableColumn id="2" name="来源"/>
    <x:tableColumn id="3" name="通道"/>
    <x:tableColumn id="4" name="给予方式"/>
    <x:tableColumn id="5" name="请求方式"/>
    <x:tableColumn id="6" name="接收方式"/>
    <x:tableColumn id="7" name="回馈方式"/>
    <x:tableColumn id="8" name="成熟交换"/>
    <x:tableColumn id="9" name="失衡候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rectionTable" displayName="DirectionTable" ref="A5:F45" headerRowCount="1" totalsRowCount="0" totalsRowShown="0">
  <x:tableColumns count="6">
    <x:tableColumn id="1" name="EC"/>
    <x:tableColumn id="2" name="通道"/>
    <x:tableColumn id="3" name="方向"/>
    <x:tableColumn id="4" name="成熟行为"/>
    <x:tableColumn id="5" name="关键观察"/>
    <x:tableColumn id="6" name="边界提醒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DTable" displayName="EDTable" ref="A5:F15" headerRowCount="1" totalsRowCount="0" totalsRowShown="0">
  <x:tableColumns count="6">
    <x:tableColumn id="1" name="代码"/>
    <x:tableColumn id="2" name="维度"/>
    <x:tableColumn id="3" name="核心问题"/>
    <x:tableColumn id="4" name="可靠证据"/>
    <x:tableColumn id="5" name="不足／假阳性"/>
    <x:tableColumn id="6" name="一句话记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MTable" displayName="EMTable" ref="A5:F17" headerRowCount="1" totalsRowCount="0" totalsRowShown="0">
  <x:tableColumns count="6">
    <x:tableColumn id="1" name="代码"/>
    <x:tableColumn id="2" name="模式"/>
    <x:tableColumn id="3" name="定义"/>
    <x:tableColumn id="4" name="适用情境"/>
    <x:tableColumn id="5" name="成立条件"/>
    <x:tableColumn id="6" name="失衡风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PTable" displayName="EPTable" ref="A5:E13" headerRowCount="1" totalsRowCount="0" totalsRowShown="0">
  <x:tableColumns count="5">
    <x:tableColumn id="1" name="代码"/>
    <x:tableColumn id="2" name="路径"/>
    <x:tableColumn id="3" name="完整顺序"/>
    <x:tableColumn id="4" name="关键通道／维度"/>
    <x:tableColumn id="5" name="主要用途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XRTable" displayName="XRTable" ref="A5:F13" headerRowCount="1" totalsRowCount="0" totalsRowShown="0">
  <x:tableColumns count="6">
    <x:tableColumn id="1" name="代码"/>
    <x:tableColumn id="2" name="状态"/>
    <x:tableColumn id="3" name="定义"/>
    <x:tableColumn id="4" name="成立条件"/>
    <x:tableColumn id="5" name="报告处理"/>
    <x:tableColumn id="6" name="用户语言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XVTable" displayName="XVTable" ref="A5:F13" headerRowCount="1" totalsRowCount="0" totalsRowShown="0">
  <x:tableColumns count="6">
    <x:tableColumn id="1" name="代码"/>
    <x:tableColumn id="2" name="层级"/>
    <x:tableColumn id="3" name="现实资料"/>
    <x:tableColumn id="4" name="允许发布"/>
    <x:tableColumn id="5" name="禁止发布"/>
    <x:tableColumn id="6" name="下一步观察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BTable" displayName="EBTable" ref="A5:E15" headerRowCount="1" totalsRowCount="0" totalsRowShown="0">
  <x:tableColumns count="5">
    <x:tableColumn id="1" name="代码"/>
    <x:tableColumn id="2" name="误读"/>
    <x:tableColumn id="3" name="常见信号"/>
    <x:tableColumn id="4" name="纠偏动作"/>
    <x:tableColumn id="5" name="用户解释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XDTable" displayName="XDTable" ref="A5:E15" headerRowCount="1" totalsRowCount="0" totalsRowShown="0">
  <x:tableColumns count="5">
    <x:tableColumn id="1" name="代码"/>
    <x:tableColumn id="2" name="领域"/>
    <x:tableColumn id="3" name="内容"/>
    <x:tableColumn id="4" name="常见通道"/>
    <x:tableColumn id="5" name="关键观察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3InterfaceTable" displayName="M3InterfaceTable" ref="A5:E10" headerRowCount="1" totalsRowCount="0" totalsRowShown="0">
  <x:tableColumns count="5">
    <x:tableColumn id="1" name="来源模块"/>
    <x:tableColumn id="2" name="功能"/>
    <x:tableColumn id="3" name="输入内容"/>
    <x:tableColumn id="4" name="EXCHANGE路由"/>
    <x:tableColumn id="5" name="边界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4InterfaceTable" displayName="M4InterfaceTable" ref="A5:D14" headerRowCount="1" totalsRowCount="0" totalsRowShown="0">
  <x:tableColumns count="4">
    <x:tableColumn id="1" name="M4来源"/>
    <x:tableColumn id="2" name="交换缺口"/>
    <x:tableColumn id="3" name="适配任务"/>
    <x:tableColumn id="4" name="优先路径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ExchangeInterfaceTable" displayName="ExchangeInterfaceTable" ref="A5:F42" headerRowCount="1" totalsRowCount="0" totalsRowShown="0">
  <x:tableColumns count="6">
    <x:tableColumn id="1" name="规则ID"/>
    <x:tableColumn id="2" name="规则名称"/>
    <x:tableColumn id="3" name="类型"/>
    <x:tableColumn id="4" name="何时使用"/>
    <x:tableColumn id="5" name="停止／排除"/>
    <x:tableColumn id="6" name="用户语言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ExchangeScoreTable" displayName="ExchangeScoreTable" ref="A5:F54" headerRowCount="1" totalsRowCount="0" totalsRowShown="0">
  <x:tableColumns count="6">
    <x:tableColumn id="1" name="规则ID"/>
    <x:tableColumn id="2" name="规则名称"/>
    <x:tableColumn id="3" name="类型"/>
    <x:tableColumn id="4" name="成立条件"/>
    <x:tableColumn id="5" name="分值／处理"/>
    <x:tableColumn id="6" name="输出槽位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M5ExchangeRules" displayName="M5ExchangeRules" ref="A1:AE481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ExchangeStopTable" displayName="ExchangeStopTable" ref="A5:F125" headerRowCount="1" totalsRowCount="0" totalsRowShown="0">
  <x:tableColumns count="6">
    <x:tableColumn id="1" name="规则ID"/>
    <x:tableColumn id="2" name="规则名称"/>
    <x:tableColumn id="3" name="类型"/>
    <x:tableColumn id="4" name="触发条件"/>
    <x:tableColumn id="5" name="停止／排除"/>
    <x:tableColumn id="6" name="用户语言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ExchangeTemplateTable" displayName="ExchangeTemplateTable" ref="A5:B15" headerRowCount="1" totalsRowCount="0" totalsRowShown="0">
  <x:tableColumns count="2">
    <x:tableColumn id="1" name="输出位置"/>
    <x:tableColumn id="2" name="模板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ExchangeExampleTable" displayName="ExchangeExampleTable" ref="A17:C22" headerRowCount="1" totalsRowCount="0" totalsRowShown="0">
  <x:tableColumns count="3">
    <x:tableColumn id="1" name="组合示例"/>
    <x:tableColumn id="2" name="用户输出"/>
    <x:tableColumn id="3" name="风险提醒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ExchangeCaseTable" displayName="ExchangeCaseTable" ref="A5:Q25" headerRowCount="1" totalsRowCount="0" totalsRowShown="0">
  <x:tableColumns count="17">
    <x:tableColumn id="1" name="案例ID"/>
    <x:tableColumn id="2" name="日期"/>
    <x:tableColumn id="3" name="关系阶段"/>
    <x:tableColumn id="4" name="安全状态"/>
    <x:tableColumn id="5" name="主EC"/>
    <x:tableColumn id="6" name="次EC"/>
    <x:tableColumn id="7" name="预测EM"/>
    <x:tableColumn id="8" name="预测XR"/>
    <x:tableColumn id="9" name="预测XV"/>
    <x:tableColumn id="10" name="主要XD领域"/>
    <x:tableColumn id="11" name="请求记录"/>
    <x:tableColumn id="12" name="回应记录"/>
    <x:tableColumn id="13" name="负荷与分工"/>
    <x:tableColumn id="14" name="修复与重订"/>
    <x:tableColumn id="15" name="现实反例"/>
    <x:tableColumn id="16" name="最终XV"/>
    <x:tableColumn id="17" name="匹配程度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ExchangeFieldTable" displayName="ExchangeFieldTable" ref="A5:D36" headerRowCount="1" totalsRowCount="0" totalsRowShown="0">
  <x:tableColumns count="4">
    <x:tableColumn id="1" name="序号"/>
    <x:tableColumn id="2" name="字段"/>
    <x:tableColumn id="3" name="含义"/>
    <x:tableColumn id="4" name="用途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ExchangeModuleCounts" displayName="ExchangeModuleCounts" ref="A14:B25" headerRowCount="1" totalsRowCount="0" totalsRowShown="0">
  <x:tableColumns count="2">
    <x:tableColumn id="1" name="模块"/>
    <x:tableColumn id="2" name="规则数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ExchangeReleaseChecks" displayName="ExchangeReleaseChecks" ref="A28:B37" headerRowCount="1" totalsRowCount="0" totalsRowShown="0">
  <x:tableColumns count="2">
    <x:tableColumn id="1" name="发布检查"/>
    <x:tableColumn id="2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ff751527044ba9" /><Relationship Type="http://schemas.openxmlformats.org/officeDocument/2006/relationships/table" Target="/xl/tables/table2.xml" Id="Rf02ae4f37b8c4c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942c433217b945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41bbb87bcf564a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86102bac539946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974ffc22a7344c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7581b22fa49b47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34f8206eea2e40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5610bd754dd942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4d3009b74f4b4e6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dd31e54d005a45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3fe82429475f41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85efe9634d57401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d9511228c7934e2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b20775778333496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028385a84a6546a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7.xml" Id="Rbbac08c32dc64a5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c26f83f8fe6446db" /><Relationship Type="http://schemas.openxmlformats.org/officeDocument/2006/relationships/table" Target="/xl/tables/table19.xml" Id="Re3aa130b97134a9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0.xml" Id="R1b8dfd0e48ae475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1.xml" Id="R2d3133288143430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2.xml" Id="R46bfd2ec28954c9c" /><Relationship Type="http://schemas.openxmlformats.org/officeDocument/2006/relationships/table" Target="/xl/tables/table23.xml" Id="R5fef92abbb9c4bb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  <x:col min="3" max="3" width="80" hidden="0" customWidth="1"/>
  </x:cols>
  <x:sheetData>
    <x:row r="1">
      <x:c r="A1" s="9" t="str">
        <x:v>M5-EXCHANGE 表达、支持、投入与双向交换 V0.4</x:v>
      </x:c>
      <x:c r="B1" s="9"/>
      <x:c r="C1" s="9"/>
      <x:c r="D1" s="9"/>
      <x:c r="E1" s="9"/>
      <x:c r="F1" s="9"/>
      <x:c r="G1" s="9"/>
      <x:c r="H1" s="9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24" t="str">
        <x:v>用途：判断双方怎样给予、请求、接收、回应、回馈和重新协商；区分同步互惠、错峰互惠、角色分工、单向可见与长期单方负荷。</x:v>
      </x:c>
      <x:c r="B3" s="24"/>
      <x:c r="C3" s="24"/>
      <x:c r="D3" s="24"/>
      <x:c r="E3" s="24"/>
      <x:c r="F3" s="24"/>
      <x:c r="G3" s="24"/>
      <x:c r="H3" s="24"/>
    </x:row>
    <x:row r="5">
      <x:c r="A5" s="35" t="str">
        <x:v>步骤</x:v>
      </x:c>
      <x:c r="B5" s="35" t="str">
        <x:v>判断任务</x:v>
      </x:c>
      <x:c r="C5" s="35" t="str">
        <x:v>快速说明</x:v>
      </x:c>
    </x:row>
    <x:row r="6">
      <x:c r="A6" s="46" t="str">
        <x:v>1</x:v>
      </x:c>
      <x:c r="B6" s="46" t="str">
        <x:v>安全门控</x:v>
      </x:c>
      <x:c r="C6" s="46" t="str">
        <x:v>先检查PR0；存在强迫、控制、暴力、威胁或剥夺选择权时停止普通交换分析。</x:v>
      </x:c>
    </x:row>
    <x:row r="7">
      <x:c r="A7" s="46" t="str">
        <x:v>2</x:v>
      </x:c>
      <x:c r="B7" s="46" t="str">
        <x:v>读取上游结果</x:v>
      </x:c>
      <x:c r="C7" s="46" t="str">
        <x:v>确定M5-BASE主FN／次FN、M5-PARTNER的PS／PV，以及M3、M4接口。</x:v>
      </x:c>
    </x:row>
    <x:row r="8">
      <x:c r="A8" s="46" t="str">
        <x:v>3</x:v>
      </x:c>
      <x:c r="B8" s="46" t="str">
        <x:v>匹配交换通道</x:v>
      </x:c>
      <x:c r="C8" s="46" t="str">
        <x:v>从EC01—EC10确定双方主要怎样给、怎样要、怎样接和怎样回馈。</x:v>
      </x:c>
    </x:row>
    <x:row r="9">
      <x:c r="A9" s="46" t="str">
        <x:v>4</x:v>
      </x:c>
      <x:c r="B9" s="46" t="str">
        <x:v>检查过程维度</x:v>
      </x:c>
      <x:c r="C9" s="46" t="str">
        <x:v>ED01—ED10：可见度、请求、接收、回应、连续性、时序、负荷、同意、重订和修复。</x:v>
      </x:c>
    </x:row>
    <x:row r="10">
      <x:c r="A10" s="46" t="str">
        <x:v>5</x:v>
      </x:c>
      <x:c r="B10" s="46" t="str">
        <x:v>确定交换模式</x:v>
      </x:c>
      <x:c r="C10" s="46" t="str">
        <x:v>从EM01—EM12判断同步、错峰、分工、接力、双轨或情境组合。</x:v>
      </x:c>
    </x:row>
    <x:row r="11">
      <x:c r="A11" s="46" t="str">
        <x:v>6</x:v>
      </x:c>
      <x:c r="B11" s="46" t="str">
        <x:v>判断交换状态</x:v>
      </x:c>
      <x:c r="C11" s="46" t="str">
        <x:v>XR01—XR08区分稳定双向、协商分工、错峰、条件性、单向可见、补偿替代、长期单方和未定。</x:v>
      </x:c>
    </x:row>
    <x:row r="12">
      <x:c r="A12" s="46" t="str">
        <x:v>7</x:v>
      </x:c>
      <x:c r="B12" s="46" t="str">
        <x:v>确定证据上限</x:v>
      </x:c>
      <x:c r="C12" s="46" t="str">
        <x:v>使用XV0—XV7限制结论强度；没有双方现实事件不能判断互惠。</x:v>
      </x:c>
    </x:row>
    <x:row r="13">
      <x:c r="A13" s="46" t="str">
        <x:v>8</x:v>
      </x:c>
      <x:c r="B13" s="46" t="str">
        <x:v>检查伪互惠</x:v>
      </x:c>
      <x:c r="C13" s="46" t="str">
        <x:v>EB01—EB10排除显眼投入、机械等量、帮助债务化、物质补偿和短期高光误读。</x:v>
      </x:c>
    </x:row>
    <x:row r="14">
      <x:c r="A14" s="46" t="str">
        <x:v>9</x:v>
      </x:c>
      <x:c r="B14" s="46" t="str">
        <x:v>检查闭环路径</x:v>
      </x:c>
      <x:c r="C14" s="46" t="str">
        <x:v>EP01—EP08确认请求、回应、反馈、落实、重订和修复是否真正回流。</x:v>
      </x:c>
    </x:row>
    <x:row r="15">
      <x:c r="A15" s="47" t="str">
        <x:v>10</x:v>
      </x:c>
      <x:c r="B15" s="47" t="str">
        <x:v>生成输出</x:v>
      </x:c>
      <x:c r="C15" s="47" t="str">
        <x:v>正文最多一项主通道、一项次通道、一种模式、一个状态、一个风险与一个观察重点。</x:v>
      </x:c>
    </x:row>
    <x:row r="17">
      <x:c r="A17" s="57" t="str">
        <x:v>核心记忆：付出多不等于交换成熟；互惠不必每次等量，也不必立即发生，但必须可被看见、可被请求、可被接收、可被重订，并在失衡后能够回流。</x:v>
      </x:c>
      <x:c r="B17" s="57"/>
      <x:c r="C17" s="57"/>
      <x:c r="D17" s="57"/>
      <x:c r="E17" s="57"/>
      <x:c r="F17" s="57"/>
      <x:c r="G17" s="57"/>
      <x:c r="H17" s="57"/>
    </x:row>
    <x:row r="19">
      <x:c r="A19" s="35" t="str">
        <x:v>项目</x:v>
      </x:c>
      <x:c r="B19" s="35" t="str">
        <x:v>说明</x:v>
      </x:c>
    </x:row>
    <x:row r="20">
      <x:c r="A20" s="46" t="str">
        <x:v>输出上限</x:v>
      </x:c>
      <x:c r="B20" s="46" t="str">
        <x:v>本模块输出EC、EM、XR、XV、XD、EP和观察计划；最终FG等级交M5-SYNTH。</x:v>
      </x:c>
    </x:row>
    <x:row r="21">
      <x:c r="A21" s="46" t="str">
        <x:v>现实优先</x:v>
      </x:c>
      <x:c r="B21" s="46" t="str">
        <x:v>双方具体行为、负荷、同意、反例和修复资料，高于任何命理结构候选。</x:v>
      </x:c>
    </x:row>
    <x:row r="22">
      <x:c r="A22" s="47" t="str">
        <x:v>校准状态</x:v>
      </x:c>
      <x:c r="B22" s="47" t="str">
        <x:v>全部480条规则为待验证、provisional=true；工程分值不是统计概率。</x:v>
      </x:c>
    </x:row>
  </x:sheetData>
  <x:mergeCells>
    <x:mergeCell ref="A1:H2"/>
    <x:mergeCell ref="A3:H3"/>
    <x:mergeCell ref="A17:H17"/>
  </x:mergeCells>
  <x:pageMargins left="0.7" right="0.7" top="0.75" bottom="0.75" header="0.3" footer="0.3"/>
  <x:tableParts count="2">
    <x:tablePart xmlns:r="http://schemas.openxmlformats.org/officeDocument/2006/relationships" r:id="R3bff751527044ba9"/>
    <x:tablePart xmlns:r="http://schemas.openxmlformats.org/officeDocument/2006/relationships" r:id="Rf02ae4f37b8c4c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  <x:col min="8" max="8" width="54" hidden="0" customWidth="1"/>
    <x:col min="9" max="9" width="46" hidden="0" customWidth="1"/>
  </x:cols>
  <x:sheetData>
    <x:row r="1">
      <x:c r="A1" s="9" t="str">
        <x:v>EC01—EC10 双向交换通道速查</x:v>
      </x:c>
      <x:c r="B1" s="9"/>
      <x:c r="C1" s="9"/>
      <x:c r="D1" s="9"/>
      <x:c r="E1" s="9"/>
      <x:c r="F1" s="9"/>
      <x:c r="G1" s="9"/>
      <x:c r="H1" s="9"/>
      <x:c r="I1" s="9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</x:row>
    <x:row r="3">
      <x:c r="A3" s="24" t="str">
        <x:v>每项通道都分别判断给予、请求、接收、回馈、成熟和失衡。</x:v>
      </x:c>
      <x:c r="B3" s="24"/>
      <x:c r="C3" s="24"/>
      <x:c r="D3" s="24"/>
      <x:c r="E3" s="24"/>
      <x:c r="F3" s="24"/>
      <x:c r="G3" s="24"/>
      <x:c r="H3" s="24"/>
      <x:c r="I3" s="24"/>
    </x:row>
    <x:row r="5">
      <x:c r="A5" s="35" t="str">
        <x:v>EC</x:v>
      </x:c>
      <x:c r="B5" s="35" t="str">
        <x:v>来源</x:v>
      </x:c>
      <x:c r="C5" s="35" t="str">
        <x:v>通道</x:v>
      </x:c>
      <x:c r="D5" s="35" t="str">
        <x:v>给予方式</x:v>
      </x:c>
      <x:c r="E5" s="35" t="str">
        <x:v>请求方式</x:v>
      </x:c>
      <x:c r="F5" s="35" t="str">
        <x:v>接收方式</x:v>
      </x:c>
      <x:c r="G5" s="35" t="str">
        <x:v>回馈方式</x:v>
      </x:c>
      <x:c r="H5" s="35" t="str">
        <x:v>成熟交换</x:v>
      </x:c>
      <x:c r="I5" s="35" t="str">
        <x:v>失衡候选</x:v>
      </x:c>
    </x:row>
    <x:row r="6">
      <x:c r="A6" s="46" t="str">
        <x:v>EC01</x:v>
      </x:c>
      <x:c r="B6" s="46" t="str">
        <x:v>比肩</x:v>
      </x:c>
      <x:c r="C6" s="46" t="str">
        <x:v>平等参与</x:v>
      </x:c>
      <x:c r="D6" s="46" t="str">
        <x:v>通过共同讨论、分工与并肩参与提供支持，不替代对方的决定。</x:v>
      </x:c>
      <x:c r="E6" s="46" t="str">
        <x:v>提出需要时说明希望共同商量什么、哪些部分仍由自己决定。</x:v>
      </x:c>
      <x:c r="F6" s="46" t="str">
        <x:v>接受帮助时保留表达、修改和拒绝权，也能明确承认对方的投入。</x:v>
      </x:c>
      <x:c r="G6" s="46" t="str">
        <x:v>回馈不必逐项等量，但会在共同事务、信息和责任中稳定参与。</x:v>
      </x:c>
      <x:c r="H6" s="46" t="str">
        <x:v>双方都能提出需要、参与决定、承认贡献，并在分工变化时重新协商。</x:v>
      </x:c>
      <x:c r="I6" s="46" t="str">
        <x:v>容易把公平做成机械对半、逐项比较，或因害怕欠人情而拒绝接受支持。</x:v>
      </x:c>
    </x:row>
    <x:row r="7">
      <x:c r="A7" s="46" t="str">
        <x:v>EC02</x:v>
      </x:c>
      <x:c r="B7" s="46" t="str">
        <x:v>劫财</x:v>
      </x:c>
      <x:c r="C7" s="46" t="str">
        <x:v>即时协作</x:v>
      </x:c>
      <x:c r="D7" s="46" t="str">
        <x:v>在事情发生时快速加入、补位、调动资源并共同执行。</x:v>
      </x:c>
      <x:c r="E7" s="46" t="str">
        <x:v>需要帮助时直接说明任务、时限和责任范围，避免只靠临时默契。</x:v>
      </x:c>
      <x:c r="F7" s="46" t="str">
        <x:v>能够接受对方迅速介入，同时确认权限、持续时间和后续交接。</x:v>
      </x:c>
      <x:c r="G7" s="46" t="str">
        <x:v>通过共同执行、后续跟进或在另一阶段接力回馈，而非只看当下等量。</x:v>
      </x:c>
      <x:c r="H7" s="46" t="str">
        <x:v>反应快，也会说明范围、持续跟进并在热度下降后完成交接。</x:v>
      </x:c>
      <x:c r="I7" s="46" t="str">
        <x:v>初期参与感强，但范围不清、容易包办、资源边界模糊或后续跟进不足。</x:v>
      </x:c>
    </x:row>
    <x:row r="8">
      <x:c r="A8" s="46" t="str">
        <x:v>EC03</x:v>
      </x:c>
      <x:c r="B8" s="46" t="str">
        <x:v>食神</x:v>
      </x:c>
      <x:c r="C8" s="46" t="str">
        <x:v>舒缓照料</x:v>
      </x:c>
      <x:c r="D8" s="46" t="str">
        <x:v>通过陪伴、生活照顾、情绪安抚和低压力互动提供支持。</x:v>
      </x:c>
      <x:c r="E8" s="46" t="str">
        <x:v>更适合清楚说明希望被陪伴、被安抚还是暂时降低强度。</x:v>
      </x:c>
      <x:c r="F8" s="46" t="str">
        <x:v>能够接住温和照顾，不用自我否定或立即补偿来回应。</x:v>
      </x:c>
      <x:c r="G8" s="46" t="str">
        <x:v>通过稳定陪伴、生活关心和恢复后重新进入问题处理形成回馈。</x:v>
      </x:c>
      <x:c r="H8" s="46" t="str">
        <x:v>既能让关系缓下来，也会在情绪稳定后回到关键问题和现实安排。</x:v>
      </x:c>
      <x:c r="I8" s="46" t="str">
        <x:v>把舒服与和谐当成全部，关键议题、责任或边界长期被延后。</x:v>
      </x:c>
    </x:row>
    <x:row r="9">
      <x:c r="A9" s="46" t="str">
        <x:v>EC04</x:v>
      </x:c>
      <x:c r="B9" s="46" t="str">
        <x:v>伤官</x:v>
      </x:c>
      <x:c r="C9" s="46" t="str">
        <x:v>信息反馈</x:v>
      </x:c>
      <x:c r="D9" s="46" t="str">
        <x:v>通过解释、提问、复述、信息和观点帮助双方理解问题。</x:v>
      </x:c>
      <x:c r="E9" s="46" t="str">
        <x:v>需要沟通时说明希望对方倾听、核对、给建议还是一起形成方案。</x:v>
      </x:c>
      <x:c r="F9" s="46" t="str">
        <x:v>能够听取不同意见、承认理解偏差，并根据反馈修改表达或行动。</x:v>
      </x:c>
      <x:c r="G9" s="46" t="str">
        <x:v>通过复述理解、回应重点、调整方案和持续反馈形成双向交换。</x:v>
      </x:c>
      <x:c r="H9" s="46" t="str">
        <x:v>表达清楚、倾听完整、允许修正，并能把理解转成现实下一步。</x:v>
      </x:c>
      <x:c r="I9" s="46" t="str">
        <x:v>解释量不断增加，却没有真正接收反馈；或把说清楚当成已经解决。</x:v>
      </x:c>
    </x:row>
    <x:row r="10">
      <x:c r="A10" s="46" t="str">
        <x:v>EC05</x:v>
      </x:c>
      <x:c r="B10" s="46" t="str">
        <x:v>正财</x:v>
      </x:c>
      <x:c r="C10" s="46" t="str">
        <x:v>稳定投入</x:v>
      </x:c>
      <x:c r="D10" s="46" t="str">
        <x:v>持续投入时间、精力、金钱、家务和生活安排。</x:v>
      </x:c>
      <x:c r="E10" s="46" t="str">
        <x:v>提出支持时说明具体资源、频率、期限与可承担范围。</x:v>
      </x:c>
      <x:c r="F10" s="46" t="str">
        <x:v>接受现实投入时可以表达需要和边界，不把帮助自动转成债务。</x:v>
      </x:c>
      <x:c r="G10" s="46" t="str">
        <x:v>通过稳定分工、错峰承担或其他领域贡献形成长期互惠。</x:v>
      </x:c>
      <x:c r="H10" s="46" t="str">
        <x:v>投入可预测、可协商，成本上升时仍会重订分工而不是突然撤回。</x:v>
      </x:c>
      <x:c r="I10" s="46" t="str">
        <x:v>容易把投入量当成爱、把贡献做成记账，或用现实付出替代沟通和承诺。</x:v>
      </x:c>
    </x:row>
    <x:row r="11">
      <x:c r="A11" s="46" t="str">
        <x:v>EC06</x:v>
      </x:c>
      <x:c r="B11" s="46" t="str">
        <x:v>偏财</x:v>
      </x:c>
      <x:c r="C11" s="46" t="str">
        <x:v>灵活资源</x:v>
      </x:c>
      <x:c r="D11" s="46" t="str">
        <x:v>通过体验、礼物、人脉、临时资源和灵活安排增加关系活力。</x:v>
      </x:c>
      <x:c r="E11" s="46" t="str">
        <x:v>提出需要时允许多种实现方式，同时说清底线、透明度和持续要求。</x:v>
      </x:c>
      <x:c r="F11" s="46" t="str">
        <x:v>能够享受对方的灵活回应，也会确认这是否只是一次高光。</x:v>
      </x:c>
      <x:c r="G11" s="46" t="str">
        <x:v>通过创造体验、提供机会或把临时安排转成后续计划回馈。</x:v>
      </x:c>
      <x:c r="H11" s="46" t="str">
        <x:v>灵活、有趣、反应快，同时重要资源透明，并能把高光转成持续安排。</x:v>
      </x:c>
      <x:c r="I11" s="46" t="str">
        <x:v>只在兴致高时投入，体验结束后缺少延续；或用礼物和新鲜感遮蔽问题。</x:v>
      </x:c>
    </x:row>
    <x:row r="12">
      <x:c r="A12" s="46" t="str">
        <x:v>EC07</x:v>
      </x:c>
      <x:c r="B12" s="46" t="str">
        <x:v>正官</x:v>
      </x:c>
      <x:c r="C12" s="46" t="str">
        <x:v>责任履行</x:v>
      </x:c>
      <x:c r="D12" s="46" t="str">
        <x:v>通过守约、承担固定事务、说明角色和维持共同规则提供支持。</x:v>
      </x:c>
      <x:c r="E12" s="46" t="str">
        <x:v>提出需要时明确对方承担什么、何时完成、变化时怎样说明。</x:v>
      </x:c>
      <x:c r="F12" s="46" t="str">
        <x:v>能够接受稳定责任支持，同时保留协商规则和角色的权利。</x:v>
      </x:c>
      <x:c r="G12" s="46" t="str">
        <x:v>通过承担自己的责任、守约、及时说明变化和共同复核形成互惠。</x:v>
      </x:c>
      <x:c r="H12" s="46" t="str">
        <x:v>承诺清楚、变化透明、犯错后承担并补救，规则对双方都可复核。</x:v>
      </x:c>
      <x:c r="I12" s="46" t="str">
        <x:v>把责任做成身份或道德压力；规则越来越多，却缺少共同协商和反馈。</x:v>
      </x:c>
    </x:row>
    <x:row r="13">
      <x:c r="A13" s="46" t="str">
        <x:v>EC08</x:v>
      </x:c>
      <x:c r="B13" s="46" t="str">
        <x:v>七杀</x:v>
      </x:c>
      <x:c r="C13" s="46" t="str">
        <x:v>行动保护</x:v>
      </x:c>
      <x:c r="D13" s="46" t="str">
        <x:v>在风险、危机或关键节点迅速行动、止损、保护和推进。</x:v>
      </x:c>
      <x:c r="E13" s="46" t="str">
        <x:v>需要帮助时说明紧急程度、授权范围和哪些决定仍需共同确认。</x:v>
      </x:c>
      <x:c r="F13" s="46" t="str">
        <x:v>可以接受快速帮助，同时保留同意、信息和事后复盘权。</x:v>
      </x:c>
      <x:c r="G13" s="46" t="str">
        <x:v>通过配合、说明反馈、恢复共同决定和在另一阶段承担行动形成回馈。</x:v>
      </x:c>
      <x:c r="H13" s="46" t="str">
        <x:v>行动有力，但会区分紧急授权与长期权力；事情结束后主动归还参与权。</x:v>
      </x:c>
      <x:c r="I13" s="46" t="str">
        <x:v>速度和结果压过同意、反馈与共同决定，保护容易变成接管。</x:v>
      </x:c>
    </x:row>
    <x:row r="14">
      <x:c r="A14" s="46" t="str">
        <x:v>EC09</x:v>
      </x:c>
      <x:c r="B14" s="46" t="str">
        <x:v>正印</x:v>
      </x:c>
      <x:c r="C14" s="46" t="str">
        <x:v>安全承接</x:v>
      </x:c>
      <x:c r="D14" s="46" t="str">
        <x:v>通过倾听、理解、安抚、知识与稳定回应提供支持。</x:v>
      </x:c>
      <x:c r="E14" s="46" t="str">
        <x:v>能够直接说明希望被听见、被理解、获得建议还是得到陪伴。</x:v>
      </x:c>
      <x:c r="F14" s="46" t="str">
        <x:v>允许自己接受照顾和理解，同时保留独立判断和拒绝建议的权利。</x:v>
      </x:c>
      <x:c r="G14" s="46" t="str">
        <x:v>通过情绪可用性、耐心回应、现实支持和在对方需要时承接形成回馈。</x:v>
      </x:c>
      <x:c r="H14" s="46" t="str">
        <x:v>理解不替代边界和行动；承接之后能帮助双方形成决定和现实调整。</x:v>
      </x:c>
      <x:c r="I14" s="46" t="str">
        <x:v>过度包容、长期合理化，或用理解代替责任、边界和行为改变。</x:v>
      </x:c>
    </x:row>
    <x:row r="15">
      <x:c r="A15" s="47" t="str">
        <x:v>EC10</x:v>
      </x:c>
      <x:c r="B15" s="47" t="str">
        <x:v>偏印</x:v>
      </x:c>
      <x:c r="C15" s="47" t="str">
        <x:v>深度空间支持</x:v>
      </x:c>
      <x:c r="D15" s="47" t="str">
        <x:v>通过洞察、专业方法、选择性交流和尊重私人空间提供支持。</x:v>
      </x:c>
      <x:c r="E15" s="47" t="str">
        <x:v>需要空间时说明目的、范围、最低连接和回归时间。</x:v>
      </x:c>
      <x:c r="F15" s="47" t="str">
        <x:v>能够接受低频、深度或非即时的支持，同时确认重要信息不会长期缺失。</x:v>
      </x:c>
      <x:c r="G15" s="47" t="str">
        <x:v>整理后主动回来、回应重点、分享洞察并恢复关系连接。</x:v>
      </x:c>
      <x:c r="H15" s="47" t="str">
        <x:v>允许双方独立消化，也维持最低连接、明确回归和重要议题回应。</x:v>
      </x:c>
      <x:c r="I15" s="47" t="str">
        <x:v>空间不断延长、选择性回应过少，暂停逐渐替代沟通和责任。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942c433217b945c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58" hidden="0" customWidth="1"/>
    <x:col min="5" max="5" width="48" hidden="0" customWidth="1"/>
    <x:col min="6" max="6" width="40" hidden="0" customWidth="1"/>
  </x:cols>
  <x:sheetData>
    <x:row r="1">
      <x:c r="A1" s="9" t="str">
        <x:v>给予—请求—接收—回馈四向速查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同一十神功能在四个方向上可能表现不同，不能互相替代。</x:v>
      </x:c>
      <x:c r="B3" s="24"/>
      <x:c r="C3" s="24"/>
      <x:c r="D3" s="24"/>
      <x:c r="E3" s="24"/>
      <x:c r="F3" s="24"/>
    </x:row>
    <x:row r="5">
      <x:c r="A5" s="35" t="str">
        <x:v>EC</x:v>
      </x:c>
      <x:c r="B5" s="35" t="str">
        <x:v>通道</x:v>
      </x:c>
      <x:c r="C5" s="35" t="str">
        <x:v>方向</x:v>
      </x:c>
      <x:c r="D5" s="35" t="str">
        <x:v>成熟行为</x:v>
      </x:c>
      <x:c r="E5" s="35" t="str">
        <x:v>关键观察</x:v>
      </x:c>
      <x:c r="F5" s="35" t="str">
        <x:v>边界提醒</x:v>
      </x:c>
    </x:row>
    <x:row r="6">
      <x:c r="A6" s="46" t="str">
        <x:v>EC01</x:v>
      </x:c>
      <x:c r="B6" s="46" t="str">
        <x:v>平等参与</x:v>
      </x:c>
      <x:c r="C6" s="46" t="str">
        <x:v>给予</x:v>
      </x:c>
      <x:c r="D6" s="46" t="str">
        <x:v>通过共同讨论、分工与并肩参与提供支持，不替代对方的决定。</x:v>
      </x:c>
      <x:c r="E6" s="46" t="str">
        <x:v>意见不同、贡献不等量或需要承担代价时，双方是否仍保留平等参与和重订空间。</x:v>
      </x:c>
      <x:c r="F6" s="46" t="str">
        <x:v>主动提供不等于对方需要</x:v>
      </x:c>
    </x:row>
    <x:row r="7">
      <x:c r="A7" s="46" t="str">
        <x:v>EC01</x:v>
      </x:c>
      <x:c r="B7" s="46" t="str">
        <x:v>平等参与</x:v>
      </x:c>
      <x:c r="C7" s="46" t="str">
        <x:v>请求</x:v>
      </x:c>
      <x:c r="D7" s="46" t="str">
        <x:v>提出需要时说明希望共同商量什么、哪些部分仍由自己决定。</x:v>
      </x:c>
      <x:c r="E7" s="46" t="str">
        <x:v>意见不同、贡献不等量或需要承担代价时，双方是否仍保留平等参与和重订空间。</x:v>
      </x:c>
      <x:c r="F7" s="46" t="str">
        <x:v>暗示与测试不能代替请求</x:v>
      </x:c>
    </x:row>
    <x:row r="8">
      <x:c r="A8" s="46" t="str">
        <x:v>EC01</x:v>
      </x:c>
      <x:c r="B8" s="46" t="str">
        <x:v>平等参与</x:v>
      </x:c>
      <x:c r="C8" s="46" t="str">
        <x:v>接收</x:v>
      </x:c>
      <x:c r="D8" s="46" t="str">
        <x:v>接受帮助时保留表达、修改和拒绝权，也能明确承认对方的投入。</x:v>
      </x:c>
      <x:c r="E8" s="46" t="str">
        <x:v>意见不同、贡献不等量或需要承担代价时，双方是否仍保留平等参与和重订空间。</x:v>
      </x:c>
      <x:c r="F8" s="46" t="str">
        <x:v>接受支持不产生自动债务</x:v>
      </x:c>
    </x:row>
    <x:row r="9">
      <x:c r="A9" s="46" t="str">
        <x:v>EC01</x:v>
      </x:c>
      <x:c r="B9" s="46" t="str">
        <x:v>平等参与</x:v>
      </x:c>
      <x:c r="C9" s="46" t="str">
        <x:v>回馈</x:v>
      </x:c>
      <x:c r="D9" s="46" t="str">
        <x:v>回馈不必逐项等量，但会在共同事务、信息和责任中稳定参与。</x:v>
      </x:c>
      <x:c r="E9" s="46" t="str">
        <x:v>意见不同、贡献不等量或需要承担代价时，双方是否仍保留平等参与和重订空间。</x:v>
      </x:c>
      <x:c r="F9" s="46" t="str">
        <x:v>回馈可错峰、跨领域，但需可理解</x:v>
      </x:c>
    </x:row>
    <x:row r="10">
      <x:c r="A10" s="46" t="str">
        <x:v>EC02</x:v>
      </x:c>
      <x:c r="B10" s="46" t="str">
        <x:v>即时协作</x:v>
      </x:c>
      <x:c r="C10" s="46" t="str">
        <x:v>给予</x:v>
      </x:c>
      <x:c r="D10" s="46" t="str">
        <x:v>在事情发生时快速加入、补位、调动资源并共同执行。</x:v>
      </x:c>
      <x:c r="E10" s="46" t="str">
        <x:v>突发事件过后，参与是否仍持续，责任和资源是否得到清楚交接。</x:v>
      </x:c>
      <x:c r="F10" s="46" t="str">
        <x:v>主动提供不等于对方需要</x:v>
      </x:c>
    </x:row>
    <x:row r="11">
      <x:c r="A11" s="46" t="str">
        <x:v>EC02</x:v>
      </x:c>
      <x:c r="B11" s="46" t="str">
        <x:v>即时协作</x:v>
      </x:c>
      <x:c r="C11" s="46" t="str">
        <x:v>请求</x:v>
      </x:c>
      <x:c r="D11" s="46" t="str">
        <x:v>需要帮助时直接说明任务、时限和责任范围，避免只靠临时默契。</x:v>
      </x:c>
      <x:c r="E11" s="46" t="str">
        <x:v>突发事件过后，参与是否仍持续，责任和资源是否得到清楚交接。</x:v>
      </x:c>
      <x:c r="F11" s="46" t="str">
        <x:v>暗示与测试不能代替请求</x:v>
      </x:c>
    </x:row>
    <x:row r="12">
      <x:c r="A12" s="46" t="str">
        <x:v>EC02</x:v>
      </x:c>
      <x:c r="B12" s="46" t="str">
        <x:v>即时协作</x:v>
      </x:c>
      <x:c r="C12" s="46" t="str">
        <x:v>接收</x:v>
      </x:c>
      <x:c r="D12" s="46" t="str">
        <x:v>能够接受对方迅速介入，同时确认权限、持续时间和后续交接。</x:v>
      </x:c>
      <x:c r="E12" s="46" t="str">
        <x:v>突发事件过后，参与是否仍持续，责任和资源是否得到清楚交接。</x:v>
      </x:c>
      <x:c r="F12" s="46" t="str">
        <x:v>接受支持不产生自动债务</x:v>
      </x:c>
    </x:row>
    <x:row r="13">
      <x:c r="A13" s="46" t="str">
        <x:v>EC02</x:v>
      </x:c>
      <x:c r="B13" s="46" t="str">
        <x:v>即时协作</x:v>
      </x:c>
      <x:c r="C13" s="46" t="str">
        <x:v>回馈</x:v>
      </x:c>
      <x:c r="D13" s="46" t="str">
        <x:v>通过共同执行、后续跟进或在另一阶段接力回馈，而非只看当下等量。</x:v>
      </x:c>
      <x:c r="E13" s="46" t="str">
        <x:v>突发事件过后，参与是否仍持续，责任和资源是否得到清楚交接。</x:v>
      </x:c>
      <x:c r="F13" s="46" t="str">
        <x:v>回馈可错峰、跨领域，但需可理解</x:v>
      </x:c>
    </x:row>
    <x:row r="14">
      <x:c r="A14" s="46" t="str">
        <x:v>EC03</x:v>
      </x:c>
      <x:c r="B14" s="46" t="str">
        <x:v>舒缓照料</x:v>
      </x:c>
      <x:c r="C14" s="46" t="str">
        <x:v>给予</x:v>
      </x:c>
      <x:c r="D14" s="46" t="str">
        <x:v>通过陪伴、生活照顾、情绪安抚和低压力互动提供支持。</x:v>
      </x:c>
      <x:c r="E14" s="46" t="str">
        <x:v>安抚结束后，双方是否约定回到问题、落实行动并确认彼此需要。</x:v>
      </x:c>
      <x:c r="F14" s="46" t="str">
        <x:v>主动提供不等于对方需要</x:v>
      </x:c>
    </x:row>
    <x:row r="15">
      <x:c r="A15" s="46" t="str">
        <x:v>EC03</x:v>
      </x:c>
      <x:c r="B15" s="46" t="str">
        <x:v>舒缓照料</x:v>
      </x:c>
      <x:c r="C15" s="46" t="str">
        <x:v>请求</x:v>
      </x:c>
      <x:c r="D15" s="46" t="str">
        <x:v>更适合清楚说明希望被陪伴、被安抚还是暂时降低强度。</x:v>
      </x:c>
      <x:c r="E15" s="46" t="str">
        <x:v>安抚结束后，双方是否约定回到问题、落实行动并确认彼此需要。</x:v>
      </x:c>
      <x:c r="F15" s="46" t="str">
        <x:v>暗示与测试不能代替请求</x:v>
      </x:c>
    </x:row>
    <x:row r="16">
      <x:c r="A16" s="46" t="str">
        <x:v>EC03</x:v>
      </x:c>
      <x:c r="B16" s="46" t="str">
        <x:v>舒缓照料</x:v>
      </x:c>
      <x:c r="C16" s="46" t="str">
        <x:v>接收</x:v>
      </x:c>
      <x:c r="D16" s="46" t="str">
        <x:v>能够接住温和照顾，不用自我否定或立即补偿来回应。</x:v>
      </x:c>
      <x:c r="E16" s="46" t="str">
        <x:v>安抚结束后，双方是否约定回到问题、落实行动并确认彼此需要。</x:v>
      </x:c>
      <x:c r="F16" s="46" t="str">
        <x:v>接受支持不产生自动债务</x:v>
      </x:c>
    </x:row>
    <x:row r="17">
      <x:c r="A17" s="46" t="str">
        <x:v>EC03</x:v>
      </x:c>
      <x:c r="B17" s="46" t="str">
        <x:v>舒缓照料</x:v>
      </x:c>
      <x:c r="C17" s="46" t="str">
        <x:v>回馈</x:v>
      </x:c>
      <x:c r="D17" s="46" t="str">
        <x:v>通过稳定陪伴、生活关心和恢复后重新进入问题处理形成回馈。</x:v>
      </x:c>
      <x:c r="E17" s="46" t="str">
        <x:v>安抚结束后，双方是否约定回到问题、落实行动并确认彼此需要。</x:v>
      </x:c>
      <x:c r="F17" s="46" t="str">
        <x:v>回馈可错峰、跨领域，但需可理解</x:v>
      </x:c>
    </x:row>
    <x:row r="18">
      <x:c r="A18" s="46" t="str">
        <x:v>EC04</x:v>
      </x:c>
      <x:c r="B18" s="46" t="str">
        <x:v>信息反馈</x:v>
      </x:c>
      <x:c r="C18" s="46" t="str">
        <x:v>给予</x:v>
      </x:c>
      <x:c r="D18" s="46" t="str">
        <x:v>通过解释、提问、复述、信息和观点帮助双方理解问题。</x:v>
      </x:c>
      <x:c r="E18" s="46" t="str">
        <x:v>被指出理解不准确时，双方是否会停下来核对，而不是继续证明自己。</x:v>
      </x:c>
      <x:c r="F18" s="46" t="str">
        <x:v>主动提供不等于对方需要</x:v>
      </x:c>
    </x:row>
    <x:row r="19">
      <x:c r="A19" s="46" t="str">
        <x:v>EC04</x:v>
      </x:c>
      <x:c r="B19" s="46" t="str">
        <x:v>信息反馈</x:v>
      </x:c>
      <x:c r="C19" s="46" t="str">
        <x:v>请求</x:v>
      </x:c>
      <x:c r="D19" s="46" t="str">
        <x:v>需要沟通时说明希望对方倾听、核对、给建议还是一起形成方案。</x:v>
      </x:c>
      <x:c r="E19" s="46" t="str">
        <x:v>被指出理解不准确时，双方是否会停下来核对，而不是继续证明自己。</x:v>
      </x:c>
      <x:c r="F19" s="46" t="str">
        <x:v>暗示与测试不能代替请求</x:v>
      </x:c>
    </x:row>
    <x:row r="20">
      <x:c r="A20" s="46" t="str">
        <x:v>EC04</x:v>
      </x:c>
      <x:c r="B20" s="46" t="str">
        <x:v>信息反馈</x:v>
      </x:c>
      <x:c r="C20" s="46" t="str">
        <x:v>接收</x:v>
      </x:c>
      <x:c r="D20" s="46" t="str">
        <x:v>能够听取不同意见、承认理解偏差，并根据反馈修改表达或行动。</x:v>
      </x:c>
      <x:c r="E20" s="46" t="str">
        <x:v>被指出理解不准确时，双方是否会停下来核对，而不是继续证明自己。</x:v>
      </x:c>
      <x:c r="F20" s="46" t="str">
        <x:v>接受支持不产生自动债务</x:v>
      </x:c>
    </x:row>
    <x:row r="21">
      <x:c r="A21" s="46" t="str">
        <x:v>EC04</x:v>
      </x:c>
      <x:c r="B21" s="46" t="str">
        <x:v>信息反馈</x:v>
      </x:c>
      <x:c r="C21" s="46" t="str">
        <x:v>回馈</x:v>
      </x:c>
      <x:c r="D21" s="46" t="str">
        <x:v>通过复述理解、回应重点、调整方案和持续反馈形成双向交换。</x:v>
      </x:c>
      <x:c r="E21" s="46" t="str">
        <x:v>被指出理解不准确时，双方是否会停下来核对，而不是继续证明自己。</x:v>
      </x:c>
      <x:c r="F21" s="46" t="str">
        <x:v>回馈可错峰、跨领域，但需可理解</x:v>
      </x:c>
    </x:row>
    <x:row r="22">
      <x:c r="A22" s="46" t="str">
        <x:v>EC05</x:v>
      </x:c>
      <x:c r="B22" s="46" t="str">
        <x:v>稳定投入</x:v>
      </x:c>
      <x:c r="C22" s="46" t="str">
        <x:v>给予</x:v>
      </x:c>
      <x:c r="D22" s="46" t="str">
        <x:v>持续投入时间、精力、金钱、家务和生活安排。</x:v>
      </x:c>
      <x:c r="E22" s="46" t="str">
        <x:v>忙碌、成本增加或贡献不对称时，双方能否说明负荷并重新分配。</x:v>
      </x:c>
      <x:c r="F22" s="46" t="str">
        <x:v>主动提供不等于对方需要</x:v>
      </x:c>
    </x:row>
    <x:row r="23">
      <x:c r="A23" s="46" t="str">
        <x:v>EC05</x:v>
      </x:c>
      <x:c r="B23" s="46" t="str">
        <x:v>稳定投入</x:v>
      </x:c>
      <x:c r="C23" s="46" t="str">
        <x:v>请求</x:v>
      </x:c>
      <x:c r="D23" s="46" t="str">
        <x:v>提出支持时说明具体资源、频率、期限与可承担范围。</x:v>
      </x:c>
      <x:c r="E23" s="46" t="str">
        <x:v>忙碌、成本增加或贡献不对称时，双方能否说明负荷并重新分配。</x:v>
      </x:c>
      <x:c r="F23" s="46" t="str">
        <x:v>暗示与测试不能代替请求</x:v>
      </x:c>
    </x:row>
    <x:row r="24">
      <x:c r="A24" s="46" t="str">
        <x:v>EC05</x:v>
      </x:c>
      <x:c r="B24" s="46" t="str">
        <x:v>稳定投入</x:v>
      </x:c>
      <x:c r="C24" s="46" t="str">
        <x:v>接收</x:v>
      </x:c>
      <x:c r="D24" s="46" t="str">
        <x:v>接受现实投入时可以表达需要和边界，不把帮助自动转成债务。</x:v>
      </x:c>
      <x:c r="E24" s="46" t="str">
        <x:v>忙碌、成本增加或贡献不对称时，双方能否说明负荷并重新分配。</x:v>
      </x:c>
      <x:c r="F24" s="46" t="str">
        <x:v>接受支持不产生自动债务</x:v>
      </x:c>
    </x:row>
    <x:row r="25">
      <x:c r="A25" s="46" t="str">
        <x:v>EC05</x:v>
      </x:c>
      <x:c r="B25" s="46" t="str">
        <x:v>稳定投入</x:v>
      </x:c>
      <x:c r="C25" s="46" t="str">
        <x:v>回馈</x:v>
      </x:c>
      <x:c r="D25" s="46" t="str">
        <x:v>通过稳定分工、错峰承担或其他领域贡献形成长期互惠。</x:v>
      </x:c>
      <x:c r="E25" s="46" t="str">
        <x:v>忙碌、成本增加或贡献不对称时，双方能否说明负荷并重新分配。</x:v>
      </x:c>
      <x:c r="F25" s="46" t="str">
        <x:v>回馈可错峰、跨领域，但需可理解</x:v>
      </x:c>
    </x:row>
    <x:row r="26">
      <x:c r="A26" s="46" t="str">
        <x:v>EC06</x:v>
      </x:c>
      <x:c r="B26" s="46" t="str">
        <x:v>灵活资源</x:v>
      </x:c>
      <x:c r="C26" s="46" t="str">
        <x:v>给予</x:v>
      </x:c>
      <x:c r="D26" s="46" t="str">
        <x:v>通过体验、礼物、人脉、临时资源和灵活安排增加关系活力。</x:v>
      </x:c>
      <x:c r="E26" s="46" t="str">
        <x:v>共同体验之后是否形成下一步，以及资源、社交和承诺是否透明。</x:v>
      </x:c>
      <x:c r="F26" s="46" t="str">
        <x:v>主动提供不等于对方需要</x:v>
      </x:c>
    </x:row>
    <x:row r="27">
      <x:c r="A27" s="46" t="str">
        <x:v>EC06</x:v>
      </x:c>
      <x:c r="B27" s="46" t="str">
        <x:v>灵活资源</x:v>
      </x:c>
      <x:c r="C27" s="46" t="str">
        <x:v>请求</x:v>
      </x:c>
      <x:c r="D27" s="46" t="str">
        <x:v>提出需要时允许多种实现方式，同时说清底线、透明度和持续要求。</x:v>
      </x:c>
      <x:c r="E27" s="46" t="str">
        <x:v>共同体验之后是否形成下一步，以及资源、社交和承诺是否透明。</x:v>
      </x:c>
      <x:c r="F27" s="46" t="str">
        <x:v>暗示与测试不能代替请求</x:v>
      </x:c>
    </x:row>
    <x:row r="28">
      <x:c r="A28" s="46" t="str">
        <x:v>EC06</x:v>
      </x:c>
      <x:c r="B28" s="46" t="str">
        <x:v>灵活资源</x:v>
      </x:c>
      <x:c r="C28" s="46" t="str">
        <x:v>接收</x:v>
      </x:c>
      <x:c r="D28" s="46" t="str">
        <x:v>能够享受对方的灵活回应，也会确认这是否只是一次高光。</x:v>
      </x:c>
      <x:c r="E28" s="46" t="str">
        <x:v>共同体验之后是否形成下一步，以及资源、社交和承诺是否透明。</x:v>
      </x:c>
      <x:c r="F28" s="46" t="str">
        <x:v>接受支持不产生自动债务</x:v>
      </x:c>
    </x:row>
    <x:row r="29">
      <x:c r="A29" s="46" t="str">
        <x:v>EC06</x:v>
      </x:c>
      <x:c r="B29" s="46" t="str">
        <x:v>灵活资源</x:v>
      </x:c>
      <x:c r="C29" s="46" t="str">
        <x:v>回馈</x:v>
      </x:c>
      <x:c r="D29" s="46" t="str">
        <x:v>通过创造体验、提供机会或把临时安排转成后续计划回馈。</x:v>
      </x:c>
      <x:c r="E29" s="46" t="str">
        <x:v>共同体验之后是否形成下一步，以及资源、社交和承诺是否透明。</x:v>
      </x:c>
      <x:c r="F29" s="46" t="str">
        <x:v>回馈可错峰、跨领域，但需可理解</x:v>
      </x:c>
    </x:row>
    <x:row r="30">
      <x:c r="A30" s="46" t="str">
        <x:v>EC07</x:v>
      </x:c>
      <x:c r="B30" s="46" t="str">
        <x:v>责任履行</x:v>
      </x:c>
      <x:c r="C30" s="46" t="str">
        <x:v>给予</x:v>
      </x:c>
      <x:c r="D30" s="46" t="str">
        <x:v>通过守约、承担固定事务、说明角色和维持共同规则提供支持。</x:v>
      </x:c>
      <x:c r="E30" s="46" t="str">
        <x:v>规则对自己不利、计划变化或失约时，双方是否仍愿意承担和重订。</x:v>
      </x:c>
      <x:c r="F30" s="46" t="str">
        <x:v>主动提供不等于对方需要</x:v>
      </x:c>
    </x:row>
    <x:row r="31">
      <x:c r="A31" s="46" t="str">
        <x:v>EC07</x:v>
      </x:c>
      <x:c r="B31" s="46" t="str">
        <x:v>责任履行</x:v>
      </x:c>
      <x:c r="C31" s="46" t="str">
        <x:v>请求</x:v>
      </x:c>
      <x:c r="D31" s="46" t="str">
        <x:v>提出需要时明确对方承担什么、何时完成、变化时怎样说明。</x:v>
      </x:c>
      <x:c r="E31" s="46" t="str">
        <x:v>规则对自己不利、计划变化或失约时，双方是否仍愿意承担和重订。</x:v>
      </x:c>
      <x:c r="F31" s="46" t="str">
        <x:v>暗示与测试不能代替请求</x:v>
      </x:c>
    </x:row>
    <x:row r="32">
      <x:c r="A32" s="46" t="str">
        <x:v>EC07</x:v>
      </x:c>
      <x:c r="B32" s="46" t="str">
        <x:v>责任履行</x:v>
      </x:c>
      <x:c r="C32" s="46" t="str">
        <x:v>接收</x:v>
      </x:c>
      <x:c r="D32" s="46" t="str">
        <x:v>能够接受稳定责任支持，同时保留协商规则和角色的权利。</x:v>
      </x:c>
      <x:c r="E32" s="46" t="str">
        <x:v>规则对自己不利、计划变化或失约时，双方是否仍愿意承担和重订。</x:v>
      </x:c>
      <x:c r="F32" s="46" t="str">
        <x:v>接受支持不产生自动债务</x:v>
      </x:c>
    </x:row>
    <x:row r="33">
      <x:c r="A33" s="46" t="str">
        <x:v>EC07</x:v>
      </x:c>
      <x:c r="B33" s="46" t="str">
        <x:v>责任履行</x:v>
      </x:c>
      <x:c r="C33" s="46" t="str">
        <x:v>回馈</x:v>
      </x:c>
      <x:c r="D33" s="46" t="str">
        <x:v>通过承担自己的责任、守约、及时说明变化和共同复核形成互惠。</x:v>
      </x:c>
      <x:c r="E33" s="46" t="str">
        <x:v>规则对自己不利、计划变化或失约时，双方是否仍愿意承担和重订。</x:v>
      </x:c>
      <x:c r="F33" s="46" t="str">
        <x:v>回馈可错峰、跨领域，但需可理解</x:v>
      </x:c>
    </x:row>
    <x:row r="34">
      <x:c r="A34" s="46" t="str">
        <x:v>EC08</x:v>
      </x:c>
      <x:c r="B34" s="46" t="str">
        <x:v>行动保护</x:v>
      </x:c>
      <x:c r="C34" s="46" t="str">
        <x:v>给予</x:v>
      </x:c>
      <x:c r="D34" s="46" t="str">
        <x:v>在风险、危机或关键节点迅速行动、止损、保护和推进。</x:v>
      </x:c>
      <x:c r="E34" s="46" t="str">
        <x:v>高压结束后，决定权、信息和感受是否真正回到双方。</x:v>
      </x:c>
      <x:c r="F34" s="46" t="str">
        <x:v>主动提供不等于对方需要</x:v>
      </x:c>
    </x:row>
    <x:row r="35">
      <x:c r="A35" s="46" t="str">
        <x:v>EC08</x:v>
      </x:c>
      <x:c r="B35" s="46" t="str">
        <x:v>行动保护</x:v>
      </x:c>
      <x:c r="C35" s="46" t="str">
        <x:v>请求</x:v>
      </x:c>
      <x:c r="D35" s="46" t="str">
        <x:v>需要帮助时说明紧急程度、授权范围和哪些决定仍需共同确认。</x:v>
      </x:c>
      <x:c r="E35" s="46" t="str">
        <x:v>高压结束后，决定权、信息和感受是否真正回到双方。</x:v>
      </x:c>
      <x:c r="F35" s="46" t="str">
        <x:v>暗示与测试不能代替请求</x:v>
      </x:c>
    </x:row>
    <x:row r="36">
      <x:c r="A36" s="46" t="str">
        <x:v>EC08</x:v>
      </x:c>
      <x:c r="B36" s="46" t="str">
        <x:v>行动保护</x:v>
      </x:c>
      <x:c r="C36" s="46" t="str">
        <x:v>接收</x:v>
      </x:c>
      <x:c r="D36" s="46" t="str">
        <x:v>可以接受快速帮助，同时保留同意、信息和事后复盘权。</x:v>
      </x:c>
      <x:c r="E36" s="46" t="str">
        <x:v>高压结束后，决定权、信息和感受是否真正回到双方。</x:v>
      </x:c>
      <x:c r="F36" s="46" t="str">
        <x:v>接受支持不产生自动债务</x:v>
      </x:c>
    </x:row>
    <x:row r="37">
      <x:c r="A37" s="46" t="str">
        <x:v>EC08</x:v>
      </x:c>
      <x:c r="B37" s="46" t="str">
        <x:v>行动保护</x:v>
      </x:c>
      <x:c r="C37" s="46" t="str">
        <x:v>回馈</x:v>
      </x:c>
      <x:c r="D37" s="46" t="str">
        <x:v>通过配合、说明反馈、恢复共同决定和在另一阶段承担行动形成回馈。</x:v>
      </x:c>
      <x:c r="E37" s="46" t="str">
        <x:v>高压结束后，决定权、信息和感受是否真正回到双方。</x:v>
      </x:c>
      <x:c r="F37" s="46" t="str">
        <x:v>回馈可错峰、跨领域，但需可理解</x:v>
      </x:c>
    </x:row>
    <x:row r="38">
      <x:c r="A38" s="46" t="str">
        <x:v>EC09</x:v>
      </x:c>
      <x:c r="B38" s="46" t="str">
        <x:v>安全承接</x:v>
      </x:c>
      <x:c r="C38" s="46" t="str">
        <x:v>给予</x:v>
      </x:c>
      <x:c r="D38" s="46" t="str">
        <x:v>通过倾听、理解、安抚、知识与稳定回应提供支持。</x:v>
      </x:c>
      <x:c r="E38" s="46" t="str">
        <x:v>被理解之后，现实安排、责任和边界是否跟着变化。</x:v>
      </x:c>
      <x:c r="F38" s="46" t="str">
        <x:v>主动提供不等于对方需要</x:v>
      </x:c>
    </x:row>
    <x:row r="39">
      <x:c r="A39" s="46" t="str">
        <x:v>EC09</x:v>
      </x:c>
      <x:c r="B39" s="46" t="str">
        <x:v>安全承接</x:v>
      </x:c>
      <x:c r="C39" s="46" t="str">
        <x:v>请求</x:v>
      </x:c>
      <x:c r="D39" s="46" t="str">
        <x:v>能够直接说明希望被听见、被理解、获得建议还是得到陪伴。</x:v>
      </x:c>
      <x:c r="E39" s="46" t="str">
        <x:v>被理解之后，现实安排、责任和边界是否跟着变化。</x:v>
      </x:c>
      <x:c r="F39" s="46" t="str">
        <x:v>暗示与测试不能代替请求</x:v>
      </x:c>
    </x:row>
    <x:row r="40">
      <x:c r="A40" s="46" t="str">
        <x:v>EC09</x:v>
      </x:c>
      <x:c r="B40" s="46" t="str">
        <x:v>安全承接</x:v>
      </x:c>
      <x:c r="C40" s="46" t="str">
        <x:v>接收</x:v>
      </x:c>
      <x:c r="D40" s="46" t="str">
        <x:v>允许自己接受照顾和理解，同时保留独立判断和拒绝建议的权利。</x:v>
      </x:c>
      <x:c r="E40" s="46" t="str">
        <x:v>被理解之后，现实安排、责任和边界是否跟着变化。</x:v>
      </x:c>
      <x:c r="F40" s="46" t="str">
        <x:v>接受支持不产生自动债务</x:v>
      </x:c>
    </x:row>
    <x:row r="41">
      <x:c r="A41" s="46" t="str">
        <x:v>EC09</x:v>
      </x:c>
      <x:c r="B41" s="46" t="str">
        <x:v>安全承接</x:v>
      </x:c>
      <x:c r="C41" s="46" t="str">
        <x:v>回馈</x:v>
      </x:c>
      <x:c r="D41" s="46" t="str">
        <x:v>通过情绪可用性、耐心回应、现实支持和在对方需要时承接形成回馈。</x:v>
      </x:c>
      <x:c r="E41" s="46" t="str">
        <x:v>被理解之后，现实安排、责任和边界是否跟着变化。</x:v>
      </x:c>
      <x:c r="F41" s="46" t="str">
        <x:v>回馈可错峰、跨领域，但需可理解</x:v>
      </x:c>
    </x:row>
    <x:row r="42">
      <x:c r="A42" s="46" t="str">
        <x:v>EC10</x:v>
      </x:c>
      <x:c r="B42" s="46" t="str">
        <x:v>深度空间支持</x:v>
      </x:c>
      <x:c r="C42" s="46" t="str">
        <x:v>给予</x:v>
      </x:c>
      <x:c r="D42" s="46" t="str">
        <x:v>通过洞察、专业方法、选择性交流和尊重私人空间提供支持。</x:v>
      </x:c>
      <x:c r="E42" s="46" t="str">
        <x:v>提出空间后是否说明回归点，整理完成后是否主动回来并处理重要问题。</x:v>
      </x:c>
      <x:c r="F42" s="46" t="str">
        <x:v>主动提供不等于对方需要</x:v>
      </x:c>
    </x:row>
    <x:row r="43">
      <x:c r="A43" s="46" t="str">
        <x:v>EC10</x:v>
      </x:c>
      <x:c r="B43" s="46" t="str">
        <x:v>深度空间支持</x:v>
      </x:c>
      <x:c r="C43" s="46" t="str">
        <x:v>请求</x:v>
      </x:c>
      <x:c r="D43" s="46" t="str">
        <x:v>需要空间时说明目的、范围、最低连接和回归时间。</x:v>
      </x:c>
      <x:c r="E43" s="46" t="str">
        <x:v>提出空间后是否说明回归点，整理完成后是否主动回来并处理重要问题。</x:v>
      </x:c>
      <x:c r="F43" s="46" t="str">
        <x:v>暗示与测试不能代替请求</x:v>
      </x:c>
    </x:row>
    <x:row r="44">
      <x:c r="A44" s="46" t="str">
        <x:v>EC10</x:v>
      </x:c>
      <x:c r="B44" s="46" t="str">
        <x:v>深度空间支持</x:v>
      </x:c>
      <x:c r="C44" s="46" t="str">
        <x:v>接收</x:v>
      </x:c>
      <x:c r="D44" s="46" t="str">
        <x:v>能够接受低频、深度或非即时的支持，同时确认重要信息不会长期缺失。</x:v>
      </x:c>
      <x:c r="E44" s="46" t="str">
        <x:v>提出空间后是否说明回归点，整理完成后是否主动回来并处理重要问题。</x:v>
      </x:c>
      <x:c r="F44" s="46" t="str">
        <x:v>接受支持不产生自动债务</x:v>
      </x:c>
    </x:row>
    <x:row r="45">
      <x:c r="A45" s="47" t="str">
        <x:v>EC10</x:v>
      </x:c>
      <x:c r="B45" s="47" t="str">
        <x:v>深度空间支持</x:v>
      </x:c>
      <x:c r="C45" s="47" t="str">
        <x:v>回馈</x:v>
      </x:c>
      <x:c r="D45" s="47" t="str">
        <x:v>整理后主动回来、回应重点、分享洞察并恢复关系连接。</x:v>
      </x:c>
      <x:c r="E45" s="47" t="str">
        <x:v>提出空间后是否说明回归点，整理完成后是否主动回来并处理重要问题。</x:v>
      </x:c>
      <x:c r="F45" s="47" t="str">
        <x:v>回馈可错峰、跨领域，但需可理解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41bbb87bcf564a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8" hidden="0" customWidth="1"/>
    <x:col min="4" max="4" width="46" hidden="0" customWidth="1"/>
    <x:col min="5" max="5" width="46" hidden="0" customWidth="1"/>
    <x:col min="6" max="6" width="42" hidden="0" customWidth="1"/>
  </x:cols>
  <x:sheetData>
    <x:row r="1">
      <x:c r="A1" s="9" t="str">
        <x:v>ED01—ED10 交换过程维度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用于判断交换是否可见、可请求、可接收、可持续、可重订和可修复。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维度</x:v>
      </x:c>
      <x:c r="C5" s="35" t="str">
        <x:v>核心问题</x:v>
      </x:c>
      <x:c r="D5" s="35" t="str">
        <x:v>可靠证据</x:v>
      </x:c>
      <x:c r="E5" s="35" t="str">
        <x:v>不足／假阳性</x:v>
      </x:c>
      <x:c r="F5" s="35" t="str">
        <x:v>一句话记忆</x:v>
      </x:c>
    </x:row>
    <x:row r="6">
      <x:c r="A6" s="46" t="str">
        <x:v>ED01</x:v>
      </x:c>
      <x:c r="B6" s="46" t="str">
        <x:v>贡献可见度</x:v>
      </x:c>
      <x:c r="C6" s="46" t="str">
        <x:v>双方是否能够看见并说出彼此实际投入，而不是只看最显眼的那一种。</x:v>
      </x:c>
      <x:c r="D6" s="46" t="str">
        <x:v>跨领域列出时间、情绪劳动、资源、责任和修复投入。</x:v>
      </x:c>
      <x:c r="E6" s="46" t="str">
        <x:v>只统计金钱、礼物、做事次数或口头表达。</x:v>
      </x:c>
      <x:c r="F6" s="46" t="str">
        <x:v>可见不等于全部；隐性投入也需要被确认。</x:v>
      </x:c>
    </x:row>
    <x:row r="7">
      <x:c r="A7" s="46" t="str">
        <x:v>ED02</x:v>
      </x:c>
      <x:c r="B7" s="46" t="str">
        <x:v>请求清晰度</x:v>
      </x:c>
      <x:c r="C7" s="46" t="str">
        <x:v>需要能否被具体提出，而不是期待对方自动猜到。</x:v>
      </x:c>
      <x:c r="D7" s="46" t="str">
        <x:v>说明需要什么、希望怎样回应、何时完成和哪些部分可协商。</x:v>
      </x:c>
      <x:c r="E7" s="46" t="str">
        <x:v>只表达不满、暗示、测试或让对方证明爱。</x:v>
      </x:c>
      <x:c r="F7" s="46" t="str">
        <x:v>能请求，交换才有清楚入口。</x:v>
      </x:c>
    </x:row>
    <x:row r="8">
      <x:c r="A8" s="46" t="str">
        <x:v>ED03</x:v>
      </x:c>
      <x:c r="B8" s="46" t="str">
        <x:v>接收能力</x:v>
      </x:c>
      <x:c r="C8" s="46" t="str">
        <x:v>双方是否能够接受帮助、情绪支持和资源，而不立即拒绝、欠债化或失去自主。</x:v>
      </x:c>
      <x:c r="D8" s="46" t="str">
        <x:v>能够确认帮助、表达边界并允许自己被支持。</x:v>
      </x:c>
      <x:c r="E8" s="46" t="str">
        <x:v>接受帮助就觉得必须立刻等量回报，或完全交出决定权。</x:v>
      </x:c>
      <x:c r="F8" s="46" t="str">
        <x:v>会给予，也要能够接收。</x:v>
      </x:c>
    </x:row>
    <x:row r="9">
      <x:c r="A9" s="46" t="str">
        <x:v>ED04</x:v>
      </x:c>
      <x:c r="B9" s="46" t="str">
        <x:v>回应识别度</x:v>
      </x:c>
      <x:c r="C9" s="46" t="str">
        <x:v>对方的回应是否被接收到、确认，并与原请求对应。</x:v>
      </x:c>
      <x:c r="D9" s="46" t="str">
        <x:v>双方能复述自己理解的需要，并确认回应是否有用。</x:v>
      </x:c>
      <x:c r="E9" s="46" t="str">
        <x:v>给了很多，但并非对方需要；收到了回应却未被识别。</x:v>
      </x:c>
      <x:c r="F9" s="46" t="str">
        <x:v>回应是否命中，比投入量更重要。</x:v>
      </x:c>
    </x:row>
    <x:row r="10">
      <x:c r="A10" s="46" t="str">
        <x:v>ED05</x:v>
      </x:c>
      <x:c r="B10" s="46" t="str">
        <x:v>投入连续性</x:v>
      </x:c>
      <x:c r="C10" s="46" t="str">
        <x:v>支持与投入能否重复，而不是只在高光、危机或新鲜期出现。</x:v>
      </x:c>
      <x:c r="D10" s="46" t="str">
        <x:v>同类场景重复、跨阶段保持，并在成本变化时重订。</x:v>
      </x:c>
      <x:c r="E10" s="46" t="str">
        <x:v>一次礼物、一次保护、一次长谈或短期热情。</x:v>
      </x:c>
      <x:c r="F10" s="46" t="str">
        <x:v>长期交换看连续，不只看强烈。</x:v>
      </x:c>
    </x:row>
    <x:row r="11">
      <x:c r="A11" s="46" t="str">
        <x:v>ED06</x:v>
      </x:c>
      <x:c r="B11" s="46" t="str">
        <x:v>互惠时序</x:v>
      </x:c>
      <x:c r="C11" s="46" t="str">
        <x:v>回馈是同步、错峰还是延迟，双方是否理解并同意。</x:v>
      </x:c>
      <x:c r="D11" s="46" t="str">
        <x:v>回馈时间、领域与预期可以被说明和复核。</x:v>
      </x:c>
      <x:c r="E11" s="46" t="str">
        <x:v>要求立即回报，或无限期等待而没有约定。</x:v>
      </x:c>
      <x:c r="F11" s="46" t="str">
        <x:v>互惠不必同时，但要有可理解的时间结构。</x:v>
      </x:c>
    </x:row>
    <x:row r="12">
      <x:c r="A12" s="46" t="str">
        <x:v>ED07</x:v>
      </x:c>
      <x:c r="B12" s="46" t="str">
        <x:v>角色与负荷平衡</x:v>
      </x:c>
      <x:c r="C12" s="46" t="str">
        <x:v>分工是否符合能力和阶段，负荷能否被看见、调整和轮换。</x:v>
      </x:c>
      <x:c r="D12" s="46" t="str">
        <x:v>职责、时间、代价和休息权可被协商。</x:v>
      </x:c>
      <x:c r="E12" s="46" t="str">
        <x:v>一方长期补位，另一方没有参与和成长。</x:v>
      </x:c>
      <x:c r="F12" s="46" t="str">
        <x:v>公平不等于每项对半，而是负荷可持续、可重订。</x:v>
      </x:c>
    </x:row>
    <x:row r="13">
      <x:c r="A13" s="46" t="str">
        <x:v>ED08</x:v>
      </x:c>
      <x:c r="B13" s="46" t="str">
        <x:v>同意与资源边界</x:v>
      </x:c>
      <x:c r="C13" s="46" t="str">
        <x:v>帮助、金钱、时间、身体、隐私和决定是否建立在明确同意上。</x:v>
      </x:c>
      <x:c r="D13" s="46" t="str">
        <x:v>帮助前确认，过程中可暂停，事后可反馈。</x:v>
      </x:c>
      <x:c r="E13" s="46" t="str">
        <x:v>以付出为由要求服从，或未经同意替对方决定。</x:v>
      </x:c>
      <x:c r="F13" s="46" t="str">
        <x:v>支持不能越过同意和选择权。</x:v>
      </x:c>
    </x:row>
    <x:row r="14">
      <x:c r="A14" s="46" t="str">
        <x:v>ED09</x:v>
      </x:c>
      <x:c r="B14" s="46" t="str">
        <x:v>重新协商能力</x:v>
      </x:c>
      <x:c r="C14" s="46" t="str">
        <x:v>生活阶段、资源和需要变化时，交换规则能否更新。</x:v>
      </x:c>
      <x:c r="D14" s="46" t="str">
        <x:v>出现变化后能谈分工、节奏、边界和责任。</x:v>
      </x:c>
      <x:c r="E14" s="46" t="str">
        <x:v>把旧规则当成永远不变，或只由一方决定新规则。</x:v>
      </x:c>
      <x:c r="F14" s="46" t="str">
        <x:v>长期关系需要不断重订，而不是一次定终身。</x:v>
      </x:c>
    </x:row>
    <x:row r="15">
      <x:c r="A15" s="47" t="str">
        <x:v>ED10</x:v>
      </x:c>
      <x:c r="B15" s="47" t="str">
        <x:v>修复与回流</x:v>
      </x:c>
      <x:c r="C15" s="47" t="str">
        <x:v>交换失误、失衡或中断后，是否能接收反馈、补做缺失步骤并持续回访。</x:v>
      </x:c>
      <x:c r="D15" s="47" t="str">
        <x:v>承认影响、承担、调整、接收反馈和持续兑现。</x:v>
      </x:c>
      <x:c r="E15" s="47" t="str">
        <x:v>用和好、补偿或一次努力代替完整修复。</x:v>
      </x:c>
      <x:c r="F15" s="47" t="str">
        <x:v>交换真正恢复，要让反馈和改变都回来。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86102bac539946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8" hidden="0" customWidth="1"/>
    <x:col min="4" max="4" width="48" hidden="0" customWidth="1"/>
    <x:col min="5" max="5" width="48" hidden="0" customWidth="1"/>
    <x:col min="6" max="6" width="46" hidden="0" customWidth="1"/>
  </x:cols>
  <x:sheetData>
    <x:row r="1">
      <x:c r="A1" s="9" t="str">
        <x:v>EM01—EM12 双向交换模式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交换可以同步、错峰、分工、接力或双轨；关键是双方理解并能回流。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模式</x:v>
      </x:c>
      <x:c r="C5" s="35" t="str">
        <x:v>定义</x:v>
      </x:c>
      <x:c r="D5" s="35" t="str">
        <x:v>适用情境</x:v>
      </x:c>
      <x:c r="E5" s="35" t="str">
        <x:v>成立条件</x:v>
      </x:c>
      <x:c r="F5" s="35" t="str">
        <x:v>失衡风险</x:v>
      </x:c>
    </x:row>
    <x:row r="6">
      <x:c r="A6" s="46" t="str">
        <x:v>EM01</x:v>
      </x:c>
      <x:c r="B6" s="46" t="str">
        <x:v>同步互惠型</x:v>
      </x:c>
      <x:c r="C6" s="46" t="str">
        <x:v>双方在相近时间和相同或相近领域回应彼此。</x:v>
      </x:c>
      <x:c r="D6" s="46" t="str">
        <x:v>适合即时沟通、共同事务和情绪回应；不要求逐项完全等量。</x:v>
      </x:c>
      <x:c r="E6" s="46" t="str">
        <x:v>双方能表达、接收并确认回应。</x:v>
      </x:c>
      <x:c r="F6" s="46" t="str">
        <x:v>即时回报变成计较或压力。</x:v>
      </x:c>
    </x:row>
    <x:row r="7">
      <x:c r="A7" s="46" t="str">
        <x:v>EM02</x:v>
      </x:c>
      <x:c r="B7" s="46" t="str">
        <x:v>错峰互惠型</x:v>
      </x:c>
      <x:c r="C7" s="46" t="str">
        <x:v>双方在不同阶段轮流承担，当前不对称但长期可被看见和平衡。</x:v>
      </x:c>
      <x:c r="D7" s="46" t="str">
        <x:v>适合工作繁忙、健康变化、育儿或阶段性资源差异。</x:v>
      </x:c>
      <x:c r="E7" s="46" t="str">
        <x:v>时间结构、回馈预期和重订点清楚。</x:v>
      </x:c>
      <x:c r="F7" s="46" t="str">
        <x:v>一方无限期等待，错峰被用来掩盖长期单向。</x:v>
      </x:c>
    </x:row>
    <x:row r="8">
      <x:c r="A8" s="46" t="str">
        <x:v>EM03</x:v>
      </x:c>
      <x:c r="B8" s="46" t="str">
        <x:v>角色分工型</x:v>
      </x:c>
      <x:c r="C8" s="46" t="str">
        <x:v>双方在不同领域承担不同任务，并共同确认整体负荷。</x:v>
      </x:c>
      <x:c r="D8" s="46" t="str">
        <x:v>适合能力差异明显的生活、情绪、资源和事务分工。</x:v>
      </x:c>
      <x:c r="E8" s="46" t="str">
        <x:v>角色可协商、可轮换、没有高低权力。</x:v>
      </x:c>
      <x:c r="F8" s="46" t="str">
        <x:v>固定性别角色、单方劳动或不允许重谈。</x:v>
      </x:c>
    </x:row>
    <x:row r="9">
      <x:c r="A9" s="46" t="str">
        <x:v>EM04</x:v>
      </x:c>
      <x:c r="B9" s="46" t="str">
        <x:v>请求—回应型</x:v>
      </x:c>
      <x:c r="C9" s="46" t="str">
        <x:v>一方清楚提出需要，另一方回应并确认是否命中。</x:v>
      </x:c>
      <x:c r="D9" s="46" t="str">
        <x:v>适合需求不易自动被看见的关系。</x:v>
      </x:c>
      <x:c r="E9" s="46" t="str">
        <x:v>请求具体、回应可调整、拒绝也可协商。</x:v>
      </x:c>
      <x:c r="F9" s="46" t="str">
        <x:v>以测试、暗示和猜测代替请求。</x:v>
      </x:c>
    </x:row>
    <x:row r="10">
      <x:c r="A10" s="46" t="str">
        <x:v>EM05</x:v>
      </x:c>
      <x:c r="B10" s="46" t="str">
        <x:v>主动给予—反馈型</x:v>
      </x:c>
      <x:c r="C10" s="46" t="str">
        <x:v>一方主动支持，接收方反馈是否有用，给予方据此调整。</x:v>
      </x:c>
      <x:c r="D10" s="46" t="str">
        <x:v>适合照顾、建议、行动保护和现实投入。</x:v>
      </x:c>
      <x:c r="E10" s="46" t="str">
        <x:v>主动不等于接管，反馈能够改变给予方式。</x:v>
      </x:c>
      <x:c r="F10" s="46" t="str">
        <x:v>越给越多，却不问对方是否需要。</x:v>
      </x:c>
    </x:row>
    <x:row r="11">
      <x:c r="A11" s="46" t="str">
        <x:v>EM06</x:v>
      </x:c>
      <x:c r="B11" s="46" t="str">
        <x:v>先承接后回馈型</x:v>
      </x:c>
      <x:c r="C11" s="46" t="str">
        <x:v>一方先获得理解、安全或现实支持，之后再以适合方式回馈。</x:v>
      </x:c>
      <x:c r="D11" s="46" t="str">
        <x:v>适合压力、疾病、低资源或修复阶段。</x:v>
      </x:c>
      <x:c r="E11" s="46" t="str">
        <x:v>接收被允许，回馈时点和形式可说明。</x:v>
      </x:c>
      <x:c r="F11" s="46" t="str">
        <x:v>接受帮助被债务化，或回馈义务无限。</x:v>
      </x:c>
    </x:row>
    <x:row r="12">
      <x:c r="A12" s="46" t="str">
        <x:v>EM07</x:v>
      </x:c>
      <x:c r="B12" s="46" t="str">
        <x:v>舒缓—处理接力型</x:v>
      </x:c>
      <x:c r="C12" s="46" t="str">
        <x:v>先降低强度、恢复可沟通状态，再处理责任、边界和行动。</x:v>
      </x:c>
      <x:c r="D12" s="46" t="str">
        <x:v>适合高情绪分歧和修复初期。</x:v>
      </x:c>
      <x:c r="E12" s="46" t="str">
        <x:v>明确何时从安抚转入问题处理。</x:v>
      </x:c>
      <x:c r="F12" s="46" t="str">
        <x:v>只恢复舒服，不再回到关键问题。</x:v>
      </x:c>
    </x:row>
    <x:row r="13">
      <x:c r="A13" s="46" t="str">
        <x:v>EM08</x:v>
      </x:c>
      <x:c r="B13" s="46" t="str">
        <x:v>表达—落实接力型</x:v>
      </x:c>
      <x:c r="C13" s="46" t="str">
        <x:v>先说清需要和理解，再转成具体安排、资源和行为。</x:v>
      </x:c>
      <x:c r="D13" s="46" t="str">
        <x:v>适合沟通丰富但现实落实容易不足的关系。</x:v>
      </x:c>
      <x:c r="E13" s="46" t="str">
        <x:v>有明确行动、时间点和回访。</x:v>
      </x:c>
      <x:c r="F13" s="46" t="str">
        <x:v>说清楚以后没有任何改变。</x:v>
      </x:c>
    </x:row>
    <x:row r="14">
      <x:c r="A14" s="46" t="str">
        <x:v>EM09</x:v>
      </x:c>
      <x:c r="B14" s="46" t="str">
        <x:v>投入—责任闭环型</x:v>
      </x:c>
      <x:c r="C14" s="46" t="str">
        <x:v>现实投入进一步转成承诺、分工、责任和持续复核。</x:v>
      </x:c>
      <x:c r="D14" s="46" t="str">
        <x:v>适合长期生活经营和资源共同体。</x:v>
      </x:c>
      <x:c r="E14" s="46" t="str">
        <x:v>投入不替代承诺，责任也不抹掉贡献。</x:v>
      </x:c>
      <x:c r="F14" s="46" t="str">
        <x:v>一方不断付出，另一方只享受或只口头承诺。</x:v>
      </x:c>
    </x:row>
    <x:row r="15">
      <x:c r="A15" s="46" t="str">
        <x:v>EM10</x:v>
      </x:c>
      <x:c r="B15" s="46" t="str">
        <x:v>支持—自主闭环型</x:v>
      </x:c>
      <x:c r="C15" s="46" t="str">
        <x:v>给予理解、资源或保护，同时帮助对方恢复自主和参与权。</x:v>
      </x:c>
      <x:c r="D15" s="46" t="str">
        <x:v>适合照顾、危机和能力补位。</x:v>
      </x:c>
      <x:c r="E15" s="46" t="str">
        <x:v>帮助结果是双方能力更完整。</x:v>
      </x:c>
      <x:c r="F15" s="46" t="str">
        <x:v>支持变成依赖、接管或永久失衡。</x:v>
      </x:c>
    </x:row>
    <x:row r="16">
      <x:c r="A16" s="46" t="str">
        <x:v>EM11</x:v>
      </x:c>
      <x:c r="B16" s="46" t="str">
        <x:v>任务—情绪双轨型</x:v>
      </x:c>
      <x:c r="C16" s="46" t="str">
        <x:v>现实任务和情绪影响同时拥有处理通道，可有先后但都需完成。</x:v>
      </x:c>
      <x:c r="D16" s="46" t="str">
        <x:v>适合压力、责任冲突和修复。</x:v>
      </x:c>
      <x:c r="E16" s="46" t="str">
        <x:v>任务线有方案，情绪线有理解和反馈。</x:v>
      </x:c>
      <x:c r="F16" s="46" t="str">
        <x:v>只做事不谈感受，或只安抚不处理现实。</x:v>
      </x:c>
    </x:row>
    <x:row r="17">
      <x:c r="A17" s="47" t="str">
        <x:v>EM12</x:v>
      </x:c>
      <x:c r="B17" s="47" t="str">
        <x:v>情境组合型</x:v>
      </x:c>
      <x:c r="C17" s="47" t="str">
        <x:v>不同领域使用同步、错峰、分工、接力或双轨，不强求一种模式覆盖全部。</x:v>
      </x:c>
      <x:c r="D17" s="47" t="str">
        <x:v>适合现实角色复杂、资源随阶段变化的关系。</x:v>
      </x:c>
      <x:c r="E17" s="47" t="str">
        <x:v>领域规则清楚并定期重订。</x:v>
      </x:c>
      <x:c r="F17" s="47" t="str">
        <x:v>随意切换、没有最低责任或回访机制。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974ffc22a7344cb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64" hidden="0" customWidth="1"/>
    <x:col min="4" max="4" width="36" hidden="0" customWidth="1"/>
    <x:col min="5" max="5" width="48" hidden="0" customWidth="1"/>
  </x:cols>
  <x:sheetData>
    <x:row r="1">
      <x:c r="A1" s="9" t="str">
        <x:v>EP01—EP08 交换闭环路径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第一步完成不等于整条交换链完成；必须检查反馈、调整和回流。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路径</x:v>
      </x:c>
      <x:c r="C5" s="35" t="str">
        <x:v>完整顺序</x:v>
      </x:c>
      <x:c r="D5" s="35" t="str">
        <x:v>关键通道／维度</x:v>
      </x:c>
      <x:c r="E5" s="35" t="str">
        <x:v>主要用途</x:v>
      </x:c>
    </x:row>
    <x:row r="6">
      <x:c r="A6" s="46" t="str">
        <x:v>EP01</x:v>
      </x:c>
      <x:c r="B6" s="46" t="str">
        <x:v>请求—回应—确认—调整</x:v>
      </x:c>
      <x:c r="C6" s="46" t="str">
        <x:v>一方说明需要，另一方回应，双方确认是否命中，再调整下一步。</x:v>
      </x:c>
      <x:c r="D6" s="46" t="str">
        <x:v>ED02、ED04、ED09</x:v>
      </x:c>
      <x:c r="E6" s="46" t="str">
        <x:v>适用于多数日常支持与沟通。</x:v>
      </x:c>
    </x:row>
    <x:row r="7">
      <x:c r="A7" s="46" t="str">
        <x:v>EP02</x:v>
      </x:c>
      <x:c r="B7" s="46" t="str">
        <x:v>表达—倾听—复述—落实</x:v>
      </x:c>
      <x:c r="C7" s="46" t="str">
        <x:v>先表达事实和感受，再倾听、复述理解并形成现实行动。</x:v>
      </x:c>
      <x:c r="D7" s="46" t="str">
        <x:v>EC04、EC09、EC05</x:v>
      </x:c>
      <x:c r="E7" s="46" t="str">
        <x:v>防止说清替代落实或倾听。</x:v>
      </x:c>
    </x:row>
    <x:row r="8">
      <x:c r="A8" s="46" t="str">
        <x:v>EP03</x:v>
      </x:c>
      <x:c r="B8" s="46" t="str">
        <x:v>支持—自主—反馈—共同决定</x:v>
      </x:c>
      <x:c r="C8" s="46" t="str">
        <x:v>提供帮助后恢复对方选择权，接收反馈并共同决定后续。</x:v>
      </x:c>
      <x:c r="D8" s="46" t="str">
        <x:v>EC01、EC08、EC09</x:v>
      </x:c>
      <x:c r="E8" s="46" t="str">
        <x:v>防止支持变成接管。</x:v>
      </x:c>
    </x:row>
    <x:row r="9">
      <x:c r="A9" s="46" t="str">
        <x:v>EP04</x:v>
      </x:c>
      <x:c r="B9" s="46" t="str">
        <x:v>投入—责任—复核—重订</x:v>
      </x:c>
      <x:c r="C9" s="46" t="str">
        <x:v>资源投入转成责任与分工，定期复核负荷并重订。</x:v>
      </x:c>
      <x:c r="D9" s="46" t="str">
        <x:v>EC05、EC07、ED07</x:v>
      </x:c>
      <x:c r="E9" s="46" t="str">
        <x:v>适合长期生活经营。</x:v>
      </x:c>
    </x:row>
    <x:row r="10">
      <x:c r="A10" s="46" t="str">
        <x:v>EP05</x:v>
      </x:c>
      <x:c r="B10" s="46" t="str">
        <x:v>行动—同意—回报信息—复盘</x:v>
      </x:c>
      <x:c r="C10" s="46" t="str">
        <x:v>关键行动前后确认授权、回报信息并复盘影响。</x:v>
      </x:c>
      <x:c r="D10" s="46" t="str">
        <x:v>EC08、ED08、ED10</x:v>
      </x:c>
      <x:c r="E10" s="46" t="str">
        <x:v>适合高压与危机。</x:v>
      </x:c>
    </x:row>
    <x:row r="11">
      <x:c r="A11" s="46" t="str">
        <x:v>EP06</x:v>
      </x:c>
      <x:c r="B11" s="46" t="str">
        <x:v>空间—最低连接—回归—重新开放</x:v>
      </x:c>
      <x:c r="C11" s="46" t="str">
        <x:v>暂停或独处时保留最低连接，按约定回来并恢复沟通。</x:v>
      </x:c>
      <x:c r="D11" s="46" t="str">
        <x:v>EC10、ED06、ED10</x:v>
      </x:c>
      <x:c r="E11" s="46" t="str">
        <x:v>防止暂停断链。</x:v>
      </x:c>
    </x:row>
    <x:row r="12">
      <x:c r="A12" s="46" t="str">
        <x:v>EP07</x:v>
      </x:c>
      <x:c r="B12" s="46" t="str">
        <x:v>安抚—回访—问题处理—持续跟进</x:v>
      </x:c>
      <x:c r="C12" s="46" t="str">
        <x:v>先降低强度，再按约定回到关键问题、形成方案并跟进。</x:v>
      </x:c>
      <x:c r="D12" s="46" t="str">
        <x:v>EC03、EC07、ED10</x:v>
      </x:c>
      <x:c r="E12" s="46" t="str">
        <x:v>防止和谐延后。</x:v>
      </x:c>
    </x:row>
    <x:row r="13">
      <x:c r="A13" s="47" t="str">
        <x:v>EP08</x:v>
      </x:c>
      <x:c r="B13" s="47" t="str">
        <x:v>失衡反馈—责任—补救—再分配</x:v>
      </x:c>
      <x:c r="C13" s="47" t="str">
        <x:v>交换失衡被指出后，承担影响、补救并重新分配负荷。</x:v>
      </x:c>
      <x:c r="D13" s="47" t="str">
        <x:v>ED07、ED09、ED10</x:v>
      </x:c>
      <x:c r="E13" s="47" t="str">
        <x:v>适合纠正单方负荷与记账循环。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7581b22fa49b47a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0" hidden="0" customWidth="1"/>
    <x:col min="4" max="4" width="52" hidden="0" customWidth="1"/>
    <x:col min="5" max="5" width="48" hidden="0" customWidth="1"/>
    <x:col min="6" max="6" width="50" hidden="0" customWidth="1"/>
  </x:cols>
  <x:sheetData>
    <x:row r="1">
      <x:c r="A1" s="9" t="str">
        <x:v>XR01—XR08 交换状态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交换状态描述双方结构，不等于人格或爱意评价。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状态</x:v>
      </x:c>
      <x:c r="C5" s="35" t="str">
        <x:v>定义</x:v>
      </x:c>
      <x:c r="D5" s="35" t="str">
        <x:v>成立条件</x:v>
      </x:c>
      <x:c r="E5" s="35" t="str">
        <x:v>报告处理</x:v>
      </x:c>
      <x:c r="F5" s="35" t="str">
        <x:v>用户语言</x:v>
      </x:c>
    </x:row>
    <x:row r="6">
      <x:c r="A6" s="46" t="str">
        <x:v>XR01</x:v>
      </x:c>
      <x:c r="B6" s="46" t="str">
        <x:v>稳定双向交换</x:v>
      </x:c>
      <x:c r="C6" s="46" t="str">
        <x:v>双方都能给予、请求、接收和回馈，交换可持续、可重订。</x:v>
      </x:c>
      <x:c r="D6" s="46" t="str">
        <x:v>XV4以上；ED02、ED03、ED07、ED09至少三项可靠。</x:v>
      </x:c>
      <x:c r="E6" s="46" t="str">
        <x:v>可作为较成熟交换候选；最终FG仍需现实门槛综合。</x:v>
      </x:c>
      <x:c r="F6" s="46" t="str">
        <x:v>这段关系的支持和投入能够双向流动，也能随着现实变化重新调整。</x:v>
      </x:c>
    </x:row>
    <x:row r="7">
      <x:c r="A7" s="46" t="str">
        <x:v>XR02</x:v>
      </x:c>
      <x:c r="B7" s="46" t="str">
        <x:v>非对称但协商分工</x:v>
      </x:c>
      <x:c r="C7" s="46" t="str">
        <x:v>贡献领域或数量不同，但双方知情、同意、认可且可重订。</x:v>
      </x:c>
      <x:c r="D7" s="46" t="str">
        <x:v>XV3以上；ED01、ED07、ED08可靠。</x:v>
      </x:c>
      <x:c r="E7" s="46" t="str">
        <x:v>不要求50/50；重点写分工和负荷。</x:v>
      </x:c>
      <x:c r="F7" s="46" t="str">
        <x:v>你们不一定用相同方式付出，但彼此知道、认可，并能重新分配。</x:v>
      </x:c>
    </x:row>
    <x:row r="8">
      <x:c r="A8" s="46" t="str">
        <x:v>XR03</x:v>
      </x:c>
      <x:c r="B8" s="46" t="str">
        <x:v>错峰但长期平衡</x:v>
      </x:c>
      <x:c r="C8" s="46" t="str">
        <x:v>某阶段由一方承担更多，另一方在后续阶段或其他领域回馈。</x:v>
      </x:c>
      <x:c r="D8" s="46" t="str">
        <x:v>XV4以上；ED06和ED09可靠，存在清楚回馈点。</x:v>
      </x:c>
      <x:c r="E8" s="46" t="str">
        <x:v>写明当前不对称、后续回流和现实条件。</x:v>
      </x:c>
      <x:c r="F8" s="46" t="str">
        <x:v>当前可能不是同时等量，但双方知道怎样在之后完成回流。</x:v>
      </x:c>
    </x:row>
    <x:row r="9">
      <x:c r="A9" s="46" t="str">
        <x:v>XR04</x:v>
      </x:c>
      <x:c r="B9" s="46" t="str">
        <x:v>条件性有效交换</x:v>
      </x:c>
      <x:c r="C9" s="46" t="str">
        <x:v>交换在特定资源、情境或规则下有效，条件变化时需重新验证。</x:v>
      </x:c>
      <x:c r="D9" s="46" t="str">
        <x:v>XV3以上；条件和失效点清楚。</x:v>
      </x:c>
      <x:c r="E9" s="46" t="str">
        <x:v>必须写出何时有效、何时容易中断。</x:v>
      </x:c>
      <x:c r="F9" s="46" t="str">
        <x:v>这套交换在某些条件下运作良好，条件变化后仍需重新协商。</x:v>
      </x:c>
    </x:row>
    <x:row r="10">
      <x:c r="A10" s="46" t="str">
        <x:v>XR05</x:v>
      </x:c>
      <x:c r="B10" s="46" t="str">
        <x:v>单向可见候选</x:v>
      </x:c>
      <x:c r="C10" s="46" t="str">
        <x:v>现有资料只清楚看到一方的付出或回应，另一侧可能隐性、延迟或资料不足。</x:v>
      </x:c>
      <x:c r="D10" s="46" t="str">
        <x:v>XV1—XV2；ED01未完成。</x:v>
      </x:c>
      <x:c r="E10" s="46" t="str">
        <x:v>不能直接写单向关系；先扩展领域和时序资料。</x:v>
      </x:c>
      <x:c r="F10" s="46" t="str">
        <x:v>目前只容易看见一侧，先不要急着判断另一方完全没有投入。</x:v>
      </x:c>
    </x:row>
    <x:row r="11">
      <x:c r="A11" s="46" t="str">
        <x:v>XR06</x:v>
      </x:c>
      <x:c r="B11" s="46" t="str">
        <x:v>补偿替代候选</x:v>
      </x:c>
      <x:c r="C11" s="46" t="str">
        <x:v>一类贡献被用来补偿另一类缺位，例如金钱替代情绪、解决问题替代倾听。</x:v>
      </x:c>
      <x:c r="D11" s="46" t="str">
        <x:v>M4 K03/K06或EB09现实成立。</x:v>
      </x:c>
      <x:c r="E11" s="46" t="str">
        <x:v>分别记录被提供的功能和仍缺失的功能。</x:v>
      </x:c>
      <x:c r="F11" s="46" t="str">
        <x:v>对方可能确实有投入，但这项投入未必回应了真正缺少的那一部分。</x:v>
      </x:c>
    </x:row>
    <x:row r="12">
      <x:c r="A12" s="46" t="str">
        <x:v>XR07</x:v>
      </x:c>
      <x:c r="B12" s="46" t="str">
        <x:v>长期单方负荷候选</x:v>
      </x:c>
      <x:c r="C12" s="46" t="str">
        <x:v>一方长期承担主要劳动、情绪、资源、责任或修复，提出调整后仍无回流。</x:v>
      </x:c>
      <x:c r="D12" s="46" t="str">
        <x:v>XV4以上；ED02、ED07、ED09至少两项失败，现实反例支持。</x:v>
      </x:c>
      <x:c r="E12" s="46" t="str">
        <x:v>可发布结构候选；安全和权力问题优先。</x:v>
      </x:c>
      <x:c r="F12" s="46" t="str">
        <x:v>需要认真检查是否长期由一方承担，而调整和回馈始终没有进入。</x:v>
      </x:c>
    </x:row>
    <x:row r="13">
      <x:c r="A13" s="47" t="str">
        <x:v>XR08</x:v>
      </x:c>
      <x:c r="B13" s="47" t="str">
        <x:v>交换未定／停止</x:v>
      </x:c>
      <x:c r="C13" s="47" t="str">
        <x:v>资料不足、相互矛盾、合化争议或存在安全门控。</x:v>
      </x:c>
      <x:c r="D13" s="47" t="str">
        <x:v>XV0—XV1或PR0停止。</x:v>
      </x:c>
      <x:c r="E13" s="47" t="str">
        <x:v>只输出需要补充的资料与观察计划。</x:v>
      </x:c>
      <x:c r="F13" s="47" t="str">
        <x:v>目前还不能判断交换是否平衡，先补充双方实际行为和安全信息。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34f8206eea2e40e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6" hidden="0" customWidth="1"/>
    <x:col min="4" max="4" width="46" hidden="0" customWidth="1"/>
    <x:col min="5" max="5" width="46" hidden="0" customWidth="1"/>
    <x:col min="6" max="6" width="42" hidden="0" customWidth="1"/>
  </x:cols>
  <x:sheetData>
    <x:row r="1">
      <x:c r="A1" s="9" t="str">
        <x:v>XV0—XV7 双人交换证据层级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XV描述双方交换证据有多深，不等于最终FG适配等级。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层级</x:v>
      </x:c>
      <x:c r="C5" s="35" t="str">
        <x:v>现实资料</x:v>
      </x:c>
      <x:c r="D5" s="35" t="str">
        <x:v>允许发布</x:v>
      </x:c>
      <x:c r="E5" s="35" t="str">
        <x:v>禁止发布</x:v>
      </x:c>
      <x:c r="F5" s="35" t="str">
        <x:v>下一步观察</x:v>
      </x:c>
    </x:row>
    <x:row r="6">
      <x:c r="A6" s="46" t="str">
        <x:v>XV0</x:v>
      </x:c>
      <x:c r="B6" s="46" t="str">
        <x:v>无双方交换证据</x:v>
      </x:c>
      <x:c r="C6" s="46" t="str">
        <x:v>只有命盘需求或对单方的抽象描述。</x:v>
      </x:c>
      <x:c r="D6" s="46" t="str">
        <x:v>只能建立交换需求和观察问题。</x:v>
      </x:c>
      <x:c r="E6" s="46" t="str">
        <x:v>不能判断双向性、负荷或互惠。</x:v>
      </x:c>
      <x:c r="F6" s="46" t="str">
        <x:v>补充至少一个完整交换事件。</x:v>
      </x:c>
    </x:row>
    <x:row r="7">
      <x:c r="A7" s="46" t="str">
        <x:v>XV1</x:v>
      </x:c>
      <x:c r="B7" s="46" t="str">
        <x:v>单方自述／期待证据</x:v>
      </x:c>
      <x:c r="C7" s="46" t="str">
        <x:v>只有一方对自己或对方的概括，没有具体事件链。</x:v>
      </x:c>
      <x:c r="D7" s="46" t="str">
        <x:v>可形成访谈假设。</x:v>
      </x:c>
      <x:c r="E7" s="46" t="str">
        <x:v>不能写稳定交换或单方负荷。</x:v>
      </x:c>
      <x:c r="F7" s="46" t="str">
        <x:v>记录谁请求、谁回应、谁接收和后续怎样。</x:v>
      </x:c>
    </x:row>
    <x:row r="8">
      <x:c r="A8" s="46" t="str">
        <x:v>XV2</x:v>
      </x:c>
      <x:c r="B8" s="46" t="str">
        <x:v>单次交换事件</x:v>
      </x:c>
      <x:c r="C8" s="46" t="str">
        <x:v>有一次较完整的给予—接收—回应事件。</x:v>
      </x:c>
      <x:c r="D8" s="46" t="str">
        <x:v>可确认这次交换怎样运行。</x:v>
      </x:c>
      <x:c r="E8" s="46" t="str">
        <x:v>不能写稳定模式或长期公平。</x:v>
      </x:c>
      <x:c r="F8" s="46" t="str">
        <x:v>观察同类情境是否重复。</x:v>
      </x:c>
    </x:row>
    <x:row r="9">
      <x:c r="A9" s="46" t="str">
        <x:v>XV3</x:v>
      </x:c>
      <x:c r="B9" s="46" t="str">
        <x:v>同领域重复证据</x:v>
      </x:c>
      <x:c r="C9" s="46" t="str">
        <x:v>在同一领域多次出现相似交换结构。</x:v>
      </x:c>
      <x:c r="D9" s="46" t="str">
        <x:v>可建立该领域内的模式候选。</x:v>
      </x:c>
      <x:c r="E9" s="46" t="str">
        <x:v>不能自动扩展到资源、压力或修复领域。</x:v>
      </x:c>
      <x:c r="F9" s="46" t="str">
        <x:v>增加不同领域和成本情境。</x:v>
      </x:c>
    </x:row>
    <x:row r="10">
      <x:c r="A10" s="46" t="str">
        <x:v>XV4</x:v>
      </x:c>
      <x:c r="B10" s="46" t="str">
        <x:v>跨领域一致证据</x:v>
      </x:c>
      <x:c r="C10" s="46" t="str">
        <x:v>在两个以上交换领域保持相似的双向、分工或错峰结构。</x:v>
      </x:c>
      <x:c r="D10" s="46" t="str">
        <x:v>可建立较可靠交换状态候选。</x:v>
      </x:c>
      <x:c r="E10" s="46" t="str">
        <x:v>仍需压力和修复验证。</x:v>
      </x:c>
      <x:c r="F10" s="46" t="str">
        <x:v>观察高成本或关系变化。</x:v>
      </x:c>
    </x:row>
    <x:row r="11">
      <x:c r="A11" s="46" t="str">
        <x:v>XV5</x:v>
      </x:c>
      <x:c r="B11" s="46" t="str">
        <x:v>压力／代价情境证据</x:v>
      </x:c>
      <x:c r="C11" s="46" t="str">
        <x:v>在疲劳、金钱、疾病、家庭责任或冲突下仍能协商负荷。</x:v>
      </x:c>
      <x:c r="D11" s="46" t="str">
        <x:v>可以评价压力下的交换边界。</x:v>
      </x:c>
      <x:c r="E11" s="46" t="str">
        <x:v>不能单独证明修复完成。</x:v>
      </x:c>
      <x:c r="F11" s="46" t="str">
        <x:v>收集重订和修复资料。</x:v>
      </x:c>
    </x:row>
    <x:row r="12">
      <x:c r="A12" s="46" t="str">
        <x:v>XV6</x:v>
      </x:c>
      <x:c r="B12" s="46" t="str">
        <x:v>修复与重订证据</x:v>
      </x:c>
      <x:c r="C12" s="46" t="str">
        <x:v>交换失衡后能够接收反馈、调整分工并持续回访。</x:v>
      </x:c>
      <x:c r="D12" s="46" t="str">
        <x:v>可以建立交换修复能力候选。</x:v>
      </x:c>
      <x:c r="E12" s="46" t="str">
        <x:v>一次成功不能写长期稳定。</x:v>
      </x:c>
      <x:c r="F12" s="46" t="str">
        <x:v>观察旧问题复发和持续兑现。</x:v>
      </x:c>
    </x:row>
    <x:row r="13">
      <x:c r="A13" s="47" t="str">
        <x:v>XV7</x:v>
      </x:c>
      <x:c r="B13" s="47" t="str">
        <x:v>反例／长期检验证据</x:v>
      </x:c>
      <x:c r="C13" s="47" t="str">
        <x:v>经历失衡、复发、角色变化或规则对自己不利后，仍能修正交换。</x:v>
      </x:c>
      <x:c r="D13" s="47" t="str">
        <x:v>可作为较高等级现实交换证据。</x:v>
      </x:c>
      <x:c r="E13" s="47" t="str">
        <x:v>仍受安全、价值观和其他RG门槛约束。</x:v>
      </x:c>
      <x:c r="F13" s="47" t="str">
        <x:v>进入M5-SYNTH综合验证。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5610bd754dd9429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4" hidden="0" customWidth="1"/>
    <x:col min="4" max="4" width="54" hidden="0" customWidth="1"/>
    <x:col min="5" max="5" width="52" hidden="0" customWidth="1"/>
  </x:cols>
  <x:sheetData>
    <x:row r="1">
      <x:c r="A1" s="9" t="str">
        <x:v>EB01—EB10 交换误读与伪互惠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避免把显眼、等量、即时、高光、补偿和牺牲误认为成熟交换。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误读</x:v>
      </x:c>
      <x:c r="C5" s="35" t="str">
        <x:v>常见信号</x:v>
      </x:c>
      <x:c r="D5" s="35" t="str">
        <x:v>纠偏动作</x:v>
      </x:c>
      <x:c r="E5" s="35" t="str">
        <x:v>用户解释</x:v>
      </x:c>
    </x:row>
    <x:row r="6">
      <x:c r="A6" s="46" t="str">
        <x:v>EB01</x:v>
      </x:c>
      <x:c r="B6" s="46" t="str">
        <x:v>显眼投入等于全部投入</x:v>
      </x:c>
      <x:c r="C6" s="46" t="str">
        <x:v>只看到金钱、礼物、做事或说话最多的一方。</x:v>
      </x:c>
      <x:c r="D6" s="46" t="str">
        <x:v>扩展到情绪劳动、计划、责任、修复和隐性支持。</x:v>
      </x:c>
      <x:c r="E6" s="46" t="str">
        <x:v>显眼不等于全部，先把不同领域都列出来。</x:v>
      </x:c>
    </x:row>
    <x:row r="7">
      <x:c r="A7" s="46" t="str">
        <x:v>EB02</x:v>
      </x:c>
      <x:c r="B7" s="46" t="str">
        <x:v>等量等于公平</x:v>
      </x:c>
      <x:c r="C7" s="46" t="str">
        <x:v>要求每次、每项和每个阶段都完全对半。</x:v>
      </x:c>
      <x:c r="D7" s="46" t="str">
        <x:v>比较负荷、资源、选择权和长期可持续性。</x:v>
      </x:c>
      <x:c r="E7" s="46" t="str">
        <x:v>公平不一定是每项相等，而是双方都知情、可承受、可重订。</x:v>
      </x:c>
    </x:row>
    <x:row r="8">
      <x:c r="A8" s="46" t="str">
        <x:v>EB03</x:v>
      </x:c>
      <x:c r="B8" s="46" t="str">
        <x:v>单向可见等于单向关系</x:v>
      </x:c>
      <x:c r="C8" s="46" t="str">
        <x:v>资料只记录一方行为，就判断另一方完全不付出。</x:v>
      </x:c>
      <x:c r="D8" s="46" t="str">
        <x:v>检查隐性贡献、错峰回馈、角色分工和资料缺失。</x:v>
      </x:c>
      <x:c r="E8" s="46" t="str">
        <x:v>目前只看见一侧，不代表另一侧一定不存在。</x:v>
      </x:c>
    </x:row>
    <x:row r="9">
      <x:c r="A9" s="46" t="str">
        <x:v>EB04</x:v>
      </x:c>
      <x:c r="B9" s="46" t="str">
        <x:v>主动给予等于无需请求</x:v>
      </x:c>
      <x:c r="C9" s="46" t="str">
        <x:v>认为真正爱就应该自动知道并主动满足。</x:v>
      </x:c>
      <x:c r="D9" s="46" t="str">
        <x:v>建立具体请求、回应和确认是否命中的流程。</x:v>
      </x:c>
      <x:c r="E9" s="46" t="str">
        <x:v>对方不能靠猜测长期完成你的需要，清楚请求也是关系能力。</x:v>
      </x:c>
    </x:row>
    <x:row r="10">
      <x:c r="A10" s="46" t="str">
        <x:v>EB05</x:v>
      </x:c>
      <x:c r="B10" s="46" t="str">
        <x:v>接受支持等于欠债</x:v>
      </x:c>
      <x:c r="C10" s="46" t="str">
        <x:v>接受帮助后必须立即等量回报，或因此失去拒绝权。</x:v>
      </x:c>
      <x:c r="D10" s="46" t="str">
        <x:v>区分感激、回馈、债务和长期互惠。</x:v>
      </x:c>
      <x:c r="E10" s="46" t="str">
        <x:v>被支持不等于失去自主，也不必立刻等量偿还。</x:v>
      </x:c>
    </x:row>
    <x:row r="11">
      <x:c r="A11" s="46" t="str">
        <x:v>EB06</x:v>
      </x:c>
      <x:c r="B11" s="46" t="str">
        <x:v>帮助等于控制／控制等于帮助</x:v>
      </x:c>
      <x:c r="C11" s="46" t="str">
        <x:v>把一切帮助视为接管，或把越权包装成保护。</x:v>
      </x:c>
      <x:c r="D11" s="46" t="str">
        <x:v>检查同意、信息、停止权、参与权和事后反馈。</x:v>
      </x:c>
      <x:c r="E11" s="46" t="str">
        <x:v>真正的支持会增加你的能力和选择，而不是减少。</x:v>
      </x:c>
    </x:row>
    <x:row r="12">
      <x:c r="A12" s="46" t="str">
        <x:v>EB07</x:v>
      </x:c>
      <x:c r="B12" s="46" t="str">
        <x:v>角色分工等于固定高低</x:v>
      </x:c>
      <x:c r="C12" s="46" t="str">
        <x:v>把谁擅长什么变成永久权力和身份等级。</x:v>
      </x:c>
      <x:c r="D12" s="46" t="str">
        <x:v>建立轮换、复核、退出和重新协商机制。</x:v>
      </x:c>
      <x:c r="E12" s="46" t="str">
        <x:v>分工可以不同，但决定权和人格地位仍应平等。</x:v>
      </x:c>
    </x:row>
    <x:row r="13">
      <x:c r="A13" s="46" t="str">
        <x:v>EB08</x:v>
      </x:c>
      <x:c r="B13" s="46" t="str">
        <x:v>即时回报等于健康互惠</x:v>
      </x:c>
      <x:c r="C13" s="46" t="str">
        <x:v>只有马上回应才被认为在意，延迟或错峰被视为冷淡。</x:v>
      </x:c>
      <x:c r="D13" s="46" t="str">
        <x:v>确认回馈时间、领域和现实条件。</x:v>
      </x:c>
      <x:c r="E13" s="46" t="str">
        <x:v>回馈可以错峰，但必须有清楚的时间结构和真实回流。</x:v>
      </x:c>
    </x:row>
    <x:row r="14">
      <x:c r="A14" s="46" t="str">
        <x:v>EB09</x:v>
      </x:c>
      <x:c r="B14" s="46" t="str">
        <x:v>物质／行动补偿等于情绪修复</x:v>
      </x:c>
      <x:c r="C14" s="46" t="str">
        <x:v>礼物、帮忙、解决问题被当成影响已经被理解。</x:v>
      </x:c>
      <x:c r="D14" s="46" t="str">
        <x:v>分别完成情绪、责任、边界和现实调整。</x:v>
      </x:c>
      <x:c r="E14" s="46" t="str">
        <x:v>补偿可能有价值，但不能替代接收反馈和关系修复。</x:v>
      </x:c>
    </x:row>
    <x:row r="15">
      <x:c r="A15" s="47" t="str">
        <x:v>EB10</x:v>
      </x:c>
      <x:c r="B15" s="47" t="str">
        <x:v>暂时不对称等于长期模式</x:v>
      </x:c>
      <x:c r="C15" s="47" t="str">
        <x:v>疾病、工作、育儿或危机期的负荷差异被固化为人格判断。</x:v>
      </x:c>
      <x:c r="D15" s="47" t="str">
        <x:v>区分阶段不对称、重订点和恢复后的结构。</x:v>
      </x:c>
      <x:c r="E15" s="47" t="str">
        <x:v>某个阶段承担更多，不等于长期都必须如此。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4d3009b74f4b4e6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32" hidden="0" customWidth="1"/>
    <x:col min="5" max="5" width="52" hidden="0" customWidth="1"/>
  </x:cols>
  <x:sheetData>
    <x:row r="1">
      <x:c r="A1" s="9" t="str">
        <x:v>XD01—XD10 交换领域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一个领域表现好不能自动覆盖全部；不同领域的投入也不能自动互抵。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领域</x:v>
      </x:c>
      <x:c r="C5" s="35" t="str">
        <x:v>内容</x:v>
      </x:c>
      <x:c r="D5" s="35" t="str">
        <x:v>常见通道</x:v>
      </x:c>
      <x:c r="E5" s="35" t="str">
        <x:v>关键观察</x:v>
      </x:c>
    </x:row>
    <x:row r="6">
      <x:c r="A6" s="46" t="str">
        <x:v>XD01</x:v>
      </x:c>
      <x:c r="B6" s="46" t="str">
        <x:v>情绪倾听与安抚</x:v>
      </x:c>
      <x:c r="C6" s="46" t="str">
        <x:v>感受被听见、被理解、被安抚和被允许存在。</x:v>
      </x:c>
      <x:c r="D6" s="46" t="str">
        <x:v>EC03、EC09、EC10</x:v>
      </x:c>
      <x:c r="E6" s="46" t="str">
        <x:v>是否能请求、接收、回应并转向现实下一步。</x:v>
      </x:c>
    </x:row>
    <x:row r="7">
      <x:c r="A7" s="46" t="str">
        <x:v>XD02</x:v>
      </x:c>
      <x:c r="B7" s="46" t="str">
        <x:v>表达、信息与反馈</x:v>
      </x:c>
      <x:c r="C7" s="46" t="str">
        <x:v>事实、观点、需要、复述理解和调整。</x:v>
      </x:c>
      <x:c r="D7" s="46" t="str">
        <x:v>EC01、EC04</x:v>
      </x:c>
      <x:c r="E7" s="46" t="str">
        <x:v>是否双向，是否根据反馈改变。</x:v>
      </x:c>
    </x:row>
    <x:row r="8">
      <x:c r="A8" s="46" t="str">
        <x:v>XD03</x:v>
      </x:c>
      <x:c r="B8" s="46" t="str">
        <x:v>时间、陪伴与关系维护</x:v>
      </x:c>
      <x:c r="C8" s="46" t="str">
        <x:v>联系、见面、陪伴、共同时间和持续关注。</x:v>
      </x:c>
      <x:c r="D8" s="46" t="str">
        <x:v>EC03、EC05</x:v>
      </x:c>
      <x:c r="E8" s="46" t="str">
        <x:v>投入是否可预测，时间变化时能否重订。</x:v>
      </x:c>
    </x:row>
    <x:row r="9">
      <x:c r="A9" s="46" t="str">
        <x:v>XD04</x:v>
      </x:c>
      <x:c r="B9" s="46" t="str">
        <x:v>家务、事务与照护劳动</x:v>
      </x:c>
      <x:c r="C9" s="46" t="str">
        <x:v>家务、行政、照护、计划、执行和日常管理。</x:v>
      </x:c>
      <x:c r="D9" s="46" t="str">
        <x:v>EC02、EC05、EC07</x:v>
      </x:c>
      <x:c r="E9" s="46" t="str">
        <x:v>负荷是否可见、可分配、可轮换。</x:v>
      </x:c>
    </x:row>
    <x:row r="10">
      <x:c r="A10" s="46" t="str">
        <x:v>XD05</x:v>
      </x:c>
      <x:c r="B10" s="46" t="str">
        <x:v>金钱、物质与资源</x:v>
      </x:c>
      <x:c r="C10" s="46" t="str">
        <x:v>金钱、礼物、住房、交通、人脉和机会。</x:v>
      </x:c>
      <x:c r="D10" s="46" t="str">
        <x:v>EC05、EC06</x:v>
      </x:c>
      <x:c r="E10" s="46" t="str">
        <x:v>资源是否透明、自愿、不形成控制。</x:v>
      </x:c>
    </x:row>
    <x:row r="11">
      <x:c r="A11" s="46" t="str">
        <x:v>XD06</x:v>
      </x:c>
      <x:c r="B11" s="46" t="str">
        <x:v>决定、承诺与责任</x:v>
      </x:c>
      <x:c r="C11" s="46" t="str">
        <x:v>共同决定、角色、承诺、规则和责任承担。</x:v>
      </x:c>
      <x:c r="D11" s="46" t="str">
        <x:v>EC01、EC07、EC08</x:v>
      </x:c>
      <x:c r="E11" s="46" t="str">
        <x:v>是否保留同意、问责和重订机制。</x:v>
      </x:c>
    </x:row>
    <x:row r="12">
      <x:c r="A12" s="46" t="str">
        <x:v>XD07</x:v>
      </x:c>
      <x:c r="B12" s="46" t="str">
        <x:v>危机行动与保护</x:v>
      </x:c>
      <x:c r="C12" s="46" t="str">
        <x:v>突发事件、风险处理、止损和关键行动。</x:v>
      </x:c>
      <x:c r="D12" s="46" t="str">
        <x:v>EC02、EC08</x:v>
      </x:c>
      <x:c r="E12" s="46" t="str">
        <x:v>紧急授权是否清楚，事后是否归还参与权。</x:v>
      </x:c>
    </x:row>
    <x:row r="13">
      <x:c r="A13" s="46" t="str">
        <x:v>XD08</x:v>
      </x:c>
      <x:c r="B13" s="46" t="str">
        <x:v>亲密、身体、隐私与空间</x:v>
      </x:c>
      <x:c r="C13" s="46" t="str">
        <x:v>身体边界、亲密节奏、隐私、独处和暂停。</x:v>
      </x:c>
      <x:c r="D13" s="46" t="str">
        <x:v>EC01、EC09、EC10</x:v>
      </x:c>
      <x:c r="E13" s="46" t="str">
        <x:v>是否自愿、可停止、有最低连接和回归。</x:v>
      </x:c>
    </x:row>
    <x:row r="14">
      <x:c r="A14" s="46" t="str">
        <x:v>XD09</x:v>
      </x:c>
      <x:c r="B14" s="46" t="str">
        <x:v>学习、认知与成长支持</x:v>
      </x:c>
      <x:c r="C14" s="46" t="str">
        <x:v>信息、建议、技能、职业学习和共同成长。</x:v>
      </x:c>
      <x:c r="D14" s="46" t="str">
        <x:v>EC04、EC09、EC10</x:v>
      </x:c>
      <x:c r="E14" s="46" t="str">
        <x:v>建议是否被请求，是否促进自主和现实行动。</x:v>
      </x:c>
    </x:row>
    <x:row r="15">
      <x:c r="A15" s="47" t="str">
        <x:v>XD10</x:v>
      </x:c>
      <x:c r="B15" s="47" t="str">
        <x:v>修复、补救与持续回访</x:v>
      </x:c>
      <x:c r="C15" s="47" t="str">
        <x:v>道歉、补救、分工调整、反馈和复发处理。</x:v>
      </x:c>
      <x:c r="D15" s="47" t="str">
        <x:v>EC04、EC05、EC07、EC09</x:v>
      </x:c>
      <x:c r="E15" s="47" t="str">
        <x:v>是否进入RN07、RN08并形成持续改变。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dd31e54d005a45f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52" hidden="0" customWidth="1"/>
    <x:col min="4" max="4" width="50" hidden="0" customWidth="1"/>
    <x:col min="5" max="5" width="46" hidden="0" customWidth="1"/>
  </x:cols>
  <x:sheetData>
    <x:row r="1">
      <x:c r="A1" s="9" t="str">
        <x:v>M3个人惯性如何进入M5双向交换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M3说明个人通道；M5还要加入对方回应、负荷、同意和回流。</x:v>
      </x:c>
      <x:c r="B3" s="24"/>
      <x:c r="C3" s="24"/>
      <x:c r="D3" s="24"/>
      <x:c r="E3" s="24"/>
      <x:c r="F3" s="24"/>
    </x:row>
    <x:row r="5">
      <x:c r="A5" s="35" t="str">
        <x:v>来源模块</x:v>
      </x:c>
      <x:c r="B5" s="35" t="str">
        <x:v>功能</x:v>
      </x:c>
      <x:c r="C5" s="35" t="str">
        <x:v>输入内容</x:v>
      </x:c>
      <x:c r="D5" s="35" t="str">
        <x:v>EXCHANGE路由</x:v>
      </x:c>
      <x:c r="E5" s="35" t="str">
        <x:v>边界</x:v>
      </x:c>
    </x:row>
    <x:row r="6">
      <x:c r="A6" s="46" t="str">
        <x:v>M3-EXPR</x:v>
      </x:c>
      <x:c r="B6" s="46" t="str">
        <x:v>表达与沟通</x:v>
      </x:c>
      <x:c r="C6" s="46" t="str">
        <x:v>用户怎样让感受、观点和需要可被接收</x:v>
      </x:c>
      <x:c r="D6" s="46" t="str">
        <x:v>检查EC04、ED02、ED04、EP01／EP02</x:v>
      </x:c>
      <x:c r="E6" s="46" t="str">
        <x:v>表达多不等于双向反馈</x:v>
      </x:c>
    </x:row>
    <x:row r="7">
      <x:c r="A7" s="46" t="str">
        <x:v>M3-CARE</x:v>
      </x:c>
      <x:c r="B7" s="46" t="str">
        <x:v>付出与支持</x:v>
      </x:c>
      <x:c r="C7" s="46" t="str">
        <x:v>用户怎样给予、请求、接受与回馈</x:v>
      </x:c>
      <x:c r="D7" s="46" t="str">
        <x:v>检查四向结构、EC01—EC10和EM模式</x:v>
      </x:c>
      <x:c r="E7" s="46" t="str">
        <x:v>会给予不等于会请求或接收</x:v>
      </x:c>
    </x:row>
    <x:row r="8">
      <x:c r="A8" s="46" t="str">
        <x:v>M3-BOUND</x:v>
      </x:c>
      <x:c r="B8" s="46" t="str">
        <x:v>边界与自主</x:v>
      </x:c>
      <x:c r="C8" s="46" t="str">
        <x:v>帮助、共享、空间和决定权怎样组织</x:v>
      </x:c>
      <x:c r="D8" s="46" t="str">
        <x:v>检查ED08、EM10、XD08</x:v>
      </x:c>
      <x:c r="E8" s="46" t="str">
        <x:v>支持不能越过同意</x:v>
      </x:c>
    </x:row>
    <x:row r="9">
      <x:c r="A9" s="46" t="str">
        <x:v>M3-CONFLICT</x:v>
      </x:c>
      <x:c r="B9" s="46" t="str">
        <x:v>分歧处理</x:v>
      </x:c>
      <x:c r="C9" s="46" t="str">
        <x:v>不同意见时功能进入顺序</x:v>
      </x:c>
      <x:c r="D9" s="46" t="str">
        <x:v>检查SC分歧、EM11、EP05／EP08</x:v>
      </x:c>
      <x:c r="E9" s="46" t="str">
        <x:v>平稳期互惠不代表冲突时仍成立</x:v>
      </x:c>
    </x:row>
    <x:row r="10">
      <x:c r="A10" s="47" t="str">
        <x:v>M3-BASE</x:v>
      </x:c>
      <x:c r="B10" s="47" t="str">
        <x:v>关系运行底盘</x:v>
      </x:c>
      <x:c r="C10" s="47" t="str">
        <x:v>亲密关系最自然的功能主题</x:v>
      </x:c>
      <x:c r="D10" s="47" t="str">
        <x:v>作为主EC背景，不重复基础权重</x:v>
      </x:c>
      <x:c r="E10" s="47" t="str">
        <x:v>日支不等于具体对象人格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3fe82429475f41e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6" hidden="0" customWidth="1"/>
    <x:col min="3" max="3" width="54" hidden="0" customWidth="1"/>
    <x:col min="4" max="4" width="30" hidden="0" customWidth="1"/>
  </x:cols>
  <x:sheetData>
    <x:row r="1">
      <x:c r="A1" s="9" t="str">
        <x:v>M4盲点、循环、修复与保护怎样转成交换任务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不重复描述风险，而是明确哪项交换步骤需要补上。</x:v>
      </x:c>
      <x:c r="B3" s="24"/>
      <x:c r="C3" s="24"/>
      <x:c r="D3" s="24"/>
      <x:c r="E3" s="24"/>
      <x:c r="F3" s="24"/>
    </x:row>
    <x:row r="5">
      <x:c r="A5" s="35" t="str">
        <x:v>M4来源</x:v>
      </x:c>
      <x:c r="B5" s="35" t="str">
        <x:v>交换缺口</x:v>
      </x:c>
      <x:c r="C5" s="35" t="str">
        <x:v>适配任务</x:v>
      </x:c>
      <x:c r="D5" s="35" t="str">
        <x:v>优先路径</x:v>
      </x:c>
    </x:row>
    <x:row r="6">
      <x:c r="A6" s="46" t="str">
        <x:v>LP02 解释升级</x:v>
      </x:c>
      <x:c r="B6" s="46" t="str">
        <x:v>EC04只有输出、ED04回应失败</x:v>
      </x:c>
      <x:c r="C6" s="46" t="str">
        <x:v>建立复述、确认和调整</x:v>
      </x:c>
      <x:c r="D6" s="46" t="str">
        <x:v>EP01／EP02</x:v>
      </x:c>
    </x:row>
    <x:row r="7">
      <x:c r="A7" s="46" t="str">
        <x:v>LP05 承接替代改变</x:v>
      </x:c>
      <x:c r="B7" s="46" t="str">
        <x:v>EC09未转EC05／EC07</x:v>
      </x:c>
      <x:c r="C7" s="46" t="str">
        <x:v>理解后形成责任与现实调整</x:v>
      </x:c>
      <x:c r="D7" s="46" t="str">
        <x:v>EP02／EP04</x:v>
      </x:c>
    </x:row>
    <x:row r="8">
      <x:c r="A8" s="46" t="str">
        <x:v>LP06 投入记账</x:v>
      </x:c>
      <x:c r="B8" s="46" t="str">
        <x:v>ED01、ED02、ED06、ED07不足</x:v>
      </x:c>
      <x:c r="C8" s="46" t="str">
        <x:v>看见贡献、说出需要、重订负荷</x:v>
      </x:c>
      <x:c r="D8" s="46" t="str">
        <x:v>EP08</x:v>
      </x:c>
    </x:row>
    <x:row r="9">
      <x:c r="A9" s="46" t="str">
        <x:v>LP08 平等竞争</x:v>
      </x:c>
      <x:c r="B9" s="46" t="str">
        <x:v>EC01变机械对等或争主导</x:v>
      </x:c>
      <x:c r="C9" s="46" t="str">
        <x:v>区分平等、分工与共同决定</x:v>
      </x:c>
      <x:c r="D9" s="46" t="str">
        <x:v>EM03／EM10</x:v>
      </x:c>
    </x:row>
    <x:row r="10">
      <x:c r="A10" s="46" t="str">
        <x:v>LP09 规则反弹</x:v>
      </x:c>
      <x:c r="B10" s="46" t="str">
        <x:v>EC07缺少EC01／EC04反馈</x:v>
      </x:c>
      <x:c r="C10" s="46" t="str">
        <x:v>规则共同制定、复核与更新</x:v>
      </x:c>
      <x:c r="D10" s="46" t="str">
        <x:v>EP04</x:v>
      </x:c>
    </x:row>
    <x:row r="11">
      <x:c r="A11" s="46" t="str">
        <x:v>LP10 新鲜落地</x:v>
      </x:c>
      <x:c r="B11" s="46" t="str">
        <x:v>EC06未转EC05／EC07</x:v>
      </x:c>
      <x:c r="C11" s="46" t="str">
        <x:v>体验转持续安排与责任</x:v>
      </x:c>
      <x:c r="D11" s="46" t="str">
        <x:v>EM08／EM09</x:v>
      </x:c>
    </x:row>
    <x:row r="12">
      <x:c r="A12" s="46" t="str">
        <x:v>LP11 暂停断链</x:v>
      </x:c>
      <x:c r="B12" s="46" t="str">
        <x:v>EC10缺回归路径</x:v>
      </x:c>
      <x:c r="C12" s="46" t="str">
        <x:v>最低连接、回归点和重新开放</x:v>
      </x:c>
      <x:c r="D12" s="46" t="str">
        <x:v>EP06</x:v>
      </x:c>
    </x:row>
    <x:row r="13">
      <x:c r="A13" s="46" t="str">
        <x:v>LP12 修复不闭环</x:v>
      </x:c>
      <x:c r="B13" s="46" t="str">
        <x:v>ED10、RN07、RN08不足</x:v>
      </x:c>
      <x:c r="C13" s="46" t="str">
        <x:v>接收反馈、改变、回访</x:v>
      </x:c>
      <x:c r="D13" s="46" t="str">
        <x:v>EP08</x:v>
      </x:c>
    </x:row>
    <x:row r="14">
      <x:c r="A14" s="47" t="str">
        <x:v>BF达到BL5+</x:v>
      </x:c>
      <x:c r="B14" s="47" t="str">
        <x:v>保护现实改变同一风险链</x:v>
      </x:c>
      <x:c r="C14" s="47" t="str">
        <x:v>提高对应ED／EP状态但不删除历史风险</x:v>
      </x:c>
      <x:c r="D14" s="47" t="str">
        <x:v>buffer_exchange_relation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85efe9634d57401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52" hidden="0" customWidth="1"/>
    <x:col min="5" max="5" width="50" hidden="0" customWidth="1"/>
    <x:col min="6" max="6" width="52" hidden="0" customWidth="1"/>
  </x:cols>
  <x:sheetData>
    <x:row r="1">
      <x:c r="A1" s="9" t="str">
        <x:v>状态修正、接口、同源去重与停止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先执行高优先级门控，再生成交换结构。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何时使用</x:v>
      </x:c>
      <x:c r="E5" s="35" t="str">
        <x:v>停止／排除</x:v>
      </x:c>
      <x:c r="F5" s="35" t="str">
        <x:v>用户语言</x:v>
      </x:c>
    </x:row>
    <x:row r="6">
      <x:c r="A6" s="46" t="str">
        <x:v>M5-EXCHANGE-395</x:v>
      </x:c>
      <x:c r="B6" s="46" t="str">
        <x:v>M5-BASE主FN转主EC</x:v>
      </x:c>
      <x:c r="C6" s="46" t="str">
        <x:v>接口</x:v>
      </x:c>
      <x:c r="D6" s="46" t="str">
        <x:v>M5-BASE主FN可靠。</x:v>
      </x:c>
      <x:c r="E6" s="46" t="str">
        <x:v>直接改换为另一显眼通道。</x:v>
      </x:c>
      <x:c r="F6" s="46" t="str">
        <x:v>主交换通道先从你的核心适配需要出发。</x:v>
      </x:c>
    </x:row>
    <x:row r="7">
      <x:c r="A7" s="46" t="str">
        <x:v>M5-EXCHANGE-396</x:v>
      </x:c>
      <x:c r="B7" s="46" t="str">
        <x:v>M5-BASE次FN转次EC</x:v>
      </x:c>
      <x:c r="C7" s="46" t="str">
        <x:v>接口</x:v>
      </x:c>
      <x:c r="D7" s="46" t="str">
        <x:v>次FN来源独立、功能不同。</x:v>
      </x:c>
      <x:c r="E7" s="46" t="str">
        <x:v>同义重复或正文超过一次。</x:v>
      </x:c>
      <x:c r="F7" s="46" t="str">
        <x:v>次级交换条件只保留一项真正不同的支持。</x:v>
      </x:c>
    </x:row>
    <x:row r="8">
      <x:c r="A8" s="46" t="str">
        <x:v>M5-EXCHANGE-397</x:v>
      </x:c>
      <x:c r="B8" s="46" t="str">
        <x:v>M5-PARTNER PS状态接口</x:v>
      </x:c>
      <x:c r="C8" s="46" t="str">
        <x:v>接口</x:v>
      </x:c>
      <x:c r="D8" s="46" t="str">
        <x:v>具体对象PS状态可用。</x:v>
      </x:c>
      <x:c r="E8" s="46" t="str">
        <x:v>把个人成熟直接写成双人交换成熟。</x:v>
      </x:c>
      <x:c r="F8" s="46" t="str">
        <x:v>对方有能力，还要看你们能不能把这项能力交换起来。</x:v>
      </x:c>
    </x:row>
    <x:row r="9">
      <x:c r="A9" s="46" t="str">
        <x:v>M5-EXCHANGE-398</x:v>
      </x:c>
      <x:c r="B9" s="46" t="str">
        <x:v>M5-PARTNER PV与XV分开</x:v>
      </x:c>
      <x:c r="C9" s="46" t="str">
        <x:v>去重</x:v>
      </x:c>
      <x:c r="D9" s="46" t="str">
        <x:v>PV资料可用。</x:v>
      </x:c>
      <x:c r="E9" s="46" t="str">
        <x:v>把个人PV直接等同双人XV。</x:v>
      </x:c>
      <x:c r="F9" s="46" t="str">
        <x:v>一个人做得好，不等于双方交换已经成熟。</x:v>
      </x:c>
    </x:row>
    <x:row r="10">
      <x:c r="A10" s="46" t="str">
        <x:v>M5-EXCHANGE-399</x:v>
      </x:c>
      <x:c r="B10" s="46" t="str">
        <x:v>M3-EXPR接口｜表达必须进入反馈</x:v>
      </x:c>
      <x:c r="C10" s="46" t="str">
        <x:v>接口</x:v>
      </x:c>
      <x:c r="D10" s="46" t="str">
        <x:v>M3表达通道明显。</x:v>
      </x:c>
      <x:c r="E10" s="46" t="str">
        <x:v>把表达多直接等同沟通互惠。</x:v>
      </x:c>
      <x:c r="F10" s="46" t="str">
        <x:v>表达只有进入反馈，才形成双向沟通。</x:v>
      </x:c>
    </x:row>
    <x:row r="11">
      <x:c r="A11" s="46" t="str">
        <x:v>M5-EXCHANGE-400</x:v>
      </x:c>
      <x:c r="B11" s="46" t="str">
        <x:v>M3-CARE接口｜给予请求接收分开</x:v>
      </x:c>
      <x:c r="C11" s="46" t="str">
        <x:v>接口</x:v>
      </x:c>
      <x:c r="D11" s="46" t="str">
        <x:v>M3-CARE结果可用。</x:v>
      </x:c>
      <x:c r="E11" s="46" t="str">
        <x:v>只根据用户给予方式判断双方互惠。</x:v>
      </x:c>
      <x:c r="F11" s="46" t="str">
        <x:v>你怎么付出是一部分，还要看能不能开口需要、接住支持和形成回流。</x:v>
      </x:c>
    </x:row>
    <x:row r="12">
      <x:c r="A12" s="46" t="str">
        <x:v>M5-EXCHANGE-401</x:v>
      </x:c>
      <x:c r="B12" s="46" t="str">
        <x:v>M3-BOUND接口｜交换必须保留选择权</x:v>
      </x:c>
      <x:c r="C12" s="46" t="str">
        <x:v>接口</x:v>
      </x:c>
      <x:c r="D12" s="46" t="str">
        <x:v>M3-BOUND结果可用。</x:v>
      </x:c>
      <x:c r="E12" s="46" t="str">
        <x:v>用帮助、保护或资源覆盖同意和边界。</x:v>
      </x:c>
      <x:c r="F12" s="46" t="str">
        <x:v>支持越多，越需要确认边界和选择权仍然存在。</x:v>
      </x:c>
    </x:row>
    <x:row r="13">
      <x:c r="A13" s="46" t="str">
        <x:v>M5-EXCHANGE-402</x:v>
      </x:c>
      <x:c r="B13" s="46" t="str">
        <x:v>M3-CONFLICT接口｜分歧中的交换</x:v>
      </x:c>
      <x:c r="C13" s="46" t="str">
        <x:v>接口</x:v>
      </x:c>
      <x:c r="D13" s="46" t="str">
        <x:v>M3-CONFLICT结果可用。</x:v>
      </x:c>
      <x:c r="E13" s="46" t="str">
        <x:v>只看平稳期互惠。</x:v>
      </x:c>
      <x:c r="F13" s="46" t="str">
        <x:v>真正的交换能力要看意见不同以后还能否运行。</x:v>
      </x:c>
    </x:row>
    <x:row r="14">
      <x:c r="A14" s="46" t="str">
        <x:v>M5-EXCHANGE-403</x:v>
      </x:c>
      <x:c r="B14" s="46" t="str">
        <x:v>M4 LP02解释升级路由</x:v>
      </x:c>
      <x:c r="C14" s="46" t="str">
        <x:v>接口</x:v>
      </x:c>
      <x:c r="D14" s="46" t="str">
        <x:v>LP02或K01/K03现实候选成立。</x:v>
      </x:c>
      <x:c r="E14" s="46" t="str">
        <x:v>没有对方反馈或复发资料。</x:v>
      </x:c>
      <x:c r="F14" s="46" t="str">
        <x:v>要看沟通是否真的有来有回，而不是一方不断增加解释。</x:v>
      </x:c>
    </x:row>
    <x:row r="15">
      <x:c r="A15" s="46" t="str">
        <x:v>M5-EXCHANGE-404</x:v>
      </x:c>
      <x:c r="B15" s="46" t="str">
        <x:v>M4 LP05承接替代改变路由</x:v>
      </x:c>
      <x:c r="C15" s="46" t="str">
        <x:v>接口</x:v>
      </x:c>
      <x:c r="D15" s="46" t="str">
        <x:v>LP05或K03/K06候选成立。</x:v>
      </x:c>
      <x:c r="E15" s="46" t="str">
        <x:v>只有一次安抚事件。</x:v>
      </x:c>
      <x:c r="F15" s="46" t="str">
        <x:v>被理解之后，还要看责任和现实调整是否进入。</x:v>
      </x:c>
    </x:row>
    <x:row r="16">
      <x:c r="A16" s="46" t="str">
        <x:v>M5-EXCHANGE-405</x:v>
      </x:c>
      <x:c r="B16" s="46" t="str">
        <x:v>M4 LP06投入记账路由</x:v>
      </x:c>
      <x:c r="C16" s="46" t="str">
        <x:v>接口</x:v>
      </x:c>
      <x:c r="D16" s="46" t="str">
        <x:v>LP06或K01/K07候选成立。</x:v>
      </x:c>
      <x:c r="E16" s="46" t="str">
        <x:v>没有长期负荷与反馈资料。</x:v>
      </x:c>
      <x:c r="F16" s="46" t="str">
        <x:v>真正要看的不是谁付出更多，而是贡献是否被看见、请求是否清楚、负荷能否重订。</x:v>
      </x:c>
    </x:row>
    <x:row r="17">
      <x:c r="A17" s="46" t="str">
        <x:v>M5-EXCHANGE-406</x:v>
      </x:c>
      <x:c r="B17" s="46" t="str">
        <x:v>M4 LP08平等竞争路由</x:v>
      </x:c>
      <x:c r="C17" s="46" t="str">
        <x:v>接口</x:v>
      </x:c>
      <x:c r="D17" s="46" t="str">
        <x:v>LP08或K05候选成立。</x:v>
      </x:c>
      <x:c r="E17" s="46" t="str">
        <x:v>没有双方比较、争主导或责任冲突。</x:v>
      </x:c>
      <x:c r="F17" s="46" t="str">
        <x:v>平等不是逐项比较，而是双方都能参与并调整分工。</x:v>
      </x:c>
    </x:row>
    <x:row r="18">
      <x:c r="A18" s="46" t="str">
        <x:v>M5-EXCHANGE-407</x:v>
      </x:c>
      <x:c r="B18" s="46" t="str">
        <x:v>M4 LP09规则反弹路由</x:v>
      </x:c>
      <x:c r="C18" s="46" t="str">
        <x:v>接口</x:v>
      </x:c>
      <x:c r="D18" s="46" t="str">
        <x:v>LP09或K01/K07候选成立。</x:v>
      </x:c>
      <x:c r="E18" s="46" t="str">
        <x:v>规则已共同制定并现实有效。</x:v>
      </x:c>
      <x:c r="F18" s="46" t="str">
        <x:v>规则需要共同制定和复核，不能只靠增加要求。</x:v>
      </x:c>
    </x:row>
    <x:row r="19">
      <x:c r="A19" s="46" t="str">
        <x:v>M5-EXCHANGE-408</x:v>
      </x:c>
      <x:c r="B19" s="46" t="str">
        <x:v>M4 LP10新鲜落地路由</x:v>
      </x:c>
      <x:c r="C19" s="46" t="str">
        <x:v>接口</x:v>
      </x:c>
      <x:c r="D19" s="46" t="str">
        <x:v>LP10或K06候选成立。</x:v>
      </x:c>
      <x:c r="E19" s="46" t="str">
        <x:v>XV4以上已显示体验转稳定安排。</x:v>
      </x:c>
      <x:c r="F19" s="46" t="str">
        <x:v>有感觉之后，还要看能不能转成持续安排和责任。</x:v>
      </x:c>
    </x:row>
    <x:row r="20">
      <x:c r="A20" s="46" t="str">
        <x:v>M5-EXCHANGE-409</x:v>
      </x:c>
      <x:c r="B20" s="46" t="str">
        <x:v>M4 LP11暂停断链路由</x:v>
      </x:c>
      <x:c r="C20" s="46" t="str">
        <x:v>接口</x:v>
      </x:c>
      <x:c r="D20" s="46" t="str">
        <x:v>LP11或K06/K08候选成立。</x:v>
      </x:c>
      <x:c r="E20" s="46" t="str">
        <x:v>已有明确回归点并稳定执行。</x:v>
      </x:c>
      <x:c r="F20" s="46" t="str">
        <x:v>空间要有最低连接和回来方式，才能继续成为支持。</x:v>
      </x:c>
    </x:row>
    <x:row r="21">
      <x:c r="A21" s="46" t="str">
        <x:v>M5-EXCHANGE-410</x:v>
      </x:c>
      <x:c r="B21" s="46" t="str">
        <x:v>M4 LP12修复不闭环路由</x:v>
      </x:c>
      <x:c r="C21" s="46" t="str">
        <x:v>接口</x:v>
      </x:c>
      <x:c r="D21" s="46" t="str">
        <x:v>LP12或K08候选成立。</x:v>
      </x:c>
      <x:c r="E21" s="46" t="str">
        <x:v>RN07/RN08已现实完成。</x:v>
      </x:c>
      <x:c r="F21" s="46" t="str">
        <x:v>和好之后，还要看反馈、改变和回访是否完成。</x:v>
      </x:c>
    </x:row>
    <x:row r="22">
      <x:c r="A22" s="46" t="str">
        <x:v>M5-EXCHANGE-411</x:v>
      </x:c>
      <x:c r="B22" s="46" t="str">
        <x:v>M4 RN07接收反馈接口</x:v>
      </x:c>
      <x:c r="C22" s="46" t="str">
        <x:v>接口</x:v>
      </x:c>
      <x:c r="D22" s="46" t="str">
        <x:v>修复事件进入RN07。</x:v>
      </x:c>
      <x:c r="E22" s="46" t="str">
        <x:v>只有道歉、解释或补偿。</x:v>
      </x:c>
      <x:c r="F22" s="46" t="str">
        <x:v>没有接收反馈，就不能说双方已经完成修复。</x:v>
      </x:c>
    </x:row>
    <x:row r="23">
      <x:c r="A23" s="46" t="str">
        <x:v>M5-EXCHANGE-412</x:v>
      </x:c>
      <x:c r="B23" s="46" t="str">
        <x:v>M4 RN08持续兑现接口</x:v>
      </x:c>
      <x:c r="C23" s="46" t="str">
        <x:v>接口</x:v>
      </x:c>
      <x:c r="D23" s="46" t="str">
        <x:v>修复事件进入RN08。</x:v>
      </x:c>
      <x:c r="E23" s="46" t="str">
        <x:v>只有一次改善。</x:v>
      </x:c>
      <x:c r="F23" s="46" t="str">
        <x:v>没有持续兑现和回访，就不能说交换已经稳定。</x:v>
      </x:c>
    </x:row>
    <x:row r="24">
      <x:c r="A24" s="46" t="str">
        <x:v>M5-EXCHANGE-413</x:v>
      </x:c>
      <x:c r="B24" s="46" t="str">
        <x:v>M4 BF保护接口</x:v>
      </x:c>
      <x:c r="C24" s="46" t="str">
        <x:v>接口</x:v>
      </x:c>
      <x:c r="D24" s="46" t="str">
        <x:v>BF达到BL5以上并改变同一风险链。</x:v>
      </x:c>
      <x:c r="E24" s="46" t="str">
        <x:v>只有BL1—BL3潜在资源。</x:v>
      </x:c>
      <x:c r="F24" s="46" t="str">
        <x:v>已经有效的保护经验可以保留，但仍要看能否重复。</x:v>
      </x:c>
    </x:row>
    <x:row r="25">
      <x:c r="A25" s="46" t="str">
        <x:v>M5-EXCHANGE-414</x:v>
      </x:c>
      <x:c r="B25" s="46" t="str">
        <x:v>同一行为多维度不重复加分</x:v>
      </x:c>
      <x:c r="C25" s="46" t="str">
        <x:v>去重</x:v>
      </x:c>
      <x:c r="D25" s="46" t="str">
        <x:v>一个事件同时支持多个ED、XD或EP。</x:v>
      </x:c>
      <x:c r="E25" s="46" t="str">
        <x:v>不同event_id或跨场景重复。</x:v>
      </x:c>
      <x:c r="F25" s="46" t="str">
        <x:v>同一件事可以说明多个方面，但不会自动变成多次证据。</x:v>
      </x:c>
    </x:row>
    <x:row r="26">
      <x:c r="A26" s="46" t="str">
        <x:v>M5-EXCHANGE-415</x:v>
      </x:c>
      <x:c r="B26" s="46" t="str">
        <x:v>同一贡献跨描述收敛</x:v>
      </x:c>
      <x:c r="C26" s="46" t="str">
        <x:v>去重</x:v>
      </x:c>
      <x:c r="D26" s="46" t="str">
        <x:v>同一投入被描述为时间、照顾、责任等多个标签。</x:v>
      </x:c>
      <x:c r="E26" s="46" t="str">
        <x:v>确有不同领域和独立代价。</x:v>
      </x:c>
      <x:c r="F26" s="46" t="str">
        <x:v>先看具体做了什么，避免把同一份投入重复计算。</x:v>
      </x:c>
    </x:row>
    <x:row r="27">
      <x:c r="A27" s="46" t="str">
        <x:v>M5-EXCHANGE-416</x:v>
      </x:c>
      <x:c r="B27" s="46" t="str">
        <x:v>正偏同系统先收敛</x:v>
      </x:c>
      <x:c r="C27" s="46" t="str">
        <x:v>去重</x:v>
      </x:c>
      <x:c r="D27" s="46" t="str">
        <x:v>同系统两个EC同时命中。</x:v>
      </x:c>
      <x:c r="E27" s="46" t="str">
        <x:v>来源独立且任务不同。</x:v>
      </x:c>
      <x:c r="F27" s="46" t="str">
        <x:v>先看共同交换功能，再看它以什么风格发生。</x:v>
      </x:c>
    </x:row>
    <x:row r="28">
      <x:c r="A28" s="46" t="str">
        <x:v>M5-EXCHANGE-417</x:v>
      </x:c>
      <x:c r="B28" s="46" t="str">
        <x:v>跨领域补偿不能自动抵消</x:v>
      </x:c>
      <x:c r="C28" s="46" t="str">
        <x:v>边界</x:v>
      </x:c>
      <x:c r="D28" s="46" t="str">
        <x:v>一领域投入高，另一关键领域缺失。</x:v>
      </x:c>
      <x:c r="E28" s="46" t="str">
        <x:v>双方明确协商并接受替代。</x:v>
      </x:c>
      <x:c r="F28" s="46" t="str">
        <x:v>在一个领域付出很多，不能自动补上另一个领域的缺口。</x:v>
      </x:c>
    </x:row>
    <x:row r="29">
      <x:c r="A29" s="46" t="str">
        <x:v>M5-EXCHANGE-418</x:v>
      </x:c>
      <x:c r="B29" s="46" t="str">
        <x:v>角色分工必须可重订</x:v>
      </x:c>
      <x:c r="C29" s="46" t="str">
        <x:v>边界</x:v>
      </x:c>
      <x:c r="D29" s="46" t="str">
        <x:v>XR02或EM03候选。</x:v>
      </x:c>
      <x:c r="E29" s="46" t="str">
        <x:v>分工永久固定、只有一方有决定权。</x:v>
      </x:c>
      <x:c r="F29" s="46" t="str">
        <x:v>分工可以不同，但必须能够重新商量。</x:v>
      </x:c>
    </x:row>
    <x:row r="30">
      <x:c r="A30" s="46" t="str">
        <x:v>M5-EXCHANGE-419</x:v>
      </x:c>
      <x:c r="B30" s="46" t="str">
        <x:v>错峰互惠必须有回流点</x:v>
      </x:c>
      <x:c r="C30" s="46" t="str">
        <x:v>边界</x:v>
      </x:c>
      <x:c r="D30" s="46" t="str">
        <x:v>XR03或EM02候选。</x:v>
      </x:c>
      <x:c r="E30" s="46" t="str">
        <x:v>无限期等待或没有预期。</x:v>
      </x:c>
      <x:c r="F30" s="46" t="str">
        <x:v>不同步可以，但要知道以后怎样回来。</x:v>
      </x:c>
    </x:row>
    <x:row r="31">
      <x:c r="A31" s="46" t="str">
        <x:v>M5-EXCHANGE-420</x:v>
      </x:c>
      <x:c r="B31" s="46" t="str">
        <x:v>透干有根｜交换需求清楚稳定</x:v>
      </x:c>
      <x:c r="C31" s="46" t="str">
        <x:v>状态</x:v>
      </x:c>
      <x:c r="D31" s="46" t="str">
        <x:v>主EC来源透干有根。</x:v>
      </x:c>
      <x:c r="E31" s="46" t="str">
        <x:v>真合化或现实强反例。</x:v>
      </x:c>
      <x:c r="F31" s="46" t="str">
        <x:v>你通常较清楚自己需要怎样的支持和回馈。</x:v>
      </x:c>
    </x:row>
    <x:row r="32">
      <x:c r="A32" s="46" t="str">
        <x:v>M5-EXCHANGE-421</x:v>
      </x:c>
      <x:c r="B32" s="46" t="str">
        <x:v>藏而有根｜交换在熟悉后显现</x:v>
      </x:c>
      <x:c r="C32" s="46" t="str">
        <x:v>状态</x:v>
      </x:c>
      <x:c r="D32" s="46" t="str">
        <x:v>主EC来源藏支有根。</x:v>
      </x:c>
      <x:c r="E32" s="46" t="str">
        <x:v>弱远无助。</x:v>
      </x:c>
      <x:c r="F32" s="46" t="str">
        <x:v>这项交换需要可能在相处深入后更明显。</x:v>
      </x:c>
    </x:row>
    <x:row r="33">
      <x:c r="A33" s="46" t="str">
        <x:v>M5-EXCHANGE-422</x:v>
      </x:c>
      <x:c r="B33" s="46" t="str">
        <x:v>透干无根｜防外显互惠高估</x:v>
      </x:c>
      <x:c r="C33" s="46" t="str">
        <x:v>状态</x:v>
      </x:c>
      <x:c r="D33" s="46" t="str">
        <x:v>主EC来源透干无根。</x:v>
      </x:c>
      <x:c r="E33" s="46" t="str">
        <x:v>XV4以上现实证据已支持。</x:v>
      </x:c>
      <x:c r="F33" s="46" t="str">
        <x:v>交换看起来很明显，但还要看能否持续。</x:v>
      </x:c>
    </x:row>
    <x:row r="34">
      <x:c r="A34" s="46" t="str">
        <x:v>M5-EXCHANGE-423</x:v>
      </x:c>
      <x:c r="B34" s="46" t="str">
        <x:v>过旺失衡｜第二通道必须进入</x:v>
      </x:c>
      <x:c r="C34" s="46" t="str">
        <x:v>状态</x:v>
      </x:c>
      <x:c r="D34" s="46" t="str">
        <x:v>主EC过旺且M4有K01/K03/K05。</x:v>
      </x:c>
      <x:c r="E34" s="46" t="str">
        <x:v>有制有化并现实有效。</x:v>
      </x:c>
      <x:c r="F34" s="46" t="str">
        <x:v>重点不是让同一种付出更多，而是让另一项必要功能进来。</x:v>
      </x:c>
    </x:row>
    <x:row r="35">
      <x:c r="A35" s="46" t="str">
        <x:v>M5-EXCHANGE-424</x:v>
      </x:c>
      <x:c r="B35" s="46" t="str">
        <x:v>偏弱有助｜允许结构化补位</x:v>
      </x:c>
      <x:c r="C35" s="46" t="str">
        <x:v>状态</x:v>
      </x:c>
      <x:c r="D35" s="46" t="str">
        <x:v>主EC偏弱但有助、通关或工具支持。</x:v>
      </x:c>
      <x:c r="E35" s="46" t="str">
        <x:v>完全无助且现实反例强。</x:v>
      </x:c>
      <x:c r="F35" s="46" t="str">
        <x:v>不是天生擅长也没关系，愿意使用规则和工具仍可形成交换。</x:v>
      </x:c>
    </x:row>
    <x:row r="36">
      <x:c r="A36" s="46" t="str">
        <x:v>M5-EXCHANGE-425</x:v>
      </x:c>
      <x:c r="B36" s="46" t="str">
        <x:v>真合化成立｜替换EC路由</x:v>
      </x:c>
      <x:c r="C36" s="46" t="str">
        <x:v>状态</x:v>
      </x:c>
      <x:c r="D36" s="46" t="str">
        <x:v>真合化已由共享引擎确认。</x:v>
      </x:c>
      <x:c r="E36" s="46" t="str">
        <x:v>合而不化或争议。</x:v>
      </x:c>
      <x:c r="F36" s="46" t="str">
        <x:v>原来的交换画像需要按实际合化结果重新判断。</x:v>
      </x:c>
    </x:row>
    <x:row r="37">
      <x:c r="A37" s="46" t="str">
        <x:v>M5-EXCHANGE-426</x:v>
      </x:c>
      <x:c r="B37" s="46" t="str">
        <x:v>合冲刑害破｜只改交换节奏</x:v>
      </x:c>
      <x:c r="C37" s="46" t="str">
        <x:v>状态</x:v>
      </x:c>
      <x:c r="D37" s="46" t="str">
        <x:v>夫妻宫有合冲刑害破。</x:v>
      </x:c>
      <x:c r="E37" s="46" t="str">
        <x:v>用其直接断公平、背叛或关系失败。</x:v>
      </x:c>
      <x:c r="F37" s="46" t="str">
        <x:v>这些结构提醒你在哪些环节多协商，不直接说明谁付出更多。</x:v>
      </x:c>
    </x:row>
    <x:row r="38">
      <x:c r="A38" s="46" t="str">
        <x:v>M5-EXCHANGE-427</x:v>
      </x:c>
      <x:c r="B38" s="46" t="str">
        <x:v>阶段覆盖｜只提高当前负荷议题</x:v>
      </x:c>
      <x:c r="C38" s="46" t="str">
        <x:v>状态</x:v>
      </x:c>
      <x:c r="D38" s="46" t="str">
        <x:v>大运流年与XD领域一致。</x:v>
      </x:c>
      <x:c r="E38" s="46" t="str">
        <x:v>无原局需求或无现实情境。</x:v>
      </x:c>
      <x:c r="F38" s="46" t="str">
        <x:v>某个阶段会让资源和责任问题更明显，但仍要看现实行为。</x:v>
      </x:c>
    </x:row>
    <x:row r="39">
      <x:c r="A39" s="46" t="str">
        <x:v>M5-EXCHANGE-428</x:v>
      </x:c>
      <x:c r="B39" s="46" t="str">
        <x:v>安全风险停止普通交换分析</x:v>
      </x:c>
      <x:c r="C39" s="46" t="str">
        <x:v>安全</x:v>
      </x:c>
      <x:c r="D39" s="46" t="str">
        <x:v>存在PR0风险。</x:v>
      </x:c>
      <x:c r="E39" s="46" t="str">
        <x:v>无。</x:v>
      </x:c>
      <x:c r="F39" s="46" t="str">
        <x:v>先处理安全、同意和现实资源。</x:v>
      </x:c>
    </x:row>
    <x:row r="40">
      <x:c r="A40" s="46" t="str">
        <x:v>M5-EXCHANGE-429</x:v>
      </x:c>
      <x:c r="B40" s="46" t="str">
        <x:v>资料不足停止交换定性</x:v>
      </x:c>
      <x:c r="C40" s="46" t="str">
        <x:v>停止</x:v>
      </x:c>
      <x:c r="D40" s="46" t="str">
        <x:v>XV0—XV1或只有一方抽象评价。</x:v>
      </x:c>
      <x:c r="E40" s="46" t="str">
        <x:v>仅输出观察计划允许。</x:v>
      </x:c>
      <x:c r="F40" s="46" t="str">
        <x:v>目前先列出需要记录的完整交换事件。</x:v>
      </x:c>
    </x:row>
    <x:row r="41">
      <x:c r="A41" s="46" t="str">
        <x:v>M5-EXCHANGE-430</x:v>
      </x:c>
      <x:c r="B41" s="46" t="str">
        <x:v>强现实反例覆盖结构候选</x:v>
      </x:c>
      <x:c r="C41" s="46" t="str">
        <x:v>停止</x:v>
      </x:c>
      <x:c r="D41" s="46" t="str">
        <x:v>跨场景多次反例与EC/EM候选冲突。</x:v>
      </x:c>
      <x:c r="E41" s="46" t="str">
        <x:v>反例不可靠或已被持续修正。</x:v>
      </x:c>
      <x:c r="F41" s="46" t="str">
        <x:v>现实中反复做不到，就不要用理论替关系解释。</x:v>
      </x:c>
    </x:row>
    <x:row r="42">
      <x:c r="A42" s="47" t="str">
        <x:v>M5-EXCHANGE-431</x:v>
      </x:c>
      <x:c r="B42" s="47" t="str">
        <x:v>M5-SYNTH前不发布最终FG</x:v>
      </x:c>
      <x:c r="C42" s="47" t="str">
        <x:v>路由</x:v>
      </x:c>
      <x:c r="D42" s="47" t="str">
        <x:v>EXCHANGE模块完成。</x:v>
      </x:c>
      <x:c r="E42" s="47" t="str">
        <x:v>无。</x:v>
      </x:c>
      <x:c r="F42" s="47" t="str">
        <x:v>现在能说明交换怎样运行，最终适配等级还要综合其他现实门槛。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d9511228c7934e2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56" hidden="0" customWidth="1"/>
    <x:col min="5" max="5" width="24" hidden="0" customWidth="1"/>
    <x:col min="6" max="6" width="30" hidden="0" customWidth="1"/>
  </x:cols>
  <x:sheetData>
    <x:row r="1">
      <x:c r="A1" s="9" t="str">
        <x:v>主次通道、模式、状态、证据与最终FG路由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本模块不发布最终FG，只为M5-SYNTH准备交换证据。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成立条件</x:v>
      </x:c>
      <x:c r="E5" s="35" t="str">
        <x:v>分值／处理</x:v>
      </x:c>
      <x:c r="F5" s="35" t="str">
        <x:v>输出槽位</x:v>
      </x:c>
    </x:row>
    <x:row r="6">
      <x:c r="A6" s="46" t="str">
        <x:v>M5-EXCHANGE-432</x:v>
      </x:c>
      <x:c r="B6" s="46" t="str">
        <x:v>主交换通道门槛</x:v>
      </x:c>
      <x:c r="C6" s="46" t="str">
        <x:v>评分</x:v>
      </x:c>
      <x:c r="D6" s="46" t="str">
        <x:v>主EC来自PR1／PR2或M4主调节任务，至少两类独立来源，净分≥40且领先第二候选≥8。</x:v>
      </x:c>
      <x:c r="E6" s="46" t="str">
        <x:v>主通道候选 +40</x:v>
      </x:c>
      <x:c r="F6" s="46" t="str">
        <x:v>primary_exchange_channel</x:v>
      </x:c>
    </x:row>
    <x:row r="7">
      <x:c r="A7" s="46" t="str">
        <x:v>M5-EXCHANGE-433</x:v>
      </x:c>
      <x:c r="B7" s="46" t="str">
        <x:v>次交换通道门槛</x:v>
      </x:c>
      <x:c r="C7" s="46" t="str">
        <x:v>评分</x:v>
      </x:c>
      <x:c r="D7" s="46" t="str">
        <x:v>次EC净分≥28，来源独立、功能不同、非同义重复。</x:v>
      </x:c>
      <x:c r="E7" s="46" t="str">
        <x:v>次通道候选 +28</x:v>
      </x:c>
      <x:c r="F7" s="46" t="str">
        <x:v>secondary_exchange_channel</x:v>
      </x:c>
    </x:row>
    <x:row r="8">
      <x:c r="A8" s="46" t="str">
        <x:v>M5-EXCHANGE-434</x:v>
      </x:c>
      <x:c r="B8" s="46" t="str">
        <x:v>主交换模式门槛</x:v>
      </x:c>
      <x:c r="C8" s="46" t="str">
        <x:v>评分</x:v>
      </x:c>
      <x:c r="D8" s="46" t="str">
        <x:v>EM模式至少由一个EC、两个ED和一项现实双人证据支持。</x:v>
      </x:c>
      <x:c r="E8" s="46" t="str">
        <x:v>EM候选 +30</x:v>
      </x:c>
      <x:c r="F8" s="46" t="str">
        <x:v>exchange_mode</x:v>
      </x:c>
    </x:row>
    <x:row r="9">
      <x:c r="A9" s="46" t="str">
        <x:v>M5-EXCHANGE-435</x:v>
      </x:c>
      <x:c r="B9" s="46" t="str">
        <x:v>交换状态XR01门槛</x:v>
      </x:c>
      <x:c r="C9" s="46" t="str">
        <x:v>评分</x:v>
      </x:c>
      <x:c r="D9" s="46" t="str">
        <x:v>XV4以上，ED02、ED03、ED07、ED09至少三项可靠。</x:v>
      </x:c>
      <x:c r="E9" s="46" t="str">
        <x:v>XR01 +36</x:v>
      </x:c>
      <x:c r="F9" s="46" t="str">
        <x:v>exchange_state</x:v>
      </x:c>
    </x:row>
    <x:row r="10">
      <x:c r="A10" s="46" t="str">
        <x:v>M5-EXCHANGE-436</x:v>
      </x:c>
      <x:c r="B10" s="46" t="str">
        <x:v>交换状态XR02门槛</x:v>
      </x:c>
      <x:c r="C10" s="46" t="str">
        <x:v>评分</x:v>
      </x:c>
      <x:c r="D10" s="46" t="str">
        <x:v>XV3以上，角色分工知情、自愿、认可且可重订。</x:v>
      </x:c>
      <x:c r="E10" s="46" t="str">
        <x:v>XR02 +30</x:v>
      </x:c>
      <x:c r="F10" s="46" t="str">
        <x:v>exchange_state</x:v>
      </x:c>
    </x:row>
    <x:row r="11">
      <x:c r="A11" s="46" t="str">
        <x:v>M5-EXCHANGE-437</x:v>
      </x:c>
      <x:c r="B11" s="46" t="str">
        <x:v>交换状态XR03门槛</x:v>
      </x:c>
      <x:c r="C11" s="46" t="str">
        <x:v>评分</x:v>
      </x:c>
      <x:c r="D11" s="46" t="str">
        <x:v>XV4以上，错峰时间结构、回流领域和复核点清楚。</x:v>
      </x:c>
      <x:c r="E11" s="46" t="str">
        <x:v>XR03 +30</x:v>
      </x:c>
      <x:c r="F11" s="46" t="str">
        <x:v>exchange_state</x:v>
      </x:c>
    </x:row>
    <x:row r="12">
      <x:c r="A12" s="46" t="str">
        <x:v>M5-EXCHANGE-438</x:v>
      </x:c>
      <x:c r="B12" s="46" t="str">
        <x:v>交换状态XR04门槛</x:v>
      </x:c>
      <x:c r="C12" s="46" t="str">
        <x:v>评分</x:v>
      </x:c>
      <x:c r="D12" s="46" t="str">
        <x:v>XV3以上，成立条件和失效点明确。</x:v>
      </x:c>
      <x:c r="E12" s="46" t="str">
        <x:v>XR04 +24</x:v>
      </x:c>
      <x:c r="F12" s="46" t="str">
        <x:v>exchange_state</x:v>
      </x:c>
    </x:row>
    <x:row r="13">
      <x:c r="A13" s="46" t="str">
        <x:v>M5-EXCHANGE-439</x:v>
      </x:c>
      <x:c r="B13" s="46" t="str">
        <x:v>XR05单向可见门槛</x:v>
      </x:c>
      <x:c r="C13" s="46" t="str">
        <x:v>评分</x:v>
      </x:c>
      <x:c r="D13" s="46" t="str">
        <x:v>XV1—XV2且只有一侧资料，ED01未完成。</x:v>
      </x:c>
      <x:c r="E13" s="46" t="str">
        <x:v>XR05 路由</x:v>
      </x:c>
      <x:c r="F13" s="46" t="str">
        <x:v>exchange_state</x:v>
      </x:c>
    </x:row>
    <x:row r="14">
      <x:c r="A14" s="46" t="str">
        <x:v>M5-EXCHANGE-440</x:v>
      </x:c>
      <x:c r="B14" s="46" t="str">
        <x:v>XR06补偿替代门槛</x:v>
      </x:c>
      <x:c r="C14" s="46" t="str">
        <x:v>评分</x:v>
      </x:c>
      <x:c r="D14" s="46" t="str">
        <x:v>M4 K03/K06或EB09现实成立，提供功能与缺失功能不同。</x:v>
      </x:c>
      <x:c r="E14" s="46" t="str">
        <x:v>XR06 +24</x:v>
      </x:c>
      <x:c r="F14" s="46" t="str">
        <x:v>exchange_state</x:v>
      </x:c>
    </x:row>
    <x:row r="15">
      <x:c r="A15" s="46" t="str">
        <x:v>M5-EXCHANGE-441</x:v>
      </x:c>
      <x:c r="B15" s="46" t="str">
        <x:v>XR07长期单方负荷门槛</x:v>
      </x:c>
      <x:c r="C15" s="46" t="str">
        <x:v>评分</x:v>
      </x:c>
      <x:c r="D15" s="46" t="str">
        <x:v>XV4以上，调整请求出现后仍无回流，ED07/ED09失败且现实反例支持。</x:v>
      </x:c>
      <x:c r="E15" s="46" t="str">
        <x:v>XR07 +38</x:v>
      </x:c>
      <x:c r="F15" s="46" t="str">
        <x:v>exchange_state</x:v>
      </x:c>
    </x:row>
    <x:row r="16">
      <x:c r="A16" s="46" t="str">
        <x:v>M5-EXCHANGE-442</x:v>
      </x:c>
      <x:c r="B16" s="46" t="str">
        <x:v>XR08未定停止</x:v>
      </x:c>
      <x:c r="C16" s="46" t="str">
        <x:v>停止</x:v>
      </x:c>
      <x:c r="D16" s="46" t="str">
        <x:v>XV0—XV1、资料矛盾、合化争议或安全门控。</x:v>
      </x:c>
      <x:c r="E16" s="46" t="str">
        <x:v>停止／回退</x:v>
      </x:c>
      <x:c r="F16" s="46" t="str">
        <x:v>report_status</x:v>
      </x:c>
    </x:row>
    <x:row r="17">
      <x:c r="A17" s="46" t="str">
        <x:v>M5-EXCHANGE-443</x:v>
      </x:c>
      <x:c r="B17" s="46" t="str">
        <x:v>XV0—XV1发布上限</x:v>
      </x:c>
      <x:c r="C17" s="46" t="str">
        <x:v>边界</x:v>
      </x:c>
      <x:c r="D17" s="46" t="str">
        <x:v>只有需求、标签或单方自述。</x:v>
      </x:c>
      <x:c r="E17" s="46" t="str">
        <x:v>不加分</x:v>
      </x:c>
      <x:c r="F17" s="46" t="str">
        <x:v>exchange_evidence_level</x:v>
      </x:c>
    </x:row>
    <x:row r="18">
      <x:c r="A18" s="46" t="str">
        <x:v>M5-EXCHANGE-444</x:v>
      </x:c>
      <x:c r="B18" s="46" t="str">
        <x:v>XV2单次事件上限</x:v>
      </x:c>
      <x:c r="C18" s="46" t="str">
        <x:v>边界</x:v>
      </x:c>
      <x:c r="D18" s="46" t="str">
        <x:v>只有一个完整交换事件。</x:v>
      </x:c>
      <x:c r="E18" s="46" t="str">
        <x:v>不加分</x:v>
      </x:c>
      <x:c r="F18" s="46" t="str">
        <x:v>exchange_evidence_level</x:v>
      </x:c>
    </x:row>
    <x:row r="19">
      <x:c r="A19" s="46" t="str">
        <x:v>M5-EXCHANGE-445</x:v>
      </x:c>
      <x:c r="B19" s="46" t="str">
        <x:v>XV3同领域重复加权</x:v>
      </x:c>
      <x:c r="C19" s="46" t="str">
        <x:v>评分</x:v>
      </x:c>
      <x:c r="D19" s="46" t="str">
        <x:v>同一XD领域多次出现相似结构。</x:v>
      </x:c>
      <x:c r="E19" s="46" t="str">
        <x:v>+8</x:v>
      </x:c>
      <x:c r="F19" s="46" t="str">
        <x:v>exchange_evidence_level</x:v>
      </x:c>
    </x:row>
    <x:row r="20">
      <x:c r="A20" s="46" t="str">
        <x:v>M5-EXCHANGE-446</x:v>
      </x:c>
      <x:c r="B20" s="46" t="str">
        <x:v>XV4跨领域一致加权</x:v>
      </x:c>
      <x:c r="C20" s="46" t="str">
        <x:v>评分</x:v>
      </x:c>
      <x:c r="D20" s="46" t="str">
        <x:v>至少两个XD领域保持相似交换结构。</x:v>
      </x:c>
      <x:c r="E20" s="46" t="str">
        <x:v>+12</x:v>
      </x:c>
      <x:c r="F20" s="46" t="str">
        <x:v>exchange_evidence_level</x:v>
      </x:c>
    </x:row>
    <x:row r="21">
      <x:c r="A21" s="46" t="str">
        <x:v>M5-EXCHANGE-447</x:v>
      </x:c>
      <x:c r="B21" s="46" t="str">
        <x:v>XV5压力证据加权</x:v>
      </x:c>
      <x:c r="C21" s="46" t="str">
        <x:v>评分</x:v>
      </x:c>
      <x:c r="D21" s="46" t="str">
        <x:v>高成本、疲劳、疾病或责任压力下仍能协商负荷。</x:v>
      </x:c>
      <x:c r="E21" s="46" t="str">
        <x:v>+14</x:v>
      </x:c>
      <x:c r="F21" s="46" t="str">
        <x:v>stress_exchange_profile</x:v>
      </x:c>
    </x:row>
    <x:row r="22">
      <x:c r="A22" s="46" t="str">
        <x:v>M5-EXCHANGE-448</x:v>
      </x:c>
      <x:c r="B22" s="46" t="str">
        <x:v>XV6修复重订证据加权</x:v>
      </x:c>
      <x:c r="C22" s="46" t="str">
        <x:v>评分</x:v>
      </x:c>
      <x:c r="D22" s="46" t="str">
        <x:v>失衡后能接收反馈、重新分配并持续回访。</x:v>
      </x:c>
      <x:c r="E22" s="46" t="str">
        <x:v>+16</x:v>
      </x:c>
      <x:c r="F22" s="46" t="str">
        <x:v>repair_exchange</x:v>
      </x:c>
    </x:row>
    <x:row r="23">
      <x:c r="A23" s="46" t="str">
        <x:v>M5-EXCHANGE-449</x:v>
      </x:c>
      <x:c r="B23" s="46" t="str">
        <x:v>XV7反例长期检验加权</x:v>
      </x:c>
      <x:c r="C23" s="46" t="str">
        <x:v>评分</x:v>
      </x:c>
      <x:c r="D23" s="46" t="str">
        <x:v>复发、角色变化或规则不利时仍能调整。</x:v>
      </x:c>
      <x:c r="E23" s="46" t="str">
        <x:v>+18</x:v>
      </x:c>
      <x:c r="F23" s="46" t="str">
        <x:v>exchange_evidence_level</x:v>
      </x:c>
    </x:row>
    <x:row r="24">
      <x:c r="A24" s="46" t="str">
        <x:v>M5-EXCHANGE-450</x:v>
      </x:c>
      <x:c r="B24" s="46" t="str">
        <x:v>ED02请求清晰加权</x:v>
      </x:c>
      <x:c r="C24" s="46" t="str">
        <x:v>评分</x:v>
      </x:c>
      <x:c r="D24" s="46" t="str">
        <x:v>双方至少一方能具体提出需要，另一方可回应或协商拒绝。</x:v>
      </x:c>
      <x:c r="E24" s="46" t="str">
        <x:v>+8</x:v>
      </x:c>
      <x:c r="F24" s="46" t="str">
        <x:v>request_style</x:v>
      </x:c>
    </x:row>
    <x:row r="25">
      <x:c r="A25" s="46" t="str">
        <x:v>M5-EXCHANGE-451</x:v>
      </x:c>
      <x:c r="B25" s="46" t="str">
        <x:v>ED03接收能力加权</x:v>
      </x:c>
      <x:c r="C25" s="46" t="str">
        <x:v>评分</x:v>
      </x:c>
      <x:c r="D25" s="46" t="str">
        <x:v>能接受支持并保留自主，不立即债务化或完全拒绝。</x:v>
      </x:c>
      <x:c r="E25" s="46" t="str">
        <x:v>+8</x:v>
      </x:c>
      <x:c r="F25" s="46" t="str">
        <x:v>receiving_style</x:v>
      </x:c>
    </x:row>
    <x:row r="26">
      <x:c r="A26" s="46" t="str">
        <x:v>M5-EXCHANGE-452</x:v>
      </x:c>
      <x:c r="B26" s="46" t="str">
        <x:v>ED04回应命中加权</x:v>
      </x:c>
      <x:c r="C26" s="46" t="str">
        <x:v>评分</x:v>
      </x:c>
      <x:c r="D26" s="46" t="str">
        <x:v>双方能确认回应是否符合原需要，并据此调整。</x:v>
      </x:c>
      <x:c r="E26" s="46" t="str">
        <x:v>+10</x:v>
      </x:c>
      <x:c r="F26" s="46" t="str">
        <x:v>feedback_loop</x:v>
      </x:c>
    </x:row>
    <x:row r="27">
      <x:c r="A27" s="46" t="str">
        <x:v>M5-EXCHANGE-453</x:v>
      </x:c>
      <x:c r="B27" s="46" t="str">
        <x:v>ED05连续性加权</x:v>
      </x:c>
      <x:c r="C27" s="46" t="str">
        <x:v>评分</x:v>
      </x:c>
      <x:c r="D27" s="46" t="str">
        <x:v>同类行为重复，成本变化时仍能重订。</x:v>
      </x:c>
      <x:c r="E27" s="46" t="str">
        <x:v>+10</x:v>
      </x:c>
      <x:c r="F27" s="46" t="str">
        <x:v>investment_continuity</x:v>
      </x:c>
    </x:row>
    <x:row r="28">
      <x:c r="A28" s="46" t="str">
        <x:v>M5-EXCHANGE-454</x:v>
      </x:c>
      <x:c r="B28" s="46" t="str">
        <x:v>ED06互惠时序加权</x:v>
      </x:c>
      <x:c r="C28" s="46" t="str">
        <x:v>评分</x:v>
      </x:c>
      <x:c r="D28" s="46" t="str">
        <x:v>同步、错峰或延迟的时间结构清楚并被双方接受。</x:v>
      </x:c>
      <x:c r="E28" s="46" t="str">
        <x:v>+8</x:v>
      </x:c>
      <x:c r="F28" s="46" t="str">
        <x:v>reciprocity_timing</x:v>
      </x:c>
    </x:row>
    <x:row r="29">
      <x:c r="A29" s="46" t="str">
        <x:v>M5-EXCHANGE-455</x:v>
      </x:c>
      <x:c r="B29" s="46" t="str">
        <x:v>ED07负荷平衡加权</x:v>
      </x:c>
      <x:c r="C29" s="46" t="str">
        <x:v>评分</x:v>
      </x:c>
      <x:c r="D29" s="46" t="str">
        <x:v>负荷被看见、可协商、可轮换或有休息权。</x:v>
      </x:c>
      <x:c r="E29" s="46" t="str">
        <x:v>+12</x:v>
      </x:c>
      <x:c r="F29" s="46" t="str">
        <x:v>load_balance</x:v>
      </x:c>
    </x:row>
    <x:row r="30">
      <x:c r="A30" s="46" t="str">
        <x:v>M5-EXCHANGE-456</x:v>
      </x:c>
      <x:c r="B30" s="46" t="str">
        <x:v>ED08同意边界加权</x:v>
      </x:c>
      <x:c r="C30" s="46" t="str">
        <x:v>评分</x:v>
      </x:c>
      <x:c r="D30" s="46" t="str">
        <x:v>帮助、资源、亲密和决定均保留同意与停止权。</x:v>
      </x:c>
      <x:c r="E30" s="46" t="str">
        <x:v>+14</x:v>
      </x:c>
      <x:c r="F30" s="46" t="str">
        <x:v>consent_boundary</x:v>
      </x:c>
    </x:row>
    <x:row r="31">
      <x:c r="A31" s="46" t="str">
        <x:v>M5-EXCHANGE-457</x:v>
      </x:c>
      <x:c r="B31" s="46" t="str">
        <x:v>ED09重订能力加权</x:v>
      </x:c>
      <x:c r="C31" s="46" t="str">
        <x:v>评分</x:v>
      </x:c>
      <x:c r="D31" s="46" t="str">
        <x:v>阶段变化时能调整分工、节奏、边界和责任。</x:v>
      </x:c>
      <x:c r="E31" s="46" t="str">
        <x:v>+12</x:v>
      </x:c>
      <x:c r="F31" s="46" t="str">
        <x:v>renegotiation_capacity</x:v>
      </x:c>
    </x:row>
    <x:row r="32">
      <x:c r="A32" s="46" t="str">
        <x:v>M5-EXCHANGE-458</x:v>
      </x:c>
      <x:c r="B32" s="46" t="str">
        <x:v>ED10修复回流加权</x:v>
      </x:c>
      <x:c r="C32" s="46" t="str">
        <x:v>评分</x:v>
      </x:c>
      <x:c r="D32" s="46" t="str">
        <x:v>交换失衡后完成影响、责任、调整、反馈和回访。</x:v>
      </x:c>
      <x:c r="E32" s="46" t="str">
        <x:v>+14</x:v>
      </x:c>
      <x:c r="F32" s="46" t="str">
        <x:v>repair_exchange</x:v>
      </x:c>
    </x:row>
    <x:row r="33">
      <x:c r="A33" s="46" t="str">
        <x:v>M5-EXCHANGE-459</x:v>
      </x:c>
      <x:c r="B33" s="46" t="str">
        <x:v>EB伪互惠扣分</x:v>
      </x:c>
      <x:c r="C33" s="46" t="str">
        <x:v>评分</x:v>
      </x:c>
      <x:c r="D33" s="46" t="str">
        <x:v>任一EB成立且未被XV6—XV7排除。</x:v>
      </x:c>
      <x:c r="E33" s="46" t="str">
        <x:v>-12</x:v>
      </x:c>
      <x:c r="F33" s="46" t="str">
        <x:v>pseudo_reciprocity_warning</x:v>
      </x:c>
    </x:row>
    <x:row r="34">
      <x:c r="A34" s="46" t="str">
        <x:v>M5-EXCHANGE-460</x:v>
      </x:c>
      <x:c r="B34" s="46" t="str">
        <x:v>现实强反例扣分</x:v>
      </x:c>
      <x:c r="C34" s="46" t="str">
        <x:v>评分</x:v>
      </x:c>
      <x:c r="D34" s="46" t="str">
        <x:v>跨领域或跨阶段多次反例。</x:v>
      </x:c>
      <x:c r="E34" s="46" t="str">
        <x:v>-20至停止</x:v>
      </x:c>
      <x:c r="F34" s="46" t="str">
        <x:v>counterevidence</x:v>
      </x:c>
    </x:row>
    <x:row r="35">
      <x:c r="A35" s="46" t="str">
        <x:v>M5-EXCHANGE-461</x:v>
      </x:c>
      <x:c r="B35" s="46" t="str">
        <x:v>同一event_id基础分封顶</x:v>
      </x:c>
      <x:c r="C35" s="46" t="str">
        <x:v>去重</x:v>
      </x:c>
      <x:c r="D35" s="46" t="str">
        <x:v>一个事件支持多个ED/XD/EP。</x:v>
      </x:c>
      <x:c r="E35" s="46" t="str">
        <x:v>封顶一次</x:v>
      </x:c>
      <x:c r="F35" s="46" t="str">
        <x:v>provenance</x:v>
      </x:c>
    </x:row>
    <x:row r="36">
      <x:c r="A36" s="46" t="str">
        <x:v>M5-EXCHANGE-462</x:v>
      </x:c>
      <x:c r="B36" s="46" t="str">
        <x:v>同一source_id基础分封顶</x:v>
      </x:c>
      <x:c r="C36" s="46" t="str">
        <x:v>去重</x:v>
      </x:c>
      <x:c r="D36" s="46" t="str">
        <x:v>一个命盘事实被多个模块读取。</x:v>
      </x:c>
      <x:c r="E36" s="46" t="str">
        <x:v>封顶一次</x:v>
      </x:c>
      <x:c r="F36" s="46" t="str">
        <x:v>provenance</x:v>
      </x:c>
    </x:row>
    <x:row r="37">
      <x:c r="A37" s="46" t="str">
        <x:v>M5-EXCHANGE-463</x:v>
      </x:c>
      <x:c r="B37" s="46" t="str">
        <x:v>跨领域覆盖门槛</x:v>
      </x:c>
      <x:c r="C37" s="46" t="str">
        <x:v>评分</x:v>
      </x:c>
      <x:c r="D37" s="46" t="str">
        <x:v>至少两个XD领域有独立事件。</x:v>
      </x:c>
      <x:c r="E37" s="46" t="str">
        <x:v>+10</x:v>
      </x:c>
      <x:c r="F37" s="46" t="str">
        <x:v>exchange_domains</x:v>
      </x:c>
    </x:row>
    <x:row r="38">
      <x:c r="A38" s="46" t="str">
        <x:v>M5-EXCHANGE-464</x:v>
      </x:c>
      <x:c r="B38" s="46" t="str">
        <x:v>情绪与现实领域不能自动互抵</x:v>
      </x:c>
      <x:c r="C38" s="46" t="str">
        <x:v>边界</x:v>
      </x:c>
      <x:c r="D38" s="46" t="str">
        <x:v>XD01/XD02与XD04/XD05/XD06之间出现明显差异。</x:v>
      </x:c>
      <x:c r="E38" s="46" t="str">
        <x:v>不加分</x:v>
      </x:c>
      <x:c r="F38" s="46" t="str">
        <x:v>pseudo_reciprocity_warning</x:v>
      </x:c>
    </x:row>
    <x:row r="39">
      <x:c r="A39" s="46" t="str">
        <x:v>M5-EXCHANGE-465</x:v>
      </x:c>
      <x:c r="B39" s="46" t="str">
        <x:v>角色分工可重订门槛</x:v>
      </x:c>
      <x:c r="C39" s="46" t="str">
        <x:v>评分</x:v>
      </x:c>
      <x:c r="D39" s="46" t="str">
        <x:v>EM03/XR02候选需明确退出、轮换、复核和共同决定。</x:v>
      </x:c>
      <x:c r="E39" s="46" t="str">
        <x:v>+10</x:v>
      </x:c>
      <x:c r="F39" s="46" t="str">
        <x:v>load_balance</x:v>
      </x:c>
    </x:row>
    <x:row r="40">
      <x:c r="A40" s="46" t="str">
        <x:v>M5-EXCHANGE-466</x:v>
      </x:c>
      <x:c r="B40" s="46" t="str">
        <x:v>错峰回流门槛</x:v>
      </x:c>
      <x:c r="C40" s="46" t="str">
        <x:v>评分</x:v>
      </x:c>
      <x:c r="D40" s="46" t="str">
        <x:v>EM02/XR03候选需明确时点、领域或事件回流。</x:v>
      </x:c>
      <x:c r="E40" s="46" t="str">
        <x:v>+10</x:v>
      </x:c>
      <x:c r="F40" s="46" t="str">
        <x:v>reciprocity_timing</x:v>
      </x:c>
    </x:row>
    <x:row r="41">
      <x:c r="A41" s="46" t="str">
        <x:v>M5-EXCHANGE-467</x:v>
      </x:c>
      <x:c r="B41" s="46" t="str">
        <x:v>EP完整路径门槛</x:v>
      </x:c>
      <x:c r="C41" s="46" t="str">
        <x:v>评分</x:v>
      </x:c>
      <x:c r="D41" s="46" t="str">
        <x:v>EP至少三个节点独立成立，且有回流或调整。</x:v>
      </x:c>
      <x:c r="E41" s="46" t="str">
        <x:v>+12</x:v>
      </x:c>
      <x:c r="F41" s="46" t="str">
        <x:v>exchange_path_status</x:v>
      </x:c>
    </x:row>
    <x:row r="42">
      <x:c r="A42" s="46" t="str">
        <x:v>M5-EXCHANGE-468</x:v>
      </x:c>
      <x:c r="B42" s="46" t="str">
        <x:v>EP断链风险</x:v>
      </x:c>
      <x:c r="C42" s="46" t="str">
        <x:v>评分</x:v>
      </x:c>
      <x:c r="D42" s="46" t="str">
        <x:v>请求、回应、确认、调整中的必要节点长期缺失。</x:v>
      </x:c>
      <x:c r="E42" s="46" t="str">
        <x:v>风险 +12</x:v>
      </x:c>
      <x:c r="F42" s="46" t="str">
        <x:v>exchange_path_status</x:v>
      </x:c>
    </x:row>
    <x:row r="43">
      <x:c r="A43" s="46" t="str">
        <x:v>M5-EXCHANGE-469</x:v>
      </x:c>
      <x:c r="B43" s="46" t="str">
        <x:v>M5-PARTNER个体能力加权</x:v>
      </x:c>
      <x:c r="C43" s="46" t="str">
        <x:v>接口</x:v>
      </x:c>
      <x:c r="D43" s="46" t="str">
        <x:v>PS01/PS02且PV4以上，但仍需双方交换事件。</x:v>
      </x:c>
      <x:c r="E43" s="46" t="str">
        <x:v>+6</x:v>
      </x:c>
      <x:c r="F43" s="46" t="str">
        <x:v>partner_exchange_interface</x:v>
      </x:c>
    </x:row>
    <x:row r="44">
      <x:c r="A44" s="46" t="str">
        <x:v>M5-EXCHANGE-470</x:v>
      </x:c>
      <x:c r="B44" s="46" t="str">
        <x:v>M3-CARE一致性加权</x:v>
      </x:c>
      <x:c r="C44" s="46" t="str">
        <x:v>接口</x:v>
      </x:c>
      <x:c r="D44" s="46" t="str">
        <x:v>用户真实给予、请求和接收方式与EC候选一致。</x:v>
      </x:c>
      <x:c r="E44" s="46" t="str">
        <x:v>+6</x:v>
      </x:c>
      <x:c r="F44" s="46" t="str">
        <x:v>care_exchange_interface</x:v>
      </x:c>
    </x:row>
    <x:row r="45">
      <x:c r="A45" s="46" t="str">
        <x:v>M5-EXCHANGE-471</x:v>
      </x:c>
      <x:c r="B45" s="46" t="str">
        <x:v>M4保护因素现实有效加权</x:v>
      </x:c>
      <x:c r="C45" s="46" t="str">
        <x:v>接口</x:v>
      </x:c>
      <x:c r="D45" s="46" t="str">
        <x:v>BF达到BL5以上并改变同一交换风险链。</x:v>
      </x:c>
      <x:c r="E45" s="46" t="str">
        <x:v>+8</x:v>
      </x:c>
      <x:c r="F45" s="46" t="str">
        <x:v>buffer_exchange_relation</x:v>
      </x:c>
    </x:row>
    <x:row r="46">
      <x:c r="A46" s="46" t="str">
        <x:v>M5-EXCHANGE-472</x:v>
      </x:c>
      <x:c r="B46" s="46" t="str">
        <x:v>安全门控</x:v>
      </x:c>
      <x:c r="C46" s="46" t="str">
        <x:v>停止</x:v>
      </x:c>
      <x:c r="D46" s="46" t="str">
        <x:v>存在暴力、威胁、强迫、经济控制、跟踪或反复越界。</x:v>
      </x:c>
      <x:c r="E46" s="46" t="str">
        <x:v>停止</x:v>
      </x:c>
      <x:c r="F46" s="46" t="str">
        <x:v>report_status</x:v>
      </x:c>
    </x:row>
    <x:row r="47">
      <x:c r="A47" s="46" t="str">
        <x:v>M5-EXCHANGE-473</x:v>
      </x:c>
      <x:c r="B47" s="46" t="str">
        <x:v>报告第一段｜主交换通道</x:v>
      </x:c>
      <x:c r="C47" s="46" t="str">
        <x:v>输出</x:v>
      </x:c>
      <x:c r="D47" s="46" t="str">
        <x:v>主EC完成。</x:v>
      </x:c>
      <x:c r="E47" s="46" t="str">
        <x:v>不加分</x:v>
      </x:c>
      <x:c r="F47" s="46" t="str">
        <x:v>report_text</x:v>
      </x:c>
    </x:row>
    <x:row r="48">
      <x:c r="A48" s="46" t="str">
        <x:v>M5-EXCHANGE-474</x:v>
      </x:c>
      <x:c r="B48" s="46" t="str">
        <x:v>报告第二段｜交换模式与时序</x:v>
      </x:c>
      <x:c r="C48" s="46" t="str">
        <x:v>输出</x:v>
      </x:c>
      <x:c r="D48" s="46" t="str">
        <x:v>EM与ED06完成。</x:v>
      </x:c>
      <x:c r="E48" s="46" t="str">
        <x:v>不加分</x:v>
      </x:c>
      <x:c r="F48" s="46" t="str">
        <x:v>report_text</x:v>
      </x:c>
    </x:row>
    <x:row r="49">
      <x:c r="A49" s="46" t="str">
        <x:v>M5-EXCHANGE-475</x:v>
      </x:c>
      <x:c r="B49" s="46" t="str">
        <x:v>报告第三段｜负荷与边界</x:v>
      </x:c>
      <x:c r="C49" s="46" t="str">
        <x:v>输出</x:v>
      </x:c>
      <x:c r="D49" s="46" t="str">
        <x:v>ED07、ED08、ED09完成。</x:v>
      </x:c>
      <x:c r="E49" s="46" t="str">
        <x:v>不加分</x:v>
      </x:c>
      <x:c r="F49" s="46" t="str">
        <x:v>report_text</x:v>
      </x:c>
    </x:row>
    <x:row r="50">
      <x:c r="A50" s="46" t="str">
        <x:v>M5-EXCHANGE-476</x:v>
      </x:c>
      <x:c r="B50" s="46" t="str">
        <x:v>报告第四段｜风险与修复</x:v>
      </x:c>
      <x:c r="C50" s="46" t="str">
        <x:v>输出</x:v>
      </x:c>
      <x:c r="D50" s="46" t="str">
        <x:v>EB、EP、ED10完成。</x:v>
      </x:c>
      <x:c r="E50" s="46" t="str">
        <x:v>不加分</x:v>
      </x:c>
      <x:c r="F50" s="46" t="str">
        <x:v>report_text</x:v>
      </x:c>
    </x:row>
    <x:row r="51">
      <x:c r="A51" s="46" t="str">
        <x:v>M5-EXCHANGE-477</x:v>
      </x:c>
      <x:c r="B51" s="46" t="str">
        <x:v>报告第五段｜证据上限</x:v>
      </x:c>
      <x:c r="C51" s="46" t="str">
        <x:v>输出</x:v>
      </x:c>
      <x:c r="D51" s="46" t="str">
        <x:v>XV完成。</x:v>
      </x:c>
      <x:c r="E51" s="46" t="str">
        <x:v>不加分</x:v>
      </x:c>
      <x:c r="F51" s="46" t="str">
        <x:v>report_text</x:v>
      </x:c>
    </x:row>
    <x:row r="52">
      <x:c r="A52" s="46" t="str">
        <x:v>M5-EXCHANGE-478</x:v>
      </x:c>
      <x:c r="B52" s="46" t="str">
        <x:v>正文密度限制</x:v>
      </x:c>
      <x:c r="C52" s="46" t="str">
        <x:v>边界</x:v>
      </x:c>
      <x:c r="D52" s="46" t="str">
        <x:v>生成用户正文。</x:v>
      </x:c>
      <x:c r="E52" s="46" t="str">
        <x:v>不加分</x:v>
      </x:c>
      <x:c r="F52" s="46" t="str">
        <x:v>report_text</x:v>
      </x:c>
    </x:row>
    <x:row r="53">
      <x:c r="A53" s="46" t="str">
        <x:v>M5-EXCHANGE-479</x:v>
      </x:c>
      <x:c r="B53" s="46" t="str">
        <x:v>案例冻结预测</x:v>
      </x:c>
      <x:c r="C53" s="46" t="str">
        <x:v>校准</x:v>
      </x:c>
      <x:c r="D53" s="46" t="str">
        <x:v>收集关系反馈前记录EC、EM、XR、XV和EB预测。</x:v>
      </x:c>
      <x:c r="E53" s="46" t="str">
        <x:v>不加分</x:v>
      </x:c>
      <x:c r="F53" s="46" t="str">
        <x:v>case_refs</x:v>
      </x:c>
    </x:row>
    <x:row r="54">
      <x:c r="A54" s="47" t="str">
        <x:v>M5-EXCHANGE-480</x:v>
      </x:c>
      <x:c r="B54" s="47" t="str">
        <x:v>下一阶段路由M5-BOUND</x:v>
      </x:c>
      <x:c r="C54" s="47" t="str">
        <x:v>路由</x:v>
      </x:c>
      <x:c r="D54" s="47" t="str">
        <x:v>EXCHANGE模块完成。</x:v>
      </x:c>
      <x:c r="E54" s="47" t="str">
        <x:v>路由至M5-BOUND</x:v>
      </x:c>
      <x:c r="F54" s="47" t="str">
        <x:v>report_status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b20775778333496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2" hidden="0" customWidth="1"/>
    <x:col min="4" max="4" width="24" hidden="0" customWidth="1"/>
    <x:col min="5" max="5" width="12" hidden="0" customWidth="1"/>
    <x:col min="6" max="6" width="14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  <x:col min="11" max="11" width="28" hidden="0" customWidth="1"/>
    <x:col min="12" max="12" width="28" hidden="0" customWidth="1"/>
    <x:col min="13" max="13" width="28" hidden="0" customWidth="1"/>
    <x:col min="14" max="14" width="30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8" hidden="0" customWidth="1"/>
    <x:col min="20" max="20" width="18" hidden="0" customWidth="1"/>
    <x:col min="21" max="21" width="10" hidden="0" customWidth="1"/>
    <x:col min="22" max="22" width="22" hidden="0" customWidth="1"/>
    <x:col min="23" max="23" width="28" hidden="0" customWidth="1"/>
    <x:col min="24" max="24" width="50" hidden="0" customWidth="1"/>
    <x:col min="25" max="25" width="50" hidden="0" customWidth="1"/>
    <x:col min="26" max="26" width="50" hidden="0" customWidth="1"/>
    <x:col min="27" max="27" width="14" hidden="0" customWidth="1"/>
    <x:col min="28" max="28" width="14" hidden="0" customWidth="1"/>
    <x:col min="29" max="29" width="18" hidden="0" customWidth="1"/>
    <x:col min="30" max="30" width="42" hidden="0" customWidth="1"/>
    <x:col min="31" max="31" width="10" hidden="0" customWidth="1"/>
  </x:cols>
  <x:sheetData>
    <x:row r="1" ht="36" customHeight="1">
      <x:c r="A1" s="35" t="str">
        <x:v>rule_id</x:v>
      </x:c>
      <x:c r="B1" s="35" t="str">
        <x:v>rule_name</x:v>
      </x:c>
      <x:c r="C1" s="35" t="str">
        <x:v>layer</x:v>
      </x:c>
      <x:c r="D1" s="35" t="str">
        <x:v>module</x:v>
      </x:c>
      <x:c r="E1" s="35" t="str">
        <x:v>applicable_group</x:v>
      </x:c>
      <x:c r="F1" s="35" t="str">
        <x:v>rule_type</x:v>
      </x:c>
      <x:c r="G1" s="35" t="str">
        <x:v>main_signal</x:v>
      </x:c>
      <x:c r="H1" s="35" t="str">
        <x:v>secondary_signal</x:v>
      </x:c>
      <x:c r="I1" s="35" t="str">
        <x:v>required_conditions</x:v>
      </x:c>
      <x:c r="J1" s="35" t="str">
        <x:v>excluded_conditions</x:v>
      </x:c>
      <x:c r="K1" s="35" t="str">
        <x:v>self_strength_status</x:v>
      </x:c>
      <x:c r="L1" s="35" t="str">
        <x:v>spouse_star_status</x:v>
      </x:c>
      <x:c r="M1" s="35" t="str">
        <x:v>palace_signal</x:v>
      </x:c>
      <x:c r="N1" s="35" t="str">
        <x:v>flow_path</x:v>
      </x:c>
      <x:c r="O1" s="35" t="str">
        <x:v>signal_position</x:v>
      </x:c>
      <x:c r="P1" s="35" t="str">
        <x:v>root_status</x:v>
      </x:c>
      <x:c r="Q1" s="35" t="str">
        <x:v>strength_level</x:v>
      </x:c>
      <x:c r="R1" s="35" t="str">
        <x:v>favorability</x:v>
      </x:c>
      <x:c r="S1" s="35" t="str">
        <x:v>transformation_status</x:v>
      </x:c>
      <x:c r="T1" s="35" t="str">
        <x:v>distance_level</x:v>
      </x:c>
      <x:c r="U1" s="35" t="str">
        <x:v>priority</x:v>
      </x:c>
      <x:c r="V1" s="35" t="str">
        <x:v>score_effect</x:v>
      </x:c>
      <x:c r="W1" s="35" t="str">
        <x:v>output_slot</x:v>
      </x:c>
      <x:c r="X1" s="35" t="str">
        <x:v>internal_logic</x:v>
      </x:c>
      <x:c r="Y1" s="35" t="str">
        <x:v>user_explanation</x:v>
      </x:c>
      <x:c r="Z1" s="35" t="str">
        <x:v>forbidden_inference</x:v>
      </x:c>
      <x:c r="AA1" s="35" t="str">
        <x:v>confidence_base</x:v>
      </x:c>
      <x:c r="AB1" s="35" t="str">
        <x:v>validation_status</x:v>
      </x:c>
      <x:c r="AC1" s="35" t="str">
        <x:v>case_refs</x:v>
      </x:c>
      <x:c r="AD1" s="35" t="str">
        <x:v>notes</x:v>
      </x:c>
      <x:c r="AE1" s="35" t="str">
        <x:v>version</x:v>
      </x:c>
    </x:row>
    <x:row r="2" ht="50" customHeight="1">
      <x:c r="A2" s="46" t="str">
        <x:v>M5-EXCHANGE-001</x:v>
      </x:c>
      <x:c r="B2" s="46" t="str">
        <x:v>M5-EXCHANGE正式定义｜表达、支持、投入与双向交换</x:v>
      </x:c>
      <x:c r="C2" s="46" t="str">
        <x:v>L0 定义、边界与证据合同</x:v>
      </x:c>
      <x:c r="D2" s="46" t="str">
        <x:v>EXCHANGE-定义边界</x:v>
      </x:c>
      <x:c r="E2" s="46" t="str">
        <x:v>通用</x:v>
      </x:c>
      <x:c r="F2" s="46" t="str">
        <x:v>定义</x:v>
      </x:c>
      <x:c r="G2" s="46" t="str">
        <x:v>M5-EXCHANGE模块规则</x:v>
      </x:c>
      <x:c r="H2" s="46" t="str"/>
      <x:c r="I2" s="46" t="str">
        <x:v>M5-BASE与M5-PARTNER已形成主FN、次FN和具体对象观察画像。</x:v>
      </x:c>
      <x:c r="J2" s="46" t="str">
        <x:v>PR0安全门控未通过、具体对象资料完全缺失或基础状态未定。</x:v>
      </x:c>
      <x:c r="K2" s="46" t="str">
        <x:v>由共享基础引擎、M3与M5-BASE提供；只修正用户怎样给予、请求、接收和回馈，不直接判断双方现实交换质量。</x:v>
      </x:c>
      <x:c r="L2" s="46" t="str">
        <x:v>M2只说明进入关系所需资格证据；不能替代长期双向交换、负荷与修复验证。</x:v>
      </x:c>
      <x:c r="M2" s="46" t="str">
        <x:v>M3-BASE、EXPR、CARE和BOUND提供用户自然互动通道；M5-EXCHANGE负责把两人的实际行为合成为交换结构。</x:v>
      </x:c>
      <x:c r="N2" s="46" t="str">
        <x:v>无／按本规则指定的给予—请求—接收—反馈—重订路径路由。</x:v>
      </x:c>
      <x:c r="O2" s="46" t="str">
        <x:v>近位、远位只修正该交换需求进入亲密关系核心的可能；不得据此判断具体伴侣现实中一定配合。</x:v>
      </x:c>
      <x:c r="P2" s="46" t="str">
        <x:v>根气只修正用户交换需求和通道是否稳定重复，不等于双方已形成成熟互惠。</x:v>
      </x:c>
      <x:c r="Q2" s="46" t="str">
        <x:v>旺弱只修正通道调用强度、抢位或缺位风险，不直接等于交换公平或关系质量。</x:v>
      </x:c>
      <x:c r="R2" s="46" t="str">
        <x:v>喜忌只修正调用顺畅度与摩擦，不可直接翻译为理想伴侣五行、十神或必然互补。</x:v>
      </x:c>
      <x:c r="S2" s="46" t="str">
        <x:v>真合化成立时按化神功能重算用户交换需求；合化争议时停止细化交换通道。</x:v>
      </x:c>
      <x:c r="T2" s="46" t="str">
        <x:v>近位提高该交换议题进入关系核心的可能；远位只保留背景或阶段性观察。</x:v>
      </x:c>
      <x:c r="U2" s="46" t="str">
        <x:v>100</x:v>
      </x:c>
      <x:c r="V2" s="46" t="str">
        <x:v>不加分；定义／门控</x:v>
      </x:c>
      <x:c r="W2" s="46" t="str">
        <x:v>report_status</x:v>
      </x:c>
      <x:c r="X2" s="46" t="str">
        <x:v>本模块判断双方如何给予、请求、接收、回应、回馈和重新协商，而不是简单比较谁付出更多。</x:v>
      </x:c>
      <x:c r="Y2" s="46" t="str">
        <x:v>这一部分看的是双方怎样把支持和投入真正交换起来。</x:v>
      </x:c>
      <x:c r="Z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" s="46" t="str">
        <x:v>高</x:v>
      </x:c>
      <x:c r="AB2" s="46" t="str">
        <x:v>待验证</x:v>
      </x:c>
      <x:c r="AC2" s="46" t="str"/>
      <x:c r="AD2" s="46" t="str">
        <x:v>provisional=true; rule_group=EXCHANGE-定义边界</x:v>
      </x:c>
      <x:c r="AE2" s="46" t="str">
        <x:v>0.4</x:v>
      </x:c>
    </x:row>
    <x:row r="3" ht="50" customHeight="1">
      <x:c r="A3" s="46" t="str">
        <x:v>M5-EXCHANGE-002</x:v>
      </x:c>
      <x:c r="B3" s="46" t="str">
        <x:v>交换不等于等量｜公平与50/50分开</x:v>
      </x:c>
      <x:c r="C3" s="46" t="str">
        <x:v>L0 定义、边界与证据合同</x:v>
      </x:c>
      <x:c r="D3" s="46" t="str">
        <x:v>EXCHANGE-定义边界</x:v>
      </x:c>
      <x:c r="E3" s="46" t="str">
        <x:v>通用</x:v>
      </x:c>
      <x:c r="F3" s="46" t="str">
        <x:v>边界</x:v>
      </x:c>
      <x:c r="G3" s="46" t="str">
        <x:v>M5-EXCHANGE模块规则</x:v>
      </x:c>
      <x:c r="H3" s="46" t="str"/>
      <x:c r="I3" s="46" t="str">
        <x:v>分析负荷、公平或互惠。</x:v>
      </x:c>
      <x:c r="J3" s="46" t="str">
        <x:v>直接用次数、金额或时间做机械等量判断。</x:v>
      </x:c>
      <x:c r="K3" s="46" t="str">
        <x:v>由共享基础引擎、M3与M5-BASE提供；只修正用户怎样给予、请求、接收和回馈，不直接判断双方现实交换质量。</x:v>
      </x:c>
      <x:c r="L3" s="46" t="str">
        <x:v>M2只说明进入关系所需资格证据；不能替代长期双向交换、负荷与修复验证。</x:v>
      </x:c>
      <x:c r="M3" s="46" t="str">
        <x:v>M3-BASE、EXPR、CARE和BOUND提供用户自然互动通道；M5-EXCHANGE负责把两人的实际行为合成为交换结构。</x:v>
      </x:c>
      <x:c r="N3" s="46" t="str">
        <x:v>无／按本规则指定的给予—请求—接收—反馈—重订路径路由。</x:v>
      </x:c>
      <x:c r="O3" s="46" t="str">
        <x:v>近位、远位只修正该交换需求进入亲密关系核心的可能；不得据此判断具体伴侣现实中一定配合。</x:v>
      </x:c>
      <x:c r="P3" s="46" t="str">
        <x:v>根气只修正用户交换需求和通道是否稳定重复，不等于双方已形成成熟互惠。</x:v>
      </x:c>
      <x:c r="Q3" s="46" t="str">
        <x:v>旺弱只修正通道调用强度、抢位或缺位风险，不直接等于交换公平或关系质量。</x:v>
      </x:c>
      <x:c r="R3" s="46" t="str">
        <x:v>喜忌只修正调用顺畅度与摩擦，不可直接翻译为理想伴侣五行、十神或必然互补。</x:v>
      </x:c>
      <x:c r="S3" s="46" t="str">
        <x:v>真合化成立时按化神功能重算用户交换需求；合化争议时停止细化交换通道。</x:v>
      </x:c>
      <x:c r="T3" s="46" t="str">
        <x:v>近位提高该交换议题进入关系核心的可能；远位只保留背景或阶段性观察。</x:v>
      </x:c>
      <x:c r="U3" s="46" t="str">
        <x:v>100</x:v>
      </x:c>
      <x:c r="V3" s="46" t="str">
        <x:v>不加分；定义／门控</x:v>
      </x:c>
      <x:c r="W3" s="46" t="str">
        <x:v>exchange_fairness</x:v>
      </x:c>
      <x:c r="X3" s="46" t="str">
        <x:v>公平要综合资源、能力、阶段、决定权、认可和可重订性。</x:v>
      </x:c>
      <x:c r="Y3" s="46" t="str">
        <x:v>公平不一定是每项对半，而是双方都知情、可承受并能重新协商。</x:v>
      </x:c>
      <x:c r="Z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" s="46" t="str">
        <x:v>高</x:v>
      </x:c>
      <x:c r="AB3" s="46" t="str">
        <x:v>待验证</x:v>
      </x:c>
      <x:c r="AC3" s="46" t="str"/>
      <x:c r="AD3" s="46" t="str">
        <x:v>provisional=true; rule_group=EXCHANGE-定义边界</x:v>
      </x:c>
      <x:c r="AE3" s="46" t="str">
        <x:v>0.4</x:v>
      </x:c>
    </x:row>
    <x:row r="4" ht="50" customHeight="1">
      <x:c r="A4" s="46" t="str">
        <x:v>M5-EXCHANGE-003</x:v>
      </x:c>
      <x:c r="B4" s="46" t="str">
        <x:v>给予、请求、接收和回馈必须分开</x:v>
      </x:c>
      <x:c r="C4" s="46" t="str">
        <x:v>L0 定义、边界与证据合同</x:v>
      </x:c>
      <x:c r="D4" s="46" t="str">
        <x:v>EXCHANGE-定义边界</x:v>
      </x:c>
      <x:c r="E4" s="46" t="str">
        <x:v>通用</x:v>
      </x:c>
      <x:c r="F4" s="46" t="str">
        <x:v>定义</x:v>
      </x:c>
      <x:c r="G4" s="46" t="str">
        <x:v>M5-EXCHANGE模块规则</x:v>
      </x:c>
      <x:c r="H4" s="46" t="str"/>
      <x:c r="I4" s="46" t="str">
        <x:v>分析任一支持或投入通道。</x:v>
      </x:c>
      <x:c r="J4" s="46" t="str">
        <x:v>把会给予自动等同会请求、会接收或会回馈。</x:v>
      </x:c>
      <x:c r="K4" s="46" t="str">
        <x:v>由共享基础引擎、M3与M5-BASE提供；只修正用户怎样给予、请求、接收和回馈，不直接判断双方现实交换质量。</x:v>
      </x:c>
      <x:c r="L4" s="46" t="str">
        <x:v>M2只说明进入关系所需资格证据；不能替代长期双向交换、负荷与修复验证。</x:v>
      </x:c>
      <x:c r="M4" s="46" t="str">
        <x:v>M3-BASE、EXPR、CARE和BOUND提供用户自然互动通道；M5-EXCHANGE负责把两人的实际行为合成为交换结构。</x:v>
      </x:c>
      <x:c r="N4" s="46" t="str">
        <x:v>无／按本规则指定的给予—请求—接收—反馈—重订路径路由。</x:v>
      </x:c>
      <x:c r="O4" s="46" t="str">
        <x:v>近位、远位只修正该交换需求进入亲密关系核心的可能；不得据此判断具体伴侣现实中一定配合。</x:v>
      </x:c>
      <x:c r="P4" s="46" t="str">
        <x:v>根气只修正用户交换需求和通道是否稳定重复，不等于双方已形成成熟互惠。</x:v>
      </x:c>
      <x:c r="Q4" s="46" t="str">
        <x:v>旺弱只修正通道调用强度、抢位或缺位风险，不直接等于交换公平或关系质量。</x:v>
      </x:c>
      <x:c r="R4" s="46" t="str">
        <x:v>喜忌只修正调用顺畅度与摩擦，不可直接翻译为理想伴侣五行、十神或必然互补。</x:v>
      </x:c>
      <x:c r="S4" s="46" t="str">
        <x:v>真合化成立时按化神功能重算用户交换需求；合化争议时停止细化交换通道。</x:v>
      </x:c>
      <x:c r="T4" s="46" t="str">
        <x:v>近位提高该交换议题进入关系核心的可能；远位只保留背景或阶段性观察。</x:v>
      </x:c>
      <x:c r="U4" s="46" t="str">
        <x:v>100</x:v>
      </x:c>
      <x:c r="V4" s="46" t="str">
        <x:v>不加分；定义／门控</x:v>
      </x:c>
      <x:c r="W4" s="46" t="str">
        <x:v>exchange_process</x:v>
      </x:c>
      <x:c r="X4" s="46" t="str">
        <x:v>四项是不同能力，必须分别判断。</x:v>
      </x:c>
      <x:c r="Y4" s="46" t="str">
        <x:v>一个人很会付出，不代表他也能说出需要、接受帮助或接收反馈。</x:v>
      </x:c>
      <x:c r="Z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" s="46" t="str">
        <x:v>高</x:v>
      </x:c>
      <x:c r="AB4" s="46" t="str">
        <x:v>待验证</x:v>
      </x:c>
      <x:c r="AC4" s="46" t="str"/>
      <x:c r="AD4" s="46" t="str">
        <x:v>provisional=true; rule_group=EXCHANGE-定义边界</x:v>
      </x:c>
      <x:c r="AE4" s="46" t="str">
        <x:v>0.4</x:v>
      </x:c>
    </x:row>
    <x:row r="5" ht="50" customHeight="1">
      <x:c r="A5" s="46" t="str">
        <x:v>M5-EXCHANGE-004</x:v>
      </x:c>
      <x:c r="B5" s="46" t="str">
        <x:v>单向可见不等于单向关系</x:v>
      </x:c>
      <x:c r="C5" s="46" t="str">
        <x:v>L0 定义、边界与证据合同</x:v>
      </x:c>
      <x:c r="D5" s="46" t="str">
        <x:v>EXCHANGE-定义边界</x:v>
      </x:c>
      <x:c r="E5" s="46" t="str">
        <x:v>通用</x:v>
      </x:c>
      <x:c r="F5" s="46" t="str">
        <x:v>边界</x:v>
      </x:c>
      <x:c r="G5" s="46" t="str">
        <x:v>M5-EXCHANGE模块规则</x:v>
      </x:c>
      <x:c r="H5" s="46" t="str"/>
      <x:c r="I5" s="46" t="str">
        <x:v>现有资料只清楚记录一方行为。</x:v>
      </x:c>
      <x:c r="J5" s="46" t="str">
        <x:v>未检查隐性贡献、错峰、分工和资料缺失。</x:v>
      </x:c>
      <x:c r="K5" s="46" t="str">
        <x:v>由共享基础引擎、M3与M5-BASE提供；只修正用户怎样给予、请求、接收和回馈，不直接判断双方现实交换质量。</x:v>
      </x:c>
      <x:c r="L5" s="46" t="str">
        <x:v>M2只说明进入关系所需资格证据；不能替代长期双向交换、负荷与修复验证。</x:v>
      </x:c>
      <x:c r="M5" s="46" t="str">
        <x:v>M3-BASE、EXPR、CARE和BOUND提供用户自然互动通道；M5-EXCHANGE负责把两人的实际行为合成为交换结构。</x:v>
      </x:c>
      <x:c r="N5" s="46" t="str">
        <x:v>无／按本规则指定的给予—请求—接收—反馈—重订路径路由。</x:v>
      </x:c>
      <x:c r="O5" s="46" t="str">
        <x:v>近位、远位只修正该交换需求进入亲密关系核心的可能；不得据此判断具体伴侣现实中一定配合。</x:v>
      </x:c>
      <x:c r="P5" s="46" t="str">
        <x:v>根气只修正用户交换需求和通道是否稳定重复，不等于双方已形成成熟互惠。</x:v>
      </x:c>
      <x:c r="Q5" s="46" t="str">
        <x:v>旺弱只修正通道调用强度、抢位或缺位风险，不直接等于交换公平或关系质量。</x:v>
      </x:c>
      <x:c r="R5" s="46" t="str">
        <x:v>喜忌只修正调用顺畅度与摩擦，不可直接翻译为理想伴侣五行、十神或必然互补。</x:v>
      </x:c>
      <x:c r="S5" s="46" t="str">
        <x:v>真合化成立时按化神功能重算用户交换需求；合化争议时停止细化交换通道。</x:v>
      </x:c>
      <x:c r="T5" s="46" t="str">
        <x:v>近位提高该交换议题进入关系核心的可能；远位只保留背景或阶段性观察。</x:v>
      </x:c>
      <x:c r="U5" s="46" t="str">
        <x:v>100</x:v>
      </x:c>
      <x:c r="V5" s="46" t="str">
        <x:v>不加分；定义／门控</x:v>
      </x:c>
      <x:c r="W5" s="46" t="str">
        <x:v>exchange_state</x:v>
      </x:c>
      <x:c r="X5" s="46" t="str">
        <x:v>先输出XR05单向可见候选，不直接定性。</x:v>
      </x:c>
      <x:c r="Y5" s="46" t="str">
        <x:v>目前只容易看见一侧，先不要急着判断另一方完全没有投入。</x:v>
      </x:c>
      <x:c r="Z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5" s="46" t="str">
        <x:v>高</x:v>
      </x:c>
      <x:c r="AB5" s="46" t="str">
        <x:v>待验证</x:v>
      </x:c>
      <x:c r="AC5" s="46" t="str"/>
      <x:c r="AD5" s="46" t="str">
        <x:v>provisional=true; rule_group=EXCHANGE-定义边界</x:v>
      </x:c>
      <x:c r="AE5" s="46" t="str">
        <x:v>0.4</x:v>
      </x:c>
    </x:row>
    <x:row r="6" ht="50" customHeight="1">
      <x:c r="A6" s="46" t="str">
        <x:v>M5-EXCHANGE-005</x:v>
      </x:c>
      <x:c r="B6" s="46" t="str">
        <x:v>暂时不对称不等于长期失衡</x:v>
      </x:c>
      <x:c r="C6" s="46" t="str">
        <x:v>L0 定义、边界与证据合同</x:v>
      </x:c>
      <x:c r="D6" s="46" t="str">
        <x:v>EXCHANGE-定义边界</x:v>
      </x:c>
      <x:c r="E6" s="46" t="str">
        <x:v>通用</x:v>
      </x:c>
      <x:c r="F6" s="46" t="str">
        <x:v>边界</x:v>
      </x:c>
      <x:c r="G6" s="46" t="str">
        <x:v>M5-EXCHANGE模块规则</x:v>
      </x:c>
      <x:c r="H6" s="46" t="str"/>
      <x:c r="I6" s="46" t="str">
        <x:v>疾病、工作、育儿、照护或危机阶段贡献不对称。</x:v>
      </x:c>
      <x:c r="J6" s="46" t="str">
        <x:v>没有重订点、恢复资料或长期事件。</x:v>
      </x:c>
      <x:c r="K6" s="46" t="str">
        <x:v>由共享基础引擎、M3与M5-BASE提供；只修正用户怎样给予、请求、接收和回馈，不直接判断双方现实交换质量。</x:v>
      </x:c>
      <x:c r="L6" s="46" t="str">
        <x:v>M2只说明进入关系所需资格证据；不能替代长期双向交换、负荷与修复验证。</x:v>
      </x:c>
      <x:c r="M6" s="46" t="str">
        <x:v>M3-BASE、EXPR、CARE和BOUND提供用户自然互动通道；M5-EXCHANGE负责把两人的实际行为合成为交换结构。</x:v>
      </x:c>
      <x:c r="N6" s="46" t="str">
        <x:v>无／按本规则指定的给予—请求—接收—反馈—重订路径路由。</x:v>
      </x:c>
      <x:c r="O6" s="46" t="str">
        <x:v>近位、远位只修正该交换需求进入亲密关系核心的可能；不得据此判断具体伴侣现实中一定配合。</x:v>
      </x:c>
      <x:c r="P6" s="46" t="str">
        <x:v>根气只修正用户交换需求和通道是否稳定重复，不等于双方已形成成熟互惠。</x:v>
      </x:c>
      <x:c r="Q6" s="46" t="str">
        <x:v>旺弱只修正通道调用强度、抢位或缺位风险，不直接等于交换公平或关系质量。</x:v>
      </x:c>
      <x:c r="R6" s="46" t="str">
        <x:v>喜忌只修正调用顺畅度与摩擦，不可直接翻译为理想伴侣五行、十神或必然互补。</x:v>
      </x:c>
      <x:c r="S6" s="46" t="str">
        <x:v>真合化成立时按化神功能重算用户交换需求；合化争议时停止细化交换通道。</x:v>
      </x:c>
      <x:c r="T6" s="46" t="str">
        <x:v>近位提高该交换议题进入关系核心的可能；远位只保留背景或阶段性观察。</x:v>
      </x:c>
      <x:c r="U6" s="46" t="str">
        <x:v>99</x:v>
      </x:c>
      <x:c r="V6" s="46" t="str">
        <x:v>不加分；定义／门控</x:v>
      </x:c>
      <x:c r="W6" s="46" t="str">
        <x:v>exchange_state</x:v>
      </x:c>
      <x:c r="X6" s="46" t="str">
        <x:v>区分阶段性负荷和稳定结构。</x:v>
      </x:c>
      <x:c r="Y6" s="46" t="str">
        <x:v>某个阶段一方承担更多，不等于长期都必须这样。</x:v>
      </x:c>
      <x:c r="Z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6" s="46" t="str">
        <x:v>高</x:v>
      </x:c>
      <x:c r="AB6" s="46" t="str">
        <x:v>待验证</x:v>
      </x:c>
      <x:c r="AC6" s="46" t="str"/>
      <x:c r="AD6" s="46" t="str">
        <x:v>provisional=true; rule_group=EXCHANGE-定义边界</x:v>
      </x:c>
      <x:c r="AE6" s="46" t="str">
        <x:v>0.4</x:v>
      </x:c>
    </x:row>
    <x:row r="7" ht="50" customHeight="1">
      <x:c r="A7" s="46" t="str">
        <x:v>M5-EXCHANGE-006</x:v>
      </x:c>
      <x:c r="B7" s="46" t="str">
        <x:v>交换结构必须保留同意与选择权</x:v>
      </x:c>
      <x:c r="C7" s="46" t="str">
        <x:v>L0 定义、边界与证据合同</x:v>
      </x:c>
      <x:c r="D7" s="46" t="str">
        <x:v>EXCHANGE-定义边界</x:v>
      </x:c>
      <x:c r="E7" s="46" t="str">
        <x:v>通用</x:v>
      </x:c>
      <x:c r="F7" s="46" t="str">
        <x:v>安全</x:v>
      </x:c>
      <x:c r="G7" s="46" t="str">
        <x:v>M5-EXCHANGE模块规则</x:v>
      </x:c>
      <x:c r="H7" s="46" t="str"/>
      <x:c r="I7" s="46" t="str">
        <x:v>分析帮助、保护、资源、亲密或决定权。</x:v>
      </x:c>
      <x:c r="J7" s="46" t="str">
        <x:v>存在强迫、暴力、威胁、经济控制、跟踪或反复越界。</x:v>
      </x:c>
      <x:c r="K7" s="46" t="str">
        <x:v>由共享基础引擎、M3与M5-BASE提供；只修正用户怎样给予、请求、接收和回馈，不直接判断双方现实交换质量。</x:v>
      </x:c>
      <x:c r="L7" s="46" t="str">
        <x:v>M2只说明进入关系所需资格证据；不能替代长期双向交换、负荷与修复验证。</x:v>
      </x:c>
      <x:c r="M7" s="46" t="str">
        <x:v>M3-BASE、EXPR、CARE和BOUND提供用户自然互动通道；M5-EXCHANGE负责把两人的实际行为合成为交换结构。</x:v>
      </x:c>
      <x:c r="N7" s="46" t="str">
        <x:v>无／按本规则指定的给予—请求—接收—反馈—重订路径路由。</x:v>
      </x:c>
      <x:c r="O7" s="46" t="str">
        <x:v>近位、远位只修正该交换需求进入亲密关系核心的可能；不得据此判断具体伴侣现实中一定配合。</x:v>
      </x:c>
      <x:c r="P7" s="46" t="str">
        <x:v>根气只修正用户交换需求和通道是否稳定重复，不等于双方已形成成熟互惠。</x:v>
      </x:c>
      <x:c r="Q7" s="46" t="str">
        <x:v>旺弱只修正通道调用强度、抢位或缺位风险，不直接等于交换公平或关系质量。</x:v>
      </x:c>
      <x:c r="R7" s="46" t="str">
        <x:v>喜忌只修正调用顺畅度与摩擦，不可直接翻译为理想伴侣五行、十神或必然互补。</x:v>
      </x:c>
      <x:c r="S7" s="46" t="str">
        <x:v>真合化成立时按化神功能重算用户交换需求；合化争议时停止细化交换通道。</x:v>
      </x:c>
      <x:c r="T7" s="46" t="str">
        <x:v>近位提高该交换议题进入关系核心的可能；远位只保留背景或阶段性观察。</x:v>
      </x:c>
      <x:c r="U7" s="46" t="str">
        <x:v>99</x:v>
      </x:c>
      <x:c r="V7" s="46" t="str">
        <x:v>不加分；定义／门控</x:v>
      </x:c>
      <x:c r="W7" s="46" t="str">
        <x:v>consent_boundary</x:v>
      </x:c>
      <x:c r="X7" s="46" t="str">
        <x:v>安全和同意高于互惠、互补与修复叙事。</x:v>
      </x:c>
      <x:c r="Y7" s="46" t="str">
        <x:v>任何付出和保护都不能成为越过同意与选择权的理由。</x:v>
      </x:c>
      <x:c r="Z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7" s="46" t="str">
        <x:v>高</x:v>
      </x:c>
      <x:c r="AB7" s="46" t="str">
        <x:v>待验证</x:v>
      </x:c>
      <x:c r="AC7" s="46" t="str"/>
      <x:c r="AD7" s="46" t="str">
        <x:v>provisional=true; rule_group=EXCHANGE-定义边界</x:v>
      </x:c>
      <x:c r="AE7" s="46" t="str">
        <x:v>0.4</x:v>
      </x:c>
    </x:row>
    <x:row r="8" ht="50" customHeight="1">
      <x:c r="A8" s="46" t="str">
        <x:v>M5-EXCHANGE-007</x:v>
      </x:c>
      <x:c r="B8" s="46" t="str">
        <x:v>M3描述个人惯性｜M5判断双方交换</x:v>
      </x:c>
      <x:c r="C8" s="46" t="str">
        <x:v>L0 定义、边界与证据合同</x:v>
      </x:c>
      <x:c r="D8" s="46" t="str">
        <x:v>EXCHANGE-定义边界</x:v>
      </x:c>
      <x:c r="E8" s="46" t="str">
        <x:v>通用</x:v>
      </x:c>
      <x:c r="F8" s="46" t="str">
        <x:v>接口</x:v>
      </x:c>
      <x:c r="G8" s="46" t="str">
        <x:v>M5-EXCHANGE模块规则</x:v>
      </x:c>
      <x:c r="H8" s="46" t="str"/>
      <x:c r="I8" s="46" t="str">
        <x:v>M3-EXPR、CARE、BOUND结果可用。</x:v>
      </x:c>
      <x:c r="J8" s="46" t="str">
        <x:v>用单方惯性直接推断双方关系公平。</x:v>
      </x:c>
      <x:c r="K8" s="46" t="str">
        <x:v>由共享基础引擎、M3与M5-BASE提供；只修正用户怎样给予、请求、接收和回馈，不直接判断双方现实交换质量。</x:v>
      </x:c>
      <x:c r="L8" s="46" t="str">
        <x:v>M2只说明进入关系所需资格证据；不能替代长期双向交换、负荷与修复验证。</x:v>
      </x:c>
      <x:c r="M8" s="46" t="str">
        <x:v>M3-BASE、EXPR、CARE和BOUND提供用户自然互动通道；M5-EXCHANGE负责把两人的实际行为合成为交换结构。</x:v>
      </x:c>
      <x:c r="N8" s="46" t="str">
        <x:v>无／按本规则指定的给予—请求—接收—反馈—重订路径路由。</x:v>
      </x:c>
      <x:c r="O8" s="46" t="str">
        <x:v>近位、远位只修正该交换需求进入亲密关系核心的可能；不得据此判断具体伴侣现实中一定配合。</x:v>
      </x:c>
      <x:c r="P8" s="46" t="str">
        <x:v>根气只修正用户交换需求和通道是否稳定重复，不等于双方已形成成熟互惠。</x:v>
      </x:c>
      <x:c r="Q8" s="46" t="str">
        <x:v>旺弱只修正通道调用强度、抢位或缺位风险，不直接等于交换公平或关系质量。</x:v>
      </x:c>
      <x:c r="R8" s="46" t="str">
        <x:v>喜忌只修正调用顺畅度与摩擦，不可直接翻译为理想伴侣五行、十神或必然互补。</x:v>
      </x:c>
      <x:c r="S8" s="46" t="str">
        <x:v>真合化成立时按化神功能重算用户交换需求；合化争议时停止细化交换通道。</x:v>
      </x:c>
      <x:c r="T8" s="46" t="str">
        <x:v>近位提高该交换议题进入关系核心的可能；远位只保留背景或阶段性观察。</x:v>
      </x:c>
      <x:c r="U8" s="46" t="str">
        <x:v>99</x:v>
      </x:c>
      <x:c r="V8" s="46" t="str">
        <x:v>不加分；定义／门控</x:v>
      </x:c>
      <x:c r="W8" s="46" t="str">
        <x:v>m3_exchange_interface</x:v>
      </x:c>
      <x:c r="X8" s="46" t="str">
        <x:v>M3回答用户怎样给、怎样接；M5还要加入对方行为和双方反馈。</x:v>
      </x:c>
      <x:c r="Y8" s="46" t="str">
        <x:v>知道你习惯怎样付出，只是第一步，还要看对方怎样回应。</x:v>
      </x:c>
      <x:c r="Z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" s="46" t="str">
        <x:v>高</x:v>
      </x:c>
      <x:c r="AB8" s="46" t="str">
        <x:v>待验证</x:v>
      </x:c>
      <x:c r="AC8" s="46" t="str"/>
      <x:c r="AD8" s="46" t="str">
        <x:v>provisional=true; rule_group=EXCHANGE-定义边界</x:v>
      </x:c>
      <x:c r="AE8" s="46" t="str">
        <x:v>0.4</x:v>
      </x:c>
    </x:row>
    <x:row r="9" ht="50" customHeight="1">
      <x:c r="A9" s="46" t="str">
        <x:v>M5-EXCHANGE-008</x:v>
      </x:c>
      <x:c r="B9" s="46" t="str">
        <x:v>M4识别循环｜M5建立可持续替代结构</x:v>
      </x:c>
      <x:c r="C9" s="46" t="str">
        <x:v>L0 定义、边界与证据合同</x:v>
      </x:c>
      <x:c r="D9" s="46" t="str">
        <x:v>EXCHANGE-定义边界</x:v>
      </x:c>
      <x:c r="E9" s="46" t="str">
        <x:v>通用</x:v>
      </x:c>
      <x:c r="F9" s="46" t="str">
        <x:v>接口</x:v>
      </x:c>
      <x:c r="G9" s="46" t="str">
        <x:v>M5-EXCHANGE模块规则</x:v>
      </x:c>
      <x:c r="H9" s="46" t="str"/>
      <x:c r="I9" s="46" t="str">
        <x:v>M4 K、LP、RN、BF结果可用。</x:v>
      </x:c>
      <x:c r="J9" s="46" t="str">
        <x:v>把M4风险直接当成适配结论。</x:v>
      </x:c>
      <x:c r="K9" s="46" t="str">
        <x:v>由共享基础引擎、M3与M5-BASE提供；只修正用户怎样给予、请求、接收和回馈，不直接判断双方现实交换质量。</x:v>
      </x:c>
      <x:c r="L9" s="46" t="str">
        <x:v>M2只说明进入关系所需资格证据；不能替代长期双向交换、负荷与修复验证。</x:v>
      </x:c>
      <x:c r="M9" s="46" t="str">
        <x:v>M3-BASE、EXPR、CARE和BOUND提供用户自然互动通道；M5-EXCHANGE负责把两人的实际行为合成为交换结构。</x:v>
      </x:c>
      <x:c r="N9" s="46" t="str">
        <x:v>无／按本规则指定的给予—请求—接收—反馈—重订路径路由。</x:v>
      </x:c>
      <x:c r="O9" s="46" t="str">
        <x:v>近位、远位只修正该交换需求进入亲密关系核心的可能；不得据此判断具体伴侣现实中一定配合。</x:v>
      </x:c>
      <x:c r="P9" s="46" t="str">
        <x:v>根气只修正用户交换需求和通道是否稳定重复，不等于双方已形成成熟互惠。</x:v>
      </x:c>
      <x:c r="Q9" s="46" t="str">
        <x:v>旺弱只修正通道调用强度、抢位或缺位风险，不直接等于交换公平或关系质量。</x:v>
      </x:c>
      <x:c r="R9" s="46" t="str">
        <x:v>喜忌只修正调用顺畅度与摩擦，不可直接翻译为理想伴侣五行、十神或必然互补。</x:v>
      </x:c>
      <x:c r="S9" s="46" t="str">
        <x:v>真合化成立时按化神功能重算用户交换需求；合化争议时停止细化交换通道。</x:v>
      </x:c>
      <x:c r="T9" s="46" t="str">
        <x:v>近位提高该交换议题进入关系核心的可能；远位只保留背景或阶段性观察。</x:v>
      </x:c>
      <x:c r="U9" s="46" t="str">
        <x:v>99</x:v>
      </x:c>
      <x:c r="V9" s="46" t="str">
        <x:v>不加分；定义／门控</x:v>
      </x:c>
      <x:c r="W9" s="46" t="str">
        <x:v>m4_exchange_interface</x:v>
      </x:c>
      <x:c r="X9" s="46" t="str">
        <x:v>M4提供风险链；M5将其转译为交换任务、停止点和回流结构。</x:v>
      </x:c>
      <x:c r="Y9" s="46" t="str">
        <x:v>这里不是重复描述问题，而是明确怎样交换才不会继续放大问题。</x:v>
      </x:c>
      <x:c r="Z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" s="46" t="str">
        <x:v>高</x:v>
      </x:c>
      <x:c r="AB9" s="46" t="str">
        <x:v>待验证</x:v>
      </x:c>
      <x:c r="AC9" s="46" t="str"/>
      <x:c r="AD9" s="46" t="str">
        <x:v>provisional=true; rule_group=EXCHANGE-定义边界</x:v>
      </x:c>
      <x:c r="AE9" s="46" t="str">
        <x:v>0.4</x:v>
      </x:c>
    </x:row>
    <x:row r="10" ht="50" customHeight="1">
      <x:c r="A10" s="46" t="str">
        <x:v>M5-EXCHANGE-009</x:v>
      </x:c>
      <x:c r="B10" s="46" t="str">
        <x:v>M5-PARTNER个人能力不等于双人交换</x:v>
      </x:c>
      <x:c r="C10" s="46" t="str">
        <x:v>L0 定义、边界与证据合同</x:v>
      </x:c>
      <x:c r="D10" s="46" t="str">
        <x:v>EXCHANGE-定义边界</x:v>
      </x:c>
      <x:c r="E10" s="46" t="str">
        <x:v>通用</x:v>
      </x:c>
      <x:c r="F10" s="46" t="str">
        <x:v>接口</x:v>
      </x:c>
      <x:c r="G10" s="46" t="str">
        <x:v>M5-EXCHANGE模块规则</x:v>
      </x:c>
      <x:c r="H10" s="46" t="str"/>
      <x:c r="I10" s="46" t="str">
        <x:v>具体对象PV与PS结果可用。</x:v>
      </x:c>
      <x:c r="J10" s="46" t="str">
        <x:v>两个人各自有能力就直接判定关系会互惠。</x:v>
      </x:c>
      <x:c r="K10" s="46" t="str">
        <x:v>由共享基础引擎、M3与M5-BASE提供；只修正用户怎样给予、请求、接收和回馈，不直接判断双方现实交换质量。</x:v>
      </x:c>
      <x:c r="L10" s="46" t="str">
        <x:v>M2只说明进入关系所需资格证据；不能替代长期双向交换、负荷与修复验证。</x:v>
      </x:c>
      <x:c r="M10" s="46" t="str">
        <x:v>M3-BASE、EXPR、CARE和BOUND提供用户自然互动通道；M5-EXCHANGE负责把两人的实际行为合成为交换结构。</x:v>
      </x:c>
      <x:c r="N10" s="46" t="str">
        <x:v>无／按本规则指定的给予—请求—接收—反馈—重订路径路由。</x:v>
      </x:c>
      <x:c r="O10" s="46" t="str">
        <x:v>近位、远位只修正该交换需求进入亲密关系核心的可能；不得据此判断具体伴侣现实中一定配合。</x:v>
      </x:c>
      <x:c r="P10" s="46" t="str">
        <x:v>根气只修正用户交换需求和通道是否稳定重复，不等于双方已形成成熟互惠。</x:v>
      </x:c>
      <x:c r="Q10" s="46" t="str">
        <x:v>旺弱只修正通道调用强度、抢位或缺位风险，不直接等于交换公平或关系质量。</x:v>
      </x:c>
      <x:c r="R10" s="46" t="str">
        <x:v>喜忌只修正调用顺畅度与摩擦，不可直接翻译为理想伴侣五行、十神或必然互补。</x:v>
      </x:c>
      <x:c r="S10" s="46" t="str">
        <x:v>真合化成立时按化神功能重算用户交换需求；合化争议时停止细化交换通道。</x:v>
      </x:c>
      <x:c r="T10" s="46" t="str">
        <x:v>近位提高该交换议题进入关系核心的可能；远位只保留背景或阶段性观察。</x:v>
      </x:c>
      <x:c r="U10" s="46" t="str">
        <x:v>99</x:v>
      </x:c>
      <x:c r="V10" s="46" t="str">
        <x:v>不加分；定义／门控</x:v>
      </x:c>
      <x:c r="W10" s="46" t="str">
        <x:v>partner_exchange_interface</x:v>
      </x:c>
      <x:c r="X10" s="46" t="str">
        <x:v>个人功能需要进入共同请求、接收、分工和修复后才形成交换结构。</x:v>
      </x:c>
      <x:c r="Y10" s="46" t="str">
        <x:v>两个人都很优秀，也仍要看能不能把能力接起来。</x:v>
      </x:c>
      <x:c r="Z1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" s="46" t="str">
        <x:v>高</x:v>
      </x:c>
      <x:c r="AB10" s="46" t="str">
        <x:v>待验证</x:v>
      </x:c>
      <x:c r="AC10" s="46" t="str"/>
      <x:c r="AD10" s="46" t="str">
        <x:v>provisional=true; rule_group=EXCHANGE-定义边界</x:v>
      </x:c>
      <x:c r="AE10" s="46" t="str">
        <x:v>0.4</x:v>
      </x:c>
    </x:row>
    <x:row r="11" ht="50" customHeight="1">
      <x:c r="A11" s="46" t="str">
        <x:v>M5-EXCHANGE-010</x:v>
      </x:c>
      <x:c r="B11" s="46" t="str">
        <x:v>现实双人事件高于命理结构</x:v>
      </x:c>
      <x:c r="C11" s="46" t="str">
        <x:v>L0 定义、边界与证据合同</x:v>
      </x:c>
      <x:c r="D11" s="46" t="str">
        <x:v>EXCHANGE-定义边界</x:v>
      </x:c>
      <x:c r="E11" s="46" t="str">
        <x:v>通用</x:v>
      </x:c>
      <x:c r="F11" s="46" t="str">
        <x:v>证据</x:v>
      </x:c>
      <x:c r="G11" s="46" t="str">
        <x:v>M5-EXCHANGE模块规则</x:v>
      </x:c>
      <x:c r="H11" s="46" t="str"/>
      <x:c r="I11" s="46" t="str">
        <x:v>分析具体关系交换。</x:v>
      </x:c>
      <x:c r="J11" s="46" t="str">
        <x:v>用用户命盘、对方命盘、合盘或十神替代现实事件。</x:v>
      </x:c>
      <x:c r="K11" s="46" t="str">
        <x:v>由共享基础引擎、M3与M5-BASE提供；只修正用户怎样给予、请求、接收和回馈，不直接判断双方现实交换质量。</x:v>
      </x:c>
      <x:c r="L11" s="46" t="str">
        <x:v>M2只说明进入关系所需资格证据；不能替代长期双向交换、负荷与修复验证。</x:v>
      </x:c>
      <x:c r="M11" s="46" t="str">
        <x:v>M3-BASE、EXPR、CARE和BOUND提供用户自然互动通道；M5-EXCHANGE负责把两人的实际行为合成为交换结构。</x:v>
      </x:c>
      <x:c r="N11" s="46" t="str">
        <x:v>无／按本规则指定的给予—请求—接收—反馈—重订路径路由。</x:v>
      </x:c>
      <x:c r="O11" s="46" t="str">
        <x:v>近位、远位只修正该交换需求进入亲密关系核心的可能；不得据此判断具体伴侣现实中一定配合。</x:v>
      </x:c>
      <x:c r="P11" s="46" t="str">
        <x:v>根气只修正用户交换需求和通道是否稳定重复，不等于双方已形成成熟互惠。</x:v>
      </x:c>
      <x:c r="Q11" s="46" t="str">
        <x:v>旺弱只修正通道调用强度、抢位或缺位风险，不直接等于交换公平或关系质量。</x:v>
      </x:c>
      <x:c r="R11" s="46" t="str">
        <x:v>喜忌只修正调用顺畅度与摩擦，不可直接翻译为理想伴侣五行、十神或必然互补。</x:v>
      </x:c>
      <x:c r="S11" s="46" t="str">
        <x:v>真合化成立时按化神功能重算用户交换需求；合化争议时停止细化交换通道。</x:v>
      </x:c>
      <x:c r="T11" s="46" t="str">
        <x:v>近位提高该交换议题进入关系核心的可能；远位只保留背景或阶段性观察。</x:v>
      </x:c>
      <x:c r="U11" s="46" t="str">
        <x:v>98</x:v>
      </x:c>
      <x:c r="V11" s="46" t="str">
        <x:v>不加分；定义／门控</x:v>
      </x:c>
      <x:c r="W11" s="46" t="str">
        <x:v>exchange_evidence_level</x:v>
      </x:c>
      <x:c r="X11" s="46" t="str">
        <x:v>命理生成观察任务，现实事件决定XV和XR状态。</x:v>
      </x:c>
      <x:c r="Y11" s="46" t="str">
        <x:v>命盘告诉你该观察什么，真实互动才告诉你交换是否成立。</x:v>
      </x:c>
      <x:c r="Z1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" s="46" t="str">
        <x:v>高</x:v>
      </x:c>
      <x:c r="AB11" s="46" t="str">
        <x:v>待验证</x:v>
      </x:c>
      <x:c r="AC11" s="46" t="str"/>
      <x:c r="AD11" s="46" t="str">
        <x:v>provisional=true; rule_group=EXCHANGE-定义边界</x:v>
      </x:c>
      <x:c r="AE11" s="46" t="str">
        <x:v>0.4</x:v>
      </x:c>
    </x:row>
    <x:row r="12" ht="50" customHeight="1">
      <x:c r="A12" s="46" t="str">
        <x:v>M5-EXCHANGE-011</x:v>
      </x:c>
      <x:c r="B12" s="46" t="str">
        <x:v>同一source_id只计一次基础权重</x:v>
      </x:c>
      <x:c r="C12" s="46" t="str">
        <x:v>L0 定义、边界与证据合同</x:v>
      </x:c>
      <x:c r="D12" s="46" t="str">
        <x:v>EXCHANGE-定义边界</x:v>
      </x:c>
      <x:c r="E12" s="46" t="str">
        <x:v>通用</x:v>
      </x:c>
      <x:c r="F12" s="46" t="str">
        <x:v>去重</x:v>
      </x:c>
      <x:c r="G12" s="46" t="str">
        <x:v>M5-EXCHANGE模块规则</x:v>
      </x:c>
      <x:c r="H12" s="46" t="str"/>
      <x:c r="I12" s="46" t="str">
        <x:v>同一命盘事实被多个模块解释。</x:v>
      </x:c>
      <x:c r="J12" s="46" t="str">
        <x:v>重复增加独立证据数。</x:v>
      </x:c>
      <x:c r="K12" s="46" t="str">
        <x:v>由共享基础引擎、M3与M5-BASE提供；只修正用户怎样给予、请求、接收和回馈，不直接判断双方现实交换质量。</x:v>
      </x:c>
      <x:c r="L12" s="46" t="str">
        <x:v>M2只说明进入关系所需资格证据；不能替代长期双向交换、负荷与修复验证。</x:v>
      </x:c>
      <x:c r="M12" s="46" t="str">
        <x:v>M3-BASE、EXPR、CARE和BOUND提供用户自然互动通道；M5-EXCHANGE负责把两人的实际行为合成为交换结构。</x:v>
      </x:c>
      <x:c r="N12" s="46" t="str">
        <x:v>无／按本规则指定的给予—请求—接收—反馈—重订路径路由。</x:v>
      </x:c>
      <x:c r="O12" s="46" t="str">
        <x:v>近位、远位只修正该交换需求进入亲密关系核心的可能；不得据此判断具体伴侣现实中一定配合。</x:v>
      </x:c>
      <x:c r="P12" s="46" t="str">
        <x:v>根气只修正用户交换需求和通道是否稳定重复，不等于双方已形成成熟互惠。</x:v>
      </x:c>
      <x:c r="Q12" s="46" t="str">
        <x:v>旺弱只修正通道调用强度、抢位或缺位风险，不直接等于交换公平或关系质量。</x:v>
      </x:c>
      <x:c r="R12" s="46" t="str">
        <x:v>喜忌只修正调用顺畅度与摩擦，不可直接翻译为理想伴侣五行、十神或必然互补。</x:v>
      </x:c>
      <x:c r="S12" s="46" t="str">
        <x:v>真合化成立时按化神功能重算用户交换需求；合化争议时停止细化交换通道。</x:v>
      </x:c>
      <x:c r="T12" s="46" t="str">
        <x:v>近位提高该交换议题进入关系核心的可能；远位只保留背景或阶段性观察。</x:v>
      </x:c>
      <x:c r="U12" s="46" t="str">
        <x:v>98</x:v>
      </x:c>
      <x:c r="V12" s="46" t="str">
        <x:v>不加分；定义／门控</x:v>
      </x:c>
      <x:c r="W12" s="46" t="str">
        <x:v>provenance</x:v>
      </x:c>
      <x:c r="X12" s="46" t="str">
        <x:v>允许不同功能解释，基础事实只计一次。</x:v>
      </x:c>
      <x:c r="Y12" s="46" t="str">
        <x:v>同一个命理事实不会因为被解释多次就变成多份证据。</x:v>
      </x:c>
      <x:c r="Z1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" s="46" t="str">
        <x:v>高</x:v>
      </x:c>
      <x:c r="AB12" s="46" t="str">
        <x:v>待验证</x:v>
      </x:c>
      <x:c r="AC12" s="46" t="str"/>
      <x:c r="AD12" s="46" t="str">
        <x:v>provisional=true; rule_group=EXCHANGE-定义边界</x:v>
      </x:c>
      <x:c r="AE12" s="46" t="str">
        <x:v>0.4</x:v>
      </x:c>
    </x:row>
    <x:row r="13" ht="50" customHeight="1">
      <x:c r="A13" s="46" t="str">
        <x:v>M5-EXCHANGE-012</x:v>
      </x:c>
      <x:c r="B13" s="46" t="str">
        <x:v>同一event_id只算一次交换事件</x:v>
      </x:c>
      <x:c r="C13" s="46" t="str">
        <x:v>L0 定义、边界与证据合同</x:v>
      </x:c>
      <x:c r="D13" s="46" t="str">
        <x:v>EXCHANGE-定义边界</x:v>
      </x:c>
      <x:c r="E13" s="46" t="str">
        <x:v>通用</x:v>
      </x:c>
      <x:c r="F13" s="46" t="str">
        <x:v>去重</x:v>
      </x:c>
      <x:c r="G13" s="46" t="str">
        <x:v>M5-EXCHANGE模块规则</x:v>
      </x:c>
      <x:c r="H13" s="46" t="str"/>
      <x:c r="I13" s="46" t="str">
        <x:v>一次事件同时支持多个ED或XD维度。</x:v>
      </x:c>
      <x:c r="J13" s="46" t="str">
        <x:v>把同一次付出、冲突或修复拆成多个事件。</x:v>
      </x:c>
      <x:c r="K13" s="46" t="str">
        <x:v>由共享基础引擎、M3与M5-BASE提供；只修正用户怎样给予、请求、接收和回馈，不直接判断双方现实交换质量。</x:v>
      </x:c>
      <x:c r="L13" s="46" t="str">
        <x:v>M2只说明进入关系所需资格证据；不能替代长期双向交换、负荷与修复验证。</x:v>
      </x:c>
      <x:c r="M13" s="46" t="str">
        <x:v>M3-BASE、EXPR、CARE和BOUND提供用户自然互动通道；M5-EXCHANGE负责把两人的实际行为合成为交换结构。</x:v>
      </x:c>
      <x:c r="N13" s="46" t="str">
        <x:v>无／按本规则指定的给予—请求—接收—反馈—重订路径路由。</x:v>
      </x:c>
      <x:c r="O13" s="46" t="str">
        <x:v>近位、远位只修正该交换需求进入亲密关系核心的可能；不得据此判断具体伴侣现实中一定配合。</x:v>
      </x:c>
      <x:c r="P13" s="46" t="str">
        <x:v>根气只修正用户交换需求和通道是否稳定重复，不等于双方已形成成熟互惠。</x:v>
      </x:c>
      <x:c r="Q13" s="46" t="str">
        <x:v>旺弱只修正通道调用强度、抢位或缺位风险，不直接等于交换公平或关系质量。</x:v>
      </x:c>
      <x:c r="R13" s="46" t="str">
        <x:v>喜忌只修正调用顺畅度与摩擦，不可直接翻译为理想伴侣五行、十神或必然互补。</x:v>
      </x:c>
      <x:c r="S13" s="46" t="str">
        <x:v>真合化成立时按化神功能重算用户交换需求；合化争议时停止细化交换通道。</x:v>
      </x:c>
      <x:c r="T13" s="46" t="str">
        <x:v>近位提高该交换议题进入关系核心的可能；远位只保留背景或阶段性观察。</x:v>
      </x:c>
      <x:c r="U13" s="46" t="str">
        <x:v>98</x:v>
      </x:c>
      <x:c r="V13" s="46" t="str">
        <x:v>不加分；定义／门控</x:v>
      </x:c>
      <x:c r="W13" s="46" t="str">
        <x:v>provenance</x:v>
      </x:c>
      <x:c r="X13" s="46" t="str">
        <x:v>一个事件可支持多字段，但只计一次现实事件。</x:v>
      </x:c>
      <x:c r="Y13" s="46" t="str">
        <x:v>一件事可以说明很多方面，但仍然只是一件事。</x:v>
      </x:c>
      <x:c r="Z1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3" s="46" t="str">
        <x:v>高</x:v>
      </x:c>
      <x:c r="AB13" s="46" t="str">
        <x:v>待验证</x:v>
      </x:c>
      <x:c r="AC13" s="46" t="str"/>
      <x:c r="AD13" s="46" t="str">
        <x:v>provisional=true; rule_group=EXCHANGE-定义边界</x:v>
      </x:c>
      <x:c r="AE13" s="46" t="str">
        <x:v>0.4</x:v>
      </x:c>
    </x:row>
    <x:row r="14" ht="50" customHeight="1">
      <x:c r="A14" s="46" t="str">
        <x:v>M5-EXCHANGE-013</x:v>
      </x:c>
      <x:c r="B14" s="46" t="str">
        <x:v>交换强度不等于交换成熟</x:v>
      </x:c>
      <x:c r="C14" s="46" t="str">
        <x:v>L0 定义、边界与证据合同</x:v>
      </x:c>
      <x:c r="D14" s="46" t="str">
        <x:v>EXCHANGE-定义边界</x:v>
      </x:c>
      <x:c r="E14" s="46" t="str">
        <x:v>通用</x:v>
      </x:c>
      <x:c r="F14" s="46" t="str">
        <x:v>边界</x:v>
      </x:c>
      <x:c r="G14" s="46" t="str">
        <x:v>M5-EXCHANGE模块规则</x:v>
      </x:c>
      <x:c r="H14" s="46" t="str"/>
      <x:c r="I14" s="46" t="str">
        <x:v>某一方投入很多、行动快或表达强。</x:v>
      </x:c>
      <x:c r="J14" s="46" t="str">
        <x:v>没有双向性、边界、负荷和修复证据。</x:v>
      </x:c>
      <x:c r="K14" s="46" t="str">
        <x:v>由共享基础引擎、M3与M5-BASE提供；只修正用户怎样给予、请求、接收和回馈，不直接判断双方现实交换质量。</x:v>
      </x:c>
      <x:c r="L14" s="46" t="str">
        <x:v>M2只说明进入关系所需资格证据；不能替代长期双向交换、负荷与修复验证。</x:v>
      </x:c>
      <x:c r="M14" s="46" t="str">
        <x:v>M3-BASE、EXPR、CARE和BOUND提供用户自然互动通道；M5-EXCHANGE负责把两人的实际行为合成为交换结构。</x:v>
      </x:c>
      <x:c r="N14" s="46" t="str">
        <x:v>无／按本规则指定的给予—请求—接收—反馈—重订路径路由。</x:v>
      </x:c>
      <x:c r="O14" s="46" t="str">
        <x:v>近位、远位只修正该交换需求进入亲密关系核心的可能；不得据此判断具体伴侣现实中一定配合。</x:v>
      </x:c>
      <x:c r="P14" s="46" t="str">
        <x:v>根气只修正用户交换需求和通道是否稳定重复，不等于双方已形成成熟互惠。</x:v>
      </x:c>
      <x:c r="Q14" s="46" t="str">
        <x:v>旺弱只修正通道调用强度、抢位或缺位风险，不直接等于交换公平或关系质量。</x:v>
      </x:c>
      <x:c r="R14" s="46" t="str">
        <x:v>喜忌只修正调用顺畅度与摩擦，不可直接翻译为理想伴侣五行、十神或必然互补。</x:v>
      </x:c>
      <x:c r="S14" s="46" t="str">
        <x:v>真合化成立时按化神功能重算用户交换需求；合化争议时停止细化交换通道。</x:v>
      </x:c>
      <x:c r="T14" s="46" t="str">
        <x:v>近位提高该交换议题进入关系核心的可能；远位只保留背景或阶段性观察。</x:v>
      </x:c>
      <x:c r="U14" s="46" t="str">
        <x:v>98</x:v>
      </x:c>
      <x:c r="V14" s="46" t="str">
        <x:v>不加分；定义／门控</x:v>
      </x:c>
      <x:c r="W14" s="46" t="str">
        <x:v>exchange_state</x:v>
      </x:c>
      <x:c r="X14" s="46" t="str">
        <x:v>成熟看能否请求、接收、调整和持续，不只看投入量。</x:v>
      </x:c>
      <x:c r="Y14" s="46" t="str">
        <x:v>付出很多不自动等于交换健康。</x:v>
      </x:c>
      <x:c r="Z1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4" s="46" t="str">
        <x:v>高</x:v>
      </x:c>
      <x:c r="AB14" s="46" t="str">
        <x:v>待验证</x:v>
      </x:c>
      <x:c r="AC14" s="46" t="str"/>
      <x:c r="AD14" s="46" t="str">
        <x:v>provisional=true; rule_group=EXCHANGE-定义边界</x:v>
      </x:c>
      <x:c r="AE14" s="46" t="str">
        <x:v>0.4</x:v>
      </x:c>
    </x:row>
    <x:row r="15" ht="50" customHeight="1">
      <x:c r="A15" s="46" t="str">
        <x:v>M5-EXCHANGE-014</x:v>
      </x:c>
      <x:c r="B15" s="46" t="str">
        <x:v>及时回报不等于健康互惠</x:v>
      </x:c>
      <x:c r="C15" s="46" t="str">
        <x:v>L0 定义、边界与证据合同</x:v>
      </x:c>
      <x:c r="D15" s="46" t="str">
        <x:v>EXCHANGE-定义边界</x:v>
      </x:c>
      <x:c r="E15" s="46" t="str">
        <x:v>通用</x:v>
      </x:c>
      <x:c r="F15" s="46" t="str">
        <x:v>边界</x:v>
      </x:c>
      <x:c r="G15" s="46" t="str">
        <x:v>M5-EXCHANGE模块规则</x:v>
      </x:c>
      <x:c r="H15" s="46" t="str"/>
      <x:c r="I15" s="46" t="str">
        <x:v>回馈速度快或慢。</x:v>
      </x:c>
      <x:c r="J15" s="46" t="str">
        <x:v>用即时回应作为唯一标准。</x:v>
      </x:c>
      <x:c r="K15" s="46" t="str">
        <x:v>由共享基础引擎、M3与M5-BASE提供；只修正用户怎样给予、请求、接收和回馈，不直接判断双方现实交换质量。</x:v>
      </x:c>
      <x:c r="L15" s="46" t="str">
        <x:v>M2只说明进入关系所需资格证据；不能替代长期双向交换、负荷与修复验证。</x:v>
      </x:c>
      <x:c r="M15" s="46" t="str">
        <x:v>M3-BASE、EXPR、CARE和BOUND提供用户自然互动通道；M5-EXCHANGE负责把两人的实际行为合成为交换结构。</x:v>
      </x:c>
      <x:c r="N15" s="46" t="str">
        <x:v>无／按本规则指定的给予—请求—接收—反馈—重订路径路由。</x:v>
      </x:c>
      <x:c r="O15" s="46" t="str">
        <x:v>近位、远位只修正该交换需求进入亲密关系核心的可能；不得据此判断具体伴侣现实中一定配合。</x:v>
      </x:c>
      <x:c r="P15" s="46" t="str">
        <x:v>根气只修正用户交换需求和通道是否稳定重复，不等于双方已形成成熟互惠。</x:v>
      </x:c>
      <x:c r="Q15" s="46" t="str">
        <x:v>旺弱只修正通道调用强度、抢位或缺位风险，不直接等于交换公平或关系质量。</x:v>
      </x:c>
      <x:c r="R15" s="46" t="str">
        <x:v>喜忌只修正调用顺畅度与摩擦，不可直接翻译为理想伴侣五行、十神或必然互补。</x:v>
      </x:c>
      <x:c r="S15" s="46" t="str">
        <x:v>真合化成立时按化神功能重算用户交换需求；合化争议时停止细化交换通道。</x:v>
      </x:c>
      <x:c r="T15" s="46" t="str">
        <x:v>近位提高该交换议题进入关系核心的可能；远位只保留背景或阶段性观察。</x:v>
      </x:c>
      <x:c r="U15" s="46" t="str">
        <x:v>98</x:v>
      </x:c>
      <x:c r="V15" s="46" t="str">
        <x:v>不加分；定义／门控</x:v>
      </x:c>
      <x:c r="W15" s="46" t="str">
        <x:v>reciprocity_timing</x:v>
      </x:c>
      <x:c r="X15" s="46" t="str">
        <x:v>同步、错峰和延迟都可有效，关键是可理解、可预期、有回流。</x:v>
      </x:c>
      <x:c r="Y15" s="46" t="str">
        <x:v>互惠可以不同步，但不能没有时间结构。</x:v>
      </x:c>
      <x:c r="Z1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5" s="46" t="str">
        <x:v>高</x:v>
      </x:c>
      <x:c r="AB15" s="46" t="str">
        <x:v>待验证</x:v>
      </x:c>
      <x:c r="AC15" s="46" t="str"/>
      <x:c r="AD15" s="46" t="str">
        <x:v>provisional=true; rule_group=EXCHANGE-定义边界</x:v>
      </x:c>
      <x:c r="AE15" s="46" t="str">
        <x:v>0.4</x:v>
      </x:c>
    </x:row>
    <x:row r="16" ht="50" customHeight="1">
      <x:c r="A16" s="46" t="str">
        <x:v>M5-EXCHANGE-015</x:v>
      </x:c>
      <x:c r="B16" s="46" t="str">
        <x:v>物质投入与情绪修复分开</x:v>
      </x:c>
      <x:c r="C16" s="46" t="str">
        <x:v>L0 定义、边界与证据合同</x:v>
      </x:c>
      <x:c r="D16" s="46" t="str">
        <x:v>EXCHANGE-定义边界</x:v>
      </x:c>
      <x:c r="E16" s="46" t="str">
        <x:v>通用</x:v>
      </x:c>
      <x:c r="F16" s="46" t="str">
        <x:v>边界</x:v>
      </x:c>
      <x:c r="G16" s="46" t="str">
        <x:v>M5-EXCHANGE模块规则</x:v>
      </x:c>
      <x:c r="H16" s="46" t="str"/>
      <x:c r="I16" s="46" t="str">
        <x:v>出现礼物、补偿、金钱或做事。</x:v>
      </x:c>
      <x:c r="J16" s="46" t="str">
        <x:v>用现实补偿删除情绪、责任和边界任务。</x:v>
      </x:c>
      <x:c r="K16" s="46" t="str">
        <x:v>由共享基础引擎、M3与M5-BASE提供；只修正用户怎样给予、请求、接收和回馈，不直接判断双方现实交换质量。</x:v>
      </x:c>
      <x:c r="L16" s="46" t="str">
        <x:v>M2只说明进入关系所需资格证据；不能替代长期双向交换、负荷与修复验证。</x:v>
      </x:c>
      <x:c r="M16" s="46" t="str">
        <x:v>M3-BASE、EXPR、CARE和BOUND提供用户自然互动通道；M5-EXCHANGE负责把两人的实际行为合成为交换结构。</x:v>
      </x:c>
      <x:c r="N16" s="46" t="str">
        <x:v>无／按本规则指定的给予—请求—接收—反馈—重订路径路由。</x:v>
      </x:c>
      <x:c r="O16" s="46" t="str">
        <x:v>近位、远位只修正该交换需求进入亲密关系核心的可能；不得据此判断具体伴侣现实中一定配合。</x:v>
      </x:c>
      <x:c r="P16" s="46" t="str">
        <x:v>根气只修正用户交换需求和通道是否稳定重复，不等于双方已形成成熟互惠。</x:v>
      </x:c>
      <x:c r="Q16" s="46" t="str">
        <x:v>旺弱只修正通道调用强度、抢位或缺位风险，不直接等于交换公平或关系质量。</x:v>
      </x:c>
      <x:c r="R16" s="46" t="str">
        <x:v>喜忌只修正调用顺畅度与摩擦，不可直接翻译为理想伴侣五行、十神或必然互补。</x:v>
      </x:c>
      <x:c r="S16" s="46" t="str">
        <x:v>真合化成立时按化神功能重算用户交换需求；合化争议时停止细化交换通道。</x:v>
      </x:c>
      <x:c r="T16" s="46" t="str">
        <x:v>近位提高该交换议题进入关系核心的可能；远位只保留背景或阶段性观察。</x:v>
      </x:c>
      <x:c r="U16" s="46" t="str">
        <x:v>97</x:v>
      </x:c>
      <x:c r="V16" s="46" t="str">
        <x:v>不加分；定义／门控</x:v>
      </x:c>
      <x:c r="W16" s="46" t="str">
        <x:v>pseudo_reciprocity_warning</x:v>
      </x:c>
      <x:c r="X16" s="46" t="str">
        <x:v>不同交换领域不可互相自动替代。</x:v>
      </x:c>
      <x:c r="Y16" s="46" t="str">
        <x:v>补偿可以有价值，但不能替代被理解、责任承担和关系修复。</x:v>
      </x:c>
      <x:c r="Z1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6" s="46" t="str">
        <x:v>高</x:v>
      </x:c>
      <x:c r="AB16" s="46" t="str">
        <x:v>待验证</x:v>
      </x:c>
      <x:c r="AC16" s="46" t="str"/>
      <x:c r="AD16" s="46" t="str">
        <x:v>provisional=true; rule_group=EXCHANGE-定义边界</x:v>
      </x:c>
      <x:c r="AE16" s="46" t="str">
        <x:v>0.4</x:v>
      </x:c>
    </x:row>
    <x:row r="17" ht="50" customHeight="1">
      <x:c r="A17" s="46" t="str">
        <x:v>M5-EXCHANGE-016</x:v>
      </x:c>
      <x:c r="B17" s="46" t="str">
        <x:v>角色分工不等于权力等级</x:v>
      </x:c>
      <x:c r="C17" s="46" t="str">
        <x:v>L0 定义、边界与证据合同</x:v>
      </x:c>
      <x:c r="D17" s="46" t="str">
        <x:v>EXCHANGE-定义边界</x:v>
      </x:c>
      <x:c r="E17" s="46" t="str">
        <x:v>通用</x:v>
      </x:c>
      <x:c r="F17" s="46" t="str">
        <x:v>边界</x:v>
      </x:c>
      <x:c r="G17" s="46" t="str">
        <x:v>M5-EXCHANGE模块规则</x:v>
      </x:c>
      <x:c r="H17" s="46" t="str"/>
      <x:c r="I17" s="46" t="str">
        <x:v>双方承担不同领域。</x:v>
      </x:c>
      <x:c r="J17" s="46" t="str">
        <x:v>把分工固化成一方长期拥有决定权。</x:v>
      </x:c>
      <x:c r="K17" s="46" t="str">
        <x:v>由共享基础引擎、M3与M5-BASE提供；只修正用户怎样给予、请求、接收和回馈，不直接判断双方现实交换质量。</x:v>
      </x:c>
      <x:c r="L17" s="46" t="str">
        <x:v>M2只说明进入关系所需资格证据；不能替代长期双向交换、负荷与修复验证。</x:v>
      </x:c>
      <x:c r="M17" s="46" t="str">
        <x:v>M3-BASE、EXPR、CARE和BOUND提供用户自然互动通道；M5-EXCHANGE负责把两人的实际行为合成为交换结构。</x:v>
      </x:c>
      <x:c r="N17" s="46" t="str">
        <x:v>无／按本规则指定的给予—请求—接收—反馈—重订路径路由。</x:v>
      </x:c>
      <x:c r="O17" s="46" t="str">
        <x:v>近位、远位只修正该交换需求进入亲密关系核心的可能；不得据此判断具体伴侣现实中一定配合。</x:v>
      </x:c>
      <x:c r="P17" s="46" t="str">
        <x:v>根气只修正用户交换需求和通道是否稳定重复，不等于双方已形成成熟互惠。</x:v>
      </x:c>
      <x:c r="Q17" s="46" t="str">
        <x:v>旺弱只修正通道调用强度、抢位或缺位风险，不直接等于交换公平或关系质量。</x:v>
      </x:c>
      <x:c r="R17" s="46" t="str">
        <x:v>喜忌只修正调用顺畅度与摩擦，不可直接翻译为理想伴侣五行、十神或必然互补。</x:v>
      </x:c>
      <x:c r="S17" s="46" t="str">
        <x:v>真合化成立时按化神功能重算用户交换需求；合化争议时停止细化交换通道。</x:v>
      </x:c>
      <x:c r="T17" s="46" t="str">
        <x:v>近位提高该交换议题进入关系核心的可能；远位只保留背景或阶段性观察。</x:v>
      </x:c>
      <x:c r="U17" s="46" t="str">
        <x:v>97</x:v>
      </x:c>
      <x:c r="V17" s="46" t="str">
        <x:v>不加分；定义／门控</x:v>
      </x:c>
      <x:c r="W17" s="46" t="str">
        <x:v>load_balance</x:v>
      </x:c>
      <x:c r="X17" s="46" t="str">
        <x:v>分工需自愿、透明、可轮换和可重订。</x:v>
      </x:c>
      <x:c r="Y17" s="46" t="str">
        <x:v>谁擅长什么可以不同，但人格地位和参与权仍应平等。</x:v>
      </x:c>
      <x:c r="Z1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7" s="46" t="str">
        <x:v>高</x:v>
      </x:c>
      <x:c r="AB17" s="46" t="str">
        <x:v>待验证</x:v>
      </x:c>
      <x:c r="AC17" s="46" t="str"/>
      <x:c r="AD17" s="46" t="str">
        <x:v>provisional=true; rule_group=EXCHANGE-定义边界</x:v>
      </x:c>
      <x:c r="AE17" s="46" t="str">
        <x:v>0.4</x:v>
      </x:c>
    </x:row>
    <x:row r="18" ht="50" customHeight="1">
      <x:c r="A18" s="46" t="str">
        <x:v>M5-EXCHANGE-017</x:v>
      </x:c>
      <x:c r="B18" s="46" t="str">
        <x:v>接受支持不产生自动债务</x:v>
      </x:c>
      <x:c r="C18" s="46" t="str">
        <x:v>L0 定义、边界与证据合同</x:v>
      </x:c>
      <x:c r="D18" s="46" t="str">
        <x:v>EXCHANGE-定义边界</x:v>
      </x:c>
      <x:c r="E18" s="46" t="str">
        <x:v>通用</x:v>
      </x:c>
      <x:c r="F18" s="46" t="str">
        <x:v>边界</x:v>
      </x:c>
      <x:c r="G18" s="46" t="str">
        <x:v>M5-EXCHANGE模块规则</x:v>
      </x:c>
      <x:c r="H18" s="46" t="str"/>
      <x:c r="I18" s="46" t="str">
        <x:v>一方接受照顾、资源或帮助。</x:v>
      </x:c>
      <x:c r="J18" s="46" t="str">
        <x:v>用帮助要求服从、立即等量偿还或放弃边界。</x:v>
      </x:c>
      <x:c r="K18" s="46" t="str">
        <x:v>由共享基础引擎、M3与M5-BASE提供；只修正用户怎样给予、请求、接收和回馈，不直接判断双方现实交换质量。</x:v>
      </x:c>
      <x:c r="L18" s="46" t="str">
        <x:v>M2只说明进入关系所需资格证据；不能替代长期双向交换、负荷与修复验证。</x:v>
      </x:c>
      <x:c r="M18" s="46" t="str">
        <x:v>M3-BASE、EXPR、CARE和BOUND提供用户自然互动通道；M5-EXCHANGE负责把两人的实际行为合成为交换结构。</x:v>
      </x:c>
      <x:c r="N18" s="46" t="str">
        <x:v>无／按本规则指定的给予—请求—接收—反馈—重订路径路由。</x:v>
      </x:c>
      <x:c r="O18" s="46" t="str">
        <x:v>近位、远位只修正该交换需求进入亲密关系核心的可能；不得据此判断具体伴侣现实中一定配合。</x:v>
      </x:c>
      <x:c r="P18" s="46" t="str">
        <x:v>根气只修正用户交换需求和通道是否稳定重复，不等于双方已形成成熟互惠。</x:v>
      </x:c>
      <x:c r="Q18" s="46" t="str">
        <x:v>旺弱只修正通道调用强度、抢位或缺位风险，不直接等于交换公平或关系质量。</x:v>
      </x:c>
      <x:c r="R18" s="46" t="str">
        <x:v>喜忌只修正调用顺畅度与摩擦，不可直接翻译为理想伴侣五行、十神或必然互补。</x:v>
      </x:c>
      <x:c r="S18" s="46" t="str">
        <x:v>真合化成立时按化神功能重算用户交换需求；合化争议时停止细化交换通道。</x:v>
      </x:c>
      <x:c r="T18" s="46" t="str">
        <x:v>近位提高该交换议题进入关系核心的可能；远位只保留背景或阶段性观察。</x:v>
      </x:c>
      <x:c r="U18" s="46" t="str">
        <x:v>97</x:v>
      </x:c>
      <x:c r="V18" s="46" t="str">
        <x:v>不加分；定义／门控</x:v>
      </x:c>
      <x:c r="W18" s="46" t="str">
        <x:v>receiving_style</x:v>
      </x:c>
      <x:c r="X18" s="46" t="str">
        <x:v>回馈属于协商后的长期互惠，不是自动债务。</x:v>
      </x:c>
      <x:c r="Y18" s="46" t="str">
        <x:v>被支持不等于欠下服从或必须马上偿还。</x:v>
      </x:c>
      <x:c r="Z1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8" s="46" t="str">
        <x:v>高</x:v>
      </x:c>
      <x:c r="AB18" s="46" t="str">
        <x:v>待验证</x:v>
      </x:c>
      <x:c r="AC18" s="46" t="str"/>
      <x:c r="AD18" s="46" t="str">
        <x:v>provisional=true; rule_group=EXCHANGE-定义边界</x:v>
      </x:c>
      <x:c r="AE18" s="46" t="str">
        <x:v>0.4</x:v>
      </x:c>
    </x:row>
    <x:row r="19" ht="50" customHeight="1">
      <x:c r="A19" s="46" t="str">
        <x:v>M5-EXCHANGE-018</x:v>
      </x:c>
      <x:c r="B19" s="46" t="str">
        <x:v>正文限制一个主交换结构</x:v>
      </x:c>
      <x:c r="C19" s="46" t="str">
        <x:v>L0 定义、边界与证据合同</x:v>
      </x:c>
      <x:c r="D19" s="46" t="str">
        <x:v>EXCHANGE-定义边界</x:v>
      </x:c>
      <x:c r="E19" s="46" t="str">
        <x:v>通用</x:v>
      </x:c>
      <x:c r="F19" s="46" t="str">
        <x:v>输出</x:v>
      </x:c>
      <x:c r="G19" s="46" t="str">
        <x:v>M5-EXCHANGE模块规则</x:v>
      </x:c>
      <x:c r="H19" s="46" t="str"/>
      <x:c r="I19" s="46" t="str">
        <x:v>多个EC、EM、XD候选并存。</x:v>
      </x:c>
      <x:c r="J19" s="46" t="str">
        <x:v>输出理想关系功能清单。</x:v>
      </x:c>
      <x:c r="K19" s="46" t="str">
        <x:v>由共享基础引擎、M3与M5-BASE提供；只修正用户怎样给予、请求、接收和回馈，不直接判断双方现实交换质量。</x:v>
      </x:c>
      <x:c r="L19" s="46" t="str">
        <x:v>M2只说明进入关系所需资格证据；不能替代长期双向交换、负荷与修复验证。</x:v>
      </x:c>
      <x:c r="M19" s="46" t="str">
        <x:v>M3-BASE、EXPR、CARE和BOUND提供用户自然互动通道；M5-EXCHANGE负责把两人的实际行为合成为交换结构。</x:v>
      </x:c>
      <x:c r="N19" s="46" t="str">
        <x:v>无／按本规则指定的给予—请求—接收—反馈—重订路径路由。</x:v>
      </x:c>
      <x:c r="O19" s="46" t="str">
        <x:v>近位、远位只修正该交换需求进入亲密关系核心的可能；不得据此判断具体伴侣现实中一定配合。</x:v>
      </x:c>
      <x:c r="P19" s="46" t="str">
        <x:v>根气只修正用户交换需求和通道是否稳定重复，不等于双方已形成成熟互惠。</x:v>
      </x:c>
      <x:c r="Q19" s="46" t="str">
        <x:v>旺弱只修正通道调用强度、抢位或缺位风险，不直接等于交换公平或关系质量。</x:v>
      </x:c>
      <x:c r="R19" s="46" t="str">
        <x:v>喜忌只修正调用顺畅度与摩擦，不可直接翻译为理想伴侣五行、十神或必然互补。</x:v>
      </x:c>
      <x:c r="S19" s="46" t="str">
        <x:v>真合化成立时按化神功能重算用户交换需求；合化争议时停止细化交换通道。</x:v>
      </x:c>
      <x:c r="T19" s="46" t="str">
        <x:v>近位提高该交换议题进入关系核心的可能；远位只保留背景或阶段性观察。</x:v>
      </x:c>
      <x:c r="U19" s="46" t="str">
        <x:v>97</x:v>
      </x:c>
      <x:c r="V19" s="46" t="str">
        <x:v>不加分；定义／门控</x:v>
      </x:c>
      <x:c r="W19" s="46" t="str">
        <x:v>report_text</x:v>
      </x:c>
      <x:c r="X19" s="46" t="str">
        <x:v>正文最多一项主通道、一项次通道、一种模式、一个风险和一个观察重点。</x:v>
      </x:c>
      <x:c r="Y19" s="46" t="str">
        <x:v>先抓最关键的交换方式，不把所有好条件堆在一起。</x:v>
      </x:c>
      <x:c r="Z1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9" s="46" t="str">
        <x:v>高</x:v>
      </x:c>
      <x:c r="AB19" s="46" t="str">
        <x:v>待验证</x:v>
      </x:c>
      <x:c r="AC19" s="46" t="str"/>
      <x:c r="AD19" s="46" t="str">
        <x:v>provisional=true; rule_group=EXCHANGE-定义边界</x:v>
      </x:c>
      <x:c r="AE19" s="46" t="str">
        <x:v>0.4</x:v>
      </x:c>
    </x:row>
    <x:row r="20" ht="50" customHeight="1">
      <x:c r="A20" s="46" t="str">
        <x:v>M5-EXCHANGE-019</x:v>
      </x:c>
      <x:c r="B20" s="46" t="str">
        <x:v>XV与FG严格分开</x:v>
      </x:c>
      <x:c r="C20" s="46" t="str">
        <x:v>L0 定义、边界与证据合同</x:v>
      </x:c>
      <x:c r="D20" s="46" t="str">
        <x:v>EXCHANGE-定义边界</x:v>
      </x:c>
      <x:c r="E20" s="46" t="str">
        <x:v>通用</x:v>
      </x:c>
      <x:c r="F20" s="46" t="str">
        <x:v>边界</x:v>
      </x:c>
      <x:c r="G20" s="46" t="str">
        <x:v>M5-EXCHANGE模块规则</x:v>
      </x:c>
      <x:c r="H20" s="46" t="str"/>
      <x:c r="I20" s="46" t="str">
        <x:v>同时使用交换证据等级和最终适配等级。</x:v>
      </x:c>
      <x:c r="J20" s="46" t="str">
        <x:v>把XV7直接写成FG4或用FG需求代替现实交换。</x:v>
      </x:c>
      <x:c r="K20" s="46" t="str">
        <x:v>由共享基础引擎、M3与M5-BASE提供；只修正用户怎样给予、请求、接收和回馈，不直接判断双方现实交换质量。</x:v>
      </x:c>
      <x:c r="L20" s="46" t="str">
        <x:v>M2只说明进入关系所需资格证据；不能替代长期双向交换、负荷与修复验证。</x:v>
      </x:c>
      <x:c r="M20" s="46" t="str">
        <x:v>M3-BASE、EXPR、CARE和BOUND提供用户自然互动通道；M5-EXCHANGE负责把两人的实际行为合成为交换结构。</x:v>
      </x:c>
      <x:c r="N20" s="46" t="str">
        <x:v>无／按本规则指定的给予—请求—接收—反馈—重订路径路由。</x:v>
      </x:c>
      <x:c r="O20" s="46" t="str">
        <x:v>近位、远位只修正该交换需求进入亲密关系核心的可能；不得据此判断具体伴侣现实中一定配合。</x:v>
      </x:c>
      <x:c r="P20" s="46" t="str">
        <x:v>根气只修正用户交换需求和通道是否稳定重复，不等于双方已形成成熟互惠。</x:v>
      </x:c>
      <x:c r="Q20" s="46" t="str">
        <x:v>旺弱只修正通道调用强度、抢位或缺位风险，不直接等于交换公平或关系质量。</x:v>
      </x:c>
      <x:c r="R20" s="46" t="str">
        <x:v>喜忌只修正调用顺畅度与摩擦，不可直接翻译为理想伴侣五行、十神或必然互补。</x:v>
      </x:c>
      <x:c r="S20" s="46" t="str">
        <x:v>真合化成立时按化神功能重算用户交换需求；合化争议时停止细化交换通道。</x:v>
      </x:c>
      <x:c r="T20" s="46" t="str">
        <x:v>近位提高该交换议题进入关系核心的可能；远位只保留背景或阶段性观察。</x:v>
      </x:c>
      <x:c r="U20" s="46" t="str">
        <x:v>97</x:v>
      </x:c>
      <x:c r="V20" s="46" t="str">
        <x:v>不加分；定义／门控</x:v>
      </x:c>
      <x:c r="W20" s="46" t="str">
        <x:v>fit_grade</x:v>
      </x:c>
      <x:c r="X20" s="46" t="str">
        <x:v>XV只描述双方交换证据深度；FG由M5-SYNTH综合全部门槛。</x:v>
      </x:c>
      <x:c r="Y20" s="46" t="str">
        <x:v>交换证据越深，判断越有依据，但最终适配仍要综合其他现实条件。</x:v>
      </x:c>
      <x:c r="Z2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0" s="46" t="str">
        <x:v>高</x:v>
      </x:c>
      <x:c r="AB20" s="46" t="str">
        <x:v>待验证</x:v>
      </x:c>
      <x:c r="AC20" s="46" t="str"/>
      <x:c r="AD20" s="46" t="str">
        <x:v>provisional=true; rule_group=EXCHANGE-定义边界</x:v>
      </x:c>
      <x:c r="AE20" s="46" t="str">
        <x:v>0.4</x:v>
      </x:c>
    </x:row>
    <x:row r="21" ht="50" customHeight="1">
      <x:c r="A21" s="46" t="str">
        <x:v>M5-EXCHANGE-020</x:v>
      </x:c>
      <x:c r="B21" s="46" t="str">
        <x:v>版本与验证状态｜全部规则暂定</x:v>
      </x:c>
      <x:c r="C21" s="46" t="str">
        <x:v>L0 定义、边界与证据合同</x:v>
      </x:c>
      <x:c r="D21" s="46" t="str">
        <x:v>EXCHANGE-定义边界</x:v>
      </x:c>
      <x:c r="E21" s="46" t="str">
        <x:v>通用</x:v>
      </x:c>
      <x:c r="F21" s="46" t="str">
        <x:v>版本</x:v>
      </x:c>
      <x:c r="G21" s="46" t="str">
        <x:v>M5-EXCHANGE模块规则</x:v>
      </x:c>
      <x:c r="H21" s="46" t="str"/>
      <x:c r="I21" s="46" t="str">
        <x:v>使用V0.4规则。</x:v>
      </x:c>
      <x:c r="J21" s="46" t="str">
        <x:v>把工程分值、规则数量或模型结论解释为统计概率。</x:v>
      </x:c>
      <x:c r="K21" s="46" t="str">
        <x:v>由共享基础引擎、M3与M5-BASE提供；只修正用户怎样给予、请求、接收和回馈，不直接判断双方现实交换质量。</x:v>
      </x:c>
      <x:c r="L21" s="46" t="str">
        <x:v>M2只说明进入关系所需资格证据；不能替代长期双向交换、负荷与修复验证。</x:v>
      </x:c>
      <x:c r="M21" s="46" t="str">
        <x:v>M3-BASE、EXPR、CARE和BOUND提供用户自然互动通道；M5-EXCHANGE负责把两人的实际行为合成为交换结构。</x:v>
      </x:c>
      <x:c r="N21" s="46" t="str">
        <x:v>无／按本规则指定的给予—请求—接收—反馈—重订路径路由。</x:v>
      </x:c>
      <x:c r="O21" s="46" t="str">
        <x:v>近位、远位只修正该交换需求进入亲密关系核心的可能；不得据此判断具体伴侣现实中一定配合。</x:v>
      </x:c>
      <x:c r="P21" s="46" t="str">
        <x:v>根气只修正用户交换需求和通道是否稳定重复，不等于双方已形成成熟互惠。</x:v>
      </x:c>
      <x:c r="Q21" s="46" t="str">
        <x:v>旺弱只修正通道调用强度、抢位或缺位风险，不直接等于交换公平或关系质量。</x:v>
      </x:c>
      <x:c r="R21" s="46" t="str">
        <x:v>喜忌只修正调用顺畅度与摩擦，不可直接翻译为理想伴侣五行、十神或必然互补。</x:v>
      </x:c>
      <x:c r="S21" s="46" t="str">
        <x:v>真合化成立时按化神功能重算用户交换需求；合化争议时停止细化交换通道。</x:v>
      </x:c>
      <x:c r="T21" s="46" t="str">
        <x:v>近位提高该交换议题进入关系核心的可能；远位只保留背景或阶段性观察。</x:v>
      </x:c>
      <x:c r="U21" s="46" t="str">
        <x:v>96</x:v>
      </x:c>
      <x:c r="V21" s="46" t="str">
        <x:v>不加分；定义／门控</x:v>
      </x:c>
      <x:c r="W21" s="46" t="str">
        <x:v>boundary_note</x:v>
      </x:c>
      <x:c r="X21" s="46" t="str">
        <x:v>本版用于结构化分析和案例校准，全部规则待验证。</x:v>
      </x:c>
      <x:c r="Y21" s="46" t="str">
        <x:v>这些是待验证的分析框架，不是婚姻成功概率。</x:v>
      </x:c>
      <x:c r="Z2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1" s="46" t="str">
        <x:v>高</x:v>
      </x:c>
      <x:c r="AB21" s="46" t="str">
        <x:v>待验证</x:v>
      </x:c>
      <x:c r="AC21" s="46" t="str"/>
      <x:c r="AD21" s="46" t="str">
        <x:v>provisional=true; rule_group=EXCHANGE-定义边界</x:v>
      </x:c>
      <x:c r="AE21" s="46" t="str">
        <x:v>0.4</x:v>
      </x:c>
    </x:row>
    <x:row r="22" ht="50" customHeight="1">
      <x:c r="A22" s="46" t="str">
        <x:v>M5-EXCHANGE-021</x:v>
      </x:c>
      <x:c r="B22" s="46" t="str">
        <x:v>EC01 平等参与｜通道定义</x:v>
      </x:c>
      <x:c r="C22" s="46" t="str">
        <x:v>L1 十类双向交换通道</x:v>
      </x:c>
      <x:c r="D22" s="46" t="str">
        <x:v>EXCHANGE-EC通道</x:v>
      </x:c>
      <x:c r="E22" s="46" t="str">
        <x:v>通用</x:v>
      </x:c>
      <x:c r="F22" s="46" t="str">
        <x:v>基础</x:v>
      </x:c>
      <x:c r="G22" s="46" t="str">
        <x:v>EC01 平等参与</x:v>
      </x:c>
      <x:c r="H22" s="46" t="str">
        <x:v>比肩</x:v>
      </x:c>
      <x:c r="I22" s="46" t="str">
        <x:v>M5-BASE或PARTNER将该FN路由为主／次交换功能。</x:v>
      </x:c>
      <x:c r="J22" s="46" t="str">
        <x:v>安全门控未通过或该通道只属PR3且与主风险冲突。</x:v>
      </x:c>
      <x:c r="K22" s="46" t="str">
        <x:v>由共享基础引擎、M3与M5-BASE提供；只修正用户怎样给予、请求、接收和回馈，不直接判断双方现实交换质量。</x:v>
      </x:c>
      <x:c r="L22" s="46" t="str">
        <x:v>M2只说明进入关系所需资格证据；不能替代长期双向交换、负荷与修复验证。</x:v>
      </x:c>
      <x:c r="M22" s="46" t="str">
        <x:v>M3-BASE、EXPR、CARE和BOUND提供用户自然互动通道；M5-EXCHANGE负责把两人的实际行为合成为交换结构。</x:v>
      </x:c>
      <x:c r="N22" s="46" t="str">
        <x:v>无／按本规则指定的给予—请求—接收—反馈—重订路径路由。</x:v>
      </x:c>
      <x:c r="O22" s="46" t="str">
        <x:v>近位、远位只修正该交换需求进入亲密关系核心的可能；不得据此判断具体伴侣现实中一定配合。</x:v>
      </x:c>
      <x:c r="P22" s="46" t="str">
        <x:v>根气只修正用户交换需求和通道是否稳定重复，不等于双方已形成成熟互惠。</x:v>
      </x:c>
      <x:c r="Q22" s="46" t="str">
        <x:v>旺弱只修正通道调用强度、抢位或缺位风险，不直接等于交换公平或关系质量。</x:v>
      </x:c>
      <x:c r="R22" s="46" t="str">
        <x:v>喜忌只修正调用顺畅度与摩擦，不可直接翻译为理想伴侣五行、十神或必然互补。</x:v>
      </x:c>
      <x:c r="S22" s="46" t="str">
        <x:v>真合化成立时按化神功能重算用户交换需求；合化争议时停止细化交换通道。</x:v>
      </x:c>
      <x:c r="T22" s="46" t="str">
        <x:v>近位提高该交换议题进入关系核心的可能；远位只保留背景或阶段性观察。</x:v>
      </x:c>
      <x:c r="U22" s="46" t="str">
        <x:v>94</x:v>
      </x:c>
      <x:c r="V22" s="46" t="str">
        <x:v>主通道候选 +18</x:v>
      </x:c>
      <x:c r="W22" s="46" t="str">
        <x:v>primary_exchange_channel</x:v>
      </x:c>
      <x:c r="X22" s="46" t="str">
        <x:v>EC01 平等参与将比肩功能转译为双人交换通道。</x:v>
      </x:c>
      <x:c r="Y22" s="46" t="str">
        <x:v>适合你的交换结构不是谁完全依附谁，而是双方都能参与、表达和调整分工。</x:v>
      </x:c>
      <x:c r="Z2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2" s="46" t="str">
        <x:v>中高</x:v>
      </x:c>
      <x:c r="AB22" s="46" t="str">
        <x:v>待验证</x:v>
      </x:c>
      <x:c r="AC22" s="46" t="str"/>
      <x:c r="AD22" s="46" t="str">
        <x:v>exchange_channel=EC01; ten_god=比肩; provisional=true; rule_group=EXCHANGE-EC通道</x:v>
      </x:c>
      <x:c r="AE22" s="46" t="str">
        <x:v>0.4</x:v>
      </x:c>
    </x:row>
    <x:row r="23" ht="50" customHeight="1">
      <x:c r="A23" s="46" t="str">
        <x:v>M5-EXCHANGE-022</x:v>
      </x:c>
      <x:c r="B23" s="46" t="str">
        <x:v>EC01 平等参与｜给予方式</x:v>
      </x:c>
      <x:c r="C23" s="46" t="str">
        <x:v>L1 十类双向交换通道</x:v>
      </x:c>
      <x:c r="D23" s="46" t="str">
        <x:v>EXCHANGE-EC通道</x:v>
      </x:c>
      <x:c r="E23" s="46" t="str">
        <x:v>通用</x:v>
      </x:c>
      <x:c r="F23" s="46" t="str">
        <x:v>给予</x:v>
      </x:c>
      <x:c r="G23" s="46" t="str">
        <x:v>EC01 平等参与</x:v>
      </x:c>
      <x:c r="H23" s="46" t="str">
        <x:v>比肩</x:v>
      </x:c>
      <x:c r="I23" s="46" t="str">
        <x:v>存在一方主动提供该类支持的现实资料。</x:v>
      </x:c>
      <x:c r="J23" s="46" t="str">
        <x:v>只有自述、身份或一次高光。</x:v>
      </x:c>
      <x:c r="K23" s="46" t="str">
        <x:v>由共享基础引擎、M3与M5-BASE提供；只修正用户怎样给予、请求、接收和回馈，不直接判断双方现实交换质量。</x:v>
      </x:c>
      <x:c r="L23" s="46" t="str">
        <x:v>M2只说明进入关系所需资格证据；不能替代长期双向交换、负荷与修复验证。</x:v>
      </x:c>
      <x:c r="M23" s="46" t="str">
        <x:v>M3-BASE、EXPR、CARE和BOUND提供用户自然互动通道；M5-EXCHANGE负责把两人的实际行为合成为交换结构。</x:v>
      </x:c>
      <x:c r="N23" s="46" t="str">
        <x:v>无／按本规则指定的给予—请求—接收—反馈—重订路径路由。</x:v>
      </x:c>
      <x:c r="O23" s="46" t="str">
        <x:v>近位、远位只修正该交换需求进入亲密关系核心的可能；不得据此判断具体伴侣现实中一定配合。</x:v>
      </x:c>
      <x:c r="P23" s="46" t="str">
        <x:v>根气只修正用户交换需求和通道是否稳定重复，不等于双方已形成成熟互惠。</x:v>
      </x:c>
      <x:c r="Q23" s="46" t="str">
        <x:v>旺弱只修正通道调用强度、抢位或缺位风险，不直接等于交换公平或关系质量。</x:v>
      </x:c>
      <x:c r="R23" s="46" t="str">
        <x:v>喜忌只修正调用顺畅度与摩擦，不可直接翻译为理想伴侣五行、十神或必然互补。</x:v>
      </x:c>
      <x:c r="S23" s="46" t="str">
        <x:v>真合化成立时按化神功能重算用户交换需求；合化争议时停止细化交换通道。</x:v>
      </x:c>
      <x:c r="T23" s="46" t="str">
        <x:v>近位提高该交换议题进入关系核心的可能；远位只保留背景或阶段性观察。</x:v>
      </x:c>
      <x:c r="U23" s="46" t="str">
        <x:v>84</x:v>
      </x:c>
      <x:c r="V23" s="46" t="str">
        <x:v>+8 给予证据</x:v>
      </x:c>
      <x:c r="W23" s="46" t="str">
        <x:v>giving_style</x:v>
      </x:c>
      <x:c r="X23" s="46" t="str">
        <x:v>通过共同讨论、分工与并肩参与提供支持，不替代对方的决定。</x:v>
      </x:c>
      <x:c r="Y23" s="46" t="str">
        <x:v>给予方面，较成熟的表现是：通过共同讨论、分工与并肩参与提供支持，不替代对方的决定。</x:v>
      </x:c>
      <x:c r="Z2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3" s="46" t="str">
        <x:v>中</x:v>
      </x:c>
      <x:c r="AB23" s="46" t="str">
        <x:v>待验证</x:v>
      </x:c>
      <x:c r="AC23" s="46" t="str"/>
      <x:c r="AD23" s="46" t="str">
        <x:v>exchange_channel=EC01; ten_god=比肩; provisional=true; rule_group=EXCHANGE-EC通道</x:v>
      </x:c>
      <x:c r="AE23" s="46" t="str">
        <x:v>0.4</x:v>
      </x:c>
    </x:row>
    <x:row r="24" ht="50" customHeight="1">
      <x:c r="A24" s="46" t="str">
        <x:v>M5-EXCHANGE-023</x:v>
      </x:c>
      <x:c r="B24" s="46" t="str">
        <x:v>EC01 平等参与｜请求方式</x:v>
      </x:c>
      <x:c r="C24" s="46" t="str">
        <x:v>L1 十类双向交换通道</x:v>
      </x:c>
      <x:c r="D24" s="46" t="str">
        <x:v>EXCHANGE-EC通道</x:v>
      </x:c>
      <x:c r="E24" s="46" t="str">
        <x:v>通用</x:v>
      </x:c>
      <x:c r="F24" s="46" t="str">
        <x:v>请求</x:v>
      </x:c>
      <x:c r="G24" s="46" t="str">
        <x:v>EC01 平等参与</x:v>
      </x:c>
      <x:c r="H24" s="46" t="str">
        <x:v>比肩</x:v>
      </x:c>
      <x:c r="I24" s="46" t="str">
        <x:v>存在提出需要、协商支持或分工的资料。</x:v>
      </x:c>
      <x:c r="J24" s="46" t="str">
        <x:v>只通过暗示、测试或事后抱怨推断。</x:v>
      </x:c>
      <x:c r="K24" s="46" t="str">
        <x:v>由共享基础引擎、M3与M5-BASE提供；只修正用户怎样给予、请求、接收和回馈，不直接判断双方现实交换质量。</x:v>
      </x:c>
      <x:c r="L24" s="46" t="str">
        <x:v>M2只说明进入关系所需资格证据；不能替代长期双向交换、负荷与修复验证。</x:v>
      </x:c>
      <x:c r="M24" s="46" t="str">
        <x:v>M3-BASE、EXPR、CARE和BOUND提供用户自然互动通道；M5-EXCHANGE负责把两人的实际行为合成为交换结构。</x:v>
      </x:c>
      <x:c r="N24" s="46" t="str">
        <x:v>无／按本规则指定的给予—请求—接收—反馈—重订路径路由。</x:v>
      </x:c>
      <x:c r="O24" s="46" t="str">
        <x:v>近位、远位只修正该交换需求进入亲密关系核心的可能；不得据此判断具体伴侣现实中一定配合。</x:v>
      </x:c>
      <x:c r="P24" s="46" t="str">
        <x:v>根气只修正用户交换需求和通道是否稳定重复，不等于双方已形成成熟互惠。</x:v>
      </x:c>
      <x:c r="Q24" s="46" t="str">
        <x:v>旺弱只修正通道调用强度、抢位或缺位风险，不直接等于交换公平或关系质量。</x:v>
      </x:c>
      <x:c r="R24" s="46" t="str">
        <x:v>喜忌只修正调用顺畅度与摩擦，不可直接翻译为理想伴侣五行、十神或必然互补。</x:v>
      </x:c>
      <x:c r="S24" s="46" t="str">
        <x:v>真合化成立时按化神功能重算用户交换需求；合化争议时停止细化交换通道。</x:v>
      </x:c>
      <x:c r="T24" s="46" t="str">
        <x:v>近位提高该交换议题进入关系核心的可能；远位只保留背景或阶段性观察。</x:v>
      </x:c>
      <x:c r="U24" s="46" t="str">
        <x:v>84</x:v>
      </x:c>
      <x:c r="V24" s="46" t="str">
        <x:v>+8 请求证据</x:v>
      </x:c>
      <x:c r="W24" s="46" t="str">
        <x:v>request_style</x:v>
      </x:c>
      <x:c r="X24" s="46" t="str">
        <x:v>提出需要时说明希望共同商量什么、哪些部分仍由自己决定。</x:v>
      </x:c>
      <x:c r="Y24" s="46" t="str">
        <x:v>提出需要时，适合采用：提出需要时说明希望共同商量什么、哪些部分仍由自己决定。</x:v>
      </x:c>
      <x:c r="Z2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4" s="46" t="str">
        <x:v>中</x:v>
      </x:c>
      <x:c r="AB24" s="46" t="str">
        <x:v>待验证</x:v>
      </x:c>
      <x:c r="AC24" s="46" t="str"/>
      <x:c r="AD24" s="46" t="str">
        <x:v>exchange_channel=EC01; ten_god=比肩; provisional=true; rule_group=EXCHANGE-EC通道</x:v>
      </x:c>
      <x:c r="AE24" s="46" t="str">
        <x:v>0.4</x:v>
      </x:c>
    </x:row>
    <x:row r="25" ht="50" customHeight="1">
      <x:c r="A25" s="46" t="str">
        <x:v>M5-EXCHANGE-024</x:v>
      </x:c>
      <x:c r="B25" s="46" t="str">
        <x:v>EC01 平等参与｜接收方式</x:v>
      </x:c>
      <x:c r="C25" s="46" t="str">
        <x:v>L1 十类双向交换通道</x:v>
      </x:c>
      <x:c r="D25" s="46" t="str">
        <x:v>EXCHANGE-EC通道</x:v>
      </x:c>
      <x:c r="E25" s="46" t="str">
        <x:v>通用</x:v>
      </x:c>
      <x:c r="F25" s="46" t="str">
        <x:v>接收</x:v>
      </x:c>
      <x:c r="G25" s="46" t="str">
        <x:v>EC01 平等参与</x:v>
      </x:c>
      <x:c r="H25" s="46" t="str">
        <x:v>比肩</x:v>
      </x:c>
      <x:c r="I25" s="46" t="str">
        <x:v>存在接受帮助、回应或资源的资料。</x:v>
      </x:c>
      <x:c r="J25" s="46" t="str">
        <x:v>把接受支持自动解释为依赖或债务。</x:v>
      </x:c>
      <x:c r="K25" s="46" t="str">
        <x:v>由共享基础引擎、M3与M5-BASE提供；只修正用户怎样给予、请求、接收和回馈，不直接判断双方现实交换质量。</x:v>
      </x:c>
      <x:c r="L25" s="46" t="str">
        <x:v>M2只说明进入关系所需资格证据；不能替代长期双向交换、负荷与修复验证。</x:v>
      </x:c>
      <x:c r="M25" s="46" t="str">
        <x:v>M3-BASE、EXPR、CARE和BOUND提供用户自然互动通道；M5-EXCHANGE负责把两人的实际行为合成为交换结构。</x:v>
      </x:c>
      <x:c r="N25" s="46" t="str">
        <x:v>无／按本规则指定的给予—请求—接收—反馈—重订路径路由。</x:v>
      </x:c>
      <x:c r="O25" s="46" t="str">
        <x:v>近位、远位只修正该交换需求进入亲密关系核心的可能；不得据此判断具体伴侣现实中一定配合。</x:v>
      </x:c>
      <x:c r="P25" s="46" t="str">
        <x:v>根气只修正用户交换需求和通道是否稳定重复，不等于双方已形成成熟互惠。</x:v>
      </x:c>
      <x:c r="Q25" s="46" t="str">
        <x:v>旺弱只修正通道调用强度、抢位或缺位风险，不直接等于交换公平或关系质量。</x:v>
      </x:c>
      <x:c r="R25" s="46" t="str">
        <x:v>喜忌只修正调用顺畅度与摩擦，不可直接翻译为理想伴侣五行、十神或必然互补。</x:v>
      </x:c>
      <x:c r="S25" s="46" t="str">
        <x:v>真合化成立时按化神功能重算用户交换需求；合化争议时停止细化交换通道。</x:v>
      </x:c>
      <x:c r="T25" s="46" t="str">
        <x:v>近位提高该交换议题进入关系核心的可能；远位只保留背景或阶段性观察。</x:v>
      </x:c>
      <x:c r="U25" s="46" t="str">
        <x:v>84</x:v>
      </x:c>
      <x:c r="V25" s="46" t="str">
        <x:v>+8 接收证据</x:v>
      </x:c>
      <x:c r="W25" s="46" t="str">
        <x:v>receiving_style</x:v>
      </x:c>
      <x:c r="X25" s="46" t="str">
        <x:v>接受帮助时保留表达、修改和拒绝权，也能明确承认对方的投入。</x:v>
      </x:c>
      <x:c r="Y25" s="46" t="str">
        <x:v>接收支持时，重点是：接受帮助时保留表达、修改和拒绝权，也能明确承认对方的投入。</x:v>
      </x:c>
      <x:c r="Z2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5" s="46" t="str">
        <x:v>中</x:v>
      </x:c>
      <x:c r="AB25" s="46" t="str">
        <x:v>待验证</x:v>
      </x:c>
      <x:c r="AC25" s="46" t="str"/>
      <x:c r="AD25" s="46" t="str">
        <x:v>exchange_channel=EC01; ten_god=比肩; provisional=true; rule_group=EXCHANGE-EC通道</x:v>
      </x:c>
      <x:c r="AE25" s="46" t="str">
        <x:v>0.4</x:v>
      </x:c>
    </x:row>
    <x:row r="26" ht="50" customHeight="1">
      <x:c r="A26" s="46" t="str">
        <x:v>M5-EXCHANGE-025</x:v>
      </x:c>
      <x:c r="B26" s="46" t="str">
        <x:v>EC01 平等参与｜回馈方式</x:v>
      </x:c>
      <x:c r="C26" s="46" t="str">
        <x:v>L1 十类双向交换通道</x:v>
      </x:c>
      <x:c r="D26" s="46" t="str">
        <x:v>EXCHANGE-EC通道</x:v>
      </x:c>
      <x:c r="E26" s="46" t="str">
        <x:v>通用</x:v>
      </x:c>
      <x:c r="F26" s="46" t="str">
        <x:v>回馈</x:v>
      </x:c>
      <x:c r="G26" s="46" t="str">
        <x:v>EC01 平等参与</x:v>
      </x:c>
      <x:c r="H26" s="46" t="str">
        <x:v>比肩</x:v>
      </x:c>
      <x:c r="I26" s="46" t="str">
        <x:v>存在后续回应、错峰回流或其他领域贡献。</x:v>
      </x:c>
      <x:c r="J26" s="46" t="str">
        <x:v>要求立即、同领域、等量回报。</x:v>
      </x:c>
      <x:c r="K26" s="46" t="str">
        <x:v>由共享基础引擎、M3与M5-BASE提供；只修正用户怎样给予、请求、接收和回馈，不直接判断双方现实交换质量。</x:v>
      </x:c>
      <x:c r="L26" s="46" t="str">
        <x:v>M2只说明进入关系所需资格证据；不能替代长期双向交换、负荷与修复验证。</x:v>
      </x:c>
      <x:c r="M26" s="46" t="str">
        <x:v>M3-BASE、EXPR、CARE和BOUND提供用户自然互动通道；M5-EXCHANGE负责把两人的实际行为合成为交换结构。</x:v>
      </x:c>
      <x:c r="N26" s="46" t="str">
        <x:v>无／按本规则指定的给予—请求—接收—反馈—重订路径路由。</x:v>
      </x:c>
      <x:c r="O26" s="46" t="str">
        <x:v>近位、远位只修正该交换需求进入亲密关系核心的可能；不得据此判断具体伴侣现实中一定配合。</x:v>
      </x:c>
      <x:c r="P26" s="46" t="str">
        <x:v>根气只修正用户交换需求和通道是否稳定重复，不等于双方已形成成熟互惠。</x:v>
      </x:c>
      <x:c r="Q26" s="46" t="str">
        <x:v>旺弱只修正通道调用强度、抢位或缺位风险，不直接等于交换公平或关系质量。</x:v>
      </x:c>
      <x:c r="R26" s="46" t="str">
        <x:v>喜忌只修正调用顺畅度与摩擦，不可直接翻译为理想伴侣五行、十神或必然互补。</x:v>
      </x:c>
      <x:c r="S26" s="46" t="str">
        <x:v>真合化成立时按化神功能重算用户交换需求；合化争议时停止细化交换通道。</x:v>
      </x:c>
      <x:c r="T26" s="46" t="str">
        <x:v>近位提高该交换议题进入关系核心的可能；远位只保留背景或阶段性观察。</x:v>
      </x:c>
      <x:c r="U26" s="46" t="str">
        <x:v>82</x:v>
      </x:c>
      <x:c r="V26" s="46" t="str">
        <x:v>+8 回馈证据</x:v>
      </x:c>
      <x:c r="W26" s="46" t="str">
        <x:v>reciprocity_style</x:v>
      </x:c>
      <x:c r="X26" s="46" t="str">
        <x:v>回馈不必逐项等量，但会在共同事务、信息和责任中稳定参与。</x:v>
      </x:c>
      <x:c r="Y26" s="46" t="str">
        <x:v>回馈不必完全相同，可以通过：回馈不必逐项等量，但会在共同事务、信息和责任中稳定参与。</x:v>
      </x:c>
      <x:c r="Z2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6" s="46" t="str">
        <x:v>中</x:v>
      </x:c>
      <x:c r="AB26" s="46" t="str">
        <x:v>待验证</x:v>
      </x:c>
      <x:c r="AC26" s="46" t="str"/>
      <x:c r="AD26" s="46" t="str">
        <x:v>exchange_channel=EC01; ten_god=比肩; provisional=true; rule_group=EXCHANGE-EC通道</x:v>
      </x:c>
      <x:c r="AE26" s="46" t="str">
        <x:v>0.4</x:v>
      </x:c>
    </x:row>
    <x:row r="27" ht="50" customHeight="1">
      <x:c r="A27" s="46" t="str">
        <x:v>M5-EXCHANGE-026</x:v>
      </x:c>
      <x:c r="B27" s="46" t="str">
        <x:v>EC01 平等参与｜成熟双向表达</x:v>
      </x:c>
      <x:c r="C27" s="46" t="str">
        <x:v>L1 十类双向交换通道</x:v>
      </x:c>
      <x:c r="D27" s="46" t="str">
        <x:v>EXCHANGE-EC通道</x:v>
      </x:c>
      <x:c r="E27" s="46" t="str">
        <x:v>通用</x:v>
      </x:c>
      <x:c r="F27" s="46" t="str">
        <x:v>成熟</x:v>
      </x:c>
      <x:c r="G27" s="46" t="str">
        <x:v>EC01 平等参与</x:v>
      </x:c>
      <x:c r="H27" s="46" t="str">
        <x:v>比肩</x:v>
      </x:c>
      <x:c r="I27" s="46" t="str">
        <x:v>XV4以上，且ED02、ED03、ED09至少两项可靠。</x:v>
      </x:c>
      <x:c r="J27" s="46" t="str">
        <x:v>只有一方能力或一次事件。</x:v>
      </x:c>
      <x:c r="K27" s="46" t="str">
        <x:v>由共享基础引擎、M3与M5-BASE提供；只修正用户怎样给予、请求、接收和回馈，不直接判断双方现实交换质量。</x:v>
      </x:c>
      <x:c r="L27" s="46" t="str">
        <x:v>M2只说明进入关系所需资格证据；不能替代长期双向交换、负荷与修复验证。</x:v>
      </x:c>
      <x:c r="M27" s="46" t="str">
        <x:v>M3-BASE、EXPR、CARE和BOUND提供用户自然互动通道；M5-EXCHANGE负责把两人的实际行为合成为交换结构。</x:v>
      </x:c>
      <x:c r="N27" s="46" t="str">
        <x:v>无／按本规则指定的给予—请求—接收—反馈—重订路径路由。</x:v>
      </x:c>
      <x:c r="O27" s="46" t="str">
        <x:v>近位、远位只修正该交换需求进入亲密关系核心的可能；不得据此判断具体伴侣现实中一定配合。</x:v>
      </x:c>
      <x:c r="P27" s="46" t="str">
        <x:v>根气只修正用户交换需求和通道是否稳定重复，不等于双方已形成成熟互惠。</x:v>
      </x:c>
      <x:c r="Q27" s="46" t="str">
        <x:v>旺弱只修正通道调用强度、抢位或缺位风险，不直接等于交换公平或关系质量。</x:v>
      </x:c>
      <x:c r="R27" s="46" t="str">
        <x:v>喜忌只修正调用顺畅度与摩擦，不可直接翻译为理想伴侣五行、十神或必然互补。</x:v>
      </x:c>
      <x:c r="S27" s="46" t="str">
        <x:v>真合化成立时按化神功能重算用户交换需求；合化争议时停止细化交换通道。</x:v>
      </x:c>
      <x:c r="T27" s="46" t="str">
        <x:v>近位提高该交换议题进入关系核心的可能；远位只保留背景或阶段性观察。</x:v>
      </x:c>
      <x:c r="U27" s="46" t="str">
        <x:v>90</x:v>
      </x:c>
      <x:c r="V27" s="46" t="str">
        <x:v>成熟 +14</x:v>
      </x:c>
      <x:c r="W27" s="46" t="str">
        <x:v>mature_exchange_profile</x:v>
      </x:c>
      <x:c r="X27" s="46" t="str">
        <x:v>双方都能提出需要、参与决定、承认贡献，并在分工变化时重新协商。</x:v>
      </x:c>
      <x:c r="Y27" s="46" t="str">
        <x:v>成熟交换通常表现为：双方都能提出需要、参与决定、承认贡献，并在分工变化时重新协商。</x:v>
      </x:c>
      <x:c r="Z2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7" s="46" t="str">
        <x:v>中高</x:v>
      </x:c>
      <x:c r="AB27" s="46" t="str">
        <x:v>待验证</x:v>
      </x:c>
      <x:c r="AC27" s="46" t="str"/>
      <x:c r="AD27" s="46" t="str">
        <x:v>exchange_channel=EC01; ten_god=比肩; provisional=true; rule_group=EXCHANGE-EC通道</x:v>
      </x:c>
      <x:c r="AE27" s="46" t="str">
        <x:v>0.4</x:v>
      </x:c>
    </x:row>
    <x:row r="28" ht="50" customHeight="1">
      <x:c r="A28" s="46" t="str">
        <x:v>M5-EXCHANGE-027</x:v>
      </x:c>
      <x:c r="B28" s="46" t="str">
        <x:v>EC01 平等参与｜失衡与替代候选</x:v>
      </x:c>
      <x:c r="C28" s="46" t="str">
        <x:v>L1 十类双向交换通道</x:v>
      </x:c>
      <x:c r="D28" s="46" t="str">
        <x:v>EXCHANGE-EC通道</x:v>
      </x:c>
      <x:c r="E28" s="46" t="str">
        <x:v>通用</x:v>
      </x:c>
      <x:c r="F28" s="46" t="str">
        <x:v>风险</x:v>
      </x:c>
      <x:c r="G28" s="46" t="str">
        <x:v>EC01 平等参与</x:v>
      </x:c>
      <x:c r="H28" s="46" t="str">
        <x:v>比肩</x:v>
      </x:c>
      <x:c r="I28" s="46" t="str">
        <x:v>现实资料显示抢位、替代、负荷或反馈断点。</x:v>
      </x:c>
      <x:c r="J28" s="46" t="str">
        <x:v>只有通道强度，没有第二类失衡证据。</x:v>
      </x:c>
      <x:c r="K28" s="46" t="str">
        <x:v>由共享基础引擎、M3与M5-BASE提供；只修正用户怎样给予、请求、接收和回馈，不直接判断双方现实交换质量。</x:v>
      </x:c>
      <x:c r="L28" s="46" t="str">
        <x:v>M2只说明进入关系所需资格证据；不能替代长期双向交换、负荷与修复验证。</x:v>
      </x:c>
      <x:c r="M28" s="46" t="str">
        <x:v>M3-BASE、EXPR、CARE和BOUND提供用户自然互动通道；M5-EXCHANGE负责把两人的实际行为合成为交换结构。</x:v>
      </x:c>
      <x:c r="N28" s="46" t="str">
        <x:v>无／按本规则指定的给予—请求—接收—反馈—重订路径路由。</x:v>
      </x:c>
      <x:c r="O28" s="46" t="str">
        <x:v>近位、远位只修正该交换需求进入亲密关系核心的可能；不得据此判断具体伴侣现实中一定配合。</x:v>
      </x:c>
      <x:c r="P28" s="46" t="str">
        <x:v>根气只修正用户交换需求和通道是否稳定重复，不等于双方已形成成熟互惠。</x:v>
      </x:c>
      <x:c r="Q28" s="46" t="str">
        <x:v>旺弱只修正通道调用强度、抢位或缺位风险，不直接等于交换公平或关系质量。</x:v>
      </x:c>
      <x:c r="R28" s="46" t="str">
        <x:v>喜忌只修正调用顺畅度与摩擦，不可直接翻译为理想伴侣五行、十神或必然互补。</x:v>
      </x:c>
      <x:c r="S28" s="46" t="str">
        <x:v>真合化成立时按化神功能重算用户交换需求；合化争议时停止细化交换通道。</x:v>
      </x:c>
      <x:c r="T28" s="46" t="str">
        <x:v>近位提高该交换议题进入关系核心的可能；远位只保留背景或阶段性观察。</x:v>
      </x:c>
      <x:c r="U28" s="46" t="str">
        <x:v>88</x:v>
      </x:c>
      <x:c r="V28" s="46" t="str">
        <x:v>风险 +12</x:v>
      </x:c>
      <x:c r="W28" s="46" t="str">
        <x:v>exchange_risk_warning</x:v>
      </x:c>
      <x:c r="X28" s="46" t="str">
        <x:v>容易把公平做成机械对半、逐项比较，或因害怕欠人情而拒绝接受支持。</x:v>
      </x:c>
      <x:c r="Y28" s="46" t="str">
        <x:v>需要留意：容易把公平做成机械对半、逐项比较，或因害怕欠人情而拒绝接受支持。</x:v>
      </x:c>
      <x:c r="Z2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8" s="46" t="str">
        <x:v>中高</x:v>
      </x:c>
      <x:c r="AB28" s="46" t="str">
        <x:v>待验证</x:v>
      </x:c>
      <x:c r="AC28" s="46" t="str"/>
      <x:c r="AD28" s="46" t="str">
        <x:v>exchange_channel=EC01; ten_god=比肩; provisional=true; rule_group=EXCHANGE-EC通道</x:v>
      </x:c>
      <x:c r="AE28" s="46" t="str">
        <x:v>0.4</x:v>
      </x:c>
    </x:row>
    <x:row r="29" ht="50" customHeight="1">
      <x:c r="A29" s="46" t="str">
        <x:v>M5-EXCHANGE-028</x:v>
      </x:c>
      <x:c r="B29" s="46" t="str">
        <x:v>EC01 平等参与｜关键观察与用户输出</x:v>
      </x:c>
      <x:c r="C29" s="46" t="str">
        <x:v>L1 十类双向交换通道</x:v>
      </x:c>
      <x:c r="D29" s="46" t="str">
        <x:v>EXCHANGE-EC通道</x:v>
      </x:c>
      <x:c r="E29" s="46" t="str">
        <x:v>通用</x:v>
      </x:c>
      <x:c r="F29" s="46" t="str">
        <x:v>输出</x:v>
      </x:c>
      <x:c r="G29" s="46" t="str">
        <x:v>EC01 平等参与</x:v>
      </x:c>
      <x:c r="H29" s="46" t="str">
        <x:v>比肩</x:v>
      </x:c>
      <x:c r="I29" s="46" t="str">
        <x:v>已形成主或次EC候选。</x:v>
      </x:c>
      <x:c r="J29" s="46" t="str">
        <x:v>XR08停止或资料严重不足。</x:v>
      </x:c>
      <x:c r="K29" s="46" t="str">
        <x:v>由共享基础引擎、M3与M5-BASE提供；只修正用户怎样给予、请求、接收和回馈，不直接判断双方现实交换质量。</x:v>
      </x:c>
      <x:c r="L29" s="46" t="str">
        <x:v>M2只说明进入关系所需资格证据；不能替代长期双向交换、负荷与修复验证。</x:v>
      </x:c>
      <x:c r="M29" s="46" t="str">
        <x:v>M3-BASE、EXPR、CARE和BOUND提供用户自然互动通道；M5-EXCHANGE负责把两人的实际行为合成为交换结构。</x:v>
      </x:c>
      <x:c r="N29" s="46" t="str">
        <x:v>无／按本规则指定的给予—请求—接收—反馈—重订路径路由。</x:v>
      </x:c>
      <x:c r="O29" s="46" t="str">
        <x:v>近位、远位只修正该交换需求进入亲密关系核心的可能；不得据此判断具体伴侣现实中一定配合。</x:v>
      </x:c>
      <x:c r="P29" s="46" t="str">
        <x:v>根气只修正用户交换需求和通道是否稳定重复，不等于双方已形成成熟互惠。</x:v>
      </x:c>
      <x:c r="Q29" s="46" t="str">
        <x:v>旺弱只修正通道调用强度、抢位或缺位风险，不直接等于交换公平或关系质量。</x:v>
      </x:c>
      <x:c r="R29" s="46" t="str">
        <x:v>喜忌只修正调用顺畅度与摩擦，不可直接翻译为理想伴侣五行、十神或必然互补。</x:v>
      </x:c>
      <x:c r="S29" s="46" t="str">
        <x:v>真合化成立时按化神功能重算用户交换需求；合化争议时停止细化交换通道。</x:v>
      </x:c>
      <x:c r="T29" s="46" t="str">
        <x:v>近位提高该交换议题进入关系核心的可能；远位只保留背景或阶段性观察。</x:v>
      </x:c>
      <x:c r="U29" s="46" t="str">
        <x:v>76</x:v>
      </x:c>
      <x:c r="V29" s="46" t="str">
        <x:v>不加分；输出</x:v>
      </x:c>
      <x:c r="W29" s="46" t="str">
        <x:v>observation_plan</x:v>
      </x:c>
      <x:c r="X29" s="46" t="str">
        <x:v>意见不同、贡献不等量或需要承担代价时，双方是否仍保留平等参与和重订空间。</x:v>
      </x:c>
      <x:c r="Y29" s="46" t="str">
        <x:v>意见不同、贡献不等量或需要承担代价时，双方是否仍保留平等参与和重订空间。</x:v>
      </x:c>
      <x:c r="Z2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9" s="46" t="str">
        <x:v>中高</x:v>
      </x:c>
      <x:c r="AB29" s="46" t="str">
        <x:v>待验证</x:v>
      </x:c>
      <x:c r="AC29" s="46" t="str"/>
      <x:c r="AD29" s="46" t="str">
        <x:v>exchange_channel=EC01; ten_god=比肩; provisional=true; rule_group=EXCHANGE-EC通道</x:v>
      </x:c>
      <x:c r="AE29" s="46" t="str">
        <x:v>0.4</x:v>
      </x:c>
    </x:row>
    <x:row r="30" ht="50" customHeight="1">
      <x:c r="A30" s="46" t="str">
        <x:v>M5-EXCHANGE-029</x:v>
      </x:c>
      <x:c r="B30" s="46" t="str">
        <x:v>EC02 即时协作｜通道定义</x:v>
      </x:c>
      <x:c r="C30" s="46" t="str">
        <x:v>L1 十类双向交换通道</x:v>
      </x:c>
      <x:c r="D30" s="46" t="str">
        <x:v>EXCHANGE-EC通道</x:v>
      </x:c>
      <x:c r="E30" s="46" t="str">
        <x:v>通用</x:v>
      </x:c>
      <x:c r="F30" s="46" t="str">
        <x:v>基础</x:v>
      </x:c>
      <x:c r="G30" s="46" t="str">
        <x:v>EC02 即时协作</x:v>
      </x:c>
      <x:c r="H30" s="46" t="str">
        <x:v>劫财</x:v>
      </x:c>
      <x:c r="I30" s="46" t="str">
        <x:v>M5-BASE或PARTNER将该FN路由为主／次交换功能。</x:v>
      </x:c>
      <x:c r="J30" s="46" t="str">
        <x:v>安全门控未通过或该通道只属PR3且与主风险冲突。</x:v>
      </x:c>
      <x:c r="K30" s="46" t="str">
        <x:v>由共享基础引擎、M3与M5-BASE提供；只修正用户怎样给予、请求、接收和回馈，不直接判断双方现实交换质量。</x:v>
      </x:c>
      <x:c r="L30" s="46" t="str">
        <x:v>M2只说明进入关系所需资格证据；不能替代长期双向交换、负荷与修复验证。</x:v>
      </x:c>
      <x:c r="M30" s="46" t="str">
        <x:v>M3-BASE、EXPR、CARE和BOUND提供用户自然互动通道；M5-EXCHANGE负责把两人的实际行为合成为交换结构。</x:v>
      </x:c>
      <x:c r="N30" s="46" t="str">
        <x:v>无／按本规则指定的给予—请求—接收—反馈—重订路径路由。</x:v>
      </x:c>
      <x:c r="O30" s="46" t="str">
        <x:v>近位、远位只修正该交换需求进入亲密关系核心的可能；不得据此判断具体伴侣现实中一定配合。</x:v>
      </x:c>
      <x:c r="P30" s="46" t="str">
        <x:v>根气只修正用户交换需求和通道是否稳定重复，不等于双方已形成成熟互惠。</x:v>
      </x:c>
      <x:c r="Q30" s="46" t="str">
        <x:v>旺弱只修正通道调用强度、抢位或缺位风险，不直接等于交换公平或关系质量。</x:v>
      </x:c>
      <x:c r="R30" s="46" t="str">
        <x:v>喜忌只修正调用顺畅度与摩擦，不可直接翻译为理想伴侣五行、十神或必然互补。</x:v>
      </x:c>
      <x:c r="S30" s="46" t="str">
        <x:v>真合化成立时按化神功能重算用户交换需求；合化争议时停止细化交换通道。</x:v>
      </x:c>
      <x:c r="T30" s="46" t="str">
        <x:v>近位提高该交换议题进入关系核心的可能；远位只保留背景或阶段性观察。</x:v>
      </x:c>
      <x:c r="U30" s="46" t="str">
        <x:v>94</x:v>
      </x:c>
      <x:c r="V30" s="46" t="str">
        <x:v>主通道候选 +18</x:v>
      </x:c>
      <x:c r="W30" s="46" t="str">
        <x:v>primary_exchange_channel</x:v>
      </x:c>
      <x:c r="X30" s="46" t="str">
        <x:v>EC02 即时协作将劫财功能转译为双人交换通道。</x:v>
      </x:c>
      <x:c r="Y30" s="46" t="str">
        <x:v>你需要的是能一起做事的人，同时还要把责任范围和后续说清楚。</x:v>
      </x:c>
      <x:c r="Z3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0" s="46" t="str">
        <x:v>中高</x:v>
      </x:c>
      <x:c r="AB30" s="46" t="str">
        <x:v>待验证</x:v>
      </x:c>
      <x:c r="AC30" s="46" t="str"/>
      <x:c r="AD30" s="46" t="str">
        <x:v>exchange_channel=EC02; ten_god=劫财; provisional=true; rule_group=EXCHANGE-EC通道</x:v>
      </x:c>
      <x:c r="AE30" s="46" t="str">
        <x:v>0.4</x:v>
      </x:c>
    </x:row>
    <x:row r="31" ht="50" customHeight="1">
      <x:c r="A31" s="46" t="str">
        <x:v>M5-EXCHANGE-030</x:v>
      </x:c>
      <x:c r="B31" s="46" t="str">
        <x:v>EC02 即时协作｜给予方式</x:v>
      </x:c>
      <x:c r="C31" s="46" t="str">
        <x:v>L1 十类双向交换通道</x:v>
      </x:c>
      <x:c r="D31" s="46" t="str">
        <x:v>EXCHANGE-EC通道</x:v>
      </x:c>
      <x:c r="E31" s="46" t="str">
        <x:v>通用</x:v>
      </x:c>
      <x:c r="F31" s="46" t="str">
        <x:v>给予</x:v>
      </x:c>
      <x:c r="G31" s="46" t="str">
        <x:v>EC02 即时协作</x:v>
      </x:c>
      <x:c r="H31" s="46" t="str">
        <x:v>劫财</x:v>
      </x:c>
      <x:c r="I31" s="46" t="str">
        <x:v>存在一方主动提供该类支持的现实资料。</x:v>
      </x:c>
      <x:c r="J31" s="46" t="str">
        <x:v>只有自述、身份或一次高光。</x:v>
      </x:c>
      <x:c r="K31" s="46" t="str">
        <x:v>由共享基础引擎、M3与M5-BASE提供；只修正用户怎样给予、请求、接收和回馈，不直接判断双方现实交换质量。</x:v>
      </x:c>
      <x:c r="L31" s="46" t="str">
        <x:v>M2只说明进入关系所需资格证据；不能替代长期双向交换、负荷与修复验证。</x:v>
      </x:c>
      <x:c r="M31" s="46" t="str">
        <x:v>M3-BASE、EXPR、CARE和BOUND提供用户自然互动通道；M5-EXCHANGE负责把两人的实际行为合成为交换结构。</x:v>
      </x:c>
      <x:c r="N31" s="46" t="str">
        <x:v>无／按本规则指定的给予—请求—接收—反馈—重订路径路由。</x:v>
      </x:c>
      <x:c r="O31" s="46" t="str">
        <x:v>近位、远位只修正该交换需求进入亲密关系核心的可能；不得据此判断具体伴侣现实中一定配合。</x:v>
      </x:c>
      <x:c r="P31" s="46" t="str">
        <x:v>根气只修正用户交换需求和通道是否稳定重复，不等于双方已形成成熟互惠。</x:v>
      </x:c>
      <x:c r="Q31" s="46" t="str">
        <x:v>旺弱只修正通道调用强度、抢位或缺位风险，不直接等于交换公平或关系质量。</x:v>
      </x:c>
      <x:c r="R31" s="46" t="str">
        <x:v>喜忌只修正调用顺畅度与摩擦，不可直接翻译为理想伴侣五行、十神或必然互补。</x:v>
      </x:c>
      <x:c r="S31" s="46" t="str">
        <x:v>真合化成立时按化神功能重算用户交换需求；合化争议时停止细化交换通道。</x:v>
      </x:c>
      <x:c r="T31" s="46" t="str">
        <x:v>近位提高该交换议题进入关系核心的可能；远位只保留背景或阶段性观察。</x:v>
      </x:c>
      <x:c r="U31" s="46" t="str">
        <x:v>84</x:v>
      </x:c>
      <x:c r="V31" s="46" t="str">
        <x:v>+8 给予证据</x:v>
      </x:c>
      <x:c r="W31" s="46" t="str">
        <x:v>giving_style</x:v>
      </x:c>
      <x:c r="X31" s="46" t="str">
        <x:v>在事情发生时快速加入、补位、调动资源并共同执行。</x:v>
      </x:c>
      <x:c r="Y31" s="46" t="str">
        <x:v>给予方面，较成熟的表现是：在事情发生时快速加入、补位、调动资源并共同执行。</x:v>
      </x:c>
      <x:c r="Z3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1" s="46" t="str">
        <x:v>中</x:v>
      </x:c>
      <x:c r="AB31" s="46" t="str">
        <x:v>待验证</x:v>
      </x:c>
      <x:c r="AC31" s="46" t="str"/>
      <x:c r="AD31" s="46" t="str">
        <x:v>exchange_channel=EC02; ten_god=劫财; provisional=true; rule_group=EXCHANGE-EC通道</x:v>
      </x:c>
      <x:c r="AE31" s="46" t="str">
        <x:v>0.4</x:v>
      </x:c>
    </x:row>
    <x:row r="32" ht="50" customHeight="1">
      <x:c r="A32" s="46" t="str">
        <x:v>M5-EXCHANGE-031</x:v>
      </x:c>
      <x:c r="B32" s="46" t="str">
        <x:v>EC02 即时协作｜请求方式</x:v>
      </x:c>
      <x:c r="C32" s="46" t="str">
        <x:v>L1 十类双向交换通道</x:v>
      </x:c>
      <x:c r="D32" s="46" t="str">
        <x:v>EXCHANGE-EC通道</x:v>
      </x:c>
      <x:c r="E32" s="46" t="str">
        <x:v>通用</x:v>
      </x:c>
      <x:c r="F32" s="46" t="str">
        <x:v>请求</x:v>
      </x:c>
      <x:c r="G32" s="46" t="str">
        <x:v>EC02 即时协作</x:v>
      </x:c>
      <x:c r="H32" s="46" t="str">
        <x:v>劫财</x:v>
      </x:c>
      <x:c r="I32" s="46" t="str">
        <x:v>存在提出需要、协商支持或分工的资料。</x:v>
      </x:c>
      <x:c r="J32" s="46" t="str">
        <x:v>只通过暗示、测试或事后抱怨推断。</x:v>
      </x:c>
      <x:c r="K32" s="46" t="str">
        <x:v>由共享基础引擎、M3与M5-BASE提供；只修正用户怎样给予、请求、接收和回馈，不直接判断双方现实交换质量。</x:v>
      </x:c>
      <x:c r="L32" s="46" t="str">
        <x:v>M2只说明进入关系所需资格证据；不能替代长期双向交换、负荷与修复验证。</x:v>
      </x:c>
      <x:c r="M32" s="46" t="str">
        <x:v>M3-BASE、EXPR、CARE和BOUND提供用户自然互动通道；M5-EXCHANGE负责把两人的实际行为合成为交换结构。</x:v>
      </x:c>
      <x:c r="N32" s="46" t="str">
        <x:v>无／按本规则指定的给予—请求—接收—反馈—重订路径路由。</x:v>
      </x:c>
      <x:c r="O32" s="46" t="str">
        <x:v>近位、远位只修正该交换需求进入亲密关系核心的可能；不得据此判断具体伴侣现实中一定配合。</x:v>
      </x:c>
      <x:c r="P32" s="46" t="str">
        <x:v>根气只修正用户交换需求和通道是否稳定重复，不等于双方已形成成熟互惠。</x:v>
      </x:c>
      <x:c r="Q32" s="46" t="str">
        <x:v>旺弱只修正通道调用强度、抢位或缺位风险，不直接等于交换公平或关系质量。</x:v>
      </x:c>
      <x:c r="R32" s="46" t="str">
        <x:v>喜忌只修正调用顺畅度与摩擦，不可直接翻译为理想伴侣五行、十神或必然互补。</x:v>
      </x:c>
      <x:c r="S32" s="46" t="str">
        <x:v>真合化成立时按化神功能重算用户交换需求；合化争议时停止细化交换通道。</x:v>
      </x:c>
      <x:c r="T32" s="46" t="str">
        <x:v>近位提高该交换议题进入关系核心的可能；远位只保留背景或阶段性观察。</x:v>
      </x:c>
      <x:c r="U32" s="46" t="str">
        <x:v>84</x:v>
      </x:c>
      <x:c r="V32" s="46" t="str">
        <x:v>+8 请求证据</x:v>
      </x:c>
      <x:c r="W32" s="46" t="str">
        <x:v>request_style</x:v>
      </x:c>
      <x:c r="X32" s="46" t="str">
        <x:v>需要帮助时直接说明任务、时限和责任范围，避免只靠临时默契。</x:v>
      </x:c>
      <x:c r="Y32" s="46" t="str">
        <x:v>提出需要时，适合采用：需要帮助时直接说明任务、时限和责任范围，避免只靠临时默契。</x:v>
      </x:c>
      <x:c r="Z3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2" s="46" t="str">
        <x:v>中</x:v>
      </x:c>
      <x:c r="AB32" s="46" t="str">
        <x:v>待验证</x:v>
      </x:c>
      <x:c r="AC32" s="46" t="str"/>
      <x:c r="AD32" s="46" t="str">
        <x:v>exchange_channel=EC02; ten_god=劫财; provisional=true; rule_group=EXCHANGE-EC通道</x:v>
      </x:c>
      <x:c r="AE32" s="46" t="str">
        <x:v>0.4</x:v>
      </x:c>
    </x:row>
    <x:row r="33" ht="50" customHeight="1">
      <x:c r="A33" s="46" t="str">
        <x:v>M5-EXCHANGE-032</x:v>
      </x:c>
      <x:c r="B33" s="46" t="str">
        <x:v>EC02 即时协作｜接收方式</x:v>
      </x:c>
      <x:c r="C33" s="46" t="str">
        <x:v>L1 十类双向交换通道</x:v>
      </x:c>
      <x:c r="D33" s="46" t="str">
        <x:v>EXCHANGE-EC通道</x:v>
      </x:c>
      <x:c r="E33" s="46" t="str">
        <x:v>通用</x:v>
      </x:c>
      <x:c r="F33" s="46" t="str">
        <x:v>接收</x:v>
      </x:c>
      <x:c r="G33" s="46" t="str">
        <x:v>EC02 即时协作</x:v>
      </x:c>
      <x:c r="H33" s="46" t="str">
        <x:v>劫财</x:v>
      </x:c>
      <x:c r="I33" s="46" t="str">
        <x:v>存在接受帮助、回应或资源的资料。</x:v>
      </x:c>
      <x:c r="J33" s="46" t="str">
        <x:v>把接受支持自动解释为依赖或债务。</x:v>
      </x:c>
      <x:c r="K33" s="46" t="str">
        <x:v>由共享基础引擎、M3与M5-BASE提供；只修正用户怎样给予、请求、接收和回馈，不直接判断双方现实交换质量。</x:v>
      </x:c>
      <x:c r="L33" s="46" t="str">
        <x:v>M2只说明进入关系所需资格证据；不能替代长期双向交换、负荷与修复验证。</x:v>
      </x:c>
      <x:c r="M33" s="46" t="str">
        <x:v>M3-BASE、EXPR、CARE和BOUND提供用户自然互动通道；M5-EXCHANGE负责把两人的实际行为合成为交换结构。</x:v>
      </x:c>
      <x:c r="N33" s="46" t="str">
        <x:v>无／按本规则指定的给予—请求—接收—反馈—重订路径路由。</x:v>
      </x:c>
      <x:c r="O33" s="46" t="str">
        <x:v>近位、远位只修正该交换需求进入亲密关系核心的可能；不得据此判断具体伴侣现实中一定配合。</x:v>
      </x:c>
      <x:c r="P33" s="46" t="str">
        <x:v>根气只修正用户交换需求和通道是否稳定重复，不等于双方已形成成熟互惠。</x:v>
      </x:c>
      <x:c r="Q33" s="46" t="str">
        <x:v>旺弱只修正通道调用强度、抢位或缺位风险，不直接等于交换公平或关系质量。</x:v>
      </x:c>
      <x:c r="R33" s="46" t="str">
        <x:v>喜忌只修正调用顺畅度与摩擦，不可直接翻译为理想伴侣五行、十神或必然互补。</x:v>
      </x:c>
      <x:c r="S33" s="46" t="str">
        <x:v>真合化成立时按化神功能重算用户交换需求；合化争议时停止细化交换通道。</x:v>
      </x:c>
      <x:c r="T33" s="46" t="str">
        <x:v>近位提高该交换议题进入关系核心的可能；远位只保留背景或阶段性观察。</x:v>
      </x:c>
      <x:c r="U33" s="46" t="str">
        <x:v>84</x:v>
      </x:c>
      <x:c r="V33" s="46" t="str">
        <x:v>+8 接收证据</x:v>
      </x:c>
      <x:c r="W33" s="46" t="str">
        <x:v>receiving_style</x:v>
      </x:c>
      <x:c r="X33" s="46" t="str">
        <x:v>能够接受对方迅速介入，同时确认权限、持续时间和后续交接。</x:v>
      </x:c>
      <x:c r="Y33" s="46" t="str">
        <x:v>接收支持时，重点是：能够接受对方迅速介入，同时确认权限、持续时间和后续交接。</x:v>
      </x:c>
      <x:c r="Z3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3" s="46" t="str">
        <x:v>中</x:v>
      </x:c>
      <x:c r="AB33" s="46" t="str">
        <x:v>待验证</x:v>
      </x:c>
      <x:c r="AC33" s="46" t="str"/>
      <x:c r="AD33" s="46" t="str">
        <x:v>exchange_channel=EC02; ten_god=劫财; provisional=true; rule_group=EXCHANGE-EC通道</x:v>
      </x:c>
      <x:c r="AE33" s="46" t="str">
        <x:v>0.4</x:v>
      </x:c>
    </x:row>
    <x:row r="34" ht="50" customHeight="1">
      <x:c r="A34" s="46" t="str">
        <x:v>M5-EXCHANGE-033</x:v>
      </x:c>
      <x:c r="B34" s="46" t="str">
        <x:v>EC02 即时协作｜回馈方式</x:v>
      </x:c>
      <x:c r="C34" s="46" t="str">
        <x:v>L1 十类双向交换通道</x:v>
      </x:c>
      <x:c r="D34" s="46" t="str">
        <x:v>EXCHANGE-EC通道</x:v>
      </x:c>
      <x:c r="E34" s="46" t="str">
        <x:v>通用</x:v>
      </x:c>
      <x:c r="F34" s="46" t="str">
        <x:v>回馈</x:v>
      </x:c>
      <x:c r="G34" s="46" t="str">
        <x:v>EC02 即时协作</x:v>
      </x:c>
      <x:c r="H34" s="46" t="str">
        <x:v>劫财</x:v>
      </x:c>
      <x:c r="I34" s="46" t="str">
        <x:v>存在后续回应、错峰回流或其他领域贡献。</x:v>
      </x:c>
      <x:c r="J34" s="46" t="str">
        <x:v>要求立即、同领域、等量回报。</x:v>
      </x:c>
      <x:c r="K34" s="46" t="str">
        <x:v>由共享基础引擎、M3与M5-BASE提供；只修正用户怎样给予、请求、接收和回馈，不直接判断双方现实交换质量。</x:v>
      </x:c>
      <x:c r="L34" s="46" t="str">
        <x:v>M2只说明进入关系所需资格证据；不能替代长期双向交换、负荷与修复验证。</x:v>
      </x:c>
      <x:c r="M34" s="46" t="str">
        <x:v>M3-BASE、EXPR、CARE和BOUND提供用户自然互动通道；M5-EXCHANGE负责把两人的实际行为合成为交换结构。</x:v>
      </x:c>
      <x:c r="N34" s="46" t="str">
        <x:v>无／按本规则指定的给予—请求—接收—反馈—重订路径路由。</x:v>
      </x:c>
      <x:c r="O34" s="46" t="str">
        <x:v>近位、远位只修正该交换需求进入亲密关系核心的可能；不得据此判断具体伴侣现实中一定配合。</x:v>
      </x:c>
      <x:c r="P34" s="46" t="str">
        <x:v>根气只修正用户交换需求和通道是否稳定重复，不等于双方已形成成熟互惠。</x:v>
      </x:c>
      <x:c r="Q34" s="46" t="str">
        <x:v>旺弱只修正通道调用强度、抢位或缺位风险，不直接等于交换公平或关系质量。</x:v>
      </x:c>
      <x:c r="R34" s="46" t="str">
        <x:v>喜忌只修正调用顺畅度与摩擦，不可直接翻译为理想伴侣五行、十神或必然互补。</x:v>
      </x:c>
      <x:c r="S34" s="46" t="str">
        <x:v>真合化成立时按化神功能重算用户交换需求；合化争议时停止细化交换通道。</x:v>
      </x:c>
      <x:c r="T34" s="46" t="str">
        <x:v>近位提高该交换议题进入关系核心的可能；远位只保留背景或阶段性观察。</x:v>
      </x:c>
      <x:c r="U34" s="46" t="str">
        <x:v>82</x:v>
      </x:c>
      <x:c r="V34" s="46" t="str">
        <x:v>+8 回馈证据</x:v>
      </x:c>
      <x:c r="W34" s="46" t="str">
        <x:v>reciprocity_style</x:v>
      </x:c>
      <x:c r="X34" s="46" t="str">
        <x:v>通过共同执行、后续跟进或在另一阶段接力回馈，而非只看当下等量。</x:v>
      </x:c>
      <x:c r="Y34" s="46" t="str">
        <x:v>回馈不必完全相同，可以通过：通过共同执行、后续跟进或在另一阶段接力回馈，而非只看当下等量。</x:v>
      </x:c>
      <x:c r="Z3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4" s="46" t="str">
        <x:v>中</x:v>
      </x:c>
      <x:c r="AB34" s="46" t="str">
        <x:v>待验证</x:v>
      </x:c>
      <x:c r="AC34" s="46" t="str"/>
      <x:c r="AD34" s="46" t="str">
        <x:v>exchange_channel=EC02; ten_god=劫财; provisional=true; rule_group=EXCHANGE-EC通道</x:v>
      </x:c>
      <x:c r="AE34" s="46" t="str">
        <x:v>0.4</x:v>
      </x:c>
    </x:row>
    <x:row r="35" ht="50" customHeight="1">
      <x:c r="A35" s="46" t="str">
        <x:v>M5-EXCHANGE-034</x:v>
      </x:c>
      <x:c r="B35" s="46" t="str">
        <x:v>EC02 即时协作｜成熟双向表达</x:v>
      </x:c>
      <x:c r="C35" s="46" t="str">
        <x:v>L1 十类双向交换通道</x:v>
      </x:c>
      <x:c r="D35" s="46" t="str">
        <x:v>EXCHANGE-EC通道</x:v>
      </x:c>
      <x:c r="E35" s="46" t="str">
        <x:v>通用</x:v>
      </x:c>
      <x:c r="F35" s="46" t="str">
        <x:v>成熟</x:v>
      </x:c>
      <x:c r="G35" s="46" t="str">
        <x:v>EC02 即时协作</x:v>
      </x:c>
      <x:c r="H35" s="46" t="str">
        <x:v>劫财</x:v>
      </x:c>
      <x:c r="I35" s="46" t="str">
        <x:v>XV4以上，且ED02、ED03、ED09至少两项可靠。</x:v>
      </x:c>
      <x:c r="J35" s="46" t="str">
        <x:v>只有一方能力或一次事件。</x:v>
      </x:c>
      <x:c r="K35" s="46" t="str">
        <x:v>由共享基础引擎、M3与M5-BASE提供；只修正用户怎样给予、请求、接收和回馈，不直接判断双方现实交换质量。</x:v>
      </x:c>
      <x:c r="L35" s="46" t="str">
        <x:v>M2只说明进入关系所需资格证据；不能替代长期双向交换、负荷与修复验证。</x:v>
      </x:c>
      <x:c r="M35" s="46" t="str">
        <x:v>M3-BASE、EXPR、CARE和BOUND提供用户自然互动通道；M5-EXCHANGE负责把两人的实际行为合成为交换结构。</x:v>
      </x:c>
      <x:c r="N35" s="46" t="str">
        <x:v>无／按本规则指定的给予—请求—接收—反馈—重订路径路由。</x:v>
      </x:c>
      <x:c r="O35" s="46" t="str">
        <x:v>近位、远位只修正该交换需求进入亲密关系核心的可能；不得据此判断具体伴侣现实中一定配合。</x:v>
      </x:c>
      <x:c r="P35" s="46" t="str">
        <x:v>根气只修正用户交换需求和通道是否稳定重复，不等于双方已形成成熟互惠。</x:v>
      </x:c>
      <x:c r="Q35" s="46" t="str">
        <x:v>旺弱只修正通道调用强度、抢位或缺位风险，不直接等于交换公平或关系质量。</x:v>
      </x:c>
      <x:c r="R35" s="46" t="str">
        <x:v>喜忌只修正调用顺畅度与摩擦，不可直接翻译为理想伴侣五行、十神或必然互补。</x:v>
      </x:c>
      <x:c r="S35" s="46" t="str">
        <x:v>真合化成立时按化神功能重算用户交换需求；合化争议时停止细化交换通道。</x:v>
      </x:c>
      <x:c r="T35" s="46" t="str">
        <x:v>近位提高该交换议题进入关系核心的可能；远位只保留背景或阶段性观察。</x:v>
      </x:c>
      <x:c r="U35" s="46" t="str">
        <x:v>90</x:v>
      </x:c>
      <x:c r="V35" s="46" t="str">
        <x:v>成熟 +14</x:v>
      </x:c>
      <x:c r="W35" s="46" t="str">
        <x:v>mature_exchange_profile</x:v>
      </x:c>
      <x:c r="X35" s="46" t="str">
        <x:v>反应快，也会说明范围、持续跟进并在热度下降后完成交接。</x:v>
      </x:c>
      <x:c r="Y35" s="46" t="str">
        <x:v>成熟交换通常表现为：反应快，也会说明范围、持续跟进并在热度下降后完成交接。</x:v>
      </x:c>
      <x:c r="Z3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5" s="46" t="str">
        <x:v>中高</x:v>
      </x:c>
      <x:c r="AB35" s="46" t="str">
        <x:v>待验证</x:v>
      </x:c>
      <x:c r="AC35" s="46" t="str"/>
      <x:c r="AD35" s="46" t="str">
        <x:v>exchange_channel=EC02; ten_god=劫财; provisional=true; rule_group=EXCHANGE-EC通道</x:v>
      </x:c>
      <x:c r="AE35" s="46" t="str">
        <x:v>0.4</x:v>
      </x:c>
    </x:row>
    <x:row r="36" ht="50" customHeight="1">
      <x:c r="A36" s="46" t="str">
        <x:v>M5-EXCHANGE-035</x:v>
      </x:c>
      <x:c r="B36" s="46" t="str">
        <x:v>EC02 即时协作｜失衡与替代候选</x:v>
      </x:c>
      <x:c r="C36" s="46" t="str">
        <x:v>L1 十类双向交换通道</x:v>
      </x:c>
      <x:c r="D36" s="46" t="str">
        <x:v>EXCHANGE-EC通道</x:v>
      </x:c>
      <x:c r="E36" s="46" t="str">
        <x:v>通用</x:v>
      </x:c>
      <x:c r="F36" s="46" t="str">
        <x:v>风险</x:v>
      </x:c>
      <x:c r="G36" s="46" t="str">
        <x:v>EC02 即时协作</x:v>
      </x:c>
      <x:c r="H36" s="46" t="str">
        <x:v>劫财</x:v>
      </x:c>
      <x:c r="I36" s="46" t="str">
        <x:v>现实资料显示抢位、替代、负荷或反馈断点。</x:v>
      </x:c>
      <x:c r="J36" s="46" t="str">
        <x:v>只有通道强度，没有第二类失衡证据。</x:v>
      </x:c>
      <x:c r="K36" s="46" t="str">
        <x:v>由共享基础引擎、M3与M5-BASE提供；只修正用户怎样给予、请求、接收和回馈，不直接判断双方现实交换质量。</x:v>
      </x:c>
      <x:c r="L36" s="46" t="str">
        <x:v>M2只说明进入关系所需资格证据；不能替代长期双向交换、负荷与修复验证。</x:v>
      </x:c>
      <x:c r="M36" s="46" t="str">
        <x:v>M3-BASE、EXPR、CARE和BOUND提供用户自然互动通道；M5-EXCHANGE负责把两人的实际行为合成为交换结构。</x:v>
      </x:c>
      <x:c r="N36" s="46" t="str">
        <x:v>无／按本规则指定的给予—请求—接收—反馈—重订路径路由。</x:v>
      </x:c>
      <x:c r="O36" s="46" t="str">
        <x:v>近位、远位只修正该交换需求进入亲密关系核心的可能；不得据此判断具体伴侣现实中一定配合。</x:v>
      </x:c>
      <x:c r="P36" s="46" t="str">
        <x:v>根气只修正用户交换需求和通道是否稳定重复，不等于双方已形成成熟互惠。</x:v>
      </x:c>
      <x:c r="Q36" s="46" t="str">
        <x:v>旺弱只修正通道调用强度、抢位或缺位风险，不直接等于交换公平或关系质量。</x:v>
      </x:c>
      <x:c r="R36" s="46" t="str">
        <x:v>喜忌只修正调用顺畅度与摩擦，不可直接翻译为理想伴侣五行、十神或必然互补。</x:v>
      </x:c>
      <x:c r="S36" s="46" t="str">
        <x:v>真合化成立时按化神功能重算用户交换需求；合化争议时停止细化交换通道。</x:v>
      </x:c>
      <x:c r="T36" s="46" t="str">
        <x:v>近位提高该交换议题进入关系核心的可能；远位只保留背景或阶段性观察。</x:v>
      </x:c>
      <x:c r="U36" s="46" t="str">
        <x:v>88</x:v>
      </x:c>
      <x:c r="V36" s="46" t="str">
        <x:v>风险 +12</x:v>
      </x:c>
      <x:c r="W36" s="46" t="str">
        <x:v>exchange_risk_warning</x:v>
      </x:c>
      <x:c r="X36" s="46" t="str">
        <x:v>初期参与感强，但范围不清、容易包办、资源边界模糊或后续跟进不足。</x:v>
      </x:c>
      <x:c r="Y36" s="46" t="str">
        <x:v>需要留意：初期参与感强，但范围不清、容易包办、资源边界模糊或后续跟进不足。</x:v>
      </x:c>
      <x:c r="Z3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6" s="46" t="str">
        <x:v>中高</x:v>
      </x:c>
      <x:c r="AB36" s="46" t="str">
        <x:v>待验证</x:v>
      </x:c>
      <x:c r="AC36" s="46" t="str"/>
      <x:c r="AD36" s="46" t="str">
        <x:v>exchange_channel=EC02; ten_god=劫财; provisional=true; rule_group=EXCHANGE-EC通道</x:v>
      </x:c>
      <x:c r="AE36" s="46" t="str">
        <x:v>0.4</x:v>
      </x:c>
    </x:row>
    <x:row r="37" ht="50" customHeight="1">
      <x:c r="A37" s="46" t="str">
        <x:v>M5-EXCHANGE-036</x:v>
      </x:c>
      <x:c r="B37" s="46" t="str">
        <x:v>EC02 即时协作｜关键观察与用户输出</x:v>
      </x:c>
      <x:c r="C37" s="46" t="str">
        <x:v>L1 十类双向交换通道</x:v>
      </x:c>
      <x:c r="D37" s="46" t="str">
        <x:v>EXCHANGE-EC通道</x:v>
      </x:c>
      <x:c r="E37" s="46" t="str">
        <x:v>通用</x:v>
      </x:c>
      <x:c r="F37" s="46" t="str">
        <x:v>输出</x:v>
      </x:c>
      <x:c r="G37" s="46" t="str">
        <x:v>EC02 即时协作</x:v>
      </x:c>
      <x:c r="H37" s="46" t="str">
        <x:v>劫财</x:v>
      </x:c>
      <x:c r="I37" s="46" t="str">
        <x:v>已形成主或次EC候选。</x:v>
      </x:c>
      <x:c r="J37" s="46" t="str">
        <x:v>XR08停止或资料严重不足。</x:v>
      </x:c>
      <x:c r="K37" s="46" t="str">
        <x:v>由共享基础引擎、M3与M5-BASE提供；只修正用户怎样给予、请求、接收和回馈，不直接判断双方现实交换质量。</x:v>
      </x:c>
      <x:c r="L37" s="46" t="str">
        <x:v>M2只说明进入关系所需资格证据；不能替代长期双向交换、负荷与修复验证。</x:v>
      </x:c>
      <x:c r="M37" s="46" t="str">
        <x:v>M3-BASE、EXPR、CARE和BOUND提供用户自然互动通道；M5-EXCHANGE负责把两人的实际行为合成为交换结构。</x:v>
      </x:c>
      <x:c r="N37" s="46" t="str">
        <x:v>无／按本规则指定的给予—请求—接收—反馈—重订路径路由。</x:v>
      </x:c>
      <x:c r="O37" s="46" t="str">
        <x:v>近位、远位只修正该交换需求进入亲密关系核心的可能；不得据此判断具体伴侣现实中一定配合。</x:v>
      </x:c>
      <x:c r="P37" s="46" t="str">
        <x:v>根气只修正用户交换需求和通道是否稳定重复，不等于双方已形成成熟互惠。</x:v>
      </x:c>
      <x:c r="Q37" s="46" t="str">
        <x:v>旺弱只修正通道调用强度、抢位或缺位风险，不直接等于交换公平或关系质量。</x:v>
      </x:c>
      <x:c r="R37" s="46" t="str">
        <x:v>喜忌只修正调用顺畅度与摩擦，不可直接翻译为理想伴侣五行、十神或必然互补。</x:v>
      </x:c>
      <x:c r="S37" s="46" t="str">
        <x:v>真合化成立时按化神功能重算用户交换需求；合化争议时停止细化交换通道。</x:v>
      </x:c>
      <x:c r="T37" s="46" t="str">
        <x:v>近位提高该交换议题进入关系核心的可能；远位只保留背景或阶段性观察。</x:v>
      </x:c>
      <x:c r="U37" s="46" t="str">
        <x:v>76</x:v>
      </x:c>
      <x:c r="V37" s="46" t="str">
        <x:v>不加分；输出</x:v>
      </x:c>
      <x:c r="W37" s="46" t="str">
        <x:v>observation_plan</x:v>
      </x:c>
      <x:c r="X37" s="46" t="str">
        <x:v>突发事件过后，参与是否仍持续，责任和资源是否得到清楚交接。</x:v>
      </x:c>
      <x:c r="Y37" s="46" t="str">
        <x:v>突发事件过后，参与是否仍持续，责任和资源是否得到清楚交接。</x:v>
      </x:c>
      <x:c r="Z3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7" s="46" t="str">
        <x:v>中高</x:v>
      </x:c>
      <x:c r="AB37" s="46" t="str">
        <x:v>待验证</x:v>
      </x:c>
      <x:c r="AC37" s="46" t="str"/>
      <x:c r="AD37" s="46" t="str">
        <x:v>exchange_channel=EC02; ten_god=劫财; provisional=true; rule_group=EXCHANGE-EC通道</x:v>
      </x:c>
      <x:c r="AE37" s="46" t="str">
        <x:v>0.4</x:v>
      </x:c>
    </x:row>
    <x:row r="38" ht="50" customHeight="1">
      <x:c r="A38" s="46" t="str">
        <x:v>M5-EXCHANGE-037</x:v>
      </x:c>
      <x:c r="B38" s="46" t="str">
        <x:v>EC03 舒缓照料｜通道定义</x:v>
      </x:c>
      <x:c r="C38" s="46" t="str">
        <x:v>L1 十类双向交换通道</x:v>
      </x:c>
      <x:c r="D38" s="46" t="str">
        <x:v>EXCHANGE-EC通道</x:v>
      </x:c>
      <x:c r="E38" s="46" t="str">
        <x:v>通用</x:v>
      </x:c>
      <x:c r="F38" s="46" t="str">
        <x:v>基础</x:v>
      </x:c>
      <x:c r="G38" s="46" t="str">
        <x:v>EC03 舒缓照料</x:v>
      </x:c>
      <x:c r="H38" s="46" t="str">
        <x:v>食神</x:v>
      </x:c>
      <x:c r="I38" s="46" t="str">
        <x:v>M5-BASE或PARTNER将该FN路由为主／次交换功能。</x:v>
      </x:c>
      <x:c r="J38" s="46" t="str">
        <x:v>安全门控未通过或该通道只属PR3且与主风险冲突。</x:v>
      </x:c>
      <x:c r="K38" s="46" t="str">
        <x:v>由共享基础引擎、M3与M5-BASE提供；只修正用户怎样给予、请求、接收和回馈，不直接判断双方现实交换质量。</x:v>
      </x:c>
      <x:c r="L38" s="46" t="str">
        <x:v>M2只说明进入关系所需资格证据；不能替代长期双向交换、负荷与修复验证。</x:v>
      </x:c>
      <x:c r="M38" s="46" t="str">
        <x:v>M3-BASE、EXPR、CARE和BOUND提供用户自然互动通道；M5-EXCHANGE负责把两人的实际行为合成为交换结构。</x:v>
      </x:c>
      <x:c r="N38" s="46" t="str">
        <x:v>无／按本规则指定的给予—请求—接收—反馈—重订路径路由。</x:v>
      </x:c>
      <x:c r="O38" s="46" t="str">
        <x:v>近位、远位只修正该交换需求进入亲密关系核心的可能；不得据此判断具体伴侣现实中一定配合。</x:v>
      </x:c>
      <x:c r="P38" s="46" t="str">
        <x:v>根气只修正用户交换需求和通道是否稳定重复，不等于双方已形成成熟互惠。</x:v>
      </x:c>
      <x:c r="Q38" s="46" t="str">
        <x:v>旺弱只修正通道调用强度、抢位或缺位风险，不直接等于交换公平或关系质量。</x:v>
      </x:c>
      <x:c r="R38" s="46" t="str">
        <x:v>喜忌只修正调用顺畅度与摩擦，不可直接翻译为理想伴侣五行、十神或必然互补。</x:v>
      </x:c>
      <x:c r="S38" s="46" t="str">
        <x:v>真合化成立时按化神功能重算用户交换需求；合化争议时停止细化交换通道。</x:v>
      </x:c>
      <x:c r="T38" s="46" t="str">
        <x:v>近位提高该交换议题进入关系核心的可能；远位只保留背景或阶段性观察。</x:v>
      </x:c>
      <x:c r="U38" s="46" t="str">
        <x:v>94</x:v>
      </x:c>
      <x:c r="V38" s="46" t="str">
        <x:v>主通道候选 +18</x:v>
      </x:c>
      <x:c r="W38" s="46" t="str">
        <x:v>primary_exchange_channel</x:v>
      </x:c>
      <x:c r="X38" s="46" t="str">
        <x:v>EC03 舒缓照料将食神功能转译为双人交换通道。</x:v>
      </x:c>
      <x:c r="Y38" s="46" t="str">
        <x:v>温和和陪伴很重要，但真正适配还要看双方能否在舒服之后继续处理问题。</x:v>
      </x:c>
      <x:c r="Z3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8" s="46" t="str">
        <x:v>中高</x:v>
      </x:c>
      <x:c r="AB38" s="46" t="str">
        <x:v>待验证</x:v>
      </x:c>
      <x:c r="AC38" s="46" t="str"/>
      <x:c r="AD38" s="46" t="str">
        <x:v>exchange_channel=EC03; ten_god=食神; provisional=true; rule_group=EXCHANGE-EC通道</x:v>
      </x:c>
      <x:c r="AE38" s="46" t="str">
        <x:v>0.4</x:v>
      </x:c>
    </x:row>
    <x:row r="39" ht="50" customHeight="1">
      <x:c r="A39" s="46" t="str">
        <x:v>M5-EXCHANGE-038</x:v>
      </x:c>
      <x:c r="B39" s="46" t="str">
        <x:v>EC03 舒缓照料｜给予方式</x:v>
      </x:c>
      <x:c r="C39" s="46" t="str">
        <x:v>L1 十类双向交换通道</x:v>
      </x:c>
      <x:c r="D39" s="46" t="str">
        <x:v>EXCHANGE-EC通道</x:v>
      </x:c>
      <x:c r="E39" s="46" t="str">
        <x:v>通用</x:v>
      </x:c>
      <x:c r="F39" s="46" t="str">
        <x:v>给予</x:v>
      </x:c>
      <x:c r="G39" s="46" t="str">
        <x:v>EC03 舒缓照料</x:v>
      </x:c>
      <x:c r="H39" s="46" t="str">
        <x:v>食神</x:v>
      </x:c>
      <x:c r="I39" s="46" t="str">
        <x:v>存在一方主动提供该类支持的现实资料。</x:v>
      </x:c>
      <x:c r="J39" s="46" t="str">
        <x:v>只有自述、身份或一次高光。</x:v>
      </x:c>
      <x:c r="K39" s="46" t="str">
        <x:v>由共享基础引擎、M3与M5-BASE提供；只修正用户怎样给予、请求、接收和回馈，不直接判断双方现实交换质量。</x:v>
      </x:c>
      <x:c r="L39" s="46" t="str">
        <x:v>M2只说明进入关系所需资格证据；不能替代长期双向交换、负荷与修复验证。</x:v>
      </x:c>
      <x:c r="M39" s="46" t="str">
        <x:v>M3-BASE、EXPR、CARE和BOUND提供用户自然互动通道；M5-EXCHANGE负责把两人的实际行为合成为交换结构。</x:v>
      </x:c>
      <x:c r="N39" s="46" t="str">
        <x:v>无／按本规则指定的给予—请求—接收—反馈—重订路径路由。</x:v>
      </x:c>
      <x:c r="O39" s="46" t="str">
        <x:v>近位、远位只修正该交换需求进入亲密关系核心的可能；不得据此判断具体伴侣现实中一定配合。</x:v>
      </x:c>
      <x:c r="P39" s="46" t="str">
        <x:v>根气只修正用户交换需求和通道是否稳定重复，不等于双方已形成成熟互惠。</x:v>
      </x:c>
      <x:c r="Q39" s="46" t="str">
        <x:v>旺弱只修正通道调用强度、抢位或缺位风险，不直接等于交换公平或关系质量。</x:v>
      </x:c>
      <x:c r="R39" s="46" t="str">
        <x:v>喜忌只修正调用顺畅度与摩擦，不可直接翻译为理想伴侣五行、十神或必然互补。</x:v>
      </x:c>
      <x:c r="S39" s="46" t="str">
        <x:v>真合化成立时按化神功能重算用户交换需求；合化争议时停止细化交换通道。</x:v>
      </x:c>
      <x:c r="T39" s="46" t="str">
        <x:v>近位提高该交换议题进入关系核心的可能；远位只保留背景或阶段性观察。</x:v>
      </x:c>
      <x:c r="U39" s="46" t="str">
        <x:v>84</x:v>
      </x:c>
      <x:c r="V39" s="46" t="str">
        <x:v>+8 给予证据</x:v>
      </x:c>
      <x:c r="W39" s="46" t="str">
        <x:v>giving_style</x:v>
      </x:c>
      <x:c r="X39" s="46" t="str">
        <x:v>通过陪伴、生活照顾、情绪安抚和低压力互动提供支持。</x:v>
      </x:c>
      <x:c r="Y39" s="46" t="str">
        <x:v>给予方面，较成熟的表现是：通过陪伴、生活照顾、情绪安抚和低压力互动提供支持。</x:v>
      </x:c>
      <x:c r="Z3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9" s="46" t="str">
        <x:v>中</x:v>
      </x:c>
      <x:c r="AB39" s="46" t="str">
        <x:v>待验证</x:v>
      </x:c>
      <x:c r="AC39" s="46" t="str"/>
      <x:c r="AD39" s="46" t="str">
        <x:v>exchange_channel=EC03; ten_god=食神; provisional=true; rule_group=EXCHANGE-EC通道</x:v>
      </x:c>
      <x:c r="AE39" s="46" t="str">
        <x:v>0.4</x:v>
      </x:c>
    </x:row>
    <x:row r="40" ht="50" customHeight="1">
      <x:c r="A40" s="46" t="str">
        <x:v>M5-EXCHANGE-039</x:v>
      </x:c>
      <x:c r="B40" s="46" t="str">
        <x:v>EC03 舒缓照料｜请求方式</x:v>
      </x:c>
      <x:c r="C40" s="46" t="str">
        <x:v>L1 十类双向交换通道</x:v>
      </x:c>
      <x:c r="D40" s="46" t="str">
        <x:v>EXCHANGE-EC通道</x:v>
      </x:c>
      <x:c r="E40" s="46" t="str">
        <x:v>通用</x:v>
      </x:c>
      <x:c r="F40" s="46" t="str">
        <x:v>请求</x:v>
      </x:c>
      <x:c r="G40" s="46" t="str">
        <x:v>EC03 舒缓照料</x:v>
      </x:c>
      <x:c r="H40" s="46" t="str">
        <x:v>食神</x:v>
      </x:c>
      <x:c r="I40" s="46" t="str">
        <x:v>存在提出需要、协商支持或分工的资料。</x:v>
      </x:c>
      <x:c r="J40" s="46" t="str">
        <x:v>只通过暗示、测试或事后抱怨推断。</x:v>
      </x:c>
      <x:c r="K40" s="46" t="str">
        <x:v>由共享基础引擎、M3与M5-BASE提供；只修正用户怎样给予、请求、接收和回馈，不直接判断双方现实交换质量。</x:v>
      </x:c>
      <x:c r="L40" s="46" t="str">
        <x:v>M2只说明进入关系所需资格证据；不能替代长期双向交换、负荷与修复验证。</x:v>
      </x:c>
      <x:c r="M40" s="46" t="str">
        <x:v>M3-BASE、EXPR、CARE和BOUND提供用户自然互动通道；M5-EXCHANGE负责把两人的实际行为合成为交换结构。</x:v>
      </x:c>
      <x:c r="N40" s="46" t="str">
        <x:v>无／按本规则指定的给予—请求—接收—反馈—重订路径路由。</x:v>
      </x:c>
      <x:c r="O40" s="46" t="str">
        <x:v>近位、远位只修正该交换需求进入亲密关系核心的可能；不得据此判断具体伴侣现实中一定配合。</x:v>
      </x:c>
      <x:c r="P40" s="46" t="str">
        <x:v>根气只修正用户交换需求和通道是否稳定重复，不等于双方已形成成熟互惠。</x:v>
      </x:c>
      <x:c r="Q40" s="46" t="str">
        <x:v>旺弱只修正通道调用强度、抢位或缺位风险，不直接等于交换公平或关系质量。</x:v>
      </x:c>
      <x:c r="R40" s="46" t="str">
        <x:v>喜忌只修正调用顺畅度与摩擦，不可直接翻译为理想伴侣五行、十神或必然互补。</x:v>
      </x:c>
      <x:c r="S40" s="46" t="str">
        <x:v>真合化成立时按化神功能重算用户交换需求；合化争议时停止细化交换通道。</x:v>
      </x:c>
      <x:c r="T40" s="46" t="str">
        <x:v>近位提高该交换议题进入关系核心的可能；远位只保留背景或阶段性观察。</x:v>
      </x:c>
      <x:c r="U40" s="46" t="str">
        <x:v>84</x:v>
      </x:c>
      <x:c r="V40" s="46" t="str">
        <x:v>+8 请求证据</x:v>
      </x:c>
      <x:c r="W40" s="46" t="str">
        <x:v>request_style</x:v>
      </x:c>
      <x:c r="X40" s="46" t="str">
        <x:v>更适合清楚说明希望被陪伴、被安抚还是暂时降低强度。</x:v>
      </x:c>
      <x:c r="Y40" s="46" t="str">
        <x:v>提出需要时，适合采用：更适合清楚说明希望被陪伴、被安抚还是暂时降低强度。</x:v>
      </x:c>
      <x:c r="Z4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0" s="46" t="str">
        <x:v>中</x:v>
      </x:c>
      <x:c r="AB40" s="46" t="str">
        <x:v>待验证</x:v>
      </x:c>
      <x:c r="AC40" s="46" t="str"/>
      <x:c r="AD40" s="46" t="str">
        <x:v>exchange_channel=EC03; ten_god=食神; provisional=true; rule_group=EXCHANGE-EC通道</x:v>
      </x:c>
      <x:c r="AE40" s="46" t="str">
        <x:v>0.4</x:v>
      </x:c>
    </x:row>
    <x:row r="41" ht="50" customHeight="1">
      <x:c r="A41" s="46" t="str">
        <x:v>M5-EXCHANGE-040</x:v>
      </x:c>
      <x:c r="B41" s="46" t="str">
        <x:v>EC03 舒缓照料｜接收方式</x:v>
      </x:c>
      <x:c r="C41" s="46" t="str">
        <x:v>L1 十类双向交换通道</x:v>
      </x:c>
      <x:c r="D41" s="46" t="str">
        <x:v>EXCHANGE-EC通道</x:v>
      </x:c>
      <x:c r="E41" s="46" t="str">
        <x:v>通用</x:v>
      </x:c>
      <x:c r="F41" s="46" t="str">
        <x:v>接收</x:v>
      </x:c>
      <x:c r="G41" s="46" t="str">
        <x:v>EC03 舒缓照料</x:v>
      </x:c>
      <x:c r="H41" s="46" t="str">
        <x:v>食神</x:v>
      </x:c>
      <x:c r="I41" s="46" t="str">
        <x:v>存在接受帮助、回应或资源的资料。</x:v>
      </x:c>
      <x:c r="J41" s="46" t="str">
        <x:v>把接受支持自动解释为依赖或债务。</x:v>
      </x:c>
      <x:c r="K41" s="46" t="str">
        <x:v>由共享基础引擎、M3与M5-BASE提供；只修正用户怎样给予、请求、接收和回馈，不直接判断双方现实交换质量。</x:v>
      </x:c>
      <x:c r="L41" s="46" t="str">
        <x:v>M2只说明进入关系所需资格证据；不能替代长期双向交换、负荷与修复验证。</x:v>
      </x:c>
      <x:c r="M41" s="46" t="str">
        <x:v>M3-BASE、EXPR、CARE和BOUND提供用户自然互动通道；M5-EXCHANGE负责把两人的实际行为合成为交换结构。</x:v>
      </x:c>
      <x:c r="N41" s="46" t="str">
        <x:v>无／按本规则指定的给予—请求—接收—反馈—重订路径路由。</x:v>
      </x:c>
      <x:c r="O41" s="46" t="str">
        <x:v>近位、远位只修正该交换需求进入亲密关系核心的可能；不得据此判断具体伴侣现实中一定配合。</x:v>
      </x:c>
      <x:c r="P41" s="46" t="str">
        <x:v>根气只修正用户交换需求和通道是否稳定重复，不等于双方已形成成熟互惠。</x:v>
      </x:c>
      <x:c r="Q41" s="46" t="str">
        <x:v>旺弱只修正通道调用强度、抢位或缺位风险，不直接等于交换公平或关系质量。</x:v>
      </x:c>
      <x:c r="R41" s="46" t="str">
        <x:v>喜忌只修正调用顺畅度与摩擦，不可直接翻译为理想伴侣五行、十神或必然互补。</x:v>
      </x:c>
      <x:c r="S41" s="46" t="str">
        <x:v>真合化成立时按化神功能重算用户交换需求；合化争议时停止细化交换通道。</x:v>
      </x:c>
      <x:c r="T41" s="46" t="str">
        <x:v>近位提高该交换议题进入关系核心的可能；远位只保留背景或阶段性观察。</x:v>
      </x:c>
      <x:c r="U41" s="46" t="str">
        <x:v>84</x:v>
      </x:c>
      <x:c r="V41" s="46" t="str">
        <x:v>+8 接收证据</x:v>
      </x:c>
      <x:c r="W41" s="46" t="str">
        <x:v>receiving_style</x:v>
      </x:c>
      <x:c r="X41" s="46" t="str">
        <x:v>能够接住温和照顾，不用自我否定或立即补偿来回应。</x:v>
      </x:c>
      <x:c r="Y41" s="46" t="str">
        <x:v>接收支持时，重点是：能够接住温和照顾，不用自我否定或立即补偿来回应。</x:v>
      </x:c>
      <x:c r="Z4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1" s="46" t="str">
        <x:v>中</x:v>
      </x:c>
      <x:c r="AB41" s="46" t="str">
        <x:v>待验证</x:v>
      </x:c>
      <x:c r="AC41" s="46" t="str"/>
      <x:c r="AD41" s="46" t="str">
        <x:v>exchange_channel=EC03; ten_god=食神; provisional=true; rule_group=EXCHANGE-EC通道</x:v>
      </x:c>
      <x:c r="AE41" s="46" t="str">
        <x:v>0.4</x:v>
      </x:c>
    </x:row>
    <x:row r="42" ht="50" customHeight="1">
      <x:c r="A42" s="46" t="str">
        <x:v>M5-EXCHANGE-041</x:v>
      </x:c>
      <x:c r="B42" s="46" t="str">
        <x:v>EC03 舒缓照料｜回馈方式</x:v>
      </x:c>
      <x:c r="C42" s="46" t="str">
        <x:v>L1 十类双向交换通道</x:v>
      </x:c>
      <x:c r="D42" s="46" t="str">
        <x:v>EXCHANGE-EC通道</x:v>
      </x:c>
      <x:c r="E42" s="46" t="str">
        <x:v>通用</x:v>
      </x:c>
      <x:c r="F42" s="46" t="str">
        <x:v>回馈</x:v>
      </x:c>
      <x:c r="G42" s="46" t="str">
        <x:v>EC03 舒缓照料</x:v>
      </x:c>
      <x:c r="H42" s="46" t="str">
        <x:v>食神</x:v>
      </x:c>
      <x:c r="I42" s="46" t="str">
        <x:v>存在后续回应、错峰回流或其他领域贡献。</x:v>
      </x:c>
      <x:c r="J42" s="46" t="str">
        <x:v>要求立即、同领域、等量回报。</x:v>
      </x:c>
      <x:c r="K42" s="46" t="str">
        <x:v>由共享基础引擎、M3与M5-BASE提供；只修正用户怎样给予、请求、接收和回馈，不直接判断双方现实交换质量。</x:v>
      </x:c>
      <x:c r="L42" s="46" t="str">
        <x:v>M2只说明进入关系所需资格证据；不能替代长期双向交换、负荷与修复验证。</x:v>
      </x:c>
      <x:c r="M42" s="46" t="str">
        <x:v>M3-BASE、EXPR、CARE和BOUND提供用户自然互动通道；M5-EXCHANGE负责把两人的实际行为合成为交换结构。</x:v>
      </x:c>
      <x:c r="N42" s="46" t="str">
        <x:v>无／按本规则指定的给予—请求—接收—反馈—重订路径路由。</x:v>
      </x:c>
      <x:c r="O42" s="46" t="str">
        <x:v>近位、远位只修正该交换需求进入亲密关系核心的可能；不得据此判断具体伴侣现实中一定配合。</x:v>
      </x:c>
      <x:c r="P42" s="46" t="str">
        <x:v>根气只修正用户交换需求和通道是否稳定重复，不等于双方已形成成熟互惠。</x:v>
      </x:c>
      <x:c r="Q42" s="46" t="str">
        <x:v>旺弱只修正通道调用强度、抢位或缺位风险，不直接等于交换公平或关系质量。</x:v>
      </x:c>
      <x:c r="R42" s="46" t="str">
        <x:v>喜忌只修正调用顺畅度与摩擦，不可直接翻译为理想伴侣五行、十神或必然互补。</x:v>
      </x:c>
      <x:c r="S42" s="46" t="str">
        <x:v>真合化成立时按化神功能重算用户交换需求；合化争议时停止细化交换通道。</x:v>
      </x:c>
      <x:c r="T42" s="46" t="str">
        <x:v>近位提高该交换议题进入关系核心的可能；远位只保留背景或阶段性观察。</x:v>
      </x:c>
      <x:c r="U42" s="46" t="str">
        <x:v>82</x:v>
      </x:c>
      <x:c r="V42" s="46" t="str">
        <x:v>+8 回馈证据</x:v>
      </x:c>
      <x:c r="W42" s="46" t="str">
        <x:v>reciprocity_style</x:v>
      </x:c>
      <x:c r="X42" s="46" t="str">
        <x:v>通过稳定陪伴、生活关心和恢复后重新进入问题处理形成回馈。</x:v>
      </x:c>
      <x:c r="Y42" s="46" t="str">
        <x:v>回馈不必完全相同，可以通过：通过稳定陪伴、生活关心和恢复后重新进入问题处理形成回馈。</x:v>
      </x:c>
      <x:c r="Z4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2" s="46" t="str">
        <x:v>中</x:v>
      </x:c>
      <x:c r="AB42" s="46" t="str">
        <x:v>待验证</x:v>
      </x:c>
      <x:c r="AC42" s="46" t="str"/>
      <x:c r="AD42" s="46" t="str">
        <x:v>exchange_channel=EC03; ten_god=食神; provisional=true; rule_group=EXCHANGE-EC通道</x:v>
      </x:c>
      <x:c r="AE42" s="46" t="str">
        <x:v>0.4</x:v>
      </x:c>
    </x:row>
    <x:row r="43" ht="50" customHeight="1">
      <x:c r="A43" s="46" t="str">
        <x:v>M5-EXCHANGE-042</x:v>
      </x:c>
      <x:c r="B43" s="46" t="str">
        <x:v>EC03 舒缓照料｜成熟双向表达</x:v>
      </x:c>
      <x:c r="C43" s="46" t="str">
        <x:v>L1 十类双向交换通道</x:v>
      </x:c>
      <x:c r="D43" s="46" t="str">
        <x:v>EXCHANGE-EC通道</x:v>
      </x:c>
      <x:c r="E43" s="46" t="str">
        <x:v>通用</x:v>
      </x:c>
      <x:c r="F43" s="46" t="str">
        <x:v>成熟</x:v>
      </x:c>
      <x:c r="G43" s="46" t="str">
        <x:v>EC03 舒缓照料</x:v>
      </x:c>
      <x:c r="H43" s="46" t="str">
        <x:v>食神</x:v>
      </x:c>
      <x:c r="I43" s="46" t="str">
        <x:v>XV4以上，且ED02、ED03、ED09至少两项可靠。</x:v>
      </x:c>
      <x:c r="J43" s="46" t="str">
        <x:v>只有一方能力或一次事件。</x:v>
      </x:c>
      <x:c r="K43" s="46" t="str">
        <x:v>由共享基础引擎、M3与M5-BASE提供；只修正用户怎样给予、请求、接收和回馈，不直接判断双方现实交换质量。</x:v>
      </x:c>
      <x:c r="L43" s="46" t="str">
        <x:v>M2只说明进入关系所需资格证据；不能替代长期双向交换、负荷与修复验证。</x:v>
      </x:c>
      <x:c r="M43" s="46" t="str">
        <x:v>M3-BASE、EXPR、CARE和BOUND提供用户自然互动通道；M5-EXCHANGE负责把两人的实际行为合成为交换结构。</x:v>
      </x:c>
      <x:c r="N43" s="46" t="str">
        <x:v>无／按本规则指定的给予—请求—接收—反馈—重订路径路由。</x:v>
      </x:c>
      <x:c r="O43" s="46" t="str">
        <x:v>近位、远位只修正该交换需求进入亲密关系核心的可能；不得据此判断具体伴侣现实中一定配合。</x:v>
      </x:c>
      <x:c r="P43" s="46" t="str">
        <x:v>根气只修正用户交换需求和通道是否稳定重复，不等于双方已形成成熟互惠。</x:v>
      </x:c>
      <x:c r="Q43" s="46" t="str">
        <x:v>旺弱只修正通道调用强度、抢位或缺位风险，不直接等于交换公平或关系质量。</x:v>
      </x:c>
      <x:c r="R43" s="46" t="str">
        <x:v>喜忌只修正调用顺畅度与摩擦，不可直接翻译为理想伴侣五行、十神或必然互补。</x:v>
      </x:c>
      <x:c r="S43" s="46" t="str">
        <x:v>真合化成立时按化神功能重算用户交换需求；合化争议时停止细化交换通道。</x:v>
      </x:c>
      <x:c r="T43" s="46" t="str">
        <x:v>近位提高该交换议题进入关系核心的可能；远位只保留背景或阶段性观察。</x:v>
      </x:c>
      <x:c r="U43" s="46" t="str">
        <x:v>90</x:v>
      </x:c>
      <x:c r="V43" s="46" t="str">
        <x:v>成熟 +14</x:v>
      </x:c>
      <x:c r="W43" s="46" t="str">
        <x:v>mature_exchange_profile</x:v>
      </x:c>
      <x:c r="X43" s="46" t="str">
        <x:v>既能让关系缓下来，也会在情绪稳定后回到关键问题和现实安排。</x:v>
      </x:c>
      <x:c r="Y43" s="46" t="str">
        <x:v>成熟交换通常表现为：既能让关系缓下来，也会在情绪稳定后回到关键问题和现实安排。</x:v>
      </x:c>
      <x:c r="Z4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3" s="46" t="str">
        <x:v>中高</x:v>
      </x:c>
      <x:c r="AB43" s="46" t="str">
        <x:v>待验证</x:v>
      </x:c>
      <x:c r="AC43" s="46" t="str"/>
      <x:c r="AD43" s="46" t="str">
        <x:v>exchange_channel=EC03; ten_god=食神; provisional=true; rule_group=EXCHANGE-EC通道</x:v>
      </x:c>
      <x:c r="AE43" s="46" t="str">
        <x:v>0.4</x:v>
      </x:c>
    </x:row>
    <x:row r="44" ht="50" customHeight="1">
      <x:c r="A44" s="46" t="str">
        <x:v>M5-EXCHANGE-043</x:v>
      </x:c>
      <x:c r="B44" s="46" t="str">
        <x:v>EC03 舒缓照料｜失衡与替代候选</x:v>
      </x:c>
      <x:c r="C44" s="46" t="str">
        <x:v>L1 十类双向交换通道</x:v>
      </x:c>
      <x:c r="D44" s="46" t="str">
        <x:v>EXCHANGE-EC通道</x:v>
      </x:c>
      <x:c r="E44" s="46" t="str">
        <x:v>通用</x:v>
      </x:c>
      <x:c r="F44" s="46" t="str">
        <x:v>风险</x:v>
      </x:c>
      <x:c r="G44" s="46" t="str">
        <x:v>EC03 舒缓照料</x:v>
      </x:c>
      <x:c r="H44" s="46" t="str">
        <x:v>食神</x:v>
      </x:c>
      <x:c r="I44" s="46" t="str">
        <x:v>现实资料显示抢位、替代、负荷或反馈断点。</x:v>
      </x:c>
      <x:c r="J44" s="46" t="str">
        <x:v>只有通道强度，没有第二类失衡证据。</x:v>
      </x:c>
      <x:c r="K44" s="46" t="str">
        <x:v>由共享基础引擎、M3与M5-BASE提供；只修正用户怎样给予、请求、接收和回馈，不直接判断双方现实交换质量。</x:v>
      </x:c>
      <x:c r="L44" s="46" t="str">
        <x:v>M2只说明进入关系所需资格证据；不能替代长期双向交换、负荷与修复验证。</x:v>
      </x:c>
      <x:c r="M44" s="46" t="str">
        <x:v>M3-BASE、EXPR、CARE和BOUND提供用户自然互动通道；M5-EXCHANGE负责把两人的实际行为合成为交换结构。</x:v>
      </x:c>
      <x:c r="N44" s="46" t="str">
        <x:v>无／按本规则指定的给予—请求—接收—反馈—重订路径路由。</x:v>
      </x:c>
      <x:c r="O44" s="46" t="str">
        <x:v>近位、远位只修正该交换需求进入亲密关系核心的可能；不得据此判断具体伴侣现实中一定配合。</x:v>
      </x:c>
      <x:c r="P44" s="46" t="str">
        <x:v>根气只修正用户交换需求和通道是否稳定重复，不等于双方已形成成熟互惠。</x:v>
      </x:c>
      <x:c r="Q44" s="46" t="str">
        <x:v>旺弱只修正通道调用强度、抢位或缺位风险，不直接等于交换公平或关系质量。</x:v>
      </x:c>
      <x:c r="R44" s="46" t="str">
        <x:v>喜忌只修正调用顺畅度与摩擦，不可直接翻译为理想伴侣五行、十神或必然互补。</x:v>
      </x:c>
      <x:c r="S44" s="46" t="str">
        <x:v>真合化成立时按化神功能重算用户交换需求；合化争议时停止细化交换通道。</x:v>
      </x:c>
      <x:c r="T44" s="46" t="str">
        <x:v>近位提高该交换议题进入关系核心的可能；远位只保留背景或阶段性观察。</x:v>
      </x:c>
      <x:c r="U44" s="46" t="str">
        <x:v>88</x:v>
      </x:c>
      <x:c r="V44" s="46" t="str">
        <x:v>风险 +12</x:v>
      </x:c>
      <x:c r="W44" s="46" t="str">
        <x:v>exchange_risk_warning</x:v>
      </x:c>
      <x:c r="X44" s="46" t="str">
        <x:v>把舒服与和谐当成全部，关键议题、责任或边界长期被延后。</x:v>
      </x:c>
      <x:c r="Y44" s="46" t="str">
        <x:v>需要留意：把舒服与和谐当成全部，关键议题、责任或边界长期被延后。</x:v>
      </x:c>
      <x:c r="Z4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4" s="46" t="str">
        <x:v>中高</x:v>
      </x:c>
      <x:c r="AB44" s="46" t="str">
        <x:v>待验证</x:v>
      </x:c>
      <x:c r="AC44" s="46" t="str"/>
      <x:c r="AD44" s="46" t="str">
        <x:v>exchange_channel=EC03; ten_god=食神; provisional=true; rule_group=EXCHANGE-EC通道</x:v>
      </x:c>
      <x:c r="AE44" s="46" t="str">
        <x:v>0.4</x:v>
      </x:c>
    </x:row>
    <x:row r="45" ht="50" customHeight="1">
      <x:c r="A45" s="46" t="str">
        <x:v>M5-EXCHANGE-044</x:v>
      </x:c>
      <x:c r="B45" s="46" t="str">
        <x:v>EC03 舒缓照料｜关键观察与用户输出</x:v>
      </x:c>
      <x:c r="C45" s="46" t="str">
        <x:v>L1 十类双向交换通道</x:v>
      </x:c>
      <x:c r="D45" s="46" t="str">
        <x:v>EXCHANGE-EC通道</x:v>
      </x:c>
      <x:c r="E45" s="46" t="str">
        <x:v>通用</x:v>
      </x:c>
      <x:c r="F45" s="46" t="str">
        <x:v>输出</x:v>
      </x:c>
      <x:c r="G45" s="46" t="str">
        <x:v>EC03 舒缓照料</x:v>
      </x:c>
      <x:c r="H45" s="46" t="str">
        <x:v>食神</x:v>
      </x:c>
      <x:c r="I45" s="46" t="str">
        <x:v>已形成主或次EC候选。</x:v>
      </x:c>
      <x:c r="J45" s="46" t="str">
        <x:v>XR08停止或资料严重不足。</x:v>
      </x:c>
      <x:c r="K45" s="46" t="str">
        <x:v>由共享基础引擎、M3与M5-BASE提供；只修正用户怎样给予、请求、接收和回馈，不直接判断双方现实交换质量。</x:v>
      </x:c>
      <x:c r="L45" s="46" t="str">
        <x:v>M2只说明进入关系所需资格证据；不能替代长期双向交换、负荷与修复验证。</x:v>
      </x:c>
      <x:c r="M45" s="46" t="str">
        <x:v>M3-BASE、EXPR、CARE和BOUND提供用户自然互动通道；M5-EXCHANGE负责把两人的实际行为合成为交换结构。</x:v>
      </x:c>
      <x:c r="N45" s="46" t="str">
        <x:v>无／按本规则指定的给予—请求—接收—反馈—重订路径路由。</x:v>
      </x:c>
      <x:c r="O45" s="46" t="str">
        <x:v>近位、远位只修正该交换需求进入亲密关系核心的可能；不得据此判断具体伴侣现实中一定配合。</x:v>
      </x:c>
      <x:c r="P45" s="46" t="str">
        <x:v>根气只修正用户交换需求和通道是否稳定重复，不等于双方已形成成熟互惠。</x:v>
      </x:c>
      <x:c r="Q45" s="46" t="str">
        <x:v>旺弱只修正通道调用强度、抢位或缺位风险，不直接等于交换公平或关系质量。</x:v>
      </x:c>
      <x:c r="R45" s="46" t="str">
        <x:v>喜忌只修正调用顺畅度与摩擦，不可直接翻译为理想伴侣五行、十神或必然互补。</x:v>
      </x:c>
      <x:c r="S45" s="46" t="str">
        <x:v>真合化成立时按化神功能重算用户交换需求；合化争议时停止细化交换通道。</x:v>
      </x:c>
      <x:c r="T45" s="46" t="str">
        <x:v>近位提高该交换议题进入关系核心的可能；远位只保留背景或阶段性观察。</x:v>
      </x:c>
      <x:c r="U45" s="46" t="str">
        <x:v>76</x:v>
      </x:c>
      <x:c r="V45" s="46" t="str">
        <x:v>不加分；输出</x:v>
      </x:c>
      <x:c r="W45" s="46" t="str">
        <x:v>observation_plan</x:v>
      </x:c>
      <x:c r="X45" s="46" t="str">
        <x:v>安抚结束后，双方是否约定回到问题、落实行动并确认彼此需要。</x:v>
      </x:c>
      <x:c r="Y45" s="46" t="str">
        <x:v>安抚结束后，双方是否约定回到问题、落实行动并确认彼此需要。</x:v>
      </x:c>
      <x:c r="Z4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5" s="46" t="str">
        <x:v>中高</x:v>
      </x:c>
      <x:c r="AB45" s="46" t="str">
        <x:v>待验证</x:v>
      </x:c>
      <x:c r="AC45" s="46" t="str"/>
      <x:c r="AD45" s="46" t="str">
        <x:v>exchange_channel=EC03; ten_god=食神; provisional=true; rule_group=EXCHANGE-EC通道</x:v>
      </x:c>
      <x:c r="AE45" s="46" t="str">
        <x:v>0.4</x:v>
      </x:c>
    </x:row>
    <x:row r="46" ht="50" customHeight="1">
      <x:c r="A46" s="46" t="str">
        <x:v>M5-EXCHANGE-045</x:v>
      </x:c>
      <x:c r="B46" s="46" t="str">
        <x:v>EC04 信息反馈｜通道定义</x:v>
      </x:c>
      <x:c r="C46" s="46" t="str">
        <x:v>L1 十类双向交换通道</x:v>
      </x:c>
      <x:c r="D46" s="46" t="str">
        <x:v>EXCHANGE-EC通道</x:v>
      </x:c>
      <x:c r="E46" s="46" t="str">
        <x:v>通用</x:v>
      </x:c>
      <x:c r="F46" s="46" t="str">
        <x:v>基础</x:v>
      </x:c>
      <x:c r="G46" s="46" t="str">
        <x:v>EC04 信息反馈</x:v>
      </x:c>
      <x:c r="H46" s="46" t="str">
        <x:v>伤官</x:v>
      </x:c>
      <x:c r="I46" s="46" t="str">
        <x:v>M5-BASE或PARTNER将该FN路由为主／次交换功能。</x:v>
      </x:c>
      <x:c r="J46" s="46" t="str">
        <x:v>安全门控未通过或该通道只属PR3且与主风险冲突。</x:v>
      </x:c>
      <x:c r="K46" s="46" t="str">
        <x:v>由共享基础引擎、M3与M5-BASE提供；只修正用户怎样给予、请求、接收和回馈，不直接判断双方现实交换质量。</x:v>
      </x:c>
      <x:c r="L46" s="46" t="str">
        <x:v>M2只说明进入关系所需资格证据；不能替代长期双向交换、负荷与修复验证。</x:v>
      </x:c>
      <x:c r="M46" s="46" t="str">
        <x:v>M3-BASE、EXPR、CARE和BOUND提供用户自然互动通道；M5-EXCHANGE负责把两人的实际行为合成为交换结构。</x:v>
      </x:c>
      <x:c r="N46" s="46" t="str">
        <x:v>无／按本规则指定的给予—请求—接收—反馈—重订路径路由。</x:v>
      </x:c>
      <x:c r="O46" s="46" t="str">
        <x:v>近位、远位只修正该交换需求进入亲密关系核心的可能；不得据此判断具体伴侣现实中一定配合。</x:v>
      </x:c>
      <x:c r="P46" s="46" t="str">
        <x:v>根气只修正用户交换需求和通道是否稳定重复，不等于双方已形成成熟互惠。</x:v>
      </x:c>
      <x:c r="Q46" s="46" t="str">
        <x:v>旺弱只修正通道调用强度、抢位或缺位风险，不直接等于交换公平或关系质量。</x:v>
      </x:c>
      <x:c r="R46" s="46" t="str">
        <x:v>喜忌只修正调用顺畅度与摩擦，不可直接翻译为理想伴侣五行、十神或必然互补。</x:v>
      </x:c>
      <x:c r="S46" s="46" t="str">
        <x:v>真合化成立时按化神功能重算用户交换需求；合化争议时停止细化交换通道。</x:v>
      </x:c>
      <x:c r="T46" s="46" t="str">
        <x:v>近位提高该交换议题进入关系核心的可能；远位只保留背景或阶段性观察。</x:v>
      </x:c>
      <x:c r="U46" s="46" t="str">
        <x:v>94</x:v>
      </x:c>
      <x:c r="V46" s="46" t="str">
        <x:v>主通道候选 +18</x:v>
      </x:c>
      <x:c r="W46" s="46" t="str">
        <x:v>primary_exchange_channel</x:v>
      </x:c>
      <x:c r="X46" s="46" t="str">
        <x:v>EC04 信息反馈将伤官功能转译为双人交换通道。</x:v>
      </x:c>
      <x:c r="Y46" s="46" t="str">
        <x:v>会说很重要，更重要的是双方都能听懂、修正并把沟通转成行动。</x:v>
      </x:c>
      <x:c r="Z4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6" s="46" t="str">
        <x:v>中高</x:v>
      </x:c>
      <x:c r="AB46" s="46" t="str">
        <x:v>待验证</x:v>
      </x:c>
      <x:c r="AC46" s="46" t="str"/>
      <x:c r="AD46" s="46" t="str">
        <x:v>exchange_channel=EC04; ten_god=伤官; provisional=true; rule_group=EXCHANGE-EC通道</x:v>
      </x:c>
      <x:c r="AE46" s="46" t="str">
        <x:v>0.4</x:v>
      </x:c>
    </x:row>
    <x:row r="47" ht="50" customHeight="1">
      <x:c r="A47" s="46" t="str">
        <x:v>M5-EXCHANGE-046</x:v>
      </x:c>
      <x:c r="B47" s="46" t="str">
        <x:v>EC04 信息反馈｜给予方式</x:v>
      </x:c>
      <x:c r="C47" s="46" t="str">
        <x:v>L1 十类双向交换通道</x:v>
      </x:c>
      <x:c r="D47" s="46" t="str">
        <x:v>EXCHANGE-EC通道</x:v>
      </x:c>
      <x:c r="E47" s="46" t="str">
        <x:v>通用</x:v>
      </x:c>
      <x:c r="F47" s="46" t="str">
        <x:v>给予</x:v>
      </x:c>
      <x:c r="G47" s="46" t="str">
        <x:v>EC04 信息反馈</x:v>
      </x:c>
      <x:c r="H47" s="46" t="str">
        <x:v>伤官</x:v>
      </x:c>
      <x:c r="I47" s="46" t="str">
        <x:v>存在一方主动提供该类支持的现实资料。</x:v>
      </x:c>
      <x:c r="J47" s="46" t="str">
        <x:v>只有自述、身份或一次高光。</x:v>
      </x:c>
      <x:c r="K47" s="46" t="str">
        <x:v>由共享基础引擎、M3与M5-BASE提供；只修正用户怎样给予、请求、接收和回馈，不直接判断双方现实交换质量。</x:v>
      </x:c>
      <x:c r="L47" s="46" t="str">
        <x:v>M2只说明进入关系所需资格证据；不能替代长期双向交换、负荷与修复验证。</x:v>
      </x:c>
      <x:c r="M47" s="46" t="str">
        <x:v>M3-BASE、EXPR、CARE和BOUND提供用户自然互动通道；M5-EXCHANGE负责把两人的实际行为合成为交换结构。</x:v>
      </x:c>
      <x:c r="N47" s="46" t="str">
        <x:v>无／按本规则指定的给予—请求—接收—反馈—重订路径路由。</x:v>
      </x:c>
      <x:c r="O47" s="46" t="str">
        <x:v>近位、远位只修正该交换需求进入亲密关系核心的可能；不得据此判断具体伴侣现实中一定配合。</x:v>
      </x:c>
      <x:c r="P47" s="46" t="str">
        <x:v>根气只修正用户交换需求和通道是否稳定重复，不等于双方已形成成熟互惠。</x:v>
      </x:c>
      <x:c r="Q47" s="46" t="str">
        <x:v>旺弱只修正通道调用强度、抢位或缺位风险，不直接等于交换公平或关系质量。</x:v>
      </x:c>
      <x:c r="R47" s="46" t="str">
        <x:v>喜忌只修正调用顺畅度与摩擦，不可直接翻译为理想伴侣五行、十神或必然互补。</x:v>
      </x:c>
      <x:c r="S47" s="46" t="str">
        <x:v>真合化成立时按化神功能重算用户交换需求；合化争议时停止细化交换通道。</x:v>
      </x:c>
      <x:c r="T47" s="46" t="str">
        <x:v>近位提高该交换议题进入关系核心的可能；远位只保留背景或阶段性观察。</x:v>
      </x:c>
      <x:c r="U47" s="46" t="str">
        <x:v>84</x:v>
      </x:c>
      <x:c r="V47" s="46" t="str">
        <x:v>+8 给予证据</x:v>
      </x:c>
      <x:c r="W47" s="46" t="str">
        <x:v>giving_style</x:v>
      </x:c>
      <x:c r="X47" s="46" t="str">
        <x:v>通过解释、提问、复述、信息和观点帮助双方理解问题。</x:v>
      </x:c>
      <x:c r="Y47" s="46" t="str">
        <x:v>给予方面，较成熟的表现是：通过解释、提问、复述、信息和观点帮助双方理解问题。</x:v>
      </x:c>
      <x:c r="Z4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7" s="46" t="str">
        <x:v>中</x:v>
      </x:c>
      <x:c r="AB47" s="46" t="str">
        <x:v>待验证</x:v>
      </x:c>
      <x:c r="AC47" s="46" t="str"/>
      <x:c r="AD47" s="46" t="str">
        <x:v>exchange_channel=EC04; ten_god=伤官; provisional=true; rule_group=EXCHANGE-EC通道</x:v>
      </x:c>
      <x:c r="AE47" s="46" t="str">
        <x:v>0.4</x:v>
      </x:c>
    </x:row>
    <x:row r="48" ht="50" customHeight="1">
      <x:c r="A48" s="46" t="str">
        <x:v>M5-EXCHANGE-047</x:v>
      </x:c>
      <x:c r="B48" s="46" t="str">
        <x:v>EC04 信息反馈｜请求方式</x:v>
      </x:c>
      <x:c r="C48" s="46" t="str">
        <x:v>L1 十类双向交换通道</x:v>
      </x:c>
      <x:c r="D48" s="46" t="str">
        <x:v>EXCHANGE-EC通道</x:v>
      </x:c>
      <x:c r="E48" s="46" t="str">
        <x:v>通用</x:v>
      </x:c>
      <x:c r="F48" s="46" t="str">
        <x:v>请求</x:v>
      </x:c>
      <x:c r="G48" s="46" t="str">
        <x:v>EC04 信息反馈</x:v>
      </x:c>
      <x:c r="H48" s="46" t="str">
        <x:v>伤官</x:v>
      </x:c>
      <x:c r="I48" s="46" t="str">
        <x:v>存在提出需要、协商支持或分工的资料。</x:v>
      </x:c>
      <x:c r="J48" s="46" t="str">
        <x:v>只通过暗示、测试或事后抱怨推断。</x:v>
      </x:c>
      <x:c r="K48" s="46" t="str">
        <x:v>由共享基础引擎、M3与M5-BASE提供；只修正用户怎样给予、请求、接收和回馈，不直接判断双方现实交换质量。</x:v>
      </x:c>
      <x:c r="L48" s="46" t="str">
        <x:v>M2只说明进入关系所需资格证据；不能替代长期双向交换、负荷与修复验证。</x:v>
      </x:c>
      <x:c r="M48" s="46" t="str">
        <x:v>M3-BASE、EXPR、CARE和BOUND提供用户自然互动通道；M5-EXCHANGE负责把两人的实际行为合成为交换结构。</x:v>
      </x:c>
      <x:c r="N48" s="46" t="str">
        <x:v>无／按本规则指定的给予—请求—接收—反馈—重订路径路由。</x:v>
      </x:c>
      <x:c r="O48" s="46" t="str">
        <x:v>近位、远位只修正该交换需求进入亲密关系核心的可能；不得据此判断具体伴侣现实中一定配合。</x:v>
      </x:c>
      <x:c r="P48" s="46" t="str">
        <x:v>根气只修正用户交换需求和通道是否稳定重复，不等于双方已形成成熟互惠。</x:v>
      </x:c>
      <x:c r="Q48" s="46" t="str">
        <x:v>旺弱只修正通道调用强度、抢位或缺位风险，不直接等于交换公平或关系质量。</x:v>
      </x:c>
      <x:c r="R48" s="46" t="str">
        <x:v>喜忌只修正调用顺畅度与摩擦，不可直接翻译为理想伴侣五行、十神或必然互补。</x:v>
      </x:c>
      <x:c r="S48" s="46" t="str">
        <x:v>真合化成立时按化神功能重算用户交换需求；合化争议时停止细化交换通道。</x:v>
      </x:c>
      <x:c r="T48" s="46" t="str">
        <x:v>近位提高该交换议题进入关系核心的可能；远位只保留背景或阶段性观察。</x:v>
      </x:c>
      <x:c r="U48" s="46" t="str">
        <x:v>84</x:v>
      </x:c>
      <x:c r="V48" s="46" t="str">
        <x:v>+8 请求证据</x:v>
      </x:c>
      <x:c r="W48" s="46" t="str">
        <x:v>request_style</x:v>
      </x:c>
      <x:c r="X48" s="46" t="str">
        <x:v>需要沟通时说明希望对方倾听、核对、给建议还是一起形成方案。</x:v>
      </x:c>
      <x:c r="Y48" s="46" t="str">
        <x:v>提出需要时，适合采用：需要沟通时说明希望对方倾听、核对、给建议还是一起形成方案。</x:v>
      </x:c>
      <x:c r="Z4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8" s="46" t="str">
        <x:v>中</x:v>
      </x:c>
      <x:c r="AB48" s="46" t="str">
        <x:v>待验证</x:v>
      </x:c>
      <x:c r="AC48" s="46" t="str"/>
      <x:c r="AD48" s="46" t="str">
        <x:v>exchange_channel=EC04; ten_god=伤官; provisional=true; rule_group=EXCHANGE-EC通道</x:v>
      </x:c>
      <x:c r="AE48" s="46" t="str">
        <x:v>0.4</x:v>
      </x:c>
    </x:row>
    <x:row r="49" ht="50" customHeight="1">
      <x:c r="A49" s="46" t="str">
        <x:v>M5-EXCHANGE-048</x:v>
      </x:c>
      <x:c r="B49" s="46" t="str">
        <x:v>EC04 信息反馈｜接收方式</x:v>
      </x:c>
      <x:c r="C49" s="46" t="str">
        <x:v>L1 十类双向交换通道</x:v>
      </x:c>
      <x:c r="D49" s="46" t="str">
        <x:v>EXCHANGE-EC通道</x:v>
      </x:c>
      <x:c r="E49" s="46" t="str">
        <x:v>通用</x:v>
      </x:c>
      <x:c r="F49" s="46" t="str">
        <x:v>接收</x:v>
      </x:c>
      <x:c r="G49" s="46" t="str">
        <x:v>EC04 信息反馈</x:v>
      </x:c>
      <x:c r="H49" s="46" t="str">
        <x:v>伤官</x:v>
      </x:c>
      <x:c r="I49" s="46" t="str">
        <x:v>存在接受帮助、回应或资源的资料。</x:v>
      </x:c>
      <x:c r="J49" s="46" t="str">
        <x:v>把接受支持自动解释为依赖或债务。</x:v>
      </x:c>
      <x:c r="K49" s="46" t="str">
        <x:v>由共享基础引擎、M3与M5-BASE提供；只修正用户怎样给予、请求、接收和回馈，不直接判断双方现实交换质量。</x:v>
      </x:c>
      <x:c r="L49" s="46" t="str">
        <x:v>M2只说明进入关系所需资格证据；不能替代长期双向交换、负荷与修复验证。</x:v>
      </x:c>
      <x:c r="M49" s="46" t="str">
        <x:v>M3-BASE、EXPR、CARE和BOUND提供用户自然互动通道；M5-EXCHANGE负责把两人的实际行为合成为交换结构。</x:v>
      </x:c>
      <x:c r="N49" s="46" t="str">
        <x:v>无／按本规则指定的给予—请求—接收—反馈—重订路径路由。</x:v>
      </x:c>
      <x:c r="O49" s="46" t="str">
        <x:v>近位、远位只修正该交换需求进入亲密关系核心的可能；不得据此判断具体伴侣现实中一定配合。</x:v>
      </x:c>
      <x:c r="P49" s="46" t="str">
        <x:v>根气只修正用户交换需求和通道是否稳定重复，不等于双方已形成成熟互惠。</x:v>
      </x:c>
      <x:c r="Q49" s="46" t="str">
        <x:v>旺弱只修正通道调用强度、抢位或缺位风险，不直接等于交换公平或关系质量。</x:v>
      </x:c>
      <x:c r="R49" s="46" t="str">
        <x:v>喜忌只修正调用顺畅度与摩擦，不可直接翻译为理想伴侣五行、十神或必然互补。</x:v>
      </x:c>
      <x:c r="S49" s="46" t="str">
        <x:v>真合化成立时按化神功能重算用户交换需求；合化争议时停止细化交换通道。</x:v>
      </x:c>
      <x:c r="T49" s="46" t="str">
        <x:v>近位提高该交换议题进入关系核心的可能；远位只保留背景或阶段性观察。</x:v>
      </x:c>
      <x:c r="U49" s="46" t="str">
        <x:v>84</x:v>
      </x:c>
      <x:c r="V49" s="46" t="str">
        <x:v>+8 接收证据</x:v>
      </x:c>
      <x:c r="W49" s="46" t="str">
        <x:v>receiving_style</x:v>
      </x:c>
      <x:c r="X49" s="46" t="str">
        <x:v>能够听取不同意见、承认理解偏差，并根据反馈修改表达或行动。</x:v>
      </x:c>
      <x:c r="Y49" s="46" t="str">
        <x:v>接收支持时，重点是：能够听取不同意见、承认理解偏差，并根据反馈修改表达或行动。</x:v>
      </x:c>
      <x:c r="Z4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9" s="46" t="str">
        <x:v>中</x:v>
      </x:c>
      <x:c r="AB49" s="46" t="str">
        <x:v>待验证</x:v>
      </x:c>
      <x:c r="AC49" s="46" t="str"/>
      <x:c r="AD49" s="46" t="str">
        <x:v>exchange_channel=EC04; ten_god=伤官; provisional=true; rule_group=EXCHANGE-EC通道</x:v>
      </x:c>
      <x:c r="AE49" s="46" t="str">
        <x:v>0.4</x:v>
      </x:c>
    </x:row>
    <x:row r="50" ht="50" customHeight="1">
      <x:c r="A50" s="46" t="str">
        <x:v>M5-EXCHANGE-049</x:v>
      </x:c>
      <x:c r="B50" s="46" t="str">
        <x:v>EC04 信息反馈｜回馈方式</x:v>
      </x:c>
      <x:c r="C50" s="46" t="str">
        <x:v>L1 十类双向交换通道</x:v>
      </x:c>
      <x:c r="D50" s="46" t="str">
        <x:v>EXCHANGE-EC通道</x:v>
      </x:c>
      <x:c r="E50" s="46" t="str">
        <x:v>通用</x:v>
      </x:c>
      <x:c r="F50" s="46" t="str">
        <x:v>回馈</x:v>
      </x:c>
      <x:c r="G50" s="46" t="str">
        <x:v>EC04 信息反馈</x:v>
      </x:c>
      <x:c r="H50" s="46" t="str">
        <x:v>伤官</x:v>
      </x:c>
      <x:c r="I50" s="46" t="str">
        <x:v>存在后续回应、错峰回流或其他领域贡献。</x:v>
      </x:c>
      <x:c r="J50" s="46" t="str">
        <x:v>要求立即、同领域、等量回报。</x:v>
      </x:c>
      <x:c r="K50" s="46" t="str">
        <x:v>由共享基础引擎、M3与M5-BASE提供；只修正用户怎样给予、请求、接收和回馈，不直接判断双方现实交换质量。</x:v>
      </x:c>
      <x:c r="L50" s="46" t="str">
        <x:v>M2只说明进入关系所需资格证据；不能替代长期双向交换、负荷与修复验证。</x:v>
      </x:c>
      <x:c r="M50" s="46" t="str">
        <x:v>M3-BASE、EXPR、CARE和BOUND提供用户自然互动通道；M5-EXCHANGE负责把两人的实际行为合成为交换结构。</x:v>
      </x:c>
      <x:c r="N50" s="46" t="str">
        <x:v>无／按本规则指定的给予—请求—接收—反馈—重订路径路由。</x:v>
      </x:c>
      <x:c r="O50" s="46" t="str">
        <x:v>近位、远位只修正该交换需求进入亲密关系核心的可能；不得据此判断具体伴侣现实中一定配合。</x:v>
      </x:c>
      <x:c r="P50" s="46" t="str">
        <x:v>根气只修正用户交换需求和通道是否稳定重复，不等于双方已形成成熟互惠。</x:v>
      </x:c>
      <x:c r="Q50" s="46" t="str">
        <x:v>旺弱只修正通道调用强度、抢位或缺位风险，不直接等于交换公平或关系质量。</x:v>
      </x:c>
      <x:c r="R50" s="46" t="str">
        <x:v>喜忌只修正调用顺畅度与摩擦，不可直接翻译为理想伴侣五行、十神或必然互补。</x:v>
      </x:c>
      <x:c r="S50" s="46" t="str">
        <x:v>真合化成立时按化神功能重算用户交换需求；合化争议时停止细化交换通道。</x:v>
      </x:c>
      <x:c r="T50" s="46" t="str">
        <x:v>近位提高该交换议题进入关系核心的可能；远位只保留背景或阶段性观察。</x:v>
      </x:c>
      <x:c r="U50" s="46" t="str">
        <x:v>82</x:v>
      </x:c>
      <x:c r="V50" s="46" t="str">
        <x:v>+8 回馈证据</x:v>
      </x:c>
      <x:c r="W50" s="46" t="str">
        <x:v>reciprocity_style</x:v>
      </x:c>
      <x:c r="X50" s="46" t="str">
        <x:v>通过复述理解、回应重点、调整方案和持续反馈形成双向交换。</x:v>
      </x:c>
      <x:c r="Y50" s="46" t="str">
        <x:v>回馈不必完全相同，可以通过：通过复述理解、回应重点、调整方案和持续反馈形成双向交换。</x:v>
      </x:c>
      <x:c r="Z5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50" s="46" t="str">
        <x:v>中</x:v>
      </x:c>
      <x:c r="AB50" s="46" t="str">
        <x:v>待验证</x:v>
      </x:c>
      <x:c r="AC50" s="46" t="str"/>
      <x:c r="AD50" s="46" t="str">
        <x:v>exchange_channel=EC04; ten_god=伤官; provisional=true; rule_group=EXCHANGE-EC通道</x:v>
      </x:c>
      <x:c r="AE50" s="46" t="str">
        <x:v>0.4</x:v>
      </x:c>
    </x:row>
    <x:row r="51" ht="50" customHeight="1">
      <x:c r="A51" s="46" t="str">
        <x:v>M5-EXCHANGE-050</x:v>
      </x:c>
      <x:c r="B51" s="46" t="str">
        <x:v>EC04 信息反馈｜成熟双向表达</x:v>
      </x:c>
      <x:c r="C51" s="46" t="str">
        <x:v>L1 十类双向交换通道</x:v>
      </x:c>
      <x:c r="D51" s="46" t="str">
        <x:v>EXCHANGE-EC通道</x:v>
      </x:c>
      <x:c r="E51" s="46" t="str">
        <x:v>通用</x:v>
      </x:c>
      <x:c r="F51" s="46" t="str">
        <x:v>成熟</x:v>
      </x:c>
      <x:c r="G51" s="46" t="str">
        <x:v>EC04 信息反馈</x:v>
      </x:c>
      <x:c r="H51" s="46" t="str">
        <x:v>伤官</x:v>
      </x:c>
      <x:c r="I51" s="46" t="str">
        <x:v>XV4以上，且ED02、ED03、ED09至少两项可靠。</x:v>
      </x:c>
      <x:c r="J51" s="46" t="str">
        <x:v>只有一方能力或一次事件。</x:v>
      </x:c>
      <x:c r="K51" s="46" t="str">
        <x:v>由共享基础引擎、M3与M5-BASE提供；只修正用户怎样给予、请求、接收和回馈，不直接判断双方现实交换质量。</x:v>
      </x:c>
      <x:c r="L51" s="46" t="str">
        <x:v>M2只说明进入关系所需资格证据；不能替代长期双向交换、负荷与修复验证。</x:v>
      </x:c>
      <x:c r="M51" s="46" t="str">
        <x:v>M3-BASE、EXPR、CARE和BOUND提供用户自然互动通道；M5-EXCHANGE负责把两人的实际行为合成为交换结构。</x:v>
      </x:c>
      <x:c r="N51" s="46" t="str">
        <x:v>无／按本规则指定的给予—请求—接收—反馈—重订路径路由。</x:v>
      </x:c>
      <x:c r="O51" s="46" t="str">
        <x:v>近位、远位只修正该交换需求进入亲密关系核心的可能；不得据此判断具体伴侣现实中一定配合。</x:v>
      </x:c>
      <x:c r="P51" s="46" t="str">
        <x:v>根气只修正用户交换需求和通道是否稳定重复，不等于双方已形成成熟互惠。</x:v>
      </x:c>
      <x:c r="Q51" s="46" t="str">
        <x:v>旺弱只修正通道调用强度、抢位或缺位风险，不直接等于交换公平或关系质量。</x:v>
      </x:c>
      <x:c r="R51" s="46" t="str">
        <x:v>喜忌只修正调用顺畅度与摩擦，不可直接翻译为理想伴侣五行、十神或必然互补。</x:v>
      </x:c>
      <x:c r="S51" s="46" t="str">
        <x:v>真合化成立时按化神功能重算用户交换需求；合化争议时停止细化交换通道。</x:v>
      </x:c>
      <x:c r="T51" s="46" t="str">
        <x:v>近位提高该交换议题进入关系核心的可能；远位只保留背景或阶段性观察。</x:v>
      </x:c>
      <x:c r="U51" s="46" t="str">
        <x:v>90</x:v>
      </x:c>
      <x:c r="V51" s="46" t="str">
        <x:v>成熟 +14</x:v>
      </x:c>
      <x:c r="W51" s="46" t="str">
        <x:v>mature_exchange_profile</x:v>
      </x:c>
      <x:c r="X51" s="46" t="str">
        <x:v>表达清楚、倾听完整、允许修正，并能把理解转成现实下一步。</x:v>
      </x:c>
      <x:c r="Y51" s="46" t="str">
        <x:v>成熟交换通常表现为：表达清楚、倾听完整、允许修正，并能把理解转成现实下一步。</x:v>
      </x:c>
      <x:c r="Z5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51" s="46" t="str">
        <x:v>中高</x:v>
      </x:c>
      <x:c r="AB51" s="46" t="str">
        <x:v>待验证</x:v>
      </x:c>
      <x:c r="AC51" s="46" t="str"/>
      <x:c r="AD51" s="46" t="str">
        <x:v>exchange_channel=EC04; ten_god=伤官; provisional=true; rule_group=EXCHANGE-EC通道</x:v>
      </x:c>
      <x:c r="AE51" s="46" t="str">
        <x:v>0.4</x:v>
      </x:c>
    </x:row>
    <x:row r="52" ht="50" customHeight="1">
      <x:c r="A52" s="46" t="str">
        <x:v>M5-EXCHANGE-051</x:v>
      </x:c>
      <x:c r="B52" s="46" t="str">
        <x:v>EC04 信息反馈｜失衡与替代候选</x:v>
      </x:c>
      <x:c r="C52" s="46" t="str">
        <x:v>L1 十类双向交换通道</x:v>
      </x:c>
      <x:c r="D52" s="46" t="str">
        <x:v>EXCHANGE-EC通道</x:v>
      </x:c>
      <x:c r="E52" s="46" t="str">
        <x:v>通用</x:v>
      </x:c>
      <x:c r="F52" s="46" t="str">
        <x:v>风险</x:v>
      </x:c>
      <x:c r="G52" s="46" t="str">
        <x:v>EC04 信息反馈</x:v>
      </x:c>
      <x:c r="H52" s="46" t="str">
        <x:v>伤官</x:v>
      </x:c>
      <x:c r="I52" s="46" t="str">
        <x:v>现实资料显示抢位、替代、负荷或反馈断点。</x:v>
      </x:c>
      <x:c r="J52" s="46" t="str">
        <x:v>只有通道强度，没有第二类失衡证据。</x:v>
      </x:c>
      <x:c r="K52" s="46" t="str">
        <x:v>由共享基础引擎、M3与M5-BASE提供；只修正用户怎样给予、请求、接收和回馈，不直接判断双方现实交换质量。</x:v>
      </x:c>
      <x:c r="L52" s="46" t="str">
        <x:v>M2只说明进入关系所需资格证据；不能替代长期双向交换、负荷与修复验证。</x:v>
      </x:c>
      <x:c r="M52" s="46" t="str">
        <x:v>M3-BASE、EXPR、CARE和BOUND提供用户自然互动通道；M5-EXCHANGE负责把两人的实际行为合成为交换结构。</x:v>
      </x:c>
      <x:c r="N52" s="46" t="str">
        <x:v>无／按本规则指定的给予—请求—接收—反馈—重订路径路由。</x:v>
      </x:c>
      <x:c r="O52" s="46" t="str">
        <x:v>近位、远位只修正该交换需求进入亲密关系核心的可能；不得据此判断具体伴侣现实中一定配合。</x:v>
      </x:c>
      <x:c r="P52" s="46" t="str">
        <x:v>根气只修正用户交换需求和通道是否稳定重复，不等于双方已形成成熟互惠。</x:v>
      </x:c>
      <x:c r="Q52" s="46" t="str">
        <x:v>旺弱只修正通道调用强度、抢位或缺位风险，不直接等于交换公平或关系质量。</x:v>
      </x:c>
      <x:c r="R52" s="46" t="str">
        <x:v>喜忌只修正调用顺畅度与摩擦，不可直接翻译为理想伴侣五行、十神或必然互补。</x:v>
      </x:c>
      <x:c r="S52" s="46" t="str">
        <x:v>真合化成立时按化神功能重算用户交换需求；合化争议时停止细化交换通道。</x:v>
      </x:c>
      <x:c r="T52" s="46" t="str">
        <x:v>近位提高该交换议题进入关系核心的可能；远位只保留背景或阶段性观察。</x:v>
      </x:c>
      <x:c r="U52" s="46" t="str">
        <x:v>88</x:v>
      </x:c>
      <x:c r="V52" s="46" t="str">
        <x:v>风险 +12</x:v>
      </x:c>
      <x:c r="W52" s="46" t="str">
        <x:v>exchange_risk_warning</x:v>
      </x:c>
      <x:c r="X52" s="46" t="str">
        <x:v>解释量不断增加，却没有真正接收反馈；或把说清楚当成已经解决。</x:v>
      </x:c>
      <x:c r="Y52" s="46" t="str">
        <x:v>需要留意：解释量不断增加，却没有真正接收反馈；或把说清楚当成已经解决。</x:v>
      </x:c>
      <x:c r="Z5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52" s="46" t="str">
        <x:v>中高</x:v>
      </x:c>
      <x:c r="AB52" s="46" t="str">
        <x:v>待验证</x:v>
      </x:c>
      <x:c r="AC52" s="46" t="str"/>
      <x:c r="AD52" s="46" t="str">
        <x:v>exchange_channel=EC04; ten_god=伤官; provisional=true; rule_group=EXCHANGE-EC通道</x:v>
      </x:c>
      <x:c r="AE52" s="46" t="str">
        <x:v>0.4</x:v>
      </x:c>
    </x:row>
    <x:row r="53" ht="50" customHeight="1">
      <x:c r="A53" s="46" t="str">
        <x:v>M5-EXCHANGE-052</x:v>
      </x:c>
      <x:c r="B53" s="46" t="str">
        <x:v>EC04 信息反馈｜关键观察与用户输出</x:v>
      </x:c>
      <x:c r="C53" s="46" t="str">
        <x:v>L1 十类双向交换通道</x:v>
      </x:c>
      <x:c r="D53" s="46" t="str">
        <x:v>EXCHANGE-EC通道</x:v>
      </x:c>
      <x:c r="E53" s="46" t="str">
        <x:v>通用</x:v>
      </x:c>
      <x:c r="F53" s="46" t="str">
        <x:v>输出</x:v>
      </x:c>
      <x:c r="G53" s="46" t="str">
        <x:v>EC04 信息反馈</x:v>
      </x:c>
      <x:c r="H53" s="46" t="str">
        <x:v>伤官</x:v>
      </x:c>
      <x:c r="I53" s="46" t="str">
        <x:v>已形成主或次EC候选。</x:v>
      </x:c>
      <x:c r="J53" s="46" t="str">
        <x:v>XR08停止或资料严重不足。</x:v>
      </x:c>
      <x:c r="K53" s="46" t="str">
        <x:v>由共享基础引擎、M3与M5-BASE提供；只修正用户怎样给予、请求、接收和回馈，不直接判断双方现实交换质量。</x:v>
      </x:c>
      <x:c r="L53" s="46" t="str">
        <x:v>M2只说明进入关系所需资格证据；不能替代长期双向交换、负荷与修复验证。</x:v>
      </x:c>
      <x:c r="M53" s="46" t="str">
        <x:v>M3-BASE、EXPR、CARE和BOUND提供用户自然互动通道；M5-EXCHANGE负责把两人的实际行为合成为交换结构。</x:v>
      </x:c>
      <x:c r="N53" s="46" t="str">
        <x:v>无／按本规则指定的给予—请求—接收—反馈—重订路径路由。</x:v>
      </x:c>
      <x:c r="O53" s="46" t="str">
        <x:v>近位、远位只修正该交换需求进入亲密关系核心的可能；不得据此判断具体伴侣现实中一定配合。</x:v>
      </x:c>
      <x:c r="P53" s="46" t="str">
        <x:v>根气只修正用户交换需求和通道是否稳定重复，不等于双方已形成成熟互惠。</x:v>
      </x:c>
      <x:c r="Q53" s="46" t="str">
        <x:v>旺弱只修正通道调用强度、抢位或缺位风险，不直接等于交换公平或关系质量。</x:v>
      </x:c>
      <x:c r="R53" s="46" t="str">
        <x:v>喜忌只修正调用顺畅度与摩擦，不可直接翻译为理想伴侣五行、十神或必然互补。</x:v>
      </x:c>
      <x:c r="S53" s="46" t="str">
        <x:v>真合化成立时按化神功能重算用户交换需求；合化争议时停止细化交换通道。</x:v>
      </x:c>
      <x:c r="T53" s="46" t="str">
        <x:v>近位提高该交换议题进入关系核心的可能；远位只保留背景或阶段性观察。</x:v>
      </x:c>
      <x:c r="U53" s="46" t="str">
        <x:v>76</x:v>
      </x:c>
      <x:c r="V53" s="46" t="str">
        <x:v>不加分；输出</x:v>
      </x:c>
      <x:c r="W53" s="46" t="str">
        <x:v>observation_plan</x:v>
      </x:c>
      <x:c r="X53" s="46" t="str">
        <x:v>被指出理解不准确时，双方是否会停下来核对，而不是继续证明自己。</x:v>
      </x:c>
      <x:c r="Y53" s="46" t="str">
        <x:v>被指出理解不准确时，双方是否会停下来核对，而不是继续证明自己。</x:v>
      </x:c>
      <x:c r="Z5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53" s="46" t="str">
        <x:v>中高</x:v>
      </x:c>
      <x:c r="AB53" s="46" t="str">
        <x:v>待验证</x:v>
      </x:c>
      <x:c r="AC53" s="46" t="str"/>
      <x:c r="AD53" s="46" t="str">
        <x:v>exchange_channel=EC04; ten_god=伤官; provisional=true; rule_group=EXCHANGE-EC通道</x:v>
      </x:c>
      <x:c r="AE53" s="46" t="str">
        <x:v>0.4</x:v>
      </x:c>
    </x:row>
    <x:row r="54" ht="50" customHeight="1">
      <x:c r="A54" s="46" t="str">
        <x:v>M5-EXCHANGE-053</x:v>
      </x:c>
      <x:c r="B54" s="46" t="str">
        <x:v>EC05 稳定投入｜通道定义</x:v>
      </x:c>
      <x:c r="C54" s="46" t="str">
        <x:v>L1 十类双向交换通道</x:v>
      </x:c>
      <x:c r="D54" s="46" t="str">
        <x:v>EXCHANGE-EC通道</x:v>
      </x:c>
      <x:c r="E54" s="46" t="str">
        <x:v>通用</x:v>
      </x:c>
      <x:c r="F54" s="46" t="str">
        <x:v>基础</x:v>
      </x:c>
      <x:c r="G54" s="46" t="str">
        <x:v>EC05 稳定投入</x:v>
      </x:c>
      <x:c r="H54" s="46" t="str">
        <x:v>正财</x:v>
      </x:c>
      <x:c r="I54" s="46" t="str">
        <x:v>M5-BASE或PARTNER将该FN路由为主／次交换功能。</x:v>
      </x:c>
      <x:c r="J54" s="46" t="str">
        <x:v>安全门控未通过或该通道只属PR3且与主风险冲突。</x:v>
      </x:c>
      <x:c r="K54" s="46" t="str">
        <x:v>由共享基础引擎、M3与M5-BASE提供；只修正用户怎样给予、请求、接收和回馈，不直接判断双方现实交换质量。</x:v>
      </x:c>
      <x:c r="L54" s="46" t="str">
        <x:v>M2只说明进入关系所需资格证据；不能替代长期双向交换、负荷与修复验证。</x:v>
      </x:c>
      <x:c r="M54" s="46" t="str">
        <x:v>M3-BASE、EXPR、CARE和BOUND提供用户自然互动通道；M5-EXCHANGE负责把两人的实际行为合成为交换结构。</x:v>
      </x:c>
      <x:c r="N54" s="46" t="str">
        <x:v>无／按本规则指定的给予—请求—接收—反馈—重订路径路由。</x:v>
      </x:c>
      <x:c r="O54" s="46" t="str">
        <x:v>近位、远位只修正该交换需求进入亲密关系核心的可能；不得据此判断具体伴侣现实中一定配合。</x:v>
      </x:c>
      <x:c r="P54" s="46" t="str">
        <x:v>根气只修正用户交换需求和通道是否稳定重复，不等于双方已形成成熟互惠。</x:v>
      </x:c>
      <x:c r="Q54" s="46" t="str">
        <x:v>旺弱只修正通道调用强度、抢位或缺位风险，不直接等于交换公平或关系质量。</x:v>
      </x:c>
      <x:c r="R54" s="46" t="str">
        <x:v>喜忌只修正调用顺畅度与摩擦，不可直接翻译为理想伴侣五行、十神或必然互补。</x:v>
      </x:c>
      <x:c r="S54" s="46" t="str">
        <x:v>真合化成立时按化神功能重算用户交换需求；合化争议时停止细化交换通道。</x:v>
      </x:c>
      <x:c r="T54" s="46" t="str">
        <x:v>近位提高该交换议题进入关系核心的可能；远位只保留背景或阶段性观察。</x:v>
      </x:c>
      <x:c r="U54" s="46" t="str">
        <x:v>94</x:v>
      </x:c>
      <x:c r="V54" s="46" t="str">
        <x:v>主通道候选 +18</x:v>
      </x:c>
      <x:c r="W54" s="46" t="str">
        <x:v>primary_exchange_channel</x:v>
      </x:c>
      <x:c r="X54" s="46" t="str">
        <x:v>EC05 稳定投入将正财功能转译为双人交换通道。</x:v>
      </x:c>
      <x:c r="Y54" s="46" t="str">
        <x:v>真正适配的投入不要求每次等量，而要让双方都知道谁在承担什么、是否可持续。</x:v>
      </x:c>
      <x:c r="Z5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54" s="46" t="str">
        <x:v>中高</x:v>
      </x:c>
      <x:c r="AB54" s="46" t="str">
        <x:v>待验证</x:v>
      </x:c>
      <x:c r="AC54" s="46" t="str"/>
      <x:c r="AD54" s="46" t="str">
        <x:v>exchange_channel=EC05; ten_god=正财; provisional=true; rule_group=EXCHANGE-EC通道</x:v>
      </x:c>
      <x:c r="AE54" s="46" t="str">
        <x:v>0.4</x:v>
      </x:c>
    </x:row>
    <x:row r="55" ht="50" customHeight="1">
      <x:c r="A55" s="46" t="str">
        <x:v>M5-EXCHANGE-054</x:v>
      </x:c>
      <x:c r="B55" s="46" t="str">
        <x:v>EC05 稳定投入｜给予方式</x:v>
      </x:c>
      <x:c r="C55" s="46" t="str">
        <x:v>L1 十类双向交换通道</x:v>
      </x:c>
      <x:c r="D55" s="46" t="str">
        <x:v>EXCHANGE-EC通道</x:v>
      </x:c>
      <x:c r="E55" s="46" t="str">
        <x:v>通用</x:v>
      </x:c>
      <x:c r="F55" s="46" t="str">
        <x:v>给予</x:v>
      </x:c>
      <x:c r="G55" s="46" t="str">
        <x:v>EC05 稳定投入</x:v>
      </x:c>
      <x:c r="H55" s="46" t="str">
        <x:v>正财</x:v>
      </x:c>
      <x:c r="I55" s="46" t="str">
        <x:v>存在一方主动提供该类支持的现实资料。</x:v>
      </x:c>
      <x:c r="J55" s="46" t="str">
        <x:v>只有自述、身份或一次高光。</x:v>
      </x:c>
      <x:c r="K55" s="46" t="str">
        <x:v>由共享基础引擎、M3与M5-BASE提供；只修正用户怎样给予、请求、接收和回馈，不直接判断双方现实交换质量。</x:v>
      </x:c>
      <x:c r="L55" s="46" t="str">
        <x:v>M2只说明进入关系所需资格证据；不能替代长期双向交换、负荷与修复验证。</x:v>
      </x:c>
      <x:c r="M55" s="46" t="str">
        <x:v>M3-BASE、EXPR、CARE和BOUND提供用户自然互动通道；M5-EXCHANGE负责把两人的实际行为合成为交换结构。</x:v>
      </x:c>
      <x:c r="N55" s="46" t="str">
        <x:v>无／按本规则指定的给予—请求—接收—反馈—重订路径路由。</x:v>
      </x:c>
      <x:c r="O55" s="46" t="str">
        <x:v>近位、远位只修正该交换需求进入亲密关系核心的可能；不得据此判断具体伴侣现实中一定配合。</x:v>
      </x:c>
      <x:c r="P55" s="46" t="str">
        <x:v>根气只修正用户交换需求和通道是否稳定重复，不等于双方已形成成熟互惠。</x:v>
      </x:c>
      <x:c r="Q55" s="46" t="str">
        <x:v>旺弱只修正通道调用强度、抢位或缺位风险，不直接等于交换公平或关系质量。</x:v>
      </x:c>
      <x:c r="R55" s="46" t="str">
        <x:v>喜忌只修正调用顺畅度与摩擦，不可直接翻译为理想伴侣五行、十神或必然互补。</x:v>
      </x:c>
      <x:c r="S55" s="46" t="str">
        <x:v>真合化成立时按化神功能重算用户交换需求；合化争议时停止细化交换通道。</x:v>
      </x:c>
      <x:c r="T55" s="46" t="str">
        <x:v>近位提高该交换议题进入关系核心的可能；远位只保留背景或阶段性观察。</x:v>
      </x:c>
      <x:c r="U55" s="46" t="str">
        <x:v>84</x:v>
      </x:c>
      <x:c r="V55" s="46" t="str">
        <x:v>+8 给予证据</x:v>
      </x:c>
      <x:c r="W55" s="46" t="str">
        <x:v>giving_style</x:v>
      </x:c>
      <x:c r="X55" s="46" t="str">
        <x:v>持续投入时间、精力、金钱、家务和生活安排。</x:v>
      </x:c>
      <x:c r="Y55" s="46" t="str">
        <x:v>给予方面，较成熟的表现是：持续投入时间、精力、金钱、家务和生活安排。</x:v>
      </x:c>
      <x:c r="Z5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55" s="46" t="str">
        <x:v>中</x:v>
      </x:c>
      <x:c r="AB55" s="46" t="str">
        <x:v>待验证</x:v>
      </x:c>
      <x:c r="AC55" s="46" t="str"/>
      <x:c r="AD55" s="46" t="str">
        <x:v>exchange_channel=EC05; ten_god=正财; provisional=true; rule_group=EXCHANGE-EC通道</x:v>
      </x:c>
      <x:c r="AE55" s="46" t="str">
        <x:v>0.4</x:v>
      </x:c>
    </x:row>
    <x:row r="56" ht="50" customHeight="1">
      <x:c r="A56" s="46" t="str">
        <x:v>M5-EXCHANGE-055</x:v>
      </x:c>
      <x:c r="B56" s="46" t="str">
        <x:v>EC05 稳定投入｜请求方式</x:v>
      </x:c>
      <x:c r="C56" s="46" t="str">
        <x:v>L1 十类双向交换通道</x:v>
      </x:c>
      <x:c r="D56" s="46" t="str">
        <x:v>EXCHANGE-EC通道</x:v>
      </x:c>
      <x:c r="E56" s="46" t="str">
        <x:v>通用</x:v>
      </x:c>
      <x:c r="F56" s="46" t="str">
        <x:v>请求</x:v>
      </x:c>
      <x:c r="G56" s="46" t="str">
        <x:v>EC05 稳定投入</x:v>
      </x:c>
      <x:c r="H56" s="46" t="str">
        <x:v>正财</x:v>
      </x:c>
      <x:c r="I56" s="46" t="str">
        <x:v>存在提出需要、协商支持或分工的资料。</x:v>
      </x:c>
      <x:c r="J56" s="46" t="str">
        <x:v>只通过暗示、测试或事后抱怨推断。</x:v>
      </x:c>
      <x:c r="K56" s="46" t="str">
        <x:v>由共享基础引擎、M3与M5-BASE提供；只修正用户怎样给予、请求、接收和回馈，不直接判断双方现实交换质量。</x:v>
      </x:c>
      <x:c r="L56" s="46" t="str">
        <x:v>M2只说明进入关系所需资格证据；不能替代长期双向交换、负荷与修复验证。</x:v>
      </x:c>
      <x:c r="M56" s="46" t="str">
        <x:v>M3-BASE、EXPR、CARE和BOUND提供用户自然互动通道；M5-EXCHANGE负责把两人的实际行为合成为交换结构。</x:v>
      </x:c>
      <x:c r="N56" s="46" t="str">
        <x:v>无／按本规则指定的给予—请求—接收—反馈—重订路径路由。</x:v>
      </x:c>
      <x:c r="O56" s="46" t="str">
        <x:v>近位、远位只修正该交换需求进入亲密关系核心的可能；不得据此判断具体伴侣现实中一定配合。</x:v>
      </x:c>
      <x:c r="P56" s="46" t="str">
        <x:v>根气只修正用户交换需求和通道是否稳定重复，不等于双方已形成成熟互惠。</x:v>
      </x:c>
      <x:c r="Q56" s="46" t="str">
        <x:v>旺弱只修正通道调用强度、抢位或缺位风险，不直接等于交换公平或关系质量。</x:v>
      </x:c>
      <x:c r="R56" s="46" t="str">
        <x:v>喜忌只修正调用顺畅度与摩擦，不可直接翻译为理想伴侣五行、十神或必然互补。</x:v>
      </x:c>
      <x:c r="S56" s="46" t="str">
        <x:v>真合化成立时按化神功能重算用户交换需求；合化争议时停止细化交换通道。</x:v>
      </x:c>
      <x:c r="T56" s="46" t="str">
        <x:v>近位提高该交换议题进入关系核心的可能；远位只保留背景或阶段性观察。</x:v>
      </x:c>
      <x:c r="U56" s="46" t="str">
        <x:v>84</x:v>
      </x:c>
      <x:c r="V56" s="46" t="str">
        <x:v>+8 请求证据</x:v>
      </x:c>
      <x:c r="W56" s="46" t="str">
        <x:v>request_style</x:v>
      </x:c>
      <x:c r="X56" s="46" t="str">
        <x:v>提出支持时说明具体资源、频率、期限与可承担范围。</x:v>
      </x:c>
      <x:c r="Y56" s="46" t="str">
        <x:v>提出需要时，适合采用：提出支持时说明具体资源、频率、期限与可承担范围。</x:v>
      </x:c>
      <x:c r="Z5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56" s="46" t="str">
        <x:v>中</x:v>
      </x:c>
      <x:c r="AB56" s="46" t="str">
        <x:v>待验证</x:v>
      </x:c>
      <x:c r="AC56" s="46" t="str"/>
      <x:c r="AD56" s="46" t="str">
        <x:v>exchange_channel=EC05; ten_god=正财; provisional=true; rule_group=EXCHANGE-EC通道</x:v>
      </x:c>
      <x:c r="AE56" s="46" t="str">
        <x:v>0.4</x:v>
      </x:c>
    </x:row>
    <x:row r="57" ht="50" customHeight="1">
      <x:c r="A57" s="46" t="str">
        <x:v>M5-EXCHANGE-056</x:v>
      </x:c>
      <x:c r="B57" s="46" t="str">
        <x:v>EC05 稳定投入｜接收方式</x:v>
      </x:c>
      <x:c r="C57" s="46" t="str">
        <x:v>L1 十类双向交换通道</x:v>
      </x:c>
      <x:c r="D57" s="46" t="str">
        <x:v>EXCHANGE-EC通道</x:v>
      </x:c>
      <x:c r="E57" s="46" t="str">
        <x:v>通用</x:v>
      </x:c>
      <x:c r="F57" s="46" t="str">
        <x:v>接收</x:v>
      </x:c>
      <x:c r="G57" s="46" t="str">
        <x:v>EC05 稳定投入</x:v>
      </x:c>
      <x:c r="H57" s="46" t="str">
        <x:v>正财</x:v>
      </x:c>
      <x:c r="I57" s="46" t="str">
        <x:v>存在接受帮助、回应或资源的资料。</x:v>
      </x:c>
      <x:c r="J57" s="46" t="str">
        <x:v>把接受支持自动解释为依赖或债务。</x:v>
      </x:c>
      <x:c r="K57" s="46" t="str">
        <x:v>由共享基础引擎、M3与M5-BASE提供；只修正用户怎样给予、请求、接收和回馈，不直接判断双方现实交换质量。</x:v>
      </x:c>
      <x:c r="L57" s="46" t="str">
        <x:v>M2只说明进入关系所需资格证据；不能替代长期双向交换、负荷与修复验证。</x:v>
      </x:c>
      <x:c r="M57" s="46" t="str">
        <x:v>M3-BASE、EXPR、CARE和BOUND提供用户自然互动通道；M5-EXCHANGE负责把两人的实际行为合成为交换结构。</x:v>
      </x:c>
      <x:c r="N57" s="46" t="str">
        <x:v>无／按本规则指定的给予—请求—接收—反馈—重订路径路由。</x:v>
      </x:c>
      <x:c r="O57" s="46" t="str">
        <x:v>近位、远位只修正该交换需求进入亲密关系核心的可能；不得据此判断具体伴侣现实中一定配合。</x:v>
      </x:c>
      <x:c r="P57" s="46" t="str">
        <x:v>根气只修正用户交换需求和通道是否稳定重复，不等于双方已形成成熟互惠。</x:v>
      </x:c>
      <x:c r="Q57" s="46" t="str">
        <x:v>旺弱只修正通道调用强度、抢位或缺位风险，不直接等于交换公平或关系质量。</x:v>
      </x:c>
      <x:c r="R57" s="46" t="str">
        <x:v>喜忌只修正调用顺畅度与摩擦，不可直接翻译为理想伴侣五行、十神或必然互补。</x:v>
      </x:c>
      <x:c r="S57" s="46" t="str">
        <x:v>真合化成立时按化神功能重算用户交换需求；合化争议时停止细化交换通道。</x:v>
      </x:c>
      <x:c r="T57" s="46" t="str">
        <x:v>近位提高该交换议题进入关系核心的可能；远位只保留背景或阶段性观察。</x:v>
      </x:c>
      <x:c r="U57" s="46" t="str">
        <x:v>84</x:v>
      </x:c>
      <x:c r="V57" s="46" t="str">
        <x:v>+8 接收证据</x:v>
      </x:c>
      <x:c r="W57" s="46" t="str">
        <x:v>receiving_style</x:v>
      </x:c>
      <x:c r="X57" s="46" t="str">
        <x:v>接受现实投入时可以表达需要和边界，不把帮助自动转成债务。</x:v>
      </x:c>
      <x:c r="Y57" s="46" t="str">
        <x:v>接收支持时，重点是：接受现实投入时可以表达需要和边界，不把帮助自动转成债务。</x:v>
      </x:c>
      <x:c r="Z5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57" s="46" t="str">
        <x:v>中</x:v>
      </x:c>
      <x:c r="AB57" s="46" t="str">
        <x:v>待验证</x:v>
      </x:c>
      <x:c r="AC57" s="46" t="str"/>
      <x:c r="AD57" s="46" t="str">
        <x:v>exchange_channel=EC05; ten_god=正财; provisional=true; rule_group=EXCHANGE-EC通道</x:v>
      </x:c>
      <x:c r="AE57" s="46" t="str">
        <x:v>0.4</x:v>
      </x:c>
    </x:row>
    <x:row r="58" ht="50" customHeight="1">
      <x:c r="A58" s="46" t="str">
        <x:v>M5-EXCHANGE-057</x:v>
      </x:c>
      <x:c r="B58" s="46" t="str">
        <x:v>EC05 稳定投入｜回馈方式</x:v>
      </x:c>
      <x:c r="C58" s="46" t="str">
        <x:v>L1 十类双向交换通道</x:v>
      </x:c>
      <x:c r="D58" s="46" t="str">
        <x:v>EXCHANGE-EC通道</x:v>
      </x:c>
      <x:c r="E58" s="46" t="str">
        <x:v>通用</x:v>
      </x:c>
      <x:c r="F58" s="46" t="str">
        <x:v>回馈</x:v>
      </x:c>
      <x:c r="G58" s="46" t="str">
        <x:v>EC05 稳定投入</x:v>
      </x:c>
      <x:c r="H58" s="46" t="str">
        <x:v>正财</x:v>
      </x:c>
      <x:c r="I58" s="46" t="str">
        <x:v>存在后续回应、错峰回流或其他领域贡献。</x:v>
      </x:c>
      <x:c r="J58" s="46" t="str">
        <x:v>要求立即、同领域、等量回报。</x:v>
      </x:c>
      <x:c r="K58" s="46" t="str">
        <x:v>由共享基础引擎、M3与M5-BASE提供；只修正用户怎样给予、请求、接收和回馈，不直接判断双方现实交换质量。</x:v>
      </x:c>
      <x:c r="L58" s="46" t="str">
        <x:v>M2只说明进入关系所需资格证据；不能替代长期双向交换、负荷与修复验证。</x:v>
      </x:c>
      <x:c r="M58" s="46" t="str">
        <x:v>M3-BASE、EXPR、CARE和BOUND提供用户自然互动通道；M5-EXCHANGE负责把两人的实际行为合成为交换结构。</x:v>
      </x:c>
      <x:c r="N58" s="46" t="str">
        <x:v>无／按本规则指定的给予—请求—接收—反馈—重订路径路由。</x:v>
      </x:c>
      <x:c r="O58" s="46" t="str">
        <x:v>近位、远位只修正该交换需求进入亲密关系核心的可能；不得据此判断具体伴侣现实中一定配合。</x:v>
      </x:c>
      <x:c r="P58" s="46" t="str">
        <x:v>根气只修正用户交换需求和通道是否稳定重复，不等于双方已形成成熟互惠。</x:v>
      </x:c>
      <x:c r="Q58" s="46" t="str">
        <x:v>旺弱只修正通道调用强度、抢位或缺位风险，不直接等于交换公平或关系质量。</x:v>
      </x:c>
      <x:c r="R58" s="46" t="str">
        <x:v>喜忌只修正调用顺畅度与摩擦，不可直接翻译为理想伴侣五行、十神或必然互补。</x:v>
      </x:c>
      <x:c r="S58" s="46" t="str">
        <x:v>真合化成立时按化神功能重算用户交换需求；合化争议时停止细化交换通道。</x:v>
      </x:c>
      <x:c r="T58" s="46" t="str">
        <x:v>近位提高该交换议题进入关系核心的可能；远位只保留背景或阶段性观察。</x:v>
      </x:c>
      <x:c r="U58" s="46" t="str">
        <x:v>82</x:v>
      </x:c>
      <x:c r="V58" s="46" t="str">
        <x:v>+8 回馈证据</x:v>
      </x:c>
      <x:c r="W58" s="46" t="str">
        <x:v>reciprocity_style</x:v>
      </x:c>
      <x:c r="X58" s="46" t="str">
        <x:v>通过稳定分工、错峰承担或其他领域贡献形成长期互惠。</x:v>
      </x:c>
      <x:c r="Y58" s="46" t="str">
        <x:v>回馈不必完全相同，可以通过：通过稳定分工、错峰承担或其他领域贡献形成长期互惠。</x:v>
      </x:c>
      <x:c r="Z5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58" s="46" t="str">
        <x:v>中</x:v>
      </x:c>
      <x:c r="AB58" s="46" t="str">
        <x:v>待验证</x:v>
      </x:c>
      <x:c r="AC58" s="46" t="str"/>
      <x:c r="AD58" s="46" t="str">
        <x:v>exchange_channel=EC05; ten_god=正财; provisional=true; rule_group=EXCHANGE-EC通道</x:v>
      </x:c>
      <x:c r="AE58" s="46" t="str">
        <x:v>0.4</x:v>
      </x:c>
    </x:row>
    <x:row r="59" ht="50" customHeight="1">
      <x:c r="A59" s="46" t="str">
        <x:v>M5-EXCHANGE-058</x:v>
      </x:c>
      <x:c r="B59" s="46" t="str">
        <x:v>EC05 稳定投入｜成熟双向表达</x:v>
      </x:c>
      <x:c r="C59" s="46" t="str">
        <x:v>L1 十类双向交换通道</x:v>
      </x:c>
      <x:c r="D59" s="46" t="str">
        <x:v>EXCHANGE-EC通道</x:v>
      </x:c>
      <x:c r="E59" s="46" t="str">
        <x:v>通用</x:v>
      </x:c>
      <x:c r="F59" s="46" t="str">
        <x:v>成熟</x:v>
      </x:c>
      <x:c r="G59" s="46" t="str">
        <x:v>EC05 稳定投入</x:v>
      </x:c>
      <x:c r="H59" s="46" t="str">
        <x:v>正财</x:v>
      </x:c>
      <x:c r="I59" s="46" t="str">
        <x:v>XV4以上，且ED02、ED03、ED09至少两项可靠。</x:v>
      </x:c>
      <x:c r="J59" s="46" t="str">
        <x:v>只有一方能力或一次事件。</x:v>
      </x:c>
      <x:c r="K59" s="46" t="str">
        <x:v>由共享基础引擎、M3与M5-BASE提供；只修正用户怎样给予、请求、接收和回馈，不直接判断双方现实交换质量。</x:v>
      </x:c>
      <x:c r="L59" s="46" t="str">
        <x:v>M2只说明进入关系所需资格证据；不能替代长期双向交换、负荷与修复验证。</x:v>
      </x:c>
      <x:c r="M59" s="46" t="str">
        <x:v>M3-BASE、EXPR、CARE和BOUND提供用户自然互动通道；M5-EXCHANGE负责把两人的实际行为合成为交换结构。</x:v>
      </x:c>
      <x:c r="N59" s="46" t="str">
        <x:v>无／按本规则指定的给予—请求—接收—反馈—重订路径路由。</x:v>
      </x:c>
      <x:c r="O59" s="46" t="str">
        <x:v>近位、远位只修正该交换需求进入亲密关系核心的可能；不得据此判断具体伴侣现实中一定配合。</x:v>
      </x:c>
      <x:c r="P59" s="46" t="str">
        <x:v>根气只修正用户交换需求和通道是否稳定重复，不等于双方已形成成熟互惠。</x:v>
      </x:c>
      <x:c r="Q59" s="46" t="str">
        <x:v>旺弱只修正通道调用强度、抢位或缺位风险，不直接等于交换公平或关系质量。</x:v>
      </x:c>
      <x:c r="R59" s="46" t="str">
        <x:v>喜忌只修正调用顺畅度与摩擦，不可直接翻译为理想伴侣五行、十神或必然互补。</x:v>
      </x:c>
      <x:c r="S59" s="46" t="str">
        <x:v>真合化成立时按化神功能重算用户交换需求；合化争议时停止细化交换通道。</x:v>
      </x:c>
      <x:c r="T59" s="46" t="str">
        <x:v>近位提高该交换议题进入关系核心的可能；远位只保留背景或阶段性观察。</x:v>
      </x:c>
      <x:c r="U59" s="46" t="str">
        <x:v>90</x:v>
      </x:c>
      <x:c r="V59" s="46" t="str">
        <x:v>成熟 +14</x:v>
      </x:c>
      <x:c r="W59" s="46" t="str">
        <x:v>mature_exchange_profile</x:v>
      </x:c>
      <x:c r="X59" s="46" t="str">
        <x:v>投入可预测、可协商，成本上升时仍会重订分工而不是突然撤回。</x:v>
      </x:c>
      <x:c r="Y59" s="46" t="str">
        <x:v>成熟交换通常表现为：投入可预测、可协商，成本上升时仍会重订分工而不是突然撤回。</x:v>
      </x:c>
      <x:c r="Z5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59" s="46" t="str">
        <x:v>中高</x:v>
      </x:c>
      <x:c r="AB59" s="46" t="str">
        <x:v>待验证</x:v>
      </x:c>
      <x:c r="AC59" s="46" t="str"/>
      <x:c r="AD59" s="46" t="str">
        <x:v>exchange_channel=EC05; ten_god=正财; provisional=true; rule_group=EXCHANGE-EC通道</x:v>
      </x:c>
      <x:c r="AE59" s="46" t="str">
        <x:v>0.4</x:v>
      </x:c>
    </x:row>
    <x:row r="60" ht="50" customHeight="1">
      <x:c r="A60" s="46" t="str">
        <x:v>M5-EXCHANGE-059</x:v>
      </x:c>
      <x:c r="B60" s="46" t="str">
        <x:v>EC05 稳定投入｜失衡与替代候选</x:v>
      </x:c>
      <x:c r="C60" s="46" t="str">
        <x:v>L1 十类双向交换通道</x:v>
      </x:c>
      <x:c r="D60" s="46" t="str">
        <x:v>EXCHANGE-EC通道</x:v>
      </x:c>
      <x:c r="E60" s="46" t="str">
        <x:v>通用</x:v>
      </x:c>
      <x:c r="F60" s="46" t="str">
        <x:v>风险</x:v>
      </x:c>
      <x:c r="G60" s="46" t="str">
        <x:v>EC05 稳定投入</x:v>
      </x:c>
      <x:c r="H60" s="46" t="str">
        <x:v>正财</x:v>
      </x:c>
      <x:c r="I60" s="46" t="str">
        <x:v>现实资料显示抢位、替代、负荷或反馈断点。</x:v>
      </x:c>
      <x:c r="J60" s="46" t="str">
        <x:v>只有通道强度，没有第二类失衡证据。</x:v>
      </x:c>
      <x:c r="K60" s="46" t="str">
        <x:v>由共享基础引擎、M3与M5-BASE提供；只修正用户怎样给予、请求、接收和回馈，不直接判断双方现实交换质量。</x:v>
      </x:c>
      <x:c r="L60" s="46" t="str">
        <x:v>M2只说明进入关系所需资格证据；不能替代长期双向交换、负荷与修复验证。</x:v>
      </x:c>
      <x:c r="M60" s="46" t="str">
        <x:v>M3-BASE、EXPR、CARE和BOUND提供用户自然互动通道；M5-EXCHANGE负责把两人的实际行为合成为交换结构。</x:v>
      </x:c>
      <x:c r="N60" s="46" t="str">
        <x:v>无／按本规则指定的给予—请求—接收—反馈—重订路径路由。</x:v>
      </x:c>
      <x:c r="O60" s="46" t="str">
        <x:v>近位、远位只修正该交换需求进入亲密关系核心的可能；不得据此判断具体伴侣现实中一定配合。</x:v>
      </x:c>
      <x:c r="P60" s="46" t="str">
        <x:v>根气只修正用户交换需求和通道是否稳定重复，不等于双方已形成成熟互惠。</x:v>
      </x:c>
      <x:c r="Q60" s="46" t="str">
        <x:v>旺弱只修正通道调用强度、抢位或缺位风险，不直接等于交换公平或关系质量。</x:v>
      </x:c>
      <x:c r="R60" s="46" t="str">
        <x:v>喜忌只修正调用顺畅度与摩擦，不可直接翻译为理想伴侣五行、十神或必然互补。</x:v>
      </x:c>
      <x:c r="S60" s="46" t="str">
        <x:v>真合化成立时按化神功能重算用户交换需求；合化争议时停止细化交换通道。</x:v>
      </x:c>
      <x:c r="T60" s="46" t="str">
        <x:v>近位提高该交换议题进入关系核心的可能；远位只保留背景或阶段性观察。</x:v>
      </x:c>
      <x:c r="U60" s="46" t="str">
        <x:v>88</x:v>
      </x:c>
      <x:c r="V60" s="46" t="str">
        <x:v>风险 +12</x:v>
      </x:c>
      <x:c r="W60" s="46" t="str">
        <x:v>exchange_risk_warning</x:v>
      </x:c>
      <x:c r="X60" s="46" t="str">
        <x:v>容易把投入量当成爱、把贡献做成记账，或用现实付出替代沟通和承诺。</x:v>
      </x:c>
      <x:c r="Y60" s="46" t="str">
        <x:v>需要留意：容易把投入量当成爱、把贡献做成记账，或用现实付出替代沟通和承诺。</x:v>
      </x:c>
      <x:c r="Z6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60" s="46" t="str">
        <x:v>中高</x:v>
      </x:c>
      <x:c r="AB60" s="46" t="str">
        <x:v>待验证</x:v>
      </x:c>
      <x:c r="AC60" s="46" t="str"/>
      <x:c r="AD60" s="46" t="str">
        <x:v>exchange_channel=EC05; ten_god=正财; provisional=true; rule_group=EXCHANGE-EC通道</x:v>
      </x:c>
      <x:c r="AE60" s="46" t="str">
        <x:v>0.4</x:v>
      </x:c>
    </x:row>
    <x:row r="61" ht="50" customHeight="1">
      <x:c r="A61" s="46" t="str">
        <x:v>M5-EXCHANGE-060</x:v>
      </x:c>
      <x:c r="B61" s="46" t="str">
        <x:v>EC05 稳定投入｜关键观察与用户输出</x:v>
      </x:c>
      <x:c r="C61" s="46" t="str">
        <x:v>L1 十类双向交换通道</x:v>
      </x:c>
      <x:c r="D61" s="46" t="str">
        <x:v>EXCHANGE-EC通道</x:v>
      </x:c>
      <x:c r="E61" s="46" t="str">
        <x:v>通用</x:v>
      </x:c>
      <x:c r="F61" s="46" t="str">
        <x:v>输出</x:v>
      </x:c>
      <x:c r="G61" s="46" t="str">
        <x:v>EC05 稳定投入</x:v>
      </x:c>
      <x:c r="H61" s="46" t="str">
        <x:v>正财</x:v>
      </x:c>
      <x:c r="I61" s="46" t="str">
        <x:v>已形成主或次EC候选。</x:v>
      </x:c>
      <x:c r="J61" s="46" t="str">
        <x:v>XR08停止或资料严重不足。</x:v>
      </x:c>
      <x:c r="K61" s="46" t="str">
        <x:v>由共享基础引擎、M3与M5-BASE提供；只修正用户怎样给予、请求、接收和回馈，不直接判断双方现实交换质量。</x:v>
      </x:c>
      <x:c r="L61" s="46" t="str">
        <x:v>M2只说明进入关系所需资格证据；不能替代长期双向交换、负荷与修复验证。</x:v>
      </x:c>
      <x:c r="M61" s="46" t="str">
        <x:v>M3-BASE、EXPR、CARE和BOUND提供用户自然互动通道；M5-EXCHANGE负责把两人的实际行为合成为交换结构。</x:v>
      </x:c>
      <x:c r="N61" s="46" t="str">
        <x:v>无／按本规则指定的给予—请求—接收—反馈—重订路径路由。</x:v>
      </x:c>
      <x:c r="O61" s="46" t="str">
        <x:v>近位、远位只修正该交换需求进入亲密关系核心的可能；不得据此判断具体伴侣现实中一定配合。</x:v>
      </x:c>
      <x:c r="P61" s="46" t="str">
        <x:v>根气只修正用户交换需求和通道是否稳定重复，不等于双方已形成成熟互惠。</x:v>
      </x:c>
      <x:c r="Q61" s="46" t="str">
        <x:v>旺弱只修正通道调用强度、抢位或缺位风险，不直接等于交换公平或关系质量。</x:v>
      </x:c>
      <x:c r="R61" s="46" t="str">
        <x:v>喜忌只修正调用顺畅度与摩擦，不可直接翻译为理想伴侣五行、十神或必然互补。</x:v>
      </x:c>
      <x:c r="S61" s="46" t="str">
        <x:v>真合化成立时按化神功能重算用户交换需求；合化争议时停止细化交换通道。</x:v>
      </x:c>
      <x:c r="T61" s="46" t="str">
        <x:v>近位提高该交换议题进入关系核心的可能；远位只保留背景或阶段性观察。</x:v>
      </x:c>
      <x:c r="U61" s="46" t="str">
        <x:v>76</x:v>
      </x:c>
      <x:c r="V61" s="46" t="str">
        <x:v>不加分；输出</x:v>
      </x:c>
      <x:c r="W61" s="46" t="str">
        <x:v>observation_plan</x:v>
      </x:c>
      <x:c r="X61" s="46" t="str">
        <x:v>忙碌、成本增加或贡献不对称时，双方能否说明负荷并重新分配。</x:v>
      </x:c>
      <x:c r="Y61" s="46" t="str">
        <x:v>忙碌、成本增加或贡献不对称时，双方能否说明负荷并重新分配。</x:v>
      </x:c>
      <x:c r="Z6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61" s="46" t="str">
        <x:v>中高</x:v>
      </x:c>
      <x:c r="AB61" s="46" t="str">
        <x:v>待验证</x:v>
      </x:c>
      <x:c r="AC61" s="46" t="str"/>
      <x:c r="AD61" s="46" t="str">
        <x:v>exchange_channel=EC05; ten_god=正财; provisional=true; rule_group=EXCHANGE-EC通道</x:v>
      </x:c>
      <x:c r="AE61" s="46" t="str">
        <x:v>0.4</x:v>
      </x:c>
    </x:row>
    <x:row r="62" ht="50" customHeight="1">
      <x:c r="A62" s="46" t="str">
        <x:v>M5-EXCHANGE-061</x:v>
      </x:c>
      <x:c r="B62" s="46" t="str">
        <x:v>EC06 灵活资源｜通道定义</x:v>
      </x:c>
      <x:c r="C62" s="46" t="str">
        <x:v>L1 十类双向交换通道</x:v>
      </x:c>
      <x:c r="D62" s="46" t="str">
        <x:v>EXCHANGE-EC通道</x:v>
      </x:c>
      <x:c r="E62" s="46" t="str">
        <x:v>通用</x:v>
      </x:c>
      <x:c r="F62" s="46" t="str">
        <x:v>基础</x:v>
      </x:c>
      <x:c r="G62" s="46" t="str">
        <x:v>EC06 灵活资源</x:v>
      </x:c>
      <x:c r="H62" s="46" t="str">
        <x:v>偏财</x:v>
      </x:c>
      <x:c r="I62" s="46" t="str">
        <x:v>M5-BASE或PARTNER将该FN路由为主／次交换功能。</x:v>
      </x:c>
      <x:c r="J62" s="46" t="str">
        <x:v>安全门控未通过或该通道只属PR3且与主风险冲突。</x:v>
      </x:c>
      <x:c r="K62" s="46" t="str">
        <x:v>由共享基础引擎、M3与M5-BASE提供；只修正用户怎样给予、请求、接收和回馈，不直接判断双方现实交换质量。</x:v>
      </x:c>
      <x:c r="L62" s="46" t="str">
        <x:v>M2只说明进入关系所需资格证据；不能替代长期双向交换、负荷与修复验证。</x:v>
      </x:c>
      <x:c r="M62" s="46" t="str">
        <x:v>M3-BASE、EXPR、CARE和BOUND提供用户自然互动通道；M5-EXCHANGE负责把两人的实际行为合成为交换结构。</x:v>
      </x:c>
      <x:c r="N62" s="46" t="str">
        <x:v>无／按本规则指定的给予—请求—接收—反馈—重订路径路由。</x:v>
      </x:c>
      <x:c r="O62" s="46" t="str">
        <x:v>近位、远位只修正该交换需求进入亲密关系核心的可能；不得据此判断具体伴侣现实中一定配合。</x:v>
      </x:c>
      <x:c r="P62" s="46" t="str">
        <x:v>根气只修正用户交换需求和通道是否稳定重复，不等于双方已形成成熟互惠。</x:v>
      </x:c>
      <x:c r="Q62" s="46" t="str">
        <x:v>旺弱只修正通道调用强度、抢位或缺位风险，不直接等于交换公平或关系质量。</x:v>
      </x:c>
      <x:c r="R62" s="46" t="str">
        <x:v>喜忌只修正调用顺畅度与摩擦，不可直接翻译为理想伴侣五行、十神或必然互补。</x:v>
      </x:c>
      <x:c r="S62" s="46" t="str">
        <x:v>真合化成立时按化神功能重算用户交换需求；合化争议时停止细化交换通道。</x:v>
      </x:c>
      <x:c r="T62" s="46" t="str">
        <x:v>近位提高该交换议题进入关系核心的可能；远位只保留背景或阶段性观察。</x:v>
      </x:c>
      <x:c r="U62" s="46" t="str">
        <x:v>94</x:v>
      </x:c>
      <x:c r="V62" s="46" t="str">
        <x:v>主通道候选 +18</x:v>
      </x:c>
      <x:c r="W62" s="46" t="str">
        <x:v>primary_exchange_channel</x:v>
      </x:c>
      <x:c r="X62" s="46" t="str">
        <x:v>EC06 灵活资源将偏财功能转译为双人交换通道。</x:v>
      </x:c>
      <x:c r="Y62" s="46" t="str">
        <x:v>关系可以有活力和变化，但需要把临时的好转成可持续的安排。</x:v>
      </x:c>
      <x:c r="Z6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62" s="46" t="str">
        <x:v>中高</x:v>
      </x:c>
      <x:c r="AB62" s="46" t="str">
        <x:v>待验证</x:v>
      </x:c>
      <x:c r="AC62" s="46" t="str"/>
      <x:c r="AD62" s="46" t="str">
        <x:v>exchange_channel=EC06; ten_god=偏财; provisional=true; rule_group=EXCHANGE-EC通道</x:v>
      </x:c>
      <x:c r="AE62" s="46" t="str">
        <x:v>0.4</x:v>
      </x:c>
    </x:row>
    <x:row r="63" ht="50" customHeight="1">
      <x:c r="A63" s="46" t="str">
        <x:v>M5-EXCHANGE-062</x:v>
      </x:c>
      <x:c r="B63" s="46" t="str">
        <x:v>EC06 灵活资源｜给予方式</x:v>
      </x:c>
      <x:c r="C63" s="46" t="str">
        <x:v>L1 十类双向交换通道</x:v>
      </x:c>
      <x:c r="D63" s="46" t="str">
        <x:v>EXCHANGE-EC通道</x:v>
      </x:c>
      <x:c r="E63" s="46" t="str">
        <x:v>通用</x:v>
      </x:c>
      <x:c r="F63" s="46" t="str">
        <x:v>给予</x:v>
      </x:c>
      <x:c r="G63" s="46" t="str">
        <x:v>EC06 灵活资源</x:v>
      </x:c>
      <x:c r="H63" s="46" t="str">
        <x:v>偏财</x:v>
      </x:c>
      <x:c r="I63" s="46" t="str">
        <x:v>存在一方主动提供该类支持的现实资料。</x:v>
      </x:c>
      <x:c r="J63" s="46" t="str">
        <x:v>只有自述、身份或一次高光。</x:v>
      </x:c>
      <x:c r="K63" s="46" t="str">
        <x:v>由共享基础引擎、M3与M5-BASE提供；只修正用户怎样给予、请求、接收和回馈，不直接判断双方现实交换质量。</x:v>
      </x:c>
      <x:c r="L63" s="46" t="str">
        <x:v>M2只说明进入关系所需资格证据；不能替代长期双向交换、负荷与修复验证。</x:v>
      </x:c>
      <x:c r="M63" s="46" t="str">
        <x:v>M3-BASE、EXPR、CARE和BOUND提供用户自然互动通道；M5-EXCHANGE负责把两人的实际行为合成为交换结构。</x:v>
      </x:c>
      <x:c r="N63" s="46" t="str">
        <x:v>无／按本规则指定的给予—请求—接收—反馈—重订路径路由。</x:v>
      </x:c>
      <x:c r="O63" s="46" t="str">
        <x:v>近位、远位只修正该交换需求进入亲密关系核心的可能；不得据此判断具体伴侣现实中一定配合。</x:v>
      </x:c>
      <x:c r="P63" s="46" t="str">
        <x:v>根气只修正用户交换需求和通道是否稳定重复，不等于双方已形成成熟互惠。</x:v>
      </x:c>
      <x:c r="Q63" s="46" t="str">
        <x:v>旺弱只修正通道调用强度、抢位或缺位风险，不直接等于交换公平或关系质量。</x:v>
      </x:c>
      <x:c r="R63" s="46" t="str">
        <x:v>喜忌只修正调用顺畅度与摩擦，不可直接翻译为理想伴侣五行、十神或必然互补。</x:v>
      </x:c>
      <x:c r="S63" s="46" t="str">
        <x:v>真合化成立时按化神功能重算用户交换需求；合化争议时停止细化交换通道。</x:v>
      </x:c>
      <x:c r="T63" s="46" t="str">
        <x:v>近位提高该交换议题进入关系核心的可能；远位只保留背景或阶段性观察。</x:v>
      </x:c>
      <x:c r="U63" s="46" t="str">
        <x:v>84</x:v>
      </x:c>
      <x:c r="V63" s="46" t="str">
        <x:v>+8 给予证据</x:v>
      </x:c>
      <x:c r="W63" s="46" t="str">
        <x:v>giving_style</x:v>
      </x:c>
      <x:c r="X63" s="46" t="str">
        <x:v>通过体验、礼物、人脉、临时资源和灵活安排增加关系活力。</x:v>
      </x:c>
      <x:c r="Y63" s="46" t="str">
        <x:v>给予方面，较成熟的表现是：通过体验、礼物、人脉、临时资源和灵活安排增加关系活力。</x:v>
      </x:c>
      <x:c r="Z6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63" s="46" t="str">
        <x:v>中</x:v>
      </x:c>
      <x:c r="AB63" s="46" t="str">
        <x:v>待验证</x:v>
      </x:c>
      <x:c r="AC63" s="46" t="str"/>
      <x:c r="AD63" s="46" t="str">
        <x:v>exchange_channel=EC06; ten_god=偏财; provisional=true; rule_group=EXCHANGE-EC通道</x:v>
      </x:c>
      <x:c r="AE63" s="46" t="str">
        <x:v>0.4</x:v>
      </x:c>
    </x:row>
    <x:row r="64" ht="50" customHeight="1">
      <x:c r="A64" s="46" t="str">
        <x:v>M5-EXCHANGE-063</x:v>
      </x:c>
      <x:c r="B64" s="46" t="str">
        <x:v>EC06 灵活资源｜请求方式</x:v>
      </x:c>
      <x:c r="C64" s="46" t="str">
        <x:v>L1 十类双向交换通道</x:v>
      </x:c>
      <x:c r="D64" s="46" t="str">
        <x:v>EXCHANGE-EC通道</x:v>
      </x:c>
      <x:c r="E64" s="46" t="str">
        <x:v>通用</x:v>
      </x:c>
      <x:c r="F64" s="46" t="str">
        <x:v>请求</x:v>
      </x:c>
      <x:c r="G64" s="46" t="str">
        <x:v>EC06 灵活资源</x:v>
      </x:c>
      <x:c r="H64" s="46" t="str">
        <x:v>偏财</x:v>
      </x:c>
      <x:c r="I64" s="46" t="str">
        <x:v>存在提出需要、协商支持或分工的资料。</x:v>
      </x:c>
      <x:c r="J64" s="46" t="str">
        <x:v>只通过暗示、测试或事后抱怨推断。</x:v>
      </x:c>
      <x:c r="K64" s="46" t="str">
        <x:v>由共享基础引擎、M3与M5-BASE提供；只修正用户怎样给予、请求、接收和回馈，不直接判断双方现实交换质量。</x:v>
      </x:c>
      <x:c r="L64" s="46" t="str">
        <x:v>M2只说明进入关系所需资格证据；不能替代长期双向交换、负荷与修复验证。</x:v>
      </x:c>
      <x:c r="M64" s="46" t="str">
        <x:v>M3-BASE、EXPR、CARE和BOUND提供用户自然互动通道；M5-EXCHANGE负责把两人的实际行为合成为交换结构。</x:v>
      </x:c>
      <x:c r="N64" s="46" t="str">
        <x:v>无／按本规则指定的给予—请求—接收—反馈—重订路径路由。</x:v>
      </x:c>
      <x:c r="O64" s="46" t="str">
        <x:v>近位、远位只修正该交换需求进入亲密关系核心的可能；不得据此判断具体伴侣现实中一定配合。</x:v>
      </x:c>
      <x:c r="P64" s="46" t="str">
        <x:v>根气只修正用户交换需求和通道是否稳定重复，不等于双方已形成成熟互惠。</x:v>
      </x:c>
      <x:c r="Q64" s="46" t="str">
        <x:v>旺弱只修正通道调用强度、抢位或缺位风险，不直接等于交换公平或关系质量。</x:v>
      </x:c>
      <x:c r="R64" s="46" t="str">
        <x:v>喜忌只修正调用顺畅度与摩擦，不可直接翻译为理想伴侣五行、十神或必然互补。</x:v>
      </x:c>
      <x:c r="S64" s="46" t="str">
        <x:v>真合化成立时按化神功能重算用户交换需求；合化争议时停止细化交换通道。</x:v>
      </x:c>
      <x:c r="T64" s="46" t="str">
        <x:v>近位提高该交换议题进入关系核心的可能；远位只保留背景或阶段性观察。</x:v>
      </x:c>
      <x:c r="U64" s="46" t="str">
        <x:v>84</x:v>
      </x:c>
      <x:c r="V64" s="46" t="str">
        <x:v>+8 请求证据</x:v>
      </x:c>
      <x:c r="W64" s="46" t="str">
        <x:v>request_style</x:v>
      </x:c>
      <x:c r="X64" s="46" t="str">
        <x:v>提出需要时允许多种实现方式，同时说清底线、透明度和持续要求。</x:v>
      </x:c>
      <x:c r="Y64" s="46" t="str">
        <x:v>提出需要时，适合采用：提出需要时允许多种实现方式，同时说清底线、透明度和持续要求。</x:v>
      </x:c>
      <x:c r="Z6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64" s="46" t="str">
        <x:v>中</x:v>
      </x:c>
      <x:c r="AB64" s="46" t="str">
        <x:v>待验证</x:v>
      </x:c>
      <x:c r="AC64" s="46" t="str"/>
      <x:c r="AD64" s="46" t="str">
        <x:v>exchange_channel=EC06; ten_god=偏财; provisional=true; rule_group=EXCHANGE-EC通道</x:v>
      </x:c>
      <x:c r="AE64" s="46" t="str">
        <x:v>0.4</x:v>
      </x:c>
    </x:row>
    <x:row r="65" ht="50" customHeight="1">
      <x:c r="A65" s="46" t="str">
        <x:v>M5-EXCHANGE-064</x:v>
      </x:c>
      <x:c r="B65" s="46" t="str">
        <x:v>EC06 灵活资源｜接收方式</x:v>
      </x:c>
      <x:c r="C65" s="46" t="str">
        <x:v>L1 十类双向交换通道</x:v>
      </x:c>
      <x:c r="D65" s="46" t="str">
        <x:v>EXCHANGE-EC通道</x:v>
      </x:c>
      <x:c r="E65" s="46" t="str">
        <x:v>通用</x:v>
      </x:c>
      <x:c r="F65" s="46" t="str">
        <x:v>接收</x:v>
      </x:c>
      <x:c r="G65" s="46" t="str">
        <x:v>EC06 灵活资源</x:v>
      </x:c>
      <x:c r="H65" s="46" t="str">
        <x:v>偏财</x:v>
      </x:c>
      <x:c r="I65" s="46" t="str">
        <x:v>存在接受帮助、回应或资源的资料。</x:v>
      </x:c>
      <x:c r="J65" s="46" t="str">
        <x:v>把接受支持自动解释为依赖或债务。</x:v>
      </x:c>
      <x:c r="K65" s="46" t="str">
        <x:v>由共享基础引擎、M3与M5-BASE提供；只修正用户怎样给予、请求、接收和回馈，不直接判断双方现实交换质量。</x:v>
      </x:c>
      <x:c r="L65" s="46" t="str">
        <x:v>M2只说明进入关系所需资格证据；不能替代长期双向交换、负荷与修复验证。</x:v>
      </x:c>
      <x:c r="M65" s="46" t="str">
        <x:v>M3-BASE、EXPR、CARE和BOUND提供用户自然互动通道；M5-EXCHANGE负责把两人的实际行为合成为交换结构。</x:v>
      </x:c>
      <x:c r="N65" s="46" t="str">
        <x:v>无／按本规则指定的给予—请求—接收—反馈—重订路径路由。</x:v>
      </x:c>
      <x:c r="O65" s="46" t="str">
        <x:v>近位、远位只修正该交换需求进入亲密关系核心的可能；不得据此判断具体伴侣现实中一定配合。</x:v>
      </x:c>
      <x:c r="P65" s="46" t="str">
        <x:v>根气只修正用户交换需求和通道是否稳定重复，不等于双方已形成成熟互惠。</x:v>
      </x:c>
      <x:c r="Q65" s="46" t="str">
        <x:v>旺弱只修正通道调用强度、抢位或缺位风险，不直接等于交换公平或关系质量。</x:v>
      </x:c>
      <x:c r="R65" s="46" t="str">
        <x:v>喜忌只修正调用顺畅度与摩擦，不可直接翻译为理想伴侣五行、十神或必然互补。</x:v>
      </x:c>
      <x:c r="S65" s="46" t="str">
        <x:v>真合化成立时按化神功能重算用户交换需求；合化争议时停止细化交换通道。</x:v>
      </x:c>
      <x:c r="T65" s="46" t="str">
        <x:v>近位提高该交换议题进入关系核心的可能；远位只保留背景或阶段性观察。</x:v>
      </x:c>
      <x:c r="U65" s="46" t="str">
        <x:v>84</x:v>
      </x:c>
      <x:c r="V65" s="46" t="str">
        <x:v>+8 接收证据</x:v>
      </x:c>
      <x:c r="W65" s="46" t="str">
        <x:v>receiving_style</x:v>
      </x:c>
      <x:c r="X65" s="46" t="str">
        <x:v>能够享受对方的灵活回应，也会确认这是否只是一次高光。</x:v>
      </x:c>
      <x:c r="Y65" s="46" t="str">
        <x:v>接收支持时，重点是：能够享受对方的灵活回应，也会确认这是否只是一次高光。</x:v>
      </x:c>
      <x:c r="Z6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65" s="46" t="str">
        <x:v>中</x:v>
      </x:c>
      <x:c r="AB65" s="46" t="str">
        <x:v>待验证</x:v>
      </x:c>
      <x:c r="AC65" s="46" t="str"/>
      <x:c r="AD65" s="46" t="str">
        <x:v>exchange_channel=EC06; ten_god=偏财; provisional=true; rule_group=EXCHANGE-EC通道</x:v>
      </x:c>
      <x:c r="AE65" s="46" t="str">
        <x:v>0.4</x:v>
      </x:c>
    </x:row>
    <x:row r="66" ht="50" customHeight="1">
      <x:c r="A66" s="46" t="str">
        <x:v>M5-EXCHANGE-065</x:v>
      </x:c>
      <x:c r="B66" s="46" t="str">
        <x:v>EC06 灵活资源｜回馈方式</x:v>
      </x:c>
      <x:c r="C66" s="46" t="str">
        <x:v>L1 十类双向交换通道</x:v>
      </x:c>
      <x:c r="D66" s="46" t="str">
        <x:v>EXCHANGE-EC通道</x:v>
      </x:c>
      <x:c r="E66" s="46" t="str">
        <x:v>通用</x:v>
      </x:c>
      <x:c r="F66" s="46" t="str">
        <x:v>回馈</x:v>
      </x:c>
      <x:c r="G66" s="46" t="str">
        <x:v>EC06 灵活资源</x:v>
      </x:c>
      <x:c r="H66" s="46" t="str">
        <x:v>偏财</x:v>
      </x:c>
      <x:c r="I66" s="46" t="str">
        <x:v>存在后续回应、错峰回流或其他领域贡献。</x:v>
      </x:c>
      <x:c r="J66" s="46" t="str">
        <x:v>要求立即、同领域、等量回报。</x:v>
      </x:c>
      <x:c r="K66" s="46" t="str">
        <x:v>由共享基础引擎、M3与M5-BASE提供；只修正用户怎样给予、请求、接收和回馈，不直接判断双方现实交换质量。</x:v>
      </x:c>
      <x:c r="L66" s="46" t="str">
        <x:v>M2只说明进入关系所需资格证据；不能替代长期双向交换、负荷与修复验证。</x:v>
      </x:c>
      <x:c r="M66" s="46" t="str">
        <x:v>M3-BASE、EXPR、CARE和BOUND提供用户自然互动通道；M5-EXCHANGE负责把两人的实际行为合成为交换结构。</x:v>
      </x:c>
      <x:c r="N66" s="46" t="str">
        <x:v>无／按本规则指定的给予—请求—接收—反馈—重订路径路由。</x:v>
      </x:c>
      <x:c r="O66" s="46" t="str">
        <x:v>近位、远位只修正该交换需求进入亲密关系核心的可能；不得据此判断具体伴侣现实中一定配合。</x:v>
      </x:c>
      <x:c r="P66" s="46" t="str">
        <x:v>根气只修正用户交换需求和通道是否稳定重复，不等于双方已形成成熟互惠。</x:v>
      </x:c>
      <x:c r="Q66" s="46" t="str">
        <x:v>旺弱只修正通道调用强度、抢位或缺位风险，不直接等于交换公平或关系质量。</x:v>
      </x:c>
      <x:c r="R66" s="46" t="str">
        <x:v>喜忌只修正调用顺畅度与摩擦，不可直接翻译为理想伴侣五行、十神或必然互补。</x:v>
      </x:c>
      <x:c r="S66" s="46" t="str">
        <x:v>真合化成立时按化神功能重算用户交换需求；合化争议时停止细化交换通道。</x:v>
      </x:c>
      <x:c r="T66" s="46" t="str">
        <x:v>近位提高该交换议题进入关系核心的可能；远位只保留背景或阶段性观察。</x:v>
      </x:c>
      <x:c r="U66" s="46" t="str">
        <x:v>82</x:v>
      </x:c>
      <x:c r="V66" s="46" t="str">
        <x:v>+8 回馈证据</x:v>
      </x:c>
      <x:c r="W66" s="46" t="str">
        <x:v>reciprocity_style</x:v>
      </x:c>
      <x:c r="X66" s="46" t="str">
        <x:v>通过创造体验、提供机会或把临时安排转成后续计划回馈。</x:v>
      </x:c>
      <x:c r="Y66" s="46" t="str">
        <x:v>回馈不必完全相同，可以通过：通过创造体验、提供机会或把临时安排转成后续计划回馈。</x:v>
      </x:c>
      <x:c r="Z6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66" s="46" t="str">
        <x:v>中</x:v>
      </x:c>
      <x:c r="AB66" s="46" t="str">
        <x:v>待验证</x:v>
      </x:c>
      <x:c r="AC66" s="46" t="str"/>
      <x:c r="AD66" s="46" t="str">
        <x:v>exchange_channel=EC06; ten_god=偏财; provisional=true; rule_group=EXCHANGE-EC通道</x:v>
      </x:c>
      <x:c r="AE66" s="46" t="str">
        <x:v>0.4</x:v>
      </x:c>
    </x:row>
    <x:row r="67" ht="50" customHeight="1">
      <x:c r="A67" s="46" t="str">
        <x:v>M5-EXCHANGE-066</x:v>
      </x:c>
      <x:c r="B67" s="46" t="str">
        <x:v>EC06 灵活资源｜成熟双向表达</x:v>
      </x:c>
      <x:c r="C67" s="46" t="str">
        <x:v>L1 十类双向交换通道</x:v>
      </x:c>
      <x:c r="D67" s="46" t="str">
        <x:v>EXCHANGE-EC通道</x:v>
      </x:c>
      <x:c r="E67" s="46" t="str">
        <x:v>通用</x:v>
      </x:c>
      <x:c r="F67" s="46" t="str">
        <x:v>成熟</x:v>
      </x:c>
      <x:c r="G67" s="46" t="str">
        <x:v>EC06 灵活资源</x:v>
      </x:c>
      <x:c r="H67" s="46" t="str">
        <x:v>偏财</x:v>
      </x:c>
      <x:c r="I67" s="46" t="str">
        <x:v>XV4以上，且ED02、ED03、ED09至少两项可靠。</x:v>
      </x:c>
      <x:c r="J67" s="46" t="str">
        <x:v>只有一方能力或一次事件。</x:v>
      </x:c>
      <x:c r="K67" s="46" t="str">
        <x:v>由共享基础引擎、M3与M5-BASE提供；只修正用户怎样给予、请求、接收和回馈，不直接判断双方现实交换质量。</x:v>
      </x:c>
      <x:c r="L67" s="46" t="str">
        <x:v>M2只说明进入关系所需资格证据；不能替代长期双向交换、负荷与修复验证。</x:v>
      </x:c>
      <x:c r="M67" s="46" t="str">
        <x:v>M3-BASE、EXPR、CARE和BOUND提供用户自然互动通道；M5-EXCHANGE负责把两人的实际行为合成为交换结构。</x:v>
      </x:c>
      <x:c r="N67" s="46" t="str">
        <x:v>无／按本规则指定的给予—请求—接收—反馈—重订路径路由。</x:v>
      </x:c>
      <x:c r="O67" s="46" t="str">
        <x:v>近位、远位只修正该交换需求进入亲密关系核心的可能；不得据此判断具体伴侣现实中一定配合。</x:v>
      </x:c>
      <x:c r="P67" s="46" t="str">
        <x:v>根气只修正用户交换需求和通道是否稳定重复，不等于双方已形成成熟互惠。</x:v>
      </x:c>
      <x:c r="Q67" s="46" t="str">
        <x:v>旺弱只修正通道调用强度、抢位或缺位风险，不直接等于交换公平或关系质量。</x:v>
      </x:c>
      <x:c r="R67" s="46" t="str">
        <x:v>喜忌只修正调用顺畅度与摩擦，不可直接翻译为理想伴侣五行、十神或必然互补。</x:v>
      </x:c>
      <x:c r="S67" s="46" t="str">
        <x:v>真合化成立时按化神功能重算用户交换需求；合化争议时停止细化交换通道。</x:v>
      </x:c>
      <x:c r="T67" s="46" t="str">
        <x:v>近位提高该交换议题进入关系核心的可能；远位只保留背景或阶段性观察。</x:v>
      </x:c>
      <x:c r="U67" s="46" t="str">
        <x:v>90</x:v>
      </x:c>
      <x:c r="V67" s="46" t="str">
        <x:v>成熟 +14</x:v>
      </x:c>
      <x:c r="W67" s="46" t="str">
        <x:v>mature_exchange_profile</x:v>
      </x:c>
      <x:c r="X67" s="46" t="str">
        <x:v>灵活、有趣、反应快，同时重要资源透明，并能把高光转成持续安排。</x:v>
      </x:c>
      <x:c r="Y67" s="46" t="str">
        <x:v>成熟交换通常表现为：灵活、有趣、反应快，同时重要资源透明，并能把高光转成持续安排。</x:v>
      </x:c>
      <x:c r="Z6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67" s="46" t="str">
        <x:v>中高</x:v>
      </x:c>
      <x:c r="AB67" s="46" t="str">
        <x:v>待验证</x:v>
      </x:c>
      <x:c r="AC67" s="46" t="str"/>
      <x:c r="AD67" s="46" t="str">
        <x:v>exchange_channel=EC06; ten_god=偏财; provisional=true; rule_group=EXCHANGE-EC通道</x:v>
      </x:c>
      <x:c r="AE67" s="46" t="str">
        <x:v>0.4</x:v>
      </x:c>
    </x:row>
    <x:row r="68" ht="50" customHeight="1">
      <x:c r="A68" s="46" t="str">
        <x:v>M5-EXCHANGE-067</x:v>
      </x:c>
      <x:c r="B68" s="46" t="str">
        <x:v>EC06 灵活资源｜失衡与替代候选</x:v>
      </x:c>
      <x:c r="C68" s="46" t="str">
        <x:v>L1 十类双向交换通道</x:v>
      </x:c>
      <x:c r="D68" s="46" t="str">
        <x:v>EXCHANGE-EC通道</x:v>
      </x:c>
      <x:c r="E68" s="46" t="str">
        <x:v>通用</x:v>
      </x:c>
      <x:c r="F68" s="46" t="str">
        <x:v>风险</x:v>
      </x:c>
      <x:c r="G68" s="46" t="str">
        <x:v>EC06 灵活资源</x:v>
      </x:c>
      <x:c r="H68" s="46" t="str">
        <x:v>偏财</x:v>
      </x:c>
      <x:c r="I68" s="46" t="str">
        <x:v>现实资料显示抢位、替代、负荷或反馈断点。</x:v>
      </x:c>
      <x:c r="J68" s="46" t="str">
        <x:v>只有通道强度，没有第二类失衡证据。</x:v>
      </x:c>
      <x:c r="K68" s="46" t="str">
        <x:v>由共享基础引擎、M3与M5-BASE提供；只修正用户怎样给予、请求、接收和回馈，不直接判断双方现实交换质量。</x:v>
      </x:c>
      <x:c r="L68" s="46" t="str">
        <x:v>M2只说明进入关系所需资格证据；不能替代长期双向交换、负荷与修复验证。</x:v>
      </x:c>
      <x:c r="M68" s="46" t="str">
        <x:v>M3-BASE、EXPR、CARE和BOUND提供用户自然互动通道；M5-EXCHANGE负责把两人的实际行为合成为交换结构。</x:v>
      </x:c>
      <x:c r="N68" s="46" t="str">
        <x:v>无／按本规则指定的给予—请求—接收—反馈—重订路径路由。</x:v>
      </x:c>
      <x:c r="O68" s="46" t="str">
        <x:v>近位、远位只修正该交换需求进入亲密关系核心的可能；不得据此判断具体伴侣现实中一定配合。</x:v>
      </x:c>
      <x:c r="P68" s="46" t="str">
        <x:v>根气只修正用户交换需求和通道是否稳定重复，不等于双方已形成成熟互惠。</x:v>
      </x:c>
      <x:c r="Q68" s="46" t="str">
        <x:v>旺弱只修正通道调用强度、抢位或缺位风险，不直接等于交换公平或关系质量。</x:v>
      </x:c>
      <x:c r="R68" s="46" t="str">
        <x:v>喜忌只修正调用顺畅度与摩擦，不可直接翻译为理想伴侣五行、十神或必然互补。</x:v>
      </x:c>
      <x:c r="S68" s="46" t="str">
        <x:v>真合化成立时按化神功能重算用户交换需求；合化争议时停止细化交换通道。</x:v>
      </x:c>
      <x:c r="T68" s="46" t="str">
        <x:v>近位提高该交换议题进入关系核心的可能；远位只保留背景或阶段性观察。</x:v>
      </x:c>
      <x:c r="U68" s="46" t="str">
        <x:v>88</x:v>
      </x:c>
      <x:c r="V68" s="46" t="str">
        <x:v>风险 +12</x:v>
      </x:c>
      <x:c r="W68" s="46" t="str">
        <x:v>exchange_risk_warning</x:v>
      </x:c>
      <x:c r="X68" s="46" t="str">
        <x:v>只在兴致高时投入，体验结束后缺少延续；或用礼物和新鲜感遮蔽问题。</x:v>
      </x:c>
      <x:c r="Y68" s="46" t="str">
        <x:v>需要留意：只在兴致高时投入，体验结束后缺少延续；或用礼物和新鲜感遮蔽问题。</x:v>
      </x:c>
      <x:c r="Z6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68" s="46" t="str">
        <x:v>中高</x:v>
      </x:c>
      <x:c r="AB68" s="46" t="str">
        <x:v>待验证</x:v>
      </x:c>
      <x:c r="AC68" s="46" t="str"/>
      <x:c r="AD68" s="46" t="str">
        <x:v>exchange_channel=EC06; ten_god=偏财; provisional=true; rule_group=EXCHANGE-EC通道</x:v>
      </x:c>
      <x:c r="AE68" s="46" t="str">
        <x:v>0.4</x:v>
      </x:c>
    </x:row>
    <x:row r="69" ht="50" customHeight="1">
      <x:c r="A69" s="46" t="str">
        <x:v>M5-EXCHANGE-068</x:v>
      </x:c>
      <x:c r="B69" s="46" t="str">
        <x:v>EC06 灵活资源｜关键观察与用户输出</x:v>
      </x:c>
      <x:c r="C69" s="46" t="str">
        <x:v>L1 十类双向交换通道</x:v>
      </x:c>
      <x:c r="D69" s="46" t="str">
        <x:v>EXCHANGE-EC通道</x:v>
      </x:c>
      <x:c r="E69" s="46" t="str">
        <x:v>通用</x:v>
      </x:c>
      <x:c r="F69" s="46" t="str">
        <x:v>输出</x:v>
      </x:c>
      <x:c r="G69" s="46" t="str">
        <x:v>EC06 灵活资源</x:v>
      </x:c>
      <x:c r="H69" s="46" t="str">
        <x:v>偏财</x:v>
      </x:c>
      <x:c r="I69" s="46" t="str">
        <x:v>已形成主或次EC候选。</x:v>
      </x:c>
      <x:c r="J69" s="46" t="str">
        <x:v>XR08停止或资料严重不足。</x:v>
      </x:c>
      <x:c r="K69" s="46" t="str">
        <x:v>由共享基础引擎、M3与M5-BASE提供；只修正用户怎样给予、请求、接收和回馈，不直接判断双方现实交换质量。</x:v>
      </x:c>
      <x:c r="L69" s="46" t="str">
        <x:v>M2只说明进入关系所需资格证据；不能替代长期双向交换、负荷与修复验证。</x:v>
      </x:c>
      <x:c r="M69" s="46" t="str">
        <x:v>M3-BASE、EXPR、CARE和BOUND提供用户自然互动通道；M5-EXCHANGE负责把两人的实际行为合成为交换结构。</x:v>
      </x:c>
      <x:c r="N69" s="46" t="str">
        <x:v>无／按本规则指定的给予—请求—接收—反馈—重订路径路由。</x:v>
      </x:c>
      <x:c r="O69" s="46" t="str">
        <x:v>近位、远位只修正该交换需求进入亲密关系核心的可能；不得据此判断具体伴侣现实中一定配合。</x:v>
      </x:c>
      <x:c r="P69" s="46" t="str">
        <x:v>根气只修正用户交换需求和通道是否稳定重复，不等于双方已形成成熟互惠。</x:v>
      </x:c>
      <x:c r="Q69" s="46" t="str">
        <x:v>旺弱只修正通道调用强度、抢位或缺位风险，不直接等于交换公平或关系质量。</x:v>
      </x:c>
      <x:c r="R69" s="46" t="str">
        <x:v>喜忌只修正调用顺畅度与摩擦，不可直接翻译为理想伴侣五行、十神或必然互补。</x:v>
      </x:c>
      <x:c r="S69" s="46" t="str">
        <x:v>真合化成立时按化神功能重算用户交换需求；合化争议时停止细化交换通道。</x:v>
      </x:c>
      <x:c r="T69" s="46" t="str">
        <x:v>近位提高该交换议题进入关系核心的可能；远位只保留背景或阶段性观察。</x:v>
      </x:c>
      <x:c r="U69" s="46" t="str">
        <x:v>76</x:v>
      </x:c>
      <x:c r="V69" s="46" t="str">
        <x:v>不加分；输出</x:v>
      </x:c>
      <x:c r="W69" s="46" t="str">
        <x:v>observation_plan</x:v>
      </x:c>
      <x:c r="X69" s="46" t="str">
        <x:v>共同体验之后是否形成下一步，以及资源、社交和承诺是否透明。</x:v>
      </x:c>
      <x:c r="Y69" s="46" t="str">
        <x:v>共同体验之后是否形成下一步，以及资源、社交和承诺是否透明。</x:v>
      </x:c>
      <x:c r="Z6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69" s="46" t="str">
        <x:v>中高</x:v>
      </x:c>
      <x:c r="AB69" s="46" t="str">
        <x:v>待验证</x:v>
      </x:c>
      <x:c r="AC69" s="46" t="str"/>
      <x:c r="AD69" s="46" t="str">
        <x:v>exchange_channel=EC06; ten_god=偏财; provisional=true; rule_group=EXCHANGE-EC通道</x:v>
      </x:c>
      <x:c r="AE69" s="46" t="str">
        <x:v>0.4</x:v>
      </x:c>
    </x:row>
    <x:row r="70" ht="50" customHeight="1">
      <x:c r="A70" s="46" t="str">
        <x:v>M5-EXCHANGE-069</x:v>
      </x:c>
      <x:c r="B70" s="46" t="str">
        <x:v>EC07 责任履行｜通道定义</x:v>
      </x:c>
      <x:c r="C70" s="46" t="str">
        <x:v>L1 十类双向交换通道</x:v>
      </x:c>
      <x:c r="D70" s="46" t="str">
        <x:v>EXCHANGE-EC通道</x:v>
      </x:c>
      <x:c r="E70" s="46" t="str">
        <x:v>通用</x:v>
      </x:c>
      <x:c r="F70" s="46" t="str">
        <x:v>基础</x:v>
      </x:c>
      <x:c r="G70" s="46" t="str">
        <x:v>EC07 责任履行</x:v>
      </x:c>
      <x:c r="H70" s="46" t="str">
        <x:v>正官</x:v>
      </x:c>
      <x:c r="I70" s="46" t="str">
        <x:v>M5-BASE或PARTNER将该FN路由为主／次交换功能。</x:v>
      </x:c>
      <x:c r="J70" s="46" t="str">
        <x:v>安全门控未通过或该通道只属PR3且与主风险冲突。</x:v>
      </x:c>
      <x:c r="K70" s="46" t="str">
        <x:v>由共享基础引擎、M3与M5-BASE提供；只修正用户怎样给予、请求、接收和回馈，不直接判断双方现实交换质量。</x:v>
      </x:c>
      <x:c r="L70" s="46" t="str">
        <x:v>M2只说明进入关系所需资格证据；不能替代长期双向交换、负荷与修复验证。</x:v>
      </x:c>
      <x:c r="M70" s="46" t="str">
        <x:v>M3-BASE、EXPR、CARE和BOUND提供用户自然互动通道；M5-EXCHANGE负责把两人的实际行为合成为交换结构。</x:v>
      </x:c>
      <x:c r="N70" s="46" t="str">
        <x:v>无／按本规则指定的给予—请求—接收—反馈—重订路径路由。</x:v>
      </x:c>
      <x:c r="O70" s="46" t="str">
        <x:v>近位、远位只修正该交换需求进入亲密关系核心的可能；不得据此判断具体伴侣现实中一定配合。</x:v>
      </x:c>
      <x:c r="P70" s="46" t="str">
        <x:v>根气只修正用户交换需求和通道是否稳定重复，不等于双方已形成成熟互惠。</x:v>
      </x:c>
      <x:c r="Q70" s="46" t="str">
        <x:v>旺弱只修正通道调用强度、抢位或缺位风险，不直接等于交换公平或关系质量。</x:v>
      </x:c>
      <x:c r="R70" s="46" t="str">
        <x:v>喜忌只修正调用顺畅度与摩擦，不可直接翻译为理想伴侣五行、十神或必然互补。</x:v>
      </x:c>
      <x:c r="S70" s="46" t="str">
        <x:v>真合化成立时按化神功能重算用户交换需求；合化争议时停止细化交换通道。</x:v>
      </x:c>
      <x:c r="T70" s="46" t="str">
        <x:v>近位提高该交换议题进入关系核心的可能；远位只保留背景或阶段性观察。</x:v>
      </x:c>
      <x:c r="U70" s="46" t="str">
        <x:v>94</x:v>
      </x:c>
      <x:c r="V70" s="46" t="str">
        <x:v>主通道候选 +18</x:v>
      </x:c>
      <x:c r="W70" s="46" t="str">
        <x:v>primary_exchange_channel</x:v>
      </x:c>
      <x:c r="X70" s="46" t="str">
        <x:v>EC07 责任履行将正官功能转译为双人交换通道。</x:v>
      </x:c>
      <x:c r="Y70" s="46" t="str">
        <x:v>长期交换需要责任清楚，但责任必须是双方协商、可复核和可调整的。</x:v>
      </x:c>
      <x:c r="Z7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70" s="46" t="str">
        <x:v>中高</x:v>
      </x:c>
      <x:c r="AB70" s="46" t="str">
        <x:v>待验证</x:v>
      </x:c>
      <x:c r="AC70" s="46" t="str"/>
      <x:c r="AD70" s="46" t="str">
        <x:v>exchange_channel=EC07; ten_god=正官; provisional=true; rule_group=EXCHANGE-EC通道</x:v>
      </x:c>
      <x:c r="AE70" s="46" t="str">
        <x:v>0.4</x:v>
      </x:c>
    </x:row>
    <x:row r="71" ht="50" customHeight="1">
      <x:c r="A71" s="46" t="str">
        <x:v>M5-EXCHANGE-070</x:v>
      </x:c>
      <x:c r="B71" s="46" t="str">
        <x:v>EC07 责任履行｜给予方式</x:v>
      </x:c>
      <x:c r="C71" s="46" t="str">
        <x:v>L1 十类双向交换通道</x:v>
      </x:c>
      <x:c r="D71" s="46" t="str">
        <x:v>EXCHANGE-EC通道</x:v>
      </x:c>
      <x:c r="E71" s="46" t="str">
        <x:v>通用</x:v>
      </x:c>
      <x:c r="F71" s="46" t="str">
        <x:v>给予</x:v>
      </x:c>
      <x:c r="G71" s="46" t="str">
        <x:v>EC07 责任履行</x:v>
      </x:c>
      <x:c r="H71" s="46" t="str">
        <x:v>正官</x:v>
      </x:c>
      <x:c r="I71" s="46" t="str">
        <x:v>存在一方主动提供该类支持的现实资料。</x:v>
      </x:c>
      <x:c r="J71" s="46" t="str">
        <x:v>只有自述、身份或一次高光。</x:v>
      </x:c>
      <x:c r="K71" s="46" t="str">
        <x:v>由共享基础引擎、M3与M5-BASE提供；只修正用户怎样给予、请求、接收和回馈，不直接判断双方现实交换质量。</x:v>
      </x:c>
      <x:c r="L71" s="46" t="str">
        <x:v>M2只说明进入关系所需资格证据；不能替代长期双向交换、负荷与修复验证。</x:v>
      </x:c>
      <x:c r="M71" s="46" t="str">
        <x:v>M3-BASE、EXPR、CARE和BOUND提供用户自然互动通道；M5-EXCHANGE负责把两人的实际行为合成为交换结构。</x:v>
      </x:c>
      <x:c r="N71" s="46" t="str">
        <x:v>无／按本规则指定的给予—请求—接收—反馈—重订路径路由。</x:v>
      </x:c>
      <x:c r="O71" s="46" t="str">
        <x:v>近位、远位只修正该交换需求进入亲密关系核心的可能；不得据此判断具体伴侣现实中一定配合。</x:v>
      </x:c>
      <x:c r="P71" s="46" t="str">
        <x:v>根气只修正用户交换需求和通道是否稳定重复，不等于双方已形成成熟互惠。</x:v>
      </x:c>
      <x:c r="Q71" s="46" t="str">
        <x:v>旺弱只修正通道调用强度、抢位或缺位风险，不直接等于交换公平或关系质量。</x:v>
      </x:c>
      <x:c r="R71" s="46" t="str">
        <x:v>喜忌只修正调用顺畅度与摩擦，不可直接翻译为理想伴侣五行、十神或必然互补。</x:v>
      </x:c>
      <x:c r="S71" s="46" t="str">
        <x:v>真合化成立时按化神功能重算用户交换需求；合化争议时停止细化交换通道。</x:v>
      </x:c>
      <x:c r="T71" s="46" t="str">
        <x:v>近位提高该交换议题进入关系核心的可能；远位只保留背景或阶段性观察。</x:v>
      </x:c>
      <x:c r="U71" s="46" t="str">
        <x:v>84</x:v>
      </x:c>
      <x:c r="V71" s="46" t="str">
        <x:v>+8 给予证据</x:v>
      </x:c>
      <x:c r="W71" s="46" t="str">
        <x:v>giving_style</x:v>
      </x:c>
      <x:c r="X71" s="46" t="str">
        <x:v>通过守约、承担固定事务、说明角色和维持共同规则提供支持。</x:v>
      </x:c>
      <x:c r="Y71" s="46" t="str">
        <x:v>给予方面，较成熟的表现是：通过守约、承担固定事务、说明角色和维持共同规则提供支持。</x:v>
      </x:c>
      <x:c r="Z7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71" s="46" t="str">
        <x:v>中</x:v>
      </x:c>
      <x:c r="AB71" s="46" t="str">
        <x:v>待验证</x:v>
      </x:c>
      <x:c r="AC71" s="46" t="str"/>
      <x:c r="AD71" s="46" t="str">
        <x:v>exchange_channel=EC07; ten_god=正官; provisional=true; rule_group=EXCHANGE-EC通道</x:v>
      </x:c>
      <x:c r="AE71" s="46" t="str">
        <x:v>0.4</x:v>
      </x:c>
    </x:row>
    <x:row r="72" ht="50" customHeight="1">
      <x:c r="A72" s="46" t="str">
        <x:v>M5-EXCHANGE-071</x:v>
      </x:c>
      <x:c r="B72" s="46" t="str">
        <x:v>EC07 责任履行｜请求方式</x:v>
      </x:c>
      <x:c r="C72" s="46" t="str">
        <x:v>L1 十类双向交换通道</x:v>
      </x:c>
      <x:c r="D72" s="46" t="str">
        <x:v>EXCHANGE-EC通道</x:v>
      </x:c>
      <x:c r="E72" s="46" t="str">
        <x:v>通用</x:v>
      </x:c>
      <x:c r="F72" s="46" t="str">
        <x:v>请求</x:v>
      </x:c>
      <x:c r="G72" s="46" t="str">
        <x:v>EC07 责任履行</x:v>
      </x:c>
      <x:c r="H72" s="46" t="str">
        <x:v>正官</x:v>
      </x:c>
      <x:c r="I72" s="46" t="str">
        <x:v>存在提出需要、协商支持或分工的资料。</x:v>
      </x:c>
      <x:c r="J72" s="46" t="str">
        <x:v>只通过暗示、测试或事后抱怨推断。</x:v>
      </x:c>
      <x:c r="K72" s="46" t="str">
        <x:v>由共享基础引擎、M3与M5-BASE提供；只修正用户怎样给予、请求、接收和回馈，不直接判断双方现实交换质量。</x:v>
      </x:c>
      <x:c r="L72" s="46" t="str">
        <x:v>M2只说明进入关系所需资格证据；不能替代长期双向交换、负荷与修复验证。</x:v>
      </x:c>
      <x:c r="M72" s="46" t="str">
        <x:v>M3-BASE、EXPR、CARE和BOUND提供用户自然互动通道；M5-EXCHANGE负责把两人的实际行为合成为交换结构。</x:v>
      </x:c>
      <x:c r="N72" s="46" t="str">
        <x:v>无／按本规则指定的给予—请求—接收—反馈—重订路径路由。</x:v>
      </x:c>
      <x:c r="O72" s="46" t="str">
        <x:v>近位、远位只修正该交换需求进入亲密关系核心的可能；不得据此判断具体伴侣现实中一定配合。</x:v>
      </x:c>
      <x:c r="P72" s="46" t="str">
        <x:v>根气只修正用户交换需求和通道是否稳定重复，不等于双方已形成成熟互惠。</x:v>
      </x:c>
      <x:c r="Q72" s="46" t="str">
        <x:v>旺弱只修正通道调用强度、抢位或缺位风险，不直接等于交换公平或关系质量。</x:v>
      </x:c>
      <x:c r="R72" s="46" t="str">
        <x:v>喜忌只修正调用顺畅度与摩擦，不可直接翻译为理想伴侣五行、十神或必然互补。</x:v>
      </x:c>
      <x:c r="S72" s="46" t="str">
        <x:v>真合化成立时按化神功能重算用户交换需求；合化争议时停止细化交换通道。</x:v>
      </x:c>
      <x:c r="T72" s="46" t="str">
        <x:v>近位提高该交换议题进入关系核心的可能；远位只保留背景或阶段性观察。</x:v>
      </x:c>
      <x:c r="U72" s="46" t="str">
        <x:v>84</x:v>
      </x:c>
      <x:c r="V72" s="46" t="str">
        <x:v>+8 请求证据</x:v>
      </x:c>
      <x:c r="W72" s="46" t="str">
        <x:v>request_style</x:v>
      </x:c>
      <x:c r="X72" s="46" t="str">
        <x:v>提出需要时明确对方承担什么、何时完成、变化时怎样说明。</x:v>
      </x:c>
      <x:c r="Y72" s="46" t="str">
        <x:v>提出需要时，适合采用：提出需要时明确对方承担什么、何时完成、变化时怎样说明。</x:v>
      </x:c>
      <x:c r="Z7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72" s="46" t="str">
        <x:v>中</x:v>
      </x:c>
      <x:c r="AB72" s="46" t="str">
        <x:v>待验证</x:v>
      </x:c>
      <x:c r="AC72" s="46" t="str"/>
      <x:c r="AD72" s="46" t="str">
        <x:v>exchange_channel=EC07; ten_god=正官; provisional=true; rule_group=EXCHANGE-EC通道</x:v>
      </x:c>
      <x:c r="AE72" s="46" t="str">
        <x:v>0.4</x:v>
      </x:c>
    </x:row>
    <x:row r="73" ht="50" customHeight="1">
      <x:c r="A73" s="46" t="str">
        <x:v>M5-EXCHANGE-072</x:v>
      </x:c>
      <x:c r="B73" s="46" t="str">
        <x:v>EC07 责任履行｜接收方式</x:v>
      </x:c>
      <x:c r="C73" s="46" t="str">
        <x:v>L1 十类双向交换通道</x:v>
      </x:c>
      <x:c r="D73" s="46" t="str">
        <x:v>EXCHANGE-EC通道</x:v>
      </x:c>
      <x:c r="E73" s="46" t="str">
        <x:v>通用</x:v>
      </x:c>
      <x:c r="F73" s="46" t="str">
        <x:v>接收</x:v>
      </x:c>
      <x:c r="G73" s="46" t="str">
        <x:v>EC07 责任履行</x:v>
      </x:c>
      <x:c r="H73" s="46" t="str">
        <x:v>正官</x:v>
      </x:c>
      <x:c r="I73" s="46" t="str">
        <x:v>存在接受帮助、回应或资源的资料。</x:v>
      </x:c>
      <x:c r="J73" s="46" t="str">
        <x:v>把接受支持自动解释为依赖或债务。</x:v>
      </x:c>
      <x:c r="K73" s="46" t="str">
        <x:v>由共享基础引擎、M3与M5-BASE提供；只修正用户怎样给予、请求、接收和回馈，不直接判断双方现实交换质量。</x:v>
      </x:c>
      <x:c r="L73" s="46" t="str">
        <x:v>M2只说明进入关系所需资格证据；不能替代长期双向交换、负荷与修复验证。</x:v>
      </x:c>
      <x:c r="M73" s="46" t="str">
        <x:v>M3-BASE、EXPR、CARE和BOUND提供用户自然互动通道；M5-EXCHANGE负责把两人的实际行为合成为交换结构。</x:v>
      </x:c>
      <x:c r="N73" s="46" t="str">
        <x:v>无／按本规则指定的给予—请求—接收—反馈—重订路径路由。</x:v>
      </x:c>
      <x:c r="O73" s="46" t="str">
        <x:v>近位、远位只修正该交换需求进入亲密关系核心的可能；不得据此判断具体伴侣现实中一定配合。</x:v>
      </x:c>
      <x:c r="P73" s="46" t="str">
        <x:v>根气只修正用户交换需求和通道是否稳定重复，不等于双方已形成成熟互惠。</x:v>
      </x:c>
      <x:c r="Q73" s="46" t="str">
        <x:v>旺弱只修正通道调用强度、抢位或缺位风险，不直接等于交换公平或关系质量。</x:v>
      </x:c>
      <x:c r="R73" s="46" t="str">
        <x:v>喜忌只修正调用顺畅度与摩擦，不可直接翻译为理想伴侣五行、十神或必然互补。</x:v>
      </x:c>
      <x:c r="S73" s="46" t="str">
        <x:v>真合化成立时按化神功能重算用户交换需求；合化争议时停止细化交换通道。</x:v>
      </x:c>
      <x:c r="T73" s="46" t="str">
        <x:v>近位提高该交换议题进入关系核心的可能；远位只保留背景或阶段性观察。</x:v>
      </x:c>
      <x:c r="U73" s="46" t="str">
        <x:v>84</x:v>
      </x:c>
      <x:c r="V73" s="46" t="str">
        <x:v>+8 接收证据</x:v>
      </x:c>
      <x:c r="W73" s="46" t="str">
        <x:v>receiving_style</x:v>
      </x:c>
      <x:c r="X73" s="46" t="str">
        <x:v>能够接受稳定责任支持，同时保留协商规则和角色的权利。</x:v>
      </x:c>
      <x:c r="Y73" s="46" t="str">
        <x:v>接收支持时，重点是：能够接受稳定责任支持，同时保留协商规则和角色的权利。</x:v>
      </x:c>
      <x:c r="Z7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73" s="46" t="str">
        <x:v>中</x:v>
      </x:c>
      <x:c r="AB73" s="46" t="str">
        <x:v>待验证</x:v>
      </x:c>
      <x:c r="AC73" s="46" t="str"/>
      <x:c r="AD73" s="46" t="str">
        <x:v>exchange_channel=EC07; ten_god=正官; provisional=true; rule_group=EXCHANGE-EC通道</x:v>
      </x:c>
      <x:c r="AE73" s="46" t="str">
        <x:v>0.4</x:v>
      </x:c>
    </x:row>
    <x:row r="74" ht="50" customHeight="1">
      <x:c r="A74" s="46" t="str">
        <x:v>M5-EXCHANGE-073</x:v>
      </x:c>
      <x:c r="B74" s="46" t="str">
        <x:v>EC07 责任履行｜回馈方式</x:v>
      </x:c>
      <x:c r="C74" s="46" t="str">
        <x:v>L1 十类双向交换通道</x:v>
      </x:c>
      <x:c r="D74" s="46" t="str">
        <x:v>EXCHANGE-EC通道</x:v>
      </x:c>
      <x:c r="E74" s="46" t="str">
        <x:v>通用</x:v>
      </x:c>
      <x:c r="F74" s="46" t="str">
        <x:v>回馈</x:v>
      </x:c>
      <x:c r="G74" s="46" t="str">
        <x:v>EC07 责任履行</x:v>
      </x:c>
      <x:c r="H74" s="46" t="str">
        <x:v>正官</x:v>
      </x:c>
      <x:c r="I74" s="46" t="str">
        <x:v>存在后续回应、错峰回流或其他领域贡献。</x:v>
      </x:c>
      <x:c r="J74" s="46" t="str">
        <x:v>要求立即、同领域、等量回报。</x:v>
      </x:c>
      <x:c r="K74" s="46" t="str">
        <x:v>由共享基础引擎、M3与M5-BASE提供；只修正用户怎样给予、请求、接收和回馈，不直接判断双方现实交换质量。</x:v>
      </x:c>
      <x:c r="L74" s="46" t="str">
        <x:v>M2只说明进入关系所需资格证据；不能替代长期双向交换、负荷与修复验证。</x:v>
      </x:c>
      <x:c r="M74" s="46" t="str">
        <x:v>M3-BASE、EXPR、CARE和BOUND提供用户自然互动通道；M5-EXCHANGE负责把两人的实际行为合成为交换结构。</x:v>
      </x:c>
      <x:c r="N74" s="46" t="str">
        <x:v>无／按本规则指定的给予—请求—接收—反馈—重订路径路由。</x:v>
      </x:c>
      <x:c r="O74" s="46" t="str">
        <x:v>近位、远位只修正该交换需求进入亲密关系核心的可能；不得据此判断具体伴侣现实中一定配合。</x:v>
      </x:c>
      <x:c r="P74" s="46" t="str">
        <x:v>根气只修正用户交换需求和通道是否稳定重复，不等于双方已形成成熟互惠。</x:v>
      </x:c>
      <x:c r="Q74" s="46" t="str">
        <x:v>旺弱只修正通道调用强度、抢位或缺位风险，不直接等于交换公平或关系质量。</x:v>
      </x:c>
      <x:c r="R74" s="46" t="str">
        <x:v>喜忌只修正调用顺畅度与摩擦，不可直接翻译为理想伴侣五行、十神或必然互补。</x:v>
      </x:c>
      <x:c r="S74" s="46" t="str">
        <x:v>真合化成立时按化神功能重算用户交换需求；合化争议时停止细化交换通道。</x:v>
      </x:c>
      <x:c r="T74" s="46" t="str">
        <x:v>近位提高该交换议题进入关系核心的可能；远位只保留背景或阶段性观察。</x:v>
      </x:c>
      <x:c r="U74" s="46" t="str">
        <x:v>82</x:v>
      </x:c>
      <x:c r="V74" s="46" t="str">
        <x:v>+8 回馈证据</x:v>
      </x:c>
      <x:c r="W74" s="46" t="str">
        <x:v>reciprocity_style</x:v>
      </x:c>
      <x:c r="X74" s="46" t="str">
        <x:v>通过承担自己的责任、守约、及时说明变化和共同复核形成互惠。</x:v>
      </x:c>
      <x:c r="Y74" s="46" t="str">
        <x:v>回馈不必完全相同，可以通过：通过承担自己的责任、守约、及时说明变化和共同复核形成互惠。</x:v>
      </x:c>
      <x:c r="Z7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74" s="46" t="str">
        <x:v>中</x:v>
      </x:c>
      <x:c r="AB74" s="46" t="str">
        <x:v>待验证</x:v>
      </x:c>
      <x:c r="AC74" s="46" t="str"/>
      <x:c r="AD74" s="46" t="str">
        <x:v>exchange_channel=EC07; ten_god=正官; provisional=true; rule_group=EXCHANGE-EC通道</x:v>
      </x:c>
      <x:c r="AE74" s="46" t="str">
        <x:v>0.4</x:v>
      </x:c>
    </x:row>
    <x:row r="75" ht="50" customHeight="1">
      <x:c r="A75" s="46" t="str">
        <x:v>M5-EXCHANGE-074</x:v>
      </x:c>
      <x:c r="B75" s="46" t="str">
        <x:v>EC07 责任履行｜成熟双向表达</x:v>
      </x:c>
      <x:c r="C75" s="46" t="str">
        <x:v>L1 十类双向交换通道</x:v>
      </x:c>
      <x:c r="D75" s="46" t="str">
        <x:v>EXCHANGE-EC通道</x:v>
      </x:c>
      <x:c r="E75" s="46" t="str">
        <x:v>通用</x:v>
      </x:c>
      <x:c r="F75" s="46" t="str">
        <x:v>成熟</x:v>
      </x:c>
      <x:c r="G75" s="46" t="str">
        <x:v>EC07 责任履行</x:v>
      </x:c>
      <x:c r="H75" s="46" t="str">
        <x:v>正官</x:v>
      </x:c>
      <x:c r="I75" s="46" t="str">
        <x:v>XV4以上，且ED02、ED03、ED09至少两项可靠。</x:v>
      </x:c>
      <x:c r="J75" s="46" t="str">
        <x:v>只有一方能力或一次事件。</x:v>
      </x:c>
      <x:c r="K75" s="46" t="str">
        <x:v>由共享基础引擎、M3与M5-BASE提供；只修正用户怎样给予、请求、接收和回馈，不直接判断双方现实交换质量。</x:v>
      </x:c>
      <x:c r="L75" s="46" t="str">
        <x:v>M2只说明进入关系所需资格证据；不能替代长期双向交换、负荷与修复验证。</x:v>
      </x:c>
      <x:c r="M75" s="46" t="str">
        <x:v>M3-BASE、EXPR、CARE和BOUND提供用户自然互动通道；M5-EXCHANGE负责把两人的实际行为合成为交换结构。</x:v>
      </x:c>
      <x:c r="N75" s="46" t="str">
        <x:v>无／按本规则指定的给予—请求—接收—反馈—重订路径路由。</x:v>
      </x:c>
      <x:c r="O75" s="46" t="str">
        <x:v>近位、远位只修正该交换需求进入亲密关系核心的可能；不得据此判断具体伴侣现实中一定配合。</x:v>
      </x:c>
      <x:c r="P75" s="46" t="str">
        <x:v>根气只修正用户交换需求和通道是否稳定重复，不等于双方已形成成熟互惠。</x:v>
      </x:c>
      <x:c r="Q75" s="46" t="str">
        <x:v>旺弱只修正通道调用强度、抢位或缺位风险，不直接等于交换公平或关系质量。</x:v>
      </x:c>
      <x:c r="R75" s="46" t="str">
        <x:v>喜忌只修正调用顺畅度与摩擦，不可直接翻译为理想伴侣五行、十神或必然互补。</x:v>
      </x:c>
      <x:c r="S75" s="46" t="str">
        <x:v>真合化成立时按化神功能重算用户交换需求；合化争议时停止细化交换通道。</x:v>
      </x:c>
      <x:c r="T75" s="46" t="str">
        <x:v>近位提高该交换议题进入关系核心的可能；远位只保留背景或阶段性观察。</x:v>
      </x:c>
      <x:c r="U75" s="46" t="str">
        <x:v>90</x:v>
      </x:c>
      <x:c r="V75" s="46" t="str">
        <x:v>成熟 +14</x:v>
      </x:c>
      <x:c r="W75" s="46" t="str">
        <x:v>mature_exchange_profile</x:v>
      </x:c>
      <x:c r="X75" s="46" t="str">
        <x:v>承诺清楚、变化透明、犯错后承担并补救，规则对双方都可复核。</x:v>
      </x:c>
      <x:c r="Y75" s="46" t="str">
        <x:v>成熟交换通常表现为：承诺清楚、变化透明、犯错后承担并补救，规则对双方都可复核。</x:v>
      </x:c>
      <x:c r="Z7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75" s="46" t="str">
        <x:v>中高</x:v>
      </x:c>
      <x:c r="AB75" s="46" t="str">
        <x:v>待验证</x:v>
      </x:c>
      <x:c r="AC75" s="46" t="str"/>
      <x:c r="AD75" s="46" t="str">
        <x:v>exchange_channel=EC07; ten_god=正官; provisional=true; rule_group=EXCHANGE-EC通道</x:v>
      </x:c>
      <x:c r="AE75" s="46" t="str">
        <x:v>0.4</x:v>
      </x:c>
    </x:row>
    <x:row r="76" ht="50" customHeight="1">
      <x:c r="A76" s="46" t="str">
        <x:v>M5-EXCHANGE-075</x:v>
      </x:c>
      <x:c r="B76" s="46" t="str">
        <x:v>EC07 责任履行｜失衡与替代候选</x:v>
      </x:c>
      <x:c r="C76" s="46" t="str">
        <x:v>L1 十类双向交换通道</x:v>
      </x:c>
      <x:c r="D76" s="46" t="str">
        <x:v>EXCHANGE-EC通道</x:v>
      </x:c>
      <x:c r="E76" s="46" t="str">
        <x:v>通用</x:v>
      </x:c>
      <x:c r="F76" s="46" t="str">
        <x:v>风险</x:v>
      </x:c>
      <x:c r="G76" s="46" t="str">
        <x:v>EC07 责任履行</x:v>
      </x:c>
      <x:c r="H76" s="46" t="str">
        <x:v>正官</x:v>
      </x:c>
      <x:c r="I76" s="46" t="str">
        <x:v>现实资料显示抢位、替代、负荷或反馈断点。</x:v>
      </x:c>
      <x:c r="J76" s="46" t="str">
        <x:v>只有通道强度，没有第二类失衡证据。</x:v>
      </x:c>
      <x:c r="K76" s="46" t="str">
        <x:v>由共享基础引擎、M3与M5-BASE提供；只修正用户怎样给予、请求、接收和回馈，不直接判断双方现实交换质量。</x:v>
      </x:c>
      <x:c r="L76" s="46" t="str">
        <x:v>M2只说明进入关系所需资格证据；不能替代长期双向交换、负荷与修复验证。</x:v>
      </x:c>
      <x:c r="M76" s="46" t="str">
        <x:v>M3-BASE、EXPR、CARE和BOUND提供用户自然互动通道；M5-EXCHANGE负责把两人的实际行为合成为交换结构。</x:v>
      </x:c>
      <x:c r="N76" s="46" t="str">
        <x:v>无／按本规则指定的给予—请求—接收—反馈—重订路径路由。</x:v>
      </x:c>
      <x:c r="O76" s="46" t="str">
        <x:v>近位、远位只修正该交换需求进入亲密关系核心的可能；不得据此判断具体伴侣现实中一定配合。</x:v>
      </x:c>
      <x:c r="P76" s="46" t="str">
        <x:v>根气只修正用户交换需求和通道是否稳定重复，不等于双方已形成成熟互惠。</x:v>
      </x:c>
      <x:c r="Q76" s="46" t="str">
        <x:v>旺弱只修正通道调用强度、抢位或缺位风险，不直接等于交换公平或关系质量。</x:v>
      </x:c>
      <x:c r="R76" s="46" t="str">
        <x:v>喜忌只修正调用顺畅度与摩擦，不可直接翻译为理想伴侣五行、十神或必然互补。</x:v>
      </x:c>
      <x:c r="S76" s="46" t="str">
        <x:v>真合化成立时按化神功能重算用户交换需求；合化争议时停止细化交换通道。</x:v>
      </x:c>
      <x:c r="T76" s="46" t="str">
        <x:v>近位提高该交换议题进入关系核心的可能；远位只保留背景或阶段性观察。</x:v>
      </x:c>
      <x:c r="U76" s="46" t="str">
        <x:v>88</x:v>
      </x:c>
      <x:c r="V76" s="46" t="str">
        <x:v>风险 +12</x:v>
      </x:c>
      <x:c r="W76" s="46" t="str">
        <x:v>exchange_risk_warning</x:v>
      </x:c>
      <x:c r="X76" s="46" t="str">
        <x:v>把责任做成身份或道德压力；规则越来越多，却缺少共同协商和反馈。</x:v>
      </x:c>
      <x:c r="Y76" s="46" t="str">
        <x:v>需要留意：把责任做成身份或道德压力；规则越来越多，却缺少共同协商和反馈。</x:v>
      </x:c>
      <x:c r="Z7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76" s="46" t="str">
        <x:v>中高</x:v>
      </x:c>
      <x:c r="AB76" s="46" t="str">
        <x:v>待验证</x:v>
      </x:c>
      <x:c r="AC76" s="46" t="str"/>
      <x:c r="AD76" s="46" t="str">
        <x:v>exchange_channel=EC07; ten_god=正官; provisional=true; rule_group=EXCHANGE-EC通道</x:v>
      </x:c>
      <x:c r="AE76" s="46" t="str">
        <x:v>0.4</x:v>
      </x:c>
    </x:row>
    <x:row r="77" ht="50" customHeight="1">
      <x:c r="A77" s="46" t="str">
        <x:v>M5-EXCHANGE-076</x:v>
      </x:c>
      <x:c r="B77" s="46" t="str">
        <x:v>EC07 责任履行｜关键观察与用户输出</x:v>
      </x:c>
      <x:c r="C77" s="46" t="str">
        <x:v>L1 十类双向交换通道</x:v>
      </x:c>
      <x:c r="D77" s="46" t="str">
        <x:v>EXCHANGE-EC通道</x:v>
      </x:c>
      <x:c r="E77" s="46" t="str">
        <x:v>通用</x:v>
      </x:c>
      <x:c r="F77" s="46" t="str">
        <x:v>输出</x:v>
      </x:c>
      <x:c r="G77" s="46" t="str">
        <x:v>EC07 责任履行</x:v>
      </x:c>
      <x:c r="H77" s="46" t="str">
        <x:v>正官</x:v>
      </x:c>
      <x:c r="I77" s="46" t="str">
        <x:v>已形成主或次EC候选。</x:v>
      </x:c>
      <x:c r="J77" s="46" t="str">
        <x:v>XR08停止或资料严重不足。</x:v>
      </x:c>
      <x:c r="K77" s="46" t="str">
        <x:v>由共享基础引擎、M3与M5-BASE提供；只修正用户怎样给予、请求、接收和回馈，不直接判断双方现实交换质量。</x:v>
      </x:c>
      <x:c r="L77" s="46" t="str">
        <x:v>M2只说明进入关系所需资格证据；不能替代长期双向交换、负荷与修复验证。</x:v>
      </x:c>
      <x:c r="M77" s="46" t="str">
        <x:v>M3-BASE、EXPR、CARE和BOUND提供用户自然互动通道；M5-EXCHANGE负责把两人的实际行为合成为交换结构。</x:v>
      </x:c>
      <x:c r="N77" s="46" t="str">
        <x:v>无／按本规则指定的给予—请求—接收—反馈—重订路径路由。</x:v>
      </x:c>
      <x:c r="O77" s="46" t="str">
        <x:v>近位、远位只修正该交换需求进入亲密关系核心的可能；不得据此判断具体伴侣现实中一定配合。</x:v>
      </x:c>
      <x:c r="P77" s="46" t="str">
        <x:v>根气只修正用户交换需求和通道是否稳定重复，不等于双方已形成成熟互惠。</x:v>
      </x:c>
      <x:c r="Q77" s="46" t="str">
        <x:v>旺弱只修正通道调用强度、抢位或缺位风险，不直接等于交换公平或关系质量。</x:v>
      </x:c>
      <x:c r="R77" s="46" t="str">
        <x:v>喜忌只修正调用顺畅度与摩擦，不可直接翻译为理想伴侣五行、十神或必然互补。</x:v>
      </x:c>
      <x:c r="S77" s="46" t="str">
        <x:v>真合化成立时按化神功能重算用户交换需求；合化争议时停止细化交换通道。</x:v>
      </x:c>
      <x:c r="T77" s="46" t="str">
        <x:v>近位提高该交换议题进入关系核心的可能；远位只保留背景或阶段性观察。</x:v>
      </x:c>
      <x:c r="U77" s="46" t="str">
        <x:v>76</x:v>
      </x:c>
      <x:c r="V77" s="46" t="str">
        <x:v>不加分；输出</x:v>
      </x:c>
      <x:c r="W77" s="46" t="str">
        <x:v>observation_plan</x:v>
      </x:c>
      <x:c r="X77" s="46" t="str">
        <x:v>规则对自己不利、计划变化或失约时，双方是否仍愿意承担和重订。</x:v>
      </x:c>
      <x:c r="Y77" s="46" t="str">
        <x:v>规则对自己不利、计划变化或失约时，双方是否仍愿意承担和重订。</x:v>
      </x:c>
      <x:c r="Z7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77" s="46" t="str">
        <x:v>中高</x:v>
      </x:c>
      <x:c r="AB77" s="46" t="str">
        <x:v>待验证</x:v>
      </x:c>
      <x:c r="AC77" s="46" t="str"/>
      <x:c r="AD77" s="46" t="str">
        <x:v>exchange_channel=EC07; ten_god=正官; provisional=true; rule_group=EXCHANGE-EC通道</x:v>
      </x:c>
      <x:c r="AE77" s="46" t="str">
        <x:v>0.4</x:v>
      </x:c>
    </x:row>
    <x:row r="78" ht="50" customHeight="1">
      <x:c r="A78" s="46" t="str">
        <x:v>M5-EXCHANGE-077</x:v>
      </x:c>
      <x:c r="B78" s="46" t="str">
        <x:v>EC08 行动保护｜通道定义</x:v>
      </x:c>
      <x:c r="C78" s="46" t="str">
        <x:v>L1 十类双向交换通道</x:v>
      </x:c>
      <x:c r="D78" s="46" t="str">
        <x:v>EXCHANGE-EC通道</x:v>
      </x:c>
      <x:c r="E78" s="46" t="str">
        <x:v>通用</x:v>
      </x:c>
      <x:c r="F78" s="46" t="str">
        <x:v>基础</x:v>
      </x:c>
      <x:c r="G78" s="46" t="str">
        <x:v>EC08 行动保护</x:v>
      </x:c>
      <x:c r="H78" s="46" t="str">
        <x:v>七杀</x:v>
      </x:c>
      <x:c r="I78" s="46" t="str">
        <x:v>M5-BASE或PARTNER将该FN路由为主／次交换功能。</x:v>
      </x:c>
      <x:c r="J78" s="46" t="str">
        <x:v>安全门控未通过或该通道只属PR3且与主风险冲突。</x:v>
      </x:c>
      <x:c r="K78" s="46" t="str">
        <x:v>由共享基础引擎、M3与M5-BASE提供；只修正用户怎样给予、请求、接收和回馈，不直接判断双方现实交换质量。</x:v>
      </x:c>
      <x:c r="L78" s="46" t="str">
        <x:v>M2只说明进入关系所需资格证据；不能替代长期双向交换、负荷与修复验证。</x:v>
      </x:c>
      <x:c r="M78" s="46" t="str">
        <x:v>M3-BASE、EXPR、CARE和BOUND提供用户自然互动通道；M5-EXCHANGE负责把两人的实际行为合成为交换结构。</x:v>
      </x:c>
      <x:c r="N78" s="46" t="str">
        <x:v>无／按本规则指定的给予—请求—接收—反馈—重订路径路由。</x:v>
      </x:c>
      <x:c r="O78" s="46" t="str">
        <x:v>近位、远位只修正该交换需求进入亲密关系核心的可能；不得据此判断具体伴侣现实中一定配合。</x:v>
      </x:c>
      <x:c r="P78" s="46" t="str">
        <x:v>根气只修正用户交换需求和通道是否稳定重复，不等于双方已形成成熟互惠。</x:v>
      </x:c>
      <x:c r="Q78" s="46" t="str">
        <x:v>旺弱只修正通道调用强度、抢位或缺位风险，不直接等于交换公平或关系质量。</x:v>
      </x:c>
      <x:c r="R78" s="46" t="str">
        <x:v>喜忌只修正调用顺畅度与摩擦，不可直接翻译为理想伴侣五行、十神或必然互补。</x:v>
      </x:c>
      <x:c r="S78" s="46" t="str">
        <x:v>真合化成立时按化神功能重算用户交换需求；合化争议时停止细化交换通道。</x:v>
      </x:c>
      <x:c r="T78" s="46" t="str">
        <x:v>近位提高该交换议题进入关系核心的可能；远位只保留背景或阶段性观察。</x:v>
      </x:c>
      <x:c r="U78" s="46" t="str">
        <x:v>94</x:v>
      </x:c>
      <x:c r="V78" s="46" t="str">
        <x:v>主通道候选 +18</x:v>
      </x:c>
      <x:c r="W78" s="46" t="str">
        <x:v>primary_exchange_channel</x:v>
      </x:c>
      <x:c r="X78" s="46" t="str">
        <x:v>EC08 行动保护将七杀功能转译为双人交换通道。</x:v>
      </x:c>
      <x:c r="Y78" s="46" t="str">
        <x:v>你需要的是关键时刻能行动的人，但行动不能以牺牲你的参与权为代价。</x:v>
      </x:c>
      <x:c r="Z7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78" s="46" t="str">
        <x:v>中高</x:v>
      </x:c>
      <x:c r="AB78" s="46" t="str">
        <x:v>待验证</x:v>
      </x:c>
      <x:c r="AC78" s="46" t="str"/>
      <x:c r="AD78" s="46" t="str">
        <x:v>exchange_channel=EC08; ten_god=七杀; provisional=true; rule_group=EXCHANGE-EC通道</x:v>
      </x:c>
      <x:c r="AE78" s="46" t="str">
        <x:v>0.4</x:v>
      </x:c>
    </x:row>
    <x:row r="79" ht="50" customHeight="1">
      <x:c r="A79" s="46" t="str">
        <x:v>M5-EXCHANGE-078</x:v>
      </x:c>
      <x:c r="B79" s="46" t="str">
        <x:v>EC08 行动保护｜给予方式</x:v>
      </x:c>
      <x:c r="C79" s="46" t="str">
        <x:v>L1 十类双向交换通道</x:v>
      </x:c>
      <x:c r="D79" s="46" t="str">
        <x:v>EXCHANGE-EC通道</x:v>
      </x:c>
      <x:c r="E79" s="46" t="str">
        <x:v>通用</x:v>
      </x:c>
      <x:c r="F79" s="46" t="str">
        <x:v>给予</x:v>
      </x:c>
      <x:c r="G79" s="46" t="str">
        <x:v>EC08 行动保护</x:v>
      </x:c>
      <x:c r="H79" s="46" t="str">
        <x:v>七杀</x:v>
      </x:c>
      <x:c r="I79" s="46" t="str">
        <x:v>存在一方主动提供该类支持的现实资料。</x:v>
      </x:c>
      <x:c r="J79" s="46" t="str">
        <x:v>只有自述、身份或一次高光。</x:v>
      </x:c>
      <x:c r="K79" s="46" t="str">
        <x:v>由共享基础引擎、M3与M5-BASE提供；只修正用户怎样给予、请求、接收和回馈，不直接判断双方现实交换质量。</x:v>
      </x:c>
      <x:c r="L79" s="46" t="str">
        <x:v>M2只说明进入关系所需资格证据；不能替代长期双向交换、负荷与修复验证。</x:v>
      </x:c>
      <x:c r="M79" s="46" t="str">
        <x:v>M3-BASE、EXPR、CARE和BOUND提供用户自然互动通道；M5-EXCHANGE负责把两人的实际行为合成为交换结构。</x:v>
      </x:c>
      <x:c r="N79" s="46" t="str">
        <x:v>无／按本规则指定的给予—请求—接收—反馈—重订路径路由。</x:v>
      </x:c>
      <x:c r="O79" s="46" t="str">
        <x:v>近位、远位只修正该交换需求进入亲密关系核心的可能；不得据此判断具体伴侣现实中一定配合。</x:v>
      </x:c>
      <x:c r="P79" s="46" t="str">
        <x:v>根气只修正用户交换需求和通道是否稳定重复，不等于双方已形成成熟互惠。</x:v>
      </x:c>
      <x:c r="Q79" s="46" t="str">
        <x:v>旺弱只修正通道调用强度、抢位或缺位风险，不直接等于交换公平或关系质量。</x:v>
      </x:c>
      <x:c r="R79" s="46" t="str">
        <x:v>喜忌只修正调用顺畅度与摩擦，不可直接翻译为理想伴侣五行、十神或必然互补。</x:v>
      </x:c>
      <x:c r="S79" s="46" t="str">
        <x:v>真合化成立时按化神功能重算用户交换需求；合化争议时停止细化交换通道。</x:v>
      </x:c>
      <x:c r="T79" s="46" t="str">
        <x:v>近位提高该交换议题进入关系核心的可能；远位只保留背景或阶段性观察。</x:v>
      </x:c>
      <x:c r="U79" s="46" t="str">
        <x:v>84</x:v>
      </x:c>
      <x:c r="V79" s="46" t="str">
        <x:v>+8 给予证据</x:v>
      </x:c>
      <x:c r="W79" s="46" t="str">
        <x:v>giving_style</x:v>
      </x:c>
      <x:c r="X79" s="46" t="str">
        <x:v>在风险、危机或关键节点迅速行动、止损、保护和推进。</x:v>
      </x:c>
      <x:c r="Y79" s="46" t="str">
        <x:v>给予方面，较成熟的表现是：在风险、危机或关键节点迅速行动、止损、保护和推进。</x:v>
      </x:c>
      <x:c r="Z7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79" s="46" t="str">
        <x:v>中</x:v>
      </x:c>
      <x:c r="AB79" s="46" t="str">
        <x:v>待验证</x:v>
      </x:c>
      <x:c r="AC79" s="46" t="str"/>
      <x:c r="AD79" s="46" t="str">
        <x:v>exchange_channel=EC08; ten_god=七杀; provisional=true; rule_group=EXCHANGE-EC通道</x:v>
      </x:c>
      <x:c r="AE79" s="46" t="str">
        <x:v>0.4</x:v>
      </x:c>
    </x:row>
    <x:row r="80" ht="50" customHeight="1">
      <x:c r="A80" s="46" t="str">
        <x:v>M5-EXCHANGE-079</x:v>
      </x:c>
      <x:c r="B80" s="46" t="str">
        <x:v>EC08 行动保护｜请求方式</x:v>
      </x:c>
      <x:c r="C80" s="46" t="str">
        <x:v>L1 十类双向交换通道</x:v>
      </x:c>
      <x:c r="D80" s="46" t="str">
        <x:v>EXCHANGE-EC通道</x:v>
      </x:c>
      <x:c r="E80" s="46" t="str">
        <x:v>通用</x:v>
      </x:c>
      <x:c r="F80" s="46" t="str">
        <x:v>请求</x:v>
      </x:c>
      <x:c r="G80" s="46" t="str">
        <x:v>EC08 行动保护</x:v>
      </x:c>
      <x:c r="H80" s="46" t="str">
        <x:v>七杀</x:v>
      </x:c>
      <x:c r="I80" s="46" t="str">
        <x:v>存在提出需要、协商支持或分工的资料。</x:v>
      </x:c>
      <x:c r="J80" s="46" t="str">
        <x:v>只通过暗示、测试或事后抱怨推断。</x:v>
      </x:c>
      <x:c r="K80" s="46" t="str">
        <x:v>由共享基础引擎、M3与M5-BASE提供；只修正用户怎样给予、请求、接收和回馈，不直接判断双方现实交换质量。</x:v>
      </x:c>
      <x:c r="L80" s="46" t="str">
        <x:v>M2只说明进入关系所需资格证据；不能替代长期双向交换、负荷与修复验证。</x:v>
      </x:c>
      <x:c r="M80" s="46" t="str">
        <x:v>M3-BASE、EXPR、CARE和BOUND提供用户自然互动通道；M5-EXCHANGE负责把两人的实际行为合成为交换结构。</x:v>
      </x:c>
      <x:c r="N80" s="46" t="str">
        <x:v>无／按本规则指定的给予—请求—接收—反馈—重订路径路由。</x:v>
      </x:c>
      <x:c r="O80" s="46" t="str">
        <x:v>近位、远位只修正该交换需求进入亲密关系核心的可能；不得据此判断具体伴侣现实中一定配合。</x:v>
      </x:c>
      <x:c r="P80" s="46" t="str">
        <x:v>根气只修正用户交换需求和通道是否稳定重复，不等于双方已形成成熟互惠。</x:v>
      </x:c>
      <x:c r="Q80" s="46" t="str">
        <x:v>旺弱只修正通道调用强度、抢位或缺位风险，不直接等于交换公平或关系质量。</x:v>
      </x:c>
      <x:c r="R80" s="46" t="str">
        <x:v>喜忌只修正调用顺畅度与摩擦，不可直接翻译为理想伴侣五行、十神或必然互补。</x:v>
      </x:c>
      <x:c r="S80" s="46" t="str">
        <x:v>真合化成立时按化神功能重算用户交换需求；合化争议时停止细化交换通道。</x:v>
      </x:c>
      <x:c r="T80" s="46" t="str">
        <x:v>近位提高该交换议题进入关系核心的可能；远位只保留背景或阶段性观察。</x:v>
      </x:c>
      <x:c r="U80" s="46" t="str">
        <x:v>84</x:v>
      </x:c>
      <x:c r="V80" s="46" t="str">
        <x:v>+8 请求证据</x:v>
      </x:c>
      <x:c r="W80" s="46" t="str">
        <x:v>request_style</x:v>
      </x:c>
      <x:c r="X80" s="46" t="str">
        <x:v>需要帮助时说明紧急程度、授权范围和哪些决定仍需共同确认。</x:v>
      </x:c>
      <x:c r="Y80" s="46" t="str">
        <x:v>提出需要时，适合采用：需要帮助时说明紧急程度、授权范围和哪些决定仍需共同确认。</x:v>
      </x:c>
      <x:c r="Z8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0" s="46" t="str">
        <x:v>中</x:v>
      </x:c>
      <x:c r="AB80" s="46" t="str">
        <x:v>待验证</x:v>
      </x:c>
      <x:c r="AC80" s="46" t="str"/>
      <x:c r="AD80" s="46" t="str">
        <x:v>exchange_channel=EC08; ten_god=七杀; provisional=true; rule_group=EXCHANGE-EC通道</x:v>
      </x:c>
      <x:c r="AE80" s="46" t="str">
        <x:v>0.4</x:v>
      </x:c>
    </x:row>
    <x:row r="81" ht="50" customHeight="1">
      <x:c r="A81" s="46" t="str">
        <x:v>M5-EXCHANGE-080</x:v>
      </x:c>
      <x:c r="B81" s="46" t="str">
        <x:v>EC08 行动保护｜接收方式</x:v>
      </x:c>
      <x:c r="C81" s="46" t="str">
        <x:v>L1 十类双向交换通道</x:v>
      </x:c>
      <x:c r="D81" s="46" t="str">
        <x:v>EXCHANGE-EC通道</x:v>
      </x:c>
      <x:c r="E81" s="46" t="str">
        <x:v>通用</x:v>
      </x:c>
      <x:c r="F81" s="46" t="str">
        <x:v>接收</x:v>
      </x:c>
      <x:c r="G81" s="46" t="str">
        <x:v>EC08 行动保护</x:v>
      </x:c>
      <x:c r="H81" s="46" t="str">
        <x:v>七杀</x:v>
      </x:c>
      <x:c r="I81" s="46" t="str">
        <x:v>存在接受帮助、回应或资源的资料。</x:v>
      </x:c>
      <x:c r="J81" s="46" t="str">
        <x:v>把接受支持自动解释为依赖或债务。</x:v>
      </x:c>
      <x:c r="K81" s="46" t="str">
        <x:v>由共享基础引擎、M3与M5-BASE提供；只修正用户怎样给予、请求、接收和回馈，不直接判断双方现实交换质量。</x:v>
      </x:c>
      <x:c r="L81" s="46" t="str">
        <x:v>M2只说明进入关系所需资格证据；不能替代长期双向交换、负荷与修复验证。</x:v>
      </x:c>
      <x:c r="M81" s="46" t="str">
        <x:v>M3-BASE、EXPR、CARE和BOUND提供用户自然互动通道；M5-EXCHANGE负责把两人的实际行为合成为交换结构。</x:v>
      </x:c>
      <x:c r="N81" s="46" t="str">
        <x:v>无／按本规则指定的给予—请求—接收—反馈—重订路径路由。</x:v>
      </x:c>
      <x:c r="O81" s="46" t="str">
        <x:v>近位、远位只修正该交换需求进入亲密关系核心的可能；不得据此判断具体伴侣现实中一定配合。</x:v>
      </x:c>
      <x:c r="P81" s="46" t="str">
        <x:v>根气只修正用户交换需求和通道是否稳定重复，不等于双方已形成成熟互惠。</x:v>
      </x:c>
      <x:c r="Q81" s="46" t="str">
        <x:v>旺弱只修正通道调用强度、抢位或缺位风险，不直接等于交换公平或关系质量。</x:v>
      </x:c>
      <x:c r="R81" s="46" t="str">
        <x:v>喜忌只修正调用顺畅度与摩擦，不可直接翻译为理想伴侣五行、十神或必然互补。</x:v>
      </x:c>
      <x:c r="S81" s="46" t="str">
        <x:v>真合化成立时按化神功能重算用户交换需求；合化争议时停止细化交换通道。</x:v>
      </x:c>
      <x:c r="T81" s="46" t="str">
        <x:v>近位提高该交换议题进入关系核心的可能；远位只保留背景或阶段性观察。</x:v>
      </x:c>
      <x:c r="U81" s="46" t="str">
        <x:v>84</x:v>
      </x:c>
      <x:c r="V81" s="46" t="str">
        <x:v>+8 接收证据</x:v>
      </x:c>
      <x:c r="W81" s="46" t="str">
        <x:v>receiving_style</x:v>
      </x:c>
      <x:c r="X81" s="46" t="str">
        <x:v>可以接受快速帮助，同时保留同意、信息和事后复盘权。</x:v>
      </x:c>
      <x:c r="Y81" s="46" t="str">
        <x:v>接收支持时，重点是：可以接受快速帮助，同时保留同意、信息和事后复盘权。</x:v>
      </x:c>
      <x:c r="Z8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1" s="46" t="str">
        <x:v>中</x:v>
      </x:c>
      <x:c r="AB81" s="46" t="str">
        <x:v>待验证</x:v>
      </x:c>
      <x:c r="AC81" s="46" t="str"/>
      <x:c r="AD81" s="46" t="str">
        <x:v>exchange_channel=EC08; ten_god=七杀; provisional=true; rule_group=EXCHANGE-EC通道</x:v>
      </x:c>
      <x:c r="AE81" s="46" t="str">
        <x:v>0.4</x:v>
      </x:c>
    </x:row>
    <x:row r="82" ht="50" customHeight="1">
      <x:c r="A82" s="46" t="str">
        <x:v>M5-EXCHANGE-081</x:v>
      </x:c>
      <x:c r="B82" s="46" t="str">
        <x:v>EC08 行动保护｜回馈方式</x:v>
      </x:c>
      <x:c r="C82" s="46" t="str">
        <x:v>L1 十类双向交换通道</x:v>
      </x:c>
      <x:c r="D82" s="46" t="str">
        <x:v>EXCHANGE-EC通道</x:v>
      </x:c>
      <x:c r="E82" s="46" t="str">
        <x:v>通用</x:v>
      </x:c>
      <x:c r="F82" s="46" t="str">
        <x:v>回馈</x:v>
      </x:c>
      <x:c r="G82" s="46" t="str">
        <x:v>EC08 行动保护</x:v>
      </x:c>
      <x:c r="H82" s="46" t="str">
        <x:v>七杀</x:v>
      </x:c>
      <x:c r="I82" s="46" t="str">
        <x:v>存在后续回应、错峰回流或其他领域贡献。</x:v>
      </x:c>
      <x:c r="J82" s="46" t="str">
        <x:v>要求立即、同领域、等量回报。</x:v>
      </x:c>
      <x:c r="K82" s="46" t="str">
        <x:v>由共享基础引擎、M3与M5-BASE提供；只修正用户怎样给予、请求、接收和回馈，不直接判断双方现实交换质量。</x:v>
      </x:c>
      <x:c r="L82" s="46" t="str">
        <x:v>M2只说明进入关系所需资格证据；不能替代长期双向交换、负荷与修复验证。</x:v>
      </x:c>
      <x:c r="M82" s="46" t="str">
        <x:v>M3-BASE、EXPR、CARE和BOUND提供用户自然互动通道；M5-EXCHANGE负责把两人的实际行为合成为交换结构。</x:v>
      </x:c>
      <x:c r="N82" s="46" t="str">
        <x:v>无／按本规则指定的给予—请求—接收—反馈—重订路径路由。</x:v>
      </x:c>
      <x:c r="O82" s="46" t="str">
        <x:v>近位、远位只修正该交换需求进入亲密关系核心的可能；不得据此判断具体伴侣现实中一定配合。</x:v>
      </x:c>
      <x:c r="P82" s="46" t="str">
        <x:v>根气只修正用户交换需求和通道是否稳定重复，不等于双方已形成成熟互惠。</x:v>
      </x:c>
      <x:c r="Q82" s="46" t="str">
        <x:v>旺弱只修正通道调用强度、抢位或缺位风险，不直接等于交换公平或关系质量。</x:v>
      </x:c>
      <x:c r="R82" s="46" t="str">
        <x:v>喜忌只修正调用顺畅度与摩擦，不可直接翻译为理想伴侣五行、十神或必然互补。</x:v>
      </x:c>
      <x:c r="S82" s="46" t="str">
        <x:v>真合化成立时按化神功能重算用户交换需求；合化争议时停止细化交换通道。</x:v>
      </x:c>
      <x:c r="T82" s="46" t="str">
        <x:v>近位提高该交换议题进入关系核心的可能；远位只保留背景或阶段性观察。</x:v>
      </x:c>
      <x:c r="U82" s="46" t="str">
        <x:v>82</x:v>
      </x:c>
      <x:c r="V82" s="46" t="str">
        <x:v>+8 回馈证据</x:v>
      </x:c>
      <x:c r="W82" s="46" t="str">
        <x:v>reciprocity_style</x:v>
      </x:c>
      <x:c r="X82" s="46" t="str">
        <x:v>通过配合、说明反馈、恢复共同决定和在另一阶段承担行动形成回馈。</x:v>
      </x:c>
      <x:c r="Y82" s="46" t="str">
        <x:v>回馈不必完全相同，可以通过：通过配合、说明反馈、恢复共同决定和在另一阶段承担行动形成回馈。</x:v>
      </x:c>
      <x:c r="Z8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2" s="46" t="str">
        <x:v>中</x:v>
      </x:c>
      <x:c r="AB82" s="46" t="str">
        <x:v>待验证</x:v>
      </x:c>
      <x:c r="AC82" s="46" t="str"/>
      <x:c r="AD82" s="46" t="str">
        <x:v>exchange_channel=EC08; ten_god=七杀; provisional=true; rule_group=EXCHANGE-EC通道</x:v>
      </x:c>
      <x:c r="AE82" s="46" t="str">
        <x:v>0.4</x:v>
      </x:c>
    </x:row>
    <x:row r="83" ht="50" customHeight="1">
      <x:c r="A83" s="46" t="str">
        <x:v>M5-EXCHANGE-082</x:v>
      </x:c>
      <x:c r="B83" s="46" t="str">
        <x:v>EC08 行动保护｜成熟双向表达</x:v>
      </x:c>
      <x:c r="C83" s="46" t="str">
        <x:v>L1 十类双向交换通道</x:v>
      </x:c>
      <x:c r="D83" s="46" t="str">
        <x:v>EXCHANGE-EC通道</x:v>
      </x:c>
      <x:c r="E83" s="46" t="str">
        <x:v>通用</x:v>
      </x:c>
      <x:c r="F83" s="46" t="str">
        <x:v>成熟</x:v>
      </x:c>
      <x:c r="G83" s="46" t="str">
        <x:v>EC08 行动保护</x:v>
      </x:c>
      <x:c r="H83" s="46" t="str">
        <x:v>七杀</x:v>
      </x:c>
      <x:c r="I83" s="46" t="str">
        <x:v>XV4以上，且ED02、ED03、ED09至少两项可靠。</x:v>
      </x:c>
      <x:c r="J83" s="46" t="str">
        <x:v>只有一方能力或一次事件。</x:v>
      </x:c>
      <x:c r="K83" s="46" t="str">
        <x:v>由共享基础引擎、M3与M5-BASE提供；只修正用户怎样给予、请求、接收和回馈，不直接判断双方现实交换质量。</x:v>
      </x:c>
      <x:c r="L83" s="46" t="str">
        <x:v>M2只说明进入关系所需资格证据；不能替代长期双向交换、负荷与修复验证。</x:v>
      </x:c>
      <x:c r="M83" s="46" t="str">
        <x:v>M3-BASE、EXPR、CARE和BOUND提供用户自然互动通道；M5-EXCHANGE负责把两人的实际行为合成为交换结构。</x:v>
      </x:c>
      <x:c r="N83" s="46" t="str">
        <x:v>无／按本规则指定的给予—请求—接收—反馈—重订路径路由。</x:v>
      </x:c>
      <x:c r="O83" s="46" t="str">
        <x:v>近位、远位只修正该交换需求进入亲密关系核心的可能；不得据此判断具体伴侣现实中一定配合。</x:v>
      </x:c>
      <x:c r="P83" s="46" t="str">
        <x:v>根气只修正用户交换需求和通道是否稳定重复，不等于双方已形成成熟互惠。</x:v>
      </x:c>
      <x:c r="Q83" s="46" t="str">
        <x:v>旺弱只修正通道调用强度、抢位或缺位风险，不直接等于交换公平或关系质量。</x:v>
      </x:c>
      <x:c r="R83" s="46" t="str">
        <x:v>喜忌只修正调用顺畅度与摩擦，不可直接翻译为理想伴侣五行、十神或必然互补。</x:v>
      </x:c>
      <x:c r="S83" s="46" t="str">
        <x:v>真合化成立时按化神功能重算用户交换需求；合化争议时停止细化交换通道。</x:v>
      </x:c>
      <x:c r="T83" s="46" t="str">
        <x:v>近位提高该交换议题进入关系核心的可能；远位只保留背景或阶段性观察。</x:v>
      </x:c>
      <x:c r="U83" s="46" t="str">
        <x:v>90</x:v>
      </x:c>
      <x:c r="V83" s="46" t="str">
        <x:v>成熟 +14</x:v>
      </x:c>
      <x:c r="W83" s="46" t="str">
        <x:v>mature_exchange_profile</x:v>
      </x:c>
      <x:c r="X83" s="46" t="str">
        <x:v>行动有力，但会区分紧急授权与长期权力；事情结束后主动归还参与权。</x:v>
      </x:c>
      <x:c r="Y83" s="46" t="str">
        <x:v>成熟交换通常表现为：行动有力，但会区分紧急授权与长期权力；事情结束后主动归还参与权。</x:v>
      </x:c>
      <x:c r="Z8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3" s="46" t="str">
        <x:v>中高</x:v>
      </x:c>
      <x:c r="AB83" s="46" t="str">
        <x:v>待验证</x:v>
      </x:c>
      <x:c r="AC83" s="46" t="str"/>
      <x:c r="AD83" s="46" t="str">
        <x:v>exchange_channel=EC08; ten_god=七杀; provisional=true; rule_group=EXCHANGE-EC通道</x:v>
      </x:c>
      <x:c r="AE83" s="46" t="str">
        <x:v>0.4</x:v>
      </x:c>
    </x:row>
    <x:row r="84" ht="50" customHeight="1">
      <x:c r="A84" s="46" t="str">
        <x:v>M5-EXCHANGE-083</x:v>
      </x:c>
      <x:c r="B84" s="46" t="str">
        <x:v>EC08 行动保护｜失衡与替代候选</x:v>
      </x:c>
      <x:c r="C84" s="46" t="str">
        <x:v>L1 十类双向交换通道</x:v>
      </x:c>
      <x:c r="D84" s="46" t="str">
        <x:v>EXCHANGE-EC通道</x:v>
      </x:c>
      <x:c r="E84" s="46" t="str">
        <x:v>通用</x:v>
      </x:c>
      <x:c r="F84" s="46" t="str">
        <x:v>风险</x:v>
      </x:c>
      <x:c r="G84" s="46" t="str">
        <x:v>EC08 行动保护</x:v>
      </x:c>
      <x:c r="H84" s="46" t="str">
        <x:v>七杀</x:v>
      </x:c>
      <x:c r="I84" s="46" t="str">
        <x:v>现实资料显示抢位、替代、负荷或反馈断点。</x:v>
      </x:c>
      <x:c r="J84" s="46" t="str">
        <x:v>只有通道强度，没有第二类失衡证据。</x:v>
      </x:c>
      <x:c r="K84" s="46" t="str">
        <x:v>由共享基础引擎、M3与M5-BASE提供；只修正用户怎样给予、请求、接收和回馈，不直接判断双方现实交换质量。</x:v>
      </x:c>
      <x:c r="L84" s="46" t="str">
        <x:v>M2只说明进入关系所需资格证据；不能替代长期双向交换、负荷与修复验证。</x:v>
      </x:c>
      <x:c r="M84" s="46" t="str">
        <x:v>M3-BASE、EXPR、CARE和BOUND提供用户自然互动通道；M5-EXCHANGE负责把两人的实际行为合成为交换结构。</x:v>
      </x:c>
      <x:c r="N84" s="46" t="str">
        <x:v>无／按本规则指定的给予—请求—接收—反馈—重订路径路由。</x:v>
      </x:c>
      <x:c r="O84" s="46" t="str">
        <x:v>近位、远位只修正该交换需求进入亲密关系核心的可能；不得据此判断具体伴侣现实中一定配合。</x:v>
      </x:c>
      <x:c r="P84" s="46" t="str">
        <x:v>根气只修正用户交换需求和通道是否稳定重复，不等于双方已形成成熟互惠。</x:v>
      </x:c>
      <x:c r="Q84" s="46" t="str">
        <x:v>旺弱只修正通道调用强度、抢位或缺位风险，不直接等于交换公平或关系质量。</x:v>
      </x:c>
      <x:c r="R84" s="46" t="str">
        <x:v>喜忌只修正调用顺畅度与摩擦，不可直接翻译为理想伴侣五行、十神或必然互补。</x:v>
      </x:c>
      <x:c r="S84" s="46" t="str">
        <x:v>真合化成立时按化神功能重算用户交换需求；合化争议时停止细化交换通道。</x:v>
      </x:c>
      <x:c r="T84" s="46" t="str">
        <x:v>近位提高该交换议题进入关系核心的可能；远位只保留背景或阶段性观察。</x:v>
      </x:c>
      <x:c r="U84" s="46" t="str">
        <x:v>88</x:v>
      </x:c>
      <x:c r="V84" s="46" t="str">
        <x:v>风险 +12</x:v>
      </x:c>
      <x:c r="W84" s="46" t="str">
        <x:v>exchange_risk_warning</x:v>
      </x:c>
      <x:c r="X84" s="46" t="str">
        <x:v>速度和结果压过同意、反馈与共同决定，保护容易变成接管。</x:v>
      </x:c>
      <x:c r="Y84" s="46" t="str">
        <x:v>需要留意：速度和结果压过同意、反馈与共同决定，保护容易变成接管。</x:v>
      </x:c>
      <x:c r="Z8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4" s="46" t="str">
        <x:v>中高</x:v>
      </x:c>
      <x:c r="AB84" s="46" t="str">
        <x:v>待验证</x:v>
      </x:c>
      <x:c r="AC84" s="46" t="str"/>
      <x:c r="AD84" s="46" t="str">
        <x:v>exchange_channel=EC08; ten_god=七杀; provisional=true; rule_group=EXCHANGE-EC通道</x:v>
      </x:c>
      <x:c r="AE84" s="46" t="str">
        <x:v>0.4</x:v>
      </x:c>
    </x:row>
    <x:row r="85" ht="50" customHeight="1">
      <x:c r="A85" s="46" t="str">
        <x:v>M5-EXCHANGE-084</x:v>
      </x:c>
      <x:c r="B85" s="46" t="str">
        <x:v>EC08 行动保护｜关键观察与用户输出</x:v>
      </x:c>
      <x:c r="C85" s="46" t="str">
        <x:v>L1 十类双向交换通道</x:v>
      </x:c>
      <x:c r="D85" s="46" t="str">
        <x:v>EXCHANGE-EC通道</x:v>
      </x:c>
      <x:c r="E85" s="46" t="str">
        <x:v>通用</x:v>
      </x:c>
      <x:c r="F85" s="46" t="str">
        <x:v>输出</x:v>
      </x:c>
      <x:c r="G85" s="46" t="str">
        <x:v>EC08 行动保护</x:v>
      </x:c>
      <x:c r="H85" s="46" t="str">
        <x:v>七杀</x:v>
      </x:c>
      <x:c r="I85" s="46" t="str">
        <x:v>已形成主或次EC候选。</x:v>
      </x:c>
      <x:c r="J85" s="46" t="str">
        <x:v>XR08停止或资料严重不足。</x:v>
      </x:c>
      <x:c r="K85" s="46" t="str">
        <x:v>由共享基础引擎、M3与M5-BASE提供；只修正用户怎样给予、请求、接收和回馈，不直接判断双方现实交换质量。</x:v>
      </x:c>
      <x:c r="L85" s="46" t="str">
        <x:v>M2只说明进入关系所需资格证据；不能替代长期双向交换、负荷与修复验证。</x:v>
      </x:c>
      <x:c r="M85" s="46" t="str">
        <x:v>M3-BASE、EXPR、CARE和BOUND提供用户自然互动通道；M5-EXCHANGE负责把两人的实际行为合成为交换结构。</x:v>
      </x:c>
      <x:c r="N85" s="46" t="str">
        <x:v>无／按本规则指定的给予—请求—接收—反馈—重订路径路由。</x:v>
      </x:c>
      <x:c r="O85" s="46" t="str">
        <x:v>近位、远位只修正该交换需求进入亲密关系核心的可能；不得据此判断具体伴侣现实中一定配合。</x:v>
      </x:c>
      <x:c r="P85" s="46" t="str">
        <x:v>根气只修正用户交换需求和通道是否稳定重复，不等于双方已形成成熟互惠。</x:v>
      </x:c>
      <x:c r="Q85" s="46" t="str">
        <x:v>旺弱只修正通道调用强度、抢位或缺位风险，不直接等于交换公平或关系质量。</x:v>
      </x:c>
      <x:c r="R85" s="46" t="str">
        <x:v>喜忌只修正调用顺畅度与摩擦，不可直接翻译为理想伴侣五行、十神或必然互补。</x:v>
      </x:c>
      <x:c r="S85" s="46" t="str">
        <x:v>真合化成立时按化神功能重算用户交换需求；合化争议时停止细化交换通道。</x:v>
      </x:c>
      <x:c r="T85" s="46" t="str">
        <x:v>近位提高该交换议题进入关系核心的可能；远位只保留背景或阶段性观察。</x:v>
      </x:c>
      <x:c r="U85" s="46" t="str">
        <x:v>76</x:v>
      </x:c>
      <x:c r="V85" s="46" t="str">
        <x:v>不加分；输出</x:v>
      </x:c>
      <x:c r="W85" s="46" t="str">
        <x:v>observation_plan</x:v>
      </x:c>
      <x:c r="X85" s="46" t="str">
        <x:v>高压结束后，决定权、信息和感受是否真正回到双方。</x:v>
      </x:c>
      <x:c r="Y85" s="46" t="str">
        <x:v>高压结束后，决定权、信息和感受是否真正回到双方。</x:v>
      </x:c>
      <x:c r="Z8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5" s="46" t="str">
        <x:v>中高</x:v>
      </x:c>
      <x:c r="AB85" s="46" t="str">
        <x:v>待验证</x:v>
      </x:c>
      <x:c r="AC85" s="46" t="str"/>
      <x:c r="AD85" s="46" t="str">
        <x:v>exchange_channel=EC08; ten_god=七杀; provisional=true; rule_group=EXCHANGE-EC通道</x:v>
      </x:c>
      <x:c r="AE85" s="46" t="str">
        <x:v>0.4</x:v>
      </x:c>
    </x:row>
    <x:row r="86" ht="50" customHeight="1">
      <x:c r="A86" s="46" t="str">
        <x:v>M5-EXCHANGE-085</x:v>
      </x:c>
      <x:c r="B86" s="46" t="str">
        <x:v>EC09 安全承接｜通道定义</x:v>
      </x:c>
      <x:c r="C86" s="46" t="str">
        <x:v>L1 十类双向交换通道</x:v>
      </x:c>
      <x:c r="D86" s="46" t="str">
        <x:v>EXCHANGE-EC通道</x:v>
      </x:c>
      <x:c r="E86" s="46" t="str">
        <x:v>通用</x:v>
      </x:c>
      <x:c r="F86" s="46" t="str">
        <x:v>基础</x:v>
      </x:c>
      <x:c r="G86" s="46" t="str">
        <x:v>EC09 安全承接</x:v>
      </x:c>
      <x:c r="H86" s="46" t="str">
        <x:v>正印</x:v>
      </x:c>
      <x:c r="I86" s="46" t="str">
        <x:v>M5-BASE或PARTNER将该FN路由为主／次交换功能。</x:v>
      </x:c>
      <x:c r="J86" s="46" t="str">
        <x:v>安全门控未通过或该通道只属PR3且与主风险冲突。</x:v>
      </x:c>
      <x:c r="K86" s="46" t="str">
        <x:v>由共享基础引擎、M3与M5-BASE提供；只修正用户怎样给予、请求、接收和回馈，不直接判断双方现实交换质量。</x:v>
      </x:c>
      <x:c r="L86" s="46" t="str">
        <x:v>M2只说明进入关系所需资格证据；不能替代长期双向交换、负荷与修复验证。</x:v>
      </x:c>
      <x:c r="M86" s="46" t="str">
        <x:v>M3-BASE、EXPR、CARE和BOUND提供用户自然互动通道；M5-EXCHANGE负责把两人的实际行为合成为交换结构。</x:v>
      </x:c>
      <x:c r="N86" s="46" t="str">
        <x:v>无／按本规则指定的给予—请求—接收—反馈—重订路径路由。</x:v>
      </x:c>
      <x:c r="O86" s="46" t="str">
        <x:v>近位、远位只修正该交换需求进入亲密关系核心的可能；不得据此判断具体伴侣现实中一定配合。</x:v>
      </x:c>
      <x:c r="P86" s="46" t="str">
        <x:v>根气只修正用户交换需求和通道是否稳定重复，不等于双方已形成成熟互惠。</x:v>
      </x:c>
      <x:c r="Q86" s="46" t="str">
        <x:v>旺弱只修正通道调用强度、抢位或缺位风险，不直接等于交换公平或关系质量。</x:v>
      </x:c>
      <x:c r="R86" s="46" t="str">
        <x:v>喜忌只修正调用顺畅度与摩擦，不可直接翻译为理想伴侣五行、十神或必然互补。</x:v>
      </x:c>
      <x:c r="S86" s="46" t="str">
        <x:v>真合化成立时按化神功能重算用户交换需求；合化争议时停止细化交换通道。</x:v>
      </x:c>
      <x:c r="T86" s="46" t="str">
        <x:v>近位提高该交换议题进入关系核心的可能；远位只保留背景或阶段性观察。</x:v>
      </x:c>
      <x:c r="U86" s="46" t="str">
        <x:v>94</x:v>
      </x:c>
      <x:c r="V86" s="46" t="str">
        <x:v>主通道候选 +18</x:v>
      </x:c>
      <x:c r="W86" s="46" t="str">
        <x:v>primary_exchange_channel</x:v>
      </x:c>
      <x:c r="X86" s="46" t="str">
        <x:v>EC09 安全承接将正印功能转译为双人交换通道。</x:v>
      </x:c>
      <x:c r="Y86" s="46" t="str">
        <x:v>安全感不只是被安慰，还要让理解转成更清楚的边界和现实行动。</x:v>
      </x:c>
      <x:c r="Z8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6" s="46" t="str">
        <x:v>中高</x:v>
      </x:c>
      <x:c r="AB86" s="46" t="str">
        <x:v>待验证</x:v>
      </x:c>
      <x:c r="AC86" s="46" t="str"/>
      <x:c r="AD86" s="46" t="str">
        <x:v>exchange_channel=EC09; ten_god=正印; provisional=true; rule_group=EXCHANGE-EC通道</x:v>
      </x:c>
      <x:c r="AE86" s="46" t="str">
        <x:v>0.4</x:v>
      </x:c>
    </x:row>
    <x:row r="87" ht="50" customHeight="1">
      <x:c r="A87" s="46" t="str">
        <x:v>M5-EXCHANGE-086</x:v>
      </x:c>
      <x:c r="B87" s="46" t="str">
        <x:v>EC09 安全承接｜给予方式</x:v>
      </x:c>
      <x:c r="C87" s="46" t="str">
        <x:v>L1 十类双向交换通道</x:v>
      </x:c>
      <x:c r="D87" s="46" t="str">
        <x:v>EXCHANGE-EC通道</x:v>
      </x:c>
      <x:c r="E87" s="46" t="str">
        <x:v>通用</x:v>
      </x:c>
      <x:c r="F87" s="46" t="str">
        <x:v>给予</x:v>
      </x:c>
      <x:c r="G87" s="46" t="str">
        <x:v>EC09 安全承接</x:v>
      </x:c>
      <x:c r="H87" s="46" t="str">
        <x:v>正印</x:v>
      </x:c>
      <x:c r="I87" s="46" t="str">
        <x:v>存在一方主动提供该类支持的现实资料。</x:v>
      </x:c>
      <x:c r="J87" s="46" t="str">
        <x:v>只有自述、身份或一次高光。</x:v>
      </x:c>
      <x:c r="K87" s="46" t="str">
        <x:v>由共享基础引擎、M3与M5-BASE提供；只修正用户怎样给予、请求、接收和回馈，不直接判断双方现实交换质量。</x:v>
      </x:c>
      <x:c r="L87" s="46" t="str">
        <x:v>M2只说明进入关系所需资格证据；不能替代长期双向交换、负荷与修复验证。</x:v>
      </x:c>
      <x:c r="M87" s="46" t="str">
        <x:v>M3-BASE、EXPR、CARE和BOUND提供用户自然互动通道；M5-EXCHANGE负责把两人的实际行为合成为交换结构。</x:v>
      </x:c>
      <x:c r="N87" s="46" t="str">
        <x:v>无／按本规则指定的给予—请求—接收—反馈—重订路径路由。</x:v>
      </x:c>
      <x:c r="O87" s="46" t="str">
        <x:v>近位、远位只修正该交换需求进入亲密关系核心的可能；不得据此判断具体伴侣现实中一定配合。</x:v>
      </x:c>
      <x:c r="P87" s="46" t="str">
        <x:v>根气只修正用户交换需求和通道是否稳定重复，不等于双方已形成成熟互惠。</x:v>
      </x:c>
      <x:c r="Q87" s="46" t="str">
        <x:v>旺弱只修正通道调用强度、抢位或缺位风险，不直接等于交换公平或关系质量。</x:v>
      </x:c>
      <x:c r="R87" s="46" t="str">
        <x:v>喜忌只修正调用顺畅度与摩擦，不可直接翻译为理想伴侣五行、十神或必然互补。</x:v>
      </x:c>
      <x:c r="S87" s="46" t="str">
        <x:v>真合化成立时按化神功能重算用户交换需求；合化争议时停止细化交换通道。</x:v>
      </x:c>
      <x:c r="T87" s="46" t="str">
        <x:v>近位提高该交换议题进入关系核心的可能；远位只保留背景或阶段性观察。</x:v>
      </x:c>
      <x:c r="U87" s="46" t="str">
        <x:v>84</x:v>
      </x:c>
      <x:c r="V87" s="46" t="str">
        <x:v>+8 给予证据</x:v>
      </x:c>
      <x:c r="W87" s="46" t="str">
        <x:v>giving_style</x:v>
      </x:c>
      <x:c r="X87" s="46" t="str">
        <x:v>通过倾听、理解、安抚、知识与稳定回应提供支持。</x:v>
      </x:c>
      <x:c r="Y87" s="46" t="str">
        <x:v>给予方面，较成熟的表现是：通过倾听、理解、安抚、知识与稳定回应提供支持。</x:v>
      </x:c>
      <x:c r="Z8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7" s="46" t="str">
        <x:v>中</x:v>
      </x:c>
      <x:c r="AB87" s="46" t="str">
        <x:v>待验证</x:v>
      </x:c>
      <x:c r="AC87" s="46" t="str"/>
      <x:c r="AD87" s="46" t="str">
        <x:v>exchange_channel=EC09; ten_god=正印; provisional=true; rule_group=EXCHANGE-EC通道</x:v>
      </x:c>
      <x:c r="AE87" s="46" t="str">
        <x:v>0.4</x:v>
      </x:c>
    </x:row>
    <x:row r="88" ht="50" customHeight="1">
      <x:c r="A88" s="46" t="str">
        <x:v>M5-EXCHANGE-087</x:v>
      </x:c>
      <x:c r="B88" s="46" t="str">
        <x:v>EC09 安全承接｜请求方式</x:v>
      </x:c>
      <x:c r="C88" s="46" t="str">
        <x:v>L1 十类双向交换通道</x:v>
      </x:c>
      <x:c r="D88" s="46" t="str">
        <x:v>EXCHANGE-EC通道</x:v>
      </x:c>
      <x:c r="E88" s="46" t="str">
        <x:v>通用</x:v>
      </x:c>
      <x:c r="F88" s="46" t="str">
        <x:v>请求</x:v>
      </x:c>
      <x:c r="G88" s="46" t="str">
        <x:v>EC09 安全承接</x:v>
      </x:c>
      <x:c r="H88" s="46" t="str">
        <x:v>正印</x:v>
      </x:c>
      <x:c r="I88" s="46" t="str">
        <x:v>存在提出需要、协商支持或分工的资料。</x:v>
      </x:c>
      <x:c r="J88" s="46" t="str">
        <x:v>只通过暗示、测试或事后抱怨推断。</x:v>
      </x:c>
      <x:c r="K88" s="46" t="str">
        <x:v>由共享基础引擎、M3与M5-BASE提供；只修正用户怎样给予、请求、接收和回馈，不直接判断双方现实交换质量。</x:v>
      </x:c>
      <x:c r="L88" s="46" t="str">
        <x:v>M2只说明进入关系所需资格证据；不能替代长期双向交换、负荷与修复验证。</x:v>
      </x:c>
      <x:c r="M88" s="46" t="str">
        <x:v>M3-BASE、EXPR、CARE和BOUND提供用户自然互动通道；M5-EXCHANGE负责把两人的实际行为合成为交换结构。</x:v>
      </x:c>
      <x:c r="N88" s="46" t="str">
        <x:v>无／按本规则指定的给予—请求—接收—反馈—重订路径路由。</x:v>
      </x:c>
      <x:c r="O88" s="46" t="str">
        <x:v>近位、远位只修正该交换需求进入亲密关系核心的可能；不得据此判断具体伴侣现实中一定配合。</x:v>
      </x:c>
      <x:c r="P88" s="46" t="str">
        <x:v>根气只修正用户交换需求和通道是否稳定重复，不等于双方已形成成熟互惠。</x:v>
      </x:c>
      <x:c r="Q88" s="46" t="str">
        <x:v>旺弱只修正通道调用强度、抢位或缺位风险，不直接等于交换公平或关系质量。</x:v>
      </x:c>
      <x:c r="R88" s="46" t="str">
        <x:v>喜忌只修正调用顺畅度与摩擦，不可直接翻译为理想伴侣五行、十神或必然互补。</x:v>
      </x:c>
      <x:c r="S88" s="46" t="str">
        <x:v>真合化成立时按化神功能重算用户交换需求；合化争议时停止细化交换通道。</x:v>
      </x:c>
      <x:c r="T88" s="46" t="str">
        <x:v>近位提高该交换议题进入关系核心的可能；远位只保留背景或阶段性观察。</x:v>
      </x:c>
      <x:c r="U88" s="46" t="str">
        <x:v>84</x:v>
      </x:c>
      <x:c r="V88" s="46" t="str">
        <x:v>+8 请求证据</x:v>
      </x:c>
      <x:c r="W88" s="46" t="str">
        <x:v>request_style</x:v>
      </x:c>
      <x:c r="X88" s="46" t="str">
        <x:v>能够直接说明希望被听见、被理解、获得建议还是得到陪伴。</x:v>
      </x:c>
      <x:c r="Y88" s="46" t="str">
        <x:v>提出需要时，适合采用：能够直接说明希望被听见、被理解、获得建议还是得到陪伴。</x:v>
      </x:c>
      <x:c r="Z8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8" s="46" t="str">
        <x:v>中</x:v>
      </x:c>
      <x:c r="AB88" s="46" t="str">
        <x:v>待验证</x:v>
      </x:c>
      <x:c r="AC88" s="46" t="str"/>
      <x:c r="AD88" s="46" t="str">
        <x:v>exchange_channel=EC09; ten_god=正印; provisional=true; rule_group=EXCHANGE-EC通道</x:v>
      </x:c>
      <x:c r="AE88" s="46" t="str">
        <x:v>0.4</x:v>
      </x:c>
    </x:row>
    <x:row r="89" ht="50" customHeight="1">
      <x:c r="A89" s="46" t="str">
        <x:v>M5-EXCHANGE-088</x:v>
      </x:c>
      <x:c r="B89" s="46" t="str">
        <x:v>EC09 安全承接｜接收方式</x:v>
      </x:c>
      <x:c r="C89" s="46" t="str">
        <x:v>L1 十类双向交换通道</x:v>
      </x:c>
      <x:c r="D89" s="46" t="str">
        <x:v>EXCHANGE-EC通道</x:v>
      </x:c>
      <x:c r="E89" s="46" t="str">
        <x:v>通用</x:v>
      </x:c>
      <x:c r="F89" s="46" t="str">
        <x:v>接收</x:v>
      </x:c>
      <x:c r="G89" s="46" t="str">
        <x:v>EC09 安全承接</x:v>
      </x:c>
      <x:c r="H89" s="46" t="str">
        <x:v>正印</x:v>
      </x:c>
      <x:c r="I89" s="46" t="str">
        <x:v>存在接受帮助、回应或资源的资料。</x:v>
      </x:c>
      <x:c r="J89" s="46" t="str">
        <x:v>把接受支持自动解释为依赖或债务。</x:v>
      </x:c>
      <x:c r="K89" s="46" t="str">
        <x:v>由共享基础引擎、M3与M5-BASE提供；只修正用户怎样给予、请求、接收和回馈，不直接判断双方现实交换质量。</x:v>
      </x:c>
      <x:c r="L89" s="46" t="str">
        <x:v>M2只说明进入关系所需资格证据；不能替代长期双向交换、负荷与修复验证。</x:v>
      </x:c>
      <x:c r="M89" s="46" t="str">
        <x:v>M3-BASE、EXPR、CARE和BOUND提供用户自然互动通道；M5-EXCHANGE负责把两人的实际行为合成为交换结构。</x:v>
      </x:c>
      <x:c r="N89" s="46" t="str">
        <x:v>无／按本规则指定的给予—请求—接收—反馈—重订路径路由。</x:v>
      </x:c>
      <x:c r="O89" s="46" t="str">
        <x:v>近位、远位只修正该交换需求进入亲密关系核心的可能；不得据此判断具体伴侣现实中一定配合。</x:v>
      </x:c>
      <x:c r="P89" s="46" t="str">
        <x:v>根气只修正用户交换需求和通道是否稳定重复，不等于双方已形成成熟互惠。</x:v>
      </x:c>
      <x:c r="Q89" s="46" t="str">
        <x:v>旺弱只修正通道调用强度、抢位或缺位风险，不直接等于交换公平或关系质量。</x:v>
      </x:c>
      <x:c r="R89" s="46" t="str">
        <x:v>喜忌只修正调用顺畅度与摩擦，不可直接翻译为理想伴侣五行、十神或必然互补。</x:v>
      </x:c>
      <x:c r="S89" s="46" t="str">
        <x:v>真合化成立时按化神功能重算用户交换需求；合化争议时停止细化交换通道。</x:v>
      </x:c>
      <x:c r="T89" s="46" t="str">
        <x:v>近位提高该交换议题进入关系核心的可能；远位只保留背景或阶段性观察。</x:v>
      </x:c>
      <x:c r="U89" s="46" t="str">
        <x:v>84</x:v>
      </x:c>
      <x:c r="V89" s="46" t="str">
        <x:v>+8 接收证据</x:v>
      </x:c>
      <x:c r="W89" s="46" t="str">
        <x:v>receiving_style</x:v>
      </x:c>
      <x:c r="X89" s="46" t="str">
        <x:v>允许自己接受照顾和理解，同时保留独立判断和拒绝建议的权利。</x:v>
      </x:c>
      <x:c r="Y89" s="46" t="str">
        <x:v>接收支持时，重点是：允许自己接受照顾和理解，同时保留独立判断和拒绝建议的权利。</x:v>
      </x:c>
      <x:c r="Z8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9" s="46" t="str">
        <x:v>中</x:v>
      </x:c>
      <x:c r="AB89" s="46" t="str">
        <x:v>待验证</x:v>
      </x:c>
      <x:c r="AC89" s="46" t="str"/>
      <x:c r="AD89" s="46" t="str">
        <x:v>exchange_channel=EC09; ten_god=正印; provisional=true; rule_group=EXCHANGE-EC通道</x:v>
      </x:c>
      <x:c r="AE89" s="46" t="str">
        <x:v>0.4</x:v>
      </x:c>
    </x:row>
    <x:row r="90" ht="50" customHeight="1">
      <x:c r="A90" s="46" t="str">
        <x:v>M5-EXCHANGE-089</x:v>
      </x:c>
      <x:c r="B90" s="46" t="str">
        <x:v>EC09 安全承接｜回馈方式</x:v>
      </x:c>
      <x:c r="C90" s="46" t="str">
        <x:v>L1 十类双向交换通道</x:v>
      </x:c>
      <x:c r="D90" s="46" t="str">
        <x:v>EXCHANGE-EC通道</x:v>
      </x:c>
      <x:c r="E90" s="46" t="str">
        <x:v>通用</x:v>
      </x:c>
      <x:c r="F90" s="46" t="str">
        <x:v>回馈</x:v>
      </x:c>
      <x:c r="G90" s="46" t="str">
        <x:v>EC09 安全承接</x:v>
      </x:c>
      <x:c r="H90" s="46" t="str">
        <x:v>正印</x:v>
      </x:c>
      <x:c r="I90" s="46" t="str">
        <x:v>存在后续回应、错峰回流或其他领域贡献。</x:v>
      </x:c>
      <x:c r="J90" s="46" t="str">
        <x:v>要求立即、同领域、等量回报。</x:v>
      </x:c>
      <x:c r="K90" s="46" t="str">
        <x:v>由共享基础引擎、M3与M5-BASE提供；只修正用户怎样给予、请求、接收和回馈，不直接判断双方现实交换质量。</x:v>
      </x:c>
      <x:c r="L90" s="46" t="str">
        <x:v>M2只说明进入关系所需资格证据；不能替代长期双向交换、负荷与修复验证。</x:v>
      </x:c>
      <x:c r="M90" s="46" t="str">
        <x:v>M3-BASE、EXPR、CARE和BOUND提供用户自然互动通道；M5-EXCHANGE负责把两人的实际行为合成为交换结构。</x:v>
      </x:c>
      <x:c r="N90" s="46" t="str">
        <x:v>无／按本规则指定的给予—请求—接收—反馈—重订路径路由。</x:v>
      </x:c>
      <x:c r="O90" s="46" t="str">
        <x:v>近位、远位只修正该交换需求进入亲密关系核心的可能；不得据此判断具体伴侣现实中一定配合。</x:v>
      </x:c>
      <x:c r="P90" s="46" t="str">
        <x:v>根气只修正用户交换需求和通道是否稳定重复，不等于双方已形成成熟互惠。</x:v>
      </x:c>
      <x:c r="Q90" s="46" t="str">
        <x:v>旺弱只修正通道调用强度、抢位或缺位风险，不直接等于交换公平或关系质量。</x:v>
      </x:c>
      <x:c r="R90" s="46" t="str">
        <x:v>喜忌只修正调用顺畅度与摩擦，不可直接翻译为理想伴侣五行、十神或必然互补。</x:v>
      </x:c>
      <x:c r="S90" s="46" t="str">
        <x:v>真合化成立时按化神功能重算用户交换需求；合化争议时停止细化交换通道。</x:v>
      </x:c>
      <x:c r="T90" s="46" t="str">
        <x:v>近位提高该交换议题进入关系核心的可能；远位只保留背景或阶段性观察。</x:v>
      </x:c>
      <x:c r="U90" s="46" t="str">
        <x:v>82</x:v>
      </x:c>
      <x:c r="V90" s="46" t="str">
        <x:v>+8 回馈证据</x:v>
      </x:c>
      <x:c r="W90" s="46" t="str">
        <x:v>reciprocity_style</x:v>
      </x:c>
      <x:c r="X90" s="46" t="str">
        <x:v>通过情绪可用性、耐心回应、现实支持和在对方需要时承接形成回馈。</x:v>
      </x:c>
      <x:c r="Y90" s="46" t="str">
        <x:v>回馈不必完全相同，可以通过：通过情绪可用性、耐心回应、现实支持和在对方需要时承接形成回馈。</x:v>
      </x:c>
      <x:c r="Z9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0" s="46" t="str">
        <x:v>中</x:v>
      </x:c>
      <x:c r="AB90" s="46" t="str">
        <x:v>待验证</x:v>
      </x:c>
      <x:c r="AC90" s="46" t="str"/>
      <x:c r="AD90" s="46" t="str">
        <x:v>exchange_channel=EC09; ten_god=正印; provisional=true; rule_group=EXCHANGE-EC通道</x:v>
      </x:c>
      <x:c r="AE90" s="46" t="str">
        <x:v>0.4</x:v>
      </x:c>
    </x:row>
    <x:row r="91" ht="50" customHeight="1">
      <x:c r="A91" s="46" t="str">
        <x:v>M5-EXCHANGE-090</x:v>
      </x:c>
      <x:c r="B91" s="46" t="str">
        <x:v>EC09 安全承接｜成熟双向表达</x:v>
      </x:c>
      <x:c r="C91" s="46" t="str">
        <x:v>L1 十类双向交换通道</x:v>
      </x:c>
      <x:c r="D91" s="46" t="str">
        <x:v>EXCHANGE-EC通道</x:v>
      </x:c>
      <x:c r="E91" s="46" t="str">
        <x:v>通用</x:v>
      </x:c>
      <x:c r="F91" s="46" t="str">
        <x:v>成熟</x:v>
      </x:c>
      <x:c r="G91" s="46" t="str">
        <x:v>EC09 安全承接</x:v>
      </x:c>
      <x:c r="H91" s="46" t="str">
        <x:v>正印</x:v>
      </x:c>
      <x:c r="I91" s="46" t="str">
        <x:v>XV4以上，且ED02、ED03、ED09至少两项可靠。</x:v>
      </x:c>
      <x:c r="J91" s="46" t="str">
        <x:v>只有一方能力或一次事件。</x:v>
      </x:c>
      <x:c r="K91" s="46" t="str">
        <x:v>由共享基础引擎、M3与M5-BASE提供；只修正用户怎样给予、请求、接收和回馈，不直接判断双方现实交换质量。</x:v>
      </x:c>
      <x:c r="L91" s="46" t="str">
        <x:v>M2只说明进入关系所需资格证据；不能替代长期双向交换、负荷与修复验证。</x:v>
      </x:c>
      <x:c r="M91" s="46" t="str">
        <x:v>M3-BASE、EXPR、CARE和BOUND提供用户自然互动通道；M5-EXCHANGE负责把两人的实际行为合成为交换结构。</x:v>
      </x:c>
      <x:c r="N91" s="46" t="str">
        <x:v>无／按本规则指定的给予—请求—接收—反馈—重订路径路由。</x:v>
      </x:c>
      <x:c r="O91" s="46" t="str">
        <x:v>近位、远位只修正该交换需求进入亲密关系核心的可能；不得据此判断具体伴侣现实中一定配合。</x:v>
      </x:c>
      <x:c r="P91" s="46" t="str">
        <x:v>根气只修正用户交换需求和通道是否稳定重复，不等于双方已形成成熟互惠。</x:v>
      </x:c>
      <x:c r="Q91" s="46" t="str">
        <x:v>旺弱只修正通道调用强度、抢位或缺位风险，不直接等于交换公平或关系质量。</x:v>
      </x:c>
      <x:c r="R91" s="46" t="str">
        <x:v>喜忌只修正调用顺畅度与摩擦，不可直接翻译为理想伴侣五行、十神或必然互补。</x:v>
      </x:c>
      <x:c r="S91" s="46" t="str">
        <x:v>真合化成立时按化神功能重算用户交换需求；合化争议时停止细化交换通道。</x:v>
      </x:c>
      <x:c r="T91" s="46" t="str">
        <x:v>近位提高该交换议题进入关系核心的可能；远位只保留背景或阶段性观察。</x:v>
      </x:c>
      <x:c r="U91" s="46" t="str">
        <x:v>90</x:v>
      </x:c>
      <x:c r="V91" s="46" t="str">
        <x:v>成熟 +14</x:v>
      </x:c>
      <x:c r="W91" s="46" t="str">
        <x:v>mature_exchange_profile</x:v>
      </x:c>
      <x:c r="X91" s="46" t="str">
        <x:v>理解不替代边界和行动；承接之后能帮助双方形成决定和现实调整。</x:v>
      </x:c>
      <x:c r="Y91" s="46" t="str">
        <x:v>成熟交换通常表现为：理解不替代边界和行动；承接之后能帮助双方形成决定和现实调整。</x:v>
      </x:c>
      <x:c r="Z9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1" s="46" t="str">
        <x:v>中高</x:v>
      </x:c>
      <x:c r="AB91" s="46" t="str">
        <x:v>待验证</x:v>
      </x:c>
      <x:c r="AC91" s="46" t="str"/>
      <x:c r="AD91" s="46" t="str">
        <x:v>exchange_channel=EC09; ten_god=正印; provisional=true; rule_group=EXCHANGE-EC通道</x:v>
      </x:c>
      <x:c r="AE91" s="46" t="str">
        <x:v>0.4</x:v>
      </x:c>
    </x:row>
    <x:row r="92" ht="50" customHeight="1">
      <x:c r="A92" s="46" t="str">
        <x:v>M5-EXCHANGE-091</x:v>
      </x:c>
      <x:c r="B92" s="46" t="str">
        <x:v>EC09 安全承接｜失衡与替代候选</x:v>
      </x:c>
      <x:c r="C92" s="46" t="str">
        <x:v>L1 十类双向交换通道</x:v>
      </x:c>
      <x:c r="D92" s="46" t="str">
        <x:v>EXCHANGE-EC通道</x:v>
      </x:c>
      <x:c r="E92" s="46" t="str">
        <x:v>通用</x:v>
      </x:c>
      <x:c r="F92" s="46" t="str">
        <x:v>风险</x:v>
      </x:c>
      <x:c r="G92" s="46" t="str">
        <x:v>EC09 安全承接</x:v>
      </x:c>
      <x:c r="H92" s="46" t="str">
        <x:v>正印</x:v>
      </x:c>
      <x:c r="I92" s="46" t="str">
        <x:v>现实资料显示抢位、替代、负荷或反馈断点。</x:v>
      </x:c>
      <x:c r="J92" s="46" t="str">
        <x:v>只有通道强度，没有第二类失衡证据。</x:v>
      </x:c>
      <x:c r="K92" s="46" t="str">
        <x:v>由共享基础引擎、M3与M5-BASE提供；只修正用户怎样给予、请求、接收和回馈，不直接判断双方现实交换质量。</x:v>
      </x:c>
      <x:c r="L92" s="46" t="str">
        <x:v>M2只说明进入关系所需资格证据；不能替代长期双向交换、负荷与修复验证。</x:v>
      </x:c>
      <x:c r="M92" s="46" t="str">
        <x:v>M3-BASE、EXPR、CARE和BOUND提供用户自然互动通道；M5-EXCHANGE负责把两人的实际行为合成为交换结构。</x:v>
      </x:c>
      <x:c r="N92" s="46" t="str">
        <x:v>无／按本规则指定的给予—请求—接收—反馈—重订路径路由。</x:v>
      </x:c>
      <x:c r="O92" s="46" t="str">
        <x:v>近位、远位只修正该交换需求进入亲密关系核心的可能；不得据此判断具体伴侣现实中一定配合。</x:v>
      </x:c>
      <x:c r="P92" s="46" t="str">
        <x:v>根气只修正用户交换需求和通道是否稳定重复，不等于双方已形成成熟互惠。</x:v>
      </x:c>
      <x:c r="Q92" s="46" t="str">
        <x:v>旺弱只修正通道调用强度、抢位或缺位风险，不直接等于交换公平或关系质量。</x:v>
      </x:c>
      <x:c r="R92" s="46" t="str">
        <x:v>喜忌只修正调用顺畅度与摩擦，不可直接翻译为理想伴侣五行、十神或必然互补。</x:v>
      </x:c>
      <x:c r="S92" s="46" t="str">
        <x:v>真合化成立时按化神功能重算用户交换需求；合化争议时停止细化交换通道。</x:v>
      </x:c>
      <x:c r="T92" s="46" t="str">
        <x:v>近位提高该交换议题进入关系核心的可能；远位只保留背景或阶段性观察。</x:v>
      </x:c>
      <x:c r="U92" s="46" t="str">
        <x:v>88</x:v>
      </x:c>
      <x:c r="V92" s="46" t="str">
        <x:v>风险 +12</x:v>
      </x:c>
      <x:c r="W92" s="46" t="str">
        <x:v>exchange_risk_warning</x:v>
      </x:c>
      <x:c r="X92" s="46" t="str">
        <x:v>过度包容、长期合理化，或用理解代替责任、边界和行为改变。</x:v>
      </x:c>
      <x:c r="Y92" s="46" t="str">
        <x:v>需要留意：过度包容、长期合理化，或用理解代替责任、边界和行为改变。</x:v>
      </x:c>
      <x:c r="Z9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2" s="46" t="str">
        <x:v>中高</x:v>
      </x:c>
      <x:c r="AB92" s="46" t="str">
        <x:v>待验证</x:v>
      </x:c>
      <x:c r="AC92" s="46" t="str"/>
      <x:c r="AD92" s="46" t="str">
        <x:v>exchange_channel=EC09; ten_god=正印; provisional=true; rule_group=EXCHANGE-EC通道</x:v>
      </x:c>
      <x:c r="AE92" s="46" t="str">
        <x:v>0.4</x:v>
      </x:c>
    </x:row>
    <x:row r="93" ht="50" customHeight="1">
      <x:c r="A93" s="46" t="str">
        <x:v>M5-EXCHANGE-092</x:v>
      </x:c>
      <x:c r="B93" s="46" t="str">
        <x:v>EC09 安全承接｜关键观察与用户输出</x:v>
      </x:c>
      <x:c r="C93" s="46" t="str">
        <x:v>L1 十类双向交换通道</x:v>
      </x:c>
      <x:c r="D93" s="46" t="str">
        <x:v>EXCHANGE-EC通道</x:v>
      </x:c>
      <x:c r="E93" s="46" t="str">
        <x:v>通用</x:v>
      </x:c>
      <x:c r="F93" s="46" t="str">
        <x:v>输出</x:v>
      </x:c>
      <x:c r="G93" s="46" t="str">
        <x:v>EC09 安全承接</x:v>
      </x:c>
      <x:c r="H93" s="46" t="str">
        <x:v>正印</x:v>
      </x:c>
      <x:c r="I93" s="46" t="str">
        <x:v>已形成主或次EC候选。</x:v>
      </x:c>
      <x:c r="J93" s="46" t="str">
        <x:v>XR08停止或资料严重不足。</x:v>
      </x:c>
      <x:c r="K93" s="46" t="str">
        <x:v>由共享基础引擎、M3与M5-BASE提供；只修正用户怎样给予、请求、接收和回馈，不直接判断双方现实交换质量。</x:v>
      </x:c>
      <x:c r="L93" s="46" t="str">
        <x:v>M2只说明进入关系所需资格证据；不能替代长期双向交换、负荷与修复验证。</x:v>
      </x:c>
      <x:c r="M93" s="46" t="str">
        <x:v>M3-BASE、EXPR、CARE和BOUND提供用户自然互动通道；M5-EXCHANGE负责把两人的实际行为合成为交换结构。</x:v>
      </x:c>
      <x:c r="N93" s="46" t="str">
        <x:v>无／按本规则指定的给予—请求—接收—反馈—重订路径路由。</x:v>
      </x:c>
      <x:c r="O93" s="46" t="str">
        <x:v>近位、远位只修正该交换需求进入亲密关系核心的可能；不得据此判断具体伴侣现实中一定配合。</x:v>
      </x:c>
      <x:c r="P93" s="46" t="str">
        <x:v>根气只修正用户交换需求和通道是否稳定重复，不等于双方已形成成熟互惠。</x:v>
      </x:c>
      <x:c r="Q93" s="46" t="str">
        <x:v>旺弱只修正通道调用强度、抢位或缺位风险，不直接等于交换公平或关系质量。</x:v>
      </x:c>
      <x:c r="R93" s="46" t="str">
        <x:v>喜忌只修正调用顺畅度与摩擦，不可直接翻译为理想伴侣五行、十神或必然互补。</x:v>
      </x:c>
      <x:c r="S93" s="46" t="str">
        <x:v>真合化成立时按化神功能重算用户交换需求；合化争议时停止细化交换通道。</x:v>
      </x:c>
      <x:c r="T93" s="46" t="str">
        <x:v>近位提高该交换议题进入关系核心的可能；远位只保留背景或阶段性观察。</x:v>
      </x:c>
      <x:c r="U93" s="46" t="str">
        <x:v>76</x:v>
      </x:c>
      <x:c r="V93" s="46" t="str">
        <x:v>不加分；输出</x:v>
      </x:c>
      <x:c r="W93" s="46" t="str">
        <x:v>observation_plan</x:v>
      </x:c>
      <x:c r="X93" s="46" t="str">
        <x:v>被理解之后，现实安排、责任和边界是否跟着变化。</x:v>
      </x:c>
      <x:c r="Y93" s="46" t="str">
        <x:v>被理解之后，现实安排、责任和边界是否跟着变化。</x:v>
      </x:c>
      <x:c r="Z9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3" s="46" t="str">
        <x:v>中高</x:v>
      </x:c>
      <x:c r="AB93" s="46" t="str">
        <x:v>待验证</x:v>
      </x:c>
      <x:c r="AC93" s="46" t="str"/>
      <x:c r="AD93" s="46" t="str">
        <x:v>exchange_channel=EC09; ten_god=正印; provisional=true; rule_group=EXCHANGE-EC通道</x:v>
      </x:c>
      <x:c r="AE93" s="46" t="str">
        <x:v>0.4</x:v>
      </x:c>
    </x:row>
    <x:row r="94" ht="50" customHeight="1">
      <x:c r="A94" s="46" t="str">
        <x:v>M5-EXCHANGE-093</x:v>
      </x:c>
      <x:c r="B94" s="46" t="str">
        <x:v>EC10 深度空间支持｜通道定义</x:v>
      </x:c>
      <x:c r="C94" s="46" t="str">
        <x:v>L1 十类双向交换通道</x:v>
      </x:c>
      <x:c r="D94" s="46" t="str">
        <x:v>EXCHANGE-EC通道</x:v>
      </x:c>
      <x:c r="E94" s="46" t="str">
        <x:v>通用</x:v>
      </x:c>
      <x:c r="F94" s="46" t="str">
        <x:v>基础</x:v>
      </x:c>
      <x:c r="G94" s="46" t="str">
        <x:v>EC10 深度空间支持</x:v>
      </x:c>
      <x:c r="H94" s="46" t="str">
        <x:v>偏印</x:v>
      </x:c>
      <x:c r="I94" s="46" t="str">
        <x:v>M5-BASE或PARTNER将该FN路由为主／次交换功能。</x:v>
      </x:c>
      <x:c r="J94" s="46" t="str">
        <x:v>安全门控未通过或该通道只属PR3且与主风险冲突。</x:v>
      </x:c>
      <x:c r="K94" s="46" t="str">
        <x:v>由共享基础引擎、M3与M5-BASE提供；只修正用户怎样给予、请求、接收和回馈，不直接判断双方现实交换质量。</x:v>
      </x:c>
      <x:c r="L94" s="46" t="str">
        <x:v>M2只说明进入关系所需资格证据；不能替代长期双向交换、负荷与修复验证。</x:v>
      </x:c>
      <x:c r="M94" s="46" t="str">
        <x:v>M3-BASE、EXPR、CARE和BOUND提供用户自然互动通道；M5-EXCHANGE负责把两人的实际行为合成为交换结构。</x:v>
      </x:c>
      <x:c r="N94" s="46" t="str">
        <x:v>无／按本规则指定的给予—请求—接收—反馈—重订路径路由。</x:v>
      </x:c>
      <x:c r="O94" s="46" t="str">
        <x:v>近位、远位只修正该交换需求进入亲密关系核心的可能；不得据此判断具体伴侣现实中一定配合。</x:v>
      </x:c>
      <x:c r="P94" s="46" t="str">
        <x:v>根气只修正用户交换需求和通道是否稳定重复，不等于双方已形成成熟互惠。</x:v>
      </x:c>
      <x:c r="Q94" s="46" t="str">
        <x:v>旺弱只修正通道调用强度、抢位或缺位风险，不直接等于交换公平或关系质量。</x:v>
      </x:c>
      <x:c r="R94" s="46" t="str">
        <x:v>喜忌只修正调用顺畅度与摩擦，不可直接翻译为理想伴侣五行、十神或必然互补。</x:v>
      </x:c>
      <x:c r="S94" s="46" t="str">
        <x:v>真合化成立时按化神功能重算用户交换需求；合化争议时停止细化交换通道。</x:v>
      </x:c>
      <x:c r="T94" s="46" t="str">
        <x:v>近位提高该交换议题进入关系核心的可能；远位只保留背景或阶段性观察。</x:v>
      </x:c>
      <x:c r="U94" s="46" t="str">
        <x:v>94</x:v>
      </x:c>
      <x:c r="V94" s="46" t="str">
        <x:v>主通道候选 +18</x:v>
      </x:c>
      <x:c r="W94" s="46" t="str">
        <x:v>primary_exchange_channel</x:v>
      </x:c>
      <x:c r="X94" s="46" t="str">
        <x:v>EC10 深度空间支持将偏印功能转译为双人交换通道。</x:v>
      </x:c>
      <x:c r="Y94" s="46" t="str">
        <x:v>空间可以保护关系，但必须有最低连接和清楚的回来方式。</x:v>
      </x:c>
      <x:c r="Z9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4" s="46" t="str">
        <x:v>中高</x:v>
      </x:c>
      <x:c r="AB94" s="46" t="str">
        <x:v>待验证</x:v>
      </x:c>
      <x:c r="AC94" s="46" t="str"/>
      <x:c r="AD94" s="46" t="str">
        <x:v>exchange_channel=EC10; ten_god=偏印; provisional=true; rule_group=EXCHANGE-EC通道</x:v>
      </x:c>
      <x:c r="AE94" s="46" t="str">
        <x:v>0.4</x:v>
      </x:c>
    </x:row>
    <x:row r="95" ht="50" customHeight="1">
      <x:c r="A95" s="46" t="str">
        <x:v>M5-EXCHANGE-094</x:v>
      </x:c>
      <x:c r="B95" s="46" t="str">
        <x:v>EC10 深度空间支持｜给予方式</x:v>
      </x:c>
      <x:c r="C95" s="46" t="str">
        <x:v>L1 十类双向交换通道</x:v>
      </x:c>
      <x:c r="D95" s="46" t="str">
        <x:v>EXCHANGE-EC通道</x:v>
      </x:c>
      <x:c r="E95" s="46" t="str">
        <x:v>通用</x:v>
      </x:c>
      <x:c r="F95" s="46" t="str">
        <x:v>给予</x:v>
      </x:c>
      <x:c r="G95" s="46" t="str">
        <x:v>EC10 深度空间支持</x:v>
      </x:c>
      <x:c r="H95" s="46" t="str">
        <x:v>偏印</x:v>
      </x:c>
      <x:c r="I95" s="46" t="str">
        <x:v>存在一方主动提供该类支持的现实资料。</x:v>
      </x:c>
      <x:c r="J95" s="46" t="str">
        <x:v>只有自述、身份或一次高光。</x:v>
      </x:c>
      <x:c r="K95" s="46" t="str">
        <x:v>由共享基础引擎、M3与M5-BASE提供；只修正用户怎样给予、请求、接收和回馈，不直接判断双方现实交换质量。</x:v>
      </x:c>
      <x:c r="L95" s="46" t="str">
        <x:v>M2只说明进入关系所需资格证据；不能替代长期双向交换、负荷与修复验证。</x:v>
      </x:c>
      <x:c r="M95" s="46" t="str">
        <x:v>M3-BASE、EXPR、CARE和BOUND提供用户自然互动通道；M5-EXCHANGE负责把两人的实际行为合成为交换结构。</x:v>
      </x:c>
      <x:c r="N95" s="46" t="str">
        <x:v>无／按本规则指定的给予—请求—接收—反馈—重订路径路由。</x:v>
      </x:c>
      <x:c r="O95" s="46" t="str">
        <x:v>近位、远位只修正该交换需求进入亲密关系核心的可能；不得据此判断具体伴侣现实中一定配合。</x:v>
      </x:c>
      <x:c r="P95" s="46" t="str">
        <x:v>根气只修正用户交换需求和通道是否稳定重复，不等于双方已形成成熟互惠。</x:v>
      </x:c>
      <x:c r="Q95" s="46" t="str">
        <x:v>旺弱只修正通道调用强度、抢位或缺位风险，不直接等于交换公平或关系质量。</x:v>
      </x:c>
      <x:c r="R95" s="46" t="str">
        <x:v>喜忌只修正调用顺畅度与摩擦，不可直接翻译为理想伴侣五行、十神或必然互补。</x:v>
      </x:c>
      <x:c r="S95" s="46" t="str">
        <x:v>真合化成立时按化神功能重算用户交换需求；合化争议时停止细化交换通道。</x:v>
      </x:c>
      <x:c r="T95" s="46" t="str">
        <x:v>近位提高该交换议题进入关系核心的可能；远位只保留背景或阶段性观察。</x:v>
      </x:c>
      <x:c r="U95" s="46" t="str">
        <x:v>84</x:v>
      </x:c>
      <x:c r="V95" s="46" t="str">
        <x:v>+8 给予证据</x:v>
      </x:c>
      <x:c r="W95" s="46" t="str">
        <x:v>giving_style</x:v>
      </x:c>
      <x:c r="X95" s="46" t="str">
        <x:v>通过洞察、专业方法、选择性交流和尊重私人空间提供支持。</x:v>
      </x:c>
      <x:c r="Y95" s="46" t="str">
        <x:v>给予方面，较成熟的表现是：通过洞察、专业方法、选择性交流和尊重私人空间提供支持。</x:v>
      </x:c>
      <x:c r="Z9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5" s="46" t="str">
        <x:v>中</x:v>
      </x:c>
      <x:c r="AB95" s="46" t="str">
        <x:v>待验证</x:v>
      </x:c>
      <x:c r="AC95" s="46" t="str"/>
      <x:c r="AD95" s="46" t="str">
        <x:v>exchange_channel=EC10; ten_god=偏印; provisional=true; rule_group=EXCHANGE-EC通道</x:v>
      </x:c>
      <x:c r="AE95" s="46" t="str">
        <x:v>0.4</x:v>
      </x:c>
    </x:row>
    <x:row r="96" ht="50" customHeight="1">
      <x:c r="A96" s="46" t="str">
        <x:v>M5-EXCHANGE-095</x:v>
      </x:c>
      <x:c r="B96" s="46" t="str">
        <x:v>EC10 深度空间支持｜请求方式</x:v>
      </x:c>
      <x:c r="C96" s="46" t="str">
        <x:v>L1 十类双向交换通道</x:v>
      </x:c>
      <x:c r="D96" s="46" t="str">
        <x:v>EXCHANGE-EC通道</x:v>
      </x:c>
      <x:c r="E96" s="46" t="str">
        <x:v>通用</x:v>
      </x:c>
      <x:c r="F96" s="46" t="str">
        <x:v>请求</x:v>
      </x:c>
      <x:c r="G96" s="46" t="str">
        <x:v>EC10 深度空间支持</x:v>
      </x:c>
      <x:c r="H96" s="46" t="str">
        <x:v>偏印</x:v>
      </x:c>
      <x:c r="I96" s="46" t="str">
        <x:v>存在提出需要、协商支持或分工的资料。</x:v>
      </x:c>
      <x:c r="J96" s="46" t="str">
        <x:v>只通过暗示、测试或事后抱怨推断。</x:v>
      </x:c>
      <x:c r="K96" s="46" t="str">
        <x:v>由共享基础引擎、M3与M5-BASE提供；只修正用户怎样给予、请求、接收和回馈，不直接判断双方现实交换质量。</x:v>
      </x:c>
      <x:c r="L96" s="46" t="str">
        <x:v>M2只说明进入关系所需资格证据；不能替代长期双向交换、负荷与修复验证。</x:v>
      </x:c>
      <x:c r="M96" s="46" t="str">
        <x:v>M3-BASE、EXPR、CARE和BOUND提供用户自然互动通道；M5-EXCHANGE负责把两人的实际行为合成为交换结构。</x:v>
      </x:c>
      <x:c r="N96" s="46" t="str">
        <x:v>无／按本规则指定的给予—请求—接收—反馈—重订路径路由。</x:v>
      </x:c>
      <x:c r="O96" s="46" t="str">
        <x:v>近位、远位只修正该交换需求进入亲密关系核心的可能；不得据此判断具体伴侣现实中一定配合。</x:v>
      </x:c>
      <x:c r="P96" s="46" t="str">
        <x:v>根气只修正用户交换需求和通道是否稳定重复，不等于双方已形成成熟互惠。</x:v>
      </x:c>
      <x:c r="Q96" s="46" t="str">
        <x:v>旺弱只修正通道调用强度、抢位或缺位风险，不直接等于交换公平或关系质量。</x:v>
      </x:c>
      <x:c r="R96" s="46" t="str">
        <x:v>喜忌只修正调用顺畅度与摩擦，不可直接翻译为理想伴侣五行、十神或必然互补。</x:v>
      </x:c>
      <x:c r="S96" s="46" t="str">
        <x:v>真合化成立时按化神功能重算用户交换需求；合化争议时停止细化交换通道。</x:v>
      </x:c>
      <x:c r="T96" s="46" t="str">
        <x:v>近位提高该交换议题进入关系核心的可能；远位只保留背景或阶段性观察。</x:v>
      </x:c>
      <x:c r="U96" s="46" t="str">
        <x:v>84</x:v>
      </x:c>
      <x:c r="V96" s="46" t="str">
        <x:v>+8 请求证据</x:v>
      </x:c>
      <x:c r="W96" s="46" t="str">
        <x:v>request_style</x:v>
      </x:c>
      <x:c r="X96" s="46" t="str">
        <x:v>需要空间时说明目的、范围、最低连接和回归时间。</x:v>
      </x:c>
      <x:c r="Y96" s="46" t="str">
        <x:v>提出需要时，适合采用：需要空间时说明目的、范围、最低连接和回归时间。</x:v>
      </x:c>
      <x:c r="Z9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6" s="46" t="str">
        <x:v>中</x:v>
      </x:c>
      <x:c r="AB96" s="46" t="str">
        <x:v>待验证</x:v>
      </x:c>
      <x:c r="AC96" s="46" t="str"/>
      <x:c r="AD96" s="46" t="str">
        <x:v>exchange_channel=EC10; ten_god=偏印; provisional=true; rule_group=EXCHANGE-EC通道</x:v>
      </x:c>
      <x:c r="AE96" s="46" t="str">
        <x:v>0.4</x:v>
      </x:c>
    </x:row>
    <x:row r="97" ht="50" customHeight="1">
      <x:c r="A97" s="46" t="str">
        <x:v>M5-EXCHANGE-096</x:v>
      </x:c>
      <x:c r="B97" s="46" t="str">
        <x:v>EC10 深度空间支持｜接收方式</x:v>
      </x:c>
      <x:c r="C97" s="46" t="str">
        <x:v>L1 十类双向交换通道</x:v>
      </x:c>
      <x:c r="D97" s="46" t="str">
        <x:v>EXCHANGE-EC通道</x:v>
      </x:c>
      <x:c r="E97" s="46" t="str">
        <x:v>通用</x:v>
      </x:c>
      <x:c r="F97" s="46" t="str">
        <x:v>接收</x:v>
      </x:c>
      <x:c r="G97" s="46" t="str">
        <x:v>EC10 深度空间支持</x:v>
      </x:c>
      <x:c r="H97" s="46" t="str">
        <x:v>偏印</x:v>
      </x:c>
      <x:c r="I97" s="46" t="str">
        <x:v>存在接受帮助、回应或资源的资料。</x:v>
      </x:c>
      <x:c r="J97" s="46" t="str">
        <x:v>把接受支持自动解释为依赖或债务。</x:v>
      </x:c>
      <x:c r="K97" s="46" t="str">
        <x:v>由共享基础引擎、M3与M5-BASE提供；只修正用户怎样给予、请求、接收和回馈，不直接判断双方现实交换质量。</x:v>
      </x:c>
      <x:c r="L97" s="46" t="str">
        <x:v>M2只说明进入关系所需资格证据；不能替代长期双向交换、负荷与修复验证。</x:v>
      </x:c>
      <x:c r="M97" s="46" t="str">
        <x:v>M3-BASE、EXPR、CARE和BOUND提供用户自然互动通道；M5-EXCHANGE负责把两人的实际行为合成为交换结构。</x:v>
      </x:c>
      <x:c r="N97" s="46" t="str">
        <x:v>无／按本规则指定的给予—请求—接收—反馈—重订路径路由。</x:v>
      </x:c>
      <x:c r="O97" s="46" t="str">
        <x:v>近位、远位只修正该交换需求进入亲密关系核心的可能；不得据此判断具体伴侣现实中一定配合。</x:v>
      </x:c>
      <x:c r="P97" s="46" t="str">
        <x:v>根气只修正用户交换需求和通道是否稳定重复，不等于双方已形成成熟互惠。</x:v>
      </x:c>
      <x:c r="Q97" s="46" t="str">
        <x:v>旺弱只修正通道调用强度、抢位或缺位风险，不直接等于交换公平或关系质量。</x:v>
      </x:c>
      <x:c r="R97" s="46" t="str">
        <x:v>喜忌只修正调用顺畅度与摩擦，不可直接翻译为理想伴侣五行、十神或必然互补。</x:v>
      </x:c>
      <x:c r="S97" s="46" t="str">
        <x:v>真合化成立时按化神功能重算用户交换需求；合化争议时停止细化交换通道。</x:v>
      </x:c>
      <x:c r="T97" s="46" t="str">
        <x:v>近位提高该交换议题进入关系核心的可能；远位只保留背景或阶段性观察。</x:v>
      </x:c>
      <x:c r="U97" s="46" t="str">
        <x:v>84</x:v>
      </x:c>
      <x:c r="V97" s="46" t="str">
        <x:v>+8 接收证据</x:v>
      </x:c>
      <x:c r="W97" s="46" t="str">
        <x:v>receiving_style</x:v>
      </x:c>
      <x:c r="X97" s="46" t="str">
        <x:v>能够接受低频、深度或非即时的支持，同时确认重要信息不会长期缺失。</x:v>
      </x:c>
      <x:c r="Y97" s="46" t="str">
        <x:v>接收支持时，重点是：能够接受低频、深度或非即时的支持，同时确认重要信息不会长期缺失。</x:v>
      </x:c>
      <x:c r="Z9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7" s="46" t="str">
        <x:v>中</x:v>
      </x:c>
      <x:c r="AB97" s="46" t="str">
        <x:v>待验证</x:v>
      </x:c>
      <x:c r="AC97" s="46" t="str"/>
      <x:c r="AD97" s="46" t="str">
        <x:v>exchange_channel=EC10; ten_god=偏印; provisional=true; rule_group=EXCHANGE-EC通道</x:v>
      </x:c>
      <x:c r="AE97" s="46" t="str">
        <x:v>0.4</x:v>
      </x:c>
    </x:row>
    <x:row r="98" ht="50" customHeight="1">
      <x:c r="A98" s="46" t="str">
        <x:v>M5-EXCHANGE-097</x:v>
      </x:c>
      <x:c r="B98" s="46" t="str">
        <x:v>EC10 深度空间支持｜回馈方式</x:v>
      </x:c>
      <x:c r="C98" s="46" t="str">
        <x:v>L1 十类双向交换通道</x:v>
      </x:c>
      <x:c r="D98" s="46" t="str">
        <x:v>EXCHANGE-EC通道</x:v>
      </x:c>
      <x:c r="E98" s="46" t="str">
        <x:v>通用</x:v>
      </x:c>
      <x:c r="F98" s="46" t="str">
        <x:v>回馈</x:v>
      </x:c>
      <x:c r="G98" s="46" t="str">
        <x:v>EC10 深度空间支持</x:v>
      </x:c>
      <x:c r="H98" s="46" t="str">
        <x:v>偏印</x:v>
      </x:c>
      <x:c r="I98" s="46" t="str">
        <x:v>存在后续回应、错峰回流或其他领域贡献。</x:v>
      </x:c>
      <x:c r="J98" s="46" t="str">
        <x:v>要求立即、同领域、等量回报。</x:v>
      </x:c>
      <x:c r="K98" s="46" t="str">
        <x:v>由共享基础引擎、M3与M5-BASE提供；只修正用户怎样给予、请求、接收和回馈，不直接判断双方现实交换质量。</x:v>
      </x:c>
      <x:c r="L98" s="46" t="str">
        <x:v>M2只说明进入关系所需资格证据；不能替代长期双向交换、负荷与修复验证。</x:v>
      </x:c>
      <x:c r="M98" s="46" t="str">
        <x:v>M3-BASE、EXPR、CARE和BOUND提供用户自然互动通道；M5-EXCHANGE负责把两人的实际行为合成为交换结构。</x:v>
      </x:c>
      <x:c r="N98" s="46" t="str">
        <x:v>无／按本规则指定的给予—请求—接收—反馈—重订路径路由。</x:v>
      </x:c>
      <x:c r="O98" s="46" t="str">
        <x:v>近位、远位只修正该交换需求进入亲密关系核心的可能；不得据此判断具体伴侣现实中一定配合。</x:v>
      </x:c>
      <x:c r="P98" s="46" t="str">
        <x:v>根气只修正用户交换需求和通道是否稳定重复，不等于双方已形成成熟互惠。</x:v>
      </x:c>
      <x:c r="Q98" s="46" t="str">
        <x:v>旺弱只修正通道调用强度、抢位或缺位风险，不直接等于交换公平或关系质量。</x:v>
      </x:c>
      <x:c r="R98" s="46" t="str">
        <x:v>喜忌只修正调用顺畅度与摩擦，不可直接翻译为理想伴侣五行、十神或必然互补。</x:v>
      </x:c>
      <x:c r="S98" s="46" t="str">
        <x:v>真合化成立时按化神功能重算用户交换需求；合化争议时停止细化交换通道。</x:v>
      </x:c>
      <x:c r="T98" s="46" t="str">
        <x:v>近位提高该交换议题进入关系核心的可能；远位只保留背景或阶段性观察。</x:v>
      </x:c>
      <x:c r="U98" s="46" t="str">
        <x:v>82</x:v>
      </x:c>
      <x:c r="V98" s="46" t="str">
        <x:v>+8 回馈证据</x:v>
      </x:c>
      <x:c r="W98" s="46" t="str">
        <x:v>reciprocity_style</x:v>
      </x:c>
      <x:c r="X98" s="46" t="str">
        <x:v>整理后主动回来、回应重点、分享洞察并恢复关系连接。</x:v>
      </x:c>
      <x:c r="Y98" s="46" t="str">
        <x:v>回馈不必完全相同，可以通过：整理后主动回来、回应重点、分享洞察并恢复关系连接。</x:v>
      </x:c>
      <x:c r="Z9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8" s="46" t="str">
        <x:v>中</x:v>
      </x:c>
      <x:c r="AB98" s="46" t="str">
        <x:v>待验证</x:v>
      </x:c>
      <x:c r="AC98" s="46" t="str"/>
      <x:c r="AD98" s="46" t="str">
        <x:v>exchange_channel=EC10; ten_god=偏印; provisional=true; rule_group=EXCHANGE-EC通道</x:v>
      </x:c>
      <x:c r="AE98" s="46" t="str">
        <x:v>0.4</x:v>
      </x:c>
    </x:row>
    <x:row r="99" ht="50" customHeight="1">
      <x:c r="A99" s="46" t="str">
        <x:v>M5-EXCHANGE-098</x:v>
      </x:c>
      <x:c r="B99" s="46" t="str">
        <x:v>EC10 深度空间支持｜成熟双向表达</x:v>
      </x:c>
      <x:c r="C99" s="46" t="str">
        <x:v>L1 十类双向交换通道</x:v>
      </x:c>
      <x:c r="D99" s="46" t="str">
        <x:v>EXCHANGE-EC通道</x:v>
      </x:c>
      <x:c r="E99" s="46" t="str">
        <x:v>通用</x:v>
      </x:c>
      <x:c r="F99" s="46" t="str">
        <x:v>成熟</x:v>
      </x:c>
      <x:c r="G99" s="46" t="str">
        <x:v>EC10 深度空间支持</x:v>
      </x:c>
      <x:c r="H99" s="46" t="str">
        <x:v>偏印</x:v>
      </x:c>
      <x:c r="I99" s="46" t="str">
        <x:v>XV4以上，且ED02、ED03、ED09至少两项可靠。</x:v>
      </x:c>
      <x:c r="J99" s="46" t="str">
        <x:v>只有一方能力或一次事件。</x:v>
      </x:c>
      <x:c r="K99" s="46" t="str">
        <x:v>由共享基础引擎、M3与M5-BASE提供；只修正用户怎样给予、请求、接收和回馈，不直接判断双方现实交换质量。</x:v>
      </x:c>
      <x:c r="L99" s="46" t="str">
        <x:v>M2只说明进入关系所需资格证据；不能替代长期双向交换、负荷与修复验证。</x:v>
      </x:c>
      <x:c r="M99" s="46" t="str">
        <x:v>M3-BASE、EXPR、CARE和BOUND提供用户自然互动通道；M5-EXCHANGE负责把两人的实际行为合成为交换结构。</x:v>
      </x:c>
      <x:c r="N99" s="46" t="str">
        <x:v>无／按本规则指定的给予—请求—接收—反馈—重订路径路由。</x:v>
      </x:c>
      <x:c r="O99" s="46" t="str">
        <x:v>近位、远位只修正该交换需求进入亲密关系核心的可能；不得据此判断具体伴侣现实中一定配合。</x:v>
      </x:c>
      <x:c r="P99" s="46" t="str">
        <x:v>根气只修正用户交换需求和通道是否稳定重复，不等于双方已形成成熟互惠。</x:v>
      </x:c>
      <x:c r="Q99" s="46" t="str">
        <x:v>旺弱只修正通道调用强度、抢位或缺位风险，不直接等于交换公平或关系质量。</x:v>
      </x:c>
      <x:c r="R99" s="46" t="str">
        <x:v>喜忌只修正调用顺畅度与摩擦，不可直接翻译为理想伴侣五行、十神或必然互补。</x:v>
      </x:c>
      <x:c r="S99" s="46" t="str">
        <x:v>真合化成立时按化神功能重算用户交换需求；合化争议时停止细化交换通道。</x:v>
      </x:c>
      <x:c r="T99" s="46" t="str">
        <x:v>近位提高该交换议题进入关系核心的可能；远位只保留背景或阶段性观察。</x:v>
      </x:c>
      <x:c r="U99" s="46" t="str">
        <x:v>90</x:v>
      </x:c>
      <x:c r="V99" s="46" t="str">
        <x:v>成熟 +14</x:v>
      </x:c>
      <x:c r="W99" s="46" t="str">
        <x:v>mature_exchange_profile</x:v>
      </x:c>
      <x:c r="X99" s="46" t="str">
        <x:v>允许双方独立消化，也维持最低连接、明确回归和重要议题回应。</x:v>
      </x:c>
      <x:c r="Y99" s="46" t="str">
        <x:v>成熟交换通常表现为：允许双方独立消化，也维持最低连接、明确回归和重要议题回应。</x:v>
      </x:c>
      <x:c r="Z9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9" s="46" t="str">
        <x:v>中高</x:v>
      </x:c>
      <x:c r="AB99" s="46" t="str">
        <x:v>待验证</x:v>
      </x:c>
      <x:c r="AC99" s="46" t="str"/>
      <x:c r="AD99" s="46" t="str">
        <x:v>exchange_channel=EC10; ten_god=偏印; provisional=true; rule_group=EXCHANGE-EC通道</x:v>
      </x:c>
      <x:c r="AE99" s="46" t="str">
        <x:v>0.4</x:v>
      </x:c>
    </x:row>
    <x:row r="100" ht="50" customHeight="1">
      <x:c r="A100" s="46" t="str">
        <x:v>M5-EXCHANGE-099</x:v>
      </x:c>
      <x:c r="B100" s="46" t="str">
        <x:v>EC10 深度空间支持｜失衡与替代候选</x:v>
      </x:c>
      <x:c r="C100" s="46" t="str">
        <x:v>L1 十类双向交换通道</x:v>
      </x:c>
      <x:c r="D100" s="46" t="str">
        <x:v>EXCHANGE-EC通道</x:v>
      </x:c>
      <x:c r="E100" s="46" t="str">
        <x:v>通用</x:v>
      </x:c>
      <x:c r="F100" s="46" t="str">
        <x:v>风险</x:v>
      </x:c>
      <x:c r="G100" s="46" t="str">
        <x:v>EC10 深度空间支持</x:v>
      </x:c>
      <x:c r="H100" s="46" t="str">
        <x:v>偏印</x:v>
      </x:c>
      <x:c r="I100" s="46" t="str">
        <x:v>现实资料显示抢位、替代、负荷或反馈断点。</x:v>
      </x:c>
      <x:c r="J100" s="46" t="str">
        <x:v>只有通道强度，没有第二类失衡证据。</x:v>
      </x:c>
      <x:c r="K100" s="46" t="str">
        <x:v>由共享基础引擎、M3与M5-BASE提供；只修正用户怎样给予、请求、接收和回馈，不直接判断双方现实交换质量。</x:v>
      </x:c>
      <x:c r="L100" s="46" t="str">
        <x:v>M2只说明进入关系所需资格证据；不能替代长期双向交换、负荷与修复验证。</x:v>
      </x:c>
      <x:c r="M100" s="46" t="str">
        <x:v>M3-BASE、EXPR、CARE和BOUND提供用户自然互动通道；M5-EXCHANGE负责把两人的实际行为合成为交换结构。</x:v>
      </x:c>
      <x:c r="N100" s="46" t="str">
        <x:v>无／按本规则指定的给予—请求—接收—反馈—重订路径路由。</x:v>
      </x:c>
      <x:c r="O100" s="46" t="str">
        <x:v>近位、远位只修正该交换需求进入亲密关系核心的可能；不得据此判断具体伴侣现实中一定配合。</x:v>
      </x:c>
      <x:c r="P100" s="46" t="str">
        <x:v>根气只修正用户交换需求和通道是否稳定重复，不等于双方已形成成熟互惠。</x:v>
      </x:c>
      <x:c r="Q100" s="46" t="str">
        <x:v>旺弱只修正通道调用强度、抢位或缺位风险，不直接等于交换公平或关系质量。</x:v>
      </x:c>
      <x:c r="R100" s="46" t="str">
        <x:v>喜忌只修正调用顺畅度与摩擦，不可直接翻译为理想伴侣五行、十神或必然互补。</x:v>
      </x:c>
      <x:c r="S100" s="46" t="str">
        <x:v>真合化成立时按化神功能重算用户交换需求；合化争议时停止细化交换通道。</x:v>
      </x:c>
      <x:c r="T100" s="46" t="str">
        <x:v>近位提高该交换议题进入关系核心的可能；远位只保留背景或阶段性观察。</x:v>
      </x:c>
      <x:c r="U100" s="46" t="str">
        <x:v>88</x:v>
      </x:c>
      <x:c r="V100" s="46" t="str">
        <x:v>风险 +12</x:v>
      </x:c>
      <x:c r="W100" s="46" t="str">
        <x:v>exchange_risk_warning</x:v>
      </x:c>
      <x:c r="X100" s="46" t="str">
        <x:v>空间不断延长、选择性回应过少，暂停逐渐替代沟通和责任。</x:v>
      </x:c>
      <x:c r="Y100" s="46" t="str">
        <x:v>需要留意：空间不断延长、选择性回应过少，暂停逐渐替代沟通和责任。</x:v>
      </x:c>
      <x:c r="Z10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0" s="46" t="str">
        <x:v>中高</x:v>
      </x:c>
      <x:c r="AB100" s="46" t="str">
        <x:v>待验证</x:v>
      </x:c>
      <x:c r="AC100" s="46" t="str"/>
      <x:c r="AD100" s="46" t="str">
        <x:v>exchange_channel=EC10; ten_god=偏印; provisional=true; rule_group=EXCHANGE-EC通道</x:v>
      </x:c>
      <x:c r="AE100" s="46" t="str">
        <x:v>0.4</x:v>
      </x:c>
    </x:row>
    <x:row r="101" ht="50" customHeight="1">
      <x:c r="A101" s="46" t="str">
        <x:v>M5-EXCHANGE-100</x:v>
      </x:c>
      <x:c r="B101" s="46" t="str">
        <x:v>EC10 深度空间支持｜关键观察与用户输出</x:v>
      </x:c>
      <x:c r="C101" s="46" t="str">
        <x:v>L1 十类双向交换通道</x:v>
      </x:c>
      <x:c r="D101" s="46" t="str">
        <x:v>EXCHANGE-EC通道</x:v>
      </x:c>
      <x:c r="E101" s="46" t="str">
        <x:v>通用</x:v>
      </x:c>
      <x:c r="F101" s="46" t="str">
        <x:v>输出</x:v>
      </x:c>
      <x:c r="G101" s="46" t="str">
        <x:v>EC10 深度空间支持</x:v>
      </x:c>
      <x:c r="H101" s="46" t="str">
        <x:v>偏印</x:v>
      </x:c>
      <x:c r="I101" s="46" t="str">
        <x:v>已形成主或次EC候选。</x:v>
      </x:c>
      <x:c r="J101" s="46" t="str">
        <x:v>XR08停止或资料严重不足。</x:v>
      </x:c>
      <x:c r="K101" s="46" t="str">
        <x:v>由共享基础引擎、M3与M5-BASE提供；只修正用户怎样给予、请求、接收和回馈，不直接判断双方现实交换质量。</x:v>
      </x:c>
      <x:c r="L101" s="46" t="str">
        <x:v>M2只说明进入关系所需资格证据；不能替代长期双向交换、负荷与修复验证。</x:v>
      </x:c>
      <x:c r="M101" s="46" t="str">
        <x:v>M3-BASE、EXPR、CARE和BOUND提供用户自然互动通道；M5-EXCHANGE负责把两人的实际行为合成为交换结构。</x:v>
      </x:c>
      <x:c r="N101" s="46" t="str">
        <x:v>无／按本规则指定的给予—请求—接收—反馈—重订路径路由。</x:v>
      </x:c>
      <x:c r="O101" s="46" t="str">
        <x:v>近位、远位只修正该交换需求进入亲密关系核心的可能；不得据此判断具体伴侣现实中一定配合。</x:v>
      </x:c>
      <x:c r="P101" s="46" t="str">
        <x:v>根气只修正用户交换需求和通道是否稳定重复，不等于双方已形成成熟互惠。</x:v>
      </x:c>
      <x:c r="Q101" s="46" t="str">
        <x:v>旺弱只修正通道调用强度、抢位或缺位风险，不直接等于交换公平或关系质量。</x:v>
      </x:c>
      <x:c r="R101" s="46" t="str">
        <x:v>喜忌只修正调用顺畅度与摩擦，不可直接翻译为理想伴侣五行、十神或必然互补。</x:v>
      </x:c>
      <x:c r="S101" s="46" t="str">
        <x:v>真合化成立时按化神功能重算用户交换需求；合化争议时停止细化交换通道。</x:v>
      </x:c>
      <x:c r="T101" s="46" t="str">
        <x:v>近位提高该交换议题进入关系核心的可能；远位只保留背景或阶段性观察。</x:v>
      </x:c>
      <x:c r="U101" s="46" t="str">
        <x:v>76</x:v>
      </x:c>
      <x:c r="V101" s="46" t="str">
        <x:v>不加分；输出</x:v>
      </x:c>
      <x:c r="W101" s="46" t="str">
        <x:v>observation_plan</x:v>
      </x:c>
      <x:c r="X101" s="46" t="str">
        <x:v>提出空间后是否说明回归点，整理完成后是否主动回来并处理重要问题。</x:v>
      </x:c>
      <x:c r="Y101" s="46" t="str">
        <x:v>提出空间后是否说明回归点，整理完成后是否主动回来并处理重要问题。</x:v>
      </x:c>
      <x:c r="Z10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1" s="46" t="str">
        <x:v>中高</x:v>
      </x:c>
      <x:c r="AB101" s="46" t="str">
        <x:v>待验证</x:v>
      </x:c>
      <x:c r="AC101" s="46" t="str"/>
      <x:c r="AD101" s="46" t="str">
        <x:v>exchange_channel=EC10; ten_god=偏印; provisional=true; rule_group=EXCHANGE-EC通道</x:v>
      </x:c>
      <x:c r="AE101" s="46" t="str">
        <x:v>0.4</x:v>
      </x:c>
    </x:row>
    <x:row r="102" ht="50" customHeight="1">
      <x:c r="A102" s="46" t="str">
        <x:v>M5-EXCHANGE-101</x:v>
      </x:c>
      <x:c r="B102" s="46" t="str">
        <x:v>ED01 贡献可见度｜正式定义</x:v>
      </x:c>
      <x:c r="C102" s="46" t="str">
        <x:v>L2 交换过程维度</x:v>
      </x:c>
      <x:c r="D102" s="46" t="str">
        <x:v>EXCHANGE-ED维度</x:v>
      </x:c>
      <x:c r="E102" s="46" t="str">
        <x:v>通用</x:v>
      </x:c>
      <x:c r="F102" s="46" t="str">
        <x:v>定义</x:v>
      </x:c>
      <x:c r="G102" s="46" t="str">
        <x:v>ED01</x:v>
      </x:c>
      <x:c r="H102" s="46" t="str">
        <x:v>贡献可见度</x:v>
      </x:c>
      <x:c r="I102" s="46" t="str">
        <x:v>存在具体双人交换资料。</x:v>
      </x:c>
      <x:c r="J102" s="46" t="str">
        <x:v>只有命盘需求或单方抽象评价。</x:v>
      </x:c>
      <x:c r="K102" s="46" t="str">
        <x:v>由共享基础引擎、M3与M5-BASE提供；只修正用户怎样给予、请求、接收和回馈，不直接判断双方现实交换质量。</x:v>
      </x:c>
      <x:c r="L102" s="46" t="str">
        <x:v>M2只说明进入关系所需资格证据；不能替代长期双向交换、负荷与修复验证。</x:v>
      </x:c>
      <x:c r="M102" s="46" t="str">
        <x:v>M3-BASE、EXPR、CARE和BOUND提供用户自然互动通道；M5-EXCHANGE负责把两人的实际行为合成为交换结构。</x:v>
      </x:c>
      <x:c r="N102" s="46" t="str">
        <x:v>无／按本规则指定的给予—请求—接收—反馈—重订路径路由。</x:v>
      </x:c>
      <x:c r="O102" s="46" t="str">
        <x:v>近位、远位只修正该交换需求进入亲密关系核心的可能；不得据此判断具体伴侣现实中一定配合。</x:v>
      </x:c>
      <x:c r="P102" s="46" t="str">
        <x:v>根气只修正用户交换需求和通道是否稳定重复，不等于双方已形成成熟互惠。</x:v>
      </x:c>
      <x:c r="Q102" s="46" t="str">
        <x:v>旺弱只修正通道调用强度、抢位或缺位风险，不直接等于交换公平或关系质量。</x:v>
      </x:c>
      <x:c r="R102" s="46" t="str">
        <x:v>喜忌只修正调用顺畅度与摩擦，不可直接翻译为理想伴侣五行、十神或必然互补。</x:v>
      </x:c>
      <x:c r="S102" s="46" t="str">
        <x:v>真合化成立时按化神功能重算用户交换需求；合化争议时停止细化交换通道。</x:v>
      </x:c>
      <x:c r="T102" s="46" t="str">
        <x:v>近位提高该交换议题进入关系核心的可能；远位只保留背景或阶段性观察。</x:v>
      </x:c>
      <x:c r="U102" s="46" t="str">
        <x:v>94</x:v>
      </x:c>
      <x:c r="V102" s="46" t="str">
        <x:v>不加分；定义</x:v>
      </x:c>
      <x:c r="W102" s="46" t="str">
        <x:v>exchange_dimensions</x:v>
      </x:c>
      <x:c r="X102" s="46" t="str">
        <x:v>双方是否能够看见并说出彼此实际投入，而不是只看最显眼的那一种。</x:v>
      </x:c>
      <x:c r="Y102" s="46" t="str">
        <x:v>可见不等于全部；隐性投入也需要被确认。</x:v>
      </x:c>
      <x:c r="Z10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2" s="46" t="str">
        <x:v>高</x:v>
      </x:c>
      <x:c r="AB102" s="46" t="str">
        <x:v>待验证</x:v>
      </x:c>
      <x:c r="AC102" s="46" t="str"/>
      <x:c r="AD102" s="46" t="str">
        <x:v>exchange_dimension=ED01; provisional=true; rule_group=EXCHANGE-ED维度</x:v>
      </x:c>
      <x:c r="AE102" s="46" t="str">
        <x:v>0.4</x:v>
      </x:c>
    </x:row>
    <x:row r="103" ht="50" customHeight="1">
      <x:c r="A103" s="46" t="str">
        <x:v>M5-EXCHANGE-102</x:v>
      </x:c>
      <x:c r="B103" s="46" t="str">
        <x:v>ED01 贡献可见度｜可靠证据</x:v>
      </x:c>
      <x:c r="C103" s="46" t="str">
        <x:v>L2 交换过程维度</x:v>
      </x:c>
      <x:c r="D103" s="46" t="str">
        <x:v>EXCHANGE-ED维度</x:v>
      </x:c>
      <x:c r="E103" s="46" t="str">
        <x:v>通用</x:v>
      </x:c>
      <x:c r="F103" s="46" t="str">
        <x:v>证据</x:v>
      </x:c>
      <x:c r="G103" s="46" t="str">
        <x:v>ED01</x:v>
      </x:c>
      <x:c r="H103" s="46" t="str">
        <x:v>贡献可见度</x:v>
      </x:c>
      <x:c r="I103" s="46" t="str">
        <x:v>跨领域列出时间、情绪劳动、资源、责任和修复投入。</x:v>
      </x:c>
      <x:c r="J103" s="46" t="str">
        <x:v>同源重复、一次高光或只有一方自述。</x:v>
      </x:c>
      <x:c r="K103" s="46" t="str">
        <x:v>由共享基础引擎、M3与M5-BASE提供；只修正用户怎样给予、请求、接收和回馈，不直接判断双方现实交换质量。</x:v>
      </x:c>
      <x:c r="L103" s="46" t="str">
        <x:v>M2只说明进入关系所需资格证据；不能替代长期双向交换、负荷与修复验证。</x:v>
      </x:c>
      <x:c r="M103" s="46" t="str">
        <x:v>M3-BASE、EXPR、CARE和BOUND提供用户自然互动通道；M5-EXCHANGE负责把两人的实际行为合成为交换结构。</x:v>
      </x:c>
      <x:c r="N103" s="46" t="str">
        <x:v>无／按本规则指定的给予—请求—接收—反馈—重订路径路由。</x:v>
      </x:c>
      <x:c r="O103" s="46" t="str">
        <x:v>近位、远位只修正该交换需求进入亲密关系核心的可能；不得据此判断具体伴侣现实中一定配合。</x:v>
      </x:c>
      <x:c r="P103" s="46" t="str">
        <x:v>根气只修正用户交换需求和通道是否稳定重复，不等于双方已形成成熟互惠。</x:v>
      </x:c>
      <x:c r="Q103" s="46" t="str">
        <x:v>旺弱只修正通道调用强度、抢位或缺位风险，不直接等于交换公平或关系质量。</x:v>
      </x:c>
      <x:c r="R103" s="46" t="str">
        <x:v>喜忌只修正调用顺畅度与摩擦，不可直接翻译为理想伴侣五行、十神或必然互补。</x:v>
      </x:c>
      <x:c r="S103" s="46" t="str">
        <x:v>真合化成立时按化神功能重算用户交换需求；合化争议时停止细化交换通道。</x:v>
      </x:c>
      <x:c r="T103" s="46" t="str">
        <x:v>近位提高该交换议题进入关系核心的可能；远位只保留背景或阶段性观察。</x:v>
      </x:c>
      <x:c r="U103" s="46" t="str">
        <x:v>86</x:v>
      </x:c>
      <x:c r="V103" s="46" t="str">
        <x:v>+10 可靠证据</x:v>
      </x:c>
      <x:c r="W103" s="46" t="str">
        <x:v>exchange_evidence_level</x:v>
      </x:c>
      <x:c r="X103" s="46" t="str">
        <x:v>贡献可见度的可靠证据需要：跨领域列出时间、情绪劳动、资源、责任和修复投入。</x:v>
      </x:c>
      <x:c r="Y103" s="46" t="str">
        <x:v>这项交换要看：跨领域列出时间、情绪劳动、资源、责任和修复投入。</x:v>
      </x:c>
      <x:c r="Z10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3" s="46" t="str">
        <x:v>中高</x:v>
      </x:c>
      <x:c r="AB103" s="46" t="str">
        <x:v>待验证</x:v>
      </x:c>
      <x:c r="AC103" s="46" t="str"/>
      <x:c r="AD103" s="46" t="str">
        <x:v>exchange_dimension=ED01; provisional=true; rule_group=EXCHANGE-ED维度</x:v>
      </x:c>
      <x:c r="AE103" s="46" t="str">
        <x:v>0.4</x:v>
      </x:c>
    </x:row>
    <x:row r="104" ht="50" customHeight="1">
      <x:c r="A104" s="46" t="str">
        <x:v>M5-EXCHANGE-103</x:v>
      </x:c>
      <x:c r="B104" s="46" t="str">
        <x:v>ED01 贡献可见度｜不足与假阳性</x:v>
      </x:c>
      <x:c r="C104" s="46" t="str">
        <x:v>L2 交换过程维度</x:v>
      </x:c>
      <x:c r="D104" s="46" t="str">
        <x:v>EXCHANGE-ED维度</x:v>
      </x:c>
      <x:c r="E104" s="46" t="str">
        <x:v>通用</x:v>
      </x:c>
      <x:c r="F104" s="46" t="str">
        <x:v>降级</x:v>
      </x:c>
      <x:c r="G104" s="46" t="str">
        <x:v>ED01</x:v>
      </x:c>
      <x:c r="H104" s="46" t="str">
        <x:v>贡献可见度</x:v>
      </x:c>
      <x:c r="I104" s="46" t="str">
        <x:v>出现不足情形。</x:v>
      </x:c>
      <x:c r="J104" s="46" t="str">
        <x:v>XV5以上且反例检验支持成熟结构。</x:v>
      </x:c>
      <x:c r="K104" s="46" t="str">
        <x:v>由共享基础引擎、M3与M5-BASE提供；只修正用户怎样给予、请求、接收和回馈，不直接判断双方现实交换质量。</x:v>
      </x:c>
      <x:c r="L104" s="46" t="str">
        <x:v>M2只说明进入关系所需资格证据；不能替代长期双向交换、负荷与修复验证。</x:v>
      </x:c>
      <x:c r="M104" s="46" t="str">
        <x:v>M3-BASE、EXPR、CARE和BOUND提供用户自然互动通道；M5-EXCHANGE负责把两人的实际行为合成为交换结构。</x:v>
      </x:c>
      <x:c r="N104" s="46" t="str">
        <x:v>无／按本规则指定的给予—请求—接收—反馈—重订路径路由。</x:v>
      </x:c>
      <x:c r="O104" s="46" t="str">
        <x:v>近位、远位只修正该交换需求进入亲密关系核心的可能；不得据此判断具体伴侣现实中一定配合。</x:v>
      </x:c>
      <x:c r="P104" s="46" t="str">
        <x:v>根气只修正用户交换需求和通道是否稳定重复，不等于双方已形成成熟互惠。</x:v>
      </x:c>
      <x:c r="Q104" s="46" t="str">
        <x:v>旺弱只修正通道调用强度、抢位或缺位风险，不直接等于交换公平或关系质量。</x:v>
      </x:c>
      <x:c r="R104" s="46" t="str">
        <x:v>喜忌只修正调用顺畅度与摩擦，不可直接翻译为理想伴侣五行、十神或必然互补。</x:v>
      </x:c>
      <x:c r="S104" s="46" t="str">
        <x:v>真合化成立时按化神功能重算用户交换需求；合化争议时停止细化交换通道。</x:v>
      </x:c>
      <x:c r="T104" s="46" t="str">
        <x:v>近位提高该交换议题进入关系核心的可能；远位只保留背景或阶段性观察。</x:v>
      </x:c>
      <x:c r="U104" s="46" t="str">
        <x:v>90</x:v>
      </x:c>
      <x:c r="V104" s="46" t="str">
        <x:v>-10／降级</x:v>
      </x:c>
      <x:c r="W104" s="46" t="str">
        <x:v>pseudo_reciprocity_warning</x:v>
      </x:c>
      <x:c r="X104" s="46" t="str">
        <x:v>贡献可见度不能由以下资料直接成立：只统计金钱、礼物、做事次数或口头表达。</x:v>
      </x:c>
      <x:c r="Y104" s="46" t="str">
        <x:v>目前不能只凭：只统计金钱、礼物、做事次数或口头表达。</x:v>
      </x:c>
      <x:c r="Z10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4" s="46" t="str">
        <x:v>中高</x:v>
      </x:c>
      <x:c r="AB104" s="46" t="str">
        <x:v>待验证</x:v>
      </x:c>
      <x:c r="AC104" s="46" t="str"/>
      <x:c r="AD104" s="46" t="str">
        <x:v>exchange_dimension=ED01; provisional=true; rule_group=EXCHANGE-ED维度</x:v>
      </x:c>
      <x:c r="AE104" s="46" t="str">
        <x:v>0.4</x:v>
      </x:c>
    </x:row>
    <x:row r="105" ht="50" customHeight="1">
      <x:c r="A105" s="46" t="str">
        <x:v>M5-EXCHANGE-104</x:v>
      </x:c>
      <x:c r="B105" s="46" t="str">
        <x:v>ED01 贡献可见度｜工程评分</x:v>
      </x:c>
      <x:c r="C105" s="46" t="str">
        <x:v>L2 交换过程维度</x:v>
      </x:c>
      <x:c r="D105" s="46" t="str">
        <x:v>EXCHANGE-ED维度</x:v>
      </x:c>
      <x:c r="E105" s="46" t="str">
        <x:v>通用</x:v>
      </x:c>
      <x:c r="F105" s="46" t="str">
        <x:v>评分</x:v>
      </x:c>
      <x:c r="G105" s="46" t="str">
        <x:v>ED01</x:v>
      </x:c>
      <x:c r="H105" s="46" t="str">
        <x:v>贡献可见度</x:v>
      </x:c>
      <x:c r="I105" s="46" t="str">
        <x:v>该维度与主EC或EM任务一致，来源独立。</x:v>
      </x:c>
      <x:c r="J105" s="46" t="str">
        <x:v>只是同一事件的重复解释。</x:v>
      </x:c>
      <x:c r="K105" s="46" t="str">
        <x:v>由共享基础引擎、M3与M5-BASE提供；只修正用户怎样给予、请求、接收和回馈，不直接判断双方现实交换质量。</x:v>
      </x:c>
      <x:c r="L105" s="46" t="str">
        <x:v>M2只说明进入关系所需资格证据；不能替代长期双向交换、负荷与修复验证。</x:v>
      </x:c>
      <x:c r="M105" s="46" t="str">
        <x:v>M3-BASE、EXPR、CARE和BOUND提供用户自然互动通道；M5-EXCHANGE负责把两人的实际行为合成为交换结构。</x:v>
      </x:c>
      <x:c r="N105" s="46" t="str">
        <x:v>无／按本规则指定的给予—请求—接收—反馈—重订路径路由。</x:v>
      </x:c>
      <x:c r="O105" s="46" t="str">
        <x:v>近位、远位只修正该交换需求进入亲密关系核心的可能；不得据此判断具体伴侣现实中一定配合。</x:v>
      </x:c>
      <x:c r="P105" s="46" t="str">
        <x:v>根气只修正用户交换需求和通道是否稳定重复，不等于双方已形成成熟互惠。</x:v>
      </x:c>
      <x:c r="Q105" s="46" t="str">
        <x:v>旺弱只修正通道调用强度、抢位或缺位风险，不直接等于交换公平或关系质量。</x:v>
      </x:c>
      <x:c r="R105" s="46" t="str">
        <x:v>喜忌只修正调用顺畅度与摩擦，不可直接翻译为理想伴侣五行、十神或必然互补。</x:v>
      </x:c>
      <x:c r="S105" s="46" t="str">
        <x:v>真合化成立时按化神功能重算用户交换需求；合化争议时停止细化交换通道。</x:v>
      </x:c>
      <x:c r="T105" s="46" t="str">
        <x:v>近位提高该交换议题进入关系核心的可能；远位只保留背景或阶段性观察。</x:v>
      </x:c>
      <x:c r="U105" s="46" t="str">
        <x:v>72</x:v>
      </x:c>
      <x:c r="V105" s="46" t="str">
        <x:v>+4至+12；按XV层级</x:v>
      </x:c>
      <x:c r="W105" s="46" t="str">
        <x:v>confidence</x:v>
      </x:c>
      <x:c r="X105" s="46" t="str">
        <x:v>ED01只作为交换证据，不重新计算命盘基础权重。</x:v>
      </x:c>
      <x:c r="Y105" s="46" t="str">
        <x:v>可见不等于全部；隐性投入也需要被确认。</x:v>
      </x:c>
      <x:c r="Z10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5" s="46" t="str">
        <x:v>中</x:v>
      </x:c>
      <x:c r="AB105" s="46" t="str">
        <x:v>待验证</x:v>
      </x:c>
      <x:c r="AC105" s="46" t="str"/>
      <x:c r="AD105" s="46" t="str">
        <x:v>exchange_dimension=ED01; provisional=true; rule_group=EXCHANGE-ED维度</x:v>
      </x:c>
      <x:c r="AE105" s="46" t="str">
        <x:v>0.4</x:v>
      </x:c>
    </x:row>
    <x:row r="106" ht="50" customHeight="1">
      <x:c r="A106" s="46" t="str">
        <x:v>M5-EXCHANGE-105</x:v>
      </x:c>
      <x:c r="B106" s="46" t="str">
        <x:v>ED01 贡献可见度｜标准用户语言</x:v>
      </x:c>
      <x:c r="C106" s="46" t="str">
        <x:v>L2 交换过程维度</x:v>
      </x:c>
      <x:c r="D106" s="46" t="str">
        <x:v>EXCHANGE-ED维度</x:v>
      </x:c>
      <x:c r="E106" s="46" t="str">
        <x:v>通用</x:v>
      </x:c>
      <x:c r="F106" s="46" t="str">
        <x:v>输出</x:v>
      </x:c>
      <x:c r="G106" s="46" t="str">
        <x:v>ED01</x:v>
      </x:c>
      <x:c r="H106" s="46" t="str">
        <x:v>贡献可见度</x:v>
      </x:c>
      <x:c r="I106" s="46" t="str">
        <x:v>完成该维度裁决。</x:v>
      </x:c>
      <x:c r="J106" s="46" t="str">
        <x:v>结论仍未定。</x:v>
      </x:c>
      <x:c r="K106" s="46" t="str">
        <x:v>由共享基础引擎、M3与M5-BASE提供；只修正用户怎样给予、请求、接收和回馈，不直接判断双方现实交换质量。</x:v>
      </x:c>
      <x:c r="L106" s="46" t="str">
        <x:v>M2只说明进入关系所需资格证据；不能替代长期双向交换、负荷与修复验证。</x:v>
      </x:c>
      <x:c r="M106" s="46" t="str">
        <x:v>M3-BASE、EXPR、CARE和BOUND提供用户自然互动通道；M5-EXCHANGE负责把两人的实际行为合成为交换结构。</x:v>
      </x:c>
      <x:c r="N106" s="46" t="str">
        <x:v>无／按本规则指定的给予—请求—接收—反馈—重订路径路由。</x:v>
      </x:c>
      <x:c r="O106" s="46" t="str">
        <x:v>近位、远位只修正该交换需求进入亲密关系核心的可能；不得据此判断具体伴侣现实中一定配合。</x:v>
      </x:c>
      <x:c r="P106" s="46" t="str">
        <x:v>根气只修正用户交换需求和通道是否稳定重复，不等于双方已形成成熟互惠。</x:v>
      </x:c>
      <x:c r="Q106" s="46" t="str">
        <x:v>旺弱只修正通道调用强度、抢位或缺位风险，不直接等于交换公平或关系质量。</x:v>
      </x:c>
      <x:c r="R106" s="46" t="str">
        <x:v>喜忌只修正调用顺畅度与摩擦，不可直接翻译为理想伴侣五行、十神或必然互补。</x:v>
      </x:c>
      <x:c r="S106" s="46" t="str">
        <x:v>真合化成立时按化神功能重算用户交换需求；合化争议时停止细化交换通道。</x:v>
      </x:c>
      <x:c r="T106" s="46" t="str">
        <x:v>近位提高该交换议题进入关系核心的可能；远位只保留背景或阶段性观察。</x:v>
      </x:c>
      <x:c r="U106" s="46" t="str">
        <x:v>70</x:v>
      </x:c>
      <x:c r="V106" s="46" t="str">
        <x:v>不加分；输出</x:v>
      </x:c>
      <x:c r="W106" s="46" t="str">
        <x:v>report_text</x:v>
      </x:c>
      <x:c r="X106" s="46" t="str">
        <x:v>可见不等于全部；隐性投入也需要被确认。</x:v>
      </x:c>
      <x:c r="Y106" s="46" t="str">
        <x:v>交换重点：可见不等于全部；隐性投入也需要被确认。</x:v>
      </x:c>
      <x:c r="Z10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6" s="46" t="str">
        <x:v>中高</x:v>
      </x:c>
      <x:c r="AB106" s="46" t="str">
        <x:v>待验证</x:v>
      </x:c>
      <x:c r="AC106" s="46" t="str"/>
      <x:c r="AD106" s="46" t="str">
        <x:v>exchange_dimension=ED01; provisional=true; rule_group=EXCHANGE-ED维度</x:v>
      </x:c>
      <x:c r="AE106" s="46" t="str">
        <x:v>0.4</x:v>
      </x:c>
    </x:row>
    <x:row r="107" ht="50" customHeight="1">
      <x:c r="A107" s="46" t="str">
        <x:v>M5-EXCHANGE-106</x:v>
      </x:c>
      <x:c r="B107" s="46" t="str">
        <x:v>ED02 请求清晰度｜正式定义</x:v>
      </x:c>
      <x:c r="C107" s="46" t="str">
        <x:v>L2 交换过程维度</x:v>
      </x:c>
      <x:c r="D107" s="46" t="str">
        <x:v>EXCHANGE-ED维度</x:v>
      </x:c>
      <x:c r="E107" s="46" t="str">
        <x:v>通用</x:v>
      </x:c>
      <x:c r="F107" s="46" t="str">
        <x:v>定义</x:v>
      </x:c>
      <x:c r="G107" s="46" t="str">
        <x:v>ED02</x:v>
      </x:c>
      <x:c r="H107" s="46" t="str">
        <x:v>请求清晰度</x:v>
      </x:c>
      <x:c r="I107" s="46" t="str">
        <x:v>存在具体双人交换资料。</x:v>
      </x:c>
      <x:c r="J107" s="46" t="str">
        <x:v>只有命盘需求或单方抽象评价。</x:v>
      </x:c>
      <x:c r="K107" s="46" t="str">
        <x:v>由共享基础引擎、M3与M5-BASE提供；只修正用户怎样给予、请求、接收和回馈，不直接判断双方现实交换质量。</x:v>
      </x:c>
      <x:c r="L107" s="46" t="str">
        <x:v>M2只说明进入关系所需资格证据；不能替代长期双向交换、负荷与修复验证。</x:v>
      </x:c>
      <x:c r="M107" s="46" t="str">
        <x:v>M3-BASE、EXPR、CARE和BOUND提供用户自然互动通道；M5-EXCHANGE负责把两人的实际行为合成为交换结构。</x:v>
      </x:c>
      <x:c r="N107" s="46" t="str">
        <x:v>无／按本规则指定的给予—请求—接收—反馈—重订路径路由。</x:v>
      </x:c>
      <x:c r="O107" s="46" t="str">
        <x:v>近位、远位只修正该交换需求进入亲密关系核心的可能；不得据此判断具体伴侣现实中一定配合。</x:v>
      </x:c>
      <x:c r="P107" s="46" t="str">
        <x:v>根气只修正用户交换需求和通道是否稳定重复，不等于双方已形成成熟互惠。</x:v>
      </x:c>
      <x:c r="Q107" s="46" t="str">
        <x:v>旺弱只修正通道调用强度、抢位或缺位风险，不直接等于交换公平或关系质量。</x:v>
      </x:c>
      <x:c r="R107" s="46" t="str">
        <x:v>喜忌只修正调用顺畅度与摩擦，不可直接翻译为理想伴侣五行、十神或必然互补。</x:v>
      </x:c>
      <x:c r="S107" s="46" t="str">
        <x:v>真合化成立时按化神功能重算用户交换需求；合化争议时停止细化交换通道。</x:v>
      </x:c>
      <x:c r="T107" s="46" t="str">
        <x:v>近位提高该交换议题进入关系核心的可能；远位只保留背景或阶段性观察。</x:v>
      </x:c>
      <x:c r="U107" s="46" t="str">
        <x:v>94</x:v>
      </x:c>
      <x:c r="V107" s="46" t="str">
        <x:v>不加分；定义</x:v>
      </x:c>
      <x:c r="W107" s="46" t="str">
        <x:v>exchange_dimensions</x:v>
      </x:c>
      <x:c r="X107" s="46" t="str">
        <x:v>需要能否被具体提出，而不是期待对方自动猜到。</x:v>
      </x:c>
      <x:c r="Y107" s="46" t="str">
        <x:v>能请求，交换才有清楚入口。</x:v>
      </x:c>
      <x:c r="Z10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7" s="46" t="str">
        <x:v>高</x:v>
      </x:c>
      <x:c r="AB107" s="46" t="str">
        <x:v>待验证</x:v>
      </x:c>
      <x:c r="AC107" s="46" t="str"/>
      <x:c r="AD107" s="46" t="str">
        <x:v>exchange_dimension=ED02; provisional=true; rule_group=EXCHANGE-ED维度</x:v>
      </x:c>
      <x:c r="AE107" s="46" t="str">
        <x:v>0.4</x:v>
      </x:c>
    </x:row>
    <x:row r="108" ht="50" customHeight="1">
      <x:c r="A108" s="46" t="str">
        <x:v>M5-EXCHANGE-107</x:v>
      </x:c>
      <x:c r="B108" s="46" t="str">
        <x:v>ED02 请求清晰度｜可靠证据</x:v>
      </x:c>
      <x:c r="C108" s="46" t="str">
        <x:v>L2 交换过程维度</x:v>
      </x:c>
      <x:c r="D108" s="46" t="str">
        <x:v>EXCHANGE-ED维度</x:v>
      </x:c>
      <x:c r="E108" s="46" t="str">
        <x:v>通用</x:v>
      </x:c>
      <x:c r="F108" s="46" t="str">
        <x:v>证据</x:v>
      </x:c>
      <x:c r="G108" s="46" t="str">
        <x:v>ED02</x:v>
      </x:c>
      <x:c r="H108" s="46" t="str">
        <x:v>请求清晰度</x:v>
      </x:c>
      <x:c r="I108" s="46" t="str">
        <x:v>说明需要什么、希望怎样回应、何时完成和哪些部分可协商。</x:v>
      </x:c>
      <x:c r="J108" s="46" t="str">
        <x:v>同源重复、一次高光或只有一方自述。</x:v>
      </x:c>
      <x:c r="K108" s="46" t="str">
        <x:v>由共享基础引擎、M3与M5-BASE提供；只修正用户怎样给予、请求、接收和回馈，不直接判断双方现实交换质量。</x:v>
      </x:c>
      <x:c r="L108" s="46" t="str">
        <x:v>M2只说明进入关系所需资格证据；不能替代长期双向交换、负荷与修复验证。</x:v>
      </x:c>
      <x:c r="M108" s="46" t="str">
        <x:v>M3-BASE、EXPR、CARE和BOUND提供用户自然互动通道；M5-EXCHANGE负责把两人的实际行为合成为交换结构。</x:v>
      </x:c>
      <x:c r="N108" s="46" t="str">
        <x:v>无／按本规则指定的给予—请求—接收—反馈—重订路径路由。</x:v>
      </x:c>
      <x:c r="O108" s="46" t="str">
        <x:v>近位、远位只修正该交换需求进入亲密关系核心的可能；不得据此判断具体伴侣现实中一定配合。</x:v>
      </x:c>
      <x:c r="P108" s="46" t="str">
        <x:v>根气只修正用户交换需求和通道是否稳定重复，不等于双方已形成成熟互惠。</x:v>
      </x:c>
      <x:c r="Q108" s="46" t="str">
        <x:v>旺弱只修正通道调用强度、抢位或缺位风险，不直接等于交换公平或关系质量。</x:v>
      </x:c>
      <x:c r="R108" s="46" t="str">
        <x:v>喜忌只修正调用顺畅度与摩擦，不可直接翻译为理想伴侣五行、十神或必然互补。</x:v>
      </x:c>
      <x:c r="S108" s="46" t="str">
        <x:v>真合化成立时按化神功能重算用户交换需求；合化争议时停止细化交换通道。</x:v>
      </x:c>
      <x:c r="T108" s="46" t="str">
        <x:v>近位提高该交换议题进入关系核心的可能；远位只保留背景或阶段性观察。</x:v>
      </x:c>
      <x:c r="U108" s="46" t="str">
        <x:v>86</x:v>
      </x:c>
      <x:c r="V108" s="46" t="str">
        <x:v>+10 可靠证据</x:v>
      </x:c>
      <x:c r="W108" s="46" t="str">
        <x:v>exchange_evidence_level</x:v>
      </x:c>
      <x:c r="X108" s="46" t="str">
        <x:v>请求清晰度的可靠证据需要：说明需要什么、希望怎样回应、何时完成和哪些部分可协商。</x:v>
      </x:c>
      <x:c r="Y108" s="46" t="str">
        <x:v>这项交换要看：说明需要什么、希望怎样回应、何时完成和哪些部分可协商。</x:v>
      </x:c>
      <x:c r="Z10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8" s="46" t="str">
        <x:v>中高</x:v>
      </x:c>
      <x:c r="AB108" s="46" t="str">
        <x:v>待验证</x:v>
      </x:c>
      <x:c r="AC108" s="46" t="str"/>
      <x:c r="AD108" s="46" t="str">
        <x:v>exchange_dimension=ED02; provisional=true; rule_group=EXCHANGE-ED维度</x:v>
      </x:c>
      <x:c r="AE108" s="46" t="str">
        <x:v>0.4</x:v>
      </x:c>
    </x:row>
    <x:row r="109" ht="50" customHeight="1">
      <x:c r="A109" s="46" t="str">
        <x:v>M5-EXCHANGE-108</x:v>
      </x:c>
      <x:c r="B109" s="46" t="str">
        <x:v>ED02 请求清晰度｜不足与假阳性</x:v>
      </x:c>
      <x:c r="C109" s="46" t="str">
        <x:v>L2 交换过程维度</x:v>
      </x:c>
      <x:c r="D109" s="46" t="str">
        <x:v>EXCHANGE-ED维度</x:v>
      </x:c>
      <x:c r="E109" s="46" t="str">
        <x:v>通用</x:v>
      </x:c>
      <x:c r="F109" s="46" t="str">
        <x:v>降级</x:v>
      </x:c>
      <x:c r="G109" s="46" t="str">
        <x:v>ED02</x:v>
      </x:c>
      <x:c r="H109" s="46" t="str">
        <x:v>请求清晰度</x:v>
      </x:c>
      <x:c r="I109" s="46" t="str">
        <x:v>出现不足情形。</x:v>
      </x:c>
      <x:c r="J109" s="46" t="str">
        <x:v>XV5以上且反例检验支持成熟结构。</x:v>
      </x:c>
      <x:c r="K109" s="46" t="str">
        <x:v>由共享基础引擎、M3与M5-BASE提供；只修正用户怎样给予、请求、接收和回馈，不直接判断双方现实交换质量。</x:v>
      </x:c>
      <x:c r="L109" s="46" t="str">
        <x:v>M2只说明进入关系所需资格证据；不能替代长期双向交换、负荷与修复验证。</x:v>
      </x:c>
      <x:c r="M109" s="46" t="str">
        <x:v>M3-BASE、EXPR、CARE和BOUND提供用户自然互动通道；M5-EXCHANGE负责把两人的实际行为合成为交换结构。</x:v>
      </x:c>
      <x:c r="N109" s="46" t="str">
        <x:v>无／按本规则指定的给予—请求—接收—反馈—重订路径路由。</x:v>
      </x:c>
      <x:c r="O109" s="46" t="str">
        <x:v>近位、远位只修正该交换需求进入亲密关系核心的可能；不得据此判断具体伴侣现实中一定配合。</x:v>
      </x:c>
      <x:c r="P109" s="46" t="str">
        <x:v>根气只修正用户交换需求和通道是否稳定重复，不等于双方已形成成熟互惠。</x:v>
      </x:c>
      <x:c r="Q109" s="46" t="str">
        <x:v>旺弱只修正通道调用强度、抢位或缺位风险，不直接等于交换公平或关系质量。</x:v>
      </x:c>
      <x:c r="R109" s="46" t="str">
        <x:v>喜忌只修正调用顺畅度与摩擦，不可直接翻译为理想伴侣五行、十神或必然互补。</x:v>
      </x:c>
      <x:c r="S109" s="46" t="str">
        <x:v>真合化成立时按化神功能重算用户交换需求；合化争议时停止细化交换通道。</x:v>
      </x:c>
      <x:c r="T109" s="46" t="str">
        <x:v>近位提高该交换议题进入关系核心的可能；远位只保留背景或阶段性观察。</x:v>
      </x:c>
      <x:c r="U109" s="46" t="str">
        <x:v>90</x:v>
      </x:c>
      <x:c r="V109" s="46" t="str">
        <x:v>-10／降级</x:v>
      </x:c>
      <x:c r="W109" s="46" t="str">
        <x:v>pseudo_reciprocity_warning</x:v>
      </x:c>
      <x:c r="X109" s="46" t="str">
        <x:v>请求清晰度不能由以下资料直接成立：只表达不满、暗示、测试或让对方证明爱。</x:v>
      </x:c>
      <x:c r="Y109" s="46" t="str">
        <x:v>目前不能只凭：只表达不满、暗示、测试或让对方证明爱。</x:v>
      </x:c>
      <x:c r="Z10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9" s="46" t="str">
        <x:v>中高</x:v>
      </x:c>
      <x:c r="AB109" s="46" t="str">
        <x:v>待验证</x:v>
      </x:c>
      <x:c r="AC109" s="46" t="str"/>
      <x:c r="AD109" s="46" t="str">
        <x:v>exchange_dimension=ED02; provisional=true; rule_group=EXCHANGE-ED维度</x:v>
      </x:c>
      <x:c r="AE109" s="46" t="str">
        <x:v>0.4</x:v>
      </x:c>
    </x:row>
    <x:row r="110" ht="50" customHeight="1">
      <x:c r="A110" s="46" t="str">
        <x:v>M5-EXCHANGE-109</x:v>
      </x:c>
      <x:c r="B110" s="46" t="str">
        <x:v>ED02 请求清晰度｜工程评分</x:v>
      </x:c>
      <x:c r="C110" s="46" t="str">
        <x:v>L2 交换过程维度</x:v>
      </x:c>
      <x:c r="D110" s="46" t="str">
        <x:v>EXCHANGE-ED维度</x:v>
      </x:c>
      <x:c r="E110" s="46" t="str">
        <x:v>通用</x:v>
      </x:c>
      <x:c r="F110" s="46" t="str">
        <x:v>评分</x:v>
      </x:c>
      <x:c r="G110" s="46" t="str">
        <x:v>ED02</x:v>
      </x:c>
      <x:c r="H110" s="46" t="str">
        <x:v>请求清晰度</x:v>
      </x:c>
      <x:c r="I110" s="46" t="str">
        <x:v>该维度与主EC或EM任务一致，来源独立。</x:v>
      </x:c>
      <x:c r="J110" s="46" t="str">
        <x:v>只是同一事件的重复解释。</x:v>
      </x:c>
      <x:c r="K110" s="46" t="str">
        <x:v>由共享基础引擎、M3与M5-BASE提供；只修正用户怎样给予、请求、接收和回馈，不直接判断双方现实交换质量。</x:v>
      </x:c>
      <x:c r="L110" s="46" t="str">
        <x:v>M2只说明进入关系所需资格证据；不能替代长期双向交换、负荷与修复验证。</x:v>
      </x:c>
      <x:c r="M110" s="46" t="str">
        <x:v>M3-BASE、EXPR、CARE和BOUND提供用户自然互动通道；M5-EXCHANGE负责把两人的实际行为合成为交换结构。</x:v>
      </x:c>
      <x:c r="N110" s="46" t="str">
        <x:v>无／按本规则指定的给予—请求—接收—反馈—重订路径路由。</x:v>
      </x:c>
      <x:c r="O110" s="46" t="str">
        <x:v>近位、远位只修正该交换需求进入亲密关系核心的可能；不得据此判断具体伴侣现实中一定配合。</x:v>
      </x:c>
      <x:c r="P110" s="46" t="str">
        <x:v>根气只修正用户交换需求和通道是否稳定重复，不等于双方已形成成熟互惠。</x:v>
      </x:c>
      <x:c r="Q110" s="46" t="str">
        <x:v>旺弱只修正通道调用强度、抢位或缺位风险，不直接等于交换公平或关系质量。</x:v>
      </x:c>
      <x:c r="R110" s="46" t="str">
        <x:v>喜忌只修正调用顺畅度与摩擦，不可直接翻译为理想伴侣五行、十神或必然互补。</x:v>
      </x:c>
      <x:c r="S110" s="46" t="str">
        <x:v>真合化成立时按化神功能重算用户交换需求；合化争议时停止细化交换通道。</x:v>
      </x:c>
      <x:c r="T110" s="46" t="str">
        <x:v>近位提高该交换议题进入关系核心的可能；远位只保留背景或阶段性观察。</x:v>
      </x:c>
      <x:c r="U110" s="46" t="str">
        <x:v>72</x:v>
      </x:c>
      <x:c r="V110" s="46" t="str">
        <x:v>+4至+12；按XV层级</x:v>
      </x:c>
      <x:c r="W110" s="46" t="str">
        <x:v>confidence</x:v>
      </x:c>
      <x:c r="X110" s="46" t="str">
        <x:v>ED02只作为交换证据，不重新计算命盘基础权重。</x:v>
      </x:c>
      <x:c r="Y110" s="46" t="str">
        <x:v>能请求，交换才有清楚入口。</x:v>
      </x:c>
      <x:c r="Z11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0" s="46" t="str">
        <x:v>中</x:v>
      </x:c>
      <x:c r="AB110" s="46" t="str">
        <x:v>待验证</x:v>
      </x:c>
      <x:c r="AC110" s="46" t="str"/>
      <x:c r="AD110" s="46" t="str">
        <x:v>exchange_dimension=ED02; provisional=true; rule_group=EXCHANGE-ED维度</x:v>
      </x:c>
      <x:c r="AE110" s="46" t="str">
        <x:v>0.4</x:v>
      </x:c>
    </x:row>
    <x:row r="111" ht="50" customHeight="1">
      <x:c r="A111" s="46" t="str">
        <x:v>M5-EXCHANGE-110</x:v>
      </x:c>
      <x:c r="B111" s="46" t="str">
        <x:v>ED02 请求清晰度｜标准用户语言</x:v>
      </x:c>
      <x:c r="C111" s="46" t="str">
        <x:v>L2 交换过程维度</x:v>
      </x:c>
      <x:c r="D111" s="46" t="str">
        <x:v>EXCHANGE-ED维度</x:v>
      </x:c>
      <x:c r="E111" s="46" t="str">
        <x:v>通用</x:v>
      </x:c>
      <x:c r="F111" s="46" t="str">
        <x:v>输出</x:v>
      </x:c>
      <x:c r="G111" s="46" t="str">
        <x:v>ED02</x:v>
      </x:c>
      <x:c r="H111" s="46" t="str">
        <x:v>请求清晰度</x:v>
      </x:c>
      <x:c r="I111" s="46" t="str">
        <x:v>完成该维度裁决。</x:v>
      </x:c>
      <x:c r="J111" s="46" t="str">
        <x:v>结论仍未定。</x:v>
      </x:c>
      <x:c r="K111" s="46" t="str">
        <x:v>由共享基础引擎、M3与M5-BASE提供；只修正用户怎样给予、请求、接收和回馈，不直接判断双方现实交换质量。</x:v>
      </x:c>
      <x:c r="L111" s="46" t="str">
        <x:v>M2只说明进入关系所需资格证据；不能替代长期双向交换、负荷与修复验证。</x:v>
      </x:c>
      <x:c r="M111" s="46" t="str">
        <x:v>M3-BASE、EXPR、CARE和BOUND提供用户自然互动通道；M5-EXCHANGE负责把两人的实际行为合成为交换结构。</x:v>
      </x:c>
      <x:c r="N111" s="46" t="str">
        <x:v>无／按本规则指定的给予—请求—接收—反馈—重订路径路由。</x:v>
      </x:c>
      <x:c r="O111" s="46" t="str">
        <x:v>近位、远位只修正该交换需求进入亲密关系核心的可能；不得据此判断具体伴侣现实中一定配合。</x:v>
      </x:c>
      <x:c r="P111" s="46" t="str">
        <x:v>根气只修正用户交换需求和通道是否稳定重复，不等于双方已形成成熟互惠。</x:v>
      </x:c>
      <x:c r="Q111" s="46" t="str">
        <x:v>旺弱只修正通道调用强度、抢位或缺位风险，不直接等于交换公平或关系质量。</x:v>
      </x:c>
      <x:c r="R111" s="46" t="str">
        <x:v>喜忌只修正调用顺畅度与摩擦，不可直接翻译为理想伴侣五行、十神或必然互补。</x:v>
      </x:c>
      <x:c r="S111" s="46" t="str">
        <x:v>真合化成立时按化神功能重算用户交换需求；合化争议时停止细化交换通道。</x:v>
      </x:c>
      <x:c r="T111" s="46" t="str">
        <x:v>近位提高该交换议题进入关系核心的可能；远位只保留背景或阶段性观察。</x:v>
      </x:c>
      <x:c r="U111" s="46" t="str">
        <x:v>70</x:v>
      </x:c>
      <x:c r="V111" s="46" t="str">
        <x:v>不加分；输出</x:v>
      </x:c>
      <x:c r="W111" s="46" t="str">
        <x:v>report_text</x:v>
      </x:c>
      <x:c r="X111" s="46" t="str">
        <x:v>能请求，交换才有清楚入口。</x:v>
      </x:c>
      <x:c r="Y111" s="46" t="str">
        <x:v>交换重点：能请求，交换才有清楚入口。</x:v>
      </x:c>
      <x:c r="Z11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1" s="46" t="str">
        <x:v>中高</x:v>
      </x:c>
      <x:c r="AB111" s="46" t="str">
        <x:v>待验证</x:v>
      </x:c>
      <x:c r="AC111" s="46" t="str"/>
      <x:c r="AD111" s="46" t="str">
        <x:v>exchange_dimension=ED02; provisional=true; rule_group=EXCHANGE-ED维度</x:v>
      </x:c>
      <x:c r="AE111" s="46" t="str">
        <x:v>0.4</x:v>
      </x:c>
    </x:row>
    <x:row r="112" ht="50" customHeight="1">
      <x:c r="A112" s="46" t="str">
        <x:v>M5-EXCHANGE-111</x:v>
      </x:c>
      <x:c r="B112" s="46" t="str">
        <x:v>ED03 接收能力｜正式定义</x:v>
      </x:c>
      <x:c r="C112" s="46" t="str">
        <x:v>L2 交换过程维度</x:v>
      </x:c>
      <x:c r="D112" s="46" t="str">
        <x:v>EXCHANGE-ED维度</x:v>
      </x:c>
      <x:c r="E112" s="46" t="str">
        <x:v>通用</x:v>
      </x:c>
      <x:c r="F112" s="46" t="str">
        <x:v>定义</x:v>
      </x:c>
      <x:c r="G112" s="46" t="str">
        <x:v>ED03</x:v>
      </x:c>
      <x:c r="H112" s="46" t="str">
        <x:v>接收能力</x:v>
      </x:c>
      <x:c r="I112" s="46" t="str">
        <x:v>存在具体双人交换资料。</x:v>
      </x:c>
      <x:c r="J112" s="46" t="str">
        <x:v>只有命盘需求或单方抽象评价。</x:v>
      </x:c>
      <x:c r="K112" s="46" t="str">
        <x:v>由共享基础引擎、M3与M5-BASE提供；只修正用户怎样给予、请求、接收和回馈，不直接判断双方现实交换质量。</x:v>
      </x:c>
      <x:c r="L112" s="46" t="str">
        <x:v>M2只说明进入关系所需资格证据；不能替代长期双向交换、负荷与修复验证。</x:v>
      </x:c>
      <x:c r="M112" s="46" t="str">
        <x:v>M3-BASE、EXPR、CARE和BOUND提供用户自然互动通道；M5-EXCHANGE负责把两人的实际行为合成为交换结构。</x:v>
      </x:c>
      <x:c r="N112" s="46" t="str">
        <x:v>无／按本规则指定的给予—请求—接收—反馈—重订路径路由。</x:v>
      </x:c>
      <x:c r="O112" s="46" t="str">
        <x:v>近位、远位只修正该交换需求进入亲密关系核心的可能；不得据此判断具体伴侣现实中一定配合。</x:v>
      </x:c>
      <x:c r="P112" s="46" t="str">
        <x:v>根气只修正用户交换需求和通道是否稳定重复，不等于双方已形成成熟互惠。</x:v>
      </x:c>
      <x:c r="Q112" s="46" t="str">
        <x:v>旺弱只修正通道调用强度、抢位或缺位风险，不直接等于交换公平或关系质量。</x:v>
      </x:c>
      <x:c r="R112" s="46" t="str">
        <x:v>喜忌只修正调用顺畅度与摩擦，不可直接翻译为理想伴侣五行、十神或必然互补。</x:v>
      </x:c>
      <x:c r="S112" s="46" t="str">
        <x:v>真合化成立时按化神功能重算用户交换需求；合化争议时停止细化交换通道。</x:v>
      </x:c>
      <x:c r="T112" s="46" t="str">
        <x:v>近位提高该交换议题进入关系核心的可能；远位只保留背景或阶段性观察。</x:v>
      </x:c>
      <x:c r="U112" s="46" t="str">
        <x:v>94</x:v>
      </x:c>
      <x:c r="V112" s="46" t="str">
        <x:v>不加分；定义</x:v>
      </x:c>
      <x:c r="W112" s="46" t="str">
        <x:v>exchange_dimensions</x:v>
      </x:c>
      <x:c r="X112" s="46" t="str">
        <x:v>双方是否能够接受帮助、情绪支持和资源，而不立即拒绝、欠债化或失去自主。</x:v>
      </x:c>
      <x:c r="Y112" s="46" t="str">
        <x:v>会给予，也要能够接收。</x:v>
      </x:c>
      <x:c r="Z11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2" s="46" t="str">
        <x:v>高</x:v>
      </x:c>
      <x:c r="AB112" s="46" t="str">
        <x:v>待验证</x:v>
      </x:c>
      <x:c r="AC112" s="46" t="str"/>
      <x:c r="AD112" s="46" t="str">
        <x:v>exchange_dimension=ED03; provisional=true; rule_group=EXCHANGE-ED维度</x:v>
      </x:c>
      <x:c r="AE112" s="46" t="str">
        <x:v>0.4</x:v>
      </x:c>
    </x:row>
    <x:row r="113" ht="50" customHeight="1">
      <x:c r="A113" s="46" t="str">
        <x:v>M5-EXCHANGE-112</x:v>
      </x:c>
      <x:c r="B113" s="46" t="str">
        <x:v>ED03 接收能力｜可靠证据</x:v>
      </x:c>
      <x:c r="C113" s="46" t="str">
        <x:v>L2 交换过程维度</x:v>
      </x:c>
      <x:c r="D113" s="46" t="str">
        <x:v>EXCHANGE-ED维度</x:v>
      </x:c>
      <x:c r="E113" s="46" t="str">
        <x:v>通用</x:v>
      </x:c>
      <x:c r="F113" s="46" t="str">
        <x:v>证据</x:v>
      </x:c>
      <x:c r="G113" s="46" t="str">
        <x:v>ED03</x:v>
      </x:c>
      <x:c r="H113" s="46" t="str">
        <x:v>接收能力</x:v>
      </x:c>
      <x:c r="I113" s="46" t="str">
        <x:v>能够确认帮助、表达边界并允许自己被支持。</x:v>
      </x:c>
      <x:c r="J113" s="46" t="str">
        <x:v>同源重复、一次高光或只有一方自述。</x:v>
      </x:c>
      <x:c r="K113" s="46" t="str">
        <x:v>由共享基础引擎、M3与M5-BASE提供；只修正用户怎样给予、请求、接收和回馈，不直接判断双方现实交换质量。</x:v>
      </x:c>
      <x:c r="L113" s="46" t="str">
        <x:v>M2只说明进入关系所需资格证据；不能替代长期双向交换、负荷与修复验证。</x:v>
      </x:c>
      <x:c r="M113" s="46" t="str">
        <x:v>M3-BASE、EXPR、CARE和BOUND提供用户自然互动通道；M5-EXCHANGE负责把两人的实际行为合成为交换结构。</x:v>
      </x:c>
      <x:c r="N113" s="46" t="str">
        <x:v>无／按本规则指定的给予—请求—接收—反馈—重订路径路由。</x:v>
      </x:c>
      <x:c r="O113" s="46" t="str">
        <x:v>近位、远位只修正该交换需求进入亲密关系核心的可能；不得据此判断具体伴侣现实中一定配合。</x:v>
      </x:c>
      <x:c r="P113" s="46" t="str">
        <x:v>根气只修正用户交换需求和通道是否稳定重复，不等于双方已形成成熟互惠。</x:v>
      </x:c>
      <x:c r="Q113" s="46" t="str">
        <x:v>旺弱只修正通道调用强度、抢位或缺位风险，不直接等于交换公平或关系质量。</x:v>
      </x:c>
      <x:c r="R113" s="46" t="str">
        <x:v>喜忌只修正调用顺畅度与摩擦，不可直接翻译为理想伴侣五行、十神或必然互补。</x:v>
      </x:c>
      <x:c r="S113" s="46" t="str">
        <x:v>真合化成立时按化神功能重算用户交换需求；合化争议时停止细化交换通道。</x:v>
      </x:c>
      <x:c r="T113" s="46" t="str">
        <x:v>近位提高该交换议题进入关系核心的可能；远位只保留背景或阶段性观察。</x:v>
      </x:c>
      <x:c r="U113" s="46" t="str">
        <x:v>86</x:v>
      </x:c>
      <x:c r="V113" s="46" t="str">
        <x:v>+10 可靠证据</x:v>
      </x:c>
      <x:c r="W113" s="46" t="str">
        <x:v>exchange_evidence_level</x:v>
      </x:c>
      <x:c r="X113" s="46" t="str">
        <x:v>接收能力的可靠证据需要：能够确认帮助、表达边界并允许自己被支持。</x:v>
      </x:c>
      <x:c r="Y113" s="46" t="str">
        <x:v>这项交换要看：能够确认帮助、表达边界并允许自己被支持。</x:v>
      </x:c>
      <x:c r="Z11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3" s="46" t="str">
        <x:v>中高</x:v>
      </x:c>
      <x:c r="AB113" s="46" t="str">
        <x:v>待验证</x:v>
      </x:c>
      <x:c r="AC113" s="46" t="str"/>
      <x:c r="AD113" s="46" t="str">
        <x:v>exchange_dimension=ED03; provisional=true; rule_group=EXCHANGE-ED维度</x:v>
      </x:c>
      <x:c r="AE113" s="46" t="str">
        <x:v>0.4</x:v>
      </x:c>
    </x:row>
    <x:row r="114" ht="50" customHeight="1">
      <x:c r="A114" s="46" t="str">
        <x:v>M5-EXCHANGE-113</x:v>
      </x:c>
      <x:c r="B114" s="46" t="str">
        <x:v>ED03 接收能力｜不足与假阳性</x:v>
      </x:c>
      <x:c r="C114" s="46" t="str">
        <x:v>L2 交换过程维度</x:v>
      </x:c>
      <x:c r="D114" s="46" t="str">
        <x:v>EXCHANGE-ED维度</x:v>
      </x:c>
      <x:c r="E114" s="46" t="str">
        <x:v>通用</x:v>
      </x:c>
      <x:c r="F114" s="46" t="str">
        <x:v>降级</x:v>
      </x:c>
      <x:c r="G114" s="46" t="str">
        <x:v>ED03</x:v>
      </x:c>
      <x:c r="H114" s="46" t="str">
        <x:v>接收能力</x:v>
      </x:c>
      <x:c r="I114" s="46" t="str">
        <x:v>出现不足情形。</x:v>
      </x:c>
      <x:c r="J114" s="46" t="str">
        <x:v>XV5以上且反例检验支持成熟结构。</x:v>
      </x:c>
      <x:c r="K114" s="46" t="str">
        <x:v>由共享基础引擎、M3与M5-BASE提供；只修正用户怎样给予、请求、接收和回馈，不直接判断双方现实交换质量。</x:v>
      </x:c>
      <x:c r="L114" s="46" t="str">
        <x:v>M2只说明进入关系所需资格证据；不能替代长期双向交换、负荷与修复验证。</x:v>
      </x:c>
      <x:c r="M114" s="46" t="str">
        <x:v>M3-BASE、EXPR、CARE和BOUND提供用户自然互动通道；M5-EXCHANGE负责把两人的实际行为合成为交换结构。</x:v>
      </x:c>
      <x:c r="N114" s="46" t="str">
        <x:v>无／按本规则指定的给予—请求—接收—反馈—重订路径路由。</x:v>
      </x:c>
      <x:c r="O114" s="46" t="str">
        <x:v>近位、远位只修正该交换需求进入亲密关系核心的可能；不得据此判断具体伴侣现实中一定配合。</x:v>
      </x:c>
      <x:c r="P114" s="46" t="str">
        <x:v>根气只修正用户交换需求和通道是否稳定重复，不等于双方已形成成熟互惠。</x:v>
      </x:c>
      <x:c r="Q114" s="46" t="str">
        <x:v>旺弱只修正通道调用强度、抢位或缺位风险，不直接等于交换公平或关系质量。</x:v>
      </x:c>
      <x:c r="R114" s="46" t="str">
        <x:v>喜忌只修正调用顺畅度与摩擦，不可直接翻译为理想伴侣五行、十神或必然互补。</x:v>
      </x:c>
      <x:c r="S114" s="46" t="str">
        <x:v>真合化成立时按化神功能重算用户交换需求；合化争议时停止细化交换通道。</x:v>
      </x:c>
      <x:c r="T114" s="46" t="str">
        <x:v>近位提高该交换议题进入关系核心的可能；远位只保留背景或阶段性观察。</x:v>
      </x:c>
      <x:c r="U114" s="46" t="str">
        <x:v>90</x:v>
      </x:c>
      <x:c r="V114" s="46" t="str">
        <x:v>-10／降级</x:v>
      </x:c>
      <x:c r="W114" s="46" t="str">
        <x:v>pseudo_reciprocity_warning</x:v>
      </x:c>
      <x:c r="X114" s="46" t="str">
        <x:v>接收能力不能由以下资料直接成立：接受帮助就觉得必须立刻等量回报，或完全交出决定权。</x:v>
      </x:c>
      <x:c r="Y114" s="46" t="str">
        <x:v>目前不能只凭：接受帮助就觉得必须立刻等量回报，或完全交出决定权。</x:v>
      </x:c>
      <x:c r="Z11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4" s="46" t="str">
        <x:v>中高</x:v>
      </x:c>
      <x:c r="AB114" s="46" t="str">
        <x:v>待验证</x:v>
      </x:c>
      <x:c r="AC114" s="46" t="str"/>
      <x:c r="AD114" s="46" t="str">
        <x:v>exchange_dimension=ED03; provisional=true; rule_group=EXCHANGE-ED维度</x:v>
      </x:c>
      <x:c r="AE114" s="46" t="str">
        <x:v>0.4</x:v>
      </x:c>
    </x:row>
    <x:row r="115" ht="50" customHeight="1">
      <x:c r="A115" s="46" t="str">
        <x:v>M5-EXCHANGE-114</x:v>
      </x:c>
      <x:c r="B115" s="46" t="str">
        <x:v>ED03 接收能力｜工程评分</x:v>
      </x:c>
      <x:c r="C115" s="46" t="str">
        <x:v>L2 交换过程维度</x:v>
      </x:c>
      <x:c r="D115" s="46" t="str">
        <x:v>EXCHANGE-ED维度</x:v>
      </x:c>
      <x:c r="E115" s="46" t="str">
        <x:v>通用</x:v>
      </x:c>
      <x:c r="F115" s="46" t="str">
        <x:v>评分</x:v>
      </x:c>
      <x:c r="G115" s="46" t="str">
        <x:v>ED03</x:v>
      </x:c>
      <x:c r="H115" s="46" t="str">
        <x:v>接收能力</x:v>
      </x:c>
      <x:c r="I115" s="46" t="str">
        <x:v>该维度与主EC或EM任务一致，来源独立。</x:v>
      </x:c>
      <x:c r="J115" s="46" t="str">
        <x:v>只是同一事件的重复解释。</x:v>
      </x:c>
      <x:c r="K115" s="46" t="str">
        <x:v>由共享基础引擎、M3与M5-BASE提供；只修正用户怎样给予、请求、接收和回馈，不直接判断双方现实交换质量。</x:v>
      </x:c>
      <x:c r="L115" s="46" t="str">
        <x:v>M2只说明进入关系所需资格证据；不能替代长期双向交换、负荷与修复验证。</x:v>
      </x:c>
      <x:c r="M115" s="46" t="str">
        <x:v>M3-BASE、EXPR、CARE和BOUND提供用户自然互动通道；M5-EXCHANGE负责把两人的实际行为合成为交换结构。</x:v>
      </x:c>
      <x:c r="N115" s="46" t="str">
        <x:v>无／按本规则指定的给予—请求—接收—反馈—重订路径路由。</x:v>
      </x:c>
      <x:c r="O115" s="46" t="str">
        <x:v>近位、远位只修正该交换需求进入亲密关系核心的可能；不得据此判断具体伴侣现实中一定配合。</x:v>
      </x:c>
      <x:c r="P115" s="46" t="str">
        <x:v>根气只修正用户交换需求和通道是否稳定重复，不等于双方已形成成熟互惠。</x:v>
      </x:c>
      <x:c r="Q115" s="46" t="str">
        <x:v>旺弱只修正通道调用强度、抢位或缺位风险，不直接等于交换公平或关系质量。</x:v>
      </x:c>
      <x:c r="R115" s="46" t="str">
        <x:v>喜忌只修正调用顺畅度与摩擦，不可直接翻译为理想伴侣五行、十神或必然互补。</x:v>
      </x:c>
      <x:c r="S115" s="46" t="str">
        <x:v>真合化成立时按化神功能重算用户交换需求；合化争议时停止细化交换通道。</x:v>
      </x:c>
      <x:c r="T115" s="46" t="str">
        <x:v>近位提高该交换议题进入关系核心的可能；远位只保留背景或阶段性观察。</x:v>
      </x:c>
      <x:c r="U115" s="46" t="str">
        <x:v>72</x:v>
      </x:c>
      <x:c r="V115" s="46" t="str">
        <x:v>+4至+12；按XV层级</x:v>
      </x:c>
      <x:c r="W115" s="46" t="str">
        <x:v>confidence</x:v>
      </x:c>
      <x:c r="X115" s="46" t="str">
        <x:v>ED03只作为交换证据，不重新计算命盘基础权重。</x:v>
      </x:c>
      <x:c r="Y115" s="46" t="str">
        <x:v>会给予，也要能够接收。</x:v>
      </x:c>
      <x:c r="Z11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5" s="46" t="str">
        <x:v>中</x:v>
      </x:c>
      <x:c r="AB115" s="46" t="str">
        <x:v>待验证</x:v>
      </x:c>
      <x:c r="AC115" s="46" t="str"/>
      <x:c r="AD115" s="46" t="str">
        <x:v>exchange_dimension=ED03; provisional=true; rule_group=EXCHANGE-ED维度</x:v>
      </x:c>
      <x:c r="AE115" s="46" t="str">
        <x:v>0.4</x:v>
      </x:c>
    </x:row>
    <x:row r="116" ht="50" customHeight="1">
      <x:c r="A116" s="46" t="str">
        <x:v>M5-EXCHANGE-115</x:v>
      </x:c>
      <x:c r="B116" s="46" t="str">
        <x:v>ED03 接收能力｜标准用户语言</x:v>
      </x:c>
      <x:c r="C116" s="46" t="str">
        <x:v>L2 交换过程维度</x:v>
      </x:c>
      <x:c r="D116" s="46" t="str">
        <x:v>EXCHANGE-ED维度</x:v>
      </x:c>
      <x:c r="E116" s="46" t="str">
        <x:v>通用</x:v>
      </x:c>
      <x:c r="F116" s="46" t="str">
        <x:v>输出</x:v>
      </x:c>
      <x:c r="G116" s="46" t="str">
        <x:v>ED03</x:v>
      </x:c>
      <x:c r="H116" s="46" t="str">
        <x:v>接收能力</x:v>
      </x:c>
      <x:c r="I116" s="46" t="str">
        <x:v>完成该维度裁决。</x:v>
      </x:c>
      <x:c r="J116" s="46" t="str">
        <x:v>结论仍未定。</x:v>
      </x:c>
      <x:c r="K116" s="46" t="str">
        <x:v>由共享基础引擎、M3与M5-BASE提供；只修正用户怎样给予、请求、接收和回馈，不直接判断双方现实交换质量。</x:v>
      </x:c>
      <x:c r="L116" s="46" t="str">
        <x:v>M2只说明进入关系所需资格证据；不能替代长期双向交换、负荷与修复验证。</x:v>
      </x:c>
      <x:c r="M116" s="46" t="str">
        <x:v>M3-BASE、EXPR、CARE和BOUND提供用户自然互动通道；M5-EXCHANGE负责把两人的实际行为合成为交换结构。</x:v>
      </x:c>
      <x:c r="N116" s="46" t="str">
        <x:v>无／按本规则指定的给予—请求—接收—反馈—重订路径路由。</x:v>
      </x:c>
      <x:c r="O116" s="46" t="str">
        <x:v>近位、远位只修正该交换需求进入亲密关系核心的可能；不得据此判断具体伴侣现实中一定配合。</x:v>
      </x:c>
      <x:c r="P116" s="46" t="str">
        <x:v>根气只修正用户交换需求和通道是否稳定重复，不等于双方已形成成熟互惠。</x:v>
      </x:c>
      <x:c r="Q116" s="46" t="str">
        <x:v>旺弱只修正通道调用强度、抢位或缺位风险，不直接等于交换公平或关系质量。</x:v>
      </x:c>
      <x:c r="R116" s="46" t="str">
        <x:v>喜忌只修正调用顺畅度与摩擦，不可直接翻译为理想伴侣五行、十神或必然互补。</x:v>
      </x:c>
      <x:c r="S116" s="46" t="str">
        <x:v>真合化成立时按化神功能重算用户交换需求；合化争议时停止细化交换通道。</x:v>
      </x:c>
      <x:c r="T116" s="46" t="str">
        <x:v>近位提高该交换议题进入关系核心的可能；远位只保留背景或阶段性观察。</x:v>
      </x:c>
      <x:c r="U116" s="46" t="str">
        <x:v>70</x:v>
      </x:c>
      <x:c r="V116" s="46" t="str">
        <x:v>不加分；输出</x:v>
      </x:c>
      <x:c r="W116" s="46" t="str">
        <x:v>report_text</x:v>
      </x:c>
      <x:c r="X116" s="46" t="str">
        <x:v>会给予，也要能够接收。</x:v>
      </x:c>
      <x:c r="Y116" s="46" t="str">
        <x:v>交换重点：会给予，也要能够接收。</x:v>
      </x:c>
      <x:c r="Z11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6" s="46" t="str">
        <x:v>中高</x:v>
      </x:c>
      <x:c r="AB116" s="46" t="str">
        <x:v>待验证</x:v>
      </x:c>
      <x:c r="AC116" s="46" t="str"/>
      <x:c r="AD116" s="46" t="str">
        <x:v>exchange_dimension=ED03; provisional=true; rule_group=EXCHANGE-ED维度</x:v>
      </x:c>
      <x:c r="AE116" s="46" t="str">
        <x:v>0.4</x:v>
      </x:c>
    </x:row>
    <x:row r="117" ht="50" customHeight="1">
      <x:c r="A117" s="46" t="str">
        <x:v>M5-EXCHANGE-116</x:v>
      </x:c>
      <x:c r="B117" s="46" t="str">
        <x:v>ED04 回应识别度｜正式定义</x:v>
      </x:c>
      <x:c r="C117" s="46" t="str">
        <x:v>L2 交换过程维度</x:v>
      </x:c>
      <x:c r="D117" s="46" t="str">
        <x:v>EXCHANGE-ED维度</x:v>
      </x:c>
      <x:c r="E117" s="46" t="str">
        <x:v>通用</x:v>
      </x:c>
      <x:c r="F117" s="46" t="str">
        <x:v>定义</x:v>
      </x:c>
      <x:c r="G117" s="46" t="str">
        <x:v>ED04</x:v>
      </x:c>
      <x:c r="H117" s="46" t="str">
        <x:v>回应识别度</x:v>
      </x:c>
      <x:c r="I117" s="46" t="str">
        <x:v>存在具体双人交换资料。</x:v>
      </x:c>
      <x:c r="J117" s="46" t="str">
        <x:v>只有命盘需求或单方抽象评价。</x:v>
      </x:c>
      <x:c r="K117" s="46" t="str">
        <x:v>由共享基础引擎、M3与M5-BASE提供；只修正用户怎样给予、请求、接收和回馈，不直接判断双方现实交换质量。</x:v>
      </x:c>
      <x:c r="L117" s="46" t="str">
        <x:v>M2只说明进入关系所需资格证据；不能替代长期双向交换、负荷与修复验证。</x:v>
      </x:c>
      <x:c r="M117" s="46" t="str">
        <x:v>M3-BASE、EXPR、CARE和BOUND提供用户自然互动通道；M5-EXCHANGE负责把两人的实际行为合成为交换结构。</x:v>
      </x:c>
      <x:c r="N117" s="46" t="str">
        <x:v>无／按本规则指定的给予—请求—接收—反馈—重订路径路由。</x:v>
      </x:c>
      <x:c r="O117" s="46" t="str">
        <x:v>近位、远位只修正该交换需求进入亲密关系核心的可能；不得据此判断具体伴侣现实中一定配合。</x:v>
      </x:c>
      <x:c r="P117" s="46" t="str">
        <x:v>根气只修正用户交换需求和通道是否稳定重复，不等于双方已形成成熟互惠。</x:v>
      </x:c>
      <x:c r="Q117" s="46" t="str">
        <x:v>旺弱只修正通道调用强度、抢位或缺位风险，不直接等于交换公平或关系质量。</x:v>
      </x:c>
      <x:c r="R117" s="46" t="str">
        <x:v>喜忌只修正调用顺畅度与摩擦，不可直接翻译为理想伴侣五行、十神或必然互补。</x:v>
      </x:c>
      <x:c r="S117" s="46" t="str">
        <x:v>真合化成立时按化神功能重算用户交换需求；合化争议时停止细化交换通道。</x:v>
      </x:c>
      <x:c r="T117" s="46" t="str">
        <x:v>近位提高该交换议题进入关系核心的可能；远位只保留背景或阶段性观察。</x:v>
      </x:c>
      <x:c r="U117" s="46" t="str">
        <x:v>94</x:v>
      </x:c>
      <x:c r="V117" s="46" t="str">
        <x:v>不加分；定义</x:v>
      </x:c>
      <x:c r="W117" s="46" t="str">
        <x:v>exchange_dimensions</x:v>
      </x:c>
      <x:c r="X117" s="46" t="str">
        <x:v>对方的回应是否被接收到、确认，并与原请求对应。</x:v>
      </x:c>
      <x:c r="Y117" s="46" t="str">
        <x:v>回应是否命中，比投入量更重要。</x:v>
      </x:c>
      <x:c r="Z11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7" s="46" t="str">
        <x:v>高</x:v>
      </x:c>
      <x:c r="AB117" s="46" t="str">
        <x:v>待验证</x:v>
      </x:c>
      <x:c r="AC117" s="46" t="str"/>
      <x:c r="AD117" s="46" t="str">
        <x:v>exchange_dimension=ED04; provisional=true; rule_group=EXCHANGE-ED维度</x:v>
      </x:c>
      <x:c r="AE117" s="46" t="str">
        <x:v>0.4</x:v>
      </x:c>
    </x:row>
    <x:row r="118" ht="50" customHeight="1">
      <x:c r="A118" s="46" t="str">
        <x:v>M5-EXCHANGE-117</x:v>
      </x:c>
      <x:c r="B118" s="46" t="str">
        <x:v>ED04 回应识别度｜可靠证据</x:v>
      </x:c>
      <x:c r="C118" s="46" t="str">
        <x:v>L2 交换过程维度</x:v>
      </x:c>
      <x:c r="D118" s="46" t="str">
        <x:v>EXCHANGE-ED维度</x:v>
      </x:c>
      <x:c r="E118" s="46" t="str">
        <x:v>通用</x:v>
      </x:c>
      <x:c r="F118" s="46" t="str">
        <x:v>证据</x:v>
      </x:c>
      <x:c r="G118" s="46" t="str">
        <x:v>ED04</x:v>
      </x:c>
      <x:c r="H118" s="46" t="str">
        <x:v>回应识别度</x:v>
      </x:c>
      <x:c r="I118" s="46" t="str">
        <x:v>双方能复述自己理解的需要，并确认回应是否有用。</x:v>
      </x:c>
      <x:c r="J118" s="46" t="str">
        <x:v>同源重复、一次高光或只有一方自述。</x:v>
      </x:c>
      <x:c r="K118" s="46" t="str">
        <x:v>由共享基础引擎、M3与M5-BASE提供；只修正用户怎样给予、请求、接收和回馈，不直接判断双方现实交换质量。</x:v>
      </x:c>
      <x:c r="L118" s="46" t="str">
        <x:v>M2只说明进入关系所需资格证据；不能替代长期双向交换、负荷与修复验证。</x:v>
      </x:c>
      <x:c r="M118" s="46" t="str">
        <x:v>M3-BASE、EXPR、CARE和BOUND提供用户自然互动通道；M5-EXCHANGE负责把两人的实际行为合成为交换结构。</x:v>
      </x:c>
      <x:c r="N118" s="46" t="str">
        <x:v>无／按本规则指定的给予—请求—接收—反馈—重订路径路由。</x:v>
      </x:c>
      <x:c r="O118" s="46" t="str">
        <x:v>近位、远位只修正该交换需求进入亲密关系核心的可能；不得据此判断具体伴侣现实中一定配合。</x:v>
      </x:c>
      <x:c r="P118" s="46" t="str">
        <x:v>根气只修正用户交换需求和通道是否稳定重复，不等于双方已形成成熟互惠。</x:v>
      </x:c>
      <x:c r="Q118" s="46" t="str">
        <x:v>旺弱只修正通道调用强度、抢位或缺位风险，不直接等于交换公平或关系质量。</x:v>
      </x:c>
      <x:c r="R118" s="46" t="str">
        <x:v>喜忌只修正调用顺畅度与摩擦，不可直接翻译为理想伴侣五行、十神或必然互补。</x:v>
      </x:c>
      <x:c r="S118" s="46" t="str">
        <x:v>真合化成立时按化神功能重算用户交换需求；合化争议时停止细化交换通道。</x:v>
      </x:c>
      <x:c r="T118" s="46" t="str">
        <x:v>近位提高该交换议题进入关系核心的可能；远位只保留背景或阶段性观察。</x:v>
      </x:c>
      <x:c r="U118" s="46" t="str">
        <x:v>86</x:v>
      </x:c>
      <x:c r="V118" s="46" t="str">
        <x:v>+10 可靠证据</x:v>
      </x:c>
      <x:c r="W118" s="46" t="str">
        <x:v>exchange_evidence_level</x:v>
      </x:c>
      <x:c r="X118" s="46" t="str">
        <x:v>回应识别度的可靠证据需要：双方能复述自己理解的需要，并确认回应是否有用。</x:v>
      </x:c>
      <x:c r="Y118" s="46" t="str">
        <x:v>这项交换要看：双方能复述自己理解的需要，并确认回应是否有用。</x:v>
      </x:c>
      <x:c r="Z11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8" s="46" t="str">
        <x:v>中高</x:v>
      </x:c>
      <x:c r="AB118" s="46" t="str">
        <x:v>待验证</x:v>
      </x:c>
      <x:c r="AC118" s="46" t="str"/>
      <x:c r="AD118" s="46" t="str">
        <x:v>exchange_dimension=ED04; provisional=true; rule_group=EXCHANGE-ED维度</x:v>
      </x:c>
      <x:c r="AE118" s="46" t="str">
        <x:v>0.4</x:v>
      </x:c>
    </x:row>
    <x:row r="119" ht="50" customHeight="1">
      <x:c r="A119" s="46" t="str">
        <x:v>M5-EXCHANGE-118</x:v>
      </x:c>
      <x:c r="B119" s="46" t="str">
        <x:v>ED04 回应识别度｜不足与假阳性</x:v>
      </x:c>
      <x:c r="C119" s="46" t="str">
        <x:v>L2 交换过程维度</x:v>
      </x:c>
      <x:c r="D119" s="46" t="str">
        <x:v>EXCHANGE-ED维度</x:v>
      </x:c>
      <x:c r="E119" s="46" t="str">
        <x:v>通用</x:v>
      </x:c>
      <x:c r="F119" s="46" t="str">
        <x:v>降级</x:v>
      </x:c>
      <x:c r="G119" s="46" t="str">
        <x:v>ED04</x:v>
      </x:c>
      <x:c r="H119" s="46" t="str">
        <x:v>回应识别度</x:v>
      </x:c>
      <x:c r="I119" s="46" t="str">
        <x:v>出现不足情形。</x:v>
      </x:c>
      <x:c r="J119" s="46" t="str">
        <x:v>XV5以上且反例检验支持成熟结构。</x:v>
      </x:c>
      <x:c r="K119" s="46" t="str">
        <x:v>由共享基础引擎、M3与M5-BASE提供；只修正用户怎样给予、请求、接收和回馈，不直接判断双方现实交换质量。</x:v>
      </x:c>
      <x:c r="L119" s="46" t="str">
        <x:v>M2只说明进入关系所需资格证据；不能替代长期双向交换、负荷与修复验证。</x:v>
      </x:c>
      <x:c r="M119" s="46" t="str">
        <x:v>M3-BASE、EXPR、CARE和BOUND提供用户自然互动通道；M5-EXCHANGE负责把两人的实际行为合成为交换结构。</x:v>
      </x:c>
      <x:c r="N119" s="46" t="str">
        <x:v>无／按本规则指定的给予—请求—接收—反馈—重订路径路由。</x:v>
      </x:c>
      <x:c r="O119" s="46" t="str">
        <x:v>近位、远位只修正该交换需求进入亲密关系核心的可能；不得据此判断具体伴侣现实中一定配合。</x:v>
      </x:c>
      <x:c r="P119" s="46" t="str">
        <x:v>根气只修正用户交换需求和通道是否稳定重复，不等于双方已形成成熟互惠。</x:v>
      </x:c>
      <x:c r="Q119" s="46" t="str">
        <x:v>旺弱只修正通道调用强度、抢位或缺位风险，不直接等于交换公平或关系质量。</x:v>
      </x:c>
      <x:c r="R119" s="46" t="str">
        <x:v>喜忌只修正调用顺畅度与摩擦，不可直接翻译为理想伴侣五行、十神或必然互补。</x:v>
      </x:c>
      <x:c r="S119" s="46" t="str">
        <x:v>真合化成立时按化神功能重算用户交换需求；合化争议时停止细化交换通道。</x:v>
      </x:c>
      <x:c r="T119" s="46" t="str">
        <x:v>近位提高该交换议题进入关系核心的可能；远位只保留背景或阶段性观察。</x:v>
      </x:c>
      <x:c r="U119" s="46" t="str">
        <x:v>90</x:v>
      </x:c>
      <x:c r="V119" s="46" t="str">
        <x:v>-10／降级</x:v>
      </x:c>
      <x:c r="W119" s="46" t="str">
        <x:v>pseudo_reciprocity_warning</x:v>
      </x:c>
      <x:c r="X119" s="46" t="str">
        <x:v>回应识别度不能由以下资料直接成立：给了很多，但并非对方需要；收到了回应却未被识别。</x:v>
      </x:c>
      <x:c r="Y119" s="46" t="str">
        <x:v>目前不能只凭：给了很多，但并非对方需要；收到了回应却未被识别。</x:v>
      </x:c>
      <x:c r="Z11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9" s="46" t="str">
        <x:v>中高</x:v>
      </x:c>
      <x:c r="AB119" s="46" t="str">
        <x:v>待验证</x:v>
      </x:c>
      <x:c r="AC119" s="46" t="str"/>
      <x:c r="AD119" s="46" t="str">
        <x:v>exchange_dimension=ED04; provisional=true; rule_group=EXCHANGE-ED维度</x:v>
      </x:c>
      <x:c r="AE119" s="46" t="str">
        <x:v>0.4</x:v>
      </x:c>
    </x:row>
    <x:row r="120" ht="50" customHeight="1">
      <x:c r="A120" s="46" t="str">
        <x:v>M5-EXCHANGE-119</x:v>
      </x:c>
      <x:c r="B120" s="46" t="str">
        <x:v>ED04 回应识别度｜工程评分</x:v>
      </x:c>
      <x:c r="C120" s="46" t="str">
        <x:v>L2 交换过程维度</x:v>
      </x:c>
      <x:c r="D120" s="46" t="str">
        <x:v>EXCHANGE-ED维度</x:v>
      </x:c>
      <x:c r="E120" s="46" t="str">
        <x:v>通用</x:v>
      </x:c>
      <x:c r="F120" s="46" t="str">
        <x:v>评分</x:v>
      </x:c>
      <x:c r="G120" s="46" t="str">
        <x:v>ED04</x:v>
      </x:c>
      <x:c r="H120" s="46" t="str">
        <x:v>回应识别度</x:v>
      </x:c>
      <x:c r="I120" s="46" t="str">
        <x:v>该维度与主EC或EM任务一致，来源独立。</x:v>
      </x:c>
      <x:c r="J120" s="46" t="str">
        <x:v>只是同一事件的重复解释。</x:v>
      </x:c>
      <x:c r="K120" s="46" t="str">
        <x:v>由共享基础引擎、M3与M5-BASE提供；只修正用户怎样给予、请求、接收和回馈，不直接判断双方现实交换质量。</x:v>
      </x:c>
      <x:c r="L120" s="46" t="str">
        <x:v>M2只说明进入关系所需资格证据；不能替代长期双向交换、负荷与修复验证。</x:v>
      </x:c>
      <x:c r="M120" s="46" t="str">
        <x:v>M3-BASE、EXPR、CARE和BOUND提供用户自然互动通道；M5-EXCHANGE负责把两人的实际行为合成为交换结构。</x:v>
      </x:c>
      <x:c r="N120" s="46" t="str">
        <x:v>无／按本规则指定的给予—请求—接收—反馈—重订路径路由。</x:v>
      </x:c>
      <x:c r="O120" s="46" t="str">
        <x:v>近位、远位只修正该交换需求进入亲密关系核心的可能；不得据此判断具体伴侣现实中一定配合。</x:v>
      </x:c>
      <x:c r="P120" s="46" t="str">
        <x:v>根气只修正用户交换需求和通道是否稳定重复，不等于双方已形成成熟互惠。</x:v>
      </x:c>
      <x:c r="Q120" s="46" t="str">
        <x:v>旺弱只修正通道调用强度、抢位或缺位风险，不直接等于交换公平或关系质量。</x:v>
      </x:c>
      <x:c r="R120" s="46" t="str">
        <x:v>喜忌只修正调用顺畅度与摩擦，不可直接翻译为理想伴侣五行、十神或必然互补。</x:v>
      </x:c>
      <x:c r="S120" s="46" t="str">
        <x:v>真合化成立时按化神功能重算用户交换需求；合化争议时停止细化交换通道。</x:v>
      </x:c>
      <x:c r="T120" s="46" t="str">
        <x:v>近位提高该交换议题进入关系核心的可能；远位只保留背景或阶段性观察。</x:v>
      </x:c>
      <x:c r="U120" s="46" t="str">
        <x:v>72</x:v>
      </x:c>
      <x:c r="V120" s="46" t="str">
        <x:v>+4至+12；按XV层级</x:v>
      </x:c>
      <x:c r="W120" s="46" t="str">
        <x:v>confidence</x:v>
      </x:c>
      <x:c r="X120" s="46" t="str">
        <x:v>ED04只作为交换证据，不重新计算命盘基础权重。</x:v>
      </x:c>
      <x:c r="Y120" s="46" t="str">
        <x:v>回应是否命中，比投入量更重要。</x:v>
      </x:c>
      <x:c r="Z12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0" s="46" t="str">
        <x:v>中</x:v>
      </x:c>
      <x:c r="AB120" s="46" t="str">
        <x:v>待验证</x:v>
      </x:c>
      <x:c r="AC120" s="46" t="str"/>
      <x:c r="AD120" s="46" t="str">
        <x:v>exchange_dimension=ED04; provisional=true; rule_group=EXCHANGE-ED维度</x:v>
      </x:c>
      <x:c r="AE120" s="46" t="str">
        <x:v>0.4</x:v>
      </x:c>
    </x:row>
    <x:row r="121" ht="50" customHeight="1">
      <x:c r="A121" s="46" t="str">
        <x:v>M5-EXCHANGE-120</x:v>
      </x:c>
      <x:c r="B121" s="46" t="str">
        <x:v>ED04 回应识别度｜标准用户语言</x:v>
      </x:c>
      <x:c r="C121" s="46" t="str">
        <x:v>L2 交换过程维度</x:v>
      </x:c>
      <x:c r="D121" s="46" t="str">
        <x:v>EXCHANGE-ED维度</x:v>
      </x:c>
      <x:c r="E121" s="46" t="str">
        <x:v>通用</x:v>
      </x:c>
      <x:c r="F121" s="46" t="str">
        <x:v>输出</x:v>
      </x:c>
      <x:c r="G121" s="46" t="str">
        <x:v>ED04</x:v>
      </x:c>
      <x:c r="H121" s="46" t="str">
        <x:v>回应识别度</x:v>
      </x:c>
      <x:c r="I121" s="46" t="str">
        <x:v>完成该维度裁决。</x:v>
      </x:c>
      <x:c r="J121" s="46" t="str">
        <x:v>结论仍未定。</x:v>
      </x:c>
      <x:c r="K121" s="46" t="str">
        <x:v>由共享基础引擎、M3与M5-BASE提供；只修正用户怎样给予、请求、接收和回馈，不直接判断双方现实交换质量。</x:v>
      </x:c>
      <x:c r="L121" s="46" t="str">
        <x:v>M2只说明进入关系所需资格证据；不能替代长期双向交换、负荷与修复验证。</x:v>
      </x:c>
      <x:c r="M121" s="46" t="str">
        <x:v>M3-BASE、EXPR、CARE和BOUND提供用户自然互动通道；M5-EXCHANGE负责把两人的实际行为合成为交换结构。</x:v>
      </x:c>
      <x:c r="N121" s="46" t="str">
        <x:v>无／按本规则指定的给予—请求—接收—反馈—重订路径路由。</x:v>
      </x:c>
      <x:c r="O121" s="46" t="str">
        <x:v>近位、远位只修正该交换需求进入亲密关系核心的可能；不得据此判断具体伴侣现实中一定配合。</x:v>
      </x:c>
      <x:c r="P121" s="46" t="str">
        <x:v>根气只修正用户交换需求和通道是否稳定重复，不等于双方已形成成熟互惠。</x:v>
      </x:c>
      <x:c r="Q121" s="46" t="str">
        <x:v>旺弱只修正通道调用强度、抢位或缺位风险，不直接等于交换公平或关系质量。</x:v>
      </x:c>
      <x:c r="R121" s="46" t="str">
        <x:v>喜忌只修正调用顺畅度与摩擦，不可直接翻译为理想伴侣五行、十神或必然互补。</x:v>
      </x:c>
      <x:c r="S121" s="46" t="str">
        <x:v>真合化成立时按化神功能重算用户交换需求；合化争议时停止细化交换通道。</x:v>
      </x:c>
      <x:c r="T121" s="46" t="str">
        <x:v>近位提高该交换议题进入关系核心的可能；远位只保留背景或阶段性观察。</x:v>
      </x:c>
      <x:c r="U121" s="46" t="str">
        <x:v>70</x:v>
      </x:c>
      <x:c r="V121" s="46" t="str">
        <x:v>不加分；输出</x:v>
      </x:c>
      <x:c r="W121" s="46" t="str">
        <x:v>report_text</x:v>
      </x:c>
      <x:c r="X121" s="46" t="str">
        <x:v>回应是否命中，比投入量更重要。</x:v>
      </x:c>
      <x:c r="Y121" s="46" t="str">
        <x:v>交换重点：回应是否命中，比投入量更重要。</x:v>
      </x:c>
      <x:c r="Z12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1" s="46" t="str">
        <x:v>中高</x:v>
      </x:c>
      <x:c r="AB121" s="46" t="str">
        <x:v>待验证</x:v>
      </x:c>
      <x:c r="AC121" s="46" t="str"/>
      <x:c r="AD121" s="46" t="str">
        <x:v>exchange_dimension=ED04; provisional=true; rule_group=EXCHANGE-ED维度</x:v>
      </x:c>
      <x:c r="AE121" s="46" t="str">
        <x:v>0.4</x:v>
      </x:c>
    </x:row>
    <x:row r="122" ht="50" customHeight="1">
      <x:c r="A122" s="46" t="str">
        <x:v>M5-EXCHANGE-121</x:v>
      </x:c>
      <x:c r="B122" s="46" t="str">
        <x:v>ED05 投入连续性｜正式定义</x:v>
      </x:c>
      <x:c r="C122" s="46" t="str">
        <x:v>L2 交换过程维度</x:v>
      </x:c>
      <x:c r="D122" s="46" t="str">
        <x:v>EXCHANGE-ED维度</x:v>
      </x:c>
      <x:c r="E122" s="46" t="str">
        <x:v>通用</x:v>
      </x:c>
      <x:c r="F122" s="46" t="str">
        <x:v>定义</x:v>
      </x:c>
      <x:c r="G122" s="46" t="str">
        <x:v>ED05</x:v>
      </x:c>
      <x:c r="H122" s="46" t="str">
        <x:v>投入连续性</x:v>
      </x:c>
      <x:c r="I122" s="46" t="str">
        <x:v>存在具体双人交换资料。</x:v>
      </x:c>
      <x:c r="J122" s="46" t="str">
        <x:v>只有命盘需求或单方抽象评价。</x:v>
      </x:c>
      <x:c r="K122" s="46" t="str">
        <x:v>由共享基础引擎、M3与M5-BASE提供；只修正用户怎样给予、请求、接收和回馈，不直接判断双方现实交换质量。</x:v>
      </x:c>
      <x:c r="L122" s="46" t="str">
        <x:v>M2只说明进入关系所需资格证据；不能替代长期双向交换、负荷与修复验证。</x:v>
      </x:c>
      <x:c r="M122" s="46" t="str">
        <x:v>M3-BASE、EXPR、CARE和BOUND提供用户自然互动通道；M5-EXCHANGE负责把两人的实际行为合成为交换结构。</x:v>
      </x:c>
      <x:c r="N122" s="46" t="str">
        <x:v>无／按本规则指定的给予—请求—接收—反馈—重订路径路由。</x:v>
      </x:c>
      <x:c r="O122" s="46" t="str">
        <x:v>近位、远位只修正该交换需求进入亲密关系核心的可能；不得据此判断具体伴侣现实中一定配合。</x:v>
      </x:c>
      <x:c r="P122" s="46" t="str">
        <x:v>根气只修正用户交换需求和通道是否稳定重复，不等于双方已形成成熟互惠。</x:v>
      </x:c>
      <x:c r="Q122" s="46" t="str">
        <x:v>旺弱只修正通道调用强度、抢位或缺位风险，不直接等于交换公平或关系质量。</x:v>
      </x:c>
      <x:c r="R122" s="46" t="str">
        <x:v>喜忌只修正调用顺畅度与摩擦，不可直接翻译为理想伴侣五行、十神或必然互补。</x:v>
      </x:c>
      <x:c r="S122" s="46" t="str">
        <x:v>真合化成立时按化神功能重算用户交换需求；合化争议时停止细化交换通道。</x:v>
      </x:c>
      <x:c r="T122" s="46" t="str">
        <x:v>近位提高该交换议题进入关系核心的可能；远位只保留背景或阶段性观察。</x:v>
      </x:c>
      <x:c r="U122" s="46" t="str">
        <x:v>94</x:v>
      </x:c>
      <x:c r="V122" s="46" t="str">
        <x:v>不加分；定义</x:v>
      </x:c>
      <x:c r="W122" s="46" t="str">
        <x:v>exchange_dimensions</x:v>
      </x:c>
      <x:c r="X122" s="46" t="str">
        <x:v>支持与投入能否重复，而不是只在高光、危机或新鲜期出现。</x:v>
      </x:c>
      <x:c r="Y122" s="46" t="str">
        <x:v>长期交换看连续，不只看强烈。</x:v>
      </x:c>
      <x:c r="Z12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2" s="46" t="str">
        <x:v>高</x:v>
      </x:c>
      <x:c r="AB122" s="46" t="str">
        <x:v>待验证</x:v>
      </x:c>
      <x:c r="AC122" s="46" t="str"/>
      <x:c r="AD122" s="46" t="str">
        <x:v>exchange_dimension=ED05; provisional=true; rule_group=EXCHANGE-ED维度</x:v>
      </x:c>
      <x:c r="AE122" s="46" t="str">
        <x:v>0.4</x:v>
      </x:c>
    </x:row>
    <x:row r="123" ht="50" customHeight="1">
      <x:c r="A123" s="46" t="str">
        <x:v>M5-EXCHANGE-122</x:v>
      </x:c>
      <x:c r="B123" s="46" t="str">
        <x:v>ED05 投入连续性｜可靠证据</x:v>
      </x:c>
      <x:c r="C123" s="46" t="str">
        <x:v>L2 交换过程维度</x:v>
      </x:c>
      <x:c r="D123" s="46" t="str">
        <x:v>EXCHANGE-ED维度</x:v>
      </x:c>
      <x:c r="E123" s="46" t="str">
        <x:v>通用</x:v>
      </x:c>
      <x:c r="F123" s="46" t="str">
        <x:v>证据</x:v>
      </x:c>
      <x:c r="G123" s="46" t="str">
        <x:v>ED05</x:v>
      </x:c>
      <x:c r="H123" s="46" t="str">
        <x:v>投入连续性</x:v>
      </x:c>
      <x:c r="I123" s="46" t="str">
        <x:v>同类场景重复、跨阶段保持，并在成本变化时重订。</x:v>
      </x:c>
      <x:c r="J123" s="46" t="str">
        <x:v>同源重复、一次高光或只有一方自述。</x:v>
      </x:c>
      <x:c r="K123" s="46" t="str">
        <x:v>由共享基础引擎、M3与M5-BASE提供；只修正用户怎样给予、请求、接收和回馈，不直接判断双方现实交换质量。</x:v>
      </x:c>
      <x:c r="L123" s="46" t="str">
        <x:v>M2只说明进入关系所需资格证据；不能替代长期双向交换、负荷与修复验证。</x:v>
      </x:c>
      <x:c r="M123" s="46" t="str">
        <x:v>M3-BASE、EXPR、CARE和BOUND提供用户自然互动通道；M5-EXCHANGE负责把两人的实际行为合成为交换结构。</x:v>
      </x:c>
      <x:c r="N123" s="46" t="str">
        <x:v>无／按本规则指定的给予—请求—接收—反馈—重订路径路由。</x:v>
      </x:c>
      <x:c r="O123" s="46" t="str">
        <x:v>近位、远位只修正该交换需求进入亲密关系核心的可能；不得据此判断具体伴侣现实中一定配合。</x:v>
      </x:c>
      <x:c r="P123" s="46" t="str">
        <x:v>根气只修正用户交换需求和通道是否稳定重复，不等于双方已形成成熟互惠。</x:v>
      </x:c>
      <x:c r="Q123" s="46" t="str">
        <x:v>旺弱只修正通道调用强度、抢位或缺位风险，不直接等于交换公平或关系质量。</x:v>
      </x:c>
      <x:c r="R123" s="46" t="str">
        <x:v>喜忌只修正调用顺畅度与摩擦，不可直接翻译为理想伴侣五行、十神或必然互补。</x:v>
      </x:c>
      <x:c r="S123" s="46" t="str">
        <x:v>真合化成立时按化神功能重算用户交换需求；合化争议时停止细化交换通道。</x:v>
      </x:c>
      <x:c r="T123" s="46" t="str">
        <x:v>近位提高该交换议题进入关系核心的可能；远位只保留背景或阶段性观察。</x:v>
      </x:c>
      <x:c r="U123" s="46" t="str">
        <x:v>86</x:v>
      </x:c>
      <x:c r="V123" s="46" t="str">
        <x:v>+10 可靠证据</x:v>
      </x:c>
      <x:c r="W123" s="46" t="str">
        <x:v>exchange_evidence_level</x:v>
      </x:c>
      <x:c r="X123" s="46" t="str">
        <x:v>投入连续性的可靠证据需要：同类场景重复、跨阶段保持，并在成本变化时重订。</x:v>
      </x:c>
      <x:c r="Y123" s="46" t="str">
        <x:v>这项交换要看：同类场景重复、跨阶段保持，并在成本变化时重订。</x:v>
      </x:c>
      <x:c r="Z12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3" s="46" t="str">
        <x:v>中高</x:v>
      </x:c>
      <x:c r="AB123" s="46" t="str">
        <x:v>待验证</x:v>
      </x:c>
      <x:c r="AC123" s="46" t="str"/>
      <x:c r="AD123" s="46" t="str">
        <x:v>exchange_dimension=ED05; provisional=true; rule_group=EXCHANGE-ED维度</x:v>
      </x:c>
      <x:c r="AE123" s="46" t="str">
        <x:v>0.4</x:v>
      </x:c>
    </x:row>
    <x:row r="124" ht="50" customHeight="1">
      <x:c r="A124" s="46" t="str">
        <x:v>M5-EXCHANGE-123</x:v>
      </x:c>
      <x:c r="B124" s="46" t="str">
        <x:v>ED05 投入连续性｜不足与假阳性</x:v>
      </x:c>
      <x:c r="C124" s="46" t="str">
        <x:v>L2 交换过程维度</x:v>
      </x:c>
      <x:c r="D124" s="46" t="str">
        <x:v>EXCHANGE-ED维度</x:v>
      </x:c>
      <x:c r="E124" s="46" t="str">
        <x:v>通用</x:v>
      </x:c>
      <x:c r="F124" s="46" t="str">
        <x:v>降级</x:v>
      </x:c>
      <x:c r="G124" s="46" t="str">
        <x:v>ED05</x:v>
      </x:c>
      <x:c r="H124" s="46" t="str">
        <x:v>投入连续性</x:v>
      </x:c>
      <x:c r="I124" s="46" t="str">
        <x:v>出现不足情形。</x:v>
      </x:c>
      <x:c r="J124" s="46" t="str">
        <x:v>XV5以上且反例检验支持成熟结构。</x:v>
      </x:c>
      <x:c r="K124" s="46" t="str">
        <x:v>由共享基础引擎、M3与M5-BASE提供；只修正用户怎样给予、请求、接收和回馈，不直接判断双方现实交换质量。</x:v>
      </x:c>
      <x:c r="L124" s="46" t="str">
        <x:v>M2只说明进入关系所需资格证据；不能替代长期双向交换、负荷与修复验证。</x:v>
      </x:c>
      <x:c r="M124" s="46" t="str">
        <x:v>M3-BASE、EXPR、CARE和BOUND提供用户自然互动通道；M5-EXCHANGE负责把两人的实际行为合成为交换结构。</x:v>
      </x:c>
      <x:c r="N124" s="46" t="str">
        <x:v>无／按本规则指定的给予—请求—接收—反馈—重订路径路由。</x:v>
      </x:c>
      <x:c r="O124" s="46" t="str">
        <x:v>近位、远位只修正该交换需求进入亲密关系核心的可能；不得据此判断具体伴侣现实中一定配合。</x:v>
      </x:c>
      <x:c r="P124" s="46" t="str">
        <x:v>根气只修正用户交换需求和通道是否稳定重复，不等于双方已形成成熟互惠。</x:v>
      </x:c>
      <x:c r="Q124" s="46" t="str">
        <x:v>旺弱只修正通道调用强度、抢位或缺位风险，不直接等于交换公平或关系质量。</x:v>
      </x:c>
      <x:c r="R124" s="46" t="str">
        <x:v>喜忌只修正调用顺畅度与摩擦，不可直接翻译为理想伴侣五行、十神或必然互补。</x:v>
      </x:c>
      <x:c r="S124" s="46" t="str">
        <x:v>真合化成立时按化神功能重算用户交换需求；合化争议时停止细化交换通道。</x:v>
      </x:c>
      <x:c r="T124" s="46" t="str">
        <x:v>近位提高该交换议题进入关系核心的可能；远位只保留背景或阶段性观察。</x:v>
      </x:c>
      <x:c r="U124" s="46" t="str">
        <x:v>90</x:v>
      </x:c>
      <x:c r="V124" s="46" t="str">
        <x:v>-10／降级</x:v>
      </x:c>
      <x:c r="W124" s="46" t="str">
        <x:v>pseudo_reciprocity_warning</x:v>
      </x:c>
      <x:c r="X124" s="46" t="str">
        <x:v>投入连续性不能由以下资料直接成立：一次礼物、一次保护、一次长谈或短期热情。</x:v>
      </x:c>
      <x:c r="Y124" s="46" t="str">
        <x:v>目前不能只凭：一次礼物、一次保护、一次长谈或短期热情。</x:v>
      </x:c>
      <x:c r="Z12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4" s="46" t="str">
        <x:v>中高</x:v>
      </x:c>
      <x:c r="AB124" s="46" t="str">
        <x:v>待验证</x:v>
      </x:c>
      <x:c r="AC124" s="46" t="str"/>
      <x:c r="AD124" s="46" t="str">
        <x:v>exchange_dimension=ED05; provisional=true; rule_group=EXCHANGE-ED维度</x:v>
      </x:c>
      <x:c r="AE124" s="46" t="str">
        <x:v>0.4</x:v>
      </x:c>
    </x:row>
    <x:row r="125" ht="50" customHeight="1">
      <x:c r="A125" s="46" t="str">
        <x:v>M5-EXCHANGE-124</x:v>
      </x:c>
      <x:c r="B125" s="46" t="str">
        <x:v>ED05 投入连续性｜工程评分</x:v>
      </x:c>
      <x:c r="C125" s="46" t="str">
        <x:v>L2 交换过程维度</x:v>
      </x:c>
      <x:c r="D125" s="46" t="str">
        <x:v>EXCHANGE-ED维度</x:v>
      </x:c>
      <x:c r="E125" s="46" t="str">
        <x:v>通用</x:v>
      </x:c>
      <x:c r="F125" s="46" t="str">
        <x:v>评分</x:v>
      </x:c>
      <x:c r="G125" s="46" t="str">
        <x:v>ED05</x:v>
      </x:c>
      <x:c r="H125" s="46" t="str">
        <x:v>投入连续性</x:v>
      </x:c>
      <x:c r="I125" s="46" t="str">
        <x:v>该维度与主EC或EM任务一致，来源独立。</x:v>
      </x:c>
      <x:c r="J125" s="46" t="str">
        <x:v>只是同一事件的重复解释。</x:v>
      </x:c>
      <x:c r="K125" s="46" t="str">
        <x:v>由共享基础引擎、M3与M5-BASE提供；只修正用户怎样给予、请求、接收和回馈，不直接判断双方现实交换质量。</x:v>
      </x:c>
      <x:c r="L125" s="46" t="str">
        <x:v>M2只说明进入关系所需资格证据；不能替代长期双向交换、负荷与修复验证。</x:v>
      </x:c>
      <x:c r="M125" s="46" t="str">
        <x:v>M3-BASE、EXPR、CARE和BOUND提供用户自然互动通道；M5-EXCHANGE负责把两人的实际行为合成为交换结构。</x:v>
      </x:c>
      <x:c r="N125" s="46" t="str">
        <x:v>无／按本规则指定的给予—请求—接收—反馈—重订路径路由。</x:v>
      </x:c>
      <x:c r="O125" s="46" t="str">
        <x:v>近位、远位只修正该交换需求进入亲密关系核心的可能；不得据此判断具体伴侣现实中一定配合。</x:v>
      </x:c>
      <x:c r="P125" s="46" t="str">
        <x:v>根气只修正用户交换需求和通道是否稳定重复，不等于双方已形成成熟互惠。</x:v>
      </x:c>
      <x:c r="Q125" s="46" t="str">
        <x:v>旺弱只修正通道调用强度、抢位或缺位风险，不直接等于交换公平或关系质量。</x:v>
      </x:c>
      <x:c r="R125" s="46" t="str">
        <x:v>喜忌只修正调用顺畅度与摩擦，不可直接翻译为理想伴侣五行、十神或必然互补。</x:v>
      </x:c>
      <x:c r="S125" s="46" t="str">
        <x:v>真合化成立时按化神功能重算用户交换需求；合化争议时停止细化交换通道。</x:v>
      </x:c>
      <x:c r="T125" s="46" t="str">
        <x:v>近位提高该交换议题进入关系核心的可能；远位只保留背景或阶段性观察。</x:v>
      </x:c>
      <x:c r="U125" s="46" t="str">
        <x:v>72</x:v>
      </x:c>
      <x:c r="V125" s="46" t="str">
        <x:v>+4至+12；按XV层级</x:v>
      </x:c>
      <x:c r="W125" s="46" t="str">
        <x:v>confidence</x:v>
      </x:c>
      <x:c r="X125" s="46" t="str">
        <x:v>ED05只作为交换证据，不重新计算命盘基础权重。</x:v>
      </x:c>
      <x:c r="Y125" s="46" t="str">
        <x:v>长期交换看连续，不只看强烈。</x:v>
      </x:c>
      <x:c r="Z12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5" s="46" t="str">
        <x:v>中</x:v>
      </x:c>
      <x:c r="AB125" s="46" t="str">
        <x:v>待验证</x:v>
      </x:c>
      <x:c r="AC125" s="46" t="str"/>
      <x:c r="AD125" s="46" t="str">
        <x:v>exchange_dimension=ED05; provisional=true; rule_group=EXCHANGE-ED维度</x:v>
      </x:c>
      <x:c r="AE125" s="46" t="str">
        <x:v>0.4</x:v>
      </x:c>
    </x:row>
    <x:row r="126" ht="50" customHeight="1">
      <x:c r="A126" s="46" t="str">
        <x:v>M5-EXCHANGE-125</x:v>
      </x:c>
      <x:c r="B126" s="46" t="str">
        <x:v>ED05 投入连续性｜标准用户语言</x:v>
      </x:c>
      <x:c r="C126" s="46" t="str">
        <x:v>L2 交换过程维度</x:v>
      </x:c>
      <x:c r="D126" s="46" t="str">
        <x:v>EXCHANGE-ED维度</x:v>
      </x:c>
      <x:c r="E126" s="46" t="str">
        <x:v>通用</x:v>
      </x:c>
      <x:c r="F126" s="46" t="str">
        <x:v>输出</x:v>
      </x:c>
      <x:c r="G126" s="46" t="str">
        <x:v>ED05</x:v>
      </x:c>
      <x:c r="H126" s="46" t="str">
        <x:v>投入连续性</x:v>
      </x:c>
      <x:c r="I126" s="46" t="str">
        <x:v>完成该维度裁决。</x:v>
      </x:c>
      <x:c r="J126" s="46" t="str">
        <x:v>结论仍未定。</x:v>
      </x:c>
      <x:c r="K126" s="46" t="str">
        <x:v>由共享基础引擎、M3与M5-BASE提供；只修正用户怎样给予、请求、接收和回馈，不直接判断双方现实交换质量。</x:v>
      </x:c>
      <x:c r="L126" s="46" t="str">
        <x:v>M2只说明进入关系所需资格证据；不能替代长期双向交换、负荷与修复验证。</x:v>
      </x:c>
      <x:c r="M126" s="46" t="str">
        <x:v>M3-BASE、EXPR、CARE和BOUND提供用户自然互动通道；M5-EXCHANGE负责把两人的实际行为合成为交换结构。</x:v>
      </x:c>
      <x:c r="N126" s="46" t="str">
        <x:v>无／按本规则指定的给予—请求—接收—反馈—重订路径路由。</x:v>
      </x:c>
      <x:c r="O126" s="46" t="str">
        <x:v>近位、远位只修正该交换需求进入亲密关系核心的可能；不得据此判断具体伴侣现实中一定配合。</x:v>
      </x:c>
      <x:c r="P126" s="46" t="str">
        <x:v>根气只修正用户交换需求和通道是否稳定重复，不等于双方已形成成熟互惠。</x:v>
      </x:c>
      <x:c r="Q126" s="46" t="str">
        <x:v>旺弱只修正通道调用强度、抢位或缺位风险，不直接等于交换公平或关系质量。</x:v>
      </x:c>
      <x:c r="R126" s="46" t="str">
        <x:v>喜忌只修正调用顺畅度与摩擦，不可直接翻译为理想伴侣五行、十神或必然互补。</x:v>
      </x:c>
      <x:c r="S126" s="46" t="str">
        <x:v>真合化成立时按化神功能重算用户交换需求；合化争议时停止细化交换通道。</x:v>
      </x:c>
      <x:c r="T126" s="46" t="str">
        <x:v>近位提高该交换议题进入关系核心的可能；远位只保留背景或阶段性观察。</x:v>
      </x:c>
      <x:c r="U126" s="46" t="str">
        <x:v>70</x:v>
      </x:c>
      <x:c r="V126" s="46" t="str">
        <x:v>不加分；输出</x:v>
      </x:c>
      <x:c r="W126" s="46" t="str">
        <x:v>report_text</x:v>
      </x:c>
      <x:c r="X126" s="46" t="str">
        <x:v>长期交换看连续，不只看强烈。</x:v>
      </x:c>
      <x:c r="Y126" s="46" t="str">
        <x:v>交换重点：长期交换看连续，不只看强烈。</x:v>
      </x:c>
      <x:c r="Z12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6" s="46" t="str">
        <x:v>中高</x:v>
      </x:c>
      <x:c r="AB126" s="46" t="str">
        <x:v>待验证</x:v>
      </x:c>
      <x:c r="AC126" s="46" t="str"/>
      <x:c r="AD126" s="46" t="str">
        <x:v>exchange_dimension=ED05; provisional=true; rule_group=EXCHANGE-ED维度</x:v>
      </x:c>
      <x:c r="AE126" s="46" t="str">
        <x:v>0.4</x:v>
      </x:c>
    </x:row>
    <x:row r="127" ht="50" customHeight="1">
      <x:c r="A127" s="46" t="str">
        <x:v>M5-EXCHANGE-126</x:v>
      </x:c>
      <x:c r="B127" s="46" t="str">
        <x:v>ED06 互惠时序｜正式定义</x:v>
      </x:c>
      <x:c r="C127" s="46" t="str">
        <x:v>L2 交换过程维度</x:v>
      </x:c>
      <x:c r="D127" s="46" t="str">
        <x:v>EXCHANGE-ED维度</x:v>
      </x:c>
      <x:c r="E127" s="46" t="str">
        <x:v>通用</x:v>
      </x:c>
      <x:c r="F127" s="46" t="str">
        <x:v>定义</x:v>
      </x:c>
      <x:c r="G127" s="46" t="str">
        <x:v>ED06</x:v>
      </x:c>
      <x:c r="H127" s="46" t="str">
        <x:v>互惠时序</x:v>
      </x:c>
      <x:c r="I127" s="46" t="str">
        <x:v>存在具体双人交换资料。</x:v>
      </x:c>
      <x:c r="J127" s="46" t="str">
        <x:v>只有命盘需求或单方抽象评价。</x:v>
      </x:c>
      <x:c r="K127" s="46" t="str">
        <x:v>由共享基础引擎、M3与M5-BASE提供；只修正用户怎样给予、请求、接收和回馈，不直接判断双方现实交换质量。</x:v>
      </x:c>
      <x:c r="L127" s="46" t="str">
        <x:v>M2只说明进入关系所需资格证据；不能替代长期双向交换、负荷与修复验证。</x:v>
      </x:c>
      <x:c r="M127" s="46" t="str">
        <x:v>M3-BASE、EXPR、CARE和BOUND提供用户自然互动通道；M5-EXCHANGE负责把两人的实际行为合成为交换结构。</x:v>
      </x:c>
      <x:c r="N127" s="46" t="str">
        <x:v>无／按本规则指定的给予—请求—接收—反馈—重订路径路由。</x:v>
      </x:c>
      <x:c r="O127" s="46" t="str">
        <x:v>近位、远位只修正该交换需求进入亲密关系核心的可能；不得据此判断具体伴侣现实中一定配合。</x:v>
      </x:c>
      <x:c r="P127" s="46" t="str">
        <x:v>根气只修正用户交换需求和通道是否稳定重复，不等于双方已形成成熟互惠。</x:v>
      </x:c>
      <x:c r="Q127" s="46" t="str">
        <x:v>旺弱只修正通道调用强度、抢位或缺位风险，不直接等于交换公平或关系质量。</x:v>
      </x:c>
      <x:c r="R127" s="46" t="str">
        <x:v>喜忌只修正调用顺畅度与摩擦，不可直接翻译为理想伴侣五行、十神或必然互补。</x:v>
      </x:c>
      <x:c r="S127" s="46" t="str">
        <x:v>真合化成立时按化神功能重算用户交换需求；合化争议时停止细化交换通道。</x:v>
      </x:c>
      <x:c r="T127" s="46" t="str">
        <x:v>近位提高该交换议题进入关系核心的可能；远位只保留背景或阶段性观察。</x:v>
      </x:c>
      <x:c r="U127" s="46" t="str">
        <x:v>94</x:v>
      </x:c>
      <x:c r="V127" s="46" t="str">
        <x:v>不加分；定义</x:v>
      </x:c>
      <x:c r="W127" s="46" t="str">
        <x:v>exchange_dimensions</x:v>
      </x:c>
      <x:c r="X127" s="46" t="str">
        <x:v>回馈是同步、错峰还是延迟，双方是否理解并同意。</x:v>
      </x:c>
      <x:c r="Y127" s="46" t="str">
        <x:v>互惠不必同时，但要有可理解的时间结构。</x:v>
      </x:c>
      <x:c r="Z12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7" s="46" t="str">
        <x:v>高</x:v>
      </x:c>
      <x:c r="AB127" s="46" t="str">
        <x:v>待验证</x:v>
      </x:c>
      <x:c r="AC127" s="46" t="str"/>
      <x:c r="AD127" s="46" t="str">
        <x:v>exchange_dimension=ED06; provisional=true; rule_group=EXCHANGE-ED维度</x:v>
      </x:c>
      <x:c r="AE127" s="46" t="str">
        <x:v>0.4</x:v>
      </x:c>
    </x:row>
    <x:row r="128" ht="50" customHeight="1">
      <x:c r="A128" s="46" t="str">
        <x:v>M5-EXCHANGE-127</x:v>
      </x:c>
      <x:c r="B128" s="46" t="str">
        <x:v>ED06 互惠时序｜可靠证据</x:v>
      </x:c>
      <x:c r="C128" s="46" t="str">
        <x:v>L2 交换过程维度</x:v>
      </x:c>
      <x:c r="D128" s="46" t="str">
        <x:v>EXCHANGE-ED维度</x:v>
      </x:c>
      <x:c r="E128" s="46" t="str">
        <x:v>通用</x:v>
      </x:c>
      <x:c r="F128" s="46" t="str">
        <x:v>证据</x:v>
      </x:c>
      <x:c r="G128" s="46" t="str">
        <x:v>ED06</x:v>
      </x:c>
      <x:c r="H128" s="46" t="str">
        <x:v>互惠时序</x:v>
      </x:c>
      <x:c r="I128" s="46" t="str">
        <x:v>回馈时间、领域与预期可以被说明和复核。</x:v>
      </x:c>
      <x:c r="J128" s="46" t="str">
        <x:v>同源重复、一次高光或只有一方自述。</x:v>
      </x:c>
      <x:c r="K128" s="46" t="str">
        <x:v>由共享基础引擎、M3与M5-BASE提供；只修正用户怎样给予、请求、接收和回馈，不直接判断双方现实交换质量。</x:v>
      </x:c>
      <x:c r="L128" s="46" t="str">
        <x:v>M2只说明进入关系所需资格证据；不能替代长期双向交换、负荷与修复验证。</x:v>
      </x:c>
      <x:c r="M128" s="46" t="str">
        <x:v>M3-BASE、EXPR、CARE和BOUND提供用户自然互动通道；M5-EXCHANGE负责把两人的实际行为合成为交换结构。</x:v>
      </x:c>
      <x:c r="N128" s="46" t="str">
        <x:v>无／按本规则指定的给予—请求—接收—反馈—重订路径路由。</x:v>
      </x:c>
      <x:c r="O128" s="46" t="str">
        <x:v>近位、远位只修正该交换需求进入亲密关系核心的可能；不得据此判断具体伴侣现实中一定配合。</x:v>
      </x:c>
      <x:c r="P128" s="46" t="str">
        <x:v>根气只修正用户交换需求和通道是否稳定重复，不等于双方已形成成熟互惠。</x:v>
      </x:c>
      <x:c r="Q128" s="46" t="str">
        <x:v>旺弱只修正通道调用强度、抢位或缺位风险，不直接等于交换公平或关系质量。</x:v>
      </x:c>
      <x:c r="R128" s="46" t="str">
        <x:v>喜忌只修正调用顺畅度与摩擦，不可直接翻译为理想伴侣五行、十神或必然互补。</x:v>
      </x:c>
      <x:c r="S128" s="46" t="str">
        <x:v>真合化成立时按化神功能重算用户交换需求；合化争议时停止细化交换通道。</x:v>
      </x:c>
      <x:c r="T128" s="46" t="str">
        <x:v>近位提高该交换议题进入关系核心的可能；远位只保留背景或阶段性观察。</x:v>
      </x:c>
      <x:c r="U128" s="46" t="str">
        <x:v>86</x:v>
      </x:c>
      <x:c r="V128" s="46" t="str">
        <x:v>+10 可靠证据</x:v>
      </x:c>
      <x:c r="W128" s="46" t="str">
        <x:v>exchange_evidence_level</x:v>
      </x:c>
      <x:c r="X128" s="46" t="str">
        <x:v>互惠时序的可靠证据需要：回馈时间、领域与预期可以被说明和复核。</x:v>
      </x:c>
      <x:c r="Y128" s="46" t="str">
        <x:v>这项交换要看：回馈时间、领域与预期可以被说明和复核。</x:v>
      </x:c>
      <x:c r="Z12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8" s="46" t="str">
        <x:v>中高</x:v>
      </x:c>
      <x:c r="AB128" s="46" t="str">
        <x:v>待验证</x:v>
      </x:c>
      <x:c r="AC128" s="46" t="str"/>
      <x:c r="AD128" s="46" t="str">
        <x:v>exchange_dimension=ED06; provisional=true; rule_group=EXCHANGE-ED维度</x:v>
      </x:c>
      <x:c r="AE128" s="46" t="str">
        <x:v>0.4</x:v>
      </x:c>
    </x:row>
    <x:row r="129" ht="50" customHeight="1">
      <x:c r="A129" s="46" t="str">
        <x:v>M5-EXCHANGE-128</x:v>
      </x:c>
      <x:c r="B129" s="46" t="str">
        <x:v>ED06 互惠时序｜不足与假阳性</x:v>
      </x:c>
      <x:c r="C129" s="46" t="str">
        <x:v>L2 交换过程维度</x:v>
      </x:c>
      <x:c r="D129" s="46" t="str">
        <x:v>EXCHANGE-ED维度</x:v>
      </x:c>
      <x:c r="E129" s="46" t="str">
        <x:v>通用</x:v>
      </x:c>
      <x:c r="F129" s="46" t="str">
        <x:v>降级</x:v>
      </x:c>
      <x:c r="G129" s="46" t="str">
        <x:v>ED06</x:v>
      </x:c>
      <x:c r="H129" s="46" t="str">
        <x:v>互惠时序</x:v>
      </x:c>
      <x:c r="I129" s="46" t="str">
        <x:v>出现不足情形。</x:v>
      </x:c>
      <x:c r="J129" s="46" t="str">
        <x:v>XV5以上且反例检验支持成熟结构。</x:v>
      </x:c>
      <x:c r="K129" s="46" t="str">
        <x:v>由共享基础引擎、M3与M5-BASE提供；只修正用户怎样给予、请求、接收和回馈，不直接判断双方现实交换质量。</x:v>
      </x:c>
      <x:c r="L129" s="46" t="str">
        <x:v>M2只说明进入关系所需资格证据；不能替代长期双向交换、负荷与修复验证。</x:v>
      </x:c>
      <x:c r="M129" s="46" t="str">
        <x:v>M3-BASE、EXPR、CARE和BOUND提供用户自然互动通道；M5-EXCHANGE负责把两人的实际行为合成为交换结构。</x:v>
      </x:c>
      <x:c r="N129" s="46" t="str">
        <x:v>无／按本规则指定的给予—请求—接收—反馈—重订路径路由。</x:v>
      </x:c>
      <x:c r="O129" s="46" t="str">
        <x:v>近位、远位只修正该交换需求进入亲密关系核心的可能；不得据此判断具体伴侣现实中一定配合。</x:v>
      </x:c>
      <x:c r="P129" s="46" t="str">
        <x:v>根气只修正用户交换需求和通道是否稳定重复，不等于双方已形成成熟互惠。</x:v>
      </x:c>
      <x:c r="Q129" s="46" t="str">
        <x:v>旺弱只修正通道调用强度、抢位或缺位风险，不直接等于交换公平或关系质量。</x:v>
      </x:c>
      <x:c r="R129" s="46" t="str">
        <x:v>喜忌只修正调用顺畅度与摩擦，不可直接翻译为理想伴侣五行、十神或必然互补。</x:v>
      </x:c>
      <x:c r="S129" s="46" t="str">
        <x:v>真合化成立时按化神功能重算用户交换需求；合化争议时停止细化交换通道。</x:v>
      </x:c>
      <x:c r="T129" s="46" t="str">
        <x:v>近位提高该交换议题进入关系核心的可能；远位只保留背景或阶段性观察。</x:v>
      </x:c>
      <x:c r="U129" s="46" t="str">
        <x:v>90</x:v>
      </x:c>
      <x:c r="V129" s="46" t="str">
        <x:v>-10／降级</x:v>
      </x:c>
      <x:c r="W129" s="46" t="str">
        <x:v>pseudo_reciprocity_warning</x:v>
      </x:c>
      <x:c r="X129" s="46" t="str">
        <x:v>互惠时序不能由以下资料直接成立：要求立即回报，或无限期等待而没有约定。</x:v>
      </x:c>
      <x:c r="Y129" s="46" t="str">
        <x:v>目前不能只凭：要求立即回报，或无限期等待而没有约定。</x:v>
      </x:c>
      <x:c r="Z12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9" s="46" t="str">
        <x:v>中高</x:v>
      </x:c>
      <x:c r="AB129" s="46" t="str">
        <x:v>待验证</x:v>
      </x:c>
      <x:c r="AC129" s="46" t="str"/>
      <x:c r="AD129" s="46" t="str">
        <x:v>exchange_dimension=ED06; provisional=true; rule_group=EXCHANGE-ED维度</x:v>
      </x:c>
      <x:c r="AE129" s="46" t="str">
        <x:v>0.4</x:v>
      </x:c>
    </x:row>
    <x:row r="130" ht="50" customHeight="1">
      <x:c r="A130" s="46" t="str">
        <x:v>M5-EXCHANGE-129</x:v>
      </x:c>
      <x:c r="B130" s="46" t="str">
        <x:v>ED06 互惠时序｜工程评分</x:v>
      </x:c>
      <x:c r="C130" s="46" t="str">
        <x:v>L2 交换过程维度</x:v>
      </x:c>
      <x:c r="D130" s="46" t="str">
        <x:v>EXCHANGE-ED维度</x:v>
      </x:c>
      <x:c r="E130" s="46" t="str">
        <x:v>通用</x:v>
      </x:c>
      <x:c r="F130" s="46" t="str">
        <x:v>评分</x:v>
      </x:c>
      <x:c r="G130" s="46" t="str">
        <x:v>ED06</x:v>
      </x:c>
      <x:c r="H130" s="46" t="str">
        <x:v>互惠时序</x:v>
      </x:c>
      <x:c r="I130" s="46" t="str">
        <x:v>该维度与主EC或EM任务一致，来源独立。</x:v>
      </x:c>
      <x:c r="J130" s="46" t="str">
        <x:v>只是同一事件的重复解释。</x:v>
      </x:c>
      <x:c r="K130" s="46" t="str">
        <x:v>由共享基础引擎、M3与M5-BASE提供；只修正用户怎样给予、请求、接收和回馈，不直接判断双方现实交换质量。</x:v>
      </x:c>
      <x:c r="L130" s="46" t="str">
        <x:v>M2只说明进入关系所需资格证据；不能替代长期双向交换、负荷与修复验证。</x:v>
      </x:c>
      <x:c r="M130" s="46" t="str">
        <x:v>M3-BASE、EXPR、CARE和BOUND提供用户自然互动通道；M5-EXCHANGE负责把两人的实际行为合成为交换结构。</x:v>
      </x:c>
      <x:c r="N130" s="46" t="str">
        <x:v>无／按本规则指定的给予—请求—接收—反馈—重订路径路由。</x:v>
      </x:c>
      <x:c r="O130" s="46" t="str">
        <x:v>近位、远位只修正该交换需求进入亲密关系核心的可能；不得据此判断具体伴侣现实中一定配合。</x:v>
      </x:c>
      <x:c r="P130" s="46" t="str">
        <x:v>根气只修正用户交换需求和通道是否稳定重复，不等于双方已形成成熟互惠。</x:v>
      </x:c>
      <x:c r="Q130" s="46" t="str">
        <x:v>旺弱只修正通道调用强度、抢位或缺位风险，不直接等于交换公平或关系质量。</x:v>
      </x:c>
      <x:c r="R130" s="46" t="str">
        <x:v>喜忌只修正调用顺畅度与摩擦，不可直接翻译为理想伴侣五行、十神或必然互补。</x:v>
      </x:c>
      <x:c r="S130" s="46" t="str">
        <x:v>真合化成立时按化神功能重算用户交换需求；合化争议时停止细化交换通道。</x:v>
      </x:c>
      <x:c r="T130" s="46" t="str">
        <x:v>近位提高该交换议题进入关系核心的可能；远位只保留背景或阶段性观察。</x:v>
      </x:c>
      <x:c r="U130" s="46" t="str">
        <x:v>72</x:v>
      </x:c>
      <x:c r="V130" s="46" t="str">
        <x:v>+4至+12；按XV层级</x:v>
      </x:c>
      <x:c r="W130" s="46" t="str">
        <x:v>confidence</x:v>
      </x:c>
      <x:c r="X130" s="46" t="str">
        <x:v>ED06只作为交换证据，不重新计算命盘基础权重。</x:v>
      </x:c>
      <x:c r="Y130" s="46" t="str">
        <x:v>互惠不必同时，但要有可理解的时间结构。</x:v>
      </x:c>
      <x:c r="Z13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30" s="46" t="str">
        <x:v>中</x:v>
      </x:c>
      <x:c r="AB130" s="46" t="str">
        <x:v>待验证</x:v>
      </x:c>
      <x:c r="AC130" s="46" t="str"/>
      <x:c r="AD130" s="46" t="str">
        <x:v>exchange_dimension=ED06; provisional=true; rule_group=EXCHANGE-ED维度</x:v>
      </x:c>
      <x:c r="AE130" s="46" t="str">
        <x:v>0.4</x:v>
      </x:c>
    </x:row>
    <x:row r="131" ht="50" customHeight="1">
      <x:c r="A131" s="46" t="str">
        <x:v>M5-EXCHANGE-130</x:v>
      </x:c>
      <x:c r="B131" s="46" t="str">
        <x:v>ED06 互惠时序｜标准用户语言</x:v>
      </x:c>
      <x:c r="C131" s="46" t="str">
        <x:v>L2 交换过程维度</x:v>
      </x:c>
      <x:c r="D131" s="46" t="str">
        <x:v>EXCHANGE-ED维度</x:v>
      </x:c>
      <x:c r="E131" s="46" t="str">
        <x:v>通用</x:v>
      </x:c>
      <x:c r="F131" s="46" t="str">
        <x:v>输出</x:v>
      </x:c>
      <x:c r="G131" s="46" t="str">
        <x:v>ED06</x:v>
      </x:c>
      <x:c r="H131" s="46" t="str">
        <x:v>互惠时序</x:v>
      </x:c>
      <x:c r="I131" s="46" t="str">
        <x:v>完成该维度裁决。</x:v>
      </x:c>
      <x:c r="J131" s="46" t="str">
        <x:v>结论仍未定。</x:v>
      </x:c>
      <x:c r="K131" s="46" t="str">
        <x:v>由共享基础引擎、M3与M5-BASE提供；只修正用户怎样给予、请求、接收和回馈，不直接判断双方现实交换质量。</x:v>
      </x:c>
      <x:c r="L131" s="46" t="str">
        <x:v>M2只说明进入关系所需资格证据；不能替代长期双向交换、负荷与修复验证。</x:v>
      </x:c>
      <x:c r="M131" s="46" t="str">
        <x:v>M3-BASE、EXPR、CARE和BOUND提供用户自然互动通道；M5-EXCHANGE负责把两人的实际行为合成为交换结构。</x:v>
      </x:c>
      <x:c r="N131" s="46" t="str">
        <x:v>无／按本规则指定的给予—请求—接收—反馈—重订路径路由。</x:v>
      </x:c>
      <x:c r="O131" s="46" t="str">
        <x:v>近位、远位只修正该交换需求进入亲密关系核心的可能；不得据此判断具体伴侣现实中一定配合。</x:v>
      </x:c>
      <x:c r="P131" s="46" t="str">
        <x:v>根气只修正用户交换需求和通道是否稳定重复，不等于双方已形成成熟互惠。</x:v>
      </x:c>
      <x:c r="Q131" s="46" t="str">
        <x:v>旺弱只修正通道调用强度、抢位或缺位风险，不直接等于交换公平或关系质量。</x:v>
      </x:c>
      <x:c r="R131" s="46" t="str">
        <x:v>喜忌只修正调用顺畅度与摩擦，不可直接翻译为理想伴侣五行、十神或必然互补。</x:v>
      </x:c>
      <x:c r="S131" s="46" t="str">
        <x:v>真合化成立时按化神功能重算用户交换需求；合化争议时停止细化交换通道。</x:v>
      </x:c>
      <x:c r="T131" s="46" t="str">
        <x:v>近位提高该交换议题进入关系核心的可能；远位只保留背景或阶段性观察。</x:v>
      </x:c>
      <x:c r="U131" s="46" t="str">
        <x:v>70</x:v>
      </x:c>
      <x:c r="V131" s="46" t="str">
        <x:v>不加分；输出</x:v>
      </x:c>
      <x:c r="W131" s="46" t="str">
        <x:v>report_text</x:v>
      </x:c>
      <x:c r="X131" s="46" t="str">
        <x:v>互惠不必同时，但要有可理解的时间结构。</x:v>
      </x:c>
      <x:c r="Y131" s="46" t="str">
        <x:v>交换重点：互惠不必同时，但要有可理解的时间结构。</x:v>
      </x:c>
      <x:c r="Z13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31" s="46" t="str">
        <x:v>中高</x:v>
      </x:c>
      <x:c r="AB131" s="46" t="str">
        <x:v>待验证</x:v>
      </x:c>
      <x:c r="AC131" s="46" t="str"/>
      <x:c r="AD131" s="46" t="str">
        <x:v>exchange_dimension=ED06; provisional=true; rule_group=EXCHANGE-ED维度</x:v>
      </x:c>
      <x:c r="AE131" s="46" t="str">
        <x:v>0.4</x:v>
      </x:c>
    </x:row>
    <x:row r="132" ht="50" customHeight="1">
      <x:c r="A132" s="46" t="str">
        <x:v>M5-EXCHANGE-131</x:v>
      </x:c>
      <x:c r="B132" s="46" t="str">
        <x:v>ED07 角色与负荷平衡｜正式定义</x:v>
      </x:c>
      <x:c r="C132" s="46" t="str">
        <x:v>L2 交换过程维度</x:v>
      </x:c>
      <x:c r="D132" s="46" t="str">
        <x:v>EXCHANGE-ED维度</x:v>
      </x:c>
      <x:c r="E132" s="46" t="str">
        <x:v>通用</x:v>
      </x:c>
      <x:c r="F132" s="46" t="str">
        <x:v>定义</x:v>
      </x:c>
      <x:c r="G132" s="46" t="str">
        <x:v>ED07</x:v>
      </x:c>
      <x:c r="H132" s="46" t="str">
        <x:v>角色与负荷平衡</x:v>
      </x:c>
      <x:c r="I132" s="46" t="str">
        <x:v>存在具体双人交换资料。</x:v>
      </x:c>
      <x:c r="J132" s="46" t="str">
        <x:v>只有命盘需求或单方抽象评价。</x:v>
      </x:c>
      <x:c r="K132" s="46" t="str">
        <x:v>由共享基础引擎、M3与M5-BASE提供；只修正用户怎样给予、请求、接收和回馈，不直接判断双方现实交换质量。</x:v>
      </x:c>
      <x:c r="L132" s="46" t="str">
        <x:v>M2只说明进入关系所需资格证据；不能替代长期双向交换、负荷与修复验证。</x:v>
      </x:c>
      <x:c r="M132" s="46" t="str">
        <x:v>M3-BASE、EXPR、CARE和BOUND提供用户自然互动通道；M5-EXCHANGE负责把两人的实际行为合成为交换结构。</x:v>
      </x:c>
      <x:c r="N132" s="46" t="str">
        <x:v>无／按本规则指定的给予—请求—接收—反馈—重订路径路由。</x:v>
      </x:c>
      <x:c r="O132" s="46" t="str">
        <x:v>近位、远位只修正该交换需求进入亲密关系核心的可能；不得据此判断具体伴侣现实中一定配合。</x:v>
      </x:c>
      <x:c r="P132" s="46" t="str">
        <x:v>根气只修正用户交换需求和通道是否稳定重复，不等于双方已形成成熟互惠。</x:v>
      </x:c>
      <x:c r="Q132" s="46" t="str">
        <x:v>旺弱只修正通道调用强度、抢位或缺位风险，不直接等于交换公平或关系质量。</x:v>
      </x:c>
      <x:c r="R132" s="46" t="str">
        <x:v>喜忌只修正调用顺畅度与摩擦，不可直接翻译为理想伴侣五行、十神或必然互补。</x:v>
      </x:c>
      <x:c r="S132" s="46" t="str">
        <x:v>真合化成立时按化神功能重算用户交换需求；合化争议时停止细化交换通道。</x:v>
      </x:c>
      <x:c r="T132" s="46" t="str">
        <x:v>近位提高该交换议题进入关系核心的可能；远位只保留背景或阶段性观察。</x:v>
      </x:c>
      <x:c r="U132" s="46" t="str">
        <x:v>94</x:v>
      </x:c>
      <x:c r="V132" s="46" t="str">
        <x:v>不加分；定义</x:v>
      </x:c>
      <x:c r="W132" s="46" t="str">
        <x:v>exchange_dimensions</x:v>
      </x:c>
      <x:c r="X132" s="46" t="str">
        <x:v>分工是否符合能力和阶段，负荷能否被看见、调整和轮换。</x:v>
      </x:c>
      <x:c r="Y132" s="46" t="str">
        <x:v>公平不等于每项对半，而是负荷可持续、可重订。</x:v>
      </x:c>
      <x:c r="Z13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32" s="46" t="str">
        <x:v>高</x:v>
      </x:c>
      <x:c r="AB132" s="46" t="str">
        <x:v>待验证</x:v>
      </x:c>
      <x:c r="AC132" s="46" t="str"/>
      <x:c r="AD132" s="46" t="str">
        <x:v>exchange_dimension=ED07; provisional=true; rule_group=EXCHANGE-ED维度</x:v>
      </x:c>
      <x:c r="AE132" s="46" t="str">
        <x:v>0.4</x:v>
      </x:c>
    </x:row>
    <x:row r="133" ht="50" customHeight="1">
      <x:c r="A133" s="46" t="str">
        <x:v>M5-EXCHANGE-132</x:v>
      </x:c>
      <x:c r="B133" s="46" t="str">
        <x:v>ED07 角色与负荷平衡｜可靠证据</x:v>
      </x:c>
      <x:c r="C133" s="46" t="str">
        <x:v>L2 交换过程维度</x:v>
      </x:c>
      <x:c r="D133" s="46" t="str">
        <x:v>EXCHANGE-ED维度</x:v>
      </x:c>
      <x:c r="E133" s="46" t="str">
        <x:v>通用</x:v>
      </x:c>
      <x:c r="F133" s="46" t="str">
        <x:v>证据</x:v>
      </x:c>
      <x:c r="G133" s="46" t="str">
        <x:v>ED07</x:v>
      </x:c>
      <x:c r="H133" s="46" t="str">
        <x:v>角色与负荷平衡</x:v>
      </x:c>
      <x:c r="I133" s="46" t="str">
        <x:v>职责、时间、代价和休息权可被协商。</x:v>
      </x:c>
      <x:c r="J133" s="46" t="str">
        <x:v>同源重复、一次高光或只有一方自述。</x:v>
      </x:c>
      <x:c r="K133" s="46" t="str">
        <x:v>由共享基础引擎、M3与M5-BASE提供；只修正用户怎样给予、请求、接收和回馈，不直接判断双方现实交换质量。</x:v>
      </x:c>
      <x:c r="L133" s="46" t="str">
        <x:v>M2只说明进入关系所需资格证据；不能替代长期双向交换、负荷与修复验证。</x:v>
      </x:c>
      <x:c r="M133" s="46" t="str">
        <x:v>M3-BASE、EXPR、CARE和BOUND提供用户自然互动通道；M5-EXCHANGE负责把两人的实际行为合成为交换结构。</x:v>
      </x:c>
      <x:c r="N133" s="46" t="str">
        <x:v>无／按本规则指定的给予—请求—接收—反馈—重订路径路由。</x:v>
      </x:c>
      <x:c r="O133" s="46" t="str">
        <x:v>近位、远位只修正该交换需求进入亲密关系核心的可能；不得据此判断具体伴侣现实中一定配合。</x:v>
      </x:c>
      <x:c r="P133" s="46" t="str">
        <x:v>根气只修正用户交换需求和通道是否稳定重复，不等于双方已形成成熟互惠。</x:v>
      </x:c>
      <x:c r="Q133" s="46" t="str">
        <x:v>旺弱只修正通道调用强度、抢位或缺位风险，不直接等于交换公平或关系质量。</x:v>
      </x:c>
      <x:c r="R133" s="46" t="str">
        <x:v>喜忌只修正调用顺畅度与摩擦，不可直接翻译为理想伴侣五行、十神或必然互补。</x:v>
      </x:c>
      <x:c r="S133" s="46" t="str">
        <x:v>真合化成立时按化神功能重算用户交换需求；合化争议时停止细化交换通道。</x:v>
      </x:c>
      <x:c r="T133" s="46" t="str">
        <x:v>近位提高该交换议题进入关系核心的可能；远位只保留背景或阶段性观察。</x:v>
      </x:c>
      <x:c r="U133" s="46" t="str">
        <x:v>86</x:v>
      </x:c>
      <x:c r="V133" s="46" t="str">
        <x:v>+10 可靠证据</x:v>
      </x:c>
      <x:c r="W133" s="46" t="str">
        <x:v>exchange_evidence_level</x:v>
      </x:c>
      <x:c r="X133" s="46" t="str">
        <x:v>角色与负荷平衡的可靠证据需要：职责、时间、代价和休息权可被协商。</x:v>
      </x:c>
      <x:c r="Y133" s="46" t="str">
        <x:v>这项交换要看：职责、时间、代价和休息权可被协商。</x:v>
      </x:c>
      <x:c r="Z13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33" s="46" t="str">
        <x:v>中高</x:v>
      </x:c>
      <x:c r="AB133" s="46" t="str">
        <x:v>待验证</x:v>
      </x:c>
      <x:c r="AC133" s="46" t="str"/>
      <x:c r="AD133" s="46" t="str">
        <x:v>exchange_dimension=ED07; provisional=true; rule_group=EXCHANGE-ED维度</x:v>
      </x:c>
      <x:c r="AE133" s="46" t="str">
        <x:v>0.4</x:v>
      </x:c>
    </x:row>
    <x:row r="134" ht="50" customHeight="1">
      <x:c r="A134" s="46" t="str">
        <x:v>M5-EXCHANGE-133</x:v>
      </x:c>
      <x:c r="B134" s="46" t="str">
        <x:v>ED07 角色与负荷平衡｜不足与假阳性</x:v>
      </x:c>
      <x:c r="C134" s="46" t="str">
        <x:v>L2 交换过程维度</x:v>
      </x:c>
      <x:c r="D134" s="46" t="str">
        <x:v>EXCHANGE-ED维度</x:v>
      </x:c>
      <x:c r="E134" s="46" t="str">
        <x:v>通用</x:v>
      </x:c>
      <x:c r="F134" s="46" t="str">
        <x:v>降级</x:v>
      </x:c>
      <x:c r="G134" s="46" t="str">
        <x:v>ED07</x:v>
      </x:c>
      <x:c r="H134" s="46" t="str">
        <x:v>角色与负荷平衡</x:v>
      </x:c>
      <x:c r="I134" s="46" t="str">
        <x:v>出现不足情形。</x:v>
      </x:c>
      <x:c r="J134" s="46" t="str">
        <x:v>XV5以上且反例检验支持成熟结构。</x:v>
      </x:c>
      <x:c r="K134" s="46" t="str">
        <x:v>由共享基础引擎、M3与M5-BASE提供；只修正用户怎样给予、请求、接收和回馈，不直接判断双方现实交换质量。</x:v>
      </x:c>
      <x:c r="L134" s="46" t="str">
        <x:v>M2只说明进入关系所需资格证据；不能替代长期双向交换、负荷与修复验证。</x:v>
      </x:c>
      <x:c r="M134" s="46" t="str">
        <x:v>M3-BASE、EXPR、CARE和BOUND提供用户自然互动通道；M5-EXCHANGE负责把两人的实际行为合成为交换结构。</x:v>
      </x:c>
      <x:c r="N134" s="46" t="str">
        <x:v>无／按本规则指定的给予—请求—接收—反馈—重订路径路由。</x:v>
      </x:c>
      <x:c r="O134" s="46" t="str">
        <x:v>近位、远位只修正该交换需求进入亲密关系核心的可能；不得据此判断具体伴侣现实中一定配合。</x:v>
      </x:c>
      <x:c r="P134" s="46" t="str">
        <x:v>根气只修正用户交换需求和通道是否稳定重复，不等于双方已形成成熟互惠。</x:v>
      </x:c>
      <x:c r="Q134" s="46" t="str">
        <x:v>旺弱只修正通道调用强度、抢位或缺位风险，不直接等于交换公平或关系质量。</x:v>
      </x:c>
      <x:c r="R134" s="46" t="str">
        <x:v>喜忌只修正调用顺畅度与摩擦，不可直接翻译为理想伴侣五行、十神或必然互补。</x:v>
      </x:c>
      <x:c r="S134" s="46" t="str">
        <x:v>真合化成立时按化神功能重算用户交换需求；合化争议时停止细化交换通道。</x:v>
      </x:c>
      <x:c r="T134" s="46" t="str">
        <x:v>近位提高该交换议题进入关系核心的可能；远位只保留背景或阶段性观察。</x:v>
      </x:c>
      <x:c r="U134" s="46" t="str">
        <x:v>90</x:v>
      </x:c>
      <x:c r="V134" s="46" t="str">
        <x:v>-10／降级</x:v>
      </x:c>
      <x:c r="W134" s="46" t="str">
        <x:v>pseudo_reciprocity_warning</x:v>
      </x:c>
      <x:c r="X134" s="46" t="str">
        <x:v>角色与负荷平衡不能由以下资料直接成立：一方长期补位，另一方没有参与和成长。</x:v>
      </x:c>
      <x:c r="Y134" s="46" t="str">
        <x:v>目前不能只凭：一方长期补位，另一方没有参与和成长。</x:v>
      </x:c>
      <x:c r="Z13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34" s="46" t="str">
        <x:v>中高</x:v>
      </x:c>
      <x:c r="AB134" s="46" t="str">
        <x:v>待验证</x:v>
      </x:c>
      <x:c r="AC134" s="46" t="str"/>
      <x:c r="AD134" s="46" t="str">
        <x:v>exchange_dimension=ED07; provisional=true; rule_group=EXCHANGE-ED维度</x:v>
      </x:c>
      <x:c r="AE134" s="46" t="str">
        <x:v>0.4</x:v>
      </x:c>
    </x:row>
    <x:row r="135" ht="50" customHeight="1">
      <x:c r="A135" s="46" t="str">
        <x:v>M5-EXCHANGE-134</x:v>
      </x:c>
      <x:c r="B135" s="46" t="str">
        <x:v>ED07 角色与负荷平衡｜工程评分</x:v>
      </x:c>
      <x:c r="C135" s="46" t="str">
        <x:v>L2 交换过程维度</x:v>
      </x:c>
      <x:c r="D135" s="46" t="str">
        <x:v>EXCHANGE-ED维度</x:v>
      </x:c>
      <x:c r="E135" s="46" t="str">
        <x:v>通用</x:v>
      </x:c>
      <x:c r="F135" s="46" t="str">
        <x:v>评分</x:v>
      </x:c>
      <x:c r="G135" s="46" t="str">
        <x:v>ED07</x:v>
      </x:c>
      <x:c r="H135" s="46" t="str">
        <x:v>角色与负荷平衡</x:v>
      </x:c>
      <x:c r="I135" s="46" t="str">
        <x:v>该维度与主EC或EM任务一致，来源独立。</x:v>
      </x:c>
      <x:c r="J135" s="46" t="str">
        <x:v>只是同一事件的重复解释。</x:v>
      </x:c>
      <x:c r="K135" s="46" t="str">
        <x:v>由共享基础引擎、M3与M5-BASE提供；只修正用户怎样给予、请求、接收和回馈，不直接判断双方现实交换质量。</x:v>
      </x:c>
      <x:c r="L135" s="46" t="str">
        <x:v>M2只说明进入关系所需资格证据；不能替代长期双向交换、负荷与修复验证。</x:v>
      </x:c>
      <x:c r="M135" s="46" t="str">
        <x:v>M3-BASE、EXPR、CARE和BOUND提供用户自然互动通道；M5-EXCHANGE负责把两人的实际行为合成为交换结构。</x:v>
      </x:c>
      <x:c r="N135" s="46" t="str">
        <x:v>无／按本规则指定的给予—请求—接收—反馈—重订路径路由。</x:v>
      </x:c>
      <x:c r="O135" s="46" t="str">
        <x:v>近位、远位只修正该交换需求进入亲密关系核心的可能；不得据此判断具体伴侣现实中一定配合。</x:v>
      </x:c>
      <x:c r="P135" s="46" t="str">
        <x:v>根气只修正用户交换需求和通道是否稳定重复，不等于双方已形成成熟互惠。</x:v>
      </x:c>
      <x:c r="Q135" s="46" t="str">
        <x:v>旺弱只修正通道调用强度、抢位或缺位风险，不直接等于交换公平或关系质量。</x:v>
      </x:c>
      <x:c r="R135" s="46" t="str">
        <x:v>喜忌只修正调用顺畅度与摩擦，不可直接翻译为理想伴侣五行、十神或必然互补。</x:v>
      </x:c>
      <x:c r="S135" s="46" t="str">
        <x:v>真合化成立时按化神功能重算用户交换需求；合化争议时停止细化交换通道。</x:v>
      </x:c>
      <x:c r="T135" s="46" t="str">
        <x:v>近位提高该交换议题进入关系核心的可能；远位只保留背景或阶段性观察。</x:v>
      </x:c>
      <x:c r="U135" s="46" t="str">
        <x:v>72</x:v>
      </x:c>
      <x:c r="V135" s="46" t="str">
        <x:v>+4至+12；按XV层级</x:v>
      </x:c>
      <x:c r="W135" s="46" t="str">
        <x:v>confidence</x:v>
      </x:c>
      <x:c r="X135" s="46" t="str">
        <x:v>ED07只作为交换证据，不重新计算命盘基础权重。</x:v>
      </x:c>
      <x:c r="Y135" s="46" t="str">
        <x:v>公平不等于每项对半，而是负荷可持续、可重订。</x:v>
      </x:c>
      <x:c r="Z13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35" s="46" t="str">
        <x:v>中</x:v>
      </x:c>
      <x:c r="AB135" s="46" t="str">
        <x:v>待验证</x:v>
      </x:c>
      <x:c r="AC135" s="46" t="str"/>
      <x:c r="AD135" s="46" t="str">
        <x:v>exchange_dimension=ED07; provisional=true; rule_group=EXCHANGE-ED维度</x:v>
      </x:c>
      <x:c r="AE135" s="46" t="str">
        <x:v>0.4</x:v>
      </x:c>
    </x:row>
    <x:row r="136" ht="50" customHeight="1">
      <x:c r="A136" s="46" t="str">
        <x:v>M5-EXCHANGE-135</x:v>
      </x:c>
      <x:c r="B136" s="46" t="str">
        <x:v>ED07 角色与负荷平衡｜标准用户语言</x:v>
      </x:c>
      <x:c r="C136" s="46" t="str">
        <x:v>L2 交换过程维度</x:v>
      </x:c>
      <x:c r="D136" s="46" t="str">
        <x:v>EXCHANGE-ED维度</x:v>
      </x:c>
      <x:c r="E136" s="46" t="str">
        <x:v>通用</x:v>
      </x:c>
      <x:c r="F136" s="46" t="str">
        <x:v>输出</x:v>
      </x:c>
      <x:c r="G136" s="46" t="str">
        <x:v>ED07</x:v>
      </x:c>
      <x:c r="H136" s="46" t="str">
        <x:v>角色与负荷平衡</x:v>
      </x:c>
      <x:c r="I136" s="46" t="str">
        <x:v>完成该维度裁决。</x:v>
      </x:c>
      <x:c r="J136" s="46" t="str">
        <x:v>结论仍未定。</x:v>
      </x:c>
      <x:c r="K136" s="46" t="str">
        <x:v>由共享基础引擎、M3与M5-BASE提供；只修正用户怎样给予、请求、接收和回馈，不直接判断双方现实交换质量。</x:v>
      </x:c>
      <x:c r="L136" s="46" t="str">
        <x:v>M2只说明进入关系所需资格证据；不能替代长期双向交换、负荷与修复验证。</x:v>
      </x:c>
      <x:c r="M136" s="46" t="str">
        <x:v>M3-BASE、EXPR、CARE和BOUND提供用户自然互动通道；M5-EXCHANGE负责把两人的实际行为合成为交换结构。</x:v>
      </x:c>
      <x:c r="N136" s="46" t="str">
        <x:v>无／按本规则指定的给予—请求—接收—反馈—重订路径路由。</x:v>
      </x:c>
      <x:c r="O136" s="46" t="str">
        <x:v>近位、远位只修正该交换需求进入亲密关系核心的可能；不得据此判断具体伴侣现实中一定配合。</x:v>
      </x:c>
      <x:c r="P136" s="46" t="str">
        <x:v>根气只修正用户交换需求和通道是否稳定重复，不等于双方已形成成熟互惠。</x:v>
      </x:c>
      <x:c r="Q136" s="46" t="str">
        <x:v>旺弱只修正通道调用强度、抢位或缺位风险，不直接等于交换公平或关系质量。</x:v>
      </x:c>
      <x:c r="R136" s="46" t="str">
        <x:v>喜忌只修正调用顺畅度与摩擦，不可直接翻译为理想伴侣五行、十神或必然互补。</x:v>
      </x:c>
      <x:c r="S136" s="46" t="str">
        <x:v>真合化成立时按化神功能重算用户交换需求；合化争议时停止细化交换通道。</x:v>
      </x:c>
      <x:c r="T136" s="46" t="str">
        <x:v>近位提高该交换议题进入关系核心的可能；远位只保留背景或阶段性观察。</x:v>
      </x:c>
      <x:c r="U136" s="46" t="str">
        <x:v>70</x:v>
      </x:c>
      <x:c r="V136" s="46" t="str">
        <x:v>不加分；输出</x:v>
      </x:c>
      <x:c r="W136" s="46" t="str">
        <x:v>report_text</x:v>
      </x:c>
      <x:c r="X136" s="46" t="str">
        <x:v>公平不等于每项对半，而是负荷可持续、可重订。</x:v>
      </x:c>
      <x:c r="Y136" s="46" t="str">
        <x:v>交换重点：公平不等于每项对半，而是负荷可持续、可重订。</x:v>
      </x:c>
      <x:c r="Z13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36" s="46" t="str">
        <x:v>中高</x:v>
      </x:c>
      <x:c r="AB136" s="46" t="str">
        <x:v>待验证</x:v>
      </x:c>
      <x:c r="AC136" s="46" t="str"/>
      <x:c r="AD136" s="46" t="str">
        <x:v>exchange_dimension=ED07; provisional=true; rule_group=EXCHANGE-ED维度</x:v>
      </x:c>
      <x:c r="AE136" s="46" t="str">
        <x:v>0.4</x:v>
      </x:c>
    </x:row>
    <x:row r="137" ht="50" customHeight="1">
      <x:c r="A137" s="46" t="str">
        <x:v>M5-EXCHANGE-136</x:v>
      </x:c>
      <x:c r="B137" s="46" t="str">
        <x:v>ED08 同意与资源边界｜正式定义</x:v>
      </x:c>
      <x:c r="C137" s="46" t="str">
        <x:v>L2 交换过程维度</x:v>
      </x:c>
      <x:c r="D137" s="46" t="str">
        <x:v>EXCHANGE-ED维度</x:v>
      </x:c>
      <x:c r="E137" s="46" t="str">
        <x:v>通用</x:v>
      </x:c>
      <x:c r="F137" s="46" t="str">
        <x:v>定义</x:v>
      </x:c>
      <x:c r="G137" s="46" t="str">
        <x:v>ED08</x:v>
      </x:c>
      <x:c r="H137" s="46" t="str">
        <x:v>同意与资源边界</x:v>
      </x:c>
      <x:c r="I137" s="46" t="str">
        <x:v>存在具体双人交换资料。</x:v>
      </x:c>
      <x:c r="J137" s="46" t="str">
        <x:v>只有命盘需求或单方抽象评价。</x:v>
      </x:c>
      <x:c r="K137" s="46" t="str">
        <x:v>由共享基础引擎、M3与M5-BASE提供；只修正用户怎样给予、请求、接收和回馈，不直接判断双方现实交换质量。</x:v>
      </x:c>
      <x:c r="L137" s="46" t="str">
        <x:v>M2只说明进入关系所需资格证据；不能替代长期双向交换、负荷与修复验证。</x:v>
      </x:c>
      <x:c r="M137" s="46" t="str">
        <x:v>M3-BASE、EXPR、CARE和BOUND提供用户自然互动通道；M5-EXCHANGE负责把两人的实际行为合成为交换结构。</x:v>
      </x:c>
      <x:c r="N137" s="46" t="str">
        <x:v>无／按本规则指定的给予—请求—接收—反馈—重订路径路由。</x:v>
      </x:c>
      <x:c r="O137" s="46" t="str">
        <x:v>近位、远位只修正该交换需求进入亲密关系核心的可能；不得据此判断具体伴侣现实中一定配合。</x:v>
      </x:c>
      <x:c r="P137" s="46" t="str">
        <x:v>根气只修正用户交换需求和通道是否稳定重复，不等于双方已形成成熟互惠。</x:v>
      </x:c>
      <x:c r="Q137" s="46" t="str">
        <x:v>旺弱只修正通道调用强度、抢位或缺位风险，不直接等于交换公平或关系质量。</x:v>
      </x:c>
      <x:c r="R137" s="46" t="str">
        <x:v>喜忌只修正调用顺畅度与摩擦，不可直接翻译为理想伴侣五行、十神或必然互补。</x:v>
      </x:c>
      <x:c r="S137" s="46" t="str">
        <x:v>真合化成立时按化神功能重算用户交换需求；合化争议时停止细化交换通道。</x:v>
      </x:c>
      <x:c r="T137" s="46" t="str">
        <x:v>近位提高该交换议题进入关系核心的可能；远位只保留背景或阶段性观察。</x:v>
      </x:c>
      <x:c r="U137" s="46" t="str">
        <x:v>94</x:v>
      </x:c>
      <x:c r="V137" s="46" t="str">
        <x:v>不加分；定义</x:v>
      </x:c>
      <x:c r="W137" s="46" t="str">
        <x:v>exchange_dimensions</x:v>
      </x:c>
      <x:c r="X137" s="46" t="str">
        <x:v>帮助、金钱、时间、身体、隐私和决定是否建立在明确同意上。</x:v>
      </x:c>
      <x:c r="Y137" s="46" t="str">
        <x:v>支持不能越过同意和选择权。</x:v>
      </x:c>
      <x:c r="Z13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37" s="46" t="str">
        <x:v>高</x:v>
      </x:c>
      <x:c r="AB137" s="46" t="str">
        <x:v>待验证</x:v>
      </x:c>
      <x:c r="AC137" s="46" t="str"/>
      <x:c r="AD137" s="46" t="str">
        <x:v>exchange_dimension=ED08; provisional=true; rule_group=EXCHANGE-ED维度</x:v>
      </x:c>
      <x:c r="AE137" s="46" t="str">
        <x:v>0.4</x:v>
      </x:c>
    </x:row>
    <x:row r="138" ht="50" customHeight="1">
      <x:c r="A138" s="46" t="str">
        <x:v>M5-EXCHANGE-137</x:v>
      </x:c>
      <x:c r="B138" s="46" t="str">
        <x:v>ED08 同意与资源边界｜可靠证据</x:v>
      </x:c>
      <x:c r="C138" s="46" t="str">
        <x:v>L2 交换过程维度</x:v>
      </x:c>
      <x:c r="D138" s="46" t="str">
        <x:v>EXCHANGE-ED维度</x:v>
      </x:c>
      <x:c r="E138" s="46" t="str">
        <x:v>通用</x:v>
      </x:c>
      <x:c r="F138" s="46" t="str">
        <x:v>证据</x:v>
      </x:c>
      <x:c r="G138" s="46" t="str">
        <x:v>ED08</x:v>
      </x:c>
      <x:c r="H138" s="46" t="str">
        <x:v>同意与资源边界</x:v>
      </x:c>
      <x:c r="I138" s="46" t="str">
        <x:v>帮助前确认，过程中可暂停，事后可反馈。</x:v>
      </x:c>
      <x:c r="J138" s="46" t="str">
        <x:v>同源重复、一次高光或只有一方自述。</x:v>
      </x:c>
      <x:c r="K138" s="46" t="str">
        <x:v>由共享基础引擎、M3与M5-BASE提供；只修正用户怎样给予、请求、接收和回馈，不直接判断双方现实交换质量。</x:v>
      </x:c>
      <x:c r="L138" s="46" t="str">
        <x:v>M2只说明进入关系所需资格证据；不能替代长期双向交换、负荷与修复验证。</x:v>
      </x:c>
      <x:c r="M138" s="46" t="str">
        <x:v>M3-BASE、EXPR、CARE和BOUND提供用户自然互动通道；M5-EXCHANGE负责把两人的实际行为合成为交换结构。</x:v>
      </x:c>
      <x:c r="N138" s="46" t="str">
        <x:v>无／按本规则指定的给予—请求—接收—反馈—重订路径路由。</x:v>
      </x:c>
      <x:c r="O138" s="46" t="str">
        <x:v>近位、远位只修正该交换需求进入亲密关系核心的可能；不得据此判断具体伴侣现实中一定配合。</x:v>
      </x:c>
      <x:c r="P138" s="46" t="str">
        <x:v>根气只修正用户交换需求和通道是否稳定重复，不等于双方已形成成熟互惠。</x:v>
      </x:c>
      <x:c r="Q138" s="46" t="str">
        <x:v>旺弱只修正通道调用强度、抢位或缺位风险，不直接等于交换公平或关系质量。</x:v>
      </x:c>
      <x:c r="R138" s="46" t="str">
        <x:v>喜忌只修正调用顺畅度与摩擦，不可直接翻译为理想伴侣五行、十神或必然互补。</x:v>
      </x:c>
      <x:c r="S138" s="46" t="str">
        <x:v>真合化成立时按化神功能重算用户交换需求；合化争议时停止细化交换通道。</x:v>
      </x:c>
      <x:c r="T138" s="46" t="str">
        <x:v>近位提高该交换议题进入关系核心的可能；远位只保留背景或阶段性观察。</x:v>
      </x:c>
      <x:c r="U138" s="46" t="str">
        <x:v>86</x:v>
      </x:c>
      <x:c r="V138" s="46" t="str">
        <x:v>+10 可靠证据</x:v>
      </x:c>
      <x:c r="W138" s="46" t="str">
        <x:v>exchange_evidence_level</x:v>
      </x:c>
      <x:c r="X138" s="46" t="str">
        <x:v>同意与资源边界的可靠证据需要：帮助前确认，过程中可暂停，事后可反馈。</x:v>
      </x:c>
      <x:c r="Y138" s="46" t="str">
        <x:v>这项交换要看：帮助前确认，过程中可暂停，事后可反馈。</x:v>
      </x:c>
      <x:c r="Z13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38" s="46" t="str">
        <x:v>中高</x:v>
      </x:c>
      <x:c r="AB138" s="46" t="str">
        <x:v>待验证</x:v>
      </x:c>
      <x:c r="AC138" s="46" t="str"/>
      <x:c r="AD138" s="46" t="str">
        <x:v>exchange_dimension=ED08; provisional=true; rule_group=EXCHANGE-ED维度</x:v>
      </x:c>
      <x:c r="AE138" s="46" t="str">
        <x:v>0.4</x:v>
      </x:c>
    </x:row>
    <x:row r="139" ht="50" customHeight="1">
      <x:c r="A139" s="46" t="str">
        <x:v>M5-EXCHANGE-138</x:v>
      </x:c>
      <x:c r="B139" s="46" t="str">
        <x:v>ED08 同意与资源边界｜不足与假阳性</x:v>
      </x:c>
      <x:c r="C139" s="46" t="str">
        <x:v>L2 交换过程维度</x:v>
      </x:c>
      <x:c r="D139" s="46" t="str">
        <x:v>EXCHANGE-ED维度</x:v>
      </x:c>
      <x:c r="E139" s="46" t="str">
        <x:v>通用</x:v>
      </x:c>
      <x:c r="F139" s="46" t="str">
        <x:v>降级</x:v>
      </x:c>
      <x:c r="G139" s="46" t="str">
        <x:v>ED08</x:v>
      </x:c>
      <x:c r="H139" s="46" t="str">
        <x:v>同意与资源边界</x:v>
      </x:c>
      <x:c r="I139" s="46" t="str">
        <x:v>出现不足情形。</x:v>
      </x:c>
      <x:c r="J139" s="46" t="str">
        <x:v>XV5以上且反例检验支持成熟结构。</x:v>
      </x:c>
      <x:c r="K139" s="46" t="str">
        <x:v>由共享基础引擎、M3与M5-BASE提供；只修正用户怎样给予、请求、接收和回馈，不直接判断双方现实交换质量。</x:v>
      </x:c>
      <x:c r="L139" s="46" t="str">
        <x:v>M2只说明进入关系所需资格证据；不能替代长期双向交换、负荷与修复验证。</x:v>
      </x:c>
      <x:c r="M139" s="46" t="str">
        <x:v>M3-BASE、EXPR、CARE和BOUND提供用户自然互动通道；M5-EXCHANGE负责把两人的实际行为合成为交换结构。</x:v>
      </x:c>
      <x:c r="N139" s="46" t="str">
        <x:v>无／按本规则指定的给予—请求—接收—反馈—重订路径路由。</x:v>
      </x:c>
      <x:c r="O139" s="46" t="str">
        <x:v>近位、远位只修正该交换需求进入亲密关系核心的可能；不得据此判断具体伴侣现实中一定配合。</x:v>
      </x:c>
      <x:c r="P139" s="46" t="str">
        <x:v>根气只修正用户交换需求和通道是否稳定重复，不等于双方已形成成熟互惠。</x:v>
      </x:c>
      <x:c r="Q139" s="46" t="str">
        <x:v>旺弱只修正通道调用强度、抢位或缺位风险，不直接等于交换公平或关系质量。</x:v>
      </x:c>
      <x:c r="R139" s="46" t="str">
        <x:v>喜忌只修正调用顺畅度与摩擦，不可直接翻译为理想伴侣五行、十神或必然互补。</x:v>
      </x:c>
      <x:c r="S139" s="46" t="str">
        <x:v>真合化成立时按化神功能重算用户交换需求；合化争议时停止细化交换通道。</x:v>
      </x:c>
      <x:c r="T139" s="46" t="str">
        <x:v>近位提高该交换议题进入关系核心的可能；远位只保留背景或阶段性观察。</x:v>
      </x:c>
      <x:c r="U139" s="46" t="str">
        <x:v>90</x:v>
      </x:c>
      <x:c r="V139" s="46" t="str">
        <x:v>-10／降级</x:v>
      </x:c>
      <x:c r="W139" s="46" t="str">
        <x:v>pseudo_reciprocity_warning</x:v>
      </x:c>
      <x:c r="X139" s="46" t="str">
        <x:v>同意与资源边界不能由以下资料直接成立：以付出为由要求服从，或未经同意替对方决定。</x:v>
      </x:c>
      <x:c r="Y139" s="46" t="str">
        <x:v>目前不能只凭：以付出为由要求服从，或未经同意替对方决定。</x:v>
      </x:c>
      <x:c r="Z13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39" s="46" t="str">
        <x:v>中高</x:v>
      </x:c>
      <x:c r="AB139" s="46" t="str">
        <x:v>待验证</x:v>
      </x:c>
      <x:c r="AC139" s="46" t="str"/>
      <x:c r="AD139" s="46" t="str">
        <x:v>exchange_dimension=ED08; provisional=true; rule_group=EXCHANGE-ED维度</x:v>
      </x:c>
      <x:c r="AE139" s="46" t="str">
        <x:v>0.4</x:v>
      </x:c>
    </x:row>
    <x:row r="140" ht="50" customHeight="1">
      <x:c r="A140" s="46" t="str">
        <x:v>M5-EXCHANGE-139</x:v>
      </x:c>
      <x:c r="B140" s="46" t="str">
        <x:v>ED08 同意与资源边界｜工程评分</x:v>
      </x:c>
      <x:c r="C140" s="46" t="str">
        <x:v>L2 交换过程维度</x:v>
      </x:c>
      <x:c r="D140" s="46" t="str">
        <x:v>EXCHANGE-ED维度</x:v>
      </x:c>
      <x:c r="E140" s="46" t="str">
        <x:v>通用</x:v>
      </x:c>
      <x:c r="F140" s="46" t="str">
        <x:v>评分</x:v>
      </x:c>
      <x:c r="G140" s="46" t="str">
        <x:v>ED08</x:v>
      </x:c>
      <x:c r="H140" s="46" t="str">
        <x:v>同意与资源边界</x:v>
      </x:c>
      <x:c r="I140" s="46" t="str">
        <x:v>该维度与主EC或EM任务一致，来源独立。</x:v>
      </x:c>
      <x:c r="J140" s="46" t="str">
        <x:v>只是同一事件的重复解释。</x:v>
      </x:c>
      <x:c r="K140" s="46" t="str">
        <x:v>由共享基础引擎、M3与M5-BASE提供；只修正用户怎样给予、请求、接收和回馈，不直接判断双方现实交换质量。</x:v>
      </x:c>
      <x:c r="L140" s="46" t="str">
        <x:v>M2只说明进入关系所需资格证据；不能替代长期双向交换、负荷与修复验证。</x:v>
      </x:c>
      <x:c r="M140" s="46" t="str">
        <x:v>M3-BASE、EXPR、CARE和BOUND提供用户自然互动通道；M5-EXCHANGE负责把两人的实际行为合成为交换结构。</x:v>
      </x:c>
      <x:c r="N140" s="46" t="str">
        <x:v>无／按本规则指定的给予—请求—接收—反馈—重订路径路由。</x:v>
      </x:c>
      <x:c r="O140" s="46" t="str">
        <x:v>近位、远位只修正该交换需求进入亲密关系核心的可能；不得据此判断具体伴侣现实中一定配合。</x:v>
      </x:c>
      <x:c r="P140" s="46" t="str">
        <x:v>根气只修正用户交换需求和通道是否稳定重复，不等于双方已形成成熟互惠。</x:v>
      </x:c>
      <x:c r="Q140" s="46" t="str">
        <x:v>旺弱只修正通道调用强度、抢位或缺位风险，不直接等于交换公平或关系质量。</x:v>
      </x:c>
      <x:c r="R140" s="46" t="str">
        <x:v>喜忌只修正调用顺畅度与摩擦，不可直接翻译为理想伴侣五行、十神或必然互补。</x:v>
      </x:c>
      <x:c r="S140" s="46" t="str">
        <x:v>真合化成立时按化神功能重算用户交换需求；合化争议时停止细化交换通道。</x:v>
      </x:c>
      <x:c r="T140" s="46" t="str">
        <x:v>近位提高该交换议题进入关系核心的可能；远位只保留背景或阶段性观察。</x:v>
      </x:c>
      <x:c r="U140" s="46" t="str">
        <x:v>72</x:v>
      </x:c>
      <x:c r="V140" s="46" t="str">
        <x:v>+4至+12；按XV层级</x:v>
      </x:c>
      <x:c r="W140" s="46" t="str">
        <x:v>confidence</x:v>
      </x:c>
      <x:c r="X140" s="46" t="str">
        <x:v>ED08只作为交换证据，不重新计算命盘基础权重。</x:v>
      </x:c>
      <x:c r="Y140" s="46" t="str">
        <x:v>支持不能越过同意和选择权。</x:v>
      </x:c>
      <x:c r="Z14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40" s="46" t="str">
        <x:v>中</x:v>
      </x:c>
      <x:c r="AB140" s="46" t="str">
        <x:v>待验证</x:v>
      </x:c>
      <x:c r="AC140" s="46" t="str"/>
      <x:c r="AD140" s="46" t="str">
        <x:v>exchange_dimension=ED08; provisional=true; rule_group=EXCHANGE-ED维度</x:v>
      </x:c>
      <x:c r="AE140" s="46" t="str">
        <x:v>0.4</x:v>
      </x:c>
    </x:row>
    <x:row r="141" ht="50" customHeight="1">
      <x:c r="A141" s="46" t="str">
        <x:v>M5-EXCHANGE-140</x:v>
      </x:c>
      <x:c r="B141" s="46" t="str">
        <x:v>ED08 同意与资源边界｜标准用户语言</x:v>
      </x:c>
      <x:c r="C141" s="46" t="str">
        <x:v>L2 交换过程维度</x:v>
      </x:c>
      <x:c r="D141" s="46" t="str">
        <x:v>EXCHANGE-ED维度</x:v>
      </x:c>
      <x:c r="E141" s="46" t="str">
        <x:v>通用</x:v>
      </x:c>
      <x:c r="F141" s="46" t="str">
        <x:v>输出</x:v>
      </x:c>
      <x:c r="G141" s="46" t="str">
        <x:v>ED08</x:v>
      </x:c>
      <x:c r="H141" s="46" t="str">
        <x:v>同意与资源边界</x:v>
      </x:c>
      <x:c r="I141" s="46" t="str">
        <x:v>完成该维度裁决。</x:v>
      </x:c>
      <x:c r="J141" s="46" t="str">
        <x:v>结论仍未定。</x:v>
      </x:c>
      <x:c r="K141" s="46" t="str">
        <x:v>由共享基础引擎、M3与M5-BASE提供；只修正用户怎样给予、请求、接收和回馈，不直接判断双方现实交换质量。</x:v>
      </x:c>
      <x:c r="L141" s="46" t="str">
        <x:v>M2只说明进入关系所需资格证据；不能替代长期双向交换、负荷与修复验证。</x:v>
      </x:c>
      <x:c r="M141" s="46" t="str">
        <x:v>M3-BASE、EXPR、CARE和BOUND提供用户自然互动通道；M5-EXCHANGE负责把两人的实际行为合成为交换结构。</x:v>
      </x:c>
      <x:c r="N141" s="46" t="str">
        <x:v>无／按本规则指定的给予—请求—接收—反馈—重订路径路由。</x:v>
      </x:c>
      <x:c r="O141" s="46" t="str">
        <x:v>近位、远位只修正该交换需求进入亲密关系核心的可能；不得据此判断具体伴侣现实中一定配合。</x:v>
      </x:c>
      <x:c r="P141" s="46" t="str">
        <x:v>根气只修正用户交换需求和通道是否稳定重复，不等于双方已形成成熟互惠。</x:v>
      </x:c>
      <x:c r="Q141" s="46" t="str">
        <x:v>旺弱只修正通道调用强度、抢位或缺位风险，不直接等于交换公平或关系质量。</x:v>
      </x:c>
      <x:c r="R141" s="46" t="str">
        <x:v>喜忌只修正调用顺畅度与摩擦，不可直接翻译为理想伴侣五行、十神或必然互补。</x:v>
      </x:c>
      <x:c r="S141" s="46" t="str">
        <x:v>真合化成立时按化神功能重算用户交换需求；合化争议时停止细化交换通道。</x:v>
      </x:c>
      <x:c r="T141" s="46" t="str">
        <x:v>近位提高该交换议题进入关系核心的可能；远位只保留背景或阶段性观察。</x:v>
      </x:c>
      <x:c r="U141" s="46" t="str">
        <x:v>70</x:v>
      </x:c>
      <x:c r="V141" s="46" t="str">
        <x:v>不加分；输出</x:v>
      </x:c>
      <x:c r="W141" s="46" t="str">
        <x:v>report_text</x:v>
      </x:c>
      <x:c r="X141" s="46" t="str">
        <x:v>支持不能越过同意和选择权。</x:v>
      </x:c>
      <x:c r="Y141" s="46" t="str">
        <x:v>交换重点：支持不能越过同意和选择权。</x:v>
      </x:c>
      <x:c r="Z14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41" s="46" t="str">
        <x:v>中高</x:v>
      </x:c>
      <x:c r="AB141" s="46" t="str">
        <x:v>待验证</x:v>
      </x:c>
      <x:c r="AC141" s="46" t="str"/>
      <x:c r="AD141" s="46" t="str">
        <x:v>exchange_dimension=ED08; provisional=true; rule_group=EXCHANGE-ED维度</x:v>
      </x:c>
      <x:c r="AE141" s="46" t="str">
        <x:v>0.4</x:v>
      </x:c>
    </x:row>
    <x:row r="142" ht="50" customHeight="1">
      <x:c r="A142" s="46" t="str">
        <x:v>M5-EXCHANGE-141</x:v>
      </x:c>
      <x:c r="B142" s="46" t="str">
        <x:v>ED09 重新协商能力｜正式定义</x:v>
      </x:c>
      <x:c r="C142" s="46" t="str">
        <x:v>L2 交换过程维度</x:v>
      </x:c>
      <x:c r="D142" s="46" t="str">
        <x:v>EXCHANGE-ED维度</x:v>
      </x:c>
      <x:c r="E142" s="46" t="str">
        <x:v>通用</x:v>
      </x:c>
      <x:c r="F142" s="46" t="str">
        <x:v>定义</x:v>
      </x:c>
      <x:c r="G142" s="46" t="str">
        <x:v>ED09</x:v>
      </x:c>
      <x:c r="H142" s="46" t="str">
        <x:v>重新协商能力</x:v>
      </x:c>
      <x:c r="I142" s="46" t="str">
        <x:v>存在具体双人交换资料。</x:v>
      </x:c>
      <x:c r="J142" s="46" t="str">
        <x:v>只有命盘需求或单方抽象评价。</x:v>
      </x:c>
      <x:c r="K142" s="46" t="str">
        <x:v>由共享基础引擎、M3与M5-BASE提供；只修正用户怎样给予、请求、接收和回馈，不直接判断双方现实交换质量。</x:v>
      </x:c>
      <x:c r="L142" s="46" t="str">
        <x:v>M2只说明进入关系所需资格证据；不能替代长期双向交换、负荷与修复验证。</x:v>
      </x:c>
      <x:c r="M142" s="46" t="str">
        <x:v>M3-BASE、EXPR、CARE和BOUND提供用户自然互动通道；M5-EXCHANGE负责把两人的实际行为合成为交换结构。</x:v>
      </x:c>
      <x:c r="N142" s="46" t="str">
        <x:v>无／按本规则指定的给予—请求—接收—反馈—重订路径路由。</x:v>
      </x:c>
      <x:c r="O142" s="46" t="str">
        <x:v>近位、远位只修正该交换需求进入亲密关系核心的可能；不得据此判断具体伴侣现实中一定配合。</x:v>
      </x:c>
      <x:c r="P142" s="46" t="str">
        <x:v>根气只修正用户交换需求和通道是否稳定重复，不等于双方已形成成熟互惠。</x:v>
      </x:c>
      <x:c r="Q142" s="46" t="str">
        <x:v>旺弱只修正通道调用强度、抢位或缺位风险，不直接等于交换公平或关系质量。</x:v>
      </x:c>
      <x:c r="R142" s="46" t="str">
        <x:v>喜忌只修正调用顺畅度与摩擦，不可直接翻译为理想伴侣五行、十神或必然互补。</x:v>
      </x:c>
      <x:c r="S142" s="46" t="str">
        <x:v>真合化成立时按化神功能重算用户交换需求；合化争议时停止细化交换通道。</x:v>
      </x:c>
      <x:c r="T142" s="46" t="str">
        <x:v>近位提高该交换议题进入关系核心的可能；远位只保留背景或阶段性观察。</x:v>
      </x:c>
      <x:c r="U142" s="46" t="str">
        <x:v>94</x:v>
      </x:c>
      <x:c r="V142" s="46" t="str">
        <x:v>不加分；定义</x:v>
      </x:c>
      <x:c r="W142" s="46" t="str">
        <x:v>exchange_dimensions</x:v>
      </x:c>
      <x:c r="X142" s="46" t="str">
        <x:v>生活阶段、资源和需要变化时，交换规则能否更新。</x:v>
      </x:c>
      <x:c r="Y142" s="46" t="str">
        <x:v>长期关系需要不断重订，而不是一次定终身。</x:v>
      </x:c>
      <x:c r="Z14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42" s="46" t="str">
        <x:v>高</x:v>
      </x:c>
      <x:c r="AB142" s="46" t="str">
        <x:v>待验证</x:v>
      </x:c>
      <x:c r="AC142" s="46" t="str"/>
      <x:c r="AD142" s="46" t="str">
        <x:v>exchange_dimension=ED09; provisional=true; rule_group=EXCHANGE-ED维度</x:v>
      </x:c>
      <x:c r="AE142" s="46" t="str">
        <x:v>0.4</x:v>
      </x:c>
    </x:row>
    <x:row r="143" ht="50" customHeight="1">
      <x:c r="A143" s="46" t="str">
        <x:v>M5-EXCHANGE-142</x:v>
      </x:c>
      <x:c r="B143" s="46" t="str">
        <x:v>ED09 重新协商能力｜可靠证据</x:v>
      </x:c>
      <x:c r="C143" s="46" t="str">
        <x:v>L2 交换过程维度</x:v>
      </x:c>
      <x:c r="D143" s="46" t="str">
        <x:v>EXCHANGE-ED维度</x:v>
      </x:c>
      <x:c r="E143" s="46" t="str">
        <x:v>通用</x:v>
      </x:c>
      <x:c r="F143" s="46" t="str">
        <x:v>证据</x:v>
      </x:c>
      <x:c r="G143" s="46" t="str">
        <x:v>ED09</x:v>
      </x:c>
      <x:c r="H143" s="46" t="str">
        <x:v>重新协商能力</x:v>
      </x:c>
      <x:c r="I143" s="46" t="str">
        <x:v>出现变化后能谈分工、节奏、边界和责任。</x:v>
      </x:c>
      <x:c r="J143" s="46" t="str">
        <x:v>同源重复、一次高光或只有一方自述。</x:v>
      </x:c>
      <x:c r="K143" s="46" t="str">
        <x:v>由共享基础引擎、M3与M5-BASE提供；只修正用户怎样给予、请求、接收和回馈，不直接判断双方现实交换质量。</x:v>
      </x:c>
      <x:c r="L143" s="46" t="str">
        <x:v>M2只说明进入关系所需资格证据；不能替代长期双向交换、负荷与修复验证。</x:v>
      </x:c>
      <x:c r="M143" s="46" t="str">
        <x:v>M3-BASE、EXPR、CARE和BOUND提供用户自然互动通道；M5-EXCHANGE负责把两人的实际行为合成为交换结构。</x:v>
      </x:c>
      <x:c r="N143" s="46" t="str">
        <x:v>无／按本规则指定的给予—请求—接收—反馈—重订路径路由。</x:v>
      </x:c>
      <x:c r="O143" s="46" t="str">
        <x:v>近位、远位只修正该交换需求进入亲密关系核心的可能；不得据此判断具体伴侣现实中一定配合。</x:v>
      </x:c>
      <x:c r="P143" s="46" t="str">
        <x:v>根气只修正用户交换需求和通道是否稳定重复，不等于双方已形成成熟互惠。</x:v>
      </x:c>
      <x:c r="Q143" s="46" t="str">
        <x:v>旺弱只修正通道调用强度、抢位或缺位风险，不直接等于交换公平或关系质量。</x:v>
      </x:c>
      <x:c r="R143" s="46" t="str">
        <x:v>喜忌只修正调用顺畅度与摩擦，不可直接翻译为理想伴侣五行、十神或必然互补。</x:v>
      </x:c>
      <x:c r="S143" s="46" t="str">
        <x:v>真合化成立时按化神功能重算用户交换需求；合化争议时停止细化交换通道。</x:v>
      </x:c>
      <x:c r="T143" s="46" t="str">
        <x:v>近位提高该交换议题进入关系核心的可能；远位只保留背景或阶段性观察。</x:v>
      </x:c>
      <x:c r="U143" s="46" t="str">
        <x:v>86</x:v>
      </x:c>
      <x:c r="V143" s="46" t="str">
        <x:v>+10 可靠证据</x:v>
      </x:c>
      <x:c r="W143" s="46" t="str">
        <x:v>exchange_evidence_level</x:v>
      </x:c>
      <x:c r="X143" s="46" t="str">
        <x:v>重新协商能力的可靠证据需要：出现变化后能谈分工、节奏、边界和责任。</x:v>
      </x:c>
      <x:c r="Y143" s="46" t="str">
        <x:v>这项交换要看：出现变化后能谈分工、节奏、边界和责任。</x:v>
      </x:c>
      <x:c r="Z14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43" s="46" t="str">
        <x:v>中高</x:v>
      </x:c>
      <x:c r="AB143" s="46" t="str">
        <x:v>待验证</x:v>
      </x:c>
      <x:c r="AC143" s="46" t="str"/>
      <x:c r="AD143" s="46" t="str">
        <x:v>exchange_dimension=ED09; provisional=true; rule_group=EXCHANGE-ED维度</x:v>
      </x:c>
      <x:c r="AE143" s="46" t="str">
        <x:v>0.4</x:v>
      </x:c>
    </x:row>
    <x:row r="144" ht="50" customHeight="1">
      <x:c r="A144" s="46" t="str">
        <x:v>M5-EXCHANGE-143</x:v>
      </x:c>
      <x:c r="B144" s="46" t="str">
        <x:v>ED09 重新协商能力｜不足与假阳性</x:v>
      </x:c>
      <x:c r="C144" s="46" t="str">
        <x:v>L2 交换过程维度</x:v>
      </x:c>
      <x:c r="D144" s="46" t="str">
        <x:v>EXCHANGE-ED维度</x:v>
      </x:c>
      <x:c r="E144" s="46" t="str">
        <x:v>通用</x:v>
      </x:c>
      <x:c r="F144" s="46" t="str">
        <x:v>降级</x:v>
      </x:c>
      <x:c r="G144" s="46" t="str">
        <x:v>ED09</x:v>
      </x:c>
      <x:c r="H144" s="46" t="str">
        <x:v>重新协商能力</x:v>
      </x:c>
      <x:c r="I144" s="46" t="str">
        <x:v>出现不足情形。</x:v>
      </x:c>
      <x:c r="J144" s="46" t="str">
        <x:v>XV5以上且反例检验支持成熟结构。</x:v>
      </x:c>
      <x:c r="K144" s="46" t="str">
        <x:v>由共享基础引擎、M3与M5-BASE提供；只修正用户怎样给予、请求、接收和回馈，不直接判断双方现实交换质量。</x:v>
      </x:c>
      <x:c r="L144" s="46" t="str">
        <x:v>M2只说明进入关系所需资格证据；不能替代长期双向交换、负荷与修复验证。</x:v>
      </x:c>
      <x:c r="M144" s="46" t="str">
        <x:v>M3-BASE、EXPR、CARE和BOUND提供用户自然互动通道；M5-EXCHANGE负责把两人的实际行为合成为交换结构。</x:v>
      </x:c>
      <x:c r="N144" s="46" t="str">
        <x:v>无／按本规则指定的给予—请求—接收—反馈—重订路径路由。</x:v>
      </x:c>
      <x:c r="O144" s="46" t="str">
        <x:v>近位、远位只修正该交换需求进入亲密关系核心的可能；不得据此判断具体伴侣现实中一定配合。</x:v>
      </x:c>
      <x:c r="P144" s="46" t="str">
        <x:v>根气只修正用户交换需求和通道是否稳定重复，不等于双方已形成成熟互惠。</x:v>
      </x:c>
      <x:c r="Q144" s="46" t="str">
        <x:v>旺弱只修正通道调用强度、抢位或缺位风险，不直接等于交换公平或关系质量。</x:v>
      </x:c>
      <x:c r="R144" s="46" t="str">
        <x:v>喜忌只修正调用顺畅度与摩擦，不可直接翻译为理想伴侣五行、十神或必然互补。</x:v>
      </x:c>
      <x:c r="S144" s="46" t="str">
        <x:v>真合化成立时按化神功能重算用户交换需求；合化争议时停止细化交换通道。</x:v>
      </x:c>
      <x:c r="T144" s="46" t="str">
        <x:v>近位提高该交换议题进入关系核心的可能；远位只保留背景或阶段性观察。</x:v>
      </x:c>
      <x:c r="U144" s="46" t="str">
        <x:v>90</x:v>
      </x:c>
      <x:c r="V144" s="46" t="str">
        <x:v>-10／降级</x:v>
      </x:c>
      <x:c r="W144" s="46" t="str">
        <x:v>pseudo_reciprocity_warning</x:v>
      </x:c>
      <x:c r="X144" s="46" t="str">
        <x:v>重新协商能力不能由以下资料直接成立：把旧规则当成永远不变，或只由一方决定新规则。</x:v>
      </x:c>
      <x:c r="Y144" s="46" t="str">
        <x:v>目前不能只凭：把旧规则当成永远不变，或只由一方决定新规则。</x:v>
      </x:c>
      <x:c r="Z14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44" s="46" t="str">
        <x:v>中高</x:v>
      </x:c>
      <x:c r="AB144" s="46" t="str">
        <x:v>待验证</x:v>
      </x:c>
      <x:c r="AC144" s="46" t="str"/>
      <x:c r="AD144" s="46" t="str">
        <x:v>exchange_dimension=ED09; provisional=true; rule_group=EXCHANGE-ED维度</x:v>
      </x:c>
      <x:c r="AE144" s="46" t="str">
        <x:v>0.4</x:v>
      </x:c>
    </x:row>
    <x:row r="145" ht="50" customHeight="1">
      <x:c r="A145" s="46" t="str">
        <x:v>M5-EXCHANGE-144</x:v>
      </x:c>
      <x:c r="B145" s="46" t="str">
        <x:v>ED09 重新协商能力｜工程评分</x:v>
      </x:c>
      <x:c r="C145" s="46" t="str">
        <x:v>L2 交换过程维度</x:v>
      </x:c>
      <x:c r="D145" s="46" t="str">
        <x:v>EXCHANGE-ED维度</x:v>
      </x:c>
      <x:c r="E145" s="46" t="str">
        <x:v>通用</x:v>
      </x:c>
      <x:c r="F145" s="46" t="str">
        <x:v>评分</x:v>
      </x:c>
      <x:c r="G145" s="46" t="str">
        <x:v>ED09</x:v>
      </x:c>
      <x:c r="H145" s="46" t="str">
        <x:v>重新协商能力</x:v>
      </x:c>
      <x:c r="I145" s="46" t="str">
        <x:v>该维度与主EC或EM任务一致，来源独立。</x:v>
      </x:c>
      <x:c r="J145" s="46" t="str">
        <x:v>只是同一事件的重复解释。</x:v>
      </x:c>
      <x:c r="K145" s="46" t="str">
        <x:v>由共享基础引擎、M3与M5-BASE提供；只修正用户怎样给予、请求、接收和回馈，不直接判断双方现实交换质量。</x:v>
      </x:c>
      <x:c r="L145" s="46" t="str">
        <x:v>M2只说明进入关系所需资格证据；不能替代长期双向交换、负荷与修复验证。</x:v>
      </x:c>
      <x:c r="M145" s="46" t="str">
        <x:v>M3-BASE、EXPR、CARE和BOUND提供用户自然互动通道；M5-EXCHANGE负责把两人的实际行为合成为交换结构。</x:v>
      </x:c>
      <x:c r="N145" s="46" t="str">
        <x:v>无／按本规则指定的给予—请求—接收—反馈—重订路径路由。</x:v>
      </x:c>
      <x:c r="O145" s="46" t="str">
        <x:v>近位、远位只修正该交换需求进入亲密关系核心的可能；不得据此判断具体伴侣现实中一定配合。</x:v>
      </x:c>
      <x:c r="P145" s="46" t="str">
        <x:v>根气只修正用户交换需求和通道是否稳定重复，不等于双方已形成成熟互惠。</x:v>
      </x:c>
      <x:c r="Q145" s="46" t="str">
        <x:v>旺弱只修正通道调用强度、抢位或缺位风险，不直接等于交换公平或关系质量。</x:v>
      </x:c>
      <x:c r="R145" s="46" t="str">
        <x:v>喜忌只修正调用顺畅度与摩擦，不可直接翻译为理想伴侣五行、十神或必然互补。</x:v>
      </x:c>
      <x:c r="S145" s="46" t="str">
        <x:v>真合化成立时按化神功能重算用户交换需求；合化争议时停止细化交换通道。</x:v>
      </x:c>
      <x:c r="T145" s="46" t="str">
        <x:v>近位提高该交换议题进入关系核心的可能；远位只保留背景或阶段性观察。</x:v>
      </x:c>
      <x:c r="U145" s="46" t="str">
        <x:v>72</x:v>
      </x:c>
      <x:c r="V145" s="46" t="str">
        <x:v>+4至+12；按XV层级</x:v>
      </x:c>
      <x:c r="W145" s="46" t="str">
        <x:v>confidence</x:v>
      </x:c>
      <x:c r="X145" s="46" t="str">
        <x:v>ED09只作为交换证据，不重新计算命盘基础权重。</x:v>
      </x:c>
      <x:c r="Y145" s="46" t="str">
        <x:v>长期关系需要不断重订，而不是一次定终身。</x:v>
      </x:c>
      <x:c r="Z14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45" s="46" t="str">
        <x:v>中</x:v>
      </x:c>
      <x:c r="AB145" s="46" t="str">
        <x:v>待验证</x:v>
      </x:c>
      <x:c r="AC145" s="46" t="str"/>
      <x:c r="AD145" s="46" t="str">
        <x:v>exchange_dimension=ED09; provisional=true; rule_group=EXCHANGE-ED维度</x:v>
      </x:c>
      <x:c r="AE145" s="46" t="str">
        <x:v>0.4</x:v>
      </x:c>
    </x:row>
    <x:row r="146" ht="50" customHeight="1">
      <x:c r="A146" s="46" t="str">
        <x:v>M5-EXCHANGE-145</x:v>
      </x:c>
      <x:c r="B146" s="46" t="str">
        <x:v>ED09 重新协商能力｜标准用户语言</x:v>
      </x:c>
      <x:c r="C146" s="46" t="str">
        <x:v>L2 交换过程维度</x:v>
      </x:c>
      <x:c r="D146" s="46" t="str">
        <x:v>EXCHANGE-ED维度</x:v>
      </x:c>
      <x:c r="E146" s="46" t="str">
        <x:v>通用</x:v>
      </x:c>
      <x:c r="F146" s="46" t="str">
        <x:v>输出</x:v>
      </x:c>
      <x:c r="G146" s="46" t="str">
        <x:v>ED09</x:v>
      </x:c>
      <x:c r="H146" s="46" t="str">
        <x:v>重新协商能力</x:v>
      </x:c>
      <x:c r="I146" s="46" t="str">
        <x:v>完成该维度裁决。</x:v>
      </x:c>
      <x:c r="J146" s="46" t="str">
        <x:v>结论仍未定。</x:v>
      </x:c>
      <x:c r="K146" s="46" t="str">
        <x:v>由共享基础引擎、M3与M5-BASE提供；只修正用户怎样给予、请求、接收和回馈，不直接判断双方现实交换质量。</x:v>
      </x:c>
      <x:c r="L146" s="46" t="str">
        <x:v>M2只说明进入关系所需资格证据；不能替代长期双向交换、负荷与修复验证。</x:v>
      </x:c>
      <x:c r="M146" s="46" t="str">
        <x:v>M3-BASE、EXPR、CARE和BOUND提供用户自然互动通道；M5-EXCHANGE负责把两人的实际行为合成为交换结构。</x:v>
      </x:c>
      <x:c r="N146" s="46" t="str">
        <x:v>无／按本规则指定的给予—请求—接收—反馈—重订路径路由。</x:v>
      </x:c>
      <x:c r="O146" s="46" t="str">
        <x:v>近位、远位只修正该交换需求进入亲密关系核心的可能；不得据此判断具体伴侣现实中一定配合。</x:v>
      </x:c>
      <x:c r="P146" s="46" t="str">
        <x:v>根气只修正用户交换需求和通道是否稳定重复，不等于双方已形成成熟互惠。</x:v>
      </x:c>
      <x:c r="Q146" s="46" t="str">
        <x:v>旺弱只修正通道调用强度、抢位或缺位风险，不直接等于交换公平或关系质量。</x:v>
      </x:c>
      <x:c r="R146" s="46" t="str">
        <x:v>喜忌只修正调用顺畅度与摩擦，不可直接翻译为理想伴侣五行、十神或必然互补。</x:v>
      </x:c>
      <x:c r="S146" s="46" t="str">
        <x:v>真合化成立时按化神功能重算用户交换需求；合化争议时停止细化交换通道。</x:v>
      </x:c>
      <x:c r="T146" s="46" t="str">
        <x:v>近位提高该交换议题进入关系核心的可能；远位只保留背景或阶段性观察。</x:v>
      </x:c>
      <x:c r="U146" s="46" t="str">
        <x:v>70</x:v>
      </x:c>
      <x:c r="V146" s="46" t="str">
        <x:v>不加分；输出</x:v>
      </x:c>
      <x:c r="W146" s="46" t="str">
        <x:v>report_text</x:v>
      </x:c>
      <x:c r="X146" s="46" t="str">
        <x:v>长期关系需要不断重订，而不是一次定终身。</x:v>
      </x:c>
      <x:c r="Y146" s="46" t="str">
        <x:v>交换重点：长期关系需要不断重订，而不是一次定终身。</x:v>
      </x:c>
      <x:c r="Z14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46" s="46" t="str">
        <x:v>中高</x:v>
      </x:c>
      <x:c r="AB146" s="46" t="str">
        <x:v>待验证</x:v>
      </x:c>
      <x:c r="AC146" s="46" t="str"/>
      <x:c r="AD146" s="46" t="str">
        <x:v>exchange_dimension=ED09; provisional=true; rule_group=EXCHANGE-ED维度</x:v>
      </x:c>
      <x:c r="AE146" s="46" t="str">
        <x:v>0.4</x:v>
      </x:c>
    </x:row>
    <x:row r="147" ht="50" customHeight="1">
      <x:c r="A147" s="46" t="str">
        <x:v>M5-EXCHANGE-146</x:v>
      </x:c>
      <x:c r="B147" s="46" t="str">
        <x:v>ED10 修复与回流｜正式定义</x:v>
      </x:c>
      <x:c r="C147" s="46" t="str">
        <x:v>L2 交换过程维度</x:v>
      </x:c>
      <x:c r="D147" s="46" t="str">
        <x:v>EXCHANGE-ED维度</x:v>
      </x:c>
      <x:c r="E147" s="46" t="str">
        <x:v>通用</x:v>
      </x:c>
      <x:c r="F147" s="46" t="str">
        <x:v>定义</x:v>
      </x:c>
      <x:c r="G147" s="46" t="str">
        <x:v>ED10</x:v>
      </x:c>
      <x:c r="H147" s="46" t="str">
        <x:v>修复与回流</x:v>
      </x:c>
      <x:c r="I147" s="46" t="str">
        <x:v>存在具体双人交换资料。</x:v>
      </x:c>
      <x:c r="J147" s="46" t="str">
        <x:v>只有命盘需求或单方抽象评价。</x:v>
      </x:c>
      <x:c r="K147" s="46" t="str">
        <x:v>由共享基础引擎、M3与M5-BASE提供；只修正用户怎样给予、请求、接收和回馈，不直接判断双方现实交换质量。</x:v>
      </x:c>
      <x:c r="L147" s="46" t="str">
        <x:v>M2只说明进入关系所需资格证据；不能替代长期双向交换、负荷与修复验证。</x:v>
      </x:c>
      <x:c r="M147" s="46" t="str">
        <x:v>M3-BASE、EXPR、CARE和BOUND提供用户自然互动通道；M5-EXCHANGE负责把两人的实际行为合成为交换结构。</x:v>
      </x:c>
      <x:c r="N147" s="46" t="str">
        <x:v>无／按本规则指定的给予—请求—接收—反馈—重订路径路由。</x:v>
      </x:c>
      <x:c r="O147" s="46" t="str">
        <x:v>近位、远位只修正该交换需求进入亲密关系核心的可能；不得据此判断具体伴侣现实中一定配合。</x:v>
      </x:c>
      <x:c r="P147" s="46" t="str">
        <x:v>根气只修正用户交换需求和通道是否稳定重复，不等于双方已形成成熟互惠。</x:v>
      </x:c>
      <x:c r="Q147" s="46" t="str">
        <x:v>旺弱只修正通道调用强度、抢位或缺位风险，不直接等于交换公平或关系质量。</x:v>
      </x:c>
      <x:c r="R147" s="46" t="str">
        <x:v>喜忌只修正调用顺畅度与摩擦，不可直接翻译为理想伴侣五行、十神或必然互补。</x:v>
      </x:c>
      <x:c r="S147" s="46" t="str">
        <x:v>真合化成立时按化神功能重算用户交换需求；合化争议时停止细化交换通道。</x:v>
      </x:c>
      <x:c r="T147" s="46" t="str">
        <x:v>近位提高该交换议题进入关系核心的可能；远位只保留背景或阶段性观察。</x:v>
      </x:c>
      <x:c r="U147" s="46" t="str">
        <x:v>94</x:v>
      </x:c>
      <x:c r="V147" s="46" t="str">
        <x:v>不加分；定义</x:v>
      </x:c>
      <x:c r="W147" s="46" t="str">
        <x:v>exchange_dimensions</x:v>
      </x:c>
      <x:c r="X147" s="46" t="str">
        <x:v>交换失误、失衡或中断后，是否能接收反馈、补做缺失步骤并持续回访。</x:v>
      </x:c>
      <x:c r="Y147" s="46" t="str">
        <x:v>交换真正恢复，要让反馈和改变都回来。</x:v>
      </x:c>
      <x:c r="Z14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47" s="46" t="str">
        <x:v>高</x:v>
      </x:c>
      <x:c r="AB147" s="46" t="str">
        <x:v>待验证</x:v>
      </x:c>
      <x:c r="AC147" s="46" t="str"/>
      <x:c r="AD147" s="46" t="str">
        <x:v>exchange_dimension=ED10; provisional=true; rule_group=EXCHANGE-ED维度</x:v>
      </x:c>
      <x:c r="AE147" s="46" t="str">
        <x:v>0.4</x:v>
      </x:c>
    </x:row>
    <x:row r="148" ht="50" customHeight="1">
      <x:c r="A148" s="46" t="str">
        <x:v>M5-EXCHANGE-147</x:v>
      </x:c>
      <x:c r="B148" s="46" t="str">
        <x:v>ED10 修复与回流｜可靠证据</x:v>
      </x:c>
      <x:c r="C148" s="46" t="str">
        <x:v>L2 交换过程维度</x:v>
      </x:c>
      <x:c r="D148" s="46" t="str">
        <x:v>EXCHANGE-ED维度</x:v>
      </x:c>
      <x:c r="E148" s="46" t="str">
        <x:v>通用</x:v>
      </x:c>
      <x:c r="F148" s="46" t="str">
        <x:v>证据</x:v>
      </x:c>
      <x:c r="G148" s="46" t="str">
        <x:v>ED10</x:v>
      </x:c>
      <x:c r="H148" s="46" t="str">
        <x:v>修复与回流</x:v>
      </x:c>
      <x:c r="I148" s="46" t="str">
        <x:v>承认影响、承担、调整、接收反馈和持续兑现。</x:v>
      </x:c>
      <x:c r="J148" s="46" t="str">
        <x:v>同源重复、一次高光或只有一方自述。</x:v>
      </x:c>
      <x:c r="K148" s="46" t="str">
        <x:v>由共享基础引擎、M3与M5-BASE提供；只修正用户怎样给予、请求、接收和回馈，不直接判断双方现实交换质量。</x:v>
      </x:c>
      <x:c r="L148" s="46" t="str">
        <x:v>M2只说明进入关系所需资格证据；不能替代长期双向交换、负荷与修复验证。</x:v>
      </x:c>
      <x:c r="M148" s="46" t="str">
        <x:v>M3-BASE、EXPR、CARE和BOUND提供用户自然互动通道；M5-EXCHANGE负责把两人的实际行为合成为交换结构。</x:v>
      </x:c>
      <x:c r="N148" s="46" t="str">
        <x:v>无／按本规则指定的给予—请求—接收—反馈—重订路径路由。</x:v>
      </x:c>
      <x:c r="O148" s="46" t="str">
        <x:v>近位、远位只修正该交换需求进入亲密关系核心的可能；不得据此判断具体伴侣现实中一定配合。</x:v>
      </x:c>
      <x:c r="P148" s="46" t="str">
        <x:v>根气只修正用户交换需求和通道是否稳定重复，不等于双方已形成成熟互惠。</x:v>
      </x:c>
      <x:c r="Q148" s="46" t="str">
        <x:v>旺弱只修正通道调用强度、抢位或缺位风险，不直接等于交换公平或关系质量。</x:v>
      </x:c>
      <x:c r="R148" s="46" t="str">
        <x:v>喜忌只修正调用顺畅度与摩擦，不可直接翻译为理想伴侣五行、十神或必然互补。</x:v>
      </x:c>
      <x:c r="S148" s="46" t="str">
        <x:v>真合化成立时按化神功能重算用户交换需求；合化争议时停止细化交换通道。</x:v>
      </x:c>
      <x:c r="T148" s="46" t="str">
        <x:v>近位提高该交换议题进入关系核心的可能；远位只保留背景或阶段性观察。</x:v>
      </x:c>
      <x:c r="U148" s="46" t="str">
        <x:v>86</x:v>
      </x:c>
      <x:c r="V148" s="46" t="str">
        <x:v>+10 可靠证据</x:v>
      </x:c>
      <x:c r="W148" s="46" t="str">
        <x:v>exchange_evidence_level</x:v>
      </x:c>
      <x:c r="X148" s="46" t="str">
        <x:v>修复与回流的可靠证据需要：承认影响、承担、调整、接收反馈和持续兑现。</x:v>
      </x:c>
      <x:c r="Y148" s="46" t="str">
        <x:v>这项交换要看：承认影响、承担、调整、接收反馈和持续兑现。</x:v>
      </x:c>
      <x:c r="Z14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48" s="46" t="str">
        <x:v>中高</x:v>
      </x:c>
      <x:c r="AB148" s="46" t="str">
        <x:v>待验证</x:v>
      </x:c>
      <x:c r="AC148" s="46" t="str"/>
      <x:c r="AD148" s="46" t="str">
        <x:v>exchange_dimension=ED10; provisional=true; rule_group=EXCHANGE-ED维度</x:v>
      </x:c>
      <x:c r="AE148" s="46" t="str">
        <x:v>0.4</x:v>
      </x:c>
    </x:row>
    <x:row r="149" ht="50" customHeight="1">
      <x:c r="A149" s="46" t="str">
        <x:v>M5-EXCHANGE-148</x:v>
      </x:c>
      <x:c r="B149" s="46" t="str">
        <x:v>ED10 修复与回流｜不足与假阳性</x:v>
      </x:c>
      <x:c r="C149" s="46" t="str">
        <x:v>L2 交换过程维度</x:v>
      </x:c>
      <x:c r="D149" s="46" t="str">
        <x:v>EXCHANGE-ED维度</x:v>
      </x:c>
      <x:c r="E149" s="46" t="str">
        <x:v>通用</x:v>
      </x:c>
      <x:c r="F149" s="46" t="str">
        <x:v>降级</x:v>
      </x:c>
      <x:c r="G149" s="46" t="str">
        <x:v>ED10</x:v>
      </x:c>
      <x:c r="H149" s="46" t="str">
        <x:v>修复与回流</x:v>
      </x:c>
      <x:c r="I149" s="46" t="str">
        <x:v>出现不足情形。</x:v>
      </x:c>
      <x:c r="J149" s="46" t="str">
        <x:v>XV5以上且反例检验支持成熟结构。</x:v>
      </x:c>
      <x:c r="K149" s="46" t="str">
        <x:v>由共享基础引擎、M3与M5-BASE提供；只修正用户怎样给予、请求、接收和回馈，不直接判断双方现实交换质量。</x:v>
      </x:c>
      <x:c r="L149" s="46" t="str">
        <x:v>M2只说明进入关系所需资格证据；不能替代长期双向交换、负荷与修复验证。</x:v>
      </x:c>
      <x:c r="M149" s="46" t="str">
        <x:v>M3-BASE、EXPR、CARE和BOUND提供用户自然互动通道；M5-EXCHANGE负责把两人的实际行为合成为交换结构。</x:v>
      </x:c>
      <x:c r="N149" s="46" t="str">
        <x:v>无／按本规则指定的给予—请求—接收—反馈—重订路径路由。</x:v>
      </x:c>
      <x:c r="O149" s="46" t="str">
        <x:v>近位、远位只修正该交换需求进入亲密关系核心的可能；不得据此判断具体伴侣现实中一定配合。</x:v>
      </x:c>
      <x:c r="P149" s="46" t="str">
        <x:v>根气只修正用户交换需求和通道是否稳定重复，不等于双方已形成成熟互惠。</x:v>
      </x:c>
      <x:c r="Q149" s="46" t="str">
        <x:v>旺弱只修正通道调用强度、抢位或缺位风险，不直接等于交换公平或关系质量。</x:v>
      </x:c>
      <x:c r="R149" s="46" t="str">
        <x:v>喜忌只修正调用顺畅度与摩擦，不可直接翻译为理想伴侣五行、十神或必然互补。</x:v>
      </x:c>
      <x:c r="S149" s="46" t="str">
        <x:v>真合化成立时按化神功能重算用户交换需求；合化争议时停止细化交换通道。</x:v>
      </x:c>
      <x:c r="T149" s="46" t="str">
        <x:v>近位提高该交换议题进入关系核心的可能；远位只保留背景或阶段性观察。</x:v>
      </x:c>
      <x:c r="U149" s="46" t="str">
        <x:v>90</x:v>
      </x:c>
      <x:c r="V149" s="46" t="str">
        <x:v>-10／降级</x:v>
      </x:c>
      <x:c r="W149" s="46" t="str">
        <x:v>pseudo_reciprocity_warning</x:v>
      </x:c>
      <x:c r="X149" s="46" t="str">
        <x:v>修复与回流不能由以下资料直接成立：用和好、补偿或一次努力代替完整修复。</x:v>
      </x:c>
      <x:c r="Y149" s="46" t="str">
        <x:v>目前不能只凭：用和好、补偿或一次努力代替完整修复。</x:v>
      </x:c>
      <x:c r="Z14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49" s="46" t="str">
        <x:v>中高</x:v>
      </x:c>
      <x:c r="AB149" s="46" t="str">
        <x:v>待验证</x:v>
      </x:c>
      <x:c r="AC149" s="46" t="str"/>
      <x:c r="AD149" s="46" t="str">
        <x:v>exchange_dimension=ED10; provisional=true; rule_group=EXCHANGE-ED维度</x:v>
      </x:c>
      <x:c r="AE149" s="46" t="str">
        <x:v>0.4</x:v>
      </x:c>
    </x:row>
    <x:row r="150" ht="50" customHeight="1">
      <x:c r="A150" s="46" t="str">
        <x:v>M5-EXCHANGE-149</x:v>
      </x:c>
      <x:c r="B150" s="46" t="str">
        <x:v>ED10 修复与回流｜工程评分</x:v>
      </x:c>
      <x:c r="C150" s="46" t="str">
        <x:v>L2 交换过程维度</x:v>
      </x:c>
      <x:c r="D150" s="46" t="str">
        <x:v>EXCHANGE-ED维度</x:v>
      </x:c>
      <x:c r="E150" s="46" t="str">
        <x:v>通用</x:v>
      </x:c>
      <x:c r="F150" s="46" t="str">
        <x:v>评分</x:v>
      </x:c>
      <x:c r="G150" s="46" t="str">
        <x:v>ED10</x:v>
      </x:c>
      <x:c r="H150" s="46" t="str">
        <x:v>修复与回流</x:v>
      </x:c>
      <x:c r="I150" s="46" t="str">
        <x:v>该维度与主EC或EM任务一致，来源独立。</x:v>
      </x:c>
      <x:c r="J150" s="46" t="str">
        <x:v>只是同一事件的重复解释。</x:v>
      </x:c>
      <x:c r="K150" s="46" t="str">
        <x:v>由共享基础引擎、M3与M5-BASE提供；只修正用户怎样给予、请求、接收和回馈，不直接判断双方现实交换质量。</x:v>
      </x:c>
      <x:c r="L150" s="46" t="str">
        <x:v>M2只说明进入关系所需资格证据；不能替代长期双向交换、负荷与修复验证。</x:v>
      </x:c>
      <x:c r="M150" s="46" t="str">
        <x:v>M3-BASE、EXPR、CARE和BOUND提供用户自然互动通道；M5-EXCHANGE负责把两人的实际行为合成为交换结构。</x:v>
      </x:c>
      <x:c r="N150" s="46" t="str">
        <x:v>无／按本规则指定的给予—请求—接收—反馈—重订路径路由。</x:v>
      </x:c>
      <x:c r="O150" s="46" t="str">
        <x:v>近位、远位只修正该交换需求进入亲密关系核心的可能；不得据此判断具体伴侣现实中一定配合。</x:v>
      </x:c>
      <x:c r="P150" s="46" t="str">
        <x:v>根气只修正用户交换需求和通道是否稳定重复，不等于双方已形成成熟互惠。</x:v>
      </x:c>
      <x:c r="Q150" s="46" t="str">
        <x:v>旺弱只修正通道调用强度、抢位或缺位风险，不直接等于交换公平或关系质量。</x:v>
      </x:c>
      <x:c r="R150" s="46" t="str">
        <x:v>喜忌只修正调用顺畅度与摩擦，不可直接翻译为理想伴侣五行、十神或必然互补。</x:v>
      </x:c>
      <x:c r="S150" s="46" t="str">
        <x:v>真合化成立时按化神功能重算用户交换需求；合化争议时停止细化交换通道。</x:v>
      </x:c>
      <x:c r="T150" s="46" t="str">
        <x:v>近位提高该交换议题进入关系核心的可能；远位只保留背景或阶段性观察。</x:v>
      </x:c>
      <x:c r="U150" s="46" t="str">
        <x:v>72</x:v>
      </x:c>
      <x:c r="V150" s="46" t="str">
        <x:v>+4至+12；按XV层级</x:v>
      </x:c>
      <x:c r="W150" s="46" t="str">
        <x:v>confidence</x:v>
      </x:c>
      <x:c r="X150" s="46" t="str">
        <x:v>ED10只作为交换证据，不重新计算命盘基础权重。</x:v>
      </x:c>
      <x:c r="Y150" s="46" t="str">
        <x:v>交换真正恢复，要让反馈和改变都回来。</x:v>
      </x:c>
      <x:c r="Z15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50" s="46" t="str">
        <x:v>中</x:v>
      </x:c>
      <x:c r="AB150" s="46" t="str">
        <x:v>待验证</x:v>
      </x:c>
      <x:c r="AC150" s="46" t="str"/>
      <x:c r="AD150" s="46" t="str">
        <x:v>exchange_dimension=ED10; provisional=true; rule_group=EXCHANGE-ED维度</x:v>
      </x:c>
      <x:c r="AE150" s="46" t="str">
        <x:v>0.4</x:v>
      </x:c>
    </x:row>
    <x:row r="151" ht="50" customHeight="1">
      <x:c r="A151" s="46" t="str">
        <x:v>M5-EXCHANGE-150</x:v>
      </x:c>
      <x:c r="B151" s="46" t="str">
        <x:v>ED10 修复与回流｜标准用户语言</x:v>
      </x:c>
      <x:c r="C151" s="46" t="str">
        <x:v>L2 交换过程维度</x:v>
      </x:c>
      <x:c r="D151" s="46" t="str">
        <x:v>EXCHANGE-ED维度</x:v>
      </x:c>
      <x:c r="E151" s="46" t="str">
        <x:v>通用</x:v>
      </x:c>
      <x:c r="F151" s="46" t="str">
        <x:v>输出</x:v>
      </x:c>
      <x:c r="G151" s="46" t="str">
        <x:v>ED10</x:v>
      </x:c>
      <x:c r="H151" s="46" t="str">
        <x:v>修复与回流</x:v>
      </x:c>
      <x:c r="I151" s="46" t="str">
        <x:v>完成该维度裁决。</x:v>
      </x:c>
      <x:c r="J151" s="46" t="str">
        <x:v>结论仍未定。</x:v>
      </x:c>
      <x:c r="K151" s="46" t="str">
        <x:v>由共享基础引擎、M3与M5-BASE提供；只修正用户怎样给予、请求、接收和回馈，不直接判断双方现实交换质量。</x:v>
      </x:c>
      <x:c r="L151" s="46" t="str">
        <x:v>M2只说明进入关系所需资格证据；不能替代长期双向交换、负荷与修复验证。</x:v>
      </x:c>
      <x:c r="M151" s="46" t="str">
        <x:v>M3-BASE、EXPR、CARE和BOUND提供用户自然互动通道；M5-EXCHANGE负责把两人的实际行为合成为交换结构。</x:v>
      </x:c>
      <x:c r="N151" s="46" t="str">
        <x:v>无／按本规则指定的给予—请求—接收—反馈—重订路径路由。</x:v>
      </x:c>
      <x:c r="O151" s="46" t="str">
        <x:v>近位、远位只修正该交换需求进入亲密关系核心的可能；不得据此判断具体伴侣现实中一定配合。</x:v>
      </x:c>
      <x:c r="P151" s="46" t="str">
        <x:v>根气只修正用户交换需求和通道是否稳定重复，不等于双方已形成成熟互惠。</x:v>
      </x:c>
      <x:c r="Q151" s="46" t="str">
        <x:v>旺弱只修正通道调用强度、抢位或缺位风险，不直接等于交换公平或关系质量。</x:v>
      </x:c>
      <x:c r="R151" s="46" t="str">
        <x:v>喜忌只修正调用顺畅度与摩擦，不可直接翻译为理想伴侣五行、十神或必然互补。</x:v>
      </x:c>
      <x:c r="S151" s="46" t="str">
        <x:v>真合化成立时按化神功能重算用户交换需求；合化争议时停止细化交换通道。</x:v>
      </x:c>
      <x:c r="T151" s="46" t="str">
        <x:v>近位提高该交换议题进入关系核心的可能；远位只保留背景或阶段性观察。</x:v>
      </x:c>
      <x:c r="U151" s="46" t="str">
        <x:v>70</x:v>
      </x:c>
      <x:c r="V151" s="46" t="str">
        <x:v>不加分；输出</x:v>
      </x:c>
      <x:c r="W151" s="46" t="str">
        <x:v>report_text</x:v>
      </x:c>
      <x:c r="X151" s="46" t="str">
        <x:v>交换真正恢复，要让反馈和改变都回来。</x:v>
      </x:c>
      <x:c r="Y151" s="46" t="str">
        <x:v>交换重点：交换真正恢复，要让反馈和改变都回来。</x:v>
      </x:c>
      <x:c r="Z15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51" s="46" t="str">
        <x:v>中高</x:v>
      </x:c>
      <x:c r="AB151" s="46" t="str">
        <x:v>待验证</x:v>
      </x:c>
      <x:c r="AC151" s="46" t="str"/>
      <x:c r="AD151" s="46" t="str">
        <x:v>exchange_dimension=ED10; provisional=true; rule_group=EXCHANGE-ED维度</x:v>
      </x:c>
      <x:c r="AE151" s="46" t="str">
        <x:v>0.4</x:v>
      </x:c>
    </x:row>
    <x:row r="152" ht="50" customHeight="1">
      <x:c r="A152" s="46" t="str">
        <x:v>M5-EXCHANGE-151</x:v>
      </x:c>
      <x:c r="B152" s="46" t="str">
        <x:v>EM01 同步互惠型｜正式定义</x:v>
      </x:c>
      <x:c r="C152" s="46" t="str">
        <x:v>L3 双向交换模式</x:v>
      </x:c>
      <x:c r="D152" s="46" t="str">
        <x:v>EXCHANGE-EM模式</x:v>
      </x:c>
      <x:c r="E152" s="46" t="str">
        <x:v>通用</x:v>
      </x:c>
      <x:c r="F152" s="46" t="str">
        <x:v>定义</x:v>
      </x:c>
      <x:c r="G152" s="46" t="str">
        <x:v>EM01</x:v>
      </x:c>
      <x:c r="H152" s="46" t="str">
        <x:v>同步互惠型</x:v>
      </x:c>
      <x:c r="I152" s="46" t="str">
        <x:v>M5-BASE、PARTNER或现实资料路由该模式。</x:v>
      </x:c>
      <x:c r="J152" s="46" t="str">
        <x:v>安全门控未通过。</x:v>
      </x:c>
      <x:c r="K152" s="46" t="str">
        <x:v>由共享基础引擎、M3与M5-BASE提供；只修正用户怎样给予、请求、接收和回馈，不直接判断双方现实交换质量。</x:v>
      </x:c>
      <x:c r="L152" s="46" t="str">
        <x:v>M2只说明进入关系所需资格证据；不能替代长期双向交换、负荷与修复验证。</x:v>
      </x:c>
      <x:c r="M152" s="46" t="str">
        <x:v>M3-BASE、EXPR、CARE和BOUND提供用户自然互动通道；M5-EXCHANGE负责把两人的实际行为合成为交换结构。</x:v>
      </x:c>
      <x:c r="N152" s="46" t="str">
        <x:v>无／按本规则指定的给予—请求—接收—反馈—重订路径路由。</x:v>
      </x:c>
      <x:c r="O152" s="46" t="str">
        <x:v>近位、远位只修正该交换需求进入亲密关系核心的可能；不得据此判断具体伴侣现实中一定配合。</x:v>
      </x:c>
      <x:c r="P152" s="46" t="str">
        <x:v>根气只修正用户交换需求和通道是否稳定重复，不等于双方已形成成熟互惠。</x:v>
      </x:c>
      <x:c r="Q152" s="46" t="str">
        <x:v>旺弱只修正通道调用强度、抢位或缺位风险，不直接等于交换公平或关系质量。</x:v>
      </x:c>
      <x:c r="R152" s="46" t="str">
        <x:v>喜忌只修正调用顺畅度与摩擦，不可直接翻译为理想伴侣五行、十神或必然互补。</x:v>
      </x:c>
      <x:c r="S152" s="46" t="str">
        <x:v>真合化成立时按化神功能重算用户交换需求；合化争议时停止细化交换通道。</x:v>
      </x:c>
      <x:c r="T152" s="46" t="str">
        <x:v>近位提高该交换议题进入关系核心的可能；远位只保留背景或阶段性观察。</x:v>
      </x:c>
      <x:c r="U152" s="46" t="str">
        <x:v>90</x:v>
      </x:c>
      <x:c r="V152" s="46" t="str">
        <x:v>EM候选 +8</x:v>
      </x:c>
      <x:c r="W152" s="46" t="str">
        <x:v>exchange_mode</x:v>
      </x:c>
      <x:c r="X152" s="46" t="str">
        <x:v>双方在相近时间和相同或相近领域回应彼此。</x:v>
      </x:c>
      <x:c r="Y152" s="46" t="str">
        <x:v>交换模式更接近同步互惠型。</x:v>
      </x:c>
      <x:c r="Z15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52" s="46" t="str">
        <x:v>中高</x:v>
      </x:c>
      <x:c r="AB152" s="46" t="str">
        <x:v>待验证</x:v>
      </x:c>
      <x:c r="AC152" s="46" t="str"/>
      <x:c r="AD152" s="46" t="str">
        <x:v>exchange_mode=EM01; provisional=true; rule_group=EXCHANGE-EM模式</x:v>
      </x:c>
      <x:c r="AE152" s="46" t="str">
        <x:v>0.4</x:v>
      </x:c>
    </x:row>
    <x:row r="153" ht="50" customHeight="1">
      <x:c r="A153" s="46" t="str">
        <x:v>M5-EXCHANGE-152</x:v>
      </x:c>
      <x:c r="B153" s="46" t="str">
        <x:v>EM01 同步互惠型｜适用情境</x:v>
      </x:c>
      <x:c r="C153" s="46" t="str">
        <x:v>L3 双向交换模式</x:v>
      </x:c>
      <x:c r="D153" s="46" t="str">
        <x:v>EXCHANGE-EM模式</x:v>
      </x:c>
      <x:c r="E153" s="46" t="str">
        <x:v>通用</x:v>
      </x:c>
      <x:c r="F153" s="46" t="str">
        <x:v>场景</x:v>
      </x:c>
      <x:c r="G153" s="46" t="str">
        <x:v>EM01</x:v>
      </x:c>
      <x:c r="H153" s="46" t="str">
        <x:v>同步互惠型</x:v>
      </x:c>
      <x:c r="I153" s="46" t="str">
        <x:v>存在对应XD领域或生活阶段。</x:v>
      </x:c>
      <x:c r="J153" s="46" t="str">
        <x:v>把一种模式覆盖全部关系领域。</x:v>
      </x:c>
      <x:c r="K153" s="46" t="str">
        <x:v>由共享基础引擎、M3与M5-BASE提供；只修正用户怎样给予、请求、接收和回馈，不直接判断双方现实交换质量。</x:v>
      </x:c>
      <x:c r="L153" s="46" t="str">
        <x:v>M2只说明进入关系所需资格证据；不能替代长期双向交换、负荷与修复验证。</x:v>
      </x:c>
      <x:c r="M153" s="46" t="str">
        <x:v>M3-BASE、EXPR、CARE和BOUND提供用户自然互动通道；M5-EXCHANGE负责把两人的实际行为合成为交换结构。</x:v>
      </x:c>
      <x:c r="N153" s="46" t="str">
        <x:v>无／按本规则指定的给予—请求—接收—反馈—重订路径路由。</x:v>
      </x:c>
      <x:c r="O153" s="46" t="str">
        <x:v>近位、远位只修正该交换需求进入亲密关系核心的可能；不得据此判断具体伴侣现实中一定配合。</x:v>
      </x:c>
      <x:c r="P153" s="46" t="str">
        <x:v>根气只修正用户交换需求和通道是否稳定重复，不等于双方已形成成熟互惠。</x:v>
      </x:c>
      <x:c r="Q153" s="46" t="str">
        <x:v>旺弱只修正通道调用强度、抢位或缺位风险，不直接等于交换公平或关系质量。</x:v>
      </x:c>
      <x:c r="R153" s="46" t="str">
        <x:v>喜忌只修正调用顺畅度与摩擦，不可直接翻译为理想伴侣五行、十神或必然互补。</x:v>
      </x:c>
      <x:c r="S153" s="46" t="str">
        <x:v>真合化成立时按化神功能重算用户交换需求；合化争议时停止细化交换通道。</x:v>
      </x:c>
      <x:c r="T153" s="46" t="str">
        <x:v>近位提高该交换议题进入关系核心的可能；远位只保留背景或阶段性观察。</x:v>
      </x:c>
      <x:c r="U153" s="46" t="str">
        <x:v>78</x:v>
      </x:c>
      <x:c r="V153" s="46" t="str">
        <x:v>+6 场景路由</x:v>
      </x:c>
      <x:c r="W153" s="46" t="str">
        <x:v>exchange_domains</x:v>
      </x:c>
      <x:c r="X153" s="46" t="str">
        <x:v>适合即时沟通、共同事务和情绪回应；不要求逐项完全等量。</x:v>
      </x:c>
      <x:c r="Y153" s="46" t="str">
        <x:v>这种方式更适合：适合即时沟通、共同事务和情绪回应；不要求逐项完全等量。</x:v>
      </x:c>
      <x:c r="Z15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53" s="46" t="str">
        <x:v>中</x:v>
      </x:c>
      <x:c r="AB153" s="46" t="str">
        <x:v>待验证</x:v>
      </x:c>
      <x:c r="AC153" s="46" t="str"/>
      <x:c r="AD153" s="46" t="str">
        <x:v>exchange_mode=EM01; provisional=true; rule_group=EXCHANGE-EM模式</x:v>
      </x:c>
      <x:c r="AE153" s="46" t="str">
        <x:v>0.4</x:v>
      </x:c>
    </x:row>
    <x:row r="154" ht="50" customHeight="1">
      <x:c r="A154" s="46" t="str">
        <x:v>M5-EXCHANGE-153</x:v>
      </x:c>
      <x:c r="B154" s="46" t="str">
        <x:v>EM01 同步互惠型｜成立条件</x:v>
      </x:c>
      <x:c r="C154" s="46" t="str">
        <x:v>L3 双向交换模式</x:v>
      </x:c>
      <x:c r="D154" s="46" t="str">
        <x:v>EXCHANGE-EM模式</x:v>
      </x:c>
      <x:c r="E154" s="46" t="str">
        <x:v>通用</x:v>
      </x:c>
      <x:c r="F154" s="46" t="str">
        <x:v>门控</x:v>
      </x:c>
      <x:c r="G154" s="46" t="str">
        <x:v>EM01</x:v>
      </x:c>
      <x:c r="H154" s="46" t="str">
        <x:v>同步互惠型</x:v>
      </x:c>
      <x:c r="I154" s="46" t="str">
        <x:v>双方能表达、接收并确认回应。</x:v>
      </x:c>
      <x:c r="J154" s="46" t="str">
        <x:v>只有标签相似、一次事件或单方愿望。</x:v>
      </x:c>
      <x:c r="K154" s="46" t="str">
        <x:v>由共享基础引擎、M3与M5-BASE提供；只修正用户怎样给予、请求、接收和回馈，不直接判断双方现实交换质量。</x:v>
      </x:c>
      <x:c r="L154" s="46" t="str">
        <x:v>M2只说明进入关系所需资格证据；不能替代长期双向交换、负荷与修复验证。</x:v>
      </x:c>
      <x:c r="M154" s="46" t="str">
        <x:v>M3-BASE、EXPR、CARE和BOUND提供用户自然互动通道；M5-EXCHANGE负责把两人的实际行为合成为交换结构。</x:v>
      </x:c>
      <x:c r="N154" s="46" t="str">
        <x:v>无／按本规则指定的给予—请求—接收—反馈—重订路径路由。</x:v>
      </x:c>
      <x:c r="O154" s="46" t="str">
        <x:v>近位、远位只修正该交换需求进入亲密关系核心的可能；不得据此判断具体伴侣现实中一定配合。</x:v>
      </x:c>
      <x:c r="P154" s="46" t="str">
        <x:v>根气只修正用户交换需求和通道是否稳定重复，不等于双方已形成成熟互惠。</x:v>
      </x:c>
      <x:c r="Q154" s="46" t="str">
        <x:v>旺弱只修正通道调用强度、抢位或缺位风险，不直接等于交换公平或关系质量。</x:v>
      </x:c>
      <x:c r="R154" s="46" t="str">
        <x:v>喜忌只修正调用顺畅度与摩擦，不可直接翻译为理想伴侣五行、十神或必然互补。</x:v>
      </x:c>
      <x:c r="S154" s="46" t="str">
        <x:v>真合化成立时按化神功能重算用户交换需求；合化争议时停止细化交换通道。</x:v>
      </x:c>
      <x:c r="T154" s="46" t="str">
        <x:v>近位提高该交换议题进入关系核心的可能；远位只保留背景或阶段性观察。</x:v>
      </x:c>
      <x:c r="U154" s="46" t="str">
        <x:v>88</x:v>
      </x:c>
      <x:c r="V154" s="46" t="str">
        <x:v>+10 模式成立</x:v>
      </x:c>
      <x:c r="W154" s="46" t="str">
        <x:v>exchange_mode</x:v>
      </x:c>
      <x:c r="X154" s="46" t="str">
        <x:v>同步互惠型必须满足：双方能表达、接收并确认回应。</x:v>
      </x:c>
      <x:c r="Y154" s="46" t="str">
        <x:v>要形成同步互惠型，需要：双方能表达、接收并确认回应。</x:v>
      </x:c>
      <x:c r="Z15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54" s="46" t="str">
        <x:v>中高</x:v>
      </x:c>
      <x:c r="AB154" s="46" t="str">
        <x:v>待验证</x:v>
      </x:c>
      <x:c r="AC154" s="46" t="str"/>
      <x:c r="AD154" s="46" t="str">
        <x:v>exchange_mode=EM01; provisional=true; rule_group=EXCHANGE-EM模式</x:v>
      </x:c>
      <x:c r="AE154" s="46" t="str">
        <x:v>0.4</x:v>
      </x:c>
    </x:row>
    <x:row r="155" ht="50" customHeight="1">
      <x:c r="A155" s="46" t="str">
        <x:v>M5-EXCHANGE-154</x:v>
      </x:c>
      <x:c r="B155" s="46" t="str">
        <x:v>EM01 同步互惠型｜失衡与伪适配</x:v>
      </x:c>
      <x:c r="C155" s="46" t="str">
        <x:v>L3 双向交换模式</x:v>
      </x:c>
      <x:c r="D155" s="46" t="str">
        <x:v>EXCHANGE-EM模式</x:v>
      </x:c>
      <x:c r="E155" s="46" t="str">
        <x:v>通用</x:v>
      </x:c>
      <x:c r="F155" s="46" t="str">
        <x:v>风险</x:v>
      </x:c>
      <x:c r="G155" s="46" t="str">
        <x:v>EM01</x:v>
      </x:c>
      <x:c r="H155" s="46" t="str">
        <x:v>同步互惠型</x:v>
      </x:c>
      <x:c r="I155" s="46" t="str">
        <x:v>出现风险信号。</x:v>
      </x:c>
      <x:c r="J155" s="46" t="str">
        <x:v>XV5—XV7现实证据能够排除。</x:v>
      </x:c>
      <x:c r="K155" s="46" t="str">
        <x:v>由共享基础引擎、M3与M5-BASE提供；只修正用户怎样给予、请求、接收和回馈，不直接判断双方现实交换质量。</x:v>
      </x:c>
      <x:c r="L155" s="46" t="str">
        <x:v>M2只说明进入关系所需资格证据；不能替代长期双向交换、负荷与修复验证。</x:v>
      </x:c>
      <x:c r="M155" s="46" t="str">
        <x:v>M3-BASE、EXPR、CARE和BOUND提供用户自然互动通道；M5-EXCHANGE负责把两人的实际行为合成为交换结构。</x:v>
      </x:c>
      <x:c r="N155" s="46" t="str">
        <x:v>无／按本规则指定的给予—请求—接收—反馈—重订路径路由。</x:v>
      </x:c>
      <x:c r="O155" s="46" t="str">
        <x:v>近位、远位只修正该交换需求进入亲密关系核心的可能；不得据此判断具体伴侣现实中一定配合。</x:v>
      </x:c>
      <x:c r="P155" s="46" t="str">
        <x:v>根气只修正用户交换需求和通道是否稳定重复，不等于双方已形成成熟互惠。</x:v>
      </x:c>
      <x:c r="Q155" s="46" t="str">
        <x:v>旺弱只修正通道调用强度、抢位或缺位风险，不直接等于交换公平或关系质量。</x:v>
      </x:c>
      <x:c r="R155" s="46" t="str">
        <x:v>喜忌只修正调用顺畅度与摩擦，不可直接翻译为理想伴侣五行、十神或必然互补。</x:v>
      </x:c>
      <x:c r="S155" s="46" t="str">
        <x:v>真合化成立时按化神功能重算用户交换需求；合化争议时停止细化交换通道。</x:v>
      </x:c>
      <x:c r="T155" s="46" t="str">
        <x:v>近位提高该交换议题进入关系核心的可能；远位只保留背景或阶段性观察。</x:v>
      </x:c>
      <x:c r="U155" s="46" t="str">
        <x:v>92</x:v>
      </x:c>
      <x:c r="V155" s="46" t="str">
        <x:v>风险 +12</x:v>
      </x:c>
      <x:c r="W155" s="46" t="str">
        <x:v>pseudo_reciprocity_warning</x:v>
      </x:c>
      <x:c r="X155" s="46" t="str">
        <x:v>即时回报变成计较或压力。</x:v>
      </x:c>
      <x:c r="Y155" s="46" t="str">
        <x:v>需要避免：即时回报变成计较或压力。</x:v>
      </x:c>
      <x:c r="Z15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55" s="46" t="str">
        <x:v>中高</x:v>
      </x:c>
      <x:c r="AB155" s="46" t="str">
        <x:v>待验证</x:v>
      </x:c>
      <x:c r="AC155" s="46" t="str"/>
      <x:c r="AD155" s="46" t="str">
        <x:v>exchange_mode=EM01; provisional=true; rule_group=EXCHANGE-EM模式</x:v>
      </x:c>
      <x:c r="AE155" s="46" t="str">
        <x:v>0.4</x:v>
      </x:c>
    </x:row>
    <x:row r="156" ht="50" customHeight="1">
      <x:c r="A156" s="46" t="str">
        <x:v>M5-EXCHANGE-155</x:v>
      </x:c>
      <x:c r="B156" s="46" t="str">
        <x:v>EM01 同步互惠型｜现实验证与输出</x:v>
      </x:c>
      <x:c r="C156" s="46" t="str">
        <x:v>L3 双向交换模式</x:v>
      </x:c>
      <x:c r="D156" s="46" t="str">
        <x:v>EXCHANGE-EM模式</x:v>
      </x:c>
      <x:c r="E156" s="46" t="str">
        <x:v>通用</x:v>
      </x:c>
      <x:c r="F156" s="46" t="str">
        <x:v>证据</x:v>
      </x:c>
      <x:c r="G156" s="46" t="str">
        <x:v>EM01</x:v>
      </x:c>
      <x:c r="H156" s="46" t="str">
        <x:v>同步互惠型</x:v>
      </x:c>
      <x:c r="I156" s="46" t="str">
        <x:v>XV3以上。</x:v>
      </x:c>
      <x:c r="J156" s="46" t="str">
        <x:v>只有命盘或单次高光。</x:v>
      </x:c>
      <x:c r="K156" s="46" t="str">
        <x:v>由共享基础引擎、M3与M5-BASE提供；只修正用户怎样给予、请求、接收和回馈，不直接判断双方现实交换质量。</x:v>
      </x:c>
      <x:c r="L156" s="46" t="str">
        <x:v>M2只说明进入关系所需资格证据；不能替代长期双向交换、负荷与修复验证。</x:v>
      </x:c>
      <x:c r="M156" s="46" t="str">
        <x:v>M3-BASE、EXPR、CARE和BOUND提供用户自然互动通道；M5-EXCHANGE负责把两人的实际行为合成为交换结构。</x:v>
      </x:c>
      <x:c r="N156" s="46" t="str">
        <x:v>无／按本规则指定的给予—请求—接收—反馈—重订路径路由。</x:v>
      </x:c>
      <x:c r="O156" s="46" t="str">
        <x:v>近位、远位只修正该交换需求进入亲密关系核心的可能；不得据此判断具体伴侣现实中一定配合。</x:v>
      </x:c>
      <x:c r="P156" s="46" t="str">
        <x:v>根气只修正用户交换需求和通道是否稳定重复，不等于双方已形成成熟互惠。</x:v>
      </x:c>
      <x:c r="Q156" s="46" t="str">
        <x:v>旺弱只修正通道调用强度、抢位或缺位风险，不直接等于交换公平或关系质量。</x:v>
      </x:c>
      <x:c r="R156" s="46" t="str">
        <x:v>喜忌只修正调用顺畅度与摩擦，不可直接翻译为理想伴侣五行、十神或必然互补。</x:v>
      </x:c>
      <x:c r="S156" s="46" t="str">
        <x:v>真合化成立时按化神功能重算用户交换需求；合化争议时停止细化交换通道。</x:v>
      </x:c>
      <x:c r="T156" s="46" t="str">
        <x:v>近位提高该交换议题进入关系核心的可能；远位只保留背景或阶段性观察。</x:v>
      </x:c>
      <x:c r="U156" s="46" t="str">
        <x:v>78</x:v>
      </x:c>
      <x:c r="V156" s="46" t="str">
        <x:v>不加分；现实核验</x:v>
      </x:c>
      <x:c r="W156" s="46" t="str">
        <x:v>observation_plan</x:v>
      </x:c>
      <x:c r="X156" s="46" t="str">
        <x:v>模式必须由双方请求、回应、负荷和重订共同验证。</x:v>
      </x:c>
      <x:c r="Y156" s="46" t="str">
        <x:v>要看这套交换是否能在现实变化后继续运行。</x:v>
      </x:c>
      <x:c r="Z15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56" s="46" t="str">
        <x:v>中</x:v>
      </x:c>
      <x:c r="AB156" s="46" t="str">
        <x:v>待验证</x:v>
      </x:c>
      <x:c r="AC156" s="46" t="str"/>
      <x:c r="AD156" s="46" t="str">
        <x:v>exchange_mode=EM01; provisional=true; rule_group=EXCHANGE-EM模式</x:v>
      </x:c>
      <x:c r="AE156" s="46" t="str">
        <x:v>0.4</x:v>
      </x:c>
    </x:row>
    <x:row r="157" ht="50" customHeight="1">
      <x:c r="A157" s="46" t="str">
        <x:v>M5-EXCHANGE-156</x:v>
      </x:c>
      <x:c r="B157" s="46" t="str">
        <x:v>EM02 错峰互惠型｜正式定义</x:v>
      </x:c>
      <x:c r="C157" s="46" t="str">
        <x:v>L3 双向交换模式</x:v>
      </x:c>
      <x:c r="D157" s="46" t="str">
        <x:v>EXCHANGE-EM模式</x:v>
      </x:c>
      <x:c r="E157" s="46" t="str">
        <x:v>通用</x:v>
      </x:c>
      <x:c r="F157" s="46" t="str">
        <x:v>定义</x:v>
      </x:c>
      <x:c r="G157" s="46" t="str">
        <x:v>EM02</x:v>
      </x:c>
      <x:c r="H157" s="46" t="str">
        <x:v>错峰互惠型</x:v>
      </x:c>
      <x:c r="I157" s="46" t="str">
        <x:v>M5-BASE、PARTNER或现实资料路由该模式。</x:v>
      </x:c>
      <x:c r="J157" s="46" t="str">
        <x:v>安全门控未通过。</x:v>
      </x:c>
      <x:c r="K157" s="46" t="str">
        <x:v>由共享基础引擎、M3与M5-BASE提供；只修正用户怎样给予、请求、接收和回馈，不直接判断双方现实交换质量。</x:v>
      </x:c>
      <x:c r="L157" s="46" t="str">
        <x:v>M2只说明进入关系所需资格证据；不能替代长期双向交换、负荷与修复验证。</x:v>
      </x:c>
      <x:c r="M157" s="46" t="str">
        <x:v>M3-BASE、EXPR、CARE和BOUND提供用户自然互动通道；M5-EXCHANGE负责把两人的实际行为合成为交换结构。</x:v>
      </x:c>
      <x:c r="N157" s="46" t="str">
        <x:v>无／按本规则指定的给予—请求—接收—反馈—重订路径路由。</x:v>
      </x:c>
      <x:c r="O157" s="46" t="str">
        <x:v>近位、远位只修正该交换需求进入亲密关系核心的可能；不得据此判断具体伴侣现实中一定配合。</x:v>
      </x:c>
      <x:c r="P157" s="46" t="str">
        <x:v>根气只修正用户交换需求和通道是否稳定重复，不等于双方已形成成熟互惠。</x:v>
      </x:c>
      <x:c r="Q157" s="46" t="str">
        <x:v>旺弱只修正通道调用强度、抢位或缺位风险，不直接等于交换公平或关系质量。</x:v>
      </x:c>
      <x:c r="R157" s="46" t="str">
        <x:v>喜忌只修正调用顺畅度与摩擦，不可直接翻译为理想伴侣五行、十神或必然互补。</x:v>
      </x:c>
      <x:c r="S157" s="46" t="str">
        <x:v>真合化成立时按化神功能重算用户交换需求；合化争议时停止细化交换通道。</x:v>
      </x:c>
      <x:c r="T157" s="46" t="str">
        <x:v>近位提高该交换议题进入关系核心的可能；远位只保留背景或阶段性观察。</x:v>
      </x:c>
      <x:c r="U157" s="46" t="str">
        <x:v>90</x:v>
      </x:c>
      <x:c r="V157" s="46" t="str">
        <x:v>EM候选 +8</x:v>
      </x:c>
      <x:c r="W157" s="46" t="str">
        <x:v>exchange_mode</x:v>
      </x:c>
      <x:c r="X157" s="46" t="str">
        <x:v>双方在不同阶段轮流承担，当前不对称但长期可被看见和平衡。</x:v>
      </x:c>
      <x:c r="Y157" s="46" t="str">
        <x:v>交换模式更接近错峰互惠型。</x:v>
      </x:c>
      <x:c r="Z15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57" s="46" t="str">
        <x:v>中高</x:v>
      </x:c>
      <x:c r="AB157" s="46" t="str">
        <x:v>待验证</x:v>
      </x:c>
      <x:c r="AC157" s="46" t="str"/>
      <x:c r="AD157" s="46" t="str">
        <x:v>exchange_mode=EM02; provisional=true; rule_group=EXCHANGE-EM模式</x:v>
      </x:c>
      <x:c r="AE157" s="46" t="str">
        <x:v>0.4</x:v>
      </x:c>
    </x:row>
    <x:row r="158" ht="50" customHeight="1">
      <x:c r="A158" s="46" t="str">
        <x:v>M5-EXCHANGE-157</x:v>
      </x:c>
      <x:c r="B158" s="46" t="str">
        <x:v>EM02 错峰互惠型｜适用情境</x:v>
      </x:c>
      <x:c r="C158" s="46" t="str">
        <x:v>L3 双向交换模式</x:v>
      </x:c>
      <x:c r="D158" s="46" t="str">
        <x:v>EXCHANGE-EM模式</x:v>
      </x:c>
      <x:c r="E158" s="46" t="str">
        <x:v>通用</x:v>
      </x:c>
      <x:c r="F158" s="46" t="str">
        <x:v>场景</x:v>
      </x:c>
      <x:c r="G158" s="46" t="str">
        <x:v>EM02</x:v>
      </x:c>
      <x:c r="H158" s="46" t="str">
        <x:v>错峰互惠型</x:v>
      </x:c>
      <x:c r="I158" s="46" t="str">
        <x:v>存在对应XD领域或生活阶段。</x:v>
      </x:c>
      <x:c r="J158" s="46" t="str">
        <x:v>把一种模式覆盖全部关系领域。</x:v>
      </x:c>
      <x:c r="K158" s="46" t="str">
        <x:v>由共享基础引擎、M3与M5-BASE提供；只修正用户怎样给予、请求、接收和回馈，不直接判断双方现实交换质量。</x:v>
      </x:c>
      <x:c r="L158" s="46" t="str">
        <x:v>M2只说明进入关系所需资格证据；不能替代长期双向交换、负荷与修复验证。</x:v>
      </x:c>
      <x:c r="M158" s="46" t="str">
        <x:v>M3-BASE、EXPR、CARE和BOUND提供用户自然互动通道；M5-EXCHANGE负责把两人的实际行为合成为交换结构。</x:v>
      </x:c>
      <x:c r="N158" s="46" t="str">
        <x:v>无／按本规则指定的给予—请求—接收—反馈—重订路径路由。</x:v>
      </x:c>
      <x:c r="O158" s="46" t="str">
        <x:v>近位、远位只修正该交换需求进入亲密关系核心的可能；不得据此判断具体伴侣现实中一定配合。</x:v>
      </x:c>
      <x:c r="P158" s="46" t="str">
        <x:v>根气只修正用户交换需求和通道是否稳定重复，不等于双方已形成成熟互惠。</x:v>
      </x:c>
      <x:c r="Q158" s="46" t="str">
        <x:v>旺弱只修正通道调用强度、抢位或缺位风险，不直接等于交换公平或关系质量。</x:v>
      </x:c>
      <x:c r="R158" s="46" t="str">
        <x:v>喜忌只修正调用顺畅度与摩擦，不可直接翻译为理想伴侣五行、十神或必然互补。</x:v>
      </x:c>
      <x:c r="S158" s="46" t="str">
        <x:v>真合化成立时按化神功能重算用户交换需求；合化争议时停止细化交换通道。</x:v>
      </x:c>
      <x:c r="T158" s="46" t="str">
        <x:v>近位提高该交换议题进入关系核心的可能；远位只保留背景或阶段性观察。</x:v>
      </x:c>
      <x:c r="U158" s="46" t="str">
        <x:v>78</x:v>
      </x:c>
      <x:c r="V158" s="46" t="str">
        <x:v>+6 场景路由</x:v>
      </x:c>
      <x:c r="W158" s="46" t="str">
        <x:v>exchange_domains</x:v>
      </x:c>
      <x:c r="X158" s="46" t="str">
        <x:v>适合工作繁忙、健康变化、育儿或阶段性资源差异。</x:v>
      </x:c>
      <x:c r="Y158" s="46" t="str">
        <x:v>这种方式更适合：适合工作繁忙、健康变化、育儿或阶段性资源差异。</x:v>
      </x:c>
      <x:c r="Z15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58" s="46" t="str">
        <x:v>中</x:v>
      </x:c>
      <x:c r="AB158" s="46" t="str">
        <x:v>待验证</x:v>
      </x:c>
      <x:c r="AC158" s="46" t="str"/>
      <x:c r="AD158" s="46" t="str">
        <x:v>exchange_mode=EM02; provisional=true; rule_group=EXCHANGE-EM模式</x:v>
      </x:c>
      <x:c r="AE158" s="46" t="str">
        <x:v>0.4</x:v>
      </x:c>
    </x:row>
    <x:row r="159" ht="50" customHeight="1">
      <x:c r="A159" s="46" t="str">
        <x:v>M5-EXCHANGE-158</x:v>
      </x:c>
      <x:c r="B159" s="46" t="str">
        <x:v>EM02 错峰互惠型｜成立条件</x:v>
      </x:c>
      <x:c r="C159" s="46" t="str">
        <x:v>L3 双向交换模式</x:v>
      </x:c>
      <x:c r="D159" s="46" t="str">
        <x:v>EXCHANGE-EM模式</x:v>
      </x:c>
      <x:c r="E159" s="46" t="str">
        <x:v>通用</x:v>
      </x:c>
      <x:c r="F159" s="46" t="str">
        <x:v>门控</x:v>
      </x:c>
      <x:c r="G159" s="46" t="str">
        <x:v>EM02</x:v>
      </x:c>
      <x:c r="H159" s="46" t="str">
        <x:v>错峰互惠型</x:v>
      </x:c>
      <x:c r="I159" s="46" t="str">
        <x:v>时间结构、回馈预期和重订点清楚。</x:v>
      </x:c>
      <x:c r="J159" s="46" t="str">
        <x:v>只有标签相似、一次事件或单方愿望。</x:v>
      </x:c>
      <x:c r="K159" s="46" t="str">
        <x:v>由共享基础引擎、M3与M5-BASE提供；只修正用户怎样给予、请求、接收和回馈，不直接判断双方现实交换质量。</x:v>
      </x:c>
      <x:c r="L159" s="46" t="str">
        <x:v>M2只说明进入关系所需资格证据；不能替代长期双向交换、负荷与修复验证。</x:v>
      </x:c>
      <x:c r="M159" s="46" t="str">
        <x:v>M3-BASE、EXPR、CARE和BOUND提供用户自然互动通道；M5-EXCHANGE负责把两人的实际行为合成为交换结构。</x:v>
      </x:c>
      <x:c r="N159" s="46" t="str">
        <x:v>无／按本规则指定的给予—请求—接收—反馈—重订路径路由。</x:v>
      </x:c>
      <x:c r="O159" s="46" t="str">
        <x:v>近位、远位只修正该交换需求进入亲密关系核心的可能；不得据此判断具体伴侣现实中一定配合。</x:v>
      </x:c>
      <x:c r="P159" s="46" t="str">
        <x:v>根气只修正用户交换需求和通道是否稳定重复，不等于双方已形成成熟互惠。</x:v>
      </x:c>
      <x:c r="Q159" s="46" t="str">
        <x:v>旺弱只修正通道调用强度、抢位或缺位风险，不直接等于交换公平或关系质量。</x:v>
      </x:c>
      <x:c r="R159" s="46" t="str">
        <x:v>喜忌只修正调用顺畅度与摩擦，不可直接翻译为理想伴侣五行、十神或必然互补。</x:v>
      </x:c>
      <x:c r="S159" s="46" t="str">
        <x:v>真合化成立时按化神功能重算用户交换需求；合化争议时停止细化交换通道。</x:v>
      </x:c>
      <x:c r="T159" s="46" t="str">
        <x:v>近位提高该交换议题进入关系核心的可能；远位只保留背景或阶段性观察。</x:v>
      </x:c>
      <x:c r="U159" s="46" t="str">
        <x:v>88</x:v>
      </x:c>
      <x:c r="V159" s="46" t="str">
        <x:v>+10 模式成立</x:v>
      </x:c>
      <x:c r="W159" s="46" t="str">
        <x:v>exchange_mode</x:v>
      </x:c>
      <x:c r="X159" s="46" t="str">
        <x:v>错峰互惠型必须满足：时间结构、回馈预期和重订点清楚。</x:v>
      </x:c>
      <x:c r="Y159" s="46" t="str">
        <x:v>要形成错峰互惠型，需要：时间结构、回馈预期和重订点清楚。</x:v>
      </x:c>
      <x:c r="Z15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59" s="46" t="str">
        <x:v>中高</x:v>
      </x:c>
      <x:c r="AB159" s="46" t="str">
        <x:v>待验证</x:v>
      </x:c>
      <x:c r="AC159" s="46" t="str"/>
      <x:c r="AD159" s="46" t="str">
        <x:v>exchange_mode=EM02; provisional=true; rule_group=EXCHANGE-EM模式</x:v>
      </x:c>
      <x:c r="AE159" s="46" t="str">
        <x:v>0.4</x:v>
      </x:c>
    </x:row>
    <x:row r="160" ht="50" customHeight="1">
      <x:c r="A160" s="46" t="str">
        <x:v>M5-EXCHANGE-159</x:v>
      </x:c>
      <x:c r="B160" s="46" t="str">
        <x:v>EM02 错峰互惠型｜失衡与伪适配</x:v>
      </x:c>
      <x:c r="C160" s="46" t="str">
        <x:v>L3 双向交换模式</x:v>
      </x:c>
      <x:c r="D160" s="46" t="str">
        <x:v>EXCHANGE-EM模式</x:v>
      </x:c>
      <x:c r="E160" s="46" t="str">
        <x:v>通用</x:v>
      </x:c>
      <x:c r="F160" s="46" t="str">
        <x:v>风险</x:v>
      </x:c>
      <x:c r="G160" s="46" t="str">
        <x:v>EM02</x:v>
      </x:c>
      <x:c r="H160" s="46" t="str">
        <x:v>错峰互惠型</x:v>
      </x:c>
      <x:c r="I160" s="46" t="str">
        <x:v>出现风险信号。</x:v>
      </x:c>
      <x:c r="J160" s="46" t="str">
        <x:v>XV5—XV7现实证据能够排除。</x:v>
      </x:c>
      <x:c r="K160" s="46" t="str">
        <x:v>由共享基础引擎、M3与M5-BASE提供；只修正用户怎样给予、请求、接收和回馈，不直接判断双方现实交换质量。</x:v>
      </x:c>
      <x:c r="L160" s="46" t="str">
        <x:v>M2只说明进入关系所需资格证据；不能替代长期双向交换、负荷与修复验证。</x:v>
      </x:c>
      <x:c r="M160" s="46" t="str">
        <x:v>M3-BASE、EXPR、CARE和BOUND提供用户自然互动通道；M5-EXCHANGE负责把两人的实际行为合成为交换结构。</x:v>
      </x:c>
      <x:c r="N160" s="46" t="str">
        <x:v>无／按本规则指定的给予—请求—接收—反馈—重订路径路由。</x:v>
      </x:c>
      <x:c r="O160" s="46" t="str">
        <x:v>近位、远位只修正该交换需求进入亲密关系核心的可能；不得据此判断具体伴侣现实中一定配合。</x:v>
      </x:c>
      <x:c r="P160" s="46" t="str">
        <x:v>根气只修正用户交换需求和通道是否稳定重复，不等于双方已形成成熟互惠。</x:v>
      </x:c>
      <x:c r="Q160" s="46" t="str">
        <x:v>旺弱只修正通道调用强度、抢位或缺位风险，不直接等于交换公平或关系质量。</x:v>
      </x:c>
      <x:c r="R160" s="46" t="str">
        <x:v>喜忌只修正调用顺畅度与摩擦，不可直接翻译为理想伴侣五行、十神或必然互补。</x:v>
      </x:c>
      <x:c r="S160" s="46" t="str">
        <x:v>真合化成立时按化神功能重算用户交换需求；合化争议时停止细化交换通道。</x:v>
      </x:c>
      <x:c r="T160" s="46" t="str">
        <x:v>近位提高该交换议题进入关系核心的可能；远位只保留背景或阶段性观察。</x:v>
      </x:c>
      <x:c r="U160" s="46" t="str">
        <x:v>92</x:v>
      </x:c>
      <x:c r="V160" s="46" t="str">
        <x:v>风险 +12</x:v>
      </x:c>
      <x:c r="W160" s="46" t="str">
        <x:v>pseudo_reciprocity_warning</x:v>
      </x:c>
      <x:c r="X160" s="46" t="str">
        <x:v>一方无限期等待，错峰被用来掩盖长期单向。</x:v>
      </x:c>
      <x:c r="Y160" s="46" t="str">
        <x:v>需要避免：一方无限期等待，错峰被用来掩盖长期单向。</x:v>
      </x:c>
      <x:c r="Z16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60" s="46" t="str">
        <x:v>中高</x:v>
      </x:c>
      <x:c r="AB160" s="46" t="str">
        <x:v>待验证</x:v>
      </x:c>
      <x:c r="AC160" s="46" t="str"/>
      <x:c r="AD160" s="46" t="str">
        <x:v>exchange_mode=EM02; provisional=true; rule_group=EXCHANGE-EM模式</x:v>
      </x:c>
      <x:c r="AE160" s="46" t="str">
        <x:v>0.4</x:v>
      </x:c>
    </x:row>
    <x:row r="161" ht="50" customHeight="1">
      <x:c r="A161" s="46" t="str">
        <x:v>M5-EXCHANGE-160</x:v>
      </x:c>
      <x:c r="B161" s="46" t="str">
        <x:v>EM02 错峰互惠型｜现实验证与输出</x:v>
      </x:c>
      <x:c r="C161" s="46" t="str">
        <x:v>L3 双向交换模式</x:v>
      </x:c>
      <x:c r="D161" s="46" t="str">
        <x:v>EXCHANGE-EM模式</x:v>
      </x:c>
      <x:c r="E161" s="46" t="str">
        <x:v>通用</x:v>
      </x:c>
      <x:c r="F161" s="46" t="str">
        <x:v>证据</x:v>
      </x:c>
      <x:c r="G161" s="46" t="str">
        <x:v>EM02</x:v>
      </x:c>
      <x:c r="H161" s="46" t="str">
        <x:v>错峰互惠型</x:v>
      </x:c>
      <x:c r="I161" s="46" t="str">
        <x:v>XV3以上。</x:v>
      </x:c>
      <x:c r="J161" s="46" t="str">
        <x:v>只有命盘或单次高光。</x:v>
      </x:c>
      <x:c r="K161" s="46" t="str">
        <x:v>由共享基础引擎、M3与M5-BASE提供；只修正用户怎样给予、请求、接收和回馈，不直接判断双方现实交换质量。</x:v>
      </x:c>
      <x:c r="L161" s="46" t="str">
        <x:v>M2只说明进入关系所需资格证据；不能替代长期双向交换、负荷与修复验证。</x:v>
      </x:c>
      <x:c r="M161" s="46" t="str">
        <x:v>M3-BASE、EXPR、CARE和BOUND提供用户自然互动通道；M5-EXCHANGE负责把两人的实际行为合成为交换结构。</x:v>
      </x:c>
      <x:c r="N161" s="46" t="str">
        <x:v>无／按本规则指定的给予—请求—接收—反馈—重订路径路由。</x:v>
      </x:c>
      <x:c r="O161" s="46" t="str">
        <x:v>近位、远位只修正该交换需求进入亲密关系核心的可能；不得据此判断具体伴侣现实中一定配合。</x:v>
      </x:c>
      <x:c r="P161" s="46" t="str">
        <x:v>根气只修正用户交换需求和通道是否稳定重复，不等于双方已形成成熟互惠。</x:v>
      </x:c>
      <x:c r="Q161" s="46" t="str">
        <x:v>旺弱只修正通道调用强度、抢位或缺位风险，不直接等于交换公平或关系质量。</x:v>
      </x:c>
      <x:c r="R161" s="46" t="str">
        <x:v>喜忌只修正调用顺畅度与摩擦，不可直接翻译为理想伴侣五行、十神或必然互补。</x:v>
      </x:c>
      <x:c r="S161" s="46" t="str">
        <x:v>真合化成立时按化神功能重算用户交换需求；合化争议时停止细化交换通道。</x:v>
      </x:c>
      <x:c r="T161" s="46" t="str">
        <x:v>近位提高该交换议题进入关系核心的可能；远位只保留背景或阶段性观察。</x:v>
      </x:c>
      <x:c r="U161" s="46" t="str">
        <x:v>78</x:v>
      </x:c>
      <x:c r="V161" s="46" t="str">
        <x:v>不加分；现实核验</x:v>
      </x:c>
      <x:c r="W161" s="46" t="str">
        <x:v>observation_plan</x:v>
      </x:c>
      <x:c r="X161" s="46" t="str">
        <x:v>模式必须由双方请求、回应、负荷和重订共同验证。</x:v>
      </x:c>
      <x:c r="Y161" s="46" t="str">
        <x:v>要看这套交换是否能在现实变化后继续运行。</x:v>
      </x:c>
      <x:c r="Z16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61" s="46" t="str">
        <x:v>中</x:v>
      </x:c>
      <x:c r="AB161" s="46" t="str">
        <x:v>待验证</x:v>
      </x:c>
      <x:c r="AC161" s="46" t="str"/>
      <x:c r="AD161" s="46" t="str">
        <x:v>exchange_mode=EM02; provisional=true; rule_group=EXCHANGE-EM模式</x:v>
      </x:c>
      <x:c r="AE161" s="46" t="str">
        <x:v>0.4</x:v>
      </x:c>
    </x:row>
    <x:row r="162" ht="50" customHeight="1">
      <x:c r="A162" s="46" t="str">
        <x:v>M5-EXCHANGE-161</x:v>
      </x:c>
      <x:c r="B162" s="46" t="str">
        <x:v>EM03 角色分工型｜正式定义</x:v>
      </x:c>
      <x:c r="C162" s="46" t="str">
        <x:v>L3 双向交换模式</x:v>
      </x:c>
      <x:c r="D162" s="46" t="str">
        <x:v>EXCHANGE-EM模式</x:v>
      </x:c>
      <x:c r="E162" s="46" t="str">
        <x:v>通用</x:v>
      </x:c>
      <x:c r="F162" s="46" t="str">
        <x:v>定义</x:v>
      </x:c>
      <x:c r="G162" s="46" t="str">
        <x:v>EM03</x:v>
      </x:c>
      <x:c r="H162" s="46" t="str">
        <x:v>角色分工型</x:v>
      </x:c>
      <x:c r="I162" s="46" t="str">
        <x:v>M5-BASE、PARTNER或现实资料路由该模式。</x:v>
      </x:c>
      <x:c r="J162" s="46" t="str">
        <x:v>安全门控未通过。</x:v>
      </x:c>
      <x:c r="K162" s="46" t="str">
        <x:v>由共享基础引擎、M3与M5-BASE提供；只修正用户怎样给予、请求、接收和回馈，不直接判断双方现实交换质量。</x:v>
      </x:c>
      <x:c r="L162" s="46" t="str">
        <x:v>M2只说明进入关系所需资格证据；不能替代长期双向交换、负荷与修复验证。</x:v>
      </x:c>
      <x:c r="M162" s="46" t="str">
        <x:v>M3-BASE、EXPR、CARE和BOUND提供用户自然互动通道；M5-EXCHANGE负责把两人的实际行为合成为交换结构。</x:v>
      </x:c>
      <x:c r="N162" s="46" t="str">
        <x:v>无／按本规则指定的给予—请求—接收—反馈—重订路径路由。</x:v>
      </x:c>
      <x:c r="O162" s="46" t="str">
        <x:v>近位、远位只修正该交换需求进入亲密关系核心的可能；不得据此判断具体伴侣现实中一定配合。</x:v>
      </x:c>
      <x:c r="P162" s="46" t="str">
        <x:v>根气只修正用户交换需求和通道是否稳定重复，不等于双方已形成成熟互惠。</x:v>
      </x:c>
      <x:c r="Q162" s="46" t="str">
        <x:v>旺弱只修正通道调用强度、抢位或缺位风险，不直接等于交换公平或关系质量。</x:v>
      </x:c>
      <x:c r="R162" s="46" t="str">
        <x:v>喜忌只修正调用顺畅度与摩擦，不可直接翻译为理想伴侣五行、十神或必然互补。</x:v>
      </x:c>
      <x:c r="S162" s="46" t="str">
        <x:v>真合化成立时按化神功能重算用户交换需求；合化争议时停止细化交换通道。</x:v>
      </x:c>
      <x:c r="T162" s="46" t="str">
        <x:v>近位提高该交换议题进入关系核心的可能；远位只保留背景或阶段性观察。</x:v>
      </x:c>
      <x:c r="U162" s="46" t="str">
        <x:v>90</x:v>
      </x:c>
      <x:c r="V162" s="46" t="str">
        <x:v>EM候选 +8</x:v>
      </x:c>
      <x:c r="W162" s="46" t="str">
        <x:v>exchange_mode</x:v>
      </x:c>
      <x:c r="X162" s="46" t="str">
        <x:v>双方在不同领域承担不同任务，并共同确认整体负荷。</x:v>
      </x:c>
      <x:c r="Y162" s="46" t="str">
        <x:v>交换模式更接近角色分工型。</x:v>
      </x:c>
      <x:c r="Z16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62" s="46" t="str">
        <x:v>中高</x:v>
      </x:c>
      <x:c r="AB162" s="46" t="str">
        <x:v>待验证</x:v>
      </x:c>
      <x:c r="AC162" s="46" t="str"/>
      <x:c r="AD162" s="46" t="str">
        <x:v>exchange_mode=EM03; provisional=true; rule_group=EXCHANGE-EM模式</x:v>
      </x:c>
      <x:c r="AE162" s="46" t="str">
        <x:v>0.4</x:v>
      </x:c>
    </x:row>
    <x:row r="163" ht="50" customHeight="1">
      <x:c r="A163" s="46" t="str">
        <x:v>M5-EXCHANGE-162</x:v>
      </x:c>
      <x:c r="B163" s="46" t="str">
        <x:v>EM03 角色分工型｜适用情境</x:v>
      </x:c>
      <x:c r="C163" s="46" t="str">
        <x:v>L3 双向交换模式</x:v>
      </x:c>
      <x:c r="D163" s="46" t="str">
        <x:v>EXCHANGE-EM模式</x:v>
      </x:c>
      <x:c r="E163" s="46" t="str">
        <x:v>通用</x:v>
      </x:c>
      <x:c r="F163" s="46" t="str">
        <x:v>场景</x:v>
      </x:c>
      <x:c r="G163" s="46" t="str">
        <x:v>EM03</x:v>
      </x:c>
      <x:c r="H163" s="46" t="str">
        <x:v>角色分工型</x:v>
      </x:c>
      <x:c r="I163" s="46" t="str">
        <x:v>存在对应XD领域或生活阶段。</x:v>
      </x:c>
      <x:c r="J163" s="46" t="str">
        <x:v>把一种模式覆盖全部关系领域。</x:v>
      </x:c>
      <x:c r="K163" s="46" t="str">
        <x:v>由共享基础引擎、M3与M5-BASE提供；只修正用户怎样给予、请求、接收和回馈，不直接判断双方现实交换质量。</x:v>
      </x:c>
      <x:c r="L163" s="46" t="str">
        <x:v>M2只说明进入关系所需资格证据；不能替代长期双向交换、负荷与修复验证。</x:v>
      </x:c>
      <x:c r="M163" s="46" t="str">
        <x:v>M3-BASE、EXPR、CARE和BOUND提供用户自然互动通道；M5-EXCHANGE负责把两人的实际行为合成为交换结构。</x:v>
      </x:c>
      <x:c r="N163" s="46" t="str">
        <x:v>无／按本规则指定的给予—请求—接收—反馈—重订路径路由。</x:v>
      </x:c>
      <x:c r="O163" s="46" t="str">
        <x:v>近位、远位只修正该交换需求进入亲密关系核心的可能；不得据此判断具体伴侣现实中一定配合。</x:v>
      </x:c>
      <x:c r="P163" s="46" t="str">
        <x:v>根气只修正用户交换需求和通道是否稳定重复，不等于双方已形成成熟互惠。</x:v>
      </x:c>
      <x:c r="Q163" s="46" t="str">
        <x:v>旺弱只修正通道调用强度、抢位或缺位风险，不直接等于交换公平或关系质量。</x:v>
      </x:c>
      <x:c r="R163" s="46" t="str">
        <x:v>喜忌只修正调用顺畅度与摩擦，不可直接翻译为理想伴侣五行、十神或必然互补。</x:v>
      </x:c>
      <x:c r="S163" s="46" t="str">
        <x:v>真合化成立时按化神功能重算用户交换需求；合化争议时停止细化交换通道。</x:v>
      </x:c>
      <x:c r="T163" s="46" t="str">
        <x:v>近位提高该交换议题进入关系核心的可能；远位只保留背景或阶段性观察。</x:v>
      </x:c>
      <x:c r="U163" s="46" t="str">
        <x:v>78</x:v>
      </x:c>
      <x:c r="V163" s="46" t="str">
        <x:v>+6 场景路由</x:v>
      </x:c>
      <x:c r="W163" s="46" t="str">
        <x:v>exchange_domains</x:v>
      </x:c>
      <x:c r="X163" s="46" t="str">
        <x:v>适合能力差异明显的生活、情绪、资源和事务分工。</x:v>
      </x:c>
      <x:c r="Y163" s="46" t="str">
        <x:v>这种方式更适合：适合能力差异明显的生活、情绪、资源和事务分工。</x:v>
      </x:c>
      <x:c r="Z16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63" s="46" t="str">
        <x:v>中</x:v>
      </x:c>
      <x:c r="AB163" s="46" t="str">
        <x:v>待验证</x:v>
      </x:c>
      <x:c r="AC163" s="46" t="str"/>
      <x:c r="AD163" s="46" t="str">
        <x:v>exchange_mode=EM03; provisional=true; rule_group=EXCHANGE-EM模式</x:v>
      </x:c>
      <x:c r="AE163" s="46" t="str">
        <x:v>0.4</x:v>
      </x:c>
    </x:row>
    <x:row r="164" ht="50" customHeight="1">
      <x:c r="A164" s="46" t="str">
        <x:v>M5-EXCHANGE-163</x:v>
      </x:c>
      <x:c r="B164" s="46" t="str">
        <x:v>EM03 角色分工型｜成立条件</x:v>
      </x:c>
      <x:c r="C164" s="46" t="str">
        <x:v>L3 双向交换模式</x:v>
      </x:c>
      <x:c r="D164" s="46" t="str">
        <x:v>EXCHANGE-EM模式</x:v>
      </x:c>
      <x:c r="E164" s="46" t="str">
        <x:v>通用</x:v>
      </x:c>
      <x:c r="F164" s="46" t="str">
        <x:v>门控</x:v>
      </x:c>
      <x:c r="G164" s="46" t="str">
        <x:v>EM03</x:v>
      </x:c>
      <x:c r="H164" s="46" t="str">
        <x:v>角色分工型</x:v>
      </x:c>
      <x:c r="I164" s="46" t="str">
        <x:v>角色可协商、可轮换、没有高低权力。</x:v>
      </x:c>
      <x:c r="J164" s="46" t="str">
        <x:v>只有标签相似、一次事件或单方愿望。</x:v>
      </x:c>
      <x:c r="K164" s="46" t="str">
        <x:v>由共享基础引擎、M3与M5-BASE提供；只修正用户怎样给予、请求、接收和回馈，不直接判断双方现实交换质量。</x:v>
      </x:c>
      <x:c r="L164" s="46" t="str">
        <x:v>M2只说明进入关系所需资格证据；不能替代长期双向交换、负荷与修复验证。</x:v>
      </x:c>
      <x:c r="M164" s="46" t="str">
        <x:v>M3-BASE、EXPR、CARE和BOUND提供用户自然互动通道；M5-EXCHANGE负责把两人的实际行为合成为交换结构。</x:v>
      </x:c>
      <x:c r="N164" s="46" t="str">
        <x:v>无／按本规则指定的给予—请求—接收—反馈—重订路径路由。</x:v>
      </x:c>
      <x:c r="O164" s="46" t="str">
        <x:v>近位、远位只修正该交换需求进入亲密关系核心的可能；不得据此判断具体伴侣现实中一定配合。</x:v>
      </x:c>
      <x:c r="P164" s="46" t="str">
        <x:v>根气只修正用户交换需求和通道是否稳定重复，不等于双方已形成成熟互惠。</x:v>
      </x:c>
      <x:c r="Q164" s="46" t="str">
        <x:v>旺弱只修正通道调用强度、抢位或缺位风险，不直接等于交换公平或关系质量。</x:v>
      </x:c>
      <x:c r="R164" s="46" t="str">
        <x:v>喜忌只修正调用顺畅度与摩擦，不可直接翻译为理想伴侣五行、十神或必然互补。</x:v>
      </x:c>
      <x:c r="S164" s="46" t="str">
        <x:v>真合化成立时按化神功能重算用户交换需求；合化争议时停止细化交换通道。</x:v>
      </x:c>
      <x:c r="T164" s="46" t="str">
        <x:v>近位提高该交换议题进入关系核心的可能；远位只保留背景或阶段性观察。</x:v>
      </x:c>
      <x:c r="U164" s="46" t="str">
        <x:v>88</x:v>
      </x:c>
      <x:c r="V164" s="46" t="str">
        <x:v>+10 模式成立</x:v>
      </x:c>
      <x:c r="W164" s="46" t="str">
        <x:v>exchange_mode</x:v>
      </x:c>
      <x:c r="X164" s="46" t="str">
        <x:v>角色分工型必须满足：角色可协商、可轮换、没有高低权力。</x:v>
      </x:c>
      <x:c r="Y164" s="46" t="str">
        <x:v>要形成角色分工型，需要：角色可协商、可轮换、没有高低权力。</x:v>
      </x:c>
      <x:c r="Z16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64" s="46" t="str">
        <x:v>中高</x:v>
      </x:c>
      <x:c r="AB164" s="46" t="str">
        <x:v>待验证</x:v>
      </x:c>
      <x:c r="AC164" s="46" t="str"/>
      <x:c r="AD164" s="46" t="str">
        <x:v>exchange_mode=EM03; provisional=true; rule_group=EXCHANGE-EM模式</x:v>
      </x:c>
      <x:c r="AE164" s="46" t="str">
        <x:v>0.4</x:v>
      </x:c>
    </x:row>
    <x:row r="165" ht="50" customHeight="1">
      <x:c r="A165" s="46" t="str">
        <x:v>M5-EXCHANGE-164</x:v>
      </x:c>
      <x:c r="B165" s="46" t="str">
        <x:v>EM03 角色分工型｜失衡与伪适配</x:v>
      </x:c>
      <x:c r="C165" s="46" t="str">
        <x:v>L3 双向交换模式</x:v>
      </x:c>
      <x:c r="D165" s="46" t="str">
        <x:v>EXCHANGE-EM模式</x:v>
      </x:c>
      <x:c r="E165" s="46" t="str">
        <x:v>通用</x:v>
      </x:c>
      <x:c r="F165" s="46" t="str">
        <x:v>风险</x:v>
      </x:c>
      <x:c r="G165" s="46" t="str">
        <x:v>EM03</x:v>
      </x:c>
      <x:c r="H165" s="46" t="str">
        <x:v>角色分工型</x:v>
      </x:c>
      <x:c r="I165" s="46" t="str">
        <x:v>出现风险信号。</x:v>
      </x:c>
      <x:c r="J165" s="46" t="str">
        <x:v>XV5—XV7现实证据能够排除。</x:v>
      </x:c>
      <x:c r="K165" s="46" t="str">
        <x:v>由共享基础引擎、M3与M5-BASE提供；只修正用户怎样给予、请求、接收和回馈，不直接判断双方现实交换质量。</x:v>
      </x:c>
      <x:c r="L165" s="46" t="str">
        <x:v>M2只说明进入关系所需资格证据；不能替代长期双向交换、负荷与修复验证。</x:v>
      </x:c>
      <x:c r="M165" s="46" t="str">
        <x:v>M3-BASE、EXPR、CARE和BOUND提供用户自然互动通道；M5-EXCHANGE负责把两人的实际行为合成为交换结构。</x:v>
      </x:c>
      <x:c r="N165" s="46" t="str">
        <x:v>无／按本规则指定的给予—请求—接收—反馈—重订路径路由。</x:v>
      </x:c>
      <x:c r="O165" s="46" t="str">
        <x:v>近位、远位只修正该交换需求进入亲密关系核心的可能；不得据此判断具体伴侣现实中一定配合。</x:v>
      </x:c>
      <x:c r="P165" s="46" t="str">
        <x:v>根气只修正用户交换需求和通道是否稳定重复，不等于双方已形成成熟互惠。</x:v>
      </x:c>
      <x:c r="Q165" s="46" t="str">
        <x:v>旺弱只修正通道调用强度、抢位或缺位风险，不直接等于交换公平或关系质量。</x:v>
      </x:c>
      <x:c r="R165" s="46" t="str">
        <x:v>喜忌只修正调用顺畅度与摩擦，不可直接翻译为理想伴侣五行、十神或必然互补。</x:v>
      </x:c>
      <x:c r="S165" s="46" t="str">
        <x:v>真合化成立时按化神功能重算用户交换需求；合化争议时停止细化交换通道。</x:v>
      </x:c>
      <x:c r="T165" s="46" t="str">
        <x:v>近位提高该交换议题进入关系核心的可能；远位只保留背景或阶段性观察。</x:v>
      </x:c>
      <x:c r="U165" s="46" t="str">
        <x:v>92</x:v>
      </x:c>
      <x:c r="V165" s="46" t="str">
        <x:v>风险 +12</x:v>
      </x:c>
      <x:c r="W165" s="46" t="str">
        <x:v>pseudo_reciprocity_warning</x:v>
      </x:c>
      <x:c r="X165" s="46" t="str">
        <x:v>固定性别角色、单方劳动或不允许重谈。</x:v>
      </x:c>
      <x:c r="Y165" s="46" t="str">
        <x:v>需要避免：固定性别角色、单方劳动或不允许重谈。</x:v>
      </x:c>
      <x:c r="Z16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65" s="46" t="str">
        <x:v>中高</x:v>
      </x:c>
      <x:c r="AB165" s="46" t="str">
        <x:v>待验证</x:v>
      </x:c>
      <x:c r="AC165" s="46" t="str"/>
      <x:c r="AD165" s="46" t="str">
        <x:v>exchange_mode=EM03; provisional=true; rule_group=EXCHANGE-EM模式</x:v>
      </x:c>
      <x:c r="AE165" s="46" t="str">
        <x:v>0.4</x:v>
      </x:c>
    </x:row>
    <x:row r="166" ht="50" customHeight="1">
      <x:c r="A166" s="46" t="str">
        <x:v>M5-EXCHANGE-165</x:v>
      </x:c>
      <x:c r="B166" s="46" t="str">
        <x:v>EM03 角色分工型｜现实验证与输出</x:v>
      </x:c>
      <x:c r="C166" s="46" t="str">
        <x:v>L3 双向交换模式</x:v>
      </x:c>
      <x:c r="D166" s="46" t="str">
        <x:v>EXCHANGE-EM模式</x:v>
      </x:c>
      <x:c r="E166" s="46" t="str">
        <x:v>通用</x:v>
      </x:c>
      <x:c r="F166" s="46" t="str">
        <x:v>证据</x:v>
      </x:c>
      <x:c r="G166" s="46" t="str">
        <x:v>EM03</x:v>
      </x:c>
      <x:c r="H166" s="46" t="str">
        <x:v>角色分工型</x:v>
      </x:c>
      <x:c r="I166" s="46" t="str">
        <x:v>XV3以上。</x:v>
      </x:c>
      <x:c r="J166" s="46" t="str">
        <x:v>只有命盘或单次高光。</x:v>
      </x:c>
      <x:c r="K166" s="46" t="str">
        <x:v>由共享基础引擎、M3与M5-BASE提供；只修正用户怎样给予、请求、接收和回馈，不直接判断双方现实交换质量。</x:v>
      </x:c>
      <x:c r="L166" s="46" t="str">
        <x:v>M2只说明进入关系所需资格证据；不能替代长期双向交换、负荷与修复验证。</x:v>
      </x:c>
      <x:c r="M166" s="46" t="str">
        <x:v>M3-BASE、EXPR、CARE和BOUND提供用户自然互动通道；M5-EXCHANGE负责把两人的实际行为合成为交换结构。</x:v>
      </x:c>
      <x:c r="N166" s="46" t="str">
        <x:v>无／按本规则指定的给予—请求—接收—反馈—重订路径路由。</x:v>
      </x:c>
      <x:c r="O166" s="46" t="str">
        <x:v>近位、远位只修正该交换需求进入亲密关系核心的可能；不得据此判断具体伴侣现实中一定配合。</x:v>
      </x:c>
      <x:c r="P166" s="46" t="str">
        <x:v>根气只修正用户交换需求和通道是否稳定重复，不等于双方已形成成熟互惠。</x:v>
      </x:c>
      <x:c r="Q166" s="46" t="str">
        <x:v>旺弱只修正通道调用强度、抢位或缺位风险，不直接等于交换公平或关系质量。</x:v>
      </x:c>
      <x:c r="R166" s="46" t="str">
        <x:v>喜忌只修正调用顺畅度与摩擦，不可直接翻译为理想伴侣五行、十神或必然互补。</x:v>
      </x:c>
      <x:c r="S166" s="46" t="str">
        <x:v>真合化成立时按化神功能重算用户交换需求；合化争议时停止细化交换通道。</x:v>
      </x:c>
      <x:c r="T166" s="46" t="str">
        <x:v>近位提高该交换议题进入关系核心的可能；远位只保留背景或阶段性观察。</x:v>
      </x:c>
      <x:c r="U166" s="46" t="str">
        <x:v>78</x:v>
      </x:c>
      <x:c r="V166" s="46" t="str">
        <x:v>不加分；现实核验</x:v>
      </x:c>
      <x:c r="W166" s="46" t="str">
        <x:v>observation_plan</x:v>
      </x:c>
      <x:c r="X166" s="46" t="str">
        <x:v>模式必须由双方请求、回应、负荷和重订共同验证。</x:v>
      </x:c>
      <x:c r="Y166" s="46" t="str">
        <x:v>要看这套交换是否能在现实变化后继续运行。</x:v>
      </x:c>
      <x:c r="Z16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66" s="46" t="str">
        <x:v>中</x:v>
      </x:c>
      <x:c r="AB166" s="46" t="str">
        <x:v>待验证</x:v>
      </x:c>
      <x:c r="AC166" s="46" t="str"/>
      <x:c r="AD166" s="46" t="str">
        <x:v>exchange_mode=EM03; provisional=true; rule_group=EXCHANGE-EM模式</x:v>
      </x:c>
      <x:c r="AE166" s="46" t="str">
        <x:v>0.4</x:v>
      </x:c>
    </x:row>
    <x:row r="167" ht="50" customHeight="1">
      <x:c r="A167" s="46" t="str">
        <x:v>M5-EXCHANGE-166</x:v>
      </x:c>
      <x:c r="B167" s="46" t="str">
        <x:v>EM04 请求—回应型｜正式定义</x:v>
      </x:c>
      <x:c r="C167" s="46" t="str">
        <x:v>L3 双向交换模式</x:v>
      </x:c>
      <x:c r="D167" s="46" t="str">
        <x:v>EXCHANGE-EM模式</x:v>
      </x:c>
      <x:c r="E167" s="46" t="str">
        <x:v>通用</x:v>
      </x:c>
      <x:c r="F167" s="46" t="str">
        <x:v>定义</x:v>
      </x:c>
      <x:c r="G167" s="46" t="str">
        <x:v>EM04</x:v>
      </x:c>
      <x:c r="H167" s="46" t="str">
        <x:v>请求—回应型</x:v>
      </x:c>
      <x:c r="I167" s="46" t="str">
        <x:v>M5-BASE、PARTNER或现实资料路由该模式。</x:v>
      </x:c>
      <x:c r="J167" s="46" t="str">
        <x:v>安全门控未通过。</x:v>
      </x:c>
      <x:c r="K167" s="46" t="str">
        <x:v>由共享基础引擎、M3与M5-BASE提供；只修正用户怎样给予、请求、接收和回馈，不直接判断双方现实交换质量。</x:v>
      </x:c>
      <x:c r="L167" s="46" t="str">
        <x:v>M2只说明进入关系所需资格证据；不能替代长期双向交换、负荷与修复验证。</x:v>
      </x:c>
      <x:c r="M167" s="46" t="str">
        <x:v>M3-BASE、EXPR、CARE和BOUND提供用户自然互动通道；M5-EXCHANGE负责把两人的实际行为合成为交换结构。</x:v>
      </x:c>
      <x:c r="N167" s="46" t="str">
        <x:v>无／按本规则指定的给予—请求—接收—反馈—重订路径路由。</x:v>
      </x:c>
      <x:c r="O167" s="46" t="str">
        <x:v>近位、远位只修正该交换需求进入亲密关系核心的可能；不得据此判断具体伴侣现实中一定配合。</x:v>
      </x:c>
      <x:c r="P167" s="46" t="str">
        <x:v>根气只修正用户交换需求和通道是否稳定重复，不等于双方已形成成熟互惠。</x:v>
      </x:c>
      <x:c r="Q167" s="46" t="str">
        <x:v>旺弱只修正通道调用强度、抢位或缺位风险，不直接等于交换公平或关系质量。</x:v>
      </x:c>
      <x:c r="R167" s="46" t="str">
        <x:v>喜忌只修正调用顺畅度与摩擦，不可直接翻译为理想伴侣五行、十神或必然互补。</x:v>
      </x:c>
      <x:c r="S167" s="46" t="str">
        <x:v>真合化成立时按化神功能重算用户交换需求；合化争议时停止细化交换通道。</x:v>
      </x:c>
      <x:c r="T167" s="46" t="str">
        <x:v>近位提高该交换议题进入关系核心的可能；远位只保留背景或阶段性观察。</x:v>
      </x:c>
      <x:c r="U167" s="46" t="str">
        <x:v>90</x:v>
      </x:c>
      <x:c r="V167" s="46" t="str">
        <x:v>EM候选 +8</x:v>
      </x:c>
      <x:c r="W167" s="46" t="str">
        <x:v>exchange_mode</x:v>
      </x:c>
      <x:c r="X167" s="46" t="str">
        <x:v>一方清楚提出需要，另一方回应并确认是否命中。</x:v>
      </x:c>
      <x:c r="Y167" s="46" t="str">
        <x:v>交换模式更接近请求—回应型。</x:v>
      </x:c>
      <x:c r="Z16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67" s="46" t="str">
        <x:v>中高</x:v>
      </x:c>
      <x:c r="AB167" s="46" t="str">
        <x:v>待验证</x:v>
      </x:c>
      <x:c r="AC167" s="46" t="str"/>
      <x:c r="AD167" s="46" t="str">
        <x:v>exchange_mode=EM04; provisional=true; rule_group=EXCHANGE-EM模式</x:v>
      </x:c>
      <x:c r="AE167" s="46" t="str">
        <x:v>0.4</x:v>
      </x:c>
    </x:row>
    <x:row r="168" ht="50" customHeight="1">
      <x:c r="A168" s="46" t="str">
        <x:v>M5-EXCHANGE-167</x:v>
      </x:c>
      <x:c r="B168" s="46" t="str">
        <x:v>EM04 请求—回应型｜适用情境</x:v>
      </x:c>
      <x:c r="C168" s="46" t="str">
        <x:v>L3 双向交换模式</x:v>
      </x:c>
      <x:c r="D168" s="46" t="str">
        <x:v>EXCHANGE-EM模式</x:v>
      </x:c>
      <x:c r="E168" s="46" t="str">
        <x:v>通用</x:v>
      </x:c>
      <x:c r="F168" s="46" t="str">
        <x:v>场景</x:v>
      </x:c>
      <x:c r="G168" s="46" t="str">
        <x:v>EM04</x:v>
      </x:c>
      <x:c r="H168" s="46" t="str">
        <x:v>请求—回应型</x:v>
      </x:c>
      <x:c r="I168" s="46" t="str">
        <x:v>存在对应XD领域或生活阶段。</x:v>
      </x:c>
      <x:c r="J168" s="46" t="str">
        <x:v>把一种模式覆盖全部关系领域。</x:v>
      </x:c>
      <x:c r="K168" s="46" t="str">
        <x:v>由共享基础引擎、M3与M5-BASE提供；只修正用户怎样给予、请求、接收和回馈，不直接判断双方现实交换质量。</x:v>
      </x:c>
      <x:c r="L168" s="46" t="str">
        <x:v>M2只说明进入关系所需资格证据；不能替代长期双向交换、负荷与修复验证。</x:v>
      </x:c>
      <x:c r="M168" s="46" t="str">
        <x:v>M3-BASE、EXPR、CARE和BOUND提供用户自然互动通道；M5-EXCHANGE负责把两人的实际行为合成为交换结构。</x:v>
      </x:c>
      <x:c r="N168" s="46" t="str">
        <x:v>无／按本规则指定的给予—请求—接收—反馈—重订路径路由。</x:v>
      </x:c>
      <x:c r="O168" s="46" t="str">
        <x:v>近位、远位只修正该交换需求进入亲密关系核心的可能；不得据此判断具体伴侣现实中一定配合。</x:v>
      </x:c>
      <x:c r="P168" s="46" t="str">
        <x:v>根气只修正用户交换需求和通道是否稳定重复，不等于双方已形成成熟互惠。</x:v>
      </x:c>
      <x:c r="Q168" s="46" t="str">
        <x:v>旺弱只修正通道调用强度、抢位或缺位风险，不直接等于交换公平或关系质量。</x:v>
      </x:c>
      <x:c r="R168" s="46" t="str">
        <x:v>喜忌只修正调用顺畅度与摩擦，不可直接翻译为理想伴侣五行、十神或必然互补。</x:v>
      </x:c>
      <x:c r="S168" s="46" t="str">
        <x:v>真合化成立时按化神功能重算用户交换需求；合化争议时停止细化交换通道。</x:v>
      </x:c>
      <x:c r="T168" s="46" t="str">
        <x:v>近位提高该交换议题进入关系核心的可能；远位只保留背景或阶段性观察。</x:v>
      </x:c>
      <x:c r="U168" s="46" t="str">
        <x:v>78</x:v>
      </x:c>
      <x:c r="V168" s="46" t="str">
        <x:v>+6 场景路由</x:v>
      </x:c>
      <x:c r="W168" s="46" t="str">
        <x:v>exchange_domains</x:v>
      </x:c>
      <x:c r="X168" s="46" t="str">
        <x:v>适合需求不易自动被看见的关系。</x:v>
      </x:c>
      <x:c r="Y168" s="46" t="str">
        <x:v>这种方式更适合：适合需求不易自动被看见的关系。</x:v>
      </x:c>
      <x:c r="Z16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68" s="46" t="str">
        <x:v>中</x:v>
      </x:c>
      <x:c r="AB168" s="46" t="str">
        <x:v>待验证</x:v>
      </x:c>
      <x:c r="AC168" s="46" t="str"/>
      <x:c r="AD168" s="46" t="str">
        <x:v>exchange_mode=EM04; provisional=true; rule_group=EXCHANGE-EM模式</x:v>
      </x:c>
      <x:c r="AE168" s="46" t="str">
        <x:v>0.4</x:v>
      </x:c>
    </x:row>
    <x:row r="169" ht="50" customHeight="1">
      <x:c r="A169" s="46" t="str">
        <x:v>M5-EXCHANGE-168</x:v>
      </x:c>
      <x:c r="B169" s="46" t="str">
        <x:v>EM04 请求—回应型｜成立条件</x:v>
      </x:c>
      <x:c r="C169" s="46" t="str">
        <x:v>L3 双向交换模式</x:v>
      </x:c>
      <x:c r="D169" s="46" t="str">
        <x:v>EXCHANGE-EM模式</x:v>
      </x:c>
      <x:c r="E169" s="46" t="str">
        <x:v>通用</x:v>
      </x:c>
      <x:c r="F169" s="46" t="str">
        <x:v>门控</x:v>
      </x:c>
      <x:c r="G169" s="46" t="str">
        <x:v>EM04</x:v>
      </x:c>
      <x:c r="H169" s="46" t="str">
        <x:v>请求—回应型</x:v>
      </x:c>
      <x:c r="I169" s="46" t="str">
        <x:v>请求具体、回应可调整、拒绝也可协商。</x:v>
      </x:c>
      <x:c r="J169" s="46" t="str">
        <x:v>只有标签相似、一次事件或单方愿望。</x:v>
      </x:c>
      <x:c r="K169" s="46" t="str">
        <x:v>由共享基础引擎、M3与M5-BASE提供；只修正用户怎样给予、请求、接收和回馈，不直接判断双方现实交换质量。</x:v>
      </x:c>
      <x:c r="L169" s="46" t="str">
        <x:v>M2只说明进入关系所需资格证据；不能替代长期双向交换、负荷与修复验证。</x:v>
      </x:c>
      <x:c r="M169" s="46" t="str">
        <x:v>M3-BASE、EXPR、CARE和BOUND提供用户自然互动通道；M5-EXCHANGE负责把两人的实际行为合成为交换结构。</x:v>
      </x:c>
      <x:c r="N169" s="46" t="str">
        <x:v>无／按本规则指定的给予—请求—接收—反馈—重订路径路由。</x:v>
      </x:c>
      <x:c r="O169" s="46" t="str">
        <x:v>近位、远位只修正该交换需求进入亲密关系核心的可能；不得据此判断具体伴侣现实中一定配合。</x:v>
      </x:c>
      <x:c r="P169" s="46" t="str">
        <x:v>根气只修正用户交换需求和通道是否稳定重复，不等于双方已形成成熟互惠。</x:v>
      </x:c>
      <x:c r="Q169" s="46" t="str">
        <x:v>旺弱只修正通道调用强度、抢位或缺位风险，不直接等于交换公平或关系质量。</x:v>
      </x:c>
      <x:c r="R169" s="46" t="str">
        <x:v>喜忌只修正调用顺畅度与摩擦，不可直接翻译为理想伴侣五行、十神或必然互补。</x:v>
      </x:c>
      <x:c r="S169" s="46" t="str">
        <x:v>真合化成立时按化神功能重算用户交换需求；合化争议时停止细化交换通道。</x:v>
      </x:c>
      <x:c r="T169" s="46" t="str">
        <x:v>近位提高该交换议题进入关系核心的可能；远位只保留背景或阶段性观察。</x:v>
      </x:c>
      <x:c r="U169" s="46" t="str">
        <x:v>88</x:v>
      </x:c>
      <x:c r="V169" s="46" t="str">
        <x:v>+10 模式成立</x:v>
      </x:c>
      <x:c r="W169" s="46" t="str">
        <x:v>exchange_mode</x:v>
      </x:c>
      <x:c r="X169" s="46" t="str">
        <x:v>请求—回应型必须满足：请求具体、回应可调整、拒绝也可协商。</x:v>
      </x:c>
      <x:c r="Y169" s="46" t="str">
        <x:v>要形成请求—回应型，需要：请求具体、回应可调整、拒绝也可协商。</x:v>
      </x:c>
      <x:c r="Z16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69" s="46" t="str">
        <x:v>中高</x:v>
      </x:c>
      <x:c r="AB169" s="46" t="str">
        <x:v>待验证</x:v>
      </x:c>
      <x:c r="AC169" s="46" t="str"/>
      <x:c r="AD169" s="46" t="str">
        <x:v>exchange_mode=EM04; provisional=true; rule_group=EXCHANGE-EM模式</x:v>
      </x:c>
      <x:c r="AE169" s="46" t="str">
        <x:v>0.4</x:v>
      </x:c>
    </x:row>
    <x:row r="170" ht="50" customHeight="1">
      <x:c r="A170" s="46" t="str">
        <x:v>M5-EXCHANGE-169</x:v>
      </x:c>
      <x:c r="B170" s="46" t="str">
        <x:v>EM04 请求—回应型｜失衡与伪适配</x:v>
      </x:c>
      <x:c r="C170" s="46" t="str">
        <x:v>L3 双向交换模式</x:v>
      </x:c>
      <x:c r="D170" s="46" t="str">
        <x:v>EXCHANGE-EM模式</x:v>
      </x:c>
      <x:c r="E170" s="46" t="str">
        <x:v>通用</x:v>
      </x:c>
      <x:c r="F170" s="46" t="str">
        <x:v>风险</x:v>
      </x:c>
      <x:c r="G170" s="46" t="str">
        <x:v>EM04</x:v>
      </x:c>
      <x:c r="H170" s="46" t="str">
        <x:v>请求—回应型</x:v>
      </x:c>
      <x:c r="I170" s="46" t="str">
        <x:v>出现风险信号。</x:v>
      </x:c>
      <x:c r="J170" s="46" t="str">
        <x:v>XV5—XV7现实证据能够排除。</x:v>
      </x:c>
      <x:c r="K170" s="46" t="str">
        <x:v>由共享基础引擎、M3与M5-BASE提供；只修正用户怎样给予、请求、接收和回馈，不直接判断双方现实交换质量。</x:v>
      </x:c>
      <x:c r="L170" s="46" t="str">
        <x:v>M2只说明进入关系所需资格证据；不能替代长期双向交换、负荷与修复验证。</x:v>
      </x:c>
      <x:c r="M170" s="46" t="str">
        <x:v>M3-BASE、EXPR、CARE和BOUND提供用户自然互动通道；M5-EXCHANGE负责把两人的实际行为合成为交换结构。</x:v>
      </x:c>
      <x:c r="N170" s="46" t="str">
        <x:v>无／按本规则指定的给予—请求—接收—反馈—重订路径路由。</x:v>
      </x:c>
      <x:c r="O170" s="46" t="str">
        <x:v>近位、远位只修正该交换需求进入亲密关系核心的可能；不得据此判断具体伴侣现实中一定配合。</x:v>
      </x:c>
      <x:c r="P170" s="46" t="str">
        <x:v>根气只修正用户交换需求和通道是否稳定重复，不等于双方已形成成熟互惠。</x:v>
      </x:c>
      <x:c r="Q170" s="46" t="str">
        <x:v>旺弱只修正通道调用强度、抢位或缺位风险，不直接等于交换公平或关系质量。</x:v>
      </x:c>
      <x:c r="R170" s="46" t="str">
        <x:v>喜忌只修正调用顺畅度与摩擦，不可直接翻译为理想伴侣五行、十神或必然互补。</x:v>
      </x:c>
      <x:c r="S170" s="46" t="str">
        <x:v>真合化成立时按化神功能重算用户交换需求；合化争议时停止细化交换通道。</x:v>
      </x:c>
      <x:c r="T170" s="46" t="str">
        <x:v>近位提高该交换议题进入关系核心的可能；远位只保留背景或阶段性观察。</x:v>
      </x:c>
      <x:c r="U170" s="46" t="str">
        <x:v>92</x:v>
      </x:c>
      <x:c r="V170" s="46" t="str">
        <x:v>风险 +12</x:v>
      </x:c>
      <x:c r="W170" s="46" t="str">
        <x:v>pseudo_reciprocity_warning</x:v>
      </x:c>
      <x:c r="X170" s="46" t="str">
        <x:v>以测试、暗示和猜测代替请求。</x:v>
      </x:c>
      <x:c r="Y170" s="46" t="str">
        <x:v>需要避免：以测试、暗示和猜测代替请求。</x:v>
      </x:c>
      <x:c r="Z17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70" s="46" t="str">
        <x:v>中高</x:v>
      </x:c>
      <x:c r="AB170" s="46" t="str">
        <x:v>待验证</x:v>
      </x:c>
      <x:c r="AC170" s="46" t="str"/>
      <x:c r="AD170" s="46" t="str">
        <x:v>exchange_mode=EM04; provisional=true; rule_group=EXCHANGE-EM模式</x:v>
      </x:c>
      <x:c r="AE170" s="46" t="str">
        <x:v>0.4</x:v>
      </x:c>
    </x:row>
    <x:row r="171" ht="50" customHeight="1">
      <x:c r="A171" s="46" t="str">
        <x:v>M5-EXCHANGE-170</x:v>
      </x:c>
      <x:c r="B171" s="46" t="str">
        <x:v>EM04 请求—回应型｜现实验证与输出</x:v>
      </x:c>
      <x:c r="C171" s="46" t="str">
        <x:v>L3 双向交换模式</x:v>
      </x:c>
      <x:c r="D171" s="46" t="str">
        <x:v>EXCHANGE-EM模式</x:v>
      </x:c>
      <x:c r="E171" s="46" t="str">
        <x:v>通用</x:v>
      </x:c>
      <x:c r="F171" s="46" t="str">
        <x:v>证据</x:v>
      </x:c>
      <x:c r="G171" s="46" t="str">
        <x:v>EM04</x:v>
      </x:c>
      <x:c r="H171" s="46" t="str">
        <x:v>请求—回应型</x:v>
      </x:c>
      <x:c r="I171" s="46" t="str">
        <x:v>XV3以上。</x:v>
      </x:c>
      <x:c r="J171" s="46" t="str">
        <x:v>只有命盘或单次高光。</x:v>
      </x:c>
      <x:c r="K171" s="46" t="str">
        <x:v>由共享基础引擎、M3与M5-BASE提供；只修正用户怎样给予、请求、接收和回馈，不直接判断双方现实交换质量。</x:v>
      </x:c>
      <x:c r="L171" s="46" t="str">
        <x:v>M2只说明进入关系所需资格证据；不能替代长期双向交换、负荷与修复验证。</x:v>
      </x:c>
      <x:c r="M171" s="46" t="str">
        <x:v>M3-BASE、EXPR、CARE和BOUND提供用户自然互动通道；M5-EXCHANGE负责把两人的实际行为合成为交换结构。</x:v>
      </x:c>
      <x:c r="N171" s="46" t="str">
        <x:v>无／按本规则指定的给予—请求—接收—反馈—重订路径路由。</x:v>
      </x:c>
      <x:c r="O171" s="46" t="str">
        <x:v>近位、远位只修正该交换需求进入亲密关系核心的可能；不得据此判断具体伴侣现实中一定配合。</x:v>
      </x:c>
      <x:c r="P171" s="46" t="str">
        <x:v>根气只修正用户交换需求和通道是否稳定重复，不等于双方已形成成熟互惠。</x:v>
      </x:c>
      <x:c r="Q171" s="46" t="str">
        <x:v>旺弱只修正通道调用强度、抢位或缺位风险，不直接等于交换公平或关系质量。</x:v>
      </x:c>
      <x:c r="R171" s="46" t="str">
        <x:v>喜忌只修正调用顺畅度与摩擦，不可直接翻译为理想伴侣五行、十神或必然互补。</x:v>
      </x:c>
      <x:c r="S171" s="46" t="str">
        <x:v>真合化成立时按化神功能重算用户交换需求；合化争议时停止细化交换通道。</x:v>
      </x:c>
      <x:c r="T171" s="46" t="str">
        <x:v>近位提高该交换议题进入关系核心的可能；远位只保留背景或阶段性观察。</x:v>
      </x:c>
      <x:c r="U171" s="46" t="str">
        <x:v>78</x:v>
      </x:c>
      <x:c r="V171" s="46" t="str">
        <x:v>不加分；现实核验</x:v>
      </x:c>
      <x:c r="W171" s="46" t="str">
        <x:v>observation_plan</x:v>
      </x:c>
      <x:c r="X171" s="46" t="str">
        <x:v>模式必须由双方请求、回应、负荷和重订共同验证。</x:v>
      </x:c>
      <x:c r="Y171" s="46" t="str">
        <x:v>要看这套交换是否能在现实变化后继续运行。</x:v>
      </x:c>
      <x:c r="Z17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71" s="46" t="str">
        <x:v>中</x:v>
      </x:c>
      <x:c r="AB171" s="46" t="str">
        <x:v>待验证</x:v>
      </x:c>
      <x:c r="AC171" s="46" t="str"/>
      <x:c r="AD171" s="46" t="str">
        <x:v>exchange_mode=EM04; provisional=true; rule_group=EXCHANGE-EM模式</x:v>
      </x:c>
      <x:c r="AE171" s="46" t="str">
        <x:v>0.4</x:v>
      </x:c>
    </x:row>
    <x:row r="172" ht="50" customHeight="1">
      <x:c r="A172" s="46" t="str">
        <x:v>M5-EXCHANGE-171</x:v>
      </x:c>
      <x:c r="B172" s="46" t="str">
        <x:v>EM05 主动给予—反馈型｜正式定义</x:v>
      </x:c>
      <x:c r="C172" s="46" t="str">
        <x:v>L3 双向交换模式</x:v>
      </x:c>
      <x:c r="D172" s="46" t="str">
        <x:v>EXCHANGE-EM模式</x:v>
      </x:c>
      <x:c r="E172" s="46" t="str">
        <x:v>通用</x:v>
      </x:c>
      <x:c r="F172" s="46" t="str">
        <x:v>定义</x:v>
      </x:c>
      <x:c r="G172" s="46" t="str">
        <x:v>EM05</x:v>
      </x:c>
      <x:c r="H172" s="46" t="str">
        <x:v>主动给予—反馈型</x:v>
      </x:c>
      <x:c r="I172" s="46" t="str">
        <x:v>M5-BASE、PARTNER或现实资料路由该模式。</x:v>
      </x:c>
      <x:c r="J172" s="46" t="str">
        <x:v>安全门控未通过。</x:v>
      </x:c>
      <x:c r="K172" s="46" t="str">
        <x:v>由共享基础引擎、M3与M5-BASE提供；只修正用户怎样给予、请求、接收和回馈，不直接判断双方现实交换质量。</x:v>
      </x:c>
      <x:c r="L172" s="46" t="str">
        <x:v>M2只说明进入关系所需资格证据；不能替代长期双向交换、负荷与修复验证。</x:v>
      </x:c>
      <x:c r="M172" s="46" t="str">
        <x:v>M3-BASE、EXPR、CARE和BOUND提供用户自然互动通道；M5-EXCHANGE负责把两人的实际行为合成为交换结构。</x:v>
      </x:c>
      <x:c r="N172" s="46" t="str">
        <x:v>无／按本规则指定的给予—请求—接收—反馈—重订路径路由。</x:v>
      </x:c>
      <x:c r="O172" s="46" t="str">
        <x:v>近位、远位只修正该交换需求进入亲密关系核心的可能；不得据此判断具体伴侣现实中一定配合。</x:v>
      </x:c>
      <x:c r="P172" s="46" t="str">
        <x:v>根气只修正用户交换需求和通道是否稳定重复，不等于双方已形成成熟互惠。</x:v>
      </x:c>
      <x:c r="Q172" s="46" t="str">
        <x:v>旺弱只修正通道调用强度、抢位或缺位风险，不直接等于交换公平或关系质量。</x:v>
      </x:c>
      <x:c r="R172" s="46" t="str">
        <x:v>喜忌只修正调用顺畅度与摩擦，不可直接翻译为理想伴侣五行、十神或必然互补。</x:v>
      </x:c>
      <x:c r="S172" s="46" t="str">
        <x:v>真合化成立时按化神功能重算用户交换需求；合化争议时停止细化交换通道。</x:v>
      </x:c>
      <x:c r="T172" s="46" t="str">
        <x:v>近位提高该交换议题进入关系核心的可能；远位只保留背景或阶段性观察。</x:v>
      </x:c>
      <x:c r="U172" s="46" t="str">
        <x:v>90</x:v>
      </x:c>
      <x:c r="V172" s="46" t="str">
        <x:v>EM候选 +8</x:v>
      </x:c>
      <x:c r="W172" s="46" t="str">
        <x:v>exchange_mode</x:v>
      </x:c>
      <x:c r="X172" s="46" t="str">
        <x:v>一方主动支持，接收方反馈是否有用，给予方据此调整。</x:v>
      </x:c>
      <x:c r="Y172" s="46" t="str">
        <x:v>交换模式更接近主动给予—反馈型。</x:v>
      </x:c>
      <x:c r="Z17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72" s="46" t="str">
        <x:v>中高</x:v>
      </x:c>
      <x:c r="AB172" s="46" t="str">
        <x:v>待验证</x:v>
      </x:c>
      <x:c r="AC172" s="46" t="str"/>
      <x:c r="AD172" s="46" t="str">
        <x:v>exchange_mode=EM05; provisional=true; rule_group=EXCHANGE-EM模式</x:v>
      </x:c>
      <x:c r="AE172" s="46" t="str">
        <x:v>0.4</x:v>
      </x:c>
    </x:row>
    <x:row r="173" ht="50" customHeight="1">
      <x:c r="A173" s="46" t="str">
        <x:v>M5-EXCHANGE-172</x:v>
      </x:c>
      <x:c r="B173" s="46" t="str">
        <x:v>EM05 主动给予—反馈型｜适用情境</x:v>
      </x:c>
      <x:c r="C173" s="46" t="str">
        <x:v>L3 双向交换模式</x:v>
      </x:c>
      <x:c r="D173" s="46" t="str">
        <x:v>EXCHANGE-EM模式</x:v>
      </x:c>
      <x:c r="E173" s="46" t="str">
        <x:v>通用</x:v>
      </x:c>
      <x:c r="F173" s="46" t="str">
        <x:v>场景</x:v>
      </x:c>
      <x:c r="G173" s="46" t="str">
        <x:v>EM05</x:v>
      </x:c>
      <x:c r="H173" s="46" t="str">
        <x:v>主动给予—反馈型</x:v>
      </x:c>
      <x:c r="I173" s="46" t="str">
        <x:v>存在对应XD领域或生活阶段。</x:v>
      </x:c>
      <x:c r="J173" s="46" t="str">
        <x:v>把一种模式覆盖全部关系领域。</x:v>
      </x:c>
      <x:c r="K173" s="46" t="str">
        <x:v>由共享基础引擎、M3与M5-BASE提供；只修正用户怎样给予、请求、接收和回馈，不直接判断双方现实交换质量。</x:v>
      </x:c>
      <x:c r="L173" s="46" t="str">
        <x:v>M2只说明进入关系所需资格证据；不能替代长期双向交换、负荷与修复验证。</x:v>
      </x:c>
      <x:c r="M173" s="46" t="str">
        <x:v>M3-BASE、EXPR、CARE和BOUND提供用户自然互动通道；M5-EXCHANGE负责把两人的实际行为合成为交换结构。</x:v>
      </x:c>
      <x:c r="N173" s="46" t="str">
        <x:v>无／按本规则指定的给予—请求—接收—反馈—重订路径路由。</x:v>
      </x:c>
      <x:c r="O173" s="46" t="str">
        <x:v>近位、远位只修正该交换需求进入亲密关系核心的可能；不得据此判断具体伴侣现实中一定配合。</x:v>
      </x:c>
      <x:c r="P173" s="46" t="str">
        <x:v>根气只修正用户交换需求和通道是否稳定重复，不等于双方已形成成熟互惠。</x:v>
      </x:c>
      <x:c r="Q173" s="46" t="str">
        <x:v>旺弱只修正通道调用强度、抢位或缺位风险，不直接等于交换公平或关系质量。</x:v>
      </x:c>
      <x:c r="R173" s="46" t="str">
        <x:v>喜忌只修正调用顺畅度与摩擦，不可直接翻译为理想伴侣五行、十神或必然互补。</x:v>
      </x:c>
      <x:c r="S173" s="46" t="str">
        <x:v>真合化成立时按化神功能重算用户交换需求；合化争议时停止细化交换通道。</x:v>
      </x:c>
      <x:c r="T173" s="46" t="str">
        <x:v>近位提高该交换议题进入关系核心的可能；远位只保留背景或阶段性观察。</x:v>
      </x:c>
      <x:c r="U173" s="46" t="str">
        <x:v>78</x:v>
      </x:c>
      <x:c r="V173" s="46" t="str">
        <x:v>+6 场景路由</x:v>
      </x:c>
      <x:c r="W173" s="46" t="str">
        <x:v>exchange_domains</x:v>
      </x:c>
      <x:c r="X173" s="46" t="str">
        <x:v>适合照顾、建议、行动保护和现实投入。</x:v>
      </x:c>
      <x:c r="Y173" s="46" t="str">
        <x:v>这种方式更适合：适合照顾、建议、行动保护和现实投入。</x:v>
      </x:c>
      <x:c r="Z17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73" s="46" t="str">
        <x:v>中</x:v>
      </x:c>
      <x:c r="AB173" s="46" t="str">
        <x:v>待验证</x:v>
      </x:c>
      <x:c r="AC173" s="46" t="str"/>
      <x:c r="AD173" s="46" t="str">
        <x:v>exchange_mode=EM05; provisional=true; rule_group=EXCHANGE-EM模式</x:v>
      </x:c>
      <x:c r="AE173" s="46" t="str">
        <x:v>0.4</x:v>
      </x:c>
    </x:row>
    <x:row r="174" ht="50" customHeight="1">
      <x:c r="A174" s="46" t="str">
        <x:v>M5-EXCHANGE-173</x:v>
      </x:c>
      <x:c r="B174" s="46" t="str">
        <x:v>EM05 主动给予—反馈型｜成立条件</x:v>
      </x:c>
      <x:c r="C174" s="46" t="str">
        <x:v>L3 双向交换模式</x:v>
      </x:c>
      <x:c r="D174" s="46" t="str">
        <x:v>EXCHANGE-EM模式</x:v>
      </x:c>
      <x:c r="E174" s="46" t="str">
        <x:v>通用</x:v>
      </x:c>
      <x:c r="F174" s="46" t="str">
        <x:v>门控</x:v>
      </x:c>
      <x:c r="G174" s="46" t="str">
        <x:v>EM05</x:v>
      </x:c>
      <x:c r="H174" s="46" t="str">
        <x:v>主动给予—反馈型</x:v>
      </x:c>
      <x:c r="I174" s="46" t="str">
        <x:v>主动不等于接管，反馈能够改变给予方式。</x:v>
      </x:c>
      <x:c r="J174" s="46" t="str">
        <x:v>只有标签相似、一次事件或单方愿望。</x:v>
      </x:c>
      <x:c r="K174" s="46" t="str">
        <x:v>由共享基础引擎、M3与M5-BASE提供；只修正用户怎样给予、请求、接收和回馈，不直接判断双方现实交换质量。</x:v>
      </x:c>
      <x:c r="L174" s="46" t="str">
        <x:v>M2只说明进入关系所需资格证据；不能替代长期双向交换、负荷与修复验证。</x:v>
      </x:c>
      <x:c r="M174" s="46" t="str">
        <x:v>M3-BASE、EXPR、CARE和BOUND提供用户自然互动通道；M5-EXCHANGE负责把两人的实际行为合成为交换结构。</x:v>
      </x:c>
      <x:c r="N174" s="46" t="str">
        <x:v>无／按本规则指定的给予—请求—接收—反馈—重订路径路由。</x:v>
      </x:c>
      <x:c r="O174" s="46" t="str">
        <x:v>近位、远位只修正该交换需求进入亲密关系核心的可能；不得据此判断具体伴侣现实中一定配合。</x:v>
      </x:c>
      <x:c r="P174" s="46" t="str">
        <x:v>根气只修正用户交换需求和通道是否稳定重复，不等于双方已形成成熟互惠。</x:v>
      </x:c>
      <x:c r="Q174" s="46" t="str">
        <x:v>旺弱只修正通道调用强度、抢位或缺位风险，不直接等于交换公平或关系质量。</x:v>
      </x:c>
      <x:c r="R174" s="46" t="str">
        <x:v>喜忌只修正调用顺畅度与摩擦，不可直接翻译为理想伴侣五行、十神或必然互补。</x:v>
      </x:c>
      <x:c r="S174" s="46" t="str">
        <x:v>真合化成立时按化神功能重算用户交换需求；合化争议时停止细化交换通道。</x:v>
      </x:c>
      <x:c r="T174" s="46" t="str">
        <x:v>近位提高该交换议题进入关系核心的可能；远位只保留背景或阶段性观察。</x:v>
      </x:c>
      <x:c r="U174" s="46" t="str">
        <x:v>88</x:v>
      </x:c>
      <x:c r="V174" s="46" t="str">
        <x:v>+10 模式成立</x:v>
      </x:c>
      <x:c r="W174" s="46" t="str">
        <x:v>exchange_mode</x:v>
      </x:c>
      <x:c r="X174" s="46" t="str">
        <x:v>主动给予—反馈型必须满足：主动不等于接管，反馈能够改变给予方式。</x:v>
      </x:c>
      <x:c r="Y174" s="46" t="str">
        <x:v>要形成主动给予—反馈型，需要：主动不等于接管，反馈能够改变给予方式。</x:v>
      </x:c>
      <x:c r="Z17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74" s="46" t="str">
        <x:v>中高</x:v>
      </x:c>
      <x:c r="AB174" s="46" t="str">
        <x:v>待验证</x:v>
      </x:c>
      <x:c r="AC174" s="46" t="str"/>
      <x:c r="AD174" s="46" t="str">
        <x:v>exchange_mode=EM05; provisional=true; rule_group=EXCHANGE-EM模式</x:v>
      </x:c>
      <x:c r="AE174" s="46" t="str">
        <x:v>0.4</x:v>
      </x:c>
    </x:row>
    <x:row r="175" ht="50" customHeight="1">
      <x:c r="A175" s="46" t="str">
        <x:v>M5-EXCHANGE-174</x:v>
      </x:c>
      <x:c r="B175" s="46" t="str">
        <x:v>EM05 主动给予—反馈型｜失衡与伪适配</x:v>
      </x:c>
      <x:c r="C175" s="46" t="str">
        <x:v>L3 双向交换模式</x:v>
      </x:c>
      <x:c r="D175" s="46" t="str">
        <x:v>EXCHANGE-EM模式</x:v>
      </x:c>
      <x:c r="E175" s="46" t="str">
        <x:v>通用</x:v>
      </x:c>
      <x:c r="F175" s="46" t="str">
        <x:v>风险</x:v>
      </x:c>
      <x:c r="G175" s="46" t="str">
        <x:v>EM05</x:v>
      </x:c>
      <x:c r="H175" s="46" t="str">
        <x:v>主动给予—反馈型</x:v>
      </x:c>
      <x:c r="I175" s="46" t="str">
        <x:v>出现风险信号。</x:v>
      </x:c>
      <x:c r="J175" s="46" t="str">
        <x:v>XV5—XV7现实证据能够排除。</x:v>
      </x:c>
      <x:c r="K175" s="46" t="str">
        <x:v>由共享基础引擎、M3与M5-BASE提供；只修正用户怎样给予、请求、接收和回馈，不直接判断双方现实交换质量。</x:v>
      </x:c>
      <x:c r="L175" s="46" t="str">
        <x:v>M2只说明进入关系所需资格证据；不能替代长期双向交换、负荷与修复验证。</x:v>
      </x:c>
      <x:c r="M175" s="46" t="str">
        <x:v>M3-BASE、EXPR、CARE和BOUND提供用户自然互动通道；M5-EXCHANGE负责把两人的实际行为合成为交换结构。</x:v>
      </x:c>
      <x:c r="N175" s="46" t="str">
        <x:v>无／按本规则指定的给予—请求—接收—反馈—重订路径路由。</x:v>
      </x:c>
      <x:c r="O175" s="46" t="str">
        <x:v>近位、远位只修正该交换需求进入亲密关系核心的可能；不得据此判断具体伴侣现实中一定配合。</x:v>
      </x:c>
      <x:c r="P175" s="46" t="str">
        <x:v>根气只修正用户交换需求和通道是否稳定重复，不等于双方已形成成熟互惠。</x:v>
      </x:c>
      <x:c r="Q175" s="46" t="str">
        <x:v>旺弱只修正通道调用强度、抢位或缺位风险，不直接等于交换公平或关系质量。</x:v>
      </x:c>
      <x:c r="R175" s="46" t="str">
        <x:v>喜忌只修正调用顺畅度与摩擦，不可直接翻译为理想伴侣五行、十神或必然互补。</x:v>
      </x:c>
      <x:c r="S175" s="46" t="str">
        <x:v>真合化成立时按化神功能重算用户交换需求；合化争议时停止细化交换通道。</x:v>
      </x:c>
      <x:c r="T175" s="46" t="str">
        <x:v>近位提高该交换议题进入关系核心的可能；远位只保留背景或阶段性观察。</x:v>
      </x:c>
      <x:c r="U175" s="46" t="str">
        <x:v>92</x:v>
      </x:c>
      <x:c r="V175" s="46" t="str">
        <x:v>风险 +12</x:v>
      </x:c>
      <x:c r="W175" s="46" t="str">
        <x:v>pseudo_reciprocity_warning</x:v>
      </x:c>
      <x:c r="X175" s="46" t="str">
        <x:v>越给越多，却不问对方是否需要。</x:v>
      </x:c>
      <x:c r="Y175" s="46" t="str">
        <x:v>需要避免：越给越多，却不问对方是否需要。</x:v>
      </x:c>
      <x:c r="Z17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75" s="46" t="str">
        <x:v>中高</x:v>
      </x:c>
      <x:c r="AB175" s="46" t="str">
        <x:v>待验证</x:v>
      </x:c>
      <x:c r="AC175" s="46" t="str"/>
      <x:c r="AD175" s="46" t="str">
        <x:v>exchange_mode=EM05; provisional=true; rule_group=EXCHANGE-EM模式</x:v>
      </x:c>
      <x:c r="AE175" s="46" t="str">
        <x:v>0.4</x:v>
      </x:c>
    </x:row>
    <x:row r="176" ht="50" customHeight="1">
      <x:c r="A176" s="46" t="str">
        <x:v>M5-EXCHANGE-175</x:v>
      </x:c>
      <x:c r="B176" s="46" t="str">
        <x:v>EM05 主动给予—反馈型｜现实验证与输出</x:v>
      </x:c>
      <x:c r="C176" s="46" t="str">
        <x:v>L3 双向交换模式</x:v>
      </x:c>
      <x:c r="D176" s="46" t="str">
        <x:v>EXCHANGE-EM模式</x:v>
      </x:c>
      <x:c r="E176" s="46" t="str">
        <x:v>通用</x:v>
      </x:c>
      <x:c r="F176" s="46" t="str">
        <x:v>证据</x:v>
      </x:c>
      <x:c r="G176" s="46" t="str">
        <x:v>EM05</x:v>
      </x:c>
      <x:c r="H176" s="46" t="str">
        <x:v>主动给予—反馈型</x:v>
      </x:c>
      <x:c r="I176" s="46" t="str">
        <x:v>XV3以上。</x:v>
      </x:c>
      <x:c r="J176" s="46" t="str">
        <x:v>只有命盘或单次高光。</x:v>
      </x:c>
      <x:c r="K176" s="46" t="str">
        <x:v>由共享基础引擎、M3与M5-BASE提供；只修正用户怎样给予、请求、接收和回馈，不直接判断双方现实交换质量。</x:v>
      </x:c>
      <x:c r="L176" s="46" t="str">
        <x:v>M2只说明进入关系所需资格证据；不能替代长期双向交换、负荷与修复验证。</x:v>
      </x:c>
      <x:c r="M176" s="46" t="str">
        <x:v>M3-BASE、EXPR、CARE和BOUND提供用户自然互动通道；M5-EXCHANGE负责把两人的实际行为合成为交换结构。</x:v>
      </x:c>
      <x:c r="N176" s="46" t="str">
        <x:v>无／按本规则指定的给予—请求—接收—反馈—重订路径路由。</x:v>
      </x:c>
      <x:c r="O176" s="46" t="str">
        <x:v>近位、远位只修正该交换需求进入亲密关系核心的可能；不得据此判断具体伴侣现实中一定配合。</x:v>
      </x:c>
      <x:c r="P176" s="46" t="str">
        <x:v>根气只修正用户交换需求和通道是否稳定重复，不等于双方已形成成熟互惠。</x:v>
      </x:c>
      <x:c r="Q176" s="46" t="str">
        <x:v>旺弱只修正通道调用强度、抢位或缺位风险，不直接等于交换公平或关系质量。</x:v>
      </x:c>
      <x:c r="R176" s="46" t="str">
        <x:v>喜忌只修正调用顺畅度与摩擦，不可直接翻译为理想伴侣五行、十神或必然互补。</x:v>
      </x:c>
      <x:c r="S176" s="46" t="str">
        <x:v>真合化成立时按化神功能重算用户交换需求；合化争议时停止细化交换通道。</x:v>
      </x:c>
      <x:c r="T176" s="46" t="str">
        <x:v>近位提高该交换议题进入关系核心的可能；远位只保留背景或阶段性观察。</x:v>
      </x:c>
      <x:c r="U176" s="46" t="str">
        <x:v>78</x:v>
      </x:c>
      <x:c r="V176" s="46" t="str">
        <x:v>不加分；现实核验</x:v>
      </x:c>
      <x:c r="W176" s="46" t="str">
        <x:v>observation_plan</x:v>
      </x:c>
      <x:c r="X176" s="46" t="str">
        <x:v>模式必须由双方请求、回应、负荷和重订共同验证。</x:v>
      </x:c>
      <x:c r="Y176" s="46" t="str">
        <x:v>要看这套交换是否能在现实变化后继续运行。</x:v>
      </x:c>
      <x:c r="Z17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76" s="46" t="str">
        <x:v>中</x:v>
      </x:c>
      <x:c r="AB176" s="46" t="str">
        <x:v>待验证</x:v>
      </x:c>
      <x:c r="AC176" s="46" t="str"/>
      <x:c r="AD176" s="46" t="str">
        <x:v>exchange_mode=EM05; provisional=true; rule_group=EXCHANGE-EM模式</x:v>
      </x:c>
      <x:c r="AE176" s="46" t="str">
        <x:v>0.4</x:v>
      </x:c>
    </x:row>
    <x:row r="177" ht="50" customHeight="1">
      <x:c r="A177" s="46" t="str">
        <x:v>M5-EXCHANGE-176</x:v>
      </x:c>
      <x:c r="B177" s="46" t="str">
        <x:v>EM06 先承接后回馈型｜正式定义</x:v>
      </x:c>
      <x:c r="C177" s="46" t="str">
        <x:v>L3 双向交换模式</x:v>
      </x:c>
      <x:c r="D177" s="46" t="str">
        <x:v>EXCHANGE-EM模式</x:v>
      </x:c>
      <x:c r="E177" s="46" t="str">
        <x:v>通用</x:v>
      </x:c>
      <x:c r="F177" s="46" t="str">
        <x:v>定义</x:v>
      </x:c>
      <x:c r="G177" s="46" t="str">
        <x:v>EM06</x:v>
      </x:c>
      <x:c r="H177" s="46" t="str">
        <x:v>先承接后回馈型</x:v>
      </x:c>
      <x:c r="I177" s="46" t="str">
        <x:v>M5-BASE、PARTNER或现实资料路由该模式。</x:v>
      </x:c>
      <x:c r="J177" s="46" t="str">
        <x:v>安全门控未通过。</x:v>
      </x:c>
      <x:c r="K177" s="46" t="str">
        <x:v>由共享基础引擎、M3与M5-BASE提供；只修正用户怎样给予、请求、接收和回馈，不直接判断双方现实交换质量。</x:v>
      </x:c>
      <x:c r="L177" s="46" t="str">
        <x:v>M2只说明进入关系所需资格证据；不能替代长期双向交换、负荷与修复验证。</x:v>
      </x:c>
      <x:c r="M177" s="46" t="str">
        <x:v>M3-BASE、EXPR、CARE和BOUND提供用户自然互动通道；M5-EXCHANGE负责把两人的实际行为合成为交换结构。</x:v>
      </x:c>
      <x:c r="N177" s="46" t="str">
        <x:v>无／按本规则指定的给予—请求—接收—反馈—重订路径路由。</x:v>
      </x:c>
      <x:c r="O177" s="46" t="str">
        <x:v>近位、远位只修正该交换需求进入亲密关系核心的可能；不得据此判断具体伴侣现实中一定配合。</x:v>
      </x:c>
      <x:c r="P177" s="46" t="str">
        <x:v>根气只修正用户交换需求和通道是否稳定重复，不等于双方已形成成熟互惠。</x:v>
      </x:c>
      <x:c r="Q177" s="46" t="str">
        <x:v>旺弱只修正通道调用强度、抢位或缺位风险，不直接等于交换公平或关系质量。</x:v>
      </x:c>
      <x:c r="R177" s="46" t="str">
        <x:v>喜忌只修正调用顺畅度与摩擦，不可直接翻译为理想伴侣五行、十神或必然互补。</x:v>
      </x:c>
      <x:c r="S177" s="46" t="str">
        <x:v>真合化成立时按化神功能重算用户交换需求；合化争议时停止细化交换通道。</x:v>
      </x:c>
      <x:c r="T177" s="46" t="str">
        <x:v>近位提高该交换议题进入关系核心的可能；远位只保留背景或阶段性观察。</x:v>
      </x:c>
      <x:c r="U177" s="46" t="str">
        <x:v>90</x:v>
      </x:c>
      <x:c r="V177" s="46" t="str">
        <x:v>EM候选 +8</x:v>
      </x:c>
      <x:c r="W177" s="46" t="str">
        <x:v>exchange_mode</x:v>
      </x:c>
      <x:c r="X177" s="46" t="str">
        <x:v>一方先获得理解、安全或现实支持，之后再以适合方式回馈。</x:v>
      </x:c>
      <x:c r="Y177" s="46" t="str">
        <x:v>交换模式更接近先承接后回馈型。</x:v>
      </x:c>
      <x:c r="Z17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77" s="46" t="str">
        <x:v>中高</x:v>
      </x:c>
      <x:c r="AB177" s="46" t="str">
        <x:v>待验证</x:v>
      </x:c>
      <x:c r="AC177" s="46" t="str"/>
      <x:c r="AD177" s="46" t="str">
        <x:v>exchange_mode=EM06; provisional=true; rule_group=EXCHANGE-EM模式</x:v>
      </x:c>
      <x:c r="AE177" s="46" t="str">
        <x:v>0.4</x:v>
      </x:c>
    </x:row>
    <x:row r="178" ht="50" customHeight="1">
      <x:c r="A178" s="46" t="str">
        <x:v>M5-EXCHANGE-177</x:v>
      </x:c>
      <x:c r="B178" s="46" t="str">
        <x:v>EM06 先承接后回馈型｜适用情境</x:v>
      </x:c>
      <x:c r="C178" s="46" t="str">
        <x:v>L3 双向交换模式</x:v>
      </x:c>
      <x:c r="D178" s="46" t="str">
        <x:v>EXCHANGE-EM模式</x:v>
      </x:c>
      <x:c r="E178" s="46" t="str">
        <x:v>通用</x:v>
      </x:c>
      <x:c r="F178" s="46" t="str">
        <x:v>场景</x:v>
      </x:c>
      <x:c r="G178" s="46" t="str">
        <x:v>EM06</x:v>
      </x:c>
      <x:c r="H178" s="46" t="str">
        <x:v>先承接后回馈型</x:v>
      </x:c>
      <x:c r="I178" s="46" t="str">
        <x:v>存在对应XD领域或生活阶段。</x:v>
      </x:c>
      <x:c r="J178" s="46" t="str">
        <x:v>把一种模式覆盖全部关系领域。</x:v>
      </x:c>
      <x:c r="K178" s="46" t="str">
        <x:v>由共享基础引擎、M3与M5-BASE提供；只修正用户怎样给予、请求、接收和回馈，不直接判断双方现实交换质量。</x:v>
      </x:c>
      <x:c r="L178" s="46" t="str">
        <x:v>M2只说明进入关系所需资格证据；不能替代长期双向交换、负荷与修复验证。</x:v>
      </x:c>
      <x:c r="M178" s="46" t="str">
        <x:v>M3-BASE、EXPR、CARE和BOUND提供用户自然互动通道；M5-EXCHANGE负责把两人的实际行为合成为交换结构。</x:v>
      </x:c>
      <x:c r="N178" s="46" t="str">
        <x:v>无／按本规则指定的给予—请求—接收—反馈—重订路径路由。</x:v>
      </x:c>
      <x:c r="O178" s="46" t="str">
        <x:v>近位、远位只修正该交换需求进入亲密关系核心的可能；不得据此判断具体伴侣现实中一定配合。</x:v>
      </x:c>
      <x:c r="P178" s="46" t="str">
        <x:v>根气只修正用户交换需求和通道是否稳定重复，不等于双方已形成成熟互惠。</x:v>
      </x:c>
      <x:c r="Q178" s="46" t="str">
        <x:v>旺弱只修正通道调用强度、抢位或缺位风险，不直接等于交换公平或关系质量。</x:v>
      </x:c>
      <x:c r="R178" s="46" t="str">
        <x:v>喜忌只修正调用顺畅度与摩擦，不可直接翻译为理想伴侣五行、十神或必然互补。</x:v>
      </x:c>
      <x:c r="S178" s="46" t="str">
        <x:v>真合化成立时按化神功能重算用户交换需求；合化争议时停止细化交换通道。</x:v>
      </x:c>
      <x:c r="T178" s="46" t="str">
        <x:v>近位提高该交换议题进入关系核心的可能；远位只保留背景或阶段性观察。</x:v>
      </x:c>
      <x:c r="U178" s="46" t="str">
        <x:v>78</x:v>
      </x:c>
      <x:c r="V178" s="46" t="str">
        <x:v>+6 场景路由</x:v>
      </x:c>
      <x:c r="W178" s="46" t="str">
        <x:v>exchange_domains</x:v>
      </x:c>
      <x:c r="X178" s="46" t="str">
        <x:v>适合压力、疾病、低资源或修复阶段。</x:v>
      </x:c>
      <x:c r="Y178" s="46" t="str">
        <x:v>这种方式更适合：适合压力、疾病、低资源或修复阶段。</x:v>
      </x:c>
      <x:c r="Z17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78" s="46" t="str">
        <x:v>中</x:v>
      </x:c>
      <x:c r="AB178" s="46" t="str">
        <x:v>待验证</x:v>
      </x:c>
      <x:c r="AC178" s="46" t="str"/>
      <x:c r="AD178" s="46" t="str">
        <x:v>exchange_mode=EM06; provisional=true; rule_group=EXCHANGE-EM模式</x:v>
      </x:c>
      <x:c r="AE178" s="46" t="str">
        <x:v>0.4</x:v>
      </x:c>
    </x:row>
    <x:row r="179" ht="50" customHeight="1">
      <x:c r="A179" s="46" t="str">
        <x:v>M5-EXCHANGE-178</x:v>
      </x:c>
      <x:c r="B179" s="46" t="str">
        <x:v>EM06 先承接后回馈型｜成立条件</x:v>
      </x:c>
      <x:c r="C179" s="46" t="str">
        <x:v>L3 双向交换模式</x:v>
      </x:c>
      <x:c r="D179" s="46" t="str">
        <x:v>EXCHANGE-EM模式</x:v>
      </x:c>
      <x:c r="E179" s="46" t="str">
        <x:v>通用</x:v>
      </x:c>
      <x:c r="F179" s="46" t="str">
        <x:v>门控</x:v>
      </x:c>
      <x:c r="G179" s="46" t="str">
        <x:v>EM06</x:v>
      </x:c>
      <x:c r="H179" s="46" t="str">
        <x:v>先承接后回馈型</x:v>
      </x:c>
      <x:c r="I179" s="46" t="str">
        <x:v>接收被允许，回馈时点和形式可说明。</x:v>
      </x:c>
      <x:c r="J179" s="46" t="str">
        <x:v>只有标签相似、一次事件或单方愿望。</x:v>
      </x:c>
      <x:c r="K179" s="46" t="str">
        <x:v>由共享基础引擎、M3与M5-BASE提供；只修正用户怎样给予、请求、接收和回馈，不直接判断双方现实交换质量。</x:v>
      </x:c>
      <x:c r="L179" s="46" t="str">
        <x:v>M2只说明进入关系所需资格证据；不能替代长期双向交换、负荷与修复验证。</x:v>
      </x:c>
      <x:c r="M179" s="46" t="str">
        <x:v>M3-BASE、EXPR、CARE和BOUND提供用户自然互动通道；M5-EXCHANGE负责把两人的实际行为合成为交换结构。</x:v>
      </x:c>
      <x:c r="N179" s="46" t="str">
        <x:v>无／按本规则指定的给予—请求—接收—反馈—重订路径路由。</x:v>
      </x:c>
      <x:c r="O179" s="46" t="str">
        <x:v>近位、远位只修正该交换需求进入亲密关系核心的可能；不得据此判断具体伴侣现实中一定配合。</x:v>
      </x:c>
      <x:c r="P179" s="46" t="str">
        <x:v>根气只修正用户交换需求和通道是否稳定重复，不等于双方已形成成熟互惠。</x:v>
      </x:c>
      <x:c r="Q179" s="46" t="str">
        <x:v>旺弱只修正通道调用强度、抢位或缺位风险，不直接等于交换公平或关系质量。</x:v>
      </x:c>
      <x:c r="R179" s="46" t="str">
        <x:v>喜忌只修正调用顺畅度与摩擦，不可直接翻译为理想伴侣五行、十神或必然互补。</x:v>
      </x:c>
      <x:c r="S179" s="46" t="str">
        <x:v>真合化成立时按化神功能重算用户交换需求；合化争议时停止细化交换通道。</x:v>
      </x:c>
      <x:c r="T179" s="46" t="str">
        <x:v>近位提高该交换议题进入关系核心的可能；远位只保留背景或阶段性观察。</x:v>
      </x:c>
      <x:c r="U179" s="46" t="str">
        <x:v>88</x:v>
      </x:c>
      <x:c r="V179" s="46" t="str">
        <x:v>+10 模式成立</x:v>
      </x:c>
      <x:c r="W179" s="46" t="str">
        <x:v>exchange_mode</x:v>
      </x:c>
      <x:c r="X179" s="46" t="str">
        <x:v>先承接后回馈型必须满足：接收被允许，回馈时点和形式可说明。</x:v>
      </x:c>
      <x:c r="Y179" s="46" t="str">
        <x:v>要形成先承接后回馈型，需要：接收被允许，回馈时点和形式可说明。</x:v>
      </x:c>
      <x:c r="Z17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79" s="46" t="str">
        <x:v>中高</x:v>
      </x:c>
      <x:c r="AB179" s="46" t="str">
        <x:v>待验证</x:v>
      </x:c>
      <x:c r="AC179" s="46" t="str"/>
      <x:c r="AD179" s="46" t="str">
        <x:v>exchange_mode=EM06; provisional=true; rule_group=EXCHANGE-EM模式</x:v>
      </x:c>
      <x:c r="AE179" s="46" t="str">
        <x:v>0.4</x:v>
      </x:c>
    </x:row>
    <x:row r="180" ht="50" customHeight="1">
      <x:c r="A180" s="46" t="str">
        <x:v>M5-EXCHANGE-179</x:v>
      </x:c>
      <x:c r="B180" s="46" t="str">
        <x:v>EM06 先承接后回馈型｜失衡与伪适配</x:v>
      </x:c>
      <x:c r="C180" s="46" t="str">
        <x:v>L3 双向交换模式</x:v>
      </x:c>
      <x:c r="D180" s="46" t="str">
        <x:v>EXCHANGE-EM模式</x:v>
      </x:c>
      <x:c r="E180" s="46" t="str">
        <x:v>通用</x:v>
      </x:c>
      <x:c r="F180" s="46" t="str">
        <x:v>风险</x:v>
      </x:c>
      <x:c r="G180" s="46" t="str">
        <x:v>EM06</x:v>
      </x:c>
      <x:c r="H180" s="46" t="str">
        <x:v>先承接后回馈型</x:v>
      </x:c>
      <x:c r="I180" s="46" t="str">
        <x:v>出现风险信号。</x:v>
      </x:c>
      <x:c r="J180" s="46" t="str">
        <x:v>XV5—XV7现实证据能够排除。</x:v>
      </x:c>
      <x:c r="K180" s="46" t="str">
        <x:v>由共享基础引擎、M3与M5-BASE提供；只修正用户怎样给予、请求、接收和回馈，不直接判断双方现实交换质量。</x:v>
      </x:c>
      <x:c r="L180" s="46" t="str">
        <x:v>M2只说明进入关系所需资格证据；不能替代长期双向交换、负荷与修复验证。</x:v>
      </x:c>
      <x:c r="M180" s="46" t="str">
        <x:v>M3-BASE、EXPR、CARE和BOUND提供用户自然互动通道；M5-EXCHANGE负责把两人的实际行为合成为交换结构。</x:v>
      </x:c>
      <x:c r="N180" s="46" t="str">
        <x:v>无／按本规则指定的给予—请求—接收—反馈—重订路径路由。</x:v>
      </x:c>
      <x:c r="O180" s="46" t="str">
        <x:v>近位、远位只修正该交换需求进入亲密关系核心的可能；不得据此判断具体伴侣现实中一定配合。</x:v>
      </x:c>
      <x:c r="P180" s="46" t="str">
        <x:v>根气只修正用户交换需求和通道是否稳定重复，不等于双方已形成成熟互惠。</x:v>
      </x:c>
      <x:c r="Q180" s="46" t="str">
        <x:v>旺弱只修正通道调用强度、抢位或缺位风险，不直接等于交换公平或关系质量。</x:v>
      </x:c>
      <x:c r="R180" s="46" t="str">
        <x:v>喜忌只修正调用顺畅度与摩擦，不可直接翻译为理想伴侣五行、十神或必然互补。</x:v>
      </x:c>
      <x:c r="S180" s="46" t="str">
        <x:v>真合化成立时按化神功能重算用户交换需求；合化争议时停止细化交换通道。</x:v>
      </x:c>
      <x:c r="T180" s="46" t="str">
        <x:v>近位提高该交换议题进入关系核心的可能；远位只保留背景或阶段性观察。</x:v>
      </x:c>
      <x:c r="U180" s="46" t="str">
        <x:v>92</x:v>
      </x:c>
      <x:c r="V180" s="46" t="str">
        <x:v>风险 +12</x:v>
      </x:c>
      <x:c r="W180" s="46" t="str">
        <x:v>pseudo_reciprocity_warning</x:v>
      </x:c>
      <x:c r="X180" s="46" t="str">
        <x:v>接受帮助被债务化，或回馈义务无限。</x:v>
      </x:c>
      <x:c r="Y180" s="46" t="str">
        <x:v>需要避免：接受帮助被债务化，或回馈义务无限。</x:v>
      </x:c>
      <x:c r="Z18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80" s="46" t="str">
        <x:v>中高</x:v>
      </x:c>
      <x:c r="AB180" s="46" t="str">
        <x:v>待验证</x:v>
      </x:c>
      <x:c r="AC180" s="46" t="str"/>
      <x:c r="AD180" s="46" t="str">
        <x:v>exchange_mode=EM06; provisional=true; rule_group=EXCHANGE-EM模式</x:v>
      </x:c>
      <x:c r="AE180" s="46" t="str">
        <x:v>0.4</x:v>
      </x:c>
    </x:row>
    <x:row r="181" ht="50" customHeight="1">
      <x:c r="A181" s="46" t="str">
        <x:v>M5-EXCHANGE-180</x:v>
      </x:c>
      <x:c r="B181" s="46" t="str">
        <x:v>EM06 先承接后回馈型｜现实验证与输出</x:v>
      </x:c>
      <x:c r="C181" s="46" t="str">
        <x:v>L3 双向交换模式</x:v>
      </x:c>
      <x:c r="D181" s="46" t="str">
        <x:v>EXCHANGE-EM模式</x:v>
      </x:c>
      <x:c r="E181" s="46" t="str">
        <x:v>通用</x:v>
      </x:c>
      <x:c r="F181" s="46" t="str">
        <x:v>证据</x:v>
      </x:c>
      <x:c r="G181" s="46" t="str">
        <x:v>EM06</x:v>
      </x:c>
      <x:c r="H181" s="46" t="str">
        <x:v>先承接后回馈型</x:v>
      </x:c>
      <x:c r="I181" s="46" t="str">
        <x:v>XV3以上。</x:v>
      </x:c>
      <x:c r="J181" s="46" t="str">
        <x:v>只有命盘或单次高光。</x:v>
      </x:c>
      <x:c r="K181" s="46" t="str">
        <x:v>由共享基础引擎、M3与M5-BASE提供；只修正用户怎样给予、请求、接收和回馈，不直接判断双方现实交换质量。</x:v>
      </x:c>
      <x:c r="L181" s="46" t="str">
        <x:v>M2只说明进入关系所需资格证据；不能替代长期双向交换、负荷与修复验证。</x:v>
      </x:c>
      <x:c r="M181" s="46" t="str">
        <x:v>M3-BASE、EXPR、CARE和BOUND提供用户自然互动通道；M5-EXCHANGE负责把两人的实际行为合成为交换结构。</x:v>
      </x:c>
      <x:c r="N181" s="46" t="str">
        <x:v>无／按本规则指定的给予—请求—接收—反馈—重订路径路由。</x:v>
      </x:c>
      <x:c r="O181" s="46" t="str">
        <x:v>近位、远位只修正该交换需求进入亲密关系核心的可能；不得据此判断具体伴侣现实中一定配合。</x:v>
      </x:c>
      <x:c r="P181" s="46" t="str">
        <x:v>根气只修正用户交换需求和通道是否稳定重复，不等于双方已形成成熟互惠。</x:v>
      </x:c>
      <x:c r="Q181" s="46" t="str">
        <x:v>旺弱只修正通道调用强度、抢位或缺位风险，不直接等于交换公平或关系质量。</x:v>
      </x:c>
      <x:c r="R181" s="46" t="str">
        <x:v>喜忌只修正调用顺畅度与摩擦，不可直接翻译为理想伴侣五行、十神或必然互补。</x:v>
      </x:c>
      <x:c r="S181" s="46" t="str">
        <x:v>真合化成立时按化神功能重算用户交换需求；合化争议时停止细化交换通道。</x:v>
      </x:c>
      <x:c r="T181" s="46" t="str">
        <x:v>近位提高该交换议题进入关系核心的可能；远位只保留背景或阶段性观察。</x:v>
      </x:c>
      <x:c r="U181" s="46" t="str">
        <x:v>78</x:v>
      </x:c>
      <x:c r="V181" s="46" t="str">
        <x:v>不加分；现实核验</x:v>
      </x:c>
      <x:c r="W181" s="46" t="str">
        <x:v>observation_plan</x:v>
      </x:c>
      <x:c r="X181" s="46" t="str">
        <x:v>模式必须由双方请求、回应、负荷和重订共同验证。</x:v>
      </x:c>
      <x:c r="Y181" s="46" t="str">
        <x:v>要看这套交换是否能在现实变化后继续运行。</x:v>
      </x:c>
      <x:c r="Z18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81" s="46" t="str">
        <x:v>中</x:v>
      </x:c>
      <x:c r="AB181" s="46" t="str">
        <x:v>待验证</x:v>
      </x:c>
      <x:c r="AC181" s="46" t="str"/>
      <x:c r="AD181" s="46" t="str">
        <x:v>exchange_mode=EM06; provisional=true; rule_group=EXCHANGE-EM模式</x:v>
      </x:c>
      <x:c r="AE181" s="46" t="str">
        <x:v>0.4</x:v>
      </x:c>
    </x:row>
    <x:row r="182" ht="50" customHeight="1">
      <x:c r="A182" s="46" t="str">
        <x:v>M5-EXCHANGE-181</x:v>
      </x:c>
      <x:c r="B182" s="46" t="str">
        <x:v>EM07 舒缓—处理接力型｜正式定义</x:v>
      </x:c>
      <x:c r="C182" s="46" t="str">
        <x:v>L3 双向交换模式</x:v>
      </x:c>
      <x:c r="D182" s="46" t="str">
        <x:v>EXCHANGE-EM模式</x:v>
      </x:c>
      <x:c r="E182" s="46" t="str">
        <x:v>通用</x:v>
      </x:c>
      <x:c r="F182" s="46" t="str">
        <x:v>定义</x:v>
      </x:c>
      <x:c r="G182" s="46" t="str">
        <x:v>EM07</x:v>
      </x:c>
      <x:c r="H182" s="46" t="str">
        <x:v>舒缓—处理接力型</x:v>
      </x:c>
      <x:c r="I182" s="46" t="str">
        <x:v>M5-BASE、PARTNER或现实资料路由该模式。</x:v>
      </x:c>
      <x:c r="J182" s="46" t="str">
        <x:v>安全门控未通过。</x:v>
      </x:c>
      <x:c r="K182" s="46" t="str">
        <x:v>由共享基础引擎、M3与M5-BASE提供；只修正用户怎样给予、请求、接收和回馈，不直接判断双方现实交换质量。</x:v>
      </x:c>
      <x:c r="L182" s="46" t="str">
        <x:v>M2只说明进入关系所需资格证据；不能替代长期双向交换、负荷与修复验证。</x:v>
      </x:c>
      <x:c r="M182" s="46" t="str">
        <x:v>M3-BASE、EXPR、CARE和BOUND提供用户自然互动通道；M5-EXCHANGE负责把两人的实际行为合成为交换结构。</x:v>
      </x:c>
      <x:c r="N182" s="46" t="str">
        <x:v>无／按本规则指定的给予—请求—接收—反馈—重订路径路由。</x:v>
      </x:c>
      <x:c r="O182" s="46" t="str">
        <x:v>近位、远位只修正该交换需求进入亲密关系核心的可能；不得据此判断具体伴侣现实中一定配合。</x:v>
      </x:c>
      <x:c r="P182" s="46" t="str">
        <x:v>根气只修正用户交换需求和通道是否稳定重复，不等于双方已形成成熟互惠。</x:v>
      </x:c>
      <x:c r="Q182" s="46" t="str">
        <x:v>旺弱只修正通道调用强度、抢位或缺位风险，不直接等于交换公平或关系质量。</x:v>
      </x:c>
      <x:c r="R182" s="46" t="str">
        <x:v>喜忌只修正调用顺畅度与摩擦，不可直接翻译为理想伴侣五行、十神或必然互补。</x:v>
      </x:c>
      <x:c r="S182" s="46" t="str">
        <x:v>真合化成立时按化神功能重算用户交换需求；合化争议时停止细化交换通道。</x:v>
      </x:c>
      <x:c r="T182" s="46" t="str">
        <x:v>近位提高该交换议题进入关系核心的可能；远位只保留背景或阶段性观察。</x:v>
      </x:c>
      <x:c r="U182" s="46" t="str">
        <x:v>90</x:v>
      </x:c>
      <x:c r="V182" s="46" t="str">
        <x:v>EM候选 +8</x:v>
      </x:c>
      <x:c r="W182" s="46" t="str">
        <x:v>exchange_mode</x:v>
      </x:c>
      <x:c r="X182" s="46" t="str">
        <x:v>先降低强度、恢复可沟通状态，再处理责任、边界和行动。</x:v>
      </x:c>
      <x:c r="Y182" s="46" t="str">
        <x:v>交换模式更接近舒缓—处理接力型。</x:v>
      </x:c>
      <x:c r="Z18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82" s="46" t="str">
        <x:v>中高</x:v>
      </x:c>
      <x:c r="AB182" s="46" t="str">
        <x:v>待验证</x:v>
      </x:c>
      <x:c r="AC182" s="46" t="str"/>
      <x:c r="AD182" s="46" t="str">
        <x:v>exchange_mode=EM07; provisional=true; rule_group=EXCHANGE-EM模式</x:v>
      </x:c>
      <x:c r="AE182" s="46" t="str">
        <x:v>0.4</x:v>
      </x:c>
    </x:row>
    <x:row r="183" ht="50" customHeight="1">
      <x:c r="A183" s="46" t="str">
        <x:v>M5-EXCHANGE-182</x:v>
      </x:c>
      <x:c r="B183" s="46" t="str">
        <x:v>EM07 舒缓—处理接力型｜适用情境</x:v>
      </x:c>
      <x:c r="C183" s="46" t="str">
        <x:v>L3 双向交换模式</x:v>
      </x:c>
      <x:c r="D183" s="46" t="str">
        <x:v>EXCHANGE-EM模式</x:v>
      </x:c>
      <x:c r="E183" s="46" t="str">
        <x:v>通用</x:v>
      </x:c>
      <x:c r="F183" s="46" t="str">
        <x:v>场景</x:v>
      </x:c>
      <x:c r="G183" s="46" t="str">
        <x:v>EM07</x:v>
      </x:c>
      <x:c r="H183" s="46" t="str">
        <x:v>舒缓—处理接力型</x:v>
      </x:c>
      <x:c r="I183" s="46" t="str">
        <x:v>存在对应XD领域或生活阶段。</x:v>
      </x:c>
      <x:c r="J183" s="46" t="str">
        <x:v>把一种模式覆盖全部关系领域。</x:v>
      </x:c>
      <x:c r="K183" s="46" t="str">
        <x:v>由共享基础引擎、M3与M5-BASE提供；只修正用户怎样给予、请求、接收和回馈，不直接判断双方现实交换质量。</x:v>
      </x:c>
      <x:c r="L183" s="46" t="str">
        <x:v>M2只说明进入关系所需资格证据；不能替代长期双向交换、负荷与修复验证。</x:v>
      </x:c>
      <x:c r="M183" s="46" t="str">
        <x:v>M3-BASE、EXPR、CARE和BOUND提供用户自然互动通道；M5-EXCHANGE负责把两人的实际行为合成为交换结构。</x:v>
      </x:c>
      <x:c r="N183" s="46" t="str">
        <x:v>无／按本规则指定的给予—请求—接收—反馈—重订路径路由。</x:v>
      </x:c>
      <x:c r="O183" s="46" t="str">
        <x:v>近位、远位只修正该交换需求进入亲密关系核心的可能；不得据此判断具体伴侣现实中一定配合。</x:v>
      </x:c>
      <x:c r="P183" s="46" t="str">
        <x:v>根气只修正用户交换需求和通道是否稳定重复，不等于双方已形成成熟互惠。</x:v>
      </x:c>
      <x:c r="Q183" s="46" t="str">
        <x:v>旺弱只修正通道调用强度、抢位或缺位风险，不直接等于交换公平或关系质量。</x:v>
      </x:c>
      <x:c r="R183" s="46" t="str">
        <x:v>喜忌只修正调用顺畅度与摩擦，不可直接翻译为理想伴侣五行、十神或必然互补。</x:v>
      </x:c>
      <x:c r="S183" s="46" t="str">
        <x:v>真合化成立时按化神功能重算用户交换需求；合化争议时停止细化交换通道。</x:v>
      </x:c>
      <x:c r="T183" s="46" t="str">
        <x:v>近位提高该交换议题进入关系核心的可能；远位只保留背景或阶段性观察。</x:v>
      </x:c>
      <x:c r="U183" s="46" t="str">
        <x:v>78</x:v>
      </x:c>
      <x:c r="V183" s="46" t="str">
        <x:v>+6 场景路由</x:v>
      </x:c>
      <x:c r="W183" s="46" t="str">
        <x:v>exchange_domains</x:v>
      </x:c>
      <x:c r="X183" s="46" t="str">
        <x:v>适合高情绪分歧和修复初期。</x:v>
      </x:c>
      <x:c r="Y183" s="46" t="str">
        <x:v>这种方式更适合：适合高情绪分歧和修复初期。</x:v>
      </x:c>
      <x:c r="Z18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83" s="46" t="str">
        <x:v>中</x:v>
      </x:c>
      <x:c r="AB183" s="46" t="str">
        <x:v>待验证</x:v>
      </x:c>
      <x:c r="AC183" s="46" t="str"/>
      <x:c r="AD183" s="46" t="str">
        <x:v>exchange_mode=EM07; provisional=true; rule_group=EXCHANGE-EM模式</x:v>
      </x:c>
      <x:c r="AE183" s="46" t="str">
        <x:v>0.4</x:v>
      </x:c>
    </x:row>
    <x:row r="184" ht="50" customHeight="1">
      <x:c r="A184" s="46" t="str">
        <x:v>M5-EXCHANGE-183</x:v>
      </x:c>
      <x:c r="B184" s="46" t="str">
        <x:v>EM07 舒缓—处理接力型｜成立条件</x:v>
      </x:c>
      <x:c r="C184" s="46" t="str">
        <x:v>L3 双向交换模式</x:v>
      </x:c>
      <x:c r="D184" s="46" t="str">
        <x:v>EXCHANGE-EM模式</x:v>
      </x:c>
      <x:c r="E184" s="46" t="str">
        <x:v>通用</x:v>
      </x:c>
      <x:c r="F184" s="46" t="str">
        <x:v>门控</x:v>
      </x:c>
      <x:c r="G184" s="46" t="str">
        <x:v>EM07</x:v>
      </x:c>
      <x:c r="H184" s="46" t="str">
        <x:v>舒缓—处理接力型</x:v>
      </x:c>
      <x:c r="I184" s="46" t="str">
        <x:v>明确何时从安抚转入问题处理。</x:v>
      </x:c>
      <x:c r="J184" s="46" t="str">
        <x:v>只有标签相似、一次事件或单方愿望。</x:v>
      </x:c>
      <x:c r="K184" s="46" t="str">
        <x:v>由共享基础引擎、M3与M5-BASE提供；只修正用户怎样给予、请求、接收和回馈，不直接判断双方现实交换质量。</x:v>
      </x:c>
      <x:c r="L184" s="46" t="str">
        <x:v>M2只说明进入关系所需资格证据；不能替代长期双向交换、负荷与修复验证。</x:v>
      </x:c>
      <x:c r="M184" s="46" t="str">
        <x:v>M3-BASE、EXPR、CARE和BOUND提供用户自然互动通道；M5-EXCHANGE负责把两人的实际行为合成为交换结构。</x:v>
      </x:c>
      <x:c r="N184" s="46" t="str">
        <x:v>无／按本规则指定的给予—请求—接收—反馈—重订路径路由。</x:v>
      </x:c>
      <x:c r="O184" s="46" t="str">
        <x:v>近位、远位只修正该交换需求进入亲密关系核心的可能；不得据此判断具体伴侣现实中一定配合。</x:v>
      </x:c>
      <x:c r="P184" s="46" t="str">
        <x:v>根气只修正用户交换需求和通道是否稳定重复，不等于双方已形成成熟互惠。</x:v>
      </x:c>
      <x:c r="Q184" s="46" t="str">
        <x:v>旺弱只修正通道调用强度、抢位或缺位风险，不直接等于交换公平或关系质量。</x:v>
      </x:c>
      <x:c r="R184" s="46" t="str">
        <x:v>喜忌只修正调用顺畅度与摩擦，不可直接翻译为理想伴侣五行、十神或必然互补。</x:v>
      </x:c>
      <x:c r="S184" s="46" t="str">
        <x:v>真合化成立时按化神功能重算用户交换需求；合化争议时停止细化交换通道。</x:v>
      </x:c>
      <x:c r="T184" s="46" t="str">
        <x:v>近位提高该交换议题进入关系核心的可能；远位只保留背景或阶段性观察。</x:v>
      </x:c>
      <x:c r="U184" s="46" t="str">
        <x:v>88</x:v>
      </x:c>
      <x:c r="V184" s="46" t="str">
        <x:v>+10 模式成立</x:v>
      </x:c>
      <x:c r="W184" s="46" t="str">
        <x:v>exchange_mode</x:v>
      </x:c>
      <x:c r="X184" s="46" t="str">
        <x:v>舒缓—处理接力型必须满足：明确何时从安抚转入问题处理。</x:v>
      </x:c>
      <x:c r="Y184" s="46" t="str">
        <x:v>要形成舒缓—处理接力型，需要：明确何时从安抚转入问题处理。</x:v>
      </x:c>
      <x:c r="Z18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84" s="46" t="str">
        <x:v>中高</x:v>
      </x:c>
      <x:c r="AB184" s="46" t="str">
        <x:v>待验证</x:v>
      </x:c>
      <x:c r="AC184" s="46" t="str"/>
      <x:c r="AD184" s="46" t="str">
        <x:v>exchange_mode=EM07; provisional=true; rule_group=EXCHANGE-EM模式</x:v>
      </x:c>
      <x:c r="AE184" s="46" t="str">
        <x:v>0.4</x:v>
      </x:c>
    </x:row>
    <x:row r="185" ht="50" customHeight="1">
      <x:c r="A185" s="46" t="str">
        <x:v>M5-EXCHANGE-184</x:v>
      </x:c>
      <x:c r="B185" s="46" t="str">
        <x:v>EM07 舒缓—处理接力型｜失衡与伪适配</x:v>
      </x:c>
      <x:c r="C185" s="46" t="str">
        <x:v>L3 双向交换模式</x:v>
      </x:c>
      <x:c r="D185" s="46" t="str">
        <x:v>EXCHANGE-EM模式</x:v>
      </x:c>
      <x:c r="E185" s="46" t="str">
        <x:v>通用</x:v>
      </x:c>
      <x:c r="F185" s="46" t="str">
        <x:v>风险</x:v>
      </x:c>
      <x:c r="G185" s="46" t="str">
        <x:v>EM07</x:v>
      </x:c>
      <x:c r="H185" s="46" t="str">
        <x:v>舒缓—处理接力型</x:v>
      </x:c>
      <x:c r="I185" s="46" t="str">
        <x:v>出现风险信号。</x:v>
      </x:c>
      <x:c r="J185" s="46" t="str">
        <x:v>XV5—XV7现实证据能够排除。</x:v>
      </x:c>
      <x:c r="K185" s="46" t="str">
        <x:v>由共享基础引擎、M3与M5-BASE提供；只修正用户怎样给予、请求、接收和回馈，不直接判断双方现实交换质量。</x:v>
      </x:c>
      <x:c r="L185" s="46" t="str">
        <x:v>M2只说明进入关系所需资格证据；不能替代长期双向交换、负荷与修复验证。</x:v>
      </x:c>
      <x:c r="M185" s="46" t="str">
        <x:v>M3-BASE、EXPR、CARE和BOUND提供用户自然互动通道；M5-EXCHANGE负责把两人的实际行为合成为交换结构。</x:v>
      </x:c>
      <x:c r="N185" s="46" t="str">
        <x:v>无／按本规则指定的给予—请求—接收—反馈—重订路径路由。</x:v>
      </x:c>
      <x:c r="O185" s="46" t="str">
        <x:v>近位、远位只修正该交换需求进入亲密关系核心的可能；不得据此判断具体伴侣现实中一定配合。</x:v>
      </x:c>
      <x:c r="P185" s="46" t="str">
        <x:v>根气只修正用户交换需求和通道是否稳定重复，不等于双方已形成成熟互惠。</x:v>
      </x:c>
      <x:c r="Q185" s="46" t="str">
        <x:v>旺弱只修正通道调用强度、抢位或缺位风险，不直接等于交换公平或关系质量。</x:v>
      </x:c>
      <x:c r="R185" s="46" t="str">
        <x:v>喜忌只修正调用顺畅度与摩擦，不可直接翻译为理想伴侣五行、十神或必然互补。</x:v>
      </x:c>
      <x:c r="S185" s="46" t="str">
        <x:v>真合化成立时按化神功能重算用户交换需求；合化争议时停止细化交换通道。</x:v>
      </x:c>
      <x:c r="T185" s="46" t="str">
        <x:v>近位提高该交换议题进入关系核心的可能；远位只保留背景或阶段性观察。</x:v>
      </x:c>
      <x:c r="U185" s="46" t="str">
        <x:v>92</x:v>
      </x:c>
      <x:c r="V185" s="46" t="str">
        <x:v>风险 +12</x:v>
      </x:c>
      <x:c r="W185" s="46" t="str">
        <x:v>pseudo_reciprocity_warning</x:v>
      </x:c>
      <x:c r="X185" s="46" t="str">
        <x:v>只恢复舒服，不再回到关键问题。</x:v>
      </x:c>
      <x:c r="Y185" s="46" t="str">
        <x:v>需要避免：只恢复舒服，不再回到关键问题。</x:v>
      </x:c>
      <x:c r="Z18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85" s="46" t="str">
        <x:v>中高</x:v>
      </x:c>
      <x:c r="AB185" s="46" t="str">
        <x:v>待验证</x:v>
      </x:c>
      <x:c r="AC185" s="46" t="str"/>
      <x:c r="AD185" s="46" t="str">
        <x:v>exchange_mode=EM07; provisional=true; rule_group=EXCHANGE-EM模式</x:v>
      </x:c>
      <x:c r="AE185" s="46" t="str">
        <x:v>0.4</x:v>
      </x:c>
    </x:row>
    <x:row r="186" ht="50" customHeight="1">
      <x:c r="A186" s="46" t="str">
        <x:v>M5-EXCHANGE-185</x:v>
      </x:c>
      <x:c r="B186" s="46" t="str">
        <x:v>EM07 舒缓—处理接力型｜现实验证与输出</x:v>
      </x:c>
      <x:c r="C186" s="46" t="str">
        <x:v>L3 双向交换模式</x:v>
      </x:c>
      <x:c r="D186" s="46" t="str">
        <x:v>EXCHANGE-EM模式</x:v>
      </x:c>
      <x:c r="E186" s="46" t="str">
        <x:v>通用</x:v>
      </x:c>
      <x:c r="F186" s="46" t="str">
        <x:v>证据</x:v>
      </x:c>
      <x:c r="G186" s="46" t="str">
        <x:v>EM07</x:v>
      </x:c>
      <x:c r="H186" s="46" t="str">
        <x:v>舒缓—处理接力型</x:v>
      </x:c>
      <x:c r="I186" s="46" t="str">
        <x:v>XV3以上。</x:v>
      </x:c>
      <x:c r="J186" s="46" t="str">
        <x:v>只有命盘或单次高光。</x:v>
      </x:c>
      <x:c r="K186" s="46" t="str">
        <x:v>由共享基础引擎、M3与M5-BASE提供；只修正用户怎样给予、请求、接收和回馈，不直接判断双方现实交换质量。</x:v>
      </x:c>
      <x:c r="L186" s="46" t="str">
        <x:v>M2只说明进入关系所需资格证据；不能替代长期双向交换、负荷与修复验证。</x:v>
      </x:c>
      <x:c r="M186" s="46" t="str">
        <x:v>M3-BASE、EXPR、CARE和BOUND提供用户自然互动通道；M5-EXCHANGE负责把两人的实际行为合成为交换结构。</x:v>
      </x:c>
      <x:c r="N186" s="46" t="str">
        <x:v>无／按本规则指定的给予—请求—接收—反馈—重订路径路由。</x:v>
      </x:c>
      <x:c r="O186" s="46" t="str">
        <x:v>近位、远位只修正该交换需求进入亲密关系核心的可能；不得据此判断具体伴侣现实中一定配合。</x:v>
      </x:c>
      <x:c r="P186" s="46" t="str">
        <x:v>根气只修正用户交换需求和通道是否稳定重复，不等于双方已形成成熟互惠。</x:v>
      </x:c>
      <x:c r="Q186" s="46" t="str">
        <x:v>旺弱只修正通道调用强度、抢位或缺位风险，不直接等于交换公平或关系质量。</x:v>
      </x:c>
      <x:c r="R186" s="46" t="str">
        <x:v>喜忌只修正调用顺畅度与摩擦，不可直接翻译为理想伴侣五行、十神或必然互补。</x:v>
      </x:c>
      <x:c r="S186" s="46" t="str">
        <x:v>真合化成立时按化神功能重算用户交换需求；合化争议时停止细化交换通道。</x:v>
      </x:c>
      <x:c r="T186" s="46" t="str">
        <x:v>近位提高该交换议题进入关系核心的可能；远位只保留背景或阶段性观察。</x:v>
      </x:c>
      <x:c r="U186" s="46" t="str">
        <x:v>78</x:v>
      </x:c>
      <x:c r="V186" s="46" t="str">
        <x:v>不加分；现实核验</x:v>
      </x:c>
      <x:c r="W186" s="46" t="str">
        <x:v>observation_plan</x:v>
      </x:c>
      <x:c r="X186" s="46" t="str">
        <x:v>模式必须由双方请求、回应、负荷和重订共同验证。</x:v>
      </x:c>
      <x:c r="Y186" s="46" t="str">
        <x:v>要看这套交换是否能在现实变化后继续运行。</x:v>
      </x:c>
      <x:c r="Z18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86" s="46" t="str">
        <x:v>中</x:v>
      </x:c>
      <x:c r="AB186" s="46" t="str">
        <x:v>待验证</x:v>
      </x:c>
      <x:c r="AC186" s="46" t="str"/>
      <x:c r="AD186" s="46" t="str">
        <x:v>exchange_mode=EM07; provisional=true; rule_group=EXCHANGE-EM模式</x:v>
      </x:c>
      <x:c r="AE186" s="46" t="str">
        <x:v>0.4</x:v>
      </x:c>
    </x:row>
    <x:row r="187" ht="50" customHeight="1">
      <x:c r="A187" s="46" t="str">
        <x:v>M5-EXCHANGE-186</x:v>
      </x:c>
      <x:c r="B187" s="46" t="str">
        <x:v>EM08 表达—落实接力型｜正式定义</x:v>
      </x:c>
      <x:c r="C187" s="46" t="str">
        <x:v>L3 双向交换模式</x:v>
      </x:c>
      <x:c r="D187" s="46" t="str">
        <x:v>EXCHANGE-EM模式</x:v>
      </x:c>
      <x:c r="E187" s="46" t="str">
        <x:v>通用</x:v>
      </x:c>
      <x:c r="F187" s="46" t="str">
        <x:v>定义</x:v>
      </x:c>
      <x:c r="G187" s="46" t="str">
        <x:v>EM08</x:v>
      </x:c>
      <x:c r="H187" s="46" t="str">
        <x:v>表达—落实接力型</x:v>
      </x:c>
      <x:c r="I187" s="46" t="str">
        <x:v>M5-BASE、PARTNER或现实资料路由该模式。</x:v>
      </x:c>
      <x:c r="J187" s="46" t="str">
        <x:v>安全门控未通过。</x:v>
      </x:c>
      <x:c r="K187" s="46" t="str">
        <x:v>由共享基础引擎、M3与M5-BASE提供；只修正用户怎样给予、请求、接收和回馈，不直接判断双方现实交换质量。</x:v>
      </x:c>
      <x:c r="L187" s="46" t="str">
        <x:v>M2只说明进入关系所需资格证据；不能替代长期双向交换、负荷与修复验证。</x:v>
      </x:c>
      <x:c r="M187" s="46" t="str">
        <x:v>M3-BASE、EXPR、CARE和BOUND提供用户自然互动通道；M5-EXCHANGE负责把两人的实际行为合成为交换结构。</x:v>
      </x:c>
      <x:c r="N187" s="46" t="str">
        <x:v>无／按本规则指定的给予—请求—接收—反馈—重订路径路由。</x:v>
      </x:c>
      <x:c r="O187" s="46" t="str">
        <x:v>近位、远位只修正该交换需求进入亲密关系核心的可能；不得据此判断具体伴侣现实中一定配合。</x:v>
      </x:c>
      <x:c r="P187" s="46" t="str">
        <x:v>根气只修正用户交换需求和通道是否稳定重复，不等于双方已形成成熟互惠。</x:v>
      </x:c>
      <x:c r="Q187" s="46" t="str">
        <x:v>旺弱只修正通道调用强度、抢位或缺位风险，不直接等于交换公平或关系质量。</x:v>
      </x:c>
      <x:c r="R187" s="46" t="str">
        <x:v>喜忌只修正调用顺畅度与摩擦，不可直接翻译为理想伴侣五行、十神或必然互补。</x:v>
      </x:c>
      <x:c r="S187" s="46" t="str">
        <x:v>真合化成立时按化神功能重算用户交换需求；合化争议时停止细化交换通道。</x:v>
      </x:c>
      <x:c r="T187" s="46" t="str">
        <x:v>近位提高该交换议题进入关系核心的可能；远位只保留背景或阶段性观察。</x:v>
      </x:c>
      <x:c r="U187" s="46" t="str">
        <x:v>90</x:v>
      </x:c>
      <x:c r="V187" s="46" t="str">
        <x:v>EM候选 +8</x:v>
      </x:c>
      <x:c r="W187" s="46" t="str">
        <x:v>exchange_mode</x:v>
      </x:c>
      <x:c r="X187" s="46" t="str">
        <x:v>先说清需要和理解，再转成具体安排、资源和行为。</x:v>
      </x:c>
      <x:c r="Y187" s="46" t="str">
        <x:v>交换模式更接近表达—落实接力型。</x:v>
      </x:c>
      <x:c r="Z18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87" s="46" t="str">
        <x:v>中高</x:v>
      </x:c>
      <x:c r="AB187" s="46" t="str">
        <x:v>待验证</x:v>
      </x:c>
      <x:c r="AC187" s="46" t="str"/>
      <x:c r="AD187" s="46" t="str">
        <x:v>exchange_mode=EM08; provisional=true; rule_group=EXCHANGE-EM模式</x:v>
      </x:c>
      <x:c r="AE187" s="46" t="str">
        <x:v>0.4</x:v>
      </x:c>
    </x:row>
    <x:row r="188" ht="50" customHeight="1">
      <x:c r="A188" s="46" t="str">
        <x:v>M5-EXCHANGE-187</x:v>
      </x:c>
      <x:c r="B188" s="46" t="str">
        <x:v>EM08 表达—落实接力型｜适用情境</x:v>
      </x:c>
      <x:c r="C188" s="46" t="str">
        <x:v>L3 双向交换模式</x:v>
      </x:c>
      <x:c r="D188" s="46" t="str">
        <x:v>EXCHANGE-EM模式</x:v>
      </x:c>
      <x:c r="E188" s="46" t="str">
        <x:v>通用</x:v>
      </x:c>
      <x:c r="F188" s="46" t="str">
        <x:v>场景</x:v>
      </x:c>
      <x:c r="G188" s="46" t="str">
        <x:v>EM08</x:v>
      </x:c>
      <x:c r="H188" s="46" t="str">
        <x:v>表达—落实接力型</x:v>
      </x:c>
      <x:c r="I188" s="46" t="str">
        <x:v>存在对应XD领域或生活阶段。</x:v>
      </x:c>
      <x:c r="J188" s="46" t="str">
        <x:v>把一种模式覆盖全部关系领域。</x:v>
      </x:c>
      <x:c r="K188" s="46" t="str">
        <x:v>由共享基础引擎、M3与M5-BASE提供；只修正用户怎样给予、请求、接收和回馈，不直接判断双方现实交换质量。</x:v>
      </x:c>
      <x:c r="L188" s="46" t="str">
        <x:v>M2只说明进入关系所需资格证据；不能替代长期双向交换、负荷与修复验证。</x:v>
      </x:c>
      <x:c r="M188" s="46" t="str">
        <x:v>M3-BASE、EXPR、CARE和BOUND提供用户自然互动通道；M5-EXCHANGE负责把两人的实际行为合成为交换结构。</x:v>
      </x:c>
      <x:c r="N188" s="46" t="str">
        <x:v>无／按本规则指定的给予—请求—接收—反馈—重订路径路由。</x:v>
      </x:c>
      <x:c r="O188" s="46" t="str">
        <x:v>近位、远位只修正该交换需求进入亲密关系核心的可能；不得据此判断具体伴侣现实中一定配合。</x:v>
      </x:c>
      <x:c r="P188" s="46" t="str">
        <x:v>根气只修正用户交换需求和通道是否稳定重复，不等于双方已形成成熟互惠。</x:v>
      </x:c>
      <x:c r="Q188" s="46" t="str">
        <x:v>旺弱只修正通道调用强度、抢位或缺位风险，不直接等于交换公平或关系质量。</x:v>
      </x:c>
      <x:c r="R188" s="46" t="str">
        <x:v>喜忌只修正调用顺畅度与摩擦，不可直接翻译为理想伴侣五行、十神或必然互补。</x:v>
      </x:c>
      <x:c r="S188" s="46" t="str">
        <x:v>真合化成立时按化神功能重算用户交换需求；合化争议时停止细化交换通道。</x:v>
      </x:c>
      <x:c r="T188" s="46" t="str">
        <x:v>近位提高该交换议题进入关系核心的可能；远位只保留背景或阶段性观察。</x:v>
      </x:c>
      <x:c r="U188" s="46" t="str">
        <x:v>78</x:v>
      </x:c>
      <x:c r="V188" s="46" t="str">
        <x:v>+6 场景路由</x:v>
      </x:c>
      <x:c r="W188" s="46" t="str">
        <x:v>exchange_domains</x:v>
      </x:c>
      <x:c r="X188" s="46" t="str">
        <x:v>适合沟通丰富但现实落实容易不足的关系。</x:v>
      </x:c>
      <x:c r="Y188" s="46" t="str">
        <x:v>这种方式更适合：适合沟通丰富但现实落实容易不足的关系。</x:v>
      </x:c>
      <x:c r="Z18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88" s="46" t="str">
        <x:v>中</x:v>
      </x:c>
      <x:c r="AB188" s="46" t="str">
        <x:v>待验证</x:v>
      </x:c>
      <x:c r="AC188" s="46" t="str"/>
      <x:c r="AD188" s="46" t="str">
        <x:v>exchange_mode=EM08; provisional=true; rule_group=EXCHANGE-EM模式</x:v>
      </x:c>
      <x:c r="AE188" s="46" t="str">
        <x:v>0.4</x:v>
      </x:c>
    </x:row>
    <x:row r="189" ht="50" customHeight="1">
      <x:c r="A189" s="46" t="str">
        <x:v>M5-EXCHANGE-188</x:v>
      </x:c>
      <x:c r="B189" s="46" t="str">
        <x:v>EM08 表达—落实接力型｜成立条件</x:v>
      </x:c>
      <x:c r="C189" s="46" t="str">
        <x:v>L3 双向交换模式</x:v>
      </x:c>
      <x:c r="D189" s="46" t="str">
        <x:v>EXCHANGE-EM模式</x:v>
      </x:c>
      <x:c r="E189" s="46" t="str">
        <x:v>通用</x:v>
      </x:c>
      <x:c r="F189" s="46" t="str">
        <x:v>门控</x:v>
      </x:c>
      <x:c r="G189" s="46" t="str">
        <x:v>EM08</x:v>
      </x:c>
      <x:c r="H189" s="46" t="str">
        <x:v>表达—落实接力型</x:v>
      </x:c>
      <x:c r="I189" s="46" t="str">
        <x:v>有明确行动、时间点和回访。</x:v>
      </x:c>
      <x:c r="J189" s="46" t="str">
        <x:v>只有标签相似、一次事件或单方愿望。</x:v>
      </x:c>
      <x:c r="K189" s="46" t="str">
        <x:v>由共享基础引擎、M3与M5-BASE提供；只修正用户怎样给予、请求、接收和回馈，不直接判断双方现实交换质量。</x:v>
      </x:c>
      <x:c r="L189" s="46" t="str">
        <x:v>M2只说明进入关系所需资格证据；不能替代长期双向交换、负荷与修复验证。</x:v>
      </x:c>
      <x:c r="M189" s="46" t="str">
        <x:v>M3-BASE、EXPR、CARE和BOUND提供用户自然互动通道；M5-EXCHANGE负责把两人的实际行为合成为交换结构。</x:v>
      </x:c>
      <x:c r="N189" s="46" t="str">
        <x:v>无／按本规则指定的给予—请求—接收—反馈—重订路径路由。</x:v>
      </x:c>
      <x:c r="O189" s="46" t="str">
        <x:v>近位、远位只修正该交换需求进入亲密关系核心的可能；不得据此判断具体伴侣现实中一定配合。</x:v>
      </x:c>
      <x:c r="P189" s="46" t="str">
        <x:v>根气只修正用户交换需求和通道是否稳定重复，不等于双方已形成成熟互惠。</x:v>
      </x:c>
      <x:c r="Q189" s="46" t="str">
        <x:v>旺弱只修正通道调用强度、抢位或缺位风险，不直接等于交换公平或关系质量。</x:v>
      </x:c>
      <x:c r="R189" s="46" t="str">
        <x:v>喜忌只修正调用顺畅度与摩擦，不可直接翻译为理想伴侣五行、十神或必然互补。</x:v>
      </x:c>
      <x:c r="S189" s="46" t="str">
        <x:v>真合化成立时按化神功能重算用户交换需求；合化争议时停止细化交换通道。</x:v>
      </x:c>
      <x:c r="T189" s="46" t="str">
        <x:v>近位提高该交换议题进入关系核心的可能；远位只保留背景或阶段性观察。</x:v>
      </x:c>
      <x:c r="U189" s="46" t="str">
        <x:v>88</x:v>
      </x:c>
      <x:c r="V189" s="46" t="str">
        <x:v>+10 模式成立</x:v>
      </x:c>
      <x:c r="W189" s="46" t="str">
        <x:v>exchange_mode</x:v>
      </x:c>
      <x:c r="X189" s="46" t="str">
        <x:v>表达—落实接力型必须满足：有明确行动、时间点和回访。</x:v>
      </x:c>
      <x:c r="Y189" s="46" t="str">
        <x:v>要形成表达—落实接力型，需要：有明确行动、时间点和回访。</x:v>
      </x:c>
      <x:c r="Z18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89" s="46" t="str">
        <x:v>中高</x:v>
      </x:c>
      <x:c r="AB189" s="46" t="str">
        <x:v>待验证</x:v>
      </x:c>
      <x:c r="AC189" s="46" t="str"/>
      <x:c r="AD189" s="46" t="str">
        <x:v>exchange_mode=EM08; provisional=true; rule_group=EXCHANGE-EM模式</x:v>
      </x:c>
      <x:c r="AE189" s="46" t="str">
        <x:v>0.4</x:v>
      </x:c>
    </x:row>
    <x:row r="190" ht="50" customHeight="1">
      <x:c r="A190" s="46" t="str">
        <x:v>M5-EXCHANGE-189</x:v>
      </x:c>
      <x:c r="B190" s="46" t="str">
        <x:v>EM08 表达—落实接力型｜失衡与伪适配</x:v>
      </x:c>
      <x:c r="C190" s="46" t="str">
        <x:v>L3 双向交换模式</x:v>
      </x:c>
      <x:c r="D190" s="46" t="str">
        <x:v>EXCHANGE-EM模式</x:v>
      </x:c>
      <x:c r="E190" s="46" t="str">
        <x:v>通用</x:v>
      </x:c>
      <x:c r="F190" s="46" t="str">
        <x:v>风险</x:v>
      </x:c>
      <x:c r="G190" s="46" t="str">
        <x:v>EM08</x:v>
      </x:c>
      <x:c r="H190" s="46" t="str">
        <x:v>表达—落实接力型</x:v>
      </x:c>
      <x:c r="I190" s="46" t="str">
        <x:v>出现风险信号。</x:v>
      </x:c>
      <x:c r="J190" s="46" t="str">
        <x:v>XV5—XV7现实证据能够排除。</x:v>
      </x:c>
      <x:c r="K190" s="46" t="str">
        <x:v>由共享基础引擎、M3与M5-BASE提供；只修正用户怎样给予、请求、接收和回馈，不直接判断双方现实交换质量。</x:v>
      </x:c>
      <x:c r="L190" s="46" t="str">
        <x:v>M2只说明进入关系所需资格证据；不能替代长期双向交换、负荷与修复验证。</x:v>
      </x:c>
      <x:c r="M190" s="46" t="str">
        <x:v>M3-BASE、EXPR、CARE和BOUND提供用户自然互动通道；M5-EXCHANGE负责把两人的实际行为合成为交换结构。</x:v>
      </x:c>
      <x:c r="N190" s="46" t="str">
        <x:v>无／按本规则指定的给予—请求—接收—反馈—重订路径路由。</x:v>
      </x:c>
      <x:c r="O190" s="46" t="str">
        <x:v>近位、远位只修正该交换需求进入亲密关系核心的可能；不得据此判断具体伴侣现实中一定配合。</x:v>
      </x:c>
      <x:c r="P190" s="46" t="str">
        <x:v>根气只修正用户交换需求和通道是否稳定重复，不等于双方已形成成熟互惠。</x:v>
      </x:c>
      <x:c r="Q190" s="46" t="str">
        <x:v>旺弱只修正通道调用强度、抢位或缺位风险，不直接等于交换公平或关系质量。</x:v>
      </x:c>
      <x:c r="R190" s="46" t="str">
        <x:v>喜忌只修正调用顺畅度与摩擦，不可直接翻译为理想伴侣五行、十神或必然互补。</x:v>
      </x:c>
      <x:c r="S190" s="46" t="str">
        <x:v>真合化成立时按化神功能重算用户交换需求；合化争议时停止细化交换通道。</x:v>
      </x:c>
      <x:c r="T190" s="46" t="str">
        <x:v>近位提高该交换议题进入关系核心的可能；远位只保留背景或阶段性观察。</x:v>
      </x:c>
      <x:c r="U190" s="46" t="str">
        <x:v>92</x:v>
      </x:c>
      <x:c r="V190" s="46" t="str">
        <x:v>风险 +12</x:v>
      </x:c>
      <x:c r="W190" s="46" t="str">
        <x:v>pseudo_reciprocity_warning</x:v>
      </x:c>
      <x:c r="X190" s="46" t="str">
        <x:v>说清楚以后没有任何改变。</x:v>
      </x:c>
      <x:c r="Y190" s="46" t="str">
        <x:v>需要避免：说清楚以后没有任何改变。</x:v>
      </x:c>
      <x:c r="Z19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90" s="46" t="str">
        <x:v>中高</x:v>
      </x:c>
      <x:c r="AB190" s="46" t="str">
        <x:v>待验证</x:v>
      </x:c>
      <x:c r="AC190" s="46" t="str"/>
      <x:c r="AD190" s="46" t="str">
        <x:v>exchange_mode=EM08; provisional=true; rule_group=EXCHANGE-EM模式</x:v>
      </x:c>
      <x:c r="AE190" s="46" t="str">
        <x:v>0.4</x:v>
      </x:c>
    </x:row>
    <x:row r="191" ht="50" customHeight="1">
      <x:c r="A191" s="46" t="str">
        <x:v>M5-EXCHANGE-190</x:v>
      </x:c>
      <x:c r="B191" s="46" t="str">
        <x:v>EM08 表达—落实接力型｜现实验证与输出</x:v>
      </x:c>
      <x:c r="C191" s="46" t="str">
        <x:v>L3 双向交换模式</x:v>
      </x:c>
      <x:c r="D191" s="46" t="str">
        <x:v>EXCHANGE-EM模式</x:v>
      </x:c>
      <x:c r="E191" s="46" t="str">
        <x:v>通用</x:v>
      </x:c>
      <x:c r="F191" s="46" t="str">
        <x:v>证据</x:v>
      </x:c>
      <x:c r="G191" s="46" t="str">
        <x:v>EM08</x:v>
      </x:c>
      <x:c r="H191" s="46" t="str">
        <x:v>表达—落实接力型</x:v>
      </x:c>
      <x:c r="I191" s="46" t="str">
        <x:v>XV3以上。</x:v>
      </x:c>
      <x:c r="J191" s="46" t="str">
        <x:v>只有命盘或单次高光。</x:v>
      </x:c>
      <x:c r="K191" s="46" t="str">
        <x:v>由共享基础引擎、M3与M5-BASE提供；只修正用户怎样给予、请求、接收和回馈，不直接判断双方现实交换质量。</x:v>
      </x:c>
      <x:c r="L191" s="46" t="str">
        <x:v>M2只说明进入关系所需资格证据；不能替代长期双向交换、负荷与修复验证。</x:v>
      </x:c>
      <x:c r="M191" s="46" t="str">
        <x:v>M3-BASE、EXPR、CARE和BOUND提供用户自然互动通道；M5-EXCHANGE负责把两人的实际行为合成为交换结构。</x:v>
      </x:c>
      <x:c r="N191" s="46" t="str">
        <x:v>无／按本规则指定的给予—请求—接收—反馈—重订路径路由。</x:v>
      </x:c>
      <x:c r="O191" s="46" t="str">
        <x:v>近位、远位只修正该交换需求进入亲密关系核心的可能；不得据此判断具体伴侣现实中一定配合。</x:v>
      </x:c>
      <x:c r="P191" s="46" t="str">
        <x:v>根气只修正用户交换需求和通道是否稳定重复，不等于双方已形成成熟互惠。</x:v>
      </x:c>
      <x:c r="Q191" s="46" t="str">
        <x:v>旺弱只修正通道调用强度、抢位或缺位风险，不直接等于交换公平或关系质量。</x:v>
      </x:c>
      <x:c r="R191" s="46" t="str">
        <x:v>喜忌只修正调用顺畅度与摩擦，不可直接翻译为理想伴侣五行、十神或必然互补。</x:v>
      </x:c>
      <x:c r="S191" s="46" t="str">
        <x:v>真合化成立时按化神功能重算用户交换需求；合化争议时停止细化交换通道。</x:v>
      </x:c>
      <x:c r="T191" s="46" t="str">
        <x:v>近位提高该交换议题进入关系核心的可能；远位只保留背景或阶段性观察。</x:v>
      </x:c>
      <x:c r="U191" s="46" t="str">
        <x:v>78</x:v>
      </x:c>
      <x:c r="V191" s="46" t="str">
        <x:v>不加分；现实核验</x:v>
      </x:c>
      <x:c r="W191" s="46" t="str">
        <x:v>observation_plan</x:v>
      </x:c>
      <x:c r="X191" s="46" t="str">
        <x:v>模式必须由双方请求、回应、负荷和重订共同验证。</x:v>
      </x:c>
      <x:c r="Y191" s="46" t="str">
        <x:v>要看这套交换是否能在现实变化后继续运行。</x:v>
      </x:c>
      <x:c r="Z19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91" s="46" t="str">
        <x:v>中</x:v>
      </x:c>
      <x:c r="AB191" s="46" t="str">
        <x:v>待验证</x:v>
      </x:c>
      <x:c r="AC191" s="46" t="str"/>
      <x:c r="AD191" s="46" t="str">
        <x:v>exchange_mode=EM08; provisional=true; rule_group=EXCHANGE-EM模式</x:v>
      </x:c>
      <x:c r="AE191" s="46" t="str">
        <x:v>0.4</x:v>
      </x:c>
    </x:row>
    <x:row r="192" ht="50" customHeight="1">
      <x:c r="A192" s="46" t="str">
        <x:v>M5-EXCHANGE-191</x:v>
      </x:c>
      <x:c r="B192" s="46" t="str">
        <x:v>EM09 投入—责任闭环型｜正式定义</x:v>
      </x:c>
      <x:c r="C192" s="46" t="str">
        <x:v>L3 双向交换模式</x:v>
      </x:c>
      <x:c r="D192" s="46" t="str">
        <x:v>EXCHANGE-EM模式</x:v>
      </x:c>
      <x:c r="E192" s="46" t="str">
        <x:v>通用</x:v>
      </x:c>
      <x:c r="F192" s="46" t="str">
        <x:v>定义</x:v>
      </x:c>
      <x:c r="G192" s="46" t="str">
        <x:v>EM09</x:v>
      </x:c>
      <x:c r="H192" s="46" t="str">
        <x:v>投入—责任闭环型</x:v>
      </x:c>
      <x:c r="I192" s="46" t="str">
        <x:v>M5-BASE、PARTNER或现实资料路由该模式。</x:v>
      </x:c>
      <x:c r="J192" s="46" t="str">
        <x:v>安全门控未通过。</x:v>
      </x:c>
      <x:c r="K192" s="46" t="str">
        <x:v>由共享基础引擎、M3与M5-BASE提供；只修正用户怎样给予、请求、接收和回馈，不直接判断双方现实交换质量。</x:v>
      </x:c>
      <x:c r="L192" s="46" t="str">
        <x:v>M2只说明进入关系所需资格证据；不能替代长期双向交换、负荷与修复验证。</x:v>
      </x:c>
      <x:c r="M192" s="46" t="str">
        <x:v>M3-BASE、EXPR、CARE和BOUND提供用户自然互动通道；M5-EXCHANGE负责把两人的实际行为合成为交换结构。</x:v>
      </x:c>
      <x:c r="N192" s="46" t="str">
        <x:v>无／按本规则指定的给予—请求—接收—反馈—重订路径路由。</x:v>
      </x:c>
      <x:c r="O192" s="46" t="str">
        <x:v>近位、远位只修正该交换需求进入亲密关系核心的可能；不得据此判断具体伴侣现实中一定配合。</x:v>
      </x:c>
      <x:c r="P192" s="46" t="str">
        <x:v>根气只修正用户交换需求和通道是否稳定重复，不等于双方已形成成熟互惠。</x:v>
      </x:c>
      <x:c r="Q192" s="46" t="str">
        <x:v>旺弱只修正通道调用强度、抢位或缺位风险，不直接等于交换公平或关系质量。</x:v>
      </x:c>
      <x:c r="R192" s="46" t="str">
        <x:v>喜忌只修正调用顺畅度与摩擦，不可直接翻译为理想伴侣五行、十神或必然互补。</x:v>
      </x:c>
      <x:c r="S192" s="46" t="str">
        <x:v>真合化成立时按化神功能重算用户交换需求；合化争议时停止细化交换通道。</x:v>
      </x:c>
      <x:c r="T192" s="46" t="str">
        <x:v>近位提高该交换议题进入关系核心的可能；远位只保留背景或阶段性观察。</x:v>
      </x:c>
      <x:c r="U192" s="46" t="str">
        <x:v>90</x:v>
      </x:c>
      <x:c r="V192" s="46" t="str">
        <x:v>EM候选 +8</x:v>
      </x:c>
      <x:c r="W192" s="46" t="str">
        <x:v>exchange_mode</x:v>
      </x:c>
      <x:c r="X192" s="46" t="str">
        <x:v>现实投入进一步转成承诺、分工、责任和持续复核。</x:v>
      </x:c>
      <x:c r="Y192" s="46" t="str">
        <x:v>交换模式更接近投入—责任闭环型。</x:v>
      </x:c>
      <x:c r="Z19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92" s="46" t="str">
        <x:v>中高</x:v>
      </x:c>
      <x:c r="AB192" s="46" t="str">
        <x:v>待验证</x:v>
      </x:c>
      <x:c r="AC192" s="46" t="str"/>
      <x:c r="AD192" s="46" t="str">
        <x:v>exchange_mode=EM09; provisional=true; rule_group=EXCHANGE-EM模式</x:v>
      </x:c>
      <x:c r="AE192" s="46" t="str">
        <x:v>0.4</x:v>
      </x:c>
    </x:row>
    <x:row r="193" ht="50" customHeight="1">
      <x:c r="A193" s="46" t="str">
        <x:v>M5-EXCHANGE-192</x:v>
      </x:c>
      <x:c r="B193" s="46" t="str">
        <x:v>EM09 投入—责任闭环型｜适用情境</x:v>
      </x:c>
      <x:c r="C193" s="46" t="str">
        <x:v>L3 双向交换模式</x:v>
      </x:c>
      <x:c r="D193" s="46" t="str">
        <x:v>EXCHANGE-EM模式</x:v>
      </x:c>
      <x:c r="E193" s="46" t="str">
        <x:v>通用</x:v>
      </x:c>
      <x:c r="F193" s="46" t="str">
        <x:v>场景</x:v>
      </x:c>
      <x:c r="G193" s="46" t="str">
        <x:v>EM09</x:v>
      </x:c>
      <x:c r="H193" s="46" t="str">
        <x:v>投入—责任闭环型</x:v>
      </x:c>
      <x:c r="I193" s="46" t="str">
        <x:v>存在对应XD领域或生活阶段。</x:v>
      </x:c>
      <x:c r="J193" s="46" t="str">
        <x:v>把一种模式覆盖全部关系领域。</x:v>
      </x:c>
      <x:c r="K193" s="46" t="str">
        <x:v>由共享基础引擎、M3与M5-BASE提供；只修正用户怎样给予、请求、接收和回馈，不直接判断双方现实交换质量。</x:v>
      </x:c>
      <x:c r="L193" s="46" t="str">
        <x:v>M2只说明进入关系所需资格证据；不能替代长期双向交换、负荷与修复验证。</x:v>
      </x:c>
      <x:c r="M193" s="46" t="str">
        <x:v>M3-BASE、EXPR、CARE和BOUND提供用户自然互动通道；M5-EXCHANGE负责把两人的实际行为合成为交换结构。</x:v>
      </x:c>
      <x:c r="N193" s="46" t="str">
        <x:v>无／按本规则指定的给予—请求—接收—反馈—重订路径路由。</x:v>
      </x:c>
      <x:c r="O193" s="46" t="str">
        <x:v>近位、远位只修正该交换需求进入亲密关系核心的可能；不得据此判断具体伴侣现实中一定配合。</x:v>
      </x:c>
      <x:c r="P193" s="46" t="str">
        <x:v>根气只修正用户交换需求和通道是否稳定重复，不等于双方已形成成熟互惠。</x:v>
      </x:c>
      <x:c r="Q193" s="46" t="str">
        <x:v>旺弱只修正通道调用强度、抢位或缺位风险，不直接等于交换公平或关系质量。</x:v>
      </x:c>
      <x:c r="R193" s="46" t="str">
        <x:v>喜忌只修正调用顺畅度与摩擦，不可直接翻译为理想伴侣五行、十神或必然互补。</x:v>
      </x:c>
      <x:c r="S193" s="46" t="str">
        <x:v>真合化成立时按化神功能重算用户交换需求；合化争议时停止细化交换通道。</x:v>
      </x:c>
      <x:c r="T193" s="46" t="str">
        <x:v>近位提高该交换议题进入关系核心的可能；远位只保留背景或阶段性观察。</x:v>
      </x:c>
      <x:c r="U193" s="46" t="str">
        <x:v>78</x:v>
      </x:c>
      <x:c r="V193" s="46" t="str">
        <x:v>+6 场景路由</x:v>
      </x:c>
      <x:c r="W193" s="46" t="str">
        <x:v>exchange_domains</x:v>
      </x:c>
      <x:c r="X193" s="46" t="str">
        <x:v>适合长期生活经营和资源共同体。</x:v>
      </x:c>
      <x:c r="Y193" s="46" t="str">
        <x:v>这种方式更适合：适合长期生活经营和资源共同体。</x:v>
      </x:c>
      <x:c r="Z19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93" s="46" t="str">
        <x:v>中</x:v>
      </x:c>
      <x:c r="AB193" s="46" t="str">
        <x:v>待验证</x:v>
      </x:c>
      <x:c r="AC193" s="46" t="str"/>
      <x:c r="AD193" s="46" t="str">
        <x:v>exchange_mode=EM09; provisional=true; rule_group=EXCHANGE-EM模式</x:v>
      </x:c>
      <x:c r="AE193" s="46" t="str">
        <x:v>0.4</x:v>
      </x:c>
    </x:row>
    <x:row r="194" ht="50" customHeight="1">
      <x:c r="A194" s="46" t="str">
        <x:v>M5-EXCHANGE-193</x:v>
      </x:c>
      <x:c r="B194" s="46" t="str">
        <x:v>EM09 投入—责任闭环型｜成立条件</x:v>
      </x:c>
      <x:c r="C194" s="46" t="str">
        <x:v>L3 双向交换模式</x:v>
      </x:c>
      <x:c r="D194" s="46" t="str">
        <x:v>EXCHANGE-EM模式</x:v>
      </x:c>
      <x:c r="E194" s="46" t="str">
        <x:v>通用</x:v>
      </x:c>
      <x:c r="F194" s="46" t="str">
        <x:v>门控</x:v>
      </x:c>
      <x:c r="G194" s="46" t="str">
        <x:v>EM09</x:v>
      </x:c>
      <x:c r="H194" s="46" t="str">
        <x:v>投入—责任闭环型</x:v>
      </x:c>
      <x:c r="I194" s="46" t="str">
        <x:v>投入不替代承诺，责任也不抹掉贡献。</x:v>
      </x:c>
      <x:c r="J194" s="46" t="str">
        <x:v>只有标签相似、一次事件或单方愿望。</x:v>
      </x:c>
      <x:c r="K194" s="46" t="str">
        <x:v>由共享基础引擎、M3与M5-BASE提供；只修正用户怎样给予、请求、接收和回馈，不直接判断双方现实交换质量。</x:v>
      </x:c>
      <x:c r="L194" s="46" t="str">
        <x:v>M2只说明进入关系所需资格证据；不能替代长期双向交换、负荷与修复验证。</x:v>
      </x:c>
      <x:c r="M194" s="46" t="str">
        <x:v>M3-BASE、EXPR、CARE和BOUND提供用户自然互动通道；M5-EXCHANGE负责把两人的实际行为合成为交换结构。</x:v>
      </x:c>
      <x:c r="N194" s="46" t="str">
        <x:v>无／按本规则指定的给予—请求—接收—反馈—重订路径路由。</x:v>
      </x:c>
      <x:c r="O194" s="46" t="str">
        <x:v>近位、远位只修正该交换需求进入亲密关系核心的可能；不得据此判断具体伴侣现实中一定配合。</x:v>
      </x:c>
      <x:c r="P194" s="46" t="str">
        <x:v>根气只修正用户交换需求和通道是否稳定重复，不等于双方已形成成熟互惠。</x:v>
      </x:c>
      <x:c r="Q194" s="46" t="str">
        <x:v>旺弱只修正通道调用强度、抢位或缺位风险，不直接等于交换公平或关系质量。</x:v>
      </x:c>
      <x:c r="R194" s="46" t="str">
        <x:v>喜忌只修正调用顺畅度与摩擦，不可直接翻译为理想伴侣五行、十神或必然互补。</x:v>
      </x:c>
      <x:c r="S194" s="46" t="str">
        <x:v>真合化成立时按化神功能重算用户交换需求；合化争议时停止细化交换通道。</x:v>
      </x:c>
      <x:c r="T194" s="46" t="str">
        <x:v>近位提高该交换议题进入关系核心的可能；远位只保留背景或阶段性观察。</x:v>
      </x:c>
      <x:c r="U194" s="46" t="str">
        <x:v>88</x:v>
      </x:c>
      <x:c r="V194" s="46" t="str">
        <x:v>+10 模式成立</x:v>
      </x:c>
      <x:c r="W194" s="46" t="str">
        <x:v>exchange_mode</x:v>
      </x:c>
      <x:c r="X194" s="46" t="str">
        <x:v>投入—责任闭环型必须满足：投入不替代承诺，责任也不抹掉贡献。</x:v>
      </x:c>
      <x:c r="Y194" s="46" t="str">
        <x:v>要形成投入—责任闭环型，需要：投入不替代承诺，责任也不抹掉贡献。</x:v>
      </x:c>
      <x:c r="Z19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94" s="46" t="str">
        <x:v>中高</x:v>
      </x:c>
      <x:c r="AB194" s="46" t="str">
        <x:v>待验证</x:v>
      </x:c>
      <x:c r="AC194" s="46" t="str"/>
      <x:c r="AD194" s="46" t="str">
        <x:v>exchange_mode=EM09; provisional=true; rule_group=EXCHANGE-EM模式</x:v>
      </x:c>
      <x:c r="AE194" s="46" t="str">
        <x:v>0.4</x:v>
      </x:c>
    </x:row>
    <x:row r="195" ht="50" customHeight="1">
      <x:c r="A195" s="46" t="str">
        <x:v>M5-EXCHANGE-194</x:v>
      </x:c>
      <x:c r="B195" s="46" t="str">
        <x:v>EM09 投入—责任闭环型｜失衡与伪适配</x:v>
      </x:c>
      <x:c r="C195" s="46" t="str">
        <x:v>L3 双向交换模式</x:v>
      </x:c>
      <x:c r="D195" s="46" t="str">
        <x:v>EXCHANGE-EM模式</x:v>
      </x:c>
      <x:c r="E195" s="46" t="str">
        <x:v>通用</x:v>
      </x:c>
      <x:c r="F195" s="46" t="str">
        <x:v>风险</x:v>
      </x:c>
      <x:c r="G195" s="46" t="str">
        <x:v>EM09</x:v>
      </x:c>
      <x:c r="H195" s="46" t="str">
        <x:v>投入—责任闭环型</x:v>
      </x:c>
      <x:c r="I195" s="46" t="str">
        <x:v>出现风险信号。</x:v>
      </x:c>
      <x:c r="J195" s="46" t="str">
        <x:v>XV5—XV7现实证据能够排除。</x:v>
      </x:c>
      <x:c r="K195" s="46" t="str">
        <x:v>由共享基础引擎、M3与M5-BASE提供；只修正用户怎样给予、请求、接收和回馈，不直接判断双方现实交换质量。</x:v>
      </x:c>
      <x:c r="L195" s="46" t="str">
        <x:v>M2只说明进入关系所需资格证据；不能替代长期双向交换、负荷与修复验证。</x:v>
      </x:c>
      <x:c r="M195" s="46" t="str">
        <x:v>M3-BASE、EXPR、CARE和BOUND提供用户自然互动通道；M5-EXCHANGE负责把两人的实际行为合成为交换结构。</x:v>
      </x:c>
      <x:c r="N195" s="46" t="str">
        <x:v>无／按本规则指定的给予—请求—接收—反馈—重订路径路由。</x:v>
      </x:c>
      <x:c r="O195" s="46" t="str">
        <x:v>近位、远位只修正该交换需求进入亲密关系核心的可能；不得据此判断具体伴侣现实中一定配合。</x:v>
      </x:c>
      <x:c r="P195" s="46" t="str">
        <x:v>根气只修正用户交换需求和通道是否稳定重复，不等于双方已形成成熟互惠。</x:v>
      </x:c>
      <x:c r="Q195" s="46" t="str">
        <x:v>旺弱只修正通道调用强度、抢位或缺位风险，不直接等于交换公平或关系质量。</x:v>
      </x:c>
      <x:c r="R195" s="46" t="str">
        <x:v>喜忌只修正调用顺畅度与摩擦，不可直接翻译为理想伴侣五行、十神或必然互补。</x:v>
      </x:c>
      <x:c r="S195" s="46" t="str">
        <x:v>真合化成立时按化神功能重算用户交换需求；合化争议时停止细化交换通道。</x:v>
      </x:c>
      <x:c r="T195" s="46" t="str">
        <x:v>近位提高该交换议题进入关系核心的可能；远位只保留背景或阶段性观察。</x:v>
      </x:c>
      <x:c r="U195" s="46" t="str">
        <x:v>92</x:v>
      </x:c>
      <x:c r="V195" s="46" t="str">
        <x:v>风险 +12</x:v>
      </x:c>
      <x:c r="W195" s="46" t="str">
        <x:v>pseudo_reciprocity_warning</x:v>
      </x:c>
      <x:c r="X195" s="46" t="str">
        <x:v>一方不断付出，另一方只享受或只口头承诺。</x:v>
      </x:c>
      <x:c r="Y195" s="46" t="str">
        <x:v>需要避免：一方不断付出，另一方只享受或只口头承诺。</x:v>
      </x:c>
      <x:c r="Z19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95" s="46" t="str">
        <x:v>中高</x:v>
      </x:c>
      <x:c r="AB195" s="46" t="str">
        <x:v>待验证</x:v>
      </x:c>
      <x:c r="AC195" s="46" t="str"/>
      <x:c r="AD195" s="46" t="str">
        <x:v>exchange_mode=EM09; provisional=true; rule_group=EXCHANGE-EM模式</x:v>
      </x:c>
      <x:c r="AE195" s="46" t="str">
        <x:v>0.4</x:v>
      </x:c>
    </x:row>
    <x:row r="196" ht="50" customHeight="1">
      <x:c r="A196" s="46" t="str">
        <x:v>M5-EXCHANGE-195</x:v>
      </x:c>
      <x:c r="B196" s="46" t="str">
        <x:v>EM09 投入—责任闭环型｜现实验证与输出</x:v>
      </x:c>
      <x:c r="C196" s="46" t="str">
        <x:v>L3 双向交换模式</x:v>
      </x:c>
      <x:c r="D196" s="46" t="str">
        <x:v>EXCHANGE-EM模式</x:v>
      </x:c>
      <x:c r="E196" s="46" t="str">
        <x:v>通用</x:v>
      </x:c>
      <x:c r="F196" s="46" t="str">
        <x:v>证据</x:v>
      </x:c>
      <x:c r="G196" s="46" t="str">
        <x:v>EM09</x:v>
      </x:c>
      <x:c r="H196" s="46" t="str">
        <x:v>投入—责任闭环型</x:v>
      </x:c>
      <x:c r="I196" s="46" t="str">
        <x:v>XV3以上。</x:v>
      </x:c>
      <x:c r="J196" s="46" t="str">
        <x:v>只有命盘或单次高光。</x:v>
      </x:c>
      <x:c r="K196" s="46" t="str">
        <x:v>由共享基础引擎、M3与M5-BASE提供；只修正用户怎样给予、请求、接收和回馈，不直接判断双方现实交换质量。</x:v>
      </x:c>
      <x:c r="L196" s="46" t="str">
        <x:v>M2只说明进入关系所需资格证据；不能替代长期双向交换、负荷与修复验证。</x:v>
      </x:c>
      <x:c r="M196" s="46" t="str">
        <x:v>M3-BASE、EXPR、CARE和BOUND提供用户自然互动通道；M5-EXCHANGE负责把两人的实际行为合成为交换结构。</x:v>
      </x:c>
      <x:c r="N196" s="46" t="str">
        <x:v>无／按本规则指定的给予—请求—接收—反馈—重订路径路由。</x:v>
      </x:c>
      <x:c r="O196" s="46" t="str">
        <x:v>近位、远位只修正该交换需求进入亲密关系核心的可能；不得据此判断具体伴侣现实中一定配合。</x:v>
      </x:c>
      <x:c r="P196" s="46" t="str">
        <x:v>根气只修正用户交换需求和通道是否稳定重复，不等于双方已形成成熟互惠。</x:v>
      </x:c>
      <x:c r="Q196" s="46" t="str">
        <x:v>旺弱只修正通道调用强度、抢位或缺位风险，不直接等于交换公平或关系质量。</x:v>
      </x:c>
      <x:c r="R196" s="46" t="str">
        <x:v>喜忌只修正调用顺畅度与摩擦，不可直接翻译为理想伴侣五行、十神或必然互补。</x:v>
      </x:c>
      <x:c r="S196" s="46" t="str">
        <x:v>真合化成立时按化神功能重算用户交换需求；合化争议时停止细化交换通道。</x:v>
      </x:c>
      <x:c r="T196" s="46" t="str">
        <x:v>近位提高该交换议题进入关系核心的可能；远位只保留背景或阶段性观察。</x:v>
      </x:c>
      <x:c r="U196" s="46" t="str">
        <x:v>78</x:v>
      </x:c>
      <x:c r="V196" s="46" t="str">
        <x:v>不加分；现实核验</x:v>
      </x:c>
      <x:c r="W196" s="46" t="str">
        <x:v>observation_plan</x:v>
      </x:c>
      <x:c r="X196" s="46" t="str">
        <x:v>模式必须由双方请求、回应、负荷和重订共同验证。</x:v>
      </x:c>
      <x:c r="Y196" s="46" t="str">
        <x:v>要看这套交换是否能在现实变化后继续运行。</x:v>
      </x:c>
      <x:c r="Z19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96" s="46" t="str">
        <x:v>中</x:v>
      </x:c>
      <x:c r="AB196" s="46" t="str">
        <x:v>待验证</x:v>
      </x:c>
      <x:c r="AC196" s="46" t="str"/>
      <x:c r="AD196" s="46" t="str">
        <x:v>exchange_mode=EM09; provisional=true; rule_group=EXCHANGE-EM模式</x:v>
      </x:c>
      <x:c r="AE196" s="46" t="str">
        <x:v>0.4</x:v>
      </x:c>
    </x:row>
    <x:row r="197" ht="50" customHeight="1">
      <x:c r="A197" s="46" t="str">
        <x:v>M5-EXCHANGE-196</x:v>
      </x:c>
      <x:c r="B197" s="46" t="str">
        <x:v>EM10 支持—自主闭环型｜正式定义</x:v>
      </x:c>
      <x:c r="C197" s="46" t="str">
        <x:v>L3 双向交换模式</x:v>
      </x:c>
      <x:c r="D197" s="46" t="str">
        <x:v>EXCHANGE-EM模式</x:v>
      </x:c>
      <x:c r="E197" s="46" t="str">
        <x:v>通用</x:v>
      </x:c>
      <x:c r="F197" s="46" t="str">
        <x:v>定义</x:v>
      </x:c>
      <x:c r="G197" s="46" t="str">
        <x:v>EM10</x:v>
      </x:c>
      <x:c r="H197" s="46" t="str">
        <x:v>支持—自主闭环型</x:v>
      </x:c>
      <x:c r="I197" s="46" t="str">
        <x:v>M5-BASE、PARTNER或现实资料路由该模式。</x:v>
      </x:c>
      <x:c r="J197" s="46" t="str">
        <x:v>安全门控未通过。</x:v>
      </x:c>
      <x:c r="K197" s="46" t="str">
        <x:v>由共享基础引擎、M3与M5-BASE提供；只修正用户怎样给予、请求、接收和回馈，不直接判断双方现实交换质量。</x:v>
      </x:c>
      <x:c r="L197" s="46" t="str">
        <x:v>M2只说明进入关系所需资格证据；不能替代长期双向交换、负荷与修复验证。</x:v>
      </x:c>
      <x:c r="M197" s="46" t="str">
        <x:v>M3-BASE、EXPR、CARE和BOUND提供用户自然互动通道；M5-EXCHANGE负责把两人的实际行为合成为交换结构。</x:v>
      </x:c>
      <x:c r="N197" s="46" t="str">
        <x:v>无／按本规则指定的给予—请求—接收—反馈—重订路径路由。</x:v>
      </x:c>
      <x:c r="O197" s="46" t="str">
        <x:v>近位、远位只修正该交换需求进入亲密关系核心的可能；不得据此判断具体伴侣现实中一定配合。</x:v>
      </x:c>
      <x:c r="P197" s="46" t="str">
        <x:v>根气只修正用户交换需求和通道是否稳定重复，不等于双方已形成成熟互惠。</x:v>
      </x:c>
      <x:c r="Q197" s="46" t="str">
        <x:v>旺弱只修正通道调用强度、抢位或缺位风险，不直接等于交换公平或关系质量。</x:v>
      </x:c>
      <x:c r="R197" s="46" t="str">
        <x:v>喜忌只修正调用顺畅度与摩擦，不可直接翻译为理想伴侣五行、十神或必然互补。</x:v>
      </x:c>
      <x:c r="S197" s="46" t="str">
        <x:v>真合化成立时按化神功能重算用户交换需求；合化争议时停止细化交换通道。</x:v>
      </x:c>
      <x:c r="T197" s="46" t="str">
        <x:v>近位提高该交换议题进入关系核心的可能；远位只保留背景或阶段性观察。</x:v>
      </x:c>
      <x:c r="U197" s="46" t="str">
        <x:v>90</x:v>
      </x:c>
      <x:c r="V197" s="46" t="str">
        <x:v>EM候选 +8</x:v>
      </x:c>
      <x:c r="W197" s="46" t="str">
        <x:v>exchange_mode</x:v>
      </x:c>
      <x:c r="X197" s="46" t="str">
        <x:v>给予理解、资源或保护，同时帮助对方恢复自主和参与权。</x:v>
      </x:c>
      <x:c r="Y197" s="46" t="str">
        <x:v>交换模式更接近支持—自主闭环型。</x:v>
      </x:c>
      <x:c r="Z19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97" s="46" t="str">
        <x:v>中高</x:v>
      </x:c>
      <x:c r="AB197" s="46" t="str">
        <x:v>待验证</x:v>
      </x:c>
      <x:c r="AC197" s="46" t="str"/>
      <x:c r="AD197" s="46" t="str">
        <x:v>exchange_mode=EM10; provisional=true; rule_group=EXCHANGE-EM模式</x:v>
      </x:c>
      <x:c r="AE197" s="46" t="str">
        <x:v>0.4</x:v>
      </x:c>
    </x:row>
    <x:row r="198" ht="50" customHeight="1">
      <x:c r="A198" s="46" t="str">
        <x:v>M5-EXCHANGE-197</x:v>
      </x:c>
      <x:c r="B198" s="46" t="str">
        <x:v>EM10 支持—自主闭环型｜适用情境</x:v>
      </x:c>
      <x:c r="C198" s="46" t="str">
        <x:v>L3 双向交换模式</x:v>
      </x:c>
      <x:c r="D198" s="46" t="str">
        <x:v>EXCHANGE-EM模式</x:v>
      </x:c>
      <x:c r="E198" s="46" t="str">
        <x:v>通用</x:v>
      </x:c>
      <x:c r="F198" s="46" t="str">
        <x:v>场景</x:v>
      </x:c>
      <x:c r="G198" s="46" t="str">
        <x:v>EM10</x:v>
      </x:c>
      <x:c r="H198" s="46" t="str">
        <x:v>支持—自主闭环型</x:v>
      </x:c>
      <x:c r="I198" s="46" t="str">
        <x:v>存在对应XD领域或生活阶段。</x:v>
      </x:c>
      <x:c r="J198" s="46" t="str">
        <x:v>把一种模式覆盖全部关系领域。</x:v>
      </x:c>
      <x:c r="K198" s="46" t="str">
        <x:v>由共享基础引擎、M3与M5-BASE提供；只修正用户怎样给予、请求、接收和回馈，不直接判断双方现实交换质量。</x:v>
      </x:c>
      <x:c r="L198" s="46" t="str">
        <x:v>M2只说明进入关系所需资格证据；不能替代长期双向交换、负荷与修复验证。</x:v>
      </x:c>
      <x:c r="M198" s="46" t="str">
        <x:v>M3-BASE、EXPR、CARE和BOUND提供用户自然互动通道；M5-EXCHANGE负责把两人的实际行为合成为交换结构。</x:v>
      </x:c>
      <x:c r="N198" s="46" t="str">
        <x:v>无／按本规则指定的给予—请求—接收—反馈—重订路径路由。</x:v>
      </x:c>
      <x:c r="O198" s="46" t="str">
        <x:v>近位、远位只修正该交换需求进入亲密关系核心的可能；不得据此判断具体伴侣现实中一定配合。</x:v>
      </x:c>
      <x:c r="P198" s="46" t="str">
        <x:v>根气只修正用户交换需求和通道是否稳定重复，不等于双方已形成成熟互惠。</x:v>
      </x:c>
      <x:c r="Q198" s="46" t="str">
        <x:v>旺弱只修正通道调用强度、抢位或缺位风险，不直接等于交换公平或关系质量。</x:v>
      </x:c>
      <x:c r="R198" s="46" t="str">
        <x:v>喜忌只修正调用顺畅度与摩擦，不可直接翻译为理想伴侣五行、十神或必然互补。</x:v>
      </x:c>
      <x:c r="S198" s="46" t="str">
        <x:v>真合化成立时按化神功能重算用户交换需求；合化争议时停止细化交换通道。</x:v>
      </x:c>
      <x:c r="T198" s="46" t="str">
        <x:v>近位提高该交换议题进入关系核心的可能；远位只保留背景或阶段性观察。</x:v>
      </x:c>
      <x:c r="U198" s="46" t="str">
        <x:v>78</x:v>
      </x:c>
      <x:c r="V198" s="46" t="str">
        <x:v>+6 场景路由</x:v>
      </x:c>
      <x:c r="W198" s="46" t="str">
        <x:v>exchange_domains</x:v>
      </x:c>
      <x:c r="X198" s="46" t="str">
        <x:v>适合照顾、危机和能力补位。</x:v>
      </x:c>
      <x:c r="Y198" s="46" t="str">
        <x:v>这种方式更适合：适合照顾、危机和能力补位。</x:v>
      </x:c>
      <x:c r="Z19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98" s="46" t="str">
        <x:v>中</x:v>
      </x:c>
      <x:c r="AB198" s="46" t="str">
        <x:v>待验证</x:v>
      </x:c>
      <x:c r="AC198" s="46" t="str"/>
      <x:c r="AD198" s="46" t="str">
        <x:v>exchange_mode=EM10; provisional=true; rule_group=EXCHANGE-EM模式</x:v>
      </x:c>
      <x:c r="AE198" s="46" t="str">
        <x:v>0.4</x:v>
      </x:c>
    </x:row>
    <x:row r="199" ht="50" customHeight="1">
      <x:c r="A199" s="46" t="str">
        <x:v>M5-EXCHANGE-198</x:v>
      </x:c>
      <x:c r="B199" s="46" t="str">
        <x:v>EM10 支持—自主闭环型｜成立条件</x:v>
      </x:c>
      <x:c r="C199" s="46" t="str">
        <x:v>L3 双向交换模式</x:v>
      </x:c>
      <x:c r="D199" s="46" t="str">
        <x:v>EXCHANGE-EM模式</x:v>
      </x:c>
      <x:c r="E199" s="46" t="str">
        <x:v>通用</x:v>
      </x:c>
      <x:c r="F199" s="46" t="str">
        <x:v>门控</x:v>
      </x:c>
      <x:c r="G199" s="46" t="str">
        <x:v>EM10</x:v>
      </x:c>
      <x:c r="H199" s="46" t="str">
        <x:v>支持—自主闭环型</x:v>
      </x:c>
      <x:c r="I199" s="46" t="str">
        <x:v>帮助结果是双方能力更完整。</x:v>
      </x:c>
      <x:c r="J199" s="46" t="str">
        <x:v>只有标签相似、一次事件或单方愿望。</x:v>
      </x:c>
      <x:c r="K199" s="46" t="str">
        <x:v>由共享基础引擎、M3与M5-BASE提供；只修正用户怎样给予、请求、接收和回馈，不直接判断双方现实交换质量。</x:v>
      </x:c>
      <x:c r="L199" s="46" t="str">
        <x:v>M2只说明进入关系所需资格证据；不能替代长期双向交换、负荷与修复验证。</x:v>
      </x:c>
      <x:c r="M199" s="46" t="str">
        <x:v>M3-BASE、EXPR、CARE和BOUND提供用户自然互动通道；M5-EXCHANGE负责把两人的实际行为合成为交换结构。</x:v>
      </x:c>
      <x:c r="N199" s="46" t="str">
        <x:v>无／按本规则指定的给予—请求—接收—反馈—重订路径路由。</x:v>
      </x:c>
      <x:c r="O199" s="46" t="str">
        <x:v>近位、远位只修正该交换需求进入亲密关系核心的可能；不得据此判断具体伴侣现实中一定配合。</x:v>
      </x:c>
      <x:c r="P199" s="46" t="str">
        <x:v>根气只修正用户交换需求和通道是否稳定重复，不等于双方已形成成熟互惠。</x:v>
      </x:c>
      <x:c r="Q199" s="46" t="str">
        <x:v>旺弱只修正通道调用强度、抢位或缺位风险，不直接等于交换公平或关系质量。</x:v>
      </x:c>
      <x:c r="R199" s="46" t="str">
        <x:v>喜忌只修正调用顺畅度与摩擦，不可直接翻译为理想伴侣五行、十神或必然互补。</x:v>
      </x:c>
      <x:c r="S199" s="46" t="str">
        <x:v>真合化成立时按化神功能重算用户交换需求；合化争议时停止细化交换通道。</x:v>
      </x:c>
      <x:c r="T199" s="46" t="str">
        <x:v>近位提高该交换议题进入关系核心的可能；远位只保留背景或阶段性观察。</x:v>
      </x:c>
      <x:c r="U199" s="46" t="str">
        <x:v>88</x:v>
      </x:c>
      <x:c r="V199" s="46" t="str">
        <x:v>+10 模式成立</x:v>
      </x:c>
      <x:c r="W199" s="46" t="str">
        <x:v>exchange_mode</x:v>
      </x:c>
      <x:c r="X199" s="46" t="str">
        <x:v>支持—自主闭环型必须满足：帮助结果是双方能力更完整。</x:v>
      </x:c>
      <x:c r="Y199" s="46" t="str">
        <x:v>要形成支持—自主闭环型，需要：帮助结果是双方能力更完整。</x:v>
      </x:c>
      <x:c r="Z19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99" s="46" t="str">
        <x:v>中高</x:v>
      </x:c>
      <x:c r="AB199" s="46" t="str">
        <x:v>待验证</x:v>
      </x:c>
      <x:c r="AC199" s="46" t="str"/>
      <x:c r="AD199" s="46" t="str">
        <x:v>exchange_mode=EM10; provisional=true; rule_group=EXCHANGE-EM模式</x:v>
      </x:c>
      <x:c r="AE199" s="46" t="str">
        <x:v>0.4</x:v>
      </x:c>
    </x:row>
    <x:row r="200" ht="50" customHeight="1">
      <x:c r="A200" s="46" t="str">
        <x:v>M5-EXCHANGE-199</x:v>
      </x:c>
      <x:c r="B200" s="46" t="str">
        <x:v>EM10 支持—自主闭环型｜失衡与伪适配</x:v>
      </x:c>
      <x:c r="C200" s="46" t="str">
        <x:v>L3 双向交换模式</x:v>
      </x:c>
      <x:c r="D200" s="46" t="str">
        <x:v>EXCHANGE-EM模式</x:v>
      </x:c>
      <x:c r="E200" s="46" t="str">
        <x:v>通用</x:v>
      </x:c>
      <x:c r="F200" s="46" t="str">
        <x:v>风险</x:v>
      </x:c>
      <x:c r="G200" s="46" t="str">
        <x:v>EM10</x:v>
      </x:c>
      <x:c r="H200" s="46" t="str">
        <x:v>支持—自主闭环型</x:v>
      </x:c>
      <x:c r="I200" s="46" t="str">
        <x:v>出现风险信号。</x:v>
      </x:c>
      <x:c r="J200" s="46" t="str">
        <x:v>XV5—XV7现实证据能够排除。</x:v>
      </x:c>
      <x:c r="K200" s="46" t="str">
        <x:v>由共享基础引擎、M3与M5-BASE提供；只修正用户怎样给予、请求、接收和回馈，不直接判断双方现实交换质量。</x:v>
      </x:c>
      <x:c r="L200" s="46" t="str">
        <x:v>M2只说明进入关系所需资格证据；不能替代长期双向交换、负荷与修复验证。</x:v>
      </x:c>
      <x:c r="M200" s="46" t="str">
        <x:v>M3-BASE、EXPR、CARE和BOUND提供用户自然互动通道；M5-EXCHANGE负责把两人的实际行为合成为交换结构。</x:v>
      </x:c>
      <x:c r="N200" s="46" t="str">
        <x:v>无／按本规则指定的给予—请求—接收—反馈—重订路径路由。</x:v>
      </x:c>
      <x:c r="O200" s="46" t="str">
        <x:v>近位、远位只修正该交换需求进入亲密关系核心的可能；不得据此判断具体伴侣现实中一定配合。</x:v>
      </x:c>
      <x:c r="P200" s="46" t="str">
        <x:v>根气只修正用户交换需求和通道是否稳定重复，不等于双方已形成成熟互惠。</x:v>
      </x:c>
      <x:c r="Q200" s="46" t="str">
        <x:v>旺弱只修正通道调用强度、抢位或缺位风险，不直接等于交换公平或关系质量。</x:v>
      </x:c>
      <x:c r="R200" s="46" t="str">
        <x:v>喜忌只修正调用顺畅度与摩擦，不可直接翻译为理想伴侣五行、十神或必然互补。</x:v>
      </x:c>
      <x:c r="S200" s="46" t="str">
        <x:v>真合化成立时按化神功能重算用户交换需求；合化争议时停止细化交换通道。</x:v>
      </x:c>
      <x:c r="T200" s="46" t="str">
        <x:v>近位提高该交换议题进入关系核心的可能；远位只保留背景或阶段性观察。</x:v>
      </x:c>
      <x:c r="U200" s="46" t="str">
        <x:v>92</x:v>
      </x:c>
      <x:c r="V200" s="46" t="str">
        <x:v>风险 +12</x:v>
      </x:c>
      <x:c r="W200" s="46" t="str">
        <x:v>pseudo_reciprocity_warning</x:v>
      </x:c>
      <x:c r="X200" s="46" t="str">
        <x:v>支持变成依赖、接管或永久失衡。</x:v>
      </x:c>
      <x:c r="Y200" s="46" t="str">
        <x:v>需要避免：支持变成依赖、接管或永久失衡。</x:v>
      </x:c>
      <x:c r="Z20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00" s="46" t="str">
        <x:v>中高</x:v>
      </x:c>
      <x:c r="AB200" s="46" t="str">
        <x:v>待验证</x:v>
      </x:c>
      <x:c r="AC200" s="46" t="str"/>
      <x:c r="AD200" s="46" t="str">
        <x:v>exchange_mode=EM10; provisional=true; rule_group=EXCHANGE-EM模式</x:v>
      </x:c>
      <x:c r="AE200" s="46" t="str">
        <x:v>0.4</x:v>
      </x:c>
    </x:row>
    <x:row r="201" ht="50" customHeight="1">
      <x:c r="A201" s="46" t="str">
        <x:v>M5-EXCHANGE-200</x:v>
      </x:c>
      <x:c r="B201" s="46" t="str">
        <x:v>EM10 支持—自主闭环型｜现实验证与输出</x:v>
      </x:c>
      <x:c r="C201" s="46" t="str">
        <x:v>L3 双向交换模式</x:v>
      </x:c>
      <x:c r="D201" s="46" t="str">
        <x:v>EXCHANGE-EM模式</x:v>
      </x:c>
      <x:c r="E201" s="46" t="str">
        <x:v>通用</x:v>
      </x:c>
      <x:c r="F201" s="46" t="str">
        <x:v>证据</x:v>
      </x:c>
      <x:c r="G201" s="46" t="str">
        <x:v>EM10</x:v>
      </x:c>
      <x:c r="H201" s="46" t="str">
        <x:v>支持—自主闭环型</x:v>
      </x:c>
      <x:c r="I201" s="46" t="str">
        <x:v>XV3以上。</x:v>
      </x:c>
      <x:c r="J201" s="46" t="str">
        <x:v>只有命盘或单次高光。</x:v>
      </x:c>
      <x:c r="K201" s="46" t="str">
        <x:v>由共享基础引擎、M3与M5-BASE提供；只修正用户怎样给予、请求、接收和回馈，不直接判断双方现实交换质量。</x:v>
      </x:c>
      <x:c r="L201" s="46" t="str">
        <x:v>M2只说明进入关系所需资格证据；不能替代长期双向交换、负荷与修复验证。</x:v>
      </x:c>
      <x:c r="M201" s="46" t="str">
        <x:v>M3-BASE、EXPR、CARE和BOUND提供用户自然互动通道；M5-EXCHANGE负责把两人的实际行为合成为交换结构。</x:v>
      </x:c>
      <x:c r="N201" s="46" t="str">
        <x:v>无／按本规则指定的给予—请求—接收—反馈—重订路径路由。</x:v>
      </x:c>
      <x:c r="O201" s="46" t="str">
        <x:v>近位、远位只修正该交换需求进入亲密关系核心的可能；不得据此判断具体伴侣现实中一定配合。</x:v>
      </x:c>
      <x:c r="P201" s="46" t="str">
        <x:v>根气只修正用户交换需求和通道是否稳定重复，不等于双方已形成成熟互惠。</x:v>
      </x:c>
      <x:c r="Q201" s="46" t="str">
        <x:v>旺弱只修正通道调用强度、抢位或缺位风险，不直接等于交换公平或关系质量。</x:v>
      </x:c>
      <x:c r="R201" s="46" t="str">
        <x:v>喜忌只修正调用顺畅度与摩擦，不可直接翻译为理想伴侣五行、十神或必然互补。</x:v>
      </x:c>
      <x:c r="S201" s="46" t="str">
        <x:v>真合化成立时按化神功能重算用户交换需求；合化争议时停止细化交换通道。</x:v>
      </x:c>
      <x:c r="T201" s="46" t="str">
        <x:v>近位提高该交换议题进入关系核心的可能；远位只保留背景或阶段性观察。</x:v>
      </x:c>
      <x:c r="U201" s="46" t="str">
        <x:v>78</x:v>
      </x:c>
      <x:c r="V201" s="46" t="str">
        <x:v>不加分；现实核验</x:v>
      </x:c>
      <x:c r="W201" s="46" t="str">
        <x:v>observation_plan</x:v>
      </x:c>
      <x:c r="X201" s="46" t="str">
        <x:v>模式必须由双方请求、回应、负荷和重订共同验证。</x:v>
      </x:c>
      <x:c r="Y201" s="46" t="str">
        <x:v>要看这套交换是否能在现实变化后继续运行。</x:v>
      </x:c>
      <x:c r="Z20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01" s="46" t="str">
        <x:v>中</x:v>
      </x:c>
      <x:c r="AB201" s="46" t="str">
        <x:v>待验证</x:v>
      </x:c>
      <x:c r="AC201" s="46" t="str"/>
      <x:c r="AD201" s="46" t="str">
        <x:v>exchange_mode=EM10; provisional=true; rule_group=EXCHANGE-EM模式</x:v>
      </x:c>
      <x:c r="AE201" s="46" t="str">
        <x:v>0.4</x:v>
      </x:c>
    </x:row>
    <x:row r="202" ht="50" customHeight="1">
      <x:c r="A202" s="46" t="str">
        <x:v>M5-EXCHANGE-201</x:v>
      </x:c>
      <x:c r="B202" s="46" t="str">
        <x:v>EM11 任务—情绪双轨型｜正式定义</x:v>
      </x:c>
      <x:c r="C202" s="46" t="str">
        <x:v>L3 双向交换模式</x:v>
      </x:c>
      <x:c r="D202" s="46" t="str">
        <x:v>EXCHANGE-EM模式</x:v>
      </x:c>
      <x:c r="E202" s="46" t="str">
        <x:v>通用</x:v>
      </x:c>
      <x:c r="F202" s="46" t="str">
        <x:v>定义</x:v>
      </x:c>
      <x:c r="G202" s="46" t="str">
        <x:v>EM11</x:v>
      </x:c>
      <x:c r="H202" s="46" t="str">
        <x:v>任务—情绪双轨型</x:v>
      </x:c>
      <x:c r="I202" s="46" t="str">
        <x:v>M5-BASE、PARTNER或现实资料路由该模式。</x:v>
      </x:c>
      <x:c r="J202" s="46" t="str">
        <x:v>安全门控未通过。</x:v>
      </x:c>
      <x:c r="K202" s="46" t="str">
        <x:v>由共享基础引擎、M3与M5-BASE提供；只修正用户怎样给予、请求、接收和回馈，不直接判断双方现实交换质量。</x:v>
      </x:c>
      <x:c r="L202" s="46" t="str">
        <x:v>M2只说明进入关系所需资格证据；不能替代长期双向交换、负荷与修复验证。</x:v>
      </x:c>
      <x:c r="M202" s="46" t="str">
        <x:v>M3-BASE、EXPR、CARE和BOUND提供用户自然互动通道；M5-EXCHANGE负责把两人的实际行为合成为交换结构。</x:v>
      </x:c>
      <x:c r="N202" s="46" t="str">
        <x:v>无／按本规则指定的给予—请求—接收—反馈—重订路径路由。</x:v>
      </x:c>
      <x:c r="O202" s="46" t="str">
        <x:v>近位、远位只修正该交换需求进入亲密关系核心的可能；不得据此判断具体伴侣现实中一定配合。</x:v>
      </x:c>
      <x:c r="P202" s="46" t="str">
        <x:v>根气只修正用户交换需求和通道是否稳定重复，不等于双方已形成成熟互惠。</x:v>
      </x:c>
      <x:c r="Q202" s="46" t="str">
        <x:v>旺弱只修正通道调用强度、抢位或缺位风险，不直接等于交换公平或关系质量。</x:v>
      </x:c>
      <x:c r="R202" s="46" t="str">
        <x:v>喜忌只修正调用顺畅度与摩擦，不可直接翻译为理想伴侣五行、十神或必然互补。</x:v>
      </x:c>
      <x:c r="S202" s="46" t="str">
        <x:v>真合化成立时按化神功能重算用户交换需求；合化争议时停止细化交换通道。</x:v>
      </x:c>
      <x:c r="T202" s="46" t="str">
        <x:v>近位提高该交换议题进入关系核心的可能；远位只保留背景或阶段性观察。</x:v>
      </x:c>
      <x:c r="U202" s="46" t="str">
        <x:v>90</x:v>
      </x:c>
      <x:c r="V202" s="46" t="str">
        <x:v>EM候选 +8</x:v>
      </x:c>
      <x:c r="W202" s="46" t="str">
        <x:v>exchange_mode</x:v>
      </x:c>
      <x:c r="X202" s="46" t="str">
        <x:v>现实任务和情绪影响同时拥有处理通道，可有先后但都需完成。</x:v>
      </x:c>
      <x:c r="Y202" s="46" t="str">
        <x:v>交换模式更接近任务—情绪双轨型。</x:v>
      </x:c>
      <x:c r="Z20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02" s="46" t="str">
        <x:v>中高</x:v>
      </x:c>
      <x:c r="AB202" s="46" t="str">
        <x:v>待验证</x:v>
      </x:c>
      <x:c r="AC202" s="46" t="str"/>
      <x:c r="AD202" s="46" t="str">
        <x:v>exchange_mode=EM11; provisional=true; rule_group=EXCHANGE-EM模式</x:v>
      </x:c>
      <x:c r="AE202" s="46" t="str">
        <x:v>0.4</x:v>
      </x:c>
    </x:row>
    <x:row r="203" ht="50" customHeight="1">
      <x:c r="A203" s="46" t="str">
        <x:v>M5-EXCHANGE-202</x:v>
      </x:c>
      <x:c r="B203" s="46" t="str">
        <x:v>EM11 任务—情绪双轨型｜适用情境</x:v>
      </x:c>
      <x:c r="C203" s="46" t="str">
        <x:v>L3 双向交换模式</x:v>
      </x:c>
      <x:c r="D203" s="46" t="str">
        <x:v>EXCHANGE-EM模式</x:v>
      </x:c>
      <x:c r="E203" s="46" t="str">
        <x:v>通用</x:v>
      </x:c>
      <x:c r="F203" s="46" t="str">
        <x:v>场景</x:v>
      </x:c>
      <x:c r="G203" s="46" t="str">
        <x:v>EM11</x:v>
      </x:c>
      <x:c r="H203" s="46" t="str">
        <x:v>任务—情绪双轨型</x:v>
      </x:c>
      <x:c r="I203" s="46" t="str">
        <x:v>存在对应XD领域或生活阶段。</x:v>
      </x:c>
      <x:c r="J203" s="46" t="str">
        <x:v>把一种模式覆盖全部关系领域。</x:v>
      </x:c>
      <x:c r="K203" s="46" t="str">
        <x:v>由共享基础引擎、M3与M5-BASE提供；只修正用户怎样给予、请求、接收和回馈，不直接判断双方现实交换质量。</x:v>
      </x:c>
      <x:c r="L203" s="46" t="str">
        <x:v>M2只说明进入关系所需资格证据；不能替代长期双向交换、负荷与修复验证。</x:v>
      </x:c>
      <x:c r="M203" s="46" t="str">
        <x:v>M3-BASE、EXPR、CARE和BOUND提供用户自然互动通道；M5-EXCHANGE负责把两人的实际行为合成为交换结构。</x:v>
      </x:c>
      <x:c r="N203" s="46" t="str">
        <x:v>无／按本规则指定的给予—请求—接收—反馈—重订路径路由。</x:v>
      </x:c>
      <x:c r="O203" s="46" t="str">
        <x:v>近位、远位只修正该交换需求进入亲密关系核心的可能；不得据此判断具体伴侣现实中一定配合。</x:v>
      </x:c>
      <x:c r="P203" s="46" t="str">
        <x:v>根气只修正用户交换需求和通道是否稳定重复，不等于双方已形成成熟互惠。</x:v>
      </x:c>
      <x:c r="Q203" s="46" t="str">
        <x:v>旺弱只修正通道调用强度、抢位或缺位风险，不直接等于交换公平或关系质量。</x:v>
      </x:c>
      <x:c r="R203" s="46" t="str">
        <x:v>喜忌只修正调用顺畅度与摩擦，不可直接翻译为理想伴侣五行、十神或必然互补。</x:v>
      </x:c>
      <x:c r="S203" s="46" t="str">
        <x:v>真合化成立时按化神功能重算用户交换需求；合化争议时停止细化交换通道。</x:v>
      </x:c>
      <x:c r="T203" s="46" t="str">
        <x:v>近位提高该交换议题进入关系核心的可能；远位只保留背景或阶段性观察。</x:v>
      </x:c>
      <x:c r="U203" s="46" t="str">
        <x:v>78</x:v>
      </x:c>
      <x:c r="V203" s="46" t="str">
        <x:v>+6 场景路由</x:v>
      </x:c>
      <x:c r="W203" s="46" t="str">
        <x:v>exchange_domains</x:v>
      </x:c>
      <x:c r="X203" s="46" t="str">
        <x:v>适合压力、责任冲突和修复。</x:v>
      </x:c>
      <x:c r="Y203" s="46" t="str">
        <x:v>这种方式更适合：适合压力、责任冲突和修复。</x:v>
      </x:c>
      <x:c r="Z20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03" s="46" t="str">
        <x:v>中</x:v>
      </x:c>
      <x:c r="AB203" s="46" t="str">
        <x:v>待验证</x:v>
      </x:c>
      <x:c r="AC203" s="46" t="str"/>
      <x:c r="AD203" s="46" t="str">
        <x:v>exchange_mode=EM11; provisional=true; rule_group=EXCHANGE-EM模式</x:v>
      </x:c>
      <x:c r="AE203" s="46" t="str">
        <x:v>0.4</x:v>
      </x:c>
    </x:row>
    <x:row r="204" ht="50" customHeight="1">
      <x:c r="A204" s="46" t="str">
        <x:v>M5-EXCHANGE-203</x:v>
      </x:c>
      <x:c r="B204" s="46" t="str">
        <x:v>EM11 任务—情绪双轨型｜成立条件</x:v>
      </x:c>
      <x:c r="C204" s="46" t="str">
        <x:v>L3 双向交换模式</x:v>
      </x:c>
      <x:c r="D204" s="46" t="str">
        <x:v>EXCHANGE-EM模式</x:v>
      </x:c>
      <x:c r="E204" s="46" t="str">
        <x:v>通用</x:v>
      </x:c>
      <x:c r="F204" s="46" t="str">
        <x:v>门控</x:v>
      </x:c>
      <x:c r="G204" s="46" t="str">
        <x:v>EM11</x:v>
      </x:c>
      <x:c r="H204" s="46" t="str">
        <x:v>任务—情绪双轨型</x:v>
      </x:c>
      <x:c r="I204" s="46" t="str">
        <x:v>任务线有方案，情绪线有理解和反馈。</x:v>
      </x:c>
      <x:c r="J204" s="46" t="str">
        <x:v>只有标签相似、一次事件或单方愿望。</x:v>
      </x:c>
      <x:c r="K204" s="46" t="str">
        <x:v>由共享基础引擎、M3与M5-BASE提供；只修正用户怎样给予、请求、接收和回馈，不直接判断双方现实交换质量。</x:v>
      </x:c>
      <x:c r="L204" s="46" t="str">
        <x:v>M2只说明进入关系所需资格证据；不能替代长期双向交换、负荷与修复验证。</x:v>
      </x:c>
      <x:c r="M204" s="46" t="str">
        <x:v>M3-BASE、EXPR、CARE和BOUND提供用户自然互动通道；M5-EXCHANGE负责把两人的实际行为合成为交换结构。</x:v>
      </x:c>
      <x:c r="N204" s="46" t="str">
        <x:v>无／按本规则指定的给予—请求—接收—反馈—重订路径路由。</x:v>
      </x:c>
      <x:c r="O204" s="46" t="str">
        <x:v>近位、远位只修正该交换需求进入亲密关系核心的可能；不得据此判断具体伴侣现实中一定配合。</x:v>
      </x:c>
      <x:c r="P204" s="46" t="str">
        <x:v>根气只修正用户交换需求和通道是否稳定重复，不等于双方已形成成熟互惠。</x:v>
      </x:c>
      <x:c r="Q204" s="46" t="str">
        <x:v>旺弱只修正通道调用强度、抢位或缺位风险，不直接等于交换公平或关系质量。</x:v>
      </x:c>
      <x:c r="R204" s="46" t="str">
        <x:v>喜忌只修正调用顺畅度与摩擦，不可直接翻译为理想伴侣五行、十神或必然互补。</x:v>
      </x:c>
      <x:c r="S204" s="46" t="str">
        <x:v>真合化成立时按化神功能重算用户交换需求；合化争议时停止细化交换通道。</x:v>
      </x:c>
      <x:c r="T204" s="46" t="str">
        <x:v>近位提高该交换议题进入关系核心的可能；远位只保留背景或阶段性观察。</x:v>
      </x:c>
      <x:c r="U204" s="46" t="str">
        <x:v>88</x:v>
      </x:c>
      <x:c r="V204" s="46" t="str">
        <x:v>+10 模式成立</x:v>
      </x:c>
      <x:c r="W204" s="46" t="str">
        <x:v>exchange_mode</x:v>
      </x:c>
      <x:c r="X204" s="46" t="str">
        <x:v>任务—情绪双轨型必须满足：任务线有方案，情绪线有理解和反馈。</x:v>
      </x:c>
      <x:c r="Y204" s="46" t="str">
        <x:v>要形成任务—情绪双轨型，需要：任务线有方案，情绪线有理解和反馈。</x:v>
      </x:c>
      <x:c r="Z20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04" s="46" t="str">
        <x:v>中高</x:v>
      </x:c>
      <x:c r="AB204" s="46" t="str">
        <x:v>待验证</x:v>
      </x:c>
      <x:c r="AC204" s="46" t="str"/>
      <x:c r="AD204" s="46" t="str">
        <x:v>exchange_mode=EM11; provisional=true; rule_group=EXCHANGE-EM模式</x:v>
      </x:c>
      <x:c r="AE204" s="46" t="str">
        <x:v>0.4</x:v>
      </x:c>
    </x:row>
    <x:row r="205" ht="50" customHeight="1">
      <x:c r="A205" s="46" t="str">
        <x:v>M5-EXCHANGE-204</x:v>
      </x:c>
      <x:c r="B205" s="46" t="str">
        <x:v>EM11 任务—情绪双轨型｜失衡与伪适配</x:v>
      </x:c>
      <x:c r="C205" s="46" t="str">
        <x:v>L3 双向交换模式</x:v>
      </x:c>
      <x:c r="D205" s="46" t="str">
        <x:v>EXCHANGE-EM模式</x:v>
      </x:c>
      <x:c r="E205" s="46" t="str">
        <x:v>通用</x:v>
      </x:c>
      <x:c r="F205" s="46" t="str">
        <x:v>风险</x:v>
      </x:c>
      <x:c r="G205" s="46" t="str">
        <x:v>EM11</x:v>
      </x:c>
      <x:c r="H205" s="46" t="str">
        <x:v>任务—情绪双轨型</x:v>
      </x:c>
      <x:c r="I205" s="46" t="str">
        <x:v>出现风险信号。</x:v>
      </x:c>
      <x:c r="J205" s="46" t="str">
        <x:v>XV5—XV7现实证据能够排除。</x:v>
      </x:c>
      <x:c r="K205" s="46" t="str">
        <x:v>由共享基础引擎、M3与M5-BASE提供；只修正用户怎样给予、请求、接收和回馈，不直接判断双方现实交换质量。</x:v>
      </x:c>
      <x:c r="L205" s="46" t="str">
        <x:v>M2只说明进入关系所需资格证据；不能替代长期双向交换、负荷与修复验证。</x:v>
      </x:c>
      <x:c r="M205" s="46" t="str">
        <x:v>M3-BASE、EXPR、CARE和BOUND提供用户自然互动通道；M5-EXCHANGE负责把两人的实际行为合成为交换结构。</x:v>
      </x:c>
      <x:c r="N205" s="46" t="str">
        <x:v>无／按本规则指定的给予—请求—接收—反馈—重订路径路由。</x:v>
      </x:c>
      <x:c r="O205" s="46" t="str">
        <x:v>近位、远位只修正该交换需求进入亲密关系核心的可能；不得据此判断具体伴侣现实中一定配合。</x:v>
      </x:c>
      <x:c r="P205" s="46" t="str">
        <x:v>根气只修正用户交换需求和通道是否稳定重复，不等于双方已形成成熟互惠。</x:v>
      </x:c>
      <x:c r="Q205" s="46" t="str">
        <x:v>旺弱只修正通道调用强度、抢位或缺位风险，不直接等于交换公平或关系质量。</x:v>
      </x:c>
      <x:c r="R205" s="46" t="str">
        <x:v>喜忌只修正调用顺畅度与摩擦，不可直接翻译为理想伴侣五行、十神或必然互补。</x:v>
      </x:c>
      <x:c r="S205" s="46" t="str">
        <x:v>真合化成立时按化神功能重算用户交换需求；合化争议时停止细化交换通道。</x:v>
      </x:c>
      <x:c r="T205" s="46" t="str">
        <x:v>近位提高该交换议题进入关系核心的可能；远位只保留背景或阶段性观察。</x:v>
      </x:c>
      <x:c r="U205" s="46" t="str">
        <x:v>92</x:v>
      </x:c>
      <x:c r="V205" s="46" t="str">
        <x:v>风险 +12</x:v>
      </x:c>
      <x:c r="W205" s="46" t="str">
        <x:v>pseudo_reciprocity_warning</x:v>
      </x:c>
      <x:c r="X205" s="46" t="str">
        <x:v>只做事不谈感受，或只安抚不处理现实。</x:v>
      </x:c>
      <x:c r="Y205" s="46" t="str">
        <x:v>需要避免：只做事不谈感受，或只安抚不处理现实。</x:v>
      </x:c>
      <x:c r="Z20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05" s="46" t="str">
        <x:v>中高</x:v>
      </x:c>
      <x:c r="AB205" s="46" t="str">
        <x:v>待验证</x:v>
      </x:c>
      <x:c r="AC205" s="46" t="str"/>
      <x:c r="AD205" s="46" t="str">
        <x:v>exchange_mode=EM11; provisional=true; rule_group=EXCHANGE-EM模式</x:v>
      </x:c>
      <x:c r="AE205" s="46" t="str">
        <x:v>0.4</x:v>
      </x:c>
    </x:row>
    <x:row r="206" ht="50" customHeight="1">
      <x:c r="A206" s="46" t="str">
        <x:v>M5-EXCHANGE-205</x:v>
      </x:c>
      <x:c r="B206" s="46" t="str">
        <x:v>EM11 任务—情绪双轨型｜现实验证与输出</x:v>
      </x:c>
      <x:c r="C206" s="46" t="str">
        <x:v>L3 双向交换模式</x:v>
      </x:c>
      <x:c r="D206" s="46" t="str">
        <x:v>EXCHANGE-EM模式</x:v>
      </x:c>
      <x:c r="E206" s="46" t="str">
        <x:v>通用</x:v>
      </x:c>
      <x:c r="F206" s="46" t="str">
        <x:v>证据</x:v>
      </x:c>
      <x:c r="G206" s="46" t="str">
        <x:v>EM11</x:v>
      </x:c>
      <x:c r="H206" s="46" t="str">
        <x:v>任务—情绪双轨型</x:v>
      </x:c>
      <x:c r="I206" s="46" t="str">
        <x:v>XV3以上。</x:v>
      </x:c>
      <x:c r="J206" s="46" t="str">
        <x:v>只有命盘或单次高光。</x:v>
      </x:c>
      <x:c r="K206" s="46" t="str">
        <x:v>由共享基础引擎、M3与M5-BASE提供；只修正用户怎样给予、请求、接收和回馈，不直接判断双方现实交换质量。</x:v>
      </x:c>
      <x:c r="L206" s="46" t="str">
        <x:v>M2只说明进入关系所需资格证据；不能替代长期双向交换、负荷与修复验证。</x:v>
      </x:c>
      <x:c r="M206" s="46" t="str">
        <x:v>M3-BASE、EXPR、CARE和BOUND提供用户自然互动通道；M5-EXCHANGE负责把两人的实际行为合成为交换结构。</x:v>
      </x:c>
      <x:c r="N206" s="46" t="str">
        <x:v>无／按本规则指定的给予—请求—接收—反馈—重订路径路由。</x:v>
      </x:c>
      <x:c r="O206" s="46" t="str">
        <x:v>近位、远位只修正该交换需求进入亲密关系核心的可能；不得据此判断具体伴侣现实中一定配合。</x:v>
      </x:c>
      <x:c r="P206" s="46" t="str">
        <x:v>根气只修正用户交换需求和通道是否稳定重复，不等于双方已形成成熟互惠。</x:v>
      </x:c>
      <x:c r="Q206" s="46" t="str">
        <x:v>旺弱只修正通道调用强度、抢位或缺位风险，不直接等于交换公平或关系质量。</x:v>
      </x:c>
      <x:c r="R206" s="46" t="str">
        <x:v>喜忌只修正调用顺畅度与摩擦，不可直接翻译为理想伴侣五行、十神或必然互补。</x:v>
      </x:c>
      <x:c r="S206" s="46" t="str">
        <x:v>真合化成立时按化神功能重算用户交换需求；合化争议时停止细化交换通道。</x:v>
      </x:c>
      <x:c r="T206" s="46" t="str">
        <x:v>近位提高该交换议题进入关系核心的可能；远位只保留背景或阶段性观察。</x:v>
      </x:c>
      <x:c r="U206" s="46" t="str">
        <x:v>78</x:v>
      </x:c>
      <x:c r="V206" s="46" t="str">
        <x:v>不加分；现实核验</x:v>
      </x:c>
      <x:c r="W206" s="46" t="str">
        <x:v>observation_plan</x:v>
      </x:c>
      <x:c r="X206" s="46" t="str">
        <x:v>模式必须由双方请求、回应、负荷和重订共同验证。</x:v>
      </x:c>
      <x:c r="Y206" s="46" t="str">
        <x:v>要看这套交换是否能在现实变化后继续运行。</x:v>
      </x:c>
      <x:c r="Z20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06" s="46" t="str">
        <x:v>中</x:v>
      </x:c>
      <x:c r="AB206" s="46" t="str">
        <x:v>待验证</x:v>
      </x:c>
      <x:c r="AC206" s="46" t="str"/>
      <x:c r="AD206" s="46" t="str">
        <x:v>exchange_mode=EM11; provisional=true; rule_group=EXCHANGE-EM模式</x:v>
      </x:c>
      <x:c r="AE206" s="46" t="str">
        <x:v>0.4</x:v>
      </x:c>
    </x:row>
    <x:row r="207" ht="50" customHeight="1">
      <x:c r="A207" s="46" t="str">
        <x:v>M5-EXCHANGE-206</x:v>
      </x:c>
      <x:c r="B207" s="46" t="str">
        <x:v>EM12 情境组合型｜正式定义</x:v>
      </x:c>
      <x:c r="C207" s="46" t="str">
        <x:v>L3 双向交换模式</x:v>
      </x:c>
      <x:c r="D207" s="46" t="str">
        <x:v>EXCHANGE-EM模式</x:v>
      </x:c>
      <x:c r="E207" s="46" t="str">
        <x:v>通用</x:v>
      </x:c>
      <x:c r="F207" s="46" t="str">
        <x:v>定义</x:v>
      </x:c>
      <x:c r="G207" s="46" t="str">
        <x:v>EM12</x:v>
      </x:c>
      <x:c r="H207" s="46" t="str">
        <x:v>情境组合型</x:v>
      </x:c>
      <x:c r="I207" s="46" t="str">
        <x:v>M5-BASE、PARTNER或现实资料路由该模式。</x:v>
      </x:c>
      <x:c r="J207" s="46" t="str">
        <x:v>安全门控未通过。</x:v>
      </x:c>
      <x:c r="K207" s="46" t="str">
        <x:v>由共享基础引擎、M3与M5-BASE提供；只修正用户怎样给予、请求、接收和回馈，不直接判断双方现实交换质量。</x:v>
      </x:c>
      <x:c r="L207" s="46" t="str">
        <x:v>M2只说明进入关系所需资格证据；不能替代长期双向交换、负荷与修复验证。</x:v>
      </x:c>
      <x:c r="M207" s="46" t="str">
        <x:v>M3-BASE、EXPR、CARE和BOUND提供用户自然互动通道；M5-EXCHANGE负责把两人的实际行为合成为交换结构。</x:v>
      </x:c>
      <x:c r="N207" s="46" t="str">
        <x:v>无／按本规则指定的给予—请求—接收—反馈—重订路径路由。</x:v>
      </x:c>
      <x:c r="O207" s="46" t="str">
        <x:v>近位、远位只修正该交换需求进入亲密关系核心的可能；不得据此判断具体伴侣现实中一定配合。</x:v>
      </x:c>
      <x:c r="P207" s="46" t="str">
        <x:v>根气只修正用户交换需求和通道是否稳定重复，不等于双方已形成成熟互惠。</x:v>
      </x:c>
      <x:c r="Q207" s="46" t="str">
        <x:v>旺弱只修正通道调用强度、抢位或缺位风险，不直接等于交换公平或关系质量。</x:v>
      </x:c>
      <x:c r="R207" s="46" t="str">
        <x:v>喜忌只修正调用顺畅度与摩擦，不可直接翻译为理想伴侣五行、十神或必然互补。</x:v>
      </x:c>
      <x:c r="S207" s="46" t="str">
        <x:v>真合化成立时按化神功能重算用户交换需求；合化争议时停止细化交换通道。</x:v>
      </x:c>
      <x:c r="T207" s="46" t="str">
        <x:v>近位提高该交换议题进入关系核心的可能；远位只保留背景或阶段性观察。</x:v>
      </x:c>
      <x:c r="U207" s="46" t="str">
        <x:v>90</x:v>
      </x:c>
      <x:c r="V207" s="46" t="str">
        <x:v>EM候选 +8</x:v>
      </x:c>
      <x:c r="W207" s="46" t="str">
        <x:v>exchange_mode</x:v>
      </x:c>
      <x:c r="X207" s="46" t="str">
        <x:v>不同领域使用同步、错峰、分工、接力或双轨，不强求一种模式覆盖全部。</x:v>
      </x:c>
      <x:c r="Y207" s="46" t="str">
        <x:v>交换模式更接近情境组合型。</x:v>
      </x:c>
      <x:c r="Z20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07" s="46" t="str">
        <x:v>中高</x:v>
      </x:c>
      <x:c r="AB207" s="46" t="str">
        <x:v>待验证</x:v>
      </x:c>
      <x:c r="AC207" s="46" t="str"/>
      <x:c r="AD207" s="46" t="str">
        <x:v>exchange_mode=EM12; provisional=true; rule_group=EXCHANGE-EM模式</x:v>
      </x:c>
      <x:c r="AE207" s="46" t="str">
        <x:v>0.4</x:v>
      </x:c>
    </x:row>
    <x:row r="208" ht="50" customHeight="1">
      <x:c r="A208" s="46" t="str">
        <x:v>M5-EXCHANGE-207</x:v>
      </x:c>
      <x:c r="B208" s="46" t="str">
        <x:v>EM12 情境组合型｜适用情境</x:v>
      </x:c>
      <x:c r="C208" s="46" t="str">
        <x:v>L3 双向交换模式</x:v>
      </x:c>
      <x:c r="D208" s="46" t="str">
        <x:v>EXCHANGE-EM模式</x:v>
      </x:c>
      <x:c r="E208" s="46" t="str">
        <x:v>通用</x:v>
      </x:c>
      <x:c r="F208" s="46" t="str">
        <x:v>场景</x:v>
      </x:c>
      <x:c r="G208" s="46" t="str">
        <x:v>EM12</x:v>
      </x:c>
      <x:c r="H208" s="46" t="str">
        <x:v>情境组合型</x:v>
      </x:c>
      <x:c r="I208" s="46" t="str">
        <x:v>存在对应XD领域或生活阶段。</x:v>
      </x:c>
      <x:c r="J208" s="46" t="str">
        <x:v>把一种模式覆盖全部关系领域。</x:v>
      </x:c>
      <x:c r="K208" s="46" t="str">
        <x:v>由共享基础引擎、M3与M5-BASE提供；只修正用户怎样给予、请求、接收和回馈，不直接判断双方现实交换质量。</x:v>
      </x:c>
      <x:c r="L208" s="46" t="str">
        <x:v>M2只说明进入关系所需资格证据；不能替代长期双向交换、负荷与修复验证。</x:v>
      </x:c>
      <x:c r="M208" s="46" t="str">
        <x:v>M3-BASE、EXPR、CARE和BOUND提供用户自然互动通道；M5-EXCHANGE负责把两人的实际行为合成为交换结构。</x:v>
      </x:c>
      <x:c r="N208" s="46" t="str">
        <x:v>无／按本规则指定的给予—请求—接收—反馈—重订路径路由。</x:v>
      </x:c>
      <x:c r="O208" s="46" t="str">
        <x:v>近位、远位只修正该交换需求进入亲密关系核心的可能；不得据此判断具体伴侣现实中一定配合。</x:v>
      </x:c>
      <x:c r="P208" s="46" t="str">
        <x:v>根气只修正用户交换需求和通道是否稳定重复，不等于双方已形成成熟互惠。</x:v>
      </x:c>
      <x:c r="Q208" s="46" t="str">
        <x:v>旺弱只修正通道调用强度、抢位或缺位风险，不直接等于交换公平或关系质量。</x:v>
      </x:c>
      <x:c r="R208" s="46" t="str">
        <x:v>喜忌只修正调用顺畅度与摩擦，不可直接翻译为理想伴侣五行、十神或必然互补。</x:v>
      </x:c>
      <x:c r="S208" s="46" t="str">
        <x:v>真合化成立时按化神功能重算用户交换需求；合化争议时停止细化交换通道。</x:v>
      </x:c>
      <x:c r="T208" s="46" t="str">
        <x:v>近位提高该交换议题进入关系核心的可能；远位只保留背景或阶段性观察。</x:v>
      </x:c>
      <x:c r="U208" s="46" t="str">
        <x:v>78</x:v>
      </x:c>
      <x:c r="V208" s="46" t="str">
        <x:v>+6 场景路由</x:v>
      </x:c>
      <x:c r="W208" s="46" t="str">
        <x:v>exchange_domains</x:v>
      </x:c>
      <x:c r="X208" s="46" t="str">
        <x:v>适合现实角色复杂、资源随阶段变化的关系。</x:v>
      </x:c>
      <x:c r="Y208" s="46" t="str">
        <x:v>这种方式更适合：适合现实角色复杂、资源随阶段变化的关系。</x:v>
      </x:c>
      <x:c r="Z20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08" s="46" t="str">
        <x:v>中</x:v>
      </x:c>
      <x:c r="AB208" s="46" t="str">
        <x:v>待验证</x:v>
      </x:c>
      <x:c r="AC208" s="46" t="str"/>
      <x:c r="AD208" s="46" t="str">
        <x:v>exchange_mode=EM12; provisional=true; rule_group=EXCHANGE-EM模式</x:v>
      </x:c>
      <x:c r="AE208" s="46" t="str">
        <x:v>0.4</x:v>
      </x:c>
    </x:row>
    <x:row r="209" ht="50" customHeight="1">
      <x:c r="A209" s="46" t="str">
        <x:v>M5-EXCHANGE-208</x:v>
      </x:c>
      <x:c r="B209" s="46" t="str">
        <x:v>EM12 情境组合型｜成立条件</x:v>
      </x:c>
      <x:c r="C209" s="46" t="str">
        <x:v>L3 双向交换模式</x:v>
      </x:c>
      <x:c r="D209" s="46" t="str">
        <x:v>EXCHANGE-EM模式</x:v>
      </x:c>
      <x:c r="E209" s="46" t="str">
        <x:v>通用</x:v>
      </x:c>
      <x:c r="F209" s="46" t="str">
        <x:v>门控</x:v>
      </x:c>
      <x:c r="G209" s="46" t="str">
        <x:v>EM12</x:v>
      </x:c>
      <x:c r="H209" s="46" t="str">
        <x:v>情境组合型</x:v>
      </x:c>
      <x:c r="I209" s="46" t="str">
        <x:v>领域规则清楚并定期重订。</x:v>
      </x:c>
      <x:c r="J209" s="46" t="str">
        <x:v>只有标签相似、一次事件或单方愿望。</x:v>
      </x:c>
      <x:c r="K209" s="46" t="str">
        <x:v>由共享基础引擎、M3与M5-BASE提供；只修正用户怎样给予、请求、接收和回馈，不直接判断双方现实交换质量。</x:v>
      </x:c>
      <x:c r="L209" s="46" t="str">
        <x:v>M2只说明进入关系所需资格证据；不能替代长期双向交换、负荷与修复验证。</x:v>
      </x:c>
      <x:c r="M209" s="46" t="str">
        <x:v>M3-BASE、EXPR、CARE和BOUND提供用户自然互动通道；M5-EXCHANGE负责把两人的实际行为合成为交换结构。</x:v>
      </x:c>
      <x:c r="N209" s="46" t="str">
        <x:v>无／按本规则指定的给予—请求—接收—反馈—重订路径路由。</x:v>
      </x:c>
      <x:c r="O209" s="46" t="str">
        <x:v>近位、远位只修正该交换需求进入亲密关系核心的可能；不得据此判断具体伴侣现实中一定配合。</x:v>
      </x:c>
      <x:c r="P209" s="46" t="str">
        <x:v>根气只修正用户交换需求和通道是否稳定重复，不等于双方已形成成熟互惠。</x:v>
      </x:c>
      <x:c r="Q209" s="46" t="str">
        <x:v>旺弱只修正通道调用强度、抢位或缺位风险，不直接等于交换公平或关系质量。</x:v>
      </x:c>
      <x:c r="R209" s="46" t="str">
        <x:v>喜忌只修正调用顺畅度与摩擦，不可直接翻译为理想伴侣五行、十神或必然互补。</x:v>
      </x:c>
      <x:c r="S209" s="46" t="str">
        <x:v>真合化成立时按化神功能重算用户交换需求；合化争议时停止细化交换通道。</x:v>
      </x:c>
      <x:c r="T209" s="46" t="str">
        <x:v>近位提高该交换议题进入关系核心的可能；远位只保留背景或阶段性观察。</x:v>
      </x:c>
      <x:c r="U209" s="46" t="str">
        <x:v>88</x:v>
      </x:c>
      <x:c r="V209" s="46" t="str">
        <x:v>+10 模式成立</x:v>
      </x:c>
      <x:c r="W209" s="46" t="str">
        <x:v>exchange_mode</x:v>
      </x:c>
      <x:c r="X209" s="46" t="str">
        <x:v>情境组合型必须满足：领域规则清楚并定期重订。</x:v>
      </x:c>
      <x:c r="Y209" s="46" t="str">
        <x:v>要形成情境组合型，需要：领域规则清楚并定期重订。</x:v>
      </x:c>
      <x:c r="Z20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09" s="46" t="str">
        <x:v>中高</x:v>
      </x:c>
      <x:c r="AB209" s="46" t="str">
        <x:v>待验证</x:v>
      </x:c>
      <x:c r="AC209" s="46" t="str"/>
      <x:c r="AD209" s="46" t="str">
        <x:v>exchange_mode=EM12; provisional=true; rule_group=EXCHANGE-EM模式</x:v>
      </x:c>
      <x:c r="AE209" s="46" t="str">
        <x:v>0.4</x:v>
      </x:c>
    </x:row>
    <x:row r="210" ht="50" customHeight="1">
      <x:c r="A210" s="46" t="str">
        <x:v>M5-EXCHANGE-209</x:v>
      </x:c>
      <x:c r="B210" s="46" t="str">
        <x:v>EM12 情境组合型｜失衡与伪适配</x:v>
      </x:c>
      <x:c r="C210" s="46" t="str">
        <x:v>L3 双向交换模式</x:v>
      </x:c>
      <x:c r="D210" s="46" t="str">
        <x:v>EXCHANGE-EM模式</x:v>
      </x:c>
      <x:c r="E210" s="46" t="str">
        <x:v>通用</x:v>
      </x:c>
      <x:c r="F210" s="46" t="str">
        <x:v>风险</x:v>
      </x:c>
      <x:c r="G210" s="46" t="str">
        <x:v>EM12</x:v>
      </x:c>
      <x:c r="H210" s="46" t="str">
        <x:v>情境组合型</x:v>
      </x:c>
      <x:c r="I210" s="46" t="str">
        <x:v>出现风险信号。</x:v>
      </x:c>
      <x:c r="J210" s="46" t="str">
        <x:v>XV5—XV7现实证据能够排除。</x:v>
      </x:c>
      <x:c r="K210" s="46" t="str">
        <x:v>由共享基础引擎、M3与M5-BASE提供；只修正用户怎样给予、请求、接收和回馈，不直接判断双方现实交换质量。</x:v>
      </x:c>
      <x:c r="L210" s="46" t="str">
        <x:v>M2只说明进入关系所需资格证据；不能替代长期双向交换、负荷与修复验证。</x:v>
      </x:c>
      <x:c r="M210" s="46" t="str">
        <x:v>M3-BASE、EXPR、CARE和BOUND提供用户自然互动通道；M5-EXCHANGE负责把两人的实际行为合成为交换结构。</x:v>
      </x:c>
      <x:c r="N210" s="46" t="str">
        <x:v>无／按本规则指定的给予—请求—接收—反馈—重订路径路由。</x:v>
      </x:c>
      <x:c r="O210" s="46" t="str">
        <x:v>近位、远位只修正该交换需求进入亲密关系核心的可能；不得据此判断具体伴侣现实中一定配合。</x:v>
      </x:c>
      <x:c r="P210" s="46" t="str">
        <x:v>根气只修正用户交换需求和通道是否稳定重复，不等于双方已形成成熟互惠。</x:v>
      </x:c>
      <x:c r="Q210" s="46" t="str">
        <x:v>旺弱只修正通道调用强度、抢位或缺位风险，不直接等于交换公平或关系质量。</x:v>
      </x:c>
      <x:c r="R210" s="46" t="str">
        <x:v>喜忌只修正调用顺畅度与摩擦，不可直接翻译为理想伴侣五行、十神或必然互补。</x:v>
      </x:c>
      <x:c r="S210" s="46" t="str">
        <x:v>真合化成立时按化神功能重算用户交换需求；合化争议时停止细化交换通道。</x:v>
      </x:c>
      <x:c r="T210" s="46" t="str">
        <x:v>近位提高该交换议题进入关系核心的可能；远位只保留背景或阶段性观察。</x:v>
      </x:c>
      <x:c r="U210" s="46" t="str">
        <x:v>92</x:v>
      </x:c>
      <x:c r="V210" s="46" t="str">
        <x:v>风险 +12</x:v>
      </x:c>
      <x:c r="W210" s="46" t="str">
        <x:v>pseudo_reciprocity_warning</x:v>
      </x:c>
      <x:c r="X210" s="46" t="str">
        <x:v>随意切换、没有最低责任或回访机制。</x:v>
      </x:c>
      <x:c r="Y210" s="46" t="str">
        <x:v>需要避免：随意切换、没有最低责任或回访机制。</x:v>
      </x:c>
      <x:c r="Z21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10" s="46" t="str">
        <x:v>中高</x:v>
      </x:c>
      <x:c r="AB210" s="46" t="str">
        <x:v>待验证</x:v>
      </x:c>
      <x:c r="AC210" s="46" t="str"/>
      <x:c r="AD210" s="46" t="str">
        <x:v>exchange_mode=EM12; provisional=true; rule_group=EXCHANGE-EM模式</x:v>
      </x:c>
      <x:c r="AE210" s="46" t="str">
        <x:v>0.4</x:v>
      </x:c>
    </x:row>
    <x:row r="211" ht="50" customHeight="1">
      <x:c r="A211" s="46" t="str">
        <x:v>M5-EXCHANGE-210</x:v>
      </x:c>
      <x:c r="B211" s="46" t="str">
        <x:v>EM12 情境组合型｜现实验证与输出</x:v>
      </x:c>
      <x:c r="C211" s="46" t="str">
        <x:v>L3 双向交换模式</x:v>
      </x:c>
      <x:c r="D211" s="46" t="str">
        <x:v>EXCHANGE-EM模式</x:v>
      </x:c>
      <x:c r="E211" s="46" t="str">
        <x:v>通用</x:v>
      </x:c>
      <x:c r="F211" s="46" t="str">
        <x:v>证据</x:v>
      </x:c>
      <x:c r="G211" s="46" t="str">
        <x:v>EM12</x:v>
      </x:c>
      <x:c r="H211" s="46" t="str">
        <x:v>情境组合型</x:v>
      </x:c>
      <x:c r="I211" s="46" t="str">
        <x:v>XV3以上。</x:v>
      </x:c>
      <x:c r="J211" s="46" t="str">
        <x:v>只有命盘或单次高光。</x:v>
      </x:c>
      <x:c r="K211" s="46" t="str">
        <x:v>由共享基础引擎、M3与M5-BASE提供；只修正用户怎样给予、请求、接收和回馈，不直接判断双方现实交换质量。</x:v>
      </x:c>
      <x:c r="L211" s="46" t="str">
        <x:v>M2只说明进入关系所需资格证据；不能替代长期双向交换、负荷与修复验证。</x:v>
      </x:c>
      <x:c r="M211" s="46" t="str">
        <x:v>M3-BASE、EXPR、CARE和BOUND提供用户自然互动通道；M5-EXCHANGE负责把两人的实际行为合成为交换结构。</x:v>
      </x:c>
      <x:c r="N211" s="46" t="str">
        <x:v>无／按本规则指定的给予—请求—接收—反馈—重订路径路由。</x:v>
      </x:c>
      <x:c r="O211" s="46" t="str">
        <x:v>近位、远位只修正该交换需求进入亲密关系核心的可能；不得据此判断具体伴侣现实中一定配合。</x:v>
      </x:c>
      <x:c r="P211" s="46" t="str">
        <x:v>根气只修正用户交换需求和通道是否稳定重复，不等于双方已形成成熟互惠。</x:v>
      </x:c>
      <x:c r="Q211" s="46" t="str">
        <x:v>旺弱只修正通道调用强度、抢位或缺位风险，不直接等于交换公平或关系质量。</x:v>
      </x:c>
      <x:c r="R211" s="46" t="str">
        <x:v>喜忌只修正调用顺畅度与摩擦，不可直接翻译为理想伴侣五行、十神或必然互补。</x:v>
      </x:c>
      <x:c r="S211" s="46" t="str">
        <x:v>真合化成立时按化神功能重算用户交换需求；合化争议时停止细化交换通道。</x:v>
      </x:c>
      <x:c r="T211" s="46" t="str">
        <x:v>近位提高该交换议题进入关系核心的可能；远位只保留背景或阶段性观察。</x:v>
      </x:c>
      <x:c r="U211" s="46" t="str">
        <x:v>78</x:v>
      </x:c>
      <x:c r="V211" s="46" t="str">
        <x:v>不加分；现实核验</x:v>
      </x:c>
      <x:c r="W211" s="46" t="str">
        <x:v>observation_plan</x:v>
      </x:c>
      <x:c r="X211" s="46" t="str">
        <x:v>模式必须由双方请求、回应、负荷和重订共同验证。</x:v>
      </x:c>
      <x:c r="Y211" s="46" t="str">
        <x:v>要看这套交换是否能在现实变化后继续运行。</x:v>
      </x:c>
      <x:c r="Z21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11" s="46" t="str">
        <x:v>中</x:v>
      </x:c>
      <x:c r="AB211" s="46" t="str">
        <x:v>待验证</x:v>
      </x:c>
      <x:c r="AC211" s="46" t="str"/>
      <x:c r="AD211" s="46" t="str">
        <x:v>exchange_mode=EM12; provisional=true; rule_group=EXCHANGE-EM模式</x:v>
      </x:c>
      <x:c r="AE211" s="46" t="str">
        <x:v>0.4</x:v>
      </x:c>
    </x:row>
    <x:row r="212" ht="50" customHeight="1">
      <x:c r="A212" s="46" t="str">
        <x:v>M5-EXCHANGE-211</x:v>
      </x:c>
      <x:c r="B212" s="46" t="str">
        <x:v>XR01 稳定双向交换｜正式定义</x:v>
      </x:c>
      <x:c r="C212" s="46" t="str">
        <x:v>L4 交换状态</x:v>
      </x:c>
      <x:c r="D212" s="46" t="str">
        <x:v>EXCHANGE-XR状态</x:v>
      </x:c>
      <x:c r="E212" s="46" t="str">
        <x:v>通用</x:v>
      </x:c>
      <x:c r="F212" s="46" t="str">
        <x:v>定义</x:v>
      </x:c>
      <x:c r="G212" s="46" t="str">
        <x:v>XR01</x:v>
      </x:c>
      <x:c r="H212" s="46" t="str">
        <x:v>稳定双向交换</x:v>
      </x:c>
      <x:c r="I212" s="46" t="str">
        <x:v>XV4以上；ED02、ED03、ED07、ED09至少三项可靠。</x:v>
      </x:c>
      <x:c r="J212" s="46" t="str">
        <x:v>PR0安全停止。</x:v>
      </x:c>
      <x:c r="K212" s="46" t="str">
        <x:v>由共享基础引擎、M3与M5-BASE提供；只修正用户怎样给予、请求、接收和回馈，不直接判断双方现实交换质量。</x:v>
      </x:c>
      <x:c r="L212" s="46" t="str">
        <x:v>M2只说明进入关系所需资格证据；不能替代长期双向交换、负荷与修复验证。</x:v>
      </x:c>
      <x:c r="M212" s="46" t="str">
        <x:v>M3-BASE、EXPR、CARE和BOUND提供用户自然互动通道；M5-EXCHANGE负责把两人的实际行为合成为交换结构。</x:v>
      </x:c>
      <x:c r="N212" s="46" t="str">
        <x:v>无／按本规则指定的给予—请求—接收—反馈—重订路径路由。</x:v>
      </x:c>
      <x:c r="O212" s="46" t="str">
        <x:v>近位、远位只修正该交换需求进入亲密关系核心的可能；不得据此判断具体伴侣现实中一定配合。</x:v>
      </x:c>
      <x:c r="P212" s="46" t="str">
        <x:v>根气只修正用户交换需求和通道是否稳定重复，不等于双方已形成成熟互惠。</x:v>
      </x:c>
      <x:c r="Q212" s="46" t="str">
        <x:v>旺弱只修正通道调用强度、抢位或缺位风险，不直接等于交换公平或关系质量。</x:v>
      </x:c>
      <x:c r="R212" s="46" t="str">
        <x:v>喜忌只修正调用顺畅度与摩擦，不可直接翻译为理想伴侣五行、十神或必然互补。</x:v>
      </x:c>
      <x:c r="S212" s="46" t="str">
        <x:v>真合化成立时按化神功能重算用户交换需求；合化争议时停止细化交换通道。</x:v>
      </x:c>
      <x:c r="T212" s="46" t="str">
        <x:v>近位提高该交换议题进入关系核心的可能；远位只保留背景或阶段性观察。</x:v>
      </x:c>
      <x:c r="U212" s="46" t="str">
        <x:v>94</x:v>
      </x:c>
      <x:c r="V212" s="46" t="str">
        <x:v>不加分；状态定义</x:v>
      </x:c>
      <x:c r="W212" s="46" t="str">
        <x:v>exchange_state</x:v>
      </x:c>
      <x:c r="X212" s="46" t="str">
        <x:v>双方都能给予、请求、接收和回馈，交换可持续、可重订。</x:v>
      </x:c>
      <x:c r="Y212" s="46" t="str">
        <x:v>这段关系的支持和投入能够双向流动，也能随着现实变化重新调整。</x:v>
      </x:c>
      <x:c r="Z21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12" s="46" t="str">
        <x:v>高</x:v>
      </x:c>
      <x:c r="AB212" s="46" t="str">
        <x:v>待验证</x:v>
      </x:c>
      <x:c r="AC212" s="46" t="str"/>
      <x:c r="AD212" s="46" t="str">
        <x:v>exchange_state=XR01; provisional=true; rule_group=EXCHANGE-XR状态</x:v>
      </x:c>
      <x:c r="AE212" s="46" t="str">
        <x:v>0.4</x:v>
      </x:c>
    </x:row>
    <x:row r="213" ht="50" customHeight="1">
      <x:c r="A213" s="46" t="str">
        <x:v>M5-EXCHANGE-212</x:v>
      </x:c>
      <x:c r="B213" s="46" t="str">
        <x:v>XR01 稳定双向交换｜成立条件</x:v>
      </x:c>
      <x:c r="C213" s="46" t="str">
        <x:v>L4 交换状态</x:v>
      </x:c>
      <x:c r="D213" s="46" t="str">
        <x:v>EXCHANGE-XR状态</x:v>
      </x:c>
      <x:c r="E213" s="46" t="str">
        <x:v>通用</x:v>
      </x:c>
      <x:c r="F213" s="46" t="str">
        <x:v>门控</x:v>
      </x:c>
      <x:c r="G213" s="46" t="str">
        <x:v>XR01</x:v>
      </x:c>
      <x:c r="H213" s="46" t="str">
        <x:v>稳定双向交换</x:v>
      </x:c>
      <x:c r="I213" s="46" t="str">
        <x:v>XV4以上；ED02、ED03、ED07、ED09至少三项可靠。</x:v>
      </x:c>
      <x:c r="J213" s="46" t="str">
        <x:v>只有命盘结构、同源重复或一次事件。</x:v>
      </x:c>
      <x:c r="K213" s="46" t="str">
        <x:v>由共享基础引擎、M3与M5-BASE提供；只修正用户怎样给予、请求、接收和回馈，不直接判断双方现实交换质量。</x:v>
      </x:c>
      <x:c r="L213" s="46" t="str">
        <x:v>M2只说明进入关系所需资格证据；不能替代长期双向交换、负荷与修复验证。</x:v>
      </x:c>
      <x:c r="M213" s="46" t="str">
        <x:v>M3-BASE、EXPR、CARE和BOUND提供用户自然互动通道；M5-EXCHANGE负责把两人的实际行为合成为交换结构。</x:v>
      </x:c>
      <x:c r="N213" s="46" t="str">
        <x:v>无／按本规则指定的给予—请求—接收—反馈—重订路径路由。</x:v>
      </x:c>
      <x:c r="O213" s="46" t="str">
        <x:v>近位、远位只修正该交换需求进入亲密关系核心的可能；不得据此判断具体伴侣现实中一定配合。</x:v>
      </x:c>
      <x:c r="P213" s="46" t="str">
        <x:v>根气只修正用户交换需求和通道是否稳定重复，不等于双方已形成成熟互惠。</x:v>
      </x:c>
      <x:c r="Q213" s="46" t="str">
        <x:v>旺弱只修正通道调用强度、抢位或缺位风险，不直接等于交换公平或关系质量。</x:v>
      </x:c>
      <x:c r="R213" s="46" t="str">
        <x:v>喜忌只修正调用顺畅度与摩擦，不可直接翻译为理想伴侣五行、十神或必然互补。</x:v>
      </x:c>
      <x:c r="S213" s="46" t="str">
        <x:v>真合化成立时按化神功能重算用户交换需求；合化争议时停止细化交换通道。</x:v>
      </x:c>
      <x:c r="T213" s="46" t="str">
        <x:v>近位提高该交换议题进入关系核心的可能；远位只保留背景或阶段性观察。</x:v>
      </x:c>
      <x:c r="U213" s="46" t="str">
        <x:v>90</x:v>
      </x:c>
      <x:c r="V213" s="46" t="str">
        <x:v>状态路由</x:v>
      </x:c>
      <x:c r="W213" s="46" t="str">
        <x:v>exchange_state</x:v>
      </x:c>
      <x:c r="X213" s="46" t="str">
        <x:v>稳定双向交换必须满足：XV4以上；ED02、ED03、ED07、ED09至少三项可靠。</x:v>
      </x:c>
      <x:c r="Y213" s="46" t="str">
        <x:v>判断到稳定双向交换，需要看到：XV4以上；ED02、ED03、ED07、ED09至少三项可靠。</x:v>
      </x:c>
      <x:c r="Z21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13" s="46" t="str">
        <x:v>中高</x:v>
      </x:c>
      <x:c r="AB213" s="46" t="str">
        <x:v>待验证</x:v>
      </x:c>
      <x:c r="AC213" s="46" t="str"/>
      <x:c r="AD213" s="46" t="str">
        <x:v>exchange_state=XR01; provisional=true; rule_group=EXCHANGE-XR状态</x:v>
      </x:c>
      <x:c r="AE213" s="46" t="str">
        <x:v>0.4</x:v>
      </x:c>
    </x:row>
    <x:row r="214" ht="50" customHeight="1">
      <x:c r="A214" s="46" t="str">
        <x:v>M5-EXCHANGE-213</x:v>
      </x:c>
      <x:c r="B214" s="46" t="str">
        <x:v>XR01 稳定双向交换｜报告处理</x:v>
      </x:c>
      <x:c r="C214" s="46" t="str">
        <x:v>L4 交换状态</x:v>
      </x:c>
      <x:c r="D214" s="46" t="str">
        <x:v>EXCHANGE-XR状态</x:v>
      </x:c>
      <x:c r="E214" s="46" t="str">
        <x:v>通用</x:v>
      </x:c>
      <x:c r="F214" s="46" t="str">
        <x:v>路由</x:v>
      </x:c>
      <x:c r="G214" s="46" t="str">
        <x:v>XR01</x:v>
      </x:c>
      <x:c r="H214" s="46" t="str">
        <x:v>稳定双向交换</x:v>
      </x:c>
      <x:c r="I214" s="46" t="str">
        <x:v>XV4以上；ED02、ED03、ED07、ED09至少三项可靠。</x:v>
      </x:c>
      <x:c r="J214" s="46" t="str">
        <x:v>资料与状态不一致。</x:v>
      </x:c>
      <x:c r="K214" s="46" t="str">
        <x:v>由共享基础引擎、M3与M5-BASE提供；只修正用户怎样给予、请求、接收和回馈，不直接判断双方现实交换质量。</x:v>
      </x:c>
      <x:c r="L214" s="46" t="str">
        <x:v>M2只说明进入关系所需资格证据；不能替代长期双向交换、负荷与修复验证。</x:v>
      </x:c>
      <x:c r="M214" s="46" t="str">
        <x:v>M3-BASE、EXPR、CARE和BOUND提供用户自然互动通道；M5-EXCHANGE负责把两人的实际行为合成为交换结构。</x:v>
      </x:c>
      <x:c r="N214" s="46" t="str">
        <x:v>无／按本规则指定的给予—请求—接收—反馈—重订路径路由。</x:v>
      </x:c>
      <x:c r="O214" s="46" t="str">
        <x:v>近位、远位只修正该交换需求进入亲密关系核心的可能；不得据此判断具体伴侣现实中一定配合。</x:v>
      </x:c>
      <x:c r="P214" s="46" t="str">
        <x:v>根气只修正用户交换需求和通道是否稳定重复，不等于双方已形成成熟互惠。</x:v>
      </x:c>
      <x:c r="Q214" s="46" t="str">
        <x:v>旺弱只修正通道调用强度、抢位或缺位风险，不直接等于交换公平或关系质量。</x:v>
      </x:c>
      <x:c r="R214" s="46" t="str">
        <x:v>喜忌只修正调用顺畅度与摩擦，不可直接翻译为理想伴侣五行、十神或必然互补。</x:v>
      </x:c>
      <x:c r="S214" s="46" t="str">
        <x:v>真合化成立时按化神功能重算用户交换需求；合化争议时停止细化交换通道。</x:v>
      </x:c>
      <x:c r="T214" s="46" t="str">
        <x:v>近位提高该交换议题进入关系核心的可能；远位只保留背景或阶段性观察。</x:v>
      </x:c>
      <x:c r="U214" s="46" t="str">
        <x:v>86</x:v>
      </x:c>
      <x:c r="V214" s="46" t="str">
        <x:v>路由／降级</x:v>
      </x:c>
      <x:c r="W214" s="46" t="str">
        <x:v>report_status</x:v>
      </x:c>
      <x:c r="X214" s="46" t="str">
        <x:v>可作为较成熟交换候选；最终FG仍需现实门槛综合。</x:v>
      </x:c>
      <x:c r="Y214" s="46" t="str">
        <x:v>这段关系的支持和投入能够双向流动，也能随着现实变化重新调整。</x:v>
      </x:c>
      <x:c r="Z21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14" s="46" t="str">
        <x:v>中高</x:v>
      </x:c>
      <x:c r="AB214" s="46" t="str">
        <x:v>待验证</x:v>
      </x:c>
      <x:c r="AC214" s="46" t="str"/>
      <x:c r="AD214" s="46" t="str">
        <x:v>exchange_state=XR01; provisional=true; rule_group=EXCHANGE-XR状态</x:v>
      </x:c>
      <x:c r="AE214" s="46" t="str">
        <x:v>0.4</x:v>
      </x:c>
    </x:row>
    <x:row r="215" ht="50" customHeight="1">
      <x:c r="A215" s="46" t="str">
        <x:v>M5-EXCHANGE-214</x:v>
      </x:c>
      <x:c r="B215" s="46" t="str">
        <x:v>XR01 稳定双向交换｜升级与降级</x:v>
      </x:c>
      <x:c r="C215" s="46" t="str">
        <x:v>L4 交换状态</x:v>
      </x:c>
      <x:c r="D215" s="46" t="str">
        <x:v>EXCHANGE-XR状态</x:v>
      </x:c>
      <x:c r="E215" s="46" t="str">
        <x:v>通用</x:v>
      </x:c>
      <x:c r="F215" s="46" t="str">
        <x:v>证据</x:v>
      </x:c>
      <x:c r="G215" s="46" t="str">
        <x:v>XR01</x:v>
      </x:c>
      <x:c r="H215" s="46" t="str">
        <x:v>稳定双向交换</x:v>
      </x:c>
      <x:c r="I215" s="46" t="str">
        <x:v>至少两类独立双人事件来源。</x:v>
      </x:c>
      <x:c r="J215" s="46" t="str">
        <x:v>只因一方很会付出或双方十神相合。</x:v>
      </x:c>
      <x:c r="K215" s="46" t="str">
        <x:v>由共享基础引擎、M3与M5-BASE提供；只修正用户怎样给予、请求、接收和回馈，不直接判断双方现实交换质量。</x:v>
      </x:c>
      <x:c r="L215" s="46" t="str">
        <x:v>M2只说明进入关系所需资格证据；不能替代长期双向交换、负荷与修复验证。</x:v>
      </x:c>
      <x:c r="M215" s="46" t="str">
        <x:v>M3-BASE、EXPR、CARE和BOUND提供用户自然互动通道；M5-EXCHANGE负责把两人的实际行为合成为交换结构。</x:v>
      </x:c>
      <x:c r="N215" s="46" t="str">
        <x:v>无／按本规则指定的给予—请求—接收—反馈—重订路径路由。</x:v>
      </x:c>
      <x:c r="O215" s="46" t="str">
        <x:v>近位、远位只修正该交换需求进入亲密关系核心的可能；不得据此判断具体伴侣现实中一定配合。</x:v>
      </x:c>
      <x:c r="P215" s="46" t="str">
        <x:v>根气只修正用户交换需求和通道是否稳定重复，不等于双方已形成成熟互惠。</x:v>
      </x:c>
      <x:c r="Q215" s="46" t="str">
        <x:v>旺弱只修正通道调用强度、抢位或缺位风险，不直接等于交换公平或关系质量。</x:v>
      </x:c>
      <x:c r="R215" s="46" t="str">
        <x:v>喜忌只修正调用顺畅度与摩擦，不可直接翻译为理想伴侣五行、十神或必然互补。</x:v>
      </x:c>
      <x:c r="S215" s="46" t="str">
        <x:v>真合化成立时按化神功能重算用户交换需求；合化争议时停止细化交换通道。</x:v>
      </x:c>
      <x:c r="T215" s="46" t="str">
        <x:v>近位提高该交换议题进入关系核心的可能；远位只保留背景或阶段性观察。</x:v>
      </x:c>
      <x:c r="U215" s="46" t="str">
        <x:v>82</x:v>
      </x:c>
      <x:c r="V215" s="46" t="str">
        <x:v>±8至±20</x:v>
      </x:c>
      <x:c r="W215" s="46" t="str">
        <x:v>exchange_evidence_level</x:v>
      </x:c>
      <x:c r="X215" s="46" t="str">
        <x:v>XR状态随现实交换证据变化，不由命理分值直接锁定。</x:v>
      </x:c>
      <x:c r="Y215" s="46" t="str">
        <x:v>随着双方现实行为增加，这个判断可以升级或降级。</x:v>
      </x:c>
      <x:c r="Z21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15" s="46" t="str">
        <x:v>中</x:v>
      </x:c>
      <x:c r="AB215" s="46" t="str">
        <x:v>待验证</x:v>
      </x:c>
      <x:c r="AC215" s="46" t="str"/>
      <x:c r="AD215" s="46" t="str">
        <x:v>exchange_state=XR01; provisional=true; rule_group=EXCHANGE-XR状态</x:v>
      </x:c>
      <x:c r="AE215" s="46" t="str">
        <x:v>0.4</x:v>
      </x:c>
    </x:row>
    <x:row r="216" ht="50" customHeight="1">
      <x:c r="A216" s="46" t="str">
        <x:v>M5-EXCHANGE-215</x:v>
      </x:c>
      <x:c r="B216" s="46" t="str">
        <x:v>XR01 稳定双向交换｜禁止人格化</x:v>
      </x:c>
      <x:c r="C216" s="46" t="str">
        <x:v>L4 交换状态</x:v>
      </x:c>
      <x:c r="D216" s="46" t="str">
        <x:v>EXCHANGE-XR状态</x:v>
      </x:c>
      <x:c r="E216" s="46" t="str">
        <x:v>通用</x:v>
      </x:c>
      <x:c r="F216" s="46" t="str">
        <x:v>边界</x:v>
      </x:c>
      <x:c r="G216" s="46" t="str">
        <x:v>XR01</x:v>
      </x:c>
      <x:c r="H216" s="46" t="str">
        <x:v>稳定双向交换</x:v>
      </x:c>
      <x:c r="I216" s="46" t="str">
        <x:v>输出XR状态。</x:v>
      </x:c>
      <x:c r="J216" s="46" t="str">
        <x:v>现实存在剥削、控制或伤害时按事实说明。</x:v>
      </x:c>
      <x:c r="K216" s="46" t="str">
        <x:v>由共享基础引擎、M3与M5-BASE提供；只修正用户怎样给予、请求、接收和回馈，不直接判断双方现实交换质量。</x:v>
      </x:c>
      <x:c r="L216" s="46" t="str">
        <x:v>M2只说明进入关系所需资格证据；不能替代长期双向交换、负荷与修复验证。</x:v>
      </x:c>
      <x:c r="M216" s="46" t="str">
        <x:v>M3-BASE、EXPR、CARE和BOUND提供用户自然互动通道；M5-EXCHANGE负责把两人的实际行为合成为交换结构。</x:v>
      </x:c>
      <x:c r="N216" s="46" t="str">
        <x:v>无／按本规则指定的给予—请求—接收—反馈—重订路径路由。</x:v>
      </x:c>
      <x:c r="O216" s="46" t="str">
        <x:v>近位、远位只修正该交换需求进入亲密关系核心的可能；不得据此判断具体伴侣现实中一定配合。</x:v>
      </x:c>
      <x:c r="P216" s="46" t="str">
        <x:v>根气只修正用户交换需求和通道是否稳定重复，不等于双方已形成成熟互惠。</x:v>
      </x:c>
      <x:c r="Q216" s="46" t="str">
        <x:v>旺弱只修正通道调用强度、抢位或缺位风险，不直接等于交换公平或关系质量。</x:v>
      </x:c>
      <x:c r="R216" s="46" t="str">
        <x:v>喜忌只修正调用顺畅度与摩擦，不可直接翻译为理想伴侣五行、十神或必然互补。</x:v>
      </x:c>
      <x:c r="S216" s="46" t="str">
        <x:v>真合化成立时按化神功能重算用户交换需求；合化争议时停止细化交换通道。</x:v>
      </x:c>
      <x:c r="T216" s="46" t="str">
        <x:v>近位提高该交换议题进入关系核心的可能；远位只保留背景或阶段性观察。</x:v>
      </x:c>
      <x:c r="U216" s="46" t="str">
        <x:v>98</x:v>
      </x:c>
      <x:c r="V216" s="46" t="str">
        <x:v>不加分；伦理边界</x:v>
      </x:c>
      <x:c r="W216" s="46" t="str">
        <x:v>boundary_note</x:v>
      </x:c>
      <x:c r="X216" s="46" t="str">
        <x:v>保持中性、具体、行为化。</x:v>
      </x:c>
      <x:c r="Y216" s="46" t="str">
        <x:v>这是交换结构的描述，不是给任何一方贴人格标签。</x:v>
      </x:c>
      <x:c r="Z21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16" s="46" t="str">
        <x:v>高</x:v>
      </x:c>
      <x:c r="AB216" s="46" t="str">
        <x:v>待验证</x:v>
      </x:c>
      <x:c r="AC216" s="46" t="str"/>
      <x:c r="AD216" s="46" t="str">
        <x:v>exchange_state=XR01; provisional=true; rule_group=EXCHANGE-XR状态</x:v>
      </x:c>
      <x:c r="AE216" s="46" t="str">
        <x:v>0.4</x:v>
      </x:c>
    </x:row>
    <x:row r="217" ht="50" customHeight="1">
      <x:c r="A217" s="46" t="str">
        <x:v>M5-EXCHANGE-216</x:v>
      </x:c>
      <x:c r="B217" s="46" t="str">
        <x:v>XR02 非对称但协商分工｜正式定义</x:v>
      </x:c>
      <x:c r="C217" s="46" t="str">
        <x:v>L4 交换状态</x:v>
      </x:c>
      <x:c r="D217" s="46" t="str">
        <x:v>EXCHANGE-XR状态</x:v>
      </x:c>
      <x:c r="E217" s="46" t="str">
        <x:v>通用</x:v>
      </x:c>
      <x:c r="F217" s="46" t="str">
        <x:v>定义</x:v>
      </x:c>
      <x:c r="G217" s="46" t="str">
        <x:v>XR02</x:v>
      </x:c>
      <x:c r="H217" s="46" t="str">
        <x:v>非对称但协商分工</x:v>
      </x:c>
      <x:c r="I217" s="46" t="str">
        <x:v>XV3以上；ED01、ED07、ED08可靠。</x:v>
      </x:c>
      <x:c r="J217" s="46" t="str">
        <x:v>PR0安全停止。</x:v>
      </x:c>
      <x:c r="K217" s="46" t="str">
        <x:v>由共享基础引擎、M3与M5-BASE提供；只修正用户怎样给予、请求、接收和回馈，不直接判断双方现实交换质量。</x:v>
      </x:c>
      <x:c r="L217" s="46" t="str">
        <x:v>M2只说明进入关系所需资格证据；不能替代长期双向交换、负荷与修复验证。</x:v>
      </x:c>
      <x:c r="M217" s="46" t="str">
        <x:v>M3-BASE、EXPR、CARE和BOUND提供用户自然互动通道；M5-EXCHANGE负责把两人的实际行为合成为交换结构。</x:v>
      </x:c>
      <x:c r="N217" s="46" t="str">
        <x:v>无／按本规则指定的给予—请求—接收—反馈—重订路径路由。</x:v>
      </x:c>
      <x:c r="O217" s="46" t="str">
        <x:v>近位、远位只修正该交换需求进入亲密关系核心的可能；不得据此判断具体伴侣现实中一定配合。</x:v>
      </x:c>
      <x:c r="P217" s="46" t="str">
        <x:v>根气只修正用户交换需求和通道是否稳定重复，不等于双方已形成成熟互惠。</x:v>
      </x:c>
      <x:c r="Q217" s="46" t="str">
        <x:v>旺弱只修正通道调用强度、抢位或缺位风险，不直接等于交换公平或关系质量。</x:v>
      </x:c>
      <x:c r="R217" s="46" t="str">
        <x:v>喜忌只修正调用顺畅度与摩擦，不可直接翻译为理想伴侣五行、十神或必然互补。</x:v>
      </x:c>
      <x:c r="S217" s="46" t="str">
        <x:v>真合化成立时按化神功能重算用户交换需求；合化争议时停止细化交换通道。</x:v>
      </x:c>
      <x:c r="T217" s="46" t="str">
        <x:v>近位提高该交换议题进入关系核心的可能；远位只保留背景或阶段性观察。</x:v>
      </x:c>
      <x:c r="U217" s="46" t="str">
        <x:v>94</x:v>
      </x:c>
      <x:c r="V217" s="46" t="str">
        <x:v>不加分；状态定义</x:v>
      </x:c>
      <x:c r="W217" s="46" t="str">
        <x:v>exchange_state</x:v>
      </x:c>
      <x:c r="X217" s="46" t="str">
        <x:v>贡献领域或数量不同，但双方知情、同意、认可且可重订。</x:v>
      </x:c>
      <x:c r="Y217" s="46" t="str">
        <x:v>你们不一定用相同方式付出，但彼此知道、认可，并能重新分配。</x:v>
      </x:c>
      <x:c r="Z21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17" s="46" t="str">
        <x:v>高</x:v>
      </x:c>
      <x:c r="AB217" s="46" t="str">
        <x:v>待验证</x:v>
      </x:c>
      <x:c r="AC217" s="46" t="str"/>
      <x:c r="AD217" s="46" t="str">
        <x:v>exchange_state=XR02; provisional=true; rule_group=EXCHANGE-XR状态</x:v>
      </x:c>
      <x:c r="AE217" s="46" t="str">
        <x:v>0.4</x:v>
      </x:c>
    </x:row>
    <x:row r="218" ht="50" customHeight="1">
      <x:c r="A218" s="46" t="str">
        <x:v>M5-EXCHANGE-217</x:v>
      </x:c>
      <x:c r="B218" s="46" t="str">
        <x:v>XR02 非对称但协商分工｜成立条件</x:v>
      </x:c>
      <x:c r="C218" s="46" t="str">
        <x:v>L4 交换状态</x:v>
      </x:c>
      <x:c r="D218" s="46" t="str">
        <x:v>EXCHANGE-XR状态</x:v>
      </x:c>
      <x:c r="E218" s="46" t="str">
        <x:v>通用</x:v>
      </x:c>
      <x:c r="F218" s="46" t="str">
        <x:v>门控</x:v>
      </x:c>
      <x:c r="G218" s="46" t="str">
        <x:v>XR02</x:v>
      </x:c>
      <x:c r="H218" s="46" t="str">
        <x:v>非对称但协商分工</x:v>
      </x:c>
      <x:c r="I218" s="46" t="str">
        <x:v>XV3以上；ED01、ED07、ED08可靠。</x:v>
      </x:c>
      <x:c r="J218" s="46" t="str">
        <x:v>只有命盘结构、同源重复或一次事件。</x:v>
      </x:c>
      <x:c r="K218" s="46" t="str">
        <x:v>由共享基础引擎、M3与M5-BASE提供；只修正用户怎样给予、请求、接收和回馈，不直接判断双方现实交换质量。</x:v>
      </x:c>
      <x:c r="L218" s="46" t="str">
        <x:v>M2只说明进入关系所需资格证据；不能替代长期双向交换、负荷与修复验证。</x:v>
      </x:c>
      <x:c r="M218" s="46" t="str">
        <x:v>M3-BASE、EXPR、CARE和BOUND提供用户自然互动通道；M5-EXCHANGE负责把两人的实际行为合成为交换结构。</x:v>
      </x:c>
      <x:c r="N218" s="46" t="str">
        <x:v>无／按本规则指定的给予—请求—接收—反馈—重订路径路由。</x:v>
      </x:c>
      <x:c r="O218" s="46" t="str">
        <x:v>近位、远位只修正该交换需求进入亲密关系核心的可能；不得据此判断具体伴侣现实中一定配合。</x:v>
      </x:c>
      <x:c r="P218" s="46" t="str">
        <x:v>根气只修正用户交换需求和通道是否稳定重复，不等于双方已形成成熟互惠。</x:v>
      </x:c>
      <x:c r="Q218" s="46" t="str">
        <x:v>旺弱只修正通道调用强度、抢位或缺位风险，不直接等于交换公平或关系质量。</x:v>
      </x:c>
      <x:c r="R218" s="46" t="str">
        <x:v>喜忌只修正调用顺畅度与摩擦，不可直接翻译为理想伴侣五行、十神或必然互补。</x:v>
      </x:c>
      <x:c r="S218" s="46" t="str">
        <x:v>真合化成立时按化神功能重算用户交换需求；合化争议时停止细化交换通道。</x:v>
      </x:c>
      <x:c r="T218" s="46" t="str">
        <x:v>近位提高该交换议题进入关系核心的可能；远位只保留背景或阶段性观察。</x:v>
      </x:c>
      <x:c r="U218" s="46" t="str">
        <x:v>90</x:v>
      </x:c>
      <x:c r="V218" s="46" t="str">
        <x:v>状态路由</x:v>
      </x:c>
      <x:c r="W218" s="46" t="str">
        <x:v>exchange_state</x:v>
      </x:c>
      <x:c r="X218" s="46" t="str">
        <x:v>非对称但协商分工必须满足：XV3以上；ED01、ED07、ED08可靠。</x:v>
      </x:c>
      <x:c r="Y218" s="46" t="str">
        <x:v>判断到非对称但协商分工，需要看到：XV3以上；ED01、ED07、ED08可靠。</x:v>
      </x:c>
      <x:c r="Z21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18" s="46" t="str">
        <x:v>中高</x:v>
      </x:c>
      <x:c r="AB218" s="46" t="str">
        <x:v>待验证</x:v>
      </x:c>
      <x:c r="AC218" s="46" t="str"/>
      <x:c r="AD218" s="46" t="str">
        <x:v>exchange_state=XR02; provisional=true; rule_group=EXCHANGE-XR状态</x:v>
      </x:c>
      <x:c r="AE218" s="46" t="str">
        <x:v>0.4</x:v>
      </x:c>
    </x:row>
    <x:row r="219" ht="50" customHeight="1">
      <x:c r="A219" s="46" t="str">
        <x:v>M5-EXCHANGE-218</x:v>
      </x:c>
      <x:c r="B219" s="46" t="str">
        <x:v>XR02 非对称但协商分工｜报告处理</x:v>
      </x:c>
      <x:c r="C219" s="46" t="str">
        <x:v>L4 交换状态</x:v>
      </x:c>
      <x:c r="D219" s="46" t="str">
        <x:v>EXCHANGE-XR状态</x:v>
      </x:c>
      <x:c r="E219" s="46" t="str">
        <x:v>通用</x:v>
      </x:c>
      <x:c r="F219" s="46" t="str">
        <x:v>路由</x:v>
      </x:c>
      <x:c r="G219" s="46" t="str">
        <x:v>XR02</x:v>
      </x:c>
      <x:c r="H219" s="46" t="str">
        <x:v>非对称但协商分工</x:v>
      </x:c>
      <x:c r="I219" s="46" t="str">
        <x:v>XV3以上；ED01、ED07、ED08可靠。</x:v>
      </x:c>
      <x:c r="J219" s="46" t="str">
        <x:v>资料与状态不一致。</x:v>
      </x:c>
      <x:c r="K219" s="46" t="str">
        <x:v>由共享基础引擎、M3与M5-BASE提供；只修正用户怎样给予、请求、接收和回馈，不直接判断双方现实交换质量。</x:v>
      </x:c>
      <x:c r="L219" s="46" t="str">
        <x:v>M2只说明进入关系所需资格证据；不能替代长期双向交换、负荷与修复验证。</x:v>
      </x:c>
      <x:c r="M219" s="46" t="str">
        <x:v>M3-BASE、EXPR、CARE和BOUND提供用户自然互动通道；M5-EXCHANGE负责把两人的实际行为合成为交换结构。</x:v>
      </x:c>
      <x:c r="N219" s="46" t="str">
        <x:v>无／按本规则指定的给予—请求—接收—反馈—重订路径路由。</x:v>
      </x:c>
      <x:c r="O219" s="46" t="str">
        <x:v>近位、远位只修正该交换需求进入亲密关系核心的可能；不得据此判断具体伴侣现实中一定配合。</x:v>
      </x:c>
      <x:c r="P219" s="46" t="str">
        <x:v>根气只修正用户交换需求和通道是否稳定重复，不等于双方已形成成熟互惠。</x:v>
      </x:c>
      <x:c r="Q219" s="46" t="str">
        <x:v>旺弱只修正通道调用强度、抢位或缺位风险，不直接等于交换公平或关系质量。</x:v>
      </x:c>
      <x:c r="R219" s="46" t="str">
        <x:v>喜忌只修正调用顺畅度与摩擦，不可直接翻译为理想伴侣五行、十神或必然互补。</x:v>
      </x:c>
      <x:c r="S219" s="46" t="str">
        <x:v>真合化成立时按化神功能重算用户交换需求；合化争议时停止细化交换通道。</x:v>
      </x:c>
      <x:c r="T219" s="46" t="str">
        <x:v>近位提高该交换议题进入关系核心的可能；远位只保留背景或阶段性观察。</x:v>
      </x:c>
      <x:c r="U219" s="46" t="str">
        <x:v>86</x:v>
      </x:c>
      <x:c r="V219" s="46" t="str">
        <x:v>路由／降级</x:v>
      </x:c>
      <x:c r="W219" s="46" t="str">
        <x:v>report_status</x:v>
      </x:c>
      <x:c r="X219" s="46" t="str">
        <x:v>不要求50/50；重点写分工和负荷。</x:v>
      </x:c>
      <x:c r="Y219" s="46" t="str">
        <x:v>你们不一定用相同方式付出，但彼此知道、认可，并能重新分配。</x:v>
      </x:c>
      <x:c r="Z21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19" s="46" t="str">
        <x:v>中高</x:v>
      </x:c>
      <x:c r="AB219" s="46" t="str">
        <x:v>待验证</x:v>
      </x:c>
      <x:c r="AC219" s="46" t="str"/>
      <x:c r="AD219" s="46" t="str">
        <x:v>exchange_state=XR02; provisional=true; rule_group=EXCHANGE-XR状态</x:v>
      </x:c>
      <x:c r="AE219" s="46" t="str">
        <x:v>0.4</x:v>
      </x:c>
    </x:row>
    <x:row r="220" ht="50" customHeight="1">
      <x:c r="A220" s="46" t="str">
        <x:v>M5-EXCHANGE-219</x:v>
      </x:c>
      <x:c r="B220" s="46" t="str">
        <x:v>XR02 非对称但协商分工｜升级与降级</x:v>
      </x:c>
      <x:c r="C220" s="46" t="str">
        <x:v>L4 交换状态</x:v>
      </x:c>
      <x:c r="D220" s="46" t="str">
        <x:v>EXCHANGE-XR状态</x:v>
      </x:c>
      <x:c r="E220" s="46" t="str">
        <x:v>通用</x:v>
      </x:c>
      <x:c r="F220" s="46" t="str">
        <x:v>证据</x:v>
      </x:c>
      <x:c r="G220" s="46" t="str">
        <x:v>XR02</x:v>
      </x:c>
      <x:c r="H220" s="46" t="str">
        <x:v>非对称但协商分工</x:v>
      </x:c>
      <x:c r="I220" s="46" t="str">
        <x:v>至少两类独立双人事件来源。</x:v>
      </x:c>
      <x:c r="J220" s="46" t="str">
        <x:v>只因一方很会付出或双方十神相合。</x:v>
      </x:c>
      <x:c r="K220" s="46" t="str">
        <x:v>由共享基础引擎、M3与M5-BASE提供；只修正用户怎样给予、请求、接收和回馈，不直接判断双方现实交换质量。</x:v>
      </x:c>
      <x:c r="L220" s="46" t="str">
        <x:v>M2只说明进入关系所需资格证据；不能替代长期双向交换、负荷与修复验证。</x:v>
      </x:c>
      <x:c r="M220" s="46" t="str">
        <x:v>M3-BASE、EXPR、CARE和BOUND提供用户自然互动通道；M5-EXCHANGE负责把两人的实际行为合成为交换结构。</x:v>
      </x:c>
      <x:c r="N220" s="46" t="str">
        <x:v>无／按本规则指定的给予—请求—接收—反馈—重订路径路由。</x:v>
      </x:c>
      <x:c r="O220" s="46" t="str">
        <x:v>近位、远位只修正该交换需求进入亲密关系核心的可能；不得据此判断具体伴侣现实中一定配合。</x:v>
      </x:c>
      <x:c r="P220" s="46" t="str">
        <x:v>根气只修正用户交换需求和通道是否稳定重复，不等于双方已形成成熟互惠。</x:v>
      </x:c>
      <x:c r="Q220" s="46" t="str">
        <x:v>旺弱只修正通道调用强度、抢位或缺位风险，不直接等于交换公平或关系质量。</x:v>
      </x:c>
      <x:c r="R220" s="46" t="str">
        <x:v>喜忌只修正调用顺畅度与摩擦，不可直接翻译为理想伴侣五行、十神或必然互补。</x:v>
      </x:c>
      <x:c r="S220" s="46" t="str">
        <x:v>真合化成立时按化神功能重算用户交换需求；合化争议时停止细化交换通道。</x:v>
      </x:c>
      <x:c r="T220" s="46" t="str">
        <x:v>近位提高该交换议题进入关系核心的可能；远位只保留背景或阶段性观察。</x:v>
      </x:c>
      <x:c r="U220" s="46" t="str">
        <x:v>82</x:v>
      </x:c>
      <x:c r="V220" s="46" t="str">
        <x:v>±8至±20</x:v>
      </x:c>
      <x:c r="W220" s="46" t="str">
        <x:v>exchange_evidence_level</x:v>
      </x:c>
      <x:c r="X220" s="46" t="str">
        <x:v>XR状态随现实交换证据变化，不由命理分值直接锁定。</x:v>
      </x:c>
      <x:c r="Y220" s="46" t="str">
        <x:v>随着双方现实行为增加，这个判断可以升级或降级。</x:v>
      </x:c>
      <x:c r="Z22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20" s="46" t="str">
        <x:v>中</x:v>
      </x:c>
      <x:c r="AB220" s="46" t="str">
        <x:v>待验证</x:v>
      </x:c>
      <x:c r="AC220" s="46" t="str"/>
      <x:c r="AD220" s="46" t="str">
        <x:v>exchange_state=XR02; provisional=true; rule_group=EXCHANGE-XR状态</x:v>
      </x:c>
      <x:c r="AE220" s="46" t="str">
        <x:v>0.4</x:v>
      </x:c>
    </x:row>
    <x:row r="221" ht="50" customHeight="1">
      <x:c r="A221" s="46" t="str">
        <x:v>M5-EXCHANGE-220</x:v>
      </x:c>
      <x:c r="B221" s="46" t="str">
        <x:v>XR02 非对称但协商分工｜禁止人格化</x:v>
      </x:c>
      <x:c r="C221" s="46" t="str">
        <x:v>L4 交换状态</x:v>
      </x:c>
      <x:c r="D221" s="46" t="str">
        <x:v>EXCHANGE-XR状态</x:v>
      </x:c>
      <x:c r="E221" s="46" t="str">
        <x:v>通用</x:v>
      </x:c>
      <x:c r="F221" s="46" t="str">
        <x:v>边界</x:v>
      </x:c>
      <x:c r="G221" s="46" t="str">
        <x:v>XR02</x:v>
      </x:c>
      <x:c r="H221" s="46" t="str">
        <x:v>非对称但协商分工</x:v>
      </x:c>
      <x:c r="I221" s="46" t="str">
        <x:v>输出XR状态。</x:v>
      </x:c>
      <x:c r="J221" s="46" t="str">
        <x:v>现实存在剥削、控制或伤害时按事实说明。</x:v>
      </x:c>
      <x:c r="K221" s="46" t="str">
        <x:v>由共享基础引擎、M3与M5-BASE提供；只修正用户怎样给予、请求、接收和回馈，不直接判断双方现实交换质量。</x:v>
      </x:c>
      <x:c r="L221" s="46" t="str">
        <x:v>M2只说明进入关系所需资格证据；不能替代长期双向交换、负荷与修复验证。</x:v>
      </x:c>
      <x:c r="M221" s="46" t="str">
        <x:v>M3-BASE、EXPR、CARE和BOUND提供用户自然互动通道；M5-EXCHANGE负责把两人的实际行为合成为交换结构。</x:v>
      </x:c>
      <x:c r="N221" s="46" t="str">
        <x:v>无／按本规则指定的给予—请求—接收—反馈—重订路径路由。</x:v>
      </x:c>
      <x:c r="O221" s="46" t="str">
        <x:v>近位、远位只修正该交换需求进入亲密关系核心的可能；不得据此判断具体伴侣现实中一定配合。</x:v>
      </x:c>
      <x:c r="P221" s="46" t="str">
        <x:v>根气只修正用户交换需求和通道是否稳定重复，不等于双方已形成成熟互惠。</x:v>
      </x:c>
      <x:c r="Q221" s="46" t="str">
        <x:v>旺弱只修正通道调用强度、抢位或缺位风险，不直接等于交换公平或关系质量。</x:v>
      </x:c>
      <x:c r="R221" s="46" t="str">
        <x:v>喜忌只修正调用顺畅度与摩擦，不可直接翻译为理想伴侣五行、十神或必然互补。</x:v>
      </x:c>
      <x:c r="S221" s="46" t="str">
        <x:v>真合化成立时按化神功能重算用户交换需求；合化争议时停止细化交换通道。</x:v>
      </x:c>
      <x:c r="T221" s="46" t="str">
        <x:v>近位提高该交换议题进入关系核心的可能；远位只保留背景或阶段性观察。</x:v>
      </x:c>
      <x:c r="U221" s="46" t="str">
        <x:v>98</x:v>
      </x:c>
      <x:c r="V221" s="46" t="str">
        <x:v>不加分；伦理边界</x:v>
      </x:c>
      <x:c r="W221" s="46" t="str">
        <x:v>boundary_note</x:v>
      </x:c>
      <x:c r="X221" s="46" t="str">
        <x:v>保持中性、具体、行为化。</x:v>
      </x:c>
      <x:c r="Y221" s="46" t="str">
        <x:v>这是交换结构的描述，不是给任何一方贴人格标签。</x:v>
      </x:c>
      <x:c r="Z22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21" s="46" t="str">
        <x:v>高</x:v>
      </x:c>
      <x:c r="AB221" s="46" t="str">
        <x:v>待验证</x:v>
      </x:c>
      <x:c r="AC221" s="46" t="str"/>
      <x:c r="AD221" s="46" t="str">
        <x:v>exchange_state=XR02; provisional=true; rule_group=EXCHANGE-XR状态</x:v>
      </x:c>
      <x:c r="AE221" s="46" t="str">
        <x:v>0.4</x:v>
      </x:c>
    </x:row>
    <x:row r="222" ht="50" customHeight="1">
      <x:c r="A222" s="46" t="str">
        <x:v>M5-EXCHANGE-221</x:v>
      </x:c>
      <x:c r="B222" s="46" t="str">
        <x:v>XR03 错峰但长期平衡｜正式定义</x:v>
      </x:c>
      <x:c r="C222" s="46" t="str">
        <x:v>L4 交换状态</x:v>
      </x:c>
      <x:c r="D222" s="46" t="str">
        <x:v>EXCHANGE-XR状态</x:v>
      </x:c>
      <x:c r="E222" s="46" t="str">
        <x:v>通用</x:v>
      </x:c>
      <x:c r="F222" s="46" t="str">
        <x:v>定义</x:v>
      </x:c>
      <x:c r="G222" s="46" t="str">
        <x:v>XR03</x:v>
      </x:c>
      <x:c r="H222" s="46" t="str">
        <x:v>错峰但长期平衡</x:v>
      </x:c>
      <x:c r="I222" s="46" t="str">
        <x:v>XV4以上；ED06和ED09可靠，存在清楚回馈点。</x:v>
      </x:c>
      <x:c r="J222" s="46" t="str">
        <x:v>PR0安全停止。</x:v>
      </x:c>
      <x:c r="K222" s="46" t="str">
        <x:v>由共享基础引擎、M3与M5-BASE提供；只修正用户怎样给予、请求、接收和回馈，不直接判断双方现实交换质量。</x:v>
      </x:c>
      <x:c r="L222" s="46" t="str">
        <x:v>M2只说明进入关系所需资格证据；不能替代长期双向交换、负荷与修复验证。</x:v>
      </x:c>
      <x:c r="M222" s="46" t="str">
        <x:v>M3-BASE、EXPR、CARE和BOUND提供用户自然互动通道；M5-EXCHANGE负责把两人的实际行为合成为交换结构。</x:v>
      </x:c>
      <x:c r="N222" s="46" t="str">
        <x:v>无／按本规则指定的给予—请求—接收—反馈—重订路径路由。</x:v>
      </x:c>
      <x:c r="O222" s="46" t="str">
        <x:v>近位、远位只修正该交换需求进入亲密关系核心的可能；不得据此判断具体伴侣现实中一定配合。</x:v>
      </x:c>
      <x:c r="P222" s="46" t="str">
        <x:v>根气只修正用户交换需求和通道是否稳定重复，不等于双方已形成成熟互惠。</x:v>
      </x:c>
      <x:c r="Q222" s="46" t="str">
        <x:v>旺弱只修正通道调用强度、抢位或缺位风险，不直接等于交换公平或关系质量。</x:v>
      </x:c>
      <x:c r="R222" s="46" t="str">
        <x:v>喜忌只修正调用顺畅度与摩擦，不可直接翻译为理想伴侣五行、十神或必然互补。</x:v>
      </x:c>
      <x:c r="S222" s="46" t="str">
        <x:v>真合化成立时按化神功能重算用户交换需求；合化争议时停止细化交换通道。</x:v>
      </x:c>
      <x:c r="T222" s="46" t="str">
        <x:v>近位提高该交换议题进入关系核心的可能；远位只保留背景或阶段性观察。</x:v>
      </x:c>
      <x:c r="U222" s="46" t="str">
        <x:v>94</x:v>
      </x:c>
      <x:c r="V222" s="46" t="str">
        <x:v>不加分；状态定义</x:v>
      </x:c>
      <x:c r="W222" s="46" t="str">
        <x:v>exchange_state</x:v>
      </x:c>
      <x:c r="X222" s="46" t="str">
        <x:v>某阶段由一方承担更多，另一方在后续阶段或其他领域回馈。</x:v>
      </x:c>
      <x:c r="Y222" s="46" t="str">
        <x:v>当前可能不是同时等量，但双方知道怎样在之后完成回流。</x:v>
      </x:c>
      <x:c r="Z22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22" s="46" t="str">
        <x:v>高</x:v>
      </x:c>
      <x:c r="AB222" s="46" t="str">
        <x:v>待验证</x:v>
      </x:c>
      <x:c r="AC222" s="46" t="str"/>
      <x:c r="AD222" s="46" t="str">
        <x:v>exchange_state=XR03; provisional=true; rule_group=EXCHANGE-XR状态</x:v>
      </x:c>
      <x:c r="AE222" s="46" t="str">
        <x:v>0.4</x:v>
      </x:c>
    </x:row>
    <x:row r="223" ht="50" customHeight="1">
      <x:c r="A223" s="46" t="str">
        <x:v>M5-EXCHANGE-222</x:v>
      </x:c>
      <x:c r="B223" s="46" t="str">
        <x:v>XR03 错峰但长期平衡｜成立条件</x:v>
      </x:c>
      <x:c r="C223" s="46" t="str">
        <x:v>L4 交换状态</x:v>
      </x:c>
      <x:c r="D223" s="46" t="str">
        <x:v>EXCHANGE-XR状态</x:v>
      </x:c>
      <x:c r="E223" s="46" t="str">
        <x:v>通用</x:v>
      </x:c>
      <x:c r="F223" s="46" t="str">
        <x:v>门控</x:v>
      </x:c>
      <x:c r="G223" s="46" t="str">
        <x:v>XR03</x:v>
      </x:c>
      <x:c r="H223" s="46" t="str">
        <x:v>错峰但长期平衡</x:v>
      </x:c>
      <x:c r="I223" s="46" t="str">
        <x:v>XV4以上；ED06和ED09可靠，存在清楚回馈点。</x:v>
      </x:c>
      <x:c r="J223" s="46" t="str">
        <x:v>只有命盘结构、同源重复或一次事件。</x:v>
      </x:c>
      <x:c r="K223" s="46" t="str">
        <x:v>由共享基础引擎、M3与M5-BASE提供；只修正用户怎样给予、请求、接收和回馈，不直接判断双方现实交换质量。</x:v>
      </x:c>
      <x:c r="L223" s="46" t="str">
        <x:v>M2只说明进入关系所需资格证据；不能替代长期双向交换、负荷与修复验证。</x:v>
      </x:c>
      <x:c r="M223" s="46" t="str">
        <x:v>M3-BASE、EXPR、CARE和BOUND提供用户自然互动通道；M5-EXCHANGE负责把两人的实际行为合成为交换结构。</x:v>
      </x:c>
      <x:c r="N223" s="46" t="str">
        <x:v>无／按本规则指定的给予—请求—接收—反馈—重订路径路由。</x:v>
      </x:c>
      <x:c r="O223" s="46" t="str">
        <x:v>近位、远位只修正该交换需求进入亲密关系核心的可能；不得据此判断具体伴侣现实中一定配合。</x:v>
      </x:c>
      <x:c r="P223" s="46" t="str">
        <x:v>根气只修正用户交换需求和通道是否稳定重复，不等于双方已形成成熟互惠。</x:v>
      </x:c>
      <x:c r="Q223" s="46" t="str">
        <x:v>旺弱只修正通道调用强度、抢位或缺位风险，不直接等于交换公平或关系质量。</x:v>
      </x:c>
      <x:c r="R223" s="46" t="str">
        <x:v>喜忌只修正调用顺畅度与摩擦，不可直接翻译为理想伴侣五行、十神或必然互补。</x:v>
      </x:c>
      <x:c r="S223" s="46" t="str">
        <x:v>真合化成立时按化神功能重算用户交换需求；合化争议时停止细化交换通道。</x:v>
      </x:c>
      <x:c r="T223" s="46" t="str">
        <x:v>近位提高该交换议题进入关系核心的可能；远位只保留背景或阶段性观察。</x:v>
      </x:c>
      <x:c r="U223" s="46" t="str">
        <x:v>90</x:v>
      </x:c>
      <x:c r="V223" s="46" t="str">
        <x:v>状态路由</x:v>
      </x:c>
      <x:c r="W223" s="46" t="str">
        <x:v>exchange_state</x:v>
      </x:c>
      <x:c r="X223" s="46" t="str">
        <x:v>错峰但长期平衡必须满足：XV4以上；ED06和ED09可靠，存在清楚回馈点。</x:v>
      </x:c>
      <x:c r="Y223" s="46" t="str">
        <x:v>判断到错峰但长期平衡，需要看到：XV4以上；ED06和ED09可靠，存在清楚回馈点。</x:v>
      </x:c>
      <x:c r="Z22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23" s="46" t="str">
        <x:v>中高</x:v>
      </x:c>
      <x:c r="AB223" s="46" t="str">
        <x:v>待验证</x:v>
      </x:c>
      <x:c r="AC223" s="46" t="str"/>
      <x:c r="AD223" s="46" t="str">
        <x:v>exchange_state=XR03; provisional=true; rule_group=EXCHANGE-XR状态</x:v>
      </x:c>
      <x:c r="AE223" s="46" t="str">
        <x:v>0.4</x:v>
      </x:c>
    </x:row>
    <x:row r="224" ht="50" customHeight="1">
      <x:c r="A224" s="46" t="str">
        <x:v>M5-EXCHANGE-223</x:v>
      </x:c>
      <x:c r="B224" s="46" t="str">
        <x:v>XR03 错峰但长期平衡｜报告处理</x:v>
      </x:c>
      <x:c r="C224" s="46" t="str">
        <x:v>L4 交换状态</x:v>
      </x:c>
      <x:c r="D224" s="46" t="str">
        <x:v>EXCHANGE-XR状态</x:v>
      </x:c>
      <x:c r="E224" s="46" t="str">
        <x:v>通用</x:v>
      </x:c>
      <x:c r="F224" s="46" t="str">
        <x:v>路由</x:v>
      </x:c>
      <x:c r="G224" s="46" t="str">
        <x:v>XR03</x:v>
      </x:c>
      <x:c r="H224" s="46" t="str">
        <x:v>错峰但长期平衡</x:v>
      </x:c>
      <x:c r="I224" s="46" t="str">
        <x:v>XV4以上；ED06和ED09可靠，存在清楚回馈点。</x:v>
      </x:c>
      <x:c r="J224" s="46" t="str">
        <x:v>资料与状态不一致。</x:v>
      </x:c>
      <x:c r="K224" s="46" t="str">
        <x:v>由共享基础引擎、M3与M5-BASE提供；只修正用户怎样给予、请求、接收和回馈，不直接判断双方现实交换质量。</x:v>
      </x:c>
      <x:c r="L224" s="46" t="str">
        <x:v>M2只说明进入关系所需资格证据；不能替代长期双向交换、负荷与修复验证。</x:v>
      </x:c>
      <x:c r="M224" s="46" t="str">
        <x:v>M3-BASE、EXPR、CARE和BOUND提供用户自然互动通道；M5-EXCHANGE负责把两人的实际行为合成为交换结构。</x:v>
      </x:c>
      <x:c r="N224" s="46" t="str">
        <x:v>无／按本规则指定的给予—请求—接收—反馈—重订路径路由。</x:v>
      </x:c>
      <x:c r="O224" s="46" t="str">
        <x:v>近位、远位只修正该交换需求进入亲密关系核心的可能；不得据此判断具体伴侣现实中一定配合。</x:v>
      </x:c>
      <x:c r="P224" s="46" t="str">
        <x:v>根气只修正用户交换需求和通道是否稳定重复，不等于双方已形成成熟互惠。</x:v>
      </x:c>
      <x:c r="Q224" s="46" t="str">
        <x:v>旺弱只修正通道调用强度、抢位或缺位风险，不直接等于交换公平或关系质量。</x:v>
      </x:c>
      <x:c r="R224" s="46" t="str">
        <x:v>喜忌只修正调用顺畅度与摩擦，不可直接翻译为理想伴侣五行、十神或必然互补。</x:v>
      </x:c>
      <x:c r="S224" s="46" t="str">
        <x:v>真合化成立时按化神功能重算用户交换需求；合化争议时停止细化交换通道。</x:v>
      </x:c>
      <x:c r="T224" s="46" t="str">
        <x:v>近位提高该交换议题进入关系核心的可能；远位只保留背景或阶段性观察。</x:v>
      </x:c>
      <x:c r="U224" s="46" t="str">
        <x:v>86</x:v>
      </x:c>
      <x:c r="V224" s="46" t="str">
        <x:v>路由／降级</x:v>
      </x:c>
      <x:c r="W224" s="46" t="str">
        <x:v>report_status</x:v>
      </x:c>
      <x:c r="X224" s="46" t="str">
        <x:v>写明当前不对称、后续回流和现实条件。</x:v>
      </x:c>
      <x:c r="Y224" s="46" t="str">
        <x:v>当前可能不是同时等量，但双方知道怎样在之后完成回流。</x:v>
      </x:c>
      <x:c r="Z22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24" s="46" t="str">
        <x:v>中高</x:v>
      </x:c>
      <x:c r="AB224" s="46" t="str">
        <x:v>待验证</x:v>
      </x:c>
      <x:c r="AC224" s="46" t="str"/>
      <x:c r="AD224" s="46" t="str">
        <x:v>exchange_state=XR03; provisional=true; rule_group=EXCHANGE-XR状态</x:v>
      </x:c>
      <x:c r="AE224" s="46" t="str">
        <x:v>0.4</x:v>
      </x:c>
    </x:row>
    <x:row r="225" ht="50" customHeight="1">
      <x:c r="A225" s="46" t="str">
        <x:v>M5-EXCHANGE-224</x:v>
      </x:c>
      <x:c r="B225" s="46" t="str">
        <x:v>XR03 错峰但长期平衡｜升级与降级</x:v>
      </x:c>
      <x:c r="C225" s="46" t="str">
        <x:v>L4 交换状态</x:v>
      </x:c>
      <x:c r="D225" s="46" t="str">
        <x:v>EXCHANGE-XR状态</x:v>
      </x:c>
      <x:c r="E225" s="46" t="str">
        <x:v>通用</x:v>
      </x:c>
      <x:c r="F225" s="46" t="str">
        <x:v>证据</x:v>
      </x:c>
      <x:c r="G225" s="46" t="str">
        <x:v>XR03</x:v>
      </x:c>
      <x:c r="H225" s="46" t="str">
        <x:v>错峰但长期平衡</x:v>
      </x:c>
      <x:c r="I225" s="46" t="str">
        <x:v>至少两类独立双人事件来源。</x:v>
      </x:c>
      <x:c r="J225" s="46" t="str">
        <x:v>只因一方很会付出或双方十神相合。</x:v>
      </x:c>
      <x:c r="K225" s="46" t="str">
        <x:v>由共享基础引擎、M3与M5-BASE提供；只修正用户怎样给予、请求、接收和回馈，不直接判断双方现实交换质量。</x:v>
      </x:c>
      <x:c r="L225" s="46" t="str">
        <x:v>M2只说明进入关系所需资格证据；不能替代长期双向交换、负荷与修复验证。</x:v>
      </x:c>
      <x:c r="M225" s="46" t="str">
        <x:v>M3-BASE、EXPR、CARE和BOUND提供用户自然互动通道；M5-EXCHANGE负责把两人的实际行为合成为交换结构。</x:v>
      </x:c>
      <x:c r="N225" s="46" t="str">
        <x:v>无／按本规则指定的给予—请求—接收—反馈—重订路径路由。</x:v>
      </x:c>
      <x:c r="O225" s="46" t="str">
        <x:v>近位、远位只修正该交换需求进入亲密关系核心的可能；不得据此判断具体伴侣现实中一定配合。</x:v>
      </x:c>
      <x:c r="P225" s="46" t="str">
        <x:v>根气只修正用户交换需求和通道是否稳定重复，不等于双方已形成成熟互惠。</x:v>
      </x:c>
      <x:c r="Q225" s="46" t="str">
        <x:v>旺弱只修正通道调用强度、抢位或缺位风险，不直接等于交换公平或关系质量。</x:v>
      </x:c>
      <x:c r="R225" s="46" t="str">
        <x:v>喜忌只修正调用顺畅度与摩擦，不可直接翻译为理想伴侣五行、十神或必然互补。</x:v>
      </x:c>
      <x:c r="S225" s="46" t="str">
        <x:v>真合化成立时按化神功能重算用户交换需求；合化争议时停止细化交换通道。</x:v>
      </x:c>
      <x:c r="T225" s="46" t="str">
        <x:v>近位提高该交换议题进入关系核心的可能；远位只保留背景或阶段性观察。</x:v>
      </x:c>
      <x:c r="U225" s="46" t="str">
        <x:v>82</x:v>
      </x:c>
      <x:c r="V225" s="46" t="str">
        <x:v>±8至±20</x:v>
      </x:c>
      <x:c r="W225" s="46" t="str">
        <x:v>exchange_evidence_level</x:v>
      </x:c>
      <x:c r="X225" s="46" t="str">
        <x:v>XR状态随现实交换证据变化，不由命理分值直接锁定。</x:v>
      </x:c>
      <x:c r="Y225" s="46" t="str">
        <x:v>随着双方现实行为增加，这个判断可以升级或降级。</x:v>
      </x:c>
      <x:c r="Z22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25" s="46" t="str">
        <x:v>中</x:v>
      </x:c>
      <x:c r="AB225" s="46" t="str">
        <x:v>待验证</x:v>
      </x:c>
      <x:c r="AC225" s="46" t="str"/>
      <x:c r="AD225" s="46" t="str">
        <x:v>exchange_state=XR03; provisional=true; rule_group=EXCHANGE-XR状态</x:v>
      </x:c>
      <x:c r="AE225" s="46" t="str">
        <x:v>0.4</x:v>
      </x:c>
    </x:row>
    <x:row r="226" ht="50" customHeight="1">
      <x:c r="A226" s="46" t="str">
        <x:v>M5-EXCHANGE-225</x:v>
      </x:c>
      <x:c r="B226" s="46" t="str">
        <x:v>XR03 错峰但长期平衡｜禁止人格化</x:v>
      </x:c>
      <x:c r="C226" s="46" t="str">
        <x:v>L4 交换状态</x:v>
      </x:c>
      <x:c r="D226" s="46" t="str">
        <x:v>EXCHANGE-XR状态</x:v>
      </x:c>
      <x:c r="E226" s="46" t="str">
        <x:v>通用</x:v>
      </x:c>
      <x:c r="F226" s="46" t="str">
        <x:v>边界</x:v>
      </x:c>
      <x:c r="G226" s="46" t="str">
        <x:v>XR03</x:v>
      </x:c>
      <x:c r="H226" s="46" t="str">
        <x:v>错峰但长期平衡</x:v>
      </x:c>
      <x:c r="I226" s="46" t="str">
        <x:v>输出XR状态。</x:v>
      </x:c>
      <x:c r="J226" s="46" t="str">
        <x:v>现实存在剥削、控制或伤害时按事实说明。</x:v>
      </x:c>
      <x:c r="K226" s="46" t="str">
        <x:v>由共享基础引擎、M3与M5-BASE提供；只修正用户怎样给予、请求、接收和回馈，不直接判断双方现实交换质量。</x:v>
      </x:c>
      <x:c r="L226" s="46" t="str">
        <x:v>M2只说明进入关系所需资格证据；不能替代长期双向交换、负荷与修复验证。</x:v>
      </x:c>
      <x:c r="M226" s="46" t="str">
        <x:v>M3-BASE、EXPR、CARE和BOUND提供用户自然互动通道；M5-EXCHANGE负责把两人的实际行为合成为交换结构。</x:v>
      </x:c>
      <x:c r="N226" s="46" t="str">
        <x:v>无／按本规则指定的给予—请求—接收—反馈—重订路径路由。</x:v>
      </x:c>
      <x:c r="O226" s="46" t="str">
        <x:v>近位、远位只修正该交换需求进入亲密关系核心的可能；不得据此判断具体伴侣现实中一定配合。</x:v>
      </x:c>
      <x:c r="P226" s="46" t="str">
        <x:v>根气只修正用户交换需求和通道是否稳定重复，不等于双方已形成成熟互惠。</x:v>
      </x:c>
      <x:c r="Q226" s="46" t="str">
        <x:v>旺弱只修正通道调用强度、抢位或缺位风险，不直接等于交换公平或关系质量。</x:v>
      </x:c>
      <x:c r="R226" s="46" t="str">
        <x:v>喜忌只修正调用顺畅度与摩擦，不可直接翻译为理想伴侣五行、十神或必然互补。</x:v>
      </x:c>
      <x:c r="S226" s="46" t="str">
        <x:v>真合化成立时按化神功能重算用户交换需求；合化争议时停止细化交换通道。</x:v>
      </x:c>
      <x:c r="T226" s="46" t="str">
        <x:v>近位提高该交换议题进入关系核心的可能；远位只保留背景或阶段性观察。</x:v>
      </x:c>
      <x:c r="U226" s="46" t="str">
        <x:v>98</x:v>
      </x:c>
      <x:c r="V226" s="46" t="str">
        <x:v>不加分；伦理边界</x:v>
      </x:c>
      <x:c r="W226" s="46" t="str">
        <x:v>boundary_note</x:v>
      </x:c>
      <x:c r="X226" s="46" t="str">
        <x:v>保持中性、具体、行为化。</x:v>
      </x:c>
      <x:c r="Y226" s="46" t="str">
        <x:v>这是交换结构的描述，不是给任何一方贴人格标签。</x:v>
      </x:c>
      <x:c r="Z22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26" s="46" t="str">
        <x:v>高</x:v>
      </x:c>
      <x:c r="AB226" s="46" t="str">
        <x:v>待验证</x:v>
      </x:c>
      <x:c r="AC226" s="46" t="str"/>
      <x:c r="AD226" s="46" t="str">
        <x:v>exchange_state=XR03; provisional=true; rule_group=EXCHANGE-XR状态</x:v>
      </x:c>
      <x:c r="AE226" s="46" t="str">
        <x:v>0.4</x:v>
      </x:c>
    </x:row>
    <x:row r="227" ht="50" customHeight="1">
      <x:c r="A227" s="46" t="str">
        <x:v>M5-EXCHANGE-226</x:v>
      </x:c>
      <x:c r="B227" s="46" t="str">
        <x:v>XR04 条件性有效交换｜正式定义</x:v>
      </x:c>
      <x:c r="C227" s="46" t="str">
        <x:v>L4 交换状态</x:v>
      </x:c>
      <x:c r="D227" s="46" t="str">
        <x:v>EXCHANGE-XR状态</x:v>
      </x:c>
      <x:c r="E227" s="46" t="str">
        <x:v>通用</x:v>
      </x:c>
      <x:c r="F227" s="46" t="str">
        <x:v>定义</x:v>
      </x:c>
      <x:c r="G227" s="46" t="str">
        <x:v>XR04</x:v>
      </x:c>
      <x:c r="H227" s="46" t="str">
        <x:v>条件性有效交换</x:v>
      </x:c>
      <x:c r="I227" s="46" t="str">
        <x:v>XV3以上；条件和失效点清楚。</x:v>
      </x:c>
      <x:c r="J227" s="46" t="str">
        <x:v>PR0安全停止。</x:v>
      </x:c>
      <x:c r="K227" s="46" t="str">
        <x:v>由共享基础引擎、M3与M5-BASE提供；只修正用户怎样给予、请求、接收和回馈，不直接判断双方现实交换质量。</x:v>
      </x:c>
      <x:c r="L227" s="46" t="str">
        <x:v>M2只说明进入关系所需资格证据；不能替代长期双向交换、负荷与修复验证。</x:v>
      </x:c>
      <x:c r="M227" s="46" t="str">
        <x:v>M3-BASE、EXPR、CARE和BOUND提供用户自然互动通道；M5-EXCHANGE负责把两人的实际行为合成为交换结构。</x:v>
      </x:c>
      <x:c r="N227" s="46" t="str">
        <x:v>无／按本规则指定的给予—请求—接收—反馈—重订路径路由。</x:v>
      </x:c>
      <x:c r="O227" s="46" t="str">
        <x:v>近位、远位只修正该交换需求进入亲密关系核心的可能；不得据此判断具体伴侣现实中一定配合。</x:v>
      </x:c>
      <x:c r="P227" s="46" t="str">
        <x:v>根气只修正用户交换需求和通道是否稳定重复，不等于双方已形成成熟互惠。</x:v>
      </x:c>
      <x:c r="Q227" s="46" t="str">
        <x:v>旺弱只修正通道调用强度、抢位或缺位风险，不直接等于交换公平或关系质量。</x:v>
      </x:c>
      <x:c r="R227" s="46" t="str">
        <x:v>喜忌只修正调用顺畅度与摩擦，不可直接翻译为理想伴侣五行、十神或必然互补。</x:v>
      </x:c>
      <x:c r="S227" s="46" t="str">
        <x:v>真合化成立时按化神功能重算用户交换需求；合化争议时停止细化交换通道。</x:v>
      </x:c>
      <x:c r="T227" s="46" t="str">
        <x:v>近位提高该交换议题进入关系核心的可能；远位只保留背景或阶段性观察。</x:v>
      </x:c>
      <x:c r="U227" s="46" t="str">
        <x:v>94</x:v>
      </x:c>
      <x:c r="V227" s="46" t="str">
        <x:v>不加分；状态定义</x:v>
      </x:c>
      <x:c r="W227" s="46" t="str">
        <x:v>exchange_state</x:v>
      </x:c>
      <x:c r="X227" s="46" t="str">
        <x:v>交换在特定资源、情境或规则下有效，条件变化时需重新验证。</x:v>
      </x:c>
      <x:c r="Y227" s="46" t="str">
        <x:v>这套交换在某些条件下运作良好，条件变化后仍需重新协商。</x:v>
      </x:c>
      <x:c r="Z22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27" s="46" t="str">
        <x:v>高</x:v>
      </x:c>
      <x:c r="AB227" s="46" t="str">
        <x:v>待验证</x:v>
      </x:c>
      <x:c r="AC227" s="46" t="str"/>
      <x:c r="AD227" s="46" t="str">
        <x:v>exchange_state=XR04; provisional=true; rule_group=EXCHANGE-XR状态</x:v>
      </x:c>
      <x:c r="AE227" s="46" t="str">
        <x:v>0.4</x:v>
      </x:c>
    </x:row>
    <x:row r="228" ht="50" customHeight="1">
      <x:c r="A228" s="46" t="str">
        <x:v>M5-EXCHANGE-227</x:v>
      </x:c>
      <x:c r="B228" s="46" t="str">
        <x:v>XR04 条件性有效交换｜成立条件</x:v>
      </x:c>
      <x:c r="C228" s="46" t="str">
        <x:v>L4 交换状态</x:v>
      </x:c>
      <x:c r="D228" s="46" t="str">
        <x:v>EXCHANGE-XR状态</x:v>
      </x:c>
      <x:c r="E228" s="46" t="str">
        <x:v>通用</x:v>
      </x:c>
      <x:c r="F228" s="46" t="str">
        <x:v>门控</x:v>
      </x:c>
      <x:c r="G228" s="46" t="str">
        <x:v>XR04</x:v>
      </x:c>
      <x:c r="H228" s="46" t="str">
        <x:v>条件性有效交换</x:v>
      </x:c>
      <x:c r="I228" s="46" t="str">
        <x:v>XV3以上；条件和失效点清楚。</x:v>
      </x:c>
      <x:c r="J228" s="46" t="str">
        <x:v>只有命盘结构、同源重复或一次事件。</x:v>
      </x:c>
      <x:c r="K228" s="46" t="str">
        <x:v>由共享基础引擎、M3与M5-BASE提供；只修正用户怎样给予、请求、接收和回馈，不直接判断双方现实交换质量。</x:v>
      </x:c>
      <x:c r="L228" s="46" t="str">
        <x:v>M2只说明进入关系所需资格证据；不能替代长期双向交换、负荷与修复验证。</x:v>
      </x:c>
      <x:c r="M228" s="46" t="str">
        <x:v>M3-BASE、EXPR、CARE和BOUND提供用户自然互动通道；M5-EXCHANGE负责把两人的实际行为合成为交换结构。</x:v>
      </x:c>
      <x:c r="N228" s="46" t="str">
        <x:v>无／按本规则指定的给予—请求—接收—反馈—重订路径路由。</x:v>
      </x:c>
      <x:c r="O228" s="46" t="str">
        <x:v>近位、远位只修正该交换需求进入亲密关系核心的可能；不得据此判断具体伴侣现实中一定配合。</x:v>
      </x:c>
      <x:c r="P228" s="46" t="str">
        <x:v>根气只修正用户交换需求和通道是否稳定重复，不等于双方已形成成熟互惠。</x:v>
      </x:c>
      <x:c r="Q228" s="46" t="str">
        <x:v>旺弱只修正通道调用强度、抢位或缺位风险，不直接等于交换公平或关系质量。</x:v>
      </x:c>
      <x:c r="R228" s="46" t="str">
        <x:v>喜忌只修正调用顺畅度与摩擦，不可直接翻译为理想伴侣五行、十神或必然互补。</x:v>
      </x:c>
      <x:c r="S228" s="46" t="str">
        <x:v>真合化成立时按化神功能重算用户交换需求；合化争议时停止细化交换通道。</x:v>
      </x:c>
      <x:c r="T228" s="46" t="str">
        <x:v>近位提高该交换议题进入关系核心的可能；远位只保留背景或阶段性观察。</x:v>
      </x:c>
      <x:c r="U228" s="46" t="str">
        <x:v>90</x:v>
      </x:c>
      <x:c r="V228" s="46" t="str">
        <x:v>状态路由</x:v>
      </x:c>
      <x:c r="W228" s="46" t="str">
        <x:v>exchange_state</x:v>
      </x:c>
      <x:c r="X228" s="46" t="str">
        <x:v>条件性有效交换必须满足：XV3以上；条件和失效点清楚。</x:v>
      </x:c>
      <x:c r="Y228" s="46" t="str">
        <x:v>判断到条件性有效交换，需要看到：XV3以上；条件和失效点清楚。</x:v>
      </x:c>
      <x:c r="Z22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28" s="46" t="str">
        <x:v>中高</x:v>
      </x:c>
      <x:c r="AB228" s="46" t="str">
        <x:v>待验证</x:v>
      </x:c>
      <x:c r="AC228" s="46" t="str"/>
      <x:c r="AD228" s="46" t="str">
        <x:v>exchange_state=XR04; provisional=true; rule_group=EXCHANGE-XR状态</x:v>
      </x:c>
      <x:c r="AE228" s="46" t="str">
        <x:v>0.4</x:v>
      </x:c>
    </x:row>
    <x:row r="229" ht="50" customHeight="1">
      <x:c r="A229" s="46" t="str">
        <x:v>M5-EXCHANGE-228</x:v>
      </x:c>
      <x:c r="B229" s="46" t="str">
        <x:v>XR04 条件性有效交换｜报告处理</x:v>
      </x:c>
      <x:c r="C229" s="46" t="str">
        <x:v>L4 交换状态</x:v>
      </x:c>
      <x:c r="D229" s="46" t="str">
        <x:v>EXCHANGE-XR状态</x:v>
      </x:c>
      <x:c r="E229" s="46" t="str">
        <x:v>通用</x:v>
      </x:c>
      <x:c r="F229" s="46" t="str">
        <x:v>路由</x:v>
      </x:c>
      <x:c r="G229" s="46" t="str">
        <x:v>XR04</x:v>
      </x:c>
      <x:c r="H229" s="46" t="str">
        <x:v>条件性有效交换</x:v>
      </x:c>
      <x:c r="I229" s="46" t="str">
        <x:v>XV3以上；条件和失效点清楚。</x:v>
      </x:c>
      <x:c r="J229" s="46" t="str">
        <x:v>资料与状态不一致。</x:v>
      </x:c>
      <x:c r="K229" s="46" t="str">
        <x:v>由共享基础引擎、M3与M5-BASE提供；只修正用户怎样给予、请求、接收和回馈，不直接判断双方现实交换质量。</x:v>
      </x:c>
      <x:c r="L229" s="46" t="str">
        <x:v>M2只说明进入关系所需资格证据；不能替代长期双向交换、负荷与修复验证。</x:v>
      </x:c>
      <x:c r="M229" s="46" t="str">
        <x:v>M3-BASE、EXPR、CARE和BOUND提供用户自然互动通道；M5-EXCHANGE负责把两人的实际行为合成为交换结构。</x:v>
      </x:c>
      <x:c r="N229" s="46" t="str">
        <x:v>无／按本规则指定的给予—请求—接收—反馈—重订路径路由。</x:v>
      </x:c>
      <x:c r="O229" s="46" t="str">
        <x:v>近位、远位只修正该交换需求进入亲密关系核心的可能；不得据此判断具体伴侣现实中一定配合。</x:v>
      </x:c>
      <x:c r="P229" s="46" t="str">
        <x:v>根气只修正用户交换需求和通道是否稳定重复，不等于双方已形成成熟互惠。</x:v>
      </x:c>
      <x:c r="Q229" s="46" t="str">
        <x:v>旺弱只修正通道调用强度、抢位或缺位风险，不直接等于交换公平或关系质量。</x:v>
      </x:c>
      <x:c r="R229" s="46" t="str">
        <x:v>喜忌只修正调用顺畅度与摩擦，不可直接翻译为理想伴侣五行、十神或必然互补。</x:v>
      </x:c>
      <x:c r="S229" s="46" t="str">
        <x:v>真合化成立时按化神功能重算用户交换需求；合化争议时停止细化交换通道。</x:v>
      </x:c>
      <x:c r="T229" s="46" t="str">
        <x:v>近位提高该交换议题进入关系核心的可能；远位只保留背景或阶段性观察。</x:v>
      </x:c>
      <x:c r="U229" s="46" t="str">
        <x:v>86</x:v>
      </x:c>
      <x:c r="V229" s="46" t="str">
        <x:v>路由／降级</x:v>
      </x:c>
      <x:c r="W229" s="46" t="str">
        <x:v>report_status</x:v>
      </x:c>
      <x:c r="X229" s="46" t="str">
        <x:v>必须写出何时有效、何时容易中断。</x:v>
      </x:c>
      <x:c r="Y229" s="46" t="str">
        <x:v>这套交换在某些条件下运作良好，条件变化后仍需重新协商。</x:v>
      </x:c>
      <x:c r="Z22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29" s="46" t="str">
        <x:v>中高</x:v>
      </x:c>
      <x:c r="AB229" s="46" t="str">
        <x:v>待验证</x:v>
      </x:c>
      <x:c r="AC229" s="46" t="str"/>
      <x:c r="AD229" s="46" t="str">
        <x:v>exchange_state=XR04; provisional=true; rule_group=EXCHANGE-XR状态</x:v>
      </x:c>
      <x:c r="AE229" s="46" t="str">
        <x:v>0.4</x:v>
      </x:c>
    </x:row>
    <x:row r="230" ht="50" customHeight="1">
      <x:c r="A230" s="46" t="str">
        <x:v>M5-EXCHANGE-229</x:v>
      </x:c>
      <x:c r="B230" s="46" t="str">
        <x:v>XR04 条件性有效交换｜升级与降级</x:v>
      </x:c>
      <x:c r="C230" s="46" t="str">
        <x:v>L4 交换状态</x:v>
      </x:c>
      <x:c r="D230" s="46" t="str">
        <x:v>EXCHANGE-XR状态</x:v>
      </x:c>
      <x:c r="E230" s="46" t="str">
        <x:v>通用</x:v>
      </x:c>
      <x:c r="F230" s="46" t="str">
        <x:v>证据</x:v>
      </x:c>
      <x:c r="G230" s="46" t="str">
        <x:v>XR04</x:v>
      </x:c>
      <x:c r="H230" s="46" t="str">
        <x:v>条件性有效交换</x:v>
      </x:c>
      <x:c r="I230" s="46" t="str">
        <x:v>至少两类独立双人事件来源。</x:v>
      </x:c>
      <x:c r="J230" s="46" t="str">
        <x:v>只因一方很会付出或双方十神相合。</x:v>
      </x:c>
      <x:c r="K230" s="46" t="str">
        <x:v>由共享基础引擎、M3与M5-BASE提供；只修正用户怎样给予、请求、接收和回馈，不直接判断双方现实交换质量。</x:v>
      </x:c>
      <x:c r="L230" s="46" t="str">
        <x:v>M2只说明进入关系所需资格证据；不能替代长期双向交换、负荷与修复验证。</x:v>
      </x:c>
      <x:c r="M230" s="46" t="str">
        <x:v>M3-BASE、EXPR、CARE和BOUND提供用户自然互动通道；M5-EXCHANGE负责把两人的实际行为合成为交换结构。</x:v>
      </x:c>
      <x:c r="N230" s="46" t="str">
        <x:v>无／按本规则指定的给予—请求—接收—反馈—重订路径路由。</x:v>
      </x:c>
      <x:c r="O230" s="46" t="str">
        <x:v>近位、远位只修正该交换需求进入亲密关系核心的可能；不得据此判断具体伴侣现实中一定配合。</x:v>
      </x:c>
      <x:c r="P230" s="46" t="str">
        <x:v>根气只修正用户交换需求和通道是否稳定重复，不等于双方已形成成熟互惠。</x:v>
      </x:c>
      <x:c r="Q230" s="46" t="str">
        <x:v>旺弱只修正通道调用强度、抢位或缺位风险，不直接等于交换公平或关系质量。</x:v>
      </x:c>
      <x:c r="R230" s="46" t="str">
        <x:v>喜忌只修正调用顺畅度与摩擦，不可直接翻译为理想伴侣五行、十神或必然互补。</x:v>
      </x:c>
      <x:c r="S230" s="46" t="str">
        <x:v>真合化成立时按化神功能重算用户交换需求；合化争议时停止细化交换通道。</x:v>
      </x:c>
      <x:c r="T230" s="46" t="str">
        <x:v>近位提高该交换议题进入关系核心的可能；远位只保留背景或阶段性观察。</x:v>
      </x:c>
      <x:c r="U230" s="46" t="str">
        <x:v>82</x:v>
      </x:c>
      <x:c r="V230" s="46" t="str">
        <x:v>±8至±20</x:v>
      </x:c>
      <x:c r="W230" s="46" t="str">
        <x:v>exchange_evidence_level</x:v>
      </x:c>
      <x:c r="X230" s="46" t="str">
        <x:v>XR状态随现实交换证据变化，不由命理分值直接锁定。</x:v>
      </x:c>
      <x:c r="Y230" s="46" t="str">
        <x:v>随着双方现实行为增加，这个判断可以升级或降级。</x:v>
      </x:c>
      <x:c r="Z23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30" s="46" t="str">
        <x:v>中</x:v>
      </x:c>
      <x:c r="AB230" s="46" t="str">
        <x:v>待验证</x:v>
      </x:c>
      <x:c r="AC230" s="46" t="str"/>
      <x:c r="AD230" s="46" t="str">
        <x:v>exchange_state=XR04; provisional=true; rule_group=EXCHANGE-XR状态</x:v>
      </x:c>
      <x:c r="AE230" s="46" t="str">
        <x:v>0.4</x:v>
      </x:c>
    </x:row>
    <x:row r="231" ht="50" customHeight="1">
      <x:c r="A231" s="46" t="str">
        <x:v>M5-EXCHANGE-230</x:v>
      </x:c>
      <x:c r="B231" s="46" t="str">
        <x:v>XR04 条件性有效交换｜禁止人格化</x:v>
      </x:c>
      <x:c r="C231" s="46" t="str">
        <x:v>L4 交换状态</x:v>
      </x:c>
      <x:c r="D231" s="46" t="str">
        <x:v>EXCHANGE-XR状态</x:v>
      </x:c>
      <x:c r="E231" s="46" t="str">
        <x:v>通用</x:v>
      </x:c>
      <x:c r="F231" s="46" t="str">
        <x:v>边界</x:v>
      </x:c>
      <x:c r="G231" s="46" t="str">
        <x:v>XR04</x:v>
      </x:c>
      <x:c r="H231" s="46" t="str">
        <x:v>条件性有效交换</x:v>
      </x:c>
      <x:c r="I231" s="46" t="str">
        <x:v>输出XR状态。</x:v>
      </x:c>
      <x:c r="J231" s="46" t="str">
        <x:v>现实存在剥削、控制或伤害时按事实说明。</x:v>
      </x:c>
      <x:c r="K231" s="46" t="str">
        <x:v>由共享基础引擎、M3与M5-BASE提供；只修正用户怎样给予、请求、接收和回馈，不直接判断双方现实交换质量。</x:v>
      </x:c>
      <x:c r="L231" s="46" t="str">
        <x:v>M2只说明进入关系所需资格证据；不能替代长期双向交换、负荷与修复验证。</x:v>
      </x:c>
      <x:c r="M231" s="46" t="str">
        <x:v>M3-BASE、EXPR、CARE和BOUND提供用户自然互动通道；M5-EXCHANGE负责把两人的实际行为合成为交换结构。</x:v>
      </x:c>
      <x:c r="N231" s="46" t="str">
        <x:v>无／按本规则指定的给予—请求—接收—反馈—重订路径路由。</x:v>
      </x:c>
      <x:c r="O231" s="46" t="str">
        <x:v>近位、远位只修正该交换需求进入亲密关系核心的可能；不得据此判断具体伴侣现实中一定配合。</x:v>
      </x:c>
      <x:c r="P231" s="46" t="str">
        <x:v>根气只修正用户交换需求和通道是否稳定重复，不等于双方已形成成熟互惠。</x:v>
      </x:c>
      <x:c r="Q231" s="46" t="str">
        <x:v>旺弱只修正通道调用强度、抢位或缺位风险，不直接等于交换公平或关系质量。</x:v>
      </x:c>
      <x:c r="R231" s="46" t="str">
        <x:v>喜忌只修正调用顺畅度与摩擦，不可直接翻译为理想伴侣五行、十神或必然互补。</x:v>
      </x:c>
      <x:c r="S231" s="46" t="str">
        <x:v>真合化成立时按化神功能重算用户交换需求；合化争议时停止细化交换通道。</x:v>
      </x:c>
      <x:c r="T231" s="46" t="str">
        <x:v>近位提高该交换议题进入关系核心的可能；远位只保留背景或阶段性观察。</x:v>
      </x:c>
      <x:c r="U231" s="46" t="str">
        <x:v>98</x:v>
      </x:c>
      <x:c r="V231" s="46" t="str">
        <x:v>不加分；伦理边界</x:v>
      </x:c>
      <x:c r="W231" s="46" t="str">
        <x:v>boundary_note</x:v>
      </x:c>
      <x:c r="X231" s="46" t="str">
        <x:v>保持中性、具体、行为化。</x:v>
      </x:c>
      <x:c r="Y231" s="46" t="str">
        <x:v>这是交换结构的描述，不是给任何一方贴人格标签。</x:v>
      </x:c>
      <x:c r="Z23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31" s="46" t="str">
        <x:v>高</x:v>
      </x:c>
      <x:c r="AB231" s="46" t="str">
        <x:v>待验证</x:v>
      </x:c>
      <x:c r="AC231" s="46" t="str"/>
      <x:c r="AD231" s="46" t="str">
        <x:v>exchange_state=XR04; provisional=true; rule_group=EXCHANGE-XR状态</x:v>
      </x:c>
      <x:c r="AE231" s="46" t="str">
        <x:v>0.4</x:v>
      </x:c>
    </x:row>
    <x:row r="232" ht="50" customHeight="1">
      <x:c r="A232" s="46" t="str">
        <x:v>M5-EXCHANGE-231</x:v>
      </x:c>
      <x:c r="B232" s="46" t="str">
        <x:v>XR05 单向可见候选｜正式定义</x:v>
      </x:c>
      <x:c r="C232" s="46" t="str">
        <x:v>L4 交换状态</x:v>
      </x:c>
      <x:c r="D232" s="46" t="str">
        <x:v>EXCHANGE-XR状态</x:v>
      </x:c>
      <x:c r="E232" s="46" t="str">
        <x:v>通用</x:v>
      </x:c>
      <x:c r="F232" s="46" t="str">
        <x:v>定义</x:v>
      </x:c>
      <x:c r="G232" s="46" t="str">
        <x:v>XR05</x:v>
      </x:c>
      <x:c r="H232" s="46" t="str">
        <x:v>单向可见候选</x:v>
      </x:c>
      <x:c r="I232" s="46" t="str">
        <x:v>XV1—XV2；ED01未完成。</x:v>
      </x:c>
      <x:c r="J232" s="46" t="str">
        <x:v>PR0安全停止。</x:v>
      </x:c>
      <x:c r="K232" s="46" t="str">
        <x:v>由共享基础引擎、M3与M5-BASE提供；只修正用户怎样给予、请求、接收和回馈，不直接判断双方现实交换质量。</x:v>
      </x:c>
      <x:c r="L232" s="46" t="str">
        <x:v>M2只说明进入关系所需资格证据；不能替代长期双向交换、负荷与修复验证。</x:v>
      </x:c>
      <x:c r="M232" s="46" t="str">
        <x:v>M3-BASE、EXPR、CARE和BOUND提供用户自然互动通道；M5-EXCHANGE负责把两人的实际行为合成为交换结构。</x:v>
      </x:c>
      <x:c r="N232" s="46" t="str">
        <x:v>无／按本规则指定的给予—请求—接收—反馈—重订路径路由。</x:v>
      </x:c>
      <x:c r="O232" s="46" t="str">
        <x:v>近位、远位只修正该交换需求进入亲密关系核心的可能；不得据此判断具体伴侣现实中一定配合。</x:v>
      </x:c>
      <x:c r="P232" s="46" t="str">
        <x:v>根气只修正用户交换需求和通道是否稳定重复，不等于双方已形成成熟互惠。</x:v>
      </x:c>
      <x:c r="Q232" s="46" t="str">
        <x:v>旺弱只修正通道调用强度、抢位或缺位风险，不直接等于交换公平或关系质量。</x:v>
      </x:c>
      <x:c r="R232" s="46" t="str">
        <x:v>喜忌只修正调用顺畅度与摩擦，不可直接翻译为理想伴侣五行、十神或必然互补。</x:v>
      </x:c>
      <x:c r="S232" s="46" t="str">
        <x:v>真合化成立时按化神功能重算用户交换需求；合化争议时停止细化交换通道。</x:v>
      </x:c>
      <x:c r="T232" s="46" t="str">
        <x:v>近位提高该交换议题进入关系核心的可能；远位只保留背景或阶段性观察。</x:v>
      </x:c>
      <x:c r="U232" s="46" t="str">
        <x:v>94</x:v>
      </x:c>
      <x:c r="V232" s="46" t="str">
        <x:v>不加分；状态定义</x:v>
      </x:c>
      <x:c r="W232" s="46" t="str">
        <x:v>exchange_state</x:v>
      </x:c>
      <x:c r="X232" s="46" t="str">
        <x:v>现有资料只清楚看到一方的付出或回应，另一侧可能隐性、延迟或资料不足。</x:v>
      </x:c>
      <x:c r="Y232" s="46" t="str">
        <x:v>目前只容易看见一侧，先不要急着判断另一方完全没有投入。</x:v>
      </x:c>
      <x:c r="Z23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32" s="46" t="str">
        <x:v>高</x:v>
      </x:c>
      <x:c r="AB232" s="46" t="str">
        <x:v>待验证</x:v>
      </x:c>
      <x:c r="AC232" s="46" t="str"/>
      <x:c r="AD232" s="46" t="str">
        <x:v>exchange_state=XR05; provisional=true; rule_group=EXCHANGE-XR状态</x:v>
      </x:c>
      <x:c r="AE232" s="46" t="str">
        <x:v>0.4</x:v>
      </x:c>
    </x:row>
    <x:row r="233" ht="50" customHeight="1">
      <x:c r="A233" s="46" t="str">
        <x:v>M5-EXCHANGE-232</x:v>
      </x:c>
      <x:c r="B233" s="46" t="str">
        <x:v>XR05 单向可见候选｜成立条件</x:v>
      </x:c>
      <x:c r="C233" s="46" t="str">
        <x:v>L4 交换状态</x:v>
      </x:c>
      <x:c r="D233" s="46" t="str">
        <x:v>EXCHANGE-XR状态</x:v>
      </x:c>
      <x:c r="E233" s="46" t="str">
        <x:v>通用</x:v>
      </x:c>
      <x:c r="F233" s="46" t="str">
        <x:v>门控</x:v>
      </x:c>
      <x:c r="G233" s="46" t="str">
        <x:v>XR05</x:v>
      </x:c>
      <x:c r="H233" s="46" t="str">
        <x:v>单向可见候选</x:v>
      </x:c>
      <x:c r="I233" s="46" t="str">
        <x:v>XV1—XV2；ED01未完成。</x:v>
      </x:c>
      <x:c r="J233" s="46" t="str">
        <x:v>只有命盘结构、同源重复或一次事件。</x:v>
      </x:c>
      <x:c r="K233" s="46" t="str">
        <x:v>由共享基础引擎、M3与M5-BASE提供；只修正用户怎样给予、请求、接收和回馈，不直接判断双方现实交换质量。</x:v>
      </x:c>
      <x:c r="L233" s="46" t="str">
        <x:v>M2只说明进入关系所需资格证据；不能替代长期双向交换、负荷与修复验证。</x:v>
      </x:c>
      <x:c r="M233" s="46" t="str">
        <x:v>M3-BASE、EXPR、CARE和BOUND提供用户自然互动通道；M5-EXCHANGE负责把两人的实际行为合成为交换结构。</x:v>
      </x:c>
      <x:c r="N233" s="46" t="str">
        <x:v>无／按本规则指定的给予—请求—接收—反馈—重订路径路由。</x:v>
      </x:c>
      <x:c r="O233" s="46" t="str">
        <x:v>近位、远位只修正该交换需求进入亲密关系核心的可能；不得据此判断具体伴侣现实中一定配合。</x:v>
      </x:c>
      <x:c r="P233" s="46" t="str">
        <x:v>根气只修正用户交换需求和通道是否稳定重复，不等于双方已形成成熟互惠。</x:v>
      </x:c>
      <x:c r="Q233" s="46" t="str">
        <x:v>旺弱只修正通道调用强度、抢位或缺位风险，不直接等于交换公平或关系质量。</x:v>
      </x:c>
      <x:c r="R233" s="46" t="str">
        <x:v>喜忌只修正调用顺畅度与摩擦，不可直接翻译为理想伴侣五行、十神或必然互补。</x:v>
      </x:c>
      <x:c r="S233" s="46" t="str">
        <x:v>真合化成立时按化神功能重算用户交换需求；合化争议时停止细化交换通道。</x:v>
      </x:c>
      <x:c r="T233" s="46" t="str">
        <x:v>近位提高该交换议题进入关系核心的可能；远位只保留背景或阶段性观察。</x:v>
      </x:c>
      <x:c r="U233" s="46" t="str">
        <x:v>90</x:v>
      </x:c>
      <x:c r="V233" s="46" t="str">
        <x:v>状态路由</x:v>
      </x:c>
      <x:c r="W233" s="46" t="str">
        <x:v>exchange_state</x:v>
      </x:c>
      <x:c r="X233" s="46" t="str">
        <x:v>单向可见候选必须满足：XV1—XV2；ED01未完成。</x:v>
      </x:c>
      <x:c r="Y233" s="46" t="str">
        <x:v>判断到单向可见候选，需要看到：XV1—XV2；ED01未完成。</x:v>
      </x:c>
      <x:c r="Z23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33" s="46" t="str">
        <x:v>中高</x:v>
      </x:c>
      <x:c r="AB233" s="46" t="str">
        <x:v>待验证</x:v>
      </x:c>
      <x:c r="AC233" s="46" t="str"/>
      <x:c r="AD233" s="46" t="str">
        <x:v>exchange_state=XR05; provisional=true; rule_group=EXCHANGE-XR状态</x:v>
      </x:c>
      <x:c r="AE233" s="46" t="str">
        <x:v>0.4</x:v>
      </x:c>
    </x:row>
    <x:row r="234" ht="50" customHeight="1">
      <x:c r="A234" s="46" t="str">
        <x:v>M5-EXCHANGE-233</x:v>
      </x:c>
      <x:c r="B234" s="46" t="str">
        <x:v>XR05 单向可见候选｜报告处理</x:v>
      </x:c>
      <x:c r="C234" s="46" t="str">
        <x:v>L4 交换状态</x:v>
      </x:c>
      <x:c r="D234" s="46" t="str">
        <x:v>EXCHANGE-XR状态</x:v>
      </x:c>
      <x:c r="E234" s="46" t="str">
        <x:v>通用</x:v>
      </x:c>
      <x:c r="F234" s="46" t="str">
        <x:v>路由</x:v>
      </x:c>
      <x:c r="G234" s="46" t="str">
        <x:v>XR05</x:v>
      </x:c>
      <x:c r="H234" s="46" t="str">
        <x:v>单向可见候选</x:v>
      </x:c>
      <x:c r="I234" s="46" t="str">
        <x:v>XV1—XV2；ED01未完成。</x:v>
      </x:c>
      <x:c r="J234" s="46" t="str">
        <x:v>资料与状态不一致。</x:v>
      </x:c>
      <x:c r="K234" s="46" t="str">
        <x:v>由共享基础引擎、M3与M5-BASE提供；只修正用户怎样给予、请求、接收和回馈，不直接判断双方现实交换质量。</x:v>
      </x:c>
      <x:c r="L234" s="46" t="str">
        <x:v>M2只说明进入关系所需资格证据；不能替代长期双向交换、负荷与修复验证。</x:v>
      </x:c>
      <x:c r="M234" s="46" t="str">
        <x:v>M3-BASE、EXPR、CARE和BOUND提供用户自然互动通道；M5-EXCHANGE负责把两人的实际行为合成为交换结构。</x:v>
      </x:c>
      <x:c r="N234" s="46" t="str">
        <x:v>无／按本规则指定的给予—请求—接收—反馈—重订路径路由。</x:v>
      </x:c>
      <x:c r="O234" s="46" t="str">
        <x:v>近位、远位只修正该交换需求进入亲密关系核心的可能；不得据此判断具体伴侣现实中一定配合。</x:v>
      </x:c>
      <x:c r="P234" s="46" t="str">
        <x:v>根气只修正用户交换需求和通道是否稳定重复，不等于双方已形成成熟互惠。</x:v>
      </x:c>
      <x:c r="Q234" s="46" t="str">
        <x:v>旺弱只修正通道调用强度、抢位或缺位风险，不直接等于交换公平或关系质量。</x:v>
      </x:c>
      <x:c r="R234" s="46" t="str">
        <x:v>喜忌只修正调用顺畅度与摩擦，不可直接翻译为理想伴侣五行、十神或必然互补。</x:v>
      </x:c>
      <x:c r="S234" s="46" t="str">
        <x:v>真合化成立时按化神功能重算用户交换需求；合化争议时停止细化交换通道。</x:v>
      </x:c>
      <x:c r="T234" s="46" t="str">
        <x:v>近位提高该交换议题进入关系核心的可能；远位只保留背景或阶段性观察。</x:v>
      </x:c>
      <x:c r="U234" s="46" t="str">
        <x:v>86</x:v>
      </x:c>
      <x:c r="V234" s="46" t="str">
        <x:v>路由／降级</x:v>
      </x:c>
      <x:c r="W234" s="46" t="str">
        <x:v>report_status</x:v>
      </x:c>
      <x:c r="X234" s="46" t="str">
        <x:v>不能直接写单向关系；先扩展领域和时序资料。</x:v>
      </x:c>
      <x:c r="Y234" s="46" t="str">
        <x:v>目前只容易看见一侧，先不要急着判断另一方完全没有投入。</x:v>
      </x:c>
      <x:c r="Z23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34" s="46" t="str">
        <x:v>中高</x:v>
      </x:c>
      <x:c r="AB234" s="46" t="str">
        <x:v>待验证</x:v>
      </x:c>
      <x:c r="AC234" s="46" t="str"/>
      <x:c r="AD234" s="46" t="str">
        <x:v>exchange_state=XR05; provisional=true; rule_group=EXCHANGE-XR状态</x:v>
      </x:c>
      <x:c r="AE234" s="46" t="str">
        <x:v>0.4</x:v>
      </x:c>
    </x:row>
    <x:row r="235" ht="50" customHeight="1">
      <x:c r="A235" s="46" t="str">
        <x:v>M5-EXCHANGE-234</x:v>
      </x:c>
      <x:c r="B235" s="46" t="str">
        <x:v>XR05 单向可见候选｜升级与降级</x:v>
      </x:c>
      <x:c r="C235" s="46" t="str">
        <x:v>L4 交换状态</x:v>
      </x:c>
      <x:c r="D235" s="46" t="str">
        <x:v>EXCHANGE-XR状态</x:v>
      </x:c>
      <x:c r="E235" s="46" t="str">
        <x:v>通用</x:v>
      </x:c>
      <x:c r="F235" s="46" t="str">
        <x:v>证据</x:v>
      </x:c>
      <x:c r="G235" s="46" t="str">
        <x:v>XR05</x:v>
      </x:c>
      <x:c r="H235" s="46" t="str">
        <x:v>单向可见候选</x:v>
      </x:c>
      <x:c r="I235" s="46" t="str">
        <x:v>至少两类独立双人事件来源。</x:v>
      </x:c>
      <x:c r="J235" s="46" t="str">
        <x:v>只因一方很会付出或双方十神相合。</x:v>
      </x:c>
      <x:c r="K235" s="46" t="str">
        <x:v>由共享基础引擎、M3与M5-BASE提供；只修正用户怎样给予、请求、接收和回馈，不直接判断双方现实交换质量。</x:v>
      </x:c>
      <x:c r="L235" s="46" t="str">
        <x:v>M2只说明进入关系所需资格证据；不能替代长期双向交换、负荷与修复验证。</x:v>
      </x:c>
      <x:c r="M235" s="46" t="str">
        <x:v>M3-BASE、EXPR、CARE和BOUND提供用户自然互动通道；M5-EXCHANGE负责把两人的实际行为合成为交换结构。</x:v>
      </x:c>
      <x:c r="N235" s="46" t="str">
        <x:v>无／按本规则指定的给予—请求—接收—反馈—重订路径路由。</x:v>
      </x:c>
      <x:c r="O235" s="46" t="str">
        <x:v>近位、远位只修正该交换需求进入亲密关系核心的可能；不得据此判断具体伴侣现实中一定配合。</x:v>
      </x:c>
      <x:c r="P235" s="46" t="str">
        <x:v>根气只修正用户交换需求和通道是否稳定重复，不等于双方已形成成熟互惠。</x:v>
      </x:c>
      <x:c r="Q235" s="46" t="str">
        <x:v>旺弱只修正通道调用强度、抢位或缺位风险，不直接等于交换公平或关系质量。</x:v>
      </x:c>
      <x:c r="R235" s="46" t="str">
        <x:v>喜忌只修正调用顺畅度与摩擦，不可直接翻译为理想伴侣五行、十神或必然互补。</x:v>
      </x:c>
      <x:c r="S235" s="46" t="str">
        <x:v>真合化成立时按化神功能重算用户交换需求；合化争议时停止细化交换通道。</x:v>
      </x:c>
      <x:c r="T235" s="46" t="str">
        <x:v>近位提高该交换议题进入关系核心的可能；远位只保留背景或阶段性观察。</x:v>
      </x:c>
      <x:c r="U235" s="46" t="str">
        <x:v>82</x:v>
      </x:c>
      <x:c r="V235" s="46" t="str">
        <x:v>±8至±20</x:v>
      </x:c>
      <x:c r="W235" s="46" t="str">
        <x:v>exchange_evidence_level</x:v>
      </x:c>
      <x:c r="X235" s="46" t="str">
        <x:v>XR状态随现实交换证据变化，不由命理分值直接锁定。</x:v>
      </x:c>
      <x:c r="Y235" s="46" t="str">
        <x:v>随着双方现实行为增加，这个判断可以升级或降级。</x:v>
      </x:c>
      <x:c r="Z23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35" s="46" t="str">
        <x:v>中</x:v>
      </x:c>
      <x:c r="AB235" s="46" t="str">
        <x:v>待验证</x:v>
      </x:c>
      <x:c r="AC235" s="46" t="str"/>
      <x:c r="AD235" s="46" t="str">
        <x:v>exchange_state=XR05; provisional=true; rule_group=EXCHANGE-XR状态</x:v>
      </x:c>
      <x:c r="AE235" s="46" t="str">
        <x:v>0.4</x:v>
      </x:c>
    </x:row>
    <x:row r="236" ht="50" customHeight="1">
      <x:c r="A236" s="46" t="str">
        <x:v>M5-EXCHANGE-235</x:v>
      </x:c>
      <x:c r="B236" s="46" t="str">
        <x:v>XR05 单向可见候选｜禁止人格化</x:v>
      </x:c>
      <x:c r="C236" s="46" t="str">
        <x:v>L4 交换状态</x:v>
      </x:c>
      <x:c r="D236" s="46" t="str">
        <x:v>EXCHANGE-XR状态</x:v>
      </x:c>
      <x:c r="E236" s="46" t="str">
        <x:v>通用</x:v>
      </x:c>
      <x:c r="F236" s="46" t="str">
        <x:v>边界</x:v>
      </x:c>
      <x:c r="G236" s="46" t="str">
        <x:v>XR05</x:v>
      </x:c>
      <x:c r="H236" s="46" t="str">
        <x:v>单向可见候选</x:v>
      </x:c>
      <x:c r="I236" s="46" t="str">
        <x:v>输出XR状态。</x:v>
      </x:c>
      <x:c r="J236" s="46" t="str">
        <x:v>现实存在剥削、控制或伤害时按事实说明。</x:v>
      </x:c>
      <x:c r="K236" s="46" t="str">
        <x:v>由共享基础引擎、M3与M5-BASE提供；只修正用户怎样给予、请求、接收和回馈，不直接判断双方现实交换质量。</x:v>
      </x:c>
      <x:c r="L236" s="46" t="str">
        <x:v>M2只说明进入关系所需资格证据；不能替代长期双向交换、负荷与修复验证。</x:v>
      </x:c>
      <x:c r="M236" s="46" t="str">
        <x:v>M3-BASE、EXPR、CARE和BOUND提供用户自然互动通道；M5-EXCHANGE负责把两人的实际行为合成为交换结构。</x:v>
      </x:c>
      <x:c r="N236" s="46" t="str">
        <x:v>无／按本规则指定的给予—请求—接收—反馈—重订路径路由。</x:v>
      </x:c>
      <x:c r="O236" s="46" t="str">
        <x:v>近位、远位只修正该交换需求进入亲密关系核心的可能；不得据此判断具体伴侣现实中一定配合。</x:v>
      </x:c>
      <x:c r="P236" s="46" t="str">
        <x:v>根气只修正用户交换需求和通道是否稳定重复，不等于双方已形成成熟互惠。</x:v>
      </x:c>
      <x:c r="Q236" s="46" t="str">
        <x:v>旺弱只修正通道调用强度、抢位或缺位风险，不直接等于交换公平或关系质量。</x:v>
      </x:c>
      <x:c r="R236" s="46" t="str">
        <x:v>喜忌只修正调用顺畅度与摩擦，不可直接翻译为理想伴侣五行、十神或必然互补。</x:v>
      </x:c>
      <x:c r="S236" s="46" t="str">
        <x:v>真合化成立时按化神功能重算用户交换需求；合化争议时停止细化交换通道。</x:v>
      </x:c>
      <x:c r="T236" s="46" t="str">
        <x:v>近位提高该交换议题进入关系核心的可能；远位只保留背景或阶段性观察。</x:v>
      </x:c>
      <x:c r="U236" s="46" t="str">
        <x:v>98</x:v>
      </x:c>
      <x:c r="V236" s="46" t="str">
        <x:v>不加分；伦理边界</x:v>
      </x:c>
      <x:c r="W236" s="46" t="str">
        <x:v>boundary_note</x:v>
      </x:c>
      <x:c r="X236" s="46" t="str">
        <x:v>保持中性、具体、行为化。</x:v>
      </x:c>
      <x:c r="Y236" s="46" t="str">
        <x:v>这是交换结构的描述，不是给任何一方贴人格标签。</x:v>
      </x:c>
      <x:c r="Z23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36" s="46" t="str">
        <x:v>高</x:v>
      </x:c>
      <x:c r="AB236" s="46" t="str">
        <x:v>待验证</x:v>
      </x:c>
      <x:c r="AC236" s="46" t="str"/>
      <x:c r="AD236" s="46" t="str">
        <x:v>exchange_state=XR05; provisional=true; rule_group=EXCHANGE-XR状态</x:v>
      </x:c>
      <x:c r="AE236" s="46" t="str">
        <x:v>0.4</x:v>
      </x:c>
    </x:row>
    <x:row r="237" ht="50" customHeight="1">
      <x:c r="A237" s="46" t="str">
        <x:v>M5-EXCHANGE-236</x:v>
      </x:c>
      <x:c r="B237" s="46" t="str">
        <x:v>XR06 补偿替代候选｜正式定义</x:v>
      </x:c>
      <x:c r="C237" s="46" t="str">
        <x:v>L4 交换状态</x:v>
      </x:c>
      <x:c r="D237" s="46" t="str">
        <x:v>EXCHANGE-XR状态</x:v>
      </x:c>
      <x:c r="E237" s="46" t="str">
        <x:v>通用</x:v>
      </x:c>
      <x:c r="F237" s="46" t="str">
        <x:v>定义</x:v>
      </x:c>
      <x:c r="G237" s="46" t="str">
        <x:v>XR06</x:v>
      </x:c>
      <x:c r="H237" s="46" t="str">
        <x:v>补偿替代候选</x:v>
      </x:c>
      <x:c r="I237" s="46" t="str">
        <x:v>M4 K03/K06或EB09现实成立。</x:v>
      </x:c>
      <x:c r="J237" s="46" t="str">
        <x:v>PR0安全停止。</x:v>
      </x:c>
      <x:c r="K237" s="46" t="str">
        <x:v>由共享基础引擎、M3与M5-BASE提供；只修正用户怎样给予、请求、接收和回馈，不直接判断双方现实交换质量。</x:v>
      </x:c>
      <x:c r="L237" s="46" t="str">
        <x:v>M2只说明进入关系所需资格证据；不能替代长期双向交换、负荷与修复验证。</x:v>
      </x:c>
      <x:c r="M237" s="46" t="str">
        <x:v>M3-BASE、EXPR、CARE和BOUND提供用户自然互动通道；M5-EXCHANGE负责把两人的实际行为合成为交换结构。</x:v>
      </x:c>
      <x:c r="N237" s="46" t="str">
        <x:v>无／按本规则指定的给予—请求—接收—反馈—重订路径路由。</x:v>
      </x:c>
      <x:c r="O237" s="46" t="str">
        <x:v>近位、远位只修正该交换需求进入亲密关系核心的可能；不得据此判断具体伴侣现实中一定配合。</x:v>
      </x:c>
      <x:c r="P237" s="46" t="str">
        <x:v>根气只修正用户交换需求和通道是否稳定重复，不等于双方已形成成熟互惠。</x:v>
      </x:c>
      <x:c r="Q237" s="46" t="str">
        <x:v>旺弱只修正通道调用强度、抢位或缺位风险，不直接等于交换公平或关系质量。</x:v>
      </x:c>
      <x:c r="R237" s="46" t="str">
        <x:v>喜忌只修正调用顺畅度与摩擦，不可直接翻译为理想伴侣五行、十神或必然互补。</x:v>
      </x:c>
      <x:c r="S237" s="46" t="str">
        <x:v>真合化成立时按化神功能重算用户交换需求；合化争议时停止细化交换通道。</x:v>
      </x:c>
      <x:c r="T237" s="46" t="str">
        <x:v>近位提高该交换议题进入关系核心的可能；远位只保留背景或阶段性观察。</x:v>
      </x:c>
      <x:c r="U237" s="46" t="str">
        <x:v>94</x:v>
      </x:c>
      <x:c r="V237" s="46" t="str">
        <x:v>不加分；状态定义</x:v>
      </x:c>
      <x:c r="W237" s="46" t="str">
        <x:v>exchange_state</x:v>
      </x:c>
      <x:c r="X237" s="46" t="str">
        <x:v>一类贡献被用来补偿另一类缺位，例如金钱替代情绪、解决问题替代倾听。</x:v>
      </x:c>
      <x:c r="Y237" s="46" t="str">
        <x:v>对方可能确实有投入，但这项投入未必回应了真正缺少的那一部分。</x:v>
      </x:c>
      <x:c r="Z23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37" s="46" t="str">
        <x:v>高</x:v>
      </x:c>
      <x:c r="AB237" s="46" t="str">
        <x:v>待验证</x:v>
      </x:c>
      <x:c r="AC237" s="46" t="str"/>
      <x:c r="AD237" s="46" t="str">
        <x:v>exchange_state=XR06; provisional=true; rule_group=EXCHANGE-XR状态</x:v>
      </x:c>
      <x:c r="AE237" s="46" t="str">
        <x:v>0.4</x:v>
      </x:c>
    </x:row>
    <x:row r="238" ht="50" customHeight="1">
      <x:c r="A238" s="46" t="str">
        <x:v>M5-EXCHANGE-237</x:v>
      </x:c>
      <x:c r="B238" s="46" t="str">
        <x:v>XR06 补偿替代候选｜成立条件</x:v>
      </x:c>
      <x:c r="C238" s="46" t="str">
        <x:v>L4 交换状态</x:v>
      </x:c>
      <x:c r="D238" s="46" t="str">
        <x:v>EXCHANGE-XR状态</x:v>
      </x:c>
      <x:c r="E238" s="46" t="str">
        <x:v>通用</x:v>
      </x:c>
      <x:c r="F238" s="46" t="str">
        <x:v>门控</x:v>
      </x:c>
      <x:c r="G238" s="46" t="str">
        <x:v>XR06</x:v>
      </x:c>
      <x:c r="H238" s="46" t="str">
        <x:v>补偿替代候选</x:v>
      </x:c>
      <x:c r="I238" s="46" t="str">
        <x:v>M4 K03/K06或EB09现实成立。</x:v>
      </x:c>
      <x:c r="J238" s="46" t="str">
        <x:v>只有命盘结构、同源重复或一次事件。</x:v>
      </x:c>
      <x:c r="K238" s="46" t="str">
        <x:v>由共享基础引擎、M3与M5-BASE提供；只修正用户怎样给予、请求、接收和回馈，不直接判断双方现实交换质量。</x:v>
      </x:c>
      <x:c r="L238" s="46" t="str">
        <x:v>M2只说明进入关系所需资格证据；不能替代长期双向交换、负荷与修复验证。</x:v>
      </x:c>
      <x:c r="M238" s="46" t="str">
        <x:v>M3-BASE、EXPR、CARE和BOUND提供用户自然互动通道；M5-EXCHANGE负责把两人的实际行为合成为交换结构。</x:v>
      </x:c>
      <x:c r="N238" s="46" t="str">
        <x:v>无／按本规则指定的给予—请求—接收—反馈—重订路径路由。</x:v>
      </x:c>
      <x:c r="O238" s="46" t="str">
        <x:v>近位、远位只修正该交换需求进入亲密关系核心的可能；不得据此判断具体伴侣现实中一定配合。</x:v>
      </x:c>
      <x:c r="P238" s="46" t="str">
        <x:v>根气只修正用户交换需求和通道是否稳定重复，不等于双方已形成成熟互惠。</x:v>
      </x:c>
      <x:c r="Q238" s="46" t="str">
        <x:v>旺弱只修正通道调用强度、抢位或缺位风险，不直接等于交换公平或关系质量。</x:v>
      </x:c>
      <x:c r="R238" s="46" t="str">
        <x:v>喜忌只修正调用顺畅度与摩擦，不可直接翻译为理想伴侣五行、十神或必然互补。</x:v>
      </x:c>
      <x:c r="S238" s="46" t="str">
        <x:v>真合化成立时按化神功能重算用户交换需求；合化争议时停止细化交换通道。</x:v>
      </x:c>
      <x:c r="T238" s="46" t="str">
        <x:v>近位提高该交换议题进入关系核心的可能；远位只保留背景或阶段性观察。</x:v>
      </x:c>
      <x:c r="U238" s="46" t="str">
        <x:v>90</x:v>
      </x:c>
      <x:c r="V238" s="46" t="str">
        <x:v>状态路由</x:v>
      </x:c>
      <x:c r="W238" s="46" t="str">
        <x:v>exchange_state</x:v>
      </x:c>
      <x:c r="X238" s="46" t="str">
        <x:v>补偿替代候选必须满足：M4 K03/K06或EB09现实成立。</x:v>
      </x:c>
      <x:c r="Y238" s="46" t="str">
        <x:v>判断到补偿替代候选，需要看到：M4 K03/K06或EB09现实成立。</x:v>
      </x:c>
      <x:c r="Z23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38" s="46" t="str">
        <x:v>中高</x:v>
      </x:c>
      <x:c r="AB238" s="46" t="str">
        <x:v>待验证</x:v>
      </x:c>
      <x:c r="AC238" s="46" t="str"/>
      <x:c r="AD238" s="46" t="str">
        <x:v>exchange_state=XR06; provisional=true; rule_group=EXCHANGE-XR状态</x:v>
      </x:c>
      <x:c r="AE238" s="46" t="str">
        <x:v>0.4</x:v>
      </x:c>
    </x:row>
    <x:row r="239" ht="50" customHeight="1">
      <x:c r="A239" s="46" t="str">
        <x:v>M5-EXCHANGE-238</x:v>
      </x:c>
      <x:c r="B239" s="46" t="str">
        <x:v>XR06 补偿替代候选｜报告处理</x:v>
      </x:c>
      <x:c r="C239" s="46" t="str">
        <x:v>L4 交换状态</x:v>
      </x:c>
      <x:c r="D239" s="46" t="str">
        <x:v>EXCHANGE-XR状态</x:v>
      </x:c>
      <x:c r="E239" s="46" t="str">
        <x:v>通用</x:v>
      </x:c>
      <x:c r="F239" s="46" t="str">
        <x:v>路由</x:v>
      </x:c>
      <x:c r="G239" s="46" t="str">
        <x:v>XR06</x:v>
      </x:c>
      <x:c r="H239" s="46" t="str">
        <x:v>补偿替代候选</x:v>
      </x:c>
      <x:c r="I239" s="46" t="str">
        <x:v>M4 K03/K06或EB09现实成立。</x:v>
      </x:c>
      <x:c r="J239" s="46" t="str">
        <x:v>资料与状态不一致。</x:v>
      </x:c>
      <x:c r="K239" s="46" t="str">
        <x:v>由共享基础引擎、M3与M5-BASE提供；只修正用户怎样给予、请求、接收和回馈，不直接判断双方现实交换质量。</x:v>
      </x:c>
      <x:c r="L239" s="46" t="str">
        <x:v>M2只说明进入关系所需资格证据；不能替代长期双向交换、负荷与修复验证。</x:v>
      </x:c>
      <x:c r="M239" s="46" t="str">
        <x:v>M3-BASE、EXPR、CARE和BOUND提供用户自然互动通道；M5-EXCHANGE负责把两人的实际行为合成为交换结构。</x:v>
      </x:c>
      <x:c r="N239" s="46" t="str">
        <x:v>无／按本规则指定的给予—请求—接收—反馈—重订路径路由。</x:v>
      </x:c>
      <x:c r="O239" s="46" t="str">
        <x:v>近位、远位只修正该交换需求进入亲密关系核心的可能；不得据此判断具体伴侣现实中一定配合。</x:v>
      </x:c>
      <x:c r="P239" s="46" t="str">
        <x:v>根气只修正用户交换需求和通道是否稳定重复，不等于双方已形成成熟互惠。</x:v>
      </x:c>
      <x:c r="Q239" s="46" t="str">
        <x:v>旺弱只修正通道调用强度、抢位或缺位风险，不直接等于交换公平或关系质量。</x:v>
      </x:c>
      <x:c r="R239" s="46" t="str">
        <x:v>喜忌只修正调用顺畅度与摩擦，不可直接翻译为理想伴侣五行、十神或必然互补。</x:v>
      </x:c>
      <x:c r="S239" s="46" t="str">
        <x:v>真合化成立时按化神功能重算用户交换需求；合化争议时停止细化交换通道。</x:v>
      </x:c>
      <x:c r="T239" s="46" t="str">
        <x:v>近位提高该交换议题进入关系核心的可能；远位只保留背景或阶段性观察。</x:v>
      </x:c>
      <x:c r="U239" s="46" t="str">
        <x:v>86</x:v>
      </x:c>
      <x:c r="V239" s="46" t="str">
        <x:v>路由／降级</x:v>
      </x:c>
      <x:c r="W239" s="46" t="str">
        <x:v>report_status</x:v>
      </x:c>
      <x:c r="X239" s="46" t="str">
        <x:v>分别记录被提供的功能和仍缺失的功能。</x:v>
      </x:c>
      <x:c r="Y239" s="46" t="str">
        <x:v>对方可能确实有投入，但这项投入未必回应了真正缺少的那一部分。</x:v>
      </x:c>
      <x:c r="Z23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39" s="46" t="str">
        <x:v>中高</x:v>
      </x:c>
      <x:c r="AB239" s="46" t="str">
        <x:v>待验证</x:v>
      </x:c>
      <x:c r="AC239" s="46" t="str"/>
      <x:c r="AD239" s="46" t="str">
        <x:v>exchange_state=XR06; provisional=true; rule_group=EXCHANGE-XR状态</x:v>
      </x:c>
      <x:c r="AE239" s="46" t="str">
        <x:v>0.4</x:v>
      </x:c>
    </x:row>
    <x:row r="240" ht="50" customHeight="1">
      <x:c r="A240" s="46" t="str">
        <x:v>M5-EXCHANGE-239</x:v>
      </x:c>
      <x:c r="B240" s="46" t="str">
        <x:v>XR06 补偿替代候选｜升级与降级</x:v>
      </x:c>
      <x:c r="C240" s="46" t="str">
        <x:v>L4 交换状态</x:v>
      </x:c>
      <x:c r="D240" s="46" t="str">
        <x:v>EXCHANGE-XR状态</x:v>
      </x:c>
      <x:c r="E240" s="46" t="str">
        <x:v>通用</x:v>
      </x:c>
      <x:c r="F240" s="46" t="str">
        <x:v>证据</x:v>
      </x:c>
      <x:c r="G240" s="46" t="str">
        <x:v>XR06</x:v>
      </x:c>
      <x:c r="H240" s="46" t="str">
        <x:v>补偿替代候选</x:v>
      </x:c>
      <x:c r="I240" s="46" t="str">
        <x:v>至少两类独立双人事件来源。</x:v>
      </x:c>
      <x:c r="J240" s="46" t="str">
        <x:v>只因一方很会付出或双方十神相合。</x:v>
      </x:c>
      <x:c r="K240" s="46" t="str">
        <x:v>由共享基础引擎、M3与M5-BASE提供；只修正用户怎样给予、请求、接收和回馈，不直接判断双方现实交换质量。</x:v>
      </x:c>
      <x:c r="L240" s="46" t="str">
        <x:v>M2只说明进入关系所需资格证据；不能替代长期双向交换、负荷与修复验证。</x:v>
      </x:c>
      <x:c r="M240" s="46" t="str">
        <x:v>M3-BASE、EXPR、CARE和BOUND提供用户自然互动通道；M5-EXCHANGE负责把两人的实际行为合成为交换结构。</x:v>
      </x:c>
      <x:c r="N240" s="46" t="str">
        <x:v>无／按本规则指定的给予—请求—接收—反馈—重订路径路由。</x:v>
      </x:c>
      <x:c r="O240" s="46" t="str">
        <x:v>近位、远位只修正该交换需求进入亲密关系核心的可能；不得据此判断具体伴侣现实中一定配合。</x:v>
      </x:c>
      <x:c r="P240" s="46" t="str">
        <x:v>根气只修正用户交换需求和通道是否稳定重复，不等于双方已形成成熟互惠。</x:v>
      </x:c>
      <x:c r="Q240" s="46" t="str">
        <x:v>旺弱只修正通道调用强度、抢位或缺位风险，不直接等于交换公平或关系质量。</x:v>
      </x:c>
      <x:c r="R240" s="46" t="str">
        <x:v>喜忌只修正调用顺畅度与摩擦，不可直接翻译为理想伴侣五行、十神或必然互补。</x:v>
      </x:c>
      <x:c r="S240" s="46" t="str">
        <x:v>真合化成立时按化神功能重算用户交换需求；合化争议时停止细化交换通道。</x:v>
      </x:c>
      <x:c r="T240" s="46" t="str">
        <x:v>近位提高该交换议题进入关系核心的可能；远位只保留背景或阶段性观察。</x:v>
      </x:c>
      <x:c r="U240" s="46" t="str">
        <x:v>82</x:v>
      </x:c>
      <x:c r="V240" s="46" t="str">
        <x:v>±8至±20</x:v>
      </x:c>
      <x:c r="W240" s="46" t="str">
        <x:v>exchange_evidence_level</x:v>
      </x:c>
      <x:c r="X240" s="46" t="str">
        <x:v>XR状态随现实交换证据变化，不由命理分值直接锁定。</x:v>
      </x:c>
      <x:c r="Y240" s="46" t="str">
        <x:v>随着双方现实行为增加，这个判断可以升级或降级。</x:v>
      </x:c>
      <x:c r="Z24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40" s="46" t="str">
        <x:v>中</x:v>
      </x:c>
      <x:c r="AB240" s="46" t="str">
        <x:v>待验证</x:v>
      </x:c>
      <x:c r="AC240" s="46" t="str"/>
      <x:c r="AD240" s="46" t="str">
        <x:v>exchange_state=XR06; provisional=true; rule_group=EXCHANGE-XR状态</x:v>
      </x:c>
      <x:c r="AE240" s="46" t="str">
        <x:v>0.4</x:v>
      </x:c>
    </x:row>
    <x:row r="241" ht="50" customHeight="1">
      <x:c r="A241" s="46" t="str">
        <x:v>M5-EXCHANGE-240</x:v>
      </x:c>
      <x:c r="B241" s="46" t="str">
        <x:v>XR06 补偿替代候选｜禁止人格化</x:v>
      </x:c>
      <x:c r="C241" s="46" t="str">
        <x:v>L4 交换状态</x:v>
      </x:c>
      <x:c r="D241" s="46" t="str">
        <x:v>EXCHANGE-XR状态</x:v>
      </x:c>
      <x:c r="E241" s="46" t="str">
        <x:v>通用</x:v>
      </x:c>
      <x:c r="F241" s="46" t="str">
        <x:v>边界</x:v>
      </x:c>
      <x:c r="G241" s="46" t="str">
        <x:v>XR06</x:v>
      </x:c>
      <x:c r="H241" s="46" t="str">
        <x:v>补偿替代候选</x:v>
      </x:c>
      <x:c r="I241" s="46" t="str">
        <x:v>输出XR状态。</x:v>
      </x:c>
      <x:c r="J241" s="46" t="str">
        <x:v>现实存在剥削、控制或伤害时按事实说明。</x:v>
      </x:c>
      <x:c r="K241" s="46" t="str">
        <x:v>由共享基础引擎、M3与M5-BASE提供；只修正用户怎样给予、请求、接收和回馈，不直接判断双方现实交换质量。</x:v>
      </x:c>
      <x:c r="L241" s="46" t="str">
        <x:v>M2只说明进入关系所需资格证据；不能替代长期双向交换、负荷与修复验证。</x:v>
      </x:c>
      <x:c r="M241" s="46" t="str">
        <x:v>M3-BASE、EXPR、CARE和BOUND提供用户自然互动通道；M5-EXCHANGE负责把两人的实际行为合成为交换结构。</x:v>
      </x:c>
      <x:c r="N241" s="46" t="str">
        <x:v>无／按本规则指定的给予—请求—接收—反馈—重订路径路由。</x:v>
      </x:c>
      <x:c r="O241" s="46" t="str">
        <x:v>近位、远位只修正该交换需求进入亲密关系核心的可能；不得据此判断具体伴侣现实中一定配合。</x:v>
      </x:c>
      <x:c r="P241" s="46" t="str">
        <x:v>根气只修正用户交换需求和通道是否稳定重复，不等于双方已形成成熟互惠。</x:v>
      </x:c>
      <x:c r="Q241" s="46" t="str">
        <x:v>旺弱只修正通道调用强度、抢位或缺位风险，不直接等于交换公平或关系质量。</x:v>
      </x:c>
      <x:c r="R241" s="46" t="str">
        <x:v>喜忌只修正调用顺畅度与摩擦，不可直接翻译为理想伴侣五行、十神或必然互补。</x:v>
      </x:c>
      <x:c r="S241" s="46" t="str">
        <x:v>真合化成立时按化神功能重算用户交换需求；合化争议时停止细化交换通道。</x:v>
      </x:c>
      <x:c r="T241" s="46" t="str">
        <x:v>近位提高该交换议题进入关系核心的可能；远位只保留背景或阶段性观察。</x:v>
      </x:c>
      <x:c r="U241" s="46" t="str">
        <x:v>98</x:v>
      </x:c>
      <x:c r="V241" s="46" t="str">
        <x:v>不加分；伦理边界</x:v>
      </x:c>
      <x:c r="W241" s="46" t="str">
        <x:v>boundary_note</x:v>
      </x:c>
      <x:c r="X241" s="46" t="str">
        <x:v>保持中性、具体、行为化。</x:v>
      </x:c>
      <x:c r="Y241" s="46" t="str">
        <x:v>这是交换结构的描述，不是给任何一方贴人格标签。</x:v>
      </x:c>
      <x:c r="Z24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41" s="46" t="str">
        <x:v>高</x:v>
      </x:c>
      <x:c r="AB241" s="46" t="str">
        <x:v>待验证</x:v>
      </x:c>
      <x:c r="AC241" s="46" t="str"/>
      <x:c r="AD241" s="46" t="str">
        <x:v>exchange_state=XR06; provisional=true; rule_group=EXCHANGE-XR状态</x:v>
      </x:c>
      <x:c r="AE241" s="46" t="str">
        <x:v>0.4</x:v>
      </x:c>
    </x:row>
    <x:row r="242" ht="50" customHeight="1">
      <x:c r="A242" s="46" t="str">
        <x:v>M5-EXCHANGE-241</x:v>
      </x:c>
      <x:c r="B242" s="46" t="str">
        <x:v>XR07 长期单方负荷候选｜正式定义</x:v>
      </x:c>
      <x:c r="C242" s="46" t="str">
        <x:v>L4 交换状态</x:v>
      </x:c>
      <x:c r="D242" s="46" t="str">
        <x:v>EXCHANGE-XR状态</x:v>
      </x:c>
      <x:c r="E242" s="46" t="str">
        <x:v>通用</x:v>
      </x:c>
      <x:c r="F242" s="46" t="str">
        <x:v>定义</x:v>
      </x:c>
      <x:c r="G242" s="46" t="str">
        <x:v>XR07</x:v>
      </x:c>
      <x:c r="H242" s="46" t="str">
        <x:v>长期单方负荷候选</x:v>
      </x:c>
      <x:c r="I242" s="46" t="str">
        <x:v>XV4以上；ED02、ED07、ED09至少两项失败，现实反例支持。</x:v>
      </x:c>
      <x:c r="J242" s="46" t="str">
        <x:v>PR0安全停止。</x:v>
      </x:c>
      <x:c r="K242" s="46" t="str">
        <x:v>由共享基础引擎、M3与M5-BASE提供；只修正用户怎样给予、请求、接收和回馈，不直接判断双方现实交换质量。</x:v>
      </x:c>
      <x:c r="L242" s="46" t="str">
        <x:v>M2只说明进入关系所需资格证据；不能替代长期双向交换、负荷与修复验证。</x:v>
      </x:c>
      <x:c r="M242" s="46" t="str">
        <x:v>M3-BASE、EXPR、CARE和BOUND提供用户自然互动通道；M5-EXCHANGE负责把两人的实际行为合成为交换结构。</x:v>
      </x:c>
      <x:c r="N242" s="46" t="str">
        <x:v>无／按本规则指定的给予—请求—接收—反馈—重订路径路由。</x:v>
      </x:c>
      <x:c r="O242" s="46" t="str">
        <x:v>近位、远位只修正该交换需求进入亲密关系核心的可能；不得据此判断具体伴侣现实中一定配合。</x:v>
      </x:c>
      <x:c r="P242" s="46" t="str">
        <x:v>根气只修正用户交换需求和通道是否稳定重复，不等于双方已形成成熟互惠。</x:v>
      </x:c>
      <x:c r="Q242" s="46" t="str">
        <x:v>旺弱只修正通道调用强度、抢位或缺位风险，不直接等于交换公平或关系质量。</x:v>
      </x:c>
      <x:c r="R242" s="46" t="str">
        <x:v>喜忌只修正调用顺畅度与摩擦，不可直接翻译为理想伴侣五行、十神或必然互补。</x:v>
      </x:c>
      <x:c r="S242" s="46" t="str">
        <x:v>真合化成立时按化神功能重算用户交换需求；合化争议时停止细化交换通道。</x:v>
      </x:c>
      <x:c r="T242" s="46" t="str">
        <x:v>近位提高该交换议题进入关系核心的可能；远位只保留背景或阶段性观察。</x:v>
      </x:c>
      <x:c r="U242" s="46" t="str">
        <x:v>94</x:v>
      </x:c>
      <x:c r="V242" s="46" t="str">
        <x:v>不加分；状态定义</x:v>
      </x:c>
      <x:c r="W242" s="46" t="str">
        <x:v>exchange_state</x:v>
      </x:c>
      <x:c r="X242" s="46" t="str">
        <x:v>一方长期承担主要劳动、情绪、资源、责任或修复，提出调整后仍无回流。</x:v>
      </x:c>
      <x:c r="Y242" s="46" t="str">
        <x:v>需要认真检查是否长期由一方承担，而调整和回馈始终没有进入。</x:v>
      </x:c>
      <x:c r="Z24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42" s="46" t="str">
        <x:v>高</x:v>
      </x:c>
      <x:c r="AB242" s="46" t="str">
        <x:v>待验证</x:v>
      </x:c>
      <x:c r="AC242" s="46" t="str"/>
      <x:c r="AD242" s="46" t="str">
        <x:v>exchange_state=XR07; provisional=true; rule_group=EXCHANGE-XR状态</x:v>
      </x:c>
      <x:c r="AE242" s="46" t="str">
        <x:v>0.4</x:v>
      </x:c>
    </x:row>
    <x:row r="243" ht="50" customHeight="1">
      <x:c r="A243" s="46" t="str">
        <x:v>M5-EXCHANGE-242</x:v>
      </x:c>
      <x:c r="B243" s="46" t="str">
        <x:v>XR07 长期单方负荷候选｜成立条件</x:v>
      </x:c>
      <x:c r="C243" s="46" t="str">
        <x:v>L4 交换状态</x:v>
      </x:c>
      <x:c r="D243" s="46" t="str">
        <x:v>EXCHANGE-XR状态</x:v>
      </x:c>
      <x:c r="E243" s="46" t="str">
        <x:v>通用</x:v>
      </x:c>
      <x:c r="F243" s="46" t="str">
        <x:v>门控</x:v>
      </x:c>
      <x:c r="G243" s="46" t="str">
        <x:v>XR07</x:v>
      </x:c>
      <x:c r="H243" s="46" t="str">
        <x:v>长期单方负荷候选</x:v>
      </x:c>
      <x:c r="I243" s="46" t="str">
        <x:v>XV4以上；ED02、ED07、ED09至少两项失败，现实反例支持。</x:v>
      </x:c>
      <x:c r="J243" s="46" t="str">
        <x:v>只有命盘结构、同源重复或一次事件。</x:v>
      </x:c>
      <x:c r="K243" s="46" t="str">
        <x:v>由共享基础引擎、M3与M5-BASE提供；只修正用户怎样给予、请求、接收和回馈，不直接判断双方现实交换质量。</x:v>
      </x:c>
      <x:c r="L243" s="46" t="str">
        <x:v>M2只说明进入关系所需资格证据；不能替代长期双向交换、负荷与修复验证。</x:v>
      </x:c>
      <x:c r="M243" s="46" t="str">
        <x:v>M3-BASE、EXPR、CARE和BOUND提供用户自然互动通道；M5-EXCHANGE负责把两人的实际行为合成为交换结构。</x:v>
      </x:c>
      <x:c r="N243" s="46" t="str">
        <x:v>无／按本规则指定的给予—请求—接收—反馈—重订路径路由。</x:v>
      </x:c>
      <x:c r="O243" s="46" t="str">
        <x:v>近位、远位只修正该交换需求进入亲密关系核心的可能；不得据此判断具体伴侣现实中一定配合。</x:v>
      </x:c>
      <x:c r="P243" s="46" t="str">
        <x:v>根气只修正用户交换需求和通道是否稳定重复，不等于双方已形成成熟互惠。</x:v>
      </x:c>
      <x:c r="Q243" s="46" t="str">
        <x:v>旺弱只修正通道调用强度、抢位或缺位风险，不直接等于交换公平或关系质量。</x:v>
      </x:c>
      <x:c r="R243" s="46" t="str">
        <x:v>喜忌只修正调用顺畅度与摩擦，不可直接翻译为理想伴侣五行、十神或必然互补。</x:v>
      </x:c>
      <x:c r="S243" s="46" t="str">
        <x:v>真合化成立时按化神功能重算用户交换需求；合化争议时停止细化交换通道。</x:v>
      </x:c>
      <x:c r="T243" s="46" t="str">
        <x:v>近位提高该交换议题进入关系核心的可能；远位只保留背景或阶段性观察。</x:v>
      </x:c>
      <x:c r="U243" s="46" t="str">
        <x:v>90</x:v>
      </x:c>
      <x:c r="V243" s="46" t="str">
        <x:v>状态路由</x:v>
      </x:c>
      <x:c r="W243" s="46" t="str">
        <x:v>exchange_state</x:v>
      </x:c>
      <x:c r="X243" s="46" t="str">
        <x:v>长期单方负荷候选必须满足：XV4以上；ED02、ED07、ED09至少两项失败，现实反例支持。</x:v>
      </x:c>
      <x:c r="Y243" s="46" t="str">
        <x:v>判断到长期单方负荷候选，需要看到：XV4以上；ED02、ED07、ED09至少两项失败，现实反例支持。</x:v>
      </x:c>
      <x:c r="Z24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43" s="46" t="str">
        <x:v>中高</x:v>
      </x:c>
      <x:c r="AB243" s="46" t="str">
        <x:v>待验证</x:v>
      </x:c>
      <x:c r="AC243" s="46" t="str"/>
      <x:c r="AD243" s="46" t="str">
        <x:v>exchange_state=XR07; provisional=true; rule_group=EXCHANGE-XR状态</x:v>
      </x:c>
      <x:c r="AE243" s="46" t="str">
        <x:v>0.4</x:v>
      </x:c>
    </x:row>
    <x:row r="244" ht="50" customHeight="1">
      <x:c r="A244" s="46" t="str">
        <x:v>M5-EXCHANGE-243</x:v>
      </x:c>
      <x:c r="B244" s="46" t="str">
        <x:v>XR07 长期单方负荷候选｜报告处理</x:v>
      </x:c>
      <x:c r="C244" s="46" t="str">
        <x:v>L4 交换状态</x:v>
      </x:c>
      <x:c r="D244" s="46" t="str">
        <x:v>EXCHANGE-XR状态</x:v>
      </x:c>
      <x:c r="E244" s="46" t="str">
        <x:v>通用</x:v>
      </x:c>
      <x:c r="F244" s="46" t="str">
        <x:v>路由</x:v>
      </x:c>
      <x:c r="G244" s="46" t="str">
        <x:v>XR07</x:v>
      </x:c>
      <x:c r="H244" s="46" t="str">
        <x:v>长期单方负荷候选</x:v>
      </x:c>
      <x:c r="I244" s="46" t="str">
        <x:v>XV4以上；ED02、ED07、ED09至少两项失败，现实反例支持。</x:v>
      </x:c>
      <x:c r="J244" s="46" t="str">
        <x:v>资料与状态不一致。</x:v>
      </x:c>
      <x:c r="K244" s="46" t="str">
        <x:v>由共享基础引擎、M3与M5-BASE提供；只修正用户怎样给予、请求、接收和回馈，不直接判断双方现实交换质量。</x:v>
      </x:c>
      <x:c r="L244" s="46" t="str">
        <x:v>M2只说明进入关系所需资格证据；不能替代长期双向交换、负荷与修复验证。</x:v>
      </x:c>
      <x:c r="M244" s="46" t="str">
        <x:v>M3-BASE、EXPR、CARE和BOUND提供用户自然互动通道；M5-EXCHANGE负责把两人的实际行为合成为交换结构。</x:v>
      </x:c>
      <x:c r="N244" s="46" t="str">
        <x:v>无／按本规则指定的给予—请求—接收—反馈—重订路径路由。</x:v>
      </x:c>
      <x:c r="O244" s="46" t="str">
        <x:v>近位、远位只修正该交换需求进入亲密关系核心的可能；不得据此判断具体伴侣现实中一定配合。</x:v>
      </x:c>
      <x:c r="P244" s="46" t="str">
        <x:v>根气只修正用户交换需求和通道是否稳定重复，不等于双方已形成成熟互惠。</x:v>
      </x:c>
      <x:c r="Q244" s="46" t="str">
        <x:v>旺弱只修正通道调用强度、抢位或缺位风险，不直接等于交换公平或关系质量。</x:v>
      </x:c>
      <x:c r="R244" s="46" t="str">
        <x:v>喜忌只修正调用顺畅度与摩擦，不可直接翻译为理想伴侣五行、十神或必然互补。</x:v>
      </x:c>
      <x:c r="S244" s="46" t="str">
        <x:v>真合化成立时按化神功能重算用户交换需求；合化争议时停止细化交换通道。</x:v>
      </x:c>
      <x:c r="T244" s="46" t="str">
        <x:v>近位提高该交换议题进入关系核心的可能；远位只保留背景或阶段性观察。</x:v>
      </x:c>
      <x:c r="U244" s="46" t="str">
        <x:v>86</x:v>
      </x:c>
      <x:c r="V244" s="46" t="str">
        <x:v>路由／降级</x:v>
      </x:c>
      <x:c r="W244" s="46" t="str">
        <x:v>report_status</x:v>
      </x:c>
      <x:c r="X244" s="46" t="str">
        <x:v>可发布结构候选；安全和权力问题优先。</x:v>
      </x:c>
      <x:c r="Y244" s="46" t="str">
        <x:v>需要认真检查是否长期由一方承担，而调整和回馈始终没有进入。</x:v>
      </x:c>
      <x:c r="Z24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44" s="46" t="str">
        <x:v>中高</x:v>
      </x:c>
      <x:c r="AB244" s="46" t="str">
        <x:v>待验证</x:v>
      </x:c>
      <x:c r="AC244" s="46" t="str"/>
      <x:c r="AD244" s="46" t="str">
        <x:v>exchange_state=XR07; provisional=true; rule_group=EXCHANGE-XR状态</x:v>
      </x:c>
      <x:c r="AE244" s="46" t="str">
        <x:v>0.4</x:v>
      </x:c>
    </x:row>
    <x:row r="245" ht="50" customHeight="1">
      <x:c r="A245" s="46" t="str">
        <x:v>M5-EXCHANGE-244</x:v>
      </x:c>
      <x:c r="B245" s="46" t="str">
        <x:v>XR07 长期单方负荷候选｜升级与降级</x:v>
      </x:c>
      <x:c r="C245" s="46" t="str">
        <x:v>L4 交换状态</x:v>
      </x:c>
      <x:c r="D245" s="46" t="str">
        <x:v>EXCHANGE-XR状态</x:v>
      </x:c>
      <x:c r="E245" s="46" t="str">
        <x:v>通用</x:v>
      </x:c>
      <x:c r="F245" s="46" t="str">
        <x:v>证据</x:v>
      </x:c>
      <x:c r="G245" s="46" t="str">
        <x:v>XR07</x:v>
      </x:c>
      <x:c r="H245" s="46" t="str">
        <x:v>长期单方负荷候选</x:v>
      </x:c>
      <x:c r="I245" s="46" t="str">
        <x:v>至少两类独立双人事件来源。</x:v>
      </x:c>
      <x:c r="J245" s="46" t="str">
        <x:v>只因一方很会付出或双方十神相合。</x:v>
      </x:c>
      <x:c r="K245" s="46" t="str">
        <x:v>由共享基础引擎、M3与M5-BASE提供；只修正用户怎样给予、请求、接收和回馈，不直接判断双方现实交换质量。</x:v>
      </x:c>
      <x:c r="L245" s="46" t="str">
        <x:v>M2只说明进入关系所需资格证据；不能替代长期双向交换、负荷与修复验证。</x:v>
      </x:c>
      <x:c r="M245" s="46" t="str">
        <x:v>M3-BASE、EXPR、CARE和BOUND提供用户自然互动通道；M5-EXCHANGE负责把两人的实际行为合成为交换结构。</x:v>
      </x:c>
      <x:c r="N245" s="46" t="str">
        <x:v>无／按本规则指定的给予—请求—接收—反馈—重订路径路由。</x:v>
      </x:c>
      <x:c r="O245" s="46" t="str">
        <x:v>近位、远位只修正该交换需求进入亲密关系核心的可能；不得据此判断具体伴侣现实中一定配合。</x:v>
      </x:c>
      <x:c r="P245" s="46" t="str">
        <x:v>根气只修正用户交换需求和通道是否稳定重复，不等于双方已形成成熟互惠。</x:v>
      </x:c>
      <x:c r="Q245" s="46" t="str">
        <x:v>旺弱只修正通道调用强度、抢位或缺位风险，不直接等于交换公平或关系质量。</x:v>
      </x:c>
      <x:c r="R245" s="46" t="str">
        <x:v>喜忌只修正调用顺畅度与摩擦，不可直接翻译为理想伴侣五行、十神或必然互补。</x:v>
      </x:c>
      <x:c r="S245" s="46" t="str">
        <x:v>真合化成立时按化神功能重算用户交换需求；合化争议时停止细化交换通道。</x:v>
      </x:c>
      <x:c r="T245" s="46" t="str">
        <x:v>近位提高该交换议题进入关系核心的可能；远位只保留背景或阶段性观察。</x:v>
      </x:c>
      <x:c r="U245" s="46" t="str">
        <x:v>82</x:v>
      </x:c>
      <x:c r="V245" s="46" t="str">
        <x:v>±8至±20</x:v>
      </x:c>
      <x:c r="W245" s="46" t="str">
        <x:v>exchange_evidence_level</x:v>
      </x:c>
      <x:c r="X245" s="46" t="str">
        <x:v>XR状态随现实交换证据变化，不由命理分值直接锁定。</x:v>
      </x:c>
      <x:c r="Y245" s="46" t="str">
        <x:v>随着双方现实行为增加，这个判断可以升级或降级。</x:v>
      </x:c>
      <x:c r="Z24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45" s="46" t="str">
        <x:v>中</x:v>
      </x:c>
      <x:c r="AB245" s="46" t="str">
        <x:v>待验证</x:v>
      </x:c>
      <x:c r="AC245" s="46" t="str"/>
      <x:c r="AD245" s="46" t="str">
        <x:v>exchange_state=XR07; provisional=true; rule_group=EXCHANGE-XR状态</x:v>
      </x:c>
      <x:c r="AE245" s="46" t="str">
        <x:v>0.4</x:v>
      </x:c>
    </x:row>
    <x:row r="246" ht="50" customHeight="1">
      <x:c r="A246" s="46" t="str">
        <x:v>M5-EXCHANGE-245</x:v>
      </x:c>
      <x:c r="B246" s="46" t="str">
        <x:v>XR07 长期单方负荷候选｜禁止人格化</x:v>
      </x:c>
      <x:c r="C246" s="46" t="str">
        <x:v>L4 交换状态</x:v>
      </x:c>
      <x:c r="D246" s="46" t="str">
        <x:v>EXCHANGE-XR状态</x:v>
      </x:c>
      <x:c r="E246" s="46" t="str">
        <x:v>通用</x:v>
      </x:c>
      <x:c r="F246" s="46" t="str">
        <x:v>边界</x:v>
      </x:c>
      <x:c r="G246" s="46" t="str">
        <x:v>XR07</x:v>
      </x:c>
      <x:c r="H246" s="46" t="str">
        <x:v>长期单方负荷候选</x:v>
      </x:c>
      <x:c r="I246" s="46" t="str">
        <x:v>输出XR状态。</x:v>
      </x:c>
      <x:c r="J246" s="46" t="str">
        <x:v>现实存在剥削、控制或伤害时按事实说明。</x:v>
      </x:c>
      <x:c r="K246" s="46" t="str">
        <x:v>由共享基础引擎、M3与M5-BASE提供；只修正用户怎样给予、请求、接收和回馈，不直接判断双方现实交换质量。</x:v>
      </x:c>
      <x:c r="L246" s="46" t="str">
        <x:v>M2只说明进入关系所需资格证据；不能替代长期双向交换、负荷与修复验证。</x:v>
      </x:c>
      <x:c r="M246" s="46" t="str">
        <x:v>M3-BASE、EXPR、CARE和BOUND提供用户自然互动通道；M5-EXCHANGE负责把两人的实际行为合成为交换结构。</x:v>
      </x:c>
      <x:c r="N246" s="46" t="str">
        <x:v>无／按本规则指定的给予—请求—接收—反馈—重订路径路由。</x:v>
      </x:c>
      <x:c r="O246" s="46" t="str">
        <x:v>近位、远位只修正该交换需求进入亲密关系核心的可能；不得据此判断具体伴侣现实中一定配合。</x:v>
      </x:c>
      <x:c r="P246" s="46" t="str">
        <x:v>根气只修正用户交换需求和通道是否稳定重复，不等于双方已形成成熟互惠。</x:v>
      </x:c>
      <x:c r="Q246" s="46" t="str">
        <x:v>旺弱只修正通道调用强度、抢位或缺位风险，不直接等于交换公平或关系质量。</x:v>
      </x:c>
      <x:c r="R246" s="46" t="str">
        <x:v>喜忌只修正调用顺畅度与摩擦，不可直接翻译为理想伴侣五行、十神或必然互补。</x:v>
      </x:c>
      <x:c r="S246" s="46" t="str">
        <x:v>真合化成立时按化神功能重算用户交换需求；合化争议时停止细化交换通道。</x:v>
      </x:c>
      <x:c r="T246" s="46" t="str">
        <x:v>近位提高该交换议题进入关系核心的可能；远位只保留背景或阶段性观察。</x:v>
      </x:c>
      <x:c r="U246" s="46" t="str">
        <x:v>98</x:v>
      </x:c>
      <x:c r="V246" s="46" t="str">
        <x:v>不加分；伦理边界</x:v>
      </x:c>
      <x:c r="W246" s="46" t="str">
        <x:v>boundary_note</x:v>
      </x:c>
      <x:c r="X246" s="46" t="str">
        <x:v>保持中性、具体、行为化。</x:v>
      </x:c>
      <x:c r="Y246" s="46" t="str">
        <x:v>这是交换结构的描述，不是给任何一方贴人格标签。</x:v>
      </x:c>
      <x:c r="Z24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46" s="46" t="str">
        <x:v>高</x:v>
      </x:c>
      <x:c r="AB246" s="46" t="str">
        <x:v>待验证</x:v>
      </x:c>
      <x:c r="AC246" s="46" t="str"/>
      <x:c r="AD246" s="46" t="str">
        <x:v>exchange_state=XR07; provisional=true; rule_group=EXCHANGE-XR状态</x:v>
      </x:c>
      <x:c r="AE246" s="46" t="str">
        <x:v>0.4</x:v>
      </x:c>
    </x:row>
    <x:row r="247" ht="50" customHeight="1">
      <x:c r="A247" s="46" t="str">
        <x:v>M5-EXCHANGE-246</x:v>
      </x:c>
      <x:c r="B247" s="46" t="str">
        <x:v>XR08 交换未定／停止｜正式定义</x:v>
      </x:c>
      <x:c r="C247" s="46" t="str">
        <x:v>L4 交换状态</x:v>
      </x:c>
      <x:c r="D247" s="46" t="str">
        <x:v>EXCHANGE-XR状态</x:v>
      </x:c>
      <x:c r="E247" s="46" t="str">
        <x:v>通用</x:v>
      </x:c>
      <x:c r="F247" s="46" t="str">
        <x:v>定义</x:v>
      </x:c>
      <x:c r="G247" s="46" t="str">
        <x:v>XR08</x:v>
      </x:c>
      <x:c r="H247" s="46" t="str">
        <x:v>交换未定／停止</x:v>
      </x:c>
      <x:c r="I247" s="46" t="str">
        <x:v>XV0—XV1或PR0停止。</x:v>
      </x:c>
      <x:c r="J247" s="46" t="str">
        <x:v>PR0安全停止。</x:v>
      </x:c>
      <x:c r="K247" s="46" t="str">
        <x:v>由共享基础引擎、M3与M5-BASE提供；只修正用户怎样给予、请求、接收和回馈，不直接判断双方现实交换质量。</x:v>
      </x:c>
      <x:c r="L247" s="46" t="str">
        <x:v>M2只说明进入关系所需资格证据；不能替代长期双向交换、负荷与修复验证。</x:v>
      </x:c>
      <x:c r="M247" s="46" t="str">
        <x:v>M3-BASE、EXPR、CARE和BOUND提供用户自然互动通道；M5-EXCHANGE负责把两人的实际行为合成为交换结构。</x:v>
      </x:c>
      <x:c r="N247" s="46" t="str">
        <x:v>无／按本规则指定的给予—请求—接收—反馈—重订路径路由。</x:v>
      </x:c>
      <x:c r="O247" s="46" t="str">
        <x:v>近位、远位只修正该交换需求进入亲密关系核心的可能；不得据此判断具体伴侣现实中一定配合。</x:v>
      </x:c>
      <x:c r="P247" s="46" t="str">
        <x:v>根气只修正用户交换需求和通道是否稳定重复，不等于双方已形成成熟互惠。</x:v>
      </x:c>
      <x:c r="Q247" s="46" t="str">
        <x:v>旺弱只修正通道调用强度、抢位或缺位风险，不直接等于交换公平或关系质量。</x:v>
      </x:c>
      <x:c r="R247" s="46" t="str">
        <x:v>喜忌只修正调用顺畅度与摩擦，不可直接翻译为理想伴侣五行、十神或必然互补。</x:v>
      </x:c>
      <x:c r="S247" s="46" t="str">
        <x:v>真合化成立时按化神功能重算用户交换需求；合化争议时停止细化交换通道。</x:v>
      </x:c>
      <x:c r="T247" s="46" t="str">
        <x:v>近位提高该交换议题进入关系核心的可能；远位只保留背景或阶段性观察。</x:v>
      </x:c>
      <x:c r="U247" s="46" t="str">
        <x:v>94</x:v>
      </x:c>
      <x:c r="V247" s="46" t="str">
        <x:v>不加分；状态定义</x:v>
      </x:c>
      <x:c r="W247" s="46" t="str">
        <x:v>exchange_state</x:v>
      </x:c>
      <x:c r="X247" s="46" t="str">
        <x:v>资料不足、相互矛盾、合化争议或存在安全门控。</x:v>
      </x:c>
      <x:c r="Y247" s="46" t="str">
        <x:v>目前还不能判断交换是否平衡，先补充双方实际行为和安全信息。</x:v>
      </x:c>
      <x:c r="Z24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47" s="46" t="str">
        <x:v>高</x:v>
      </x:c>
      <x:c r="AB247" s="46" t="str">
        <x:v>待验证</x:v>
      </x:c>
      <x:c r="AC247" s="46" t="str"/>
      <x:c r="AD247" s="46" t="str">
        <x:v>exchange_state=XR08; provisional=true; rule_group=EXCHANGE-XR状态</x:v>
      </x:c>
      <x:c r="AE247" s="46" t="str">
        <x:v>0.4</x:v>
      </x:c>
    </x:row>
    <x:row r="248" ht="50" customHeight="1">
      <x:c r="A248" s="46" t="str">
        <x:v>M5-EXCHANGE-247</x:v>
      </x:c>
      <x:c r="B248" s="46" t="str">
        <x:v>XR08 交换未定／停止｜成立条件</x:v>
      </x:c>
      <x:c r="C248" s="46" t="str">
        <x:v>L4 交换状态</x:v>
      </x:c>
      <x:c r="D248" s="46" t="str">
        <x:v>EXCHANGE-XR状态</x:v>
      </x:c>
      <x:c r="E248" s="46" t="str">
        <x:v>通用</x:v>
      </x:c>
      <x:c r="F248" s="46" t="str">
        <x:v>门控</x:v>
      </x:c>
      <x:c r="G248" s="46" t="str">
        <x:v>XR08</x:v>
      </x:c>
      <x:c r="H248" s="46" t="str">
        <x:v>交换未定／停止</x:v>
      </x:c>
      <x:c r="I248" s="46" t="str">
        <x:v>XV0—XV1或PR0停止。</x:v>
      </x:c>
      <x:c r="J248" s="46" t="str">
        <x:v>只有命盘结构、同源重复或一次事件。</x:v>
      </x:c>
      <x:c r="K248" s="46" t="str">
        <x:v>由共享基础引擎、M3与M5-BASE提供；只修正用户怎样给予、请求、接收和回馈，不直接判断双方现实交换质量。</x:v>
      </x:c>
      <x:c r="L248" s="46" t="str">
        <x:v>M2只说明进入关系所需资格证据；不能替代长期双向交换、负荷与修复验证。</x:v>
      </x:c>
      <x:c r="M248" s="46" t="str">
        <x:v>M3-BASE、EXPR、CARE和BOUND提供用户自然互动通道；M5-EXCHANGE负责把两人的实际行为合成为交换结构。</x:v>
      </x:c>
      <x:c r="N248" s="46" t="str">
        <x:v>无／按本规则指定的给予—请求—接收—反馈—重订路径路由。</x:v>
      </x:c>
      <x:c r="O248" s="46" t="str">
        <x:v>近位、远位只修正该交换需求进入亲密关系核心的可能；不得据此判断具体伴侣现实中一定配合。</x:v>
      </x:c>
      <x:c r="P248" s="46" t="str">
        <x:v>根气只修正用户交换需求和通道是否稳定重复，不等于双方已形成成熟互惠。</x:v>
      </x:c>
      <x:c r="Q248" s="46" t="str">
        <x:v>旺弱只修正通道调用强度、抢位或缺位风险，不直接等于交换公平或关系质量。</x:v>
      </x:c>
      <x:c r="R248" s="46" t="str">
        <x:v>喜忌只修正调用顺畅度与摩擦，不可直接翻译为理想伴侣五行、十神或必然互补。</x:v>
      </x:c>
      <x:c r="S248" s="46" t="str">
        <x:v>真合化成立时按化神功能重算用户交换需求；合化争议时停止细化交换通道。</x:v>
      </x:c>
      <x:c r="T248" s="46" t="str">
        <x:v>近位提高该交换议题进入关系核心的可能；远位只保留背景或阶段性观察。</x:v>
      </x:c>
      <x:c r="U248" s="46" t="str">
        <x:v>90</x:v>
      </x:c>
      <x:c r="V248" s="46" t="str">
        <x:v>状态路由</x:v>
      </x:c>
      <x:c r="W248" s="46" t="str">
        <x:v>exchange_state</x:v>
      </x:c>
      <x:c r="X248" s="46" t="str">
        <x:v>交换未定／停止必须满足：XV0—XV1或PR0停止。</x:v>
      </x:c>
      <x:c r="Y248" s="46" t="str">
        <x:v>判断到交换未定／停止，需要看到：XV0—XV1或PR0停止。</x:v>
      </x:c>
      <x:c r="Z24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48" s="46" t="str">
        <x:v>中高</x:v>
      </x:c>
      <x:c r="AB248" s="46" t="str">
        <x:v>待验证</x:v>
      </x:c>
      <x:c r="AC248" s="46" t="str"/>
      <x:c r="AD248" s="46" t="str">
        <x:v>exchange_state=XR08; provisional=true; rule_group=EXCHANGE-XR状态</x:v>
      </x:c>
      <x:c r="AE248" s="46" t="str">
        <x:v>0.4</x:v>
      </x:c>
    </x:row>
    <x:row r="249" ht="50" customHeight="1">
      <x:c r="A249" s="46" t="str">
        <x:v>M5-EXCHANGE-248</x:v>
      </x:c>
      <x:c r="B249" s="46" t="str">
        <x:v>XR08 交换未定／停止｜报告处理</x:v>
      </x:c>
      <x:c r="C249" s="46" t="str">
        <x:v>L4 交换状态</x:v>
      </x:c>
      <x:c r="D249" s="46" t="str">
        <x:v>EXCHANGE-XR状态</x:v>
      </x:c>
      <x:c r="E249" s="46" t="str">
        <x:v>通用</x:v>
      </x:c>
      <x:c r="F249" s="46" t="str">
        <x:v>路由</x:v>
      </x:c>
      <x:c r="G249" s="46" t="str">
        <x:v>XR08</x:v>
      </x:c>
      <x:c r="H249" s="46" t="str">
        <x:v>交换未定／停止</x:v>
      </x:c>
      <x:c r="I249" s="46" t="str">
        <x:v>XV0—XV1或PR0停止。</x:v>
      </x:c>
      <x:c r="J249" s="46" t="str">
        <x:v>资料与状态不一致。</x:v>
      </x:c>
      <x:c r="K249" s="46" t="str">
        <x:v>由共享基础引擎、M3与M5-BASE提供；只修正用户怎样给予、请求、接收和回馈，不直接判断双方现实交换质量。</x:v>
      </x:c>
      <x:c r="L249" s="46" t="str">
        <x:v>M2只说明进入关系所需资格证据；不能替代长期双向交换、负荷与修复验证。</x:v>
      </x:c>
      <x:c r="M249" s="46" t="str">
        <x:v>M3-BASE、EXPR、CARE和BOUND提供用户自然互动通道；M5-EXCHANGE负责把两人的实际行为合成为交换结构。</x:v>
      </x:c>
      <x:c r="N249" s="46" t="str">
        <x:v>无／按本规则指定的给予—请求—接收—反馈—重订路径路由。</x:v>
      </x:c>
      <x:c r="O249" s="46" t="str">
        <x:v>近位、远位只修正该交换需求进入亲密关系核心的可能；不得据此判断具体伴侣现实中一定配合。</x:v>
      </x:c>
      <x:c r="P249" s="46" t="str">
        <x:v>根气只修正用户交换需求和通道是否稳定重复，不等于双方已形成成熟互惠。</x:v>
      </x:c>
      <x:c r="Q249" s="46" t="str">
        <x:v>旺弱只修正通道调用强度、抢位或缺位风险，不直接等于交换公平或关系质量。</x:v>
      </x:c>
      <x:c r="R249" s="46" t="str">
        <x:v>喜忌只修正调用顺畅度与摩擦，不可直接翻译为理想伴侣五行、十神或必然互补。</x:v>
      </x:c>
      <x:c r="S249" s="46" t="str">
        <x:v>真合化成立时按化神功能重算用户交换需求；合化争议时停止细化交换通道。</x:v>
      </x:c>
      <x:c r="T249" s="46" t="str">
        <x:v>近位提高该交换议题进入关系核心的可能；远位只保留背景或阶段性观察。</x:v>
      </x:c>
      <x:c r="U249" s="46" t="str">
        <x:v>86</x:v>
      </x:c>
      <x:c r="V249" s="46" t="str">
        <x:v>路由／降级</x:v>
      </x:c>
      <x:c r="W249" s="46" t="str">
        <x:v>report_status</x:v>
      </x:c>
      <x:c r="X249" s="46" t="str">
        <x:v>只输出需要补充的资料与观察计划。</x:v>
      </x:c>
      <x:c r="Y249" s="46" t="str">
        <x:v>目前还不能判断交换是否平衡，先补充双方实际行为和安全信息。</x:v>
      </x:c>
      <x:c r="Z24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49" s="46" t="str">
        <x:v>中高</x:v>
      </x:c>
      <x:c r="AB249" s="46" t="str">
        <x:v>待验证</x:v>
      </x:c>
      <x:c r="AC249" s="46" t="str"/>
      <x:c r="AD249" s="46" t="str">
        <x:v>exchange_state=XR08; provisional=true; rule_group=EXCHANGE-XR状态</x:v>
      </x:c>
      <x:c r="AE249" s="46" t="str">
        <x:v>0.4</x:v>
      </x:c>
    </x:row>
    <x:row r="250" ht="50" customHeight="1">
      <x:c r="A250" s="46" t="str">
        <x:v>M5-EXCHANGE-249</x:v>
      </x:c>
      <x:c r="B250" s="46" t="str">
        <x:v>XR08 交换未定／停止｜升级与降级</x:v>
      </x:c>
      <x:c r="C250" s="46" t="str">
        <x:v>L4 交换状态</x:v>
      </x:c>
      <x:c r="D250" s="46" t="str">
        <x:v>EXCHANGE-XR状态</x:v>
      </x:c>
      <x:c r="E250" s="46" t="str">
        <x:v>通用</x:v>
      </x:c>
      <x:c r="F250" s="46" t="str">
        <x:v>证据</x:v>
      </x:c>
      <x:c r="G250" s="46" t="str">
        <x:v>XR08</x:v>
      </x:c>
      <x:c r="H250" s="46" t="str">
        <x:v>交换未定／停止</x:v>
      </x:c>
      <x:c r="I250" s="46" t="str">
        <x:v>至少两类独立双人事件来源。</x:v>
      </x:c>
      <x:c r="J250" s="46" t="str">
        <x:v>只因一方很会付出或双方十神相合。</x:v>
      </x:c>
      <x:c r="K250" s="46" t="str">
        <x:v>由共享基础引擎、M3与M5-BASE提供；只修正用户怎样给予、请求、接收和回馈，不直接判断双方现实交换质量。</x:v>
      </x:c>
      <x:c r="L250" s="46" t="str">
        <x:v>M2只说明进入关系所需资格证据；不能替代长期双向交换、负荷与修复验证。</x:v>
      </x:c>
      <x:c r="M250" s="46" t="str">
        <x:v>M3-BASE、EXPR、CARE和BOUND提供用户自然互动通道；M5-EXCHANGE负责把两人的实际行为合成为交换结构。</x:v>
      </x:c>
      <x:c r="N250" s="46" t="str">
        <x:v>无／按本规则指定的给予—请求—接收—反馈—重订路径路由。</x:v>
      </x:c>
      <x:c r="O250" s="46" t="str">
        <x:v>近位、远位只修正该交换需求进入亲密关系核心的可能；不得据此判断具体伴侣现实中一定配合。</x:v>
      </x:c>
      <x:c r="P250" s="46" t="str">
        <x:v>根气只修正用户交换需求和通道是否稳定重复，不等于双方已形成成熟互惠。</x:v>
      </x:c>
      <x:c r="Q250" s="46" t="str">
        <x:v>旺弱只修正通道调用强度、抢位或缺位风险，不直接等于交换公平或关系质量。</x:v>
      </x:c>
      <x:c r="R250" s="46" t="str">
        <x:v>喜忌只修正调用顺畅度与摩擦，不可直接翻译为理想伴侣五行、十神或必然互补。</x:v>
      </x:c>
      <x:c r="S250" s="46" t="str">
        <x:v>真合化成立时按化神功能重算用户交换需求；合化争议时停止细化交换通道。</x:v>
      </x:c>
      <x:c r="T250" s="46" t="str">
        <x:v>近位提高该交换议题进入关系核心的可能；远位只保留背景或阶段性观察。</x:v>
      </x:c>
      <x:c r="U250" s="46" t="str">
        <x:v>82</x:v>
      </x:c>
      <x:c r="V250" s="46" t="str">
        <x:v>±8至±20</x:v>
      </x:c>
      <x:c r="W250" s="46" t="str">
        <x:v>exchange_evidence_level</x:v>
      </x:c>
      <x:c r="X250" s="46" t="str">
        <x:v>XR状态随现实交换证据变化，不由命理分值直接锁定。</x:v>
      </x:c>
      <x:c r="Y250" s="46" t="str">
        <x:v>随着双方现实行为增加，这个判断可以升级或降级。</x:v>
      </x:c>
      <x:c r="Z25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50" s="46" t="str">
        <x:v>中</x:v>
      </x:c>
      <x:c r="AB250" s="46" t="str">
        <x:v>待验证</x:v>
      </x:c>
      <x:c r="AC250" s="46" t="str"/>
      <x:c r="AD250" s="46" t="str">
        <x:v>exchange_state=XR08; provisional=true; rule_group=EXCHANGE-XR状态</x:v>
      </x:c>
      <x:c r="AE250" s="46" t="str">
        <x:v>0.4</x:v>
      </x:c>
    </x:row>
    <x:row r="251" ht="50" customHeight="1">
      <x:c r="A251" s="46" t="str">
        <x:v>M5-EXCHANGE-250</x:v>
      </x:c>
      <x:c r="B251" s="46" t="str">
        <x:v>XR08 交换未定／停止｜禁止人格化</x:v>
      </x:c>
      <x:c r="C251" s="46" t="str">
        <x:v>L4 交换状态</x:v>
      </x:c>
      <x:c r="D251" s="46" t="str">
        <x:v>EXCHANGE-XR状态</x:v>
      </x:c>
      <x:c r="E251" s="46" t="str">
        <x:v>通用</x:v>
      </x:c>
      <x:c r="F251" s="46" t="str">
        <x:v>边界</x:v>
      </x:c>
      <x:c r="G251" s="46" t="str">
        <x:v>XR08</x:v>
      </x:c>
      <x:c r="H251" s="46" t="str">
        <x:v>交换未定／停止</x:v>
      </x:c>
      <x:c r="I251" s="46" t="str">
        <x:v>输出XR状态。</x:v>
      </x:c>
      <x:c r="J251" s="46" t="str">
        <x:v>现实存在剥削、控制或伤害时按事实说明。</x:v>
      </x:c>
      <x:c r="K251" s="46" t="str">
        <x:v>由共享基础引擎、M3与M5-BASE提供；只修正用户怎样给予、请求、接收和回馈，不直接判断双方现实交换质量。</x:v>
      </x:c>
      <x:c r="L251" s="46" t="str">
        <x:v>M2只说明进入关系所需资格证据；不能替代长期双向交换、负荷与修复验证。</x:v>
      </x:c>
      <x:c r="M251" s="46" t="str">
        <x:v>M3-BASE、EXPR、CARE和BOUND提供用户自然互动通道；M5-EXCHANGE负责把两人的实际行为合成为交换结构。</x:v>
      </x:c>
      <x:c r="N251" s="46" t="str">
        <x:v>无／按本规则指定的给予—请求—接收—反馈—重订路径路由。</x:v>
      </x:c>
      <x:c r="O251" s="46" t="str">
        <x:v>近位、远位只修正该交换需求进入亲密关系核心的可能；不得据此判断具体伴侣现实中一定配合。</x:v>
      </x:c>
      <x:c r="P251" s="46" t="str">
        <x:v>根气只修正用户交换需求和通道是否稳定重复，不等于双方已形成成熟互惠。</x:v>
      </x:c>
      <x:c r="Q251" s="46" t="str">
        <x:v>旺弱只修正通道调用强度、抢位或缺位风险，不直接等于交换公平或关系质量。</x:v>
      </x:c>
      <x:c r="R251" s="46" t="str">
        <x:v>喜忌只修正调用顺畅度与摩擦，不可直接翻译为理想伴侣五行、十神或必然互补。</x:v>
      </x:c>
      <x:c r="S251" s="46" t="str">
        <x:v>真合化成立时按化神功能重算用户交换需求；合化争议时停止细化交换通道。</x:v>
      </x:c>
      <x:c r="T251" s="46" t="str">
        <x:v>近位提高该交换议题进入关系核心的可能；远位只保留背景或阶段性观察。</x:v>
      </x:c>
      <x:c r="U251" s="46" t="str">
        <x:v>98</x:v>
      </x:c>
      <x:c r="V251" s="46" t="str">
        <x:v>不加分；伦理边界</x:v>
      </x:c>
      <x:c r="W251" s="46" t="str">
        <x:v>boundary_note</x:v>
      </x:c>
      <x:c r="X251" s="46" t="str">
        <x:v>保持中性、具体、行为化。</x:v>
      </x:c>
      <x:c r="Y251" s="46" t="str">
        <x:v>这是交换结构的描述，不是给任何一方贴人格标签。</x:v>
      </x:c>
      <x:c r="Z25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51" s="46" t="str">
        <x:v>高</x:v>
      </x:c>
      <x:c r="AB251" s="46" t="str">
        <x:v>待验证</x:v>
      </x:c>
      <x:c r="AC251" s="46" t="str"/>
      <x:c r="AD251" s="46" t="str">
        <x:v>exchange_state=XR08; provisional=true; rule_group=EXCHANGE-XR状态</x:v>
      </x:c>
      <x:c r="AE251" s="46" t="str">
        <x:v>0.4</x:v>
      </x:c>
    </x:row>
    <x:row r="252" ht="50" customHeight="1">
      <x:c r="A252" s="46" t="str">
        <x:v>M5-EXCHANGE-251</x:v>
      </x:c>
      <x:c r="B252" s="46" t="str">
        <x:v>XV0 无双方交换证据｜正式定义</x:v>
      </x:c>
      <x:c r="C252" s="46" t="str">
        <x:v>L5 双人交换证据深度</x:v>
      </x:c>
      <x:c r="D252" s="46" t="str">
        <x:v>EXCHANGE-XV证据</x:v>
      </x:c>
      <x:c r="E252" s="46" t="str">
        <x:v>通用</x:v>
      </x:c>
      <x:c r="F252" s="46" t="str">
        <x:v>定义</x:v>
      </x:c>
      <x:c r="G252" s="46" t="str">
        <x:v>XV0</x:v>
      </x:c>
      <x:c r="H252" s="46" t="str">
        <x:v>无双方交换证据</x:v>
      </x:c>
      <x:c r="I252" s="46" t="str">
        <x:v>评估双方交换事件证据。</x:v>
      </x:c>
      <x:c r="J252" s="46" t="str">
        <x:v>无</x:v>
      </x:c>
      <x:c r="K252" s="46" t="str">
        <x:v>由共享基础引擎、M3与M5-BASE提供；只修正用户怎样给予、请求、接收和回馈，不直接判断双方现实交换质量。</x:v>
      </x:c>
      <x:c r="L252" s="46" t="str">
        <x:v>M2只说明进入关系所需资格证据；不能替代长期双向交换、负荷与修复验证。</x:v>
      </x:c>
      <x:c r="M252" s="46" t="str">
        <x:v>M3-BASE、EXPR、CARE和BOUND提供用户自然互动通道；M5-EXCHANGE负责把两人的实际行为合成为交换结构。</x:v>
      </x:c>
      <x:c r="N252" s="46" t="str">
        <x:v>无／按本规则指定的给予—请求—接收—反馈—重订路径路由。</x:v>
      </x:c>
      <x:c r="O252" s="46" t="str">
        <x:v>近位、远位只修正该交换需求进入亲密关系核心的可能；不得据此判断具体伴侣现实中一定配合。</x:v>
      </x:c>
      <x:c r="P252" s="46" t="str">
        <x:v>根气只修正用户交换需求和通道是否稳定重复，不等于双方已形成成熟互惠。</x:v>
      </x:c>
      <x:c r="Q252" s="46" t="str">
        <x:v>旺弱只修正通道调用强度、抢位或缺位风险，不直接等于交换公平或关系质量。</x:v>
      </x:c>
      <x:c r="R252" s="46" t="str">
        <x:v>喜忌只修正调用顺畅度与摩擦，不可直接翻译为理想伴侣五行、十神或必然互补。</x:v>
      </x:c>
      <x:c r="S252" s="46" t="str">
        <x:v>真合化成立时按化神功能重算用户交换需求；合化争议时停止细化交换通道。</x:v>
      </x:c>
      <x:c r="T252" s="46" t="str">
        <x:v>近位提高该交换议题进入关系核心的可能；远位只保留背景或阶段性观察。</x:v>
      </x:c>
      <x:c r="U252" s="46" t="str">
        <x:v>96</x:v>
      </x:c>
      <x:c r="V252" s="46" t="str">
        <x:v>不加分；证据定义</x:v>
      </x:c>
      <x:c r="W252" s="46" t="str">
        <x:v>exchange_evidence_level</x:v>
      </x:c>
      <x:c r="X252" s="46" t="str">
        <x:v>只有命盘需求或对单方的抽象描述。</x:v>
      </x:c>
      <x:c r="Y252" s="46" t="str">
        <x:v>当前交换证据层级：无双方交换证据。</x:v>
      </x:c>
      <x:c r="Z25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52" s="46" t="str">
        <x:v>高</x:v>
      </x:c>
      <x:c r="AB252" s="46" t="str">
        <x:v>待验证</x:v>
      </x:c>
      <x:c r="AC252" s="46" t="str"/>
      <x:c r="AD252" s="46" t="str">
        <x:v>exchange_evidence=XV0; provisional=true; rule_group=EXCHANGE-XV证据</x:v>
      </x:c>
      <x:c r="AE252" s="46" t="str">
        <x:v>0.4</x:v>
      </x:c>
    </x:row>
    <x:row r="253" ht="50" customHeight="1">
      <x:c r="A253" s="46" t="str">
        <x:v>M5-EXCHANGE-252</x:v>
      </x:c>
      <x:c r="B253" s="46" t="str">
        <x:v>XV0 无双方交换证据｜最低资料</x:v>
      </x:c>
      <x:c r="C253" s="46" t="str">
        <x:v>L5 双人交换证据深度</x:v>
      </x:c>
      <x:c r="D253" s="46" t="str">
        <x:v>EXCHANGE-XV证据</x:v>
      </x:c>
      <x:c r="E253" s="46" t="str">
        <x:v>通用</x:v>
      </x:c>
      <x:c r="F253" s="46" t="str">
        <x:v>证据</x:v>
      </x:c>
      <x:c r="G253" s="46" t="str">
        <x:v>XV0</x:v>
      </x:c>
      <x:c r="H253" s="46" t="str">
        <x:v>无双方交换证据</x:v>
      </x:c>
      <x:c r="I253" s="46" t="str">
        <x:v>只有命盘需求或对单方的抽象描述。</x:v>
      </x:c>
      <x:c r="J253" s="46" t="str">
        <x:v>没有相应现实资料。</x:v>
      </x:c>
      <x:c r="K253" s="46" t="str">
        <x:v>由共享基础引擎、M3与M5-BASE提供；只修正用户怎样给予、请求、接收和回馈，不直接判断双方现实交换质量。</x:v>
      </x:c>
      <x:c r="L253" s="46" t="str">
        <x:v>M2只说明进入关系所需资格证据；不能替代长期双向交换、负荷与修复验证。</x:v>
      </x:c>
      <x:c r="M253" s="46" t="str">
        <x:v>M3-BASE、EXPR、CARE和BOUND提供用户自然互动通道；M5-EXCHANGE负责把两人的实际行为合成为交换结构。</x:v>
      </x:c>
      <x:c r="N253" s="46" t="str">
        <x:v>无／按本规则指定的给予—请求—接收—反馈—重订路径路由。</x:v>
      </x:c>
      <x:c r="O253" s="46" t="str">
        <x:v>近位、远位只修正该交换需求进入亲密关系核心的可能；不得据此判断具体伴侣现实中一定配合。</x:v>
      </x:c>
      <x:c r="P253" s="46" t="str">
        <x:v>根气只修正用户交换需求和通道是否稳定重复，不等于双方已形成成熟互惠。</x:v>
      </x:c>
      <x:c r="Q253" s="46" t="str">
        <x:v>旺弱只修正通道调用强度、抢位或缺位风险，不直接等于交换公平或关系质量。</x:v>
      </x:c>
      <x:c r="R253" s="46" t="str">
        <x:v>喜忌只修正调用顺畅度与摩擦，不可直接翻译为理想伴侣五行、十神或必然互补。</x:v>
      </x:c>
      <x:c r="S253" s="46" t="str">
        <x:v>真合化成立时按化神功能重算用户交换需求；合化争议时停止细化交换通道。</x:v>
      </x:c>
      <x:c r="T253" s="46" t="str">
        <x:v>近位提高该交换议题进入关系核心的可能；远位只保留背景或阶段性观察。</x:v>
      </x:c>
      <x:c r="U253" s="46" t="str">
        <x:v>88</x:v>
      </x:c>
      <x:c r="V253" s="46" t="str">
        <x:v>XV路由</x:v>
      </x:c>
      <x:c r="W253" s="46" t="str">
        <x:v>exchange_evidence_level</x:v>
      </x:c>
      <x:c r="X253" s="46" t="str">
        <x:v>XV0的最低资料是：只有命盘需求或对单方的抽象描述。</x:v>
      </x:c>
      <x:c r="Y253" s="46" t="str">
        <x:v>这一层主要依据：只有命盘需求或对单方的抽象描述。</x:v>
      </x:c>
      <x:c r="Z25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53" s="46" t="str">
        <x:v>中高</x:v>
      </x:c>
      <x:c r="AB253" s="46" t="str">
        <x:v>待验证</x:v>
      </x:c>
      <x:c r="AC253" s="46" t="str"/>
      <x:c r="AD253" s="46" t="str">
        <x:v>exchange_evidence=XV0; provisional=true; rule_group=EXCHANGE-XV证据</x:v>
      </x:c>
      <x:c r="AE253" s="46" t="str">
        <x:v>0.4</x:v>
      </x:c>
    </x:row>
    <x:row r="254" ht="50" customHeight="1">
      <x:c r="A254" s="46" t="str">
        <x:v>M5-EXCHANGE-253</x:v>
      </x:c>
      <x:c r="B254" s="46" t="str">
        <x:v>XV0 无双方交换证据｜允许发布</x:v>
      </x:c>
      <x:c r="C254" s="46" t="str">
        <x:v>L5 双人交换证据深度</x:v>
      </x:c>
      <x:c r="D254" s="46" t="str">
        <x:v>EXCHANGE-XV证据</x:v>
      </x:c>
      <x:c r="E254" s="46" t="str">
        <x:v>通用</x:v>
      </x:c>
      <x:c r="F254" s="46" t="str">
        <x:v>输出</x:v>
      </x:c>
      <x:c r="G254" s="46" t="str">
        <x:v>XV0</x:v>
      </x:c>
      <x:c r="H254" s="46" t="str">
        <x:v>无双方交换证据</x:v>
      </x:c>
      <x:c r="I254" s="46" t="str">
        <x:v>XV0成立。</x:v>
      </x:c>
      <x:c r="J254" s="46" t="str">
        <x:v>试图越级到更强结论。</x:v>
      </x:c>
      <x:c r="K254" s="46" t="str">
        <x:v>由共享基础引擎、M3与M5-BASE提供；只修正用户怎样给予、请求、接收和回馈，不直接判断双方现实交换质量。</x:v>
      </x:c>
      <x:c r="L254" s="46" t="str">
        <x:v>M2只说明进入关系所需资格证据；不能替代长期双向交换、负荷与修复验证。</x:v>
      </x:c>
      <x:c r="M254" s="46" t="str">
        <x:v>M3-BASE、EXPR、CARE和BOUND提供用户自然互动通道；M5-EXCHANGE负责把两人的实际行为合成为交换结构。</x:v>
      </x:c>
      <x:c r="N254" s="46" t="str">
        <x:v>无／按本规则指定的给予—请求—接收—反馈—重订路径路由。</x:v>
      </x:c>
      <x:c r="O254" s="46" t="str">
        <x:v>近位、远位只修正该交换需求进入亲密关系核心的可能；不得据此判断具体伴侣现实中一定配合。</x:v>
      </x:c>
      <x:c r="P254" s="46" t="str">
        <x:v>根气只修正用户交换需求和通道是否稳定重复，不等于双方已形成成熟互惠。</x:v>
      </x:c>
      <x:c r="Q254" s="46" t="str">
        <x:v>旺弱只修正通道调用强度、抢位或缺位风险，不直接等于交换公平或关系质量。</x:v>
      </x:c>
      <x:c r="R254" s="46" t="str">
        <x:v>喜忌只修正调用顺畅度与摩擦，不可直接翻译为理想伴侣五行、十神或必然互补。</x:v>
      </x:c>
      <x:c r="S254" s="46" t="str">
        <x:v>真合化成立时按化神功能重算用户交换需求；合化争议时停止细化交换通道。</x:v>
      </x:c>
      <x:c r="T254" s="46" t="str">
        <x:v>近位提高该交换议题进入关系核心的可能；远位只保留背景或阶段性观察。</x:v>
      </x:c>
      <x:c r="U254" s="46" t="str">
        <x:v>84</x:v>
      </x:c>
      <x:c r="V254" s="46" t="str">
        <x:v>发布上限</x:v>
      </x:c>
      <x:c r="W254" s="46" t="str">
        <x:v>report_text</x:v>
      </x:c>
      <x:c r="X254" s="46" t="str">
        <x:v>只能建立交换需求和观察问题。</x:v>
      </x:c>
      <x:c r="Y254" s="46" t="str">
        <x:v>只能建立交换需求和观察问题。</x:v>
      </x:c>
      <x:c r="Z25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54" s="46" t="str">
        <x:v>中高</x:v>
      </x:c>
      <x:c r="AB254" s="46" t="str">
        <x:v>待验证</x:v>
      </x:c>
      <x:c r="AC254" s="46" t="str"/>
      <x:c r="AD254" s="46" t="str">
        <x:v>exchange_evidence=XV0; provisional=true; rule_group=EXCHANGE-XV证据</x:v>
      </x:c>
      <x:c r="AE254" s="46" t="str">
        <x:v>0.4</x:v>
      </x:c>
    </x:row>
    <x:row r="255" ht="50" customHeight="1">
      <x:c r="A255" s="46" t="str">
        <x:v>M5-EXCHANGE-254</x:v>
      </x:c>
      <x:c r="B255" s="46" t="str">
        <x:v>XV0 无双方交换证据｜禁止发布</x:v>
      </x:c>
      <x:c r="C255" s="46" t="str">
        <x:v>L5 双人交换证据深度</x:v>
      </x:c>
      <x:c r="D255" s="46" t="str">
        <x:v>EXCHANGE-XV证据</x:v>
      </x:c>
      <x:c r="E255" s="46" t="str">
        <x:v>通用</x:v>
      </x:c>
      <x:c r="F255" s="46" t="str">
        <x:v>边界</x:v>
      </x:c>
      <x:c r="G255" s="46" t="str">
        <x:v>XV0</x:v>
      </x:c>
      <x:c r="H255" s="46" t="str">
        <x:v>无双方交换证据</x:v>
      </x:c>
      <x:c r="I255" s="46" t="str">
        <x:v>XV0成立。</x:v>
      </x:c>
      <x:c r="J255" s="46" t="str">
        <x:v>无</x:v>
      </x:c>
      <x:c r="K255" s="46" t="str">
        <x:v>由共享基础引擎、M3与M5-BASE提供；只修正用户怎样给予、请求、接收和回馈，不直接判断双方现实交换质量。</x:v>
      </x:c>
      <x:c r="L255" s="46" t="str">
        <x:v>M2只说明进入关系所需资格证据；不能替代长期双向交换、负荷与修复验证。</x:v>
      </x:c>
      <x:c r="M255" s="46" t="str">
        <x:v>M3-BASE、EXPR、CARE和BOUND提供用户自然互动通道；M5-EXCHANGE负责把两人的实际行为合成为交换结构。</x:v>
      </x:c>
      <x:c r="N255" s="46" t="str">
        <x:v>无／按本规则指定的给予—请求—接收—反馈—重订路径路由。</x:v>
      </x:c>
      <x:c r="O255" s="46" t="str">
        <x:v>近位、远位只修正该交换需求进入亲密关系核心的可能；不得据此判断具体伴侣现实中一定配合。</x:v>
      </x:c>
      <x:c r="P255" s="46" t="str">
        <x:v>根气只修正用户交换需求和通道是否稳定重复，不等于双方已形成成熟互惠。</x:v>
      </x:c>
      <x:c r="Q255" s="46" t="str">
        <x:v>旺弱只修正通道调用强度、抢位或缺位风险，不直接等于交换公平或关系质量。</x:v>
      </x:c>
      <x:c r="R255" s="46" t="str">
        <x:v>喜忌只修正调用顺畅度与摩擦，不可直接翻译为理想伴侣五行、十神或必然互补。</x:v>
      </x:c>
      <x:c r="S255" s="46" t="str">
        <x:v>真合化成立时按化神功能重算用户交换需求；合化争议时停止细化交换通道。</x:v>
      </x:c>
      <x:c r="T255" s="46" t="str">
        <x:v>近位提高该交换议题进入关系核心的可能；远位只保留背景或阶段性观察。</x:v>
      </x:c>
      <x:c r="U255" s="46" t="str">
        <x:v>95</x:v>
      </x:c>
      <x:c r="V255" s="46" t="str">
        <x:v>不加分；边界</x:v>
      </x:c>
      <x:c r="W255" s="46" t="str">
        <x:v>boundary_note</x:v>
      </x:c>
      <x:c r="X255" s="46" t="str">
        <x:v>不能判断双向性、负荷或互惠。</x:v>
      </x:c>
      <x:c r="Y255" s="46" t="str">
        <x:v>目前还不能：不能判断双向性、负荷或互惠。</x:v>
      </x:c>
      <x:c r="Z25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55" s="46" t="str">
        <x:v>高</x:v>
      </x:c>
      <x:c r="AB255" s="46" t="str">
        <x:v>待验证</x:v>
      </x:c>
      <x:c r="AC255" s="46" t="str"/>
      <x:c r="AD255" s="46" t="str">
        <x:v>exchange_evidence=XV0; provisional=true; rule_group=EXCHANGE-XV证据</x:v>
      </x:c>
      <x:c r="AE255" s="46" t="str">
        <x:v>0.4</x:v>
      </x:c>
    </x:row>
    <x:row r="256" ht="50" customHeight="1">
      <x:c r="A256" s="46" t="str">
        <x:v>M5-EXCHANGE-255</x:v>
      </x:c>
      <x:c r="B256" s="46" t="str">
        <x:v>XV0 无双方交换证据｜升级任务</x:v>
      </x:c>
      <x:c r="C256" s="46" t="str">
        <x:v>L5 双人交换证据深度</x:v>
      </x:c>
      <x:c r="D256" s="46" t="str">
        <x:v>EXCHANGE-XV证据</x:v>
      </x:c>
      <x:c r="E256" s="46" t="str">
        <x:v>通用</x:v>
      </x:c>
      <x:c r="F256" s="46" t="str">
        <x:v>路由</x:v>
      </x:c>
      <x:c r="G256" s="46" t="str">
        <x:v>XV0</x:v>
      </x:c>
      <x:c r="H256" s="46" t="str">
        <x:v>无双方交换证据</x:v>
      </x:c>
      <x:c r="I256" s="46" t="str">
        <x:v>准备从XV0升级。</x:v>
      </x:c>
      <x:c r="J256" s="46" t="str">
        <x:v>安全、资料或反例停止。</x:v>
      </x:c>
      <x:c r="K256" s="46" t="str">
        <x:v>由共享基础引擎、M3与M5-BASE提供；只修正用户怎样给予、请求、接收和回馈，不直接判断双方现实交换质量。</x:v>
      </x:c>
      <x:c r="L256" s="46" t="str">
        <x:v>M2只说明进入关系所需资格证据；不能替代长期双向交换、负荷与修复验证。</x:v>
      </x:c>
      <x:c r="M256" s="46" t="str">
        <x:v>M3-BASE、EXPR、CARE和BOUND提供用户自然互动通道；M5-EXCHANGE负责把两人的实际行为合成为交换结构。</x:v>
      </x:c>
      <x:c r="N256" s="46" t="str">
        <x:v>无／按本规则指定的给予—请求—接收—反馈—重订路径路由。</x:v>
      </x:c>
      <x:c r="O256" s="46" t="str">
        <x:v>近位、远位只修正该交换需求进入亲密关系核心的可能；不得据此判断具体伴侣现实中一定配合。</x:v>
      </x:c>
      <x:c r="P256" s="46" t="str">
        <x:v>根气只修正用户交换需求和通道是否稳定重复，不等于双方已形成成熟互惠。</x:v>
      </x:c>
      <x:c r="Q256" s="46" t="str">
        <x:v>旺弱只修正通道调用强度、抢位或缺位风险，不直接等于交换公平或关系质量。</x:v>
      </x:c>
      <x:c r="R256" s="46" t="str">
        <x:v>喜忌只修正调用顺畅度与摩擦，不可直接翻译为理想伴侣五行、十神或必然互补。</x:v>
      </x:c>
      <x:c r="S256" s="46" t="str">
        <x:v>真合化成立时按化神功能重算用户交换需求；合化争议时停止细化交换通道。</x:v>
      </x:c>
      <x:c r="T256" s="46" t="str">
        <x:v>近位提高该交换议题进入关系核心的可能；远位只保留背景或阶段性观察。</x:v>
      </x:c>
      <x:c r="U256" s="46" t="str">
        <x:v>76</x:v>
      </x:c>
      <x:c r="V256" s="46" t="str">
        <x:v>不加分；观察计划</x:v>
      </x:c>
      <x:c r="W256" s="46" t="str">
        <x:v>observation_plan</x:v>
      </x:c>
      <x:c r="X256" s="46" t="str">
        <x:v>补充至少一个完整交换事件。</x:v>
      </x:c>
      <x:c r="Y256" s="46" t="str">
        <x:v>下一步观察：补充至少一个完整交换事件。</x:v>
      </x:c>
      <x:c r="Z25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56" s="46" t="str">
        <x:v>中</x:v>
      </x:c>
      <x:c r="AB256" s="46" t="str">
        <x:v>待验证</x:v>
      </x:c>
      <x:c r="AC256" s="46" t="str"/>
      <x:c r="AD256" s="46" t="str">
        <x:v>exchange_evidence=XV0; provisional=true; rule_group=EXCHANGE-XV证据</x:v>
      </x:c>
      <x:c r="AE256" s="46" t="str">
        <x:v>0.4</x:v>
      </x:c>
    </x:row>
    <x:row r="257" ht="50" customHeight="1">
      <x:c r="A257" s="46" t="str">
        <x:v>M5-EXCHANGE-256</x:v>
      </x:c>
      <x:c r="B257" s="46" t="str">
        <x:v>XV0 无双方交换证据｜与FG关系</x:v>
      </x:c>
      <x:c r="C257" s="46" t="str">
        <x:v>L5 双人交换证据深度</x:v>
      </x:c>
      <x:c r="D257" s="46" t="str">
        <x:v>EXCHANGE-XV证据</x:v>
      </x:c>
      <x:c r="E257" s="46" t="str">
        <x:v>通用</x:v>
      </x:c>
      <x:c r="F257" s="46" t="str">
        <x:v>接口</x:v>
      </x:c>
      <x:c r="G257" s="46" t="str">
        <x:v>XV0</x:v>
      </x:c>
      <x:c r="H257" s="46" t="str">
        <x:v>无双方交换证据</x:v>
      </x:c>
      <x:c r="I257" s="46" t="str">
        <x:v>XV0可用。</x:v>
      </x:c>
      <x:c r="J257" s="46" t="str">
        <x:v>把XV直接等同FG。</x:v>
      </x:c>
      <x:c r="K257" s="46" t="str">
        <x:v>由共享基础引擎、M3与M5-BASE提供；只修正用户怎样给予、请求、接收和回馈，不直接判断双方现实交换质量。</x:v>
      </x:c>
      <x:c r="L257" s="46" t="str">
        <x:v>M2只说明进入关系所需资格证据；不能替代长期双向交换、负荷与修复验证。</x:v>
      </x:c>
      <x:c r="M257" s="46" t="str">
        <x:v>M3-BASE、EXPR、CARE和BOUND提供用户自然互动通道；M5-EXCHANGE负责把两人的实际行为合成为交换结构。</x:v>
      </x:c>
      <x:c r="N257" s="46" t="str">
        <x:v>无／按本规则指定的给予—请求—接收—反馈—重订路径路由。</x:v>
      </x:c>
      <x:c r="O257" s="46" t="str">
        <x:v>近位、远位只修正该交换需求进入亲密关系核心的可能；不得据此判断具体伴侣现实中一定配合。</x:v>
      </x:c>
      <x:c r="P257" s="46" t="str">
        <x:v>根气只修正用户交换需求和通道是否稳定重复，不等于双方已形成成熟互惠。</x:v>
      </x:c>
      <x:c r="Q257" s="46" t="str">
        <x:v>旺弱只修正通道调用强度、抢位或缺位风险，不直接等于交换公平或关系质量。</x:v>
      </x:c>
      <x:c r="R257" s="46" t="str">
        <x:v>喜忌只修正调用顺畅度与摩擦，不可直接翻译为理想伴侣五行、十神或必然互补。</x:v>
      </x:c>
      <x:c r="S257" s="46" t="str">
        <x:v>真合化成立时按化神功能重算用户交换需求；合化争议时停止细化交换通道。</x:v>
      </x:c>
      <x:c r="T257" s="46" t="str">
        <x:v>近位提高该交换议题进入关系核心的可能；远位只保留背景或阶段性观察。</x:v>
      </x:c>
      <x:c r="U257" s="46" t="str">
        <x:v>92</x:v>
      </x:c>
      <x:c r="V257" s="46" t="str">
        <x:v>不加分；去耦</x:v>
      </x:c>
      <x:c r="W257" s="46" t="str">
        <x:v>fit_grade</x:v>
      </x:c>
      <x:c r="X257" s="46" t="str">
        <x:v>XV与FG分开计算。</x:v>
      </x:c>
      <x:c r="Y257" s="46" t="str">
        <x:v>交换证据更深，但最终适配仍需综合现实门槛。</x:v>
      </x:c>
      <x:c r="Z25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57" s="46" t="str">
        <x:v>高</x:v>
      </x:c>
      <x:c r="AB257" s="46" t="str">
        <x:v>待验证</x:v>
      </x:c>
      <x:c r="AC257" s="46" t="str"/>
      <x:c r="AD257" s="46" t="str">
        <x:v>exchange_evidence=XV0; provisional=true; rule_group=EXCHANGE-XV证据</x:v>
      </x:c>
      <x:c r="AE257" s="46" t="str">
        <x:v>0.4</x:v>
      </x:c>
    </x:row>
    <x:row r="258" ht="50" customHeight="1">
      <x:c r="A258" s="46" t="str">
        <x:v>M5-EXCHANGE-257</x:v>
      </x:c>
      <x:c r="B258" s="46" t="str">
        <x:v>XV1 单方自述／期待证据｜正式定义</x:v>
      </x:c>
      <x:c r="C258" s="46" t="str">
        <x:v>L5 双人交换证据深度</x:v>
      </x:c>
      <x:c r="D258" s="46" t="str">
        <x:v>EXCHANGE-XV证据</x:v>
      </x:c>
      <x:c r="E258" s="46" t="str">
        <x:v>通用</x:v>
      </x:c>
      <x:c r="F258" s="46" t="str">
        <x:v>定义</x:v>
      </x:c>
      <x:c r="G258" s="46" t="str">
        <x:v>XV1</x:v>
      </x:c>
      <x:c r="H258" s="46" t="str">
        <x:v>单方自述／期待证据</x:v>
      </x:c>
      <x:c r="I258" s="46" t="str">
        <x:v>评估双方交换事件证据。</x:v>
      </x:c>
      <x:c r="J258" s="46" t="str">
        <x:v>无</x:v>
      </x:c>
      <x:c r="K258" s="46" t="str">
        <x:v>由共享基础引擎、M3与M5-BASE提供；只修正用户怎样给予、请求、接收和回馈，不直接判断双方现实交换质量。</x:v>
      </x:c>
      <x:c r="L258" s="46" t="str">
        <x:v>M2只说明进入关系所需资格证据；不能替代长期双向交换、负荷与修复验证。</x:v>
      </x:c>
      <x:c r="M258" s="46" t="str">
        <x:v>M3-BASE、EXPR、CARE和BOUND提供用户自然互动通道；M5-EXCHANGE负责把两人的实际行为合成为交换结构。</x:v>
      </x:c>
      <x:c r="N258" s="46" t="str">
        <x:v>无／按本规则指定的给予—请求—接收—反馈—重订路径路由。</x:v>
      </x:c>
      <x:c r="O258" s="46" t="str">
        <x:v>近位、远位只修正该交换需求进入亲密关系核心的可能；不得据此判断具体伴侣现实中一定配合。</x:v>
      </x:c>
      <x:c r="P258" s="46" t="str">
        <x:v>根气只修正用户交换需求和通道是否稳定重复，不等于双方已形成成熟互惠。</x:v>
      </x:c>
      <x:c r="Q258" s="46" t="str">
        <x:v>旺弱只修正通道调用强度、抢位或缺位风险，不直接等于交换公平或关系质量。</x:v>
      </x:c>
      <x:c r="R258" s="46" t="str">
        <x:v>喜忌只修正调用顺畅度与摩擦，不可直接翻译为理想伴侣五行、十神或必然互补。</x:v>
      </x:c>
      <x:c r="S258" s="46" t="str">
        <x:v>真合化成立时按化神功能重算用户交换需求；合化争议时停止细化交换通道。</x:v>
      </x:c>
      <x:c r="T258" s="46" t="str">
        <x:v>近位提高该交换议题进入关系核心的可能；远位只保留背景或阶段性观察。</x:v>
      </x:c>
      <x:c r="U258" s="46" t="str">
        <x:v>96</x:v>
      </x:c>
      <x:c r="V258" s="46" t="str">
        <x:v>不加分；证据定义</x:v>
      </x:c>
      <x:c r="W258" s="46" t="str">
        <x:v>exchange_evidence_level</x:v>
      </x:c>
      <x:c r="X258" s="46" t="str">
        <x:v>只有一方对自己或对方的概括，没有具体事件链。</x:v>
      </x:c>
      <x:c r="Y258" s="46" t="str">
        <x:v>当前交换证据层级：单方自述／期待证据。</x:v>
      </x:c>
      <x:c r="Z25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58" s="46" t="str">
        <x:v>高</x:v>
      </x:c>
      <x:c r="AB258" s="46" t="str">
        <x:v>待验证</x:v>
      </x:c>
      <x:c r="AC258" s="46" t="str"/>
      <x:c r="AD258" s="46" t="str">
        <x:v>exchange_evidence=XV1; provisional=true; rule_group=EXCHANGE-XV证据</x:v>
      </x:c>
      <x:c r="AE258" s="46" t="str">
        <x:v>0.4</x:v>
      </x:c>
    </x:row>
    <x:row r="259" ht="50" customHeight="1">
      <x:c r="A259" s="46" t="str">
        <x:v>M5-EXCHANGE-258</x:v>
      </x:c>
      <x:c r="B259" s="46" t="str">
        <x:v>XV1 单方自述／期待证据｜最低资料</x:v>
      </x:c>
      <x:c r="C259" s="46" t="str">
        <x:v>L5 双人交换证据深度</x:v>
      </x:c>
      <x:c r="D259" s="46" t="str">
        <x:v>EXCHANGE-XV证据</x:v>
      </x:c>
      <x:c r="E259" s="46" t="str">
        <x:v>通用</x:v>
      </x:c>
      <x:c r="F259" s="46" t="str">
        <x:v>证据</x:v>
      </x:c>
      <x:c r="G259" s="46" t="str">
        <x:v>XV1</x:v>
      </x:c>
      <x:c r="H259" s="46" t="str">
        <x:v>单方自述／期待证据</x:v>
      </x:c>
      <x:c r="I259" s="46" t="str">
        <x:v>只有一方对自己或对方的概括，没有具体事件链。</x:v>
      </x:c>
      <x:c r="J259" s="46" t="str">
        <x:v>没有相应现实资料。</x:v>
      </x:c>
      <x:c r="K259" s="46" t="str">
        <x:v>由共享基础引擎、M3与M5-BASE提供；只修正用户怎样给予、请求、接收和回馈，不直接判断双方现实交换质量。</x:v>
      </x:c>
      <x:c r="L259" s="46" t="str">
        <x:v>M2只说明进入关系所需资格证据；不能替代长期双向交换、负荷与修复验证。</x:v>
      </x:c>
      <x:c r="M259" s="46" t="str">
        <x:v>M3-BASE、EXPR、CARE和BOUND提供用户自然互动通道；M5-EXCHANGE负责把两人的实际行为合成为交换结构。</x:v>
      </x:c>
      <x:c r="N259" s="46" t="str">
        <x:v>无／按本规则指定的给予—请求—接收—反馈—重订路径路由。</x:v>
      </x:c>
      <x:c r="O259" s="46" t="str">
        <x:v>近位、远位只修正该交换需求进入亲密关系核心的可能；不得据此判断具体伴侣现实中一定配合。</x:v>
      </x:c>
      <x:c r="P259" s="46" t="str">
        <x:v>根气只修正用户交换需求和通道是否稳定重复，不等于双方已形成成熟互惠。</x:v>
      </x:c>
      <x:c r="Q259" s="46" t="str">
        <x:v>旺弱只修正通道调用强度、抢位或缺位风险，不直接等于交换公平或关系质量。</x:v>
      </x:c>
      <x:c r="R259" s="46" t="str">
        <x:v>喜忌只修正调用顺畅度与摩擦，不可直接翻译为理想伴侣五行、十神或必然互补。</x:v>
      </x:c>
      <x:c r="S259" s="46" t="str">
        <x:v>真合化成立时按化神功能重算用户交换需求；合化争议时停止细化交换通道。</x:v>
      </x:c>
      <x:c r="T259" s="46" t="str">
        <x:v>近位提高该交换议题进入关系核心的可能；远位只保留背景或阶段性观察。</x:v>
      </x:c>
      <x:c r="U259" s="46" t="str">
        <x:v>88</x:v>
      </x:c>
      <x:c r="V259" s="46" t="str">
        <x:v>XV路由</x:v>
      </x:c>
      <x:c r="W259" s="46" t="str">
        <x:v>exchange_evidence_level</x:v>
      </x:c>
      <x:c r="X259" s="46" t="str">
        <x:v>XV1的最低资料是：只有一方对自己或对方的概括，没有具体事件链。</x:v>
      </x:c>
      <x:c r="Y259" s="46" t="str">
        <x:v>这一层主要依据：只有一方对自己或对方的概括，没有具体事件链。</x:v>
      </x:c>
      <x:c r="Z25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59" s="46" t="str">
        <x:v>中高</x:v>
      </x:c>
      <x:c r="AB259" s="46" t="str">
        <x:v>待验证</x:v>
      </x:c>
      <x:c r="AC259" s="46" t="str"/>
      <x:c r="AD259" s="46" t="str">
        <x:v>exchange_evidence=XV1; provisional=true; rule_group=EXCHANGE-XV证据</x:v>
      </x:c>
      <x:c r="AE259" s="46" t="str">
        <x:v>0.4</x:v>
      </x:c>
    </x:row>
    <x:row r="260" ht="50" customHeight="1">
      <x:c r="A260" s="46" t="str">
        <x:v>M5-EXCHANGE-259</x:v>
      </x:c>
      <x:c r="B260" s="46" t="str">
        <x:v>XV1 单方自述／期待证据｜允许发布</x:v>
      </x:c>
      <x:c r="C260" s="46" t="str">
        <x:v>L5 双人交换证据深度</x:v>
      </x:c>
      <x:c r="D260" s="46" t="str">
        <x:v>EXCHANGE-XV证据</x:v>
      </x:c>
      <x:c r="E260" s="46" t="str">
        <x:v>通用</x:v>
      </x:c>
      <x:c r="F260" s="46" t="str">
        <x:v>输出</x:v>
      </x:c>
      <x:c r="G260" s="46" t="str">
        <x:v>XV1</x:v>
      </x:c>
      <x:c r="H260" s="46" t="str">
        <x:v>单方自述／期待证据</x:v>
      </x:c>
      <x:c r="I260" s="46" t="str">
        <x:v>XV1成立。</x:v>
      </x:c>
      <x:c r="J260" s="46" t="str">
        <x:v>试图越级到更强结论。</x:v>
      </x:c>
      <x:c r="K260" s="46" t="str">
        <x:v>由共享基础引擎、M3与M5-BASE提供；只修正用户怎样给予、请求、接收和回馈，不直接判断双方现实交换质量。</x:v>
      </x:c>
      <x:c r="L260" s="46" t="str">
        <x:v>M2只说明进入关系所需资格证据；不能替代长期双向交换、负荷与修复验证。</x:v>
      </x:c>
      <x:c r="M260" s="46" t="str">
        <x:v>M3-BASE、EXPR、CARE和BOUND提供用户自然互动通道；M5-EXCHANGE负责把两人的实际行为合成为交换结构。</x:v>
      </x:c>
      <x:c r="N260" s="46" t="str">
        <x:v>无／按本规则指定的给予—请求—接收—反馈—重订路径路由。</x:v>
      </x:c>
      <x:c r="O260" s="46" t="str">
        <x:v>近位、远位只修正该交换需求进入亲密关系核心的可能；不得据此判断具体伴侣现实中一定配合。</x:v>
      </x:c>
      <x:c r="P260" s="46" t="str">
        <x:v>根气只修正用户交换需求和通道是否稳定重复，不等于双方已形成成熟互惠。</x:v>
      </x:c>
      <x:c r="Q260" s="46" t="str">
        <x:v>旺弱只修正通道调用强度、抢位或缺位风险，不直接等于交换公平或关系质量。</x:v>
      </x:c>
      <x:c r="R260" s="46" t="str">
        <x:v>喜忌只修正调用顺畅度与摩擦，不可直接翻译为理想伴侣五行、十神或必然互补。</x:v>
      </x:c>
      <x:c r="S260" s="46" t="str">
        <x:v>真合化成立时按化神功能重算用户交换需求；合化争议时停止细化交换通道。</x:v>
      </x:c>
      <x:c r="T260" s="46" t="str">
        <x:v>近位提高该交换议题进入关系核心的可能；远位只保留背景或阶段性观察。</x:v>
      </x:c>
      <x:c r="U260" s="46" t="str">
        <x:v>84</x:v>
      </x:c>
      <x:c r="V260" s="46" t="str">
        <x:v>发布上限</x:v>
      </x:c>
      <x:c r="W260" s="46" t="str">
        <x:v>report_text</x:v>
      </x:c>
      <x:c r="X260" s="46" t="str">
        <x:v>可形成访谈假设。</x:v>
      </x:c>
      <x:c r="Y260" s="46" t="str">
        <x:v>可形成访谈假设。</x:v>
      </x:c>
      <x:c r="Z26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60" s="46" t="str">
        <x:v>中高</x:v>
      </x:c>
      <x:c r="AB260" s="46" t="str">
        <x:v>待验证</x:v>
      </x:c>
      <x:c r="AC260" s="46" t="str"/>
      <x:c r="AD260" s="46" t="str">
        <x:v>exchange_evidence=XV1; provisional=true; rule_group=EXCHANGE-XV证据</x:v>
      </x:c>
      <x:c r="AE260" s="46" t="str">
        <x:v>0.4</x:v>
      </x:c>
    </x:row>
    <x:row r="261" ht="50" customHeight="1">
      <x:c r="A261" s="46" t="str">
        <x:v>M5-EXCHANGE-260</x:v>
      </x:c>
      <x:c r="B261" s="46" t="str">
        <x:v>XV1 单方自述／期待证据｜禁止发布</x:v>
      </x:c>
      <x:c r="C261" s="46" t="str">
        <x:v>L5 双人交换证据深度</x:v>
      </x:c>
      <x:c r="D261" s="46" t="str">
        <x:v>EXCHANGE-XV证据</x:v>
      </x:c>
      <x:c r="E261" s="46" t="str">
        <x:v>通用</x:v>
      </x:c>
      <x:c r="F261" s="46" t="str">
        <x:v>边界</x:v>
      </x:c>
      <x:c r="G261" s="46" t="str">
        <x:v>XV1</x:v>
      </x:c>
      <x:c r="H261" s="46" t="str">
        <x:v>单方自述／期待证据</x:v>
      </x:c>
      <x:c r="I261" s="46" t="str">
        <x:v>XV1成立。</x:v>
      </x:c>
      <x:c r="J261" s="46" t="str">
        <x:v>无</x:v>
      </x:c>
      <x:c r="K261" s="46" t="str">
        <x:v>由共享基础引擎、M3与M5-BASE提供；只修正用户怎样给予、请求、接收和回馈，不直接判断双方现实交换质量。</x:v>
      </x:c>
      <x:c r="L261" s="46" t="str">
        <x:v>M2只说明进入关系所需资格证据；不能替代长期双向交换、负荷与修复验证。</x:v>
      </x:c>
      <x:c r="M261" s="46" t="str">
        <x:v>M3-BASE、EXPR、CARE和BOUND提供用户自然互动通道；M5-EXCHANGE负责把两人的实际行为合成为交换结构。</x:v>
      </x:c>
      <x:c r="N261" s="46" t="str">
        <x:v>无／按本规则指定的给予—请求—接收—反馈—重订路径路由。</x:v>
      </x:c>
      <x:c r="O261" s="46" t="str">
        <x:v>近位、远位只修正该交换需求进入亲密关系核心的可能；不得据此判断具体伴侣现实中一定配合。</x:v>
      </x:c>
      <x:c r="P261" s="46" t="str">
        <x:v>根气只修正用户交换需求和通道是否稳定重复，不等于双方已形成成熟互惠。</x:v>
      </x:c>
      <x:c r="Q261" s="46" t="str">
        <x:v>旺弱只修正通道调用强度、抢位或缺位风险，不直接等于交换公平或关系质量。</x:v>
      </x:c>
      <x:c r="R261" s="46" t="str">
        <x:v>喜忌只修正调用顺畅度与摩擦，不可直接翻译为理想伴侣五行、十神或必然互补。</x:v>
      </x:c>
      <x:c r="S261" s="46" t="str">
        <x:v>真合化成立时按化神功能重算用户交换需求；合化争议时停止细化交换通道。</x:v>
      </x:c>
      <x:c r="T261" s="46" t="str">
        <x:v>近位提高该交换议题进入关系核心的可能；远位只保留背景或阶段性观察。</x:v>
      </x:c>
      <x:c r="U261" s="46" t="str">
        <x:v>95</x:v>
      </x:c>
      <x:c r="V261" s="46" t="str">
        <x:v>不加分；边界</x:v>
      </x:c>
      <x:c r="W261" s="46" t="str">
        <x:v>boundary_note</x:v>
      </x:c>
      <x:c r="X261" s="46" t="str">
        <x:v>不能写稳定交换或单方负荷。</x:v>
      </x:c>
      <x:c r="Y261" s="46" t="str">
        <x:v>目前还不能：不能写稳定交换或单方负荷。</x:v>
      </x:c>
      <x:c r="Z26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61" s="46" t="str">
        <x:v>高</x:v>
      </x:c>
      <x:c r="AB261" s="46" t="str">
        <x:v>待验证</x:v>
      </x:c>
      <x:c r="AC261" s="46" t="str"/>
      <x:c r="AD261" s="46" t="str">
        <x:v>exchange_evidence=XV1; provisional=true; rule_group=EXCHANGE-XV证据</x:v>
      </x:c>
      <x:c r="AE261" s="46" t="str">
        <x:v>0.4</x:v>
      </x:c>
    </x:row>
    <x:row r="262" ht="50" customHeight="1">
      <x:c r="A262" s="46" t="str">
        <x:v>M5-EXCHANGE-261</x:v>
      </x:c>
      <x:c r="B262" s="46" t="str">
        <x:v>XV1 单方自述／期待证据｜升级任务</x:v>
      </x:c>
      <x:c r="C262" s="46" t="str">
        <x:v>L5 双人交换证据深度</x:v>
      </x:c>
      <x:c r="D262" s="46" t="str">
        <x:v>EXCHANGE-XV证据</x:v>
      </x:c>
      <x:c r="E262" s="46" t="str">
        <x:v>通用</x:v>
      </x:c>
      <x:c r="F262" s="46" t="str">
        <x:v>路由</x:v>
      </x:c>
      <x:c r="G262" s="46" t="str">
        <x:v>XV1</x:v>
      </x:c>
      <x:c r="H262" s="46" t="str">
        <x:v>单方自述／期待证据</x:v>
      </x:c>
      <x:c r="I262" s="46" t="str">
        <x:v>准备从XV1升级。</x:v>
      </x:c>
      <x:c r="J262" s="46" t="str">
        <x:v>安全、资料或反例停止。</x:v>
      </x:c>
      <x:c r="K262" s="46" t="str">
        <x:v>由共享基础引擎、M3与M5-BASE提供；只修正用户怎样给予、请求、接收和回馈，不直接判断双方现实交换质量。</x:v>
      </x:c>
      <x:c r="L262" s="46" t="str">
        <x:v>M2只说明进入关系所需资格证据；不能替代长期双向交换、负荷与修复验证。</x:v>
      </x:c>
      <x:c r="M262" s="46" t="str">
        <x:v>M3-BASE、EXPR、CARE和BOUND提供用户自然互动通道；M5-EXCHANGE负责把两人的实际行为合成为交换结构。</x:v>
      </x:c>
      <x:c r="N262" s="46" t="str">
        <x:v>无／按本规则指定的给予—请求—接收—反馈—重订路径路由。</x:v>
      </x:c>
      <x:c r="O262" s="46" t="str">
        <x:v>近位、远位只修正该交换需求进入亲密关系核心的可能；不得据此判断具体伴侣现实中一定配合。</x:v>
      </x:c>
      <x:c r="P262" s="46" t="str">
        <x:v>根气只修正用户交换需求和通道是否稳定重复，不等于双方已形成成熟互惠。</x:v>
      </x:c>
      <x:c r="Q262" s="46" t="str">
        <x:v>旺弱只修正通道调用强度、抢位或缺位风险，不直接等于交换公平或关系质量。</x:v>
      </x:c>
      <x:c r="R262" s="46" t="str">
        <x:v>喜忌只修正调用顺畅度与摩擦，不可直接翻译为理想伴侣五行、十神或必然互补。</x:v>
      </x:c>
      <x:c r="S262" s="46" t="str">
        <x:v>真合化成立时按化神功能重算用户交换需求；合化争议时停止细化交换通道。</x:v>
      </x:c>
      <x:c r="T262" s="46" t="str">
        <x:v>近位提高该交换议题进入关系核心的可能；远位只保留背景或阶段性观察。</x:v>
      </x:c>
      <x:c r="U262" s="46" t="str">
        <x:v>76</x:v>
      </x:c>
      <x:c r="V262" s="46" t="str">
        <x:v>不加分；观察计划</x:v>
      </x:c>
      <x:c r="W262" s="46" t="str">
        <x:v>observation_plan</x:v>
      </x:c>
      <x:c r="X262" s="46" t="str">
        <x:v>记录谁请求、谁回应、谁接收和后续怎样。</x:v>
      </x:c>
      <x:c r="Y262" s="46" t="str">
        <x:v>下一步观察：记录谁请求、谁回应、谁接收和后续怎样。</x:v>
      </x:c>
      <x:c r="Z26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62" s="46" t="str">
        <x:v>中</x:v>
      </x:c>
      <x:c r="AB262" s="46" t="str">
        <x:v>待验证</x:v>
      </x:c>
      <x:c r="AC262" s="46" t="str"/>
      <x:c r="AD262" s="46" t="str">
        <x:v>exchange_evidence=XV1; provisional=true; rule_group=EXCHANGE-XV证据</x:v>
      </x:c>
      <x:c r="AE262" s="46" t="str">
        <x:v>0.4</x:v>
      </x:c>
    </x:row>
    <x:row r="263" ht="50" customHeight="1">
      <x:c r="A263" s="46" t="str">
        <x:v>M5-EXCHANGE-262</x:v>
      </x:c>
      <x:c r="B263" s="46" t="str">
        <x:v>XV1 单方自述／期待证据｜与FG关系</x:v>
      </x:c>
      <x:c r="C263" s="46" t="str">
        <x:v>L5 双人交换证据深度</x:v>
      </x:c>
      <x:c r="D263" s="46" t="str">
        <x:v>EXCHANGE-XV证据</x:v>
      </x:c>
      <x:c r="E263" s="46" t="str">
        <x:v>通用</x:v>
      </x:c>
      <x:c r="F263" s="46" t="str">
        <x:v>接口</x:v>
      </x:c>
      <x:c r="G263" s="46" t="str">
        <x:v>XV1</x:v>
      </x:c>
      <x:c r="H263" s="46" t="str">
        <x:v>单方自述／期待证据</x:v>
      </x:c>
      <x:c r="I263" s="46" t="str">
        <x:v>XV1可用。</x:v>
      </x:c>
      <x:c r="J263" s="46" t="str">
        <x:v>把XV直接等同FG。</x:v>
      </x:c>
      <x:c r="K263" s="46" t="str">
        <x:v>由共享基础引擎、M3与M5-BASE提供；只修正用户怎样给予、请求、接收和回馈，不直接判断双方现实交换质量。</x:v>
      </x:c>
      <x:c r="L263" s="46" t="str">
        <x:v>M2只说明进入关系所需资格证据；不能替代长期双向交换、负荷与修复验证。</x:v>
      </x:c>
      <x:c r="M263" s="46" t="str">
        <x:v>M3-BASE、EXPR、CARE和BOUND提供用户自然互动通道；M5-EXCHANGE负责把两人的实际行为合成为交换结构。</x:v>
      </x:c>
      <x:c r="N263" s="46" t="str">
        <x:v>无／按本规则指定的给予—请求—接收—反馈—重订路径路由。</x:v>
      </x:c>
      <x:c r="O263" s="46" t="str">
        <x:v>近位、远位只修正该交换需求进入亲密关系核心的可能；不得据此判断具体伴侣现实中一定配合。</x:v>
      </x:c>
      <x:c r="P263" s="46" t="str">
        <x:v>根气只修正用户交换需求和通道是否稳定重复，不等于双方已形成成熟互惠。</x:v>
      </x:c>
      <x:c r="Q263" s="46" t="str">
        <x:v>旺弱只修正通道调用强度、抢位或缺位风险，不直接等于交换公平或关系质量。</x:v>
      </x:c>
      <x:c r="R263" s="46" t="str">
        <x:v>喜忌只修正调用顺畅度与摩擦，不可直接翻译为理想伴侣五行、十神或必然互补。</x:v>
      </x:c>
      <x:c r="S263" s="46" t="str">
        <x:v>真合化成立时按化神功能重算用户交换需求；合化争议时停止细化交换通道。</x:v>
      </x:c>
      <x:c r="T263" s="46" t="str">
        <x:v>近位提高该交换议题进入关系核心的可能；远位只保留背景或阶段性观察。</x:v>
      </x:c>
      <x:c r="U263" s="46" t="str">
        <x:v>92</x:v>
      </x:c>
      <x:c r="V263" s="46" t="str">
        <x:v>不加分；去耦</x:v>
      </x:c>
      <x:c r="W263" s="46" t="str">
        <x:v>fit_grade</x:v>
      </x:c>
      <x:c r="X263" s="46" t="str">
        <x:v>XV与FG分开计算。</x:v>
      </x:c>
      <x:c r="Y263" s="46" t="str">
        <x:v>交换证据更深，但最终适配仍需综合现实门槛。</x:v>
      </x:c>
      <x:c r="Z26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63" s="46" t="str">
        <x:v>高</x:v>
      </x:c>
      <x:c r="AB263" s="46" t="str">
        <x:v>待验证</x:v>
      </x:c>
      <x:c r="AC263" s="46" t="str"/>
      <x:c r="AD263" s="46" t="str">
        <x:v>exchange_evidence=XV1; provisional=true; rule_group=EXCHANGE-XV证据</x:v>
      </x:c>
      <x:c r="AE263" s="46" t="str">
        <x:v>0.4</x:v>
      </x:c>
    </x:row>
    <x:row r="264" ht="50" customHeight="1">
      <x:c r="A264" s="46" t="str">
        <x:v>M5-EXCHANGE-263</x:v>
      </x:c>
      <x:c r="B264" s="46" t="str">
        <x:v>XV2 单次交换事件｜正式定义</x:v>
      </x:c>
      <x:c r="C264" s="46" t="str">
        <x:v>L5 双人交换证据深度</x:v>
      </x:c>
      <x:c r="D264" s="46" t="str">
        <x:v>EXCHANGE-XV证据</x:v>
      </x:c>
      <x:c r="E264" s="46" t="str">
        <x:v>通用</x:v>
      </x:c>
      <x:c r="F264" s="46" t="str">
        <x:v>定义</x:v>
      </x:c>
      <x:c r="G264" s="46" t="str">
        <x:v>XV2</x:v>
      </x:c>
      <x:c r="H264" s="46" t="str">
        <x:v>单次交换事件</x:v>
      </x:c>
      <x:c r="I264" s="46" t="str">
        <x:v>评估双方交换事件证据。</x:v>
      </x:c>
      <x:c r="J264" s="46" t="str">
        <x:v>无</x:v>
      </x:c>
      <x:c r="K264" s="46" t="str">
        <x:v>由共享基础引擎、M3与M5-BASE提供；只修正用户怎样给予、请求、接收和回馈，不直接判断双方现实交换质量。</x:v>
      </x:c>
      <x:c r="L264" s="46" t="str">
        <x:v>M2只说明进入关系所需资格证据；不能替代长期双向交换、负荷与修复验证。</x:v>
      </x:c>
      <x:c r="M264" s="46" t="str">
        <x:v>M3-BASE、EXPR、CARE和BOUND提供用户自然互动通道；M5-EXCHANGE负责把两人的实际行为合成为交换结构。</x:v>
      </x:c>
      <x:c r="N264" s="46" t="str">
        <x:v>无／按本规则指定的给予—请求—接收—反馈—重订路径路由。</x:v>
      </x:c>
      <x:c r="O264" s="46" t="str">
        <x:v>近位、远位只修正该交换需求进入亲密关系核心的可能；不得据此判断具体伴侣现实中一定配合。</x:v>
      </x:c>
      <x:c r="P264" s="46" t="str">
        <x:v>根气只修正用户交换需求和通道是否稳定重复，不等于双方已形成成熟互惠。</x:v>
      </x:c>
      <x:c r="Q264" s="46" t="str">
        <x:v>旺弱只修正通道调用强度、抢位或缺位风险，不直接等于交换公平或关系质量。</x:v>
      </x:c>
      <x:c r="R264" s="46" t="str">
        <x:v>喜忌只修正调用顺畅度与摩擦，不可直接翻译为理想伴侣五行、十神或必然互补。</x:v>
      </x:c>
      <x:c r="S264" s="46" t="str">
        <x:v>真合化成立时按化神功能重算用户交换需求；合化争议时停止细化交换通道。</x:v>
      </x:c>
      <x:c r="T264" s="46" t="str">
        <x:v>近位提高该交换议题进入关系核心的可能；远位只保留背景或阶段性观察。</x:v>
      </x:c>
      <x:c r="U264" s="46" t="str">
        <x:v>96</x:v>
      </x:c>
      <x:c r="V264" s="46" t="str">
        <x:v>不加分；证据定义</x:v>
      </x:c>
      <x:c r="W264" s="46" t="str">
        <x:v>exchange_evidence_level</x:v>
      </x:c>
      <x:c r="X264" s="46" t="str">
        <x:v>有一次较完整的给予—接收—回应事件。</x:v>
      </x:c>
      <x:c r="Y264" s="46" t="str">
        <x:v>当前交换证据层级：单次交换事件。</x:v>
      </x:c>
      <x:c r="Z26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64" s="46" t="str">
        <x:v>高</x:v>
      </x:c>
      <x:c r="AB264" s="46" t="str">
        <x:v>待验证</x:v>
      </x:c>
      <x:c r="AC264" s="46" t="str"/>
      <x:c r="AD264" s="46" t="str">
        <x:v>exchange_evidence=XV2; provisional=true; rule_group=EXCHANGE-XV证据</x:v>
      </x:c>
      <x:c r="AE264" s="46" t="str">
        <x:v>0.4</x:v>
      </x:c>
    </x:row>
    <x:row r="265" ht="50" customHeight="1">
      <x:c r="A265" s="46" t="str">
        <x:v>M5-EXCHANGE-264</x:v>
      </x:c>
      <x:c r="B265" s="46" t="str">
        <x:v>XV2 单次交换事件｜最低资料</x:v>
      </x:c>
      <x:c r="C265" s="46" t="str">
        <x:v>L5 双人交换证据深度</x:v>
      </x:c>
      <x:c r="D265" s="46" t="str">
        <x:v>EXCHANGE-XV证据</x:v>
      </x:c>
      <x:c r="E265" s="46" t="str">
        <x:v>通用</x:v>
      </x:c>
      <x:c r="F265" s="46" t="str">
        <x:v>证据</x:v>
      </x:c>
      <x:c r="G265" s="46" t="str">
        <x:v>XV2</x:v>
      </x:c>
      <x:c r="H265" s="46" t="str">
        <x:v>单次交换事件</x:v>
      </x:c>
      <x:c r="I265" s="46" t="str">
        <x:v>有一次较完整的给予—接收—回应事件。</x:v>
      </x:c>
      <x:c r="J265" s="46" t="str">
        <x:v>没有相应现实资料。</x:v>
      </x:c>
      <x:c r="K265" s="46" t="str">
        <x:v>由共享基础引擎、M3与M5-BASE提供；只修正用户怎样给予、请求、接收和回馈，不直接判断双方现实交换质量。</x:v>
      </x:c>
      <x:c r="L265" s="46" t="str">
        <x:v>M2只说明进入关系所需资格证据；不能替代长期双向交换、负荷与修复验证。</x:v>
      </x:c>
      <x:c r="M265" s="46" t="str">
        <x:v>M3-BASE、EXPR、CARE和BOUND提供用户自然互动通道；M5-EXCHANGE负责把两人的实际行为合成为交换结构。</x:v>
      </x:c>
      <x:c r="N265" s="46" t="str">
        <x:v>无／按本规则指定的给予—请求—接收—反馈—重订路径路由。</x:v>
      </x:c>
      <x:c r="O265" s="46" t="str">
        <x:v>近位、远位只修正该交换需求进入亲密关系核心的可能；不得据此判断具体伴侣现实中一定配合。</x:v>
      </x:c>
      <x:c r="P265" s="46" t="str">
        <x:v>根气只修正用户交换需求和通道是否稳定重复，不等于双方已形成成熟互惠。</x:v>
      </x:c>
      <x:c r="Q265" s="46" t="str">
        <x:v>旺弱只修正通道调用强度、抢位或缺位风险，不直接等于交换公平或关系质量。</x:v>
      </x:c>
      <x:c r="R265" s="46" t="str">
        <x:v>喜忌只修正调用顺畅度与摩擦，不可直接翻译为理想伴侣五行、十神或必然互补。</x:v>
      </x:c>
      <x:c r="S265" s="46" t="str">
        <x:v>真合化成立时按化神功能重算用户交换需求；合化争议时停止细化交换通道。</x:v>
      </x:c>
      <x:c r="T265" s="46" t="str">
        <x:v>近位提高该交换议题进入关系核心的可能；远位只保留背景或阶段性观察。</x:v>
      </x:c>
      <x:c r="U265" s="46" t="str">
        <x:v>88</x:v>
      </x:c>
      <x:c r="V265" s="46" t="str">
        <x:v>XV路由</x:v>
      </x:c>
      <x:c r="W265" s="46" t="str">
        <x:v>exchange_evidence_level</x:v>
      </x:c>
      <x:c r="X265" s="46" t="str">
        <x:v>XV2的最低资料是：有一次较完整的给予—接收—回应事件。</x:v>
      </x:c>
      <x:c r="Y265" s="46" t="str">
        <x:v>这一层主要依据：有一次较完整的给予—接收—回应事件。</x:v>
      </x:c>
      <x:c r="Z26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65" s="46" t="str">
        <x:v>中高</x:v>
      </x:c>
      <x:c r="AB265" s="46" t="str">
        <x:v>待验证</x:v>
      </x:c>
      <x:c r="AC265" s="46" t="str"/>
      <x:c r="AD265" s="46" t="str">
        <x:v>exchange_evidence=XV2; provisional=true; rule_group=EXCHANGE-XV证据</x:v>
      </x:c>
      <x:c r="AE265" s="46" t="str">
        <x:v>0.4</x:v>
      </x:c>
    </x:row>
    <x:row r="266" ht="50" customHeight="1">
      <x:c r="A266" s="46" t="str">
        <x:v>M5-EXCHANGE-265</x:v>
      </x:c>
      <x:c r="B266" s="46" t="str">
        <x:v>XV2 单次交换事件｜允许发布</x:v>
      </x:c>
      <x:c r="C266" s="46" t="str">
        <x:v>L5 双人交换证据深度</x:v>
      </x:c>
      <x:c r="D266" s="46" t="str">
        <x:v>EXCHANGE-XV证据</x:v>
      </x:c>
      <x:c r="E266" s="46" t="str">
        <x:v>通用</x:v>
      </x:c>
      <x:c r="F266" s="46" t="str">
        <x:v>输出</x:v>
      </x:c>
      <x:c r="G266" s="46" t="str">
        <x:v>XV2</x:v>
      </x:c>
      <x:c r="H266" s="46" t="str">
        <x:v>单次交换事件</x:v>
      </x:c>
      <x:c r="I266" s="46" t="str">
        <x:v>XV2成立。</x:v>
      </x:c>
      <x:c r="J266" s="46" t="str">
        <x:v>试图越级到更强结论。</x:v>
      </x:c>
      <x:c r="K266" s="46" t="str">
        <x:v>由共享基础引擎、M3与M5-BASE提供；只修正用户怎样给予、请求、接收和回馈，不直接判断双方现实交换质量。</x:v>
      </x:c>
      <x:c r="L266" s="46" t="str">
        <x:v>M2只说明进入关系所需资格证据；不能替代长期双向交换、负荷与修复验证。</x:v>
      </x:c>
      <x:c r="M266" s="46" t="str">
        <x:v>M3-BASE、EXPR、CARE和BOUND提供用户自然互动通道；M5-EXCHANGE负责把两人的实际行为合成为交换结构。</x:v>
      </x:c>
      <x:c r="N266" s="46" t="str">
        <x:v>无／按本规则指定的给予—请求—接收—反馈—重订路径路由。</x:v>
      </x:c>
      <x:c r="O266" s="46" t="str">
        <x:v>近位、远位只修正该交换需求进入亲密关系核心的可能；不得据此判断具体伴侣现实中一定配合。</x:v>
      </x:c>
      <x:c r="P266" s="46" t="str">
        <x:v>根气只修正用户交换需求和通道是否稳定重复，不等于双方已形成成熟互惠。</x:v>
      </x:c>
      <x:c r="Q266" s="46" t="str">
        <x:v>旺弱只修正通道调用强度、抢位或缺位风险，不直接等于交换公平或关系质量。</x:v>
      </x:c>
      <x:c r="R266" s="46" t="str">
        <x:v>喜忌只修正调用顺畅度与摩擦，不可直接翻译为理想伴侣五行、十神或必然互补。</x:v>
      </x:c>
      <x:c r="S266" s="46" t="str">
        <x:v>真合化成立时按化神功能重算用户交换需求；合化争议时停止细化交换通道。</x:v>
      </x:c>
      <x:c r="T266" s="46" t="str">
        <x:v>近位提高该交换议题进入关系核心的可能；远位只保留背景或阶段性观察。</x:v>
      </x:c>
      <x:c r="U266" s="46" t="str">
        <x:v>84</x:v>
      </x:c>
      <x:c r="V266" s="46" t="str">
        <x:v>发布上限</x:v>
      </x:c>
      <x:c r="W266" s="46" t="str">
        <x:v>report_text</x:v>
      </x:c>
      <x:c r="X266" s="46" t="str">
        <x:v>可确认这次交换怎样运行。</x:v>
      </x:c>
      <x:c r="Y266" s="46" t="str">
        <x:v>可确认这次交换怎样运行。</x:v>
      </x:c>
      <x:c r="Z26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66" s="46" t="str">
        <x:v>中高</x:v>
      </x:c>
      <x:c r="AB266" s="46" t="str">
        <x:v>待验证</x:v>
      </x:c>
      <x:c r="AC266" s="46" t="str"/>
      <x:c r="AD266" s="46" t="str">
        <x:v>exchange_evidence=XV2; provisional=true; rule_group=EXCHANGE-XV证据</x:v>
      </x:c>
      <x:c r="AE266" s="46" t="str">
        <x:v>0.4</x:v>
      </x:c>
    </x:row>
    <x:row r="267" ht="50" customHeight="1">
      <x:c r="A267" s="46" t="str">
        <x:v>M5-EXCHANGE-266</x:v>
      </x:c>
      <x:c r="B267" s="46" t="str">
        <x:v>XV2 单次交换事件｜禁止发布</x:v>
      </x:c>
      <x:c r="C267" s="46" t="str">
        <x:v>L5 双人交换证据深度</x:v>
      </x:c>
      <x:c r="D267" s="46" t="str">
        <x:v>EXCHANGE-XV证据</x:v>
      </x:c>
      <x:c r="E267" s="46" t="str">
        <x:v>通用</x:v>
      </x:c>
      <x:c r="F267" s="46" t="str">
        <x:v>边界</x:v>
      </x:c>
      <x:c r="G267" s="46" t="str">
        <x:v>XV2</x:v>
      </x:c>
      <x:c r="H267" s="46" t="str">
        <x:v>单次交换事件</x:v>
      </x:c>
      <x:c r="I267" s="46" t="str">
        <x:v>XV2成立。</x:v>
      </x:c>
      <x:c r="J267" s="46" t="str">
        <x:v>无</x:v>
      </x:c>
      <x:c r="K267" s="46" t="str">
        <x:v>由共享基础引擎、M3与M5-BASE提供；只修正用户怎样给予、请求、接收和回馈，不直接判断双方现实交换质量。</x:v>
      </x:c>
      <x:c r="L267" s="46" t="str">
        <x:v>M2只说明进入关系所需资格证据；不能替代长期双向交换、负荷与修复验证。</x:v>
      </x:c>
      <x:c r="M267" s="46" t="str">
        <x:v>M3-BASE、EXPR、CARE和BOUND提供用户自然互动通道；M5-EXCHANGE负责把两人的实际行为合成为交换结构。</x:v>
      </x:c>
      <x:c r="N267" s="46" t="str">
        <x:v>无／按本规则指定的给予—请求—接收—反馈—重订路径路由。</x:v>
      </x:c>
      <x:c r="O267" s="46" t="str">
        <x:v>近位、远位只修正该交换需求进入亲密关系核心的可能；不得据此判断具体伴侣现实中一定配合。</x:v>
      </x:c>
      <x:c r="P267" s="46" t="str">
        <x:v>根气只修正用户交换需求和通道是否稳定重复，不等于双方已形成成熟互惠。</x:v>
      </x:c>
      <x:c r="Q267" s="46" t="str">
        <x:v>旺弱只修正通道调用强度、抢位或缺位风险，不直接等于交换公平或关系质量。</x:v>
      </x:c>
      <x:c r="R267" s="46" t="str">
        <x:v>喜忌只修正调用顺畅度与摩擦，不可直接翻译为理想伴侣五行、十神或必然互补。</x:v>
      </x:c>
      <x:c r="S267" s="46" t="str">
        <x:v>真合化成立时按化神功能重算用户交换需求；合化争议时停止细化交换通道。</x:v>
      </x:c>
      <x:c r="T267" s="46" t="str">
        <x:v>近位提高该交换议题进入关系核心的可能；远位只保留背景或阶段性观察。</x:v>
      </x:c>
      <x:c r="U267" s="46" t="str">
        <x:v>95</x:v>
      </x:c>
      <x:c r="V267" s="46" t="str">
        <x:v>不加分；边界</x:v>
      </x:c>
      <x:c r="W267" s="46" t="str">
        <x:v>boundary_note</x:v>
      </x:c>
      <x:c r="X267" s="46" t="str">
        <x:v>不能写稳定模式或长期公平。</x:v>
      </x:c>
      <x:c r="Y267" s="46" t="str">
        <x:v>目前还不能：不能写稳定模式或长期公平。</x:v>
      </x:c>
      <x:c r="Z26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67" s="46" t="str">
        <x:v>高</x:v>
      </x:c>
      <x:c r="AB267" s="46" t="str">
        <x:v>待验证</x:v>
      </x:c>
      <x:c r="AC267" s="46" t="str"/>
      <x:c r="AD267" s="46" t="str">
        <x:v>exchange_evidence=XV2; provisional=true; rule_group=EXCHANGE-XV证据</x:v>
      </x:c>
      <x:c r="AE267" s="46" t="str">
        <x:v>0.4</x:v>
      </x:c>
    </x:row>
    <x:row r="268" ht="50" customHeight="1">
      <x:c r="A268" s="46" t="str">
        <x:v>M5-EXCHANGE-267</x:v>
      </x:c>
      <x:c r="B268" s="46" t="str">
        <x:v>XV2 单次交换事件｜升级任务</x:v>
      </x:c>
      <x:c r="C268" s="46" t="str">
        <x:v>L5 双人交换证据深度</x:v>
      </x:c>
      <x:c r="D268" s="46" t="str">
        <x:v>EXCHANGE-XV证据</x:v>
      </x:c>
      <x:c r="E268" s="46" t="str">
        <x:v>通用</x:v>
      </x:c>
      <x:c r="F268" s="46" t="str">
        <x:v>路由</x:v>
      </x:c>
      <x:c r="G268" s="46" t="str">
        <x:v>XV2</x:v>
      </x:c>
      <x:c r="H268" s="46" t="str">
        <x:v>单次交换事件</x:v>
      </x:c>
      <x:c r="I268" s="46" t="str">
        <x:v>准备从XV2升级。</x:v>
      </x:c>
      <x:c r="J268" s="46" t="str">
        <x:v>安全、资料或反例停止。</x:v>
      </x:c>
      <x:c r="K268" s="46" t="str">
        <x:v>由共享基础引擎、M3与M5-BASE提供；只修正用户怎样给予、请求、接收和回馈，不直接判断双方现实交换质量。</x:v>
      </x:c>
      <x:c r="L268" s="46" t="str">
        <x:v>M2只说明进入关系所需资格证据；不能替代长期双向交换、负荷与修复验证。</x:v>
      </x:c>
      <x:c r="M268" s="46" t="str">
        <x:v>M3-BASE、EXPR、CARE和BOUND提供用户自然互动通道；M5-EXCHANGE负责把两人的实际行为合成为交换结构。</x:v>
      </x:c>
      <x:c r="N268" s="46" t="str">
        <x:v>无／按本规则指定的给予—请求—接收—反馈—重订路径路由。</x:v>
      </x:c>
      <x:c r="O268" s="46" t="str">
        <x:v>近位、远位只修正该交换需求进入亲密关系核心的可能；不得据此判断具体伴侣现实中一定配合。</x:v>
      </x:c>
      <x:c r="P268" s="46" t="str">
        <x:v>根气只修正用户交换需求和通道是否稳定重复，不等于双方已形成成熟互惠。</x:v>
      </x:c>
      <x:c r="Q268" s="46" t="str">
        <x:v>旺弱只修正通道调用强度、抢位或缺位风险，不直接等于交换公平或关系质量。</x:v>
      </x:c>
      <x:c r="R268" s="46" t="str">
        <x:v>喜忌只修正调用顺畅度与摩擦，不可直接翻译为理想伴侣五行、十神或必然互补。</x:v>
      </x:c>
      <x:c r="S268" s="46" t="str">
        <x:v>真合化成立时按化神功能重算用户交换需求；合化争议时停止细化交换通道。</x:v>
      </x:c>
      <x:c r="T268" s="46" t="str">
        <x:v>近位提高该交换议题进入关系核心的可能；远位只保留背景或阶段性观察。</x:v>
      </x:c>
      <x:c r="U268" s="46" t="str">
        <x:v>76</x:v>
      </x:c>
      <x:c r="V268" s="46" t="str">
        <x:v>不加分；观察计划</x:v>
      </x:c>
      <x:c r="W268" s="46" t="str">
        <x:v>observation_plan</x:v>
      </x:c>
      <x:c r="X268" s="46" t="str">
        <x:v>观察同类情境是否重复。</x:v>
      </x:c>
      <x:c r="Y268" s="46" t="str">
        <x:v>下一步观察：观察同类情境是否重复。</x:v>
      </x:c>
      <x:c r="Z26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68" s="46" t="str">
        <x:v>中</x:v>
      </x:c>
      <x:c r="AB268" s="46" t="str">
        <x:v>待验证</x:v>
      </x:c>
      <x:c r="AC268" s="46" t="str"/>
      <x:c r="AD268" s="46" t="str">
        <x:v>exchange_evidence=XV2; provisional=true; rule_group=EXCHANGE-XV证据</x:v>
      </x:c>
      <x:c r="AE268" s="46" t="str">
        <x:v>0.4</x:v>
      </x:c>
    </x:row>
    <x:row r="269" ht="50" customHeight="1">
      <x:c r="A269" s="46" t="str">
        <x:v>M5-EXCHANGE-268</x:v>
      </x:c>
      <x:c r="B269" s="46" t="str">
        <x:v>XV2 单次交换事件｜与FG关系</x:v>
      </x:c>
      <x:c r="C269" s="46" t="str">
        <x:v>L5 双人交换证据深度</x:v>
      </x:c>
      <x:c r="D269" s="46" t="str">
        <x:v>EXCHANGE-XV证据</x:v>
      </x:c>
      <x:c r="E269" s="46" t="str">
        <x:v>通用</x:v>
      </x:c>
      <x:c r="F269" s="46" t="str">
        <x:v>接口</x:v>
      </x:c>
      <x:c r="G269" s="46" t="str">
        <x:v>XV2</x:v>
      </x:c>
      <x:c r="H269" s="46" t="str">
        <x:v>单次交换事件</x:v>
      </x:c>
      <x:c r="I269" s="46" t="str">
        <x:v>XV2可用。</x:v>
      </x:c>
      <x:c r="J269" s="46" t="str">
        <x:v>把XV直接等同FG。</x:v>
      </x:c>
      <x:c r="K269" s="46" t="str">
        <x:v>由共享基础引擎、M3与M5-BASE提供；只修正用户怎样给予、请求、接收和回馈，不直接判断双方现实交换质量。</x:v>
      </x:c>
      <x:c r="L269" s="46" t="str">
        <x:v>M2只说明进入关系所需资格证据；不能替代长期双向交换、负荷与修复验证。</x:v>
      </x:c>
      <x:c r="M269" s="46" t="str">
        <x:v>M3-BASE、EXPR、CARE和BOUND提供用户自然互动通道；M5-EXCHANGE负责把两人的实际行为合成为交换结构。</x:v>
      </x:c>
      <x:c r="N269" s="46" t="str">
        <x:v>无／按本规则指定的给予—请求—接收—反馈—重订路径路由。</x:v>
      </x:c>
      <x:c r="O269" s="46" t="str">
        <x:v>近位、远位只修正该交换需求进入亲密关系核心的可能；不得据此判断具体伴侣现实中一定配合。</x:v>
      </x:c>
      <x:c r="P269" s="46" t="str">
        <x:v>根气只修正用户交换需求和通道是否稳定重复，不等于双方已形成成熟互惠。</x:v>
      </x:c>
      <x:c r="Q269" s="46" t="str">
        <x:v>旺弱只修正通道调用强度、抢位或缺位风险，不直接等于交换公平或关系质量。</x:v>
      </x:c>
      <x:c r="R269" s="46" t="str">
        <x:v>喜忌只修正调用顺畅度与摩擦，不可直接翻译为理想伴侣五行、十神或必然互补。</x:v>
      </x:c>
      <x:c r="S269" s="46" t="str">
        <x:v>真合化成立时按化神功能重算用户交换需求；合化争议时停止细化交换通道。</x:v>
      </x:c>
      <x:c r="T269" s="46" t="str">
        <x:v>近位提高该交换议题进入关系核心的可能；远位只保留背景或阶段性观察。</x:v>
      </x:c>
      <x:c r="U269" s="46" t="str">
        <x:v>92</x:v>
      </x:c>
      <x:c r="V269" s="46" t="str">
        <x:v>不加分；去耦</x:v>
      </x:c>
      <x:c r="W269" s="46" t="str">
        <x:v>fit_grade</x:v>
      </x:c>
      <x:c r="X269" s="46" t="str">
        <x:v>XV与FG分开计算。</x:v>
      </x:c>
      <x:c r="Y269" s="46" t="str">
        <x:v>交换证据更深，但最终适配仍需综合现实门槛。</x:v>
      </x:c>
      <x:c r="Z26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69" s="46" t="str">
        <x:v>高</x:v>
      </x:c>
      <x:c r="AB269" s="46" t="str">
        <x:v>待验证</x:v>
      </x:c>
      <x:c r="AC269" s="46" t="str"/>
      <x:c r="AD269" s="46" t="str">
        <x:v>exchange_evidence=XV2; provisional=true; rule_group=EXCHANGE-XV证据</x:v>
      </x:c>
      <x:c r="AE269" s="46" t="str">
        <x:v>0.4</x:v>
      </x:c>
    </x:row>
    <x:row r="270" ht="50" customHeight="1">
      <x:c r="A270" s="46" t="str">
        <x:v>M5-EXCHANGE-269</x:v>
      </x:c>
      <x:c r="B270" s="46" t="str">
        <x:v>XV3 同领域重复证据｜正式定义</x:v>
      </x:c>
      <x:c r="C270" s="46" t="str">
        <x:v>L5 双人交换证据深度</x:v>
      </x:c>
      <x:c r="D270" s="46" t="str">
        <x:v>EXCHANGE-XV证据</x:v>
      </x:c>
      <x:c r="E270" s="46" t="str">
        <x:v>通用</x:v>
      </x:c>
      <x:c r="F270" s="46" t="str">
        <x:v>定义</x:v>
      </x:c>
      <x:c r="G270" s="46" t="str">
        <x:v>XV3</x:v>
      </x:c>
      <x:c r="H270" s="46" t="str">
        <x:v>同领域重复证据</x:v>
      </x:c>
      <x:c r="I270" s="46" t="str">
        <x:v>评估双方交换事件证据。</x:v>
      </x:c>
      <x:c r="J270" s="46" t="str">
        <x:v>无</x:v>
      </x:c>
      <x:c r="K270" s="46" t="str">
        <x:v>由共享基础引擎、M3与M5-BASE提供；只修正用户怎样给予、请求、接收和回馈，不直接判断双方现实交换质量。</x:v>
      </x:c>
      <x:c r="L270" s="46" t="str">
        <x:v>M2只说明进入关系所需资格证据；不能替代长期双向交换、负荷与修复验证。</x:v>
      </x:c>
      <x:c r="M270" s="46" t="str">
        <x:v>M3-BASE、EXPR、CARE和BOUND提供用户自然互动通道；M5-EXCHANGE负责把两人的实际行为合成为交换结构。</x:v>
      </x:c>
      <x:c r="N270" s="46" t="str">
        <x:v>无／按本规则指定的给予—请求—接收—反馈—重订路径路由。</x:v>
      </x:c>
      <x:c r="O270" s="46" t="str">
        <x:v>近位、远位只修正该交换需求进入亲密关系核心的可能；不得据此判断具体伴侣现实中一定配合。</x:v>
      </x:c>
      <x:c r="P270" s="46" t="str">
        <x:v>根气只修正用户交换需求和通道是否稳定重复，不等于双方已形成成熟互惠。</x:v>
      </x:c>
      <x:c r="Q270" s="46" t="str">
        <x:v>旺弱只修正通道调用强度、抢位或缺位风险，不直接等于交换公平或关系质量。</x:v>
      </x:c>
      <x:c r="R270" s="46" t="str">
        <x:v>喜忌只修正调用顺畅度与摩擦，不可直接翻译为理想伴侣五行、十神或必然互补。</x:v>
      </x:c>
      <x:c r="S270" s="46" t="str">
        <x:v>真合化成立时按化神功能重算用户交换需求；合化争议时停止细化交换通道。</x:v>
      </x:c>
      <x:c r="T270" s="46" t="str">
        <x:v>近位提高该交换议题进入关系核心的可能；远位只保留背景或阶段性观察。</x:v>
      </x:c>
      <x:c r="U270" s="46" t="str">
        <x:v>96</x:v>
      </x:c>
      <x:c r="V270" s="46" t="str">
        <x:v>不加分；证据定义</x:v>
      </x:c>
      <x:c r="W270" s="46" t="str">
        <x:v>exchange_evidence_level</x:v>
      </x:c>
      <x:c r="X270" s="46" t="str">
        <x:v>在同一领域多次出现相似交换结构。</x:v>
      </x:c>
      <x:c r="Y270" s="46" t="str">
        <x:v>当前交换证据层级：同领域重复证据。</x:v>
      </x:c>
      <x:c r="Z27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70" s="46" t="str">
        <x:v>高</x:v>
      </x:c>
      <x:c r="AB270" s="46" t="str">
        <x:v>待验证</x:v>
      </x:c>
      <x:c r="AC270" s="46" t="str"/>
      <x:c r="AD270" s="46" t="str">
        <x:v>exchange_evidence=XV3; provisional=true; rule_group=EXCHANGE-XV证据</x:v>
      </x:c>
      <x:c r="AE270" s="46" t="str">
        <x:v>0.4</x:v>
      </x:c>
    </x:row>
    <x:row r="271" ht="50" customHeight="1">
      <x:c r="A271" s="46" t="str">
        <x:v>M5-EXCHANGE-270</x:v>
      </x:c>
      <x:c r="B271" s="46" t="str">
        <x:v>XV3 同领域重复证据｜最低资料</x:v>
      </x:c>
      <x:c r="C271" s="46" t="str">
        <x:v>L5 双人交换证据深度</x:v>
      </x:c>
      <x:c r="D271" s="46" t="str">
        <x:v>EXCHANGE-XV证据</x:v>
      </x:c>
      <x:c r="E271" s="46" t="str">
        <x:v>通用</x:v>
      </x:c>
      <x:c r="F271" s="46" t="str">
        <x:v>证据</x:v>
      </x:c>
      <x:c r="G271" s="46" t="str">
        <x:v>XV3</x:v>
      </x:c>
      <x:c r="H271" s="46" t="str">
        <x:v>同领域重复证据</x:v>
      </x:c>
      <x:c r="I271" s="46" t="str">
        <x:v>在同一领域多次出现相似交换结构。</x:v>
      </x:c>
      <x:c r="J271" s="46" t="str">
        <x:v>没有相应现实资料。</x:v>
      </x:c>
      <x:c r="K271" s="46" t="str">
        <x:v>由共享基础引擎、M3与M5-BASE提供；只修正用户怎样给予、请求、接收和回馈，不直接判断双方现实交换质量。</x:v>
      </x:c>
      <x:c r="L271" s="46" t="str">
        <x:v>M2只说明进入关系所需资格证据；不能替代长期双向交换、负荷与修复验证。</x:v>
      </x:c>
      <x:c r="M271" s="46" t="str">
        <x:v>M3-BASE、EXPR、CARE和BOUND提供用户自然互动通道；M5-EXCHANGE负责把两人的实际行为合成为交换结构。</x:v>
      </x:c>
      <x:c r="N271" s="46" t="str">
        <x:v>无／按本规则指定的给予—请求—接收—反馈—重订路径路由。</x:v>
      </x:c>
      <x:c r="O271" s="46" t="str">
        <x:v>近位、远位只修正该交换需求进入亲密关系核心的可能；不得据此判断具体伴侣现实中一定配合。</x:v>
      </x:c>
      <x:c r="P271" s="46" t="str">
        <x:v>根气只修正用户交换需求和通道是否稳定重复，不等于双方已形成成熟互惠。</x:v>
      </x:c>
      <x:c r="Q271" s="46" t="str">
        <x:v>旺弱只修正通道调用强度、抢位或缺位风险，不直接等于交换公平或关系质量。</x:v>
      </x:c>
      <x:c r="R271" s="46" t="str">
        <x:v>喜忌只修正调用顺畅度与摩擦，不可直接翻译为理想伴侣五行、十神或必然互补。</x:v>
      </x:c>
      <x:c r="S271" s="46" t="str">
        <x:v>真合化成立时按化神功能重算用户交换需求；合化争议时停止细化交换通道。</x:v>
      </x:c>
      <x:c r="T271" s="46" t="str">
        <x:v>近位提高该交换议题进入关系核心的可能；远位只保留背景或阶段性观察。</x:v>
      </x:c>
      <x:c r="U271" s="46" t="str">
        <x:v>88</x:v>
      </x:c>
      <x:c r="V271" s="46" t="str">
        <x:v>XV路由</x:v>
      </x:c>
      <x:c r="W271" s="46" t="str">
        <x:v>exchange_evidence_level</x:v>
      </x:c>
      <x:c r="X271" s="46" t="str">
        <x:v>XV3的最低资料是：在同一领域多次出现相似交换结构。</x:v>
      </x:c>
      <x:c r="Y271" s="46" t="str">
        <x:v>这一层主要依据：在同一领域多次出现相似交换结构。</x:v>
      </x:c>
      <x:c r="Z27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71" s="46" t="str">
        <x:v>中高</x:v>
      </x:c>
      <x:c r="AB271" s="46" t="str">
        <x:v>待验证</x:v>
      </x:c>
      <x:c r="AC271" s="46" t="str"/>
      <x:c r="AD271" s="46" t="str">
        <x:v>exchange_evidence=XV3; provisional=true; rule_group=EXCHANGE-XV证据</x:v>
      </x:c>
      <x:c r="AE271" s="46" t="str">
        <x:v>0.4</x:v>
      </x:c>
    </x:row>
    <x:row r="272" ht="50" customHeight="1">
      <x:c r="A272" s="46" t="str">
        <x:v>M5-EXCHANGE-271</x:v>
      </x:c>
      <x:c r="B272" s="46" t="str">
        <x:v>XV3 同领域重复证据｜允许发布</x:v>
      </x:c>
      <x:c r="C272" s="46" t="str">
        <x:v>L5 双人交换证据深度</x:v>
      </x:c>
      <x:c r="D272" s="46" t="str">
        <x:v>EXCHANGE-XV证据</x:v>
      </x:c>
      <x:c r="E272" s="46" t="str">
        <x:v>通用</x:v>
      </x:c>
      <x:c r="F272" s="46" t="str">
        <x:v>输出</x:v>
      </x:c>
      <x:c r="G272" s="46" t="str">
        <x:v>XV3</x:v>
      </x:c>
      <x:c r="H272" s="46" t="str">
        <x:v>同领域重复证据</x:v>
      </x:c>
      <x:c r="I272" s="46" t="str">
        <x:v>XV3成立。</x:v>
      </x:c>
      <x:c r="J272" s="46" t="str">
        <x:v>试图越级到更强结论。</x:v>
      </x:c>
      <x:c r="K272" s="46" t="str">
        <x:v>由共享基础引擎、M3与M5-BASE提供；只修正用户怎样给予、请求、接收和回馈，不直接判断双方现实交换质量。</x:v>
      </x:c>
      <x:c r="L272" s="46" t="str">
        <x:v>M2只说明进入关系所需资格证据；不能替代长期双向交换、负荷与修复验证。</x:v>
      </x:c>
      <x:c r="M272" s="46" t="str">
        <x:v>M3-BASE、EXPR、CARE和BOUND提供用户自然互动通道；M5-EXCHANGE负责把两人的实际行为合成为交换结构。</x:v>
      </x:c>
      <x:c r="N272" s="46" t="str">
        <x:v>无／按本规则指定的给予—请求—接收—反馈—重订路径路由。</x:v>
      </x:c>
      <x:c r="O272" s="46" t="str">
        <x:v>近位、远位只修正该交换需求进入亲密关系核心的可能；不得据此判断具体伴侣现实中一定配合。</x:v>
      </x:c>
      <x:c r="P272" s="46" t="str">
        <x:v>根气只修正用户交换需求和通道是否稳定重复，不等于双方已形成成熟互惠。</x:v>
      </x:c>
      <x:c r="Q272" s="46" t="str">
        <x:v>旺弱只修正通道调用强度、抢位或缺位风险，不直接等于交换公平或关系质量。</x:v>
      </x:c>
      <x:c r="R272" s="46" t="str">
        <x:v>喜忌只修正调用顺畅度与摩擦，不可直接翻译为理想伴侣五行、十神或必然互补。</x:v>
      </x:c>
      <x:c r="S272" s="46" t="str">
        <x:v>真合化成立时按化神功能重算用户交换需求；合化争议时停止细化交换通道。</x:v>
      </x:c>
      <x:c r="T272" s="46" t="str">
        <x:v>近位提高该交换议题进入关系核心的可能；远位只保留背景或阶段性观察。</x:v>
      </x:c>
      <x:c r="U272" s="46" t="str">
        <x:v>84</x:v>
      </x:c>
      <x:c r="V272" s="46" t="str">
        <x:v>发布上限</x:v>
      </x:c>
      <x:c r="W272" s="46" t="str">
        <x:v>report_text</x:v>
      </x:c>
      <x:c r="X272" s="46" t="str">
        <x:v>可建立该领域内的模式候选。</x:v>
      </x:c>
      <x:c r="Y272" s="46" t="str">
        <x:v>可建立该领域内的模式候选。</x:v>
      </x:c>
      <x:c r="Z27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72" s="46" t="str">
        <x:v>中高</x:v>
      </x:c>
      <x:c r="AB272" s="46" t="str">
        <x:v>待验证</x:v>
      </x:c>
      <x:c r="AC272" s="46" t="str"/>
      <x:c r="AD272" s="46" t="str">
        <x:v>exchange_evidence=XV3; provisional=true; rule_group=EXCHANGE-XV证据</x:v>
      </x:c>
      <x:c r="AE272" s="46" t="str">
        <x:v>0.4</x:v>
      </x:c>
    </x:row>
    <x:row r="273" ht="50" customHeight="1">
      <x:c r="A273" s="46" t="str">
        <x:v>M5-EXCHANGE-272</x:v>
      </x:c>
      <x:c r="B273" s="46" t="str">
        <x:v>XV3 同领域重复证据｜禁止发布</x:v>
      </x:c>
      <x:c r="C273" s="46" t="str">
        <x:v>L5 双人交换证据深度</x:v>
      </x:c>
      <x:c r="D273" s="46" t="str">
        <x:v>EXCHANGE-XV证据</x:v>
      </x:c>
      <x:c r="E273" s="46" t="str">
        <x:v>通用</x:v>
      </x:c>
      <x:c r="F273" s="46" t="str">
        <x:v>边界</x:v>
      </x:c>
      <x:c r="G273" s="46" t="str">
        <x:v>XV3</x:v>
      </x:c>
      <x:c r="H273" s="46" t="str">
        <x:v>同领域重复证据</x:v>
      </x:c>
      <x:c r="I273" s="46" t="str">
        <x:v>XV3成立。</x:v>
      </x:c>
      <x:c r="J273" s="46" t="str">
        <x:v>无</x:v>
      </x:c>
      <x:c r="K273" s="46" t="str">
        <x:v>由共享基础引擎、M3与M5-BASE提供；只修正用户怎样给予、请求、接收和回馈，不直接判断双方现实交换质量。</x:v>
      </x:c>
      <x:c r="L273" s="46" t="str">
        <x:v>M2只说明进入关系所需资格证据；不能替代长期双向交换、负荷与修复验证。</x:v>
      </x:c>
      <x:c r="M273" s="46" t="str">
        <x:v>M3-BASE、EXPR、CARE和BOUND提供用户自然互动通道；M5-EXCHANGE负责把两人的实际行为合成为交换结构。</x:v>
      </x:c>
      <x:c r="N273" s="46" t="str">
        <x:v>无／按本规则指定的给予—请求—接收—反馈—重订路径路由。</x:v>
      </x:c>
      <x:c r="O273" s="46" t="str">
        <x:v>近位、远位只修正该交换需求进入亲密关系核心的可能；不得据此判断具体伴侣现实中一定配合。</x:v>
      </x:c>
      <x:c r="P273" s="46" t="str">
        <x:v>根气只修正用户交换需求和通道是否稳定重复，不等于双方已形成成熟互惠。</x:v>
      </x:c>
      <x:c r="Q273" s="46" t="str">
        <x:v>旺弱只修正通道调用强度、抢位或缺位风险，不直接等于交换公平或关系质量。</x:v>
      </x:c>
      <x:c r="R273" s="46" t="str">
        <x:v>喜忌只修正调用顺畅度与摩擦，不可直接翻译为理想伴侣五行、十神或必然互补。</x:v>
      </x:c>
      <x:c r="S273" s="46" t="str">
        <x:v>真合化成立时按化神功能重算用户交换需求；合化争议时停止细化交换通道。</x:v>
      </x:c>
      <x:c r="T273" s="46" t="str">
        <x:v>近位提高该交换议题进入关系核心的可能；远位只保留背景或阶段性观察。</x:v>
      </x:c>
      <x:c r="U273" s="46" t="str">
        <x:v>95</x:v>
      </x:c>
      <x:c r="V273" s="46" t="str">
        <x:v>不加分；边界</x:v>
      </x:c>
      <x:c r="W273" s="46" t="str">
        <x:v>boundary_note</x:v>
      </x:c>
      <x:c r="X273" s="46" t="str">
        <x:v>不能自动扩展到资源、压力或修复领域。</x:v>
      </x:c>
      <x:c r="Y273" s="46" t="str">
        <x:v>目前还不能：不能自动扩展到资源、压力或修复领域。</x:v>
      </x:c>
      <x:c r="Z27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73" s="46" t="str">
        <x:v>高</x:v>
      </x:c>
      <x:c r="AB273" s="46" t="str">
        <x:v>待验证</x:v>
      </x:c>
      <x:c r="AC273" s="46" t="str"/>
      <x:c r="AD273" s="46" t="str">
        <x:v>exchange_evidence=XV3; provisional=true; rule_group=EXCHANGE-XV证据</x:v>
      </x:c>
      <x:c r="AE273" s="46" t="str">
        <x:v>0.4</x:v>
      </x:c>
    </x:row>
    <x:row r="274" ht="50" customHeight="1">
      <x:c r="A274" s="46" t="str">
        <x:v>M5-EXCHANGE-273</x:v>
      </x:c>
      <x:c r="B274" s="46" t="str">
        <x:v>XV3 同领域重复证据｜升级任务</x:v>
      </x:c>
      <x:c r="C274" s="46" t="str">
        <x:v>L5 双人交换证据深度</x:v>
      </x:c>
      <x:c r="D274" s="46" t="str">
        <x:v>EXCHANGE-XV证据</x:v>
      </x:c>
      <x:c r="E274" s="46" t="str">
        <x:v>通用</x:v>
      </x:c>
      <x:c r="F274" s="46" t="str">
        <x:v>路由</x:v>
      </x:c>
      <x:c r="G274" s="46" t="str">
        <x:v>XV3</x:v>
      </x:c>
      <x:c r="H274" s="46" t="str">
        <x:v>同领域重复证据</x:v>
      </x:c>
      <x:c r="I274" s="46" t="str">
        <x:v>准备从XV3升级。</x:v>
      </x:c>
      <x:c r="J274" s="46" t="str">
        <x:v>安全、资料或反例停止。</x:v>
      </x:c>
      <x:c r="K274" s="46" t="str">
        <x:v>由共享基础引擎、M3与M5-BASE提供；只修正用户怎样给予、请求、接收和回馈，不直接判断双方现实交换质量。</x:v>
      </x:c>
      <x:c r="L274" s="46" t="str">
        <x:v>M2只说明进入关系所需资格证据；不能替代长期双向交换、负荷与修复验证。</x:v>
      </x:c>
      <x:c r="M274" s="46" t="str">
        <x:v>M3-BASE、EXPR、CARE和BOUND提供用户自然互动通道；M5-EXCHANGE负责把两人的实际行为合成为交换结构。</x:v>
      </x:c>
      <x:c r="N274" s="46" t="str">
        <x:v>无／按本规则指定的给予—请求—接收—反馈—重订路径路由。</x:v>
      </x:c>
      <x:c r="O274" s="46" t="str">
        <x:v>近位、远位只修正该交换需求进入亲密关系核心的可能；不得据此判断具体伴侣现实中一定配合。</x:v>
      </x:c>
      <x:c r="P274" s="46" t="str">
        <x:v>根气只修正用户交换需求和通道是否稳定重复，不等于双方已形成成熟互惠。</x:v>
      </x:c>
      <x:c r="Q274" s="46" t="str">
        <x:v>旺弱只修正通道调用强度、抢位或缺位风险，不直接等于交换公平或关系质量。</x:v>
      </x:c>
      <x:c r="R274" s="46" t="str">
        <x:v>喜忌只修正调用顺畅度与摩擦，不可直接翻译为理想伴侣五行、十神或必然互补。</x:v>
      </x:c>
      <x:c r="S274" s="46" t="str">
        <x:v>真合化成立时按化神功能重算用户交换需求；合化争议时停止细化交换通道。</x:v>
      </x:c>
      <x:c r="T274" s="46" t="str">
        <x:v>近位提高该交换议题进入关系核心的可能；远位只保留背景或阶段性观察。</x:v>
      </x:c>
      <x:c r="U274" s="46" t="str">
        <x:v>76</x:v>
      </x:c>
      <x:c r="V274" s="46" t="str">
        <x:v>不加分；观察计划</x:v>
      </x:c>
      <x:c r="W274" s="46" t="str">
        <x:v>observation_plan</x:v>
      </x:c>
      <x:c r="X274" s="46" t="str">
        <x:v>增加不同领域和成本情境。</x:v>
      </x:c>
      <x:c r="Y274" s="46" t="str">
        <x:v>下一步观察：增加不同领域和成本情境。</x:v>
      </x:c>
      <x:c r="Z27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74" s="46" t="str">
        <x:v>中</x:v>
      </x:c>
      <x:c r="AB274" s="46" t="str">
        <x:v>待验证</x:v>
      </x:c>
      <x:c r="AC274" s="46" t="str"/>
      <x:c r="AD274" s="46" t="str">
        <x:v>exchange_evidence=XV3; provisional=true; rule_group=EXCHANGE-XV证据</x:v>
      </x:c>
      <x:c r="AE274" s="46" t="str">
        <x:v>0.4</x:v>
      </x:c>
    </x:row>
    <x:row r="275" ht="50" customHeight="1">
      <x:c r="A275" s="46" t="str">
        <x:v>M5-EXCHANGE-274</x:v>
      </x:c>
      <x:c r="B275" s="46" t="str">
        <x:v>XV3 同领域重复证据｜与FG关系</x:v>
      </x:c>
      <x:c r="C275" s="46" t="str">
        <x:v>L5 双人交换证据深度</x:v>
      </x:c>
      <x:c r="D275" s="46" t="str">
        <x:v>EXCHANGE-XV证据</x:v>
      </x:c>
      <x:c r="E275" s="46" t="str">
        <x:v>通用</x:v>
      </x:c>
      <x:c r="F275" s="46" t="str">
        <x:v>接口</x:v>
      </x:c>
      <x:c r="G275" s="46" t="str">
        <x:v>XV3</x:v>
      </x:c>
      <x:c r="H275" s="46" t="str">
        <x:v>同领域重复证据</x:v>
      </x:c>
      <x:c r="I275" s="46" t="str">
        <x:v>XV3可用。</x:v>
      </x:c>
      <x:c r="J275" s="46" t="str">
        <x:v>把XV直接等同FG。</x:v>
      </x:c>
      <x:c r="K275" s="46" t="str">
        <x:v>由共享基础引擎、M3与M5-BASE提供；只修正用户怎样给予、请求、接收和回馈，不直接判断双方现实交换质量。</x:v>
      </x:c>
      <x:c r="L275" s="46" t="str">
        <x:v>M2只说明进入关系所需资格证据；不能替代长期双向交换、负荷与修复验证。</x:v>
      </x:c>
      <x:c r="M275" s="46" t="str">
        <x:v>M3-BASE、EXPR、CARE和BOUND提供用户自然互动通道；M5-EXCHANGE负责把两人的实际行为合成为交换结构。</x:v>
      </x:c>
      <x:c r="N275" s="46" t="str">
        <x:v>无／按本规则指定的给予—请求—接收—反馈—重订路径路由。</x:v>
      </x:c>
      <x:c r="O275" s="46" t="str">
        <x:v>近位、远位只修正该交换需求进入亲密关系核心的可能；不得据此判断具体伴侣现实中一定配合。</x:v>
      </x:c>
      <x:c r="P275" s="46" t="str">
        <x:v>根气只修正用户交换需求和通道是否稳定重复，不等于双方已形成成熟互惠。</x:v>
      </x:c>
      <x:c r="Q275" s="46" t="str">
        <x:v>旺弱只修正通道调用强度、抢位或缺位风险，不直接等于交换公平或关系质量。</x:v>
      </x:c>
      <x:c r="R275" s="46" t="str">
        <x:v>喜忌只修正调用顺畅度与摩擦，不可直接翻译为理想伴侣五行、十神或必然互补。</x:v>
      </x:c>
      <x:c r="S275" s="46" t="str">
        <x:v>真合化成立时按化神功能重算用户交换需求；合化争议时停止细化交换通道。</x:v>
      </x:c>
      <x:c r="T275" s="46" t="str">
        <x:v>近位提高该交换议题进入关系核心的可能；远位只保留背景或阶段性观察。</x:v>
      </x:c>
      <x:c r="U275" s="46" t="str">
        <x:v>92</x:v>
      </x:c>
      <x:c r="V275" s="46" t="str">
        <x:v>不加分；去耦</x:v>
      </x:c>
      <x:c r="W275" s="46" t="str">
        <x:v>fit_grade</x:v>
      </x:c>
      <x:c r="X275" s="46" t="str">
        <x:v>XV与FG分开计算。</x:v>
      </x:c>
      <x:c r="Y275" s="46" t="str">
        <x:v>交换证据更深，但最终适配仍需综合现实门槛。</x:v>
      </x:c>
      <x:c r="Z27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75" s="46" t="str">
        <x:v>高</x:v>
      </x:c>
      <x:c r="AB275" s="46" t="str">
        <x:v>待验证</x:v>
      </x:c>
      <x:c r="AC275" s="46" t="str"/>
      <x:c r="AD275" s="46" t="str">
        <x:v>exchange_evidence=XV3; provisional=true; rule_group=EXCHANGE-XV证据</x:v>
      </x:c>
      <x:c r="AE275" s="46" t="str">
        <x:v>0.4</x:v>
      </x:c>
    </x:row>
    <x:row r="276" ht="50" customHeight="1">
      <x:c r="A276" s="46" t="str">
        <x:v>M5-EXCHANGE-275</x:v>
      </x:c>
      <x:c r="B276" s="46" t="str">
        <x:v>XV4 跨领域一致证据｜正式定义</x:v>
      </x:c>
      <x:c r="C276" s="46" t="str">
        <x:v>L5 双人交换证据深度</x:v>
      </x:c>
      <x:c r="D276" s="46" t="str">
        <x:v>EXCHANGE-XV证据</x:v>
      </x:c>
      <x:c r="E276" s="46" t="str">
        <x:v>通用</x:v>
      </x:c>
      <x:c r="F276" s="46" t="str">
        <x:v>定义</x:v>
      </x:c>
      <x:c r="G276" s="46" t="str">
        <x:v>XV4</x:v>
      </x:c>
      <x:c r="H276" s="46" t="str">
        <x:v>跨领域一致证据</x:v>
      </x:c>
      <x:c r="I276" s="46" t="str">
        <x:v>评估双方交换事件证据。</x:v>
      </x:c>
      <x:c r="J276" s="46" t="str">
        <x:v>无</x:v>
      </x:c>
      <x:c r="K276" s="46" t="str">
        <x:v>由共享基础引擎、M3与M5-BASE提供；只修正用户怎样给予、请求、接收和回馈，不直接判断双方现实交换质量。</x:v>
      </x:c>
      <x:c r="L276" s="46" t="str">
        <x:v>M2只说明进入关系所需资格证据；不能替代长期双向交换、负荷与修复验证。</x:v>
      </x:c>
      <x:c r="M276" s="46" t="str">
        <x:v>M3-BASE、EXPR、CARE和BOUND提供用户自然互动通道；M5-EXCHANGE负责把两人的实际行为合成为交换结构。</x:v>
      </x:c>
      <x:c r="N276" s="46" t="str">
        <x:v>无／按本规则指定的给予—请求—接收—反馈—重订路径路由。</x:v>
      </x:c>
      <x:c r="O276" s="46" t="str">
        <x:v>近位、远位只修正该交换需求进入亲密关系核心的可能；不得据此判断具体伴侣现实中一定配合。</x:v>
      </x:c>
      <x:c r="P276" s="46" t="str">
        <x:v>根气只修正用户交换需求和通道是否稳定重复，不等于双方已形成成熟互惠。</x:v>
      </x:c>
      <x:c r="Q276" s="46" t="str">
        <x:v>旺弱只修正通道调用强度、抢位或缺位风险，不直接等于交换公平或关系质量。</x:v>
      </x:c>
      <x:c r="R276" s="46" t="str">
        <x:v>喜忌只修正调用顺畅度与摩擦，不可直接翻译为理想伴侣五行、十神或必然互补。</x:v>
      </x:c>
      <x:c r="S276" s="46" t="str">
        <x:v>真合化成立时按化神功能重算用户交换需求；合化争议时停止细化交换通道。</x:v>
      </x:c>
      <x:c r="T276" s="46" t="str">
        <x:v>近位提高该交换议题进入关系核心的可能；远位只保留背景或阶段性观察。</x:v>
      </x:c>
      <x:c r="U276" s="46" t="str">
        <x:v>96</x:v>
      </x:c>
      <x:c r="V276" s="46" t="str">
        <x:v>不加分；证据定义</x:v>
      </x:c>
      <x:c r="W276" s="46" t="str">
        <x:v>exchange_evidence_level</x:v>
      </x:c>
      <x:c r="X276" s="46" t="str">
        <x:v>在两个以上交换领域保持相似的双向、分工或错峰结构。</x:v>
      </x:c>
      <x:c r="Y276" s="46" t="str">
        <x:v>当前交换证据层级：跨领域一致证据。</x:v>
      </x:c>
      <x:c r="Z27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76" s="46" t="str">
        <x:v>高</x:v>
      </x:c>
      <x:c r="AB276" s="46" t="str">
        <x:v>待验证</x:v>
      </x:c>
      <x:c r="AC276" s="46" t="str"/>
      <x:c r="AD276" s="46" t="str">
        <x:v>exchange_evidence=XV4; provisional=true; rule_group=EXCHANGE-XV证据</x:v>
      </x:c>
      <x:c r="AE276" s="46" t="str">
        <x:v>0.4</x:v>
      </x:c>
    </x:row>
    <x:row r="277" ht="50" customHeight="1">
      <x:c r="A277" s="46" t="str">
        <x:v>M5-EXCHANGE-276</x:v>
      </x:c>
      <x:c r="B277" s="46" t="str">
        <x:v>XV4 跨领域一致证据｜最低资料</x:v>
      </x:c>
      <x:c r="C277" s="46" t="str">
        <x:v>L5 双人交换证据深度</x:v>
      </x:c>
      <x:c r="D277" s="46" t="str">
        <x:v>EXCHANGE-XV证据</x:v>
      </x:c>
      <x:c r="E277" s="46" t="str">
        <x:v>通用</x:v>
      </x:c>
      <x:c r="F277" s="46" t="str">
        <x:v>证据</x:v>
      </x:c>
      <x:c r="G277" s="46" t="str">
        <x:v>XV4</x:v>
      </x:c>
      <x:c r="H277" s="46" t="str">
        <x:v>跨领域一致证据</x:v>
      </x:c>
      <x:c r="I277" s="46" t="str">
        <x:v>在两个以上交换领域保持相似的双向、分工或错峰结构。</x:v>
      </x:c>
      <x:c r="J277" s="46" t="str">
        <x:v>没有相应现实资料。</x:v>
      </x:c>
      <x:c r="K277" s="46" t="str">
        <x:v>由共享基础引擎、M3与M5-BASE提供；只修正用户怎样给予、请求、接收和回馈，不直接判断双方现实交换质量。</x:v>
      </x:c>
      <x:c r="L277" s="46" t="str">
        <x:v>M2只说明进入关系所需资格证据；不能替代长期双向交换、负荷与修复验证。</x:v>
      </x:c>
      <x:c r="M277" s="46" t="str">
        <x:v>M3-BASE、EXPR、CARE和BOUND提供用户自然互动通道；M5-EXCHANGE负责把两人的实际行为合成为交换结构。</x:v>
      </x:c>
      <x:c r="N277" s="46" t="str">
        <x:v>无／按本规则指定的给予—请求—接收—反馈—重订路径路由。</x:v>
      </x:c>
      <x:c r="O277" s="46" t="str">
        <x:v>近位、远位只修正该交换需求进入亲密关系核心的可能；不得据此判断具体伴侣现实中一定配合。</x:v>
      </x:c>
      <x:c r="P277" s="46" t="str">
        <x:v>根气只修正用户交换需求和通道是否稳定重复，不等于双方已形成成熟互惠。</x:v>
      </x:c>
      <x:c r="Q277" s="46" t="str">
        <x:v>旺弱只修正通道调用强度、抢位或缺位风险，不直接等于交换公平或关系质量。</x:v>
      </x:c>
      <x:c r="R277" s="46" t="str">
        <x:v>喜忌只修正调用顺畅度与摩擦，不可直接翻译为理想伴侣五行、十神或必然互补。</x:v>
      </x:c>
      <x:c r="S277" s="46" t="str">
        <x:v>真合化成立时按化神功能重算用户交换需求；合化争议时停止细化交换通道。</x:v>
      </x:c>
      <x:c r="T277" s="46" t="str">
        <x:v>近位提高该交换议题进入关系核心的可能；远位只保留背景或阶段性观察。</x:v>
      </x:c>
      <x:c r="U277" s="46" t="str">
        <x:v>88</x:v>
      </x:c>
      <x:c r="V277" s="46" t="str">
        <x:v>XV路由</x:v>
      </x:c>
      <x:c r="W277" s="46" t="str">
        <x:v>exchange_evidence_level</x:v>
      </x:c>
      <x:c r="X277" s="46" t="str">
        <x:v>XV4的最低资料是：在两个以上交换领域保持相似的双向、分工或错峰结构。</x:v>
      </x:c>
      <x:c r="Y277" s="46" t="str">
        <x:v>这一层主要依据：在两个以上交换领域保持相似的双向、分工或错峰结构。</x:v>
      </x:c>
      <x:c r="Z27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77" s="46" t="str">
        <x:v>中高</x:v>
      </x:c>
      <x:c r="AB277" s="46" t="str">
        <x:v>待验证</x:v>
      </x:c>
      <x:c r="AC277" s="46" t="str"/>
      <x:c r="AD277" s="46" t="str">
        <x:v>exchange_evidence=XV4; provisional=true; rule_group=EXCHANGE-XV证据</x:v>
      </x:c>
      <x:c r="AE277" s="46" t="str">
        <x:v>0.4</x:v>
      </x:c>
    </x:row>
    <x:row r="278" ht="50" customHeight="1">
      <x:c r="A278" s="46" t="str">
        <x:v>M5-EXCHANGE-277</x:v>
      </x:c>
      <x:c r="B278" s="46" t="str">
        <x:v>XV4 跨领域一致证据｜允许发布</x:v>
      </x:c>
      <x:c r="C278" s="46" t="str">
        <x:v>L5 双人交换证据深度</x:v>
      </x:c>
      <x:c r="D278" s="46" t="str">
        <x:v>EXCHANGE-XV证据</x:v>
      </x:c>
      <x:c r="E278" s="46" t="str">
        <x:v>通用</x:v>
      </x:c>
      <x:c r="F278" s="46" t="str">
        <x:v>输出</x:v>
      </x:c>
      <x:c r="G278" s="46" t="str">
        <x:v>XV4</x:v>
      </x:c>
      <x:c r="H278" s="46" t="str">
        <x:v>跨领域一致证据</x:v>
      </x:c>
      <x:c r="I278" s="46" t="str">
        <x:v>XV4成立。</x:v>
      </x:c>
      <x:c r="J278" s="46" t="str">
        <x:v>试图越级到更强结论。</x:v>
      </x:c>
      <x:c r="K278" s="46" t="str">
        <x:v>由共享基础引擎、M3与M5-BASE提供；只修正用户怎样给予、请求、接收和回馈，不直接判断双方现实交换质量。</x:v>
      </x:c>
      <x:c r="L278" s="46" t="str">
        <x:v>M2只说明进入关系所需资格证据；不能替代长期双向交换、负荷与修复验证。</x:v>
      </x:c>
      <x:c r="M278" s="46" t="str">
        <x:v>M3-BASE、EXPR、CARE和BOUND提供用户自然互动通道；M5-EXCHANGE负责把两人的实际行为合成为交换结构。</x:v>
      </x:c>
      <x:c r="N278" s="46" t="str">
        <x:v>无／按本规则指定的给予—请求—接收—反馈—重订路径路由。</x:v>
      </x:c>
      <x:c r="O278" s="46" t="str">
        <x:v>近位、远位只修正该交换需求进入亲密关系核心的可能；不得据此判断具体伴侣现实中一定配合。</x:v>
      </x:c>
      <x:c r="P278" s="46" t="str">
        <x:v>根气只修正用户交换需求和通道是否稳定重复，不等于双方已形成成熟互惠。</x:v>
      </x:c>
      <x:c r="Q278" s="46" t="str">
        <x:v>旺弱只修正通道调用强度、抢位或缺位风险，不直接等于交换公平或关系质量。</x:v>
      </x:c>
      <x:c r="R278" s="46" t="str">
        <x:v>喜忌只修正调用顺畅度与摩擦，不可直接翻译为理想伴侣五行、十神或必然互补。</x:v>
      </x:c>
      <x:c r="S278" s="46" t="str">
        <x:v>真合化成立时按化神功能重算用户交换需求；合化争议时停止细化交换通道。</x:v>
      </x:c>
      <x:c r="T278" s="46" t="str">
        <x:v>近位提高该交换议题进入关系核心的可能；远位只保留背景或阶段性观察。</x:v>
      </x:c>
      <x:c r="U278" s="46" t="str">
        <x:v>84</x:v>
      </x:c>
      <x:c r="V278" s="46" t="str">
        <x:v>发布上限</x:v>
      </x:c>
      <x:c r="W278" s="46" t="str">
        <x:v>report_text</x:v>
      </x:c>
      <x:c r="X278" s="46" t="str">
        <x:v>可建立较可靠交换状态候选。</x:v>
      </x:c>
      <x:c r="Y278" s="46" t="str">
        <x:v>可建立较可靠交换状态候选。</x:v>
      </x:c>
      <x:c r="Z27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78" s="46" t="str">
        <x:v>中高</x:v>
      </x:c>
      <x:c r="AB278" s="46" t="str">
        <x:v>待验证</x:v>
      </x:c>
      <x:c r="AC278" s="46" t="str"/>
      <x:c r="AD278" s="46" t="str">
        <x:v>exchange_evidence=XV4; provisional=true; rule_group=EXCHANGE-XV证据</x:v>
      </x:c>
      <x:c r="AE278" s="46" t="str">
        <x:v>0.4</x:v>
      </x:c>
    </x:row>
    <x:row r="279" ht="50" customHeight="1">
      <x:c r="A279" s="46" t="str">
        <x:v>M5-EXCHANGE-278</x:v>
      </x:c>
      <x:c r="B279" s="46" t="str">
        <x:v>XV4 跨领域一致证据｜禁止发布</x:v>
      </x:c>
      <x:c r="C279" s="46" t="str">
        <x:v>L5 双人交换证据深度</x:v>
      </x:c>
      <x:c r="D279" s="46" t="str">
        <x:v>EXCHANGE-XV证据</x:v>
      </x:c>
      <x:c r="E279" s="46" t="str">
        <x:v>通用</x:v>
      </x:c>
      <x:c r="F279" s="46" t="str">
        <x:v>边界</x:v>
      </x:c>
      <x:c r="G279" s="46" t="str">
        <x:v>XV4</x:v>
      </x:c>
      <x:c r="H279" s="46" t="str">
        <x:v>跨领域一致证据</x:v>
      </x:c>
      <x:c r="I279" s="46" t="str">
        <x:v>XV4成立。</x:v>
      </x:c>
      <x:c r="J279" s="46" t="str">
        <x:v>无</x:v>
      </x:c>
      <x:c r="K279" s="46" t="str">
        <x:v>由共享基础引擎、M3与M5-BASE提供；只修正用户怎样给予、请求、接收和回馈，不直接判断双方现实交换质量。</x:v>
      </x:c>
      <x:c r="L279" s="46" t="str">
        <x:v>M2只说明进入关系所需资格证据；不能替代长期双向交换、负荷与修复验证。</x:v>
      </x:c>
      <x:c r="M279" s="46" t="str">
        <x:v>M3-BASE、EXPR、CARE和BOUND提供用户自然互动通道；M5-EXCHANGE负责把两人的实际行为合成为交换结构。</x:v>
      </x:c>
      <x:c r="N279" s="46" t="str">
        <x:v>无／按本规则指定的给予—请求—接收—反馈—重订路径路由。</x:v>
      </x:c>
      <x:c r="O279" s="46" t="str">
        <x:v>近位、远位只修正该交换需求进入亲密关系核心的可能；不得据此判断具体伴侣现实中一定配合。</x:v>
      </x:c>
      <x:c r="P279" s="46" t="str">
        <x:v>根气只修正用户交换需求和通道是否稳定重复，不等于双方已形成成熟互惠。</x:v>
      </x:c>
      <x:c r="Q279" s="46" t="str">
        <x:v>旺弱只修正通道调用强度、抢位或缺位风险，不直接等于交换公平或关系质量。</x:v>
      </x:c>
      <x:c r="R279" s="46" t="str">
        <x:v>喜忌只修正调用顺畅度与摩擦，不可直接翻译为理想伴侣五行、十神或必然互补。</x:v>
      </x:c>
      <x:c r="S279" s="46" t="str">
        <x:v>真合化成立时按化神功能重算用户交换需求；合化争议时停止细化交换通道。</x:v>
      </x:c>
      <x:c r="T279" s="46" t="str">
        <x:v>近位提高该交换议题进入关系核心的可能；远位只保留背景或阶段性观察。</x:v>
      </x:c>
      <x:c r="U279" s="46" t="str">
        <x:v>95</x:v>
      </x:c>
      <x:c r="V279" s="46" t="str">
        <x:v>不加分；边界</x:v>
      </x:c>
      <x:c r="W279" s="46" t="str">
        <x:v>boundary_note</x:v>
      </x:c>
      <x:c r="X279" s="46" t="str">
        <x:v>仍需压力和修复验证。</x:v>
      </x:c>
      <x:c r="Y279" s="46" t="str">
        <x:v>目前还不能：仍需压力和修复验证。</x:v>
      </x:c>
      <x:c r="Z27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79" s="46" t="str">
        <x:v>高</x:v>
      </x:c>
      <x:c r="AB279" s="46" t="str">
        <x:v>待验证</x:v>
      </x:c>
      <x:c r="AC279" s="46" t="str"/>
      <x:c r="AD279" s="46" t="str">
        <x:v>exchange_evidence=XV4; provisional=true; rule_group=EXCHANGE-XV证据</x:v>
      </x:c>
      <x:c r="AE279" s="46" t="str">
        <x:v>0.4</x:v>
      </x:c>
    </x:row>
    <x:row r="280" ht="50" customHeight="1">
      <x:c r="A280" s="46" t="str">
        <x:v>M5-EXCHANGE-279</x:v>
      </x:c>
      <x:c r="B280" s="46" t="str">
        <x:v>XV4 跨领域一致证据｜升级任务</x:v>
      </x:c>
      <x:c r="C280" s="46" t="str">
        <x:v>L5 双人交换证据深度</x:v>
      </x:c>
      <x:c r="D280" s="46" t="str">
        <x:v>EXCHANGE-XV证据</x:v>
      </x:c>
      <x:c r="E280" s="46" t="str">
        <x:v>通用</x:v>
      </x:c>
      <x:c r="F280" s="46" t="str">
        <x:v>路由</x:v>
      </x:c>
      <x:c r="G280" s="46" t="str">
        <x:v>XV4</x:v>
      </x:c>
      <x:c r="H280" s="46" t="str">
        <x:v>跨领域一致证据</x:v>
      </x:c>
      <x:c r="I280" s="46" t="str">
        <x:v>准备从XV4升级。</x:v>
      </x:c>
      <x:c r="J280" s="46" t="str">
        <x:v>安全、资料或反例停止。</x:v>
      </x:c>
      <x:c r="K280" s="46" t="str">
        <x:v>由共享基础引擎、M3与M5-BASE提供；只修正用户怎样给予、请求、接收和回馈，不直接判断双方现实交换质量。</x:v>
      </x:c>
      <x:c r="L280" s="46" t="str">
        <x:v>M2只说明进入关系所需资格证据；不能替代长期双向交换、负荷与修复验证。</x:v>
      </x:c>
      <x:c r="M280" s="46" t="str">
        <x:v>M3-BASE、EXPR、CARE和BOUND提供用户自然互动通道；M5-EXCHANGE负责把两人的实际行为合成为交换结构。</x:v>
      </x:c>
      <x:c r="N280" s="46" t="str">
        <x:v>无／按本规则指定的给予—请求—接收—反馈—重订路径路由。</x:v>
      </x:c>
      <x:c r="O280" s="46" t="str">
        <x:v>近位、远位只修正该交换需求进入亲密关系核心的可能；不得据此判断具体伴侣现实中一定配合。</x:v>
      </x:c>
      <x:c r="P280" s="46" t="str">
        <x:v>根气只修正用户交换需求和通道是否稳定重复，不等于双方已形成成熟互惠。</x:v>
      </x:c>
      <x:c r="Q280" s="46" t="str">
        <x:v>旺弱只修正通道调用强度、抢位或缺位风险，不直接等于交换公平或关系质量。</x:v>
      </x:c>
      <x:c r="R280" s="46" t="str">
        <x:v>喜忌只修正调用顺畅度与摩擦，不可直接翻译为理想伴侣五行、十神或必然互补。</x:v>
      </x:c>
      <x:c r="S280" s="46" t="str">
        <x:v>真合化成立时按化神功能重算用户交换需求；合化争议时停止细化交换通道。</x:v>
      </x:c>
      <x:c r="T280" s="46" t="str">
        <x:v>近位提高该交换议题进入关系核心的可能；远位只保留背景或阶段性观察。</x:v>
      </x:c>
      <x:c r="U280" s="46" t="str">
        <x:v>76</x:v>
      </x:c>
      <x:c r="V280" s="46" t="str">
        <x:v>不加分；观察计划</x:v>
      </x:c>
      <x:c r="W280" s="46" t="str">
        <x:v>observation_plan</x:v>
      </x:c>
      <x:c r="X280" s="46" t="str">
        <x:v>观察高成本或关系变化。</x:v>
      </x:c>
      <x:c r="Y280" s="46" t="str">
        <x:v>下一步观察：观察高成本或关系变化。</x:v>
      </x:c>
      <x:c r="Z28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80" s="46" t="str">
        <x:v>中</x:v>
      </x:c>
      <x:c r="AB280" s="46" t="str">
        <x:v>待验证</x:v>
      </x:c>
      <x:c r="AC280" s="46" t="str"/>
      <x:c r="AD280" s="46" t="str">
        <x:v>exchange_evidence=XV4; provisional=true; rule_group=EXCHANGE-XV证据</x:v>
      </x:c>
      <x:c r="AE280" s="46" t="str">
        <x:v>0.4</x:v>
      </x:c>
    </x:row>
    <x:row r="281" ht="50" customHeight="1">
      <x:c r="A281" s="46" t="str">
        <x:v>M5-EXCHANGE-280</x:v>
      </x:c>
      <x:c r="B281" s="46" t="str">
        <x:v>XV4 跨领域一致证据｜与FG关系</x:v>
      </x:c>
      <x:c r="C281" s="46" t="str">
        <x:v>L5 双人交换证据深度</x:v>
      </x:c>
      <x:c r="D281" s="46" t="str">
        <x:v>EXCHANGE-XV证据</x:v>
      </x:c>
      <x:c r="E281" s="46" t="str">
        <x:v>通用</x:v>
      </x:c>
      <x:c r="F281" s="46" t="str">
        <x:v>接口</x:v>
      </x:c>
      <x:c r="G281" s="46" t="str">
        <x:v>XV4</x:v>
      </x:c>
      <x:c r="H281" s="46" t="str">
        <x:v>跨领域一致证据</x:v>
      </x:c>
      <x:c r="I281" s="46" t="str">
        <x:v>XV4可用。</x:v>
      </x:c>
      <x:c r="J281" s="46" t="str">
        <x:v>把XV直接等同FG。</x:v>
      </x:c>
      <x:c r="K281" s="46" t="str">
        <x:v>由共享基础引擎、M3与M5-BASE提供；只修正用户怎样给予、请求、接收和回馈，不直接判断双方现实交换质量。</x:v>
      </x:c>
      <x:c r="L281" s="46" t="str">
        <x:v>M2只说明进入关系所需资格证据；不能替代长期双向交换、负荷与修复验证。</x:v>
      </x:c>
      <x:c r="M281" s="46" t="str">
        <x:v>M3-BASE、EXPR、CARE和BOUND提供用户自然互动通道；M5-EXCHANGE负责把两人的实际行为合成为交换结构。</x:v>
      </x:c>
      <x:c r="N281" s="46" t="str">
        <x:v>无／按本规则指定的给予—请求—接收—反馈—重订路径路由。</x:v>
      </x:c>
      <x:c r="O281" s="46" t="str">
        <x:v>近位、远位只修正该交换需求进入亲密关系核心的可能；不得据此判断具体伴侣现实中一定配合。</x:v>
      </x:c>
      <x:c r="P281" s="46" t="str">
        <x:v>根气只修正用户交换需求和通道是否稳定重复，不等于双方已形成成熟互惠。</x:v>
      </x:c>
      <x:c r="Q281" s="46" t="str">
        <x:v>旺弱只修正通道调用强度、抢位或缺位风险，不直接等于交换公平或关系质量。</x:v>
      </x:c>
      <x:c r="R281" s="46" t="str">
        <x:v>喜忌只修正调用顺畅度与摩擦，不可直接翻译为理想伴侣五行、十神或必然互补。</x:v>
      </x:c>
      <x:c r="S281" s="46" t="str">
        <x:v>真合化成立时按化神功能重算用户交换需求；合化争议时停止细化交换通道。</x:v>
      </x:c>
      <x:c r="T281" s="46" t="str">
        <x:v>近位提高该交换议题进入关系核心的可能；远位只保留背景或阶段性观察。</x:v>
      </x:c>
      <x:c r="U281" s="46" t="str">
        <x:v>92</x:v>
      </x:c>
      <x:c r="V281" s="46" t="str">
        <x:v>不加分；去耦</x:v>
      </x:c>
      <x:c r="W281" s="46" t="str">
        <x:v>fit_grade</x:v>
      </x:c>
      <x:c r="X281" s="46" t="str">
        <x:v>XV与FG分开计算。</x:v>
      </x:c>
      <x:c r="Y281" s="46" t="str">
        <x:v>交换证据更深，但最终适配仍需综合现实门槛。</x:v>
      </x:c>
      <x:c r="Z28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81" s="46" t="str">
        <x:v>高</x:v>
      </x:c>
      <x:c r="AB281" s="46" t="str">
        <x:v>待验证</x:v>
      </x:c>
      <x:c r="AC281" s="46" t="str"/>
      <x:c r="AD281" s="46" t="str">
        <x:v>exchange_evidence=XV4; provisional=true; rule_group=EXCHANGE-XV证据</x:v>
      </x:c>
      <x:c r="AE281" s="46" t="str">
        <x:v>0.4</x:v>
      </x:c>
    </x:row>
    <x:row r="282" ht="50" customHeight="1">
      <x:c r="A282" s="46" t="str">
        <x:v>M5-EXCHANGE-281</x:v>
      </x:c>
      <x:c r="B282" s="46" t="str">
        <x:v>XV5 压力／代价情境证据｜正式定义</x:v>
      </x:c>
      <x:c r="C282" s="46" t="str">
        <x:v>L5 双人交换证据深度</x:v>
      </x:c>
      <x:c r="D282" s="46" t="str">
        <x:v>EXCHANGE-XV证据</x:v>
      </x:c>
      <x:c r="E282" s="46" t="str">
        <x:v>通用</x:v>
      </x:c>
      <x:c r="F282" s="46" t="str">
        <x:v>定义</x:v>
      </x:c>
      <x:c r="G282" s="46" t="str">
        <x:v>XV5</x:v>
      </x:c>
      <x:c r="H282" s="46" t="str">
        <x:v>压力／代价情境证据</x:v>
      </x:c>
      <x:c r="I282" s="46" t="str">
        <x:v>评估双方交换事件证据。</x:v>
      </x:c>
      <x:c r="J282" s="46" t="str">
        <x:v>无</x:v>
      </x:c>
      <x:c r="K282" s="46" t="str">
        <x:v>由共享基础引擎、M3与M5-BASE提供；只修正用户怎样给予、请求、接收和回馈，不直接判断双方现实交换质量。</x:v>
      </x:c>
      <x:c r="L282" s="46" t="str">
        <x:v>M2只说明进入关系所需资格证据；不能替代长期双向交换、负荷与修复验证。</x:v>
      </x:c>
      <x:c r="M282" s="46" t="str">
        <x:v>M3-BASE、EXPR、CARE和BOUND提供用户自然互动通道；M5-EXCHANGE负责把两人的实际行为合成为交换结构。</x:v>
      </x:c>
      <x:c r="N282" s="46" t="str">
        <x:v>无／按本规则指定的给予—请求—接收—反馈—重订路径路由。</x:v>
      </x:c>
      <x:c r="O282" s="46" t="str">
        <x:v>近位、远位只修正该交换需求进入亲密关系核心的可能；不得据此判断具体伴侣现实中一定配合。</x:v>
      </x:c>
      <x:c r="P282" s="46" t="str">
        <x:v>根气只修正用户交换需求和通道是否稳定重复，不等于双方已形成成熟互惠。</x:v>
      </x:c>
      <x:c r="Q282" s="46" t="str">
        <x:v>旺弱只修正通道调用强度、抢位或缺位风险，不直接等于交换公平或关系质量。</x:v>
      </x:c>
      <x:c r="R282" s="46" t="str">
        <x:v>喜忌只修正调用顺畅度与摩擦，不可直接翻译为理想伴侣五行、十神或必然互补。</x:v>
      </x:c>
      <x:c r="S282" s="46" t="str">
        <x:v>真合化成立时按化神功能重算用户交换需求；合化争议时停止细化交换通道。</x:v>
      </x:c>
      <x:c r="T282" s="46" t="str">
        <x:v>近位提高该交换议题进入关系核心的可能；远位只保留背景或阶段性观察。</x:v>
      </x:c>
      <x:c r="U282" s="46" t="str">
        <x:v>96</x:v>
      </x:c>
      <x:c r="V282" s="46" t="str">
        <x:v>不加分；证据定义</x:v>
      </x:c>
      <x:c r="W282" s="46" t="str">
        <x:v>exchange_evidence_level</x:v>
      </x:c>
      <x:c r="X282" s="46" t="str">
        <x:v>在疲劳、金钱、疾病、家庭责任或冲突下仍能协商负荷。</x:v>
      </x:c>
      <x:c r="Y282" s="46" t="str">
        <x:v>当前交换证据层级：压力／代价情境证据。</x:v>
      </x:c>
      <x:c r="Z28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82" s="46" t="str">
        <x:v>高</x:v>
      </x:c>
      <x:c r="AB282" s="46" t="str">
        <x:v>待验证</x:v>
      </x:c>
      <x:c r="AC282" s="46" t="str"/>
      <x:c r="AD282" s="46" t="str">
        <x:v>exchange_evidence=XV5; provisional=true; rule_group=EXCHANGE-XV证据</x:v>
      </x:c>
      <x:c r="AE282" s="46" t="str">
        <x:v>0.4</x:v>
      </x:c>
    </x:row>
    <x:row r="283" ht="50" customHeight="1">
      <x:c r="A283" s="46" t="str">
        <x:v>M5-EXCHANGE-282</x:v>
      </x:c>
      <x:c r="B283" s="46" t="str">
        <x:v>XV5 压力／代价情境证据｜最低资料</x:v>
      </x:c>
      <x:c r="C283" s="46" t="str">
        <x:v>L5 双人交换证据深度</x:v>
      </x:c>
      <x:c r="D283" s="46" t="str">
        <x:v>EXCHANGE-XV证据</x:v>
      </x:c>
      <x:c r="E283" s="46" t="str">
        <x:v>通用</x:v>
      </x:c>
      <x:c r="F283" s="46" t="str">
        <x:v>证据</x:v>
      </x:c>
      <x:c r="G283" s="46" t="str">
        <x:v>XV5</x:v>
      </x:c>
      <x:c r="H283" s="46" t="str">
        <x:v>压力／代价情境证据</x:v>
      </x:c>
      <x:c r="I283" s="46" t="str">
        <x:v>在疲劳、金钱、疾病、家庭责任或冲突下仍能协商负荷。</x:v>
      </x:c>
      <x:c r="J283" s="46" t="str">
        <x:v>没有相应现实资料。</x:v>
      </x:c>
      <x:c r="K283" s="46" t="str">
        <x:v>由共享基础引擎、M3与M5-BASE提供；只修正用户怎样给予、请求、接收和回馈，不直接判断双方现实交换质量。</x:v>
      </x:c>
      <x:c r="L283" s="46" t="str">
        <x:v>M2只说明进入关系所需资格证据；不能替代长期双向交换、负荷与修复验证。</x:v>
      </x:c>
      <x:c r="M283" s="46" t="str">
        <x:v>M3-BASE、EXPR、CARE和BOUND提供用户自然互动通道；M5-EXCHANGE负责把两人的实际行为合成为交换结构。</x:v>
      </x:c>
      <x:c r="N283" s="46" t="str">
        <x:v>无／按本规则指定的给予—请求—接收—反馈—重订路径路由。</x:v>
      </x:c>
      <x:c r="O283" s="46" t="str">
        <x:v>近位、远位只修正该交换需求进入亲密关系核心的可能；不得据此判断具体伴侣现实中一定配合。</x:v>
      </x:c>
      <x:c r="P283" s="46" t="str">
        <x:v>根气只修正用户交换需求和通道是否稳定重复，不等于双方已形成成熟互惠。</x:v>
      </x:c>
      <x:c r="Q283" s="46" t="str">
        <x:v>旺弱只修正通道调用强度、抢位或缺位风险，不直接等于交换公平或关系质量。</x:v>
      </x:c>
      <x:c r="R283" s="46" t="str">
        <x:v>喜忌只修正调用顺畅度与摩擦，不可直接翻译为理想伴侣五行、十神或必然互补。</x:v>
      </x:c>
      <x:c r="S283" s="46" t="str">
        <x:v>真合化成立时按化神功能重算用户交换需求；合化争议时停止细化交换通道。</x:v>
      </x:c>
      <x:c r="T283" s="46" t="str">
        <x:v>近位提高该交换议题进入关系核心的可能；远位只保留背景或阶段性观察。</x:v>
      </x:c>
      <x:c r="U283" s="46" t="str">
        <x:v>88</x:v>
      </x:c>
      <x:c r="V283" s="46" t="str">
        <x:v>XV路由</x:v>
      </x:c>
      <x:c r="W283" s="46" t="str">
        <x:v>exchange_evidence_level</x:v>
      </x:c>
      <x:c r="X283" s="46" t="str">
        <x:v>XV5的最低资料是：在疲劳、金钱、疾病、家庭责任或冲突下仍能协商负荷。</x:v>
      </x:c>
      <x:c r="Y283" s="46" t="str">
        <x:v>这一层主要依据：在疲劳、金钱、疾病、家庭责任或冲突下仍能协商负荷。</x:v>
      </x:c>
      <x:c r="Z28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83" s="46" t="str">
        <x:v>中高</x:v>
      </x:c>
      <x:c r="AB283" s="46" t="str">
        <x:v>待验证</x:v>
      </x:c>
      <x:c r="AC283" s="46" t="str"/>
      <x:c r="AD283" s="46" t="str">
        <x:v>exchange_evidence=XV5; provisional=true; rule_group=EXCHANGE-XV证据</x:v>
      </x:c>
      <x:c r="AE283" s="46" t="str">
        <x:v>0.4</x:v>
      </x:c>
    </x:row>
    <x:row r="284" ht="50" customHeight="1">
      <x:c r="A284" s="46" t="str">
        <x:v>M5-EXCHANGE-283</x:v>
      </x:c>
      <x:c r="B284" s="46" t="str">
        <x:v>XV5 压力／代价情境证据｜允许发布</x:v>
      </x:c>
      <x:c r="C284" s="46" t="str">
        <x:v>L5 双人交换证据深度</x:v>
      </x:c>
      <x:c r="D284" s="46" t="str">
        <x:v>EXCHANGE-XV证据</x:v>
      </x:c>
      <x:c r="E284" s="46" t="str">
        <x:v>通用</x:v>
      </x:c>
      <x:c r="F284" s="46" t="str">
        <x:v>输出</x:v>
      </x:c>
      <x:c r="G284" s="46" t="str">
        <x:v>XV5</x:v>
      </x:c>
      <x:c r="H284" s="46" t="str">
        <x:v>压力／代价情境证据</x:v>
      </x:c>
      <x:c r="I284" s="46" t="str">
        <x:v>XV5成立。</x:v>
      </x:c>
      <x:c r="J284" s="46" t="str">
        <x:v>试图越级到更强结论。</x:v>
      </x:c>
      <x:c r="K284" s="46" t="str">
        <x:v>由共享基础引擎、M3与M5-BASE提供；只修正用户怎样给予、请求、接收和回馈，不直接判断双方现实交换质量。</x:v>
      </x:c>
      <x:c r="L284" s="46" t="str">
        <x:v>M2只说明进入关系所需资格证据；不能替代长期双向交换、负荷与修复验证。</x:v>
      </x:c>
      <x:c r="M284" s="46" t="str">
        <x:v>M3-BASE、EXPR、CARE和BOUND提供用户自然互动通道；M5-EXCHANGE负责把两人的实际行为合成为交换结构。</x:v>
      </x:c>
      <x:c r="N284" s="46" t="str">
        <x:v>无／按本规则指定的给予—请求—接收—反馈—重订路径路由。</x:v>
      </x:c>
      <x:c r="O284" s="46" t="str">
        <x:v>近位、远位只修正该交换需求进入亲密关系核心的可能；不得据此判断具体伴侣现实中一定配合。</x:v>
      </x:c>
      <x:c r="P284" s="46" t="str">
        <x:v>根气只修正用户交换需求和通道是否稳定重复，不等于双方已形成成熟互惠。</x:v>
      </x:c>
      <x:c r="Q284" s="46" t="str">
        <x:v>旺弱只修正通道调用强度、抢位或缺位风险，不直接等于交换公平或关系质量。</x:v>
      </x:c>
      <x:c r="R284" s="46" t="str">
        <x:v>喜忌只修正调用顺畅度与摩擦，不可直接翻译为理想伴侣五行、十神或必然互补。</x:v>
      </x:c>
      <x:c r="S284" s="46" t="str">
        <x:v>真合化成立时按化神功能重算用户交换需求；合化争议时停止细化交换通道。</x:v>
      </x:c>
      <x:c r="T284" s="46" t="str">
        <x:v>近位提高该交换议题进入关系核心的可能；远位只保留背景或阶段性观察。</x:v>
      </x:c>
      <x:c r="U284" s="46" t="str">
        <x:v>84</x:v>
      </x:c>
      <x:c r="V284" s="46" t="str">
        <x:v>发布上限</x:v>
      </x:c>
      <x:c r="W284" s="46" t="str">
        <x:v>report_text</x:v>
      </x:c>
      <x:c r="X284" s="46" t="str">
        <x:v>可以评价压力下的交换边界。</x:v>
      </x:c>
      <x:c r="Y284" s="46" t="str">
        <x:v>可以评价压力下的交换边界。</x:v>
      </x:c>
      <x:c r="Z28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84" s="46" t="str">
        <x:v>中高</x:v>
      </x:c>
      <x:c r="AB284" s="46" t="str">
        <x:v>待验证</x:v>
      </x:c>
      <x:c r="AC284" s="46" t="str"/>
      <x:c r="AD284" s="46" t="str">
        <x:v>exchange_evidence=XV5; provisional=true; rule_group=EXCHANGE-XV证据</x:v>
      </x:c>
      <x:c r="AE284" s="46" t="str">
        <x:v>0.4</x:v>
      </x:c>
    </x:row>
    <x:row r="285" ht="50" customHeight="1">
      <x:c r="A285" s="46" t="str">
        <x:v>M5-EXCHANGE-284</x:v>
      </x:c>
      <x:c r="B285" s="46" t="str">
        <x:v>XV5 压力／代价情境证据｜禁止发布</x:v>
      </x:c>
      <x:c r="C285" s="46" t="str">
        <x:v>L5 双人交换证据深度</x:v>
      </x:c>
      <x:c r="D285" s="46" t="str">
        <x:v>EXCHANGE-XV证据</x:v>
      </x:c>
      <x:c r="E285" s="46" t="str">
        <x:v>通用</x:v>
      </x:c>
      <x:c r="F285" s="46" t="str">
        <x:v>边界</x:v>
      </x:c>
      <x:c r="G285" s="46" t="str">
        <x:v>XV5</x:v>
      </x:c>
      <x:c r="H285" s="46" t="str">
        <x:v>压力／代价情境证据</x:v>
      </x:c>
      <x:c r="I285" s="46" t="str">
        <x:v>XV5成立。</x:v>
      </x:c>
      <x:c r="J285" s="46" t="str">
        <x:v>无</x:v>
      </x:c>
      <x:c r="K285" s="46" t="str">
        <x:v>由共享基础引擎、M3与M5-BASE提供；只修正用户怎样给予、请求、接收和回馈，不直接判断双方现实交换质量。</x:v>
      </x:c>
      <x:c r="L285" s="46" t="str">
        <x:v>M2只说明进入关系所需资格证据；不能替代长期双向交换、负荷与修复验证。</x:v>
      </x:c>
      <x:c r="M285" s="46" t="str">
        <x:v>M3-BASE、EXPR、CARE和BOUND提供用户自然互动通道；M5-EXCHANGE负责把两人的实际行为合成为交换结构。</x:v>
      </x:c>
      <x:c r="N285" s="46" t="str">
        <x:v>无／按本规则指定的给予—请求—接收—反馈—重订路径路由。</x:v>
      </x:c>
      <x:c r="O285" s="46" t="str">
        <x:v>近位、远位只修正该交换需求进入亲密关系核心的可能；不得据此判断具体伴侣现实中一定配合。</x:v>
      </x:c>
      <x:c r="P285" s="46" t="str">
        <x:v>根气只修正用户交换需求和通道是否稳定重复，不等于双方已形成成熟互惠。</x:v>
      </x:c>
      <x:c r="Q285" s="46" t="str">
        <x:v>旺弱只修正通道调用强度、抢位或缺位风险，不直接等于交换公平或关系质量。</x:v>
      </x:c>
      <x:c r="R285" s="46" t="str">
        <x:v>喜忌只修正调用顺畅度与摩擦，不可直接翻译为理想伴侣五行、十神或必然互补。</x:v>
      </x:c>
      <x:c r="S285" s="46" t="str">
        <x:v>真合化成立时按化神功能重算用户交换需求；合化争议时停止细化交换通道。</x:v>
      </x:c>
      <x:c r="T285" s="46" t="str">
        <x:v>近位提高该交换议题进入关系核心的可能；远位只保留背景或阶段性观察。</x:v>
      </x:c>
      <x:c r="U285" s="46" t="str">
        <x:v>95</x:v>
      </x:c>
      <x:c r="V285" s="46" t="str">
        <x:v>不加分；边界</x:v>
      </x:c>
      <x:c r="W285" s="46" t="str">
        <x:v>boundary_note</x:v>
      </x:c>
      <x:c r="X285" s="46" t="str">
        <x:v>不能单独证明修复完成。</x:v>
      </x:c>
      <x:c r="Y285" s="46" t="str">
        <x:v>目前还不能：不能单独证明修复完成。</x:v>
      </x:c>
      <x:c r="Z28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85" s="46" t="str">
        <x:v>高</x:v>
      </x:c>
      <x:c r="AB285" s="46" t="str">
        <x:v>待验证</x:v>
      </x:c>
      <x:c r="AC285" s="46" t="str"/>
      <x:c r="AD285" s="46" t="str">
        <x:v>exchange_evidence=XV5; provisional=true; rule_group=EXCHANGE-XV证据</x:v>
      </x:c>
      <x:c r="AE285" s="46" t="str">
        <x:v>0.4</x:v>
      </x:c>
    </x:row>
    <x:row r="286" ht="50" customHeight="1">
      <x:c r="A286" s="46" t="str">
        <x:v>M5-EXCHANGE-285</x:v>
      </x:c>
      <x:c r="B286" s="46" t="str">
        <x:v>XV5 压力／代价情境证据｜升级任务</x:v>
      </x:c>
      <x:c r="C286" s="46" t="str">
        <x:v>L5 双人交换证据深度</x:v>
      </x:c>
      <x:c r="D286" s="46" t="str">
        <x:v>EXCHANGE-XV证据</x:v>
      </x:c>
      <x:c r="E286" s="46" t="str">
        <x:v>通用</x:v>
      </x:c>
      <x:c r="F286" s="46" t="str">
        <x:v>路由</x:v>
      </x:c>
      <x:c r="G286" s="46" t="str">
        <x:v>XV5</x:v>
      </x:c>
      <x:c r="H286" s="46" t="str">
        <x:v>压力／代价情境证据</x:v>
      </x:c>
      <x:c r="I286" s="46" t="str">
        <x:v>准备从XV5升级。</x:v>
      </x:c>
      <x:c r="J286" s="46" t="str">
        <x:v>安全、资料或反例停止。</x:v>
      </x:c>
      <x:c r="K286" s="46" t="str">
        <x:v>由共享基础引擎、M3与M5-BASE提供；只修正用户怎样给予、请求、接收和回馈，不直接判断双方现实交换质量。</x:v>
      </x:c>
      <x:c r="L286" s="46" t="str">
        <x:v>M2只说明进入关系所需资格证据；不能替代长期双向交换、负荷与修复验证。</x:v>
      </x:c>
      <x:c r="M286" s="46" t="str">
        <x:v>M3-BASE、EXPR、CARE和BOUND提供用户自然互动通道；M5-EXCHANGE负责把两人的实际行为合成为交换结构。</x:v>
      </x:c>
      <x:c r="N286" s="46" t="str">
        <x:v>无／按本规则指定的给予—请求—接收—反馈—重订路径路由。</x:v>
      </x:c>
      <x:c r="O286" s="46" t="str">
        <x:v>近位、远位只修正该交换需求进入亲密关系核心的可能；不得据此判断具体伴侣现实中一定配合。</x:v>
      </x:c>
      <x:c r="P286" s="46" t="str">
        <x:v>根气只修正用户交换需求和通道是否稳定重复，不等于双方已形成成熟互惠。</x:v>
      </x:c>
      <x:c r="Q286" s="46" t="str">
        <x:v>旺弱只修正通道调用强度、抢位或缺位风险，不直接等于交换公平或关系质量。</x:v>
      </x:c>
      <x:c r="R286" s="46" t="str">
        <x:v>喜忌只修正调用顺畅度与摩擦，不可直接翻译为理想伴侣五行、十神或必然互补。</x:v>
      </x:c>
      <x:c r="S286" s="46" t="str">
        <x:v>真合化成立时按化神功能重算用户交换需求；合化争议时停止细化交换通道。</x:v>
      </x:c>
      <x:c r="T286" s="46" t="str">
        <x:v>近位提高该交换议题进入关系核心的可能；远位只保留背景或阶段性观察。</x:v>
      </x:c>
      <x:c r="U286" s="46" t="str">
        <x:v>76</x:v>
      </x:c>
      <x:c r="V286" s="46" t="str">
        <x:v>不加分；观察计划</x:v>
      </x:c>
      <x:c r="W286" s="46" t="str">
        <x:v>observation_plan</x:v>
      </x:c>
      <x:c r="X286" s="46" t="str">
        <x:v>收集重订和修复资料。</x:v>
      </x:c>
      <x:c r="Y286" s="46" t="str">
        <x:v>下一步观察：收集重订和修复资料。</x:v>
      </x:c>
      <x:c r="Z28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86" s="46" t="str">
        <x:v>中</x:v>
      </x:c>
      <x:c r="AB286" s="46" t="str">
        <x:v>待验证</x:v>
      </x:c>
      <x:c r="AC286" s="46" t="str"/>
      <x:c r="AD286" s="46" t="str">
        <x:v>exchange_evidence=XV5; provisional=true; rule_group=EXCHANGE-XV证据</x:v>
      </x:c>
      <x:c r="AE286" s="46" t="str">
        <x:v>0.4</x:v>
      </x:c>
    </x:row>
    <x:row r="287" ht="50" customHeight="1">
      <x:c r="A287" s="46" t="str">
        <x:v>M5-EXCHANGE-286</x:v>
      </x:c>
      <x:c r="B287" s="46" t="str">
        <x:v>XV5 压力／代价情境证据｜与FG关系</x:v>
      </x:c>
      <x:c r="C287" s="46" t="str">
        <x:v>L5 双人交换证据深度</x:v>
      </x:c>
      <x:c r="D287" s="46" t="str">
        <x:v>EXCHANGE-XV证据</x:v>
      </x:c>
      <x:c r="E287" s="46" t="str">
        <x:v>通用</x:v>
      </x:c>
      <x:c r="F287" s="46" t="str">
        <x:v>接口</x:v>
      </x:c>
      <x:c r="G287" s="46" t="str">
        <x:v>XV5</x:v>
      </x:c>
      <x:c r="H287" s="46" t="str">
        <x:v>压力／代价情境证据</x:v>
      </x:c>
      <x:c r="I287" s="46" t="str">
        <x:v>XV5可用。</x:v>
      </x:c>
      <x:c r="J287" s="46" t="str">
        <x:v>把XV直接等同FG。</x:v>
      </x:c>
      <x:c r="K287" s="46" t="str">
        <x:v>由共享基础引擎、M3与M5-BASE提供；只修正用户怎样给予、请求、接收和回馈，不直接判断双方现实交换质量。</x:v>
      </x:c>
      <x:c r="L287" s="46" t="str">
        <x:v>M2只说明进入关系所需资格证据；不能替代长期双向交换、负荷与修复验证。</x:v>
      </x:c>
      <x:c r="M287" s="46" t="str">
        <x:v>M3-BASE、EXPR、CARE和BOUND提供用户自然互动通道；M5-EXCHANGE负责把两人的实际行为合成为交换结构。</x:v>
      </x:c>
      <x:c r="N287" s="46" t="str">
        <x:v>无／按本规则指定的给予—请求—接收—反馈—重订路径路由。</x:v>
      </x:c>
      <x:c r="O287" s="46" t="str">
        <x:v>近位、远位只修正该交换需求进入亲密关系核心的可能；不得据此判断具体伴侣现实中一定配合。</x:v>
      </x:c>
      <x:c r="P287" s="46" t="str">
        <x:v>根气只修正用户交换需求和通道是否稳定重复，不等于双方已形成成熟互惠。</x:v>
      </x:c>
      <x:c r="Q287" s="46" t="str">
        <x:v>旺弱只修正通道调用强度、抢位或缺位风险，不直接等于交换公平或关系质量。</x:v>
      </x:c>
      <x:c r="R287" s="46" t="str">
        <x:v>喜忌只修正调用顺畅度与摩擦，不可直接翻译为理想伴侣五行、十神或必然互补。</x:v>
      </x:c>
      <x:c r="S287" s="46" t="str">
        <x:v>真合化成立时按化神功能重算用户交换需求；合化争议时停止细化交换通道。</x:v>
      </x:c>
      <x:c r="T287" s="46" t="str">
        <x:v>近位提高该交换议题进入关系核心的可能；远位只保留背景或阶段性观察。</x:v>
      </x:c>
      <x:c r="U287" s="46" t="str">
        <x:v>92</x:v>
      </x:c>
      <x:c r="V287" s="46" t="str">
        <x:v>不加分；去耦</x:v>
      </x:c>
      <x:c r="W287" s="46" t="str">
        <x:v>fit_grade</x:v>
      </x:c>
      <x:c r="X287" s="46" t="str">
        <x:v>XV与FG分开计算。</x:v>
      </x:c>
      <x:c r="Y287" s="46" t="str">
        <x:v>交换证据更深，但最终适配仍需综合现实门槛。</x:v>
      </x:c>
      <x:c r="Z28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87" s="46" t="str">
        <x:v>高</x:v>
      </x:c>
      <x:c r="AB287" s="46" t="str">
        <x:v>待验证</x:v>
      </x:c>
      <x:c r="AC287" s="46" t="str"/>
      <x:c r="AD287" s="46" t="str">
        <x:v>exchange_evidence=XV5; provisional=true; rule_group=EXCHANGE-XV证据</x:v>
      </x:c>
      <x:c r="AE287" s="46" t="str">
        <x:v>0.4</x:v>
      </x:c>
    </x:row>
    <x:row r="288" ht="50" customHeight="1">
      <x:c r="A288" s="46" t="str">
        <x:v>M5-EXCHANGE-287</x:v>
      </x:c>
      <x:c r="B288" s="46" t="str">
        <x:v>XV6 修复与重订证据｜正式定义</x:v>
      </x:c>
      <x:c r="C288" s="46" t="str">
        <x:v>L5 双人交换证据深度</x:v>
      </x:c>
      <x:c r="D288" s="46" t="str">
        <x:v>EXCHANGE-XV证据</x:v>
      </x:c>
      <x:c r="E288" s="46" t="str">
        <x:v>通用</x:v>
      </x:c>
      <x:c r="F288" s="46" t="str">
        <x:v>定义</x:v>
      </x:c>
      <x:c r="G288" s="46" t="str">
        <x:v>XV6</x:v>
      </x:c>
      <x:c r="H288" s="46" t="str">
        <x:v>修复与重订证据</x:v>
      </x:c>
      <x:c r="I288" s="46" t="str">
        <x:v>评估双方交换事件证据。</x:v>
      </x:c>
      <x:c r="J288" s="46" t="str">
        <x:v>无</x:v>
      </x:c>
      <x:c r="K288" s="46" t="str">
        <x:v>由共享基础引擎、M3与M5-BASE提供；只修正用户怎样给予、请求、接收和回馈，不直接判断双方现实交换质量。</x:v>
      </x:c>
      <x:c r="L288" s="46" t="str">
        <x:v>M2只说明进入关系所需资格证据；不能替代长期双向交换、负荷与修复验证。</x:v>
      </x:c>
      <x:c r="M288" s="46" t="str">
        <x:v>M3-BASE、EXPR、CARE和BOUND提供用户自然互动通道；M5-EXCHANGE负责把两人的实际行为合成为交换结构。</x:v>
      </x:c>
      <x:c r="N288" s="46" t="str">
        <x:v>无／按本规则指定的给予—请求—接收—反馈—重订路径路由。</x:v>
      </x:c>
      <x:c r="O288" s="46" t="str">
        <x:v>近位、远位只修正该交换需求进入亲密关系核心的可能；不得据此判断具体伴侣现实中一定配合。</x:v>
      </x:c>
      <x:c r="P288" s="46" t="str">
        <x:v>根气只修正用户交换需求和通道是否稳定重复，不等于双方已形成成熟互惠。</x:v>
      </x:c>
      <x:c r="Q288" s="46" t="str">
        <x:v>旺弱只修正通道调用强度、抢位或缺位风险，不直接等于交换公平或关系质量。</x:v>
      </x:c>
      <x:c r="R288" s="46" t="str">
        <x:v>喜忌只修正调用顺畅度与摩擦，不可直接翻译为理想伴侣五行、十神或必然互补。</x:v>
      </x:c>
      <x:c r="S288" s="46" t="str">
        <x:v>真合化成立时按化神功能重算用户交换需求；合化争议时停止细化交换通道。</x:v>
      </x:c>
      <x:c r="T288" s="46" t="str">
        <x:v>近位提高该交换议题进入关系核心的可能；远位只保留背景或阶段性观察。</x:v>
      </x:c>
      <x:c r="U288" s="46" t="str">
        <x:v>96</x:v>
      </x:c>
      <x:c r="V288" s="46" t="str">
        <x:v>不加分；证据定义</x:v>
      </x:c>
      <x:c r="W288" s="46" t="str">
        <x:v>exchange_evidence_level</x:v>
      </x:c>
      <x:c r="X288" s="46" t="str">
        <x:v>交换失衡后能够接收反馈、调整分工并持续回访。</x:v>
      </x:c>
      <x:c r="Y288" s="46" t="str">
        <x:v>当前交换证据层级：修复与重订证据。</x:v>
      </x:c>
      <x:c r="Z28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88" s="46" t="str">
        <x:v>高</x:v>
      </x:c>
      <x:c r="AB288" s="46" t="str">
        <x:v>待验证</x:v>
      </x:c>
      <x:c r="AC288" s="46" t="str"/>
      <x:c r="AD288" s="46" t="str">
        <x:v>exchange_evidence=XV6; provisional=true; rule_group=EXCHANGE-XV证据</x:v>
      </x:c>
      <x:c r="AE288" s="46" t="str">
        <x:v>0.4</x:v>
      </x:c>
    </x:row>
    <x:row r="289" ht="50" customHeight="1">
      <x:c r="A289" s="46" t="str">
        <x:v>M5-EXCHANGE-288</x:v>
      </x:c>
      <x:c r="B289" s="46" t="str">
        <x:v>XV6 修复与重订证据｜最低资料</x:v>
      </x:c>
      <x:c r="C289" s="46" t="str">
        <x:v>L5 双人交换证据深度</x:v>
      </x:c>
      <x:c r="D289" s="46" t="str">
        <x:v>EXCHANGE-XV证据</x:v>
      </x:c>
      <x:c r="E289" s="46" t="str">
        <x:v>通用</x:v>
      </x:c>
      <x:c r="F289" s="46" t="str">
        <x:v>证据</x:v>
      </x:c>
      <x:c r="G289" s="46" t="str">
        <x:v>XV6</x:v>
      </x:c>
      <x:c r="H289" s="46" t="str">
        <x:v>修复与重订证据</x:v>
      </x:c>
      <x:c r="I289" s="46" t="str">
        <x:v>交换失衡后能够接收反馈、调整分工并持续回访。</x:v>
      </x:c>
      <x:c r="J289" s="46" t="str">
        <x:v>没有相应现实资料。</x:v>
      </x:c>
      <x:c r="K289" s="46" t="str">
        <x:v>由共享基础引擎、M3与M5-BASE提供；只修正用户怎样给予、请求、接收和回馈，不直接判断双方现实交换质量。</x:v>
      </x:c>
      <x:c r="L289" s="46" t="str">
        <x:v>M2只说明进入关系所需资格证据；不能替代长期双向交换、负荷与修复验证。</x:v>
      </x:c>
      <x:c r="M289" s="46" t="str">
        <x:v>M3-BASE、EXPR、CARE和BOUND提供用户自然互动通道；M5-EXCHANGE负责把两人的实际行为合成为交换结构。</x:v>
      </x:c>
      <x:c r="N289" s="46" t="str">
        <x:v>无／按本规则指定的给予—请求—接收—反馈—重订路径路由。</x:v>
      </x:c>
      <x:c r="O289" s="46" t="str">
        <x:v>近位、远位只修正该交换需求进入亲密关系核心的可能；不得据此判断具体伴侣现实中一定配合。</x:v>
      </x:c>
      <x:c r="P289" s="46" t="str">
        <x:v>根气只修正用户交换需求和通道是否稳定重复，不等于双方已形成成熟互惠。</x:v>
      </x:c>
      <x:c r="Q289" s="46" t="str">
        <x:v>旺弱只修正通道调用强度、抢位或缺位风险，不直接等于交换公平或关系质量。</x:v>
      </x:c>
      <x:c r="R289" s="46" t="str">
        <x:v>喜忌只修正调用顺畅度与摩擦，不可直接翻译为理想伴侣五行、十神或必然互补。</x:v>
      </x:c>
      <x:c r="S289" s="46" t="str">
        <x:v>真合化成立时按化神功能重算用户交换需求；合化争议时停止细化交换通道。</x:v>
      </x:c>
      <x:c r="T289" s="46" t="str">
        <x:v>近位提高该交换议题进入关系核心的可能；远位只保留背景或阶段性观察。</x:v>
      </x:c>
      <x:c r="U289" s="46" t="str">
        <x:v>88</x:v>
      </x:c>
      <x:c r="V289" s="46" t="str">
        <x:v>XV路由</x:v>
      </x:c>
      <x:c r="W289" s="46" t="str">
        <x:v>exchange_evidence_level</x:v>
      </x:c>
      <x:c r="X289" s="46" t="str">
        <x:v>XV6的最低资料是：交换失衡后能够接收反馈、调整分工并持续回访。</x:v>
      </x:c>
      <x:c r="Y289" s="46" t="str">
        <x:v>这一层主要依据：交换失衡后能够接收反馈、调整分工并持续回访。</x:v>
      </x:c>
      <x:c r="Z28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89" s="46" t="str">
        <x:v>中高</x:v>
      </x:c>
      <x:c r="AB289" s="46" t="str">
        <x:v>待验证</x:v>
      </x:c>
      <x:c r="AC289" s="46" t="str"/>
      <x:c r="AD289" s="46" t="str">
        <x:v>exchange_evidence=XV6; provisional=true; rule_group=EXCHANGE-XV证据</x:v>
      </x:c>
      <x:c r="AE289" s="46" t="str">
        <x:v>0.4</x:v>
      </x:c>
    </x:row>
    <x:row r="290" ht="50" customHeight="1">
      <x:c r="A290" s="46" t="str">
        <x:v>M5-EXCHANGE-289</x:v>
      </x:c>
      <x:c r="B290" s="46" t="str">
        <x:v>XV6 修复与重订证据｜允许发布</x:v>
      </x:c>
      <x:c r="C290" s="46" t="str">
        <x:v>L5 双人交换证据深度</x:v>
      </x:c>
      <x:c r="D290" s="46" t="str">
        <x:v>EXCHANGE-XV证据</x:v>
      </x:c>
      <x:c r="E290" s="46" t="str">
        <x:v>通用</x:v>
      </x:c>
      <x:c r="F290" s="46" t="str">
        <x:v>输出</x:v>
      </x:c>
      <x:c r="G290" s="46" t="str">
        <x:v>XV6</x:v>
      </x:c>
      <x:c r="H290" s="46" t="str">
        <x:v>修复与重订证据</x:v>
      </x:c>
      <x:c r="I290" s="46" t="str">
        <x:v>XV6成立。</x:v>
      </x:c>
      <x:c r="J290" s="46" t="str">
        <x:v>试图越级到更强结论。</x:v>
      </x:c>
      <x:c r="K290" s="46" t="str">
        <x:v>由共享基础引擎、M3与M5-BASE提供；只修正用户怎样给予、请求、接收和回馈，不直接判断双方现实交换质量。</x:v>
      </x:c>
      <x:c r="L290" s="46" t="str">
        <x:v>M2只说明进入关系所需资格证据；不能替代长期双向交换、负荷与修复验证。</x:v>
      </x:c>
      <x:c r="M290" s="46" t="str">
        <x:v>M3-BASE、EXPR、CARE和BOUND提供用户自然互动通道；M5-EXCHANGE负责把两人的实际行为合成为交换结构。</x:v>
      </x:c>
      <x:c r="N290" s="46" t="str">
        <x:v>无／按本规则指定的给予—请求—接收—反馈—重订路径路由。</x:v>
      </x:c>
      <x:c r="O290" s="46" t="str">
        <x:v>近位、远位只修正该交换需求进入亲密关系核心的可能；不得据此判断具体伴侣现实中一定配合。</x:v>
      </x:c>
      <x:c r="P290" s="46" t="str">
        <x:v>根气只修正用户交换需求和通道是否稳定重复，不等于双方已形成成熟互惠。</x:v>
      </x:c>
      <x:c r="Q290" s="46" t="str">
        <x:v>旺弱只修正通道调用强度、抢位或缺位风险，不直接等于交换公平或关系质量。</x:v>
      </x:c>
      <x:c r="R290" s="46" t="str">
        <x:v>喜忌只修正调用顺畅度与摩擦，不可直接翻译为理想伴侣五行、十神或必然互补。</x:v>
      </x:c>
      <x:c r="S290" s="46" t="str">
        <x:v>真合化成立时按化神功能重算用户交换需求；合化争议时停止细化交换通道。</x:v>
      </x:c>
      <x:c r="T290" s="46" t="str">
        <x:v>近位提高该交换议题进入关系核心的可能；远位只保留背景或阶段性观察。</x:v>
      </x:c>
      <x:c r="U290" s="46" t="str">
        <x:v>84</x:v>
      </x:c>
      <x:c r="V290" s="46" t="str">
        <x:v>发布上限</x:v>
      </x:c>
      <x:c r="W290" s="46" t="str">
        <x:v>report_text</x:v>
      </x:c>
      <x:c r="X290" s="46" t="str">
        <x:v>可以建立交换修复能力候选。</x:v>
      </x:c>
      <x:c r="Y290" s="46" t="str">
        <x:v>可以建立交换修复能力候选。</x:v>
      </x:c>
      <x:c r="Z29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90" s="46" t="str">
        <x:v>中高</x:v>
      </x:c>
      <x:c r="AB290" s="46" t="str">
        <x:v>待验证</x:v>
      </x:c>
      <x:c r="AC290" s="46" t="str"/>
      <x:c r="AD290" s="46" t="str">
        <x:v>exchange_evidence=XV6; provisional=true; rule_group=EXCHANGE-XV证据</x:v>
      </x:c>
      <x:c r="AE290" s="46" t="str">
        <x:v>0.4</x:v>
      </x:c>
    </x:row>
    <x:row r="291" ht="50" customHeight="1">
      <x:c r="A291" s="46" t="str">
        <x:v>M5-EXCHANGE-290</x:v>
      </x:c>
      <x:c r="B291" s="46" t="str">
        <x:v>XV6 修复与重订证据｜禁止发布</x:v>
      </x:c>
      <x:c r="C291" s="46" t="str">
        <x:v>L5 双人交换证据深度</x:v>
      </x:c>
      <x:c r="D291" s="46" t="str">
        <x:v>EXCHANGE-XV证据</x:v>
      </x:c>
      <x:c r="E291" s="46" t="str">
        <x:v>通用</x:v>
      </x:c>
      <x:c r="F291" s="46" t="str">
        <x:v>边界</x:v>
      </x:c>
      <x:c r="G291" s="46" t="str">
        <x:v>XV6</x:v>
      </x:c>
      <x:c r="H291" s="46" t="str">
        <x:v>修复与重订证据</x:v>
      </x:c>
      <x:c r="I291" s="46" t="str">
        <x:v>XV6成立。</x:v>
      </x:c>
      <x:c r="J291" s="46" t="str">
        <x:v>无</x:v>
      </x:c>
      <x:c r="K291" s="46" t="str">
        <x:v>由共享基础引擎、M3与M5-BASE提供；只修正用户怎样给予、请求、接收和回馈，不直接判断双方现实交换质量。</x:v>
      </x:c>
      <x:c r="L291" s="46" t="str">
        <x:v>M2只说明进入关系所需资格证据；不能替代长期双向交换、负荷与修复验证。</x:v>
      </x:c>
      <x:c r="M291" s="46" t="str">
        <x:v>M3-BASE、EXPR、CARE和BOUND提供用户自然互动通道；M5-EXCHANGE负责把两人的实际行为合成为交换结构。</x:v>
      </x:c>
      <x:c r="N291" s="46" t="str">
        <x:v>无／按本规则指定的给予—请求—接收—反馈—重订路径路由。</x:v>
      </x:c>
      <x:c r="O291" s="46" t="str">
        <x:v>近位、远位只修正该交换需求进入亲密关系核心的可能；不得据此判断具体伴侣现实中一定配合。</x:v>
      </x:c>
      <x:c r="P291" s="46" t="str">
        <x:v>根气只修正用户交换需求和通道是否稳定重复，不等于双方已形成成熟互惠。</x:v>
      </x:c>
      <x:c r="Q291" s="46" t="str">
        <x:v>旺弱只修正通道调用强度、抢位或缺位风险，不直接等于交换公平或关系质量。</x:v>
      </x:c>
      <x:c r="R291" s="46" t="str">
        <x:v>喜忌只修正调用顺畅度与摩擦，不可直接翻译为理想伴侣五行、十神或必然互补。</x:v>
      </x:c>
      <x:c r="S291" s="46" t="str">
        <x:v>真合化成立时按化神功能重算用户交换需求；合化争议时停止细化交换通道。</x:v>
      </x:c>
      <x:c r="T291" s="46" t="str">
        <x:v>近位提高该交换议题进入关系核心的可能；远位只保留背景或阶段性观察。</x:v>
      </x:c>
      <x:c r="U291" s="46" t="str">
        <x:v>95</x:v>
      </x:c>
      <x:c r="V291" s="46" t="str">
        <x:v>不加分；边界</x:v>
      </x:c>
      <x:c r="W291" s="46" t="str">
        <x:v>boundary_note</x:v>
      </x:c>
      <x:c r="X291" s="46" t="str">
        <x:v>一次成功不能写长期稳定。</x:v>
      </x:c>
      <x:c r="Y291" s="46" t="str">
        <x:v>目前还不能：一次成功不能写长期稳定。</x:v>
      </x:c>
      <x:c r="Z29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91" s="46" t="str">
        <x:v>高</x:v>
      </x:c>
      <x:c r="AB291" s="46" t="str">
        <x:v>待验证</x:v>
      </x:c>
      <x:c r="AC291" s="46" t="str"/>
      <x:c r="AD291" s="46" t="str">
        <x:v>exchange_evidence=XV6; provisional=true; rule_group=EXCHANGE-XV证据</x:v>
      </x:c>
      <x:c r="AE291" s="46" t="str">
        <x:v>0.4</x:v>
      </x:c>
    </x:row>
    <x:row r="292" ht="50" customHeight="1">
      <x:c r="A292" s="46" t="str">
        <x:v>M5-EXCHANGE-291</x:v>
      </x:c>
      <x:c r="B292" s="46" t="str">
        <x:v>XV6 修复与重订证据｜升级任务</x:v>
      </x:c>
      <x:c r="C292" s="46" t="str">
        <x:v>L5 双人交换证据深度</x:v>
      </x:c>
      <x:c r="D292" s="46" t="str">
        <x:v>EXCHANGE-XV证据</x:v>
      </x:c>
      <x:c r="E292" s="46" t="str">
        <x:v>通用</x:v>
      </x:c>
      <x:c r="F292" s="46" t="str">
        <x:v>路由</x:v>
      </x:c>
      <x:c r="G292" s="46" t="str">
        <x:v>XV6</x:v>
      </x:c>
      <x:c r="H292" s="46" t="str">
        <x:v>修复与重订证据</x:v>
      </x:c>
      <x:c r="I292" s="46" t="str">
        <x:v>准备从XV6升级。</x:v>
      </x:c>
      <x:c r="J292" s="46" t="str">
        <x:v>安全、资料或反例停止。</x:v>
      </x:c>
      <x:c r="K292" s="46" t="str">
        <x:v>由共享基础引擎、M3与M5-BASE提供；只修正用户怎样给予、请求、接收和回馈，不直接判断双方现实交换质量。</x:v>
      </x:c>
      <x:c r="L292" s="46" t="str">
        <x:v>M2只说明进入关系所需资格证据；不能替代长期双向交换、负荷与修复验证。</x:v>
      </x:c>
      <x:c r="M292" s="46" t="str">
        <x:v>M3-BASE、EXPR、CARE和BOUND提供用户自然互动通道；M5-EXCHANGE负责把两人的实际行为合成为交换结构。</x:v>
      </x:c>
      <x:c r="N292" s="46" t="str">
        <x:v>无／按本规则指定的给予—请求—接收—反馈—重订路径路由。</x:v>
      </x:c>
      <x:c r="O292" s="46" t="str">
        <x:v>近位、远位只修正该交换需求进入亲密关系核心的可能；不得据此判断具体伴侣现实中一定配合。</x:v>
      </x:c>
      <x:c r="P292" s="46" t="str">
        <x:v>根气只修正用户交换需求和通道是否稳定重复，不等于双方已形成成熟互惠。</x:v>
      </x:c>
      <x:c r="Q292" s="46" t="str">
        <x:v>旺弱只修正通道调用强度、抢位或缺位风险，不直接等于交换公平或关系质量。</x:v>
      </x:c>
      <x:c r="R292" s="46" t="str">
        <x:v>喜忌只修正调用顺畅度与摩擦，不可直接翻译为理想伴侣五行、十神或必然互补。</x:v>
      </x:c>
      <x:c r="S292" s="46" t="str">
        <x:v>真合化成立时按化神功能重算用户交换需求；合化争议时停止细化交换通道。</x:v>
      </x:c>
      <x:c r="T292" s="46" t="str">
        <x:v>近位提高该交换议题进入关系核心的可能；远位只保留背景或阶段性观察。</x:v>
      </x:c>
      <x:c r="U292" s="46" t="str">
        <x:v>76</x:v>
      </x:c>
      <x:c r="V292" s="46" t="str">
        <x:v>不加分；观察计划</x:v>
      </x:c>
      <x:c r="W292" s="46" t="str">
        <x:v>observation_plan</x:v>
      </x:c>
      <x:c r="X292" s="46" t="str">
        <x:v>观察旧问题复发和持续兑现。</x:v>
      </x:c>
      <x:c r="Y292" s="46" t="str">
        <x:v>下一步观察：观察旧问题复发和持续兑现。</x:v>
      </x:c>
      <x:c r="Z29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92" s="46" t="str">
        <x:v>中</x:v>
      </x:c>
      <x:c r="AB292" s="46" t="str">
        <x:v>待验证</x:v>
      </x:c>
      <x:c r="AC292" s="46" t="str"/>
      <x:c r="AD292" s="46" t="str">
        <x:v>exchange_evidence=XV6; provisional=true; rule_group=EXCHANGE-XV证据</x:v>
      </x:c>
      <x:c r="AE292" s="46" t="str">
        <x:v>0.4</x:v>
      </x:c>
    </x:row>
    <x:row r="293" ht="50" customHeight="1">
      <x:c r="A293" s="46" t="str">
        <x:v>M5-EXCHANGE-292</x:v>
      </x:c>
      <x:c r="B293" s="46" t="str">
        <x:v>XV6 修复与重订证据｜与FG关系</x:v>
      </x:c>
      <x:c r="C293" s="46" t="str">
        <x:v>L5 双人交换证据深度</x:v>
      </x:c>
      <x:c r="D293" s="46" t="str">
        <x:v>EXCHANGE-XV证据</x:v>
      </x:c>
      <x:c r="E293" s="46" t="str">
        <x:v>通用</x:v>
      </x:c>
      <x:c r="F293" s="46" t="str">
        <x:v>接口</x:v>
      </x:c>
      <x:c r="G293" s="46" t="str">
        <x:v>XV6</x:v>
      </x:c>
      <x:c r="H293" s="46" t="str">
        <x:v>修复与重订证据</x:v>
      </x:c>
      <x:c r="I293" s="46" t="str">
        <x:v>XV6可用。</x:v>
      </x:c>
      <x:c r="J293" s="46" t="str">
        <x:v>把XV直接等同FG。</x:v>
      </x:c>
      <x:c r="K293" s="46" t="str">
        <x:v>由共享基础引擎、M3与M5-BASE提供；只修正用户怎样给予、请求、接收和回馈，不直接判断双方现实交换质量。</x:v>
      </x:c>
      <x:c r="L293" s="46" t="str">
        <x:v>M2只说明进入关系所需资格证据；不能替代长期双向交换、负荷与修复验证。</x:v>
      </x:c>
      <x:c r="M293" s="46" t="str">
        <x:v>M3-BASE、EXPR、CARE和BOUND提供用户自然互动通道；M5-EXCHANGE负责把两人的实际行为合成为交换结构。</x:v>
      </x:c>
      <x:c r="N293" s="46" t="str">
        <x:v>无／按本规则指定的给予—请求—接收—反馈—重订路径路由。</x:v>
      </x:c>
      <x:c r="O293" s="46" t="str">
        <x:v>近位、远位只修正该交换需求进入亲密关系核心的可能；不得据此判断具体伴侣现实中一定配合。</x:v>
      </x:c>
      <x:c r="P293" s="46" t="str">
        <x:v>根气只修正用户交换需求和通道是否稳定重复，不等于双方已形成成熟互惠。</x:v>
      </x:c>
      <x:c r="Q293" s="46" t="str">
        <x:v>旺弱只修正通道调用强度、抢位或缺位风险，不直接等于交换公平或关系质量。</x:v>
      </x:c>
      <x:c r="R293" s="46" t="str">
        <x:v>喜忌只修正调用顺畅度与摩擦，不可直接翻译为理想伴侣五行、十神或必然互补。</x:v>
      </x:c>
      <x:c r="S293" s="46" t="str">
        <x:v>真合化成立时按化神功能重算用户交换需求；合化争议时停止细化交换通道。</x:v>
      </x:c>
      <x:c r="T293" s="46" t="str">
        <x:v>近位提高该交换议题进入关系核心的可能；远位只保留背景或阶段性观察。</x:v>
      </x:c>
      <x:c r="U293" s="46" t="str">
        <x:v>92</x:v>
      </x:c>
      <x:c r="V293" s="46" t="str">
        <x:v>不加分；去耦</x:v>
      </x:c>
      <x:c r="W293" s="46" t="str">
        <x:v>fit_grade</x:v>
      </x:c>
      <x:c r="X293" s="46" t="str">
        <x:v>XV与FG分开计算。</x:v>
      </x:c>
      <x:c r="Y293" s="46" t="str">
        <x:v>交换证据更深，但最终适配仍需综合现实门槛。</x:v>
      </x:c>
      <x:c r="Z29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93" s="46" t="str">
        <x:v>高</x:v>
      </x:c>
      <x:c r="AB293" s="46" t="str">
        <x:v>待验证</x:v>
      </x:c>
      <x:c r="AC293" s="46" t="str"/>
      <x:c r="AD293" s="46" t="str">
        <x:v>exchange_evidence=XV6; provisional=true; rule_group=EXCHANGE-XV证据</x:v>
      </x:c>
      <x:c r="AE293" s="46" t="str">
        <x:v>0.4</x:v>
      </x:c>
    </x:row>
    <x:row r="294" ht="50" customHeight="1">
      <x:c r="A294" s="46" t="str">
        <x:v>M5-EXCHANGE-293</x:v>
      </x:c>
      <x:c r="B294" s="46" t="str">
        <x:v>XV7 反例／长期检验证据｜正式定义</x:v>
      </x:c>
      <x:c r="C294" s="46" t="str">
        <x:v>L5 双人交换证据深度</x:v>
      </x:c>
      <x:c r="D294" s="46" t="str">
        <x:v>EXCHANGE-XV证据</x:v>
      </x:c>
      <x:c r="E294" s="46" t="str">
        <x:v>通用</x:v>
      </x:c>
      <x:c r="F294" s="46" t="str">
        <x:v>定义</x:v>
      </x:c>
      <x:c r="G294" s="46" t="str">
        <x:v>XV7</x:v>
      </x:c>
      <x:c r="H294" s="46" t="str">
        <x:v>反例／长期检验证据</x:v>
      </x:c>
      <x:c r="I294" s="46" t="str">
        <x:v>评估双方交换事件证据。</x:v>
      </x:c>
      <x:c r="J294" s="46" t="str">
        <x:v>无</x:v>
      </x:c>
      <x:c r="K294" s="46" t="str">
        <x:v>由共享基础引擎、M3与M5-BASE提供；只修正用户怎样给予、请求、接收和回馈，不直接判断双方现实交换质量。</x:v>
      </x:c>
      <x:c r="L294" s="46" t="str">
        <x:v>M2只说明进入关系所需资格证据；不能替代长期双向交换、负荷与修复验证。</x:v>
      </x:c>
      <x:c r="M294" s="46" t="str">
        <x:v>M3-BASE、EXPR、CARE和BOUND提供用户自然互动通道；M5-EXCHANGE负责把两人的实际行为合成为交换结构。</x:v>
      </x:c>
      <x:c r="N294" s="46" t="str">
        <x:v>无／按本规则指定的给予—请求—接收—反馈—重订路径路由。</x:v>
      </x:c>
      <x:c r="O294" s="46" t="str">
        <x:v>近位、远位只修正该交换需求进入亲密关系核心的可能；不得据此判断具体伴侣现实中一定配合。</x:v>
      </x:c>
      <x:c r="P294" s="46" t="str">
        <x:v>根气只修正用户交换需求和通道是否稳定重复，不等于双方已形成成熟互惠。</x:v>
      </x:c>
      <x:c r="Q294" s="46" t="str">
        <x:v>旺弱只修正通道调用强度、抢位或缺位风险，不直接等于交换公平或关系质量。</x:v>
      </x:c>
      <x:c r="R294" s="46" t="str">
        <x:v>喜忌只修正调用顺畅度与摩擦，不可直接翻译为理想伴侣五行、十神或必然互补。</x:v>
      </x:c>
      <x:c r="S294" s="46" t="str">
        <x:v>真合化成立时按化神功能重算用户交换需求；合化争议时停止细化交换通道。</x:v>
      </x:c>
      <x:c r="T294" s="46" t="str">
        <x:v>近位提高该交换议题进入关系核心的可能；远位只保留背景或阶段性观察。</x:v>
      </x:c>
      <x:c r="U294" s="46" t="str">
        <x:v>96</x:v>
      </x:c>
      <x:c r="V294" s="46" t="str">
        <x:v>不加分；证据定义</x:v>
      </x:c>
      <x:c r="W294" s="46" t="str">
        <x:v>exchange_evidence_level</x:v>
      </x:c>
      <x:c r="X294" s="46" t="str">
        <x:v>经历失衡、复发、角色变化或规则对自己不利后，仍能修正交换。</x:v>
      </x:c>
      <x:c r="Y294" s="46" t="str">
        <x:v>当前交换证据层级：反例／长期检验证据。</x:v>
      </x:c>
      <x:c r="Z29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94" s="46" t="str">
        <x:v>高</x:v>
      </x:c>
      <x:c r="AB294" s="46" t="str">
        <x:v>待验证</x:v>
      </x:c>
      <x:c r="AC294" s="46" t="str"/>
      <x:c r="AD294" s="46" t="str">
        <x:v>exchange_evidence=XV7; provisional=true; rule_group=EXCHANGE-XV证据</x:v>
      </x:c>
      <x:c r="AE294" s="46" t="str">
        <x:v>0.4</x:v>
      </x:c>
    </x:row>
    <x:row r="295" ht="50" customHeight="1">
      <x:c r="A295" s="46" t="str">
        <x:v>M5-EXCHANGE-294</x:v>
      </x:c>
      <x:c r="B295" s="46" t="str">
        <x:v>XV7 反例／长期检验证据｜最低资料</x:v>
      </x:c>
      <x:c r="C295" s="46" t="str">
        <x:v>L5 双人交换证据深度</x:v>
      </x:c>
      <x:c r="D295" s="46" t="str">
        <x:v>EXCHANGE-XV证据</x:v>
      </x:c>
      <x:c r="E295" s="46" t="str">
        <x:v>通用</x:v>
      </x:c>
      <x:c r="F295" s="46" t="str">
        <x:v>证据</x:v>
      </x:c>
      <x:c r="G295" s="46" t="str">
        <x:v>XV7</x:v>
      </x:c>
      <x:c r="H295" s="46" t="str">
        <x:v>反例／长期检验证据</x:v>
      </x:c>
      <x:c r="I295" s="46" t="str">
        <x:v>经历失衡、复发、角色变化或规则对自己不利后，仍能修正交换。</x:v>
      </x:c>
      <x:c r="J295" s="46" t="str">
        <x:v>没有相应现实资料。</x:v>
      </x:c>
      <x:c r="K295" s="46" t="str">
        <x:v>由共享基础引擎、M3与M5-BASE提供；只修正用户怎样给予、请求、接收和回馈，不直接判断双方现实交换质量。</x:v>
      </x:c>
      <x:c r="L295" s="46" t="str">
        <x:v>M2只说明进入关系所需资格证据；不能替代长期双向交换、负荷与修复验证。</x:v>
      </x:c>
      <x:c r="M295" s="46" t="str">
        <x:v>M3-BASE、EXPR、CARE和BOUND提供用户自然互动通道；M5-EXCHANGE负责把两人的实际行为合成为交换结构。</x:v>
      </x:c>
      <x:c r="N295" s="46" t="str">
        <x:v>无／按本规则指定的给予—请求—接收—反馈—重订路径路由。</x:v>
      </x:c>
      <x:c r="O295" s="46" t="str">
        <x:v>近位、远位只修正该交换需求进入亲密关系核心的可能；不得据此判断具体伴侣现实中一定配合。</x:v>
      </x:c>
      <x:c r="P295" s="46" t="str">
        <x:v>根气只修正用户交换需求和通道是否稳定重复，不等于双方已形成成熟互惠。</x:v>
      </x:c>
      <x:c r="Q295" s="46" t="str">
        <x:v>旺弱只修正通道调用强度、抢位或缺位风险，不直接等于交换公平或关系质量。</x:v>
      </x:c>
      <x:c r="R295" s="46" t="str">
        <x:v>喜忌只修正调用顺畅度与摩擦，不可直接翻译为理想伴侣五行、十神或必然互补。</x:v>
      </x:c>
      <x:c r="S295" s="46" t="str">
        <x:v>真合化成立时按化神功能重算用户交换需求；合化争议时停止细化交换通道。</x:v>
      </x:c>
      <x:c r="T295" s="46" t="str">
        <x:v>近位提高该交换议题进入关系核心的可能；远位只保留背景或阶段性观察。</x:v>
      </x:c>
      <x:c r="U295" s="46" t="str">
        <x:v>88</x:v>
      </x:c>
      <x:c r="V295" s="46" t="str">
        <x:v>XV路由</x:v>
      </x:c>
      <x:c r="W295" s="46" t="str">
        <x:v>exchange_evidence_level</x:v>
      </x:c>
      <x:c r="X295" s="46" t="str">
        <x:v>XV7的最低资料是：经历失衡、复发、角色变化或规则对自己不利后，仍能修正交换。</x:v>
      </x:c>
      <x:c r="Y295" s="46" t="str">
        <x:v>这一层主要依据：经历失衡、复发、角色变化或规则对自己不利后，仍能修正交换。</x:v>
      </x:c>
      <x:c r="Z29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95" s="46" t="str">
        <x:v>中高</x:v>
      </x:c>
      <x:c r="AB295" s="46" t="str">
        <x:v>待验证</x:v>
      </x:c>
      <x:c r="AC295" s="46" t="str"/>
      <x:c r="AD295" s="46" t="str">
        <x:v>exchange_evidence=XV7; provisional=true; rule_group=EXCHANGE-XV证据</x:v>
      </x:c>
      <x:c r="AE295" s="46" t="str">
        <x:v>0.4</x:v>
      </x:c>
    </x:row>
    <x:row r="296" ht="50" customHeight="1">
      <x:c r="A296" s="46" t="str">
        <x:v>M5-EXCHANGE-295</x:v>
      </x:c>
      <x:c r="B296" s="46" t="str">
        <x:v>XV7 反例／长期检验证据｜允许发布</x:v>
      </x:c>
      <x:c r="C296" s="46" t="str">
        <x:v>L5 双人交换证据深度</x:v>
      </x:c>
      <x:c r="D296" s="46" t="str">
        <x:v>EXCHANGE-XV证据</x:v>
      </x:c>
      <x:c r="E296" s="46" t="str">
        <x:v>通用</x:v>
      </x:c>
      <x:c r="F296" s="46" t="str">
        <x:v>输出</x:v>
      </x:c>
      <x:c r="G296" s="46" t="str">
        <x:v>XV7</x:v>
      </x:c>
      <x:c r="H296" s="46" t="str">
        <x:v>反例／长期检验证据</x:v>
      </x:c>
      <x:c r="I296" s="46" t="str">
        <x:v>XV7成立。</x:v>
      </x:c>
      <x:c r="J296" s="46" t="str">
        <x:v>试图越级到更强结论。</x:v>
      </x:c>
      <x:c r="K296" s="46" t="str">
        <x:v>由共享基础引擎、M3与M5-BASE提供；只修正用户怎样给予、请求、接收和回馈，不直接判断双方现实交换质量。</x:v>
      </x:c>
      <x:c r="L296" s="46" t="str">
        <x:v>M2只说明进入关系所需资格证据；不能替代长期双向交换、负荷与修复验证。</x:v>
      </x:c>
      <x:c r="M296" s="46" t="str">
        <x:v>M3-BASE、EXPR、CARE和BOUND提供用户自然互动通道；M5-EXCHANGE负责把两人的实际行为合成为交换结构。</x:v>
      </x:c>
      <x:c r="N296" s="46" t="str">
        <x:v>无／按本规则指定的给予—请求—接收—反馈—重订路径路由。</x:v>
      </x:c>
      <x:c r="O296" s="46" t="str">
        <x:v>近位、远位只修正该交换需求进入亲密关系核心的可能；不得据此判断具体伴侣现实中一定配合。</x:v>
      </x:c>
      <x:c r="P296" s="46" t="str">
        <x:v>根气只修正用户交换需求和通道是否稳定重复，不等于双方已形成成熟互惠。</x:v>
      </x:c>
      <x:c r="Q296" s="46" t="str">
        <x:v>旺弱只修正通道调用强度、抢位或缺位风险，不直接等于交换公平或关系质量。</x:v>
      </x:c>
      <x:c r="R296" s="46" t="str">
        <x:v>喜忌只修正调用顺畅度与摩擦，不可直接翻译为理想伴侣五行、十神或必然互补。</x:v>
      </x:c>
      <x:c r="S296" s="46" t="str">
        <x:v>真合化成立时按化神功能重算用户交换需求；合化争议时停止细化交换通道。</x:v>
      </x:c>
      <x:c r="T296" s="46" t="str">
        <x:v>近位提高该交换议题进入关系核心的可能；远位只保留背景或阶段性观察。</x:v>
      </x:c>
      <x:c r="U296" s="46" t="str">
        <x:v>84</x:v>
      </x:c>
      <x:c r="V296" s="46" t="str">
        <x:v>发布上限</x:v>
      </x:c>
      <x:c r="W296" s="46" t="str">
        <x:v>report_text</x:v>
      </x:c>
      <x:c r="X296" s="46" t="str">
        <x:v>可作为较高等级现实交换证据。</x:v>
      </x:c>
      <x:c r="Y296" s="46" t="str">
        <x:v>可作为较高等级现实交换证据。</x:v>
      </x:c>
      <x:c r="Z29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96" s="46" t="str">
        <x:v>中高</x:v>
      </x:c>
      <x:c r="AB296" s="46" t="str">
        <x:v>待验证</x:v>
      </x:c>
      <x:c r="AC296" s="46" t="str"/>
      <x:c r="AD296" s="46" t="str">
        <x:v>exchange_evidence=XV7; provisional=true; rule_group=EXCHANGE-XV证据</x:v>
      </x:c>
      <x:c r="AE296" s="46" t="str">
        <x:v>0.4</x:v>
      </x:c>
    </x:row>
    <x:row r="297" ht="50" customHeight="1">
      <x:c r="A297" s="46" t="str">
        <x:v>M5-EXCHANGE-296</x:v>
      </x:c>
      <x:c r="B297" s="46" t="str">
        <x:v>XV7 反例／长期检验证据｜禁止发布</x:v>
      </x:c>
      <x:c r="C297" s="46" t="str">
        <x:v>L5 双人交换证据深度</x:v>
      </x:c>
      <x:c r="D297" s="46" t="str">
        <x:v>EXCHANGE-XV证据</x:v>
      </x:c>
      <x:c r="E297" s="46" t="str">
        <x:v>通用</x:v>
      </x:c>
      <x:c r="F297" s="46" t="str">
        <x:v>边界</x:v>
      </x:c>
      <x:c r="G297" s="46" t="str">
        <x:v>XV7</x:v>
      </x:c>
      <x:c r="H297" s="46" t="str">
        <x:v>反例／长期检验证据</x:v>
      </x:c>
      <x:c r="I297" s="46" t="str">
        <x:v>XV7成立。</x:v>
      </x:c>
      <x:c r="J297" s="46" t="str">
        <x:v>无</x:v>
      </x:c>
      <x:c r="K297" s="46" t="str">
        <x:v>由共享基础引擎、M3与M5-BASE提供；只修正用户怎样给予、请求、接收和回馈，不直接判断双方现实交换质量。</x:v>
      </x:c>
      <x:c r="L297" s="46" t="str">
        <x:v>M2只说明进入关系所需资格证据；不能替代长期双向交换、负荷与修复验证。</x:v>
      </x:c>
      <x:c r="M297" s="46" t="str">
        <x:v>M3-BASE、EXPR、CARE和BOUND提供用户自然互动通道；M5-EXCHANGE负责把两人的实际行为合成为交换结构。</x:v>
      </x:c>
      <x:c r="N297" s="46" t="str">
        <x:v>无／按本规则指定的给予—请求—接收—反馈—重订路径路由。</x:v>
      </x:c>
      <x:c r="O297" s="46" t="str">
        <x:v>近位、远位只修正该交换需求进入亲密关系核心的可能；不得据此判断具体伴侣现实中一定配合。</x:v>
      </x:c>
      <x:c r="P297" s="46" t="str">
        <x:v>根气只修正用户交换需求和通道是否稳定重复，不等于双方已形成成熟互惠。</x:v>
      </x:c>
      <x:c r="Q297" s="46" t="str">
        <x:v>旺弱只修正通道调用强度、抢位或缺位风险，不直接等于交换公平或关系质量。</x:v>
      </x:c>
      <x:c r="R297" s="46" t="str">
        <x:v>喜忌只修正调用顺畅度与摩擦，不可直接翻译为理想伴侣五行、十神或必然互补。</x:v>
      </x:c>
      <x:c r="S297" s="46" t="str">
        <x:v>真合化成立时按化神功能重算用户交换需求；合化争议时停止细化交换通道。</x:v>
      </x:c>
      <x:c r="T297" s="46" t="str">
        <x:v>近位提高该交换议题进入关系核心的可能；远位只保留背景或阶段性观察。</x:v>
      </x:c>
      <x:c r="U297" s="46" t="str">
        <x:v>95</x:v>
      </x:c>
      <x:c r="V297" s="46" t="str">
        <x:v>不加分；边界</x:v>
      </x:c>
      <x:c r="W297" s="46" t="str">
        <x:v>boundary_note</x:v>
      </x:c>
      <x:c r="X297" s="46" t="str">
        <x:v>仍受安全、价值观和其他RG门槛约束。</x:v>
      </x:c>
      <x:c r="Y297" s="46" t="str">
        <x:v>目前还不能：仍受安全、价值观和其他RG门槛约束。</x:v>
      </x:c>
      <x:c r="Z29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97" s="46" t="str">
        <x:v>高</x:v>
      </x:c>
      <x:c r="AB297" s="46" t="str">
        <x:v>待验证</x:v>
      </x:c>
      <x:c r="AC297" s="46" t="str"/>
      <x:c r="AD297" s="46" t="str">
        <x:v>exchange_evidence=XV7; provisional=true; rule_group=EXCHANGE-XV证据</x:v>
      </x:c>
      <x:c r="AE297" s="46" t="str">
        <x:v>0.4</x:v>
      </x:c>
    </x:row>
    <x:row r="298" ht="50" customHeight="1">
      <x:c r="A298" s="46" t="str">
        <x:v>M5-EXCHANGE-297</x:v>
      </x:c>
      <x:c r="B298" s="46" t="str">
        <x:v>XV7 反例／长期检验证据｜升级任务</x:v>
      </x:c>
      <x:c r="C298" s="46" t="str">
        <x:v>L5 双人交换证据深度</x:v>
      </x:c>
      <x:c r="D298" s="46" t="str">
        <x:v>EXCHANGE-XV证据</x:v>
      </x:c>
      <x:c r="E298" s="46" t="str">
        <x:v>通用</x:v>
      </x:c>
      <x:c r="F298" s="46" t="str">
        <x:v>路由</x:v>
      </x:c>
      <x:c r="G298" s="46" t="str">
        <x:v>XV7</x:v>
      </x:c>
      <x:c r="H298" s="46" t="str">
        <x:v>反例／长期检验证据</x:v>
      </x:c>
      <x:c r="I298" s="46" t="str">
        <x:v>准备从XV7升级。</x:v>
      </x:c>
      <x:c r="J298" s="46" t="str">
        <x:v>安全、资料或反例停止。</x:v>
      </x:c>
      <x:c r="K298" s="46" t="str">
        <x:v>由共享基础引擎、M3与M5-BASE提供；只修正用户怎样给予、请求、接收和回馈，不直接判断双方现实交换质量。</x:v>
      </x:c>
      <x:c r="L298" s="46" t="str">
        <x:v>M2只说明进入关系所需资格证据；不能替代长期双向交换、负荷与修复验证。</x:v>
      </x:c>
      <x:c r="M298" s="46" t="str">
        <x:v>M3-BASE、EXPR、CARE和BOUND提供用户自然互动通道；M5-EXCHANGE负责把两人的实际行为合成为交换结构。</x:v>
      </x:c>
      <x:c r="N298" s="46" t="str">
        <x:v>无／按本规则指定的给予—请求—接收—反馈—重订路径路由。</x:v>
      </x:c>
      <x:c r="O298" s="46" t="str">
        <x:v>近位、远位只修正该交换需求进入亲密关系核心的可能；不得据此判断具体伴侣现实中一定配合。</x:v>
      </x:c>
      <x:c r="P298" s="46" t="str">
        <x:v>根气只修正用户交换需求和通道是否稳定重复，不等于双方已形成成熟互惠。</x:v>
      </x:c>
      <x:c r="Q298" s="46" t="str">
        <x:v>旺弱只修正通道调用强度、抢位或缺位风险，不直接等于交换公平或关系质量。</x:v>
      </x:c>
      <x:c r="R298" s="46" t="str">
        <x:v>喜忌只修正调用顺畅度与摩擦，不可直接翻译为理想伴侣五行、十神或必然互补。</x:v>
      </x:c>
      <x:c r="S298" s="46" t="str">
        <x:v>真合化成立时按化神功能重算用户交换需求；合化争议时停止细化交换通道。</x:v>
      </x:c>
      <x:c r="T298" s="46" t="str">
        <x:v>近位提高该交换议题进入关系核心的可能；远位只保留背景或阶段性观察。</x:v>
      </x:c>
      <x:c r="U298" s="46" t="str">
        <x:v>76</x:v>
      </x:c>
      <x:c r="V298" s="46" t="str">
        <x:v>不加分；观察计划</x:v>
      </x:c>
      <x:c r="W298" s="46" t="str">
        <x:v>observation_plan</x:v>
      </x:c>
      <x:c r="X298" s="46" t="str">
        <x:v>进入M5-SYNTH综合验证。</x:v>
      </x:c>
      <x:c r="Y298" s="46" t="str">
        <x:v>下一步观察：进入M5-SYNTH综合验证。</x:v>
      </x:c>
      <x:c r="Z29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98" s="46" t="str">
        <x:v>中</x:v>
      </x:c>
      <x:c r="AB298" s="46" t="str">
        <x:v>待验证</x:v>
      </x:c>
      <x:c r="AC298" s="46" t="str"/>
      <x:c r="AD298" s="46" t="str">
        <x:v>exchange_evidence=XV7; provisional=true; rule_group=EXCHANGE-XV证据</x:v>
      </x:c>
      <x:c r="AE298" s="46" t="str">
        <x:v>0.4</x:v>
      </x:c>
    </x:row>
    <x:row r="299" ht="50" customHeight="1">
      <x:c r="A299" s="46" t="str">
        <x:v>M5-EXCHANGE-298</x:v>
      </x:c>
      <x:c r="B299" s="46" t="str">
        <x:v>XV7 反例／长期检验证据｜与FG关系</x:v>
      </x:c>
      <x:c r="C299" s="46" t="str">
        <x:v>L5 双人交换证据深度</x:v>
      </x:c>
      <x:c r="D299" s="46" t="str">
        <x:v>EXCHANGE-XV证据</x:v>
      </x:c>
      <x:c r="E299" s="46" t="str">
        <x:v>通用</x:v>
      </x:c>
      <x:c r="F299" s="46" t="str">
        <x:v>接口</x:v>
      </x:c>
      <x:c r="G299" s="46" t="str">
        <x:v>XV7</x:v>
      </x:c>
      <x:c r="H299" s="46" t="str">
        <x:v>反例／长期检验证据</x:v>
      </x:c>
      <x:c r="I299" s="46" t="str">
        <x:v>XV7可用。</x:v>
      </x:c>
      <x:c r="J299" s="46" t="str">
        <x:v>把XV直接等同FG。</x:v>
      </x:c>
      <x:c r="K299" s="46" t="str">
        <x:v>由共享基础引擎、M3与M5-BASE提供；只修正用户怎样给予、请求、接收和回馈，不直接判断双方现实交换质量。</x:v>
      </x:c>
      <x:c r="L299" s="46" t="str">
        <x:v>M2只说明进入关系所需资格证据；不能替代长期双向交换、负荷与修复验证。</x:v>
      </x:c>
      <x:c r="M299" s="46" t="str">
        <x:v>M3-BASE、EXPR、CARE和BOUND提供用户自然互动通道；M5-EXCHANGE负责把两人的实际行为合成为交换结构。</x:v>
      </x:c>
      <x:c r="N299" s="46" t="str">
        <x:v>无／按本规则指定的给予—请求—接收—反馈—重订路径路由。</x:v>
      </x:c>
      <x:c r="O299" s="46" t="str">
        <x:v>近位、远位只修正该交换需求进入亲密关系核心的可能；不得据此判断具体伴侣现实中一定配合。</x:v>
      </x:c>
      <x:c r="P299" s="46" t="str">
        <x:v>根气只修正用户交换需求和通道是否稳定重复，不等于双方已形成成熟互惠。</x:v>
      </x:c>
      <x:c r="Q299" s="46" t="str">
        <x:v>旺弱只修正通道调用强度、抢位或缺位风险，不直接等于交换公平或关系质量。</x:v>
      </x:c>
      <x:c r="R299" s="46" t="str">
        <x:v>喜忌只修正调用顺畅度与摩擦，不可直接翻译为理想伴侣五行、十神或必然互补。</x:v>
      </x:c>
      <x:c r="S299" s="46" t="str">
        <x:v>真合化成立时按化神功能重算用户交换需求；合化争议时停止细化交换通道。</x:v>
      </x:c>
      <x:c r="T299" s="46" t="str">
        <x:v>近位提高该交换议题进入关系核心的可能；远位只保留背景或阶段性观察。</x:v>
      </x:c>
      <x:c r="U299" s="46" t="str">
        <x:v>92</x:v>
      </x:c>
      <x:c r="V299" s="46" t="str">
        <x:v>不加分；去耦</x:v>
      </x:c>
      <x:c r="W299" s="46" t="str">
        <x:v>fit_grade</x:v>
      </x:c>
      <x:c r="X299" s="46" t="str">
        <x:v>XV与FG分开计算。</x:v>
      </x:c>
      <x:c r="Y299" s="46" t="str">
        <x:v>交换证据更深，但最终适配仍需综合现实门槛。</x:v>
      </x:c>
      <x:c r="Z29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299" s="46" t="str">
        <x:v>高</x:v>
      </x:c>
      <x:c r="AB299" s="46" t="str">
        <x:v>待验证</x:v>
      </x:c>
      <x:c r="AC299" s="46" t="str"/>
      <x:c r="AD299" s="46" t="str">
        <x:v>exchange_evidence=XV7; provisional=true; rule_group=EXCHANGE-XV证据</x:v>
      </x:c>
      <x:c r="AE299" s="46" t="str">
        <x:v>0.4</x:v>
      </x:c>
    </x:row>
    <x:row r="300" ht="50" customHeight="1">
      <x:c r="A300" s="46" t="str">
        <x:v>M5-EXCHANGE-299</x:v>
      </x:c>
      <x:c r="B300" s="46" t="str">
        <x:v>EB01 显眼投入等于全部投入｜正式定义</x:v>
      </x:c>
      <x:c r="C300" s="46" t="str">
        <x:v>L6 交换误读与伪互惠</x:v>
      </x:c>
      <x:c r="D300" s="46" t="str">
        <x:v>EXCHANGE-EB伪互惠</x:v>
      </x:c>
      <x:c r="E300" s="46" t="str">
        <x:v>通用</x:v>
      </x:c>
      <x:c r="F300" s="46" t="str">
        <x:v>伪互惠</x:v>
      </x:c>
      <x:c r="G300" s="46" t="str">
        <x:v>EB01</x:v>
      </x:c>
      <x:c r="H300" s="46" t="str">
        <x:v>显眼投入等于全部投入</x:v>
      </x:c>
      <x:c r="I300" s="46" t="str">
        <x:v>出现相关判断偏差或交换争议。</x:v>
      </x:c>
      <x:c r="J300" s="46" t="str">
        <x:v>XV6—XV7现实资料已经排除。</x:v>
      </x:c>
      <x:c r="K300" s="46" t="str">
        <x:v>由共享基础引擎、M3与M5-BASE提供；只修正用户怎样给予、请求、接收和回馈，不直接判断双方现实交换质量。</x:v>
      </x:c>
      <x:c r="L300" s="46" t="str">
        <x:v>M2只说明进入关系所需资格证据；不能替代长期双向交换、负荷与修复验证。</x:v>
      </x:c>
      <x:c r="M300" s="46" t="str">
        <x:v>M3-BASE、EXPR、CARE和BOUND提供用户自然互动通道；M5-EXCHANGE负责把两人的实际行为合成为交换结构。</x:v>
      </x:c>
      <x:c r="N300" s="46" t="str">
        <x:v>无／按本规则指定的给予—请求—接收—反馈—重订路径路由。</x:v>
      </x:c>
      <x:c r="O300" s="46" t="str">
        <x:v>近位、远位只修正该交换需求进入亲密关系核心的可能；不得据此判断具体伴侣现实中一定配合。</x:v>
      </x:c>
      <x:c r="P300" s="46" t="str">
        <x:v>根气只修正用户交换需求和通道是否稳定重复，不等于双方已形成成熟互惠。</x:v>
      </x:c>
      <x:c r="Q300" s="46" t="str">
        <x:v>旺弱只修正通道调用强度、抢位或缺位风险，不直接等于交换公平或关系质量。</x:v>
      </x:c>
      <x:c r="R300" s="46" t="str">
        <x:v>喜忌只修正调用顺畅度与摩擦，不可直接翻译为理想伴侣五行、十神或必然互补。</x:v>
      </x:c>
      <x:c r="S300" s="46" t="str">
        <x:v>真合化成立时按化神功能重算用户交换需求；合化争议时停止细化交换通道。</x:v>
      </x:c>
      <x:c r="T300" s="46" t="str">
        <x:v>近位提高该交换议题进入关系核心的可能；远位只保留背景或阶段性观察。</x:v>
      </x:c>
      <x:c r="U300" s="46" t="str">
        <x:v>95</x:v>
      </x:c>
      <x:c r="V300" s="46" t="str">
        <x:v>EB风险 +12</x:v>
      </x:c>
      <x:c r="W300" s="46" t="str">
        <x:v>pseudo_reciprocity_warning</x:v>
      </x:c>
      <x:c r="X300" s="46" t="str">
        <x:v>只看到金钱、礼物、做事或说话最多的一方。</x:v>
      </x:c>
      <x:c r="Y300" s="46" t="str">
        <x:v>显眼不等于全部，先把不同领域都列出来。</x:v>
      </x:c>
      <x:c r="Z30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00" s="46" t="str">
        <x:v>高</x:v>
      </x:c>
      <x:c r="AB300" s="46" t="str">
        <x:v>待验证</x:v>
      </x:c>
      <x:c r="AC300" s="46" t="str"/>
      <x:c r="AD300" s="46" t="str">
        <x:v>exchange_blindspot=EB01; provisional=true; rule_group=EXCHANGE-EB伪互惠</x:v>
      </x:c>
      <x:c r="AE300" s="46" t="str">
        <x:v>0.4</x:v>
      </x:c>
    </x:row>
    <x:row r="301" ht="50" customHeight="1">
      <x:c r="A301" s="46" t="str">
        <x:v>M5-EXCHANGE-300</x:v>
      </x:c>
      <x:c r="B301" s="46" t="str">
        <x:v>EB01 显眼投入等于全部投入｜证据缺口</x:v>
      </x:c>
      <x:c r="C301" s="46" t="str">
        <x:v>L6 交换误读与伪互惠</x:v>
      </x:c>
      <x:c r="D301" s="46" t="str">
        <x:v>EXCHANGE-EB伪互惠</x:v>
      </x:c>
      <x:c r="E301" s="46" t="str">
        <x:v>通用</x:v>
      </x:c>
      <x:c r="F301" s="46" t="str">
        <x:v>证据</x:v>
      </x:c>
      <x:c r="G301" s="46" t="str">
        <x:v>EB01</x:v>
      </x:c>
      <x:c r="H301" s="46" t="str">
        <x:v>显眼投入等于全部投入</x:v>
      </x:c>
      <x:c r="I301" s="46" t="str">
        <x:v>准备判断交换公平或成熟。</x:v>
      </x:c>
      <x:c r="J301" s="46" t="str">
        <x:v>对应维度已跨场景验证。</x:v>
      </x:c>
      <x:c r="K301" s="46" t="str">
        <x:v>由共享基础引擎、M3与M5-BASE提供；只修正用户怎样给予、请求、接收和回馈，不直接判断双方现实交换质量。</x:v>
      </x:c>
      <x:c r="L301" s="46" t="str">
        <x:v>M2只说明进入关系所需资格证据；不能替代长期双向交换、负荷与修复验证。</x:v>
      </x:c>
      <x:c r="M301" s="46" t="str">
        <x:v>M3-BASE、EXPR、CARE和BOUND提供用户自然互动通道；M5-EXCHANGE负责把两人的实际行为合成为交换结构。</x:v>
      </x:c>
      <x:c r="N301" s="46" t="str">
        <x:v>无／按本规则指定的给予—请求—接收—反馈—重订路径路由。</x:v>
      </x:c>
      <x:c r="O301" s="46" t="str">
        <x:v>近位、远位只修正该交换需求进入亲密关系核心的可能；不得据此判断具体伴侣现实中一定配合。</x:v>
      </x:c>
      <x:c r="P301" s="46" t="str">
        <x:v>根气只修正用户交换需求和通道是否稳定重复，不等于双方已形成成熟互惠。</x:v>
      </x:c>
      <x:c r="Q301" s="46" t="str">
        <x:v>旺弱只修正通道调用强度、抢位或缺位风险，不直接等于交换公平或关系质量。</x:v>
      </x:c>
      <x:c r="R301" s="46" t="str">
        <x:v>喜忌只修正调用顺畅度与摩擦，不可直接翻译为理想伴侣五行、十神或必然互补。</x:v>
      </x:c>
      <x:c r="S301" s="46" t="str">
        <x:v>真合化成立时按化神功能重算用户交换需求；合化争议时停止细化交换通道。</x:v>
      </x:c>
      <x:c r="T301" s="46" t="str">
        <x:v>近位提高该交换议题进入关系核心的可能；远位只保留背景或阶段性观察。</x:v>
      </x:c>
      <x:c r="U301" s="46" t="str">
        <x:v>90</x:v>
      </x:c>
      <x:c r="V301" s="46" t="str">
        <x:v>-12／停止升级</x:v>
      </x:c>
      <x:c r="W301" s="46" t="str">
        <x:v>counterevidence</x:v>
      </x:c>
      <x:c r="X301" s="46" t="str">
        <x:v>扩展到情绪劳动、计划、责任、修复和隐性支持。</x:v>
      </x:c>
      <x:c r="Y301" s="46" t="str">
        <x:v>需要补看：扩展到情绪劳动、计划、责任、修复和隐性支持。</x:v>
      </x:c>
      <x:c r="Z30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01" s="46" t="str">
        <x:v>中高</x:v>
      </x:c>
      <x:c r="AB301" s="46" t="str">
        <x:v>待验证</x:v>
      </x:c>
      <x:c r="AC301" s="46" t="str"/>
      <x:c r="AD301" s="46" t="str">
        <x:v>exchange_blindspot=EB01; provisional=true; rule_group=EXCHANGE-EB伪互惠</x:v>
      </x:c>
      <x:c r="AE301" s="46" t="str">
        <x:v>0.4</x:v>
      </x:c>
    </x:row>
    <x:row r="302" ht="50" customHeight="1">
      <x:c r="A302" s="46" t="str">
        <x:v>M5-EXCHANGE-301</x:v>
      </x:c>
      <x:c r="B302" s="46" t="str">
        <x:v>EB01 显眼投入等于全部投入｜纠偏与观察</x:v>
      </x:c>
      <x:c r="C302" s="46" t="str">
        <x:v>L6 交换误读与伪互惠</x:v>
      </x:c>
      <x:c r="D302" s="46" t="str">
        <x:v>EXCHANGE-EB伪互惠</x:v>
      </x:c>
      <x:c r="E302" s="46" t="str">
        <x:v>通用</x:v>
      </x:c>
      <x:c r="F302" s="46" t="str">
        <x:v>路由</x:v>
      </x:c>
      <x:c r="G302" s="46" t="str">
        <x:v>EB01</x:v>
      </x:c>
      <x:c r="H302" s="46" t="str">
        <x:v>显眼投入等于全部投入</x:v>
      </x:c>
      <x:c r="I302" s="46" t="str">
        <x:v>EB候选成立。</x:v>
      </x:c>
      <x:c r="J302" s="46" t="str">
        <x:v>PR0安全事件优先停止。</x:v>
      </x:c>
      <x:c r="K302" s="46" t="str">
        <x:v>由共享基础引擎、M3与M5-BASE提供；只修正用户怎样给予、请求、接收和回馈，不直接判断双方现实交换质量。</x:v>
      </x:c>
      <x:c r="L302" s="46" t="str">
        <x:v>M2只说明进入关系所需资格证据；不能替代长期双向交换、负荷与修复验证。</x:v>
      </x:c>
      <x:c r="M302" s="46" t="str">
        <x:v>M3-BASE、EXPR、CARE和BOUND提供用户自然互动通道；M5-EXCHANGE负责把两人的实际行为合成为交换结构。</x:v>
      </x:c>
      <x:c r="N302" s="46" t="str">
        <x:v>无／按本规则指定的给予—请求—接收—反馈—重订路径路由。</x:v>
      </x:c>
      <x:c r="O302" s="46" t="str">
        <x:v>近位、远位只修正该交换需求进入亲密关系核心的可能；不得据此判断具体伴侣现实中一定配合。</x:v>
      </x:c>
      <x:c r="P302" s="46" t="str">
        <x:v>根气只修正用户交换需求和通道是否稳定重复，不等于双方已形成成熟互惠。</x:v>
      </x:c>
      <x:c r="Q302" s="46" t="str">
        <x:v>旺弱只修正通道调用强度、抢位或缺位风险，不直接等于交换公平或关系质量。</x:v>
      </x:c>
      <x:c r="R302" s="46" t="str">
        <x:v>喜忌只修正调用顺畅度与摩擦，不可直接翻译为理想伴侣五行、十神或必然互补。</x:v>
      </x:c>
      <x:c r="S302" s="46" t="str">
        <x:v>真合化成立时按化神功能重算用户交换需求；合化争议时停止细化交换通道。</x:v>
      </x:c>
      <x:c r="T302" s="46" t="str">
        <x:v>近位提高该交换议题进入关系核心的可能；远位只保留背景或阶段性观察。</x:v>
      </x:c>
      <x:c r="U302" s="46" t="str">
        <x:v>84</x:v>
      </x:c>
      <x:c r="V302" s="46" t="str">
        <x:v>不加分；观察路由</x:v>
      </x:c>
      <x:c r="W302" s="46" t="str">
        <x:v>observation_plan</x:v>
      </x:c>
      <x:c r="X302" s="46" t="str">
        <x:v>扩展到情绪劳动、计划、责任、修复和隐性支持。</x:v>
      </x:c>
      <x:c r="Y302" s="46" t="str">
        <x:v>纠偏时要：扩展到情绪劳动、计划、责任、修复和隐性支持。</x:v>
      </x:c>
      <x:c r="Z30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02" s="46" t="str">
        <x:v>中高</x:v>
      </x:c>
      <x:c r="AB302" s="46" t="str">
        <x:v>待验证</x:v>
      </x:c>
      <x:c r="AC302" s="46" t="str"/>
      <x:c r="AD302" s="46" t="str">
        <x:v>exchange_blindspot=EB01; provisional=true; rule_group=EXCHANGE-EB伪互惠</x:v>
      </x:c>
      <x:c r="AE302" s="46" t="str">
        <x:v>0.4</x:v>
      </x:c>
    </x:row>
    <x:row r="303" ht="50" customHeight="1">
      <x:c r="A303" s="46" t="str">
        <x:v>M5-EXCHANGE-302</x:v>
      </x:c>
      <x:c r="B303" s="46" t="str">
        <x:v>EB01 显眼投入等于全部投入｜用户解释</x:v>
      </x:c>
      <x:c r="C303" s="46" t="str">
        <x:v>L6 交换误读与伪互惠</x:v>
      </x:c>
      <x:c r="D303" s="46" t="str">
        <x:v>EXCHANGE-EB伪互惠</x:v>
      </x:c>
      <x:c r="E303" s="46" t="str">
        <x:v>通用</x:v>
      </x:c>
      <x:c r="F303" s="46" t="str">
        <x:v>输出</x:v>
      </x:c>
      <x:c r="G303" s="46" t="str">
        <x:v>EB01</x:v>
      </x:c>
      <x:c r="H303" s="46" t="str">
        <x:v>显眼投入等于全部投入</x:v>
      </x:c>
      <x:c r="I303" s="46" t="str">
        <x:v>完成EB判断。</x:v>
      </x:c>
      <x:c r="J303" s="46" t="str">
        <x:v>资料不足以区分。</x:v>
      </x:c>
      <x:c r="K303" s="46" t="str">
        <x:v>由共享基础引擎、M3与M5-BASE提供；只修正用户怎样给予、请求、接收和回馈，不直接判断双方现实交换质量。</x:v>
      </x:c>
      <x:c r="L303" s="46" t="str">
        <x:v>M2只说明进入关系所需资格证据；不能替代长期双向交换、负荷与修复验证。</x:v>
      </x:c>
      <x:c r="M303" s="46" t="str">
        <x:v>M3-BASE、EXPR、CARE和BOUND提供用户自然互动通道；M5-EXCHANGE负责把两人的实际行为合成为交换结构。</x:v>
      </x:c>
      <x:c r="N303" s="46" t="str">
        <x:v>无／按本规则指定的给予—请求—接收—反馈—重订路径路由。</x:v>
      </x:c>
      <x:c r="O303" s="46" t="str">
        <x:v>近位、远位只修正该交换需求进入亲密关系核心的可能；不得据此判断具体伴侣现实中一定配合。</x:v>
      </x:c>
      <x:c r="P303" s="46" t="str">
        <x:v>根气只修正用户交换需求和通道是否稳定重复，不等于双方已形成成熟互惠。</x:v>
      </x:c>
      <x:c r="Q303" s="46" t="str">
        <x:v>旺弱只修正通道调用强度、抢位或缺位风险，不直接等于交换公平或关系质量。</x:v>
      </x:c>
      <x:c r="R303" s="46" t="str">
        <x:v>喜忌只修正调用顺畅度与摩擦，不可直接翻译为理想伴侣五行、十神或必然互补。</x:v>
      </x:c>
      <x:c r="S303" s="46" t="str">
        <x:v>真合化成立时按化神功能重算用户交换需求；合化争议时停止细化交换通道。</x:v>
      </x:c>
      <x:c r="T303" s="46" t="str">
        <x:v>近位提高该交换议题进入关系核心的可能；远位只保留背景或阶段性观察。</x:v>
      </x:c>
      <x:c r="U303" s="46" t="str">
        <x:v>76</x:v>
      </x:c>
      <x:c r="V303" s="46" t="str">
        <x:v>不加分；输出</x:v>
      </x:c>
      <x:c r="W303" s="46" t="str">
        <x:v>report_text</x:v>
      </x:c>
      <x:c r="X303" s="46" t="str">
        <x:v>显眼不等于全部，先把不同领域都列出来。</x:v>
      </x:c>
      <x:c r="Y303" s="46" t="str">
        <x:v>显眼不等于全部，先把不同领域都列出来。</x:v>
      </x:c>
      <x:c r="Z30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03" s="46" t="str">
        <x:v>中高</x:v>
      </x:c>
      <x:c r="AB303" s="46" t="str">
        <x:v>待验证</x:v>
      </x:c>
      <x:c r="AC303" s="46" t="str"/>
      <x:c r="AD303" s="46" t="str">
        <x:v>exchange_blindspot=EB01; provisional=true; rule_group=EXCHANGE-EB伪互惠</x:v>
      </x:c>
      <x:c r="AE303" s="46" t="str">
        <x:v>0.4</x:v>
      </x:c>
    </x:row>
    <x:row r="304" ht="50" customHeight="1">
      <x:c r="A304" s="46" t="str">
        <x:v>M5-EXCHANGE-303</x:v>
      </x:c>
      <x:c r="B304" s="46" t="str">
        <x:v>EB02 等量等于公平｜正式定义</x:v>
      </x:c>
      <x:c r="C304" s="46" t="str">
        <x:v>L6 交换误读与伪互惠</x:v>
      </x:c>
      <x:c r="D304" s="46" t="str">
        <x:v>EXCHANGE-EB伪互惠</x:v>
      </x:c>
      <x:c r="E304" s="46" t="str">
        <x:v>通用</x:v>
      </x:c>
      <x:c r="F304" s="46" t="str">
        <x:v>伪互惠</x:v>
      </x:c>
      <x:c r="G304" s="46" t="str">
        <x:v>EB02</x:v>
      </x:c>
      <x:c r="H304" s="46" t="str">
        <x:v>等量等于公平</x:v>
      </x:c>
      <x:c r="I304" s="46" t="str">
        <x:v>出现相关判断偏差或交换争议。</x:v>
      </x:c>
      <x:c r="J304" s="46" t="str">
        <x:v>XV6—XV7现实资料已经排除。</x:v>
      </x:c>
      <x:c r="K304" s="46" t="str">
        <x:v>由共享基础引擎、M3与M5-BASE提供；只修正用户怎样给予、请求、接收和回馈，不直接判断双方现实交换质量。</x:v>
      </x:c>
      <x:c r="L304" s="46" t="str">
        <x:v>M2只说明进入关系所需资格证据；不能替代长期双向交换、负荷与修复验证。</x:v>
      </x:c>
      <x:c r="M304" s="46" t="str">
        <x:v>M3-BASE、EXPR、CARE和BOUND提供用户自然互动通道；M5-EXCHANGE负责把两人的实际行为合成为交换结构。</x:v>
      </x:c>
      <x:c r="N304" s="46" t="str">
        <x:v>无／按本规则指定的给予—请求—接收—反馈—重订路径路由。</x:v>
      </x:c>
      <x:c r="O304" s="46" t="str">
        <x:v>近位、远位只修正该交换需求进入亲密关系核心的可能；不得据此判断具体伴侣现实中一定配合。</x:v>
      </x:c>
      <x:c r="P304" s="46" t="str">
        <x:v>根气只修正用户交换需求和通道是否稳定重复，不等于双方已形成成熟互惠。</x:v>
      </x:c>
      <x:c r="Q304" s="46" t="str">
        <x:v>旺弱只修正通道调用强度、抢位或缺位风险，不直接等于交换公平或关系质量。</x:v>
      </x:c>
      <x:c r="R304" s="46" t="str">
        <x:v>喜忌只修正调用顺畅度与摩擦，不可直接翻译为理想伴侣五行、十神或必然互补。</x:v>
      </x:c>
      <x:c r="S304" s="46" t="str">
        <x:v>真合化成立时按化神功能重算用户交换需求；合化争议时停止细化交换通道。</x:v>
      </x:c>
      <x:c r="T304" s="46" t="str">
        <x:v>近位提高该交换议题进入关系核心的可能；远位只保留背景或阶段性观察。</x:v>
      </x:c>
      <x:c r="U304" s="46" t="str">
        <x:v>95</x:v>
      </x:c>
      <x:c r="V304" s="46" t="str">
        <x:v>EB风险 +12</x:v>
      </x:c>
      <x:c r="W304" s="46" t="str">
        <x:v>pseudo_reciprocity_warning</x:v>
      </x:c>
      <x:c r="X304" s="46" t="str">
        <x:v>要求每次、每项和每个阶段都完全对半。</x:v>
      </x:c>
      <x:c r="Y304" s="46" t="str">
        <x:v>公平不一定是每项相等，而是双方都知情、可承受、可重订。</x:v>
      </x:c>
      <x:c r="Z30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04" s="46" t="str">
        <x:v>高</x:v>
      </x:c>
      <x:c r="AB304" s="46" t="str">
        <x:v>待验证</x:v>
      </x:c>
      <x:c r="AC304" s="46" t="str"/>
      <x:c r="AD304" s="46" t="str">
        <x:v>exchange_blindspot=EB02; provisional=true; rule_group=EXCHANGE-EB伪互惠</x:v>
      </x:c>
      <x:c r="AE304" s="46" t="str">
        <x:v>0.4</x:v>
      </x:c>
    </x:row>
    <x:row r="305" ht="50" customHeight="1">
      <x:c r="A305" s="46" t="str">
        <x:v>M5-EXCHANGE-304</x:v>
      </x:c>
      <x:c r="B305" s="46" t="str">
        <x:v>EB02 等量等于公平｜证据缺口</x:v>
      </x:c>
      <x:c r="C305" s="46" t="str">
        <x:v>L6 交换误读与伪互惠</x:v>
      </x:c>
      <x:c r="D305" s="46" t="str">
        <x:v>EXCHANGE-EB伪互惠</x:v>
      </x:c>
      <x:c r="E305" s="46" t="str">
        <x:v>通用</x:v>
      </x:c>
      <x:c r="F305" s="46" t="str">
        <x:v>证据</x:v>
      </x:c>
      <x:c r="G305" s="46" t="str">
        <x:v>EB02</x:v>
      </x:c>
      <x:c r="H305" s="46" t="str">
        <x:v>等量等于公平</x:v>
      </x:c>
      <x:c r="I305" s="46" t="str">
        <x:v>准备判断交换公平或成熟。</x:v>
      </x:c>
      <x:c r="J305" s="46" t="str">
        <x:v>对应维度已跨场景验证。</x:v>
      </x:c>
      <x:c r="K305" s="46" t="str">
        <x:v>由共享基础引擎、M3与M5-BASE提供；只修正用户怎样给予、请求、接收和回馈，不直接判断双方现实交换质量。</x:v>
      </x:c>
      <x:c r="L305" s="46" t="str">
        <x:v>M2只说明进入关系所需资格证据；不能替代长期双向交换、负荷与修复验证。</x:v>
      </x:c>
      <x:c r="M305" s="46" t="str">
        <x:v>M3-BASE、EXPR、CARE和BOUND提供用户自然互动通道；M5-EXCHANGE负责把两人的实际行为合成为交换结构。</x:v>
      </x:c>
      <x:c r="N305" s="46" t="str">
        <x:v>无／按本规则指定的给予—请求—接收—反馈—重订路径路由。</x:v>
      </x:c>
      <x:c r="O305" s="46" t="str">
        <x:v>近位、远位只修正该交换需求进入亲密关系核心的可能；不得据此判断具体伴侣现实中一定配合。</x:v>
      </x:c>
      <x:c r="P305" s="46" t="str">
        <x:v>根气只修正用户交换需求和通道是否稳定重复，不等于双方已形成成熟互惠。</x:v>
      </x:c>
      <x:c r="Q305" s="46" t="str">
        <x:v>旺弱只修正通道调用强度、抢位或缺位风险，不直接等于交换公平或关系质量。</x:v>
      </x:c>
      <x:c r="R305" s="46" t="str">
        <x:v>喜忌只修正调用顺畅度与摩擦，不可直接翻译为理想伴侣五行、十神或必然互补。</x:v>
      </x:c>
      <x:c r="S305" s="46" t="str">
        <x:v>真合化成立时按化神功能重算用户交换需求；合化争议时停止细化交换通道。</x:v>
      </x:c>
      <x:c r="T305" s="46" t="str">
        <x:v>近位提高该交换议题进入关系核心的可能；远位只保留背景或阶段性观察。</x:v>
      </x:c>
      <x:c r="U305" s="46" t="str">
        <x:v>90</x:v>
      </x:c>
      <x:c r="V305" s="46" t="str">
        <x:v>-12／停止升级</x:v>
      </x:c>
      <x:c r="W305" s="46" t="str">
        <x:v>counterevidence</x:v>
      </x:c>
      <x:c r="X305" s="46" t="str">
        <x:v>比较负荷、资源、选择权和长期可持续性。</x:v>
      </x:c>
      <x:c r="Y305" s="46" t="str">
        <x:v>需要补看：比较负荷、资源、选择权和长期可持续性。</x:v>
      </x:c>
      <x:c r="Z30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05" s="46" t="str">
        <x:v>中高</x:v>
      </x:c>
      <x:c r="AB305" s="46" t="str">
        <x:v>待验证</x:v>
      </x:c>
      <x:c r="AC305" s="46" t="str"/>
      <x:c r="AD305" s="46" t="str">
        <x:v>exchange_blindspot=EB02; provisional=true; rule_group=EXCHANGE-EB伪互惠</x:v>
      </x:c>
      <x:c r="AE305" s="46" t="str">
        <x:v>0.4</x:v>
      </x:c>
    </x:row>
    <x:row r="306" ht="50" customHeight="1">
      <x:c r="A306" s="46" t="str">
        <x:v>M5-EXCHANGE-305</x:v>
      </x:c>
      <x:c r="B306" s="46" t="str">
        <x:v>EB02 等量等于公平｜纠偏与观察</x:v>
      </x:c>
      <x:c r="C306" s="46" t="str">
        <x:v>L6 交换误读与伪互惠</x:v>
      </x:c>
      <x:c r="D306" s="46" t="str">
        <x:v>EXCHANGE-EB伪互惠</x:v>
      </x:c>
      <x:c r="E306" s="46" t="str">
        <x:v>通用</x:v>
      </x:c>
      <x:c r="F306" s="46" t="str">
        <x:v>路由</x:v>
      </x:c>
      <x:c r="G306" s="46" t="str">
        <x:v>EB02</x:v>
      </x:c>
      <x:c r="H306" s="46" t="str">
        <x:v>等量等于公平</x:v>
      </x:c>
      <x:c r="I306" s="46" t="str">
        <x:v>EB候选成立。</x:v>
      </x:c>
      <x:c r="J306" s="46" t="str">
        <x:v>PR0安全事件优先停止。</x:v>
      </x:c>
      <x:c r="K306" s="46" t="str">
        <x:v>由共享基础引擎、M3与M5-BASE提供；只修正用户怎样给予、请求、接收和回馈，不直接判断双方现实交换质量。</x:v>
      </x:c>
      <x:c r="L306" s="46" t="str">
        <x:v>M2只说明进入关系所需资格证据；不能替代长期双向交换、负荷与修复验证。</x:v>
      </x:c>
      <x:c r="M306" s="46" t="str">
        <x:v>M3-BASE、EXPR、CARE和BOUND提供用户自然互动通道；M5-EXCHANGE负责把两人的实际行为合成为交换结构。</x:v>
      </x:c>
      <x:c r="N306" s="46" t="str">
        <x:v>无／按本规则指定的给予—请求—接收—反馈—重订路径路由。</x:v>
      </x:c>
      <x:c r="O306" s="46" t="str">
        <x:v>近位、远位只修正该交换需求进入亲密关系核心的可能；不得据此判断具体伴侣现实中一定配合。</x:v>
      </x:c>
      <x:c r="P306" s="46" t="str">
        <x:v>根气只修正用户交换需求和通道是否稳定重复，不等于双方已形成成熟互惠。</x:v>
      </x:c>
      <x:c r="Q306" s="46" t="str">
        <x:v>旺弱只修正通道调用强度、抢位或缺位风险，不直接等于交换公平或关系质量。</x:v>
      </x:c>
      <x:c r="R306" s="46" t="str">
        <x:v>喜忌只修正调用顺畅度与摩擦，不可直接翻译为理想伴侣五行、十神或必然互补。</x:v>
      </x:c>
      <x:c r="S306" s="46" t="str">
        <x:v>真合化成立时按化神功能重算用户交换需求；合化争议时停止细化交换通道。</x:v>
      </x:c>
      <x:c r="T306" s="46" t="str">
        <x:v>近位提高该交换议题进入关系核心的可能；远位只保留背景或阶段性观察。</x:v>
      </x:c>
      <x:c r="U306" s="46" t="str">
        <x:v>84</x:v>
      </x:c>
      <x:c r="V306" s="46" t="str">
        <x:v>不加分；观察路由</x:v>
      </x:c>
      <x:c r="W306" s="46" t="str">
        <x:v>observation_plan</x:v>
      </x:c>
      <x:c r="X306" s="46" t="str">
        <x:v>比较负荷、资源、选择权和长期可持续性。</x:v>
      </x:c>
      <x:c r="Y306" s="46" t="str">
        <x:v>纠偏时要：比较负荷、资源、选择权和长期可持续性。</x:v>
      </x:c>
      <x:c r="Z30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06" s="46" t="str">
        <x:v>中高</x:v>
      </x:c>
      <x:c r="AB306" s="46" t="str">
        <x:v>待验证</x:v>
      </x:c>
      <x:c r="AC306" s="46" t="str"/>
      <x:c r="AD306" s="46" t="str">
        <x:v>exchange_blindspot=EB02; provisional=true; rule_group=EXCHANGE-EB伪互惠</x:v>
      </x:c>
      <x:c r="AE306" s="46" t="str">
        <x:v>0.4</x:v>
      </x:c>
    </x:row>
    <x:row r="307" ht="50" customHeight="1">
      <x:c r="A307" s="46" t="str">
        <x:v>M5-EXCHANGE-306</x:v>
      </x:c>
      <x:c r="B307" s="46" t="str">
        <x:v>EB02 等量等于公平｜用户解释</x:v>
      </x:c>
      <x:c r="C307" s="46" t="str">
        <x:v>L6 交换误读与伪互惠</x:v>
      </x:c>
      <x:c r="D307" s="46" t="str">
        <x:v>EXCHANGE-EB伪互惠</x:v>
      </x:c>
      <x:c r="E307" s="46" t="str">
        <x:v>通用</x:v>
      </x:c>
      <x:c r="F307" s="46" t="str">
        <x:v>输出</x:v>
      </x:c>
      <x:c r="G307" s="46" t="str">
        <x:v>EB02</x:v>
      </x:c>
      <x:c r="H307" s="46" t="str">
        <x:v>等量等于公平</x:v>
      </x:c>
      <x:c r="I307" s="46" t="str">
        <x:v>完成EB判断。</x:v>
      </x:c>
      <x:c r="J307" s="46" t="str">
        <x:v>资料不足以区分。</x:v>
      </x:c>
      <x:c r="K307" s="46" t="str">
        <x:v>由共享基础引擎、M3与M5-BASE提供；只修正用户怎样给予、请求、接收和回馈，不直接判断双方现实交换质量。</x:v>
      </x:c>
      <x:c r="L307" s="46" t="str">
        <x:v>M2只说明进入关系所需资格证据；不能替代长期双向交换、负荷与修复验证。</x:v>
      </x:c>
      <x:c r="M307" s="46" t="str">
        <x:v>M3-BASE、EXPR、CARE和BOUND提供用户自然互动通道；M5-EXCHANGE负责把两人的实际行为合成为交换结构。</x:v>
      </x:c>
      <x:c r="N307" s="46" t="str">
        <x:v>无／按本规则指定的给予—请求—接收—反馈—重订路径路由。</x:v>
      </x:c>
      <x:c r="O307" s="46" t="str">
        <x:v>近位、远位只修正该交换需求进入亲密关系核心的可能；不得据此判断具体伴侣现实中一定配合。</x:v>
      </x:c>
      <x:c r="P307" s="46" t="str">
        <x:v>根气只修正用户交换需求和通道是否稳定重复，不等于双方已形成成熟互惠。</x:v>
      </x:c>
      <x:c r="Q307" s="46" t="str">
        <x:v>旺弱只修正通道调用强度、抢位或缺位风险，不直接等于交换公平或关系质量。</x:v>
      </x:c>
      <x:c r="R307" s="46" t="str">
        <x:v>喜忌只修正调用顺畅度与摩擦，不可直接翻译为理想伴侣五行、十神或必然互补。</x:v>
      </x:c>
      <x:c r="S307" s="46" t="str">
        <x:v>真合化成立时按化神功能重算用户交换需求；合化争议时停止细化交换通道。</x:v>
      </x:c>
      <x:c r="T307" s="46" t="str">
        <x:v>近位提高该交换议题进入关系核心的可能；远位只保留背景或阶段性观察。</x:v>
      </x:c>
      <x:c r="U307" s="46" t="str">
        <x:v>76</x:v>
      </x:c>
      <x:c r="V307" s="46" t="str">
        <x:v>不加分；输出</x:v>
      </x:c>
      <x:c r="W307" s="46" t="str">
        <x:v>report_text</x:v>
      </x:c>
      <x:c r="X307" s="46" t="str">
        <x:v>公平不一定是每项相等，而是双方都知情、可承受、可重订。</x:v>
      </x:c>
      <x:c r="Y307" s="46" t="str">
        <x:v>公平不一定是每项相等，而是双方都知情、可承受、可重订。</x:v>
      </x:c>
      <x:c r="Z30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07" s="46" t="str">
        <x:v>中高</x:v>
      </x:c>
      <x:c r="AB307" s="46" t="str">
        <x:v>待验证</x:v>
      </x:c>
      <x:c r="AC307" s="46" t="str"/>
      <x:c r="AD307" s="46" t="str">
        <x:v>exchange_blindspot=EB02; provisional=true; rule_group=EXCHANGE-EB伪互惠</x:v>
      </x:c>
      <x:c r="AE307" s="46" t="str">
        <x:v>0.4</x:v>
      </x:c>
    </x:row>
    <x:row r="308" ht="50" customHeight="1">
      <x:c r="A308" s="46" t="str">
        <x:v>M5-EXCHANGE-307</x:v>
      </x:c>
      <x:c r="B308" s="46" t="str">
        <x:v>EB03 单向可见等于单向关系｜正式定义</x:v>
      </x:c>
      <x:c r="C308" s="46" t="str">
        <x:v>L6 交换误读与伪互惠</x:v>
      </x:c>
      <x:c r="D308" s="46" t="str">
        <x:v>EXCHANGE-EB伪互惠</x:v>
      </x:c>
      <x:c r="E308" s="46" t="str">
        <x:v>通用</x:v>
      </x:c>
      <x:c r="F308" s="46" t="str">
        <x:v>伪互惠</x:v>
      </x:c>
      <x:c r="G308" s="46" t="str">
        <x:v>EB03</x:v>
      </x:c>
      <x:c r="H308" s="46" t="str">
        <x:v>单向可见等于单向关系</x:v>
      </x:c>
      <x:c r="I308" s="46" t="str">
        <x:v>出现相关判断偏差或交换争议。</x:v>
      </x:c>
      <x:c r="J308" s="46" t="str">
        <x:v>XV6—XV7现实资料已经排除。</x:v>
      </x:c>
      <x:c r="K308" s="46" t="str">
        <x:v>由共享基础引擎、M3与M5-BASE提供；只修正用户怎样给予、请求、接收和回馈，不直接判断双方现实交换质量。</x:v>
      </x:c>
      <x:c r="L308" s="46" t="str">
        <x:v>M2只说明进入关系所需资格证据；不能替代长期双向交换、负荷与修复验证。</x:v>
      </x:c>
      <x:c r="M308" s="46" t="str">
        <x:v>M3-BASE、EXPR、CARE和BOUND提供用户自然互动通道；M5-EXCHANGE负责把两人的实际行为合成为交换结构。</x:v>
      </x:c>
      <x:c r="N308" s="46" t="str">
        <x:v>无／按本规则指定的给予—请求—接收—反馈—重订路径路由。</x:v>
      </x:c>
      <x:c r="O308" s="46" t="str">
        <x:v>近位、远位只修正该交换需求进入亲密关系核心的可能；不得据此判断具体伴侣现实中一定配合。</x:v>
      </x:c>
      <x:c r="P308" s="46" t="str">
        <x:v>根气只修正用户交换需求和通道是否稳定重复，不等于双方已形成成熟互惠。</x:v>
      </x:c>
      <x:c r="Q308" s="46" t="str">
        <x:v>旺弱只修正通道调用强度、抢位或缺位风险，不直接等于交换公平或关系质量。</x:v>
      </x:c>
      <x:c r="R308" s="46" t="str">
        <x:v>喜忌只修正调用顺畅度与摩擦，不可直接翻译为理想伴侣五行、十神或必然互补。</x:v>
      </x:c>
      <x:c r="S308" s="46" t="str">
        <x:v>真合化成立时按化神功能重算用户交换需求；合化争议时停止细化交换通道。</x:v>
      </x:c>
      <x:c r="T308" s="46" t="str">
        <x:v>近位提高该交换议题进入关系核心的可能；远位只保留背景或阶段性观察。</x:v>
      </x:c>
      <x:c r="U308" s="46" t="str">
        <x:v>95</x:v>
      </x:c>
      <x:c r="V308" s="46" t="str">
        <x:v>EB风险 +12</x:v>
      </x:c>
      <x:c r="W308" s="46" t="str">
        <x:v>pseudo_reciprocity_warning</x:v>
      </x:c>
      <x:c r="X308" s="46" t="str">
        <x:v>资料只记录一方行为，就判断另一方完全不付出。</x:v>
      </x:c>
      <x:c r="Y308" s="46" t="str">
        <x:v>目前只看见一侧，不代表另一侧一定不存在。</x:v>
      </x:c>
      <x:c r="Z30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08" s="46" t="str">
        <x:v>高</x:v>
      </x:c>
      <x:c r="AB308" s="46" t="str">
        <x:v>待验证</x:v>
      </x:c>
      <x:c r="AC308" s="46" t="str"/>
      <x:c r="AD308" s="46" t="str">
        <x:v>exchange_blindspot=EB03; provisional=true; rule_group=EXCHANGE-EB伪互惠</x:v>
      </x:c>
      <x:c r="AE308" s="46" t="str">
        <x:v>0.4</x:v>
      </x:c>
    </x:row>
    <x:row r="309" ht="50" customHeight="1">
      <x:c r="A309" s="46" t="str">
        <x:v>M5-EXCHANGE-308</x:v>
      </x:c>
      <x:c r="B309" s="46" t="str">
        <x:v>EB03 单向可见等于单向关系｜证据缺口</x:v>
      </x:c>
      <x:c r="C309" s="46" t="str">
        <x:v>L6 交换误读与伪互惠</x:v>
      </x:c>
      <x:c r="D309" s="46" t="str">
        <x:v>EXCHANGE-EB伪互惠</x:v>
      </x:c>
      <x:c r="E309" s="46" t="str">
        <x:v>通用</x:v>
      </x:c>
      <x:c r="F309" s="46" t="str">
        <x:v>证据</x:v>
      </x:c>
      <x:c r="G309" s="46" t="str">
        <x:v>EB03</x:v>
      </x:c>
      <x:c r="H309" s="46" t="str">
        <x:v>单向可见等于单向关系</x:v>
      </x:c>
      <x:c r="I309" s="46" t="str">
        <x:v>准备判断交换公平或成熟。</x:v>
      </x:c>
      <x:c r="J309" s="46" t="str">
        <x:v>对应维度已跨场景验证。</x:v>
      </x:c>
      <x:c r="K309" s="46" t="str">
        <x:v>由共享基础引擎、M3与M5-BASE提供；只修正用户怎样给予、请求、接收和回馈，不直接判断双方现实交换质量。</x:v>
      </x:c>
      <x:c r="L309" s="46" t="str">
        <x:v>M2只说明进入关系所需资格证据；不能替代长期双向交换、负荷与修复验证。</x:v>
      </x:c>
      <x:c r="M309" s="46" t="str">
        <x:v>M3-BASE、EXPR、CARE和BOUND提供用户自然互动通道；M5-EXCHANGE负责把两人的实际行为合成为交换结构。</x:v>
      </x:c>
      <x:c r="N309" s="46" t="str">
        <x:v>无／按本规则指定的给予—请求—接收—反馈—重订路径路由。</x:v>
      </x:c>
      <x:c r="O309" s="46" t="str">
        <x:v>近位、远位只修正该交换需求进入亲密关系核心的可能；不得据此判断具体伴侣现实中一定配合。</x:v>
      </x:c>
      <x:c r="P309" s="46" t="str">
        <x:v>根气只修正用户交换需求和通道是否稳定重复，不等于双方已形成成熟互惠。</x:v>
      </x:c>
      <x:c r="Q309" s="46" t="str">
        <x:v>旺弱只修正通道调用强度、抢位或缺位风险，不直接等于交换公平或关系质量。</x:v>
      </x:c>
      <x:c r="R309" s="46" t="str">
        <x:v>喜忌只修正调用顺畅度与摩擦，不可直接翻译为理想伴侣五行、十神或必然互补。</x:v>
      </x:c>
      <x:c r="S309" s="46" t="str">
        <x:v>真合化成立时按化神功能重算用户交换需求；合化争议时停止细化交换通道。</x:v>
      </x:c>
      <x:c r="T309" s="46" t="str">
        <x:v>近位提高该交换议题进入关系核心的可能；远位只保留背景或阶段性观察。</x:v>
      </x:c>
      <x:c r="U309" s="46" t="str">
        <x:v>90</x:v>
      </x:c>
      <x:c r="V309" s="46" t="str">
        <x:v>-12／停止升级</x:v>
      </x:c>
      <x:c r="W309" s="46" t="str">
        <x:v>counterevidence</x:v>
      </x:c>
      <x:c r="X309" s="46" t="str">
        <x:v>检查隐性贡献、错峰回馈、角色分工和资料缺失。</x:v>
      </x:c>
      <x:c r="Y309" s="46" t="str">
        <x:v>需要补看：检查隐性贡献、错峰回馈、角色分工和资料缺失。</x:v>
      </x:c>
      <x:c r="Z30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09" s="46" t="str">
        <x:v>中高</x:v>
      </x:c>
      <x:c r="AB309" s="46" t="str">
        <x:v>待验证</x:v>
      </x:c>
      <x:c r="AC309" s="46" t="str"/>
      <x:c r="AD309" s="46" t="str">
        <x:v>exchange_blindspot=EB03; provisional=true; rule_group=EXCHANGE-EB伪互惠</x:v>
      </x:c>
      <x:c r="AE309" s="46" t="str">
        <x:v>0.4</x:v>
      </x:c>
    </x:row>
    <x:row r="310" ht="50" customHeight="1">
      <x:c r="A310" s="46" t="str">
        <x:v>M5-EXCHANGE-309</x:v>
      </x:c>
      <x:c r="B310" s="46" t="str">
        <x:v>EB03 单向可见等于单向关系｜纠偏与观察</x:v>
      </x:c>
      <x:c r="C310" s="46" t="str">
        <x:v>L6 交换误读与伪互惠</x:v>
      </x:c>
      <x:c r="D310" s="46" t="str">
        <x:v>EXCHANGE-EB伪互惠</x:v>
      </x:c>
      <x:c r="E310" s="46" t="str">
        <x:v>通用</x:v>
      </x:c>
      <x:c r="F310" s="46" t="str">
        <x:v>路由</x:v>
      </x:c>
      <x:c r="G310" s="46" t="str">
        <x:v>EB03</x:v>
      </x:c>
      <x:c r="H310" s="46" t="str">
        <x:v>单向可见等于单向关系</x:v>
      </x:c>
      <x:c r="I310" s="46" t="str">
        <x:v>EB候选成立。</x:v>
      </x:c>
      <x:c r="J310" s="46" t="str">
        <x:v>PR0安全事件优先停止。</x:v>
      </x:c>
      <x:c r="K310" s="46" t="str">
        <x:v>由共享基础引擎、M3与M5-BASE提供；只修正用户怎样给予、请求、接收和回馈，不直接判断双方现实交换质量。</x:v>
      </x:c>
      <x:c r="L310" s="46" t="str">
        <x:v>M2只说明进入关系所需资格证据；不能替代长期双向交换、负荷与修复验证。</x:v>
      </x:c>
      <x:c r="M310" s="46" t="str">
        <x:v>M3-BASE、EXPR、CARE和BOUND提供用户自然互动通道；M5-EXCHANGE负责把两人的实际行为合成为交换结构。</x:v>
      </x:c>
      <x:c r="N310" s="46" t="str">
        <x:v>无／按本规则指定的给予—请求—接收—反馈—重订路径路由。</x:v>
      </x:c>
      <x:c r="O310" s="46" t="str">
        <x:v>近位、远位只修正该交换需求进入亲密关系核心的可能；不得据此判断具体伴侣现实中一定配合。</x:v>
      </x:c>
      <x:c r="P310" s="46" t="str">
        <x:v>根气只修正用户交换需求和通道是否稳定重复，不等于双方已形成成熟互惠。</x:v>
      </x:c>
      <x:c r="Q310" s="46" t="str">
        <x:v>旺弱只修正通道调用强度、抢位或缺位风险，不直接等于交换公平或关系质量。</x:v>
      </x:c>
      <x:c r="R310" s="46" t="str">
        <x:v>喜忌只修正调用顺畅度与摩擦，不可直接翻译为理想伴侣五行、十神或必然互补。</x:v>
      </x:c>
      <x:c r="S310" s="46" t="str">
        <x:v>真合化成立时按化神功能重算用户交换需求；合化争议时停止细化交换通道。</x:v>
      </x:c>
      <x:c r="T310" s="46" t="str">
        <x:v>近位提高该交换议题进入关系核心的可能；远位只保留背景或阶段性观察。</x:v>
      </x:c>
      <x:c r="U310" s="46" t="str">
        <x:v>84</x:v>
      </x:c>
      <x:c r="V310" s="46" t="str">
        <x:v>不加分；观察路由</x:v>
      </x:c>
      <x:c r="W310" s="46" t="str">
        <x:v>observation_plan</x:v>
      </x:c>
      <x:c r="X310" s="46" t="str">
        <x:v>检查隐性贡献、错峰回馈、角色分工和资料缺失。</x:v>
      </x:c>
      <x:c r="Y310" s="46" t="str">
        <x:v>纠偏时要：检查隐性贡献、错峰回馈、角色分工和资料缺失。</x:v>
      </x:c>
      <x:c r="Z31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10" s="46" t="str">
        <x:v>中高</x:v>
      </x:c>
      <x:c r="AB310" s="46" t="str">
        <x:v>待验证</x:v>
      </x:c>
      <x:c r="AC310" s="46" t="str"/>
      <x:c r="AD310" s="46" t="str">
        <x:v>exchange_blindspot=EB03; provisional=true; rule_group=EXCHANGE-EB伪互惠</x:v>
      </x:c>
      <x:c r="AE310" s="46" t="str">
        <x:v>0.4</x:v>
      </x:c>
    </x:row>
    <x:row r="311" ht="50" customHeight="1">
      <x:c r="A311" s="46" t="str">
        <x:v>M5-EXCHANGE-310</x:v>
      </x:c>
      <x:c r="B311" s="46" t="str">
        <x:v>EB03 单向可见等于单向关系｜用户解释</x:v>
      </x:c>
      <x:c r="C311" s="46" t="str">
        <x:v>L6 交换误读与伪互惠</x:v>
      </x:c>
      <x:c r="D311" s="46" t="str">
        <x:v>EXCHANGE-EB伪互惠</x:v>
      </x:c>
      <x:c r="E311" s="46" t="str">
        <x:v>通用</x:v>
      </x:c>
      <x:c r="F311" s="46" t="str">
        <x:v>输出</x:v>
      </x:c>
      <x:c r="G311" s="46" t="str">
        <x:v>EB03</x:v>
      </x:c>
      <x:c r="H311" s="46" t="str">
        <x:v>单向可见等于单向关系</x:v>
      </x:c>
      <x:c r="I311" s="46" t="str">
        <x:v>完成EB判断。</x:v>
      </x:c>
      <x:c r="J311" s="46" t="str">
        <x:v>资料不足以区分。</x:v>
      </x:c>
      <x:c r="K311" s="46" t="str">
        <x:v>由共享基础引擎、M3与M5-BASE提供；只修正用户怎样给予、请求、接收和回馈，不直接判断双方现实交换质量。</x:v>
      </x:c>
      <x:c r="L311" s="46" t="str">
        <x:v>M2只说明进入关系所需资格证据；不能替代长期双向交换、负荷与修复验证。</x:v>
      </x:c>
      <x:c r="M311" s="46" t="str">
        <x:v>M3-BASE、EXPR、CARE和BOUND提供用户自然互动通道；M5-EXCHANGE负责把两人的实际行为合成为交换结构。</x:v>
      </x:c>
      <x:c r="N311" s="46" t="str">
        <x:v>无／按本规则指定的给予—请求—接收—反馈—重订路径路由。</x:v>
      </x:c>
      <x:c r="O311" s="46" t="str">
        <x:v>近位、远位只修正该交换需求进入亲密关系核心的可能；不得据此判断具体伴侣现实中一定配合。</x:v>
      </x:c>
      <x:c r="P311" s="46" t="str">
        <x:v>根气只修正用户交换需求和通道是否稳定重复，不等于双方已形成成熟互惠。</x:v>
      </x:c>
      <x:c r="Q311" s="46" t="str">
        <x:v>旺弱只修正通道调用强度、抢位或缺位风险，不直接等于交换公平或关系质量。</x:v>
      </x:c>
      <x:c r="R311" s="46" t="str">
        <x:v>喜忌只修正调用顺畅度与摩擦，不可直接翻译为理想伴侣五行、十神或必然互补。</x:v>
      </x:c>
      <x:c r="S311" s="46" t="str">
        <x:v>真合化成立时按化神功能重算用户交换需求；合化争议时停止细化交换通道。</x:v>
      </x:c>
      <x:c r="T311" s="46" t="str">
        <x:v>近位提高该交换议题进入关系核心的可能；远位只保留背景或阶段性观察。</x:v>
      </x:c>
      <x:c r="U311" s="46" t="str">
        <x:v>76</x:v>
      </x:c>
      <x:c r="V311" s="46" t="str">
        <x:v>不加分；输出</x:v>
      </x:c>
      <x:c r="W311" s="46" t="str">
        <x:v>report_text</x:v>
      </x:c>
      <x:c r="X311" s="46" t="str">
        <x:v>目前只看见一侧，不代表另一侧一定不存在。</x:v>
      </x:c>
      <x:c r="Y311" s="46" t="str">
        <x:v>目前只看见一侧，不代表另一侧一定不存在。</x:v>
      </x:c>
      <x:c r="Z31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11" s="46" t="str">
        <x:v>中高</x:v>
      </x:c>
      <x:c r="AB311" s="46" t="str">
        <x:v>待验证</x:v>
      </x:c>
      <x:c r="AC311" s="46" t="str"/>
      <x:c r="AD311" s="46" t="str">
        <x:v>exchange_blindspot=EB03; provisional=true; rule_group=EXCHANGE-EB伪互惠</x:v>
      </x:c>
      <x:c r="AE311" s="46" t="str">
        <x:v>0.4</x:v>
      </x:c>
    </x:row>
    <x:row r="312" ht="50" customHeight="1">
      <x:c r="A312" s="46" t="str">
        <x:v>M5-EXCHANGE-311</x:v>
      </x:c>
      <x:c r="B312" s="46" t="str">
        <x:v>EB04 主动给予等于无需请求｜正式定义</x:v>
      </x:c>
      <x:c r="C312" s="46" t="str">
        <x:v>L6 交换误读与伪互惠</x:v>
      </x:c>
      <x:c r="D312" s="46" t="str">
        <x:v>EXCHANGE-EB伪互惠</x:v>
      </x:c>
      <x:c r="E312" s="46" t="str">
        <x:v>通用</x:v>
      </x:c>
      <x:c r="F312" s="46" t="str">
        <x:v>伪互惠</x:v>
      </x:c>
      <x:c r="G312" s="46" t="str">
        <x:v>EB04</x:v>
      </x:c>
      <x:c r="H312" s="46" t="str">
        <x:v>主动给予等于无需请求</x:v>
      </x:c>
      <x:c r="I312" s="46" t="str">
        <x:v>出现相关判断偏差或交换争议。</x:v>
      </x:c>
      <x:c r="J312" s="46" t="str">
        <x:v>XV6—XV7现实资料已经排除。</x:v>
      </x:c>
      <x:c r="K312" s="46" t="str">
        <x:v>由共享基础引擎、M3与M5-BASE提供；只修正用户怎样给予、请求、接收和回馈，不直接判断双方现实交换质量。</x:v>
      </x:c>
      <x:c r="L312" s="46" t="str">
        <x:v>M2只说明进入关系所需资格证据；不能替代长期双向交换、负荷与修复验证。</x:v>
      </x:c>
      <x:c r="M312" s="46" t="str">
        <x:v>M3-BASE、EXPR、CARE和BOUND提供用户自然互动通道；M5-EXCHANGE负责把两人的实际行为合成为交换结构。</x:v>
      </x:c>
      <x:c r="N312" s="46" t="str">
        <x:v>无／按本规则指定的给予—请求—接收—反馈—重订路径路由。</x:v>
      </x:c>
      <x:c r="O312" s="46" t="str">
        <x:v>近位、远位只修正该交换需求进入亲密关系核心的可能；不得据此判断具体伴侣现实中一定配合。</x:v>
      </x:c>
      <x:c r="P312" s="46" t="str">
        <x:v>根气只修正用户交换需求和通道是否稳定重复，不等于双方已形成成熟互惠。</x:v>
      </x:c>
      <x:c r="Q312" s="46" t="str">
        <x:v>旺弱只修正通道调用强度、抢位或缺位风险，不直接等于交换公平或关系质量。</x:v>
      </x:c>
      <x:c r="R312" s="46" t="str">
        <x:v>喜忌只修正调用顺畅度与摩擦，不可直接翻译为理想伴侣五行、十神或必然互补。</x:v>
      </x:c>
      <x:c r="S312" s="46" t="str">
        <x:v>真合化成立时按化神功能重算用户交换需求；合化争议时停止细化交换通道。</x:v>
      </x:c>
      <x:c r="T312" s="46" t="str">
        <x:v>近位提高该交换议题进入关系核心的可能；远位只保留背景或阶段性观察。</x:v>
      </x:c>
      <x:c r="U312" s="46" t="str">
        <x:v>95</x:v>
      </x:c>
      <x:c r="V312" s="46" t="str">
        <x:v>EB风险 +12</x:v>
      </x:c>
      <x:c r="W312" s="46" t="str">
        <x:v>pseudo_reciprocity_warning</x:v>
      </x:c>
      <x:c r="X312" s="46" t="str">
        <x:v>认为真正爱就应该自动知道并主动满足。</x:v>
      </x:c>
      <x:c r="Y312" s="46" t="str">
        <x:v>对方不能靠猜测长期完成你的需要，清楚请求也是关系能力。</x:v>
      </x:c>
      <x:c r="Z31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12" s="46" t="str">
        <x:v>高</x:v>
      </x:c>
      <x:c r="AB312" s="46" t="str">
        <x:v>待验证</x:v>
      </x:c>
      <x:c r="AC312" s="46" t="str"/>
      <x:c r="AD312" s="46" t="str">
        <x:v>exchange_blindspot=EB04; provisional=true; rule_group=EXCHANGE-EB伪互惠</x:v>
      </x:c>
      <x:c r="AE312" s="46" t="str">
        <x:v>0.4</x:v>
      </x:c>
    </x:row>
    <x:row r="313" ht="50" customHeight="1">
      <x:c r="A313" s="46" t="str">
        <x:v>M5-EXCHANGE-312</x:v>
      </x:c>
      <x:c r="B313" s="46" t="str">
        <x:v>EB04 主动给予等于无需请求｜证据缺口</x:v>
      </x:c>
      <x:c r="C313" s="46" t="str">
        <x:v>L6 交换误读与伪互惠</x:v>
      </x:c>
      <x:c r="D313" s="46" t="str">
        <x:v>EXCHANGE-EB伪互惠</x:v>
      </x:c>
      <x:c r="E313" s="46" t="str">
        <x:v>通用</x:v>
      </x:c>
      <x:c r="F313" s="46" t="str">
        <x:v>证据</x:v>
      </x:c>
      <x:c r="G313" s="46" t="str">
        <x:v>EB04</x:v>
      </x:c>
      <x:c r="H313" s="46" t="str">
        <x:v>主动给予等于无需请求</x:v>
      </x:c>
      <x:c r="I313" s="46" t="str">
        <x:v>准备判断交换公平或成熟。</x:v>
      </x:c>
      <x:c r="J313" s="46" t="str">
        <x:v>对应维度已跨场景验证。</x:v>
      </x:c>
      <x:c r="K313" s="46" t="str">
        <x:v>由共享基础引擎、M3与M5-BASE提供；只修正用户怎样给予、请求、接收和回馈，不直接判断双方现实交换质量。</x:v>
      </x:c>
      <x:c r="L313" s="46" t="str">
        <x:v>M2只说明进入关系所需资格证据；不能替代长期双向交换、负荷与修复验证。</x:v>
      </x:c>
      <x:c r="M313" s="46" t="str">
        <x:v>M3-BASE、EXPR、CARE和BOUND提供用户自然互动通道；M5-EXCHANGE负责把两人的实际行为合成为交换结构。</x:v>
      </x:c>
      <x:c r="N313" s="46" t="str">
        <x:v>无／按本规则指定的给予—请求—接收—反馈—重订路径路由。</x:v>
      </x:c>
      <x:c r="O313" s="46" t="str">
        <x:v>近位、远位只修正该交换需求进入亲密关系核心的可能；不得据此判断具体伴侣现实中一定配合。</x:v>
      </x:c>
      <x:c r="P313" s="46" t="str">
        <x:v>根气只修正用户交换需求和通道是否稳定重复，不等于双方已形成成熟互惠。</x:v>
      </x:c>
      <x:c r="Q313" s="46" t="str">
        <x:v>旺弱只修正通道调用强度、抢位或缺位风险，不直接等于交换公平或关系质量。</x:v>
      </x:c>
      <x:c r="R313" s="46" t="str">
        <x:v>喜忌只修正调用顺畅度与摩擦，不可直接翻译为理想伴侣五行、十神或必然互补。</x:v>
      </x:c>
      <x:c r="S313" s="46" t="str">
        <x:v>真合化成立时按化神功能重算用户交换需求；合化争议时停止细化交换通道。</x:v>
      </x:c>
      <x:c r="T313" s="46" t="str">
        <x:v>近位提高该交换议题进入关系核心的可能；远位只保留背景或阶段性观察。</x:v>
      </x:c>
      <x:c r="U313" s="46" t="str">
        <x:v>90</x:v>
      </x:c>
      <x:c r="V313" s="46" t="str">
        <x:v>-12／停止升级</x:v>
      </x:c>
      <x:c r="W313" s="46" t="str">
        <x:v>counterevidence</x:v>
      </x:c>
      <x:c r="X313" s="46" t="str">
        <x:v>建立具体请求、回应和确认是否命中的流程。</x:v>
      </x:c>
      <x:c r="Y313" s="46" t="str">
        <x:v>需要补看：建立具体请求、回应和确认是否命中的流程。</x:v>
      </x:c>
      <x:c r="Z31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13" s="46" t="str">
        <x:v>中高</x:v>
      </x:c>
      <x:c r="AB313" s="46" t="str">
        <x:v>待验证</x:v>
      </x:c>
      <x:c r="AC313" s="46" t="str"/>
      <x:c r="AD313" s="46" t="str">
        <x:v>exchange_blindspot=EB04; provisional=true; rule_group=EXCHANGE-EB伪互惠</x:v>
      </x:c>
      <x:c r="AE313" s="46" t="str">
        <x:v>0.4</x:v>
      </x:c>
    </x:row>
    <x:row r="314" ht="50" customHeight="1">
      <x:c r="A314" s="46" t="str">
        <x:v>M5-EXCHANGE-313</x:v>
      </x:c>
      <x:c r="B314" s="46" t="str">
        <x:v>EB04 主动给予等于无需请求｜纠偏与观察</x:v>
      </x:c>
      <x:c r="C314" s="46" t="str">
        <x:v>L6 交换误读与伪互惠</x:v>
      </x:c>
      <x:c r="D314" s="46" t="str">
        <x:v>EXCHANGE-EB伪互惠</x:v>
      </x:c>
      <x:c r="E314" s="46" t="str">
        <x:v>通用</x:v>
      </x:c>
      <x:c r="F314" s="46" t="str">
        <x:v>路由</x:v>
      </x:c>
      <x:c r="G314" s="46" t="str">
        <x:v>EB04</x:v>
      </x:c>
      <x:c r="H314" s="46" t="str">
        <x:v>主动给予等于无需请求</x:v>
      </x:c>
      <x:c r="I314" s="46" t="str">
        <x:v>EB候选成立。</x:v>
      </x:c>
      <x:c r="J314" s="46" t="str">
        <x:v>PR0安全事件优先停止。</x:v>
      </x:c>
      <x:c r="K314" s="46" t="str">
        <x:v>由共享基础引擎、M3与M5-BASE提供；只修正用户怎样给予、请求、接收和回馈，不直接判断双方现实交换质量。</x:v>
      </x:c>
      <x:c r="L314" s="46" t="str">
        <x:v>M2只说明进入关系所需资格证据；不能替代长期双向交换、负荷与修复验证。</x:v>
      </x:c>
      <x:c r="M314" s="46" t="str">
        <x:v>M3-BASE、EXPR、CARE和BOUND提供用户自然互动通道；M5-EXCHANGE负责把两人的实际行为合成为交换结构。</x:v>
      </x:c>
      <x:c r="N314" s="46" t="str">
        <x:v>无／按本规则指定的给予—请求—接收—反馈—重订路径路由。</x:v>
      </x:c>
      <x:c r="O314" s="46" t="str">
        <x:v>近位、远位只修正该交换需求进入亲密关系核心的可能；不得据此判断具体伴侣现实中一定配合。</x:v>
      </x:c>
      <x:c r="P314" s="46" t="str">
        <x:v>根气只修正用户交换需求和通道是否稳定重复，不等于双方已形成成熟互惠。</x:v>
      </x:c>
      <x:c r="Q314" s="46" t="str">
        <x:v>旺弱只修正通道调用强度、抢位或缺位风险，不直接等于交换公平或关系质量。</x:v>
      </x:c>
      <x:c r="R314" s="46" t="str">
        <x:v>喜忌只修正调用顺畅度与摩擦，不可直接翻译为理想伴侣五行、十神或必然互补。</x:v>
      </x:c>
      <x:c r="S314" s="46" t="str">
        <x:v>真合化成立时按化神功能重算用户交换需求；合化争议时停止细化交换通道。</x:v>
      </x:c>
      <x:c r="T314" s="46" t="str">
        <x:v>近位提高该交换议题进入关系核心的可能；远位只保留背景或阶段性观察。</x:v>
      </x:c>
      <x:c r="U314" s="46" t="str">
        <x:v>84</x:v>
      </x:c>
      <x:c r="V314" s="46" t="str">
        <x:v>不加分；观察路由</x:v>
      </x:c>
      <x:c r="W314" s="46" t="str">
        <x:v>observation_plan</x:v>
      </x:c>
      <x:c r="X314" s="46" t="str">
        <x:v>建立具体请求、回应和确认是否命中的流程。</x:v>
      </x:c>
      <x:c r="Y314" s="46" t="str">
        <x:v>纠偏时要：建立具体请求、回应和确认是否命中的流程。</x:v>
      </x:c>
      <x:c r="Z31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14" s="46" t="str">
        <x:v>中高</x:v>
      </x:c>
      <x:c r="AB314" s="46" t="str">
        <x:v>待验证</x:v>
      </x:c>
      <x:c r="AC314" s="46" t="str"/>
      <x:c r="AD314" s="46" t="str">
        <x:v>exchange_blindspot=EB04; provisional=true; rule_group=EXCHANGE-EB伪互惠</x:v>
      </x:c>
      <x:c r="AE314" s="46" t="str">
        <x:v>0.4</x:v>
      </x:c>
    </x:row>
    <x:row r="315" ht="50" customHeight="1">
      <x:c r="A315" s="46" t="str">
        <x:v>M5-EXCHANGE-314</x:v>
      </x:c>
      <x:c r="B315" s="46" t="str">
        <x:v>EB04 主动给予等于无需请求｜用户解释</x:v>
      </x:c>
      <x:c r="C315" s="46" t="str">
        <x:v>L6 交换误读与伪互惠</x:v>
      </x:c>
      <x:c r="D315" s="46" t="str">
        <x:v>EXCHANGE-EB伪互惠</x:v>
      </x:c>
      <x:c r="E315" s="46" t="str">
        <x:v>通用</x:v>
      </x:c>
      <x:c r="F315" s="46" t="str">
        <x:v>输出</x:v>
      </x:c>
      <x:c r="G315" s="46" t="str">
        <x:v>EB04</x:v>
      </x:c>
      <x:c r="H315" s="46" t="str">
        <x:v>主动给予等于无需请求</x:v>
      </x:c>
      <x:c r="I315" s="46" t="str">
        <x:v>完成EB判断。</x:v>
      </x:c>
      <x:c r="J315" s="46" t="str">
        <x:v>资料不足以区分。</x:v>
      </x:c>
      <x:c r="K315" s="46" t="str">
        <x:v>由共享基础引擎、M3与M5-BASE提供；只修正用户怎样给予、请求、接收和回馈，不直接判断双方现实交换质量。</x:v>
      </x:c>
      <x:c r="L315" s="46" t="str">
        <x:v>M2只说明进入关系所需资格证据；不能替代长期双向交换、负荷与修复验证。</x:v>
      </x:c>
      <x:c r="M315" s="46" t="str">
        <x:v>M3-BASE、EXPR、CARE和BOUND提供用户自然互动通道；M5-EXCHANGE负责把两人的实际行为合成为交换结构。</x:v>
      </x:c>
      <x:c r="N315" s="46" t="str">
        <x:v>无／按本规则指定的给予—请求—接收—反馈—重订路径路由。</x:v>
      </x:c>
      <x:c r="O315" s="46" t="str">
        <x:v>近位、远位只修正该交换需求进入亲密关系核心的可能；不得据此判断具体伴侣现实中一定配合。</x:v>
      </x:c>
      <x:c r="P315" s="46" t="str">
        <x:v>根气只修正用户交换需求和通道是否稳定重复，不等于双方已形成成熟互惠。</x:v>
      </x:c>
      <x:c r="Q315" s="46" t="str">
        <x:v>旺弱只修正通道调用强度、抢位或缺位风险，不直接等于交换公平或关系质量。</x:v>
      </x:c>
      <x:c r="R315" s="46" t="str">
        <x:v>喜忌只修正调用顺畅度与摩擦，不可直接翻译为理想伴侣五行、十神或必然互补。</x:v>
      </x:c>
      <x:c r="S315" s="46" t="str">
        <x:v>真合化成立时按化神功能重算用户交换需求；合化争议时停止细化交换通道。</x:v>
      </x:c>
      <x:c r="T315" s="46" t="str">
        <x:v>近位提高该交换议题进入关系核心的可能；远位只保留背景或阶段性观察。</x:v>
      </x:c>
      <x:c r="U315" s="46" t="str">
        <x:v>76</x:v>
      </x:c>
      <x:c r="V315" s="46" t="str">
        <x:v>不加分；输出</x:v>
      </x:c>
      <x:c r="W315" s="46" t="str">
        <x:v>report_text</x:v>
      </x:c>
      <x:c r="X315" s="46" t="str">
        <x:v>对方不能靠猜测长期完成你的需要，清楚请求也是关系能力。</x:v>
      </x:c>
      <x:c r="Y315" s="46" t="str">
        <x:v>对方不能靠猜测长期完成你的需要，清楚请求也是关系能力。</x:v>
      </x:c>
      <x:c r="Z31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15" s="46" t="str">
        <x:v>中高</x:v>
      </x:c>
      <x:c r="AB315" s="46" t="str">
        <x:v>待验证</x:v>
      </x:c>
      <x:c r="AC315" s="46" t="str"/>
      <x:c r="AD315" s="46" t="str">
        <x:v>exchange_blindspot=EB04; provisional=true; rule_group=EXCHANGE-EB伪互惠</x:v>
      </x:c>
      <x:c r="AE315" s="46" t="str">
        <x:v>0.4</x:v>
      </x:c>
    </x:row>
    <x:row r="316" ht="50" customHeight="1">
      <x:c r="A316" s="46" t="str">
        <x:v>M5-EXCHANGE-315</x:v>
      </x:c>
      <x:c r="B316" s="46" t="str">
        <x:v>EB05 接受支持等于欠债｜正式定义</x:v>
      </x:c>
      <x:c r="C316" s="46" t="str">
        <x:v>L6 交换误读与伪互惠</x:v>
      </x:c>
      <x:c r="D316" s="46" t="str">
        <x:v>EXCHANGE-EB伪互惠</x:v>
      </x:c>
      <x:c r="E316" s="46" t="str">
        <x:v>通用</x:v>
      </x:c>
      <x:c r="F316" s="46" t="str">
        <x:v>伪互惠</x:v>
      </x:c>
      <x:c r="G316" s="46" t="str">
        <x:v>EB05</x:v>
      </x:c>
      <x:c r="H316" s="46" t="str">
        <x:v>接受支持等于欠债</x:v>
      </x:c>
      <x:c r="I316" s="46" t="str">
        <x:v>出现相关判断偏差或交换争议。</x:v>
      </x:c>
      <x:c r="J316" s="46" t="str">
        <x:v>XV6—XV7现实资料已经排除。</x:v>
      </x:c>
      <x:c r="K316" s="46" t="str">
        <x:v>由共享基础引擎、M3与M5-BASE提供；只修正用户怎样给予、请求、接收和回馈，不直接判断双方现实交换质量。</x:v>
      </x:c>
      <x:c r="L316" s="46" t="str">
        <x:v>M2只说明进入关系所需资格证据；不能替代长期双向交换、负荷与修复验证。</x:v>
      </x:c>
      <x:c r="M316" s="46" t="str">
        <x:v>M3-BASE、EXPR、CARE和BOUND提供用户自然互动通道；M5-EXCHANGE负责把两人的实际行为合成为交换结构。</x:v>
      </x:c>
      <x:c r="N316" s="46" t="str">
        <x:v>无／按本规则指定的给予—请求—接收—反馈—重订路径路由。</x:v>
      </x:c>
      <x:c r="O316" s="46" t="str">
        <x:v>近位、远位只修正该交换需求进入亲密关系核心的可能；不得据此判断具体伴侣现实中一定配合。</x:v>
      </x:c>
      <x:c r="P316" s="46" t="str">
        <x:v>根气只修正用户交换需求和通道是否稳定重复，不等于双方已形成成熟互惠。</x:v>
      </x:c>
      <x:c r="Q316" s="46" t="str">
        <x:v>旺弱只修正通道调用强度、抢位或缺位风险，不直接等于交换公平或关系质量。</x:v>
      </x:c>
      <x:c r="R316" s="46" t="str">
        <x:v>喜忌只修正调用顺畅度与摩擦，不可直接翻译为理想伴侣五行、十神或必然互补。</x:v>
      </x:c>
      <x:c r="S316" s="46" t="str">
        <x:v>真合化成立时按化神功能重算用户交换需求；合化争议时停止细化交换通道。</x:v>
      </x:c>
      <x:c r="T316" s="46" t="str">
        <x:v>近位提高该交换议题进入关系核心的可能；远位只保留背景或阶段性观察。</x:v>
      </x:c>
      <x:c r="U316" s="46" t="str">
        <x:v>95</x:v>
      </x:c>
      <x:c r="V316" s="46" t="str">
        <x:v>EB风险 +12</x:v>
      </x:c>
      <x:c r="W316" s="46" t="str">
        <x:v>pseudo_reciprocity_warning</x:v>
      </x:c>
      <x:c r="X316" s="46" t="str">
        <x:v>接受帮助后必须立即等量回报，或因此失去拒绝权。</x:v>
      </x:c>
      <x:c r="Y316" s="46" t="str">
        <x:v>被支持不等于失去自主，也不必立刻等量偿还。</x:v>
      </x:c>
      <x:c r="Z31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16" s="46" t="str">
        <x:v>高</x:v>
      </x:c>
      <x:c r="AB316" s="46" t="str">
        <x:v>待验证</x:v>
      </x:c>
      <x:c r="AC316" s="46" t="str"/>
      <x:c r="AD316" s="46" t="str">
        <x:v>exchange_blindspot=EB05; provisional=true; rule_group=EXCHANGE-EB伪互惠</x:v>
      </x:c>
      <x:c r="AE316" s="46" t="str">
        <x:v>0.4</x:v>
      </x:c>
    </x:row>
    <x:row r="317" ht="50" customHeight="1">
      <x:c r="A317" s="46" t="str">
        <x:v>M5-EXCHANGE-316</x:v>
      </x:c>
      <x:c r="B317" s="46" t="str">
        <x:v>EB05 接受支持等于欠债｜证据缺口</x:v>
      </x:c>
      <x:c r="C317" s="46" t="str">
        <x:v>L6 交换误读与伪互惠</x:v>
      </x:c>
      <x:c r="D317" s="46" t="str">
        <x:v>EXCHANGE-EB伪互惠</x:v>
      </x:c>
      <x:c r="E317" s="46" t="str">
        <x:v>通用</x:v>
      </x:c>
      <x:c r="F317" s="46" t="str">
        <x:v>证据</x:v>
      </x:c>
      <x:c r="G317" s="46" t="str">
        <x:v>EB05</x:v>
      </x:c>
      <x:c r="H317" s="46" t="str">
        <x:v>接受支持等于欠债</x:v>
      </x:c>
      <x:c r="I317" s="46" t="str">
        <x:v>准备判断交换公平或成熟。</x:v>
      </x:c>
      <x:c r="J317" s="46" t="str">
        <x:v>对应维度已跨场景验证。</x:v>
      </x:c>
      <x:c r="K317" s="46" t="str">
        <x:v>由共享基础引擎、M3与M5-BASE提供；只修正用户怎样给予、请求、接收和回馈，不直接判断双方现实交换质量。</x:v>
      </x:c>
      <x:c r="L317" s="46" t="str">
        <x:v>M2只说明进入关系所需资格证据；不能替代长期双向交换、负荷与修复验证。</x:v>
      </x:c>
      <x:c r="M317" s="46" t="str">
        <x:v>M3-BASE、EXPR、CARE和BOUND提供用户自然互动通道；M5-EXCHANGE负责把两人的实际行为合成为交换结构。</x:v>
      </x:c>
      <x:c r="N317" s="46" t="str">
        <x:v>无／按本规则指定的给予—请求—接收—反馈—重订路径路由。</x:v>
      </x:c>
      <x:c r="O317" s="46" t="str">
        <x:v>近位、远位只修正该交换需求进入亲密关系核心的可能；不得据此判断具体伴侣现实中一定配合。</x:v>
      </x:c>
      <x:c r="P317" s="46" t="str">
        <x:v>根气只修正用户交换需求和通道是否稳定重复，不等于双方已形成成熟互惠。</x:v>
      </x:c>
      <x:c r="Q317" s="46" t="str">
        <x:v>旺弱只修正通道调用强度、抢位或缺位风险，不直接等于交换公平或关系质量。</x:v>
      </x:c>
      <x:c r="R317" s="46" t="str">
        <x:v>喜忌只修正调用顺畅度与摩擦，不可直接翻译为理想伴侣五行、十神或必然互补。</x:v>
      </x:c>
      <x:c r="S317" s="46" t="str">
        <x:v>真合化成立时按化神功能重算用户交换需求；合化争议时停止细化交换通道。</x:v>
      </x:c>
      <x:c r="T317" s="46" t="str">
        <x:v>近位提高该交换议题进入关系核心的可能；远位只保留背景或阶段性观察。</x:v>
      </x:c>
      <x:c r="U317" s="46" t="str">
        <x:v>90</x:v>
      </x:c>
      <x:c r="V317" s="46" t="str">
        <x:v>-12／停止升级</x:v>
      </x:c>
      <x:c r="W317" s="46" t="str">
        <x:v>counterevidence</x:v>
      </x:c>
      <x:c r="X317" s="46" t="str">
        <x:v>区分感激、回馈、债务和长期互惠。</x:v>
      </x:c>
      <x:c r="Y317" s="46" t="str">
        <x:v>需要补看：区分感激、回馈、债务和长期互惠。</x:v>
      </x:c>
      <x:c r="Z31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17" s="46" t="str">
        <x:v>中高</x:v>
      </x:c>
      <x:c r="AB317" s="46" t="str">
        <x:v>待验证</x:v>
      </x:c>
      <x:c r="AC317" s="46" t="str"/>
      <x:c r="AD317" s="46" t="str">
        <x:v>exchange_blindspot=EB05; provisional=true; rule_group=EXCHANGE-EB伪互惠</x:v>
      </x:c>
      <x:c r="AE317" s="46" t="str">
        <x:v>0.4</x:v>
      </x:c>
    </x:row>
    <x:row r="318" ht="50" customHeight="1">
      <x:c r="A318" s="46" t="str">
        <x:v>M5-EXCHANGE-317</x:v>
      </x:c>
      <x:c r="B318" s="46" t="str">
        <x:v>EB05 接受支持等于欠债｜纠偏与观察</x:v>
      </x:c>
      <x:c r="C318" s="46" t="str">
        <x:v>L6 交换误读与伪互惠</x:v>
      </x:c>
      <x:c r="D318" s="46" t="str">
        <x:v>EXCHANGE-EB伪互惠</x:v>
      </x:c>
      <x:c r="E318" s="46" t="str">
        <x:v>通用</x:v>
      </x:c>
      <x:c r="F318" s="46" t="str">
        <x:v>路由</x:v>
      </x:c>
      <x:c r="G318" s="46" t="str">
        <x:v>EB05</x:v>
      </x:c>
      <x:c r="H318" s="46" t="str">
        <x:v>接受支持等于欠债</x:v>
      </x:c>
      <x:c r="I318" s="46" t="str">
        <x:v>EB候选成立。</x:v>
      </x:c>
      <x:c r="J318" s="46" t="str">
        <x:v>PR0安全事件优先停止。</x:v>
      </x:c>
      <x:c r="K318" s="46" t="str">
        <x:v>由共享基础引擎、M3与M5-BASE提供；只修正用户怎样给予、请求、接收和回馈，不直接判断双方现实交换质量。</x:v>
      </x:c>
      <x:c r="L318" s="46" t="str">
        <x:v>M2只说明进入关系所需资格证据；不能替代长期双向交换、负荷与修复验证。</x:v>
      </x:c>
      <x:c r="M318" s="46" t="str">
        <x:v>M3-BASE、EXPR、CARE和BOUND提供用户自然互动通道；M5-EXCHANGE负责把两人的实际行为合成为交换结构。</x:v>
      </x:c>
      <x:c r="N318" s="46" t="str">
        <x:v>无／按本规则指定的给予—请求—接收—反馈—重订路径路由。</x:v>
      </x:c>
      <x:c r="O318" s="46" t="str">
        <x:v>近位、远位只修正该交换需求进入亲密关系核心的可能；不得据此判断具体伴侣现实中一定配合。</x:v>
      </x:c>
      <x:c r="P318" s="46" t="str">
        <x:v>根气只修正用户交换需求和通道是否稳定重复，不等于双方已形成成熟互惠。</x:v>
      </x:c>
      <x:c r="Q318" s="46" t="str">
        <x:v>旺弱只修正通道调用强度、抢位或缺位风险，不直接等于交换公平或关系质量。</x:v>
      </x:c>
      <x:c r="R318" s="46" t="str">
        <x:v>喜忌只修正调用顺畅度与摩擦，不可直接翻译为理想伴侣五行、十神或必然互补。</x:v>
      </x:c>
      <x:c r="S318" s="46" t="str">
        <x:v>真合化成立时按化神功能重算用户交换需求；合化争议时停止细化交换通道。</x:v>
      </x:c>
      <x:c r="T318" s="46" t="str">
        <x:v>近位提高该交换议题进入关系核心的可能；远位只保留背景或阶段性观察。</x:v>
      </x:c>
      <x:c r="U318" s="46" t="str">
        <x:v>84</x:v>
      </x:c>
      <x:c r="V318" s="46" t="str">
        <x:v>不加分；观察路由</x:v>
      </x:c>
      <x:c r="W318" s="46" t="str">
        <x:v>observation_plan</x:v>
      </x:c>
      <x:c r="X318" s="46" t="str">
        <x:v>区分感激、回馈、债务和长期互惠。</x:v>
      </x:c>
      <x:c r="Y318" s="46" t="str">
        <x:v>纠偏时要：区分感激、回馈、债务和长期互惠。</x:v>
      </x:c>
      <x:c r="Z31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18" s="46" t="str">
        <x:v>中高</x:v>
      </x:c>
      <x:c r="AB318" s="46" t="str">
        <x:v>待验证</x:v>
      </x:c>
      <x:c r="AC318" s="46" t="str"/>
      <x:c r="AD318" s="46" t="str">
        <x:v>exchange_blindspot=EB05; provisional=true; rule_group=EXCHANGE-EB伪互惠</x:v>
      </x:c>
      <x:c r="AE318" s="46" t="str">
        <x:v>0.4</x:v>
      </x:c>
    </x:row>
    <x:row r="319" ht="50" customHeight="1">
      <x:c r="A319" s="46" t="str">
        <x:v>M5-EXCHANGE-318</x:v>
      </x:c>
      <x:c r="B319" s="46" t="str">
        <x:v>EB05 接受支持等于欠债｜用户解释</x:v>
      </x:c>
      <x:c r="C319" s="46" t="str">
        <x:v>L6 交换误读与伪互惠</x:v>
      </x:c>
      <x:c r="D319" s="46" t="str">
        <x:v>EXCHANGE-EB伪互惠</x:v>
      </x:c>
      <x:c r="E319" s="46" t="str">
        <x:v>通用</x:v>
      </x:c>
      <x:c r="F319" s="46" t="str">
        <x:v>输出</x:v>
      </x:c>
      <x:c r="G319" s="46" t="str">
        <x:v>EB05</x:v>
      </x:c>
      <x:c r="H319" s="46" t="str">
        <x:v>接受支持等于欠债</x:v>
      </x:c>
      <x:c r="I319" s="46" t="str">
        <x:v>完成EB判断。</x:v>
      </x:c>
      <x:c r="J319" s="46" t="str">
        <x:v>资料不足以区分。</x:v>
      </x:c>
      <x:c r="K319" s="46" t="str">
        <x:v>由共享基础引擎、M3与M5-BASE提供；只修正用户怎样给予、请求、接收和回馈，不直接判断双方现实交换质量。</x:v>
      </x:c>
      <x:c r="L319" s="46" t="str">
        <x:v>M2只说明进入关系所需资格证据；不能替代长期双向交换、负荷与修复验证。</x:v>
      </x:c>
      <x:c r="M319" s="46" t="str">
        <x:v>M3-BASE、EXPR、CARE和BOUND提供用户自然互动通道；M5-EXCHANGE负责把两人的实际行为合成为交换结构。</x:v>
      </x:c>
      <x:c r="N319" s="46" t="str">
        <x:v>无／按本规则指定的给予—请求—接收—反馈—重订路径路由。</x:v>
      </x:c>
      <x:c r="O319" s="46" t="str">
        <x:v>近位、远位只修正该交换需求进入亲密关系核心的可能；不得据此判断具体伴侣现实中一定配合。</x:v>
      </x:c>
      <x:c r="P319" s="46" t="str">
        <x:v>根气只修正用户交换需求和通道是否稳定重复，不等于双方已形成成熟互惠。</x:v>
      </x:c>
      <x:c r="Q319" s="46" t="str">
        <x:v>旺弱只修正通道调用强度、抢位或缺位风险，不直接等于交换公平或关系质量。</x:v>
      </x:c>
      <x:c r="R319" s="46" t="str">
        <x:v>喜忌只修正调用顺畅度与摩擦，不可直接翻译为理想伴侣五行、十神或必然互补。</x:v>
      </x:c>
      <x:c r="S319" s="46" t="str">
        <x:v>真合化成立时按化神功能重算用户交换需求；合化争议时停止细化交换通道。</x:v>
      </x:c>
      <x:c r="T319" s="46" t="str">
        <x:v>近位提高该交换议题进入关系核心的可能；远位只保留背景或阶段性观察。</x:v>
      </x:c>
      <x:c r="U319" s="46" t="str">
        <x:v>76</x:v>
      </x:c>
      <x:c r="V319" s="46" t="str">
        <x:v>不加分；输出</x:v>
      </x:c>
      <x:c r="W319" s="46" t="str">
        <x:v>report_text</x:v>
      </x:c>
      <x:c r="X319" s="46" t="str">
        <x:v>被支持不等于失去自主，也不必立刻等量偿还。</x:v>
      </x:c>
      <x:c r="Y319" s="46" t="str">
        <x:v>被支持不等于失去自主，也不必立刻等量偿还。</x:v>
      </x:c>
      <x:c r="Z31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19" s="46" t="str">
        <x:v>中高</x:v>
      </x:c>
      <x:c r="AB319" s="46" t="str">
        <x:v>待验证</x:v>
      </x:c>
      <x:c r="AC319" s="46" t="str"/>
      <x:c r="AD319" s="46" t="str">
        <x:v>exchange_blindspot=EB05; provisional=true; rule_group=EXCHANGE-EB伪互惠</x:v>
      </x:c>
      <x:c r="AE319" s="46" t="str">
        <x:v>0.4</x:v>
      </x:c>
    </x:row>
    <x:row r="320" ht="50" customHeight="1">
      <x:c r="A320" s="46" t="str">
        <x:v>M5-EXCHANGE-319</x:v>
      </x:c>
      <x:c r="B320" s="46" t="str">
        <x:v>EB06 帮助等于控制／控制等于帮助｜正式定义</x:v>
      </x:c>
      <x:c r="C320" s="46" t="str">
        <x:v>L6 交换误读与伪互惠</x:v>
      </x:c>
      <x:c r="D320" s="46" t="str">
        <x:v>EXCHANGE-EB伪互惠</x:v>
      </x:c>
      <x:c r="E320" s="46" t="str">
        <x:v>通用</x:v>
      </x:c>
      <x:c r="F320" s="46" t="str">
        <x:v>伪互惠</x:v>
      </x:c>
      <x:c r="G320" s="46" t="str">
        <x:v>EB06</x:v>
      </x:c>
      <x:c r="H320" s="46" t="str">
        <x:v>帮助等于控制／控制等于帮助</x:v>
      </x:c>
      <x:c r="I320" s="46" t="str">
        <x:v>出现相关判断偏差或交换争议。</x:v>
      </x:c>
      <x:c r="J320" s="46" t="str">
        <x:v>XV6—XV7现实资料已经排除。</x:v>
      </x:c>
      <x:c r="K320" s="46" t="str">
        <x:v>由共享基础引擎、M3与M5-BASE提供；只修正用户怎样给予、请求、接收和回馈，不直接判断双方现实交换质量。</x:v>
      </x:c>
      <x:c r="L320" s="46" t="str">
        <x:v>M2只说明进入关系所需资格证据；不能替代长期双向交换、负荷与修复验证。</x:v>
      </x:c>
      <x:c r="M320" s="46" t="str">
        <x:v>M3-BASE、EXPR、CARE和BOUND提供用户自然互动通道；M5-EXCHANGE负责把两人的实际行为合成为交换结构。</x:v>
      </x:c>
      <x:c r="N320" s="46" t="str">
        <x:v>无／按本规则指定的给予—请求—接收—反馈—重订路径路由。</x:v>
      </x:c>
      <x:c r="O320" s="46" t="str">
        <x:v>近位、远位只修正该交换需求进入亲密关系核心的可能；不得据此判断具体伴侣现实中一定配合。</x:v>
      </x:c>
      <x:c r="P320" s="46" t="str">
        <x:v>根气只修正用户交换需求和通道是否稳定重复，不等于双方已形成成熟互惠。</x:v>
      </x:c>
      <x:c r="Q320" s="46" t="str">
        <x:v>旺弱只修正通道调用强度、抢位或缺位风险，不直接等于交换公平或关系质量。</x:v>
      </x:c>
      <x:c r="R320" s="46" t="str">
        <x:v>喜忌只修正调用顺畅度与摩擦，不可直接翻译为理想伴侣五行、十神或必然互补。</x:v>
      </x:c>
      <x:c r="S320" s="46" t="str">
        <x:v>真合化成立时按化神功能重算用户交换需求；合化争议时停止细化交换通道。</x:v>
      </x:c>
      <x:c r="T320" s="46" t="str">
        <x:v>近位提高该交换议题进入关系核心的可能；远位只保留背景或阶段性观察。</x:v>
      </x:c>
      <x:c r="U320" s="46" t="str">
        <x:v>95</x:v>
      </x:c>
      <x:c r="V320" s="46" t="str">
        <x:v>EB风险 +12</x:v>
      </x:c>
      <x:c r="W320" s="46" t="str">
        <x:v>pseudo_reciprocity_warning</x:v>
      </x:c>
      <x:c r="X320" s="46" t="str">
        <x:v>把一切帮助视为接管，或把越权包装成保护。</x:v>
      </x:c>
      <x:c r="Y320" s="46" t="str">
        <x:v>真正的支持会增加你的能力和选择，而不是减少。</x:v>
      </x:c>
      <x:c r="Z32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20" s="46" t="str">
        <x:v>高</x:v>
      </x:c>
      <x:c r="AB320" s="46" t="str">
        <x:v>待验证</x:v>
      </x:c>
      <x:c r="AC320" s="46" t="str"/>
      <x:c r="AD320" s="46" t="str">
        <x:v>exchange_blindspot=EB06; provisional=true; rule_group=EXCHANGE-EB伪互惠</x:v>
      </x:c>
      <x:c r="AE320" s="46" t="str">
        <x:v>0.4</x:v>
      </x:c>
    </x:row>
    <x:row r="321" ht="50" customHeight="1">
      <x:c r="A321" s="46" t="str">
        <x:v>M5-EXCHANGE-320</x:v>
      </x:c>
      <x:c r="B321" s="46" t="str">
        <x:v>EB06 帮助等于控制／控制等于帮助｜证据缺口</x:v>
      </x:c>
      <x:c r="C321" s="46" t="str">
        <x:v>L6 交换误读与伪互惠</x:v>
      </x:c>
      <x:c r="D321" s="46" t="str">
        <x:v>EXCHANGE-EB伪互惠</x:v>
      </x:c>
      <x:c r="E321" s="46" t="str">
        <x:v>通用</x:v>
      </x:c>
      <x:c r="F321" s="46" t="str">
        <x:v>证据</x:v>
      </x:c>
      <x:c r="G321" s="46" t="str">
        <x:v>EB06</x:v>
      </x:c>
      <x:c r="H321" s="46" t="str">
        <x:v>帮助等于控制／控制等于帮助</x:v>
      </x:c>
      <x:c r="I321" s="46" t="str">
        <x:v>准备判断交换公平或成熟。</x:v>
      </x:c>
      <x:c r="J321" s="46" t="str">
        <x:v>对应维度已跨场景验证。</x:v>
      </x:c>
      <x:c r="K321" s="46" t="str">
        <x:v>由共享基础引擎、M3与M5-BASE提供；只修正用户怎样给予、请求、接收和回馈，不直接判断双方现实交换质量。</x:v>
      </x:c>
      <x:c r="L321" s="46" t="str">
        <x:v>M2只说明进入关系所需资格证据；不能替代长期双向交换、负荷与修复验证。</x:v>
      </x:c>
      <x:c r="M321" s="46" t="str">
        <x:v>M3-BASE、EXPR、CARE和BOUND提供用户自然互动通道；M5-EXCHANGE负责把两人的实际行为合成为交换结构。</x:v>
      </x:c>
      <x:c r="N321" s="46" t="str">
        <x:v>无／按本规则指定的给予—请求—接收—反馈—重订路径路由。</x:v>
      </x:c>
      <x:c r="O321" s="46" t="str">
        <x:v>近位、远位只修正该交换需求进入亲密关系核心的可能；不得据此判断具体伴侣现实中一定配合。</x:v>
      </x:c>
      <x:c r="P321" s="46" t="str">
        <x:v>根气只修正用户交换需求和通道是否稳定重复，不等于双方已形成成熟互惠。</x:v>
      </x:c>
      <x:c r="Q321" s="46" t="str">
        <x:v>旺弱只修正通道调用强度、抢位或缺位风险，不直接等于交换公平或关系质量。</x:v>
      </x:c>
      <x:c r="R321" s="46" t="str">
        <x:v>喜忌只修正调用顺畅度与摩擦，不可直接翻译为理想伴侣五行、十神或必然互补。</x:v>
      </x:c>
      <x:c r="S321" s="46" t="str">
        <x:v>真合化成立时按化神功能重算用户交换需求；合化争议时停止细化交换通道。</x:v>
      </x:c>
      <x:c r="T321" s="46" t="str">
        <x:v>近位提高该交换议题进入关系核心的可能；远位只保留背景或阶段性观察。</x:v>
      </x:c>
      <x:c r="U321" s="46" t="str">
        <x:v>90</x:v>
      </x:c>
      <x:c r="V321" s="46" t="str">
        <x:v>-12／停止升级</x:v>
      </x:c>
      <x:c r="W321" s="46" t="str">
        <x:v>counterevidence</x:v>
      </x:c>
      <x:c r="X321" s="46" t="str">
        <x:v>检查同意、信息、停止权、参与权和事后反馈。</x:v>
      </x:c>
      <x:c r="Y321" s="46" t="str">
        <x:v>需要补看：检查同意、信息、停止权、参与权和事后反馈。</x:v>
      </x:c>
      <x:c r="Z32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21" s="46" t="str">
        <x:v>中高</x:v>
      </x:c>
      <x:c r="AB321" s="46" t="str">
        <x:v>待验证</x:v>
      </x:c>
      <x:c r="AC321" s="46" t="str"/>
      <x:c r="AD321" s="46" t="str">
        <x:v>exchange_blindspot=EB06; provisional=true; rule_group=EXCHANGE-EB伪互惠</x:v>
      </x:c>
      <x:c r="AE321" s="46" t="str">
        <x:v>0.4</x:v>
      </x:c>
    </x:row>
    <x:row r="322" ht="50" customHeight="1">
      <x:c r="A322" s="46" t="str">
        <x:v>M5-EXCHANGE-321</x:v>
      </x:c>
      <x:c r="B322" s="46" t="str">
        <x:v>EB06 帮助等于控制／控制等于帮助｜纠偏与观察</x:v>
      </x:c>
      <x:c r="C322" s="46" t="str">
        <x:v>L6 交换误读与伪互惠</x:v>
      </x:c>
      <x:c r="D322" s="46" t="str">
        <x:v>EXCHANGE-EB伪互惠</x:v>
      </x:c>
      <x:c r="E322" s="46" t="str">
        <x:v>通用</x:v>
      </x:c>
      <x:c r="F322" s="46" t="str">
        <x:v>路由</x:v>
      </x:c>
      <x:c r="G322" s="46" t="str">
        <x:v>EB06</x:v>
      </x:c>
      <x:c r="H322" s="46" t="str">
        <x:v>帮助等于控制／控制等于帮助</x:v>
      </x:c>
      <x:c r="I322" s="46" t="str">
        <x:v>EB候选成立。</x:v>
      </x:c>
      <x:c r="J322" s="46" t="str">
        <x:v>PR0安全事件优先停止。</x:v>
      </x:c>
      <x:c r="K322" s="46" t="str">
        <x:v>由共享基础引擎、M3与M5-BASE提供；只修正用户怎样给予、请求、接收和回馈，不直接判断双方现实交换质量。</x:v>
      </x:c>
      <x:c r="L322" s="46" t="str">
        <x:v>M2只说明进入关系所需资格证据；不能替代长期双向交换、负荷与修复验证。</x:v>
      </x:c>
      <x:c r="M322" s="46" t="str">
        <x:v>M3-BASE、EXPR、CARE和BOUND提供用户自然互动通道；M5-EXCHANGE负责把两人的实际行为合成为交换结构。</x:v>
      </x:c>
      <x:c r="N322" s="46" t="str">
        <x:v>无／按本规则指定的给予—请求—接收—反馈—重订路径路由。</x:v>
      </x:c>
      <x:c r="O322" s="46" t="str">
        <x:v>近位、远位只修正该交换需求进入亲密关系核心的可能；不得据此判断具体伴侣现实中一定配合。</x:v>
      </x:c>
      <x:c r="P322" s="46" t="str">
        <x:v>根气只修正用户交换需求和通道是否稳定重复，不等于双方已形成成熟互惠。</x:v>
      </x:c>
      <x:c r="Q322" s="46" t="str">
        <x:v>旺弱只修正通道调用强度、抢位或缺位风险，不直接等于交换公平或关系质量。</x:v>
      </x:c>
      <x:c r="R322" s="46" t="str">
        <x:v>喜忌只修正调用顺畅度与摩擦，不可直接翻译为理想伴侣五行、十神或必然互补。</x:v>
      </x:c>
      <x:c r="S322" s="46" t="str">
        <x:v>真合化成立时按化神功能重算用户交换需求；合化争议时停止细化交换通道。</x:v>
      </x:c>
      <x:c r="T322" s="46" t="str">
        <x:v>近位提高该交换议题进入关系核心的可能；远位只保留背景或阶段性观察。</x:v>
      </x:c>
      <x:c r="U322" s="46" t="str">
        <x:v>84</x:v>
      </x:c>
      <x:c r="V322" s="46" t="str">
        <x:v>不加分；观察路由</x:v>
      </x:c>
      <x:c r="W322" s="46" t="str">
        <x:v>observation_plan</x:v>
      </x:c>
      <x:c r="X322" s="46" t="str">
        <x:v>检查同意、信息、停止权、参与权和事后反馈。</x:v>
      </x:c>
      <x:c r="Y322" s="46" t="str">
        <x:v>纠偏时要：检查同意、信息、停止权、参与权和事后反馈。</x:v>
      </x:c>
      <x:c r="Z32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22" s="46" t="str">
        <x:v>中高</x:v>
      </x:c>
      <x:c r="AB322" s="46" t="str">
        <x:v>待验证</x:v>
      </x:c>
      <x:c r="AC322" s="46" t="str"/>
      <x:c r="AD322" s="46" t="str">
        <x:v>exchange_blindspot=EB06; provisional=true; rule_group=EXCHANGE-EB伪互惠</x:v>
      </x:c>
      <x:c r="AE322" s="46" t="str">
        <x:v>0.4</x:v>
      </x:c>
    </x:row>
    <x:row r="323" ht="50" customHeight="1">
      <x:c r="A323" s="46" t="str">
        <x:v>M5-EXCHANGE-322</x:v>
      </x:c>
      <x:c r="B323" s="46" t="str">
        <x:v>EB06 帮助等于控制／控制等于帮助｜用户解释</x:v>
      </x:c>
      <x:c r="C323" s="46" t="str">
        <x:v>L6 交换误读与伪互惠</x:v>
      </x:c>
      <x:c r="D323" s="46" t="str">
        <x:v>EXCHANGE-EB伪互惠</x:v>
      </x:c>
      <x:c r="E323" s="46" t="str">
        <x:v>通用</x:v>
      </x:c>
      <x:c r="F323" s="46" t="str">
        <x:v>输出</x:v>
      </x:c>
      <x:c r="G323" s="46" t="str">
        <x:v>EB06</x:v>
      </x:c>
      <x:c r="H323" s="46" t="str">
        <x:v>帮助等于控制／控制等于帮助</x:v>
      </x:c>
      <x:c r="I323" s="46" t="str">
        <x:v>完成EB判断。</x:v>
      </x:c>
      <x:c r="J323" s="46" t="str">
        <x:v>资料不足以区分。</x:v>
      </x:c>
      <x:c r="K323" s="46" t="str">
        <x:v>由共享基础引擎、M3与M5-BASE提供；只修正用户怎样给予、请求、接收和回馈，不直接判断双方现实交换质量。</x:v>
      </x:c>
      <x:c r="L323" s="46" t="str">
        <x:v>M2只说明进入关系所需资格证据；不能替代长期双向交换、负荷与修复验证。</x:v>
      </x:c>
      <x:c r="M323" s="46" t="str">
        <x:v>M3-BASE、EXPR、CARE和BOUND提供用户自然互动通道；M5-EXCHANGE负责把两人的实际行为合成为交换结构。</x:v>
      </x:c>
      <x:c r="N323" s="46" t="str">
        <x:v>无／按本规则指定的给予—请求—接收—反馈—重订路径路由。</x:v>
      </x:c>
      <x:c r="O323" s="46" t="str">
        <x:v>近位、远位只修正该交换需求进入亲密关系核心的可能；不得据此判断具体伴侣现实中一定配合。</x:v>
      </x:c>
      <x:c r="P323" s="46" t="str">
        <x:v>根气只修正用户交换需求和通道是否稳定重复，不等于双方已形成成熟互惠。</x:v>
      </x:c>
      <x:c r="Q323" s="46" t="str">
        <x:v>旺弱只修正通道调用强度、抢位或缺位风险，不直接等于交换公平或关系质量。</x:v>
      </x:c>
      <x:c r="R323" s="46" t="str">
        <x:v>喜忌只修正调用顺畅度与摩擦，不可直接翻译为理想伴侣五行、十神或必然互补。</x:v>
      </x:c>
      <x:c r="S323" s="46" t="str">
        <x:v>真合化成立时按化神功能重算用户交换需求；合化争议时停止细化交换通道。</x:v>
      </x:c>
      <x:c r="T323" s="46" t="str">
        <x:v>近位提高该交换议题进入关系核心的可能；远位只保留背景或阶段性观察。</x:v>
      </x:c>
      <x:c r="U323" s="46" t="str">
        <x:v>76</x:v>
      </x:c>
      <x:c r="V323" s="46" t="str">
        <x:v>不加分；输出</x:v>
      </x:c>
      <x:c r="W323" s="46" t="str">
        <x:v>report_text</x:v>
      </x:c>
      <x:c r="X323" s="46" t="str">
        <x:v>真正的支持会增加你的能力和选择，而不是减少。</x:v>
      </x:c>
      <x:c r="Y323" s="46" t="str">
        <x:v>真正的支持会增加你的能力和选择，而不是减少。</x:v>
      </x:c>
      <x:c r="Z32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23" s="46" t="str">
        <x:v>中高</x:v>
      </x:c>
      <x:c r="AB323" s="46" t="str">
        <x:v>待验证</x:v>
      </x:c>
      <x:c r="AC323" s="46" t="str"/>
      <x:c r="AD323" s="46" t="str">
        <x:v>exchange_blindspot=EB06; provisional=true; rule_group=EXCHANGE-EB伪互惠</x:v>
      </x:c>
      <x:c r="AE323" s="46" t="str">
        <x:v>0.4</x:v>
      </x:c>
    </x:row>
    <x:row r="324" ht="50" customHeight="1">
      <x:c r="A324" s="46" t="str">
        <x:v>M5-EXCHANGE-323</x:v>
      </x:c>
      <x:c r="B324" s="46" t="str">
        <x:v>EB07 角色分工等于固定高低｜正式定义</x:v>
      </x:c>
      <x:c r="C324" s="46" t="str">
        <x:v>L6 交换误读与伪互惠</x:v>
      </x:c>
      <x:c r="D324" s="46" t="str">
        <x:v>EXCHANGE-EB伪互惠</x:v>
      </x:c>
      <x:c r="E324" s="46" t="str">
        <x:v>通用</x:v>
      </x:c>
      <x:c r="F324" s="46" t="str">
        <x:v>伪互惠</x:v>
      </x:c>
      <x:c r="G324" s="46" t="str">
        <x:v>EB07</x:v>
      </x:c>
      <x:c r="H324" s="46" t="str">
        <x:v>角色分工等于固定高低</x:v>
      </x:c>
      <x:c r="I324" s="46" t="str">
        <x:v>出现相关判断偏差或交换争议。</x:v>
      </x:c>
      <x:c r="J324" s="46" t="str">
        <x:v>XV6—XV7现实资料已经排除。</x:v>
      </x:c>
      <x:c r="K324" s="46" t="str">
        <x:v>由共享基础引擎、M3与M5-BASE提供；只修正用户怎样给予、请求、接收和回馈，不直接判断双方现实交换质量。</x:v>
      </x:c>
      <x:c r="L324" s="46" t="str">
        <x:v>M2只说明进入关系所需资格证据；不能替代长期双向交换、负荷与修复验证。</x:v>
      </x:c>
      <x:c r="M324" s="46" t="str">
        <x:v>M3-BASE、EXPR、CARE和BOUND提供用户自然互动通道；M5-EXCHANGE负责把两人的实际行为合成为交换结构。</x:v>
      </x:c>
      <x:c r="N324" s="46" t="str">
        <x:v>无／按本规则指定的给予—请求—接收—反馈—重订路径路由。</x:v>
      </x:c>
      <x:c r="O324" s="46" t="str">
        <x:v>近位、远位只修正该交换需求进入亲密关系核心的可能；不得据此判断具体伴侣现实中一定配合。</x:v>
      </x:c>
      <x:c r="P324" s="46" t="str">
        <x:v>根气只修正用户交换需求和通道是否稳定重复，不等于双方已形成成熟互惠。</x:v>
      </x:c>
      <x:c r="Q324" s="46" t="str">
        <x:v>旺弱只修正通道调用强度、抢位或缺位风险，不直接等于交换公平或关系质量。</x:v>
      </x:c>
      <x:c r="R324" s="46" t="str">
        <x:v>喜忌只修正调用顺畅度与摩擦，不可直接翻译为理想伴侣五行、十神或必然互补。</x:v>
      </x:c>
      <x:c r="S324" s="46" t="str">
        <x:v>真合化成立时按化神功能重算用户交换需求；合化争议时停止细化交换通道。</x:v>
      </x:c>
      <x:c r="T324" s="46" t="str">
        <x:v>近位提高该交换议题进入关系核心的可能；远位只保留背景或阶段性观察。</x:v>
      </x:c>
      <x:c r="U324" s="46" t="str">
        <x:v>95</x:v>
      </x:c>
      <x:c r="V324" s="46" t="str">
        <x:v>EB风险 +12</x:v>
      </x:c>
      <x:c r="W324" s="46" t="str">
        <x:v>pseudo_reciprocity_warning</x:v>
      </x:c>
      <x:c r="X324" s="46" t="str">
        <x:v>把谁擅长什么变成永久权力和身份等级。</x:v>
      </x:c>
      <x:c r="Y324" s="46" t="str">
        <x:v>分工可以不同，但决定权和人格地位仍应平等。</x:v>
      </x:c>
      <x:c r="Z32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24" s="46" t="str">
        <x:v>高</x:v>
      </x:c>
      <x:c r="AB324" s="46" t="str">
        <x:v>待验证</x:v>
      </x:c>
      <x:c r="AC324" s="46" t="str"/>
      <x:c r="AD324" s="46" t="str">
        <x:v>exchange_blindspot=EB07; provisional=true; rule_group=EXCHANGE-EB伪互惠</x:v>
      </x:c>
      <x:c r="AE324" s="46" t="str">
        <x:v>0.4</x:v>
      </x:c>
    </x:row>
    <x:row r="325" ht="50" customHeight="1">
      <x:c r="A325" s="46" t="str">
        <x:v>M5-EXCHANGE-324</x:v>
      </x:c>
      <x:c r="B325" s="46" t="str">
        <x:v>EB07 角色分工等于固定高低｜证据缺口</x:v>
      </x:c>
      <x:c r="C325" s="46" t="str">
        <x:v>L6 交换误读与伪互惠</x:v>
      </x:c>
      <x:c r="D325" s="46" t="str">
        <x:v>EXCHANGE-EB伪互惠</x:v>
      </x:c>
      <x:c r="E325" s="46" t="str">
        <x:v>通用</x:v>
      </x:c>
      <x:c r="F325" s="46" t="str">
        <x:v>证据</x:v>
      </x:c>
      <x:c r="G325" s="46" t="str">
        <x:v>EB07</x:v>
      </x:c>
      <x:c r="H325" s="46" t="str">
        <x:v>角色分工等于固定高低</x:v>
      </x:c>
      <x:c r="I325" s="46" t="str">
        <x:v>准备判断交换公平或成熟。</x:v>
      </x:c>
      <x:c r="J325" s="46" t="str">
        <x:v>对应维度已跨场景验证。</x:v>
      </x:c>
      <x:c r="K325" s="46" t="str">
        <x:v>由共享基础引擎、M3与M5-BASE提供；只修正用户怎样给予、请求、接收和回馈，不直接判断双方现实交换质量。</x:v>
      </x:c>
      <x:c r="L325" s="46" t="str">
        <x:v>M2只说明进入关系所需资格证据；不能替代长期双向交换、负荷与修复验证。</x:v>
      </x:c>
      <x:c r="M325" s="46" t="str">
        <x:v>M3-BASE、EXPR、CARE和BOUND提供用户自然互动通道；M5-EXCHANGE负责把两人的实际行为合成为交换结构。</x:v>
      </x:c>
      <x:c r="N325" s="46" t="str">
        <x:v>无／按本规则指定的给予—请求—接收—反馈—重订路径路由。</x:v>
      </x:c>
      <x:c r="O325" s="46" t="str">
        <x:v>近位、远位只修正该交换需求进入亲密关系核心的可能；不得据此判断具体伴侣现实中一定配合。</x:v>
      </x:c>
      <x:c r="P325" s="46" t="str">
        <x:v>根气只修正用户交换需求和通道是否稳定重复，不等于双方已形成成熟互惠。</x:v>
      </x:c>
      <x:c r="Q325" s="46" t="str">
        <x:v>旺弱只修正通道调用强度、抢位或缺位风险，不直接等于交换公平或关系质量。</x:v>
      </x:c>
      <x:c r="R325" s="46" t="str">
        <x:v>喜忌只修正调用顺畅度与摩擦，不可直接翻译为理想伴侣五行、十神或必然互补。</x:v>
      </x:c>
      <x:c r="S325" s="46" t="str">
        <x:v>真合化成立时按化神功能重算用户交换需求；合化争议时停止细化交换通道。</x:v>
      </x:c>
      <x:c r="T325" s="46" t="str">
        <x:v>近位提高该交换议题进入关系核心的可能；远位只保留背景或阶段性观察。</x:v>
      </x:c>
      <x:c r="U325" s="46" t="str">
        <x:v>90</x:v>
      </x:c>
      <x:c r="V325" s="46" t="str">
        <x:v>-12／停止升级</x:v>
      </x:c>
      <x:c r="W325" s="46" t="str">
        <x:v>counterevidence</x:v>
      </x:c>
      <x:c r="X325" s="46" t="str">
        <x:v>建立轮换、复核、退出和重新协商机制。</x:v>
      </x:c>
      <x:c r="Y325" s="46" t="str">
        <x:v>需要补看：建立轮换、复核、退出和重新协商机制。</x:v>
      </x:c>
      <x:c r="Z32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25" s="46" t="str">
        <x:v>中高</x:v>
      </x:c>
      <x:c r="AB325" s="46" t="str">
        <x:v>待验证</x:v>
      </x:c>
      <x:c r="AC325" s="46" t="str"/>
      <x:c r="AD325" s="46" t="str">
        <x:v>exchange_blindspot=EB07; provisional=true; rule_group=EXCHANGE-EB伪互惠</x:v>
      </x:c>
      <x:c r="AE325" s="46" t="str">
        <x:v>0.4</x:v>
      </x:c>
    </x:row>
    <x:row r="326" ht="50" customHeight="1">
      <x:c r="A326" s="46" t="str">
        <x:v>M5-EXCHANGE-325</x:v>
      </x:c>
      <x:c r="B326" s="46" t="str">
        <x:v>EB07 角色分工等于固定高低｜纠偏与观察</x:v>
      </x:c>
      <x:c r="C326" s="46" t="str">
        <x:v>L6 交换误读与伪互惠</x:v>
      </x:c>
      <x:c r="D326" s="46" t="str">
        <x:v>EXCHANGE-EB伪互惠</x:v>
      </x:c>
      <x:c r="E326" s="46" t="str">
        <x:v>通用</x:v>
      </x:c>
      <x:c r="F326" s="46" t="str">
        <x:v>路由</x:v>
      </x:c>
      <x:c r="G326" s="46" t="str">
        <x:v>EB07</x:v>
      </x:c>
      <x:c r="H326" s="46" t="str">
        <x:v>角色分工等于固定高低</x:v>
      </x:c>
      <x:c r="I326" s="46" t="str">
        <x:v>EB候选成立。</x:v>
      </x:c>
      <x:c r="J326" s="46" t="str">
        <x:v>PR0安全事件优先停止。</x:v>
      </x:c>
      <x:c r="K326" s="46" t="str">
        <x:v>由共享基础引擎、M3与M5-BASE提供；只修正用户怎样给予、请求、接收和回馈，不直接判断双方现实交换质量。</x:v>
      </x:c>
      <x:c r="L326" s="46" t="str">
        <x:v>M2只说明进入关系所需资格证据；不能替代长期双向交换、负荷与修复验证。</x:v>
      </x:c>
      <x:c r="M326" s="46" t="str">
        <x:v>M3-BASE、EXPR、CARE和BOUND提供用户自然互动通道；M5-EXCHANGE负责把两人的实际行为合成为交换结构。</x:v>
      </x:c>
      <x:c r="N326" s="46" t="str">
        <x:v>无／按本规则指定的给予—请求—接收—反馈—重订路径路由。</x:v>
      </x:c>
      <x:c r="O326" s="46" t="str">
        <x:v>近位、远位只修正该交换需求进入亲密关系核心的可能；不得据此判断具体伴侣现实中一定配合。</x:v>
      </x:c>
      <x:c r="P326" s="46" t="str">
        <x:v>根气只修正用户交换需求和通道是否稳定重复，不等于双方已形成成熟互惠。</x:v>
      </x:c>
      <x:c r="Q326" s="46" t="str">
        <x:v>旺弱只修正通道调用强度、抢位或缺位风险，不直接等于交换公平或关系质量。</x:v>
      </x:c>
      <x:c r="R326" s="46" t="str">
        <x:v>喜忌只修正调用顺畅度与摩擦，不可直接翻译为理想伴侣五行、十神或必然互补。</x:v>
      </x:c>
      <x:c r="S326" s="46" t="str">
        <x:v>真合化成立时按化神功能重算用户交换需求；合化争议时停止细化交换通道。</x:v>
      </x:c>
      <x:c r="T326" s="46" t="str">
        <x:v>近位提高该交换议题进入关系核心的可能；远位只保留背景或阶段性观察。</x:v>
      </x:c>
      <x:c r="U326" s="46" t="str">
        <x:v>84</x:v>
      </x:c>
      <x:c r="V326" s="46" t="str">
        <x:v>不加分；观察路由</x:v>
      </x:c>
      <x:c r="W326" s="46" t="str">
        <x:v>observation_plan</x:v>
      </x:c>
      <x:c r="X326" s="46" t="str">
        <x:v>建立轮换、复核、退出和重新协商机制。</x:v>
      </x:c>
      <x:c r="Y326" s="46" t="str">
        <x:v>纠偏时要：建立轮换、复核、退出和重新协商机制。</x:v>
      </x:c>
      <x:c r="Z32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26" s="46" t="str">
        <x:v>中高</x:v>
      </x:c>
      <x:c r="AB326" s="46" t="str">
        <x:v>待验证</x:v>
      </x:c>
      <x:c r="AC326" s="46" t="str"/>
      <x:c r="AD326" s="46" t="str">
        <x:v>exchange_blindspot=EB07; provisional=true; rule_group=EXCHANGE-EB伪互惠</x:v>
      </x:c>
      <x:c r="AE326" s="46" t="str">
        <x:v>0.4</x:v>
      </x:c>
    </x:row>
    <x:row r="327" ht="50" customHeight="1">
      <x:c r="A327" s="46" t="str">
        <x:v>M5-EXCHANGE-326</x:v>
      </x:c>
      <x:c r="B327" s="46" t="str">
        <x:v>EB07 角色分工等于固定高低｜用户解释</x:v>
      </x:c>
      <x:c r="C327" s="46" t="str">
        <x:v>L6 交换误读与伪互惠</x:v>
      </x:c>
      <x:c r="D327" s="46" t="str">
        <x:v>EXCHANGE-EB伪互惠</x:v>
      </x:c>
      <x:c r="E327" s="46" t="str">
        <x:v>通用</x:v>
      </x:c>
      <x:c r="F327" s="46" t="str">
        <x:v>输出</x:v>
      </x:c>
      <x:c r="G327" s="46" t="str">
        <x:v>EB07</x:v>
      </x:c>
      <x:c r="H327" s="46" t="str">
        <x:v>角色分工等于固定高低</x:v>
      </x:c>
      <x:c r="I327" s="46" t="str">
        <x:v>完成EB判断。</x:v>
      </x:c>
      <x:c r="J327" s="46" t="str">
        <x:v>资料不足以区分。</x:v>
      </x:c>
      <x:c r="K327" s="46" t="str">
        <x:v>由共享基础引擎、M3与M5-BASE提供；只修正用户怎样给予、请求、接收和回馈，不直接判断双方现实交换质量。</x:v>
      </x:c>
      <x:c r="L327" s="46" t="str">
        <x:v>M2只说明进入关系所需资格证据；不能替代长期双向交换、负荷与修复验证。</x:v>
      </x:c>
      <x:c r="M327" s="46" t="str">
        <x:v>M3-BASE、EXPR、CARE和BOUND提供用户自然互动通道；M5-EXCHANGE负责把两人的实际行为合成为交换结构。</x:v>
      </x:c>
      <x:c r="N327" s="46" t="str">
        <x:v>无／按本规则指定的给予—请求—接收—反馈—重订路径路由。</x:v>
      </x:c>
      <x:c r="O327" s="46" t="str">
        <x:v>近位、远位只修正该交换需求进入亲密关系核心的可能；不得据此判断具体伴侣现实中一定配合。</x:v>
      </x:c>
      <x:c r="P327" s="46" t="str">
        <x:v>根气只修正用户交换需求和通道是否稳定重复，不等于双方已形成成熟互惠。</x:v>
      </x:c>
      <x:c r="Q327" s="46" t="str">
        <x:v>旺弱只修正通道调用强度、抢位或缺位风险，不直接等于交换公平或关系质量。</x:v>
      </x:c>
      <x:c r="R327" s="46" t="str">
        <x:v>喜忌只修正调用顺畅度与摩擦，不可直接翻译为理想伴侣五行、十神或必然互补。</x:v>
      </x:c>
      <x:c r="S327" s="46" t="str">
        <x:v>真合化成立时按化神功能重算用户交换需求；合化争议时停止细化交换通道。</x:v>
      </x:c>
      <x:c r="T327" s="46" t="str">
        <x:v>近位提高该交换议题进入关系核心的可能；远位只保留背景或阶段性观察。</x:v>
      </x:c>
      <x:c r="U327" s="46" t="str">
        <x:v>76</x:v>
      </x:c>
      <x:c r="V327" s="46" t="str">
        <x:v>不加分；输出</x:v>
      </x:c>
      <x:c r="W327" s="46" t="str">
        <x:v>report_text</x:v>
      </x:c>
      <x:c r="X327" s="46" t="str">
        <x:v>分工可以不同，但决定权和人格地位仍应平等。</x:v>
      </x:c>
      <x:c r="Y327" s="46" t="str">
        <x:v>分工可以不同，但决定权和人格地位仍应平等。</x:v>
      </x:c>
      <x:c r="Z32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27" s="46" t="str">
        <x:v>中高</x:v>
      </x:c>
      <x:c r="AB327" s="46" t="str">
        <x:v>待验证</x:v>
      </x:c>
      <x:c r="AC327" s="46" t="str"/>
      <x:c r="AD327" s="46" t="str">
        <x:v>exchange_blindspot=EB07; provisional=true; rule_group=EXCHANGE-EB伪互惠</x:v>
      </x:c>
      <x:c r="AE327" s="46" t="str">
        <x:v>0.4</x:v>
      </x:c>
    </x:row>
    <x:row r="328" ht="50" customHeight="1">
      <x:c r="A328" s="46" t="str">
        <x:v>M5-EXCHANGE-327</x:v>
      </x:c>
      <x:c r="B328" s="46" t="str">
        <x:v>EB08 即时回报等于健康互惠｜正式定义</x:v>
      </x:c>
      <x:c r="C328" s="46" t="str">
        <x:v>L6 交换误读与伪互惠</x:v>
      </x:c>
      <x:c r="D328" s="46" t="str">
        <x:v>EXCHANGE-EB伪互惠</x:v>
      </x:c>
      <x:c r="E328" s="46" t="str">
        <x:v>通用</x:v>
      </x:c>
      <x:c r="F328" s="46" t="str">
        <x:v>伪互惠</x:v>
      </x:c>
      <x:c r="G328" s="46" t="str">
        <x:v>EB08</x:v>
      </x:c>
      <x:c r="H328" s="46" t="str">
        <x:v>即时回报等于健康互惠</x:v>
      </x:c>
      <x:c r="I328" s="46" t="str">
        <x:v>出现相关判断偏差或交换争议。</x:v>
      </x:c>
      <x:c r="J328" s="46" t="str">
        <x:v>XV6—XV7现实资料已经排除。</x:v>
      </x:c>
      <x:c r="K328" s="46" t="str">
        <x:v>由共享基础引擎、M3与M5-BASE提供；只修正用户怎样给予、请求、接收和回馈，不直接判断双方现实交换质量。</x:v>
      </x:c>
      <x:c r="L328" s="46" t="str">
        <x:v>M2只说明进入关系所需资格证据；不能替代长期双向交换、负荷与修复验证。</x:v>
      </x:c>
      <x:c r="M328" s="46" t="str">
        <x:v>M3-BASE、EXPR、CARE和BOUND提供用户自然互动通道；M5-EXCHANGE负责把两人的实际行为合成为交换结构。</x:v>
      </x:c>
      <x:c r="N328" s="46" t="str">
        <x:v>无／按本规则指定的给予—请求—接收—反馈—重订路径路由。</x:v>
      </x:c>
      <x:c r="O328" s="46" t="str">
        <x:v>近位、远位只修正该交换需求进入亲密关系核心的可能；不得据此判断具体伴侣现实中一定配合。</x:v>
      </x:c>
      <x:c r="P328" s="46" t="str">
        <x:v>根气只修正用户交换需求和通道是否稳定重复，不等于双方已形成成熟互惠。</x:v>
      </x:c>
      <x:c r="Q328" s="46" t="str">
        <x:v>旺弱只修正通道调用强度、抢位或缺位风险，不直接等于交换公平或关系质量。</x:v>
      </x:c>
      <x:c r="R328" s="46" t="str">
        <x:v>喜忌只修正调用顺畅度与摩擦，不可直接翻译为理想伴侣五行、十神或必然互补。</x:v>
      </x:c>
      <x:c r="S328" s="46" t="str">
        <x:v>真合化成立时按化神功能重算用户交换需求；合化争议时停止细化交换通道。</x:v>
      </x:c>
      <x:c r="T328" s="46" t="str">
        <x:v>近位提高该交换议题进入关系核心的可能；远位只保留背景或阶段性观察。</x:v>
      </x:c>
      <x:c r="U328" s="46" t="str">
        <x:v>95</x:v>
      </x:c>
      <x:c r="V328" s="46" t="str">
        <x:v>EB风险 +12</x:v>
      </x:c>
      <x:c r="W328" s="46" t="str">
        <x:v>pseudo_reciprocity_warning</x:v>
      </x:c>
      <x:c r="X328" s="46" t="str">
        <x:v>只有马上回应才被认为在意，延迟或错峰被视为冷淡。</x:v>
      </x:c>
      <x:c r="Y328" s="46" t="str">
        <x:v>回馈可以错峰，但必须有清楚的时间结构和真实回流。</x:v>
      </x:c>
      <x:c r="Z32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28" s="46" t="str">
        <x:v>高</x:v>
      </x:c>
      <x:c r="AB328" s="46" t="str">
        <x:v>待验证</x:v>
      </x:c>
      <x:c r="AC328" s="46" t="str"/>
      <x:c r="AD328" s="46" t="str">
        <x:v>exchange_blindspot=EB08; provisional=true; rule_group=EXCHANGE-EB伪互惠</x:v>
      </x:c>
      <x:c r="AE328" s="46" t="str">
        <x:v>0.4</x:v>
      </x:c>
    </x:row>
    <x:row r="329" ht="50" customHeight="1">
      <x:c r="A329" s="46" t="str">
        <x:v>M5-EXCHANGE-328</x:v>
      </x:c>
      <x:c r="B329" s="46" t="str">
        <x:v>EB08 即时回报等于健康互惠｜证据缺口</x:v>
      </x:c>
      <x:c r="C329" s="46" t="str">
        <x:v>L6 交换误读与伪互惠</x:v>
      </x:c>
      <x:c r="D329" s="46" t="str">
        <x:v>EXCHANGE-EB伪互惠</x:v>
      </x:c>
      <x:c r="E329" s="46" t="str">
        <x:v>通用</x:v>
      </x:c>
      <x:c r="F329" s="46" t="str">
        <x:v>证据</x:v>
      </x:c>
      <x:c r="G329" s="46" t="str">
        <x:v>EB08</x:v>
      </x:c>
      <x:c r="H329" s="46" t="str">
        <x:v>即时回报等于健康互惠</x:v>
      </x:c>
      <x:c r="I329" s="46" t="str">
        <x:v>准备判断交换公平或成熟。</x:v>
      </x:c>
      <x:c r="J329" s="46" t="str">
        <x:v>对应维度已跨场景验证。</x:v>
      </x:c>
      <x:c r="K329" s="46" t="str">
        <x:v>由共享基础引擎、M3与M5-BASE提供；只修正用户怎样给予、请求、接收和回馈，不直接判断双方现实交换质量。</x:v>
      </x:c>
      <x:c r="L329" s="46" t="str">
        <x:v>M2只说明进入关系所需资格证据；不能替代长期双向交换、负荷与修复验证。</x:v>
      </x:c>
      <x:c r="M329" s="46" t="str">
        <x:v>M3-BASE、EXPR、CARE和BOUND提供用户自然互动通道；M5-EXCHANGE负责把两人的实际行为合成为交换结构。</x:v>
      </x:c>
      <x:c r="N329" s="46" t="str">
        <x:v>无／按本规则指定的给予—请求—接收—反馈—重订路径路由。</x:v>
      </x:c>
      <x:c r="O329" s="46" t="str">
        <x:v>近位、远位只修正该交换需求进入亲密关系核心的可能；不得据此判断具体伴侣现实中一定配合。</x:v>
      </x:c>
      <x:c r="P329" s="46" t="str">
        <x:v>根气只修正用户交换需求和通道是否稳定重复，不等于双方已形成成熟互惠。</x:v>
      </x:c>
      <x:c r="Q329" s="46" t="str">
        <x:v>旺弱只修正通道调用强度、抢位或缺位风险，不直接等于交换公平或关系质量。</x:v>
      </x:c>
      <x:c r="R329" s="46" t="str">
        <x:v>喜忌只修正调用顺畅度与摩擦，不可直接翻译为理想伴侣五行、十神或必然互补。</x:v>
      </x:c>
      <x:c r="S329" s="46" t="str">
        <x:v>真合化成立时按化神功能重算用户交换需求；合化争议时停止细化交换通道。</x:v>
      </x:c>
      <x:c r="T329" s="46" t="str">
        <x:v>近位提高该交换议题进入关系核心的可能；远位只保留背景或阶段性观察。</x:v>
      </x:c>
      <x:c r="U329" s="46" t="str">
        <x:v>90</x:v>
      </x:c>
      <x:c r="V329" s="46" t="str">
        <x:v>-12／停止升级</x:v>
      </x:c>
      <x:c r="W329" s="46" t="str">
        <x:v>counterevidence</x:v>
      </x:c>
      <x:c r="X329" s="46" t="str">
        <x:v>确认回馈时间、领域和现实条件。</x:v>
      </x:c>
      <x:c r="Y329" s="46" t="str">
        <x:v>需要补看：确认回馈时间、领域和现实条件。</x:v>
      </x:c>
      <x:c r="Z32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29" s="46" t="str">
        <x:v>中高</x:v>
      </x:c>
      <x:c r="AB329" s="46" t="str">
        <x:v>待验证</x:v>
      </x:c>
      <x:c r="AC329" s="46" t="str"/>
      <x:c r="AD329" s="46" t="str">
        <x:v>exchange_blindspot=EB08; provisional=true; rule_group=EXCHANGE-EB伪互惠</x:v>
      </x:c>
      <x:c r="AE329" s="46" t="str">
        <x:v>0.4</x:v>
      </x:c>
    </x:row>
    <x:row r="330" ht="50" customHeight="1">
      <x:c r="A330" s="46" t="str">
        <x:v>M5-EXCHANGE-329</x:v>
      </x:c>
      <x:c r="B330" s="46" t="str">
        <x:v>EB08 即时回报等于健康互惠｜纠偏与观察</x:v>
      </x:c>
      <x:c r="C330" s="46" t="str">
        <x:v>L6 交换误读与伪互惠</x:v>
      </x:c>
      <x:c r="D330" s="46" t="str">
        <x:v>EXCHANGE-EB伪互惠</x:v>
      </x:c>
      <x:c r="E330" s="46" t="str">
        <x:v>通用</x:v>
      </x:c>
      <x:c r="F330" s="46" t="str">
        <x:v>路由</x:v>
      </x:c>
      <x:c r="G330" s="46" t="str">
        <x:v>EB08</x:v>
      </x:c>
      <x:c r="H330" s="46" t="str">
        <x:v>即时回报等于健康互惠</x:v>
      </x:c>
      <x:c r="I330" s="46" t="str">
        <x:v>EB候选成立。</x:v>
      </x:c>
      <x:c r="J330" s="46" t="str">
        <x:v>PR0安全事件优先停止。</x:v>
      </x:c>
      <x:c r="K330" s="46" t="str">
        <x:v>由共享基础引擎、M3与M5-BASE提供；只修正用户怎样给予、请求、接收和回馈，不直接判断双方现实交换质量。</x:v>
      </x:c>
      <x:c r="L330" s="46" t="str">
        <x:v>M2只说明进入关系所需资格证据；不能替代长期双向交换、负荷与修复验证。</x:v>
      </x:c>
      <x:c r="M330" s="46" t="str">
        <x:v>M3-BASE、EXPR、CARE和BOUND提供用户自然互动通道；M5-EXCHANGE负责把两人的实际行为合成为交换结构。</x:v>
      </x:c>
      <x:c r="N330" s="46" t="str">
        <x:v>无／按本规则指定的给予—请求—接收—反馈—重订路径路由。</x:v>
      </x:c>
      <x:c r="O330" s="46" t="str">
        <x:v>近位、远位只修正该交换需求进入亲密关系核心的可能；不得据此判断具体伴侣现实中一定配合。</x:v>
      </x:c>
      <x:c r="P330" s="46" t="str">
        <x:v>根气只修正用户交换需求和通道是否稳定重复，不等于双方已形成成熟互惠。</x:v>
      </x:c>
      <x:c r="Q330" s="46" t="str">
        <x:v>旺弱只修正通道调用强度、抢位或缺位风险，不直接等于交换公平或关系质量。</x:v>
      </x:c>
      <x:c r="R330" s="46" t="str">
        <x:v>喜忌只修正调用顺畅度与摩擦，不可直接翻译为理想伴侣五行、十神或必然互补。</x:v>
      </x:c>
      <x:c r="S330" s="46" t="str">
        <x:v>真合化成立时按化神功能重算用户交换需求；合化争议时停止细化交换通道。</x:v>
      </x:c>
      <x:c r="T330" s="46" t="str">
        <x:v>近位提高该交换议题进入关系核心的可能；远位只保留背景或阶段性观察。</x:v>
      </x:c>
      <x:c r="U330" s="46" t="str">
        <x:v>84</x:v>
      </x:c>
      <x:c r="V330" s="46" t="str">
        <x:v>不加分；观察路由</x:v>
      </x:c>
      <x:c r="W330" s="46" t="str">
        <x:v>observation_plan</x:v>
      </x:c>
      <x:c r="X330" s="46" t="str">
        <x:v>确认回馈时间、领域和现实条件。</x:v>
      </x:c>
      <x:c r="Y330" s="46" t="str">
        <x:v>纠偏时要：确认回馈时间、领域和现实条件。</x:v>
      </x:c>
      <x:c r="Z33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30" s="46" t="str">
        <x:v>中高</x:v>
      </x:c>
      <x:c r="AB330" s="46" t="str">
        <x:v>待验证</x:v>
      </x:c>
      <x:c r="AC330" s="46" t="str"/>
      <x:c r="AD330" s="46" t="str">
        <x:v>exchange_blindspot=EB08; provisional=true; rule_group=EXCHANGE-EB伪互惠</x:v>
      </x:c>
      <x:c r="AE330" s="46" t="str">
        <x:v>0.4</x:v>
      </x:c>
    </x:row>
    <x:row r="331" ht="50" customHeight="1">
      <x:c r="A331" s="46" t="str">
        <x:v>M5-EXCHANGE-330</x:v>
      </x:c>
      <x:c r="B331" s="46" t="str">
        <x:v>EB08 即时回报等于健康互惠｜用户解释</x:v>
      </x:c>
      <x:c r="C331" s="46" t="str">
        <x:v>L6 交换误读与伪互惠</x:v>
      </x:c>
      <x:c r="D331" s="46" t="str">
        <x:v>EXCHANGE-EB伪互惠</x:v>
      </x:c>
      <x:c r="E331" s="46" t="str">
        <x:v>通用</x:v>
      </x:c>
      <x:c r="F331" s="46" t="str">
        <x:v>输出</x:v>
      </x:c>
      <x:c r="G331" s="46" t="str">
        <x:v>EB08</x:v>
      </x:c>
      <x:c r="H331" s="46" t="str">
        <x:v>即时回报等于健康互惠</x:v>
      </x:c>
      <x:c r="I331" s="46" t="str">
        <x:v>完成EB判断。</x:v>
      </x:c>
      <x:c r="J331" s="46" t="str">
        <x:v>资料不足以区分。</x:v>
      </x:c>
      <x:c r="K331" s="46" t="str">
        <x:v>由共享基础引擎、M3与M5-BASE提供；只修正用户怎样给予、请求、接收和回馈，不直接判断双方现实交换质量。</x:v>
      </x:c>
      <x:c r="L331" s="46" t="str">
        <x:v>M2只说明进入关系所需资格证据；不能替代长期双向交换、负荷与修复验证。</x:v>
      </x:c>
      <x:c r="M331" s="46" t="str">
        <x:v>M3-BASE、EXPR、CARE和BOUND提供用户自然互动通道；M5-EXCHANGE负责把两人的实际行为合成为交换结构。</x:v>
      </x:c>
      <x:c r="N331" s="46" t="str">
        <x:v>无／按本规则指定的给予—请求—接收—反馈—重订路径路由。</x:v>
      </x:c>
      <x:c r="O331" s="46" t="str">
        <x:v>近位、远位只修正该交换需求进入亲密关系核心的可能；不得据此判断具体伴侣现实中一定配合。</x:v>
      </x:c>
      <x:c r="P331" s="46" t="str">
        <x:v>根气只修正用户交换需求和通道是否稳定重复，不等于双方已形成成熟互惠。</x:v>
      </x:c>
      <x:c r="Q331" s="46" t="str">
        <x:v>旺弱只修正通道调用强度、抢位或缺位风险，不直接等于交换公平或关系质量。</x:v>
      </x:c>
      <x:c r="R331" s="46" t="str">
        <x:v>喜忌只修正调用顺畅度与摩擦，不可直接翻译为理想伴侣五行、十神或必然互补。</x:v>
      </x:c>
      <x:c r="S331" s="46" t="str">
        <x:v>真合化成立时按化神功能重算用户交换需求；合化争议时停止细化交换通道。</x:v>
      </x:c>
      <x:c r="T331" s="46" t="str">
        <x:v>近位提高该交换议题进入关系核心的可能；远位只保留背景或阶段性观察。</x:v>
      </x:c>
      <x:c r="U331" s="46" t="str">
        <x:v>76</x:v>
      </x:c>
      <x:c r="V331" s="46" t="str">
        <x:v>不加分；输出</x:v>
      </x:c>
      <x:c r="W331" s="46" t="str">
        <x:v>report_text</x:v>
      </x:c>
      <x:c r="X331" s="46" t="str">
        <x:v>回馈可以错峰，但必须有清楚的时间结构和真实回流。</x:v>
      </x:c>
      <x:c r="Y331" s="46" t="str">
        <x:v>回馈可以错峰，但必须有清楚的时间结构和真实回流。</x:v>
      </x:c>
      <x:c r="Z33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31" s="46" t="str">
        <x:v>中高</x:v>
      </x:c>
      <x:c r="AB331" s="46" t="str">
        <x:v>待验证</x:v>
      </x:c>
      <x:c r="AC331" s="46" t="str"/>
      <x:c r="AD331" s="46" t="str">
        <x:v>exchange_blindspot=EB08; provisional=true; rule_group=EXCHANGE-EB伪互惠</x:v>
      </x:c>
      <x:c r="AE331" s="46" t="str">
        <x:v>0.4</x:v>
      </x:c>
    </x:row>
    <x:row r="332" ht="50" customHeight="1">
      <x:c r="A332" s="46" t="str">
        <x:v>M5-EXCHANGE-331</x:v>
      </x:c>
      <x:c r="B332" s="46" t="str">
        <x:v>EB09 物质／行动补偿等于情绪修复｜正式定义</x:v>
      </x:c>
      <x:c r="C332" s="46" t="str">
        <x:v>L6 交换误读与伪互惠</x:v>
      </x:c>
      <x:c r="D332" s="46" t="str">
        <x:v>EXCHANGE-EB伪互惠</x:v>
      </x:c>
      <x:c r="E332" s="46" t="str">
        <x:v>通用</x:v>
      </x:c>
      <x:c r="F332" s="46" t="str">
        <x:v>伪互惠</x:v>
      </x:c>
      <x:c r="G332" s="46" t="str">
        <x:v>EB09</x:v>
      </x:c>
      <x:c r="H332" s="46" t="str">
        <x:v>物质／行动补偿等于情绪修复</x:v>
      </x:c>
      <x:c r="I332" s="46" t="str">
        <x:v>出现相关判断偏差或交换争议。</x:v>
      </x:c>
      <x:c r="J332" s="46" t="str">
        <x:v>XV6—XV7现实资料已经排除。</x:v>
      </x:c>
      <x:c r="K332" s="46" t="str">
        <x:v>由共享基础引擎、M3与M5-BASE提供；只修正用户怎样给予、请求、接收和回馈，不直接判断双方现实交换质量。</x:v>
      </x:c>
      <x:c r="L332" s="46" t="str">
        <x:v>M2只说明进入关系所需资格证据；不能替代长期双向交换、负荷与修复验证。</x:v>
      </x:c>
      <x:c r="M332" s="46" t="str">
        <x:v>M3-BASE、EXPR、CARE和BOUND提供用户自然互动通道；M5-EXCHANGE负责把两人的实际行为合成为交换结构。</x:v>
      </x:c>
      <x:c r="N332" s="46" t="str">
        <x:v>无／按本规则指定的给予—请求—接收—反馈—重订路径路由。</x:v>
      </x:c>
      <x:c r="O332" s="46" t="str">
        <x:v>近位、远位只修正该交换需求进入亲密关系核心的可能；不得据此判断具体伴侣现实中一定配合。</x:v>
      </x:c>
      <x:c r="P332" s="46" t="str">
        <x:v>根气只修正用户交换需求和通道是否稳定重复，不等于双方已形成成熟互惠。</x:v>
      </x:c>
      <x:c r="Q332" s="46" t="str">
        <x:v>旺弱只修正通道调用强度、抢位或缺位风险，不直接等于交换公平或关系质量。</x:v>
      </x:c>
      <x:c r="R332" s="46" t="str">
        <x:v>喜忌只修正调用顺畅度与摩擦，不可直接翻译为理想伴侣五行、十神或必然互补。</x:v>
      </x:c>
      <x:c r="S332" s="46" t="str">
        <x:v>真合化成立时按化神功能重算用户交换需求；合化争议时停止细化交换通道。</x:v>
      </x:c>
      <x:c r="T332" s="46" t="str">
        <x:v>近位提高该交换议题进入关系核心的可能；远位只保留背景或阶段性观察。</x:v>
      </x:c>
      <x:c r="U332" s="46" t="str">
        <x:v>95</x:v>
      </x:c>
      <x:c r="V332" s="46" t="str">
        <x:v>EB风险 +12</x:v>
      </x:c>
      <x:c r="W332" s="46" t="str">
        <x:v>pseudo_reciprocity_warning</x:v>
      </x:c>
      <x:c r="X332" s="46" t="str">
        <x:v>礼物、帮忙、解决问题被当成影响已经被理解。</x:v>
      </x:c>
      <x:c r="Y332" s="46" t="str">
        <x:v>补偿可能有价值，但不能替代接收反馈和关系修复。</x:v>
      </x:c>
      <x:c r="Z33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32" s="46" t="str">
        <x:v>高</x:v>
      </x:c>
      <x:c r="AB332" s="46" t="str">
        <x:v>待验证</x:v>
      </x:c>
      <x:c r="AC332" s="46" t="str"/>
      <x:c r="AD332" s="46" t="str">
        <x:v>exchange_blindspot=EB09; provisional=true; rule_group=EXCHANGE-EB伪互惠</x:v>
      </x:c>
      <x:c r="AE332" s="46" t="str">
        <x:v>0.4</x:v>
      </x:c>
    </x:row>
    <x:row r="333" ht="50" customHeight="1">
      <x:c r="A333" s="46" t="str">
        <x:v>M5-EXCHANGE-332</x:v>
      </x:c>
      <x:c r="B333" s="46" t="str">
        <x:v>EB09 物质／行动补偿等于情绪修复｜证据缺口</x:v>
      </x:c>
      <x:c r="C333" s="46" t="str">
        <x:v>L6 交换误读与伪互惠</x:v>
      </x:c>
      <x:c r="D333" s="46" t="str">
        <x:v>EXCHANGE-EB伪互惠</x:v>
      </x:c>
      <x:c r="E333" s="46" t="str">
        <x:v>通用</x:v>
      </x:c>
      <x:c r="F333" s="46" t="str">
        <x:v>证据</x:v>
      </x:c>
      <x:c r="G333" s="46" t="str">
        <x:v>EB09</x:v>
      </x:c>
      <x:c r="H333" s="46" t="str">
        <x:v>物质／行动补偿等于情绪修复</x:v>
      </x:c>
      <x:c r="I333" s="46" t="str">
        <x:v>准备判断交换公平或成熟。</x:v>
      </x:c>
      <x:c r="J333" s="46" t="str">
        <x:v>对应维度已跨场景验证。</x:v>
      </x:c>
      <x:c r="K333" s="46" t="str">
        <x:v>由共享基础引擎、M3与M5-BASE提供；只修正用户怎样给予、请求、接收和回馈，不直接判断双方现实交换质量。</x:v>
      </x:c>
      <x:c r="L333" s="46" t="str">
        <x:v>M2只说明进入关系所需资格证据；不能替代长期双向交换、负荷与修复验证。</x:v>
      </x:c>
      <x:c r="M333" s="46" t="str">
        <x:v>M3-BASE、EXPR、CARE和BOUND提供用户自然互动通道；M5-EXCHANGE负责把两人的实际行为合成为交换结构。</x:v>
      </x:c>
      <x:c r="N333" s="46" t="str">
        <x:v>无／按本规则指定的给予—请求—接收—反馈—重订路径路由。</x:v>
      </x:c>
      <x:c r="O333" s="46" t="str">
        <x:v>近位、远位只修正该交换需求进入亲密关系核心的可能；不得据此判断具体伴侣现实中一定配合。</x:v>
      </x:c>
      <x:c r="P333" s="46" t="str">
        <x:v>根气只修正用户交换需求和通道是否稳定重复，不等于双方已形成成熟互惠。</x:v>
      </x:c>
      <x:c r="Q333" s="46" t="str">
        <x:v>旺弱只修正通道调用强度、抢位或缺位风险，不直接等于交换公平或关系质量。</x:v>
      </x:c>
      <x:c r="R333" s="46" t="str">
        <x:v>喜忌只修正调用顺畅度与摩擦，不可直接翻译为理想伴侣五行、十神或必然互补。</x:v>
      </x:c>
      <x:c r="S333" s="46" t="str">
        <x:v>真合化成立时按化神功能重算用户交换需求；合化争议时停止细化交换通道。</x:v>
      </x:c>
      <x:c r="T333" s="46" t="str">
        <x:v>近位提高该交换议题进入关系核心的可能；远位只保留背景或阶段性观察。</x:v>
      </x:c>
      <x:c r="U333" s="46" t="str">
        <x:v>90</x:v>
      </x:c>
      <x:c r="V333" s="46" t="str">
        <x:v>-12／停止升级</x:v>
      </x:c>
      <x:c r="W333" s="46" t="str">
        <x:v>counterevidence</x:v>
      </x:c>
      <x:c r="X333" s="46" t="str">
        <x:v>分别完成情绪、责任、边界和现实调整。</x:v>
      </x:c>
      <x:c r="Y333" s="46" t="str">
        <x:v>需要补看：分别完成情绪、责任、边界和现实调整。</x:v>
      </x:c>
      <x:c r="Z33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33" s="46" t="str">
        <x:v>中高</x:v>
      </x:c>
      <x:c r="AB333" s="46" t="str">
        <x:v>待验证</x:v>
      </x:c>
      <x:c r="AC333" s="46" t="str"/>
      <x:c r="AD333" s="46" t="str">
        <x:v>exchange_blindspot=EB09; provisional=true; rule_group=EXCHANGE-EB伪互惠</x:v>
      </x:c>
      <x:c r="AE333" s="46" t="str">
        <x:v>0.4</x:v>
      </x:c>
    </x:row>
    <x:row r="334" ht="50" customHeight="1">
      <x:c r="A334" s="46" t="str">
        <x:v>M5-EXCHANGE-333</x:v>
      </x:c>
      <x:c r="B334" s="46" t="str">
        <x:v>EB09 物质／行动补偿等于情绪修复｜纠偏与观察</x:v>
      </x:c>
      <x:c r="C334" s="46" t="str">
        <x:v>L6 交换误读与伪互惠</x:v>
      </x:c>
      <x:c r="D334" s="46" t="str">
        <x:v>EXCHANGE-EB伪互惠</x:v>
      </x:c>
      <x:c r="E334" s="46" t="str">
        <x:v>通用</x:v>
      </x:c>
      <x:c r="F334" s="46" t="str">
        <x:v>路由</x:v>
      </x:c>
      <x:c r="G334" s="46" t="str">
        <x:v>EB09</x:v>
      </x:c>
      <x:c r="H334" s="46" t="str">
        <x:v>物质／行动补偿等于情绪修复</x:v>
      </x:c>
      <x:c r="I334" s="46" t="str">
        <x:v>EB候选成立。</x:v>
      </x:c>
      <x:c r="J334" s="46" t="str">
        <x:v>PR0安全事件优先停止。</x:v>
      </x:c>
      <x:c r="K334" s="46" t="str">
        <x:v>由共享基础引擎、M3与M5-BASE提供；只修正用户怎样给予、请求、接收和回馈，不直接判断双方现实交换质量。</x:v>
      </x:c>
      <x:c r="L334" s="46" t="str">
        <x:v>M2只说明进入关系所需资格证据；不能替代长期双向交换、负荷与修复验证。</x:v>
      </x:c>
      <x:c r="M334" s="46" t="str">
        <x:v>M3-BASE、EXPR、CARE和BOUND提供用户自然互动通道；M5-EXCHANGE负责把两人的实际行为合成为交换结构。</x:v>
      </x:c>
      <x:c r="N334" s="46" t="str">
        <x:v>无／按本规则指定的给予—请求—接收—反馈—重订路径路由。</x:v>
      </x:c>
      <x:c r="O334" s="46" t="str">
        <x:v>近位、远位只修正该交换需求进入亲密关系核心的可能；不得据此判断具体伴侣现实中一定配合。</x:v>
      </x:c>
      <x:c r="P334" s="46" t="str">
        <x:v>根气只修正用户交换需求和通道是否稳定重复，不等于双方已形成成熟互惠。</x:v>
      </x:c>
      <x:c r="Q334" s="46" t="str">
        <x:v>旺弱只修正通道调用强度、抢位或缺位风险，不直接等于交换公平或关系质量。</x:v>
      </x:c>
      <x:c r="R334" s="46" t="str">
        <x:v>喜忌只修正调用顺畅度与摩擦，不可直接翻译为理想伴侣五行、十神或必然互补。</x:v>
      </x:c>
      <x:c r="S334" s="46" t="str">
        <x:v>真合化成立时按化神功能重算用户交换需求；合化争议时停止细化交换通道。</x:v>
      </x:c>
      <x:c r="T334" s="46" t="str">
        <x:v>近位提高该交换议题进入关系核心的可能；远位只保留背景或阶段性观察。</x:v>
      </x:c>
      <x:c r="U334" s="46" t="str">
        <x:v>84</x:v>
      </x:c>
      <x:c r="V334" s="46" t="str">
        <x:v>不加分；观察路由</x:v>
      </x:c>
      <x:c r="W334" s="46" t="str">
        <x:v>observation_plan</x:v>
      </x:c>
      <x:c r="X334" s="46" t="str">
        <x:v>分别完成情绪、责任、边界和现实调整。</x:v>
      </x:c>
      <x:c r="Y334" s="46" t="str">
        <x:v>纠偏时要：分别完成情绪、责任、边界和现实调整。</x:v>
      </x:c>
      <x:c r="Z33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34" s="46" t="str">
        <x:v>中高</x:v>
      </x:c>
      <x:c r="AB334" s="46" t="str">
        <x:v>待验证</x:v>
      </x:c>
      <x:c r="AC334" s="46" t="str"/>
      <x:c r="AD334" s="46" t="str">
        <x:v>exchange_blindspot=EB09; provisional=true; rule_group=EXCHANGE-EB伪互惠</x:v>
      </x:c>
      <x:c r="AE334" s="46" t="str">
        <x:v>0.4</x:v>
      </x:c>
    </x:row>
    <x:row r="335" ht="50" customHeight="1">
      <x:c r="A335" s="46" t="str">
        <x:v>M5-EXCHANGE-334</x:v>
      </x:c>
      <x:c r="B335" s="46" t="str">
        <x:v>EB09 物质／行动补偿等于情绪修复｜用户解释</x:v>
      </x:c>
      <x:c r="C335" s="46" t="str">
        <x:v>L6 交换误读与伪互惠</x:v>
      </x:c>
      <x:c r="D335" s="46" t="str">
        <x:v>EXCHANGE-EB伪互惠</x:v>
      </x:c>
      <x:c r="E335" s="46" t="str">
        <x:v>通用</x:v>
      </x:c>
      <x:c r="F335" s="46" t="str">
        <x:v>输出</x:v>
      </x:c>
      <x:c r="G335" s="46" t="str">
        <x:v>EB09</x:v>
      </x:c>
      <x:c r="H335" s="46" t="str">
        <x:v>物质／行动补偿等于情绪修复</x:v>
      </x:c>
      <x:c r="I335" s="46" t="str">
        <x:v>完成EB判断。</x:v>
      </x:c>
      <x:c r="J335" s="46" t="str">
        <x:v>资料不足以区分。</x:v>
      </x:c>
      <x:c r="K335" s="46" t="str">
        <x:v>由共享基础引擎、M3与M5-BASE提供；只修正用户怎样给予、请求、接收和回馈，不直接判断双方现实交换质量。</x:v>
      </x:c>
      <x:c r="L335" s="46" t="str">
        <x:v>M2只说明进入关系所需资格证据；不能替代长期双向交换、负荷与修复验证。</x:v>
      </x:c>
      <x:c r="M335" s="46" t="str">
        <x:v>M3-BASE、EXPR、CARE和BOUND提供用户自然互动通道；M5-EXCHANGE负责把两人的实际行为合成为交换结构。</x:v>
      </x:c>
      <x:c r="N335" s="46" t="str">
        <x:v>无／按本规则指定的给予—请求—接收—反馈—重订路径路由。</x:v>
      </x:c>
      <x:c r="O335" s="46" t="str">
        <x:v>近位、远位只修正该交换需求进入亲密关系核心的可能；不得据此判断具体伴侣现实中一定配合。</x:v>
      </x:c>
      <x:c r="P335" s="46" t="str">
        <x:v>根气只修正用户交换需求和通道是否稳定重复，不等于双方已形成成熟互惠。</x:v>
      </x:c>
      <x:c r="Q335" s="46" t="str">
        <x:v>旺弱只修正通道调用强度、抢位或缺位风险，不直接等于交换公平或关系质量。</x:v>
      </x:c>
      <x:c r="R335" s="46" t="str">
        <x:v>喜忌只修正调用顺畅度与摩擦，不可直接翻译为理想伴侣五行、十神或必然互补。</x:v>
      </x:c>
      <x:c r="S335" s="46" t="str">
        <x:v>真合化成立时按化神功能重算用户交换需求；合化争议时停止细化交换通道。</x:v>
      </x:c>
      <x:c r="T335" s="46" t="str">
        <x:v>近位提高该交换议题进入关系核心的可能；远位只保留背景或阶段性观察。</x:v>
      </x:c>
      <x:c r="U335" s="46" t="str">
        <x:v>76</x:v>
      </x:c>
      <x:c r="V335" s="46" t="str">
        <x:v>不加分；输出</x:v>
      </x:c>
      <x:c r="W335" s="46" t="str">
        <x:v>report_text</x:v>
      </x:c>
      <x:c r="X335" s="46" t="str">
        <x:v>补偿可能有价值，但不能替代接收反馈和关系修复。</x:v>
      </x:c>
      <x:c r="Y335" s="46" t="str">
        <x:v>补偿可能有价值，但不能替代接收反馈和关系修复。</x:v>
      </x:c>
      <x:c r="Z33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35" s="46" t="str">
        <x:v>中高</x:v>
      </x:c>
      <x:c r="AB335" s="46" t="str">
        <x:v>待验证</x:v>
      </x:c>
      <x:c r="AC335" s="46" t="str"/>
      <x:c r="AD335" s="46" t="str">
        <x:v>exchange_blindspot=EB09; provisional=true; rule_group=EXCHANGE-EB伪互惠</x:v>
      </x:c>
      <x:c r="AE335" s="46" t="str">
        <x:v>0.4</x:v>
      </x:c>
    </x:row>
    <x:row r="336" ht="50" customHeight="1">
      <x:c r="A336" s="46" t="str">
        <x:v>M5-EXCHANGE-335</x:v>
      </x:c>
      <x:c r="B336" s="46" t="str">
        <x:v>EB10 暂时不对称等于长期模式｜正式定义</x:v>
      </x:c>
      <x:c r="C336" s="46" t="str">
        <x:v>L6 交换误读与伪互惠</x:v>
      </x:c>
      <x:c r="D336" s="46" t="str">
        <x:v>EXCHANGE-EB伪互惠</x:v>
      </x:c>
      <x:c r="E336" s="46" t="str">
        <x:v>通用</x:v>
      </x:c>
      <x:c r="F336" s="46" t="str">
        <x:v>伪互惠</x:v>
      </x:c>
      <x:c r="G336" s="46" t="str">
        <x:v>EB10</x:v>
      </x:c>
      <x:c r="H336" s="46" t="str">
        <x:v>暂时不对称等于长期模式</x:v>
      </x:c>
      <x:c r="I336" s="46" t="str">
        <x:v>出现相关判断偏差或交换争议。</x:v>
      </x:c>
      <x:c r="J336" s="46" t="str">
        <x:v>XV6—XV7现实资料已经排除。</x:v>
      </x:c>
      <x:c r="K336" s="46" t="str">
        <x:v>由共享基础引擎、M3与M5-BASE提供；只修正用户怎样给予、请求、接收和回馈，不直接判断双方现实交换质量。</x:v>
      </x:c>
      <x:c r="L336" s="46" t="str">
        <x:v>M2只说明进入关系所需资格证据；不能替代长期双向交换、负荷与修复验证。</x:v>
      </x:c>
      <x:c r="M336" s="46" t="str">
        <x:v>M3-BASE、EXPR、CARE和BOUND提供用户自然互动通道；M5-EXCHANGE负责把两人的实际行为合成为交换结构。</x:v>
      </x:c>
      <x:c r="N336" s="46" t="str">
        <x:v>无／按本规则指定的给予—请求—接收—反馈—重订路径路由。</x:v>
      </x:c>
      <x:c r="O336" s="46" t="str">
        <x:v>近位、远位只修正该交换需求进入亲密关系核心的可能；不得据此判断具体伴侣现实中一定配合。</x:v>
      </x:c>
      <x:c r="P336" s="46" t="str">
        <x:v>根气只修正用户交换需求和通道是否稳定重复，不等于双方已形成成熟互惠。</x:v>
      </x:c>
      <x:c r="Q336" s="46" t="str">
        <x:v>旺弱只修正通道调用强度、抢位或缺位风险，不直接等于交换公平或关系质量。</x:v>
      </x:c>
      <x:c r="R336" s="46" t="str">
        <x:v>喜忌只修正调用顺畅度与摩擦，不可直接翻译为理想伴侣五行、十神或必然互补。</x:v>
      </x:c>
      <x:c r="S336" s="46" t="str">
        <x:v>真合化成立时按化神功能重算用户交换需求；合化争议时停止细化交换通道。</x:v>
      </x:c>
      <x:c r="T336" s="46" t="str">
        <x:v>近位提高该交换议题进入关系核心的可能；远位只保留背景或阶段性观察。</x:v>
      </x:c>
      <x:c r="U336" s="46" t="str">
        <x:v>95</x:v>
      </x:c>
      <x:c r="V336" s="46" t="str">
        <x:v>EB风险 +12</x:v>
      </x:c>
      <x:c r="W336" s="46" t="str">
        <x:v>pseudo_reciprocity_warning</x:v>
      </x:c>
      <x:c r="X336" s="46" t="str">
        <x:v>疾病、工作、育儿或危机期的负荷差异被固化为人格判断。</x:v>
      </x:c>
      <x:c r="Y336" s="46" t="str">
        <x:v>某个阶段承担更多，不等于长期都必须如此。</x:v>
      </x:c>
      <x:c r="Z33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36" s="46" t="str">
        <x:v>高</x:v>
      </x:c>
      <x:c r="AB336" s="46" t="str">
        <x:v>待验证</x:v>
      </x:c>
      <x:c r="AC336" s="46" t="str"/>
      <x:c r="AD336" s="46" t="str">
        <x:v>exchange_blindspot=EB10; provisional=true; rule_group=EXCHANGE-EB伪互惠</x:v>
      </x:c>
      <x:c r="AE336" s="46" t="str">
        <x:v>0.4</x:v>
      </x:c>
    </x:row>
    <x:row r="337" ht="50" customHeight="1">
      <x:c r="A337" s="46" t="str">
        <x:v>M5-EXCHANGE-336</x:v>
      </x:c>
      <x:c r="B337" s="46" t="str">
        <x:v>EB10 暂时不对称等于长期模式｜证据缺口</x:v>
      </x:c>
      <x:c r="C337" s="46" t="str">
        <x:v>L6 交换误读与伪互惠</x:v>
      </x:c>
      <x:c r="D337" s="46" t="str">
        <x:v>EXCHANGE-EB伪互惠</x:v>
      </x:c>
      <x:c r="E337" s="46" t="str">
        <x:v>通用</x:v>
      </x:c>
      <x:c r="F337" s="46" t="str">
        <x:v>证据</x:v>
      </x:c>
      <x:c r="G337" s="46" t="str">
        <x:v>EB10</x:v>
      </x:c>
      <x:c r="H337" s="46" t="str">
        <x:v>暂时不对称等于长期模式</x:v>
      </x:c>
      <x:c r="I337" s="46" t="str">
        <x:v>准备判断交换公平或成熟。</x:v>
      </x:c>
      <x:c r="J337" s="46" t="str">
        <x:v>对应维度已跨场景验证。</x:v>
      </x:c>
      <x:c r="K337" s="46" t="str">
        <x:v>由共享基础引擎、M3与M5-BASE提供；只修正用户怎样给予、请求、接收和回馈，不直接判断双方现实交换质量。</x:v>
      </x:c>
      <x:c r="L337" s="46" t="str">
        <x:v>M2只说明进入关系所需资格证据；不能替代长期双向交换、负荷与修复验证。</x:v>
      </x:c>
      <x:c r="M337" s="46" t="str">
        <x:v>M3-BASE、EXPR、CARE和BOUND提供用户自然互动通道；M5-EXCHANGE负责把两人的实际行为合成为交换结构。</x:v>
      </x:c>
      <x:c r="N337" s="46" t="str">
        <x:v>无／按本规则指定的给予—请求—接收—反馈—重订路径路由。</x:v>
      </x:c>
      <x:c r="O337" s="46" t="str">
        <x:v>近位、远位只修正该交换需求进入亲密关系核心的可能；不得据此判断具体伴侣现实中一定配合。</x:v>
      </x:c>
      <x:c r="P337" s="46" t="str">
        <x:v>根气只修正用户交换需求和通道是否稳定重复，不等于双方已形成成熟互惠。</x:v>
      </x:c>
      <x:c r="Q337" s="46" t="str">
        <x:v>旺弱只修正通道调用强度、抢位或缺位风险，不直接等于交换公平或关系质量。</x:v>
      </x:c>
      <x:c r="R337" s="46" t="str">
        <x:v>喜忌只修正调用顺畅度与摩擦，不可直接翻译为理想伴侣五行、十神或必然互补。</x:v>
      </x:c>
      <x:c r="S337" s="46" t="str">
        <x:v>真合化成立时按化神功能重算用户交换需求；合化争议时停止细化交换通道。</x:v>
      </x:c>
      <x:c r="T337" s="46" t="str">
        <x:v>近位提高该交换议题进入关系核心的可能；远位只保留背景或阶段性观察。</x:v>
      </x:c>
      <x:c r="U337" s="46" t="str">
        <x:v>90</x:v>
      </x:c>
      <x:c r="V337" s="46" t="str">
        <x:v>-12／停止升级</x:v>
      </x:c>
      <x:c r="W337" s="46" t="str">
        <x:v>counterevidence</x:v>
      </x:c>
      <x:c r="X337" s="46" t="str">
        <x:v>区分阶段不对称、重订点和恢复后的结构。</x:v>
      </x:c>
      <x:c r="Y337" s="46" t="str">
        <x:v>需要补看：区分阶段不对称、重订点和恢复后的结构。</x:v>
      </x:c>
      <x:c r="Z33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37" s="46" t="str">
        <x:v>中高</x:v>
      </x:c>
      <x:c r="AB337" s="46" t="str">
        <x:v>待验证</x:v>
      </x:c>
      <x:c r="AC337" s="46" t="str"/>
      <x:c r="AD337" s="46" t="str">
        <x:v>exchange_blindspot=EB10; provisional=true; rule_group=EXCHANGE-EB伪互惠</x:v>
      </x:c>
      <x:c r="AE337" s="46" t="str">
        <x:v>0.4</x:v>
      </x:c>
    </x:row>
    <x:row r="338" ht="50" customHeight="1">
      <x:c r="A338" s="46" t="str">
        <x:v>M5-EXCHANGE-337</x:v>
      </x:c>
      <x:c r="B338" s="46" t="str">
        <x:v>EB10 暂时不对称等于长期模式｜纠偏与观察</x:v>
      </x:c>
      <x:c r="C338" s="46" t="str">
        <x:v>L6 交换误读与伪互惠</x:v>
      </x:c>
      <x:c r="D338" s="46" t="str">
        <x:v>EXCHANGE-EB伪互惠</x:v>
      </x:c>
      <x:c r="E338" s="46" t="str">
        <x:v>通用</x:v>
      </x:c>
      <x:c r="F338" s="46" t="str">
        <x:v>路由</x:v>
      </x:c>
      <x:c r="G338" s="46" t="str">
        <x:v>EB10</x:v>
      </x:c>
      <x:c r="H338" s="46" t="str">
        <x:v>暂时不对称等于长期模式</x:v>
      </x:c>
      <x:c r="I338" s="46" t="str">
        <x:v>EB候选成立。</x:v>
      </x:c>
      <x:c r="J338" s="46" t="str">
        <x:v>PR0安全事件优先停止。</x:v>
      </x:c>
      <x:c r="K338" s="46" t="str">
        <x:v>由共享基础引擎、M3与M5-BASE提供；只修正用户怎样给予、请求、接收和回馈，不直接判断双方现实交换质量。</x:v>
      </x:c>
      <x:c r="L338" s="46" t="str">
        <x:v>M2只说明进入关系所需资格证据；不能替代长期双向交换、负荷与修复验证。</x:v>
      </x:c>
      <x:c r="M338" s="46" t="str">
        <x:v>M3-BASE、EXPR、CARE和BOUND提供用户自然互动通道；M5-EXCHANGE负责把两人的实际行为合成为交换结构。</x:v>
      </x:c>
      <x:c r="N338" s="46" t="str">
        <x:v>无／按本规则指定的给予—请求—接收—反馈—重订路径路由。</x:v>
      </x:c>
      <x:c r="O338" s="46" t="str">
        <x:v>近位、远位只修正该交换需求进入亲密关系核心的可能；不得据此判断具体伴侣现实中一定配合。</x:v>
      </x:c>
      <x:c r="P338" s="46" t="str">
        <x:v>根气只修正用户交换需求和通道是否稳定重复，不等于双方已形成成熟互惠。</x:v>
      </x:c>
      <x:c r="Q338" s="46" t="str">
        <x:v>旺弱只修正通道调用强度、抢位或缺位风险，不直接等于交换公平或关系质量。</x:v>
      </x:c>
      <x:c r="R338" s="46" t="str">
        <x:v>喜忌只修正调用顺畅度与摩擦，不可直接翻译为理想伴侣五行、十神或必然互补。</x:v>
      </x:c>
      <x:c r="S338" s="46" t="str">
        <x:v>真合化成立时按化神功能重算用户交换需求；合化争议时停止细化交换通道。</x:v>
      </x:c>
      <x:c r="T338" s="46" t="str">
        <x:v>近位提高该交换议题进入关系核心的可能；远位只保留背景或阶段性观察。</x:v>
      </x:c>
      <x:c r="U338" s="46" t="str">
        <x:v>84</x:v>
      </x:c>
      <x:c r="V338" s="46" t="str">
        <x:v>不加分；观察路由</x:v>
      </x:c>
      <x:c r="W338" s="46" t="str">
        <x:v>observation_plan</x:v>
      </x:c>
      <x:c r="X338" s="46" t="str">
        <x:v>区分阶段不对称、重订点和恢复后的结构。</x:v>
      </x:c>
      <x:c r="Y338" s="46" t="str">
        <x:v>纠偏时要：区分阶段不对称、重订点和恢复后的结构。</x:v>
      </x:c>
      <x:c r="Z33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38" s="46" t="str">
        <x:v>中高</x:v>
      </x:c>
      <x:c r="AB338" s="46" t="str">
        <x:v>待验证</x:v>
      </x:c>
      <x:c r="AC338" s="46" t="str"/>
      <x:c r="AD338" s="46" t="str">
        <x:v>exchange_blindspot=EB10; provisional=true; rule_group=EXCHANGE-EB伪互惠</x:v>
      </x:c>
      <x:c r="AE338" s="46" t="str">
        <x:v>0.4</x:v>
      </x:c>
    </x:row>
    <x:row r="339" ht="50" customHeight="1">
      <x:c r="A339" s="46" t="str">
        <x:v>M5-EXCHANGE-338</x:v>
      </x:c>
      <x:c r="B339" s="46" t="str">
        <x:v>EB10 暂时不对称等于长期模式｜用户解释</x:v>
      </x:c>
      <x:c r="C339" s="46" t="str">
        <x:v>L6 交换误读与伪互惠</x:v>
      </x:c>
      <x:c r="D339" s="46" t="str">
        <x:v>EXCHANGE-EB伪互惠</x:v>
      </x:c>
      <x:c r="E339" s="46" t="str">
        <x:v>通用</x:v>
      </x:c>
      <x:c r="F339" s="46" t="str">
        <x:v>输出</x:v>
      </x:c>
      <x:c r="G339" s="46" t="str">
        <x:v>EB10</x:v>
      </x:c>
      <x:c r="H339" s="46" t="str">
        <x:v>暂时不对称等于长期模式</x:v>
      </x:c>
      <x:c r="I339" s="46" t="str">
        <x:v>完成EB判断。</x:v>
      </x:c>
      <x:c r="J339" s="46" t="str">
        <x:v>资料不足以区分。</x:v>
      </x:c>
      <x:c r="K339" s="46" t="str">
        <x:v>由共享基础引擎、M3与M5-BASE提供；只修正用户怎样给予、请求、接收和回馈，不直接判断双方现实交换质量。</x:v>
      </x:c>
      <x:c r="L339" s="46" t="str">
        <x:v>M2只说明进入关系所需资格证据；不能替代长期双向交换、负荷与修复验证。</x:v>
      </x:c>
      <x:c r="M339" s="46" t="str">
        <x:v>M3-BASE、EXPR、CARE和BOUND提供用户自然互动通道；M5-EXCHANGE负责把两人的实际行为合成为交换结构。</x:v>
      </x:c>
      <x:c r="N339" s="46" t="str">
        <x:v>无／按本规则指定的给予—请求—接收—反馈—重订路径路由。</x:v>
      </x:c>
      <x:c r="O339" s="46" t="str">
        <x:v>近位、远位只修正该交换需求进入亲密关系核心的可能；不得据此判断具体伴侣现实中一定配合。</x:v>
      </x:c>
      <x:c r="P339" s="46" t="str">
        <x:v>根气只修正用户交换需求和通道是否稳定重复，不等于双方已形成成熟互惠。</x:v>
      </x:c>
      <x:c r="Q339" s="46" t="str">
        <x:v>旺弱只修正通道调用强度、抢位或缺位风险，不直接等于交换公平或关系质量。</x:v>
      </x:c>
      <x:c r="R339" s="46" t="str">
        <x:v>喜忌只修正调用顺畅度与摩擦，不可直接翻译为理想伴侣五行、十神或必然互补。</x:v>
      </x:c>
      <x:c r="S339" s="46" t="str">
        <x:v>真合化成立时按化神功能重算用户交换需求；合化争议时停止细化交换通道。</x:v>
      </x:c>
      <x:c r="T339" s="46" t="str">
        <x:v>近位提高该交换议题进入关系核心的可能；远位只保留背景或阶段性观察。</x:v>
      </x:c>
      <x:c r="U339" s="46" t="str">
        <x:v>76</x:v>
      </x:c>
      <x:c r="V339" s="46" t="str">
        <x:v>不加分；输出</x:v>
      </x:c>
      <x:c r="W339" s="46" t="str">
        <x:v>report_text</x:v>
      </x:c>
      <x:c r="X339" s="46" t="str">
        <x:v>某个阶段承担更多，不等于长期都必须如此。</x:v>
      </x:c>
      <x:c r="Y339" s="46" t="str">
        <x:v>某个阶段承担更多，不等于长期都必须如此。</x:v>
      </x:c>
      <x:c r="Z33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39" s="46" t="str">
        <x:v>中高</x:v>
      </x:c>
      <x:c r="AB339" s="46" t="str">
        <x:v>待验证</x:v>
      </x:c>
      <x:c r="AC339" s="46" t="str"/>
      <x:c r="AD339" s="46" t="str">
        <x:v>exchange_blindspot=EB10; provisional=true; rule_group=EXCHANGE-EB伪互惠</x:v>
      </x:c>
      <x:c r="AE339" s="46" t="str">
        <x:v>0.4</x:v>
      </x:c>
    </x:row>
    <x:row r="340" ht="50" customHeight="1">
      <x:c r="A340" s="46" t="str">
        <x:v>M5-EXCHANGE-339</x:v>
      </x:c>
      <x:c r="B340" s="46" t="str">
        <x:v>XD01 情绪倾听与安抚｜领域定义</x:v>
      </x:c>
      <x:c r="C340" s="46" t="str">
        <x:v>L7 交换领域</x:v>
      </x:c>
      <x:c r="D340" s="46" t="str">
        <x:v>EXCHANGE-XD领域</x:v>
      </x:c>
      <x:c r="E340" s="46" t="str">
        <x:v>通用</x:v>
      </x:c>
      <x:c r="F340" s="46" t="str">
        <x:v>定义</x:v>
      </x:c>
      <x:c r="G340" s="46" t="str">
        <x:v>XD01</x:v>
      </x:c>
      <x:c r="H340" s="46" t="str">
        <x:v>情绪倾听与安抚</x:v>
      </x:c>
      <x:c r="I340" s="46" t="str">
        <x:v>分析双方在该领域的交换。</x:v>
      </x:c>
      <x:c r="J340" s="46" t="str">
        <x:v>无</x:v>
      </x:c>
      <x:c r="K340" s="46" t="str">
        <x:v>由共享基础引擎、M3与M5-BASE提供；只修正用户怎样给予、请求、接收和回馈，不直接判断双方现实交换质量。</x:v>
      </x:c>
      <x:c r="L340" s="46" t="str">
        <x:v>M2只说明进入关系所需资格证据；不能替代长期双向交换、负荷与修复验证。</x:v>
      </x:c>
      <x:c r="M340" s="46" t="str">
        <x:v>M3-BASE、EXPR、CARE和BOUND提供用户自然互动通道；M5-EXCHANGE负责把两人的实际行为合成为交换结构。</x:v>
      </x:c>
      <x:c r="N340" s="46" t="str">
        <x:v>无／按本规则指定的给予—请求—接收—反馈—重订路径路由。</x:v>
      </x:c>
      <x:c r="O340" s="46" t="str">
        <x:v>近位、远位只修正该交换需求进入亲密关系核心的可能；不得据此判断具体伴侣现实中一定配合。</x:v>
      </x:c>
      <x:c r="P340" s="46" t="str">
        <x:v>根气只修正用户交换需求和通道是否稳定重复，不等于双方已形成成熟互惠。</x:v>
      </x:c>
      <x:c r="Q340" s="46" t="str">
        <x:v>旺弱只修正通道调用强度、抢位或缺位风险，不直接等于交换公平或关系质量。</x:v>
      </x:c>
      <x:c r="R340" s="46" t="str">
        <x:v>喜忌只修正调用顺畅度与摩擦，不可直接翻译为理想伴侣五行、十神或必然互补。</x:v>
      </x:c>
      <x:c r="S340" s="46" t="str">
        <x:v>真合化成立时按化神功能重算用户交换需求；合化争议时停止细化交换通道。</x:v>
      </x:c>
      <x:c r="T340" s="46" t="str">
        <x:v>近位提高该交换议题进入关系核心的可能；远位只保留背景或阶段性观察。</x:v>
      </x:c>
      <x:c r="U340" s="46" t="str">
        <x:v>88</x:v>
      </x:c>
      <x:c r="V340" s="46" t="str">
        <x:v>不加分；领域定义</x:v>
      </x:c>
      <x:c r="W340" s="46" t="str">
        <x:v>exchange_domains</x:v>
      </x:c>
      <x:c r="X340" s="46" t="str">
        <x:v>感受被听见、被理解、被安抚和被允许存在。</x:v>
      </x:c>
      <x:c r="Y340" s="46" t="str">
        <x:v>情绪倾听与安抚主要包括：感受被听见、被理解、被安抚和被允许存在。</x:v>
      </x:c>
      <x:c r="Z34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40" s="46" t="str">
        <x:v>高</x:v>
      </x:c>
      <x:c r="AB340" s="46" t="str">
        <x:v>待验证</x:v>
      </x:c>
      <x:c r="AC340" s="46" t="str"/>
      <x:c r="AD340" s="46" t="str">
        <x:v>exchange_domain=XD01; provisional=true; rule_group=EXCHANGE-XD领域</x:v>
      </x:c>
      <x:c r="AE340" s="46" t="str">
        <x:v>0.4</x:v>
      </x:c>
    </x:row>
    <x:row r="341" ht="50" customHeight="1">
      <x:c r="A341" s="46" t="str">
        <x:v>M5-EXCHANGE-340</x:v>
      </x:c>
      <x:c r="B341" s="46" t="str">
        <x:v>XD01 情绪倾听与安抚｜通道路由</x:v>
      </x:c>
      <x:c r="C341" s="46" t="str">
        <x:v>L7 交换领域</x:v>
      </x:c>
      <x:c r="D341" s="46" t="str">
        <x:v>EXCHANGE-XD领域</x:v>
      </x:c>
      <x:c r="E341" s="46" t="str">
        <x:v>通用</x:v>
      </x:c>
      <x:c r="F341" s="46" t="str">
        <x:v>路由</x:v>
      </x:c>
      <x:c r="G341" s="46" t="str">
        <x:v>XD01</x:v>
      </x:c>
      <x:c r="H341" s="46" t="str">
        <x:v>情绪倾听与安抚</x:v>
      </x:c>
      <x:c r="I341" s="46" t="str">
        <x:v>主EC或次EC与该领域相关。</x:v>
      </x:c>
      <x:c r="J341" s="46" t="str">
        <x:v>把所有EC都堆入同一领域。</x:v>
      </x:c>
      <x:c r="K341" s="46" t="str">
        <x:v>由共享基础引擎、M3与M5-BASE提供；只修正用户怎样给予、请求、接收和回馈，不直接判断双方现实交换质量。</x:v>
      </x:c>
      <x:c r="L341" s="46" t="str">
        <x:v>M2只说明进入关系所需资格证据；不能替代长期双向交换、负荷与修复验证。</x:v>
      </x:c>
      <x:c r="M341" s="46" t="str">
        <x:v>M3-BASE、EXPR、CARE和BOUND提供用户自然互动通道；M5-EXCHANGE负责把两人的实际行为合成为交换结构。</x:v>
      </x:c>
      <x:c r="N341" s="46" t="str">
        <x:v>无／按本规则指定的给予—请求—接收—反馈—重订路径路由。</x:v>
      </x:c>
      <x:c r="O341" s="46" t="str">
        <x:v>近位、远位只修正该交换需求进入亲密关系核心的可能；不得据此判断具体伴侣现实中一定配合。</x:v>
      </x:c>
      <x:c r="P341" s="46" t="str">
        <x:v>根气只修正用户交换需求和通道是否稳定重复，不等于双方已形成成熟互惠。</x:v>
      </x:c>
      <x:c r="Q341" s="46" t="str">
        <x:v>旺弱只修正通道调用强度、抢位或缺位风险，不直接等于交换公平或关系质量。</x:v>
      </x:c>
      <x:c r="R341" s="46" t="str">
        <x:v>喜忌只修正调用顺畅度与摩擦，不可直接翻译为理想伴侣五行、十神或必然互补。</x:v>
      </x:c>
      <x:c r="S341" s="46" t="str">
        <x:v>真合化成立时按化神功能重算用户交换需求；合化争议时停止细化交换通道。</x:v>
      </x:c>
      <x:c r="T341" s="46" t="str">
        <x:v>近位提高该交换议题进入关系核心的可能；远位只保留背景或阶段性观察。</x:v>
      </x:c>
      <x:c r="U341" s="46" t="str">
        <x:v>78</x:v>
      </x:c>
      <x:c r="V341" s="46" t="str">
        <x:v>EC领域路由</x:v>
      </x:c>
      <x:c r="W341" s="46" t="str">
        <x:v>primary_exchange_channel</x:v>
      </x:c>
      <x:c r="X341" s="46" t="str">
        <x:v>EC03、EC09、EC10</x:v>
      </x:c>
      <x:c r="Y341" s="46" t="str">
        <x:v>该领域常见交换通道：EC03、EC09、EC10</x:v>
      </x:c>
      <x:c r="Z34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41" s="46" t="str">
        <x:v>中</x:v>
      </x:c>
      <x:c r="AB341" s="46" t="str">
        <x:v>待验证</x:v>
      </x:c>
      <x:c r="AC341" s="46" t="str"/>
      <x:c r="AD341" s="46" t="str">
        <x:v>exchange_domain=XD01; provisional=true; rule_group=EXCHANGE-XD领域</x:v>
      </x:c>
      <x:c r="AE341" s="46" t="str">
        <x:v>0.4</x:v>
      </x:c>
    </x:row>
    <x:row r="342" ht="50" customHeight="1">
      <x:c r="A342" s="46" t="str">
        <x:v>M5-EXCHANGE-341</x:v>
      </x:c>
      <x:c r="B342" s="46" t="str">
        <x:v>XD01 情绪倾听与安抚｜关键观察</x:v>
      </x:c>
      <x:c r="C342" s="46" t="str">
        <x:v>L7 交换领域</x:v>
      </x:c>
      <x:c r="D342" s="46" t="str">
        <x:v>EXCHANGE-XD领域</x:v>
      </x:c>
      <x:c r="E342" s="46" t="str">
        <x:v>通用</x:v>
      </x:c>
      <x:c r="F342" s="46" t="str">
        <x:v>证据</x:v>
      </x:c>
      <x:c r="G342" s="46" t="str">
        <x:v>XD01</x:v>
      </x:c>
      <x:c r="H342" s="46" t="str">
        <x:v>情绪倾听与安抚</x:v>
      </x:c>
      <x:c r="I342" s="46" t="str">
        <x:v>存在该领域现实事件。</x:v>
      </x:c>
      <x:c r="J342" s="46" t="str">
        <x:v>只有抽象评价或一次高光。</x:v>
      </x:c>
      <x:c r="K342" s="46" t="str">
        <x:v>由共享基础引擎、M3与M5-BASE提供；只修正用户怎样给予、请求、接收和回馈，不直接判断双方现实交换质量。</x:v>
      </x:c>
      <x:c r="L342" s="46" t="str">
        <x:v>M2只说明进入关系所需资格证据；不能替代长期双向交换、负荷与修复验证。</x:v>
      </x:c>
      <x:c r="M342" s="46" t="str">
        <x:v>M3-BASE、EXPR、CARE和BOUND提供用户自然互动通道；M5-EXCHANGE负责把两人的实际行为合成为交换结构。</x:v>
      </x:c>
      <x:c r="N342" s="46" t="str">
        <x:v>无／按本规则指定的给予—请求—接收—反馈—重订路径路由。</x:v>
      </x:c>
      <x:c r="O342" s="46" t="str">
        <x:v>近位、远位只修正该交换需求进入亲密关系核心的可能；不得据此判断具体伴侣现实中一定配合。</x:v>
      </x:c>
      <x:c r="P342" s="46" t="str">
        <x:v>根气只修正用户交换需求和通道是否稳定重复，不等于双方已形成成熟互惠。</x:v>
      </x:c>
      <x:c r="Q342" s="46" t="str">
        <x:v>旺弱只修正通道调用强度、抢位或缺位风险，不直接等于交换公平或关系质量。</x:v>
      </x:c>
      <x:c r="R342" s="46" t="str">
        <x:v>喜忌只修正调用顺畅度与摩擦，不可直接翻译为理想伴侣五行、十神或必然互补。</x:v>
      </x:c>
      <x:c r="S342" s="46" t="str">
        <x:v>真合化成立时按化神功能重算用户交换需求；合化争议时停止细化交换通道。</x:v>
      </x:c>
      <x:c r="T342" s="46" t="str">
        <x:v>近位提高该交换议题进入关系核心的可能；远位只保留背景或阶段性观察。</x:v>
      </x:c>
      <x:c r="U342" s="46" t="str">
        <x:v>86</x:v>
      </x:c>
      <x:c r="V342" s="46" t="str">
        <x:v>XV层级修正</x:v>
      </x:c>
      <x:c r="W342" s="46" t="str">
        <x:v>observation_plan</x:v>
      </x:c>
      <x:c r="X342" s="46" t="str">
        <x:v>是否能请求、接收、回应并转向现实下一步。</x:v>
      </x:c>
      <x:c r="Y342" s="46" t="str">
        <x:v>在情绪倾听与安抚中，重点观察：是否能请求、接收、回应并转向现实下一步。</x:v>
      </x:c>
      <x:c r="Z34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42" s="46" t="str">
        <x:v>中高</x:v>
      </x:c>
      <x:c r="AB342" s="46" t="str">
        <x:v>待验证</x:v>
      </x:c>
      <x:c r="AC342" s="46" t="str"/>
      <x:c r="AD342" s="46" t="str">
        <x:v>exchange_domain=XD01; provisional=true; rule_group=EXCHANGE-XD领域</x:v>
      </x:c>
      <x:c r="AE342" s="46" t="str">
        <x:v>0.4</x:v>
      </x:c>
    </x:row>
    <x:row r="343" ht="50" customHeight="1">
      <x:c r="A343" s="46" t="str">
        <x:v>M5-EXCHANGE-342</x:v>
      </x:c>
      <x:c r="B343" s="46" t="str">
        <x:v>XD01 情绪倾听与安抚｜跨领域边界</x:v>
      </x:c>
      <x:c r="C343" s="46" t="str">
        <x:v>L7 交换领域</x:v>
      </x:c>
      <x:c r="D343" s="46" t="str">
        <x:v>EXCHANGE-XD领域</x:v>
      </x:c>
      <x:c r="E343" s="46" t="str">
        <x:v>通用</x:v>
      </x:c>
      <x:c r="F343" s="46" t="str">
        <x:v>边界</x:v>
      </x:c>
      <x:c r="G343" s="46" t="str">
        <x:v>XD01</x:v>
      </x:c>
      <x:c r="H343" s="46" t="str">
        <x:v>情绪倾听与安抚</x:v>
      </x:c>
      <x:c r="I343" s="46" t="str">
        <x:v>准备从该领域推广到整体交换。</x:v>
      </x:c>
      <x:c r="J343" s="46" t="str">
        <x:v>XV4以上且至少两个领域一致。</x:v>
      </x:c>
      <x:c r="K343" s="46" t="str">
        <x:v>由共享基础引擎、M3与M5-BASE提供；只修正用户怎样给予、请求、接收和回馈，不直接判断双方现实交换质量。</x:v>
      </x:c>
      <x:c r="L343" s="46" t="str">
        <x:v>M2只说明进入关系所需资格证据；不能替代长期双向交换、负荷与修复验证。</x:v>
      </x:c>
      <x:c r="M343" s="46" t="str">
        <x:v>M3-BASE、EXPR、CARE和BOUND提供用户自然互动通道；M5-EXCHANGE负责把两人的实际行为合成为交换结构。</x:v>
      </x:c>
      <x:c r="N343" s="46" t="str">
        <x:v>无／按本规则指定的给予—请求—接收—反馈—重订路径路由。</x:v>
      </x:c>
      <x:c r="O343" s="46" t="str">
        <x:v>近位、远位只修正该交换需求进入亲密关系核心的可能；不得据此判断具体伴侣现实中一定配合。</x:v>
      </x:c>
      <x:c r="P343" s="46" t="str">
        <x:v>根气只修正用户交换需求和通道是否稳定重复，不等于双方已形成成熟互惠。</x:v>
      </x:c>
      <x:c r="Q343" s="46" t="str">
        <x:v>旺弱只修正通道调用强度、抢位或缺位风险，不直接等于交换公平或关系质量。</x:v>
      </x:c>
      <x:c r="R343" s="46" t="str">
        <x:v>喜忌只修正调用顺畅度与摩擦，不可直接翻译为理想伴侣五行、十神或必然互补。</x:v>
      </x:c>
      <x:c r="S343" s="46" t="str">
        <x:v>真合化成立时按化神功能重算用户交换需求；合化争议时停止细化交换通道。</x:v>
      </x:c>
      <x:c r="T343" s="46" t="str">
        <x:v>近位提高该交换议题进入关系核心的可能；远位只保留背景或阶段性观察。</x:v>
      </x:c>
      <x:c r="U343" s="46" t="str">
        <x:v>94</x:v>
      </x:c>
      <x:c r="V343" s="46" t="str">
        <x:v>不加分；边界</x:v>
      </x:c>
      <x:c r="W343" s="46" t="str">
        <x:v>boundary_note</x:v>
      </x:c>
      <x:c r="X343" s="46" t="str">
        <x:v>领域能力需要分别验证。</x:v>
      </x:c>
      <x:c r="Y343" s="46" t="str">
        <x:v>在这个领域做得好，不能自动说明所有方面都同样成熟。</x:v>
      </x:c>
      <x:c r="Z34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43" s="46" t="str">
        <x:v>高</x:v>
      </x:c>
      <x:c r="AB343" s="46" t="str">
        <x:v>待验证</x:v>
      </x:c>
      <x:c r="AC343" s="46" t="str"/>
      <x:c r="AD343" s="46" t="str">
        <x:v>exchange_domain=XD01; provisional=true; rule_group=EXCHANGE-XD领域</x:v>
      </x:c>
      <x:c r="AE343" s="46" t="str">
        <x:v>0.4</x:v>
      </x:c>
    </x:row>
    <x:row r="344" ht="50" customHeight="1">
      <x:c r="A344" s="46" t="str">
        <x:v>M5-EXCHANGE-343</x:v>
      </x:c>
      <x:c r="B344" s="46" t="str">
        <x:v>XD02 表达、信息与反馈｜领域定义</x:v>
      </x:c>
      <x:c r="C344" s="46" t="str">
        <x:v>L7 交换领域</x:v>
      </x:c>
      <x:c r="D344" s="46" t="str">
        <x:v>EXCHANGE-XD领域</x:v>
      </x:c>
      <x:c r="E344" s="46" t="str">
        <x:v>通用</x:v>
      </x:c>
      <x:c r="F344" s="46" t="str">
        <x:v>定义</x:v>
      </x:c>
      <x:c r="G344" s="46" t="str">
        <x:v>XD02</x:v>
      </x:c>
      <x:c r="H344" s="46" t="str">
        <x:v>表达、信息与反馈</x:v>
      </x:c>
      <x:c r="I344" s="46" t="str">
        <x:v>分析双方在该领域的交换。</x:v>
      </x:c>
      <x:c r="J344" s="46" t="str">
        <x:v>无</x:v>
      </x:c>
      <x:c r="K344" s="46" t="str">
        <x:v>由共享基础引擎、M3与M5-BASE提供；只修正用户怎样给予、请求、接收和回馈，不直接判断双方现实交换质量。</x:v>
      </x:c>
      <x:c r="L344" s="46" t="str">
        <x:v>M2只说明进入关系所需资格证据；不能替代长期双向交换、负荷与修复验证。</x:v>
      </x:c>
      <x:c r="M344" s="46" t="str">
        <x:v>M3-BASE、EXPR、CARE和BOUND提供用户自然互动通道；M5-EXCHANGE负责把两人的实际行为合成为交换结构。</x:v>
      </x:c>
      <x:c r="N344" s="46" t="str">
        <x:v>无／按本规则指定的给予—请求—接收—反馈—重订路径路由。</x:v>
      </x:c>
      <x:c r="O344" s="46" t="str">
        <x:v>近位、远位只修正该交换需求进入亲密关系核心的可能；不得据此判断具体伴侣现实中一定配合。</x:v>
      </x:c>
      <x:c r="P344" s="46" t="str">
        <x:v>根气只修正用户交换需求和通道是否稳定重复，不等于双方已形成成熟互惠。</x:v>
      </x:c>
      <x:c r="Q344" s="46" t="str">
        <x:v>旺弱只修正通道调用强度、抢位或缺位风险，不直接等于交换公平或关系质量。</x:v>
      </x:c>
      <x:c r="R344" s="46" t="str">
        <x:v>喜忌只修正调用顺畅度与摩擦，不可直接翻译为理想伴侣五行、十神或必然互补。</x:v>
      </x:c>
      <x:c r="S344" s="46" t="str">
        <x:v>真合化成立时按化神功能重算用户交换需求；合化争议时停止细化交换通道。</x:v>
      </x:c>
      <x:c r="T344" s="46" t="str">
        <x:v>近位提高该交换议题进入关系核心的可能；远位只保留背景或阶段性观察。</x:v>
      </x:c>
      <x:c r="U344" s="46" t="str">
        <x:v>88</x:v>
      </x:c>
      <x:c r="V344" s="46" t="str">
        <x:v>不加分；领域定义</x:v>
      </x:c>
      <x:c r="W344" s="46" t="str">
        <x:v>exchange_domains</x:v>
      </x:c>
      <x:c r="X344" s="46" t="str">
        <x:v>事实、观点、需要、复述理解和调整。</x:v>
      </x:c>
      <x:c r="Y344" s="46" t="str">
        <x:v>表达、信息与反馈主要包括：事实、观点、需要、复述理解和调整。</x:v>
      </x:c>
      <x:c r="Z34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44" s="46" t="str">
        <x:v>高</x:v>
      </x:c>
      <x:c r="AB344" s="46" t="str">
        <x:v>待验证</x:v>
      </x:c>
      <x:c r="AC344" s="46" t="str"/>
      <x:c r="AD344" s="46" t="str">
        <x:v>exchange_domain=XD02; provisional=true; rule_group=EXCHANGE-XD领域</x:v>
      </x:c>
      <x:c r="AE344" s="46" t="str">
        <x:v>0.4</x:v>
      </x:c>
    </x:row>
    <x:row r="345" ht="50" customHeight="1">
      <x:c r="A345" s="46" t="str">
        <x:v>M5-EXCHANGE-344</x:v>
      </x:c>
      <x:c r="B345" s="46" t="str">
        <x:v>XD02 表达、信息与反馈｜通道路由</x:v>
      </x:c>
      <x:c r="C345" s="46" t="str">
        <x:v>L7 交换领域</x:v>
      </x:c>
      <x:c r="D345" s="46" t="str">
        <x:v>EXCHANGE-XD领域</x:v>
      </x:c>
      <x:c r="E345" s="46" t="str">
        <x:v>通用</x:v>
      </x:c>
      <x:c r="F345" s="46" t="str">
        <x:v>路由</x:v>
      </x:c>
      <x:c r="G345" s="46" t="str">
        <x:v>XD02</x:v>
      </x:c>
      <x:c r="H345" s="46" t="str">
        <x:v>表达、信息与反馈</x:v>
      </x:c>
      <x:c r="I345" s="46" t="str">
        <x:v>主EC或次EC与该领域相关。</x:v>
      </x:c>
      <x:c r="J345" s="46" t="str">
        <x:v>把所有EC都堆入同一领域。</x:v>
      </x:c>
      <x:c r="K345" s="46" t="str">
        <x:v>由共享基础引擎、M3与M5-BASE提供；只修正用户怎样给予、请求、接收和回馈，不直接判断双方现实交换质量。</x:v>
      </x:c>
      <x:c r="L345" s="46" t="str">
        <x:v>M2只说明进入关系所需资格证据；不能替代长期双向交换、负荷与修复验证。</x:v>
      </x:c>
      <x:c r="M345" s="46" t="str">
        <x:v>M3-BASE、EXPR、CARE和BOUND提供用户自然互动通道；M5-EXCHANGE负责把两人的实际行为合成为交换结构。</x:v>
      </x:c>
      <x:c r="N345" s="46" t="str">
        <x:v>无／按本规则指定的给予—请求—接收—反馈—重订路径路由。</x:v>
      </x:c>
      <x:c r="O345" s="46" t="str">
        <x:v>近位、远位只修正该交换需求进入亲密关系核心的可能；不得据此判断具体伴侣现实中一定配合。</x:v>
      </x:c>
      <x:c r="P345" s="46" t="str">
        <x:v>根气只修正用户交换需求和通道是否稳定重复，不等于双方已形成成熟互惠。</x:v>
      </x:c>
      <x:c r="Q345" s="46" t="str">
        <x:v>旺弱只修正通道调用强度、抢位或缺位风险，不直接等于交换公平或关系质量。</x:v>
      </x:c>
      <x:c r="R345" s="46" t="str">
        <x:v>喜忌只修正调用顺畅度与摩擦，不可直接翻译为理想伴侣五行、十神或必然互补。</x:v>
      </x:c>
      <x:c r="S345" s="46" t="str">
        <x:v>真合化成立时按化神功能重算用户交换需求；合化争议时停止细化交换通道。</x:v>
      </x:c>
      <x:c r="T345" s="46" t="str">
        <x:v>近位提高该交换议题进入关系核心的可能；远位只保留背景或阶段性观察。</x:v>
      </x:c>
      <x:c r="U345" s="46" t="str">
        <x:v>78</x:v>
      </x:c>
      <x:c r="V345" s="46" t="str">
        <x:v>EC领域路由</x:v>
      </x:c>
      <x:c r="W345" s="46" t="str">
        <x:v>primary_exchange_channel</x:v>
      </x:c>
      <x:c r="X345" s="46" t="str">
        <x:v>EC01、EC04</x:v>
      </x:c>
      <x:c r="Y345" s="46" t="str">
        <x:v>该领域常见交换通道：EC01、EC04</x:v>
      </x:c>
      <x:c r="Z34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45" s="46" t="str">
        <x:v>中</x:v>
      </x:c>
      <x:c r="AB345" s="46" t="str">
        <x:v>待验证</x:v>
      </x:c>
      <x:c r="AC345" s="46" t="str"/>
      <x:c r="AD345" s="46" t="str">
        <x:v>exchange_domain=XD02; provisional=true; rule_group=EXCHANGE-XD领域</x:v>
      </x:c>
      <x:c r="AE345" s="46" t="str">
        <x:v>0.4</x:v>
      </x:c>
    </x:row>
    <x:row r="346" ht="50" customHeight="1">
      <x:c r="A346" s="46" t="str">
        <x:v>M5-EXCHANGE-345</x:v>
      </x:c>
      <x:c r="B346" s="46" t="str">
        <x:v>XD02 表达、信息与反馈｜关键观察</x:v>
      </x:c>
      <x:c r="C346" s="46" t="str">
        <x:v>L7 交换领域</x:v>
      </x:c>
      <x:c r="D346" s="46" t="str">
        <x:v>EXCHANGE-XD领域</x:v>
      </x:c>
      <x:c r="E346" s="46" t="str">
        <x:v>通用</x:v>
      </x:c>
      <x:c r="F346" s="46" t="str">
        <x:v>证据</x:v>
      </x:c>
      <x:c r="G346" s="46" t="str">
        <x:v>XD02</x:v>
      </x:c>
      <x:c r="H346" s="46" t="str">
        <x:v>表达、信息与反馈</x:v>
      </x:c>
      <x:c r="I346" s="46" t="str">
        <x:v>存在该领域现实事件。</x:v>
      </x:c>
      <x:c r="J346" s="46" t="str">
        <x:v>只有抽象评价或一次高光。</x:v>
      </x:c>
      <x:c r="K346" s="46" t="str">
        <x:v>由共享基础引擎、M3与M5-BASE提供；只修正用户怎样给予、请求、接收和回馈，不直接判断双方现实交换质量。</x:v>
      </x:c>
      <x:c r="L346" s="46" t="str">
        <x:v>M2只说明进入关系所需资格证据；不能替代长期双向交换、负荷与修复验证。</x:v>
      </x:c>
      <x:c r="M346" s="46" t="str">
        <x:v>M3-BASE、EXPR、CARE和BOUND提供用户自然互动通道；M5-EXCHANGE负责把两人的实际行为合成为交换结构。</x:v>
      </x:c>
      <x:c r="N346" s="46" t="str">
        <x:v>无／按本规则指定的给予—请求—接收—反馈—重订路径路由。</x:v>
      </x:c>
      <x:c r="O346" s="46" t="str">
        <x:v>近位、远位只修正该交换需求进入亲密关系核心的可能；不得据此判断具体伴侣现实中一定配合。</x:v>
      </x:c>
      <x:c r="P346" s="46" t="str">
        <x:v>根气只修正用户交换需求和通道是否稳定重复，不等于双方已形成成熟互惠。</x:v>
      </x:c>
      <x:c r="Q346" s="46" t="str">
        <x:v>旺弱只修正通道调用强度、抢位或缺位风险，不直接等于交换公平或关系质量。</x:v>
      </x:c>
      <x:c r="R346" s="46" t="str">
        <x:v>喜忌只修正调用顺畅度与摩擦，不可直接翻译为理想伴侣五行、十神或必然互补。</x:v>
      </x:c>
      <x:c r="S346" s="46" t="str">
        <x:v>真合化成立时按化神功能重算用户交换需求；合化争议时停止细化交换通道。</x:v>
      </x:c>
      <x:c r="T346" s="46" t="str">
        <x:v>近位提高该交换议题进入关系核心的可能；远位只保留背景或阶段性观察。</x:v>
      </x:c>
      <x:c r="U346" s="46" t="str">
        <x:v>86</x:v>
      </x:c>
      <x:c r="V346" s="46" t="str">
        <x:v>XV层级修正</x:v>
      </x:c>
      <x:c r="W346" s="46" t="str">
        <x:v>observation_plan</x:v>
      </x:c>
      <x:c r="X346" s="46" t="str">
        <x:v>是否双向，是否根据反馈改变。</x:v>
      </x:c>
      <x:c r="Y346" s="46" t="str">
        <x:v>在表达、信息与反馈中，重点观察：是否双向，是否根据反馈改变。</x:v>
      </x:c>
      <x:c r="Z34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46" s="46" t="str">
        <x:v>中高</x:v>
      </x:c>
      <x:c r="AB346" s="46" t="str">
        <x:v>待验证</x:v>
      </x:c>
      <x:c r="AC346" s="46" t="str"/>
      <x:c r="AD346" s="46" t="str">
        <x:v>exchange_domain=XD02; provisional=true; rule_group=EXCHANGE-XD领域</x:v>
      </x:c>
      <x:c r="AE346" s="46" t="str">
        <x:v>0.4</x:v>
      </x:c>
    </x:row>
    <x:row r="347" ht="50" customHeight="1">
      <x:c r="A347" s="46" t="str">
        <x:v>M5-EXCHANGE-346</x:v>
      </x:c>
      <x:c r="B347" s="46" t="str">
        <x:v>XD02 表达、信息与反馈｜跨领域边界</x:v>
      </x:c>
      <x:c r="C347" s="46" t="str">
        <x:v>L7 交换领域</x:v>
      </x:c>
      <x:c r="D347" s="46" t="str">
        <x:v>EXCHANGE-XD领域</x:v>
      </x:c>
      <x:c r="E347" s="46" t="str">
        <x:v>通用</x:v>
      </x:c>
      <x:c r="F347" s="46" t="str">
        <x:v>边界</x:v>
      </x:c>
      <x:c r="G347" s="46" t="str">
        <x:v>XD02</x:v>
      </x:c>
      <x:c r="H347" s="46" t="str">
        <x:v>表达、信息与反馈</x:v>
      </x:c>
      <x:c r="I347" s="46" t="str">
        <x:v>准备从该领域推广到整体交换。</x:v>
      </x:c>
      <x:c r="J347" s="46" t="str">
        <x:v>XV4以上且至少两个领域一致。</x:v>
      </x:c>
      <x:c r="K347" s="46" t="str">
        <x:v>由共享基础引擎、M3与M5-BASE提供；只修正用户怎样给予、请求、接收和回馈，不直接判断双方现实交换质量。</x:v>
      </x:c>
      <x:c r="L347" s="46" t="str">
        <x:v>M2只说明进入关系所需资格证据；不能替代长期双向交换、负荷与修复验证。</x:v>
      </x:c>
      <x:c r="M347" s="46" t="str">
        <x:v>M3-BASE、EXPR、CARE和BOUND提供用户自然互动通道；M5-EXCHANGE负责把两人的实际行为合成为交换结构。</x:v>
      </x:c>
      <x:c r="N347" s="46" t="str">
        <x:v>无／按本规则指定的给予—请求—接收—反馈—重订路径路由。</x:v>
      </x:c>
      <x:c r="O347" s="46" t="str">
        <x:v>近位、远位只修正该交换需求进入亲密关系核心的可能；不得据此判断具体伴侣现实中一定配合。</x:v>
      </x:c>
      <x:c r="P347" s="46" t="str">
        <x:v>根气只修正用户交换需求和通道是否稳定重复，不等于双方已形成成熟互惠。</x:v>
      </x:c>
      <x:c r="Q347" s="46" t="str">
        <x:v>旺弱只修正通道调用强度、抢位或缺位风险，不直接等于交换公平或关系质量。</x:v>
      </x:c>
      <x:c r="R347" s="46" t="str">
        <x:v>喜忌只修正调用顺畅度与摩擦，不可直接翻译为理想伴侣五行、十神或必然互补。</x:v>
      </x:c>
      <x:c r="S347" s="46" t="str">
        <x:v>真合化成立时按化神功能重算用户交换需求；合化争议时停止细化交换通道。</x:v>
      </x:c>
      <x:c r="T347" s="46" t="str">
        <x:v>近位提高该交换议题进入关系核心的可能；远位只保留背景或阶段性观察。</x:v>
      </x:c>
      <x:c r="U347" s="46" t="str">
        <x:v>94</x:v>
      </x:c>
      <x:c r="V347" s="46" t="str">
        <x:v>不加分；边界</x:v>
      </x:c>
      <x:c r="W347" s="46" t="str">
        <x:v>boundary_note</x:v>
      </x:c>
      <x:c r="X347" s="46" t="str">
        <x:v>领域能力需要分别验证。</x:v>
      </x:c>
      <x:c r="Y347" s="46" t="str">
        <x:v>在这个领域做得好，不能自动说明所有方面都同样成熟。</x:v>
      </x:c>
      <x:c r="Z34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47" s="46" t="str">
        <x:v>高</x:v>
      </x:c>
      <x:c r="AB347" s="46" t="str">
        <x:v>待验证</x:v>
      </x:c>
      <x:c r="AC347" s="46" t="str"/>
      <x:c r="AD347" s="46" t="str">
        <x:v>exchange_domain=XD02; provisional=true; rule_group=EXCHANGE-XD领域</x:v>
      </x:c>
      <x:c r="AE347" s="46" t="str">
        <x:v>0.4</x:v>
      </x:c>
    </x:row>
    <x:row r="348" ht="50" customHeight="1">
      <x:c r="A348" s="46" t="str">
        <x:v>M5-EXCHANGE-347</x:v>
      </x:c>
      <x:c r="B348" s="46" t="str">
        <x:v>XD03 时间、陪伴与关系维护｜领域定义</x:v>
      </x:c>
      <x:c r="C348" s="46" t="str">
        <x:v>L7 交换领域</x:v>
      </x:c>
      <x:c r="D348" s="46" t="str">
        <x:v>EXCHANGE-XD领域</x:v>
      </x:c>
      <x:c r="E348" s="46" t="str">
        <x:v>通用</x:v>
      </x:c>
      <x:c r="F348" s="46" t="str">
        <x:v>定义</x:v>
      </x:c>
      <x:c r="G348" s="46" t="str">
        <x:v>XD03</x:v>
      </x:c>
      <x:c r="H348" s="46" t="str">
        <x:v>时间、陪伴与关系维护</x:v>
      </x:c>
      <x:c r="I348" s="46" t="str">
        <x:v>分析双方在该领域的交换。</x:v>
      </x:c>
      <x:c r="J348" s="46" t="str">
        <x:v>无</x:v>
      </x:c>
      <x:c r="K348" s="46" t="str">
        <x:v>由共享基础引擎、M3与M5-BASE提供；只修正用户怎样给予、请求、接收和回馈，不直接判断双方现实交换质量。</x:v>
      </x:c>
      <x:c r="L348" s="46" t="str">
        <x:v>M2只说明进入关系所需资格证据；不能替代长期双向交换、负荷与修复验证。</x:v>
      </x:c>
      <x:c r="M348" s="46" t="str">
        <x:v>M3-BASE、EXPR、CARE和BOUND提供用户自然互动通道；M5-EXCHANGE负责把两人的实际行为合成为交换结构。</x:v>
      </x:c>
      <x:c r="N348" s="46" t="str">
        <x:v>无／按本规则指定的给予—请求—接收—反馈—重订路径路由。</x:v>
      </x:c>
      <x:c r="O348" s="46" t="str">
        <x:v>近位、远位只修正该交换需求进入亲密关系核心的可能；不得据此判断具体伴侣现实中一定配合。</x:v>
      </x:c>
      <x:c r="P348" s="46" t="str">
        <x:v>根气只修正用户交换需求和通道是否稳定重复，不等于双方已形成成熟互惠。</x:v>
      </x:c>
      <x:c r="Q348" s="46" t="str">
        <x:v>旺弱只修正通道调用强度、抢位或缺位风险，不直接等于交换公平或关系质量。</x:v>
      </x:c>
      <x:c r="R348" s="46" t="str">
        <x:v>喜忌只修正调用顺畅度与摩擦，不可直接翻译为理想伴侣五行、十神或必然互补。</x:v>
      </x:c>
      <x:c r="S348" s="46" t="str">
        <x:v>真合化成立时按化神功能重算用户交换需求；合化争议时停止细化交换通道。</x:v>
      </x:c>
      <x:c r="T348" s="46" t="str">
        <x:v>近位提高该交换议题进入关系核心的可能；远位只保留背景或阶段性观察。</x:v>
      </x:c>
      <x:c r="U348" s="46" t="str">
        <x:v>88</x:v>
      </x:c>
      <x:c r="V348" s="46" t="str">
        <x:v>不加分；领域定义</x:v>
      </x:c>
      <x:c r="W348" s="46" t="str">
        <x:v>exchange_domains</x:v>
      </x:c>
      <x:c r="X348" s="46" t="str">
        <x:v>联系、见面、陪伴、共同时间和持续关注。</x:v>
      </x:c>
      <x:c r="Y348" s="46" t="str">
        <x:v>时间、陪伴与关系维护主要包括：联系、见面、陪伴、共同时间和持续关注。</x:v>
      </x:c>
      <x:c r="Z34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48" s="46" t="str">
        <x:v>高</x:v>
      </x:c>
      <x:c r="AB348" s="46" t="str">
        <x:v>待验证</x:v>
      </x:c>
      <x:c r="AC348" s="46" t="str"/>
      <x:c r="AD348" s="46" t="str">
        <x:v>exchange_domain=XD03; provisional=true; rule_group=EXCHANGE-XD领域</x:v>
      </x:c>
      <x:c r="AE348" s="46" t="str">
        <x:v>0.4</x:v>
      </x:c>
    </x:row>
    <x:row r="349" ht="50" customHeight="1">
      <x:c r="A349" s="46" t="str">
        <x:v>M5-EXCHANGE-348</x:v>
      </x:c>
      <x:c r="B349" s="46" t="str">
        <x:v>XD03 时间、陪伴与关系维护｜通道路由</x:v>
      </x:c>
      <x:c r="C349" s="46" t="str">
        <x:v>L7 交换领域</x:v>
      </x:c>
      <x:c r="D349" s="46" t="str">
        <x:v>EXCHANGE-XD领域</x:v>
      </x:c>
      <x:c r="E349" s="46" t="str">
        <x:v>通用</x:v>
      </x:c>
      <x:c r="F349" s="46" t="str">
        <x:v>路由</x:v>
      </x:c>
      <x:c r="G349" s="46" t="str">
        <x:v>XD03</x:v>
      </x:c>
      <x:c r="H349" s="46" t="str">
        <x:v>时间、陪伴与关系维护</x:v>
      </x:c>
      <x:c r="I349" s="46" t="str">
        <x:v>主EC或次EC与该领域相关。</x:v>
      </x:c>
      <x:c r="J349" s="46" t="str">
        <x:v>把所有EC都堆入同一领域。</x:v>
      </x:c>
      <x:c r="K349" s="46" t="str">
        <x:v>由共享基础引擎、M3与M5-BASE提供；只修正用户怎样给予、请求、接收和回馈，不直接判断双方现实交换质量。</x:v>
      </x:c>
      <x:c r="L349" s="46" t="str">
        <x:v>M2只说明进入关系所需资格证据；不能替代长期双向交换、负荷与修复验证。</x:v>
      </x:c>
      <x:c r="M349" s="46" t="str">
        <x:v>M3-BASE、EXPR、CARE和BOUND提供用户自然互动通道；M5-EXCHANGE负责把两人的实际行为合成为交换结构。</x:v>
      </x:c>
      <x:c r="N349" s="46" t="str">
        <x:v>无／按本规则指定的给予—请求—接收—反馈—重订路径路由。</x:v>
      </x:c>
      <x:c r="O349" s="46" t="str">
        <x:v>近位、远位只修正该交换需求进入亲密关系核心的可能；不得据此判断具体伴侣现实中一定配合。</x:v>
      </x:c>
      <x:c r="P349" s="46" t="str">
        <x:v>根气只修正用户交换需求和通道是否稳定重复，不等于双方已形成成熟互惠。</x:v>
      </x:c>
      <x:c r="Q349" s="46" t="str">
        <x:v>旺弱只修正通道调用强度、抢位或缺位风险，不直接等于交换公平或关系质量。</x:v>
      </x:c>
      <x:c r="R349" s="46" t="str">
        <x:v>喜忌只修正调用顺畅度与摩擦，不可直接翻译为理想伴侣五行、十神或必然互补。</x:v>
      </x:c>
      <x:c r="S349" s="46" t="str">
        <x:v>真合化成立时按化神功能重算用户交换需求；合化争议时停止细化交换通道。</x:v>
      </x:c>
      <x:c r="T349" s="46" t="str">
        <x:v>近位提高该交换议题进入关系核心的可能；远位只保留背景或阶段性观察。</x:v>
      </x:c>
      <x:c r="U349" s="46" t="str">
        <x:v>78</x:v>
      </x:c>
      <x:c r="V349" s="46" t="str">
        <x:v>EC领域路由</x:v>
      </x:c>
      <x:c r="W349" s="46" t="str">
        <x:v>primary_exchange_channel</x:v>
      </x:c>
      <x:c r="X349" s="46" t="str">
        <x:v>EC03、EC05</x:v>
      </x:c>
      <x:c r="Y349" s="46" t="str">
        <x:v>该领域常见交换通道：EC03、EC05</x:v>
      </x:c>
      <x:c r="Z34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49" s="46" t="str">
        <x:v>中</x:v>
      </x:c>
      <x:c r="AB349" s="46" t="str">
        <x:v>待验证</x:v>
      </x:c>
      <x:c r="AC349" s="46" t="str"/>
      <x:c r="AD349" s="46" t="str">
        <x:v>exchange_domain=XD03; provisional=true; rule_group=EXCHANGE-XD领域</x:v>
      </x:c>
      <x:c r="AE349" s="46" t="str">
        <x:v>0.4</x:v>
      </x:c>
    </x:row>
    <x:row r="350" ht="50" customHeight="1">
      <x:c r="A350" s="46" t="str">
        <x:v>M5-EXCHANGE-349</x:v>
      </x:c>
      <x:c r="B350" s="46" t="str">
        <x:v>XD03 时间、陪伴与关系维护｜关键观察</x:v>
      </x:c>
      <x:c r="C350" s="46" t="str">
        <x:v>L7 交换领域</x:v>
      </x:c>
      <x:c r="D350" s="46" t="str">
        <x:v>EXCHANGE-XD领域</x:v>
      </x:c>
      <x:c r="E350" s="46" t="str">
        <x:v>通用</x:v>
      </x:c>
      <x:c r="F350" s="46" t="str">
        <x:v>证据</x:v>
      </x:c>
      <x:c r="G350" s="46" t="str">
        <x:v>XD03</x:v>
      </x:c>
      <x:c r="H350" s="46" t="str">
        <x:v>时间、陪伴与关系维护</x:v>
      </x:c>
      <x:c r="I350" s="46" t="str">
        <x:v>存在该领域现实事件。</x:v>
      </x:c>
      <x:c r="J350" s="46" t="str">
        <x:v>只有抽象评价或一次高光。</x:v>
      </x:c>
      <x:c r="K350" s="46" t="str">
        <x:v>由共享基础引擎、M3与M5-BASE提供；只修正用户怎样给予、请求、接收和回馈，不直接判断双方现实交换质量。</x:v>
      </x:c>
      <x:c r="L350" s="46" t="str">
        <x:v>M2只说明进入关系所需资格证据；不能替代长期双向交换、负荷与修复验证。</x:v>
      </x:c>
      <x:c r="M350" s="46" t="str">
        <x:v>M3-BASE、EXPR、CARE和BOUND提供用户自然互动通道；M5-EXCHANGE负责把两人的实际行为合成为交换结构。</x:v>
      </x:c>
      <x:c r="N350" s="46" t="str">
        <x:v>无／按本规则指定的给予—请求—接收—反馈—重订路径路由。</x:v>
      </x:c>
      <x:c r="O350" s="46" t="str">
        <x:v>近位、远位只修正该交换需求进入亲密关系核心的可能；不得据此判断具体伴侣现实中一定配合。</x:v>
      </x:c>
      <x:c r="P350" s="46" t="str">
        <x:v>根气只修正用户交换需求和通道是否稳定重复，不等于双方已形成成熟互惠。</x:v>
      </x:c>
      <x:c r="Q350" s="46" t="str">
        <x:v>旺弱只修正通道调用强度、抢位或缺位风险，不直接等于交换公平或关系质量。</x:v>
      </x:c>
      <x:c r="R350" s="46" t="str">
        <x:v>喜忌只修正调用顺畅度与摩擦，不可直接翻译为理想伴侣五行、十神或必然互补。</x:v>
      </x:c>
      <x:c r="S350" s="46" t="str">
        <x:v>真合化成立时按化神功能重算用户交换需求；合化争议时停止细化交换通道。</x:v>
      </x:c>
      <x:c r="T350" s="46" t="str">
        <x:v>近位提高该交换议题进入关系核心的可能；远位只保留背景或阶段性观察。</x:v>
      </x:c>
      <x:c r="U350" s="46" t="str">
        <x:v>86</x:v>
      </x:c>
      <x:c r="V350" s="46" t="str">
        <x:v>XV层级修正</x:v>
      </x:c>
      <x:c r="W350" s="46" t="str">
        <x:v>observation_plan</x:v>
      </x:c>
      <x:c r="X350" s="46" t="str">
        <x:v>投入是否可预测，时间变化时能否重订。</x:v>
      </x:c>
      <x:c r="Y350" s="46" t="str">
        <x:v>在时间、陪伴与关系维护中，重点观察：投入是否可预测，时间变化时能否重订。</x:v>
      </x:c>
      <x:c r="Z35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50" s="46" t="str">
        <x:v>中高</x:v>
      </x:c>
      <x:c r="AB350" s="46" t="str">
        <x:v>待验证</x:v>
      </x:c>
      <x:c r="AC350" s="46" t="str"/>
      <x:c r="AD350" s="46" t="str">
        <x:v>exchange_domain=XD03; provisional=true; rule_group=EXCHANGE-XD领域</x:v>
      </x:c>
      <x:c r="AE350" s="46" t="str">
        <x:v>0.4</x:v>
      </x:c>
    </x:row>
    <x:row r="351" ht="50" customHeight="1">
      <x:c r="A351" s="46" t="str">
        <x:v>M5-EXCHANGE-350</x:v>
      </x:c>
      <x:c r="B351" s="46" t="str">
        <x:v>XD03 时间、陪伴与关系维护｜跨领域边界</x:v>
      </x:c>
      <x:c r="C351" s="46" t="str">
        <x:v>L7 交换领域</x:v>
      </x:c>
      <x:c r="D351" s="46" t="str">
        <x:v>EXCHANGE-XD领域</x:v>
      </x:c>
      <x:c r="E351" s="46" t="str">
        <x:v>通用</x:v>
      </x:c>
      <x:c r="F351" s="46" t="str">
        <x:v>边界</x:v>
      </x:c>
      <x:c r="G351" s="46" t="str">
        <x:v>XD03</x:v>
      </x:c>
      <x:c r="H351" s="46" t="str">
        <x:v>时间、陪伴与关系维护</x:v>
      </x:c>
      <x:c r="I351" s="46" t="str">
        <x:v>准备从该领域推广到整体交换。</x:v>
      </x:c>
      <x:c r="J351" s="46" t="str">
        <x:v>XV4以上且至少两个领域一致。</x:v>
      </x:c>
      <x:c r="K351" s="46" t="str">
        <x:v>由共享基础引擎、M3与M5-BASE提供；只修正用户怎样给予、请求、接收和回馈，不直接判断双方现实交换质量。</x:v>
      </x:c>
      <x:c r="L351" s="46" t="str">
        <x:v>M2只说明进入关系所需资格证据；不能替代长期双向交换、负荷与修复验证。</x:v>
      </x:c>
      <x:c r="M351" s="46" t="str">
        <x:v>M3-BASE、EXPR、CARE和BOUND提供用户自然互动通道；M5-EXCHANGE负责把两人的实际行为合成为交换结构。</x:v>
      </x:c>
      <x:c r="N351" s="46" t="str">
        <x:v>无／按本规则指定的给予—请求—接收—反馈—重订路径路由。</x:v>
      </x:c>
      <x:c r="O351" s="46" t="str">
        <x:v>近位、远位只修正该交换需求进入亲密关系核心的可能；不得据此判断具体伴侣现实中一定配合。</x:v>
      </x:c>
      <x:c r="P351" s="46" t="str">
        <x:v>根气只修正用户交换需求和通道是否稳定重复，不等于双方已形成成熟互惠。</x:v>
      </x:c>
      <x:c r="Q351" s="46" t="str">
        <x:v>旺弱只修正通道调用强度、抢位或缺位风险，不直接等于交换公平或关系质量。</x:v>
      </x:c>
      <x:c r="R351" s="46" t="str">
        <x:v>喜忌只修正调用顺畅度与摩擦，不可直接翻译为理想伴侣五行、十神或必然互补。</x:v>
      </x:c>
      <x:c r="S351" s="46" t="str">
        <x:v>真合化成立时按化神功能重算用户交换需求；合化争议时停止细化交换通道。</x:v>
      </x:c>
      <x:c r="T351" s="46" t="str">
        <x:v>近位提高该交换议题进入关系核心的可能；远位只保留背景或阶段性观察。</x:v>
      </x:c>
      <x:c r="U351" s="46" t="str">
        <x:v>94</x:v>
      </x:c>
      <x:c r="V351" s="46" t="str">
        <x:v>不加分；边界</x:v>
      </x:c>
      <x:c r="W351" s="46" t="str">
        <x:v>boundary_note</x:v>
      </x:c>
      <x:c r="X351" s="46" t="str">
        <x:v>领域能力需要分别验证。</x:v>
      </x:c>
      <x:c r="Y351" s="46" t="str">
        <x:v>在这个领域做得好，不能自动说明所有方面都同样成熟。</x:v>
      </x:c>
      <x:c r="Z35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51" s="46" t="str">
        <x:v>高</x:v>
      </x:c>
      <x:c r="AB351" s="46" t="str">
        <x:v>待验证</x:v>
      </x:c>
      <x:c r="AC351" s="46" t="str"/>
      <x:c r="AD351" s="46" t="str">
        <x:v>exchange_domain=XD03; provisional=true; rule_group=EXCHANGE-XD领域</x:v>
      </x:c>
      <x:c r="AE351" s="46" t="str">
        <x:v>0.4</x:v>
      </x:c>
    </x:row>
    <x:row r="352" ht="50" customHeight="1">
      <x:c r="A352" s="46" t="str">
        <x:v>M5-EXCHANGE-351</x:v>
      </x:c>
      <x:c r="B352" s="46" t="str">
        <x:v>XD04 家务、事务与照护劳动｜领域定义</x:v>
      </x:c>
      <x:c r="C352" s="46" t="str">
        <x:v>L7 交换领域</x:v>
      </x:c>
      <x:c r="D352" s="46" t="str">
        <x:v>EXCHANGE-XD领域</x:v>
      </x:c>
      <x:c r="E352" s="46" t="str">
        <x:v>通用</x:v>
      </x:c>
      <x:c r="F352" s="46" t="str">
        <x:v>定义</x:v>
      </x:c>
      <x:c r="G352" s="46" t="str">
        <x:v>XD04</x:v>
      </x:c>
      <x:c r="H352" s="46" t="str">
        <x:v>家务、事务与照护劳动</x:v>
      </x:c>
      <x:c r="I352" s="46" t="str">
        <x:v>分析双方在该领域的交换。</x:v>
      </x:c>
      <x:c r="J352" s="46" t="str">
        <x:v>无</x:v>
      </x:c>
      <x:c r="K352" s="46" t="str">
        <x:v>由共享基础引擎、M3与M5-BASE提供；只修正用户怎样给予、请求、接收和回馈，不直接判断双方现实交换质量。</x:v>
      </x:c>
      <x:c r="L352" s="46" t="str">
        <x:v>M2只说明进入关系所需资格证据；不能替代长期双向交换、负荷与修复验证。</x:v>
      </x:c>
      <x:c r="M352" s="46" t="str">
        <x:v>M3-BASE、EXPR、CARE和BOUND提供用户自然互动通道；M5-EXCHANGE负责把两人的实际行为合成为交换结构。</x:v>
      </x:c>
      <x:c r="N352" s="46" t="str">
        <x:v>无／按本规则指定的给予—请求—接收—反馈—重订路径路由。</x:v>
      </x:c>
      <x:c r="O352" s="46" t="str">
        <x:v>近位、远位只修正该交换需求进入亲密关系核心的可能；不得据此判断具体伴侣现实中一定配合。</x:v>
      </x:c>
      <x:c r="P352" s="46" t="str">
        <x:v>根气只修正用户交换需求和通道是否稳定重复，不等于双方已形成成熟互惠。</x:v>
      </x:c>
      <x:c r="Q352" s="46" t="str">
        <x:v>旺弱只修正通道调用强度、抢位或缺位风险，不直接等于交换公平或关系质量。</x:v>
      </x:c>
      <x:c r="R352" s="46" t="str">
        <x:v>喜忌只修正调用顺畅度与摩擦，不可直接翻译为理想伴侣五行、十神或必然互补。</x:v>
      </x:c>
      <x:c r="S352" s="46" t="str">
        <x:v>真合化成立时按化神功能重算用户交换需求；合化争议时停止细化交换通道。</x:v>
      </x:c>
      <x:c r="T352" s="46" t="str">
        <x:v>近位提高该交换议题进入关系核心的可能；远位只保留背景或阶段性观察。</x:v>
      </x:c>
      <x:c r="U352" s="46" t="str">
        <x:v>88</x:v>
      </x:c>
      <x:c r="V352" s="46" t="str">
        <x:v>不加分；领域定义</x:v>
      </x:c>
      <x:c r="W352" s="46" t="str">
        <x:v>exchange_domains</x:v>
      </x:c>
      <x:c r="X352" s="46" t="str">
        <x:v>家务、行政、照护、计划、执行和日常管理。</x:v>
      </x:c>
      <x:c r="Y352" s="46" t="str">
        <x:v>家务、事务与照护劳动主要包括：家务、行政、照护、计划、执行和日常管理。</x:v>
      </x:c>
      <x:c r="Z35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52" s="46" t="str">
        <x:v>高</x:v>
      </x:c>
      <x:c r="AB352" s="46" t="str">
        <x:v>待验证</x:v>
      </x:c>
      <x:c r="AC352" s="46" t="str"/>
      <x:c r="AD352" s="46" t="str">
        <x:v>exchange_domain=XD04; provisional=true; rule_group=EXCHANGE-XD领域</x:v>
      </x:c>
      <x:c r="AE352" s="46" t="str">
        <x:v>0.4</x:v>
      </x:c>
    </x:row>
    <x:row r="353" ht="50" customHeight="1">
      <x:c r="A353" s="46" t="str">
        <x:v>M5-EXCHANGE-352</x:v>
      </x:c>
      <x:c r="B353" s="46" t="str">
        <x:v>XD04 家务、事务与照护劳动｜通道路由</x:v>
      </x:c>
      <x:c r="C353" s="46" t="str">
        <x:v>L7 交换领域</x:v>
      </x:c>
      <x:c r="D353" s="46" t="str">
        <x:v>EXCHANGE-XD领域</x:v>
      </x:c>
      <x:c r="E353" s="46" t="str">
        <x:v>通用</x:v>
      </x:c>
      <x:c r="F353" s="46" t="str">
        <x:v>路由</x:v>
      </x:c>
      <x:c r="G353" s="46" t="str">
        <x:v>XD04</x:v>
      </x:c>
      <x:c r="H353" s="46" t="str">
        <x:v>家务、事务与照护劳动</x:v>
      </x:c>
      <x:c r="I353" s="46" t="str">
        <x:v>主EC或次EC与该领域相关。</x:v>
      </x:c>
      <x:c r="J353" s="46" t="str">
        <x:v>把所有EC都堆入同一领域。</x:v>
      </x:c>
      <x:c r="K353" s="46" t="str">
        <x:v>由共享基础引擎、M3与M5-BASE提供；只修正用户怎样给予、请求、接收和回馈，不直接判断双方现实交换质量。</x:v>
      </x:c>
      <x:c r="L353" s="46" t="str">
        <x:v>M2只说明进入关系所需资格证据；不能替代长期双向交换、负荷与修复验证。</x:v>
      </x:c>
      <x:c r="M353" s="46" t="str">
        <x:v>M3-BASE、EXPR、CARE和BOUND提供用户自然互动通道；M5-EXCHANGE负责把两人的实际行为合成为交换结构。</x:v>
      </x:c>
      <x:c r="N353" s="46" t="str">
        <x:v>无／按本规则指定的给予—请求—接收—反馈—重订路径路由。</x:v>
      </x:c>
      <x:c r="O353" s="46" t="str">
        <x:v>近位、远位只修正该交换需求进入亲密关系核心的可能；不得据此判断具体伴侣现实中一定配合。</x:v>
      </x:c>
      <x:c r="P353" s="46" t="str">
        <x:v>根气只修正用户交换需求和通道是否稳定重复，不等于双方已形成成熟互惠。</x:v>
      </x:c>
      <x:c r="Q353" s="46" t="str">
        <x:v>旺弱只修正通道调用强度、抢位或缺位风险，不直接等于交换公平或关系质量。</x:v>
      </x:c>
      <x:c r="R353" s="46" t="str">
        <x:v>喜忌只修正调用顺畅度与摩擦，不可直接翻译为理想伴侣五行、十神或必然互补。</x:v>
      </x:c>
      <x:c r="S353" s="46" t="str">
        <x:v>真合化成立时按化神功能重算用户交换需求；合化争议时停止细化交换通道。</x:v>
      </x:c>
      <x:c r="T353" s="46" t="str">
        <x:v>近位提高该交换议题进入关系核心的可能；远位只保留背景或阶段性观察。</x:v>
      </x:c>
      <x:c r="U353" s="46" t="str">
        <x:v>78</x:v>
      </x:c>
      <x:c r="V353" s="46" t="str">
        <x:v>EC领域路由</x:v>
      </x:c>
      <x:c r="W353" s="46" t="str">
        <x:v>primary_exchange_channel</x:v>
      </x:c>
      <x:c r="X353" s="46" t="str">
        <x:v>EC02、EC05、EC07</x:v>
      </x:c>
      <x:c r="Y353" s="46" t="str">
        <x:v>该领域常见交换通道：EC02、EC05、EC07</x:v>
      </x:c>
      <x:c r="Z35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53" s="46" t="str">
        <x:v>中</x:v>
      </x:c>
      <x:c r="AB353" s="46" t="str">
        <x:v>待验证</x:v>
      </x:c>
      <x:c r="AC353" s="46" t="str"/>
      <x:c r="AD353" s="46" t="str">
        <x:v>exchange_domain=XD04; provisional=true; rule_group=EXCHANGE-XD领域</x:v>
      </x:c>
      <x:c r="AE353" s="46" t="str">
        <x:v>0.4</x:v>
      </x:c>
    </x:row>
    <x:row r="354" ht="50" customHeight="1">
      <x:c r="A354" s="46" t="str">
        <x:v>M5-EXCHANGE-353</x:v>
      </x:c>
      <x:c r="B354" s="46" t="str">
        <x:v>XD04 家务、事务与照护劳动｜关键观察</x:v>
      </x:c>
      <x:c r="C354" s="46" t="str">
        <x:v>L7 交换领域</x:v>
      </x:c>
      <x:c r="D354" s="46" t="str">
        <x:v>EXCHANGE-XD领域</x:v>
      </x:c>
      <x:c r="E354" s="46" t="str">
        <x:v>通用</x:v>
      </x:c>
      <x:c r="F354" s="46" t="str">
        <x:v>证据</x:v>
      </x:c>
      <x:c r="G354" s="46" t="str">
        <x:v>XD04</x:v>
      </x:c>
      <x:c r="H354" s="46" t="str">
        <x:v>家务、事务与照护劳动</x:v>
      </x:c>
      <x:c r="I354" s="46" t="str">
        <x:v>存在该领域现实事件。</x:v>
      </x:c>
      <x:c r="J354" s="46" t="str">
        <x:v>只有抽象评价或一次高光。</x:v>
      </x:c>
      <x:c r="K354" s="46" t="str">
        <x:v>由共享基础引擎、M3与M5-BASE提供；只修正用户怎样给予、请求、接收和回馈，不直接判断双方现实交换质量。</x:v>
      </x:c>
      <x:c r="L354" s="46" t="str">
        <x:v>M2只说明进入关系所需资格证据；不能替代长期双向交换、负荷与修复验证。</x:v>
      </x:c>
      <x:c r="M354" s="46" t="str">
        <x:v>M3-BASE、EXPR、CARE和BOUND提供用户自然互动通道；M5-EXCHANGE负责把两人的实际行为合成为交换结构。</x:v>
      </x:c>
      <x:c r="N354" s="46" t="str">
        <x:v>无／按本规则指定的给予—请求—接收—反馈—重订路径路由。</x:v>
      </x:c>
      <x:c r="O354" s="46" t="str">
        <x:v>近位、远位只修正该交换需求进入亲密关系核心的可能；不得据此判断具体伴侣现实中一定配合。</x:v>
      </x:c>
      <x:c r="P354" s="46" t="str">
        <x:v>根气只修正用户交换需求和通道是否稳定重复，不等于双方已形成成熟互惠。</x:v>
      </x:c>
      <x:c r="Q354" s="46" t="str">
        <x:v>旺弱只修正通道调用强度、抢位或缺位风险，不直接等于交换公平或关系质量。</x:v>
      </x:c>
      <x:c r="R354" s="46" t="str">
        <x:v>喜忌只修正调用顺畅度与摩擦，不可直接翻译为理想伴侣五行、十神或必然互补。</x:v>
      </x:c>
      <x:c r="S354" s="46" t="str">
        <x:v>真合化成立时按化神功能重算用户交换需求；合化争议时停止细化交换通道。</x:v>
      </x:c>
      <x:c r="T354" s="46" t="str">
        <x:v>近位提高该交换议题进入关系核心的可能；远位只保留背景或阶段性观察。</x:v>
      </x:c>
      <x:c r="U354" s="46" t="str">
        <x:v>86</x:v>
      </x:c>
      <x:c r="V354" s="46" t="str">
        <x:v>XV层级修正</x:v>
      </x:c>
      <x:c r="W354" s="46" t="str">
        <x:v>observation_plan</x:v>
      </x:c>
      <x:c r="X354" s="46" t="str">
        <x:v>负荷是否可见、可分配、可轮换。</x:v>
      </x:c>
      <x:c r="Y354" s="46" t="str">
        <x:v>在家务、事务与照护劳动中，重点观察：负荷是否可见、可分配、可轮换。</x:v>
      </x:c>
      <x:c r="Z35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54" s="46" t="str">
        <x:v>中高</x:v>
      </x:c>
      <x:c r="AB354" s="46" t="str">
        <x:v>待验证</x:v>
      </x:c>
      <x:c r="AC354" s="46" t="str"/>
      <x:c r="AD354" s="46" t="str">
        <x:v>exchange_domain=XD04; provisional=true; rule_group=EXCHANGE-XD领域</x:v>
      </x:c>
      <x:c r="AE354" s="46" t="str">
        <x:v>0.4</x:v>
      </x:c>
    </x:row>
    <x:row r="355" ht="50" customHeight="1">
      <x:c r="A355" s="46" t="str">
        <x:v>M5-EXCHANGE-354</x:v>
      </x:c>
      <x:c r="B355" s="46" t="str">
        <x:v>XD04 家务、事务与照护劳动｜跨领域边界</x:v>
      </x:c>
      <x:c r="C355" s="46" t="str">
        <x:v>L7 交换领域</x:v>
      </x:c>
      <x:c r="D355" s="46" t="str">
        <x:v>EXCHANGE-XD领域</x:v>
      </x:c>
      <x:c r="E355" s="46" t="str">
        <x:v>通用</x:v>
      </x:c>
      <x:c r="F355" s="46" t="str">
        <x:v>边界</x:v>
      </x:c>
      <x:c r="G355" s="46" t="str">
        <x:v>XD04</x:v>
      </x:c>
      <x:c r="H355" s="46" t="str">
        <x:v>家务、事务与照护劳动</x:v>
      </x:c>
      <x:c r="I355" s="46" t="str">
        <x:v>准备从该领域推广到整体交换。</x:v>
      </x:c>
      <x:c r="J355" s="46" t="str">
        <x:v>XV4以上且至少两个领域一致。</x:v>
      </x:c>
      <x:c r="K355" s="46" t="str">
        <x:v>由共享基础引擎、M3与M5-BASE提供；只修正用户怎样给予、请求、接收和回馈，不直接判断双方现实交换质量。</x:v>
      </x:c>
      <x:c r="L355" s="46" t="str">
        <x:v>M2只说明进入关系所需资格证据；不能替代长期双向交换、负荷与修复验证。</x:v>
      </x:c>
      <x:c r="M355" s="46" t="str">
        <x:v>M3-BASE、EXPR、CARE和BOUND提供用户自然互动通道；M5-EXCHANGE负责把两人的实际行为合成为交换结构。</x:v>
      </x:c>
      <x:c r="N355" s="46" t="str">
        <x:v>无／按本规则指定的给予—请求—接收—反馈—重订路径路由。</x:v>
      </x:c>
      <x:c r="O355" s="46" t="str">
        <x:v>近位、远位只修正该交换需求进入亲密关系核心的可能；不得据此判断具体伴侣现实中一定配合。</x:v>
      </x:c>
      <x:c r="P355" s="46" t="str">
        <x:v>根气只修正用户交换需求和通道是否稳定重复，不等于双方已形成成熟互惠。</x:v>
      </x:c>
      <x:c r="Q355" s="46" t="str">
        <x:v>旺弱只修正通道调用强度、抢位或缺位风险，不直接等于交换公平或关系质量。</x:v>
      </x:c>
      <x:c r="R355" s="46" t="str">
        <x:v>喜忌只修正调用顺畅度与摩擦，不可直接翻译为理想伴侣五行、十神或必然互补。</x:v>
      </x:c>
      <x:c r="S355" s="46" t="str">
        <x:v>真合化成立时按化神功能重算用户交换需求；合化争议时停止细化交换通道。</x:v>
      </x:c>
      <x:c r="T355" s="46" t="str">
        <x:v>近位提高该交换议题进入关系核心的可能；远位只保留背景或阶段性观察。</x:v>
      </x:c>
      <x:c r="U355" s="46" t="str">
        <x:v>94</x:v>
      </x:c>
      <x:c r="V355" s="46" t="str">
        <x:v>不加分；边界</x:v>
      </x:c>
      <x:c r="W355" s="46" t="str">
        <x:v>boundary_note</x:v>
      </x:c>
      <x:c r="X355" s="46" t="str">
        <x:v>领域能力需要分别验证。</x:v>
      </x:c>
      <x:c r="Y355" s="46" t="str">
        <x:v>在这个领域做得好，不能自动说明所有方面都同样成熟。</x:v>
      </x:c>
      <x:c r="Z35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55" s="46" t="str">
        <x:v>高</x:v>
      </x:c>
      <x:c r="AB355" s="46" t="str">
        <x:v>待验证</x:v>
      </x:c>
      <x:c r="AC355" s="46" t="str"/>
      <x:c r="AD355" s="46" t="str">
        <x:v>exchange_domain=XD04; provisional=true; rule_group=EXCHANGE-XD领域</x:v>
      </x:c>
      <x:c r="AE355" s="46" t="str">
        <x:v>0.4</x:v>
      </x:c>
    </x:row>
    <x:row r="356" ht="50" customHeight="1">
      <x:c r="A356" s="46" t="str">
        <x:v>M5-EXCHANGE-355</x:v>
      </x:c>
      <x:c r="B356" s="46" t="str">
        <x:v>XD05 金钱、物质与资源｜领域定义</x:v>
      </x:c>
      <x:c r="C356" s="46" t="str">
        <x:v>L7 交换领域</x:v>
      </x:c>
      <x:c r="D356" s="46" t="str">
        <x:v>EXCHANGE-XD领域</x:v>
      </x:c>
      <x:c r="E356" s="46" t="str">
        <x:v>通用</x:v>
      </x:c>
      <x:c r="F356" s="46" t="str">
        <x:v>定义</x:v>
      </x:c>
      <x:c r="G356" s="46" t="str">
        <x:v>XD05</x:v>
      </x:c>
      <x:c r="H356" s="46" t="str">
        <x:v>金钱、物质与资源</x:v>
      </x:c>
      <x:c r="I356" s="46" t="str">
        <x:v>分析双方在该领域的交换。</x:v>
      </x:c>
      <x:c r="J356" s="46" t="str">
        <x:v>无</x:v>
      </x:c>
      <x:c r="K356" s="46" t="str">
        <x:v>由共享基础引擎、M3与M5-BASE提供；只修正用户怎样给予、请求、接收和回馈，不直接判断双方现实交换质量。</x:v>
      </x:c>
      <x:c r="L356" s="46" t="str">
        <x:v>M2只说明进入关系所需资格证据；不能替代长期双向交换、负荷与修复验证。</x:v>
      </x:c>
      <x:c r="M356" s="46" t="str">
        <x:v>M3-BASE、EXPR、CARE和BOUND提供用户自然互动通道；M5-EXCHANGE负责把两人的实际行为合成为交换结构。</x:v>
      </x:c>
      <x:c r="N356" s="46" t="str">
        <x:v>无／按本规则指定的给予—请求—接收—反馈—重订路径路由。</x:v>
      </x:c>
      <x:c r="O356" s="46" t="str">
        <x:v>近位、远位只修正该交换需求进入亲密关系核心的可能；不得据此判断具体伴侣现实中一定配合。</x:v>
      </x:c>
      <x:c r="P356" s="46" t="str">
        <x:v>根气只修正用户交换需求和通道是否稳定重复，不等于双方已形成成熟互惠。</x:v>
      </x:c>
      <x:c r="Q356" s="46" t="str">
        <x:v>旺弱只修正通道调用强度、抢位或缺位风险，不直接等于交换公平或关系质量。</x:v>
      </x:c>
      <x:c r="R356" s="46" t="str">
        <x:v>喜忌只修正调用顺畅度与摩擦，不可直接翻译为理想伴侣五行、十神或必然互补。</x:v>
      </x:c>
      <x:c r="S356" s="46" t="str">
        <x:v>真合化成立时按化神功能重算用户交换需求；合化争议时停止细化交换通道。</x:v>
      </x:c>
      <x:c r="T356" s="46" t="str">
        <x:v>近位提高该交换议题进入关系核心的可能；远位只保留背景或阶段性观察。</x:v>
      </x:c>
      <x:c r="U356" s="46" t="str">
        <x:v>88</x:v>
      </x:c>
      <x:c r="V356" s="46" t="str">
        <x:v>不加分；领域定义</x:v>
      </x:c>
      <x:c r="W356" s="46" t="str">
        <x:v>exchange_domains</x:v>
      </x:c>
      <x:c r="X356" s="46" t="str">
        <x:v>金钱、礼物、住房、交通、人脉和机会。</x:v>
      </x:c>
      <x:c r="Y356" s="46" t="str">
        <x:v>金钱、物质与资源主要包括：金钱、礼物、住房、交通、人脉和机会。</x:v>
      </x:c>
      <x:c r="Z35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56" s="46" t="str">
        <x:v>高</x:v>
      </x:c>
      <x:c r="AB356" s="46" t="str">
        <x:v>待验证</x:v>
      </x:c>
      <x:c r="AC356" s="46" t="str"/>
      <x:c r="AD356" s="46" t="str">
        <x:v>exchange_domain=XD05; provisional=true; rule_group=EXCHANGE-XD领域</x:v>
      </x:c>
      <x:c r="AE356" s="46" t="str">
        <x:v>0.4</x:v>
      </x:c>
    </x:row>
    <x:row r="357" ht="50" customHeight="1">
      <x:c r="A357" s="46" t="str">
        <x:v>M5-EXCHANGE-356</x:v>
      </x:c>
      <x:c r="B357" s="46" t="str">
        <x:v>XD05 金钱、物质与资源｜通道路由</x:v>
      </x:c>
      <x:c r="C357" s="46" t="str">
        <x:v>L7 交换领域</x:v>
      </x:c>
      <x:c r="D357" s="46" t="str">
        <x:v>EXCHANGE-XD领域</x:v>
      </x:c>
      <x:c r="E357" s="46" t="str">
        <x:v>通用</x:v>
      </x:c>
      <x:c r="F357" s="46" t="str">
        <x:v>路由</x:v>
      </x:c>
      <x:c r="G357" s="46" t="str">
        <x:v>XD05</x:v>
      </x:c>
      <x:c r="H357" s="46" t="str">
        <x:v>金钱、物质与资源</x:v>
      </x:c>
      <x:c r="I357" s="46" t="str">
        <x:v>主EC或次EC与该领域相关。</x:v>
      </x:c>
      <x:c r="J357" s="46" t="str">
        <x:v>把所有EC都堆入同一领域。</x:v>
      </x:c>
      <x:c r="K357" s="46" t="str">
        <x:v>由共享基础引擎、M3与M5-BASE提供；只修正用户怎样给予、请求、接收和回馈，不直接判断双方现实交换质量。</x:v>
      </x:c>
      <x:c r="L357" s="46" t="str">
        <x:v>M2只说明进入关系所需资格证据；不能替代长期双向交换、负荷与修复验证。</x:v>
      </x:c>
      <x:c r="M357" s="46" t="str">
        <x:v>M3-BASE、EXPR、CARE和BOUND提供用户自然互动通道；M5-EXCHANGE负责把两人的实际行为合成为交换结构。</x:v>
      </x:c>
      <x:c r="N357" s="46" t="str">
        <x:v>无／按本规则指定的给予—请求—接收—反馈—重订路径路由。</x:v>
      </x:c>
      <x:c r="O357" s="46" t="str">
        <x:v>近位、远位只修正该交换需求进入亲密关系核心的可能；不得据此判断具体伴侣现实中一定配合。</x:v>
      </x:c>
      <x:c r="P357" s="46" t="str">
        <x:v>根气只修正用户交换需求和通道是否稳定重复，不等于双方已形成成熟互惠。</x:v>
      </x:c>
      <x:c r="Q357" s="46" t="str">
        <x:v>旺弱只修正通道调用强度、抢位或缺位风险，不直接等于交换公平或关系质量。</x:v>
      </x:c>
      <x:c r="R357" s="46" t="str">
        <x:v>喜忌只修正调用顺畅度与摩擦，不可直接翻译为理想伴侣五行、十神或必然互补。</x:v>
      </x:c>
      <x:c r="S357" s="46" t="str">
        <x:v>真合化成立时按化神功能重算用户交换需求；合化争议时停止细化交换通道。</x:v>
      </x:c>
      <x:c r="T357" s="46" t="str">
        <x:v>近位提高该交换议题进入关系核心的可能；远位只保留背景或阶段性观察。</x:v>
      </x:c>
      <x:c r="U357" s="46" t="str">
        <x:v>78</x:v>
      </x:c>
      <x:c r="V357" s="46" t="str">
        <x:v>EC领域路由</x:v>
      </x:c>
      <x:c r="W357" s="46" t="str">
        <x:v>primary_exchange_channel</x:v>
      </x:c>
      <x:c r="X357" s="46" t="str">
        <x:v>EC05、EC06</x:v>
      </x:c>
      <x:c r="Y357" s="46" t="str">
        <x:v>该领域常见交换通道：EC05、EC06</x:v>
      </x:c>
      <x:c r="Z35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57" s="46" t="str">
        <x:v>中</x:v>
      </x:c>
      <x:c r="AB357" s="46" t="str">
        <x:v>待验证</x:v>
      </x:c>
      <x:c r="AC357" s="46" t="str"/>
      <x:c r="AD357" s="46" t="str">
        <x:v>exchange_domain=XD05; provisional=true; rule_group=EXCHANGE-XD领域</x:v>
      </x:c>
      <x:c r="AE357" s="46" t="str">
        <x:v>0.4</x:v>
      </x:c>
    </x:row>
    <x:row r="358" ht="50" customHeight="1">
      <x:c r="A358" s="46" t="str">
        <x:v>M5-EXCHANGE-357</x:v>
      </x:c>
      <x:c r="B358" s="46" t="str">
        <x:v>XD05 金钱、物质与资源｜关键观察</x:v>
      </x:c>
      <x:c r="C358" s="46" t="str">
        <x:v>L7 交换领域</x:v>
      </x:c>
      <x:c r="D358" s="46" t="str">
        <x:v>EXCHANGE-XD领域</x:v>
      </x:c>
      <x:c r="E358" s="46" t="str">
        <x:v>通用</x:v>
      </x:c>
      <x:c r="F358" s="46" t="str">
        <x:v>证据</x:v>
      </x:c>
      <x:c r="G358" s="46" t="str">
        <x:v>XD05</x:v>
      </x:c>
      <x:c r="H358" s="46" t="str">
        <x:v>金钱、物质与资源</x:v>
      </x:c>
      <x:c r="I358" s="46" t="str">
        <x:v>存在该领域现实事件。</x:v>
      </x:c>
      <x:c r="J358" s="46" t="str">
        <x:v>只有抽象评价或一次高光。</x:v>
      </x:c>
      <x:c r="K358" s="46" t="str">
        <x:v>由共享基础引擎、M3与M5-BASE提供；只修正用户怎样给予、请求、接收和回馈，不直接判断双方现实交换质量。</x:v>
      </x:c>
      <x:c r="L358" s="46" t="str">
        <x:v>M2只说明进入关系所需资格证据；不能替代长期双向交换、负荷与修复验证。</x:v>
      </x:c>
      <x:c r="M358" s="46" t="str">
        <x:v>M3-BASE、EXPR、CARE和BOUND提供用户自然互动通道；M5-EXCHANGE负责把两人的实际行为合成为交换结构。</x:v>
      </x:c>
      <x:c r="N358" s="46" t="str">
        <x:v>无／按本规则指定的给予—请求—接收—反馈—重订路径路由。</x:v>
      </x:c>
      <x:c r="O358" s="46" t="str">
        <x:v>近位、远位只修正该交换需求进入亲密关系核心的可能；不得据此判断具体伴侣现实中一定配合。</x:v>
      </x:c>
      <x:c r="P358" s="46" t="str">
        <x:v>根气只修正用户交换需求和通道是否稳定重复，不等于双方已形成成熟互惠。</x:v>
      </x:c>
      <x:c r="Q358" s="46" t="str">
        <x:v>旺弱只修正通道调用强度、抢位或缺位风险，不直接等于交换公平或关系质量。</x:v>
      </x:c>
      <x:c r="R358" s="46" t="str">
        <x:v>喜忌只修正调用顺畅度与摩擦，不可直接翻译为理想伴侣五行、十神或必然互补。</x:v>
      </x:c>
      <x:c r="S358" s="46" t="str">
        <x:v>真合化成立时按化神功能重算用户交换需求；合化争议时停止细化交换通道。</x:v>
      </x:c>
      <x:c r="T358" s="46" t="str">
        <x:v>近位提高该交换议题进入关系核心的可能；远位只保留背景或阶段性观察。</x:v>
      </x:c>
      <x:c r="U358" s="46" t="str">
        <x:v>86</x:v>
      </x:c>
      <x:c r="V358" s="46" t="str">
        <x:v>XV层级修正</x:v>
      </x:c>
      <x:c r="W358" s="46" t="str">
        <x:v>observation_plan</x:v>
      </x:c>
      <x:c r="X358" s="46" t="str">
        <x:v>资源是否透明、自愿、不形成控制。</x:v>
      </x:c>
      <x:c r="Y358" s="46" t="str">
        <x:v>在金钱、物质与资源中，重点观察：资源是否透明、自愿、不形成控制。</x:v>
      </x:c>
      <x:c r="Z35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58" s="46" t="str">
        <x:v>中高</x:v>
      </x:c>
      <x:c r="AB358" s="46" t="str">
        <x:v>待验证</x:v>
      </x:c>
      <x:c r="AC358" s="46" t="str"/>
      <x:c r="AD358" s="46" t="str">
        <x:v>exchange_domain=XD05; provisional=true; rule_group=EXCHANGE-XD领域</x:v>
      </x:c>
      <x:c r="AE358" s="46" t="str">
        <x:v>0.4</x:v>
      </x:c>
    </x:row>
    <x:row r="359" ht="50" customHeight="1">
      <x:c r="A359" s="46" t="str">
        <x:v>M5-EXCHANGE-358</x:v>
      </x:c>
      <x:c r="B359" s="46" t="str">
        <x:v>XD05 金钱、物质与资源｜跨领域边界</x:v>
      </x:c>
      <x:c r="C359" s="46" t="str">
        <x:v>L7 交换领域</x:v>
      </x:c>
      <x:c r="D359" s="46" t="str">
        <x:v>EXCHANGE-XD领域</x:v>
      </x:c>
      <x:c r="E359" s="46" t="str">
        <x:v>通用</x:v>
      </x:c>
      <x:c r="F359" s="46" t="str">
        <x:v>边界</x:v>
      </x:c>
      <x:c r="G359" s="46" t="str">
        <x:v>XD05</x:v>
      </x:c>
      <x:c r="H359" s="46" t="str">
        <x:v>金钱、物质与资源</x:v>
      </x:c>
      <x:c r="I359" s="46" t="str">
        <x:v>准备从该领域推广到整体交换。</x:v>
      </x:c>
      <x:c r="J359" s="46" t="str">
        <x:v>XV4以上且至少两个领域一致。</x:v>
      </x:c>
      <x:c r="K359" s="46" t="str">
        <x:v>由共享基础引擎、M3与M5-BASE提供；只修正用户怎样给予、请求、接收和回馈，不直接判断双方现实交换质量。</x:v>
      </x:c>
      <x:c r="L359" s="46" t="str">
        <x:v>M2只说明进入关系所需资格证据；不能替代长期双向交换、负荷与修复验证。</x:v>
      </x:c>
      <x:c r="M359" s="46" t="str">
        <x:v>M3-BASE、EXPR、CARE和BOUND提供用户自然互动通道；M5-EXCHANGE负责把两人的实际行为合成为交换结构。</x:v>
      </x:c>
      <x:c r="N359" s="46" t="str">
        <x:v>无／按本规则指定的给予—请求—接收—反馈—重订路径路由。</x:v>
      </x:c>
      <x:c r="O359" s="46" t="str">
        <x:v>近位、远位只修正该交换需求进入亲密关系核心的可能；不得据此判断具体伴侣现实中一定配合。</x:v>
      </x:c>
      <x:c r="P359" s="46" t="str">
        <x:v>根气只修正用户交换需求和通道是否稳定重复，不等于双方已形成成熟互惠。</x:v>
      </x:c>
      <x:c r="Q359" s="46" t="str">
        <x:v>旺弱只修正通道调用强度、抢位或缺位风险，不直接等于交换公平或关系质量。</x:v>
      </x:c>
      <x:c r="R359" s="46" t="str">
        <x:v>喜忌只修正调用顺畅度与摩擦，不可直接翻译为理想伴侣五行、十神或必然互补。</x:v>
      </x:c>
      <x:c r="S359" s="46" t="str">
        <x:v>真合化成立时按化神功能重算用户交换需求；合化争议时停止细化交换通道。</x:v>
      </x:c>
      <x:c r="T359" s="46" t="str">
        <x:v>近位提高该交换议题进入关系核心的可能；远位只保留背景或阶段性观察。</x:v>
      </x:c>
      <x:c r="U359" s="46" t="str">
        <x:v>94</x:v>
      </x:c>
      <x:c r="V359" s="46" t="str">
        <x:v>不加分；边界</x:v>
      </x:c>
      <x:c r="W359" s="46" t="str">
        <x:v>boundary_note</x:v>
      </x:c>
      <x:c r="X359" s="46" t="str">
        <x:v>领域能力需要分别验证。</x:v>
      </x:c>
      <x:c r="Y359" s="46" t="str">
        <x:v>在这个领域做得好，不能自动说明所有方面都同样成熟。</x:v>
      </x:c>
      <x:c r="Z35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59" s="46" t="str">
        <x:v>高</x:v>
      </x:c>
      <x:c r="AB359" s="46" t="str">
        <x:v>待验证</x:v>
      </x:c>
      <x:c r="AC359" s="46" t="str"/>
      <x:c r="AD359" s="46" t="str">
        <x:v>exchange_domain=XD05; provisional=true; rule_group=EXCHANGE-XD领域</x:v>
      </x:c>
      <x:c r="AE359" s="46" t="str">
        <x:v>0.4</x:v>
      </x:c>
    </x:row>
    <x:row r="360" ht="50" customHeight="1">
      <x:c r="A360" s="46" t="str">
        <x:v>M5-EXCHANGE-359</x:v>
      </x:c>
      <x:c r="B360" s="46" t="str">
        <x:v>XD06 决定、承诺与责任｜领域定义</x:v>
      </x:c>
      <x:c r="C360" s="46" t="str">
        <x:v>L7 交换领域</x:v>
      </x:c>
      <x:c r="D360" s="46" t="str">
        <x:v>EXCHANGE-XD领域</x:v>
      </x:c>
      <x:c r="E360" s="46" t="str">
        <x:v>通用</x:v>
      </x:c>
      <x:c r="F360" s="46" t="str">
        <x:v>定义</x:v>
      </x:c>
      <x:c r="G360" s="46" t="str">
        <x:v>XD06</x:v>
      </x:c>
      <x:c r="H360" s="46" t="str">
        <x:v>决定、承诺与责任</x:v>
      </x:c>
      <x:c r="I360" s="46" t="str">
        <x:v>分析双方在该领域的交换。</x:v>
      </x:c>
      <x:c r="J360" s="46" t="str">
        <x:v>无</x:v>
      </x:c>
      <x:c r="K360" s="46" t="str">
        <x:v>由共享基础引擎、M3与M5-BASE提供；只修正用户怎样给予、请求、接收和回馈，不直接判断双方现实交换质量。</x:v>
      </x:c>
      <x:c r="L360" s="46" t="str">
        <x:v>M2只说明进入关系所需资格证据；不能替代长期双向交换、负荷与修复验证。</x:v>
      </x:c>
      <x:c r="M360" s="46" t="str">
        <x:v>M3-BASE、EXPR、CARE和BOUND提供用户自然互动通道；M5-EXCHANGE负责把两人的实际行为合成为交换结构。</x:v>
      </x:c>
      <x:c r="N360" s="46" t="str">
        <x:v>无／按本规则指定的给予—请求—接收—反馈—重订路径路由。</x:v>
      </x:c>
      <x:c r="O360" s="46" t="str">
        <x:v>近位、远位只修正该交换需求进入亲密关系核心的可能；不得据此判断具体伴侣现实中一定配合。</x:v>
      </x:c>
      <x:c r="P360" s="46" t="str">
        <x:v>根气只修正用户交换需求和通道是否稳定重复，不等于双方已形成成熟互惠。</x:v>
      </x:c>
      <x:c r="Q360" s="46" t="str">
        <x:v>旺弱只修正通道调用强度、抢位或缺位风险，不直接等于交换公平或关系质量。</x:v>
      </x:c>
      <x:c r="R360" s="46" t="str">
        <x:v>喜忌只修正调用顺畅度与摩擦，不可直接翻译为理想伴侣五行、十神或必然互补。</x:v>
      </x:c>
      <x:c r="S360" s="46" t="str">
        <x:v>真合化成立时按化神功能重算用户交换需求；合化争议时停止细化交换通道。</x:v>
      </x:c>
      <x:c r="T360" s="46" t="str">
        <x:v>近位提高该交换议题进入关系核心的可能；远位只保留背景或阶段性观察。</x:v>
      </x:c>
      <x:c r="U360" s="46" t="str">
        <x:v>88</x:v>
      </x:c>
      <x:c r="V360" s="46" t="str">
        <x:v>不加分；领域定义</x:v>
      </x:c>
      <x:c r="W360" s="46" t="str">
        <x:v>exchange_domains</x:v>
      </x:c>
      <x:c r="X360" s="46" t="str">
        <x:v>共同决定、角色、承诺、规则和责任承担。</x:v>
      </x:c>
      <x:c r="Y360" s="46" t="str">
        <x:v>决定、承诺与责任主要包括：共同决定、角色、承诺、规则和责任承担。</x:v>
      </x:c>
      <x:c r="Z36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60" s="46" t="str">
        <x:v>高</x:v>
      </x:c>
      <x:c r="AB360" s="46" t="str">
        <x:v>待验证</x:v>
      </x:c>
      <x:c r="AC360" s="46" t="str"/>
      <x:c r="AD360" s="46" t="str">
        <x:v>exchange_domain=XD06; provisional=true; rule_group=EXCHANGE-XD领域</x:v>
      </x:c>
      <x:c r="AE360" s="46" t="str">
        <x:v>0.4</x:v>
      </x:c>
    </x:row>
    <x:row r="361" ht="50" customHeight="1">
      <x:c r="A361" s="46" t="str">
        <x:v>M5-EXCHANGE-360</x:v>
      </x:c>
      <x:c r="B361" s="46" t="str">
        <x:v>XD06 决定、承诺与责任｜通道路由</x:v>
      </x:c>
      <x:c r="C361" s="46" t="str">
        <x:v>L7 交换领域</x:v>
      </x:c>
      <x:c r="D361" s="46" t="str">
        <x:v>EXCHANGE-XD领域</x:v>
      </x:c>
      <x:c r="E361" s="46" t="str">
        <x:v>通用</x:v>
      </x:c>
      <x:c r="F361" s="46" t="str">
        <x:v>路由</x:v>
      </x:c>
      <x:c r="G361" s="46" t="str">
        <x:v>XD06</x:v>
      </x:c>
      <x:c r="H361" s="46" t="str">
        <x:v>决定、承诺与责任</x:v>
      </x:c>
      <x:c r="I361" s="46" t="str">
        <x:v>主EC或次EC与该领域相关。</x:v>
      </x:c>
      <x:c r="J361" s="46" t="str">
        <x:v>把所有EC都堆入同一领域。</x:v>
      </x:c>
      <x:c r="K361" s="46" t="str">
        <x:v>由共享基础引擎、M3与M5-BASE提供；只修正用户怎样给予、请求、接收和回馈，不直接判断双方现实交换质量。</x:v>
      </x:c>
      <x:c r="L361" s="46" t="str">
        <x:v>M2只说明进入关系所需资格证据；不能替代长期双向交换、负荷与修复验证。</x:v>
      </x:c>
      <x:c r="M361" s="46" t="str">
        <x:v>M3-BASE、EXPR、CARE和BOUND提供用户自然互动通道；M5-EXCHANGE负责把两人的实际行为合成为交换结构。</x:v>
      </x:c>
      <x:c r="N361" s="46" t="str">
        <x:v>无／按本规则指定的给予—请求—接收—反馈—重订路径路由。</x:v>
      </x:c>
      <x:c r="O361" s="46" t="str">
        <x:v>近位、远位只修正该交换需求进入亲密关系核心的可能；不得据此判断具体伴侣现实中一定配合。</x:v>
      </x:c>
      <x:c r="P361" s="46" t="str">
        <x:v>根气只修正用户交换需求和通道是否稳定重复，不等于双方已形成成熟互惠。</x:v>
      </x:c>
      <x:c r="Q361" s="46" t="str">
        <x:v>旺弱只修正通道调用强度、抢位或缺位风险，不直接等于交换公平或关系质量。</x:v>
      </x:c>
      <x:c r="R361" s="46" t="str">
        <x:v>喜忌只修正调用顺畅度与摩擦，不可直接翻译为理想伴侣五行、十神或必然互补。</x:v>
      </x:c>
      <x:c r="S361" s="46" t="str">
        <x:v>真合化成立时按化神功能重算用户交换需求；合化争议时停止细化交换通道。</x:v>
      </x:c>
      <x:c r="T361" s="46" t="str">
        <x:v>近位提高该交换议题进入关系核心的可能；远位只保留背景或阶段性观察。</x:v>
      </x:c>
      <x:c r="U361" s="46" t="str">
        <x:v>78</x:v>
      </x:c>
      <x:c r="V361" s="46" t="str">
        <x:v>EC领域路由</x:v>
      </x:c>
      <x:c r="W361" s="46" t="str">
        <x:v>primary_exchange_channel</x:v>
      </x:c>
      <x:c r="X361" s="46" t="str">
        <x:v>EC01、EC07、EC08</x:v>
      </x:c>
      <x:c r="Y361" s="46" t="str">
        <x:v>该领域常见交换通道：EC01、EC07、EC08</x:v>
      </x:c>
      <x:c r="Z36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61" s="46" t="str">
        <x:v>中</x:v>
      </x:c>
      <x:c r="AB361" s="46" t="str">
        <x:v>待验证</x:v>
      </x:c>
      <x:c r="AC361" s="46" t="str"/>
      <x:c r="AD361" s="46" t="str">
        <x:v>exchange_domain=XD06; provisional=true; rule_group=EXCHANGE-XD领域</x:v>
      </x:c>
      <x:c r="AE361" s="46" t="str">
        <x:v>0.4</x:v>
      </x:c>
    </x:row>
    <x:row r="362" ht="50" customHeight="1">
      <x:c r="A362" s="46" t="str">
        <x:v>M5-EXCHANGE-361</x:v>
      </x:c>
      <x:c r="B362" s="46" t="str">
        <x:v>XD06 决定、承诺与责任｜关键观察</x:v>
      </x:c>
      <x:c r="C362" s="46" t="str">
        <x:v>L7 交换领域</x:v>
      </x:c>
      <x:c r="D362" s="46" t="str">
        <x:v>EXCHANGE-XD领域</x:v>
      </x:c>
      <x:c r="E362" s="46" t="str">
        <x:v>通用</x:v>
      </x:c>
      <x:c r="F362" s="46" t="str">
        <x:v>证据</x:v>
      </x:c>
      <x:c r="G362" s="46" t="str">
        <x:v>XD06</x:v>
      </x:c>
      <x:c r="H362" s="46" t="str">
        <x:v>决定、承诺与责任</x:v>
      </x:c>
      <x:c r="I362" s="46" t="str">
        <x:v>存在该领域现实事件。</x:v>
      </x:c>
      <x:c r="J362" s="46" t="str">
        <x:v>只有抽象评价或一次高光。</x:v>
      </x:c>
      <x:c r="K362" s="46" t="str">
        <x:v>由共享基础引擎、M3与M5-BASE提供；只修正用户怎样给予、请求、接收和回馈，不直接判断双方现实交换质量。</x:v>
      </x:c>
      <x:c r="L362" s="46" t="str">
        <x:v>M2只说明进入关系所需资格证据；不能替代长期双向交换、负荷与修复验证。</x:v>
      </x:c>
      <x:c r="M362" s="46" t="str">
        <x:v>M3-BASE、EXPR、CARE和BOUND提供用户自然互动通道；M5-EXCHANGE负责把两人的实际行为合成为交换结构。</x:v>
      </x:c>
      <x:c r="N362" s="46" t="str">
        <x:v>无／按本规则指定的给予—请求—接收—反馈—重订路径路由。</x:v>
      </x:c>
      <x:c r="O362" s="46" t="str">
        <x:v>近位、远位只修正该交换需求进入亲密关系核心的可能；不得据此判断具体伴侣现实中一定配合。</x:v>
      </x:c>
      <x:c r="P362" s="46" t="str">
        <x:v>根气只修正用户交换需求和通道是否稳定重复，不等于双方已形成成熟互惠。</x:v>
      </x:c>
      <x:c r="Q362" s="46" t="str">
        <x:v>旺弱只修正通道调用强度、抢位或缺位风险，不直接等于交换公平或关系质量。</x:v>
      </x:c>
      <x:c r="R362" s="46" t="str">
        <x:v>喜忌只修正调用顺畅度与摩擦，不可直接翻译为理想伴侣五行、十神或必然互补。</x:v>
      </x:c>
      <x:c r="S362" s="46" t="str">
        <x:v>真合化成立时按化神功能重算用户交换需求；合化争议时停止细化交换通道。</x:v>
      </x:c>
      <x:c r="T362" s="46" t="str">
        <x:v>近位提高该交换议题进入关系核心的可能；远位只保留背景或阶段性观察。</x:v>
      </x:c>
      <x:c r="U362" s="46" t="str">
        <x:v>86</x:v>
      </x:c>
      <x:c r="V362" s="46" t="str">
        <x:v>XV层级修正</x:v>
      </x:c>
      <x:c r="W362" s="46" t="str">
        <x:v>observation_plan</x:v>
      </x:c>
      <x:c r="X362" s="46" t="str">
        <x:v>是否保留同意、问责和重订机制。</x:v>
      </x:c>
      <x:c r="Y362" s="46" t="str">
        <x:v>在决定、承诺与责任中，重点观察：是否保留同意、问责和重订机制。</x:v>
      </x:c>
      <x:c r="Z36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62" s="46" t="str">
        <x:v>中高</x:v>
      </x:c>
      <x:c r="AB362" s="46" t="str">
        <x:v>待验证</x:v>
      </x:c>
      <x:c r="AC362" s="46" t="str"/>
      <x:c r="AD362" s="46" t="str">
        <x:v>exchange_domain=XD06; provisional=true; rule_group=EXCHANGE-XD领域</x:v>
      </x:c>
      <x:c r="AE362" s="46" t="str">
        <x:v>0.4</x:v>
      </x:c>
    </x:row>
    <x:row r="363" ht="50" customHeight="1">
      <x:c r="A363" s="46" t="str">
        <x:v>M5-EXCHANGE-362</x:v>
      </x:c>
      <x:c r="B363" s="46" t="str">
        <x:v>XD06 决定、承诺与责任｜跨领域边界</x:v>
      </x:c>
      <x:c r="C363" s="46" t="str">
        <x:v>L7 交换领域</x:v>
      </x:c>
      <x:c r="D363" s="46" t="str">
        <x:v>EXCHANGE-XD领域</x:v>
      </x:c>
      <x:c r="E363" s="46" t="str">
        <x:v>通用</x:v>
      </x:c>
      <x:c r="F363" s="46" t="str">
        <x:v>边界</x:v>
      </x:c>
      <x:c r="G363" s="46" t="str">
        <x:v>XD06</x:v>
      </x:c>
      <x:c r="H363" s="46" t="str">
        <x:v>决定、承诺与责任</x:v>
      </x:c>
      <x:c r="I363" s="46" t="str">
        <x:v>准备从该领域推广到整体交换。</x:v>
      </x:c>
      <x:c r="J363" s="46" t="str">
        <x:v>XV4以上且至少两个领域一致。</x:v>
      </x:c>
      <x:c r="K363" s="46" t="str">
        <x:v>由共享基础引擎、M3与M5-BASE提供；只修正用户怎样给予、请求、接收和回馈，不直接判断双方现实交换质量。</x:v>
      </x:c>
      <x:c r="L363" s="46" t="str">
        <x:v>M2只说明进入关系所需资格证据；不能替代长期双向交换、负荷与修复验证。</x:v>
      </x:c>
      <x:c r="M363" s="46" t="str">
        <x:v>M3-BASE、EXPR、CARE和BOUND提供用户自然互动通道；M5-EXCHANGE负责把两人的实际行为合成为交换结构。</x:v>
      </x:c>
      <x:c r="N363" s="46" t="str">
        <x:v>无／按本规则指定的给予—请求—接收—反馈—重订路径路由。</x:v>
      </x:c>
      <x:c r="O363" s="46" t="str">
        <x:v>近位、远位只修正该交换需求进入亲密关系核心的可能；不得据此判断具体伴侣现实中一定配合。</x:v>
      </x:c>
      <x:c r="P363" s="46" t="str">
        <x:v>根气只修正用户交换需求和通道是否稳定重复，不等于双方已形成成熟互惠。</x:v>
      </x:c>
      <x:c r="Q363" s="46" t="str">
        <x:v>旺弱只修正通道调用强度、抢位或缺位风险，不直接等于交换公平或关系质量。</x:v>
      </x:c>
      <x:c r="R363" s="46" t="str">
        <x:v>喜忌只修正调用顺畅度与摩擦，不可直接翻译为理想伴侣五行、十神或必然互补。</x:v>
      </x:c>
      <x:c r="S363" s="46" t="str">
        <x:v>真合化成立时按化神功能重算用户交换需求；合化争议时停止细化交换通道。</x:v>
      </x:c>
      <x:c r="T363" s="46" t="str">
        <x:v>近位提高该交换议题进入关系核心的可能；远位只保留背景或阶段性观察。</x:v>
      </x:c>
      <x:c r="U363" s="46" t="str">
        <x:v>94</x:v>
      </x:c>
      <x:c r="V363" s="46" t="str">
        <x:v>不加分；边界</x:v>
      </x:c>
      <x:c r="W363" s="46" t="str">
        <x:v>boundary_note</x:v>
      </x:c>
      <x:c r="X363" s="46" t="str">
        <x:v>领域能力需要分别验证。</x:v>
      </x:c>
      <x:c r="Y363" s="46" t="str">
        <x:v>在这个领域做得好，不能自动说明所有方面都同样成熟。</x:v>
      </x:c>
      <x:c r="Z36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63" s="46" t="str">
        <x:v>高</x:v>
      </x:c>
      <x:c r="AB363" s="46" t="str">
        <x:v>待验证</x:v>
      </x:c>
      <x:c r="AC363" s="46" t="str"/>
      <x:c r="AD363" s="46" t="str">
        <x:v>exchange_domain=XD06; provisional=true; rule_group=EXCHANGE-XD领域</x:v>
      </x:c>
      <x:c r="AE363" s="46" t="str">
        <x:v>0.4</x:v>
      </x:c>
    </x:row>
    <x:row r="364" ht="50" customHeight="1">
      <x:c r="A364" s="46" t="str">
        <x:v>M5-EXCHANGE-363</x:v>
      </x:c>
      <x:c r="B364" s="46" t="str">
        <x:v>XD07 危机行动与保护｜领域定义</x:v>
      </x:c>
      <x:c r="C364" s="46" t="str">
        <x:v>L7 交换领域</x:v>
      </x:c>
      <x:c r="D364" s="46" t="str">
        <x:v>EXCHANGE-XD领域</x:v>
      </x:c>
      <x:c r="E364" s="46" t="str">
        <x:v>通用</x:v>
      </x:c>
      <x:c r="F364" s="46" t="str">
        <x:v>定义</x:v>
      </x:c>
      <x:c r="G364" s="46" t="str">
        <x:v>XD07</x:v>
      </x:c>
      <x:c r="H364" s="46" t="str">
        <x:v>危机行动与保护</x:v>
      </x:c>
      <x:c r="I364" s="46" t="str">
        <x:v>分析双方在该领域的交换。</x:v>
      </x:c>
      <x:c r="J364" s="46" t="str">
        <x:v>无</x:v>
      </x:c>
      <x:c r="K364" s="46" t="str">
        <x:v>由共享基础引擎、M3与M5-BASE提供；只修正用户怎样给予、请求、接收和回馈，不直接判断双方现实交换质量。</x:v>
      </x:c>
      <x:c r="L364" s="46" t="str">
        <x:v>M2只说明进入关系所需资格证据；不能替代长期双向交换、负荷与修复验证。</x:v>
      </x:c>
      <x:c r="M364" s="46" t="str">
        <x:v>M3-BASE、EXPR、CARE和BOUND提供用户自然互动通道；M5-EXCHANGE负责把两人的实际行为合成为交换结构。</x:v>
      </x:c>
      <x:c r="N364" s="46" t="str">
        <x:v>无／按本规则指定的给予—请求—接收—反馈—重订路径路由。</x:v>
      </x:c>
      <x:c r="O364" s="46" t="str">
        <x:v>近位、远位只修正该交换需求进入亲密关系核心的可能；不得据此判断具体伴侣现实中一定配合。</x:v>
      </x:c>
      <x:c r="P364" s="46" t="str">
        <x:v>根气只修正用户交换需求和通道是否稳定重复，不等于双方已形成成熟互惠。</x:v>
      </x:c>
      <x:c r="Q364" s="46" t="str">
        <x:v>旺弱只修正通道调用强度、抢位或缺位风险，不直接等于交换公平或关系质量。</x:v>
      </x:c>
      <x:c r="R364" s="46" t="str">
        <x:v>喜忌只修正调用顺畅度与摩擦，不可直接翻译为理想伴侣五行、十神或必然互补。</x:v>
      </x:c>
      <x:c r="S364" s="46" t="str">
        <x:v>真合化成立时按化神功能重算用户交换需求；合化争议时停止细化交换通道。</x:v>
      </x:c>
      <x:c r="T364" s="46" t="str">
        <x:v>近位提高该交换议题进入关系核心的可能；远位只保留背景或阶段性观察。</x:v>
      </x:c>
      <x:c r="U364" s="46" t="str">
        <x:v>88</x:v>
      </x:c>
      <x:c r="V364" s="46" t="str">
        <x:v>不加分；领域定义</x:v>
      </x:c>
      <x:c r="W364" s="46" t="str">
        <x:v>exchange_domains</x:v>
      </x:c>
      <x:c r="X364" s="46" t="str">
        <x:v>突发事件、风险处理、止损和关键行动。</x:v>
      </x:c>
      <x:c r="Y364" s="46" t="str">
        <x:v>危机行动与保护主要包括：突发事件、风险处理、止损和关键行动。</x:v>
      </x:c>
      <x:c r="Z36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64" s="46" t="str">
        <x:v>高</x:v>
      </x:c>
      <x:c r="AB364" s="46" t="str">
        <x:v>待验证</x:v>
      </x:c>
      <x:c r="AC364" s="46" t="str"/>
      <x:c r="AD364" s="46" t="str">
        <x:v>exchange_domain=XD07; provisional=true; rule_group=EXCHANGE-XD领域</x:v>
      </x:c>
      <x:c r="AE364" s="46" t="str">
        <x:v>0.4</x:v>
      </x:c>
    </x:row>
    <x:row r="365" ht="50" customHeight="1">
      <x:c r="A365" s="46" t="str">
        <x:v>M5-EXCHANGE-364</x:v>
      </x:c>
      <x:c r="B365" s="46" t="str">
        <x:v>XD07 危机行动与保护｜通道路由</x:v>
      </x:c>
      <x:c r="C365" s="46" t="str">
        <x:v>L7 交换领域</x:v>
      </x:c>
      <x:c r="D365" s="46" t="str">
        <x:v>EXCHANGE-XD领域</x:v>
      </x:c>
      <x:c r="E365" s="46" t="str">
        <x:v>通用</x:v>
      </x:c>
      <x:c r="F365" s="46" t="str">
        <x:v>路由</x:v>
      </x:c>
      <x:c r="G365" s="46" t="str">
        <x:v>XD07</x:v>
      </x:c>
      <x:c r="H365" s="46" t="str">
        <x:v>危机行动与保护</x:v>
      </x:c>
      <x:c r="I365" s="46" t="str">
        <x:v>主EC或次EC与该领域相关。</x:v>
      </x:c>
      <x:c r="J365" s="46" t="str">
        <x:v>把所有EC都堆入同一领域。</x:v>
      </x:c>
      <x:c r="K365" s="46" t="str">
        <x:v>由共享基础引擎、M3与M5-BASE提供；只修正用户怎样给予、请求、接收和回馈，不直接判断双方现实交换质量。</x:v>
      </x:c>
      <x:c r="L365" s="46" t="str">
        <x:v>M2只说明进入关系所需资格证据；不能替代长期双向交换、负荷与修复验证。</x:v>
      </x:c>
      <x:c r="M365" s="46" t="str">
        <x:v>M3-BASE、EXPR、CARE和BOUND提供用户自然互动通道；M5-EXCHANGE负责把两人的实际行为合成为交换结构。</x:v>
      </x:c>
      <x:c r="N365" s="46" t="str">
        <x:v>无／按本规则指定的给予—请求—接收—反馈—重订路径路由。</x:v>
      </x:c>
      <x:c r="O365" s="46" t="str">
        <x:v>近位、远位只修正该交换需求进入亲密关系核心的可能；不得据此判断具体伴侣现实中一定配合。</x:v>
      </x:c>
      <x:c r="P365" s="46" t="str">
        <x:v>根气只修正用户交换需求和通道是否稳定重复，不等于双方已形成成熟互惠。</x:v>
      </x:c>
      <x:c r="Q365" s="46" t="str">
        <x:v>旺弱只修正通道调用强度、抢位或缺位风险，不直接等于交换公平或关系质量。</x:v>
      </x:c>
      <x:c r="R365" s="46" t="str">
        <x:v>喜忌只修正调用顺畅度与摩擦，不可直接翻译为理想伴侣五行、十神或必然互补。</x:v>
      </x:c>
      <x:c r="S365" s="46" t="str">
        <x:v>真合化成立时按化神功能重算用户交换需求；合化争议时停止细化交换通道。</x:v>
      </x:c>
      <x:c r="T365" s="46" t="str">
        <x:v>近位提高该交换议题进入关系核心的可能；远位只保留背景或阶段性观察。</x:v>
      </x:c>
      <x:c r="U365" s="46" t="str">
        <x:v>78</x:v>
      </x:c>
      <x:c r="V365" s="46" t="str">
        <x:v>EC领域路由</x:v>
      </x:c>
      <x:c r="W365" s="46" t="str">
        <x:v>primary_exchange_channel</x:v>
      </x:c>
      <x:c r="X365" s="46" t="str">
        <x:v>EC02、EC08</x:v>
      </x:c>
      <x:c r="Y365" s="46" t="str">
        <x:v>该领域常见交换通道：EC02、EC08</x:v>
      </x:c>
      <x:c r="Z36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65" s="46" t="str">
        <x:v>中</x:v>
      </x:c>
      <x:c r="AB365" s="46" t="str">
        <x:v>待验证</x:v>
      </x:c>
      <x:c r="AC365" s="46" t="str"/>
      <x:c r="AD365" s="46" t="str">
        <x:v>exchange_domain=XD07; provisional=true; rule_group=EXCHANGE-XD领域</x:v>
      </x:c>
      <x:c r="AE365" s="46" t="str">
        <x:v>0.4</x:v>
      </x:c>
    </x:row>
    <x:row r="366" ht="50" customHeight="1">
      <x:c r="A366" s="46" t="str">
        <x:v>M5-EXCHANGE-365</x:v>
      </x:c>
      <x:c r="B366" s="46" t="str">
        <x:v>XD07 危机行动与保护｜关键观察</x:v>
      </x:c>
      <x:c r="C366" s="46" t="str">
        <x:v>L7 交换领域</x:v>
      </x:c>
      <x:c r="D366" s="46" t="str">
        <x:v>EXCHANGE-XD领域</x:v>
      </x:c>
      <x:c r="E366" s="46" t="str">
        <x:v>通用</x:v>
      </x:c>
      <x:c r="F366" s="46" t="str">
        <x:v>证据</x:v>
      </x:c>
      <x:c r="G366" s="46" t="str">
        <x:v>XD07</x:v>
      </x:c>
      <x:c r="H366" s="46" t="str">
        <x:v>危机行动与保护</x:v>
      </x:c>
      <x:c r="I366" s="46" t="str">
        <x:v>存在该领域现实事件。</x:v>
      </x:c>
      <x:c r="J366" s="46" t="str">
        <x:v>只有抽象评价或一次高光。</x:v>
      </x:c>
      <x:c r="K366" s="46" t="str">
        <x:v>由共享基础引擎、M3与M5-BASE提供；只修正用户怎样给予、请求、接收和回馈，不直接判断双方现实交换质量。</x:v>
      </x:c>
      <x:c r="L366" s="46" t="str">
        <x:v>M2只说明进入关系所需资格证据；不能替代长期双向交换、负荷与修复验证。</x:v>
      </x:c>
      <x:c r="M366" s="46" t="str">
        <x:v>M3-BASE、EXPR、CARE和BOUND提供用户自然互动通道；M5-EXCHANGE负责把两人的实际行为合成为交换结构。</x:v>
      </x:c>
      <x:c r="N366" s="46" t="str">
        <x:v>无／按本规则指定的给予—请求—接收—反馈—重订路径路由。</x:v>
      </x:c>
      <x:c r="O366" s="46" t="str">
        <x:v>近位、远位只修正该交换需求进入亲密关系核心的可能；不得据此判断具体伴侣现实中一定配合。</x:v>
      </x:c>
      <x:c r="P366" s="46" t="str">
        <x:v>根气只修正用户交换需求和通道是否稳定重复，不等于双方已形成成熟互惠。</x:v>
      </x:c>
      <x:c r="Q366" s="46" t="str">
        <x:v>旺弱只修正通道调用强度、抢位或缺位风险，不直接等于交换公平或关系质量。</x:v>
      </x:c>
      <x:c r="R366" s="46" t="str">
        <x:v>喜忌只修正调用顺畅度与摩擦，不可直接翻译为理想伴侣五行、十神或必然互补。</x:v>
      </x:c>
      <x:c r="S366" s="46" t="str">
        <x:v>真合化成立时按化神功能重算用户交换需求；合化争议时停止细化交换通道。</x:v>
      </x:c>
      <x:c r="T366" s="46" t="str">
        <x:v>近位提高该交换议题进入关系核心的可能；远位只保留背景或阶段性观察。</x:v>
      </x:c>
      <x:c r="U366" s="46" t="str">
        <x:v>86</x:v>
      </x:c>
      <x:c r="V366" s="46" t="str">
        <x:v>XV层级修正</x:v>
      </x:c>
      <x:c r="W366" s="46" t="str">
        <x:v>observation_plan</x:v>
      </x:c>
      <x:c r="X366" s="46" t="str">
        <x:v>紧急授权是否清楚，事后是否归还参与权。</x:v>
      </x:c>
      <x:c r="Y366" s="46" t="str">
        <x:v>在危机行动与保护中，重点观察：紧急授权是否清楚，事后是否归还参与权。</x:v>
      </x:c>
      <x:c r="Z36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66" s="46" t="str">
        <x:v>中高</x:v>
      </x:c>
      <x:c r="AB366" s="46" t="str">
        <x:v>待验证</x:v>
      </x:c>
      <x:c r="AC366" s="46" t="str"/>
      <x:c r="AD366" s="46" t="str">
        <x:v>exchange_domain=XD07; provisional=true; rule_group=EXCHANGE-XD领域</x:v>
      </x:c>
      <x:c r="AE366" s="46" t="str">
        <x:v>0.4</x:v>
      </x:c>
    </x:row>
    <x:row r="367" ht="50" customHeight="1">
      <x:c r="A367" s="46" t="str">
        <x:v>M5-EXCHANGE-366</x:v>
      </x:c>
      <x:c r="B367" s="46" t="str">
        <x:v>XD07 危机行动与保护｜跨领域边界</x:v>
      </x:c>
      <x:c r="C367" s="46" t="str">
        <x:v>L7 交换领域</x:v>
      </x:c>
      <x:c r="D367" s="46" t="str">
        <x:v>EXCHANGE-XD领域</x:v>
      </x:c>
      <x:c r="E367" s="46" t="str">
        <x:v>通用</x:v>
      </x:c>
      <x:c r="F367" s="46" t="str">
        <x:v>边界</x:v>
      </x:c>
      <x:c r="G367" s="46" t="str">
        <x:v>XD07</x:v>
      </x:c>
      <x:c r="H367" s="46" t="str">
        <x:v>危机行动与保护</x:v>
      </x:c>
      <x:c r="I367" s="46" t="str">
        <x:v>准备从该领域推广到整体交换。</x:v>
      </x:c>
      <x:c r="J367" s="46" t="str">
        <x:v>XV4以上且至少两个领域一致。</x:v>
      </x:c>
      <x:c r="K367" s="46" t="str">
        <x:v>由共享基础引擎、M3与M5-BASE提供；只修正用户怎样给予、请求、接收和回馈，不直接判断双方现实交换质量。</x:v>
      </x:c>
      <x:c r="L367" s="46" t="str">
        <x:v>M2只说明进入关系所需资格证据；不能替代长期双向交换、负荷与修复验证。</x:v>
      </x:c>
      <x:c r="M367" s="46" t="str">
        <x:v>M3-BASE、EXPR、CARE和BOUND提供用户自然互动通道；M5-EXCHANGE负责把两人的实际行为合成为交换结构。</x:v>
      </x:c>
      <x:c r="N367" s="46" t="str">
        <x:v>无／按本规则指定的给予—请求—接收—反馈—重订路径路由。</x:v>
      </x:c>
      <x:c r="O367" s="46" t="str">
        <x:v>近位、远位只修正该交换需求进入亲密关系核心的可能；不得据此判断具体伴侣现实中一定配合。</x:v>
      </x:c>
      <x:c r="P367" s="46" t="str">
        <x:v>根气只修正用户交换需求和通道是否稳定重复，不等于双方已形成成熟互惠。</x:v>
      </x:c>
      <x:c r="Q367" s="46" t="str">
        <x:v>旺弱只修正通道调用强度、抢位或缺位风险，不直接等于交换公平或关系质量。</x:v>
      </x:c>
      <x:c r="R367" s="46" t="str">
        <x:v>喜忌只修正调用顺畅度与摩擦，不可直接翻译为理想伴侣五行、十神或必然互补。</x:v>
      </x:c>
      <x:c r="S367" s="46" t="str">
        <x:v>真合化成立时按化神功能重算用户交换需求；合化争议时停止细化交换通道。</x:v>
      </x:c>
      <x:c r="T367" s="46" t="str">
        <x:v>近位提高该交换议题进入关系核心的可能；远位只保留背景或阶段性观察。</x:v>
      </x:c>
      <x:c r="U367" s="46" t="str">
        <x:v>94</x:v>
      </x:c>
      <x:c r="V367" s="46" t="str">
        <x:v>不加分；边界</x:v>
      </x:c>
      <x:c r="W367" s="46" t="str">
        <x:v>boundary_note</x:v>
      </x:c>
      <x:c r="X367" s="46" t="str">
        <x:v>领域能力需要分别验证。</x:v>
      </x:c>
      <x:c r="Y367" s="46" t="str">
        <x:v>在这个领域做得好，不能自动说明所有方面都同样成熟。</x:v>
      </x:c>
      <x:c r="Z36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67" s="46" t="str">
        <x:v>高</x:v>
      </x:c>
      <x:c r="AB367" s="46" t="str">
        <x:v>待验证</x:v>
      </x:c>
      <x:c r="AC367" s="46" t="str"/>
      <x:c r="AD367" s="46" t="str">
        <x:v>exchange_domain=XD07; provisional=true; rule_group=EXCHANGE-XD领域</x:v>
      </x:c>
      <x:c r="AE367" s="46" t="str">
        <x:v>0.4</x:v>
      </x:c>
    </x:row>
    <x:row r="368" ht="50" customHeight="1">
      <x:c r="A368" s="46" t="str">
        <x:v>M5-EXCHANGE-367</x:v>
      </x:c>
      <x:c r="B368" s="46" t="str">
        <x:v>XD08 亲密、身体、隐私与空间｜领域定义</x:v>
      </x:c>
      <x:c r="C368" s="46" t="str">
        <x:v>L7 交换领域</x:v>
      </x:c>
      <x:c r="D368" s="46" t="str">
        <x:v>EXCHANGE-XD领域</x:v>
      </x:c>
      <x:c r="E368" s="46" t="str">
        <x:v>通用</x:v>
      </x:c>
      <x:c r="F368" s="46" t="str">
        <x:v>定义</x:v>
      </x:c>
      <x:c r="G368" s="46" t="str">
        <x:v>XD08</x:v>
      </x:c>
      <x:c r="H368" s="46" t="str">
        <x:v>亲密、身体、隐私与空间</x:v>
      </x:c>
      <x:c r="I368" s="46" t="str">
        <x:v>分析双方在该领域的交换。</x:v>
      </x:c>
      <x:c r="J368" s="46" t="str">
        <x:v>无</x:v>
      </x:c>
      <x:c r="K368" s="46" t="str">
        <x:v>由共享基础引擎、M3与M5-BASE提供；只修正用户怎样给予、请求、接收和回馈，不直接判断双方现实交换质量。</x:v>
      </x:c>
      <x:c r="L368" s="46" t="str">
        <x:v>M2只说明进入关系所需资格证据；不能替代长期双向交换、负荷与修复验证。</x:v>
      </x:c>
      <x:c r="M368" s="46" t="str">
        <x:v>M3-BASE、EXPR、CARE和BOUND提供用户自然互动通道；M5-EXCHANGE负责把两人的实际行为合成为交换结构。</x:v>
      </x:c>
      <x:c r="N368" s="46" t="str">
        <x:v>无／按本规则指定的给予—请求—接收—反馈—重订路径路由。</x:v>
      </x:c>
      <x:c r="O368" s="46" t="str">
        <x:v>近位、远位只修正该交换需求进入亲密关系核心的可能；不得据此判断具体伴侣现实中一定配合。</x:v>
      </x:c>
      <x:c r="P368" s="46" t="str">
        <x:v>根气只修正用户交换需求和通道是否稳定重复，不等于双方已形成成熟互惠。</x:v>
      </x:c>
      <x:c r="Q368" s="46" t="str">
        <x:v>旺弱只修正通道调用强度、抢位或缺位风险，不直接等于交换公平或关系质量。</x:v>
      </x:c>
      <x:c r="R368" s="46" t="str">
        <x:v>喜忌只修正调用顺畅度与摩擦，不可直接翻译为理想伴侣五行、十神或必然互补。</x:v>
      </x:c>
      <x:c r="S368" s="46" t="str">
        <x:v>真合化成立时按化神功能重算用户交换需求；合化争议时停止细化交换通道。</x:v>
      </x:c>
      <x:c r="T368" s="46" t="str">
        <x:v>近位提高该交换议题进入关系核心的可能；远位只保留背景或阶段性观察。</x:v>
      </x:c>
      <x:c r="U368" s="46" t="str">
        <x:v>88</x:v>
      </x:c>
      <x:c r="V368" s="46" t="str">
        <x:v>不加分；领域定义</x:v>
      </x:c>
      <x:c r="W368" s="46" t="str">
        <x:v>exchange_domains</x:v>
      </x:c>
      <x:c r="X368" s="46" t="str">
        <x:v>身体边界、亲密节奏、隐私、独处和暂停。</x:v>
      </x:c>
      <x:c r="Y368" s="46" t="str">
        <x:v>亲密、身体、隐私与空间主要包括：身体边界、亲密节奏、隐私、独处和暂停。</x:v>
      </x:c>
      <x:c r="Z36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68" s="46" t="str">
        <x:v>高</x:v>
      </x:c>
      <x:c r="AB368" s="46" t="str">
        <x:v>待验证</x:v>
      </x:c>
      <x:c r="AC368" s="46" t="str"/>
      <x:c r="AD368" s="46" t="str">
        <x:v>exchange_domain=XD08; provisional=true; rule_group=EXCHANGE-XD领域</x:v>
      </x:c>
      <x:c r="AE368" s="46" t="str">
        <x:v>0.4</x:v>
      </x:c>
    </x:row>
    <x:row r="369" ht="50" customHeight="1">
      <x:c r="A369" s="46" t="str">
        <x:v>M5-EXCHANGE-368</x:v>
      </x:c>
      <x:c r="B369" s="46" t="str">
        <x:v>XD08 亲密、身体、隐私与空间｜通道路由</x:v>
      </x:c>
      <x:c r="C369" s="46" t="str">
        <x:v>L7 交换领域</x:v>
      </x:c>
      <x:c r="D369" s="46" t="str">
        <x:v>EXCHANGE-XD领域</x:v>
      </x:c>
      <x:c r="E369" s="46" t="str">
        <x:v>通用</x:v>
      </x:c>
      <x:c r="F369" s="46" t="str">
        <x:v>路由</x:v>
      </x:c>
      <x:c r="G369" s="46" t="str">
        <x:v>XD08</x:v>
      </x:c>
      <x:c r="H369" s="46" t="str">
        <x:v>亲密、身体、隐私与空间</x:v>
      </x:c>
      <x:c r="I369" s="46" t="str">
        <x:v>主EC或次EC与该领域相关。</x:v>
      </x:c>
      <x:c r="J369" s="46" t="str">
        <x:v>把所有EC都堆入同一领域。</x:v>
      </x:c>
      <x:c r="K369" s="46" t="str">
        <x:v>由共享基础引擎、M3与M5-BASE提供；只修正用户怎样给予、请求、接收和回馈，不直接判断双方现实交换质量。</x:v>
      </x:c>
      <x:c r="L369" s="46" t="str">
        <x:v>M2只说明进入关系所需资格证据；不能替代长期双向交换、负荷与修复验证。</x:v>
      </x:c>
      <x:c r="M369" s="46" t="str">
        <x:v>M3-BASE、EXPR、CARE和BOUND提供用户自然互动通道；M5-EXCHANGE负责把两人的实际行为合成为交换结构。</x:v>
      </x:c>
      <x:c r="N369" s="46" t="str">
        <x:v>无／按本规则指定的给予—请求—接收—反馈—重订路径路由。</x:v>
      </x:c>
      <x:c r="O369" s="46" t="str">
        <x:v>近位、远位只修正该交换需求进入亲密关系核心的可能；不得据此判断具体伴侣现实中一定配合。</x:v>
      </x:c>
      <x:c r="P369" s="46" t="str">
        <x:v>根气只修正用户交换需求和通道是否稳定重复，不等于双方已形成成熟互惠。</x:v>
      </x:c>
      <x:c r="Q369" s="46" t="str">
        <x:v>旺弱只修正通道调用强度、抢位或缺位风险，不直接等于交换公平或关系质量。</x:v>
      </x:c>
      <x:c r="R369" s="46" t="str">
        <x:v>喜忌只修正调用顺畅度与摩擦，不可直接翻译为理想伴侣五行、十神或必然互补。</x:v>
      </x:c>
      <x:c r="S369" s="46" t="str">
        <x:v>真合化成立时按化神功能重算用户交换需求；合化争议时停止细化交换通道。</x:v>
      </x:c>
      <x:c r="T369" s="46" t="str">
        <x:v>近位提高该交换议题进入关系核心的可能；远位只保留背景或阶段性观察。</x:v>
      </x:c>
      <x:c r="U369" s="46" t="str">
        <x:v>78</x:v>
      </x:c>
      <x:c r="V369" s="46" t="str">
        <x:v>EC领域路由</x:v>
      </x:c>
      <x:c r="W369" s="46" t="str">
        <x:v>primary_exchange_channel</x:v>
      </x:c>
      <x:c r="X369" s="46" t="str">
        <x:v>EC01、EC09、EC10</x:v>
      </x:c>
      <x:c r="Y369" s="46" t="str">
        <x:v>该领域常见交换通道：EC01、EC09、EC10</x:v>
      </x:c>
      <x:c r="Z36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69" s="46" t="str">
        <x:v>中</x:v>
      </x:c>
      <x:c r="AB369" s="46" t="str">
        <x:v>待验证</x:v>
      </x:c>
      <x:c r="AC369" s="46" t="str"/>
      <x:c r="AD369" s="46" t="str">
        <x:v>exchange_domain=XD08; provisional=true; rule_group=EXCHANGE-XD领域</x:v>
      </x:c>
      <x:c r="AE369" s="46" t="str">
        <x:v>0.4</x:v>
      </x:c>
    </x:row>
    <x:row r="370" ht="50" customHeight="1">
      <x:c r="A370" s="46" t="str">
        <x:v>M5-EXCHANGE-369</x:v>
      </x:c>
      <x:c r="B370" s="46" t="str">
        <x:v>XD08 亲密、身体、隐私与空间｜关键观察</x:v>
      </x:c>
      <x:c r="C370" s="46" t="str">
        <x:v>L7 交换领域</x:v>
      </x:c>
      <x:c r="D370" s="46" t="str">
        <x:v>EXCHANGE-XD领域</x:v>
      </x:c>
      <x:c r="E370" s="46" t="str">
        <x:v>通用</x:v>
      </x:c>
      <x:c r="F370" s="46" t="str">
        <x:v>证据</x:v>
      </x:c>
      <x:c r="G370" s="46" t="str">
        <x:v>XD08</x:v>
      </x:c>
      <x:c r="H370" s="46" t="str">
        <x:v>亲密、身体、隐私与空间</x:v>
      </x:c>
      <x:c r="I370" s="46" t="str">
        <x:v>存在该领域现实事件。</x:v>
      </x:c>
      <x:c r="J370" s="46" t="str">
        <x:v>只有抽象评价或一次高光。</x:v>
      </x:c>
      <x:c r="K370" s="46" t="str">
        <x:v>由共享基础引擎、M3与M5-BASE提供；只修正用户怎样给予、请求、接收和回馈，不直接判断双方现实交换质量。</x:v>
      </x:c>
      <x:c r="L370" s="46" t="str">
        <x:v>M2只说明进入关系所需资格证据；不能替代长期双向交换、负荷与修复验证。</x:v>
      </x:c>
      <x:c r="M370" s="46" t="str">
        <x:v>M3-BASE、EXPR、CARE和BOUND提供用户自然互动通道；M5-EXCHANGE负责把两人的实际行为合成为交换结构。</x:v>
      </x:c>
      <x:c r="N370" s="46" t="str">
        <x:v>无／按本规则指定的给予—请求—接收—反馈—重订路径路由。</x:v>
      </x:c>
      <x:c r="O370" s="46" t="str">
        <x:v>近位、远位只修正该交换需求进入亲密关系核心的可能；不得据此判断具体伴侣现实中一定配合。</x:v>
      </x:c>
      <x:c r="P370" s="46" t="str">
        <x:v>根气只修正用户交换需求和通道是否稳定重复，不等于双方已形成成熟互惠。</x:v>
      </x:c>
      <x:c r="Q370" s="46" t="str">
        <x:v>旺弱只修正通道调用强度、抢位或缺位风险，不直接等于交换公平或关系质量。</x:v>
      </x:c>
      <x:c r="R370" s="46" t="str">
        <x:v>喜忌只修正调用顺畅度与摩擦，不可直接翻译为理想伴侣五行、十神或必然互补。</x:v>
      </x:c>
      <x:c r="S370" s="46" t="str">
        <x:v>真合化成立时按化神功能重算用户交换需求；合化争议时停止细化交换通道。</x:v>
      </x:c>
      <x:c r="T370" s="46" t="str">
        <x:v>近位提高该交换议题进入关系核心的可能；远位只保留背景或阶段性观察。</x:v>
      </x:c>
      <x:c r="U370" s="46" t="str">
        <x:v>86</x:v>
      </x:c>
      <x:c r="V370" s="46" t="str">
        <x:v>XV层级修正</x:v>
      </x:c>
      <x:c r="W370" s="46" t="str">
        <x:v>observation_plan</x:v>
      </x:c>
      <x:c r="X370" s="46" t="str">
        <x:v>是否自愿、可停止、有最低连接和回归。</x:v>
      </x:c>
      <x:c r="Y370" s="46" t="str">
        <x:v>在亲密、身体、隐私与空间中，重点观察：是否自愿、可停止、有最低连接和回归。</x:v>
      </x:c>
      <x:c r="Z37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70" s="46" t="str">
        <x:v>中高</x:v>
      </x:c>
      <x:c r="AB370" s="46" t="str">
        <x:v>待验证</x:v>
      </x:c>
      <x:c r="AC370" s="46" t="str"/>
      <x:c r="AD370" s="46" t="str">
        <x:v>exchange_domain=XD08; provisional=true; rule_group=EXCHANGE-XD领域</x:v>
      </x:c>
      <x:c r="AE370" s="46" t="str">
        <x:v>0.4</x:v>
      </x:c>
    </x:row>
    <x:row r="371" ht="50" customHeight="1">
      <x:c r="A371" s="46" t="str">
        <x:v>M5-EXCHANGE-370</x:v>
      </x:c>
      <x:c r="B371" s="46" t="str">
        <x:v>XD08 亲密、身体、隐私与空间｜跨领域边界</x:v>
      </x:c>
      <x:c r="C371" s="46" t="str">
        <x:v>L7 交换领域</x:v>
      </x:c>
      <x:c r="D371" s="46" t="str">
        <x:v>EXCHANGE-XD领域</x:v>
      </x:c>
      <x:c r="E371" s="46" t="str">
        <x:v>通用</x:v>
      </x:c>
      <x:c r="F371" s="46" t="str">
        <x:v>边界</x:v>
      </x:c>
      <x:c r="G371" s="46" t="str">
        <x:v>XD08</x:v>
      </x:c>
      <x:c r="H371" s="46" t="str">
        <x:v>亲密、身体、隐私与空间</x:v>
      </x:c>
      <x:c r="I371" s="46" t="str">
        <x:v>准备从该领域推广到整体交换。</x:v>
      </x:c>
      <x:c r="J371" s="46" t="str">
        <x:v>XV4以上且至少两个领域一致。</x:v>
      </x:c>
      <x:c r="K371" s="46" t="str">
        <x:v>由共享基础引擎、M3与M5-BASE提供；只修正用户怎样给予、请求、接收和回馈，不直接判断双方现实交换质量。</x:v>
      </x:c>
      <x:c r="L371" s="46" t="str">
        <x:v>M2只说明进入关系所需资格证据；不能替代长期双向交换、负荷与修复验证。</x:v>
      </x:c>
      <x:c r="M371" s="46" t="str">
        <x:v>M3-BASE、EXPR、CARE和BOUND提供用户自然互动通道；M5-EXCHANGE负责把两人的实际行为合成为交换结构。</x:v>
      </x:c>
      <x:c r="N371" s="46" t="str">
        <x:v>无／按本规则指定的给予—请求—接收—反馈—重订路径路由。</x:v>
      </x:c>
      <x:c r="O371" s="46" t="str">
        <x:v>近位、远位只修正该交换需求进入亲密关系核心的可能；不得据此判断具体伴侣现实中一定配合。</x:v>
      </x:c>
      <x:c r="P371" s="46" t="str">
        <x:v>根气只修正用户交换需求和通道是否稳定重复，不等于双方已形成成熟互惠。</x:v>
      </x:c>
      <x:c r="Q371" s="46" t="str">
        <x:v>旺弱只修正通道调用强度、抢位或缺位风险，不直接等于交换公平或关系质量。</x:v>
      </x:c>
      <x:c r="R371" s="46" t="str">
        <x:v>喜忌只修正调用顺畅度与摩擦，不可直接翻译为理想伴侣五行、十神或必然互补。</x:v>
      </x:c>
      <x:c r="S371" s="46" t="str">
        <x:v>真合化成立时按化神功能重算用户交换需求；合化争议时停止细化交换通道。</x:v>
      </x:c>
      <x:c r="T371" s="46" t="str">
        <x:v>近位提高该交换议题进入关系核心的可能；远位只保留背景或阶段性观察。</x:v>
      </x:c>
      <x:c r="U371" s="46" t="str">
        <x:v>94</x:v>
      </x:c>
      <x:c r="V371" s="46" t="str">
        <x:v>不加分；边界</x:v>
      </x:c>
      <x:c r="W371" s="46" t="str">
        <x:v>boundary_note</x:v>
      </x:c>
      <x:c r="X371" s="46" t="str">
        <x:v>领域能力需要分别验证。</x:v>
      </x:c>
      <x:c r="Y371" s="46" t="str">
        <x:v>在这个领域做得好，不能自动说明所有方面都同样成熟。</x:v>
      </x:c>
      <x:c r="Z37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71" s="46" t="str">
        <x:v>高</x:v>
      </x:c>
      <x:c r="AB371" s="46" t="str">
        <x:v>待验证</x:v>
      </x:c>
      <x:c r="AC371" s="46" t="str"/>
      <x:c r="AD371" s="46" t="str">
        <x:v>exchange_domain=XD08; provisional=true; rule_group=EXCHANGE-XD领域</x:v>
      </x:c>
      <x:c r="AE371" s="46" t="str">
        <x:v>0.4</x:v>
      </x:c>
    </x:row>
    <x:row r="372" ht="50" customHeight="1">
      <x:c r="A372" s="46" t="str">
        <x:v>M5-EXCHANGE-371</x:v>
      </x:c>
      <x:c r="B372" s="46" t="str">
        <x:v>XD09 学习、认知与成长支持｜领域定义</x:v>
      </x:c>
      <x:c r="C372" s="46" t="str">
        <x:v>L7 交换领域</x:v>
      </x:c>
      <x:c r="D372" s="46" t="str">
        <x:v>EXCHANGE-XD领域</x:v>
      </x:c>
      <x:c r="E372" s="46" t="str">
        <x:v>通用</x:v>
      </x:c>
      <x:c r="F372" s="46" t="str">
        <x:v>定义</x:v>
      </x:c>
      <x:c r="G372" s="46" t="str">
        <x:v>XD09</x:v>
      </x:c>
      <x:c r="H372" s="46" t="str">
        <x:v>学习、认知与成长支持</x:v>
      </x:c>
      <x:c r="I372" s="46" t="str">
        <x:v>分析双方在该领域的交换。</x:v>
      </x:c>
      <x:c r="J372" s="46" t="str">
        <x:v>无</x:v>
      </x:c>
      <x:c r="K372" s="46" t="str">
        <x:v>由共享基础引擎、M3与M5-BASE提供；只修正用户怎样给予、请求、接收和回馈，不直接判断双方现实交换质量。</x:v>
      </x:c>
      <x:c r="L372" s="46" t="str">
        <x:v>M2只说明进入关系所需资格证据；不能替代长期双向交换、负荷与修复验证。</x:v>
      </x:c>
      <x:c r="M372" s="46" t="str">
        <x:v>M3-BASE、EXPR、CARE和BOUND提供用户自然互动通道；M5-EXCHANGE负责把两人的实际行为合成为交换结构。</x:v>
      </x:c>
      <x:c r="N372" s="46" t="str">
        <x:v>无／按本规则指定的给予—请求—接收—反馈—重订路径路由。</x:v>
      </x:c>
      <x:c r="O372" s="46" t="str">
        <x:v>近位、远位只修正该交换需求进入亲密关系核心的可能；不得据此判断具体伴侣现实中一定配合。</x:v>
      </x:c>
      <x:c r="P372" s="46" t="str">
        <x:v>根气只修正用户交换需求和通道是否稳定重复，不等于双方已形成成熟互惠。</x:v>
      </x:c>
      <x:c r="Q372" s="46" t="str">
        <x:v>旺弱只修正通道调用强度、抢位或缺位风险，不直接等于交换公平或关系质量。</x:v>
      </x:c>
      <x:c r="R372" s="46" t="str">
        <x:v>喜忌只修正调用顺畅度与摩擦，不可直接翻译为理想伴侣五行、十神或必然互补。</x:v>
      </x:c>
      <x:c r="S372" s="46" t="str">
        <x:v>真合化成立时按化神功能重算用户交换需求；合化争议时停止细化交换通道。</x:v>
      </x:c>
      <x:c r="T372" s="46" t="str">
        <x:v>近位提高该交换议题进入关系核心的可能；远位只保留背景或阶段性观察。</x:v>
      </x:c>
      <x:c r="U372" s="46" t="str">
        <x:v>88</x:v>
      </x:c>
      <x:c r="V372" s="46" t="str">
        <x:v>不加分；领域定义</x:v>
      </x:c>
      <x:c r="W372" s="46" t="str">
        <x:v>exchange_domains</x:v>
      </x:c>
      <x:c r="X372" s="46" t="str">
        <x:v>信息、建议、技能、职业学习和共同成长。</x:v>
      </x:c>
      <x:c r="Y372" s="46" t="str">
        <x:v>学习、认知与成长支持主要包括：信息、建议、技能、职业学习和共同成长。</x:v>
      </x:c>
      <x:c r="Z37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72" s="46" t="str">
        <x:v>高</x:v>
      </x:c>
      <x:c r="AB372" s="46" t="str">
        <x:v>待验证</x:v>
      </x:c>
      <x:c r="AC372" s="46" t="str"/>
      <x:c r="AD372" s="46" t="str">
        <x:v>exchange_domain=XD09; provisional=true; rule_group=EXCHANGE-XD领域</x:v>
      </x:c>
      <x:c r="AE372" s="46" t="str">
        <x:v>0.4</x:v>
      </x:c>
    </x:row>
    <x:row r="373" ht="50" customHeight="1">
      <x:c r="A373" s="46" t="str">
        <x:v>M5-EXCHANGE-372</x:v>
      </x:c>
      <x:c r="B373" s="46" t="str">
        <x:v>XD09 学习、认知与成长支持｜通道路由</x:v>
      </x:c>
      <x:c r="C373" s="46" t="str">
        <x:v>L7 交换领域</x:v>
      </x:c>
      <x:c r="D373" s="46" t="str">
        <x:v>EXCHANGE-XD领域</x:v>
      </x:c>
      <x:c r="E373" s="46" t="str">
        <x:v>通用</x:v>
      </x:c>
      <x:c r="F373" s="46" t="str">
        <x:v>路由</x:v>
      </x:c>
      <x:c r="G373" s="46" t="str">
        <x:v>XD09</x:v>
      </x:c>
      <x:c r="H373" s="46" t="str">
        <x:v>学习、认知与成长支持</x:v>
      </x:c>
      <x:c r="I373" s="46" t="str">
        <x:v>主EC或次EC与该领域相关。</x:v>
      </x:c>
      <x:c r="J373" s="46" t="str">
        <x:v>把所有EC都堆入同一领域。</x:v>
      </x:c>
      <x:c r="K373" s="46" t="str">
        <x:v>由共享基础引擎、M3与M5-BASE提供；只修正用户怎样给予、请求、接收和回馈，不直接判断双方现实交换质量。</x:v>
      </x:c>
      <x:c r="L373" s="46" t="str">
        <x:v>M2只说明进入关系所需资格证据；不能替代长期双向交换、负荷与修复验证。</x:v>
      </x:c>
      <x:c r="M373" s="46" t="str">
        <x:v>M3-BASE、EXPR、CARE和BOUND提供用户自然互动通道；M5-EXCHANGE负责把两人的实际行为合成为交换结构。</x:v>
      </x:c>
      <x:c r="N373" s="46" t="str">
        <x:v>无／按本规则指定的给予—请求—接收—反馈—重订路径路由。</x:v>
      </x:c>
      <x:c r="O373" s="46" t="str">
        <x:v>近位、远位只修正该交换需求进入亲密关系核心的可能；不得据此判断具体伴侣现实中一定配合。</x:v>
      </x:c>
      <x:c r="P373" s="46" t="str">
        <x:v>根气只修正用户交换需求和通道是否稳定重复，不等于双方已形成成熟互惠。</x:v>
      </x:c>
      <x:c r="Q373" s="46" t="str">
        <x:v>旺弱只修正通道调用强度、抢位或缺位风险，不直接等于交换公平或关系质量。</x:v>
      </x:c>
      <x:c r="R373" s="46" t="str">
        <x:v>喜忌只修正调用顺畅度与摩擦，不可直接翻译为理想伴侣五行、十神或必然互补。</x:v>
      </x:c>
      <x:c r="S373" s="46" t="str">
        <x:v>真合化成立时按化神功能重算用户交换需求；合化争议时停止细化交换通道。</x:v>
      </x:c>
      <x:c r="T373" s="46" t="str">
        <x:v>近位提高该交换议题进入关系核心的可能；远位只保留背景或阶段性观察。</x:v>
      </x:c>
      <x:c r="U373" s="46" t="str">
        <x:v>78</x:v>
      </x:c>
      <x:c r="V373" s="46" t="str">
        <x:v>EC领域路由</x:v>
      </x:c>
      <x:c r="W373" s="46" t="str">
        <x:v>primary_exchange_channel</x:v>
      </x:c>
      <x:c r="X373" s="46" t="str">
        <x:v>EC04、EC09、EC10</x:v>
      </x:c>
      <x:c r="Y373" s="46" t="str">
        <x:v>该领域常见交换通道：EC04、EC09、EC10</x:v>
      </x:c>
      <x:c r="Z37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73" s="46" t="str">
        <x:v>中</x:v>
      </x:c>
      <x:c r="AB373" s="46" t="str">
        <x:v>待验证</x:v>
      </x:c>
      <x:c r="AC373" s="46" t="str"/>
      <x:c r="AD373" s="46" t="str">
        <x:v>exchange_domain=XD09; provisional=true; rule_group=EXCHANGE-XD领域</x:v>
      </x:c>
      <x:c r="AE373" s="46" t="str">
        <x:v>0.4</x:v>
      </x:c>
    </x:row>
    <x:row r="374" ht="50" customHeight="1">
      <x:c r="A374" s="46" t="str">
        <x:v>M5-EXCHANGE-373</x:v>
      </x:c>
      <x:c r="B374" s="46" t="str">
        <x:v>XD09 学习、认知与成长支持｜关键观察</x:v>
      </x:c>
      <x:c r="C374" s="46" t="str">
        <x:v>L7 交换领域</x:v>
      </x:c>
      <x:c r="D374" s="46" t="str">
        <x:v>EXCHANGE-XD领域</x:v>
      </x:c>
      <x:c r="E374" s="46" t="str">
        <x:v>通用</x:v>
      </x:c>
      <x:c r="F374" s="46" t="str">
        <x:v>证据</x:v>
      </x:c>
      <x:c r="G374" s="46" t="str">
        <x:v>XD09</x:v>
      </x:c>
      <x:c r="H374" s="46" t="str">
        <x:v>学习、认知与成长支持</x:v>
      </x:c>
      <x:c r="I374" s="46" t="str">
        <x:v>存在该领域现实事件。</x:v>
      </x:c>
      <x:c r="J374" s="46" t="str">
        <x:v>只有抽象评价或一次高光。</x:v>
      </x:c>
      <x:c r="K374" s="46" t="str">
        <x:v>由共享基础引擎、M3与M5-BASE提供；只修正用户怎样给予、请求、接收和回馈，不直接判断双方现实交换质量。</x:v>
      </x:c>
      <x:c r="L374" s="46" t="str">
        <x:v>M2只说明进入关系所需资格证据；不能替代长期双向交换、负荷与修复验证。</x:v>
      </x:c>
      <x:c r="M374" s="46" t="str">
        <x:v>M3-BASE、EXPR、CARE和BOUND提供用户自然互动通道；M5-EXCHANGE负责把两人的实际行为合成为交换结构。</x:v>
      </x:c>
      <x:c r="N374" s="46" t="str">
        <x:v>无／按本规则指定的给予—请求—接收—反馈—重订路径路由。</x:v>
      </x:c>
      <x:c r="O374" s="46" t="str">
        <x:v>近位、远位只修正该交换需求进入亲密关系核心的可能；不得据此判断具体伴侣现实中一定配合。</x:v>
      </x:c>
      <x:c r="P374" s="46" t="str">
        <x:v>根气只修正用户交换需求和通道是否稳定重复，不等于双方已形成成熟互惠。</x:v>
      </x:c>
      <x:c r="Q374" s="46" t="str">
        <x:v>旺弱只修正通道调用强度、抢位或缺位风险，不直接等于交换公平或关系质量。</x:v>
      </x:c>
      <x:c r="R374" s="46" t="str">
        <x:v>喜忌只修正调用顺畅度与摩擦，不可直接翻译为理想伴侣五行、十神或必然互补。</x:v>
      </x:c>
      <x:c r="S374" s="46" t="str">
        <x:v>真合化成立时按化神功能重算用户交换需求；合化争议时停止细化交换通道。</x:v>
      </x:c>
      <x:c r="T374" s="46" t="str">
        <x:v>近位提高该交换议题进入关系核心的可能；远位只保留背景或阶段性观察。</x:v>
      </x:c>
      <x:c r="U374" s="46" t="str">
        <x:v>86</x:v>
      </x:c>
      <x:c r="V374" s="46" t="str">
        <x:v>XV层级修正</x:v>
      </x:c>
      <x:c r="W374" s="46" t="str">
        <x:v>observation_plan</x:v>
      </x:c>
      <x:c r="X374" s="46" t="str">
        <x:v>建议是否被请求，是否促进自主和现实行动。</x:v>
      </x:c>
      <x:c r="Y374" s="46" t="str">
        <x:v>在学习、认知与成长支持中，重点观察：建议是否被请求，是否促进自主和现实行动。</x:v>
      </x:c>
      <x:c r="Z37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74" s="46" t="str">
        <x:v>中高</x:v>
      </x:c>
      <x:c r="AB374" s="46" t="str">
        <x:v>待验证</x:v>
      </x:c>
      <x:c r="AC374" s="46" t="str"/>
      <x:c r="AD374" s="46" t="str">
        <x:v>exchange_domain=XD09; provisional=true; rule_group=EXCHANGE-XD领域</x:v>
      </x:c>
      <x:c r="AE374" s="46" t="str">
        <x:v>0.4</x:v>
      </x:c>
    </x:row>
    <x:row r="375" ht="50" customHeight="1">
      <x:c r="A375" s="46" t="str">
        <x:v>M5-EXCHANGE-374</x:v>
      </x:c>
      <x:c r="B375" s="46" t="str">
        <x:v>XD09 学习、认知与成长支持｜跨领域边界</x:v>
      </x:c>
      <x:c r="C375" s="46" t="str">
        <x:v>L7 交换领域</x:v>
      </x:c>
      <x:c r="D375" s="46" t="str">
        <x:v>EXCHANGE-XD领域</x:v>
      </x:c>
      <x:c r="E375" s="46" t="str">
        <x:v>通用</x:v>
      </x:c>
      <x:c r="F375" s="46" t="str">
        <x:v>边界</x:v>
      </x:c>
      <x:c r="G375" s="46" t="str">
        <x:v>XD09</x:v>
      </x:c>
      <x:c r="H375" s="46" t="str">
        <x:v>学习、认知与成长支持</x:v>
      </x:c>
      <x:c r="I375" s="46" t="str">
        <x:v>准备从该领域推广到整体交换。</x:v>
      </x:c>
      <x:c r="J375" s="46" t="str">
        <x:v>XV4以上且至少两个领域一致。</x:v>
      </x:c>
      <x:c r="K375" s="46" t="str">
        <x:v>由共享基础引擎、M3与M5-BASE提供；只修正用户怎样给予、请求、接收和回馈，不直接判断双方现实交换质量。</x:v>
      </x:c>
      <x:c r="L375" s="46" t="str">
        <x:v>M2只说明进入关系所需资格证据；不能替代长期双向交换、负荷与修复验证。</x:v>
      </x:c>
      <x:c r="M375" s="46" t="str">
        <x:v>M3-BASE、EXPR、CARE和BOUND提供用户自然互动通道；M5-EXCHANGE负责把两人的实际行为合成为交换结构。</x:v>
      </x:c>
      <x:c r="N375" s="46" t="str">
        <x:v>无／按本规则指定的给予—请求—接收—反馈—重订路径路由。</x:v>
      </x:c>
      <x:c r="O375" s="46" t="str">
        <x:v>近位、远位只修正该交换需求进入亲密关系核心的可能；不得据此判断具体伴侣现实中一定配合。</x:v>
      </x:c>
      <x:c r="P375" s="46" t="str">
        <x:v>根气只修正用户交换需求和通道是否稳定重复，不等于双方已形成成熟互惠。</x:v>
      </x:c>
      <x:c r="Q375" s="46" t="str">
        <x:v>旺弱只修正通道调用强度、抢位或缺位风险，不直接等于交换公平或关系质量。</x:v>
      </x:c>
      <x:c r="R375" s="46" t="str">
        <x:v>喜忌只修正调用顺畅度与摩擦，不可直接翻译为理想伴侣五行、十神或必然互补。</x:v>
      </x:c>
      <x:c r="S375" s="46" t="str">
        <x:v>真合化成立时按化神功能重算用户交换需求；合化争议时停止细化交换通道。</x:v>
      </x:c>
      <x:c r="T375" s="46" t="str">
        <x:v>近位提高该交换议题进入关系核心的可能；远位只保留背景或阶段性观察。</x:v>
      </x:c>
      <x:c r="U375" s="46" t="str">
        <x:v>94</x:v>
      </x:c>
      <x:c r="V375" s="46" t="str">
        <x:v>不加分；边界</x:v>
      </x:c>
      <x:c r="W375" s="46" t="str">
        <x:v>boundary_note</x:v>
      </x:c>
      <x:c r="X375" s="46" t="str">
        <x:v>领域能力需要分别验证。</x:v>
      </x:c>
      <x:c r="Y375" s="46" t="str">
        <x:v>在这个领域做得好，不能自动说明所有方面都同样成熟。</x:v>
      </x:c>
      <x:c r="Z37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75" s="46" t="str">
        <x:v>高</x:v>
      </x:c>
      <x:c r="AB375" s="46" t="str">
        <x:v>待验证</x:v>
      </x:c>
      <x:c r="AC375" s="46" t="str"/>
      <x:c r="AD375" s="46" t="str">
        <x:v>exchange_domain=XD09; provisional=true; rule_group=EXCHANGE-XD领域</x:v>
      </x:c>
      <x:c r="AE375" s="46" t="str">
        <x:v>0.4</x:v>
      </x:c>
    </x:row>
    <x:row r="376" ht="50" customHeight="1">
      <x:c r="A376" s="46" t="str">
        <x:v>M5-EXCHANGE-375</x:v>
      </x:c>
      <x:c r="B376" s="46" t="str">
        <x:v>XD10 修复、补救与持续回访｜领域定义</x:v>
      </x:c>
      <x:c r="C376" s="46" t="str">
        <x:v>L7 交换领域</x:v>
      </x:c>
      <x:c r="D376" s="46" t="str">
        <x:v>EXCHANGE-XD领域</x:v>
      </x:c>
      <x:c r="E376" s="46" t="str">
        <x:v>通用</x:v>
      </x:c>
      <x:c r="F376" s="46" t="str">
        <x:v>定义</x:v>
      </x:c>
      <x:c r="G376" s="46" t="str">
        <x:v>XD10</x:v>
      </x:c>
      <x:c r="H376" s="46" t="str">
        <x:v>修复、补救与持续回访</x:v>
      </x:c>
      <x:c r="I376" s="46" t="str">
        <x:v>分析双方在该领域的交换。</x:v>
      </x:c>
      <x:c r="J376" s="46" t="str">
        <x:v>无</x:v>
      </x:c>
      <x:c r="K376" s="46" t="str">
        <x:v>由共享基础引擎、M3与M5-BASE提供；只修正用户怎样给予、请求、接收和回馈，不直接判断双方现实交换质量。</x:v>
      </x:c>
      <x:c r="L376" s="46" t="str">
        <x:v>M2只说明进入关系所需资格证据；不能替代长期双向交换、负荷与修复验证。</x:v>
      </x:c>
      <x:c r="M376" s="46" t="str">
        <x:v>M3-BASE、EXPR、CARE和BOUND提供用户自然互动通道；M5-EXCHANGE负责把两人的实际行为合成为交换结构。</x:v>
      </x:c>
      <x:c r="N376" s="46" t="str">
        <x:v>无／按本规则指定的给予—请求—接收—反馈—重订路径路由。</x:v>
      </x:c>
      <x:c r="O376" s="46" t="str">
        <x:v>近位、远位只修正该交换需求进入亲密关系核心的可能；不得据此判断具体伴侣现实中一定配合。</x:v>
      </x:c>
      <x:c r="P376" s="46" t="str">
        <x:v>根气只修正用户交换需求和通道是否稳定重复，不等于双方已形成成熟互惠。</x:v>
      </x:c>
      <x:c r="Q376" s="46" t="str">
        <x:v>旺弱只修正通道调用强度、抢位或缺位风险，不直接等于交换公平或关系质量。</x:v>
      </x:c>
      <x:c r="R376" s="46" t="str">
        <x:v>喜忌只修正调用顺畅度与摩擦，不可直接翻译为理想伴侣五行、十神或必然互补。</x:v>
      </x:c>
      <x:c r="S376" s="46" t="str">
        <x:v>真合化成立时按化神功能重算用户交换需求；合化争议时停止细化交换通道。</x:v>
      </x:c>
      <x:c r="T376" s="46" t="str">
        <x:v>近位提高该交换议题进入关系核心的可能；远位只保留背景或阶段性观察。</x:v>
      </x:c>
      <x:c r="U376" s="46" t="str">
        <x:v>88</x:v>
      </x:c>
      <x:c r="V376" s="46" t="str">
        <x:v>不加分；领域定义</x:v>
      </x:c>
      <x:c r="W376" s="46" t="str">
        <x:v>exchange_domains</x:v>
      </x:c>
      <x:c r="X376" s="46" t="str">
        <x:v>道歉、补救、分工调整、反馈和复发处理。</x:v>
      </x:c>
      <x:c r="Y376" s="46" t="str">
        <x:v>修复、补救与持续回访主要包括：道歉、补救、分工调整、反馈和复发处理。</x:v>
      </x:c>
      <x:c r="Z37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76" s="46" t="str">
        <x:v>高</x:v>
      </x:c>
      <x:c r="AB376" s="46" t="str">
        <x:v>待验证</x:v>
      </x:c>
      <x:c r="AC376" s="46" t="str"/>
      <x:c r="AD376" s="46" t="str">
        <x:v>exchange_domain=XD10; provisional=true; rule_group=EXCHANGE-XD领域</x:v>
      </x:c>
      <x:c r="AE376" s="46" t="str">
        <x:v>0.4</x:v>
      </x:c>
    </x:row>
    <x:row r="377" ht="50" customHeight="1">
      <x:c r="A377" s="46" t="str">
        <x:v>M5-EXCHANGE-376</x:v>
      </x:c>
      <x:c r="B377" s="46" t="str">
        <x:v>XD10 修复、补救与持续回访｜通道路由</x:v>
      </x:c>
      <x:c r="C377" s="46" t="str">
        <x:v>L7 交换领域</x:v>
      </x:c>
      <x:c r="D377" s="46" t="str">
        <x:v>EXCHANGE-XD领域</x:v>
      </x:c>
      <x:c r="E377" s="46" t="str">
        <x:v>通用</x:v>
      </x:c>
      <x:c r="F377" s="46" t="str">
        <x:v>路由</x:v>
      </x:c>
      <x:c r="G377" s="46" t="str">
        <x:v>XD10</x:v>
      </x:c>
      <x:c r="H377" s="46" t="str">
        <x:v>修复、补救与持续回访</x:v>
      </x:c>
      <x:c r="I377" s="46" t="str">
        <x:v>主EC或次EC与该领域相关。</x:v>
      </x:c>
      <x:c r="J377" s="46" t="str">
        <x:v>把所有EC都堆入同一领域。</x:v>
      </x:c>
      <x:c r="K377" s="46" t="str">
        <x:v>由共享基础引擎、M3与M5-BASE提供；只修正用户怎样给予、请求、接收和回馈，不直接判断双方现实交换质量。</x:v>
      </x:c>
      <x:c r="L377" s="46" t="str">
        <x:v>M2只说明进入关系所需资格证据；不能替代长期双向交换、负荷与修复验证。</x:v>
      </x:c>
      <x:c r="M377" s="46" t="str">
        <x:v>M3-BASE、EXPR、CARE和BOUND提供用户自然互动通道；M5-EXCHANGE负责把两人的实际行为合成为交换结构。</x:v>
      </x:c>
      <x:c r="N377" s="46" t="str">
        <x:v>无／按本规则指定的给予—请求—接收—反馈—重订路径路由。</x:v>
      </x:c>
      <x:c r="O377" s="46" t="str">
        <x:v>近位、远位只修正该交换需求进入亲密关系核心的可能；不得据此判断具体伴侣现实中一定配合。</x:v>
      </x:c>
      <x:c r="P377" s="46" t="str">
        <x:v>根气只修正用户交换需求和通道是否稳定重复，不等于双方已形成成熟互惠。</x:v>
      </x:c>
      <x:c r="Q377" s="46" t="str">
        <x:v>旺弱只修正通道调用强度、抢位或缺位风险，不直接等于交换公平或关系质量。</x:v>
      </x:c>
      <x:c r="R377" s="46" t="str">
        <x:v>喜忌只修正调用顺畅度与摩擦，不可直接翻译为理想伴侣五行、十神或必然互补。</x:v>
      </x:c>
      <x:c r="S377" s="46" t="str">
        <x:v>真合化成立时按化神功能重算用户交换需求；合化争议时停止细化交换通道。</x:v>
      </x:c>
      <x:c r="T377" s="46" t="str">
        <x:v>近位提高该交换议题进入关系核心的可能；远位只保留背景或阶段性观察。</x:v>
      </x:c>
      <x:c r="U377" s="46" t="str">
        <x:v>78</x:v>
      </x:c>
      <x:c r="V377" s="46" t="str">
        <x:v>EC领域路由</x:v>
      </x:c>
      <x:c r="W377" s="46" t="str">
        <x:v>primary_exchange_channel</x:v>
      </x:c>
      <x:c r="X377" s="46" t="str">
        <x:v>EC04、EC05、EC07、EC09</x:v>
      </x:c>
      <x:c r="Y377" s="46" t="str">
        <x:v>该领域常见交换通道：EC04、EC05、EC07、EC09</x:v>
      </x:c>
      <x:c r="Z37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77" s="46" t="str">
        <x:v>中</x:v>
      </x:c>
      <x:c r="AB377" s="46" t="str">
        <x:v>待验证</x:v>
      </x:c>
      <x:c r="AC377" s="46" t="str"/>
      <x:c r="AD377" s="46" t="str">
        <x:v>exchange_domain=XD10; provisional=true; rule_group=EXCHANGE-XD领域</x:v>
      </x:c>
      <x:c r="AE377" s="46" t="str">
        <x:v>0.4</x:v>
      </x:c>
    </x:row>
    <x:row r="378" ht="50" customHeight="1">
      <x:c r="A378" s="46" t="str">
        <x:v>M5-EXCHANGE-377</x:v>
      </x:c>
      <x:c r="B378" s="46" t="str">
        <x:v>XD10 修复、补救与持续回访｜关键观察</x:v>
      </x:c>
      <x:c r="C378" s="46" t="str">
        <x:v>L7 交换领域</x:v>
      </x:c>
      <x:c r="D378" s="46" t="str">
        <x:v>EXCHANGE-XD领域</x:v>
      </x:c>
      <x:c r="E378" s="46" t="str">
        <x:v>通用</x:v>
      </x:c>
      <x:c r="F378" s="46" t="str">
        <x:v>证据</x:v>
      </x:c>
      <x:c r="G378" s="46" t="str">
        <x:v>XD10</x:v>
      </x:c>
      <x:c r="H378" s="46" t="str">
        <x:v>修复、补救与持续回访</x:v>
      </x:c>
      <x:c r="I378" s="46" t="str">
        <x:v>存在该领域现实事件。</x:v>
      </x:c>
      <x:c r="J378" s="46" t="str">
        <x:v>只有抽象评价或一次高光。</x:v>
      </x:c>
      <x:c r="K378" s="46" t="str">
        <x:v>由共享基础引擎、M3与M5-BASE提供；只修正用户怎样给予、请求、接收和回馈，不直接判断双方现实交换质量。</x:v>
      </x:c>
      <x:c r="L378" s="46" t="str">
        <x:v>M2只说明进入关系所需资格证据；不能替代长期双向交换、负荷与修复验证。</x:v>
      </x:c>
      <x:c r="M378" s="46" t="str">
        <x:v>M3-BASE、EXPR、CARE和BOUND提供用户自然互动通道；M5-EXCHANGE负责把两人的实际行为合成为交换结构。</x:v>
      </x:c>
      <x:c r="N378" s="46" t="str">
        <x:v>无／按本规则指定的给予—请求—接收—反馈—重订路径路由。</x:v>
      </x:c>
      <x:c r="O378" s="46" t="str">
        <x:v>近位、远位只修正该交换需求进入亲密关系核心的可能；不得据此判断具体伴侣现实中一定配合。</x:v>
      </x:c>
      <x:c r="P378" s="46" t="str">
        <x:v>根气只修正用户交换需求和通道是否稳定重复，不等于双方已形成成熟互惠。</x:v>
      </x:c>
      <x:c r="Q378" s="46" t="str">
        <x:v>旺弱只修正通道调用强度、抢位或缺位风险，不直接等于交换公平或关系质量。</x:v>
      </x:c>
      <x:c r="R378" s="46" t="str">
        <x:v>喜忌只修正调用顺畅度与摩擦，不可直接翻译为理想伴侣五行、十神或必然互补。</x:v>
      </x:c>
      <x:c r="S378" s="46" t="str">
        <x:v>真合化成立时按化神功能重算用户交换需求；合化争议时停止细化交换通道。</x:v>
      </x:c>
      <x:c r="T378" s="46" t="str">
        <x:v>近位提高该交换议题进入关系核心的可能；远位只保留背景或阶段性观察。</x:v>
      </x:c>
      <x:c r="U378" s="46" t="str">
        <x:v>86</x:v>
      </x:c>
      <x:c r="V378" s="46" t="str">
        <x:v>XV层级修正</x:v>
      </x:c>
      <x:c r="W378" s="46" t="str">
        <x:v>observation_plan</x:v>
      </x:c>
      <x:c r="X378" s="46" t="str">
        <x:v>是否进入RN07、RN08并形成持续改变。</x:v>
      </x:c>
      <x:c r="Y378" s="46" t="str">
        <x:v>在修复、补救与持续回访中，重点观察：是否进入RN07、RN08并形成持续改变。</x:v>
      </x:c>
      <x:c r="Z37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78" s="46" t="str">
        <x:v>中高</x:v>
      </x:c>
      <x:c r="AB378" s="46" t="str">
        <x:v>待验证</x:v>
      </x:c>
      <x:c r="AC378" s="46" t="str"/>
      <x:c r="AD378" s="46" t="str">
        <x:v>exchange_domain=XD10; provisional=true; rule_group=EXCHANGE-XD领域</x:v>
      </x:c>
      <x:c r="AE378" s="46" t="str">
        <x:v>0.4</x:v>
      </x:c>
    </x:row>
    <x:row r="379" ht="50" customHeight="1">
      <x:c r="A379" s="46" t="str">
        <x:v>M5-EXCHANGE-378</x:v>
      </x:c>
      <x:c r="B379" s="46" t="str">
        <x:v>XD10 修复、补救与持续回访｜跨领域边界</x:v>
      </x:c>
      <x:c r="C379" s="46" t="str">
        <x:v>L7 交换领域</x:v>
      </x:c>
      <x:c r="D379" s="46" t="str">
        <x:v>EXCHANGE-XD领域</x:v>
      </x:c>
      <x:c r="E379" s="46" t="str">
        <x:v>通用</x:v>
      </x:c>
      <x:c r="F379" s="46" t="str">
        <x:v>边界</x:v>
      </x:c>
      <x:c r="G379" s="46" t="str">
        <x:v>XD10</x:v>
      </x:c>
      <x:c r="H379" s="46" t="str">
        <x:v>修复、补救与持续回访</x:v>
      </x:c>
      <x:c r="I379" s="46" t="str">
        <x:v>准备从该领域推广到整体交换。</x:v>
      </x:c>
      <x:c r="J379" s="46" t="str">
        <x:v>XV4以上且至少两个领域一致。</x:v>
      </x:c>
      <x:c r="K379" s="46" t="str">
        <x:v>由共享基础引擎、M3与M5-BASE提供；只修正用户怎样给予、请求、接收和回馈，不直接判断双方现实交换质量。</x:v>
      </x:c>
      <x:c r="L379" s="46" t="str">
        <x:v>M2只说明进入关系所需资格证据；不能替代长期双向交换、负荷与修复验证。</x:v>
      </x:c>
      <x:c r="M379" s="46" t="str">
        <x:v>M3-BASE、EXPR、CARE和BOUND提供用户自然互动通道；M5-EXCHANGE负责把两人的实际行为合成为交换结构。</x:v>
      </x:c>
      <x:c r="N379" s="46" t="str">
        <x:v>无／按本规则指定的给予—请求—接收—反馈—重订路径路由。</x:v>
      </x:c>
      <x:c r="O379" s="46" t="str">
        <x:v>近位、远位只修正该交换需求进入亲密关系核心的可能；不得据此判断具体伴侣现实中一定配合。</x:v>
      </x:c>
      <x:c r="P379" s="46" t="str">
        <x:v>根气只修正用户交换需求和通道是否稳定重复，不等于双方已形成成熟互惠。</x:v>
      </x:c>
      <x:c r="Q379" s="46" t="str">
        <x:v>旺弱只修正通道调用强度、抢位或缺位风险，不直接等于交换公平或关系质量。</x:v>
      </x:c>
      <x:c r="R379" s="46" t="str">
        <x:v>喜忌只修正调用顺畅度与摩擦，不可直接翻译为理想伴侣五行、十神或必然互补。</x:v>
      </x:c>
      <x:c r="S379" s="46" t="str">
        <x:v>真合化成立时按化神功能重算用户交换需求；合化争议时停止细化交换通道。</x:v>
      </x:c>
      <x:c r="T379" s="46" t="str">
        <x:v>近位提高该交换议题进入关系核心的可能；远位只保留背景或阶段性观察。</x:v>
      </x:c>
      <x:c r="U379" s="46" t="str">
        <x:v>94</x:v>
      </x:c>
      <x:c r="V379" s="46" t="str">
        <x:v>不加分；边界</x:v>
      </x:c>
      <x:c r="W379" s="46" t="str">
        <x:v>boundary_note</x:v>
      </x:c>
      <x:c r="X379" s="46" t="str">
        <x:v>领域能力需要分别验证。</x:v>
      </x:c>
      <x:c r="Y379" s="46" t="str">
        <x:v>在这个领域做得好，不能自动说明所有方面都同样成熟。</x:v>
      </x:c>
      <x:c r="Z37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79" s="46" t="str">
        <x:v>高</x:v>
      </x:c>
      <x:c r="AB379" s="46" t="str">
        <x:v>待验证</x:v>
      </x:c>
      <x:c r="AC379" s="46" t="str"/>
      <x:c r="AD379" s="46" t="str">
        <x:v>exchange_domain=XD10; provisional=true; rule_group=EXCHANGE-XD领域</x:v>
      </x:c>
      <x:c r="AE379" s="46" t="str">
        <x:v>0.4</x:v>
      </x:c>
    </x:row>
    <x:row r="380" ht="50" customHeight="1">
      <x:c r="A380" s="46" t="str">
        <x:v>M5-EXCHANGE-379</x:v>
      </x:c>
      <x:c r="B380" s="46" t="str">
        <x:v>EP01 请求—回应—确认—调整｜路径定义</x:v>
      </x:c>
      <x:c r="C380" s="46" t="str">
        <x:v>L8 交换闭环路径</x:v>
      </x:c>
      <x:c r="D380" s="46" t="str">
        <x:v>EXCHANGE-EP路径</x:v>
      </x:c>
      <x:c r="E380" s="46" t="str">
        <x:v>通用</x:v>
      </x:c>
      <x:c r="F380" s="46" t="str">
        <x:v>路径</x:v>
      </x:c>
      <x:c r="G380" s="46" t="str">
        <x:v>EP01</x:v>
      </x:c>
      <x:c r="H380" s="46" t="str">
        <x:v>ED02、ED04、ED09</x:v>
      </x:c>
      <x:c r="I380" s="46" t="str">
        <x:v>起点、回应、确认和回流至少三个节点有独立现实证据。</x:v>
      </x:c>
      <x:c r="J380" s="46" t="str">
        <x:v>只有五行相生、命理流通或一方愿望，没有现实双人行为。</x:v>
      </x:c>
      <x:c r="K380" s="46" t="str">
        <x:v>由共享基础引擎、M3与M5-BASE提供；只修正用户怎样给予、请求、接收和回馈，不直接判断双方现实交换质量。</x:v>
      </x:c>
      <x:c r="L380" s="46" t="str">
        <x:v>M2只说明进入关系所需资格证据；不能替代长期双向交换、负荷与修复验证。</x:v>
      </x:c>
      <x:c r="M380" s="46" t="str">
        <x:v>M3-BASE、EXPR、CARE和BOUND提供用户自然互动通道；M5-EXCHANGE负责把两人的实际行为合成为交换结构。</x:v>
      </x:c>
      <x:c r="N380" s="46" t="str">
        <x:v>无／按本规则指定的给予—请求—接收—反馈—重订路径路由。</x:v>
      </x:c>
      <x:c r="O380" s="46" t="str">
        <x:v>近位、远位只修正该交换需求进入亲密关系核心的可能；不得据此判断具体伴侣现实中一定配合。</x:v>
      </x:c>
      <x:c r="P380" s="46" t="str">
        <x:v>根气只修正用户交换需求和通道是否稳定重复，不等于双方已形成成熟互惠。</x:v>
      </x:c>
      <x:c r="Q380" s="46" t="str">
        <x:v>旺弱只修正通道调用强度、抢位或缺位风险，不直接等于交换公平或关系质量。</x:v>
      </x:c>
      <x:c r="R380" s="46" t="str">
        <x:v>喜忌只修正调用顺畅度与摩擦，不可直接翻译为理想伴侣五行、十神或必然互补。</x:v>
      </x:c>
      <x:c r="S380" s="46" t="str">
        <x:v>真合化成立时按化神功能重算用户交换需求；合化争议时停止细化交换通道。</x:v>
      </x:c>
      <x:c r="T380" s="46" t="str">
        <x:v>近位提高该交换议题进入关系核心的可能；远位只保留背景或阶段性观察。</x:v>
      </x:c>
      <x:c r="U380" s="46" t="str">
        <x:v>86</x:v>
      </x:c>
      <x:c r="V380" s="46" t="str">
        <x:v>EP候选 +8</x:v>
      </x:c>
      <x:c r="W380" s="46" t="str">
        <x:v>exchange_path</x:v>
      </x:c>
      <x:c r="X380" s="46" t="str">
        <x:v>一方说明需要，另一方回应，双方确认是否命中，再调整下一步。</x:v>
      </x:c>
      <x:c r="Y380" s="46" t="str">
        <x:v>较理想的交换顺序是：一方说明需要，另一方回应，双方确认是否命中，再调整下一步。</x:v>
      </x:c>
      <x:c r="Z38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80" s="46" t="str">
        <x:v>中高</x:v>
      </x:c>
      <x:c r="AB380" s="46" t="str">
        <x:v>待验证</x:v>
      </x:c>
      <x:c r="AC380" s="46" t="str"/>
      <x:c r="AD380" s="46" t="str">
        <x:v>exchange_path=EP01; use_case=适用于多数日常支持与沟通。; provisional=true; rule_group=EXCHANGE-EP路径</x:v>
      </x:c>
      <x:c r="AE380" s="46" t="str">
        <x:v>0.4</x:v>
      </x:c>
    </x:row>
    <x:row r="381" ht="50" customHeight="1">
      <x:c r="A381" s="46" t="str">
        <x:v>M5-EXCHANGE-380</x:v>
      </x:c>
      <x:c r="B381" s="46" t="str">
        <x:v>EP01 请求—回应—确认—调整｜断链与验证</x:v>
      </x:c>
      <x:c r="C381" s="46" t="str">
        <x:v>L8 交换闭环路径</x:v>
      </x:c>
      <x:c r="D381" s="46" t="str">
        <x:v>EXCHANGE-EP路径</x:v>
      </x:c>
      <x:c r="E381" s="46" t="str">
        <x:v>通用</x:v>
      </x:c>
      <x:c r="F381" s="46" t="str">
        <x:v>验证</x:v>
      </x:c>
      <x:c r="G381" s="46" t="str">
        <x:v>EP01</x:v>
      </x:c>
      <x:c r="H381" s="46" t="str">
        <x:v>ED02、ED04、ED09</x:v>
      </x:c>
      <x:c r="I381" s="46" t="str">
        <x:v>使用场景：适用于多数日常支持与沟通。</x:v>
      </x:c>
      <x:c r="J381" s="46" t="str">
        <x:v>把第一步完成直接写成完整闭环。</x:v>
      </x:c>
      <x:c r="K381" s="46" t="str">
        <x:v>由共享基础引擎、M3与M5-BASE提供；只修正用户怎样给予、请求、接收和回馈，不直接判断双方现实交换质量。</x:v>
      </x:c>
      <x:c r="L381" s="46" t="str">
        <x:v>M2只说明进入关系所需资格证据；不能替代长期双向交换、负荷与修复验证。</x:v>
      </x:c>
      <x:c r="M381" s="46" t="str">
        <x:v>M3-BASE、EXPR、CARE和BOUND提供用户自然互动通道；M5-EXCHANGE负责把两人的实际行为合成为交换结构。</x:v>
      </x:c>
      <x:c r="N381" s="46" t="str">
        <x:v>无／按本规则指定的给予—请求—接收—反馈—重订路径路由。</x:v>
      </x:c>
      <x:c r="O381" s="46" t="str">
        <x:v>近位、远位只修正该交换需求进入亲密关系核心的可能；不得据此判断具体伴侣现实中一定配合。</x:v>
      </x:c>
      <x:c r="P381" s="46" t="str">
        <x:v>根气只修正用户交换需求和通道是否稳定重复，不等于双方已形成成熟互惠。</x:v>
      </x:c>
      <x:c r="Q381" s="46" t="str">
        <x:v>旺弱只修正通道调用强度、抢位或缺位风险，不直接等于交换公平或关系质量。</x:v>
      </x:c>
      <x:c r="R381" s="46" t="str">
        <x:v>喜忌只修正调用顺畅度与摩擦，不可直接翻译为理想伴侣五行、十神或必然互补。</x:v>
      </x:c>
      <x:c r="S381" s="46" t="str">
        <x:v>真合化成立时按化神功能重算用户交换需求；合化争议时停止细化交换通道。</x:v>
      </x:c>
      <x:c r="T381" s="46" t="str">
        <x:v>近位提高该交换议题进入关系核心的可能；远位只保留背景或阶段性观察。</x:v>
      </x:c>
      <x:c r="U381" s="46" t="str">
        <x:v>90</x:v>
      </x:c>
      <x:c r="V381" s="46" t="str">
        <x:v>断链风险 +10／完整回流 +10</x:v>
      </x:c>
      <x:c r="W381" s="46" t="str">
        <x:v>exchange_path_status</x:v>
      </x:c>
      <x:c r="X381" s="46" t="str">
        <x:v>检查一方说明需要，另一方回应，双方确认是否命中，再调整下一步。中具体缺少哪个节点；第一步成功不等于整条路径完成。</x:v>
      </x:c>
      <x:c r="Y381" s="46" t="str">
        <x:v>需要继续确认这条路径是否真正走到回流，而不只是完成前半段。</x:v>
      </x:c>
      <x:c r="Z38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81" s="46" t="str">
        <x:v>中高</x:v>
      </x:c>
      <x:c r="AB381" s="46" t="str">
        <x:v>待验证</x:v>
      </x:c>
      <x:c r="AC381" s="46" t="str"/>
      <x:c r="AD381" s="46" t="str">
        <x:v>exchange_path=EP01; path_validation=true; provisional=true; rule_group=EXCHANGE-EP路径</x:v>
      </x:c>
      <x:c r="AE381" s="46" t="str">
        <x:v>0.4</x:v>
      </x:c>
    </x:row>
    <x:row r="382" ht="50" customHeight="1">
      <x:c r="A382" s="46" t="str">
        <x:v>M5-EXCHANGE-381</x:v>
      </x:c>
      <x:c r="B382" s="46" t="str">
        <x:v>EP02 表达—倾听—复述—落实｜路径定义</x:v>
      </x:c>
      <x:c r="C382" s="46" t="str">
        <x:v>L8 交换闭环路径</x:v>
      </x:c>
      <x:c r="D382" s="46" t="str">
        <x:v>EXCHANGE-EP路径</x:v>
      </x:c>
      <x:c r="E382" s="46" t="str">
        <x:v>通用</x:v>
      </x:c>
      <x:c r="F382" s="46" t="str">
        <x:v>路径</x:v>
      </x:c>
      <x:c r="G382" s="46" t="str">
        <x:v>EP02</x:v>
      </x:c>
      <x:c r="H382" s="46" t="str">
        <x:v>EC04、EC09、EC05</x:v>
      </x:c>
      <x:c r="I382" s="46" t="str">
        <x:v>起点、回应、确认和回流至少三个节点有独立现实证据。</x:v>
      </x:c>
      <x:c r="J382" s="46" t="str">
        <x:v>只有五行相生、命理流通或一方愿望，没有现实双人行为。</x:v>
      </x:c>
      <x:c r="K382" s="46" t="str">
        <x:v>由共享基础引擎、M3与M5-BASE提供；只修正用户怎样给予、请求、接收和回馈，不直接判断双方现实交换质量。</x:v>
      </x:c>
      <x:c r="L382" s="46" t="str">
        <x:v>M2只说明进入关系所需资格证据；不能替代长期双向交换、负荷与修复验证。</x:v>
      </x:c>
      <x:c r="M382" s="46" t="str">
        <x:v>M3-BASE、EXPR、CARE和BOUND提供用户自然互动通道；M5-EXCHANGE负责把两人的实际行为合成为交换结构。</x:v>
      </x:c>
      <x:c r="N382" s="46" t="str">
        <x:v>无／按本规则指定的给予—请求—接收—反馈—重订路径路由。</x:v>
      </x:c>
      <x:c r="O382" s="46" t="str">
        <x:v>近位、远位只修正该交换需求进入亲密关系核心的可能；不得据此判断具体伴侣现实中一定配合。</x:v>
      </x:c>
      <x:c r="P382" s="46" t="str">
        <x:v>根气只修正用户交换需求和通道是否稳定重复，不等于双方已形成成熟互惠。</x:v>
      </x:c>
      <x:c r="Q382" s="46" t="str">
        <x:v>旺弱只修正通道调用强度、抢位或缺位风险，不直接等于交换公平或关系质量。</x:v>
      </x:c>
      <x:c r="R382" s="46" t="str">
        <x:v>喜忌只修正调用顺畅度与摩擦，不可直接翻译为理想伴侣五行、十神或必然互补。</x:v>
      </x:c>
      <x:c r="S382" s="46" t="str">
        <x:v>真合化成立时按化神功能重算用户交换需求；合化争议时停止细化交换通道。</x:v>
      </x:c>
      <x:c r="T382" s="46" t="str">
        <x:v>近位提高该交换议题进入关系核心的可能；远位只保留背景或阶段性观察。</x:v>
      </x:c>
      <x:c r="U382" s="46" t="str">
        <x:v>86</x:v>
      </x:c>
      <x:c r="V382" s="46" t="str">
        <x:v>EP候选 +8</x:v>
      </x:c>
      <x:c r="W382" s="46" t="str">
        <x:v>exchange_path</x:v>
      </x:c>
      <x:c r="X382" s="46" t="str">
        <x:v>先表达事实和感受，再倾听、复述理解并形成现实行动。</x:v>
      </x:c>
      <x:c r="Y382" s="46" t="str">
        <x:v>较理想的交换顺序是：先表达事实和感受，再倾听、复述理解并形成现实行动。</x:v>
      </x:c>
      <x:c r="Z38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82" s="46" t="str">
        <x:v>中高</x:v>
      </x:c>
      <x:c r="AB382" s="46" t="str">
        <x:v>待验证</x:v>
      </x:c>
      <x:c r="AC382" s="46" t="str"/>
      <x:c r="AD382" s="46" t="str">
        <x:v>exchange_path=EP02; use_case=防止说清替代落实或倾听。; provisional=true; rule_group=EXCHANGE-EP路径</x:v>
      </x:c>
      <x:c r="AE382" s="46" t="str">
        <x:v>0.4</x:v>
      </x:c>
    </x:row>
    <x:row r="383" ht="50" customHeight="1">
      <x:c r="A383" s="46" t="str">
        <x:v>M5-EXCHANGE-382</x:v>
      </x:c>
      <x:c r="B383" s="46" t="str">
        <x:v>EP02 表达—倾听—复述—落实｜断链与验证</x:v>
      </x:c>
      <x:c r="C383" s="46" t="str">
        <x:v>L8 交换闭环路径</x:v>
      </x:c>
      <x:c r="D383" s="46" t="str">
        <x:v>EXCHANGE-EP路径</x:v>
      </x:c>
      <x:c r="E383" s="46" t="str">
        <x:v>通用</x:v>
      </x:c>
      <x:c r="F383" s="46" t="str">
        <x:v>验证</x:v>
      </x:c>
      <x:c r="G383" s="46" t="str">
        <x:v>EP02</x:v>
      </x:c>
      <x:c r="H383" s="46" t="str">
        <x:v>EC04、EC09、EC05</x:v>
      </x:c>
      <x:c r="I383" s="46" t="str">
        <x:v>使用场景：防止说清替代落实或倾听。</x:v>
      </x:c>
      <x:c r="J383" s="46" t="str">
        <x:v>把第一步完成直接写成完整闭环。</x:v>
      </x:c>
      <x:c r="K383" s="46" t="str">
        <x:v>由共享基础引擎、M3与M5-BASE提供；只修正用户怎样给予、请求、接收和回馈，不直接判断双方现实交换质量。</x:v>
      </x:c>
      <x:c r="L383" s="46" t="str">
        <x:v>M2只说明进入关系所需资格证据；不能替代长期双向交换、负荷与修复验证。</x:v>
      </x:c>
      <x:c r="M383" s="46" t="str">
        <x:v>M3-BASE、EXPR、CARE和BOUND提供用户自然互动通道；M5-EXCHANGE负责把两人的实际行为合成为交换结构。</x:v>
      </x:c>
      <x:c r="N383" s="46" t="str">
        <x:v>无／按本规则指定的给予—请求—接收—反馈—重订路径路由。</x:v>
      </x:c>
      <x:c r="O383" s="46" t="str">
        <x:v>近位、远位只修正该交换需求进入亲密关系核心的可能；不得据此判断具体伴侣现实中一定配合。</x:v>
      </x:c>
      <x:c r="P383" s="46" t="str">
        <x:v>根气只修正用户交换需求和通道是否稳定重复，不等于双方已形成成熟互惠。</x:v>
      </x:c>
      <x:c r="Q383" s="46" t="str">
        <x:v>旺弱只修正通道调用强度、抢位或缺位风险，不直接等于交换公平或关系质量。</x:v>
      </x:c>
      <x:c r="R383" s="46" t="str">
        <x:v>喜忌只修正调用顺畅度与摩擦，不可直接翻译为理想伴侣五行、十神或必然互补。</x:v>
      </x:c>
      <x:c r="S383" s="46" t="str">
        <x:v>真合化成立时按化神功能重算用户交换需求；合化争议时停止细化交换通道。</x:v>
      </x:c>
      <x:c r="T383" s="46" t="str">
        <x:v>近位提高该交换议题进入关系核心的可能；远位只保留背景或阶段性观察。</x:v>
      </x:c>
      <x:c r="U383" s="46" t="str">
        <x:v>90</x:v>
      </x:c>
      <x:c r="V383" s="46" t="str">
        <x:v>断链风险 +10／完整回流 +10</x:v>
      </x:c>
      <x:c r="W383" s="46" t="str">
        <x:v>exchange_path_status</x:v>
      </x:c>
      <x:c r="X383" s="46" t="str">
        <x:v>检查先表达事实和感受，再倾听、复述理解并形成现实行动。中具体缺少哪个节点；第一步成功不等于整条路径完成。</x:v>
      </x:c>
      <x:c r="Y383" s="46" t="str">
        <x:v>需要继续确认这条路径是否真正走到回流，而不只是完成前半段。</x:v>
      </x:c>
      <x:c r="Z38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83" s="46" t="str">
        <x:v>中高</x:v>
      </x:c>
      <x:c r="AB383" s="46" t="str">
        <x:v>待验证</x:v>
      </x:c>
      <x:c r="AC383" s="46" t="str"/>
      <x:c r="AD383" s="46" t="str">
        <x:v>exchange_path=EP02; path_validation=true; provisional=true; rule_group=EXCHANGE-EP路径</x:v>
      </x:c>
      <x:c r="AE383" s="46" t="str">
        <x:v>0.4</x:v>
      </x:c>
    </x:row>
    <x:row r="384" ht="50" customHeight="1">
      <x:c r="A384" s="46" t="str">
        <x:v>M5-EXCHANGE-383</x:v>
      </x:c>
      <x:c r="B384" s="46" t="str">
        <x:v>EP03 支持—自主—反馈—共同决定｜路径定义</x:v>
      </x:c>
      <x:c r="C384" s="46" t="str">
        <x:v>L8 交换闭环路径</x:v>
      </x:c>
      <x:c r="D384" s="46" t="str">
        <x:v>EXCHANGE-EP路径</x:v>
      </x:c>
      <x:c r="E384" s="46" t="str">
        <x:v>通用</x:v>
      </x:c>
      <x:c r="F384" s="46" t="str">
        <x:v>路径</x:v>
      </x:c>
      <x:c r="G384" s="46" t="str">
        <x:v>EP03</x:v>
      </x:c>
      <x:c r="H384" s="46" t="str">
        <x:v>EC01、EC08、EC09</x:v>
      </x:c>
      <x:c r="I384" s="46" t="str">
        <x:v>起点、回应、确认和回流至少三个节点有独立现实证据。</x:v>
      </x:c>
      <x:c r="J384" s="46" t="str">
        <x:v>只有五行相生、命理流通或一方愿望，没有现实双人行为。</x:v>
      </x:c>
      <x:c r="K384" s="46" t="str">
        <x:v>由共享基础引擎、M3与M5-BASE提供；只修正用户怎样给予、请求、接收和回馈，不直接判断双方现实交换质量。</x:v>
      </x:c>
      <x:c r="L384" s="46" t="str">
        <x:v>M2只说明进入关系所需资格证据；不能替代长期双向交换、负荷与修复验证。</x:v>
      </x:c>
      <x:c r="M384" s="46" t="str">
        <x:v>M3-BASE、EXPR、CARE和BOUND提供用户自然互动通道；M5-EXCHANGE负责把两人的实际行为合成为交换结构。</x:v>
      </x:c>
      <x:c r="N384" s="46" t="str">
        <x:v>无／按本规则指定的给予—请求—接收—反馈—重订路径路由。</x:v>
      </x:c>
      <x:c r="O384" s="46" t="str">
        <x:v>近位、远位只修正该交换需求进入亲密关系核心的可能；不得据此判断具体伴侣现实中一定配合。</x:v>
      </x:c>
      <x:c r="P384" s="46" t="str">
        <x:v>根气只修正用户交换需求和通道是否稳定重复，不等于双方已形成成熟互惠。</x:v>
      </x:c>
      <x:c r="Q384" s="46" t="str">
        <x:v>旺弱只修正通道调用强度、抢位或缺位风险，不直接等于交换公平或关系质量。</x:v>
      </x:c>
      <x:c r="R384" s="46" t="str">
        <x:v>喜忌只修正调用顺畅度与摩擦，不可直接翻译为理想伴侣五行、十神或必然互补。</x:v>
      </x:c>
      <x:c r="S384" s="46" t="str">
        <x:v>真合化成立时按化神功能重算用户交换需求；合化争议时停止细化交换通道。</x:v>
      </x:c>
      <x:c r="T384" s="46" t="str">
        <x:v>近位提高该交换议题进入关系核心的可能；远位只保留背景或阶段性观察。</x:v>
      </x:c>
      <x:c r="U384" s="46" t="str">
        <x:v>86</x:v>
      </x:c>
      <x:c r="V384" s="46" t="str">
        <x:v>EP候选 +8</x:v>
      </x:c>
      <x:c r="W384" s="46" t="str">
        <x:v>exchange_path</x:v>
      </x:c>
      <x:c r="X384" s="46" t="str">
        <x:v>提供帮助后恢复对方选择权，接收反馈并共同决定后续。</x:v>
      </x:c>
      <x:c r="Y384" s="46" t="str">
        <x:v>较理想的交换顺序是：提供帮助后恢复对方选择权，接收反馈并共同决定后续。</x:v>
      </x:c>
      <x:c r="Z38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84" s="46" t="str">
        <x:v>中高</x:v>
      </x:c>
      <x:c r="AB384" s="46" t="str">
        <x:v>待验证</x:v>
      </x:c>
      <x:c r="AC384" s="46" t="str"/>
      <x:c r="AD384" s="46" t="str">
        <x:v>exchange_path=EP03; use_case=防止支持变成接管。; provisional=true; rule_group=EXCHANGE-EP路径</x:v>
      </x:c>
      <x:c r="AE384" s="46" t="str">
        <x:v>0.4</x:v>
      </x:c>
    </x:row>
    <x:row r="385" ht="50" customHeight="1">
      <x:c r="A385" s="46" t="str">
        <x:v>M5-EXCHANGE-384</x:v>
      </x:c>
      <x:c r="B385" s="46" t="str">
        <x:v>EP03 支持—自主—反馈—共同决定｜断链与验证</x:v>
      </x:c>
      <x:c r="C385" s="46" t="str">
        <x:v>L8 交换闭环路径</x:v>
      </x:c>
      <x:c r="D385" s="46" t="str">
        <x:v>EXCHANGE-EP路径</x:v>
      </x:c>
      <x:c r="E385" s="46" t="str">
        <x:v>通用</x:v>
      </x:c>
      <x:c r="F385" s="46" t="str">
        <x:v>验证</x:v>
      </x:c>
      <x:c r="G385" s="46" t="str">
        <x:v>EP03</x:v>
      </x:c>
      <x:c r="H385" s="46" t="str">
        <x:v>EC01、EC08、EC09</x:v>
      </x:c>
      <x:c r="I385" s="46" t="str">
        <x:v>使用场景：防止支持变成接管。</x:v>
      </x:c>
      <x:c r="J385" s="46" t="str">
        <x:v>把第一步完成直接写成完整闭环。</x:v>
      </x:c>
      <x:c r="K385" s="46" t="str">
        <x:v>由共享基础引擎、M3与M5-BASE提供；只修正用户怎样给予、请求、接收和回馈，不直接判断双方现实交换质量。</x:v>
      </x:c>
      <x:c r="L385" s="46" t="str">
        <x:v>M2只说明进入关系所需资格证据；不能替代长期双向交换、负荷与修复验证。</x:v>
      </x:c>
      <x:c r="M385" s="46" t="str">
        <x:v>M3-BASE、EXPR、CARE和BOUND提供用户自然互动通道；M5-EXCHANGE负责把两人的实际行为合成为交换结构。</x:v>
      </x:c>
      <x:c r="N385" s="46" t="str">
        <x:v>无／按本规则指定的给予—请求—接收—反馈—重订路径路由。</x:v>
      </x:c>
      <x:c r="O385" s="46" t="str">
        <x:v>近位、远位只修正该交换需求进入亲密关系核心的可能；不得据此判断具体伴侣现实中一定配合。</x:v>
      </x:c>
      <x:c r="P385" s="46" t="str">
        <x:v>根气只修正用户交换需求和通道是否稳定重复，不等于双方已形成成熟互惠。</x:v>
      </x:c>
      <x:c r="Q385" s="46" t="str">
        <x:v>旺弱只修正通道调用强度、抢位或缺位风险，不直接等于交换公平或关系质量。</x:v>
      </x:c>
      <x:c r="R385" s="46" t="str">
        <x:v>喜忌只修正调用顺畅度与摩擦，不可直接翻译为理想伴侣五行、十神或必然互补。</x:v>
      </x:c>
      <x:c r="S385" s="46" t="str">
        <x:v>真合化成立时按化神功能重算用户交换需求；合化争议时停止细化交换通道。</x:v>
      </x:c>
      <x:c r="T385" s="46" t="str">
        <x:v>近位提高该交换议题进入关系核心的可能；远位只保留背景或阶段性观察。</x:v>
      </x:c>
      <x:c r="U385" s="46" t="str">
        <x:v>90</x:v>
      </x:c>
      <x:c r="V385" s="46" t="str">
        <x:v>断链风险 +10／完整回流 +10</x:v>
      </x:c>
      <x:c r="W385" s="46" t="str">
        <x:v>exchange_path_status</x:v>
      </x:c>
      <x:c r="X385" s="46" t="str">
        <x:v>检查提供帮助后恢复对方选择权，接收反馈并共同决定后续。中具体缺少哪个节点；第一步成功不等于整条路径完成。</x:v>
      </x:c>
      <x:c r="Y385" s="46" t="str">
        <x:v>需要继续确认这条路径是否真正走到回流，而不只是完成前半段。</x:v>
      </x:c>
      <x:c r="Z38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85" s="46" t="str">
        <x:v>中高</x:v>
      </x:c>
      <x:c r="AB385" s="46" t="str">
        <x:v>待验证</x:v>
      </x:c>
      <x:c r="AC385" s="46" t="str"/>
      <x:c r="AD385" s="46" t="str">
        <x:v>exchange_path=EP03; path_validation=true; provisional=true; rule_group=EXCHANGE-EP路径</x:v>
      </x:c>
      <x:c r="AE385" s="46" t="str">
        <x:v>0.4</x:v>
      </x:c>
    </x:row>
    <x:row r="386" ht="50" customHeight="1">
      <x:c r="A386" s="46" t="str">
        <x:v>M5-EXCHANGE-385</x:v>
      </x:c>
      <x:c r="B386" s="46" t="str">
        <x:v>EP04 投入—责任—复核—重订｜路径定义</x:v>
      </x:c>
      <x:c r="C386" s="46" t="str">
        <x:v>L8 交换闭环路径</x:v>
      </x:c>
      <x:c r="D386" s="46" t="str">
        <x:v>EXCHANGE-EP路径</x:v>
      </x:c>
      <x:c r="E386" s="46" t="str">
        <x:v>通用</x:v>
      </x:c>
      <x:c r="F386" s="46" t="str">
        <x:v>路径</x:v>
      </x:c>
      <x:c r="G386" s="46" t="str">
        <x:v>EP04</x:v>
      </x:c>
      <x:c r="H386" s="46" t="str">
        <x:v>EC05、EC07、ED07</x:v>
      </x:c>
      <x:c r="I386" s="46" t="str">
        <x:v>起点、回应、确认和回流至少三个节点有独立现实证据。</x:v>
      </x:c>
      <x:c r="J386" s="46" t="str">
        <x:v>只有五行相生、命理流通或一方愿望，没有现实双人行为。</x:v>
      </x:c>
      <x:c r="K386" s="46" t="str">
        <x:v>由共享基础引擎、M3与M5-BASE提供；只修正用户怎样给予、请求、接收和回馈，不直接判断双方现实交换质量。</x:v>
      </x:c>
      <x:c r="L386" s="46" t="str">
        <x:v>M2只说明进入关系所需资格证据；不能替代长期双向交换、负荷与修复验证。</x:v>
      </x:c>
      <x:c r="M386" s="46" t="str">
        <x:v>M3-BASE、EXPR、CARE和BOUND提供用户自然互动通道；M5-EXCHANGE负责把两人的实际行为合成为交换结构。</x:v>
      </x:c>
      <x:c r="N386" s="46" t="str">
        <x:v>无／按本规则指定的给予—请求—接收—反馈—重订路径路由。</x:v>
      </x:c>
      <x:c r="O386" s="46" t="str">
        <x:v>近位、远位只修正该交换需求进入亲密关系核心的可能；不得据此判断具体伴侣现实中一定配合。</x:v>
      </x:c>
      <x:c r="P386" s="46" t="str">
        <x:v>根气只修正用户交换需求和通道是否稳定重复，不等于双方已形成成熟互惠。</x:v>
      </x:c>
      <x:c r="Q386" s="46" t="str">
        <x:v>旺弱只修正通道调用强度、抢位或缺位风险，不直接等于交换公平或关系质量。</x:v>
      </x:c>
      <x:c r="R386" s="46" t="str">
        <x:v>喜忌只修正调用顺畅度与摩擦，不可直接翻译为理想伴侣五行、十神或必然互补。</x:v>
      </x:c>
      <x:c r="S386" s="46" t="str">
        <x:v>真合化成立时按化神功能重算用户交换需求；合化争议时停止细化交换通道。</x:v>
      </x:c>
      <x:c r="T386" s="46" t="str">
        <x:v>近位提高该交换议题进入关系核心的可能；远位只保留背景或阶段性观察。</x:v>
      </x:c>
      <x:c r="U386" s="46" t="str">
        <x:v>86</x:v>
      </x:c>
      <x:c r="V386" s="46" t="str">
        <x:v>EP候选 +8</x:v>
      </x:c>
      <x:c r="W386" s="46" t="str">
        <x:v>exchange_path</x:v>
      </x:c>
      <x:c r="X386" s="46" t="str">
        <x:v>资源投入转成责任与分工，定期复核负荷并重订。</x:v>
      </x:c>
      <x:c r="Y386" s="46" t="str">
        <x:v>较理想的交换顺序是：资源投入转成责任与分工，定期复核负荷并重订。</x:v>
      </x:c>
      <x:c r="Z38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86" s="46" t="str">
        <x:v>中高</x:v>
      </x:c>
      <x:c r="AB386" s="46" t="str">
        <x:v>待验证</x:v>
      </x:c>
      <x:c r="AC386" s="46" t="str"/>
      <x:c r="AD386" s="46" t="str">
        <x:v>exchange_path=EP04; use_case=适合长期生活经营。; provisional=true; rule_group=EXCHANGE-EP路径</x:v>
      </x:c>
      <x:c r="AE386" s="46" t="str">
        <x:v>0.4</x:v>
      </x:c>
    </x:row>
    <x:row r="387" ht="50" customHeight="1">
      <x:c r="A387" s="46" t="str">
        <x:v>M5-EXCHANGE-386</x:v>
      </x:c>
      <x:c r="B387" s="46" t="str">
        <x:v>EP04 投入—责任—复核—重订｜断链与验证</x:v>
      </x:c>
      <x:c r="C387" s="46" t="str">
        <x:v>L8 交换闭环路径</x:v>
      </x:c>
      <x:c r="D387" s="46" t="str">
        <x:v>EXCHANGE-EP路径</x:v>
      </x:c>
      <x:c r="E387" s="46" t="str">
        <x:v>通用</x:v>
      </x:c>
      <x:c r="F387" s="46" t="str">
        <x:v>验证</x:v>
      </x:c>
      <x:c r="G387" s="46" t="str">
        <x:v>EP04</x:v>
      </x:c>
      <x:c r="H387" s="46" t="str">
        <x:v>EC05、EC07、ED07</x:v>
      </x:c>
      <x:c r="I387" s="46" t="str">
        <x:v>使用场景：适合长期生活经营。</x:v>
      </x:c>
      <x:c r="J387" s="46" t="str">
        <x:v>把第一步完成直接写成完整闭环。</x:v>
      </x:c>
      <x:c r="K387" s="46" t="str">
        <x:v>由共享基础引擎、M3与M5-BASE提供；只修正用户怎样给予、请求、接收和回馈，不直接判断双方现实交换质量。</x:v>
      </x:c>
      <x:c r="L387" s="46" t="str">
        <x:v>M2只说明进入关系所需资格证据；不能替代长期双向交换、负荷与修复验证。</x:v>
      </x:c>
      <x:c r="M387" s="46" t="str">
        <x:v>M3-BASE、EXPR、CARE和BOUND提供用户自然互动通道；M5-EXCHANGE负责把两人的实际行为合成为交换结构。</x:v>
      </x:c>
      <x:c r="N387" s="46" t="str">
        <x:v>无／按本规则指定的给予—请求—接收—反馈—重订路径路由。</x:v>
      </x:c>
      <x:c r="O387" s="46" t="str">
        <x:v>近位、远位只修正该交换需求进入亲密关系核心的可能；不得据此判断具体伴侣现实中一定配合。</x:v>
      </x:c>
      <x:c r="P387" s="46" t="str">
        <x:v>根气只修正用户交换需求和通道是否稳定重复，不等于双方已形成成熟互惠。</x:v>
      </x:c>
      <x:c r="Q387" s="46" t="str">
        <x:v>旺弱只修正通道调用强度、抢位或缺位风险，不直接等于交换公平或关系质量。</x:v>
      </x:c>
      <x:c r="R387" s="46" t="str">
        <x:v>喜忌只修正调用顺畅度与摩擦，不可直接翻译为理想伴侣五行、十神或必然互补。</x:v>
      </x:c>
      <x:c r="S387" s="46" t="str">
        <x:v>真合化成立时按化神功能重算用户交换需求；合化争议时停止细化交换通道。</x:v>
      </x:c>
      <x:c r="T387" s="46" t="str">
        <x:v>近位提高该交换议题进入关系核心的可能；远位只保留背景或阶段性观察。</x:v>
      </x:c>
      <x:c r="U387" s="46" t="str">
        <x:v>90</x:v>
      </x:c>
      <x:c r="V387" s="46" t="str">
        <x:v>断链风险 +10／完整回流 +10</x:v>
      </x:c>
      <x:c r="W387" s="46" t="str">
        <x:v>exchange_path_status</x:v>
      </x:c>
      <x:c r="X387" s="46" t="str">
        <x:v>检查资源投入转成责任与分工，定期复核负荷并重订。中具体缺少哪个节点；第一步成功不等于整条路径完成。</x:v>
      </x:c>
      <x:c r="Y387" s="46" t="str">
        <x:v>需要继续确认这条路径是否真正走到回流，而不只是完成前半段。</x:v>
      </x:c>
      <x:c r="Z38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87" s="46" t="str">
        <x:v>中高</x:v>
      </x:c>
      <x:c r="AB387" s="46" t="str">
        <x:v>待验证</x:v>
      </x:c>
      <x:c r="AC387" s="46" t="str"/>
      <x:c r="AD387" s="46" t="str">
        <x:v>exchange_path=EP04; path_validation=true; provisional=true; rule_group=EXCHANGE-EP路径</x:v>
      </x:c>
      <x:c r="AE387" s="46" t="str">
        <x:v>0.4</x:v>
      </x:c>
    </x:row>
    <x:row r="388" ht="50" customHeight="1">
      <x:c r="A388" s="46" t="str">
        <x:v>M5-EXCHANGE-387</x:v>
      </x:c>
      <x:c r="B388" s="46" t="str">
        <x:v>EP05 行动—同意—回报信息—复盘｜路径定义</x:v>
      </x:c>
      <x:c r="C388" s="46" t="str">
        <x:v>L8 交换闭环路径</x:v>
      </x:c>
      <x:c r="D388" s="46" t="str">
        <x:v>EXCHANGE-EP路径</x:v>
      </x:c>
      <x:c r="E388" s="46" t="str">
        <x:v>通用</x:v>
      </x:c>
      <x:c r="F388" s="46" t="str">
        <x:v>路径</x:v>
      </x:c>
      <x:c r="G388" s="46" t="str">
        <x:v>EP05</x:v>
      </x:c>
      <x:c r="H388" s="46" t="str">
        <x:v>EC08、ED08、ED10</x:v>
      </x:c>
      <x:c r="I388" s="46" t="str">
        <x:v>起点、回应、确认和回流至少三个节点有独立现实证据。</x:v>
      </x:c>
      <x:c r="J388" s="46" t="str">
        <x:v>只有五行相生、命理流通或一方愿望，没有现实双人行为。</x:v>
      </x:c>
      <x:c r="K388" s="46" t="str">
        <x:v>由共享基础引擎、M3与M5-BASE提供；只修正用户怎样给予、请求、接收和回馈，不直接判断双方现实交换质量。</x:v>
      </x:c>
      <x:c r="L388" s="46" t="str">
        <x:v>M2只说明进入关系所需资格证据；不能替代长期双向交换、负荷与修复验证。</x:v>
      </x:c>
      <x:c r="M388" s="46" t="str">
        <x:v>M3-BASE、EXPR、CARE和BOUND提供用户自然互动通道；M5-EXCHANGE负责把两人的实际行为合成为交换结构。</x:v>
      </x:c>
      <x:c r="N388" s="46" t="str">
        <x:v>无／按本规则指定的给予—请求—接收—反馈—重订路径路由。</x:v>
      </x:c>
      <x:c r="O388" s="46" t="str">
        <x:v>近位、远位只修正该交换需求进入亲密关系核心的可能；不得据此判断具体伴侣现实中一定配合。</x:v>
      </x:c>
      <x:c r="P388" s="46" t="str">
        <x:v>根气只修正用户交换需求和通道是否稳定重复，不等于双方已形成成熟互惠。</x:v>
      </x:c>
      <x:c r="Q388" s="46" t="str">
        <x:v>旺弱只修正通道调用强度、抢位或缺位风险，不直接等于交换公平或关系质量。</x:v>
      </x:c>
      <x:c r="R388" s="46" t="str">
        <x:v>喜忌只修正调用顺畅度与摩擦，不可直接翻译为理想伴侣五行、十神或必然互补。</x:v>
      </x:c>
      <x:c r="S388" s="46" t="str">
        <x:v>真合化成立时按化神功能重算用户交换需求；合化争议时停止细化交换通道。</x:v>
      </x:c>
      <x:c r="T388" s="46" t="str">
        <x:v>近位提高该交换议题进入关系核心的可能；远位只保留背景或阶段性观察。</x:v>
      </x:c>
      <x:c r="U388" s="46" t="str">
        <x:v>86</x:v>
      </x:c>
      <x:c r="V388" s="46" t="str">
        <x:v>EP候选 +8</x:v>
      </x:c>
      <x:c r="W388" s="46" t="str">
        <x:v>exchange_path</x:v>
      </x:c>
      <x:c r="X388" s="46" t="str">
        <x:v>关键行动前后确认授权、回报信息并复盘影响。</x:v>
      </x:c>
      <x:c r="Y388" s="46" t="str">
        <x:v>较理想的交换顺序是：关键行动前后确认授权、回报信息并复盘影响。</x:v>
      </x:c>
      <x:c r="Z38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88" s="46" t="str">
        <x:v>中高</x:v>
      </x:c>
      <x:c r="AB388" s="46" t="str">
        <x:v>待验证</x:v>
      </x:c>
      <x:c r="AC388" s="46" t="str"/>
      <x:c r="AD388" s="46" t="str">
        <x:v>exchange_path=EP05; use_case=适合高压与危机。; provisional=true; rule_group=EXCHANGE-EP路径</x:v>
      </x:c>
      <x:c r="AE388" s="46" t="str">
        <x:v>0.4</x:v>
      </x:c>
    </x:row>
    <x:row r="389" ht="50" customHeight="1">
      <x:c r="A389" s="46" t="str">
        <x:v>M5-EXCHANGE-388</x:v>
      </x:c>
      <x:c r="B389" s="46" t="str">
        <x:v>EP05 行动—同意—回报信息—复盘｜断链与验证</x:v>
      </x:c>
      <x:c r="C389" s="46" t="str">
        <x:v>L8 交换闭环路径</x:v>
      </x:c>
      <x:c r="D389" s="46" t="str">
        <x:v>EXCHANGE-EP路径</x:v>
      </x:c>
      <x:c r="E389" s="46" t="str">
        <x:v>通用</x:v>
      </x:c>
      <x:c r="F389" s="46" t="str">
        <x:v>验证</x:v>
      </x:c>
      <x:c r="G389" s="46" t="str">
        <x:v>EP05</x:v>
      </x:c>
      <x:c r="H389" s="46" t="str">
        <x:v>EC08、ED08、ED10</x:v>
      </x:c>
      <x:c r="I389" s="46" t="str">
        <x:v>使用场景：适合高压与危机。</x:v>
      </x:c>
      <x:c r="J389" s="46" t="str">
        <x:v>把第一步完成直接写成完整闭环。</x:v>
      </x:c>
      <x:c r="K389" s="46" t="str">
        <x:v>由共享基础引擎、M3与M5-BASE提供；只修正用户怎样给予、请求、接收和回馈，不直接判断双方现实交换质量。</x:v>
      </x:c>
      <x:c r="L389" s="46" t="str">
        <x:v>M2只说明进入关系所需资格证据；不能替代长期双向交换、负荷与修复验证。</x:v>
      </x:c>
      <x:c r="M389" s="46" t="str">
        <x:v>M3-BASE、EXPR、CARE和BOUND提供用户自然互动通道；M5-EXCHANGE负责把两人的实际行为合成为交换结构。</x:v>
      </x:c>
      <x:c r="N389" s="46" t="str">
        <x:v>无／按本规则指定的给予—请求—接收—反馈—重订路径路由。</x:v>
      </x:c>
      <x:c r="O389" s="46" t="str">
        <x:v>近位、远位只修正该交换需求进入亲密关系核心的可能；不得据此判断具体伴侣现实中一定配合。</x:v>
      </x:c>
      <x:c r="P389" s="46" t="str">
        <x:v>根气只修正用户交换需求和通道是否稳定重复，不等于双方已形成成熟互惠。</x:v>
      </x:c>
      <x:c r="Q389" s="46" t="str">
        <x:v>旺弱只修正通道调用强度、抢位或缺位风险，不直接等于交换公平或关系质量。</x:v>
      </x:c>
      <x:c r="R389" s="46" t="str">
        <x:v>喜忌只修正调用顺畅度与摩擦，不可直接翻译为理想伴侣五行、十神或必然互补。</x:v>
      </x:c>
      <x:c r="S389" s="46" t="str">
        <x:v>真合化成立时按化神功能重算用户交换需求；合化争议时停止细化交换通道。</x:v>
      </x:c>
      <x:c r="T389" s="46" t="str">
        <x:v>近位提高该交换议题进入关系核心的可能；远位只保留背景或阶段性观察。</x:v>
      </x:c>
      <x:c r="U389" s="46" t="str">
        <x:v>90</x:v>
      </x:c>
      <x:c r="V389" s="46" t="str">
        <x:v>断链风险 +10／完整回流 +10</x:v>
      </x:c>
      <x:c r="W389" s="46" t="str">
        <x:v>exchange_path_status</x:v>
      </x:c>
      <x:c r="X389" s="46" t="str">
        <x:v>检查关键行动前后确认授权、回报信息并复盘影响。中具体缺少哪个节点；第一步成功不等于整条路径完成。</x:v>
      </x:c>
      <x:c r="Y389" s="46" t="str">
        <x:v>需要继续确认这条路径是否真正走到回流，而不只是完成前半段。</x:v>
      </x:c>
      <x:c r="Z38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89" s="46" t="str">
        <x:v>中高</x:v>
      </x:c>
      <x:c r="AB389" s="46" t="str">
        <x:v>待验证</x:v>
      </x:c>
      <x:c r="AC389" s="46" t="str"/>
      <x:c r="AD389" s="46" t="str">
        <x:v>exchange_path=EP05; path_validation=true; provisional=true; rule_group=EXCHANGE-EP路径</x:v>
      </x:c>
      <x:c r="AE389" s="46" t="str">
        <x:v>0.4</x:v>
      </x:c>
    </x:row>
    <x:row r="390" ht="50" customHeight="1">
      <x:c r="A390" s="46" t="str">
        <x:v>M5-EXCHANGE-389</x:v>
      </x:c>
      <x:c r="B390" s="46" t="str">
        <x:v>EP06 空间—最低连接—回归—重新开放｜路径定义</x:v>
      </x:c>
      <x:c r="C390" s="46" t="str">
        <x:v>L8 交换闭环路径</x:v>
      </x:c>
      <x:c r="D390" s="46" t="str">
        <x:v>EXCHANGE-EP路径</x:v>
      </x:c>
      <x:c r="E390" s="46" t="str">
        <x:v>通用</x:v>
      </x:c>
      <x:c r="F390" s="46" t="str">
        <x:v>路径</x:v>
      </x:c>
      <x:c r="G390" s="46" t="str">
        <x:v>EP06</x:v>
      </x:c>
      <x:c r="H390" s="46" t="str">
        <x:v>EC10、ED06、ED10</x:v>
      </x:c>
      <x:c r="I390" s="46" t="str">
        <x:v>起点、回应、确认和回流至少三个节点有独立现实证据。</x:v>
      </x:c>
      <x:c r="J390" s="46" t="str">
        <x:v>只有五行相生、命理流通或一方愿望，没有现实双人行为。</x:v>
      </x:c>
      <x:c r="K390" s="46" t="str">
        <x:v>由共享基础引擎、M3与M5-BASE提供；只修正用户怎样给予、请求、接收和回馈，不直接判断双方现实交换质量。</x:v>
      </x:c>
      <x:c r="L390" s="46" t="str">
        <x:v>M2只说明进入关系所需资格证据；不能替代长期双向交换、负荷与修复验证。</x:v>
      </x:c>
      <x:c r="M390" s="46" t="str">
        <x:v>M3-BASE、EXPR、CARE和BOUND提供用户自然互动通道；M5-EXCHANGE负责把两人的实际行为合成为交换结构。</x:v>
      </x:c>
      <x:c r="N390" s="46" t="str">
        <x:v>无／按本规则指定的给予—请求—接收—反馈—重订路径路由。</x:v>
      </x:c>
      <x:c r="O390" s="46" t="str">
        <x:v>近位、远位只修正该交换需求进入亲密关系核心的可能；不得据此判断具体伴侣现实中一定配合。</x:v>
      </x:c>
      <x:c r="P390" s="46" t="str">
        <x:v>根气只修正用户交换需求和通道是否稳定重复，不等于双方已形成成熟互惠。</x:v>
      </x:c>
      <x:c r="Q390" s="46" t="str">
        <x:v>旺弱只修正通道调用强度、抢位或缺位风险，不直接等于交换公平或关系质量。</x:v>
      </x:c>
      <x:c r="R390" s="46" t="str">
        <x:v>喜忌只修正调用顺畅度与摩擦，不可直接翻译为理想伴侣五行、十神或必然互补。</x:v>
      </x:c>
      <x:c r="S390" s="46" t="str">
        <x:v>真合化成立时按化神功能重算用户交换需求；合化争议时停止细化交换通道。</x:v>
      </x:c>
      <x:c r="T390" s="46" t="str">
        <x:v>近位提高该交换议题进入关系核心的可能；远位只保留背景或阶段性观察。</x:v>
      </x:c>
      <x:c r="U390" s="46" t="str">
        <x:v>86</x:v>
      </x:c>
      <x:c r="V390" s="46" t="str">
        <x:v>EP候选 +8</x:v>
      </x:c>
      <x:c r="W390" s="46" t="str">
        <x:v>exchange_path</x:v>
      </x:c>
      <x:c r="X390" s="46" t="str">
        <x:v>暂停或独处时保留最低连接，按约定回来并恢复沟通。</x:v>
      </x:c>
      <x:c r="Y390" s="46" t="str">
        <x:v>较理想的交换顺序是：暂停或独处时保留最低连接，按约定回来并恢复沟通。</x:v>
      </x:c>
      <x:c r="Z39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90" s="46" t="str">
        <x:v>中高</x:v>
      </x:c>
      <x:c r="AB390" s="46" t="str">
        <x:v>待验证</x:v>
      </x:c>
      <x:c r="AC390" s="46" t="str"/>
      <x:c r="AD390" s="46" t="str">
        <x:v>exchange_path=EP06; use_case=防止暂停断链。; provisional=true; rule_group=EXCHANGE-EP路径</x:v>
      </x:c>
      <x:c r="AE390" s="46" t="str">
        <x:v>0.4</x:v>
      </x:c>
    </x:row>
    <x:row r="391" ht="50" customHeight="1">
      <x:c r="A391" s="46" t="str">
        <x:v>M5-EXCHANGE-390</x:v>
      </x:c>
      <x:c r="B391" s="46" t="str">
        <x:v>EP06 空间—最低连接—回归—重新开放｜断链与验证</x:v>
      </x:c>
      <x:c r="C391" s="46" t="str">
        <x:v>L8 交换闭环路径</x:v>
      </x:c>
      <x:c r="D391" s="46" t="str">
        <x:v>EXCHANGE-EP路径</x:v>
      </x:c>
      <x:c r="E391" s="46" t="str">
        <x:v>通用</x:v>
      </x:c>
      <x:c r="F391" s="46" t="str">
        <x:v>验证</x:v>
      </x:c>
      <x:c r="G391" s="46" t="str">
        <x:v>EP06</x:v>
      </x:c>
      <x:c r="H391" s="46" t="str">
        <x:v>EC10、ED06、ED10</x:v>
      </x:c>
      <x:c r="I391" s="46" t="str">
        <x:v>使用场景：防止暂停断链。</x:v>
      </x:c>
      <x:c r="J391" s="46" t="str">
        <x:v>把第一步完成直接写成完整闭环。</x:v>
      </x:c>
      <x:c r="K391" s="46" t="str">
        <x:v>由共享基础引擎、M3与M5-BASE提供；只修正用户怎样给予、请求、接收和回馈，不直接判断双方现实交换质量。</x:v>
      </x:c>
      <x:c r="L391" s="46" t="str">
        <x:v>M2只说明进入关系所需资格证据；不能替代长期双向交换、负荷与修复验证。</x:v>
      </x:c>
      <x:c r="M391" s="46" t="str">
        <x:v>M3-BASE、EXPR、CARE和BOUND提供用户自然互动通道；M5-EXCHANGE负责把两人的实际行为合成为交换结构。</x:v>
      </x:c>
      <x:c r="N391" s="46" t="str">
        <x:v>无／按本规则指定的给予—请求—接收—反馈—重订路径路由。</x:v>
      </x:c>
      <x:c r="O391" s="46" t="str">
        <x:v>近位、远位只修正该交换需求进入亲密关系核心的可能；不得据此判断具体伴侣现实中一定配合。</x:v>
      </x:c>
      <x:c r="P391" s="46" t="str">
        <x:v>根气只修正用户交换需求和通道是否稳定重复，不等于双方已形成成熟互惠。</x:v>
      </x:c>
      <x:c r="Q391" s="46" t="str">
        <x:v>旺弱只修正通道调用强度、抢位或缺位风险，不直接等于交换公平或关系质量。</x:v>
      </x:c>
      <x:c r="R391" s="46" t="str">
        <x:v>喜忌只修正调用顺畅度与摩擦，不可直接翻译为理想伴侣五行、十神或必然互补。</x:v>
      </x:c>
      <x:c r="S391" s="46" t="str">
        <x:v>真合化成立时按化神功能重算用户交换需求；合化争议时停止细化交换通道。</x:v>
      </x:c>
      <x:c r="T391" s="46" t="str">
        <x:v>近位提高该交换议题进入关系核心的可能；远位只保留背景或阶段性观察。</x:v>
      </x:c>
      <x:c r="U391" s="46" t="str">
        <x:v>90</x:v>
      </x:c>
      <x:c r="V391" s="46" t="str">
        <x:v>断链风险 +10／完整回流 +10</x:v>
      </x:c>
      <x:c r="W391" s="46" t="str">
        <x:v>exchange_path_status</x:v>
      </x:c>
      <x:c r="X391" s="46" t="str">
        <x:v>检查暂停或独处时保留最低连接，按约定回来并恢复沟通。中具体缺少哪个节点；第一步成功不等于整条路径完成。</x:v>
      </x:c>
      <x:c r="Y391" s="46" t="str">
        <x:v>需要继续确认这条路径是否真正走到回流，而不只是完成前半段。</x:v>
      </x:c>
      <x:c r="Z39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91" s="46" t="str">
        <x:v>中高</x:v>
      </x:c>
      <x:c r="AB391" s="46" t="str">
        <x:v>待验证</x:v>
      </x:c>
      <x:c r="AC391" s="46" t="str"/>
      <x:c r="AD391" s="46" t="str">
        <x:v>exchange_path=EP06; path_validation=true; provisional=true; rule_group=EXCHANGE-EP路径</x:v>
      </x:c>
      <x:c r="AE391" s="46" t="str">
        <x:v>0.4</x:v>
      </x:c>
    </x:row>
    <x:row r="392" ht="50" customHeight="1">
      <x:c r="A392" s="46" t="str">
        <x:v>M5-EXCHANGE-391</x:v>
      </x:c>
      <x:c r="B392" s="46" t="str">
        <x:v>EP07 安抚—回访—问题处理—持续跟进｜路径定义</x:v>
      </x:c>
      <x:c r="C392" s="46" t="str">
        <x:v>L8 交换闭环路径</x:v>
      </x:c>
      <x:c r="D392" s="46" t="str">
        <x:v>EXCHANGE-EP路径</x:v>
      </x:c>
      <x:c r="E392" s="46" t="str">
        <x:v>通用</x:v>
      </x:c>
      <x:c r="F392" s="46" t="str">
        <x:v>路径</x:v>
      </x:c>
      <x:c r="G392" s="46" t="str">
        <x:v>EP07</x:v>
      </x:c>
      <x:c r="H392" s="46" t="str">
        <x:v>EC03、EC07、ED10</x:v>
      </x:c>
      <x:c r="I392" s="46" t="str">
        <x:v>起点、回应、确认和回流至少三个节点有独立现实证据。</x:v>
      </x:c>
      <x:c r="J392" s="46" t="str">
        <x:v>只有五行相生、命理流通或一方愿望，没有现实双人行为。</x:v>
      </x:c>
      <x:c r="K392" s="46" t="str">
        <x:v>由共享基础引擎、M3与M5-BASE提供；只修正用户怎样给予、请求、接收和回馈，不直接判断双方现实交换质量。</x:v>
      </x:c>
      <x:c r="L392" s="46" t="str">
        <x:v>M2只说明进入关系所需资格证据；不能替代长期双向交换、负荷与修复验证。</x:v>
      </x:c>
      <x:c r="M392" s="46" t="str">
        <x:v>M3-BASE、EXPR、CARE和BOUND提供用户自然互动通道；M5-EXCHANGE负责把两人的实际行为合成为交换结构。</x:v>
      </x:c>
      <x:c r="N392" s="46" t="str">
        <x:v>无／按本规则指定的给予—请求—接收—反馈—重订路径路由。</x:v>
      </x:c>
      <x:c r="O392" s="46" t="str">
        <x:v>近位、远位只修正该交换需求进入亲密关系核心的可能；不得据此判断具体伴侣现实中一定配合。</x:v>
      </x:c>
      <x:c r="P392" s="46" t="str">
        <x:v>根气只修正用户交换需求和通道是否稳定重复，不等于双方已形成成熟互惠。</x:v>
      </x:c>
      <x:c r="Q392" s="46" t="str">
        <x:v>旺弱只修正通道调用强度、抢位或缺位风险，不直接等于交换公平或关系质量。</x:v>
      </x:c>
      <x:c r="R392" s="46" t="str">
        <x:v>喜忌只修正调用顺畅度与摩擦，不可直接翻译为理想伴侣五行、十神或必然互补。</x:v>
      </x:c>
      <x:c r="S392" s="46" t="str">
        <x:v>真合化成立时按化神功能重算用户交换需求；合化争议时停止细化交换通道。</x:v>
      </x:c>
      <x:c r="T392" s="46" t="str">
        <x:v>近位提高该交换议题进入关系核心的可能；远位只保留背景或阶段性观察。</x:v>
      </x:c>
      <x:c r="U392" s="46" t="str">
        <x:v>86</x:v>
      </x:c>
      <x:c r="V392" s="46" t="str">
        <x:v>EP候选 +8</x:v>
      </x:c>
      <x:c r="W392" s="46" t="str">
        <x:v>exchange_path</x:v>
      </x:c>
      <x:c r="X392" s="46" t="str">
        <x:v>先降低强度，再按约定回到关键问题、形成方案并跟进。</x:v>
      </x:c>
      <x:c r="Y392" s="46" t="str">
        <x:v>较理想的交换顺序是：先降低强度，再按约定回到关键问题、形成方案并跟进。</x:v>
      </x:c>
      <x:c r="Z39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92" s="46" t="str">
        <x:v>中高</x:v>
      </x:c>
      <x:c r="AB392" s="46" t="str">
        <x:v>待验证</x:v>
      </x:c>
      <x:c r="AC392" s="46" t="str"/>
      <x:c r="AD392" s="46" t="str">
        <x:v>exchange_path=EP07; use_case=防止和谐延后。; provisional=true; rule_group=EXCHANGE-EP路径</x:v>
      </x:c>
      <x:c r="AE392" s="46" t="str">
        <x:v>0.4</x:v>
      </x:c>
    </x:row>
    <x:row r="393" ht="50" customHeight="1">
      <x:c r="A393" s="46" t="str">
        <x:v>M5-EXCHANGE-392</x:v>
      </x:c>
      <x:c r="B393" s="46" t="str">
        <x:v>EP07 安抚—回访—问题处理—持续跟进｜断链与验证</x:v>
      </x:c>
      <x:c r="C393" s="46" t="str">
        <x:v>L8 交换闭环路径</x:v>
      </x:c>
      <x:c r="D393" s="46" t="str">
        <x:v>EXCHANGE-EP路径</x:v>
      </x:c>
      <x:c r="E393" s="46" t="str">
        <x:v>通用</x:v>
      </x:c>
      <x:c r="F393" s="46" t="str">
        <x:v>验证</x:v>
      </x:c>
      <x:c r="G393" s="46" t="str">
        <x:v>EP07</x:v>
      </x:c>
      <x:c r="H393" s="46" t="str">
        <x:v>EC03、EC07、ED10</x:v>
      </x:c>
      <x:c r="I393" s="46" t="str">
        <x:v>使用场景：防止和谐延后。</x:v>
      </x:c>
      <x:c r="J393" s="46" t="str">
        <x:v>把第一步完成直接写成完整闭环。</x:v>
      </x:c>
      <x:c r="K393" s="46" t="str">
        <x:v>由共享基础引擎、M3与M5-BASE提供；只修正用户怎样给予、请求、接收和回馈，不直接判断双方现实交换质量。</x:v>
      </x:c>
      <x:c r="L393" s="46" t="str">
        <x:v>M2只说明进入关系所需资格证据；不能替代长期双向交换、负荷与修复验证。</x:v>
      </x:c>
      <x:c r="M393" s="46" t="str">
        <x:v>M3-BASE、EXPR、CARE和BOUND提供用户自然互动通道；M5-EXCHANGE负责把两人的实际行为合成为交换结构。</x:v>
      </x:c>
      <x:c r="N393" s="46" t="str">
        <x:v>无／按本规则指定的给予—请求—接收—反馈—重订路径路由。</x:v>
      </x:c>
      <x:c r="O393" s="46" t="str">
        <x:v>近位、远位只修正该交换需求进入亲密关系核心的可能；不得据此判断具体伴侣现实中一定配合。</x:v>
      </x:c>
      <x:c r="P393" s="46" t="str">
        <x:v>根气只修正用户交换需求和通道是否稳定重复，不等于双方已形成成熟互惠。</x:v>
      </x:c>
      <x:c r="Q393" s="46" t="str">
        <x:v>旺弱只修正通道调用强度、抢位或缺位风险，不直接等于交换公平或关系质量。</x:v>
      </x:c>
      <x:c r="R393" s="46" t="str">
        <x:v>喜忌只修正调用顺畅度与摩擦，不可直接翻译为理想伴侣五行、十神或必然互补。</x:v>
      </x:c>
      <x:c r="S393" s="46" t="str">
        <x:v>真合化成立时按化神功能重算用户交换需求；合化争议时停止细化交换通道。</x:v>
      </x:c>
      <x:c r="T393" s="46" t="str">
        <x:v>近位提高该交换议题进入关系核心的可能；远位只保留背景或阶段性观察。</x:v>
      </x:c>
      <x:c r="U393" s="46" t="str">
        <x:v>90</x:v>
      </x:c>
      <x:c r="V393" s="46" t="str">
        <x:v>断链风险 +10／完整回流 +10</x:v>
      </x:c>
      <x:c r="W393" s="46" t="str">
        <x:v>exchange_path_status</x:v>
      </x:c>
      <x:c r="X393" s="46" t="str">
        <x:v>检查先降低强度，再按约定回到关键问题、形成方案并跟进。中具体缺少哪个节点；第一步成功不等于整条路径完成。</x:v>
      </x:c>
      <x:c r="Y393" s="46" t="str">
        <x:v>需要继续确认这条路径是否真正走到回流，而不只是完成前半段。</x:v>
      </x:c>
      <x:c r="Z39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93" s="46" t="str">
        <x:v>中高</x:v>
      </x:c>
      <x:c r="AB393" s="46" t="str">
        <x:v>待验证</x:v>
      </x:c>
      <x:c r="AC393" s="46" t="str"/>
      <x:c r="AD393" s="46" t="str">
        <x:v>exchange_path=EP07; path_validation=true; provisional=true; rule_group=EXCHANGE-EP路径</x:v>
      </x:c>
      <x:c r="AE393" s="46" t="str">
        <x:v>0.4</x:v>
      </x:c>
    </x:row>
    <x:row r="394" ht="50" customHeight="1">
      <x:c r="A394" s="46" t="str">
        <x:v>M5-EXCHANGE-393</x:v>
      </x:c>
      <x:c r="B394" s="46" t="str">
        <x:v>EP08 失衡反馈—责任—补救—再分配｜路径定义</x:v>
      </x:c>
      <x:c r="C394" s="46" t="str">
        <x:v>L8 交换闭环路径</x:v>
      </x:c>
      <x:c r="D394" s="46" t="str">
        <x:v>EXCHANGE-EP路径</x:v>
      </x:c>
      <x:c r="E394" s="46" t="str">
        <x:v>通用</x:v>
      </x:c>
      <x:c r="F394" s="46" t="str">
        <x:v>路径</x:v>
      </x:c>
      <x:c r="G394" s="46" t="str">
        <x:v>EP08</x:v>
      </x:c>
      <x:c r="H394" s="46" t="str">
        <x:v>ED07、ED09、ED10</x:v>
      </x:c>
      <x:c r="I394" s="46" t="str">
        <x:v>起点、回应、确认和回流至少三个节点有独立现实证据。</x:v>
      </x:c>
      <x:c r="J394" s="46" t="str">
        <x:v>只有五行相生、命理流通或一方愿望，没有现实双人行为。</x:v>
      </x:c>
      <x:c r="K394" s="46" t="str">
        <x:v>由共享基础引擎、M3与M5-BASE提供；只修正用户怎样给予、请求、接收和回馈，不直接判断双方现实交换质量。</x:v>
      </x:c>
      <x:c r="L394" s="46" t="str">
        <x:v>M2只说明进入关系所需资格证据；不能替代长期双向交换、负荷与修复验证。</x:v>
      </x:c>
      <x:c r="M394" s="46" t="str">
        <x:v>M3-BASE、EXPR、CARE和BOUND提供用户自然互动通道；M5-EXCHANGE负责把两人的实际行为合成为交换结构。</x:v>
      </x:c>
      <x:c r="N394" s="46" t="str">
        <x:v>无／按本规则指定的给予—请求—接收—反馈—重订路径路由。</x:v>
      </x:c>
      <x:c r="O394" s="46" t="str">
        <x:v>近位、远位只修正该交换需求进入亲密关系核心的可能；不得据此判断具体伴侣现实中一定配合。</x:v>
      </x:c>
      <x:c r="P394" s="46" t="str">
        <x:v>根气只修正用户交换需求和通道是否稳定重复，不等于双方已形成成熟互惠。</x:v>
      </x:c>
      <x:c r="Q394" s="46" t="str">
        <x:v>旺弱只修正通道调用强度、抢位或缺位风险，不直接等于交换公平或关系质量。</x:v>
      </x:c>
      <x:c r="R394" s="46" t="str">
        <x:v>喜忌只修正调用顺畅度与摩擦，不可直接翻译为理想伴侣五行、十神或必然互补。</x:v>
      </x:c>
      <x:c r="S394" s="46" t="str">
        <x:v>真合化成立时按化神功能重算用户交换需求；合化争议时停止细化交换通道。</x:v>
      </x:c>
      <x:c r="T394" s="46" t="str">
        <x:v>近位提高该交换议题进入关系核心的可能；远位只保留背景或阶段性观察。</x:v>
      </x:c>
      <x:c r="U394" s="46" t="str">
        <x:v>86</x:v>
      </x:c>
      <x:c r="V394" s="46" t="str">
        <x:v>EP候选 +8</x:v>
      </x:c>
      <x:c r="W394" s="46" t="str">
        <x:v>exchange_path</x:v>
      </x:c>
      <x:c r="X394" s="46" t="str">
        <x:v>交换失衡被指出后，承担影响、补救并重新分配负荷。</x:v>
      </x:c>
      <x:c r="Y394" s="46" t="str">
        <x:v>较理想的交换顺序是：交换失衡被指出后，承担影响、补救并重新分配负荷。</x:v>
      </x:c>
      <x:c r="Z39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94" s="46" t="str">
        <x:v>中高</x:v>
      </x:c>
      <x:c r="AB394" s="46" t="str">
        <x:v>待验证</x:v>
      </x:c>
      <x:c r="AC394" s="46" t="str"/>
      <x:c r="AD394" s="46" t="str">
        <x:v>exchange_path=EP08; use_case=适合纠正单方负荷与记账循环。; provisional=true; rule_group=EXCHANGE-EP路径</x:v>
      </x:c>
      <x:c r="AE394" s="46" t="str">
        <x:v>0.4</x:v>
      </x:c>
    </x:row>
    <x:row r="395" ht="50" customHeight="1">
      <x:c r="A395" s="46" t="str">
        <x:v>M5-EXCHANGE-394</x:v>
      </x:c>
      <x:c r="B395" s="46" t="str">
        <x:v>EP08 失衡反馈—责任—补救—再分配｜断链与验证</x:v>
      </x:c>
      <x:c r="C395" s="46" t="str">
        <x:v>L8 交换闭环路径</x:v>
      </x:c>
      <x:c r="D395" s="46" t="str">
        <x:v>EXCHANGE-EP路径</x:v>
      </x:c>
      <x:c r="E395" s="46" t="str">
        <x:v>通用</x:v>
      </x:c>
      <x:c r="F395" s="46" t="str">
        <x:v>验证</x:v>
      </x:c>
      <x:c r="G395" s="46" t="str">
        <x:v>EP08</x:v>
      </x:c>
      <x:c r="H395" s="46" t="str">
        <x:v>ED07、ED09、ED10</x:v>
      </x:c>
      <x:c r="I395" s="46" t="str">
        <x:v>使用场景：适合纠正单方负荷与记账循环。</x:v>
      </x:c>
      <x:c r="J395" s="46" t="str">
        <x:v>把第一步完成直接写成完整闭环。</x:v>
      </x:c>
      <x:c r="K395" s="46" t="str">
        <x:v>由共享基础引擎、M3与M5-BASE提供；只修正用户怎样给予、请求、接收和回馈，不直接判断双方现实交换质量。</x:v>
      </x:c>
      <x:c r="L395" s="46" t="str">
        <x:v>M2只说明进入关系所需资格证据；不能替代长期双向交换、负荷与修复验证。</x:v>
      </x:c>
      <x:c r="M395" s="46" t="str">
        <x:v>M3-BASE、EXPR、CARE和BOUND提供用户自然互动通道；M5-EXCHANGE负责把两人的实际行为合成为交换结构。</x:v>
      </x:c>
      <x:c r="N395" s="46" t="str">
        <x:v>无／按本规则指定的给予—请求—接收—反馈—重订路径路由。</x:v>
      </x:c>
      <x:c r="O395" s="46" t="str">
        <x:v>近位、远位只修正该交换需求进入亲密关系核心的可能；不得据此判断具体伴侣现实中一定配合。</x:v>
      </x:c>
      <x:c r="P395" s="46" t="str">
        <x:v>根气只修正用户交换需求和通道是否稳定重复，不等于双方已形成成熟互惠。</x:v>
      </x:c>
      <x:c r="Q395" s="46" t="str">
        <x:v>旺弱只修正通道调用强度、抢位或缺位风险，不直接等于交换公平或关系质量。</x:v>
      </x:c>
      <x:c r="R395" s="46" t="str">
        <x:v>喜忌只修正调用顺畅度与摩擦，不可直接翻译为理想伴侣五行、十神或必然互补。</x:v>
      </x:c>
      <x:c r="S395" s="46" t="str">
        <x:v>真合化成立时按化神功能重算用户交换需求；合化争议时停止细化交换通道。</x:v>
      </x:c>
      <x:c r="T395" s="46" t="str">
        <x:v>近位提高该交换议题进入关系核心的可能；远位只保留背景或阶段性观察。</x:v>
      </x:c>
      <x:c r="U395" s="46" t="str">
        <x:v>90</x:v>
      </x:c>
      <x:c r="V395" s="46" t="str">
        <x:v>断链风险 +10／完整回流 +10</x:v>
      </x:c>
      <x:c r="W395" s="46" t="str">
        <x:v>exchange_path_status</x:v>
      </x:c>
      <x:c r="X395" s="46" t="str">
        <x:v>检查交换失衡被指出后，承担影响、补救并重新分配负荷。中具体缺少哪个节点；第一步成功不等于整条路径完成。</x:v>
      </x:c>
      <x:c r="Y395" s="46" t="str">
        <x:v>需要继续确认这条路径是否真正走到回流，而不只是完成前半段。</x:v>
      </x:c>
      <x:c r="Z39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95" s="46" t="str">
        <x:v>中高</x:v>
      </x:c>
      <x:c r="AB395" s="46" t="str">
        <x:v>待验证</x:v>
      </x:c>
      <x:c r="AC395" s="46" t="str"/>
      <x:c r="AD395" s="46" t="str">
        <x:v>exchange_path=EP08; path_validation=true; provisional=true; rule_group=EXCHANGE-EP路径</x:v>
      </x:c>
      <x:c r="AE395" s="46" t="str">
        <x:v>0.4</x:v>
      </x:c>
    </x:row>
    <x:row r="396" ht="50" customHeight="1">
      <x:c r="A396" s="46" t="str">
        <x:v>M5-EXCHANGE-395</x:v>
      </x:c>
      <x:c r="B396" s="46" t="str">
        <x:v>M5-BASE主FN转主EC</x:v>
      </x:c>
      <x:c r="C396" s="46" t="str">
        <x:v>L9 状态、接口、去重与停止</x:v>
      </x:c>
      <x:c r="D396" s="46" t="str">
        <x:v>EXCHANGE-接口门控</x:v>
      </x:c>
      <x:c r="E396" s="46" t="str">
        <x:v>通用</x:v>
      </x:c>
      <x:c r="F396" s="46" t="str">
        <x:v>接口</x:v>
      </x:c>
      <x:c r="G396" s="46" t="str">
        <x:v>M5-BASE主FN转主EC</x:v>
      </x:c>
      <x:c r="H396" s="46" t="str"/>
      <x:c r="I396" s="46" t="str">
        <x:v>M5-BASE主FN可靠。</x:v>
      </x:c>
      <x:c r="J396" s="46" t="str">
        <x:v>直接改换为另一显眼通道。</x:v>
      </x:c>
      <x:c r="K396" s="46" t="str">
        <x:v>由共享基础引擎、M3与M5-BASE提供；只修正用户怎样给予、请求、接收和回馈，不直接判断双方现实交换质量。</x:v>
      </x:c>
      <x:c r="L396" s="46" t="str">
        <x:v>M2只说明进入关系所需资格证据；不能替代长期双向交换、负荷与修复验证。</x:v>
      </x:c>
      <x:c r="M396" s="46" t="str">
        <x:v>M3-BASE、EXPR、CARE和BOUND提供用户自然互动通道；M5-EXCHANGE负责把两人的实际行为合成为交换结构。</x:v>
      </x:c>
      <x:c r="N396" s="46" t="str">
        <x:v>无／按本规则指定的给予—请求—接收—反馈—重订路径路由。</x:v>
      </x:c>
      <x:c r="O396" s="46" t="str">
        <x:v>近位、远位只修正该交换需求进入亲密关系核心的可能；不得据此判断具体伴侣现实中一定配合。</x:v>
      </x:c>
      <x:c r="P396" s="46" t="str">
        <x:v>根气只修正用户交换需求和通道是否稳定重复，不等于双方已形成成熟互惠。</x:v>
      </x:c>
      <x:c r="Q396" s="46" t="str">
        <x:v>旺弱只修正通道调用强度、抢位或缺位风险，不直接等于交换公平或关系质量。</x:v>
      </x:c>
      <x:c r="R396" s="46" t="str">
        <x:v>喜忌只修正调用顺畅度与摩擦，不可直接翻译为理想伴侣五行、十神或必然互补。</x:v>
      </x:c>
      <x:c r="S396" s="46" t="str">
        <x:v>真合化成立时按化神功能重算用户交换需求；合化争议时停止细化交换通道。</x:v>
      </x:c>
      <x:c r="T396" s="46" t="str">
        <x:v>近位提高该交换议题进入关系核心的可能；远位只保留背景或阶段性观察。</x:v>
      </x:c>
      <x:c r="U396" s="46" t="str">
        <x:v>86</x:v>
      </x:c>
      <x:c r="V396" s="46" t="str">
        <x:v>不加分；接口／状态／去重</x:v>
      </x:c>
      <x:c r="W396" s="46" t="str">
        <x:v>primary_exchange_channel</x:v>
      </x:c>
      <x:c r="X396" s="46" t="str">
        <x:v>FN与EC同功能映射；PARTNER和现实资料再修正交换方式。</x:v>
      </x:c>
      <x:c r="Y396" s="46" t="str">
        <x:v>主交换通道先从你的核心适配需要出发。</x:v>
      </x:c>
      <x:c r="Z39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96" s="46" t="str">
        <x:v>中高</x:v>
      </x:c>
      <x:c r="AB396" s="46" t="str">
        <x:v>待验证</x:v>
      </x:c>
      <x:c r="AC396" s="46" t="str"/>
      <x:c r="AD396" s="46" t="str">
        <x:v>interface_state_rule=true; provisional=true; rule_group=EXCHANGE-接口门控</x:v>
      </x:c>
      <x:c r="AE396" s="46" t="str">
        <x:v>0.4</x:v>
      </x:c>
    </x:row>
    <x:row r="397" ht="50" customHeight="1">
      <x:c r="A397" s="46" t="str">
        <x:v>M5-EXCHANGE-396</x:v>
      </x:c>
      <x:c r="B397" s="46" t="str">
        <x:v>M5-BASE次FN转次EC</x:v>
      </x:c>
      <x:c r="C397" s="46" t="str">
        <x:v>L9 状态、接口、去重与停止</x:v>
      </x:c>
      <x:c r="D397" s="46" t="str">
        <x:v>EXCHANGE-接口门控</x:v>
      </x:c>
      <x:c r="E397" s="46" t="str">
        <x:v>通用</x:v>
      </x:c>
      <x:c r="F397" s="46" t="str">
        <x:v>接口</x:v>
      </x:c>
      <x:c r="G397" s="46" t="str">
        <x:v>M5-BASE次FN转次EC</x:v>
      </x:c>
      <x:c r="H397" s="46" t="str"/>
      <x:c r="I397" s="46" t="str">
        <x:v>次FN来源独立、功能不同。</x:v>
      </x:c>
      <x:c r="J397" s="46" t="str">
        <x:v>同义重复或正文超过一次。</x:v>
      </x:c>
      <x:c r="K397" s="46" t="str">
        <x:v>由共享基础引擎、M3与M5-BASE提供；只修正用户怎样给予、请求、接收和回馈，不直接判断双方现实交换质量。</x:v>
      </x:c>
      <x:c r="L397" s="46" t="str">
        <x:v>M2只说明进入关系所需资格证据；不能替代长期双向交换、负荷与修复验证。</x:v>
      </x:c>
      <x:c r="M397" s="46" t="str">
        <x:v>M3-BASE、EXPR、CARE和BOUND提供用户自然互动通道；M5-EXCHANGE负责把两人的实际行为合成为交换结构。</x:v>
      </x:c>
      <x:c r="N397" s="46" t="str">
        <x:v>无／按本规则指定的给予—请求—接收—反馈—重订路径路由。</x:v>
      </x:c>
      <x:c r="O397" s="46" t="str">
        <x:v>近位、远位只修正该交换需求进入亲密关系核心的可能；不得据此判断具体伴侣现实中一定配合。</x:v>
      </x:c>
      <x:c r="P397" s="46" t="str">
        <x:v>根气只修正用户交换需求和通道是否稳定重复，不等于双方已形成成熟互惠。</x:v>
      </x:c>
      <x:c r="Q397" s="46" t="str">
        <x:v>旺弱只修正通道调用强度、抢位或缺位风险，不直接等于交换公平或关系质量。</x:v>
      </x:c>
      <x:c r="R397" s="46" t="str">
        <x:v>喜忌只修正调用顺畅度与摩擦，不可直接翻译为理想伴侣五行、十神或必然互补。</x:v>
      </x:c>
      <x:c r="S397" s="46" t="str">
        <x:v>真合化成立时按化神功能重算用户交换需求；合化争议时停止细化交换通道。</x:v>
      </x:c>
      <x:c r="T397" s="46" t="str">
        <x:v>近位提高该交换议题进入关系核心的可能；远位只保留背景或阶段性观察。</x:v>
      </x:c>
      <x:c r="U397" s="46" t="str">
        <x:v>86</x:v>
      </x:c>
      <x:c r="V397" s="46" t="str">
        <x:v>不加分；接口／状态／去重</x:v>
      </x:c>
      <x:c r="W397" s="46" t="str">
        <x:v>secondary_exchange_channel</x:v>
      </x:c>
      <x:c r="X397" s="46" t="str">
        <x:v>次通道只保留一项独立支持功能。</x:v>
      </x:c>
      <x:c r="Y397" s="46" t="str">
        <x:v>次级交换条件只保留一项真正不同的支持。</x:v>
      </x:c>
      <x:c r="Z39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97" s="46" t="str">
        <x:v>中高</x:v>
      </x:c>
      <x:c r="AB397" s="46" t="str">
        <x:v>待验证</x:v>
      </x:c>
      <x:c r="AC397" s="46" t="str"/>
      <x:c r="AD397" s="46" t="str">
        <x:v>interface_state_rule=true; provisional=true; rule_group=EXCHANGE-接口门控</x:v>
      </x:c>
      <x:c r="AE397" s="46" t="str">
        <x:v>0.4</x:v>
      </x:c>
    </x:row>
    <x:row r="398" ht="50" customHeight="1">
      <x:c r="A398" s="46" t="str">
        <x:v>M5-EXCHANGE-397</x:v>
      </x:c>
      <x:c r="B398" s="46" t="str">
        <x:v>M5-PARTNER PS状态接口</x:v>
      </x:c>
      <x:c r="C398" s="46" t="str">
        <x:v>L9 状态、接口、去重与停止</x:v>
      </x:c>
      <x:c r="D398" s="46" t="str">
        <x:v>EXCHANGE-接口门控</x:v>
      </x:c>
      <x:c r="E398" s="46" t="str">
        <x:v>通用</x:v>
      </x:c>
      <x:c r="F398" s="46" t="str">
        <x:v>接口</x:v>
      </x:c>
      <x:c r="G398" s="46" t="str">
        <x:v>M5-PARTNER PS状态接口</x:v>
      </x:c>
      <x:c r="H398" s="46" t="str"/>
      <x:c r="I398" s="46" t="str">
        <x:v>具体对象PS状态可用。</x:v>
      </x:c>
      <x:c r="J398" s="46" t="str">
        <x:v>把个人成熟直接写成双人交换成熟。</x:v>
      </x:c>
      <x:c r="K398" s="46" t="str">
        <x:v>由共享基础引擎、M3与M5-BASE提供；只修正用户怎样给予、请求、接收和回馈，不直接判断双方现实交换质量。</x:v>
      </x:c>
      <x:c r="L398" s="46" t="str">
        <x:v>M2只说明进入关系所需资格证据；不能替代长期双向交换、负荷与修复验证。</x:v>
      </x:c>
      <x:c r="M398" s="46" t="str">
        <x:v>M3-BASE、EXPR、CARE和BOUND提供用户自然互动通道；M5-EXCHANGE负责把两人的实际行为合成为交换结构。</x:v>
      </x:c>
      <x:c r="N398" s="46" t="str">
        <x:v>无／按本规则指定的给予—请求—接收—反馈—重订路径路由。</x:v>
      </x:c>
      <x:c r="O398" s="46" t="str">
        <x:v>近位、远位只修正该交换需求进入亲密关系核心的可能；不得据此判断具体伴侣现实中一定配合。</x:v>
      </x:c>
      <x:c r="P398" s="46" t="str">
        <x:v>根气只修正用户交换需求和通道是否稳定重复，不等于双方已形成成熟互惠。</x:v>
      </x:c>
      <x:c r="Q398" s="46" t="str">
        <x:v>旺弱只修正通道调用强度、抢位或缺位风险，不直接等于交换公平或关系质量。</x:v>
      </x:c>
      <x:c r="R398" s="46" t="str">
        <x:v>喜忌只修正调用顺畅度与摩擦，不可直接翻译为理想伴侣五行、十神或必然互补。</x:v>
      </x:c>
      <x:c r="S398" s="46" t="str">
        <x:v>真合化成立时按化神功能重算用户交换需求；合化争议时停止细化交换通道。</x:v>
      </x:c>
      <x:c r="T398" s="46" t="str">
        <x:v>近位提高该交换议题进入关系核心的可能；远位只保留背景或阶段性观察。</x:v>
      </x:c>
      <x:c r="U398" s="46" t="str">
        <x:v>86</x:v>
      </x:c>
      <x:c r="V398" s="46" t="str">
        <x:v>不加分；接口／状态／去重</x:v>
      </x:c>
      <x:c r="W398" s="46" t="str">
        <x:v>partner_exchange_interface</x:v>
      </x:c>
      <x:c r="X398" s="46" t="str">
        <x:v>PS说明对象怎样使用功能；EXCHANGE继续看双方能否接收和回流。</x:v>
      </x:c>
      <x:c r="Y398" s="46" t="str">
        <x:v>对方有能力，还要看你们能不能把这项能力交换起来。</x:v>
      </x:c>
      <x:c r="Z39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98" s="46" t="str">
        <x:v>中高</x:v>
      </x:c>
      <x:c r="AB398" s="46" t="str">
        <x:v>待验证</x:v>
      </x:c>
      <x:c r="AC398" s="46" t="str"/>
      <x:c r="AD398" s="46" t="str">
        <x:v>interface_state_rule=true; provisional=true; rule_group=EXCHANGE-接口门控</x:v>
      </x:c>
      <x:c r="AE398" s="46" t="str">
        <x:v>0.4</x:v>
      </x:c>
    </x:row>
    <x:row r="399" ht="50" customHeight="1">
      <x:c r="A399" s="46" t="str">
        <x:v>M5-EXCHANGE-398</x:v>
      </x:c>
      <x:c r="B399" s="46" t="str">
        <x:v>M5-PARTNER PV与XV分开</x:v>
      </x:c>
      <x:c r="C399" s="46" t="str">
        <x:v>L9 状态、接口、去重与停止</x:v>
      </x:c>
      <x:c r="D399" s="46" t="str">
        <x:v>EXCHANGE-接口门控</x:v>
      </x:c>
      <x:c r="E399" s="46" t="str">
        <x:v>通用</x:v>
      </x:c>
      <x:c r="F399" s="46" t="str">
        <x:v>去重</x:v>
      </x:c>
      <x:c r="G399" s="46" t="str">
        <x:v>M5-PARTNER PV与XV分开</x:v>
      </x:c>
      <x:c r="H399" s="46" t="str"/>
      <x:c r="I399" s="46" t="str">
        <x:v>PV资料可用。</x:v>
      </x:c>
      <x:c r="J399" s="46" t="str">
        <x:v>把个人PV直接等同双人XV。</x:v>
      </x:c>
      <x:c r="K399" s="46" t="str">
        <x:v>由共享基础引擎、M3与M5-BASE提供；只修正用户怎样给予、请求、接收和回馈，不直接判断双方现实交换质量。</x:v>
      </x:c>
      <x:c r="L399" s="46" t="str">
        <x:v>M2只说明进入关系所需资格证据；不能替代长期双向交换、负荷与修复验证。</x:v>
      </x:c>
      <x:c r="M399" s="46" t="str">
        <x:v>M3-BASE、EXPR、CARE和BOUND提供用户自然互动通道；M5-EXCHANGE负责把两人的实际行为合成为交换结构。</x:v>
      </x:c>
      <x:c r="N399" s="46" t="str">
        <x:v>无／按本规则指定的给予—请求—接收—反馈—重订路径路由。</x:v>
      </x:c>
      <x:c r="O399" s="46" t="str">
        <x:v>近位、远位只修正该交换需求进入亲密关系核心的可能；不得据此判断具体伴侣现实中一定配合。</x:v>
      </x:c>
      <x:c r="P399" s="46" t="str">
        <x:v>根气只修正用户交换需求和通道是否稳定重复，不等于双方已形成成熟互惠。</x:v>
      </x:c>
      <x:c r="Q399" s="46" t="str">
        <x:v>旺弱只修正通道调用强度、抢位或缺位风险，不直接等于交换公平或关系质量。</x:v>
      </x:c>
      <x:c r="R399" s="46" t="str">
        <x:v>喜忌只修正调用顺畅度与摩擦，不可直接翻译为理想伴侣五行、十神或必然互补。</x:v>
      </x:c>
      <x:c r="S399" s="46" t="str">
        <x:v>真合化成立时按化神功能重算用户交换需求；合化争议时停止细化交换通道。</x:v>
      </x:c>
      <x:c r="T399" s="46" t="str">
        <x:v>近位提高该交换议题进入关系核心的可能；远位只保留背景或阶段性观察。</x:v>
      </x:c>
      <x:c r="U399" s="46" t="str">
        <x:v>86</x:v>
      </x:c>
      <x:c r="V399" s="46" t="str">
        <x:v>不加分；接口／状态／去重</x:v>
      </x:c>
      <x:c r="W399" s="46" t="str">
        <x:v>exchange_evidence_level</x:v>
      </x:c>
      <x:c r="X399" s="46" t="str">
        <x:v>PV是个体行为证据；XV需要双方请求、回应、负荷和反馈。</x:v>
      </x:c>
      <x:c r="Y399" s="46" t="str">
        <x:v>一个人做得好，不等于双方交换已经成熟。</x:v>
      </x:c>
      <x:c r="Z39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399" s="46" t="str">
        <x:v>高</x:v>
      </x:c>
      <x:c r="AB399" s="46" t="str">
        <x:v>待验证</x:v>
      </x:c>
      <x:c r="AC399" s="46" t="str"/>
      <x:c r="AD399" s="46" t="str">
        <x:v>interface_state_rule=true; provisional=true; rule_group=EXCHANGE-接口门控</x:v>
      </x:c>
      <x:c r="AE399" s="46" t="str">
        <x:v>0.4</x:v>
      </x:c>
    </x:row>
    <x:row r="400" ht="50" customHeight="1">
      <x:c r="A400" s="46" t="str">
        <x:v>M5-EXCHANGE-399</x:v>
      </x:c>
      <x:c r="B400" s="46" t="str">
        <x:v>M3-EXPR接口｜表达必须进入反馈</x:v>
      </x:c>
      <x:c r="C400" s="46" t="str">
        <x:v>L9 状态、接口、去重与停止</x:v>
      </x:c>
      <x:c r="D400" s="46" t="str">
        <x:v>EXCHANGE-接口门控</x:v>
      </x:c>
      <x:c r="E400" s="46" t="str">
        <x:v>通用</x:v>
      </x:c>
      <x:c r="F400" s="46" t="str">
        <x:v>接口</x:v>
      </x:c>
      <x:c r="G400" s="46" t="str">
        <x:v>M3-EXPR接口</x:v>
      </x:c>
      <x:c r="H400" s="46" t="str"/>
      <x:c r="I400" s="46" t="str">
        <x:v>M3表达通道明显。</x:v>
      </x:c>
      <x:c r="J400" s="46" t="str">
        <x:v>把表达多直接等同沟通互惠。</x:v>
      </x:c>
      <x:c r="K400" s="46" t="str">
        <x:v>由共享基础引擎、M3与M5-BASE提供；只修正用户怎样给予、请求、接收和回馈，不直接判断双方现实交换质量。</x:v>
      </x:c>
      <x:c r="L400" s="46" t="str">
        <x:v>M2只说明进入关系所需资格证据；不能替代长期双向交换、负荷与修复验证。</x:v>
      </x:c>
      <x:c r="M400" s="46" t="str">
        <x:v>M3-BASE、EXPR、CARE和BOUND提供用户自然互动通道；M5-EXCHANGE负责把两人的实际行为合成为交换结构。</x:v>
      </x:c>
      <x:c r="N400" s="46" t="str">
        <x:v>无／按本规则指定的给予—请求—接收—反馈—重订路径路由。</x:v>
      </x:c>
      <x:c r="O400" s="46" t="str">
        <x:v>近位、远位只修正该交换需求进入亲密关系核心的可能；不得据此判断具体伴侣现实中一定配合。</x:v>
      </x:c>
      <x:c r="P400" s="46" t="str">
        <x:v>根气只修正用户交换需求和通道是否稳定重复，不等于双方已形成成熟互惠。</x:v>
      </x:c>
      <x:c r="Q400" s="46" t="str">
        <x:v>旺弱只修正通道调用强度、抢位或缺位风险，不直接等于交换公平或关系质量。</x:v>
      </x:c>
      <x:c r="R400" s="46" t="str">
        <x:v>喜忌只修正调用顺畅度与摩擦，不可直接翻译为理想伴侣五行、十神或必然互补。</x:v>
      </x:c>
      <x:c r="S400" s="46" t="str">
        <x:v>真合化成立时按化神功能重算用户交换需求；合化争议时停止细化交换通道。</x:v>
      </x:c>
      <x:c r="T400" s="46" t="str">
        <x:v>近位提高该交换议题进入关系核心的可能；远位只保留背景或阶段性观察。</x:v>
      </x:c>
      <x:c r="U400" s="46" t="str">
        <x:v>86</x:v>
      </x:c>
      <x:c r="V400" s="46" t="str">
        <x:v>不加分；接口／状态／去重</x:v>
      </x:c>
      <x:c r="W400" s="46" t="str">
        <x:v>feedback_loop</x:v>
      </x:c>
      <x:c r="X400" s="46" t="str">
        <x:v>检查表达是否被听见、复述、回应和调整。</x:v>
      </x:c>
      <x:c r="Y400" s="46" t="str">
        <x:v>表达只有进入反馈，才形成双向沟通。</x:v>
      </x:c>
      <x:c r="Z40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00" s="46" t="str">
        <x:v>中高</x:v>
      </x:c>
      <x:c r="AB400" s="46" t="str">
        <x:v>待验证</x:v>
      </x:c>
      <x:c r="AC400" s="46" t="str"/>
      <x:c r="AD400" s="46" t="str">
        <x:v>interface_state_rule=true; provisional=true; rule_group=EXCHANGE-接口门控</x:v>
      </x:c>
      <x:c r="AE400" s="46" t="str">
        <x:v>0.4</x:v>
      </x:c>
    </x:row>
    <x:row r="401" ht="50" customHeight="1">
      <x:c r="A401" s="46" t="str">
        <x:v>M5-EXCHANGE-400</x:v>
      </x:c>
      <x:c r="B401" s="46" t="str">
        <x:v>M3-CARE接口｜给予请求接收分开</x:v>
      </x:c>
      <x:c r="C401" s="46" t="str">
        <x:v>L9 状态、接口、去重与停止</x:v>
      </x:c>
      <x:c r="D401" s="46" t="str">
        <x:v>EXCHANGE-接口门控</x:v>
      </x:c>
      <x:c r="E401" s="46" t="str">
        <x:v>通用</x:v>
      </x:c>
      <x:c r="F401" s="46" t="str">
        <x:v>接口</x:v>
      </x:c>
      <x:c r="G401" s="46" t="str">
        <x:v>M3-CARE接口</x:v>
      </x:c>
      <x:c r="H401" s="46" t="str"/>
      <x:c r="I401" s="46" t="str">
        <x:v>M3-CARE结果可用。</x:v>
      </x:c>
      <x:c r="J401" s="46" t="str">
        <x:v>只根据用户给予方式判断双方互惠。</x:v>
      </x:c>
      <x:c r="K401" s="46" t="str">
        <x:v>由共享基础引擎、M3与M5-BASE提供；只修正用户怎样给予、请求、接收和回馈，不直接判断双方现实交换质量。</x:v>
      </x:c>
      <x:c r="L401" s="46" t="str">
        <x:v>M2只说明进入关系所需资格证据；不能替代长期双向交换、负荷与修复验证。</x:v>
      </x:c>
      <x:c r="M401" s="46" t="str">
        <x:v>M3-BASE、EXPR、CARE和BOUND提供用户自然互动通道；M5-EXCHANGE负责把两人的实际行为合成为交换结构。</x:v>
      </x:c>
      <x:c r="N401" s="46" t="str">
        <x:v>无／按本规则指定的给予—请求—接收—反馈—重订路径路由。</x:v>
      </x:c>
      <x:c r="O401" s="46" t="str">
        <x:v>近位、远位只修正该交换需求进入亲密关系核心的可能；不得据此判断具体伴侣现实中一定配合。</x:v>
      </x:c>
      <x:c r="P401" s="46" t="str">
        <x:v>根气只修正用户交换需求和通道是否稳定重复，不等于双方已形成成熟互惠。</x:v>
      </x:c>
      <x:c r="Q401" s="46" t="str">
        <x:v>旺弱只修正通道调用强度、抢位或缺位风险，不直接等于交换公平或关系质量。</x:v>
      </x:c>
      <x:c r="R401" s="46" t="str">
        <x:v>喜忌只修正调用顺畅度与摩擦，不可直接翻译为理想伴侣五行、十神或必然互补。</x:v>
      </x:c>
      <x:c r="S401" s="46" t="str">
        <x:v>真合化成立时按化神功能重算用户交换需求；合化争议时停止细化交换通道。</x:v>
      </x:c>
      <x:c r="T401" s="46" t="str">
        <x:v>近位提高该交换议题进入关系核心的可能；远位只保留背景或阶段性观察。</x:v>
      </x:c>
      <x:c r="U401" s="46" t="str">
        <x:v>86</x:v>
      </x:c>
      <x:c r="V401" s="46" t="str">
        <x:v>不加分；接口／状态／去重</x:v>
      </x:c>
      <x:c r="W401" s="46" t="str">
        <x:v>care_exchange_interface</x:v>
      </x:c>
      <x:c r="X401" s="46" t="str">
        <x:v>分别读取给予、请求、接收、回馈和连续性。</x:v>
      </x:c>
      <x:c r="Y401" s="46" t="str">
        <x:v>你怎么付出是一部分，还要看能不能开口需要、接住支持和形成回流。</x:v>
      </x:c>
      <x:c r="Z40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01" s="46" t="str">
        <x:v>中高</x:v>
      </x:c>
      <x:c r="AB401" s="46" t="str">
        <x:v>待验证</x:v>
      </x:c>
      <x:c r="AC401" s="46" t="str"/>
      <x:c r="AD401" s="46" t="str">
        <x:v>interface_state_rule=true; provisional=true; rule_group=EXCHANGE-接口门控</x:v>
      </x:c>
      <x:c r="AE401" s="46" t="str">
        <x:v>0.4</x:v>
      </x:c>
    </x:row>
    <x:row r="402" ht="50" customHeight="1">
      <x:c r="A402" s="46" t="str">
        <x:v>M5-EXCHANGE-401</x:v>
      </x:c>
      <x:c r="B402" s="46" t="str">
        <x:v>M3-BOUND接口｜交换必须保留选择权</x:v>
      </x:c>
      <x:c r="C402" s="46" t="str">
        <x:v>L9 状态、接口、去重与停止</x:v>
      </x:c>
      <x:c r="D402" s="46" t="str">
        <x:v>EXCHANGE-接口门控</x:v>
      </x:c>
      <x:c r="E402" s="46" t="str">
        <x:v>通用</x:v>
      </x:c>
      <x:c r="F402" s="46" t="str">
        <x:v>接口</x:v>
      </x:c>
      <x:c r="G402" s="46" t="str">
        <x:v>M3-BOUND接口</x:v>
      </x:c>
      <x:c r="H402" s="46" t="str"/>
      <x:c r="I402" s="46" t="str">
        <x:v>M3-BOUND结果可用。</x:v>
      </x:c>
      <x:c r="J402" s="46" t="str">
        <x:v>用帮助、保护或资源覆盖同意和边界。</x:v>
      </x:c>
      <x:c r="K402" s="46" t="str">
        <x:v>由共享基础引擎、M3与M5-BASE提供；只修正用户怎样给予、请求、接收和回馈，不直接判断双方现实交换质量。</x:v>
      </x:c>
      <x:c r="L402" s="46" t="str">
        <x:v>M2只说明进入关系所需资格证据；不能替代长期双向交换、负荷与修复验证。</x:v>
      </x:c>
      <x:c r="M402" s="46" t="str">
        <x:v>M3-BASE、EXPR、CARE和BOUND提供用户自然互动通道；M5-EXCHANGE负责把两人的实际行为合成为交换结构。</x:v>
      </x:c>
      <x:c r="N402" s="46" t="str">
        <x:v>无／按本规则指定的给予—请求—接收—反馈—重订路径路由。</x:v>
      </x:c>
      <x:c r="O402" s="46" t="str">
        <x:v>近位、远位只修正该交换需求进入亲密关系核心的可能；不得据此判断具体伴侣现实中一定配合。</x:v>
      </x:c>
      <x:c r="P402" s="46" t="str">
        <x:v>根气只修正用户交换需求和通道是否稳定重复，不等于双方已形成成熟互惠。</x:v>
      </x:c>
      <x:c r="Q402" s="46" t="str">
        <x:v>旺弱只修正通道调用强度、抢位或缺位风险，不直接等于交换公平或关系质量。</x:v>
      </x:c>
      <x:c r="R402" s="46" t="str">
        <x:v>喜忌只修正调用顺畅度与摩擦，不可直接翻译为理想伴侣五行、十神或必然互补。</x:v>
      </x:c>
      <x:c r="S402" s="46" t="str">
        <x:v>真合化成立时按化神功能重算用户交换需求；合化争议时停止细化交换通道。</x:v>
      </x:c>
      <x:c r="T402" s="46" t="str">
        <x:v>近位提高该交换议题进入关系核心的可能；远位只保留背景或阶段性观察。</x:v>
      </x:c>
      <x:c r="U402" s="46" t="str">
        <x:v>86</x:v>
      </x:c>
      <x:c r="V402" s="46" t="str">
        <x:v>不加分；接口／状态／去重</x:v>
      </x:c>
      <x:c r="W402" s="46" t="str">
        <x:v>consent_boundary</x:v>
      </x:c>
      <x:c r="X402" s="46" t="str">
        <x:v>任何交换都要检查同意、停止权、参与权和重订权。</x:v>
      </x:c>
      <x:c r="Y402" s="46" t="str">
        <x:v>支持越多，越需要确认边界和选择权仍然存在。</x:v>
      </x:c>
      <x:c r="Z40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02" s="46" t="str">
        <x:v>中高</x:v>
      </x:c>
      <x:c r="AB402" s="46" t="str">
        <x:v>待验证</x:v>
      </x:c>
      <x:c r="AC402" s="46" t="str"/>
      <x:c r="AD402" s="46" t="str">
        <x:v>interface_state_rule=true; provisional=true; rule_group=EXCHANGE-接口门控</x:v>
      </x:c>
      <x:c r="AE402" s="46" t="str">
        <x:v>0.4</x:v>
      </x:c>
    </x:row>
    <x:row r="403" ht="50" customHeight="1">
      <x:c r="A403" s="46" t="str">
        <x:v>M5-EXCHANGE-402</x:v>
      </x:c>
      <x:c r="B403" s="46" t="str">
        <x:v>M3-CONFLICT接口｜分歧中的交换</x:v>
      </x:c>
      <x:c r="C403" s="46" t="str">
        <x:v>L9 状态、接口、去重与停止</x:v>
      </x:c>
      <x:c r="D403" s="46" t="str">
        <x:v>EXCHANGE-接口门控</x:v>
      </x:c>
      <x:c r="E403" s="46" t="str">
        <x:v>通用</x:v>
      </x:c>
      <x:c r="F403" s="46" t="str">
        <x:v>接口</x:v>
      </x:c>
      <x:c r="G403" s="46" t="str">
        <x:v>M3-CONFLICT接口</x:v>
      </x:c>
      <x:c r="H403" s="46" t="str"/>
      <x:c r="I403" s="46" t="str">
        <x:v>M3-CONFLICT结果可用。</x:v>
      </x:c>
      <x:c r="J403" s="46" t="str">
        <x:v>只看平稳期互惠。</x:v>
      </x:c>
      <x:c r="K403" s="46" t="str">
        <x:v>由共享基础引擎、M3与M5-BASE提供；只修正用户怎样给予、请求、接收和回馈，不直接判断双方现实交换质量。</x:v>
      </x:c>
      <x:c r="L403" s="46" t="str">
        <x:v>M2只说明进入关系所需资格证据；不能替代长期双向交换、负荷与修复验证。</x:v>
      </x:c>
      <x:c r="M403" s="46" t="str">
        <x:v>M3-BASE、EXPR、CARE和BOUND提供用户自然互动通道；M5-EXCHANGE负责把两人的实际行为合成为交换结构。</x:v>
      </x:c>
      <x:c r="N403" s="46" t="str">
        <x:v>无／按本规则指定的给予—请求—接收—反馈—重订路径路由。</x:v>
      </x:c>
      <x:c r="O403" s="46" t="str">
        <x:v>近位、远位只修正该交换需求进入亲密关系核心的可能；不得据此判断具体伴侣现实中一定配合。</x:v>
      </x:c>
      <x:c r="P403" s="46" t="str">
        <x:v>根气只修正用户交换需求和通道是否稳定重复，不等于双方已形成成熟互惠。</x:v>
      </x:c>
      <x:c r="Q403" s="46" t="str">
        <x:v>旺弱只修正通道调用强度、抢位或缺位风险，不直接等于交换公平或关系质量。</x:v>
      </x:c>
      <x:c r="R403" s="46" t="str">
        <x:v>喜忌只修正调用顺畅度与摩擦，不可直接翻译为理想伴侣五行、十神或必然互补。</x:v>
      </x:c>
      <x:c r="S403" s="46" t="str">
        <x:v>真合化成立时按化神功能重算用户交换需求；合化争议时停止细化交换通道。</x:v>
      </x:c>
      <x:c r="T403" s="46" t="str">
        <x:v>近位提高该交换议题进入关系核心的可能；远位只保留背景或阶段性观察。</x:v>
      </x:c>
      <x:c r="U403" s="46" t="str">
        <x:v>86</x:v>
      </x:c>
      <x:c r="V403" s="46" t="str">
        <x:v>不加分；接口／状态／去重</x:v>
      </x:c>
      <x:c r="W403" s="46" t="str">
        <x:v>conflict_exchange_profile</x:v>
      </x:c>
      <x:c r="X403" s="46" t="str">
        <x:v>分歧时检查表达、倾听、责任、方案与负荷怎样重新分配。</x:v>
      </x:c>
      <x:c r="Y403" s="46" t="str">
        <x:v>真正的交换能力要看意见不同以后还能否运行。</x:v>
      </x:c>
      <x:c r="Z40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03" s="46" t="str">
        <x:v>中高</x:v>
      </x:c>
      <x:c r="AB403" s="46" t="str">
        <x:v>待验证</x:v>
      </x:c>
      <x:c r="AC403" s="46" t="str"/>
      <x:c r="AD403" s="46" t="str">
        <x:v>interface_state_rule=true; provisional=true; rule_group=EXCHANGE-接口门控</x:v>
      </x:c>
      <x:c r="AE403" s="46" t="str">
        <x:v>0.4</x:v>
      </x:c>
    </x:row>
    <x:row r="404" ht="50" customHeight="1">
      <x:c r="A404" s="46" t="str">
        <x:v>M5-EXCHANGE-403</x:v>
      </x:c>
      <x:c r="B404" s="46" t="str">
        <x:v>M4 LP02解释升级路由</x:v>
      </x:c>
      <x:c r="C404" s="46" t="str">
        <x:v>L9 状态、接口、去重与停止</x:v>
      </x:c>
      <x:c r="D404" s="46" t="str">
        <x:v>EXCHANGE-接口门控</x:v>
      </x:c>
      <x:c r="E404" s="46" t="str">
        <x:v>通用</x:v>
      </x:c>
      <x:c r="F404" s="46" t="str">
        <x:v>接口</x:v>
      </x:c>
      <x:c r="G404" s="46" t="str">
        <x:v>M4 LP02解释升级路由</x:v>
      </x:c>
      <x:c r="H404" s="46" t="str"/>
      <x:c r="I404" s="46" t="str">
        <x:v>LP02或K01/K03现实候选成立。</x:v>
      </x:c>
      <x:c r="J404" s="46" t="str">
        <x:v>没有对方反馈或复发资料。</x:v>
      </x:c>
      <x:c r="K404" s="46" t="str">
        <x:v>由共享基础引擎、M3与M5-BASE提供；只修正用户怎样给予、请求、接收和回馈，不直接判断双方现实交换质量。</x:v>
      </x:c>
      <x:c r="L404" s="46" t="str">
        <x:v>M2只说明进入关系所需资格证据；不能替代长期双向交换、负荷与修复验证。</x:v>
      </x:c>
      <x:c r="M404" s="46" t="str">
        <x:v>M3-BASE、EXPR、CARE和BOUND提供用户自然互动通道；M5-EXCHANGE负责把两人的实际行为合成为交换结构。</x:v>
      </x:c>
      <x:c r="N404" s="46" t="str">
        <x:v>无／按本规则指定的给予—请求—接收—反馈—重订路径路由。</x:v>
      </x:c>
      <x:c r="O404" s="46" t="str">
        <x:v>近位、远位只修正该交换需求进入亲密关系核心的可能；不得据此判断具体伴侣现实中一定配合。</x:v>
      </x:c>
      <x:c r="P404" s="46" t="str">
        <x:v>根气只修正用户交换需求和通道是否稳定重复，不等于双方已形成成熟互惠。</x:v>
      </x:c>
      <x:c r="Q404" s="46" t="str">
        <x:v>旺弱只修正通道调用强度、抢位或缺位风险，不直接等于交换公平或关系质量。</x:v>
      </x:c>
      <x:c r="R404" s="46" t="str">
        <x:v>喜忌只修正调用顺畅度与摩擦，不可直接翻译为理想伴侣五行、十神或必然互补。</x:v>
      </x:c>
      <x:c r="S404" s="46" t="str">
        <x:v>真合化成立时按化神功能重算用户交换需求；合化争议时停止细化交换通道。</x:v>
      </x:c>
      <x:c r="T404" s="46" t="str">
        <x:v>近位提高该交换议题进入关系核心的可能；远位只保留背景或阶段性观察。</x:v>
      </x:c>
      <x:c r="U404" s="46" t="str">
        <x:v>86</x:v>
      </x:c>
      <x:c r="V404" s="46" t="str">
        <x:v>不加分；接口／状态／去重</x:v>
      </x:c>
      <x:c r="W404" s="46" t="str">
        <x:v>pseudo_reciprocity_warning</x:v>
      </x:c>
      <x:c r="X404" s="46" t="str">
        <x:v>优先检查EC04是否只有输出没有接收，ED04是否失败。</x:v>
      </x:c>
      <x:c r="Y404" s="46" t="str">
        <x:v>要看沟通是否真的有来有回，而不是一方不断增加解释。</x:v>
      </x:c>
      <x:c r="Z40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04" s="46" t="str">
        <x:v>中高</x:v>
      </x:c>
      <x:c r="AB404" s="46" t="str">
        <x:v>待验证</x:v>
      </x:c>
      <x:c r="AC404" s="46" t="str"/>
      <x:c r="AD404" s="46" t="str">
        <x:v>interface_state_rule=true; provisional=true; rule_group=EXCHANGE-接口门控</x:v>
      </x:c>
      <x:c r="AE404" s="46" t="str">
        <x:v>0.4</x:v>
      </x:c>
    </x:row>
    <x:row r="405" ht="50" customHeight="1">
      <x:c r="A405" s="46" t="str">
        <x:v>M5-EXCHANGE-404</x:v>
      </x:c>
      <x:c r="B405" s="46" t="str">
        <x:v>M4 LP05承接替代改变路由</x:v>
      </x:c>
      <x:c r="C405" s="46" t="str">
        <x:v>L9 状态、接口、去重与停止</x:v>
      </x:c>
      <x:c r="D405" s="46" t="str">
        <x:v>EXCHANGE-接口门控</x:v>
      </x:c>
      <x:c r="E405" s="46" t="str">
        <x:v>通用</x:v>
      </x:c>
      <x:c r="F405" s="46" t="str">
        <x:v>接口</x:v>
      </x:c>
      <x:c r="G405" s="46" t="str">
        <x:v>M4 LP05承接替代改变路由</x:v>
      </x:c>
      <x:c r="H405" s="46" t="str"/>
      <x:c r="I405" s="46" t="str">
        <x:v>LP05或K03/K06候选成立。</x:v>
      </x:c>
      <x:c r="J405" s="46" t="str">
        <x:v>只有一次安抚事件。</x:v>
      </x:c>
      <x:c r="K405" s="46" t="str">
        <x:v>由共享基础引擎、M3与M5-BASE提供；只修正用户怎样给予、请求、接收和回馈，不直接判断双方现实交换质量。</x:v>
      </x:c>
      <x:c r="L405" s="46" t="str">
        <x:v>M2只说明进入关系所需资格证据；不能替代长期双向交换、负荷与修复验证。</x:v>
      </x:c>
      <x:c r="M405" s="46" t="str">
        <x:v>M3-BASE、EXPR、CARE和BOUND提供用户自然互动通道；M5-EXCHANGE负责把两人的实际行为合成为交换结构。</x:v>
      </x:c>
      <x:c r="N405" s="46" t="str">
        <x:v>无／按本规则指定的给予—请求—接收—反馈—重订路径路由。</x:v>
      </x:c>
      <x:c r="O405" s="46" t="str">
        <x:v>近位、远位只修正该交换需求进入亲密关系核心的可能；不得据此判断具体伴侣现实中一定配合。</x:v>
      </x:c>
      <x:c r="P405" s="46" t="str">
        <x:v>根气只修正用户交换需求和通道是否稳定重复，不等于双方已形成成熟互惠。</x:v>
      </x:c>
      <x:c r="Q405" s="46" t="str">
        <x:v>旺弱只修正通道调用强度、抢位或缺位风险，不直接等于交换公平或关系质量。</x:v>
      </x:c>
      <x:c r="R405" s="46" t="str">
        <x:v>喜忌只修正调用顺畅度与摩擦，不可直接翻译为理想伴侣五行、十神或必然互补。</x:v>
      </x:c>
      <x:c r="S405" s="46" t="str">
        <x:v>真合化成立时按化神功能重算用户交换需求；合化争议时停止细化交换通道。</x:v>
      </x:c>
      <x:c r="T405" s="46" t="str">
        <x:v>近位提高该交换议题进入关系核心的可能；远位只保留背景或阶段性观察。</x:v>
      </x:c>
      <x:c r="U405" s="46" t="str">
        <x:v>86</x:v>
      </x:c>
      <x:c r="V405" s="46" t="str">
        <x:v>不加分；接口／状态／去重</x:v>
      </x:c>
      <x:c r="W405" s="46" t="str">
        <x:v>exchange_path</x:v>
      </x:c>
      <x:c r="X405" s="46" t="str">
        <x:v>路由EC09→EC05/EC07，检查理解是否转成现实改变。</x:v>
      </x:c>
      <x:c r="Y405" s="46" t="str">
        <x:v>被理解之后，还要看责任和现实调整是否进入。</x:v>
      </x:c>
      <x:c r="Z40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05" s="46" t="str">
        <x:v>中高</x:v>
      </x:c>
      <x:c r="AB405" s="46" t="str">
        <x:v>待验证</x:v>
      </x:c>
      <x:c r="AC405" s="46" t="str"/>
      <x:c r="AD405" s="46" t="str">
        <x:v>interface_state_rule=true; provisional=true; rule_group=EXCHANGE-接口门控</x:v>
      </x:c>
      <x:c r="AE405" s="46" t="str">
        <x:v>0.4</x:v>
      </x:c>
    </x:row>
    <x:row r="406" ht="50" customHeight="1">
      <x:c r="A406" s="46" t="str">
        <x:v>M5-EXCHANGE-405</x:v>
      </x:c>
      <x:c r="B406" s="46" t="str">
        <x:v>M4 LP06投入记账路由</x:v>
      </x:c>
      <x:c r="C406" s="46" t="str">
        <x:v>L9 状态、接口、去重与停止</x:v>
      </x:c>
      <x:c r="D406" s="46" t="str">
        <x:v>EXCHANGE-接口门控</x:v>
      </x:c>
      <x:c r="E406" s="46" t="str">
        <x:v>通用</x:v>
      </x:c>
      <x:c r="F406" s="46" t="str">
        <x:v>接口</x:v>
      </x:c>
      <x:c r="G406" s="46" t="str">
        <x:v>M4 LP06投入记账路由</x:v>
      </x:c>
      <x:c r="H406" s="46" t="str"/>
      <x:c r="I406" s="46" t="str">
        <x:v>LP06或K01/K07候选成立。</x:v>
      </x:c>
      <x:c r="J406" s="46" t="str">
        <x:v>没有长期负荷与反馈资料。</x:v>
      </x:c>
      <x:c r="K406" s="46" t="str">
        <x:v>由共享基础引擎、M3与M5-BASE提供；只修正用户怎样给予、请求、接收和回馈，不直接判断双方现实交换质量。</x:v>
      </x:c>
      <x:c r="L406" s="46" t="str">
        <x:v>M2只说明进入关系所需资格证据；不能替代长期双向交换、负荷与修复验证。</x:v>
      </x:c>
      <x:c r="M406" s="46" t="str">
        <x:v>M3-BASE、EXPR、CARE和BOUND提供用户自然互动通道；M5-EXCHANGE负责把两人的实际行为合成为交换结构。</x:v>
      </x:c>
      <x:c r="N406" s="46" t="str">
        <x:v>无／按本规则指定的给予—请求—接收—反馈—重订路径路由。</x:v>
      </x:c>
      <x:c r="O406" s="46" t="str">
        <x:v>近位、远位只修正该交换需求进入亲密关系核心的可能；不得据此判断具体伴侣现实中一定配合。</x:v>
      </x:c>
      <x:c r="P406" s="46" t="str">
        <x:v>根气只修正用户交换需求和通道是否稳定重复，不等于双方已形成成熟互惠。</x:v>
      </x:c>
      <x:c r="Q406" s="46" t="str">
        <x:v>旺弱只修正通道调用强度、抢位或缺位风险，不直接等于交换公平或关系质量。</x:v>
      </x:c>
      <x:c r="R406" s="46" t="str">
        <x:v>喜忌只修正调用顺畅度与摩擦，不可直接翻译为理想伴侣五行、十神或必然互补。</x:v>
      </x:c>
      <x:c r="S406" s="46" t="str">
        <x:v>真合化成立时按化神功能重算用户交换需求；合化争议时停止细化交换通道。</x:v>
      </x:c>
      <x:c r="T406" s="46" t="str">
        <x:v>近位提高该交换议题进入关系核心的可能；远位只保留背景或阶段性观察。</x:v>
      </x:c>
      <x:c r="U406" s="46" t="str">
        <x:v>86</x:v>
      </x:c>
      <x:c r="V406" s="46" t="str">
        <x:v>不加分；接口／状态／去重</x:v>
      </x:c>
      <x:c r="W406" s="46" t="str">
        <x:v>load_balance</x:v>
      </x:c>
      <x:c r="X406" s="46" t="str">
        <x:v>检查ED01、ED02、ED06、ED07和XR状态。</x:v>
      </x:c>
      <x:c r="Y406" s="46" t="str">
        <x:v>真正要看的不是谁付出更多，而是贡献是否被看见、请求是否清楚、负荷能否重订。</x:v>
      </x:c>
      <x:c r="Z40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06" s="46" t="str">
        <x:v>中高</x:v>
      </x:c>
      <x:c r="AB406" s="46" t="str">
        <x:v>待验证</x:v>
      </x:c>
      <x:c r="AC406" s="46" t="str"/>
      <x:c r="AD406" s="46" t="str">
        <x:v>interface_state_rule=true; provisional=true; rule_group=EXCHANGE-接口门控</x:v>
      </x:c>
      <x:c r="AE406" s="46" t="str">
        <x:v>0.4</x:v>
      </x:c>
    </x:row>
    <x:row r="407" ht="50" customHeight="1">
      <x:c r="A407" s="46" t="str">
        <x:v>M5-EXCHANGE-406</x:v>
      </x:c>
      <x:c r="B407" s="46" t="str">
        <x:v>M4 LP08平等竞争路由</x:v>
      </x:c>
      <x:c r="C407" s="46" t="str">
        <x:v>L9 状态、接口、去重与停止</x:v>
      </x:c>
      <x:c r="D407" s="46" t="str">
        <x:v>EXCHANGE-接口门控</x:v>
      </x:c>
      <x:c r="E407" s="46" t="str">
        <x:v>通用</x:v>
      </x:c>
      <x:c r="F407" s="46" t="str">
        <x:v>接口</x:v>
      </x:c>
      <x:c r="G407" s="46" t="str">
        <x:v>M4 LP08平等竞争路由</x:v>
      </x:c>
      <x:c r="H407" s="46" t="str"/>
      <x:c r="I407" s="46" t="str">
        <x:v>LP08或K05候选成立。</x:v>
      </x:c>
      <x:c r="J407" s="46" t="str">
        <x:v>没有双方比较、争主导或责任冲突。</x:v>
      </x:c>
      <x:c r="K407" s="46" t="str">
        <x:v>由共享基础引擎、M3与M5-BASE提供；只修正用户怎样给予、请求、接收和回馈，不直接判断双方现实交换质量。</x:v>
      </x:c>
      <x:c r="L407" s="46" t="str">
        <x:v>M2只说明进入关系所需资格证据；不能替代长期双向交换、负荷与修复验证。</x:v>
      </x:c>
      <x:c r="M407" s="46" t="str">
        <x:v>M3-BASE、EXPR、CARE和BOUND提供用户自然互动通道；M5-EXCHANGE负责把两人的实际行为合成为交换结构。</x:v>
      </x:c>
      <x:c r="N407" s="46" t="str">
        <x:v>无／按本规则指定的给予—请求—接收—反馈—重订路径路由。</x:v>
      </x:c>
      <x:c r="O407" s="46" t="str">
        <x:v>近位、远位只修正该交换需求进入亲密关系核心的可能；不得据此判断具体伴侣现实中一定配合。</x:v>
      </x:c>
      <x:c r="P407" s="46" t="str">
        <x:v>根气只修正用户交换需求和通道是否稳定重复，不等于双方已形成成熟互惠。</x:v>
      </x:c>
      <x:c r="Q407" s="46" t="str">
        <x:v>旺弱只修正通道调用强度、抢位或缺位风险，不直接等于交换公平或关系质量。</x:v>
      </x:c>
      <x:c r="R407" s="46" t="str">
        <x:v>喜忌只修正调用顺畅度与摩擦，不可直接翻译为理想伴侣五行、十神或必然互补。</x:v>
      </x:c>
      <x:c r="S407" s="46" t="str">
        <x:v>真合化成立时按化神功能重算用户交换需求；合化争议时停止细化交换通道。</x:v>
      </x:c>
      <x:c r="T407" s="46" t="str">
        <x:v>近位提高该交换议题进入关系核心的可能；远位只保留背景或阶段性观察。</x:v>
      </x:c>
      <x:c r="U407" s="46" t="str">
        <x:v>86</x:v>
      </x:c>
      <x:c r="V407" s="46" t="str">
        <x:v>不加分；接口／状态／去重</x:v>
      </x:c>
      <x:c r="W407" s="46" t="str">
        <x:v>exchange_mode</x:v>
      </x:c>
      <x:c r="X407" s="46" t="str">
        <x:v>区分EC01平等参与与机械对等，优先检查EM03、ED07和ED09。</x:v>
      </x:c>
      <x:c r="Y407" s="46" t="str">
        <x:v>平等不是逐项比较，而是双方都能参与并调整分工。</x:v>
      </x:c>
      <x:c r="Z40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07" s="46" t="str">
        <x:v>中高</x:v>
      </x:c>
      <x:c r="AB407" s="46" t="str">
        <x:v>待验证</x:v>
      </x:c>
      <x:c r="AC407" s="46" t="str"/>
      <x:c r="AD407" s="46" t="str">
        <x:v>interface_state_rule=true; provisional=true; rule_group=EXCHANGE-接口门控</x:v>
      </x:c>
      <x:c r="AE407" s="46" t="str">
        <x:v>0.4</x:v>
      </x:c>
    </x:row>
    <x:row r="408" ht="50" customHeight="1">
      <x:c r="A408" s="46" t="str">
        <x:v>M5-EXCHANGE-407</x:v>
      </x:c>
      <x:c r="B408" s="46" t="str">
        <x:v>M4 LP09规则反弹路由</x:v>
      </x:c>
      <x:c r="C408" s="46" t="str">
        <x:v>L9 状态、接口、去重与停止</x:v>
      </x:c>
      <x:c r="D408" s="46" t="str">
        <x:v>EXCHANGE-接口门控</x:v>
      </x:c>
      <x:c r="E408" s="46" t="str">
        <x:v>通用</x:v>
      </x:c>
      <x:c r="F408" s="46" t="str">
        <x:v>接口</x:v>
      </x:c>
      <x:c r="G408" s="46" t="str">
        <x:v>M4 LP09规则反弹路由</x:v>
      </x:c>
      <x:c r="H408" s="46" t="str"/>
      <x:c r="I408" s="46" t="str">
        <x:v>LP09或K01/K07候选成立。</x:v>
      </x:c>
      <x:c r="J408" s="46" t="str">
        <x:v>规则已共同制定并现实有效。</x:v>
      </x:c>
      <x:c r="K408" s="46" t="str">
        <x:v>由共享基础引擎、M3与M5-BASE提供；只修正用户怎样给予、请求、接收和回馈，不直接判断双方现实交换质量。</x:v>
      </x:c>
      <x:c r="L408" s="46" t="str">
        <x:v>M2只说明进入关系所需资格证据；不能替代长期双向交换、负荷与修复验证。</x:v>
      </x:c>
      <x:c r="M408" s="46" t="str">
        <x:v>M3-BASE、EXPR、CARE和BOUND提供用户自然互动通道；M5-EXCHANGE负责把两人的实际行为合成为交换结构。</x:v>
      </x:c>
      <x:c r="N408" s="46" t="str">
        <x:v>无／按本规则指定的给予—请求—接收—反馈—重订路径路由。</x:v>
      </x:c>
      <x:c r="O408" s="46" t="str">
        <x:v>近位、远位只修正该交换需求进入亲密关系核心的可能；不得据此判断具体伴侣现实中一定配合。</x:v>
      </x:c>
      <x:c r="P408" s="46" t="str">
        <x:v>根气只修正用户交换需求和通道是否稳定重复，不等于双方已形成成熟互惠。</x:v>
      </x:c>
      <x:c r="Q408" s="46" t="str">
        <x:v>旺弱只修正通道调用强度、抢位或缺位风险，不直接等于交换公平或关系质量。</x:v>
      </x:c>
      <x:c r="R408" s="46" t="str">
        <x:v>喜忌只修正调用顺畅度与摩擦，不可直接翻译为理想伴侣五行、十神或必然互补。</x:v>
      </x:c>
      <x:c r="S408" s="46" t="str">
        <x:v>真合化成立时按化神功能重算用户交换需求；合化争议时停止细化交换通道。</x:v>
      </x:c>
      <x:c r="T408" s="46" t="str">
        <x:v>近位提高该交换议题进入关系核心的可能；远位只保留背景或阶段性观察。</x:v>
      </x:c>
      <x:c r="U408" s="46" t="str">
        <x:v>86</x:v>
      </x:c>
      <x:c r="V408" s="46" t="str">
        <x:v>不加分；接口／状态／去重</x:v>
      </x:c>
      <x:c r="W408" s="46" t="str">
        <x:v>exchange_path</x:v>
      </x:c>
      <x:c r="X408" s="46" t="str">
        <x:v>检查EC07是否缺EC01/EC04反馈，规则是否单向。</x:v>
      </x:c>
      <x:c r="Y408" s="46" t="str">
        <x:v>规则需要共同制定和复核，不能只靠增加要求。</x:v>
      </x:c>
      <x:c r="Z40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08" s="46" t="str">
        <x:v>中高</x:v>
      </x:c>
      <x:c r="AB408" s="46" t="str">
        <x:v>待验证</x:v>
      </x:c>
      <x:c r="AC408" s="46" t="str"/>
      <x:c r="AD408" s="46" t="str">
        <x:v>interface_state_rule=true; provisional=true; rule_group=EXCHANGE-接口门控</x:v>
      </x:c>
      <x:c r="AE408" s="46" t="str">
        <x:v>0.4</x:v>
      </x:c>
    </x:row>
    <x:row r="409" ht="50" customHeight="1">
      <x:c r="A409" s="46" t="str">
        <x:v>M5-EXCHANGE-408</x:v>
      </x:c>
      <x:c r="B409" s="46" t="str">
        <x:v>M4 LP10新鲜落地路由</x:v>
      </x:c>
      <x:c r="C409" s="46" t="str">
        <x:v>L9 状态、接口、去重与停止</x:v>
      </x:c>
      <x:c r="D409" s="46" t="str">
        <x:v>EXCHANGE-接口门控</x:v>
      </x:c>
      <x:c r="E409" s="46" t="str">
        <x:v>通用</x:v>
      </x:c>
      <x:c r="F409" s="46" t="str">
        <x:v>接口</x:v>
      </x:c>
      <x:c r="G409" s="46" t="str">
        <x:v>M4 LP10新鲜落地路由</x:v>
      </x:c>
      <x:c r="H409" s="46" t="str"/>
      <x:c r="I409" s="46" t="str">
        <x:v>LP10或K06候选成立。</x:v>
      </x:c>
      <x:c r="J409" s="46" t="str">
        <x:v>XV4以上已显示体验转稳定安排。</x:v>
      </x:c>
      <x:c r="K409" s="46" t="str">
        <x:v>由共享基础引擎、M3与M5-BASE提供；只修正用户怎样给予、请求、接收和回馈，不直接判断双方现实交换质量。</x:v>
      </x:c>
      <x:c r="L409" s="46" t="str">
        <x:v>M2只说明进入关系所需资格证据；不能替代长期双向交换、负荷与修复验证。</x:v>
      </x:c>
      <x:c r="M409" s="46" t="str">
        <x:v>M3-BASE、EXPR、CARE和BOUND提供用户自然互动通道；M5-EXCHANGE负责把两人的实际行为合成为交换结构。</x:v>
      </x:c>
      <x:c r="N409" s="46" t="str">
        <x:v>无／按本规则指定的给予—请求—接收—反馈—重订路径路由。</x:v>
      </x:c>
      <x:c r="O409" s="46" t="str">
        <x:v>近位、远位只修正该交换需求进入亲密关系核心的可能；不得据此判断具体伴侣现实中一定配合。</x:v>
      </x:c>
      <x:c r="P409" s="46" t="str">
        <x:v>根气只修正用户交换需求和通道是否稳定重复，不等于双方已形成成熟互惠。</x:v>
      </x:c>
      <x:c r="Q409" s="46" t="str">
        <x:v>旺弱只修正通道调用强度、抢位或缺位风险，不直接等于交换公平或关系质量。</x:v>
      </x:c>
      <x:c r="R409" s="46" t="str">
        <x:v>喜忌只修正调用顺畅度与摩擦，不可直接翻译为理想伴侣五行、十神或必然互补。</x:v>
      </x:c>
      <x:c r="S409" s="46" t="str">
        <x:v>真合化成立时按化神功能重算用户交换需求；合化争议时停止细化交换通道。</x:v>
      </x:c>
      <x:c r="T409" s="46" t="str">
        <x:v>近位提高该交换议题进入关系核心的可能；远位只保留背景或阶段性观察。</x:v>
      </x:c>
      <x:c r="U409" s="46" t="str">
        <x:v>86</x:v>
      </x:c>
      <x:c r="V409" s="46" t="str">
        <x:v>不加分；接口／状态／去重</x:v>
      </x:c>
      <x:c r="W409" s="46" t="str">
        <x:v>exchange_path</x:v>
      </x:c>
      <x:c r="X409" s="46" t="str">
        <x:v>检查EC06→EC05/EC07与EM08/EM09。</x:v>
      </x:c>
      <x:c r="Y409" s="46" t="str">
        <x:v>有感觉之后，还要看能不能转成持续安排和责任。</x:v>
      </x:c>
      <x:c r="Z40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09" s="46" t="str">
        <x:v>中高</x:v>
      </x:c>
      <x:c r="AB409" s="46" t="str">
        <x:v>待验证</x:v>
      </x:c>
      <x:c r="AC409" s="46" t="str"/>
      <x:c r="AD409" s="46" t="str">
        <x:v>interface_state_rule=true; provisional=true; rule_group=EXCHANGE-接口门控</x:v>
      </x:c>
      <x:c r="AE409" s="46" t="str">
        <x:v>0.4</x:v>
      </x:c>
    </x:row>
    <x:row r="410" ht="50" customHeight="1">
      <x:c r="A410" s="46" t="str">
        <x:v>M5-EXCHANGE-409</x:v>
      </x:c>
      <x:c r="B410" s="46" t="str">
        <x:v>M4 LP11暂停断链路由</x:v>
      </x:c>
      <x:c r="C410" s="46" t="str">
        <x:v>L9 状态、接口、去重与停止</x:v>
      </x:c>
      <x:c r="D410" s="46" t="str">
        <x:v>EXCHANGE-接口门控</x:v>
      </x:c>
      <x:c r="E410" s="46" t="str">
        <x:v>通用</x:v>
      </x:c>
      <x:c r="F410" s="46" t="str">
        <x:v>接口</x:v>
      </x:c>
      <x:c r="G410" s="46" t="str">
        <x:v>M4 LP11暂停断链路由</x:v>
      </x:c>
      <x:c r="H410" s="46" t="str"/>
      <x:c r="I410" s="46" t="str">
        <x:v>LP11或K06/K08候选成立。</x:v>
      </x:c>
      <x:c r="J410" s="46" t="str">
        <x:v>已有明确回归点并稳定执行。</x:v>
      </x:c>
      <x:c r="K410" s="46" t="str">
        <x:v>由共享基础引擎、M3与M5-BASE提供；只修正用户怎样给予、请求、接收和回馈，不直接判断双方现实交换质量。</x:v>
      </x:c>
      <x:c r="L410" s="46" t="str">
        <x:v>M2只说明进入关系所需资格证据；不能替代长期双向交换、负荷与修复验证。</x:v>
      </x:c>
      <x:c r="M410" s="46" t="str">
        <x:v>M3-BASE、EXPR、CARE和BOUND提供用户自然互动通道；M5-EXCHANGE负责把两人的实际行为合成为交换结构。</x:v>
      </x:c>
      <x:c r="N410" s="46" t="str">
        <x:v>无／按本规则指定的给予—请求—接收—反馈—重订路径路由。</x:v>
      </x:c>
      <x:c r="O410" s="46" t="str">
        <x:v>近位、远位只修正该交换需求进入亲密关系核心的可能；不得据此判断具体伴侣现实中一定配合。</x:v>
      </x:c>
      <x:c r="P410" s="46" t="str">
        <x:v>根气只修正用户交换需求和通道是否稳定重复，不等于双方已形成成熟互惠。</x:v>
      </x:c>
      <x:c r="Q410" s="46" t="str">
        <x:v>旺弱只修正通道调用强度、抢位或缺位风险，不直接等于交换公平或关系质量。</x:v>
      </x:c>
      <x:c r="R410" s="46" t="str">
        <x:v>喜忌只修正调用顺畅度与摩擦，不可直接翻译为理想伴侣五行、十神或必然互补。</x:v>
      </x:c>
      <x:c r="S410" s="46" t="str">
        <x:v>真合化成立时按化神功能重算用户交换需求；合化争议时停止细化交换通道。</x:v>
      </x:c>
      <x:c r="T410" s="46" t="str">
        <x:v>近位提高该交换议题进入关系核心的可能；远位只保留背景或阶段性观察。</x:v>
      </x:c>
      <x:c r="U410" s="46" t="str">
        <x:v>86</x:v>
      </x:c>
      <x:c r="V410" s="46" t="str">
        <x:v>不加分；接口／状态／去重</x:v>
      </x:c>
      <x:c r="W410" s="46" t="str">
        <x:v>exchange_path</x:v>
      </x:c>
      <x:c r="X410" s="46" t="str">
        <x:v>检查EC10、EP06、ED06和ED10。</x:v>
      </x:c>
      <x:c r="Y410" s="46" t="str">
        <x:v>空间要有最低连接和回来方式，才能继续成为支持。</x:v>
      </x:c>
      <x:c r="Z41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10" s="46" t="str">
        <x:v>中高</x:v>
      </x:c>
      <x:c r="AB410" s="46" t="str">
        <x:v>待验证</x:v>
      </x:c>
      <x:c r="AC410" s="46" t="str"/>
      <x:c r="AD410" s="46" t="str">
        <x:v>interface_state_rule=true; provisional=true; rule_group=EXCHANGE-接口门控</x:v>
      </x:c>
      <x:c r="AE410" s="46" t="str">
        <x:v>0.4</x:v>
      </x:c>
    </x:row>
    <x:row r="411" ht="50" customHeight="1">
      <x:c r="A411" s="46" t="str">
        <x:v>M5-EXCHANGE-410</x:v>
      </x:c>
      <x:c r="B411" s="46" t="str">
        <x:v>M4 LP12修复不闭环路由</x:v>
      </x:c>
      <x:c r="C411" s="46" t="str">
        <x:v>L9 状态、接口、去重与停止</x:v>
      </x:c>
      <x:c r="D411" s="46" t="str">
        <x:v>EXCHANGE-接口门控</x:v>
      </x:c>
      <x:c r="E411" s="46" t="str">
        <x:v>通用</x:v>
      </x:c>
      <x:c r="F411" s="46" t="str">
        <x:v>接口</x:v>
      </x:c>
      <x:c r="G411" s="46" t="str">
        <x:v>M4 LP12修复不闭环路由</x:v>
      </x:c>
      <x:c r="H411" s="46" t="str"/>
      <x:c r="I411" s="46" t="str">
        <x:v>LP12或K08候选成立。</x:v>
      </x:c>
      <x:c r="J411" s="46" t="str">
        <x:v>RN07/RN08已现实完成。</x:v>
      </x:c>
      <x:c r="K411" s="46" t="str">
        <x:v>由共享基础引擎、M3与M5-BASE提供；只修正用户怎样给予、请求、接收和回馈，不直接判断双方现实交换质量。</x:v>
      </x:c>
      <x:c r="L411" s="46" t="str">
        <x:v>M2只说明进入关系所需资格证据；不能替代长期双向交换、负荷与修复验证。</x:v>
      </x:c>
      <x:c r="M411" s="46" t="str">
        <x:v>M3-BASE、EXPR、CARE和BOUND提供用户自然互动通道；M5-EXCHANGE负责把两人的实际行为合成为交换结构。</x:v>
      </x:c>
      <x:c r="N411" s="46" t="str">
        <x:v>无／按本规则指定的给予—请求—接收—反馈—重订路径路由。</x:v>
      </x:c>
      <x:c r="O411" s="46" t="str">
        <x:v>近位、远位只修正该交换需求进入亲密关系核心的可能；不得据此判断具体伴侣现实中一定配合。</x:v>
      </x:c>
      <x:c r="P411" s="46" t="str">
        <x:v>根气只修正用户交换需求和通道是否稳定重复，不等于双方已形成成熟互惠。</x:v>
      </x:c>
      <x:c r="Q411" s="46" t="str">
        <x:v>旺弱只修正通道调用强度、抢位或缺位风险，不直接等于交换公平或关系质量。</x:v>
      </x:c>
      <x:c r="R411" s="46" t="str">
        <x:v>喜忌只修正调用顺畅度与摩擦，不可直接翻译为理想伴侣五行、十神或必然互补。</x:v>
      </x:c>
      <x:c r="S411" s="46" t="str">
        <x:v>真合化成立时按化神功能重算用户交换需求；合化争议时停止细化交换通道。</x:v>
      </x:c>
      <x:c r="T411" s="46" t="str">
        <x:v>近位提高该交换议题进入关系核心的可能；远位只保留背景或阶段性观察。</x:v>
      </x:c>
      <x:c r="U411" s="46" t="str">
        <x:v>86</x:v>
      </x:c>
      <x:c r="V411" s="46" t="str">
        <x:v>不加分；接口／状态／去重</x:v>
      </x:c>
      <x:c r="W411" s="46" t="str">
        <x:v>repair_exchange</x:v>
      </x:c>
      <x:c r="X411" s="46" t="str">
        <x:v>检查XD10、EP08、ED10与XV6。</x:v>
      </x:c>
      <x:c r="Y411" s="46" t="str">
        <x:v>和好之后，还要看反馈、改变和回访是否完成。</x:v>
      </x:c>
      <x:c r="Z41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11" s="46" t="str">
        <x:v>中高</x:v>
      </x:c>
      <x:c r="AB411" s="46" t="str">
        <x:v>待验证</x:v>
      </x:c>
      <x:c r="AC411" s="46" t="str"/>
      <x:c r="AD411" s="46" t="str">
        <x:v>interface_state_rule=true; provisional=true; rule_group=EXCHANGE-接口门控</x:v>
      </x:c>
      <x:c r="AE411" s="46" t="str">
        <x:v>0.4</x:v>
      </x:c>
    </x:row>
    <x:row r="412" ht="50" customHeight="1">
      <x:c r="A412" s="46" t="str">
        <x:v>M5-EXCHANGE-411</x:v>
      </x:c>
      <x:c r="B412" s="46" t="str">
        <x:v>M4 RN07接收反馈接口</x:v>
      </x:c>
      <x:c r="C412" s="46" t="str">
        <x:v>L9 状态、接口、去重与停止</x:v>
      </x:c>
      <x:c r="D412" s="46" t="str">
        <x:v>EXCHANGE-接口门控</x:v>
      </x:c>
      <x:c r="E412" s="46" t="str">
        <x:v>通用</x:v>
      </x:c>
      <x:c r="F412" s="46" t="str">
        <x:v>接口</x:v>
      </x:c>
      <x:c r="G412" s="46" t="str">
        <x:v>M4 RN07接收反馈接口</x:v>
      </x:c>
      <x:c r="H412" s="46" t="str"/>
      <x:c r="I412" s="46" t="str">
        <x:v>修复事件进入RN07。</x:v>
      </x:c>
      <x:c r="J412" s="46" t="str">
        <x:v>只有道歉、解释或补偿。</x:v>
      </x:c>
      <x:c r="K412" s="46" t="str">
        <x:v>由共享基础引擎、M3与M5-BASE提供；只修正用户怎样给予、请求、接收和回馈，不直接判断双方现实交换质量。</x:v>
      </x:c>
      <x:c r="L412" s="46" t="str">
        <x:v>M2只说明进入关系所需资格证据；不能替代长期双向交换、负荷与修复验证。</x:v>
      </x:c>
      <x:c r="M412" s="46" t="str">
        <x:v>M3-BASE、EXPR、CARE和BOUND提供用户自然互动通道；M5-EXCHANGE负责把两人的实际行为合成为交换结构。</x:v>
      </x:c>
      <x:c r="N412" s="46" t="str">
        <x:v>无／按本规则指定的给予—请求—接收—反馈—重订路径路由。</x:v>
      </x:c>
      <x:c r="O412" s="46" t="str">
        <x:v>近位、远位只修正该交换需求进入亲密关系核心的可能；不得据此判断具体伴侣现实中一定配合。</x:v>
      </x:c>
      <x:c r="P412" s="46" t="str">
        <x:v>根气只修正用户交换需求和通道是否稳定重复，不等于双方已形成成熟互惠。</x:v>
      </x:c>
      <x:c r="Q412" s="46" t="str">
        <x:v>旺弱只修正通道调用强度、抢位或缺位风险，不直接等于交换公平或关系质量。</x:v>
      </x:c>
      <x:c r="R412" s="46" t="str">
        <x:v>喜忌只修正调用顺畅度与摩擦，不可直接翻译为理想伴侣五行、十神或必然互补。</x:v>
      </x:c>
      <x:c r="S412" s="46" t="str">
        <x:v>真合化成立时按化神功能重算用户交换需求；合化争议时停止细化交换通道。</x:v>
      </x:c>
      <x:c r="T412" s="46" t="str">
        <x:v>近位提高该交换议题进入关系核心的可能；远位只保留背景或阶段性观察。</x:v>
      </x:c>
      <x:c r="U412" s="46" t="str">
        <x:v>86</x:v>
      </x:c>
      <x:c r="V412" s="46" t="str">
        <x:v>不加分；接口／状态／去重</x:v>
      </x:c>
      <x:c r="W412" s="46" t="str">
        <x:v>repair_exchange</x:v>
      </x:c>
      <x:c r="X412" s="46" t="str">
        <x:v>RN07是双向修复的最低门槛之一。</x:v>
      </x:c>
      <x:c r="Y412" s="46" t="str">
        <x:v>没有接收反馈，就不能说双方已经完成修复。</x:v>
      </x:c>
      <x:c r="Z41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12" s="46" t="str">
        <x:v>中高</x:v>
      </x:c>
      <x:c r="AB412" s="46" t="str">
        <x:v>待验证</x:v>
      </x:c>
      <x:c r="AC412" s="46" t="str"/>
      <x:c r="AD412" s="46" t="str">
        <x:v>interface_state_rule=true; provisional=true; rule_group=EXCHANGE-接口门控</x:v>
      </x:c>
      <x:c r="AE412" s="46" t="str">
        <x:v>0.4</x:v>
      </x:c>
    </x:row>
    <x:row r="413" ht="50" customHeight="1">
      <x:c r="A413" s="46" t="str">
        <x:v>M5-EXCHANGE-412</x:v>
      </x:c>
      <x:c r="B413" s="46" t="str">
        <x:v>M4 RN08持续兑现接口</x:v>
      </x:c>
      <x:c r="C413" s="46" t="str">
        <x:v>L9 状态、接口、去重与停止</x:v>
      </x:c>
      <x:c r="D413" s="46" t="str">
        <x:v>EXCHANGE-接口门控</x:v>
      </x:c>
      <x:c r="E413" s="46" t="str">
        <x:v>通用</x:v>
      </x:c>
      <x:c r="F413" s="46" t="str">
        <x:v>接口</x:v>
      </x:c>
      <x:c r="G413" s="46" t="str">
        <x:v>M4 RN08持续兑现接口</x:v>
      </x:c>
      <x:c r="H413" s="46" t="str"/>
      <x:c r="I413" s="46" t="str">
        <x:v>修复事件进入RN08。</x:v>
      </x:c>
      <x:c r="J413" s="46" t="str">
        <x:v>只有一次改善。</x:v>
      </x:c>
      <x:c r="K413" s="46" t="str">
        <x:v>由共享基础引擎、M3与M5-BASE提供；只修正用户怎样给予、请求、接收和回馈，不直接判断双方现实交换质量。</x:v>
      </x:c>
      <x:c r="L413" s="46" t="str">
        <x:v>M2只说明进入关系所需资格证据；不能替代长期双向交换、负荷与修复验证。</x:v>
      </x:c>
      <x:c r="M413" s="46" t="str">
        <x:v>M3-BASE、EXPR、CARE和BOUND提供用户自然互动通道；M5-EXCHANGE负责把两人的实际行为合成为交换结构。</x:v>
      </x:c>
      <x:c r="N413" s="46" t="str">
        <x:v>无／按本规则指定的给予—请求—接收—反馈—重订路径路由。</x:v>
      </x:c>
      <x:c r="O413" s="46" t="str">
        <x:v>近位、远位只修正该交换需求进入亲密关系核心的可能；不得据此判断具体伴侣现实中一定配合。</x:v>
      </x:c>
      <x:c r="P413" s="46" t="str">
        <x:v>根气只修正用户交换需求和通道是否稳定重复，不等于双方已形成成熟互惠。</x:v>
      </x:c>
      <x:c r="Q413" s="46" t="str">
        <x:v>旺弱只修正通道调用强度、抢位或缺位风险，不直接等于交换公平或关系质量。</x:v>
      </x:c>
      <x:c r="R413" s="46" t="str">
        <x:v>喜忌只修正调用顺畅度与摩擦，不可直接翻译为理想伴侣五行、十神或必然互补。</x:v>
      </x:c>
      <x:c r="S413" s="46" t="str">
        <x:v>真合化成立时按化神功能重算用户交换需求；合化争议时停止细化交换通道。</x:v>
      </x:c>
      <x:c r="T413" s="46" t="str">
        <x:v>近位提高该交换议题进入关系核心的可能；远位只保留背景或阶段性观察。</x:v>
      </x:c>
      <x:c r="U413" s="46" t="str">
        <x:v>86</x:v>
      </x:c>
      <x:c r="V413" s="46" t="str">
        <x:v>不加分；接口／状态／去重</x:v>
      </x:c>
      <x:c r="W413" s="46" t="str">
        <x:v>repair_exchange</x:v>
      </x:c>
      <x:c r="X413" s="46" t="str">
        <x:v>RN08用于判断交换规则是否稳定改变。</x:v>
      </x:c>
      <x:c r="Y413" s="46" t="str">
        <x:v>没有持续兑现和回访，就不能说交换已经稳定。</x:v>
      </x:c>
      <x:c r="Z41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13" s="46" t="str">
        <x:v>中高</x:v>
      </x:c>
      <x:c r="AB413" s="46" t="str">
        <x:v>待验证</x:v>
      </x:c>
      <x:c r="AC413" s="46" t="str"/>
      <x:c r="AD413" s="46" t="str">
        <x:v>interface_state_rule=true; provisional=true; rule_group=EXCHANGE-接口门控</x:v>
      </x:c>
      <x:c r="AE413" s="46" t="str">
        <x:v>0.4</x:v>
      </x:c>
    </x:row>
    <x:row r="414" ht="50" customHeight="1">
      <x:c r="A414" s="46" t="str">
        <x:v>M5-EXCHANGE-413</x:v>
      </x:c>
      <x:c r="B414" s="46" t="str">
        <x:v>M4 BF保护接口</x:v>
      </x:c>
      <x:c r="C414" s="46" t="str">
        <x:v>L9 状态、接口、去重与停止</x:v>
      </x:c>
      <x:c r="D414" s="46" t="str">
        <x:v>EXCHANGE-接口门控</x:v>
      </x:c>
      <x:c r="E414" s="46" t="str">
        <x:v>通用</x:v>
      </x:c>
      <x:c r="F414" s="46" t="str">
        <x:v>接口</x:v>
      </x:c>
      <x:c r="G414" s="46" t="str">
        <x:v>M4 BF保护接口</x:v>
      </x:c>
      <x:c r="H414" s="46" t="str"/>
      <x:c r="I414" s="46" t="str">
        <x:v>BF达到BL5以上并改变同一风险链。</x:v>
      </x:c>
      <x:c r="J414" s="46" t="str">
        <x:v>只有BL1—BL3潜在资源。</x:v>
      </x:c>
      <x:c r="K414" s="46" t="str">
        <x:v>由共享基础引擎、M3与M5-BASE提供；只修正用户怎样给予、请求、接收和回馈，不直接判断双方现实交换质量。</x:v>
      </x:c>
      <x:c r="L414" s="46" t="str">
        <x:v>M2只说明进入关系所需资格证据；不能替代长期双向交换、负荷与修复验证。</x:v>
      </x:c>
      <x:c r="M414" s="46" t="str">
        <x:v>M3-BASE、EXPR、CARE和BOUND提供用户自然互动通道；M5-EXCHANGE负责把两人的实际行为合成为交换结构。</x:v>
      </x:c>
      <x:c r="N414" s="46" t="str">
        <x:v>无／按本规则指定的给予—请求—接收—反馈—重订路径路由。</x:v>
      </x:c>
      <x:c r="O414" s="46" t="str">
        <x:v>近位、远位只修正该交换需求进入亲密关系核心的可能；不得据此判断具体伴侣现实中一定配合。</x:v>
      </x:c>
      <x:c r="P414" s="46" t="str">
        <x:v>根气只修正用户交换需求和通道是否稳定重复，不等于双方已形成成熟互惠。</x:v>
      </x:c>
      <x:c r="Q414" s="46" t="str">
        <x:v>旺弱只修正通道调用强度、抢位或缺位风险，不直接等于交换公平或关系质量。</x:v>
      </x:c>
      <x:c r="R414" s="46" t="str">
        <x:v>喜忌只修正调用顺畅度与摩擦，不可直接翻译为理想伴侣五行、十神或必然互补。</x:v>
      </x:c>
      <x:c r="S414" s="46" t="str">
        <x:v>真合化成立时按化神功能重算用户交换需求；合化争议时停止细化交换通道。</x:v>
      </x:c>
      <x:c r="T414" s="46" t="str">
        <x:v>近位提高该交换议题进入关系核心的可能；远位只保留背景或阶段性观察。</x:v>
      </x:c>
      <x:c r="U414" s="46" t="str">
        <x:v>86</x:v>
      </x:c>
      <x:c r="V414" s="46" t="str">
        <x:v>不加分；接口／状态／去重</x:v>
      </x:c>
      <x:c r="W414" s="46" t="str">
        <x:v>buffer_exchange_relation</x:v>
      </x:c>
      <x:c r="X414" s="46" t="str">
        <x:v>现实有效保护可以提高对应ED或EP状态，但不删除历史风险。</x:v>
      </x:c>
      <x:c r="Y414" s="46" t="str">
        <x:v>已经有效的保护经验可以保留，但仍要看能否重复。</x:v>
      </x:c>
      <x:c r="Z41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14" s="46" t="str">
        <x:v>中高</x:v>
      </x:c>
      <x:c r="AB414" s="46" t="str">
        <x:v>待验证</x:v>
      </x:c>
      <x:c r="AC414" s="46" t="str"/>
      <x:c r="AD414" s="46" t="str">
        <x:v>interface_state_rule=true; provisional=true; rule_group=EXCHANGE-接口门控</x:v>
      </x:c>
      <x:c r="AE414" s="46" t="str">
        <x:v>0.4</x:v>
      </x:c>
    </x:row>
    <x:row r="415" ht="50" customHeight="1">
      <x:c r="A415" s="46" t="str">
        <x:v>M5-EXCHANGE-414</x:v>
      </x:c>
      <x:c r="B415" s="46" t="str">
        <x:v>同一行为多维度不重复加分</x:v>
      </x:c>
      <x:c r="C415" s="46" t="str">
        <x:v>L9 状态、接口、去重与停止</x:v>
      </x:c>
      <x:c r="D415" s="46" t="str">
        <x:v>EXCHANGE-接口门控</x:v>
      </x:c>
      <x:c r="E415" s="46" t="str">
        <x:v>通用</x:v>
      </x:c>
      <x:c r="F415" s="46" t="str">
        <x:v>去重</x:v>
      </x:c>
      <x:c r="G415" s="46" t="str">
        <x:v>同一行为多维度不重复加分</x:v>
      </x:c>
      <x:c r="H415" s="46" t="str"/>
      <x:c r="I415" s="46" t="str">
        <x:v>一个事件同时支持多个ED、XD或EP。</x:v>
      </x:c>
      <x:c r="J415" s="46" t="str">
        <x:v>不同event_id或跨场景重复。</x:v>
      </x:c>
      <x:c r="K415" s="46" t="str">
        <x:v>由共享基础引擎、M3与M5-BASE提供；只修正用户怎样给予、请求、接收和回馈，不直接判断双方现实交换质量。</x:v>
      </x:c>
      <x:c r="L415" s="46" t="str">
        <x:v>M2只说明进入关系所需资格证据；不能替代长期双向交换、负荷与修复验证。</x:v>
      </x:c>
      <x:c r="M415" s="46" t="str">
        <x:v>M3-BASE、EXPR、CARE和BOUND提供用户自然互动通道；M5-EXCHANGE负责把两人的实际行为合成为交换结构。</x:v>
      </x:c>
      <x:c r="N415" s="46" t="str">
        <x:v>无／按本规则指定的给予—请求—接收—反馈—重订路径路由。</x:v>
      </x:c>
      <x:c r="O415" s="46" t="str">
        <x:v>近位、远位只修正该交换需求进入亲密关系核心的可能；不得据此判断具体伴侣现实中一定配合。</x:v>
      </x:c>
      <x:c r="P415" s="46" t="str">
        <x:v>根气只修正用户交换需求和通道是否稳定重复，不等于双方已形成成熟互惠。</x:v>
      </x:c>
      <x:c r="Q415" s="46" t="str">
        <x:v>旺弱只修正通道调用强度、抢位或缺位风险，不直接等于交换公平或关系质量。</x:v>
      </x:c>
      <x:c r="R415" s="46" t="str">
        <x:v>喜忌只修正调用顺畅度与摩擦，不可直接翻译为理想伴侣五行、十神或必然互补。</x:v>
      </x:c>
      <x:c r="S415" s="46" t="str">
        <x:v>真合化成立时按化神功能重算用户交换需求；合化争议时停止细化交换通道。</x:v>
      </x:c>
      <x:c r="T415" s="46" t="str">
        <x:v>近位提高该交换议题进入关系核心的可能；远位只保留背景或阶段性观察。</x:v>
      </x:c>
      <x:c r="U415" s="46" t="str">
        <x:v>86</x:v>
      </x:c>
      <x:c r="V415" s="46" t="str">
        <x:v>不加分；接口／状态／去重</x:v>
      </x:c>
      <x:c r="W415" s="46" t="str">
        <x:v>provenance</x:v>
      </x:c>
      <x:c r="X415" s="46" t="str">
        <x:v>基础事件分只计一次，维度可分别记录。</x:v>
      </x:c>
      <x:c r="Y415" s="46" t="str">
        <x:v>同一件事可以说明多个方面，但不会自动变成多次证据。</x:v>
      </x:c>
      <x:c r="Z41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15" s="46" t="str">
        <x:v>高</x:v>
      </x:c>
      <x:c r="AB415" s="46" t="str">
        <x:v>待验证</x:v>
      </x:c>
      <x:c r="AC415" s="46" t="str"/>
      <x:c r="AD415" s="46" t="str">
        <x:v>interface_state_rule=true; provisional=true; rule_group=EXCHANGE-接口门控</x:v>
      </x:c>
      <x:c r="AE415" s="46" t="str">
        <x:v>0.4</x:v>
      </x:c>
    </x:row>
    <x:row r="416" ht="50" customHeight="1">
      <x:c r="A416" s="46" t="str">
        <x:v>M5-EXCHANGE-415</x:v>
      </x:c>
      <x:c r="B416" s="46" t="str">
        <x:v>同一贡献跨描述收敛</x:v>
      </x:c>
      <x:c r="C416" s="46" t="str">
        <x:v>L9 状态、接口、去重与停止</x:v>
      </x:c>
      <x:c r="D416" s="46" t="str">
        <x:v>EXCHANGE-接口门控</x:v>
      </x:c>
      <x:c r="E416" s="46" t="str">
        <x:v>通用</x:v>
      </x:c>
      <x:c r="F416" s="46" t="str">
        <x:v>去重</x:v>
      </x:c>
      <x:c r="G416" s="46" t="str">
        <x:v>同一贡献跨描述收敛</x:v>
      </x:c>
      <x:c r="H416" s="46" t="str"/>
      <x:c r="I416" s="46" t="str">
        <x:v>同一投入被描述为时间、照顾、责任等多个标签。</x:v>
      </x:c>
      <x:c r="J416" s="46" t="str">
        <x:v>确有不同领域和独立代价。</x:v>
      </x:c>
      <x:c r="K416" s="46" t="str">
        <x:v>由共享基础引擎、M3与M5-BASE提供；只修正用户怎样给予、请求、接收和回馈，不直接判断双方现实交换质量。</x:v>
      </x:c>
      <x:c r="L416" s="46" t="str">
        <x:v>M2只说明进入关系所需资格证据；不能替代长期双向交换、负荷与修复验证。</x:v>
      </x:c>
      <x:c r="M416" s="46" t="str">
        <x:v>M3-BASE、EXPR、CARE和BOUND提供用户自然互动通道；M5-EXCHANGE负责把两人的实际行为合成为交换结构。</x:v>
      </x:c>
      <x:c r="N416" s="46" t="str">
        <x:v>无／按本规则指定的给予—请求—接收—反馈—重订路径路由。</x:v>
      </x:c>
      <x:c r="O416" s="46" t="str">
        <x:v>近位、远位只修正该交换需求进入亲密关系核心的可能；不得据此判断具体伴侣现实中一定配合。</x:v>
      </x:c>
      <x:c r="P416" s="46" t="str">
        <x:v>根气只修正用户交换需求和通道是否稳定重复，不等于双方已形成成熟互惠。</x:v>
      </x:c>
      <x:c r="Q416" s="46" t="str">
        <x:v>旺弱只修正通道调用强度、抢位或缺位风险，不直接等于交换公平或关系质量。</x:v>
      </x:c>
      <x:c r="R416" s="46" t="str">
        <x:v>喜忌只修正调用顺畅度与摩擦，不可直接翻译为理想伴侣五行、十神或必然互补。</x:v>
      </x:c>
      <x:c r="S416" s="46" t="str">
        <x:v>真合化成立时按化神功能重算用户交换需求；合化争议时停止细化交换通道。</x:v>
      </x:c>
      <x:c r="T416" s="46" t="str">
        <x:v>近位提高该交换议题进入关系核心的可能；远位只保留背景或阶段性观察。</x:v>
      </x:c>
      <x:c r="U416" s="46" t="str">
        <x:v>86</x:v>
      </x:c>
      <x:c r="V416" s="46" t="str">
        <x:v>不加分；接口／状态／去重</x:v>
      </x:c>
      <x:c r="W416" s="46" t="str">
        <x:v>exchange_domains</x:v>
      </x:c>
      <x:c r="X416" s="46" t="str">
        <x:v>先识别实际行为，再判断它承担哪些功能。</x:v>
      </x:c>
      <x:c r="Y416" s="46" t="str">
        <x:v>先看具体做了什么，避免把同一份投入重复计算。</x:v>
      </x:c>
      <x:c r="Z41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16" s="46" t="str">
        <x:v>高</x:v>
      </x:c>
      <x:c r="AB416" s="46" t="str">
        <x:v>待验证</x:v>
      </x:c>
      <x:c r="AC416" s="46" t="str"/>
      <x:c r="AD416" s="46" t="str">
        <x:v>interface_state_rule=true; provisional=true; rule_group=EXCHANGE-接口门控</x:v>
      </x:c>
      <x:c r="AE416" s="46" t="str">
        <x:v>0.4</x:v>
      </x:c>
    </x:row>
    <x:row r="417" ht="50" customHeight="1">
      <x:c r="A417" s="46" t="str">
        <x:v>M5-EXCHANGE-416</x:v>
      </x:c>
      <x:c r="B417" s="46" t="str">
        <x:v>正偏同系统先收敛</x:v>
      </x:c>
      <x:c r="C417" s="46" t="str">
        <x:v>L9 状态、接口、去重与停止</x:v>
      </x:c>
      <x:c r="D417" s="46" t="str">
        <x:v>EXCHANGE-接口门控</x:v>
      </x:c>
      <x:c r="E417" s="46" t="str">
        <x:v>通用</x:v>
      </x:c>
      <x:c r="F417" s="46" t="str">
        <x:v>去重</x:v>
      </x:c>
      <x:c r="G417" s="46" t="str">
        <x:v>正偏同系统先收敛</x:v>
      </x:c>
      <x:c r="H417" s="46" t="str"/>
      <x:c r="I417" s="46" t="str">
        <x:v>同系统两个EC同时命中。</x:v>
      </x:c>
      <x:c r="J417" s="46" t="str">
        <x:v>来源独立且任务不同。</x:v>
      </x:c>
      <x:c r="K417" s="46" t="str">
        <x:v>由共享基础引擎、M3与M5-BASE提供；只修正用户怎样给予、请求、接收和回馈，不直接判断双方现实交换质量。</x:v>
      </x:c>
      <x:c r="L417" s="46" t="str">
        <x:v>M2只说明进入关系所需资格证据；不能替代长期双向交换、负荷与修复验证。</x:v>
      </x:c>
      <x:c r="M417" s="46" t="str">
        <x:v>M3-BASE、EXPR、CARE和BOUND提供用户自然互动通道；M5-EXCHANGE负责把两人的实际行为合成为交换结构。</x:v>
      </x:c>
      <x:c r="N417" s="46" t="str">
        <x:v>无／按本规则指定的给予—请求—接收—反馈—重订路径路由。</x:v>
      </x:c>
      <x:c r="O417" s="46" t="str">
        <x:v>近位、远位只修正该交换需求进入亲密关系核心的可能；不得据此判断具体伴侣现实中一定配合。</x:v>
      </x:c>
      <x:c r="P417" s="46" t="str">
        <x:v>根气只修正用户交换需求和通道是否稳定重复，不等于双方已形成成熟互惠。</x:v>
      </x:c>
      <x:c r="Q417" s="46" t="str">
        <x:v>旺弱只修正通道调用强度、抢位或缺位风险，不直接等于交换公平或关系质量。</x:v>
      </x:c>
      <x:c r="R417" s="46" t="str">
        <x:v>喜忌只修正调用顺畅度与摩擦，不可直接翻译为理想伴侣五行、十神或必然互补。</x:v>
      </x:c>
      <x:c r="S417" s="46" t="str">
        <x:v>真合化成立时按化神功能重算用户交换需求；合化争议时停止细化交换通道。</x:v>
      </x:c>
      <x:c r="T417" s="46" t="str">
        <x:v>近位提高该交换议题进入关系核心的可能；远位只保留背景或阶段性观察。</x:v>
      </x:c>
      <x:c r="U417" s="46" t="str">
        <x:v>86</x:v>
      </x:c>
      <x:c r="V417" s="46" t="str">
        <x:v>不加分；接口／状态／去重</x:v>
      </x:c>
      <x:c r="W417" s="46" t="str">
        <x:v>primary_exchange_channel</x:v>
      </x:c>
      <x:c r="X417" s="46" t="str">
        <x:v>先收敛共同系统，再用稳定／灵活、温和／分析等风格区分。</x:v>
      </x:c>
      <x:c r="Y417" s="46" t="str">
        <x:v>先看共同交换功能，再看它以什么风格发生。</x:v>
      </x:c>
      <x:c r="Z41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17" s="46" t="str">
        <x:v>高</x:v>
      </x:c>
      <x:c r="AB417" s="46" t="str">
        <x:v>待验证</x:v>
      </x:c>
      <x:c r="AC417" s="46" t="str"/>
      <x:c r="AD417" s="46" t="str">
        <x:v>interface_state_rule=true; provisional=true; rule_group=EXCHANGE-接口门控</x:v>
      </x:c>
      <x:c r="AE417" s="46" t="str">
        <x:v>0.4</x:v>
      </x:c>
    </x:row>
    <x:row r="418" ht="50" customHeight="1">
      <x:c r="A418" s="46" t="str">
        <x:v>M5-EXCHANGE-417</x:v>
      </x:c>
      <x:c r="B418" s="46" t="str">
        <x:v>跨领域补偿不能自动抵消</x:v>
      </x:c>
      <x:c r="C418" s="46" t="str">
        <x:v>L9 状态、接口、去重与停止</x:v>
      </x:c>
      <x:c r="D418" s="46" t="str">
        <x:v>EXCHANGE-接口门控</x:v>
      </x:c>
      <x:c r="E418" s="46" t="str">
        <x:v>通用</x:v>
      </x:c>
      <x:c r="F418" s="46" t="str">
        <x:v>边界</x:v>
      </x:c>
      <x:c r="G418" s="46" t="str">
        <x:v>跨领域补偿不能自动抵消</x:v>
      </x:c>
      <x:c r="H418" s="46" t="str"/>
      <x:c r="I418" s="46" t="str">
        <x:v>一领域投入高，另一关键领域缺失。</x:v>
      </x:c>
      <x:c r="J418" s="46" t="str">
        <x:v>双方明确协商并接受替代。</x:v>
      </x:c>
      <x:c r="K418" s="46" t="str">
        <x:v>由共享基础引擎、M3与M5-BASE提供；只修正用户怎样给予、请求、接收和回馈，不直接判断双方现实交换质量。</x:v>
      </x:c>
      <x:c r="L418" s="46" t="str">
        <x:v>M2只说明进入关系所需资格证据；不能替代长期双向交换、负荷与修复验证。</x:v>
      </x:c>
      <x:c r="M418" s="46" t="str">
        <x:v>M3-BASE、EXPR、CARE和BOUND提供用户自然互动通道；M5-EXCHANGE负责把两人的实际行为合成为交换结构。</x:v>
      </x:c>
      <x:c r="N418" s="46" t="str">
        <x:v>无／按本规则指定的给予—请求—接收—反馈—重订路径路由。</x:v>
      </x:c>
      <x:c r="O418" s="46" t="str">
        <x:v>近位、远位只修正该交换需求进入亲密关系核心的可能；不得据此判断具体伴侣现实中一定配合。</x:v>
      </x:c>
      <x:c r="P418" s="46" t="str">
        <x:v>根气只修正用户交换需求和通道是否稳定重复，不等于双方已形成成熟互惠。</x:v>
      </x:c>
      <x:c r="Q418" s="46" t="str">
        <x:v>旺弱只修正通道调用强度、抢位或缺位风险，不直接等于交换公平或关系质量。</x:v>
      </x:c>
      <x:c r="R418" s="46" t="str">
        <x:v>喜忌只修正调用顺畅度与摩擦，不可直接翻译为理想伴侣五行、十神或必然互补。</x:v>
      </x:c>
      <x:c r="S418" s="46" t="str">
        <x:v>真合化成立时按化神功能重算用户交换需求；合化争议时停止细化交换通道。</x:v>
      </x:c>
      <x:c r="T418" s="46" t="str">
        <x:v>近位提高该交换议题进入关系核心的可能；远位只保留背景或阶段性观察。</x:v>
      </x:c>
      <x:c r="U418" s="46" t="str">
        <x:v>98</x:v>
      </x:c>
      <x:c r="V418" s="46" t="str">
        <x:v>不加分；接口／状态／去重</x:v>
      </x:c>
      <x:c r="W418" s="46" t="str">
        <x:v>pseudo_reciprocity_warning</x:v>
      </x:c>
      <x:c r="X418" s="46" t="str">
        <x:v>不同领域贡献分别记录；替代必须得到接收方确认。</x:v>
      </x:c>
      <x:c r="Y418" s="46" t="str">
        <x:v>在一个领域付出很多，不能自动补上另一个领域的缺口。</x:v>
      </x:c>
      <x:c r="Z41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18" s="46" t="str">
        <x:v>高</x:v>
      </x:c>
      <x:c r="AB418" s="46" t="str">
        <x:v>待验证</x:v>
      </x:c>
      <x:c r="AC418" s="46" t="str"/>
      <x:c r="AD418" s="46" t="str">
        <x:v>interface_state_rule=true; provisional=true; rule_group=EXCHANGE-接口门控</x:v>
      </x:c>
      <x:c r="AE418" s="46" t="str">
        <x:v>0.4</x:v>
      </x:c>
    </x:row>
    <x:row r="419" ht="50" customHeight="1">
      <x:c r="A419" s="46" t="str">
        <x:v>M5-EXCHANGE-418</x:v>
      </x:c>
      <x:c r="B419" s="46" t="str">
        <x:v>角色分工必须可重订</x:v>
      </x:c>
      <x:c r="C419" s="46" t="str">
        <x:v>L9 状态、接口、去重与停止</x:v>
      </x:c>
      <x:c r="D419" s="46" t="str">
        <x:v>EXCHANGE-接口门控</x:v>
      </x:c>
      <x:c r="E419" s="46" t="str">
        <x:v>通用</x:v>
      </x:c>
      <x:c r="F419" s="46" t="str">
        <x:v>边界</x:v>
      </x:c>
      <x:c r="G419" s="46" t="str">
        <x:v>角色分工必须可重订</x:v>
      </x:c>
      <x:c r="H419" s="46" t="str"/>
      <x:c r="I419" s="46" t="str">
        <x:v>XR02或EM03候选。</x:v>
      </x:c>
      <x:c r="J419" s="46" t="str">
        <x:v>分工永久固定、只有一方有决定权。</x:v>
      </x:c>
      <x:c r="K419" s="46" t="str">
        <x:v>由共享基础引擎、M3与M5-BASE提供；只修正用户怎样给予、请求、接收和回馈，不直接判断双方现实交换质量。</x:v>
      </x:c>
      <x:c r="L419" s="46" t="str">
        <x:v>M2只说明进入关系所需资格证据；不能替代长期双向交换、负荷与修复验证。</x:v>
      </x:c>
      <x:c r="M419" s="46" t="str">
        <x:v>M3-BASE、EXPR、CARE和BOUND提供用户自然互动通道；M5-EXCHANGE负责把两人的实际行为合成为交换结构。</x:v>
      </x:c>
      <x:c r="N419" s="46" t="str">
        <x:v>无／按本规则指定的给予—请求—接收—反馈—重订路径路由。</x:v>
      </x:c>
      <x:c r="O419" s="46" t="str">
        <x:v>近位、远位只修正该交换需求进入亲密关系核心的可能；不得据此判断具体伴侣现实中一定配合。</x:v>
      </x:c>
      <x:c r="P419" s="46" t="str">
        <x:v>根气只修正用户交换需求和通道是否稳定重复，不等于双方已形成成熟互惠。</x:v>
      </x:c>
      <x:c r="Q419" s="46" t="str">
        <x:v>旺弱只修正通道调用强度、抢位或缺位风险，不直接等于交换公平或关系质量。</x:v>
      </x:c>
      <x:c r="R419" s="46" t="str">
        <x:v>喜忌只修正调用顺畅度与摩擦，不可直接翻译为理想伴侣五行、十神或必然互补。</x:v>
      </x:c>
      <x:c r="S419" s="46" t="str">
        <x:v>真合化成立时按化神功能重算用户交换需求；合化争议时停止细化交换通道。</x:v>
      </x:c>
      <x:c r="T419" s="46" t="str">
        <x:v>近位提高该交换议题进入关系核心的可能；远位只保留背景或阶段性观察。</x:v>
      </x:c>
      <x:c r="U419" s="46" t="str">
        <x:v>98</x:v>
      </x:c>
      <x:c r="V419" s="46" t="str">
        <x:v>不加分；接口／状态／去重</x:v>
      </x:c>
      <x:c r="W419" s="46" t="str">
        <x:v>load_balance</x:v>
      </x:c>
      <x:c r="X419" s="46" t="str">
        <x:v>分工需要知情、自愿、认可、可轮换和可退出。</x:v>
      </x:c>
      <x:c r="Y419" s="46" t="str">
        <x:v>分工可以不同，但必须能够重新商量。</x:v>
      </x:c>
      <x:c r="Z41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19" s="46" t="str">
        <x:v>高</x:v>
      </x:c>
      <x:c r="AB419" s="46" t="str">
        <x:v>待验证</x:v>
      </x:c>
      <x:c r="AC419" s="46" t="str"/>
      <x:c r="AD419" s="46" t="str">
        <x:v>interface_state_rule=true; provisional=true; rule_group=EXCHANGE-接口门控</x:v>
      </x:c>
      <x:c r="AE419" s="46" t="str">
        <x:v>0.4</x:v>
      </x:c>
    </x:row>
    <x:row r="420" ht="50" customHeight="1">
      <x:c r="A420" s="46" t="str">
        <x:v>M5-EXCHANGE-419</x:v>
      </x:c>
      <x:c r="B420" s="46" t="str">
        <x:v>错峰互惠必须有回流点</x:v>
      </x:c>
      <x:c r="C420" s="46" t="str">
        <x:v>L9 状态、接口、去重与停止</x:v>
      </x:c>
      <x:c r="D420" s="46" t="str">
        <x:v>EXCHANGE-接口门控</x:v>
      </x:c>
      <x:c r="E420" s="46" t="str">
        <x:v>通用</x:v>
      </x:c>
      <x:c r="F420" s="46" t="str">
        <x:v>边界</x:v>
      </x:c>
      <x:c r="G420" s="46" t="str">
        <x:v>错峰互惠必须有回流点</x:v>
      </x:c>
      <x:c r="H420" s="46" t="str"/>
      <x:c r="I420" s="46" t="str">
        <x:v>XR03或EM02候选。</x:v>
      </x:c>
      <x:c r="J420" s="46" t="str">
        <x:v>无限期等待或没有预期。</x:v>
      </x:c>
      <x:c r="K420" s="46" t="str">
        <x:v>由共享基础引擎、M3与M5-BASE提供；只修正用户怎样给予、请求、接收和回馈，不直接判断双方现实交换质量。</x:v>
      </x:c>
      <x:c r="L420" s="46" t="str">
        <x:v>M2只说明进入关系所需资格证据；不能替代长期双向交换、负荷与修复验证。</x:v>
      </x:c>
      <x:c r="M420" s="46" t="str">
        <x:v>M3-BASE、EXPR、CARE和BOUND提供用户自然互动通道；M5-EXCHANGE负责把两人的实际行为合成为交换结构。</x:v>
      </x:c>
      <x:c r="N420" s="46" t="str">
        <x:v>无／按本规则指定的给予—请求—接收—反馈—重订路径路由。</x:v>
      </x:c>
      <x:c r="O420" s="46" t="str">
        <x:v>近位、远位只修正该交换需求进入亲密关系核心的可能；不得据此判断具体伴侣现实中一定配合。</x:v>
      </x:c>
      <x:c r="P420" s="46" t="str">
        <x:v>根气只修正用户交换需求和通道是否稳定重复，不等于双方已形成成熟互惠。</x:v>
      </x:c>
      <x:c r="Q420" s="46" t="str">
        <x:v>旺弱只修正通道调用强度、抢位或缺位风险，不直接等于交换公平或关系质量。</x:v>
      </x:c>
      <x:c r="R420" s="46" t="str">
        <x:v>喜忌只修正调用顺畅度与摩擦，不可直接翻译为理想伴侣五行、十神或必然互补。</x:v>
      </x:c>
      <x:c r="S420" s="46" t="str">
        <x:v>真合化成立时按化神功能重算用户交换需求；合化争议时停止细化交换通道。</x:v>
      </x:c>
      <x:c r="T420" s="46" t="str">
        <x:v>近位提高该交换议题进入关系核心的可能；远位只保留背景或阶段性观察。</x:v>
      </x:c>
      <x:c r="U420" s="46" t="str">
        <x:v>98</x:v>
      </x:c>
      <x:c r="V420" s="46" t="str">
        <x:v>不加分；接口／状态／去重</x:v>
      </x:c>
      <x:c r="W420" s="46" t="str">
        <x:v>reciprocity_timing</x:v>
      </x:c>
      <x:c r="X420" s="46" t="str">
        <x:v>错峰需要时间结构、回馈领域和复核点。</x:v>
      </x:c>
      <x:c r="Y420" s="46" t="str">
        <x:v>不同步可以，但要知道以后怎样回来。</x:v>
      </x:c>
      <x:c r="Z42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20" s="46" t="str">
        <x:v>高</x:v>
      </x:c>
      <x:c r="AB420" s="46" t="str">
        <x:v>待验证</x:v>
      </x:c>
      <x:c r="AC420" s="46" t="str"/>
      <x:c r="AD420" s="46" t="str">
        <x:v>interface_state_rule=true; provisional=true; rule_group=EXCHANGE-接口门控</x:v>
      </x:c>
      <x:c r="AE420" s="46" t="str">
        <x:v>0.4</x:v>
      </x:c>
    </x:row>
    <x:row r="421" ht="50" customHeight="1">
      <x:c r="A421" s="46" t="str">
        <x:v>M5-EXCHANGE-420</x:v>
      </x:c>
      <x:c r="B421" s="46" t="str">
        <x:v>透干有根｜交换需求清楚稳定</x:v>
      </x:c>
      <x:c r="C421" s="46" t="str">
        <x:v>L9 状态、接口、去重与停止</x:v>
      </x:c>
      <x:c r="D421" s="46" t="str">
        <x:v>EXCHANGE-接口门控</x:v>
      </x:c>
      <x:c r="E421" s="46" t="str">
        <x:v>通用</x:v>
      </x:c>
      <x:c r="F421" s="46" t="str">
        <x:v>状态</x:v>
      </x:c>
      <x:c r="G421" s="46" t="str">
        <x:v>透干有根</x:v>
      </x:c>
      <x:c r="H421" s="46" t="str"/>
      <x:c r="I421" s="46" t="str">
        <x:v>主EC来源透干有根。</x:v>
      </x:c>
      <x:c r="J421" s="46" t="str">
        <x:v>真合化或现实强反例。</x:v>
      </x:c>
      <x:c r="K421" s="46" t="str">
        <x:v>由共享基础引擎、M3与M5-BASE提供；只修正用户怎样给予、请求、接收和回馈，不直接判断双方现实交换质量。</x:v>
      </x:c>
      <x:c r="L421" s="46" t="str">
        <x:v>M2只说明进入关系所需资格证据；不能替代长期双向交换、负荷与修复验证。</x:v>
      </x:c>
      <x:c r="M421" s="46" t="str">
        <x:v>M3-BASE、EXPR、CARE和BOUND提供用户自然互动通道；M5-EXCHANGE负责把两人的实际行为合成为交换结构。</x:v>
      </x:c>
      <x:c r="N421" s="46" t="str">
        <x:v>无／按本规则指定的给予—请求—接收—反馈—重订路径路由。</x:v>
      </x:c>
      <x:c r="O421" s="46" t="str">
        <x:v>近位、远位只修正该交换需求进入亲密关系核心的可能；不得据此判断具体伴侣现实中一定配合。</x:v>
      </x:c>
      <x:c r="P421" s="46" t="str">
        <x:v>根气只修正用户交换需求和通道是否稳定重复，不等于双方已形成成熟互惠。</x:v>
      </x:c>
      <x:c r="Q421" s="46" t="str">
        <x:v>旺弱只修正通道调用强度、抢位或缺位风险，不直接等于交换公平或关系质量。</x:v>
      </x:c>
      <x:c r="R421" s="46" t="str">
        <x:v>喜忌只修正调用顺畅度与摩擦，不可直接翻译为理想伴侣五行、十神或必然互补。</x:v>
      </x:c>
      <x:c r="S421" s="46" t="str">
        <x:v>真合化成立时按化神功能重算用户交换需求；合化争议时停止细化交换通道。</x:v>
      </x:c>
      <x:c r="T421" s="46" t="str">
        <x:v>近位提高该交换议题进入关系核心的可能；远位只保留背景或阶段性观察。</x:v>
      </x:c>
      <x:c r="U421" s="46" t="str">
        <x:v>86</x:v>
      </x:c>
      <x:c r="V421" s="46" t="str">
        <x:v>不加分；接口／状态／去重</x:v>
      </x:c>
      <x:c r="W421" s="46" t="str">
        <x:v>observation_plan</x:v>
      </x:c>
      <x:c r="X421" s="46" t="str">
        <x:v>优先设置直接可观察的交换行为。</x:v>
      </x:c>
      <x:c r="Y421" s="46" t="str">
        <x:v>你通常较清楚自己需要怎样的支持和回馈。</x:v>
      </x:c>
      <x:c r="Z42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21" s="46" t="str">
        <x:v>中高</x:v>
      </x:c>
      <x:c r="AB421" s="46" t="str">
        <x:v>待验证</x:v>
      </x:c>
      <x:c r="AC421" s="46" t="str"/>
      <x:c r="AD421" s="46" t="str">
        <x:v>interface_state_rule=true; provisional=true; rule_group=EXCHANGE-接口门控</x:v>
      </x:c>
      <x:c r="AE421" s="46" t="str">
        <x:v>0.4</x:v>
      </x:c>
    </x:row>
    <x:row r="422" ht="50" customHeight="1">
      <x:c r="A422" s="46" t="str">
        <x:v>M5-EXCHANGE-421</x:v>
      </x:c>
      <x:c r="B422" s="46" t="str">
        <x:v>藏而有根｜交换在熟悉后显现</x:v>
      </x:c>
      <x:c r="C422" s="46" t="str">
        <x:v>L9 状态、接口、去重与停止</x:v>
      </x:c>
      <x:c r="D422" s="46" t="str">
        <x:v>EXCHANGE-接口门控</x:v>
      </x:c>
      <x:c r="E422" s="46" t="str">
        <x:v>通用</x:v>
      </x:c>
      <x:c r="F422" s="46" t="str">
        <x:v>状态</x:v>
      </x:c>
      <x:c r="G422" s="46" t="str">
        <x:v>藏而有根</x:v>
      </x:c>
      <x:c r="H422" s="46" t="str"/>
      <x:c r="I422" s="46" t="str">
        <x:v>主EC来源藏支有根。</x:v>
      </x:c>
      <x:c r="J422" s="46" t="str">
        <x:v>弱远无助。</x:v>
      </x:c>
      <x:c r="K422" s="46" t="str">
        <x:v>由共享基础引擎、M3与M5-BASE提供；只修正用户怎样给予、请求、接收和回馈，不直接判断双方现实交换质量。</x:v>
      </x:c>
      <x:c r="L422" s="46" t="str">
        <x:v>M2只说明进入关系所需资格证据；不能替代长期双向交换、负荷与修复验证。</x:v>
      </x:c>
      <x:c r="M422" s="46" t="str">
        <x:v>M3-BASE、EXPR、CARE和BOUND提供用户自然互动通道；M5-EXCHANGE负责把两人的实际行为合成为交换结构。</x:v>
      </x:c>
      <x:c r="N422" s="46" t="str">
        <x:v>无／按本规则指定的给予—请求—接收—反馈—重订路径路由。</x:v>
      </x:c>
      <x:c r="O422" s="46" t="str">
        <x:v>近位、远位只修正该交换需求进入亲密关系核心的可能；不得据此判断具体伴侣现实中一定配合。</x:v>
      </x:c>
      <x:c r="P422" s="46" t="str">
        <x:v>根气只修正用户交换需求和通道是否稳定重复，不等于双方已形成成熟互惠。</x:v>
      </x:c>
      <x:c r="Q422" s="46" t="str">
        <x:v>旺弱只修正通道调用强度、抢位或缺位风险，不直接等于交换公平或关系质量。</x:v>
      </x:c>
      <x:c r="R422" s="46" t="str">
        <x:v>喜忌只修正调用顺畅度与摩擦，不可直接翻译为理想伴侣五行、十神或必然互补。</x:v>
      </x:c>
      <x:c r="S422" s="46" t="str">
        <x:v>真合化成立时按化神功能重算用户交换需求；合化争议时停止细化交换通道。</x:v>
      </x:c>
      <x:c r="T422" s="46" t="str">
        <x:v>近位提高该交换议题进入关系核心的可能；远位只保留背景或阶段性观察。</x:v>
      </x:c>
      <x:c r="U422" s="46" t="str">
        <x:v>86</x:v>
      </x:c>
      <x:c r="V422" s="46" t="str">
        <x:v>不加分；接口／状态／去重</x:v>
      </x:c>
      <x:c r="W422" s="46" t="str">
        <x:v>observation_plan</x:v>
      </x:c>
      <x:c r="X422" s="46" t="str">
        <x:v>需要在长期相处、日常负荷和修复中验证。</x:v>
      </x:c>
      <x:c r="Y422" s="46" t="str">
        <x:v>这项交换需要可能在相处深入后更明显。</x:v>
      </x:c>
      <x:c r="Z42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22" s="46" t="str">
        <x:v>中高</x:v>
      </x:c>
      <x:c r="AB422" s="46" t="str">
        <x:v>待验证</x:v>
      </x:c>
      <x:c r="AC422" s="46" t="str"/>
      <x:c r="AD422" s="46" t="str">
        <x:v>interface_state_rule=true; provisional=true; rule_group=EXCHANGE-接口门控</x:v>
      </x:c>
      <x:c r="AE422" s="46" t="str">
        <x:v>0.4</x:v>
      </x:c>
    </x:row>
    <x:row r="423" ht="50" customHeight="1">
      <x:c r="A423" s="46" t="str">
        <x:v>M5-EXCHANGE-422</x:v>
      </x:c>
      <x:c r="B423" s="46" t="str">
        <x:v>透干无根｜防外显互惠高估</x:v>
      </x:c>
      <x:c r="C423" s="46" t="str">
        <x:v>L9 状态、接口、去重与停止</x:v>
      </x:c>
      <x:c r="D423" s="46" t="str">
        <x:v>EXCHANGE-接口门控</x:v>
      </x:c>
      <x:c r="E423" s="46" t="str">
        <x:v>通用</x:v>
      </x:c>
      <x:c r="F423" s="46" t="str">
        <x:v>状态</x:v>
      </x:c>
      <x:c r="G423" s="46" t="str">
        <x:v>透干无根</x:v>
      </x:c>
      <x:c r="H423" s="46" t="str"/>
      <x:c r="I423" s="46" t="str">
        <x:v>主EC来源透干无根。</x:v>
      </x:c>
      <x:c r="J423" s="46" t="str">
        <x:v>XV4以上现实证据已支持。</x:v>
      </x:c>
      <x:c r="K423" s="46" t="str">
        <x:v>由共享基础引擎、M3与M5-BASE提供；只修正用户怎样给予、请求、接收和回馈，不直接判断双方现实交换质量。</x:v>
      </x:c>
      <x:c r="L423" s="46" t="str">
        <x:v>M2只说明进入关系所需资格证据；不能替代长期双向交换、负荷与修复验证。</x:v>
      </x:c>
      <x:c r="M423" s="46" t="str">
        <x:v>M3-BASE、EXPR、CARE和BOUND提供用户自然互动通道；M5-EXCHANGE负责把两人的实际行为合成为交换结构。</x:v>
      </x:c>
      <x:c r="N423" s="46" t="str">
        <x:v>无／按本规则指定的给予—请求—接收—反馈—重订路径路由。</x:v>
      </x:c>
      <x:c r="O423" s="46" t="str">
        <x:v>近位、远位只修正该交换需求进入亲密关系核心的可能；不得据此判断具体伴侣现实中一定配合。</x:v>
      </x:c>
      <x:c r="P423" s="46" t="str">
        <x:v>根气只修正用户交换需求和通道是否稳定重复，不等于双方已形成成熟互惠。</x:v>
      </x:c>
      <x:c r="Q423" s="46" t="str">
        <x:v>旺弱只修正通道调用强度、抢位或缺位风险，不直接等于交换公平或关系质量。</x:v>
      </x:c>
      <x:c r="R423" s="46" t="str">
        <x:v>喜忌只修正调用顺畅度与摩擦，不可直接翻译为理想伴侣五行、十神或必然互补。</x:v>
      </x:c>
      <x:c r="S423" s="46" t="str">
        <x:v>真合化成立时按化神功能重算用户交换需求；合化争议时停止细化交换通道。</x:v>
      </x:c>
      <x:c r="T423" s="46" t="str">
        <x:v>近位提高该交换议题进入关系核心的可能；远位只保留背景或阶段性观察。</x:v>
      </x:c>
      <x:c r="U423" s="46" t="str">
        <x:v>86</x:v>
      </x:c>
      <x:c r="V423" s="46" t="str">
        <x:v>不加分；接口／状态／去重</x:v>
      </x:c>
      <x:c r="W423" s="46" t="str">
        <x:v>pseudo_reciprocity_warning</x:v>
      </x:c>
      <x:c r="X423" s="46" t="str">
        <x:v>外显行为容易被看见，连续性和负荷仍需单独验证。</x:v>
      </x:c>
      <x:c r="Y423" s="46" t="str">
        <x:v>交换看起来很明显，但还要看能否持续。</x:v>
      </x:c>
      <x:c r="Z42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23" s="46" t="str">
        <x:v>中高</x:v>
      </x:c>
      <x:c r="AB423" s="46" t="str">
        <x:v>待验证</x:v>
      </x:c>
      <x:c r="AC423" s="46" t="str"/>
      <x:c r="AD423" s="46" t="str">
        <x:v>interface_state_rule=true; provisional=true; rule_group=EXCHANGE-接口门控</x:v>
      </x:c>
      <x:c r="AE423" s="46" t="str">
        <x:v>0.4</x:v>
      </x:c>
    </x:row>
    <x:row r="424" ht="50" customHeight="1">
      <x:c r="A424" s="46" t="str">
        <x:v>M5-EXCHANGE-423</x:v>
      </x:c>
      <x:c r="B424" s="46" t="str">
        <x:v>过旺失衡｜第二通道必须进入</x:v>
      </x:c>
      <x:c r="C424" s="46" t="str">
        <x:v>L9 状态、接口、去重与停止</x:v>
      </x:c>
      <x:c r="D424" s="46" t="str">
        <x:v>EXCHANGE-接口门控</x:v>
      </x:c>
      <x:c r="E424" s="46" t="str">
        <x:v>通用</x:v>
      </x:c>
      <x:c r="F424" s="46" t="str">
        <x:v>状态</x:v>
      </x:c>
      <x:c r="G424" s="46" t="str">
        <x:v>过旺失衡</x:v>
      </x:c>
      <x:c r="H424" s="46" t="str"/>
      <x:c r="I424" s="46" t="str">
        <x:v>主EC过旺且M4有K01/K03/K05。</x:v>
      </x:c>
      <x:c r="J424" s="46" t="str">
        <x:v>有制有化并现实有效。</x:v>
      </x:c>
      <x:c r="K424" s="46" t="str">
        <x:v>由共享基础引擎、M3与M5-BASE提供；只修正用户怎样给予、请求、接收和回馈，不直接判断双方现实交换质量。</x:v>
      </x:c>
      <x:c r="L424" s="46" t="str">
        <x:v>M2只说明进入关系所需资格证据；不能替代长期双向交换、负荷与修复验证。</x:v>
      </x:c>
      <x:c r="M424" s="46" t="str">
        <x:v>M3-BASE、EXPR、CARE和BOUND提供用户自然互动通道；M5-EXCHANGE负责把两人的实际行为合成为交换结构。</x:v>
      </x:c>
      <x:c r="N424" s="46" t="str">
        <x:v>无／按本规则指定的给予—请求—接收—反馈—重订路径路由。</x:v>
      </x:c>
      <x:c r="O424" s="46" t="str">
        <x:v>近位、远位只修正该交换需求进入亲密关系核心的可能；不得据此判断具体伴侣现实中一定配合。</x:v>
      </x:c>
      <x:c r="P424" s="46" t="str">
        <x:v>根气只修正用户交换需求和通道是否稳定重复，不等于双方已形成成熟互惠。</x:v>
      </x:c>
      <x:c r="Q424" s="46" t="str">
        <x:v>旺弱只修正通道调用强度、抢位或缺位风险，不直接等于交换公平或关系质量。</x:v>
      </x:c>
      <x:c r="R424" s="46" t="str">
        <x:v>喜忌只修正调用顺畅度与摩擦，不可直接翻译为理想伴侣五行、十神或必然互补。</x:v>
      </x:c>
      <x:c r="S424" s="46" t="str">
        <x:v>真合化成立时按化神功能重算用户交换需求；合化争议时停止细化交换通道。</x:v>
      </x:c>
      <x:c r="T424" s="46" t="str">
        <x:v>近位提高该交换议题进入关系核心的可能；远位只保留背景或阶段性观察。</x:v>
      </x:c>
      <x:c r="U424" s="46" t="str">
        <x:v>86</x:v>
      </x:c>
      <x:c r="V424" s="46" t="str">
        <x:v>不加分；接口／状态／去重</x:v>
      </x:c>
      <x:c r="W424" s="46" t="str">
        <x:v>exchange_path</x:v>
      </x:c>
      <x:c r="X424" s="46" t="str">
        <x:v>不追求更强同类投入，优先建立反馈、边界或回流。</x:v>
      </x:c>
      <x:c r="Y424" s="46" t="str">
        <x:v>重点不是让同一种付出更多，而是让另一项必要功能进来。</x:v>
      </x:c>
      <x:c r="Z42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24" s="46" t="str">
        <x:v>中高</x:v>
      </x:c>
      <x:c r="AB424" s="46" t="str">
        <x:v>待验证</x:v>
      </x:c>
      <x:c r="AC424" s="46" t="str"/>
      <x:c r="AD424" s="46" t="str">
        <x:v>interface_state_rule=true; provisional=true; rule_group=EXCHANGE-接口门控</x:v>
      </x:c>
      <x:c r="AE424" s="46" t="str">
        <x:v>0.4</x:v>
      </x:c>
    </x:row>
    <x:row r="425" ht="50" customHeight="1">
      <x:c r="A425" s="46" t="str">
        <x:v>M5-EXCHANGE-424</x:v>
      </x:c>
      <x:c r="B425" s="46" t="str">
        <x:v>偏弱有助｜允许结构化补位</x:v>
      </x:c>
      <x:c r="C425" s="46" t="str">
        <x:v>L9 状态、接口、去重与停止</x:v>
      </x:c>
      <x:c r="D425" s="46" t="str">
        <x:v>EXCHANGE-接口门控</x:v>
      </x:c>
      <x:c r="E425" s="46" t="str">
        <x:v>通用</x:v>
      </x:c>
      <x:c r="F425" s="46" t="str">
        <x:v>状态</x:v>
      </x:c>
      <x:c r="G425" s="46" t="str">
        <x:v>偏弱有助</x:v>
      </x:c>
      <x:c r="H425" s="46" t="str"/>
      <x:c r="I425" s="46" t="str">
        <x:v>主EC偏弱但有助、通关或工具支持。</x:v>
      </x:c>
      <x:c r="J425" s="46" t="str">
        <x:v>完全无助且现实反例强。</x:v>
      </x:c>
      <x:c r="K425" s="46" t="str">
        <x:v>由共享基础引擎、M3与M5-BASE提供；只修正用户怎样给予、请求、接收和回馈，不直接判断双方现实交换质量。</x:v>
      </x:c>
      <x:c r="L425" s="46" t="str">
        <x:v>M2只说明进入关系所需资格证据；不能替代长期双向交换、负荷与修复验证。</x:v>
      </x:c>
      <x:c r="M425" s="46" t="str">
        <x:v>M3-BASE、EXPR、CARE和BOUND提供用户自然互动通道；M5-EXCHANGE负责把两人的实际行为合成为交换结构。</x:v>
      </x:c>
      <x:c r="N425" s="46" t="str">
        <x:v>无／按本规则指定的给予—请求—接收—反馈—重订路径路由。</x:v>
      </x:c>
      <x:c r="O425" s="46" t="str">
        <x:v>近位、远位只修正该交换需求进入亲密关系核心的可能；不得据此判断具体伴侣现实中一定配合。</x:v>
      </x:c>
      <x:c r="P425" s="46" t="str">
        <x:v>根气只修正用户交换需求和通道是否稳定重复，不等于双方已形成成熟互惠。</x:v>
      </x:c>
      <x:c r="Q425" s="46" t="str">
        <x:v>旺弱只修正通道调用强度、抢位或缺位风险，不直接等于交换公平或关系质量。</x:v>
      </x:c>
      <x:c r="R425" s="46" t="str">
        <x:v>喜忌只修正调用顺畅度与摩擦，不可直接翻译为理想伴侣五行、十神或必然互补。</x:v>
      </x:c>
      <x:c r="S425" s="46" t="str">
        <x:v>真合化成立时按化神功能重算用户交换需求；合化争议时停止细化交换通道。</x:v>
      </x:c>
      <x:c r="T425" s="46" t="str">
        <x:v>近位提高该交换议题进入关系核心的可能；远位只保留背景或阶段性观察。</x:v>
      </x:c>
      <x:c r="U425" s="46" t="str">
        <x:v>86</x:v>
      </x:c>
      <x:c r="V425" s="46" t="str">
        <x:v>不加分；接口／状态／去重</x:v>
      </x:c>
      <x:c r="W425" s="46" t="str">
        <x:v>exchange_mode</x:v>
      </x:c>
      <x:c r="X425" s="46" t="str">
        <x:v>可路由EM03、EM06或共同成长结构。</x:v>
      </x:c>
      <x:c r="Y425" s="46" t="str">
        <x:v>不是天生擅长也没关系，愿意使用规则和工具仍可形成交换。</x:v>
      </x:c>
      <x:c r="Z42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25" s="46" t="str">
        <x:v>中高</x:v>
      </x:c>
      <x:c r="AB425" s="46" t="str">
        <x:v>待验证</x:v>
      </x:c>
      <x:c r="AC425" s="46" t="str"/>
      <x:c r="AD425" s="46" t="str">
        <x:v>interface_state_rule=true; provisional=true; rule_group=EXCHANGE-接口门控</x:v>
      </x:c>
      <x:c r="AE425" s="46" t="str">
        <x:v>0.4</x:v>
      </x:c>
    </x:row>
    <x:row r="426" ht="50" customHeight="1">
      <x:c r="A426" s="46" t="str">
        <x:v>M5-EXCHANGE-425</x:v>
      </x:c>
      <x:c r="B426" s="46" t="str">
        <x:v>真合化成立｜替换EC路由</x:v>
      </x:c>
      <x:c r="C426" s="46" t="str">
        <x:v>L9 状态、接口、去重与停止</x:v>
      </x:c>
      <x:c r="D426" s="46" t="str">
        <x:v>EXCHANGE-接口门控</x:v>
      </x:c>
      <x:c r="E426" s="46" t="str">
        <x:v>通用</x:v>
      </x:c>
      <x:c r="F426" s="46" t="str">
        <x:v>状态</x:v>
      </x:c>
      <x:c r="G426" s="46" t="str">
        <x:v>真合化成立</x:v>
      </x:c>
      <x:c r="H426" s="46" t="str"/>
      <x:c r="I426" s="46" t="str">
        <x:v>真合化已由共享引擎确认。</x:v>
      </x:c>
      <x:c r="J426" s="46" t="str">
        <x:v>合而不化或争议。</x:v>
      </x:c>
      <x:c r="K426" s="46" t="str">
        <x:v>由共享基础引擎、M3与M5-BASE提供；只修正用户怎样给予、请求、接收和回馈，不直接判断双方现实交换质量。</x:v>
      </x:c>
      <x:c r="L426" s="46" t="str">
        <x:v>M2只说明进入关系所需资格证据；不能替代长期双向交换、负荷与修复验证。</x:v>
      </x:c>
      <x:c r="M426" s="46" t="str">
        <x:v>M3-BASE、EXPR、CARE和BOUND提供用户自然互动通道；M5-EXCHANGE负责把两人的实际行为合成为交换结构。</x:v>
      </x:c>
      <x:c r="N426" s="46" t="str">
        <x:v>无／按本规则指定的给予—请求—接收—反馈—重订路径路由。</x:v>
      </x:c>
      <x:c r="O426" s="46" t="str">
        <x:v>近位、远位只修正该交换需求进入亲密关系核心的可能；不得据此判断具体伴侣现实中一定配合。</x:v>
      </x:c>
      <x:c r="P426" s="46" t="str">
        <x:v>根气只修正用户交换需求和通道是否稳定重复，不等于双方已形成成熟互惠。</x:v>
      </x:c>
      <x:c r="Q426" s="46" t="str">
        <x:v>旺弱只修正通道调用强度、抢位或缺位风险，不直接等于交换公平或关系质量。</x:v>
      </x:c>
      <x:c r="R426" s="46" t="str">
        <x:v>喜忌只修正调用顺畅度与摩擦，不可直接翻译为理想伴侣五行、十神或必然互补。</x:v>
      </x:c>
      <x:c r="S426" s="46" t="str">
        <x:v>真合化成立时按化神功能重算用户交换需求；合化争议时停止细化交换通道。</x:v>
      </x:c>
      <x:c r="T426" s="46" t="str">
        <x:v>近位提高该交换议题进入关系核心的可能；远位只保留背景或阶段性观察。</x:v>
      </x:c>
      <x:c r="U426" s="46" t="str">
        <x:v>86</x:v>
      </x:c>
      <x:c r="V426" s="46" t="str">
        <x:v>不加分；接口／状态／去重</x:v>
      </x:c>
      <x:c r="W426" s="46" t="str">
        <x:v>primary_exchange_channel</x:v>
      </x:c>
      <x:c r="X426" s="46" t="str">
        <x:v>原EC清零，按化神功能重算交换需求。</x:v>
      </x:c>
      <x:c r="Y426" s="46" t="str">
        <x:v>原来的交换画像需要按实际合化结果重新判断。</x:v>
      </x:c>
      <x:c r="Z42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26" s="46" t="str">
        <x:v>中高</x:v>
      </x:c>
      <x:c r="AB426" s="46" t="str">
        <x:v>待验证</x:v>
      </x:c>
      <x:c r="AC426" s="46" t="str"/>
      <x:c r="AD426" s="46" t="str">
        <x:v>interface_state_rule=true; provisional=true; rule_group=EXCHANGE-接口门控</x:v>
      </x:c>
      <x:c r="AE426" s="46" t="str">
        <x:v>0.4</x:v>
      </x:c>
    </x:row>
    <x:row r="427" ht="50" customHeight="1">
      <x:c r="A427" s="46" t="str">
        <x:v>M5-EXCHANGE-426</x:v>
      </x:c>
      <x:c r="B427" s="46" t="str">
        <x:v>合冲刑害破｜只改交换节奏</x:v>
      </x:c>
      <x:c r="C427" s="46" t="str">
        <x:v>L9 状态、接口、去重与停止</x:v>
      </x:c>
      <x:c r="D427" s="46" t="str">
        <x:v>EXCHANGE-接口门控</x:v>
      </x:c>
      <x:c r="E427" s="46" t="str">
        <x:v>通用</x:v>
      </x:c>
      <x:c r="F427" s="46" t="str">
        <x:v>状态</x:v>
      </x:c>
      <x:c r="G427" s="46" t="str">
        <x:v>合冲刑害破</x:v>
      </x:c>
      <x:c r="H427" s="46" t="str"/>
      <x:c r="I427" s="46" t="str">
        <x:v>夫妻宫有合冲刑害破。</x:v>
      </x:c>
      <x:c r="J427" s="46" t="str">
        <x:v>用其直接断公平、背叛或关系失败。</x:v>
      </x:c>
      <x:c r="K427" s="46" t="str">
        <x:v>由共享基础引擎、M3与M5-BASE提供；只修正用户怎样给予、请求、接收和回馈，不直接判断双方现实交换质量。</x:v>
      </x:c>
      <x:c r="L427" s="46" t="str">
        <x:v>M2只说明进入关系所需资格证据；不能替代长期双向交换、负荷与修复验证。</x:v>
      </x:c>
      <x:c r="M427" s="46" t="str">
        <x:v>M3-BASE、EXPR、CARE和BOUND提供用户自然互动通道；M5-EXCHANGE负责把两人的实际行为合成为交换结构。</x:v>
      </x:c>
      <x:c r="N427" s="46" t="str">
        <x:v>无／按本规则指定的给予—请求—接收—反馈—重订路径路由。</x:v>
      </x:c>
      <x:c r="O427" s="46" t="str">
        <x:v>近位、远位只修正该交换需求进入亲密关系核心的可能；不得据此判断具体伴侣现实中一定配合。</x:v>
      </x:c>
      <x:c r="P427" s="46" t="str">
        <x:v>根气只修正用户交换需求和通道是否稳定重复，不等于双方已形成成熟互惠。</x:v>
      </x:c>
      <x:c r="Q427" s="46" t="str">
        <x:v>旺弱只修正通道调用强度、抢位或缺位风险，不直接等于交换公平或关系质量。</x:v>
      </x:c>
      <x:c r="R427" s="46" t="str">
        <x:v>喜忌只修正调用顺畅度与摩擦，不可直接翻译为理想伴侣五行、十神或必然互补。</x:v>
      </x:c>
      <x:c r="S427" s="46" t="str">
        <x:v>真合化成立时按化神功能重算用户交换需求；合化争议时停止细化交换通道。</x:v>
      </x:c>
      <x:c r="T427" s="46" t="str">
        <x:v>近位提高该交换议题进入关系核心的可能；远位只保留背景或阶段性观察。</x:v>
      </x:c>
      <x:c r="U427" s="46" t="str">
        <x:v>86</x:v>
      </x:c>
      <x:c r="V427" s="46" t="str">
        <x:v>不加分；接口／状态／去重</x:v>
      </x:c>
      <x:c r="W427" s="46" t="str">
        <x:v>reciprocity_timing</x:v>
      </x:c>
      <x:c r="X427" s="46" t="str">
        <x:v>合看牵连，冲看切换，刑看反复，害看隐性期待，破看重组。</x:v>
      </x:c>
      <x:c r="Y427" s="46" t="str">
        <x:v>这些结构提醒你在哪些环节多协商，不直接说明谁付出更多。</x:v>
      </x:c>
      <x:c r="Z42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27" s="46" t="str">
        <x:v>中高</x:v>
      </x:c>
      <x:c r="AB427" s="46" t="str">
        <x:v>待验证</x:v>
      </x:c>
      <x:c r="AC427" s="46" t="str"/>
      <x:c r="AD427" s="46" t="str">
        <x:v>interface_state_rule=true; provisional=true; rule_group=EXCHANGE-接口门控</x:v>
      </x:c>
      <x:c r="AE427" s="46" t="str">
        <x:v>0.4</x:v>
      </x:c>
    </x:row>
    <x:row r="428" ht="50" customHeight="1">
      <x:c r="A428" s="46" t="str">
        <x:v>M5-EXCHANGE-427</x:v>
      </x:c>
      <x:c r="B428" s="46" t="str">
        <x:v>阶段覆盖｜只提高当前负荷议题</x:v>
      </x:c>
      <x:c r="C428" s="46" t="str">
        <x:v>L9 状态、接口、去重与停止</x:v>
      </x:c>
      <x:c r="D428" s="46" t="str">
        <x:v>EXCHANGE-接口门控</x:v>
      </x:c>
      <x:c r="E428" s="46" t="str">
        <x:v>通用</x:v>
      </x:c>
      <x:c r="F428" s="46" t="str">
        <x:v>状态</x:v>
      </x:c>
      <x:c r="G428" s="46" t="str">
        <x:v>阶段覆盖</x:v>
      </x:c>
      <x:c r="H428" s="46" t="str"/>
      <x:c r="I428" s="46" t="str">
        <x:v>大运流年与XD领域一致。</x:v>
      </x:c>
      <x:c r="J428" s="46" t="str">
        <x:v>无原局需求或无现实情境。</x:v>
      </x:c>
      <x:c r="K428" s="46" t="str">
        <x:v>由共享基础引擎、M3与M5-BASE提供；只修正用户怎样给予、请求、接收和回馈，不直接判断双方现实交换质量。</x:v>
      </x:c>
      <x:c r="L428" s="46" t="str">
        <x:v>M2只说明进入关系所需资格证据；不能替代长期双向交换、负荷与修复验证。</x:v>
      </x:c>
      <x:c r="M428" s="46" t="str">
        <x:v>M3-BASE、EXPR、CARE和BOUND提供用户自然互动通道；M5-EXCHANGE负责把两人的实际行为合成为交换结构。</x:v>
      </x:c>
      <x:c r="N428" s="46" t="str">
        <x:v>无／按本规则指定的给予—请求—接收—反馈—重订路径路由。</x:v>
      </x:c>
      <x:c r="O428" s="46" t="str">
        <x:v>近位、远位只修正该交换需求进入亲密关系核心的可能；不得据此判断具体伴侣现实中一定配合。</x:v>
      </x:c>
      <x:c r="P428" s="46" t="str">
        <x:v>根气只修正用户交换需求和通道是否稳定重复，不等于双方已形成成熟互惠。</x:v>
      </x:c>
      <x:c r="Q428" s="46" t="str">
        <x:v>旺弱只修正通道调用强度、抢位或缺位风险，不直接等于交换公平或关系质量。</x:v>
      </x:c>
      <x:c r="R428" s="46" t="str">
        <x:v>喜忌只修正调用顺畅度与摩擦，不可直接翻译为理想伴侣五行、十神或必然互补。</x:v>
      </x:c>
      <x:c r="S428" s="46" t="str">
        <x:v>真合化成立时按化神功能重算用户交换需求；合化争议时停止细化交换通道。</x:v>
      </x:c>
      <x:c r="T428" s="46" t="str">
        <x:v>近位提高该交换议题进入关系核心的可能；远位只保留背景或阶段性观察。</x:v>
      </x:c>
      <x:c r="U428" s="46" t="str">
        <x:v>86</x:v>
      </x:c>
      <x:c r="V428" s="46" t="str">
        <x:v>不加分；接口／状态／去重</x:v>
      </x:c>
      <x:c r="W428" s="46" t="str">
        <x:v>exchange_domains</x:v>
      </x:c>
      <x:c r="X428" s="46" t="str">
        <x:v>阶段只能提高某领域显著度，不能创造双方能力。</x:v>
      </x:c>
      <x:c r="Y428" s="46" t="str">
        <x:v>某个阶段会让资源和责任问题更明显，但仍要看现实行为。</x:v>
      </x:c>
      <x:c r="Z42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28" s="46" t="str">
        <x:v>中高</x:v>
      </x:c>
      <x:c r="AB428" s="46" t="str">
        <x:v>待验证</x:v>
      </x:c>
      <x:c r="AC428" s="46" t="str"/>
      <x:c r="AD428" s="46" t="str">
        <x:v>interface_state_rule=true; provisional=true; rule_group=EXCHANGE-接口门控</x:v>
      </x:c>
      <x:c r="AE428" s="46" t="str">
        <x:v>0.4</x:v>
      </x:c>
    </x:row>
    <x:row r="429" ht="50" customHeight="1">
      <x:c r="A429" s="46" t="str">
        <x:v>M5-EXCHANGE-428</x:v>
      </x:c>
      <x:c r="B429" s="46" t="str">
        <x:v>安全风险停止普通交换分析</x:v>
      </x:c>
      <x:c r="C429" s="46" t="str">
        <x:v>L9 状态、接口、去重与停止</x:v>
      </x:c>
      <x:c r="D429" s="46" t="str">
        <x:v>EXCHANGE-接口门控</x:v>
      </x:c>
      <x:c r="E429" s="46" t="str">
        <x:v>通用</x:v>
      </x:c>
      <x:c r="F429" s="46" t="str">
        <x:v>安全</x:v>
      </x:c>
      <x:c r="G429" s="46" t="str">
        <x:v>安全风险停止普通交换分析</x:v>
      </x:c>
      <x:c r="H429" s="46" t="str"/>
      <x:c r="I429" s="46" t="str">
        <x:v>存在PR0风险。</x:v>
      </x:c>
      <x:c r="J429" s="46" t="str">
        <x:v>无。</x:v>
      </x:c>
      <x:c r="K429" s="46" t="str">
        <x:v>由共享基础引擎、M3与M5-BASE提供；只修正用户怎样给予、请求、接收和回馈，不直接判断双方现实交换质量。</x:v>
      </x:c>
      <x:c r="L429" s="46" t="str">
        <x:v>M2只说明进入关系所需资格证据；不能替代长期双向交换、负荷与修复验证。</x:v>
      </x:c>
      <x:c r="M429" s="46" t="str">
        <x:v>M3-BASE、EXPR、CARE和BOUND提供用户自然互动通道；M5-EXCHANGE负责把两人的实际行为合成为交换结构。</x:v>
      </x:c>
      <x:c r="N429" s="46" t="str">
        <x:v>无／按本规则指定的给予—请求—接收—反馈—重订路径路由。</x:v>
      </x:c>
      <x:c r="O429" s="46" t="str">
        <x:v>近位、远位只修正该交换需求进入亲密关系核心的可能；不得据此判断具体伴侣现实中一定配合。</x:v>
      </x:c>
      <x:c r="P429" s="46" t="str">
        <x:v>根气只修正用户交换需求和通道是否稳定重复，不等于双方已形成成熟互惠。</x:v>
      </x:c>
      <x:c r="Q429" s="46" t="str">
        <x:v>旺弱只修正通道调用强度、抢位或缺位风险，不直接等于交换公平或关系质量。</x:v>
      </x:c>
      <x:c r="R429" s="46" t="str">
        <x:v>喜忌只修正调用顺畅度与摩擦，不可直接翻译为理想伴侣五行、十神或必然互补。</x:v>
      </x:c>
      <x:c r="S429" s="46" t="str">
        <x:v>真合化成立时按化神功能重算用户交换需求；合化争议时停止细化交换通道。</x:v>
      </x:c>
      <x:c r="T429" s="46" t="str">
        <x:v>近位提高该交换议题进入关系核心的可能；远位只保留背景或阶段性观察。</x:v>
      </x:c>
      <x:c r="U429" s="46" t="str">
        <x:v>98</x:v>
      </x:c>
      <x:c r="V429" s="46" t="str">
        <x:v>不加分；接口／状态／去重</x:v>
      </x:c>
      <x:c r="W429" s="46" t="str">
        <x:v>report_status</x:v>
      </x:c>
      <x:c r="X429" s="46" t="str">
        <x:v>停止互惠、互补和修复叙事，优先现实安全和支持。</x:v>
      </x:c>
      <x:c r="Y429" s="46" t="str">
        <x:v>先处理安全、同意和现实资源。</x:v>
      </x:c>
      <x:c r="Z42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29" s="46" t="str">
        <x:v>高</x:v>
      </x:c>
      <x:c r="AB429" s="46" t="str">
        <x:v>待验证</x:v>
      </x:c>
      <x:c r="AC429" s="46" t="str"/>
      <x:c r="AD429" s="46" t="str">
        <x:v>interface_state_rule=true; provisional=true; rule_group=EXCHANGE-接口门控</x:v>
      </x:c>
      <x:c r="AE429" s="46" t="str">
        <x:v>0.4</x:v>
      </x:c>
    </x:row>
    <x:row r="430" ht="50" customHeight="1">
      <x:c r="A430" s="46" t="str">
        <x:v>M5-EXCHANGE-429</x:v>
      </x:c>
      <x:c r="B430" s="46" t="str">
        <x:v>资料不足停止交换定性</x:v>
      </x:c>
      <x:c r="C430" s="46" t="str">
        <x:v>L9 状态、接口、去重与停止</x:v>
      </x:c>
      <x:c r="D430" s="46" t="str">
        <x:v>EXCHANGE-接口门控</x:v>
      </x:c>
      <x:c r="E430" s="46" t="str">
        <x:v>通用</x:v>
      </x:c>
      <x:c r="F430" s="46" t="str">
        <x:v>停止</x:v>
      </x:c>
      <x:c r="G430" s="46" t="str">
        <x:v>资料不足停止交换定性</x:v>
      </x:c>
      <x:c r="H430" s="46" t="str"/>
      <x:c r="I430" s="46" t="str">
        <x:v>XV0—XV1或只有一方抽象评价。</x:v>
      </x:c>
      <x:c r="J430" s="46" t="str">
        <x:v>仅输出观察计划允许。</x:v>
      </x:c>
      <x:c r="K430" s="46" t="str">
        <x:v>由共享基础引擎、M3与M5-BASE提供；只修正用户怎样给予、请求、接收和回馈，不直接判断双方现实交换质量。</x:v>
      </x:c>
      <x:c r="L430" s="46" t="str">
        <x:v>M2只说明进入关系所需资格证据；不能替代长期双向交换、负荷与修复验证。</x:v>
      </x:c>
      <x:c r="M430" s="46" t="str">
        <x:v>M3-BASE、EXPR、CARE和BOUND提供用户自然互动通道；M5-EXCHANGE负责把两人的实际行为合成为交换结构。</x:v>
      </x:c>
      <x:c r="N430" s="46" t="str">
        <x:v>无／按本规则指定的给予—请求—接收—反馈—重订路径路由。</x:v>
      </x:c>
      <x:c r="O430" s="46" t="str">
        <x:v>近位、远位只修正该交换需求进入亲密关系核心的可能；不得据此判断具体伴侣现实中一定配合。</x:v>
      </x:c>
      <x:c r="P430" s="46" t="str">
        <x:v>根气只修正用户交换需求和通道是否稳定重复，不等于双方已形成成熟互惠。</x:v>
      </x:c>
      <x:c r="Q430" s="46" t="str">
        <x:v>旺弱只修正通道调用强度、抢位或缺位风险，不直接等于交换公平或关系质量。</x:v>
      </x:c>
      <x:c r="R430" s="46" t="str">
        <x:v>喜忌只修正调用顺畅度与摩擦，不可直接翻译为理想伴侣五行、十神或必然互补。</x:v>
      </x:c>
      <x:c r="S430" s="46" t="str">
        <x:v>真合化成立时按化神功能重算用户交换需求；合化争议时停止细化交换通道。</x:v>
      </x:c>
      <x:c r="T430" s="46" t="str">
        <x:v>近位提高该交换议题进入关系核心的可能；远位只保留背景或阶段性观察。</x:v>
      </x:c>
      <x:c r="U430" s="46" t="str">
        <x:v>98</x:v>
      </x:c>
      <x:c r="V430" s="46" t="str">
        <x:v>不加分；接口／状态／去重</x:v>
      </x:c>
      <x:c r="W430" s="46" t="str">
        <x:v>report_status</x:v>
      </x:c>
      <x:c r="X430" s="46" t="str">
        <x:v>不发布XR01—XR07稳定结论。</x:v>
      </x:c>
      <x:c r="Y430" s="46" t="str">
        <x:v>目前先列出需要记录的完整交换事件。</x:v>
      </x:c>
      <x:c r="Z43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30" s="46" t="str">
        <x:v>高</x:v>
      </x:c>
      <x:c r="AB430" s="46" t="str">
        <x:v>待验证</x:v>
      </x:c>
      <x:c r="AC430" s="46" t="str"/>
      <x:c r="AD430" s="46" t="str">
        <x:v>interface_state_rule=true; provisional=true; rule_group=EXCHANGE-接口门控</x:v>
      </x:c>
      <x:c r="AE430" s="46" t="str">
        <x:v>0.4</x:v>
      </x:c>
    </x:row>
    <x:row r="431" ht="50" customHeight="1">
      <x:c r="A431" s="46" t="str">
        <x:v>M5-EXCHANGE-430</x:v>
      </x:c>
      <x:c r="B431" s="46" t="str">
        <x:v>强现实反例覆盖结构候选</x:v>
      </x:c>
      <x:c r="C431" s="46" t="str">
        <x:v>L9 状态、接口、去重与停止</x:v>
      </x:c>
      <x:c r="D431" s="46" t="str">
        <x:v>EXCHANGE-接口门控</x:v>
      </x:c>
      <x:c r="E431" s="46" t="str">
        <x:v>通用</x:v>
      </x:c>
      <x:c r="F431" s="46" t="str">
        <x:v>停止</x:v>
      </x:c>
      <x:c r="G431" s="46" t="str">
        <x:v>强现实反例覆盖结构候选</x:v>
      </x:c>
      <x:c r="H431" s="46" t="str"/>
      <x:c r="I431" s="46" t="str">
        <x:v>跨场景多次反例与EC/EM候选冲突。</x:v>
      </x:c>
      <x:c r="J431" s="46" t="str">
        <x:v>反例不可靠或已被持续修正。</x:v>
      </x:c>
      <x:c r="K431" s="46" t="str">
        <x:v>由共享基础引擎、M3与M5-BASE提供；只修正用户怎样给予、请求、接收和回馈，不直接判断双方现实交换质量。</x:v>
      </x:c>
      <x:c r="L431" s="46" t="str">
        <x:v>M2只说明进入关系所需资格证据；不能替代长期双向交换、负荷与修复验证。</x:v>
      </x:c>
      <x:c r="M431" s="46" t="str">
        <x:v>M3-BASE、EXPR、CARE和BOUND提供用户自然互动通道；M5-EXCHANGE负责把两人的实际行为合成为交换结构。</x:v>
      </x:c>
      <x:c r="N431" s="46" t="str">
        <x:v>无／按本规则指定的给予—请求—接收—反馈—重订路径路由。</x:v>
      </x:c>
      <x:c r="O431" s="46" t="str">
        <x:v>近位、远位只修正该交换需求进入亲密关系核心的可能；不得据此判断具体伴侣现实中一定配合。</x:v>
      </x:c>
      <x:c r="P431" s="46" t="str">
        <x:v>根气只修正用户交换需求和通道是否稳定重复，不等于双方已形成成熟互惠。</x:v>
      </x:c>
      <x:c r="Q431" s="46" t="str">
        <x:v>旺弱只修正通道调用强度、抢位或缺位风险，不直接等于交换公平或关系质量。</x:v>
      </x:c>
      <x:c r="R431" s="46" t="str">
        <x:v>喜忌只修正调用顺畅度与摩擦，不可直接翻译为理想伴侣五行、十神或必然互补。</x:v>
      </x:c>
      <x:c r="S431" s="46" t="str">
        <x:v>真合化成立时按化神功能重算用户交换需求；合化争议时停止细化交换通道。</x:v>
      </x:c>
      <x:c r="T431" s="46" t="str">
        <x:v>近位提高该交换议题进入关系核心的可能；远位只保留背景或阶段性观察。</x:v>
      </x:c>
      <x:c r="U431" s="46" t="str">
        <x:v>98</x:v>
      </x:c>
      <x:c r="V431" s="46" t="str">
        <x:v>不加分；接口／状态／去重</x:v>
      </x:c>
      <x:c r="W431" s="46" t="str">
        <x:v>counterevidence</x:v>
      </x:c>
      <x:c r="X431" s="46" t="str">
        <x:v>降级或停用对应交换画像。</x:v>
      </x:c>
      <x:c r="Y431" s="46" t="str">
        <x:v>现实中反复做不到，就不要用理论替关系解释。</x:v>
      </x:c>
      <x:c r="Z43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31" s="46" t="str">
        <x:v>高</x:v>
      </x:c>
      <x:c r="AB431" s="46" t="str">
        <x:v>待验证</x:v>
      </x:c>
      <x:c r="AC431" s="46" t="str"/>
      <x:c r="AD431" s="46" t="str">
        <x:v>interface_state_rule=true; provisional=true; rule_group=EXCHANGE-接口门控</x:v>
      </x:c>
      <x:c r="AE431" s="46" t="str">
        <x:v>0.4</x:v>
      </x:c>
    </x:row>
    <x:row r="432" ht="50" customHeight="1">
      <x:c r="A432" s="46" t="str">
        <x:v>M5-EXCHANGE-431</x:v>
      </x:c>
      <x:c r="B432" s="46" t="str">
        <x:v>M5-SYNTH前不发布最终FG</x:v>
      </x:c>
      <x:c r="C432" s="46" t="str">
        <x:v>L9 状态、接口、去重与停止</x:v>
      </x:c>
      <x:c r="D432" s="46" t="str">
        <x:v>EXCHANGE-接口门控</x:v>
      </x:c>
      <x:c r="E432" s="46" t="str">
        <x:v>通用</x:v>
      </x:c>
      <x:c r="F432" s="46" t="str">
        <x:v>路由</x:v>
      </x:c>
      <x:c r="G432" s="46" t="str">
        <x:v>M5-SYNTH前不发布最终FG</x:v>
      </x:c>
      <x:c r="H432" s="46" t="str"/>
      <x:c r="I432" s="46" t="str">
        <x:v>EXCHANGE模块完成。</x:v>
      </x:c>
      <x:c r="J432" s="46" t="str">
        <x:v>无。</x:v>
      </x:c>
      <x:c r="K432" s="46" t="str">
        <x:v>由共享基础引擎、M3与M5-BASE提供；只修正用户怎样给予、请求、接收和回馈，不直接判断双方现实交换质量。</x:v>
      </x:c>
      <x:c r="L432" s="46" t="str">
        <x:v>M2只说明进入关系所需资格证据；不能替代长期双向交换、负荷与修复验证。</x:v>
      </x:c>
      <x:c r="M432" s="46" t="str">
        <x:v>M3-BASE、EXPR、CARE和BOUND提供用户自然互动通道；M5-EXCHANGE负责把两人的实际行为合成为交换结构。</x:v>
      </x:c>
      <x:c r="N432" s="46" t="str">
        <x:v>无／按本规则指定的给予—请求—接收—反馈—重订路径路由。</x:v>
      </x:c>
      <x:c r="O432" s="46" t="str">
        <x:v>近位、远位只修正该交换需求进入亲密关系核心的可能；不得据此判断具体伴侣现实中一定配合。</x:v>
      </x:c>
      <x:c r="P432" s="46" t="str">
        <x:v>根气只修正用户交换需求和通道是否稳定重复，不等于双方已形成成熟互惠。</x:v>
      </x:c>
      <x:c r="Q432" s="46" t="str">
        <x:v>旺弱只修正通道调用强度、抢位或缺位风险，不直接等于交换公平或关系质量。</x:v>
      </x:c>
      <x:c r="R432" s="46" t="str">
        <x:v>喜忌只修正调用顺畅度与摩擦，不可直接翻译为理想伴侣五行、十神或必然互补。</x:v>
      </x:c>
      <x:c r="S432" s="46" t="str">
        <x:v>真合化成立时按化神功能重算用户交换需求；合化争议时停止细化交换通道。</x:v>
      </x:c>
      <x:c r="T432" s="46" t="str">
        <x:v>近位提高该交换议题进入关系核心的可能；远位只保留背景或阶段性观察。</x:v>
      </x:c>
      <x:c r="U432" s="46" t="str">
        <x:v>86</x:v>
      </x:c>
      <x:c r="V432" s="46" t="str">
        <x:v>不加分；接口／状态／去重</x:v>
      </x:c>
      <x:c r="W432" s="46" t="str">
        <x:v>fit_grade</x:v>
      </x:c>
      <x:c r="X432" s="46" t="str">
        <x:v>本模块输出EC、EM、XR、XV和交换观察计划；最终FG交SYNTH。</x:v>
      </x:c>
      <x:c r="Y432" s="46" t="str">
        <x:v>现在能说明交换怎样运行，最终适配等级还要综合其他现实门槛。</x:v>
      </x:c>
      <x:c r="Z43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32" s="46" t="str">
        <x:v>中高</x:v>
      </x:c>
      <x:c r="AB432" s="46" t="str">
        <x:v>待验证</x:v>
      </x:c>
      <x:c r="AC432" s="46" t="str"/>
      <x:c r="AD432" s="46" t="str">
        <x:v>interface_state_rule=true; provisional=true; rule_group=EXCHANGE-接口门控</x:v>
      </x:c>
      <x:c r="AE432" s="46" t="str">
        <x:v>0.4</x:v>
      </x:c>
    </x:row>
    <x:row r="433" ht="50" customHeight="1">
      <x:c r="A433" s="46" t="str">
        <x:v>M5-EXCHANGE-432</x:v>
      </x:c>
      <x:c r="B433" s="46" t="str">
        <x:v>主交换通道门槛</x:v>
      </x:c>
      <x:c r="C433" s="46" t="str">
        <x:v>L10 评分、报告与校准</x:v>
      </x:c>
      <x:c r="D433" s="46" t="str">
        <x:v>EXCHANGE-评分报告</x:v>
      </x:c>
      <x:c r="E433" s="46" t="str">
        <x:v>通用</x:v>
      </x:c>
      <x:c r="F433" s="46" t="str">
        <x:v>评分</x:v>
      </x:c>
      <x:c r="G433" s="46" t="str">
        <x:v>主交换通道门槛</x:v>
      </x:c>
      <x:c r="H433" s="46" t="str"/>
      <x:c r="I433" s="46" t="str">
        <x:v>主EC来自PR1／PR2或M4主调节任务，至少两类独立来源，净分≥40且领先第二候选≥8。</x:v>
      </x:c>
      <x:c r="J433" s="46" t="str">
        <x:v>PR0安全门控未通过时停止普通评分。</x:v>
      </x:c>
      <x:c r="K433" s="46" t="str">
        <x:v>由共享基础引擎、M3与M5-BASE提供；只修正用户怎样给予、请求、接收和回馈，不直接判断双方现实交换质量。</x:v>
      </x:c>
      <x:c r="L433" s="46" t="str">
        <x:v>M2只说明进入关系所需资格证据；不能替代长期双向交换、负荷与修复验证。</x:v>
      </x:c>
      <x:c r="M433" s="46" t="str">
        <x:v>M3-BASE、EXPR、CARE和BOUND提供用户自然互动通道；M5-EXCHANGE负责把两人的实际行为合成为交换结构。</x:v>
      </x:c>
      <x:c r="N433" s="46" t="str">
        <x:v>无／按本规则指定的给予—请求—接收—反馈—重订路径路由。</x:v>
      </x:c>
      <x:c r="O433" s="46" t="str">
        <x:v>近位、远位只修正该交换需求进入亲密关系核心的可能；不得据此判断具体伴侣现实中一定配合。</x:v>
      </x:c>
      <x:c r="P433" s="46" t="str">
        <x:v>根气只修正用户交换需求和通道是否稳定重复，不等于双方已形成成熟互惠。</x:v>
      </x:c>
      <x:c r="Q433" s="46" t="str">
        <x:v>旺弱只修正通道调用强度、抢位或缺位风险，不直接等于交换公平或关系质量。</x:v>
      </x:c>
      <x:c r="R433" s="46" t="str">
        <x:v>喜忌只修正调用顺畅度与摩擦，不可直接翻译为理想伴侣五行、十神或必然互补。</x:v>
      </x:c>
      <x:c r="S433" s="46" t="str">
        <x:v>真合化成立时按化神功能重算用户交换需求；合化争议时停止细化交换通道。</x:v>
      </x:c>
      <x:c r="T433" s="46" t="str">
        <x:v>近位提高该交换议题进入关系核心的可能；远位只保留背景或阶段性观察。</x:v>
      </x:c>
      <x:c r="U433" s="46" t="str">
        <x:v>82</x:v>
      </x:c>
      <x:c r="V433" s="46" t="str">
        <x:v>主通道候选 +40</x:v>
      </x:c>
      <x:c r="W433" s="46" t="str">
        <x:v>primary_exchange_channel</x:v>
      </x:c>
      <x:c r="X433" s="46" t="str">
        <x:v>满足才发布主交换通道。</x:v>
      </x:c>
      <x:c r="Y433" s="46" t="str">
        <x:v>满足才发布主交换通道。</x:v>
      </x:c>
      <x:c r="Z43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33" s="46" t="str">
        <x:v>中高</x:v>
      </x:c>
      <x:c r="AB433" s="46" t="str">
        <x:v>待验证</x:v>
      </x:c>
      <x:c r="AC433" s="46" t="str"/>
      <x:c r="AD433" s="46" t="str">
        <x:v>scoring_reporting=true; provisional=true; rule_group=EXCHANGE-评分报告</x:v>
      </x:c>
      <x:c r="AE433" s="46" t="str">
        <x:v>0.4</x:v>
      </x:c>
    </x:row>
    <x:row r="434" ht="50" customHeight="1">
      <x:c r="A434" s="46" t="str">
        <x:v>M5-EXCHANGE-433</x:v>
      </x:c>
      <x:c r="B434" s="46" t="str">
        <x:v>次交换通道门槛</x:v>
      </x:c>
      <x:c r="C434" s="46" t="str">
        <x:v>L10 评分、报告与校准</x:v>
      </x:c>
      <x:c r="D434" s="46" t="str">
        <x:v>EXCHANGE-评分报告</x:v>
      </x:c>
      <x:c r="E434" s="46" t="str">
        <x:v>通用</x:v>
      </x:c>
      <x:c r="F434" s="46" t="str">
        <x:v>评分</x:v>
      </x:c>
      <x:c r="G434" s="46" t="str">
        <x:v>次交换通道门槛</x:v>
      </x:c>
      <x:c r="H434" s="46" t="str"/>
      <x:c r="I434" s="46" t="str">
        <x:v>次EC净分≥28，来源独立、功能不同、非同义重复。</x:v>
      </x:c>
      <x:c r="J434" s="46" t="str">
        <x:v>PR0安全门控未通过时停止普通评分。</x:v>
      </x:c>
      <x:c r="K434" s="46" t="str">
        <x:v>由共享基础引擎、M3与M5-BASE提供；只修正用户怎样给予、请求、接收和回馈，不直接判断双方现实交换质量。</x:v>
      </x:c>
      <x:c r="L434" s="46" t="str">
        <x:v>M2只说明进入关系所需资格证据；不能替代长期双向交换、负荷与修复验证。</x:v>
      </x:c>
      <x:c r="M434" s="46" t="str">
        <x:v>M3-BASE、EXPR、CARE和BOUND提供用户自然互动通道；M5-EXCHANGE负责把两人的实际行为合成为交换结构。</x:v>
      </x:c>
      <x:c r="N434" s="46" t="str">
        <x:v>无／按本规则指定的给予—请求—接收—反馈—重订路径路由。</x:v>
      </x:c>
      <x:c r="O434" s="46" t="str">
        <x:v>近位、远位只修正该交换需求进入亲密关系核心的可能；不得据此判断具体伴侣现实中一定配合。</x:v>
      </x:c>
      <x:c r="P434" s="46" t="str">
        <x:v>根气只修正用户交换需求和通道是否稳定重复，不等于双方已形成成熟互惠。</x:v>
      </x:c>
      <x:c r="Q434" s="46" t="str">
        <x:v>旺弱只修正通道调用强度、抢位或缺位风险，不直接等于交换公平或关系质量。</x:v>
      </x:c>
      <x:c r="R434" s="46" t="str">
        <x:v>喜忌只修正调用顺畅度与摩擦，不可直接翻译为理想伴侣五行、十神或必然互补。</x:v>
      </x:c>
      <x:c r="S434" s="46" t="str">
        <x:v>真合化成立时按化神功能重算用户交换需求；合化争议时停止细化交换通道。</x:v>
      </x:c>
      <x:c r="T434" s="46" t="str">
        <x:v>近位提高该交换议题进入关系核心的可能；远位只保留背景或阶段性观察。</x:v>
      </x:c>
      <x:c r="U434" s="46" t="str">
        <x:v>82</x:v>
      </x:c>
      <x:c r="V434" s="46" t="str">
        <x:v>次通道候选 +28</x:v>
      </x:c>
      <x:c r="W434" s="46" t="str">
        <x:v>secondary_exchange_channel</x:v>
      </x:c>
      <x:c r="X434" s="46" t="str">
        <x:v>最多保留一个次通道。</x:v>
      </x:c>
      <x:c r="Y434" s="46" t="str">
        <x:v>最多保留一个次通道。</x:v>
      </x:c>
      <x:c r="Z43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34" s="46" t="str">
        <x:v>中高</x:v>
      </x:c>
      <x:c r="AB434" s="46" t="str">
        <x:v>待验证</x:v>
      </x:c>
      <x:c r="AC434" s="46" t="str"/>
      <x:c r="AD434" s="46" t="str">
        <x:v>scoring_reporting=true; provisional=true; rule_group=EXCHANGE-评分报告</x:v>
      </x:c>
      <x:c r="AE434" s="46" t="str">
        <x:v>0.4</x:v>
      </x:c>
    </x:row>
    <x:row r="435" ht="50" customHeight="1">
      <x:c r="A435" s="46" t="str">
        <x:v>M5-EXCHANGE-434</x:v>
      </x:c>
      <x:c r="B435" s="46" t="str">
        <x:v>主交换模式门槛</x:v>
      </x:c>
      <x:c r="C435" s="46" t="str">
        <x:v>L10 评分、报告与校准</x:v>
      </x:c>
      <x:c r="D435" s="46" t="str">
        <x:v>EXCHANGE-评分报告</x:v>
      </x:c>
      <x:c r="E435" s="46" t="str">
        <x:v>通用</x:v>
      </x:c>
      <x:c r="F435" s="46" t="str">
        <x:v>评分</x:v>
      </x:c>
      <x:c r="G435" s="46" t="str">
        <x:v>主交换模式门槛</x:v>
      </x:c>
      <x:c r="H435" s="46" t="str"/>
      <x:c r="I435" s="46" t="str">
        <x:v>EM模式至少由一个EC、两个ED和一项现实双人证据支持。</x:v>
      </x:c>
      <x:c r="J435" s="46" t="str">
        <x:v>PR0安全门控未通过时停止普通评分。</x:v>
      </x:c>
      <x:c r="K435" s="46" t="str">
        <x:v>由共享基础引擎、M3与M5-BASE提供；只修正用户怎样给予、请求、接收和回馈，不直接判断双方现实交换质量。</x:v>
      </x:c>
      <x:c r="L435" s="46" t="str">
        <x:v>M2只说明进入关系所需资格证据；不能替代长期双向交换、负荷与修复验证。</x:v>
      </x:c>
      <x:c r="M435" s="46" t="str">
        <x:v>M3-BASE、EXPR、CARE和BOUND提供用户自然互动通道；M5-EXCHANGE负责把两人的实际行为合成为交换结构。</x:v>
      </x:c>
      <x:c r="N435" s="46" t="str">
        <x:v>无／按本规则指定的给予—请求—接收—反馈—重订路径路由。</x:v>
      </x:c>
      <x:c r="O435" s="46" t="str">
        <x:v>近位、远位只修正该交换需求进入亲密关系核心的可能；不得据此判断具体伴侣现实中一定配合。</x:v>
      </x:c>
      <x:c r="P435" s="46" t="str">
        <x:v>根气只修正用户交换需求和通道是否稳定重复，不等于双方已形成成熟互惠。</x:v>
      </x:c>
      <x:c r="Q435" s="46" t="str">
        <x:v>旺弱只修正通道调用强度、抢位或缺位风险，不直接等于交换公平或关系质量。</x:v>
      </x:c>
      <x:c r="R435" s="46" t="str">
        <x:v>喜忌只修正调用顺畅度与摩擦，不可直接翻译为理想伴侣五行、十神或必然互补。</x:v>
      </x:c>
      <x:c r="S435" s="46" t="str">
        <x:v>真合化成立时按化神功能重算用户交换需求；合化争议时停止细化交换通道。</x:v>
      </x:c>
      <x:c r="T435" s="46" t="str">
        <x:v>近位提高该交换议题进入关系核心的可能；远位只保留背景或阶段性观察。</x:v>
      </x:c>
      <x:c r="U435" s="46" t="str">
        <x:v>82</x:v>
      </x:c>
      <x:c r="V435" s="46" t="str">
        <x:v>EM候选 +30</x:v>
      </x:c>
      <x:c r="W435" s="46" t="str">
        <x:v>exchange_mode</x:v>
      </x:c>
      <x:c r="X435" s="46" t="str">
        <x:v>只有命盘或单方愿望不得发布。</x:v>
      </x:c>
      <x:c r="Y435" s="46" t="str">
        <x:v>只有命盘或单方愿望不得发布。</x:v>
      </x:c>
      <x:c r="Z43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35" s="46" t="str">
        <x:v>中高</x:v>
      </x:c>
      <x:c r="AB435" s="46" t="str">
        <x:v>待验证</x:v>
      </x:c>
      <x:c r="AC435" s="46" t="str"/>
      <x:c r="AD435" s="46" t="str">
        <x:v>scoring_reporting=true; provisional=true; rule_group=EXCHANGE-评分报告</x:v>
      </x:c>
      <x:c r="AE435" s="46" t="str">
        <x:v>0.4</x:v>
      </x:c>
    </x:row>
    <x:row r="436" ht="50" customHeight="1">
      <x:c r="A436" s="46" t="str">
        <x:v>M5-EXCHANGE-435</x:v>
      </x:c>
      <x:c r="B436" s="46" t="str">
        <x:v>交换状态XR01门槛</x:v>
      </x:c>
      <x:c r="C436" s="46" t="str">
        <x:v>L10 评分、报告与校准</x:v>
      </x:c>
      <x:c r="D436" s="46" t="str">
        <x:v>EXCHANGE-评分报告</x:v>
      </x:c>
      <x:c r="E436" s="46" t="str">
        <x:v>通用</x:v>
      </x:c>
      <x:c r="F436" s="46" t="str">
        <x:v>评分</x:v>
      </x:c>
      <x:c r="G436" s="46" t="str">
        <x:v>交换状态XR01门槛</x:v>
      </x:c>
      <x:c r="H436" s="46" t="str"/>
      <x:c r="I436" s="46" t="str">
        <x:v>XV4以上，ED02、ED03、ED07、ED09至少三项可靠。</x:v>
      </x:c>
      <x:c r="J436" s="46" t="str">
        <x:v>PR0安全门控未通过时停止普通评分。</x:v>
      </x:c>
      <x:c r="K436" s="46" t="str">
        <x:v>由共享基础引擎、M3与M5-BASE提供；只修正用户怎样给予、请求、接收和回馈，不直接判断双方现实交换质量。</x:v>
      </x:c>
      <x:c r="L436" s="46" t="str">
        <x:v>M2只说明进入关系所需资格证据；不能替代长期双向交换、负荷与修复验证。</x:v>
      </x:c>
      <x:c r="M436" s="46" t="str">
        <x:v>M3-BASE、EXPR、CARE和BOUND提供用户自然互动通道；M5-EXCHANGE负责把两人的实际行为合成为交换结构。</x:v>
      </x:c>
      <x:c r="N436" s="46" t="str">
        <x:v>无／按本规则指定的给予—请求—接收—反馈—重订路径路由。</x:v>
      </x:c>
      <x:c r="O436" s="46" t="str">
        <x:v>近位、远位只修正该交换需求进入亲密关系核心的可能；不得据此判断具体伴侣现实中一定配合。</x:v>
      </x:c>
      <x:c r="P436" s="46" t="str">
        <x:v>根气只修正用户交换需求和通道是否稳定重复，不等于双方已形成成熟互惠。</x:v>
      </x:c>
      <x:c r="Q436" s="46" t="str">
        <x:v>旺弱只修正通道调用强度、抢位或缺位风险，不直接等于交换公平或关系质量。</x:v>
      </x:c>
      <x:c r="R436" s="46" t="str">
        <x:v>喜忌只修正调用顺畅度与摩擦，不可直接翻译为理想伴侣五行、十神或必然互补。</x:v>
      </x:c>
      <x:c r="S436" s="46" t="str">
        <x:v>真合化成立时按化神功能重算用户交换需求；合化争议时停止细化交换通道。</x:v>
      </x:c>
      <x:c r="T436" s="46" t="str">
        <x:v>近位提高该交换议题进入关系核心的可能；远位只保留背景或阶段性观察。</x:v>
      </x:c>
      <x:c r="U436" s="46" t="str">
        <x:v>82</x:v>
      </x:c>
      <x:c r="V436" s="46" t="str">
        <x:v>XR01 +36</x:v>
      </x:c>
      <x:c r="W436" s="46" t="str">
        <x:v>exchange_state</x:v>
      </x:c>
      <x:c r="X436" s="46" t="str">
        <x:v>可发布稳定双向交换候选。</x:v>
      </x:c>
      <x:c r="Y436" s="46" t="str">
        <x:v>可发布稳定双向交换候选。</x:v>
      </x:c>
      <x:c r="Z43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36" s="46" t="str">
        <x:v>中高</x:v>
      </x:c>
      <x:c r="AB436" s="46" t="str">
        <x:v>待验证</x:v>
      </x:c>
      <x:c r="AC436" s="46" t="str"/>
      <x:c r="AD436" s="46" t="str">
        <x:v>scoring_reporting=true; provisional=true; rule_group=EXCHANGE-评分报告</x:v>
      </x:c>
      <x:c r="AE436" s="46" t="str">
        <x:v>0.4</x:v>
      </x:c>
    </x:row>
    <x:row r="437" ht="50" customHeight="1">
      <x:c r="A437" s="46" t="str">
        <x:v>M5-EXCHANGE-436</x:v>
      </x:c>
      <x:c r="B437" s="46" t="str">
        <x:v>交换状态XR02门槛</x:v>
      </x:c>
      <x:c r="C437" s="46" t="str">
        <x:v>L10 评分、报告与校准</x:v>
      </x:c>
      <x:c r="D437" s="46" t="str">
        <x:v>EXCHANGE-评分报告</x:v>
      </x:c>
      <x:c r="E437" s="46" t="str">
        <x:v>通用</x:v>
      </x:c>
      <x:c r="F437" s="46" t="str">
        <x:v>评分</x:v>
      </x:c>
      <x:c r="G437" s="46" t="str">
        <x:v>交换状态XR02门槛</x:v>
      </x:c>
      <x:c r="H437" s="46" t="str"/>
      <x:c r="I437" s="46" t="str">
        <x:v>XV3以上，角色分工知情、自愿、认可且可重订。</x:v>
      </x:c>
      <x:c r="J437" s="46" t="str">
        <x:v>PR0安全门控未通过时停止普通评分。</x:v>
      </x:c>
      <x:c r="K437" s="46" t="str">
        <x:v>由共享基础引擎、M3与M5-BASE提供；只修正用户怎样给予、请求、接收和回馈，不直接判断双方现实交换质量。</x:v>
      </x:c>
      <x:c r="L437" s="46" t="str">
        <x:v>M2只说明进入关系所需资格证据；不能替代长期双向交换、负荷与修复验证。</x:v>
      </x:c>
      <x:c r="M437" s="46" t="str">
        <x:v>M3-BASE、EXPR、CARE和BOUND提供用户自然互动通道；M5-EXCHANGE负责把两人的实际行为合成为交换结构。</x:v>
      </x:c>
      <x:c r="N437" s="46" t="str">
        <x:v>无／按本规则指定的给予—请求—接收—反馈—重订路径路由。</x:v>
      </x:c>
      <x:c r="O437" s="46" t="str">
        <x:v>近位、远位只修正该交换需求进入亲密关系核心的可能；不得据此判断具体伴侣现实中一定配合。</x:v>
      </x:c>
      <x:c r="P437" s="46" t="str">
        <x:v>根气只修正用户交换需求和通道是否稳定重复，不等于双方已形成成熟互惠。</x:v>
      </x:c>
      <x:c r="Q437" s="46" t="str">
        <x:v>旺弱只修正通道调用强度、抢位或缺位风险，不直接等于交换公平或关系质量。</x:v>
      </x:c>
      <x:c r="R437" s="46" t="str">
        <x:v>喜忌只修正调用顺畅度与摩擦，不可直接翻译为理想伴侣五行、十神或必然互补。</x:v>
      </x:c>
      <x:c r="S437" s="46" t="str">
        <x:v>真合化成立时按化神功能重算用户交换需求；合化争议时停止细化交换通道。</x:v>
      </x:c>
      <x:c r="T437" s="46" t="str">
        <x:v>近位提高该交换议题进入关系核心的可能；远位只保留背景或阶段性观察。</x:v>
      </x:c>
      <x:c r="U437" s="46" t="str">
        <x:v>82</x:v>
      </x:c>
      <x:c r="V437" s="46" t="str">
        <x:v>XR02 +30</x:v>
      </x:c>
      <x:c r="W437" s="46" t="str">
        <x:v>exchange_state</x:v>
      </x:c>
      <x:c r="X437" s="46" t="str">
        <x:v>不要求等量，但需负荷与决定权清楚。</x:v>
      </x:c>
      <x:c r="Y437" s="46" t="str">
        <x:v>不要求等量，但需负荷与决定权清楚。</x:v>
      </x:c>
      <x:c r="Z43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37" s="46" t="str">
        <x:v>中高</x:v>
      </x:c>
      <x:c r="AB437" s="46" t="str">
        <x:v>待验证</x:v>
      </x:c>
      <x:c r="AC437" s="46" t="str"/>
      <x:c r="AD437" s="46" t="str">
        <x:v>scoring_reporting=true; provisional=true; rule_group=EXCHANGE-评分报告</x:v>
      </x:c>
      <x:c r="AE437" s="46" t="str">
        <x:v>0.4</x:v>
      </x:c>
    </x:row>
    <x:row r="438" ht="50" customHeight="1">
      <x:c r="A438" s="46" t="str">
        <x:v>M5-EXCHANGE-437</x:v>
      </x:c>
      <x:c r="B438" s="46" t="str">
        <x:v>交换状态XR03门槛</x:v>
      </x:c>
      <x:c r="C438" s="46" t="str">
        <x:v>L10 评分、报告与校准</x:v>
      </x:c>
      <x:c r="D438" s="46" t="str">
        <x:v>EXCHANGE-评分报告</x:v>
      </x:c>
      <x:c r="E438" s="46" t="str">
        <x:v>通用</x:v>
      </x:c>
      <x:c r="F438" s="46" t="str">
        <x:v>评分</x:v>
      </x:c>
      <x:c r="G438" s="46" t="str">
        <x:v>交换状态XR03门槛</x:v>
      </x:c>
      <x:c r="H438" s="46" t="str"/>
      <x:c r="I438" s="46" t="str">
        <x:v>XV4以上，错峰时间结构、回流领域和复核点清楚。</x:v>
      </x:c>
      <x:c r="J438" s="46" t="str">
        <x:v>PR0安全门控未通过时停止普通评分。</x:v>
      </x:c>
      <x:c r="K438" s="46" t="str">
        <x:v>由共享基础引擎、M3与M5-BASE提供；只修正用户怎样给予、请求、接收和回馈，不直接判断双方现实交换质量。</x:v>
      </x:c>
      <x:c r="L438" s="46" t="str">
        <x:v>M2只说明进入关系所需资格证据；不能替代长期双向交换、负荷与修复验证。</x:v>
      </x:c>
      <x:c r="M438" s="46" t="str">
        <x:v>M3-BASE、EXPR、CARE和BOUND提供用户自然互动通道；M5-EXCHANGE负责把两人的实际行为合成为交换结构。</x:v>
      </x:c>
      <x:c r="N438" s="46" t="str">
        <x:v>无／按本规则指定的给予—请求—接收—反馈—重订路径路由。</x:v>
      </x:c>
      <x:c r="O438" s="46" t="str">
        <x:v>近位、远位只修正该交换需求进入亲密关系核心的可能；不得据此判断具体伴侣现实中一定配合。</x:v>
      </x:c>
      <x:c r="P438" s="46" t="str">
        <x:v>根气只修正用户交换需求和通道是否稳定重复，不等于双方已形成成熟互惠。</x:v>
      </x:c>
      <x:c r="Q438" s="46" t="str">
        <x:v>旺弱只修正通道调用强度、抢位或缺位风险，不直接等于交换公平或关系质量。</x:v>
      </x:c>
      <x:c r="R438" s="46" t="str">
        <x:v>喜忌只修正调用顺畅度与摩擦，不可直接翻译为理想伴侣五行、十神或必然互补。</x:v>
      </x:c>
      <x:c r="S438" s="46" t="str">
        <x:v>真合化成立时按化神功能重算用户交换需求；合化争议时停止细化交换通道。</x:v>
      </x:c>
      <x:c r="T438" s="46" t="str">
        <x:v>近位提高该交换议题进入关系核心的可能；远位只保留背景或阶段性观察。</x:v>
      </x:c>
      <x:c r="U438" s="46" t="str">
        <x:v>82</x:v>
      </x:c>
      <x:c r="V438" s="46" t="str">
        <x:v>XR03 +30</x:v>
      </x:c>
      <x:c r="W438" s="46" t="str">
        <x:v>exchange_state</x:v>
      </x:c>
      <x:c r="X438" s="46" t="str">
        <x:v>无限期等待不得进入。</x:v>
      </x:c>
      <x:c r="Y438" s="46" t="str">
        <x:v>无限期等待不得进入。</x:v>
      </x:c>
      <x:c r="Z43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38" s="46" t="str">
        <x:v>中高</x:v>
      </x:c>
      <x:c r="AB438" s="46" t="str">
        <x:v>待验证</x:v>
      </x:c>
      <x:c r="AC438" s="46" t="str"/>
      <x:c r="AD438" s="46" t="str">
        <x:v>scoring_reporting=true; provisional=true; rule_group=EXCHANGE-评分报告</x:v>
      </x:c>
      <x:c r="AE438" s="46" t="str">
        <x:v>0.4</x:v>
      </x:c>
    </x:row>
    <x:row r="439" ht="50" customHeight="1">
      <x:c r="A439" s="46" t="str">
        <x:v>M5-EXCHANGE-438</x:v>
      </x:c>
      <x:c r="B439" s="46" t="str">
        <x:v>交换状态XR04门槛</x:v>
      </x:c>
      <x:c r="C439" s="46" t="str">
        <x:v>L10 评分、报告与校准</x:v>
      </x:c>
      <x:c r="D439" s="46" t="str">
        <x:v>EXCHANGE-评分报告</x:v>
      </x:c>
      <x:c r="E439" s="46" t="str">
        <x:v>通用</x:v>
      </x:c>
      <x:c r="F439" s="46" t="str">
        <x:v>评分</x:v>
      </x:c>
      <x:c r="G439" s="46" t="str">
        <x:v>交换状态XR04门槛</x:v>
      </x:c>
      <x:c r="H439" s="46" t="str"/>
      <x:c r="I439" s="46" t="str">
        <x:v>XV3以上，成立条件和失效点明确。</x:v>
      </x:c>
      <x:c r="J439" s="46" t="str">
        <x:v>PR0安全门控未通过时停止普通评分。</x:v>
      </x:c>
      <x:c r="K439" s="46" t="str">
        <x:v>由共享基础引擎、M3与M5-BASE提供；只修正用户怎样给予、请求、接收和回馈，不直接判断双方现实交换质量。</x:v>
      </x:c>
      <x:c r="L439" s="46" t="str">
        <x:v>M2只说明进入关系所需资格证据；不能替代长期双向交换、负荷与修复验证。</x:v>
      </x:c>
      <x:c r="M439" s="46" t="str">
        <x:v>M3-BASE、EXPR、CARE和BOUND提供用户自然互动通道；M5-EXCHANGE负责把两人的实际行为合成为交换结构。</x:v>
      </x:c>
      <x:c r="N439" s="46" t="str">
        <x:v>无／按本规则指定的给予—请求—接收—反馈—重订路径路由。</x:v>
      </x:c>
      <x:c r="O439" s="46" t="str">
        <x:v>近位、远位只修正该交换需求进入亲密关系核心的可能；不得据此判断具体伴侣现实中一定配合。</x:v>
      </x:c>
      <x:c r="P439" s="46" t="str">
        <x:v>根气只修正用户交换需求和通道是否稳定重复，不等于双方已形成成熟互惠。</x:v>
      </x:c>
      <x:c r="Q439" s="46" t="str">
        <x:v>旺弱只修正通道调用强度、抢位或缺位风险，不直接等于交换公平或关系质量。</x:v>
      </x:c>
      <x:c r="R439" s="46" t="str">
        <x:v>喜忌只修正调用顺畅度与摩擦，不可直接翻译为理想伴侣五行、十神或必然互补。</x:v>
      </x:c>
      <x:c r="S439" s="46" t="str">
        <x:v>真合化成立时按化神功能重算用户交换需求；合化争议时停止细化交换通道。</x:v>
      </x:c>
      <x:c r="T439" s="46" t="str">
        <x:v>近位提高该交换议题进入关系核心的可能；远位只保留背景或阶段性观察。</x:v>
      </x:c>
      <x:c r="U439" s="46" t="str">
        <x:v>82</x:v>
      </x:c>
      <x:c r="V439" s="46" t="str">
        <x:v>XR04 +24</x:v>
      </x:c>
      <x:c r="W439" s="46" t="str">
        <x:v>exchange_state</x:v>
      </x:c>
      <x:c r="X439" s="46" t="str">
        <x:v>必须写条件性，不得泛化。</x:v>
      </x:c>
      <x:c r="Y439" s="46" t="str">
        <x:v>必须写条件性，不得泛化。</x:v>
      </x:c>
      <x:c r="Z43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39" s="46" t="str">
        <x:v>中高</x:v>
      </x:c>
      <x:c r="AB439" s="46" t="str">
        <x:v>待验证</x:v>
      </x:c>
      <x:c r="AC439" s="46" t="str"/>
      <x:c r="AD439" s="46" t="str">
        <x:v>scoring_reporting=true; provisional=true; rule_group=EXCHANGE-评分报告</x:v>
      </x:c>
      <x:c r="AE439" s="46" t="str">
        <x:v>0.4</x:v>
      </x:c>
    </x:row>
    <x:row r="440" ht="50" customHeight="1">
      <x:c r="A440" s="46" t="str">
        <x:v>M5-EXCHANGE-439</x:v>
      </x:c>
      <x:c r="B440" s="46" t="str">
        <x:v>XR05单向可见门槛</x:v>
      </x:c>
      <x:c r="C440" s="46" t="str">
        <x:v>L10 评分、报告与校准</x:v>
      </x:c>
      <x:c r="D440" s="46" t="str">
        <x:v>EXCHANGE-评分报告</x:v>
      </x:c>
      <x:c r="E440" s="46" t="str">
        <x:v>通用</x:v>
      </x:c>
      <x:c r="F440" s="46" t="str">
        <x:v>评分</x:v>
      </x:c>
      <x:c r="G440" s="46" t="str">
        <x:v>XR05单向可见门槛</x:v>
      </x:c>
      <x:c r="H440" s="46" t="str"/>
      <x:c r="I440" s="46" t="str">
        <x:v>XV1—XV2且只有一侧资料，ED01未完成。</x:v>
      </x:c>
      <x:c r="J440" s="46" t="str">
        <x:v>PR0安全门控未通过时停止普通评分。</x:v>
      </x:c>
      <x:c r="K440" s="46" t="str">
        <x:v>由共享基础引擎、M3与M5-BASE提供；只修正用户怎样给予、请求、接收和回馈，不直接判断双方现实交换质量。</x:v>
      </x:c>
      <x:c r="L440" s="46" t="str">
        <x:v>M2只说明进入关系所需资格证据；不能替代长期双向交换、负荷与修复验证。</x:v>
      </x:c>
      <x:c r="M440" s="46" t="str">
        <x:v>M3-BASE、EXPR、CARE和BOUND提供用户自然互动通道；M5-EXCHANGE负责把两人的实际行为合成为交换结构。</x:v>
      </x:c>
      <x:c r="N440" s="46" t="str">
        <x:v>无／按本规则指定的给予—请求—接收—反馈—重订路径路由。</x:v>
      </x:c>
      <x:c r="O440" s="46" t="str">
        <x:v>近位、远位只修正该交换需求进入亲密关系核心的可能；不得据此判断具体伴侣现实中一定配合。</x:v>
      </x:c>
      <x:c r="P440" s="46" t="str">
        <x:v>根气只修正用户交换需求和通道是否稳定重复，不等于双方已形成成熟互惠。</x:v>
      </x:c>
      <x:c r="Q440" s="46" t="str">
        <x:v>旺弱只修正通道调用强度、抢位或缺位风险，不直接等于交换公平或关系质量。</x:v>
      </x:c>
      <x:c r="R440" s="46" t="str">
        <x:v>喜忌只修正调用顺畅度与摩擦，不可直接翻译为理想伴侣五行、十神或必然互补。</x:v>
      </x:c>
      <x:c r="S440" s="46" t="str">
        <x:v>真合化成立时按化神功能重算用户交换需求；合化争议时停止细化交换通道。</x:v>
      </x:c>
      <x:c r="T440" s="46" t="str">
        <x:v>近位提高该交换议题进入关系核心的可能；远位只保留背景或阶段性观察。</x:v>
      </x:c>
      <x:c r="U440" s="46" t="str">
        <x:v>82</x:v>
      </x:c>
      <x:c r="V440" s="46" t="str">
        <x:v>XR05 路由</x:v>
      </x:c>
      <x:c r="W440" s="46" t="str">
        <x:v>exchange_state</x:v>
      </x:c>
      <x:c r="X440" s="46" t="str">
        <x:v>不得直接升级长期单向。</x:v>
      </x:c>
      <x:c r="Y440" s="46" t="str">
        <x:v>不得直接升级长期单向。</x:v>
      </x:c>
      <x:c r="Z44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40" s="46" t="str">
        <x:v>中高</x:v>
      </x:c>
      <x:c r="AB440" s="46" t="str">
        <x:v>待验证</x:v>
      </x:c>
      <x:c r="AC440" s="46" t="str"/>
      <x:c r="AD440" s="46" t="str">
        <x:v>scoring_reporting=true; provisional=true; rule_group=EXCHANGE-评分报告</x:v>
      </x:c>
      <x:c r="AE440" s="46" t="str">
        <x:v>0.4</x:v>
      </x:c>
    </x:row>
    <x:row r="441" ht="50" customHeight="1">
      <x:c r="A441" s="46" t="str">
        <x:v>M5-EXCHANGE-440</x:v>
      </x:c>
      <x:c r="B441" s="46" t="str">
        <x:v>XR06补偿替代门槛</x:v>
      </x:c>
      <x:c r="C441" s="46" t="str">
        <x:v>L10 评分、报告与校准</x:v>
      </x:c>
      <x:c r="D441" s="46" t="str">
        <x:v>EXCHANGE-评分报告</x:v>
      </x:c>
      <x:c r="E441" s="46" t="str">
        <x:v>通用</x:v>
      </x:c>
      <x:c r="F441" s="46" t="str">
        <x:v>评分</x:v>
      </x:c>
      <x:c r="G441" s="46" t="str">
        <x:v>XR06补偿替代门槛</x:v>
      </x:c>
      <x:c r="H441" s="46" t="str"/>
      <x:c r="I441" s="46" t="str">
        <x:v>M4 K03/K06或EB09现实成立，提供功能与缺失功能不同。</x:v>
      </x:c>
      <x:c r="J441" s="46" t="str">
        <x:v>PR0安全门控未通过时停止普通评分。</x:v>
      </x:c>
      <x:c r="K441" s="46" t="str">
        <x:v>由共享基础引擎、M3与M5-BASE提供；只修正用户怎样给予、请求、接收和回馈，不直接判断双方现实交换质量。</x:v>
      </x:c>
      <x:c r="L441" s="46" t="str">
        <x:v>M2只说明进入关系所需资格证据；不能替代长期双向交换、负荷与修复验证。</x:v>
      </x:c>
      <x:c r="M441" s="46" t="str">
        <x:v>M3-BASE、EXPR、CARE和BOUND提供用户自然互动通道；M5-EXCHANGE负责把两人的实际行为合成为交换结构。</x:v>
      </x:c>
      <x:c r="N441" s="46" t="str">
        <x:v>无／按本规则指定的给予—请求—接收—反馈—重订路径路由。</x:v>
      </x:c>
      <x:c r="O441" s="46" t="str">
        <x:v>近位、远位只修正该交换需求进入亲密关系核心的可能；不得据此判断具体伴侣现实中一定配合。</x:v>
      </x:c>
      <x:c r="P441" s="46" t="str">
        <x:v>根气只修正用户交换需求和通道是否稳定重复，不等于双方已形成成熟互惠。</x:v>
      </x:c>
      <x:c r="Q441" s="46" t="str">
        <x:v>旺弱只修正通道调用强度、抢位或缺位风险，不直接等于交换公平或关系质量。</x:v>
      </x:c>
      <x:c r="R441" s="46" t="str">
        <x:v>喜忌只修正调用顺畅度与摩擦，不可直接翻译为理想伴侣五行、十神或必然互补。</x:v>
      </x:c>
      <x:c r="S441" s="46" t="str">
        <x:v>真合化成立时按化神功能重算用户交换需求；合化争议时停止细化交换通道。</x:v>
      </x:c>
      <x:c r="T441" s="46" t="str">
        <x:v>近位提高该交换议题进入关系核心的可能；远位只保留背景或阶段性观察。</x:v>
      </x:c>
      <x:c r="U441" s="46" t="str">
        <x:v>82</x:v>
      </x:c>
      <x:c r="V441" s="46" t="str">
        <x:v>XR06 +24</x:v>
      </x:c>
      <x:c r="W441" s="46" t="str">
        <x:v>exchange_state</x:v>
      </x:c>
      <x:c r="X441" s="46" t="str">
        <x:v>分别保留贡献与缺口。</x:v>
      </x:c>
      <x:c r="Y441" s="46" t="str">
        <x:v>分别保留贡献与缺口。</x:v>
      </x:c>
      <x:c r="Z44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41" s="46" t="str">
        <x:v>中高</x:v>
      </x:c>
      <x:c r="AB441" s="46" t="str">
        <x:v>待验证</x:v>
      </x:c>
      <x:c r="AC441" s="46" t="str"/>
      <x:c r="AD441" s="46" t="str">
        <x:v>scoring_reporting=true; provisional=true; rule_group=EXCHANGE-评分报告</x:v>
      </x:c>
      <x:c r="AE441" s="46" t="str">
        <x:v>0.4</x:v>
      </x:c>
    </x:row>
    <x:row r="442" ht="50" customHeight="1">
      <x:c r="A442" s="46" t="str">
        <x:v>M5-EXCHANGE-441</x:v>
      </x:c>
      <x:c r="B442" s="46" t="str">
        <x:v>XR07长期单方负荷门槛</x:v>
      </x:c>
      <x:c r="C442" s="46" t="str">
        <x:v>L10 评分、报告与校准</x:v>
      </x:c>
      <x:c r="D442" s="46" t="str">
        <x:v>EXCHANGE-评分报告</x:v>
      </x:c>
      <x:c r="E442" s="46" t="str">
        <x:v>通用</x:v>
      </x:c>
      <x:c r="F442" s="46" t="str">
        <x:v>评分</x:v>
      </x:c>
      <x:c r="G442" s="46" t="str">
        <x:v>XR07长期单方负荷门槛</x:v>
      </x:c>
      <x:c r="H442" s="46" t="str"/>
      <x:c r="I442" s="46" t="str">
        <x:v>XV4以上，调整请求出现后仍无回流，ED07/ED09失败且现实反例支持。</x:v>
      </x:c>
      <x:c r="J442" s="46" t="str">
        <x:v>PR0安全门控未通过时停止普通评分。</x:v>
      </x:c>
      <x:c r="K442" s="46" t="str">
        <x:v>由共享基础引擎、M3与M5-BASE提供；只修正用户怎样给予、请求、接收和回馈，不直接判断双方现实交换质量。</x:v>
      </x:c>
      <x:c r="L442" s="46" t="str">
        <x:v>M2只说明进入关系所需资格证据；不能替代长期双向交换、负荷与修复验证。</x:v>
      </x:c>
      <x:c r="M442" s="46" t="str">
        <x:v>M3-BASE、EXPR、CARE和BOUND提供用户自然互动通道；M5-EXCHANGE负责把两人的实际行为合成为交换结构。</x:v>
      </x:c>
      <x:c r="N442" s="46" t="str">
        <x:v>无／按本规则指定的给予—请求—接收—反馈—重订路径路由。</x:v>
      </x:c>
      <x:c r="O442" s="46" t="str">
        <x:v>近位、远位只修正该交换需求进入亲密关系核心的可能；不得据此判断具体伴侣现实中一定配合。</x:v>
      </x:c>
      <x:c r="P442" s="46" t="str">
        <x:v>根气只修正用户交换需求和通道是否稳定重复，不等于双方已形成成熟互惠。</x:v>
      </x:c>
      <x:c r="Q442" s="46" t="str">
        <x:v>旺弱只修正通道调用强度、抢位或缺位风险，不直接等于交换公平或关系质量。</x:v>
      </x:c>
      <x:c r="R442" s="46" t="str">
        <x:v>喜忌只修正调用顺畅度与摩擦，不可直接翻译为理想伴侣五行、十神或必然互补。</x:v>
      </x:c>
      <x:c r="S442" s="46" t="str">
        <x:v>真合化成立时按化神功能重算用户交换需求；合化争议时停止细化交换通道。</x:v>
      </x:c>
      <x:c r="T442" s="46" t="str">
        <x:v>近位提高该交换议题进入关系核心的可能；远位只保留背景或阶段性观察。</x:v>
      </x:c>
      <x:c r="U442" s="46" t="str">
        <x:v>82</x:v>
      </x:c>
      <x:c r="V442" s="46" t="str">
        <x:v>XR07 +38</x:v>
      </x:c>
      <x:c r="W442" s="46" t="str">
        <x:v>exchange_state</x:v>
      </x:c>
      <x:c r="X442" s="46" t="str">
        <x:v>安全和权力问题优先。</x:v>
      </x:c>
      <x:c r="Y442" s="46" t="str">
        <x:v>安全和权力问题优先。</x:v>
      </x:c>
      <x:c r="Z44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42" s="46" t="str">
        <x:v>中高</x:v>
      </x:c>
      <x:c r="AB442" s="46" t="str">
        <x:v>待验证</x:v>
      </x:c>
      <x:c r="AC442" s="46" t="str"/>
      <x:c r="AD442" s="46" t="str">
        <x:v>scoring_reporting=true; provisional=true; rule_group=EXCHANGE-评分报告</x:v>
      </x:c>
      <x:c r="AE442" s="46" t="str">
        <x:v>0.4</x:v>
      </x:c>
    </x:row>
    <x:row r="443" ht="50" customHeight="1">
      <x:c r="A443" s="46" t="str">
        <x:v>M5-EXCHANGE-442</x:v>
      </x:c>
      <x:c r="B443" s="46" t="str">
        <x:v>XR08未定停止</x:v>
      </x:c>
      <x:c r="C443" s="46" t="str">
        <x:v>L10 评分、报告与校准</x:v>
      </x:c>
      <x:c r="D443" s="46" t="str">
        <x:v>EXCHANGE-评分报告</x:v>
      </x:c>
      <x:c r="E443" s="46" t="str">
        <x:v>通用</x:v>
      </x:c>
      <x:c r="F443" s="46" t="str">
        <x:v>停止</x:v>
      </x:c>
      <x:c r="G443" s="46" t="str">
        <x:v>XR08未定停止</x:v>
      </x:c>
      <x:c r="H443" s="46" t="str"/>
      <x:c r="I443" s="46" t="str">
        <x:v>XV0—XV1、资料矛盾、合化争议或安全门控。</x:v>
      </x:c>
      <x:c r="J443" s="46" t="str">
        <x:v>无</x:v>
      </x:c>
      <x:c r="K443" s="46" t="str">
        <x:v>由共享基础引擎、M3与M5-BASE提供；只修正用户怎样给予、请求、接收和回馈，不直接判断双方现实交换质量。</x:v>
      </x:c>
      <x:c r="L443" s="46" t="str">
        <x:v>M2只说明进入关系所需资格证据；不能替代长期双向交换、负荷与修复验证。</x:v>
      </x:c>
      <x:c r="M443" s="46" t="str">
        <x:v>M3-BASE、EXPR、CARE和BOUND提供用户自然互动通道；M5-EXCHANGE负责把两人的实际行为合成为交换结构。</x:v>
      </x:c>
      <x:c r="N443" s="46" t="str">
        <x:v>无／按本规则指定的给予—请求—接收—反馈—重订路径路由。</x:v>
      </x:c>
      <x:c r="O443" s="46" t="str">
        <x:v>近位、远位只修正该交换需求进入亲密关系核心的可能；不得据此判断具体伴侣现实中一定配合。</x:v>
      </x:c>
      <x:c r="P443" s="46" t="str">
        <x:v>根气只修正用户交换需求和通道是否稳定重复，不等于双方已形成成熟互惠。</x:v>
      </x:c>
      <x:c r="Q443" s="46" t="str">
        <x:v>旺弱只修正通道调用强度、抢位或缺位风险，不直接等于交换公平或关系质量。</x:v>
      </x:c>
      <x:c r="R443" s="46" t="str">
        <x:v>喜忌只修正调用顺畅度与摩擦，不可直接翻译为理想伴侣五行、十神或必然互补。</x:v>
      </x:c>
      <x:c r="S443" s="46" t="str">
        <x:v>真合化成立时按化神功能重算用户交换需求；合化争议时停止细化交换通道。</x:v>
      </x:c>
      <x:c r="T443" s="46" t="str">
        <x:v>近位提高该交换议题进入关系核心的可能；远位只保留背景或阶段性观察。</x:v>
      </x:c>
      <x:c r="U443" s="46" t="str">
        <x:v>98</x:v>
      </x:c>
      <x:c r="V443" s="46" t="str">
        <x:v>停止／回退</x:v>
      </x:c>
      <x:c r="W443" s="46" t="str">
        <x:v>report_status</x:v>
      </x:c>
      <x:c r="X443" s="46" t="str">
        <x:v>只输出观察计划。</x:v>
      </x:c>
      <x:c r="Y443" s="46" t="str">
        <x:v>只输出观察计划。</x:v>
      </x:c>
      <x:c r="Z44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43" s="46" t="str">
        <x:v>高</x:v>
      </x:c>
      <x:c r="AB443" s="46" t="str">
        <x:v>待验证</x:v>
      </x:c>
      <x:c r="AC443" s="46" t="str"/>
      <x:c r="AD443" s="46" t="str">
        <x:v>scoring_reporting=true; provisional=true; rule_group=EXCHANGE-评分报告</x:v>
      </x:c>
      <x:c r="AE443" s="46" t="str">
        <x:v>0.4</x:v>
      </x:c>
    </x:row>
    <x:row r="444" ht="50" customHeight="1">
      <x:c r="A444" s="46" t="str">
        <x:v>M5-EXCHANGE-443</x:v>
      </x:c>
      <x:c r="B444" s="46" t="str">
        <x:v>XV0—XV1发布上限</x:v>
      </x:c>
      <x:c r="C444" s="46" t="str">
        <x:v>L10 评分、报告与校准</x:v>
      </x:c>
      <x:c r="D444" s="46" t="str">
        <x:v>EXCHANGE-评分报告</x:v>
      </x:c>
      <x:c r="E444" s="46" t="str">
        <x:v>通用</x:v>
      </x:c>
      <x:c r="F444" s="46" t="str">
        <x:v>边界</x:v>
      </x:c>
      <x:c r="G444" s="46" t="str">
        <x:v>XV0—XV1发布上限</x:v>
      </x:c>
      <x:c r="H444" s="46" t="str"/>
      <x:c r="I444" s="46" t="str">
        <x:v>只有需求、标签或单方自述。</x:v>
      </x:c>
      <x:c r="J444" s="46" t="str">
        <x:v>PR0安全门控未通过时停止普通评分。</x:v>
      </x:c>
      <x:c r="K444" s="46" t="str">
        <x:v>由共享基础引擎、M3与M5-BASE提供；只修正用户怎样给予、请求、接收和回馈，不直接判断双方现实交换质量。</x:v>
      </x:c>
      <x:c r="L444" s="46" t="str">
        <x:v>M2只说明进入关系所需资格证据；不能替代长期双向交换、负荷与修复验证。</x:v>
      </x:c>
      <x:c r="M444" s="46" t="str">
        <x:v>M3-BASE、EXPR、CARE和BOUND提供用户自然互动通道；M5-EXCHANGE负责把两人的实际行为合成为交换结构。</x:v>
      </x:c>
      <x:c r="N444" s="46" t="str">
        <x:v>无／按本规则指定的给予—请求—接收—反馈—重订路径路由。</x:v>
      </x:c>
      <x:c r="O444" s="46" t="str">
        <x:v>近位、远位只修正该交换需求进入亲密关系核心的可能；不得据此判断具体伴侣现实中一定配合。</x:v>
      </x:c>
      <x:c r="P444" s="46" t="str">
        <x:v>根气只修正用户交换需求和通道是否稳定重复，不等于双方已形成成熟互惠。</x:v>
      </x:c>
      <x:c r="Q444" s="46" t="str">
        <x:v>旺弱只修正通道调用强度、抢位或缺位风险，不直接等于交换公平或关系质量。</x:v>
      </x:c>
      <x:c r="R444" s="46" t="str">
        <x:v>喜忌只修正调用顺畅度与摩擦，不可直接翻译为理想伴侣五行、十神或必然互补。</x:v>
      </x:c>
      <x:c r="S444" s="46" t="str">
        <x:v>真合化成立时按化神功能重算用户交换需求；合化争议时停止细化交换通道。</x:v>
      </x:c>
      <x:c r="T444" s="46" t="str">
        <x:v>近位提高该交换议题进入关系核心的可能；远位只保留背景或阶段性观察。</x:v>
      </x:c>
      <x:c r="U444" s="46" t="str">
        <x:v>98</x:v>
      </x:c>
      <x:c r="V444" s="46" t="str">
        <x:v>不加分</x:v>
      </x:c>
      <x:c r="W444" s="46" t="str">
        <x:v>exchange_evidence_level</x:v>
      </x:c>
      <x:c r="X444" s="46" t="str">
        <x:v>不得判断稳定、失衡或公平。</x:v>
      </x:c>
      <x:c r="Y444" s="46" t="str">
        <x:v>不得判断稳定、失衡或公平。</x:v>
      </x:c>
      <x:c r="Z44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44" s="46" t="str">
        <x:v>高</x:v>
      </x:c>
      <x:c r="AB444" s="46" t="str">
        <x:v>待验证</x:v>
      </x:c>
      <x:c r="AC444" s="46" t="str"/>
      <x:c r="AD444" s="46" t="str">
        <x:v>scoring_reporting=true; provisional=true; rule_group=EXCHANGE-评分报告</x:v>
      </x:c>
      <x:c r="AE444" s="46" t="str">
        <x:v>0.4</x:v>
      </x:c>
    </x:row>
    <x:row r="445" ht="50" customHeight="1">
      <x:c r="A445" s="46" t="str">
        <x:v>M5-EXCHANGE-444</x:v>
      </x:c>
      <x:c r="B445" s="46" t="str">
        <x:v>XV2单次事件上限</x:v>
      </x:c>
      <x:c r="C445" s="46" t="str">
        <x:v>L10 评分、报告与校准</x:v>
      </x:c>
      <x:c r="D445" s="46" t="str">
        <x:v>EXCHANGE-评分报告</x:v>
      </x:c>
      <x:c r="E445" s="46" t="str">
        <x:v>通用</x:v>
      </x:c>
      <x:c r="F445" s="46" t="str">
        <x:v>边界</x:v>
      </x:c>
      <x:c r="G445" s="46" t="str">
        <x:v>XV2单次事件上限</x:v>
      </x:c>
      <x:c r="H445" s="46" t="str"/>
      <x:c r="I445" s="46" t="str">
        <x:v>只有一个完整交换事件。</x:v>
      </x:c>
      <x:c r="J445" s="46" t="str">
        <x:v>PR0安全门控未通过时停止普通评分。</x:v>
      </x:c>
      <x:c r="K445" s="46" t="str">
        <x:v>由共享基础引擎、M3与M5-BASE提供；只修正用户怎样给予、请求、接收和回馈，不直接判断双方现实交换质量。</x:v>
      </x:c>
      <x:c r="L445" s="46" t="str">
        <x:v>M2只说明进入关系所需资格证据；不能替代长期双向交换、负荷与修复验证。</x:v>
      </x:c>
      <x:c r="M445" s="46" t="str">
        <x:v>M3-BASE、EXPR、CARE和BOUND提供用户自然互动通道；M5-EXCHANGE负责把两人的实际行为合成为交换结构。</x:v>
      </x:c>
      <x:c r="N445" s="46" t="str">
        <x:v>无／按本规则指定的给予—请求—接收—反馈—重订路径路由。</x:v>
      </x:c>
      <x:c r="O445" s="46" t="str">
        <x:v>近位、远位只修正该交换需求进入亲密关系核心的可能；不得据此判断具体伴侣现实中一定配合。</x:v>
      </x:c>
      <x:c r="P445" s="46" t="str">
        <x:v>根气只修正用户交换需求和通道是否稳定重复，不等于双方已形成成熟互惠。</x:v>
      </x:c>
      <x:c r="Q445" s="46" t="str">
        <x:v>旺弱只修正通道调用强度、抢位或缺位风险，不直接等于交换公平或关系质量。</x:v>
      </x:c>
      <x:c r="R445" s="46" t="str">
        <x:v>喜忌只修正调用顺畅度与摩擦，不可直接翻译为理想伴侣五行、十神或必然互补。</x:v>
      </x:c>
      <x:c r="S445" s="46" t="str">
        <x:v>真合化成立时按化神功能重算用户交换需求；合化争议时停止细化交换通道。</x:v>
      </x:c>
      <x:c r="T445" s="46" t="str">
        <x:v>近位提高该交换议题进入关系核心的可能；远位只保留背景或阶段性观察。</x:v>
      </x:c>
      <x:c r="U445" s="46" t="str">
        <x:v>98</x:v>
      </x:c>
      <x:c r="V445" s="46" t="str">
        <x:v>不加分</x:v>
      </x:c>
      <x:c r="W445" s="46" t="str">
        <x:v>exchange_evidence_level</x:v>
      </x:c>
      <x:c r="X445" s="46" t="str">
        <x:v>只能描述这一次怎样运行。</x:v>
      </x:c>
      <x:c r="Y445" s="46" t="str">
        <x:v>只能描述这一次怎样运行。</x:v>
      </x:c>
      <x:c r="Z44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45" s="46" t="str">
        <x:v>高</x:v>
      </x:c>
      <x:c r="AB445" s="46" t="str">
        <x:v>待验证</x:v>
      </x:c>
      <x:c r="AC445" s="46" t="str"/>
      <x:c r="AD445" s="46" t="str">
        <x:v>scoring_reporting=true; provisional=true; rule_group=EXCHANGE-评分报告</x:v>
      </x:c>
      <x:c r="AE445" s="46" t="str">
        <x:v>0.4</x:v>
      </x:c>
    </x:row>
    <x:row r="446" ht="50" customHeight="1">
      <x:c r="A446" s="46" t="str">
        <x:v>M5-EXCHANGE-445</x:v>
      </x:c>
      <x:c r="B446" s="46" t="str">
        <x:v>XV3同领域重复加权</x:v>
      </x:c>
      <x:c r="C446" s="46" t="str">
        <x:v>L10 评分、报告与校准</x:v>
      </x:c>
      <x:c r="D446" s="46" t="str">
        <x:v>EXCHANGE-评分报告</x:v>
      </x:c>
      <x:c r="E446" s="46" t="str">
        <x:v>通用</x:v>
      </x:c>
      <x:c r="F446" s="46" t="str">
        <x:v>评分</x:v>
      </x:c>
      <x:c r="G446" s="46" t="str">
        <x:v>XV3同领域重复加权</x:v>
      </x:c>
      <x:c r="H446" s="46" t="str"/>
      <x:c r="I446" s="46" t="str">
        <x:v>同一XD领域多次出现相似结构。</x:v>
      </x:c>
      <x:c r="J446" s="46" t="str">
        <x:v>PR0安全门控未通过时停止普通评分。</x:v>
      </x:c>
      <x:c r="K446" s="46" t="str">
        <x:v>由共享基础引擎、M3与M5-BASE提供；只修正用户怎样给予、请求、接收和回馈，不直接判断双方现实交换质量。</x:v>
      </x:c>
      <x:c r="L446" s="46" t="str">
        <x:v>M2只说明进入关系所需资格证据；不能替代长期双向交换、负荷与修复验证。</x:v>
      </x:c>
      <x:c r="M446" s="46" t="str">
        <x:v>M3-BASE、EXPR、CARE和BOUND提供用户自然互动通道；M5-EXCHANGE负责把两人的实际行为合成为交换结构。</x:v>
      </x:c>
      <x:c r="N446" s="46" t="str">
        <x:v>无／按本规则指定的给予—请求—接收—反馈—重订路径路由。</x:v>
      </x:c>
      <x:c r="O446" s="46" t="str">
        <x:v>近位、远位只修正该交换需求进入亲密关系核心的可能；不得据此判断具体伴侣现实中一定配合。</x:v>
      </x:c>
      <x:c r="P446" s="46" t="str">
        <x:v>根气只修正用户交换需求和通道是否稳定重复，不等于双方已形成成熟互惠。</x:v>
      </x:c>
      <x:c r="Q446" s="46" t="str">
        <x:v>旺弱只修正通道调用强度、抢位或缺位风险，不直接等于交换公平或关系质量。</x:v>
      </x:c>
      <x:c r="R446" s="46" t="str">
        <x:v>喜忌只修正调用顺畅度与摩擦，不可直接翻译为理想伴侣五行、十神或必然互补。</x:v>
      </x:c>
      <x:c r="S446" s="46" t="str">
        <x:v>真合化成立时按化神功能重算用户交换需求；合化争议时停止细化交换通道。</x:v>
      </x:c>
      <x:c r="T446" s="46" t="str">
        <x:v>近位提高该交换议题进入关系核心的可能；远位只保留背景或阶段性观察。</x:v>
      </x:c>
      <x:c r="U446" s="46" t="str">
        <x:v>82</x:v>
      </x:c>
      <x:c r="V446" s="46" t="str">
        <x:v>+8</x:v>
      </x:c>
      <x:c r="W446" s="46" t="str">
        <x:v>exchange_evidence_level</x:v>
      </x:c>
      <x:c r="X446" s="46" t="str">
        <x:v>只能建立领域内候选。</x:v>
      </x:c>
      <x:c r="Y446" s="46" t="str">
        <x:v>只能建立领域内候选。</x:v>
      </x:c>
      <x:c r="Z44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46" s="46" t="str">
        <x:v>中高</x:v>
      </x:c>
      <x:c r="AB446" s="46" t="str">
        <x:v>待验证</x:v>
      </x:c>
      <x:c r="AC446" s="46" t="str"/>
      <x:c r="AD446" s="46" t="str">
        <x:v>scoring_reporting=true; provisional=true; rule_group=EXCHANGE-评分报告</x:v>
      </x:c>
      <x:c r="AE446" s="46" t="str">
        <x:v>0.4</x:v>
      </x:c>
    </x:row>
    <x:row r="447" ht="50" customHeight="1">
      <x:c r="A447" s="46" t="str">
        <x:v>M5-EXCHANGE-446</x:v>
      </x:c>
      <x:c r="B447" s="46" t="str">
        <x:v>XV4跨领域一致加权</x:v>
      </x:c>
      <x:c r="C447" s="46" t="str">
        <x:v>L10 评分、报告与校准</x:v>
      </x:c>
      <x:c r="D447" s="46" t="str">
        <x:v>EXCHANGE-评分报告</x:v>
      </x:c>
      <x:c r="E447" s="46" t="str">
        <x:v>通用</x:v>
      </x:c>
      <x:c r="F447" s="46" t="str">
        <x:v>评分</x:v>
      </x:c>
      <x:c r="G447" s="46" t="str">
        <x:v>XV4跨领域一致加权</x:v>
      </x:c>
      <x:c r="H447" s="46" t="str"/>
      <x:c r="I447" s="46" t="str">
        <x:v>至少两个XD领域保持相似交换结构。</x:v>
      </x:c>
      <x:c r="J447" s="46" t="str">
        <x:v>PR0安全门控未通过时停止普通评分。</x:v>
      </x:c>
      <x:c r="K447" s="46" t="str">
        <x:v>由共享基础引擎、M3与M5-BASE提供；只修正用户怎样给予、请求、接收和回馈，不直接判断双方现实交换质量。</x:v>
      </x:c>
      <x:c r="L447" s="46" t="str">
        <x:v>M2只说明进入关系所需资格证据；不能替代长期双向交换、负荷与修复验证。</x:v>
      </x:c>
      <x:c r="M447" s="46" t="str">
        <x:v>M3-BASE、EXPR、CARE和BOUND提供用户自然互动通道；M5-EXCHANGE负责把两人的实际行为合成为交换结构。</x:v>
      </x:c>
      <x:c r="N447" s="46" t="str">
        <x:v>无／按本规则指定的给予—请求—接收—反馈—重订路径路由。</x:v>
      </x:c>
      <x:c r="O447" s="46" t="str">
        <x:v>近位、远位只修正该交换需求进入亲密关系核心的可能；不得据此判断具体伴侣现实中一定配合。</x:v>
      </x:c>
      <x:c r="P447" s="46" t="str">
        <x:v>根气只修正用户交换需求和通道是否稳定重复，不等于双方已形成成熟互惠。</x:v>
      </x:c>
      <x:c r="Q447" s="46" t="str">
        <x:v>旺弱只修正通道调用强度、抢位或缺位风险，不直接等于交换公平或关系质量。</x:v>
      </x:c>
      <x:c r="R447" s="46" t="str">
        <x:v>喜忌只修正调用顺畅度与摩擦，不可直接翻译为理想伴侣五行、十神或必然互补。</x:v>
      </x:c>
      <x:c r="S447" s="46" t="str">
        <x:v>真合化成立时按化神功能重算用户交换需求；合化争议时停止细化交换通道。</x:v>
      </x:c>
      <x:c r="T447" s="46" t="str">
        <x:v>近位提高该交换议题进入关系核心的可能；远位只保留背景或阶段性观察。</x:v>
      </x:c>
      <x:c r="U447" s="46" t="str">
        <x:v>82</x:v>
      </x:c>
      <x:c r="V447" s="46" t="str">
        <x:v>+12</x:v>
      </x:c>
      <x:c r="W447" s="46" t="str">
        <x:v>exchange_evidence_level</x:v>
      </x:c>
      <x:c r="X447" s="46" t="str">
        <x:v>提高XR可靠度。</x:v>
      </x:c>
      <x:c r="Y447" s="46" t="str">
        <x:v>提高XR可靠度。</x:v>
      </x:c>
      <x:c r="Z44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47" s="46" t="str">
        <x:v>中高</x:v>
      </x:c>
      <x:c r="AB447" s="46" t="str">
        <x:v>待验证</x:v>
      </x:c>
      <x:c r="AC447" s="46" t="str"/>
      <x:c r="AD447" s="46" t="str">
        <x:v>scoring_reporting=true; provisional=true; rule_group=EXCHANGE-评分报告</x:v>
      </x:c>
      <x:c r="AE447" s="46" t="str">
        <x:v>0.4</x:v>
      </x:c>
    </x:row>
    <x:row r="448" ht="50" customHeight="1">
      <x:c r="A448" s="46" t="str">
        <x:v>M5-EXCHANGE-447</x:v>
      </x:c>
      <x:c r="B448" s="46" t="str">
        <x:v>XV5压力证据加权</x:v>
      </x:c>
      <x:c r="C448" s="46" t="str">
        <x:v>L10 评分、报告与校准</x:v>
      </x:c>
      <x:c r="D448" s="46" t="str">
        <x:v>EXCHANGE-评分报告</x:v>
      </x:c>
      <x:c r="E448" s="46" t="str">
        <x:v>通用</x:v>
      </x:c>
      <x:c r="F448" s="46" t="str">
        <x:v>评分</x:v>
      </x:c>
      <x:c r="G448" s="46" t="str">
        <x:v>XV5压力证据加权</x:v>
      </x:c>
      <x:c r="H448" s="46" t="str"/>
      <x:c r="I448" s="46" t="str">
        <x:v>高成本、疲劳、疾病或责任压力下仍能协商负荷。</x:v>
      </x:c>
      <x:c r="J448" s="46" t="str">
        <x:v>PR0安全门控未通过时停止普通评分。</x:v>
      </x:c>
      <x:c r="K448" s="46" t="str">
        <x:v>由共享基础引擎、M3与M5-BASE提供；只修正用户怎样给予、请求、接收和回馈，不直接判断双方现实交换质量。</x:v>
      </x:c>
      <x:c r="L448" s="46" t="str">
        <x:v>M2只说明进入关系所需资格证据；不能替代长期双向交换、负荷与修复验证。</x:v>
      </x:c>
      <x:c r="M448" s="46" t="str">
        <x:v>M3-BASE、EXPR、CARE和BOUND提供用户自然互动通道；M5-EXCHANGE负责把两人的实际行为合成为交换结构。</x:v>
      </x:c>
      <x:c r="N448" s="46" t="str">
        <x:v>无／按本规则指定的给予—请求—接收—反馈—重订路径路由。</x:v>
      </x:c>
      <x:c r="O448" s="46" t="str">
        <x:v>近位、远位只修正该交换需求进入亲密关系核心的可能；不得据此判断具体伴侣现实中一定配合。</x:v>
      </x:c>
      <x:c r="P448" s="46" t="str">
        <x:v>根气只修正用户交换需求和通道是否稳定重复，不等于双方已形成成熟互惠。</x:v>
      </x:c>
      <x:c r="Q448" s="46" t="str">
        <x:v>旺弱只修正通道调用强度、抢位或缺位风险，不直接等于交换公平或关系质量。</x:v>
      </x:c>
      <x:c r="R448" s="46" t="str">
        <x:v>喜忌只修正调用顺畅度与摩擦，不可直接翻译为理想伴侣五行、十神或必然互补。</x:v>
      </x:c>
      <x:c r="S448" s="46" t="str">
        <x:v>真合化成立时按化神功能重算用户交换需求；合化争议时停止细化交换通道。</x:v>
      </x:c>
      <x:c r="T448" s="46" t="str">
        <x:v>近位提高该交换议题进入关系核心的可能；远位只保留背景或阶段性观察。</x:v>
      </x:c>
      <x:c r="U448" s="46" t="str">
        <x:v>82</x:v>
      </x:c>
      <x:c r="V448" s="46" t="str">
        <x:v>+14</x:v>
      </x:c>
      <x:c r="W448" s="46" t="str">
        <x:v>stress_exchange_profile</x:v>
      </x:c>
      <x:c r="X448" s="46" t="str">
        <x:v>提高压力交换候选。</x:v>
      </x:c>
      <x:c r="Y448" s="46" t="str">
        <x:v>提高压力交换候选。</x:v>
      </x:c>
      <x:c r="Z44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48" s="46" t="str">
        <x:v>中高</x:v>
      </x:c>
      <x:c r="AB448" s="46" t="str">
        <x:v>待验证</x:v>
      </x:c>
      <x:c r="AC448" s="46" t="str"/>
      <x:c r="AD448" s="46" t="str">
        <x:v>scoring_reporting=true; provisional=true; rule_group=EXCHANGE-评分报告</x:v>
      </x:c>
      <x:c r="AE448" s="46" t="str">
        <x:v>0.4</x:v>
      </x:c>
    </x:row>
    <x:row r="449" ht="50" customHeight="1">
      <x:c r="A449" s="46" t="str">
        <x:v>M5-EXCHANGE-448</x:v>
      </x:c>
      <x:c r="B449" s="46" t="str">
        <x:v>XV6修复重订证据加权</x:v>
      </x:c>
      <x:c r="C449" s="46" t="str">
        <x:v>L10 评分、报告与校准</x:v>
      </x:c>
      <x:c r="D449" s="46" t="str">
        <x:v>EXCHANGE-评分报告</x:v>
      </x:c>
      <x:c r="E449" s="46" t="str">
        <x:v>通用</x:v>
      </x:c>
      <x:c r="F449" s="46" t="str">
        <x:v>评分</x:v>
      </x:c>
      <x:c r="G449" s="46" t="str">
        <x:v>XV6修复重订证据加权</x:v>
      </x:c>
      <x:c r="H449" s="46" t="str"/>
      <x:c r="I449" s="46" t="str">
        <x:v>失衡后能接收反馈、重新分配并持续回访。</x:v>
      </x:c>
      <x:c r="J449" s="46" t="str">
        <x:v>PR0安全门控未通过时停止普通评分。</x:v>
      </x:c>
      <x:c r="K449" s="46" t="str">
        <x:v>由共享基础引擎、M3与M5-BASE提供；只修正用户怎样给予、请求、接收和回馈，不直接判断双方现实交换质量。</x:v>
      </x:c>
      <x:c r="L449" s="46" t="str">
        <x:v>M2只说明进入关系所需资格证据；不能替代长期双向交换、负荷与修复验证。</x:v>
      </x:c>
      <x:c r="M449" s="46" t="str">
        <x:v>M3-BASE、EXPR、CARE和BOUND提供用户自然互动通道；M5-EXCHANGE负责把两人的实际行为合成为交换结构。</x:v>
      </x:c>
      <x:c r="N449" s="46" t="str">
        <x:v>无／按本规则指定的给予—请求—接收—反馈—重订路径路由。</x:v>
      </x:c>
      <x:c r="O449" s="46" t="str">
        <x:v>近位、远位只修正该交换需求进入亲密关系核心的可能；不得据此判断具体伴侣现实中一定配合。</x:v>
      </x:c>
      <x:c r="P449" s="46" t="str">
        <x:v>根气只修正用户交换需求和通道是否稳定重复，不等于双方已形成成熟互惠。</x:v>
      </x:c>
      <x:c r="Q449" s="46" t="str">
        <x:v>旺弱只修正通道调用强度、抢位或缺位风险，不直接等于交换公平或关系质量。</x:v>
      </x:c>
      <x:c r="R449" s="46" t="str">
        <x:v>喜忌只修正调用顺畅度与摩擦，不可直接翻译为理想伴侣五行、十神或必然互补。</x:v>
      </x:c>
      <x:c r="S449" s="46" t="str">
        <x:v>真合化成立时按化神功能重算用户交换需求；合化争议时停止细化交换通道。</x:v>
      </x:c>
      <x:c r="T449" s="46" t="str">
        <x:v>近位提高该交换议题进入关系核心的可能；远位只保留背景或阶段性观察。</x:v>
      </x:c>
      <x:c r="U449" s="46" t="str">
        <x:v>82</x:v>
      </x:c>
      <x:c r="V449" s="46" t="str">
        <x:v>+16</x:v>
      </x:c>
      <x:c r="W449" s="46" t="str">
        <x:v>repair_exchange</x:v>
      </x:c>
      <x:c r="X449" s="46" t="str">
        <x:v>提高修复与重订候选。</x:v>
      </x:c>
      <x:c r="Y449" s="46" t="str">
        <x:v>提高修复与重订候选。</x:v>
      </x:c>
      <x:c r="Z44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49" s="46" t="str">
        <x:v>中高</x:v>
      </x:c>
      <x:c r="AB449" s="46" t="str">
        <x:v>待验证</x:v>
      </x:c>
      <x:c r="AC449" s="46" t="str"/>
      <x:c r="AD449" s="46" t="str">
        <x:v>scoring_reporting=true; provisional=true; rule_group=EXCHANGE-评分报告</x:v>
      </x:c>
      <x:c r="AE449" s="46" t="str">
        <x:v>0.4</x:v>
      </x:c>
    </x:row>
    <x:row r="450" ht="50" customHeight="1">
      <x:c r="A450" s="46" t="str">
        <x:v>M5-EXCHANGE-449</x:v>
      </x:c>
      <x:c r="B450" s="46" t="str">
        <x:v>XV7反例长期检验加权</x:v>
      </x:c>
      <x:c r="C450" s="46" t="str">
        <x:v>L10 评分、报告与校准</x:v>
      </x:c>
      <x:c r="D450" s="46" t="str">
        <x:v>EXCHANGE-评分报告</x:v>
      </x:c>
      <x:c r="E450" s="46" t="str">
        <x:v>通用</x:v>
      </x:c>
      <x:c r="F450" s="46" t="str">
        <x:v>评分</x:v>
      </x:c>
      <x:c r="G450" s="46" t="str">
        <x:v>XV7反例长期检验加权</x:v>
      </x:c>
      <x:c r="H450" s="46" t="str"/>
      <x:c r="I450" s="46" t="str">
        <x:v>复发、角色变化或规则不利时仍能调整。</x:v>
      </x:c>
      <x:c r="J450" s="46" t="str">
        <x:v>PR0安全门控未通过时停止普通评分。</x:v>
      </x:c>
      <x:c r="K450" s="46" t="str">
        <x:v>由共享基础引擎、M3与M5-BASE提供；只修正用户怎样给予、请求、接收和回馈，不直接判断双方现实交换质量。</x:v>
      </x:c>
      <x:c r="L450" s="46" t="str">
        <x:v>M2只说明进入关系所需资格证据；不能替代长期双向交换、负荷与修复验证。</x:v>
      </x:c>
      <x:c r="M450" s="46" t="str">
        <x:v>M3-BASE、EXPR、CARE和BOUND提供用户自然互动通道；M5-EXCHANGE负责把两人的实际行为合成为交换结构。</x:v>
      </x:c>
      <x:c r="N450" s="46" t="str">
        <x:v>无／按本规则指定的给予—请求—接收—反馈—重订路径路由。</x:v>
      </x:c>
      <x:c r="O450" s="46" t="str">
        <x:v>近位、远位只修正该交换需求进入亲密关系核心的可能；不得据此判断具体伴侣现实中一定配合。</x:v>
      </x:c>
      <x:c r="P450" s="46" t="str">
        <x:v>根气只修正用户交换需求和通道是否稳定重复，不等于双方已形成成熟互惠。</x:v>
      </x:c>
      <x:c r="Q450" s="46" t="str">
        <x:v>旺弱只修正通道调用强度、抢位或缺位风险，不直接等于交换公平或关系质量。</x:v>
      </x:c>
      <x:c r="R450" s="46" t="str">
        <x:v>喜忌只修正调用顺畅度与摩擦，不可直接翻译为理想伴侣五行、十神或必然互补。</x:v>
      </x:c>
      <x:c r="S450" s="46" t="str">
        <x:v>真合化成立时按化神功能重算用户交换需求；合化争议时停止细化交换通道。</x:v>
      </x:c>
      <x:c r="T450" s="46" t="str">
        <x:v>近位提高该交换议题进入关系核心的可能；远位只保留背景或阶段性观察。</x:v>
      </x:c>
      <x:c r="U450" s="46" t="str">
        <x:v>82</x:v>
      </x:c>
      <x:c r="V450" s="46" t="str">
        <x:v>+18</x:v>
      </x:c>
      <x:c r="W450" s="46" t="str">
        <x:v>exchange_evidence_level</x:v>
      </x:c>
      <x:c r="X450" s="46" t="str">
        <x:v>可进入SYNTH高现实证据候选。</x:v>
      </x:c>
      <x:c r="Y450" s="46" t="str">
        <x:v>可进入SYNTH高现实证据候选。</x:v>
      </x:c>
      <x:c r="Z45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50" s="46" t="str">
        <x:v>中高</x:v>
      </x:c>
      <x:c r="AB450" s="46" t="str">
        <x:v>待验证</x:v>
      </x:c>
      <x:c r="AC450" s="46" t="str"/>
      <x:c r="AD450" s="46" t="str">
        <x:v>scoring_reporting=true; provisional=true; rule_group=EXCHANGE-评分报告</x:v>
      </x:c>
      <x:c r="AE450" s="46" t="str">
        <x:v>0.4</x:v>
      </x:c>
    </x:row>
    <x:row r="451" ht="50" customHeight="1">
      <x:c r="A451" s="46" t="str">
        <x:v>M5-EXCHANGE-450</x:v>
      </x:c>
      <x:c r="B451" s="46" t="str">
        <x:v>ED02请求清晰加权</x:v>
      </x:c>
      <x:c r="C451" s="46" t="str">
        <x:v>L10 评分、报告与校准</x:v>
      </x:c>
      <x:c r="D451" s="46" t="str">
        <x:v>EXCHANGE-评分报告</x:v>
      </x:c>
      <x:c r="E451" s="46" t="str">
        <x:v>通用</x:v>
      </x:c>
      <x:c r="F451" s="46" t="str">
        <x:v>评分</x:v>
      </x:c>
      <x:c r="G451" s="46" t="str">
        <x:v>ED02请求清晰加权</x:v>
      </x:c>
      <x:c r="H451" s="46" t="str"/>
      <x:c r="I451" s="46" t="str">
        <x:v>双方至少一方能具体提出需要，另一方可回应或协商拒绝。</x:v>
      </x:c>
      <x:c r="J451" s="46" t="str">
        <x:v>PR0安全门控未通过时停止普通评分。</x:v>
      </x:c>
      <x:c r="K451" s="46" t="str">
        <x:v>由共享基础引擎、M3与M5-BASE提供；只修正用户怎样给予、请求、接收和回馈，不直接判断双方现实交换质量。</x:v>
      </x:c>
      <x:c r="L451" s="46" t="str">
        <x:v>M2只说明进入关系所需资格证据；不能替代长期双向交换、负荷与修复验证。</x:v>
      </x:c>
      <x:c r="M451" s="46" t="str">
        <x:v>M3-BASE、EXPR、CARE和BOUND提供用户自然互动通道；M5-EXCHANGE负责把两人的实际行为合成为交换结构。</x:v>
      </x:c>
      <x:c r="N451" s="46" t="str">
        <x:v>无／按本规则指定的给予—请求—接收—反馈—重订路径路由。</x:v>
      </x:c>
      <x:c r="O451" s="46" t="str">
        <x:v>近位、远位只修正该交换需求进入亲密关系核心的可能；不得据此判断具体伴侣现实中一定配合。</x:v>
      </x:c>
      <x:c r="P451" s="46" t="str">
        <x:v>根气只修正用户交换需求和通道是否稳定重复，不等于双方已形成成熟互惠。</x:v>
      </x:c>
      <x:c r="Q451" s="46" t="str">
        <x:v>旺弱只修正通道调用强度、抢位或缺位风险，不直接等于交换公平或关系质量。</x:v>
      </x:c>
      <x:c r="R451" s="46" t="str">
        <x:v>喜忌只修正调用顺畅度与摩擦，不可直接翻译为理想伴侣五行、十神或必然互补。</x:v>
      </x:c>
      <x:c r="S451" s="46" t="str">
        <x:v>真合化成立时按化神功能重算用户交换需求；合化争议时停止细化交换通道。</x:v>
      </x:c>
      <x:c r="T451" s="46" t="str">
        <x:v>近位提高该交换议题进入关系核心的可能；远位只保留背景或阶段性观察。</x:v>
      </x:c>
      <x:c r="U451" s="46" t="str">
        <x:v>82</x:v>
      </x:c>
      <x:c r="V451" s="46" t="str">
        <x:v>+8</x:v>
      </x:c>
      <x:c r="W451" s="46" t="str">
        <x:v>request_style</x:v>
      </x:c>
      <x:c r="X451" s="46" t="str">
        <x:v>请求是交换入口。</x:v>
      </x:c>
      <x:c r="Y451" s="46" t="str">
        <x:v>请求是交换入口。</x:v>
      </x:c>
      <x:c r="Z45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51" s="46" t="str">
        <x:v>中高</x:v>
      </x:c>
      <x:c r="AB451" s="46" t="str">
        <x:v>待验证</x:v>
      </x:c>
      <x:c r="AC451" s="46" t="str"/>
      <x:c r="AD451" s="46" t="str">
        <x:v>scoring_reporting=true; provisional=true; rule_group=EXCHANGE-评分报告</x:v>
      </x:c>
      <x:c r="AE451" s="46" t="str">
        <x:v>0.4</x:v>
      </x:c>
    </x:row>
    <x:row r="452" ht="50" customHeight="1">
      <x:c r="A452" s="46" t="str">
        <x:v>M5-EXCHANGE-451</x:v>
      </x:c>
      <x:c r="B452" s="46" t="str">
        <x:v>ED03接收能力加权</x:v>
      </x:c>
      <x:c r="C452" s="46" t="str">
        <x:v>L10 评分、报告与校准</x:v>
      </x:c>
      <x:c r="D452" s="46" t="str">
        <x:v>EXCHANGE-评分报告</x:v>
      </x:c>
      <x:c r="E452" s="46" t="str">
        <x:v>通用</x:v>
      </x:c>
      <x:c r="F452" s="46" t="str">
        <x:v>评分</x:v>
      </x:c>
      <x:c r="G452" s="46" t="str">
        <x:v>ED03接收能力加权</x:v>
      </x:c>
      <x:c r="H452" s="46" t="str"/>
      <x:c r="I452" s="46" t="str">
        <x:v>能接受支持并保留自主，不立即债务化或完全拒绝。</x:v>
      </x:c>
      <x:c r="J452" s="46" t="str">
        <x:v>PR0安全门控未通过时停止普通评分。</x:v>
      </x:c>
      <x:c r="K452" s="46" t="str">
        <x:v>由共享基础引擎、M3与M5-BASE提供；只修正用户怎样给予、请求、接收和回馈，不直接判断双方现实交换质量。</x:v>
      </x:c>
      <x:c r="L452" s="46" t="str">
        <x:v>M2只说明进入关系所需资格证据；不能替代长期双向交换、负荷与修复验证。</x:v>
      </x:c>
      <x:c r="M452" s="46" t="str">
        <x:v>M3-BASE、EXPR、CARE和BOUND提供用户自然互动通道；M5-EXCHANGE负责把两人的实际行为合成为交换结构。</x:v>
      </x:c>
      <x:c r="N452" s="46" t="str">
        <x:v>无／按本规则指定的给予—请求—接收—反馈—重订路径路由。</x:v>
      </x:c>
      <x:c r="O452" s="46" t="str">
        <x:v>近位、远位只修正该交换需求进入亲密关系核心的可能；不得据此判断具体伴侣现实中一定配合。</x:v>
      </x:c>
      <x:c r="P452" s="46" t="str">
        <x:v>根气只修正用户交换需求和通道是否稳定重复，不等于双方已形成成熟互惠。</x:v>
      </x:c>
      <x:c r="Q452" s="46" t="str">
        <x:v>旺弱只修正通道调用强度、抢位或缺位风险，不直接等于交换公平或关系质量。</x:v>
      </x:c>
      <x:c r="R452" s="46" t="str">
        <x:v>喜忌只修正调用顺畅度与摩擦，不可直接翻译为理想伴侣五行、十神或必然互补。</x:v>
      </x:c>
      <x:c r="S452" s="46" t="str">
        <x:v>真合化成立时按化神功能重算用户交换需求；合化争议时停止细化交换通道。</x:v>
      </x:c>
      <x:c r="T452" s="46" t="str">
        <x:v>近位提高该交换议题进入关系核心的可能；远位只保留背景或阶段性观察。</x:v>
      </x:c>
      <x:c r="U452" s="46" t="str">
        <x:v>82</x:v>
      </x:c>
      <x:c r="V452" s="46" t="str">
        <x:v>+8</x:v>
      </x:c>
      <x:c r="W452" s="46" t="str">
        <x:v>receiving_style</x:v>
      </x:c>
      <x:c r="X452" s="46" t="str">
        <x:v>给予与接收分别计证据。</x:v>
      </x:c>
      <x:c r="Y452" s="46" t="str">
        <x:v>给予与接收分别计证据。</x:v>
      </x:c>
      <x:c r="Z45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52" s="46" t="str">
        <x:v>中高</x:v>
      </x:c>
      <x:c r="AB452" s="46" t="str">
        <x:v>待验证</x:v>
      </x:c>
      <x:c r="AC452" s="46" t="str"/>
      <x:c r="AD452" s="46" t="str">
        <x:v>scoring_reporting=true; provisional=true; rule_group=EXCHANGE-评分报告</x:v>
      </x:c>
      <x:c r="AE452" s="46" t="str">
        <x:v>0.4</x:v>
      </x:c>
    </x:row>
    <x:row r="453" ht="50" customHeight="1">
      <x:c r="A453" s="46" t="str">
        <x:v>M5-EXCHANGE-452</x:v>
      </x:c>
      <x:c r="B453" s="46" t="str">
        <x:v>ED04回应命中加权</x:v>
      </x:c>
      <x:c r="C453" s="46" t="str">
        <x:v>L10 评分、报告与校准</x:v>
      </x:c>
      <x:c r="D453" s="46" t="str">
        <x:v>EXCHANGE-评分报告</x:v>
      </x:c>
      <x:c r="E453" s="46" t="str">
        <x:v>通用</x:v>
      </x:c>
      <x:c r="F453" s="46" t="str">
        <x:v>评分</x:v>
      </x:c>
      <x:c r="G453" s="46" t="str">
        <x:v>ED04回应命中加权</x:v>
      </x:c>
      <x:c r="H453" s="46" t="str"/>
      <x:c r="I453" s="46" t="str">
        <x:v>双方能确认回应是否符合原需要，并据此调整。</x:v>
      </x:c>
      <x:c r="J453" s="46" t="str">
        <x:v>PR0安全门控未通过时停止普通评分。</x:v>
      </x:c>
      <x:c r="K453" s="46" t="str">
        <x:v>由共享基础引擎、M3与M5-BASE提供；只修正用户怎样给予、请求、接收和回馈，不直接判断双方现实交换质量。</x:v>
      </x:c>
      <x:c r="L453" s="46" t="str">
        <x:v>M2只说明进入关系所需资格证据；不能替代长期双向交换、负荷与修复验证。</x:v>
      </x:c>
      <x:c r="M453" s="46" t="str">
        <x:v>M3-BASE、EXPR、CARE和BOUND提供用户自然互动通道；M5-EXCHANGE负责把两人的实际行为合成为交换结构。</x:v>
      </x:c>
      <x:c r="N453" s="46" t="str">
        <x:v>无／按本规则指定的给予—请求—接收—反馈—重订路径路由。</x:v>
      </x:c>
      <x:c r="O453" s="46" t="str">
        <x:v>近位、远位只修正该交换需求进入亲密关系核心的可能；不得据此判断具体伴侣现实中一定配合。</x:v>
      </x:c>
      <x:c r="P453" s="46" t="str">
        <x:v>根气只修正用户交换需求和通道是否稳定重复，不等于双方已形成成熟互惠。</x:v>
      </x:c>
      <x:c r="Q453" s="46" t="str">
        <x:v>旺弱只修正通道调用强度、抢位或缺位风险，不直接等于交换公平或关系质量。</x:v>
      </x:c>
      <x:c r="R453" s="46" t="str">
        <x:v>喜忌只修正调用顺畅度与摩擦，不可直接翻译为理想伴侣五行、十神或必然互补。</x:v>
      </x:c>
      <x:c r="S453" s="46" t="str">
        <x:v>真合化成立时按化神功能重算用户交换需求；合化争议时停止细化交换通道。</x:v>
      </x:c>
      <x:c r="T453" s="46" t="str">
        <x:v>近位提高该交换议题进入关系核心的可能；远位只保留背景或阶段性观察。</x:v>
      </x:c>
      <x:c r="U453" s="46" t="str">
        <x:v>82</x:v>
      </x:c>
      <x:c r="V453" s="46" t="str">
        <x:v>+10</x:v>
      </x:c>
      <x:c r="W453" s="46" t="str">
        <x:v>feedback_loop</x:v>
      </x:c>
      <x:c r="X453" s="46" t="str">
        <x:v>回应命中优先于投入量。</x:v>
      </x:c>
      <x:c r="Y453" s="46" t="str">
        <x:v>回应命中优先于投入量。</x:v>
      </x:c>
      <x:c r="Z45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53" s="46" t="str">
        <x:v>中高</x:v>
      </x:c>
      <x:c r="AB453" s="46" t="str">
        <x:v>待验证</x:v>
      </x:c>
      <x:c r="AC453" s="46" t="str"/>
      <x:c r="AD453" s="46" t="str">
        <x:v>scoring_reporting=true; provisional=true; rule_group=EXCHANGE-评分报告</x:v>
      </x:c>
      <x:c r="AE453" s="46" t="str">
        <x:v>0.4</x:v>
      </x:c>
    </x:row>
    <x:row r="454" ht="50" customHeight="1">
      <x:c r="A454" s="46" t="str">
        <x:v>M5-EXCHANGE-453</x:v>
      </x:c>
      <x:c r="B454" s="46" t="str">
        <x:v>ED05连续性加权</x:v>
      </x:c>
      <x:c r="C454" s="46" t="str">
        <x:v>L10 评分、报告与校准</x:v>
      </x:c>
      <x:c r="D454" s="46" t="str">
        <x:v>EXCHANGE-评分报告</x:v>
      </x:c>
      <x:c r="E454" s="46" t="str">
        <x:v>通用</x:v>
      </x:c>
      <x:c r="F454" s="46" t="str">
        <x:v>评分</x:v>
      </x:c>
      <x:c r="G454" s="46" t="str">
        <x:v>ED05连续性加权</x:v>
      </x:c>
      <x:c r="H454" s="46" t="str"/>
      <x:c r="I454" s="46" t="str">
        <x:v>同类行为重复，成本变化时仍能重订。</x:v>
      </x:c>
      <x:c r="J454" s="46" t="str">
        <x:v>PR0安全门控未通过时停止普通评分。</x:v>
      </x:c>
      <x:c r="K454" s="46" t="str">
        <x:v>由共享基础引擎、M3与M5-BASE提供；只修正用户怎样给予、请求、接收和回馈，不直接判断双方现实交换质量。</x:v>
      </x:c>
      <x:c r="L454" s="46" t="str">
        <x:v>M2只说明进入关系所需资格证据；不能替代长期双向交换、负荷与修复验证。</x:v>
      </x:c>
      <x:c r="M454" s="46" t="str">
        <x:v>M3-BASE、EXPR、CARE和BOUND提供用户自然互动通道；M5-EXCHANGE负责把两人的实际行为合成为交换结构。</x:v>
      </x:c>
      <x:c r="N454" s="46" t="str">
        <x:v>无／按本规则指定的给予—请求—接收—反馈—重订路径路由。</x:v>
      </x:c>
      <x:c r="O454" s="46" t="str">
        <x:v>近位、远位只修正该交换需求进入亲密关系核心的可能；不得据此判断具体伴侣现实中一定配合。</x:v>
      </x:c>
      <x:c r="P454" s="46" t="str">
        <x:v>根气只修正用户交换需求和通道是否稳定重复，不等于双方已形成成熟互惠。</x:v>
      </x:c>
      <x:c r="Q454" s="46" t="str">
        <x:v>旺弱只修正通道调用强度、抢位或缺位风险，不直接等于交换公平或关系质量。</x:v>
      </x:c>
      <x:c r="R454" s="46" t="str">
        <x:v>喜忌只修正调用顺畅度与摩擦，不可直接翻译为理想伴侣五行、十神或必然互补。</x:v>
      </x:c>
      <x:c r="S454" s="46" t="str">
        <x:v>真合化成立时按化神功能重算用户交换需求；合化争议时停止细化交换通道。</x:v>
      </x:c>
      <x:c r="T454" s="46" t="str">
        <x:v>近位提高该交换议题进入关系核心的可能；远位只保留背景或阶段性观察。</x:v>
      </x:c>
      <x:c r="U454" s="46" t="str">
        <x:v>82</x:v>
      </x:c>
      <x:c r="V454" s="46" t="str">
        <x:v>+10</x:v>
      </x:c>
      <x:c r="W454" s="46" t="str">
        <x:v>investment_continuity</x:v>
      </x:c>
      <x:c r="X454" s="46" t="str">
        <x:v>排除一次高光。</x:v>
      </x:c>
      <x:c r="Y454" s="46" t="str">
        <x:v>排除一次高光。</x:v>
      </x:c>
      <x:c r="Z45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54" s="46" t="str">
        <x:v>中高</x:v>
      </x:c>
      <x:c r="AB454" s="46" t="str">
        <x:v>待验证</x:v>
      </x:c>
      <x:c r="AC454" s="46" t="str"/>
      <x:c r="AD454" s="46" t="str">
        <x:v>scoring_reporting=true; provisional=true; rule_group=EXCHANGE-评分报告</x:v>
      </x:c>
      <x:c r="AE454" s="46" t="str">
        <x:v>0.4</x:v>
      </x:c>
    </x:row>
    <x:row r="455" ht="50" customHeight="1">
      <x:c r="A455" s="46" t="str">
        <x:v>M5-EXCHANGE-454</x:v>
      </x:c>
      <x:c r="B455" s="46" t="str">
        <x:v>ED06互惠时序加权</x:v>
      </x:c>
      <x:c r="C455" s="46" t="str">
        <x:v>L10 评分、报告与校准</x:v>
      </x:c>
      <x:c r="D455" s="46" t="str">
        <x:v>EXCHANGE-评分报告</x:v>
      </x:c>
      <x:c r="E455" s="46" t="str">
        <x:v>通用</x:v>
      </x:c>
      <x:c r="F455" s="46" t="str">
        <x:v>评分</x:v>
      </x:c>
      <x:c r="G455" s="46" t="str">
        <x:v>ED06互惠时序加权</x:v>
      </x:c>
      <x:c r="H455" s="46" t="str"/>
      <x:c r="I455" s="46" t="str">
        <x:v>同步、错峰或延迟的时间结构清楚并被双方接受。</x:v>
      </x:c>
      <x:c r="J455" s="46" t="str">
        <x:v>PR0安全门控未通过时停止普通评分。</x:v>
      </x:c>
      <x:c r="K455" s="46" t="str">
        <x:v>由共享基础引擎、M3与M5-BASE提供；只修正用户怎样给予、请求、接收和回馈，不直接判断双方现实交换质量。</x:v>
      </x:c>
      <x:c r="L455" s="46" t="str">
        <x:v>M2只说明进入关系所需资格证据；不能替代长期双向交换、负荷与修复验证。</x:v>
      </x:c>
      <x:c r="M455" s="46" t="str">
        <x:v>M3-BASE、EXPR、CARE和BOUND提供用户自然互动通道；M5-EXCHANGE负责把两人的实际行为合成为交换结构。</x:v>
      </x:c>
      <x:c r="N455" s="46" t="str">
        <x:v>无／按本规则指定的给予—请求—接收—反馈—重订路径路由。</x:v>
      </x:c>
      <x:c r="O455" s="46" t="str">
        <x:v>近位、远位只修正该交换需求进入亲密关系核心的可能；不得据此判断具体伴侣现实中一定配合。</x:v>
      </x:c>
      <x:c r="P455" s="46" t="str">
        <x:v>根气只修正用户交换需求和通道是否稳定重复，不等于双方已形成成熟互惠。</x:v>
      </x:c>
      <x:c r="Q455" s="46" t="str">
        <x:v>旺弱只修正通道调用强度、抢位或缺位风险，不直接等于交换公平或关系质量。</x:v>
      </x:c>
      <x:c r="R455" s="46" t="str">
        <x:v>喜忌只修正调用顺畅度与摩擦，不可直接翻译为理想伴侣五行、十神或必然互补。</x:v>
      </x:c>
      <x:c r="S455" s="46" t="str">
        <x:v>真合化成立时按化神功能重算用户交换需求；合化争议时停止细化交换通道。</x:v>
      </x:c>
      <x:c r="T455" s="46" t="str">
        <x:v>近位提高该交换议题进入关系核心的可能；远位只保留背景或阶段性观察。</x:v>
      </x:c>
      <x:c r="U455" s="46" t="str">
        <x:v>82</x:v>
      </x:c>
      <x:c r="V455" s="46" t="str">
        <x:v>+8</x:v>
      </x:c>
      <x:c r="W455" s="46" t="str">
        <x:v>reciprocity_timing</x:v>
      </x:c>
      <x:c r="X455" s="46" t="str">
        <x:v>不要求立即回报。</x:v>
      </x:c>
      <x:c r="Y455" s="46" t="str">
        <x:v>不要求立即回报。</x:v>
      </x:c>
      <x:c r="Z45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55" s="46" t="str">
        <x:v>中高</x:v>
      </x:c>
      <x:c r="AB455" s="46" t="str">
        <x:v>待验证</x:v>
      </x:c>
      <x:c r="AC455" s="46" t="str"/>
      <x:c r="AD455" s="46" t="str">
        <x:v>scoring_reporting=true; provisional=true; rule_group=EXCHANGE-评分报告</x:v>
      </x:c>
      <x:c r="AE455" s="46" t="str">
        <x:v>0.4</x:v>
      </x:c>
    </x:row>
    <x:row r="456" ht="50" customHeight="1">
      <x:c r="A456" s="46" t="str">
        <x:v>M5-EXCHANGE-455</x:v>
      </x:c>
      <x:c r="B456" s="46" t="str">
        <x:v>ED07负荷平衡加权</x:v>
      </x:c>
      <x:c r="C456" s="46" t="str">
        <x:v>L10 评分、报告与校准</x:v>
      </x:c>
      <x:c r="D456" s="46" t="str">
        <x:v>EXCHANGE-评分报告</x:v>
      </x:c>
      <x:c r="E456" s="46" t="str">
        <x:v>通用</x:v>
      </x:c>
      <x:c r="F456" s="46" t="str">
        <x:v>评分</x:v>
      </x:c>
      <x:c r="G456" s="46" t="str">
        <x:v>ED07负荷平衡加权</x:v>
      </x:c>
      <x:c r="H456" s="46" t="str"/>
      <x:c r="I456" s="46" t="str">
        <x:v>负荷被看见、可协商、可轮换或有休息权。</x:v>
      </x:c>
      <x:c r="J456" s="46" t="str">
        <x:v>PR0安全门控未通过时停止普通评分。</x:v>
      </x:c>
      <x:c r="K456" s="46" t="str">
        <x:v>由共享基础引擎、M3与M5-BASE提供；只修正用户怎样给予、请求、接收和回馈，不直接判断双方现实交换质量。</x:v>
      </x:c>
      <x:c r="L456" s="46" t="str">
        <x:v>M2只说明进入关系所需资格证据；不能替代长期双向交换、负荷与修复验证。</x:v>
      </x:c>
      <x:c r="M456" s="46" t="str">
        <x:v>M3-BASE、EXPR、CARE和BOUND提供用户自然互动通道；M5-EXCHANGE负责把两人的实际行为合成为交换结构。</x:v>
      </x:c>
      <x:c r="N456" s="46" t="str">
        <x:v>无／按本规则指定的给予—请求—接收—反馈—重订路径路由。</x:v>
      </x:c>
      <x:c r="O456" s="46" t="str">
        <x:v>近位、远位只修正该交换需求进入亲密关系核心的可能；不得据此判断具体伴侣现实中一定配合。</x:v>
      </x:c>
      <x:c r="P456" s="46" t="str">
        <x:v>根气只修正用户交换需求和通道是否稳定重复，不等于双方已形成成熟互惠。</x:v>
      </x:c>
      <x:c r="Q456" s="46" t="str">
        <x:v>旺弱只修正通道调用强度、抢位或缺位风险，不直接等于交换公平或关系质量。</x:v>
      </x:c>
      <x:c r="R456" s="46" t="str">
        <x:v>喜忌只修正调用顺畅度与摩擦，不可直接翻译为理想伴侣五行、十神或必然互补。</x:v>
      </x:c>
      <x:c r="S456" s="46" t="str">
        <x:v>真合化成立时按化神功能重算用户交换需求；合化争议时停止细化交换通道。</x:v>
      </x:c>
      <x:c r="T456" s="46" t="str">
        <x:v>近位提高该交换议题进入关系核心的可能；远位只保留背景或阶段性观察。</x:v>
      </x:c>
      <x:c r="U456" s="46" t="str">
        <x:v>82</x:v>
      </x:c>
      <x:c r="V456" s="46" t="str">
        <x:v>+12</x:v>
      </x:c>
      <x:c r="W456" s="46" t="str">
        <x:v>load_balance</x:v>
      </x:c>
      <x:c r="X456" s="46" t="str">
        <x:v>公平看可持续性。</x:v>
      </x:c>
      <x:c r="Y456" s="46" t="str">
        <x:v>公平看可持续性。</x:v>
      </x:c>
      <x:c r="Z45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56" s="46" t="str">
        <x:v>中高</x:v>
      </x:c>
      <x:c r="AB456" s="46" t="str">
        <x:v>待验证</x:v>
      </x:c>
      <x:c r="AC456" s="46" t="str"/>
      <x:c r="AD456" s="46" t="str">
        <x:v>scoring_reporting=true; provisional=true; rule_group=EXCHANGE-评分报告</x:v>
      </x:c>
      <x:c r="AE456" s="46" t="str">
        <x:v>0.4</x:v>
      </x:c>
    </x:row>
    <x:row r="457" ht="50" customHeight="1">
      <x:c r="A457" s="46" t="str">
        <x:v>M5-EXCHANGE-456</x:v>
      </x:c>
      <x:c r="B457" s="46" t="str">
        <x:v>ED08同意边界加权</x:v>
      </x:c>
      <x:c r="C457" s="46" t="str">
        <x:v>L10 评分、报告与校准</x:v>
      </x:c>
      <x:c r="D457" s="46" t="str">
        <x:v>EXCHANGE-评分报告</x:v>
      </x:c>
      <x:c r="E457" s="46" t="str">
        <x:v>通用</x:v>
      </x:c>
      <x:c r="F457" s="46" t="str">
        <x:v>评分</x:v>
      </x:c>
      <x:c r="G457" s="46" t="str">
        <x:v>ED08同意边界加权</x:v>
      </x:c>
      <x:c r="H457" s="46" t="str"/>
      <x:c r="I457" s="46" t="str">
        <x:v>帮助、资源、亲密和决定均保留同意与停止权。</x:v>
      </x:c>
      <x:c r="J457" s="46" t="str">
        <x:v>PR0安全门控未通过时停止普通评分。</x:v>
      </x:c>
      <x:c r="K457" s="46" t="str">
        <x:v>由共享基础引擎、M3与M5-BASE提供；只修正用户怎样给予、请求、接收和回馈，不直接判断双方现实交换质量。</x:v>
      </x:c>
      <x:c r="L457" s="46" t="str">
        <x:v>M2只说明进入关系所需资格证据；不能替代长期双向交换、负荷与修复验证。</x:v>
      </x:c>
      <x:c r="M457" s="46" t="str">
        <x:v>M3-BASE、EXPR、CARE和BOUND提供用户自然互动通道；M5-EXCHANGE负责把两人的实际行为合成为交换结构。</x:v>
      </x:c>
      <x:c r="N457" s="46" t="str">
        <x:v>无／按本规则指定的给予—请求—接收—反馈—重订路径路由。</x:v>
      </x:c>
      <x:c r="O457" s="46" t="str">
        <x:v>近位、远位只修正该交换需求进入亲密关系核心的可能；不得据此判断具体伴侣现实中一定配合。</x:v>
      </x:c>
      <x:c r="P457" s="46" t="str">
        <x:v>根气只修正用户交换需求和通道是否稳定重复，不等于双方已形成成熟互惠。</x:v>
      </x:c>
      <x:c r="Q457" s="46" t="str">
        <x:v>旺弱只修正通道调用强度、抢位或缺位风险，不直接等于交换公平或关系质量。</x:v>
      </x:c>
      <x:c r="R457" s="46" t="str">
        <x:v>喜忌只修正调用顺畅度与摩擦，不可直接翻译为理想伴侣五行、十神或必然互补。</x:v>
      </x:c>
      <x:c r="S457" s="46" t="str">
        <x:v>真合化成立时按化神功能重算用户交换需求；合化争议时停止细化交换通道。</x:v>
      </x:c>
      <x:c r="T457" s="46" t="str">
        <x:v>近位提高该交换议题进入关系核心的可能；远位只保留背景或阶段性观察。</x:v>
      </x:c>
      <x:c r="U457" s="46" t="str">
        <x:v>82</x:v>
      </x:c>
      <x:c r="V457" s="46" t="str">
        <x:v>+14</x:v>
      </x:c>
      <x:c r="W457" s="46" t="str">
        <x:v>consent_boundary</x:v>
      </x:c>
      <x:c r="X457" s="46" t="str">
        <x:v>PR0底线。</x:v>
      </x:c>
      <x:c r="Y457" s="46" t="str">
        <x:v>PR0底线。</x:v>
      </x:c>
      <x:c r="Z45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57" s="46" t="str">
        <x:v>中高</x:v>
      </x:c>
      <x:c r="AB457" s="46" t="str">
        <x:v>待验证</x:v>
      </x:c>
      <x:c r="AC457" s="46" t="str"/>
      <x:c r="AD457" s="46" t="str">
        <x:v>scoring_reporting=true; provisional=true; rule_group=EXCHANGE-评分报告</x:v>
      </x:c>
      <x:c r="AE457" s="46" t="str">
        <x:v>0.4</x:v>
      </x:c>
    </x:row>
    <x:row r="458" ht="50" customHeight="1">
      <x:c r="A458" s="46" t="str">
        <x:v>M5-EXCHANGE-457</x:v>
      </x:c>
      <x:c r="B458" s="46" t="str">
        <x:v>ED09重订能力加权</x:v>
      </x:c>
      <x:c r="C458" s="46" t="str">
        <x:v>L10 评分、报告与校准</x:v>
      </x:c>
      <x:c r="D458" s="46" t="str">
        <x:v>EXCHANGE-评分报告</x:v>
      </x:c>
      <x:c r="E458" s="46" t="str">
        <x:v>通用</x:v>
      </x:c>
      <x:c r="F458" s="46" t="str">
        <x:v>评分</x:v>
      </x:c>
      <x:c r="G458" s="46" t="str">
        <x:v>ED09重订能力加权</x:v>
      </x:c>
      <x:c r="H458" s="46" t="str"/>
      <x:c r="I458" s="46" t="str">
        <x:v>阶段变化时能调整分工、节奏、边界和责任。</x:v>
      </x:c>
      <x:c r="J458" s="46" t="str">
        <x:v>PR0安全门控未通过时停止普通评分。</x:v>
      </x:c>
      <x:c r="K458" s="46" t="str">
        <x:v>由共享基础引擎、M3与M5-BASE提供；只修正用户怎样给予、请求、接收和回馈，不直接判断双方现实交换质量。</x:v>
      </x:c>
      <x:c r="L458" s="46" t="str">
        <x:v>M2只说明进入关系所需资格证据；不能替代长期双向交换、负荷与修复验证。</x:v>
      </x:c>
      <x:c r="M458" s="46" t="str">
        <x:v>M3-BASE、EXPR、CARE和BOUND提供用户自然互动通道；M5-EXCHANGE负责把两人的实际行为合成为交换结构。</x:v>
      </x:c>
      <x:c r="N458" s="46" t="str">
        <x:v>无／按本规则指定的给予—请求—接收—反馈—重订路径路由。</x:v>
      </x:c>
      <x:c r="O458" s="46" t="str">
        <x:v>近位、远位只修正该交换需求进入亲密关系核心的可能；不得据此判断具体伴侣现实中一定配合。</x:v>
      </x:c>
      <x:c r="P458" s="46" t="str">
        <x:v>根气只修正用户交换需求和通道是否稳定重复，不等于双方已形成成熟互惠。</x:v>
      </x:c>
      <x:c r="Q458" s="46" t="str">
        <x:v>旺弱只修正通道调用强度、抢位或缺位风险，不直接等于交换公平或关系质量。</x:v>
      </x:c>
      <x:c r="R458" s="46" t="str">
        <x:v>喜忌只修正调用顺畅度与摩擦，不可直接翻译为理想伴侣五行、十神或必然互补。</x:v>
      </x:c>
      <x:c r="S458" s="46" t="str">
        <x:v>真合化成立时按化神功能重算用户交换需求；合化争议时停止细化交换通道。</x:v>
      </x:c>
      <x:c r="T458" s="46" t="str">
        <x:v>近位提高该交换议题进入关系核心的可能；远位只保留背景或阶段性观察。</x:v>
      </x:c>
      <x:c r="U458" s="46" t="str">
        <x:v>82</x:v>
      </x:c>
      <x:c r="V458" s="46" t="str">
        <x:v>+12</x:v>
      </x:c>
      <x:c r="W458" s="46" t="str">
        <x:v>renegotiation_capacity</x:v>
      </x:c>
      <x:c r="X458" s="46" t="str">
        <x:v>长期适配核心。</x:v>
      </x:c>
      <x:c r="Y458" s="46" t="str">
        <x:v>长期适配核心。</x:v>
      </x:c>
      <x:c r="Z45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58" s="46" t="str">
        <x:v>中高</x:v>
      </x:c>
      <x:c r="AB458" s="46" t="str">
        <x:v>待验证</x:v>
      </x:c>
      <x:c r="AC458" s="46" t="str"/>
      <x:c r="AD458" s="46" t="str">
        <x:v>scoring_reporting=true; provisional=true; rule_group=EXCHANGE-评分报告</x:v>
      </x:c>
      <x:c r="AE458" s="46" t="str">
        <x:v>0.4</x:v>
      </x:c>
    </x:row>
    <x:row r="459" ht="50" customHeight="1">
      <x:c r="A459" s="46" t="str">
        <x:v>M5-EXCHANGE-458</x:v>
      </x:c>
      <x:c r="B459" s="46" t="str">
        <x:v>ED10修复回流加权</x:v>
      </x:c>
      <x:c r="C459" s="46" t="str">
        <x:v>L10 评分、报告与校准</x:v>
      </x:c>
      <x:c r="D459" s="46" t="str">
        <x:v>EXCHANGE-评分报告</x:v>
      </x:c>
      <x:c r="E459" s="46" t="str">
        <x:v>通用</x:v>
      </x:c>
      <x:c r="F459" s="46" t="str">
        <x:v>评分</x:v>
      </x:c>
      <x:c r="G459" s="46" t="str">
        <x:v>ED10修复回流加权</x:v>
      </x:c>
      <x:c r="H459" s="46" t="str"/>
      <x:c r="I459" s="46" t="str">
        <x:v>交换失衡后完成影响、责任、调整、反馈和回访。</x:v>
      </x:c>
      <x:c r="J459" s="46" t="str">
        <x:v>PR0安全门控未通过时停止普通评分。</x:v>
      </x:c>
      <x:c r="K459" s="46" t="str">
        <x:v>由共享基础引擎、M3与M5-BASE提供；只修正用户怎样给予、请求、接收和回馈，不直接判断双方现实交换质量。</x:v>
      </x:c>
      <x:c r="L459" s="46" t="str">
        <x:v>M2只说明进入关系所需资格证据；不能替代长期双向交换、负荷与修复验证。</x:v>
      </x:c>
      <x:c r="M459" s="46" t="str">
        <x:v>M3-BASE、EXPR、CARE和BOUND提供用户自然互动通道；M5-EXCHANGE负责把两人的实际行为合成为交换结构。</x:v>
      </x:c>
      <x:c r="N459" s="46" t="str">
        <x:v>无／按本规则指定的给予—请求—接收—反馈—重订路径路由。</x:v>
      </x:c>
      <x:c r="O459" s="46" t="str">
        <x:v>近位、远位只修正该交换需求进入亲密关系核心的可能；不得据此判断具体伴侣现实中一定配合。</x:v>
      </x:c>
      <x:c r="P459" s="46" t="str">
        <x:v>根气只修正用户交换需求和通道是否稳定重复，不等于双方已形成成熟互惠。</x:v>
      </x:c>
      <x:c r="Q459" s="46" t="str">
        <x:v>旺弱只修正通道调用强度、抢位或缺位风险，不直接等于交换公平或关系质量。</x:v>
      </x:c>
      <x:c r="R459" s="46" t="str">
        <x:v>喜忌只修正调用顺畅度与摩擦，不可直接翻译为理想伴侣五行、十神或必然互补。</x:v>
      </x:c>
      <x:c r="S459" s="46" t="str">
        <x:v>真合化成立时按化神功能重算用户交换需求；合化争议时停止细化交换通道。</x:v>
      </x:c>
      <x:c r="T459" s="46" t="str">
        <x:v>近位提高该交换议题进入关系核心的可能；远位只保留背景或阶段性观察。</x:v>
      </x:c>
      <x:c r="U459" s="46" t="str">
        <x:v>82</x:v>
      </x:c>
      <x:c r="V459" s="46" t="str">
        <x:v>+14</x:v>
      </x:c>
      <x:c r="W459" s="46" t="str">
        <x:v>repair_exchange</x:v>
      </x:c>
      <x:c r="X459" s="46" t="str">
        <x:v>与RN07/RN08接口。</x:v>
      </x:c>
      <x:c r="Y459" s="46" t="str">
        <x:v>与RN07/RN08接口。</x:v>
      </x:c>
      <x:c r="Z45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59" s="46" t="str">
        <x:v>中高</x:v>
      </x:c>
      <x:c r="AB459" s="46" t="str">
        <x:v>待验证</x:v>
      </x:c>
      <x:c r="AC459" s="46" t="str"/>
      <x:c r="AD459" s="46" t="str">
        <x:v>scoring_reporting=true; provisional=true; rule_group=EXCHANGE-评分报告</x:v>
      </x:c>
      <x:c r="AE459" s="46" t="str">
        <x:v>0.4</x:v>
      </x:c>
    </x:row>
    <x:row r="460" ht="50" customHeight="1">
      <x:c r="A460" s="46" t="str">
        <x:v>M5-EXCHANGE-459</x:v>
      </x:c>
      <x:c r="B460" s="46" t="str">
        <x:v>EB伪互惠扣分</x:v>
      </x:c>
      <x:c r="C460" s="46" t="str">
        <x:v>L10 评分、报告与校准</x:v>
      </x:c>
      <x:c r="D460" s="46" t="str">
        <x:v>EXCHANGE-评分报告</x:v>
      </x:c>
      <x:c r="E460" s="46" t="str">
        <x:v>通用</x:v>
      </x:c>
      <x:c r="F460" s="46" t="str">
        <x:v>评分</x:v>
      </x:c>
      <x:c r="G460" s="46" t="str">
        <x:v>EB伪互惠扣分</x:v>
      </x:c>
      <x:c r="H460" s="46" t="str"/>
      <x:c r="I460" s="46" t="str">
        <x:v>任一EB成立且未被XV6—XV7排除。</x:v>
      </x:c>
      <x:c r="J460" s="46" t="str">
        <x:v>PR0安全门控未通过时停止普通评分。</x:v>
      </x:c>
      <x:c r="K460" s="46" t="str">
        <x:v>由共享基础引擎、M3与M5-BASE提供；只修正用户怎样给予、请求、接收和回馈，不直接判断双方现实交换质量。</x:v>
      </x:c>
      <x:c r="L460" s="46" t="str">
        <x:v>M2只说明进入关系所需资格证据；不能替代长期双向交换、负荷与修复验证。</x:v>
      </x:c>
      <x:c r="M460" s="46" t="str">
        <x:v>M3-BASE、EXPR、CARE和BOUND提供用户自然互动通道；M5-EXCHANGE负责把两人的实际行为合成为交换结构。</x:v>
      </x:c>
      <x:c r="N460" s="46" t="str">
        <x:v>无／按本规则指定的给予—请求—接收—反馈—重订路径路由。</x:v>
      </x:c>
      <x:c r="O460" s="46" t="str">
        <x:v>近位、远位只修正该交换需求进入亲密关系核心的可能；不得据此判断具体伴侣现实中一定配合。</x:v>
      </x:c>
      <x:c r="P460" s="46" t="str">
        <x:v>根气只修正用户交换需求和通道是否稳定重复，不等于双方已形成成熟互惠。</x:v>
      </x:c>
      <x:c r="Q460" s="46" t="str">
        <x:v>旺弱只修正通道调用强度、抢位或缺位风险，不直接等于交换公平或关系质量。</x:v>
      </x:c>
      <x:c r="R460" s="46" t="str">
        <x:v>喜忌只修正调用顺畅度与摩擦，不可直接翻译为理想伴侣五行、十神或必然互补。</x:v>
      </x:c>
      <x:c r="S460" s="46" t="str">
        <x:v>真合化成立时按化神功能重算用户交换需求；合化争议时停止细化交换通道。</x:v>
      </x:c>
      <x:c r="T460" s="46" t="str">
        <x:v>近位提高该交换议题进入关系核心的可能；远位只保留背景或阶段性观察。</x:v>
      </x:c>
      <x:c r="U460" s="46" t="str">
        <x:v>82</x:v>
      </x:c>
      <x:c r="V460" s="46" t="str">
        <x:v>-12</x:v>
      </x:c>
      <x:c r="W460" s="46" t="str">
        <x:v>pseudo_reciprocity_warning</x:v>
      </x:c>
      <x:c r="X460" s="46" t="str">
        <x:v>降低对应EC、EM或XR成熟结论。</x:v>
      </x:c>
      <x:c r="Y460" s="46" t="str">
        <x:v>降低对应EC、EM或XR成熟结论。</x:v>
      </x:c>
      <x:c r="Z46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60" s="46" t="str">
        <x:v>中高</x:v>
      </x:c>
      <x:c r="AB460" s="46" t="str">
        <x:v>待验证</x:v>
      </x:c>
      <x:c r="AC460" s="46" t="str"/>
      <x:c r="AD460" s="46" t="str">
        <x:v>scoring_reporting=true; provisional=true; rule_group=EXCHANGE-评分报告</x:v>
      </x:c>
      <x:c r="AE460" s="46" t="str">
        <x:v>0.4</x:v>
      </x:c>
    </x:row>
    <x:row r="461" ht="50" customHeight="1">
      <x:c r="A461" s="46" t="str">
        <x:v>M5-EXCHANGE-460</x:v>
      </x:c>
      <x:c r="B461" s="46" t="str">
        <x:v>现实强反例扣分</x:v>
      </x:c>
      <x:c r="C461" s="46" t="str">
        <x:v>L10 评分、报告与校准</x:v>
      </x:c>
      <x:c r="D461" s="46" t="str">
        <x:v>EXCHANGE-评分报告</x:v>
      </x:c>
      <x:c r="E461" s="46" t="str">
        <x:v>通用</x:v>
      </x:c>
      <x:c r="F461" s="46" t="str">
        <x:v>评分</x:v>
      </x:c>
      <x:c r="G461" s="46" t="str">
        <x:v>现实强反例扣分</x:v>
      </x:c>
      <x:c r="H461" s="46" t="str"/>
      <x:c r="I461" s="46" t="str">
        <x:v>跨领域或跨阶段多次反例。</x:v>
      </x:c>
      <x:c r="J461" s="46" t="str">
        <x:v>PR0安全门控未通过时停止普通评分。</x:v>
      </x:c>
      <x:c r="K461" s="46" t="str">
        <x:v>由共享基础引擎、M3与M5-BASE提供；只修正用户怎样给予、请求、接收和回馈，不直接判断双方现实交换质量。</x:v>
      </x:c>
      <x:c r="L461" s="46" t="str">
        <x:v>M2只说明进入关系所需资格证据；不能替代长期双向交换、负荷与修复验证。</x:v>
      </x:c>
      <x:c r="M461" s="46" t="str">
        <x:v>M3-BASE、EXPR、CARE和BOUND提供用户自然互动通道；M5-EXCHANGE负责把两人的实际行为合成为交换结构。</x:v>
      </x:c>
      <x:c r="N461" s="46" t="str">
        <x:v>无／按本规则指定的给予—请求—接收—反馈—重订路径路由。</x:v>
      </x:c>
      <x:c r="O461" s="46" t="str">
        <x:v>近位、远位只修正该交换需求进入亲密关系核心的可能；不得据此判断具体伴侣现实中一定配合。</x:v>
      </x:c>
      <x:c r="P461" s="46" t="str">
        <x:v>根气只修正用户交换需求和通道是否稳定重复，不等于双方已形成成熟互惠。</x:v>
      </x:c>
      <x:c r="Q461" s="46" t="str">
        <x:v>旺弱只修正通道调用强度、抢位或缺位风险，不直接等于交换公平或关系质量。</x:v>
      </x:c>
      <x:c r="R461" s="46" t="str">
        <x:v>喜忌只修正调用顺畅度与摩擦，不可直接翻译为理想伴侣五行、十神或必然互补。</x:v>
      </x:c>
      <x:c r="S461" s="46" t="str">
        <x:v>真合化成立时按化神功能重算用户交换需求；合化争议时停止细化交换通道。</x:v>
      </x:c>
      <x:c r="T461" s="46" t="str">
        <x:v>近位提高该交换议题进入关系核心的可能；远位只保留背景或阶段性观察。</x:v>
      </x:c>
      <x:c r="U461" s="46" t="str">
        <x:v>82</x:v>
      </x:c>
      <x:c r="V461" s="46" t="str">
        <x:v>-20至停止</x:v>
      </x:c>
      <x:c r="W461" s="46" t="str">
        <x:v>counterevidence</x:v>
      </x:c>
      <x:c r="X461" s="46" t="str">
        <x:v>直接降级或停止。</x:v>
      </x:c>
      <x:c r="Y461" s="46" t="str">
        <x:v>直接降级或停止。</x:v>
      </x:c>
      <x:c r="Z46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61" s="46" t="str">
        <x:v>中高</x:v>
      </x:c>
      <x:c r="AB461" s="46" t="str">
        <x:v>待验证</x:v>
      </x:c>
      <x:c r="AC461" s="46" t="str"/>
      <x:c r="AD461" s="46" t="str">
        <x:v>scoring_reporting=true; provisional=true; rule_group=EXCHANGE-评分报告</x:v>
      </x:c>
      <x:c r="AE461" s="46" t="str">
        <x:v>0.4</x:v>
      </x:c>
    </x:row>
    <x:row r="462" ht="50" customHeight="1">
      <x:c r="A462" s="46" t="str">
        <x:v>M5-EXCHANGE-461</x:v>
      </x:c>
      <x:c r="B462" s="46" t="str">
        <x:v>同一event_id基础分封顶</x:v>
      </x:c>
      <x:c r="C462" s="46" t="str">
        <x:v>L10 评分、报告与校准</x:v>
      </x:c>
      <x:c r="D462" s="46" t="str">
        <x:v>EXCHANGE-评分报告</x:v>
      </x:c>
      <x:c r="E462" s="46" t="str">
        <x:v>通用</x:v>
      </x:c>
      <x:c r="F462" s="46" t="str">
        <x:v>去重</x:v>
      </x:c>
      <x:c r="G462" s="46" t="str">
        <x:v>同一event_id基础分封顶</x:v>
      </x:c>
      <x:c r="H462" s="46" t="str"/>
      <x:c r="I462" s="46" t="str">
        <x:v>一个事件支持多个ED/XD/EP。</x:v>
      </x:c>
      <x:c r="J462" s="46" t="str">
        <x:v>PR0安全门控未通过时停止普通评分。</x:v>
      </x:c>
      <x:c r="K462" s="46" t="str">
        <x:v>由共享基础引擎、M3与M5-BASE提供；只修正用户怎样给予、请求、接收和回馈，不直接判断双方现实交换质量。</x:v>
      </x:c>
      <x:c r="L462" s="46" t="str">
        <x:v>M2只说明进入关系所需资格证据；不能替代长期双向交换、负荷与修复验证。</x:v>
      </x:c>
      <x:c r="M462" s="46" t="str">
        <x:v>M3-BASE、EXPR、CARE和BOUND提供用户自然互动通道；M5-EXCHANGE负责把两人的实际行为合成为交换结构。</x:v>
      </x:c>
      <x:c r="N462" s="46" t="str">
        <x:v>无／按本规则指定的给予—请求—接收—反馈—重订路径路由。</x:v>
      </x:c>
      <x:c r="O462" s="46" t="str">
        <x:v>近位、远位只修正该交换需求进入亲密关系核心的可能；不得据此判断具体伴侣现实中一定配合。</x:v>
      </x:c>
      <x:c r="P462" s="46" t="str">
        <x:v>根气只修正用户交换需求和通道是否稳定重复，不等于双方已形成成熟互惠。</x:v>
      </x:c>
      <x:c r="Q462" s="46" t="str">
        <x:v>旺弱只修正通道调用强度、抢位或缺位风险，不直接等于交换公平或关系质量。</x:v>
      </x:c>
      <x:c r="R462" s="46" t="str">
        <x:v>喜忌只修正调用顺畅度与摩擦，不可直接翻译为理想伴侣五行、十神或必然互补。</x:v>
      </x:c>
      <x:c r="S462" s="46" t="str">
        <x:v>真合化成立时按化神功能重算用户交换需求；合化争议时停止细化交换通道。</x:v>
      </x:c>
      <x:c r="T462" s="46" t="str">
        <x:v>近位提高该交换议题进入关系核心的可能；远位只保留背景或阶段性观察。</x:v>
      </x:c>
      <x:c r="U462" s="46" t="str">
        <x:v>98</x:v>
      </x:c>
      <x:c r="V462" s="46" t="str">
        <x:v>封顶一次</x:v>
      </x:c>
      <x:c r="W462" s="46" t="str">
        <x:v>provenance</x:v>
      </x:c>
      <x:c r="X462" s="46" t="str">
        <x:v>基础事件分只计一次。</x:v>
      </x:c>
      <x:c r="Y462" s="46" t="str">
        <x:v>基础事件分只计一次。</x:v>
      </x:c>
      <x:c r="Z46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62" s="46" t="str">
        <x:v>高</x:v>
      </x:c>
      <x:c r="AB462" s="46" t="str">
        <x:v>待验证</x:v>
      </x:c>
      <x:c r="AC462" s="46" t="str"/>
      <x:c r="AD462" s="46" t="str">
        <x:v>scoring_reporting=true; provisional=true; rule_group=EXCHANGE-评分报告</x:v>
      </x:c>
      <x:c r="AE462" s="46" t="str">
        <x:v>0.4</x:v>
      </x:c>
    </x:row>
    <x:row r="463" ht="50" customHeight="1">
      <x:c r="A463" s="46" t="str">
        <x:v>M5-EXCHANGE-462</x:v>
      </x:c>
      <x:c r="B463" s="46" t="str">
        <x:v>同一source_id基础分封顶</x:v>
      </x:c>
      <x:c r="C463" s="46" t="str">
        <x:v>L10 评分、报告与校准</x:v>
      </x:c>
      <x:c r="D463" s="46" t="str">
        <x:v>EXCHANGE-评分报告</x:v>
      </x:c>
      <x:c r="E463" s="46" t="str">
        <x:v>通用</x:v>
      </x:c>
      <x:c r="F463" s="46" t="str">
        <x:v>去重</x:v>
      </x:c>
      <x:c r="G463" s="46" t="str">
        <x:v>同一source_id基础分封顶</x:v>
      </x:c>
      <x:c r="H463" s="46" t="str"/>
      <x:c r="I463" s="46" t="str">
        <x:v>一个命盘事实被多个模块读取。</x:v>
      </x:c>
      <x:c r="J463" s="46" t="str">
        <x:v>PR0安全门控未通过时停止普通评分。</x:v>
      </x:c>
      <x:c r="K463" s="46" t="str">
        <x:v>由共享基础引擎、M3与M5-BASE提供；只修正用户怎样给予、请求、接收和回馈，不直接判断双方现实交换质量。</x:v>
      </x:c>
      <x:c r="L463" s="46" t="str">
        <x:v>M2只说明进入关系所需资格证据；不能替代长期双向交换、负荷与修复验证。</x:v>
      </x:c>
      <x:c r="M463" s="46" t="str">
        <x:v>M3-BASE、EXPR、CARE和BOUND提供用户自然互动通道；M5-EXCHANGE负责把两人的实际行为合成为交换结构。</x:v>
      </x:c>
      <x:c r="N463" s="46" t="str">
        <x:v>无／按本规则指定的给予—请求—接收—反馈—重订路径路由。</x:v>
      </x:c>
      <x:c r="O463" s="46" t="str">
        <x:v>近位、远位只修正该交换需求进入亲密关系核心的可能；不得据此判断具体伴侣现实中一定配合。</x:v>
      </x:c>
      <x:c r="P463" s="46" t="str">
        <x:v>根气只修正用户交换需求和通道是否稳定重复，不等于双方已形成成熟互惠。</x:v>
      </x:c>
      <x:c r="Q463" s="46" t="str">
        <x:v>旺弱只修正通道调用强度、抢位或缺位风险，不直接等于交换公平或关系质量。</x:v>
      </x:c>
      <x:c r="R463" s="46" t="str">
        <x:v>喜忌只修正调用顺畅度与摩擦，不可直接翻译为理想伴侣五行、十神或必然互补。</x:v>
      </x:c>
      <x:c r="S463" s="46" t="str">
        <x:v>真合化成立时按化神功能重算用户交换需求；合化争议时停止细化交换通道。</x:v>
      </x:c>
      <x:c r="T463" s="46" t="str">
        <x:v>近位提高该交换议题进入关系核心的可能；远位只保留背景或阶段性观察。</x:v>
      </x:c>
      <x:c r="U463" s="46" t="str">
        <x:v>98</x:v>
      </x:c>
      <x:c r="V463" s="46" t="str">
        <x:v>封顶一次</x:v>
      </x:c>
      <x:c r="W463" s="46" t="str">
        <x:v>provenance</x:v>
      </x:c>
      <x:c r="X463" s="46" t="str">
        <x:v>基础结构权重只计一次。</x:v>
      </x:c>
      <x:c r="Y463" s="46" t="str">
        <x:v>基础结构权重只计一次。</x:v>
      </x:c>
      <x:c r="Z46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63" s="46" t="str">
        <x:v>高</x:v>
      </x:c>
      <x:c r="AB463" s="46" t="str">
        <x:v>待验证</x:v>
      </x:c>
      <x:c r="AC463" s="46" t="str"/>
      <x:c r="AD463" s="46" t="str">
        <x:v>scoring_reporting=true; provisional=true; rule_group=EXCHANGE-评分报告</x:v>
      </x:c>
      <x:c r="AE463" s="46" t="str">
        <x:v>0.4</x:v>
      </x:c>
    </x:row>
    <x:row r="464" ht="50" customHeight="1">
      <x:c r="A464" s="46" t="str">
        <x:v>M5-EXCHANGE-463</x:v>
      </x:c>
      <x:c r="B464" s="46" t="str">
        <x:v>跨领域覆盖门槛</x:v>
      </x:c>
      <x:c r="C464" s="46" t="str">
        <x:v>L10 评分、报告与校准</x:v>
      </x:c>
      <x:c r="D464" s="46" t="str">
        <x:v>EXCHANGE-评分报告</x:v>
      </x:c>
      <x:c r="E464" s="46" t="str">
        <x:v>通用</x:v>
      </x:c>
      <x:c r="F464" s="46" t="str">
        <x:v>评分</x:v>
      </x:c>
      <x:c r="G464" s="46" t="str">
        <x:v>跨领域覆盖门槛</x:v>
      </x:c>
      <x:c r="H464" s="46" t="str"/>
      <x:c r="I464" s="46" t="str">
        <x:v>至少两个XD领域有独立事件。</x:v>
      </x:c>
      <x:c r="J464" s="46" t="str">
        <x:v>PR0安全门控未通过时停止普通评分。</x:v>
      </x:c>
      <x:c r="K464" s="46" t="str">
        <x:v>由共享基础引擎、M3与M5-BASE提供；只修正用户怎样给予、请求、接收和回馈，不直接判断双方现实交换质量。</x:v>
      </x:c>
      <x:c r="L464" s="46" t="str">
        <x:v>M2只说明进入关系所需资格证据；不能替代长期双向交换、负荷与修复验证。</x:v>
      </x:c>
      <x:c r="M464" s="46" t="str">
        <x:v>M3-BASE、EXPR、CARE和BOUND提供用户自然互动通道；M5-EXCHANGE负责把两人的实际行为合成为交换结构。</x:v>
      </x:c>
      <x:c r="N464" s="46" t="str">
        <x:v>无／按本规则指定的给予—请求—接收—反馈—重订路径路由。</x:v>
      </x:c>
      <x:c r="O464" s="46" t="str">
        <x:v>近位、远位只修正该交换需求进入亲密关系核心的可能；不得据此判断具体伴侣现实中一定配合。</x:v>
      </x:c>
      <x:c r="P464" s="46" t="str">
        <x:v>根气只修正用户交换需求和通道是否稳定重复，不等于双方已形成成熟互惠。</x:v>
      </x:c>
      <x:c r="Q464" s="46" t="str">
        <x:v>旺弱只修正通道调用强度、抢位或缺位风险，不直接等于交换公平或关系质量。</x:v>
      </x:c>
      <x:c r="R464" s="46" t="str">
        <x:v>喜忌只修正调用顺畅度与摩擦，不可直接翻译为理想伴侣五行、十神或必然互补。</x:v>
      </x:c>
      <x:c r="S464" s="46" t="str">
        <x:v>真合化成立时按化神功能重算用户交换需求；合化争议时停止细化交换通道。</x:v>
      </x:c>
      <x:c r="T464" s="46" t="str">
        <x:v>近位提高该交换议题进入关系核心的可能；远位只保留背景或阶段性观察。</x:v>
      </x:c>
      <x:c r="U464" s="46" t="str">
        <x:v>82</x:v>
      </x:c>
      <x:c r="V464" s="46" t="str">
        <x:v>+10</x:v>
      </x:c>
      <x:c r="W464" s="46" t="str">
        <x:v>exchange_domains</x:v>
      </x:c>
      <x:c r="X464" s="46" t="str">
        <x:v>才能写整体交换候选。</x:v>
      </x:c>
      <x:c r="Y464" s="46" t="str">
        <x:v>才能写整体交换候选。</x:v>
      </x:c>
      <x:c r="Z46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64" s="46" t="str">
        <x:v>中高</x:v>
      </x:c>
      <x:c r="AB464" s="46" t="str">
        <x:v>待验证</x:v>
      </x:c>
      <x:c r="AC464" s="46" t="str"/>
      <x:c r="AD464" s="46" t="str">
        <x:v>scoring_reporting=true; provisional=true; rule_group=EXCHANGE-评分报告</x:v>
      </x:c>
      <x:c r="AE464" s="46" t="str">
        <x:v>0.4</x:v>
      </x:c>
    </x:row>
    <x:row r="465" ht="50" customHeight="1">
      <x:c r="A465" s="46" t="str">
        <x:v>M5-EXCHANGE-464</x:v>
      </x:c>
      <x:c r="B465" s="46" t="str">
        <x:v>情绪与现实领域不能自动互抵</x:v>
      </x:c>
      <x:c r="C465" s="46" t="str">
        <x:v>L10 评分、报告与校准</x:v>
      </x:c>
      <x:c r="D465" s="46" t="str">
        <x:v>EXCHANGE-评分报告</x:v>
      </x:c>
      <x:c r="E465" s="46" t="str">
        <x:v>通用</x:v>
      </x:c>
      <x:c r="F465" s="46" t="str">
        <x:v>边界</x:v>
      </x:c>
      <x:c r="G465" s="46" t="str">
        <x:v>情绪与现实领域不能自动互抵</x:v>
      </x:c>
      <x:c r="H465" s="46" t="str"/>
      <x:c r="I465" s="46" t="str">
        <x:v>XD01/XD02与XD04/XD05/XD06之间出现明显差异。</x:v>
      </x:c>
      <x:c r="J465" s="46" t="str">
        <x:v>PR0安全门控未通过时停止普通评分。</x:v>
      </x:c>
      <x:c r="K465" s="46" t="str">
        <x:v>由共享基础引擎、M3与M5-BASE提供；只修正用户怎样给予、请求、接收和回馈，不直接判断双方现实交换质量。</x:v>
      </x:c>
      <x:c r="L465" s="46" t="str">
        <x:v>M2只说明进入关系所需资格证据；不能替代长期双向交换、负荷与修复验证。</x:v>
      </x:c>
      <x:c r="M465" s="46" t="str">
        <x:v>M3-BASE、EXPR、CARE和BOUND提供用户自然互动通道；M5-EXCHANGE负责把两人的实际行为合成为交换结构。</x:v>
      </x:c>
      <x:c r="N465" s="46" t="str">
        <x:v>无／按本规则指定的给予—请求—接收—反馈—重订路径路由。</x:v>
      </x:c>
      <x:c r="O465" s="46" t="str">
        <x:v>近位、远位只修正该交换需求进入亲密关系核心的可能；不得据此判断具体伴侣现实中一定配合。</x:v>
      </x:c>
      <x:c r="P465" s="46" t="str">
        <x:v>根气只修正用户交换需求和通道是否稳定重复，不等于双方已形成成熟互惠。</x:v>
      </x:c>
      <x:c r="Q465" s="46" t="str">
        <x:v>旺弱只修正通道调用强度、抢位或缺位风险，不直接等于交换公平或关系质量。</x:v>
      </x:c>
      <x:c r="R465" s="46" t="str">
        <x:v>喜忌只修正调用顺畅度与摩擦，不可直接翻译为理想伴侣五行、十神或必然互补。</x:v>
      </x:c>
      <x:c r="S465" s="46" t="str">
        <x:v>真合化成立时按化神功能重算用户交换需求；合化争议时停止细化交换通道。</x:v>
      </x:c>
      <x:c r="T465" s="46" t="str">
        <x:v>近位提高该交换议题进入关系核心的可能；远位只保留背景或阶段性观察。</x:v>
      </x:c>
      <x:c r="U465" s="46" t="str">
        <x:v>98</x:v>
      </x:c>
      <x:c r="V465" s="46" t="str">
        <x:v>不加分</x:v>
      </x:c>
      <x:c r="W465" s="46" t="str">
        <x:v>pseudo_reciprocity_warning</x:v>
      </x:c>
      <x:c r="X465" s="46" t="str">
        <x:v>分别报告，除非双方明确接受替代。</x:v>
      </x:c>
      <x:c r="Y465" s="46" t="str">
        <x:v>分别报告，除非双方明确接受替代。</x:v>
      </x:c>
      <x:c r="Z46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65" s="46" t="str">
        <x:v>高</x:v>
      </x:c>
      <x:c r="AB465" s="46" t="str">
        <x:v>待验证</x:v>
      </x:c>
      <x:c r="AC465" s="46" t="str"/>
      <x:c r="AD465" s="46" t="str">
        <x:v>scoring_reporting=true; provisional=true; rule_group=EXCHANGE-评分报告</x:v>
      </x:c>
      <x:c r="AE465" s="46" t="str">
        <x:v>0.4</x:v>
      </x:c>
    </x:row>
    <x:row r="466" ht="50" customHeight="1">
      <x:c r="A466" s="46" t="str">
        <x:v>M5-EXCHANGE-465</x:v>
      </x:c>
      <x:c r="B466" s="46" t="str">
        <x:v>角色分工可重订门槛</x:v>
      </x:c>
      <x:c r="C466" s="46" t="str">
        <x:v>L10 评分、报告与校准</x:v>
      </x:c>
      <x:c r="D466" s="46" t="str">
        <x:v>EXCHANGE-评分报告</x:v>
      </x:c>
      <x:c r="E466" s="46" t="str">
        <x:v>通用</x:v>
      </x:c>
      <x:c r="F466" s="46" t="str">
        <x:v>评分</x:v>
      </x:c>
      <x:c r="G466" s="46" t="str">
        <x:v>角色分工可重订门槛</x:v>
      </x:c>
      <x:c r="H466" s="46" t="str"/>
      <x:c r="I466" s="46" t="str">
        <x:v>EM03/XR02候选需明确退出、轮换、复核和共同决定。</x:v>
      </x:c>
      <x:c r="J466" s="46" t="str">
        <x:v>PR0安全门控未通过时停止普通评分。</x:v>
      </x:c>
      <x:c r="K466" s="46" t="str">
        <x:v>由共享基础引擎、M3与M5-BASE提供；只修正用户怎样给予、请求、接收和回馈，不直接判断双方现实交换质量。</x:v>
      </x:c>
      <x:c r="L466" s="46" t="str">
        <x:v>M2只说明进入关系所需资格证据；不能替代长期双向交换、负荷与修复验证。</x:v>
      </x:c>
      <x:c r="M466" s="46" t="str">
        <x:v>M3-BASE、EXPR、CARE和BOUND提供用户自然互动通道；M5-EXCHANGE负责把两人的实际行为合成为交换结构。</x:v>
      </x:c>
      <x:c r="N466" s="46" t="str">
        <x:v>无／按本规则指定的给予—请求—接收—反馈—重订路径路由。</x:v>
      </x:c>
      <x:c r="O466" s="46" t="str">
        <x:v>近位、远位只修正该交换需求进入亲密关系核心的可能；不得据此判断具体伴侣现实中一定配合。</x:v>
      </x:c>
      <x:c r="P466" s="46" t="str">
        <x:v>根气只修正用户交换需求和通道是否稳定重复，不等于双方已形成成熟互惠。</x:v>
      </x:c>
      <x:c r="Q466" s="46" t="str">
        <x:v>旺弱只修正通道调用强度、抢位或缺位风险，不直接等于交换公平或关系质量。</x:v>
      </x:c>
      <x:c r="R466" s="46" t="str">
        <x:v>喜忌只修正调用顺畅度与摩擦，不可直接翻译为理想伴侣五行、十神或必然互补。</x:v>
      </x:c>
      <x:c r="S466" s="46" t="str">
        <x:v>真合化成立时按化神功能重算用户交换需求；合化争议时停止细化交换通道。</x:v>
      </x:c>
      <x:c r="T466" s="46" t="str">
        <x:v>近位提高该交换议题进入关系核心的可能；远位只保留背景或阶段性观察。</x:v>
      </x:c>
      <x:c r="U466" s="46" t="str">
        <x:v>82</x:v>
      </x:c>
      <x:c r="V466" s="46" t="str">
        <x:v>+10</x:v>
      </x:c>
      <x:c r="W466" s="46" t="str">
        <x:v>load_balance</x:v>
      </x:c>
      <x:c r="X466" s="46" t="str">
        <x:v>固定权力关系不得发布成熟分工。</x:v>
      </x:c>
      <x:c r="Y466" s="46" t="str">
        <x:v>固定权力关系不得发布成熟分工。</x:v>
      </x:c>
      <x:c r="Z46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66" s="46" t="str">
        <x:v>中高</x:v>
      </x:c>
      <x:c r="AB466" s="46" t="str">
        <x:v>待验证</x:v>
      </x:c>
      <x:c r="AC466" s="46" t="str"/>
      <x:c r="AD466" s="46" t="str">
        <x:v>scoring_reporting=true; provisional=true; rule_group=EXCHANGE-评分报告</x:v>
      </x:c>
      <x:c r="AE466" s="46" t="str">
        <x:v>0.4</x:v>
      </x:c>
    </x:row>
    <x:row r="467" ht="50" customHeight="1">
      <x:c r="A467" s="46" t="str">
        <x:v>M5-EXCHANGE-466</x:v>
      </x:c>
      <x:c r="B467" s="46" t="str">
        <x:v>错峰回流门槛</x:v>
      </x:c>
      <x:c r="C467" s="46" t="str">
        <x:v>L10 评分、报告与校准</x:v>
      </x:c>
      <x:c r="D467" s="46" t="str">
        <x:v>EXCHANGE-评分报告</x:v>
      </x:c>
      <x:c r="E467" s="46" t="str">
        <x:v>通用</x:v>
      </x:c>
      <x:c r="F467" s="46" t="str">
        <x:v>评分</x:v>
      </x:c>
      <x:c r="G467" s="46" t="str">
        <x:v>错峰回流门槛</x:v>
      </x:c>
      <x:c r="H467" s="46" t="str"/>
      <x:c r="I467" s="46" t="str">
        <x:v>EM02/XR03候选需明确时点、领域或事件回流。</x:v>
      </x:c>
      <x:c r="J467" s="46" t="str">
        <x:v>PR0安全门控未通过时停止普通评分。</x:v>
      </x:c>
      <x:c r="K467" s="46" t="str">
        <x:v>由共享基础引擎、M3与M5-BASE提供；只修正用户怎样给予、请求、接收和回馈，不直接判断双方现实交换质量。</x:v>
      </x:c>
      <x:c r="L467" s="46" t="str">
        <x:v>M2只说明进入关系所需资格证据；不能替代长期双向交换、负荷与修复验证。</x:v>
      </x:c>
      <x:c r="M467" s="46" t="str">
        <x:v>M3-BASE、EXPR、CARE和BOUND提供用户自然互动通道；M5-EXCHANGE负责把两人的实际行为合成为交换结构。</x:v>
      </x:c>
      <x:c r="N467" s="46" t="str">
        <x:v>无／按本规则指定的给予—请求—接收—反馈—重订路径路由。</x:v>
      </x:c>
      <x:c r="O467" s="46" t="str">
        <x:v>近位、远位只修正该交换需求进入亲密关系核心的可能；不得据此判断具体伴侣现实中一定配合。</x:v>
      </x:c>
      <x:c r="P467" s="46" t="str">
        <x:v>根气只修正用户交换需求和通道是否稳定重复，不等于双方已形成成熟互惠。</x:v>
      </x:c>
      <x:c r="Q467" s="46" t="str">
        <x:v>旺弱只修正通道调用强度、抢位或缺位风险，不直接等于交换公平或关系质量。</x:v>
      </x:c>
      <x:c r="R467" s="46" t="str">
        <x:v>喜忌只修正调用顺畅度与摩擦，不可直接翻译为理想伴侣五行、十神或必然互补。</x:v>
      </x:c>
      <x:c r="S467" s="46" t="str">
        <x:v>真合化成立时按化神功能重算用户交换需求；合化争议时停止细化交换通道。</x:v>
      </x:c>
      <x:c r="T467" s="46" t="str">
        <x:v>近位提高该交换议题进入关系核心的可能；远位只保留背景或阶段性观察。</x:v>
      </x:c>
      <x:c r="U467" s="46" t="str">
        <x:v>82</x:v>
      </x:c>
      <x:c r="V467" s="46" t="str">
        <x:v>+10</x:v>
      </x:c>
      <x:c r="W467" s="46" t="str">
        <x:v>reciprocity_timing</x:v>
      </x:c>
      <x:c r="X467" s="46" t="str">
        <x:v>没有回流点则降为XR05或XR07候选。</x:v>
      </x:c>
      <x:c r="Y467" s="46" t="str">
        <x:v>没有回流点则降为XR05或XR07候选。</x:v>
      </x:c>
      <x:c r="Z46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67" s="46" t="str">
        <x:v>中高</x:v>
      </x:c>
      <x:c r="AB467" s="46" t="str">
        <x:v>待验证</x:v>
      </x:c>
      <x:c r="AC467" s="46" t="str"/>
      <x:c r="AD467" s="46" t="str">
        <x:v>scoring_reporting=true; provisional=true; rule_group=EXCHANGE-评分报告</x:v>
      </x:c>
      <x:c r="AE467" s="46" t="str">
        <x:v>0.4</x:v>
      </x:c>
    </x:row>
    <x:row r="468" ht="50" customHeight="1">
      <x:c r="A468" s="46" t="str">
        <x:v>M5-EXCHANGE-467</x:v>
      </x:c>
      <x:c r="B468" s="46" t="str">
        <x:v>EP完整路径门槛</x:v>
      </x:c>
      <x:c r="C468" s="46" t="str">
        <x:v>L10 评分、报告与校准</x:v>
      </x:c>
      <x:c r="D468" s="46" t="str">
        <x:v>EXCHANGE-评分报告</x:v>
      </x:c>
      <x:c r="E468" s="46" t="str">
        <x:v>通用</x:v>
      </x:c>
      <x:c r="F468" s="46" t="str">
        <x:v>评分</x:v>
      </x:c>
      <x:c r="G468" s="46" t="str">
        <x:v>EP完整路径门槛</x:v>
      </x:c>
      <x:c r="H468" s="46" t="str"/>
      <x:c r="I468" s="46" t="str">
        <x:v>EP至少三个节点独立成立，且有回流或调整。</x:v>
      </x:c>
      <x:c r="J468" s="46" t="str">
        <x:v>PR0安全门控未通过时停止普通评分。</x:v>
      </x:c>
      <x:c r="K468" s="46" t="str">
        <x:v>由共享基础引擎、M3与M5-BASE提供；只修正用户怎样给予、请求、接收和回馈，不直接判断双方现实交换质量。</x:v>
      </x:c>
      <x:c r="L468" s="46" t="str">
        <x:v>M2只说明进入关系所需资格证据；不能替代长期双向交换、负荷与修复验证。</x:v>
      </x:c>
      <x:c r="M468" s="46" t="str">
        <x:v>M3-BASE、EXPR、CARE和BOUND提供用户自然互动通道；M5-EXCHANGE负责把两人的实际行为合成为交换结构。</x:v>
      </x:c>
      <x:c r="N468" s="46" t="str">
        <x:v>无／按本规则指定的给予—请求—接收—反馈—重订路径路由。</x:v>
      </x:c>
      <x:c r="O468" s="46" t="str">
        <x:v>近位、远位只修正该交换需求进入亲密关系核心的可能；不得据此判断具体伴侣现实中一定配合。</x:v>
      </x:c>
      <x:c r="P468" s="46" t="str">
        <x:v>根气只修正用户交换需求和通道是否稳定重复，不等于双方已形成成熟互惠。</x:v>
      </x:c>
      <x:c r="Q468" s="46" t="str">
        <x:v>旺弱只修正通道调用强度、抢位或缺位风险，不直接等于交换公平或关系质量。</x:v>
      </x:c>
      <x:c r="R468" s="46" t="str">
        <x:v>喜忌只修正调用顺畅度与摩擦，不可直接翻译为理想伴侣五行、十神或必然互补。</x:v>
      </x:c>
      <x:c r="S468" s="46" t="str">
        <x:v>真合化成立时按化神功能重算用户交换需求；合化争议时停止细化交换通道。</x:v>
      </x:c>
      <x:c r="T468" s="46" t="str">
        <x:v>近位提高该交换议题进入关系核心的可能；远位只保留背景或阶段性观察。</x:v>
      </x:c>
      <x:c r="U468" s="46" t="str">
        <x:v>82</x:v>
      </x:c>
      <x:c r="V468" s="46" t="str">
        <x:v>+12</x:v>
      </x:c>
      <x:c r="W468" s="46" t="str">
        <x:v>exchange_path_status</x:v>
      </x:c>
      <x:c r="X468" s="46" t="str">
        <x:v>第一步完成不算闭环。</x:v>
      </x:c>
      <x:c r="Y468" s="46" t="str">
        <x:v>第一步完成不算闭环。</x:v>
      </x:c>
      <x:c r="Z46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68" s="46" t="str">
        <x:v>中高</x:v>
      </x:c>
      <x:c r="AB468" s="46" t="str">
        <x:v>待验证</x:v>
      </x:c>
      <x:c r="AC468" s="46" t="str"/>
      <x:c r="AD468" s="46" t="str">
        <x:v>scoring_reporting=true; provisional=true; rule_group=EXCHANGE-评分报告</x:v>
      </x:c>
      <x:c r="AE468" s="46" t="str">
        <x:v>0.4</x:v>
      </x:c>
    </x:row>
    <x:row r="469" ht="50" customHeight="1">
      <x:c r="A469" s="46" t="str">
        <x:v>M5-EXCHANGE-468</x:v>
      </x:c>
      <x:c r="B469" s="46" t="str">
        <x:v>EP断链风险</x:v>
      </x:c>
      <x:c r="C469" s="46" t="str">
        <x:v>L10 评分、报告与校准</x:v>
      </x:c>
      <x:c r="D469" s="46" t="str">
        <x:v>EXCHANGE-评分报告</x:v>
      </x:c>
      <x:c r="E469" s="46" t="str">
        <x:v>通用</x:v>
      </x:c>
      <x:c r="F469" s="46" t="str">
        <x:v>评分</x:v>
      </x:c>
      <x:c r="G469" s="46" t="str">
        <x:v>EP断链风险</x:v>
      </x:c>
      <x:c r="H469" s="46" t="str"/>
      <x:c r="I469" s="46" t="str">
        <x:v>请求、回应、确认、调整中的必要节点长期缺失。</x:v>
      </x:c>
      <x:c r="J469" s="46" t="str">
        <x:v>PR0安全门控未通过时停止普通评分。</x:v>
      </x:c>
      <x:c r="K469" s="46" t="str">
        <x:v>由共享基础引擎、M3与M5-BASE提供；只修正用户怎样给予、请求、接收和回馈，不直接判断双方现实交换质量。</x:v>
      </x:c>
      <x:c r="L469" s="46" t="str">
        <x:v>M2只说明进入关系所需资格证据；不能替代长期双向交换、负荷与修复验证。</x:v>
      </x:c>
      <x:c r="M469" s="46" t="str">
        <x:v>M3-BASE、EXPR、CARE和BOUND提供用户自然互动通道；M5-EXCHANGE负责把两人的实际行为合成为交换结构。</x:v>
      </x:c>
      <x:c r="N469" s="46" t="str">
        <x:v>无／按本规则指定的给予—请求—接收—反馈—重订路径路由。</x:v>
      </x:c>
      <x:c r="O469" s="46" t="str">
        <x:v>近位、远位只修正该交换需求进入亲密关系核心的可能；不得据此判断具体伴侣现实中一定配合。</x:v>
      </x:c>
      <x:c r="P469" s="46" t="str">
        <x:v>根气只修正用户交换需求和通道是否稳定重复，不等于双方已形成成熟互惠。</x:v>
      </x:c>
      <x:c r="Q469" s="46" t="str">
        <x:v>旺弱只修正通道调用强度、抢位或缺位风险，不直接等于交换公平或关系质量。</x:v>
      </x:c>
      <x:c r="R469" s="46" t="str">
        <x:v>喜忌只修正调用顺畅度与摩擦，不可直接翻译为理想伴侣五行、十神或必然互补。</x:v>
      </x:c>
      <x:c r="S469" s="46" t="str">
        <x:v>真合化成立时按化神功能重算用户交换需求；合化争议时停止细化交换通道。</x:v>
      </x:c>
      <x:c r="T469" s="46" t="str">
        <x:v>近位提高该交换议题进入关系核心的可能；远位只保留背景或阶段性观察。</x:v>
      </x:c>
      <x:c r="U469" s="46" t="str">
        <x:v>82</x:v>
      </x:c>
      <x:c r="V469" s="46" t="str">
        <x:v>风险 +12</x:v>
      </x:c>
      <x:c r="W469" s="46" t="str">
        <x:v>exchange_path_status</x:v>
      </x:c>
      <x:c r="X469" s="46" t="str">
        <x:v>路由M4 K06/K08或对应EB。</x:v>
      </x:c>
      <x:c r="Y469" s="46" t="str">
        <x:v>路由M4 K06/K08或对应EB。</x:v>
      </x:c>
      <x:c r="Z46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69" s="46" t="str">
        <x:v>中高</x:v>
      </x:c>
      <x:c r="AB469" s="46" t="str">
        <x:v>待验证</x:v>
      </x:c>
      <x:c r="AC469" s="46" t="str"/>
      <x:c r="AD469" s="46" t="str">
        <x:v>scoring_reporting=true; provisional=true; rule_group=EXCHANGE-评分报告</x:v>
      </x:c>
      <x:c r="AE469" s="46" t="str">
        <x:v>0.4</x:v>
      </x:c>
    </x:row>
    <x:row r="470" ht="50" customHeight="1">
      <x:c r="A470" s="46" t="str">
        <x:v>M5-EXCHANGE-469</x:v>
      </x:c>
      <x:c r="B470" s="46" t="str">
        <x:v>M5-PARTNER个体能力加权</x:v>
      </x:c>
      <x:c r="C470" s="46" t="str">
        <x:v>L10 评分、报告与校准</x:v>
      </x:c>
      <x:c r="D470" s="46" t="str">
        <x:v>EXCHANGE-评分报告</x:v>
      </x:c>
      <x:c r="E470" s="46" t="str">
        <x:v>通用</x:v>
      </x:c>
      <x:c r="F470" s="46" t="str">
        <x:v>接口</x:v>
      </x:c>
      <x:c r="G470" s="46" t="str">
        <x:v>M5-PARTNER个体能力加权</x:v>
      </x:c>
      <x:c r="H470" s="46" t="str"/>
      <x:c r="I470" s="46" t="str">
        <x:v>PS01/PS02且PV4以上，但仍需双方交换事件。</x:v>
      </x:c>
      <x:c r="J470" s="46" t="str">
        <x:v>PR0安全门控未通过时停止普通评分。</x:v>
      </x:c>
      <x:c r="K470" s="46" t="str">
        <x:v>由共享基础引擎、M3与M5-BASE提供；只修正用户怎样给予、请求、接收和回馈，不直接判断双方现实交换质量。</x:v>
      </x:c>
      <x:c r="L470" s="46" t="str">
        <x:v>M2只说明进入关系所需资格证据；不能替代长期双向交换、负荷与修复验证。</x:v>
      </x:c>
      <x:c r="M470" s="46" t="str">
        <x:v>M3-BASE、EXPR、CARE和BOUND提供用户自然互动通道；M5-EXCHANGE负责把两人的实际行为合成为交换结构。</x:v>
      </x:c>
      <x:c r="N470" s="46" t="str">
        <x:v>无／按本规则指定的给予—请求—接收—反馈—重订路径路由。</x:v>
      </x:c>
      <x:c r="O470" s="46" t="str">
        <x:v>近位、远位只修正该交换需求进入亲密关系核心的可能；不得据此判断具体伴侣现实中一定配合。</x:v>
      </x:c>
      <x:c r="P470" s="46" t="str">
        <x:v>根气只修正用户交换需求和通道是否稳定重复，不等于双方已形成成熟互惠。</x:v>
      </x:c>
      <x:c r="Q470" s="46" t="str">
        <x:v>旺弱只修正通道调用强度、抢位或缺位风险，不直接等于交换公平或关系质量。</x:v>
      </x:c>
      <x:c r="R470" s="46" t="str">
        <x:v>喜忌只修正调用顺畅度与摩擦，不可直接翻译为理想伴侣五行、十神或必然互补。</x:v>
      </x:c>
      <x:c r="S470" s="46" t="str">
        <x:v>真合化成立时按化神功能重算用户交换需求；合化争议时停止细化交换通道。</x:v>
      </x:c>
      <x:c r="T470" s="46" t="str">
        <x:v>近位提高该交换议题进入关系核心的可能；远位只保留背景或阶段性观察。</x:v>
      </x:c>
      <x:c r="U470" s="46" t="str">
        <x:v>82</x:v>
      </x:c>
      <x:c r="V470" s="46" t="str">
        <x:v>+6</x:v>
      </x:c>
      <x:c r="W470" s="46" t="str">
        <x:v>partner_exchange_interface</x:v>
      </x:c>
      <x:c r="X470" s="46" t="str">
        <x:v>只提供前置支持，不直接建立XR01。</x:v>
      </x:c>
      <x:c r="Y470" s="46" t="str">
        <x:v>只提供前置支持，不直接建立XR01。</x:v>
      </x:c>
      <x:c r="Z47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70" s="46" t="str">
        <x:v>中高</x:v>
      </x:c>
      <x:c r="AB470" s="46" t="str">
        <x:v>待验证</x:v>
      </x:c>
      <x:c r="AC470" s="46" t="str"/>
      <x:c r="AD470" s="46" t="str">
        <x:v>scoring_reporting=true; provisional=true; rule_group=EXCHANGE-评分报告</x:v>
      </x:c>
      <x:c r="AE470" s="46" t="str">
        <x:v>0.4</x:v>
      </x:c>
    </x:row>
    <x:row r="471" ht="50" customHeight="1">
      <x:c r="A471" s="46" t="str">
        <x:v>M5-EXCHANGE-470</x:v>
      </x:c>
      <x:c r="B471" s="46" t="str">
        <x:v>M3-CARE一致性加权</x:v>
      </x:c>
      <x:c r="C471" s="46" t="str">
        <x:v>L10 评分、报告与校准</x:v>
      </x:c>
      <x:c r="D471" s="46" t="str">
        <x:v>EXCHANGE-评分报告</x:v>
      </x:c>
      <x:c r="E471" s="46" t="str">
        <x:v>通用</x:v>
      </x:c>
      <x:c r="F471" s="46" t="str">
        <x:v>接口</x:v>
      </x:c>
      <x:c r="G471" s="46" t="str">
        <x:v>M3-CARE一致性加权</x:v>
      </x:c>
      <x:c r="H471" s="46" t="str"/>
      <x:c r="I471" s="46" t="str">
        <x:v>用户真实给予、请求和接收方式与EC候选一致。</x:v>
      </x:c>
      <x:c r="J471" s="46" t="str">
        <x:v>PR0安全门控未通过时停止普通评分。</x:v>
      </x:c>
      <x:c r="K471" s="46" t="str">
        <x:v>由共享基础引擎、M3与M5-BASE提供；只修正用户怎样给予、请求、接收和回馈，不直接判断双方现实交换质量。</x:v>
      </x:c>
      <x:c r="L471" s="46" t="str">
        <x:v>M2只说明进入关系所需资格证据；不能替代长期双向交换、负荷与修复验证。</x:v>
      </x:c>
      <x:c r="M471" s="46" t="str">
        <x:v>M3-BASE、EXPR、CARE和BOUND提供用户自然互动通道；M5-EXCHANGE负责把两人的实际行为合成为交换结构。</x:v>
      </x:c>
      <x:c r="N471" s="46" t="str">
        <x:v>无／按本规则指定的给予—请求—接收—反馈—重订路径路由。</x:v>
      </x:c>
      <x:c r="O471" s="46" t="str">
        <x:v>近位、远位只修正该交换需求进入亲密关系核心的可能；不得据此判断具体伴侣现实中一定配合。</x:v>
      </x:c>
      <x:c r="P471" s="46" t="str">
        <x:v>根气只修正用户交换需求和通道是否稳定重复，不等于双方已形成成熟互惠。</x:v>
      </x:c>
      <x:c r="Q471" s="46" t="str">
        <x:v>旺弱只修正通道调用强度、抢位或缺位风险，不直接等于交换公平或关系质量。</x:v>
      </x:c>
      <x:c r="R471" s="46" t="str">
        <x:v>喜忌只修正调用顺畅度与摩擦，不可直接翻译为理想伴侣五行、十神或必然互补。</x:v>
      </x:c>
      <x:c r="S471" s="46" t="str">
        <x:v>真合化成立时按化神功能重算用户交换需求；合化争议时停止细化交换通道。</x:v>
      </x:c>
      <x:c r="T471" s="46" t="str">
        <x:v>近位提高该交换议题进入关系核心的可能；远位只保留背景或阶段性观察。</x:v>
      </x:c>
      <x:c r="U471" s="46" t="str">
        <x:v>82</x:v>
      </x:c>
      <x:c r="V471" s="46" t="str">
        <x:v>+6</x:v>
      </x:c>
      <x:c r="W471" s="46" t="str">
        <x:v>care_exchange_interface</x:v>
      </x:c>
      <x:c r="X471" s="46" t="str">
        <x:v>提高用户侧可执行性。</x:v>
      </x:c>
      <x:c r="Y471" s="46" t="str">
        <x:v>提高用户侧可执行性。</x:v>
      </x:c>
      <x:c r="Z471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71" s="46" t="str">
        <x:v>中高</x:v>
      </x:c>
      <x:c r="AB471" s="46" t="str">
        <x:v>待验证</x:v>
      </x:c>
      <x:c r="AC471" s="46" t="str"/>
      <x:c r="AD471" s="46" t="str">
        <x:v>scoring_reporting=true; provisional=true; rule_group=EXCHANGE-评分报告</x:v>
      </x:c>
      <x:c r="AE471" s="46" t="str">
        <x:v>0.4</x:v>
      </x:c>
    </x:row>
    <x:row r="472" ht="50" customHeight="1">
      <x:c r="A472" s="46" t="str">
        <x:v>M5-EXCHANGE-471</x:v>
      </x:c>
      <x:c r="B472" s="46" t="str">
        <x:v>M4保护因素现实有效加权</x:v>
      </x:c>
      <x:c r="C472" s="46" t="str">
        <x:v>L10 评分、报告与校准</x:v>
      </x:c>
      <x:c r="D472" s="46" t="str">
        <x:v>EXCHANGE-评分报告</x:v>
      </x:c>
      <x:c r="E472" s="46" t="str">
        <x:v>通用</x:v>
      </x:c>
      <x:c r="F472" s="46" t="str">
        <x:v>接口</x:v>
      </x:c>
      <x:c r="G472" s="46" t="str">
        <x:v>M4保护因素现实有效加权</x:v>
      </x:c>
      <x:c r="H472" s="46" t="str"/>
      <x:c r="I472" s="46" t="str">
        <x:v>BF达到BL5以上并改变同一交换风险链。</x:v>
      </x:c>
      <x:c r="J472" s="46" t="str">
        <x:v>PR0安全门控未通过时停止普通评分。</x:v>
      </x:c>
      <x:c r="K472" s="46" t="str">
        <x:v>由共享基础引擎、M3与M5-BASE提供；只修正用户怎样给予、请求、接收和回馈，不直接判断双方现实交换质量。</x:v>
      </x:c>
      <x:c r="L472" s="46" t="str">
        <x:v>M2只说明进入关系所需资格证据；不能替代长期双向交换、负荷与修复验证。</x:v>
      </x:c>
      <x:c r="M472" s="46" t="str">
        <x:v>M3-BASE、EXPR、CARE和BOUND提供用户自然互动通道；M5-EXCHANGE负责把两人的实际行为合成为交换结构。</x:v>
      </x:c>
      <x:c r="N472" s="46" t="str">
        <x:v>无／按本规则指定的给予—请求—接收—反馈—重订路径路由。</x:v>
      </x:c>
      <x:c r="O472" s="46" t="str">
        <x:v>近位、远位只修正该交换需求进入亲密关系核心的可能；不得据此判断具体伴侣现实中一定配合。</x:v>
      </x:c>
      <x:c r="P472" s="46" t="str">
        <x:v>根气只修正用户交换需求和通道是否稳定重复，不等于双方已形成成熟互惠。</x:v>
      </x:c>
      <x:c r="Q472" s="46" t="str">
        <x:v>旺弱只修正通道调用强度、抢位或缺位风险，不直接等于交换公平或关系质量。</x:v>
      </x:c>
      <x:c r="R472" s="46" t="str">
        <x:v>喜忌只修正调用顺畅度与摩擦，不可直接翻译为理想伴侣五行、十神或必然互补。</x:v>
      </x:c>
      <x:c r="S472" s="46" t="str">
        <x:v>真合化成立时按化神功能重算用户交换需求；合化争议时停止细化交换通道。</x:v>
      </x:c>
      <x:c r="T472" s="46" t="str">
        <x:v>近位提高该交换议题进入关系核心的可能；远位只保留背景或阶段性观察。</x:v>
      </x:c>
      <x:c r="U472" s="46" t="str">
        <x:v>82</x:v>
      </x:c>
      <x:c r="V472" s="46" t="str">
        <x:v>+8</x:v>
      </x:c>
      <x:c r="W472" s="46" t="str">
        <x:v>buffer_exchange_relation</x:v>
      </x:c>
      <x:c r="X472" s="46" t="str">
        <x:v>保护不删除历史风险。</x:v>
      </x:c>
      <x:c r="Y472" s="46" t="str">
        <x:v>保护不删除历史风险。</x:v>
      </x:c>
      <x:c r="Z472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72" s="46" t="str">
        <x:v>中高</x:v>
      </x:c>
      <x:c r="AB472" s="46" t="str">
        <x:v>待验证</x:v>
      </x:c>
      <x:c r="AC472" s="46" t="str"/>
      <x:c r="AD472" s="46" t="str">
        <x:v>scoring_reporting=true; provisional=true; rule_group=EXCHANGE-评分报告</x:v>
      </x:c>
      <x:c r="AE472" s="46" t="str">
        <x:v>0.4</x:v>
      </x:c>
    </x:row>
    <x:row r="473" ht="50" customHeight="1">
      <x:c r="A473" s="46" t="str">
        <x:v>M5-EXCHANGE-472</x:v>
      </x:c>
      <x:c r="B473" s="46" t="str">
        <x:v>安全门控</x:v>
      </x:c>
      <x:c r="C473" s="46" t="str">
        <x:v>L10 评分、报告与校准</x:v>
      </x:c>
      <x:c r="D473" s="46" t="str">
        <x:v>EXCHANGE-评分报告</x:v>
      </x:c>
      <x:c r="E473" s="46" t="str">
        <x:v>通用</x:v>
      </x:c>
      <x:c r="F473" s="46" t="str">
        <x:v>停止</x:v>
      </x:c>
      <x:c r="G473" s="46" t="str">
        <x:v>安全门控</x:v>
      </x:c>
      <x:c r="H473" s="46" t="str"/>
      <x:c r="I473" s="46" t="str">
        <x:v>存在暴力、威胁、强迫、经济控制、跟踪或反复越界。</x:v>
      </x:c>
      <x:c r="J473" s="46" t="str">
        <x:v>无</x:v>
      </x:c>
      <x:c r="K473" s="46" t="str">
        <x:v>由共享基础引擎、M3与M5-BASE提供；只修正用户怎样给予、请求、接收和回馈，不直接判断双方现实交换质量。</x:v>
      </x:c>
      <x:c r="L473" s="46" t="str">
        <x:v>M2只说明进入关系所需资格证据；不能替代长期双向交换、负荷与修复验证。</x:v>
      </x:c>
      <x:c r="M473" s="46" t="str">
        <x:v>M3-BASE、EXPR、CARE和BOUND提供用户自然互动通道；M5-EXCHANGE负责把两人的实际行为合成为交换结构。</x:v>
      </x:c>
      <x:c r="N473" s="46" t="str">
        <x:v>无／按本规则指定的给予—请求—接收—反馈—重订路径路由。</x:v>
      </x:c>
      <x:c r="O473" s="46" t="str">
        <x:v>近位、远位只修正该交换需求进入亲密关系核心的可能；不得据此判断具体伴侣现实中一定配合。</x:v>
      </x:c>
      <x:c r="P473" s="46" t="str">
        <x:v>根气只修正用户交换需求和通道是否稳定重复，不等于双方已形成成熟互惠。</x:v>
      </x:c>
      <x:c r="Q473" s="46" t="str">
        <x:v>旺弱只修正通道调用强度、抢位或缺位风险，不直接等于交换公平或关系质量。</x:v>
      </x:c>
      <x:c r="R473" s="46" t="str">
        <x:v>喜忌只修正调用顺畅度与摩擦，不可直接翻译为理想伴侣五行、十神或必然互补。</x:v>
      </x:c>
      <x:c r="S473" s="46" t="str">
        <x:v>真合化成立时按化神功能重算用户交换需求；合化争议时停止细化交换通道。</x:v>
      </x:c>
      <x:c r="T473" s="46" t="str">
        <x:v>近位提高该交换议题进入关系核心的可能；远位只保留背景或阶段性观察。</x:v>
      </x:c>
      <x:c r="U473" s="46" t="str">
        <x:v>98</x:v>
      </x:c>
      <x:c r="V473" s="46" t="str">
        <x:v>停止</x:v>
      </x:c>
      <x:c r="W473" s="46" t="str">
        <x:v>report_status</x:v>
      </x:c>
      <x:c r="X473" s="46" t="str">
        <x:v>停止普通互惠与互补分析。</x:v>
      </x:c>
      <x:c r="Y473" s="46" t="str">
        <x:v>停止普通互惠与互补分析。</x:v>
      </x:c>
      <x:c r="Z473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73" s="46" t="str">
        <x:v>高</x:v>
      </x:c>
      <x:c r="AB473" s="46" t="str">
        <x:v>待验证</x:v>
      </x:c>
      <x:c r="AC473" s="46" t="str"/>
      <x:c r="AD473" s="46" t="str">
        <x:v>scoring_reporting=true; provisional=true; rule_group=EXCHANGE-评分报告</x:v>
      </x:c>
      <x:c r="AE473" s="46" t="str">
        <x:v>0.4</x:v>
      </x:c>
    </x:row>
    <x:row r="474" ht="50" customHeight="1">
      <x:c r="A474" s="46" t="str">
        <x:v>M5-EXCHANGE-473</x:v>
      </x:c>
      <x:c r="B474" s="46" t="str">
        <x:v>报告第一段｜主交换通道</x:v>
      </x:c>
      <x:c r="C474" s="46" t="str">
        <x:v>L10 评分、报告与校准</x:v>
      </x:c>
      <x:c r="D474" s="46" t="str">
        <x:v>EXCHANGE-评分报告</x:v>
      </x:c>
      <x:c r="E474" s="46" t="str">
        <x:v>通用</x:v>
      </x:c>
      <x:c r="F474" s="46" t="str">
        <x:v>输出</x:v>
      </x:c>
      <x:c r="G474" s="46" t="str">
        <x:v>报告第一段｜主交换通道</x:v>
      </x:c>
      <x:c r="H474" s="46" t="str"/>
      <x:c r="I474" s="46" t="str">
        <x:v>主EC完成。</x:v>
      </x:c>
      <x:c r="J474" s="46" t="str">
        <x:v>PR0安全门控未通过时停止普通评分。</x:v>
      </x:c>
      <x:c r="K474" s="46" t="str">
        <x:v>由共享基础引擎、M3与M5-BASE提供；只修正用户怎样给予、请求、接收和回馈，不直接判断双方现实交换质量。</x:v>
      </x:c>
      <x:c r="L474" s="46" t="str">
        <x:v>M2只说明进入关系所需资格证据；不能替代长期双向交换、负荷与修复验证。</x:v>
      </x:c>
      <x:c r="M474" s="46" t="str">
        <x:v>M3-BASE、EXPR、CARE和BOUND提供用户自然互动通道；M5-EXCHANGE负责把两人的实际行为合成为交换结构。</x:v>
      </x:c>
      <x:c r="N474" s="46" t="str">
        <x:v>无／按本规则指定的给予—请求—接收—反馈—重订路径路由。</x:v>
      </x:c>
      <x:c r="O474" s="46" t="str">
        <x:v>近位、远位只修正该交换需求进入亲密关系核心的可能；不得据此判断具体伴侣现实中一定配合。</x:v>
      </x:c>
      <x:c r="P474" s="46" t="str">
        <x:v>根气只修正用户交换需求和通道是否稳定重复，不等于双方已形成成熟互惠。</x:v>
      </x:c>
      <x:c r="Q474" s="46" t="str">
        <x:v>旺弱只修正通道调用强度、抢位或缺位风险，不直接等于交换公平或关系质量。</x:v>
      </x:c>
      <x:c r="R474" s="46" t="str">
        <x:v>喜忌只修正调用顺畅度与摩擦，不可直接翻译为理想伴侣五行、十神或必然互补。</x:v>
      </x:c>
      <x:c r="S474" s="46" t="str">
        <x:v>真合化成立时按化神功能重算用户交换需求；合化争议时停止细化交换通道。</x:v>
      </x:c>
      <x:c r="T474" s="46" t="str">
        <x:v>近位提高该交换议题进入关系核心的可能；远位只保留背景或阶段性观察。</x:v>
      </x:c>
      <x:c r="U474" s="46" t="str">
        <x:v>82</x:v>
      </x:c>
      <x:c r="V474" s="46" t="str">
        <x:v>不加分</x:v>
      </x:c>
      <x:c r="W474" s="46" t="str">
        <x:v>report_text</x:v>
      </x:c>
      <x:c r="X474" s="46" t="str">
        <x:v>说明双方怎样给予、请求、接收和回馈。</x:v>
      </x:c>
      <x:c r="Y474" s="46" t="str">
        <x:v>说明双方怎样给予、请求、接收和回馈。</x:v>
      </x:c>
      <x:c r="Z474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74" s="46" t="str">
        <x:v>中高</x:v>
      </x:c>
      <x:c r="AB474" s="46" t="str">
        <x:v>待验证</x:v>
      </x:c>
      <x:c r="AC474" s="46" t="str"/>
      <x:c r="AD474" s="46" t="str">
        <x:v>scoring_reporting=true; provisional=true; rule_group=EXCHANGE-评分报告</x:v>
      </x:c>
      <x:c r="AE474" s="46" t="str">
        <x:v>0.4</x:v>
      </x:c>
    </x:row>
    <x:row r="475" ht="50" customHeight="1">
      <x:c r="A475" s="46" t="str">
        <x:v>M5-EXCHANGE-474</x:v>
      </x:c>
      <x:c r="B475" s="46" t="str">
        <x:v>报告第二段｜交换模式与时序</x:v>
      </x:c>
      <x:c r="C475" s="46" t="str">
        <x:v>L10 评分、报告与校准</x:v>
      </x:c>
      <x:c r="D475" s="46" t="str">
        <x:v>EXCHANGE-评分报告</x:v>
      </x:c>
      <x:c r="E475" s="46" t="str">
        <x:v>通用</x:v>
      </x:c>
      <x:c r="F475" s="46" t="str">
        <x:v>输出</x:v>
      </x:c>
      <x:c r="G475" s="46" t="str">
        <x:v>报告第二段｜交换模式与时序</x:v>
      </x:c>
      <x:c r="H475" s="46" t="str"/>
      <x:c r="I475" s="46" t="str">
        <x:v>EM与ED06完成。</x:v>
      </x:c>
      <x:c r="J475" s="46" t="str">
        <x:v>PR0安全门控未通过时停止普通评分。</x:v>
      </x:c>
      <x:c r="K475" s="46" t="str">
        <x:v>由共享基础引擎、M3与M5-BASE提供；只修正用户怎样给予、请求、接收和回馈，不直接判断双方现实交换质量。</x:v>
      </x:c>
      <x:c r="L475" s="46" t="str">
        <x:v>M2只说明进入关系所需资格证据；不能替代长期双向交换、负荷与修复验证。</x:v>
      </x:c>
      <x:c r="M475" s="46" t="str">
        <x:v>M3-BASE、EXPR、CARE和BOUND提供用户自然互动通道；M5-EXCHANGE负责把两人的实际行为合成为交换结构。</x:v>
      </x:c>
      <x:c r="N475" s="46" t="str">
        <x:v>无／按本规则指定的给予—请求—接收—反馈—重订路径路由。</x:v>
      </x:c>
      <x:c r="O475" s="46" t="str">
        <x:v>近位、远位只修正该交换需求进入亲密关系核心的可能；不得据此判断具体伴侣现实中一定配合。</x:v>
      </x:c>
      <x:c r="P475" s="46" t="str">
        <x:v>根气只修正用户交换需求和通道是否稳定重复，不等于双方已形成成熟互惠。</x:v>
      </x:c>
      <x:c r="Q475" s="46" t="str">
        <x:v>旺弱只修正通道调用强度、抢位或缺位风险，不直接等于交换公平或关系质量。</x:v>
      </x:c>
      <x:c r="R475" s="46" t="str">
        <x:v>喜忌只修正调用顺畅度与摩擦，不可直接翻译为理想伴侣五行、十神或必然互补。</x:v>
      </x:c>
      <x:c r="S475" s="46" t="str">
        <x:v>真合化成立时按化神功能重算用户交换需求；合化争议时停止细化交换通道。</x:v>
      </x:c>
      <x:c r="T475" s="46" t="str">
        <x:v>近位提高该交换议题进入关系核心的可能；远位只保留背景或阶段性观察。</x:v>
      </x:c>
      <x:c r="U475" s="46" t="str">
        <x:v>82</x:v>
      </x:c>
      <x:c r="V475" s="46" t="str">
        <x:v>不加分</x:v>
      </x:c>
      <x:c r="W475" s="46" t="str">
        <x:v>report_text</x:v>
      </x:c>
      <x:c r="X475" s="46" t="str">
        <x:v>说明同步、错峰、分工或接力。</x:v>
      </x:c>
      <x:c r="Y475" s="46" t="str">
        <x:v>说明同步、错峰、分工或接力。</x:v>
      </x:c>
      <x:c r="Z475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75" s="46" t="str">
        <x:v>中高</x:v>
      </x:c>
      <x:c r="AB475" s="46" t="str">
        <x:v>待验证</x:v>
      </x:c>
      <x:c r="AC475" s="46" t="str"/>
      <x:c r="AD475" s="46" t="str">
        <x:v>scoring_reporting=true; provisional=true; rule_group=EXCHANGE-评分报告</x:v>
      </x:c>
      <x:c r="AE475" s="46" t="str">
        <x:v>0.4</x:v>
      </x:c>
    </x:row>
    <x:row r="476" ht="50" customHeight="1">
      <x:c r="A476" s="46" t="str">
        <x:v>M5-EXCHANGE-475</x:v>
      </x:c>
      <x:c r="B476" s="46" t="str">
        <x:v>报告第三段｜负荷与边界</x:v>
      </x:c>
      <x:c r="C476" s="46" t="str">
        <x:v>L10 评分、报告与校准</x:v>
      </x:c>
      <x:c r="D476" s="46" t="str">
        <x:v>EXCHANGE-评分报告</x:v>
      </x:c>
      <x:c r="E476" s="46" t="str">
        <x:v>通用</x:v>
      </x:c>
      <x:c r="F476" s="46" t="str">
        <x:v>输出</x:v>
      </x:c>
      <x:c r="G476" s="46" t="str">
        <x:v>报告第三段｜负荷与边界</x:v>
      </x:c>
      <x:c r="H476" s="46" t="str"/>
      <x:c r="I476" s="46" t="str">
        <x:v>ED07、ED08、ED09完成。</x:v>
      </x:c>
      <x:c r="J476" s="46" t="str">
        <x:v>PR0安全门控未通过时停止普通评分。</x:v>
      </x:c>
      <x:c r="K476" s="46" t="str">
        <x:v>由共享基础引擎、M3与M5-BASE提供；只修正用户怎样给予、请求、接收和回馈，不直接判断双方现实交换质量。</x:v>
      </x:c>
      <x:c r="L476" s="46" t="str">
        <x:v>M2只说明进入关系所需资格证据；不能替代长期双向交换、负荷与修复验证。</x:v>
      </x:c>
      <x:c r="M476" s="46" t="str">
        <x:v>M3-BASE、EXPR、CARE和BOUND提供用户自然互动通道；M5-EXCHANGE负责把两人的实际行为合成为交换结构。</x:v>
      </x:c>
      <x:c r="N476" s="46" t="str">
        <x:v>无／按本规则指定的给予—请求—接收—反馈—重订路径路由。</x:v>
      </x:c>
      <x:c r="O476" s="46" t="str">
        <x:v>近位、远位只修正该交换需求进入亲密关系核心的可能；不得据此判断具体伴侣现实中一定配合。</x:v>
      </x:c>
      <x:c r="P476" s="46" t="str">
        <x:v>根气只修正用户交换需求和通道是否稳定重复，不等于双方已形成成熟互惠。</x:v>
      </x:c>
      <x:c r="Q476" s="46" t="str">
        <x:v>旺弱只修正通道调用强度、抢位或缺位风险，不直接等于交换公平或关系质量。</x:v>
      </x:c>
      <x:c r="R476" s="46" t="str">
        <x:v>喜忌只修正调用顺畅度与摩擦，不可直接翻译为理想伴侣五行、十神或必然互补。</x:v>
      </x:c>
      <x:c r="S476" s="46" t="str">
        <x:v>真合化成立时按化神功能重算用户交换需求；合化争议时停止细化交换通道。</x:v>
      </x:c>
      <x:c r="T476" s="46" t="str">
        <x:v>近位提高该交换议题进入关系核心的可能；远位只保留背景或阶段性观察。</x:v>
      </x:c>
      <x:c r="U476" s="46" t="str">
        <x:v>82</x:v>
      </x:c>
      <x:c r="V476" s="46" t="str">
        <x:v>不加分</x:v>
      </x:c>
      <x:c r="W476" s="46" t="str">
        <x:v>report_text</x:v>
      </x:c>
      <x:c r="X476" s="46" t="str">
        <x:v>说明负荷是否可持续、边界是否可重订。</x:v>
      </x:c>
      <x:c r="Y476" s="46" t="str">
        <x:v>说明负荷是否可持续、边界是否可重订。</x:v>
      </x:c>
      <x:c r="Z476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76" s="46" t="str">
        <x:v>中高</x:v>
      </x:c>
      <x:c r="AB476" s="46" t="str">
        <x:v>待验证</x:v>
      </x:c>
      <x:c r="AC476" s="46" t="str"/>
      <x:c r="AD476" s="46" t="str">
        <x:v>scoring_reporting=true; provisional=true; rule_group=EXCHANGE-评分报告</x:v>
      </x:c>
      <x:c r="AE476" s="46" t="str">
        <x:v>0.4</x:v>
      </x:c>
    </x:row>
    <x:row r="477" ht="50" customHeight="1">
      <x:c r="A477" s="46" t="str">
        <x:v>M5-EXCHANGE-476</x:v>
      </x:c>
      <x:c r="B477" s="46" t="str">
        <x:v>报告第四段｜风险与修复</x:v>
      </x:c>
      <x:c r="C477" s="46" t="str">
        <x:v>L10 评分、报告与校准</x:v>
      </x:c>
      <x:c r="D477" s="46" t="str">
        <x:v>EXCHANGE-评分报告</x:v>
      </x:c>
      <x:c r="E477" s="46" t="str">
        <x:v>通用</x:v>
      </x:c>
      <x:c r="F477" s="46" t="str">
        <x:v>输出</x:v>
      </x:c>
      <x:c r="G477" s="46" t="str">
        <x:v>报告第四段｜风险与修复</x:v>
      </x:c>
      <x:c r="H477" s="46" t="str"/>
      <x:c r="I477" s="46" t="str">
        <x:v>EB、EP、ED10完成。</x:v>
      </x:c>
      <x:c r="J477" s="46" t="str">
        <x:v>PR0安全门控未通过时停止普通评分。</x:v>
      </x:c>
      <x:c r="K477" s="46" t="str">
        <x:v>由共享基础引擎、M3与M5-BASE提供；只修正用户怎样给予、请求、接收和回馈，不直接判断双方现实交换质量。</x:v>
      </x:c>
      <x:c r="L477" s="46" t="str">
        <x:v>M2只说明进入关系所需资格证据；不能替代长期双向交换、负荷与修复验证。</x:v>
      </x:c>
      <x:c r="M477" s="46" t="str">
        <x:v>M3-BASE、EXPR、CARE和BOUND提供用户自然互动通道；M5-EXCHANGE负责把两人的实际行为合成为交换结构。</x:v>
      </x:c>
      <x:c r="N477" s="46" t="str">
        <x:v>无／按本规则指定的给予—请求—接收—反馈—重订路径路由。</x:v>
      </x:c>
      <x:c r="O477" s="46" t="str">
        <x:v>近位、远位只修正该交换需求进入亲密关系核心的可能；不得据此判断具体伴侣现实中一定配合。</x:v>
      </x:c>
      <x:c r="P477" s="46" t="str">
        <x:v>根气只修正用户交换需求和通道是否稳定重复，不等于双方已形成成熟互惠。</x:v>
      </x:c>
      <x:c r="Q477" s="46" t="str">
        <x:v>旺弱只修正通道调用强度、抢位或缺位风险，不直接等于交换公平或关系质量。</x:v>
      </x:c>
      <x:c r="R477" s="46" t="str">
        <x:v>喜忌只修正调用顺畅度与摩擦，不可直接翻译为理想伴侣五行、十神或必然互补。</x:v>
      </x:c>
      <x:c r="S477" s="46" t="str">
        <x:v>真合化成立时按化神功能重算用户交换需求；合化争议时停止细化交换通道。</x:v>
      </x:c>
      <x:c r="T477" s="46" t="str">
        <x:v>近位提高该交换议题进入关系核心的可能；远位只保留背景或阶段性观察。</x:v>
      </x:c>
      <x:c r="U477" s="46" t="str">
        <x:v>82</x:v>
      </x:c>
      <x:c r="V477" s="46" t="str">
        <x:v>不加分</x:v>
      </x:c>
      <x:c r="W477" s="46" t="str">
        <x:v>report_text</x:v>
      </x:c>
      <x:c r="X477" s="46" t="str">
        <x:v>说明伪互惠、断链和修复重点。</x:v>
      </x:c>
      <x:c r="Y477" s="46" t="str">
        <x:v>说明伪互惠、断链和修复重点。</x:v>
      </x:c>
      <x:c r="Z477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77" s="46" t="str">
        <x:v>中高</x:v>
      </x:c>
      <x:c r="AB477" s="46" t="str">
        <x:v>待验证</x:v>
      </x:c>
      <x:c r="AC477" s="46" t="str"/>
      <x:c r="AD477" s="46" t="str">
        <x:v>scoring_reporting=true; provisional=true; rule_group=EXCHANGE-评分报告</x:v>
      </x:c>
      <x:c r="AE477" s="46" t="str">
        <x:v>0.4</x:v>
      </x:c>
    </x:row>
    <x:row r="478" ht="50" customHeight="1">
      <x:c r="A478" s="46" t="str">
        <x:v>M5-EXCHANGE-477</x:v>
      </x:c>
      <x:c r="B478" s="46" t="str">
        <x:v>报告第五段｜证据上限</x:v>
      </x:c>
      <x:c r="C478" s="46" t="str">
        <x:v>L10 评分、报告与校准</x:v>
      </x:c>
      <x:c r="D478" s="46" t="str">
        <x:v>EXCHANGE-评分报告</x:v>
      </x:c>
      <x:c r="E478" s="46" t="str">
        <x:v>通用</x:v>
      </x:c>
      <x:c r="F478" s="46" t="str">
        <x:v>输出</x:v>
      </x:c>
      <x:c r="G478" s="46" t="str">
        <x:v>报告第五段｜证据上限</x:v>
      </x:c>
      <x:c r="H478" s="46" t="str"/>
      <x:c r="I478" s="46" t="str">
        <x:v>XV完成。</x:v>
      </x:c>
      <x:c r="J478" s="46" t="str">
        <x:v>PR0安全门控未通过时停止普通评分。</x:v>
      </x:c>
      <x:c r="K478" s="46" t="str">
        <x:v>由共享基础引擎、M3与M5-BASE提供；只修正用户怎样给予、请求、接收和回馈，不直接判断双方现实交换质量。</x:v>
      </x:c>
      <x:c r="L478" s="46" t="str">
        <x:v>M2只说明进入关系所需资格证据；不能替代长期双向交换、负荷与修复验证。</x:v>
      </x:c>
      <x:c r="M478" s="46" t="str">
        <x:v>M3-BASE、EXPR、CARE和BOUND提供用户自然互动通道；M5-EXCHANGE负责把两人的实际行为合成为交换结构。</x:v>
      </x:c>
      <x:c r="N478" s="46" t="str">
        <x:v>无／按本规则指定的给予—请求—接收—反馈—重订路径路由。</x:v>
      </x:c>
      <x:c r="O478" s="46" t="str">
        <x:v>近位、远位只修正该交换需求进入亲密关系核心的可能；不得据此判断具体伴侣现实中一定配合。</x:v>
      </x:c>
      <x:c r="P478" s="46" t="str">
        <x:v>根气只修正用户交换需求和通道是否稳定重复，不等于双方已形成成熟互惠。</x:v>
      </x:c>
      <x:c r="Q478" s="46" t="str">
        <x:v>旺弱只修正通道调用强度、抢位或缺位风险，不直接等于交换公平或关系质量。</x:v>
      </x:c>
      <x:c r="R478" s="46" t="str">
        <x:v>喜忌只修正调用顺畅度与摩擦，不可直接翻译为理想伴侣五行、十神或必然互补。</x:v>
      </x:c>
      <x:c r="S478" s="46" t="str">
        <x:v>真合化成立时按化神功能重算用户交换需求；合化争议时停止细化交换通道。</x:v>
      </x:c>
      <x:c r="T478" s="46" t="str">
        <x:v>近位提高该交换议题进入关系核心的可能；远位只保留背景或阶段性观察。</x:v>
      </x:c>
      <x:c r="U478" s="46" t="str">
        <x:v>82</x:v>
      </x:c>
      <x:c r="V478" s="46" t="str">
        <x:v>不加分</x:v>
      </x:c>
      <x:c r="W478" s="46" t="str">
        <x:v>report_text</x:v>
      </x:c>
      <x:c r="X478" s="46" t="str">
        <x:v>明确目前能说什么、不能说什么。</x:v>
      </x:c>
      <x:c r="Y478" s="46" t="str">
        <x:v>明确目前能说什么、不能说什么。</x:v>
      </x:c>
      <x:c r="Z478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78" s="46" t="str">
        <x:v>中高</x:v>
      </x:c>
      <x:c r="AB478" s="46" t="str">
        <x:v>待验证</x:v>
      </x:c>
      <x:c r="AC478" s="46" t="str"/>
      <x:c r="AD478" s="46" t="str">
        <x:v>scoring_reporting=true; provisional=true; rule_group=EXCHANGE-评分报告</x:v>
      </x:c>
      <x:c r="AE478" s="46" t="str">
        <x:v>0.4</x:v>
      </x:c>
    </x:row>
    <x:row r="479" ht="50" customHeight="1">
      <x:c r="A479" s="46" t="str">
        <x:v>M5-EXCHANGE-478</x:v>
      </x:c>
      <x:c r="B479" s="46" t="str">
        <x:v>正文密度限制</x:v>
      </x:c>
      <x:c r="C479" s="46" t="str">
        <x:v>L10 评分、报告与校准</x:v>
      </x:c>
      <x:c r="D479" s="46" t="str">
        <x:v>EXCHANGE-评分报告</x:v>
      </x:c>
      <x:c r="E479" s="46" t="str">
        <x:v>通用</x:v>
      </x:c>
      <x:c r="F479" s="46" t="str">
        <x:v>边界</x:v>
      </x:c>
      <x:c r="G479" s="46" t="str">
        <x:v>正文密度限制</x:v>
      </x:c>
      <x:c r="H479" s="46" t="str"/>
      <x:c r="I479" s="46" t="str">
        <x:v>生成用户正文。</x:v>
      </x:c>
      <x:c r="J479" s="46" t="str">
        <x:v>PR0安全门控未通过时停止普通评分。</x:v>
      </x:c>
      <x:c r="K479" s="46" t="str">
        <x:v>由共享基础引擎、M3与M5-BASE提供；只修正用户怎样给予、请求、接收和回馈，不直接判断双方现实交换质量。</x:v>
      </x:c>
      <x:c r="L479" s="46" t="str">
        <x:v>M2只说明进入关系所需资格证据；不能替代长期双向交换、负荷与修复验证。</x:v>
      </x:c>
      <x:c r="M479" s="46" t="str">
        <x:v>M3-BASE、EXPR、CARE和BOUND提供用户自然互动通道；M5-EXCHANGE负责把两人的实际行为合成为交换结构。</x:v>
      </x:c>
      <x:c r="N479" s="46" t="str">
        <x:v>无／按本规则指定的给予—请求—接收—反馈—重订路径路由。</x:v>
      </x:c>
      <x:c r="O479" s="46" t="str">
        <x:v>近位、远位只修正该交换需求进入亲密关系核心的可能；不得据此判断具体伴侣现实中一定配合。</x:v>
      </x:c>
      <x:c r="P479" s="46" t="str">
        <x:v>根气只修正用户交换需求和通道是否稳定重复，不等于双方已形成成熟互惠。</x:v>
      </x:c>
      <x:c r="Q479" s="46" t="str">
        <x:v>旺弱只修正通道调用强度、抢位或缺位风险，不直接等于交换公平或关系质量。</x:v>
      </x:c>
      <x:c r="R479" s="46" t="str">
        <x:v>喜忌只修正调用顺畅度与摩擦，不可直接翻译为理想伴侣五行、十神或必然互补。</x:v>
      </x:c>
      <x:c r="S479" s="46" t="str">
        <x:v>真合化成立时按化神功能重算用户交换需求；合化争议时停止细化交换通道。</x:v>
      </x:c>
      <x:c r="T479" s="46" t="str">
        <x:v>近位提高该交换议题进入关系核心的可能；远位只保留背景或阶段性观察。</x:v>
      </x:c>
      <x:c r="U479" s="46" t="str">
        <x:v>98</x:v>
      </x:c>
      <x:c r="V479" s="46" t="str">
        <x:v>不加分</x:v>
      </x:c>
      <x:c r="W479" s="46" t="str">
        <x:v>report_text</x:v>
      </x:c>
      <x:c r="X479" s="46" t="str">
        <x:v>最多一主一次、一种EM、一个XR、一个风险和一个观察重点。</x:v>
      </x:c>
      <x:c r="Y479" s="46" t="str">
        <x:v>最多一主一次、一种EM、一个XR、一个风险和一个观察重点。</x:v>
      </x:c>
      <x:c r="Z479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79" s="46" t="str">
        <x:v>高</x:v>
      </x:c>
      <x:c r="AB479" s="46" t="str">
        <x:v>待验证</x:v>
      </x:c>
      <x:c r="AC479" s="46" t="str"/>
      <x:c r="AD479" s="46" t="str">
        <x:v>scoring_reporting=true; provisional=true; rule_group=EXCHANGE-评分报告</x:v>
      </x:c>
      <x:c r="AE479" s="46" t="str">
        <x:v>0.4</x:v>
      </x:c>
    </x:row>
    <x:row r="480" ht="50" customHeight="1">
      <x:c r="A480" s="46" t="str">
        <x:v>M5-EXCHANGE-479</x:v>
      </x:c>
      <x:c r="B480" s="46" t="str">
        <x:v>案例冻结预测</x:v>
      </x:c>
      <x:c r="C480" s="46" t="str">
        <x:v>L10 评分、报告与校准</x:v>
      </x:c>
      <x:c r="D480" s="46" t="str">
        <x:v>EXCHANGE-评分报告</x:v>
      </x:c>
      <x:c r="E480" s="46" t="str">
        <x:v>通用</x:v>
      </x:c>
      <x:c r="F480" s="46" t="str">
        <x:v>校准</x:v>
      </x:c>
      <x:c r="G480" s="46" t="str">
        <x:v>案例冻结预测</x:v>
      </x:c>
      <x:c r="H480" s="46" t="str"/>
      <x:c r="I480" s="46" t="str">
        <x:v>收集关系反馈前记录EC、EM、XR、XV和EB预测。</x:v>
      </x:c>
      <x:c r="J480" s="46" t="str">
        <x:v>PR0安全门控未通过时停止普通评分。</x:v>
      </x:c>
      <x:c r="K480" s="46" t="str">
        <x:v>由共享基础引擎、M3与M5-BASE提供；只修正用户怎样给予、请求、接收和回馈，不直接判断双方现实交换质量。</x:v>
      </x:c>
      <x:c r="L480" s="46" t="str">
        <x:v>M2只说明进入关系所需资格证据；不能替代长期双向交换、负荷与修复验证。</x:v>
      </x:c>
      <x:c r="M480" s="46" t="str">
        <x:v>M3-BASE、EXPR、CARE和BOUND提供用户自然互动通道；M5-EXCHANGE负责把两人的实际行为合成为交换结构。</x:v>
      </x:c>
      <x:c r="N480" s="46" t="str">
        <x:v>无／按本规则指定的给予—请求—接收—反馈—重订路径路由。</x:v>
      </x:c>
      <x:c r="O480" s="46" t="str">
        <x:v>近位、远位只修正该交换需求进入亲密关系核心的可能；不得据此判断具体伴侣现实中一定配合。</x:v>
      </x:c>
      <x:c r="P480" s="46" t="str">
        <x:v>根气只修正用户交换需求和通道是否稳定重复，不等于双方已形成成熟互惠。</x:v>
      </x:c>
      <x:c r="Q480" s="46" t="str">
        <x:v>旺弱只修正通道调用强度、抢位或缺位风险，不直接等于交换公平或关系质量。</x:v>
      </x:c>
      <x:c r="R480" s="46" t="str">
        <x:v>喜忌只修正调用顺畅度与摩擦，不可直接翻译为理想伴侣五行、十神或必然互补。</x:v>
      </x:c>
      <x:c r="S480" s="46" t="str">
        <x:v>真合化成立时按化神功能重算用户交换需求；合化争议时停止细化交换通道。</x:v>
      </x:c>
      <x:c r="T480" s="46" t="str">
        <x:v>近位提高该交换议题进入关系核心的可能；远位只保留背景或阶段性观察。</x:v>
      </x:c>
      <x:c r="U480" s="46" t="str">
        <x:v>82</x:v>
      </x:c>
      <x:c r="V480" s="46" t="str">
        <x:v>不加分</x:v>
      </x:c>
      <x:c r="W480" s="46" t="str">
        <x:v>case_refs</x:v>
      </x:c>
      <x:c r="X480" s="46" t="str">
        <x:v>防止事后挑选规则。</x:v>
      </x:c>
      <x:c r="Y480" s="46" t="str">
        <x:v>防止事后挑选规则。</x:v>
      </x:c>
      <x:c r="Z480" s="46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80" s="46" t="str">
        <x:v>中高</x:v>
      </x:c>
      <x:c r="AB480" s="46" t="str">
        <x:v>待验证</x:v>
      </x:c>
      <x:c r="AC480" s="46" t="str"/>
      <x:c r="AD480" s="46" t="str">
        <x:v>scoring_reporting=true; provisional=true; rule_group=EXCHANGE-评分报告</x:v>
      </x:c>
      <x:c r="AE480" s="46" t="str">
        <x:v>0.4</x:v>
      </x:c>
    </x:row>
    <x:row r="481" ht="50" customHeight="1">
      <x:c r="A481" s="47" t="str">
        <x:v>M5-EXCHANGE-480</x:v>
      </x:c>
      <x:c r="B481" s="47" t="str">
        <x:v>下一阶段路由M5-BOUND</x:v>
      </x:c>
      <x:c r="C481" s="47" t="str">
        <x:v>L10 评分、报告与校准</x:v>
      </x:c>
      <x:c r="D481" s="47" t="str">
        <x:v>EXCHANGE-评分报告</x:v>
      </x:c>
      <x:c r="E481" s="47" t="str">
        <x:v>通用</x:v>
      </x:c>
      <x:c r="F481" s="47" t="str">
        <x:v>路由</x:v>
      </x:c>
      <x:c r="G481" s="47" t="str">
        <x:v>下一阶段路由M5-BOUND</x:v>
      </x:c>
      <x:c r="H481" s="47" t="str"/>
      <x:c r="I481" s="47" t="str">
        <x:v>EXCHANGE模块完成。</x:v>
      </x:c>
      <x:c r="J481" s="47" t="str">
        <x:v>PR0安全门控未通过时停止普通评分。</x:v>
      </x:c>
      <x:c r="K481" s="47" t="str">
        <x:v>由共享基础引擎、M3与M5-BASE提供；只修正用户怎样给予、请求、接收和回馈，不直接判断双方现实交换质量。</x:v>
      </x:c>
      <x:c r="L481" s="47" t="str">
        <x:v>M2只说明进入关系所需资格证据；不能替代长期双向交换、负荷与修复验证。</x:v>
      </x:c>
      <x:c r="M481" s="47" t="str">
        <x:v>M3-BASE、EXPR、CARE和BOUND提供用户自然互动通道；M5-EXCHANGE负责把两人的实际行为合成为交换结构。</x:v>
      </x:c>
      <x:c r="N481" s="47" t="str">
        <x:v>无／按本规则指定的给予—请求—接收—反馈—重订路径路由。</x:v>
      </x:c>
      <x:c r="O481" s="47" t="str">
        <x:v>近位、远位只修正该交换需求进入亲密关系核心的可能；不得据此判断具体伴侣现实中一定配合。</x:v>
      </x:c>
      <x:c r="P481" s="47" t="str">
        <x:v>根气只修正用户交换需求和通道是否稳定重复，不等于双方已形成成熟互惠。</x:v>
      </x:c>
      <x:c r="Q481" s="47" t="str">
        <x:v>旺弱只修正通道调用强度、抢位或缺位风险，不直接等于交换公平或关系质量。</x:v>
      </x:c>
      <x:c r="R481" s="47" t="str">
        <x:v>喜忌只修正调用顺畅度与摩擦，不可直接翻译为理想伴侣五行、十神或必然互补。</x:v>
      </x:c>
      <x:c r="S481" s="47" t="str">
        <x:v>真合化成立时按化神功能重算用户交换需求；合化争议时停止细化交换通道。</x:v>
      </x:c>
      <x:c r="T481" s="47" t="str">
        <x:v>近位提高该交换议题进入关系核心的可能；远位只保留背景或阶段性观察。</x:v>
      </x:c>
      <x:c r="U481" s="47" t="str">
        <x:v>82</x:v>
      </x:c>
      <x:c r="V481" s="47" t="str">
        <x:v>路由至M5-BOUND</x:v>
      </x:c>
      <x:c r="W481" s="47" t="str">
        <x:v>report_status</x:v>
      </x:c>
      <x:c r="X481" s="47" t="str">
        <x:v>下一模块建立边界、决定权、资源和亲密空间结构。</x:v>
      </x:c>
      <x:c r="Y481" s="47" t="str">
        <x:v>下一模块建立边界、决定权、资源和亲密空间结构。</x:v>
      </x:c>
      <x:c r="Z481" s="47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481" s="47" t="str">
        <x:v>中高</x:v>
      </x:c>
      <x:c r="AB481" s="47" t="str">
        <x:v>待验证</x:v>
      </x:c>
      <x:c r="AC481" s="47" t="str"/>
      <x:c r="AD481" s="47" t="str">
        <x:v>scoring_reporting=true; provisional=true; rule_group=EXCHANGE-评分报告</x:v>
      </x:c>
      <x:c r="AE481" s="47" t="str">
        <x:v>0.4</x:v>
      </x:c>
    </x:row>
  </x:sheetData>
  <x:conditionalFormatting sqref="AB2:AB481">
    <x:cfRule type="expression" dxfId="0" priority="1">
      <x:formula>$AB2="已验证"</x:formula>
    </x:cfRule>
    <x:cfRule type="expression" dxfId="1" priority="2">
      <x:formula>$AB2="需修改"</x:formula>
    </x:cfRule>
    <x:cfRule type="expression" dxfId="2" priority="3">
      <x:formula>$AB2="停用"</x:formula>
    </x:cfRule>
  </x:conditionalFormatting>
  <x:dataValidations count="2">
    <x:dataValidation type="list" sqref="AA2:AA481">
      <x:formula1>"高,中高,中,中低,低,停止"</x:formula1>
    </x:dataValidation>
    <x:dataValidation type="list" sqref="AB2:AB481">
      <x:formula1>"待验证,已验证,需修改,停用"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8385a84a6546a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52" hidden="0" customWidth="1"/>
    <x:col min="5" max="5" width="52" hidden="0" customWidth="1"/>
    <x:col min="6" max="6" width="54" hidden="0" customWidth="1"/>
  </x:cols>
  <x:sheetData>
    <x:row r="1">
      <x:c r="A1" s="9" t="str">
        <x:v>高优先级门控、现实证据与停止规则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先执行安全、证据、合化、同源去重和现实反例规则。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触发条件</x:v>
      </x:c>
      <x:c r="E5" s="35" t="str">
        <x:v>停止／排除</x:v>
      </x:c>
      <x:c r="F5" s="35" t="str">
        <x:v>用户语言</x:v>
      </x:c>
    </x:row>
    <x:row r="6">
      <x:c r="A6" s="46" t="str">
        <x:v>M5-EXCHANGE-001</x:v>
      </x:c>
      <x:c r="B6" s="46" t="str">
        <x:v>M5-EXCHANGE正式定义｜表达、支持、投入与双向交换</x:v>
      </x:c>
      <x:c r="C6" s="46" t="str">
        <x:v>定义</x:v>
      </x:c>
      <x:c r="D6" s="46" t="str">
        <x:v>M5-BASE与M5-PARTNER已形成主FN、次FN和具体对象观察画像。</x:v>
      </x:c>
      <x:c r="E6" s="46" t="str">
        <x:v>PR0安全门控未通过、具体对象资料完全缺失或基础状态未定。</x:v>
      </x:c>
      <x:c r="F6" s="46" t="str">
        <x:v>这一部分看的是双方怎样把支持和投入真正交换起来。</x:v>
      </x:c>
    </x:row>
    <x:row r="7">
      <x:c r="A7" s="46" t="str">
        <x:v>M5-EXCHANGE-002</x:v>
      </x:c>
      <x:c r="B7" s="46" t="str">
        <x:v>交换不等于等量｜公平与50/50分开</x:v>
      </x:c>
      <x:c r="C7" s="46" t="str">
        <x:v>边界</x:v>
      </x:c>
      <x:c r="D7" s="46" t="str">
        <x:v>分析负荷、公平或互惠。</x:v>
      </x:c>
      <x:c r="E7" s="46" t="str">
        <x:v>直接用次数、金额或时间做机械等量判断。</x:v>
      </x:c>
      <x:c r="F7" s="46" t="str">
        <x:v>公平不一定是每项对半，而是双方都知情、可承受并能重新协商。</x:v>
      </x:c>
    </x:row>
    <x:row r="8">
      <x:c r="A8" s="46" t="str">
        <x:v>M5-EXCHANGE-003</x:v>
      </x:c>
      <x:c r="B8" s="46" t="str">
        <x:v>给予、请求、接收和回馈必须分开</x:v>
      </x:c>
      <x:c r="C8" s="46" t="str">
        <x:v>定义</x:v>
      </x:c>
      <x:c r="D8" s="46" t="str">
        <x:v>分析任一支持或投入通道。</x:v>
      </x:c>
      <x:c r="E8" s="46" t="str">
        <x:v>把会给予自动等同会请求、会接收或会回馈。</x:v>
      </x:c>
      <x:c r="F8" s="46" t="str">
        <x:v>一个人很会付出，不代表他也能说出需要、接受帮助或接收反馈。</x:v>
      </x:c>
    </x:row>
    <x:row r="9">
      <x:c r="A9" s="46" t="str">
        <x:v>M5-EXCHANGE-004</x:v>
      </x:c>
      <x:c r="B9" s="46" t="str">
        <x:v>单向可见不等于单向关系</x:v>
      </x:c>
      <x:c r="C9" s="46" t="str">
        <x:v>边界</x:v>
      </x:c>
      <x:c r="D9" s="46" t="str">
        <x:v>现有资料只清楚记录一方行为。</x:v>
      </x:c>
      <x:c r="E9" s="46" t="str">
        <x:v>未检查隐性贡献、错峰、分工和资料缺失。</x:v>
      </x:c>
      <x:c r="F9" s="46" t="str">
        <x:v>目前只容易看见一侧，先不要急着判断另一方完全没有投入。</x:v>
      </x:c>
    </x:row>
    <x:row r="10">
      <x:c r="A10" s="46" t="str">
        <x:v>M5-EXCHANGE-005</x:v>
      </x:c>
      <x:c r="B10" s="46" t="str">
        <x:v>暂时不对称不等于长期失衡</x:v>
      </x:c>
      <x:c r="C10" s="46" t="str">
        <x:v>边界</x:v>
      </x:c>
      <x:c r="D10" s="46" t="str">
        <x:v>疾病、工作、育儿、照护或危机阶段贡献不对称。</x:v>
      </x:c>
      <x:c r="E10" s="46" t="str">
        <x:v>没有重订点、恢复资料或长期事件。</x:v>
      </x:c>
      <x:c r="F10" s="46" t="str">
        <x:v>某个阶段一方承担更多，不等于长期都必须这样。</x:v>
      </x:c>
    </x:row>
    <x:row r="11">
      <x:c r="A11" s="46" t="str">
        <x:v>M5-EXCHANGE-006</x:v>
      </x:c>
      <x:c r="B11" s="46" t="str">
        <x:v>交换结构必须保留同意与选择权</x:v>
      </x:c>
      <x:c r="C11" s="46" t="str">
        <x:v>安全</x:v>
      </x:c>
      <x:c r="D11" s="46" t="str">
        <x:v>分析帮助、保护、资源、亲密或决定权。</x:v>
      </x:c>
      <x:c r="E11" s="46" t="str">
        <x:v>存在强迫、暴力、威胁、经济控制、跟踪或反复越界。</x:v>
      </x:c>
      <x:c r="F11" s="46" t="str">
        <x:v>任何付出和保护都不能成为越过同意与选择权的理由。</x:v>
      </x:c>
    </x:row>
    <x:row r="12">
      <x:c r="A12" s="46" t="str">
        <x:v>M5-EXCHANGE-007</x:v>
      </x:c>
      <x:c r="B12" s="46" t="str">
        <x:v>M3描述个人惯性｜M5判断双方交换</x:v>
      </x:c>
      <x:c r="C12" s="46" t="str">
        <x:v>接口</x:v>
      </x:c>
      <x:c r="D12" s="46" t="str">
        <x:v>M3-EXPR、CARE、BOUND结果可用。</x:v>
      </x:c>
      <x:c r="E12" s="46" t="str">
        <x:v>用单方惯性直接推断双方关系公平。</x:v>
      </x:c>
      <x:c r="F12" s="46" t="str">
        <x:v>知道你习惯怎样付出，只是第一步，还要看对方怎样回应。</x:v>
      </x:c>
    </x:row>
    <x:row r="13">
      <x:c r="A13" s="46" t="str">
        <x:v>M5-EXCHANGE-008</x:v>
      </x:c>
      <x:c r="B13" s="46" t="str">
        <x:v>M4识别循环｜M5建立可持续替代结构</x:v>
      </x:c>
      <x:c r="C13" s="46" t="str">
        <x:v>接口</x:v>
      </x:c>
      <x:c r="D13" s="46" t="str">
        <x:v>M4 K、LP、RN、BF结果可用。</x:v>
      </x:c>
      <x:c r="E13" s="46" t="str">
        <x:v>把M4风险直接当成适配结论。</x:v>
      </x:c>
      <x:c r="F13" s="46" t="str">
        <x:v>这里不是重复描述问题，而是明确怎样交换才不会继续放大问题。</x:v>
      </x:c>
    </x:row>
    <x:row r="14">
      <x:c r="A14" s="46" t="str">
        <x:v>M5-EXCHANGE-009</x:v>
      </x:c>
      <x:c r="B14" s="46" t="str">
        <x:v>M5-PARTNER个人能力不等于双人交换</x:v>
      </x:c>
      <x:c r="C14" s="46" t="str">
        <x:v>接口</x:v>
      </x:c>
      <x:c r="D14" s="46" t="str">
        <x:v>具体对象PV与PS结果可用。</x:v>
      </x:c>
      <x:c r="E14" s="46" t="str">
        <x:v>两个人各自有能力就直接判定关系会互惠。</x:v>
      </x:c>
      <x:c r="F14" s="46" t="str">
        <x:v>两个人都很优秀，也仍要看能不能把能力接起来。</x:v>
      </x:c>
    </x:row>
    <x:row r="15">
      <x:c r="A15" s="46" t="str">
        <x:v>M5-EXCHANGE-010</x:v>
      </x:c>
      <x:c r="B15" s="46" t="str">
        <x:v>现实双人事件高于命理结构</x:v>
      </x:c>
      <x:c r="C15" s="46" t="str">
        <x:v>证据</x:v>
      </x:c>
      <x:c r="D15" s="46" t="str">
        <x:v>分析具体关系交换。</x:v>
      </x:c>
      <x:c r="E15" s="46" t="str">
        <x:v>用用户命盘、对方命盘、合盘或十神替代现实事件。</x:v>
      </x:c>
      <x:c r="F15" s="46" t="str">
        <x:v>命盘告诉你该观察什么，真实互动才告诉你交换是否成立。</x:v>
      </x:c>
    </x:row>
    <x:row r="16">
      <x:c r="A16" s="46" t="str">
        <x:v>M5-EXCHANGE-011</x:v>
      </x:c>
      <x:c r="B16" s="46" t="str">
        <x:v>同一source_id只计一次基础权重</x:v>
      </x:c>
      <x:c r="C16" s="46" t="str">
        <x:v>去重</x:v>
      </x:c>
      <x:c r="D16" s="46" t="str">
        <x:v>同一命盘事实被多个模块解释。</x:v>
      </x:c>
      <x:c r="E16" s="46" t="str">
        <x:v>重复增加独立证据数。</x:v>
      </x:c>
      <x:c r="F16" s="46" t="str">
        <x:v>同一个命理事实不会因为被解释多次就变成多份证据。</x:v>
      </x:c>
    </x:row>
    <x:row r="17">
      <x:c r="A17" s="46" t="str">
        <x:v>M5-EXCHANGE-012</x:v>
      </x:c>
      <x:c r="B17" s="46" t="str">
        <x:v>同一event_id只算一次交换事件</x:v>
      </x:c>
      <x:c r="C17" s="46" t="str">
        <x:v>去重</x:v>
      </x:c>
      <x:c r="D17" s="46" t="str">
        <x:v>一次事件同时支持多个ED或XD维度。</x:v>
      </x:c>
      <x:c r="E17" s="46" t="str">
        <x:v>把同一次付出、冲突或修复拆成多个事件。</x:v>
      </x:c>
      <x:c r="F17" s="46" t="str">
        <x:v>一件事可以说明很多方面，但仍然只是一件事。</x:v>
      </x:c>
    </x:row>
    <x:row r="18">
      <x:c r="A18" s="46" t="str">
        <x:v>M5-EXCHANGE-013</x:v>
      </x:c>
      <x:c r="B18" s="46" t="str">
        <x:v>交换强度不等于交换成熟</x:v>
      </x:c>
      <x:c r="C18" s="46" t="str">
        <x:v>边界</x:v>
      </x:c>
      <x:c r="D18" s="46" t="str">
        <x:v>某一方投入很多、行动快或表达强。</x:v>
      </x:c>
      <x:c r="E18" s="46" t="str">
        <x:v>没有双向性、边界、负荷和修复证据。</x:v>
      </x:c>
      <x:c r="F18" s="46" t="str">
        <x:v>付出很多不自动等于交换健康。</x:v>
      </x:c>
    </x:row>
    <x:row r="19">
      <x:c r="A19" s="46" t="str">
        <x:v>M5-EXCHANGE-014</x:v>
      </x:c>
      <x:c r="B19" s="46" t="str">
        <x:v>及时回报不等于健康互惠</x:v>
      </x:c>
      <x:c r="C19" s="46" t="str">
        <x:v>边界</x:v>
      </x:c>
      <x:c r="D19" s="46" t="str">
        <x:v>回馈速度快或慢。</x:v>
      </x:c>
      <x:c r="E19" s="46" t="str">
        <x:v>用即时回应作为唯一标准。</x:v>
      </x:c>
      <x:c r="F19" s="46" t="str">
        <x:v>互惠可以不同步，但不能没有时间结构。</x:v>
      </x:c>
    </x:row>
    <x:row r="20">
      <x:c r="A20" s="46" t="str">
        <x:v>M5-EXCHANGE-015</x:v>
      </x:c>
      <x:c r="B20" s="46" t="str">
        <x:v>物质投入与情绪修复分开</x:v>
      </x:c>
      <x:c r="C20" s="46" t="str">
        <x:v>边界</x:v>
      </x:c>
      <x:c r="D20" s="46" t="str">
        <x:v>出现礼物、补偿、金钱或做事。</x:v>
      </x:c>
      <x:c r="E20" s="46" t="str">
        <x:v>用现实补偿删除情绪、责任和边界任务。</x:v>
      </x:c>
      <x:c r="F20" s="46" t="str">
        <x:v>补偿可以有价值，但不能替代被理解、责任承担和关系修复。</x:v>
      </x:c>
    </x:row>
    <x:row r="21">
      <x:c r="A21" s="46" t="str">
        <x:v>M5-EXCHANGE-016</x:v>
      </x:c>
      <x:c r="B21" s="46" t="str">
        <x:v>角色分工不等于权力等级</x:v>
      </x:c>
      <x:c r="C21" s="46" t="str">
        <x:v>边界</x:v>
      </x:c>
      <x:c r="D21" s="46" t="str">
        <x:v>双方承担不同领域。</x:v>
      </x:c>
      <x:c r="E21" s="46" t="str">
        <x:v>把分工固化成一方长期拥有决定权。</x:v>
      </x:c>
      <x:c r="F21" s="46" t="str">
        <x:v>谁擅长什么可以不同，但人格地位和参与权仍应平等。</x:v>
      </x:c>
    </x:row>
    <x:row r="22">
      <x:c r="A22" s="46" t="str">
        <x:v>M5-EXCHANGE-017</x:v>
      </x:c>
      <x:c r="B22" s="46" t="str">
        <x:v>接受支持不产生自动债务</x:v>
      </x:c>
      <x:c r="C22" s="46" t="str">
        <x:v>边界</x:v>
      </x:c>
      <x:c r="D22" s="46" t="str">
        <x:v>一方接受照顾、资源或帮助。</x:v>
      </x:c>
      <x:c r="E22" s="46" t="str">
        <x:v>用帮助要求服从、立即等量偿还或放弃边界。</x:v>
      </x:c>
      <x:c r="F22" s="46" t="str">
        <x:v>被支持不等于欠下服从或必须马上偿还。</x:v>
      </x:c>
    </x:row>
    <x:row r="23">
      <x:c r="A23" s="46" t="str">
        <x:v>M5-EXCHANGE-018</x:v>
      </x:c>
      <x:c r="B23" s="46" t="str">
        <x:v>正文限制一个主交换结构</x:v>
      </x:c>
      <x:c r="C23" s="46" t="str">
        <x:v>输出</x:v>
      </x:c>
      <x:c r="D23" s="46" t="str">
        <x:v>多个EC、EM、XD候选并存。</x:v>
      </x:c>
      <x:c r="E23" s="46" t="str">
        <x:v>输出理想关系功能清单。</x:v>
      </x:c>
      <x:c r="F23" s="46" t="str">
        <x:v>先抓最关键的交换方式，不把所有好条件堆在一起。</x:v>
      </x:c>
    </x:row>
    <x:row r="24">
      <x:c r="A24" s="46" t="str">
        <x:v>M5-EXCHANGE-019</x:v>
      </x:c>
      <x:c r="B24" s="46" t="str">
        <x:v>XV与FG严格分开</x:v>
      </x:c>
      <x:c r="C24" s="46" t="str">
        <x:v>边界</x:v>
      </x:c>
      <x:c r="D24" s="46" t="str">
        <x:v>同时使用交换证据等级和最终适配等级。</x:v>
      </x:c>
      <x:c r="E24" s="46" t="str">
        <x:v>把XV7直接写成FG4或用FG需求代替现实交换。</x:v>
      </x:c>
      <x:c r="F24" s="46" t="str">
        <x:v>交换证据越深，判断越有依据，但最终适配仍要综合其他现实条件。</x:v>
      </x:c>
    </x:row>
    <x:row r="25">
      <x:c r="A25" s="46" t="str">
        <x:v>M5-EXCHANGE-020</x:v>
      </x:c>
      <x:c r="B25" s="46" t="str">
        <x:v>版本与验证状态｜全部规则暂定</x:v>
      </x:c>
      <x:c r="C25" s="46" t="str">
        <x:v>版本</x:v>
      </x:c>
      <x:c r="D25" s="46" t="str">
        <x:v>使用V0.4规则。</x:v>
      </x:c>
      <x:c r="E25" s="46" t="str">
        <x:v>把工程分值、规则数量或模型结论解释为统计概率。</x:v>
      </x:c>
      <x:c r="F25" s="46" t="str">
        <x:v>这些是待验证的分析框架，不是婚姻成功概率。</x:v>
      </x:c>
    </x:row>
    <x:row r="26">
      <x:c r="A26" s="46" t="str">
        <x:v>M5-EXCHANGE-021</x:v>
      </x:c>
      <x:c r="B26" s="46" t="str">
        <x:v>EC01 平等参与｜通道定义</x:v>
      </x:c>
      <x:c r="C26" s="46" t="str">
        <x:v>基础</x:v>
      </x:c>
      <x:c r="D26" s="46" t="str">
        <x:v>M5-BASE或PARTNER将该FN路由为主／次交换功能。</x:v>
      </x:c>
      <x:c r="E26" s="46" t="str">
        <x:v>安全门控未通过或该通道只属PR3且与主风险冲突。</x:v>
      </x:c>
      <x:c r="F26" s="46" t="str">
        <x:v>适合你的交换结构不是谁完全依附谁，而是双方都能参与、表达和调整分工。</x:v>
      </x:c>
    </x:row>
    <x:row r="27">
      <x:c r="A27" s="46" t="str">
        <x:v>M5-EXCHANGE-029</x:v>
      </x:c>
      <x:c r="B27" s="46" t="str">
        <x:v>EC02 即时协作｜通道定义</x:v>
      </x:c>
      <x:c r="C27" s="46" t="str">
        <x:v>基础</x:v>
      </x:c>
      <x:c r="D27" s="46" t="str">
        <x:v>M5-BASE或PARTNER将该FN路由为主／次交换功能。</x:v>
      </x:c>
      <x:c r="E27" s="46" t="str">
        <x:v>安全门控未通过或该通道只属PR3且与主风险冲突。</x:v>
      </x:c>
      <x:c r="F27" s="46" t="str">
        <x:v>你需要的是能一起做事的人，同时还要把责任范围和后续说清楚。</x:v>
      </x:c>
    </x:row>
    <x:row r="28">
      <x:c r="A28" s="46" t="str">
        <x:v>M5-EXCHANGE-037</x:v>
      </x:c>
      <x:c r="B28" s="46" t="str">
        <x:v>EC03 舒缓照料｜通道定义</x:v>
      </x:c>
      <x:c r="C28" s="46" t="str">
        <x:v>基础</x:v>
      </x:c>
      <x:c r="D28" s="46" t="str">
        <x:v>M5-BASE或PARTNER将该FN路由为主／次交换功能。</x:v>
      </x:c>
      <x:c r="E28" s="46" t="str">
        <x:v>安全门控未通过或该通道只属PR3且与主风险冲突。</x:v>
      </x:c>
      <x:c r="F28" s="46" t="str">
        <x:v>温和和陪伴很重要，但真正适配还要看双方能否在舒服之后继续处理问题。</x:v>
      </x:c>
    </x:row>
    <x:row r="29">
      <x:c r="A29" s="46" t="str">
        <x:v>M5-EXCHANGE-045</x:v>
      </x:c>
      <x:c r="B29" s="46" t="str">
        <x:v>EC04 信息反馈｜通道定义</x:v>
      </x:c>
      <x:c r="C29" s="46" t="str">
        <x:v>基础</x:v>
      </x:c>
      <x:c r="D29" s="46" t="str">
        <x:v>M5-BASE或PARTNER将该FN路由为主／次交换功能。</x:v>
      </x:c>
      <x:c r="E29" s="46" t="str">
        <x:v>安全门控未通过或该通道只属PR3且与主风险冲突。</x:v>
      </x:c>
      <x:c r="F29" s="46" t="str">
        <x:v>会说很重要，更重要的是双方都能听懂、修正并把沟通转成行动。</x:v>
      </x:c>
    </x:row>
    <x:row r="30">
      <x:c r="A30" s="46" t="str">
        <x:v>M5-EXCHANGE-053</x:v>
      </x:c>
      <x:c r="B30" s="46" t="str">
        <x:v>EC05 稳定投入｜通道定义</x:v>
      </x:c>
      <x:c r="C30" s="46" t="str">
        <x:v>基础</x:v>
      </x:c>
      <x:c r="D30" s="46" t="str">
        <x:v>M5-BASE或PARTNER将该FN路由为主／次交换功能。</x:v>
      </x:c>
      <x:c r="E30" s="46" t="str">
        <x:v>安全门控未通过或该通道只属PR3且与主风险冲突。</x:v>
      </x:c>
      <x:c r="F30" s="46" t="str">
        <x:v>真正适配的投入不要求每次等量，而要让双方都知道谁在承担什么、是否可持续。</x:v>
      </x:c>
    </x:row>
    <x:row r="31">
      <x:c r="A31" s="46" t="str">
        <x:v>M5-EXCHANGE-061</x:v>
      </x:c>
      <x:c r="B31" s="46" t="str">
        <x:v>EC06 灵活资源｜通道定义</x:v>
      </x:c>
      <x:c r="C31" s="46" t="str">
        <x:v>基础</x:v>
      </x:c>
      <x:c r="D31" s="46" t="str">
        <x:v>M5-BASE或PARTNER将该FN路由为主／次交换功能。</x:v>
      </x:c>
      <x:c r="E31" s="46" t="str">
        <x:v>安全门控未通过或该通道只属PR3且与主风险冲突。</x:v>
      </x:c>
      <x:c r="F31" s="46" t="str">
        <x:v>关系可以有活力和变化，但需要把临时的好转成可持续的安排。</x:v>
      </x:c>
    </x:row>
    <x:row r="32">
      <x:c r="A32" s="46" t="str">
        <x:v>M5-EXCHANGE-069</x:v>
      </x:c>
      <x:c r="B32" s="46" t="str">
        <x:v>EC07 责任履行｜通道定义</x:v>
      </x:c>
      <x:c r="C32" s="46" t="str">
        <x:v>基础</x:v>
      </x:c>
      <x:c r="D32" s="46" t="str">
        <x:v>M5-BASE或PARTNER将该FN路由为主／次交换功能。</x:v>
      </x:c>
      <x:c r="E32" s="46" t="str">
        <x:v>安全门控未通过或该通道只属PR3且与主风险冲突。</x:v>
      </x:c>
      <x:c r="F32" s="46" t="str">
        <x:v>长期交换需要责任清楚，但责任必须是双方协商、可复核和可调整的。</x:v>
      </x:c>
    </x:row>
    <x:row r="33">
      <x:c r="A33" s="46" t="str">
        <x:v>M5-EXCHANGE-077</x:v>
      </x:c>
      <x:c r="B33" s="46" t="str">
        <x:v>EC08 行动保护｜通道定义</x:v>
      </x:c>
      <x:c r="C33" s="46" t="str">
        <x:v>基础</x:v>
      </x:c>
      <x:c r="D33" s="46" t="str">
        <x:v>M5-BASE或PARTNER将该FN路由为主／次交换功能。</x:v>
      </x:c>
      <x:c r="E33" s="46" t="str">
        <x:v>安全门控未通过或该通道只属PR3且与主风险冲突。</x:v>
      </x:c>
      <x:c r="F33" s="46" t="str">
        <x:v>你需要的是关键时刻能行动的人，但行动不能以牺牲你的参与权为代价。</x:v>
      </x:c>
    </x:row>
    <x:row r="34">
      <x:c r="A34" s="46" t="str">
        <x:v>M5-EXCHANGE-085</x:v>
      </x:c>
      <x:c r="B34" s="46" t="str">
        <x:v>EC09 安全承接｜通道定义</x:v>
      </x:c>
      <x:c r="C34" s="46" t="str">
        <x:v>基础</x:v>
      </x:c>
      <x:c r="D34" s="46" t="str">
        <x:v>M5-BASE或PARTNER将该FN路由为主／次交换功能。</x:v>
      </x:c>
      <x:c r="E34" s="46" t="str">
        <x:v>安全门控未通过或该通道只属PR3且与主风险冲突。</x:v>
      </x:c>
      <x:c r="F34" s="46" t="str">
        <x:v>安全感不只是被安慰，还要让理解转成更清楚的边界和现实行动。</x:v>
      </x:c>
    </x:row>
    <x:row r="35">
      <x:c r="A35" s="46" t="str">
        <x:v>M5-EXCHANGE-093</x:v>
      </x:c>
      <x:c r="B35" s="46" t="str">
        <x:v>EC10 深度空间支持｜通道定义</x:v>
      </x:c>
      <x:c r="C35" s="46" t="str">
        <x:v>基础</x:v>
      </x:c>
      <x:c r="D35" s="46" t="str">
        <x:v>M5-BASE或PARTNER将该FN路由为主／次交换功能。</x:v>
      </x:c>
      <x:c r="E35" s="46" t="str">
        <x:v>安全门控未通过或该通道只属PR3且与主风险冲突。</x:v>
      </x:c>
      <x:c r="F35" s="46" t="str">
        <x:v>空间可以保护关系，但必须有最低连接和清楚的回来方式。</x:v>
      </x:c>
    </x:row>
    <x:row r="36">
      <x:c r="A36" s="46" t="str">
        <x:v>M5-EXCHANGE-101</x:v>
      </x:c>
      <x:c r="B36" s="46" t="str">
        <x:v>ED01 贡献可见度｜正式定义</x:v>
      </x:c>
      <x:c r="C36" s="46" t="str">
        <x:v>定义</x:v>
      </x:c>
      <x:c r="D36" s="46" t="str">
        <x:v>存在具体双人交换资料。</x:v>
      </x:c>
      <x:c r="E36" s="46" t="str">
        <x:v>只有命盘需求或单方抽象评价。</x:v>
      </x:c>
      <x:c r="F36" s="46" t="str">
        <x:v>可见不等于全部；隐性投入也需要被确认。</x:v>
      </x:c>
    </x:row>
    <x:row r="37">
      <x:c r="A37" s="46" t="str">
        <x:v>M5-EXCHANGE-103</x:v>
      </x:c>
      <x:c r="B37" s="46" t="str">
        <x:v>ED01 贡献可见度｜不足与假阳性</x:v>
      </x:c>
      <x:c r="C37" s="46" t="str">
        <x:v>降级</x:v>
      </x:c>
      <x:c r="D37" s="46" t="str">
        <x:v>出现不足情形。</x:v>
      </x:c>
      <x:c r="E37" s="46" t="str">
        <x:v>XV5以上且反例检验支持成熟结构。</x:v>
      </x:c>
      <x:c r="F37" s="46" t="str">
        <x:v>目前不能只凭：只统计金钱、礼物、做事次数或口头表达。</x:v>
      </x:c>
    </x:row>
    <x:row r="38">
      <x:c r="A38" s="46" t="str">
        <x:v>M5-EXCHANGE-106</x:v>
      </x:c>
      <x:c r="B38" s="46" t="str">
        <x:v>ED02 请求清晰度｜正式定义</x:v>
      </x:c>
      <x:c r="C38" s="46" t="str">
        <x:v>定义</x:v>
      </x:c>
      <x:c r="D38" s="46" t="str">
        <x:v>存在具体双人交换资料。</x:v>
      </x:c>
      <x:c r="E38" s="46" t="str">
        <x:v>只有命盘需求或单方抽象评价。</x:v>
      </x:c>
      <x:c r="F38" s="46" t="str">
        <x:v>能请求，交换才有清楚入口。</x:v>
      </x:c>
    </x:row>
    <x:row r="39">
      <x:c r="A39" s="46" t="str">
        <x:v>M5-EXCHANGE-108</x:v>
      </x:c>
      <x:c r="B39" s="46" t="str">
        <x:v>ED02 请求清晰度｜不足与假阳性</x:v>
      </x:c>
      <x:c r="C39" s="46" t="str">
        <x:v>降级</x:v>
      </x:c>
      <x:c r="D39" s="46" t="str">
        <x:v>出现不足情形。</x:v>
      </x:c>
      <x:c r="E39" s="46" t="str">
        <x:v>XV5以上且反例检验支持成熟结构。</x:v>
      </x:c>
      <x:c r="F39" s="46" t="str">
        <x:v>目前不能只凭：只表达不满、暗示、测试或让对方证明爱。</x:v>
      </x:c>
    </x:row>
    <x:row r="40">
      <x:c r="A40" s="46" t="str">
        <x:v>M5-EXCHANGE-111</x:v>
      </x:c>
      <x:c r="B40" s="46" t="str">
        <x:v>ED03 接收能力｜正式定义</x:v>
      </x:c>
      <x:c r="C40" s="46" t="str">
        <x:v>定义</x:v>
      </x:c>
      <x:c r="D40" s="46" t="str">
        <x:v>存在具体双人交换资料。</x:v>
      </x:c>
      <x:c r="E40" s="46" t="str">
        <x:v>只有命盘需求或单方抽象评价。</x:v>
      </x:c>
      <x:c r="F40" s="46" t="str">
        <x:v>会给予，也要能够接收。</x:v>
      </x:c>
    </x:row>
    <x:row r="41">
      <x:c r="A41" s="46" t="str">
        <x:v>M5-EXCHANGE-113</x:v>
      </x:c>
      <x:c r="B41" s="46" t="str">
        <x:v>ED03 接收能力｜不足与假阳性</x:v>
      </x:c>
      <x:c r="C41" s="46" t="str">
        <x:v>降级</x:v>
      </x:c>
      <x:c r="D41" s="46" t="str">
        <x:v>出现不足情形。</x:v>
      </x:c>
      <x:c r="E41" s="46" t="str">
        <x:v>XV5以上且反例检验支持成熟结构。</x:v>
      </x:c>
      <x:c r="F41" s="46" t="str">
        <x:v>目前不能只凭：接受帮助就觉得必须立刻等量回报，或完全交出决定权。</x:v>
      </x:c>
    </x:row>
    <x:row r="42">
      <x:c r="A42" s="46" t="str">
        <x:v>M5-EXCHANGE-116</x:v>
      </x:c>
      <x:c r="B42" s="46" t="str">
        <x:v>ED04 回应识别度｜正式定义</x:v>
      </x:c>
      <x:c r="C42" s="46" t="str">
        <x:v>定义</x:v>
      </x:c>
      <x:c r="D42" s="46" t="str">
        <x:v>存在具体双人交换资料。</x:v>
      </x:c>
      <x:c r="E42" s="46" t="str">
        <x:v>只有命盘需求或单方抽象评价。</x:v>
      </x:c>
      <x:c r="F42" s="46" t="str">
        <x:v>回应是否命中，比投入量更重要。</x:v>
      </x:c>
    </x:row>
    <x:row r="43">
      <x:c r="A43" s="46" t="str">
        <x:v>M5-EXCHANGE-118</x:v>
      </x:c>
      <x:c r="B43" s="46" t="str">
        <x:v>ED04 回应识别度｜不足与假阳性</x:v>
      </x:c>
      <x:c r="C43" s="46" t="str">
        <x:v>降级</x:v>
      </x:c>
      <x:c r="D43" s="46" t="str">
        <x:v>出现不足情形。</x:v>
      </x:c>
      <x:c r="E43" s="46" t="str">
        <x:v>XV5以上且反例检验支持成熟结构。</x:v>
      </x:c>
      <x:c r="F43" s="46" t="str">
        <x:v>目前不能只凭：给了很多，但并非对方需要；收到了回应却未被识别。</x:v>
      </x:c>
    </x:row>
    <x:row r="44">
      <x:c r="A44" s="46" t="str">
        <x:v>M5-EXCHANGE-121</x:v>
      </x:c>
      <x:c r="B44" s="46" t="str">
        <x:v>ED05 投入连续性｜正式定义</x:v>
      </x:c>
      <x:c r="C44" s="46" t="str">
        <x:v>定义</x:v>
      </x:c>
      <x:c r="D44" s="46" t="str">
        <x:v>存在具体双人交换资料。</x:v>
      </x:c>
      <x:c r="E44" s="46" t="str">
        <x:v>只有命盘需求或单方抽象评价。</x:v>
      </x:c>
      <x:c r="F44" s="46" t="str">
        <x:v>长期交换看连续，不只看强烈。</x:v>
      </x:c>
    </x:row>
    <x:row r="45">
      <x:c r="A45" s="46" t="str">
        <x:v>M5-EXCHANGE-123</x:v>
      </x:c>
      <x:c r="B45" s="46" t="str">
        <x:v>ED05 投入连续性｜不足与假阳性</x:v>
      </x:c>
      <x:c r="C45" s="46" t="str">
        <x:v>降级</x:v>
      </x:c>
      <x:c r="D45" s="46" t="str">
        <x:v>出现不足情形。</x:v>
      </x:c>
      <x:c r="E45" s="46" t="str">
        <x:v>XV5以上且反例检验支持成熟结构。</x:v>
      </x:c>
      <x:c r="F45" s="46" t="str">
        <x:v>目前不能只凭：一次礼物、一次保护、一次长谈或短期热情。</x:v>
      </x:c>
    </x:row>
    <x:row r="46">
      <x:c r="A46" s="46" t="str">
        <x:v>M5-EXCHANGE-126</x:v>
      </x:c>
      <x:c r="B46" s="46" t="str">
        <x:v>ED06 互惠时序｜正式定义</x:v>
      </x:c>
      <x:c r="C46" s="46" t="str">
        <x:v>定义</x:v>
      </x:c>
      <x:c r="D46" s="46" t="str">
        <x:v>存在具体双人交换资料。</x:v>
      </x:c>
      <x:c r="E46" s="46" t="str">
        <x:v>只有命盘需求或单方抽象评价。</x:v>
      </x:c>
      <x:c r="F46" s="46" t="str">
        <x:v>互惠不必同时，但要有可理解的时间结构。</x:v>
      </x:c>
    </x:row>
    <x:row r="47">
      <x:c r="A47" s="46" t="str">
        <x:v>M5-EXCHANGE-128</x:v>
      </x:c>
      <x:c r="B47" s="46" t="str">
        <x:v>ED06 互惠时序｜不足与假阳性</x:v>
      </x:c>
      <x:c r="C47" s="46" t="str">
        <x:v>降级</x:v>
      </x:c>
      <x:c r="D47" s="46" t="str">
        <x:v>出现不足情形。</x:v>
      </x:c>
      <x:c r="E47" s="46" t="str">
        <x:v>XV5以上且反例检验支持成熟结构。</x:v>
      </x:c>
      <x:c r="F47" s="46" t="str">
        <x:v>目前不能只凭：要求立即回报，或无限期等待而没有约定。</x:v>
      </x:c>
    </x:row>
    <x:row r="48">
      <x:c r="A48" s="46" t="str">
        <x:v>M5-EXCHANGE-131</x:v>
      </x:c>
      <x:c r="B48" s="46" t="str">
        <x:v>ED07 角色与负荷平衡｜正式定义</x:v>
      </x:c>
      <x:c r="C48" s="46" t="str">
        <x:v>定义</x:v>
      </x:c>
      <x:c r="D48" s="46" t="str">
        <x:v>存在具体双人交换资料。</x:v>
      </x:c>
      <x:c r="E48" s="46" t="str">
        <x:v>只有命盘需求或单方抽象评价。</x:v>
      </x:c>
      <x:c r="F48" s="46" t="str">
        <x:v>公平不等于每项对半，而是负荷可持续、可重订。</x:v>
      </x:c>
    </x:row>
    <x:row r="49">
      <x:c r="A49" s="46" t="str">
        <x:v>M5-EXCHANGE-133</x:v>
      </x:c>
      <x:c r="B49" s="46" t="str">
        <x:v>ED07 角色与负荷平衡｜不足与假阳性</x:v>
      </x:c>
      <x:c r="C49" s="46" t="str">
        <x:v>降级</x:v>
      </x:c>
      <x:c r="D49" s="46" t="str">
        <x:v>出现不足情形。</x:v>
      </x:c>
      <x:c r="E49" s="46" t="str">
        <x:v>XV5以上且反例检验支持成熟结构。</x:v>
      </x:c>
      <x:c r="F49" s="46" t="str">
        <x:v>目前不能只凭：一方长期补位，另一方没有参与和成长。</x:v>
      </x:c>
    </x:row>
    <x:row r="50">
      <x:c r="A50" s="46" t="str">
        <x:v>M5-EXCHANGE-136</x:v>
      </x:c>
      <x:c r="B50" s="46" t="str">
        <x:v>ED08 同意与资源边界｜正式定义</x:v>
      </x:c>
      <x:c r="C50" s="46" t="str">
        <x:v>定义</x:v>
      </x:c>
      <x:c r="D50" s="46" t="str">
        <x:v>存在具体双人交换资料。</x:v>
      </x:c>
      <x:c r="E50" s="46" t="str">
        <x:v>只有命盘需求或单方抽象评价。</x:v>
      </x:c>
      <x:c r="F50" s="46" t="str">
        <x:v>支持不能越过同意和选择权。</x:v>
      </x:c>
    </x:row>
    <x:row r="51">
      <x:c r="A51" s="46" t="str">
        <x:v>M5-EXCHANGE-138</x:v>
      </x:c>
      <x:c r="B51" s="46" t="str">
        <x:v>ED08 同意与资源边界｜不足与假阳性</x:v>
      </x:c>
      <x:c r="C51" s="46" t="str">
        <x:v>降级</x:v>
      </x:c>
      <x:c r="D51" s="46" t="str">
        <x:v>出现不足情形。</x:v>
      </x:c>
      <x:c r="E51" s="46" t="str">
        <x:v>XV5以上且反例检验支持成熟结构。</x:v>
      </x:c>
      <x:c r="F51" s="46" t="str">
        <x:v>目前不能只凭：以付出为由要求服从，或未经同意替对方决定。</x:v>
      </x:c>
    </x:row>
    <x:row r="52">
      <x:c r="A52" s="46" t="str">
        <x:v>M5-EXCHANGE-141</x:v>
      </x:c>
      <x:c r="B52" s="46" t="str">
        <x:v>ED09 重新协商能力｜正式定义</x:v>
      </x:c>
      <x:c r="C52" s="46" t="str">
        <x:v>定义</x:v>
      </x:c>
      <x:c r="D52" s="46" t="str">
        <x:v>存在具体双人交换资料。</x:v>
      </x:c>
      <x:c r="E52" s="46" t="str">
        <x:v>只有命盘需求或单方抽象评价。</x:v>
      </x:c>
      <x:c r="F52" s="46" t="str">
        <x:v>长期关系需要不断重订，而不是一次定终身。</x:v>
      </x:c>
    </x:row>
    <x:row r="53">
      <x:c r="A53" s="46" t="str">
        <x:v>M5-EXCHANGE-143</x:v>
      </x:c>
      <x:c r="B53" s="46" t="str">
        <x:v>ED09 重新协商能力｜不足与假阳性</x:v>
      </x:c>
      <x:c r="C53" s="46" t="str">
        <x:v>降级</x:v>
      </x:c>
      <x:c r="D53" s="46" t="str">
        <x:v>出现不足情形。</x:v>
      </x:c>
      <x:c r="E53" s="46" t="str">
        <x:v>XV5以上且反例检验支持成熟结构。</x:v>
      </x:c>
      <x:c r="F53" s="46" t="str">
        <x:v>目前不能只凭：把旧规则当成永远不变，或只由一方决定新规则。</x:v>
      </x:c>
    </x:row>
    <x:row r="54">
      <x:c r="A54" s="46" t="str">
        <x:v>M5-EXCHANGE-146</x:v>
      </x:c>
      <x:c r="B54" s="46" t="str">
        <x:v>ED10 修复与回流｜正式定义</x:v>
      </x:c>
      <x:c r="C54" s="46" t="str">
        <x:v>定义</x:v>
      </x:c>
      <x:c r="D54" s="46" t="str">
        <x:v>存在具体双人交换资料。</x:v>
      </x:c>
      <x:c r="E54" s="46" t="str">
        <x:v>只有命盘需求或单方抽象评价。</x:v>
      </x:c>
      <x:c r="F54" s="46" t="str">
        <x:v>交换真正恢复，要让反馈和改变都回来。</x:v>
      </x:c>
    </x:row>
    <x:row r="55">
      <x:c r="A55" s="46" t="str">
        <x:v>M5-EXCHANGE-148</x:v>
      </x:c>
      <x:c r="B55" s="46" t="str">
        <x:v>ED10 修复与回流｜不足与假阳性</x:v>
      </x:c>
      <x:c r="C55" s="46" t="str">
        <x:v>降级</x:v>
      </x:c>
      <x:c r="D55" s="46" t="str">
        <x:v>出现不足情形。</x:v>
      </x:c>
      <x:c r="E55" s="46" t="str">
        <x:v>XV5以上且反例检验支持成熟结构。</x:v>
      </x:c>
      <x:c r="F55" s="46" t="str">
        <x:v>目前不能只凭：用和好、补偿或一次努力代替完整修复。</x:v>
      </x:c>
    </x:row>
    <x:row r="56">
      <x:c r="A56" s="46" t="str">
        <x:v>M5-EXCHANGE-211</x:v>
      </x:c>
      <x:c r="B56" s="46" t="str">
        <x:v>XR01 稳定双向交换｜正式定义</x:v>
      </x:c>
      <x:c r="C56" s="46" t="str">
        <x:v>定义</x:v>
      </x:c>
      <x:c r="D56" s="46" t="str">
        <x:v>XV4以上；ED02、ED03、ED07、ED09至少三项可靠。</x:v>
      </x:c>
      <x:c r="E56" s="46" t="str">
        <x:v>PR0安全停止。</x:v>
      </x:c>
      <x:c r="F56" s="46" t="str">
        <x:v>这段关系的支持和投入能够双向流动，也能随着现实变化重新调整。</x:v>
      </x:c>
    </x:row>
    <x:row r="57">
      <x:c r="A57" s="46" t="str">
        <x:v>M5-EXCHANGE-215</x:v>
      </x:c>
      <x:c r="B57" s="46" t="str">
        <x:v>XR01 稳定双向交换｜禁止人格化</x:v>
      </x:c>
      <x:c r="C57" s="46" t="str">
        <x:v>边界</x:v>
      </x:c>
      <x:c r="D57" s="46" t="str">
        <x:v>输出XR状态。</x:v>
      </x:c>
      <x:c r="E57" s="46" t="str">
        <x:v>现实存在剥削、控制或伤害时按事实说明。</x:v>
      </x:c>
      <x:c r="F57" s="46" t="str">
        <x:v>这是交换结构的描述，不是给任何一方贴人格标签。</x:v>
      </x:c>
    </x:row>
    <x:row r="58">
      <x:c r="A58" s="46" t="str">
        <x:v>M5-EXCHANGE-216</x:v>
      </x:c>
      <x:c r="B58" s="46" t="str">
        <x:v>XR02 非对称但协商分工｜正式定义</x:v>
      </x:c>
      <x:c r="C58" s="46" t="str">
        <x:v>定义</x:v>
      </x:c>
      <x:c r="D58" s="46" t="str">
        <x:v>XV3以上；ED01、ED07、ED08可靠。</x:v>
      </x:c>
      <x:c r="E58" s="46" t="str">
        <x:v>PR0安全停止。</x:v>
      </x:c>
      <x:c r="F58" s="46" t="str">
        <x:v>你们不一定用相同方式付出，但彼此知道、认可，并能重新分配。</x:v>
      </x:c>
    </x:row>
    <x:row r="59">
      <x:c r="A59" s="46" t="str">
        <x:v>M5-EXCHANGE-220</x:v>
      </x:c>
      <x:c r="B59" s="46" t="str">
        <x:v>XR02 非对称但协商分工｜禁止人格化</x:v>
      </x:c>
      <x:c r="C59" s="46" t="str">
        <x:v>边界</x:v>
      </x:c>
      <x:c r="D59" s="46" t="str">
        <x:v>输出XR状态。</x:v>
      </x:c>
      <x:c r="E59" s="46" t="str">
        <x:v>现实存在剥削、控制或伤害时按事实说明。</x:v>
      </x:c>
      <x:c r="F59" s="46" t="str">
        <x:v>这是交换结构的描述，不是给任何一方贴人格标签。</x:v>
      </x:c>
    </x:row>
    <x:row r="60">
      <x:c r="A60" s="46" t="str">
        <x:v>M5-EXCHANGE-221</x:v>
      </x:c>
      <x:c r="B60" s="46" t="str">
        <x:v>XR03 错峰但长期平衡｜正式定义</x:v>
      </x:c>
      <x:c r="C60" s="46" t="str">
        <x:v>定义</x:v>
      </x:c>
      <x:c r="D60" s="46" t="str">
        <x:v>XV4以上；ED06和ED09可靠，存在清楚回馈点。</x:v>
      </x:c>
      <x:c r="E60" s="46" t="str">
        <x:v>PR0安全停止。</x:v>
      </x:c>
      <x:c r="F60" s="46" t="str">
        <x:v>当前可能不是同时等量，但双方知道怎样在之后完成回流。</x:v>
      </x:c>
    </x:row>
    <x:row r="61">
      <x:c r="A61" s="46" t="str">
        <x:v>M5-EXCHANGE-225</x:v>
      </x:c>
      <x:c r="B61" s="46" t="str">
        <x:v>XR03 错峰但长期平衡｜禁止人格化</x:v>
      </x:c>
      <x:c r="C61" s="46" t="str">
        <x:v>边界</x:v>
      </x:c>
      <x:c r="D61" s="46" t="str">
        <x:v>输出XR状态。</x:v>
      </x:c>
      <x:c r="E61" s="46" t="str">
        <x:v>现实存在剥削、控制或伤害时按事实说明。</x:v>
      </x:c>
      <x:c r="F61" s="46" t="str">
        <x:v>这是交换结构的描述，不是给任何一方贴人格标签。</x:v>
      </x:c>
    </x:row>
    <x:row r="62">
      <x:c r="A62" s="46" t="str">
        <x:v>M5-EXCHANGE-226</x:v>
      </x:c>
      <x:c r="B62" s="46" t="str">
        <x:v>XR04 条件性有效交换｜正式定义</x:v>
      </x:c>
      <x:c r="C62" s="46" t="str">
        <x:v>定义</x:v>
      </x:c>
      <x:c r="D62" s="46" t="str">
        <x:v>XV3以上；条件和失效点清楚。</x:v>
      </x:c>
      <x:c r="E62" s="46" t="str">
        <x:v>PR0安全停止。</x:v>
      </x:c>
      <x:c r="F62" s="46" t="str">
        <x:v>这套交换在某些条件下运作良好，条件变化后仍需重新协商。</x:v>
      </x:c>
    </x:row>
    <x:row r="63">
      <x:c r="A63" s="46" t="str">
        <x:v>M5-EXCHANGE-230</x:v>
      </x:c>
      <x:c r="B63" s="46" t="str">
        <x:v>XR04 条件性有效交换｜禁止人格化</x:v>
      </x:c>
      <x:c r="C63" s="46" t="str">
        <x:v>边界</x:v>
      </x:c>
      <x:c r="D63" s="46" t="str">
        <x:v>输出XR状态。</x:v>
      </x:c>
      <x:c r="E63" s="46" t="str">
        <x:v>现实存在剥削、控制或伤害时按事实说明。</x:v>
      </x:c>
      <x:c r="F63" s="46" t="str">
        <x:v>这是交换结构的描述，不是给任何一方贴人格标签。</x:v>
      </x:c>
    </x:row>
    <x:row r="64">
      <x:c r="A64" s="46" t="str">
        <x:v>M5-EXCHANGE-231</x:v>
      </x:c>
      <x:c r="B64" s="46" t="str">
        <x:v>XR05 单向可见候选｜正式定义</x:v>
      </x:c>
      <x:c r="C64" s="46" t="str">
        <x:v>定义</x:v>
      </x:c>
      <x:c r="D64" s="46" t="str">
        <x:v>XV1—XV2；ED01未完成。</x:v>
      </x:c>
      <x:c r="E64" s="46" t="str">
        <x:v>PR0安全停止。</x:v>
      </x:c>
      <x:c r="F64" s="46" t="str">
        <x:v>目前只容易看见一侧，先不要急着判断另一方完全没有投入。</x:v>
      </x:c>
    </x:row>
    <x:row r="65">
      <x:c r="A65" s="46" t="str">
        <x:v>M5-EXCHANGE-235</x:v>
      </x:c>
      <x:c r="B65" s="46" t="str">
        <x:v>XR05 单向可见候选｜禁止人格化</x:v>
      </x:c>
      <x:c r="C65" s="46" t="str">
        <x:v>边界</x:v>
      </x:c>
      <x:c r="D65" s="46" t="str">
        <x:v>输出XR状态。</x:v>
      </x:c>
      <x:c r="E65" s="46" t="str">
        <x:v>现实存在剥削、控制或伤害时按事实说明。</x:v>
      </x:c>
      <x:c r="F65" s="46" t="str">
        <x:v>这是交换结构的描述，不是给任何一方贴人格标签。</x:v>
      </x:c>
    </x:row>
    <x:row r="66">
      <x:c r="A66" s="46" t="str">
        <x:v>M5-EXCHANGE-236</x:v>
      </x:c>
      <x:c r="B66" s="46" t="str">
        <x:v>XR06 补偿替代候选｜正式定义</x:v>
      </x:c>
      <x:c r="C66" s="46" t="str">
        <x:v>定义</x:v>
      </x:c>
      <x:c r="D66" s="46" t="str">
        <x:v>M4 K03/K06或EB09现实成立。</x:v>
      </x:c>
      <x:c r="E66" s="46" t="str">
        <x:v>PR0安全停止。</x:v>
      </x:c>
      <x:c r="F66" s="46" t="str">
        <x:v>对方可能确实有投入，但这项投入未必回应了真正缺少的那一部分。</x:v>
      </x:c>
    </x:row>
    <x:row r="67">
      <x:c r="A67" s="46" t="str">
        <x:v>M5-EXCHANGE-240</x:v>
      </x:c>
      <x:c r="B67" s="46" t="str">
        <x:v>XR06 补偿替代候选｜禁止人格化</x:v>
      </x:c>
      <x:c r="C67" s="46" t="str">
        <x:v>边界</x:v>
      </x:c>
      <x:c r="D67" s="46" t="str">
        <x:v>输出XR状态。</x:v>
      </x:c>
      <x:c r="E67" s="46" t="str">
        <x:v>现实存在剥削、控制或伤害时按事实说明。</x:v>
      </x:c>
      <x:c r="F67" s="46" t="str">
        <x:v>这是交换结构的描述，不是给任何一方贴人格标签。</x:v>
      </x:c>
    </x:row>
    <x:row r="68">
      <x:c r="A68" s="46" t="str">
        <x:v>M5-EXCHANGE-241</x:v>
      </x:c>
      <x:c r="B68" s="46" t="str">
        <x:v>XR07 长期单方负荷候选｜正式定义</x:v>
      </x:c>
      <x:c r="C68" s="46" t="str">
        <x:v>定义</x:v>
      </x:c>
      <x:c r="D68" s="46" t="str">
        <x:v>XV4以上；ED02、ED07、ED09至少两项失败，现实反例支持。</x:v>
      </x:c>
      <x:c r="E68" s="46" t="str">
        <x:v>PR0安全停止。</x:v>
      </x:c>
      <x:c r="F68" s="46" t="str">
        <x:v>需要认真检查是否长期由一方承担，而调整和回馈始终没有进入。</x:v>
      </x:c>
    </x:row>
    <x:row r="69">
      <x:c r="A69" s="46" t="str">
        <x:v>M5-EXCHANGE-245</x:v>
      </x:c>
      <x:c r="B69" s="46" t="str">
        <x:v>XR07 长期单方负荷候选｜禁止人格化</x:v>
      </x:c>
      <x:c r="C69" s="46" t="str">
        <x:v>边界</x:v>
      </x:c>
      <x:c r="D69" s="46" t="str">
        <x:v>输出XR状态。</x:v>
      </x:c>
      <x:c r="E69" s="46" t="str">
        <x:v>现实存在剥削、控制或伤害时按事实说明。</x:v>
      </x:c>
      <x:c r="F69" s="46" t="str">
        <x:v>这是交换结构的描述，不是给任何一方贴人格标签。</x:v>
      </x:c>
    </x:row>
    <x:row r="70">
      <x:c r="A70" s="46" t="str">
        <x:v>M5-EXCHANGE-246</x:v>
      </x:c>
      <x:c r="B70" s="46" t="str">
        <x:v>XR08 交换未定／停止｜正式定义</x:v>
      </x:c>
      <x:c r="C70" s="46" t="str">
        <x:v>定义</x:v>
      </x:c>
      <x:c r="D70" s="46" t="str">
        <x:v>XV0—XV1或PR0停止。</x:v>
      </x:c>
      <x:c r="E70" s="46" t="str">
        <x:v>PR0安全停止。</x:v>
      </x:c>
      <x:c r="F70" s="46" t="str">
        <x:v>目前还不能判断交换是否平衡，先补充双方实际行为和安全信息。</x:v>
      </x:c>
    </x:row>
    <x:row r="71">
      <x:c r="A71" s="46" t="str">
        <x:v>M5-EXCHANGE-250</x:v>
      </x:c>
      <x:c r="B71" s="46" t="str">
        <x:v>XR08 交换未定／停止｜禁止人格化</x:v>
      </x:c>
      <x:c r="C71" s="46" t="str">
        <x:v>边界</x:v>
      </x:c>
      <x:c r="D71" s="46" t="str">
        <x:v>输出XR状态。</x:v>
      </x:c>
      <x:c r="E71" s="46" t="str">
        <x:v>现实存在剥削、控制或伤害时按事实说明。</x:v>
      </x:c>
      <x:c r="F71" s="46" t="str">
        <x:v>这是交换结构的描述，不是给任何一方贴人格标签。</x:v>
      </x:c>
    </x:row>
    <x:row r="72">
      <x:c r="A72" s="46" t="str">
        <x:v>M5-EXCHANGE-251</x:v>
      </x:c>
      <x:c r="B72" s="46" t="str">
        <x:v>XV0 无双方交换证据｜正式定义</x:v>
      </x:c>
      <x:c r="C72" s="46" t="str">
        <x:v>定义</x:v>
      </x:c>
      <x:c r="D72" s="46" t="str">
        <x:v>评估双方交换事件证据。</x:v>
      </x:c>
      <x:c r="E72" s="46" t="str">
        <x:v>无</x:v>
      </x:c>
      <x:c r="F72" s="46" t="str">
        <x:v>当前交换证据层级：无双方交换证据。</x:v>
      </x:c>
    </x:row>
    <x:row r="73">
      <x:c r="A73" s="46" t="str">
        <x:v>M5-EXCHANGE-254</x:v>
      </x:c>
      <x:c r="B73" s="46" t="str">
        <x:v>XV0 无双方交换证据｜禁止发布</x:v>
      </x:c>
      <x:c r="C73" s="46" t="str">
        <x:v>边界</x:v>
      </x:c>
      <x:c r="D73" s="46" t="str">
        <x:v>XV0成立。</x:v>
      </x:c>
      <x:c r="E73" s="46" t="str">
        <x:v>无</x:v>
      </x:c>
      <x:c r="F73" s="46" t="str">
        <x:v>目前还不能：不能判断双向性、负荷或互惠。</x:v>
      </x:c>
    </x:row>
    <x:row r="74">
      <x:c r="A74" s="46" t="str">
        <x:v>M5-EXCHANGE-257</x:v>
      </x:c>
      <x:c r="B74" s="46" t="str">
        <x:v>XV1 单方自述／期待证据｜正式定义</x:v>
      </x:c>
      <x:c r="C74" s="46" t="str">
        <x:v>定义</x:v>
      </x:c>
      <x:c r="D74" s="46" t="str">
        <x:v>评估双方交换事件证据。</x:v>
      </x:c>
      <x:c r="E74" s="46" t="str">
        <x:v>无</x:v>
      </x:c>
      <x:c r="F74" s="46" t="str">
        <x:v>当前交换证据层级：单方自述／期待证据。</x:v>
      </x:c>
    </x:row>
    <x:row r="75">
      <x:c r="A75" s="46" t="str">
        <x:v>M5-EXCHANGE-260</x:v>
      </x:c>
      <x:c r="B75" s="46" t="str">
        <x:v>XV1 单方自述／期待证据｜禁止发布</x:v>
      </x:c>
      <x:c r="C75" s="46" t="str">
        <x:v>边界</x:v>
      </x:c>
      <x:c r="D75" s="46" t="str">
        <x:v>XV1成立。</x:v>
      </x:c>
      <x:c r="E75" s="46" t="str">
        <x:v>无</x:v>
      </x:c>
      <x:c r="F75" s="46" t="str">
        <x:v>目前还不能：不能写稳定交换或单方负荷。</x:v>
      </x:c>
    </x:row>
    <x:row r="76">
      <x:c r="A76" s="46" t="str">
        <x:v>M5-EXCHANGE-263</x:v>
      </x:c>
      <x:c r="B76" s="46" t="str">
        <x:v>XV2 单次交换事件｜正式定义</x:v>
      </x:c>
      <x:c r="C76" s="46" t="str">
        <x:v>定义</x:v>
      </x:c>
      <x:c r="D76" s="46" t="str">
        <x:v>评估双方交换事件证据。</x:v>
      </x:c>
      <x:c r="E76" s="46" t="str">
        <x:v>无</x:v>
      </x:c>
      <x:c r="F76" s="46" t="str">
        <x:v>当前交换证据层级：单次交换事件。</x:v>
      </x:c>
    </x:row>
    <x:row r="77">
      <x:c r="A77" s="46" t="str">
        <x:v>M5-EXCHANGE-266</x:v>
      </x:c>
      <x:c r="B77" s="46" t="str">
        <x:v>XV2 单次交换事件｜禁止发布</x:v>
      </x:c>
      <x:c r="C77" s="46" t="str">
        <x:v>边界</x:v>
      </x:c>
      <x:c r="D77" s="46" t="str">
        <x:v>XV2成立。</x:v>
      </x:c>
      <x:c r="E77" s="46" t="str">
        <x:v>无</x:v>
      </x:c>
      <x:c r="F77" s="46" t="str">
        <x:v>目前还不能：不能写稳定模式或长期公平。</x:v>
      </x:c>
    </x:row>
    <x:row r="78">
      <x:c r="A78" s="46" t="str">
        <x:v>M5-EXCHANGE-269</x:v>
      </x:c>
      <x:c r="B78" s="46" t="str">
        <x:v>XV3 同领域重复证据｜正式定义</x:v>
      </x:c>
      <x:c r="C78" s="46" t="str">
        <x:v>定义</x:v>
      </x:c>
      <x:c r="D78" s="46" t="str">
        <x:v>评估双方交换事件证据。</x:v>
      </x:c>
      <x:c r="E78" s="46" t="str">
        <x:v>无</x:v>
      </x:c>
      <x:c r="F78" s="46" t="str">
        <x:v>当前交换证据层级：同领域重复证据。</x:v>
      </x:c>
    </x:row>
    <x:row r="79">
      <x:c r="A79" s="46" t="str">
        <x:v>M5-EXCHANGE-272</x:v>
      </x:c>
      <x:c r="B79" s="46" t="str">
        <x:v>XV3 同领域重复证据｜禁止发布</x:v>
      </x:c>
      <x:c r="C79" s="46" t="str">
        <x:v>边界</x:v>
      </x:c>
      <x:c r="D79" s="46" t="str">
        <x:v>XV3成立。</x:v>
      </x:c>
      <x:c r="E79" s="46" t="str">
        <x:v>无</x:v>
      </x:c>
      <x:c r="F79" s="46" t="str">
        <x:v>目前还不能：不能自动扩展到资源、压力或修复领域。</x:v>
      </x:c>
    </x:row>
    <x:row r="80">
      <x:c r="A80" s="46" t="str">
        <x:v>M5-EXCHANGE-275</x:v>
      </x:c>
      <x:c r="B80" s="46" t="str">
        <x:v>XV4 跨领域一致证据｜正式定义</x:v>
      </x:c>
      <x:c r="C80" s="46" t="str">
        <x:v>定义</x:v>
      </x:c>
      <x:c r="D80" s="46" t="str">
        <x:v>评估双方交换事件证据。</x:v>
      </x:c>
      <x:c r="E80" s="46" t="str">
        <x:v>无</x:v>
      </x:c>
      <x:c r="F80" s="46" t="str">
        <x:v>当前交换证据层级：跨领域一致证据。</x:v>
      </x:c>
    </x:row>
    <x:row r="81">
      <x:c r="A81" s="46" t="str">
        <x:v>M5-EXCHANGE-278</x:v>
      </x:c>
      <x:c r="B81" s="46" t="str">
        <x:v>XV4 跨领域一致证据｜禁止发布</x:v>
      </x:c>
      <x:c r="C81" s="46" t="str">
        <x:v>边界</x:v>
      </x:c>
      <x:c r="D81" s="46" t="str">
        <x:v>XV4成立。</x:v>
      </x:c>
      <x:c r="E81" s="46" t="str">
        <x:v>无</x:v>
      </x:c>
      <x:c r="F81" s="46" t="str">
        <x:v>目前还不能：仍需压力和修复验证。</x:v>
      </x:c>
    </x:row>
    <x:row r="82">
      <x:c r="A82" s="46" t="str">
        <x:v>M5-EXCHANGE-281</x:v>
      </x:c>
      <x:c r="B82" s="46" t="str">
        <x:v>XV5 压力／代价情境证据｜正式定义</x:v>
      </x:c>
      <x:c r="C82" s="46" t="str">
        <x:v>定义</x:v>
      </x:c>
      <x:c r="D82" s="46" t="str">
        <x:v>评估双方交换事件证据。</x:v>
      </x:c>
      <x:c r="E82" s="46" t="str">
        <x:v>无</x:v>
      </x:c>
      <x:c r="F82" s="46" t="str">
        <x:v>当前交换证据层级：压力／代价情境证据。</x:v>
      </x:c>
    </x:row>
    <x:row r="83">
      <x:c r="A83" s="46" t="str">
        <x:v>M5-EXCHANGE-284</x:v>
      </x:c>
      <x:c r="B83" s="46" t="str">
        <x:v>XV5 压力／代价情境证据｜禁止发布</x:v>
      </x:c>
      <x:c r="C83" s="46" t="str">
        <x:v>边界</x:v>
      </x:c>
      <x:c r="D83" s="46" t="str">
        <x:v>XV5成立。</x:v>
      </x:c>
      <x:c r="E83" s="46" t="str">
        <x:v>无</x:v>
      </x:c>
      <x:c r="F83" s="46" t="str">
        <x:v>目前还不能：不能单独证明修复完成。</x:v>
      </x:c>
    </x:row>
    <x:row r="84">
      <x:c r="A84" s="46" t="str">
        <x:v>M5-EXCHANGE-287</x:v>
      </x:c>
      <x:c r="B84" s="46" t="str">
        <x:v>XV6 修复与重订证据｜正式定义</x:v>
      </x:c>
      <x:c r="C84" s="46" t="str">
        <x:v>定义</x:v>
      </x:c>
      <x:c r="D84" s="46" t="str">
        <x:v>评估双方交换事件证据。</x:v>
      </x:c>
      <x:c r="E84" s="46" t="str">
        <x:v>无</x:v>
      </x:c>
      <x:c r="F84" s="46" t="str">
        <x:v>当前交换证据层级：修复与重订证据。</x:v>
      </x:c>
    </x:row>
    <x:row r="85">
      <x:c r="A85" s="46" t="str">
        <x:v>M5-EXCHANGE-290</x:v>
      </x:c>
      <x:c r="B85" s="46" t="str">
        <x:v>XV6 修复与重订证据｜禁止发布</x:v>
      </x:c>
      <x:c r="C85" s="46" t="str">
        <x:v>边界</x:v>
      </x:c>
      <x:c r="D85" s="46" t="str">
        <x:v>XV6成立。</x:v>
      </x:c>
      <x:c r="E85" s="46" t="str">
        <x:v>无</x:v>
      </x:c>
      <x:c r="F85" s="46" t="str">
        <x:v>目前还不能：一次成功不能写长期稳定。</x:v>
      </x:c>
    </x:row>
    <x:row r="86">
      <x:c r="A86" s="46" t="str">
        <x:v>M5-EXCHANGE-293</x:v>
      </x:c>
      <x:c r="B86" s="46" t="str">
        <x:v>XV7 反例／长期检验证据｜正式定义</x:v>
      </x:c>
      <x:c r="C86" s="46" t="str">
        <x:v>定义</x:v>
      </x:c>
      <x:c r="D86" s="46" t="str">
        <x:v>评估双方交换事件证据。</x:v>
      </x:c>
      <x:c r="E86" s="46" t="str">
        <x:v>无</x:v>
      </x:c>
      <x:c r="F86" s="46" t="str">
        <x:v>当前交换证据层级：反例／长期检验证据。</x:v>
      </x:c>
    </x:row>
    <x:row r="87">
      <x:c r="A87" s="46" t="str">
        <x:v>M5-EXCHANGE-296</x:v>
      </x:c>
      <x:c r="B87" s="46" t="str">
        <x:v>XV7 反例／长期检验证据｜禁止发布</x:v>
      </x:c>
      <x:c r="C87" s="46" t="str">
        <x:v>边界</x:v>
      </x:c>
      <x:c r="D87" s="46" t="str">
        <x:v>XV7成立。</x:v>
      </x:c>
      <x:c r="E87" s="46" t="str">
        <x:v>无</x:v>
      </x:c>
      <x:c r="F87" s="46" t="str">
        <x:v>目前还不能：仍受安全、价值观和其他RG门槛约束。</x:v>
      </x:c>
    </x:row>
    <x:row r="88">
      <x:c r="A88" s="46" t="str">
        <x:v>M5-EXCHANGE-299</x:v>
      </x:c>
      <x:c r="B88" s="46" t="str">
        <x:v>EB01 显眼投入等于全部投入｜正式定义</x:v>
      </x:c>
      <x:c r="C88" s="46" t="str">
        <x:v>伪互惠</x:v>
      </x:c>
      <x:c r="D88" s="46" t="str">
        <x:v>出现相关判断偏差或交换争议。</x:v>
      </x:c>
      <x:c r="E88" s="46" t="str">
        <x:v>XV6—XV7现实资料已经排除。</x:v>
      </x:c>
      <x:c r="F88" s="46" t="str">
        <x:v>显眼不等于全部，先把不同领域都列出来。</x:v>
      </x:c>
    </x:row>
    <x:row r="89">
      <x:c r="A89" s="46" t="str">
        <x:v>M5-EXCHANGE-303</x:v>
      </x:c>
      <x:c r="B89" s="46" t="str">
        <x:v>EB02 等量等于公平｜正式定义</x:v>
      </x:c>
      <x:c r="C89" s="46" t="str">
        <x:v>伪互惠</x:v>
      </x:c>
      <x:c r="D89" s="46" t="str">
        <x:v>出现相关判断偏差或交换争议。</x:v>
      </x:c>
      <x:c r="E89" s="46" t="str">
        <x:v>XV6—XV7现实资料已经排除。</x:v>
      </x:c>
      <x:c r="F89" s="46" t="str">
        <x:v>公平不一定是每项相等，而是双方都知情、可承受、可重订。</x:v>
      </x:c>
    </x:row>
    <x:row r="90">
      <x:c r="A90" s="46" t="str">
        <x:v>M5-EXCHANGE-307</x:v>
      </x:c>
      <x:c r="B90" s="46" t="str">
        <x:v>EB03 单向可见等于单向关系｜正式定义</x:v>
      </x:c>
      <x:c r="C90" s="46" t="str">
        <x:v>伪互惠</x:v>
      </x:c>
      <x:c r="D90" s="46" t="str">
        <x:v>出现相关判断偏差或交换争议。</x:v>
      </x:c>
      <x:c r="E90" s="46" t="str">
        <x:v>XV6—XV7现实资料已经排除。</x:v>
      </x:c>
      <x:c r="F90" s="46" t="str">
        <x:v>目前只看见一侧，不代表另一侧一定不存在。</x:v>
      </x:c>
    </x:row>
    <x:row r="91">
      <x:c r="A91" s="46" t="str">
        <x:v>M5-EXCHANGE-311</x:v>
      </x:c>
      <x:c r="B91" s="46" t="str">
        <x:v>EB04 主动给予等于无需请求｜正式定义</x:v>
      </x:c>
      <x:c r="C91" s="46" t="str">
        <x:v>伪互惠</x:v>
      </x:c>
      <x:c r="D91" s="46" t="str">
        <x:v>出现相关判断偏差或交换争议。</x:v>
      </x:c>
      <x:c r="E91" s="46" t="str">
        <x:v>XV6—XV7现实资料已经排除。</x:v>
      </x:c>
      <x:c r="F91" s="46" t="str">
        <x:v>对方不能靠猜测长期完成你的需要，清楚请求也是关系能力。</x:v>
      </x:c>
    </x:row>
    <x:row r="92">
      <x:c r="A92" s="46" t="str">
        <x:v>M5-EXCHANGE-315</x:v>
      </x:c>
      <x:c r="B92" s="46" t="str">
        <x:v>EB05 接受支持等于欠债｜正式定义</x:v>
      </x:c>
      <x:c r="C92" s="46" t="str">
        <x:v>伪互惠</x:v>
      </x:c>
      <x:c r="D92" s="46" t="str">
        <x:v>出现相关判断偏差或交换争议。</x:v>
      </x:c>
      <x:c r="E92" s="46" t="str">
        <x:v>XV6—XV7现实资料已经排除。</x:v>
      </x:c>
      <x:c r="F92" s="46" t="str">
        <x:v>被支持不等于失去自主，也不必立刻等量偿还。</x:v>
      </x:c>
    </x:row>
    <x:row r="93">
      <x:c r="A93" s="46" t="str">
        <x:v>M5-EXCHANGE-319</x:v>
      </x:c>
      <x:c r="B93" s="46" t="str">
        <x:v>EB06 帮助等于控制／控制等于帮助｜正式定义</x:v>
      </x:c>
      <x:c r="C93" s="46" t="str">
        <x:v>伪互惠</x:v>
      </x:c>
      <x:c r="D93" s="46" t="str">
        <x:v>出现相关判断偏差或交换争议。</x:v>
      </x:c>
      <x:c r="E93" s="46" t="str">
        <x:v>XV6—XV7现实资料已经排除。</x:v>
      </x:c>
      <x:c r="F93" s="46" t="str">
        <x:v>真正的支持会增加你的能力和选择，而不是减少。</x:v>
      </x:c>
    </x:row>
    <x:row r="94">
      <x:c r="A94" s="46" t="str">
        <x:v>M5-EXCHANGE-323</x:v>
      </x:c>
      <x:c r="B94" s="46" t="str">
        <x:v>EB07 角色分工等于固定高低｜正式定义</x:v>
      </x:c>
      <x:c r="C94" s="46" t="str">
        <x:v>伪互惠</x:v>
      </x:c>
      <x:c r="D94" s="46" t="str">
        <x:v>出现相关判断偏差或交换争议。</x:v>
      </x:c>
      <x:c r="E94" s="46" t="str">
        <x:v>XV6—XV7现实资料已经排除。</x:v>
      </x:c>
      <x:c r="F94" s="46" t="str">
        <x:v>分工可以不同，但决定权和人格地位仍应平等。</x:v>
      </x:c>
    </x:row>
    <x:row r="95">
      <x:c r="A95" s="46" t="str">
        <x:v>M5-EXCHANGE-327</x:v>
      </x:c>
      <x:c r="B95" s="46" t="str">
        <x:v>EB08 即时回报等于健康互惠｜正式定义</x:v>
      </x:c>
      <x:c r="C95" s="46" t="str">
        <x:v>伪互惠</x:v>
      </x:c>
      <x:c r="D95" s="46" t="str">
        <x:v>出现相关判断偏差或交换争议。</x:v>
      </x:c>
      <x:c r="E95" s="46" t="str">
        <x:v>XV6—XV7现实资料已经排除。</x:v>
      </x:c>
      <x:c r="F95" s="46" t="str">
        <x:v>回馈可以错峰，但必须有清楚的时间结构和真实回流。</x:v>
      </x:c>
    </x:row>
    <x:row r="96">
      <x:c r="A96" s="46" t="str">
        <x:v>M5-EXCHANGE-331</x:v>
      </x:c>
      <x:c r="B96" s="46" t="str">
        <x:v>EB09 物质／行动补偿等于情绪修复｜正式定义</x:v>
      </x:c>
      <x:c r="C96" s="46" t="str">
        <x:v>伪互惠</x:v>
      </x:c>
      <x:c r="D96" s="46" t="str">
        <x:v>出现相关判断偏差或交换争议。</x:v>
      </x:c>
      <x:c r="E96" s="46" t="str">
        <x:v>XV6—XV7现实资料已经排除。</x:v>
      </x:c>
      <x:c r="F96" s="46" t="str">
        <x:v>补偿可能有价值，但不能替代接收反馈和关系修复。</x:v>
      </x:c>
    </x:row>
    <x:row r="97">
      <x:c r="A97" s="46" t="str">
        <x:v>M5-EXCHANGE-335</x:v>
      </x:c>
      <x:c r="B97" s="46" t="str">
        <x:v>EB10 暂时不对称等于长期模式｜正式定义</x:v>
      </x:c>
      <x:c r="C97" s="46" t="str">
        <x:v>伪互惠</x:v>
      </x:c>
      <x:c r="D97" s="46" t="str">
        <x:v>出现相关判断偏差或交换争议。</x:v>
      </x:c>
      <x:c r="E97" s="46" t="str">
        <x:v>XV6—XV7现实资料已经排除。</x:v>
      </x:c>
      <x:c r="F97" s="46" t="str">
        <x:v>某个阶段承担更多，不等于长期都必须如此。</x:v>
      </x:c>
    </x:row>
    <x:row r="98">
      <x:c r="A98" s="46" t="str">
        <x:v>M5-EXCHANGE-342</x:v>
      </x:c>
      <x:c r="B98" s="46" t="str">
        <x:v>XD01 情绪倾听与安抚｜跨领域边界</x:v>
      </x:c>
      <x:c r="C98" s="46" t="str">
        <x:v>边界</x:v>
      </x:c>
      <x:c r="D98" s="46" t="str">
        <x:v>准备从该领域推广到整体交换。</x:v>
      </x:c>
      <x:c r="E98" s="46" t="str">
        <x:v>XV4以上且至少两个领域一致。</x:v>
      </x:c>
      <x:c r="F98" s="46" t="str">
        <x:v>在这个领域做得好，不能自动说明所有方面都同样成熟。</x:v>
      </x:c>
    </x:row>
    <x:row r="99">
      <x:c r="A99" s="46" t="str">
        <x:v>M5-EXCHANGE-346</x:v>
      </x:c>
      <x:c r="B99" s="46" t="str">
        <x:v>XD02 表达、信息与反馈｜跨领域边界</x:v>
      </x:c>
      <x:c r="C99" s="46" t="str">
        <x:v>边界</x:v>
      </x:c>
      <x:c r="D99" s="46" t="str">
        <x:v>准备从该领域推广到整体交换。</x:v>
      </x:c>
      <x:c r="E99" s="46" t="str">
        <x:v>XV4以上且至少两个领域一致。</x:v>
      </x:c>
      <x:c r="F99" s="46" t="str">
        <x:v>在这个领域做得好，不能自动说明所有方面都同样成熟。</x:v>
      </x:c>
    </x:row>
    <x:row r="100">
      <x:c r="A100" s="46" t="str">
        <x:v>M5-EXCHANGE-350</x:v>
      </x:c>
      <x:c r="B100" s="46" t="str">
        <x:v>XD03 时间、陪伴与关系维护｜跨领域边界</x:v>
      </x:c>
      <x:c r="C100" s="46" t="str">
        <x:v>边界</x:v>
      </x:c>
      <x:c r="D100" s="46" t="str">
        <x:v>准备从该领域推广到整体交换。</x:v>
      </x:c>
      <x:c r="E100" s="46" t="str">
        <x:v>XV4以上且至少两个领域一致。</x:v>
      </x:c>
      <x:c r="F100" s="46" t="str">
        <x:v>在这个领域做得好，不能自动说明所有方面都同样成熟。</x:v>
      </x:c>
    </x:row>
    <x:row r="101">
      <x:c r="A101" s="46" t="str">
        <x:v>M5-EXCHANGE-354</x:v>
      </x:c>
      <x:c r="B101" s="46" t="str">
        <x:v>XD04 家务、事务与照护劳动｜跨领域边界</x:v>
      </x:c>
      <x:c r="C101" s="46" t="str">
        <x:v>边界</x:v>
      </x:c>
      <x:c r="D101" s="46" t="str">
        <x:v>准备从该领域推广到整体交换。</x:v>
      </x:c>
      <x:c r="E101" s="46" t="str">
        <x:v>XV4以上且至少两个领域一致。</x:v>
      </x:c>
      <x:c r="F101" s="46" t="str">
        <x:v>在这个领域做得好，不能自动说明所有方面都同样成熟。</x:v>
      </x:c>
    </x:row>
    <x:row r="102">
      <x:c r="A102" s="46" t="str">
        <x:v>M5-EXCHANGE-358</x:v>
      </x:c>
      <x:c r="B102" s="46" t="str">
        <x:v>XD05 金钱、物质与资源｜跨领域边界</x:v>
      </x:c>
      <x:c r="C102" s="46" t="str">
        <x:v>边界</x:v>
      </x:c>
      <x:c r="D102" s="46" t="str">
        <x:v>准备从该领域推广到整体交换。</x:v>
      </x:c>
      <x:c r="E102" s="46" t="str">
        <x:v>XV4以上且至少两个领域一致。</x:v>
      </x:c>
      <x:c r="F102" s="46" t="str">
        <x:v>在这个领域做得好，不能自动说明所有方面都同样成熟。</x:v>
      </x:c>
    </x:row>
    <x:row r="103">
      <x:c r="A103" s="46" t="str">
        <x:v>M5-EXCHANGE-362</x:v>
      </x:c>
      <x:c r="B103" s="46" t="str">
        <x:v>XD06 决定、承诺与责任｜跨领域边界</x:v>
      </x:c>
      <x:c r="C103" s="46" t="str">
        <x:v>边界</x:v>
      </x:c>
      <x:c r="D103" s="46" t="str">
        <x:v>准备从该领域推广到整体交换。</x:v>
      </x:c>
      <x:c r="E103" s="46" t="str">
        <x:v>XV4以上且至少两个领域一致。</x:v>
      </x:c>
      <x:c r="F103" s="46" t="str">
        <x:v>在这个领域做得好，不能自动说明所有方面都同样成熟。</x:v>
      </x:c>
    </x:row>
    <x:row r="104">
      <x:c r="A104" s="46" t="str">
        <x:v>M5-EXCHANGE-366</x:v>
      </x:c>
      <x:c r="B104" s="46" t="str">
        <x:v>XD07 危机行动与保护｜跨领域边界</x:v>
      </x:c>
      <x:c r="C104" s="46" t="str">
        <x:v>边界</x:v>
      </x:c>
      <x:c r="D104" s="46" t="str">
        <x:v>准备从该领域推广到整体交换。</x:v>
      </x:c>
      <x:c r="E104" s="46" t="str">
        <x:v>XV4以上且至少两个领域一致。</x:v>
      </x:c>
      <x:c r="F104" s="46" t="str">
        <x:v>在这个领域做得好，不能自动说明所有方面都同样成熟。</x:v>
      </x:c>
    </x:row>
    <x:row r="105">
      <x:c r="A105" s="46" t="str">
        <x:v>M5-EXCHANGE-370</x:v>
      </x:c>
      <x:c r="B105" s="46" t="str">
        <x:v>XD08 亲密、身体、隐私与空间｜跨领域边界</x:v>
      </x:c>
      <x:c r="C105" s="46" t="str">
        <x:v>边界</x:v>
      </x:c>
      <x:c r="D105" s="46" t="str">
        <x:v>准备从该领域推广到整体交换。</x:v>
      </x:c>
      <x:c r="E105" s="46" t="str">
        <x:v>XV4以上且至少两个领域一致。</x:v>
      </x:c>
      <x:c r="F105" s="46" t="str">
        <x:v>在这个领域做得好，不能自动说明所有方面都同样成熟。</x:v>
      </x:c>
    </x:row>
    <x:row r="106">
      <x:c r="A106" s="46" t="str">
        <x:v>M5-EXCHANGE-374</x:v>
      </x:c>
      <x:c r="B106" s="46" t="str">
        <x:v>XD09 学习、认知与成长支持｜跨领域边界</x:v>
      </x:c>
      <x:c r="C106" s="46" t="str">
        <x:v>边界</x:v>
      </x:c>
      <x:c r="D106" s="46" t="str">
        <x:v>准备从该领域推广到整体交换。</x:v>
      </x:c>
      <x:c r="E106" s="46" t="str">
        <x:v>XV4以上且至少两个领域一致。</x:v>
      </x:c>
      <x:c r="F106" s="46" t="str">
        <x:v>在这个领域做得好，不能自动说明所有方面都同样成熟。</x:v>
      </x:c>
    </x:row>
    <x:row r="107">
      <x:c r="A107" s="46" t="str">
        <x:v>M5-EXCHANGE-378</x:v>
      </x:c>
      <x:c r="B107" s="46" t="str">
        <x:v>XD10 修复、补救与持续回访｜跨领域边界</x:v>
      </x:c>
      <x:c r="C107" s="46" t="str">
        <x:v>边界</x:v>
      </x:c>
      <x:c r="D107" s="46" t="str">
        <x:v>准备从该领域推广到整体交换。</x:v>
      </x:c>
      <x:c r="E107" s="46" t="str">
        <x:v>XV4以上且至少两个领域一致。</x:v>
      </x:c>
      <x:c r="F107" s="46" t="str">
        <x:v>在这个领域做得好，不能自动说明所有方面都同样成熟。</x:v>
      </x:c>
    </x:row>
    <x:row r="108">
      <x:c r="A108" s="46" t="str">
        <x:v>M5-EXCHANGE-398</x:v>
      </x:c>
      <x:c r="B108" s="46" t="str">
        <x:v>M5-PARTNER PV与XV分开</x:v>
      </x:c>
      <x:c r="C108" s="46" t="str">
        <x:v>去重</x:v>
      </x:c>
      <x:c r="D108" s="46" t="str">
        <x:v>PV资料可用。</x:v>
      </x:c>
      <x:c r="E108" s="46" t="str">
        <x:v>把个人PV直接等同双人XV。</x:v>
      </x:c>
      <x:c r="F108" s="46" t="str">
        <x:v>一个人做得好，不等于双方交换已经成熟。</x:v>
      </x:c>
    </x:row>
    <x:row r="109">
      <x:c r="A109" s="46" t="str">
        <x:v>M5-EXCHANGE-414</x:v>
      </x:c>
      <x:c r="B109" s="46" t="str">
        <x:v>同一行为多维度不重复加分</x:v>
      </x:c>
      <x:c r="C109" s="46" t="str">
        <x:v>去重</x:v>
      </x:c>
      <x:c r="D109" s="46" t="str">
        <x:v>一个事件同时支持多个ED、XD或EP。</x:v>
      </x:c>
      <x:c r="E109" s="46" t="str">
        <x:v>不同event_id或跨场景重复。</x:v>
      </x:c>
      <x:c r="F109" s="46" t="str">
        <x:v>同一件事可以说明多个方面，但不会自动变成多次证据。</x:v>
      </x:c>
    </x:row>
    <x:row r="110">
      <x:c r="A110" s="46" t="str">
        <x:v>M5-EXCHANGE-415</x:v>
      </x:c>
      <x:c r="B110" s="46" t="str">
        <x:v>同一贡献跨描述收敛</x:v>
      </x:c>
      <x:c r="C110" s="46" t="str">
        <x:v>去重</x:v>
      </x:c>
      <x:c r="D110" s="46" t="str">
        <x:v>同一投入被描述为时间、照顾、责任等多个标签。</x:v>
      </x:c>
      <x:c r="E110" s="46" t="str">
        <x:v>确有不同领域和独立代价。</x:v>
      </x:c>
      <x:c r="F110" s="46" t="str">
        <x:v>先看具体做了什么，避免把同一份投入重复计算。</x:v>
      </x:c>
    </x:row>
    <x:row r="111">
      <x:c r="A111" s="46" t="str">
        <x:v>M5-EXCHANGE-416</x:v>
      </x:c>
      <x:c r="B111" s="46" t="str">
        <x:v>正偏同系统先收敛</x:v>
      </x:c>
      <x:c r="C111" s="46" t="str">
        <x:v>去重</x:v>
      </x:c>
      <x:c r="D111" s="46" t="str">
        <x:v>同系统两个EC同时命中。</x:v>
      </x:c>
      <x:c r="E111" s="46" t="str">
        <x:v>来源独立且任务不同。</x:v>
      </x:c>
      <x:c r="F111" s="46" t="str">
        <x:v>先看共同交换功能，再看它以什么风格发生。</x:v>
      </x:c>
    </x:row>
    <x:row r="112">
      <x:c r="A112" s="46" t="str">
        <x:v>M5-EXCHANGE-417</x:v>
      </x:c>
      <x:c r="B112" s="46" t="str">
        <x:v>跨领域补偿不能自动抵消</x:v>
      </x:c>
      <x:c r="C112" s="46" t="str">
        <x:v>边界</x:v>
      </x:c>
      <x:c r="D112" s="46" t="str">
        <x:v>一领域投入高，另一关键领域缺失。</x:v>
      </x:c>
      <x:c r="E112" s="46" t="str">
        <x:v>双方明确协商并接受替代。</x:v>
      </x:c>
      <x:c r="F112" s="46" t="str">
        <x:v>在一个领域付出很多，不能自动补上另一个领域的缺口。</x:v>
      </x:c>
    </x:row>
    <x:row r="113">
      <x:c r="A113" s="46" t="str">
        <x:v>M5-EXCHANGE-418</x:v>
      </x:c>
      <x:c r="B113" s="46" t="str">
        <x:v>角色分工必须可重订</x:v>
      </x:c>
      <x:c r="C113" s="46" t="str">
        <x:v>边界</x:v>
      </x:c>
      <x:c r="D113" s="46" t="str">
        <x:v>XR02或EM03候选。</x:v>
      </x:c>
      <x:c r="E113" s="46" t="str">
        <x:v>分工永久固定、只有一方有决定权。</x:v>
      </x:c>
      <x:c r="F113" s="46" t="str">
        <x:v>分工可以不同，但必须能够重新商量。</x:v>
      </x:c>
    </x:row>
    <x:row r="114">
      <x:c r="A114" s="46" t="str">
        <x:v>M5-EXCHANGE-419</x:v>
      </x:c>
      <x:c r="B114" s="46" t="str">
        <x:v>错峰互惠必须有回流点</x:v>
      </x:c>
      <x:c r="C114" s="46" t="str">
        <x:v>边界</x:v>
      </x:c>
      <x:c r="D114" s="46" t="str">
        <x:v>XR03或EM02候选。</x:v>
      </x:c>
      <x:c r="E114" s="46" t="str">
        <x:v>无限期等待或没有预期。</x:v>
      </x:c>
      <x:c r="F114" s="46" t="str">
        <x:v>不同步可以，但要知道以后怎样回来。</x:v>
      </x:c>
    </x:row>
    <x:row r="115">
      <x:c r="A115" s="46" t="str">
        <x:v>M5-EXCHANGE-428</x:v>
      </x:c>
      <x:c r="B115" s="46" t="str">
        <x:v>安全风险停止普通交换分析</x:v>
      </x:c>
      <x:c r="C115" s="46" t="str">
        <x:v>安全</x:v>
      </x:c>
      <x:c r="D115" s="46" t="str">
        <x:v>存在PR0风险。</x:v>
      </x:c>
      <x:c r="E115" s="46" t="str">
        <x:v>无。</x:v>
      </x:c>
      <x:c r="F115" s="46" t="str">
        <x:v>先处理安全、同意和现实资源。</x:v>
      </x:c>
    </x:row>
    <x:row r="116">
      <x:c r="A116" s="46" t="str">
        <x:v>M5-EXCHANGE-429</x:v>
      </x:c>
      <x:c r="B116" s="46" t="str">
        <x:v>资料不足停止交换定性</x:v>
      </x:c>
      <x:c r="C116" s="46" t="str">
        <x:v>停止</x:v>
      </x:c>
      <x:c r="D116" s="46" t="str">
        <x:v>XV0—XV1或只有一方抽象评价。</x:v>
      </x:c>
      <x:c r="E116" s="46" t="str">
        <x:v>仅输出观察计划允许。</x:v>
      </x:c>
      <x:c r="F116" s="46" t="str">
        <x:v>目前先列出需要记录的完整交换事件。</x:v>
      </x:c>
    </x:row>
    <x:row r="117">
      <x:c r="A117" s="46" t="str">
        <x:v>M5-EXCHANGE-430</x:v>
      </x:c>
      <x:c r="B117" s="46" t="str">
        <x:v>强现实反例覆盖结构候选</x:v>
      </x:c>
      <x:c r="C117" s="46" t="str">
        <x:v>停止</x:v>
      </x:c>
      <x:c r="D117" s="46" t="str">
        <x:v>跨场景多次反例与EC/EM候选冲突。</x:v>
      </x:c>
      <x:c r="E117" s="46" t="str">
        <x:v>反例不可靠或已被持续修正。</x:v>
      </x:c>
      <x:c r="F117" s="46" t="str">
        <x:v>现实中反复做不到，就不要用理论替关系解释。</x:v>
      </x:c>
    </x:row>
    <x:row r="118">
      <x:c r="A118" s="46" t="str">
        <x:v>M5-EXCHANGE-442</x:v>
      </x:c>
      <x:c r="B118" s="46" t="str">
        <x:v>XR08未定停止</x:v>
      </x:c>
      <x:c r="C118" s="46" t="str">
        <x:v>停止</x:v>
      </x:c>
      <x:c r="D118" s="46" t="str">
        <x:v>XV0—XV1、资料矛盾、合化争议或安全门控。</x:v>
      </x:c>
      <x:c r="E118" s="46" t="str">
        <x:v>无</x:v>
      </x:c>
      <x:c r="F118" s="46" t="str">
        <x:v>只输出观察计划。</x:v>
      </x:c>
    </x:row>
    <x:row r="119">
      <x:c r="A119" s="46" t="str">
        <x:v>M5-EXCHANGE-443</x:v>
      </x:c>
      <x:c r="B119" s="46" t="str">
        <x:v>XV0—XV1发布上限</x:v>
      </x:c>
      <x:c r="C119" s="46" t="str">
        <x:v>边界</x:v>
      </x:c>
      <x:c r="D119" s="46" t="str">
        <x:v>只有需求、标签或单方自述。</x:v>
      </x:c>
      <x:c r="E119" s="46" t="str">
        <x:v>PR0安全门控未通过时停止普通评分。</x:v>
      </x:c>
      <x:c r="F119" s="46" t="str">
        <x:v>不得判断稳定、失衡或公平。</x:v>
      </x:c>
    </x:row>
    <x:row r="120">
      <x:c r="A120" s="46" t="str">
        <x:v>M5-EXCHANGE-444</x:v>
      </x:c>
      <x:c r="B120" s="46" t="str">
        <x:v>XV2单次事件上限</x:v>
      </x:c>
      <x:c r="C120" s="46" t="str">
        <x:v>边界</x:v>
      </x:c>
      <x:c r="D120" s="46" t="str">
        <x:v>只有一个完整交换事件。</x:v>
      </x:c>
      <x:c r="E120" s="46" t="str">
        <x:v>PR0安全门控未通过时停止普通评分。</x:v>
      </x:c>
      <x:c r="F120" s="46" t="str">
        <x:v>只能描述这一次怎样运行。</x:v>
      </x:c>
    </x:row>
    <x:row r="121">
      <x:c r="A121" s="46" t="str">
        <x:v>M5-EXCHANGE-461</x:v>
      </x:c>
      <x:c r="B121" s="46" t="str">
        <x:v>同一event_id基础分封顶</x:v>
      </x:c>
      <x:c r="C121" s="46" t="str">
        <x:v>去重</x:v>
      </x:c>
      <x:c r="D121" s="46" t="str">
        <x:v>一个事件支持多个ED/XD/EP。</x:v>
      </x:c>
      <x:c r="E121" s="46" t="str">
        <x:v>PR0安全门控未通过时停止普通评分。</x:v>
      </x:c>
      <x:c r="F121" s="46" t="str">
        <x:v>基础事件分只计一次。</x:v>
      </x:c>
    </x:row>
    <x:row r="122">
      <x:c r="A122" s="46" t="str">
        <x:v>M5-EXCHANGE-462</x:v>
      </x:c>
      <x:c r="B122" s="46" t="str">
        <x:v>同一source_id基础分封顶</x:v>
      </x:c>
      <x:c r="C122" s="46" t="str">
        <x:v>去重</x:v>
      </x:c>
      <x:c r="D122" s="46" t="str">
        <x:v>一个命盘事实被多个模块读取。</x:v>
      </x:c>
      <x:c r="E122" s="46" t="str">
        <x:v>PR0安全门控未通过时停止普通评分。</x:v>
      </x:c>
      <x:c r="F122" s="46" t="str">
        <x:v>基础结构权重只计一次。</x:v>
      </x:c>
    </x:row>
    <x:row r="123">
      <x:c r="A123" s="46" t="str">
        <x:v>M5-EXCHANGE-464</x:v>
      </x:c>
      <x:c r="B123" s="46" t="str">
        <x:v>情绪与现实领域不能自动互抵</x:v>
      </x:c>
      <x:c r="C123" s="46" t="str">
        <x:v>边界</x:v>
      </x:c>
      <x:c r="D123" s="46" t="str">
        <x:v>XD01/XD02与XD04/XD05/XD06之间出现明显差异。</x:v>
      </x:c>
      <x:c r="E123" s="46" t="str">
        <x:v>PR0安全门控未通过时停止普通评分。</x:v>
      </x:c>
      <x:c r="F123" s="46" t="str">
        <x:v>分别报告，除非双方明确接受替代。</x:v>
      </x:c>
    </x:row>
    <x:row r="124">
      <x:c r="A124" s="46" t="str">
        <x:v>M5-EXCHANGE-472</x:v>
      </x:c>
      <x:c r="B124" s="46" t="str">
        <x:v>安全门控</x:v>
      </x:c>
      <x:c r="C124" s="46" t="str">
        <x:v>停止</x:v>
      </x:c>
      <x:c r="D124" s="46" t="str">
        <x:v>存在暴力、威胁、强迫、经济控制、跟踪或反复越界。</x:v>
      </x:c>
      <x:c r="E124" s="46" t="str">
        <x:v>无</x:v>
      </x:c>
      <x:c r="F124" s="46" t="str">
        <x:v>停止普通互惠与互补分析。</x:v>
      </x:c>
    </x:row>
    <x:row r="125">
      <x:c r="A125" s="47" t="str">
        <x:v>M5-EXCHANGE-478</x:v>
      </x:c>
      <x:c r="B125" s="47" t="str">
        <x:v>正文密度限制</x:v>
      </x:c>
      <x:c r="C125" s="47" t="str">
        <x:v>边界</x:v>
      </x:c>
      <x:c r="D125" s="47" t="str">
        <x:v>生成用户正文。</x:v>
      </x:c>
      <x:c r="E125" s="47" t="str">
        <x:v>PR0安全门控未通过时停止普通评分。</x:v>
      </x:c>
      <x:c r="F125" s="47" t="str">
        <x:v>最多一主一次、一种EM、一个XR、一个风险和一个观察重点。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bbac08c32dc64a5f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3" max="3" width="58" hidden="0" customWidth="1"/>
  </x:cols>
  <x:sheetData>
    <x:row r="1">
      <x:c r="A1" s="9" t="str">
        <x:v>M5-EXCHANGE 输出模板与句库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先写主交换通道，再写模式、负荷与边界、风险修复以及XV证据上限。</x:v>
      </x:c>
      <x:c r="B3" s="24"/>
      <x:c r="C3" s="24"/>
      <x:c r="D3" s="24"/>
      <x:c r="E3" s="24"/>
      <x:c r="F3" s="24"/>
    </x:row>
    <x:row r="5">
      <x:c r="A5" s="35" t="str">
        <x:v>输出位置</x:v>
      </x:c>
      <x:c r="B5" s="35" t="str">
        <x:v>模板</x:v>
      </x:c>
    </x:row>
    <x:row r="6">
      <x:c r="A6" s="46" t="str">
        <x:v>主交换通道</x:v>
      </x:c>
      <x:c r="B6" s="46" t="str">
        <x:v>你们更适合通过________完成主要交换。具体表现为：一方可以________，另一方能够________，双方再通过________完成回流。</x:v>
      </x:c>
    </x:row>
    <x:row r="7">
      <x:c r="A7" s="46" t="str">
        <x:v>请求与接收</x:v>
      </x:c>
      <x:c r="B7" s="46" t="str">
        <x:v>这段关系是否顺畅，很大程度取决于需要能否被说清，以及对方的回应是否真的命中。建议重点观察________。</x:v>
      </x:c>
    </x:row>
    <x:row r="8">
      <x:c r="A8" s="46" t="str">
        <x:v>交换模式</x:v>
      </x:c>
      <x:c r="B8" s="46" t="str">
        <x:v>你们的交换更接近________。它不要求每次完全等量，但需要________、________和________。</x:v>
      </x:c>
    </x:row>
    <x:row r="9">
      <x:c r="A9" s="46" t="str">
        <x:v>互惠时序</x:v>
      </x:c>
      <x:c r="B9" s="46" t="str">
        <x:v>回馈更可能是同步／错峰／延迟。真正关键的是________，而不是要求立即回报。</x:v>
      </x:c>
    </x:row>
    <x:row r="10">
      <x:c r="A10" s="46" t="str">
        <x:v>负荷与分工</x:v>
      </x:c>
      <x:c r="B10" s="46" t="str">
        <x:v>双方可以承担不同领域，但需要让________可见、________可协商，并在________时重新分配。</x:v>
      </x:c>
    </x:row>
    <x:row r="11">
      <x:c r="A11" s="46" t="str">
        <x:v>边界与同意</x:v>
      </x:c>
      <x:c r="B11" s="46" t="str">
        <x:v>任何帮助、资源或保护，都应保留________、________和________。</x:v>
      </x:c>
    </x:row>
    <x:row r="12">
      <x:c r="A12" s="46" t="str">
        <x:v>伪互惠提醒</x:v>
      </x:c>
      <x:c r="B12" s="46" t="str">
        <x:v>需要区分________与真正的________。前者可能很显眼，但仍缺少________证据。</x:v>
      </x:c>
    </x:row>
    <x:row r="13">
      <x:c r="A13" s="46" t="str">
        <x:v>修复闭环</x:v>
      </x:c>
      <x:c r="B13" s="46" t="str">
        <x:v>交换失衡以后，需要完成________、________、________和持续回访，才算真正回到双向状态。</x:v>
      </x:c>
    </x:row>
    <x:row r="14">
      <x:c r="A14" s="46" t="str">
        <x:v>XV证据边界</x:v>
      </x:c>
      <x:c r="B14" s="46" t="str">
        <x:v>目前交换证据大约处于________。这足以说明________，但还不能说明________。</x:v>
      </x:c>
    </x:row>
    <x:row r="15">
      <x:c r="A15" s="47" t="str">
        <x:v>停止版</x:v>
      </x:c>
      <x:c r="B15" s="47" t="str">
        <x:v>当前存在安全、资料或基础状态问题，暂不适合判断双方交换是否成熟。先补充／处理________。</x:v>
      </x:c>
    </x:row>
    <x:row r="17">
      <x:c r="A17" s="35" t="str">
        <x:v>组合示例</x:v>
      </x:c>
      <x:c r="B17" s="35" t="str">
        <x:v>用户输出</x:v>
      </x:c>
      <x:c r="C17" s="35" t="str">
        <x:v>风险提醒</x:v>
      </x:c>
    </x:row>
    <x:row r="18">
      <x:c r="A18" s="46" t="str">
        <x:v>EC04＋EM08</x:v>
      </x:c>
      <x:c r="B18" s="46" t="str">
        <x:v>双方先说清需要和理解，再把沟通转成具体安排与回访。</x:v>
      </x:c>
      <x:c r="C18" s="46" t="str">
        <x:v>避免把长谈当成问题已经解决。</x:v>
      </x:c>
    </x:row>
    <x:row r="19">
      <x:c r="A19" s="46" t="str">
        <x:v>EC05＋EM03</x:v>
      </x:c>
      <x:c r="B19" s="46" t="str">
        <x:v>双方在不同现实领域分工，但负荷、决定权和休息权需要共同确认。</x:v>
      </x:c>
      <x:c r="C19" s="46" t="str">
        <x:v>避免角色分工固化成一方长期补位。</x:v>
      </x:c>
    </x:row>
    <x:row r="20">
      <x:c r="A20" s="46" t="str">
        <x:v>EC09＋EM10</x:v>
      </x:c>
      <x:c r="B20" s="46" t="str">
        <x:v>支持和理解的目标是帮助双方恢复自主，而不是形成接管或依赖。</x:v>
      </x:c>
      <x:c r="C20" s="46" t="str">
        <x:v>避免把安抚当成现实改变。</x:v>
      </x:c>
    </x:row>
    <x:row r="21">
      <x:c r="A21" s="46" t="str">
        <x:v>EC10＋EP06</x:v>
      </x:c>
      <x:c r="B21" s="46" t="str">
        <x:v>空间有明确目的、最低连接和回归点，整理后主动重新开放。</x:v>
      </x:c>
      <x:c r="C21" s="46" t="str">
        <x:v>避免暂停没有结束方式。</x:v>
      </x:c>
    </x:row>
    <x:row r="22">
      <x:c r="A22" s="47" t="str">
        <x:v>XR03错峰互惠</x:v>
      </x:c>
      <x:c r="B22" s="47" t="str">
        <x:v>当前一方承担较多，但回流时间、领域和重订点清楚。</x:v>
      </x:c>
      <x:c r="C22" s="47" t="str">
        <x:v>避免无限期等待被包装成错峰。</x:v>
      </x:c>
    </x:row>
  </x:sheetData>
  <x:mergeCells>
    <x:mergeCell ref="A1:F2"/>
    <x:mergeCell ref="A3:F3"/>
  </x:mergeCells>
  <x:pageMargins left="0.7" right="0.7" top="0.75" bottom="0.75" header="0.3" footer="0.3"/>
  <x:tableParts count="2">
    <x:tablePart xmlns:r="http://schemas.openxmlformats.org/officeDocument/2006/relationships" r:id="Rc26f83f8fe6446db"/>
    <x:tablePart xmlns:r="http://schemas.openxmlformats.org/officeDocument/2006/relationships" r:id="Re3aa130b97134a93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14" hidden="0" customWidth="1"/>
    <x:col min="10" max="10" width="20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14" hidden="0" customWidth="1"/>
    <x:col min="17" max="17" width="16" hidden="0" customWidth="1"/>
  </x:cols>
  <x:sheetData>
    <x:row r="1">
      <x:c r="A1" s="9" t="str">
        <x:v>M5-EXCHANGE 双人交换案例验证记录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3">
      <x:c r="A3" s="24" t="str">
        <x:v>预测必须先冻结，再分别记录给予、请求、接收、回馈、负荷、重订、修复和反例。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</x:row>
    <x:row r="5">
      <x:c r="A5" s="35" t="str">
        <x:v>案例ID</x:v>
      </x:c>
      <x:c r="B5" s="35" t="str">
        <x:v>日期</x:v>
      </x:c>
      <x:c r="C5" s="35" t="str">
        <x:v>关系阶段</x:v>
      </x:c>
      <x:c r="D5" s="35" t="str">
        <x:v>安全状态</x:v>
      </x:c>
      <x:c r="E5" s="35" t="str">
        <x:v>主EC</x:v>
      </x:c>
      <x:c r="F5" s="35" t="str">
        <x:v>次EC</x:v>
      </x:c>
      <x:c r="G5" s="35" t="str">
        <x:v>预测EM</x:v>
      </x:c>
      <x:c r="H5" s="35" t="str">
        <x:v>预测XR</x:v>
      </x:c>
      <x:c r="I5" s="35" t="str">
        <x:v>预测XV</x:v>
      </x:c>
      <x:c r="J5" s="35" t="str">
        <x:v>主要XD领域</x:v>
      </x:c>
      <x:c r="K5" s="35" t="str">
        <x:v>请求记录</x:v>
      </x:c>
      <x:c r="L5" s="35" t="str">
        <x:v>回应记录</x:v>
      </x:c>
      <x:c r="M5" s="35" t="str">
        <x:v>负荷与分工</x:v>
      </x:c>
      <x:c r="N5" s="35" t="str">
        <x:v>修复与重订</x:v>
      </x:c>
      <x:c r="O5" s="35" t="str">
        <x:v>现实反例</x:v>
      </x:c>
      <x:c r="P5" s="35" t="str">
        <x:v>最终XV</x:v>
      </x:c>
      <x:c r="Q5" s="35" t="str">
        <x:v>匹配程度</x:v>
      </x:c>
    </x:row>
    <x:row r="6">
      <x:c r="A6" s="46" t="str">
        <x:v>M5E-CASE-001</x:v>
      </x:c>
      <x:c r="B6" s="46" t="str"/>
      <x:c r="C6" s="46" t="str"/>
      <x:c r="D6" s="46" t="str"/>
      <x:c r="E6" s="46" t="str"/>
      <x:c r="F6" s="46" t="str"/>
      <x:c r="G6" s="46" t="str"/>
      <x:c r="H6" s="46" t="str">
        <x:v>XR08</x:v>
      </x:c>
      <x:c r="I6" s="46" t="str">
        <x:v>XV0</x:v>
      </x:c>
      <x:c r="J6" s="46" t="str"/>
      <x:c r="K6" s="46" t="str"/>
      <x:c r="L6" s="46" t="str"/>
      <x:c r="M6" s="46" t="str"/>
      <x:c r="N6" s="46" t="str"/>
      <x:c r="O6" s="46" t="str"/>
      <x:c r="P6" s="46" t="str">
        <x:v>XV0</x:v>
      </x:c>
      <x:c r="Q6" s="46" t="str">
        <x:v>待核验</x:v>
      </x:c>
    </x:row>
    <x:row r="7">
      <x:c r="A7" s="46" t="str">
        <x:v>M5E-CASE-002</x:v>
      </x:c>
      <x:c r="B7" s="46" t="str"/>
      <x:c r="C7" s="46" t="str"/>
      <x:c r="D7" s="46" t="str"/>
      <x:c r="E7" s="46" t="str"/>
      <x:c r="F7" s="46" t="str"/>
      <x:c r="G7" s="46" t="str"/>
      <x:c r="H7" s="46" t="str">
        <x:v>XR08</x:v>
      </x:c>
      <x:c r="I7" s="46" t="str">
        <x:v>XV0</x:v>
      </x:c>
      <x:c r="J7" s="46" t="str"/>
      <x:c r="K7" s="46" t="str"/>
      <x:c r="L7" s="46" t="str"/>
      <x:c r="M7" s="46" t="str"/>
      <x:c r="N7" s="46" t="str"/>
      <x:c r="O7" s="46" t="str"/>
      <x:c r="P7" s="46" t="str">
        <x:v>XV0</x:v>
      </x:c>
      <x:c r="Q7" s="46" t="str">
        <x:v>待核验</x:v>
      </x:c>
    </x:row>
    <x:row r="8">
      <x:c r="A8" s="46" t="str">
        <x:v>M5E-CASE-003</x:v>
      </x:c>
      <x:c r="B8" s="46" t="str"/>
      <x:c r="C8" s="46" t="str"/>
      <x:c r="D8" s="46" t="str"/>
      <x:c r="E8" s="46" t="str"/>
      <x:c r="F8" s="46" t="str"/>
      <x:c r="G8" s="46" t="str"/>
      <x:c r="H8" s="46" t="str">
        <x:v>XR08</x:v>
      </x:c>
      <x:c r="I8" s="46" t="str">
        <x:v>XV0</x:v>
      </x:c>
      <x:c r="J8" s="46" t="str"/>
      <x:c r="K8" s="46" t="str"/>
      <x:c r="L8" s="46" t="str"/>
      <x:c r="M8" s="46" t="str"/>
      <x:c r="N8" s="46" t="str"/>
      <x:c r="O8" s="46" t="str"/>
      <x:c r="P8" s="46" t="str">
        <x:v>XV0</x:v>
      </x:c>
      <x:c r="Q8" s="46" t="str">
        <x:v>待核验</x:v>
      </x:c>
    </x:row>
    <x:row r="9">
      <x:c r="A9" s="46" t="str">
        <x:v>M5E-CASE-004</x:v>
      </x:c>
      <x:c r="B9" s="46" t="str"/>
      <x:c r="C9" s="46" t="str"/>
      <x:c r="D9" s="46" t="str"/>
      <x:c r="E9" s="46" t="str"/>
      <x:c r="F9" s="46" t="str"/>
      <x:c r="G9" s="46" t="str"/>
      <x:c r="H9" s="46" t="str">
        <x:v>XR08</x:v>
      </x:c>
      <x:c r="I9" s="46" t="str">
        <x:v>XV0</x:v>
      </x:c>
      <x:c r="J9" s="46" t="str"/>
      <x:c r="K9" s="46" t="str"/>
      <x:c r="L9" s="46" t="str"/>
      <x:c r="M9" s="46" t="str"/>
      <x:c r="N9" s="46" t="str"/>
      <x:c r="O9" s="46" t="str"/>
      <x:c r="P9" s="46" t="str">
        <x:v>XV0</x:v>
      </x:c>
      <x:c r="Q9" s="46" t="str">
        <x:v>待核验</x:v>
      </x:c>
    </x:row>
    <x:row r="10">
      <x:c r="A10" s="46" t="str">
        <x:v>M5E-CASE-005</x:v>
      </x:c>
      <x:c r="B10" s="46" t="str"/>
      <x:c r="C10" s="46" t="str"/>
      <x:c r="D10" s="46" t="str"/>
      <x:c r="E10" s="46" t="str"/>
      <x:c r="F10" s="46" t="str"/>
      <x:c r="G10" s="46" t="str"/>
      <x:c r="H10" s="46" t="str">
        <x:v>XR08</x:v>
      </x:c>
      <x:c r="I10" s="46" t="str">
        <x:v>XV0</x:v>
      </x:c>
      <x:c r="J10" s="46" t="str"/>
      <x:c r="K10" s="46" t="str"/>
      <x:c r="L10" s="46" t="str"/>
      <x:c r="M10" s="46" t="str"/>
      <x:c r="N10" s="46" t="str"/>
      <x:c r="O10" s="46" t="str"/>
      <x:c r="P10" s="46" t="str">
        <x:v>XV0</x:v>
      </x:c>
      <x:c r="Q10" s="46" t="str">
        <x:v>待核验</x:v>
      </x:c>
    </x:row>
    <x:row r="11">
      <x:c r="A11" s="46" t="str">
        <x:v>M5E-CASE-006</x:v>
      </x:c>
      <x:c r="B11" s="46" t="str"/>
      <x:c r="C11" s="46" t="str"/>
      <x:c r="D11" s="46" t="str"/>
      <x:c r="E11" s="46" t="str"/>
      <x:c r="F11" s="46" t="str"/>
      <x:c r="G11" s="46" t="str"/>
      <x:c r="H11" s="46" t="str">
        <x:v>XR08</x:v>
      </x:c>
      <x:c r="I11" s="46" t="str">
        <x:v>XV0</x:v>
      </x:c>
      <x:c r="J11" s="46" t="str"/>
      <x:c r="K11" s="46" t="str"/>
      <x:c r="L11" s="46" t="str"/>
      <x:c r="M11" s="46" t="str"/>
      <x:c r="N11" s="46" t="str"/>
      <x:c r="O11" s="46" t="str"/>
      <x:c r="P11" s="46" t="str">
        <x:v>XV0</x:v>
      </x:c>
      <x:c r="Q11" s="46" t="str">
        <x:v>待核验</x:v>
      </x:c>
    </x:row>
    <x:row r="12">
      <x:c r="A12" s="46" t="str">
        <x:v>M5E-CASE-007</x:v>
      </x:c>
      <x:c r="B12" s="46" t="str"/>
      <x:c r="C12" s="46" t="str"/>
      <x:c r="D12" s="46" t="str"/>
      <x:c r="E12" s="46" t="str"/>
      <x:c r="F12" s="46" t="str"/>
      <x:c r="G12" s="46" t="str"/>
      <x:c r="H12" s="46" t="str">
        <x:v>XR08</x:v>
      </x:c>
      <x:c r="I12" s="46" t="str">
        <x:v>XV0</x:v>
      </x:c>
      <x:c r="J12" s="46" t="str"/>
      <x:c r="K12" s="46" t="str"/>
      <x:c r="L12" s="46" t="str"/>
      <x:c r="M12" s="46" t="str"/>
      <x:c r="N12" s="46" t="str"/>
      <x:c r="O12" s="46" t="str"/>
      <x:c r="P12" s="46" t="str">
        <x:v>XV0</x:v>
      </x:c>
      <x:c r="Q12" s="46" t="str">
        <x:v>待核验</x:v>
      </x:c>
    </x:row>
    <x:row r="13">
      <x:c r="A13" s="46" t="str">
        <x:v>M5E-CASE-008</x:v>
      </x:c>
      <x:c r="B13" s="46" t="str"/>
      <x:c r="C13" s="46" t="str"/>
      <x:c r="D13" s="46" t="str"/>
      <x:c r="E13" s="46" t="str"/>
      <x:c r="F13" s="46" t="str"/>
      <x:c r="G13" s="46" t="str"/>
      <x:c r="H13" s="46" t="str">
        <x:v>XR08</x:v>
      </x:c>
      <x:c r="I13" s="46" t="str">
        <x:v>XV0</x:v>
      </x:c>
      <x:c r="J13" s="46" t="str"/>
      <x:c r="K13" s="46" t="str"/>
      <x:c r="L13" s="46" t="str"/>
      <x:c r="M13" s="46" t="str"/>
      <x:c r="N13" s="46" t="str"/>
      <x:c r="O13" s="46" t="str"/>
      <x:c r="P13" s="46" t="str">
        <x:v>XV0</x:v>
      </x:c>
      <x:c r="Q13" s="46" t="str">
        <x:v>待核验</x:v>
      </x:c>
    </x:row>
    <x:row r="14">
      <x:c r="A14" s="46" t="str">
        <x:v>M5E-CASE-009</x:v>
      </x:c>
      <x:c r="B14" s="46" t="str"/>
      <x:c r="C14" s="46" t="str"/>
      <x:c r="D14" s="46" t="str"/>
      <x:c r="E14" s="46" t="str"/>
      <x:c r="F14" s="46" t="str"/>
      <x:c r="G14" s="46" t="str"/>
      <x:c r="H14" s="46" t="str">
        <x:v>XR08</x:v>
      </x:c>
      <x:c r="I14" s="46" t="str">
        <x:v>XV0</x:v>
      </x:c>
      <x:c r="J14" s="46" t="str"/>
      <x:c r="K14" s="46" t="str"/>
      <x:c r="L14" s="46" t="str"/>
      <x:c r="M14" s="46" t="str"/>
      <x:c r="N14" s="46" t="str"/>
      <x:c r="O14" s="46" t="str"/>
      <x:c r="P14" s="46" t="str">
        <x:v>XV0</x:v>
      </x:c>
      <x:c r="Q14" s="46" t="str">
        <x:v>待核验</x:v>
      </x:c>
    </x:row>
    <x:row r="15">
      <x:c r="A15" s="46" t="str">
        <x:v>M5E-CASE-010</x:v>
      </x:c>
      <x:c r="B15" s="46" t="str"/>
      <x:c r="C15" s="46" t="str"/>
      <x:c r="D15" s="46" t="str"/>
      <x:c r="E15" s="46" t="str"/>
      <x:c r="F15" s="46" t="str"/>
      <x:c r="G15" s="46" t="str"/>
      <x:c r="H15" s="46" t="str">
        <x:v>XR08</x:v>
      </x:c>
      <x:c r="I15" s="46" t="str">
        <x:v>XV0</x:v>
      </x:c>
      <x:c r="J15" s="46" t="str"/>
      <x:c r="K15" s="46" t="str"/>
      <x:c r="L15" s="46" t="str"/>
      <x:c r="M15" s="46" t="str"/>
      <x:c r="N15" s="46" t="str"/>
      <x:c r="O15" s="46" t="str"/>
      <x:c r="P15" s="46" t="str">
        <x:v>XV0</x:v>
      </x:c>
      <x:c r="Q15" s="46" t="str">
        <x:v>待核验</x:v>
      </x:c>
    </x:row>
    <x:row r="16">
      <x:c r="A16" s="46" t="str">
        <x:v>M5E-CASE-011</x:v>
      </x:c>
      <x:c r="B16" s="46" t="str"/>
      <x:c r="C16" s="46" t="str"/>
      <x:c r="D16" s="46" t="str"/>
      <x:c r="E16" s="46" t="str"/>
      <x:c r="F16" s="46" t="str"/>
      <x:c r="G16" s="46" t="str"/>
      <x:c r="H16" s="46" t="str">
        <x:v>XR08</x:v>
      </x:c>
      <x:c r="I16" s="46" t="str">
        <x:v>XV0</x:v>
      </x:c>
      <x:c r="J16" s="46" t="str"/>
      <x:c r="K16" s="46" t="str"/>
      <x:c r="L16" s="46" t="str"/>
      <x:c r="M16" s="46" t="str"/>
      <x:c r="N16" s="46" t="str"/>
      <x:c r="O16" s="46" t="str"/>
      <x:c r="P16" s="46" t="str">
        <x:v>XV0</x:v>
      </x:c>
      <x:c r="Q16" s="46" t="str">
        <x:v>待核验</x:v>
      </x:c>
    </x:row>
    <x:row r="17">
      <x:c r="A17" s="46" t="str">
        <x:v>M5E-CASE-012</x:v>
      </x:c>
      <x:c r="B17" s="46" t="str"/>
      <x:c r="C17" s="46" t="str"/>
      <x:c r="D17" s="46" t="str"/>
      <x:c r="E17" s="46" t="str"/>
      <x:c r="F17" s="46" t="str"/>
      <x:c r="G17" s="46" t="str"/>
      <x:c r="H17" s="46" t="str">
        <x:v>XR08</x:v>
      </x:c>
      <x:c r="I17" s="46" t="str">
        <x:v>XV0</x:v>
      </x:c>
      <x:c r="J17" s="46" t="str"/>
      <x:c r="K17" s="46" t="str"/>
      <x:c r="L17" s="46" t="str"/>
      <x:c r="M17" s="46" t="str"/>
      <x:c r="N17" s="46" t="str"/>
      <x:c r="O17" s="46" t="str"/>
      <x:c r="P17" s="46" t="str">
        <x:v>XV0</x:v>
      </x:c>
      <x:c r="Q17" s="46" t="str">
        <x:v>待核验</x:v>
      </x:c>
    </x:row>
    <x:row r="18">
      <x:c r="A18" s="46" t="str">
        <x:v>M5E-CASE-013</x:v>
      </x:c>
      <x:c r="B18" s="46" t="str"/>
      <x:c r="C18" s="46" t="str"/>
      <x:c r="D18" s="46" t="str"/>
      <x:c r="E18" s="46" t="str"/>
      <x:c r="F18" s="46" t="str"/>
      <x:c r="G18" s="46" t="str"/>
      <x:c r="H18" s="46" t="str">
        <x:v>XR08</x:v>
      </x:c>
      <x:c r="I18" s="46" t="str">
        <x:v>XV0</x:v>
      </x:c>
      <x:c r="J18" s="46" t="str"/>
      <x:c r="K18" s="46" t="str"/>
      <x:c r="L18" s="46" t="str"/>
      <x:c r="M18" s="46" t="str"/>
      <x:c r="N18" s="46" t="str"/>
      <x:c r="O18" s="46" t="str"/>
      <x:c r="P18" s="46" t="str">
        <x:v>XV0</x:v>
      </x:c>
      <x:c r="Q18" s="46" t="str">
        <x:v>待核验</x:v>
      </x:c>
    </x:row>
    <x:row r="19">
      <x:c r="A19" s="46" t="str">
        <x:v>M5E-CASE-014</x:v>
      </x:c>
      <x:c r="B19" s="46" t="str"/>
      <x:c r="C19" s="46" t="str"/>
      <x:c r="D19" s="46" t="str"/>
      <x:c r="E19" s="46" t="str"/>
      <x:c r="F19" s="46" t="str"/>
      <x:c r="G19" s="46" t="str"/>
      <x:c r="H19" s="46" t="str">
        <x:v>XR08</x:v>
      </x:c>
      <x:c r="I19" s="46" t="str">
        <x:v>XV0</x:v>
      </x:c>
      <x:c r="J19" s="46" t="str"/>
      <x:c r="K19" s="46" t="str"/>
      <x:c r="L19" s="46" t="str"/>
      <x:c r="M19" s="46" t="str"/>
      <x:c r="N19" s="46" t="str"/>
      <x:c r="O19" s="46" t="str"/>
      <x:c r="P19" s="46" t="str">
        <x:v>XV0</x:v>
      </x:c>
      <x:c r="Q19" s="46" t="str">
        <x:v>待核验</x:v>
      </x:c>
    </x:row>
    <x:row r="20">
      <x:c r="A20" s="46" t="str">
        <x:v>M5E-CASE-015</x:v>
      </x:c>
      <x:c r="B20" s="46" t="str"/>
      <x:c r="C20" s="46" t="str"/>
      <x:c r="D20" s="46" t="str"/>
      <x:c r="E20" s="46" t="str"/>
      <x:c r="F20" s="46" t="str"/>
      <x:c r="G20" s="46" t="str"/>
      <x:c r="H20" s="46" t="str">
        <x:v>XR08</x:v>
      </x:c>
      <x:c r="I20" s="46" t="str">
        <x:v>XV0</x:v>
      </x:c>
      <x:c r="J20" s="46" t="str"/>
      <x:c r="K20" s="46" t="str"/>
      <x:c r="L20" s="46" t="str"/>
      <x:c r="M20" s="46" t="str"/>
      <x:c r="N20" s="46" t="str"/>
      <x:c r="O20" s="46" t="str"/>
      <x:c r="P20" s="46" t="str">
        <x:v>XV0</x:v>
      </x:c>
      <x:c r="Q20" s="46" t="str">
        <x:v>待核验</x:v>
      </x:c>
    </x:row>
    <x:row r="21">
      <x:c r="A21" s="46" t="str">
        <x:v>M5E-CASE-016</x:v>
      </x:c>
      <x:c r="B21" s="46" t="str"/>
      <x:c r="C21" s="46" t="str"/>
      <x:c r="D21" s="46" t="str"/>
      <x:c r="E21" s="46" t="str"/>
      <x:c r="F21" s="46" t="str"/>
      <x:c r="G21" s="46" t="str"/>
      <x:c r="H21" s="46" t="str">
        <x:v>XR08</x:v>
      </x:c>
      <x:c r="I21" s="46" t="str">
        <x:v>XV0</x:v>
      </x:c>
      <x:c r="J21" s="46" t="str"/>
      <x:c r="K21" s="46" t="str"/>
      <x:c r="L21" s="46" t="str"/>
      <x:c r="M21" s="46" t="str"/>
      <x:c r="N21" s="46" t="str"/>
      <x:c r="O21" s="46" t="str"/>
      <x:c r="P21" s="46" t="str">
        <x:v>XV0</x:v>
      </x:c>
      <x:c r="Q21" s="46" t="str">
        <x:v>待核验</x:v>
      </x:c>
    </x:row>
    <x:row r="22">
      <x:c r="A22" s="46" t="str">
        <x:v>M5E-CASE-017</x:v>
      </x:c>
      <x:c r="B22" s="46" t="str"/>
      <x:c r="C22" s="46" t="str"/>
      <x:c r="D22" s="46" t="str"/>
      <x:c r="E22" s="46" t="str"/>
      <x:c r="F22" s="46" t="str"/>
      <x:c r="G22" s="46" t="str"/>
      <x:c r="H22" s="46" t="str">
        <x:v>XR08</x:v>
      </x:c>
      <x:c r="I22" s="46" t="str">
        <x:v>XV0</x:v>
      </x:c>
      <x:c r="J22" s="46" t="str"/>
      <x:c r="K22" s="46" t="str"/>
      <x:c r="L22" s="46" t="str"/>
      <x:c r="M22" s="46" t="str"/>
      <x:c r="N22" s="46" t="str"/>
      <x:c r="O22" s="46" t="str"/>
      <x:c r="P22" s="46" t="str">
        <x:v>XV0</x:v>
      </x:c>
      <x:c r="Q22" s="46" t="str">
        <x:v>待核验</x:v>
      </x:c>
    </x:row>
    <x:row r="23">
      <x:c r="A23" s="46" t="str">
        <x:v>M5E-CASE-018</x:v>
      </x:c>
      <x:c r="B23" s="46" t="str"/>
      <x:c r="C23" s="46" t="str"/>
      <x:c r="D23" s="46" t="str"/>
      <x:c r="E23" s="46" t="str"/>
      <x:c r="F23" s="46" t="str"/>
      <x:c r="G23" s="46" t="str"/>
      <x:c r="H23" s="46" t="str">
        <x:v>XR08</x:v>
      </x:c>
      <x:c r="I23" s="46" t="str">
        <x:v>XV0</x:v>
      </x:c>
      <x:c r="J23" s="46" t="str"/>
      <x:c r="K23" s="46" t="str"/>
      <x:c r="L23" s="46" t="str"/>
      <x:c r="M23" s="46" t="str"/>
      <x:c r="N23" s="46" t="str"/>
      <x:c r="O23" s="46" t="str"/>
      <x:c r="P23" s="46" t="str">
        <x:v>XV0</x:v>
      </x:c>
      <x:c r="Q23" s="46" t="str">
        <x:v>待核验</x:v>
      </x:c>
    </x:row>
    <x:row r="24">
      <x:c r="A24" s="46" t="str">
        <x:v>M5E-CASE-019</x:v>
      </x:c>
      <x:c r="B24" s="46" t="str"/>
      <x:c r="C24" s="46" t="str"/>
      <x:c r="D24" s="46" t="str"/>
      <x:c r="E24" s="46" t="str"/>
      <x:c r="F24" s="46" t="str"/>
      <x:c r="G24" s="46" t="str"/>
      <x:c r="H24" s="46" t="str">
        <x:v>XR08</x:v>
      </x:c>
      <x:c r="I24" s="46" t="str">
        <x:v>XV0</x:v>
      </x:c>
      <x:c r="J24" s="46" t="str"/>
      <x:c r="K24" s="46" t="str"/>
      <x:c r="L24" s="46" t="str"/>
      <x:c r="M24" s="46" t="str"/>
      <x:c r="N24" s="46" t="str"/>
      <x:c r="O24" s="46" t="str"/>
      <x:c r="P24" s="46" t="str">
        <x:v>XV0</x:v>
      </x:c>
      <x:c r="Q24" s="46" t="str">
        <x:v>待核验</x:v>
      </x:c>
    </x:row>
    <x:row r="25">
      <x:c r="A25" s="47" t="str">
        <x:v>M5E-CASE-020</x:v>
      </x:c>
      <x:c r="B25" s="47" t="str"/>
      <x:c r="C25" s="47" t="str"/>
      <x:c r="D25" s="47" t="str"/>
      <x:c r="E25" s="47" t="str"/>
      <x:c r="F25" s="47" t="str"/>
      <x:c r="G25" s="47" t="str"/>
      <x:c r="H25" s="47" t="str">
        <x:v>XR08</x:v>
      </x:c>
      <x:c r="I25" s="47" t="str">
        <x:v>XV0</x:v>
      </x:c>
      <x:c r="J25" s="47" t="str"/>
      <x:c r="K25" s="47" t="str"/>
      <x:c r="L25" s="47" t="str"/>
      <x:c r="M25" s="47" t="str"/>
      <x:c r="N25" s="47" t="str"/>
      <x:c r="O25" s="47" t="str"/>
      <x:c r="P25" s="47" t="str">
        <x:v>XV0</x:v>
      </x:c>
      <x:c r="Q25" s="47" t="str">
        <x:v>待核验</x:v>
      </x:c>
    </x:row>
  </x:sheetData>
  <x:mergeCells>
    <x:mergeCell ref="A1:Q2"/>
    <x:mergeCell ref="A3:Q3"/>
  </x:mergeCells>
  <x:dataValidations count="9">
    <x:dataValidation type="list" sqref="C6:C25">
      <x:formula1>"单身回顾,暧昧／约会,稳定交往,婚姻／同居,分手复盘,其他"</x:formula1>
    </x:dataValidation>
    <x:dataValidation type="list" sqref="D6:D25">
      <x:formula1>"通过,需核验,存在风险／停止"</x:formula1>
    </x:dataValidation>
    <x:dataValidation type="list" sqref="E6:F25">
      <x:formula1>"EC01,EC02,EC03,EC04,EC05,EC06,EC07,EC08,EC09,EC10"</x:formula1>
    </x:dataValidation>
    <x:dataValidation type="list" sqref="G6:G25">
      <x:formula1>"EM01,EM02,EM03,EM04,EM05,EM06,EM07,EM08,EM09,EM10,EM11,EM12"</x:formula1>
    </x:dataValidation>
    <x:dataValidation type="list" sqref="H6:H25">
      <x:formula1>"XR01,XR02,XR03,XR04,XR05,XR06,XR07,XR08"</x:formula1>
    </x:dataValidation>
    <x:dataValidation type="list" sqref="I6:I25">
      <x:formula1>"XV0,XV1,XV2,XV3,XV4,XV5,XV6,XV7"</x:formula1>
    </x:dataValidation>
    <x:dataValidation type="list" sqref="J6:J25">
      <x:formula1>"XD01,XD02,XD03,XD04,XD05,XD06,XD07,XD08,XD09,XD10"</x:formula1>
    </x:dataValidation>
    <x:dataValidation type="list" sqref="P6:P25">
      <x:formula1>"XV0,XV1,XV2,XV3,XV4,XV5,XV6,XV7"</x:formula1>
    </x:dataValidation>
    <x:dataValidation type="list" sqref="Q6:Q25">
      <x:formula1>"完全吻合,部分吻合,不吻合,信息不足,待核验"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8dfd0e48ae475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68" hidden="0" customWidth="1"/>
    <x:col min="4" max="4" width="24" hidden="0" customWidth="1"/>
  </x:cols>
  <x:sheetData>
    <x:row r="1">
      <x:c r="A1" s="9" t="str">
        <x:v>31字段词典</x:v>
      </x:c>
      <x:c r="B1" s="9"/>
      <x:c r="C1" s="9"/>
      <x:c r="D1" s="9"/>
    </x:row>
    <x:row r="2">
      <x:c r="A2" s="10"/>
      <x:c r="B2" s="10"/>
      <x:c r="C2" s="10"/>
      <x:c r="D2" s="10"/>
    </x:row>
    <x:row r="3">
      <x:c r="A3" s="24" t="str">
        <x:v>与M1—M5保持一致，便于总规则库、JSON和规则引擎。</x:v>
      </x:c>
      <x:c r="B3" s="24"/>
      <x:c r="C3" s="24"/>
      <x:c r="D3" s="24"/>
    </x:row>
    <x:row r="5">
      <x:c r="A5" s="35" t="str">
        <x:v>序号</x:v>
      </x:c>
      <x:c r="B5" s="35" t="str">
        <x:v>字段</x:v>
      </x:c>
      <x:c r="C5" s="35" t="str">
        <x:v>含义</x:v>
      </x:c>
      <x:c r="D5" s="35" t="str">
        <x:v>用途</x:v>
      </x:c>
    </x:row>
    <x:row r="6">
      <x:c r="A6" s="46" t="n">
        <x:v>1</x:v>
      </x:c>
      <x:c r="B6" s="46" t="str">
        <x:v>rule_id</x:v>
      </x:c>
      <x:c r="C6" s="46" t="str">
        <x:v>唯一规则编号</x:v>
      </x:c>
      <x:c r="D6" s="46" t="str">
        <x:v>开发／阅读共用</x:v>
      </x:c>
    </x:row>
    <x:row r="7">
      <x:c r="A7" s="46" t="n">
        <x:v>2</x:v>
      </x:c>
      <x:c r="B7" s="46" t="str">
        <x:v>rule_name</x:v>
      </x:c>
      <x:c r="C7" s="46" t="str">
        <x:v>规则名称</x:v>
      </x:c>
      <x:c r="D7" s="46" t="str">
        <x:v>开发／阅读共用</x:v>
      </x:c>
    </x:row>
    <x:row r="8">
      <x:c r="A8" s="46" t="n">
        <x:v>3</x:v>
      </x:c>
      <x:c r="B8" s="46" t="str">
        <x:v>layer</x:v>
      </x:c>
      <x:c r="C8" s="46" t="str">
        <x:v>知识层级</x:v>
      </x:c>
      <x:c r="D8" s="46" t="str">
        <x:v>开发／阅读共用</x:v>
      </x:c>
    </x:row>
    <x:row r="9">
      <x:c r="A9" s="46" t="n">
        <x:v>4</x:v>
      </x:c>
      <x:c r="B9" s="46" t="str">
        <x:v>module</x:v>
      </x:c>
      <x:c r="C9" s="46" t="str">
        <x:v>所属模块</x:v>
      </x:c>
      <x:c r="D9" s="46" t="str">
        <x:v>开发／阅读共用</x:v>
      </x:c>
    </x:row>
    <x:row r="10">
      <x:c r="A10" s="46" t="n">
        <x:v>5</x:v>
      </x:c>
      <x:c r="B10" s="46" t="str">
        <x:v>applicable_group</x:v>
      </x:c>
      <x:c r="C10" s="46" t="str">
        <x:v>适用对象</x:v>
      </x:c>
      <x:c r="D10" s="46" t="str">
        <x:v>开发／阅读共用</x:v>
      </x:c>
    </x:row>
    <x:row r="11">
      <x:c r="A11" s="46" t="n">
        <x:v>6</x:v>
      </x:c>
      <x:c r="B11" s="46" t="str">
        <x:v>rule_type</x:v>
      </x:c>
      <x:c r="C11" s="46" t="str">
        <x:v>定义、基础、接口、场景、门控等</x:v>
      </x:c>
      <x:c r="D11" s="46" t="str">
        <x:v>开发／阅读共用</x:v>
      </x:c>
    </x:row>
    <x:row r="12">
      <x:c r="A12" s="46" t="n">
        <x:v>7</x:v>
      </x:c>
      <x:c r="B12" s="46" t="str">
        <x:v>main_signal</x:v>
      </x:c>
      <x:c r="C12" s="46" t="str">
        <x:v>主信号</x:v>
      </x:c>
      <x:c r="D12" s="46" t="str">
        <x:v>开发／阅读共用</x:v>
      </x:c>
    </x:row>
    <x:row r="13">
      <x:c r="A13" s="46" t="n">
        <x:v>8</x:v>
      </x:c>
      <x:c r="B13" s="46" t="str">
        <x:v>secondary_signal</x:v>
      </x:c>
      <x:c r="C13" s="46" t="str">
        <x:v>次信号</x:v>
      </x:c>
      <x:c r="D13" s="46" t="str">
        <x:v>开发／阅读共用</x:v>
      </x:c>
    </x:row>
    <x:row r="14">
      <x:c r="A14" s="46" t="n">
        <x:v>9</x:v>
      </x:c>
      <x:c r="B14" s="46" t="str">
        <x:v>required_conditions</x:v>
      </x:c>
      <x:c r="C14" s="46" t="str">
        <x:v>必要条件</x:v>
      </x:c>
      <x:c r="D14" s="46" t="str">
        <x:v>开发／阅读共用</x:v>
      </x:c>
    </x:row>
    <x:row r="15">
      <x:c r="A15" s="46" t="n">
        <x:v>10</x:v>
      </x:c>
      <x:c r="B15" s="46" t="str">
        <x:v>excluded_conditions</x:v>
      </x:c>
      <x:c r="C15" s="46" t="str">
        <x:v>排除或停止条件</x:v>
      </x:c>
      <x:c r="D15" s="46" t="str">
        <x:v>开发／阅读共用</x:v>
      </x:c>
    </x:row>
    <x:row r="16">
      <x:c r="A16" s="46" t="n">
        <x:v>11</x:v>
      </x:c>
      <x:c r="B16" s="46" t="str">
        <x:v>self_strength_status</x:v>
      </x:c>
      <x:c r="C16" s="46" t="str">
        <x:v>用户承载修正</x:v>
      </x:c>
      <x:c r="D16" s="46" t="str">
        <x:v>开发／阅读共用</x:v>
      </x:c>
    </x:row>
    <x:row r="17">
      <x:c r="A17" s="46" t="n">
        <x:v>12</x:v>
      </x:c>
      <x:c r="B17" s="46" t="str">
        <x:v>spouse_star_status</x:v>
      </x:c>
      <x:c r="C17" s="46" t="str">
        <x:v>M2准入接口</x:v>
      </x:c>
      <x:c r="D17" s="46" t="str">
        <x:v>开发／阅读共用</x:v>
      </x:c>
    </x:row>
    <x:row r="18">
      <x:c r="A18" s="46" t="n">
        <x:v>13</x:v>
      </x:c>
      <x:c r="B18" s="46" t="str">
        <x:v>palace_signal</x:v>
      </x:c>
      <x:c r="C18" s="46" t="str">
        <x:v>M3底盘与个人通道接口</x:v>
      </x:c>
      <x:c r="D18" s="46" t="str">
        <x:v>开发／阅读共用</x:v>
      </x:c>
    </x:row>
    <x:row r="19">
      <x:c r="A19" s="46" t="n">
        <x:v>14</x:v>
      </x:c>
      <x:c r="B19" s="46" t="str">
        <x:v>flow_path</x:v>
      </x:c>
      <x:c r="C19" s="46" t="str">
        <x:v>交换路径或路由</x:v>
      </x:c>
      <x:c r="D19" s="46" t="str">
        <x:v>开发／阅读共用</x:v>
      </x:c>
    </x:row>
    <x:row r="20">
      <x:c r="A20" s="46" t="n">
        <x:v>15</x:v>
      </x:c>
      <x:c r="B20" s="46" t="str">
        <x:v>signal_position</x:v>
      </x:c>
      <x:c r="C20" s="46" t="str">
        <x:v>位置修正</x:v>
      </x:c>
      <x:c r="D20" s="46" t="str">
        <x:v>开发／阅读共用</x:v>
      </x:c>
    </x:row>
    <x:row r="21">
      <x:c r="A21" s="46" t="n">
        <x:v>16</x:v>
      </x:c>
      <x:c r="B21" s="46" t="str">
        <x:v>root_status</x:v>
      </x:c>
      <x:c r="C21" s="46" t="str">
        <x:v>根气修正</x:v>
      </x:c>
      <x:c r="D21" s="46" t="str">
        <x:v>开发／阅读共用</x:v>
      </x:c>
    </x:row>
    <x:row r="22">
      <x:c r="A22" s="46" t="n">
        <x:v>17</x:v>
      </x:c>
      <x:c r="B22" s="46" t="str">
        <x:v>strength_level</x:v>
      </x:c>
      <x:c r="C22" s="46" t="str">
        <x:v>旺弱修正</x:v>
      </x:c>
      <x:c r="D22" s="46" t="str">
        <x:v>开发／阅读共用</x:v>
      </x:c>
    </x:row>
    <x:row r="23">
      <x:c r="A23" s="46" t="n">
        <x:v>18</x:v>
      </x:c>
      <x:c r="B23" s="46" t="str">
        <x:v>favorability</x:v>
      </x:c>
      <x:c r="C23" s="46" t="str">
        <x:v>喜忌修正</x:v>
      </x:c>
      <x:c r="D23" s="46" t="str">
        <x:v>开发／阅读共用</x:v>
      </x:c>
    </x:row>
    <x:row r="24">
      <x:c r="A24" s="46" t="n">
        <x:v>19</x:v>
      </x:c>
      <x:c r="B24" s="46" t="str">
        <x:v>transformation_status</x:v>
      </x:c>
      <x:c r="C24" s="46" t="str">
        <x:v>制化与合化</x:v>
      </x:c>
      <x:c r="D24" s="46" t="str">
        <x:v>开发／阅读共用</x:v>
      </x:c>
    </x:row>
    <x:row r="25">
      <x:c r="A25" s="46" t="n">
        <x:v>20</x:v>
      </x:c>
      <x:c r="B25" s="46" t="str">
        <x:v>distance_level</x:v>
      </x:c>
      <x:c r="C25" s="46" t="str">
        <x:v>远近层级</x:v>
      </x:c>
      <x:c r="D25" s="46" t="str">
        <x:v>开发／阅读共用</x:v>
      </x:c>
    </x:row>
    <x:row r="26">
      <x:c r="A26" s="46" t="n">
        <x:v>21</x:v>
      </x:c>
      <x:c r="B26" s="46" t="str">
        <x:v>priority</x:v>
      </x:c>
      <x:c r="C26" s="46" t="str">
        <x:v>规则优先级</x:v>
      </x:c>
      <x:c r="D26" s="46" t="str">
        <x:v>开发／阅读共用</x:v>
      </x:c>
    </x:row>
    <x:row r="27">
      <x:c r="A27" s="46" t="n">
        <x:v>22</x:v>
      </x:c>
      <x:c r="B27" s="46" t="str">
        <x:v>score_effect</x:v>
      </x:c>
      <x:c r="C27" s="46" t="str">
        <x:v>工程分值或路由</x:v>
      </x:c>
      <x:c r="D27" s="46" t="str">
        <x:v>开发／阅读共用</x:v>
      </x:c>
    </x:row>
    <x:row r="28">
      <x:c r="A28" s="46" t="n">
        <x:v>23</x:v>
      </x:c>
      <x:c r="B28" s="46" t="str">
        <x:v>output_slot</x:v>
      </x:c>
      <x:c r="C28" s="46" t="str">
        <x:v>最终输出槽位</x:v>
      </x:c>
      <x:c r="D28" s="46" t="str">
        <x:v>开发／阅读共用</x:v>
      </x:c>
    </x:row>
    <x:row r="29">
      <x:c r="A29" s="46" t="n">
        <x:v>24</x:v>
      </x:c>
      <x:c r="B29" s="46" t="str">
        <x:v>internal_logic</x:v>
      </x:c>
      <x:c r="C29" s="46" t="str">
        <x:v>内部逻辑</x:v>
      </x:c>
      <x:c r="D29" s="46" t="str">
        <x:v>开发／阅读共用</x:v>
      </x:c>
    </x:row>
    <x:row r="30">
      <x:c r="A30" s="46" t="n">
        <x:v>25</x:v>
      </x:c>
      <x:c r="B30" s="46" t="str">
        <x:v>user_explanation</x:v>
      </x:c>
      <x:c r="C30" s="46" t="str">
        <x:v>用户可见解释</x:v>
      </x:c>
      <x:c r="D30" s="46" t="str">
        <x:v>开发／阅读共用</x:v>
      </x:c>
    </x:row>
    <x:row r="31">
      <x:c r="A31" s="46" t="n">
        <x:v>26</x:v>
      </x:c>
      <x:c r="B31" s="46" t="str">
        <x:v>forbidden_inference</x:v>
      </x:c>
      <x:c r="C31" s="46" t="str">
        <x:v>禁止推断</x:v>
      </x:c>
      <x:c r="D31" s="46" t="str">
        <x:v>开发／阅读共用</x:v>
      </x:c>
    </x:row>
    <x:row r="32">
      <x:c r="A32" s="46" t="n">
        <x:v>27</x:v>
      </x:c>
      <x:c r="B32" s="46" t="str">
        <x:v>confidence_base</x:v>
      </x:c>
      <x:c r="C32" s="46" t="str">
        <x:v>基础置信度</x:v>
      </x:c>
      <x:c r="D32" s="46" t="str">
        <x:v>开发／阅读共用</x:v>
      </x:c>
    </x:row>
    <x:row r="33">
      <x:c r="A33" s="46" t="n">
        <x:v>28</x:v>
      </x:c>
      <x:c r="B33" s="46" t="str">
        <x:v>validation_status</x:v>
      </x:c>
      <x:c r="C33" s="46" t="str">
        <x:v>验证状态</x:v>
      </x:c>
      <x:c r="D33" s="46" t="str">
        <x:v>开发／阅读共用</x:v>
      </x:c>
    </x:row>
    <x:row r="34">
      <x:c r="A34" s="46" t="n">
        <x:v>29</x:v>
      </x:c>
      <x:c r="B34" s="46" t="str">
        <x:v>case_refs</x:v>
      </x:c>
      <x:c r="C34" s="46" t="str">
        <x:v>案例编号</x:v>
      </x:c>
      <x:c r="D34" s="46" t="str">
        <x:v>开发／阅读共用</x:v>
      </x:c>
    </x:row>
    <x:row r="35">
      <x:c r="A35" s="46" t="n">
        <x:v>30</x:v>
      </x:c>
      <x:c r="B35" s="46" t="str">
        <x:v>notes</x:v>
      </x:c>
      <x:c r="C35" s="46" t="str">
        <x:v>代码、来源与暂定标记</x:v>
      </x:c>
      <x:c r="D35" s="46" t="str">
        <x:v>开发／阅读共用</x:v>
      </x:c>
    </x:row>
    <x:row r="36">
      <x:c r="A36" s="47" t="n">
        <x:v>31</x:v>
      </x:c>
      <x:c r="B36" s="47" t="str">
        <x:v>version</x:v>
      </x:c>
      <x:c r="C36" s="47" t="str">
        <x:v>版本号</x:v>
      </x:c>
      <x:c r="D36" s="47" t="str">
        <x:v>开发／阅读共用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2d31332881434308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54" hidden="0" customWidth="1"/>
  </x:cols>
  <x:sheetData>
    <x:row r="1">
      <x:c r="A1" s="9" t="str">
        <x:v>版本、规则统计与发布检查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当前版本：V0.4｜状态：待验证｜provisional=true</x:v>
      </x:c>
      <x:c r="B3" s="24"/>
      <x:c r="C3" s="24"/>
      <x:c r="D3" s="24"/>
      <x:c r="E3" s="24"/>
      <x:c r="F3" s="24"/>
    </x:row>
    <x:row r="5">
      <x:c r="A5" s="63" t="str">
        <x:v>指标</x:v>
      </x:c>
      <x:c r="B5" s="63" t="str">
        <x:v>数值</x:v>
      </x:c>
    </x:row>
    <x:row r="6">
      <x:c r="A6" s="68" t="str">
        <x:v>规则总数</x:v>
      </x:c>
      <x:c r="B6" s="68" t="n">
        <x:f>COUNTA('14_原子规则'!A:A)-1</x:f>
        <x:v>480</x:v>
      </x:c>
    </x:row>
    <x:row r="7">
      <x:c r="A7" s="68" t="str">
        <x:v>待验证</x:v>
      </x:c>
      <x:c r="B7" s="68" t="n">
        <x:f>COUNTIF('14_原子规则'!AB:AB,"待验证")</x:f>
        <x:v>480</x:v>
      </x:c>
    </x:row>
    <x:row r="8">
      <x:c r="A8" s="68" t="str">
        <x:v>已验证</x:v>
      </x:c>
      <x:c r="B8" s="68" t="n">
        <x:f>COUNTIF('14_原子规则'!AB:AB,"已验证")</x:f>
        <x:v>0</x:v>
      </x:c>
    </x:row>
    <x:row r="9">
      <x:c r="A9" s="68" t="str">
        <x:v>需修改</x:v>
      </x:c>
      <x:c r="B9" s="68" t="n">
        <x:f>COUNTIF('14_原子规则'!AB:AB,"需修改")</x:f>
        <x:v>0</x:v>
      </x:c>
    </x:row>
    <x:row r="10">
      <x:c r="A10" s="68" t="str">
        <x:v>停用</x:v>
      </x:c>
      <x:c r="B10" s="68" t="n">
        <x:f>COUNTIF('14_原子规则'!AB:AB,"停用")</x:f>
        <x:v>0</x:v>
      </x:c>
    </x:row>
    <x:row r="11">
      <x:c r="A11" s="69" t="str">
        <x:v>案例已核验</x:v>
      </x:c>
      <x:c r="B11" s="69" t="n">
        <x:f>COUNTIF('17_案例验证'!Q:Q,"&lt;&gt;待核验")-1</x:f>
        <x:v>4</x:v>
      </x:c>
    </x:row>
    <x:row r="14">
      <x:c r="A14" s="35" t="str">
        <x:v>模块</x:v>
      </x:c>
      <x:c r="B14" s="35" t="str">
        <x:v>规则数</x:v>
      </x:c>
    </x:row>
    <x:row r="15">
      <x:c r="A15" s="46" t="str">
        <x:v>EXCHANGE-定义边界</x:v>
      </x:c>
      <x:c r="B15" s="46" t="n">
        <x:v>20</x:v>
      </x:c>
    </x:row>
    <x:row r="16">
      <x:c r="A16" s="46" t="str">
        <x:v>EXCHANGE-EC通道</x:v>
      </x:c>
      <x:c r="B16" s="46" t="n">
        <x:v>80</x:v>
      </x:c>
    </x:row>
    <x:row r="17">
      <x:c r="A17" s="46" t="str">
        <x:v>EXCHANGE-ED维度</x:v>
      </x:c>
      <x:c r="B17" s="46" t="n">
        <x:v>50</x:v>
      </x:c>
    </x:row>
    <x:row r="18">
      <x:c r="A18" s="46" t="str">
        <x:v>EXCHANGE-EM模式</x:v>
      </x:c>
      <x:c r="B18" s="46" t="n">
        <x:v>60</x:v>
      </x:c>
    </x:row>
    <x:row r="19">
      <x:c r="A19" s="46" t="str">
        <x:v>EXCHANGE-XR状态</x:v>
      </x:c>
      <x:c r="B19" s="46" t="n">
        <x:v>40</x:v>
      </x:c>
    </x:row>
    <x:row r="20">
      <x:c r="A20" s="46" t="str">
        <x:v>EXCHANGE-XV证据</x:v>
      </x:c>
      <x:c r="B20" s="46" t="n">
        <x:v>48</x:v>
      </x:c>
    </x:row>
    <x:row r="21">
      <x:c r="A21" s="46" t="str">
        <x:v>EXCHANGE-EB伪互惠</x:v>
      </x:c>
      <x:c r="B21" s="46" t="n">
        <x:v>40</x:v>
      </x:c>
    </x:row>
    <x:row r="22">
      <x:c r="A22" s="46" t="str">
        <x:v>EXCHANGE-XD领域</x:v>
      </x:c>
      <x:c r="B22" s="46" t="n">
        <x:v>40</x:v>
      </x:c>
    </x:row>
    <x:row r="23">
      <x:c r="A23" s="46" t="str">
        <x:v>EXCHANGE-EP路径</x:v>
      </x:c>
      <x:c r="B23" s="46" t="n">
        <x:v>16</x:v>
      </x:c>
    </x:row>
    <x:row r="24">
      <x:c r="A24" s="46" t="str">
        <x:v>EXCHANGE-接口门控</x:v>
      </x:c>
      <x:c r="B24" s="46" t="n">
        <x:v>37</x:v>
      </x:c>
    </x:row>
    <x:row r="25">
      <x:c r="A25" s="47" t="str">
        <x:v>EXCHANGE-评分报告</x:v>
      </x:c>
      <x:c r="B25" s="47" t="n">
        <x:v>49</x:v>
      </x:c>
    </x:row>
    <x:row r="28">
      <x:c r="A28" s="35" t="str">
        <x:v>发布检查</x:v>
      </x:c>
      <x:c r="B28" s="35" t="str">
        <x:v>状态</x:v>
      </x:c>
    </x:row>
    <x:row r="29">
      <x:c r="A29" s="46" t="str">
        <x:v>规则ID连续唯一</x:v>
      </x:c>
      <x:c r="B29" s="46" t="str">
        <x:v>通过：M5-EXCHANGE-001—480</x:v>
      </x:c>
    </x:row>
    <x:row r="30">
      <x:c r="A30" s="46" t="str">
        <x:v>字段数量</x:v>
      </x:c>
      <x:c r="B30" s="46" t="str">
        <x:v>31字段</x:v>
      </x:c>
    </x:row>
    <x:row r="31">
      <x:c r="A31" s="46" t="str">
        <x:v>CSV与Excel一致</x:v>
      </x:c>
      <x:c r="B31" s="46" t="str">
        <x:v>导出后复核</x:v>
      </x:c>
    </x:row>
    <x:row r="32">
      <x:c r="A32" s="46" t="str">
        <x:v>全部待验证</x:v>
      </x:c>
      <x:c r="B32" s="46" t="str">
        <x:v>是</x:v>
      </x:c>
    </x:row>
    <x:row r="33">
      <x:c r="A33" s="46" t="str">
        <x:v>双人证据体系</x:v>
      </x:c>
      <x:c r="B33" s="46" t="str">
        <x:v>XV0—XV7</x:v>
      </x:c>
    </x:row>
    <x:row r="34">
      <x:c r="A34" s="46" t="str">
        <x:v>交换状态</x:v>
      </x:c>
      <x:c r="B34" s="46" t="str">
        <x:v>XR01—XR08</x:v>
      </x:c>
    </x:row>
    <x:row r="35">
      <x:c r="A35" s="46" t="str">
        <x:v>正文限制</x:v>
      </x:c>
      <x:c r="B35" s="46" t="str">
        <x:v>一主一次一模式一状态</x:v>
      </x:c>
    </x:row>
    <x:row r="36">
      <x:c r="A36" s="46" t="str">
        <x:v>最终FG</x:v>
      </x:c>
      <x:c r="B36" s="46" t="str">
        <x:v>交M5-SYNTH</x:v>
      </x:c>
    </x:row>
    <x:row r="37">
      <x:c r="A37" s="47" t="str">
        <x:v>下一阶段</x:v>
      </x:c>
      <x:c r="B37" s="47" t="str">
        <x:v>M5-BOUND</x:v>
      </x:c>
    </x:row>
  </x:sheetData>
  <x:mergeCells>
    <x:mergeCell ref="A1:F2"/>
    <x:mergeCell ref="A3:F3"/>
  </x:mergeCells>
  <x:pageMargins left="0.7" right="0.7" top="0.75" bottom="0.75" header="0.3" footer="0.3"/>
  <x:tableParts count="2">
    <x:tablePart xmlns:r="http://schemas.openxmlformats.org/officeDocument/2006/relationships" r:id="R46bfd2ec28954c9c"/>
    <x:tablePart xmlns:r="http://schemas.openxmlformats.org/officeDocument/2006/relationships" r:id="R5fef92abbb9c4bb6"/>
  </x:tableParts>
</x:worksheet>
</file>