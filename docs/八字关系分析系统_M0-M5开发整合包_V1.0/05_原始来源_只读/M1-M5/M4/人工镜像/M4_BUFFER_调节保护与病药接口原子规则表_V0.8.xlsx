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worksheets/sheet17.xml" ContentType="application/vnd.openxmlformats-officedocument.spreadsheetml.worksheet+xml"/>
  <Override PartName="/xl/tables/table19.xml" ContentType="application/vnd.openxmlformats-officedocument.spreadsheetml.table+xml"/>
  <Override PartName="/xl/worksheets/sheet18.xml" ContentType="application/vnd.openxmlformats-officedocument.spreadsheetml.worksheet+xml"/>
  <Override PartName="/xl/tables/table20.xml" ContentType="application/vnd.openxmlformats-officedocument.spreadsheetml.table+xml"/>
  <Override PartName="/xl/worksheets/sheet1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e475133c5c8474d" /></Relationships>
</file>

<file path=xl/workbook.xml><?xml version="1.0" encoding="utf-8"?>
<x:workbook xmlns:x="http://schemas.openxmlformats.org/spreadsheetml/2006/main">
  <x:sheets>
    <x:sheet xmlns:r="http://schemas.openxmlformats.org/officeDocument/2006/relationships" name="00_阅读说明" sheetId="1" r:id="R417d8886631b4eac"/>
    <x:sheet xmlns:r="http://schemas.openxmlformats.org/officeDocument/2006/relationships" name="01_BF保护因素速查" sheetId="2" r:id="R552dd1540bee458c"/>
    <x:sheet xmlns:r="http://schemas.openxmlformats.org/officeDocument/2006/relationships" name="02_十神保护通道" sheetId="3" r:id="R551fa90aef5e420e"/>
    <x:sheet xmlns:r="http://schemas.openxmlformats.org/officeDocument/2006/relationships" name="03_保护有效层级" sheetId="4" r:id="R94237a14fb0446e7"/>
    <x:sheet xmlns:r="http://schemas.openxmlformats.org/officeDocument/2006/relationships" name="04_伪保护识别" sheetId="5" r:id="R568b354251464024"/>
    <x:sheet xmlns:r="http://schemas.openxmlformats.org/officeDocument/2006/relationships" name="05_病药功能矩阵" sheetId="6" r:id="Ra28593e45a1d4218"/>
    <x:sheet xmlns:r="http://schemas.openxmlformats.org/officeDocument/2006/relationships" name="06_K机制缓冲路由" sheetId="7" r:id="R3fd9b5acb7eb4f06"/>
    <x:sheet xmlns:r="http://schemas.openxmlformats.org/officeDocument/2006/relationships" name="07_LOOP循环退出路由" sheetId="8" r:id="R2bfe976044504301"/>
    <x:sheet xmlns:r="http://schemas.openxmlformats.org/officeDocument/2006/relationships" name="08_REPAIR修复回流接口" sheetId="9" r:id="Reefa1d50ca054a8e"/>
    <x:sheet xmlns:r="http://schemas.openxmlformats.org/officeDocument/2006/relationships" name="09_外部支持与现实证据" sheetId="10" r:id="Redbd52b238bc467d"/>
    <x:sheet xmlns:r="http://schemas.openxmlformats.org/officeDocument/2006/relationships" name="10_状态修正矩阵" sheetId="11" r:id="Ra9a33eb0fbef4568"/>
    <x:sheet xmlns:r="http://schemas.openxmlformats.org/officeDocument/2006/relationships" name="11_接口去重与停止" sheetId="12" r:id="R4e9e07cac37b414d"/>
    <x:sheet xmlns:r="http://schemas.openxmlformats.org/officeDocument/2006/relationships" name="12_证据等级与评分" sheetId="13" r:id="R6be83beea89e4bff"/>
    <x:sheet xmlns:r="http://schemas.openxmlformats.org/officeDocument/2006/relationships" name="13_原子规则" sheetId="14" r:id="R447b5bab0b0e4856"/>
    <x:sheet xmlns:r="http://schemas.openxmlformats.org/officeDocument/2006/relationships" name="14_门控与停止" sheetId="15" r:id="R0d47de1beda248f5"/>
    <x:sheet xmlns:r="http://schemas.openxmlformats.org/officeDocument/2006/relationships" name="15_输出模板与句库" sheetId="16" r:id="R7c0b31dd70e64019"/>
    <x:sheet xmlns:r="http://schemas.openxmlformats.org/officeDocument/2006/relationships" name="16_案例验证" sheetId="17" r:id="Ra67bbf80eb7e48bd"/>
    <x:sheet xmlns:r="http://schemas.openxmlformats.org/officeDocument/2006/relationships" name="17_字段词典" sheetId="18" r:id="R12d55c5e81914e87"/>
    <x:sheet xmlns:r="http://schemas.openxmlformats.org/officeDocument/2006/relationships" name="18_版本与验证" sheetId="19" r:id="R2a9134e21f264e2b"/>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b/>
      <x:sz val="11"/>
      <x:color rgb="FFFFFFFF"/>
      <x:name val="Carlito"/>
    </x:font>
    <x:font>
      <x:sz val="10"/>
      <x:color rgb="FF1F2937"/>
      <x:name val="Carlito"/>
    </x:font>
    <x:font>
      <x:b/>
      <x:sz val="12"/>
      <x:color rgb="FFFFFFFF"/>
      <x:name val="Carlito"/>
    </x:font>
    <x:font>
      <x:sz val="11"/>
      <x:color rgb="FF1F2937"/>
      <x:name val="Carlito"/>
    </x:font>
    <x:font>
      <x:b/>
      <x:sz val="11"/>
      <x:color rgb="FF1F2937"/>
      <x:name val="Carlito"/>
    </x:font>
  </x:fonts>
  <x:fills count="9">
    <x:fill>
      <x:patternFill patternType="none"/>
    </x:fill>
    <x:fill>
      <x:patternFill patternType="gray125"/>
    </x:fill>
    <x:fill>
      <x:patternFill patternType="solid">
        <x:fgColor rgb="FF14532D"/>
      </x:patternFill>
    </x:fill>
    <x:fill>
      <x:patternFill patternType="solid">
        <x:fgColor rgb="FF0F766E"/>
      </x:patternFill>
    </x:fill>
    <x:fill>
      <x:patternFill patternType="solid">
        <x:fgColor rgb="FF166534"/>
      </x:patternFill>
    </x:fill>
    <x:fill>
      <x:patternFill patternType="solid">
        <x:fgColor rgb="FFEFF6FF"/>
      </x:patternFill>
    </x:fill>
    <x:fill>
      <x:patternFill patternType="solid">
        <x:fgColor rgb="FFFEE2E2"/>
      </x:patternFill>
    </x:fill>
    <x:fill>
      <x:patternFill patternType="solid">
        <x:fgColor rgb="FFFEF3C7"/>
      </x:patternFill>
    </x:fill>
    <x:fill>
      <x:patternFill patternType="solid">
        <x:fgColor rgb="FFECFDF5"/>
      </x:patternFill>
    </x:fill>
  </x:fills>
  <x:borders count="2">
    <x:border/>
    <x:border/>
  </x:borders>
  <x:cellStyleXfs count="1">
    <x:xf numFmtId="0" fontId="0" fillId="0" borderId="0"/>
  </x:cellStyleXfs>
  <x:cellXfs count="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left" wrapText="1"/>
    </x:xf>
    <x:xf numFmtId="0" fontId="4" fillId="4" borderId="0" xfId="0" applyNumberFormat="1" applyFont="1" applyFill="1" applyBorder="1" applyAlignment="1">
      <x:alignment horizontal="lef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left" wrapText="1"/>
    </x:xf>
    <x:xf numFmtId="0" fontId="4" fillId="4" borderId="1" xfId="0" applyNumberFormat="1" applyFont="1" applyFill="1" applyBorder="1" applyAlignment="1">
      <x:alignment horizontal="left"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3" fillId="8" borderId="1"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top"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vertical="top" wrapText="1"/>
    </x:xf>
    <x:xf numFmtId="0" fontId="5" fillId="5" borderId="0" xfId="0" applyNumberFormat="1" applyFont="1" applyFill="1" applyBorder="1" applyAlignment="1">
      <x:alignment horizontal="left" vertical="top" wrapText="1"/>
    </x:xf>
    <x:xf numFmtId="0" fontId="5" fillId="5" borderId="1" xfId="0" applyNumberFormat="1" applyFont="1" applyFill="1" applyBorder="1" applyAlignment="1">
      <x:alignment horizontal="left" vertical="top" wrapText="1"/>
    </x:xf>
  </x:cellXfs>
  <x:cellStyles count="1">
    <x:cellStyle name="Normal" xfId="0"/>
  </x:cellStyles>
  <x:dxfs count="9">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374151"/>
      </x:font>
      <x:fill>
        <x:patternFill patternType="solid">
          <x:bgColor rgb="FFE5E7EB"/>
        </x:patternFill>
      </x:fill>
    </x:dxf>
    <x:dxf>
      <x:font>
        <x:b/>
        <x:color rgb="FF991B1B"/>
      </x:font>
      <x:fill>
        <x:patternFill patternType="solid">
          <x:bgColor rgb="FFFEE2E2"/>
        </x:patternFill>
      </x:fill>
    </x:dxf>
    <x:dxf>
      <x:font>
        <x:color rgb="FF92400E"/>
      </x:font>
      <x:fill>
        <x:patternFill patternType="solid">
          <x:bgColor rgb="FFFEF3C7"/>
        </x:patternFill>
      </x:fill>
    </x:dxf>
    <x:dxf>
      <x:font>
        <x:color rgb="FF166534"/>
      </x:font>
      <x:fill>
        <x:patternFill patternType="solid">
          <x:bgColor rgb="FFDCFCE7"/>
        </x:patternFill>
      </x:fill>
    </x:dxf>
    <x:dxf>
      <x:font>
        <x:color rgb="FF991B1B"/>
      </x:font>
      <x:fill>
        <x:patternFill patternType="solid">
          <x:bgColor rgb="FFFEE2E2"/>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932cd8471541cd" /><Relationship Type="http://schemas.openxmlformats.org/officeDocument/2006/relationships/theme" Target="/xl/theme/theme1.xml" Id="Ra8b505283c2343e9" /><Relationship Type="http://schemas.openxmlformats.org/officeDocument/2006/relationships/sharedStrings" Target="/xl/sharedStrings.xml" Id="R1f1866572b3444db" /><Relationship Type="http://schemas.openxmlformats.org/officeDocument/2006/relationships/worksheet" Target="/xl/worksheets/sheet1.xml" Id="R417d8886631b4eac" /><Relationship Type="http://schemas.openxmlformats.org/officeDocument/2006/relationships/worksheet" Target="/xl/worksheets/sheet2.xml" Id="R552dd1540bee458c" /><Relationship Type="http://schemas.openxmlformats.org/officeDocument/2006/relationships/worksheet" Target="/xl/worksheets/sheet3.xml" Id="R551fa90aef5e420e" /><Relationship Type="http://schemas.openxmlformats.org/officeDocument/2006/relationships/worksheet" Target="/xl/worksheets/sheet4.xml" Id="R94237a14fb0446e7" /><Relationship Type="http://schemas.openxmlformats.org/officeDocument/2006/relationships/worksheet" Target="/xl/worksheets/sheet5.xml" Id="R568b354251464024" /><Relationship Type="http://schemas.openxmlformats.org/officeDocument/2006/relationships/worksheet" Target="/xl/worksheets/sheet6.xml" Id="Ra28593e45a1d4218" /><Relationship Type="http://schemas.openxmlformats.org/officeDocument/2006/relationships/worksheet" Target="/xl/worksheets/sheet7.xml" Id="R3fd9b5acb7eb4f06" /><Relationship Type="http://schemas.openxmlformats.org/officeDocument/2006/relationships/worksheet" Target="/xl/worksheets/sheet8.xml" Id="R2bfe976044504301" /><Relationship Type="http://schemas.openxmlformats.org/officeDocument/2006/relationships/worksheet" Target="/xl/worksheets/sheet9.xml" Id="Reefa1d50ca054a8e" /><Relationship Type="http://schemas.openxmlformats.org/officeDocument/2006/relationships/worksheet" Target="/xl/worksheets/sheet10.xml" Id="Redbd52b238bc467d" /><Relationship Type="http://schemas.openxmlformats.org/officeDocument/2006/relationships/worksheet" Target="/xl/worksheets/sheet11.xml" Id="Ra9a33eb0fbef4568" /><Relationship Type="http://schemas.openxmlformats.org/officeDocument/2006/relationships/worksheet" Target="/xl/worksheets/sheet12.xml" Id="R4e9e07cac37b414d" /><Relationship Type="http://schemas.openxmlformats.org/officeDocument/2006/relationships/worksheet" Target="/xl/worksheets/sheet13.xml" Id="R6be83beea89e4bff" /><Relationship Type="http://schemas.openxmlformats.org/officeDocument/2006/relationships/worksheet" Target="/xl/worksheets/sheet14.xml" Id="R447b5bab0b0e4856" /><Relationship Type="http://schemas.openxmlformats.org/officeDocument/2006/relationships/worksheet" Target="/xl/worksheets/sheet15.xml" Id="R0d47de1beda248f5" /><Relationship Type="http://schemas.openxmlformats.org/officeDocument/2006/relationships/worksheet" Target="/xl/worksheets/sheet16.xml" Id="R7c0b31dd70e64019" /><Relationship Type="http://schemas.openxmlformats.org/officeDocument/2006/relationships/worksheet" Target="/xl/worksheets/sheet17.xml" Id="Ra67bbf80eb7e48bd" /><Relationship Type="http://schemas.openxmlformats.org/officeDocument/2006/relationships/worksheet" Target="/xl/worksheets/sheet18.xml" Id="R12d55c5e81914e87" /><Relationship Type="http://schemas.openxmlformats.org/officeDocument/2006/relationships/worksheet" Target="/xl/worksheets/sheet19.xml" Id="R2a9134e21f264e2b" /></Relationships>
</file>

<file path=xl/tables/table1.xml><?xml version="1.0" encoding="utf-8"?>
<x:table xmlns:x="http://schemas.openxmlformats.org/spreadsheetml/2006/main" id="1" name="BFQuickTable" displayName="BFQuickTable" ref="A3:G11" headerRowCount="1" totalsRowCount="0" totalsRowShown="0">
  <x:tableColumns count="7">
    <x:tableColumn id="1" name="编号"/>
    <x:tableColumn id="2" name="保护因素"/>
    <x:tableColumn id="3" name="主要靶点"/>
    <x:tableColumn id="4" name="结构成立条件"/>
    <x:tableColumn id="5" name="现实有效标志"/>
    <x:tableColumn id="6" name="失效／伪保护"/>
    <x:tableColumn id="7" name="用户解释"/>
  </x:tableColumns>
  <x:tableStyleInfo name="TableStyleMedium2" showFirstColumn="0" showLastColumn="0" showRowStripes="1" showColumnStripes="0"/>
</x:table>
</file>

<file path=xl/tables/table2.xml><?xml version="1.0" encoding="utf-8"?>
<x:table xmlns:x="http://schemas.openxmlformats.org/spreadsheetml/2006/main" id="2" name="TenGodBufferTable" displayName="TenGodBufferTable" ref="A3:H13" headerRowCount="1" totalsRowCount="0" totalsRowShown="0">
  <x:tableColumns count="8">
    <x:tableColumn id="1" name="十神"/>
    <x:tableColumn id="2" name="保护通道"/>
    <x:tableColumn id="3" name="正常保护功能"/>
    <x:tableColumn id="4" name="主要BF"/>
    <x:tableColumn id="5" name="主要风险靶点"/>
    <x:tableColumn id="6" name="有效成立条件"/>
    <x:tableColumn id="7" name="常见失效"/>
    <x:tableColumn id="8" name="用户解释"/>
  </x:tableColumns>
  <x:tableStyleInfo name="TableStyleMedium2" showFirstColumn="0" showLastColumn="0" showRowStripes="1" showColumnStripes="0"/>
</x:table>
</file>

<file path=xl/tables/table3.xml><?xml version="1.0" encoding="utf-8"?>
<x:table xmlns:x="http://schemas.openxmlformats.org/spreadsheetml/2006/main" id="3" name="BLLevelTable" displayName="BLLevelTable" ref="A3:G11" headerRowCount="1" totalsRowCount="0" totalsRowShown="0">
  <x:tableColumns count="7">
    <x:tableColumn id="1" name="代码"/>
    <x:tableColumn id="2" name="层级"/>
    <x:tableColumn id="3" name="证据定义"/>
    <x:tableColumn id="4" name="发布上限"/>
    <x:tableColumn id="5" name="升级条件"/>
    <x:tableColumn id="6" name="降级／停止条件"/>
    <x:tableColumn id="7" name="用户语言"/>
  </x:tableColumns>
  <x:tableStyleInfo name="TableStyleMedium2" showFirstColumn="0" showLastColumn="0" showRowStripes="1" showColumnStripes="0"/>
</x:table>
</file>

<file path=xl/tables/table4.xml><?xml version="1.0" encoding="utf-8"?>
<x:table xmlns:x="http://schemas.openxmlformats.org/spreadsheetml/2006/main" id="4" name="PseudoBufferTable" displayName="PseudoBufferTable" ref="A3:G11" headerRowCount="1" totalsRowCount="0" totalsRowShown="0">
  <x:tableColumns count="7">
    <x:tableColumn id="1" name="编号"/>
    <x:tableColumn id="2" name="伪保护"/>
    <x:tableColumn id="3" name="表面表现"/>
    <x:tableColumn id="4" name="为什么不足"/>
    <x:tableColumn id="5" name="检查重点"/>
    <x:tableColumn id="6" name="退出条件"/>
    <x:tableColumn id="7" name="用户提醒"/>
  </x:tableColumns>
  <x:tableStyleInfo name="TableStyleMedium2" showFirstColumn="0" showLastColumn="0" showRowStripes="1" showColumnStripes="0"/>
</x:table>
</file>

<file path=xl/tables/table5.xml><?xml version="1.0" encoding="utf-8"?>
<x:table xmlns:x="http://schemas.openxmlformats.org/spreadsheetml/2006/main" id="5" name="MedicineFunctionTable" displayName="MedicineFunctionTable" ref="A4:G12" headerRowCount="1" totalsRowCount="0" totalsRowShown="0">
  <x:tableColumns count="7">
    <x:tableColumn id="1" name="编号"/>
    <x:tableColumn id="2" name="药功能"/>
    <x:tableColumn id="3" name="对应K机制"/>
    <x:tableColumn id="4" name="具体任务"/>
    <x:tableColumn id="5" name="可用资源"/>
    <x:tableColumn id="6" name="现实有效标志"/>
    <x:tableColumn id="7" name="无效边界"/>
  </x:tableColumns>
  <x:tableStyleInfo name="TableStyleMedium2" showFirstColumn="0" showLastColumn="0" showRowStripes="1" showColumnStripes="0"/>
</x:table>
</file>

<file path=xl/tables/table6.xml><?xml version="1.0" encoding="utf-8"?>
<x:table xmlns:x="http://schemas.openxmlformats.org/spreadsheetml/2006/main" id="6" name="KBufferRouteTable" displayName="KBufferRouteTable" ref="A3:G11" headerRowCount="1" totalsRowCount="0" totalsRowShown="0">
  <x:tableColumns count="7">
    <x:tableColumn id="1" name="K机制"/>
    <x:tableColumn id="2" name="名称"/>
    <x:tableColumn id="3" name="问题摘要"/>
    <x:tableColumn id="4" name="主保护"/>
    <x:tableColumn id="5" name="次保护"/>
    <x:tableColumn id="6" name="有效标志"/>
    <x:tableColumn id="7" name="失效标志"/>
  </x:tableColumns>
  <x:tableStyleInfo name="TableStyleMedium2" showFirstColumn="0" showLastColumn="0" showRowStripes="1" showColumnStripes="0"/>
</x:table>
</file>

<file path=xl/tables/table7.xml><?xml version="1.0" encoding="utf-8"?>
<x:table xmlns:x="http://schemas.openxmlformats.org/spreadsheetml/2006/main" id="7" name="LoopExitTable" displayName="LoopExitTable" ref="A3:F15" headerRowCount="1" totalsRowCount="0" totalsRowShown="0">
  <x:tableColumns count="6">
    <x:tableColumn id="1" name="循环"/>
    <x:tableColumn id="2" name="名称"/>
    <x:tableColumn id="3" name="最小保护组合"/>
    <x:tableColumn id="4" name="有效中断条件"/>
    <x:tableColumn id="5" name="伪中断／复发标志"/>
    <x:tableColumn id="6" name="用户输出重点"/>
  </x:tableColumns>
  <x:tableStyleInfo name="TableStyleMedium2" showFirstColumn="0" showLastColumn="0" showRowStripes="1" showColumnStripes="0"/>
</x:table>
</file>

<file path=xl/tables/table8.xml><?xml version="1.0" encoding="utf-8"?>
<x:table xmlns:x="http://schemas.openxmlformats.org/spreadsheetml/2006/main" id="8" name="RepairNodeBufferTable" displayName="RepairNodeBufferTable" ref="A4:F12" headerRowCount="1" totalsRowCount="0" totalsRowShown="0">
  <x:tableColumns count="6">
    <x:tableColumn id="1" name="RN节点"/>
    <x:tableColumn id="2" name="名称"/>
    <x:tableColumn id="3" name="优先保护"/>
    <x:tableColumn id="4" name="现实有效标志"/>
    <x:tableColumn id="5" name="停止／边界"/>
    <x:tableColumn id="6" name="用户解释"/>
  </x:tableColumns>
  <x:tableStyleInfo name="TableStyleMedium2" showFirstColumn="0" showLastColumn="0" showRowStripes="1" showColumnStripes="0"/>
</x:table>
</file>

<file path=xl/tables/table9.xml><?xml version="1.0" encoding="utf-8"?>
<x:table xmlns:x="http://schemas.openxmlformats.org/spreadsheetml/2006/main" id="9" name="RepairBlindBufferTable" displayName="RepairBlindBufferTable" ref="A15:F27" headerRowCount="1" totalsRowCount="0" totalsRowShown="0">
  <x:tableColumns count="6">
    <x:tableColumn id="1" name="RB编号"/>
    <x:tableColumn id="2" name="修复盲点"/>
    <x:tableColumn id="3" name="保护路由"/>
    <x:tableColumn id="4" name="关键缺失"/>
    <x:tableColumn id="5" name="发布边界"/>
    <x:tableColumn id="6" name="用户提醒"/>
  </x:tableColumns>
  <x:tableStyleInfo name="TableStyleMedium2" showFirstColumn="0" showLastColumn="0" showRowStripes="1" showColumnStripes="0"/>
</x:table>
</file>

<file path=xl/tables/table10.xml><?xml version="1.0" encoding="utf-8"?>
<x:table xmlns:x="http://schemas.openxmlformats.org/spreadsheetml/2006/main" id="10" name="ExternalSupportTable" displayName="ExternalSupportTable" ref="A4:F12" headerRowCount="1" totalsRowCount="0" totalsRowShown="0">
  <x:tableColumns count="6">
    <x:tableColumn id="1" name="编号"/>
    <x:tableColumn id="2" name="现实支持"/>
    <x:tableColumn id="3" name="定义"/>
    <x:tableColumn id="4" name="适用情境"/>
    <x:tableColumn id="5" name="有效证据"/>
    <x:tableColumn id="6" name="使用边界"/>
  </x:tableColumns>
  <x:tableStyleInfo name="TableStyleMedium2" showFirstColumn="0" showLastColumn="0" showRowStripes="1" showColumnStripes="0"/>
</x:table>
</file>

<file path=xl/tables/table11.xml><?xml version="1.0" encoding="utf-8"?>
<x:table xmlns:x="http://schemas.openxmlformats.org/spreadsheetml/2006/main" id="11" name="BufferStateModifierTable" displayName="BufferStateModifierTable" ref="A3:D19" headerRowCount="1" totalsRowCount="0" totalsRowShown="0">
  <x:tableColumns count="4">
    <x:tableColumn id="1" name="代码"/>
    <x:tableColumn id="2" name="状态"/>
    <x:tableColumn id="3" name="保护修正"/>
    <x:tableColumn id="4" name="使用边界"/>
  </x:tableColumns>
  <x:tableStyleInfo name="TableStyleMedium2" showFirstColumn="0" showLastColumn="0" showRowStripes="1" showColumnStripes="0"/>
</x:table>
</file>

<file path=xl/tables/table12.xml><?xml version="1.0" encoding="utf-8"?>
<x:table xmlns:x="http://schemas.openxmlformats.org/spreadsheetml/2006/main" id="12" name="BufferInterfaceStopTable" displayName="BufferInterfaceStopTable" ref="A3:E22" headerRowCount="1" totalsRowCount="0" totalsRowShown="0">
  <x:tableColumns count="5">
    <x:tableColumn id="1" name="类别"/>
    <x:tableColumn id="2" name="检查问题"/>
    <x:tableColumn id="3" name="成立条件"/>
    <x:tableColumn id="4" name="停止／降级条件"/>
    <x:tableColumn id="5" name="处理"/>
  </x:tableColumns>
  <x:tableStyleInfo name="TableStyleMedium2" showFirstColumn="0" showLastColumn="0" showRowStripes="1" showColumnStripes="0"/>
</x:table>
</file>

<file path=xl/tables/table13.xml><?xml version="1.0" encoding="utf-8"?>
<x:table xmlns:x="http://schemas.openxmlformats.org/spreadsheetml/2006/main" id="13" name="BufferScoringTable" displayName="BufferScoringTable" ref="A4:F16" headerRowCount="1" totalsRowCount="0" totalsRowShown="0">
  <x:tableColumns count="6">
    <x:tableColumn id="1" name="评分项"/>
    <x:tableColumn id="2" name="必要条件"/>
    <x:tableColumn id="3" name="排除条件"/>
    <x:tableColumn id="4" name="分值／作用"/>
    <x:tableColumn id="5" name="输出字段"/>
    <x:tableColumn id="6" name="说明"/>
  </x:tableColumns>
  <x:tableStyleInfo name="TableStyleMedium2" showFirstColumn="0" showLastColumn="0" showRowStripes="1" showColumnStripes="0"/>
</x:table>
</file>

<file path=xl/tables/table14.xml><?xml version="1.0" encoding="utf-8"?>
<x:table xmlns:x="http://schemas.openxmlformats.org/spreadsheetml/2006/main" id="14" name="BufferPublishLevelTable" displayName="BufferPublishLevelTable" ref="A19:F27" headerRowCount="1" totalsRowCount="0" totalsRowShown="0">
  <x:tableColumns count="6">
    <x:tableColumn id="1" name="层级"/>
    <x:tableColumn id="2" name="结构／现实状态"/>
    <x:tableColumn id="3" name="可否降权"/>
    <x:tableColumn id="4" name="最强措辞"/>
    <x:tableColumn id="5" name="不能说"/>
    <x:tableColumn id="6" name="建议动作"/>
  </x:tableColumns>
  <x:tableStyleInfo name="TableStyleMedium2" showFirstColumn="0" showLastColumn="0" showRowStripes="1" showColumnStripes="0"/>
</x:table>
</file>

<file path=xl/tables/table15.xml><?xml version="1.0" encoding="utf-8"?>
<x:table xmlns:x="http://schemas.openxmlformats.org/spreadsheetml/2006/main" id="15" name="M4BufferRulesTable" displayName="M4BufferRulesTable" ref="A1:AE521"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16.xml><?xml version="1.0" encoding="utf-8"?>
<x:table xmlns:x="http://schemas.openxmlformats.org/spreadsheetml/2006/main" id="16" name="BufferGateTable" displayName="BufferGateTable" ref="A3:H108" headerRowCount="1" totalsRowCount="0" totalsRowShown="0">
  <x:tableColumns count="8">
    <x:tableColumn id="1" name="规则ID"/>
    <x:tableColumn id="2" name="规则名称"/>
    <x:tableColumn id="3" name="类型"/>
    <x:tableColumn id="4" name="主信号"/>
    <x:tableColumn id="5" name="必要条件"/>
    <x:tableColumn id="6" name="停止／排除条件"/>
    <x:tableColumn id="7" name="用户解释"/>
    <x:tableColumn id="8" name="优先级"/>
  </x:tableColumns>
  <x:tableStyleInfo name="TableStyleMedium2" showFirstColumn="0" showLastColumn="0" showRowStripes="1" showColumnStripes="0"/>
</x:table>
</file>

<file path=xl/tables/table17.xml><?xml version="1.0" encoding="utf-8"?>
<x:table xmlns:x="http://schemas.openxmlformats.org/spreadsheetml/2006/main" id="17" name="BufferOutputTemplateTable" displayName="BufferOutputTemplateTable" ref="A4:E12" headerRowCount="1" totalsRowCount="0" totalsRowShown="0">
  <x:tableColumns count="5">
    <x:tableColumn id="1" name="模板"/>
    <x:tableColumn id="2" name="适用条件"/>
    <x:tableColumn id="3" name="不能用于"/>
    <x:tableColumn id="4" name="用户文案"/>
    <x:tableColumn id="5" name="输出槽位"/>
  </x:tableColumns>
  <x:tableStyleInfo name="TableStyleMedium2" showFirstColumn="0" showLastColumn="0" showRowStripes="1" showColumnStripes="0"/>
</x:table>
</file>

<file path=xl/tables/table18.xml><?xml version="1.0" encoding="utf-8"?>
<x:table xmlns:x="http://schemas.openxmlformats.org/spreadsheetml/2006/main" id="18" name="BufferPhraseTable" displayName="BufferPhraseTable" ref="A15:E23" headerRowCount="1" totalsRowCount="0" totalsRowShown="0">
  <x:tableColumns count="5">
    <x:tableColumn id="1" name="编号"/>
    <x:tableColumn id="2" name="保护因素"/>
    <x:tableColumn id="3" name="推荐开头"/>
    <x:tableColumn id="4" name="有效标志"/>
    <x:tableColumn id="5" name="边界句"/>
  </x:tableColumns>
  <x:tableStyleInfo name="TableStyleMedium2" showFirstColumn="0" showLastColumn="0" showRowStripes="1" showColumnStripes="0"/>
</x:table>
</file>

<file path=xl/tables/table19.xml><?xml version="1.0" encoding="utf-8"?>
<x:table xmlns:x="http://schemas.openxmlformats.org/spreadsheetml/2006/main" id="19" name="BufferCaseTable" displayName="BufferCaseTable" ref="A4:Q24" headerRowCount="1" totalsRowCount="0" totalsRowShown="0">
  <x:tableColumns count="17">
    <x:tableColumn id="1" name="case_id"/>
    <x:tableColumn id="2" name="案例状态"/>
    <x:tableColumn id="3" name="命盘／结构摘要"/>
    <x:tableColumn id="4" name="主K机制"/>
    <x:tableColumn id="5" name="TR／LP／RN靶点"/>
    <x:tableColumn id="6" name="主保护BF"/>
    <x:tableColumn id="7" name="次保护BF"/>
    <x:tableColumn id="8" name="BL层级"/>
    <x:tableColumn id="9" name="伪保护PB"/>
    <x:tableColumn id="10" name="现实保护动作"/>
    <x:tableColumn id="11" name="对方／接收方反馈"/>
    <x:tableColumn id="12" name="结果是否改变链条"/>
    <x:tableColumn id="13" name="复发情况"/>
    <x:tableColumn id="14" name="现实反例"/>
    <x:tableColumn id="15" name="匹配程度"/>
    <x:tableColumn id="16" name="关联规则ID"/>
    <x:tableColumn id="17" name="备注"/>
  </x:tableColumns>
  <x:tableStyleInfo name="TableStyleMedium2" showFirstColumn="0" showLastColumn="0" showRowStripes="1" showColumnStripes="0"/>
</x:table>
</file>

<file path=xl/tables/table20.xml><?xml version="1.0" encoding="utf-8"?>
<x:table xmlns:x="http://schemas.openxmlformats.org/spreadsheetml/2006/main" id="20" name="BufferFieldDictionary" displayName="BufferFieldDictionary" ref="A3:D34" headerRowCount="1" totalsRowCount="0" totalsRowShown="0">
  <x:tableColumns count="4">
    <x:tableColumn id="1" name="字段"/>
    <x:tableColumn id="2" name="含义"/>
    <x:tableColumn id="3" name="用途"/>
    <x:tableColumn id="4" name="主要位置"/>
  </x:tableColumns>
  <x:tableStyleInfo name="TableStyleMedium2" showFirstColumn="0" showLastColumn="0" showRowStripes="1" showColumnStripes="0"/>
</x:table>
</file>

<file path=xl/tables/table21.xml><?xml version="1.0" encoding="utf-8"?>
<x:table xmlns:x="http://schemas.openxmlformats.org/spreadsheetml/2006/main" id="21" name="BufferRuleCountTable" displayName="BufferRuleCountTable" ref="A11:C23" headerRowCount="1" totalsRowCount="0" totalsRowShown="0">
  <x:tableColumns count="3">
    <x:tableColumn id="1" name="规则范围"/>
    <x:tableColumn id="2" name="内容"/>
    <x:tableColumn id="3" name="数量"/>
  </x:tableColumns>
  <x:tableStyleInfo name="TableStyleMedium2" showFirstColumn="0" showLastColumn="0" showRowStripes="1" showColumnStripes="0"/>
</x:table>
</file>

<file path=xl/tables/table22.xml><?xml version="1.0" encoding="utf-8"?>
<x:table xmlns:x="http://schemas.openxmlformats.org/spreadsheetml/2006/main" id="22" name="BufferReleaseChecklist" displayName="BufferReleaseChecklist" ref="A26:D36" headerRowCount="1" totalsRowCount="0" totalsRowShown="0">
  <x:tableColumns count="4">
    <x:tableColumn id="1" name="编号"/>
    <x:tableColumn id="2" name="检查项"/>
    <x:tableColumn id="3" name="当前状态"/>
    <x:tableColumn id="4"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07a9b7dd21f4c9f" /></Relationships>
</file>

<file path=xl/worksheets/_rels/sheet3.xml.rels>&#65279;<?xml version="1.0" encoding="utf-8"?><Relationships xmlns="http://schemas.openxmlformats.org/package/2006/relationships"><Relationship Type="http://schemas.openxmlformats.org/officeDocument/2006/relationships/table" Target="/xl/tables/table2.xml" Id="R3dae331eb20e47f5" /></Relationships>
</file>

<file path=xl/worksheets/_rels/sheet4.xml.rels>&#65279;<?xml version="1.0" encoding="utf-8"?><Relationships xmlns="http://schemas.openxmlformats.org/package/2006/relationships"><Relationship Type="http://schemas.openxmlformats.org/officeDocument/2006/relationships/table" Target="/xl/tables/table3.xml" Id="R418a3617a7cf4658" /></Relationships>
</file>

<file path=xl/worksheets/_rels/sheet5.xml.rels>&#65279;<?xml version="1.0" encoding="utf-8"?><Relationships xmlns="http://schemas.openxmlformats.org/package/2006/relationships"><Relationship Type="http://schemas.openxmlformats.org/officeDocument/2006/relationships/table" Target="/xl/tables/table4.xml" Id="Re49b63b1decc4057" /></Relationships>
</file>

<file path=xl/worksheets/_rels/sheet6.xml.rels>&#65279;<?xml version="1.0" encoding="utf-8"?><Relationships xmlns="http://schemas.openxmlformats.org/package/2006/relationships"><Relationship Type="http://schemas.openxmlformats.org/officeDocument/2006/relationships/table" Target="/xl/tables/table5.xml" Id="R05ff26baab694cc3" /></Relationships>
</file>

<file path=xl/worksheets/_rels/sheet7.xml.rels>&#65279;<?xml version="1.0" encoding="utf-8"?><Relationships xmlns="http://schemas.openxmlformats.org/package/2006/relationships"><Relationship Type="http://schemas.openxmlformats.org/officeDocument/2006/relationships/table" Target="/xl/tables/table6.xml" Id="Re9a8ba4d5f214acc" /></Relationships>
</file>

<file path=xl/worksheets/_rels/sheet8.xml.rels>&#65279;<?xml version="1.0" encoding="utf-8"?><Relationships xmlns="http://schemas.openxmlformats.org/package/2006/relationships"><Relationship Type="http://schemas.openxmlformats.org/officeDocument/2006/relationships/table" Target="/xl/tables/table7.xml" Id="Rc0dd092a2e5c42a6" /></Relationships>
</file>

<file path=xl/worksheets/_rels/sheet9.xml.rels>&#65279;<?xml version="1.0" encoding="utf-8"?><Relationships xmlns="http://schemas.openxmlformats.org/package/2006/relationships"><Relationship Type="http://schemas.openxmlformats.org/officeDocument/2006/relationships/table" Target="/xl/tables/table8.xml" Id="R7ce34a1298e442f8" /><Relationship Type="http://schemas.openxmlformats.org/officeDocument/2006/relationships/table" Target="/xl/tables/table9.xml" Id="Rd326a366fa214dc3" /></Relationships>
</file>

<file path=xl/worksheets/_rels/sheet10.xml.rels>&#65279;<?xml version="1.0" encoding="utf-8"?><Relationships xmlns="http://schemas.openxmlformats.org/package/2006/relationships"><Relationship Type="http://schemas.openxmlformats.org/officeDocument/2006/relationships/table" Target="/xl/tables/table10.xml" Id="R095e36e9e2334992" /></Relationships>
</file>

<file path=xl/worksheets/_rels/sheet11.xml.rels>&#65279;<?xml version="1.0" encoding="utf-8"?><Relationships xmlns="http://schemas.openxmlformats.org/package/2006/relationships"><Relationship Type="http://schemas.openxmlformats.org/officeDocument/2006/relationships/table" Target="/xl/tables/table11.xml" Id="Rb944efff2d8246e0" /></Relationships>
</file>

<file path=xl/worksheets/_rels/sheet12.xml.rels>&#65279;<?xml version="1.0" encoding="utf-8"?><Relationships xmlns="http://schemas.openxmlformats.org/package/2006/relationships"><Relationship Type="http://schemas.openxmlformats.org/officeDocument/2006/relationships/table" Target="/xl/tables/table12.xml" Id="R1b6d06bf254e4806" /></Relationships>
</file>

<file path=xl/worksheets/_rels/sheet13.xml.rels>&#65279;<?xml version="1.0" encoding="utf-8"?><Relationships xmlns="http://schemas.openxmlformats.org/package/2006/relationships"><Relationship Type="http://schemas.openxmlformats.org/officeDocument/2006/relationships/table" Target="/xl/tables/table13.xml" Id="Ra3f6165e9c55485a" /><Relationship Type="http://schemas.openxmlformats.org/officeDocument/2006/relationships/table" Target="/xl/tables/table14.xml" Id="R339b64bcb6bd43fd" /></Relationships>
</file>

<file path=xl/worksheets/_rels/sheet14.xml.rels>&#65279;<?xml version="1.0" encoding="utf-8"?><Relationships xmlns="http://schemas.openxmlformats.org/package/2006/relationships"><Relationship Type="http://schemas.openxmlformats.org/officeDocument/2006/relationships/table" Target="/xl/tables/table15.xml" Id="R229292f9669b453c" /></Relationships>
</file>

<file path=xl/worksheets/_rels/sheet15.xml.rels>&#65279;<?xml version="1.0" encoding="utf-8"?><Relationships xmlns="http://schemas.openxmlformats.org/package/2006/relationships"><Relationship Type="http://schemas.openxmlformats.org/officeDocument/2006/relationships/table" Target="/xl/tables/table16.xml" Id="Rda48ced1fedc4f22" /></Relationships>
</file>

<file path=xl/worksheets/_rels/sheet16.xml.rels>&#65279;<?xml version="1.0" encoding="utf-8"?><Relationships xmlns="http://schemas.openxmlformats.org/package/2006/relationships"><Relationship Type="http://schemas.openxmlformats.org/officeDocument/2006/relationships/table" Target="/xl/tables/table17.xml" Id="Rb807efed35774a82" /><Relationship Type="http://schemas.openxmlformats.org/officeDocument/2006/relationships/table" Target="/xl/tables/table18.xml" Id="R4904bffd93404a5f" /></Relationships>
</file>

<file path=xl/worksheets/_rels/sheet17.xml.rels>&#65279;<?xml version="1.0" encoding="utf-8"?><Relationships xmlns="http://schemas.openxmlformats.org/package/2006/relationships"><Relationship Type="http://schemas.openxmlformats.org/officeDocument/2006/relationships/table" Target="/xl/tables/table19.xml" Id="R09281b9912fd4487" /></Relationships>
</file>

<file path=xl/worksheets/_rels/sheet18.xml.rels>&#65279;<?xml version="1.0" encoding="utf-8"?><Relationships xmlns="http://schemas.openxmlformats.org/package/2006/relationships"><Relationship Type="http://schemas.openxmlformats.org/officeDocument/2006/relationships/table" Target="/xl/tables/table20.xml" Id="Rff2a7315a8be49d6" /></Relationships>
</file>

<file path=xl/worksheets/_rels/sheet19.xml.rels>&#65279;<?xml version="1.0" encoding="utf-8"?><Relationships xmlns="http://schemas.openxmlformats.org/package/2006/relationships"><Relationship Type="http://schemas.openxmlformats.org/officeDocument/2006/relationships/table" Target="/xl/tables/table21.xml" Id="R300c7c8352bd46ed" /><Relationship Type="http://schemas.openxmlformats.org/officeDocument/2006/relationships/table" Target="/xl/tables/table22.xml" Id="Rb6ebdc8b77844a02" /></Relationships>
</file>

<file path=xl/worksheets/sheet1.xml><?xml version="1.0" encoding="utf-8"?>
<x:worksheet xmlns:x="http://schemas.openxmlformats.org/spreadsheetml/2006/main">
  <x:sheetFormatPr defaultRowHeight="15"/>
  <x:cols>
    <x:col min="1" max="1" width="28" hidden="0" customWidth="1"/>
    <x:col min="2" max="2" width="34" hidden="0" customWidth="1"/>
    <x:col min="3" max="3" width="42" hidden="0" customWidth="1"/>
  </x:cols>
  <x:sheetData>
    <x:row r="1" ht="34" customHeight="1">
      <x:c r="A1" s="6" t="str">
        <x:v>M4-BUFFER 调节、保护因素与病药功能接口 V0.8</x:v>
      </x:c>
      <x:c r="B1" s="6"/>
      <x:c r="C1" s="6"/>
      <x:c r="D1" s="6"/>
      <x:c r="E1" s="6"/>
      <x:c r="F1" s="6"/>
      <x:c r="G1" s="6"/>
      <x:c r="H1" s="6"/>
    </x:row>
    <x:row r="3">
      <x:c r="A3" s="16" t="str">
        <x:v>字段</x:v>
      </x:c>
      <x:c r="B3" s="16" t="str">
        <x:v>内容</x:v>
      </x:c>
    </x:row>
    <x:row r="4">
      <x:c r="A4" s="24" t="str">
        <x:v>正式定位</x:v>
      </x:c>
      <x:c r="B4" s="24" t="str">
        <x:v>识别哪些功能能够限制过用、补足不足、恢复顺序、打开反馈、落实改变、完成修复或提供现实安全支持。</x:v>
      </x:c>
    </x:row>
    <x:row r="5">
      <x:c r="A5" s="24" t="str">
        <x:v>核心边界</x:v>
      </x:c>
      <x:c r="B5" s="24" t="str">
        <x:v>喜用神不直接等于药；制化不等于问题消失；通关不等于现实转换；结构资源不等于现实已调用。</x:v>
      </x:c>
    </x:row>
    <x:row r="6">
      <x:c r="A6" s="24" t="str">
        <x:v>当前版本</x:v>
      </x:c>
      <x:c r="B6" s="24" t="str">
        <x:v>V0.8｜520条原子规则｜全部待验证｜provisional=true</x:v>
      </x:c>
    </x:row>
    <x:row r="7">
      <x:c r="A7" s="24" t="str">
        <x:v>发布上限</x:v>
      </x:c>
      <x:c r="B7" s="24" t="str">
        <x:v>仅有命理结构时最多发布潜在／条件性保护；现实有效与稳定保护必须有事件、反馈和持续结果。</x:v>
      </x:c>
    </x:row>
    <x:row r="8">
      <x:c r="A8" s="24" t="str">
        <x:v>下一阶段</x:v>
      </x:c>
      <x:c r="B8" s="24" t="str">
        <x:v>M4-SYNTH：总合成、权威矩阵、同源去重、证据等级、风险—保护配对和报告生成。</x:v>
      </x:c>
    </x:row>
    <x:row r="10">
      <x:c r="A10" s="32" t="str">
        <x:v>90秒案例判断顺序</x:v>
      </x:c>
      <x:c r="B10" s="32"/>
      <x:c r="C10" s="32"/>
      <x:c r="D10" s="32"/>
      <x:c r="E10" s="32"/>
      <x:c r="F10" s="32"/>
      <x:c r="G10" s="32"/>
      <x:c r="H10" s="32"/>
    </x:row>
    <x:row r="11" ht="28" customHeight="1">
      <x:c r="A11" s="60" t="str">
        <x:v>1. 先从M4-BASE／OVERUSE确定主K机制，不能从喜用神直接配“药”。</x:v>
      </x:c>
      <x:c r="B11" s="60"/>
      <x:c r="C11" s="60"/>
      <x:c r="D11" s="60"/>
      <x:c r="E11" s="60"/>
      <x:c r="F11" s="60"/>
      <x:c r="G11" s="60"/>
      <x:c r="H11" s="60"/>
    </x:row>
    <x:row r="12" ht="28" customHeight="1">
      <x:c r="A12" s="60" t="str">
        <x:v>2. 用TRIGGER、LOOP、REPAIR明确风险靶点：触发、反馈、循环或缺失RN节点。</x:v>
      </x:c>
      <x:c r="B12" s="60"/>
      <x:c r="C12" s="60"/>
      <x:c r="D12" s="60"/>
      <x:c r="E12" s="60"/>
      <x:c r="F12" s="60"/>
      <x:c r="G12" s="60"/>
      <x:c r="H12" s="60"/>
    </x:row>
    <x:row r="13" ht="28" customHeight="1">
      <x:c r="A13" s="60" t="str">
        <x:v>3. 在BF01—BF08中匹配主保护功能，最多再保留一项功能不同的次保护。</x:v>
      </x:c>
      <x:c r="B13" s="60"/>
      <x:c r="C13" s="60"/>
      <x:c r="D13" s="60"/>
      <x:c r="E13" s="60"/>
      <x:c r="F13" s="60"/>
      <x:c r="G13" s="60"/>
      <x:c r="H13" s="60"/>
    </x:row>
    <x:row r="14" ht="28" customHeight="1">
      <x:c r="A14" s="60" t="str">
        <x:v>4. 检查十神保护通道是否有独立来源、根气、位置、承载和同源去重。</x:v>
      </x:c>
      <x:c r="B14" s="60"/>
      <x:c r="C14" s="60"/>
      <x:c r="D14" s="60"/>
      <x:c r="E14" s="60"/>
      <x:c r="F14" s="60"/>
      <x:c r="G14" s="60"/>
      <x:c r="H14" s="60"/>
    </x:row>
    <x:row r="15" ht="28" customHeight="1">
      <x:c r="A15" s="60" t="str">
        <x:v>5. 用BL0—BL7判断：潜在、可调用、已启动、实际有效还是稳定保护。</x:v>
      </x:c>
      <x:c r="B15" s="60"/>
      <x:c r="C15" s="60"/>
      <x:c r="D15" s="60"/>
      <x:c r="E15" s="60"/>
      <x:c r="F15" s="60"/>
      <x:c r="G15" s="60"/>
      <x:c r="H15" s="60"/>
    </x:row>
    <x:row r="16" ht="28" customHeight="1">
      <x:c r="A16" s="60" t="str">
        <x:v>6. 检查PB01—PB08伪保护：规则更多、解释更多、投入更多、暂停更久是否只是表面缓解。</x:v>
      </x:c>
      <x:c r="B16" s="60"/>
      <x:c r="C16" s="60"/>
      <x:c r="D16" s="60"/>
      <x:c r="E16" s="60"/>
      <x:c r="F16" s="60"/>
      <x:c r="G16" s="60"/>
      <x:c r="H16" s="60"/>
    </x:row>
    <x:row r="17" ht="28" customHeight="1">
      <x:c r="A17" s="60" t="str">
        <x:v>7. 加入现实事件、对方反馈、反例和外部支持；没有现实资料不得写“已经有效”。</x:v>
      </x:c>
      <x:c r="B17" s="60"/>
      <x:c r="C17" s="60"/>
      <x:c r="D17" s="60"/>
      <x:c r="E17" s="60"/>
      <x:c r="F17" s="60"/>
      <x:c r="G17" s="60"/>
      <x:c r="H17" s="60"/>
    </x:row>
    <x:row r="18" ht="28" customHeight="1">
      <x:c r="A18" s="60" t="str">
        <x:v>8. 安全风险优先OS07／OS08，不进入普通双方调节框架。</x:v>
      </x:c>
      <x:c r="B18" s="60"/>
      <x:c r="C18" s="60"/>
      <x:c r="D18" s="60"/>
      <x:c r="E18" s="60"/>
      <x:c r="F18" s="60"/>
      <x:c r="G18" s="60"/>
      <x:c r="H18" s="60"/>
    </x:row>
    <x:row r="19" ht="28" customHeight="1">
      <x:c r="A19" s="60" t="str">
        <x:v>9. 输出正常功能、风险靶点、已有保护、有效层级和验证边界。</x:v>
      </x:c>
      <x:c r="B19" s="60"/>
      <x:c r="C19" s="60"/>
      <x:c r="D19" s="60"/>
      <x:c r="E19" s="60"/>
      <x:c r="F19" s="60"/>
      <x:c r="G19" s="60"/>
      <x:c r="H19" s="60"/>
    </x:row>
    <x:row r="20" ht="28" customHeight="1">
      <x:c r="A20" s="60" t="str">
        <x:v>10. 保护只对匹配靶点降权，不能跨域清零所有风险，也不能替代M5适配判断。</x:v>
      </x:c>
      <x:c r="B20" s="60"/>
      <x:c r="C20" s="60"/>
      <x:c r="D20" s="60"/>
      <x:c r="E20" s="60"/>
      <x:c r="F20" s="60"/>
      <x:c r="G20" s="60"/>
      <x:c r="H20" s="60"/>
    </x:row>
    <x:row r="22">
      <x:c r="A22" s="32" t="str">
        <x:v>工作表导航</x:v>
      </x:c>
      <x:c r="B22" s="32"/>
      <x:c r="C22" s="32"/>
      <x:c r="D22" s="32"/>
      <x:c r="E22" s="32"/>
      <x:c r="F22" s="32"/>
      <x:c r="G22" s="32"/>
      <x:c r="H22" s="32"/>
    </x:row>
    <x:row r="23">
      <x:c r="A23" s="16" t="str">
        <x:v>工作表</x:v>
      </x:c>
      <x:c r="B23" s="16" t="str">
        <x:v>用途</x:v>
      </x:c>
      <x:c r="C23" s="16" t="str">
        <x:v>案例分析时何时查看</x:v>
      </x:c>
    </x:row>
    <x:row r="24">
      <x:c r="A24" s="24" t="str">
        <x:v>01_BF保护因素速查</x:v>
      </x:c>
      <x:c r="B24" s="24" t="str">
        <x:v>BF01—BF08八类保护因素</x:v>
      </x:c>
      <x:c r="C24" s="24" t="str">
        <x:v>先匹配主保护靶点</x:v>
      </x:c>
    </x:row>
    <x:row r="25">
      <x:c r="A25" s="24" t="str">
        <x:v>02_十神保护通道</x:v>
      </x:c>
      <x:c r="B25" s="24" t="str">
        <x:v>十神怎样承担保护功能</x:v>
      </x:c>
      <x:c r="C25" s="24" t="str">
        <x:v>确认资源来源和用户语言</x:v>
      </x:c>
    </x:row>
    <x:row r="26">
      <x:c r="A26" s="24" t="str">
        <x:v>03_保护有效层级</x:v>
      </x:c>
      <x:c r="B26" s="24" t="str">
        <x:v>BL0—BL7</x:v>
      </x:c>
      <x:c r="C26" s="24" t="str">
        <x:v>决定发布强度</x:v>
      </x:c>
    </x:row>
    <x:row r="27">
      <x:c r="A27" s="24" t="str">
        <x:v>04_伪保护识别</x:v>
      </x:c>
      <x:c r="B27" s="24" t="str">
        <x:v>PB01—PB08</x:v>
      </x:c>
      <x:c r="C27" s="24" t="str">
        <x:v>防止把表面缓解当成真实保护</x:v>
      </x:c>
    </x:row>
    <x:row r="28">
      <x:c r="A28" s="24" t="str">
        <x:v>05_病药功能矩阵</x:v>
      </x:c>
      <x:c r="B28" s="24" t="str">
        <x:v>DY01—DY08</x:v>
      </x:c>
      <x:c r="C28" s="24" t="str">
        <x:v>把“病药”写成功能而非五行标签</x:v>
      </x:c>
    </x:row>
    <x:row r="29">
      <x:c r="A29" s="24" t="str">
        <x:v>06_K机制缓冲路由</x:v>
      </x:c>
      <x:c r="B29" s="24" t="str">
        <x:v>K01—K08</x:v>
      </x:c>
      <x:c r="C29" s="24" t="str">
        <x:v>从主失衡机制找主保护</x:v>
      </x:c>
    </x:row>
    <x:row r="30">
      <x:c r="A30" s="24" t="str">
        <x:v>07_LOOP循环退出路由</x:v>
      </x:c>
      <x:c r="B30" s="24" t="str">
        <x:v>LP01—LP12</x:v>
      </x:c>
      <x:c r="C30" s="24" t="str">
        <x:v>分析重复循环的退出条件</x:v>
      </x:c>
    </x:row>
    <x:row r="31">
      <x:c r="A31" s="24" t="str">
        <x:v>08_REPAIR修复回流接口</x:v>
      </x:c>
      <x:c r="B31" s="24" t="str">
        <x:v>RN／RB接口</x:v>
      </x:c>
      <x:c r="C31" s="24" t="str">
        <x:v>判断修复链缺哪一步</x:v>
      </x:c>
    </x:row>
    <x:row r="32">
      <x:c r="A32" s="24" t="str">
        <x:v>09_外部支持与现实证据</x:v>
      </x:c>
      <x:c r="B32" s="24" t="str">
        <x:v>OS01—OS08</x:v>
      </x:c>
      <x:c r="C32" s="24" t="str">
        <x:v>加入反例、伴侣反馈和现实支持</x:v>
      </x:c>
    </x:row>
    <x:row r="33">
      <x:c r="A33" s="24" t="str">
        <x:v>10_状态修正矩阵</x:v>
      </x:c>
      <x:c r="B33" s="24" t="str">
        <x:v>SM01—SM16</x:v>
      </x:c>
      <x:c r="C33" s="24" t="str">
        <x:v>修正可见度、持续性、位置和阶段</x:v>
      </x:c>
    </x:row>
    <x:row r="34">
      <x:c r="A34" s="24" t="str">
        <x:v>11_接口去重与停止</x:v>
      </x:c>
      <x:c r="B34" s="24" t="str">
        <x:v>跨模块与安全门控</x:v>
      </x:c>
      <x:c r="C34" s="24" t="str">
        <x:v>输出前检查</x:v>
      </x:c>
    </x:row>
    <x:row r="35">
      <x:c r="A35" s="24" t="str">
        <x:v>12_证据等级与评分</x:v>
      </x:c>
      <x:c r="B35" s="24" t="str">
        <x:v>暂定工程参数</x:v>
      </x:c>
      <x:c r="C35" s="24" t="str">
        <x:v>确定主次和BL层级</x:v>
      </x:c>
    </x:row>
    <x:row r="36">
      <x:c r="A36" s="24" t="str">
        <x:v>13_原子规则</x:v>
      </x:c>
      <x:c r="B36" s="24" t="str">
        <x:v>520条正式真源</x:v>
      </x:c>
      <x:c r="C36" s="24" t="str">
        <x:v>精确筛选规则</x:v>
      </x:c>
    </x:row>
    <x:row r="37">
      <x:c r="A37" s="24" t="str">
        <x:v>14_门控与停止</x:v>
      </x:c>
      <x:c r="B37" s="24" t="str">
        <x:v>高优先级边界</x:v>
      </x:c>
      <x:c r="C37" s="24" t="str">
        <x:v>快速排除越界断语</x:v>
      </x:c>
    </x:row>
    <x:row r="38">
      <x:c r="A38" s="24" t="str">
        <x:v>15_输出模板与句库</x:v>
      </x:c>
      <x:c r="B38" s="24" t="str">
        <x:v>用户文案</x:v>
      </x:c>
      <x:c r="C38" s="24" t="str">
        <x:v>直接生成案例输出</x:v>
      </x:c>
    </x:row>
    <x:row r="39">
      <x:c r="A39" s="24" t="str">
        <x:v>16_案例验证</x:v>
      </x:c>
      <x:c r="B39" s="24" t="str">
        <x:v>真实案例记录</x:v>
      </x:c>
      <x:c r="C39" s="24" t="str">
        <x:v>后续校准</x:v>
      </x:c>
    </x:row>
    <x:row r="40">
      <x:c r="A40" s="24" t="str">
        <x:v>17_字段词典</x:v>
      </x:c>
      <x:c r="B40" s="24" t="str">
        <x:v>31个字段</x:v>
      </x:c>
      <x:c r="C40" s="24" t="str">
        <x:v>开发与维护</x:v>
      </x:c>
    </x:row>
    <x:row r="41">
      <x:c r="A41" s="24" t="str">
        <x:v>18_版本与验证</x:v>
      </x:c>
      <x:c r="B41" s="24" t="str">
        <x:v>统计与发布检查</x:v>
      </x:c>
      <x:c r="C41" s="24" t="str">
        <x:v>版本管理</x:v>
      </x:c>
    </x:row>
  </x:sheetData>
  <x:mergeCells>
    <x:mergeCell ref="A1:H1"/>
    <x:mergeCell ref="A10:H10"/>
    <x:mergeCell ref="A11:H11"/>
    <x:mergeCell ref="A12:H12"/>
    <x:mergeCell ref="A13:H13"/>
    <x:mergeCell ref="A14:H14"/>
    <x:mergeCell ref="A15:H15"/>
    <x:mergeCell ref="A16:H16"/>
    <x:mergeCell ref="A17:H17"/>
    <x:mergeCell ref="A18:H18"/>
    <x:mergeCell ref="A19:H19"/>
    <x:mergeCell ref="A20:H20"/>
    <x:mergeCell ref="A22:H2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2" hidden="0" customWidth="1"/>
    <x:col min="3" max="3" width="34" hidden="0" customWidth="1"/>
    <x:col min="4" max="4" width="46" hidden="0" customWidth="1"/>
    <x:col min="5" max="5" width="38" hidden="0" customWidth="1"/>
    <x:col min="6" max="6" width="42" hidden="0" customWidth="1"/>
    <x:col min="7" max="7" width="46" hidden="0" customWidth="1"/>
  </x:cols>
  <x:sheetData>
    <x:row r="1">
      <x:c r="A1" s="6" t="str">
        <x:v>BF01—BF08 调节与保护因素速查</x:v>
      </x:c>
      <x:c r="B1" s="6"/>
      <x:c r="C1" s="6"/>
      <x:c r="D1" s="6"/>
      <x:c r="E1" s="6"/>
      <x:c r="F1" s="6"/>
      <x:c r="G1" s="6"/>
    </x:row>
    <x:row r="3">
      <x:c r="A3" s="16" t="str">
        <x:v>编号</x:v>
      </x:c>
      <x:c r="B3" s="16" t="str">
        <x:v>保护因素</x:v>
      </x:c>
      <x:c r="C3" s="16" t="str">
        <x:v>主要靶点</x:v>
      </x:c>
      <x:c r="D3" s="16" t="str">
        <x:v>结构成立条件</x:v>
      </x:c>
      <x:c r="E3" s="16" t="str">
        <x:v>现实有效标志</x:v>
      </x:c>
      <x:c r="F3" s="16" t="str">
        <x:v>失效／伪保护</x:v>
      </x:c>
      <x:c r="G3" s="16" t="str">
        <x:v>用户解释</x:v>
      </x:c>
    </x:row>
    <x:row r="4">
      <x:c r="A4" s="24" t="str">
        <x:v>BF01</x:v>
      </x:c>
      <x:c r="B4" s="24" t="str">
        <x:v>有效制化</x:v>
      </x:c>
      <x:c r="C4" s="24" t="str">
        <x:v>限制过用、强而无制、双通道争主或高压占位</x:v>
      </x:c>
      <x:c r="D4" s="24" t="str">
        <x:v>存在与主失衡功能不同来源、强度适配、能够进入同一关系任务的制约或转化功能。</x:v>
      </x:c>
      <x:c r="E4" s="24" t="str">
        <x:v>在事件中改变顺序、反馈、边界或修复，并可被重复观察。</x:v>
      </x:c>
      <x:c r="F4" s="24" t="str">
        <x:v>制化功能弱远、受损、只存在标签，或制约本身造成新的僵化与替代。</x:v>
      </x:c>
      <x:c r="G4" s="24" t="str">
        <x:v>当熟悉的处理方式启动过快时，另一项功能有机会把它拉回更可协商、可调整的范围。</x:v>
      </x:c>
    </x:row>
    <x:row r="5">
      <x:c r="A5" s="24" t="str">
        <x:v>BF02</x:v>
      </x:c>
      <x:c r="B5" s="24" t="str">
        <x:v>跨系统通关</x:v>
      </x:c>
      <x:c r="C5" s="24" t="str">
        <x:v>修复功能转换受阻、顺序错位与单通道替代</x:v>
      </x:c>
      <x:c r="D5" s="24" t="str">
        <x:v>起点、桥梁和目标功能均有效，桥梁具有独立来源，并能解释现实中的转换顺序。</x:v>
      </x:c>
      <x:c r="E5" s="24" t="str">
        <x:v>在事件中改变顺序、反馈、边界或修复，并可被重复观察。</x:v>
      </x:c>
      <x:c r="F5" s="24" t="str">
        <x:v>只见五行相生或中间十神，却缺少目标功能、现实行为或路径证据。</x:v>
      </x:c>
      <x:c r="G5" s="24" t="str">
        <x:v>你并非缺少第一步，关键是能否借助中间功能，把理解转成边界、表达转成落实或责任转成安全。</x:v>
      </x:c>
    </x:row>
    <x:row r="6">
      <x:c r="A6" s="24" t="str">
        <x:v>BF03</x:v>
      </x:c>
      <x:c r="B6" s="24" t="str">
        <x:v>独立边界支持</x:v>
      </x:c>
      <x:c r="C6" s="24" t="str">
        <x:v>限制越权、机械对等、亲密撤回、规则反弹与单方承担</x:v>
      </x:c>
      <x:c r="D6" s="24" t="str">
        <x:v>比劫、食伤或规则功能能够清楚表达选择权、参与权、停止线和重新协商条件。</x:v>
      </x:c>
      <x:c r="E6" s="24" t="str">
        <x:v>在事件中改变顺序、反馈、边界或修复，并可被重复观察。</x:v>
      </x:c>
      <x:c r="F6" s="24" t="str">
        <x:v>边界只有口头标签、没有执行，或边界被用于惩罚、隔离与完全拒绝反馈。</x:v>
      </x:c>
      <x:c r="G6" s="24" t="str">
        <x:v>当关系推进、投入或照顾增加时，清楚的参与权和停止线能帮助你保留选择，而不是被节奏带着走。</x:v>
      </x:c>
    </x:row>
    <x:row r="7">
      <x:c r="A7" s="24" t="str">
        <x:v>BF04</x:v>
      </x:c>
      <x:c r="B7" s="24" t="str">
        <x:v>倾听与内部复核</x:v>
      </x:c>
      <x:c r="C7" s="24" t="str">
        <x:v>限制解释升级、行动替代感受、误读反馈和承接不足</x:v>
      </x:c>
      <x:c r="D7" s="24" t="str">
        <x:v>能够暂停熟悉反应，获取对方实际影响、复述理解，并重新检查自己的判断。</x:v>
      </x:c>
      <x:c r="E7" s="24" t="str">
        <x:v>在事件中改变顺序、反馈、边界或修复，并可被重复观察。</x:v>
      </x:c>
      <x:c r="F7" s="24" t="str">
        <x:v>“理解”只停留在自我推理，未接收对方反馈，或长期承接却没有边界与现实改变。</x:v>
      </x:c>
      <x:c r="G7" s="24" t="str">
        <x:v>在继续解释、推进或定规则前，先确认对方实际接收到什么，会明显降低误判和反应加码。</x:v>
      </x:c>
    </x:row>
    <x:row r="8">
      <x:c r="A8" s="24" t="str">
        <x:v>BF05</x:v>
      </x:c>
      <x:c r="B8" s="24" t="str">
        <x:v>表达与反馈通道</x:v>
      </x:c>
      <x:c r="C8" s="24" t="str">
        <x:v>补足需求、边界、影响和理解核对，纠正沉默、替代和顺序错位</x:v>
      </x:c>
      <x:c r="D8" s="24" t="str">
        <x:v>需求、事实、边界和反馈能够被清楚说出，并有对方回应与二次确认。</x:v>
      </x:c>
      <x:c r="E8" s="24" t="str">
        <x:v>在事件中改变顺序、反馈、边界或修复，并可被重复观察。</x:v>
      </x:c>
      <x:c r="F8" s="24" t="str">
        <x:v>只有单向表达、长篇解释或即时情绪输出，没有核对理解和接收反馈。</x:v>
      </x:c>
      <x:c r="G8" s="24" t="str">
        <x:v>真正有保护作用的沟通，不只是把话说出来，而是双方能确认彼此听到了什么、接下来怎样调整。</x:v>
      </x:c>
    </x:row>
    <x:row r="9">
      <x:c r="A9" s="24" t="str">
        <x:v>BF06</x:v>
      </x:c>
      <x:c r="B9" s="24" t="str">
        <x:v>现实兑现与重复行为</x:v>
      </x:c>
      <x:c r="C9" s="24" t="str">
        <x:v>纠正标签替代、单次高光、投入替代承诺和修复行动不持续</x:v>
      </x:c>
      <x:c r="D9" s="24" t="str">
        <x:v>承诺、边界、补救或新方案被转成可观察行为，并在相似情境中重复。</x:v>
      </x:c>
      <x:c r="E9" s="24" t="str">
        <x:v>在事件中改变顺序、反馈、边界或修复，并可被重复观察。</x:v>
      </x:c>
      <x:c r="F9" s="24" t="str">
        <x:v>只有表态、一次行动、礼物、补偿或短期改善，没有持续和跨情境证据。</x:v>
      </x:c>
      <x:c r="G9" s="24" t="str">
        <x:v>能否持续做到，比一次说得好或做得多更能说明这项改变是否真的在保护关系。</x:v>
      </x:c>
    </x:row>
    <x:row r="10">
      <x:c r="A10" s="24" t="str">
        <x:v>BF07</x:v>
      </x:c>
      <x:c r="B10" s="24" t="str">
        <x:v>完整修复回流</x:v>
      </x:c>
      <x:c r="C10" s="24" t="str">
        <x:v>中断修复断链、问题结案替代关系修复与循环复发</x:v>
      </x:c>
      <x:c r="D10" s="24" t="str">
        <x:v>至少完成影响确认、责任、边界／需要、行动调整、接收反馈和后续回访中的必要节点。</x:v>
      </x:c>
      <x:c r="E10" s="24" t="str">
        <x:v>在事件中改变顺序、反馈、边界或修复，并可被重复观察。</x:v>
      </x:c>
      <x:c r="F10" s="24" t="str">
        <x:v>只完成道歉、安抚、补偿、方案或短期和好中的一项。</x:v>
      </x:c>
      <x:c r="G10" s="24" t="str">
        <x:v>真正的修复不仅要让事情停下来，还要确认影响、调整做法、接收反馈，并看改变能否持续。</x:v>
      </x:c>
    </x:row>
    <x:row r="11">
      <x:c r="A11" s="24" t="str">
        <x:v>BF08</x:v>
      </x:c>
      <x:c r="B11" s="24" t="str">
        <x:v>状态分工与现实支持</x:v>
      </x:c>
      <x:c r="C11" s="24" t="str">
        <x:v>区分平稳、压力、恢复状态，降低高压占位和单一功能垄断</x:v>
      </x:c>
      <x:c r="D11" s="24" t="str">
        <x:v>能够识别当前状态、调整任务顺序，并在需要时调用伴侣协作、亲友、专业或安全资源。</x:v>
      </x:c>
      <x:c r="E11" s="24" t="str">
        <x:v>在事件中改变顺序、反馈、边界或修复，并可被重复观察。</x:v>
      </x:c>
      <x:c r="F11" s="24" t="str">
        <x:v>把高压反应当成固定人格，或只凭命盘假定现实支持一定存在。</x:v>
      </x:c>
      <x:c r="G11" s="24" t="str">
        <x:v>知道自己现在处于平稳、初压还是高压，并在需要时借助现实支持，能减少一种反应长期占据全部关系任务。</x:v>
      </x:c>
    </x:row>
  </x:sheetData>
  <x:mergeCells>
    <x:mergeCell ref="A1:G1"/>
  </x:mergeCells>
  <x:pageMargins left="0.7" right="0.7" top="0.75" bottom="0.75" header="0.3" footer="0.3"/>
  <x:tableParts count="1">
    <x:tablePart xmlns:r="http://schemas.openxmlformats.org/officeDocument/2006/relationships" r:id="R907a9b7dd21f4c9f"/>
  </x:tableParts>
</x:worksheet>
</file>

<file path=xl/worksheets/sheet3.xml><?xml version="1.0" encoding="utf-8"?>
<x:worksheet xmlns:x="http://schemas.openxmlformats.org/spreadsheetml/2006/main">
  <x:sheetFormatPr defaultRowHeight="15"/>
  <x:cols>
    <x:col min="1" max="1" width="10" hidden="0" customWidth="1"/>
    <x:col min="2" max="2" width="26" hidden="0" customWidth="1"/>
    <x:col min="3" max="3" width="42" hidden="0" customWidth="1"/>
    <x:col min="4" max="4" width="20" hidden="0" customWidth="1"/>
    <x:col min="5" max="5" width="34" hidden="0" customWidth="1"/>
    <x:col min="6" max="6" width="42" hidden="0" customWidth="1"/>
    <x:col min="7" max="7" width="40" hidden="0" customWidth="1"/>
    <x:col min="8" max="8" width="46" hidden="0" customWidth="1"/>
  </x:cols>
  <x:sheetData>
    <x:row r="1">
      <x:c r="A1" s="6" t="str">
        <x:v>十神保护功能速查</x:v>
      </x:c>
      <x:c r="B1" s="6"/>
      <x:c r="C1" s="6"/>
      <x:c r="D1" s="6"/>
      <x:c r="E1" s="6"/>
      <x:c r="F1" s="6"/>
      <x:c r="G1" s="6"/>
      <x:c r="H1" s="6"/>
    </x:row>
    <x:row r="3">
      <x:c r="A3" s="16" t="str">
        <x:v>十神</x:v>
      </x:c>
      <x:c r="B3" s="16" t="str">
        <x:v>保护通道</x:v>
      </x:c>
      <x:c r="C3" s="16" t="str">
        <x:v>正常保护功能</x:v>
      </x:c>
      <x:c r="D3" s="16" t="str">
        <x:v>主要BF</x:v>
      </x:c>
      <x:c r="E3" s="16" t="str">
        <x:v>主要风险靶点</x:v>
      </x:c>
      <x:c r="F3" s="16" t="str">
        <x:v>有效成立条件</x:v>
      </x:c>
      <x:c r="G3" s="16" t="str">
        <x:v>常见失效</x:v>
      </x:c>
      <x:c r="H3" s="16" t="str">
        <x:v>用户解释</x:v>
      </x:c>
    </x:row>
    <x:row r="4">
      <x:c r="A4" s="24" t="str">
        <x:v>比肩</x:v>
      </x:c>
      <x:c r="B4" s="24" t="str">
        <x:v>平等边界与自我复核</x:v>
      </x:c>
      <x:c r="C4" s="24" t="str">
        <x:v>帮助用户区分自己的立场、对方的立场和共同决定范围，保留自主同时允许协商。</x:v>
      </x:c>
      <x:c r="D4" s="24" t="str">
        <x:v>BF03／BF05</x:v>
      </x:c>
      <x:c r="E4" s="24" t="str">
        <x:v>K01过用、K05竞争、LP08平等竞争、RB07规则等同协商</x:v>
      </x:c>
      <x:c r="F4" s="24" t="str">
        <x:v>比肩功能有独立来源、能够进入亲密关系核心，并在现实中表现为清楚边界、分工和共同决定。</x:v>
      </x:c>
      <x:c r="G4" s="24" t="str">
        <x:v>只强调“公平”“各管各的”，却缺少合作、反馈或责任分工。</x:v>
      </x:c>
      <x:c r="H4" s="24" t="str">
        <x:v>你已有的保护资源之一，是在关系里把自己的选择和共同决定分开说清，从而减少一方替另一方作主。</x:v>
      </x:c>
    </x:row>
    <x:row r="5">
      <x:c r="A5" s="24" t="str">
        <x:v>劫财</x:v>
      </x:c>
      <x:c r="B5" s="24" t="str">
        <x:v>即时协作与资源动员</x:v>
      </x:c>
      <x:c r="C5" s="24" t="str">
        <x:v>在压力或任务出现时快速调动人力、信息与行动，让问题不只由一人承担。</x:v>
      </x:c>
      <x:c r="D5" s="24" t="str">
        <x:v>BF06／BF08</x:v>
      </x:c>
      <x:c r="E5" s="24" t="str">
        <x:v>K02功能不足、K04顺序错位、TR04现实压力、RN06补救行动</x:v>
      </x:c>
      <x:c r="F5" s="24" t="str">
        <x:v>劫财功能有边界、有分工，并能在行动后回到反馈和责任。</x:v>
      </x:c>
      <x:c r="G5" s="24" t="str">
        <x:v>即时介入变成抢位、资源边界不清或行动结束后没有回访。</x:v>
      </x:c>
      <x:c r="H5" s="24" t="str">
        <x:v>你能够通过快速协作和调动资源分担压力；真正有保护作用的是行动同时保留分工和后续反馈。</x:v>
      </x:c>
    </x:row>
    <x:row r="6">
      <x:c r="A6" s="24" t="str">
        <x:v>食神</x:v>
      </x:c>
      <x:c r="B6" s="24" t="str">
        <x:v>降温、舒缓与可接近性</x:v>
      </x:c>
      <x:c r="C6" s="24" t="str">
        <x:v>降低关系强度，恢复基本安全和可沟通状态，为后续关键议题处理创造条件。</x:v>
      </x:c>
      <x:c r="D6" s="24" t="str">
        <x:v>BF04／BF07／BF08</x:v>
      </x:c>
      <x:c r="E6" s="24" t="str">
        <x:v>K01过用、K04顺序错位、LP03和谐延后、RN01安全与RN03影响确认</x:v>
      </x:c>
      <x:c r="F6" s="24" t="str">
        <x:v>食神功能用于阶段性降温，之后有明确回访、议题重开和现实处理。</x:v>
      </x:c>
      <x:c r="G6" s="24" t="str">
        <x:v>只恢复舒服氛围，却长期不回到关键问题。</x:v>
      </x:c>
      <x:c r="H6" s="24" t="str">
        <x:v>你有能力先把关系拉回可沟通状态；关键是降温之后要重新进入问题本身，而不是让舒服替代处理。</x:v>
      </x:c>
    </x:row>
    <x:row r="7">
      <x:c r="A7" s="24" t="str">
        <x:v>伤官</x:v>
      </x:c>
      <x:c r="B7" s="24" t="str">
        <x:v>问题命名、表达与反馈核对</x:v>
      </x:c>
      <x:c r="C7" s="24" t="str">
        <x:v>把事实、影响、需求和边界说明清楚，质疑错误假设，并核对双方理解。</x:v>
      </x:c>
      <x:c r="D7" s="24" t="str">
        <x:v>BF05／BF02</x:v>
      </x:c>
      <x:c r="E7" s="24" t="str">
        <x:v>K02功能不足、K03替代、K06转换受阻、LP02解释升级</x:v>
      </x:c>
      <x:c r="F7" s="24" t="str">
        <x:v>表达包含提问、复述和二次确认，不只是增加信息量。</x:v>
      </x:c>
      <x:c r="G7" s="24" t="str">
        <x:v>长篇解释、反复证明或只输出观点，没有接收对方反馈。</x:v>
      </x:c>
      <x:c r="H7" s="24" t="str">
        <x:v>你可以通过清楚命名问题和核对理解保护关系；有效点不在说得更多，而在双方能确认真正听懂了什么。</x:v>
      </x:c>
    </x:row>
    <x:row r="8">
      <x:c r="A8" s="24" t="str">
        <x:v>正财</x:v>
      </x:c>
      <x:c r="B8" s="24" t="str">
        <x:v>持续落实与资源边界</x:v>
      </x:c>
      <x:c r="C8" s="24" t="str">
        <x:v>把承诺、边界和修复方案转成稳定安排、时间资源与重复行为。</x:v>
      </x:c>
      <x:c r="D8" s="24" t="str">
        <x:v>BF06／BF03</x:v>
      </x:c>
      <x:c r="E8" s="24" t="str">
        <x:v>K06转换受阻、J06初期表现、LP06投入记账、RN06／RN08</x:v>
      </x:c>
      <x:c r="F8" s="24" t="str">
        <x:v>有可执行安排、持续记录和现实回馈，同时资源分工清楚。</x:v>
      </x:c>
      <x:c r="G8" s="24" t="str">
        <x:v>只靠投入量证明关系，或付出增加但需求与回馈没有谈清。</x:v>
      </x:c>
      <x:c r="H8" s="24" t="str">
        <x:v>你能把关系里的共识落到持续安排上；真正的保护来自可重复兑现，而不是单纯做得更多。</x:v>
      </x:c>
    </x:row>
    <x:row r="9">
      <x:c r="A9" s="24" t="str">
        <x:v>偏财</x:v>
      </x:c>
      <x:c r="B9" s="24" t="str">
        <x:v>替代方案与灵活资源</x:v>
      </x:c>
      <x:c r="C9" s="24" t="str">
        <x:v>在原方案卡住时寻找更灵活的路径、环境调整、人脉和现实支持。</x:v>
      </x:c>
      <x:c r="D9" s="24" t="str">
        <x:v>BF02／BF08</x:v>
      </x:c>
      <x:c r="E9" s="24" t="str">
        <x:v>K04顺序错位、K05竞争、TR04现实压力、LP10新鲜落地</x:v>
      </x:c>
      <x:c r="F9" s="24" t="str">
        <x:v>替代方案仍服务于核心门槛，并能转成持续安排。</x:v>
      </x:c>
      <x:c r="G9" s="24" t="str">
        <x:v>不断换场景、换方法或追求新鲜，却没有落地和复盘。</x:v>
      </x:c>
      <x:c r="H9" s="24" t="str">
        <x:v>你有能力在僵局中找到替代路径；有效的关键是新方案最终能回到稳定执行，而不是只换一种体验。</x:v>
      </x:c>
    </x:row>
    <x:row r="10">
      <x:c r="A10" s="24" t="str">
        <x:v>正官</x:v>
      </x:c>
      <x:c r="B10" s="24" t="str">
        <x:v>责任、规则与最小标准</x:v>
      </x:c>
      <x:c r="C10" s="24" t="str">
        <x:v>明确责任、共同规则、最低可执行标准和持续守约要求。</x:v>
      </x:c>
      <x:c r="D10" s="24" t="str">
        <x:v>BF01／BF06／BF03</x:v>
      </x:c>
      <x:c r="E10" s="24" t="str">
        <x:v>K01过用、K02不足、LP09规则反弹、RI02承诺失约</x:v>
      </x:c>
      <x:c r="F10" s="24" t="str">
        <x:v>规则由双方参与制定，责任有现实执行和反馈。</x:v>
      </x:c>
      <x:c r="G10" s="24" t="str">
        <x:v>规则只由一方制定、只强调身份，或规则越多反馈越少。</x:v>
      </x:c>
      <x:c r="H10" s="24" t="str">
        <x:v>你可以通过清楚的责任和最低可执行规则减少混乱；真正有效的是共同制定并持续兑现。</x:v>
      </x:c>
    </x:row>
    <x:row r="11">
      <x:c r="A11" s="24" t="str">
        <x:v>七杀</x:v>
      </x:c>
      <x:c r="B11" s="24" t="str">
        <x:v>止损、安全与关键行动</x:v>
      </x:c>
      <x:c r="C11" s="24" t="str">
        <x:v>在高压或安全风险中快速停止扩大、保护选择权并推动必要行动。</x:v>
      </x:c>
      <x:c r="D11" s="24" t="str">
        <x:v>BF01／BF08</x:v>
      </x:c>
      <x:c r="E11" s="24" t="str">
        <x:v>TR08高压、RN01停止伤害、RI05越界、RI08安全事件</x:v>
      </x:c>
      <x:c r="F11" s="24" t="str">
        <x:v>行动目标清楚、范围有限，并在危机后回到协商、反馈和责任。</x:v>
      </x:c>
      <x:c r="G11" s="24" t="str">
        <x:v>快速处置越过当事人选择，或高压行动长期成为唯一处理方式。</x:v>
      </x:c>
      <x:c r="H11" s="24" t="str">
        <x:v>你在关键时刻具备快速止损和保护的能力；保护成立的前提是行动有边界，并在事后恢复协商和选择权。</x:v>
      </x:c>
    </x:row>
    <x:row r="12">
      <x:c r="A12" s="24" t="str">
        <x:v>正印</x:v>
      </x:c>
      <x:c r="B12" s="24" t="str">
        <x:v>倾听、影响确认与安全恢复</x:v>
      </x:c>
      <x:c r="C12" s="24" t="str">
        <x:v>接收对方感受和背景，确认事件影响，恢复基本安全与开放。</x:v>
      </x:c>
      <x:c r="D12" s="24" t="str">
        <x:v>BF04／BF07</x:v>
      </x:c>
      <x:c r="E12" s="24" t="str">
        <x:v>K03替代、K07反馈放大、LP04解决替代、RN03／RN07</x:v>
      </x:c>
      <x:c r="F12" s="24" t="str">
        <x:v>倾听后能够复述理解，并把影响转成责任、边界或现实调整。</x:v>
      </x:c>
      <x:c r="G12" s="24" t="str">
        <x:v>理解很多但没有改变，或长期承接使自己的边界消失。</x:v>
      </x:c>
      <x:c r="H12" s="24" t="str">
        <x:v>你有能力通过倾听和确认影响让关系重新变得可接近；真正有效的是理解之后能进入改变和反馈。</x:v>
      </x:c>
    </x:row>
    <x:row r="13">
      <x:c r="A13" s="24" t="str">
        <x:v>偏印</x:v>
      </x:c>
      <x:c r="B13" s="24" t="str">
        <x:v>模式识别、内部复盘与个性化方案</x:v>
      </x:c>
      <x:c r="C13" s="24" t="str">
        <x:v>识别重复模式、区分状态与情境，并选择更适合当前问题的处理方法。</x:v>
      </x:c>
      <x:c r="D13" s="24" t="str">
        <x:v>BF04／BF02／BF08</x:v>
      </x:c>
      <x:c r="E13" s="24" t="str">
        <x:v>K06转换受阻、K07反馈放大、LP11暂停断链、RF07复发未复盘</x:v>
      </x:c>
      <x:c r="F13" s="24" t="str">
        <x:v>内部整理有明确时限和输出，能转成可沟通方案或专业支持。</x:v>
      </x:c>
      <x:c r="G13" s="24" t="str">
        <x:v>长期独自分析、不断换理论，却没有回到关系互动和现实行动。</x:v>
      </x:c>
      <x:c r="H13" s="24" t="str">
        <x:v>你能通过复盘和模式识别找到更有针对性的处理方式；保护作用来自整理后重新进入沟通和行动。</x:v>
      </x:c>
    </x:row>
  </x:sheetData>
  <x:mergeCells>
    <x:mergeCell ref="A1:H1"/>
  </x:mergeCells>
  <x:pageMargins left="0.7" right="0.7" top="0.75" bottom="0.75" header="0.3" footer="0.3"/>
  <x:tableParts count="1">
    <x:tablePart xmlns:r="http://schemas.openxmlformats.org/officeDocument/2006/relationships" r:id="R3dae331eb20e47f5"/>
  </x:tableParts>
</x:worksheet>
</file>

<file path=xl/worksheets/sheet4.xml><?xml version="1.0" encoding="utf-8"?>
<x:worksheet xmlns:x="http://schemas.openxmlformats.org/spreadsheetml/2006/main">
  <x:sheetFormatPr defaultRowHeight="15"/>
  <x:cols>
    <x:col min="1" max="1" width="10" hidden="0" customWidth="1"/>
    <x:col min="2" max="2" width="24" hidden="0" customWidth="1"/>
    <x:col min="3" max="3" width="46" hidden="0" customWidth="1"/>
    <x:col min="4" max="4" width="42" hidden="0" customWidth="1"/>
    <x:col min="5" max="5" width="40" hidden="0" customWidth="1"/>
    <x:col min="6" max="6" width="42" hidden="0" customWidth="1"/>
    <x:col min="7" max="7" width="46" hidden="0" customWidth="1"/>
  </x:cols>
  <x:sheetData>
    <x:row r="1">
      <x:c r="A1" s="6" t="str">
        <x:v>BL0—BL7 保护有效层级</x:v>
      </x:c>
      <x:c r="B1" s="6"/>
      <x:c r="C1" s="6"/>
      <x:c r="D1" s="6"/>
      <x:c r="E1" s="6"/>
      <x:c r="F1" s="6"/>
      <x:c r="G1" s="6"/>
    </x:row>
    <x:row r="3">
      <x:c r="A3" s="16" t="str">
        <x:v>代码</x:v>
      </x:c>
      <x:c r="B3" s="16" t="str">
        <x:v>层级</x:v>
      </x:c>
      <x:c r="C3" s="16" t="str">
        <x:v>证据定义</x:v>
      </x:c>
      <x:c r="D3" s="16" t="str">
        <x:v>发布上限</x:v>
      </x:c>
      <x:c r="E3" s="16" t="str">
        <x:v>升级条件</x:v>
      </x:c>
      <x:c r="F3" s="16" t="str">
        <x:v>降级／停止条件</x:v>
      </x:c>
      <x:c r="G3" s="16" t="str">
        <x:v>用户语言</x:v>
      </x:c>
    </x:row>
    <x:row r="4">
      <x:c r="A4" s="46" t="str">
        <x:v>BL0</x:v>
      </x:c>
      <x:c r="B4" s="46" t="str">
        <x:v>无有效资料／停止</x:v>
      </x:c>
      <x:c r="C4" s="46" t="str">
        <x:v>没有可用结构或现实资料，或存在安全停止、合化争议和关键字段冲突。</x:v>
      </x:c>
      <x:c r="D4" s="46" t="str">
        <x:v>不发布保护结论，只说明缺失项或停止原因。</x:v>
      </x:c>
      <x:c r="E4" s="46" t="str">
        <x:v>补齐结构状态、现实事件、反馈或安全信息。</x:v>
      </x:c>
      <x:c r="F4" s="46" t="str">
        <x:v>任何单一十神、喜用神或自述均不能越过停止门控。</x:v>
      </x:c>
      <x:c r="G4" s="46" t="str">
        <x:v>当前资料还不足以判断哪些资源真正有效。</x:v>
      </x:c>
    </x:row>
    <x:row r="5">
      <x:c r="A5" s="46" t="str">
        <x:v>BL1</x:v>
      </x:c>
      <x:c r="B5" s="46" t="str">
        <x:v>标签资源</x:v>
      </x:c>
      <x:c r="C5" s="46" t="str">
        <x:v>只有十神、五行、喜忌、制化标签或用户自我认知。</x:v>
      </x:c>
      <x:c r="D5" s="46" t="str">
        <x:v>最多写“存在潜在方向”，不得减弱风险等级。</x:v>
      </x:c>
      <x:c r="E5" s="46" t="str">
        <x:v>增加独立结构状态和具体功能靶点。</x:v>
      </x:c>
      <x:c r="F5" s="46" t="str">
        <x:v>若现实反例明确，则回到BL0。</x:v>
      </x:c>
      <x:c r="G5" s="46" t="str">
        <x:v>目前只能看到一种可能的调节方向，还不能确认它能在关系中发挥。</x:v>
      </x:c>
    </x:row>
    <x:row r="6">
      <x:c r="A6" s="48" t="str">
        <x:v>BL2</x:v>
      </x:c>
      <x:c r="B6" s="48" t="str">
        <x:v>结构可用候选</x:v>
      </x:c>
      <x:c r="C6" s="48" t="str">
        <x:v>保护功能有独立来源、根气或位置，且与风险靶点匹配。</x:v>
      </x:c>
      <x:c r="D6" s="48" t="str">
        <x:v>可作为结构保护候选，小幅降低候选分值但不改变E等级。</x:v>
      </x:c>
      <x:c r="E6" s="48" t="str">
        <x:v>加入现实事件中的调用证据。</x:v>
      </x:c>
      <x:c r="F6" s="48" t="str">
        <x:v>同源重复、弱远无助或功能错配时降回BL1。</x:v>
      </x:c>
      <x:c r="G6" s="48" t="str">
        <x:v>结构上具备这项资源，但是否能在关键时刻用出来仍需观察。</x:v>
      </x:c>
    </x:row>
    <x:row r="7">
      <x:c r="A7" s="48" t="str">
        <x:v>BL3</x:v>
      </x:c>
      <x:c r="B7" s="48" t="str">
        <x:v>条件性可调用</x:v>
      </x:c>
      <x:c r="C7" s="48" t="str">
        <x:v>结构资源有效，并在特定触发域、状态或关系条件下有进入路径。</x:v>
      </x:c>
      <x:c r="D7" s="48" t="str">
        <x:v>可形成条件性保护，说明何时有效、何时不一定有效。</x:v>
      </x:c>
      <x:c r="E7" s="48" t="str">
        <x:v>记录一次具体事件中的启动和后续效果。</x:v>
      </x:c>
      <x:c r="F7" s="48" t="str">
        <x:v>条件不满足或高压下失效时不得泛化。</x:v>
      </x:c>
      <x:c r="G7" s="48" t="str">
        <x:v>在某些条件下，你更容易调用这项资源；需要同时说明它的适用场景。</x:v>
      </x:c>
    </x:row>
    <x:row r="8">
      <x:c r="A8" s="50" t="str">
        <x:v>BL4</x:v>
      </x:c>
      <x:c r="B8" s="50" t="str">
        <x:v>单次现实已启动</x:v>
      </x:c>
      <x:c r="C8" s="50" t="str">
        <x:v>至少一个具体事件显示保护功能被调用。</x:v>
      </x:c>
      <x:c r="D8" s="50" t="str">
        <x:v>可写“这次事件中已启动”，但不能写稳定有效。</x:v>
      </x:c>
      <x:c r="E8" s="50" t="str">
        <x:v>确认是否改变顺序、反馈、边界或修复结果。</x:v>
      </x:c>
      <x:c r="F8" s="50" t="str">
        <x:v>只有动作没有效果时仍停留BL4，不升级。</x:v>
      </x:c>
      <x:c r="G8" s="50" t="str">
        <x:v>从这次经历看，你确实用出了这项资源，但还要看它有没有改变后续过程。</x:v>
      </x:c>
    </x:row>
    <x:row r="9">
      <x:c r="A9" s="50" t="str">
        <x:v>BL5</x:v>
      </x:c>
      <x:c r="B9" s="50" t="str">
        <x:v>单次实际有效</x:v>
      </x:c>
      <x:c r="C9" s="50" t="str">
        <x:v>一次事件中保护因素明确改变了风险链。</x:v>
      </x:c>
      <x:c r="D9" s="50" t="str">
        <x:v>可降低该事件的风险结论，并写出具体有效节点。</x:v>
      </x:c>
      <x:c r="E9" s="50" t="str">
        <x:v>在另一相似或不同情境中验证。</x:v>
      </x:c>
      <x:c r="F9" s="50" t="str">
        <x:v>若效果仅来自偶然、对方单方面配合或环境特殊，保持条件化。</x:v>
      </x:c>
      <x:c r="G9" s="50" t="str">
        <x:v>这项方法在这次事件里确实改变了处理顺序或结果，但稳定性仍需继续观察。</x:v>
      </x:c>
    </x:row>
    <x:row r="10">
      <x:c r="A10" s="50" t="str">
        <x:v>BL6</x:v>
      </x:c>
      <x:c r="B10" s="50" t="str">
        <x:v>跨情境稳定有效</x:v>
      </x:c>
      <x:c r="C10" s="50" t="str">
        <x:v>至少两个独立事件或不同情境中重复有效，并有接收方反馈。</x:v>
      </x:c>
      <x:c r="D10" s="50" t="str">
        <x:v>可作为稳定保护，显著降权相应风险候选。</x:v>
      </x:c>
      <x:c r="E10" s="50" t="str">
        <x:v>继续纳入高压、代价情境和复发检验。</x:v>
      </x:c>
      <x:c r="F10" s="50" t="str">
        <x:v>出现稳定无效或反向结果时转为情境化。</x:v>
      </x:c>
      <x:c r="G10" s="50" t="str">
        <x:v>从多次经历看，这项资源能够在不同情境中稳定发挥保护作用。</x:v>
      </x:c>
    </x:row>
    <x:row r="11">
      <x:c r="A11" s="50" t="str">
        <x:v>BL7</x:v>
      </x:c>
      <x:c r="B11" s="50" t="str">
        <x:v>经反例检验的稳定保护</x:v>
      </x:c>
      <x:c r="C11" s="50" t="str">
        <x:v>跨时间、跨情境有效，并已纳入反例、代价和复发审查。</x:v>
      </x:c>
      <x:c r="D11" s="50" t="str">
        <x:v>可停止或重写对应风险候选，但不推断未来绝不会复发。</x:v>
      </x:c>
      <x:c r="E11" s="50" t="str">
        <x:v>持续监测新情境和状态变化。</x:v>
      </x:c>
      <x:c r="F11" s="50" t="str">
        <x:v>现实安全事实或新反例出现时立即重评。</x:v>
      </x:c>
      <x:c r="G11" s="50" t="str">
        <x:v>这项资源目前经得住多种情境和反例检验，能较稳定地减弱对应盲点。</x:v>
      </x:c>
    </x:row>
  </x:sheetData>
  <x:mergeCells>
    <x:mergeCell ref="A1:G1"/>
  </x:mergeCells>
  <x:pageMargins left="0.7" right="0.7" top="0.75" bottom="0.75" header="0.3" footer="0.3"/>
  <x:tableParts count="1">
    <x:tablePart xmlns:r="http://schemas.openxmlformats.org/officeDocument/2006/relationships" r:id="R418a3617a7cf4658"/>
  </x:tableParts>
</x:worksheet>
</file>

<file path=xl/worksheets/sheet5.xml><?xml version="1.0" encoding="utf-8"?>
<x:worksheet xmlns:x="http://schemas.openxmlformats.org/spreadsheetml/2006/main">
  <x:sheetFormatPr defaultRowHeight="15"/>
  <x:cols>
    <x:col min="1" max="1" width="10" hidden="0" customWidth="1"/>
    <x:col min="2" max="2" width="28" hidden="0" customWidth="1"/>
    <x:col min="3" max="3" width="42" hidden="0" customWidth="1"/>
    <x:col min="4" max="4" width="42" hidden="0" customWidth="1"/>
    <x:col min="5" max="5" width="40" hidden="0" customWidth="1"/>
    <x:col min="6" max="6" width="42" hidden="0" customWidth="1"/>
    <x:col min="7" max="7" width="46" hidden="0" customWidth="1"/>
  </x:cols>
  <x:sheetData>
    <x:row r="1">
      <x:c r="A1" s="6" t="str">
        <x:v>PB01—PB08 伪保护识别</x:v>
      </x:c>
      <x:c r="B1" s="6"/>
      <x:c r="C1" s="6"/>
      <x:c r="D1" s="6"/>
      <x:c r="E1" s="6"/>
      <x:c r="F1" s="6"/>
      <x:c r="G1" s="6"/>
    </x:row>
    <x:row r="3">
      <x:c r="A3" s="16" t="str">
        <x:v>编号</x:v>
      </x:c>
      <x:c r="B3" s="16" t="str">
        <x:v>伪保护</x:v>
      </x:c>
      <x:c r="C3" s="16" t="str">
        <x:v>表面表现</x:v>
      </x:c>
      <x:c r="D3" s="16" t="str">
        <x:v>为什么不足</x:v>
      </x:c>
      <x:c r="E3" s="16" t="str">
        <x:v>检查重点</x:v>
      </x:c>
      <x:c r="F3" s="16" t="str">
        <x:v>退出条件</x:v>
      </x:c>
      <x:c r="G3" s="16" t="str">
        <x:v>用户提醒</x:v>
      </x:c>
    </x:row>
    <x:row r="4">
      <x:c r="A4" s="24" t="str">
        <x:v>PB01</x:v>
      </x:c>
      <x:c r="B4" s="24" t="str">
        <x:v>命理标签替代现实调用</x:v>
      </x:c>
      <x:c r="C4" s="24" t="str">
        <x:v>看到喜用神、制化、通关或某十神存在，就认定关系已有保护。</x:v>
      </x:c>
      <x:c r="D4" s="24" t="str">
        <x:v>结构标签没有说明靶点、调用条件、现实行为和效果。</x:v>
      </x:c>
      <x:c r="E4" s="24" t="str">
        <x:v>检查是否有具体K机制靶点、现实启动事件、反馈和持续结果。</x:v>
      </x:c>
      <x:c r="F4" s="24" t="str">
        <x:v>只有当结构资源与现实行为共同改变风险链，才退出伪保护。</x:v>
      </x:c>
      <x:c r="G4" s="24" t="str">
        <x:v>“命里有这项资源”只说明可能性，不能替代现实中是否真正用出来。</x:v>
      </x:c>
    </x:row>
    <x:row r="5">
      <x:c r="A5" s="24" t="str">
        <x:v>PB02</x:v>
      </x:c>
      <x:c r="B5" s="24" t="str">
        <x:v>规则加码替代协商</x:v>
      </x:c>
      <x:c r="C5" s="24" t="str">
        <x:v>遇到混乱就增加规则、要求和边界条款，短期看似更有秩序。</x:v>
      </x:c>
      <x:c r="D5" s="24" t="str">
        <x:v>规则如果没有共同参与、反馈和执行，可能只是把不确定性压下去。</x:v>
      </x:c>
      <x:c r="E5" s="24" t="str">
        <x:v>检查规则是否由双方协商、是否可执行、是否允许反馈和调整。</x:v>
      </x:c>
      <x:c r="F5" s="24" t="str">
        <x:v>最小可执行规则被共同确认，并在后续真实执行。</x:v>
      </x:c>
      <x:c r="G5" s="24" t="str">
        <x:v>更多规则不一定更安全，关键是规则是否共同制定、可以执行并允许调整。</x:v>
      </x:c>
    </x:row>
    <x:row r="6">
      <x:c r="A6" s="24" t="str">
        <x:v>PB03</x:v>
      </x:c>
      <x:c r="B6" s="24" t="str">
        <x:v>解释增加替代反馈</x:v>
      </x:c>
      <x:c r="C6" s="24" t="str">
        <x:v>认为只要说得更完整、更有逻辑，就能避免误解。</x:v>
      </x:c>
      <x:c r="D6" s="24" t="str">
        <x:v>信息增加不等于对方真正接收，也可能压缩倾听和反馈。</x:v>
      </x:c>
      <x:c r="E6" s="24" t="str">
        <x:v>检查是否有复述理解、对方反馈和二次修正。</x:v>
      </x:c>
      <x:c r="F6" s="24" t="str">
        <x:v>表达与接收反馈形成往返，而不是单向输出。</x:v>
      </x:c>
      <x:c r="G6" s="24" t="str">
        <x:v>说得更多不一定等于理解更深，真正的保护来自双方确认听到了什么。</x:v>
      </x:c>
    </x:row>
    <x:row r="7">
      <x:c r="A7" s="24" t="str">
        <x:v>PB04</x:v>
      </x:c>
      <x:c r="B7" s="24" t="str">
        <x:v>投入补偿替代责任与边界</x:v>
      </x:c>
      <x:c r="C7" s="24" t="str">
        <x:v>通过花时间、花钱、做事或照顾来弥补关系问题。</x:v>
      </x:c>
      <x:c r="D7" s="24" t="str">
        <x:v>投入可能绕开责任、需求、边界或持续改变。</x:v>
      </x:c>
      <x:c r="E7" s="24" t="str">
        <x:v>检查付出是否对应具体影响、责任和双方认可的需要。</x:v>
      </x:c>
      <x:c r="F7" s="24" t="str">
        <x:v>投入转成明确责任、边界调整和持续行为。</x:v>
      </x:c>
      <x:c r="G7" s="24" t="str">
        <x:v>做得多可以表达在意，但不能自动替代责任说清、边界重订和持续改变。</x:v>
      </x:c>
    </x:row>
    <x:row r="8">
      <x:c r="A8" s="24" t="str">
        <x:v>PB05</x:v>
      </x:c>
      <x:c r="B8" s="24" t="str">
        <x:v>安抚和谐替代关键处理</x:v>
      </x:c>
      <x:c r="C8" s="24" t="str">
        <x:v>先让气氛恢复、避免冲突，短期看似关系已经好转。</x:v>
      </x:c>
      <x:c r="D8" s="24" t="str">
        <x:v>关键议题、影响和行动没有回访时，平静只是暂时压低强度。</x:v>
      </x:c>
      <x:c r="E8" s="24" t="str">
        <x:v>检查降温后是否有明确回访时间、议题重开和现实调整。</x:v>
      </x:c>
      <x:c r="F8" s="24" t="str">
        <x:v>舒缓之后重新进入事实、影响和方案。</x:v>
      </x:c>
      <x:c r="G8" s="24" t="str">
        <x:v>恢复平静是一项资源，但只有关键问题被重新处理，才真正具有保护作用。</x:v>
      </x:c>
    </x:row>
    <x:row r="9">
      <x:c r="A9" s="24" t="str">
        <x:v>PB06</x:v>
      </x:c>
      <x:c r="B9" s="24" t="str">
        <x:v>快速行动替代共同决定</x:v>
      </x:c>
      <x:c r="C9" s="24" t="str">
        <x:v>用迅速解决、替对方安排或直接推进来降低风险。</x:v>
      </x:c>
      <x:c r="D9" s="24" t="str">
        <x:v>行动可能越过当事人选择权、参与权和反馈。</x:v>
      </x:c>
      <x:c r="E9" s="24" t="str">
        <x:v>检查行动目标、授权范围、事后反馈和责任回流。</x:v>
      </x:c>
      <x:c r="F9" s="24" t="str">
        <x:v>高压行动有清楚边界，并在事后恢复共同决定。</x:v>
      </x:c>
      <x:c r="G9" s="24" t="str">
        <x:v>迅速处理可以止损，但需要保留选择权，并在事后回到协商。</x:v>
      </x:c>
    </x:row>
    <x:row r="10">
      <x:c r="A10" s="24" t="str">
        <x:v>PB07</x:v>
      </x:c>
      <x:c r="B10" s="24" t="str">
        <x:v>暂停空间替代回归</x:v>
      </x:c>
      <x:c r="C10" s="24" t="str">
        <x:v>通过冷静、独处或暂停避免继续升级。</x:v>
      </x:c>
      <x:c r="D10" s="24" t="str">
        <x:v>没有回归点的暂停会变成连接断裂或长期拖延。</x:v>
      </x:c>
      <x:c r="E10" s="24" t="str">
        <x:v>检查暂停目的、范围、最低连接和明确返回条件。</x:v>
      </x:c>
      <x:c r="F10" s="24" t="str">
        <x:v>暂停后按约定重新进入沟通、边界或修复。</x:v>
      </x:c>
      <x:c r="G10" s="24" t="str">
        <x:v>空间只有在有清楚回归路径时才是保护；否则只是把问题延后。</x:v>
      </x:c>
    </x:row>
    <x:row r="11">
      <x:c r="A11" s="24" t="str">
        <x:v>PB08</x:v>
      </x:c>
      <x:c r="B11" s="24" t="str">
        <x:v>单方努力替代双向修复</x:v>
      </x:c>
      <x:c r="C11" s="24" t="str">
        <x:v>一方不断道歉、补救、解释或投入，就认为修复已经完成。</x:v>
      </x:c>
      <x:c r="D11" s="24" t="str">
        <x:v>缺少接收方反馈、共同调整和后续回访时，不能形成双方闭环。</x:v>
      </x:c>
      <x:c r="E11" s="24" t="str">
        <x:v>检查影响是否被表达、反馈是否被整合、双方是否重新协商。</x:v>
      </x:c>
      <x:c r="F11" s="24" t="str">
        <x:v>一方责任行动与接收方真实反馈形成二次调整。</x:v>
      </x:c>
      <x:c r="G11" s="24" t="str">
        <x:v>一个人可以完成自己的责任，但双方修复需要真实反馈和共同调整。</x:v>
      </x:c>
    </x:row>
  </x:sheetData>
  <x:mergeCells>
    <x:mergeCell ref="A1:G1"/>
  </x:mergeCells>
  <x:pageMargins left="0.7" right="0.7" top="0.75" bottom="0.75" header="0.3" footer="0.3"/>
  <x:tableParts count="1">
    <x:tablePart xmlns:r="http://schemas.openxmlformats.org/officeDocument/2006/relationships" r:id="Re49b63b1decc4057"/>
  </x:tableParts>
</x:worksheet>
</file>

<file path=xl/worksheets/sheet6.xml><?xml version="1.0" encoding="utf-8"?>
<x:worksheet xmlns:x="http://schemas.openxmlformats.org/spreadsheetml/2006/main">
  <x:sheetFormatPr defaultRowHeight="15"/>
  <x:cols>
    <x:col min="1" max="1" width="10" hidden="0" customWidth="1"/>
    <x:col min="2" max="2" width="24" hidden="0" customWidth="1"/>
    <x:col min="3" max="3" width="12" hidden="0" customWidth="1"/>
    <x:col min="4" max="4" width="44" hidden="0" customWidth="1"/>
    <x:col min="5" max="5" width="42" hidden="0" customWidth="1"/>
    <x:col min="6" max="6" width="44" hidden="0" customWidth="1"/>
    <x:col min="7" max="7" width="42" hidden="0" customWidth="1"/>
  </x:cols>
  <x:sheetData>
    <x:row r="1">
      <x:c r="A1" s="6" t="str">
        <x:v>DY01—DY08 病药功能矩阵</x:v>
      </x:c>
      <x:c r="B1" s="6"/>
      <x:c r="C1" s="6"/>
      <x:c r="D1" s="6"/>
      <x:c r="E1" s="6"/>
      <x:c r="F1" s="6"/>
      <x:c r="G1" s="6"/>
    </x:row>
    <x:row r="2">
      <x:c r="A2" s="55" t="str">
        <x:v>“病”＝具体K机制／循环／修复断点；“药”＝能改变该链条的功能，不是简单的喜用神或五行标签。</x:v>
      </x:c>
      <x:c r="B2" s="55"/>
      <x:c r="C2" s="55"/>
      <x:c r="D2" s="55"/>
      <x:c r="E2" s="55"/>
      <x:c r="F2" s="55"/>
      <x:c r="G2" s="55"/>
    </x:row>
    <x:row r="4">
      <x:c r="A4" s="16" t="str">
        <x:v>编号</x:v>
      </x:c>
      <x:c r="B4" s="16" t="str">
        <x:v>药功能</x:v>
      </x:c>
      <x:c r="C4" s="16" t="str">
        <x:v>对应K机制</x:v>
      </x:c>
      <x:c r="D4" s="16" t="str">
        <x:v>具体任务</x:v>
      </x:c>
      <x:c r="E4" s="16" t="str">
        <x:v>可用资源</x:v>
      </x:c>
      <x:c r="F4" s="16" t="str">
        <x:v>现实有效标志</x:v>
      </x:c>
      <x:c r="G4" s="16" t="str">
        <x:v>无效边界</x:v>
      </x:c>
    </x:row>
    <x:row r="5">
      <x:c r="A5" s="24" t="str">
        <x:v>DY01</x:v>
      </x:c>
      <x:c r="B5" s="24" t="str">
        <x:v>限制过用</x:v>
      </x:c>
      <x:c r="C5" s="24" t="str">
        <x:v>K01</x:v>
      </x:c>
      <x:c r="D5" s="24" t="str">
        <x:v>让抢先、重复或占位过多的功能回到适当范围</x:v>
      </x:c>
      <x:c r="E5" s="24" t="str">
        <x:v>BF01有效制化、BF03边界支持或BF04内部复核</x:v>
      </x:c>
      <x:c r="F5" s="24" t="str">
        <x:v>原功能仍能发挥，但不再压缩反馈、边界或第二功能。</x:v>
      </x:c>
      <x:c r="G5" s="24" t="str">
        <x:v>只是把原功能完全压制，或用另一项同样过强的功能取代。</x:v>
      </x:c>
    </x:row>
    <x:row r="6">
      <x:c r="A6" s="24" t="str">
        <x:v>DY02</x:v>
      </x:c>
      <x:c r="B6" s="24" t="str">
        <x:v>补足不足</x:v>
      </x:c>
      <x:c r="C6" s="24" t="str">
        <x:v>K02</x:v>
      </x:c>
      <x:c r="D6" s="24" t="str">
        <x:v>让当前关系任务所需但进入较弱的功能获得支持</x:v>
      </x:c>
      <x:c r="E6" s="24" t="str">
        <x:v>直接补位功能、BF02通关、BF05表达或BF06现实行为</x:v>
      </x:c>
      <x:c r="F6" s="24" t="str">
        <x:v>缺失步骤能够在需要时进入，而不必由熟悉通道长期代替。</x:v>
      </x:c>
      <x:c r="G6" s="24" t="str">
        <x:v>只增加元素数量，却没有进入具体关系任务。</x:v>
      </x:c>
    </x:row>
    <x:row r="7">
      <x:c r="A7" s="24" t="str">
        <x:v>DY03</x:v>
      </x:c>
      <x:c r="B7" s="24" t="str">
        <x:v>拆除单通道替代</x:v>
      </x:c>
      <x:c r="C7" s="24" t="str">
        <x:v>K03</x:v>
      </x:c>
      <x:c r="D7" s="24" t="str">
        <x:v>区分熟悉功能与被替代任务，恢复两者分工</x:v>
      </x:c>
      <x:c r="E7" s="24" t="str">
        <x:v>BF02跨系统通关、BF04复核、BF05反馈</x:v>
      </x:c>
      <x:c r="F7" s="24" t="str">
        <x:v>表达不再替代倾听，行动不再替代协商，理解不再替代改变。</x:v>
      </x:c>
      <x:c r="G7" s="24" t="str">
        <x:v>把替代关系换成另一种单通道垄断。</x:v>
      </x:c>
    </x:row>
    <x:row r="8">
      <x:c r="A8" s="24" t="str">
        <x:v>DY04</x:v>
      </x:c>
      <x:c r="B8" s="24" t="str">
        <x:v>恢复处理顺序</x:v>
      </x:c>
      <x:c r="C8" s="24" t="str">
        <x:v>K04</x:v>
      </x:c>
      <x:c r="D8" s="24" t="str">
        <x:v>让两项已有功能在更合适的先后与阶段进入</x:v>
      </x:c>
      <x:c r="E8" s="24" t="str">
        <x:v>BF02通关、BF08状态分工、明确回访点</x:v>
      </x:c>
      <x:c r="F8" s="24" t="str">
        <x:v>第一步完成后，第二项必要任务能够按时回流。</x:v>
      </x:c>
      <x:c r="G8" s="24" t="str">
        <x:v>只调整表面顺序，却没有完成后续必要节点。</x:v>
      </x:c>
    </x:row>
    <x:row r="9">
      <x:c r="A9" s="24" t="str">
        <x:v>DY05</x:v>
      </x:c>
      <x:c r="B9" s="24" t="str">
        <x:v>调停双通道竞争</x:v>
      </x:c>
      <x:c r="C9" s="24" t="str">
        <x:v>K05</x:v>
      </x:c>
      <x:c r="D9" s="24" t="str">
        <x:v>为两项合理功能建立分工、优先级和共同决策</x:v>
      </x:c>
      <x:c r="E9" s="24" t="str">
        <x:v>BF03独立边界、BF05反馈、最小共同规则</x:v>
      </x:c>
      <x:c r="F9" s="24" t="str">
        <x:v>两项功能不再抢占同一位置，而是各自负责不同任务或阶段。</x:v>
      </x:c>
      <x:c r="G9" s="24" t="str">
        <x:v>机械折中、平均分配，或由一方长期压制另一方。</x:v>
      </x:c>
    </x:row>
    <x:row r="10">
      <x:c r="A10" s="24" t="str">
        <x:v>DY06</x:v>
      </x:c>
      <x:c r="B10" s="24" t="str">
        <x:v>打通功能转换</x:v>
      </x:c>
      <x:c r="C10" s="24" t="str">
        <x:v>K06</x:v>
      </x:c>
      <x:c r="D10" s="24" t="str">
        <x:v>让已完成的第一步转成下一项必要功能</x:v>
      </x:c>
      <x:c r="E10" s="24" t="str">
        <x:v>BF02跨系统通关、BF06现实兑现、BF05反馈</x:v>
      </x:c>
      <x:c r="F10" s="24" t="str">
        <x:v>理解转成边界、表达转成行动、投入转成责任、责任转成安全。</x:v>
      </x:c>
      <x:c r="G10" s="24" t="str">
        <x:v>只存在桥梁标签，现实中没有转换结果。</x:v>
      </x:c>
    </x:row>
    <x:row r="11">
      <x:c r="A11" s="24" t="str">
        <x:v>DY07</x:v>
      </x:c>
      <x:c r="B11" s="24" t="str">
        <x:v>中断反馈放大</x:v>
      </x:c>
      <x:c r="C11" s="24" t="str">
        <x:v>K07</x:v>
      </x:c>
      <x:c r="D11" s="24" t="str">
        <x:v>在对方反馈被误读并推动原反应加码前加入复核与选择</x:v>
      </x:c>
      <x:c r="E11" s="24" t="str">
        <x:v>BF04倾听复核、BF05反馈、BF08状态识别</x:v>
      </x:c>
      <x:c r="F11" s="24" t="str">
        <x:v>反馈被当作新信息，而不是自动证明原判断。</x:v>
      </x:c>
      <x:c r="G11" s="24" t="str">
        <x:v>继续猜测动机、扩大解释或推进，未核对可观察事实。</x:v>
      </x:c>
    </x:row>
    <x:row r="12">
      <x:c r="A12" s="24" t="str">
        <x:v>DY08</x:v>
      </x:c>
      <x:c r="B12" s="24" t="str">
        <x:v>完成修复回流</x:v>
      </x:c>
      <x:c r="C12" s="24" t="str">
        <x:v>K08</x:v>
      </x:c>
      <x:c r="D12" s="24" t="str">
        <x:v>补齐修复链缺失节点并建立持续回访</x:v>
      </x:c>
      <x:c r="E12" s="24" t="str">
        <x:v>BF07完整修复、BF06持续兑现、BF03边界与BF04影响确认</x:v>
      </x:c>
      <x:c r="F12" s="24" t="str">
        <x:v>问题停止之后，理解、责任、边界、改变和开放重新进入。</x:v>
      </x:c>
      <x:c r="G12" s="24" t="str">
        <x:v>只完成道歉、补偿、安抚或方案中的一项。</x:v>
      </x:c>
    </x:row>
  </x:sheetData>
  <x:mergeCells>
    <x:mergeCell ref="A1:G1"/>
    <x:mergeCell ref="A2:G2"/>
  </x:mergeCells>
  <x:pageMargins left="0.7" right="0.7" top="0.75" bottom="0.75" header="0.3" footer="0.3"/>
  <x:tableParts count="1">
    <x:tablePart xmlns:r="http://schemas.openxmlformats.org/officeDocument/2006/relationships" r:id="R05ff26baab694cc3"/>
  </x:tableParts>
</x:worksheet>
</file>

<file path=xl/worksheets/sheet7.xml><?xml version="1.0" encoding="utf-8"?>
<x:worksheet xmlns:x="http://schemas.openxmlformats.org/spreadsheetml/2006/main">
  <x:sheetFormatPr defaultRowHeight="15"/>
  <x:cols>
    <x:col min="1" max="1" width="10" hidden="0" customWidth="1"/>
    <x:col min="2" max="2" width="22" hidden="0" customWidth="1"/>
    <x:col min="3" max="3" width="46" hidden="0" customWidth="1"/>
    <x:col min="4" max="4" width="30" hidden="0" customWidth="1"/>
    <x:col min="5" max="5" width="38" hidden="0" customWidth="1"/>
    <x:col min="6" max="6" width="42" hidden="0" customWidth="1"/>
    <x:col min="7" max="7" width="42" hidden="0" customWidth="1"/>
  </x:cols>
  <x:sheetData>
    <x:row r="1">
      <x:c r="A1" s="6" t="str">
        <x:v>K01—K08 主失衡机制 → 保护路由</x:v>
      </x:c>
      <x:c r="B1" s="6"/>
      <x:c r="C1" s="6"/>
      <x:c r="D1" s="6"/>
      <x:c r="E1" s="6"/>
      <x:c r="F1" s="6"/>
      <x:c r="G1" s="6"/>
    </x:row>
    <x:row r="3">
      <x:c r="A3" s="16" t="str">
        <x:v>K机制</x:v>
      </x:c>
      <x:c r="B3" s="16" t="str">
        <x:v>名称</x:v>
      </x:c>
      <x:c r="C3" s="16" t="str">
        <x:v>问题摘要</x:v>
      </x:c>
      <x:c r="D3" s="16" t="str">
        <x:v>主保护</x:v>
      </x:c>
      <x:c r="E3" s="16" t="str">
        <x:v>次保护</x:v>
      </x:c>
      <x:c r="F3" s="16" t="str">
        <x:v>有效标志</x:v>
      </x:c>
      <x:c r="G3" s="16" t="str">
        <x:v>失效标志</x:v>
      </x:c>
    </x:row>
    <x:row r="4">
      <x:c r="A4" s="24" t="str">
        <x:v>K01</x:v>
      </x:c>
      <x:c r="B4" s="24" t="str">
        <x:v>过用放大</x:v>
      </x:c>
      <x:c r="C4" s="24" t="str">
        <x:v>某项正常功能抢先、重复或占位过多，压缩另一项必要功能。</x:v>
      </x:c>
      <x:c r="D4" s="24" t="str">
        <x:v>BF01有效制化</x:v>
      </x:c>
      <x:c r="E4" s="24" t="str">
        <x:v>BF03独立边界／BF04倾听复核／BF08状态分工</x:v>
      </x:c>
      <x:c r="F4" s="24" t="str">
        <x:v>主功能仍可使用，但强度、范围或时机被限制，第二功能能够进入。</x:v>
      </x:c>
      <x:c r="G4" s="24" t="str">
        <x:v>只是压制原功能，或由另一项过强功能接管。</x:v>
      </x:c>
    </x:row>
    <x:row r="5">
      <x:c r="A5" s="24" t="str">
        <x:v>K02</x:v>
      </x:c>
      <x:c r="B5" s="24" t="str">
        <x:v>功能不足</x:v>
      </x:c>
      <x:c r="C5" s="24" t="str">
        <x:v>当前关系任务需要的功能进入太弱、太晚或缺少稳定替代。</x:v>
      </x:c>
      <x:c r="D5" s="24" t="str">
        <x:v>BF02跨系统通关或对应十神直接补位</x:v>
      </x:c>
      <x:c r="E5" s="24" t="str">
        <x:v>BF05表达反馈／BF06现实行为／BF08外部支持</x:v>
      </x:c>
      <x:c r="F5" s="24" t="str">
        <x:v>缺失功能能够在对应任务出现时被调用，并形成可观察结果。</x:v>
      </x:c>
      <x:c r="G5" s="24" t="str">
        <x:v>只增加抽象标签或资源数量，没有进入具体任务。</x:v>
      </x:c>
    </x:row>
    <x:row r="6">
      <x:c r="A6" s="24" t="str">
        <x:v>K03</x:v>
      </x:c>
      <x:c r="B6" s="24" t="str">
        <x:v>单通道替代</x:v>
      </x:c>
      <x:c r="C6" s="24" t="str">
        <x:v>熟悉功能承担了另一项不同任务，导致关键步骤被绕开。</x:v>
      </x:c>
      <x:c r="D6" s="24" t="str">
        <x:v>BF02跨系统通关</x:v>
      </x:c>
      <x:c r="E6" s="24" t="str">
        <x:v>BF04内部复核／BF05反馈通道</x:v>
      </x:c>
      <x:c r="F6" s="24" t="str">
        <x:v>原功能与被替代任务重新分工，两者都能进入。</x:v>
      </x:c>
      <x:c r="G6" s="24" t="str">
        <x:v>从一种替代换成另一种替代，仍然没有完成目标任务。</x:v>
      </x:c>
    </x:row>
    <x:row r="7">
      <x:c r="A7" s="24" t="str">
        <x:v>K04</x:v>
      </x:c>
      <x:c r="B7" s="24" t="str">
        <x:v>处理顺序错位</x:v>
      </x:c>
      <x:c r="C7" s="24" t="str">
        <x:v>两项能力都存在，但进入先后、时机或阶段不合适。</x:v>
      </x:c>
      <x:c r="D7" s="24" t="str">
        <x:v>BF08状态分工</x:v>
      </x:c>
      <x:c r="E7" s="24" t="str">
        <x:v>BF02通关／BF05反馈／明确回访点</x:v>
      </x:c>
      <x:c r="F7" s="24" t="str">
        <x:v>第一步完成后，第二步在约定时点回流，不再长期延后。</x:v>
      </x:c>
      <x:c r="G7" s="24" t="str">
        <x:v>只改变表面顺序，后续关键步骤仍未完成。</x:v>
      </x:c>
    </x:row>
    <x:row r="8">
      <x:c r="A8" s="24" t="str">
        <x:v>K05</x:v>
      </x:c>
      <x:c r="B8" s="24" t="str">
        <x:v>双通道竞争</x:v>
      </x:c>
      <x:c r="C8" s="24" t="str">
        <x:v>两项合理功能在同一阶段争夺主导，缺少分工和协调。</x:v>
      </x:c>
      <x:c r="D8" s="24" t="str">
        <x:v>BF03独立边界支持</x:v>
      </x:c>
      <x:c r="E8" s="24" t="str">
        <x:v>BF05反馈通道／共同规则／角色分工</x:v>
      </x:c>
      <x:c r="F8" s="24" t="str">
        <x:v>两项功能明确各自任务、优先级和决定范围。</x:v>
      </x:c>
      <x:c r="G8" s="24" t="str">
        <x:v>机械折中、轮流压制或把竞争解释成谁更正确。</x:v>
      </x:c>
    </x:row>
    <x:row r="9">
      <x:c r="A9" s="24" t="str">
        <x:v>K06</x:v>
      </x:c>
      <x:c r="B9" s="24" t="str">
        <x:v>功能转换受阻</x:v>
      </x:c>
      <x:c r="C9" s="24" t="str">
        <x:v>第一项任务已经完成，但没有转成下一项必要关系功能。</x:v>
      </x:c>
      <x:c r="D9" s="24" t="str">
        <x:v>BF02跨系统通关</x:v>
      </x:c>
      <x:c r="E9" s="24" t="str">
        <x:v>BF06现实兑现／BF05反馈</x:v>
      </x:c>
      <x:c r="F9" s="24" t="str">
        <x:v>起点、桥梁和终点形成可观察转换链。</x:v>
      </x:c>
      <x:c r="G9" s="24" t="str">
        <x:v>只有桥梁标签、五行相生或一次动作，没有目标功能结果。</x:v>
      </x:c>
    </x:row>
    <x:row r="10">
      <x:c r="A10" s="24" t="str">
        <x:v>K07</x:v>
      </x:c>
      <x:c r="B10" s="24" t="str">
        <x:v>反馈回路放大</x:v>
      </x:c>
      <x:c r="C10" s="24" t="str">
        <x:v>对方反馈被误读为原判断的证明，促使原反应继续加码。</x:v>
      </x:c>
      <x:c r="D10" s="24" t="str">
        <x:v>BF04倾听与内部复核</x:v>
      </x:c>
      <x:c r="E10" s="24" t="str">
        <x:v>BF05反馈通道／BF08状态识别</x:v>
      </x:c>
      <x:c r="F10" s="24" t="str">
        <x:v>反馈被记录为新信息，能够改变判断、强度或下一步。</x:v>
      </x:c>
      <x:c r="G10" s="24" t="str">
        <x:v>继续猜测动机、加码解释、推进或撤回，没有核对事实。</x:v>
      </x:c>
    </x:row>
    <x:row r="11">
      <x:c r="A11" s="24" t="str">
        <x:v>K08</x:v>
      </x:c>
      <x:c r="B11" s="24" t="str">
        <x:v>修复断链</x:v>
      </x:c>
      <x:c r="C11" s="24" t="str">
        <x:v>问题停止或部分处理后，修复链缺少反馈、改变或回访。</x:v>
      </x:c>
      <x:c r="D11" s="24" t="str">
        <x:v>BF07完整修复回流</x:v>
      </x:c>
      <x:c r="E11" s="24" t="str">
        <x:v>BF06持续兑现／BF03边界／BF04影响确认</x:v>
      </x:c>
      <x:c r="F11" s="24" t="str">
        <x:v>必要RN节点完成，并在后续获得接收反馈与持续验证。</x:v>
      </x:c>
      <x:c r="G11" s="24" t="str">
        <x:v>只完成道歉、安抚、补偿、方案或短期和好中的一项。</x:v>
      </x:c>
    </x:row>
  </x:sheetData>
  <x:mergeCells>
    <x:mergeCell ref="A1:G1"/>
  </x:mergeCells>
  <x:pageMargins left="0.7" right="0.7" top="0.75" bottom="0.75" header="0.3" footer="0.3"/>
  <x:tableParts count="1">
    <x:tablePart xmlns:r="http://schemas.openxmlformats.org/officeDocument/2006/relationships" r:id="Re9a8ba4d5f214acc"/>
  </x:tableParts>
</x:worksheet>
</file>

<file path=xl/worksheets/sheet8.xml><?xml version="1.0" encoding="utf-8"?>
<x:worksheet xmlns:x="http://schemas.openxmlformats.org/spreadsheetml/2006/main">
  <x:sheetFormatPr defaultRowHeight="15"/>
  <x:cols>
    <x:col min="1" max="1" width="10" hidden="0" customWidth="1"/>
    <x:col min="2" max="2" width="24" hidden="0" customWidth="1"/>
    <x:col min="3" max="3" width="42" hidden="0" customWidth="1"/>
    <x:col min="4" max="4" width="48" hidden="0" customWidth="1"/>
    <x:col min="5" max="5" width="42" hidden="0" customWidth="1"/>
    <x:col min="6" max="6" width="44" hidden="0" customWidth="1"/>
  </x:cols>
  <x:sheetData>
    <x:row r="1">
      <x:c r="A1" s="6" t="str">
        <x:v>LP01—LP12 循环退出与保护组合</x:v>
      </x:c>
      <x:c r="B1" s="6"/>
      <x:c r="C1" s="6"/>
      <x:c r="D1" s="6"/>
      <x:c r="E1" s="6"/>
      <x:c r="F1" s="6"/>
    </x:row>
    <x:row r="3">
      <x:c r="A3" s="16" t="str">
        <x:v>循环</x:v>
      </x:c>
      <x:c r="B3" s="16" t="str">
        <x:v>名称</x:v>
      </x:c>
      <x:c r="C3" s="16" t="str">
        <x:v>最小保护组合</x:v>
      </x:c>
      <x:c r="D3" s="16" t="str">
        <x:v>有效中断条件</x:v>
      </x:c>
      <x:c r="E3" s="16" t="str">
        <x:v>伪中断／复发标志</x:v>
      </x:c>
      <x:c r="F3" s="16" t="str">
        <x:v>用户输出重点</x:v>
      </x:c>
    </x:row>
    <x:row r="4">
      <x:c r="A4" s="24" t="str">
        <x:v>LP01</x:v>
      </x:c>
      <x:c r="B4" s="24" t="str">
        <x:v>证明加码循环</x:v>
      </x:c>
      <x:c r="C4" s="24" t="str">
        <x:v>BF03定义足够证据＋BF04内部复核＋BF06持续行为</x:v>
      </x:c>
      <x:c r="D4" s="24" t="str">
        <x:v>双方先定义什么证据已经足够、观察多久，并用持续行为而非反复加码证明。</x:v>
      </x:c>
      <x:c r="E4" s="24" t="str">
        <x:v>仍不断提高证明门槛，或把短期缓解当作长期安全。</x:v>
      </x:c>
      <x:c r="F4" s="24" t="str">
        <x:v>保护成立时，证据标准更清楚，证明不会无限增加。</x:v>
      </x:c>
    </x:row>
    <x:row r="5">
      <x:c r="A5" s="24" t="str">
        <x:v>LP02</x:v>
      </x:c>
      <x:c r="B5" s="24" t="str">
        <x:v>解释升级循环</x:v>
      </x:c>
      <x:c r="C5" s="24" t="str">
        <x:v>BF04倾听复核＋BF05反馈通道</x:v>
      </x:c>
      <x:c r="D5" s="24" t="str">
        <x:v>继续解释前先让双方复述理解，并根据反馈决定是否补充。</x:v>
      </x:c>
      <x:c r="E5" s="24" t="str">
        <x:v>表达继续增加，但对方实际理解和回应没有进入。</x:v>
      </x:c>
      <x:c r="F5" s="24" t="str">
        <x:v>保护成立时，解释从单向输出转成双向确认。</x:v>
      </x:c>
    </x:row>
    <x:row r="6">
      <x:c r="A6" s="24" t="str">
        <x:v>LP03</x:v>
      </x:c>
      <x:c r="B6" s="24" t="str">
        <x:v>和谐延后循环</x:v>
      </x:c>
      <x:c r="C6" s="24" t="str">
        <x:v>BF05关键议题表达＋BF06回访落实＋BF08状态分工</x:v>
      </x:c>
      <x:c r="D6" s="24" t="str">
        <x:v>降温之后设定明确回访点，重新处理关键问题和行动。</x:v>
      </x:c>
      <x:c r="E6" s="24" t="str">
        <x:v>气氛恢复后问题长期不再被提起。</x:v>
      </x:c>
      <x:c r="F6" s="24" t="str">
        <x:v>保护成立时，舒服是过渡，不是结案。</x:v>
      </x:c>
    </x:row>
    <x:row r="7">
      <x:c r="A7" s="24" t="str">
        <x:v>LP04</x:v>
      </x:c>
      <x:c r="B7" s="24" t="str">
        <x:v>解决替代循环</x:v>
      </x:c>
      <x:c r="C7" s="24" t="str">
        <x:v>BF04影响确认＋BF07完整修复</x:v>
      </x:c>
      <x:c r="D7" s="24" t="str">
        <x:v>现实方案之后继续确认影响、参与感和关系安全。</x:v>
      </x:c>
      <x:c r="E7" s="24" t="str">
        <x:v>事情解决后立即结案，不再回到感受和反馈。</x:v>
      </x:c>
      <x:c r="F7" s="24" t="str">
        <x:v>保护成立时，问题解决与关系修复形成两条并行任务。</x:v>
      </x:c>
    </x:row>
    <x:row r="8">
      <x:c r="A8" s="24" t="str">
        <x:v>LP05</x:v>
      </x:c>
      <x:c r="B8" s="24" t="str">
        <x:v>承接替代改变循环</x:v>
      </x:c>
      <x:c r="C8" s="24" t="str">
        <x:v>BF06现实改变＋BF03边界支持</x:v>
      </x:c>
      <x:c r="D8" s="24" t="str">
        <x:v>理解和包容之后形成具体责任、边界和可观察调整。</x:v>
      </x:c>
      <x:c r="E8" s="24" t="str">
        <x:v>继续安抚或理解，却没有行为变化。</x:v>
      </x:c>
      <x:c r="F8" s="24" t="str">
        <x:v>保护成立时，理解会转成现实改变。</x:v>
      </x:c>
    </x:row>
    <x:row r="9">
      <x:c r="A9" s="24" t="str">
        <x:v>LP06</x:v>
      </x:c>
      <x:c r="B9" s="24" t="str">
        <x:v>投入记账循环</x:v>
      </x:c>
      <x:c r="C9" s="24" t="str">
        <x:v>BF05需求反馈＋BF03资源边界＋BF06持续互惠</x:v>
      </x:c>
      <x:c r="D9" s="24" t="str">
        <x:v>先说清需要什么回应，再定义资源边界和互惠方式。</x:v>
      </x:c>
      <x:c r="E9" s="24" t="str">
        <x:v>继续用投入量衡量关系，或在未表达需要时累积失衡感。</x:v>
      </x:c>
      <x:c r="F9" s="24" t="str">
        <x:v>保护成立时，付出从隐性记账转成清楚协商。</x:v>
      </x:c>
    </x:row>
    <x:row r="10">
      <x:c r="A10" s="24" t="str">
        <x:v>LP07</x:v>
      </x:c>
      <x:c r="B10" s="24" t="str">
        <x:v>亲密撤回循环</x:v>
      </x:c>
      <x:c r="C10" s="24" t="str">
        <x:v>BF03空间边界＋BF07回归路径＋BF08状态识别</x:v>
      </x:c>
      <x:c r="D10" s="24" t="str">
        <x:v>说明空间的目的、最低连接和返回时间，让靠近与暂停都有边界。</x:v>
      </x:c>
      <x:c r="E10" s="24" t="str">
        <x:v>一方靠近越多另一方撤回越久，且没有回归协议。</x:v>
      </x:c>
      <x:c r="F10" s="24" t="str">
        <x:v>保护成立时，空间不再等于失联，靠近也不再越过选择权。</x:v>
      </x:c>
    </x:row>
    <x:row r="11">
      <x:c r="A11" s="24" t="str">
        <x:v>LP08</x:v>
      </x:c>
      <x:c r="B11" s="24" t="str">
        <x:v>平等竞争循环</x:v>
      </x:c>
      <x:c r="C11" s="24" t="str">
        <x:v>BF03角色分工＋BF05共同协商</x:v>
      </x:c>
      <x:c r="D11" s="24" t="str">
        <x:v>区分人格平等、具体分工和共同决定领域。</x:v>
      </x:c>
      <x:c r="E11" s="24" t="str">
        <x:v>每个议题都逐项比较谁付出更多、谁更正确。</x:v>
      </x:c>
      <x:c r="F11" s="24" t="str">
        <x:v>保护成立时，平等不再需要机械对称。</x:v>
      </x:c>
    </x:row>
    <x:row r="12">
      <x:c r="A12" s="24" t="str">
        <x:v>LP09</x:v>
      </x:c>
      <x:c r="B12" s="24" t="str">
        <x:v>规则反弹循环</x:v>
      </x:c>
      <x:c r="C12" s="24" t="str">
        <x:v>BF03共同决定＋BF05反馈＋BF06最小执行</x:v>
      </x:c>
      <x:c r="D12" s="24" t="str">
        <x:v>共同制定最小可执行规则，并根据反馈迭代。</x:v>
      </x:c>
      <x:c r="E12" s="24" t="str">
        <x:v>规则由单方加码，短期配合后再次反弹。</x:v>
      </x:c>
      <x:c r="F12" s="24" t="str">
        <x:v>保护成立时，规则更少但更可执行。</x:v>
      </x:c>
    </x:row>
    <x:row r="13">
      <x:c r="A13" s="24" t="str">
        <x:v>LP10</x:v>
      </x:c>
      <x:c r="B13" s="24" t="str">
        <x:v>新鲜落地循环</x:v>
      </x:c>
      <x:c r="C13" s="24" t="str">
        <x:v>BF06稳定安排＋BF02转换通关</x:v>
      </x:c>
      <x:c r="D13" s="24" t="str">
        <x:v>每次新体验后形成一项可持续安排，并复盘是否服务核心需要。</x:v>
      </x:c>
      <x:c r="E13" s="24" t="str">
        <x:v>不断换体验，却没有日常落实和连续性。</x:v>
      </x:c>
      <x:c r="F13" s="24" t="str">
        <x:v>保护成立时，新鲜感能够转成稳定连接。</x:v>
      </x:c>
    </x:row>
    <x:row r="14">
      <x:c r="A14" s="24" t="str">
        <x:v>LP11</x:v>
      </x:c>
      <x:c r="B14" s="24" t="str">
        <x:v>暂停断链循环</x:v>
      </x:c>
      <x:c r="C14" s="24" t="str">
        <x:v>BF07明确回归＋BF08状态分工＋BF05最低连接</x:v>
      </x:c>
      <x:c r="D14" s="24" t="str">
        <x:v>暂停前说明目的、范围、最低连接和回归时间。</x:v>
      </x:c>
      <x:c r="E14" s="24" t="str">
        <x:v>暂停不断延长，双方都不知道何时重新进入沟通。</x:v>
      </x:c>
      <x:c r="F14" s="24" t="str">
        <x:v>保护成立时，暂停成为恢复工具而不是连接断点。</x:v>
      </x:c>
    </x:row>
    <x:row r="15">
      <x:c r="A15" s="24" t="str">
        <x:v>LP12</x:v>
      </x:c>
      <x:c r="B15" s="24" t="str">
        <x:v>修复不闭环循环</x:v>
      </x:c>
      <x:c r="C15" s="24" t="str">
        <x:v>BF07完整修复＋BF06持续兑现＋BF04接收反馈</x:v>
      </x:c>
      <x:c r="D15" s="24" t="str">
        <x:v>完成影响确认、责任、边界、行动、反馈和回访中的必要节点。</x:v>
      </x:c>
      <x:c r="E15" s="24" t="str">
        <x:v>只有道歉、方案、补偿或短期和好。</x:v>
      </x:c>
      <x:c r="F15" s="24" t="str">
        <x:v>保护成立时，修复从单次动作转成持续闭环。</x:v>
      </x:c>
    </x:row>
  </x:sheetData>
  <x:mergeCells>
    <x:mergeCell ref="A1:F1"/>
  </x:mergeCells>
  <x:pageMargins left="0.7" right="0.7" top="0.75" bottom="0.75" header="0.3" footer="0.3"/>
  <x:tableParts count="1">
    <x:tablePart xmlns:r="http://schemas.openxmlformats.org/officeDocument/2006/relationships" r:id="Rc0dd092a2e5c42a6"/>
  </x:tableParts>
</x:worksheet>
</file>

<file path=xl/worksheets/sheet9.xml><?xml version="1.0" encoding="utf-8"?>
<x:worksheet xmlns:x="http://schemas.openxmlformats.org/spreadsheetml/2006/main">
  <x:sheetFormatPr defaultRowHeight="15"/>
  <x:cols>
    <x:col min="1" max="1" width="12" hidden="0" customWidth="1"/>
    <x:col min="2" max="2" width="32" hidden="0" customWidth="1"/>
    <x:col min="3" max="3" width="46" hidden="0" customWidth="1"/>
    <x:col min="4" max="4" width="42" hidden="0" customWidth="1"/>
    <x:col min="5" max="5" width="42" hidden="0" customWidth="1"/>
    <x:col min="6" max="6" width="48" hidden="0" customWidth="1"/>
  </x:cols>
  <x:sheetData>
    <x:row r="1">
      <x:c r="A1" s="6" t="str">
        <x:v>REPAIR 修复节点与保护回流接口</x:v>
      </x:c>
      <x:c r="B1" s="6"/>
      <x:c r="C1" s="6"/>
      <x:c r="D1" s="6"/>
      <x:c r="E1" s="6"/>
      <x:c r="F1" s="6"/>
    </x:row>
    <x:row r="2">
      <x:c r="A2" s="55" t="str">
        <x:v>硬门槛：无RN07接收反馈，不写双方闭环；无RN08持续兑现，不写稳定改变。</x:v>
      </x:c>
      <x:c r="B2" s="55"/>
      <x:c r="C2" s="55"/>
      <x:c r="D2" s="55"/>
      <x:c r="E2" s="55"/>
      <x:c r="F2" s="55"/>
    </x:row>
    <x:row r="4">
      <x:c r="A4" s="16" t="str">
        <x:v>RN节点</x:v>
      </x:c>
      <x:c r="B4" s="16" t="str">
        <x:v>名称</x:v>
      </x:c>
      <x:c r="C4" s="16" t="str">
        <x:v>优先保护</x:v>
      </x:c>
      <x:c r="D4" s="16" t="str">
        <x:v>现实有效标志</x:v>
      </x:c>
      <x:c r="E4" s="16" t="str">
        <x:v>停止／边界</x:v>
      </x:c>
      <x:c r="F4" s="16" t="str">
        <x:v>用户解释</x:v>
      </x:c>
    </x:row>
    <x:row r="5">
      <x:c r="A5" s="24" t="str">
        <x:v>RN01</x:v>
      </x:c>
      <x:c r="B5" s="24" t="str">
        <x:v>停止伤害与恢复基本安全</x:v>
      </x:c>
      <x:c r="C5" s="24" t="str">
        <x:v>BF08现实支持＋七杀止损＋正官责任门控</x:v>
      </x:c>
      <x:c r="D5" s="24" t="str">
        <x:v>行为停止、选择权恢复，必要时启动外部安全资源。</x:v>
      </x:c>
      <x:c r="E5" s="24" t="str">
        <x:v>没有安全与停止伤害时，其他修复节点不计有效。</x:v>
      </x:c>
      <x:c r="F5" s="24" t="str">
        <x:v>修复这一步要看到：行为停止、选择权恢复，必要时启动外部安全资源。</x:v>
      </x:c>
    </x:row>
    <x:row r="6">
      <x:c r="A6" s="24" t="str">
        <x:v>RN02</x:v>
      </x:c>
      <x:c r="B6" s="24" t="str">
        <x:v>事实与事件范围确认</x:v>
      </x:c>
      <x:c r="C6" s="24" t="str">
        <x:v>BF05表达反馈＋伤官事实澄清</x:v>
      </x:c>
      <x:c r="D6" s="24" t="str">
        <x:v>双方对事件范围、时间、行为和争议点有基本一致记录。</x:v>
      </x:c>
      <x:c r="E6" s="24" t="str">
        <x:v>事实仍混乱或互相替换议题时，不进入完成判断。</x:v>
      </x:c>
      <x:c r="F6" s="24" t="str">
        <x:v>修复这一步要看到：双方对事件范围、时间、行为和争议点有基本一致记录。</x:v>
      </x:c>
    </x:row>
    <x:row r="7">
      <x:c r="A7" s="24" t="str">
        <x:v>RN03</x:v>
      </x:c>
      <x:c r="B7" s="24" t="str">
        <x:v>影响、感受与意义确认</x:v>
      </x:c>
      <x:c r="C7" s="24" t="str">
        <x:v>BF04倾听复核＋正印承接</x:v>
      </x:c>
      <x:c r="D7" s="24" t="str">
        <x:v>接收方的实际影响被听见、复述并纳入后续行动。</x:v>
      </x:c>
      <x:c r="E7" s="24" t="str">
        <x:v>只有发起方解释动机，没有确认接收方影响。</x:v>
      </x:c>
      <x:c r="F7" s="24" t="str">
        <x:v>修复这一步要看到：接收方的实际影响被听见、复述并纳入后续行动。</x:v>
      </x:c>
    </x:row>
    <x:row r="8">
      <x:c r="A8" s="24" t="str">
        <x:v>RN04</x:v>
      </x:c>
      <x:c r="B8" s="24" t="str">
        <x:v>责任与角色承担</x:v>
      </x:c>
      <x:c r="C8" s="24" t="str">
        <x:v>BF01制化＋正官责任＋BF06兑现</x:v>
      </x:c>
      <x:c r="D8" s="24" t="str">
        <x:v>责任具体到行为、后果和后续任务，不以原因解释替代。</x:v>
      </x:c>
      <x:c r="E8" s="24" t="str">
        <x:v>只说“我不是故意的”“我也很难”而未承担具体责任。</x:v>
      </x:c>
      <x:c r="F8" s="24" t="str">
        <x:v>修复这一步要看到：责任具体到行为、后果和后续任务，不以原因解释替代。</x:v>
      </x:c>
    </x:row>
    <x:row r="9">
      <x:c r="A9" s="24" t="str">
        <x:v>RN05</x:v>
      </x:c>
      <x:c r="B9" s="24" t="str">
        <x:v>需要、边界与参与权重订</x:v>
      </x:c>
      <x:c r="C9" s="24" t="str">
        <x:v>BF03独立边界＋BF05协商</x:v>
      </x:c>
      <x:c r="D9" s="24" t="str">
        <x:v>双方重新明确需要、停止线、参与权和共同决定范围。</x:v>
      </x:c>
      <x:c r="E9" s="24" t="str">
        <x:v>由一方单独制定新规则或要求对方配合。</x:v>
      </x:c>
      <x:c r="F9" s="24" t="str">
        <x:v>修复这一步要看到：双方重新明确需要、停止线、参与权和共同决定范围。</x:v>
      </x:c>
    </x:row>
    <x:row r="10">
      <x:c r="A10" s="24" t="str">
        <x:v>RN06</x:v>
      </x:c>
      <x:c r="B10" s="24" t="str">
        <x:v>补救行动与现实调整</x:v>
      </x:c>
      <x:c r="C10" s="24" t="str">
        <x:v>BF06现实兑现＋财星落实</x:v>
      </x:c>
      <x:c r="D10" s="24" t="str">
        <x:v>形成可观察、可执行、与影响相匹配的行动调整。</x:v>
      </x:c>
      <x:c r="E10" s="24" t="str">
        <x:v>只有承诺、补偿或一次动作，没有持续执行。</x:v>
      </x:c>
      <x:c r="F10" s="24" t="str">
        <x:v>修复这一步要看到：形成可观察、可执行、与影响相匹配的行动调整。</x:v>
      </x:c>
    </x:row>
    <x:row r="11">
      <x:c r="A11" s="24" t="str">
        <x:v>RN07</x:v>
      </x:c>
      <x:c r="B11" s="24" t="str">
        <x:v>接收反馈与二次修正</x:v>
      </x:c>
      <x:c r="C11" s="24" t="str">
        <x:v>BF04倾听复核＋BF05反馈</x:v>
      </x:c>
      <x:c r="D11" s="24" t="str">
        <x:v>接收方能说明修复是否有效，发起方据此调整。</x:v>
      </x:c>
      <x:c r="E11" s="24" t="str">
        <x:v>没有接收方反馈，或反馈被当成挑剔与否定。</x:v>
      </x:c>
      <x:c r="F11" s="24" t="str">
        <x:v>修复这一步要看到：接收方能说明修复是否有效，发起方据此调整。</x:v>
      </x:c>
    </x:row>
    <x:row r="12">
      <x:c r="A12" s="24" t="str">
        <x:v>RN08</x:v>
      </x:c>
      <x:c r="B12" s="24" t="str">
        <x:v>持续兑现、回访与重新开放</x:v>
      </x:c>
      <x:c r="C12" s="24" t="str">
        <x:v>BF06持续行为＋BF07完整回流</x:v>
      </x:c>
      <x:c r="D12" s="24" t="str">
        <x:v>改变在后续情境中持续，并有回访、复发检验和重新开放。</x:v>
      </x:c>
      <x:c r="E12" s="24" t="str">
        <x:v>一次改善、短期和好或无复发资料被写成稳定修复。</x:v>
      </x:c>
      <x:c r="F12" s="24" t="str">
        <x:v>修复这一步要看到：改变在后续情境中持续，并有回访、复发检验和重新开放。</x:v>
      </x:c>
    </x:row>
    <x:row r="14">
      <x:c r="A14" s="32" t="str">
        <x:v>RB01—RB12 修复盲点 → 保护接口</x:v>
      </x:c>
      <x:c r="B14" s="32"/>
      <x:c r="C14" s="32"/>
      <x:c r="D14" s="32"/>
      <x:c r="E14" s="32"/>
      <x:c r="F14" s="32"/>
    </x:row>
    <x:row r="15">
      <x:c r="A15" s="16" t="str">
        <x:v>RB编号</x:v>
      </x:c>
      <x:c r="B15" s="16" t="str">
        <x:v>修复盲点</x:v>
      </x:c>
      <x:c r="C15" s="16" t="str">
        <x:v>保护路由</x:v>
      </x:c>
      <x:c r="D15" s="16" t="str">
        <x:v>关键缺失</x:v>
      </x:c>
      <x:c r="E15" s="16" t="str">
        <x:v>发布边界</x:v>
      </x:c>
      <x:c r="F15" s="16" t="str">
        <x:v>用户提醒</x:v>
      </x:c>
    </x:row>
    <x:row r="16">
      <x:c r="A16" s="24" t="str">
        <x:v>RB01</x:v>
      </x:c>
      <x:c r="B16" s="24" t="str">
        <x:v>事件停止等同修复完成</x:v>
      </x:c>
      <x:c r="C16" s="24" t="str">
        <x:v>BF07完整修复回流；继续检查RN02—RN08</x:v>
      </x:c>
      <x:c r="D16" s="24" t="str">
        <x:v>继续查看对应RN节点是否真正完成</x:v>
      </x:c>
      <x:c r="E16" s="24" t="str">
        <x:v>不能用单次动作、标签或单方自述判断修复完成</x:v>
      </x:c>
      <x:c r="F16" s="24" t="str">
        <x:v>避免把“事件停止等同修复完成”当成完整修复，需要继续检查BF07完整修复回流；继续检查RN02—RN08。</x:v>
      </x:c>
    </x:row>
    <x:row r="17">
      <x:c r="A17" s="24" t="str">
        <x:v>RB02</x:v>
      </x:c>
      <x:c r="B17" s="24" t="str">
        <x:v>事实说清等同影响被理解</x:v>
      </x:c>
      <x:c r="C17" s="24" t="str">
        <x:v>BF04影响确认；补足RN03</x:v>
      </x:c>
      <x:c r="D17" s="24" t="str">
        <x:v>继续查看对应RN节点是否真正完成</x:v>
      </x:c>
      <x:c r="E17" s="24" t="str">
        <x:v>不能用单次动作、标签或单方自述判断修复完成</x:v>
      </x:c>
      <x:c r="F17" s="24" t="str">
        <x:v>避免把“事实说清等同影响被理解”当成完整修复，需要继续检查BF04影响确认；补足RN03。</x:v>
      </x:c>
    </x:row>
    <x:row r="18">
      <x:c r="A18" s="24" t="str">
        <x:v>RB03</x:v>
      </x:c>
      <x:c r="B18" s="24" t="str">
        <x:v>解释原因等同责任承担</x:v>
      </x:c>
      <x:c r="C18" s="24" t="str">
        <x:v>BF01责任门控＋BF06兑现；补足RN04与RN06</x:v>
      </x:c>
      <x:c r="D18" s="24" t="str">
        <x:v>继续查看对应RN节点是否真正完成</x:v>
      </x:c>
      <x:c r="E18" s="24" t="str">
        <x:v>不能用单次动作、标签或单方自述判断修复完成</x:v>
      </x:c>
      <x:c r="F18" s="24" t="str">
        <x:v>避免把“解释原因等同责任承担”当成完整修复，需要继续检查BF01责任门控＋BF06兑现；补足RN04与RN06。</x:v>
      </x:c>
    </x:row>
    <x:row r="19">
      <x:c r="A19" s="24" t="str">
        <x:v>RB04</x:v>
      </x:c>
      <x:c r="B19" s="24" t="str">
        <x:v>道歉表达等同行为改变</x:v>
      </x:c>
      <x:c r="C19" s="24" t="str">
        <x:v>BF06持续行为；补足RN06与RN08</x:v>
      </x:c>
      <x:c r="D19" s="24" t="str">
        <x:v>继续查看对应RN节点是否真正完成</x:v>
      </x:c>
      <x:c r="E19" s="24" t="str">
        <x:v>不能用单次动作、标签或单方自述判断修复完成</x:v>
      </x:c>
      <x:c r="F19" s="24" t="str">
        <x:v>避免把“道歉表达等同行为改变”当成完整修复，需要继续检查BF06持续行为；补足RN06与RN08。</x:v>
      </x:c>
    </x:row>
    <x:row r="20">
      <x:c r="A20" s="24" t="str">
        <x:v>RB05</x:v>
      </x:c>
      <x:c r="B20" s="24" t="str">
        <x:v>情绪安抚等同现实问题解决</x:v>
      </x:c>
      <x:c r="C20" s="24" t="str">
        <x:v>BF06现实调整＋BF07回流；区分RN03和RN06</x:v>
      </x:c>
      <x:c r="D20" s="24" t="str">
        <x:v>继续查看对应RN节点是否真正完成</x:v>
      </x:c>
      <x:c r="E20" s="24" t="str">
        <x:v>不能用单次动作、标签或单方自述判断修复完成</x:v>
      </x:c>
      <x:c r="F20" s="24" t="str">
        <x:v>避免把“情绪安抚等同现实问题解决”当成完整修复，需要继续检查BF06现实调整＋BF07回流；区分RN03和RN06。</x:v>
      </x:c>
    </x:row>
    <x:row r="21">
      <x:c r="A21" s="24" t="str">
        <x:v>RB06</x:v>
      </x:c>
      <x:c r="B21" s="24" t="str">
        <x:v>现实补偿等同关系修复</x:v>
      </x:c>
      <x:c r="C21" s="24" t="str">
        <x:v>BF04影响确认＋BF05反馈；补足RN03与RN07</x:v>
      </x:c>
      <x:c r="D21" s="24" t="str">
        <x:v>继续查看对应RN节点是否真正完成</x:v>
      </x:c>
      <x:c r="E21" s="24" t="str">
        <x:v>不能用单次动作、标签或单方自述判断修复完成</x:v>
      </x:c>
      <x:c r="F21" s="24" t="str">
        <x:v>避免把“现实补偿等同关系修复”当成完整修复，需要继续检查BF04影响确认＋BF05反馈；补足RN03与RN07。</x:v>
      </x:c>
    </x:row>
    <x:row r="22">
      <x:c r="A22" s="24" t="str">
        <x:v>RB07</x:v>
      </x:c>
      <x:c r="B22" s="24" t="str">
        <x:v>承诺规则等同共同协商</x:v>
      </x:c>
      <x:c r="C22" s="24" t="str">
        <x:v>BF03共同决定＋BF05协商；补足RN05</x:v>
      </x:c>
      <x:c r="D22" s="24" t="str">
        <x:v>继续查看对应RN节点是否真正完成</x:v>
      </x:c>
      <x:c r="E22" s="24" t="str">
        <x:v>不能用单次动作、标签或单方自述判断修复完成</x:v>
      </x:c>
      <x:c r="F22" s="24" t="str">
        <x:v>避免把“承诺规则等同共同协商”当成完整修复，需要继续检查BF03共同决定＋BF05协商；补足RN05。</x:v>
      </x:c>
    </x:row>
    <x:row r="23">
      <x:c r="A23" s="24" t="str">
        <x:v>RB08</x:v>
      </x:c>
      <x:c r="B23" s="24" t="str">
        <x:v>方案形成等同执行完成</x:v>
      </x:c>
      <x:c r="C23" s="24" t="str">
        <x:v>BF06执行＋RN07反馈＋RN08回访</x:v>
      </x:c>
      <x:c r="D23" s="24" t="str">
        <x:v>继续查看对应RN节点是否真正完成</x:v>
      </x:c>
      <x:c r="E23" s="24" t="str">
        <x:v>不能用单次动作、标签或单方自述判断修复完成</x:v>
      </x:c>
      <x:c r="F23" s="24" t="str">
        <x:v>避免把“方案形成等同执行完成”当成完整修复，需要继续检查BF06执行＋RN07反馈＋RN08回访。</x:v>
      </x:c>
    </x:row>
    <x:row r="24">
      <x:c r="A24" s="24" t="str">
        <x:v>RB09</x:v>
      </x:c>
      <x:c r="B24" s="24" t="str">
        <x:v>暂停降温等同自动回归</x:v>
      </x:c>
      <x:c r="C24" s="24" t="str">
        <x:v>BF07回归路径＋BF08状态分工；补足RN07／RN08</x:v>
      </x:c>
      <x:c r="D24" s="24" t="str">
        <x:v>继续查看对应RN节点是否真正完成</x:v>
      </x:c>
      <x:c r="E24" s="24" t="str">
        <x:v>不能用单次动作、标签或单方自述判断修复完成</x:v>
      </x:c>
      <x:c r="F24" s="24" t="str">
        <x:v>避免把“暂停降温等同自动回归”当成完整修复，需要继续检查BF07回归路径＋BF08状态分工；补足RN07／RN08。</x:v>
      </x:c>
    </x:row>
    <x:row r="25">
      <x:c r="A25" s="24" t="str">
        <x:v>RB10</x:v>
      </x:c>
      <x:c r="B25" s="24" t="str">
        <x:v>快速和好等同边界已经重订</x:v>
      </x:c>
      <x:c r="C25" s="24" t="str">
        <x:v>BF03边界重订；补足RN05</x:v>
      </x:c>
      <x:c r="D25" s="24" t="str">
        <x:v>继续查看对应RN节点是否真正完成</x:v>
      </x:c>
      <x:c r="E25" s="24" t="str">
        <x:v>不能用单次动作、标签或单方自述判断修复完成</x:v>
      </x:c>
      <x:c r="F25" s="24" t="str">
        <x:v>避免把“快速和好等同边界已经重订”当成完整修复，需要继续检查BF03边界重订；补足RN05。</x:v>
      </x:c>
    </x:row>
    <x:row r="26">
      <x:c r="A26" s="24" t="str">
        <x:v>RB11</x:v>
      </x:c>
      <x:c r="B26" s="24" t="str">
        <x:v>单方修复投入等同双方闭环</x:v>
      </x:c>
      <x:c r="C26" s="24" t="str">
        <x:v>BF05接收反馈＋BF07双向回流；补足RN07</x:v>
      </x:c>
      <x:c r="D26" s="24" t="str">
        <x:v>继续查看对应RN节点是否真正完成</x:v>
      </x:c>
      <x:c r="E26" s="24" t="str">
        <x:v>不能用单次动作、标签或单方自述判断修复完成</x:v>
      </x:c>
      <x:c r="F26" s="24" t="str">
        <x:v>避免把“单方修复投入等同双方闭环”当成完整修复，需要继续检查BF05接收反馈＋BF07双向回流；补足RN07。</x:v>
      </x:c>
    </x:row>
    <x:row r="27">
      <x:c r="A27" s="24" t="str">
        <x:v>RB12</x:v>
      </x:c>
      <x:c r="B27" s="24" t="str">
        <x:v>一次改善等同稳定改变</x:v>
      </x:c>
      <x:c r="C27" s="24" t="str">
        <x:v>BF06跨时间兑现＋BL6以上证据；补足RN08</x:v>
      </x:c>
      <x:c r="D27" s="24" t="str">
        <x:v>继续查看对应RN节点是否真正完成</x:v>
      </x:c>
      <x:c r="E27" s="24" t="str">
        <x:v>不能用单次动作、标签或单方自述判断修复完成</x:v>
      </x:c>
      <x:c r="F27" s="24" t="str">
        <x:v>避免把“一次改善等同稳定改变”当成完整修复，需要继续检查BF06跨时间兑现＋BL6以上证据；补足RN08。</x:v>
      </x:c>
    </x:row>
  </x:sheetData>
  <x:mergeCells>
    <x:mergeCell ref="A1:F1"/>
    <x:mergeCell ref="A2:F2"/>
    <x:mergeCell ref="A14:F14"/>
  </x:mergeCells>
  <x:pageMargins left="0.7" right="0.7" top="0.75" bottom="0.75" header="0.3" footer="0.3"/>
  <x:tableParts count="2">
    <x:tablePart xmlns:r="http://schemas.openxmlformats.org/officeDocument/2006/relationships" r:id="R7ce34a1298e442f8"/>
    <x:tablePart xmlns:r="http://schemas.openxmlformats.org/officeDocument/2006/relationships" r:id="Rd326a366fa214dc3"/>
  </x:tableParts>
</x:worksheet>
</file>

<file path=xl/worksheets/sheet10.xml><?xml version="1.0" encoding="utf-8"?>
<x:worksheet xmlns:x="http://schemas.openxmlformats.org/spreadsheetml/2006/main">
  <x:sheetFormatPr defaultRowHeight="15"/>
  <x:cols>
    <x:col min="1" max="1" width="10" hidden="0" customWidth="1"/>
    <x:col min="2" max="2" width="30" hidden="0" customWidth="1"/>
    <x:col min="3" max="3" width="46" hidden="0" customWidth="1"/>
    <x:col min="4" max="4" width="42" hidden="0" customWidth="1"/>
    <x:col min="5" max="5" width="44" hidden="0" customWidth="1"/>
    <x:col min="6" max="6" width="46" hidden="0" customWidth="1"/>
  </x:cols>
  <x:sheetData>
    <x:row r="1">
      <x:c r="A1" s="6" t="str">
        <x:v>OS01—OS08 外部支持与现实证据</x:v>
      </x:c>
      <x:c r="B1" s="6"/>
      <x:c r="C1" s="6"/>
      <x:c r="D1" s="6"/>
      <x:c r="E1" s="6"/>
      <x:c r="F1" s="6"/>
    </x:row>
    <x:row r="2">
      <x:c r="A2" s="55" t="str">
        <x:v>外部支持只能来自现实资料，不由命盘推断；安全资源优先于普通关系调节。</x:v>
      </x:c>
      <x:c r="B2" s="55"/>
      <x:c r="C2" s="55"/>
      <x:c r="D2" s="55"/>
      <x:c r="E2" s="55"/>
      <x:c r="F2" s="55"/>
    </x:row>
    <x:row r="4">
      <x:c r="A4" s="16" t="str">
        <x:v>编号</x:v>
      </x:c>
      <x:c r="B4" s="16" t="str">
        <x:v>现实支持</x:v>
      </x:c>
      <x:c r="C4" s="16" t="str">
        <x:v>定义</x:v>
      </x:c>
      <x:c r="D4" s="16" t="str">
        <x:v>适用情境</x:v>
      </x:c>
      <x:c r="E4" s="16" t="str">
        <x:v>有效证据</x:v>
      </x:c>
      <x:c r="F4" s="16" t="str">
        <x:v>使用边界</x:v>
      </x:c>
    </x:row>
    <x:row r="5">
      <x:c r="A5" s="24" t="str">
        <x:v>OS01</x:v>
      </x:c>
      <x:c r="B5" s="24" t="str">
        <x:v>现实反例与成功经验</x:v>
      </x:c>
      <x:c r="C5" s="24" t="str">
        <x:v>记录同类触发下没有进入风险链、或成功中断风险链的具体事件。</x:v>
      </x:c>
      <x:c r="D5" s="24" t="str">
        <x:v>用于降低候选强度、识别条件性模式，并校验保护是否真实有效。</x:v>
      </x:c>
      <x:c r="E5" s="24" t="str">
        <x:v>若成功经验包含清楚触发、保护动作和后续结果，可升级BL4—BL6。</x:v>
      </x:c>
      <x:c r="F5" s="24" t="str">
        <x:v>一次成功不等于稳定保护；需纳入失败事件和情境差异。</x:v>
      </x:c>
    </x:row>
    <x:row r="6">
      <x:c r="A6" s="24" t="str">
        <x:v>OS02</x:v>
      </x:c>
      <x:c r="B6" s="24" t="str">
        <x:v>伴侣可观察反馈</x:v>
      </x:c>
      <x:c r="C6" s="24" t="str">
        <x:v>由伴侣或互动对象提供对表达、边界、行动、修复是否被接收的具体反馈。</x:v>
      </x:c>
      <x:c r="D6" s="24" t="str">
        <x:v>用于验证BF04、BF05、BF07及循环是否真正被中断。</x:v>
      </x:c>
      <x:c r="E6" s="24" t="str">
        <x:v>反馈被整合并引发二次调整时，可提高保护有效层级。</x:v>
      </x:c>
      <x:c r="F6" s="24" t="str">
        <x:v>不得替对方猜测动机；只记录可观察行为和明确表达。</x:v>
      </x:c>
    </x:row>
    <x:row r="7">
      <x:c r="A7" s="24" t="str">
        <x:v>OS03</x:v>
      </x:c>
      <x:c r="B7" s="24" t="str">
        <x:v>可靠亲友与社会支持</x:v>
      </x:c>
      <x:c r="C7" s="24" t="str">
        <x:v>现实中可提供陪伴、信息、临时资源、见证或安全协助的可靠人员。</x:v>
      </x:c>
      <x:c r="D7" s="24" t="str">
        <x:v>用于降低孤立决策、高压占位和资源不足，尤其适用于TR04、TR08。</x:v>
      </x:c>
      <x:c r="E7" s="24" t="str">
        <x:v>支持能够在关键情境中被实际调用时，可作为BF08的现实证据。</x:v>
      </x:c>
      <x:c r="F7" s="24" t="str">
        <x:v>不得由命盘推断支持一定存在；支持质量、边界和保密性需现实确认。</x:v>
      </x:c>
    </x:row>
    <x:row r="8">
      <x:c r="A8" s="24" t="str">
        <x:v>OS04</x:v>
      </x:c>
      <x:c r="B8" s="24" t="str">
        <x:v>结构化沟通工具与书面协议</x:v>
      </x:c>
      <x:c r="C8" s="24" t="str">
        <x:v>包括议题清单、暂停回归约定、分工表、最低规则、复盘记录等现实工具。</x:v>
      </x:c>
      <x:c r="D8" s="24" t="str">
        <x:v>用于支持BF03、BF05、BF06、BF07，把抽象共识转成可执行流程。</x:v>
      </x:c>
      <x:c r="E8" s="24" t="str">
        <x:v>工具被双方使用、允许反馈并持续执行时，可提高保护可重复性。</x:v>
      </x:c>
      <x:c r="F8" s="24" t="str">
        <x:v>工具不能替代安全、诚意、责任或双方选择；表格越多不等于关系越好。</x:v>
      </x:c>
    </x:row>
    <x:row r="9">
      <x:c r="A9" s="24" t="str">
        <x:v>OS05</x:v>
      </x:c>
      <x:c r="B9" s="24" t="str">
        <x:v>现实资源与环境调整</x:v>
      </x:c>
      <x:c r="C9" s="24" t="str">
        <x:v>通过时间安排、经济资源、居住环境、工作负荷或接触频率调整降低触发负荷。</x:v>
      </x:c>
      <x:c r="D9" s="24" t="str">
        <x:v>用于TR04、TR06、TR08及资源压力下的状态分工。</x:v>
      </x:c>
      <x:c r="E9" s="24" t="str">
        <x:v>环境调整明确降低触发频率或提高修复完成率时，可计入有效保护。</x:v>
      </x:c>
      <x:c r="F9" s="24" t="str">
        <x:v>环境改善不等于关系能力自动提升；需区分暂时减压和长期改变。</x:v>
      </x:c>
    </x:row>
    <x:row r="10">
      <x:c r="A10" s="24" t="str">
        <x:v>OS06</x:v>
      </x:c>
      <x:c r="B10" s="24" t="str">
        <x:v>专业咨询、治疗或督导</x:v>
      </x:c>
      <x:c r="C10" s="24" t="str">
        <x:v>由合格专业人员提供评估、技能训练、心理支持、医疗或关系咨询。</x:v>
      </x:c>
      <x:c r="D10" s="24" t="str">
        <x:v>当个人与伴侣资源不足、循环反复或影响显著时，提供外部结构和专业反馈。</x:v>
      </x:c>
      <x:c r="E10" s="24" t="str">
        <x:v>现实中已参与并产生可观察改变时，可作为BF08与BL4以上证据。</x:v>
      </x:c>
      <x:c r="F10" s="24" t="str">
        <x:v>模型不能诊断疾病、指定治疗或保证效果；应以专业评估为准。</x:v>
      </x:c>
    </x:row>
    <x:row r="11">
      <x:c r="A11" s="24" t="str">
        <x:v>OS07</x:v>
      </x:c>
      <x:c r="B11" s="24" t="str">
        <x:v>安全计划、法律与医疗支持</x:v>
      </x:c>
      <x:c r="C11" s="24" t="str">
        <x:v>在暴力、威胁、强迫、跟踪、经济控制或人身风险中使用的现实保护资源。</x:v>
      </x:c>
      <x:c r="D11" s="24" t="str">
        <x:v>用于安全停止、责任追踪、证据保存、医疗与法律协助。</x:v>
      </x:c>
      <x:c r="E11" s="24" t="str">
        <x:v>该类支持优先于普通关系调节，不参与“双方循环”平均责任。</x:v>
      </x:c>
      <x:c r="F11" s="24" t="str">
        <x:v>不得建议继续暴露、私下协商或以命理化解替代安全措施。</x:v>
      </x:c>
    </x:row>
    <x:row r="12">
      <x:c r="A12" s="24" t="str">
        <x:v>OS08</x:v>
      </x:c>
      <x:c r="B12" s="24" t="str">
        <x:v>主动退出、降低暴露与关系降级</x:v>
      </x:c>
      <x:c r="C12" s="24" t="str">
        <x:v>在风险持续、边界反复被越过或修复无效时，减少接触、暂停或结束关系。</x:v>
      </x:c>
      <x:c r="D12" s="24" t="str">
        <x:v>用于保护选择权、安全和现实资源，并停止不必要的循环暴露。</x:v>
      </x:c>
      <x:c r="E12" s="24" t="str">
        <x:v>退出或降级本身可以是有效保护，不要求关系必须恢复。</x:v>
      </x:c>
      <x:c r="F12" s="24" t="str">
        <x:v>是否退出由当事人基于现实情况决定；命理不能强制继续或结束关系。</x:v>
      </x:c>
    </x:row>
  </x:sheetData>
  <x:mergeCells>
    <x:mergeCell ref="A1:F1"/>
    <x:mergeCell ref="A2:F2"/>
  </x:mergeCells>
  <x:pageMargins left="0.7" right="0.7" top="0.75" bottom="0.75" header="0.3" footer="0.3"/>
  <x:tableParts count="1">
    <x:tablePart xmlns:r="http://schemas.openxmlformats.org/officeDocument/2006/relationships" r:id="R095e36e9e2334992"/>
  </x:tableParts>
</x:worksheet>
</file>

<file path=xl/worksheets/sheet11.xml><?xml version="1.0" encoding="utf-8"?>
<x:worksheet xmlns:x="http://schemas.openxmlformats.org/spreadsheetml/2006/main">
  <x:sheetFormatPr defaultRowHeight="15"/>
  <x:cols>
    <x:col min="1" max="1" width="10" hidden="0" customWidth="1"/>
    <x:col min="2" max="2" width="28" hidden="0" customWidth="1"/>
    <x:col min="3" max="3" width="56" hidden="0" customWidth="1"/>
    <x:col min="4" max="4" width="56" hidden="0" customWidth="1"/>
  </x:cols>
  <x:sheetData>
    <x:row r="1">
      <x:c r="A1" s="6" t="str">
        <x:v>SM01—SM16 保护资源状态修正</x:v>
      </x:c>
      <x:c r="B1" s="6"/>
      <x:c r="C1" s="6"/>
      <x:c r="D1" s="6"/>
    </x:row>
    <x:row r="3">
      <x:c r="A3" s="16" t="str">
        <x:v>代码</x:v>
      </x:c>
      <x:c r="B3" s="16" t="str">
        <x:v>状态</x:v>
      </x:c>
      <x:c r="C3" s="16" t="str">
        <x:v>保护修正</x:v>
      </x:c>
      <x:c r="D3" s="16" t="str">
        <x:v>使用边界</x:v>
      </x:c>
    </x:row>
    <x:row r="4">
      <x:c r="A4" s="24" t="str">
        <x:v>SM01</x:v>
      </x:c>
      <x:c r="B4" s="24" t="str">
        <x:v>透干且有根</x:v>
      </x:c>
      <x:c r="C4" s="24" t="str">
        <x:v>保护功能较容易被看见，也较有条件重复调用。</x:v>
      </x:c>
      <x:c r="D4" s="24" t="str">
        <x:v>可提高可调用性，但仍需现实效果验证。</x:v>
      </x:c>
    </x:row>
    <x:row r="5">
      <x:c r="A5" s="24" t="str">
        <x:v>SM02</x:v>
      </x:c>
      <x:c r="B5" s="24" t="str">
        <x:v>透干但无根</x:v>
      </x:c>
      <x:c r="C5" s="24" t="str">
        <x:v>保护意图或方法容易外显，但持续性和高压稳定度不足。</x:v>
      </x:c>
      <x:c r="D5" s="24" t="str">
        <x:v>提高可见度，不提高稳定保护等级。</x:v>
      </x:c>
    </x:row>
    <x:row r="6">
      <x:c r="A6" s="24" t="str">
        <x:v>SM03</x:v>
      </x:c>
      <x:c r="B6" s="24" t="str">
        <x:v>藏支且有根</x:v>
      </x:c>
      <x:c r="C6" s="24" t="str">
        <x:v>保护资源较内隐，通常在熟悉、具体事件或需要时逐渐启动。</x:v>
      </x:c>
      <x:c r="D6" s="24" t="str">
        <x:v>可作为条件性资源，不能因不外显就判定不存在。</x:v>
      </x:c>
    </x:row>
    <x:row r="7">
      <x:c r="A7" s="24" t="str">
        <x:v>SM04</x:v>
      </x:c>
      <x:c r="B7" s="24" t="str">
        <x:v>藏而弱远</x:v>
      </x:c>
      <x:c r="C7" s="24" t="str">
        <x:v>资源存在但进入亲密关系核心的条件较多。</x:v>
      </x:c>
      <x:c r="D7" s="24" t="str">
        <x:v>只保留潜在或背景资源，默认封顶BL1—BL2。</x:v>
      </x:c>
    </x:row>
    <x:row r="8">
      <x:c r="A8" s="24" t="str">
        <x:v>SM05</x:v>
      </x:c>
      <x:c r="B8" s="24" t="str">
        <x:v>旺而平衡</x:v>
      </x:c>
      <x:c r="C8" s="24" t="str">
        <x:v>保护功能有较好承载和重复调用条件。</x:v>
      </x:c>
      <x:c r="D8" s="24" t="str">
        <x:v>提高可调用性，但强度不能替代功能匹配和现实效果。</x:v>
      </x:c>
    </x:row>
    <x:row r="9">
      <x:c r="A9" s="24" t="str">
        <x:v>SM06</x:v>
      </x:c>
      <x:c r="B9" s="24" t="str">
        <x:v>旺而失衡</x:v>
      </x:c>
      <x:c r="C9" s="24" t="str">
        <x:v>保护功能可能抢先、过量或转成伪保护。</x:v>
      </x:c>
      <x:c r="D9" s="24" t="str">
        <x:v>需要检查PB与K01，不直接增加保护分。</x:v>
      </x:c>
    </x:row>
    <x:row r="10">
      <x:c r="A10" s="24" t="str">
        <x:v>SM07</x:v>
      </x:c>
      <x:c r="B10" s="24" t="str">
        <x:v>偏弱但有助</x:v>
      </x:c>
      <x:c r="C10" s="24" t="str">
        <x:v>功能自身不强，但在特定关系任务中有支持和通关。</x:v>
      </x:c>
      <x:c r="D10" s="24" t="str">
        <x:v>可形成条件性保护，说明触发条件。</x:v>
      </x:c>
    </x:row>
    <x:row r="11">
      <x:c r="A11" s="24" t="str">
        <x:v>SM08</x:v>
      </x:c>
      <x:c r="B11" s="24" t="str">
        <x:v>偏弱且无助</x:v>
      </x:c>
      <x:c r="C11" s="24" t="str">
        <x:v>功能进入较难、持续性不足或容易被其他通道替代。</x:v>
      </x:c>
      <x:c r="D11" s="24" t="str">
        <x:v>不得作为主保护，除非现实中已有清楚启动证据。</x:v>
      </x:c>
    </x:row>
    <x:row r="12">
      <x:c r="A12" s="24" t="str">
        <x:v>SM09</x:v>
      </x:c>
      <x:c r="B12" s="24" t="str">
        <x:v>有制有化／有通关</x:v>
      </x:c>
      <x:c r="C12" s="24" t="str">
        <x:v>存在独立、强度适配、路径明确的调节或转换功能。</x:v>
      </x:c>
      <x:c r="D12" s="24" t="str">
        <x:v>需确认靶点匹配与现实调用，不能自动清零风险。</x:v>
      </x:c>
    </x:row>
    <x:row r="13">
      <x:c r="A13" s="24" t="str">
        <x:v>SM10</x:v>
      </x:c>
      <x:c r="B13" s="24" t="str">
        <x:v>强而无制</x:v>
      </x:c>
      <x:c r="C13" s="24" t="str">
        <x:v>某功能压力下容易占位，保护功能可能无法及时进入。</x:v>
      </x:c>
      <x:c r="D13" s="24" t="str">
        <x:v>保护分降级，并优先检查BF01、BF03、BF08。</x:v>
      </x:c>
    </x:row>
    <x:row r="14">
      <x:c r="A14" s="24" t="str">
        <x:v>SM11</x:v>
      </x:c>
      <x:c r="B14" s="24" t="str">
        <x:v>日支主气／日柱近位</x:v>
      </x:c>
      <x:c r="C14" s="24" t="str">
        <x:v>保护资源与亲密关系核心联系较直接。</x:v>
      </x:c>
      <x:c r="D14" s="24" t="str">
        <x:v>提高相关性，不等于现实已经成熟使用。</x:v>
      </x:c>
    </x:row>
    <x:row r="15">
      <x:c r="A15" s="24" t="str">
        <x:v>SM12</x:v>
      </x:c>
      <x:c r="B15" s="24" t="str">
        <x:v>中气有效</x:v>
      </x:c>
      <x:c r="C15" s="24" t="str">
        <x:v>资源可作为第二保护或特定情境补位。</x:v>
      </x:c>
      <x:c r="D15" s="24" t="str">
        <x:v>需独立来源和功能不同，不能与主气平铺。</x:v>
      </x:c>
    </x:row>
    <x:row r="16">
      <x:c r="A16" s="24" t="str">
        <x:v>SM13</x:v>
      </x:c>
      <x:c r="B16" s="24" t="str">
        <x:v>余气有效</x:v>
      </x:c>
      <x:c r="C16" s="24" t="str">
        <x:v>资源多为背景、备用或高压下潜在功能。</x:v>
      </x:c>
      <x:c r="D16" s="24" t="str">
        <x:v>默认只作次级修正，现实事件可升级。</x:v>
      </x:c>
    </x:row>
    <x:row r="17">
      <x:c r="A17" s="24" t="str">
        <x:v>SM14</x:v>
      </x:c>
      <x:c r="B17" s="24" t="str">
        <x:v>合冲刑害破</x:v>
      </x:c>
      <x:c r="C17" s="24" t="str">
        <x:v>只修正保护资源的启动、牵连、切换、反复或重组节奏。</x:v>
      </x:c>
      <x:c r="D17" s="24" t="str">
        <x:v>不能直接判断保护有效、关系破裂或问题必然发生。</x:v>
      </x:c>
    </x:row>
    <x:row r="18">
      <x:c r="A18" s="24" t="str">
        <x:v>SM15</x:v>
      </x:c>
      <x:c r="B18" s="24" t="str">
        <x:v>真合化成立</x:v>
      </x:c>
      <x:c r="C18" s="24" t="str">
        <x:v>原十神保护功能按化神系统替换。</x:v>
      </x:c>
      <x:c r="D18" s="24" t="str">
        <x:v>原功能清零，不得与化神重复计分。</x:v>
      </x:c>
    </x:row>
    <x:row r="19">
      <x:c r="A19" s="24" t="str">
        <x:v>SM16</x:v>
      </x:c>
      <x:c r="B19" s="24" t="str">
        <x:v>阶段覆盖与现实反例</x:v>
      </x:c>
      <x:c r="C19" s="24" t="str">
        <x:v>大运流年或生活阶段可提高资源显著度；现实反例直接修正。</x:v>
      </x:c>
      <x:c r="D19" s="24" t="str">
        <x:v>阶段不能创造不存在的现实支持，反例优先。</x:v>
      </x:c>
    </x:row>
  </x:sheetData>
  <x:mergeCells>
    <x:mergeCell ref="A1:D1"/>
  </x:mergeCells>
  <x:pageMargins left="0.7" right="0.7" top="0.75" bottom="0.75" header="0.3" footer="0.3"/>
  <x:tableParts count="1">
    <x:tablePart xmlns:r="http://schemas.openxmlformats.org/officeDocument/2006/relationships" r:id="Rb944efff2d8246e0"/>
  </x:tableParts>
</x:worksheet>
</file>

<file path=xl/worksheets/sheet12.xml><?xml version="1.0" encoding="utf-8"?>
<x:worksheet xmlns:x="http://schemas.openxmlformats.org/spreadsheetml/2006/main">
  <x:sheetFormatPr defaultRowHeight="15"/>
  <x:cols>
    <x:col min="1" max="1" width="16" hidden="0" customWidth="1"/>
    <x:col min="2" max="2" width="42" hidden="0" customWidth="1"/>
    <x:col min="3" max="3" width="46" hidden="0" customWidth="1"/>
    <x:col min="4" max="4" width="46" hidden="0" customWidth="1"/>
    <x:col min="5" max="5" width="48" hidden="0" customWidth="1"/>
  </x:cols>
  <x:sheetData>
    <x:row r="1">
      <x:c r="A1" s="6" t="str">
        <x:v>跨模块接口、同源去重与停止规则</x:v>
      </x:c>
      <x:c r="B1" s="6"/>
      <x:c r="C1" s="6"/>
      <x:c r="D1" s="6"/>
      <x:c r="E1" s="6"/>
    </x:row>
    <x:row r="3">
      <x:c r="A3" s="16" t="str">
        <x:v>类别</x:v>
      </x:c>
      <x:c r="B3" s="16" t="str">
        <x:v>检查问题</x:v>
      </x:c>
      <x:c r="C3" s="16" t="str">
        <x:v>成立条件</x:v>
      </x:c>
      <x:c r="D3" s="16" t="str">
        <x:v>停止／降级条件</x:v>
      </x:c>
      <x:c r="E3" s="16" t="str">
        <x:v>处理</x:v>
      </x:c>
    </x:row>
    <x:row r="4">
      <x:c r="A4" s="24" t="str">
        <x:v>跨模块接口</x:v>
      </x:c>
      <x:c r="B4" s="24" t="str">
        <x:v>M4-BASE接口｜保护必须针对已成立失衡候选</x:v>
      </x:c>
      <x:c r="C4" s="24" t="str">
        <x:v>M4-BASE已经形成E1结构候选。</x:v>
      </x:c>
      <x:c r="D4" s="24" t="str">
        <x:v>没有明确正常功能与失衡方式。</x:v>
      </x:c>
      <x:c r="E4" s="24" t="str">
        <x:v>BF只对已定义的失衡靶点生效。</x:v>
      </x:c>
    </x:row>
    <x:row r="5">
      <x:c r="A5" s="24" t="str">
        <x:v>跨模块接口</x:v>
      </x:c>
      <x:c r="B5" s="24" t="str">
        <x:v>M4-MISREAD接口｜验证证据优先于增加解释</x:v>
      </x:c>
      <x:c r="C5" s="24" t="str">
        <x:v>M4-MISREAD已识别J01—J10证据越级。</x:v>
      </x:c>
      <x:c r="D5" s="24" t="str">
        <x:v>继续用命理标签补充更多同源证明。</x:v>
      </x:c>
      <x:c r="E5" s="24" t="str">
        <x:v>优先用BF06现实行为、OS01反例和OS02反馈校验误读。</x:v>
      </x:c>
    </x:row>
    <x:row r="6">
      <x:c r="A6" s="24" t="str">
        <x:v>跨模块接口</x:v>
      </x:c>
      <x:c r="B6" s="24" t="str">
        <x:v>M4-OVERUSE接口｜K机制决定保护任务</x:v>
      </x:c>
      <x:c r="C6" s="24" t="str">
        <x:v>K01—K08至少一项达到E1。</x:v>
      </x:c>
      <x:c r="D6" s="24" t="str">
        <x:v>没有K机制却直接配置“药”。</x:v>
      </x:c>
      <x:c r="E6" s="24" t="str">
        <x:v>K机制拥有保护路由主权。</x:v>
      </x:c>
    </x:row>
    <x:row r="7">
      <x:c r="A7" s="24" t="str">
        <x:v>跨模块接口</x:v>
      </x:c>
      <x:c r="B7" s="24" t="str">
        <x:v>M4-TRIGGER接口｜保护可调整阈值但不预测事件</x:v>
      </x:c>
      <x:c r="C7" s="24" t="str">
        <x:v>TR域与触发形式已经明确。</x:v>
      </x:c>
      <x:c r="D7" s="24" t="str">
        <x:v>用保护分数推断具体事件不会发生。</x:v>
      </x:c>
      <x:c r="E7" s="24" t="str">
        <x:v>保护可以提高、降低或条件化触发阈值，不改变事件预测边界。</x:v>
      </x:c>
    </x:row>
    <x:row r="8">
      <x:c r="A8" s="24" t="str">
        <x:v>跨模块接口</x:v>
      </x:c>
      <x:c r="B8" s="24" t="str">
        <x:v>M4-LOOP接口｜中断循环必须有现实节点</x:v>
      </x:c>
      <x:c r="C8" s="24" t="str">
        <x:v>LP循环已有现实反馈与复发证据。</x:v>
      </x:c>
      <x:c r="D8" s="24" t="str">
        <x:v>只有命盘结构而没有对方反馈。</x:v>
      </x:c>
      <x:c r="E8" s="24" t="str">
        <x:v>循环保护必须改变至少一个LN节点，并观察后续复发。</x:v>
      </x:c>
    </x:row>
    <x:row r="9">
      <x:c r="A9" s="24" t="str">
        <x:v>跨模块接口</x:v>
      </x:c>
      <x:c r="B9" s="24" t="str">
        <x:v>M4-REPAIR接口｜保护必须补足具体RN节点</x:v>
      </x:c>
      <x:c r="C9" s="24" t="str">
        <x:v>已识别缺失RN节点或RB盲点。</x:v>
      </x:c>
      <x:c r="D9" s="24" t="str">
        <x:v>把道歉、安抚或补偿泛化为完整修复。</x:v>
      </x:c>
      <x:c r="E9" s="24" t="str">
        <x:v>修复保护按缺失节点配置，并由RN07、RN08限制完成结论。</x:v>
      </x:c>
    </x:row>
    <x:row r="10">
      <x:c r="A10" s="24" t="str">
        <x:v>跨模块接口</x:v>
      </x:c>
      <x:c r="B10" s="24" t="str">
        <x:v>M1接口｜心动信号不作为保护分</x:v>
      </x:c>
      <x:c r="C10" s="24" t="str">
        <x:v>M1提供吸引触发和心动原型。</x:v>
      </x:c>
      <x:c r="D10" s="24" t="str">
        <x:v>把喜欢成熟、会沟通、有力量的人直接当成保护。</x:v>
      </x:c>
      <x:c r="E10" s="24" t="str">
        <x:v>M1只用于识别可能被高估的信号，不增加BUFFER分。</x:v>
      </x:c>
    </x:row>
    <x:row r="11">
      <x:c r="A11" s="24" t="str">
        <x:v>跨模块接口</x:v>
      </x:c>
      <x:c r="B11" s="24" t="str">
        <x:v>M2接口｜准入证据不等于调节能力</x:v>
      </x:c>
      <x:c r="C11" s="24" t="str">
        <x:v>M2提供门槛、资格证据和确认路径。</x:v>
      </x:c>
      <x:c r="D11" s="24" t="str">
        <x:v>把守约、投入或推进一次直接视为稳定保护。</x:v>
      </x:c>
      <x:c r="E11" s="24" t="str">
        <x:v>M2证据需经M3功能和现实重复验证后才可进入BF06。</x:v>
      </x:c>
    </x:row>
    <x:row r="12">
      <x:c r="A12" s="24" t="str">
        <x:v>跨模块接口</x:v>
      </x:c>
      <x:c r="B12" s="24" t="str">
        <x:v>M3-BASE／EXPR接口｜中性功能只提供资源来源</x:v>
      </x:c>
      <x:c r="C12" s="24" t="str">
        <x:v>M3已确定底盘和表达通道。</x:v>
      </x:c>
      <x:c r="D12" s="24" t="str">
        <x:v>将M3中性通道直接贴成药或风险已解除。</x:v>
      </x:c>
      <x:c r="E12" s="24" t="str">
        <x:v>M3说明资源来源；BUFFER判断是否匹配靶点、可调用和有效。</x:v>
      </x:c>
    </x:row>
    <x:row r="13">
      <x:c r="A13" s="24" t="str">
        <x:v>跨模块接口</x:v>
      </x:c>
      <x:c r="B13" s="24" t="str">
        <x:v>M3-CARE／BOUND接口｜投入与边界分别验证</x:v>
      </x:c>
      <x:c r="C13" s="24" t="str">
        <x:v>M3已确定支持交换和边界通道。</x:v>
      </x:c>
      <x:c r="D13" s="24" t="str">
        <x:v>用付出量替代边界、反馈或双向修复。</x:v>
      </x:c>
      <x:c r="E13" s="24" t="str">
        <x:v>CARE提供落实资源，BOUND提供选择权；同源事实需去重。</x:v>
      </x:c>
    </x:row>
    <x:row r="14">
      <x:c r="A14" s="24" t="str">
        <x:v>跨模块接口</x:v>
      </x:c>
      <x:c r="B14" s="24" t="str">
        <x:v>M3-CONFLICT及未来REPAIR／STATE接口</x:v>
      </x:c>
      <x:c r="C14" s="24" t="str">
        <x:v>已有分歧顺序；M3-REPAIR和STATE尚待建设。</x:v>
      </x:c>
      <x:c r="D14" s="24" t="str">
        <x:v>把暂定状态切换与修复风格写成最终结论。</x:v>
      </x:c>
      <x:c r="E14" s="24" t="str">
        <x:v>当前只继承CONFLICT；修复和状态接口保持provisional。</x:v>
      </x:c>
    </x:row>
    <x:row r="15">
      <x:c r="A15" s="24" t="str">
        <x:v>跨模块接口</x:v>
      </x:c>
      <x:c r="B15" s="24" t="str">
        <x:v>共享引擎、M5与去重接口</x:v>
      </x:c>
      <x:c r="C15" s="24" t="str">
        <x:v>所有事实保留source_id，最终适配交M5。</x:v>
      </x:c>
      <x:c r="D15" s="24" t="str">
        <x:v>重复计算同一事实，或由保护因素直接推荐伴侣类型。</x:v>
      </x:c>
      <x:c r="E15" s="24" t="str">
        <x:v>共享引擎负责事实，BUFFER负责降权，M5负责长期适配。</x:v>
      </x:c>
    </x:row>
    <x:row r="16">
      <x:c r="A16" s="24" t="str">
        <x:v>硬边界</x:v>
      </x:c>
      <x:c r="B16" s="24" t="str">
        <x:v>是否已明确风险靶点</x:v>
      </x:c>
      <x:c r="C16" s="24" t="str">
        <x:v>存在K机制／TR／LP／RN中的至少一项</x:v>
      </x:c>
      <x:c r="D16" s="24" t="str">
        <x:v>只有喜用神或十神标签</x:v>
      </x:c>
      <x:c r="E16" s="24" t="str">
        <x:v>停止配置保护因素</x:v>
      </x:c>
    </x:row>
    <x:row r="17">
      <x:c r="A17" s="24" t="str">
        <x:v>硬边界</x:v>
      </x:c>
      <x:c r="B17" s="24" t="str">
        <x:v>是否完成同源去重</x:v>
      </x:c>
      <x:c r="C17" s="24" t="str">
        <x:v>source_id／event_id唯一</x:v>
      </x:c>
      <x:c r="D17" s="24" t="str">
        <x:v>同一事实多模块重复加分</x:v>
      </x:c>
      <x:c r="E17" s="24" t="str">
        <x:v>只保留一次基础权重</x:v>
      </x:c>
    </x:row>
    <x:row r="18">
      <x:c r="A18" s="24" t="str">
        <x:v>现实门控</x:v>
      </x:c>
      <x:c r="B18" s="24" t="str">
        <x:v>是否有现实反例</x:v>
      </x:c>
      <x:c r="C18" s="24" t="str">
        <x:v>反例已纳入情境化判断</x:v>
      </x:c>
      <x:c r="D18" s="24" t="str">
        <x:v>稳定反例与结构结论冲突</x:v>
      </x:c>
      <x:c r="E18" s="24" t="str">
        <x:v>降低BL或停止</x:v>
      </x:c>
    </x:row>
    <x:row r="19">
      <x:c r="A19" s="24" t="str">
        <x:v>安全门控</x:v>
      </x:c>
      <x:c r="B19" s="24" t="str">
        <x:v>是否存在暴力、强迫或人身风险</x:v>
      </x:c>
      <x:c r="C19" s="24" t="str">
        <x:v>不存在安全风险</x:v>
      </x:c>
      <x:c r="D19" s="24" t="str">
        <x:v>存在安全风险</x:v>
      </x:c>
      <x:c r="E19" s="24" t="str">
        <x:v>停止普通调节，转OS07／OS08</x:v>
      </x:c>
    </x:row>
    <x:row r="20">
      <x:c r="A20" s="24" t="str">
        <x:v>发布门控</x:v>
      </x:c>
      <x:c r="B20" s="24" t="str">
        <x:v>是否有现实启动和效果</x:v>
      </x:c>
      <x:c r="C20" s="24" t="str">
        <x:v>BL4以上有事件证据</x:v>
      </x:c>
      <x:c r="D20" s="24" t="str">
        <x:v>只有结构资源</x:v>
      </x:c>
      <x:c r="E20" s="24" t="str">
        <x:v>只写潜在／条件性资源</x:v>
      </x:c>
    </x:row>
    <x:row r="21">
      <x:c r="A21" s="24" t="str">
        <x:v>病药门控</x:v>
      </x:c>
      <x:c r="B21" s="24" t="str">
        <x:v>药是否命中具体功能任务</x:v>
      </x:c>
      <x:c r="C21" s="24" t="str">
        <x:v>能够改变K／LP／RN节点</x:v>
      </x:c>
      <x:c r="D21" s="24" t="str">
        <x:v>只增加五行或标签</x:v>
      </x:c>
      <x:c r="E21" s="24" t="str">
        <x:v>停止“药”结论</x:v>
      </x:c>
    </x:row>
    <x:row r="22">
      <x:c r="A22" s="24" t="str">
        <x:v>M5边界</x:v>
      </x:c>
      <x:c r="B22" s="24" t="str">
        <x:v>是否在推荐适配伴侣</x:v>
      </x:c>
      <x:c r="C22" s="24" t="str">
        <x:v>只描述已有调节功能</x:v>
      </x:c>
      <x:c r="D22" s="24" t="str">
        <x:v>直接推出适配对象</x:v>
      </x:c>
      <x:c r="E22" s="24" t="str">
        <x:v>转M5，不在M4发布</x:v>
      </x:c>
    </x:row>
  </x:sheetData>
  <x:mergeCells>
    <x:mergeCell ref="A1:E1"/>
  </x:mergeCells>
  <x:pageMargins left="0.7" right="0.7" top="0.75" bottom="0.75" header="0.3" footer="0.3"/>
  <x:tableParts count="1">
    <x:tablePart xmlns:r="http://schemas.openxmlformats.org/officeDocument/2006/relationships" r:id="R1b6d06bf254e4806"/>
  </x:tableParts>
</x:worksheet>
</file>

<file path=xl/worksheets/sheet13.xml><?xml version="1.0" encoding="utf-8"?>
<x:worksheet xmlns:x="http://schemas.openxmlformats.org/spreadsheetml/2006/main">
  <x:sheetFormatPr defaultRowHeight="15"/>
  <x:cols>
    <x:col min="1" max="1" width="28" hidden="0" customWidth="1"/>
    <x:col min="2" max="2" width="46" hidden="0" customWidth="1"/>
    <x:col min="3" max="3" width="18" hidden="0" customWidth="1"/>
    <x:col min="4" max="4" width="46" hidden="0" customWidth="1"/>
    <x:col min="5" max="5" width="46" hidden="0" customWidth="1"/>
    <x:col min="6" max="6" width="44" hidden="0" customWidth="1"/>
  </x:cols>
  <x:sheetData>
    <x:row r="1">
      <x:c r="A1" s="6" t="str">
        <x:v>保护证据、暂定评分与发布门槛</x:v>
      </x:c>
      <x:c r="B1" s="6"/>
      <x:c r="C1" s="6"/>
      <x:c r="D1" s="6"/>
      <x:c r="E1" s="6"/>
      <x:c r="F1" s="6"/>
    </x:row>
    <x:row r="2">
      <x:c r="A2" s="55" t="str">
        <x:v>工程分值只用于规则排序，不是统计概率或命理准确率；现实安全与反例优先。</x:v>
      </x:c>
      <x:c r="B2" s="55"/>
      <x:c r="C2" s="55"/>
      <x:c r="D2" s="55"/>
      <x:c r="E2" s="55"/>
      <x:c r="F2" s="55"/>
    </x:row>
    <x:row r="4">
      <x:c r="A4" s="16" t="str">
        <x:v>评分项</x:v>
      </x:c>
      <x:c r="B4" s="16" t="str">
        <x:v>必要条件</x:v>
      </x:c>
      <x:c r="C4" s="16" t="str">
        <x:v>排除条件</x:v>
      </x:c>
      <x:c r="D4" s="16" t="str">
        <x:v>分值／作用</x:v>
      </x:c>
      <x:c r="E4" s="16" t="str">
        <x:v>输出字段</x:v>
      </x:c>
      <x:c r="F4" s="16" t="str">
        <x:v>说明</x:v>
      </x:c>
    </x:row>
    <x:row r="5">
      <x:c r="A5" s="24" t="str">
        <x:v>结构保护基础分</x:v>
      </x:c>
      <x:c r="B5" s="24" t="str">
        <x:v>存在独立BF结构资源且靶点匹配。</x:v>
      </x:c>
      <x:c r="C5" s="24" t="str">
        <x:v>同源重复、弱远无助或功能错配。</x:v>
      </x:c>
      <x:c r="D5" s="24" t="str">
        <x:v>结构资源+8；仅用于BL2候选。</x:v>
      </x:c>
      <x:c r="E5" s="24" t="str">
        <x:v>buffer_score</x:v>
      </x:c>
      <x:c r="F5" s="24" t="str">
        <x:v>结构分只能说明可用候选，不得直接降低E等级。</x:v>
      </x:c>
    </x:row>
    <x:row r="6">
      <x:c r="A6" s="24" t="str">
        <x:v>独立来源加分</x:v>
      </x:c>
      <x:c r="B6" s="24" t="str">
        <x:v>保护来源与风险来源不同source_id，或有独立现实行为。</x:v>
      </x:c>
      <x:c r="C6" s="24" t="str">
        <x:v>同一事实多模块解释。</x:v>
      </x:c>
      <x:c r="D6" s="24" t="str">
        <x:v>独立来源+6。</x:v>
      </x:c>
      <x:c r="E6" s="24" t="str">
        <x:v>buffer_score</x:v>
      </x:c>
      <x:c r="F6" s="24" t="str">
        <x:v>独立来源提高可信度，重复解释不加分。</x:v>
      </x:c>
    </x:row>
    <x:row r="7">
      <x:c r="A7" s="24" t="str">
        <x:v>靶点匹配加分</x:v>
      </x:c>
      <x:c r="B7" s="24" t="str">
        <x:v>保护功能直接处理主K机制、LP节点或RN缺失。</x:v>
      </x:c>
      <x:c r="C7" s="24" t="str">
        <x:v>只与一般性格优点相关。</x:v>
      </x:c>
      <x:c r="D7" s="24" t="str">
        <x:v>靶点匹配+6。</x:v>
      </x:c>
      <x:c r="E7" s="24" t="str">
        <x:v>buffer_score</x:v>
      </x:c>
      <x:c r="F7" s="24" t="str">
        <x:v>保护必须对准具体关系任务。</x:v>
      </x:c>
    </x:row>
    <x:row r="8">
      <x:c r="A8" s="24" t="str">
        <x:v>现实启动加分</x:v>
      </x:c>
      <x:c r="B8" s="24" t="str">
        <x:v>具体事件中保护功能被调用。</x:v>
      </x:c>
      <x:c r="C8" s="24" t="str">
        <x:v>只有自述、知识或计划。</x:v>
      </x:c>
      <x:c r="D8" s="24" t="str">
        <x:v>现实启动+12。</x:v>
      </x:c>
      <x:c r="E8" s="24" t="str">
        <x:v>buffer_score</x:v>
      </x:c>
      <x:c r="F8" s="24" t="str">
        <x:v>行为启动才能从结构资源升级。</x:v>
      </x:c>
    </x:row>
    <x:row r="9">
      <x:c r="A9" s="24" t="str">
        <x:v>实际效果加分</x:v>
      </x:c>
      <x:c r="B9" s="24" t="str">
        <x:v>保护明确改变顺序、反馈、边界、行动或修复。</x:v>
      </x:c>
      <x:c r="C9" s="24" t="str">
        <x:v>动作发生但风险链未变。</x:v>
      </x:c>
      <x:c r="D9" s="24" t="str">
        <x:v>实际效果+14。</x:v>
      </x:c>
      <x:c r="E9" s="24" t="str">
        <x:v>buffer_score</x:v>
      </x:c>
      <x:c r="F9" s="24" t="str">
        <x:v>有效性以链条变化为准。</x:v>
      </x:c>
    </x:row>
    <x:row r="10">
      <x:c r="A10" s="24" t="str">
        <x:v>跨情境稳定加分</x:v>
      </x:c>
      <x:c r="B10" s="24" t="str">
        <x:v>至少两个独立情境重复有效。</x:v>
      </x:c>
      <x:c r="C10" s="24" t="str">
        <x:v>只有一次低代价成功。</x:v>
      </x:c>
      <x:c r="D10" s="24" t="str">
        <x:v>跨情境+12。</x:v>
      </x:c>
      <x:c r="E10" s="24" t="str">
        <x:v>buffer_score</x:v>
      </x:c>
      <x:c r="F10" s="24" t="str">
        <x:v>重复有效才支持稳定保护。</x:v>
      </x:c>
    </x:row>
    <x:row r="11">
      <x:c r="A11" s="24" t="str">
        <x:v>接收反馈与反例审查加分</x:v>
      </x:c>
      <x:c r="B11" s="24" t="str">
        <x:v>存在对方反馈、现实反例和二次修正。</x:v>
      </x:c>
      <x:c r="C11" s="24" t="str">
        <x:v>只由本人单方评价效果。</x:v>
      </x:c>
      <x:c r="D11" s="24" t="str">
        <x:v>反馈与反例+8。</x:v>
      </x:c>
      <x:c r="E11" s="24" t="str">
        <x:v>buffer_score</x:v>
      </x:c>
      <x:c r="F11" s="24" t="str">
        <x:v>稳定保护需要接收方和反例检验。</x:v>
      </x:c>
    </x:row>
    <x:row r="12">
      <x:c r="A12" s="24" t="str">
        <x:v>伪保护扣分</x:v>
      </x:c>
      <x:c r="B12" s="24" t="str">
        <x:v>命中PB01—PB08且未满足退出条件。</x:v>
      </x:c>
      <x:c r="C12" s="24" t="str">
        <x:v>伪保护已有真实反例并转为有效BF。</x:v>
      </x:c>
      <x:c r="D12" s="24" t="str">
        <x:v>每项主伪保护-10，次伪保护-6。</x:v>
      </x:c>
      <x:c r="E12" s="24" t="str">
        <x:v>buffer_score</x:v>
      </x:c>
      <x:c r="F12" s="24" t="str">
        <x:v>表面保护会降低有效层级。</x:v>
      </x:c>
    </x:row>
    <x:row r="13">
      <x:c r="A13" s="24" t="str">
        <x:v>现实反例扣分</x:v>
      </x:c>
      <x:c r="B13" s="24" t="str">
        <x:v>相似情境中资源多次未启动或无效。</x:v>
      </x:c>
      <x:c r="C13" s="24" t="str">
        <x:v>反例属于不同任务、不同状态且已有合理分层。</x:v>
      </x:c>
      <x:c r="D13" s="24" t="str">
        <x:v>稳定反例-12至-24。</x:v>
      </x:c>
      <x:c r="E13" s="24" t="str">
        <x:v>counterevidence</x:v>
      </x:c>
      <x:c r="F13" s="24" t="str">
        <x:v>现实反例优先于结构分。</x:v>
      </x:c>
    </x:row>
    <x:row r="14">
      <x:c r="A14" s="24" t="str">
        <x:v>同源与同事件去重</x:v>
      </x:c>
      <x:c r="B14" s="24" t="str">
        <x:v>source_id／event_id已经记录。</x:v>
      </x:c>
      <x:c r="C14" s="24" t="str">
        <x:v>把同一事件的多个描述视为独立证据。</x:v>
      </x:c>
      <x:c r="D14" s="24" t="str">
        <x:v>重复证据只保留一次基础分。</x:v>
      </x:c>
      <x:c r="E14" s="24" t="str">
        <x:v>dedup_log</x:v>
      </x:c>
      <x:c r="F14" s="24" t="str">
        <x:v>规则出现次数不等于独立证据数量。</x:v>
      </x:c>
    </x:row>
    <x:row r="15">
      <x:c r="A15" s="24" t="str">
        <x:v>主次保护门槛</x:v>
      </x:c>
      <x:c r="B15" s="24" t="str">
        <x:v>主保护净分≥34且领先次候选≥8；次保护≥24且功能不同。</x:v>
      </x:c>
      <x:c r="C15" s="24" t="str">
        <x:v>证据层级不足BL2或同义重复。</x:v>
      </x:c>
      <x:c r="D15" s="24" t="str">
        <x:v>达到门槛才进入正文；否则只保留内部候选。</x:v>
      </x:c>
      <x:c r="E15" s="24" t="str">
        <x:v>primary_buffer</x:v>
      </x:c>
      <x:c r="F15" s="24" t="str">
        <x:v>最终正文最多一个主保护和一个次保护。</x:v>
      </x:c>
    </x:row>
    <x:row r="16">
      <x:c r="A16" s="24" t="str">
        <x:v>BL层级与风险降权规则</x:v>
      </x:c>
      <x:c r="B16" s="24" t="str">
        <x:v>已计算BL0—BL7并完成安全、反例和去重。</x:v>
      </x:c>
      <x:c r="C16" s="24" t="str">
        <x:v>用保护分清除现实安全事实或E4现实模式。</x:v>
      </x:c>
      <x:c r="D16" s="24" t="str">
        <x:v>BL2仅提示资源；BL3条件降权；BL4事件降权；BL5—BL7可重写对应候选。</x:v>
      </x:c>
      <x:c r="E16" s="24" t="str">
        <x:v>buffer_level</x:v>
      </x:c>
      <x:c r="F16" s="24" t="str">
        <x:v>保护只对匹配靶点降权，不跨域清零所有风险。</x:v>
      </x:c>
    </x:row>
    <x:row r="18">
      <x:c r="A18" s="32" t="str">
        <x:v>BL层级快速发布表</x:v>
      </x:c>
      <x:c r="B18" s="32"/>
      <x:c r="C18" s="32"/>
      <x:c r="D18" s="32"/>
      <x:c r="E18" s="32"/>
      <x:c r="F18" s="32"/>
    </x:row>
    <x:row r="19">
      <x:c r="A19" s="16" t="str">
        <x:v>层级</x:v>
      </x:c>
      <x:c r="B19" s="16" t="str">
        <x:v>结构／现实状态</x:v>
      </x:c>
      <x:c r="C19" s="16" t="str">
        <x:v>可否降权</x:v>
      </x:c>
      <x:c r="D19" s="16" t="str">
        <x:v>最强措辞</x:v>
      </x:c>
      <x:c r="E19" s="16" t="str">
        <x:v>不能说</x:v>
      </x:c>
      <x:c r="F19" s="16" t="str">
        <x:v>建议动作</x:v>
      </x:c>
    </x:row>
    <x:row r="20">
      <x:c r="A20" s="24" t="str">
        <x:v>BL0 无有效资料／停止</x:v>
      </x:c>
      <x:c r="B20" s="24" t="str">
        <x:v>没有可用结构或现实资料，或存在安全停止、合化争议和关键字段冲突。</x:v>
      </x:c>
      <x:c r="C20" s="24" t="str">
        <x:v>否</x:v>
      </x:c>
      <x:c r="D20" s="24" t="str">
        <x:v>不发布保护结论，只说明缺失项或停止原因。</x:v>
      </x:c>
      <x:c r="E20" s="24" t="str">
        <x:v>不能跨域清零风险；不能覆盖安全事实；不能写未来必然</x:v>
      </x:c>
      <x:c r="F20" s="24" t="str">
        <x:v>补齐结构状态、现实事件、反馈或安全信息。</x:v>
      </x:c>
    </x:row>
    <x:row r="21">
      <x:c r="A21" s="24" t="str">
        <x:v>BL1 标签资源</x:v>
      </x:c>
      <x:c r="B21" s="24" t="str">
        <x:v>只有十神、五行、喜忌、制化标签或用户自我认知。</x:v>
      </x:c>
      <x:c r="C21" s="24" t="str">
        <x:v>否</x:v>
      </x:c>
      <x:c r="D21" s="24" t="str">
        <x:v>最多写“存在潜在方向”，不得减弱风险等级。</x:v>
      </x:c>
      <x:c r="E21" s="24" t="str">
        <x:v>不能跨域清零风险；不能覆盖安全事实；不能写未来必然</x:v>
      </x:c>
      <x:c r="F21" s="24" t="str">
        <x:v>增加独立结构状态和具体功能靶点。</x:v>
      </x:c>
    </x:row>
    <x:row r="22">
      <x:c r="A22" s="24" t="str">
        <x:v>BL2 结构可用候选</x:v>
      </x:c>
      <x:c r="B22" s="24" t="str">
        <x:v>保护功能有独立来源、根气或位置，且与风险靶点匹配。</x:v>
      </x:c>
      <x:c r="C22" s="24" t="str">
        <x:v>有限</x:v>
      </x:c>
      <x:c r="D22" s="24" t="str">
        <x:v>可作为结构保护候选，小幅降低候选分值但不改变E等级。</x:v>
      </x:c>
      <x:c r="E22" s="24" t="str">
        <x:v>不能跨域清零风险；不能覆盖安全事实；不能写未来必然</x:v>
      </x:c>
      <x:c r="F22" s="24" t="str">
        <x:v>加入现实事件中的调用证据。</x:v>
      </x:c>
    </x:row>
    <x:row r="23">
      <x:c r="A23" s="24" t="str">
        <x:v>BL3 条件性可调用</x:v>
      </x:c>
      <x:c r="B23" s="24" t="str">
        <x:v>结构资源有效，并在特定触发域、状态或关系条件下有进入路径。</x:v>
      </x:c>
      <x:c r="C23" s="24" t="str">
        <x:v>有限</x:v>
      </x:c>
      <x:c r="D23" s="24" t="str">
        <x:v>可形成条件性保护，说明何时有效、何时不一定有效。</x:v>
      </x:c>
      <x:c r="E23" s="24" t="str">
        <x:v>不能跨域清零风险；不能覆盖安全事实；不能写未来必然</x:v>
      </x:c>
      <x:c r="F23" s="24" t="str">
        <x:v>记录一次具体事件中的启动和后续效果。</x:v>
      </x:c>
    </x:row>
    <x:row r="24">
      <x:c r="A24" s="24" t="str">
        <x:v>BL4 单次现实已启动</x:v>
      </x:c>
      <x:c r="B24" s="24" t="str">
        <x:v>至少一个具体事件显示保护功能被调用。</x:v>
      </x:c>
      <x:c r="C24" s="24" t="str">
        <x:v>有限</x:v>
      </x:c>
      <x:c r="D24" s="24" t="str">
        <x:v>可写“这次事件中已启动”，但不能写稳定有效。</x:v>
      </x:c>
      <x:c r="E24" s="24" t="str">
        <x:v>不能跨域清零风险；不能覆盖安全事实；不能写未来必然</x:v>
      </x:c>
      <x:c r="F24" s="24" t="str">
        <x:v>确认是否改变顺序、反馈、边界或修复结果。</x:v>
      </x:c>
    </x:row>
    <x:row r="25">
      <x:c r="A25" s="24" t="str">
        <x:v>BL5 单次实际有效</x:v>
      </x:c>
      <x:c r="B25" s="24" t="str">
        <x:v>一次事件中保护因素明确改变了风险链。</x:v>
      </x:c>
      <x:c r="C25" s="24" t="str">
        <x:v>可以，对匹配靶点</x:v>
      </x:c>
      <x:c r="D25" s="24" t="str">
        <x:v>可降低该事件的风险结论，并写出具体有效节点。</x:v>
      </x:c>
      <x:c r="E25" s="24" t="str">
        <x:v>不能跨域清零风险；不能覆盖安全事实；不能写未来必然</x:v>
      </x:c>
      <x:c r="F25" s="24" t="str">
        <x:v>在另一相似或不同情境中验证。</x:v>
      </x:c>
    </x:row>
    <x:row r="26">
      <x:c r="A26" s="24" t="str">
        <x:v>BL6 跨情境稳定有效</x:v>
      </x:c>
      <x:c r="B26" s="24" t="str">
        <x:v>至少两个独立事件或不同情境中重复有效，并有接收方反馈。</x:v>
      </x:c>
      <x:c r="C26" s="24" t="str">
        <x:v>可以，对匹配靶点</x:v>
      </x:c>
      <x:c r="D26" s="24" t="str">
        <x:v>可作为稳定保护，显著降权相应风险候选。</x:v>
      </x:c>
      <x:c r="E26" s="24" t="str">
        <x:v>不能跨域清零风险；不能覆盖安全事实；不能写未来必然</x:v>
      </x:c>
      <x:c r="F26" s="24" t="str">
        <x:v>继续纳入高压、代价情境和复发检验。</x:v>
      </x:c>
    </x:row>
    <x:row r="27">
      <x:c r="A27" s="24" t="str">
        <x:v>BL7 经反例检验的稳定保护</x:v>
      </x:c>
      <x:c r="B27" s="24" t="str">
        <x:v>跨时间、跨情境有效，并已纳入反例、代价和复发审查。</x:v>
      </x:c>
      <x:c r="C27" s="24" t="str">
        <x:v>可以，对匹配靶点</x:v>
      </x:c>
      <x:c r="D27" s="24" t="str">
        <x:v>可停止或重写对应风险候选，但不推断未来绝不会复发。</x:v>
      </x:c>
      <x:c r="E27" s="24" t="str">
        <x:v>不能跨域清零风险；不能覆盖安全事实；不能写未来必然</x:v>
      </x:c>
      <x:c r="F27" s="24" t="str">
        <x:v>持续监测新情境和状态变化。</x:v>
      </x:c>
    </x:row>
  </x:sheetData>
  <x:mergeCells>
    <x:mergeCell ref="A1:F1"/>
    <x:mergeCell ref="A2:F2"/>
    <x:mergeCell ref="A18:F18"/>
  </x:mergeCells>
  <x:pageMargins left="0.7" right="0.7" top="0.75" bottom="0.75" header="0.3" footer="0.3"/>
  <x:tableParts count="2">
    <x:tablePart xmlns:r="http://schemas.openxmlformats.org/officeDocument/2006/relationships" r:id="Ra3f6165e9c55485a"/>
    <x:tablePart xmlns:r="http://schemas.openxmlformats.org/officeDocument/2006/relationships" r:id="R339b64bcb6bd43fd"/>
  </x:tableParts>
</x:worksheet>
</file>

<file path=xl/worksheets/sheet14.xml><?xml version="1.0" encoding="utf-8"?>
<x:worksheet xmlns:x="http://schemas.openxmlformats.org/spreadsheetml/2006/main">
  <x:sheetFormatPr defaultRowHeight="15"/>
  <x:cols>
    <x:col min="1" max="1" width="18" hidden="0" customWidth="1"/>
    <x:col min="2" max="2" width="38" hidden="0" customWidth="1"/>
    <x:col min="3" max="3" width="28" hidden="0" customWidth="1"/>
    <x:col min="4" max="4" width="28" hidden="0" customWidth="1"/>
    <x:col min="5" max="5" width="12" hidden="0" customWidth="1"/>
    <x:col min="6" max="6" width="14" hidden="0" customWidth="1"/>
    <x:col min="7" max="7" width="24" hidden="0" customWidth="1"/>
    <x:col min="8" max="8" width="26" hidden="0" customWidth="1"/>
    <x:col min="9" max="9" width="44" hidden="0" customWidth="1"/>
    <x:col min="10" max="10" width="44" hidden="0" customWidth="1"/>
    <x:col min="11" max="11" width="30" hidden="0" customWidth="1"/>
    <x:col min="12" max="12" width="30" hidden="0" customWidth="1"/>
    <x:col min="13" max="13" width="30" hidden="0" customWidth="1"/>
    <x:col min="14" max="14" width="34" hidden="0" customWidth="1"/>
    <x:col min="15" max="15" width="26" hidden="0" customWidth="1"/>
    <x:col min="16" max="16" width="26" hidden="0" customWidth="1"/>
    <x:col min="17" max="17" width="26" hidden="0" customWidth="1"/>
    <x:col min="18" max="18" width="26" hidden="0" customWidth="1"/>
    <x:col min="19" max="19" width="30" hidden="0" customWidth="1"/>
    <x:col min="20" max="20" width="26" hidden="0" customWidth="1"/>
    <x:col min="21" max="21" width="10" hidden="0" customWidth="1"/>
    <x:col min="22" max="22" width="18" hidden="0" customWidth="1"/>
    <x:col min="23" max="23" width="22" hidden="0" customWidth="1"/>
    <x:col min="24" max="24" width="46" hidden="0" customWidth="1"/>
    <x:col min="25" max="25" width="46" hidden="0" customWidth="1"/>
    <x:col min="26" max="26" width="46" hidden="0" customWidth="1"/>
    <x:col min="27" max="27" width="10" hidden="0" customWidth="1"/>
    <x:col min="28" max="28" width="12" hidden="0" customWidth="1"/>
    <x:col min="29" max="29" width="16" hidden="0" customWidth="1"/>
    <x:col min="30" max="30" width="34" hidden="0" customWidth="1"/>
    <x:col min="31" max="31" width="10" hidden="0" customWidth="1"/>
  </x:cols>
  <x:sheetData>
    <x:row r="1" ht="32" customHeight="1">
      <x:c r="A1" s="16" t="str">
        <x:v>rule_id</x:v>
      </x:c>
      <x:c r="B1" s="16" t="str">
        <x:v>rule_name</x:v>
      </x:c>
      <x:c r="C1" s="16" t="str">
        <x:v>layer</x:v>
      </x:c>
      <x:c r="D1" s="16" t="str">
        <x:v>module</x:v>
      </x:c>
      <x:c r="E1" s="16" t="str">
        <x:v>applicable_group</x:v>
      </x:c>
      <x:c r="F1" s="16" t="str">
        <x:v>rule_type</x:v>
      </x:c>
      <x:c r="G1" s="16" t="str">
        <x:v>main_signal</x:v>
      </x:c>
      <x:c r="H1" s="16" t="str">
        <x:v>secondary_signal</x:v>
      </x:c>
      <x:c r="I1" s="16" t="str">
        <x:v>required_conditions</x:v>
      </x:c>
      <x:c r="J1" s="16" t="str">
        <x:v>excluded_conditions</x:v>
      </x:c>
      <x:c r="K1" s="16" t="str">
        <x:v>self_strength_status</x:v>
      </x:c>
      <x:c r="L1" s="16" t="str">
        <x:v>spouse_star_status</x:v>
      </x:c>
      <x:c r="M1" s="16" t="str">
        <x:v>palace_signal</x:v>
      </x:c>
      <x:c r="N1" s="16" t="str">
        <x:v>flow_path</x:v>
      </x:c>
      <x:c r="O1" s="16" t="str">
        <x:v>signal_position</x:v>
      </x:c>
      <x:c r="P1" s="16" t="str">
        <x:v>root_status</x:v>
      </x:c>
      <x:c r="Q1" s="16" t="str">
        <x:v>strength_level</x:v>
      </x:c>
      <x:c r="R1" s="16" t="str">
        <x:v>favorability</x:v>
      </x:c>
      <x:c r="S1" s="16" t="str">
        <x:v>transformation_status</x:v>
      </x:c>
      <x:c r="T1" s="16" t="str">
        <x:v>distance_level</x:v>
      </x:c>
      <x:c r="U1" s="16" t="str">
        <x:v>priority</x:v>
      </x:c>
      <x:c r="V1" s="16" t="str">
        <x:v>score_effect</x:v>
      </x:c>
      <x:c r="W1" s="16" t="str">
        <x:v>output_slot</x:v>
      </x:c>
      <x:c r="X1" s="16" t="str">
        <x:v>internal_logic</x:v>
      </x:c>
      <x:c r="Y1" s="16" t="str">
        <x:v>user_explanation</x:v>
      </x:c>
      <x:c r="Z1" s="16" t="str">
        <x:v>forbidden_inference</x:v>
      </x:c>
      <x:c r="AA1" s="16" t="str">
        <x:v>confidence_base</x:v>
      </x:c>
      <x:c r="AB1" s="16" t="str">
        <x:v>validation_status</x:v>
      </x:c>
      <x:c r="AC1" s="16" t="str">
        <x:v>case_refs</x:v>
      </x:c>
      <x:c r="AD1" s="16" t="str">
        <x:v>notes</x:v>
      </x:c>
      <x:c r="AE1" s="16" t="str">
        <x:v>version</x:v>
      </x:c>
    </x:row>
    <x:row r="2" ht="52" customHeight="1">
      <x:c r="A2" s="24" t="str">
        <x:v>M4-BUFFER-001</x:v>
      </x:c>
      <x:c r="B2" s="24" t="str">
        <x:v>M4-BUFFER正式定义｜调节、保护因素与病药功能接口</x:v>
      </x:c>
      <x:c r="C2" s="24" t="str">
        <x:v>L0 定义、边界与证据合同</x:v>
      </x:c>
      <x:c r="D2" s="24" t="str">
        <x:v>BUFFER-定义边界</x:v>
      </x:c>
      <x:c r="E2" s="24" t="str">
        <x:v>通用</x:v>
      </x:c>
      <x:c r="F2" s="24" t="str">
        <x:v>定义</x:v>
      </x:c>
      <x:c r="G2" s="24" t="str">
        <x:v>M4-BUFFER模块规则</x:v>
      </x:c>
      <x:c r="H2" s="24" t="str"/>
      <x:c r="I2" s="24" t="str">
        <x:v>存在M4-BASE至REPAIR中的风险候选，准备判断哪些功能会真实改变风险链。</x:v>
      </x:c>
      <x:c r="J2" s="24" t="str">
        <x:v>试图只因命局出现某十神、喜神或制化字样就宣告风险消失。</x:v>
      </x:c>
      <x:c r="K2" s="24" t="str">
        <x:v>由共享基础引擎提供；仅修正保护功能的承载、持续调用和压力状态下的稳定性，不直接等同成熟度、道德或现实行为。</x:v>
      </x:c>
      <x:c r="L2" s="24" t="str">
        <x:v>由M1／M2接口提供；夫妻星、心动原型和关系门槛只说明关系议题，不单独证明保护因素已经被调用或有效。</x:v>
      </x:c>
      <x:c r="M2" s="24" t="str">
        <x:v>由M3-BASE及M4各模块提供；日支、日柱近位可提高与亲密关系核心的相关性，但同一source_id不得重复计分。</x:v>
      </x:c>
      <x:c r="N2" s="24" t="str">
        <x:v>保护因素必须明确限制过用、补足缺位、恢复顺序、打开反馈、落实改变或完成修复回流；不能只凭五行相生补写现实效果。</x:v>
      </x:c>
      <x:c r="O2" s="24" t="str">
        <x:v>近位提高进入亲密关系核心的概率；远位只作背景、阶段或条件性修正。</x:v>
      </x:c>
      <x:c r="P2" s="24" t="str">
        <x:v>根气只修正该保护功能是否容易重复调用，不等于现实中已经形成稳定保护。</x:v>
      </x:c>
      <x:c r="Q2" s="24" t="str">
        <x:v>旺弱只修正调用强度与承载；强不自动有效，弱也不自动无效。</x:v>
      </x:c>
      <x:c r="R2" s="24" t="str">
        <x:v>喜忌只修正摩擦、平衡与承载，不可直接翻译为好坏、成熟度或解决方案。</x:v>
      </x:c>
      <x:c r="S2" s="24" t="str">
        <x:v>原十神功能有效；真合化成立时按化神功能替换，合化争议时停止定性。</x:v>
      </x:c>
      <x:c r="T2" s="24" t="str">
        <x:v>近位提高直接相关性；远位仅保留背景、阶段或低置信修正。</x:v>
      </x:c>
      <x:c r="U2" s="24" t="str">
        <x:v>96</x:v>
      </x:c>
      <x:c r="V2" s="24" t="str">
        <x:v>不加分；定义／门控</x:v>
      </x:c>
      <x:c r="W2" s="24" t="str">
        <x:v>boundary_note</x:v>
      </x:c>
      <x:c r="X2" s="24" t="str">
        <x:v>M4-BUFFER研究保护因素怎样进入具体风险链，而不是给命局贴“有药／无药”的标签。</x:v>
      </x:c>
      <x:c r="Y2" s="24" t="str">
        <x:v>这一部分看的是：哪些资源能真正限制过度反应、补足缺位、恢复反馈或完成修复。</x:v>
      </x:c>
      <x:c r="Z2" s="24" t="str">
        <x:v>不得仅凭本规则断定问题已经解决、关系必然稳定、用户一定成熟、某十神天然是“药”、喜用神自动等于解决办法，或淡化暴力、强迫与现实伤害；现实行为、反例、安全事实和专业支持优先。</x:v>
      </x:c>
      <x:c r="AA2" s="24" t="str">
        <x:v>高</x:v>
      </x:c>
      <x:c r="AB2" s="24" t="str">
        <x:v>待验证</x:v>
      </x:c>
      <x:c r="AC2" s="24" t="str"/>
      <x:c r="AD2" s="24" t="str">
        <x:v>provisional=true；保护因素的现实有效性必须由可观察行为、反馈和持续结果验证。</x:v>
      </x:c>
      <x:c r="AE2" s="24" t="str">
        <x:v>0.8</x:v>
      </x:c>
    </x:row>
    <x:row r="3" ht="52" customHeight="1">
      <x:c r="A3" s="24" t="str">
        <x:v>M4-BUFFER-002</x:v>
      </x:c>
      <x:c r="B3" s="24" t="str">
        <x:v>先诊断后配药｜没有明确失衡机制不得配置保护因素</x:v>
      </x:c>
      <x:c r="C3" s="24" t="str">
        <x:v>L0 定义、边界与证据合同</x:v>
      </x:c>
      <x:c r="D3" s="24" t="str">
        <x:v>BUFFER-定义边界</x:v>
      </x:c>
      <x:c r="E3" s="24" t="str">
        <x:v>通用</x:v>
      </x:c>
      <x:c r="F3" s="24" t="str">
        <x:v>边界</x:v>
      </x:c>
      <x:c r="G3" s="24" t="str">
        <x:v>诊断前置</x:v>
      </x:c>
      <x:c r="H3" s="24" t="str"/>
      <x:c r="I3" s="24" t="str">
        <x:v>已经明确K机制、TR触发、LP循环或RN修复断点中的至少一项。</x:v>
      </x:c>
      <x:c r="J3" s="24" t="str">
        <x:v>只有“某五行缺”“某十神为忌”等泛化描述，没有具体关系任务。</x:v>
      </x:c>
      <x:c r="K3" s="24" t="str">
        <x:v>由共享基础引擎提供；仅修正保护功能的承载、持续调用和压力状态下的稳定性，不直接等同成熟度、道德或现实行为。</x:v>
      </x:c>
      <x:c r="L3" s="24" t="str">
        <x:v>由M1／M2接口提供；夫妻星、心动原型和关系门槛只说明关系议题，不单独证明保护因素已经被调用或有效。</x:v>
      </x:c>
      <x:c r="M3" s="24" t="str">
        <x:v>由M3-BASE及M4各模块提供；日支、日柱近位可提高与亲密关系核心的相关性，但同一source_id不得重复计分。</x:v>
      </x:c>
      <x:c r="N3" s="24" t="str">
        <x:v>保护因素必须明确限制过用、补足缺位、恢复顺序、打开反馈、落实改变或完成修复回流；不能只凭五行相生补写现实效果。</x:v>
      </x:c>
      <x:c r="O3" s="24" t="str">
        <x:v>近位提高进入亲密关系核心的概率；远位只作背景、阶段或条件性修正。</x:v>
      </x:c>
      <x:c r="P3" s="24" t="str">
        <x:v>根气只修正该保护功能是否容易重复调用，不等于现实中已经形成稳定保护。</x:v>
      </x:c>
      <x:c r="Q3" s="24" t="str">
        <x:v>旺弱只修正调用强度与承载；强不自动有效，弱也不自动无效。</x:v>
      </x:c>
      <x:c r="R3" s="24" t="str">
        <x:v>喜忌只修正摩擦、平衡与承载，不可直接翻译为好坏、成熟度或解决方案。</x:v>
      </x:c>
      <x:c r="S3" s="24" t="str">
        <x:v>原十神功能有效；真合化成立时按化神功能替换，合化争议时停止定性。</x:v>
      </x:c>
      <x:c r="T3" s="24" t="str">
        <x:v>近位提高直接相关性；远位仅保留背景、阶段或低置信修正。</x:v>
      </x:c>
      <x:c r="U3" s="24" t="str">
        <x:v>96</x:v>
      </x:c>
      <x:c r="V3" s="24" t="str">
        <x:v>不加分；定义／门控</x:v>
      </x:c>
      <x:c r="W3" s="24" t="str">
        <x:v>boundary_note</x:v>
      </x:c>
      <x:c r="X3" s="24" t="str">
        <x:v>保护因素必须有明确靶点；没有病位、触发和断点，就无法判断哪项功能是有效调节。</x:v>
      </x:c>
      <x:c r="Y3" s="24" t="str">
        <x:v>先要知道关系中哪一步容易失衡，才能判断什么资源真正有帮助。</x:v>
      </x:c>
      <x:c r="Z3" s="24" t="str">
        <x:v>不得仅凭本规则断定问题已经解决、关系必然稳定、用户一定成熟、某十神天然是“药”、喜用神自动等于解决办法，或淡化暴力、强迫与现实伤害；现实行为、反例、安全事实和专业支持优先。</x:v>
      </x:c>
      <x:c r="AA3" s="24" t="str">
        <x:v>高</x:v>
      </x:c>
      <x:c r="AB3" s="24" t="str">
        <x:v>待验证</x:v>
      </x:c>
      <x:c r="AC3" s="24" t="str"/>
      <x:c r="AD3" s="24" t="str">
        <x:v>provisional=true；保护因素的现实有效性必须由可观察行为、反馈和持续结果验证。</x:v>
      </x:c>
      <x:c r="AE3" s="24" t="str">
        <x:v>0.8</x:v>
      </x:c>
    </x:row>
    <x:row r="4" ht="52" customHeight="1">
      <x:c r="A4" s="24" t="str">
        <x:v>M4-BUFFER-003</x:v>
      </x:c>
      <x:c r="B4" s="24" t="str">
        <x:v>正常功能优先｜保护因素不是把原功能消灭</x:v>
      </x:c>
      <x:c r="C4" s="24" t="str">
        <x:v>L0 定义、边界与证据合同</x:v>
      </x:c>
      <x:c r="D4" s="24" t="str">
        <x:v>BUFFER-定义边界</x:v>
      </x:c>
      <x:c r="E4" s="24" t="str">
        <x:v>通用</x:v>
      </x:c>
      <x:c r="F4" s="24" t="str">
        <x:v>边界</x:v>
      </x:c>
      <x:c r="G4" s="24" t="str">
        <x:v>功能保留</x:v>
      </x:c>
      <x:c r="H4" s="24" t="str"/>
      <x:c r="I4" s="24" t="str">
        <x:v>原功能在关系中仍有必要价值，只需限制过用或补足另一环节。</x:v>
      </x:c>
      <x:c r="J4" s="24" t="str">
        <x:v>把制化理解为完全压掉表达、行动、边界、投入或理解。</x:v>
      </x:c>
      <x:c r="K4" s="24" t="str">
        <x:v>由共享基础引擎提供；仅修正保护功能的承载、持续调用和压力状态下的稳定性，不直接等同成熟度、道德或现实行为。</x:v>
      </x:c>
      <x:c r="L4" s="24" t="str">
        <x:v>由M1／M2接口提供；夫妻星、心动原型和关系门槛只说明关系议题，不单独证明保护因素已经被调用或有效。</x:v>
      </x:c>
      <x:c r="M4" s="24" t="str">
        <x:v>由M3-BASE及M4各模块提供；日支、日柱近位可提高与亲密关系核心的相关性，但同一source_id不得重复计分。</x:v>
      </x:c>
      <x:c r="N4" s="24" t="str">
        <x:v>保护因素必须明确限制过用、补足缺位、恢复顺序、打开反馈、落实改变或完成修复回流；不能只凭五行相生补写现实效果。</x:v>
      </x:c>
      <x:c r="O4" s="24" t="str">
        <x:v>近位提高进入亲密关系核心的概率；远位只作背景、阶段或条件性修正。</x:v>
      </x:c>
      <x:c r="P4" s="24" t="str">
        <x:v>根气只修正该保护功能是否容易重复调用，不等于现实中已经形成稳定保护。</x:v>
      </x:c>
      <x:c r="Q4" s="24" t="str">
        <x:v>旺弱只修正调用强度与承载；强不自动有效，弱也不自动无效。</x:v>
      </x:c>
      <x:c r="R4" s="24" t="str">
        <x:v>喜忌只修正摩擦、平衡与承载，不可直接翻译为好坏、成熟度或解决方案。</x:v>
      </x:c>
      <x:c r="S4" s="24" t="str">
        <x:v>原十神功能有效；真合化成立时按化神功能替换，合化争议时停止定性。</x:v>
      </x:c>
      <x:c r="T4" s="24" t="str">
        <x:v>近位提高直接相关性；远位仅保留背景、阶段或低置信修正。</x:v>
      </x:c>
      <x:c r="U4" s="24" t="str">
        <x:v>96</x:v>
      </x:c>
      <x:c r="V4" s="24" t="str">
        <x:v>不加分；定义／门控</x:v>
      </x:c>
      <x:c r="W4" s="24" t="str">
        <x:v>boundary_note</x:v>
      </x:c>
      <x:c r="X4" s="24" t="str">
        <x:v>有效保护通常保留原功能的价值，同时限制它越界、抢位或替代其他任务。</x:v>
      </x:c>
      <x:c r="Y4" s="24" t="str">
        <x:v>真正的调节不是让你失去原有能力，而是让这项能力在更合适的范围内发挥。</x:v>
      </x:c>
      <x:c r="Z4" s="24" t="str">
        <x:v>不得仅凭本规则断定问题已经解决、关系必然稳定、用户一定成熟、某十神天然是“药”、喜用神自动等于解决办法，或淡化暴力、强迫与现实伤害；现实行为、反例、安全事实和专业支持优先。</x:v>
      </x:c>
      <x:c r="AA4" s="24" t="str">
        <x:v>高</x:v>
      </x:c>
      <x:c r="AB4" s="24" t="str">
        <x:v>待验证</x:v>
      </x:c>
      <x:c r="AC4" s="24" t="str"/>
      <x:c r="AD4" s="24" t="str">
        <x:v>provisional=true；保护因素的现实有效性必须由可观察行为、反馈和持续结果验证。</x:v>
      </x:c>
      <x:c r="AE4" s="24" t="str">
        <x:v>0.8</x:v>
      </x:c>
    </x:row>
    <x:row r="5" ht="52" customHeight="1">
      <x:c r="A5" s="24" t="str">
        <x:v>M4-BUFFER-004</x:v>
      </x:c>
      <x:c r="B5" s="24" t="str">
        <x:v>命理资源与现实调用分离</x:v>
      </x:c>
      <x:c r="C5" s="24" t="str">
        <x:v>L0 定义、边界与证据合同</x:v>
      </x:c>
      <x:c r="D5" s="24" t="str">
        <x:v>BUFFER-定义边界</x:v>
      </x:c>
      <x:c r="E5" s="24" t="str">
        <x:v>通用</x:v>
      </x:c>
      <x:c r="F5" s="24" t="str">
        <x:v>证据</x:v>
      </x:c>
      <x:c r="G5" s="24" t="str">
        <x:v>结构／行为分层</x:v>
      </x:c>
      <x:c r="H5" s="24" t="str"/>
      <x:c r="I5" s="24" t="str">
        <x:v>分别记录结构资源、可调用条件、现实使用和实际效果。</x:v>
      </x:c>
      <x:c r="J5" s="24" t="str">
        <x:v>命局中有某功能，就直接写成现实中一定会使用。</x:v>
      </x:c>
      <x:c r="K5" s="24" t="str">
        <x:v>由共享基础引擎提供；仅修正保护功能的承载、持续调用和压力状态下的稳定性，不直接等同成熟度、道德或现实行为。</x:v>
      </x:c>
      <x:c r="L5" s="24" t="str">
        <x:v>由M1／M2接口提供；夫妻星、心动原型和关系门槛只说明关系议题，不单独证明保护因素已经被调用或有效。</x:v>
      </x:c>
      <x:c r="M5" s="24" t="str">
        <x:v>由M3-BASE及M4各模块提供；日支、日柱近位可提高与亲密关系核心的相关性，但同一source_id不得重复计分。</x:v>
      </x:c>
      <x:c r="N5" s="24" t="str">
        <x:v>保护因素必须明确限制过用、补足缺位、恢复顺序、打开反馈、落实改变或完成修复回流；不能只凭五行相生补写现实效果。</x:v>
      </x:c>
      <x:c r="O5" s="24" t="str">
        <x:v>近位提高进入亲密关系核心的概率；远位只作背景、阶段或条件性修正。</x:v>
      </x:c>
      <x:c r="P5" s="24" t="str">
        <x:v>根气只修正该保护功能是否容易重复调用，不等于现实中已经形成稳定保护。</x:v>
      </x:c>
      <x:c r="Q5" s="24" t="str">
        <x:v>旺弱只修正调用强度与承载；强不自动有效，弱也不自动无效。</x:v>
      </x:c>
      <x:c r="R5" s="24" t="str">
        <x:v>喜忌只修正摩擦、平衡与承载，不可直接翻译为好坏、成熟度或解决方案。</x:v>
      </x:c>
      <x:c r="S5" s="24" t="str">
        <x:v>原十神功能有效；真合化成立时按化神功能替换，合化争议时停止定性。</x:v>
      </x:c>
      <x:c r="T5" s="24" t="str">
        <x:v>近位提高直接相关性；远位仅保留背景、阶段或低置信修正。</x:v>
      </x:c>
      <x:c r="U5" s="24" t="str">
        <x:v>96</x:v>
      </x:c>
      <x:c r="V5" s="24" t="str">
        <x:v>不加分；定义／门控</x:v>
      </x:c>
      <x:c r="W5" s="24" t="str">
        <x:v>buffer_evidence</x:v>
      </x:c>
      <x:c r="X5" s="24" t="str">
        <x:v>命盘最多说明潜在或可调用资源；是否启动、是否有效，要看现实行为和结果。</x:v>
      </x:c>
      <x:c r="Y5" s="24" t="str">
        <x:v>命局里有这种资源，不等于每次关系里都会自动用出来，还要看现实中是否真的调用。</x:v>
      </x:c>
      <x:c r="Z5" s="24" t="str">
        <x:v>不得仅凭本规则断定问题已经解决、关系必然稳定、用户一定成熟、某十神天然是“药”、喜用神自动等于解决办法，或淡化暴力、强迫与现实伤害；现实行为、反例、安全事实和专业支持优先。</x:v>
      </x:c>
      <x:c r="AA5" s="24" t="str">
        <x:v>高</x:v>
      </x:c>
      <x:c r="AB5" s="24" t="str">
        <x:v>待验证</x:v>
      </x:c>
      <x:c r="AC5" s="24" t="str"/>
      <x:c r="AD5" s="24" t="str">
        <x:v>provisional=true；保护因素的现实有效性必须由可观察行为、反馈和持续结果验证。</x:v>
      </x:c>
      <x:c r="AE5" s="24" t="str">
        <x:v>0.8</x:v>
      </x:c>
    </x:row>
    <x:row r="6" ht="52" customHeight="1">
      <x:c r="A6" s="24" t="str">
        <x:v>M4-BUFFER-005</x:v>
      </x:c>
      <x:c r="B6" s="24" t="str">
        <x:v>有效保护必须改变链条</x:v>
      </x:c>
      <x:c r="C6" s="24" t="str">
        <x:v>L0 定义、边界与证据合同</x:v>
      </x:c>
      <x:c r="D6" s="24" t="str">
        <x:v>BUFFER-定义边界</x:v>
      </x:c>
      <x:c r="E6" s="24" t="str">
        <x:v>通用</x:v>
      </x:c>
      <x:c r="F6" s="24" t="str">
        <x:v>边界</x:v>
      </x:c>
      <x:c r="G6" s="24" t="str">
        <x:v>效果门控</x:v>
      </x:c>
      <x:c r="H6" s="24" t="str"/>
      <x:c r="I6" s="24" t="str">
        <x:v>至少改变K机制、TR阈值、LP反馈、RN节点或风险发布等级中的一项。</x:v>
      </x:c>
      <x:c r="J6" s="24" t="str">
        <x:v>只提供安慰性描述，但风险顺序、反馈和修复没有任何变化。</x:v>
      </x:c>
      <x:c r="K6" s="24" t="str">
        <x:v>由共享基础引擎提供；仅修正保护功能的承载、持续调用和压力状态下的稳定性，不直接等同成熟度、道德或现实行为。</x:v>
      </x:c>
      <x:c r="L6" s="24" t="str">
        <x:v>由M1／M2接口提供；夫妻星、心动原型和关系门槛只说明关系议题，不单独证明保护因素已经被调用或有效。</x:v>
      </x:c>
      <x:c r="M6" s="24" t="str">
        <x:v>由M3-BASE及M4各模块提供；日支、日柱近位可提高与亲密关系核心的相关性，但同一source_id不得重复计分。</x:v>
      </x:c>
      <x:c r="N6" s="24" t="str">
        <x:v>保护因素必须明确限制过用、补足缺位、恢复顺序、打开反馈、落实改变或完成修复回流；不能只凭五行相生补写现实效果。</x:v>
      </x:c>
      <x:c r="O6" s="24" t="str">
        <x:v>近位提高进入亲密关系核心的概率；远位只作背景、阶段或条件性修正。</x:v>
      </x:c>
      <x:c r="P6" s="24" t="str">
        <x:v>根气只修正该保护功能是否容易重复调用，不等于现实中已经形成稳定保护。</x:v>
      </x:c>
      <x:c r="Q6" s="24" t="str">
        <x:v>旺弱只修正调用强度与承载；强不自动有效，弱也不自动无效。</x:v>
      </x:c>
      <x:c r="R6" s="24" t="str">
        <x:v>喜忌只修正摩擦、平衡与承载，不可直接翻译为好坏、成熟度或解决方案。</x:v>
      </x:c>
      <x:c r="S6" s="24" t="str">
        <x:v>原十神功能有效；真合化成立时按化神功能替换，合化争议时停止定性。</x:v>
      </x:c>
      <x:c r="T6" s="24" t="str">
        <x:v>近位提高直接相关性；远位仅保留背景、阶段或低置信修正。</x:v>
      </x:c>
      <x:c r="U6" s="24" t="str">
        <x:v>96</x:v>
      </x:c>
      <x:c r="V6" s="24" t="str">
        <x:v>不加分；定义／门控</x:v>
      </x:c>
      <x:c r="W6" s="24" t="str">
        <x:v>boundary_note</x:v>
      </x:c>
      <x:c r="X6" s="24" t="str">
        <x:v>保护因素只有在改变风险链的启动、强度、顺序、反馈或回流时才计入有效。</x:v>
      </x:c>
      <x:c r="Y6" s="24" t="str">
        <x:v>要看这项资源有没有真正让处理顺序、反馈或后续结果发生变化。</x:v>
      </x:c>
      <x:c r="Z6" s="24" t="str">
        <x:v>不得仅凭本规则断定问题已经解决、关系必然稳定、用户一定成熟、某十神天然是“药”、喜用神自动等于解决办法，或淡化暴力、强迫与现实伤害；现实行为、反例、安全事实和专业支持优先。</x:v>
      </x:c>
      <x:c r="AA6" s="24" t="str">
        <x:v>高</x:v>
      </x:c>
      <x:c r="AB6" s="24" t="str">
        <x:v>待验证</x:v>
      </x:c>
      <x:c r="AC6" s="24" t="str"/>
      <x:c r="AD6" s="24" t="str">
        <x:v>provisional=true；保护因素的现实有效性必须由可观察行为、反馈和持续结果验证。</x:v>
      </x:c>
      <x:c r="AE6" s="24" t="str">
        <x:v>0.8</x:v>
      </x:c>
    </x:row>
    <x:row r="7" ht="52" customHeight="1">
      <x:c r="A7" s="24" t="str">
        <x:v>M4-BUFFER-006</x:v>
      </x:c>
      <x:c r="B7" s="24" t="str">
        <x:v>同一事实只计一次｜保护解释不等于新增证据</x:v>
      </x:c>
      <x:c r="C7" s="24" t="str">
        <x:v>L0 定义、边界与证据合同</x:v>
      </x:c>
      <x:c r="D7" s="24" t="str">
        <x:v>BUFFER-定义边界</x:v>
      </x:c>
      <x:c r="E7" s="24" t="str">
        <x:v>通用</x:v>
      </x:c>
      <x:c r="F7" s="24" t="str">
        <x:v>去重</x:v>
      </x:c>
      <x:c r="G7" s="24" t="str">
        <x:v>source_id去重</x:v>
      </x:c>
      <x:c r="H7" s="24" t="str"/>
      <x:c r="I7" s="24" t="str">
        <x:v>每项命理事实和现实事件都有唯一source_id／event_id。</x:v>
      </x:c>
      <x:c r="J7" s="24" t="str">
        <x:v>同一印星被同时写成倾听、修复、通关和安全四项独立证据并重复加分。</x:v>
      </x:c>
      <x:c r="K7" s="24" t="str">
        <x:v>由共享基础引擎提供；仅修正保护功能的承载、持续调用和压力状态下的稳定性，不直接等同成熟度、道德或现实行为。</x:v>
      </x:c>
      <x:c r="L7" s="24" t="str">
        <x:v>由M1／M2接口提供；夫妻星、心动原型和关系门槛只说明关系议题，不单独证明保护因素已经被调用或有效。</x:v>
      </x:c>
      <x:c r="M7" s="24" t="str">
        <x:v>由M3-BASE及M4各模块提供；日支、日柱近位可提高与亲密关系核心的相关性，但同一source_id不得重复计分。</x:v>
      </x:c>
      <x:c r="N7" s="24" t="str">
        <x:v>保护因素必须明确限制过用、补足缺位、恢复顺序、打开反馈、落实改变或完成修复回流；不能只凭五行相生补写现实效果。</x:v>
      </x:c>
      <x:c r="O7" s="24" t="str">
        <x:v>近位提高进入亲密关系核心的概率；远位只作背景、阶段或条件性修正。</x:v>
      </x:c>
      <x:c r="P7" s="24" t="str">
        <x:v>根气只修正该保护功能是否容易重复调用，不等于现实中已经形成稳定保护。</x:v>
      </x:c>
      <x:c r="Q7" s="24" t="str">
        <x:v>旺弱只修正调用强度与承载；强不自动有效，弱也不自动无效。</x:v>
      </x:c>
      <x:c r="R7" s="24" t="str">
        <x:v>喜忌只修正摩擦、平衡与承载，不可直接翻译为好坏、成熟度或解决方案。</x:v>
      </x:c>
      <x:c r="S7" s="24" t="str">
        <x:v>原十神功能有效；真合化成立时按化神功能替换，合化争议时停止定性。</x:v>
      </x:c>
      <x:c r="T7" s="24" t="str">
        <x:v>近位提高直接相关性；远位仅保留背景、阶段或低置信修正。</x:v>
      </x:c>
      <x:c r="U7" s="24" t="str">
        <x:v>96</x:v>
      </x:c>
      <x:c r="V7" s="24" t="str">
        <x:v>不加分；定义／门控</x:v>
      </x:c>
      <x:c r="W7" s="24" t="str">
        <x:v>boundary_note</x:v>
      </x:c>
      <x:c r="X7" s="24" t="str">
        <x:v>同一基础事实可以有多个功能解释，但基础权重只能计算一次。</x:v>
      </x:c>
      <x:c r="Y7" s="24" t="str">
        <x:v>同一个命理信号可以从不同角度说明作用，但不能被当成四份独立证据。</x:v>
      </x:c>
      <x:c r="Z7" s="24" t="str">
        <x:v>不得仅凭本规则断定问题已经解决、关系必然稳定、用户一定成熟、某十神天然是“药”、喜用神自动等于解决办法，或淡化暴力、强迫与现实伤害；现实行为、反例、安全事实和专业支持优先。</x:v>
      </x:c>
      <x:c r="AA7" s="24" t="str">
        <x:v>高</x:v>
      </x:c>
      <x:c r="AB7" s="24" t="str">
        <x:v>待验证</x:v>
      </x:c>
      <x:c r="AC7" s="24" t="str"/>
      <x:c r="AD7" s="24" t="str">
        <x:v>provisional=true；保护因素的现实有效性必须由可观察行为、反馈和持续结果验证。</x:v>
      </x:c>
      <x:c r="AE7" s="24" t="str">
        <x:v>0.8</x:v>
      </x:c>
    </x:row>
    <x:row r="8" ht="52" customHeight="1">
      <x:c r="A8" s="24" t="str">
        <x:v>M4-BUFFER-007</x:v>
      </x:c>
      <x:c r="B8" s="24" t="str">
        <x:v>保护因素不覆盖现实反例</x:v>
      </x:c>
      <x:c r="C8" s="24" t="str">
        <x:v>L0 定义、边界与证据合同</x:v>
      </x:c>
      <x:c r="D8" s="24" t="str">
        <x:v>BUFFER-定义边界</x:v>
      </x:c>
      <x:c r="E8" s="24" t="str">
        <x:v>通用</x:v>
      </x:c>
      <x:c r="F8" s="24" t="str">
        <x:v>反例</x:v>
      </x:c>
      <x:c r="G8" s="24" t="str">
        <x:v>现实优先</x:v>
      </x:c>
      <x:c r="H8" s="24" t="str"/>
      <x:c r="I8" s="24" t="str">
        <x:v>现实中没有稳定反例，或反例已被纳入条件化判断。</x:v>
      </x:c>
      <x:c r="J8" s="24" t="str">
        <x:v>现实多次显示该功能未进入，却仍用命盘结构宣告保护有效。</x:v>
      </x:c>
      <x:c r="K8" s="24" t="str">
        <x:v>由共享基础引擎提供；仅修正保护功能的承载、持续调用和压力状态下的稳定性，不直接等同成熟度、道德或现实行为。</x:v>
      </x:c>
      <x:c r="L8" s="24" t="str">
        <x:v>由M1／M2接口提供；夫妻星、心动原型和关系门槛只说明关系议题，不单独证明保护因素已经被调用或有效。</x:v>
      </x:c>
      <x:c r="M8" s="24" t="str">
        <x:v>由M3-BASE及M4各模块提供；日支、日柱近位可提高与亲密关系核心的相关性，但同一source_id不得重复计分。</x:v>
      </x:c>
      <x:c r="N8" s="24" t="str">
        <x:v>保护因素必须明确限制过用、补足缺位、恢复顺序、打开反馈、落实改变或完成修复回流；不能只凭五行相生补写现实效果。</x:v>
      </x:c>
      <x:c r="O8" s="24" t="str">
        <x:v>近位提高进入亲密关系核心的概率；远位只作背景、阶段或条件性修正。</x:v>
      </x:c>
      <x:c r="P8" s="24" t="str">
        <x:v>根气只修正该保护功能是否容易重复调用，不等于现实中已经形成稳定保护。</x:v>
      </x:c>
      <x:c r="Q8" s="24" t="str">
        <x:v>旺弱只修正调用强度与承载；强不自动有效，弱也不自动无效。</x:v>
      </x:c>
      <x:c r="R8" s="24" t="str">
        <x:v>喜忌只修正摩擦、平衡与承载，不可直接翻译为好坏、成熟度或解决方案。</x:v>
      </x:c>
      <x:c r="S8" s="24" t="str">
        <x:v>原十神功能有效；真合化成立时按化神功能替换，合化争议时停止定性。</x:v>
      </x:c>
      <x:c r="T8" s="24" t="str">
        <x:v>近位提高直接相关性；远位仅保留背景、阶段或低置信修正。</x:v>
      </x:c>
      <x:c r="U8" s="24" t="str">
        <x:v>96</x:v>
      </x:c>
      <x:c r="V8" s="24" t="str">
        <x:v>现实反例直接降级</x:v>
      </x:c>
      <x:c r="W8" s="24" t="str">
        <x:v>boundary_note</x:v>
      </x:c>
      <x:c r="X8" s="24" t="str">
        <x:v>现实反例直接降低保护层级；稳定反例优先于结构推测。</x:v>
      </x:c>
      <x:c r="Y8" s="24" t="str">
        <x:v>如果现实中多次没有用出这项资源，就不能只凭八字说它已经在保护关系。</x:v>
      </x:c>
      <x:c r="Z8" s="24" t="str">
        <x:v>不得仅凭本规则断定问题已经解决、关系必然稳定、用户一定成熟、某十神天然是“药”、喜用神自动等于解决办法，或淡化暴力、强迫与现实伤害；现实行为、反例、安全事实和专业支持优先。</x:v>
      </x:c>
      <x:c r="AA8" s="24" t="str">
        <x:v>高</x:v>
      </x:c>
      <x:c r="AB8" s="24" t="str">
        <x:v>待验证</x:v>
      </x:c>
      <x:c r="AC8" s="24" t="str"/>
      <x:c r="AD8" s="24" t="str">
        <x:v>provisional=true；保护因素的现实有效性必须由可观察行为、反馈和持续结果验证。</x:v>
      </x:c>
      <x:c r="AE8" s="24" t="str">
        <x:v>0.8</x:v>
      </x:c>
    </x:row>
    <x:row r="9" ht="52" customHeight="1">
      <x:c r="A9" s="24" t="str">
        <x:v>M4-BUFFER-008</x:v>
      </x:c>
      <x:c r="B9" s="24" t="str">
        <x:v>安全停止｜暴力强迫不进入普通缓冲框架</x:v>
      </x:c>
      <x:c r="C9" s="24" t="str">
        <x:v>L0 定义、边界与证据合同</x:v>
      </x:c>
      <x:c r="D9" s="24" t="str">
        <x:v>BUFFER-定义边界</x:v>
      </x:c>
      <x:c r="E9" s="24" t="str">
        <x:v>通用</x:v>
      </x:c>
      <x:c r="F9" s="24" t="str">
        <x:v>安全</x:v>
      </x:c>
      <x:c r="G9" s="24" t="str">
        <x:v>现实安全门控</x:v>
      </x:c>
      <x:c r="H9" s="24" t="str"/>
      <x:c r="I9" s="24" t="str">
        <x:v>现实中不存在暴力、威胁、强迫、跟踪、经济控制或明显人身风险。</x:v>
      </x:c>
      <x:c r="J9" s="24" t="str">
        <x:v>存在安全风险，却用“有制化、有沟通、有爱”要求继续协商。</x:v>
      </x:c>
      <x:c r="K9" s="24" t="str">
        <x:v>由共享基础引擎提供；仅修正保护功能的承载、持续调用和压力状态下的稳定性，不直接等同成熟度、道德或现实行为。</x:v>
      </x:c>
      <x:c r="L9" s="24" t="str">
        <x:v>由M1／M2接口提供；夫妻星、心动原型和关系门槛只说明关系议题，不单独证明保护因素已经被调用或有效。</x:v>
      </x:c>
      <x:c r="M9" s="24" t="str">
        <x:v>由M3-BASE及M4各模块提供；日支、日柱近位可提高与亲密关系核心的相关性，但同一source_id不得重复计分。</x:v>
      </x:c>
      <x:c r="N9" s="24" t="str">
        <x:v>保护因素必须明确限制过用、补足缺位、恢复顺序、打开反馈、落实改变或完成修复回流；不能只凭五行相生补写现实效果。</x:v>
      </x:c>
      <x:c r="O9" s="24" t="str">
        <x:v>近位提高进入亲密关系核心的概率；远位只作背景、阶段或条件性修正。</x:v>
      </x:c>
      <x:c r="P9" s="24" t="str">
        <x:v>根气只修正该保护功能是否容易重复调用，不等于现实中已经形成稳定保护。</x:v>
      </x:c>
      <x:c r="Q9" s="24" t="str">
        <x:v>旺弱只修正调用强度与承载；强不自动有效，弱也不自动无效。</x:v>
      </x:c>
      <x:c r="R9" s="24" t="str">
        <x:v>喜忌只修正摩擦、平衡与承载，不可直接翻译为好坏、成熟度或解决方案。</x:v>
      </x:c>
      <x:c r="S9" s="24" t="str">
        <x:v>原十神功能有效；真合化成立时按化神功能替换，合化争议时停止定性。</x:v>
      </x:c>
      <x:c r="T9" s="24" t="str">
        <x:v>近位提高直接相关性；远位仅保留背景、阶段或低置信修正。</x:v>
      </x:c>
      <x:c r="U9" s="24" t="str">
        <x:v>100</x:v>
      </x:c>
      <x:c r="V9" s="24" t="str">
        <x:v>不加分；定义／门控</x:v>
      </x:c>
      <x:c r="W9" s="24" t="str">
        <x:v>boundary_note</x:v>
      </x:c>
      <x:c r="X9" s="24" t="str">
        <x:v>安全风险优先转向现实保护、责任和专业支持，不以普通关系调节替代。</x:v>
      </x:c>
      <x:c r="Y9" s="24" t="str">
        <x:v>若存在威胁、强迫或人身安全风险，首要任务是安全，不应把重点放在如何调和。</x:v>
      </x:c>
      <x:c r="Z9" s="24" t="str">
        <x:v>不得仅凭本规则断定问题已经解决、关系必然稳定、用户一定成熟、某十神天然是“药”、喜用神自动等于解决办法，或淡化暴力、强迫与现实伤害；现实行为、反例、安全事实和专业支持优先。</x:v>
      </x:c>
      <x:c r="AA9" s="24" t="str">
        <x:v>高</x:v>
      </x:c>
      <x:c r="AB9" s="24" t="str">
        <x:v>待验证</x:v>
      </x:c>
      <x:c r="AC9" s="24" t="str"/>
      <x:c r="AD9" s="24" t="str">
        <x:v>provisional=true；保护因素的现实有效性必须由可观察行为、反馈和持续结果验证。</x:v>
      </x:c>
      <x:c r="AE9" s="24" t="str">
        <x:v>0.8</x:v>
      </x:c>
    </x:row>
    <x:row r="10" ht="52" customHeight="1">
      <x:c r="A10" s="24" t="str">
        <x:v>M4-BUFFER-009</x:v>
      </x:c>
      <x:c r="B10" s="24" t="str">
        <x:v>保护因素不创造原谅与继续关系义务</x:v>
      </x:c>
      <x:c r="C10" s="24" t="str">
        <x:v>L0 定义、边界与证据合同</x:v>
      </x:c>
      <x:c r="D10" s="24" t="str">
        <x:v>BUFFER-定义边界</x:v>
      </x:c>
      <x:c r="E10" s="24" t="str">
        <x:v>通用</x:v>
      </x:c>
      <x:c r="F10" s="24" t="str">
        <x:v>伦理</x:v>
      </x:c>
      <x:c r="G10" s="24" t="str">
        <x:v>选择权边界</x:v>
      </x:c>
      <x:c r="H10" s="24" t="str"/>
      <x:c r="I10" s="24" t="str">
        <x:v>区分责任行动、关系修复、原谅、信任和是否继续。</x:v>
      </x:c>
      <x:c r="J10" s="24" t="str">
        <x:v>用“命里有药”“可以化解”要求受影响者原谅、复合或继续关系。</x:v>
      </x:c>
      <x:c r="K10" s="24" t="str">
        <x:v>由共享基础引擎提供；仅修正保护功能的承载、持续调用和压力状态下的稳定性，不直接等同成熟度、道德或现实行为。</x:v>
      </x:c>
      <x:c r="L10" s="24" t="str">
        <x:v>由M1／M2接口提供；夫妻星、心动原型和关系门槛只说明关系议题，不单独证明保护因素已经被调用或有效。</x:v>
      </x:c>
      <x:c r="M10" s="24" t="str">
        <x:v>由M3-BASE及M4各模块提供；日支、日柱近位可提高与亲密关系核心的相关性，但同一source_id不得重复计分。</x:v>
      </x:c>
      <x:c r="N10" s="24" t="str">
        <x:v>保护因素必须明确限制过用、补足缺位、恢复顺序、打开反馈、落实改变或完成修复回流；不能只凭五行相生补写现实效果。</x:v>
      </x:c>
      <x:c r="O10" s="24" t="str">
        <x:v>近位提高进入亲密关系核心的概率；远位只作背景、阶段或条件性修正。</x:v>
      </x:c>
      <x:c r="P10" s="24" t="str">
        <x:v>根气只修正该保护功能是否容易重复调用，不等于现实中已经形成稳定保护。</x:v>
      </x:c>
      <x:c r="Q10" s="24" t="str">
        <x:v>旺弱只修正调用强度与承载；强不自动有效，弱也不自动无效。</x:v>
      </x:c>
      <x:c r="R10" s="24" t="str">
        <x:v>喜忌只修正摩擦、平衡与承载，不可直接翻译为好坏、成熟度或解决方案。</x:v>
      </x:c>
      <x:c r="S10" s="24" t="str">
        <x:v>原十神功能有效；真合化成立时按化神功能替换，合化争议时停止定性。</x:v>
      </x:c>
      <x:c r="T10" s="24" t="str">
        <x:v>近位提高直接相关性；远位仅保留背景、阶段或低置信修正。</x:v>
      </x:c>
      <x:c r="U10" s="24" t="str">
        <x:v>100</x:v>
      </x:c>
      <x:c r="V10" s="24" t="str">
        <x:v>不加分；定义／门控</x:v>
      </x:c>
      <x:c r="W10" s="24" t="str">
        <x:v>boundary_note</x:v>
      </x:c>
      <x:c r="X10" s="24" t="str">
        <x:v>有效保护可以减少风险或完成责任，但不能替任何人决定是否继续关系。</x:v>
      </x:c>
      <x:c r="Y10" s="24" t="str">
        <x:v>即使对方做出改变，你仍有权决定是否原谅、恢复信任或继续关系。</x:v>
      </x:c>
      <x:c r="Z10" s="24" t="str">
        <x:v>不得仅凭本规则断定问题已经解决、关系必然稳定、用户一定成熟、某十神天然是“药”、喜用神自动等于解决办法，或淡化暴力、强迫与现实伤害；现实行为、反例、安全事实和专业支持优先。</x:v>
      </x:c>
      <x:c r="AA10" s="24" t="str">
        <x:v>高</x:v>
      </x:c>
      <x:c r="AB10" s="24" t="str">
        <x:v>待验证</x:v>
      </x:c>
      <x:c r="AC10" s="24" t="str"/>
      <x:c r="AD10" s="24" t="str">
        <x:v>provisional=true；保护因素的现实有效性必须由可观察行为、反馈和持续结果验证。</x:v>
      </x:c>
      <x:c r="AE10" s="24" t="str">
        <x:v>0.8</x:v>
      </x:c>
    </x:row>
    <x:row r="11" ht="52" customHeight="1">
      <x:c r="A11" s="24" t="str">
        <x:v>M4-BUFFER-010</x:v>
      </x:c>
      <x:c r="B11" s="24" t="str">
        <x:v>喜用神不直接等于药</x:v>
      </x:c>
      <x:c r="C11" s="24" t="str">
        <x:v>L0 定义、边界与证据合同</x:v>
      </x:c>
      <x:c r="D11" s="24" t="str">
        <x:v>BUFFER-定义边界</x:v>
      </x:c>
      <x:c r="E11" s="24" t="str">
        <x:v>通用</x:v>
      </x:c>
      <x:c r="F11" s="24" t="str">
        <x:v>病药边界</x:v>
      </x:c>
      <x:c r="G11" s="24" t="str">
        <x:v>喜忌接口</x:v>
      </x:c>
      <x:c r="H11" s="24" t="str"/>
      <x:c r="I11" s="24" t="str">
        <x:v>喜用只作为承载和平衡信息，另有具体功能靶点和现实调用证据。</x:v>
      </x:c>
      <x:c r="J11" s="24" t="str">
        <x:v>直接写“喜木，所以多沟通”“用火，所以找热情伴侣”等。</x:v>
      </x:c>
      <x:c r="K11" s="24" t="str">
        <x:v>由共享基础引擎提供；仅修正保护功能的承载、持续调用和压力状态下的稳定性，不直接等同成熟度、道德或现实行为。</x:v>
      </x:c>
      <x:c r="L11" s="24" t="str">
        <x:v>由M1／M2接口提供；夫妻星、心动原型和关系门槛只说明关系议题，不单独证明保护因素已经被调用或有效。</x:v>
      </x:c>
      <x:c r="M11" s="24" t="str">
        <x:v>由M3-BASE及M4各模块提供；日支、日柱近位可提高与亲密关系核心的相关性，但同一source_id不得重复计分。</x:v>
      </x:c>
      <x:c r="N11" s="24" t="str">
        <x:v>保护因素必须明确限制过用、补足缺位、恢复顺序、打开反馈、落实改变或完成修复回流；不能只凭五行相生补写现实效果。</x:v>
      </x:c>
      <x:c r="O11" s="24" t="str">
        <x:v>近位提高进入亲密关系核心的概率；远位只作背景、阶段或条件性修正。</x:v>
      </x:c>
      <x:c r="P11" s="24" t="str">
        <x:v>根气只修正该保护功能是否容易重复调用，不等于现实中已经形成稳定保护。</x:v>
      </x:c>
      <x:c r="Q11" s="24" t="str">
        <x:v>旺弱只修正调用强度与承载；强不自动有效，弱也不自动无效。</x:v>
      </x:c>
      <x:c r="R11" s="24" t="str">
        <x:v>喜忌只修正摩擦、平衡与承载，不可直接翻译为好坏、成熟度或解决方案。</x:v>
      </x:c>
      <x:c r="S11" s="24" t="str">
        <x:v>原十神功能有效；真合化成立时按化神功能替换，合化争议时停止定性。</x:v>
      </x:c>
      <x:c r="T11" s="24" t="str">
        <x:v>近位提高直接相关性；远位仅保留背景、阶段或低置信修正。</x:v>
      </x:c>
      <x:c r="U11" s="24" t="str">
        <x:v>96</x:v>
      </x:c>
      <x:c r="V11" s="24" t="str">
        <x:v>不加分；定义／门控</x:v>
      </x:c>
      <x:c r="W11" s="24" t="str">
        <x:v>boundary_note</x:v>
      </x:c>
      <x:c r="X11" s="24" t="str">
        <x:v>病药模型中的药是能改变具体失衡链的功能，不是元素标签的直接翻译。</x:v>
      </x:c>
      <x:c r="Y11" s="24" t="str">
        <x:v>这里的“药”指能补上具体关系步骤的功能，不是简单说某个五行越多越好。</x:v>
      </x:c>
      <x:c r="Z11" s="24" t="str">
        <x:v>不得仅凭本规则断定问题已经解决、关系必然稳定、用户一定成熟、某十神天然是“药”、喜用神自动等于解决办法，或淡化暴力、强迫与现实伤害；现实行为、反例、安全事实和专业支持优先。</x:v>
      </x:c>
      <x:c r="AA11" s="24" t="str">
        <x:v>高</x:v>
      </x:c>
      <x:c r="AB11" s="24" t="str">
        <x:v>待验证</x:v>
      </x:c>
      <x:c r="AC11" s="24" t="str"/>
      <x:c r="AD11" s="24" t="str">
        <x:v>provisional=true；保护因素的现实有效性必须由可观察行为、反馈和持续结果验证。</x:v>
      </x:c>
      <x:c r="AE11" s="24" t="str">
        <x:v>0.8</x:v>
      </x:c>
    </x:row>
    <x:row r="12" ht="52" customHeight="1">
      <x:c r="A12" s="24" t="str">
        <x:v>M4-BUFFER-011</x:v>
      </x:c>
      <x:c r="B12" s="24" t="str">
        <x:v>制化存在不等于问题不存在</x:v>
      </x:c>
      <x:c r="C12" s="24" t="str">
        <x:v>L0 定义、边界与证据合同</x:v>
      </x:c>
      <x:c r="D12" s="24" t="str">
        <x:v>BUFFER-定义边界</x:v>
      </x:c>
      <x:c r="E12" s="24" t="str">
        <x:v>通用</x:v>
      </x:c>
      <x:c r="F12" s="24" t="str">
        <x:v>病药边界</x:v>
      </x:c>
      <x:c r="G12" s="24" t="str">
        <x:v>制化有效性</x:v>
      </x:c>
      <x:c r="H12" s="24" t="str"/>
      <x:c r="I12" s="24" t="str">
        <x:v>制化功能有效、位置可进入、强度适配，并在现实中改变了风险链。</x:v>
      </x:c>
      <x:c r="J12" s="24" t="str">
        <x:v>只见制化组合就把所有候选清零。</x:v>
      </x:c>
      <x:c r="K12" s="24" t="str">
        <x:v>由共享基础引擎提供；仅修正保护功能的承载、持续调用和压力状态下的稳定性，不直接等同成熟度、道德或现实行为。</x:v>
      </x:c>
      <x:c r="L12" s="24" t="str">
        <x:v>由M1／M2接口提供；夫妻星、心动原型和关系门槛只说明关系议题，不单独证明保护因素已经被调用或有效。</x:v>
      </x:c>
      <x:c r="M12" s="24" t="str">
        <x:v>由M3-BASE及M4各模块提供；日支、日柱近位可提高与亲密关系核心的相关性，但同一source_id不得重复计分。</x:v>
      </x:c>
      <x:c r="N12" s="24" t="str">
        <x:v>保护因素必须明确限制过用、补足缺位、恢复顺序、打开反馈、落实改变或完成修复回流；不能只凭五行相生补写现实效果。</x:v>
      </x:c>
      <x:c r="O12" s="24" t="str">
        <x:v>近位提高进入亲密关系核心的概率；远位只作背景、阶段或条件性修正。</x:v>
      </x:c>
      <x:c r="P12" s="24" t="str">
        <x:v>根气只修正该保护功能是否容易重复调用，不等于现实中已经形成稳定保护。</x:v>
      </x:c>
      <x:c r="Q12" s="24" t="str">
        <x:v>旺弱只修正调用强度与承载；强不自动有效，弱也不自动无效。</x:v>
      </x:c>
      <x:c r="R12" s="24" t="str">
        <x:v>喜忌只修正摩擦、平衡与承载，不可直接翻译为好坏、成熟度或解决方案。</x:v>
      </x:c>
      <x:c r="S12" s="24" t="str">
        <x:v>原十神功能有效；真合化成立时按化神功能替换，合化争议时停止定性。</x:v>
      </x:c>
      <x:c r="T12" s="24" t="str">
        <x:v>近位提高直接相关性；远位仅保留背景、阶段或低置信修正。</x:v>
      </x:c>
      <x:c r="U12" s="24" t="str">
        <x:v>96</x:v>
      </x:c>
      <x:c r="V12" s="24" t="str">
        <x:v>不加分；定义／门控</x:v>
      </x:c>
      <x:c r="W12" s="24" t="str">
        <x:v>boundary_note</x:v>
      </x:c>
      <x:c r="X12" s="24" t="str">
        <x:v>制化是潜在限制机制，是否有效要看双方强弱、位置、通关和现实表现。</x:v>
      </x:c>
      <x:c r="Y12" s="24" t="str">
        <x:v>有调节结构是好事，但还要看它能不能在真实关系情境中及时发挥。</x:v>
      </x:c>
      <x:c r="Z12" s="24" t="str">
        <x:v>不得仅凭本规则断定问题已经解决、关系必然稳定、用户一定成熟、某十神天然是“药”、喜用神自动等于解决办法，或淡化暴力、强迫与现实伤害；现实行为、反例、安全事实和专业支持优先。</x:v>
      </x:c>
      <x:c r="AA12" s="24" t="str">
        <x:v>高</x:v>
      </x:c>
      <x:c r="AB12" s="24" t="str">
        <x:v>待验证</x:v>
      </x:c>
      <x:c r="AC12" s="24" t="str"/>
      <x:c r="AD12" s="24" t="str">
        <x:v>provisional=true；保护因素的现实有效性必须由可观察行为、反馈和持续结果验证。</x:v>
      </x:c>
      <x:c r="AE12" s="24" t="str">
        <x:v>0.8</x:v>
      </x:c>
    </x:row>
    <x:row r="13" ht="52" customHeight="1">
      <x:c r="A13" s="24" t="str">
        <x:v>M4-BUFFER-012</x:v>
      </x:c>
      <x:c r="B13" s="24" t="str">
        <x:v>通关存在不等于转换已完成</x:v>
      </x:c>
      <x:c r="C13" s="24" t="str">
        <x:v>L0 定义、边界与证据合同</x:v>
      </x:c>
      <x:c r="D13" s="24" t="str">
        <x:v>BUFFER-定义边界</x:v>
      </x:c>
      <x:c r="E13" s="24" t="str">
        <x:v>通用</x:v>
      </x:c>
      <x:c r="F13" s="24" t="str">
        <x:v>病药边界</x:v>
      </x:c>
      <x:c r="G13" s="24" t="str">
        <x:v>流通有效性</x:v>
      </x:c>
      <x:c r="H13" s="24" t="str"/>
      <x:c r="I13" s="24" t="str">
        <x:v>起点、桥梁、终点均有效，并有现实顺序或行为支持。</x:v>
      </x:c>
      <x:c r="J13" s="24" t="str">
        <x:v>只凭五行相生就写“能从理解转成边界、从表达转成行动”。</x:v>
      </x:c>
      <x:c r="K13" s="24" t="str">
        <x:v>由共享基础引擎提供；仅修正保护功能的承载、持续调用和压力状态下的稳定性，不直接等同成熟度、道德或现实行为。</x:v>
      </x:c>
      <x:c r="L13" s="24" t="str">
        <x:v>由M1／M2接口提供；夫妻星、心动原型和关系门槛只说明关系议题，不单独证明保护因素已经被调用或有效。</x:v>
      </x:c>
      <x:c r="M13" s="24" t="str">
        <x:v>由M3-BASE及M4各模块提供；日支、日柱近位可提高与亲密关系核心的相关性，但同一source_id不得重复计分。</x:v>
      </x:c>
      <x:c r="N13" s="24" t="str">
        <x:v>保护因素必须明确限制过用、补足缺位、恢复顺序、打开反馈、落实改变或完成修复回流；不能只凭五行相生补写现实效果。</x:v>
      </x:c>
      <x:c r="O13" s="24" t="str">
        <x:v>近位提高进入亲密关系核心的概率；远位只作背景、阶段或条件性修正。</x:v>
      </x:c>
      <x:c r="P13" s="24" t="str">
        <x:v>根气只修正该保护功能是否容易重复调用，不等于现实中已经形成稳定保护。</x:v>
      </x:c>
      <x:c r="Q13" s="24" t="str">
        <x:v>旺弱只修正调用强度与承载；强不自动有效，弱也不自动无效。</x:v>
      </x:c>
      <x:c r="R13" s="24" t="str">
        <x:v>喜忌只修正摩擦、平衡与承载，不可直接翻译为好坏、成熟度或解决方案。</x:v>
      </x:c>
      <x:c r="S13" s="24" t="str">
        <x:v>原十神功能有效；真合化成立时按化神功能替换，合化争议时停止定性。</x:v>
      </x:c>
      <x:c r="T13" s="24" t="str">
        <x:v>近位提高直接相关性；远位仅保留背景、阶段或低置信修正。</x:v>
      </x:c>
      <x:c r="U13" s="24" t="str">
        <x:v>96</x:v>
      </x:c>
      <x:c r="V13" s="24" t="str">
        <x:v>不加分；定义／门控</x:v>
      </x:c>
      <x:c r="W13" s="24" t="str">
        <x:v>boundary_note</x:v>
      </x:c>
      <x:c r="X13" s="24" t="str">
        <x:v>通关必须落到功能转换；中间元素存在但弱远或未被调用时，只能算潜在资源。</x:v>
      </x:c>
      <x:c r="Y13" s="24" t="str">
        <x:v>命局有桥梁，不等于现实中每次都能顺利走到下一步。</x:v>
      </x:c>
      <x:c r="Z13" s="24" t="str">
        <x:v>不得仅凭本规则断定问题已经解决、关系必然稳定、用户一定成熟、某十神天然是“药”、喜用神自动等于解决办法，或淡化暴力、强迫与现实伤害；现实行为、反例、安全事实和专业支持优先。</x:v>
      </x:c>
      <x:c r="AA13" s="24" t="str">
        <x:v>高</x:v>
      </x:c>
      <x:c r="AB13" s="24" t="str">
        <x:v>待验证</x:v>
      </x:c>
      <x:c r="AC13" s="24" t="str"/>
      <x:c r="AD13" s="24" t="str">
        <x:v>provisional=true；保护因素的现实有效性必须由可观察行为、反馈和持续结果验证。</x:v>
      </x:c>
      <x:c r="AE13" s="24" t="str">
        <x:v>0.8</x:v>
      </x:c>
    </x:row>
    <x:row r="14" ht="52" customHeight="1">
      <x:c r="A14" s="24" t="str">
        <x:v>M4-BUFFER-013</x:v>
      </x:c>
      <x:c r="B14" s="24" t="str">
        <x:v>保护强度与保护质量分离</x:v>
      </x:c>
      <x:c r="C14" s="24" t="str">
        <x:v>L0 定义、边界与证据合同</x:v>
      </x:c>
      <x:c r="D14" s="24" t="str">
        <x:v>BUFFER-定义边界</x:v>
      </x:c>
      <x:c r="E14" s="24" t="str">
        <x:v>通用</x:v>
      </x:c>
      <x:c r="F14" s="24" t="str">
        <x:v>边界</x:v>
      </x:c>
      <x:c r="G14" s="24" t="str">
        <x:v>强度质量分离</x:v>
      </x:c>
      <x:c r="H14" s="24" t="str"/>
      <x:c r="I14" s="24" t="str">
        <x:v>同时评估调用强度、适配范围、反馈和实际结果。</x:v>
      </x:c>
      <x:c r="J14" s="24" t="str">
        <x:v>功能越旺就判定保护越强、越好。</x:v>
      </x:c>
      <x:c r="K14" s="24" t="str">
        <x:v>由共享基础引擎提供；仅修正保护功能的承载、持续调用和压力状态下的稳定性，不直接等同成熟度、道德或现实行为。</x:v>
      </x:c>
      <x:c r="L14" s="24" t="str">
        <x:v>由M1／M2接口提供；夫妻星、心动原型和关系门槛只说明关系议题，不单独证明保护因素已经被调用或有效。</x:v>
      </x:c>
      <x:c r="M14" s="24" t="str">
        <x:v>由M3-BASE及M4各模块提供；日支、日柱近位可提高与亲密关系核心的相关性，但同一source_id不得重复计分。</x:v>
      </x:c>
      <x:c r="N14" s="24" t="str">
        <x:v>保护因素必须明确限制过用、补足缺位、恢复顺序、打开反馈、落实改变或完成修复回流；不能只凭五行相生补写现实效果。</x:v>
      </x:c>
      <x:c r="O14" s="24" t="str">
        <x:v>近位提高进入亲密关系核心的概率；远位只作背景、阶段或条件性修正。</x:v>
      </x:c>
      <x:c r="P14" s="24" t="str">
        <x:v>根气只修正该保护功能是否容易重复调用，不等于现实中已经形成稳定保护。</x:v>
      </x:c>
      <x:c r="Q14" s="24" t="str">
        <x:v>旺弱只修正调用强度与承载；强不自动有效，弱也不自动无效。</x:v>
      </x:c>
      <x:c r="R14" s="24" t="str">
        <x:v>喜忌只修正摩擦、平衡与承载，不可直接翻译为好坏、成熟度或解决方案。</x:v>
      </x:c>
      <x:c r="S14" s="24" t="str">
        <x:v>原十神功能有效；真合化成立时按化神功能替换，合化争议时停止定性。</x:v>
      </x:c>
      <x:c r="T14" s="24" t="str">
        <x:v>近位提高直接相关性；远位仅保留背景、阶段或低置信修正。</x:v>
      </x:c>
      <x:c r="U14" s="24" t="str">
        <x:v>96</x:v>
      </x:c>
      <x:c r="V14" s="24" t="str">
        <x:v>不加分；定义／门控</x:v>
      </x:c>
      <x:c r="W14" s="24" t="str">
        <x:v>boundary_note</x:v>
      </x:c>
      <x:c r="X14" s="24" t="str">
        <x:v>过强保护可能变成规则加码、过度解释、过度照顾或过度干预。</x:v>
      </x:c>
      <x:c r="Y14" s="24" t="str">
        <x:v>资源很强不代表用得刚好，关键是它能否在合适的时机、范围内进入。</x:v>
      </x:c>
      <x:c r="Z14" s="24" t="str">
        <x:v>不得仅凭本规则断定问题已经解决、关系必然稳定、用户一定成熟、某十神天然是“药”、喜用神自动等于解决办法，或淡化暴力、强迫与现实伤害；现实行为、反例、安全事实和专业支持优先。</x:v>
      </x:c>
      <x:c r="AA14" s="24" t="str">
        <x:v>高</x:v>
      </x:c>
      <x:c r="AB14" s="24" t="str">
        <x:v>待验证</x:v>
      </x:c>
      <x:c r="AC14" s="24" t="str"/>
      <x:c r="AD14" s="24" t="str">
        <x:v>provisional=true；保护因素的现实有效性必须由可观察行为、反馈和持续结果验证。</x:v>
      </x:c>
      <x:c r="AE14" s="24" t="str">
        <x:v>0.8</x:v>
      </x:c>
    </x:row>
    <x:row r="15" ht="52" customHeight="1">
      <x:c r="A15" s="24" t="str">
        <x:v>M4-BUFFER-014</x:v>
      </x:c>
      <x:c r="B15" s="24" t="str">
        <x:v>保护因素必须与触发域匹配</x:v>
      </x:c>
      <x:c r="C15" s="24" t="str">
        <x:v>L0 定义、边界与证据合同</x:v>
      </x:c>
      <x:c r="D15" s="24" t="str">
        <x:v>BUFFER-定义边界</x:v>
      </x:c>
      <x:c r="E15" s="24" t="str">
        <x:v>通用</x:v>
      </x:c>
      <x:c r="F15" s="24" t="str">
        <x:v>边界</x:v>
      </x:c>
      <x:c r="G15" s="24" t="str">
        <x:v>情境匹配</x:v>
      </x:c>
      <x:c r="H15" s="24" t="str"/>
      <x:c r="I15" s="24" t="str">
        <x:v>保护功能能够处理当前TR触发域要求的具体任务。</x:v>
      </x:c>
      <x:c r="J15" s="24" t="str">
        <x:v>把适用于日常沟通的资源，直接当成高压安全事件的保护。</x:v>
      </x:c>
      <x:c r="K15" s="24" t="str">
        <x:v>由共享基础引擎提供；仅修正保护功能的承载、持续调用和压力状态下的稳定性，不直接等同成熟度、道德或现实行为。</x:v>
      </x:c>
      <x:c r="L15" s="24" t="str">
        <x:v>由M1／M2接口提供；夫妻星、心动原型和关系门槛只说明关系议题，不单独证明保护因素已经被调用或有效。</x:v>
      </x:c>
      <x:c r="M15" s="24" t="str">
        <x:v>由M3-BASE及M4各模块提供；日支、日柱近位可提高与亲密关系核心的相关性，但同一source_id不得重复计分。</x:v>
      </x:c>
      <x:c r="N15" s="24" t="str">
        <x:v>保护因素必须明确限制过用、补足缺位、恢复顺序、打开反馈、落实改变或完成修复回流；不能只凭五行相生补写现实效果。</x:v>
      </x:c>
      <x:c r="O15" s="24" t="str">
        <x:v>近位提高进入亲密关系核心的概率；远位只作背景、阶段或条件性修正。</x:v>
      </x:c>
      <x:c r="P15" s="24" t="str">
        <x:v>根气只修正该保护功能是否容易重复调用，不等于现实中已经形成稳定保护。</x:v>
      </x:c>
      <x:c r="Q15" s="24" t="str">
        <x:v>旺弱只修正调用强度与承载；强不自动有效，弱也不自动无效。</x:v>
      </x:c>
      <x:c r="R15" s="24" t="str">
        <x:v>喜忌只修正摩擦、平衡与承载，不可直接翻译为好坏、成熟度或解决方案。</x:v>
      </x:c>
      <x:c r="S15" s="24" t="str">
        <x:v>原十神功能有效；真合化成立时按化神功能替换，合化争议时停止定性。</x:v>
      </x:c>
      <x:c r="T15" s="24" t="str">
        <x:v>近位提高直接相关性；远位仅保留背景、阶段或低置信修正。</x:v>
      </x:c>
      <x:c r="U15" s="24" t="str">
        <x:v>96</x:v>
      </x:c>
      <x:c r="V15" s="24" t="str">
        <x:v>不加分；定义／门控</x:v>
      </x:c>
      <x:c r="W15" s="24" t="str">
        <x:v>boundary_note</x:v>
      </x:c>
      <x:c r="X15" s="24" t="str">
        <x:v>同一资源在不同触发域中的作用不同；功能不匹配时不得抬高保护等级。</x:v>
      </x:c>
      <x:c r="Y15" s="24" t="str">
        <x:v>某种方法在日常有效，不代表在所有压力情境里都同样有效。</x:v>
      </x:c>
      <x:c r="Z15" s="24" t="str">
        <x:v>不得仅凭本规则断定问题已经解决、关系必然稳定、用户一定成熟、某十神天然是“药”、喜用神自动等于解决办法，或淡化暴力、强迫与现实伤害；现实行为、反例、安全事实和专业支持优先。</x:v>
      </x:c>
      <x:c r="AA15" s="24" t="str">
        <x:v>高</x:v>
      </x:c>
      <x:c r="AB15" s="24" t="str">
        <x:v>待验证</x:v>
      </x:c>
      <x:c r="AC15" s="24" t="str"/>
      <x:c r="AD15" s="24" t="str">
        <x:v>provisional=true；保护因素的现实有效性必须由可观察行为、反馈和持续结果验证。</x:v>
      </x:c>
      <x:c r="AE15" s="24" t="str">
        <x:v>0.8</x:v>
      </x:c>
    </x:row>
    <x:row r="16" ht="52" customHeight="1">
      <x:c r="A16" s="24" t="str">
        <x:v>M4-BUFFER-015</x:v>
      </x:c>
      <x:c r="B16" s="24" t="str">
        <x:v>潜在资源不等于可调用资源</x:v>
      </x:c>
      <x:c r="C16" s="24" t="str">
        <x:v>L0 定义、边界与证据合同</x:v>
      </x:c>
      <x:c r="D16" s="24" t="str">
        <x:v>BUFFER-定义边界</x:v>
      </x:c>
      <x:c r="E16" s="24" t="str">
        <x:v>通用</x:v>
      </x:c>
      <x:c r="F16" s="24" t="str">
        <x:v>证据</x:v>
      </x:c>
      <x:c r="G16" s="24" t="str">
        <x:v>可调用性</x:v>
      </x:c>
      <x:c r="H16" s="24" t="str"/>
      <x:c r="I16" s="24" t="str">
        <x:v>资源有根、有位置、有承载或现实使用入口。</x:v>
      </x:c>
      <x:c r="J16" s="24" t="str">
        <x:v>资源弱远、受损或从未出现，却仍标成稳定保护。</x:v>
      </x:c>
      <x:c r="K16" s="24" t="str">
        <x:v>由共享基础引擎提供；仅修正保护功能的承载、持续调用和压力状态下的稳定性，不直接等同成熟度、道德或现实行为。</x:v>
      </x:c>
      <x:c r="L16" s="24" t="str">
        <x:v>由M1／M2接口提供；夫妻星、心动原型和关系门槛只说明关系议题，不单独证明保护因素已经被调用或有效。</x:v>
      </x:c>
      <x:c r="M16" s="24" t="str">
        <x:v>由M3-BASE及M4各模块提供；日支、日柱近位可提高与亲密关系核心的相关性，但同一source_id不得重复计分。</x:v>
      </x:c>
      <x:c r="N16" s="24" t="str">
        <x:v>保护因素必须明确限制过用、补足缺位、恢复顺序、打开反馈、落实改变或完成修复回流；不能只凭五行相生补写现实效果。</x:v>
      </x:c>
      <x:c r="O16" s="24" t="str">
        <x:v>近位提高进入亲密关系核心的概率；远位只作背景、阶段或条件性修正。</x:v>
      </x:c>
      <x:c r="P16" s="24" t="str">
        <x:v>根气只修正该保护功能是否容易重复调用，不等于现实中已经形成稳定保护。</x:v>
      </x:c>
      <x:c r="Q16" s="24" t="str">
        <x:v>旺弱只修正调用强度与承载；强不自动有效，弱也不自动无效。</x:v>
      </x:c>
      <x:c r="R16" s="24" t="str">
        <x:v>喜忌只修正摩擦、平衡与承载，不可直接翻译为好坏、成熟度或解决方案。</x:v>
      </x:c>
      <x:c r="S16" s="24" t="str">
        <x:v>原十神功能有效；真合化成立时按化神功能替换，合化争议时停止定性。</x:v>
      </x:c>
      <x:c r="T16" s="24" t="str">
        <x:v>近位提高直接相关性；远位仅保留背景、阶段或低置信修正。</x:v>
      </x:c>
      <x:c r="U16" s="24" t="str">
        <x:v>96</x:v>
      </x:c>
      <x:c r="V16" s="24" t="str">
        <x:v>不加分；定义／门控</x:v>
      </x:c>
      <x:c r="W16" s="24" t="str">
        <x:v>buffer_evidence</x:v>
      </x:c>
      <x:c r="X16" s="24" t="str">
        <x:v>潜在资源必须经过可调用性门控，才能进入保护候选。</x:v>
      </x:c>
      <x:c r="Y16" s="24" t="str">
        <x:v>八字里能看到这种可能性，但还要确认它在亲密关系中是否真的容易被用出来。</x:v>
      </x:c>
      <x:c r="Z16" s="24" t="str">
        <x:v>不得仅凭本规则断定问题已经解决、关系必然稳定、用户一定成熟、某十神天然是“药”、喜用神自动等于解决办法，或淡化暴力、强迫与现实伤害；现实行为、反例、安全事实和专业支持优先。</x:v>
      </x:c>
      <x:c r="AA16" s="24" t="str">
        <x:v>高</x:v>
      </x:c>
      <x:c r="AB16" s="24" t="str">
        <x:v>待验证</x:v>
      </x:c>
      <x:c r="AC16" s="24" t="str"/>
      <x:c r="AD16" s="24" t="str">
        <x:v>provisional=true；保护因素的现实有效性必须由可观察行为、反馈和持续结果验证。</x:v>
      </x:c>
      <x:c r="AE16" s="24" t="str">
        <x:v>0.8</x:v>
      </x:c>
    </x:row>
    <x:row r="17" ht="52" customHeight="1">
      <x:c r="A17" s="24" t="str">
        <x:v>M4-BUFFER-016</x:v>
      </x:c>
      <x:c r="B17" s="24" t="str">
        <x:v>可调用资源不等于已经有效</x:v>
      </x:c>
      <x:c r="C17" s="24" t="str">
        <x:v>L0 定义、边界与证据合同</x:v>
      </x:c>
      <x:c r="D17" s="24" t="str">
        <x:v>BUFFER-定义边界</x:v>
      </x:c>
      <x:c r="E17" s="24" t="str">
        <x:v>通用</x:v>
      </x:c>
      <x:c r="F17" s="24" t="str">
        <x:v>证据</x:v>
      </x:c>
      <x:c r="G17" s="24" t="str">
        <x:v>效果验证</x:v>
      </x:c>
      <x:c r="H17" s="24" t="str"/>
      <x:c r="I17" s="24" t="str">
        <x:v>现实事件显示该资源启动后改变了顺序、反馈、边界或修复。</x:v>
      </x:c>
      <x:c r="J17" s="24" t="str">
        <x:v>只有“我知道该怎么做”或“我有这个能力”的自述。</x:v>
      </x:c>
      <x:c r="K17" s="24" t="str">
        <x:v>由共享基础引擎提供；仅修正保护功能的承载、持续调用和压力状态下的稳定性，不直接等同成熟度、道德或现实行为。</x:v>
      </x:c>
      <x:c r="L17" s="24" t="str">
        <x:v>由M1／M2接口提供；夫妻星、心动原型和关系门槛只说明关系议题，不单独证明保护因素已经被调用或有效。</x:v>
      </x:c>
      <x:c r="M17" s="24" t="str">
        <x:v>由M3-BASE及M4各模块提供；日支、日柱近位可提高与亲密关系核心的相关性，但同一source_id不得重复计分。</x:v>
      </x:c>
      <x:c r="N17" s="24" t="str">
        <x:v>保护因素必须明确限制过用、补足缺位、恢复顺序、打开反馈、落实改变或完成修复回流；不能只凭五行相生补写现实效果。</x:v>
      </x:c>
      <x:c r="O17" s="24" t="str">
        <x:v>近位提高进入亲密关系核心的概率；远位只作背景、阶段或条件性修正。</x:v>
      </x:c>
      <x:c r="P17" s="24" t="str">
        <x:v>根气只修正该保护功能是否容易重复调用，不等于现实中已经形成稳定保护。</x:v>
      </x:c>
      <x:c r="Q17" s="24" t="str">
        <x:v>旺弱只修正调用强度与承载；强不自动有效，弱也不自动无效。</x:v>
      </x:c>
      <x:c r="R17" s="24" t="str">
        <x:v>喜忌只修正摩擦、平衡与承载，不可直接翻译为好坏、成熟度或解决方案。</x:v>
      </x:c>
      <x:c r="S17" s="24" t="str">
        <x:v>原十神功能有效；真合化成立时按化神功能替换，合化争议时停止定性。</x:v>
      </x:c>
      <x:c r="T17" s="24" t="str">
        <x:v>近位提高直接相关性；远位仅保留背景、阶段或低置信修正。</x:v>
      </x:c>
      <x:c r="U17" s="24" t="str">
        <x:v>96</x:v>
      </x:c>
      <x:c r="V17" s="24" t="str">
        <x:v>不加分；定义／门控</x:v>
      </x:c>
      <x:c r="W17" s="24" t="str">
        <x:v>buffer_evidence</x:v>
      </x:c>
      <x:c r="X17" s="24" t="str">
        <x:v>知识、意愿和能力是前提；实际改变风险链才算有效保护。</x:v>
      </x:c>
      <x:c r="Y17" s="24" t="str">
        <x:v>知道方法是一回事，能在关键时刻用出来并改变结果是另一回事。</x:v>
      </x:c>
      <x:c r="Z17" s="24" t="str">
        <x:v>不得仅凭本规则断定问题已经解决、关系必然稳定、用户一定成熟、某十神天然是“药”、喜用神自动等于解决办法，或淡化暴力、强迫与现实伤害；现实行为、反例、安全事实和专业支持优先。</x:v>
      </x:c>
      <x:c r="AA17" s="24" t="str">
        <x:v>高</x:v>
      </x:c>
      <x:c r="AB17" s="24" t="str">
        <x:v>待验证</x:v>
      </x:c>
      <x:c r="AC17" s="24" t="str"/>
      <x:c r="AD17" s="24" t="str">
        <x:v>provisional=true；保护因素的现实有效性必须由可观察行为、反馈和持续结果验证。</x:v>
      </x:c>
      <x:c r="AE17" s="24" t="str">
        <x:v>0.8</x:v>
      </x:c>
    </x:row>
    <x:row r="18" ht="52" customHeight="1">
      <x:c r="A18" s="24" t="str">
        <x:v>M4-BUFFER-017</x:v>
      </x:c>
      <x:c r="B18" s="24" t="str">
        <x:v>保护因素也需要反例检验</x:v>
      </x:c>
      <x:c r="C18" s="24" t="str">
        <x:v>L0 定义、边界与证据合同</x:v>
      </x:c>
      <x:c r="D18" s="24" t="str">
        <x:v>BUFFER-定义边界</x:v>
      </x:c>
      <x:c r="E18" s="24" t="str">
        <x:v>通用</x:v>
      </x:c>
      <x:c r="F18" s="24" t="str">
        <x:v>证据</x:v>
      </x:c>
      <x:c r="G18" s="24" t="str">
        <x:v>稳定性验证</x:v>
      </x:c>
      <x:c r="H18" s="24" t="str"/>
      <x:c r="I18" s="24" t="str">
        <x:v>记录有效场景、无效场景、代价情境和复发情况。</x:v>
      </x:c>
      <x:c r="J18" s="24" t="str">
        <x:v>只采纳一次成功事件，忽略多次无效或反向结果。</x:v>
      </x:c>
      <x:c r="K18" s="24" t="str">
        <x:v>由共享基础引擎提供；仅修正保护功能的承载、持续调用和压力状态下的稳定性，不直接等同成熟度、道德或现实行为。</x:v>
      </x:c>
      <x:c r="L18" s="24" t="str">
        <x:v>由M1／M2接口提供；夫妻星、心动原型和关系门槛只说明关系议题，不单独证明保护因素已经被调用或有效。</x:v>
      </x:c>
      <x:c r="M18" s="24" t="str">
        <x:v>由M3-BASE及M4各模块提供；日支、日柱近位可提高与亲密关系核心的相关性，但同一source_id不得重复计分。</x:v>
      </x:c>
      <x:c r="N18" s="24" t="str">
        <x:v>保护因素必须明确限制过用、补足缺位、恢复顺序、打开反馈、落实改变或完成修复回流；不能只凭五行相生补写现实效果。</x:v>
      </x:c>
      <x:c r="O18" s="24" t="str">
        <x:v>近位提高进入亲密关系核心的概率；远位只作背景、阶段或条件性修正。</x:v>
      </x:c>
      <x:c r="P18" s="24" t="str">
        <x:v>根气只修正该保护功能是否容易重复调用，不等于现实中已经形成稳定保护。</x:v>
      </x:c>
      <x:c r="Q18" s="24" t="str">
        <x:v>旺弱只修正调用强度与承载；强不自动有效，弱也不自动无效。</x:v>
      </x:c>
      <x:c r="R18" s="24" t="str">
        <x:v>喜忌只修正摩擦、平衡与承载，不可直接翻译为好坏、成熟度或解决方案。</x:v>
      </x:c>
      <x:c r="S18" s="24" t="str">
        <x:v>原十神功能有效；真合化成立时按化神功能替换，合化争议时停止定性。</x:v>
      </x:c>
      <x:c r="T18" s="24" t="str">
        <x:v>近位提高直接相关性；远位仅保留背景、阶段或低置信修正。</x:v>
      </x:c>
      <x:c r="U18" s="24" t="str">
        <x:v>96</x:v>
      </x:c>
      <x:c r="V18" s="24" t="str">
        <x:v>不加分；定义／门控</x:v>
      </x:c>
      <x:c r="W18" s="24" t="str">
        <x:v>buffer_evidence</x:v>
      </x:c>
      <x:c r="X18" s="24" t="str">
        <x:v>稳定保护必须经受不同情境和反例检验，不能由一次高光表现确认。</x:v>
      </x:c>
      <x:c r="Y18" s="24" t="str">
        <x:v>一次处理得好说明有资源，但还不能证明它在各种情境里都稳定。</x:v>
      </x:c>
      <x:c r="Z18" s="24" t="str">
        <x:v>不得仅凭本规则断定问题已经解决、关系必然稳定、用户一定成熟、某十神天然是“药”、喜用神自动等于解决办法，或淡化暴力、强迫与现实伤害；现实行为、反例、安全事实和专业支持优先。</x:v>
      </x:c>
      <x:c r="AA18" s="24" t="str">
        <x:v>高</x:v>
      </x:c>
      <x:c r="AB18" s="24" t="str">
        <x:v>待验证</x:v>
      </x:c>
      <x:c r="AC18" s="24" t="str"/>
      <x:c r="AD18" s="24" t="str">
        <x:v>provisional=true；保护因素的现实有效性必须由可观察行为、反馈和持续结果验证。</x:v>
      </x:c>
      <x:c r="AE18" s="24" t="str">
        <x:v>0.8</x:v>
      </x:c>
    </x:row>
    <x:row r="19" ht="52" customHeight="1">
      <x:c r="A19" s="24" t="str">
        <x:v>M4-BUFFER-018</x:v>
      </x:c>
      <x:c r="B19" s="24" t="str">
        <x:v>外部支持不由命盘推断</x:v>
      </x:c>
      <x:c r="C19" s="24" t="str">
        <x:v>L0 定义、边界与证据合同</x:v>
      </x:c>
      <x:c r="D19" s="24" t="str">
        <x:v>BUFFER-定义边界</x:v>
      </x:c>
      <x:c r="E19" s="24" t="str">
        <x:v>通用</x:v>
      </x:c>
      <x:c r="F19" s="24" t="str">
        <x:v>边界</x:v>
      </x:c>
      <x:c r="G19" s="24" t="str">
        <x:v>现实支持接口</x:v>
      </x:c>
      <x:c r="H19" s="24" t="str"/>
      <x:c r="I19" s="24" t="str">
        <x:v>外部支持来自用户提供的现实资料。</x:v>
      </x:c>
      <x:c r="J19" s="24" t="str">
        <x:v>根据八字直接断定有贵人、治疗资源、家人支持或法律帮助。</x:v>
      </x:c>
      <x:c r="K19" s="24" t="str">
        <x:v>由共享基础引擎提供；仅修正保护功能的承载、持续调用和压力状态下的稳定性，不直接等同成熟度、道德或现实行为。</x:v>
      </x:c>
      <x:c r="L19" s="24" t="str">
        <x:v>由M1／M2接口提供；夫妻星、心动原型和关系门槛只说明关系议题，不单独证明保护因素已经被调用或有效。</x:v>
      </x:c>
      <x:c r="M19" s="24" t="str">
        <x:v>由M3-BASE及M4各模块提供；日支、日柱近位可提高与亲密关系核心的相关性，但同一source_id不得重复计分。</x:v>
      </x:c>
      <x:c r="N19" s="24" t="str">
        <x:v>保护因素必须明确限制过用、补足缺位、恢复顺序、打开反馈、落实改变或完成修复回流；不能只凭五行相生补写现实效果。</x:v>
      </x:c>
      <x:c r="O19" s="24" t="str">
        <x:v>近位提高进入亲密关系核心的概率；远位只作背景、阶段或条件性修正。</x:v>
      </x:c>
      <x:c r="P19" s="24" t="str">
        <x:v>根气只修正该保护功能是否容易重复调用，不等于现实中已经形成稳定保护。</x:v>
      </x:c>
      <x:c r="Q19" s="24" t="str">
        <x:v>旺弱只修正调用强度与承载；强不自动有效，弱也不自动无效。</x:v>
      </x:c>
      <x:c r="R19" s="24" t="str">
        <x:v>喜忌只修正摩擦、平衡与承载，不可直接翻译为好坏、成熟度或解决方案。</x:v>
      </x:c>
      <x:c r="S19" s="24" t="str">
        <x:v>原十神功能有效；真合化成立时按化神功能替换，合化争议时停止定性。</x:v>
      </x:c>
      <x:c r="T19" s="24" t="str">
        <x:v>近位提高直接相关性；远位仅保留背景、阶段或低置信修正。</x:v>
      </x:c>
      <x:c r="U19" s="24" t="str">
        <x:v>96</x:v>
      </x:c>
      <x:c r="V19" s="24" t="str">
        <x:v>不加分；定义／门控</x:v>
      </x:c>
      <x:c r="W19" s="24" t="str">
        <x:v>boundary_note</x:v>
      </x:c>
      <x:c r="X19" s="24" t="str">
        <x:v>亲友、专业帮助、安全资源和环境调整必须作为现实输入，不由命盘补写。</x:v>
      </x:c>
      <x:c r="Y19" s="24" t="str">
        <x:v>是否拥有可靠的现实支持，需要根据实际情况确认，不能只凭八字判断。</x:v>
      </x:c>
      <x:c r="Z19" s="24" t="str">
        <x:v>不得仅凭本规则断定问题已经解决、关系必然稳定、用户一定成熟、某十神天然是“药”、喜用神自动等于解决办法，或淡化暴力、强迫与现实伤害；现实行为、反例、安全事实和专业支持优先。</x:v>
      </x:c>
      <x:c r="AA19" s="24" t="str">
        <x:v>高</x:v>
      </x:c>
      <x:c r="AB19" s="24" t="str">
        <x:v>待验证</x:v>
      </x:c>
      <x:c r="AC19" s="24" t="str"/>
      <x:c r="AD19" s="24" t="str">
        <x:v>provisional=true；保护因素的现实有效性必须由可观察行为、反馈和持续结果验证。</x:v>
      </x:c>
      <x:c r="AE19" s="24" t="str">
        <x:v>0.8</x:v>
      </x:c>
    </x:row>
    <x:row r="20" ht="52" customHeight="1">
      <x:c r="A20" s="24" t="str">
        <x:v>M4-BUFFER-019</x:v>
      </x:c>
      <x:c r="B20" s="24" t="str">
        <x:v>保护因素不能替代M5适配结论</x:v>
      </x:c>
      <x:c r="C20" s="24" t="str">
        <x:v>L0 定义、边界与证据合同</x:v>
      </x:c>
      <x:c r="D20" s="24" t="str">
        <x:v>BUFFER-定义边界</x:v>
      </x:c>
      <x:c r="E20" s="24" t="str">
        <x:v>通用</x:v>
      </x:c>
      <x:c r="F20" s="24" t="str">
        <x:v>跨模型边界</x:v>
      </x:c>
      <x:c r="G20" s="24" t="str">
        <x:v>M5接口</x:v>
      </x:c>
      <x:c r="H20" s="24" t="str"/>
      <x:c r="I20" s="24" t="str">
        <x:v>只描述已有或可调用的调节资源及其作用。</x:v>
      </x:c>
      <x:c r="J20" s="24" t="str">
        <x:v>直接由保护因素推出最适合的伴侣类型或关系模式。</x:v>
      </x:c>
      <x:c r="K20" s="24" t="str">
        <x:v>由共享基础引擎提供；仅修正保护功能的承载、持续调用和压力状态下的稳定性，不直接等同成熟度、道德或现实行为。</x:v>
      </x:c>
      <x:c r="L20" s="24" t="str">
        <x:v>由M1／M2接口提供；夫妻星、心动原型和关系门槛只说明关系议题，不单独证明保护因素已经被调用或有效。</x:v>
      </x:c>
      <x:c r="M20" s="24" t="str">
        <x:v>由M3-BASE及M4各模块提供；日支、日柱近位可提高与亲密关系核心的相关性，但同一source_id不得重复计分。</x:v>
      </x:c>
      <x:c r="N20" s="24" t="str">
        <x:v>保护因素必须明确限制过用、补足缺位、恢复顺序、打开反馈、落实改变或完成修复回流；不能只凭五行相生补写现实效果。</x:v>
      </x:c>
      <x:c r="O20" s="24" t="str">
        <x:v>近位提高进入亲密关系核心的概率；远位只作背景、阶段或条件性修正。</x:v>
      </x:c>
      <x:c r="P20" s="24" t="str">
        <x:v>根气只修正该保护功能是否容易重复调用，不等于现实中已经形成稳定保护。</x:v>
      </x:c>
      <x:c r="Q20" s="24" t="str">
        <x:v>旺弱只修正调用强度与承载；强不自动有效，弱也不自动无效。</x:v>
      </x:c>
      <x:c r="R20" s="24" t="str">
        <x:v>喜忌只修正摩擦、平衡与承载，不可直接翻译为好坏、成熟度或解决方案。</x:v>
      </x:c>
      <x:c r="S20" s="24" t="str">
        <x:v>原十神功能有效；真合化成立时按化神功能替换，合化争议时停止定性。</x:v>
      </x:c>
      <x:c r="T20" s="24" t="str">
        <x:v>近位提高直接相关性；远位仅保留背景、阶段或低置信修正。</x:v>
      </x:c>
      <x:c r="U20" s="24" t="str">
        <x:v>96</x:v>
      </x:c>
      <x:c r="V20" s="24" t="str">
        <x:v>不加分；定义／门控</x:v>
      </x:c>
      <x:c r="W20" s="24" t="str">
        <x:v>boundary_note</x:v>
      </x:c>
      <x:c r="X20" s="24" t="str">
        <x:v>M4说明风险如何被调节；长期适配结构由M5综合判断。</x:v>
      </x:c>
      <x:c r="Y20" s="24" t="str">
        <x:v>这里能说明什么有助于减弱盲点，但不直接等于什么伴侣最适合你。</x:v>
      </x:c>
      <x:c r="Z20" s="24" t="str">
        <x:v>不得仅凭本规则断定问题已经解决、关系必然稳定、用户一定成熟、某十神天然是“药”、喜用神自动等于解决办法，或淡化暴力、强迫与现实伤害；现实行为、反例、安全事实和专业支持优先。</x:v>
      </x:c>
      <x:c r="AA20" s="24" t="str">
        <x:v>高</x:v>
      </x:c>
      <x:c r="AB20" s="24" t="str">
        <x:v>待验证</x:v>
      </x:c>
      <x:c r="AC20" s="24" t="str"/>
      <x:c r="AD20" s="24" t="str">
        <x:v>provisional=true；保护因素的现实有效性必须由可观察行为、反馈和持续结果验证。</x:v>
      </x:c>
      <x:c r="AE20" s="24" t="str">
        <x:v>0.8</x:v>
      </x:c>
    </x:row>
    <x:row r="21" ht="52" customHeight="1">
      <x:c r="A21" s="24" t="str">
        <x:v>M4-BUFFER-020</x:v>
      </x:c>
      <x:c r="B21" s="24" t="str">
        <x:v>发布上限｜结构资源最高只能写候选</x:v>
      </x:c>
      <x:c r="C21" s="24" t="str">
        <x:v>L0 定义、边界与证据合同</x:v>
      </x:c>
      <x:c r="D21" s="24" t="str">
        <x:v>BUFFER-定义边界</x:v>
      </x:c>
      <x:c r="E21" s="24" t="str">
        <x:v>通用</x:v>
      </x:c>
      <x:c r="F21" s="24" t="str">
        <x:v>发布边界</x:v>
      </x:c>
      <x:c r="G21" s="24" t="str">
        <x:v>证据上限</x:v>
      </x:c>
      <x:c r="H21" s="24" t="str"/>
      <x:c r="I21" s="24" t="str">
        <x:v>没有现实事件、反馈和持续结果时。</x:v>
      </x:c>
      <x:c r="J21" s="24" t="str">
        <x:v>仅凭命盘写“你已经能够”“这个问题不会发生”。</x:v>
      </x:c>
      <x:c r="K21" s="24" t="str">
        <x:v>由共享基础引擎提供；仅修正保护功能的承载、持续调用和压力状态下的稳定性，不直接等同成熟度、道德或现实行为。</x:v>
      </x:c>
      <x:c r="L21" s="24" t="str">
        <x:v>由M1／M2接口提供；夫妻星、心动原型和关系门槛只说明关系议题，不单独证明保护因素已经被调用或有效。</x:v>
      </x:c>
      <x:c r="M21" s="24" t="str">
        <x:v>由M3-BASE及M4各模块提供；日支、日柱近位可提高与亲密关系核心的相关性，但同一source_id不得重复计分。</x:v>
      </x:c>
      <x:c r="N21" s="24" t="str">
        <x:v>保护因素必须明确限制过用、补足缺位、恢复顺序、打开反馈、落实改变或完成修复回流；不能只凭五行相生补写现实效果。</x:v>
      </x:c>
      <x:c r="O21" s="24" t="str">
        <x:v>近位提高进入亲密关系核心的概率；远位只作背景、阶段或条件性修正。</x:v>
      </x:c>
      <x:c r="P21" s="24" t="str">
        <x:v>根气只修正该保护功能是否容易重复调用，不等于现实中已经形成稳定保护。</x:v>
      </x:c>
      <x:c r="Q21" s="24" t="str">
        <x:v>旺弱只修正调用强度与承载；强不自动有效，弱也不自动无效。</x:v>
      </x:c>
      <x:c r="R21" s="24" t="str">
        <x:v>喜忌只修正摩擦、平衡与承载，不可直接翻译为好坏、成熟度或解决方案。</x:v>
      </x:c>
      <x:c r="S21" s="24" t="str">
        <x:v>原十神功能有效；真合化成立时按化神功能替换，合化争议时停止定性。</x:v>
      </x:c>
      <x:c r="T21" s="24" t="str">
        <x:v>近位提高直接相关性；远位仅保留背景、阶段或低置信修正。</x:v>
      </x:c>
      <x:c r="U21" s="24" t="str">
        <x:v>96</x:v>
      </x:c>
      <x:c r="V21" s="24" t="str">
        <x:v>不加分；定义／门控</x:v>
      </x:c>
      <x:c r="W21" s="24" t="str">
        <x:v>boundary_note</x:v>
      </x:c>
      <x:c r="X21" s="24" t="str">
        <x:v>结构证据最高只能支持潜在或可调用保护；现实有效和稳定保护必须有行为资料。</x:v>
      </x:c>
      <x:c r="Y21" s="24" t="str">
        <x:v>从命局能看到调节资源，但是否已经稳定发挥，还需要结合真实关系经历。</x:v>
      </x:c>
      <x:c r="Z21" s="24" t="str">
        <x:v>不得仅凭本规则断定问题已经解决、关系必然稳定、用户一定成熟、某十神天然是“药”、喜用神自动等于解决办法，或淡化暴力、强迫与现实伤害；现实行为、反例、安全事实和专业支持优先。</x:v>
      </x:c>
      <x:c r="AA21" s="24" t="str">
        <x:v>高</x:v>
      </x:c>
      <x:c r="AB21" s="24" t="str">
        <x:v>待验证</x:v>
      </x:c>
      <x:c r="AC21" s="24" t="str"/>
      <x:c r="AD21" s="24" t="str">
        <x:v>provisional=true；保护因素的现实有效性必须由可观察行为、反馈和持续结果验证。</x:v>
      </x:c>
      <x:c r="AE21" s="24" t="str">
        <x:v>0.8</x:v>
      </x:c>
    </x:row>
    <x:row r="22" ht="52" customHeight="1">
      <x:c r="A22" s="24" t="str">
        <x:v>M4-BUFFER-021</x:v>
      </x:c>
      <x:c r="B22" s="24" t="str">
        <x:v>BF01 有效制化｜因素定义</x:v>
      </x:c>
      <x:c r="C22" s="24" t="str">
        <x:v>L1 BF01—BF08保护因素</x:v>
      </x:c>
      <x:c r="D22" s="24" t="str">
        <x:v>BUFFER-保护因素</x:v>
      </x:c>
      <x:c r="E22" s="24" t="str">
        <x:v>通用</x:v>
      </x:c>
      <x:c r="F22" s="24" t="str">
        <x:v>定义</x:v>
      </x:c>
      <x:c r="G22" s="24" t="str">
        <x:v>BF01 有效制化</x:v>
      </x:c>
      <x:c r="H22" s="24" t="str">
        <x:v>建立该保护因素的功能边界。</x:v>
      </x:c>
      <x:c r="I22" s="24" t="str">
        <x:v>存在与主失衡功能不同来源、强度适配、能够进入同一关系任务的制约或转化功能。</x:v>
      </x:c>
      <x:c r="J22" s="24" t="str">
        <x:v>制化功能弱远、受损、只存在标签，或制约本身造成新的僵化与替代。</x:v>
      </x:c>
      <x:c r="K22" s="24" t="str">
        <x:v>由共享基础引擎提供；仅修正保护功能的承载、持续调用和压力状态下的稳定性，不直接等同成熟度、道德或现实行为。</x:v>
      </x:c>
      <x:c r="L22" s="24" t="str">
        <x:v>由M1／M2接口提供；夫妻星、心动原型和关系门槛只说明关系议题，不单独证明保护因素已经被调用或有效。</x:v>
      </x:c>
      <x:c r="M22" s="24" t="str">
        <x:v>由M3-BASE及M4各模块提供；日支、日柱近位可提高与亲密关系核心的相关性，但同一source_id不得重复计分。</x:v>
      </x:c>
      <x:c r="N22" s="24" t="str">
        <x:v>保护因素必须明确限制过用、补足缺位、恢复顺序、打开反馈、落实改变或完成修复回流；不能只凭五行相生补写现实效果。</x:v>
      </x:c>
      <x:c r="O22" s="24" t="str">
        <x:v>近位提高进入亲密关系核心的概率；远位只作背景、阶段或条件性修正。</x:v>
      </x:c>
      <x:c r="P22" s="24" t="str">
        <x:v>根气只修正该保护功能是否容易重复调用，不等于现实中已经形成稳定保护。</x:v>
      </x:c>
      <x:c r="Q22" s="24" t="str">
        <x:v>旺弱只修正调用强度与承载；强不自动有效，弱也不自动无效。</x:v>
      </x:c>
      <x:c r="R22" s="24" t="str">
        <x:v>喜忌只修正摩擦、平衡与承载，不可直接翻译为好坏、成熟度或解决方案。</x:v>
      </x:c>
      <x:c r="S22" s="24" t="str">
        <x:v>原十神功能有效；真合化成立时按化神功能替换，合化争议时停止定性。</x:v>
      </x:c>
      <x:c r="T22" s="24" t="str">
        <x:v>近位提高直接相关性；远位仅保留背景、阶段或低置信修正。</x:v>
      </x:c>
      <x:c r="U22" s="24" t="str">
        <x:v>95</x:v>
      </x:c>
      <x:c r="V22" s="24" t="str">
        <x:v>基础候选+0</x:v>
      </x:c>
      <x:c r="W22" s="24" t="str">
        <x:v>buffer_factor</x:v>
      </x:c>
      <x:c r="X22" s="24" t="str">
        <x:v>有效制化不是消灭原功能，而是为其增加边界、反馈或转换，使它不再无限扩张。</x:v>
      </x:c>
      <x:c r="Y22" s="24" t="str">
        <x:v>当熟悉的处理方式启动过快时，另一项功能有机会把它拉回更可协商、可调整的范围。</x:v>
      </x:c>
      <x:c r="Z22" s="24" t="str">
        <x:v>不得仅凭本规则断定问题已经解决、关系必然稳定、用户一定成熟、某十神天然是“药”、喜用神自动等于解决办法，或淡化暴力、强迫与现实伤害；现实行为、反例、安全事实和专业支持优先。</x:v>
      </x:c>
      <x:c r="AA22" s="24" t="str">
        <x:v>高</x:v>
      </x:c>
      <x:c r="AB22" s="24" t="str">
        <x:v>待验证</x:v>
      </x:c>
      <x:c r="AC22" s="24" t="str"/>
      <x:c r="AD22" s="24" t="str">
        <x:v>provisional=true；保护因素的现实有效性必须由可观察行为、反馈和持续结果验证。</x:v>
      </x:c>
      <x:c r="AE22" s="24" t="str">
        <x:v>0.8</x:v>
      </x:c>
    </x:row>
    <x:row r="23" ht="52" customHeight="1">
      <x:c r="A23" s="24" t="str">
        <x:v>M4-BUFFER-022</x:v>
      </x:c>
      <x:c r="B23" s="24" t="str">
        <x:v>BF01 有效制化｜主要靶点</x:v>
      </x:c>
      <x:c r="C23" s="24" t="str">
        <x:v>L1 BF01—BF08保护因素</x:v>
      </x:c>
      <x:c r="D23" s="24" t="str">
        <x:v>BUFFER-保护因素</x:v>
      </x:c>
      <x:c r="E23" s="24" t="str">
        <x:v>通用</x:v>
      </x:c>
      <x:c r="F23" s="24" t="str">
        <x:v>路由</x:v>
      </x:c>
      <x:c r="G23" s="24" t="str">
        <x:v>BF01 有效制化</x:v>
      </x:c>
      <x:c r="H23" s="24" t="str">
        <x:v>将保护因素路由到具体失衡任务，而不是泛化成万能优点。</x:v>
      </x:c>
      <x:c r="I23" s="24" t="str">
        <x:v>已经存在与限制过用、强而无制、双通道争主或高压占位相关的K机制、触发、循环或修复卡点。</x:v>
      </x:c>
      <x:c r="J23" s="24" t="str">
        <x:v>没有明确风险靶点，或靶点由同一事实重复生成。</x:v>
      </x:c>
      <x:c r="K23" s="24" t="str">
        <x:v>由共享基础引擎提供；仅修正保护功能的承载、持续调用和压力状态下的稳定性，不直接等同成熟度、道德或现实行为。</x:v>
      </x:c>
      <x:c r="L23" s="24" t="str">
        <x:v>由M1／M2接口提供；夫妻星、心动原型和关系门槛只说明关系议题，不单独证明保护因素已经被调用或有效。</x:v>
      </x:c>
      <x:c r="M23" s="24" t="str">
        <x:v>由M3-BASE及M4各模块提供；日支、日柱近位可提高与亲密关系核心的相关性，但同一source_id不得重复计分。</x:v>
      </x:c>
      <x:c r="N23" s="24" t="str">
        <x:v>保护因素必须明确限制过用、补足缺位、恢复顺序、打开反馈、落实改变或完成修复回流；不能只凭五行相生补写现实效果。</x:v>
      </x:c>
      <x:c r="O23" s="24" t="str">
        <x:v>近位提高进入亲密关系核心的概率；远位只作背景、阶段或条件性修正。</x:v>
      </x:c>
      <x:c r="P23" s="24" t="str">
        <x:v>根气只修正该保护功能是否容易重复调用，不等于现实中已经形成稳定保护。</x:v>
      </x:c>
      <x:c r="Q23" s="24" t="str">
        <x:v>旺弱只修正调用强度与承载；强不自动有效，弱也不自动无效。</x:v>
      </x:c>
      <x:c r="R23" s="24" t="str">
        <x:v>喜忌只修正摩擦、平衡与承载，不可直接翻译为好坏、成熟度或解决方案。</x:v>
      </x:c>
      <x:c r="S23" s="24" t="str">
        <x:v>原十神功能有效；真合化成立时按化神功能替换，合化争议时停止定性。</x:v>
      </x:c>
      <x:c r="T23" s="24" t="str">
        <x:v>近位提高直接相关性；远位仅保留背景、阶段或低置信修正。</x:v>
      </x:c>
      <x:c r="U23" s="24" t="str">
        <x:v>93</x:v>
      </x:c>
      <x:c r="V23" s="24" t="str">
        <x:v>匹配靶点+6</x:v>
      </x:c>
      <x:c r="W23" s="24" t="str">
        <x:v>buffer_target</x:v>
      </x:c>
      <x:c r="X23" s="24" t="str">
        <x:v>有效制化主要处理：限制过用、强而无制、双通道争主或高压占位。</x:v>
      </x:c>
      <x:c r="Y23" s="24" t="str">
        <x:v>这项资源最有价值的地方，是在限制过用、强而无制、双通道争主或高压占位时提供具体调节。</x:v>
      </x:c>
      <x:c r="Z23" s="24" t="str">
        <x:v>不得仅凭本规则断定问题已经解决、关系必然稳定、用户一定成熟、某十神天然是“药”、喜用神自动等于解决办法，或淡化暴力、强迫与现实伤害；现实行为、反例、安全事实和专业支持优先。</x:v>
      </x:c>
      <x:c r="AA23" s="24" t="str">
        <x:v>高</x:v>
      </x:c>
      <x:c r="AB23" s="24" t="str">
        <x:v>待验证</x:v>
      </x:c>
      <x:c r="AC23" s="24" t="str"/>
      <x:c r="AD23" s="24" t="str">
        <x:v>provisional=true；保护因素的现实有效性必须由可观察行为、反馈和持续结果验证。</x:v>
      </x:c>
      <x:c r="AE23" s="24" t="str">
        <x:v>0.8</x:v>
      </x:c>
    </x:row>
    <x:row r="24" ht="52" customHeight="1">
      <x:c r="A24" s="24" t="str">
        <x:v>M4-BUFFER-023</x:v>
      </x:c>
      <x:c r="B24" s="24" t="str">
        <x:v>BF01 有效制化｜结构成立条件</x:v>
      </x:c>
      <x:c r="C24" s="24" t="str">
        <x:v>L1 BF01—BF08保护因素</x:v>
      </x:c>
      <x:c r="D24" s="24" t="str">
        <x:v>BUFFER-保护因素</x:v>
      </x:c>
      <x:c r="E24" s="24" t="str">
        <x:v>通用</x:v>
      </x:c>
      <x:c r="F24" s="24" t="str">
        <x:v>结构证据</x:v>
      </x:c>
      <x:c r="G24" s="24" t="str">
        <x:v>BF01 有效制化</x:v>
      </x:c>
      <x:c r="H24" s="24" t="str">
        <x:v>判断命理结构是否具备独立、可调用的保护功能。</x:v>
      </x:c>
      <x:c r="I24" s="24" t="str">
        <x:v>存在与主失衡功能不同来源、强度适配、能够进入同一关系任务的制约或转化功能。</x:v>
      </x:c>
      <x:c r="J24" s="24" t="str">
        <x:v>制化功能弱远、受损、只存在标签，或制约本身造成新的僵化与替代。</x:v>
      </x:c>
      <x:c r="K24" s="24" t="str">
        <x:v>由共享基础引擎提供；仅修正保护功能的承载、持续调用和压力状态下的稳定性，不直接等同成熟度、道德或现实行为。</x:v>
      </x:c>
      <x:c r="L24" s="24" t="str">
        <x:v>由M1／M2接口提供；夫妻星、心动原型和关系门槛只说明关系议题，不单独证明保护因素已经被调用或有效。</x:v>
      </x:c>
      <x:c r="M24" s="24" t="str">
        <x:v>由M3-BASE及M4各模块提供；日支、日柱近位可提高与亲密关系核心的相关性，但同一source_id不得重复计分。</x:v>
      </x:c>
      <x:c r="N24" s="24" t="str">
        <x:v>保护因素必须明确限制过用、补足缺位、恢复顺序、打开反馈、落实改变或完成修复回流；不能只凭五行相生补写现实效果。</x:v>
      </x:c>
      <x:c r="O24" s="24" t="str">
        <x:v>近位提高进入亲密关系核心的概率；远位只作背景、阶段或条件性修正。</x:v>
      </x:c>
      <x:c r="P24" s="24" t="str">
        <x:v>根气只修正该保护功能是否容易重复调用，不等于现实中已经形成稳定保护。</x:v>
      </x:c>
      <x:c r="Q24" s="24" t="str">
        <x:v>旺弱只修正调用强度与承载；强不自动有效，弱也不自动无效。</x:v>
      </x:c>
      <x:c r="R24" s="24" t="str">
        <x:v>喜忌只修正摩擦、平衡与承载，不可直接翻译为好坏、成熟度或解决方案。</x:v>
      </x:c>
      <x:c r="S24" s="24" t="str">
        <x:v>原十神功能有效；真合化成立时按化神功能替换，合化争议时停止定性。</x:v>
      </x:c>
      <x:c r="T24" s="24" t="str">
        <x:v>近位提高直接相关性；远位仅保留背景、阶段或低置信修正。</x:v>
      </x:c>
      <x:c r="U24" s="24" t="str">
        <x:v>90</x:v>
      </x:c>
      <x:c r="V24" s="24" t="str">
        <x:v>独立结构+8</x:v>
      </x:c>
      <x:c r="W24" s="24" t="str">
        <x:v>buffer_evidence</x:v>
      </x:c>
      <x:c r="X24" s="24" t="str">
        <x:v>结构层面需满足：存在与主失衡功能不同来源、强度适配、能够进入同一关系任务的制约或转化功能。</x:v>
      </x:c>
      <x:c r="Y24" s="24" t="str">
        <x:v>从结构上看，你具备这类调节资源，但是否稳定发挥仍需现实验证。</x:v>
      </x:c>
      <x:c r="Z24" s="24" t="str">
        <x:v>不得仅凭本规则断定问题已经解决、关系必然稳定、用户一定成熟、某十神天然是“药”、喜用神自动等于解决办法，或淡化暴力、强迫与现实伤害；现实行为、反例、安全事实和专业支持优先。</x:v>
      </x:c>
      <x:c r="AA24" s="24" t="str">
        <x:v>中高</x:v>
      </x:c>
      <x:c r="AB24" s="24" t="str">
        <x:v>待验证</x:v>
      </x:c>
      <x:c r="AC24" s="24" t="str"/>
      <x:c r="AD24" s="24" t="str">
        <x:v>provisional=true；保护因素的现实有效性必须由可观察行为、反馈和持续结果验证。</x:v>
      </x:c>
      <x:c r="AE24" s="24" t="str">
        <x:v>0.8</x:v>
      </x:c>
    </x:row>
    <x:row r="25" ht="52" customHeight="1">
      <x:c r="A25" s="24" t="str">
        <x:v>M4-BUFFER-024</x:v>
      </x:c>
      <x:c r="B25" s="24" t="str">
        <x:v>BF01 有效制化｜现实启动证据</x:v>
      </x:c>
      <x:c r="C25" s="24" t="str">
        <x:v>L1 BF01—BF08保护因素</x:v>
      </x:c>
      <x:c r="D25" s="24" t="str">
        <x:v>BUFFER-保护因素</x:v>
      </x:c>
      <x:c r="E25" s="24" t="str">
        <x:v>通用</x:v>
      </x:c>
      <x:c r="F25" s="24" t="str">
        <x:v>现实证据</x:v>
      </x:c>
      <x:c r="G25" s="24" t="str">
        <x:v>BF01 有效制化</x:v>
      </x:c>
      <x:c r="H25" s="24" t="str">
        <x:v>把潜在资源升级为现实已启动资源。</x:v>
      </x:c>
      <x:c r="I25" s="24" t="str">
        <x:v>至少有一个具体事件显示该功能被调用，并改变了处理顺序、反馈、边界或后续行动。</x:v>
      </x:c>
      <x:c r="J25" s="24" t="str">
        <x:v>只有知识、自述、标签或一次无后续结果的动作。</x:v>
      </x:c>
      <x:c r="K25" s="24" t="str">
        <x:v>由共享基础引擎提供；仅修正保护功能的承载、持续调用和压力状态下的稳定性，不直接等同成熟度、道德或现实行为。</x:v>
      </x:c>
      <x:c r="L25" s="24" t="str">
        <x:v>由M1／M2接口提供；夫妻星、心动原型和关系门槛只说明关系议题，不单独证明保护因素已经被调用或有效。</x:v>
      </x:c>
      <x:c r="M25" s="24" t="str">
        <x:v>由M3-BASE及M4各模块提供；日支、日柱近位可提高与亲密关系核心的相关性，但同一source_id不得重复计分。</x:v>
      </x:c>
      <x:c r="N25" s="24" t="str">
        <x:v>保护因素必须明确限制过用、补足缺位、恢复顺序、打开反馈、落实改变或完成修复回流；不能只凭五行相生补写现实效果。</x:v>
      </x:c>
      <x:c r="O25" s="24" t="str">
        <x:v>近位提高进入亲密关系核心的概率；远位只作背景、阶段或条件性修正。</x:v>
      </x:c>
      <x:c r="P25" s="24" t="str">
        <x:v>根气只修正该保护功能是否容易重复调用，不等于现实中已经形成稳定保护。</x:v>
      </x:c>
      <x:c r="Q25" s="24" t="str">
        <x:v>旺弱只修正调用强度与承载；强不自动有效，弱也不自动无效。</x:v>
      </x:c>
      <x:c r="R25" s="24" t="str">
        <x:v>喜忌只修正摩擦、平衡与承载，不可直接翻译为好坏、成熟度或解决方案。</x:v>
      </x:c>
      <x:c r="S25" s="24" t="str">
        <x:v>原十神功能有效；真合化成立时按化神功能替换，合化争议时停止定性。</x:v>
      </x:c>
      <x:c r="T25" s="24" t="str">
        <x:v>近位提高直接相关性；远位仅保留背景、阶段或低置信修正。</x:v>
      </x:c>
      <x:c r="U25" s="24" t="str">
        <x:v>92</x:v>
      </x:c>
      <x:c r="V25" s="24" t="str">
        <x:v>现实启动+12</x:v>
      </x:c>
      <x:c r="W25" s="24" t="str">
        <x:v>buffer_activation</x:v>
      </x:c>
      <x:c r="X25" s="24" t="str">
        <x:v>只有当有效制化在事件中真正改变风险链时，才能升级为现实保护。</x:v>
      </x:c>
      <x:c r="Y25" s="24" t="str">
        <x:v>如果你在关键时刻确实用出这项方法，并让后续处理发生变化，它才算真正启动。</x:v>
      </x:c>
      <x:c r="Z25" s="24" t="str">
        <x:v>不得仅凭本规则断定问题已经解决、关系必然稳定、用户一定成熟、某十神天然是“药”、喜用神自动等于解决办法，或淡化暴力、强迫与现实伤害；现实行为、反例、安全事实和专业支持优先。</x:v>
      </x:c>
      <x:c r="AA25" s="24" t="str">
        <x:v>中高</x:v>
      </x:c>
      <x:c r="AB25" s="24" t="str">
        <x:v>待验证</x:v>
      </x:c>
      <x:c r="AC25" s="24" t="str"/>
      <x:c r="AD25" s="24" t="str">
        <x:v>provisional=true；保护因素的现实有效性必须由可观察行为、反馈和持续结果验证。</x:v>
      </x:c>
      <x:c r="AE25" s="24" t="str">
        <x:v>0.8</x:v>
      </x:c>
    </x:row>
    <x:row r="26" ht="52" customHeight="1">
      <x:c r="A26" s="24" t="str">
        <x:v>M4-BUFFER-025</x:v>
      </x:c>
      <x:c r="B26" s="24" t="str">
        <x:v>BF01 有效制化｜稳定有效证据</x:v>
      </x:c>
      <x:c r="C26" s="24" t="str">
        <x:v>L1 BF01—BF08保护因素</x:v>
      </x:c>
      <x:c r="D26" s="24" t="str">
        <x:v>BUFFER-保护因素</x:v>
      </x:c>
      <x:c r="E26" s="24" t="str">
        <x:v>通用</x:v>
      </x:c>
      <x:c r="F26" s="24" t="str">
        <x:v>效果验证</x:v>
      </x:c>
      <x:c r="G26" s="24" t="str">
        <x:v>BF01 有效制化</x:v>
      </x:c>
      <x:c r="H26" s="24" t="str">
        <x:v>判断保护是否跨情境稳定，而非单次高光。</x:v>
      </x:c>
      <x:c r="I26" s="24" t="str">
        <x:v>在至少两个相似或不同情境中有效，且包含反例审查与接收方反馈。</x:v>
      </x:c>
      <x:c r="J26" s="24" t="str">
        <x:v>只在一次低代价情境有效，或高压下完全失效。</x:v>
      </x:c>
      <x:c r="K26" s="24" t="str">
        <x:v>由共享基础引擎提供；仅修正保护功能的承载、持续调用和压力状态下的稳定性，不直接等同成熟度、道德或现实行为。</x:v>
      </x:c>
      <x:c r="L26" s="24" t="str">
        <x:v>由M1／M2接口提供；夫妻星、心动原型和关系门槛只说明关系议题，不单独证明保护因素已经被调用或有效。</x:v>
      </x:c>
      <x:c r="M26" s="24" t="str">
        <x:v>由M3-BASE及M4各模块提供；日支、日柱近位可提高与亲密关系核心的相关性，但同一source_id不得重复计分。</x:v>
      </x:c>
      <x:c r="N26" s="24" t="str">
        <x:v>保护因素必须明确限制过用、补足缺位、恢复顺序、打开反馈、落实改变或完成修复回流；不能只凭五行相生补写现实效果。</x:v>
      </x:c>
      <x:c r="O26" s="24" t="str">
        <x:v>近位提高进入亲密关系核心的概率；远位只作背景、阶段或条件性修正。</x:v>
      </x:c>
      <x:c r="P26" s="24" t="str">
        <x:v>根气只修正该保护功能是否容易重复调用，不等于现实中已经形成稳定保护。</x:v>
      </x:c>
      <x:c r="Q26" s="24" t="str">
        <x:v>旺弱只修正调用强度与承载；强不自动有效，弱也不自动无效。</x:v>
      </x:c>
      <x:c r="R26" s="24" t="str">
        <x:v>喜忌只修正摩擦、平衡与承载，不可直接翻译为好坏、成熟度或解决方案。</x:v>
      </x:c>
      <x:c r="S26" s="24" t="str">
        <x:v>原十神功能有效；真合化成立时按化神功能替换，合化争议时停止定性。</x:v>
      </x:c>
      <x:c r="T26" s="24" t="str">
        <x:v>近位提高直接相关性；远位仅保留背景、阶段或低置信修正。</x:v>
      </x:c>
      <x:c r="U26" s="24" t="str">
        <x:v>94</x:v>
      </x:c>
      <x:c r="V26" s="24" t="str">
        <x:v>稳定有效+16</x:v>
      </x:c>
      <x:c r="W26" s="24" t="str">
        <x:v>buffer_level</x:v>
      </x:c>
      <x:c r="X26" s="24" t="str">
        <x:v>有效制化需要重复有效、跨情境与反例检验，才能成为稳定保护。</x:v>
      </x:c>
      <x:c r="Y26" s="24" t="str">
        <x:v>若这项方法在不同情境里都能帮助你调整，并经得住反例，它的保护作用才更可信。</x:v>
      </x:c>
      <x:c r="Z26" s="24" t="str">
        <x:v>不得仅凭本规则断定问题已经解决、关系必然稳定、用户一定成熟、某十神天然是“药”、喜用神自动等于解决办法，或淡化暴力、强迫与现实伤害；现实行为、反例、安全事实和专业支持优先。</x:v>
      </x:c>
      <x:c r="AA26" s="24" t="str">
        <x:v>中高</x:v>
      </x:c>
      <x:c r="AB26" s="24" t="str">
        <x:v>待验证</x:v>
      </x:c>
      <x:c r="AC26" s="24" t="str"/>
      <x:c r="AD26" s="24" t="str">
        <x:v>provisional=true；保护因素的现实有效性必须由可观察行为、反馈和持续结果验证。</x:v>
      </x:c>
      <x:c r="AE26" s="24" t="str">
        <x:v>0.8</x:v>
      </x:c>
    </x:row>
    <x:row r="27" ht="52" customHeight="1">
      <x:c r="A27" s="24" t="str">
        <x:v>M4-BUFFER-026</x:v>
      </x:c>
      <x:c r="B27" s="24" t="str">
        <x:v>BF01 有效制化｜失效与伪保护</x:v>
      </x:c>
      <x:c r="C27" s="24" t="str">
        <x:v>L1 BF01—BF08保护因素</x:v>
      </x:c>
      <x:c r="D27" s="24" t="str">
        <x:v>BUFFER-保护因素</x:v>
      </x:c>
      <x:c r="E27" s="24" t="str">
        <x:v>通用</x:v>
      </x:c>
      <x:c r="F27" s="24" t="str">
        <x:v>降级</x:v>
      </x:c>
      <x:c r="G27" s="24" t="str">
        <x:v>BF01 有效制化</x:v>
      </x:c>
      <x:c r="H27" s="24" t="str">
        <x:v>识别名义保护、过度补偿或功能错配。</x:v>
      </x:c>
      <x:c r="I27" s="24" t="str">
        <x:v>制化功能弱远、受损、只存在标签，或制约本身造成新的僵化与替代。</x:v>
      </x:c>
      <x:c r="J27" s="24" t="str">
        <x:v>存在明确现实证据显示该功能真正改变了风险链。</x:v>
      </x:c>
      <x:c r="K27" s="24" t="str">
        <x:v>由共享基础引擎提供；仅修正保护功能的承载、持续调用和压力状态下的稳定性，不直接等同成熟度、道德或现实行为。</x:v>
      </x:c>
      <x:c r="L27" s="24" t="str">
        <x:v>由M1／M2接口提供；夫妻星、心动原型和关系门槛只说明关系议题，不单独证明保护因素已经被调用或有效。</x:v>
      </x:c>
      <x:c r="M27" s="24" t="str">
        <x:v>由M3-BASE及M4各模块提供；日支、日柱近位可提高与亲密关系核心的相关性，但同一source_id不得重复计分。</x:v>
      </x:c>
      <x:c r="N27" s="24" t="str">
        <x:v>保护因素必须明确限制过用、补足缺位、恢复顺序、打开反馈、落实改变或完成修复回流；不能只凭五行相生补写现实效果。</x:v>
      </x:c>
      <x:c r="O27" s="24" t="str">
        <x:v>近位提高进入亲密关系核心的概率；远位只作背景、阶段或条件性修正。</x:v>
      </x:c>
      <x:c r="P27" s="24" t="str">
        <x:v>根气只修正该保护功能是否容易重复调用，不等于现实中已经形成稳定保护。</x:v>
      </x:c>
      <x:c r="Q27" s="24" t="str">
        <x:v>旺弱只修正调用强度与承载；强不自动有效，弱也不自动无效。</x:v>
      </x:c>
      <x:c r="R27" s="24" t="str">
        <x:v>喜忌只修正摩擦、平衡与承载，不可直接翻译为好坏、成熟度或解决方案。</x:v>
      </x:c>
      <x:c r="S27" s="24" t="str">
        <x:v>原十神功能有效；真合化成立时按化神功能替换，合化争议时停止定性。</x:v>
      </x:c>
      <x:c r="T27" s="24" t="str">
        <x:v>近位提高直接相关性；远位仅保留背景、阶段或低置信修正。</x:v>
      </x:c>
      <x:c r="U27" s="24" t="str">
        <x:v>96</x:v>
      </x:c>
      <x:c r="V27" s="24" t="str">
        <x:v>失效-12／降级</x:v>
      </x:c>
      <x:c r="W27" s="24" t="str">
        <x:v>pseudo_buffer</x:v>
      </x:c>
      <x:c r="X27" s="24" t="str">
        <x:v>当制化功能弱远、受损、只存在标签，或制约本身造成新的僵化与替代。时，有效制化只能降为潜在资源或伪保护候选。</x:v>
      </x:c>
      <x:c r="Y27" s="24" t="str">
        <x:v>若这项资源只停留在标签，或反而造成新的僵化，就不能把它当成有效保护。</x:v>
      </x:c>
      <x:c r="Z27" s="24" t="str">
        <x:v>不得仅凭本规则断定问题已经解决、关系必然稳定、用户一定成熟、某十神天然是“药”、喜用神自动等于解决办法，或淡化暴力、强迫与现实伤害；现实行为、反例、安全事实和专业支持优先。</x:v>
      </x:c>
      <x:c r="AA27" s="24" t="str">
        <x:v>中高</x:v>
      </x:c>
      <x:c r="AB27" s="24" t="str">
        <x:v>待验证</x:v>
      </x:c>
      <x:c r="AC27" s="24" t="str"/>
      <x:c r="AD27" s="24" t="str">
        <x:v>provisional=true；保护因素的现实有效性必须由可观察行为、反馈和持续结果验证。</x:v>
      </x:c>
      <x:c r="AE27" s="24" t="str">
        <x:v>0.8</x:v>
      </x:c>
    </x:row>
    <x:row r="28" ht="52" customHeight="1">
      <x:c r="A28" s="24" t="str">
        <x:v>M4-BUFFER-027</x:v>
      </x:c>
      <x:c r="B28" s="24" t="str">
        <x:v>BF01 有效制化｜用户输出</x:v>
      </x:c>
      <x:c r="C28" s="24" t="str">
        <x:v>L1 BF01—BF08保护因素</x:v>
      </x:c>
      <x:c r="D28" s="24" t="str">
        <x:v>BUFFER-保护因素</x:v>
      </x:c>
      <x:c r="E28" s="24" t="str">
        <x:v>通用</x:v>
      </x:c>
      <x:c r="F28" s="24" t="str">
        <x:v>语言</x:v>
      </x:c>
      <x:c r="G28" s="24" t="str">
        <x:v>BF01 有效制化</x:v>
      </x:c>
      <x:c r="H28" s="24" t="str">
        <x:v>生成中性、条件化的用户解释。</x:v>
      </x:c>
      <x:c r="I28" s="24" t="str">
        <x:v>存在与主失衡功能不同来源、强度适配、能够进入同一关系任务的制约或转化功能。</x:v>
      </x:c>
      <x:c r="J28" s="24" t="str">
        <x:v>制化功能弱远、受损、只存在标签，或制约本身造成新的僵化与替代。</x:v>
      </x:c>
      <x:c r="K28" s="24" t="str">
        <x:v>由共享基础引擎提供；仅修正保护功能的承载、持续调用和压力状态下的稳定性，不直接等同成熟度、道德或现实行为。</x:v>
      </x:c>
      <x:c r="L28" s="24" t="str">
        <x:v>由M1／M2接口提供；夫妻星、心动原型和关系门槛只说明关系议题，不单独证明保护因素已经被调用或有效。</x:v>
      </x:c>
      <x:c r="M28" s="24" t="str">
        <x:v>由M3-BASE及M4各模块提供；日支、日柱近位可提高与亲密关系核心的相关性，但同一source_id不得重复计分。</x:v>
      </x:c>
      <x:c r="N28" s="24" t="str">
        <x:v>保护因素必须明确限制过用、补足缺位、恢复顺序、打开反馈、落实改变或完成修复回流；不能只凭五行相生补写现实效果。</x:v>
      </x:c>
      <x:c r="O28" s="24" t="str">
        <x:v>近位提高进入亲密关系核心的概率；远位只作背景、阶段或条件性修正。</x:v>
      </x:c>
      <x:c r="P28" s="24" t="str">
        <x:v>根气只修正该保护功能是否容易重复调用，不等于现实中已经形成稳定保护。</x:v>
      </x:c>
      <x:c r="Q28" s="24" t="str">
        <x:v>旺弱只修正调用强度与承载；强不自动有效，弱也不自动无效。</x:v>
      </x:c>
      <x:c r="R28" s="24" t="str">
        <x:v>喜忌只修正摩擦、平衡与承载，不可直接翻译为好坏、成熟度或解决方案。</x:v>
      </x:c>
      <x:c r="S28" s="24" t="str">
        <x:v>原十神功能有效；真合化成立时按化神功能替换，合化争议时停止定性。</x:v>
      </x:c>
      <x:c r="T28" s="24" t="str">
        <x:v>近位提高直接相关性；远位仅保留背景、阶段或低置信修正。</x:v>
      </x:c>
      <x:c r="U28" s="24" t="str">
        <x:v>88</x:v>
      </x:c>
      <x:c r="V28" s="24" t="str">
        <x:v>不加分；输出</x:v>
      </x:c>
      <x:c r="W28" s="24" t="str">
        <x:v>report_text</x:v>
      </x:c>
      <x:c r="X28" s="24" t="str">
        <x:v>有效制化不是消灭原功能，而是为其增加边界、反馈或转换，使它不再无限扩张。</x:v>
      </x:c>
      <x:c r="Y28" s="24" t="str">
        <x:v>当熟悉的处理方式启动过快时，另一项功能有机会把它拉回更可协商、可调整的范围。</x:v>
      </x:c>
      <x:c r="Z28" s="24" t="str">
        <x:v>不得仅凭本规则断定问题已经解决、关系必然稳定、用户一定成熟、某十神天然是“药”、喜用神自动等于解决办法，或淡化暴力、强迫与现实伤害；现实行为、反例、安全事实和专业支持优先。</x:v>
      </x:c>
      <x:c r="AA28" s="24" t="str">
        <x:v>中高</x:v>
      </x:c>
      <x:c r="AB28" s="24" t="str">
        <x:v>待验证</x:v>
      </x:c>
      <x:c r="AC28" s="24" t="str"/>
      <x:c r="AD28" s="24" t="str">
        <x:v>provisional=true；保护因素的现实有效性必须由可观察行为、反馈和持续结果验证。</x:v>
      </x:c>
      <x:c r="AE28" s="24" t="str">
        <x:v>0.8</x:v>
      </x:c>
    </x:row>
    <x:row r="29" ht="52" customHeight="1">
      <x:c r="A29" s="24" t="str">
        <x:v>M4-BUFFER-028</x:v>
      </x:c>
      <x:c r="B29" s="24" t="str">
        <x:v>BF01 有效制化｜使用边界</x:v>
      </x:c>
      <x:c r="C29" s="24" t="str">
        <x:v>L1 BF01—BF08保护因素</x:v>
      </x:c>
      <x:c r="D29" s="24" t="str">
        <x:v>BUFFER-保护因素</x:v>
      </x:c>
      <x:c r="E29" s="24" t="str">
        <x:v>通用</x:v>
      </x:c>
      <x:c r="F29" s="24" t="str">
        <x:v>边界</x:v>
      </x:c>
      <x:c r="G29" s="24" t="str">
        <x:v>BF01 有效制化</x:v>
      </x:c>
      <x:c r="H29" s="24" t="str">
        <x:v>限制发布强度。</x:v>
      </x:c>
      <x:c r="I29" s="24" t="str">
        <x:v>完成同源去重、现实反例和安全门控。</x:v>
      </x:c>
      <x:c r="J29" s="24" t="str">
        <x:v>把该因素写成绝对化解、关系必稳或道德优点。</x:v>
      </x:c>
      <x:c r="K29" s="24" t="str">
        <x:v>由共享基础引擎提供；仅修正保护功能的承载、持续调用和压力状态下的稳定性，不直接等同成熟度、道德或现实行为。</x:v>
      </x:c>
      <x:c r="L29" s="24" t="str">
        <x:v>由M1／M2接口提供；夫妻星、心动原型和关系门槛只说明关系议题，不单独证明保护因素已经被调用或有效。</x:v>
      </x:c>
      <x:c r="M29" s="24" t="str">
        <x:v>由M3-BASE及M4各模块提供；日支、日柱近位可提高与亲密关系核心的相关性，但同一source_id不得重复计分。</x:v>
      </x:c>
      <x:c r="N29" s="24" t="str">
        <x:v>保护因素必须明确限制过用、补足缺位、恢复顺序、打开反馈、落实改变或完成修复回流；不能只凭五行相生补写现实效果。</x:v>
      </x:c>
      <x:c r="O29" s="24" t="str">
        <x:v>近位提高进入亲密关系核心的概率；远位只作背景、阶段或条件性修正。</x:v>
      </x:c>
      <x:c r="P29" s="24" t="str">
        <x:v>根气只修正该保护功能是否容易重复调用，不等于现实中已经形成稳定保护。</x:v>
      </x:c>
      <x:c r="Q29" s="24" t="str">
        <x:v>旺弱只修正调用强度与承载；强不自动有效，弱也不自动无效。</x:v>
      </x:c>
      <x:c r="R29" s="24" t="str">
        <x:v>喜忌只修正摩擦、平衡与承载，不可直接翻译为好坏、成熟度或解决方案。</x:v>
      </x:c>
      <x:c r="S29" s="24" t="str">
        <x:v>原十神功能有效；真合化成立时按化神功能替换，合化争议时停止定性。</x:v>
      </x:c>
      <x:c r="T29" s="24" t="str">
        <x:v>近位提高直接相关性；远位仅保留背景、阶段或低置信修正。</x:v>
      </x:c>
      <x:c r="U29" s="24" t="str">
        <x:v>99</x:v>
      </x:c>
      <x:c r="V29" s="24" t="str">
        <x:v>边界／封顶</x:v>
      </x:c>
      <x:c r="W29" s="24" t="str">
        <x:v>boundary_note</x:v>
      </x:c>
      <x:c r="X29" s="24" t="str">
        <x:v>有效制化是针对具体链条的功能，不是万能药。</x:v>
      </x:c>
      <x:c r="Y29" s="24" t="str">
        <x:v>这项资源能减弱特定盲点，但不代表所有关系问题都会自动消失。</x:v>
      </x:c>
      <x:c r="Z29" s="24" t="str">
        <x:v>不得仅凭本规则断定问题已经解决、关系必然稳定、用户一定成熟、某十神天然是“药”、喜用神自动等于解决办法，或淡化暴力、强迫与现实伤害；现实行为、反例、安全事实和专业支持优先。</x:v>
      </x:c>
      <x:c r="AA29" s="24" t="str">
        <x:v>高</x:v>
      </x:c>
      <x:c r="AB29" s="24" t="str">
        <x:v>待验证</x:v>
      </x:c>
      <x:c r="AC29" s="24" t="str"/>
      <x:c r="AD29" s="24" t="str">
        <x:v>provisional=true；保护因素的现实有效性必须由可观察行为、反馈和持续结果验证。</x:v>
      </x:c>
      <x:c r="AE29" s="24" t="str">
        <x:v>0.8</x:v>
      </x:c>
    </x:row>
    <x:row r="30" ht="52" customHeight="1">
      <x:c r="A30" s="24" t="str">
        <x:v>M4-BUFFER-029</x:v>
      </x:c>
      <x:c r="B30" s="24" t="str">
        <x:v>BF02 跨系统通关｜因素定义</x:v>
      </x:c>
      <x:c r="C30" s="24" t="str">
        <x:v>L1 BF01—BF08保护因素</x:v>
      </x:c>
      <x:c r="D30" s="24" t="str">
        <x:v>BUFFER-保护因素</x:v>
      </x:c>
      <x:c r="E30" s="24" t="str">
        <x:v>通用</x:v>
      </x:c>
      <x:c r="F30" s="24" t="str">
        <x:v>定义</x:v>
      </x:c>
      <x:c r="G30" s="24" t="str">
        <x:v>BF02 跨系统通关</x:v>
      </x:c>
      <x:c r="H30" s="24" t="str">
        <x:v>建立该保护因素的功能边界。</x:v>
      </x:c>
      <x:c r="I30" s="24" t="str">
        <x:v>起点、桥梁和目标功能均有效，桥梁具有独立来源，并能解释现实中的转换顺序。</x:v>
      </x:c>
      <x:c r="J30" s="24" t="str">
        <x:v>只见五行相生或中间十神，却缺少目标功能、现实行为或路径证据。</x:v>
      </x:c>
      <x:c r="K30" s="24" t="str">
        <x:v>由共享基础引擎提供；仅修正保护功能的承载、持续调用和压力状态下的稳定性，不直接等同成熟度、道德或现实行为。</x:v>
      </x:c>
      <x:c r="L30" s="24" t="str">
        <x:v>由M1／M2接口提供；夫妻星、心动原型和关系门槛只说明关系议题，不单独证明保护因素已经被调用或有效。</x:v>
      </x:c>
      <x:c r="M30" s="24" t="str">
        <x:v>由M3-BASE及M4各模块提供；日支、日柱近位可提高与亲密关系核心的相关性，但同一source_id不得重复计分。</x:v>
      </x:c>
      <x:c r="N30" s="24" t="str">
        <x:v>保护因素必须明确限制过用、补足缺位、恢复顺序、打开反馈、落实改变或完成修复回流；不能只凭五行相生补写现实效果。</x:v>
      </x:c>
      <x:c r="O30" s="24" t="str">
        <x:v>近位提高进入亲密关系核心的概率；远位只作背景、阶段或条件性修正。</x:v>
      </x:c>
      <x:c r="P30" s="24" t="str">
        <x:v>根气只修正该保护功能是否容易重复调用，不等于现实中已经形成稳定保护。</x:v>
      </x:c>
      <x:c r="Q30" s="24" t="str">
        <x:v>旺弱只修正调用强度与承载；强不自动有效，弱也不自动无效。</x:v>
      </x:c>
      <x:c r="R30" s="24" t="str">
        <x:v>喜忌只修正摩擦、平衡与承载，不可直接翻译为好坏、成熟度或解决方案。</x:v>
      </x:c>
      <x:c r="S30" s="24" t="str">
        <x:v>原十神功能有效；真合化成立时按化神功能替换，合化争议时停止定性。</x:v>
      </x:c>
      <x:c r="T30" s="24" t="str">
        <x:v>近位提高直接相关性；远位仅保留背景、阶段或低置信修正。</x:v>
      </x:c>
      <x:c r="U30" s="24" t="str">
        <x:v>95</x:v>
      </x:c>
      <x:c r="V30" s="24" t="str">
        <x:v>基础候选+0</x:v>
      </x:c>
      <x:c r="W30" s="24" t="str">
        <x:v>buffer_factor</x:v>
      </x:c>
      <x:c r="X30" s="24" t="str">
        <x:v>通关的价值在于把已经完成的第一步转成下一项必要任务，而不是增加更多同类反应。</x:v>
      </x:c>
      <x:c r="Y30" s="24" t="str">
        <x:v>你并非缺少第一步，关键是能否借助中间功能，把理解转成边界、表达转成落实或责任转成安全。</x:v>
      </x:c>
      <x:c r="Z30" s="24" t="str">
        <x:v>不得仅凭本规则断定问题已经解决、关系必然稳定、用户一定成熟、某十神天然是“药”、喜用神自动等于解决办法，或淡化暴力、强迫与现实伤害；现实行为、反例、安全事实和专业支持优先。</x:v>
      </x:c>
      <x:c r="AA30" s="24" t="str">
        <x:v>高</x:v>
      </x:c>
      <x:c r="AB30" s="24" t="str">
        <x:v>待验证</x:v>
      </x:c>
      <x:c r="AC30" s="24" t="str"/>
      <x:c r="AD30" s="24" t="str">
        <x:v>provisional=true；保护因素的现实有效性必须由可观察行为、反馈和持续结果验证。</x:v>
      </x:c>
      <x:c r="AE30" s="24" t="str">
        <x:v>0.8</x:v>
      </x:c>
    </x:row>
    <x:row r="31" ht="52" customHeight="1">
      <x:c r="A31" s="24" t="str">
        <x:v>M4-BUFFER-030</x:v>
      </x:c>
      <x:c r="B31" s="24" t="str">
        <x:v>BF02 跨系统通关｜主要靶点</x:v>
      </x:c>
      <x:c r="C31" s="24" t="str">
        <x:v>L1 BF01—BF08保护因素</x:v>
      </x:c>
      <x:c r="D31" s="24" t="str">
        <x:v>BUFFER-保护因素</x:v>
      </x:c>
      <x:c r="E31" s="24" t="str">
        <x:v>通用</x:v>
      </x:c>
      <x:c r="F31" s="24" t="str">
        <x:v>路由</x:v>
      </x:c>
      <x:c r="G31" s="24" t="str">
        <x:v>BF02 跨系统通关</x:v>
      </x:c>
      <x:c r="H31" s="24" t="str">
        <x:v>将保护因素路由到具体失衡任务，而不是泛化成万能优点。</x:v>
      </x:c>
      <x:c r="I31" s="24" t="str">
        <x:v>已经存在与修复功能转换受阻、顺序错位与单通道替代相关的K机制、触发、循环或修复卡点。</x:v>
      </x:c>
      <x:c r="J31" s="24" t="str">
        <x:v>没有明确风险靶点，或靶点由同一事实重复生成。</x:v>
      </x:c>
      <x:c r="K31" s="24" t="str">
        <x:v>由共享基础引擎提供；仅修正保护功能的承载、持续调用和压力状态下的稳定性，不直接等同成熟度、道德或现实行为。</x:v>
      </x:c>
      <x:c r="L31" s="24" t="str">
        <x:v>由M1／M2接口提供；夫妻星、心动原型和关系门槛只说明关系议题，不单独证明保护因素已经被调用或有效。</x:v>
      </x:c>
      <x:c r="M31" s="24" t="str">
        <x:v>由M3-BASE及M4各模块提供；日支、日柱近位可提高与亲密关系核心的相关性，但同一source_id不得重复计分。</x:v>
      </x:c>
      <x:c r="N31" s="24" t="str">
        <x:v>保护因素必须明确限制过用、补足缺位、恢复顺序、打开反馈、落实改变或完成修复回流；不能只凭五行相生补写现实效果。</x:v>
      </x:c>
      <x:c r="O31" s="24" t="str">
        <x:v>近位提高进入亲密关系核心的概率；远位只作背景、阶段或条件性修正。</x:v>
      </x:c>
      <x:c r="P31" s="24" t="str">
        <x:v>根气只修正该保护功能是否容易重复调用，不等于现实中已经形成稳定保护。</x:v>
      </x:c>
      <x:c r="Q31" s="24" t="str">
        <x:v>旺弱只修正调用强度与承载；强不自动有效，弱也不自动无效。</x:v>
      </x:c>
      <x:c r="R31" s="24" t="str">
        <x:v>喜忌只修正摩擦、平衡与承载，不可直接翻译为好坏、成熟度或解决方案。</x:v>
      </x:c>
      <x:c r="S31" s="24" t="str">
        <x:v>原十神功能有效；真合化成立时按化神功能替换，合化争议时停止定性。</x:v>
      </x:c>
      <x:c r="T31" s="24" t="str">
        <x:v>近位提高直接相关性；远位仅保留背景、阶段或低置信修正。</x:v>
      </x:c>
      <x:c r="U31" s="24" t="str">
        <x:v>93</x:v>
      </x:c>
      <x:c r="V31" s="24" t="str">
        <x:v>匹配靶点+6</x:v>
      </x:c>
      <x:c r="W31" s="24" t="str">
        <x:v>buffer_target</x:v>
      </x:c>
      <x:c r="X31" s="24" t="str">
        <x:v>跨系统通关主要处理：修复功能转换受阻、顺序错位与单通道替代。</x:v>
      </x:c>
      <x:c r="Y31" s="24" t="str">
        <x:v>这项资源最有价值的地方，是在修复功能转换受阻、顺序错位与单通道替代时提供具体调节。</x:v>
      </x:c>
      <x:c r="Z31" s="24" t="str">
        <x:v>不得仅凭本规则断定问题已经解决、关系必然稳定、用户一定成熟、某十神天然是“药”、喜用神自动等于解决办法，或淡化暴力、强迫与现实伤害；现实行为、反例、安全事实和专业支持优先。</x:v>
      </x:c>
      <x:c r="AA31" s="24" t="str">
        <x:v>高</x:v>
      </x:c>
      <x:c r="AB31" s="24" t="str">
        <x:v>待验证</x:v>
      </x:c>
      <x:c r="AC31" s="24" t="str"/>
      <x:c r="AD31" s="24" t="str">
        <x:v>provisional=true；保护因素的现实有效性必须由可观察行为、反馈和持续结果验证。</x:v>
      </x:c>
      <x:c r="AE31" s="24" t="str">
        <x:v>0.8</x:v>
      </x:c>
    </x:row>
    <x:row r="32" ht="52" customHeight="1">
      <x:c r="A32" s="24" t="str">
        <x:v>M4-BUFFER-031</x:v>
      </x:c>
      <x:c r="B32" s="24" t="str">
        <x:v>BF02 跨系统通关｜结构成立条件</x:v>
      </x:c>
      <x:c r="C32" s="24" t="str">
        <x:v>L1 BF01—BF08保护因素</x:v>
      </x:c>
      <x:c r="D32" s="24" t="str">
        <x:v>BUFFER-保护因素</x:v>
      </x:c>
      <x:c r="E32" s="24" t="str">
        <x:v>通用</x:v>
      </x:c>
      <x:c r="F32" s="24" t="str">
        <x:v>结构证据</x:v>
      </x:c>
      <x:c r="G32" s="24" t="str">
        <x:v>BF02 跨系统通关</x:v>
      </x:c>
      <x:c r="H32" s="24" t="str">
        <x:v>判断命理结构是否具备独立、可调用的保护功能。</x:v>
      </x:c>
      <x:c r="I32" s="24" t="str">
        <x:v>起点、桥梁和目标功能均有效，桥梁具有独立来源，并能解释现实中的转换顺序。</x:v>
      </x:c>
      <x:c r="J32" s="24" t="str">
        <x:v>只见五行相生或中间十神，却缺少目标功能、现实行为或路径证据。</x:v>
      </x:c>
      <x:c r="K32" s="24" t="str">
        <x:v>由共享基础引擎提供；仅修正保护功能的承载、持续调用和压力状态下的稳定性，不直接等同成熟度、道德或现实行为。</x:v>
      </x:c>
      <x:c r="L32" s="24" t="str">
        <x:v>由M1／M2接口提供；夫妻星、心动原型和关系门槛只说明关系议题，不单独证明保护因素已经被调用或有效。</x:v>
      </x:c>
      <x:c r="M32" s="24" t="str">
        <x:v>由M3-BASE及M4各模块提供；日支、日柱近位可提高与亲密关系核心的相关性，但同一source_id不得重复计分。</x:v>
      </x:c>
      <x:c r="N32" s="24" t="str">
        <x:v>保护因素必须明确限制过用、补足缺位、恢复顺序、打开反馈、落实改变或完成修复回流；不能只凭五行相生补写现实效果。</x:v>
      </x:c>
      <x:c r="O32" s="24" t="str">
        <x:v>近位提高进入亲密关系核心的概率；远位只作背景、阶段或条件性修正。</x:v>
      </x:c>
      <x:c r="P32" s="24" t="str">
        <x:v>根气只修正该保护功能是否容易重复调用，不等于现实中已经形成稳定保护。</x:v>
      </x:c>
      <x:c r="Q32" s="24" t="str">
        <x:v>旺弱只修正调用强度与承载；强不自动有效，弱也不自动无效。</x:v>
      </x:c>
      <x:c r="R32" s="24" t="str">
        <x:v>喜忌只修正摩擦、平衡与承载，不可直接翻译为好坏、成熟度或解决方案。</x:v>
      </x:c>
      <x:c r="S32" s="24" t="str">
        <x:v>原十神功能有效；真合化成立时按化神功能替换，合化争议时停止定性。</x:v>
      </x:c>
      <x:c r="T32" s="24" t="str">
        <x:v>近位提高直接相关性；远位仅保留背景、阶段或低置信修正。</x:v>
      </x:c>
      <x:c r="U32" s="24" t="str">
        <x:v>90</x:v>
      </x:c>
      <x:c r="V32" s="24" t="str">
        <x:v>独立结构+8</x:v>
      </x:c>
      <x:c r="W32" s="24" t="str">
        <x:v>buffer_evidence</x:v>
      </x:c>
      <x:c r="X32" s="24" t="str">
        <x:v>结构层面需满足：起点、桥梁和目标功能均有效，桥梁具有独立来源，并能解释现实中的转换顺序。</x:v>
      </x:c>
      <x:c r="Y32" s="24" t="str">
        <x:v>从结构上看，你具备这类调节资源，但是否稳定发挥仍需现实验证。</x:v>
      </x:c>
      <x:c r="Z32" s="24" t="str">
        <x:v>不得仅凭本规则断定问题已经解决、关系必然稳定、用户一定成熟、某十神天然是“药”、喜用神自动等于解决办法，或淡化暴力、强迫与现实伤害；现实行为、反例、安全事实和专业支持优先。</x:v>
      </x:c>
      <x:c r="AA32" s="24" t="str">
        <x:v>中高</x:v>
      </x:c>
      <x:c r="AB32" s="24" t="str">
        <x:v>待验证</x:v>
      </x:c>
      <x:c r="AC32" s="24" t="str"/>
      <x:c r="AD32" s="24" t="str">
        <x:v>provisional=true；保护因素的现实有效性必须由可观察行为、反馈和持续结果验证。</x:v>
      </x:c>
      <x:c r="AE32" s="24" t="str">
        <x:v>0.8</x:v>
      </x:c>
    </x:row>
    <x:row r="33" ht="52" customHeight="1">
      <x:c r="A33" s="24" t="str">
        <x:v>M4-BUFFER-032</x:v>
      </x:c>
      <x:c r="B33" s="24" t="str">
        <x:v>BF02 跨系统通关｜现实启动证据</x:v>
      </x:c>
      <x:c r="C33" s="24" t="str">
        <x:v>L1 BF01—BF08保护因素</x:v>
      </x:c>
      <x:c r="D33" s="24" t="str">
        <x:v>BUFFER-保护因素</x:v>
      </x:c>
      <x:c r="E33" s="24" t="str">
        <x:v>通用</x:v>
      </x:c>
      <x:c r="F33" s="24" t="str">
        <x:v>现实证据</x:v>
      </x:c>
      <x:c r="G33" s="24" t="str">
        <x:v>BF02 跨系统通关</x:v>
      </x:c>
      <x:c r="H33" s="24" t="str">
        <x:v>把潜在资源升级为现实已启动资源。</x:v>
      </x:c>
      <x:c r="I33" s="24" t="str">
        <x:v>至少有一个具体事件显示该功能被调用，并改变了处理顺序、反馈、边界或后续行动。</x:v>
      </x:c>
      <x:c r="J33" s="24" t="str">
        <x:v>只有知识、自述、标签或一次无后续结果的动作。</x:v>
      </x:c>
      <x:c r="K33" s="24" t="str">
        <x:v>由共享基础引擎提供；仅修正保护功能的承载、持续调用和压力状态下的稳定性，不直接等同成熟度、道德或现实行为。</x:v>
      </x:c>
      <x:c r="L33" s="24" t="str">
        <x:v>由M1／M2接口提供；夫妻星、心动原型和关系门槛只说明关系议题，不单独证明保护因素已经被调用或有效。</x:v>
      </x:c>
      <x:c r="M33" s="24" t="str">
        <x:v>由M3-BASE及M4各模块提供；日支、日柱近位可提高与亲密关系核心的相关性，但同一source_id不得重复计分。</x:v>
      </x:c>
      <x:c r="N33" s="24" t="str">
        <x:v>保护因素必须明确限制过用、补足缺位、恢复顺序、打开反馈、落实改变或完成修复回流；不能只凭五行相生补写现实效果。</x:v>
      </x:c>
      <x:c r="O33" s="24" t="str">
        <x:v>近位提高进入亲密关系核心的概率；远位只作背景、阶段或条件性修正。</x:v>
      </x:c>
      <x:c r="P33" s="24" t="str">
        <x:v>根气只修正该保护功能是否容易重复调用，不等于现实中已经形成稳定保护。</x:v>
      </x:c>
      <x:c r="Q33" s="24" t="str">
        <x:v>旺弱只修正调用强度与承载；强不自动有效，弱也不自动无效。</x:v>
      </x:c>
      <x:c r="R33" s="24" t="str">
        <x:v>喜忌只修正摩擦、平衡与承载，不可直接翻译为好坏、成熟度或解决方案。</x:v>
      </x:c>
      <x:c r="S33" s="24" t="str">
        <x:v>原十神功能有效；真合化成立时按化神功能替换，合化争议时停止定性。</x:v>
      </x:c>
      <x:c r="T33" s="24" t="str">
        <x:v>近位提高直接相关性；远位仅保留背景、阶段或低置信修正。</x:v>
      </x:c>
      <x:c r="U33" s="24" t="str">
        <x:v>92</x:v>
      </x:c>
      <x:c r="V33" s="24" t="str">
        <x:v>现实启动+12</x:v>
      </x:c>
      <x:c r="W33" s="24" t="str">
        <x:v>buffer_activation</x:v>
      </x:c>
      <x:c r="X33" s="24" t="str">
        <x:v>只有当跨系统通关在事件中真正改变风险链时，才能升级为现实保护。</x:v>
      </x:c>
      <x:c r="Y33" s="24" t="str">
        <x:v>如果你在关键时刻确实用出这项方法，并让后续处理发生变化，它才算真正启动。</x:v>
      </x:c>
      <x:c r="Z33" s="24" t="str">
        <x:v>不得仅凭本规则断定问题已经解决、关系必然稳定、用户一定成熟、某十神天然是“药”、喜用神自动等于解决办法，或淡化暴力、强迫与现实伤害；现实行为、反例、安全事实和专业支持优先。</x:v>
      </x:c>
      <x:c r="AA33" s="24" t="str">
        <x:v>中高</x:v>
      </x:c>
      <x:c r="AB33" s="24" t="str">
        <x:v>待验证</x:v>
      </x:c>
      <x:c r="AC33" s="24" t="str"/>
      <x:c r="AD33" s="24" t="str">
        <x:v>provisional=true；保护因素的现实有效性必须由可观察行为、反馈和持续结果验证。</x:v>
      </x:c>
      <x:c r="AE33" s="24" t="str">
        <x:v>0.8</x:v>
      </x:c>
    </x:row>
    <x:row r="34" ht="52" customHeight="1">
      <x:c r="A34" s="24" t="str">
        <x:v>M4-BUFFER-033</x:v>
      </x:c>
      <x:c r="B34" s="24" t="str">
        <x:v>BF02 跨系统通关｜稳定有效证据</x:v>
      </x:c>
      <x:c r="C34" s="24" t="str">
        <x:v>L1 BF01—BF08保护因素</x:v>
      </x:c>
      <x:c r="D34" s="24" t="str">
        <x:v>BUFFER-保护因素</x:v>
      </x:c>
      <x:c r="E34" s="24" t="str">
        <x:v>通用</x:v>
      </x:c>
      <x:c r="F34" s="24" t="str">
        <x:v>效果验证</x:v>
      </x:c>
      <x:c r="G34" s="24" t="str">
        <x:v>BF02 跨系统通关</x:v>
      </x:c>
      <x:c r="H34" s="24" t="str">
        <x:v>判断保护是否跨情境稳定，而非单次高光。</x:v>
      </x:c>
      <x:c r="I34" s="24" t="str">
        <x:v>在至少两个相似或不同情境中有效，且包含反例审查与接收方反馈。</x:v>
      </x:c>
      <x:c r="J34" s="24" t="str">
        <x:v>只在一次低代价情境有效，或高压下完全失效。</x:v>
      </x:c>
      <x:c r="K34" s="24" t="str">
        <x:v>由共享基础引擎提供；仅修正保护功能的承载、持续调用和压力状态下的稳定性，不直接等同成熟度、道德或现实行为。</x:v>
      </x:c>
      <x:c r="L34" s="24" t="str">
        <x:v>由M1／M2接口提供；夫妻星、心动原型和关系门槛只说明关系议题，不单独证明保护因素已经被调用或有效。</x:v>
      </x:c>
      <x:c r="M34" s="24" t="str">
        <x:v>由M3-BASE及M4各模块提供；日支、日柱近位可提高与亲密关系核心的相关性，但同一source_id不得重复计分。</x:v>
      </x:c>
      <x:c r="N34" s="24" t="str">
        <x:v>保护因素必须明确限制过用、补足缺位、恢复顺序、打开反馈、落实改变或完成修复回流；不能只凭五行相生补写现实效果。</x:v>
      </x:c>
      <x:c r="O34" s="24" t="str">
        <x:v>近位提高进入亲密关系核心的概率；远位只作背景、阶段或条件性修正。</x:v>
      </x:c>
      <x:c r="P34" s="24" t="str">
        <x:v>根气只修正该保护功能是否容易重复调用，不等于现实中已经形成稳定保护。</x:v>
      </x:c>
      <x:c r="Q34" s="24" t="str">
        <x:v>旺弱只修正调用强度与承载；强不自动有效，弱也不自动无效。</x:v>
      </x:c>
      <x:c r="R34" s="24" t="str">
        <x:v>喜忌只修正摩擦、平衡与承载，不可直接翻译为好坏、成熟度或解决方案。</x:v>
      </x:c>
      <x:c r="S34" s="24" t="str">
        <x:v>原十神功能有效；真合化成立时按化神功能替换，合化争议时停止定性。</x:v>
      </x:c>
      <x:c r="T34" s="24" t="str">
        <x:v>近位提高直接相关性；远位仅保留背景、阶段或低置信修正。</x:v>
      </x:c>
      <x:c r="U34" s="24" t="str">
        <x:v>94</x:v>
      </x:c>
      <x:c r="V34" s="24" t="str">
        <x:v>稳定有效+16</x:v>
      </x:c>
      <x:c r="W34" s="24" t="str">
        <x:v>buffer_level</x:v>
      </x:c>
      <x:c r="X34" s="24" t="str">
        <x:v>跨系统通关需要重复有效、跨情境与反例检验，才能成为稳定保护。</x:v>
      </x:c>
      <x:c r="Y34" s="24" t="str">
        <x:v>若这项方法在不同情境里都能帮助你调整，并经得住反例，它的保护作用才更可信。</x:v>
      </x:c>
      <x:c r="Z34" s="24" t="str">
        <x:v>不得仅凭本规则断定问题已经解决、关系必然稳定、用户一定成熟、某十神天然是“药”、喜用神自动等于解决办法，或淡化暴力、强迫与现实伤害；现实行为、反例、安全事实和专业支持优先。</x:v>
      </x:c>
      <x:c r="AA34" s="24" t="str">
        <x:v>中高</x:v>
      </x:c>
      <x:c r="AB34" s="24" t="str">
        <x:v>待验证</x:v>
      </x:c>
      <x:c r="AC34" s="24" t="str"/>
      <x:c r="AD34" s="24" t="str">
        <x:v>provisional=true；保护因素的现实有效性必须由可观察行为、反馈和持续结果验证。</x:v>
      </x:c>
      <x:c r="AE34" s="24" t="str">
        <x:v>0.8</x:v>
      </x:c>
    </x:row>
    <x:row r="35" ht="52" customHeight="1">
      <x:c r="A35" s="24" t="str">
        <x:v>M4-BUFFER-034</x:v>
      </x:c>
      <x:c r="B35" s="24" t="str">
        <x:v>BF02 跨系统通关｜失效与伪保护</x:v>
      </x:c>
      <x:c r="C35" s="24" t="str">
        <x:v>L1 BF01—BF08保护因素</x:v>
      </x:c>
      <x:c r="D35" s="24" t="str">
        <x:v>BUFFER-保护因素</x:v>
      </x:c>
      <x:c r="E35" s="24" t="str">
        <x:v>通用</x:v>
      </x:c>
      <x:c r="F35" s="24" t="str">
        <x:v>降级</x:v>
      </x:c>
      <x:c r="G35" s="24" t="str">
        <x:v>BF02 跨系统通关</x:v>
      </x:c>
      <x:c r="H35" s="24" t="str">
        <x:v>识别名义保护、过度补偿或功能错配。</x:v>
      </x:c>
      <x:c r="I35" s="24" t="str">
        <x:v>只见五行相生或中间十神，却缺少目标功能、现实行为或路径证据。</x:v>
      </x:c>
      <x:c r="J35" s="24" t="str">
        <x:v>存在明确现实证据显示该功能真正改变了风险链。</x:v>
      </x:c>
      <x:c r="K35" s="24" t="str">
        <x:v>由共享基础引擎提供；仅修正保护功能的承载、持续调用和压力状态下的稳定性，不直接等同成熟度、道德或现实行为。</x:v>
      </x:c>
      <x:c r="L35" s="24" t="str">
        <x:v>由M1／M2接口提供；夫妻星、心动原型和关系门槛只说明关系议题，不单独证明保护因素已经被调用或有效。</x:v>
      </x:c>
      <x:c r="M35" s="24" t="str">
        <x:v>由M3-BASE及M4各模块提供；日支、日柱近位可提高与亲密关系核心的相关性，但同一source_id不得重复计分。</x:v>
      </x:c>
      <x:c r="N35" s="24" t="str">
        <x:v>保护因素必须明确限制过用、补足缺位、恢复顺序、打开反馈、落实改变或完成修复回流；不能只凭五行相生补写现实效果。</x:v>
      </x:c>
      <x:c r="O35" s="24" t="str">
        <x:v>近位提高进入亲密关系核心的概率；远位只作背景、阶段或条件性修正。</x:v>
      </x:c>
      <x:c r="P35" s="24" t="str">
        <x:v>根气只修正该保护功能是否容易重复调用，不等于现实中已经形成稳定保护。</x:v>
      </x:c>
      <x:c r="Q35" s="24" t="str">
        <x:v>旺弱只修正调用强度与承载；强不自动有效，弱也不自动无效。</x:v>
      </x:c>
      <x:c r="R35" s="24" t="str">
        <x:v>喜忌只修正摩擦、平衡与承载，不可直接翻译为好坏、成熟度或解决方案。</x:v>
      </x:c>
      <x:c r="S35" s="24" t="str">
        <x:v>原十神功能有效；真合化成立时按化神功能替换，合化争议时停止定性。</x:v>
      </x:c>
      <x:c r="T35" s="24" t="str">
        <x:v>近位提高直接相关性；远位仅保留背景、阶段或低置信修正。</x:v>
      </x:c>
      <x:c r="U35" s="24" t="str">
        <x:v>96</x:v>
      </x:c>
      <x:c r="V35" s="24" t="str">
        <x:v>失效-12／降级</x:v>
      </x:c>
      <x:c r="W35" s="24" t="str">
        <x:v>pseudo_buffer</x:v>
      </x:c>
      <x:c r="X35" s="24" t="str">
        <x:v>当只见五行相生或中间十神，却缺少目标功能、现实行为或路径证据。时，跨系统通关只能降为潜在资源或伪保护候选。</x:v>
      </x:c>
      <x:c r="Y35" s="24" t="str">
        <x:v>若这项资源只停留在标签，或反而造成新的僵化，就不能把它当成有效保护。</x:v>
      </x:c>
      <x:c r="Z35" s="24" t="str">
        <x:v>不得仅凭本规则断定问题已经解决、关系必然稳定、用户一定成熟、某十神天然是“药”、喜用神自动等于解决办法，或淡化暴力、强迫与现实伤害；现实行为、反例、安全事实和专业支持优先。</x:v>
      </x:c>
      <x:c r="AA35" s="24" t="str">
        <x:v>中高</x:v>
      </x:c>
      <x:c r="AB35" s="24" t="str">
        <x:v>待验证</x:v>
      </x:c>
      <x:c r="AC35" s="24" t="str"/>
      <x:c r="AD35" s="24" t="str">
        <x:v>provisional=true；保护因素的现实有效性必须由可观察行为、反馈和持续结果验证。</x:v>
      </x:c>
      <x:c r="AE35" s="24" t="str">
        <x:v>0.8</x:v>
      </x:c>
    </x:row>
    <x:row r="36" ht="52" customHeight="1">
      <x:c r="A36" s="24" t="str">
        <x:v>M4-BUFFER-035</x:v>
      </x:c>
      <x:c r="B36" s="24" t="str">
        <x:v>BF02 跨系统通关｜用户输出</x:v>
      </x:c>
      <x:c r="C36" s="24" t="str">
        <x:v>L1 BF01—BF08保护因素</x:v>
      </x:c>
      <x:c r="D36" s="24" t="str">
        <x:v>BUFFER-保护因素</x:v>
      </x:c>
      <x:c r="E36" s="24" t="str">
        <x:v>通用</x:v>
      </x:c>
      <x:c r="F36" s="24" t="str">
        <x:v>语言</x:v>
      </x:c>
      <x:c r="G36" s="24" t="str">
        <x:v>BF02 跨系统通关</x:v>
      </x:c>
      <x:c r="H36" s="24" t="str">
        <x:v>生成中性、条件化的用户解释。</x:v>
      </x:c>
      <x:c r="I36" s="24" t="str">
        <x:v>起点、桥梁和目标功能均有效，桥梁具有独立来源，并能解释现实中的转换顺序。</x:v>
      </x:c>
      <x:c r="J36" s="24" t="str">
        <x:v>只见五行相生或中间十神，却缺少目标功能、现实行为或路径证据。</x:v>
      </x:c>
      <x:c r="K36" s="24" t="str">
        <x:v>由共享基础引擎提供；仅修正保护功能的承载、持续调用和压力状态下的稳定性，不直接等同成熟度、道德或现实行为。</x:v>
      </x:c>
      <x:c r="L36" s="24" t="str">
        <x:v>由M1／M2接口提供；夫妻星、心动原型和关系门槛只说明关系议题，不单独证明保护因素已经被调用或有效。</x:v>
      </x:c>
      <x:c r="M36" s="24" t="str">
        <x:v>由M3-BASE及M4各模块提供；日支、日柱近位可提高与亲密关系核心的相关性，但同一source_id不得重复计分。</x:v>
      </x:c>
      <x:c r="N36" s="24" t="str">
        <x:v>保护因素必须明确限制过用、补足缺位、恢复顺序、打开反馈、落实改变或完成修复回流；不能只凭五行相生补写现实效果。</x:v>
      </x:c>
      <x:c r="O36" s="24" t="str">
        <x:v>近位提高进入亲密关系核心的概率；远位只作背景、阶段或条件性修正。</x:v>
      </x:c>
      <x:c r="P36" s="24" t="str">
        <x:v>根气只修正该保护功能是否容易重复调用，不等于现实中已经形成稳定保护。</x:v>
      </x:c>
      <x:c r="Q36" s="24" t="str">
        <x:v>旺弱只修正调用强度与承载；强不自动有效，弱也不自动无效。</x:v>
      </x:c>
      <x:c r="R36" s="24" t="str">
        <x:v>喜忌只修正摩擦、平衡与承载，不可直接翻译为好坏、成熟度或解决方案。</x:v>
      </x:c>
      <x:c r="S36" s="24" t="str">
        <x:v>原十神功能有效；真合化成立时按化神功能替换，合化争议时停止定性。</x:v>
      </x:c>
      <x:c r="T36" s="24" t="str">
        <x:v>近位提高直接相关性；远位仅保留背景、阶段或低置信修正。</x:v>
      </x:c>
      <x:c r="U36" s="24" t="str">
        <x:v>88</x:v>
      </x:c>
      <x:c r="V36" s="24" t="str">
        <x:v>不加分；输出</x:v>
      </x:c>
      <x:c r="W36" s="24" t="str">
        <x:v>report_text</x:v>
      </x:c>
      <x:c r="X36" s="24" t="str">
        <x:v>通关的价值在于把已经完成的第一步转成下一项必要任务，而不是增加更多同类反应。</x:v>
      </x:c>
      <x:c r="Y36" s="24" t="str">
        <x:v>你并非缺少第一步，关键是能否借助中间功能，把理解转成边界、表达转成落实或责任转成安全。</x:v>
      </x:c>
      <x:c r="Z36" s="24" t="str">
        <x:v>不得仅凭本规则断定问题已经解决、关系必然稳定、用户一定成熟、某十神天然是“药”、喜用神自动等于解决办法，或淡化暴力、强迫与现实伤害；现实行为、反例、安全事实和专业支持优先。</x:v>
      </x:c>
      <x:c r="AA36" s="24" t="str">
        <x:v>中高</x:v>
      </x:c>
      <x:c r="AB36" s="24" t="str">
        <x:v>待验证</x:v>
      </x:c>
      <x:c r="AC36" s="24" t="str"/>
      <x:c r="AD36" s="24" t="str">
        <x:v>provisional=true；保护因素的现实有效性必须由可观察行为、反馈和持续结果验证。</x:v>
      </x:c>
      <x:c r="AE36" s="24" t="str">
        <x:v>0.8</x:v>
      </x:c>
    </x:row>
    <x:row r="37" ht="52" customHeight="1">
      <x:c r="A37" s="24" t="str">
        <x:v>M4-BUFFER-036</x:v>
      </x:c>
      <x:c r="B37" s="24" t="str">
        <x:v>BF02 跨系统通关｜使用边界</x:v>
      </x:c>
      <x:c r="C37" s="24" t="str">
        <x:v>L1 BF01—BF08保护因素</x:v>
      </x:c>
      <x:c r="D37" s="24" t="str">
        <x:v>BUFFER-保护因素</x:v>
      </x:c>
      <x:c r="E37" s="24" t="str">
        <x:v>通用</x:v>
      </x:c>
      <x:c r="F37" s="24" t="str">
        <x:v>边界</x:v>
      </x:c>
      <x:c r="G37" s="24" t="str">
        <x:v>BF02 跨系统通关</x:v>
      </x:c>
      <x:c r="H37" s="24" t="str">
        <x:v>限制发布强度。</x:v>
      </x:c>
      <x:c r="I37" s="24" t="str">
        <x:v>完成同源去重、现实反例和安全门控。</x:v>
      </x:c>
      <x:c r="J37" s="24" t="str">
        <x:v>把该因素写成绝对化解、关系必稳或道德优点。</x:v>
      </x:c>
      <x:c r="K37" s="24" t="str">
        <x:v>由共享基础引擎提供；仅修正保护功能的承载、持续调用和压力状态下的稳定性，不直接等同成熟度、道德或现实行为。</x:v>
      </x:c>
      <x:c r="L37" s="24" t="str">
        <x:v>由M1／M2接口提供；夫妻星、心动原型和关系门槛只说明关系议题，不单独证明保护因素已经被调用或有效。</x:v>
      </x:c>
      <x:c r="M37" s="24" t="str">
        <x:v>由M3-BASE及M4各模块提供；日支、日柱近位可提高与亲密关系核心的相关性，但同一source_id不得重复计分。</x:v>
      </x:c>
      <x:c r="N37" s="24" t="str">
        <x:v>保护因素必须明确限制过用、补足缺位、恢复顺序、打开反馈、落实改变或完成修复回流；不能只凭五行相生补写现实效果。</x:v>
      </x:c>
      <x:c r="O37" s="24" t="str">
        <x:v>近位提高进入亲密关系核心的概率；远位只作背景、阶段或条件性修正。</x:v>
      </x:c>
      <x:c r="P37" s="24" t="str">
        <x:v>根气只修正该保护功能是否容易重复调用，不等于现实中已经形成稳定保护。</x:v>
      </x:c>
      <x:c r="Q37" s="24" t="str">
        <x:v>旺弱只修正调用强度与承载；强不自动有效，弱也不自动无效。</x:v>
      </x:c>
      <x:c r="R37" s="24" t="str">
        <x:v>喜忌只修正摩擦、平衡与承载，不可直接翻译为好坏、成熟度或解决方案。</x:v>
      </x:c>
      <x:c r="S37" s="24" t="str">
        <x:v>原十神功能有效；真合化成立时按化神功能替换，合化争议时停止定性。</x:v>
      </x:c>
      <x:c r="T37" s="24" t="str">
        <x:v>近位提高直接相关性；远位仅保留背景、阶段或低置信修正。</x:v>
      </x:c>
      <x:c r="U37" s="24" t="str">
        <x:v>99</x:v>
      </x:c>
      <x:c r="V37" s="24" t="str">
        <x:v>边界／封顶</x:v>
      </x:c>
      <x:c r="W37" s="24" t="str">
        <x:v>boundary_note</x:v>
      </x:c>
      <x:c r="X37" s="24" t="str">
        <x:v>跨系统通关是针对具体链条的功能，不是万能药。</x:v>
      </x:c>
      <x:c r="Y37" s="24" t="str">
        <x:v>这项资源能减弱特定盲点，但不代表所有关系问题都会自动消失。</x:v>
      </x:c>
      <x:c r="Z37" s="24" t="str">
        <x:v>不得仅凭本规则断定问题已经解决、关系必然稳定、用户一定成熟、某十神天然是“药”、喜用神自动等于解决办法，或淡化暴力、强迫与现实伤害；现实行为、反例、安全事实和专业支持优先。</x:v>
      </x:c>
      <x:c r="AA37" s="24" t="str">
        <x:v>高</x:v>
      </x:c>
      <x:c r="AB37" s="24" t="str">
        <x:v>待验证</x:v>
      </x:c>
      <x:c r="AC37" s="24" t="str"/>
      <x:c r="AD37" s="24" t="str">
        <x:v>provisional=true；保护因素的现实有效性必须由可观察行为、反馈和持续结果验证。</x:v>
      </x:c>
      <x:c r="AE37" s="24" t="str">
        <x:v>0.8</x:v>
      </x:c>
    </x:row>
    <x:row r="38" ht="52" customHeight="1">
      <x:c r="A38" s="24" t="str">
        <x:v>M4-BUFFER-037</x:v>
      </x:c>
      <x:c r="B38" s="24" t="str">
        <x:v>BF03 独立边界支持｜因素定义</x:v>
      </x:c>
      <x:c r="C38" s="24" t="str">
        <x:v>L1 BF01—BF08保护因素</x:v>
      </x:c>
      <x:c r="D38" s="24" t="str">
        <x:v>BUFFER-保护因素</x:v>
      </x:c>
      <x:c r="E38" s="24" t="str">
        <x:v>通用</x:v>
      </x:c>
      <x:c r="F38" s="24" t="str">
        <x:v>定义</x:v>
      </x:c>
      <x:c r="G38" s="24" t="str">
        <x:v>BF03 独立边界支持</x:v>
      </x:c>
      <x:c r="H38" s="24" t="str">
        <x:v>建立该保护因素的功能边界。</x:v>
      </x:c>
      <x:c r="I38" s="24" t="str">
        <x:v>比劫、食伤或规则功能能够清楚表达选择权、参与权、停止线和重新协商条件。</x:v>
      </x:c>
      <x:c r="J38" s="24" t="str">
        <x:v>边界只有口头标签、没有执行，或边界被用于惩罚、隔离与完全拒绝反馈。</x:v>
      </x:c>
      <x:c r="K38" s="24" t="str">
        <x:v>由共享基础引擎提供；仅修正保护功能的承载、持续调用和压力状态下的稳定性，不直接等同成熟度、道德或现实行为。</x:v>
      </x:c>
      <x:c r="L38" s="24" t="str">
        <x:v>由M1／M2接口提供；夫妻星、心动原型和关系门槛只说明关系议题，不单独证明保护因素已经被调用或有效。</x:v>
      </x:c>
      <x:c r="M38" s="24" t="str">
        <x:v>由M3-BASE及M4各模块提供；日支、日柱近位可提高与亲密关系核心的相关性，但同一source_id不得重复计分。</x:v>
      </x:c>
      <x:c r="N38" s="24" t="str">
        <x:v>保护因素必须明确限制过用、补足缺位、恢复顺序、打开反馈、落实改变或完成修复回流；不能只凭五行相生补写现实效果。</x:v>
      </x:c>
      <x:c r="O38" s="24" t="str">
        <x:v>近位提高进入亲密关系核心的概率；远位只作背景、阶段或条件性修正。</x:v>
      </x:c>
      <x:c r="P38" s="24" t="str">
        <x:v>根气只修正该保护功能是否容易重复调用，不等于现实中已经形成稳定保护。</x:v>
      </x:c>
      <x:c r="Q38" s="24" t="str">
        <x:v>旺弱只修正调用强度与承载；强不自动有效，弱也不自动无效。</x:v>
      </x:c>
      <x:c r="R38" s="24" t="str">
        <x:v>喜忌只修正摩擦、平衡与承载，不可直接翻译为好坏、成熟度或解决方案。</x:v>
      </x:c>
      <x:c r="S38" s="24" t="str">
        <x:v>原十神功能有效；真合化成立时按化神功能替换，合化争议时停止定性。</x:v>
      </x:c>
      <x:c r="T38" s="24" t="str">
        <x:v>近位提高直接相关性；远位仅保留背景、阶段或低置信修正。</x:v>
      </x:c>
      <x:c r="U38" s="24" t="str">
        <x:v>95</x:v>
      </x:c>
      <x:c r="V38" s="24" t="str">
        <x:v>基础候选+0</x:v>
      </x:c>
      <x:c r="W38" s="24" t="str">
        <x:v>buffer_factor</x:v>
      </x:c>
      <x:c r="X38" s="24" t="str">
        <x:v>边界保护不是把双方分开，而是确保靠近、投入、规则和行动不越过个人选择与共同决定。</x:v>
      </x:c>
      <x:c r="Y38" s="24" t="str">
        <x:v>当关系推进、投入或照顾增加时，清楚的参与权和停止线能帮助你保留选择，而不是被节奏带着走。</x:v>
      </x:c>
      <x:c r="Z38" s="24" t="str">
        <x:v>不得仅凭本规则断定问题已经解决、关系必然稳定、用户一定成熟、某十神天然是“药”、喜用神自动等于解决办法，或淡化暴力、强迫与现实伤害；现实行为、反例、安全事实和专业支持优先。</x:v>
      </x:c>
      <x:c r="AA38" s="24" t="str">
        <x:v>高</x:v>
      </x:c>
      <x:c r="AB38" s="24" t="str">
        <x:v>待验证</x:v>
      </x:c>
      <x:c r="AC38" s="24" t="str"/>
      <x:c r="AD38" s="24" t="str">
        <x:v>provisional=true；保护因素的现实有效性必须由可观察行为、反馈和持续结果验证。</x:v>
      </x:c>
      <x:c r="AE38" s="24" t="str">
        <x:v>0.8</x:v>
      </x:c>
    </x:row>
    <x:row r="39" ht="52" customHeight="1">
      <x:c r="A39" s="24" t="str">
        <x:v>M4-BUFFER-038</x:v>
      </x:c>
      <x:c r="B39" s="24" t="str">
        <x:v>BF03 独立边界支持｜主要靶点</x:v>
      </x:c>
      <x:c r="C39" s="24" t="str">
        <x:v>L1 BF01—BF08保护因素</x:v>
      </x:c>
      <x:c r="D39" s="24" t="str">
        <x:v>BUFFER-保护因素</x:v>
      </x:c>
      <x:c r="E39" s="24" t="str">
        <x:v>通用</x:v>
      </x:c>
      <x:c r="F39" s="24" t="str">
        <x:v>路由</x:v>
      </x:c>
      <x:c r="G39" s="24" t="str">
        <x:v>BF03 独立边界支持</x:v>
      </x:c>
      <x:c r="H39" s="24" t="str">
        <x:v>将保护因素路由到具体失衡任务，而不是泛化成万能优点。</x:v>
      </x:c>
      <x:c r="I39" s="24" t="str">
        <x:v>已经存在与限制越权、机械对等、亲密撤回、规则反弹与单方承担相关的K机制、触发、循环或修复卡点。</x:v>
      </x:c>
      <x:c r="J39" s="24" t="str">
        <x:v>没有明确风险靶点，或靶点由同一事实重复生成。</x:v>
      </x:c>
      <x:c r="K39" s="24" t="str">
        <x:v>由共享基础引擎提供；仅修正保护功能的承载、持续调用和压力状态下的稳定性，不直接等同成熟度、道德或现实行为。</x:v>
      </x:c>
      <x:c r="L39" s="24" t="str">
        <x:v>由M1／M2接口提供；夫妻星、心动原型和关系门槛只说明关系议题，不单独证明保护因素已经被调用或有效。</x:v>
      </x:c>
      <x:c r="M39" s="24" t="str">
        <x:v>由M3-BASE及M4各模块提供；日支、日柱近位可提高与亲密关系核心的相关性，但同一source_id不得重复计分。</x:v>
      </x:c>
      <x:c r="N39" s="24" t="str">
        <x:v>保护因素必须明确限制过用、补足缺位、恢复顺序、打开反馈、落实改变或完成修复回流；不能只凭五行相生补写现实效果。</x:v>
      </x:c>
      <x:c r="O39" s="24" t="str">
        <x:v>近位提高进入亲密关系核心的概率；远位只作背景、阶段或条件性修正。</x:v>
      </x:c>
      <x:c r="P39" s="24" t="str">
        <x:v>根气只修正该保护功能是否容易重复调用，不等于现实中已经形成稳定保护。</x:v>
      </x:c>
      <x:c r="Q39" s="24" t="str">
        <x:v>旺弱只修正调用强度与承载；强不自动有效，弱也不自动无效。</x:v>
      </x:c>
      <x:c r="R39" s="24" t="str">
        <x:v>喜忌只修正摩擦、平衡与承载，不可直接翻译为好坏、成熟度或解决方案。</x:v>
      </x:c>
      <x:c r="S39" s="24" t="str">
        <x:v>原十神功能有效；真合化成立时按化神功能替换，合化争议时停止定性。</x:v>
      </x:c>
      <x:c r="T39" s="24" t="str">
        <x:v>近位提高直接相关性；远位仅保留背景、阶段或低置信修正。</x:v>
      </x:c>
      <x:c r="U39" s="24" t="str">
        <x:v>93</x:v>
      </x:c>
      <x:c r="V39" s="24" t="str">
        <x:v>匹配靶点+6</x:v>
      </x:c>
      <x:c r="W39" s="24" t="str">
        <x:v>buffer_target</x:v>
      </x:c>
      <x:c r="X39" s="24" t="str">
        <x:v>独立边界支持主要处理：限制越权、机械对等、亲密撤回、规则反弹与单方承担。</x:v>
      </x:c>
      <x:c r="Y39" s="24" t="str">
        <x:v>这项资源最有价值的地方，是在限制越权、机械对等、亲密撤回、规则反弹与单方承担时提供具体调节。</x:v>
      </x:c>
      <x:c r="Z39" s="24" t="str">
        <x:v>不得仅凭本规则断定问题已经解决、关系必然稳定、用户一定成熟、某十神天然是“药”、喜用神自动等于解决办法，或淡化暴力、强迫与现实伤害；现实行为、反例、安全事实和专业支持优先。</x:v>
      </x:c>
      <x:c r="AA39" s="24" t="str">
        <x:v>高</x:v>
      </x:c>
      <x:c r="AB39" s="24" t="str">
        <x:v>待验证</x:v>
      </x:c>
      <x:c r="AC39" s="24" t="str"/>
      <x:c r="AD39" s="24" t="str">
        <x:v>provisional=true；保护因素的现实有效性必须由可观察行为、反馈和持续结果验证。</x:v>
      </x:c>
      <x:c r="AE39" s="24" t="str">
        <x:v>0.8</x:v>
      </x:c>
    </x:row>
    <x:row r="40" ht="52" customHeight="1">
      <x:c r="A40" s="24" t="str">
        <x:v>M4-BUFFER-039</x:v>
      </x:c>
      <x:c r="B40" s="24" t="str">
        <x:v>BF03 独立边界支持｜结构成立条件</x:v>
      </x:c>
      <x:c r="C40" s="24" t="str">
        <x:v>L1 BF01—BF08保护因素</x:v>
      </x:c>
      <x:c r="D40" s="24" t="str">
        <x:v>BUFFER-保护因素</x:v>
      </x:c>
      <x:c r="E40" s="24" t="str">
        <x:v>通用</x:v>
      </x:c>
      <x:c r="F40" s="24" t="str">
        <x:v>结构证据</x:v>
      </x:c>
      <x:c r="G40" s="24" t="str">
        <x:v>BF03 独立边界支持</x:v>
      </x:c>
      <x:c r="H40" s="24" t="str">
        <x:v>判断命理结构是否具备独立、可调用的保护功能。</x:v>
      </x:c>
      <x:c r="I40" s="24" t="str">
        <x:v>比劫、食伤或规则功能能够清楚表达选择权、参与权、停止线和重新协商条件。</x:v>
      </x:c>
      <x:c r="J40" s="24" t="str">
        <x:v>边界只有口头标签、没有执行，或边界被用于惩罚、隔离与完全拒绝反馈。</x:v>
      </x:c>
      <x:c r="K40" s="24" t="str">
        <x:v>由共享基础引擎提供；仅修正保护功能的承载、持续调用和压力状态下的稳定性，不直接等同成熟度、道德或现实行为。</x:v>
      </x:c>
      <x:c r="L40" s="24" t="str">
        <x:v>由M1／M2接口提供；夫妻星、心动原型和关系门槛只说明关系议题，不单独证明保护因素已经被调用或有效。</x:v>
      </x:c>
      <x:c r="M40" s="24" t="str">
        <x:v>由M3-BASE及M4各模块提供；日支、日柱近位可提高与亲密关系核心的相关性，但同一source_id不得重复计分。</x:v>
      </x:c>
      <x:c r="N40" s="24" t="str">
        <x:v>保护因素必须明确限制过用、补足缺位、恢复顺序、打开反馈、落实改变或完成修复回流；不能只凭五行相生补写现实效果。</x:v>
      </x:c>
      <x:c r="O40" s="24" t="str">
        <x:v>近位提高进入亲密关系核心的概率；远位只作背景、阶段或条件性修正。</x:v>
      </x:c>
      <x:c r="P40" s="24" t="str">
        <x:v>根气只修正该保护功能是否容易重复调用，不等于现实中已经形成稳定保护。</x:v>
      </x:c>
      <x:c r="Q40" s="24" t="str">
        <x:v>旺弱只修正调用强度与承载；强不自动有效，弱也不自动无效。</x:v>
      </x:c>
      <x:c r="R40" s="24" t="str">
        <x:v>喜忌只修正摩擦、平衡与承载，不可直接翻译为好坏、成熟度或解决方案。</x:v>
      </x:c>
      <x:c r="S40" s="24" t="str">
        <x:v>原十神功能有效；真合化成立时按化神功能替换，合化争议时停止定性。</x:v>
      </x:c>
      <x:c r="T40" s="24" t="str">
        <x:v>近位提高直接相关性；远位仅保留背景、阶段或低置信修正。</x:v>
      </x:c>
      <x:c r="U40" s="24" t="str">
        <x:v>90</x:v>
      </x:c>
      <x:c r="V40" s="24" t="str">
        <x:v>独立结构+8</x:v>
      </x:c>
      <x:c r="W40" s="24" t="str">
        <x:v>buffer_evidence</x:v>
      </x:c>
      <x:c r="X40" s="24" t="str">
        <x:v>结构层面需满足：比劫、食伤或规则功能能够清楚表达选择权、参与权、停止线和重新协商条件。</x:v>
      </x:c>
      <x:c r="Y40" s="24" t="str">
        <x:v>从结构上看，你具备这类调节资源，但是否稳定发挥仍需现实验证。</x:v>
      </x:c>
      <x:c r="Z40" s="24" t="str">
        <x:v>不得仅凭本规则断定问题已经解决、关系必然稳定、用户一定成熟、某十神天然是“药”、喜用神自动等于解决办法，或淡化暴力、强迫与现实伤害；现实行为、反例、安全事实和专业支持优先。</x:v>
      </x:c>
      <x:c r="AA40" s="24" t="str">
        <x:v>中高</x:v>
      </x:c>
      <x:c r="AB40" s="24" t="str">
        <x:v>待验证</x:v>
      </x:c>
      <x:c r="AC40" s="24" t="str"/>
      <x:c r="AD40" s="24" t="str">
        <x:v>provisional=true；保护因素的现实有效性必须由可观察行为、反馈和持续结果验证。</x:v>
      </x:c>
      <x:c r="AE40" s="24" t="str">
        <x:v>0.8</x:v>
      </x:c>
    </x:row>
    <x:row r="41" ht="52" customHeight="1">
      <x:c r="A41" s="24" t="str">
        <x:v>M4-BUFFER-040</x:v>
      </x:c>
      <x:c r="B41" s="24" t="str">
        <x:v>BF03 独立边界支持｜现实启动证据</x:v>
      </x:c>
      <x:c r="C41" s="24" t="str">
        <x:v>L1 BF01—BF08保护因素</x:v>
      </x:c>
      <x:c r="D41" s="24" t="str">
        <x:v>BUFFER-保护因素</x:v>
      </x:c>
      <x:c r="E41" s="24" t="str">
        <x:v>通用</x:v>
      </x:c>
      <x:c r="F41" s="24" t="str">
        <x:v>现实证据</x:v>
      </x:c>
      <x:c r="G41" s="24" t="str">
        <x:v>BF03 独立边界支持</x:v>
      </x:c>
      <x:c r="H41" s="24" t="str">
        <x:v>把潜在资源升级为现实已启动资源。</x:v>
      </x:c>
      <x:c r="I41" s="24" t="str">
        <x:v>至少有一个具体事件显示该功能被调用，并改变了处理顺序、反馈、边界或后续行动。</x:v>
      </x:c>
      <x:c r="J41" s="24" t="str">
        <x:v>只有知识、自述、标签或一次无后续结果的动作。</x:v>
      </x:c>
      <x:c r="K41" s="24" t="str">
        <x:v>由共享基础引擎提供；仅修正保护功能的承载、持续调用和压力状态下的稳定性，不直接等同成熟度、道德或现实行为。</x:v>
      </x:c>
      <x:c r="L41" s="24" t="str">
        <x:v>由M1／M2接口提供；夫妻星、心动原型和关系门槛只说明关系议题，不单独证明保护因素已经被调用或有效。</x:v>
      </x:c>
      <x:c r="M41" s="24" t="str">
        <x:v>由M3-BASE及M4各模块提供；日支、日柱近位可提高与亲密关系核心的相关性，但同一source_id不得重复计分。</x:v>
      </x:c>
      <x:c r="N41" s="24" t="str">
        <x:v>保护因素必须明确限制过用、补足缺位、恢复顺序、打开反馈、落实改变或完成修复回流；不能只凭五行相生补写现实效果。</x:v>
      </x:c>
      <x:c r="O41" s="24" t="str">
        <x:v>近位提高进入亲密关系核心的概率；远位只作背景、阶段或条件性修正。</x:v>
      </x:c>
      <x:c r="P41" s="24" t="str">
        <x:v>根气只修正该保护功能是否容易重复调用，不等于现实中已经形成稳定保护。</x:v>
      </x:c>
      <x:c r="Q41" s="24" t="str">
        <x:v>旺弱只修正调用强度与承载；强不自动有效，弱也不自动无效。</x:v>
      </x:c>
      <x:c r="R41" s="24" t="str">
        <x:v>喜忌只修正摩擦、平衡与承载，不可直接翻译为好坏、成熟度或解决方案。</x:v>
      </x:c>
      <x:c r="S41" s="24" t="str">
        <x:v>原十神功能有效；真合化成立时按化神功能替换，合化争议时停止定性。</x:v>
      </x:c>
      <x:c r="T41" s="24" t="str">
        <x:v>近位提高直接相关性；远位仅保留背景、阶段或低置信修正。</x:v>
      </x:c>
      <x:c r="U41" s="24" t="str">
        <x:v>92</x:v>
      </x:c>
      <x:c r="V41" s="24" t="str">
        <x:v>现实启动+12</x:v>
      </x:c>
      <x:c r="W41" s="24" t="str">
        <x:v>buffer_activation</x:v>
      </x:c>
      <x:c r="X41" s="24" t="str">
        <x:v>只有当独立边界支持在事件中真正改变风险链时，才能升级为现实保护。</x:v>
      </x:c>
      <x:c r="Y41" s="24" t="str">
        <x:v>如果你在关键时刻确实用出这项方法，并让后续处理发生变化，它才算真正启动。</x:v>
      </x:c>
      <x:c r="Z41" s="24" t="str">
        <x:v>不得仅凭本规则断定问题已经解决、关系必然稳定、用户一定成熟、某十神天然是“药”、喜用神自动等于解决办法，或淡化暴力、强迫与现实伤害；现实行为、反例、安全事实和专业支持优先。</x:v>
      </x:c>
      <x:c r="AA41" s="24" t="str">
        <x:v>中高</x:v>
      </x:c>
      <x:c r="AB41" s="24" t="str">
        <x:v>待验证</x:v>
      </x:c>
      <x:c r="AC41" s="24" t="str"/>
      <x:c r="AD41" s="24" t="str">
        <x:v>provisional=true；保护因素的现实有效性必须由可观察行为、反馈和持续结果验证。</x:v>
      </x:c>
      <x:c r="AE41" s="24" t="str">
        <x:v>0.8</x:v>
      </x:c>
    </x:row>
    <x:row r="42" ht="52" customHeight="1">
      <x:c r="A42" s="24" t="str">
        <x:v>M4-BUFFER-041</x:v>
      </x:c>
      <x:c r="B42" s="24" t="str">
        <x:v>BF03 独立边界支持｜稳定有效证据</x:v>
      </x:c>
      <x:c r="C42" s="24" t="str">
        <x:v>L1 BF01—BF08保护因素</x:v>
      </x:c>
      <x:c r="D42" s="24" t="str">
        <x:v>BUFFER-保护因素</x:v>
      </x:c>
      <x:c r="E42" s="24" t="str">
        <x:v>通用</x:v>
      </x:c>
      <x:c r="F42" s="24" t="str">
        <x:v>效果验证</x:v>
      </x:c>
      <x:c r="G42" s="24" t="str">
        <x:v>BF03 独立边界支持</x:v>
      </x:c>
      <x:c r="H42" s="24" t="str">
        <x:v>判断保护是否跨情境稳定，而非单次高光。</x:v>
      </x:c>
      <x:c r="I42" s="24" t="str">
        <x:v>在至少两个相似或不同情境中有效，且包含反例审查与接收方反馈。</x:v>
      </x:c>
      <x:c r="J42" s="24" t="str">
        <x:v>只在一次低代价情境有效，或高压下完全失效。</x:v>
      </x:c>
      <x:c r="K42" s="24" t="str">
        <x:v>由共享基础引擎提供；仅修正保护功能的承载、持续调用和压力状态下的稳定性，不直接等同成熟度、道德或现实行为。</x:v>
      </x:c>
      <x:c r="L42" s="24" t="str">
        <x:v>由M1／M2接口提供；夫妻星、心动原型和关系门槛只说明关系议题，不单独证明保护因素已经被调用或有效。</x:v>
      </x:c>
      <x:c r="M42" s="24" t="str">
        <x:v>由M3-BASE及M4各模块提供；日支、日柱近位可提高与亲密关系核心的相关性，但同一source_id不得重复计分。</x:v>
      </x:c>
      <x:c r="N42" s="24" t="str">
        <x:v>保护因素必须明确限制过用、补足缺位、恢复顺序、打开反馈、落实改变或完成修复回流；不能只凭五行相生补写现实效果。</x:v>
      </x:c>
      <x:c r="O42" s="24" t="str">
        <x:v>近位提高进入亲密关系核心的概率；远位只作背景、阶段或条件性修正。</x:v>
      </x:c>
      <x:c r="P42" s="24" t="str">
        <x:v>根气只修正该保护功能是否容易重复调用，不等于现实中已经形成稳定保护。</x:v>
      </x:c>
      <x:c r="Q42" s="24" t="str">
        <x:v>旺弱只修正调用强度与承载；强不自动有效，弱也不自动无效。</x:v>
      </x:c>
      <x:c r="R42" s="24" t="str">
        <x:v>喜忌只修正摩擦、平衡与承载，不可直接翻译为好坏、成熟度或解决方案。</x:v>
      </x:c>
      <x:c r="S42" s="24" t="str">
        <x:v>原十神功能有效；真合化成立时按化神功能替换，合化争议时停止定性。</x:v>
      </x:c>
      <x:c r="T42" s="24" t="str">
        <x:v>近位提高直接相关性；远位仅保留背景、阶段或低置信修正。</x:v>
      </x:c>
      <x:c r="U42" s="24" t="str">
        <x:v>94</x:v>
      </x:c>
      <x:c r="V42" s="24" t="str">
        <x:v>稳定有效+16</x:v>
      </x:c>
      <x:c r="W42" s="24" t="str">
        <x:v>buffer_level</x:v>
      </x:c>
      <x:c r="X42" s="24" t="str">
        <x:v>独立边界支持需要重复有效、跨情境与反例检验，才能成为稳定保护。</x:v>
      </x:c>
      <x:c r="Y42" s="24" t="str">
        <x:v>若这项方法在不同情境里都能帮助你调整，并经得住反例，它的保护作用才更可信。</x:v>
      </x:c>
      <x:c r="Z42" s="24" t="str">
        <x:v>不得仅凭本规则断定问题已经解决、关系必然稳定、用户一定成熟、某十神天然是“药”、喜用神自动等于解决办法，或淡化暴力、强迫与现实伤害；现实行为、反例、安全事实和专业支持优先。</x:v>
      </x:c>
      <x:c r="AA42" s="24" t="str">
        <x:v>中高</x:v>
      </x:c>
      <x:c r="AB42" s="24" t="str">
        <x:v>待验证</x:v>
      </x:c>
      <x:c r="AC42" s="24" t="str"/>
      <x:c r="AD42" s="24" t="str">
        <x:v>provisional=true；保护因素的现实有效性必须由可观察行为、反馈和持续结果验证。</x:v>
      </x:c>
      <x:c r="AE42" s="24" t="str">
        <x:v>0.8</x:v>
      </x:c>
    </x:row>
    <x:row r="43" ht="52" customHeight="1">
      <x:c r="A43" s="24" t="str">
        <x:v>M4-BUFFER-042</x:v>
      </x:c>
      <x:c r="B43" s="24" t="str">
        <x:v>BF03 独立边界支持｜失效与伪保护</x:v>
      </x:c>
      <x:c r="C43" s="24" t="str">
        <x:v>L1 BF01—BF08保护因素</x:v>
      </x:c>
      <x:c r="D43" s="24" t="str">
        <x:v>BUFFER-保护因素</x:v>
      </x:c>
      <x:c r="E43" s="24" t="str">
        <x:v>通用</x:v>
      </x:c>
      <x:c r="F43" s="24" t="str">
        <x:v>降级</x:v>
      </x:c>
      <x:c r="G43" s="24" t="str">
        <x:v>BF03 独立边界支持</x:v>
      </x:c>
      <x:c r="H43" s="24" t="str">
        <x:v>识别名义保护、过度补偿或功能错配。</x:v>
      </x:c>
      <x:c r="I43" s="24" t="str">
        <x:v>边界只有口头标签、没有执行，或边界被用于惩罚、隔离与完全拒绝反馈。</x:v>
      </x:c>
      <x:c r="J43" s="24" t="str">
        <x:v>存在明确现实证据显示该功能真正改变了风险链。</x:v>
      </x:c>
      <x:c r="K43" s="24" t="str">
        <x:v>由共享基础引擎提供；仅修正保护功能的承载、持续调用和压力状态下的稳定性，不直接等同成熟度、道德或现实行为。</x:v>
      </x:c>
      <x:c r="L43" s="24" t="str">
        <x:v>由M1／M2接口提供；夫妻星、心动原型和关系门槛只说明关系议题，不单独证明保护因素已经被调用或有效。</x:v>
      </x:c>
      <x:c r="M43" s="24" t="str">
        <x:v>由M3-BASE及M4各模块提供；日支、日柱近位可提高与亲密关系核心的相关性，但同一source_id不得重复计分。</x:v>
      </x:c>
      <x:c r="N43" s="24" t="str">
        <x:v>保护因素必须明确限制过用、补足缺位、恢复顺序、打开反馈、落实改变或完成修复回流；不能只凭五行相生补写现实效果。</x:v>
      </x:c>
      <x:c r="O43" s="24" t="str">
        <x:v>近位提高进入亲密关系核心的概率；远位只作背景、阶段或条件性修正。</x:v>
      </x:c>
      <x:c r="P43" s="24" t="str">
        <x:v>根气只修正该保护功能是否容易重复调用，不等于现实中已经形成稳定保护。</x:v>
      </x:c>
      <x:c r="Q43" s="24" t="str">
        <x:v>旺弱只修正调用强度与承载；强不自动有效，弱也不自动无效。</x:v>
      </x:c>
      <x:c r="R43" s="24" t="str">
        <x:v>喜忌只修正摩擦、平衡与承载，不可直接翻译为好坏、成熟度或解决方案。</x:v>
      </x:c>
      <x:c r="S43" s="24" t="str">
        <x:v>原十神功能有效；真合化成立时按化神功能替换，合化争议时停止定性。</x:v>
      </x:c>
      <x:c r="T43" s="24" t="str">
        <x:v>近位提高直接相关性；远位仅保留背景、阶段或低置信修正。</x:v>
      </x:c>
      <x:c r="U43" s="24" t="str">
        <x:v>96</x:v>
      </x:c>
      <x:c r="V43" s="24" t="str">
        <x:v>失效-12／降级</x:v>
      </x:c>
      <x:c r="W43" s="24" t="str">
        <x:v>pseudo_buffer</x:v>
      </x:c>
      <x:c r="X43" s="24" t="str">
        <x:v>当边界只有口头标签、没有执行，或边界被用于惩罚、隔离与完全拒绝反馈。时，独立边界支持只能降为潜在资源或伪保护候选。</x:v>
      </x:c>
      <x:c r="Y43" s="24" t="str">
        <x:v>若这项资源只停留在标签，或反而造成新的僵化，就不能把它当成有效保护。</x:v>
      </x:c>
      <x:c r="Z43" s="24" t="str">
        <x:v>不得仅凭本规则断定问题已经解决、关系必然稳定、用户一定成熟、某十神天然是“药”、喜用神自动等于解决办法，或淡化暴力、强迫与现实伤害；现实行为、反例、安全事实和专业支持优先。</x:v>
      </x:c>
      <x:c r="AA43" s="24" t="str">
        <x:v>中高</x:v>
      </x:c>
      <x:c r="AB43" s="24" t="str">
        <x:v>待验证</x:v>
      </x:c>
      <x:c r="AC43" s="24" t="str"/>
      <x:c r="AD43" s="24" t="str">
        <x:v>provisional=true；保护因素的现实有效性必须由可观察行为、反馈和持续结果验证。</x:v>
      </x:c>
      <x:c r="AE43" s="24" t="str">
        <x:v>0.8</x:v>
      </x:c>
    </x:row>
    <x:row r="44" ht="52" customHeight="1">
      <x:c r="A44" s="24" t="str">
        <x:v>M4-BUFFER-043</x:v>
      </x:c>
      <x:c r="B44" s="24" t="str">
        <x:v>BF03 独立边界支持｜用户输出</x:v>
      </x:c>
      <x:c r="C44" s="24" t="str">
        <x:v>L1 BF01—BF08保护因素</x:v>
      </x:c>
      <x:c r="D44" s="24" t="str">
        <x:v>BUFFER-保护因素</x:v>
      </x:c>
      <x:c r="E44" s="24" t="str">
        <x:v>通用</x:v>
      </x:c>
      <x:c r="F44" s="24" t="str">
        <x:v>语言</x:v>
      </x:c>
      <x:c r="G44" s="24" t="str">
        <x:v>BF03 独立边界支持</x:v>
      </x:c>
      <x:c r="H44" s="24" t="str">
        <x:v>生成中性、条件化的用户解释。</x:v>
      </x:c>
      <x:c r="I44" s="24" t="str">
        <x:v>比劫、食伤或规则功能能够清楚表达选择权、参与权、停止线和重新协商条件。</x:v>
      </x:c>
      <x:c r="J44" s="24" t="str">
        <x:v>边界只有口头标签、没有执行，或边界被用于惩罚、隔离与完全拒绝反馈。</x:v>
      </x:c>
      <x:c r="K44" s="24" t="str">
        <x:v>由共享基础引擎提供；仅修正保护功能的承载、持续调用和压力状态下的稳定性，不直接等同成熟度、道德或现实行为。</x:v>
      </x:c>
      <x:c r="L44" s="24" t="str">
        <x:v>由M1／M2接口提供；夫妻星、心动原型和关系门槛只说明关系议题，不单独证明保护因素已经被调用或有效。</x:v>
      </x:c>
      <x:c r="M44" s="24" t="str">
        <x:v>由M3-BASE及M4各模块提供；日支、日柱近位可提高与亲密关系核心的相关性，但同一source_id不得重复计分。</x:v>
      </x:c>
      <x:c r="N44" s="24" t="str">
        <x:v>保护因素必须明确限制过用、补足缺位、恢复顺序、打开反馈、落实改变或完成修复回流；不能只凭五行相生补写现实效果。</x:v>
      </x:c>
      <x:c r="O44" s="24" t="str">
        <x:v>近位提高进入亲密关系核心的概率；远位只作背景、阶段或条件性修正。</x:v>
      </x:c>
      <x:c r="P44" s="24" t="str">
        <x:v>根气只修正该保护功能是否容易重复调用，不等于现实中已经形成稳定保护。</x:v>
      </x:c>
      <x:c r="Q44" s="24" t="str">
        <x:v>旺弱只修正调用强度与承载；强不自动有效，弱也不自动无效。</x:v>
      </x:c>
      <x:c r="R44" s="24" t="str">
        <x:v>喜忌只修正摩擦、平衡与承载，不可直接翻译为好坏、成熟度或解决方案。</x:v>
      </x:c>
      <x:c r="S44" s="24" t="str">
        <x:v>原十神功能有效；真合化成立时按化神功能替换，合化争议时停止定性。</x:v>
      </x:c>
      <x:c r="T44" s="24" t="str">
        <x:v>近位提高直接相关性；远位仅保留背景、阶段或低置信修正。</x:v>
      </x:c>
      <x:c r="U44" s="24" t="str">
        <x:v>88</x:v>
      </x:c>
      <x:c r="V44" s="24" t="str">
        <x:v>不加分；输出</x:v>
      </x:c>
      <x:c r="W44" s="24" t="str">
        <x:v>report_text</x:v>
      </x:c>
      <x:c r="X44" s="24" t="str">
        <x:v>边界保护不是把双方分开，而是确保靠近、投入、规则和行动不越过个人选择与共同决定。</x:v>
      </x:c>
      <x:c r="Y44" s="24" t="str">
        <x:v>当关系推进、投入或照顾增加时，清楚的参与权和停止线能帮助你保留选择，而不是被节奏带着走。</x:v>
      </x:c>
      <x:c r="Z44" s="24" t="str">
        <x:v>不得仅凭本规则断定问题已经解决、关系必然稳定、用户一定成熟、某十神天然是“药”、喜用神自动等于解决办法，或淡化暴力、强迫与现实伤害；现实行为、反例、安全事实和专业支持优先。</x:v>
      </x:c>
      <x:c r="AA44" s="24" t="str">
        <x:v>中高</x:v>
      </x:c>
      <x:c r="AB44" s="24" t="str">
        <x:v>待验证</x:v>
      </x:c>
      <x:c r="AC44" s="24" t="str"/>
      <x:c r="AD44" s="24" t="str">
        <x:v>provisional=true；保护因素的现实有效性必须由可观察行为、反馈和持续结果验证。</x:v>
      </x:c>
      <x:c r="AE44" s="24" t="str">
        <x:v>0.8</x:v>
      </x:c>
    </x:row>
    <x:row r="45" ht="52" customHeight="1">
      <x:c r="A45" s="24" t="str">
        <x:v>M4-BUFFER-044</x:v>
      </x:c>
      <x:c r="B45" s="24" t="str">
        <x:v>BF03 独立边界支持｜使用边界</x:v>
      </x:c>
      <x:c r="C45" s="24" t="str">
        <x:v>L1 BF01—BF08保护因素</x:v>
      </x:c>
      <x:c r="D45" s="24" t="str">
        <x:v>BUFFER-保护因素</x:v>
      </x:c>
      <x:c r="E45" s="24" t="str">
        <x:v>通用</x:v>
      </x:c>
      <x:c r="F45" s="24" t="str">
        <x:v>边界</x:v>
      </x:c>
      <x:c r="G45" s="24" t="str">
        <x:v>BF03 独立边界支持</x:v>
      </x:c>
      <x:c r="H45" s="24" t="str">
        <x:v>限制发布强度。</x:v>
      </x:c>
      <x:c r="I45" s="24" t="str">
        <x:v>完成同源去重、现实反例和安全门控。</x:v>
      </x:c>
      <x:c r="J45" s="24" t="str">
        <x:v>把该因素写成绝对化解、关系必稳或道德优点。</x:v>
      </x:c>
      <x:c r="K45" s="24" t="str">
        <x:v>由共享基础引擎提供；仅修正保护功能的承载、持续调用和压力状态下的稳定性，不直接等同成熟度、道德或现实行为。</x:v>
      </x:c>
      <x:c r="L45" s="24" t="str">
        <x:v>由M1／M2接口提供；夫妻星、心动原型和关系门槛只说明关系议题，不单独证明保护因素已经被调用或有效。</x:v>
      </x:c>
      <x:c r="M45" s="24" t="str">
        <x:v>由M3-BASE及M4各模块提供；日支、日柱近位可提高与亲密关系核心的相关性，但同一source_id不得重复计分。</x:v>
      </x:c>
      <x:c r="N45" s="24" t="str">
        <x:v>保护因素必须明确限制过用、补足缺位、恢复顺序、打开反馈、落实改变或完成修复回流；不能只凭五行相生补写现实效果。</x:v>
      </x:c>
      <x:c r="O45" s="24" t="str">
        <x:v>近位提高进入亲密关系核心的概率；远位只作背景、阶段或条件性修正。</x:v>
      </x:c>
      <x:c r="P45" s="24" t="str">
        <x:v>根气只修正该保护功能是否容易重复调用，不等于现实中已经形成稳定保护。</x:v>
      </x:c>
      <x:c r="Q45" s="24" t="str">
        <x:v>旺弱只修正调用强度与承载；强不自动有效，弱也不自动无效。</x:v>
      </x:c>
      <x:c r="R45" s="24" t="str">
        <x:v>喜忌只修正摩擦、平衡与承载，不可直接翻译为好坏、成熟度或解决方案。</x:v>
      </x:c>
      <x:c r="S45" s="24" t="str">
        <x:v>原十神功能有效；真合化成立时按化神功能替换，合化争议时停止定性。</x:v>
      </x:c>
      <x:c r="T45" s="24" t="str">
        <x:v>近位提高直接相关性；远位仅保留背景、阶段或低置信修正。</x:v>
      </x:c>
      <x:c r="U45" s="24" t="str">
        <x:v>99</x:v>
      </x:c>
      <x:c r="V45" s="24" t="str">
        <x:v>边界／封顶</x:v>
      </x:c>
      <x:c r="W45" s="24" t="str">
        <x:v>boundary_note</x:v>
      </x:c>
      <x:c r="X45" s="24" t="str">
        <x:v>独立边界支持是针对具体链条的功能，不是万能药。</x:v>
      </x:c>
      <x:c r="Y45" s="24" t="str">
        <x:v>这项资源能减弱特定盲点，但不代表所有关系问题都会自动消失。</x:v>
      </x:c>
      <x:c r="Z45" s="24" t="str">
        <x:v>不得仅凭本规则断定问题已经解决、关系必然稳定、用户一定成熟、某十神天然是“药”、喜用神自动等于解决办法，或淡化暴力、强迫与现实伤害；现实行为、反例、安全事实和专业支持优先。</x:v>
      </x:c>
      <x:c r="AA45" s="24" t="str">
        <x:v>高</x:v>
      </x:c>
      <x:c r="AB45" s="24" t="str">
        <x:v>待验证</x:v>
      </x:c>
      <x:c r="AC45" s="24" t="str"/>
      <x:c r="AD45" s="24" t="str">
        <x:v>provisional=true；保护因素的现实有效性必须由可观察行为、反馈和持续结果验证。</x:v>
      </x:c>
      <x:c r="AE45" s="24" t="str">
        <x:v>0.8</x:v>
      </x:c>
    </x:row>
    <x:row r="46" ht="52" customHeight="1">
      <x:c r="A46" s="24" t="str">
        <x:v>M4-BUFFER-045</x:v>
      </x:c>
      <x:c r="B46" s="24" t="str">
        <x:v>BF04 倾听与内部复核｜因素定义</x:v>
      </x:c>
      <x:c r="C46" s="24" t="str">
        <x:v>L1 BF01—BF08保护因素</x:v>
      </x:c>
      <x:c r="D46" s="24" t="str">
        <x:v>BUFFER-保护因素</x:v>
      </x:c>
      <x:c r="E46" s="24" t="str">
        <x:v>通用</x:v>
      </x:c>
      <x:c r="F46" s="24" t="str">
        <x:v>定义</x:v>
      </x:c>
      <x:c r="G46" s="24" t="str">
        <x:v>BF04 倾听与内部复核</x:v>
      </x:c>
      <x:c r="H46" s="24" t="str">
        <x:v>建立该保护因素的功能边界。</x:v>
      </x:c>
      <x:c r="I46" s="24" t="str">
        <x:v>能够暂停熟悉反应，获取对方实际影响、复述理解，并重新检查自己的判断。</x:v>
      </x:c>
      <x:c r="J46" s="24" t="str">
        <x:v>“理解”只停留在自我推理，未接收对方反馈，或长期承接却没有边界与现实改变。</x:v>
      </x:c>
      <x:c r="K46" s="24" t="str">
        <x:v>由共享基础引擎提供；仅修正保护功能的承载、持续调用和压力状态下的稳定性，不直接等同成熟度、道德或现实行为。</x:v>
      </x:c>
      <x:c r="L46" s="24" t="str">
        <x:v>由M1／M2接口提供；夫妻星、心动原型和关系门槛只说明关系议题，不单独证明保护因素已经被调用或有效。</x:v>
      </x:c>
      <x:c r="M46" s="24" t="str">
        <x:v>由M3-BASE及M4各模块提供；日支、日柱近位可提高与亲密关系核心的相关性，但同一source_id不得重复计分。</x:v>
      </x:c>
      <x:c r="N46" s="24" t="str">
        <x:v>保护因素必须明确限制过用、补足缺位、恢复顺序、打开反馈、落实改变或完成修复回流；不能只凭五行相生补写现实效果。</x:v>
      </x:c>
      <x:c r="O46" s="24" t="str">
        <x:v>近位提高进入亲密关系核心的概率；远位只作背景、阶段或条件性修正。</x:v>
      </x:c>
      <x:c r="P46" s="24" t="str">
        <x:v>根气只修正该保护功能是否容易重复调用，不等于现实中已经形成稳定保护。</x:v>
      </x:c>
      <x:c r="Q46" s="24" t="str">
        <x:v>旺弱只修正调用强度与承载；强不自动有效，弱也不自动无效。</x:v>
      </x:c>
      <x:c r="R46" s="24" t="str">
        <x:v>喜忌只修正摩擦、平衡与承载，不可直接翻译为好坏、成熟度或解决方案。</x:v>
      </x:c>
      <x:c r="S46" s="24" t="str">
        <x:v>原十神功能有效；真合化成立时按化神功能替换，合化争议时停止定性。</x:v>
      </x:c>
      <x:c r="T46" s="24" t="str">
        <x:v>近位提高直接相关性；远位仅保留背景、阶段或低置信修正。</x:v>
      </x:c>
      <x:c r="U46" s="24" t="str">
        <x:v>95</x:v>
      </x:c>
      <x:c r="V46" s="24" t="str">
        <x:v>基础候选+0</x:v>
      </x:c>
      <x:c r="W46" s="24" t="str">
        <x:v>buffer_factor</x:v>
      </x:c>
      <x:c r="X46" s="24" t="str">
        <x:v>倾听与复核为行动、解释和规则增加反馈环节，减少把自己的理解直接当成事实。</x:v>
      </x:c>
      <x:c r="Y46" s="24" t="str">
        <x:v>在继续解释、推进或定规则前，先确认对方实际接收到什么，会明显降低误判和反应加码。</x:v>
      </x:c>
      <x:c r="Z46" s="24" t="str">
        <x:v>不得仅凭本规则断定问题已经解决、关系必然稳定、用户一定成熟、某十神天然是“药”、喜用神自动等于解决办法，或淡化暴力、强迫与现实伤害；现实行为、反例、安全事实和专业支持优先。</x:v>
      </x:c>
      <x:c r="AA46" s="24" t="str">
        <x:v>高</x:v>
      </x:c>
      <x:c r="AB46" s="24" t="str">
        <x:v>待验证</x:v>
      </x:c>
      <x:c r="AC46" s="24" t="str"/>
      <x:c r="AD46" s="24" t="str">
        <x:v>provisional=true；保护因素的现实有效性必须由可观察行为、反馈和持续结果验证。</x:v>
      </x:c>
      <x:c r="AE46" s="24" t="str">
        <x:v>0.8</x:v>
      </x:c>
    </x:row>
    <x:row r="47" ht="52" customHeight="1">
      <x:c r="A47" s="24" t="str">
        <x:v>M4-BUFFER-046</x:v>
      </x:c>
      <x:c r="B47" s="24" t="str">
        <x:v>BF04 倾听与内部复核｜主要靶点</x:v>
      </x:c>
      <x:c r="C47" s="24" t="str">
        <x:v>L1 BF01—BF08保护因素</x:v>
      </x:c>
      <x:c r="D47" s="24" t="str">
        <x:v>BUFFER-保护因素</x:v>
      </x:c>
      <x:c r="E47" s="24" t="str">
        <x:v>通用</x:v>
      </x:c>
      <x:c r="F47" s="24" t="str">
        <x:v>路由</x:v>
      </x:c>
      <x:c r="G47" s="24" t="str">
        <x:v>BF04 倾听与内部复核</x:v>
      </x:c>
      <x:c r="H47" s="24" t="str">
        <x:v>将保护因素路由到具体失衡任务，而不是泛化成万能优点。</x:v>
      </x:c>
      <x:c r="I47" s="24" t="str">
        <x:v>已经存在与限制解释升级、行动替代感受、误读反馈和承接不足相关的K机制、触发、循环或修复卡点。</x:v>
      </x:c>
      <x:c r="J47" s="24" t="str">
        <x:v>没有明确风险靶点，或靶点由同一事实重复生成。</x:v>
      </x:c>
      <x:c r="K47" s="24" t="str">
        <x:v>由共享基础引擎提供；仅修正保护功能的承载、持续调用和压力状态下的稳定性，不直接等同成熟度、道德或现实行为。</x:v>
      </x:c>
      <x:c r="L47" s="24" t="str">
        <x:v>由M1／M2接口提供；夫妻星、心动原型和关系门槛只说明关系议题，不单独证明保护因素已经被调用或有效。</x:v>
      </x:c>
      <x:c r="M47" s="24" t="str">
        <x:v>由M3-BASE及M4各模块提供；日支、日柱近位可提高与亲密关系核心的相关性，但同一source_id不得重复计分。</x:v>
      </x:c>
      <x:c r="N47" s="24" t="str">
        <x:v>保护因素必须明确限制过用、补足缺位、恢复顺序、打开反馈、落实改变或完成修复回流；不能只凭五行相生补写现实效果。</x:v>
      </x:c>
      <x:c r="O47" s="24" t="str">
        <x:v>近位提高进入亲密关系核心的概率；远位只作背景、阶段或条件性修正。</x:v>
      </x:c>
      <x:c r="P47" s="24" t="str">
        <x:v>根气只修正该保护功能是否容易重复调用，不等于现实中已经形成稳定保护。</x:v>
      </x:c>
      <x:c r="Q47" s="24" t="str">
        <x:v>旺弱只修正调用强度与承载；强不自动有效，弱也不自动无效。</x:v>
      </x:c>
      <x:c r="R47" s="24" t="str">
        <x:v>喜忌只修正摩擦、平衡与承载，不可直接翻译为好坏、成熟度或解决方案。</x:v>
      </x:c>
      <x:c r="S47" s="24" t="str">
        <x:v>原十神功能有效；真合化成立时按化神功能替换，合化争议时停止定性。</x:v>
      </x:c>
      <x:c r="T47" s="24" t="str">
        <x:v>近位提高直接相关性；远位仅保留背景、阶段或低置信修正。</x:v>
      </x:c>
      <x:c r="U47" s="24" t="str">
        <x:v>93</x:v>
      </x:c>
      <x:c r="V47" s="24" t="str">
        <x:v>匹配靶点+6</x:v>
      </x:c>
      <x:c r="W47" s="24" t="str">
        <x:v>buffer_target</x:v>
      </x:c>
      <x:c r="X47" s="24" t="str">
        <x:v>倾听与内部复核主要处理：限制解释升级、行动替代感受、误读反馈和承接不足。</x:v>
      </x:c>
      <x:c r="Y47" s="24" t="str">
        <x:v>这项资源最有价值的地方，是在限制解释升级、行动替代感受、误读反馈和承接不足时提供具体调节。</x:v>
      </x:c>
      <x:c r="Z47" s="24" t="str">
        <x:v>不得仅凭本规则断定问题已经解决、关系必然稳定、用户一定成熟、某十神天然是“药”、喜用神自动等于解决办法，或淡化暴力、强迫与现实伤害；现实行为、反例、安全事实和专业支持优先。</x:v>
      </x:c>
      <x:c r="AA47" s="24" t="str">
        <x:v>高</x:v>
      </x:c>
      <x:c r="AB47" s="24" t="str">
        <x:v>待验证</x:v>
      </x:c>
      <x:c r="AC47" s="24" t="str"/>
      <x:c r="AD47" s="24" t="str">
        <x:v>provisional=true；保护因素的现实有效性必须由可观察行为、反馈和持续结果验证。</x:v>
      </x:c>
      <x:c r="AE47" s="24" t="str">
        <x:v>0.8</x:v>
      </x:c>
    </x:row>
    <x:row r="48" ht="52" customHeight="1">
      <x:c r="A48" s="24" t="str">
        <x:v>M4-BUFFER-047</x:v>
      </x:c>
      <x:c r="B48" s="24" t="str">
        <x:v>BF04 倾听与内部复核｜结构成立条件</x:v>
      </x:c>
      <x:c r="C48" s="24" t="str">
        <x:v>L1 BF01—BF08保护因素</x:v>
      </x:c>
      <x:c r="D48" s="24" t="str">
        <x:v>BUFFER-保护因素</x:v>
      </x:c>
      <x:c r="E48" s="24" t="str">
        <x:v>通用</x:v>
      </x:c>
      <x:c r="F48" s="24" t="str">
        <x:v>结构证据</x:v>
      </x:c>
      <x:c r="G48" s="24" t="str">
        <x:v>BF04 倾听与内部复核</x:v>
      </x:c>
      <x:c r="H48" s="24" t="str">
        <x:v>判断命理结构是否具备独立、可调用的保护功能。</x:v>
      </x:c>
      <x:c r="I48" s="24" t="str">
        <x:v>能够暂停熟悉反应，获取对方实际影响、复述理解，并重新检查自己的判断。</x:v>
      </x:c>
      <x:c r="J48" s="24" t="str">
        <x:v>“理解”只停留在自我推理，未接收对方反馈，或长期承接却没有边界与现实改变。</x:v>
      </x:c>
      <x:c r="K48" s="24" t="str">
        <x:v>由共享基础引擎提供；仅修正保护功能的承载、持续调用和压力状态下的稳定性，不直接等同成熟度、道德或现实行为。</x:v>
      </x:c>
      <x:c r="L48" s="24" t="str">
        <x:v>由M1／M2接口提供；夫妻星、心动原型和关系门槛只说明关系议题，不单独证明保护因素已经被调用或有效。</x:v>
      </x:c>
      <x:c r="M48" s="24" t="str">
        <x:v>由M3-BASE及M4各模块提供；日支、日柱近位可提高与亲密关系核心的相关性，但同一source_id不得重复计分。</x:v>
      </x:c>
      <x:c r="N48" s="24" t="str">
        <x:v>保护因素必须明确限制过用、补足缺位、恢复顺序、打开反馈、落实改变或完成修复回流；不能只凭五行相生补写现实效果。</x:v>
      </x:c>
      <x:c r="O48" s="24" t="str">
        <x:v>近位提高进入亲密关系核心的概率；远位只作背景、阶段或条件性修正。</x:v>
      </x:c>
      <x:c r="P48" s="24" t="str">
        <x:v>根气只修正该保护功能是否容易重复调用，不等于现实中已经形成稳定保护。</x:v>
      </x:c>
      <x:c r="Q48" s="24" t="str">
        <x:v>旺弱只修正调用强度与承载；强不自动有效，弱也不自动无效。</x:v>
      </x:c>
      <x:c r="R48" s="24" t="str">
        <x:v>喜忌只修正摩擦、平衡与承载，不可直接翻译为好坏、成熟度或解决方案。</x:v>
      </x:c>
      <x:c r="S48" s="24" t="str">
        <x:v>原十神功能有效；真合化成立时按化神功能替换，合化争议时停止定性。</x:v>
      </x:c>
      <x:c r="T48" s="24" t="str">
        <x:v>近位提高直接相关性；远位仅保留背景、阶段或低置信修正。</x:v>
      </x:c>
      <x:c r="U48" s="24" t="str">
        <x:v>90</x:v>
      </x:c>
      <x:c r="V48" s="24" t="str">
        <x:v>独立结构+8</x:v>
      </x:c>
      <x:c r="W48" s="24" t="str">
        <x:v>buffer_evidence</x:v>
      </x:c>
      <x:c r="X48" s="24" t="str">
        <x:v>结构层面需满足：能够暂停熟悉反应，获取对方实际影响、复述理解，并重新检查自己的判断。</x:v>
      </x:c>
      <x:c r="Y48" s="24" t="str">
        <x:v>从结构上看，你具备这类调节资源，但是否稳定发挥仍需现实验证。</x:v>
      </x:c>
      <x:c r="Z48" s="24" t="str">
        <x:v>不得仅凭本规则断定问题已经解决、关系必然稳定、用户一定成熟、某十神天然是“药”、喜用神自动等于解决办法，或淡化暴力、强迫与现实伤害；现实行为、反例、安全事实和专业支持优先。</x:v>
      </x:c>
      <x:c r="AA48" s="24" t="str">
        <x:v>中高</x:v>
      </x:c>
      <x:c r="AB48" s="24" t="str">
        <x:v>待验证</x:v>
      </x:c>
      <x:c r="AC48" s="24" t="str"/>
      <x:c r="AD48" s="24" t="str">
        <x:v>provisional=true；保护因素的现实有效性必须由可观察行为、反馈和持续结果验证。</x:v>
      </x:c>
      <x:c r="AE48" s="24" t="str">
        <x:v>0.8</x:v>
      </x:c>
    </x:row>
    <x:row r="49" ht="52" customHeight="1">
      <x:c r="A49" s="24" t="str">
        <x:v>M4-BUFFER-048</x:v>
      </x:c>
      <x:c r="B49" s="24" t="str">
        <x:v>BF04 倾听与内部复核｜现实启动证据</x:v>
      </x:c>
      <x:c r="C49" s="24" t="str">
        <x:v>L1 BF01—BF08保护因素</x:v>
      </x:c>
      <x:c r="D49" s="24" t="str">
        <x:v>BUFFER-保护因素</x:v>
      </x:c>
      <x:c r="E49" s="24" t="str">
        <x:v>通用</x:v>
      </x:c>
      <x:c r="F49" s="24" t="str">
        <x:v>现实证据</x:v>
      </x:c>
      <x:c r="G49" s="24" t="str">
        <x:v>BF04 倾听与内部复核</x:v>
      </x:c>
      <x:c r="H49" s="24" t="str">
        <x:v>把潜在资源升级为现实已启动资源。</x:v>
      </x:c>
      <x:c r="I49" s="24" t="str">
        <x:v>至少有一个具体事件显示该功能被调用，并改变了处理顺序、反馈、边界或后续行动。</x:v>
      </x:c>
      <x:c r="J49" s="24" t="str">
        <x:v>只有知识、自述、标签或一次无后续结果的动作。</x:v>
      </x:c>
      <x:c r="K49" s="24" t="str">
        <x:v>由共享基础引擎提供；仅修正保护功能的承载、持续调用和压力状态下的稳定性，不直接等同成熟度、道德或现实行为。</x:v>
      </x:c>
      <x:c r="L49" s="24" t="str">
        <x:v>由M1／M2接口提供；夫妻星、心动原型和关系门槛只说明关系议题，不单独证明保护因素已经被调用或有效。</x:v>
      </x:c>
      <x:c r="M49" s="24" t="str">
        <x:v>由M3-BASE及M4各模块提供；日支、日柱近位可提高与亲密关系核心的相关性，但同一source_id不得重复计分。</x:v>
      </x:c>
      <x:c r="N49" s="24" t="str">
        <x:v>保护因素必须明确限制过用、补足缺位、恢复顺序、打开反馈、落实改变或完成修复回流；不能只凭五行相生补写现实效果。</x:v>
      </x:c>
      <x:c r="O49" s="24" t="str">
        <x:v>近位提高进入亲密关系核心的概率；远位只作背景、阶段或条件性修正。</x:v>
      </x:c>
      <x:c r="P49" s="24" t="str">
        <x:v>根气只修正该保护功能是否容易重复调用，不等于现实中已经形成稳定保护。</x:v>
      </x:c>
      <x:c r="Q49" s="24" t="str">
        <x:v>旺弱只修正调用强度与承载；强不自动有效，弱也不自动无效。</x:v>
      </x:c>
      <x:c r="R49" s="24" t="str">
        <x:v>喜忌只修正摩擦、平衡与承载，不可直接翻译为好坏、成熟度或解决方案。</x:v>
      </x:c>
      <x:c r="S49" s="24" t="str">
        <x:v>原十神功能有效；真合化成立时按化神功能替换，合化争议时停止定性。</x:v>
      </x:c>
      <x:c r="T49" s="24" t="str">
        <x:v>近位提高直接相关性；远位仅保留背景、阶段或低置信修正。</x:v>
      </x:c>
      <x:c r="U49" s="24" t="str">
        <x:v>92</x:v>
      </x:c>
      <x:c r="V49" s="24" t="str">
        <x:v>现实启动+12</x:v>
      </x:c>
      <x:c r="W49" s="24" t="str">
        <x:v>buffer_activation</x:v>
      </x:c>
      <x:c r="X49" s="24" t="str">
        <x:v>只有当倾听与内部复核在事件中真正改变风险链时，才能升级为现实保护。</x:v>
      </x:c>
      <x:c r="Y49" s="24" t="str">
        <x:v>如果你在关键时刻确实用出这项方法，并让后续处理发生变化，它才算真正启动。</x:v>
      </x:c>
      <x:c r="Z49" s="24" t="str">
        <x:v>不得仅凭本规则断定问题已经解决、关系必然稳定、用户一定成熟、某十神天然是“药”、喜用神自动等于解决办法，或淡化暴力、强迫与现实伤害；现实行为、反例、安全事实和专业支持优先。</x:v>
      </x:c>
      <x:c r="AA49" s="24" t="str">
        <x:v>中高</x:v>
      </x:c>
      <x:c r="AB49" s="24" t="str">
        <x:v>待验证</x:v>
      </x:c>
      <x:c r="AC49" s="24" t="str"/>
      <x:c r="AD49" s="24" t="str">
        <x:v>provisional=true；保护因素的现实有效性必须由可观察行为、反馈和持续结果验证。</x:v>
      </x:c>
      <x:c r="AE49" s="24" t="str">
        <x:v>0.8</x:v>
      </x:c>
    </x:row>
    <x:row r="50" ht="52" customHeight="1">
      <x:c r="A50" s="24" t="str">
        <x:v>M4-BUFFER-049</x:v>
      </x:c>
      <x:c r="B50" s="24" t="str">
        <x:v>BF04 倾听与内部复核｜稳定有效证据</x:v>
      </x:c>
      <x:c r="C50" s="24" t="str">
        <x:v>L1 BF01—BF08保护因素</x:v>
      </x:c>
      <x:c r="D50" s="24" t="str">
        <x:v>BUFFER-保护因素</x:v>
      </x:c>
      <x:c r="E50" s="24" t="str">
        <x:v>通用</x:v>
      </x:c>
      <x:c r="F50" s="24" t="str">
        <x:v>效果验证</x:v>
      </x:c>
      <x:c r="G50" s="24" t="str">
        <x:v>BF04 倾听与内部复核</x:v>
      </x:c>
      <x:c r="H50" s="24" t="str">
        <x:v>判断保护是否跨情境稳定，而非单次高光。</x:v>
      </x:c>
      <x:c r="I50" s="24" t="str">
        <x:v>在至少两个相似或不同情境中有效，且包含反例审查与接收方反馈。</x:v>
      </x:c>
      <x:c r="J50" s="24" t="str">
        <x:v>只在一次低代价情境有效，或高压下完全失效。</x:v>
      </x:c>
      <x:c r="K50" s="24" t="str">
        <x:v>由共享基础引擎提供；仅修正保护功能的承载、持续调用和压力状态下的稳定性，不直接等同成熟度、道德或现实行为。</x:v>
      </x:c>
      <x:c r="L50" s="24" t="str">
        <x:v>由M1／M2接口提供；夫妻星、心动原型和关系门槛只说明关系议题，不单独证明保护因素已经被调用或有效。</x:v>
      </x:c>
      <x:c r="M50" s="24" t="str">
        <x:v>由M3-BASE及M4各模块提供；日支、日柱近位可提高与亲密关系核心的相关性，但同一source_id不得重复计分。</x:v>
      </x:c>
      <x:c r="N50" s="24" t="str">
        <x:v>保护因素必须明确限制过用、补足缺位、恢复顺序、打开反馈、落实改变或完成修复回流；不能只凭五行相生补写现实效果。</x:v>
      </x:c>
      <x:c r="O50" s="24" t="str">
        <x:v>近位提高进入亲密关系核心的概率；远位只作背景、阶段或条件性修正。</x:v>
      </x:c>
      <x:c r="P50" s="24" t="str">
        <x:v>根气只修正该保护功能是否容易重复调用，不等于现实中已经形成稳定保护。</x:v>
      </x:c>
      <x:c r="Q50" s="24" t="str">
        <x:v>旺弱只修正调用强度与承载；强不自动有效，弱也不自动无效。</x:v>
      </x:c>
      <x:c r="R50" s="24" t="str">
        <x:v>喜忌只修正摩擦、平衡与承载，不可直接翻译为好坏、成熟度或解决方案。</x:v>
      </x:c>
      <x:c r="S50" s="24" t="str">
        <x:v>原十神功能有效；真合化成立时按化神功能替换，合化争议时停止定性。</x:v>
      </x:c>
      <x:c r="T50" s="24" t="str">
        <x:v>近位提高直接相关性；远位仅保留背景、阶段或低置信修正。</x:v>
      </x:c>
      <x:c r="U50" s="24" t="str">
        <x:v>94</x:v>
      </x:c>
      <x:c r="V50" s="24" t="str">
        <x:v>稳定有效+16</x:v>
      </x:c>
      <x:c r="W50" s="24" t="str">
        <x:v>buffer_level</x:v>
      </x:c>
      <x:c r="X50" s="24" t="str">
        <x:v>倾听与内部复核需要重复有效、跨情境与反例检验，才能成为稳定保护。</x:v>
      </x:c>
      <x:c r="Y50" s="24" t="str">
        <x:v>若这项方法在不同情境里都能帮助你调整，并经得住反例，它的保护作用才更可信。</x:v>
      </x:c>
      <x:c r="Z50" s="24" t="str">
        <x:v>不得仅凭本规则断定问题已经解决、关系必然稳定、用户一定成熟、某十神天然是“药”、喜用神自动等于解决办法，或淡化暴力、强迫与现实伤害；现实行为、反例、安全事实和专业支持优先。</x:v>
      </x:c>
      <x:c r="AA50" s="24" t="str">
        <x:v>中高</x:v>
      </x:c>
      <x:c r="AB50" s="24" t="str">
        <x:v>待验证</x:v>
      </x:c>
      <x:c r="AC50" s="24" t="str"/>
      <x:c r="AD50" s="24" t="str">
        <x:v>provisional=true；保护因素的现实有效性必须由可观察行为、反馈和持续结果验证。</x:v>
      </x:c>
      <x:c r="AE50" s="24" t="str">
        <x:v>0.8</x:v>
      </x:c>
    </x:row>
    <x:row r="51" ht="52" customHeight="1">
      <x:c r="A51" s="24" t="str">
        <x:v>M4-BUFFER-050</x:v>
      </x:c>
      <x:c r="B51" s="24" t="str">
        <x:v>BF04 倾听与内部复核｜失效与伪保护</x:v>
      </x:c>
      <x:c r="C51" s="24" t="str">
        <x:v>L1 BF01—BF08保护因素</x:v>
      </x:c>
      <x:c r="D51" s="24" t="str">
        <x:v>BUFFER-保护因素</x:v>
      </x:c>
      <x:c r="E51" s="24" t="str">
        <x:v>通用</x:v>
      </x:c>
      <x:c r="F51" s="24" t="str">
        <x:v>降级</x:v>
      </x:c>
      <x:c r="G51" s="24" t="str">
        <x:v>BF04 倾听与内部复核</x:v>
      </x:c>
      <x:c r="H51" s="24" t="str">
        <x:v>识别名义保护、过度补偿或功能错配。</x:v>
      </x:c>
      <x:c r="I51" s="24" t="str">
        <x:v>“理解”只停留在自我推理，未接收对方反馈，或长期承接却没有边界与现实改变。</x:v>
      </x:c>
      <x:c r="J51" s="24" t="str">
        <x:v>存在明确现实证据显示该功能真正改变了风险链。</x:v>
      </x:c>
      <x:c r="K51" s="24" t="str">
        <x:v>由共享基础引擎提供；仅修正保护功能的承载、持续调用和压力状态下的稳定性，不直接等同成熟度、道德或现实行为。</x:v>
      </x:c>
      <x:c r="L51" s="24" t="str">
        <x:v>由M1／M2接口提供；夫妻星、心动原型和关系门槛只说明关系议题，不单独证明保护因素已经被调用或有效。</x:v>
      </x:c>
      <x:c r="M51" s="24" t="str">
        <x:v>由M3-BASE及M4各模块提供；日支、日柱近位可提高与亲密关系核心的相关性，但同一source_id不得重复计分。</x:v>
      </x:c>
      <x:c r="N51" s="24" t="str">
        <x:v>保护因素必须明确限制过用、补足缺位、恢复顺序、打开反馈、落实改变或完成修复回流；不能只凭五行相生补写现实效果。</x:v>
      </x:c>
      <x:c r="O51" s="24" t="str">
        <x:v>近位提高进入亲密关系核心的概率；远位只作背景、阶段或条件性修正。</x:v>
      </x:c>
      <x:c r="P51" s="24" t="str">
        <x:v>根气只修正该保护功能是否容易重复调用，不等于现实中已经形成稳定保护。</x:v>
      </x:c>
      <x:c r="Q51" s="24" t="str">
        <x:v>旺弱只修正调用强度与承载；强不自动有效，弱也不自动无效。</x:v>
      </x:c>
      <x:c r="R51" s="24" t="str">
        <x:v>喜忌只修正摩擦、平衡与承载，不可直接翻译为好坏、成熟度或解决方案。</x:v>
      </x:c>
      <x:c r="S51" s="24" t="str">
        <x:v>原十神功能有效；真合化成立时按化神功能替换，合化争议时停止定性。</x:v>
      </x:c>
      <x:c r="T51" s="24" t="str">
        <x:v>近位提高直接相关性；远位仅保留背景、阶段或低置信修正。</x:v>
      </x:c>
      <x:c r="U51" s="24" t="str">
        <x:v>96</x:v>
      </x:c>
      <x:c r="V51" s="24" t="str">
        <x:v>失效-12／降级</x:v>
      </x:c>
      <x:c r="W51" s="24" t="str">
        <x:v>pseudo_buffer</x:v>
      </x:c>
      <x:c r="X51" s="24" t="str">
        <x:v>当“理解”只停留在自我推理，未接收对方反馈，或长期承接却没有边界与现实改变。时，倾听与内部复核只能降为潜在资源或伪保护候选。</x:v>
      </x:c>
      <x:c r="Y51" s="24" t="str">
        <x:v>若这项资源只停留在标签，或反而造成新的僵化，就不能把它当成有效保护。</x:v>
      </x:c>
      <x:c r="Z51" s="24" t="str">
        <x:v>不得仅凭本规则断定问题已经解决、关系必然稳定、用户一定成熟、某十神天然是“药”、喜用神自动等于解决办法，或淡化暴力、强迫与现实伤害；现实行为、反例、安全事实和专业支持优先。</x:v>
      </x:c>
      <x:c r="AA51" s="24" t="str">
        <x:v>中高</x:v>
      </x:c>
      <x:c r="AB51" s="24" t="str">
        <x:v>待验证</x:v>
      </x:c>
      <x:c r="AC51" s="24" t="str"/>
      <x:c r="AD51" s="24" t="str">
        <x:v>provisional=true；保护因素的现实有效性必须由可观察行为、反馈和持续结果验证。</x:v>
      </x:c>
      <x:c r="AE51" s="24" t="str">
        <x:v>0.8</x:v>
      </x:c>
    </x:row>
    <x:row r="52" ht="52" customHeight="1">
      <x:c r="A52" s="24" t="str">
        <x:v>M4-BUFFER-051</x:v>
      </x:c>
      <x:c r="B52" s="24" t="str">
        <x:v>BF04 倾听与内部复核｜用户输出</x:v>
      </x:c>
      <x:c r="C52" s="24" t="str">
        <x:v>L1 BF01—BF08保护因素</x:v>
      </x:c>
      <x:c r="D52" s="24" t="str">
        <x:v>BUFFER-保护因素</x:v>
      </x:c>
      <x:c r="E52" s="24" t="str">
        <x:v>通用</x:v>
      </x:c>
      <x:c r="F52" s="24" t="str">
        <x:v>语言</x:v>
      </x:c>
      <x:c r="G52" s="24" t="str">
        <x:v>BF04 倾听与内部复核</x:v>
      </x:c>
      <x:c r="H52" s="24" t="str">
        <x:v>生成中性、条件化的用户解释。</x:v>
      </x:c>
      <x:c r="I52" s="24" t="str">
        <x:v>能够暂停熟悉反应，获取对方实际影响、复述理解，并重新检查自己的判断。</x:v>
      </x:c>
      <x:c r="J52" s="24" t="str">
        <x:v>“理解”只停留在自我推理，未接收对方反馈，或长期承接却没有边界与现实改变。</x:v>
      </x:c>
      <x:c r="K52" s="24" t="str">
        <x:v>由共享基础引擎提供；仅修正保护功能的承载、持续调用和压力状态下的稳定性，不直接等同成熟度、道德或现实行为。</x:v>
      </x:c>
      <x:c r="L52" s="24" t="str">
        <x:v>由M1／M2接口提供；夫妻星、心动原型和关系门槛只说明关系议题，不单独证明保护因素已经被调用或有效。</x:v>
      </x:c>
      <x:c r="M52" s="24" t="str">
        <x:v>由M3-BASE及M4各模块提供；日支、日柱近位可提高与亲密关系核心的相关性，但同一source_id不得重复计分。</x:v>
      </x:c>
      <x:c r="N52" s="24" t="str">
        <x:v>保护因素必须明确限制过用、补足缺位、恢复顺序、打开反馈、落实改变或完成修复回流；不能只凭五行相生补写现实效果。</x:v>
      </x:c>
      <x:c r="O52" s="24" t="str">
        <x:v>近位提高进入亲密关系核心的概率；远位只作背景、阶段或条件性修正。</x:v>
      </x:c>
      <x:c r="P52" s="24" t="str">
        <x:v>根气只修正该保护功能是否容易重复调用，不等于现实中已经形成稳定保护。</x:v>
      </x:c>
      <x:c r="Q52" s="24" t="str">
        <x:v>旺弱只修正调用强度与承载；强不自动有效，弱也不自动无效。</x:v>
      </x:c>
      <x:c r="R52" s="24" t="str">
        <x:v>喜忌只修正摩擦、平衡与承载，不可直接翻译为好坏、成熟度或解决方案。</x:v>
      </x:c>
      <x:c r="S52" s="24" t="str">
        <x:v>原十神功能有效；真合化成立时按化神功能替换，合化争议时停止定性。</x:v>
      </x:c>
      <x:c r="T52" s="24" t="str">
        <x:v>近位提高直接相关性；远位仅保留背景、阶段或低置信修正。</x:v>
      </x:c>
      <x:c r="U52" s="24" t="str">
        <x:v>88</x:v>
      </x:c>
      <x:c r="V52" s="24" t="str">
        <x:v>不加分；输出</x:v>
      </x:c>
      <x:c r="W52" s="24" t="str">
        <x:v>report_text</x:v>
      </x:c>
      <x:c r="X52" s="24" t="str">
        <x:v>倾听与复核为行动、解释和规则增加反馈环节，减少把自己的理解直接当成事实。</x:v>
      </x:c>
      <x:c r="Y52" s="24" t="str">
        <x:v>在继续解释、推进或定规则前，先确认对方实际接收到什么，会明显降低误判和反应加码。</x:v>
      </x:c>
      <x:c r="Z52" s="24" t="str">
        <x:v>不得仅凭本规则断定问题已经解决、关系必然稳定、用户一定成熟、某十神天然是“药”、喜用神自动等于解决办法，或淡化暴力、强迫与现实伤害；现实行为、反例、安全事实和专业支持优先。</x:v>
      </x:c>
      <x:c r="AA52" s="24" t="str">
        <x:v>中高</x:v>
      </x:c>
      <x:c r="AB52" s="24" t="str">
        <x:v>待验证</x:v>
      </x:c>
      <x:c r="AC52" s="24" t="str"/>
      <x:c r="AD52" s="24" t="str">
        <x:v>provisional=true；保护因素的现实有效性必须由可观察行为、反馈和持续结果验证。</x:v>
      </x:c>
      <x:c r="AE52" s="24" t="str">
        <x:v>0.8</x:v>
      </x:c>
    </x:row>
    <x:row r="53" ht="52" customHeight="1">
      <x:c r="A53" s="24" t="str">
        <x:v>M4-BUFFER-052</x:v>
      </x:c>
      <x:c r="B53" s="24" t="str">
        <x:v>BF04 倾听与内部复核｜使用边界</x:v>
      </x:c>
      <x:c r="C53" s="24" t="str">
        <x:v>L1 BF01—BF08保护因素</x:v>
      </x:c>
      <x:c r="D53" s="24" t="str">
        <x:v>BUFFER-保护因素</x:v>
      </x:c>
      <x:c r="E53" s="24" t="str">
        <x:v>通用</x:v>
      </x:c>
      <x:c r="F53" s="24" t="str">
        <x:v>边界</x:v>
      </x:c>
      <x:c r="G53" s="24" t="str">
        <x:v>BF04 倾听与内部复核</x:v>
      </x:c>
      <x:c r="H53" s="24" t="str">
        <x:v>限制发布强度。</x:v>
      </x:c>
      <x:c r="I53" s="24" t="str">
        <x:v>完成同源去重、现实反例和安全门控。</x:v>
      </x:c>
      <x:c r="J53" s="24" t="str">
        <x:v>把该因素写成绝对化解、关系必稳或道德优点。</x:v>
      </x:c>
      <x:c r="K53" s="24" t="str">
        <x:v>由共享基础引擎提供；仅修正保护功能的承载、持续调用和压力状态下的稳定性，不直接等同成熟度、道德或现实行为。</x:v>
      </x:c>
      <x:c r="L53" s="24" t="str">
        <x:v>由M1／M2接口提供；夫妻星、心动原型和关系门槛只说明关系议题，不单独证明保护因素已经被调用或有效。</x:v>
      </x:c>
      <x:c r="M53" s="24" t="str">
        <x:v>由M3-BASE及M4各模块提供；日支、日柱近位可提高与亲密关系核心的相关性，但同一source_id不得重复计分。</x:v>
      </x:c>
      <x:c r="N53" s="24" t="str">
        <x:v>保护因素必须明确限制过用、补足缺位、恢复顺序、打开反馈、落实改变或完成修复回流；不能只凭五行相生补写现实效果。</x:v>
      </x:c>
      <x:c r="O53" s="24" t="str">
        <x:v>近位提高进入亲密关系核心的概率；远位只作背景、阶段或条件性修正。</x:v>
      </x:c>
      <x:c r="P53" s="24" t="str">
        <x:v>根气只修正该保护功能是否容易重复调用，不等于现实中已经形成稳定保护。</x:v>
      </x:c>
      <x:c r="Q53" s="24" t="str">
        <x:v>旺弱只修正调用强度与承载；强不自动有效，弱也不自动无效。</x:v>
      </x:c>
      <x:c r="R53" s="24" t="str">
        <x:v>喜忌只修正摩擦、平衡与承载，不可直接翻译为好坏、成熟度或解决方案。</x:v>
      </x:c>
      <x:c r="S53" s="24" t="str">
        <x:v>原十神功能有效；真合化成立时按化神功能替换，合化争议时停止定性。</x:v>
      </x:c>
      <x:c r="T53" s="24" t="str">
        <x:v>近位提高直接相关性；远位仅保留背景、阶段或低置信修正。</x:v>
      </x:c>
      <x:c r="U53" s="24" t="str">
        <x:v>99</x:v>
      </x:c>
      <x:c r="V53" s="24" t="str">
        <x:v>边界／封顶</x:v>
      </x:c>
      <x:c r="W53" s="24" t="str">
        <x:v>boundary_note</x:v>
      </x:c>
      <x:c r="X53" s="24" t="str">
        <x:v>倾听与内部复核是针对具体链条的功能，不是万能药。</x:v>
      </x:c>
      <x:c r="Y53" s="24" t="str">
        <x:v>这项资源能减弱特定盲点，但不代表所有关系问题都会自动消失。</x:v>
      </x:c>
      <x:c r="Z53" s="24" t="str">
        <x:v>不得仅凭本规则断定问题已经解决、关系必然稳定、用户一定成熟、某十神天然是“药”、喜用神自动等于解决办法，或淡化暴力、强迫与现实伤害；现实行为、反例、安全事实和专业支持优先。</x:v>
      </x:c>
      <x:c r="AA53" s="24" t="str">
        <x:v>高</x:v>
      </x:c>
      <x:c r="AB53" s="24" t="str">
        <x:v>待验证</x:v>
      </x:c>
      <x:c r="AC53" s="24" t="str"/>
      <x:c r="AD53" s="24" t="str">
        <x:v>provisional=true；保护因素的现实有效性必须由可观察行为、反馈和持续结果验证。</x:v>
      </x:c>
      <x:c r="AE53" s="24" t="str">
        <x:v>0.8</x:v>
      </x:c>
    </x:row>
    <x:row r="54" ht="52" customHeight="1">
      <x:c r="A54" s="24" t="str">
        <x:v>M4-BUFFER-053</x:v>
      </x:c>
      <x:c r="B54" s="24" t="str">
        <x:v>BF05 表达与反馈通道｜因素定义</x:v>
      </x:c>
      <x:c r="C54" s="24" t="str">
        <x:v>L1 BF01—BF08保护因素</x:v>
      </x:c>
      <x:c r="D54" s="24" t="str">
        <x:v>BUFFER-保护因素</x:v>
      </x:c>
      <x:c r="E54" s="24" t="str">
        <x:v>通用</x:v>
      </x:c>
      <x:c r="F54" s="24" t="str">
        <x:v>定义</x:v>
      </x:c>
      <x:c r="G54" s="24" t="str">
        <x:v>BF05 表达与反馈通道</x:v>
      </x:c>
      <x:c r="H54" s="24" t="str">
        <x:v>建立该保护因素的功能边界。</x:v>
      </x:c>
      <x:c r="I54" s="24" t="str">
        <x:v>需求、事实、边界和反馈能够被清楚说出，并有对方回应与二次确认。</x:v>
      </x:c>
      <x:c r="J54" s="24" t="str">
        <x:v>只有单向表达、长篇解释或即时情绪输出，没有核对理解和接收反馈。</x:v>
      </x:c>
      <x:c r="K54" s="24" t="str">
        <x:v>由共享基础引擎提供；仅修正保护功能的承载、持续调用和压力状态下的稳定性，不直接等同成熟度、道德或现实行为。</x:v>
      </x:c>
      <x:c r="L54" s="24" t="str">
        <x:v>由M1／M2接口提供；夫妻星、心动原型和关系门槛只说明关系议题，不单独证明保护因素已经被调用或有效。</x:v>
      </x:c>
      <x:c r="M54" s="24" t="str">
        <x:v>由M3-BASE及M4各模块提供；日支、日柱近位可提高与亲密关系核心的相关性，但同一source_id不得重复计分。</x:v>
      </x:c>
      <x:c r="N54" s="24" t="str">
        <x:v>保护因素必须明确限制过用、补足缺位、恢复顺序、打开反馈、落实改变或完成修复回流；不能只凭五行相生补写现实效果。</x:v>
      </x:c>
      <x:c r="O54" s="24" t="str">
        <x:v>近位提高进入亲密关系核心的概率；远位只作背景、阶段或条件性修正。</x:v>
      </x:c>
      <x:c r="P54" s="24" t="str">
        <x:v>根气只修正该保护功能是否容易重复调用，不等于现实中已经形成稳定保护。</x:v>
      </x:c>
      <x:c r="Q54" s="24" t="str">
        <x:v>旺弱只修正调用强度与承载；强不自动有效，弱也不自动无效。</x:v>
      </x:c>
      <x:c r="R54" s="24" t="str">
        <x:v>喜忌只修正摩擦、平衡与承载，不可直接翻译为好坏、成熟度或解决方案。</x:v>
      </x:c>
      <x:c r="S54" s="24" t="str">
        <x:v>原十神功能有效；真合化成立时按化神功能替换，合化争议时停止定性。</x:v>
      </x:c>
      <x:c r="T54" s="24" t="str">
        <x:v>近位提高直接相关性；远位仅保留背景、阶段或低置信修正。</x:v>
      </x:c>
      <x:c r="U54" s="24" t="str">
        <x:v>95</x:v>
      </x:c>
      <x:c r="V54" s="24" t="str">
        <x:v>基础候选+0</x:v>
      </x:c>
      <x:c r="W54" s="24" t="str">
        <x:v>buffer_factor</x:v>
      </x:c>
      <x:c r="X54" s="24" t="str">
        <x:v>有效表达不是增加字数，而是让关键信息进入共同决策并形成反馈闭环。</x:v>
      </x:c>
      <x:c r="Y54" s="24" t="str">
        <x:v>真正有保护作用的沟通，不只是把话说出来，而是双方能确认彼此听到了什么、接下来怎样调整。</x:v>
      </x:c>
      <x:c r="Z54" s="24" t="str">
        <x:v>不得仅凭本规则断定问题已经解决、关系必然稳定、用户一定成熟、某十神天然是“药”、喜用神自动等于解决办法，或淡化暴力、强迫与现实伤害；现实行为、反例、安全事实和专业支持优先。</x:v>
      </x:c>
      <x:c r="AA54" s="24" t="str">
        <x:v>高</x:v>
      </x:c>
      <x:c r="AB54" s="24" t="str">
        <x:v>待验证</x:v>
      </x:c>
      <x:c r="AC54" s="24" t="str"/>
      <x:c r="AD54" s="24" t="str">
        <x:v>provisional=true；保护因素的现实有效性必须由可观察行为、反馈和持续结果验证。</x:v>
      </x:c>
      <x:c r="AE54" s="24" t="str">
        <x:v>0.8</x:v>
      </x:c>
    </x:row>
    <x:row r="55" ht="52" customHeight="1">
      <x:c r="A55" s="24" t="str">
        <x:v>M4-BUFFER-054</x:v>
      </x:c>
      <x:c r="B55" s="24" t="str">
        <x:v>BF05 表达与反馈通道｜主要靶点</x:v>
      </x:c>
      <x:c r="C55" s="24" t="str">
        <x:v>L1 BF01—BF08保护因素</x:v>
      </x:c>
      <x:c r="D55" s="24" t="str">
        <x:v>BUFFER-保护因素</x:v>
      </x:c>
      <x:c r="E55" s="24" t="str">
        <x:v>通用</x:v>
      </x:c>
      <x:c r="F55" s="24" t="str">
        <x:v>路由</x:v>
      </x:c>
      <x:c r="G55" s="24" t="str">
        <x:v>BF05 表达与反馈通道</x:v>
      </x:c>
      <x:c r="H55" s="24" t="str">
        <x:v>将保护因素路由到具体失衡任务，而不是泛化成万能优点。</x:v>
      </x:c>
      <x:c r="I55" s="24" t="str">
        <x:v>已经存在与补足需求、边界、影响和理解核对，纠正沉默、替代和顺序错位相关的K机制、触发、循环或修复卡点。</x:v>
      </x:c>
      <x:c r="J55" s="24" t="str">
        <x:v>没有明确风险靶点，或靶点由同一事实重复生成。</x:v>
      </x:c>
      <x:c r="K55" s="24" t="str">
        <x:v>由共享基础引擎提供；仅修正保护功能的承载、持续调用和压力状态下的稳定性，不直接等同成熟度、道德或现实行为。</x:v>
      </x:c>
      <x:c r="L55" s="24" t="str">
        <x:v>由M1／M2接口提供；夫妻星、心动原型和关系门槛只说明关系议题，不单独证明保护因素已经被调用或有效。</x:v>
      </x:c>
      <x:c r="M55" s="24" t="str">
        <x:v>由M3-BASE及M4各模块提供；日支、日柱近位可提高与亲密关系核心的相关性，但同一source_id不得重复计分。</x:v>
      </x:c>
      <x:c r="N55" s="24" t="str">
        <x:v>保护因素必须明确限制过用、补足缺位、恢复顺序、打开反馈、落实改变或完成修复回流；不能只凭五行相生补写现实效果。</x:v>
      </x:c>
      <x:c r="O55" s="24" t="str">
        <x:v>近位提高进入亲密关系核心的概率；远位只作背景、阶段或条件性修正。</x:v>
      </x:c>
      <x:c r="P55" s="24" t="str">
        <x:v>根气只修正该保护功能是否容易重复调用，不等于现实中已经形成稳定保护。</x:v>
      </x:c>
      <x:c r="Q55" s="24" t="str">
        <x:v>旺弱只修正调用强度与承载；强不自动有效，弱也不自动无效。</x:v>
      </x:c>
      <x:c r="R55" s="24" t="str">
        <x:v>喜忌只修正摩擦、平衡与承载，不可直接翻译为好坏、成熟度或解决方案。</x:v>
      </x:c>
      <x:c r="S55" s="24" t="str">
        <x:v>原十神功能有效；真合化成立时按化神功能替换，合化争议时停止定性。</x:v>
      </x:c>
      <x:c r="T55" s="24" t="str">
        <x:v>近位提高直接相关性；远位仅保留背景、阶段或低置信修正。</x:v>
      </x:c>
      <x:c r="U55" s="24" t="str">
        <x:v>93</x:v>
      </x:c>
      <x:c r="V55" s="24" t="str">
        <x:v>匹配靶点+6</x:v>
      </x:c>
      <x:c r="W55" s="24" t="str">
        <x:v>buffer_target</x:v>
      </x:c>
      <x:c r="X55" s="24" t="str">
        <x:v>表达与反馈通道主要处理：补足需求、边界、影响和理解核对，纠正沉默、替代和顺序错位。</x:v>
      </x:c>
      <x:c r="Y55" s="24" t="str">
        <x:v>这项资源最有价值的地方，是在补足需求、边界、影响和理解核对，纠正沉默、替代和顺序错位时提供具体调节。</x:v>
      </x:c>
      <x:c r="Z55" s="24" t="str">
        <x:v>不得仅凭本规则断定问题已经解决、关系必然稳定、用户一定成熟、某十神天然是“药”、喜用神自动等于解决办法，或淡化暴力、强迫与现实伤害；现实行为、反例、安全事实和专业支持优先。</x:v>
      </x:c>
      <x:c r="AA55" s="24" t="str">
        <x:v>高</x:v>
      </x:c>
      <x:c r="AB55" s="24" t="str">
        <x:v>待验证</x:v>
      </x:c>
      <x:c r="AC55" s="24" t="str"/>
      <x:c r="AD55" s="24" t="str">
        <x:v>provisional=true；保护因素的现实有效性必须由可观察行为、反馈和持续结果验证。</x:v>
      </x:c>
      <x:c r="AE55" s="24" t="str">
        <x:v>0.8</x:v>
      </x:c>
    </x:row>
    <x:row r="56" ht="52" customHeight="1">
      <x:c r="A56" s="24" t="str">
        <x:v>M4-BUFFER-055</x:v>
      </x:c>
      <x:c r="B56" s="24" t="str">
        <x:v>BF05 表达与反馈通道｜结构成立条件</x:v>
      </x:c>
      <x:c r="C56" s="24" t="str">
        <x:v>L1 BF01—BF08保护因素</x:v>
      </x:c>
      <x:c r="D56" s="24" t="str">
        <x:v>BUFFER-保护因素</x:v>
      </x:c>
      <x:c r="E56" s="24" t="str">
        <x:v>通用</x:v>
      </x:c>
      <x:c r="F56" s="24" t="str">
        <x:v>结构证据</x:v>
      </x:c>
      <x:c r="G56" s="24" t="str">
        <x:v>BF05 表达与反馈通道</x:v>
      </x:c>
      <x:c r="H56" s="24" t="str">
        <x:v>判断命理结构是否具备独立、可调用的保护功能。</x:v>
      </x:c>
      <x:c r="I56" s="24" t="str">
        <x:v>需求、事实、边界和反馈能够被清楚说出，并有对方回应与二次确认。</x:v>
      </x:c>
      <x:c r="J56" s="24" t="str">
        <x:v>只有单向表达、长篇解释或即时情绪输出，没有核对理解和接收反馈。</x:v>
      </x:c>
      <x:c r="K56" s="24" t="str">
        <x:v>由共享基础引擎提供；仅修正保护功能的承载、持续调用和压力状态下的稳定性，不直接等同成熟度、道德或现实行为。</x:v>
      </x:c>
      <x:c r="L56" s="24" t="str">
        <x:v>由M1／M2接口提供；夫妻星、心动原型和关系门槛只说明关系议题，不单独证明保护因素已经被调用或有效。</x:v>
      </x:c>
      <x:c r="M56" s="24" t="str">
        <x:v>由M3-BASE及M4各模块提供；日支、日柱近位可提高与亲密关系核心的相关性，但同一source_id不得重复计分。</x:v>
      </x:c>
      <x:c r="N56" s="24" t="str">
        <x:v>保护因素必须明确限制过用、补足缺位、恢复顺序、打开反馈、落实改变或完成修复回流；不能只凭五行相生补写现实效果。</x:v>
      </x:c>
      <x:c r="O56" s="24" t="str">
        <x:v>近位提高进入亲密关系核心的概率；远位只作背景、阶段或条件性修正。</x:v>
      </x:c>
      <x:c r="P56" s="24" t="str">
        <x:v>根气只修正该保护功能是否容易重复调用，不等于现实中已经形成稳定保护。</x:v>
      </x:c>
      <x:c r="Q56" s="24" t="str">
        <x:v>旺弱只修正调用强度与承载；强不自动有效，弱也不自动无效。</x:v>
      </x:c>
      <x:c r="R56" s="24" t="str">
        <x:v>喜忌只修正摩擦、平衡与承载，不可直接翻译为好坏、成熟度或解决方案。</x:v>
      </x:c>
      <x:c r="S56" s="24" t="str">
        <x:v>原十神功能有效；真合化成立时按化神功能替换，合化争议时停止定性。</x:v>
      </x:c>
      <x:c r="T56" s="24" t="str">
        <x:v>近位提高直接相关性；远位仅保留背景、阶段或低置信修正。</x:v>
      </x:c>
      <x:c r="U56" s="24" t="str">
        <x:v>90</x:v>
      </x:c>
      <x:c r="V56" s="24" t="str">
        <x:v>独立结构+8</x:v>
      </x:c>
      <x:c r="W56" s="24" t="str">
        <x:v>buffer_evidence</x:v>
      </x:c>
      <x:c r="X56" s="24" t="str">
        <x:v>结构层面需满足：需求、事实、边界和反馈能够被清楚说出，并有对方回应与二次确认。</x:v>
      </x:c>
      <x:c r="Y56" s="24" t="str">
        <x:v>从结构上看，你具备这类调节资源，但是否稳定发挥仍需现实验证。</x:v>
      </x:c>
      <x:c r="Z56" s="24" t="str">
        <x:v>不得仅凭本规则断定问题已经解决、关系必然稳定、用户一定成熟、某十神天然是“药”、喜用神自动等于解决办法，或淡化暴力、强迫与现实伤害；现实行为、反例、安全事实和专业支持优先。</x:v>
      </x:c>
      <x:c r="AA56" s="24" t="str">
        <x:v>中高</x:v>
      </x:c>
      <x:c r="AB56" s="24" t="str">
        <x:v>待验证</x:v>
      </x:c>
      <x:c r="AC56" s="24" t="str"/>
      <x:c r="AD56" s="24" t="str">
        <x:v>provisional=true；保护因素的现实有效性必须由可观察行为、反馈和持续结果验证。</x:v>
      </x:c>
      <x:c r="AE56" s="24" t="str">
        <x:v>0.8</x:v>
      </x:c>
    </x:row>
    <x:row r="57" ht="52" customHeight="1">
      <x:c r="A57" s="24" t="str">
        <x:v>M4-BUFFER-056</x:v>
      </x:c>
      <x:c r="B57" s="24" t="str">
        <x:v>BF05 表达与反馈通道｜现实启动证据</x:v>
      </x:c>
      <x:c r="C57" s="24" t="str">
        <x:v>L1 BF01—BF08保护因素</x:v>
      </x:c>
      <x:c r="D57" s="24" t="str">
        <x:v>BUFFER-保护因素</x:v>
      </x:c>
      <x:c r="E57" s="24" t="str">
        <x:v>通用</x:v>
      </x:c>
      <x:c r="F57" s="24" t="str">
        <x:v>现实证据</x:v>
      </x:c>
      <x:c r="G57" s="24" t="str">
        <x:v>BF05 表达与反馈通道</x:v>
      </x:c>
      <x:c r="H57" s="24" t="str">
        <x:v>把潜在资源升级为现实已启动资源。</x:v>
      </x:c>
      <x:c r="I57" s="24" t="str">
        <x:v>至少有一个具体事件显示该功能被调用，并改变了处理顺序、反馈、边界或后续行动。</x:v>
      </x:c>
      <x:c r="J57" s="24" t="str">
        <x:v>只有知识、自述、标签或一次无后续结果的动作。</x:v>
      </x:c>
      <x:c r="K57" s="24" t="str">
        <x:v>由共享基础引擎提供；仅修正保护功能的承载、持续调用和压力状态下的稳定性，不直接等同成熟度、道德或现实行为。</x:v>
      </x:c>
      <x:c r="L57" s="24" t="str">
        <x:v>由M1／M2接口提供；夫妻星、心动原型和关系门槛只说明关系议题，不单独证明保护因素已经被调用或有效。</x:v>
      </x:c>
      <x:c r="M57" s="24" t="str">
        <x:v>由M3-BASE及M4各模块提供；日支、日柱近位可提高与亲密关系核心的相关性，但同一source_id不得重复计分。</x:v>
      </x:c>
      <x:c r="N57" s="24" t="str">
        <x:v>保护因素必须明确限制过用、补足缺位、恢复顺序、打开反馈、落实改变或完成修复回流；不能只凭五行相生补写现实效果。</x:v>
      </x:c>
      <x:c r="O57" s="24" t="str">
        <x:v>近位提高进入亲密关系核心的概率；远位只作背景、阶段或条件性修正。</x:v>
      </x:c>
      <x:c r="P57" s="24" t="str">
        <x:v>根气只修正该保护功能是否容易重复调用，不等于现实中已经形成稳定保护。</x:v>
      </x:c>
      <x:c r="Q57" s="24" t="str">
        <x:v>旺弱只修正调用强度与承载；强不自动有效，弱也不自动无效。</x:v>
      </x:c>
      <x:c r="R57" s="24" t="str">
        <x:v>喜忌只修正摩擦、平衡与承载，不可直接翻译为好坏、成熟度或解决方案。</x:v>
      </x:c>
      <x:c r="S57" s="24" t="str">
        <x:v>原十神功能有效；真合化成立时按化神功能替换，合化争议时停止定性。</x:v>
      </x:c>
      <x:c r="T57" s="24" t="str">
        <x:v>近位提高直接相关性；远位仅保留背景、阶段或低置信修正。</x:v>
      </x:c>
      <x:c r="U57" s="24" t="str">
        <x:v>92</x:v>
      </x:c>
      <x:c r="V57" s="24" t="str">
        <x:v>现实启动+12</x:v>
      </x:c>
      <x:c r="W57" s="24" t="str">
        <x:v>buffer_activation</x:v>
      </x:c>
      <x:c r="X57" s="24" t="str">
        <x:v>只有当表达与反馈通道在事件中真正改变风险链时，才能升级为现实保护。</x:v>
      </x:c>
      <x:c r="Y57" s="24" t="str">
        <x:v>如果你在关键时刻确实用出这项方法，并让后续处理发生变化，它才算真正启动。</x:v>
      </x:c>
      <x:c r="Z57" s="24" t="str">
        <x:v>不得仅凭本规则断定问题已经解决、关系必然稳定、用户一定成熟、某十神天然是“药”、喜用神自动等于解决办法，或淡化暴力、强迫与现实伤害；现实行为、反例、安全事实和专业支持优先。</x:v>
      </x:c>
      <x:c r="AA57" s="24" t="str">
        <x:v>中高</x:v>
      </x:c>
      <x:c r="AB57" s="24" t="str">
        <x:v>待验证</x:v>
      </x:c>
      <x:c r="AC57" s="24" t="str"/>
      <x:c r="AD57" s="24" t="str">
        <x:v>provisional=true；保护因素的现实有效性必须由可观察行为、反馈和持续结果验证。</x:v>
      </x:c>
      <x:c r="AE57" s="24" t="str">
        <x:v>0.8</x:v>
      </x:c>
    </x:row>
    <x:row r="58" ht="52" customHeight="1">
      <x:c r="A58" s="24" t="str">
        <x:v>M4-BUFFER-057</x:v>
      </x:c>
      <x:c r="B58" s="24" t="str">
        <x:v>BF05 表达与反馈通道｜稳定有效证据</x:v>
      </x:c>
      <x:c r="C58" s="24" t="str">
        <x:v>L1 BF01—BF08保护因素</x:v>
      </x:c>
      <x:c r="D58" s="24" t="str">
        <x:v>BUFFER-保护因素</x:v>
      </x:c>
      <x:c r="E58" s="24" t="str">
        <x:v>通用</x:v>
      </x:c>
      <x:c r="F58" s="24" t="str">
        <x:v>效果验证</x:v>
      </x:c>
      <x:c r="G58" s="24" t="str">
        <x:v>BF05 表达与反馈通道</x:v>
      </x:c>
      <x:c r="H58" s="24" t="str">
        <x:v>判断保护是否跨情境稳定，而非单次高光。</x:v>
      </x:c>
      <x:c r="I58" s="24" t="str">
        <x:v>在至少两个相似或不同情境中有效，且包含反例审查与接收方反馈。</x:v>
      </x:c>
      <x:c r="J58" s="24" t="str">
        <x:v>只在一次低代价情境有效，或高压下完全失效。</x:v>
      </x:c>
      <x:c r="K58" s="24" t="str">
        <x:v>由共享基础引擎提供；仅修正保护功能的承载、持续调用和压力状态下的稳定性，不直接等同成熟度、道德或现实行为。</x:v>
      </x:c>
      <x:c r="L58" s="24" t="str">
        <x:v>由M1／M2接口提供；夫妻星、心动原型和关系门槛只说明关系议题，不单独证明保护因素已经被调用或有效。</x:v>
      </x:c>
      <x:c r="M58" s="24" t="str">
        <x:v>由M3-BASE及M4各模块提供；日支、日柱近位可提高与亲密关系核心的相关性，但同一source_id不得重复计分。</x:v>
      </x:c>
      <x:c r="N58" s="24" t="str">
        <x:v>保护因素必须明确限制过用、补足缺位、恢复顺序、打开反馈、落实改变或完成修复回流；不能只凭五行相生补写现实效果。</x:v>
      </x:c>
      <x:c r="O58" s="24" t="str">
        <x:v>近位提高进入亲密关系核心的概率；远位只作背景、阶段或条件性修正。</x:v>
      </x:c>
      <x:c r="P58" s="24" t="str">
        <x:v>根气只修正该保护功能是否容易重复调用，不等于现实中已经形成稳定保护。</x:v>
      </x:c>
      <x:c r="Q58" s="24" t="str">
        <x:v>旺弱只修正调用强度与承载；强不自动有效，弱也不自动无效。</x:v>
      </x:c>
      <x:c r="R58" s="24" t="str">
        <x:v>喜忌只修正摩擦、平衡与承载，不可直接翻译为好坏、成熟度或解决方案。</x:v>
      </x:c>
      <x:c r="S58" s="24" t="str">
        <x:v>原十神功能有效；真合化成立时按化神功能替换，合化争议时停止定性。</x:v>
      </x:c>
      <x:c r="T58" s="24" t="str">
        <x:v>近位提高直接相关性；远位仅保留背景、阶段或低置信修正。</x:v>
      </x:c>
      <x:c r="U58" s="24" t="str">
        <x:v>94</x:v>
      </x:c>
      <x:c r="V58" s="24" t="str">
        <x:v>稳定有效+16</x:v>
      </x:c>
      <x:c r="W58" s="24" t="str">
        <x:v>buffer_level</x:v>
      </x:c>
      <x:c r="X58" s="24" t="str">
        <x:v>表达与反馈通道需要重复有效、跨情境与反例检验，才能成为稳定保护。</x:v>
      </x:c>
      <x:c r="Y58" s="24" t="str">
        <x:v>若这项方法在不同情境里都能帮助你调整，并经得住反例，它的保护作用才更可信。</x:v>
      </x:c>
      <x:c r="Z58" s="24" t="str">
        <x:v>不得仅凭本规则断定问题已经解决、关系必然稳定、用户一定成熟、某十神天然是“药”、喜用神自动等于解决办法，或淡化暴力、强迫与现实伤害；现实行为、反例、安全事实和专业支持优先。</x:v>
      </x:c>
      <x:c r="AA58" s="24" t="str">
        <x:v>中高</x:v>
      </x:c>
      <x:c r="AB58" s="24" t="str">
        <x:v>待验证</x:v>
      </x:c>
      <x:c r="AC58" s="24" t="str"/>
      <x:c r="AD58" s="24" t="str">
        <x:v>provisional=true；保护因素的现实有效性必须由可观察行为、反馈和持续结果验证。</x:v>
      </x:c>
      <x:c r="AE58" s="24" t="str">
        <x:v>0.8</x:v>
      </x:c>
    </x:row>
    <x:row r="59" ht="52" customHeight="1">
      <x:c r="A59" s="24" t="str">
        <x:v>M4-BUFFER-058</x:v>
      </x:c>
      <x:c r="B59" s="24" t="str">
        <x:v>BF05 表达与反馈通道｜失效与伪保护</x:v>
      </x:c>
      <x:c r="C59" s="24" t="str">
        <x:v>L1 BF01—BF08保护因素</x:v>
      </x:c>
      <x:c r="D59" s="24" t="str">
        <x:v>BUFFER-保护因素</x:v>
      </x:c>
      <x:c r="E59" s="24" t="str">
        <x:v>通用</x:v>
      </x:c>
      <x:c r="F59" s="24" t="str">
        <x:v>降级</x:v>
      </x:c>
      <x:c r="G59" s="24" t="str">
        <x:v>BF05 表达与反馈通道</x:v>
      </x:c>
      <x:c r="H59" s="24" t="str">
        <x:v>识别名义保护、过度补偿或功能错配。</x:v>
      </x:c>
      <x:c r="I59" s="24" t="str">
        <x:v>只有单向表达、长篇解释或即时情绪输出，没有核对理解和接收反馈。</x:v>
      </x:c>
      <x:c r="J59" s="24" t="str">
        <x:v>存在明确现实证据显示该功能真正改变了风险链。</x:v>
      </x:c>
      <x:c r="K59" s="24" t="str">
        <x:v>由共享基础引擎提供；仅修正保护功能的承载、持续调用和压力状态下的稳定性，不直接等同成熟度、道德或现实行为。</x:v>
      </x:c>
      <x:c r="L59" s="24" t="str">
        <x:v>由M1／M2接口提供；夫妻星、心动原型和关系门槛只说明关系议题，不单独证明保护因素已经被调用或有效。</x:v>
      </x:c>
      <x:c r="M59" s="24" t="str">
        <x:v>由M3-BASE及M4各模块提供；日支、日柱近位可提高与亲密关系核心的相关性，但同一source_id不得重复计分。</x:v>
      </x:c>
      <x:c r="N59" s="24" t="str">
        <x:v>保护因素必须明确限制过用、补足缺位、恢复顺序、打开反馈、落实改变或完成修复回流；不能只凭五行相生补写现实效果。</x:v>
      </x:c>
      <x:c r="O59" s="24" t="str">
        <x:v>近位提高进入亲密关系核心的概率；远位只作背景、阶段或条件性修正。</x:v>
      </x:c>
      <x:c r="P59" s="24" t="str">
        <x:v>根气只修正该保护功能是否容易重复调用，不等于现实中已经形成稳定保护。</x:v>
      </x:c>
      <x:c r="Q59" s="24" t="str">
        <x:v>旺弱只修正调用强度与承载；强不自动有效，弱也不自动无效。</x:v>
      </x:c>
      <x:c r="R59" s="24" t="str">
        <x:v>喜忌只修正摩擦、平衡与承载，不可直接翻译为好坏、成熟度或解决方案。</x:v>
      </x:c>
      <x:c r="S59" s="24" t="str">
        <x:v>原十神功能有效；真合化成立时按化神功能替换，合化争议时停止定性。</x:v>
      </x:c>
      <x:c r="T59" s="24" t="str">
        <x:v>近位提高直接相关性；远位仅保留背景、阶段或低置信修正。</x:v>
      </x:c>
      <x:c r="U59" s="24" t="str">
        <x:v>96</x:v>
      </x:c>
      <x:c r="V59" s="24" t="str">
        <x:v>失效-12／降级</x:v>
      </x:c>
      <x:c r="W59" s="24" t="str">
        <x:v>pseudo_buffer</x:v>
      </x:c>
      <x:c r="X59" s="24" t="str">
        <x:v>当只有单向表达、长篇解释或即时情绪输出，没有核对理解和接收反馈。时，表达与反馈通道只能降为潜在资源或伪保护候选。</x:v>
      </x:c>
      <x:c r="Y59" s="24" t="str">
        <x:v>若这项资源只停留在标签，或反而造成新的僵化，就不能把它当成有效保护。</x:v>
      </x:c>
      <x:c r="Z59" s="24" t="str">
        <x:v>不得仅凭本规则断定问题已经解决、关系必然稳定、用户一定成熟、某十神天然是“药”、喜用神自动等于解决办法，或淡化暴力、强迫与现实伤害；现实行为、反例、安全事实和专业支持优先。</x:v>
      </x:c>
      <x:c r="AA59" s="24" t="str">
        <x:v>中高</x:v>
      </x:c>
      <x:c r="AB59" s="24" t="str">
        <x:v>待验证</x:v>
      </x:c>
      <x:c r="AC59" s="24" t="str"/>
      <x:c r="AD59" s="24" t="str">
        <x:v>provisional=true；保护因素的现实有效性必须由可观察行为、反馈和持续结果验证。</x:v>
      </x:c>
      <x:c r="AE59" s="24" t="str">
        <x:v>0.8</x:v>
      </x:c>
    </x:row>
    <x:row r="60" ht="52" customHeight="1">
      <x:c r="A60" s="24" t="str">
        <x:v>M4-BUFFER-059</x:v>
      </x:c>
      <x:c r="B60" s="24" t="str">
        <x:v>BF05 表达与反馈通道｜用户输出</x:v>
      </x:c>
      <x:c r="C60" s="24" t="str">
        <x:v>L1 BF01—BF08保护因素</x:v>
      </x:c>
      <x:c r="D60" s="24" t="str">
        <x:v>BUFFER-保护因素</x:v>
      </x:c>
      <x:c r="E60" s="24" t="str">
        <x:v>通用</x:v>
      </x:c>
      <x:c r="F60" s="24" t="str">
        <x:v>语言</x:v>
      </x:c>
      <x:c r="G60" s="24" t="str">
        <x:v>BF05 表达与反馈通道</x:v>
      </x:c>
      <x:c r="H60" s="24" t="str">
        <x:v>生成中性、条件化的用户解释。</x:v>
      </x:c>
      <x:c r="I60" s="24" t="str">
        <x:v>需求、事实、边界和反馈能够被清楚说出，并有对方回应与二次确认。</x:v>
      </x:c>
      <x:c r="J60" s="24" t="str">
        <x:v>只有单向表达、长篇解释或即时情绪输出，没有核对理解和接收反馈。</x:v>
      </x:c>
      <x:c r="K60" s="24" t="str">
        <x:v>由共享基础引擎提供；仅修正保护功能的承载、持续调用和压力状态下的稳定性，不直接等同成熟度、道德或现实行为。</x:v>
      </x:c>
      <x:c r="L60" s="24" t="str">
        <x:v>由M1／M2接口提供；夫妻星、心动原型和关系门槛只说明关系议题，不单独证明保护因素已经被调用或有效。</x:v>
      </x:c>
      <x:c r="M60" s="24" t="str">
        <x:v>由M3-BASE及M4各模块提供；日支、日柱近位可提高与亲密关系核心的相关性，但同一source_id不得重复计分。</x:v>
      </x:c>
      <x:c r="N60" s="24" t="str">
        <x:v>保护因素必须明确限制过用、补足缺位、恢复顺序、打开反馈、落实改变或完成修复回流；不能只凭五行相生补写现实效果。</x:v>
      </x:c>
      <x:c r="O60" s="24" t="str">
        <x:v>近位提高进入亲密关系核心的概率；远位只作背景、阶段或条件性修正。</x:v>
      </x:c>
      <x:c r="P60" s="24" t="str">
        <x:v>根气只修正该保护功能是否容易重复调用，不等于现实中已经形成稳定保护。</x:v>
      </x:c>
      <x:c r="Q60" s="24" t="str">
        <x:v>旺弱只修正调用强度与承载；强不自动有效，弱也不自动无效。</x:v>
      </x:c>
      <x:c r="R60" s="24" t="str">
        <x:v>喜忌只修正摩擦、平衡与承载，不可直接翻译为好坏、成熟度或解决方案。</x:v>
      </x:c>
      <x:c r="S60" s="24" t="str">
        <x:v>原十神功能有效；真合化成立时按化神功能替换，合化争议时停止定性。</x:v>
      </x:c>
      <x:c r="T60" s="24" t="str">
        <x:v>近位提高直接相关性；远位仅保留背景、阶段或低置信修正。</x:v>
      </x:c>
      <x:c r="U60" s="24" t="str">
        <x:v>88</x:v>
      </x:c>
      <x:c r="V60" s="24" t="str">
        <x:v>不加分；输出</x:v>
      </x:c>
      <x:c r="W60" s="24" t="str">
        <x:v>report_text</x:v>
      </x:c>
      <x:c r="X60" s="24" t="str">
        <x:v>有效表达不是增加字数，而是让关键信息进入共同决策并形成反馈闭环。</x:v>
      </x:c>
      <x:c r="Y60" s="24" t="str">
        <x:v>真正有保护作用的沟通，不只是把话说出来，而是双方能确认彼此听到了什么、接下来怎样调整。</x:v>
      </x:c>
      <x:c r="Z60" s="24" t="str">
        <x:v>不得仅凭本规则断定问题已经解决、关系必然稳定、用户一定成熟、某十神天然是“药”、喜用神自动等于解决办法，或淡化暴力、强迫与现实伤害；现实行为、反例、安全事实和专业支持优先。</x:v>
      </x:c>
      <x:c r="AA60" s="24" t="str">
        <x:v>中高</x:v>
      </x:c>
      <x:c r="AB60" s="24" t="str">
        <x:v>待验证</x:v>
      </x:c>
      <x:c r="AC60" s="24" t="str"/>
      <x:c r="AD60" s="24" t="str">
        <x:v>provisional=true；保护因素的现实有效性必须由可观察行为、反馈和持续结果验证。</x:v>
      </x:c>
      <x:c r="AE60" s="24" t="str">
        <x:v>0.8</x:v>
      </x:c>
    </x:row>
    <x:row r="61" ht="52" customHeight="1">
      <x:c r="A61" s="24" t="str">
        <x:v>M4-BUFFER-060</x:v>
      </x:c>
      <x:c r="B61" s="24" t="str">
        <x:v>BF05 表达与反馈通道｜使用边界</x:v>
      </x:c>
      <x:c r="C61" s="24" t="str">
        <x:v>L1 BF01—BF08保护因素</x:v>
      </x:c>
      <x:c r="D61" s="24" t="str">
        <x:v>BUFFER-保护因素</x:v>
      </x:c>
      <x:c r="E61" s="24" t="str">
        <x:v>通用</x:v>
      </x:c>
      <x:c r="F61" s="24" t="str">
        <x:v>边界</x:v>
      </x:c>
      <x:c r="G61" s="24" t="str">
        <x:v>BF05 表达与反馈通道</x:v>
      </x:c>
      <x:c r="H61" s="24" t="str">
        <x:v>限制发布强度。</x:v>
      </x:c>
      <x:c r="I61" s="24" t="str">
        <x:v>完成同源去重、现实反例和安全门控。</x:v>
      </x:c>
      <x:c r="J61" s="24" t="str">
        <x:v>把该因素写成绝对化解、关系必稳或道德优点。</x:v>
      </x:c>
      <x:c r="K61" s="24" t="str">
        <x:v>由共享基础引擎提供；仅修正保护功能的承载、持续调用和压力状态下的稳定性，不直接等同成熟度、道德或现实行为。</x:v>
      </x:c>
      <x:c r="L61" s="24" t="str">
        <x:v>由M1／M2接口提供；夫妻星、心动原型和关系门槛只说明关系议题，不单独证明保护因素已经被调用或有效。</x:v>
      </x:c>
      <x:c r="M61" s="24" t="str">
        <x:v>由M3-BASE及M4各模块提供；日支、日柱近位可提高与亲密关系核心的相关性，但同一source_id不得重复计分。</x:v>
      </x:c>
      <x:c r="N61" s="24" t="str">
        <x:v>保护因素必须明确限制过用、补足缺位、恢复顺序、打开反馈、落实改变或完成修复回流；不能只凭五行相生补写现实效果。</x:v>
      </x:c>
      <x:c r="O61" s="24" t="str">
        <x:v>近位提高进入亲密关系核心的概率；远位只作背景、阶段或条件性修正。</x:v>
      </x:c>
      <x:c r="P61" s="24" t="str">
        <x:v>根气只修正该保护功能是否容易重复调用，不等于现实中已经形成稳定保护。</x:v>
      </x:c>
      <x:c r="Q61" s="24" t="str">
        <x:v>旺弱只修正调用强度与承载；强不自动有效，弱也不自动无效。</x:v>
      </x:c>
      <x:c r="R61" s="24" t="str">
        <x:v>喜忌只修正摩擦、平衡与承载，不可直接翻译为好坏、成熟度或解决方案。</x:v>
      </x:c>
      <x:c r="S61" s="24" t="str">
        <x:v>原十神功能有效；真合化成立时按化神功能替换，合化争议时停止定性。</x:v>
      </x:c>
      <x:c r="T61" s="24" t="str">
        <x:v>近位提高直接相关性；远位仅保留背景、阶段或低置信修正。</x:v>
      </x:c>
      <x:c r="U61" s="24" t="str">
        <x:v>99</x:v>
      </x:c>
      <x:c r="V61" s="24" t="str">
        <x:v>边界／封顶</x:v>
      </x:c>
      <x:c r="W61" s="24" t="str">
        <x:v>boundary_note</x:v>
      </x:c>
      <x:c r="X61" s="24" t="str">
        <x:v>表达与反馈通道是针对具体链条的功能，不是万能药。</x:v>
      </x:c>
      <x:c r="Y61" s="24" t="str">
        <x:v>这项资源能减弱特定盲点，但不代表所有关系问题都会自动消失。</x:v>
      </x:c>
      <x:c r="Z61" s="24" t="str">
        <x:v>不得仅凭本规则断定问题已经解决、关系必然稳定、用户一定成熟、某十神天然是“药”、喜用神自动等于解决办法，或淡化暴力、强迫与现实伤害；现实行为、反例、安全事实和专业支持优先。</x:v>
      </x:c>
      <x:c r="AA61" s="24" t="str">
        <x:v>高</x:v>
      </x:c>
      <x:c r="AB61" s="24" t="str">
        <x:v>待验证</x:v>
      </x:c>
      <x:c r="AC61" s="24" t="str"/>
      <x:c r="AD61" s="24" t="str">
        <x:v>provisional=true；保护因素的现实有效性必须由可观察行为、反馈和持续结果验证。</x:v>
      </x:c>
      <x:c r="AE61" s="24" t="str">
        <x:v>0.8</x:v>
      </x:c>
    </x:row>
    <x:row r="62" ht="52" customHeight="1">
      <x:c r="A62" s="24" t="str">
        <x:v>M4-BUFFER-061</x:v>
      </x:c>
      <x:c r="B62" s="24" t="str">
        <x:v>BF06 现实兑现与重复行为｜因素定义</x:v>
      </x:c>
      <x:c r="C62" s="24" t="str">
        <x:v>L1 BF01—BF08保护因素</x:v>
      </x:c>
      <x:c r="D62" s="24" t="str">
        <x:v>BUFFER-保护因素</x:v>
      </x:c>
      <x:c r="E62" s="24" t="str">
        <x:v>通用</x:v>
      </x:c>
      <x:c r="F62" s="24" t="str">
        <x:v>定义</x:v>
      </x:c>
      <x:c r="G62" s="24" t="str">
        <x:v>BF06 现实兑现与重复行为</x:v>
      </x:c>
      <x:c r="H62" s="24" t="str">
        <x:v>建立该保护因素的功能边界。</x:v>
      </x:c>
      <x:c r="I62" s="24" t="str">
        <x:v>承诺、边界、补救或新方案被转成可观察行为，并在相似情境中重复。</x:v>
      </x:c>
      <x:c r="J62" s="24" t="str">
        <x:v>只有表态、一次行动、礼物、补偿或短期改善，没有持续和跨情境证据。</x:v>
      </x:c>
      <x:c r="K62" s="24" t="str">
        <x:v>由共享基础引擎提供；仅修正保护功能的承载、持续调用和压力状态下的稳定性，不直接等同成熟度、道德或现实行为。</x:v>
      </x:c>
      <x:c r="L62" s="24" t="str">
        <x:v>由M1／M2接口提供；夫妻星、心动原型和关系门槛只说明关系议题，不单独证明保护因素已经被调用或有效。</x:v>
      </x:c>
      <x:c r="M62" s="24" t="str">
        <x:v>由M3-BASE及M4各模块提供；日支、日柱近位可提高与亲密关系核心的相关性，但同一source_id不得重复计分。</x:v>
      </x:c>
      <x:c r="N62" s="24" t="str">
        <x:v>保护因素必须明确限制过用、补足缺位、恢复顺序、打开反馈、落实改变或完成修复回流；不能只凭五行相生补写现实效果。</x:v>
      </x:c>
      <x:c r="O62" s="24" t="str">
        <x:v>近位提高进入亲密关系核心的概率；远位只作背景、阶段或条件性修正。</x:v>
      </x:c>
      <x:c r="P62" s="24" t="str">
        <x:v>根气只修正该保护功能是否容易重复调用，不等于现实中已经形成稳定保护。</x:v>
      </x:c>
      <x:c r="Q62" s="24" t="str">
        <x:v>旺弱只修正调用强度与承载；强不自动有效，弱也不自动无效。</x:v>
      </x:c>
      <x:c r="R62" s="24" t="str">
        <x:v>喜忌只修正摩擦、平衡与承载，不可直接翻译为好坏、成熟度或解决方案。</x:v>
      </x:c>
      <x:c r="S62" s="24" t="str">
        <x:v>原十神功能有效；真合化成立时按化神功能替换，合化争议时停止定性。</x:v>
      </x:c>
      <x:c r="T62" s="24" t="str">
        <x:v>近位提高直接相关性；远位仅保留背景、阶段或低置信修正。</x:v>
      </x:c>
      <x:c r="U62" s="24" t="str">
        <x:v>95</x:v>
      </x:c>
      <x:c r="V62" s="24" t="str">
        <x:v>基础候选+0</x:v>
      </x:c>
      <x:c r="W62" s="24" t="str">
        <x:v>buffer_factor</x:v>
      </x:c>
      <x:c r="X62" s="24" t="str">
        <x:v>现实兑现把抽象意愿变成可验证证据，是检验误读、修复和保护是否成立的核心。</x:v>
      </x:c>
      <x:c r="Y62" s="24" t="str">
        <x:v>能否持续做到，比一次说得好或做得多更能说明这项改变是否真的在保护关系。</x:v>
      </x:c>
      <x:c r="Z62" s="24" t="str">
        <x:v>不得仅凭本规则断定问题已经解决、关系必然稳定、用户一定成熟、某十神天然是“药”、喜用神自动等于解决办法，或淡化暴力、强迫与现实伤害；现实行为、反例、安全事实和专业支持优先。</x:v>
      </x:c>
      <x:c r="AA62" s="24" t="str">
        <x:v>高</x:v>
      </x:c>
      <x:c r="AB62" s="24" t="str">
        <x:v>待验证</x:v>
      </x:c>
      <x:c r="AC62" s="24" t="str"/>
      <x:c r="AD62" s="24" t="str">
        <x:v>provisional=true；保护因素的现实有效性必须由可观察行为、反馈和持续结果验证。</x:v>
      </x:c>
      <x:c r="AE62" s="24" t="str">
        <x:v>0.8</x:v>
      </x:c>
    </x:row>
    <x:row r="63" ht="52" customHeight="1">
      <x:c r="A63" s="24" t="str">
        <x:v>M4-BUFFER-062</x:v>
      </x:c>
      <x:c r="B63" s="24" t="str">
        <x:v>BF06 现实兑现与重复行为｜主要靶点</x:v>
      </x:c>
      <x:c r="C63" s="24" t="str">
        <x:v>L1 BF01—BF08保护因素</x:v>
      </x:c>
      <x:c r="D63" s="24" t="str">
        <x:v>BUFFER-保护因素</x:v>
      </x:c>
      <x:c r="E63" s="24" t="str">
        <x:v>通用</x:v>
      </x:c>
      <x:c r="F63" s="24" t="str">
        <x:v>路由</x:v>
      </x:c>
      <x:c r="G63" s="24" t="str">
        <x:v>BF06 现实兑现与重复行为</x:v>
      </x:c>
      <x:c r="H63" s="24" t="str">
        <x:v>将保护因素路由到具体失衡任务，而不是泛化成万能优点。</x:v>
      </x:c>
      <x:c r="I63" s="24" t="str">
        <x:v>已经存在与纠正标签替代、单次高光、投入替代承诺和修复行动不持续相关的K机制、触发、循环或修复卡点。</x:v>
      </x:c>
      <x:c r="J63" s="24" t="str">
        <x:v>没有明确风险靶点，或靶点由同一事实重复生成。</x:v>
      </x:c>
      <x:c r="K63" s="24" t="str">
        <x:v>由共享基础引擎提供；仅修正保护功能的承载、持续调用和压力状态下的稳定性，不直接等同成熟度、道德或现实行为。</x:v>
      </x:c>
      <x:c r="L63" s="24" t="str">
        <x:v>由M1／M2接口提供；夫妻星、心动原型和关系门槛只说明关系议题，不单独证明保护因素已经被调用或有效。</x:v>
      </x:c>
      <x:c r="M63" s="24" t="str">
        <x:v>由M3-BASE及M4各模块提供；日支、日柱近位可提高与亲密关系核心的相关性，但同一source_id不得重复计分。</x:v>
      </x:c>
      <x:c r="N63" s="24" t="str">
        <x:v>保护因素必须明确限制过用、补足缺位、恢复顺序、打开反馈、落实改变或完成修复回流；不能只凭五行相生补写现实效果。</x:v>
      </x:c>
      <x:c r="O63" s="24" t="str">
        <x:v>近位提高进入亲密关系核心的概率；远位只作背景、阶段或条件性修正。</x:v>
      </x:c>
      <x:c r="P63" s="24" t="str">
        <x:v>根气只修正该保护功能是否容易重复调用，不等于现实中已经形成稳定保护。</x:v>
      </x:c>
      <x:c r="Q63" s="24" t="str">
        <x:v>旺弱只修正调用强度与承载；强不自动有效，弱也不自动无效。</x:v>
      </x:c>
      <x:c r="R63" s="24" t="str">
        <x:v>喜忌只修正摩擦、平衡与承载，不可直接翻译为好坏、成熟度或解决方案。</x:v>
      </x:c>
      <x:c r="S63" s="24" t="str">
        <x:v>原十神功能有效；真合化成立时按化神功能替换，合化争议时停止定性。</x:v>
      </x:c>
      <x:c r="T63" s="24" t="str">
        <x:v>近位提高直接相关性；远位仅保留背景、阶段或低置信修正。</x:v>
      </x:c>
      <x:c r="U63" s="24" t="str">
        <x:v>93</x:v>
      </x:c>
      <x:c r="V63" s="24" t="str">
        <x:v>匹配靶点+6</x:v>
      </x:c>
      <x:c r="W63" s="24" t="str">
        <x:v>buffer_target</x:v>
      </x:c>
      <x:c r="X63" s="24" t="str">
        <x:v>现实兑现与重复行为主要处理：纠正标签替代、单次高光、投入替代承诺和修复行动不持续。</x:v>
      </x:c>
      <x:c r="Y63" s="24" t="str">
        <x:v>这项资源最有价值的地方，是在纠正标签替代、单次高光、投入替代承诺和修复行动不持续时提供具体调节。</x:v>
      </x:c>
      <x:c r="Z63" s="24" t="str">
        <x:v>不得仅凭本规则断定问题已经解决、关系必然稳定、用户一定成熟、某十神天然是“药”、喜用神自动等于解决办法，或淡化暴力、强迫与现实伤害；现实行为、反例、安全事实和专业支持优先。</x:v>
      </x:c>
      <x:c r="AA63" s="24" t="str">
        <x:v>高</x:v>
      </x:c>
      <x:c r="AB63" s="24" t="str">
        <x:v>待验证</x:v>
      </x:c>
      <x:c r="AC63" s="24" t="str"/>
      <x:c r="AD63" s="24" t="str">
        <x:v>provisional=true；保护因素的现实有效性必须由可观察行为、反馈和持续结果验证。</x:v>
      </x:c>
      <x:c r="AE63" s="24" t="str">
        <x:v>0.8</x:v>
      </x:c>
    </x:row>
    <x:row r="64" ht="52" customHeight="1">
      <x:c r="A64" s="24" t="str">
        <x:v>M4-BUFFER-063</x:v>
      </x:c>
      <x:c r="B64" s="24" t="str">
        <x:v>BF06 现实兑现与重复行为｜结构成立条件</x:v>
      </x:c>
      <x:c r="C64" s="24" t="str">
        <x:v>L1 BF01—BF08保护因素</x:v>
      </x:c>
      <x:c r="D64" s="24" t="str">
        <x:v>BUFFER-保护因素</x:v>
      </x:c>
      <x:c r="E64" s="24" t="str">
        <x:v>通用</x:v>
      </x:c>
      <x:c r="F64" s="24" t="str">
        <x:v>结构证据</x:v>
      </x:c>
      <x:c r="G64" s="24" t="str">
        <x:v>BF06 现实兑现与重复行为</x:v>
      </x:c>
      <x:c r="H64" s="24" t="str">
        <x:v>判断命理结构是否具备独立、可调用的保护功能。</x:v>
      </x:c>
      <x:c r="I64" s="24" t="str">
        <x:v>承诺、边界、补救或新方案被转成可观察行为，并在相似情境中重复。</x:v>
      </x:c>
      <x:c r="J64" s="24" t="str">
        <x:v>只有表态、一次行动、礼物、补偿或短期改善，没有持续和跨情境证据。</x:v>
      </x:c>
      <x:c r="K64" s="24" t="str">
        <x:v>由共享基础引擎提供；仅修正保护功能的承载、持续调用和压力状态下的稳定性，不直接等同成熟度、道德或现实行为。</x:v>
      </x:c>
      <x:c r="L64" s="24" t="str">
        <x:v>由M1／M2接口提供；夫妻星、心动原型和关系门槛只说明关系议题，不单独证明保护因素已经被调用或有效。</x:v>
      </x:c>
      <x:c r="M64" s="24" t="str">
        <x:v>由M3-BASE及M4各模块提供；日支、日柱近位可提高与亲密关系核心的相关性，但同一source_id不得重复计分。</x:v>
      </x:c>
      <x:c r="N64" s="24" t="str">
        <x:v>保护因素必须明确限制过用、补足缺位、恢复顺序、打开反馈、落实改变或完成修复回流；不能只凭五行相生补写现实效果。</x:v>
      </x:c>
      <x:c r="O64" s="24" t="str">
        <x:v>近位提高进入亲密关系核心的概率；远位只作背景、阶段或条件性修正。</x:v>
      </x:c>
      <x:c r="P64" s="24" t="str">
        <x:v>根气只修正该保护功能是否容易重复调用，不等于现实中已经形成稳定保护。</x:v>
      </x:c>
      <x:c r="Q64" s="24" t="str">
        <x:v>旺弱只修正调用强度与承载；强不自动有效，弱也不自动无效。</x:v>
      </x:c>
      <x:c r="R64" s="24" t="str">
        <x:v>喜忌只修正摩擦、平衡与承载，不可直接翻译为好坏、成熟度或解决方案。</x:v>
      </x:c>
      <x:c r="S64" s="24" t="str">
        <x:v>原十神功能有效；真合化成立时按化神功能替换，合化争议时停止定性。</x:v>
      </x:c>
      <x:c r="T64" s="24" t="str">
        <x:v>近位提高直接相关性；远位仅保留背景、阶段或低置信修正。</x:v>
      </x:c>
      <x:c r="U64" s="24" t="str">
        <x:v>90</x:v>
      </x:c>
      <x:c r="V64" s="24" t="str">
        <x:v>独立结构+8</x:v>
      </x:c>
      <x:c r="W64" s="24" t="str">
        <x:v>buffer_evidence</x:v>
      </x:c>
      <x:c r="X64" s="24" t="str">
        <x:v>结构层面需满足：承诺、边界、补救或新方案被转成可观察行为，并在相似情境中重复。</x:v>
      </x:c>
      <x:c r="Y64" s="24" t="str">
        <x:v>从结构上看，你具备这类调节资源，但是否稳定发挥仍需现实验证。</x:v>
      </x:c>
      <x:c r="Z64" s="24" t="str">
        <x:v>不得仅凭本规则断定问题已经解决、关系必然稳定、用户一定成熟、某十神天然是“药”、喜用神自动等于解决办法，或淡化暴力、强迫与现实伤害；现实行为、反例、安全事实和专业支持优先。</x:v>
      </x:c>
      <x:c r="AA64" s="24" t="str">
        <x:v>中高</x:v>
      </x:c>
      <x:c r="AB64" s="24" t="str">
        <x:v>待验证</x:v>
      </x:c>
      <x:c r="AC64" s="24" t="str"/>
      <x:c r="AD64" s="24" t="str">
        <x:v>provisional=true；保护因素的现实有效性必须由可观察行为、反馈和持续结果验证。</x:v>
      </x:c>
      <x:c r="AE64" s="24" t="str">
        <x:v>0.8</x:v>
      </x:c>
    </x:row>
    <x:row r="65" ht="52" customHeight="1">
      <x:c r="A65" s="24" t="str">
        <x:v>M4-BUFFER-064</x:v>
      </x:c>
      <x:c r="B65" s="24" t="str">
        <x:v>BF06 现实兑现与重复行为｜现实启动证据</x:v>
      </x:c>
      <x:c r="C65" s="24" t="str">
        <x:v>L1 BF01—BF08保护因素</x:v>
      </x:c>
      <x:c r="D65" s="24" t="str">
        <x:v>BUFFER-保护因素</x:v>
      </x:c>
      <x:c r="E65" s="24" t="str">
        <x:v>通用</x:v>
      </x:c>
      <x:c r="F65" s="24" t="str">
        <x:v>现实证据</x:v>
      </x:c>
      <x:c r="G65" s="24" t="str">
        <x:v>BF06 现实兑现与重复行为</x:v>
      </x:c>
      <x:c r="H65" s="24" t="str">
        <x:v>把潜在资源升级为现实已启动资源。</x:v>
      </x:c>
      <x:c r="I65" s="24" t="str">
        <x:v>至少有一个具体事件显示该功能被调用，并改变了处理顺序、反馈、边界或后续行动。</x:v>
      </x:c>
      <x:c r="J65" s="24" t="str">
        <x:v>只有知识、自述、标签或一次无后续结果的动作。</x:v>
      </x:c>
      <x:c r="K65" s="24" t="str">
        <x:v>由共享基础引擎提供；仅修正保护功能的承载、持续调用和压力状态下的稳定性，不直接等同成熟度、道德或现实行为。</x:v>
      </x:c>
      <x:c r="L65" s="24" t="str">
        <x:v>由M1／M2接口提供；夫妻星、心动原型和关系门槛只说明关系议题，不单独证明保护因素已经被调用或有效。</x:v>
      </x:c>
      <x:c r="M65" s="24" t="str">
        <x:v>由M3-BASE及M4各模块提供；日支、日柱近位可提高与亲密关系核心的相关性，但同一source_id不得重复计分。</x:v>
      </x:c>
      <x:c r="N65" s="24" t="str">
        <x:v>保护因素必须明确限制过用、补足缺位、恢复顺序、打开反馈、落实改变或完成修复回流；不能只凭五行相生补写现实效果。</x:v>
      </x:c>
      <x:c r="O65" s="24" t="str">
        <x:v>近位提高进入亲密关系核心的概率；远位只作背景、阶段或条件性修正。</x:v>
      </x:c>
      <x:c r="P65" s="24" t="str">
        <x:v>根气只修正该保护功能是否容易重复调用，不等于现实中已经形成稳定保护。</x:v>
      </x:c>
      <x:c r="Q65" s="24" t="str">
        <x:v>旺弱只修正调用强度与承载；强不自动有效，弱也不自动无效。</x:v>
      </x:c>
      <x:c r="R65" s="24" t="str">
        <x:v>喜忌只修正摩擦、平衡与承载，不可直接翻译为好坏、成熟度或解决方案。</x:v>
      </x:c>
      <x:c r="S65" s="24" t="str">
        <x:v>原十神功能有效；真合化成立时按化神功能替换，合化争议时停止定性。</x:v>
      </x:c>
      <x:c r="T65" s="24" t="str">
        <x:v>近位提高直接相关性；远位仅保留背景、阶段或低置信修正。</x:v>
      </x:c>
      <x:c r="U65" s="24" t="str">
        <x:v>92</x:v>
      </x:c>
      <x:c r="V65" s="24" t="str">
        <x:v>现实启动+12</x:v>
      </x:c>
      <x:c r="W65" s="24" t="str">
        <x:v>buffer_activation</x:v>
      </x:c>
      <x:c r="X65" s="24" t="str">
        <x:v>只有当现实兑现与重复行为在事件中真正改变风险链时，才能升级为现实保护。</x:v>
      </x:c>
      <x:c r="Y65" s="24" t="str">
        <x:v>如果你在关键时刻确实用出这项方法，并让后续处理发生变化，它才算真正启动。</x:v>
      </x:c>
      <x:c r="Z65" s="24" t="str">
        <x:v>不得仅凭本规则断定问题已经解决、关系必然稳定、用户一定成熟、某十神天然是“药”、喜用神自动等于解决办法，或淡化暴力、强迫与现实伤害；现实行为、反例、安全事实和专业支持优先。</x:v>
      </x:c>
      <x:c r="AA65" s="24" t="str">
        <x:v>中高</x:v>
      </x:c>
      <x:c r="AB65" s="24" t="str">
        <x:v>待验证</x:v>
      </x:c>
      <x:c r="AC65" s="24" t="str"/>
      <x:c r="AD65" s="24" t="str">
        <x:v>provisional=true；保护因素的现实有效性必须由可观察行为、反馈和持续结果验证。</x:v>
      </x:c>
      <x:c r="AE65" s="24" t="str">
        <x:v>0.8</x:v>
      </x:c>
    </x:row>
    <x:row r="66" ht="52" customHeight="1">
      <x:c r="A66" s="24" t="str">
        <x:v>M4-BUFFER-065</x:v>
      </x:c>
      <x:c r="B66" s="24" t="str">
        <x:v>BF06 现实兑现与重复行为｜稳定有效证据</x:v>
      </x:c>
      <x:c r="C66" s="24" t="str">
        <x:v>L1 BF01—BF08保护因素</x:v>
      </x:c>
      <x:c r="D66" s="24" t="str">
        <x:v>BUFFER-保护因素</x:v>
      </x:c>
      <x:c r="E66" s="24" t="str">
        <x:v>通用</x:v>
      </x:c>
      <x:c r="F66" s="24" t="str">
        <x:v>效果验证</x:v>
      </x:c>
      <x:c r="G66" s="24" t="str">
        <x:v>BF06 现实兑现与重复行为</x:v>
      </x:c>
      <x:c r="H66" s="24" t="str">
        <x:v>判断保护是否跨情境稳定，而非单次高光。</x:v>
      </x:c>
      <x:c r="I66" s="24" t="str">
        <x:v>在至少两个相似或不同情境中有效，且包含反例审查与接收方反馈。</x:v>
      </x:c>
      <x:c r="J66" s="24" t="str">
        <x:v>只在一次低代价情境有效，或高压下完全失效。</x:v>
      </x:c>
      <x:c r="K66" s="24" t="str">
        <x:v>由共享基础引擎提供；仅修正保护功能的承载、持续调用和压力状态下的稳定性，不直接等同成熟度、道德或现实行为。</x:v>
      </x:c>
      <x:c r="L66" s="24" t="str">
        <x:v>由M1／M2接口提供；夫妻星、心动原型和关系门槛只说明关系议题，不单独证明保护因素已经被调用或有效。</x:v>
      </x:c>
      <x:c r="M66" s="24" t="str">
        <x:v>由M3-BASE及M4各模块提供；日支、日柱近位可提高与亲密关系核心的相关性，但同一source_id不得重复计分。</x:v>
      </x:c>
      <x:c r="N66" s="24" t="str">
        <x:v>保护因素必须明确限制过用、补足缺位、恢复顺序、打开反馈、落实改变或完成修复回流；不能只凭五行相生补写现实效果。</x:v>
      </x:c>
      <x:c r="O66" s="24" t="str">
        <x:v>近位提高进入亲密关系核心的概率；远位只作背景、阶段或条件性修正。</x:v>
      </x:c>
      <x:c r="P66" s="24" t="str">
        <x:v>根气只修正该保护功能是否容易重复调用，不等于现实中已经形成稳定保护。</x:v>
      </x:c>
      <x:c r="Q66" s="24" t="str">
        <x:v>旺弱只修正调用强度与承载；强不自动有效，弱也不自动无效。</x:v>
      </x:c>
      <x:c r="R66" s="24" t="str">
        <x:v>喜忌只修正摩擦、平衡与承载，不可直接翻译为好坏、成熟度或解决方案。</x:v>
      </x:c>
      <x:c r="S66" s="24" t="str">
        <x:v>原十神功能有效；真合化成立时按化神功能替换，合化争议时停止定性。</x:v>
      </x:c>
      <x:c r="T66" s="24" t="str">
        <x:v>近位提高直接相关性；远位仅保留背景、阶段或低置信修正。</x:v>
      </x:c>
      <x:c r="U66" s="24" t="str">
        <x:v>94</x:v>
      </x:c>
      <x:c r="V66" s="24" t="str">
        <x:v>稳定有效+16</x:v>
      </x:c>
      <x:c r="W66" s="24" t="str">
        <x:v>buffer_level</x:v>
      </x:c>
      <x:c r="X66" s="24" t="str">
        <x:v>现实兑现与重复行为需要重复有效、跨情境与反例检验，才能成为稳定保护。</x:v>
      </x:c>
      <x:c r="Y66" s="24" t="str">
        <x:v>若这项方法在不同情境里都能帮助你调整，并经得住反例，它的保护作用才更可信。</x:v>
      </x:c>
      <x:c r="Z66" s="24" t="str">
        <x:v>不得仅凭本规则断定问题已经解决、关系必然稳定、用户一定成熟、某十神天然是“药”、喜用神自动等于解决办法，或淡化暴力、强迫与现实伤害；现实行为、反例、安全事实和专业支持优先。</x:v>
      </x:c>
      <x:c r="AA66" s="24" t="str">
        <x:v>中高</x:v>
      </x:c>
      <x:c r="AB66" s="24" t="str">
        <x:v>待验证</x:v>
      </x:c>
      <x:c r="AC66" s="24" t="str"/>
      <x:c r="AD66" s="24" t="str">
        <x:v>provisional=true；保护因素的现实有效性必须由可观察行为、反馈和持续结果验证。</x:v>
      </x:c>
      <x:c r="AE66" s="24" t="str">
        <x:v>0.8</x:v>
      </x:c>
    </x:row>
    <x:row r="67" ht="52" customHeight="1">
      <x:c r="A67" s="24" t="str">
        <x:v>M4-BUFFER-066</x:v>
      </x:c>
      <x:c r="B67" s="24" t="str">
        <x:v>BF06 现实兑现与重复行为｜失效与伪保护</x:v>
      </x:c>
      <x:c r="C67" s="24" t="str">
        <x:v>L1 BF01—BF08保护因素</x:v>
      </x:c>
      <x:c r="D67" s="24" t="str">
        <x:v>BUFFER-保护因素</x:v>
      </x:c>
      <x:c r="E67" s="24" t="str">
        <x:v>通用</x:v>
      </x:c>
      <x:c r="F67" s="24" t="str">
        <x:v>降级</x:v>
      </x:c>
      <x:c r="G67" s="24" t="str">
        <x:v>BF06 现实兑现与重复行为</x:v>
      </x:c>
      <x:c r="H67" s="24" t="str">
        <x:v>识别名义保护、过度补偿或功能错配。</x:v>
      </x:c>
      <x:c r="I67" s="24" t="str">
        <x:v>只有表态、一次行动、礼物、补偿或短期改善，没有持续和跨情境证据。</x:v>
      </x:c>
      <x:c r="J67" s="24" t="str">
        <x:v>存在明确现实证据显示该功能真正改变了风险链。</x:v>
      </x:c>
      <x:c r="K67" s="24" t="str">
        <x:v>由共享基础引擎提供；仅修正保护功能的承载、持续调用和压力状态下的稳定性，不直接等同成熟度、道德或现实行为。</x:v>
      </x:c>
      <x:c r="L67" s="24" t="str">
        <x:v>由M1／M2接口提供；夫妻星、心动原型和关系门槛只说明关系议题，不单独证明保护因素已经被调用或有效。</x:v>
      </x:c>
      <x:c r="M67" s="24" t="str">
        <x:v>由M3-BASE及M4各模块提供；日支、日柱近位可提高与亲密关系核心的相关性，但同一source_id不得重复计分。</x:v>
      </x:c>
      <x:c r="N67" s="24" t="str">
        <x:v>保护因素必须明确限制过用、补足缺位、恢复顺序、打开反馈、落实改变或完成修复回流；不能只凭五行相生补写现实效果。</x:v>
      </x:c>
      <x:c r="O67" s="24" t="str">
        <x:v>近位提高进入亲密关系核心的概率；远位只作背景、阶段或条件性修正。</x:v>
      </x:c>
      <x:c r="P67" s="24" t="str">
        <x:v>根气只修正该保护功能是否容易重复调用，不等于现实中已经形成稳定保护。</x:v>
      </x:c>
      <x:c r="Q67" s="24" t="str">
        <x:v>旺弱只修正调用强度与承载；强不自动有效，弱也不自动无效。</x:v>
      </x:c>
      <x:c r="R67" s="24" t="str">
        <x:v>喜忌只修正摩擦、平衡与承载，不可直接翻译为好坏、成熟度或解决方案。</x:v>
      </x:c>
      <x:c r="S67" s="24" t="str">
        <x:v>原十神功能有效；真合化成立时按化神功能替换，合化争议时停止定性。</x:v>
      </x:c>
      <x:c r="T67" s="24" t="str">
        <x:v>近位提高直接相关性；远位仅保留背景、阶段或低置信修正。</x:v>
      </x:c>
      <x:c r="U67" s="24" t="str">
        <x:v>96</x:v>
      </x:c>
      <x:c r="V67" s="24" t="str">
        <x:v>失效-12／降级</x:v>
      </x:c>
      <x:c r="W67" s="24" t="str">
        <x:v>pseudo_buffer</x:v>
      </x:c>
      <x:c r="X67" s="24" t="str">
        <x:v>当只有表态、一次行动、礼物、补偿或短期改善，没有持续和跨情境证据。时，现实兑现与重复行为只能降为潜在资源或伪保护候选。</x:v>
      </x:c>
      <x:c r="Y67" s="24" t="str">
        <x:v>若这项资源只停留在标签，或反而造成新的僵化，就不能把它当成有效保护。</x:v>
      </x:c>
      <x:c r="Z67" s="24" t="str">
        <x:v>不得仅凭本规则断定问题已经解决、关系必然稳定、用户一定成熟、某十神天然是“药”、喜用神自动等于解决办法，或淡化暴力、强迫与现实伤害；现实行为、反例、安全事实和专业支持优先。</x:v>
      </x:c>
      <x:c r="AA67" s="24" t="str">
        <x:v>中高</x:v>
      </x:c>
      <x:c r="AB67" s="24" t="str">
        <x:v>待验证</x:v>
      </x:c>
      <x:c r="AC67" s="24" t="str"/>
      <x:c r="AD67" s="24" t="str">
        <x:v>provisional=true；保护因素的现实有效性必须由可观察行为、反馈和持续结果验证。</x:v>
      </x:c>
      <x:c r="AE67" s="24" t="str">
        <x:v>0.8</x:v>
      </x:c>
    </x:row>
    <x:row r="68" ht="52" customHeight="1">
      <x:c r="A68" s="24" t="str">
        <x:v>M4-BUFFER-067</x:v>
      </x:c>
      <x:c r="B68" s="24" t="str">
        <x:v>BF06 现实兑现与重复行为｜用户输出</x:v>
      </x:c>
      <x:c r="C68" s="24" t="str">
        <x:v>L1 BF01—BF08保护因素</x:v>
      </x:c>
      <x:c r="D68" s="24" t="str">
        <x:v>BUFFER-保护因素</x:v>
      </x:c>
      <x:c r="E68" s="24" t="str">
        <x:v>通用</x:v>
      </x:c>
      <x:c r="F68" s="24" t="str">
        <x:v>语言</x:v>
      </x:c>
      <x:c r="G68" s="24" t="str">
        <x:v>BF06 现实兑现与重复行为</x:v>
      </x:c>
      <x:c r="H68" s="24" t="str">
        <x:v>生成中性、条件化的用户解释。</x:v>
      </x:c>
      <x:c r="I68" s="24" t="str">
        <x:v>承诺、边界、补救或新方案被转成可观察行为，并在相似情境中重复。</x:v>
      </x:c>
      <x:c r="J68" s="24" t="str">
        <x:v>只有表态、一次行动、礼物、补偿或短期改善，没有持续和跨情境证据。</x:v>
      </x:c>
      <x:c r="K68" s="24" t="str">
        <x:v>由共享基础引擎提供；仅修正保护功能的承载、持续调用和压力状态下的稳定性，不直接等同成熟度、道德或现实行为。</x:v>
      </x:c>
      <x:c r="L68" s="24" t="str">
        <x:v>由M1／M2接口提供；夫妻星、心动原型和关系门槛只说明关系议题，不单独证明保护因素已经被调用或有效。</x:v>
      </x:c>
      <x:c r="M68" s="24" t="str">
        <x:v>由M3-BASE及M4各模块提供；日支、日柱近位可提高与亲密关系核心的相关性，但同一source_id不得重复计分。</x:v>
      </x:c>
      <x:c r="N68" s="24" t="str">
        <x:v>保护因素必须明确限制过用、补足缺位、恢复顺序、打开反馈、落实改变或完成修复回流；不能只凭五行相生补写现实效果。</x:v>
      </x:c>
      <x:c r="O68" s="24" t="str">
        <x:v>近位提高进入亲密关系核心的概率；远位只作背景、阶段或条件性修正。</x:v>
      </x:c>
      <x:c r="P68" s="24" t="str">
        <x:v>根气只修正该保护功能是否容易重复调用，不等于现实中已经形成稳定保护。</x:v>
      </x:c>
      <x:c r="Q68" s="24" t="str">
        <x:v>旺弱只修正调用强度与承载；强不自动有效，弱也不自动无效。</x:v>
      </x:c>
      <x:c r="R68" s="24" t="str">
        <x:v>喜忌只修正摩擦、平衡与承载，不可直接翻译为好坏、成熟度或解决方案。</x:v>
      </x:c>
      <x:c r="S68" s="24" t="str">
        <x:v>原十神功能有效；真合化成立时按化神功能替换，合化争议时停止定性。</x:v>
      </x:c>
      <x:c r="T68" s="24" t="str">
        <x:v>近位提高直接相关性；远位仅保留背景、阶段或低置信修正。</x:v>
      </x:c>
      <x:c r="U68" s="24" t="str">
        <x:v>88</x:v>
      </x:c>
      <x:c r="V68" s="24" t="str">
        <x:v>不加分；输出</x:v>
      </x:c>
      <x:c r="W68" s="24" t="str">
        <x:v>report_text</x:v>
      </x:c>
      <x:c r="X68" s="24" t="str">
        <x:v>现实兑现把抽象意愿变成可验证证据，是检验误读、修复和保护是否成立的核心。</x:v>
      </x:c>
      <x:c r="Y68" s="24" t="str">
        <x:v>能否持续做到，比一次说得好或做得多更能说明这项改变是否真的在保护关系。</x:v>
      </x:c>
      <x:c r="Z68" s="24" t="str">
        <x:v>不得仅凭本规则断定问题已经解决、关系必然稳定、用户一定成熟、某十神天然是“药”、喜用神自动等于解决办法，或淡化暴力、强迫与现实伤害；现实行为、反例、安全事实和专业支持优先。</x:v>
      </x:c>
      <x:c r="AA68" s="24" t="str">
        <x:v>中高</x:v>
      </x:c>
      <x:c r="AB68" s="24" t="str">
        <x:v>待验证</x:v>
      </x:c>
      <x:c r="AC68" s="24" t="str"/>
      <x:c r="AD68" s="24" t="str">
        <x:v>provisional=true；保护因素的现实有效性必须由可观察行为、反馈和持续结果验证。</x:v>
      </x:c>
      <x:c r="AE68" s="24" t="str">
        <x:v>0.8</x:v>
      </x:c>
    </x:row>
    <x:row r="69" ht="52" customHeight="1">
      <x:c r="A69" s="24" t="str">
        <x:v>M4-BUFFER-068</x:v>
      </x:c>
      <x:c r="B69" s="24" t="str">
        <x:v>BF06 现实兑现与重复行为｜使用边界</x:v>
      </x:c>
      <x:c r="C69" s="24" t="str">
        <x:v>L1 BF01—BF08保护因素</x:v>
      </x:c>
      <x:c r="D69" s="24" t="str">
        <x:v>BUFFER-保护因素</x:v>
      </x:c>
      <x:c r="E69" s="24" t="str">
        <x:v>通用</x:v>
      </x:c>
      <x:c r="F69" s="24" t="str">
        <x:v>边界</x:v>
      </x:c>
      <x:c r="G69" s="24" t="str">
        <x:v>BF06 现实兑现与重复行为</x:v>
      </x:c>
      <x:c r="H69" s="24" t="str">
        <x:v>限制发布强度。</x:v>
      </x:c>
      <x:c r="I69" s="24" t="str">
        <x:v>完成同源去重、现实反例和安全门控。</x:v>
      </x:c>
      <x:c r="J69" s="24" t="str">
        <x:v>把该因素写成绝对化解、关系必稳或道德优点。</x:v>
      </x:c>
      <x:c r="K69" s="24" t="str">
        <x:v>由共享基础引擎提供；仅修正保护功能的承载、持续调用和压力状态下的稳定性，不直接等同成熟度、道德或现实行为。</x:v>
      </x:c>
      <x:c r="L69" s="24" t="str">
        <x:v>由M1／M2接口提供；夫妻星、心动原型和关系门槛只说明关系议题，不单独证明保护因素已经被调用或有效。</x:v>
      </x:c>
      <x:c r="M69" s="24" t="str">
        <x:v>由M3-BASE及M4各模块提供；日支、日柱近位可提高与亲密关系核心的相关性，但同一source_id不得重复计分。</x:v>
      </x:c>
      <x:c r="N69" s="24" t="str">
        <x:v>保护因素必须明确限制过用、补足缺位、恢复顺序、打开反馈、落实改变或完成修复回流；不能只凭五行相生补写现实效果。</x:v>
      </x:c>
      <x:c r="O69" s="24" t="str">
        <x:v>近位提高进入亲密关系核心的概率；远位只作背景、阶段或条件性修正。</x:v>
      </x:c>
      <x:c r="P69" s="24" t="str">
        <x:v>根气只修正该保护功能是否容易重复调用，不等于现实中已经形成稳定保护。</x:v>
      </x:c>
      <x:c r="Q69" s="24" t="str">
        <x:v>旺弱只修正调用强度与承载；强不自动有效，弱也不自动无效。</x:v>
      </x:c>
      <x:c r="R69" s="24" t="str">
        <x:v>喜忌只修正摩擦、平衡与承载，不可直接翻译为好坏、成熟度或解决方案。</x:v>
      </x:c>
      <x:c r="S69" s="24" t="str">
        <x:v>原十神功能有效；真合化成立时按化神功能替换，合化争议时停止定性。</x:v>
      </x:c>
      <x:c r="T69" s="24" t="str">
        <x:v>近位提高直接相关性；远位仅保留背景、阶段或低置信修正。</x:v>
      </x:c>
      <x:c r="U69" s="24" t="str">
        <x:v>99</x:v>
      </x:c>
      <x:c r="V69" s="24" t="str">
        <x:v>边界／封顶</x:v>
      </x:c>
      <x:c r="W69" s="24" t="str">
        <x:v>boundary_note</x:v>
      </x:c>
      <x:c r="X69" s="24" t="str">
        <x:v>现实兑现与重复行为是针对具体链条的功能，不是万能药。</x:v>
      </x:c>
      <x:c r="Y69" s="24" t="str">
        <x:v>这项资源能减弱特定盲点，但不代表所有关系问题都会自动消失。</x:v>
      </x:c>
      <x:c r="Z69" s="24" t="str">
        <x:v>不得仅凭本规则断定问题已经解决、关系必然稳定、用户一定成熟、某十神天然是“药”、喜用神自动等于解决办法，或淡化暴力、强迫与现实伤害；现实行为、反例、安全事实和专业支持优先。</x:v>
      </x:c>
      <x:c r="AA69" s="24" t="str">
        <x:v>高</x:v>
      </x:c>
      <x:c r="AB69" s="24" t="str">
        <x:v>待验证</x:v>
      </x:c>
      <x:c r="AC69" s="24" t="str"/>
      <x:c r="AD69" s="24" t="str">
        <x:v>provisional=true；保护因素的现实有效性必须由可观察行为、反馈和持续结果验证。</x:v>
      </x:c>
      <x:c r="AE69" s="24" t="str">
        <x:v>0.8</x:v>
      </x:c>
    </x:row>
    <x:row r="70" ht="52" customHeight="1">
      <x:c r="A70" s="24" t="str">
        <x:v>M4-BUFFER-069</x:v>
      </x:c>
      <x:c r="B70" s="24" t="str">
        <x:v>BF07 完整修复回流｜因素定义</x:v>
      </x:c>
      <x:c r="C70" s="24" t="str">
        <x:v>L1 BF01—BF08保护因素</x:v>
      </x:c>
      <x:c r="D70" s="24" t="str">
        <x:v>BUFFER-保护因素</x:v>
      </x:c>
      <x:c r="E70" s="24" t="str">
        <x:v>通用</x:v>
      </x:c>
      <x:c r="F70" s="24" t="str">
        <x:v>定义</x:v>
      </x:c>
      <x:c r="G70" s="24" t="str">
        <x:v>BF07 完整修复回流</x:v>
      </x:c>
      <x:c r="H70" s="24" t="str">
        <x:v>建立该保护因素的功能边界。</x:v>
      </x:c>
      <x:c r="I70" s="24" t="str">
        <x:v>至少完成影响确认、责任、边界／需要、行动调整、接收反馈和后续回访中的必要节点。</x:v>
      </x:c>
      <x:c r="J70" s="24" t="str">
        <x:v>只完成道歉、安抚、补偿、方案或短期和好中的一项。</x:v>
      </x:c>
      <x:c r="K70" s="24" t="str">
        <x:v>由共享基础引擎提供；仅修正保护功能的承载、持续调用和压力状态下的稳定性，不直接等同成熟度、道德或现实行为。</x:v>
      </x:c>
      <x:c r="L70" s="24" t="str">
        <x:v>由M1／M2接口提供；夫妻星、心动原型和关系门槛只说明关系议题，不单独证明保护因素已经被调用或有效。</x:v>
      </x:c>
      <x:c r="M70" s="24" t="str">
        <x:v>由M3-BASE及M4各模块提供；日支、日柱近位可提高与亲密关系核心的相关性，但同一source_id不得重复计分。</x:v>
      </x:c>
      <x:c r="N70" s="24" t="str">
        <x:v>保护因素必须明确限制过用、补足缺位、恢复顺序、打开反馈、落实改变或完成修复回流；不能只凭五行相生补写现实效果。</x:v>
      </x:c>
      <x:c r="O70" s="24" t="str">
        <x:v>近位提高进入亲密关系核心的概率；远位只作背景、阶段或条件性修正。</x:v>
      </x:c>
      <x:c r="P70" s="24" t="str">
        <x:v>根气只修正该保护功能是否容易重复调用，不等于现实中已经形成稳定保护。</x:v>
      </x:c>
      <x:c r="Q70" s="24" t="str">
        <x:v>旺弱只修正调用强度与承载；强不自动有效，弱也不自动无效。</x:v>
      </x:c>
      <x:c r="R70" s="24" t="str">
        <x:v>喜忌只修正摩擦、平衡与承载，不可直接翻译为好坏、成熟度或解决方案。</x:v>
      </x:c>
      <x:c r="S70" s="24" t="str">
        <x:v>原十神功能有效；真合化成立时按化神功能替换，合化争议时停止定性。</x:v>
      </x:c>
      <x:c r="T70" s="24" t="str">
        <x:v>近位提高直接相关性；远位仅保留背景、阶段或低置信修正。</x:v>
      </x:c>
      <x:c r="U70" s="24" t="str">
        <x:v>95</x:v>
      </x:c>
      <x:c r="V70" s="24" t="str">
        <x:v>基础候选+0</x:v>
      </x:c>
      <x:c r="W70" s="24" t="str">
        <x:v>buffer_factor</x:v>
      </x:c>
      <x:c r="X70" s="24" t="str">
        <x:v>完整修复让被压缩的理解、选择权、现实改变和重新开放重新进入关系。</x:v>
      </x:c>
      <x:c r="Y70" s="24" t="str">
        <x:v>真正的修复不仅要让事情停下来，还要确认影响、调整做法、接收反馈，并看改变能否持续。</x:v>
      </x:c>
      <x:c r="Z70" s="24" t="str">
        <x:v>不得仅凭本规则断定问题已经解决、关系必然稳定、用户一定成熟、某十神天然是“药”、喜用神自动等于解决办法，或淡化暴力、强迫与现实伤害；现实行为、反例、安全事实和专业支持优先。</x:v>
      </x:c>
      <x:c r="AA70" s="24" t="str">
        <x:v>高</x:v>
      </x:c>
      <x:c r="AB70" s="24" t="str">
        <x:v>待验证</x:v>
      </x:c>
      <x:c r="AC70" s="24" t="str"/>
      <x:c r="AD70" s="24" t="str">
        <x:v>provisional=true；保护因素的现实有效性必须由可观察行为、反馈和持续结果验证。</x:v>
      </x:c>
      <x:c r="AE70" s="24" t="str">
        <x:v>0.8</x:v>
      </x:c>
    </x:row>
    <x:row r="71" ht="52" customHeight="1">
      <x:c r="A71" s="24" t="str">
        <x:v>M4-BUFFER-070</x:v>
      </x:c>
      <x:c r="B71" s="24" t="str">
        <x:v>BF07 完整修复回流｜主要靶点</x:v>
      </x:c>
      <x:c r="C71" s="24" t="str">
        <x:v>L1 BF01—BF08保护因素</x:v>
      </x:c>
      <x:c r="D71" s="24" t="str">
        <x:v>BUFFER-保护因素</x:v>
      </x:c>
      <x:c r="E71" s="24" t="str">
        <x:v>通用</x:v>
      </x:c>
      <x:c r="F71" s="24" t="str">
        <x:v>路由</x:v>
      </x:c>
      <x:c r="G71" s="24" t="str">
        <x:v>BF07 完整修复回流</x:v>
      </x:c>
      <x:c r="H71" s="24" t="str">
        <x:v>将保护因素路由到具体失衡任务，而不是泛化成万能优点。</x:v>
      </x:c>
      <x:c r="I71" s="24" t="str">
        <x:v>已经存在与中断修复断链、问题结案替代关系修复与循环复发相关的K机制、触发、循环或修复卡点。</x:v>
      </x:c>
      <x:c r="J71" s="24" t="str">
        <x:v>没有明确风险靶点，或靶点由同一事实重复生成。</x:v>
      </x:c>
      <x:c r="K71" s="24" t="str">
        <x:v>由共享基础引擎提供；仅修正保护功能的承载、持续调用和压力状态下的稳定性，不直接等同成熟度、道德或现实行为。</x:v>
      </x:c>
      <x:c r="L71" s="24" t="str">
        <x:v>由M1／M2接口提供；夫妻星、心动原型和关系门槛只说明关系议题，不单独证明保护因素已经被调用或有效。</x:v>
      </x:c>
      <x:c r="M71" s="24" t="str">
        <x:v>由M3-BASE及M4各模块提供；日支、日柱近位可提高与亲密关系核心的相关性，但同一source_id不得重复计分。</x:v>
      </x:c>
      <x:c r="N71" s="24" t="str">
        <x:v>保护因素必须明确限制过用、补足缺位、恢复顺序、打开反馈、落实改变或完成修复回流；不能只凭五行相生补写现实效果。</x:v>
      </x:c>
      <x:c r="O71" s="24" t="str">
        <x:v>近位提高进入亲密关系核心的概率；远位只作背景、阶段或条件性修正。</x:v>
      </x:c>
      <x:c r="P71" s="24" t="str">
        <x:v>根气只修正该保护功能是否容易重复调用，不等于现实中已经形成稳定保护。</x:v>
      </x:c>
      <x:c r="Q71" s="24" t="str">
        <x:v>旺弱只修正调用强度与承载；强不自动有效，弱也不自动无效。</x:v>
      </x:c>
      <x:c r="R71" s="24" t="str">
        <x:v>喜忌只修正摩擦、平衡与承载，不可直接翻译为好坏、成熟度或解决方案。</x:v>
      </x:c>
      <x:c r="S71" s="24" t="str">
        <x:v>原十神功能有效；真合化成立时按化神功能替换，合化争议时停止定性。</x:v>
      </x:c>
      <x:c r="T71" s="24" t="str">
        <x:v>近位提高直接相关性；远位仅保留背景、阶段或低置信修正。</x:v>
      </x:c>
      <x:c r="U71" s="24" t="str">
        <x:v>93</x:v>
      </x:c>
      <x:c r="V71" s="24" t="str">
        <x:v>匹配靶点+6</x:v>
      </x:c>
      <x:c r="W71" s="24" t="str">
        <x:v>buffer_target</x:v>
      </x:c>
      <x:c r="X71" s="24" t="str">
        <x:v>完整修复回流主要处理：中断修复断链、问题结案替代关系修复与循环复发。</x:v>
      </x:c>
      <x:c r="Y71" s="24" t="str">
        <x:v>这项资源最有价值的地方，是在中断修复断链、问题结案替代关系修复与循环复发时提供具体调节。</x:v>
      </x:c>
      <x:c r="Z71" s="24" t="str">
        <x:v>不得仅凭本规则断定问题已经解决、关系必然稳定、用户一定成熟、某十神天然是“药”、喜用神自动等于解决办法，或淡化暴力、强迫与现实伤害；现实行为、反例、安全事实和专业支持优先。</x:v>
      </x:c>
      <x:c r="AA71" s="24" t="str">
        <x:v>高</x:v>
      </x:c>
      <x:c r="AB71" s="24" t="str">
        <x:v>待验证</x:v>
      </x:c>
      <x:c r="AC71" s="24" t="str"/>
      <x:c r="AD71" s="24" t="str">
        <x:v>provisional=true；保护因素的现实有效性必须由可观察行为、反馈和持续结果验证。</x:v>
      </x:c>
      <x:c r="AE71" s="24" t="str">
        <x:v>0.8</x:v>
      </x:c>
    </x:row>
    <x:row r="72" ht="52" customHeight="1">
      <x:c r="A72" s="24" t="str">
        <x:v>M4-BUFFER-071</x:v>
      </x:c>
      <x:c r="B72" s="24" t="str">
        <x:v>BF07 完整修复回流｜结构成立条件</x:v>
      </x:c>
      <x:c r="C72" s="24" t="str">
        <x:v>L1 BF01—BF08保护因素</x:v>
      </x:c>
      <x:c r="D72" s="24" t="str">
        <x:v>BUFFER-保护因素</x:v>
      </x:c>
      <x:c r="E72" s="24" t="str">
        <x:v>通用</x:v>
      </x:c>
      <x:c r="F72" s="24" t="str">
        <x:v>结构证据</x:v>
      </x:c>
      <x:c r="G72" s="24" t="str">
        <x:v>BF07 完整修复回流</x:v>
      </x:c>
      <x:c r="H72" s="24" t="str">
        <x:v>判断命理结构是否具备独立、可调用的保护功能。</x:v>
      </x:c>
      <x:c r="I72" s="24" t="str">
        <x:v>至少完成影响确认、责任、边界／需要、行动调整、接收反馈和后续回访中的必要节点。</x:v>
      </x:c>
      <x:c r="J72" s="24" t="str">
        <x:v>只完成道歉、安抚、补偿、方案或短期和好中的一项。</x:v>
      </x:c>
      <x:c r="K72" s="24" t="str">
        <x:v>由共享基础引擎提供；仅修正保护功能的承载、持续调用和压力状态下的稳定性，不直接等同成熟度、道德或现实行为。</x:v>
      </x:c>
      <x:c r="L72" s="24" t="str">
        <x:v>由M1／M2接口提供；夫妻星、心动原型和关系门槛只说明关系议题，不单独证明保护因素已经被调用或有效。</x:v>
      </x:c>
      <x:c r="M72" s="24" t="str">
        <x:v>由M3-BASE及M4各模块提供；日支、日柱近位可提高与亲密关系核心的相关性，但同一source_id不得重复计分。</x:v>
      </x:c>
      <x:c r="N72" s="24" t="str">
        <x:v>保护因素必须明确限制过用、补足缺位、恢复顺序、打开反馈、落实改变或完成修复回流；不能只凭五行相生补写现实效果。</x:v>
      </x:c>
      <x:c r="O72" s="24" t="str">
        <x:v>近位提高进入亲密关系核心的概率；远位只作背景、阶段或条件性修正。</x:v>
      </x:c>
      <x:c r="P72" s="24" t="str">
        <x:v>根气只修正该保护功能是否容易重复调用，不等于现实中已经形成稳定保护。</x:v>
      </x:c>
      <x:c r="Q72" s="24" t="str">
        <x:v>旺弱只修正调用强度与承载；强不自动有效，弱也不自动无效。</x:v>
      </x:c>
      <x:c r="R72" s="24" t="str">
        <x:v>喜忌只修正摩擦、平衡与承载，不可直接翻译为好坏、成熟度或解决方案。</x:v>
      </x:c>
      <x:c r="S72" s="24" t="str">
        <x:v>原十神功能有效；真合化成立时按化神功能替换，合化争议时停止定性。</x:v>
      </x:c>
      <x:c r="T72" s="24" t="str">
        <x:v>近位提高直接相关性；远位仅保留背景、阶段或低置信修正。</x:v>
      </x:c>
      <x:c r="U72" s="24" t="str">
        <x:v>90</x:v>
      </x:c>
      <x:c r="V72" s="24" t="str">
        <x:v>独立结构+8</x:v>
      </x:c>
      <x:c r="W72" s="24" t="str">
        <x:v>buffer_evidence</x:v>
      </x:c>
      <x:c r="X72" s="24" t="str">
        <x:v>结构层面需满足：至少完成影响确认、责任、边界／需要、行动调整、接收反馈和后续回访中的必要节点。</x:v>
      </x:c>
      <x:c r="Y72" s="24" t="str">
        <x:v>从结构上看，你具备这类调节资源，但是否稳定发挥仍需现实验证。</x:v>
      </x:c>
      <x:c r="Z72" s="24" t="str">
        <x:v>不得仅凭本规则断定问题已经解决、关系必然稳定、用户一定成熟、某十神天然是“药”、喜用神自动等于解决办法，或淡化暴力、强迫与现实伤害；现实行为、反例、安全事实和专业支持优先。</x:v>
      </x:c>
      <x:c r="AA72" s="24" t="str">
        <x:v>中高</x:v>
      </x:c>
      <x:c r="AB72" s="24" t="str">
        <x:v>待验证</x:v>
      </x:c>
      <x:c r="AC72" s="24" t="str"/>
      <x:c r="AD72" s="24" t="str">
        <x:v>provisional=true；保护因素的现实有效性必须由可观察行为、反馈和持续结果验证。</x:v>
      </x:c>
      <x:c r="AE72" s="24" t="str">
        <x:v>0.8</x:v>
      </x:c>
    </x:row>
    <x:row r="73" ht="52" customHeight="1">
      <x:c r="A73" s="24" t="str">
        <x:v>M4-BUFFER-072</x:v>
      </x:c>
      <x:c r="B73" s="24" t="str">
        <x:v>BF07 完整修复回流｜现实启动证据</x:v>
      </x:c>
      <x:c r="C73" s="24" t="str">
        <x:v>L1 BF01—BF08保护因素</x:v>
      </x:c>
      <x:c r="D73" s="24" t="str">
        <x:v>BUFFER-保护因素</x:v>
      </x:c>
      <x:c r="E73" s="24" t="str">
        <x:v>通用</x:v>
      </x:c>
      <x:c r="F73" s="24" t="str">
        <x:v>现实证据</x:v>
      </x:c>
      <x:c r="G73" s="24" t="str">
        <x:v>BF07 完整修复回流</x:v>
      </x:c>
      <x:c r="H73" s="24" t="str">
        <x:v>把潜在资源升级为现实已启动资源。</x:v>
      </x:c>
      <x:c r="I73" s="24" t="str">
        <x:v>至少有一个具体事件显示该功能被调用，并改变了处理顺序、反馈、边界或后续行动。</x:v>
      </x:c>
      <x:c r="J73" s="24" t="str">
        <x:v>只有知识、自述、标签或一次无后续结果的动作。</x:v>
      </x:c>
      <x:c r="K73" s="24" t="str">
        <x:v>由共享基础引擎提供；仅修正保护功能的承载、持续调用和压力状态下的稳定性，不直接等同成熟度、道德或现实行为。</x:v>
      </x:c>
      <x:c r="L73" s="24" t="str">
        <x:v>由M1／M2接口提供；夫妻星、心动原型和关系门槛只说明关系议题，不单独证明保护因素已经被调用或有效。</x:v>
      </x:c>
      <x:c r="M73" s="24" t="str">
        <x:v>由M3-BASE及M4各模块提供；日支、日柱近位可提高与亲密关系核心的相关性，但同一source_id不得重复计分。</x:v>
      </x:c>
      <x:c r="N73" s="24" t="str">
        <x:v>保护因素必须明确限制过用、补足缺位、恢复顺序、打开反馈、落实改变或完成修复回流；不能只凭五行相生补写现实效果。</x:v>
      </x:c>
      <x:c r="O73" s="24" t="str">
        <x:v>近位提高进入亲密关系核心的概率；远位只作背景、阶段或条件性修正。</x:v>
      </x:c>
      <x:c r="P73" s="24" t="str">
        <x:v>根气只修正该保护功能是否容易重复调用，不等于现实中已经形成稳定保护。</x:v>
      </x:c>
      <x:c r="Q73" s="24" t="str">
        <x:v>旺弱只修正调用强度与承载；强不自动有效，弱也不自动无效。</x:v>
      </x:c>
      <x:c r="R73" s="24" t="str">
        <x:v>喜忌只修正摩擦、平衡与承载，不可直接翻译为好坏、成熟度或解决方案。</x:v>
      </x:c>
      <x:c r="S73" s="24" t="str">
        <x:v>原十神功能有效；真合化成立时按化神功能替换，合化争议时停止定性。</x:v>
      </x:c>
      <x:c r="T73" s="24" t="str">
        <x:v>近位提高直接相关性；远位仅保留背景、阶段或低置信修正。</x:v>
      </x:c>
      <x:c r="U73" s="24" t="str">
        <x:v>92</x:v>
      </x:c>
      <x:c r="V73" s="24" t="str">
        <x:v>现实启动+12</x:v>
      </x:c>
      <x:c r="W73" s="24" t="str">
        <x:v>buffer_activation</x:v>
      </x:c>
      <x:c r="X73" s="24" t="str">
        <x:v>只有当完整修复回流在事件中真正改变风险链时，才能升级为现实保护。</x:v>
      </x:c>
      <x:c r="Y73" s="24" t="str">
        <x:v>如果你在关键时刻确实用出这项方法，并让后续处理发生变化，它才算真正启动。</x:v>
      </x:c>
      <x:c r="Z73" s="24" t="str">
        <x:v>不得仅凭本规则断定问题已经解决、关系必然稳定、用户一定成熟、某十神天然是“药”、喜用神自动等于解决办法，或淡化暴力、强迫与现实伤害；现实行为、反例、安全事实和专业支持优先。</x:v>
      </x:c>
      <x:c r="AA73" s="24" t="str">
        <x:v>中高</x:v>
      </x:c>
      <x:c r="AB73" s="24" t="str">
        <x:v>待验证</x:v>
      </x:c>
      <x:c r="AC73" s="24" t="str"/>
      <x:c r="AD73" s="24" t="str">
        <x:v>provisional=true；保护因素的现实有效性必须由可观察行为、反馈和持续结果验证。</x:v>
      </x:c>
      <x:c r="AE73" s="24" t="str">
        <x:v>0.8</x:v>
      </x:c>
    </x:row>
    <x:row r="74" ht="52" customHeight="1">
      <x:c r="A74" s="24" t="str">
        <x:v>M4-BUFFER-073</x:v>
      </x:c>
      <x:c r="B74" s="24" t="str">
        <x:v>BF07 完整修复回流｜稳定有效证据</x:v>
      </x:c>
      <x:c r="C74" s="24" t="str">
        <x:v>L1 BF01—BF08保护因素</x:v>
      </x:c>
      <x:c r="D74" s="24" t="str">
        <x:v>BUFFER-保护因素</x:v>
      </x:c>
      <x:c r="E74" s="24" t="str">
        <x:v>通用</x:v>
      </x:c>
      <x:c r="F74" s="24" t="str">
        <x:v>效果验证</x:v>
      </x:c>
      <x:c r="G74" s="24" t="str">
        <x:v>BF07 完整修复回流</x:v>
      </x:c>
      <x:c r="H74" s="24" t="str">
        <x:v>判断保护是否跨情境稳定，而非单次高光。</x:v>
      </x:c>
      <x:c r="I74" s="24" t="str">
        <x:v>在至少两个相似或不同情境中有效，且包含反例审查与接收方反馈。</x:v>
      </x:c>
      <x:c r="J74" s="24" t="str">
        <x:v>只在一次低代价情境有效，或高压下完全失效。</x:v>
      </x:c>
      <x:c r="K74" s="24" t="str">
        <x:v>由共享基础引擎提供；仅修正保护功能的承载、持续调用和压力状态下的稳定性，不直接等同成熟度、道德或现实行为。</x:v>
      </x:c>
      <x:c r="L74" s="24" t="str">
        <x:v>由M1／M2接口提供；夫妻星、心动原型和关系门槛只说明关系议题，不单独证明保护因素已经被调用或有效。</x:v>
      </x:c>
      <x:c r="M74" s="24" t="str">
        <x:v>由M3-BASE及M4各模块提供；日支、日柱近位可提高与亲密关系核心的相关性，但同一source_id不得重复计分。</x:v>
      </x:c>
      <x:c r="N74" s="24" t="str">
        <x:v>保护因素必须明确限制过用、补足缺位、恢复顺序、打开反馈、落实改变或完成修复回流；不能只凭五行相生补写现实效果。</x:v>
      </x:c>
      <x:c r="O74" s="24" t="str">
        <x:v>近位提高进入亲密关系核心的概率；远位只作背景、阶段或条件性修正。</x:v>
      </x:c>
      <x:c r="P74" s="24" t="str">
        <x:v>根气只修正该保护功能是否容易重复调用，不等于现实中已经形成稳定保护。</x:v>
      </x:c>
      <x:c r="Q74" s="24" t="str">
        <x:v>旺弱只修正调用强度与承载；强不自动有效，弱也不自动无效。</x:v>
      </x:c>
      <x:c r="R74" s="24" t="str">
        <x:v>喜忌只修正摩擦、平衡与承载，不可直接翻译为好坏、成熟度或解决方案。</x:v>
      </x:c>
      <x:c r="S74" s="24" t="str">
        <x:v>原十神功能有效；真合化成立时按化神功能替换，合化争议时停止定性。</x:v>
      </x:c>
      <x:c r="T74" s="24" t="str">
        <x:v>近位提高直接相关性；远位仅保留背景、阶段或低置信修正。</x:v>
      </x:c>
      <x:c r="U74" s="24" t="str">
        <x:v>94</x:v>
      </x:c>
      <x:c r="V74" s="24" t="str">
        <x:v>稳定有效+16</x:v>
      </x:c>
      <x:c r="W74" s="24" t="str">
        <x:v>buffer_level</x:v>
      </x:c>
      <x:c r="X74" s="24" t="str">
        <x:v>完整修复回流需要重复有效、跨情境与反例检验，才能成为稳定保护。</x:v>
      </x:c>
      <x:c r="Y74" s="24" t="str">
        <x:v>若这项方法在不同情境里都能帮助你调整，并经得住反例，它的保护作用才更可信。</x:v>
      </x:c>
      <x:c r="Z74" s="24" t="str">
        <x:v>不得仅凭本规则断定问题已经解决、关系必然稳定、用户一定成熟、某十神天然是“药”、喜用神自动等于解决办法，或淡化暴力、强迫与现实伤害；现实行为、反例、安全事实和专业支持优先。</x:v>
      </x:c>
      <x:c r="AA74" s="24" t="str">
        <x:v>中高</x:v>
      </x:c>
      <x:c r="AB74" s="24" t="str">
        <x:v>待验证</x:v>
      </x:c>
      <x:c r="AC74" s="24" t="str"/>
      <x:c r="AD74" s="24" t="str">
        <x:v>provisional=true；保护因素的现实有效性必须由可观察行为、反馈和持续结果验证。</x:v>
      </x:c>
      <x:c r="AE74" s="24" t="str">
        <x:v>0.8</x:v>
      </x:c>
    </x:row>
    <x:row r="75" ht="52" customHeight="1">
      <x:c r="A75" s="24" t="str">
        <x:v>M4-BUFFER-074</x:v>
      </x:c>
      <x:c r="B75" s="24" t="str">
        <x:v>BF07 完整修复回流｜失效与伪保护</x:v>
      </x:c>
      <x:c r="C75" s="24" t="str">
        <x:v>L1 BF01—BF08保护因素</x:v>
      </x:c>
      <x:c r="D75" s="24" t="str">
        <x:v>BUFFER-保护因素</x:v>
      </x:c>
      <x:c r="E75" s="24" t="str">
        <x:v>通用</x:v>
      </x:c>
      <x:c r="F75" s="24" t="str">
        <x:v>降级</x:v>
      </x:c>
      <x:c r="G75" s="24" t="str">
        <x:v>BF07 完整修复回流</x:v>
      </x:c>
      <x:c r="H75" s="24" t="str">
        <x:v>识别名义保护、过度补偿或功能错配。</x:v>
      </x:c>
      <x:c r="I75" s="24" t="str">
        <x:v>只完成道歉、安抚、补偿、方案或短期和好中的一项。</x:v>
      </x:c>
      <x:c r="J75" s="24" t="str">
        <x:v>存在明确现实证据显示该功能真正改变了风险链。</x:v>
      </x:c>
      <x:c r="K75" s="24" t="str">
        <x:v>由共享基础引擎提供；仅修正保护功能的承载、持续调用和压力状态下的稳定性，不直接等同成熟度、道德或现实行为。</x:v>
      </x:c>
      <x:c r="L75" s="24" t="str">
        <x:v>由M1／M2接口提供；夫妻星、心动原型和关系门槛只说明关系议题，不单独证明保护因素已经被调用或有效。</x:v>
      </x:c>
      <x:c r="M75" s="24" t="str">
        <x:v>由M3-BASE及M4各模块提供；日支、日柱近位可提高与亲密关系核心的相关性，但同一source_id不得重复计分。</x:v>
      </x:c>
      <x:c r="N75" s="24" t="str">
        <x:v>保护因素必须明确限制过用、补足缺位、恢复顺序、打开反馈、落实改变或完成修复回流；不能只凭五行相生补写现实效果。</x:v>
      </x:c>
      <x:c r="O75" s="24" t="str">
        <x:v>近位提高进入亲密关系核心的概率；远位只作背景、阶段或条件性修正。</x:v>
      </x:c>
      <x:c r="P75" s="24" t="str">
        <x:v>根气只修正该保护功能是否容易重复调用，不等于现实中已经形成稳定保护。</x:v>
      </x:c>
      <x:c r="Q75" s="24" t="str">
        <x:v>旺弱只修正调用强度与承载；强不自动有效，弱也不自动无效。</x:v>
      </x:c>
      <x:c r="R75" s="24" t="str">
        <x:v>喜忌只修正摩擦、平衡与承载，不可直接翻译为好坏、成熟度或解决方案。</x:v>
      </x:c>
      <x:c r="S75" s="24" t="str">
        <x:v>原十神功能有效；真合化成立时按化神功能替换，合化争议时停止定性。</x:v>
      </x:c>
      <x:c r="T75" s="24" t="str">
        <x:v>近位提高直接相关性；远位仅保留背景、阶段或低置信修正。</x:v>
      </x:c>
      <x:c r="U75" s="24" t="str">
        <x:v>96</x:v>
      </x:c>
      <x:c r="V75" s="24" t="str">
        <x:v>失效-12／降级</x:v>
      </x:c>
      <x:c r="W75" s="24" t="str">
        <x:v>pseudo_buffer</x:v>
      </x:c>
      <x:c r="X75" s="24" t="str">
        <x:v>当只完成道歉、安抚、补偿、方案或短期和好中的一项。时，完整修复回流只能降为潜在资源或伪保护候选。</x:v>
      </x:c>
      <x:c r="Y75" s="24" t="str">
        <x:v>若这项资源只停留在标签，或反而造成新的僵化，就不能把它当成有效保护。</x:v>
      </x:c>
      <x:c r="Z75" s="24" t="str">
        <x:v>不得仅凭本规则断定问题已经解决、关系必然稳定、用户一定成熟、某十神天然是“药”、喜用神自动等于解决办法，或淡化暴力、强迫与现实伤害；现实行为、反例、安全事实和专业支持优先。</x:v>
      </x:c>
      <x:c r="AA75" s="24" t="str">
        <x:v>中高</x:v>
      </x:c>
      <x:c r="AB75" s="24" t="str">
        <x:v>待验证</x:v>
      </x:c>
      <x:c r="AC75" s="24" t="str"/>
      <x:c r="AD75" s="24" t="str">
        <x:v>provisional=true；保护因素的现实有效性必须由可观察行为、反馈和持续结果验证。</x:v>
      </x:c>
      <x:c r="AE75" s="24" t="str">
        <x:v>0.8</x:v>
      </x:c>
    </x:row>
    <x:row r="76" ht="52" customHeight="1">
      <x:c r="A76" s="24" t="str">
        <x:v>M4-BUFFER-075</x:v>
      </x:c>
      <x:c r="B76" s="24" t="str">
        <x:v>BF07 完整修复回流｜用户输出</x:v>
      </x:c>
      <x:c r="C76" s="24" t="str">
        <x:v>L1 BF01—BF08保护因素</x:v>
      </x:c>
      <x:c r="D76" s="24" t="str">
        <x:v>BUFFER-保护因素</x:v>
      </x:c>
      <x:c r="E76" s="24" t="str">
        <x:v>通用</x:v>
      </x:c>
      <x:c r="F76" s="24" t="str">
        <x:v>语言</x:v>
      </x:c>
      <x:c r="G76" s="24" t="str">
        <x:v>BF07 完整修复回流</x:v>
      </x:c>
      <x:c r="H76" s="24" t="str">
        <x:v>生成中性、条件化的用户解释。</x:v>
      </x:c>
      <x:c r="I76" s="24" t="str">
        <x:v>至少完成影响确认、责任、边界／需要、行动调整、接收反馈和后续回访中的必要节点。</x:v>
      </x:c>
      <x:c r="J76" s="24" t="str">
        <x:v>只完成道歉、安抚、补偿、方案或短期和好中的一项。</x:v>
      </x:c>
      <x:c r="K76" s="24" t="str">
        <x:v>由共享基础引擎提供；仅修正保护功能的承载、持续调用和压力状态下的稳定性，不直接等同成熟度、道德或现实行为。</x:v>
      </x:c>
      <x:c r="L76" s="24" t="str">
        <x:v>由M1／M2接口提供；夫妻星、心动原型和关系门槛只说明关系议题，不单独证明保护因素已经被调用或有效。</x:v>
      </x:c>
      <x:c r="M76" s="24" t="str">
        <x:v>由M3-BASE及M4各模块提供；日支、日柱近位可提高与亲密关系核心的相关性，但同一source_id不得重复计分。</x:v>
      </x:c>
      <x:c r="N76" s="24" t="str">
        <x:v>保护因素必须明确限制过用、补足缺位、恢复顺序、打开反馈、落实改变或完成修复回流；不能只凭五行相生补写现实效果。</x:v>
      </x:c>
      <x:c r="O76" s="24" t="str">
        <x:v>近位提高进入亲密关系核心的概率；远位只作背景、阶段或条件性修正。</x:v>
      </x:c>
      <x:c r="P76" s="24" t="str">
        <x:v>根气只修正该保护功能是否容易重复调用，不等于现实中已经形成稳定保护。</x:v>
      </x:c>
      <x:c r="Q76" s="24" t="str">
        <x:v>旺弱只修正调用强度与承载；强不自动有效，弱也不自动无效。</x:v>
      </x:c>
      <x:c r="R76" s="24" t="str">
        <x:v>喜忌只修正摩擦、平衡与承载，不可直接翻译为好坏、成熟度或解决方案。</x:v>
      </x:c>
      <x:c r="S76" s="24" t="str">
        <x:v>原十神功能有效；真合化成立时按化神功能替换，合化争议时停止定性。</x:v>
      </x:c>
      <x:c r="T76" s="24" t="str">
        <x:v>近位提高直接相关性；远位仅保留背景、阶段或低置信修正。</x:v>
      </x:c>
      <x:c r="U76" s="24" t="str">
        <x:v>88</x:v>
      </x:c>
      <x:c r="V76" s="24" t="str">
        <x:v>不加分；输出</x:v>
      </x:c>
      <x:c r="W76" s="24" t="str">
        <x:v>report_text</x:v>
      </x:c>
      <x:c r="X76" s="24" t="str">
        <x:v>完整修复让被压缩的理解、选择权、现实改变和重新开放重新进入关系。</x:v>
      </x:c>
      <x:c r="Y76" s="24" t="str">
        <x:v>真正的修复不仅要让事情停下来，还要确认影响、调整做法、接收反馈，并看改变能否持续。</x:v>
      </x:c>
      <x:c r="Z76" s="24" t="str">
        <x:v>不得仅凭本规则断定问题已经解决、关系必然稳定、用户一定成熟、某十神天然是“药”、喜用神自动等于解决办法，或淡化暴力、强迫与现实伤害；现实行为、反例、安全事实和专业支持优先。</x:v>
      </x:c>
      <x:c r="AA76" s="24" t="str">
        <x:v>中高</x:v>
      </x:c>
      <x:c r="AB76" s="24" t="str">
        <x:v>待验证</x:v>
      </x:c>
      <x:c r="AC76" s="24" t="str"/>
      <x:c r="AD76" s="24" t="str">
        <x:v>provisional=true；保护因素的现实有效性必须由可观察行为、反馈和持续结果验证。</x:v>
      </x:c>
      <x:c r="AE76" s="24" t="str">
        <x:v>0.8</x:v>
      </x:c>
    </x:row>
    <x:row r="77" ht="52" customHeight="1">
      <x:c r="A77" s="24" t="str">
        <x:v>M4-BUFFER-076</x:v>
      </x:c>
      <x:c r="B77" s="24" t="str">
        <x:v>BF07 完整修复回流｜使用边界</x:v>
      </x:c>
      <x:c r="C77" s="24" t="str">
        <x:v>L1 BF01—BF08保护因素</x:v>
      </x:c>
      <x:c r="D77" s="24" t="str">
        <x:v>BUFFER-保护因素</x:v>
      </x:c>
      <x:c r="E77" s="24" t="str">
        <x:v>通用</x:v>
      </x:c>
      <x:c r="F77" s="24" t="str">
        <x:v>边界</x:v>
      </x:c>
      <x:c r="G77" s="24" t="str">
        <x:v>BF07 完整修复回流</x:v>
      </x:c>
      <x:c r="H77" s="24" t="str">
        <x:v>限制发布强度。</x:v>
      </x:c>
      <x:c r="I77" s="24" t="str">
        <x:v>完成同源去重、现实反例和安全门控。</x:v>
      </x:c>
      <x:c r="J77" s="24" t="str">
        <x:v>把该因素写成绝对化解、关系必稳或道德优点。</x:v>
      </x:c>
      <x:c r="K77" s="24" t="str">
        <x:v>由共享基础引擎提供；仅修正保护功能的承载、持续调用和压力状态下的稳定性，不直接等同成熟度、道德或现实行为。</x:v>
      </x:c>
      <x:c r="L77" s="24" t="str">
        <x:v>由M1／M2接口提供；夫妻星、心动原型和关系门槛只说明关系议题，不单独证明保护因素已经被调用或有效。</x:v>
      </x:c>
      <x:c r="M77" s="24" t="str">
        <x:v>由M3-BASE及M4各模块提供；日支、日柱近位可提高与亲密关系核心的相关性，但同一source_id不得重复计分。</x:v>
      </x:c>
      <x:c r="N77" s="24" t="str">
        <x:v>保护因素必须明确限制过用、补足缺位、恢复顺序、打开反馈、落实改变或完成修复回流；不能只凭五行相生补写现实效果。</x:v>
      </x:c>
      <x:c r="O77" s="24" t="str">
        <x:v>近位提高进入亲密关系核心的概率；远位只作背景、阶段或条件性修正。</x:v>
      </x:c>
      <x:c r="P77" s="24" t="str">
        <x:v>根气只修正该保护功能是否容易重复调用，不等于现实中已经形成稳定保护。</x:v>
      </x:c>
      <x:c r="Q77" s="24" t="str">
        <x:v>旺弱只修正调用强度与承载；强不自动有效，弱也不自动无效。</x:v>
      </x:c>
      <x:c r="R77" s="24" t="str">
        <x:v>喜忌只修正摩擦、平衡与承载，不可直接翻译为好坏、成熟度或解决方案。</x:v>
      </x:c>
      <x:c r="S77" s="24" t="str">
        <x:v>原十神功能有效；真合化成立时按化神功能替换，合化争议时停止定性。</x:v>
      </x:c>
      <x:c r="T77" s="24" t="str">
        <x:v>近位提高直接相关性；远位仅保留背景、阶段或低置信修正。</x:v>
      </x:c>
      <x:c r="U77" s="24" t="str">
        <x:v>99</x:v>
      </x:c>
      <x:c r="V77" s="24" t="str">
        <x:v>边界／封顶</x:v>
      </x:c>
      <x:c r="W77" s="24" t="str">
        <x:v>boundary_note</x:v>
      </x:c>
      <x:c r="X77" s="24" t="str">
        <x:v>完整修复回流是针对具体链条的功能，不是万能药。</x:v>
      </x:c>
      <x:c r="Y77" s="24" t="str">
        <x:v>这项资源能减弱特定盲点，但不代表所有关系问题都会自动消失。</x:v>
      </x:c>
      <x:c r="Z77" s="24" t="str">
        <x:v>不得仅凭本规则断定问题已经解决、关系必然稳定、用户一定成熟、某十神天然是“药”、喜用神自动等于解决办法，或淡化暴力、强迫与现实伤害；现实行为、反例、安全事实和专业支持优先。</x:v>
      </x:c>
      <x:c r="AA77" s="24" t="str">
        <x:v>高</x:v>
      </x:c>
      <x:c r="AB77" s="24" t="str">
        <x:v>待验证</x:v>
      </x:c>
      <x:c r="AC77" s="24" t="str"/>
      <x:c r="AD77" s="24" t="str">
        <x:v>provisional=true；保护因素的现实有效性必须由可观察行为、反馈和持续结果验证。</x:v>
      </x:c>
      <x:c r="AE77" s="24" t="str">
        <x:v>0.8</x:v>
      </x:c>
    </x:row>
    <x:row r="78" ht="52" customHeight="1">
      <x:c r="A78" s="24" t="str">
        <x:v>M4-BUFFER-077</x:v>
      </x:c>
      <x:c r="B78" s="24" t="str">
        <x:v>BF08 状态分工与现实支持｜因素定义</x:v>
      </x:c>
      <x:c r="C78" s="24" t="str">
        <x:v>L1 BF01—BF08保护因素</x:v>
      </x:c>
      <x:c r="D78" s="24" t="str">
        <x:v>BUFFER-保护因素</x:v>
      </x:c>
      <x:c r="E78" s="24" t="str">
        <x:v>通用</x:v>
      </x:c>
      <x:c r="F78" s="24" t="str">
        <x:v>定义</x:v>
      </x:c>
      <x:c r="G78" s="24" t="str">
        <x:v>BF08 状态分工与现实支持</x:v>
      </x:c>
      <x:c r="H78" s="24" t="str">
        <x:v>建立该保护因素的功能边界。</x:v>
      </x:c>
      <x:c r="I78" s="24" t="str">
        <x:v>能够识别当前状态、调整任务顺序，并在需要时调用伴侣协作、亲友、专业或安全资源。</x:v>
      </x:c>
      <x:c r="J78" s="24" t="str">
        <x:v>把高压反应当成固定人格，或只凭命盘假定现实支持一定存在。</x:v>
      </x:c>
      <x:c r="K78" s="24" t="str">
        <x:v>由共享基础引擎提供；仅修正保护功能的承载、持续调用和压力状态下的稳定性，不直接等同成熟度、道德或现实行为。</x:v>
      </x:c>
      <x:c r="L78" s="24" t="str">
        <x:v>由M1／M2接口提供；夫妻星、心动原型和关系门槛只说明关系议题，不单独证明保护因素已经被调用或有效。</x:v>
      </x:c>
      <x:c r="M78" s="24" t="str">
        <x:v>由M3-BASE及M4各模块提供；日支、日柱近位可提高与亲密关系核心的相关性，但同一source_id不得重复计分。</x:v>
      </x:c>
      <x:c r="N78" s="24" t="str">
        <x:v>保护因素必须明确限制过用、补足缺位、恢复顺序、打开反馈、落实改变或完成修复回流；不能只凭五行相生补写现实效果。</x:v>
      </x:c>
      <x:c r="O78" s="24" t="str">
        <x:v>近位提高进入亲密关系核心的概率；远位只作背景、阶段或条件性修正。</x:v>
      </x:c>
      <x:c r="P78" s="24" t="str">
        <x:v>根气只修正该保护功能是否容易重复调用，不等于现实中已经形成稳定保护。</x:v>
      </x:c>
      <x:c r="Q78" s="24" t="str">
        <x:v>旺弱只修正调用强度与承载；强不自动有效，弱也不自动无效。</x:v>
      </x:c>
      <x:c r="R78" s="24" t="str">
        <x:v>喜忌只修正摩擦、平衡与承载，不可直接翻译为好坏、成熟度或解决方案。</x:v>
      </x:c>
      <x:c r="S78" s="24" t="str">
        <x:v>原十神功能有效；真合化成立时按化神功能替换，合化争议时停止定性。</x:v>
      </x:c>
      <x:c r="T78" s="24" t="str">
        <x:v>近位提高直接相关性；远位仅保留背景、阶段或低置信修正。</x:v>
      </x:c>
      <x:c r="U78" s="24" t="str">
        <x:v>95</x:v>
      </x:c>
      <x:c r="V78" s="24" t="str">
        <x:v>基础候选+0</x:v>
      </x:c>
      <x:c r="W78" s="24" t="str">
        <x:v>buffer_factor</x:v>
      </x:c>
      <x:c r="X78" s="24" t="str">
        <x:v>状态分工让不同功能在合适阶段承担任务；现实支持则在个人资源不足时提供外部承载。</x:v>
      </x:c>
      <x:c r="Y78" s="24" t="str">
        <x:v>知道自己现在处于平稳、初压还是高压，并在需要时借助现实支持，能减少一种反应长期占据全部关系任务。</x:v>
      </x:c>
      <x:c r="Z78" s="24" t="str">
        <x:v>不得仅凭本规则断定问题已经解决、关系必然稳定、用户一定成熟、某十神天然是“药”、喜用神自动等于解决办法，或淡化暴力、强迫与现实伤害；现实行为、反例、安全事实和专业支持优先。</x:v>
      </x:c>
      <x:c r="AA78" s="24" t="str">
        <x:v>高</x:v>
      </x:c>
      <x:c r="AB78" s="24" t="str">
        <x:v>待验证</x:v>
      </x:c>
      <x:c r="AC78" s="24" t="str"/>
      <x:c r="AD78" s="24" t="str">
        <x:v>provisional=true；保护因素的现实有效性必须由可观察行为、反馈和持续结果验证。</x:v>
      </x:c>
      <x:c r="AE78" s="24" t="str">
        <x:v>0.8</x:v>
      </x:c>
    </x:row>
    <x:row r="79" ht="52" customHeight="1">
      <x:c r="A79" s="24" t="str">
        <x:v>M4-BUFFER-078</x:v>
      </x:c>
      <x:c r="B79" s="24" t="str">
        <x:v>BF08 状态分工与现实支持｜主要靶点</x:v>
      </x:c>
      <x:c r="C79" s="24" t="str">
        <x:v>L1 BF01—BF08保护因素</x:v>
      </x:c>
      <x:c r="D79" s="24" t="str">
        <x:v>BUFFER-保护因素</x:v>
      </x:c>
      <x:c r="E79" s="24" t="str">
        <x:v>通用</x:v>
      </x:c>
      <x:c r="F79" s="24" t="str">
        <x:v>路由</x:v>
      </x:c>
      <x:c r="G79" s="24" t="str">
        <x:v>BF08 状态分工与现实支持</x:v>
      </x:c>
      <x:c r="H79" s="24" t="str">
        <x:v>将保护因素路由到具体失衡任务，而不是泛化成万能优点。</x:v>
      </x:c>
      <x:c r="I79" s="24" t="str">
        <x:v>已经存在与区分平稳、压力、恢复状态，降低高压占位和单一功能垄断相关的K机制、触发、循环或修复卡点。</x:v>
      </x:c>
      <x:c r="J79" s="24" t="str">
        <x:v>没有明确风险靶点，或靶点由同一事实重复生成。</x:v>
      </x:c>
      <x:c r="K79" s="24" t="str">
        <x:v>由共享基础引擎提供；仅修正保护功能的承载、持续调用和压力状态下的稳定性，不直接等同成熟度、道德或现实行为。</x:v>
      </x:c>
      <x:c r="L79" s="24" t="str">
        <x:v>由M1／M2接口提供；夫妻星、心动原型和关系门槛只说明关系议题，不单独证明保护因素已经被调用或有效。</x:v>
      </x:c>
      <x:c r="M79" s="24" t="str">
        <x:v>由M3-BASE及M4各模块提供；日支、日柱近位可提高与亲密关系核心的相关性，但同一source_id不得重复计分。</x:v>
      </x:c>
      <x:c r="N79" s="24" t="str">
        <x:v>保护因素必须明确限制过用、补足缺位、恢复顺序、打开反馈、落实改变或完成修复回流；不能只凭五行相生补写现实效果。</x:v>
      </x:c>
      <x:c r="O79" s="24" t="str">
        <x:v>近位提高进入亲密关系核心的概率；远位只作背景、阶段或条件性修正。</x:v>
      </x:c>
      <x:c r="P79" s="24" t="str">
        <x:v>根气只修正该保护功能是否容易重复调用，不等于现实中已经形成稳定保护。</x:v>
      </x:c>
      <x:c r="Q79" s="24" t="str">
        <x:v>旺弱只修正调用强度与承载；强不自动有效，弱也不自动无效。</x:v>
      </x:c>
      <x:c r="R79" s="24" t="str">
        <x:v>喜忌只修正摩擦、平衡与承载，不可直接翻译为好坏、成熟度或解决方案。</x:v>
      </x:c>
      <x:c r="S79" s="24" t="str">
        <x:v>原十神功能有效；真合化成立时按化神功能替换，合化争议时停止定性。</x:v>
      </x:c>
      <x:c r="T79" s="24" t="str">
        <x:v>近位提高直接相关性；远位仅保留背景、阶段或低置信修正。</x:v>
      </x:c>
      <x:c r="U79" s="24" t="str">
        <x:v>93</x:v>
      </x:c>
      <x:c r="V79" s="24" t="str">
        <x:v>匹配靶点+6</x:v>
      </x:c>
      <x:c r="W79" s="24" t="str">
        <x:v>buffer_target</x:v>
      </x:c>
      <x:c r="X79" s="24" t="str">
        <x:v>状态分工与现实支持主要处理：区分平稳、压力、恢复状态，降低高压占位和单一功能垄断。</x:v>
      </x:c>
      <x:c r="Y79" s="24" t="str">
        <x:v>这项资源最有价值的地方，是在区分平稳、压力、恢复状态，降低高压占位和单一功能垄断时提供具体调节。</x:v>
      </x:c>
      <x:c r="Z79" s="24" t="str">
        <x:v>不得仅凭本规则断定问题已经解决、关系必然稳定、用户一定成熟、某十神天然是“药”、喜用神自动等于解决办法，或淡化暴力、强迫与现实伤害；现实行为、反例、安全事实和专业支持优先。</x:v>
      </x:c>
      <x:c r="AA79" s="24" t="str">
        <x:v>高</x:v>
      </x:c>
      <x:c r="AB79" s="24" t="str">
        <x:v>待验证</x:v>
      </x:c>
      <x:c r="AC79" s="24" t="str"/>
      <x:c r="AD79" s="24" t="str">
        <x:v>provisional=true；保护因素的现实有效性必须由可观察行为、反馈和持续结果验证。</x:v>
      </x:c>
      <x:c r="AE79" s="24" t="str">
        <x:v>0.8</x:v>
      </x:c>
    </x:row>
    <x:row r="80" ht="52" customHeight="1">
      <x:c r="A80" s="24" t="str">
        <x:v>M4-BUFFER-079</x:v>
      </x:c>
      <x:c r="B80" s="24" t="str">
        <x:v>BF08 状态分工与现实支持｜结构成立条件</x:v>
      </x:c>
      <x:c r="C80" s="24" t="str">
        <x:v>L1 BF01—BF08保护因素</x:v>
      </x:c>
      <x:c r="D80" s="24" t="str">
        <x:v>BUFFER-保护因素</x:v>
      </x:c>
      <x:c r="E80" s="24" t="str">
        <x:v>通用</x:v>
      </x:c>
      <x:c r="F80" s="24" t="str">
        <x:v>结构证据</x:v>
      </x:c>
      <x:c r="G80" s="24" t="str">
        <x:v>BF08 状态分工与现实支持</x:v>
      </x:c>
      <x:c r="H80" s="24" t="str">
        <x:v>判断命理结构是否具备独立、可调用的保护功能。</x:v>
      </x:c>
      <x:c r="I80" s="24" t="str">
        <x:v>能够识别当前状态、调整任务顺序，并在需要时调用伴侣协作、亲友、专业或安全资源。</x:v>
      </x:c>
      <x:c r="J80" s="24" t="str">
        <x:v>把高压反应当成固定人格，或只凭命盘假定现实支持一定存在。</x:v>
      </x:c>
      <x:c r="K80" s="24" t="str">
        <x:v>由共享基础引擎提供；仅修正保护功能的承载、持续调用和压力状态下的稳定性，不直接等同成熟度、道德或现实行为。</x:v>
      </x:c>
      <x:c r="L80" s="24" t="str">
        <x:v>由M1／M2接口提供；夫妻星、心动原型和关系门槛只说明关系议题，不单独证明保护因素已经被调用或有效。</x:v>
      </x:c>
      <x:c r="M80" s="24" t="str">
        <x:v>由M3-BASE及M4各模块提供；日支、日柱近位可提高与亲密关系核心的相关性，但同一source_id不得重复计分。</x:v>
      </x:c>
      <x:c r="N80" s="24" t="str">
        <x:v>保护因素必须明确限制过用、补足缺位、恢复顺序、打开反馈、落实改变或完成修复回流；不能只凭五行相生补写现实效果。</x:v>
      </x:c>
      <x:c r="O80" s="24" t="str">
        <x:v>近位提高进入亲密关系核心的概率；远位只作背景、阶段或条件性修正。</x:v>
      </x:c>
      <x:c r="P80" s="24" t="str">
        <x:v>根气只修正该保护功能是否容易重复调用，不等于现实中已经形成稳定保护。</x:v>
      </x:c>
      <x:c r="Q80" s="24" t="str">
        <x:v>旺弱只修正调用强度与承载；强不自动有效，弱也不自动无效。</x:v>
      </x:c>
      <x:c r="R80" s="24" t="str">
        <x:v>喜忌只修正摩擦、平衡与承载，不可直接翻译为好坏、成熟度或解决方案。</x:v>
      </x:c>
      <x:c r="S80" s="24" t="str">
        <x:v>原十神功能有效；真合化成立时按化神功能替换，合化争议时停止定性。</x:v>
      </x:c>
      <x:c r="T80" s="24" t="str">
        <x:v>近位提高直接相关性；远位仅保留背景、阶段或低置信修正。</x:v>
      </x:c>
      <x:c r="U80" s="24" t="str">
        <x:v>90</x:v>
      </x:c>
      <x:c r="V80" s="24" t="str">
        <x:v>独立结构+8</x:v>
      </x:c>
      <x:c r="W80" s="24" t="str">
        <x:v>buffer_evidence</x:v>
      </x:c>
      <x:c r="X80" s="24" t="str">
        <x:v>结构层面需满足：能够识别当前状态、调整任务顺序，并在需要时调用伴侣协作、亲友、专业或安全资源。</x:v>
      </x:c>
      <x:c r="Y80" s="24" t="str">
        <x:v>从结构上看，你具备这类调节资源，但是否稳定发挥仍需现实验证。</x:v>
      </x:c>
      <x:c r="Z80" s="24" t="str">
        <x:v>不得仅凭本规则断定问题已经解决、关系必然稳定、用户一定成熟、某十神天然是“药”、喜用神自动等于解决办法，或淡化暴力、强迫与现实伤害；现实行为、反例、安全事实和专业支持优先。</x:v>
      </x:c>
      <x:c r="AA80" s="24" t="str">
        <x:v>中高</x:v>
      </x:c>
      <x:c r="AB80" s="24" t="str">
        <x:v>待验证</x:v>
      </x:c>
      <x:c r="AC80" s="24" t="str"/>
      <x:c r="AD80" s="24" t="str">
        <x:v>provisional=true；保护因素的现实有效性必须由可观察行为、反馈和持续结果验证。</x:v>
      </x:c>
      <x:c r="AE80" s="24" t="str">
        <x:v>0.8</x:v>
      </x:c>
    </x:row>
    <x:row r="81" ht="52" customHeight="1">
      <x:c r="A81" s="24" t="str">
        <x:v>M4-BUFFER-080</x:v>
      </x:c>
      <x:c r="B81" s="24" t="str">
        <x:v>BF08 状态分工与现实支持｜现实启动证据</x:v>
      </x:c>
      <x:c r="C81" s="24" t="str">
        <x:v>L1 BF01—BF08保护因素</x:v>
      </x:c>
      <x:c r="D81" s="24" t="str">
        <x:v>BUFFER-保护因素</x:v>
      </x:c>
      <x:c r="E81" s="24" t="str">
        <x:v>通用</x:v>
      </x:c>
      <x:c r="F81" s="24" t="str">
        <x:v>现实证据</x:v>
      </x:c>
      <x:c r="G81" s="24" t="str">
        <x:v>BF08 状态分工与现实支持</x:v>
      </x:c>
      <x:c r="H81" s="24" t="str">
        <x:v>把潜在资源升级为现实已启动资源。</x:v>
      </x:c>
      <x:c r="I81" s="24" t="str">
        <x:v>至少有一个具体事件显示该功能被调用，并改变了处理顺序、反馈、边界或后续行动。</x:v>
      </x:c>
      <x:c r="J81" s="24" t="str">
        <x:v>只有知识、自述、标签或一次无后续结果的动作。</x:v>
      </x:c>
      <x:c r="K81" s="24" t="str">
        <x:v>由共享基础引擎提供；仅修正保护功能的承载、持续调用和压力状态下的稳定性，不直接等同成熟度、道德或现实行为。</x:v>
      </x:c>
      <x:c r="L81" s="24" t="str">
        <x:v>由M1／M2接口提供；夫妻星、心动原型和关系门槛只说明关系议题，不单独证明保护因素已经被调用或有效。</x:v>
      </x:c>
      <x:c r="M81" s="24" t="str">
        <x:v>由M3-BASE及M4各模块提供；日支、日柱近位可提高与亲密关系核心的相关性，但同一source_id不得重复计分。</x:v>
      </x:c>
      <x:c r="N81" s="24" t="str">
        <x:v>保护因素必须明确限制过用、补足缺位、恢复顺序、打开反馈、落实改变或完成修复回流；不能只凭五行相生补写现实效果。</x:v>
      </x:c>
      <x:c r="O81" s="24" t="str">
        <x:v>近位提高进入亲密关系核心的概率；远位只作背景、阶段或条件性修正。</x:v>
      </x:c>
      <x:c r="P81" s="24" t="str">
        <x:v>根气只修正该保护功能是否容易重复调用，不等于现实中已经形成稳定保护。</x:v>
      </x:c>
      <x:c r="Q81" s="24" t="str">
        <x:v>旺弱只修正调用强度与承载；强不自动有效，弱也不自动无效。</x:v>
      </x:c>
      <x:c r="R81" s="24" t="str">
        <x:v>喜忌只修正摩擦、平衡与承载，不可直接翻译为好坏、成熟度或解决方案。</x:v>
      </x:c>
      <x:c r="S81" s="24" t="str">
        <x:v>原十神功能有效；真合化成立时按化神功能替换，合化争议时停止定性。</x:v>
      </x:c>
      <x:c r="T81" s="24" t="str">
        <x:v>近位提高直接相关性；远位仅保留背景、阶段或低置信修正。</x:v>
      </x:c>
      <x:c r="U81" s="24" t="str">
        <x:v>92</x:v>
      </x:c>
      <x:c r="V81" s="24" t="str">
        <x:v>现实启动+12</x:v>
      </x:c>
      <x:c r="W81" s="24" t="str">
        <x:v>buffer_activation</x:v>
      </x:c>
      <x:c r="X81" s="24" t="str">
        <x:v>只有当状态分工与现实支持在事件中真正改变风险链时，才能升级为现实保护。</x:v>
      </x:c>
      <x:c r="Y81" s="24" t="str">
        <x:v>如果你在关键时刻确实用出这项方法，并让后续处理发生变化，它才算真正启动。</x:v>
      </x:c>
      <x:c r="Z81" s="24" t="str">
        <x:v>不得仅凭本规则断定问题已经解决、关系必然稳定、用户一定成熟、某十神天然是“药”、喜用神自动等于解决办法，或淡化暴力、强迫与现实伤害；现实行为、反例、安全事实和专业支持优先。</x:v>
      </x:c>
      <x:c r="AA81" s="24" t="str">
        <x:v>中高</x:v>
      </x:c>
      <x:c r="AB81" s="24" t="str">
        <x:v>待验证</x:v>
      </x:c>
      <x:c r="AC81" s="24" t="str"/>
      <x:c r="AD81" s="24" t="str">
        <x:v>provisional=true；保护因素的现实有效性必须由可观察行为、反馈和持续结果验证。</x:v>
      </x:c>
      <x:c r="AE81" s="24" t="str">
        <x:v>0.8</x:v>
      </x:c>
    </x:row>
    <x:row r="82" ht="52" customHeight="1">
      <x:c r="A82" s="24" t="str">
        <x:v>M4-BUFFER-081</x:v>
      </x:c>
      <x:c r="B82" s="24" t="str">
        <x:v>BF08 状态分工与现实支持｜稳定有效证据</x:v>
      </x:c>
      <x:c r="C82" s="24" t="str">
        <x:v>L1 BF01—BF08保护因素</x:v>
      </x:c>
      <x:c r="D82" s="24" t="str">
        <x:v>BUFFER-保护因素</x:v>
      </x:c>
      <x:c r="E82" s="24" t="str">
        <x:v>通用</x:v>
      </x:c>
      <x:c r="F82" s="24" t="str">
        <x:v>效果验证</x:v>
      </x:c>
      <x:c r="G82" s="24" t="str">
        <x:v>BF08 状态分工与现实支持</x:v>
      </x:c>
      <x:c r="H82" s="24" t="str">
        <x:v>判断保护是否跨情境稳定，而非单次高光。</x:v>
      </x:c>
      <x:c r="I82" s="24" t="str">
        <x:v>在至少两个相似或不同情境中有效，且包含反例审查与接收方反馈。</x:v>
      </x:c>
      <x:c r="J82" s="24" t="str">
        <x:v>只在一次低代价情境有效，或高压下完全失效。</x:v>
      </x:c>
      <x:c r="K82" s="24" t="str">
        <x:v>由共享基础引擎提供；仅修正保护功能的承载、持续调用和压力状态下的稳定性，不直接等同成熟度、道德或现实行为。</x:v>
      </x:c>
      <x:c r="L82" s="24" t="str">
        <x:v>由M1／M2接口提供；夫妻星、心动原型和关系门槛只说明关系议题，不单独证明保护因素已经被调用或有效。</x:v>
      </x:c>
      <x:c r="M82" s="24" t="str">
        <x:v>由M3-BASE及M4各模块提供；日支、日柱近位可提高与亲密关系核心的相关性，但同一source_id不得重复计分。</x:v>
      </x:c>
      <x:c r="N82" s="24" t="str">
        <x:v>保护因素必须明确限制过用、补足缺位、恢复顺序、打开反馈、落实改变或完成修复回流；不能只凭五行相生补写现实效果。</x:v>
      </x:c>
      <x:c r="O82" s="24" t="str">
        <x:v>近位提高进入亲密关系核心的概率；远位只作背景、阶段或条件性修正。</x:v>
      </x:c>
      <x:c r="P82" s="24" t="str">
        <x:v>根气只修正该保护功能是否容易重复调用，不等于现实中已经形成稳定保护。</x:v>
      </x:c>
      <x:c r="Q82" s="24" t="str">
        <x:v>旺弱只修正调用强度与承载；强不自动有效，弱也不自动无效。</x:v>
      </x:c>
      <x:c r="R82" s="24" t="str">
        <x:v>喜忌只修正摩擦、平衡与承载，不可直接翻译为好坏、成熟度或解决方案。</x:v>
      </x:c>
      <x:c r="S82" s="24" t="str">
        <x:v>原十神功能有效；真合化成立时按化神功能替换，合化争议时停止定性。</x:v>
      </x:c>
      <x:c r="T82" s="24" t="str">
        <x:v>近位提高直接相关性；远位仅保留背景、阶段或低置信修正。</x:v>
      </x:c>
      <x:c r="U82" s="24" t="str">
        <x:v>94</x:v>
      </x:c>
      <x:c r="V82" s="24" t="str">
        <x:v>稳定有效+16</x:v>
      </x:c>
      <x:c r="W82" s="24" t="str">
        <x:v>buffer_level</x:v>
      </x:c>
      <x:c r="X82" s="24" t="str">
        <x:v>状态分工与现实支持需要重复有效、跨情境与反例检验，才能成为稳定保护。</x:v>
      </x:c>
      <x:c r="Y82" s="24" t="str">
        <x:v>若这项方法在不同情境里都能帮助你调整，并经得住反例，它的保护作用才更可信。</x:v>
      </x:c>
      <x:c r="Z82" s="24" t="str">
        <x:v>不得仅凭本规则断定问题已经解决、关系必然稳定、用户一定成熟、某十神天然是“药”、喜用神自动等于解决办法，或淡化暴力、强迫与现实伤害；现实行为、反例、安全事实和专业支持优先。</x:v>
      </x:c>
      <x:c r="AA82" s="24" t="str">
        <x:v>中高</x:v>
      </x:c>
      <x:c r="AB82" s="24" t="str">
        <x:v>待验证</x:v>
      </x:c>
      <x:c r="AC82" s="24" t="str"/>
      <x:c r="AD82" s="24" t="str">
        <x:v>provisional=true；保护因素的现实有效性必须由可观察行为、反馈和持续结果验证。</x:v>
      </x:c>
      <x:c r="AE82" s="24" t="str">
        <x:v>0.8</x:v>
      </x:c>
    </x:row>
    <x:row r="83" ht="52" customHeight="1">
      <x:c r="A83" s="24" t="str">
        <x:v>M4-BUFFER-082</x:v>
      </x:c>
      <x:c r="B83" s="24" t="str">
        <x:v>BF08 状态分工与现实支持｜失效与伪保护</x:v>
      </x:c>
      <x:c r="C83" s="24" t="str">
        <x:v>L1 BF01—BF08保护因素</x:v>
      </x:c>
      <x:c r="D83" s="24" t="str">
        <x:v>BUFFER-保护因素</x:v>
      </x:c>
      <x:c r="E83" s="24" t="str">
        <x:v>通用</x:v>
      </x:c>
      <x:c r="F83" s="24" t="str">
        <x:v>降级</x:v>
      </x:c>
      <x:c r="G83" s="24" t="str">
        <x:v>BF08 状态分工与现实支持</x:v>
      </x:c>
      <x:c r="H83" s="24" t="str">
        <x:v>识别名义保护、过度补偿或功能错配。</x:v>
      </x:c>
      <x:c r="I83" s="24" t="str">
        <x:v>把高压反应当成固定人格，或只凭命盘假定现实支持一定存在。</x:v>
      </x:c>
      <x:c r="J83" s="24" t="str">
        <x:v>存在明确现实证据显示该功能真正改变了风险链。</x:v>
      </x:c>
      <x:c r="K83" s="24" t="str">
        <x:v>由共享基础引擎提供；仅修正保护功能的承载、持续调用和压力状态下的稳定性，不直接等同成熟度、道德或现实行为。</x:v>
      </x:c>
      <x:c r="L83" s="24" t="str">
        <x:v>由M1／M2接口提供；夫妻星、心动原型和关系门槛只说明关系议题，不单独证明保护因素已经被调用或有效。</x:v>
      </x:c>
      <x:c r="M83" s="24" t="str">
        <x:v>由M3-BASE及M4各模块提供；日支、日柱近位可提高与亲密关系核心的相关性，但同一source_id不得重复计分。</x:v>
      </x:c>
      <x:c r="N83" s="24" t="str">
        <x:v>保护因素必须明确限制过用、补足缺位、恢复顺序、打开反馈、落实改变或完成修复回流；不能只凭五行相生补写现实效果。</x:v>
      </x:c>
      <x:c r="O83" s="24" t="str">
        <x:v>近位提高进入亲密关系核心的概率；远位只作背景、阶段或条件性修正。</x:v>
      </x:c>
      <x:c r="P83" s="24" t="str">
        <x:v>根气只修正该保护功能是否容易重复调用，不等于现实中已经形成稳定保护。</x:v>
      </x:c>
      <x:c r="Q83" s="24" t="str">
        <x:v>旺弱只修正调用强度与承载；强不自动有效，弱也不自动无效。</x:v>
      </x:c>
      <x:c r="R83" s="24" t="str">
        <x:v>喜忌只修正摩擦、平衡与承载，不可直接翻译为好坏、成熟度或解决方案。</x:v>
      </x:c>
      <x:c r="S83" s="24" t="str">
        <x:v>原十神功能有效；真合化成立时按化神功能替换，合化争议时停止定性。</x:v>
      </x:c>
      <x:c r="T83" s="24" t="str">
        <x:v>近位提高直接相关性；远位仅保留背景、阶段或低置信修正。</x:v>
      </x:c>
      <x:c r="U83" s="24" t="str">
        <x:v>96</x:v>
      </x:c>
      <x:c r="V83" s="24" t="str">
        <x:v>失效-12／降级</x:v>
      </x:c>
      <x:c r="W83" s="24" t="str">
        <x:v>pseudo_buffer</x:v>
      </x:c>
      <x:c r="X83" s="24" t="str">
        <x:v>当把高压反应当成固定人格，或只凭命盘假定现实支持一定存在。时，状态分工与现实支持只能降为潜在资源或伪保护候选。</x:v>
      </x:c>
      <x:c r="Y83" s="24" t="str">
        <x:v>若这项资源只停留在标签，或反而造成新的僵化，就不能把它当成有效保护。</x:v>
      </x:c>
      <x:c r="Z83" s="24" t="str">
        <x:v>不得仅凭本规则断定问题已经解决、关系必然稳定、用户一定成熟、某十神天然是“药”、喜用神自动等于解决办法，或淡化暴力、强迫与现实伤害；现实行为、反例、安全事实和专业支持优先。</x:v>
      </x:c>
      <x:c r="AA83" s="24" t="str">
        <x:v>中高</x:v>
      </x:c>
      <x:c r="AB83" s="24" t="str">
        <x:v>待验证</x:v>
      </x:c>
      <x:c r="AC83" s="24" t="str"/>
      <x:c r="AD83" s="24" t="str">
        <x:v>provisional=true；保护因素的现实有效性必须由可观察行为、反馈和持续结果验证。</x:v>
      </x:c>
      <x:c r="AE83" s="24" t="str">
        <x:v>0.8</x:v>
      </x:c>
    </x:row>
    <x:row r="84" ht="52" customHeight="1">
      <x:c r="A84" s="24" t="str">
        <x:v>M4-BUFFER-083</x:v>
      </x:c>
      <x:c r="B84" s="24" t="str">
        <x:v>BF08 状态分工与现实支持｜用户输出</x:v>
      </x:c>
      <x:c r="C84" s="24" t="str">
        <x:v>L1 BF01—BF08保护因素</x:v>
      </x:c>
      <x:c r="D84" s="24" t="str">
        <x:v>BUFFER-保护因素</x:v>
      </x:c>
      <x:c r="E84" s="24" t="str">
        <x:v>通用</x:v>
      </x:c>
      <x:c r="F84" s="24" t="str">
        <x:v>语言</x:v>
      </x:c>
      <x:c r="G84" s="24" t="str">
        <x:v>BF08 状态分工与现实支持</x:v>
      </x:c>
      <x:c r="H84" s="24" t="str">
        <x:v>生成中性、条件化的用户解释。</x:v>
      </x:c>
      <x:c r="I84" s="24" t="str">
        <x:v>能够识别当前状态、调整任务顺序，并在需要时调用伴侣协作、亲友、专业或安全资源。</x:v>
      </x:c>
      <x:c r="J84" s="24" t="str">
        <x:v>把高压反应当成固定人格，或只凭命盘假定现实支持一定存在。</x:v>
      </x:c>
      <x:c r="K84" s="24" t="str">
        <x:v>由共享基础引擎提供；仅修正保护功能的承载、持续调用和压力状态下的稳定性，不直接等同成熟度、道德或现实行为。</x:v>
      </x:c>
      <x:c r="L84" s="24" t="str">
        <x:v>由M1／M2接口提供；夫妻星、心动原型和关系门槛只说明关系议题，不单独证明保护因素已经被调用或有效。</x:v>
      </x:c>
      <x:c r="M84" s="24" t="str">
        <x:v>由M3-BASE及M4各模块提供；日支、日柱近位可提高与亲密关系核心的相关性，但同一source_id不得重复计分。</x:v>
      </x:c>
      <x:c r="N84" s="24" t="str">
        <x:v>保护因素必须明确限制过用、补足缺位、恢复顺序、打开反馈、落实改变或完成修复回流；不能只凭五行相生补写现实效果。</x:v>
      </x:c>
      <x:c r="O84" s="24" t="str">
        <x:v>近位提高进入亲密关系核心的概率；远位只作背景、阶段或条件性修正。</x:v>
      </x:c>
      <x:c r="P84" s="24" t="str">
        <x:v>根气只修正该保护功能是否容易重复调用，不等于现实中已经形成稳定保护。</x:v>
      </x:c>
      <x:c r="Q84" s="24" t="str">
        <x:v>旺弱只修正调用强度与承载；强不自动有效，弱也不自动无效。</x:v>
      </x:c>
      <x:c r="R84" s="24" t="str">
        <x:v>喜忌只修正摩擦、平衡与承载，不可直接翻译为好坏、成熟度或解决方案。</x:v>
      </x:c>
      <x:c r="S84" s="24" t="str">
        <x:v>原十神功能有效；真合化成立时按化神功能替换，合化争议时停止定性。</x:v>
      </x:c>
      <x:c r="T84" s="24" t="str">
        <x:v>近位提高直接相关性；远位仅保留背景、阶段或低置信修正。</x:v>
      </x:c>
      <x:c r="U84" s="24" t="str">
        <x:v>88</x:v>
      </x:c>
      <x:c r="V84" s="24" t="str">
        <x:v>不加分；输出</x:v>
      </x:c>
      <x:c r="W84" s="24" t="str">
        <x:v>report_text</x:v>
      </x:c>
      <x:c r="X84" s="24" t="str">
        <x:v>状态分工让不同功能在合适阶段承担任务；现实支持则在个人资源不足时提供外部承载。</x:v>
      </x:c>
      <x:c r="Y84" s="24" t="str">
        <x:v>知道自己现在处于平稳、初压还是高压，并在需要时借助现实支持，能减少一种反应长期占据全部关系任务。</x:v>
      </x:c>
      <x:c r="Z84" s="24" t="str">
        <x:v>不得仅凭本规则断定问题已经解决、关系必然稳定、用户一定成熟、某十神天然是“药”、喜用神自动等于解决办法，或淡化暴力、强迫与现实伤害；现实行为、反例、安全事实和专业支持优先。</x:v>
      </x:c>
      <x:c r="AA84" s="24" t="str">
        <x:v>中高</x:v>
      </x:c>
      <x:c r="AB84" s="24" t="str">
        <x:v>待验证</x:v>
      </x:c>
      <x:c r="AC84" s="24" t="str"/>
      <x:c r="AD84" s="24" t="str">
        <x:v>provisional=true；保护因素的现实有效性必须由可观察行为、反馈和持续结果验证。</x:v>
      </x:c>
      <x:c r="AE84" s="24" t="str">
        <x:v>0.8</x:v>
      </x:c>
    </x:row>
    <x:row r="85" ht="52" customHeight="1">
      <x:c r="A85" s="24" t="str">
        <x:v>M4-BUFFER-084</x:v>
      </x:c>
      <x:c r="B85" s="24" t="str">
        <x:v>BF08 状态分工与现实支持｜使用边界</x:v>
      </x:c>
      <x:c r="C85" s="24" t="str">
        <x:v>L1 BF01—BF08保护因素</x:v>
      </x:c>
      <x:c r="D85" s="24" t="str">
        <x:v>BUFFER-保护因素</x:v>
      </x:c>
      <x:c r="E85" s="24" t="str">
        <x:v>通用</x:v>
      </x:c>
      <x:c r="F85" s="24" t="str">
        <x:v>边界</x:v>
      </x:c>
      <x:c r="G85" s="24" t="str">
        <x:v>BF08 状态分工与现实支持</x:v>
      </x:c>
      <x:c r="H85" s="24" t="str">
        <x:v>限制发布强度。</x:v>
      </x:c>
      <x:c r="I85" s="24" t="str">
        <x:v>完成同源去重、现实反例和安全门控。</x:v>
      </x:c>
      <x:c r="J85" s="24" t="str">
        <x:v>把该因素写成绝对化解、关系必稳或道德优点。</x:v>
      </x:c>
      <x:c r="K85" s="24" t="str">
        <x:v>由共享基础引擎提供；仅修正保护功能的承载、持续调用和压力状态下的稳定性，不直接等同成熟度、道德或现实行为。</x:v>
      </x:c>
      <x:c r="L85" s="24" t="str">
        <x:v>由M1／M2接口提供；夫妻星、心动原型和关系门槛只说明关系议题，不单独证明保护因素已经被调用或有效。</x:v>
      </x:c>
      <x:c r="M85" s="24" t="str">
        <x:v>由M3-BASE及M4各模块提供；日支、日柱近位可提高与亲密关系核心的相关性，但同一source_id不得重复计分。</x:v>
      </x:c>
      <x:c r="N85" s="24" t="str">
        <x:v>保护因素必须明确限制过用、补足缺位、恢复顺序、打开反馈、落实改变或完成修复回流；不能只凭五行相生补写现实效果。</x:v>
      </x:c>
      <x:c r="O85" s="24" t="str">
        <x:v>近位提高进入亲密关系核心的概率；远位只作背景、阶段或条件性修正。</x:v>
      </x:c>
      <x:c r="P85" s="24" t="str">
        <x:v>根气只修正该保护功能是否容易重复调用，不等于现实中已经形成稳定保护。</x:v>
      </x:c>
      <x:c r="Q85" s="24" t="str">
        <x:v>旺弱只修正调用强度与承载；强不自动有效，弱也不自动无效。</x:v>
      </x:c>
      <x:c r="R85" s="24" t="str">
        <x:v>喜忌只修正摩擦、平衡与承载，不可直接翻译为好坏、成熟度或解决方案。</x:v>
      </x:c>
      <x:c r="S85" s="24" t="str">
        <x:v>原十神功能有效；真合化成立时按化神功能替换，合化争议时停止定性。</x:v>
      </x:c>
      <x:c r="T85" s="24" t="str">
        <x:v>近位提高直接相关性；远位仅保留背景、阶段或低置信修正。</x:v>
      </x:c>
      <x:c r="U85" s="24" t="str">
        <x:v>99</x:v>
      </x:c>
      <x:c r="V85" s="24" t="str">
        <x:v>边界／封顶</x:v>
      </x:c>
      <x:c r="W85" s="24" t="str">
        <x:v>boundary_note</x:v>
      </x:c>
      <x:c r="X85" s="24" t="str">
        <x:v>状态分工与现实支持是针对具体链条的功能，不是万能药。</x:v>
      </x:c>
      <x:c r="Y85" s="24" t="str">
        <x:v>这项资源能减弱特定盲点，但不代表所有关系问题都会自动消失。</x:v>
      </x:c>
      <x:c r="Z85" s="24" t="str">
        <x:v>不得仅凭本规则断定问题已经解决、关系必然稳定、用户一定成熟、某十神天然是“药”、喜用神自动等于解决办法，或淡化暴力、强迫与现实伤害；现实行为、反例、安全事实和专业支持优先。</x:v>
      </x:c>
      <x:c r="AA85" s="24" t="str">
        <x:v>高</x:v>
      </x:c>
      <x:c r="AB85" s="24" t="str">
        <x:v>待验证</x:v>
      </x:c>
      <x:c r="AC85" s="24" t="str"/>
      <x:c r="AD85" s="24" t="str">
        <x:v>provisional=true；保护因素的现实有效性必须由可观察行为、反馈和持续结果验证。</x:v>
      </x:c>
      <x:c r="AE85" s="24" t="str">
        <x:v>0.8</x:v>
      </x:c>
    </x:row>
    <x:row r="86" ht="52" customHeight="1">
      <x:c r="A86" s="24" t="str">
        <x:v>M4-BUFFER-085</x:v>
      </x:c>
      <x:c r="B86" s="24" t="str">
        <x:v>比肩｜平等边界与自我复核｜正常保护功能</x:v>
      </x:c>
      <x:c r="C86" s="24" t="str">
        <x:v>L2 十神保护通道</x:v>
      </x:c>
      <x:c r="D86" s="24" t="str">
        <x:v>BUFFER-十神保护通道</x:v>
      </x:c>
      <x:c r="E86" s="24" t="str">
        <x:v>通用</x:v>
      </x:c>
      <x:c r="F86" s="24" t="str">
        <x:v>定义</x:v>
      </x:c>
      <x:c r="G86" s="24" t="str">
        <x:v>比肩</x:v>
      </x:c>
      <x:c r="H86" s="24" t="str">
        <x:v>BF03／BF05；说明该十神在保护链中的中性功能。</x:v>
      </x:c>
      <x:c r="I86" s="24" t="str">
        <x:v>比肩功能有独立来源、能够进入亲密关系核心，并在现实中表现为清楚边界、分工和共同决定。</x:v>
      </x:c>
      <x:c r="J86" s="24" t="str">
        <x:v>只强调“公平”“各管各的”，却缺少合作、反馈或责任分工。</x:v>
      </x:c>
      <x:c r="K86" s="24" t="str">
        <x:v>由共享基础引擎提供；仅修正保护功能的承载、持续调用和压力状态下的稳定性，不直接等同成熟度、道德或现实行为。</x:v>
      </x:c>
      <x:c r="L86" s="24" t="str">
        <x:v>由M1／M2接口提供；夫妻星、心动原型和关系门槛只说明关系议题，不单独证明保护因素已经被调用或有效。</x:v>
      </x:c>
      <x:c r="M86" s="24" t="str">
        <x:v>由M3-BASE及M4各模块提供；日支、日柱近位可提高与亲密关系核心的相关性，但同一source_id不得重复计分。</x:v>
      </x:c>
      <x:c r="N86" s="24" t="str">
        <x:v>保护因素必须明确限制过用、补足缺位、恢复顺序、打开反馈、落实改变或完成修复回流；不能只凭五行相生补写现实效果。</x:v>
      </x:c>
      <x:c r="O86" s="24" t="str">
        <x:v>近位提高进入亲密关系核心的概率；远位只作背景、阶段或条件性修正。</x:v>
      </x:c>
      <x:c r="P86" s="24" t="str">
        <x:v>根气只修正该保护功能是否容易重复调用，不等于现实中已经形成稳定保护。</x:v>
      </x:c>
      <x:c r="Q86" s="24" t="str">
        <x:v>旺弱只修正调用强度与承载；强不自动有效，弱也不自动无效。</x:v>
      </x:c>
      <x:c r="R86" s="24" t="str">
        <x:v>喜忌只修正摩擦、平衡与承载，不可直接翻译为好坏、成熟度或解决方案。</x:v>
      </x:c>
      <x:c r="S86" s="24" t="str">
        <x:v>原十神功能有效；真合化成立时按化神功能替换，合化争议时停止定性。</x:v>
      </x:c>
      <x:c r="T86" s="24" t="str">
        <x:v>近位提高直接相关性；远位仅保留背景、阶段或低置信修正。</x:v>
      </x:c>
      <x:c r="U86" s="24" t="str">
        <x:v>90</x:v>
      </x:c>
      <x:c r="V86" s="24" t="str">
        <x:v>基础通道+4</x:v>
      </x:c>
      <x:c r="W86" s="24" t="str">
        <x:v>buffer_channel</x:v>
      </x:c>
      <x:c r="X86" s="24" t="str">
        <x:v>帮助用户区分自己的立场、对方的立场和共同决定范围，保留自主同时允许协商。</x:v>
      </x:c>
      <x:c r="Y86" s="24" t="str">
        <x:v>你已有的保护资源之一，是在关系里把自己的选择和共同决定分开说清，从而减少一方替另一方作主。</x:v>
      </x:c>
      <x:c r="Z86" s="24" t="str">
        <x:v>不得仅凭本规则断定问题已经解决、关系必然稳定、用户一定成熟、某十神天然是“药”、喜用神自动等于解决办法，或淡化暴力、强迫与现实伤害；现实行为、反例、安全事实和专业支持优先。</x:v>
      </x:c>
      <x:c r="AA86" s="24" t="str">
        <x:v>中高</x:v>
      </x:c>
      <x:c r="AB86" s="24" t="str">
        <x:v>待验证</x:v>
      </x:c>
      <x:c r="AC86" s="24" t="str"/>
      <x:c r="AD86" s="24" t="str">
        <x:v>provisional=true；保护因素的现实有效性必须由可观察行为、反馈和持续结果验证。</x:v>
      </x:c>
      <x:c r="AE86" s="24" t="str">
        <x:v>0.8</x:v>
      </x:c>
    </x:row>
    <x:row r="87" ht="52" customHeight="1">
      <x:c r="A87" s="24" t="str">
        <x:v>M4-BUFFER-086</x:v>
      </x:c>
      <x:c r="B87" s="24" t="str">
        <x:v>比肩｜平等边界与自我复核｜主要风险靶点</x:v>
      </x:c>
      <x:c r="C87" s="24" t="str">
        <x:v>L2 十神保护通道</x:v>
      </x:c>
      <x:c r="D87" s="24" t="str">
        <x:v>BUFFER-十神保护通道</x:v>
      </x:c>
      <x:c r="E87" s="24" t="str">
        <x:v>通用</x:v>
      </x:c>
      <x:c r="F87" s="24" t="str">
        <x:v>路由</x:v>
      </x:c>
      <x:c r="G87" s="24" t="str">
        <x:v>比肩</x:v>
      </x:c>
      <x:c r="H87" s="24" t="str">
        <x:v>BF03／BF05；将十神功能路由到适配的风险机制。</x:v>
      </x:c>
      <x:c r="I87" s="24" t="str">
        <x:v>已存在K01过用、K05竞争、LP08平等竞争、RB07规则等同协商中的至少一项候选。</x:v>
      </x:c>
      <x:c r="J87" s="24" t="str">
        <x:v>没有对应风险靶点，或靶点由同一十神事实重复生成。</x:v>
      </x:c>
      <x:c r="K87" s="24" t="str">
        <x:v>由共享基础引擎提供；仅修正保护功能的承载、持续调用和压力状态下的稳定性，不直接等同成熟度、道德或现实行为。</x:v>
      </x:c>
      <x:c r="L87" s="24" t="str">
        <x:v>由M1／M2接口提供；夫妻星、心动原型和关系门槛只说明关系议题，不单独证明保护因素已经被调用或有效。</x:v>
      </x:c>
      <x:c r="M87" s="24" t="str">
        <x:v>由M3-BASE及M4各模块提供；日支、日柱近位可提高与亲密关系核心的相关性，但同一source_id不得重复计分。</x:v>
      </x:c>
      <x:c r="N87" s="24" t="str">
        <x:v>保护因素必须明确限制过用、补足缺位、恢复顺序、打开反馈、落实改变或完成修复回流；不能只凭五行相生补写现实效果。</x:v>
      </x:c>
      <x:c r="O87" s="24" t="str">
        <x:v>近位提高进入亲密关系核心的概率；远位只作背景、阶段或条件性修正。</x:v>
      </x:c>
      <x:c r="P87" s="24" t="str">
        <x:v>根气只修正该保护功能是否容易重复调用，不等于现实中已经形成稳定保护。</x:v>
      </x:c>
      <x:c r="Q87" s="24" t="str">
        <x:v>旺弱只修正调用强度与承载；强不自动有效，弱也不自动无效。</x:v>
      </x:c>
      <x:c r="R87" s="24" t="str">
        <x:v>喜忌只修正摩擦、平衡与承载，不可直接翻译为好坏、成熟度或解决方案。</x:v>
      </x:c>
      <x:c r="S87" s="24" t="str">
        <x:v>原十神功能有效；真合化成立时按化神功能替换，合化争议时停止定性。</x:v>
      </x:c>
      <x:c r="T87" s="24" t="str">
        <x:v>近位提高直接相关性；远位仅保留背景、阶段或低置信修正。</x:v>
      </x:c>
      <x:c r="U87" s="24" t="str">
        <x:v>88</x:v>
      </x:c>
      <x:c r="V87" s="24" t="str">
        <x:v>靶点匹配+4</x:v>
      </x:c>
      <x:c r="W87" s="24" t="str">
        <x:v>buffer_target</x:v>
      </x:c>
      <x:c r="X87" s="24" t="str">
        <x:v>比肩的保护功能主要路由至：K01过用、K05竞争、LP08平等竞争、RB07规则等同协商。</x:v>
      </x:c>
      <x:c r="Y87" s="24" t="str">
        <x:v>这项资源主要帮助处理与平等边界与自我复核有关的具体盲点。</x:v>
      </x:c>
      <x:c r="Z87" s="24" t="str">
        <x:v>不得仅凭本规则断定问题已经解决、关系必然稳定、用户一定成熟、某十神天然是“药”、喜用神自动等于解决办法，或淡化暴力、强迫与现实伤害；现实行为、反例、安全事实和专业支持优先。</x:v>
      </x:c>
      <x:c r="AA87" s="24" t="str">
        <x:v>中高</x:v>
      </x:c>
      <x:c r="AB87" s="24" t="str">
        <x:v>待验证</x:v>
      </x:c>
      <x:c r="AC87" s="24" t="str"/>
      <x:c r="AD87" s="24" t="str">
        <x:v>provisional=true；保护因素的现实有效性必须由可观察行为、反馈和持续结果验证。</x:v>
      </x:c>
      <x:c r="AE87" s="24" t="str">
        <x:v>0.8</x:v>
      </x:c>
    </x:row>
    <x:row r="88" ht="52" customHeight="1">
      <x:c r="A88" s="24" t="str">
        <x:v>M4-BUFFER-087</x:v>
      </x:c>
      <x:c r="B88" s="24" t="str">
        <x:v>比肩｜平等边界与自我复核｜有效成立条件</x:v>
      </x:c>
      <x:c r="C88" s="24" t="str">
        <x:v>L2 十神保护通道</x:v>
      </x:c>
      <x:c r="D88" s="24" t="str">
        <x:v>BUFFER-十神保护通道</x:v>
      </x:c>
      <x:c r="E88" s="24" t="str">
        <x:v>通用</x:v>
      </x:c>
      <x:c r="F88" s="24" t="str">
        <x:v>结构证据</x:v>
      </x:c>
      <x:c r="G88" s="24" t="str">
        <x:v>比肩</x:v>
      </x:c>
      <x:c r="H88" s="24" t="str">
        <x:v>BF03／BF05；判断该通道是否可被独立调用。</x:v>
      </x:c>
      <x:c r="I88" s="24" t="str">
        <x:v>比肩功能有独立来源、能够进入亲密关系核心，并在现实中表现为清楚边界、分工和共同决定。</x:v>
      </x:c>
      <x:c r="J88" s="24" t="str">
        <x:v>只强调“公平”“各管各的”，却缺少合作、反馈或责任分工。</x:v>
      </x:c>
      <x:c r="K88" s="24" t="str">
        <x:v>由共享基础引擎提供；仅修正保护功能的承载、持续调用和压力状态下的稳定性，不直接等同成熟度、道德或现实行为。</x:v>
      </x:c>
      <x:c r="L88" s="24" t="str">
        <x:v>由M1／M2接口提供；夫妻星、心动原型和关系门槛只说明关系议题，不单独证明保护因素已经被调用或有效。</x:v>
      </x:c>
      <x:c r="M88" s="24" t="str">
        <x:v>由M3-BASE及M4各模块提供；日支、日柱近位可提高与亲密关系核心的相关性，但同一source_id不得重复计分。</x:v>
      </x:c>
      <x:c r="N88" s="24" t="str">
        <x:v>保护因素必须明确限制过用、补足缺位、恢复顺序、打开反馈、落实改变或完成修复回流；不能只凭五行相生补写现实效果。</x:v>
      </x:c>
      <x:c r="O88" s="24" t="str">
        <x:v>近位提高进入亲密关系核心的概率；远位只作背景、阶段或条件性修正。</x:v>
      </x:c>
      <x:c r="P88" s="24" t="str">
        <x:v>根气只修正该保护功能是否容易重复调用，不等于现实中已经形成稳定保护。</x:v>
      </x:c>
      <x:c r="Q88" s="24" t="str">
        <x:v>旺弱只修正调用强度与承载；强不自动有效，弱也不自动无效。</x:v>
      </x:c>
      <x:c r="R88" s="24" t="str">
        <x:v>喜忌只修正摩擦、平衡与承载，不可直接翻译为好坏、成熟度或解决方案。</x:v>
      </x:c>
      <x:c r="S88" s="24" t="str">
        <x:v>原十神功能有效；真合化成立时按化神功能替换，合化争议时停止定性。</x:v>
      </x:c>
      <x:c r="T88" s="24" t="str">
        <x:v>近位提高直接相关性；远位仅保留背景、阶段或低置信修正。</x:v>
      </x:c>
      <x:c r="U88" s="24" t="str">
        <x:v>89</x:v>
      </x:c>
      <x:c r="V88" s="24" t="str">
        <x:v>独立有效+6</x:v>
      </x:c>
      <x:c r="W88" s="24" t="str">
        <x:v>buffer_evidence</x:v>
      </x:c>
      <x:c r="X88" s="24" t="str">
        <x:v>有效平等边界与自我复核需要：比肩功能有独立来源、能够进入亲密关系核心，并在现实中表现为清楚边界、分工和共同决定。</x:v>
      </x:c>
      <x:c r="Y88" s="24" t="str">
        <x:v>从结构上看，你具备平等边界与自我复核的资源，但还要确认现实中能否稳定使用。</x:v>
      </x:c>
      <x:c r="Z88" s="24" t="str">
        <x:v>不得仅凭本规则断定问题已经解决、关系必然稳定、用户一定成熟、某十神天然是“药”、喜用神自动等于解决办法，或淡化暴力、强迫与现实伤害；现实行为、反例、安全事实和专业支持优先。</x:v>
      </x:c>
      <x:c r="AA88" s="24" t="str">
        <x:v>中高</x:v>
      </x:c>
      <x:c r="AB88" s="24" t="str">
        <x:v>待验证</x:v>
      </x:c>
      <x:c r="AC88" s="24" t="str"/>
      <x:c r="AD88" s="24" t="str">
        <x:v>provisional=true；保护因素的现实有效性必须由可观察行为、反馈和持续结果验证。</x:v>
      </x:c>
      <x:c r="AE88" s="24" t="str">
        <x:v>0.8</x:v>
      </x:c>
    </x:row>
    <x:row r="89" ht="52" customHeight="1">
      <x:c r="A89" s="24" t="str">
        <x:v>M4-BUFFER-088</x:v>
      </x:c>
      <x:c r="B89" s="24" t="str">
        <x:v>比肩｜平等边界与自我复核｜不足或伪保护</x:v>
      </x:c>
      <x:c r="C89" s="24" t="str">
        <x:v>L2 十神保护通道</x:v>
      </x:c>
      <x:c r="D89" s="24" t="str">
        <x:v>BUFFER-十神保护通道</x:v>
      </x:c>
      <x:c r="E89" s="24" t="str">
        <x:v>通用</x:v>
      </x:c>
      <x:c r="F89" s="24" t="str">
        <x:v>降级</x:v>
      </x:c>
      <x:c r="G89" s="24" t="str">
        <x:v>比肩</x:v>
      </x:c>
      <x:c r="H89" s="24" t="str">
        <x:v>BF03／BF05；识别该十神的保护性误用。</x:v>
      </x:c>
      <x:c r="I89" s="24" t="str">
        <x:v>只强调“公平”“各管各的”，却缺少合作、反馈或责任分工。</x:v>
      </x:c>
      <x:c r="J89" s="24" t="str">
        <x:v>现实中该通道已经改变风险链并持续有效。</x:v>
      </x:c>
      <x:c r="K89" s="24" t="str">
        <x:v>由共享基础引擎提供；仅修正保护功能的承载、持续调用和压力状态下的稳定性，不直接等同成熟度、道德或现实行为。</x:v>
      </x:c>
      <x:c r="L89" s="24" t="str">
        <x:v>由M1／M2接口提供；夫妻星、心动原型和关系门槛只说明关系议题，不单独证明保护因素已经被调用或有效。</x:v>
      </x:c>
      <x:c r="M89" s="24" t="str">
        <x:v>由M3-BASE及M4各模块提供；日支、日柱近位可提高与亲密关系核心的相关性，但同一source_id不得重复计分。</x:v>
      </x:c>
      <x:c r="N89" s="24" t="str">
        <x:v>保护因素必须明确限制过用、补足缺位、恢复顺序、打开反馈、落实改变或完成修复回流；不能只凭五行相生补写现实效果。</x:v>
      </x:c>
      <x:c r="O89" s="24" t="str">
        <x:v>近位提高进入亲密关系核心的概率；远位只作背景、阶段或条件性修正。</x:v>
      </x:c>
      <x:c r="P89" s="24" t="str">
        <x:v>根气只修正该保护功能是否容易重复调用，不等于现实中已经形成稳定保护。</x:v>
      </x:c>
      <x:c r="Q89" s="24" t="str">
        <x:v>旺弱只修正调用强度与承载；强不自动有效，弱也不自动无效。</x:v>
      </x:c>
      <x:c r="R89" s="24" t="str">
        <x:v>喜忌只修正摩擦、平衡与承载，不可直接翻译为好坏、成熟度或解决方案。</x:v>
      </x:c>
      <x:c r="S89" s="24" t="str">
        <x:v>原十神功能有效；真合化成立时按化神功能替换，合化争议时停止定性。</x:v>
      </x:c>
      <x:c r="T89" s="24" t="str">
        <x:v>近位提高直接相关性；远位仅保留背景、阶段或低置信修正。</x:v>
      </x:c>
      <x:c r="U89" s="24" t="str">
        <x:v>94</x:v>
      </x:c>
      <x:c r="V89" s="24" t="str">
        <x:v>失效-8</x:v>
      </x:c>
      <x:c r="W89" s="24" t="str">
        <x:v>pseudo_buffer</x:v>
      </x:c>
      <x:c r="X89" s="24" t="str">
        <x:v>比肩在保护位置失效时常表现为：只强调“公平”“各管各的”，却缺少合作、反馈或责任分工。</x:v>
      </x:c>
      <x:c r="Y89" s="24" t="str">
        <x:v>如果这项方式只停留在表面，或让另一项必要任务更晚进入，就不能把它当成稳定保护。</x:v>
      </x:c>
      <x:c r="Z89" s="24" t="str">
        <x:v>不得仅凭本规则断定问题已经解决、关系必然稳定、用户一定成熟、某十神天然是“药”、喜用神自动等于解决办法，或淡化暴力、强迫与现实伤害；现实行为、反例、安全事实和专业支持优先。</x:v>
      </x:c>
      <x:c r="AA89" s="24" t="str">
        <x:v>中高</x:v>
      </x:c>
      <x:c r="AB89" s="24" t="str">
        <x:v>待验证</x:v>
      </x:c>
      <x:c r="AC89" s="24" t="str"/>
      <x:c r="AD89" s="24" t="str">
        <x:v>provisional=true；保护因素的现实有效性必须由可观察行为、反馈和持续结果验证。</x:v>
      </x:c>
      <x:c r="AE89" s="24" t="str">
        <x:v>0.8</x:v>
      </x:c>
    </x:row>
    <x:row r="90" ht="52" customHeight="1">
      <x:c r="A90" s="24" t="str">
        <x:v>M4-BUFFER-089</x:v>
      </x:c>
      <x:c r="B90" s="24" t="str">
        <x:v>比肩｜平等边界与自我复核｜用户输出</x:v>
      </x:c>
      <x:c r="C90" s="24" t="str">
        <x:v>L2 十神保护通道</x:v>
      </x:c>
      <x:c r="D90" s="24" t="str">
        <x:v>BUFFER-十神保护通道</x:v>
      </x:c>
      <x:c r="E90" s="24" t="str">
        <x:v>通用</x:v>
      </x:c>
      <x:c r="F90" s="24" t="str">
        <x:v>语言</x:v>
      </x:c>
      <x:c r="G90" s="24" t="str">
        <x:v>比肩</x:v>
      </x:c>
      <x:c r="H90" s="24" t="str">
        <x:v>BF03／BF05；生成用户可理解的保护资源描述。</x:v>
      </x:c>
      <x:c r="I90" s="24" t="str">
        <x:v>比肩功能有独立来源、能够进入亲密关系核心，并在现实中表现为清楚边界、分工和共同决定。</x:v>
      </x:c>
      <x:c r="J90" s="24" t="str">
        <x:v>只强调“公平”“各管各的”，却缺少合作、反馈或责任分工。</x:v>
      </x:c>
      <x:c r="K90" s="24" t="str">
        <x:v>由共享基础引擎提供；仅修正保护功能的承载、持续调用和压力状态下的稳定性，不直接等同成熟度、道德或现实行为。</x:v>
      </x:c>
      <x:c r="L90" s="24" t="str">
        <x:v>由M1／M2接口提供；夫妻星、心动原型和关系门槛只说明关系议题，不单独证明保护因素已经被调用或有效。</x:v>
      </x:c>
      <x:c r="M90" s="24" t="str">
        <x:v>由M3-BASE及M4各模块提供；日支、日柱近位可提高与亲密关系核心的相关性，但同一source_id不得重复计分。</x:v>
      </x:c>
      <x:c r="N90" s="24" t="str">
        <x:v>保护因素必须明确限制过用、补足缺位、恢复顺序、打开反馈、落实改变或完成修复回流；不能只凭五行相生补写现实效果。</x:v>
      </x:c>
      <x:c r="O90" s="24" t="str">
        <x:v>近位提高进入亲密关系核心的概率；远位只作背景、阶段或条件性修正。</x:v>
      </x:c>
      <x:c r="P90" s="24" t="str">
        <x:v>根气只修正该保护功能是否容易重复调用，不等于现实中已经形成稳定保护。</x:v>
      </x:c>
      <x:c r="Q90" s="24" t="str">
        <x:v>旺弱只修正调用强度与承载；强不自动有效，弱也不自动无效。</x:v>
      </x:c>
      <x:c r="R90" s="24" t="str">
        <x:v>喜忌只修正摩擦、平衡与承载，不可直接翻译为好坏、成熟度或解决方案。</x:v>
      </x:c>
      <x:c r="S90" s="24" t="str">
        <x:v>原十神功能有效；真合化成立时按化神功能替换，合化争议时停止定性。</x:v>
      </x:c>
      <x:c r="T90" s="24" t="str">
        <x:v>近位提高直接相关性；远位仅保留背景、阶段或低置信修正。</x:v>
      </x:c>
      <x:c r="U90" s="24" t="str">
        <x:v>84</x:v>
      </x:c>
      <x:c r="V90" s="24" t="str">
        <x:v>不加分；输出</x:v>
      </x:c>
      <x:c r="W90" s="24" t="str">
        <x:v>report_text</x:v>
      </x:c>
      <x:c r="X90" s="24" t="str">
        <x:v>帮助用户区分自己的立场、对方的立场和共同决定范围，保留自主同时允许协商。</x:v>
      </x:c>
      <x:c r="Y90" s="24" t="str">
        <x:v>你已有的保护资源之一，是在关系里把自己的选择和共同决定分开说清，从而减少一方替另一方作主。</x:v>
      </x:c>
      <x:c r="Z90" s="24" t="str">
        <x:v>不得仅凭本规则断定问题已经解决、关系必然稳定、用户一定成熟、某十神天然是“药”、喜用神自动等于解决办法，或淡化暴力、强迫与现实伤害；现实行为、反例、安全事实和专业支持优先。</x:v>
      </x:c>
      <x:c r="AA90" s="24" t="str">
        <x:v>中高</x:v>
      </x:c>
      <x:c r="AB90" s="24" t="str">
        <x:v>待验证</x:v>
      </x:c>
      <x:c r="AC90" s="24" t="str"/>
      <x:c r="AD90" s="24" t="str">
        <x:v>provisional=true；保护因素的现实有效性必须由可观察行为、反馈和持续结果验证。</x:v>
      </x:c>
      <x:c r="AE90" s="24" t="str">
        <x:v>0.8</x:v>
      </x:c>
    </x:row>
    <x:row r="91" ht="52" customHeight="1">
      <x:c r="A91" s="24" t="str">
        <x:v>M4-BUFFER-090</x:v>
      </x:c>
      <x:c r="B91" s="24" t="str">
        <x:v>比肩｜平等边界与自我复核｜禁止推断</x:v>
      </x:c>
      <x:c r="C91" s="24" t="str">
        <x:v>L2 十神保护通道</x:v>
      </x:c>
      <x:c r="D91" s="24" t="str">
        <x:v>BUFFER-十神保护通道</x:v>
      </x:c>
      <x:c r="E91" s="24" t="str">
        <x:v>通用</x:v>
      </x:c>
      <x:c r="F91" s="24" t="str">
        <x:v>边界</x:v>
      </x:c>
      <x:c r="G91" s="24" t="str">
        <x:v>比肩</x:v>
      </x:c>
      <x:c r="H91" s="24" t="str">
        <x:v>BF03／BF05；限制十神保护解释。</x:v>
      </x:c>
      <x:c r="I91" s="24" t="str">
        <x:v>完成同源去重、现实反例和安全检查。</x:v>
      </x:c>
      <x:c r="J91" s="24" t="str">
        <x:v>将该十神写成天然成熟、万能药或关系必稳。</x:v>
      </x:c>
      <x:c r="K91" s="24" t="str">
        <x:v>由共享基础引擎提供；仅修正保护功能的承载、持续调用和压力状态下的稳定性，不直接等同成熟度、道德或现实行为。</x:v>
      </x:c>
      <x:c r="L91" s="24" t="str">
        <x:v>由M1／M2接口提供；夫妻星、心动原型和关系门槛只说明关系议题，不单独证明保护因素已经被调用或有效。</x:v>
      </x:c>
      <x:c r="M91" s="24" t="str">
        <x:v>由M3-BASE及M4各模块提供；日支、日柱近位可提高与亲密关系核心的相关性，但同一source_id不得重复计分。</x:v>
      </x:c>
      <x:c r="N91" s="24" t="str">
        <x:v>保护因素必须明确限制过用、补足缺位、恢复顺序、打开反馈、落实改变或完成修复回流；不能只凭五行相生补写现实效果。</x:v>
      </x:c>
      <x:c r="O91" s="24" t="str">
        <x:v>近位提高进入亲密关系核心的概率；远位只作背景、阶段或条件性修正。</x:v>
      </x:c>
      <x:c r="P91" s="24" t="str">
        <x:v>根气只修正该保护功能是否容易重复调用，不等于现实中已经形成稳定保护。</x:v>
      </x:c>
      <x:c r="Q91" s="24" t="str">
        <x:v>旺弱只修正调用强度与承载；强不自动有效，弱也不自动无效。</x:v>
      </x:c>
      <x:c r="R91" s="24" t="str">
        <x:v>喜忌只修正摩擦、平衡与承载，不可直接翻译为好坏、成熟度或解决方案。</x:v>
      </x:c>
      <x:c r="S91" s="24" t="str">
        <x:v>原十神功能有效；真合化成立时按化神功能替换，合化争议时停止定性。</x:v>
      </x:c>
      <x:c r="T91" s="24" t="str">
        <x:v>近位提高直接相关性；远位仅保留背景、阶段或低置信修正。</x:v>
      </x:c>
      <x:c r="U91" s="24" t="str">
        <x:v>98</x:v>
      </x:c>
      <x:c r="V91" s="24" t="str">
        <x:v>边界／封顶</x:v>
      </x:c>
      <x:c r="W91" s="24" t="str">
        <x:v>boundary_note</x:v>
      </x:c>
      <x:c r="X91" s="24" t="str">
        <x:v>比肩只提供一种功能资源，是否有效取决于靶点、时机、强度和现实结果。</x:v>
      </x:c>
      <x:c r="Y91" s="24" t="str">
        <x:v>这项资源只对特定问题有帮助，并不代表所有关系风险都会因此消失。</x:v>
      </x:c>
      <x:c r="Z91" s="24" t="str">
        <x:v>不得仅凭本规则断定问题已经解决、关系必然稳定、用户一定成熟、某十神天然是“药”、喜用神自动等于解决办法，或淡化暴力、强迫与现实伤害；现实行为、反例、安全事实和专业支持优先。</x:v>
      </x:c>
      <x:c r="AA91" s="24" t="str">
        <x:v>高</x:v>
      </x:c>
      <x:c r="AB91" s="24" t="str">
        <x:v>待验证</x:v>
      </x:c>
      <x:c r="AC91" s="24" t="str"/>
      <x:c r="AD91" s="24" t="str">
        <x:v>provisional=true；保护因素的现实有效性必须由可观察行为、反馈和持续结果验证。</x:v>
      </x:c>
      <x:c r="AE91" s="24" t="str">
        <x:v>0.8</x:v>
      </x:c>
    </x:row>
    <x:row r="92" ht="52" customHeight="1">
      <x:c r="A92" s="24" t="str">
        <x:v>M4-BUFFER-091</x:v>
      </x:c>
      <x:c r="B92" s="24" t="str">
        <x:v>劫财｜即时协作与资源动员｜正常保护功能</x:v>
      </x:c>
      <x:c r="C92" s="24" t="str">
        <x:v>L2 十神保护通道</x:v>
      </x:c>
      <x:c r="D92" s="24" t="str">
        <x:v>BUFFER-十神保护通道</x:v>
      </x:c>
      <x:c r="E92" s="24" t="str">
        <x:v>通用</x:v>
      </x:c>
      <x:c r="F92" s="24" t="str">
        <x:v>定义</x:v>
      </x:c>
      <x:c r="G92" s="24" t="str">
        <x:v>劫财</x:v>
      </x:c>
      <x:c r="H92" s="24" t="str">
        <x:v>BF06／BF08；说明该十神在保护链中的中性功能。</x:v>
      </x:c>
      <x:c r="I92" s="24" t="str">
        <x:v>劫财功能有边界、有分工，并能在行动后回到反馈和责任。</x:v>
      </x:c>
      <x:c r="J92" s="24" t="str">
        <x:v>即时介入变成抢位、资源边界不清或行动结束后没有回访。</x:v>
      </x:c>
      <x:c r="K92" s="24" t="str">
        <x:v>由共享基础引擎提供；仅修正保护功能的承载、持续调用和压力状态下的稳定性，不直接等同成熟度、道德或现实行为。</x:v>
      </x:c>
      <x:c r="L92" s="24" t="str">
        <x:v>由M1／M2接口提供；夫妻星、心动原型和关系门槛只说明关系议题，不单独证明保护因素已经被调用或有效。</x:v>
      </x:c>
      <x:c r="M92" s="24" t="str">
        <x:v>由M3-BASE及M4各模块提供；日支、日柱近位可提高与亲密关系核心的相关性，但同一source_id不得重复计分。</x:v>
      </x:c>
      <x:c r="N92" s="24" t="str">
        <x:v>保护因素必须明确限制过用、补足缺位、恢复顺序、打开反馈、落实改变或完成修复回流；不能只凭五行相生补写现实效果。</x:v>
      </x:c>
      <x:c r="O92" s="24" t="str">
        <x:v>近位提高进入亲密关系核心的概率；远位只作背景、阶段或条件性修正。</x:v>
      </x:c>
      <x:c r="P92" s="24" t="str">
        <x:v>根气只修正该保护功能是否容易重复调用，不等于现实中已经形成稳定保护。</x:v>
      </x:c>
      <x:c r="Q92" s="24" t="str">
        <x:v>旺弱只修正调用强度与承载；强不自动有效，弱也不自动无效。</x:v>
      </x:c>
      <x:c r="R92" s="24" t="str">
        <x:v>喜忌只修正摩擦、平衡与承载，不可直接翻译为好坏、成熟度或解决方案。</x:v>
      </x:c>
      <x:c r="S92" s="24" t="str">
        <x:v>原十神功能有效；真合化成立时按化神功能替换，合化争议时停止定性。</x:v>
      </x:c>
      <x:c r="T92" s="24" t="str">
        <x:v>近位提高直接相关性；远位仅保留背景、阶段或低置信修正。</x:v>
      </x:c>
      <x:c r="U92" s="24" t="str">
        <x:v>90</x:v>
      </x:c>
      <x:c r="V92" s="24" t="str">
        <x:v>基础通道+4</x:v>
      </x:c>
      <x:c r="W92" s="24" t="str">
        <x:v>buffer_channel</x:v>
      </x:c>
      <x:c r="X92" s="24" t="str">
        <x:v>在压力或任务出现时快速调动人力、信息与行动，让问题不只由一人承担。</x:v>
      </x:c>
      <x:c r="Y92" s="24" t="str">
        <x:v>你能够通过快速协作和调动资源分担压力；真正有保护作用的是行动同时保留分工和后续反馈。</x:v>
      </x:c>
      <x:c r="Z92" s="24" t="str">
        <x:v>不得仅凭本规则断定问题已经解决、关系必然稳定、用户一定成熟、某十神天然是“药”、喜用神自动等于解决办法，或淡化暴力、强迫与现实伤害；现实行为、反例、安全事实和专业支持优先。</x:v>
      </x:c>
      <x:c r="AA92" s="24" t="str">
        <x:v>中高</x:v>
      </x:c>
      <x:c r="AB92" s="24" t="str">
        <x:v>待验证</x:v>
      </x:c>
      <x:c r="AC92" s="24" t="str"/>
      <x:c r="AD92" s="24" t="str">
        <x:v>provisional=true；保护因素的现实有效性必须由可观察行为、反馈和持续结果验证。</x:v>
      </x:c>
      <x:c r="AE92" s="24" t="str">
        <x:v>0.8</x:v>
      </x:c>
    </x:row>
    <x:row r="93" ht="52" customHeight="1">
      <x:c r="A93" s="24" t="str">
        <x:v>M4-BUFFER-092</x:v>
      </x:c>
      <x:c r="B93" s="24" t="str">
        <x:v>劫财｜即时协作与资源动员｜主要风险靶点</x:v>
      </x:c>
      <x:c r="C93" s="24" t="str">
        <x:v>L2 十神保护通道</x:v>
      </x:c>
      <x:c r="D93" s="24" t="str">
        <x:v>BUFFER-十神保护通道</x:v>
      </x:c>
      <x:c r="E93" s="24" t="str">
        <x:v>通用</x:v>
      </x:c>
      <x:c r="F93" s="24" t="str">
        <x:v>路由</x:v>
      </x:c>
      <x:c r="G93" s="24" t="str">
        <x:v>劫财</x:v>
      </x:c>
      <x:c r="H93" s="24" t="str">
        <x:v>BF06／BF08；将十神功能路由到适配的风险机制。</x:v>
      </x:c>
      <x:c r="I93" s="24" t="str">
        <x:v>已存在K02功能不足、K04顺序错位、TR04现实压力、RN06补救行动中的至少一项候选。</x:v>
      </x:c>
      <x:c r="J93" s="24" t="str">
        <x:v>没有对应风险靶点，或靶点由同一十神事实重复生成。</x:v>
      </x:c>
      <x:c r="K93" s="24" t="str">
        <x:v>由共享基础引擎提供；仅修正保护功能的承载、持续调用和压力状态下的稳定性，不直接等同成熟度、道德或现实行为。</x:v>
      </x:c>
      <x:c r="L93" s="24" t="str">
        <x:v>由M1／M2接口提供；夫妻星、心动原型和关系门槛只说明关系议题，不单独证明保护因素已经被调用或有效。</x:v>
      </x:c>
      <x:c r="M93" s="24" t="str">
        <x:v>由M3-BASE及M4各模块提供；日支、日柱近位可提高与亲密关系核心的相关性，但同一source_id不得重复计分。</x:v>
      </x:c>
      <x:c r="N93" s="24" t="str">
        <x:v>保护因素必须明确限制过用、补足缺位、恢复顺序、打开反馈、落实改变或完成修复回流；不能只凭五行相生补写现实效果。</x:v>
      </x:c>
      <x:c r="O93" s="24" t="str">
        <x:v>近位提高进入亲密关系核心的概率；远位只作背景、阶段或条件性修正。</x:v>
      </x:c>
      <x:c r="P93" s="24" t="str">
        <x:v>根气只修正该保护功能是否容易重复调用，不等于现实中已经形成稳定保护。</x:v>
      </x:c>
      <x:c r="Q93" s="24" t="str">
        <x:v>旺弱只修正调用强度与承载；强不自动有效，弱也不自动无效。</x:v>
      </x:c>
      <x:c r="R93" s="24" t="str">
        <x:v>喜忌只修正摩擦、平衡与承载，不可直接翻译为好坏、成熟度或解决方案。</x:v>
      </x:c>
      <x:c r="S93" s="24" t="str">
        <x:v>原十神功能有效；真合化成立时按化神功能替换，合化争议时停止定性。</x:v>
      </x:c>
      <x:c r="T93" s="24" t="str">
        <x:v>近位提高直接相关性；远位仅保留背景、阶段或低置信修正。</x:v>
      </x:c>
      <x:c r="U93" s="24" t="str">
        <x:v>88</x:v>
      </x:c>
      <x:c r="V93" s="24" t="str">
        <x:v>靶点匹配+4</x:v>
      </x:c>
      <x:c r="W93" s="24" t="str">
        <x:v>buffer_target</x:v>
      </x:c>
      <x:c r="X93" s="24" t="str">
        <x:v>劫财的保护功能主要路由至：K02功能不足、K04顺序错位、TR04现实压力、RN06补救行动。</x:v>
      </x:c>
      <x:c r="Y93" s="24" t="str">
        <x:v>这项资源主要帮助处理与即时协作与资源动员有关的具体盲点。</x:v>
      </x:c>
      <x:c r="Z93" s="24" t="str">
        <x:v>不得仅凭本规则断定问题已经解决、关系必然稳定、用户一定成熟、某十神天然是“药”、喜用神自动等于解决办法，或淡化暴力、强迫与现实伤害；现实行为、反例、安全事实和专业支持优先。</x:v>
      </x:c>
      <x:c r="AA93" s="24" t="str">
        <x:v>中高</x:v>
      </x:c>
      <x:c r="AB93" s="24" t="str">
        <x:v>待验证</x:v>
      </x:c>
      <x:c r="AC93" s="24" t="str"/>
      <x:c r="AD93" s="24" t="str">
        <x:v>provisional=true；保护因素的现实有效性必须由可观察行为、反馈和持续结果验证。</x:v>
      </x:c>
      <x:c r="AE93" s="24" t="str">
        <x:v>0.8</x:v>
      </x:c>
    </x:row>
    <x:row r="94" ht="52" customHeight="1">
      <x:c r="A94" s="24" t="str">
        <x:v>M4-BUFFER-093</x:v>
      </x:c>
      <x:c r="B94" s="24" t="str">
        <x:v>劫财｜即时协作与资源动员｜有效成立条件</x:v>
      </x:c>
      <x:c r="C94" s="24" t="str">
        <x:v>L2 十神保护通道</x:v>
      </x:c>
      <x:c r="D94" s="24" t="str">
        <x:v>BUFFER-十神保护通道</x:v>
      </x:c>
      <x:c r="E94" s="24" t="str">
        <x:v>通用</x:v>
      </x:c>
      <x:c r="F94" s="24" t="str">
        <x:v>结构证据</x:v>
      </x:c>
      <x:c r="G94" s="24" t="str">
        <x:v>劫财</x:v>
      </x:c>
      <x:c r="H94" s="24" t="str">
        <x:v>BF06／BF08；判断该通道是否可被独立调用。</x:v>
      </x:c>
      <x:c r="I94" s="24" t="str">
        <x:v>劫财功能有边界、有分工，并能在行动后回到反馈和责任。</x:v>
      </x:c>
      <x:c r="J94" s="24" t="str">
        <x:v>即时介入变成抢位、资源边界不清或行动结束后没有回访。</x:v>
      </x:c>
      <x:c r="K94" s="24" t="str">
        <x:v>由共享基础引擎提供；仅修正保护功能的承载、持续调用和压力状态下的稳定性，不直接等同成熟度、道德或现实行为。</x:v>
      </x:c>
      <x:c r="L94" s="24" t="str">
        <x:v>由M1／M2接口提供；夫妻星、心动原型和关系门槛只说明关系议题，不单独证明保护因素已经被调用或有效。</x:v>
      </x:c>
      <x:c r="M94" s="24" t="str">
        <x:v>由M3-BASE及M4各模块提供；日支、日柱近位可提高与亲密关系核心的相关性，但同一source_id不得重复计分。</x:v>
      </x:c>
      <x:c r="N94" s="24" t="str">
        <x:v>保护因素必须明确限制过用、补足缺位、恢复顺序、打开反馈、落实改变或完成修复回流；不能只凭五行相生补写现实效果。</x:v>
      </x:c>
      <x:c r="O94" s="24" t="str">
        <x:v>近位提高进入亲密关系核心的概率；远位只作背景、阶段或条件性修正。</x:v>
      </x:c>
      <x:c r="P94" s="24" t="str">
        <x:v>根气只修正该保护功能是否容易重复调用，不等于现实中已经形成稳定保护。</x:v>
      </x:c>
      <x:c r="Q94" s="24" t="str">
        <x:v>旺弱只修正调用强度与承载；强不自动有效，弱也不自动无效。</x:v>
      </x:c>
      <x:c r="R94" s="24" t="str">
        <x:v>喜忌只修正摩擦、平衡与承载，不可直接翻译为好坏、成熟度或解决方案。</x:v>
      </x:c>
      <x:c r="S94" s="24" t="str">
        <x:v>原十神功能有效；真合化成立时按化神功能替换，合化争议时停止定性。</x:v>
      </x:c>
      <x:c r="T94" s="24" t="str">
        <x:v>近位提高直接相关性；远位仅保留背景、阶段或低置信修正。</x:v>
      </x:c>
      <x:c r="U94" s="24" t="str">
        <x:v>89</x:v>
      </x:c>
      <x:c r="V94" s="24" t="str">
        <x:v>独立有效+6</x:v>
      </x:c>
      <x:c r="W94" s="24" t="str">
        <x:v>buffer_evidence</x:v>
      </x:c>
      <x:c r="X94" s="24" t="str">
        <x:v>有效即时协作与资源动员需要：劫财功能有边界、有分工，并能在行动后回到反馈和责任。</x:v>
      </x:c>
      <x:c r="Y94" s="24" t="str">
        <x:v>从结构上看，你具备即时协作与资源动员的资源，但还要确认现实中能否稳定使用。</x:v>
      </x:c>
      <x:c r="Z94" s="24" t="str">
        <x:v>不得仅凭本规则断定问题已经解决、关系必然稳定、用户一定成熟、某十神天然是“药”、喜用神自动等于解决办法，或淡化暴力、强迫与现实伤害；现实行为、反例、安全事实和专业支持优先。</x:v>
      </x:c>
      <x:c r="AA94" s="24" t="str">
        <x:v>中高</x:v>
      </x:c>
      <x:c r="AB94" s="24" t="str">
        <x:v>待验证</x:v>
      </x:c>
      <x:c r="AC94" s="24" t="str"/>
      <x:c r="AD94" s="24" t="str">
        <x:v>provisional=true；保护因素的现实有效性必须由可观察行为、反馈和持续结果验证。</x:v>
      </x:c>
      <x:c r="AE94" s="24" t="str">
        <x:v>0.8</x:v>
      </x:c>
    </x:row>
    <x:row r="95" ht="52" customHeight="1">
      <x:c r="A95" s="24" t="str">
        <x:v>M4-BUFFER-094</x:v>
      </x:c>
      <x:c r="B95" s="24" t="str">
        <x:v>劫财｜即时协作与资源动员｜不足或伪保护</x:v>
      </x:c>
      <x:c r="C95" s="24" t="str">
        <x:v>L2 十神保护通道</x:v>
      </x:c>
      <x:c r="D95" s="24" t="str">
        <x:v>BUFFER-十神保护通道</x:v>
      </x:c>
      <x:c r="E95" s="24" t="str">
        <x:v>通用</x:v>
      </x:c>
      <x:c r="F95" s="24" t="str">
        <x:v>降级</x:v>
      </x:c>
      <x:c r="G95" s="24" t="str">
        <x:v>劫财</x:v>
      </x:c>
      <x:c r="H95" s="24" t="str">
        <x:v>BF06／BF08；识别该十神的保护性误用。</x:v>
      </x:c>
      <x:c r="I95" s="24" t="str">
        <x:v>即时介入变成抢位、资源边界不清或行动结束后没有回访。</x:v>
      </x:c>
      <x:c r="J95" s="24" t="str">
        <x:v>现实中该通道已经改变风险链并持续有效。</x:v>
      </x:c>
      <x:c r="K95" s="24" t="str">
        <x:v>由共享基础引擎提供；仅修正保护功能的承载、持续调用和压力状态下的稳定性，不直接等同成熟度、道德或现实行为。</x:v>
      </x:c>
      <x:c r="L95" s="24" t="str">
        <x:v>由M1／M2接口提供；夫妻星、心动原型和关系门槛只说明关系议题，不单独证明保护因素已经被调用或有效。</x:v>
      </x:c>
      <x:c r="M95" s="24" t="str">
        <x:v>由M3-BASE及M4各模块提供；日支、日柱近位可提高与亲密关系核心的相关性，但同一source_id不得重复计分。</x:v>
      </x:c>
      <x:c r="N95" s="24" t="str">
        <x:v>保护因素必须明确限制过用、补足缺位、恢复顺序、打开反馈、落实改变或完成修复回流；不能只凭五行相生补写现实效果。</x:v>
      </x:c>
      <x:c r="O95" s="24" t="str">
        <x:v>近位提高进入亲密关系核心的概率；远位只作背景、阶段或条件性修正。</x:v>
      </x:c>
      <x:c r="P95" s="24" t="str">
        <x:v>根气只修正该保护功能是否容易重复调用，不等于现实中已经形成稳定保护。</x:v>
      </x:c>
      <x:c r="Q95" s="24" t="str">
        <x:v>旺弱只修正调用强度与承载；强不自动有效，弱也不自动无效。</x:v>
      </x:c>
      <x:c r="R95" s="24" t="str">
        <x:v>喜忌只修正摩擦、平衡与承载，不可直接翻译为好坏、成熟度或解决方案。</x:v>
      </x:c>
      <x:c r="S95" s="24" t="str">
        <x:v>原十神功能有效；真合化成立时按化神功能替换，合化争议时停止定性。</x:v>
      </x:c>
      <x:c r="T95" s="24" t="str">
        <x:v>近位提高直接相关性；远位仅保留背景、阶段或低置信修正。</x:v>
      </x:c>
      <x:c r="U95" s="24" t="str">
        <x:v>94</x:v>
      </x:c>
      <x:c r="V95" s="24" t="str">
        <x:v>失效-8</x:v>
      </x:c>
      <x:c r="W95" s="24" t="str">
        <x:v>pseudo_buffer</x:v>
      </x:c>
      <x:c r="X95" s="24" t="str">
        <x:v>劫财在保护位置失效时常表现为：即时介入变成抢位、资源边界不清或行动结束后没有回访。</x:v>
      </x:c>
      <x:c r="Y95" s="24" t="str">
        <x:v>如果这项方式只停留在表面，或让另一项必要任务更晚进入，就不能把它当成稳定保护。</x:v>
      </x:c>
      <x:c r="Z95" s="24" t="str">
        <x:v>不得仅凭本规则断定问题已经解决、关系必然稳定、用户一定成熟、某十神天然是“药”、喜用神自动等于解决办法，或淡化暴力、强迫与现实伤害；现实行为、反例、安全事实和专业支持优先。</x:v>
      </x:c>
      <x:c r="AA95" s="24" t="str">
        <x:v>中高</x:v>
      </x:c>
      <x:c r="AB95" s="24" t="str">
        <x:v>待验证</x:v>
      </x:c>
      <x:c r="AC95" s="24" t="str"/>
      <x:c r="AD95" s="24" t="str">
        <x:v>provisional=true；保护因素的现实有效性必须由可观察行为、反馈和持续结果验证。</x:v>
      </x:c>
      <x:c r="AE95" s="24" t="str">
        <x:v>0.8</x:v>
      </x:c>
    </x:row>
    <x:row r="96" ht="52" customHeight="1">
      <x:c r="A96" s="24" t="str">
        <x:v>M4-BUFFER-095</x:v>
      </x:c>
      <x:c r="B96" s="24" t="str">
        <x:v>劫财｜即时协作与资源动员｜用户输出</x:v>
      </x:c>
      <x:c r="C96" s="24" t="str">
        <x:v>L2 十神保护通道</x:v>
      </x:c>
      <x:c r="D96" s="24" t="str">
        <x:v>BUFFER-十神保护通道</x:v>
      </x:c>
      <x:c r="E96" s="24" t="str">
        <x:v>通用</x:v>
      </x:c>
      <x:c r="F96" s="24" t="str">
        <x:v>语言</x:v>
      </x:c>
      <x:c r="G96" s="24" t="str">
        <x:v>劫财</x:v>
      </x:c>
      <x:c r="H96" s="24" t="str">
        <x:v>BF06／BF08；生成用户可理解的保护资源描述。</x:v>
      </x:c>
      <x:c r="I96" s="24" t="str">
        <x:v>劫财功能有边界、有分工，并能在行动后回到反馈和责任。</x:v>
      </x:c>
      <x:c r="J96" s="24" t="str">
        <x:v>即时介入变成抢位、资源边界不清或行动结束后没有回访。</x:v>
      </x:c>
      <x:c r="K96" s="24" t="str">
        <x:v>由共享基础引擎提供；仅修正保护功能的承载、持续调用和压力状态下的稳定性，不直接等同成熟度、道德或现实行为。</x:v>
      </x:c>
      <x:c r="L96" s="24" t="str">
        <x:v>由M1／M2接口提供；夫妻星、心动原型和关系门槛只说明关系议题，不单独证明保护因素已经被调用或有效。</x:v>
      </x:c>
      <x:c r="M96" s="24" t="str">
        <x:v>由M3-BASE及M4各模块提供；日支、日柱近位可提高与亲密关系核心的相关性，但同一source_id不得重复计分。</x:v>
      </x:c>
      <x:c r="N96" s="24" t="str">
        <x:v>保护因素必须明确限制过用、补足缺位、恢复顺序、打开反馈、落实改变或完成修复回流；不能只凭五行相生补写现实效果。</x:v>
      </x:c>
      <x:c r="O96" s="24" t="str">
        <x:v>近位提高进入亲密关系核心的概率；远位只作背景、阶段或条件性修正。</x:v>
      </x:c>
      <x:c r="P96" s="24" t="str">
        <x:v>根气只修正该保护功能是否容易重复调用，不等于现实中已经形成稳定保护。</x:v>
      </x:c>
      <x:c r="Q96" s="24" t="str">
        <x:v>旺弱只修正调用强度与承载；强不自动有效，弱也不自动无效。</x:v>
      </x:c>
      <x:c r="R96" s="24" t="str">
        <x:v>喜忌只修正摩擦、平衡与承载，不可直接翻译为好坏、成熟度或解决方案。</x:v>
      </x:c>
      <x:c r="S96" s="24" t="str">
        <x:v>原十神功能有效；真合化成立时按化神功能替换，合化争议时停止定性。</x:v>
      </x:c>
      <x:c r="T96" s="24" t="str">
        <x:v>近位提高直接相关性；远位仅保留背景、阶段或低置信修正。</x:v>
      </x:c>
      <x:c r="U96" s="24" t="str">
        <x:v>84</x:v>
      </x:c>
      <x:c r="V96" s="24" t="str">
        <x:v>不加分；输出</x:v>
      </x:c>
      <x:c r="W96" s="24" t="str">
        <x:v>report_text</x:v>
      </x:c>
      <x:c r="X96" s="24" t="str">
        <x:v>在压力或任务出现时快速调动人力、信息与行动，让问题不只由一人承担。</x:v>
      </x:c>
      <x:c r="Y96" s="24" t="str">
        <x:v>你能够通过快速协作和调动资源分担压力；真正有保护作用的是行动同时保留分工和后续反馈。</x:v>
      </x:c>
      <x:c r="Z96" s="24" t="str">
        <x:v>不得仅凭本规则断定问题已经解决、关系必然稳定、用户一定成熟、某十神天然是“药”、喜用神自动等于解决办法，或淡化暴力、强迫与现实伤害；现实行为、反例、安全事实和专业支持优先。</x:v>
      </x:c>
      <x:c r="AA96" s="24" t="str">
        <x:v>中高</x:v>
      </x:c>
      <x:c r="AB96" s="24" t="str">
        <x:v>待验证</x:v>
      </x:c>
      <x:c r="AC96" s="24" t="str"/>
      <x:c r="AD96" s="24" t="str">
        <x:v>provisional=true；保护因素的现实有效性必须由可观察行为、反馈和持续结果验证。</x:v>
      </x:c>
      <x:c r="AE96" s="24" t="str">
        <x:v>0.8</x:v>
      </x:c>
    </x:row>
    <x:row r="97" ht="52" customHeight="1">
      <x:c r="A97" s="24" t="str">
        <x:v>M4-BUFFER-096</x:v>
      </x:c>
      <x:c r="B97" s="24" t="str">
        <x:v>劫财｜即时协作与资源动员｜禁止推断</x:v>
      </x:c>
      <x:c r="C97" s="24" t="str">
        <x:v>L2 十神保护通道</x:v>
      </x:c>
      <x:c r="D97" s="24" t="str">
        <x:v>BUFFER-十神保护通道</x:v>
      </x:c>
      <x:c r="E97" s="24" t="str">
        <x:v>通用</x:v>
      </x:c>
      <x:c r="F97" s="24" t="str">
        <x:v>边界</x:v>
      </x:c>
      <x:c r="G97" s="24" t="str">
        <x:v>劫财</x:v>
      </x:c>
      <x:c r="H97" s="24" t="str">
        <x:v>BF06／BF08；限制十神保护解释。</x:v>
      </x:c>
      <x:c r="I97" s="24" t="str">
        <x:v>完成同源去重、现实反例和安全检查。</x:v>
      </x:c>
      <x:c r="J97" s="24" t="str">
        <x:v>将该十神写成天然成熟、万能药或关系必稳。</x:v>
      </x:c>
      <x:c r="K97" s="24" t="str">
        <x:v>由共享基础引擎提供；仅修正保护功能的承载、持续调用和压力状态下的稳定性，不直接等同成熟度、道德或现实行为。</x:v>
      </x:c>
      <x:c r="L97" s="24" t="str">
        <x:v>由M1／M2接口提供；夫妻星、心动原型和关系门槛只说明关系议题，不单独证明保护因素已经被调用或有效。</x:v>
      </x:c>
      <x:c r="M97" s="24" t="str">
        <x:v>由M3-BASE及M4各模块提供；日支、日柱近位可提高与亲密关系核心的相关性，但同一source_id不得重复计分。</x:v>
      </x:c>
      <x:c r="N97" s="24" t="str">
        <x:v>保护因素必须明确限制过用、补足缺位、恢复顺序、打开反馈、落实改变或完成修复回流；不能只凭五行相生补写现实效果。</x:v>
      </x:c>
      <x:c r="O97" s="24" t="str">
        <x:v>近位提高进入亲密关系核心的概率；远位只作背景、阶段或条件性修正。</x:v>
      </x:c>
      <x:c r="P97" s="24" t="str">
        <x:v>根气只修正该保护功能是否容易重复调用，不等于现实中已经形成稳定保护。</x:v>
      </x:c>
      <x:c r="Q97" s="24" t="str">
        <x:v>旺弱只修正调用强度与承载；强不自动有效，弱也不自动无效。</x:v>
      </x:c>
      <x:c r="R97" s="24" t="str">
        <x:v>喜忌只修正摩擦、平衡与承载，不可直接翻译为好坏、成熟度或解决方案。</x:v>
      </x:c>
      <x:c r="S97" s="24" t="str">
        <x:v>原十神功能有效；真合化成立时按化神功能替换，合化争议时停止定性。</x:v>
      </x:c>
      <x:c r="T97" s="24" t="str">
        <x:v>近位提高直接相关性；远位仅保留背景、阶段或低置信修正。</x:v>
      </x:c>
      <x:c r="U97" s="24" t="str">
        <x:v>98</x:v>
      </x:c>
      <x:c r="V97" s="24" t="str">
        <x:v>边界／封顶</x:v>
      </x:c>
      <x:c r="W97" s="24" t="str">
        <x:v>boundary_note</x:v>
      </x:c>
      <x:c r="X97" s="24" t="str">
        <x:v>劫财只提供一种功能资源，是否有效取决于靶点、时机、强度和现实结果。</x:v>
      </x:c>
      <x:c r="Y97" s="24" t="str">
        <x:v>这项资源只对特定问题有帮助，并不代表所有关系风险都会因此消失。</x:v>
      </x:c>
      <x:c r="Z97" s="24" t="str">
        <x:v>不得仅凭本规则断定问题已经解决、关系必然稳定、用户一定成熟、某十神天然是“药”、喜用神自动等于解决办法，或淡化暴力、强迫与现实伤害；现实行为、反例、安全事实和专业支持优先。</x:v>
      </x:c>
      <x:c r="AA97" s="24" t="str">
        <x:v>高</x:v>
      </x:c>
      <x:c r="AB97" s="24" t="str">
        <x:v>待验证</x:v>
      </x:c>
      <x:c r="AC97" s="24" t="str"/>
      <x:c r="AD97" s="24" t="str">
        <x:v>provisional=true；保护因素的现实有效性必须由可观察行为、反馈和持续结果验证。</x:v>
      </x:c>
      <x:c r="AE97" s="24" t="str">
        <x:v>0.8</x:v>
      </x:c>
    </x:row>
    <x:row r="98" ht="52" customHeight="1">
      <x:c r="A98" s="24" t="str">
        <x:v>M4-BUFFER-097</x:v>
      </x:c>
      <x:c r="B98" s="24" t="str">
        <x:v>食神｜降温、舒缓与可接近性｜正常保护功能</x:v>
      </x:c>
      <x:c r="C98" s="24" t="str">
        <x:v>L2 十神保护通道</x:v>
      </x:c>
      <x:c r="D98" s="24" t="str">
        <x:v>BUFFER-十神保护通道</x:v>
      </x:c>
      <x:c r="E98" s="24" t="str">
        <x:v>通用</x:v>
      </x:c>
      <x:c r="F98" s="24" t="str">
        <x:v>定义</x:v>
      </x:c>
      <x:c r="G98" s="24" t="str">
        <x:v>食神</x:v>
      </x:c>
      <x:c r="H98" s="24" t="str">
        <x:v>BF04／BF07／BF08；说明该十神在保护链中的中性功能。</x:v>
      </x:c>
      <x:c r="I98" s="24" t="str">
        <x:v>食神功能用于阶段性降温，之后有明确回访、议题重开和现实处理。</x:v>
      </x:c>
      <x:c r="J98" s="24" t="str">
        <x:v>只恢复舒服氛围，却长期不回到关键问题。</x:v>
      </x:c>
      <x:c r="K98" s="24" t="str">
        <x:v>由共享基础引擎提供；仅修正保护功能的承载、持续调用和压力状态下的稳定性，不直接等同成熟度、道德或现实行为。</x:v>
      </x:c>
      <x:c r="L98" s="24" t="str">
        <x:v>由M1／M2接口提供；夫妻星、心动原型和关系门槛只说明关系议题，不单独证明保护因素已经被调用或有效。</x:v>
      </x:c>
      <x:c r="M98" s="24" t="str">
        <x:v>由M3-BASE及M4各模块提供；日支、日柱近位可提高与亲密关系核心的相关性，但同一source_id不得重复计分。</x:v>
      </x:c>
      <x:c r="N98" s="24" t="str">
        <x:v>保护因素必须明确限制过用、补足缺位、恢复顺序、打开反馈、落实改变或完成修复回流；不能只凭五行相生补写现实效果。</x:v>
      </x:c>
      <x:c r="O98" s="24" t="str">
        <x:v>近位提高进入亲密关系核心的概率；远位只作背景、阶段或条件性修正。</x:v>
      </x:c>
      <x:c r="P98" s="24" t="str">
        <x:v>根气只修正该保护功能是否容易重复调用，不等于现实中已经形成稳定保护。</x:v>
      </x:c>
      <x:c r="Q98" s="24" t="str">
        <x:v>旺弱只修正调用强度与承载；强不自动有效，弱也不自动无效。</x:v>
      </x:c>
      <x:c r="R98" s="24" t="str">
        <x:v>喜忌只修正摩擦、平衡与承载，不可直接翻译为好坏、成熟度或解决方案。</x:v>
      </x:c>
      <x:c r="S98" s="24" t="str">
        <x:v>原十神功能有效；真合化成立时按化神功能替换，合化争议时停止定性。</x:v>
      </x:c>
      <x:c r="T98" s="24" t="str">
        <x:v>近位提高直接相关性；远位仅保留背景、阶段或低置信修正。</x:v>
      </x:c>
      <x:c r="U98" s="24" t="str">
        <x:v>90</x:v>
      </x:c>
      <x:c r="V98" s="24" t="str">
        <x:v>基础通道+4</x:v>
      </x:c>
      <x:c r="W98" s="24" t="str">
        <x:v>buffer_channel</x:v>
      </x:c>
      <x:c r="X98" s="24" t="str">
        <x:v>降低关系强度，恢复基本安全和可沟通状态，为后续关键议题处理创造条件。</x:v>
      </x:c>
      <x:c r="Y98" s="24" t="str">
        <x:v>你有能力先把关系拉回可沟通状态；关键是降温之后要重新进入问题本身，而不是让舒服替代处理。</x:v>
      </x:c>
      <x:c r="Z98" s="24" t="str">
        <x:v>不得仅凭本规则断定问题已经解决、关系必然稳定、用户一定成熟、某十神天然是“药”、喜用神自动等于解决办法，或淡化暴力、强迫与现实伤害；现实行为、反例、安全事实和专业支持优先。</x:v>
      </x:c>
      <x:c r="AA98" s="24" t="str">
        <x:v>中高</x:v>
      </x:c>
      <x:c r="AB98" s="24" t="str">
        <x:v>待验证</x:v>
      </x:c>
      <x:c r="AC98" s="24" t="str"/>
      <x:c r="AD98" s="24" t="str">
        <x:v>provisional=true；保护因素的现实有效性必须由可观察行为、反馈和持续结果验证。</x:v>
      </x:c>
      <x:c r="AE98" s="24" t="str">
        <x:v>0.8</x:v>
      </x:c>
    </x:row>
    <x:row r="99" ht="52" customHeight="1">
      <x:c r="A99" s="24" t="str">
        <x:v>M4-BUFFER-098</x:v>
      </x:c>
      <x:c r="B99" s="24" t="str">
        <x:v>食神｜降温、舒缓与可接近性｜主要风险靶点</x:v>
      </x:c>
      <x:c r="C99" s="24" t="str">
        <x:v>L2 十神保护通道</x:v>
      </x:c>
      <x:c r="D99" s="24" t="str">
        <x:v>BUFFER-十神保护通道</x:v>
      </x:c>
      <x:c r="E99" s="24" t="str">
        <x:v>通用</x:v>
      </x:c>
      <x:c r="F99" s="24" t="str">
        <x:v>路由</x:v>
      </x:c>
      <x:c r="G99" s="24" t="str">
        <x:v>食神</x:v>
      </x:c>
      <x:c r="H99" s="24" t="str">
        <x:v>BF04／BF07／BF08；将十神功能路由到适配的风险机制。</x:v>
      </x:c>
      <x:c r="I99" s="24" t="str">
        <x:v>已存在K01过用、K04顺序错位、LP03和谐延后、RN01安全与RN03影响确认中的至少一项候选。</x:v>
      </x:c>
      <x:c r="J99" s="24" t="str">
        <x:v>没有对应风险靶点，或靶点由同一十神事实重复生成。</x:v>
      </x:c>
      <x:c r="K99" s="24" t="str">
        <x:v>由共享基础引擎提供；仅修正保护功能的承载、持续调用和压力状态下的稳定性，不直接等同成熟度、道德或现实行为。</x:v>
      </x:c>
      <x:c r="L99" s="24" t="str">
        <x:v>由M1／M2接口提供；夫妻星、心动原型和关系门槛只说明关系议题，不单独证明保护因素已经被调用或有效。</x:v>
      </x:c>
      <x:c r="M99" s="24" t="str">
        <x:v>由M3-BASE及M4各模块提供；日支、日柱近位可提高与亲密关系核心的相关性，但同一source_id不得重复计分。</x:v>
      </x:c>
      <x:c r="N99" s="24" t="str">
        <x:v>保护因素必须明确限制过用、补足缺位、恢复顺序、打开反馈、落实改变或完成修复回流；不能只凭五行相生补写现实效果。</x:v>
      </x:c>
      <x:c r="O99" s="24" t="str">
        <x:v>近位提高进入亲密关系核心的概率；远位只作背景、阶段或条件性修正。</x:v>
      </x:c>
      <x:c r="P99" s="24" t="str">
        <x:v>根气只修正该保护功能是否容易重复调用，不等于现实中已经形成稳定保护。</x:v>
      </x:c>
      <x:c r="Q99" s="24" t="str">
        <x:v>旺弱只修正调用强度与承载；强不自动有效，弱也不自动无效。</x:v>
      </x:c>
      <x:c r="R99" s="24" t="str">
        <x:v>喜忌只修正摩擦、平衡与承载，不可直接翻译为好坏、成熟度或解决方案。</x:v>
      </x:c>
      <x:c r="S99" s="24" t="str">
        <x:v>原十神功能有效；真合化成立时按化神功能替换，合化争议时停止定性。</x:v>
      </x:c>
      <x:c r="T99" s="24" t="str">
        <x:v>近位提高直接相关性；远位仅保留背景、阶段或低置信修正。</x:v>
      </x:c>
      <x:c r="U99" s="24" t="str">
        <x:v>88</x:v>
      </x:c>
      <x:c r="V99" s="24" t="str">
        <x:v>靶点匹配+4</x:v>
      </x:c>
      <x:c r="W99" s="24" t="str">
        <x:v>buffer_target</x:v>
      </x:c>
      <x:c r="X99" s="24" t="str">
        <x:v>食神的保护功能主要路由至：K01过用、K04顺序错位、LP03和谐延后、RN01安全与RN03影响确认。</x:v>
      </x:c>
      <x:c r="Y99" s="24" t="str">
        <x:v>这项资源主要帮助处理与降温、舒缓与可接近性有关的具体盲点。</x:v>
      </x:c>
      <x:c r="Z99" s="24" t="str">
        <x:v>不得仅凭本规则断定问题已经解决、关系必然稳定、用户一定成熟、某十神天然是“药”、喜用神自动等于解决办法，或淡化暴力、强迫与现实伤害；现实行为、反例、安全事实和专业支持优先。</x:v>
      </x:c>
      <x:c r="AA99" s="24" t="str">
        <x:v>中高</x:v>
      </x:c>
      <x:c r="AB99" s="24" t="str">
        <x:v>待验证</x:v>
      </x:c>
      <x:c r="AC99" s="24" t="str"/>
      <x:c r="AD99" s="24" t="str">
        <x:v>provisional=true；保护因素的现实有效性必须由可观察行为、反馈和持续结果验证。</x:v>
      </x:c>
      <x:c r="AE99" s="24" t="str">
        <x:v>0.8</x:v>
      </x:c>
    </x:row>
    <x:row r="100" ht="52" customHeight="1">
      <x:c r="A100" s="24" t="str">
        <x:v>M4-BUFFER-099</x:v>
      </x:c>
      <x:c r="B100" s="24" t="str">
        <x:v>食神｜降温、舒缓与可接近性｜有效成立条件</x:v>
      </x:c>
      <x:c r="C100" s="24" t="str">
        <x:v>L2 十神保护通道</x:v>
      </x:c>
      <x:c r="D100" s="24" t="str">
        <x:v>BUFFER-十神保护通道</x:v>
      </x:c>
      <x:c r="E100" s="24" t="str">
        <x:v>通用</x:v>
      </x:c>
      <x:c r="F100" s="24" t="str">
        <x:v>结构证据</x:v>
      </x:c>
      <x:c r="G100" s="24" t="str">
        <x:v>食神</x:v>
      </x:c>
      <x:c r="H100" s="24" t="str">
        <x:v>BF04／BF07／BF08；判断该通道是否可被独立调用。</x:v>
      </x:c>
      <x:c r="I100" s="24" t="str">
        <x:v>食神功能用于阶段性降温，之后有明确回访、议题重开和现实处理。</x:v>
      </x:c>
      <x:c r="J100" s="24" t="str">
        <x:v>只恢复舒服氛围，却长期不回到关键问题。</x:v>
      </x:c>
      <x:c r="K100" s="24" t="str">
        <x:v>由共享基础引擎提供；仅修正保护功能的承载、持续调用和压力状态下的稳定性，不直接等同成熟度、道德或现实行为。</x:v>
      </x:c>
      <x:c r="L100" s="24" t="str">
        <x:v>由M1／M2接口提供；夫妻星、心动原型和关系门槛只说明关系议题，不单独证明保护因素已经被调用或有效。</x:v>
      </x:c>
      <x:c r="M100" s="24" t="str">
        <x:v>由M3-BASE及M4各模块提供；日支、日柱近位可提高与亲密关系核心的相关性，但同一source_id不得重复计分。</x:v>
      </x:c>
      <x:c r="N100" s="24" t="str">
        <x:v>保护因素必须明确限制过用、补足缺位、恢复顺序、打开反馈、落实改变或完成修复回流；不能只凭五行相生补写现实效果。</x:v>
      </x:c>
      <x:c r="O100" s="24" t="str">
        <x:v>近位提高进入亲密关系核心的概率；远位只作背景、阶段或条件性修正。</x:v>
      </x:c>
      <x:c r="P100" s="24" t="str">
        <x:v>根气只修正该保护功能是否容易重复调用，不等于现实中已经形成稳定保护。</x:v>
      </x:c>
      <x:c r="Q100" s="24" t="str">
        <x:v>旺弱只修正调用强度与承载；强不自动有效，弱也不自动无效。</x:v>
      </x:c>
      <x:c r="R100" s="24" t="str">
        <x:v>喜忌只修正摩擦、平衡与承载，不可直接翻译为好坏、成熟度或解决方案。</x:v>
      </x:c>
      <x:c r="S100" s="24" t="str">
        <x:v>原十神功能有效；真合化成立时按化神功能替换，合化争议时停止定性。</x:v>
      </x:c>
      <x:c r="T100" s="24" t="str">
        <x:v>近位提高直接相关性；远位仅保留背景、阶段或低置信修正。</x:v>
      </x:c>
      <x:c r="U100" s="24" t="str">
        <x:v>89</x:v>
      </x:c>
      <x:c r="V100" s="24" t="str">
        <x:v>独立有效+6</x:v>
      </x:c>
      <x:c r="W100" s="24" t="str">
        <x:v>buffer_evidence</x:v>
      </x:c>
      <x:c r="X100" s="24" t="str">
        <x:v>有效降温、舒缓与可接近性需要：食神功能用于阶段性降温，之后有明确回访、议题重开和现实处理。</x:v>
      </x:c>
      <x:c r="Y100" s="24" t="str">
        <x:v>从结构上看，你具备降温、舒缓与可接近性的资源，但还要确认现实中能否稳定使用。</x:v>
      </x:c>
      <x:c r="Z100" s="24" t="str">
        <x:v>不得仅凭本规则断定问题已经解决、关系必然稳定、用户一定成熟、某十神天然是“药”、喜用神自动等于解决办法，或淡化暴力、强迫与现实伤害；现实行为、反例、安全事实和专业支持优先。</x:v>
      </x:c>
      <x:c r="AA100" s="24" t="str">
        <x:v>中高</x:v>
      </x:c>
      <x:c r="AB100" s="24" t="str">
        <x:v>待验证</x:v>
      </x:c>
      <x:c r="AC100" s="24" t="str"/>
      <x:c r="AD100" s="24" t="str">
        <x:v>provisional=true；保护因素的现实有效性必须由可观察行为、反馈和持续结果验证。</x:v>
      </x:c>
      <x:c r="AE100" s="24" t="str">
        <x:v>0.8</x:v>
      </x:c>
    </x:row>
    <x:row r="101" ht="52" customHeight="1">
      <x:c r="A101" s="24" t="str">
        <x:v>M4-BUFFER-100</x:v>
      </x:c>
      <x:c r="B101" s="24" t="str">
        <x:v>食神｜降温、舒缓与可接近性｜不足或伪保护</x:v>
      </x:c>
      <x:c r="C101" s="24" t="str">
        <x:v>L2 十神保护通道</x:v>
      </x:c>
      <x:c r="D101" s="24" t="str">
        <x:v>BUFFER-十神保护通道</x:v>
      </x:c>
      <x:c r="E101" s="24" t="str">
        <x:v>通用</x:v>
      </x:c>
      <x:c r="F101" s="24" t="str">
        <x:v>降级</x:v>
      </x:c>
      <x:c r="G101" s="24" t="str">
        <x:v>食神</x:v>
      </x:c>
      <x:c r="H101" s="24" t="str">
        <x:v>BF04／BF07／BF08；识别该十神的保护性误用。</x:v>
      </x:c>
      <x:c r="I101" s="24" t="str">
        <x:v>只恢复舒服氛围，却长期不回到关键问题。</x:v>
      </x:c>
      <x:c r="J101" s="24" t="str">
        <x:v>现实中该通道已经改变风险链并持续有效。</x:v>
      </x:c>
      <x:c r="K101" s="24" t="str">
        <x:v>由共享基础引擎提供；仅修正保护功能的承载、持续调用和压力状态下的稳定性，不直接等同成熟度、道德或现实行为。</x:v>
      </x:c>
      <x:c r="L101" s="24" t="str">
        <x:v>由M1／M2接口提供；夫妻星、心动原型和关系门槛只说明关系议题，不单独证明保护因素已经被调用或有效。</x:v>
      </x:c>
      <x:c r="M101" s="24" t="str">
        <x:v>由M3-BASE及M4各模块提供；日支、日柱近位可提高与亲密关系核心的相关性，但同一source_id不得重复计分。</x:v>
      </x:c>
      <x:c r="N101" s="24" t="str">
        <x:v>保护因素必须明确限制过用、补足缺位、恢复顺序、打开反馈、落实改变或完成修复回流；不能只凭五行相生补写现实效果。</x:v>
      </x:c>
      <x:c r="O101" s="24" t="str">
        <x:v>近位提高进入亲密关系核心的概率；远位只作背景、阶段或条件性修正。</x:v>
      </x:c>
      <x:c r="P101" s="24" t="str">
        <x:v>根气只修正该保护功能是否容易重复调用，不等于现实中已经形成稳定保护。</x:v>
      </x:c>
      <x:c r="Q101" s="24" t="str">
        <x:v>旺弱只修正调用强度与承载；强不自动有效，弱也不自动无效。</x:v>
      </x:c>
      <x:c r="R101" s="24" t="str">
        <x:v>喜忌只修正摩擦、平衡与承载，不可直接翻译为好坏、成熟度或解决方案。</x:v>
      </x:c>
      <x:c r="S101" s="24" t="str">
        <x:v>原十神功能有效；真合化成立时按化神功能替换，合化争议时停止定性。</x:v>
      </x:c>
      <x:c r="T101" s="24" t="str">
        <x:v>近位提高直接相关性；远位仅保留背景、阶段或低置信修正。</x:v>
      </x:c>
      <x:c r="U101" s="24" t="str">
        <x:v>94</x:v>
      </x:c>
      <x:c r="V101" s="24" t="str">
        <x:v>失效-8</x:v>
      </x:c>
      <x:c r="W101" s="24" t="str">
        <x:v>pseudo_buffer</x:v>
      </x:c>
      <x:c r="X101" s="24" t="str">
        <x:v>食神在保护位置失效时常表现为：只恢复舒服氛围，却长期不回到关键问题。</x:v>
      </x:c>
      <x:c r="Y101" s="24" t="str">
        <x:v>如果这项方式只停留在表面，或让另一项必要任务更晚进入，就不能把它当成稳定保护。</x:v>
      </x:c>
      <x:c r="Z101" s="24" t="str">
        <x:v>不得仅凭本规则断定问题已经解决、关系必然稳定、用户一定成熟、某十神天然是“药”、喜用神自动等于解决办法，或淡化暴力、强迫与现实伤害；现实行为、反例、安全事实和专业支持优先。</x:v>
      </x:c>
      <x:c r="AA101" s="24" t="str">
        <x:v>中高</x:v>
      </x:c>
      <x:c r="AB101" s="24" t="str">
        <x:v>待验证</x:v>
      </x:c>
      <x:c r="AC101" s="24" t="str"/>
      <x:c r="AD101" s="24" t="str">
        <x:v>provisional=true；保护因素的现实有效性必须由可观察行为、反馈和持续结果验证。</x:v>
      </x:c>
      <x:c r="AE101" s="24" t="str">
        <x:v>0.8</x:v>
      </x:c>
    </x:row>
    <x:row r="102" ht="52" customHeight="1">
      <x:c r="A102" s="24" t="str">
        <x:v>M4-BUFFER-101</x:v>
      </x:c>
      <x:c r="B102" s="24" t="str">
        <x:v>食神｜降温、舒缓与可接近性｜用户输出</x:v>
      </x:c>
      <x:c r="C102" s="24" t="str">
        <x:v>L2 十神保护通道</x:v>
      </x:c>
      <x:c r="D102" s="24" t="str">
        <x:v>BUFFER-十神保护通道</x:v>
      </x:c>
      <x:c r="E102" s="24" t="str">
        <x:v>通用</x:v>
      </x:c>
      <x:c r="F102" s="24" t="str">
        <x:v>语言</x:v>
      </x:c>
      <x:c r="G102" s="24" t="str">
        <x:v>食神</x:v>
      </x:c>
      <x:c r="H102" s="24" t="str">
        <x:v>BF04／BF07／BF08；生成用户可理解的保护资源描述。</x:v>
      </x:c>
      <x:c r="I102" s="24" t="str">
        <x:v>食神功能用于阶段性降温，之后有明确回访、议题重开和现实处理。</x:v>
      </x:c>
      <x:c r="J102" s="24" t="str">
        <x:v>只恢复舒服氛围，却长期不回到关键问题。</x:v>
      </x:c>
      <x:c r="K102" s="24" t="str">
        <x:v>由共享基础引擎提供；仅修正保护功能的承载、持续调用和压力状态下的稳定性，不直接等同成熟度、道德或现实行为。</x:v>
      </x:c>
      <x:c r="L102" s="24" t="str">
        <x:v>由M1／M2接口提供；夫妻星、心动原型和关系门槛只说明关系议题，不单独证明保护因素已经被调用或有效。</x:v>
      </x:c>
      <x:c r="M102" s="24" t="str">
        <x:v>由M3-BASE及M4各模块提供；日支、日柱近位可提高与亲密关系核心的相关性，但同一source_id不得重复计分。</x:v>
      </x:c>
      <x:c r="N102" s="24" t="str">
        <x:v>保护因素必须明确限制过用、补足缺位、恢复顺序、打开反馈、落实改变或完成修复回流；不能只凭五行相生补写现实效果。</x:v>
      </x:c>
      <x:c r="O102" s="24" t="str">
        <x:v>近位提高进入亲密关系核心的概率；远位只作背景、阶段或条件性修正。</x:v>
      </x:c>
      <x:c r="P102" s="24" t="str">
        <x:v>根气只修正该保护功能是否容易重复调用，不等于现实中已经形成稳定保护。</x:v>
      </x:c>
      <x:c r="Q102" s="24" t="str">
        <x:v>旺弱只修正调用强度与承载；强不自动有效，弱也不自动无效。</x:v>
      </x:c>
      <x:c r="R102" s="24" t="str">
        <x:v>喜忌只修正摩擦、平衡与承载，不可直接翻译为好坏、成熟度或解决方案。</x:v>
      </x:c>
      <x:c r="S102" s="24" t="str">
        <x:v>原十神功能有效；真合化成立时按化神功能替换，合化争议时停止定性。</x:v>
      </x:c>
      <x:c r="T102" s="24" t="str">
        <x:v>近位提高直接相关性；远位仅保留背景、阶段或低置信修正。</x:v>
      </x:c>
      <x:c r="U102" s="24" t="str">
        <x:v>84</x:v>
      </x:c>
      <x:c r="V102" s="24" t="str">
        <x:v>不加分；输出</x:v>
      </x:c>
      <x:c r="W102" s="24" t="str">
        <x:v>report_text</x:v>
      </x:c>
      <x:c r="X102" s="24" t="str">
        <x:v>降低关系强度，恢复基本安全和可沟通状态，为后续关键议题处理创造条件。</x:v>
      </x:c>
      <x:c r="Y102" s="24" t="str">
        <x:v>你有能力先把关系拉回可沟通状态；关键是降温之后要重新进入问题本身，而不是让舒服替代处理。</x:v>
      </x:c>
      <x:c r="Z102" s="24" t="str">
        <x:v>不得仅凭本规则断定问题已经解决、关系必然稳定、用户一定成熟、某十神天然是“药”、喜用神自动等于解决办法，或淡化暴力、强迫与现实伤害；现实行为、反例、安全事实和专业支持优先。</x:v>
      </x:c>
      <x:c r="AA102" s="24" t="str">
        <x:v>中高</x:v>
      </x:c>
      <x:c r="AB102" s="24" t="str">
        <x:v>待验证</x:v>
      </x:c>
      <x:c r="AC102" s="24" t="str"/>
      <x:c r="AD102" s="24" t="str">
        <x:v>provisional=true；保护因素的现实有效性必须由可观察行为、反馈和持续结果验证。</x:v>
      </x:c>
      <x:c r="AE102" s="24" t="str">
        <x:v>0.8</x:v>
      </x:c>
    </x:row>
    <x:row r="103" ht="52" customHeight="1">
      <x:c r="A103" s="24" t="str">
        <x:v>M4-BUFFER-102</x:v>
      </x:c>
      <x:c r="B103" s="24" t="str">
        <x:v>食神｜降温、舒缓与可接近性｜禁止推断</x:v>
      </x:c>
      <x:c r="C103" s="24" t="str">
        <x:v>L2 十神保护通道</x:v>
      </x:c>
      <x:c r="D103" s="24" t="str">
        <x:v>BUFFER-十神保护通道</x:v>
      </x:c>
      <x:c r="E103" s="24" t="str">
        <x:v>通用</x:v>
      </x:c>
      <x:c r="F103" s="24" t="str">
        <x:v>边界</x:v>
      </x:c>
      <x:c r="G103" s="24" t="str">
        <x:v>食神</x:v>
      </x:c>
      <x:c r="H103" s="24" t="str">
        <x:v>BF04／BF07／BF08；限制十神保护解释。</x:v>
      </x:c>
      <x:c r="I103" s="24" t="str">
        <x:v>完成同源去重、现实反例和安全检查。</x:v>
      </x:c>
      <x:c r="J103" s="24" t="str">
        <x:v>将该十神写成天然成熟、万能药或关系必稳。</x:v>
      </x:c>
      <x:c r="K103" s="24" t="str">
        <x:v>由共享基础引擎提供；仅修正保护功能的承载、持续调用和压力状态下的稳定性，不直接等同成熟度、道德或现实行为。</x:v>
      </x:c>
      <x:c r="L103" s="24" t="str">
        <x:v>由M1／M2接口提供；夫妻星、心动原型和关系门槛只说明关系议题，不单独证明保护因素已经被调用或有效。</x:v>
      </x:c>
      <x:c r="M103" s="24" t="str">
        <x:v>由M3-BASE及M4各模块提供；日支、日柱近位可提高与亲密关系核心的相关性，但同一source_id不得重复计分。</x:v>
      </x:c>
      <x:c r="N103" s="24" t="str">
        <x:v>保护因素必须明确限制过用、补足缺位、恢复顺序、打开反馈、落实改变或完成修复回流；不能只凭五行相生补写现实效果。</x:v>
      </x:c>
      <x:c r="O103" s="24" t="str">
        <x:v>近位提高进入亲密关系核心的概率；远位只作背景、阶段或条件性修正。</x:v>
      </x:c>
      <x:c r="P103" s="24" t="str">
        <x:v>根气只修正该保护功能是否容易重复调用，不等于现实中已经形成稳定保护。</x:v>
      </x:c>
      <x:c r="Q103" s="24" t="str">
        <x:v>旺弱只修正调用强度与承载；强不自动有效，弱也不自动无效。</x:v>
      </x:c>
      <x:c r="R103" s="24" t="str">
        <x:v>喜忌只修正摩擦、平衡与承载，不可直接翻译为好坏、成熟度或解决方案。</x:v>
      </x:c>
      <x:c r="S103" s="24" t="str">
        <x:v>原十神功能有效；真合化成立时按化神功能替换，合化争议时停止定性。</x:v>
      </x:c>
      <x:c r="T103" s="24" t="str">
        <x:v>近位提高直接相关性；远位仅保留背景、阶段或低置信修正。</x:v>
      </x:c>
      <x:c r="U103" s="24" t="str">
        <x:v>98</x:v>
      </x:c>
      <x:c r="V103" s="24" t="str">
        <x:v>边界／封顶</x:v>
      </x:c>
      <x:c r="W103" s="24" t="str">
        <x:v>boundary_note</x:v>
      </x:c>
      <x:c r="X103" s="24" t="str">
        <x:v>食神只提供一种功能资源，是否有效取决于靶点、时机、强度和现实结果。</x:v>
      </x:c>
      <x:c r="Y103" s="24" t="str">
        <x:v>这项资源只对特定问题有帮助，并不代表所有关系风险都会因此消失。</x:v>
      </x:c>
      <x:c r="Z103" s="24" t="str">
        <x:v>不得仅凭本规则断定问题已经解决、关系必然稳定、用户一定成熟、某十神天然是“药”、喜用神自动等于解决办法，或淡化暴力、强迫与现实伤害；现实行为、反例、安全事实和专业支持优先。</x:v>
      </x:c>
      <x:c r="AA103" s="24" t="str">
        <x:v>高</x:v>
      </x:c>
      <x:c r="AB103" s="24" t="str">
        <x:v>待验证</x:v>
      </x:c>
      <x:c r="AC103" s="24" t="str"/>
      <x:c r="AD103" s="24" t="str">
        <x:v>provisional=true；保护因素的现实有效性必须由可观察行为、反馈和持续结果验证。</x:v>
      </x:c>
      <x:c r="AE103" s="24" t="str">
        <x:v>0.8</x:v>
      </x:c>
    </x:row>
    <x:row r="104" ht="52" customHeight="1">
      <x:c r="A104" s="24" t="str">
        <x:v>M4-BUFFER-103</x:v>
      </x:c>
      <x:c r="B104" s="24" t="str">
        <x:v>伤官｜问题命名、表达与反馈核对｜正常保护功能</x:v>
      </x:c>
      <x:c r="C104" s="24" t="str">
        <x:v>L2 十神保护通道</x:v>
      </x:c>
      <x:c r="D104" s="24" t="str">
        <x:v>BUFFER-十神保护通道</x:v>
      </x:c>
      <x:c r="E104" s="24" t="str">
        <x:v>通用</x:v>
      </x:c>
      <x:c r="F104" s="24" t="str">
        <x:v>定义</x:v>
      </x:c>
      <x:c r="G104" s="24" t="str">
        <x:v>伤官</x:v>
      </x:c>
      <x:c r="H104" s="24" t="str">
        <x:v>BF05／BF02；说明该十神在保护链中的中性功能。</x:v>
      </x:c>
      <x:c r="I104" s="24" t="str">
        <x:v>表达包含提问、复述和二次确认，不只是增加信息量。</x:v>
      </x:c>
      <x:c r="J104" s="24" t="str">
        <x:v>长篇解释、反复证明或只输出观点，没有接收对方反馈。</x:v>
      </x:c>
      <x:c r="K104" s="24" t="str">
        <x:v>由共享基础引擎提供；仅修正保护功能的承载、持续调用和压力状态下的稳定性，不直接等同成熟度、道德或现实行为。</x:v>
      </x:c>
      <x:c r="L104" s="24" t="str">
        <x:v>由M1／M2接口提供；夫妻星、心动原型和关系门槛只说明关系议题，不单独证明保护因素已经被调用或有效。</x:v>
      </x:c>
      <x:c r="M104" s="24" t="str">
        <x:v>由M3-BASE及M4各模块提供；日支、日柱近位可提高与亲密关系核心的相关性，但同一source_id不得重复计分。</x:v>
      </x:c>
      <x:c r="N104" s="24" t="str">
        <x:v>保护因素必须明确限制过用、补足缺位、恢复顺序、打开反馈、落实改变或完成修复回流；不能只凭五行相生补写现实效果。</x:v>
      </x:c>
      <x:c r="O104" s="24" t="str">
        <x:v>近位提高进入亲密关系核心的概率；远位只作背景、阶段或条件性修正。</x:v>
      </x:c>
      <x:c r="P104" s="24" t="str">
        <x:v>根气只修正该保护功能是否容易重复调用，不等于现实中已经形成稳定保护。</x:v>
      </x:c>
      <x:c r="Q104" s="24" t="str">
        <x:v>旺弱只修正调用强度与承载；强不自动有效，弱也不自动无效。</x:v>
      </x:c>
      <x:c r="R104" s="24" t="str">
        <x:v>喜忌只修正摩擦、平衡与承载，不可直接翻译为好坏、成熟度或解决方案。</x:v>
      </x:c>
      <x:c r="S104" s="24" t="str">
        <x:v>原十神功能有效；真合化成立时按化神功能替换，合化争议时停止定性。</x:v>
      </x:c>
      <x:c r="T104" s="24" t="str">
        <x:v>近位提高直接相关性；远位仅保留背景、阶段或低置信修正。</x:v>
      </x:c>
      <x:c r="U104" s="24" t="str">
        <x:v>90</x:v>
      </x:c>
      <x:c r="V104" s="24" t="str">
        <x:v>基础通道+4</x:v>
      </x:c>
      <x:c r="W104" s="24" t="str">
        <x:v>buffer_channel</x:v>
      </x:c>
      <x:c r="X104" s="24" t="str">
        <x:v>把事实、影响、需求和边界说明清楚，质疑错误假设，并核对双方理解。</x:v>
      </x:c>
      <x:c r="Y104" s="24" t="str">
        <x:v>你可以通过清楚命名问题和核对理解保护关系；有效点不在说得更多，而在双方能确认真正听懂了什么。</x:v>
      </x:c>
      <x:c r="Z104" s="24" t="str">
        <x:v>不得仅凭本规则断定问题已经解决、关系必然稳定、用户一定成熟、某十神天然是“药”、喜用神自动等于解决办法，或淡化暴力、强迫与现实伤害；现实行为、反例、安全事实和专业支持优先。</x:v>
      </x:c>
      <x:c r="AA104" s="24" t="str">
        <x:v>中高</x:v>
      </x:c>
      <x:c r="AB104" s="24" t="str">
        <x:v>待验证</x:v>
      </x:c>
      <x:c r="AC104" s="24" t="str"/>
      <x:c r="AD104" s="24" t="str">
        <x:v>provisional=true；保护因素的现实有效性必须由可观察行为、反馈和持续结果验证。</x:v>
      </x:c>
      <x:c r="AE104" s="24" t="str">
        <x:v>0.8</x:v>
      </x:c>
    </x:row>
    <x:row r="105" ht="52" customHeight="1">
      <x:c r="A105" s="24" t="str">
        <x:v>M4-BUFFER-104</x:v>
      </x:c>
      <x:c r="B105" s="24" t="str">
        <x:v>伤官｜问题命名、表达与反馈核对｜主要风险靶点</x:v>
      </x:c>
      <x:c r="C105" s="24" t="str">
        <x:v>L2 十神保护通道</x:v>
      </x:c>
      <x:c r="D105" s="24" t="str">
        <x:v>BUFFER-十神保护通道</x:v>
      </x:c>
      <x:c r="E105" s="24" t="str">
        <x:v>通用</x:v>
      </x:c>
      <x:c r="F105" s="24" t="str">
        <x:v>路由</x:v>
      </x:c>
      <x:c r="G105" s="24" t="str">
        <x:v>伤官</x:v>
      </x:c>
      <x:c r="H105" s="24" t="str">
        <x:v>BF05／BF02；将十神功能路由到适配的风险机制。</x:v>
      </x:c>
      <x:c r="I105" s="24" t="str">
        <x:v>已存在K02功能不足、K03替代、K06转换受阻、LP02解释升级中的至少一项候选。</x:v>
      </x:c>
      <x:c r="J105" s="24" t="str">
        <x:v>没有对应风险靶点，或靶点由同一十神事实重复生成。</x:v>
      </x:c>
      <x:c r="K105" s="24" t="str">
        <x:v>由共享基础引擎提供；仅修正保护功能的承载、持续调用和压力状态下的稳定性，不直接等同成熟度、道德或现实行为。</x:v>
      </x:c>
      <x:c r="L105" s="24" t="str">
        <x:v>由M1／M2接口提供；夫妻星、心动原型和关系门槛只说明关系议题，不单独证明保护因素已经被调用或有效。</x:v>
      </x:c>
      <x:c r="M105" s="24" t="str">
        <x:v>由M3-BASE及M4各模块提供；日支、日柱近位可提高与亲密关系核心的相关性，但同一source_id不得重复计分。</x:v>
      </x:c>
      <x:c r="N105" s="24" t="str">
        <x:v>保护因素必须明确限制过用、补足缺位、恢复顺序、打开反馈、落实改变或完成修复回流；不能只凭五行相生补写现实效果。</x:v>
      </x:c>
      <x:c r="O105" s="24" t="str">
        <x:v>近位提高进入亲密关系核心的概率；远位只作背景、阶段或条件性修正。</x:v>
      </x:c>
      <x:c r="P105" s="24" t="str">
        <x:v>根气只修正该保护功能是否容易重复调用，不等于现实中已经形成稳定保护。</x:v>
      </x:c>
      <x:c r="Q105" s="24" t="str">
        <x:v>旺弱只修正调用强度与承载；强不自动有效，弱也不自动无效。</x:v>
      </x:c>
      <x:c r="R105" s="24" t="str">
        <x:v>喜忌只修正摩擦、平衡与承载，不可直接翻译为好坏、成熟度或解决方案。</x:v>
      </x:c>
      <x:c r="S105" s="24" t="str">
        <x:v>原十神功能有效；真合化成立时按化神功能替换，合化争议时停止定性。</x:v>
      </x:c>
      <x:c r="T105" s="24" t="str">
        <x:v>近位提高直接相关性；远位仅保留背景、阶段或低置信修正。</x:v>
      </x:c>
      <x:c r="U105" s="24" t="str">
        <x:v>88</x:v>
      </x:c>
      <x:c r="V105" s="24" t="str">
        <x:v>靶点匹配+4</x:v>
      </x:c>
      <x:c r="W105" s="24" t="str">
        <x:v>buffer_target</x:v>
      </x:c>
      <x:c r="X105" s="24" t="str">
        <x:v>伤官的保护功能主要路由至：K02功能不足、K03替代、K06转换受阻、LP02解释升级。</x:v>
      </x:c>
      <x:c r="Y105" s="24" t="str">
        <x:v>这项资源主要帮助处理与问题命名、表达与反馈核对有关的具体盲点。</x:v>
      </x:c>
      <x:c r="Z105" s="24" t="str">
        <x:v>不得仅凭本规则断定问题已经解决、关系必然稳定、用户一定成熟、某十神天然是“药”、喜用神自动等于解决办法，或淡化暴力、强迫与现实伤害；现实行为、反例、安全事实和专业支持优先。</x:v>
      </x:c>
      <x:c r="AA105" s="24" t="str">
        <x:v>中高</x:v>
      </x:c>
      <x:c r="AB105" s="24" t="str">
        <x:v>待验证</x:v>
      </x:c>
      <x:c r="AC105" s="24" t="str"/>
      <x:c r="AD105" s="24" t="str">
        <x:v>provisional=true；保护因素的现实有效性必须由可观察行为、反馈和持续结果验证。</x:v>
      </x:c>
      <x:c r="AE105" s="24" t="str">
        <x:v>0.8</x:v>
      </x:c>
    </x:row>
    <x:row r="106" ht="52" customHeight="1">
      <x:c r="A106" s="24" t="str">
        <x:v>M4-BUFFER-105</x:v>
      </x:c>
      <x:c r="B106" s="24" t="str">
        <x:v>伤官｜问题命名、表达与反馈核对｜有效成立条件</x:v>
      </x:c>
      <x:c r="C106" s="24" t="str">
        <x:v>L2 十神保护通道</x:v>
      </x:c>
      <x:c r="D106" s="24" t="str">
        <x:v>BUFFER-十神保护通道</x:v>
      </x:c>
      <x:c r="E106" s="24" t="str">
        <x:v>通用</x:v>
      </x:c>
      <x:c r="F106" s="24" t="str">
        <x:v>结构证据</x:v>
      </x:c>
      <x:c r="G106" s="24" t="str">
        <x:v>伤官</x:v>
      </x:c>
      <x:c r="H106" s="24" t="str">
        <x:v>BF05／BF02；判断该通道是否可被独立调用。</x:v>
      </x:c>
      <x:c r="I106" s="24" t="str">
        <x:v>表达包含提问、复述和二次确认，不只是增加信息量。</x:v>
      </x:c>
      <x:c r="J106" s="24" t="str">
        <x:v>长篇解释、反复证明或只输出观点，没有接收对方反馈。</x:v>
      </x:c>
      <x:c r="K106" s="24" t="str">
        <x:v>由共享基础引擎提供；仅修正保护功能的承载、持续调用和压力状态下的稳定性，不直接等同成熟度、道德或现实行为。</x:v>
      </x:c>
      <x:c r="L106" s="24" t="str">
        <x:v>由M1／M2接口提供；夫妻星、心动原型和关系门槛只说明关系议题，不单独证明保护因素已经被调用或有效。</x:v>
      </x:c>
      <x:c r="M106" s="24" t="str">
        <x:v>由M3-BASE及M4各模块提供；日支、日柱近位可提高与亲密关系核心的相关性，但同一source_id不得重复计分。</x:v>
      </x:c>
      <x:c r="N106" s="24" t="str">
        <x:v>保护因素必须明确限制过用、补足缺位、恢复顺序、打开反馈、落实改变或完成修复回流；不能只凭五行相生补写现实效果。</x:v>
      </x:c>
      <x:c r="O106" s="24" t="str">
        <x:v>近位提高进入亲密关系核心的概率；远位只作背景、阶段或条件性修正。</x:v>
      </x:c>
      <x:c r="P106" s="24" t="str">
        <x:v>根气只修正该保护功能是否容易重复调用，不等于现实中已经形成稳定保护。</x:v>
      </x:c>
      <x:c r="Q106" s="24" t="str">
        <x:v>旺弱只修正调用强度与承载；强不自动有效，弱也不自动无效。</x:v>
      </x:c>
      <x:c r="R106" s="24" t="str">
        <x:v>喜忌只修正摩擦、平衡与承载，不可直接翻译为好坏、成熟度或解决方案。</x:v>
      </x:c>
      <x:c r="S106" s="24" t="str">
        <x:v>原十神功能有效；真合化成立时按化神功能替换，合化争议时停止定性。</x:v>
      </x:c>
      <x:c r="T106" s="24" t="str">
        <x:v>近位提高直接相关性；远位仅保留背景、阶段或低置信修正。</x:v>
      </x:c>
      <x:c r="U106" s="24" t="str">
        <x:v>89</x:v>
      </x:c>
      <x:c r="V106" s="24" t="str">
        <x:v>独立有效+6</x:v>
      </x:c>
      <x:c r="W106" s="24" t="str">
        <x:v>buffer_evidence</x:v>
      </x:c>
      <x:c r="X106" s="24" t="str">
        <x:v>有效问题命名、表达与反馈核对需要：表达包含提问、复述和二次确认，不只是增加信息量。</x:v>
      </x:c>
      <x:c r="Y106" s="24" t="str">
        <x:v>从结构上看，你具备问题命名、表达与反馈核对的资源，但还要确认现实中能否稳定使用。</x:v>
      </x:c>
      <x:c r="Z106" s="24" t="str">
        <x:v>不得仅凭本规则断定问题已经解决、关系必然稳定、用户一定成熟、某十神天然是“药”、喜用神自动等于解决办法，或淡化暴力、强迫与现实伤害；现实行为、反例、安全事实和专业支持优先。</x:v>
      </x:c>
      <x:c r="AA106" s="24" t="str">
        <x:v>中高</x:v>
      </x:c>
      <x:c r="AB106" s="24" t="str">
        <x:v>待验证</x:v>
      </x:c>
      <x:c r="AC106" s="24" t="str"/>
      <x:c r="AD106" s="24" t="str">
        <x:v>provisional=true；保护因素的现实有效性必须由可观察行为、反馈和持续结果验证。</x:v>
      </x:c>
      <x:c r="AE106" s="24" t="str">
        <x:v>0.8</x:v>
      </x:c>
    </x:row>
    <x:row r="107" ht="52" customHeight="1">
      <x:c r="A107" s="24" t="str">
        <x:v>M4-BUFFER-106</x:v>
      </x:c>
      <x:c r="B107" s="24" t="str">
        <x:v>伤官｜问题命名、表达与反馈核对｜不足或伪保护</x:v>
      </x:c>
      <x:c r="C107" s="24" t="str">
        <x:v>L2 十神保护通道</x:v>
      </x:c>
      <x:c r="D107" s="24" t="str">
        <x:v>BUFFER-十神保护通道</x:v>
      </x:c>
      <x:c r="E107" s="24" t="str">
        <x:v>通用</x:v>
      </x:c>
      <x:c r="F107" s="24" t="str">
        <x:v>降级</x:v>
      </x:c>
      <x:c r="G107" s="24" t="str">
        <x:v>伤官</x:v>
      </x:c>
      <x:c r="H107" s="24" t="str">
        <x:v>BF05／BF02；识别该十神的保护性误用。</x:v>
      </x:c>
      <x:c r="I107" s="24" t="str">
        <x:v>长篇解释、反复证明或只输出观点，没有接收对方反馈。</x:v>
      </x:c>
      <x:c r="J107" s="24" t="str">
        <x:v>现实中该通道已经改变风险链并持续有效。</x:v>
      </x:c>
      <x:c r="K107" s="24" t="str">
        <x:v>由共享基础引擎提供；仅修正保护功能的承载、持续调用和压力状态下的稳定性，不直接等同成熟度、道德或现实行为。</x:v>
      </x:c>
      <x:c r="L107" s="24" t="str">
        <x:v>由M1／M2接口提供；夫妻星、心动原型和关系门槛只说明关系议题，不单独证明保护因素已经被调用或有效。</x:v>
      </x:c>
      <x:c r="M107" s="24" t="str">
        <x:v>由M3-BASE及M4各模块提供；日支、日柱近位可提高与亲密关系核心的相关性，但同一source_id不得重复计分。</x:v>
      </x:c>
      <x:c r="N107" s="24" t="str">
        <x:v>保护因素必须明确限制过用、补足缺位、恢复顺序、打开反馈、落实改变或完成修复回流；不能只凭五行相生补写现实效果。</x:v>
      </x:c>
      <x:c r="O107" s="24" t="str">
        <x:v>近位提高进入亲密关系核心的概率；远位只作背景、阶段或条件性修正。</x:v>
      </x:c>
      <x:c r="P107" s="24" t="str">
        <x:v>根气只修正该保护功能是否容易重复调用，不等于现实中已经形成稳定保护。</x:v>
      </x:c>
      <x:c r="Q107" s="24" t="str">
        <x:v>旺弱只修正调用强度与承载；强不自动有效，弱也不自动无效。</x:v>
      </x:c>
      <x:c r="R107" s="24" t="str">
        <x:v>喜忌只修正摩擦、平衡与承载，不可直接翻译为好坏、成熟度或解决方案。</x:v>
      </x:c>
      <x:c r="S107" s="24" t="str">
        <x:v>原十神功能有效；真合化成立时按化神功能替换，合化争议时停止定性。</x:v>
      </x:c>
      <x:c r="T107" s="24" t="str">
        <x:v>近位提高直接相关性；远位仅保留背景、阶段或低置信修正。</x:v>
      </x:c>
      <x:c r="U107" s="24" t="str">
        <x:v>94</x:v>
      </x:c>
      <x:c r="V107" s="24" t="str">
        <x:v>失效-8</x:v>
      </x:c>
      <x:c r="W107" s="24" t="str">
        <x:v>pseudo_buffer</x:v>
      </x:c>
      <x:c r="X107" s="24" t="str">
        <x:v>伤官在保护位置失效时常表现为：长篇解释、反复证明或只输出观点，没有接收对方反馈。</x:v>
      </x:c>
      <x:c r="Y107" s="24" t="str">
        <x:v>如果这项方式只停留在表面，或让另一项必要任务更晚进入，就不能把它当成稳定保护。</x:v>
      </x:c>
      <x:c r="Z107" s="24" t="str">
        <x:v>不得仅凭本规则断定问题已经解决、关系必然稳定、用户一定成熟、某十神天然是“药”、喜用神自动等于解决办法，或淡化暴力、强迫与现实伤害；现实行为、反例、安全事实和专业支持优先。</x:v>
      </x:c>
      <x:c r="AA107" s="24" t="str">
        <x:v>中高</x:v>
      </x:c>
      <x:c r="AB107" s="24" t="str">
        <x:v>待验证</x:v>
      </x:c>
      <x:c r="AC107" s="24" t="str"/>
      <x:c r="AD107" s="24" t="str">
        <x:v>provisional=true；保护因素的现实有效性必须由可观察行为、反馈和持续结果验证。</x:v>
      </x:c>
      <x:c r="AE107" s="24" t="str">
        <x:v>0.8</x:v>
      </x:c>
    </x:row>
    <x:row r="108" ht="52" customHeight="1">
      <x:c r="A108" s="24" t="str">
        <x:v>M4-BUFFER-107</x:v>
      </x:c>
      <x:c r="B108" s="24" t="str">
        <x:v>伤官｜问题命名、表达与反馈核对｜用户输出</x:v>
      </x:c>
      <x:c r="C108" s="24" t="str">
        <x:v>L2 十神保护通道</x:v>
      </x:c>
      <x:c r="D108" s="24" t="str">
        <x:v>BUFFER-十神保护通道</x:v>
      </x:c>
      <x:c r="E108" s="24" t="str">
        <x:v>通用</x:v>
      </x:c>
      <x:c r="F108" s="24" t="str">
        <x:v>语言</x:v>
      </x:c>
      <x:c r="G108" s="24" t="str">
        <x:v>伤官</x:v>
      </x:c>
      <x:c r="H108" s="24" t="str">
        <x:v>BF05／BF02；生成用户可理解的保护资源描述。</x:v>
      </x:c>
      <x:c r="I108" s="24" t="str">
        <x:v>表达包含提问、复述和二次确认，不只是增加信息量。</x:v>
      </x:c>
      <x:c r="J108" s="24" t="str">
        <x:v>长篇解释、反复证明或只输出观点，没有接收对方反馈。</x:v>
      </x:c>
      <x:c r="K108" s="24" t="str">
        <x:v>由共享基础引擎提供；仅修正保护功能的承载、持续调用和压力状态下的稳定性，不直接等同成熟度、道德或现实行为。</x:v>
      </x:c>
      <x:c r="L108" s="24" t="str">
        <x:v>由M1／M2接口提供；夫妻星、心动原型和关系门槛只说明关系议题，不单独证明保护因素已经被调用或有效。</x:v>
      </x:c>
      <x:c r="M108" s="24" t="str">
        <x:v>由M3-BASE及M4各模块提供；日支、日柱近位可提高与亲密关系核心的相关性，但同一source_id不得重复计分。</x:v>
      </x:c>
      <x:c r="N108" s="24" t="str">
        <x:v>保护因素必须明确限制过用、补足缺位、恢复顺序、打开反馈、落实改变或完成修复回流；不能只凭五行相生补写现实效果。</x:v>
      </x:c>
      <x:c r="O108" s="24" t="str">
        <x:v>近位提高进入亲密关系核心的概率；远位只作背景、阶段或条件性修正。</x:v>
      </x:c>
      <x:c r="P108" s="24" t="str">
        <x:v>根气只修正该保护功能是否容易重复调用，不等于现实中已经形成稳定保护。</x:v>
      </x:c>
      <x:c r="Q108" s="24" t="str">
        <x:v>旺弱只修正调用强度与承载；强不自动有效，弱也不自动无效。</x:v>
      </x:c>
      <x:c r="R108" s="24" t="str">
        <x:v>喜忌只修正摩擦、平衡与承载，不可直接翻译为好坏、成熟度或解决方案。</x:v>
      </x:c>
      <x:c r="S108" s="24" t="str">
        <x:v>原十神功能有效；真合化成立时按化神功能替换，合化争议时停止定性。</x:v>
      </x:c>
      <x:c r="T108" s="24" t="str">
        <x:v>近位提高直接相关性；远位仅保留背景、阶段或低置信修正。</x:v>
      </x:c>
      <x:c r="U108" s="24" t="str">
        <x:v>84</x:v>
      </x:c>
      <x:c r="V108" s="24" t="str">
        <x:v>不加分；输出</x:v>
      </x:c>
      <x:c r="W108" s="24" t="str">
        <x:v>report_text</x:v>
      </x:c>
      <x:c r="X108" s="24" t="str">
        <x:v>把事实、影响、需求和边界说明清楚，质疑错误假设，并核对双方理解。</x:v>
      </x:c>
      <x:c r="Y108" s="24" t="str">
        <x:v>你可以通过清楚命名问题和核对理解保护关系；有效点不在说得更多，而在双方能确认真正听懂了什么。</x:v>
      </x:c>
      <x:c r="Z108" s="24" t="str">
        <x:v>不得仅凭本规则断定问题已经解决、关系必然稳定、用户一定成熟、某十神天然是“药”、喜用神自动等于解决办法，或淡化暴力、强迫与现实伤害；现实行为、反例、安全事实和专业支持优先。</x:v>
      </x:c>
      <x:c r="AA108" s="24" t="str">
        <x:v>中高</x:v>
      </x:c>
      <x:c r="AB108" s="24" t="str">
        <x:v>待验证</x:v>
      </x:c>
      <x:c r="AC108" s="24" t="str"/>
      <x:c r="AD108" s="24" t="str">
        <x:v>provisional=true；保护因素的现实有效性必须由可观察行为、反馈和持续结果验证。</x:v>
      </x:c>
      <x:c r="AE108" s="24" t="str">
        <x:v>0.8</x:v>
      </x:c>
    </x:row>
    <x:row r="109" ht="52" customHeight="1">
      <x:c r="A109" s="24" t="str">
        <x:v>M4-BUFFER-108</x:v>
      </x:c>
      <x:c r="B109" s="24" t="str">
        <x:v>伤官｜问题命名、表达与反馈核对｜禁止推断</x:v>
      </x:c>
      <x:c r="C109" s="24" t="str">
        <x:v>L2 十神保护通道</x:v>
      </x:c>
      <x:c r="D109" s="24" t="str">
        <x:v>BUFFER-十神保护通道</x:v>
      </x:c>
      <x:c r="E109" s="24" t="str">
        <x:v>通用</x:v>
      </x:c>
      <x:c r="F109" s="24" t="str">
        <x:v>边界</x:v>
      </x:c>
      <x:c r="G109" s="24" t="str">
        <x:v>伤官</x:v>
      </x:c>
      <x:c r="H109" s="24" t="str">
        <x:v>BF05／BF02；限制十神保护解释。</x:v>
      </x:c>
      <x:c r="I109" s="24" t="str">
        <x:v>完成同源去重、现实反例和安全检查。</x:v>
      </x:c>
      <x:c r="J109" s="24" t="str">
        <x:v>将该十神写成天然成熟、万能药或关系必稳。</x:v>
      </x:c>
      <x:c r="K109" s="24" t="str">
        <x:v>由共享基础引擎提供；仅修正保护功能的承载、持续调用和压力状态下的稳定性，不直接等同成熟度、道德或现实行为。</x:v>
      </x:c>
      <x:c r="L109" s="24" t="str">
        <x:v>由M1／M2接口提供；夫妻星、心动原型和关系门槛只说明关系议题，不单独证明保护因素已经被调用或有效。</x:v>
      </x:c>
      <x:c r="M109" s="24" t="str">
        <x:v>由M3-BASE及M4各模块提供；日支、日柱近位可提高与亲密关系核心的相关性，但同一source_id不得重复计分。</x:v>
      </x:c>
      <x:c r="N109" s="24" t="str">
        <x:v>保护因素必须明确限制过用、补足缺位、恢复顺序、打开反馈、落实改变或完成修复回流；不能只凭五行相生补写现实效果。</x:v>
      </x:c>
      <x:c r="O109" s="24" t="str">
        <x:v>近位提高进入亲密关系核心的概率；远位只作背景、阶段或条件性修正。</x:v>
      </x:c>
      <x:c r="P109" s="24" t="str">
        <x:v>根气只修正该保护功能是否容易重复调用，不等于现实中已经形成稳定保护。</x:v>
      </x:c>
      <x:c r="Q109" s="24" t="str">
        <x:v>旺弱只修正调用强度与承载；强不自动有效，弱也不自动无效。</x:v>
      </x:c>
      <x:c r="R109" s="24" t="str">
        <x:v>喜忌只修正摩擦、平衡与承载，不可直接翻译为好坏、成熟度或解决方案。</x:v>
      </x:c>
      <x:c r="S109" s="24" t="str">
        <x:v>原十神功能有效；真合化成立时按化神功能替换，合化争议时停止定性。</x:v>
      </x:c>
      <x:c r="T109" s="24" t="str">
        <x:v>近位提高直接相关性；远位仅保留背景、阶段或低置信修正。</x:v>
      </x:c>
      <x:c r="U109" s="24" t="str">
        <x:v>98</x:v>
      </x:c>
      <x:c r="V109" s="24" t="str">
        <x:v>边界／封顶</x:v>
      </x:c>
      <x:c r="W109" s="24" t="str">
        <x:v>boundary_note</x:v>
      </x:c>
      <x:c r="X109" s="24" t="str">
        <x:v>伤官只提供一种功能资源，是否有效取决于靶点、时机、强度和现实结果。</x:v>
      </x:c>
      <x:c r="Y109" s="24" t="str">
        <x:v>这项资源只对特定问题有帮助，并不代表所有关系风险都会因此消失。</x:v>
      </x:c>
      <x:c r="Z109" s="24" t="str">
        <x:v>不得仅凭本规则断定问题已经解决、关系必然稳定、用户一定成熟、某十神天然是“药”、喜用神自动等于解决办法，或淡化暴力、强迫与现实伤害；现实行为、反例、安全事实和专业支持优先。</x:v>
      </x:c>
      <x:c r="AA109" s="24" t="str">
        <x:v>高</x:v>
      </x:c>
      <x:c r="AB109" s="24" t="str">
        <x:v>待验证</x:v>
      </x:c>
      <x:c r="AC109" s="24" t="str"/>
      <x:c r="AD109" s="24" t="str">
        <x:v>provisional=true；保护因素的现实有效性必须由可观察行为、反馈和持续结果验证。</x:v>
      </x:c>
      <x:c r="AE109" s="24" t="str">
        <x:v>0.8</x:v>
      </x:c>
    </x:row>
    <x:row r="110" ht="52" customHeight="1">
      <x:c r="A110" s="24" t="str">
        <x:v>M4-BUFFER-109</x:v>
      </x:c>
      <x:c r="B110" s="24" t="str">
        <x:v>正财｜持续落实与资源边界｜正常保护功能</x:v>
      </x:c>
      <x:c r="C110" s="24" t="str">
        <x:v>L2 十神保护通道</x:v>
      </x:c>
      <x:c r="D110" s="24" t="str">
        <x:v>BUFFER-十神保护通道</x:v>
      </x:c>
      <x:c r="E110" s="24" t="str">
        <x:v>通用</x:v>
      </x:c>
      <x:c r="F110" s="24" t="str">
        <x:v>定义</x:v>
      </x:c>
      <x:c r="G110" s="24" t="str">
        <x:v>正财</x:v>
      </x:c>
      <x:c r="H110" s="24" t="str">
        <x:v>BF06／BF03；说明该十神在保护链中的中性功能。</x:v>
      </x:c>
      <x:c r="I110" s="24" t="str">
        <x:v>有可执行安排、持续记录和现实回馈，同时资源分工清楚。</x:v>
      </x:c>
      <x:c r="J110" s="24" t="str">
        <x:v>只靠投入量证明关系，或付出增加但需求与回馈没有谈清。</x:v>
      </x:c>
      <x:c r="K110" s="24" t="str">
        <x:v>由共享基础引擎提供；仅修正保护功能的承载、持续调用和压力状态下的稳定性，不直接等同成熟度、道德或现实行为。</x:v>
      </x:c>
      <x:c r="L110" s="24" t="str">
        <x:v>由M1／M2接口提供；夫妻星、心动原型和关系门槛只说明关系议题，不单独证明保护因素已经被调用或有效。</x:v>
      </x:c>
      <x:c r="M110" s="24" t="str">
        <x:v>由M3-BASE及M4各模块提供；日支、日柱近位可提高与亲密关系核心的相关性，但同一source_id不得重复计分。</x:v>
      </x:c>
      <x:c r="N110" s="24" t="str">
        <x:v>保护因素必须明确限制过用、补足缺位、恢复顺序、打开反馈、落实改变或完成修复回流；不能只凭五行相生补写现实效果。</x:v>
      </x:c>
      <x:c r="O110" s="24" t="str">
        <x:v>近位提高进入亲密关系核心的概率；远位只作背景、阶段或条件性修正。</x:v>
      </x:c>
      <x:c r="P110" s="24" t="str">
        <x:v>根气只修正该保护功能是否容易重复调用，不等于现实中已经形成稳定保护。</x:v>
      </x:c>
      <x:c r="Q110" s="24" t="str">
        <x:v>旺弱只修正调用强度与承载；强不自动有效，弱也不自动无效。</x:v>
      </x:c>
      <x:c r="R110" s="24" t="str">
        <x:v>喜忌只修正摩擦、平衡与承载，不可直接翻译为好坏、成熟度或解决方案。</x:v>
      </x:c>
      <x:c r="S110" s="24" t="str">
        <x:v>原十神功能有效；真合化成立时按化神功能替换，合化争议时停止定性。</x:v>
      </x:c>
      <x:c r="T110" s="24" t="str">
        <x:v>近位提高直接相关性；远位仅保留背景、阶段或低置信修正。</x:v>
      </x:c>
      <x:c r="U110" s="24" t="str">
        <x:v>90</x:v>
      </x:c>
      <x:c r="V110" s="24" t="str">
        <x:v>基础通道+4</x:v>
      </x:c>
      <x:c r="W110" s="24" t="str">
        <x:v>buffer_channel</x:v>
      </x:c>
      <x:c r="X110" s="24" t="str">
        <x:v>把承诺、边界和修复方案转成稳定安排、时间资源与重复行为。</x:v>
      </x:c>
      <x:c r="Y110" s="24" t="str">
        <x:v>你能把关系里的共识落到持续安排上；真正的保护来自可重复兑现，而不是单纯做得更多。</x:v>
      </x:c>
      <x:c r="Z110" s="24" t="str">
        <x:v>不得仅凭本规则断定问题已经解决、关系必然稳定、用户一定成熟、某十神天然是“药”、喜用神自动等于解决办法，或淡化暴力、强迫与现实伤害；现实行为、反例、安全事实和专业支持优先。</x:v>
      </x:c>
      <x:c r="AA110" s="24" t="str">
        <x:v>中高</x:v>
      </x:c>
      <x:c r="AB110" s="24" t="str">
        <x:v>待验证</x:v>
      </x:c>
      <x:c r="AC110" s="24" t="str"/>
      <x:c r="AD110" s="24" t="str">
        <x:v>provisional=true；保护因素的现实有效性必须由可观察行为、反馈和持续结果验证。</x:v>
      </x:c>
      <x:c r="AE110" s="24" t="str">
        <x:v>0.8</x:v>
      </x:c>
    </x:row>
    <x:row r="111" ht="52" customHeight="1">
      <x:c r="A111" s="24" t="str">
        <x:v>M4-BUFFER-110</x:v>
      </x:c>
      <x:c r="B111" s="24" t="str">
        <x:v>正财｜持续落实与资源边界｜主要风险靶点</x:v>
      </x:c>
      <x:c r="C111" s="24" t="str">
        <x:v>L2 十神保护通道</x:v>
      </x:c>
      <x:c r="D111" s="24" t="str">
        <x:v>BUFFER-十神保护通道</x:v>
      </x:c>
      <x:c r="E111" s="24" t="str">
        <x:v>通用</x:v>
      </x:c>
      <x:c r="F111" s="24" t="str">
        <x:v>路由</x:v>
      </x:c>
      <x:c r="G111" s="24" t="str">
        <x:v>正财</x:v>
      </x:c>
      <x:c r="H111" s="24" t="str">
        <x:v>BF06／BF03；将十神功能路由到适配的风险机制。</x:v>
      </x:c>
      <x:c r="I111" s="24" t="str">
        <x:v>已存在K06转换受阻、J06初期表现、LP06投入记账、RN06／RN08中的至少一项候选。</x:v>
      </x:c>
      <x:c r="J111" s="24" t="str">
        <x:v>没有对应风险靶点，或靶点由同一十神事实重复生成。</x:v>
      </x:c>
      <x:c r="K111" s="24" t="str">
        <x:v>由共享基础引擎提供；仅修正保护功能的承载、持续调用和压力状态下的稳定性，不直接等同成熟度、道德或现实行为。</x:v>
      </x:c>
      <x:c r="L111" s="24" t="str">
        <x:v>由M1／M2接口提供；夫妻星、心动原型和关系门槛只说明关系议题，不单独证明保护因素已经被调用或有效。</x:v>
      </x:c>
      <x:c r="M111" s="24" t="str">
        <x:v>由M3-BASE及M4各模块提供；日支、日柱近位可提高与亲密关系核心的相关性，但同一source_id不得重复计分。</x:v>
      </x:c>
      <x:c r="N111" s="24" t="str">
        <x:v>保护因素必须明确限制过用、补足缺位、恢复顺序、打开反馈、落实改变或完成修复回流；不能只凭五行相生补写现实效果。</x:v>
      </x:c>
      <x:c r="O111" s="24" t="str">
        <x:v>近位提高进入亲密关系核心的概率；远位只作背景、阶段或条件性修正。</x:v>
      </x:c>
      <x:c r="P111" s="24" t="str">
        <x:v>根气只修正该保护功能是否容易重复调用，不等于现实中已经形成稳定保护。</x:v>
      </x:c>
      <x:c r="Q111" s="24" t="str">
        <x:v>旺弱只修正调用强度与承载；强不自动有效，弱也不自动无效。</x:v>
      </x:c>
      <x:c r="R111" s="24" t="str">
        <x:v>喜忌只修正摩擦、平衡与承载，不可直接翻译为好坏、成熟度或解决方案。</x:v>
      </x:c>
      <x:c r="S111" s="24" t="str">
        <x:v>原十神功能有效；真合化成立时按化神功能替换，合化争议时停止定性。</x:v>
      </x:c>
      <x:c r="T111" s="24" t="str">
        <x:v>近位提高直接相关性；远位仅保留背景、阶段或低置信修正。</x:v>
      </x:c>
      <x:c r="U111" s="24" t="str">
        <x:v>88</x:v>
      </x:c>
      <x:c r="V111" s="24" t="str">
        <x:v>靶点匹配+4</x:v>
      </x:c>
      <x:c r="W111" s="24" t="str">
        <x:v>buffer_target</x:v>
      </x:c>
      <x:c r="X111" s="24" t="str">
        <x:v>正财的保护功能主要路由至：K06转换受阻、J06初期表现、LP06投入记账、RN06／RN08。</x:v>
      </x:c>
      <x:c r="Y111" s="24" t="str">
        <x:v>这项资源主要帮助处理与持续落实与资源边界有关的具体盲点。</x:v>
      </x:c>
      <x:c r="Z111" s="24" t="str">
        <x:v>不得仅凭本规则断定问题已经解决、关系必然稳定、用户一定成熟、某十神天然是“药”、喜用神自动等于解决办法，或淡化暴力、强迫与现实伤害；现实行为、反例、安全事实和专业支持优先。</x:v>
      </x:c>
      <x:c r="AA111" s="24" t="str">
        <x:v>中高</x:v>
      </x:c>
      <x:c r="AB111" s="24" t="str">
        <x:v>待验证</x:v>
      </x:c>
      <x:c r="AC111" s="24" t="str"/>
      <x:c r="AD111" s="24" t="str">
        <x:v>provisional=true；保护因素的现实有效性必须由可观察行为、反馈和持续结果验证。</x:v>
      </x:c>
      <x:c r="AE111" s="24" t="str">
        <x:v>0.8</x:v>
      </x:c>
    </x:row>
    <x:row r="112" ht="52" customHeight="1">
      <x:c r="A112" s="24" t="str">
        <x:v>M4-BUFFER-111</x:v>
      </x:c>
      <x:c r="B112" s="24" t="str">
        <x:v>正财｜持续落实与资源边界｜有效成立条件</x:v>
      </x:c>
      <x:c r="C112" s="24" t="str">
        <x:v>L2 十神保护通道</x:v>
      </x:c>
      <x:c r="D112" s="24" t="str">
        <x:v>BUFFER-十神保护通道</x:v>
      </x:c>
      <x:c r="E112" s="24" t="str">
        <x:v>通用</x:v>
      </x:c>
      <x:c r="F112" s="24" t="str">
        <x:v>结构证据</x:v>
      </x:c>
      <x:c r="G112" s="24" t="str">
        <x:v>正财</x:v>
      </x:c>
      <x:c r="H112" s="24" t="str">
        <x:v>BF06／BF03；判断该通道是否可被独立调用。</x:v>
      </x:c>
      <x:c r="I112" s="24" t="str">
        <x:v>有可执行安排、持续记录和现实回馈，同时资源分工清楚。</x:v>
      </x:c>
      <x:c r="J112" s="24" t="str">
        <x:v>只靠投入量证明关系，或付出增加但需求与回馈没有谈清。</x:v>
      </x:c>
      <x:c r="K112" s="24" t="str">
        <x:v>由共享基础引擎提供；仅修正保护功能的承载、持续调用和压力状态下的稳定性，不直接等同成熟度、道德或现实行为。</x:v>
      </x:c>
      <x:c r="L112" s="24" t="str">
        <x:v>由M1／M2接口提供；夫妻星、心动原型和关系门槛只说明关系议题，不单独证明保护因素已经被调用或有效。</x:v>
      </x:c>
      <x:c r="M112" s="24" t="str">
        <x:v>由M3-BASE及M4各模块提供；日支、日柱近位可提高与亲密关系核心的相关性，但同一source_id不得重复计分。</x:v>
      </x:c>
      <x:c r="N112" s="24" t="str">
        <x:v>保护因素必须明确限制过用、补足缺位、恢复顺序、打开反馈、落实改变或完成修复回流；不能只凭五行相生补写现实效果。</x:v>
      </x:c>
      <x:c r="O112" s="24" t="str">
        <x:v>近位提高进入亲密关系核心的概率；远位只作背景、阶段或条件性修正。</x:v>
      </x:c>
      <x:c r="P112" s="24" t="str">
        <x:v>根气只修正该保护功能是否容易重复调用，不等于现实中已经形成稳定保护。</x:v>
      </x:c>
      <x:c r="Q112" s="24" t="str">
        <x:v>旺弱只修正调用强度与承载；强不自动有效，弱也不自动无效。</x:v>
      </x:c>
      <x:c r="R112" s="24" t="str">
        <x:v>喜忌只修正摩擦、平衡与承载，不可直接翻译为好坏、成熟度或解决方案。</x:v>
      </x:c>
      <x:c r="S112" s="24" t="str">
        <x:v>原十神功能有效；真合化成立时按化神功能替换，合化争议时停止定性。</x:v>
      </x:c>
      <x:c r="T112" s="24" t="str">
        <x:v>近位提高直接相关性；远位仅保留背景、阶段或低置信修正。</x:v>
      </x:c>
      <x:c r="U112" s="24" t="str">
        <x:v>89</x:v>
      </x:c>
      <x:c r="V112" s="24" t="str">
        <x:v>独立有效+6</x:v>
      </x:c>
      <x:c r="W112" s="24" t="str">
        <x:v>buffer_evidence</x:v>
      </x:c>
      <x:c r="X112" s="24" t="str">
        <x:v>有效持续落实与资源边界需要：有可执行安排、持续记录和现实回馈，同时资源分工清楚。</x:v>
      </x:c>
      <x:c r="Y112" s="24" t="str">
        <x:v>从结构上看，你具备持续落实与资源边界的资源，但还要确认现实中能否稳定使用。</x:v>
      </x:c>
      <x:c r="Z112" s="24" t="str">
        <x:v>不得仅凭本规则断定问题已经解决、关系必然稳定、用户一定成熟、某十神天然是“药”、喜用神自动等于解决办法，或淡化暴力、强迫与现实伤害；现实行为、反例、安全事实和专业支持优先。</x:v>
      </x:c>
      <x:c r="AA112" s="24" t="str">
        <x:v>中高</x:v>
      </x:c>
      <x:c r="AB112" s="24" t="str">
        <x:v>待验证</x:v>
      </x:c>
      <x:c r="AC112" s="24" t="str"/>
      <x:c r="AD112" s="24" t="str">
        <x:v>provisional=true；保护因素的现实有效性必须由可观察行为、反馈和持续结果验证。</x:v>
      </x:c>
      <x:c r="AE112" s="24" t="str">
        <x:v>0.8</x:v>
      </x:c>
    </x:row>
    <x:row r="113" ht="52" customHeight="1">
      <x:c r="A113" s="24" t="str">
        <x:v>M4-BUFFER-112</x:v>
      </x:c>
      <x:c r="B113" s="24" t="str">
        <x:v>正财｜持续落实与资源边界｜不足或伪保护</x:v>
      </x:c>
      <x:c r="C113" s="24" t="str">
        <x:v>L2 十神保护通道</x:v>
      </x:c>
      <x:c r="D113" s="24" t="str">
        <x:v>BUFFER-十神保护通道</x:v>
      </x:c>
      <x:c r="E113" s="24" t="str">
        <x:v>通用</x:v>
      </x:c>
      <x:c r="F113" s="24" t="str">
        <x:v>降级</x:v>
      </x:c>
      <x:c r="G113" s="24" t="str">
        <x:v>正财</x:v>
      </x:c>
      <x:c r="H113" s="24" t="str">
        <x:v>BF06／BF03；识别该十神的保护性误用。</x:v>
      </x:c>
      <x:c r="I113" s="24" t="str">
        <x:v>只靠投入量证明关系，或付出增加但需求与回馈没有谈清。</x:v>
      </x:c>
      <x:c r="J113" s="24" t="str">
        <x:v>现实中该通道已经改变风险链并持续有效。</x:v>
      </x:c>
      <x:c r="K113" s="24" t="str">
        <x:v>由共享基础引擎提供；仅修正保护功能的承载、持续调用和压力状态下的稳定性，不直接等同成熟度、道德或现实行为。</x:v>
      </x:c>
      <x:c r="L113" s="24" t="str">
        <x:v>由M1／M2接口提供；夫妻星、心动原型和关系门槛只说明关系议题，不单独证明保护因素已经被调用或有效。</x:v>
      </x:c>
      <x:c r="M113" s="24" t="str">
        <x:v>由M3-BASE及M4各模块提供；日支、日柱近位可提高与亲密关系核心的相关性，但同一source_id不得重复计分。</x:v>
      </x:c>
      <x:c r="N113" s="24" t="str">
        <x:v>保护因素必须明确限制过用、补足缺位、恢复顺序、打开反馈、落实改变或完成修复回流；不能只凭五行相生补写现实效果。</x:v>
      </x:c>
      <x:c r="O113" s="24" t="str">
        <x:v>近位提高进入亲密关系核心的概率；远位只作背景、阶段或条件性修正。</x:v>
      </x:c>
      <x:c r="P113" s="24" t="str">
        <x:v>根气只修正该保护功能是否容易重复调用，不等于现实中已经形成稳定保护。</x:v>
      </x:c>
      <x:c r="Q113" s="24" t="str">
        <x:v>旺弱只修正调用强度与承载；强不自动有效，弱也不自动无效。</x:v>
      </x:c>
      <x:c r="R113" s="24" t="str">
        <x:v>喜忌只修正摩擦、平衡与承载，不可直接翻译为好坏、成熟度或解决方案。</x:v>
      </x:c>
      <x:c r="S113" s="24" t="str">
        <x:v>原十神功能有效；真合化成立时按化神功能替换，合化争议时停止定性。</x:v>
      </x:c>
      <x:c r="T113" s="24" t="str">
        <x:v>近位提高直接相关性；远位仅保留背景、阶段或低置信修正。</x:v>
      </x:c>
      <x:c r="U113" s="24" t="str">
        <x:v>94</x:v>
      </x:c>
      <x:c r="V113" s="24" t="str">
        <x:v>失效-8</x:v>
      </x:c>
      <x:c r="W113" s="24" t="str">
        <x:v>pseudo_buffer</x:v>
      </x:c>
      <x:c r="X113" s="24" t="str">
        <x:v>正财在保护位置失效时常表现为：只靠投入量证明关系，或付出增加但需求与回馈没有谈清。</x:v>
      </x:c>
      <x:c r="Y113" s="24" t="str">
        <x:v>如果这项方式只停留在表面，或让另一项必要任务更晚进入，就不能把它当成稳定保护。</x:v>
      </x:c>
      <x:c r="Z113" s="24" t="str">
        <x:v>不得仅凭本规则断定问题已经解决、关系必然稳定、用户一定成熟、某十神天然是“药”、喜用神自动等于解决办法，或淡化暴力、强迫与现实伤害；现实行为、反例、安全事实和专业支持优先。</x:v>
      </x:c>
      <x:c r="AA113" s="24" t="str">
        <x:v>中高</x:v>
      </x:c>
      <x:c r="AB113" s="24" t="str">
        <x:v>待验证</x:v>
      </x:c>
      <x:c r="AC113" s="24" t="str"/>
      <x:c r="AD113" s="24" t="str">
        <x:v>provisional=true；保护因素的现实有效性必须由可观察行为、反馈和持续结果验证。</x:v>
      </x:c>
      <x:c r="AE113" s="24" t="str">
        <x:v>0.8</x:v>
      </x:c>
    </x:row>
    <x:row r="114" ht="52" customHeight="1">
      <x:c r="A114" s="24" t="str">
        <x:v>M4-BUFFER-113</x:v>
      </x:c>
      <x:c r="B114" s="24" t="str">
        <x:v>正财｜持续落实与资源边界｜用户输出</x:v>
      </x:c>
      <x:c r="C114" s="24" t="str">
        <x:v>L2 十神保护通道</x:v>
      </x:c>
      <x:c r="D114" s="24" t="str">
        <x:v>BUFFER-十神保护通道</x:v>
      </x:c>
      <x:c r="E114" s="24" t="str">
        <x:v>通用</x:v>
      </x:c>
      <x:c r="F114" s="24" t="str">
        <x:v>语言</x:v>
      </x:c>
      <x:c r="G114" s="24" t="str">
        <x:v>正财</x:v>
      </x:c>
      <x:c r="H114" s="24" t="str">
        <x:v>BF06／BF03；生成用户可理解的保护资源描述。</x:v>
      </x:c>
      <x:c r="I114" s="24" t="str">
        <x:v>有可执行安排、持续记录和现实回馈，同时资源分工清楚。</x:v>
      </x:c>
      <x:c r="J114" s="24" t="str">
        <x:v>只靠投入量证明关系，或付出增加但需求与回馈没有谈清。</x:v>
      </x:c>
      <x:c r="K114" s="24" t="str">
        <x:v>由共享基础引擎提供；仅修正保护功能的承载、持续调用和压力状态下的稳定性，不直接等同成熟度、道德或现实行为。</x:v>
      </x:c>
      <x:c r="L114" s="24" t="str">
        <x:v>由M1／M2接口提供；夫妻星、心动原型和关系门槛只说明关系议题，不单独证明保护因素已经被调用或有效。</x:v>
      </x:c>
      <x:c r="M114" s="24" t="str">
        <x:v>由M3-BASE及M4各模块提供；日支、日柱近位可提高与亲密关系核心的相关性，但同一source_id不得重复计分。</x:v>
      </x:c>
      <x:c r="N114" s="24" t="str">
        <x:v>保护因素必须明确限制过用、补足缺位、恢复顺序、打开反馈、落实改变或完成修复回流；不能只凭五行相生补写现实效果。</x:v>
      </x:c>
      <x:c r="O114" s="24" t="str">
        <x:v>近位提高进入亲密关系核心的概率；远位只作背景、阶段或条件性修正。</x:v>
      </x:c>
      <x:c r="P114" s="24" t="str">
        <x:v>根气只修正该保护功能是否容易重复调用，不等于现实中已经形成稳定保护。</x:v>
      </x:c>
      <x:c r="Q114" s="24" t="str">
        <x:v>旺弱只修正调用强度与承载；强不自动有效，弱也不自动无效。</x:v>
      </x:c>
      <x:c r="R114" s="24" t="str">
        <x:v>喜忌只修正摩擦、平衡与承载，不可直接翻译为好坏、成熟度或解决方案。</x:v>
      </x:c>
      <x:c r="S114" s="24" t="str">
        <x:v>原十神功能有效；真合化成立时按化神功能替换，合化争议时停止定性。</x:v>
      </x:c>
      <x:c r="T114" s="24" t="str">
        <x:v>近位提高直接相关性；远位仅保留背景、阶段或低置信修正。</x:v>
      </x:c>
      <x:c r="U114" s="24" t="str">
        <x:v>84</x:v>
      </x:c>
      <x:c r="V114" s="24" t="str">
        <x:v>不加分；输出</x:v>
      </x:c>
      <x:c r="W114" s="24" t="str">
        <x:v>report_text</x:v>
      </x:c>
      <x:c r="X114" s="24" t="str">
        <x:v>把承诺、边界和修复方案转成稳定安排、时间资源与重复行为。</x:v>
      </x:c>
      <x:c r="Y114" s="24" t="str">
        <x:v>你能把关系里的共识落到持续安排上；真正的保护来自可重复兑现，而不是单纯做得更多。</x:v>
      </x:c>
      <x:c r="Z114" s="24" t="str">
        <x:v>不得仅凭本规则断定问题已经解决、关系必然稳定、用户一定成熟、某十神天然是“药”、喜用神自动等于解决办法，或淡化暴力、强迫与现实伤害；现实行为、反例、安全事实和专业支持优先。</x:v>
      </x:c>
      <x:c r="AA114" s="24" t="str">
        <x:v>中高</x:v>
      </x:c>
      <x:c r="AB114" s="24" t="str">
        <x:v>待验证</x:v>
      </x:c>
      <x:c r="AC114" s="24" t="str"/>
      <x:c r="AD114" s="24" t="str">
        <x:v>provisional=true；保护因素的现实有效性必须由可观察行为、反馈和持续结果验证。</x:v>
      </x:c>
      <x:c r="AE114" s="24" t="str">
        <x:v>0.8</x:v>
      </x:c>
    </x:row>
    <x:row r="115" ht="52" customHeight="1">
      <x:c r="A115" s="24" t="str">
        <x:v>M4-BUFFER-114</x:v>
      </x:c>
      <x:c r="B115" s="24" t="str">
        <x:v>正财｜持续落实与资源边界｜禁止推断</x:v>
      </x:c>
      <x:c r="C115" s="24" t="str">
        <x:v>L2 十神保护通道</x:v>
      </x:c>
      <x:c r="D115" s="24" t="str">
        <x:v>BUFFER-十神保护通道</x:v>
      </x:c>
      <x:c r="E115" s="24" t="str">
        <x:v>通用</x:v>
      </x:c>
      <x:c r="F115" s="24" t="str">
        <x:v>边界</x:v>
      </x:c>
      <x:c r="G115" s="24" t="str">
        <x:v>正财</x:v>
      </x:c>
      <x:c r="H115" s="24" t="str">
        <x:v>BF06／BF03；限制十神保护解释。</x:v>
      </x:c>
      <x:c r="I115" s="24" t="str">
        <x:v>完成同源去重、现实反例和安全检查。</x:v>
      </x:c>
      <x:c r="J115" s="24" t="str">
        <x:v>将该十神写成天然成熟、万能药或关系必稳。</x:v>
      </x:c>
      <x:c r="K115" s="24" t="str">
        <x:v>由共享基础引擎提供；仅修正保护功能的承载、持续调用和压力状态下的稳定性，不直接等同成熟度、道德或现实行为。</x:v>
      </x:c>
      <x:c r="L115" s="24" t="str">
        <x:v>由M1／M2接口提供；夫妻星、心动原型和关系门槛只说明关系议题，不单独证明保护因素已经被调用或有效。</x:v>
      </x:c>
      <x:c r="M115" s="24" t="str">
        <x:v>由M3-BASE及M4各模块提供；日支、日柱近位可提高与亲密关系核心的相关性，但同一source_id不得重复计分。</x:v>
      </x:c>
      <x:c r="N115" s="24" t="str">
        <x:v>保护因素必须明确限制过用、补足缺位、恢复顺序、打开反馈、落实改变或完成修复回流；不能只凭五行相生补写现实效果。</x:v>
      </x:c>
      <x:c r="O115" s="24" t="str">
        <x:v>近位提高进入亲密关系核心的概率；远位只作背景、阶段或条件性修正。</x:v>
      </x:c>
      <x:c r="P115" s="24" t="str">
        <x:v>根气只修正该保护功能是否容易重复调用，不等于现实中已经形成稳定保护。</x:v>
      </x:c>
      <x:c r="Q115" s="24" t="str">
        <x:v>旺弱只修正调用强度与承载；强不自动有效，弱也不自动无效。</x:v>
      </x:c>
      <x:c r="R115" s="24" t="str">
        <x:v>喜忌只修正摩擦、平衡与承载，不可直接翻译为好坏、成熟度或解决方案。</x:v>
      </x:c>
      <x:c r="S115" s="24" t="str">
        <x:v>原十神功能有效；真合化成立时按化神功能替换，合化争议时停止定性。</x:v>
      </x:c>
      <x:c r="T115" s="24" t="str">
        <x:v>近位提高直接相关性；远位仅保留背景、阶段或低置信修正。</x:v>
      </x:c>
      <x:c r="U115" s="24" t="str">
        <x:v>98</x:v>
      </x:c>
      <x:c r="V115" s="24" t="str">
        <x:v>边界／封顶</x:v>
      </x:c>
      <x:c r="W115" s="24" t="str">
        <x:v>boundary_note</x:v>
      </x:c>
      <x:c r="X115" s="24" t="str">
        <x:v>正财只提供一种功能资源，是否有效取决于靶点、时机、强度和现实结果。</x:v>
      </x:c>
      <x:c r="Y115" s="24" t="str">
        <x:v>这项资源只对特定问题有帮助，并不代表所有关系风险都会因此消失。</x:v>
      </x:c>
      <x:c r="Z115" s="24" t="str">
        <x:v>不得仅凭本规则断定问题已经解决、关系必然稳定、用户一定成熟、某十神天然是“药”、喜用神自动等于解决办法，或淡化暴力、强迫与现实伤害；现实行为、反例、安全事实和专业支持优先。</x:v>
      </x:c>
      <x:c r="AA115" s="24" t="str">
        <x:v>高</x:v>
      </x:c>
      <x:c r="AB115" s="24" t="str">
        <x:v>待验证</x:v>
      </x:c>
      <x:c r="AC115" s="24" t="str"/>
      <x:c r="AD115" s="24" t="str">
        <x:v>provisional=true；保护因素的现实有效性必须由可观察行为、反馈和持续结果验证。</x:v>
      </x:c>
      <x:c r="AE115" s="24" t="str">
        <x:v>0.8</x:v>
      </x:c>
    </x:row>
    <x:row r="116" ht="52" customHeight="1">
      <x:c r="A116" s="24" t="str">
        <x:v>M4-BUFFER-115</x:v>
      </x:c>
      <x:c r="B116" s="24" t="str">
        <x:v>偏财｜替代方案与灵活资源｜正常保护功能</x:v>
      </x:c>
      <x:c r="C116" s="24" t="str">
        <x:v>L2 十神保护通道</x:v>
      </x:c>
      <x:c r="D116" s="24" t="str">
        <x:v>BUFFER-十神保护通道</x:v>
      </x:c>
      <x:c r="E116" s="24" t="str">
        <x:v>通用</x:v>
      </x:c>
      <x:c r="F116" s="24" t="str">
        <x:v>定义</x:v>
      </x:c>
      <x:c r="G116" s="24" t="str">
        <x:v>偏财</x:v>
      </x:c>
      <x:c r="H116" s="24" t="str">
        <x:v>BF02／BF08；说明该十神在保护链中的中性功能。</x:v>
      </x:c>
      <x:c r="I116" s="24" t="str">
        <x:v>替代方案仍服务于核心门槛，并能转成持续安排。</x:v>
      </x:c>
      <x:c r="J116" s="24" t="str">
        <x:v>不断换场景、换方法或追求新鲜，却没有落地和复盘。</x:v>
      </x:c>
      <x:c r="K116" s="24" t="str">
        <x:v>由共享基础引擎提供；仅修正保护功能的承载、持续调用和压力状态下的稳定性，不直接等同成熟度、道德或现实行为。</x:v>
      </x:c>
      <x:c r="L116" s="24" t="str">
        <x:v>由M1／M2接口提供；夫妻星、心动原型和关系门槛只说明关系议题，不单独证明保护因素已经被调用或有效。</x:v>
      </x:c>
      <x:c r="M116" s="24" t="str">
        <x:v>由M3-BASE及M4各模块提供；日支、日柱近位可提高与亲密关系核心的相关性，但同一source_id不得重复计分。</x:v>
      </x:c>
      <x:c r="N116" s="24" t="str">
        <x:v>保护因素必须明确限制过用、补足缺位、恢复顺序、打开反馈、落实改变或完成修复回流；不能只凭五行相生补写现实效果。</x:v>
      </x:c>
      <x:c r="O116" s="24" t="str">
        <x:v>近位提高进入亲密关系核心的概率；远位只作背景、阶段或条件性修正。</x:v>
      </x:c>
      <x:c r="P116" s="24" t="str">
        <x:v>根气只修正该保护功能是否容易重复调用，不等于现实中已经形成稳定保护。</x:v>
      </x:c>
      <x:c r="Q116" s="24" t="str">
        <x:v>旺弱只修正调用强度与承载；强不自动有效，弱也不自动无效。</x:v>
      </x:c>
      <x:c r="R116" s="24" t="str">
        <x:v>喜忌只修正摩擦、平衡与承载，不可直接翻译为好坏、成熟度或解决方案。</x:v>
      </x:c>
      <x:c r="S116" s="24" t="str">
        <x:v>原十神功能有效；真合化成立时按化神功能替换，合化争议时停止定性。</x:v>
      </x:c>
      <x:c r="T116" s="24" t="str">
        <x:v>近位提高直接相关性；远位仅保留背景、阶段或低置信修正。</x:v>
      </x:c>
      <x:c r="U116" s="24" t="str">
        <x:v>90</x:v>
      </x:c>
      <x:c r="V116" s="24" t="str">
        <x:v>基础通道+4</x:v>
      </x:c>
      <x:c r="W116" s="24" t="str">
        <x:v>buffer_channel</x:v>
      </x:c>
      <x:c r="X116" s="24" t="str">
        <x:v>在原方案卡住时寻找更灵活的路径、环境调整、人脉和现实支持。</x:v>
      </x:c>
      <x:c r="Y116" s="24" t="str">
        <x:v>你有能力在僵局中找到替代路径；有效的关键是新方案最终能回到稳定执行，而不是只换一种体验。</x:v>
      </x:c>
      <x:c r="Z116" s="24" t="str">
        <x:v>不得仅凭本规则断定问题已经解决、关系必然稳定、用户一定成熟、某十神天然是“药”、喜用神自动等于解决办法，或淡化暴力、强迫与现实伤害；现实行为、反例、安全事实和专业支持优先。</x:v>
      </x:c>
      <x:c r="AA116" s="24" t="str">
        <x:v>中高</x:v>
      </x:c>
      <x:c r="AB116" s="24" t="str">
        <x:v>待验证</x:v>
      </x:c>
      <x:c r="AC116" s="24" t="str"/>
      <x:c r="AD116" s="24" t="str">
        <x:v>provisional=true；保护因素的现实有效性必须由可观察行为、反馈和持续结果验证。</x:v>
      </x:c>
      <x:c r="AE116" s="24" t="str">
        <x:v>0.8</x:v>
      </x:c>
    </x:row>
    <x:row r="117" ht="52" customHeight="1">
      <x:c r="A117" s="24" t="str">
        <x:v>M4-BUFFER-116</x:v>
      </x:c>
      <x:c r="B117" s="24" t="str">
        <x:v>偏财｜替代方案与灵活资源｜主要风险靶点</x:v>
      </x:c>
      <x:c r="C117" s="24" t="str">
        <x:v>L2 十神保护通道</x:v>
      </x:c>
      <x:c r="D117" s="24" t="str">
        <x:v>BUFFER-十神保护通道</x:v>
      </x:c>
      <x:c r="E117" s="24" t="str">
        <x:v>通用</x:v>
      </x:c>
      <x:c r="F117" s="24" t="str">
        <x:v>路由</x:v>
      </x:c>
      <x:c r="G117" s="24" t="str">
        <x:v>偏财</x:v>
      </x:c>
      <x:c r="H117" s="24" t="str">
        <x:v>BF02／BF08；将十神功能路由到适配的风险机制。</x:v>
      </x:c>
      <x:c r="I117" s="24" t="str">
        <x:v>已存在K04顺序错位、K05竞争、TR04现实压力、LP10新鲜落地中的至少一项候选。</x:v>
      </x:c>
      <x:c r="J117" s="24" t="str">
        <x:v>没有对应风险靶点，或靶点由同一十神事实重复生成。</x:v>
      </x:c>
      <x:c r="K117" s="24" t="str">
        <x:v>由共享基础引擎提供；仅修正保护功能的承载、持续调用和压力状态下的稳定性，不直接等同成熟度、道德或现实行为。</x:v>
      </x:c>
      <x:c r="L117" s="24" t="str">
        <x:v>由M1／M2接口提供；夫妻星、心动原型和关系门槛只说明关系议题，不单独证明保护因素已经被调用或有效。</x:v>
      </x:c>
      <x:c r="M117" s="24" t="str">
        <x:v>由M3-BASE及M4各模块提供；日支、日柱近位可提高与亲密关系核心的相关性，但同一source_id不得重复计分。</x:v>
      </x:c>
      <x:c r="N117" s="24" t="str">
        <x:v>保护因素必须明确限制过用、补足缺位、恢复顺序、打开反馈、落实改变或完成修复回流；不能只凭五行相生补写现实效果。</x:v>
      </x:c>
      <x:c r="O117" s="24" t="str">
        <x:v>近位提高进入亲密关系核心的概率；远位只作背景、阶段或条件性修正。</x:v>
      </x:c>
      <x:c r="P117" s="24" t="str">
        <x:v>根气只修正该保护功能是否容易重复调用，不等于现实中已经形成稳定保护。</x:v>
      </x:c>
      <x:c r="Q117" s="24" t="str">
        <x:v>旺弱只修正调用强度与承载；强不自动有效，弱也不自动无效。</x:v>
      </x:c>
      <x:c r="R117" s="24" t="str">
        <x:v>喜忌只修正摩擦、平衡与承载，不可直接翻译为好坏、成熟度或解决方案。</x:v>
      </x:c>
      <x:c r="S117" s="24" t="str">
        <x:v>原十神功能有效；真合化成立时按化神功能替换，合化争议时停止定性。</x:v>
      </x:c>
      <x:c r="T117" s="24" t="str">
        <x:v>近位提高直接相关性；远位仅保留背景、阶段或低置信修正。</x:v>
      </x:c>
      <x:c r="U117" s="24" t="str">
        <x:v>88</x:v>
      </x:c>
      <x:c r="V117" s="24" t="str">
        <x:v>靶点匹配+4</x:v>
      </x:c>
      <x:c r="W117" s="24" t="str">
        <x:v>buffer_target</x:v>
      </x:c>
      <x:c r="X117" s="24" t="str">
        <x:v>偏财的保护功能主要路由至：K04顺序错位、K05竞争、TR04现实压力、LP10新鲜落地。</x:v>
      </x:c>
      <x:c r="Y117" s="24" t="str">
        <x:v>这项资源主要帮助处理与替代方案与灵活资源有关的具体盲点。</x:v>
      </x:c>
      <x:c r="Z117" s="24" t="str">
        <x:v>不得仅凭本规则断定问题已经解决、关系必然稳定、用户一定成熟、某十神天然是“药”、喜用神自动等于解决办法，或淡化暴力、强迫与现实伤害；现实行为、反例、安全事实和专业支持优先。</x:v>
      </x:c>
      <x:c r="AA117" s="24" t="str">
        <x:v>中高</x:v>
      </x:c>
      <x:c r="AB117" s="24" t="str">
        <x:v>待验证</x:v>
      </x:c>
      <x:c r="AC117" s="24" t="str"/>
      <x:c r="AD117" s="24" t="str">
        <x:v>provisional=true；保护因素的现实有效性必须由可观察行为、反馈和持续结果验证。</x:v>
      </x:c>
      <x:c r="AE117" s="24" t="str">
        <x:v>0.8</x:v>
      </x:c>
    </x:row>
    <x:row r="118" ht="52" customHeight="1">
      <x:c r="A118" s="24" t="str">
        <x:v>M4-BUFFER-117</x:v>
      </x:c>
      <x:c r="B118" s="24" t="str">
        <x:v>偏财｜替代方案与灵活资源｜有效成立条件</x:v>
      </x:c>
      <x:c r="C118" s="24" t="str">
        <x:v>L2 十神保护通道</x:v>
      </x:c>
      <x:c r="D118" s="24" t="str">
        <x:v>BUFFER-十神保护通道</x:v>
      </x:c>
      <x:c r="E118" s="24" t="str">
        <x:v>通用</x:v>
      </x:c>
      <x:c r="F118" s="24" t="str">
        <x:v>结构证据</x:v>
      </x:c>
      <x:c r="G118" s="24" t="str">
        <x:v>偏财</x:v>
      </x:c>
      <x:c r="H118" s="24" t="str">
        <x:v>BF02／BF08；判断该通道是否可被独立调用。</x:v>
      </x:c>
      <x:c r="I118" s="24" t="str">
        <x:v>替代方案仍服务于核心门槛，并能转成持续安排。</x:v>
      </x:c>
      <x:c r="J118" s="24" t="str">
        <x:v>不断换场景、换方法或追求新鲜，却没有落地和复盘。</x:v>
      </x:c>
      <x:c r="K118" s="24" t="str">
        <x:v>由共享基础引擎提供；仅修正保护功能的承载、持续调用和压力状态下的稳定性，不直接等同成熟度、道德或现实行为。</x:v>
      </x:c>
      <x:c r="L118" s="24" t="str">
        <x:v>由M1／M2接口提供；夫妻星、心动原型和关系门槛只说明关系议题，不单独证明保护因素已经被调用或有效。</x:v>
      </x:c>
      <x:c r="M118" s="24" t="str">
        <x:v>由M3-BASE及M4各模块提供；日支、日柱近位可提高与亲密关系核心的相关性，但同一source_id不得重复计分。</x:v>
      </x:c>
      <x:c r="N118" s="24" t="str">
        <x:v>保护因素必须明确限制过用、补足缺位、恢复顺序、打开反馈、落实改变或完成修复回流；不能只凭五行相生补写现实效果。</x:v>
      </x:c>
      <x:c r="O118" s="24" t="str">
        <x:v>近位提高进入亲密关系核心的概率；远位只作背景、阶段或条件性修正。</x:v>
      </x:c>
      <x:c r="P118" s="24" t="str">
        <x:v>根气只修正该保护功能是否容易重复调用，不等于现实中已经形成稳定保护。</x:v>
      </x:c>
      <x:c r="Q118" s="24" t="str">
        <x:v>旺弱只修正调用强度与承载；强不自动有效，弱也不自动无效。</x:v>
      </x:c>
      <x:c r="R118" s="24" t="str">
        <x:v>喜忌只修正摩擦、平衡与承载，不可直接翻译为好坏、成熟度或解决方案。</x:v>
      </x:c>
      <x:c r="S118" s="24" t="str">
        <x:v>原十神功能有效；真合化成立时按化神功能替换，合化争议时停止定性。</x:v>
      </x:c>
      <x:c r="T118" s="24" t="str">
        <x:v>近位提高直接相关性；远位仅保留背景、阶段或低置信修正。</x:v>
      </x:c>
      <x:c r="U118" s="24" t="str">
        <x:v>89</x:v>
      </x:c>
      <x:c r="V118" s="24" t="str">
        <x:v>独立有效+6</x:v>
      </x:c>
      <x:c r="W118" s="24" t="str">
        <x:v>buffer_evidence</x:v>
      </x:c>
      <x:c r="X118" s="24" t="str">
        <x:v>有效替代方案与灵活资源需要：替代方案仍服务于核心门槛，并能转成持续安排。</x:v>
      </x:c>
      <x:c r="Y118" s="24" t="str">
        <x:v>从结构上看，你具备替代方案与灵活资源的资源，但还要确认现实中能否稳定使用。</x:v>
      </x:c>
      <x:c r="Z118" s="24" t="str">
        <x:v>不得仅凭本规则断定问题已经解决、关系必然稳定、用户一定成熟、某十神天然是“药”、喜用神自动等于解决办法，或淡化暴力、强迫与现实伤害；现实行为、反例、安全事实和专业支持优先。</x:v>
      </x:c>
      <x:c r="AA118" s="24" t="str">
        <x:v>中高</x:v>
      </x:c>
      <x:c r="AB118" s="24" t="str">
        <x:v>待验证</x:v>
      </x:c>
      <x:c r="AC118" s="24" t="str"/>
      <x:c r="AD118" s="24" t="str">
        <x:v>provisional=true；保护因素的现实有效性必须由可观察行为、反馈和持续结果验证。</x:v>
      </x:c>
      <x:c r="AE118" s="24" t="str">
        <x:v>0.8</x:v>
      </x:c>
    </x:row>
    <x:row r="119" ht="52" customHeight="1">
      <x:c r="A119" s="24" t="str">
        <x:v>M4-BUFFER-118</x:v>
      </x:c>
      <x:c r="B119" s="24" t="str">
        <x:v>偏财｜替代方案与灵活资源｜不足或伪保护</x:v>
      </x:c>
      <x:c r="C119" s="24" t="str">
        <x:v>L2 十神保护通道</x:v>
      </x:c>
      <x:c r="D119" s="24" t="str">
        <x:v>BUFFER-十神保护通道</x:v>
      </x:c>
      <x:c r="E119" s="24" t="str">
        <x:v>通用</x:v>
      </x:c>
      <x:c r="F119" s="24" t="str">
        <x:v>降级</x:v>
      </x:c>
      <x:c r="G119" s="24" t="str">
        <x:v>偏财</x:v>
      </x:c>
      <x:c r="H119" s="24" t="str">
        <x:v>BF02／BF08；识别该十神的保护性误用。</x:v>
      </x:c>
      <x:c r="I119" s="24" t="str">
        <x:v>不断换场景、换方法或追求新鲜，却没有落地和复盘。</x:v>
      </x:c>
      <x:c r="J119" s="24" t="str">
        <x:v>现实中该通道已经改变风险链并持续有效。</x:v>
      </x:c>
      <x:c r="K119" s="24" t="str">
        <x:v>由共享基础引擎提供；仅修正保护功能的承载、持续调用和压力状态下的稳定性，不直接等同成熟度、道德或现实行为。</x:v>
      </x:c>
      <x:c r="L119" s="24" t="str">
        <x:v>由M1／M2接口提供；夫妻星、心动原型和关系门槛只说明关系议题，不单独证明保护因素已经被调用或有效。</x:v>
      </x:c>
      <x:c r="M119" s="24" t="str">
        <x:v>由M3-BASE及M4各模块提供；日支、日柱近位可提高与亲密关系核心的相关性，但同一source_id不得重复计分。</x:v>
      </x:c>
      <x:c r="N119" s="24" t="str">
        <x:v>保护因素必须明确限制过用、补足缺位、恢复顺序、打开反馈、落实改变或完成修复回流；不能只凭五行相生补写现实效果。</x:v>
      </x:c>
      <x:c r="O119" s="24" t="str">
        <x:v>近位提高进入亲密关系核心的概率；远位只作背景、阶段或条件性修正。</x:v>
      </x:c>
      <x:c r="P119" s="24" t="str">
        <x:v>根气只修正该保护功能是否容易重复调用，不等于现实中已经形成稳定保护。</x:v>
      </x:c>
      <x:c r="Q119" s="24" t="str">
        <x:v>旺弱只修正调用强度与承载；强不自动有效，弱也不自动无效。</x:v>
      </x:c>
      <x:c r="R119" s="24" t="str">
        <x:v>喜忌只修正摩擦、平衡与承载，不可直接翻译为好坏、成熟度或解决方案。</x:v>
      </x:c>
      <x:c r="S119" s="24" t="str">
        <x:v>原十神功能有效；真合化成立时按化神功能替换，合化争议时停止定性。</x:v>
      </x:c>
      <x:c r="T119" s="24" t="str">
        <x:v>近位提高直接相关性；远位仅保留背景、阶段或低置信修正。</x:v>
      </x:c>
      <x:c r="U119" s="24" t="str">
        <x:v>94</x:v>
      </x:c>
      <x:c r="V119" s="24" t="str">
        <x:v>失效-8</x:v>
      </x:c>
      <x:c r="W119" s="24" t="str">
        <x:v>pseudo_buffer</x:v>
      </x:c>
      <x:c r="X119" s="24" t="str">
        <x:v>偏财在保护位置失效时常表现为：不断换场景、换方法或追求新鲜，却没有落地和复盘。</x:v>
      </x:c>
      <x:c r="Y119" s="24" t="str">
        <x:v>如果这项方式只停留在表面，或让另一项必要任务更晚进入，就不能把它当成稳定保护。</x:v>
      </x:c>
      <x:c r="Z119" s="24" t="str">
        <x:v>不得仅凭本规则断定问题已经解决、关系必然稳定、用户一定成熟、某十神天然是“药”、喜用神自动等于解决办法，或淡化暴力、强迫与现实伤害；现实行为、反例、安全事实和专业支持优先。</x:v>
      </x:c>
      <x:c r="AA119" s="24" t="str">
        <x:v>中高</x:v>
      </x:c>
      <x:c r="AB119" s="24" t="str">
        <x:v>待验证</x:v>
      </x:c>
      <x:c r="AC119" s="24" t="str"/>
      <x:c r="AD119" s="24" t="str">
        <x:v>provisional=true；保护因素的现实有效性必须由可观察行为、反馈和持续结果验证。</x:v>
      </x:c>
      <x:c r="AE119" s="24" t="str">
        <x:v>0.8</x:v>
      </x:c>
    </x:row>
    <x:row r="120" ht="52" customHeight="1">
      <x:c r="A120" s="24" t="str">
        <x:v>M4-BUFFER-119</x:v>
      </x:c>
      <x:c r="B120" s="24" t="str">
        <x:v>偏财｜替代方案与灵活资源｜用户输出</x:v>
      </x:c>
      <x:c r="C120" s="24" t="str">
        <x:v>L2 十神保护通道</x:v>
      </x:c>
      <x:c r="D120" s="24" t="str">
        <x:v>BUFFER-十神保护通道</x:v>
      </x:c>
      <x:c r="E120" s="24" t="str">
        <x:v>通用</x:v>
      </x:c>
      <x:c r="F120" s="24" t="str">
        <x:v>语言</x:v>
      </x:c>
      <x:c r="G120" s="24" t="str">
        <x:v>偏财</x:v>
      </x:c>
      <x:c r="H120" s="24" t="str">
        <x:v>BF02／BF08；生成用户可理解的保护资源描述。</x:v>
      </x:c>
      <x:c r="I120" s="24" t="str">
        <x:v>替代方案仍服务于核心门槛，并能转成持续安排。</x:v>
      </x:c>
      <x:c r="J120" s="24" t="str">
        <x:v>不断换场景、换方法或追求新鲜，却没有落地和复盘。</x:v>
      </x:c>
      <x:c r="K120" s="24" t="str">
        <x:v>由共享基础引擎提供；仅修正保护功能的承载、持续调用和压力状态下的稳定性，不直接等同成熟度、道德或现实行为。</x:v>
      </x:c>
      <x:c r="L120" s="24" t="str">
        <x:v>由M1／M2接口提供；夫妻星、心动原型和关系门槛只说明关系议题，不单独证明保护因素已经被调用或有效。</x:v>
      </x:c>
      <x:c r="M120" s="24" t="str">
        <x:v>由M3-BASE及M4各模块提供；日支、日柱近位可提高与亲密关系核心的相关性，但同一source_id不得重复计分。</x:v>
      </x:c>
      <x:c r="N120" s="24" t="str">
        <x:v>保护因素必须明确限制过用、补足缺位、恢复顺序、打开反馈、落实改变或完成修复回流；不能只凭五行相生补写现实效果。</x:v>
      </x:c>
      <x:c r="O120" s="24" t="str">
        <x:v>近位提高进入亲密关系核心的概率；远位只作背景、阶段或条件性修正。</x:v>
      </x:c>
      <x:c r="P120" s="24" t="str">
        <x:v>根气只修正该保护功能是否容易重复调用，不等于现实中已经形成稳定保护。</x:v>
      </x:c>
      <x:c r="Q120" s="24" t="str">
        <x:v>旺弱只修正调用强度与承载；强不自动有效，弱也不自动无效。</x:v>
      </x:c>
      <x:c r="R120" s="24" t="str">
        <x:v>喜忌只修正摩擦、平衡与承载，不可直接翻译为好坏、成熟度或解决方案。</x:v>
      </x:c>
      <x:c r="S120" s="24" t="str">
        <x:v>原十神功能有效；真合化成立时按化神功能替换，合化争议时停止定性。</x:v>
      </x:c>
      <x:c r="T120" s="24" t="str">
        <x:v>近位提高直接相关性；远位仅保留背景、阶段或低置信修正。</x:v>
      </x:c>
      <x:c r="U120" s="24" t="str">
        <x:v>84</x:v>
      </x:c>
      <x:c r="V120" s="24" t="str">
        <x:v>不加分；输出</x:v>
      </x:c>
      <x:c r="W120" s="24" t="str">
        <x:v>report_text</x:v>
      </x:c>
      <x:c r="X120" s="24" t="str">
        <x:v>在原方案卡住时寻找更灵活的路径、环境调整、人脉和现实支持。</x:v>
      </x:c>
      <x:c r="Y120" s="24" t="str">
        <x:v>你有能力在僵局中找到替代路径；有效的关键是新方案最终能回到稳定执行，而不是只换一种体验。</x:v>
      </x:c>
      <x:c r="Z120" s="24" t="str">
        <x:v>不得仅凭本规则断定问题已经解决、关系必然稳定、用户一定成熟、某十神天然是“药”、喜用神自动等于解决办法，或淡化暴力、强迫与现实伤害；现实行为、反例、安全事实和专业支持优先。</x:v>
      </x:c>
      <x:c r="AA120" s="24" t="str">
        <x:v>中高</x:v>
      </x:c>
      <x:c r="AB120" s="24" t="str">
        <x:v>待验证</x:v>
      </x:c>
      <x:c r="AC120" s="24" t="str"/>
      <x:c r="AD120" s="24" t="str">
        <x:v>provisional=true；保护因素的现实有效性必须由可观察行为、反馈和持续结果验证。</x:v>
      </x:c>
      <x:c r="AE120" s="24" t="str">
        <x:v>0.8</x:v>
      </x:c>
    </x:row>
    <x:row r="121" ht="52" customHeight="1">
      <x:c r="A121" s="24" t="str">
        <x:v>M4-BUFFER-120</x:v>
      </x:c>
      <x:c r="B121" s="24" t="str">
        <x:v>偏财｜替代方案与灵活资源｜禁止推断</x:v>
      </x:c>
      <x:c r="C121" s="24" t="str">
        <x:v>L2 十神保护通道</x:v>
      </x:c>
      <x:c r="D121" s="24" t="str">
        <x:v>BUFFER-十神保护通道</x:v>
      </x:c>
      <x:c r="E121" s="24" t="str">
        <x:v>通用</x:v>
      </x:c>
      <x:c r="F121" s="24" t="str">
        <x:v>边界</x:v>
      </x:c>
      <x:c r="G121" s="24" t="str">
        <x:v>偏财</x:v>
      </x:c>
      <x:c r="H121" s="24" t="str">
        <x:v>BF02／BF08；限制十神保护解释。</x:v>
      </x:c>
      <x:c r="I121" s="24" t="str">
        <x:v>完成同源去重、现实反例和安全检查。</x:v>
      </x:c>
      <x:c r="J121" s="24" t="str">
        <x:v>将该十神写成天然成熟、万能药或关系必稳。</x:v>
      </x:c>
      <x:c r="K121" s="24" t="str">
        <x:v>由共享基础引擎提供；仅修正保护功能的承载、持续调用和压力状态下的稳定性，不直接等同成熟度、道德或现实行为。</x:v>
      </x:c>
      <x:c r="L121" s="24" t="str">
        <x:v>由M1／M2接口提供；夫妻星、心动原型和关系门槛只说明关系议题，不单独证明保护因素已经被调用或有效。</x:v>
      </x:c>
      <x:c r="M121" s="24" t="str">
        <x:v>由M3-BASE及M4各模块提供；日支、日柱近位可提高与亲密关系核心的相关性，但同一source_id不得重复计分。</x:v>
      </x:c>
      <x:c r="N121" s="24" t="str">
        <x:v>保护因素必须明确限制过用、补足缺位、恢复顺序、打开反馈、落实改变或完成修复回流；不能只凭五行相生补写现实效果。</x:v>
      </x:c>
      <x:c r="O121" s="24" t="str">
        <x:v>近位提高进入亲密关系核心的概率；远位只作背景、阶段或条件性修正。</x:v>
      </x:c>
      <x:c r="P121" s="24" t="str">
        <x:v>根气只修正该保护功能是否容易重复调用，不等于现实中已经形成稳定保护。</x:v>
      </x:c>
      <x:c r="Q121" s="24" t="str">
        <x:v>旺弱只修正调用强度与承载；强不自动有效，弱也不自动无效。</x:v>
      </x:c>
      <x:c r="R121" s="24" t="str">
        <x:v>喜忌只修正摩擦、平衡与承载，不可直接翻译为好坏、成熟度或解决方案。</x:v>
      </x:c>
      <x:c r="S121" s="24" t="str">
        <x:v>原十神功能有效；真合化成立时按化神功能替换，合化争议时停止定性。</x:v>
      </x:c>
      <x:c r="T121" s="24" t="str">
        <x:v>近位提高直接相关性；远位仅保留背景、阶段或低置信修正。</x:v>
      </x:c>
      <x:c r="U121" s="24" t="str">
        <x:v>98</x:v>
      </x:c>
      <x:c r="V121" s="24" t="str">
        <x:v>边界／封顶</x:v>
      </x:c>
      <x:c r="W121" s="24" t="str">
        <x:v>boundary_note</x:v>
      </x:c>
      <x:c r="X121" s="24" t="str">
        <x:v>偏财只提供一种功能资源，是否有效取决于靶点、时机、强度和现实结果。</x:v>
      </x:c>
      <x:c r="Y121" s="24" t="str">
        <x:v>这项资源只对特定问题有帮助，并不代表所有关系风险都会因此消失。</x:v>
      </x:c>
      <x:c r="Z121" s="24" t="str">
        <x:v>不得仅凭本规则断定问题已经解决、关系必然稳定、用户一定成熟、某十神天然是“药”、喜用神自动等于解决办法，或淡化暴力、强迫与现实伤害；现实行为、反例、安全事实和专业支持优先。</x:v>
      </x:c>
      <x:c r="AA121" s="24" t="str">
        <x:v>高</x:v>
      </x:c>
      <x:c r="AB121" s="24" t="str">
        <x:v>待验证</x:v>
      </x:c>
      <x:c r="AC121" s="24" t="str"/>
      <x:c r="AD121" s="24" t="str">
        <x:v>provisional=true；保护因素的现实有效性必须由可观察行为、反馈和持续结果验证。</x:v>
      </x:c>
      <x:c r="AE121" s="24" t="str">
        <x:v>0.8</x:v>
      </x:c>
    </x:row>
    <x:row r="122" ht="52" customHeight="1">
      <x:c r="A122" s="24" t="str">
        <x:v>M4-BUFFER-121</x:v>
      </x:c>
      <x:c r="B122" s="24" t="str">
        <x:v>正官｜责任、规则与最小标准｜正常保护功能</x:v>
      </x:c>
      <x:c r="C122" s="24" t="str">
        <x:v>L2 十神保护通道</x:v>
      </x:c>
      <x:c r="D122" s="24" t="str">
        <x:v>BUFFER-十神保护通道</x:v>
      </x:c>
      <x:c r="E122" s="24" t="str">
        <x:v>通用</x:v>
      </x:c>
      <x:c r="F122" s="24" t="str">
        <x:v>定义</x:v>
      </x:c>
      <x:c r="G122" s="24" t="str">
        <x:v>正官</x:v>
      </x:c>
      <x:c r="H122" s="24" t="str">
        <x:v>BF01／BF06／BF03；说明该十神在保护链中的中性功能。</x:v>
      </x:c>
      <x:c r="I122" s="24" t="str">
        <x:v>规则由双方参与制定，责任有现实执行和反馈。</x:v>
      </x:c>
      <x:c r="J122" s="24" t="str">
        <x:v>规则只由一方制定、只强调身份，或规则越多反馈越少。</x:v>
      </x:c>
      <x:c r="K122" s="24" t="str">
        <x:v>由共享基础引擎提供；仅修正保护功能的承载、持续调用和压力状态下的稳定性，不直接等同成熟度、道德或现实行为。</x:v>
      </x:c>
      <x:c r="L122" s="24" t="str">
        <x:v>由M1／M2接口提供；夫妻星、心动原型和关系门槛只说明关系议题，不单独证明保护因素已经被调用或有效。</x:v>
      </x:c>
      <x:c r="M122" s="24" t="str">
        <x:v>由M3-BASE及M4各模块提供；日支、日柱近位可提高与亲密关系核心的相关性，但同一source_id不得重复计分。</x:v>
      </x:c>
      <x:c r="N122" s="24" t="str">
        <x:v>保护因素必须明确限制过用、补足缺位、恢复顺序、打开反馈、落实改变或完成修复回流；不能只凭五行相生补写现实效果。</x:v>
      </x:c>
      <x:c r="O122" s="24" t="str">
        <x:v>近位提高进入亲密关系核心的概率；远位只作背景、阶段或条件性修正。</x:v>
      </x:c>
      <x:c r="P122" s="24" t="str">
        <x:v>根气只修正该保护功能是否容易重复调用，不等于现实中已经形成稳定保护。</x:v>
      </x:c>
      <x:c r="Q122" s="24" t="str">
        <x:v>旺弱只修正调用强度与承载；强不自动有效，弱也不自动无效。</x:v>
      </x:c>
      <x:c r="R122" s="24" t="str">
        <x:v>喜忌只修正摩擦、平衡与承载，不可直接翻译为好坏、成熟度或解决方案。</x:v>
      </x:c>
      <x:c r="S122" s="24" t="str">
        <x:v>原十神功能有效；真合化成立时按化神功能替换，合化争议时停止定性。</x:v>
      </x:c>
      <x:c r="T122" s="24" t="str">
        <x:v>近位提高直接相关性；远位仅保留背景、阶段或低置信修正。</x:v>
      </x:c>
      <x:c r="U122" s="24" t="str">
        <x:v>90</x:v>
      </x:c>
      <x:c r="V122" s="24" t="str">
        <x:v>基础通道+4</x:v>
      </x:c>
      <x:c r="W122" s="24" t="str">
        <x:v>buffer_channel</x:v>
      </x:c>
      <x:c r="X122" s="24" t="str">
        <x:v>明确责任、共同规则、最低可执行标准和持续守约要求。</x:v>
      </x:c>
      <x:c r="Y122" s="24" t="str">
        <x:v>你可以通过清楚的责任和最低可执行规则减少混乱；真正有效的是共同制定并持续兑现。</x:v>
      </x:c>
      <x:c r="Z122" s="24" t="str">
        <x:v>不得仅凭本规则断定问题已经解决、关系必然稳定、用户一定成熟、某十神天然是“药”、喜用神自动等于解决办法，或淡化暴力、强迫与现实伤害；现实行为、反例、安全事实和专业支持优先。</x:v>
      </x:c>
      <x:c r="AA122" s="24" t="str">
        <x:v>中高</x:v>
      </x:c>
      <x:c r="AB122" s="24" t="str">
        <x:v>待验证</x:v>
      </x:c>
      <x:c r="AC122" s="24" t="str"/>
      <x:c r="AD122" s="24" t="str">
        <x:v>provisional=true；保护因素的现实有效性必须由可观察行为、反馈和持续结果验证。</x:v>
      </x:c>
      <x:c r="AE122" s="24" t="str">
        <x:v>0.8</x:v>
      </x:c>
    </x:row>
    <x:row r="123" ht="52" customHeight="1">
      <x:c r="A123" s="24" t="str">
        <x:v>M4-BUFFER-122</x:v>
      </x:c>
      <x:c r="B123" s="24" t="str">
        <x:v>正官｜责任、规则与最小标准｜主要风险靶点</x:v>
      </x:c>
      <x:c r="C123" s="24" t="str">
        <x:v>L2 十神保护通道</x:v>
      </x:c>
      <x:c r="D123" s="24" t="str">
        <x:v>BUFFER-十神保护通道</x:v>
      </x:c>
      <x:c r="E123" s="24" t="str">
        <x:v>通用</x:v>
      </x:c>
      <x:c r="F123" s="24" t="str">
        <x:v>路由</x:v>
      </x:c>
      <x:c r="G123" s="24" t="str">
        <x:v>正官</x:v>
      </x:c>
      <x:c r="H123" s="24" t="str">
        <x:v>BF01／BF06／BF03；将十神功能路由到适配的风险机制。</x:v>
      </x:c>
      <x:c r="I123" s="24" t="str">
        <x:v>已存在K01过用、K02不足、LP09规则反弹、RI02承诺失约中的至少一项候选。</x:v>
      </x:c>
      <x:c r="J123" s="24" t="str">
        <x:v>没有对应风险靶点，或靶点由同一十神事实重复生成。</x:v>
      </x:c>
      <x:c r="K123" s="24" t="str">
        <x:v>由共享基础引擎提供；仅修正保护功能的承载、持续调用和压力状态下的稳定性，不直接等同成熟度、道德或现实行为。</x:v>
      </x:c>
      <x:c r="L123" s="24" t="str">
        <x:v>由M1／M2接口提供；夫妻星、心动原型和关系门槛只说明关系议题，不单独证明保护因素已经被调用或有效。</x:v>
      </x:c>
      <x:c r="M123" s="24" t="str">
        <x:v>由M3-BASE及M4各模块提供；日支、日柱近位可提高与亲密关系核心的相关性，但同一source_id不得重复计分。</x:v>
      </x:c>
      <x:c r="N123" s="24" t="str">
        <x:v>保护因素必须明确限制过用、补足缺位、恢复顺序、打开反馈、落实改变或完成修复回流；不能只凭五行相生补写现实效果。</x:v>
      </x:c>
      <x:c r="O123" s="24" t="str">
        <x:v>近位提高进入亲密关系核心的概率；远位只作背景、阶段或条件性修正。</x:v>
      </x:c>
      <x:c r="P123" s="24" t="str">
        <x:v>根气只修正该保护功能是否容易重复调用，不等于现实中已经形成稳定保护。</x:v>
      </x:c>
      <x:c r="Q123" s="24" t="str">
        <x:v>旺弱只修正调用强度与承载；强不自动有效，弱也不自动无效。</x:v>
      </x:c>
      <x:c r="R123" s="24" t="str">
        <x:v>喜忌只修正摩擦、平衡与承载，不可直接翻译为好坏、成熟度或解决方案。</x:v>
      </x:c>
      <x:c r="S123" s="24" t="str">
        <x:v>原十神功能有效；真合化成立时按化神功能替换，合化争议时停止定性。</x:v>
      </x:c>
      <x:c r="T123" s="24" t="str">
        <x:v>近位提高直接相关性；远位仅保留背景、阶段或低置信修正。</x:v>
      </x:c>
      <x:c r="U123" s="24" t="str">
        <x:v>88</x:v>
      </x:c>
      <x:c r="V123" s="24" t="str">
        <x:v>靶点匹配+4</x:v>
      </x:c>
      <x:c r="W123" s="24" t="str">
        <x:v>buffer_target</x:v>
      </x:c>
      <x:c r="X123" s="24" t="str">
        <x:v>正官的保护功能主要路由至：K01过用、K02不足、LP09规则反弹、RI02承诺失约。</x:v>
      </x:c>
      <x:c r="Y123" s="24" t="str">
        <x:v>这项资源主要帮助处理与责任、规则与最小标准有关的具体盲点。</x:v>
      </x:c>
      <x:c r="Z123" s="24" t="str">
        <x:v>不得仅凭本规则断定问题已经解决、关系必然稳定、用户一定成熟、某十神天然是“药”、喜用神自动等于解决办法，或淡化暴力、强迫与现实伤害；现实行为、反例、安全事实和专业支持优先。</x:v>
      </x:c>
      <x:c r="AA123" s="24" t="str">
        <x:v>中高</x:v>
      </x:c>
      <x:c r="AB123" s="24" t="str">
        <x:v>待验证</x:v>
      </x:c>
      <x:c r="AC123" s="24" t="str"/>
      <x:c r="AD123" s="24" t="str">
        <x:v>provisional=true；保护因素的现实有效性必须由可观察行为、反馈和持续结果验证。</x:v>
      </x:c>
      <x:c r="AE123" s="24" t="str">
        <x:v>0.8</x:v>
      </x:c>
    </x:row>
    <x:row r="124" ht="52" customHeight="1">
      <x:c r="A124" s="24" t="str">
        <x:v>M4-BUFFER-123</x:v>
      </x:c>
      <x:c r="B124" s="24" t="str">
        <x:v>正官｜责任、规则与最小标准｜有效成立条件</x:v>
      </x:c>
      <x:c r="C124" s="24" t="str">
        <x:v>L2 十神保护通道</x:v>
      </x:c>
      <x:c r="D124" s="24" t="str">
        <x:v>BUFFER-十神保护通道</x:v>
      </x:c>
      <x:c r="E124" s="24" t="str">
        <x:v>通用</x:v>
      </x:c>
      <x:c r="F124" s="24" t="str">
        <x:v>结构证据</x:v>
      </x:c>
      <x:c r="G124" s="24" t="str">
        <x:v>正官</x:v>
      </x:c>
      <x:c r="H124" s="24" t="str">
        <x:v>BF01／BF06／BF03；判断该通道是否可被独立调用。</x:v>
      </x:c>
      <x:c r="I124" s="24" t="str">
        <x:v>规则由双方参与制定，责任有现实执行和反馈。</x:v>
      </x:c>
      <x:c r="J124" s="24" t="str">
        <x:v>规则只由一方制定、只强调身份，或规则越多反馈越少。</x:v>
      </x:c>
      <x:c r="K124" s="24" t="str">
        <x:v>由共享基础引擎提供；仅修正保护功能的承载、持续调用和压力状态下的稳定性，不直接等同成熟度、道德或现实行为。</x:v>
      </x:c>
      <x:c r="L124" s="24" t="str">
        <x:v>由M1／M2接口提供；夫妻星、心动原型和关系门槛只说明关系议题，不单独证明保护因素已经被调用或有效。</x:v>
      </x:c>
      <x:c r="M124" s="24" t="str">
        <x:v>由M3-BASE及M4各模块提供；日支、日柱近位可提高与亲密关系核心的相关性，但同一source_id不得重复计分。</x:v>
      </x:c>
      <x:c r="N124" s="24" t="str">
        <x:v>保护因素必须明确限制过用、补足缺位、恢复顺序、打开反馈、落实改变或完成修复回流；不能只凭五行相生补写现实效果。</x:v>
      </x:c>
      <x:c r="O124" s="24" t="str">
        <x:v>近位提高进入亲密关系核心的概率；远位只作背景、阶段或条件性修正。</x:v>
      </x:c>
      <x:c r="P124" s="24" t="str">
        <x:v>根气只修正该保护功能是否容易重复调用，不等于现实中已经形成稳定保护。</x:v>
      </x:c>
      <x:c r="Q124" s="24" t="str">
        <x:v>旺弱只修正调用强度与承载；强不自动有效，弱也不自动无效。</x:v>
      </x:c>
      <x:c r="R124" s="24" t="str">
        <x:v>喜忌只修正摩擦、平衡与承载，不可直接翻译为好坏、成熟度或解决方案。</x:v>
      </x:c>
      <x:c r="S124" s="24" t="str">
        <x:v>原十神功能有效；真合化成立时按化神功能替换，合化争议时停止定性。</x:v>
      </x:c>
      <x:c r="T124" s="24" t="str">
        <x:v>近位提高直接相关性；远位仅保留背景、阶段或低置信修正。</x:v>
      </x:c>
      <x:c r="U124" s="24" t="str">
        <x:v>89</x:v>
      </x:c>
      <x:c r="V124" s="24" t="str">
        <x:v>独立有效+6</x:v>
      </x:c>
      <x:c r="W124" s="24" t="str">
        <x:v>buffer_evidence</x:v>
      </x:c>
      <x:c r="X124" s="24" t="str">
        <x:v>有效责任、规则与最小标准需要：规则由双方参与制定，责任有现实执行和反馈。</x:v>
      </x:c>
      <x:c r="Y124" s="24" t="str">
        <x:v>从结构上看，你具备责任、规则与最小标准的资源，但还要确认现实中能否稳定使用。</x:v>
      </x:c>
      <x:c r="Z124" s="24" t="str">
        <x:v>不得仅凭本规则断定问题已经解决、关系必然稳定、用户一定成熟、某十神天然是“药”、喜用神自动等于解决办法，或淡化暴力、强迫与现实伤害；现实行为、反例、安全事实和专业支持优先。</x:v>
      </x:c>
      <x:c r="AA124" s="24" t="str">
        <x:v>中高</x:v>
      </x:c>
      <x:c r="AB124" s="24" t="str">
        <x:v>待验证</x:v>
      </x:c>
      <x:c r="AC124" s="24" t="str"/>
      <x:c r="AD124" s="24" t="str">
        <x:v>provisional=true；保护因素的现实有效性必须由可观察行为、反馈和持续结果验证。</x:v>
      </x:c>
      <x:c r="AE124" s="24" t="str">
        <x:v>0.8</x:v>
      </x:c>
    </x:row>
    <x:row r="125" ht="52" customHeight="1">
      <x:c r="A125" s="24" t="str">
        <x:v>M4-BUFFER-124</x:v>
      </x:c>
      <x:c r="B125" s="24" t="str">
        <x:v>正官｜责任、规则与最小标准｜不足或伪保护</x:v>
      </x:c>
      <x:c r="C125" s="24" t="str">
        <x:v>L2 十神保护通道</x:v>
      </x:c>
      <x:c r="D125" s="24" t="str">
        <x:v>BUFFER-十神保护通道</x:v>
      </x:c>
      <x:c r="E125" s="24" t="str">
        <x:v>通用</x:v>
      </x:c>
      <x:c r="F125" s="24" t="str">
        <x:v>降级</x:v>
      </x:c>
      <x:c r="G125" s="24" t="str">
        <x:v>正官</x:v>
      </x:c>
      <x:c r="H125" s="24" t="str">
        <x:v>BF01／BF06／BF03；识别该十神的保护性误用。</x:v>
      </x:c>
      <x:c r="I125" s="24" t="str">
        <x:v>规则只由一方制定、只强调身份，或规则越多反馈越少。</x:v>
      </x:c>
      <x:c r="J125" s="24" t="str">
        <x:v>现实中该通道已经改变风险链并持续有效。</x:v>
      </x:c>
      <x:c r="K125" s="24" t="str">
        <x:v>由共享基础引擎提供；仅修正保护功能的承载、持续调用和压力状态下的稳定性，不直接等同成熟度、道德或现实行为。</x:v>
      </x:c>
      <x:c r="L125" s="24" t="str">
        <x:v>由M1／M2接口提供；夫妻星、心动原型和关系门槛只说明关系议题，不单独证明保护因素已经被调用或有效。</x:v>
      </x:c>
      <x:c r="M125" s="24" t="str">
        <x:v>由M3-BASE及M4各模块提供；日支、日柱近位可提高与亲密关系核心的相关性，但同一source_id不得重复计分。</x:v>
      </x:c>
      <x:c r="N125" s="24" t="str">
        <x:v>保护因素必须明确限制过用、补足缺位、恢复顺序、打开反馈、落实改变或完成修复回流；不能只凭五行相生补写现实效果。</x:v>
      </x:c>
      <x:c r="O125" s="24" t="str">
        <x:v>近位提高进入亲密关系核心的概率；远位只作背景、阶段或条件性修正。</x:v>
      </x:c>
      <x:c r="P125" s="24" t="str">
        <x:v>根气只修正该保护功能是否容易重复调用，不等于现实中已经形成稳定保护。</x:v>
      </x:c>
      <x:c r="Q125" s="24" t="str">
        <x:v>旺弱只修正调用强度与承载；强不自动有效，弱也不自动无效。</x:v>
      </x:c>
      <x:c r="R125" s="24" t="str">
        <x:v>喜忌只修正摩擦、平衡与承载，不可直接翻译为好坏、成熟度或解决方案。</x:v>
      </x:c>
      <x:c r="S125" s="24" t="str">
        <x:v>原十神功能有效；真合化成立时按化神功能替换，合化争议时停止定性。</x:v>
      </x:c>
      <x:c r="T125" s="24" t="str">
        <x:v>近位提高直接相关性；远位仅保留背景、阶段或低置信修正。</x:v>
      </x:c>
      <x:c r="U125" s="24" t="str">
        <x:v>94</x:v>
      </x:c>
      <x:c r="V125" s="24" t="str">
        <x:v>失效-8</x:v>
      </x:c>
      <x:c r="W125" s="24" t="str">
        <x:v>pseudo_buffer</x:v>
      </x:c>
      <x:c r="X125" s="24" t="str">
        <x:v>正官在保护位置失效时常表现为：规则只由一方制定、只强调身份，或规则越多反馈越少。</x:v>
      </x:c>
      <x:c r="Y125" s="24" t="str">
        <x:v>如果这项方式只停留在表面，或让另一项必要任务更晚进入，就不能把它当成稳定保护。</x:v>
      </x:c>
      <x:c r="Z125" s="24" t="str">
        <x:v>不得仅凭本规则断定问题已经解决、关系必然稳定、用户一定成熟、某十神天然是“药”、喜用神自动等于解决办法，或淡化暴力、强迫与现实伤害；现实行为、反例、安全事实和专业支持优先。</x:v>
      </x:c>
      <x:c r="AA125" s="24" t="str">
        <x:v>中高</x:v>
      </x:c>
      <x:c r="AB125" s="24" t="str">
        <x:v>待验证</x:v>
      </x:c>
      <x:c r="AC125" s="24" t="str"/>
      <x:c r="AD125" s="24" t="str">
        <x:v>provisional=true；保护因素的现实有效性必须由可观察行为、反馈和持续结果验证。</x:v>
      </x:c>
      <x:c r="AE125" s="24" t="str">
        <x:v>0.8</x:v>
      </x:c>
    </x:row>
    <x:row r="126" ht="52" customHeight="1">
      <x:c r="A126" s="24" t="str">
        <x:v>M4-BUFFER-125</x:v>
      </x:c>
      <x:c r="B126" s="24" t="str">
        <x:v>正官｜责任、规则与最小标准｜用户输出</x:v>
      </x:c>
      <x:c r="C126" s="24" t="str">
        <x:v>L2 十神保护通道</x:v>
      </x:c>
      <x:c r="D126" s="24" t="str">
        <x:v>BUFFER-十神保护通道</x:v>
      </x:c>
      <x:c r="E126" s="24" t="str">
        <x:v>通用</x:v>
      </x:c>
      <x:c r="F126" s="24" t="str">
        <x:v>语言</x:v>
      </x:c>
      <x:c r="G126" s="24" t="str">
        <x:v>正官</x:v>
      </x:c>
      <x:c r="H126" s="24" t="str">
        <x:v>BF01／BF06／BF03；生成用户可理解的保护资源描述。</x:v>
      </x:c>
      <x:c r="I126" s="24" t="str">
        <x:v>规则由双方参与制定，责任有现实执行和反馈。</x:v>
      </x:c>
      <x:c r="J126" s="24" t="str">
        <x:v>规则只由一方制定、只强调身份，或规则越多反馈越少。</x:v>
      </x:c>
      <x:c r="K126" s="24" t="str">
        <x:v>由共享基础引擎提供；仅修正保护功能的承载、持续调用和压力状态下的稳定性，不直接等同成熟度、道德或现实行为。</x:v>
      </x:c>
      <x:c r="L126" s="24" t="str">
        <x:v>由M1／M2接口提供；夫妻星、心动原型和关系门槛只说明关系议题，不单独证明保护因素已经被调用或有效。</x:v>
      </x:c>
      <x:c r="M126" s="24" t="str">
        <x:v>由M3-BASE及M4各模块提供；日支、日柱近位可提高与亲密关系核心的相关性，但同一source_id不得重复计分。</x:v>
      </x:c>
      <x:c r="N126" s="24" t="str">
        <x:v>保护因素必须明确限制过用、补足缺位、恢复顺序、打开反馈、落实改变或完成修复回流；不能只凭五行相生补写现实效果。</x:v>
      </x:c>
      <x:c r="O126" s="24" t="str">
        <x:v>近位提高进入亲密关系核心的概率；远位只作背景、阶段或条件性修正。</x:v>
      </x:c>
      <x:c r="P126" s="24" t="str">
        <x:v>根气只修正该保护功能是否容易重复调用，不等于现实中已经形成稳定保护。</x:v>
      </x:c>
      <x:c r="Q126" s="24" t="str">
        <x:v>旺弱只修正调用强度与承载；强不自动有效，弱也不自动无效。</x:v>
      </x:c>
      <x:c r="R126" s="24" t="str">
        <x:v>喜忌只修正摩擦、平衡与承载，不可直接翻译为好坏、成熟度或解决方案。</x:v>
      </x:c>
      <x:c r="S126" s="24" t="str">
        <x:v>原十神功能有效；真合化成立时按化神功能替换，合化争议时停止定性。</x:v>
      </x:c>
      <x:c r="T126" s="24" t="str">
        <x:v>近位提高直接相关性；远位仅保留背景、阶段或低置信修正。</x:v>
      </x:c>
      <x:c r="U126" s="24" t="str">
        <x:v>84</x:v>
      </x:c>
      <x:c r="V126" s="24" t="str">
        <x:v>不加分；输出</x:v>
      </x:c>
      <x:c r="W126" s="24" t="str">
        <x:v>report_text</x:v>
      </x:c>
      <x:c r="X126" s="24" t="str">
        <x:v>明确责任、共同规则、最低可执行标准和持续守约要求。</x:v>
      </x:c>
      <x:c r="Y126" s="24" t="str">
        <x:v>你可以通过清楚的责任和最低可执行规则减少混乱；真正有效的是共同制定并持续兑现。</x:v>
      </x:c>
      <x:c r="Z126" s="24" t="str">
        <x:v>不得仅凭本规则断定问题已经解决、关系必然稳定、用户一定成熟、某十神天然是“药”、喜用神自动等于解决办法，或淡化暴力、强迫与现实伤害；现实行为、反例、安全事实和专业支持优先。</x:v>
      </x:c>
      <x:c r="AA126" s="24" t="str">
        <x:v>中高</x:v>
      </x:c>
      <x:c r="AB126" s="24" t="str">
        <x:v>待验证</x:v>
      </x:c>
      <x:c r="AC126" s="24" t="str"/>
      <x:c r="AD126" s="24" t="str">
        <x:v>provisional=true；保护因素的现实有效性必须由可观察行为、反馈和持续结果验证。</x:v>
      </x:c>
      <x:c r="AE126" s="24" t="str">
        <x:v>0.8</x:v>
      </x:c>
    </x:row>
    <x:row r="127" ht="52" customHeight="1">
      <x:c r="A127" s="24" t="str">
        <x:v>M4-BUFFER-126</x:v>
      </x:c>
      <x:c r="B127" s="24" t="str">
        <x:v>正官｜责任、规则与最小标准｜禁止推断</x:v>
      </x:c>
      <x:c r="C127" s="24" t="str">
        <x:v>L2 十神保护通道</x:v>
      </x:c>
      <x:c r="D127" s="24" t="str">
        <x:v>BUFFER-十神保护通道</x:v>
      </x:c>
      <x:c r="E127" s="24" t="str">
        <x:v>通用</x:v>
      </x:c>
      <x:c r="F127" s="24" t="str">
        <x:v>边界</x:v>
      </x:c>
      <x:c r="G127" s="24" t="str">
        <x:v>正官</x:v>
      </x:c>
      <x:c r="H127" s="24" t="str">
        <x:v>BF01／BF06／BF03；限制十神保护解释。</x:v>
      </x:c>
      <x:c r="I127" s="24" t="str">
        <x:v>完成同源去重、现实反例和安全检查。</x:v>
      </x:c>
      <x:c r="J127" s="24" t="str">
        <x:v>将该十神写成天然成熟、万能药或关系必稳。</x:v>
      </x:c>
      <x:c r="K127" s="24" t="str">
        <x:v>由共享基础引擎提供；仅修正保护功能的承载、持续调用和压力状态下的稳定性，不直接等同成熟度、道德或现实行为。</x:v>
      </x:c>
      <x:c r="L127" s="24" t="str">
        <x:v>由M1／M2接口提供；夫妻星、心动原型和关系门槛只说明关系议题，不单独证明保护因素已经被调用或有效。</x:v>
      </x:c>
      <x:c r="M127" s="24" t="str">
        <x:v>由M3-BASE及M4各模块提供；日支、日柱近位可提高与亲密关系核心的相关性，但同一source_id不得重复计分。</x:v>
      </x:c>
      <x:c r="N127" s="24" t="str">
        <x:v>保护因素必须明确限制过用、补足缺位、恢复顺序、打开反馈、落实改变或完成修复回流；不能只凭五行相生补写现实效果。</x:v>
      </x:c>
      <x:c r="O127" s="24" t="str">
        <x:v>近位提高进入亲密关系核心的概率；远位只作背景、阶段或条件性修正。</x:v>
      </x:c>
      <x:c r="P127" s="24" t="str">
        <x:v>根气只修正该保护功能是否容易重复调用，不等于现实中已经形成稳定保护。</x:v>
      </x:c>
      <x:c r="Q127" s="24" t="str">
        <x:v>旺弱只修正调用强度与承载；强不自动有效，弱也不自动无效。</x:v>
      </x:c>
      <x:c r="R127" s="24" t="str">
        <x:v>喜忌只修正摩擦、平衡与承载，不可直接翻译为好坏、成熟度或解决方案。</x:v>
      </x:c>
      <x:c r="S127" s="24" t="str">
        <x:v>原十神功能有效；真合化成立时按化神功能替换，合化争议时停止定性。</x:v>
      </x:c>
      <x:c r="T127" s="24" t="str">
        <x:v>近位提高直接相关性；远位仅保留背景、阶段或低置信修正。</x:v>
      </x:c>
      <x:c r="U127" s="24" t="str">
        <x:v>98</x:v>
      </x:c>
      <x:c r="V127" s="24" t="str">
        <x:v>边界／封顶</x:v>
      </x:c>
      <x:c r="W127" s="24" t="str">
        <x:v>boundary_note</x:v>
      </x:c>
      <x:c r="X127" s="24" t="str">
        <x:v>正官只提供一种功能资源，是否有效取决于靶点、时机、强度和现实结果。</x:v>
      </x:c>
      <x:c r="Y127" s="24" t="str">
        <x:v>这项资源只对特定问题有帮助，并不代表所有关系风险都会因此消失。</x:v>
      </x:c>
      <x:c r="Z127" s="24" t="str">
        <x:v>不得仅凭本规则断定问题已经解决、关系必然稳定、用户一定成熟、某十神天然是“药”、喜用神自动等于解决办法，或淡化暴力、强迫与现实伤害；现实行为、反例、安全事实和专业支持优先。</x:v>
      </x:c>
      <x:c r="AA127" s="24" t="str">
        <x:v>高</x:v>
      </x:c>
      <x:c r="AB127" s="24" t="str">
        <x:v>待验证</x:v>
      </x:c>
      <x:c r="AC127" s="24" t="str"/>
      <x:c r="AD127" s="24" t="str">
        <x:v>provisional=true；保护因素的现实有效性必须由可观察行为、反馈和持续结果验证。</x:v>
      </x:c>
      <x:c r="AE127" s="24" t="str">
        <x:v>0.8</x:v>
      </x:c>
    </x:row>
    <x:row r="128" ht="52" customHeight="1">
      <x:c r="A128" s="24" t="str">
        <x:v>M4-BUFFER-127</x:v>
      </x:c>
      <x:c r="B128" s="24" t="str">
        <x:v>七杀｜止损、安全与关键行动｜正常保护功能</x:v>
      </x:c>
      <x:c r="C128" s="24" t="str">
        <x:v>L2 十神保护通道</x:v>
      </x:c>
      <x:c r="D128" s="24" t="str">
        <x:v>BUFFER-十神保护通道</x:v>
      </x:c>
      <x:c r="E128" s="24" t="str">
        <x:v>通用</x:v>
      </x:c>
      <x:c r="F128" s="24" t="str">
        <x:v>定义</x:v>
      </x:c>
      <x:c r="G128" s="24" t="str">
        <x:v>七杀</x:v>
      </x:c>
      <x:c r="H128" s="24" t="str">
        <x:v>BF01／BF08；说明该十神在保护链中的中性功能。</x:v>
      </x:c>
      <x:c r="I128" s="24" t="str">
        <x:v>行动目标清楚、范围有限，并在危机后回到协商、反馈和责任。</x:v>
      </x:c>
      <x:c r="J128" s="24" t="str">
        <x:v>快速处置越过当事人选择，或高压行动长期成为唯一处理方式。</x:v>
      </x:c>
      <x:c r="K128" s="24" t="str">
        <x:v>由共享基础引擎提供；仅修正保护功能的承载、持续调用和压力状态下的稳定性，不直接等同成熟度、道德或现实行为。</x:v>
      </x:c>
      <x:c r="L128" s="24" t="str">
        <x:v>由M1／M2接口提供；夫妻星、心动原型和关系门槛只说明关系议题，不单独证明保护因素已经被调用或有效。</x:v>
      </x:c>
      <x:c r="M128" s="24" t="str">
        <x:v>由M3-BASE及M4各模块提供；日支、日柱近位可提高与亲密关系核心的相关性，但同一source_id不得重复计分。</x:v>
      </x:c>
      <x:c r="N128" s="24" t="str">
        <x:v>保护因素必须明确限制过用、补足缺位、恢复顺序、打开反馈、落实改变或完成修复回流；不能只凭五行相生补写现实效果。</x:v>
      </x:c>
      <x:c r="O128" s="24" t="str">
        <x:v>近位提高进入亲密关系核心的概率；远位只作背景、阶段或条件性修正。</x:v>
      </x:c>
      <x:c r="P128" s="24" t="str">
        <x:v>根气只修正该保护功能是否容易重复调用，不等于现实中已经形成稳定保护。</x:v>
      </x:c>
      <x:c r="Q128" s="24" t="str">
        <x:v>旺弱只修正调用强度与承载；强不自动有效，弱也不自动无效。</x:v>
      </x:c>
      <x:c r="R128" s="24" t="str">
        <x:v>喜忌只修正摩擦、平衡与承载，不可直接翻译为好坏、成熟度或解决方案。</x:v>
      </x:c>
      <x:c r="S128" s="24" t="str">
        <x:v>原十神功能有效；真合化成立时按化神功能替换，合化争议时停止定性。</x:v>
      </x:c>
      <x:c r="T128" s="24" t="str">
        <x:v>近位提高直接相关性；远位仅保留背景、阶段或低置信修正。</x:v>
      </x:c>
      <x:c r="U128" s="24" t="str">
        <x:v>90</x:v>
      </x:c>
      <x:c r="V128" s="24" t="str">
        <x:v>基础通道+4</x:v>
      </x:c>
      <x:c r="W128" s="24" t="str">
        <x:v>buffer_channel</x:v>
      </x:c>
      <x:c r="X128" s="24" t="str">
        <x:v>在高压或安全风险中快速停止扩大、保护选择权并推动必要行动。</x:v>
      </x:c>
      <x:c r="Y128" s="24" t="str">
        <x:v>你在关键时刻具备快速止损和保护的能力；保护成立的前提是行动有边界，并在事后恢复协商和选择权。</x:v>
      </x:c>
      <x:c r="Z128" s="24" t="str">
        <x:v>不得仅凭本规则断定问题已经解决、关系必然稳定、用户一定成熟、某十神天然是“药”、喜用神自动等于解决办法，或淡化暴力、强迫与现实伤害；现实行为、反例、安全事实和专业支持优先。</x:v>
      </x:c>
      <x:c r="AA128" s="24" t="str">
        <x:v>中高</x:v>
      </x:c>
      <x:c r="AB128" s="24" t="str">
        <x:v>待验证</x:v>
      </x:c>
      <x:c r="AC128" s="24" t="str"/>
      <x:c r="AD128" s="24" t="str">
        <x:v>provisional=true；保护因素的现实有效性必须由可观察行为、反馈和持续结果验证。</x:v>
      </x:c>
      <x:c r="AE128" s="24" t="str">
        <x:v>0.8</x:v>
      </x:c>
    </x:row>
    <x:row r="129" ht="52" customHeight="1">
      <x:c r="A129" s="24" t="str">
        <x:v>M4-BUFFER-128</x:v>
      </x:c>
      <x:c r="B129" s="24" t="str">
        <x:v>七杀｜止损、安全与关键行动｜主要风险靶点</x:v>
      </x:c>
      <x:c r="C129" s="24" t="str">
        <x:v>L2 十神保护通道</x:v>
      </x:c>
      <x:c r="D129" s="24" t="str">
        <x:v>BUFFER-十神保护通道</x:v>
      </x:c>
      <x:c r="E129" s="24" t="str">
        <x:v>通用</x:v>
      </x:c>
      <x:c r="F129" s="24" t="str">
        <x:v>路由</x:v>
      </x:c>
      <x:c r="G129" s="24" t="str">
        <x:v>七杀</x:v>
      </x:c>
      <x:c r="H129" s="24" t="str">
        <x:v>BF01／BF08；将十神功能路由到适配的风险机制。</x:v>
      </x:c>
      <x:c r="I129" s="24" t="str">
        <x:v>已存在TR08高压、RN01停止伤害、RI05越界、RI08安全事件中的至少一项候选。</x:v>
      </x:c>
      <x:c r="J129" s="24" t="str">
        <x:v>没有对应风险靶点，或靶点由同一十神事实重复生成。</x:v>
      </x:c>
      <x:c r="K129" s="24" t="str">
        <x:v>由共享基础引擎提供；仅修正保护功能的承载、持续调用和压力状态下的稳定性，不直接等同成熟度、道德或现实行为。</x:v>
      </x:c>
      <x:c r="L129" s="24" t="str">
        <x:v>由M1／M2接口提供；夫妻星、心动原型和关系门槛只说明关系议题，不单独证明保护因素已经被调用或有效。</x:v>
      </x:c>
      <x:c r="M129" s="24" t="str">
        <x:v>由M3-BASE及M4各模块提供；日支、日柱近位可提高与亲密关系核心的相关性，但同一source_id不得重复计分。</x:v>
      </x:c>
      <x:c r="N129" s="24" t="str">
        <x:v>保护因素必须明确限制过用、补足缺位、恢复顺序、打开反馈、落实改变或完成修复回流；不能只凭五行相生补写现实效果。</x:v>
      </x:c>
      <x:c r="O129" s="24" t="str">
        <x:v>近位提高进入亲密关系核心的概率；远位只作背景、阶段或条件性修正。</x:v>
      </x:c>
      <x:c r="P129" s="24" t="str">
        <x:v>根气只修正该保护功能是否容易重复调用，不等于现实中已经形成稳定保护。</x:v>
      </x:c>
      <x:c r="Q129" s="24" t="str">
        <x:v>旺弱只修正调用强度与承载；强不自动有效，弱也不自动无效。</x:v>
      </x:c>
      <x:c r="R129" s="24" t="str">
        <x:v>喜忌只修正摩擦、平衡与承载，不可直接翻译为好坏、成熟度或解决方案。</x:v>
      </x:c>
      <x:c r="S129" s="24" t="str">
        <x:v>原十神功能有效；真合化成立时按化神功能替换，合化争议时停止定性。</x:v>
      </x:c>
      <x:c r="T129" s="24" t="str">
        <x:v>近位提高直接相关性；远位仅保留背景、阶段或低置信修正。</x:v>
      </x:c>
      <x:c r="U129" s="24" t="str">
        <x:v>88</x:v>
      </x:c>
      <x:c r="V129" s="24" t="str">
        <x:v>靶点匹配+4</x:v>
      </x:c>
      <x:c r="W129" s="24" t="str">
        <x:v>buffer_target</x:v>
      </x:c>
      <x:c r="X129" s="24" t="str">
        <x:v>七杀的保护功能主要路由至：TR08高压、RN01停止伤害、RI05越界、RI08安全事件。</x:v>
      </x:c>
      <x:c r="Y129" s="24" t="str">
        <x:v>这项资源主要帮助处理与止损、安全与关键行动有关的具体盲点。</x:v>
      </x:c>
      <x:c r="Z129" s="24" t="str">
        <x:v>不得仅凭本规则断定问题已经解决、关系必然稳定、用户一定成熟、某十神天然是“药”、喜用神自动等于解决办法，或淡化暴力、强迫与现实伤害；现实行为、反例、安全事实和专业支持优先。</x:v>
      </x:c>
      <x:c r="AA129" s="24" t="str">
        <x:v>中高</x:v>
      </x:c>
      <x:c r="AB129" s="24" t="str">
        <x:v>待验证</x:v>
      </x:c>
      <x:c r="AC129" s="24" t="str"/>
      <x:c r="AD129" s="24" t="str">
        <x:v>provisional=true；保护因素的现实有效性必须由可观察行为、反馈和持续结果验证。</x:v>
      </x:c>
      <x:c r="AE129" s="24" t="str">
        <x:v>0.8</x:v>
      </x:c>
    </x:row>
    <x:row r="130" ht="52" customHeight="1">
      <x:c r="A130" s="24" t="str">
        <x:v>M4-BUFFER-129</x:v>
      </x:c>
      <x:c r="B130" s="24" t="str">
        <x:v>七杀｜止损、安全与关键行动｜有效成立条件</x:v>
      </x:c>
      <x:c r="C130" s="24" t="str">
        <x:v>L2 十神保护通道</x:v>
      </x:c>
      <x:c r="D130" s="24" t="str">
        <x:v>BUFFER-十神保护通道</x:v>
      </x:c>
      <x:c r="E130" s="24" t="str">
        <x:v>通用</x:v>
      </x:c>
      <x:c r="F130" s="24" t="str">
        <x:v>结构证据</x:v>
      </x:c>
      <x:c r="G130" s="24" t="str">
        <x:v>七杀</x:v>
      </x:c>
      <x:c r="H130" s="24" t="str">
        <x:v>BF01／BF08；判断该通道是否可被独立调用。</x:v>
      </x:c>
      <x:c r="I130" s="24" t="str">
        <x:v>行动目标清楚、范围有限，并在危机后回到协商、反馈和责任。</x:v>
      </x:c>
      <x:c r="J130" s="24" t="str">
        <x:v>快速处置越过当事人选择，或高压行动长期成为唯一处理方式。</x:v>
      </x:c>
      <x:c r="K130" s="24" t="str">
        <x:v>由共享基础引擎提供；仅修正保护功能的承载、持续调用和压力状态下的稳定性，不直接等同成熟度、道德或现实行为。</x:v>
      </x:c>
      <x:c r="L130" s="24" t="str">
        <x:v>由M1／M2接口提供；夫妻星、心动原型和关系门槛只说明关系议题，不单独证明保护因素已经被调用或有效。</x:v>
      </x:c>
      <x:c r="M130" s="24" t="str">
        <x:v>由M3-BASE及M4各模块提供；日支、日柱近位可提高与亲密关系核心的相关性，但同一source_id不得重复计分。</x:v>
      </x:c>
      <x:c r="N130" s="24" t="str">
        <x:v>保护因素必须明确限制过用、补足缺位、恢复顺序、打开反馈、落实改变或完成修复回流；不能只凭五行相生补写现实效果。</x:v>
      </x:c>
      <x:c r="O130" s="24" t="str">
        <x:v>近位提高进入亲密关系核心的概率；远位只作背景、阶段或条件性修正。</x:v>
      </x:c>
      <x:c r="P130" s="24" t="str">
        <x:v>根气只修正该保护功能是否容易重复调用，不等于现实中已经形成稳定保护。</x:v>
      </x:c>
      <x:c r="Q130" s="24" t="str">
        <x:v>旺弱只修正调用强度与承载；强不自动有效，弱也不自动无效。</x:v>
      </x:c>
      <x:c r="R130" s="24" t="str">
        <x:v>喜忌只修正摩擦、平衡与承载，不可直接翻译为好坏、成熟度或解决方案。</x:v>
      </x:c>
      <x:c r="S130" s="24" t="str">
        <x:v>原十神功能有效；真合化成立时按化神功能替换，合化争议时停止定性。</x:v>
      </x:c>
      <x:c r="T130" s="24" t="str">
        <x:v>近位提高直接相关性；远位仅保留背景、阶段或低置信修正。</x:v>
      </x:c>
      <x:c r="U130" s="24" t="str">
        <x:v>89</x:v>
      </x:c>
      <x:c r="V130" s="24" t="str">
        <x:v>独立有效+6</x:v>
      </x:c>
      <x:c r="W130" s="24" t="str">
        <x:v>buffer_evidence</x:v>
      </x:c>
      <x:c r="X130" s="24" t="str">
        <x:v>有效止损、安全与关键行动需要：行动目标清楚、范围有限，并在危机后回到协商、反馈和责任。</x:v>
      </x:c>
      <x:c r="Y130" s="24" t="str">
        <x:v>从结构上看，你具备止损、安全与关键行动的资源，但还要确认现实中能否稳定使用。</x:v>
      </x:c>
      <x:c r="Z130" s="24" t="str">
        <x:v>不得仅凭本规则断定问题已经解决、关系必然稳定、用户一定成熟、某十神天然是“药”、喜用神自动等于解决办法，或淡化暴力、强迫与现实伤害；现实行为、反例、安全事实和专业支持优先。</x:v>
      </x:c>
      <x:c r="AA130" s="24" t="str">
        <x:v>中高</x:v>
      </x:c>
      <x:c r="AB130" s="24" t="str">
        <x:v>待验证</x:v>
      </x:c>
      <x:c r="AC130" s="24" t="str"/>
      <x:c r="AD130" s="24" t="str">
        <x:v>provisional=true；保护因素的现实有效性必须由可观察行为、反馈和持续结果验证。</x:v>
      </x:c>
      <x:c r="AE130" s="24" t="str">
        <x:v>0.8</x:v>
      </x:c>
    </x:row>
    <x:row r="131" ht="52" customHeight="1">
      <x:c r="A131" s="24" t="str">
        <x:v>M4-BUFFER-130</x:v>
      </x:c>
      <x:c r="B131" s="24" t="str">
        <x:v>七杀｜止损、安全与关键行动｜不足或伪保护</x:v>
      </x:c>
      <x:c r="C131" s="24" t="str">
        <x:v>L2 十神保护通道</x:v>
      </x:c>
      <x:c r="D131" s="24" t="str">
        <x:v>BUFFER-十神保护通道</x:v>
      </x:c>
      <x:c r="E131" s="24" t="str">
        <x:v>通用</x:v>
      </x:c>
      <x:c r="F131" s="24" t="str">
        <x:v>降级</x:v>
      </x:c>
      <x:c r="G131" s="24" t="str">
        <x:v>七杀</x:v>
      </x:c>
      <x:c r="H131" s="24" t="str">
        <x:v>BF01／BF08；识别该十神的保护性误用。</x:v>
      </x:c>
      <x:c r="I131" s="24" t="str">
        <x:v>快速处置越过当事人选择，或高压行动长期成为唯一处理方式。</x:v>
      </x:c>
      <x:c r="J131" s="24" t="str">
        <x:v>现实中该通道已经改变风险链并持续有效。</x:v>
      </x:c>
      <x:c r="K131" s="24" t="str">
        <x:v>由共享基础引擎提供；仅修正保护功能的承载、持续调用和压力状态下的稳定性，不直接等同成熟度、道德或现实行为。</x:v>
      </x:c>
      <x:c r="L131" s="24" t="str">
        <x:v>由M1／M2接口提供；夫妻星、心动原型和关系门槛只说明关系议题，不单独证明保护因素已经被调用或有效。</x:v>
      </x:c>
      <x:c r="M131" s="24" t="str">
        <x:v>由M3-BASE及M4各模块提供；日支、日柱近位可提高与亲密关系核心的相关性，但同一source_id不得重复计分。</x:v>
      </x:c>
      <x:c r="N131" s="24" t="str">
        <x:v>保护因素必须明确限制过用、补足缺位、恢复顺序、打开反馈、落实改变或完成修复回流；不能只凭五行相生补写现实效果。</x:v>
      </x:c>
      <x:c r="O131" s="24" t="str">
        <x:v>近位提高进入亲密关系核心的概率；远位只作背景、阶段或条件性修正。</x:v>
      </x:c>
      <x:c r="P131" s="24" t="str">
        <x:v>根气只修正该保护功能是否容易重复调用，不等于现实中已经形成稳定保护。</x:v>
      </x:c>
      <x:c r="Q131" s="24" t="str">
        <x:v>旺弱只修正调用强度与承载；强不自动有效，弱也不自动无效。</x:v>
      </x:c>
      <x:c r="R131" s="24" t="str">
        <x:v>喜忌只修正摩擦、平衡与承载，不可直接翻译为好坏、成熟度或解决方案。</x:v>
      </x:c>
      <x:c r="S131" s="24" t="str">
        <x:v>原十神功能有效；真合化成立时按化神功能替换，合化争议时停止定性。</x:v>
      </x:c>
      <x:c r="T131" s="24" t="str">
        <x:v>近位提高直接相关性；远位仅保留背景、阶段或低置信修正。</x:v>
      </x:c>
      <x:c r="U131" s="24" t="str">
        <x:v>94</x:v>
      </x:c>
      <x:c r="V131" s="24" t="str">
        <x:v>失效-8</x:v>
      </x:c>
      <x:c r="W131" s="24" t="str">
        <x:v>pseudo_buffer</x:v>
      </x:c>
      <x:c r="X131" s="24" t="str">
        <x:v>七杀在保护位置失效时常表现为：快速处置越过当事人选择，或高压行动长期成为唯一处理方式。</x:v>
      </x:c>
      <x:c r="Y131" s="24" t="str">
        <x:v>如果这项方式只停留在表面，或让另一项必要任务更晚进入，就不能把它当成稳定保护。</x:v>
      </x:c>
      <x:c r="Z131" s="24" t="str">
        <x:v>不得仅凭本规则断定问题已经解决、关系必然稳定、用户一定成熟、某十神天然是“药”、喜用神自动等于解决办法，或淡化暴力、强迫与现实伤害；现实行为、反例、安全事实和专业支持优先。</x:v>
      </x:c>
      <x:c r="AA131" s="24" t="str">
        <x:v>中高</x:v>
      </x:c>
      <x:c r="AB131" s="24" t="str">
        <x:v>待验证</x:v>
      </x:c>
      <x:c r="AC131" s="24" t="str"/>
      <x:c r="AD131" s="24" t="str">
        <x:v>provisional=true；保护因素的现实有效性必须由可观察行为、反馈和持续结果验证。</x:v>
      </x:c>
      <x:c r="AE131" s="24" t="str">
        <x:v>0.8</x:v>
      </x:c>
    </x:row>
    <x:row r="132" ht="52" customHeight="1">
      <x:c r="A132" s="24" t="str">
        <x:v>M4-BUFFER-131</x:v>
      </x:c>
      <x:c r="B132" s="24" t="str">
        <x:v>七杀｜止损、安全与关键行动｜用户输出</x:v>
      </x:c>
      <x:c r="C132" s="24" t="str">
        <x:v>L2 十神保护通道</x:v>
      </x:c>
      <x:c r="D132" s="24" t="str">
        <x:v>BUFFER-十神保护通道</x:v>
      </x:c>
      <x:c r="E132" s="24" t="str">
        <x:v>通用</x:v>
      </x:c>
      <x:c r="F132" s="24" t="str">
        <x:v>语言</x:v>
      </x:c>
      <x:c r="G132" s="24" t="str">
        <x:v>七杀</x:v>
      </x:c>
      <x:c r="H132" s="24" t="str">
        <x:v>BF01／BF08；生成用户可理解的保护资源描述。</x:v>
      </x:c>
      <x:c r="I132" s="24" t="str">
        <x:v>行动目标清楚、范围有限，并在危机后回到协商、反馈和责任。</x:v>
      </x:c>
      <x:c r="J132" s="24" t="str">
        <x:v>快速处置越过当事人选择，或高压行动长期成为唯一处理方式。</x:v>
      </x:c>
      <x:c r="K132" s="24" t="str">
        <x:v>由共享基础引擎提供；仅修正保护功能的承载、持续调用和压力状态下的稳定性，不直接等同成熟度、道德或现实行为。</x:v>
      </x:c>
      <x:c r="L132" s="24" t="str">
        <x:v>由M1／M2接口提供；夫妻星、心动原型和关系门槛只说明关系议题，不单独证明保护因素已经被调用或有效。</x:v>
      </x:c>
      <x:c r="M132" s="24" t="str">
        <x:v>由M3-BASE及M4各模块提供；日支、日柱近位可提高与亲密关系核心的相关性，但同一source_id不得重复计分。</x:v>
      </x:c>
      <x:c r="N132" s="24" t="str">
        <x:v>保护因素必须明确限制过用、补足缺位、恢复顺序、打开反馈、落实改变或完成修复回流；不能只凭五行相生补写现实效果。</x:v>
      </x:c>
      <x:c r="O132" s="24" t="str">
        <x:v>近位提高进入亲密关系核心的概率；远位只作背景、阶段或条件性修正。</x:v>
      </x:c>
      <x:c r="P132" s="24" t="str">
        <x:v>根气只修正该保护功能是否容易重复调用，不等于现实中已经形成稳定保护。</x:v>
      </x:c>
      <x:c r="Q132" s="24" t="str">
        <x:v>旺弱只修正调用强度与承载；强不自动有效，弱也不自动无效。</x:v>
      </x:c>
      <x:c r="R132" s="24" t="str">
        <x:v>喜忌只修正摩擦、平衡与承载，不可直接翻译为好坏、成熟度或解决方案。</x:v>
      </x:c>
      <x:c r="S132" s="24" t="str">
        <x:v>原十神功能有效；真合化成立时按化神功能替换，合化争议时停止定性。</x:v>
      </x:c>
      <x:c r="T132" s="24" t="str">
        <x:v>近位提高直接相关性；远位仅保留背景、阶段或低置信修正。</x:v>
      </x:c>
      <x:c r="U132" s="24" t="str">
        <x:v>84</x:v>
      </x:c>
      <x:c r="V132" s="24" t="str">
        <x:v>不加分；输出</x:v>
      </x:c>
      <x:c r="W132" s="24" t="str">
        <x:v>report_text</x:v>
      </x:c>
      <x:c r="X132" s="24" t="str">
        <x:v>在高压或安全风险中快速停止扩大、保护选择权并推动必要行动。</x:v>
      </x:c>
      <x:c r="Y132" s="24" t="str">
        <x:v>你在关键时刻具备快速止损和保护的能力；保护成立的前提是行动有边界，并在事后恢复协商和选择权。</x:v>
      </x:c>
      <x:c r="Z132" s="24" t="str">
        <x:v>不得仅凭本规则断定问题已经解决、关系必然稳定、用户一定成熟、某十神天然是“药”、喜用神自动等于解决办法，或淡化暴力、强迫与现实伤害；现实行为、反例、安全事实和专业支持优先。</x:v>
      </x:c>
      <x:c r="AA132" s="24" t="str">
        <x:v>中高</x:v>
      </x:c>
      <x:c r="AB132" s="24" t="str">
        <x:v>待验证</x:v>
      </x:c>
      <x:c r="AC132" s="24" t="str"/>
      <x:c r="AD132" s="24" t="str">
        <x:v>provisional=true；保护因素的现实有效性必须由可观察行为、反馈和持续结果验证。</x:v>
      </x:c>
      <x:c r="AE132" s="24" t="str">
        <x:v>0.8</x:v>
      </x:c>
    </x:row>
    <x:row r="133" ht="52" customHeight="1">
      <x:c r="A133" s="24" t="str">
        <x:v>M4-BUFFER-132</x:v>
      </x:c>
      <x:c r="B133" s="24" t="str">
        <x:v>七杀｜止损、安全与关键行动｜禁止推断</x:v>
      </x:c>
      <x:c r="C133" s="24" t="str">
        <x:v>L2 十神保护通道</x:v>
      </x:c>
      <x:c r="D133" s="24" t="str">
        <x:v>BUFFER-十神保护通道</x:v>
      </x:c>
      <x:c r="E133" s="24" t="str">
        <x:v>通用</x:v>
      </x:c>
      <x:c r="F133" s="24" t="str">
        <x:v>边界</x:v>
      </x:c>
      <x:c r="G133" s="24" t="str">
        <x:v>七杀</x:v>
      </x:c>
      <x:c r="H133" s="24" t="str">
        <x:v>BF01／BF08；限制十神保护解释。</x:v>
      </x:c>
      <x:c r="I133" s="24" t="str">
        <x:v>完成同源去重、现实反例和安全检查。</x:v>
      </x:c>
      <x:c r="J133" s="24" t="str">
        <x:v>将该十神写成天然成熟、万能药或关系必稳。</x:v>
      </x:c>
      <x:c r="K133" s="24" t="str">
        <x:v>由共享基础引擎提供；仅修正保护功能的承载、持续调用和压力状态下的稳定性，不直接等同成熟度、道德或现实行为。</x:v>
      </x:c>
      <x:c r="L133" s="24" t="str">
        <x:v>由M1／M2接口提供；夫妻星、心动原型和关系门槛只说明关系议题，不单独证明保护因素已经被调用或有效。</x:v>
      </x:c>
      <x:c r="M133" s="24" t="str">
        <x:v>由M3-BASE及M4各模块提供；日支、日柱近位可提高与亲密关系核心的相关性，但同一source_id不得重复计分。</x:v>
      </x:c>
      <x:c r="N133" s="24" t="str">
        <x:v>保护因素必须明确限制过用、补足缺位、恢复顺序、打开反馈、落实改变或完成修复回流；不能只凭五行相生补写现实效果。</x:v>
      </x:c>
      <x:c r="O133" s="24" t="str">
        <x:v>近位提高进入亲密关系核心的概率；远位只作背景、阶段或条件性修正。</x:v>
      </x:c>
      <x:c r="P133" s="24" t="str">
        <x:v>根气只修正该保护功能是否容易重复调用，不等于现实中已经形成稳定保护。</x:v>
      </x:c>
      <x:c r="Q133" s="24" t="str">
        <x:v>旺弱只修正调用强度与承载；强不自动有效，弱也不自动无效。</x:v>
      </x:c>
      <x:c r="R133" s="24" t="str">
        <x:v>喜忌只修正摩擦、平衡与承载，不可直接翻译为好坏、成熟度或解决方案。</x:v>
      </x:c>
      <x:c r="S133" s="24" t="str">
        <x:v>原十神功能有效；真合化成立时按化神功能替换，合化争议时停止定性。</x:v>
      </x:c>
      <x:c r="T133" s="24" t="str">
        <x:v>近位提高直接相关性；远位仅保留背景、阶段或低置信修正。</x:v>
      </x:c>
      <x:c r="U133" s="24" t="str">
        <x:v>98</x:v>
      </x:c>
      <x:c r="V133" s="24" t="str">
        <x:v>边界／封顶</x:v>
      </x:c>
      <x:c r="W133" s="24" t="str">
        <x:v>boundary_note</x:v>
      </x:c>
      <x:c r="X133" s="24" t="str">
        <x:v>七杀只提供一种功能资源，是否有效取决于靶点、时机、强度和现实结果。</x:v>
      </x:c>
      <x:c r="Y133" s="24" t="str">
        <x:v>这项资源只对特定问题有帮助，并不代表所有关系风险都会因此消失。</x:v>
      </x:c>
      <x:c r="Z133" s="24" t="str">
        <x:v>不得仅凭本规则断定问题已经解决、关系必然稳定、用户一定成熟、某十神天然是“药”、喜用神自动等于解决办法，或淡化暴力、强迫与现实伤害；现实行为、反例、安全事实和专业支持优先。</x:v>
      </x:c>
      <x:c r="AA133" s="24" t="str">
        <x:v>高</x:v>
      </x:c>
      <x:c r="AB133" s="24" t="str">
        <x:v>待验证</x:v>
      </x:c>
      <x:c r="AC133" s="24" t="str"/>
      <x:c r="AD133" s="24" t="str">
        <x:v>provisional=true；保护因素的现实有效性必须由可观察行为、反馈和持续结果验证。</x:v>
      </x:c>
      <x:c r="AE133" s="24" t="str">
        <x:v>0.8</x:v>
      </x:c>
    </x:row>
    <x:row r="134" ht="52" customHeight="1">
      <x:c r="A134" s="24" t="str">
        <x:v>M4-BUFFER-133</x:v>
      </x:c>
      <x:c r="B134" s="24" t="str">
        <x:v>正印｜倾听、影响确认与安全恢复｜正常保护功能</x:v>
      </x:c>
      <x:c r="C134" s="24" t="str">
        <x:v>L2 十神保护通道</x:v>
      </x:c>
      <x:c r="D134" s="24" t="str">
        <x:v>BUFFER-十神保护通道</x:v>
      </x:c>
      <x:c r="E134" s="24" t="str">
        <x:v>通用</x:v>
      </x:c>
      <x:c r="F134" s="24" t="str">
        <x:v>定义</x:v>
      </x:c>
      <x:c r="G134" s="24" t="str">
        <x:v>正印</x:v>
      </x:c>
      <x:c r="H134" s="24" t="str">
        <x:v>BF04／BF07；说明该十神在保护链中的中性功能。</x:v>
      </x:c>
      <x:c r="I134" s="24" t="str">
        <x:v>倾听后能够复述理解，并把影响转成责任、边界或现实调整。</x:v>
      </x:c>
      <x:c r="J134" s="24" t="str">
        <x:v>理解很多但没有改变，或长期承接使自己的边界消失。</x:v>
      </x:c>
      <x:c r="K134" s="24" t="str">
        <x:v>由共享基础引擎提供；仅修正保护功能的承载、持续调用和压力状态下的稳定性，不直接等同成熟度、道德或现实行为。</x:v>
      </x:c>
      <x:c r="L134" s="24" t="str">
        <x:v>由M1／M2接口提供；夫妻星、心动原型和关系门槛只说明关系议题，不单独证明保护因素已经被调用或有效。</x:v>
      </x:c>
      <x:c r="M134" s="24" t="str">
        <x:v>由M3-BASE及M4各模块提供；日支、日柱近位可提高与亲密关系核心的相关性，但同一source_id不得重复计分。</x:v>
      </x:c>
      <x:c r="N134" s="24" t="str">
        <x:v>保护因素必须明确限制过用、补足缺位、恢复顺序、打开反馈、落实改变或完成修复回流；不能只凭五行相生补写现实效果。</x:v>
      </x:c>
      <x:c r="O134" s="24" t="str">
        <x:v>近位提高进入亲密关系核心的概率；远位只作背景、阶段或条件性修正。</x:v>
      </x:c>
      <x:c r="P134" s="24" t="str">
        <x:v>根气只修正该保护功能是否容易重复调用，不等于现实中已经形成稳定保护。</x:v>
      </x:c>
      <x:c r="Q134" s="24" t="str">
        <x:v>旺弱只修正调用强度与承载；强不自动有效，弱也不自动无效。</x:v>
      </x:c>
      <x:c r="R134" s="24" t="str">
        <x:v>喜忌只修正摩擦、平衡与承载，不可直接翻译为好坏、成熟度或解决方案。</x:v>
      </x:c>
      <x:c r="S134" s="24" t="str">
        <x:v>原十神功能有效；真合化成立时按化神功能替换，合化争议时停止定性。</x:v>
      </x:c>
      <x:c r="T134" s="24" t="str">
        <x:v>近位提高直接相关性；远位仅保留背景、阶段或低置信修正。</x:v>
      </x:c>
      <x:c r="U134" s="24" t="str">
        <x:v>90</x:v>
      </x:c>
      <x:c r="V134" s="24" t="str">
        <x:v>基础通道+4</x:v>
      </x:c>
      <x:c r="W134" s="24" t="str">
        <x:v>buffer_channel</x:v>
      </x:c>
      <x:c r="X134" s="24" t="str">
        <x:v>接收对方感受和背景，确认事件影响，恢复基本安全与开放。</x:v>
      </x:c>
      <x:c r="Y134" s="24" t="str">
        <x:v>你有能力通过倾听和确认影响让关系重新变得可接近；真正有效的是理解之后能进入改变和反馈。</x:v>
      </x:c>
      <x:c r="Z134" s="24" t="str">
        <x:v>不得仅凭本规则断定问题已经解决、关系必然稳定、用户一定成熟、某十神天然是“药”、喜用神自动等于解决办法，或淡化暴力、强迫与现实伤害；现实行为、反例、安全事实和专业支持优先。</x:v>
      </x:c>
      <x:c r="AA134" s="24" t="str">
        <x:v>中高</x:v>
      </x:c>
      <x:c r="AB134" s="24" t="str">
        <x:v>待验证</x:v>
      </x:c>
      <x:c r="AC134" s="24" t="str"/>
      <x:c r="AD134" s="24" t="str">
        <x:v>provisional=true；保护因素的现实有效性必须由可观察行为、反馈和持续结果验证。</x:v>
      </x:c>
      <x:c r="AE134" s="24" t="str">
        <x:v>0.8</x:v>
      </x:c>
    </x:row>
    <x:row r="135" ht="52" customHeight="1">
      <x:c r="A135" s="24" t="str">
        <x:v>M4-BUFFER-134</x:v>
      </x:c>
      <x:c r="B135" s="24" t="str">
        <x:v>正印｜倾听、影响确认与安全恢复｜主要风险靶点</x:v>
      </x:c>
      <x:c r="C135" s="24" t="str">
        <x:v>L2 十神保护通道</x:v>
      </x:c>
      <x:c r="D135" s="24" t="str">
        <x:v>BUFFER-十神保护通道</x:v>
      </x:c>
      <x:c r="E135" s="24" t="str">
        <x:v>通用</x:v>
      </x:c>
      <x:c r="F135" s="24" t="str">
        <x:v>路由</x:v>
      </x:c>
      <x:c r="G135" s="24" t="str">
        <x:v>正印</x:v>
      </x:c>
      <x:c r="H135" s="24" t="str">
        <x:v>BF04／BF07；将十神功能路由到适配的风险机制。</x:v>
      </x:c>
      <x:c r="I135" s="24" t="str">
        <x:v>已存在K03替代、K07反馈放大、LP04解决替代、RN03／RN07中的至少一项候选。</x:v>
      </x:c>
      <x:c r="J135" s="24" t="str">
        <x:v>没有对应风险靶点，或靶点由同一十神事实重复生成。</x:v>
      </x:c>
      <x:c r="K135" s="24" t="str">
        <x:v>由共享基础引擎提供；仅修正保护功能的承载、持续调用和压力状态下的稳定性，不直接等同成熟度、道德或现实行为。</x:v>
      </x:c>
      <x:c r="L135" s="24" t="str">
        <x:v>由M1／M2接口提供；夫妻星、心动原型和关系门槛只说明关系议题，不单独证明保护因素已经被调用或有效。</x:v>
      </x:c>
      <x:c r="M135" s="24" t="str">
        <x:v>由M3-BASE及M4各模块提供；日支、日柱近位可提高与亲密关系核心的相关性，但同一source_id不得重复计分。</x:v>
      </x:c>
      <x:c r="N135" s="24" t="str">
        <x:v>保护因素必须明确限制过用、补足缺位、恢复顺序、打开反馈、落实改变或完成修复回流；不能只凭五行相生补写现实效果。</x:v>
      </x:c>
      <x:c r="O135" s="24" t="str">
        <x:v>近位提高进入亲密关系核心的概率；远位只作背景、阶段或条件性修正。</x:v>
      </x:c>
      <x:c r="P135" s="24" t="str">
        <x:v>根气只修正该保护功能是否容易重复调用，不等于现实中已经形成稳定保护。</x:v>
      </x:c>
      <x:c r="Q135" s="24" t="str">
        <x:v>旺弱只修正调用强度与承载；强不自动有效，弱也不自动无效。</x:v>
      </x:c>
      <x:c r="R135" s="24" t="str">
        <x:v>喜忌只修正摩擦、平衡与承载，不可直接翻译为好坏、成熟度或解决方案。</x:v>
      </x:c>
      <x:c r="S135" s="24" t="str">
        <x:v>原十神功能有效；真合化成立时按化神功能替换，合化争议时停止定性。</x:v>
      </x:c>
      <x:c r="T135" s="24" t="str">
        <x:v>近位提高直接相关性；远位仅保留背景、阶段或低置信修正。</x:v>
      </x:c>
      <x:c r="U135" s="24" t="str">
        <x:v>88</x:v>
      </x:c>
      <x:c r="V135" s="24" t="str">
        <x:v>靶点匹配+4</x:v>
      </x:c>
      <x:c r="W135" s="24" t="str">
        <x:v>buffer_target</x:v>
      </x:c>
      <x:c r="X135" s="24" t="str">
        <x:v>正印的保护功能主要路由至：K03替代、K07反馈放大、LP04解决替代、RN03／RN07。</x:v>
      </x:c>
      <x:c r="Y135" s="24" t="str">
        <x:v>这项资源主要帮助处理与倾听、影响确认与安全恢复有关的具体盲点。</x:v>
      </x:c>
      <x:c r="Z135" s="24" t="str">
        <x:v>不得仅凭本规则断定问题已经解决、关系必然稳定、用户一定成熟、某十神天然是“药”、喜用神自动等于解决办法，或淡化暴力、强迫与现实伤害；现实行为、反例、安全事实和专业支持优先。</x:v>
      </x:c>
      <x:c r="AA135" s="24" t="str">
        <x:v>中高</x:v>
      </x:c>
      <x:c r="AB135" s="24" t="str">
        <x:v>待验证</x:v>
      </x:c>
      <x:c r="AC135" s="24" t="str"/>
      <x:c r="AD135" s="24" t="str">
        <x:v>provisional=true；保护因素的现实有效性必须由可观察行为、反馈和持续结果验证。</x:v>
      </x:c>
      <x:c r="AE135" s="24" t="str">
        <x:v>0.8</x:v>
      </x:c>
    </x:row>
    <x:row r="136" ht="52" customHeight="1">
      <x:c r="A136" s="24" t="str">
        <x:v>M4-BUFFER-135</x:v>
      </x:c>
      <x:c r="B136" s="24" t="str">
        <x:v>正印｜倾听、影响确认与安全恢复｜有效成立条件</x:v>
      </x:c>
      <x:c r="C136" s="24" t="str">
        <x:v>L2 十神保护通道</x:v>
      </x:c>
      <x:c r="D136" s="24" t="str">
        <x:v>BUFFER-十神保护通道</x:v>
      </x:c>
      <x:c r="E136" s="24" t="str">
        <x:v>通用</x:v>
      </x:c>
      <x:c r="F136" s="24" t="str">
        <x:v>结构证据</x:v>
      </x:c>
      <x:c r="G136" s="24" t="str">
        <x:v>正印</x:v>
      </x:c>
      <x:c r="H136" s="24" t="str">
        <x:v>BF04／BF07；判断该通道是否可被独立调用。</x:v>
      </x:c>
      <x:c r="I136" s="24" t="str">
        <x:v>倾听后能够复述理解，并把影响转成责任、边界或现实调整。</x:v>
      </x:c>
      <x:c r="J136" s="24" t="str">
        <x:v>理解很多但没有改变，或长期承接使自己的边界消失。</x:v>
      </x:c>
      <x:c r="K136" s="24" t="str">
        <x:v>由共享基础引擎提供；仅修正保护功能的承载、持续调用和压力状态下的稳定性，不直接等同成熟度、道德或现实行为。</x:v>
      </x:c>
      <x:c r="L136" s="24" t="str">
        <x:v>由M1／M2接口提供；夫妻星、心动原型和关系门槛只说明关系议题，不单独证明保护因素已经被调用或有效。</x:v>
      </x:c>
      <x:c r="M136" s="24" t="str">
        <x:v>由M3-BASE及M4各模块提供；日支、日柱近位可提高与亲密关系核心的相关性，但同一source_id不得重复计分。</x:v>
      </x:c>
      <x:c r="N136" s="24" t="str">
        <x:v>保护因素必须明确限制过用、补足缺位、恢复顺序、打开反馈、落实改变或完成修复回流；不能只凭五行相生补写现实效果。</x:v>
      </x:c>
      <x:c r="O136" s="24" t="str">
        <x:v>近位提高进入亲密关系核心的概率；远位只作背景、阶段或条件性修正。</x:v>
      </x:c>
      <x:c r="P136" s="24" t="str">
        <x:v>根气只修正该保护功能是否容易重复调用，不等于现实中已经形成稳定保护。</x:v>
      </x:c>
      <x:c r="Q136" s="24" t="str">
        <x:v>旺弱只修正调用强度与承载；强不自动有效，弱也不自动无效。</x:v>
      </x:c>
      <x:c r="R136" s="24" t="str">
        <x:v>喜忌只修正摩擦、平衡与承载，不可直接翻译为好坏、成熟度或解决方案。</x:v>
      </x:c>
      <x:c r="S136" s="24" t="str">
        <x:v>原十神功能有效；真合化成立时按化神功能替换，合化争议时停止定性。</x:v>
      </x:c>
      <x:c r="T136" s="24" t="str">
        <x:v>近位提高直接相关性；远位仅保留背景、阶段或低置信修正。</x:v>
      </x:c>
      <x:c r="U136" s="24" t="str">
        <x:v>89</x:v>
      </x:c>
      <x:c r="V136" s="24" t="str">
        <x:v>独立有效+6</x:v>
      </x:c>
      <x:c r="W136" s="24" t="str">
        <x:v>buffer_evidence</x:v>
      </x:c>
      <x:c r="X136" s="24" t="str">
        <x:v>有效倾听、影响确认与安全恢复需要：倾听后能够复述理解，并把影响转成责任、边界或现实调整。</x:v>
      </x:c>
      <x:c r="Y136" s="24" t="str">
        <x:v>从结构上看，你具备倾听、影响确认与安全恢复的资源，但还要确认现实中能否稳定使用。</x:v>
      </x:c>
      <x:c r="Z136" s="24" t="str">
        <x:v>不得仅凭本规则断定问题已经解决、关系必然稳定、用户一定成熟、某十神天然是“药”、喜用神自动等于解决办法，或淡化暴力、强迫与现实伤害；现实行为、反例、安全事实和专业支持优先。</x:v>
      </x:c>
      <x:c r="AA136" s="24" t="str">
        <x:v>中高</x:v>
      </x:c>
      <x:c r="AB136" s="24" t="str">
        <x:v>待验证</x:v>
      </x:c>
      <x:c r="AC136" s="24" t="str"/>
      <x:c r="AD136" s="24" t="str">
        <x:v>provisional=true；保护因素的现实有效性必须由可观察行为、反馈和持续结果验证。</x:v>
      </x:c>
      <x:c r="AE136" s="24" t="str">
        <x:v>0.8</x:v>
      </x:c>
    </x:row>
    <x:row r="137" ht="52" customHeight="1">
      <x:c r="A137" s="24" t="str">
        <x:v>M4-BUFFER-136</x:v>
      </x:c>
      <x:c r="B137" s="24" t="str">
        <x:v>正印｜倾听、影响确认与安全恢复｜不足或伪保护</x:v>
      </x:c>
      <x:c r="C137" s="24" t="str">
        <x:v>L2 十神保护通道</x:v>
      </x:c>
      <x:c r="D137" s="24" t="str">
        <x:v>BUFFER-十神保护通道</x:v>
      </x:c>
      <x:c r="E137" s="24" t="str">
        <x:v>通用</x:v>
      </x:c>
      <x:c r="F137" s="24" t="str">
        <x:v>降级</x:v>
      </x:c>
      <x:c r="G137" s="24" t="str">
        <x:v>正印</x:v>
      </x:c>
      <x:c r="H137" s="24" t="str">
        <x:v>BF04／BF07；识别该十神的保护性误用。</x:v>
      </x:c>
      <x:c r="I137" s="24" t="str">
        <x:v>理解很多但没有改变，或长期承接使自己的边界消失。</x:v>
      </x:c>
      <x:c r="J137" s="24" t="str">
        <x:v>现实中该通道已经改变风险链并持续有效。</x:v>
      </x:c>
      <x:c r="K137" s="24" t="str">
        <x:v>由共享基础引擎提供；仅修正保护功能的承载、持续调用和压力状态下的稳定性，不直接等同成熟度、道德或现实行为。</x:v>
      </x:c>
      <x:c r="L137" s="24" t="str">
        <x:v>由M1／M2接口提供；夫妻星、心动原型和关系门槛只说明关系议题，不单独证明保护因素已经被调用或有效。</x:v>
      </x:c>
      <x:c r="M137" s="24" t="str">
        <x:v>由M3-BASE及M4各模块提供；日支、日柱近位可提高与亲密关系核心的相关性，但同一source_id不得重复计分。</x:v>
      </x:c>
      <x:c r="N137" s="24" t="str">
        <x:v>保护因素必须明确限制过用、补足缺位、恢复顺序、打开反馈、落实改变或完成修复回流；不能只凭五行相生补写现实效果。</x:v>
      </x:c>
      <x:c r="O137" s="24" t="str">
        <x:v>近位提高进入亲密关系核心的概率；远位只作背景、阶段或条件性修正。</x:v>
      </x:c>
      <x:c r="P137" s="24" t="str">
        <x:v>根气只修正该保护功能是否容易重复调用，不等于现实中已经形成稳定保护。</x:v>
      </x:c>
      <x:c r="Q137" s="24" t="str">
        <x:v>旺弱只修正调用强度与承载；强不自动有效，弱也不自动无效。</x:v>
      </x:c>
      <x:c r="R137" s="24" t="str">
        <x:v>喜忌只修正摩擦、平衡与承载，不可直接翻译为好坏、成熟度或解决方案。</x:v>
      </x:c>
      <x:c r="S137" s="24" t="str">
        <x:v>原十神功能有效；真合化成立时按化神功能替换，合化争议时停止定性。</x:v>
      </x:c>
      <x:c r="T137" s="24" t="str">
        <x:v>近位提高直接相关性；远位仅保留背景、阶段或低置信修正。</x:v>
      </x:c>
      <x:c r="U137" s="24" t="str">
        <x:v>94</x:v>
      </x:c>
      <x:c r="V137" s="24" t="str">
        <x:v>失效-8</x:v>
      </x:c>
      <x:c r="W137" s="24" t="str">
        <x:v>pseudo_buffer</x:v>
      </x:c>
      <x:c r="X137" s="24" t="str">
        <x:v>正印在保护位置失效时常表现为：理解很多但没有改变，或长期承接使自己的边界消失。</x:v>
      </x:c>
      <x:c r="Y137" s="24" t="str">
        <x:v>如果这项方式只停留在表面，或让另一项必要任务更晚进入，就不能把它当成稳定保护。</x:v>
      </x:c>
      <x:c r="Z137" s="24" t="str">
        <x:v>不得仅凭本规则断定问题已经解决、关系必然稳定、用户一定成熟、某十神天然是“药”、喜用神自动等于解决办法，或淡化暴力、强迫与现实伤害；现实行为、反例、安全事实和专业支持优先。</x:v>
      </x:c>
      <x:c r="AA137" s="24" t="str">
        <x:v>中高</x:v>
      </x:c>
      <x:c r="AB137" s="24" t="str">
        <x:v>待验证</x:v>
      </x:c>
      <x:c r="AC137" s="24" t="str"/>
      <x:c r="AD137" s="24" t="str">
        <x:v>provisional=true；保护因素的现实有效性必须由可观察行为、反馈和持续结果验证。</x:v>
      </x:c>
      <x:c r="AE137" s="24" t="str">
        <x:v>0.8</x:v>
      </x:c>
    </x:row>
    <x:row r="138" ht="52" customHeight="1">
      <x:c r="A138" s="24" t="str">
        <x:v>M4-BUFFER-137</x:v>
      </x:c>
      <x:c r="B138" s="24" t="str">
        <x:v>正印｜倾听、影响确认与安全恢复｜用户输出</x:v>
      </x:c>
      <x:c r="C138" s="24" t="str">
        <x:v>L2 十神保护通道</x:v>
      </x:c>
      <x:c r="D138" s="24" t="str">
        <x:v>BUFFER-十神保护通道</x:v>
      </x:c>
      <x:c r="E138" s="24" t="str">
        <x:v>通用</x:v>
      </x:c>
      <x:c r="F138" s="24" t="str">
        <x:v>语言</x:v>
      </x:c>
      <x:c r="G138" s="24" t="str">
        <x:v>正印</x:v>
      </x:c>
      <x:c r="H138" s="24" t="str">
        <x:v>BF04／BF07；生成用户可理解的保护资源描述。</x:v>
      </x:c>
      <x:c r="I138" s="24" t="str">
        <x:v>倾听后能够复述理解，并把影响转成责任、边界或现实调整。</x:v>
      </x:c>
      <x:c r="J138" s="24" t="str">
        <x:v>理解很多但没有改变，或长期承接使自己的边界消失。</x:v>
      </x:c>
      <x:c r="K138" s="24" t="str">
        <x:v>由共享基础引擎提供；仅修正保护功能的承载、持续调用和压力状态下的稳定性，不直接等同成熟度、道德或现实行为。</x:v>
      </x:c>
      <x:c r="L138" s="24" t="str">
        <x:v>由M1／M2接口提供；夫妻星、心动原型和关系门槛只说明关系议题，不单独证明保护因素已经被调用或有效。</x:v>
      </x:c>
      <x:c r="M138" s="24" t="str">
        <x:v>由M3-BASE及M4各模块提供；日支、日柱近位可提高与亲密关系核心的相关性，但同一source_id不得重复计分。</x:v>
      </x:c>
      <x:c r="N138" s="24" t="str">
        <x:v>保护因素必须明确限制过用、补足缺位、恢复顺序、打开反馈、落实改变或完成修复回流；不能只凭五行相生补写现实效果。</x:v>
      </x:c>
      <x:c r="O138" s="24" t="str">
        <x:v>近位提高进入亲密关系核心的概率；远位只作背景、阶段或条件性修正。</x:v>
      </x:c>
      <x:c r="P138" s="24" t="str">
        <x:v>根气只修正该保护功能是否容易重复调用，不等于现实中已经形成稳定保护。</x:v>
      </x:c>
      <x:c r="Q138" s="24" t="str">
        <x:v>旺弱只修正调用强度与承载；强不自动有效，弱也不自动无效。</x:v>
      </x:c>
      <x:c r="R138" s="24" t="str">
        <x:v>喜忌只修正摩擦、平衡与承载，不可直接翻译为好坏、成熟度或解决方案。</x:v>
      </x:c>
      <x:c r="S138" s="24" t="str">
        <x:v>原十神功能有效；真合化成立时按化神功能替换，合化争议时停止定性。</x:v>
      </x:c>
      <x:c r="T138" s="24" t="str">
        <x:v>近位提高直接相关性；远位仅保留背景、阶段或低置信修正。</x:v>
      </x:c>
      <x:c r="U138" s="24" t="str">
        <x:v>84</x:v>
      </x:c>
      <x:c r="V138" s="24" t="str">
        <x:v>不加分；输出</x:v>
      </x:c>
      <x:c r="W138" s="24" t="str">
        <x:v>report_text</x:v>
      </x:c>
      <x:c r="X138" s="24" t="str">
        <x:v>接收对方感受和背景，确认事件影响，恢复基本安全与开放。</x:v>
      </x:c>
      <x:c r="Y138" s="24" t="str">
        <x:v>你有能力通过倾听和确认影响让关系重新变得可接近；真正有效的是理解之后能进入改变和反馈。</x:v>
      </x:c>
      <x:c r="Z138" s="24" t="str">
        <x:v>不得仅凭本规则断定问题已经解决、关系必然稳定、用户一定成熟、某十神天然是“药”、喜用神自动等于解决办法，或淡化暴力、强迫与现实伤害；现实行为、反例、安全事实和专业支持优先。</x:v>
      </x:c>
      <x:c r="AA138" s="24" t="str">
        <x:v>中高</x:v>
      </x:c>
      <x:c r="AB138" s="24" t="str">
        <x:v>待验证</x:v>
      </x:c>
      <x:c r="AC138" s="24" t="str"/>
      <x:c r="AD138" s="24" t="str">
        <x:v>provisional=true；保护因素的现实有效性必须由可观察行为、反馈和持续结果验证。</x:v>
      </x:c>
      <x:c r="AE138" s="24" t="str">
        <x:v>0.8</x:v>
      </x:c>
    </x:row>
    <x:row r="139" ht="52" customHeight="1">
      <x:c r="A139" s="24" t="str">
        <x:v>M4-BUFFER-138</x:v>
      </x:c>
      <x:c r="B139" s="24" t="str">
        <x:v>正印｜倾听、影响确认与安全恢复｜禁止推断</x:v>
      </x:c>
      <x:c r="C139" s="24" t="str">
        <x:v>L2 十神保护通道</x:v>
      </x:c>
      <x:c r="D139" s="24" t="str">
        <x:v>BUFFER-十神保护通道</x:v>
      </x:c>
      <x:c r="E139" s="24" t="str">
        <x:v>通用</x:v>
      </x:c>
      <x:c r="F139" s="24" t="str">
        <x:v>边界</x:v>
      </x:c>
      <x:c r="G139" s="24" t="str">
        <x:v>正印</x:v>
      </x:c>
      <x:c r="H139" s="24" t="str">
        <x:v>BF04／BF07；限制十神保护解释。</x:v>
      </x:c>
      <x:c r="I139" s="24" t="str">
        <x:v>完成同源去重、现实反例和安全检查。</x:v>
      </x:c>
      <x:c r="J139" s="24" t="str">
        <x:v>将该十神写成天然成熟、万能药或关系必稳。</x:v>
      </x:c>
      <x:c r="K139" s="24" t="str">
        <x:v>由共享基础引擎提供；仅修正保护功能的承载、持续调用和压力状态下的稳定性，不直接等同成熟度、道德或现实行为。</x:v>
      </x:c>
      <x:c r="L139" s="24" t="str">
        <x:v>由M1／M2接口提供；夫妻星、心动原型和关系门槛只说明关系议题，不单独证明保护因素已经被调用或有效。</x:v>
      </x:c>
      <x:c r="M139" s="24" t="str">
        <x:v>由M3-BASE及M4各模块提供；日支、日柱近位可提高与亲密关系核心的相关性，但同一source_id不得重复计分。</x:v>
      </x:c>
      <x:c r="N139" s="24" t="str">
        <x:v>保护因素必须明确限制过用、补足缺位、恢复顺序、打开反馈、落实改变或完成修复回流；不能只凭五行相生补写现实效果。</x:v>
      </x:c>
      <x:c r="O139" s="24" t="str">
        <x:v>近位提高进入亲密关系核心的概率；远位只作背景、阶段或条件性修正。</x:v>
      </x:c>
      <x:c r="P139" s="24" t="str">
        <x:v>根气只修正该保护功能是否容易重复调用，不等于现实中已经形成稳定保护。</x:v>
      </x:c>
      <x:c r="Q139" s="24" t="str">
        <x:v>旺弱只修正调用强度与承载；强不自动有效，弱也不自动无效。</x:v>
      </x:c>
      <x:c r="R139" s="24" t="str">
        <x:v>喜忌只修正摩擦、平衡与承载，不可直接翻译为好坏、成熟度或解决方案。</x:v>
      </x:c>
      <x:c r="S139" s="24" t="str">
        <x:v>原十神功能有效；真合化成立时按化神功能替换，合化争议时停止定性。</x:v>
      </x:c>
      <x:c r="T139" s="24" t="str">
        <x:v>近位提高直接相关性；远位仅保留背景、阶段或低置信修正。</x:v>
      </x:c>
      <x:c r="U139" s="24" t="str">
        <x:v>98</x:v>
      </x:c>
      <x:c r="V139" s="24" t="str">
        <x:v>边界／封顶</x:v>
      </x:c>
      <x:c r="W139" s="24" t="str">
        <x:v>boundary_note</x:v>
      </x:c>
      <x:c r="X139" s="24" t="str">
        <x:v>正印只提供一种功能资源，是否有效取决于靶点、时机、强度和现实结果。</x:v>
      </x:c>
      <x:c r="Y139" s="24" t="str">
        <x:v>这项资源只对特定问题有帮助，并不代表所有关系风险都会因此消失。</x:v>
      </x:c>
      <x:c r="Z139" s="24" t="str">
        <x:v>不得仅凭本规则断定问题已经解决、关系必然稳定、用户一定成熟、某十神天然是“药”、喜用神自动等于解决办法，或淡化暴力、强迫与现实伤害；现实行为、反例、安全事实和专业支持优先。</x:v>
      </x:c>
      <x:c r="AA139" s="24" t="str">
        <x:v>高</x:v>
      </x:c>
      <x:c r="AB139" s="24" t="str">
        <x:v>待验证</x:v>
      </x:c>
      <x:c r="AC139" s="24" t="str"/>
      <x:c r="AD139" s="24" t="str">
        <x:v>provisional=true；保护因素的现实有效性必须由可观察行为、反馈和持续结果验证。</x:v>
      </x:c>
      <x:c r="AE139" s="24" t="str">
        <x:v>0.8</x:v>
      </x:c>
    </x:row>
    <x:row r="140" ht="52" customHeight="1">
      <x:c r="A140" s="24" t="str">
        <x:v>M4-BUFFER-139</x:v>
      </x:c>
      <x:c r="B140" s="24" t="str">
        <x:v>偏印｜模式识别、内部复盘与个性化方案｜正常保护功能</x:v>
      </x:c>
      <x:c r="C140" s="24" t="str">
        <x:v>L2 十神保护通道</x:v>
      </x:c>
      <x:c r="D140" s="24" t="str">
        <x:v>BUFFER-十神保护通道</x:v>
      </x:c>
      <x:c r="E140" s="24" t="str">
        <x:v>通用</x:v>
      </x:c>
      <x:c r="F140" s="24" t="str">
        <x:v>定义</x:v>
      </x:c>
      <x:c r="G140" s="24" t="str">
        <x:v>偏印</x:v>
      </x:c>
      <x:c r="H140" s="24" t="str">
        <x:v>BF04／BF02／BF08；说明该十神在保护链中的中性功能。</x:v>
      </x:c>
      <x:c r="I140" s="24" t="str">
        <x:v>内部整理有明确时限和输出，能转成可沟通方案或专业支持。</x:v>
      </x:c>
      <x:c r="J140" s="24" t="str">
        <x:v>长期独自分析、不断换理论，却没有回到关系互动和现实行动。</x:v>
      </x:c>
      <x:c r="K140" s="24" t="str">
        <x:v>由共享基础引擎提供；仅修正保护功能的承载、持续调用和压力状态下的稳定性，不直接等同成熟度、道德或现实行为。</x:v>
      </x:c>
      <x:c r="L140" s="24" t="str">
        <x:v>由M1／M2接口提供；夫妻星、心动原型和关系门槛只说明关系议题，不单独证明保护因素已经被调用或有效。</x:v>
      </x:c>
      <x:c r="M140" s="24" t="str">
        <x:v>由M3-BASE及M4各模块提供；日支、日柱近位可提高与亲密关系核心的相关性，但同一source_id不得重复计分。</x:v>
      </x:c>
      <x:c r="N140" s="24" t="str">
        <x:v>保护因素必须明确限制过用、补足缺位、恢复顺序、打开反馈、落实改变或完成修复回流；不能只凭五行相生补写现实效果。</x:v>
      </x:c>
      <x:c r="O140" s="24" t="str">
        <x:v>近位提高进入亲密关系核心的概率；远位只作背景、阶段或条件性修正。</x:v>
      </x:c>
      <x:c r="P140" s="24" t="str">
        <x:v>根气只修正该保护功能是否容易重复调用，不等于现实中已经形成稳定保护。</x:v>
      </x:c>
      <x:c r="Q140" s="24" t="str">
        <x:v>旺弱只修正调用强度与承载；强不自动有效，弱也不自动无效。</x:v>
      </x:c>
      <x:c r="R140" s="24" t="str">
        <x:v>喜忌只修正摩擦、平衡与承载，不可直接翻译为好坏、成熟度或解决方案。</x:v>
      </x:c>
      <x:c r="S140" s="24" t="str">
        <x:v>原十神功能有效；真合化成立时按化神功能替换，合化争议时停止定性。</x:v>
      </x:c>
      <x:c r="T140" s="24" t="str">
        <x:v>近位提高直接相关性；远位仅保留背景、阶段或低置信修正。</x:v>
      </x:c>
      <x:c r="U140" s="24" t="str">
        <x:v>90</x:v>
      </x:c>
      <x:c r="V140" s="24" t="str">
        <x:v>基础通道+4</x:v>
      </x:c>
      <x:c r="W140" s="24" t="str">
        <x:v>buffer_channel</x:v>
      </x:c>
      <x:c r="X140" s="24" t="str">
        <x:v>识别重复模式、区分状态与情境，并选择更适合当前问题的处理方法。</x:v>
      </x:c>
      <x:c r="Y140" s="24" t="str">
        <x:v>你能通过复盘和模式识别找到更有针对性的处理方式；保护作用来自整理后重新进入沟通和行动。</x:v>
      </x:c>
      <x:c r="Z140" s="24" t="str">
        <x:v>不得仅凭本规则断定问题已经解决、关系必然稳定、用户一定成熟、某十神天然是“药”、喜用神自动等于解决办法，或淡化暴力、强迫与现实伤害；现实行为、反例、安全事实和专业支持优先。</x:v>
      </x:c>
      <x:c r="AA140" s="24" t="str">
        <x:v>中高</x:v>
      </x:c>
      <x:c r="AB140" s="24" t="str">
        <x:v>待验证</x:v>
      </x:c>
      <x:c r="AC140" s="24" t="str"/>
      <x:c r="AD140" s="24" t="str">
        <x:v>provisional=true；保护因素的现实有效性必须由可观察行为、反馈和持续结果验证。</x:v>
      </x:c>
      <x:c r="AE140" s="24" t="str">
        <x:v>0.8</x:v>
      </x:c>
    </x:row>
    <x:row r="141" ht="52" customHeight="1">
      <x:c r="A141" s="24" t="str">
        <x:v>M4-BUFFER-140</x:v>
      </x:c>
      <x:c r="B141" s="24" t="str">
        <x:v>偏印｜模式识别、内部复盘与个性化方案｜主要风险靶点</x:v>
      </x:c>
      <x:c r="C141" s="24" t="str">
        <x:v>L2 十神保护通道</x:v>
      </x:c>
      <x:c r="D141" s="24" t="str">
        <x:v>BUFFER-十神保护通道</x:v>
      </x:c>
      <x:c r="E141" s="24" t="str">
        <x:v>通用</x:v>
      </x:c>
      <x:c r="F141" s="24" t="str">
        <x:v>路由</x:v>
      </x:c>
      <x:c r="G141" s="24" t="str">
        <x:v>偏印</x:v>
      </x:c>
      <x:c r="H141" s="24" t="str">
        <x:v>BF04／BF02／BF08；将十神功能路由到适配的风险机制。</x:v>
      </x:c>
      <x:c r="I141" s="24" t="str">
        <x:v>已存在K06转换受阻、K07反馈放大、LP11暂停断链、RF07复发未复盘中的至少一项候选。</x:v>
      </x:c>
      <x:c r="J141" s="24" t="str">
        <x:v>没有对应风险靶点，或靶点由同一十神事实重复生成。</x:v>
      </x:c>
      <x:c r="K141" s="24" t="str">
        <x:v>由共享基础引擎提供；仅修正保护功能的承载、持续调用和压力状态下的稳定性，不直接等同成熟度、道德或现实行为。</x:v>
      </x:c>
      <x:c r="L141" s="24" t="str">
        <x:v>由M1／M2接口提供；夫妻星、心动原型和关系门槛只说明关系议题，不单独证明保护因素已经被调用或有效。</x:v>
      </x:c>
      <x:c r="M141" s="24" t="str">
        <x:v>由M3-BASE及M4各模块提供；日支、日柱近位可提高与亲密关系核心的相关性，但同一source_id不得重复计分。</x:v>
      </x:c>
      <x:c r="N141" s="24" t="str">
        <x:v>保护因素必须明确限制过用、补足缺位、恢复顺序、打开反馈、落实改变或完成修复回流；不能只凭五行相生补写现实效果。</x:v>
      </x:c>
      <x:c r="O141" s="24" t="str">
        <x:v>近位提高进入亲密关系核心的概率；远位只作背景、阶段或条件性修正。</x:v>
      </x:c>
      <x:c r="P141" s="24" t="str">
        <x:v>根气只修正该保护功能是否容易重复调用，不等于现实中已经形成稳定保护。</x:v>
      </x:c>
      <x:c r="Q141" s="24" t="str">
        <x:v>旺弱只修正调用强度与承载；强不自动有效，弱也不自动无效。</x:v>
      </x:c>
      <x:c r="R141" s="24" t="str">
        <x:v>喜忌只修正摩擦、平衡与承载，不可直接翻译为好坏、成熟度或解决方案。</x:v>
      </x:c>
      <x:c r="S141" s="24" t="str">
        <x:v>原十神功能有效；真合化成立时按化神功能替换，合化争议时停止定性。</x:v>
      </x:c>
      <x:c r="T141" s="24" t="str">
        <x:v>近位提高直接相关性；远位仅保留背景、阶段或低置信修正。</x:v>
      </x:c>
      <x:c r="U141" s="24" t="str">
        <x:v>88</x:v>
      </x:c>
      <x:c r="V141" s="24" t="str">
        <x:v>靶点匹配+4</x:v>
      </x:c>
      <x:c r="W141" s="24" t="str">
        <x:v>buffer_target</x:v>
      </x:c>
      <x:c r="X141" s="24" t="str">
        <x:v>偏印的保护功能主要路由至：K06转换受阻、K07反馈放大、LP11暂停断链、RF07复发未复盘。</x:v>
      </x:c>
      <x:c r="Y141" s="24" t="str">
        <x:v>这项资源主要帮助处理与模式识别、内部复盘与个性化方案有关的具体盲点。</x:v>
      </x:c>
      <x:c r="Z141" s="24" t="str">
        <x:v>不得仅凭本规则断定问题已经解决、关系必然稳定、用户一定成熟、某十神天然是“药”、喜用神自动等于解决办法，或淡化暴力、强迫与现实伤害；现实行为、反例、安全事实和专业支持优先。</x:v>
      </x:c>
      <x:c r="AA141" s="24" t="str">
        <x:v>中高</x:v>
      </x:c>
      <x:c r="AB141" s="24" t="str">
        <x:v>待验证</x:v>
      </x:c>
      <x:c r="AC141" s="24" t="str"/>
      <x:c r="AD141" s="24" t="str">
        <x:v>provisional=true；保护因素的现实有效性必须由可观察行为、反馈和持续结果验证。</x:v>
      </x:c>
      <x:c r="AE141" s="24" t="str">
        <x:v>0.8</x:v>
      </x:c>
    </x:row>
    <x:row r="142" ht="52" customHeight="1">
      <x:c r="A142" s="24" t="str">
        <x:v>M4-BUFFER-141</x:v>
      </x:c>
      <x:c r="B142" s="24" t="str">
        <x:v>偏印｜模式识别、内部复盘与个性化方案｜有效成立条件</x:v>
      </x:c>
      <x:c r="C142" s="24" t="str">
        <x:v>L2 十神保护通道</x:v>
      </x:c>
      <x:c r="D142" s="24" t="str">
        <x:v>BUFFER-十神保护通道</x:v>
      </x:c>
      <x:c r="E142" s="24" t="str">
        <x:v>通用</x:v>
      </x:c>
      <x:c r="F142" s="24" t="str">
        <x:v>结构证据</x:v>
      </x:c>
      <x:c r="G142" s="24" t="str">
        <x:v>偏印</x:v>
      </x:c>
      <x:c r="H142" s="24" t="str">
        <x:v>BF04／BF02／BF08；判断该通道是否可被独立调用。</x:v>
      </x:c>
      <x:c r="I142" s="24" t="str">
        <x:v>内部整理有明确时限和输出，能转成可沟通方案或专业支持。</x:v>
      </x:c>
      <x:c r="J142" s="24" t="str">
        <x:v>长期独自分析、不断换理论，却没有回到关系互动和现实行动。</x:v>
      </x:c>
      <x:c r="K142" s="24" t="str">
        <x:v>由共享基础引擎提供；仅修正保护功能的承载、持续调用和压力状态下的稳定性，不直接等同成熟度、道德或现实行为。</x:v>
      </x:c>
      <x:c r="L142" s="24" t="str">
        <x:v>由M1／M2接口提供；夫妻星、心动原型和关系门槛只说明关系议题，不单独证明保护因素已经被调用或有效。</x:v>
      </x:c>
      <x:c r="M142" s="24" t="str">
        <x:v>由M3-BASE及M4各模块提供；日支、日柱近位可提高与亲密关系核心的相关性，但同一source_id不得重复计分。</x:v>
      </x:c>
      <x:c r="N142" s="24" t="str">
        <x:v>保护因素必须明确限制过用、补足缺位、恢复顺序、打开反馈、落实改变或完成修复回流；不能只凭五行相生补写现实效果。</x:v>
      </x:c>
      <x:c r="O142" s="24" t="str">
        <x:v>近位提高进入亲密关系核心的概率；远位只作背景、阶段或条件性修正。</x:v>
      </x:c>
      <x:c r="P142" s="24" t="str">
        <x:v>根气只修正该保护功能是否容易重复调用，不等于现实中已经形成稳定保护。</x:v>
      </x:c>
      <x:c r="Q142" s="24" t="str">
        <x:v>旺弱只修正调用强度与承载；强不自动有效，弱也不自动无效。</x:v>
      </x:c>
      <x:c r="R142" s="24" t="str">
        <x:v>喜忌只修正摩擦、平衡与承载，不可直接翻译为好坏、成熟度或解决方案。</x:v>
      </x:c>
      <x:c r="S142" s="24" t="str">
        <x:v>原十神功能有效；真合化成立时按化神功能替换，合化争议时停止定性。</x:v>
      </x:c>
      <x:c r="T142" s="24" t="str">
        <x:v>近位提高直接相关性；远位仅保留背景、阶段或低置信修正。</x:v>
      </x:c>
      <x:c r="U142" s="24" t="str">
        <x:v>89</x:v>
      </x:c>
      <x:c r="V142" s="24" t="str">
        <x:v>独立有效+6</x:v>
      </x:c>
      <x:c r="W142" s="24" t="str">
        <x:v>buffer_evidence</x:v>
      </x:c>
      <x:c r="X142" s="24" t="str">
        <x:v>有效模式识别、内部复盘与个性化方案需要：内部整理有明确时限和输出，能转成可沟通方案或专业支持。</x:v>
      </x:c>
      <x:c r="Y142" s="24" t="str">
        <x:v>从结构上看，你具备模式识别、内部复盘与个性化方案的资源，但还要确认现实中能否稳定使用。</x:v>
      </x:c>
      <x:c r="Z142" s="24" t="str">
        <x:v>不得仅凭本规则断定问题已经解决、关系必然稳定、用户一定成熟、某十神天然是“药”、喜用神自动等于解决办法，或淡化暴力、强迫与现实伤害；现实行为、反例、安全事实和专业支持优先。</x:v>
      </x:c>
      <x:c r="AA142" s="24" t="str">
        <x:v>中高</x:v>
      </x:c>
      <x:c r="AB142" s="24" t="str">
        <x:v>待验证</x:v>
      </x:c>
      <x:c r="AC142" s="24" t="str"/>
      <x:c r="AD142" s="24" t="str">
        <x:v>provisional=true；保护因素的现实有效性必须由可观察行为、反馈和持续结果验证。</x:v>
      </x:c>
      <x:c r="AE142" s="24" t="str">
        <x:v>0.8</x:v>
      </x:c>
    </x:row>
    <x:row r="143" ht="52" customHeight="1">
      <x:c r="A143" s="24" t="str">
        <x:v>M4-BUFFER-142</x:v>
      </x:c>
      <x:c r="B143" s="24" t="str">
        <x:v>偏印｜模式识别、内部复盘与个性化方案｜不足或伪保护</x:v>
      </x:c>
      <x:c r="C143" s="24" t="str">
        <x:v>L2 十神保护通道</x:v>
      </x:c>
      <x:c r="D143" s="24" t="str">
        <x:v>BUFFER-十神保护通道</x:v>
      </x:c>
      <x:c r="E143" s="24" t="str">
        <x:v>通用</x:v>
      </x:c>
      <x:c r="F143" s="24" t="str">
        <x:v>降级</x:v>
      </x:c>
      <x:c r="G143" s="24" t="str">
        <x:v>偏印</x:v>
      </x:c>
      <x:c r="H143" s="24" t="str">
        <x:v>BF04／BF02／BF08；识别该十神的保护性误用。</x:v>
      </x:c>
      <x:c r="I143" s="24" t="str">
        <x:v>长期独自分析、不断换理论，却没有回到关系互动和现实行动。</x:v>
      </x:c>
      <x:c r="J143" s="24" t="str">
        <x:v>现实中该通道已经改变风险链并持续有效。</x:v>
      </x:c>
      <x:c r="K143" s="24" t="str">
        <x:v>由共享基础引擎提供；仅修正保护功能的承载、持续调用和压力状态下的稳定性，不直接等同成熟度、道德或现实行为。</x:v>
      </x:c>
      <x:c r="L143" s="24" t="str">
        <x:v>由M1／M2接口提供；夫妻星、心动原型和关系门槛只说明关系议题，不单独证明保护因素已经被调用或有效。</x:v>
      </x:c>
      <x:c r="M143" s="24" t="str">
        <x:v>由M3-BASE及M4各模块提供；日支、日柱近位可提高与亲密关系核心的相关性，但同一source_id不得重复计分。</x:v>
      </x:c>
      <x:c r="N143" s="24" t="str">
        <x:v>保护因素必须明确限制过用、补足缺位、恢复顺序、打开反馈、落实改变或完成修复回流；不能只凭五行相生补写现实效果。</x:v>
      </x:c>
      <x:c r="O143" s="24" t="str">
        <x:v>近位提高进入亲密关系核心的概率；远位只作背景、阶段或条件性修正。</x:v>
      </x:c>
      <x:c r="P143" s="24" t="str">
        <x:v>根气只修正该保护功能是否容易重复调用，不等于现实中已经形成稳定保护。</x:v>
      </x:c>
      <x:c r="Q143" s="24" t="str">
        <x:v>旺弱只修正调用强度与承载；强不自动有效，弱也不自动无效。</x:v>
      </x:c>
      <x:c r="R143" s="24" t="str">
        <x:v>喜忌只修正摩擦、平衡与承载，不可直接翻译为好坏、成熟度或解决方案。</x:v>
      </x:c>
      <x:c r="S143" s="24" t="str">
        <x:v>原十神功能有效；真合化成立时按化神功能替换，合化争议时停止定性。</x:v>
      </x:c>
      <x:c r="T143" s="24" t="str">
        <x:v>近位提高直接相关性；远位仅保留背景、阶段或低置信修正。</x:v>
      </x:c>
      <x:c r="U143" s="24" t="str">
        <x:v>94</x:v>
      </x:c>
      <x:c r="V143" s="24" t="str">
        <x:v>失效-8</x:v>
      </x:c>
      <x:c r="W143" s="24" t="str">
        <x:v>pseudo_buffer</x:v>
      </x:c>
      <x:c r="X143" s="24" t="str">
        <x:v>偏印在保护位置失效时常表现为：长期独自分析、不断换理论，却没有回到关系互动和现实行动。</x:v>
      </x:c>
      <x:c r="Y143" s="24" t="str">
        <x:v>如果这项方式只停留在表面，或让另一项必要任务更晚进入，就不能把它当成稳定保护。</x:v>
      </x:c>
      <x:c r="Z143" s="24" t="str">
        <x:v>不得仅凭本规则断定问题已经解决、关系必然稳定、用户一定成熟、某十神天然是“药”、喜用神自动等于解决办法，或淡化暴力、强迫与现实伤害；现实行为、反例、安全事实和专业支持优先。</x:v>
      </x:c>
      <x:c r="AA143" s="24" t="str">
        <x:v>中高</x:v>
      </x:c>
      <x:c r="AB143" s="24" t="str">
        <x:v>待验证</x:v>
      </x:c>
      <x:c r="AC143" s="24" t="str"/>
      <x:c r="AD143" s="24" t="str">
        <x:v>provisional=true；保护因素的现实有效性必须由可观察行为、反馈和持续结果验证。</x:v>
      </x:c>
      <x:c r="AE143" s="24" t="str">
        <x:v>0.8</x:v>
      </x:c>
    </x:row>
    <x:row r="144" ht="52" customHeight="1">
      <x:c r="A144" s="24" t="str">
        <x:v>M4-BUFFER-143</x:v>
      </x:c>
      <x:c r="B144" s="24" t="str">
        <x:v>偏印｜模式识别、内部复盘与个性化方案｜用户输出</x:v>
      </x:c>
      <x:c r="C144" s="24" t="str">
        <x:v>L2 十神保护通道</x:v>
      </x:c>
      <x:c r="D144" s="24" t="str">
        <x:v>BUFFER-十神保护通道</x:v>
      </x:c>
      <x:c r="E144" s="24" t="str">
        <x:v>通用</x:v>
      </x:c>
      <x:c r="F144" s="24" t="str">
        <x:v>语言</x:v>
      </x:c>
      <x:c r="G144" s="24" t="str">
        <x:v>偏印</x:v>
      </x:c>
      <x:c r="H144" s="24" t="str">
        <x:v>BF04／BF02／BF08；生成用户可理解的保护资源描述。</x:v>
      </x:c>
      <x:c r="I144" s="24" t="str">
        <x:v>内部整理有明确时限和输出，能转成可沟通方案或专业支持。</x:v>
      </x:c>
      <x:c r="J144" s="24" t="str">
        <x:v>长期独自分析、不断换理论，却没有回到关系互动和现实行动。</x:v>
      </x:c>
      <x:c r="K144" s="24" t="str">
        <x:v>由共享基础引擎提供；仅修正保护功能的承载、持续调用和压力状态下的稳定性，不直接等同成熟度、道德或现实行为。</x:v>
      </x:c>
      <x:c r="L144" s="24" t="str">
        <x:v>由M1／M2接口提供；夫妻星、心动原型和关系门槛只说明关系议题，不单独证明保护因素已经被调用或有效。</x:v>
      </x:c>
      <x:c r="M144" s="24" t="str">
        <x:v>由M3-BASE及M4各模块提供；日支、日柱近位可提高与亲密关系核心的相关性，但同一source_id不得重复计分。</x:v>
      </x:c>
      <x:c r="N144" s="24" t="str">
        <x:v>保护因素必须明确限制过用、补足缺位、恢复顺序、打开反馈、落实改变或完成修复回流；不能只凭五行相生补写现实效果。</x:v>
      </x:c>
      <x:c r="O144" s="24" t="str">
        <x:v>近位提高进入亲密关系核心的概率；远位只作背景、阶段或条件性修正。</x:v>
      </x:c>
      <x:c r="P144" s="24" t="str">
        <x:v>根气只修正该保护功能是否容易重复调用，不等于现实中已经形成稳定保护。</x:v>
      </x:c>
      <x:c r="Q144" s="24" t="str">
        <x:v>旺弱只修正调用强度与承载；强不自动有效，弱也不自动无效。</x:v>
      </x:c>
      <x:c r="R144" s="24" t="str">
        <x:v>喜忌只修正摩擦、平衡与承载，不可直接翻译为好坏、成熟度或解决方案。</x:v>
      </x:c>
      <x:c r="S144" s="24" t="str">
        <x:v>原十神功能有效；真合化成立时按化神功能替换，合化争议时停止定性。</x:v>
      </x:c>
      <x:c r="T144" s="24" t="str">
        <x:v>近位提高直接相关性；远位仅保留背景、阶段或低置信修正。</x:v>
      </x:c>
      <x:c r="U144" s="24" t="str">
        <x:v>84</x:v>
      </x:c>
      <x:c r="V144" s="24" t="str">
        <x:v>不加分；输出</x:v>
      </x:c>
      <x:c r="W144" s="24" t="str">
        <x:v>report_text</x:v>
      </x:c>
      <x:c r="X144" s="24" t="str">
        <x:v>识别重复模式、区分状态与情境，并选择更适合当前问题的处理方法。</x:v>
      </x:c>
      <x:c r="Y144" s="24" t="str">
        <x:v>你能通过复盘和模式识别找到更有针对性的处理方式；保护作用来自整理后重新进入沟通和行动。</x:v>
      </x:c>
      <x:c r="Z144" s="24" t="str">
        <x:v>不得仅凭本规则断定问题已经解决、关系必然稳定、用户一定成熟、某十神天然是“药”、喜用神自动等于解决办法，或淡化暴力、强迫与现实伤害；现实行为、反例、安全事实和专业支持优先。</x:v>
      </x:c>
      <x:c r="AA144" s="24" t="str">
        <x:v>中高</x:v>
      </x:c>
      <x:c r="AB144" s="24" t="str">
        <x:v>待验证</x:v>
      </x:c>
      <x:c r="AC144" s="24" t="str"/>
      <x:c r="AD144" s="24" t="str">
        <x:v>provisional=true；保护因素的现实有效性必须由可观察行为、反馈和持续结果验证。</x:v>
      </x:c>
      <x:c r="AE144" s="24" t="str">
        <x:v>0.8</x:v>
      </x:c>
    </x:row>
    <x:row r="145" ht="52" customHeight="1">
      <x:c r="A145" s="24" t="str">
        <x:v>M4-BUFFER-144</x:v>
      </x:c>
      <x:c r="B145" s="24" t="str">
        <x:v>偏印｜模式识别、内部复盘与个性化方案｜禁止推断</x:v>
      </x:c>
      <x:c r="C145" s="24" t="str">
        <x:v>L2 十神保护通道</x:v>
      </x:c>
      <x:c r="D145" s="24" t="str">
        <x:v>BUFFER-十神保护通道</x:v>
      </x:c>
      <x:c r="E145" s="24" t="str">
        <x:v>通用</x:v>
      </x:c>
      <x:c r="F145" s="24" t="str">
        <x:v>边界</x:v>
      </x:c>
      <x:c r="G145" s="24" t="str">
        <x:v>偏印</x:v>
      </x:c>
      <x:c r="H145" s="24" t="str">
        <x:v>BF04／BF02／BF08；限制十神保护解释。</x:v>
      </x:c>
      <x:c r="I145" s="24" t="str">
        <x:v>完成同源去重、现实反例和安全检查。</x:v>
      </x:c>
      <x:c r="J145" s="24" t="str">
        <x:v>将该十神写成天然成熟、万能药或关系必稳。</x:v>
      </x:c>
      <x:c r="K145" s="24" t="str">
        <x:v>由共享基础引擎提供；仅修正保护功能的承载、持续调用和压力状态下的稳定性，不直接等同成熟度、道德或现实行为。</x:v>
      </x:c>
      <x:c r="L145" s="24" t="str">
        <x:v>由M1／M2接口提供；夫妻星、心动原型和关系门槛只说明关系议题，不单独证明保护因素已经被调用或有效。</x:v>
      </x:c>
      <x:c r="M145" s="24" t="str">
        <x:v>由M3-BASE及M4各模块提供；日支、日柱近位可提高与亲密关系核心的相关性，但同一source_id不得重复计分。</x:v>
      </x:c>
      <x:c r="N145" s="24" t="str">
        <x:v>保护因素必须明确限制过用、补足缺位、恢复顺序、打开反馈、落实改变或完成修复回流；不能只凭五行相生补写现实效果。</x:v>
      </x:c>
      <x:c r="O145" s="24" t="str">
        <x:v>近位提高进入亲密关系核心的概率；远位只作背景、阶段或条件性修正。</x:v>
      </x:c>
      <x:c r="P145" s="24" t="str">
        <x:v>根气只修正该保护功能是否容易重复调用，不等于现实中已经形成稳定保护。</x:v>
      </x:c>
      <x:c r="Q145" s="24" t="str">
        <x:v>旺弱只修正调用强度与承载；强不自动有效，弱也不自动无效。</x:v>
      </x:c>
      <x:c r="R145" s="24" t="str">
        <x:v>喜忌只修正摩擦、平衡与承载，不可直接翻译为好坏、成熟度或解决方案。</x:v>
      </x:c>
      <x:c r="S145" s="24" t="str">
        <x:v>原十神功能有效；真合化成立时按化神功能替换，合化争议时停止定性。</x:v>
      </x:c>
      <x:c r="T145" s="24" t="str">
        <x:v>近位提高直接相关性；远位仅保留背景、阶段或低置信修正。</x:v>
      </x:c>
      <x:c r="U145" s="24" t="str">
        <x:v>98</x:v>
      </x:c>
      <x:c r="V145" s="24" t="str">
        <x:v>边界／封顶</x:v>
      </x:c>
      <x:c r="W145" s="24" t="str">
        <x:v>boundary_note</x:v>
      </x:c>
      <x:c r="X145" s="24" t="str">
        <x:v>偏印只提供一种功能资源，是否有效取决于靶点、时机、强度和现实结果。</x:v>
      </x:c>
      <x:c r="Y145" s="24" t="str">
        <x:v>这项资源只对特定问题有帮助，并不代表所有关系风险都会因此消失。</x:v>
      </x:c>
      <x:c r="Z145" s="24" t="str">
        <x:v>不得仅凭本规则断定问题已经解决、关系必然稳定、用户一定成熟、某十神天然是“药”、喜用神自动等于解决办法，或淡化暴力、强迫与现实伤害；现实行为、反例、安全事实和专业支持优先。</x:v>
      </x:c>
      <x:c r="AA145" s="24" t="str">
        <x:v>高</x:v>
      </x:c>
      <x:c r="AB145" s="24" t="str">
        <x:v>待验证</x:v>
      </x:c>
      <x:c r="AC145" s="24" t="str"/>
      <x:c r="AD145" s="24" t="str">
        <x:v>provisional=true；保护因素的现实有效性必须由可观察行为、反馈和持续结果验证。</x:v>
      </x:c>
      <x:c r="AE145" s="24" t="str">
        <x:v>0.8</x:v>
      </x:c>
    </x:row>
    <x:row r="146" ht="52" customHeight="1">
      <x:c r="A146" s="24" t="str">
        <x:v>M4-BUFFER-145</x:v>
      </x:c>
      <x:c r="B146" s="24" t="str">
        <x:v>BL0 无有效资料／停止｜层级定义</x:v>
      </x:c>
      <x:c r="C146" s="24" t="str">
        <x:v>L3 BL0—BL7保护有效层级</x:v>
      </x:c>
      <x:c r="D146" s="24" t="str">
        <x:v>BUFFER-保护层级</x:v>
      </x:c>
      <x:c r="E146" s="24" t="str">
        <x:v>通用</x:v>
      </x:c>
      <x:c r="F146" s="24" t="str">
        <x:v>定义</x:v>
      </x:c>
      <x:c r="G146" s="24" t="str">
        <x:v>BL0 无有效资料／停止</x:v>
      </x:c>
      <x:c r="H146" s="24" t="str">
        <x:v>定义保护有效性的证据层级。</x:v>
      </x:c>
      <x:c r="I146" s="24" t="str">
        <x:v>满足本层级的结构与现实证据要求。</x:v>
      </x:c>
      <x:c r="J146" s="24" t="str">
        <x:v>证据不足或被高估。</x:v>
      </x:c>
      <x:c r="K146" s="24" t="str">
        <x:v>由共享基础引擎提供；仅修正保护功能的承载、持续调用和压力状态下的稳定性，不直接等同成熟度、道德或现实行为。</x:v>
      </x:c>
      <x:c r="L146" s="24" t="str">
        <x:v>由M1／M2接口提供；夫妻星、心动原型和关系门槛只说明关系议题，不单独证明保护因素已经被调用或有效。</x:v>
      </x:c>
      <x:c r="M146" s="24" t="str">
        <x:v>由M3-BASE及M4各模块提供；日支、日柱近位可提高与亲密关系核心的相关性，但同一source_id不得重复计分。</x:v>
      </x:c>
      <x:c r="N146" s="24" t="str">
        <x:v>保护因素必须明确限制过用、补足缺位、恢复顺序、打开反馈、落实改变或完成修复回流；不能只凭五行相生补写现实效果。</x:v>
      </x:c>
      <x:c r="O146" s="24" t="str">
        <x:v>近位提高进入亲密关系核心的概率；远位只作背景、阶段或条件性修正。</x:v>
      </x:c>
      <x:c r="P146" s="24" t="str">
        <x:v>根气只修正该保护功能是否容易重复调用，不等于现实中已经形成稳定保护。</x:v>
      </x:c>
      <x:c r="Q146" s="24" t="str">
        <x:v>旺弱只修正调用强度与承载；强不自动有效，弱也不自动无效。</x:v>
      </x:c>
      <x:c r="R146" s="24" t="str">
        <x:v>喜忌只修正摩擦、平衡与承载，不可直接翻译为好坏、成熟度或解决方案。</x:v>
      </x:c>
      <x:c r="S146" s="24" t="str">
        <x:v>原十神功能有效；真合化成立时按化神功能替换，合化争议时停止定性。</x:v>
      </x:c>
      <x:c r="T146" s="24" t="str">
        <x:v>近位提高直接相关性；远位仅保留背景、阶段或低置信修正。</x:v>
      </x:c>
      <x:c r="U146" s="24" t="str">
        <x:v>96</x:v>
      </x:c>
      <x:c r="V146" s="24" t="str">
        <x:v>层级判定</x:v>
      </x:c>
      <x:c r="W146" s="24" t="str">
        <x:v>buffer_level</x:v>
      </x:c>
      <x:c r="X146" s="24" t="str">
        <x:v>没有可用结构或现实资料，或存在安全停止、合化争议和关键字段冲突。</x:v>
      </x:c>
      <x:c r="Y146" s="24" t="str">
        <x:v>当前资料还不足以判断哪些资源真正有效。</x:v>
      </x:c>
      <x:c r="Z146" s="24" t="str">
        <x:v>不得仅凭本规则断定问题已经解决、关系必然稳定、用户一定成熟、某十神天然是“药”、喜用神自动等于解决办法，或淡化暴力、强迫与现实伤害；现实行为、反例、安全事实和专业支持优先。</x:v>
      </x:c>
      <x:c r="AA146" s="24" t="str">
        <x:v>高</x:v>
      </x:c>
      <x:c r="AB146" s="24" t="str">
        <x:v>待验证</x:v>
      </x:c>
      <x:c r="AC146" s="24" t="str"/>
      <x:c r="AD146" s="24" t="str">
        <x:v>provisional=true；保护因素的现实有效性必须由可观察行为、反馈和持续结果验证。</x:v>
      </x:c>
      <x:c r="AE146" s="24" t="str">
        <x:v>0.8</x:v>
      </x:c>
    </x:row>
    <x:row r="147" ht="52" customHeight="1">
      <x:c r="A147" s="24" t="str">
        <x:v>M4-BUFFER-146</x:v>
      </x:c>
      <x:c r="B147" s="24" t="str">
        <x:v>BL0 无有效资料／停止｜证据要求</x:v>
      </x:c>
      <x:c r="C147" s="24" t="str">
        <x:v>L3 BL0—BL7保护有效层级</x:v>
      </x:c>
      <x:c r="D147" s="24" t="str">
        <x:v>BUFFER-保护层级</x:v>
      </x:c>
      <x:c r="E147" s="24" t="str">
        <x:v>通用</x:v>
      </x:c>
      <x:c r="F147" s="24" t="str">
        <x:v>证据</x:v>
      </x:c>
      <x:c r="G147" s="24" t="str">
        <x:v>BL0 无有效资料／停止</x:v>
      </x:c>
      <x:c r="H147" s="24" t="str">
        <x:v>明确进入本层级所需证据。</x:v>
      </x:c>
      <x:c r="I147" s="24" t="str">
        <x:v>没有可用结构或现实资料，或存在安全停止、合化争议和关键字段冲突。</x:v>
      </x:c>
      <x:c r="J147" s="24" t="str">
        <x:v>只有同源重复、标签或主观推测。</x:v>
      </x:c>
      <x:c r="K147" s="24" t="str">
        <x:v>由共享基础引擎提供；仅修正保护功能的承载、持续调用和压力状态下的稳定性，不直接等同成熟度、道德或现实行为。</x:v>
      </x:c>
      <x:c r="L147" s="24" t="str">
        <x:v>由M1／M2接口提供；夫妻星、心动原型和关系门槛只说明关系议题，不单独证明保护因素已经被调用或有效。</x:v>
      </x:c>
      <x:c r="M147" s="24" t="str">
        <x:v>由M3-BASE及M4各模块提供；日支、日柱近位可提高与亲密关系核心的相关性，但同一source_id不得重复计分。</x:v>
      </x:c>
      <x:c r="N147" s="24" t="str">
        <x:v>保护因素必须明确限制过用、补足缺位、恢复顺序、打开反馈、落实改变或完成修复回流；不能只凭五行相生补写现实效果。</x:v>
      </x:c>
      <x:c r="O147" s="24" t="str">
        <x:v>近位提高进入亲密关系核心的概率；远位只作背景、阶段或条件性修正。</x:v>
      </x:c>
      <x:c r="P147" s="24" t="str">
        <x:v>根气只修正该保护功能是否容易重复调用，不等于现实中已经形成稳定保护。</x:v>
      </x:c>
      <x:c r="Q147" s="24" t="str">
        <x:v>旺弱只修正调用强度与承载；强不自动有效，弱也不自动无效。</x:v>
      </x:c>
      <x:c r="R147" s="24" t="str">
        <x:v>喜忌只修正摩擦、平衡与承载，不可直接翻译为好坏、成熟度或解决方案。</x:v>
      </x:c>
      <x:c r="S147" s="24" t="str">
        <x:v>原十神功能有效；真合化成立时按化神功能替换，合化争议时停止定性。</x:v>
      </x:c>
      <x:c r="T147" s="24" t="str">
        <x:v>近位提高直接相关性；远位仅保留背景、阶段或低置信修正。</x:v>
      </x:c>
      <x:c r="U147" s="24" t="str">
        <x:v>94</x:v>
      </x:c>
      <x:c r="V147" s="24" t="str">
        <x:v>证据门槛</x:v>
      </x:c>
      <x:c r="W147" s="24" t="str">
        <x:v>buffer_evidence</x:v>
      </x:c>
      <x:c r="X147" s="24" t="str">
        <x:v>BL0要求：没有可用结构或现实资料，或存在安全停止、合化争议和关键字段冲突。</x:v>
      </x:c>
      <x:c r="Y147" s="24" t="str">
        <x:v>要达到这一层，需要看到：没有可用结构或现实资料，或存在安全停止、合化争议和关键字段冲突。</x:v>
      </x:c>
      <x:c r="Z147" s="24" t="str">
        <x:v>不得仅凭本规则断定问题已经解决、关系必然稳定、用户一定成熟、某十神天然是“药”、喜用神自动等于解决办法，或淡化暴力、强迫与现实伤害；现实行为、反例、安全事实和专业支持优先。</x:v>
      </x:c>
      <x:c r="AA147" s="24" t="str">
        <x:v>中高</x:v>
      </x:c>
      <x:c r="AB147" s="24" t="str">
        <x:v>待验证</x:v>
      </x:c>
      <x:c r="AC147" s="24" t="str"/>
      <x:c r="AD147" s="24" t="str">
        <x:v>provisional=true；保护因素的现实有效性必须由可观察行为、反馈和持续结果验证。</x:v>
      </x:c>
      <x:c r="AE147" s="24" t="str">
        <x:v>0.8</x:v>
      </x:c>
    </x:row>
    <x:row r="148" ht="52" customHeight="1">
      <x:c r="A148" s="24" t="str">
        <x:v>M4-BUFFER-147</x:v>
      </x:c>
      <x:c r="B148" s="24" t="str">
        <x:v>BL0 无有效资料／停止｜发布上限</x:v>
      </x:c>
      <x:c r="C148" s="24" t="str">
        <x:v>L3 BL0—BL7保护有效层级</x:v>
      </x:c>
      <x:c r="D148" s="24" t="str">
        <x:v>BUFFER-保护层级</x:v>
      </x:c>
      <x:c r="E148" s="24" t="str">
        <x:v>通用</x:v>
      </x:c>
      <x:c r="F148" s="24" t="str">
        <x:v>发布边界</x:v>
      </x:c>
      <x:c r="G148" s="24" t="str">
        <x:v>BL0 无有效资料／停止</x:v>
      </x:c>
      <x:c r="H148" s="24" t="str">
        <x:v>限制用户报告措辞。</x:v>
      </x:c>
      <x:c r="I148" s="24" t="str">
        <x:v>已经完成本层级证据门控。</x:v>
      </x:c>
      <x:c r="J148" s="24" t="str">
        <x:v>用低层级证据发布更强结论。</x:v>
      </x:c>
      <x:c r="K148" s="24" t="str">
        <x:v>由共享基础引擎提供；仅修正保护功能的承载、持续调用和压力状态下的稳定性，不直接等同成熟度、道德或现实行为。</x:v>
      </x:c>
      <x:c r="L148" s="24" t="str">
        <x:v>由M1／M2接口提供；夫妻星、心动原型和关系门槛只说明关系议题，不单独证明保护因素已经被调用或有效。</x:v>
      </x:c>
      <x:c r="M148" s="24" t="str">
        <x:v>由M3-BASE及M4各模块提供；日支、日柱近位可提高与亲密关系核心的相关性，但同一source_id不得重复计分。</x:v>
      </x:c>
      <x:c r="N148" s="24" t="str">
        <x:v>保护因素必须明确限制过用、补足缺位、恢复顺序、打开反馈、落实改变或完成修复回流；不能只凭五行相生补写现实效果。</x:v>
      </x:c>
      <x:c r="O148" s="24" t="str">
        <x:v>近位提高进入亲密关系核心的概率；远位只作背景、阶段或条件性修正。</x:v>
      </x:c>
      <x:c r="P148" s="24" t="str">
        <x:v>根气只修正该保护功能是否容易重复调用，不等于现实中已经形成稳定保护。</x:v>
      </x:c>
      <x:c r="Q148" s="24" t="str">
        <x:v>旺弱只修正调用强度与承载；强不自动有效，弱也不自动无效。</x:v>
      </x:c>
      <x:c r="R148" s="24" t="str">
        <x:v>喜忌只修正摩擦、平衡与承载，不可直接翻译为好坏、成熟度或解决方案。</x:v>
      </x:c>
      <x:c r="S148" s="24" t="str">
        <x:v>原十神功能有效；真合化成立时按化神功能替换，合化争议时停止定性。</x:v>
      </x:c>
      <x:c r="T148" s="24" t="str">
        <x:v>近位提高直接相关性；远位仅保留背景、阶段或低置信修正。</x:v>
      </x:c>
      <x:c r="U148" s="24" t="str">
        <x:v>99</x:v>
      </x:c>
      <x:c r="V148" s="24" t="str">
        <x:v>封顶</x:v>
      </x:c>
      <x:c r="W148" s="24" t="str">
        <x:v>report_status</x:v>
      </x:c>
      <x:c r="X148" s="24" t="str">
        <x:v>不发布保护结论，只说明缺失项或停止原因。</x:v>
      </x:c>
      <x:c r="Y148" s="24" t="str">
        <x:v>这一层最多可以说明：不发布保护结论，只说明缺失项或停止原因。</x:v>
      </x:c>
      <x:c r="Z148" s="24" t="str">
        <x:v>不得仅凭本规则断定问题已经解决、关系必然稳定、用户一定成熟、某十神天然是“药”、喜用神自动等于解决办法，或淡化暴力、强迫与现实伤害；现实行为、反例、安全事实和专业支持优先。</x:v>
      </x:c>
      <x:c r="AA148" s="24" t="str">
        <x:v>高</x:v>
      </x:c>
      <x:c r="AB148" s="24" t="str">
        <x:v>待验证</x:v>
      </x:c>
      <x:c r="AC148" s="24" t="str"/>
      <x:c r="AD148" s="24" t="str">
        <x:v>provisional=true；保护因素的现实有效性必须由可观察行为、反馈和持续结果验证。</x:v>
      </x:c>
      <x:c r="AE148" s="24" t="str">
        <x:v>0.8</x:v>
      </x:c>
    </x:row>
    <x:row r="149" ht="52" customHeight="1">
      <x:c r="A149" s="24" t="str">
        <x:v>M4-BUFFER-148</x:v>
      </x:c>
      <x:c r="B149" s="24" t="str">
        <x:v>BL0 无有效资料／停止｜升级条件</x:v>
      </x:c>
      <x:c r="C149" s="24" t="str">
        <x:v>L3 BL0—BL7保护有效层级</x:v>
      </x:c>
      <x:c r="D149" s="24" t="str">
        <x:v>BUFFER-保护层级</x:v>
      </x:c>
      <x:c r="E149" s="24" t="str">
        <x:v>通用</x:v>
      </x:c>
      <x:c r="F149" s="24" t="str">
        <x:v>升级</x:v>
      </x:c>
      <x:c r="G149" s="24" t="str">
        <x:v>BL0 无有效资料／停止</x:v>
      </x:c>
      <x:c r="H149" s="24" t="str">
        <x:v>说明如何从当前层级升级。</x:v>
      </x:c>
      <x:c r="I149" s="24" t="str">
        <x:v>当前层级成立，并补齐下一层所需的独立证据。</x:v>
      </x:c>
      <x:c r="J149" s="24" t="str">
        <x:v>只增加同一source_id或同一event_id的描述。</x:v>
      </x:c>
      <x:c r="K149" s="24" t="str">
        <x:v>由共享基础引擎提供；仅修正保护功能的承载、持续调用和压力状态下的稳定性，不直接等同成熟度、道德或现实行为。</x:v>
      </x:c>
      <x:c r="L149" s="24" t="str">
        <x:v>由M1／M2接口提供；夫妻星、心动原型和关系门槛只说明关系议题，不单独证明保护因素已经被调用或有效。</x:v>
      </x:c>
      <x:c r="M149" s="24" t="str">
        <x:v>由M3-BASE及M4各模块提供；日支、日柱近位可提高与亲密关系核心的相关性，但同一source_id不得重复计分。</x:v>
      </x:c>
      <x:c r="N149" s="24" t="str">
        <x:v>保护因素必须明确限制过用、补足缺位、恢复顺序、打开反馈、落实改变或完成修复回流；不能只凭五行相生补写现实效果。</x:v>
      </x:c>
      <x:c r="O149" s="24" t="str">
        <x:v>近位提高进入亲密关系核心的概率；远位只作背景、阶段或条件性修正。</x:v>
      </x:c>
      <x:c r="P149" s="24" t="str">
        <x:v>根气只修正该保护功能是否容易重复调用，不等于现实中已经形成稳定保护。</x:v>
      </x:c>
      <x:c r="Q149" s="24" t="str">
        <x:v>旺弱只修正调用强度与承载；强不自动有效，弱也不自动无效。</x:v>
      </x:c>
      <x:c r="R149" s="24" t="str">
        <x:v>喜忌只修正摩擦、平衡与承载，不可直接翻译为好坏、成熟度或解决方案。</x:v>
      </x:c>
      <x:c r="S149" s="24" t="str">
        <x:v>原十神功能有效；真合化成立时按化神功能替换，合化争议时停止定性。</x:v>
      </x:c>
      <x:c r="T149" s="24" t="str">
        <x:v>近位提高直接相关性；远位仅保留背景、阶段或低置信修正。</x:v>
      </x:c>
      <x:c r="U149" s="24" t="str">
        <x:v>89</x:v>
      </x:c>
      <x:c r="V149" s="24" t="str">
        <x:v>满足则升级</x:v>
      </x:c>
      <x:c r="W149" s="24" t="str">
        <x:v>upgrade_condition</x:v>
      </x:c>
      <x:c r="X149" s="24" t="str">
        <x:v>补齐结构状态、现实事件、反馈或安全信息。</x:v>
      </x:c>
      <x:c r="Y149" s="24" t="str">
        <x:v>若要进一步确认，需要：补齐结构状态、现实事件、反馈或安全信息。</x:v>
      </x:c>
      <x:c r="Z149" s="24" t="str">
        <x:v>不得仅凭本规则断定问题已经解决、关系必然稳定、用户一定成熟、某十神天然是“药”、喜用神自动等于解决办法，或淡化暴力、强迫与现实伤害；现实行为、反例、安全事实和专业支持优先。</x:v>
      </x:c>
      <x:c r="AA149" s="24" t="str">
        <x:v>中高</x:v>
      </x:c>
      <x:c r="AB149" s="24" t="str">
        <x:v>待验证</x:v>
      </x:c>
      <x:c r="AC149" s="24" t="str"/>
      <x:c r="AD149" s="24" t="str">
        <x:v>provisional=true；保护因素的现实有效性必须由可观察行为、反馈和持续结果验证。</x:v>
      </x:c>
      <x:c r="AE149" s="24" t="str">
        <x:v>0.8</x:v>
      </x:c>
    </x:row>
    <x:row r="150" ht="52" customHeight="1">
      <x:c r="A150" s="24" t="str">
        <x:v>M4-BUFFER-149</x:v>
      </x:c>
      <x:c r="B150" s="24" t="str">
        <x:v>BL0 无有效资料／停止｜降级／停止条件</x:v>
      </x:c>
      <x:c r="C150" s="24" t="str">
        <x:v>L3 BL0—BL7保护有效层级</x:v>
      </x:c>
      <x:c r="D150" s="24" t="str">
        <x:v>BUFFER-保护层级</x:v>
      </x:c>
      <x:c r="E150" s="24" t="str">
        <x:v>通用</x:v>
      </x:c>
      <x:c r="F150" s="24" t="str">
        <x:v>降级</x:v>
      </x:c>
      <x:c r="G150" s="24" t="str">
        <x:v>BL0 无有效资料／停止</x:v>
      </x:c>
      <x:c r="H150" s="24" t="str">
        <x:v>说明何时需要降低保护等级。</x:v>
      </x:c>
      <x:c r="I150" s="24" t="str">
        <x:v>任何单一十神、喜用神或自述均不能越过停止门控。</x:v>
      </x:c>
      <x:c r="J150" s="24" t="str">
        <x:v>存在跨情境稳定有效的现实证据。</x:v>
      </x:c>
      <x:c r="K150" s="24" t="str">
        <x:v>由共享基础引擎提供；仅修正保护功能的承载、持续调用和压力状态下的稳定性，不直接等同成熟度、道德或现实行为。</x:v>
      </x:c>
      <x:c r="L150" s="24" t="str">
        <x:v>由M1／M2接口提供；夫妻星、心动原型和关系门槛只说明关系议题，不单独证明保护因素已经被调用或有效。</x:v>
      </x:c>
      <x:c r="M150" s="24" t="str">
        <x:v>由M3-BASE及M4各模块提供；日支、日柱近位可提高与亲密关系核心的相关性，但同一source_id不得重复计分。</x:v>
      </x:c>
      <x:c r="N150" s="24" t="str">
        <x:v>保护因素必须明确限制过用、补足缺位、恢复顺序、打开反馈、落实改变或完成修复回流；不能只凭五行相生补写现实效果。</x:v>
      </x:c>
      <x:c r="O150" s="24" t="str">
        <x:v>近位提高进入亲密关系核心的概率；远位只作背景、阶段或条件性修正。</x:v>
      </x:c>
      <x:c r="P150" s="24" t="str">
        <x:v>根气只修正该保护功能是否容易重复调用，不等于现实中已经形成稳定保护。</x:v>
      </x:c>
      <x:c r="Q150" s="24" t="str">
        <x:v>旺弱只修正调用强度与承载；强不自动有效，弱也不自动无效。</x:v>
      </x:c>
      <x:c r="R150" s="24" t="str">
        <x:v>喜忌只修正摩擦、平衡与承载，不可直接翻译为好坏、成熟度或解决方案。</x:v>
      </x:c>
      <x:c r="S150" s="24" t="str">
        <x:v>原十神功能有效；真合化成立时按化神功能替换，合化争议时停止定性。</x:v>
      </x:c>
      <x:c r="T150" s="24" t="str">
        <x:v>近位提高直接相关性；远位仅保留背景、阶段或低置信修正。</x:v>
      </x:c>
      <x:c r="U150" s="24" t="str">
        <x:v>97</x:v>
      </x:c>
      <x:c r="V150" s="24" t="str">
        <x:v>触发则降级</x:v>
      </x:c>
      <x:c r="W150" s="24" t="str">
        <x:v>downgrade_condition</x:v>
      </x:c>
      <x:c r="X150" s="24" t="str">
        <x:v>任何单一十神、喜用神或自述均不能越过停止门控。</x:v>
      </x:c>
      <x:c r="Y150" s="24" t="str">
        <x:v>若出现以下情况，应降低判断：任何单一十神、喜用神或自述均不能越过停止门控。</x:v>
      </x:c>
      <x:c r="Z150" s="24" t="str">
        <x:v>不得仅凭本规则断定问题已经解决、关系必然稳定、用户一定成熟、某十神天然是“药”、喜用神自动等于解决办法，或淡化暴力、强迫与现实伤害；现实行为、反例、安全事实和专业支持优先。</x:v>
      </x:c>
      <x:c r="AA150" s="24" t="str">
        <x:v>高</x:v>
      </x:c>
      <x:c r="AB150" s="24" t="str">
        <x:v>待验证</x:v>
      </x:c>
      <x:c r="AC150" s="24" t="str"/>
      <x:c r="AD150" s="24" t="str">
        <x:v>provisional=true；保护因素的现实有效性必须由可观察行为、反馈和持续结果验证。</x:v>
      </x:c>
      <x:c r="AE150" s="24" t="str">
        <x:v>0.8</x:v>
      </x:c>
    </x:row>
    <x:row r="151" ht="52" customHeight="1">
      <x:c r="A151" s="24" t="str">
        <x:v>M4-BUFFER-150</x:v>
      </x:c>
      <x:c r="B151" s="24" t="str">
        <x:v>BL0 无有效资料／停止｜用户输出</x:v>
      </x:c>
      <x:c r="C151" s="24" t="str">
        <x:v>L3 BL0—BL7保护有效层级</x:v>
      </x:c>
      <x:c r="D151" s="24" t="str">
        <x:v>BUFFER-保护层级</x:v>
      </x:c>
      <x:c r="E151" s="24" t="str">
        <x:v>通用</x:v>
      </x:c>
      <x:c r="F151" s="24" t="str">
        <x:v>语言</x:v>
      </x:c>
      <x:c r="G151" s="24" t="str">
        <x:v>BL0 无有效资料／停止</x:v>
      </x:c>
      <x:c r="H151" s="24" t="str">
        <x:v>生成对应层级的用户语言。</x:v>
      </x:c>
      <x:c r="I151" s="24" t="str">
        <x:v>本层级已经成立。</x:v>
      </x:c>
      <x:c r="J151" s="24" t="str">
        <x:v>层级未成立或存在安全停止。</x:v>
      </x:c>
      <x:c r="K151" s="24" t="str">
        <x:v>由共享基础引擎提供；仅修正保护功能的承载、持续调用和压力状态下的稳定性，不直接等同成熟度、道德或现实行为。</x:v>
      </x:c>
      <x:c r="L151" s="24" t="str">
        <x:v>由M1／M2接口提供；夫妻星、心动原型和关系门槛只说明关系议题，不单独证明保护因素已经被调用或有效。</x:v>
      </x:c>
      <x:c r="M151" s="24" t="str">
        <x:v>由M3-BASE及M4各模块提供；日支、日柱近位可提高与亲密关系核心的相关性，但同一source_id不得重复计分。</x:v>
      </x:c>
      <x:c r="N151" s="24" t="str">
        <x:v>保护因素必须明确限制过用、补足缺位、恢复顺序、打开反馈、落实改变或完成修复回流；不能只凭五行相生补写现实效果。</x:v>
      </x:c>
      <x:c r="O151" s="24" t="str">
        <x:v>近位提高进入亲密关系核心的概率；远位只作背景、阶段或条件性修正。</x:v>
      </x:c>
      <x:c r="P151" s="24" t="str">
        <x:v>根气只修正该保护功能是否容易重复调用，不等于现实中已经形成稳定保护。</x:v>
      </x:c>
      <x:c r="Q151" s="24" t="str">
        <x:v>旺弱只修正调用强度与承载；强不自动有效，弱也不自动无效。</x:v>
      </x:c>
      <x:c r="R151" s="24" t="str">
        <x:v>喜忌只修正摩擦、平衡与承载，不可直接翻译为好坏、成熟度或解决方案。</x:v>
      </x:c>
      <x:c r="S151" s="24" t="str">
        <x:v>原十神功能有效；真合化成立时按化神功能替换，合化争议时停止定性。</x:v>
      </x:c>
      <x:c r="T151" s="24" t="str">
        <x:v>近位提高直接相关性；远位仅保留背景、阶段或低置信修正。</x:v>
      </x:c>
      <x:c r="U151" s="24" t="str">
        <x:v>84</x:v>
      </x:c>
      <x:c r="V151" s="24" t="str">
        <x:v>不加分；输出</x:v>
      </x:c>
      <x:c r="W151" s="24" t="str">
        <x:v>report_text</x:v>
      </x:c>
      <x:c r="X151" s="24" t="str">
        <x:v>没有可用结构或现实资料，或存在安全停止、合化争议和关键字段冲突。</x:v>
      </x:c>
      <x:c r="Y151" s="24" t="str">
        <x:v>当前资料还不足以判断哪些资源真正有效。</x:v>
      </x:c>
      <x:c r="Z151" s="24" t="str">
        <x:v>不得仅凭本规则断定问题已经解决、关系必然稳定、用户一定成熟、某十神天然是“药”、喜用神自动等于解决办法，或淡化暴力、强迫与现实伤害；现实行为、反例、安全事实和专业支持优先。</x:v>
      </x:c>
      <x:c r="AA151" s="24" t="str">
        <x:v>中高</x:v>
      </x:c>
      <x:c r="AB151" s="24" t="str">
        <x:v>待验证</x:v>
      </x:c>
      <x:c r="AC151" s="24" t="str"/>
      <x:c r="AD151" s="24" t="str">
        <x:v>provisional=true；保护因素的现实有效性必须由可观察行为、反馈和持续结果验证。</x:v>
      </x:c>
      <x:c r="AE151" s="24" t="str">
        <x:v>0.8</x:v>
      </x:c>
    </x:row>
    <x:row r="152" ht="52" customHeight="1">
      <x:c r="A152" s="24" t="str">
        <x:v>M4-BUFFER-151</x:v>
      </x:c>
      <x:c r="B152" s="24" t="str">
        <x:v>BL1 标签资源｜层级定义</x:v>
      </x:c>
      <x:c r="C152" s="24" t="str">
        <x:v>L3 BL0—BL7保护有效层级</x:v>
      </x:c>
      <x:c r="D152" s="24" t="str">
        <x:v>BUFFER-保护层级</x:v>
      </x:c>
      <x:c r="E152" s="24" t="str">
        <x:v>通用</x:v>
      </x:c>
      <x:c r="F152" s="24" t="str">
        <x:v>定义</x:v>
      </x:c>
      <x:c r="G152" s="24" t="str">
        <x:v>BL1 标签资源</x:v>
      </x:c>
      <x:c r="H152" s="24" t="str">
        <x:v>定义保护有效性的证据层级。</x:v>
      </x:c>
      <x:c r="I152" s="24" t="str">
        <x:v>满足本层级的结构与现实证据要求。</x:v>
      </x:c>
      <x:c r="J152" s="24" t="str">
        <x:v>证据不足或被高估。</x:v>
      </x:c>
      <x:c r="K152" s="24" t="str">
        <x:v>由共享基础引擎提供；仅修正保护功能的承载、持续调用和压力状态下的稳定性，不直接等同成熟度、道德或现实行为。</x:v>
      </x:c>
      <x:c r="L152" s="24" t="str">
        <x:v>由M1／M2接口提供；夫妻星、心动原型和关系门槛只说明关系议题，不单独证明保护因素已经被调用或有效。</x:v>
      </x:c>
      <x:c r="M152" s="24" t="str">
        <x:v>由M3-BASE及M4各模块提供；日支、日柱近位可提高与亲密关系核心的相关性，但同一source_id不得重复计分。</x:v>
      </x:c>
      <x:c r="N152" s="24" t="str">
        <x:v>保护因素必须明确限制过用、补足缺位、恢复顺序、打开反馈、落实改变或完成修复回流；不能只凭五行相生补写现实效果。</x:v>
      </x:c>
      <x:c r="O152" s="24" t="str">
        <x:v>近位提高进入亲密关系核心的概率；远位只作背景、阶段或条件性修正。</x:v>
      </x:c>
      <x:c r="P152" s="24" t="str">
        <x:v>根气只修正该保护功能是否容易重复调用，不等于现实中已经形成稳定保护。</x:v>
      </x:c>
      <x:c r="Q152" s="24" t="str">
        <x:v>旺弱只修正调用强度与承载；强不自动有效，弱也不自动无效。</x:v>
      </x:c>
      <x:c r="R152" s="24" t="str">
        <x:v>喜忌只修正摩擦、平衡与承载，不可直接翻译为好坏、成熟度或解决方案。</x:v>
      </x:c>
      <x:c r="S152" s="24" t="str">
        <x:v>原十神功能有效；真合化成立时按化神功能替换，合化争议时停止定性。</x:v>
      </x:c>
      <x:c r="T152" s="24" t="str">
        <x:v>近位提高直接相关性；远位仅保留背景、阶段或低置信修正。</x:v>
      </x:c>
      <x:c r="U152" s="24" t="str">
        <x:v>96</x:v>
      </x:c>
      <x:c r="V152" s="24" t="str">
        <x:v>层级判定</x:v>
      </x:c>
      <x:c r="W152" s="24" t="str">
        <x:v>buffer_level</x:v>
      </x:c>
      <x:c r="X152" s="24" t="str">
        <x:v>只有十神、五行、喜忌、制化标签或用户自我认知。</x:v>
      </x:c>
      <x:c r="Y152" s="24" t="str">
        <x:v>目前只能看到一种可能的调节方向，还不能确认它能在关系中发挥。</x:v>
      </x:c>
      <x:c r="Z152" s="24" t="str">
        <x:v>不得仅凭本规则断定问题已经解决、关系必然稳定、用户一定成熟、某十神天然是“药”、喜用神自动等于解决办法，或淡化暴力、强迫与现实伤害；现实行为、反例、安全事实和专业支持优先。</x:v>
      </x:c>
      <x:c r="AA152" s="24" t="str">
        <x:v>高</x:v>
      </x:c>
      <x:c r="AB152" s="24" t="str">
        <x:v>待验证</x:v>
      </x:c>
      <x:c r="AC152" s="24" t="str"/>
      <x:c r="AD152" s="24" t="str">
        <x:v>provisional=true；保护因素的现实有效性必须由可观察行为、反馈和持续结果验证。</x:v>
      </x:c>
      <x:c r="AE152" s="24" t="str">
        <x:v>0.8</x:v>
      </x:c>
    </x:row>
    <x:row r="153" ht="52" customHeight="1">
      <x:c r="A153" s="24" t="str">
        <x:v>M4-BUFFER-152</x:v>
      </x:c>
      <x:c r="B153" s="24" t="str">
        <x:v>BL1 标签资源｜证据要求</x:v>
      </x:c>
      <x:c r="C153" s="24" t="str">
        <x:v>L3 BL0—BL7保护有效层级</x:v>
      </x:c>
      <x:c r="D153" s="24" t="str">
        <x:v>BUFFER-保护层级</x:v>
      </x:c>
      <x:c r="E153" s="24" t="str">
        <x:v>通用</x:v>
      </x:c>
      <x:c r="F153" s="24" t="str">
        <x:v>证据</x:v>
      </x:c>
      <x:c r="G153" s="24" t="str">
        <x:v>BL1 标签资源</x:v>
      </x:c>
      <x:c r="H153" s="24" t="str">
        <x:v>明确进入本层级所需证据。</x:v>
      </x:c>
      <x:c r="I153" s="24" t="str">
        <x:v>只有十神、五行、喜忌、制化标签或用户自我认知。</x:v>
      </x:c>
      <x:c r="J153" s="24" t="str">
        <x:v>只有同源重复、标签或主观推测。</x:v>
      </x:c>
      <x:c r="K153" s="24" t="str">
        <x:v>由共享基础引擎提供；仅修正保护功能的承载、持续调用和压力状态下的稳定性，不直接等同成熟度、道德或现实行为。</x:v>
      </x:c>
      <x:c r="L153" s="24" t="str">
        <x:v>由M1／M2接口提供；夫妻星、心动原型和关系门槛只说明关系议题，不单独证明保护因素已经被调用或有效。</x:v>
      </x:c>
      <x:c r="M153" s="24" t="str">
        <x:v>由M3-BASE及M4各模块提供；日支、日柱近位可提高与亲密关系核心的相关性，但同一source_id不得重复计分。</x:v>
      </x:c>
      <x:c r="N153" s="24" t="str">
        <x:v>保护因素必须明确限制过用、补足缺位、恢复顺序、打开反馈、落实改变或完成修复回流；不能只凭五行相生补写现实效果。</x:v>
      </x:c>
      <x:c r="O153" s="24" t="str">
        <x:v>近位提高进入亲密关系核心的概率；远位只作背景、阶段或条件性修正。</x:v>
      </x:c>
      <x:c r="P153" s="24" t="str">
        <x:v>根气只修正该保护功能是否容易重复调用，不等于现实中已经形成稳定保护。</x:v>
      </x:c>
      <x:c r="Q153" s="24" t="str">
        <x:v>旺弱只修正调用强度与承载；强不自动有效，弱也不自动无效。</x:v>
      </x:c>
      <x:c r="R153" s="24" t="str">
        <x:v>喜忌只修正摩擦、平衡与承载，不可直接翻译为好坏、成熟度或解决方案。</x:v>
      </x:c>
      <x:c r="S153" s="24" t="str">
        <x:v>原十神功能有效；真合化成立时按化神功能替换，合化争议时停止定性。</x:v>
      </x:c>
      <x:c r="T153" s="24" t="str">
        <x:v>近位提高直接相关性；远位仅保留背景、阶段或低置信修正。</x:v>
      </x:c>
      <x:c r="U153" s="24" t="str">
        <x:v>94</x:v>
      </x:c>
      <x:c r="V153" s="24" t="str">
        <x:v>证据门槛</x:v>
      </x:c>
      <x:c r="W153" s="24" t="str">
        <x:v>buffer_evidence</x:v>
      </x:c>
      <x:c r="X153" s="24" t="str">
        <x:v>BL1要求：只有十神、五行、喜忌、制化标签或用户自我认知。</x:v>
      </x:c>
      <x:c r="Y153" s="24" t="str">
        <x:v>要达到这一层，需要看到：只有十神、五行、喜忌、制化标签或用户自我认知。</x:v>
      </x:c>
      <x:c r="Z153" s="24" t="str">
        <x:v>不得仅凭本规则断定问题已经解决、关系必然稳定、用户一定成熟、某十神天然是“药”、喜用神自动等于解决办法，或淡化暴力、强迫与现实伤害；现实行为、反例、安全事实和专业支持优先。</x:v>
      </x:c>
      <x:c r="AA153" s="24" t="str">
        <x:v>中高</x:v>
      </x:c>
      <x:c r="AB153" s="24" t="str">
        <x:v>待验证</x:v>
      </x:c>
      <x:c r="AC153" s="24" t="str"/>
      <x:c r="AD153" s="24" t="str">
        <x:v>provisional=true；保护因素的现实有效性必须由可观察行为、反馈和持续结果验证。</x:v>
      </x:c>
      <x:c r="AE153" s="24" t="str">
        <x:v>0.8</x:v>
      </x:c>
    </x:row>
    <x:row r="154" ht="52" customHeight="1">
      <x:c r="A154" s="24" t="str">
        <x:v>M4-BUFFER-153</x:v>
      </x:c>
      <x:c r="B154" s="24" t="str">
        <x:v>BL1 标签资源｜发布上限</x:v>
      </x:c>
      <x:c r="C154" s="24" t="str">
        <x:v>L3 BL0—BL7保护有效层级</x:v>
      </x:c>
      <x:c r="D154" s="24" t="str">
        <x:v>BUFFER-保护层级</x:v>
      </x:c>
      <x:c r="E154" s="24" t="str">
        <x:v>通用</x:v>
      </x:c>
      <x:c r="F154" s="24" t="str">
        <x:v>发布边界</x:v>
      </x:c>
      <x:c r="G154" s="24" t="str">
        <x:v>BL1 标签资源</x:v>
      </x:c>
      <x:c r="H154" s="24" t="str">
        <x:v>限制用户报告措辞。</x:v>
      </x:c>
      <x:c r="I154" s="24" t="str">
        <x:v>已经完成本层级证据门控。</x:v>
      </x:c>
      <x:c r="J154" s="24" t="str">
        <x:v>用低层级证据发布更强结论。</x:v>
      </x:c>
      <x:c r="K154" s="24" t="str">
        <x:v>由共享基础引擎提供；仅修正保护功能的承载、持续调用和压力状态下的稳定性，不直接等同成熟度、道德或现实行为。</x:v>
      </x:c>
      <x:c r="L154" s="24" t="str">
        <x:v>由M1／M2接口提供；夫妻星、心动原型和关系门槛只说明关系议题，不单独证明保护因素已经被调用或有效。</x:v>
      </x:c>
      <x:c r="M154" s="24" t="str">
        <x:v>由M3-BASE及M4各模块提供；日支、日柱近位可提高与亲密关系核心的相关性，但同一source_id不得重复计分。</x:v>
      </x:c>
      <x:c r="N154" s="24" t="str">
        <x:v>保护因素必须明确限制过用、补足缺位、恢复顺序、打开反馈、落实改变或完成修复回流；不能只凭五行相生补写现实效果。</x:v>
      </x:c>
      <x:c r="O154" s="24" t="str">
        <x:v>近位提高进入亲密关系核心的概率；远位只作背景、阶段或条件性修正。</x:v>
      </x:c>
      <x:c r="P154" s="24" t="str">
        <x:v>根气只修正该保护功能是否容易重复调用，不等于现实中已经形成稳定保护。</x:v>
      </x:c>
      <x:c r="Q154" s="24" t="str">
        <x:v>旺弱只修正调用强度与承载；强不自动有效，弱也不自动无效。</x:v>
      </x:c>
      <x:c r="R154" s="24" t="str">
        <x:v>喜忌只修正摩擦、平衡与承载，不可直接翻译为好坏、成熟度或解决方案。</x:v>
      </x:c>
      <x:c r="S154" s="24" t="str">
        <x:v>原十神功能有效；真合化成立时按化神功能替换，合化争议时停止定性。</x:v>
      </x:c>
      <x:c r="T154" s="24" t="str">
        <x:v>近位提高直接相关性；远位仅保留背景、阶段或低置信修正。</x:v>
      </x:c>
      <x:c r="U154" s="24" t="str">
        <x:v>99</x:v>
      </x:c>
      <x:c r="V154" s="24" t="str">
        <x:v>封顶</x:v>
      </x:c>
      <x:c r="W154" s="24" t="str">
        <x:v>report_status</x:v>
      </x:c>
      <x:c r="X154" s="24" t="str">
        <x:v>最多写“存在潜在方向”，不得减弱风险等级。</x:v>
      </x:c>
      <x:c r="Y154" s="24" t="str">
        <x:v>这一层最多可以说明：最多写“存在潜在方向”，不得减弱风险等级。</x:v>
      </x:c>
      <x:c r="Z154" s="24" t="str">
        <x:v>不得仅凭本规则断定问题已经解决、关系必然稳定、用户一定成熟、某十神天然是“药”、喜用神自动等于解决办法，或淡化暴力、强迫与现实伤害；现实行为、反例、安全事实和专业支持优先。</x:v>
      </x:c>
      <x:c r="AA154" s="24" t="str">
        <x:v>高</x:v>
      </x:c>
      <x:c r="AB154" s="24" t="str">
        <x:v>待验证</x:v>
      </x:c>
      <x:c r="AC154" s="24" t="str"/>
      <x:c r="AD154" s="24" t="str">
        <x:v>provisional=true；保护因素的现实有效性必须由可观察行为、反馈和持续结果验证。</x:v>
      </x:c>
      <x:c r="AE154" s="24" t="str">
        <x:v>0.8</x:v>
      </x:c>
    </x:row>
    <x:row r="155" ht="52" customHeight="1">
      <x:c r="A155" s="24" t="str">
        <x:v>M4-BUFFER-154</x:v>
      </x:c>
      <x:c r="B155" s="24" t="str">
        <x:v>BL1 标签资源｜升级条件</x:v>
      </x:c>
      <x:c r="C155" s="24" t="str">
        <x:v>L3 BL0—BL7保护有效层级</x:v>
      </x:c>
      <x:c r="D155" s="24" t="str">
        <x:v>BUFFER-保护层级</x:v>
      </x:c>
      <x:c r="E155" s="24" t="str">
        <x:v>通用</x:v>
      </x:c>
      <x:c r="F155" s="24" t="str">
        <x:v>升级</x:v>
      </x:c>
      <x:c r="G155" s="24" t="str">
        <x:v>BL1 标签资源</x:v>
      </x:c>
      <x:c r="H155" s="24" t="str">
        <x:v>说明如何从当前层级升级。</x:v>
      </x:c>
      <x:c r="I155" s="24" t="str">
        <x:v>当前层级成立，并补齐下一层所需的独立证据。</x:v>
      </x:c>
      <x:c r="J155" s="24" t="str">
        <x:v>只增加同一source_id或同一event_id的描述。</x:v>
      </x:c>
      <x:c r="K155" s="24" t="str">
        <x:v>由共享基础引擎提供；仅修正保护功能的承载、持续调用和压力状态下的稳定性，不直接等同成熟度、道德或现实行为。</x:v>
      </x:c>
      <x:c r="L155" s="24" t="str">
        <x:v>由M1／M2接口提供；夫妻星、心动原型和关系门槛只说明关系议题，不单独证明保护因素已经被调用或有效。</x:v>
      </x:c>
      <x:c r="M155" s="24" t="str">
        <x:v>由M3-BASE及M4各模块提供；日支、日柱近位可提高与亲密关系核心的相关性，但同一source_id不得重复计分。</x:v>
      </x:c>
      <x:c r="N155" s="24" t="str">
        <x:v>保护因素必须明确限制过用、补足缺位、恢复顺序、打开反馈、落实改变或完成修复回流；不能只凭五行相生补写现实效果。</x:v>
      </x:c>
      <x:c r="O155" s="24" t="str">
        <x:v>近位提高进入亲密关系核心的概率；远位只作背景、阶段或条件性修正。</x:v>
      </x:c>
      <x:c r="P155" s="24" t="str">
        <x:v>根气只修正该保护功能是否容易重复调用，不等于现实中已经形成稳定保护。</x:v>
      </x:c>
      <x:c r="Q155" s="24" t="str">
        <x:v>旺弱只修正调用强度与承载；强不自动有效，弱也不自动无效。</x:v>
      </x:c>
      <x:c r="R155" s="24" t="str">
        <x:v>喜忌只修正摩擦、平衡与承载，不可直接翻译为好坏、成熟度或解决方案。</x:v>
      </x:c>
      <x:c r="S155" s="24" t="str">
        <x:v>原十神功能有效；真合化成立时按化神功能替换，合化争议时停止定性。</x:v>
      </x:c>
      <x:c r="T155" s="24" t="str">
        <x:v>近位提高直接相关性；远位仅保留背景、阶段或低置信修正。</x:v>
      </x:c>
      <x:c r="U155" s="24" t="str">
        <x:v>89</x:v>
      </x:c>
      <x:c r="V155" s="24" t="str">
        <x:v>满足则升级</x:v>
      </x:c>
      <x:c r="W155" s="24" t="str">
        <x:v>upgrade_condition</x:v>
      </x:c>
      <x:c r="X155" s="24" t="str">
        <x:v>增加独立结构状态和具体功能靶点。</x:v>
      </x:c>
      <x:c r="Y155" s="24" t="str">
        <x:v>若要进一步确认，需要：增加独立结构状态和具体功能靶点。</x:v>
      </x:c>
      <x:c r="Z155" s="24" t="str">
        <x:v>不得仅凭本规则断定问题已经解决、关系必然稳定、用户一定成熟、某十神天然是“药”、喜用神自动等于解决办法，或淡化暴力、强迫与现实伤害；现实行为、反例、安全事实和专业支持优先。</x:v>
      </x:c>
      <x:c r="AA155" s="24" t="str">
        <x:v>中高</x:v>
      </x:c>
      <x:c r="AB155" s="24" t="str">
        <x:v>待验证</x:v>
      </x:c>
      <x:c r="AC155" s="24" t="str"/>
      <x:c r="AD155" s="24" t="str">
        <x:v>provisional=true；保护因素的现实有效性必须由可观察行为、反馈和持续结果验证。</x:v>
      </x:c>
      <x:c r="AE155" s="24" t="str">
        <x:v>0.8</x:v>
      </x:c>
    </x:row>
    <x:row r="156" ht="52" customHeight="1">
      <x:c r="A156" s="24" t="str">
        <x:v>M4-BUFFER-155</x:v>
      </x:c>
      <x:c r="B156" s="24" t="str">
        <x:v>BL1 标签资源｜降级／停止条件</x:v>
      </x:c>
      <x:c r="C156" s="24" t="str">
        <x:v>L3 BL0—BL7保护有效层级</x:v>
      </x:c>
      <x:c r="D156" s="24" t="str">
        <x:v>BUFFER-保护层级</x:v>
      </x:c>
      <x:c r="E156" s="24" t="str">
        <x:v>通用</x:v>
      </x:c>
      <x:c r="F156" s="24" t="str">
        <x:v>降级</x:v>
      </x:c>
      <x:c r="G156" s="24" t="str">
        <x:v>BL1 标签资源</x:v>
      </x:c>
      <x:c r="H156" s="24" t="str">
        <x:v>说明何时需要降低保护等级。</x:v>
      </x:c>
      <x:c r="I156" s="24" t="str">
        <x:v>若现实反例明确，则回到BL0。</x:v>
      </x:c>
      <x:c r="J156" s="24" t="str">
        <x:v>存在跨情境稳定有效的现实证据。</x:v>
      </x:c>
      <x:c r="K156" s="24" t="str">
        <x:v>由共享基础引擎提供；仅修正保护功能的承载、持续调用和压力状态下的稳定性，不直接等同成熟度、道德或现实行为。</x:v>
      </x:c>
      <x:c r="L156" s="24" t="str">
        <x:v>由M1／M2接口提供；夫妻星、心动原型和关系门槛只说明关系议题，不单独证明保护因素已经被调用或有效。</x:v>
      </x:c>
      <x:c r="M156" s="24" t="str">
        <x:v>由M3-BASE及M4各模块提供；日支、日柱近位可提高与亲密关系核心的相关性，但同一source_id不得重复计分。</x:v>
      </x:c>
      <x:c r="N156" s="24" t="str">
        <x:v>保护因素必须明确限制过用、补足缺位、恢复顺序、打开反馈、落实改变或完成修复回流；不能只凭五行相生补写现实效果。</x:v>
      </x:c>
      <x:c r="O156" s="24" t="str">
        <x:v>近位提高进入亲密关系核心的概率；远位只作背景、阶段或条件性修正。</x:v>
      </x:c>
      <x:c r="P156" s="24" t="str">
        <x:v>根气只修正该保护功能是否容易重复调用，不等于现实中已经形成稳定保护。</x:v>
      </x:c>
      <x:c r="Q156" s="24" t="str">
        <x:v>旺弱只修正调用强度与承载；强不自动有效，弱也不自动无效。</x:v>
      </x:c>
      <x:c r="R156" s="24" t="str">
        <x:v>喜忌只修正摩擦、平衡与承载，不可直接翻译为好坏、成熟度或解决方案。</x:v>
      </x:c>
      <x:c r="S156" s="24" t="str">
        <x:v>原十神功能有效；真合化成立时按化神功能替换，合化争议时停止定性。</x:v>
      </x:c>
      <x:c r="T156" s="24" t="str">
        <x:v>近位提高直接相关性；远位仅保留背景、阶段或低置信修正。</x:v>
      </x:c>
      <x:c r="U156" s="24" t="str">
        <x:v>97</x:v>
      </x:c>
      <x:c r="V156" s="24" t="str">
        <x:v>触发则降级</x:v>
      </x:c>
      <x:c r="W156" s="24" t="str">
        <x:v>downgrade_condition</x:v>
      </x:c>
      <x:c r="X156" s="24" t="str">
        <x:v>若现实反例明确，则回到BL0。</x:v>
      </x:c>
      <x:c r="Y156" s="24" t="str">
        <x:v>若出现以下情况，应降低判断：若现实反例明确，则回到BL0。</x:v>
      </x:c>
      <x:c r="Z156" s="24" t="str">
        <x:v>不得仅凭本规则断定问题已经解决、关系必然稳定、用户一定成熟、某十神天然是“药”、喜用神自动等于解决办法，或淡化暴力、强迫与现实伤害；现实行为、反例、安全事实和专业支持优先。</x:v>
      </x:c>
      <x:c r="AA156" s="24" t="str">
        <x:v>高</x:v>
      </x:c>
      <x:c r="AB156" s="24" t="str">
        <x:v>待验证</x:v>
      </x:c>
      <x:c r="AC156" s="24" t="str"/>
      <x:c r="AD156" s="24" t="str">
        <x:v>provisional=true；保护因素的现实有效性必须由可观察行为、反馈和持续结果验证。</x:v>
      </x:c>
      <x:c r="AE156" s="24" t="str">
        <x:v>0.8</x:v>
      </x:c>
    </x:row>
    <x:row r="157" ht="52" customHeight="1">
      <x:c r="A157" s="24" t="str">
        <x:v>M4-BUFFER-156</x:v>
      </x:c>
      <x:c r="B157" s="24" t="str">
        <x:v>BL1 标签资源｜用户输出</x:v>
      </x:c>
      <x:c r="C157" s="24" t="str">
        <x:v>L3 BL0—BL7保护有效层级</x:v>
      </x:c>
      <x:c r="D157" s="24" t="str">
        <x:v>BUFFER-保护层级</x:v>
      </x:c>
      <x:c r="E157" s="24" t="str">
        <x:v>通用</x:v>
      </x:c>
      <x:c r="F157" s="24" t="str">
        <x:v>语言</x:v>
      </x:c>
      <x:c r="G157" s="24" t="str">
        <x:v>BL1 标签资源</x:v>
      </x:c>
      <x:c r="H157" s="24" t="str">
        <x:v>生成对应层级的用户语言。</x:v>
      </x:c>
      <x:c r="I157" s="24" t="str">
        <x:v>本层级已经成立。</x:v>
      </x:c>
      <x:c r="J157" s="24" t="str">
        <x:v>层级未成立或存在安全停止。</x:v>
      </x:c>
      <x:c r="K157" s="24" t="str">
        <x:v>由共享基础引擎提供；仅修正保护功能的承载、持续调用和压力状态下的稳定性，不直接等同成熟度、道德或现实行为。</x:v>
      </x:c>
      <x:c r="L157" s="24" t="str">
        <x:v>由M1／M2接口提供；夫妻星、心动原型和关系门槛只说明关系议题，不单独证明保护因素已经被调用或有效。</x:v>
      </x:c>
      <x:c r="M157" s="24" t="str">
        <x:v>由M3-BASE及M4各模块提供；日支、日柱近位可提高与亲密关系核心的相关性，但同一source_id不得重复计分。</x:v>
      </x:c>
      <x:c r="N157" s="24" t="str">
        <x:v>保护因素必须明确限制过用、补足缺位、恢复顺序、打开反馈、落实改变或完成修复回流；不能只凭五行相生补写现实效果。</x:v>
      </x:c>
      <x:c r="O157" s="24" t="str">
        <x:v>近位提高进入亲密关系核心的概率；远位只作背景、阶段或条件性修正。</x:v>
      </x:c>
      <x:c r="P157" s="24" t="str">
        <x:v>根气只修正该保护功能是否容易重复调用，不等于现实中已经形成稳定保护。</x:v>
      </x:c>
      <x:c r="Q157" s="24" t="str">
        <x:v>旺弱只修正调用强度与承载；强不自动有效，弱也不自动无效。</x:v>
      </x:c>
      <x:c r="R157" s="24" t="str">
        <x:v>喜忌只修正摩擦、平衡与承载，不可直接翻译为好坏、成熟度或解决方案。</x:v>
      </x:c>
      <x:c r="S157" s="24" t="str">
        <x:v>原十神功能有效；真合化成立时按化神功能替换，合化争议时停止定性。</x:v>
      </x:c>
      <x:c r="T157" s="24" t="str">
        <x:v>近位提高直接相关性；远位仅保留背景、阶段或低置信修正。</x:v>
      </x:c>
      <x:c r="U157" s="24" t="str">
        <x:v>84</x:v>
      </x:c>
      <x:c r="V157" s="24" t="str">
        <x:v>不加分；输出</x:v>
      </x:c>
      <x:c r="W157" s="24" t="str">
        <x:v>report_text</x:v>
      </x:c>
      <x:c r="X157" s="24" t="str">
        <x:v>只有十神、五行、喜忌、制化标签或用户自我认知。</x:v>
      </x:c>
      <x:c r="Y157" s="24" t="str">
        <x:v>目前只能看到一种可能的调节方向，还不能确认它能在关系中发挥。</x:v>
      </x:c>
      <x:c r="Z157" s="24" t="str">
        <x:v>不得仅凭本规则断定问题已经解决、关系必然稳定、用户一定成熟、某十神天然是“药”、喜用神自动等于解决办法，或淡化暴力、强迫与现实伤害；现实行为、反例、安全事实和专业支持优先。</x:v>
      </x:c>
      <x:c r="AA157" s="24" t="str">
        <x:v>中高</x:v>
      </x:c>
      <x:c r="AB157" s="24" t="str">
        <x:v>待验证</x:v>
      </x:c>
      <x:c r="AC157" s="24" t="str"/>
      <x:c r="AD157" s="24" t="str">
        <x:v>provisional=true；保护因素的现实有效性必须由可观察行为、反馈和持续结果验证。</x:v>
      </x:c>
      <x:c r="AE157" s="24" t="str">
        <x:v>0.8</x:v>
      </x:c>
    </x:row>
    <x:row r="158" ht="52" customHeight="1">
      <x:c r="A158" s="24" t="str">
        <x:v>M4-BUFFER-157</x:v>
      </x:c>
      <x:c r="B158" s="24" t="str">
        <x:v>BL2 结构可用候选｜层级定义</x:v>
      </x:c>
      <x:c r="C158" s="24" t="str">
        <x:v>L3 BL0—BL7保护有效层级</x:v>
      </x:c>
      <x:c r="D158" s="24" t="str">
        <x:v>BUFFER-保护层级</x:v>
      </x:c>
      <x:c r="E158" s="24" t="str">
        <x:v>通用</x:v>
      </x:c>
      <x:c r="F158" s="24" t="str">
        <x:v>定义</x:v>
      </x:c>
      <x:c r="G158" s="24" t="str">
        <x:v>BL2 结构可用候选</x:v>
      </x:c>
      <x:c r="H158" s="24" t="str">
        <x:v>定义保护有效性的证据层级。</x:v>
      </x:c>
      <x:c r="I158" s="24" t="str">
        <x:v>满足本层级的结构与现实证据要求。</x:v>
      </x:c>
      <x:c r="J158" s="24" t="str">
        <x:v>证据不足或被高估。</x:v>
      </x:c>
      <x:c r="K158" s="24" t="str">
        <x:v>由共享基础引擎提供；仅修正保护功能的承载、持续调用和压力状态下的稳定性，不直接等同成熟度、道德或现实行为。</x:v>
      </x:c>
      <x:c r="L158" s="24" t="str">
        <x:v>由M1／M2接口提供；夫妻星、心动原型和关系门槛只说明关系议题，不单独证明保护因素已经被调用或有效。</x:v>
      </x:c>
      <x:c r="M158" s="24" t="str">
        <x:v>由M3-BASE及M4各模块提供；日支、日柱近位可提高与亲密关系核心的相关性，但同一source_id不得重复计分。</x:v>
      </x:c>
      <x:c r="N158" s="24" t="str">
        <x:v>保护因素必须明确限制过用、补足缺位、恢复顺序、打开反馈、落实改变或完成修复回流；不能只凭五行相生补写现实效果。</x:v>
      </x:c>
      <x:c r="O158" s="24" t="str">
        <x:v>近位提高进入亲密关系核心的概率；远位只作背景、阶段或条件性修正。</x:v>
      </x:c>
      <x:c r="P158" s="24" t="str">
        <x:v>根气只修正该保护功能是否容易重复调用，不等于现实中已经形成稳定保护。</x:v>
      </x:c>
      <x:c r="Q158" s="24" t="str">
        <x:v>旺弱只修正调用强度与承载；强不自动有效，弱也不自动无效。</x:v>
      </x:c>
      <x:c r="R158" s="24" t="str">
        <x:v>喜忌只修正摩擦、平衡与承载，不可直接翻译为好坏、成熟度或解决方案。</x:v>
      </x:c>
      <x:c r="S158" s="24" t="str">
        <x:v>原十神功能有效；真合化成立时按化神功能替换，合化争议时停止定性。</x:v>
      </x:c>
      <x:c r="T158" s="24" t="str">
        <x:v>近位提高直接相关性；远位仅保留背景、阶段或低置信修正。</x:v>
      </x:c>
      <x:c r="U158" s="24" t="str">
        <x:v>96</x:v>
      </x:c>
      <x:c r="V158" s="24" t="str">
        <x:v>层级判定</x:v>
      </x:c>
      <x:c r="W158" s="24" t="str">
        <x:v>buffer_level</x:v>
      </x:c>
      <x:c r="X158" s="24" t="str">
        <x:v>保护功能有独立来源、根气或位置，且与风险靶点匹配。</x:v>
      </x:c>
      <x:c r="Y158" s="24" t="str">
        <x:v>结构上具备这项资源，但是否能在关键时刻用出来仍需观察。</x:v>
      </x:c>
      <x:c r="Z158" s="24" t="str">
        <x:v>不得仅凭本规则断定问题已经解决、关系必然稳定、用户一定成熟、某十神天然是“药”、喜用神自动等于解决办法，或淡化暴力、强迫与现实伤害；现实行为、反例、安全事实和专业支持优先。</x:v>
      </x:c>
      <x:c r="AA158" s="24" t="str">
        <x:v>高</x:v>
      </x:c>
      <x:c r="AB158" s="24" t="str">
        <x:v>待验证</x:v>
      </x:c>
      <x:c r="AC158" s="24" t="str"/>
      <x:c r="AD158" s="24" t="str">
        <x:v>provisional=true；保护因素的现实有效性必须由可观察行为、反馈和持续结果验证。</x:v>
      </x:c>
      <x:c r="AE158" s="24" t="str">
        <x:v>0.8</x:v>
      </x:c>
    </x:row>
    <x:row r="159" ht="52" customHeight="1">
      <x:c r="A159" s="24" t="str">
        <x:v>M4-BUFFER-158</x:v>
      </x:c>
      <x:c r="B159" s="24" t="str">
        <x:v>BL2 结构可用候选｜证据要求</x:v>
      </x:c>
      <x:c r="C159" s="24" t="str">
        <x:v>L3 BL0—BL7保护有效层级</x:v>
      </x:c>
      <x:c r="D159" s="24" t="str">
        <x:v>BUFFER-保护层级</x:v>
      </x:c>
      <x:c r="E159" s="24" t="str">
        <x:v>通用</x:v>
      </x:c>
      <x:c r="F159" s="24" t="str">
        <x:v>证据</x:v>
      </x:c>
      <x:c r="G159" s="24" t="str">
        <x:v>BL2 结构可用候选</x:v>
      </x:c>
      <x:c r="H159" s="24" t="str">
        <x:v>明确进入本层级所需证据。</x:v>
      </x:c>
      <x:c r="I159" s="24" t="str">
        <x:v>保护功能有独立来源、根气或位置，且与风险靶点匹配。</x:v>
      </x:c>
      <x:c r="J159" s="24" t="str">
        <x:v>只有同源重复、标签或主观推测。</x:v>
      </x:c>
      <x:c r="K159" s="24" t="str">
        <x:v>由共享基础引擎提供；仅修正保护功能的承载、持续调用和压力状态下的稳定性，不直接等同成熟度、道德或现实行为。</x:v>
      </x:c>
      <x:c r="L159" s="24" t="str">
        <x:v>由M1／M2接口提供；夫妻星、心动原型和关系门槛只说明关系议题，不单独证明保护因素已经被调用或有效。</x:v>
      </x:c>
      <x:c r="M159" s="24" t="str">
        <x:v>由M3-BASE及M4各模块提供；日支、日柱近位可提高与亲密关系核心的相关性，但同一source_id不得重复计分。</x:v>
      </x:c>
      <x:c r="N159" s="24" t="str">
        <x:v>保护因素必须明确限制过用、补足缺位、恢复顺序、打开反馈、落实改变或完成修复回流；不能只凭五行相生补写现实效果。</x:v>
      </x:c>
      <x:c r="O159" s="24" t="str">
        <x:v>近位提高进入亲密关系核心的概率；远位只作背景、阶段或条件性修正。</x:v>
      </x:c>
      <x:c r="P159" s="24" t="str">
        <x:v>根气只修正该保护功能是否容易重复调用，不等于现实中已经形成稳定保护。</x:v>
      </x:c>
      <x:c r="Q159" s="24" t="str">
        <x:v>旺弱只修正调用强度与承载；强不自动有效，弱也不自动无效。</x:v>
      </x:c>
      <x:c r="R159" s="24" t="str">
        <x:v>喜忌只修正摩擦、平衡与承载，不可直接翻译为好坏、成熟度或解决方案。</x:v>
      </x:c>
      <x:c r="S159" s="24" t="str">
        <x:v>原十神功能有效；真合化成立时按化神功能替换，合化争议时停止定性。</x:v>
      </x:c>
      <x:c r="T159" s="24" t="str">
        <x:v>近位提高直接相关性；远位仅保留背景、阶段或低置信修正。</x:v>
      </x:c>
      <x:c r="U159" s="24" t="str">
        <x:v>94</x:v>
      </x:c>
      <x:c r="V159" s="24" t="str">
        <x:v>证据门槛</x:v>
      </x:c>
      <x:c r="W159" s="24" t="str">
        <x:v>buffer_evidence</x:v>
      </x:c>
      <x:c r="X159" s="24" t="str">
        <x:v>BL2要求：保护功能有独立来源、根气或位置，且与风险靶点匹配。</x:v>
      </x:c>
      <x:c r="Y159" s="24" t="str">
        <x:v>要达到这一层，需要看到：保护功能有独立来源、根气或位置，且与风险靶点匹配。</x:v>
      </x:c>
      <x:c r="Z159" s="24" t="str">
        <x:v>不得仅凭本规则断定问题已经解决、关系必然稳定、用户一定成熟、某十神天然是“药”、喜用神自动等于解决办法，或淡化暴力、强迫与现实伤害；现实行为、反例、安全事实和专业支持优先。</x:v>
      </x:c>
      <x:c r="AA159" s="24" t="str">
        <x:v>中高</x:v>
      </x:c>
      <x:c r="AB159" s="24" t="str">
        <x:v>待验证</x:v>
      </x:c>
      <x:c r="AC159" s="24" t="str"/>
      <x:c r="AD159" s="24" t="str">
        <x:v>provisional=true；保护因素的现实有效性必须由可观察行为、反馈和持续结果验证。</x:v>
      </x:c>
      <x:c r="AE159" s="24" t="str">
        <x:v>0.8</x:v>
      </x:c>
    </x:row>
    <x:row r="160" ht="52" customHeight="1">
      <x:c r="A160" s="24" t="str">
        <x:v>M4-BUFFER-159</x:v>
      </x:c>
      <x:c r="B160" s="24" t="str">
        <x:v>BL2 结构可用候选｜发布上限</x:v>
      </x:c>
      <x:c r="C160" s="24" t="str">
        <x:v>L3 BL0—BL7保护有效层级</x:v>
      </x:c>
      <x:c r="D160" s="24" t="str">
        <x:v>BUFFER-保护层级</x:v>
      </x:c>
      <x:c r="E160" s="24" t="str">
        <x:v>通用</x:v>
      </x:c>
      <x:c r="F160" s="24" t="str">
        <x:v>发布边界</x:v>
      </x:c>
      <x:c r="G160" s="24" t="str">
        <x:v>BL2 结构可用候选</x:v>
      </x:c>
      <x:c r="H160" s="24" t="str">
        <x:v>限制用户报告措辞。</x:v>
      </x:c>
      <x:c r="I160" s="24" t="str">
        <x:v>已经完成本层级证据门控。</x:v>
      </x:c>
      <x:c r="J160" s="24" t="str">
        <x:v>用低层级证据发布更强结论。</x:v>
      </x:c>
      <x:c r="K160" s="24" t="str">
        <x:v>由共享基础引擎提供；仅修正保护功能的承载、持续调用和压力状态下的稳定性，不直接等同成熟度、道德或现实行为。</x:v>
      </x:c>
      <x:c r="L160" s="24" t="str">
        <x:v>由M1／M2接口提供；夫妻星、心动原型和关系门槛只说明关系议题，不单独证明保护因素已经被调用或有效。</x:v>
      </x:c>
      <x:c r="M160" s="24" t="str">
        <x:v>由M3-BASE及M4各模块提供；日支、日柱近位可提高与亲密关系核心的相关性，但同一source_id不得重复计分。</x:v>
      </x:c>
      <x:c r="N160" s="24" t="str">
        <x:v>保护因素必须明确限制过用、补足缺位、恢复顺序、打开反馈、落实改变或完成修复回流；不能只凭五行相生补写现实效果。</x:v>
      </x:c>
      <x:c r="O160" s="24" t="str">
        <x:v>近位提高进入亲密关系核心的概率；远位只作背景、阶段或条件性修正。</x:v>
      </x:c>
      <x:c r="P160" s="24" t="str">
        <x:v>根气只修正该保护功能是否容易重复调用，不等于现实中已经形成稳定保护。</x:v>
      </x:c>
      <x:c r="Q160" s="24" t="str">
        <x:v>旺弱只修正调用强度与承载；强不自动有效，弱也不自动无效。</x:v>
      </x:c>
      <x:c r="R160" s="24" t="str">
        <x:v>喜忌只修正摩擦、平衡与承载，不可直接翻译为好坏、成熟度或解决方案。</x:v>
      </x:c>
      <x:c r="S160" s="24" t="str">
        <x:v>原十神功能有效；真合化成立时按化神功能替换，合化争议时停止定性。</x:v>
      </x:c>
      <x:c r="T160" s="24" t="str">
        <x:v>近位提高直接相关性；远位仅保留背景、阶段或低置信修正。</x:v>
      </x:c>
      <x:c r="U160" s="24" t="str">
        <x:v>99</x:v>
      </x:c>
      <x:c r="V160" s="24" t="str">
        <x:v>封顶</x:v>
      </x:c>
      <x:c r="W160" s="24" t="str">
        <x:v>report_status</x:v>
      </x:c>
      <x:c r="X160" s="24" t="str">
        <x:v>可作为结构保护候选，小幅降低候选分值但不改变E等级。</x:v>
      </x:c>
      <x:c r="Y160" s="24" t="str">
        <x:v>这一层最多可以说明：可作为结构保护候选，小幅降低候选分值但不改变E等级。</x:v>
      </x:c>
      <x:c r="Z160" s="24" t="str">
        <x:v>不得仅凭本规则断定问题已经解决、关系必然稳定、用户一定成熟、某十神天然是“药”、喜用神自动等于解决办法，或淡化暴力、强迫与现实伤害；现实行为、反例、安全事实和专业支持优先。</x:v>
      </x:c>
      <x:c r="AA160" s="24" t="str">
        <x:v>高</x:v>
      </x:c>
      <x:c r="AB160" s="24" t="str">
        <x:v>待验证</x:v>
      </x:c>
      <x:c r="AC160" s="24" t="str"/>
      <x:c r="AD160" s="24" t="str">
        <x:v>provisional=true；保护因素的现实有效性必须由可观察行为、反馈和持续结果验证。</x:v>
      </x:c>
      <x:c r="AE160" s="24" t="str">
        <x:v>0.8</x:v>
      </x:c>
    </x:row>
    <x:row r="161" ht="52" customHeight="1">
      <x:c r="A161" s="24" t="str">
        <x:v>M4-BUFFER-160</x:v>
      </x:c>
      <x:c r="B161" s="24" t="str">
        <x:v>BL2 结构可用候选｜升级条件</x:v>
      </x:c>
      <x:c r="C161" s="24" t="str">
        <x:v>L3 BL0—BL7保护有效层级</x:v>
      </x:c>
      <x:c r="D161" s="24" t="str">
        <x:v>BUFFER-保护层级</x:v>
      </x:c>
      <x:c r="E161" s="24" t="str">
        <x:v>通用</x:v>
      </x:c>
      <x:c r="F161" s="24" t="str">
        <x:v>升级</x:v>
      </x:c>
      <x:c r="G161" s="24" t="str">
        <x:v>BL2 结构可用候选</x:v>
      </x:c>
      <x:c r="H161" s="24" t="str">
        <x:v>说明如何从当前层级升级。</x:v>
      </x:c>
      <x:c r="I161" s="24" t="str">
        <x:v>当前层级成立，并补齐下一层所需的独立证据。</x:v>
      </x:c>
      <x:c r="J161" s="24" t="str">
        <x:v>只增加同一source_id或同一event_id的描述。</x:v>
      </x:c>
      <x:c r="K161" s="24" t="str">
        <x:v>由共享基础引擎提供；仅修正保护功能的承载、持续调用和压力状态下的稳定性，不直接等同成熟度、道德或现实行为。</x:v>
      </x:c>
      <x:c r="L161" s="24" t="str">
        <x:v>由M1／M2接口提供；夫妻星、心动原型和关系门槛只说明关系议题，不单独证明保护因素已经被调用或有效。</x:v>
      </x:c>
      <x:c r="M161" s="24" t="str">
        <x:v>由M3-BASE及M4各模块提供；日支、日柱近位可提高与亲密关系核心的相关性，但同一source_id不得重复计分。</x:v>
      </x:c>
      <x:c r="N161" s="24" t="str">
        <x:v>保护因素必须明确限制过用、补足缺位、恢复顺序、打开反馈、落实改变或完成修复回流；不能只凭五行相生补写现实效果。</x:v>
      </x:c>
      <x:c r="O161" s="24" t="str">
        <x:v>近位提高进入亲密关系核心的概率；远位只作背景、阶段或条件性修正。</x:v>
      </x:c>
      <x:c r="P161" s="24" t="str">
        <x:v>根气只修正该保护功能是否容易重复调用，不等于现实中已经形成稳定保护。</x:v>
      </x:c>
      <x:c r="Q161" s="24" t="str">
        <x:v>旺弱只修正调用强度与承载；强不自动有效，弱也不自动无效。</x:v>
      </x:c>
      <x:c r="R161" s="24" t="str">
        <x:v>喜忌只修正摩擦、平衡与承载，不可直接翻译为好坏、成熟度或解决方案。</x:v>
      </x:c>
      <x:c r="S161" s="24" t="str">
        <x:v>原十神功能有效；真合化成立时按化神功能替换，合化争议时停止定性。</x:v>
      </x:c>
      <x:c r="T161" s="24" t="str">
        <x:v>近位提高直接相关性；远位仅保留背景、阶段或低置信修正。</x:v>
      </x:c>
      <x:c r="U161" s="24" t="str">
        <x:v>89</x:v>
      </x:c>
      <x:c r="V161" s="24" t="str">
        <x:v>满足则升级</x:v>
      </x:c>
      <x:c r="W161" s="24" t="str">
        <x:v>upgrade_condition</x:v>
      </x:c>
      <x:c r="X161" s="24" t="str">
        <x:v>加入现实事件中的调用证据。</x:v>
      </x:c>
      <x:c r="Y161" s="24" t="str">
        <x:v>若要进一步确认，需要：加入现实事件中的调用证据。</x:v>
      </x:c>
      <x:c r="Z161" s="24" t="str">
        <x:v>不得仅凭本规则断定问题已经解决、关系必然稳定、用户一定成熟、某十神天然是“药”、喜用神自动等于解决办法，或淡化暴力、强迫与现实伤害；现实行为、反例、安全事实和专业支持优先。</x:v>
      </x:c>
      <x:c r="AA161" s="24" t="str">
        <x:v>中高</x:v>
      </x:c>
      <x:c r="AB161" s="24" t="str">
        <x:v>待验证</x:v>
      </x:c>
      <x:c r="AC161" s="24" t="str"/>
      <x:c r="AD161" s="24" t="str">
        <x:v>provisional=true；保护因素的现实有效性必须由可观察行为、反馈和持续结果验证。</x:v>
      </x:c>
      <x:c r="AE161" s="24" t="str">
        <x:v>0.8</x:v>
      </x:c>
    </x:row>
    <x:row r="162" ht="52" customHeight="1">
      <x:c r="A162" s="24" t="str">
        <x:v>M4-BUFFER-161</x:v>
      </x:c>
      <x:c r="B162" s="24" t="str">
        <x:v>BL2 结构可用候选｜降级／停止条件</x:v>
      </x:c>
      <x:c r="C162" s="24" t="str">
        <x:v>L3 BL0—BL7保护有效层级</x:v>
      </x:c>
      <x:c r="D162" s="24" t="str">
        <x:v>BUFFER-保护层级</x:v>
      </x:c>
      <x:c r="E162" s="24" t="str">
        <x:v>通用</x:v>
      </x:c>
      <x:c r="F162" s="24" t="str">
        <x:v>降级</x:v>
      </x:c>
      <x:c r="G162" s="24" t="str">
        <x:v>BL2 结构可用候选</x:v>
      </x:c>
      <x:c r="H162" s="24" t="str">
        <x:v>说明何时需要降低保护等级。</x:v>
      </x:c>
      <x:c r="I162" s="24" t="str">
        <x:v>同源重复、弱远无助或功能错配时降回BL1。</x:v>
      </x:c>
      <x:c r="J162" s="24" t="str">
        <x:v>存在跨情境稳定有效的现实证据。</x:v>
      </x:c>
      <x:c r="K162" s="24" t="str">
        <x:v>由共享基础引擎提供；仅修正保护功能的承载、持续调用和压力状态下的稳定性，不直接等同成熟度、道德或现实行为。</x:v>
      </x:c>
      <x:c r="L162" s="24" t="str">
        <x:v>由M1／M2接口提供；夫妻星、心动原型和关系门槛只说明关系议题，不单独证明保护因素已经被调用或有效。</x:v>
      </x:c>
      <x:c r="M162" s="24" t="str">
        <x:v>由M3-BASE及M4各模块提供；日支、日柱近位可提高与亲密关系核心的相关性，但同一source_id不得重复计分。</x:v>
      </x:c>
      <x:c r="N162" s="24" t="str">
        <x:v>保护因素必须明确限制过用、补足缺位、恢复顺序、打开反馈、落实改变或完成修复回流；不能只凭五行相生补写现实效果。</x:v>
      </x:c>
      <x:c r="O162" s="24" t="str">
        <x:v>近位提高进入亲密关系核心的概率；远位只作背景、阶段或条件性修正。</x:v>
      </x:c>
      <x:c r="P162" s="24" t="str">
        <x:v>根气只修正该保护功能是否容易重复调用，不等于现实中已经形成稳定保护。</x:v>
      </x:c>
      <x:c r="Q162" s="24" t="str">
        <x:v>旺弱只修正调用强度与承载；强不自动有效，弱也不自动无效。</x:v>
      </x:c>
      <x:c r="R162" s="24" t="str">
        <x:v>喜忌只修正摩擦、平衡与承载，不可直接翻译为好坏、成熟度或解决方案。</x:v>
      </x:c>
      <x:c r="S162" s="24" t="str">
        <x:v>原十神功能有效；真合化成立时按化神功能替换，合化争议时停止定性。</x:v>
      </x:c>
      <x:c r="T162" s="24" t="str">
        <x:v>近位提高直接相关性；远位仅保留背景、阶段或低置信修正。</x:v>
      </x:c>
      <x:c r="U162" s="24" t="str">
        <x:v>97</x:v>
      </x:c>
      <x:c r="V162" s="24" t="str">
        <x:v>触发则降级</x:v>
      </x:c>
      <x:c r="W162" s="24" t="str">
        <x:v>downgrade_condition</x:v>
      </x:c>
      <x:c r="X162" s="24" t="str">
        <x:v>同源重复、弱远无助或功能错配时降回BL1。</x:v>
      </x:c>
      <x:c r="Y162" s="24" t="str">
        <x:v>若出现以下情况，应降低判断：同源重复、弱远无助或功能错配时降回BL1。</x:v>
      </x:c>
      <x:c r="Z162" s="24" t="str">
        <x:v>不得仅凭本规则断定问题已经解决、关系必然稳定、用户一定成熟、某十神天然是“药”、喜用神自动等于解决办法，或淡化暴力、强迫与现实伤害；现实行为、反例、安全事实和专业支持优先。</x:v>
      </x:c>
      <x:c r="AA162" s="24" t="str">
        <x:v>高</x:v>
      </x:c>
      <x:c r="AB162" s="24" t="str">
        <x:v>待验证</x:v>
      </x:c>
      <x:c r="AC162" s="24" t="str"/>
      <x:c r="AD162" s="24" t="str">
        <x:v>provisional=true；保护因素的现实有效性必须由可观察行为、反馈和持续结果验证。</x:v>
      </x:c>
      <x:c r="AE162" s="24" t="str">
        <x:v>0.8</x:v>
      </x:c>
    </x:row>
    <x:row r="163" ht="52" customHeight="1">
      <x:c r="A163" s="24" t="str">
        <x:v>M4-BUFFER-162</x:v>
      </x:c>
      <x:c r="B163" s="24" t="str">
        <x:v>BL2 结构可用候选｜用户输出</x:v>
      </x:c>
      <x:c r="C163" s="24" t="str">
        <x:v>L3 BL0—BL7保护有效层级</x:v>
      </x:c>
      <x:c r="D163" s="24" t="str">
        <x:v>BUFFER-保护层级</x:v>
      </x:c>
      <x:c r="E163" s="24" t="str">
        <x:v>通用</x:v>
      </x:c>
      <x:c r="F163" s="24" t="str">
        <x:v>语言</x:v>
      </x:c>
      <x:c r="G163" s="24" t="str">
        <x:v>BL2 结构可用候选</x:v>
      </x:c>
      <x:c r="H163" s="24" t="str">
        <x:v>生成对应层级的用户语言。</x:v>
      </x:c>
      <x:c r="I163" s="24" t="str">
        <x:v>本层级已经成立。</x:v>
      </x:c>
      <x:c r="J163" s="24" t="str">
        <x:v>层级未成立或存在安全停止。</x:v>
      </x:c>
      <x:c r="K163" s="24" t="str">
        <x:v>由共享基础引擎提供；仅修正保护功能的承载、持续调用和压力状态下的稳定性，不直接等同成熟度、道德或现实行为。</x:v>
      </x:c>
      <x:c r="L163" s="24" t="str">
        <x:v>由M1／M2接口提供；夫妻星、心动原型和关系门槛只说明关系议题，不单独证明保护因素已经被调用或有效。</x:v>
      </x:c>
      <x:c r="M163" s="24" t="str">
        <x:v>由M3-BASE及M4各模块提供；日支、日柱近位可提高与亲密关系核心的相关性，但同一source_id不得重复计分。</x:v>
      </x:c>
      <x:c r="N163" s="24" t="str">
        <x:v>保护因素必须明确限制过用、补足缺位、恢复顺序、打开反馈、落实改变或完成修复回流；不能只凭五行相生补写现实效果。</x:v>
      </x:c>
      <x:c r="O163" s="24" t="str">
        <x:v>近位提高进入亲密关系核心的概率；远位只作背景、阶段或条件性修正。</x:v>
      </x:c>
      <x:c r="P163" s="24" t="str">
        <x:v>根气只修正该保护功能是否容易重复调用，不等于现实中已经形成稳定保护。</x:v>
      </x:c>
      <x:c r="Q163" s="24" t="str">
        <x:v>旺弱只修正调用强度与承载；强不自动有效，弱也不自动无效。</x:v>
      </x:c>
      <x:c r="R163" s="24" t="str">
        <x:v>喜忌只修正摩擦、平衡与承载，不可直接翻译为好坏、成熟度或解决方案。</x:v>
      </x:c>
      <x:c r="S163" s="24" t="str">
        <x:v>原十神功能有效；真合化成立时按化神功能替换，合化争议时停止定性。</x:v>
      </x:c>
      <x:c r="T163" s="24" t="str">
        <x:v>近位提高直接相关性；远位仅保留背景、阶段或低置信修正。</x:v>
      </x:c>
      <x:c r="U163" s="24" t="str">
        <x:v>84</x:v>
      </x:c>
      <x:c r="V163" s="24" t="str">
        <x:v>不加分；输出</x:v>
      </x:c>
      <x:c r="W163" s="24" t="str">
        <x:v>report_text</x:v>
      </x:c>
      <x:c r="X163" s="24" t="str">
        <x:v>保护功能有独立来源、根气或位置，且与风险靶点匹配。</x:v>
      </x:c>
      <x:c r="Y163" s="24" t="str">
        <x:v>结构上具备这项资源，但是否能在关键时刻用出来仍需观察。</x:v>
      </x:c>
      <x:c r="Z163" s="24" t="str">
        <x:v>不得仅凭本规则断定问题已经解决、关系必然稳定、用户一定成熟、某十神天然是“药”、喜用神自动等于解决办法，或淡化暴力、强迫与现实伤害；现实行为、反例、安全事实和专业支持优先。</x:v>
      </x:c>
      <x:c r="AA163" s="24" t="str">
        <x:v>中高</x:v>
      </x:c>
      <x:c r="AB163" s="24" t="str">
        <x:v>待验证</x:v>
      </x:c>
      <x:c r="AC163" s="24" t="str"/>
      <x:c r="AD163" s="24" t="str">
        <x:v>provisional=true；保护因素的现实有效性必须由可观察行为、反馈和持续结果验证。</x:v>
      </x:c>
      <x:c r="AE163" s="24" t="str">
        <x:v>0.8</x:v>
      </x:c>
    </x:row>
    <x:row r="164" ht="52" customHeight="1">
      <x:c r="A164" s="24" t="str">
        <x:v>M4-BUFFER-163</x:v>
      </x:c>
      <x:c r="B164" s="24" t="str">
        <x:v>BL3 条件性可调用｜层级定义</x:v>
      </x:c>
      <x:c r="C164" s="24" t="str">
        <x:v>L3 BL0—BL7保护有效层级</x:v>
      </x:c>
      <x:c r="D164" s="24" t="str">
        <x:v>BUFFER-保护层级</x:v>
      </x:c>
      <x:c r="E164" s="24" t="str">
        <x:v>通用</x:v>
      </x:c>
      <x:c r="F164" s="24" t="str">
        <x:v>定义</x:v>
      </x:c>
      <x:c r="G164" s="24" t="str">
        <x:v>BL3 条件性可调用</x:v>
      </x:c>
      <x:c r="H164" s="24" t="str">
        <x:v>定义保护有效性的证据层级。</x:v>
      </x:c>
      <x:c r="I164" s="24" t="str">
        <x:v>满足本层级的结构与现实证据要求。</x:v>
      </x:c>
      <x:c r="J164" s="24" t="str">
        <x:v>证据不足或被高估。</x:v>
      </x:c>
      <x:c r="K164" s="24" t="str">
        <x:v>由共享基础引擎提供；仅修正保护功能的承载、持续调用和压力状态下的稳定性，不直接等同成熟度、道德或现实行为。</x:v>
      </x:c>
      <x:c r="L164" s="24" t="str">
        <x:v>由M1／M2接口提供；夫妻星、心动原型和关系门槛只说明关系议题，不单独证明保护因素已经被调用或有效。</x:v>
      </x:c>
      <x:c r="M164" s="24" t="str">
        <x:v>由M3-BASE及M4各模块提供；日支、日柱近位可提高与亲密关系核心的相关性，但同一source_id不得重复计分。</x:v>
      </x:c>
      <x:c r="N164" s="24" t="str">
        <x:v>保护因素必须明确限制过用、补足缺位、恢复顺序、打开反馈、落实改变或完成修复回流；不能只凭五行相生补写现实效果。</x:v>
      </x:c>
      <x:c r="O164" s="24" t="str">
        <x:v>近位提高进入亲密关系核心的概率；远位只作背景、阶段或条件性修正。</x:v>
      </x:c>
      <x:c r="P164" s="24" t="str">
        <x:v>根气只修正该保护功能是否容易重复调用，不等于现实中已经形成稳定保护。</x:v>
      </x:c>
      <x:c r="Q164" s="24" t="str">
        <x:v>旺弱只修正调用强度与承载；强不自动有效，弱也不自动无效。</x:v>
      </x:c>
      <x:c r="R164" s="24" t="str">
        <x:v>喜忌只修正摩擦、平衡与承载，不可直接翻译为好坏、成熟度或解决方案。</x:v>
      </x:c>
      <x:c r="S164" s="24" t="str">
        <x:v>原十神功能有效；真合化成立时按化神功能替换，合化争议时停止定性。</x:v>
      </x:c>
      <x:c r="T164" s="24" t="str">
        <x:v>近位提高直接相关性；远位仅保留背景、阶段或低置信修正。</x:v>
      </x:c>
      <x:c r="U164" s="24" t="str">
        <x:v>96</x:v>
      </x:c>
      <x:c r="V164" s="24" t="str">
        <x:v>层级判定</x:v>
      </x:c>
      <x:c r="W164" s="24" t="str">
        <x:v>buffer_level</x:v>
      </x:c>
      <x:c r="X164" s="24" t="str">
        <x:v>结构资源有效，并在特定触发域、状态或关系条件下有进入路径。</x:v>
      </x:c>
      <x:c r="Y164" s="24" t="str">
        <x:v>在某些条件下，你更容易调用这项资源；需要同时说明它的适用场景。</x:v>
      </x:c>
      <x:c r="Z164" s="24" t="str">
        <x:v>不得仅凭本规则断定问题已经解决、关系必然稳定、用户一定成熟、某十神天然是“药”、喜用神自动等于解决办法，或淡化暴力、强迫与现实伤害；现实行为、反例、安全事实和专业支持优先。</x:v>
      </x:c>
      <x:c r="AA164" s="24" t="str">
        <x:v>高</x:v>
      </x:c>
      <x:c r="AB164" s="24" t="str">
        <x:v>待验证</x:v>
      </x:c>
      <x:c r="AC164" s="24" t="str"/>
      <x:c r="AD164" s="24" t="str">
        <x:v>provisional=true；保护因素的现实有效性必须由可观察行为、反馈和持续结果验证。</x:v>
      </x:c>
      <x:c r="AE164" s="24" t="str">
        <x:v>0.8</x:v>
      </x:c>
    </x:row>
    <x:row r="165" ht="52" customHeight="1">
      <x:c r="A165" s="24" t="str">
        <x:v>M4-BUFFER-164</x:v>
      </x:c>
      <x:c r="B165" s="24" t="str">
        <x:v>BL3 条件性可调用｜证据要求</x:v>
      </x:c>
      <x:c r="C165" s="24" t="str">
        <x:v>L3 BL0—BL7保护有效层级</x:v>
      </x:c>
      <x:c r="D165" s="24" t="str">
        <x:v>BUFFER-保护层级</x:v>
      </x:c>
      <x:c r="E165" s="24" t="str">
        <x:v>通用</x:v>
      </x:c>
      <x:c r="F165" s="24" t="str">
        <x:v>证据</x:v>
      </x:c>
      <x:c r="G165" s="24" t="str">
        <x:v>BL3 条件性可调用</x:v>
      </x:c>
      <x:c r="H165" s="24" t="str">
        <x:v>明确进入本层级所需证据。</x:v>
      </x:c>
      <x:c r="I165" s="24" t="str">
        <x:v>结构资源有效，并在特定触发域、状态或关系条件下有进入路径。</x:v>
      </x:c>
      <x:c r="J165" s="24" t="str">
        <x:v>只有同源重复、标签或主观推测。</x:v>
      </x:c>
      <x:c r="K165" s="24" t="str">
        <x:v>由共享基础引擎提供；仅修正保护功能的承载、持续调用和压力状态下的稳定性，不直接等同成熟度、道德或现实行为。</x:v>
      </x:c>
      <x:c r="L165" s="24" t="str">
        <x:v>由M1／M2接口提供；夫妻星、心动原型和关系门槛只说明关系议题，不单独证明保护因素已经被调用或有效。</x:v>
      </x:c>
      <x:c r="M165" s="24" t="str">
        <x:v>由M3-BASE及M4各模块提供；日支、日柱近位可提高与亲密关系核心的相关性，但同一source_id不得重复计分。</x:v>
      </x:c>
      <x:c r="N165" s="24" t="str">
        <x:v>保护因素必须明确限制过用、补足缺位、恢复顺序、打开反馈、落实改变或完成修复回流；不能只凭五行相生补写现实效果。</x:v>
      </x:c>
      <x:c r="O165" s="24" t="str">
        <x:v>近位提高进入亲密关系核心的概率；远位只作背景、阶段或条件性修正。</x:v>
      </x:c>
      <x:c r="P165" s="24" t="str">
        <x:v>根气只修正该保护功能是否容易重复调用，不等于现实中已经形成稳定保护。</x:v>
      </x:c>
      <x:c r="Q165" s="24" t="str">
        <x:v>旺弱只修正调用强度与承载；强不自动有效，弱也不自动无效。</x:v>
      </x:c>
      <x:c r="R165" s="24" t="str">
        <x:v>喜忌只修正摩擦、平衡与承载，不可直接翻译为好坏、成熟度或解决方案。</x:v>
      </x:c>
      <x:c r="S165" s="24" t="str">
        <x:v>原十神功能有效；真合化成立时按化神功能替换，合化争议时停止定性。</x:v>
      </x:c>
      <x:c r="T165" s="24" t="str">
        <x:v>近位提高直接相关性；远位仅保留背景、阶段或低置信修正。</x:v>
      </x:c>
      <x:c r="U165" s="24" t="str">
        <x:v>94</x:v>
      </x:c>
      <x:c r="V165" s="24" t="str">
        <x:v>证据门槛</x:v>
      </x:c>
      <x:c r="W165" s="24" t="str">
        <x:v>buffer_evidence</x:v>
      </x:c>
      <x:c r="X165" s="24" t="str">
        <x:v>BL3要求：结构资源有效，并在特定触发域、状态或关系条件下有进入路径。</x:v>
      </x:c>
      <x:c r="Y165" s="24" t="str">
        <x:v>要达到这一层，需要看到：结构资源有效，并在特定触发域、状态或关系条件下有进入路径。</x:v>
      </x:c>
      <x:c r="Z165" s="24" t="str">
        <x:v>不得仅凭本规则断定问题已经解决、关系必然稳定、用户一定成熟、某十神天然是“药”、喜用神自动等于解决办法，或淡化暴力、强迫与现实伤害；现实行为、反例、安全事实和专业支持优先。</x:v>
      </x:c>
      <x:c r="AA165" s="24" t="str">
        <x:v>中高</x:v>
      </x:c>
      <x:c r="AB165" s="24" t="str">
        <x:v>待验证</x:v>
      </x:c>
      <x:c r="AC165" s="24" t="str"/>
      <x:c r="AD165" s="24" t="str">
        <x:v>provisional=true；保护因素的现实有效性必须由可观察行为、反馈和持续结果验证。</x:v>
      </x:c>
      <x:c r="AE165" s="24" t="str">
        <x:v>0.8</x:v>
      </x:c>
    </x:row>
    <x:row r="166" ht="52" customHeight="1">
      <x:c r="A166" s="24" t="str">
        <x:v>M4-BUFFER-165</x:v>
      </x:c>
      <x:c r="B166" s="24" t="str">
        <x:v>BL3 条件性可调用｜发布上限</x:v>
      </x:c>
      <x:c r="C166" s="24" t="str">
        <x:v>L3 BL0—BL7保护有效层级</x:v>
      </x:c>
      <x:c r="D166" s="24" t="str">
        <x:v>BUFFER-保护层级</x:v>
      </x:c>
      <x:c r="E166" s="24" t="str">
        <x:v>通用</x:v>
      </x:c>
      <x:c r="F166" s="24" t="str">
        <x:v>发布边界</x:v>
      </x:c>
      <x:c r="G166" s="24" t="str">
        <x:v>BL3 条件性可调用</x:v>
      </x:c>
      <x:c r="H166" s="24" t="str">
        <x:v>限制用户报告措辞。</x:v>
      </x:c>
      <x:c r="I166" s="24" t="str">
        <x:v>已经完成本层级证据门控。</x:v>
      </x:c>
      <x:c r="J166" s="24" t="str">
        <x:v>用低层级证据发布更强结论。</x:v>
      </x:c>
      <x:c r="K166" s="24" t="str">
        <x:v>由共享基础引擎提供；仅修正保护功能的承载、持续调用和压力状态下的稳定性，不直接等同成熟度、道德或现实行为。</x:v>
      </x:c>
      <x:c r="L166" s="24" t="str">
        <x:v>由M1／M2接口提供；夫妻星、心动原型和关系门槛只说明关系议题，不单独证明保护因素已经被调用或有效。</x:v>
      </x:c>
      <x:c r="M166" s="24" t="str">
        <x:v>由M3-BASE及M4各模块提供；日支、日柱近位可提高与亲密关系核心的相关性，但同一source_id不得重复计分。</x:v>
      </x:c>
      <x:c r="N166" s="24" t="str">
        <x:v>保护因素必须明确限制过用、补足缺位、恢复顺序、打开反馈、落实改变或完成修复回流；不能只凭五行相生补写现实效果。</x:v>
      </x:c>
      <x:c r="O166" s="24" t="str">
        <x:v>近位提高进入亲密关系核心的概率；远位只作背景、阶段或条件性修正。</x:v>
      </x:c>
      <x:c r="P166" s="24" t="str">
        <x:v>根气只修正该保护功能是否容易重复调用，不等于现实中已经形成稳定保护。</x:v>
      </x:c>
      <x:c r="Q166" s="24" t="str">
        <x:v>旺弱只修正调用强度与承载；强不自动有效，弱也不自动无效。</x:v>
      </x:c>
      <x:c r="R166" s="24" t="str">
        <x:v>喜忌只修正摩擦、平衡与承载，不可直接翻译为好坏、成熟度或解决方案。</x:v>
      </x:c>
      <x:c r="S166" s="24" t="str">
        <x:v>原十神功能有效；真合化成立时按化神功能替换，合化争议时停止定性。</x:v>
      </x:c>
      <x:c r="T166" s="24" t="str">
        <x:v>近位提高直接相关性；远位仅保留背景、阶段或低置信修正。</x:v>
      </x:c>
      <x:c r="U166" s="24" t="str">
        <x:v>99</x:v>
      </x:c>
      <x:c r="V166" s="24" t="str">
        <x:v>封顶</x:v>
      </x:c>
      <x:c r="W166" s="24" t="str">
        <x:v>report_status</x:v>
      </x:c>
      <x:c r="X166" s="24" t="str">
        <x:v>可形成条件性保护，说明何时有效、何时不一定有效。</x:v>
      </x:c>
      <x:c r="Y166" s="24" t="str">
        <x:v>这一层最多可以说明：可形成条件性保护，说明何时有效、何时不一定有效。</x:v>
      </x:c>
      <x:c r="Z166" s="24" t="str">
        <x:v>不得仅凭本规则断定问题已经解决、关系必然稳定、用户一定成熟、某十神天然是“药”、喜用神自动等于解决办法，或淡化暴力、强迫与现实伤害；现实行为、反例、安全事实和专业支持优先。</x:v>
      </x:c>
      <x:c r="AA166" s="24" t="str">
        <x:v>高</x:v>
      </x:c>
      <x:c r="AB166" s="24" t="str">
        <x:v>待验证</x:v>
      </x:c>
      <x:c r="AC166" s="24" t="str"/>
      <x:c r="AD166" s="24" t="str">
        <x:v>provisional=true；保护因素的现实有效性必须由可观察行为、反馈和持续结果验证。</x:v>
      </x:c>
      <x:c r="AE166" s="24" t="str">
        <x:v>0.8</x:v>
      </x:c>
    </x:row>
    <x:row r="167" ht="52" customHeight="1">
      <x:c r="A167" s="24" t="str">
        <x:v>M4-BUFFER-166</x:v>
      </x:c>
      <x:c r="B167" s="24" t="str">
        <x:v>BL3 条件性可调用｜升级条件</x:v>
      </x:c>
      <x:c r="C167" s="24" t="str">
        <x:v>L3 BL0—BL7保护有效层级</x:v>
      </x:c>
      <x:c r="D167" s="24" t="str">
        <x:v>BUFFER-保护层级</x:v>
      </x:c>
      <x:c r="E167" s="24" t="str">
        <x:v>通用</x:v>
      </x:c>
      <x:c r="F167" s="24" t="str">
        <x:v>升级</x:v>
      </x:c>
      <x:c r="G167" s="24" t="str">
        <x:v>BL3 条件性可调用</x:v>
      </x:c>
      <x:c r="H167" s="24" t="str">
        <x:v>说明如何从当前层级升级。</x:v>
      </x:c>
      <x:c r="I167" s="24" t="str">
        <x:v>当前层级成立，并补齐下一层所需的独立证据。</x:v>
      </x:c>
      <x:c r="J167" s="24" t="str">
        <x:v>只增加同一source_id或同一event_id的描述。</x:v>
      </x:c>
      <x:c r="K167" s="24" t="str">
        <x:v>由共享基础引擎提供；仅修正保护功能的承载、持续调用和压力状态下的稳定性，不直接等同成熟度、道德或现实行为。</x:v>
      </x:c>
      <x:c r="L167" s="24" t="str">
        <x:v>由M1／M2接口提供；夫妻星、心动原型和关系门槛只说明关系议题，不单独证明保护因素已经被调用或有效。</x:v>
      </x:c>
      <x:c r="M167" s="24" t="str">
        <x:v>由M3-BASE及M4各模块提供；日支、日柱近位可提高与亲密关系核心的相关性，但同一source_id不得重复计分。</x:v>
      </x:c>
      <x:c r="N167" s="24" t="str">
        <x:v>保护因素必须明确限制过用、补足缺位、恢复顺序、打开反馈、落实改变或完成修复回流；不能只凭五行相生补写现实效果。</x:v>
      </x:c>
      <x:c r="O167" s="24" t="str">
        <x:v>近位提高进入亲密关系核心的概率；远位只作背景、阶段或条件性修正。</x:v>
      </x:c>
      <x:c r="P167" s="24" t="str">
        <x:v>根气只修正该保护功能是否容易重复调用，不等于现实中已经形成稳定保护。</x:v>
      </x:c>
      <x:c r="Q167" s="24" t="str">
        <x:v>旺弱只修正调用强度与承载；强不自动有效，弱也不自动无效。</x:v>
      </x:c>
      <x:c r="R167" s="24" t="str">
        <x:v>喜忌只修正摩擦、平衡与承载，不可直接翻译为好坏、成熟度或解决方案。</x:v>
      </x:c>
      <x:c r="S167" s="24" t="str">
        <x:v>原十神功能有效；真合化成立时按化神功能替换，合化争议时停止定性。</x:v>
      </x:c>
      <x:c r="T167" s="24" t="str">
        <x:v>近位提高直接相关性；远位仅保留背景、阶段或低置信修正。</x:v>
      </x:c>
      <x:c r="U167" s="24" t="str">
        <x:v>89</x:v>
      </x:c>
      <x:c r="V167" s="24" t="str">
        <x:v>满足则升级</x:v>
      </x:c>
      <x:c r="W167" s="24" t="str">
        <x:v>upgrade_condition</x:v>
      </x:c>
      <x:c r="X167" s="24" t="str">
        <x:v>记录一次具体事件中的启动和后续效果。</x:v>
      </x:c>
      <x:c r="Y167" s="24" t="str">
        <x:v>若要进一步确认，需要：记录一次具体事件中的启动和后续效果。</x:v>
      </x:c>
      <x:c r="Z167" s="24" t="str">
        <x:v>不得仅凭本规则断定问题已经解决、关系必然稳定、用户一定成熟、某十神天然是“药”、喜用神自动等于解决办法，或淡化暴力、强迫与现实伤害；现实行为、反例、安全事实和专业支持优先。</x:v>
      </x:c>
      <x:c r="AA167" s="24" t="str">
        <x:v>中高</x:v>
      </x:c>
      <x:c r="AB167" s="24" t="str">
        <x:v>待验证</x:v>
      </x:c>
      <x:c r="AC167" s="24" t="str"/>
      <x:c r="AD167" s="24" t="str">
        <x:v>provisional=true；保护因素的现实有效性必须由可观察行为、反馈和持续结果验证。</x:v>
      </x:c>
      <x:c r="AE167" s="24" t="str">
        <x:v>0.8</x:v>
      </x:c>
    </x:row>
    <x:row r="168" ht="52" customHeight="1">
      <x:c r="A168" s="24" t="str">
        <x:v>M4-BUFFER-167</x:v>
      </x:c>
      <x:c r="B168" s="24" t="str">
        <x:v>BL3 条件性可调用｜降级／停止条件</x:v>
      </x:c>
      <x:c r="C168" s="24" t="str">
        <x:v>L3 BL0—BL7保护有效层级</x:v>
      </x:c>
      <x:c r="D168" s="24" t="str">
        <x:v>BUFFER-保护层级</x:v>
      </x:c>
      <x:c r="E168" s="24" t="str">
        <x:v>通用</x:v>
      </x:c>
      <x:c r="F168" s="24" t="str">
        <x:v>降级</x:v>
      </x:c>
      <x:c r="G168" s="24" t="str">
        <x:v>BL3 条件性可调用</x:v>
      </x:c>
      <x:c r="H168" s="24" t="str">
        <x:v>说明何时需要降低保护等级。</x:v>
      </x:c>
      <x:c r="I168" s="24" t="str">
        <x:v>条件不满足或高压下失效时不得泛化。</x:v>
      </x:c>
      <x:c r="J168" s="24" t="str">
        <x:v>存在跨情境稳定有效的现实证据。</x:v>
      </x:c>
      <x:c r="K168" s="24" t="str">
        <x:v>由共享基础引擎提供；仅修正保护功能的承载、持续调用和压力状态下的稳定性，不直接等同成熟度、道德或现实行为。</x:v>
      </x:c>
      <x:c r="L168" s="24" t="str">
        <x:v>由M1／M2接口提供；夫妻星、心动原型和关系门槛只说明关系议题，不单独证明保护因素已经被调用或有效。</x:v>
      </x:c>
      <x:c r="M168" s="24" t="str">
        <x:v>由M3-BASE及M4各模块提供；日支、日柱近位可提高与亲密关系核心的相关性，但同一source_id不得重复计分。</x:v>
      </x:c>
      <x:c r="N168" s="24" t="str">
        <x:v>保护因素必须明确限制过用、补足缺位、恢复顺序、打开反馈、落实改变或完成修复回流；不能只凭五行相生补写现实效果。</x:v>
      </x:c>
      <x:c r="O168" s="24" t="str">
        <x:v>近位提高进入亲密关系核心的概率；远位只作背景、阶段或条件性修正。</x:v>
      </x:c>
      <x:c r="P168" s="24" t="str">
        <x:v>根气只修正该保护功能是否容易重复调用，不等于现实中已经形成稳定保护。</x:v>
      </x:c>
      <x:c r="Q168" s="24" t="str">
        <x:v>旺弱只修正调用强度与承载；强不自动有效，弱也不自动无效。</x:v>
      </x:c>
      <x:c r="R168" s="24" t="str">
        <x:v>喜忌只修正摩擦、平衡与承载，不可直接翻译为好坏、成熟度或解决方案。</x:v>
      </x:c>
      <x:c r="S168" s="24" t="str">
        <x:v>原十神功能有效；真合化成立时按化神功能替换，合化争议时停止定性。</x:v>
      </x:c>
      <x:c r="T168" s="24" t="str">
        <x:v>近位提高直接相关性；远位仅保留背景、阶段或低置信修正。</x:v>
      </x:c>
      <x:c r="U168" s="24" t="str">
        <x:v>97</x:v>
      </x:c>
      <x:c r="V168" s="24" t="str">
        <x:v>触发则降级</x:v>
      </x:c>
      <x:c r="W168" s="24" t="str">
        <x:v>downgrade_condition</x:v>
      </x:c>
      <x:c r="X168" s="24" t="str">
        <x:v>条件不满足或高压下失效时不得泛化。</x:v>
      </x:c>
      <x:c r="Y168" s="24" t="str">
        <x:v>若出现以下情况，应降低判断：条件不满足或高压下失效时不得泛化。</x:v>
      </x:c>
      <x:c r="Z168" s="24" t="str">
        <x:v>不得仅凭本规则断定问题已经解决、关系必然稳定、用户一定成熟、某十神天然是“药”、喜用神自动等于解决办法，或淡化暴力、强迫与现实伤害；现实行为、反例、安全事实和专业支持优先。</x:v>
      </x:c>
      <x:c r="AA168" s="24" t="str">
        <x:v>高</x:v>
      </x:c>
      <x:c r="AB168" s="24" t="str">
        <x:v>待验证</x:v>
      </x:c>
      <x:c r="AC168" s="24" t="str"/>
      <x:c r="AD168" s="24" t="str">
        <x:v>provisional=true；保护因素的现实有效性必须由可观察行为、反馈和持续结果验证。</x:v>
      </x:c>
      <x:c r="AE168" s="24" t="str">
        <x:v>0.8</x:v>
      </x:c>
    </x:row>
    <x:row r="169" ht="52" customHeight="1">
      <x:c r="A169" s="24" t="str">
        <x:v>M4-BUFFER-168</x:v>
      </x:c>
      <x:c r="B169" s="24" t="str">
        <x:v>BL3 条件性可调用｜用户输出</x:v>
      </x:c>
      <x:c r="C169" s="24" t="str">
        <x:v>L3 BL0—BL7保护有效层级</x:v>
      </x:c>
      <x:c r="D169" s="24" t="str">
        <x:v>BUFFER-保护层级</x:v>
      </x:c>
      <x:c r="E169" s="24" t="str">
        <x:v>通用</x:v>
      </x:c>
      <x:c r="F169" s="24" t="str">
        <x:v>语言</x:v>
      </x:c>
      <x:c r="G169" s="24" t="str">
        <x:v>BL3 条件性可调用</x:v>
      </x:c>
      <x:c r="H169" s="24" t="str">
        <x:v>生成对应层级的用户语言。</x:v>
      </x:c>
      <x:c r="I169" s="24" t="str">
        <x:v>本层级已经成立。</x:v>
      </x:c>
      <x:c r="J169" s="24" t="str">
        <x:v>层级未成立或存在安全停止。</x:v>
      </x:c>
      <x:c r="K169" s="24" t="str">
        <x:v>由共享基础引擎提供；仅修正保护功能的承载、持续调用和压力状态下的稳定性，不直接等同成熟度、道德或现实行为。</x:v>
      </x:c>
      <x:c r="L169" s="24" t="str">
        <x:v>由M1／M2接口提供；夫妻星、心动原型和关系门槛只说明关系议题，不单独证明保护因素已经被调用或有效。</x:v>
      </x:c>
      <x:c r="M169" s="24" t="str">
        <x:v>由M3-BASE及M4各模块提供；日支、日柱近位可提高与亲密关系核心的相关性，但同一source_id不得重复计分。</x:v>
      </x:c>
      <x:c r="N169" s="24" t="str">
        <x:v>保护因素必须明确限制过用、补足缺位、恢复顺序、打开反馈、落实改变或完成修复回流；不能只凭五行相生补写现实效果。</x:v>
      </x:c>
      <x:c r="O169" s="24" t="str">
        <x:v>近位提高进入亲密关系核心的概率；远位只作背景、阶段或条件性修正。</x:v>
      </x:c>
      <x:c r="P169" s="24" t="str">
        <x:v>根气只修正该保护功能是否容易重复调用，不等于现实中已经形成稳定保护。</x:v>
      </x:c>
      <x:c r="Q169" s="24" t="str">
        <x:v>旺弱只修正调用强度与承载；强不自动有效，弱也不自动无效。</x:v>
      </x:c>
      <x:c r="R169" s="24" t="str">
        <x:v>喜忌只修正摩擦、平衡与承载，不可直接翻译为好坏、成熟度或解决方案。</x:v>
      </x:c>
      <x:c r="S169" s="24" t="str">
        <x:v>原十神功能有效；真合化成立时按化神功能替换，合化争议时停止定性。</x:v>
      </x:c>
      <x:c r="T169" s="24" t="str">
        <x:v>近位提高直接相关性；远位仅保留背景、阶段或低置信修正。</x:v>
      </x:c>
      <x:c r="U169" s="24" t="str">
        <x:v>84</x:v>
      </x:c>
      <x:c r="V169" s="24" t="str">
        <x:v>不加分；输出</x:v>
      </x:c>
      <x:c r="W169" s="24" t="str">
        <x:v>report_text</x:v>
      </x:c>
      <x:c r="X169" s="24" t="str">
        <x:v>结构资源有效，并在特定触发域、状态或关系条件下有进入路径。</x:v>
      </x:c>
      <x:c r="Y169" s="24" t="str">
        <x:v>在某些条件下，你更容易调用这项资源；需要同时说明它的适用场景。</x:v>
      </x:c>
      <x:c r="Z169" s="24" t="str">
        <x:v>不得仅凭本规则断定问题已经解决、关系必然稳定、用户一定成熟、某十神天然是“药”、喜用神自动等于解决办法，或淡化暴力、强迫与现实伤害；现实行为、反例、安全事实和专业支持优先。</x:v>
      </x:c>
      <x:c r="AA169" s="24" t="str">
        <x:v>中高</x:v>
      </x:c>
      <x:c r="AB169" s="24" t="str">
        <x:v>待验证</x:v>
      </x:c>
      <x:c r="AC169" s="24" t="str"/>
      <x:c r="AD169" s="24" t="str">
        <x:v>provisional=true；保护因素的现实有效性必须由可观察行为、反馈和持续结果验证。</x:v>
      </x:c>
      <x:c r="AE169" s="24" t="str">
        <x:v>0.8</x:v>
      </x:c>
    </x:row>
    <x:row r="170" ht="52" customHeight="1">
      <x:c r="A170" s="24" t="str">
        <x:v>M4-BUFFER-169</x:v>
      </x:c>
      <x:c r="B170" s="24" t="str">
        <x:v>BL4 单次现实已启动｜层级定义</x:v>
      </x:c>
      <x:c r="C170" s="24" t="str">
        <x:v>L3 BL0—BL7保护有效层级</x:v>
      </x:c>
      <x:c r="D170" s="24" t="str">
        <x:v>BUFFER-保护层级</x:v>
      </x:c>
      <x:c r="E170" s="24" t="str">
        <x:v>通用</x:v>
      </x:c>
      <x:c r="F170" s="24" t="str">
        <x:v>定义</x:v>
      </x:c>
      <x:c r="G170" s="24" t="str">
        <x:v>BL4 单次现实已启动</x:v>
      </x:c>
      <x:c r="H170" s="24" t="str">
        <x:v>定义保护有效性的证据层级。</x:v>
      </x:c>
      <x:c r="I170" s="24" t="str">
        <x:v>满足本层级的结构与现实证据要求。</x:v>
      </x:c>
      <x:c r="J170" s="24" t="str">
        <x:v>证据不足或被高估。</x:v>
      </x:c>
      <x:c r="K170" s="24" t="str">
        <x:v>由共享基础引擎提供；仅修正保护功能的承载、持续调用和压力状态下的稳定性，不直接等同成熟度、道德或现实行为。</x:v>
      </x:c>
      <x:c r="L170" s="24" t="str">
        <x:v>由M1／M2接口提供；夫妻星、心动原型和关系门槛只说明关系议题，不单独证明保护因素已经被调用或有效。</x:v>
      </x:c>
      <x:c r="M170" s="24" t="str">
        <x:v>由M3-BASE及M4各模块提供；日支、日柱近位可提高与亲密关系核心的相关性，但同一source_id不得重复计分。</x:v>
      </x:c>
      <x:c r="N170" s="24" t="str">
        <x:v>保护因素必须明确限制过用、补足缺位、恢复顺序、打开反馈、落实改变或完成修复回流；不能只凭五行相生补写现实效果。</x:v>
      </x:c>
      <x:c r="O170" s="24" t="str">
        <x:v>近位提高进入亲密关系核心的概率；远位只作背景、阶段或条件性修正。</x:v>
      </x:c>
      <x:c r="P170" s="24" t="str">
        <x:v>根气只修正该保护功能是否容易重复调用，不等于现实中已经形成稳定保护。</x:v>
      </x:c>
      <x:c r="Q170" s="24" t="str">
        <x:v>旺弱只修正调用强度与承载；强不自动有效，弱也不自动无效。</x:v>
      </x:c>
      <x:c r="R170" s="24" t="str">
        <x:v>喜忌只修正摩擦、平衡与承载，不可直接翻译为好坏、成熟度或解决方案。</x:v>
      </x:c>
      <x:c r="S170" s="24" t="str">
        <x:v>原十神功能有效；真合化成立时按化神功能替换，合化争议时停止定性。</x:v>
      </x:c>
      <x:c r="T170" s="24" t="str">
        <x:v>近位提高直接相关性；远位仅保留背景、阶段或低置信修正。</x:v>
      </x:c>
      <x:c r="U170" s="24" t="str">
        <x:v>96</x:v>
      </x:c>
      <x:c r="V170" s="24" t="str">
        <x:v>层级判定</x:v>
      </x:c>
      <x:c r="W170" s="24" t="str">
        <x:v>buffer_level</x:v>
      </x:c>
      <x:c r="X170" s="24" t="str">
        <x:v>至少一个具体事件显示保护功能被调用。</x:v>
      </x:c>
      <x:c r="Y170" s="24" t="str">
        <x:v>从这次经历看，你确实用出了这项资源，但还要看它有没有改变后续过程。</x:v>
      </x:c>
      <x:c r="Z170" s="24" t="str">
        <x:v>不得仅凭本规则断定问题已经解决、关系必然稳定、用户一定成熟、某十神天然是“药”、喜用神自动等于解决办法，或淡化暴力、强迫与现实伤害；现实行为、反例、安全事实和专业支持优先。</x:v>
      </x:c>
      <x:c r="AA170" s="24" t="str">
        <x:v>高</x:v>
      </x:c>
      <x:c r="AB170" s="24" t="str">
        <x:v>待验证</x:v>
      </x:c>
      <x:c r="AC170" s="24" t="str"/>
      <x:c r="AD170" s="24" t="str">
        <x:v>provisional=true；保护因素的现实有效性必须由可观察行为、反馈和持续结果验证。</x:v>
      </x:c>
      <x:c r="AE170" s="24" t="str">
        <x:v>0.8</x:v>
      </x:c>
    </x:row>
    <x:row r="171" ht="52" customHeight="1">
      <x:c r="A171" s="24" t="str">
        <x:v>M4-BUFFER-170</x:v>
      </x:c>
      <x:c r="B171" s="24" t="str">
        <x:v>BL4 单次现实已启动｜证据要求</x:v>
      </x:c>
      <x:c r="C171" s="24" t="str">
        <x:v>L3 BL0—BL7保护有效层级</x:v>
      </x:c>
      <x:c r="D171" s="24" t="str">
        <x:v>BUFFER-保护层级</x:v>
      </x:c>
      <x:c r="E171" s="24" t="str">
        <x:v>通用</x:v>
      </x:c>
      <x:c r="F171" s="24" t="str">
        <x:v>证据</x:v>
      </x:c>
      <x:c r="G171" s="24" t="str">
        <x:v>BL4 单次现实已启动</x:v>
      </x:c>
      <x:c r="H171" s="24" t="str">
        <x:v>明确进入本层级所需证据。</x:v>
      </x:c>
      <x:c r="I171" s="24" t="str">
        <x:v>至少一个具体事件显示保护功能被调用。</x:v>
      </x:c>
      <x:c r="J171" s="24" t="str">
        <x:v>只有同源重复、标签或主观推测。</x:v>
      </x:c>
      <x:c r="K171" s="24" t="str">
        <x:v>由共享基础引擎提供；仅修正保护功能的承载、持续调用和压力状态下的稳定性，不直接等同成熟度、道德或现实行为。</x:v>
      </x:c>
      <x:c r="L171" s="24" t="str">
        <x:v>由M1／M2接口提供；夫妻星、心动原型和关系门槛只说明关系议题，不单独证明保护因素已经被调用或有效。</x:v>
      </x:c>
      <x:c r="M171" s="24" t="str">
        <x:v>由M3-BASE及M4各模块提供；日支、日柱近位可提高与亲密关系核心的相关性，但同一source_id不得重复计分。</x:v>
      </x:c>
      <x:c r="N171" s="24" t="str">
        <x:v>保护因素必须明确限制过用、补足缺位、恢复顺序、打开反馈、落实改变或完成修复回流；不能只凭五行相生补写现实效果。</x:v>
      </x:c>
      <x:c r="O171" s="24" t="str">
        <x:v>近位提高进入亲密关系核心的概率；远位只作背景、阶段或条件性修正。</x:v>
      </x:c>
      <x:c r="P171" s="24" t="str">
        <x:v>根气只修正该保护功能是否容易重复调用，不等于现实中已经形成稳定保护。</x:v>
      </x:c>
      <x:c r="Q171" s="24" t="str">
        <x:v>旺弱只修正调用强度与承载；强不自动有效，弱也不自动无效。</x:v>
      </x:c>
      <x:c r="R171" s="24" t="str">
        <x:v>喜忌只修正摩擦、平衡与承载，不可直接翻译为好坏、成熟度或解决方案。</x:v>
      </x:c>
      <x:c r="S171" s="24" t="str">
        <x:v>原十神功能有效；真合化成立时按化神功能替换，合化争议时停止定性。</x:v>
      </x:c>
      <x:c r="T171" s="24" t="str">
        <x:v>近位提高直接相关性；远位仅保留背景、阶段或低置信修正。</x:v>
      </x:c>
      <x:c r="U171" s="24" t="str">
        <x:v>94</x:v>
      </x:c>
      <x:c r="V171" s="24" t="str">
        <x:v>证据门槛</x:v>
      </x:c>
      <x:c r="W171" s="24" t="str">
        <x:v>buffer_evidence</x:v>
      </x:c>
      <x:c r="X171" s="24" t="str">
        <x:v>BL4要求：至少一个具体事件显示保护功能被调用。</x:v>
      </x:c>
      <x:c r="Y171" s="24" t="str">
        <x:v>要达到这一层，需要看到：至少一个具体事件显示保护功能被调用。</x:v>
      </x:c>
      <x:c r="Z171" s="24" t="str">
        <x:v>不得仅凭本规则断定问题已经解决、关系必然稳定、用户一定成熟、某十神天然是“药”、喜用神自动等于解决办法，或淡化暴力、强迫与现实伤害；现实行为、反例、安全事实和专业支持优先。</x:v>
      </x:c>
      <x:c r="AA171" s="24" t="str">
        <x:v>中高</x:v>
      </x:c>
      <x:c r="AB171" s="24" t="str">
        <x:v>待验证</x:v>
      </x:c>
      <x:c r="AC171" s="24" t="str"/>
      <x:c r="AD171" s="24" t="str">
        <x:v>provisional=true；保护因素的现实有效性必须由可观察行为、反馈和持续结果验证。</x:v>
      </x:c>
      <x:c r="AE171" s="24" t="str">
        <x:v>0.8</x:v>
      </x:c>
    </x:row>
    <x:row r="172" ht="52" customHeight="1">
      <x:c r="A172" s="24" t="str">
        <x:v>M4-BUFFER-171</x:v>
      </x:c>
      <x:c r="B172" s="24" t="str">
        <x:v>BL4 单次现实已启动｜发布上限</x:v>
      </x:c>
      <x:c r="C172" s="24" t="str">
        <x:v>L3 BL0—BL7保护有效层级</x:v>
      </x:c>
      <x:c r="D172" s="24" t="str">
        <x:v>BUFFER-保护层级</x:v>
      </x:c>
      <x:c r="E172" s="24" t="str">
        <x:v>通用</x:v>
      </x:c>
      <x:c r="F172" s="24" t="str">
        <x:v>发布边界</x:v>
      </x:c>
      <x:c r="G172" s="24" t="str">
        <x:v>BL4 单次现实已启动</x:v>
      </x:c>
      <x:c r="H172" s="24" t="str">
        <x:v>限制用户报告措辞。</x:v>
      </x:c>
      <x:c r="I172" s="24" t="str">
        <x:v>已经完成本层级证据门控。</x:v>
      </x:c>
      <x:c r="J172" s="24" t="str">
        <x:v>用低层级证据发布更强结论。</x:v>
      </x:c>
      <x:c r="K172" s="24" t="str">
        <x:v>由共享基础引擎提供；仅修正保护功能的承载、持续调用和压力状态下的稳定性，不直接等同成熟度、道德或现实行为。</x:v>
      </x:c>
      <x:c r="L172" s="24" t="str">
        <x:v>由M1／M2接口提供；夫妻星、心动原型和关系门槛只说明关系议题，不单独证明保护因素已经被调用或有效。</x:v>
      </x:c>
      <x:c r="M172" s="24" t="str">
        <x:v>由M3-BASE及M4各模块提供；日支、日柱近位可提高与亲密关系核心的相关性，但同一source_id不得重复计分。</x:v>
      </x:c>
      <x:c r="N172" s="24" t="str">
        <x:v>保护因素必须明确限制过用、补足缺位、恢复顺序、打开反馈、落实改变或完成修复回流；不能只凭五行相生补写现实效果。</x:v>
      </x:c>
      <x:c r="O172" s="24" t="str">
        <x:v>近位提高进入亲密关系核心的概率；远位只作背景、阶段或条件性修正。</x:v>
      </x:c>
      <x:c r="P172" s="24" t="str">
        <x:v>根气只修正该保护功能是否容易重复调用，不等于现实中已经形成稳定保护。</x:v>
      </x:c>
      <x:c r="Q172" s="24" t="str">
        <x:v>旺弱只修正调用强度与承载；强不自动有效，弱也不自动无效。</x:v>
      </x:c>
      <x:c r="R172" s="24" t="str">
        <x:v>喜忌只修正摩擦、平衡与承载，不可直接翻译为好坏、成熟度或解决方案。</x:v>
      </x:c>
      <x:c r="S172" s="24" t="str">
        <x:v>原十神功能有效；真合化成立时按化神功能替换，合化争议时停止定性。</x:v>
      </x:c>
      <x:c r="T172" s="24" t="str">
        <x:v>近位提高直接相关性；远位仅保留背景、阶段或低置信修正。</x:v>
      </x:c>
      <x:c r="U172" s="24" t="str">
        <x:v>99</x:v>
      </x:c>
      <x:c r="V172" s="24" t="str">
        <x:v>封顶</x:v>
      </x:c>
      <x:c r="W172" s="24" t="str">
        <x:v>report_status</x:v>
      </x:c>
      <x:c r="X172" s="24" t="str">
        <x:v>可写“这次事件中已启动”，但不能写稳定有效。</x:v>
      </x:c>
      <x:c r="Y172" s="24" t="str">
        <x:v>这一层最多可以说明：可写“这次事件中已启动”，但不能写稳定有效。</x:v>
      </x:c>
      <x:c r="Z172" s="24" t="str">
        <x:v>不得仅凭本规则断定问题已经解决、关系必然稳定、用户一定成熟、某十神天然是“药”、喜用神自动等于解决办法，或淡化暴力、强迫与现实伤害；现实行为、反例、安全事实和专业支持优先。</x:v>
      </x:c>
      <x:c r="AA172" s="24" t="str">
        <x:v>高</x:v>
      </x:c>
      <x:c r="AB172" s="24" t="str">
        <x:v>待验证</x:v>
      </x:c>
      <x:c r="AC172" s="24" t="str"/>
      <x:c r="AD172" s="24" t="str">
        <x:v>provisional=true；保护因素的现实有效性必须由可观察行为、反馈和持续结果验证。</x:v>
      </x:c>
      <x:c r="AE172" s="24" t="str">
        <x:v>0.8</x:v>
      </x:c>
    </x:row>
    <x:row r="173" ht="52" customHeight="1">
      <x:c r="A173" s="24" t="str">
        <x:v>M4-BUFFER-172</x:v>
      </x:c>
      <x:c r="B173" s="24" t="str">
        <x:v>BL4 单次现实已启动｜升级条件</x:v>
      </x:c>
      <x:c r="C173" s="24" t="str">
        <x:v>L3 BL0—BL7保护有效层级</x:v>
      </x:c>
      <x:c r="D173" s="24" t="str">
        <x:v>BUFFER-保护层级</x:v>
      </x:c>
      <x:c r="E173" s="24" t="str">
        <x:v>通用</x:v>
      </x:c>
      <x:c r="F173" s="24" t="str">
        <x:v>升级</x:v>
      </x:c>
      <x:c r="G173" s="24" t="str">
        <x:v>BL4 单次现实已启动</x:v>
      </x:c>
      <x:c r="H173" s="24" t="str">
        <x:v>说明如何从当前层级升级。</x:v>
      </x:c>
      <x:c r="I173" s="24" t="str">
        <x:v>当前层级成立，并补齐下一层所需的独立证据。</x:v>
      </x:c>
      <x:c r="J173" s="24" t="str">
        <x:v>只增加同一source_id或同一event_id的描述。</x:v>
      </x:c>
      <x:c r="K173" s="24" t="str">
        <x:v>由共享基础引擎提供；仅修正保护功能的承载、持续调用和压力状态下的稳定性，不直接等同成熟度、道德或现实行为。</x:v>
      </x:c>
      <x:c r="L173" s="24" t="str">
        <x:v>由M1／M2接口提供；夫妻星、心动原型和关系门槛只说明关系议题，不单独证明保护因素已经被调用或有效。</x:v>
      </x:c>
      <x:c r="M173" s="24" t="str">
        <x:v>由M3-BASE及M4各模块提供；日支、日柱近位可提高与亲密关系核心的相关性，但同一source_id不得重复计分。</x:v>
      </x:c>
      <x:c r="N173" s="24" t="str">
        <x:v>保护因素必须明确限制过用、补足缺位、恢复顺序、打开反馈、落实改变或完成修复回流；不能只凭五行相生补写现实效果。</x:v>
      </x:c>
      <x:c r="O173" s="24" t="str">
        <x:v>近位提高进入亲密关系核心的概率；远位只作背景、阶段或条件性修正。</x:v>
      </x:c>
      <x:c r="P173" s="24" t="str">
        <x:v>根气只修正该保护功能是否容易重复调用，不等于现实中已经形成稳定保护。</x:v>
      </x:c>
      <x:c r="Q173" s="24" t="str">
        <x:v>旺弱只修正调用强度与承载；强不自动有效，弱也不自动无效。</x:v>
      </x:c>
      <x:c r="R173" s="24" t="str">
        <x:v>喜忌只修正摩擦、平衡与承载，不可直接翻译为好坏、成熟度或解决方案。</x:v>
      </x:c>
      <x:c r="S173" s="24" t="str">
        <x:v>原十神功能有效；真合化成立时按化神功能替换，合化争议时停止定性。</x:v>
      </x:c>
      <x:c r="T173" s="24" t="str">
        <x:v>近位提高直接相关性；远位仅保留背景、阶段或低置信修正。</x:v>
      </x:c>
      <x:c r="U173" s="24" t="str">
        <x:v>89</x:v>
      </x:c>
      <x:c r="V173" s="24" t="str">
        <x:v>满足则升级</x:v>
      </x:c>
      <x:c r="W173" s="24" t="str">
        <x:v>upgrade_condition</x:v>
      </x:c>
      <x:c r="X173" s="24" t="str">
        <x:v>确认是否改变顺序、反馈、边界或修复结果。</x:v>
      </x:c>
      <x:c r="Y173" s="24" t="str">
        <x:v>若要进一步确认，需要：确认是否改变顺序、反馈、边界或修复结果。</x:v>
      </x:c>
      <x:c r="Z173" s="24" t="str">
        <x:v>不得仅凭本规则断定问题已经解决、关系必然稳定、用户一定成熟、某十神天然是“药”、喜用神自动等于解决办法，或淡化暴力、强迫与现实伤害；现实行为、反例、安全事实和专业支持优先。</x:v>
      </x:c>
      <x:c r="AA173" s="24" t="str">
        <x:v>中高</x:v>
      </x:c>
      <x:c r="AB173" s="24" t="str">
        <x:v>待验证</x:v>
      </x:c>
      <x:c r="AC173" s="24" t="str"/>
      <x:c r="AD173" s="24" t="str">
        <x:v>provisional=true；保护因素的现实有效性必须由可观察行为、反馈和持续结果验证。</x:v>
      </x:c>
      <x:c r="AE173" s="24" t="str">
        <x:v>0.8</x:v>
      </x:c>
    </x:row>
    <x:row r="174" ht="52" customHeight="1">
      <x:c r="A174" s="24" t="str">
        <x:v>M4-BUFFER-173</x:v>
      </x:c>
      <x:c r="B174" s="24" t="str">
        <x:v>BL4 单次现实已启动｜降级／停止条件</x:v>
      </x:c>
      <x:c r="C174" s="24" t="str">
        <x:v>L3 BL0—BL7保护有效层级</x:v>
      </x:c>
      <x:c r="D174" s="24" t="str">
        <x:v>BUFFER-保护层级</x:v>
      </x:c>
      <x:c r="E174" s="24" t="str">
        <x:v>通用</x:v>
      </x:c>
      <x:c r="F174" s="24" t="str">
        <x:v>降级</x:v>
      </x:c>
      <x:c r="G174" s="24" t="str">
        <x:v>BL4 单次现实已启动</x:v>
      </x:c>
      <x:c r="H174" s="24" t="str">
        <x:v>说明何时需要降低保护等级。</x:v>
      </x:c>
      <x:c r="I174" s="24" t="str">
        <x:v>只有动作没有效果时仍停留BL4，不升级。</x:v>
      </x:c>
      <x:c r="J174" s="24" t="str">
        <x:v>存在跨情境稳定有效的现实证据。</x:v>
      </x:c>
      <x:c r="K174" s="24" t="str">
        <x:v>由共享基础引擎提供；仅修正保护功能的承载、持续调用和压力状态下的稳定性，不直接等同成熟度、道德或现实行为。</x:v>
      </x:c>
      <x:c r="L174" s="24" t="str">
        <x:v>由M1／M2接口提供；夫妻星、心动原型和关系门槛只说明关系议题，不单独证明保护因素已经被调用或有效。</x:v>
      </x:c>
      <x:c r="M174" s="24" t="str">
        <x:v>由M3-BASE及M4各模块提供；日支、日柱近位可提高与亲密关系核心的相关性，但同一source_id不得重复计分。</x:v>
      </x:c>
      <x:c r="N174" s="24" t="str">
        <x:v>保护因素必须明确限制过用、补足缺位、恢复顺序、打开反馈、落实改变或完成修复回流；不能只凭五行相生补写现实效果。</x:v>
      </x:c>
      <x:c r="O174" s="24" t="str">
        <x:v>近位提高进入亲密关系核心的概率；远位只作背景、阶段或条件性修正。</x:v>
      </x:c>
      <x:c r="P174" s="24" t="str">
        <x:v>根气只修正该保护功能是否容易重复调用，不等于现实中已经形成稳定保护。</x:v>
      </x:c>
      <x:c r="Q174" s="24" t="str">
        <x:v>旺弱只修正调用强度与承载；强不自动有效，弱也不自动无效。</x:v>
      </x:c>
      <x:c r="R174" s="24" t="str">
        <x:v>喜忌只修正摩擦、平衡与承载，不可直接翻译为好坏、成熟度或解决方案。</x:v>
      </x:c>
      <x:c r="S174" s="24" t="str">
        <x:v>原十神功能有效；真合化成立时按化神功能替换，合化争议时停止定性。</x:v>
      </x:c>
      <x:c r="T174" s="24" t="str">
        <x:v>近位提高直接相关性；远位仅保留背景、阶段或低置信修正。</x:v>
      </x:c>
      <x:c r="U174" s="24" t="str">
        <x:v>97</x:v>
      </x:c>
      <x:c r="V174" s="24" t="str">
        <x:v>触发则降级</x:v>
      </x:c>
      <x:c r="W174" s="24" t="str">
        <x:v>downgrade_condition</x:v>
      </x:c>
      <x:c r="X174" s="24" t="str">
        <x:v>只有动作没有效果时仍停留BL4，不升级。</x:v>
      </x:c>
      <x:c r="Y174" s="24" t="str">
        <x:v>若出现以下情况，应降低判断：只有动作没有效果时仍停留BL4，不升级。</x:v>
      </x:c>
      <x:c r="Z174" s="24" t="str">
        <x:v>不得仅凭本规则断定问题已经解决、关系必然稳定、用户一定成熟、某十神天然是“药”、喜用神自动等于解决办法，或淡化暴力、强迫与现实伤害；现实行为、反例、安全事实和专业支持优先。</x:v>
      </x:c>
      <x:c r="AA174" s="24" t="str">
        <x:v>高</x:v>
      </x:c>
      <x:c r="AB174" s="24" t="str">
        <x:v>待验证</x:v>
      </x:c>
      <x:c r="AC174" s="24" t="str"/>
      <x:c r="AD174" s="24" t="str">
        <x:v>provisional=true；保护因素的现实有效性必须由可观察行为、反馈和持续结果验证。</x:v>
      </x:c>
      <x:c r="AE174" s="24" t="str">
        <x:v>0.8</x:v>
      </x:c>
    </x:row>
    <x:row r="175" ht="52" customHeight="1">
      <x:c r="A175" s="24" t="str">
        <x:v>M4-BUFFER-174</x:v>
      </x:c>
      <x:c r="B175" s="24" t="str">
        <x:v>BL4 单次现实已启动｜用户输出</x:v>
      </x:c>
      <x:c r="C175" s="24" t="str">
        <x:v>L3 BL0—BL7保护有效层级</x:v>
      </x:c>
      <x:c r="D175" s="24" t="str">
        <x:v>BUFFER-保护层级</x:v>
      </x:c>
      <x:c r="E175" s="24" t="str">
        <x:v>通用</x:v>
      </x:c>
      <x:c r="F175" s="24" t="str">
        <x:v>语言</x:v>
      </x:c>
      <x:c r="G175" s="24" t="str">
        <x:v>BL4 单次现实已启动</x:v>
      </x:c>
      <x:c r="H175" s="24" t="str">
        <x:v>生成对应层级的用户语言。</x:v>
      </x:c>
      <x:c r="I175" s="24" t="str">
        <x:v>本层级已经成立。</x:v>
      </x:c>
      <x:c r="J175" s="24" t="str">
        <x:v>层级未成立或存在安全停止。</x:v>
      </x:c>
      <x:c r="K175" s="24" t="str">
        <x:v>由共享基础引擎提供；仅修正保护功能的承载、持续调用和压力状态下的稳定性，不直接等同成熟度、道德或现实行为。</x:v>
      </x:c>
      <x:c r="L175" s="24" t="str">
        <x:v>由M1／M2接口提供；夫妻星、心动原型和关系门槛只说明关系议题，不单独证明保护因素已经被调用或有效。</x:v>
      </x:c>
      <x:c r="M175" s="24" t="str">
        <x:v>由M3-BASE及M4各模块提供；日支、日柱近位可提高与亲密关系核心的相关性，但同一source_id不得重复计分。</x:v>
      </x:c>
      <x:c r="N175" s="24" t="str">
        <x:v>保护因素必须明确限制过用、补足缺位、恢复顺序、打开反馈、落实改变或完成修复回流；不能只凭五行相生补写现实效果。</x:v>
      </x:c>
      <x:c r="O175" s="24" t="str">
        <x:v>近位提高进入亲密关系核心的概率；远位只作背景、阶段或条件性修正。</x:v>
      </x:c>
      <x:c r="P175" s="24" t="str">
        <x:v>根气只修正该保护功能是否容易重复调用，不等于现实中已经形成稳定保护。</x:v>
      </x:c>
      <x:c r="Q175" s="24" t="str">
        <x:v>旺弱只修正调用强度与承载；强不自动有效，弱也不自动无效。</x:v>
      </x:c>
      <x:c r="R175" s="24" t="str">
        <x:v>喜忌只修正摩擦、平衡与承载，不可直接翻译为好坏、成熟度或解决方案。</x:v>
      </x:c>
      <x:c r="S175" s="24" t="str">
        <x:v>原十神功能有效；真合化成立时按化神功能替换，合化争议时停止定性。</x:v>
      </x:c>
      <x:c r="T175" s="24" t="str">
        <x:v>近位提高直接相关性；远位仅保留背景、阶段或低置信修正。</x:v>
      </x:c>
      <x:c r="U175" s="24" t="str">
        <x:v>84</x:v>
      </x:c>
      <x:c r="V175" s="24" t="str">
        <x:v>不加分；输出</x:v>
      </x:c>
      <x:c r="W175" s="24" t="str">
        <x:v>report_text</x:v>
      </x:c>
      <x:c r="X175" s="24" t="str">
        <x:v>至少一个具体事件显示保护功能被调用。</x:v>
      </x:c>
      <x:c r="Y175" s="24" t="str">
        <x:v>从这次经历看，你确实用出了这项资源，但还要看它有没有改变后续过程。</x:v>
      </x:c>
      <x:c r="Z175" s="24" t="str">
        <x:v>不得仅凭本规则断定问题已经解决、关系必然稳定、用户一定成熟、某十神天然是“药”、喜用神自动等于解决办法，或淡化暴力、强迫与现实伤害；现实行为、反例、安全事实和专业支持优先。</x:v>
      </x:c>
      <x:c r="AA175" s="24" t="str">
        <x:v>中高</x:v>
      </x:c>
      <x:c r="AB175" s="24" t="str">
        <x:v>待验证</x:v>
      </x:c>
      <x:c r="AC175" s="24" t="str"/>
      <x:c r="AD175" s="24" t="str">
        <x:v>provisional=true；保护因素的现实有效性必须由可观察行为、反馈和持续结果验证。</x:v>
      </x:c>
      <x:c r="AE175" s="24" t="str">
        <x:v>0.8</x:v>
      </x:c>
    </x:row>
    <x:row r="176" ht="52" customHeight="1">
      <x:c r="A176" s="24" t="str">
        <x:v>M4-BUFFER-175</x:v>
      </x:c>
      <x:c r="B176" s="24" t="str">
        <x:v>BL5 单次实际有效｜层级定义</x:v>
      </x:c>
      <x:c r="C176" s="24" t="str">
        <x:v>L3 BL0—BL7保护有效层级</x:v>
      </x:c>
      <x:c r="D176" s="24" t="str">
        <x:v>BUFFER-保护层级</x:v>
      </x:c>
      <x:c r="E176" s="24" t="str">
        <x:v>通用</x:v>
      </x:c>
      <x:c r="F176" s="24" t="str">
        <x:v>定义</x:v>
      </x:c>
      <x:c r="G176" s="24" t="str">
        <x:v>BL5 单次实际有效</x:v>
      </x:c>
      <x:c r="H176" s="24" t="str">
        <x:v>定义保护有效性的证据层级。</x:v>
      </x:c>
      <x:c r="I176" s="24" t="str">
        <x:v>满足本层级的结构与现实证据要求。</x:v>
      </x:c>
      <x:c r="J176" s="24" t="str">
        <x:v>证据不足或被高估。</x:v>
      </x:c>
      <x:c r="K176" s="24" t="str">
        <x:v>由共享基础引擎提供；仅修正保护功能的承载、持续调用和压力状态下的稳定性，不直接等同成熟度、道德或现实行为。</x:v>
      </x:c>
      <x:c r="L176" s="24" t="str">
        <x:v>由M1／M2接口提供；夫妻星、心动原型和关系门槛只说明关系议题，不单独证明保护因素已经被调用或有效。</x:v>
      </x:c>
      <x:c r="M176" s="24" t="str">
        <x:v>由M3-BASE及M4各模块提供；日支、日柱近位可提高与亲密关系核心的相关性，但同一source_id不得重复计分。</x:v>
      </x:c>
      <x:c r="N176" s="24" t="str">
        <x:v>保护因素必须明确限制过用、补足缺位、恢复顺序、打开反馈、落实改变或完成修复回流；不能只凭五行相生补写现实效果。</x:v>
      </x:c>
      <x:c r="O176" s="24" t="str">
        <x:v>近位提高进入亲密关系核心的概率；远位只作背景、阶段或条件性修正。</x:v>
      </x:c>
      <x:c r="P176" s="24" t="str">
        <x:v>根气只修正该保护功能是否容易重复调用，不等于现实中已经形成稳定保护。</x:v>
      </x:c>
      <x:c r="Q176" s="24" t="str">
        <x:v>旺弱只修正调用强度与承载；强不自动有效，弱也不自动无效。</x:v>
      </x:c>
      <x:c r="R176" s="24" t="str">
        <x:v>喜忌只修正摩擦、平衡与承载，不可直接翻译为好坏、成熟度或解决方案。</x:v>
      </x:c>
      <x:c r="S176" s="24" t="str">
        <x:v>原十神功能有效；真合化成立时按化神功能替换，合化争议时停止定性。</x:v>
      </x:c>
      <x:c r="T176" s="24" t="str">
        <x:v>近位提高直接相关性；远位仅保留背景、阶段或低置信修正。</x:v>
      </x:c>
      <x:c r="U176" s="24" t="str">
        <x:v>96</x:v>
      </x:c>
      <x:c r="V176" s="24" t="str">
        <x:v>层级判定</x:v>
      </x:c>
      <x:c r="W176" s="24" t="str">
        <x:v>buffer_level</x:v>
      </x:c>
      <x:c r="X176" s="24" t="str">
        <x:v>一次事件中保护因素明确改变了风险链。</x:v>
      </x:c>
      <x:c r="Y176" s="24" t="str">
        <x:v>这项方法在这次事件里确实改变了处理顺序或结果，但稳定性仍需继续观察。</x:v>
      </x:c>
      <x:c r="Z176" s="24" t="str">
        <x:v>不得仅凭本规则断定问题已经解决、关系必然稳定、用户一定成熟、某十神天然是“药”、喜用神自动等于解决办法，或淡化暴力、强迫与现实伤害；现实行为、反例、安全事实和专业支持优先。</x:v>
      </x:c>
      <x:c r="AA176" s="24" t="str">
        <x:v>高</x:v>
      </x:c>
      <x:c r="AB176" s="24" t="str">
        <x:v>待验证</x:v>
      </x:c>
      <x:c r="AC176" s="24" t="str"/>
      <x:c r="AD176" s="24" t="str">
        <x:v>provisional=true；保护因素的现实有效性必须由可观察行为、反馈和持续结果验证。</x:v>
      </x:c>
      <x:c r="AE176" s="24" t="str">
        <x:v>0.8</x:v>
      </x:c>
    </x:row>
    <x:row r="177" ht="52" customHeight="1">
      <x:c r="A177" s="24" t="str">
        <x:v>M4-BUFFER-176</x:v>
      </x:c>
      <x:c r="B177" s="24" t="str">
        <x:v>BL5 单次实际有效｜证据要求</x:v>
      </x:c>
      <x:c r="C177" s="24" t="str">
        <x:v>L3 BL0—BL7保护有效层级</x:v>
      </x:c>
      <x:c r="D177" s="24" t="str">
        <x:v>BUFFER-保护层级</x:v>
      </x:c>
      <x:c r="E177" s="24" t="str">
        <x:v>通用</x:v>
      </x:c>
      <x:c r="F177" s="24" t="str">
        <x:v>证据</x:v>
      </x:c>
      <x:c r="G177" s="24" t="str">
        <x:v>BL5 单次实际有效</x:v>
      </x:c>
      <x:c r="H177" s="24" t="str">
        <x:v>明确进入本层级所需证据。</x:v>
      </x:c>
      <x:c r="I177" s="24" t="str">
        <x:v>一次事件中保护因素明确改变了风险链。</x:v>
      </x:c>
      <x:c r="J177" s="24" t="str">
        <x:v>只有同源重复、标签或主观推测。</x:v>
      </x:c>
      <x:c r="K177" s="24" t="str">
        <x:v>由共享基础引擎提供；仅修正保护功能的承载、持续调用和压力状态下的稳定性，不直接等同成熟度、道德或现实行为。</x:v>
      </x:c>
      <x:c r="L177" s="24" t="str">
        <x:v>由M1／M2接口提供；夫妻星、心动原型和关系门槛只说明关系议题，不单独证明保护因素已经被调用或有效。</x:v>
      </x:c>
      <x:c r="M177" s="24" t="str">
        <x:v>由M3-BASE及M4各模块提供；日支、日柱近位可提高与亲密关系核心的相关性，但同一source_id不得重复计分。</x:v>
      </x:c>
      <x:c r="N177" s="24" t="str">
        <x:v>保护因素必须明确限制过用、补足缺位、恢复顺序、打开反馈、落实改变或完成修复回流；不能只凭五行相生补写现实效果。</x:v>
      </x:c>
      <x:c r="O177" s="24" t="str">
        <x:v>近位提高进入亲密关系核心的概率；远位只作背景、阶段或条件性修正。</x:v>
      </x:c>
      <x:c r="P177" s="24" t="str">
        <x:v>根气只修正该保护功能是否容易重复调用，不等于现实中已经形成稳定保护。</x:v>
      </x:c>
      <x:c r="Q177" s="24" t="str">
        <x:v>旺弱只修正调用强度与承载；强不自动有效，弱也不自动无效。</x:v>
      </x:c>
      <x:c r="R177" s="24" t="str">
        <x:v>喜忌只修正摩擦、平衡与承载，不可直接翻译为好坏、成熟度或解决方案。</x:v>
      </x:c>
      <x:c r="S177" s="24" t="str">
        <x:v>原十神功能有效；真合化成立时按化神功能替换，合化争议时停止定性。</x:v>
      </x:c>
      <x:c r="T177" s="24" t="str">
        <x:v>近位提高直接相关性；远位仅保留背景、阶段或低置信修正。</x:v>
      </x:c>
      <x:c r="U177" s="24" t="str">
        <x:v>94</x:v>
      </x:c>
      <x:c r="V177" s="24" t="str">
        <x:v>证据门槛</x:v>
      </x:c>
      <x:c r="W177" s="24" t="str">
        <x:v>buffer_evidence</x:v>
      </x:c>
      <x:c r="X177" s="24" t="str">
        <x:v>BL5要求：一次事件中保护因素明确改变了风险链。</x:v>
      </x:c>
      <x:c r="Y177" s="24" t="str">
        <x:v>要达到这一层，需要看到：一次事件中保护因素明确改变了风险链。</x:v>
      </x:c>
      <x:c r="Z177" s="24" t="str">
        <x:v>不得仅凭本规则断定问题已经解决、关系必然稳定、用户一定成熟、某十神天然是“药”、喜用神自动等于解决办法，或淡化暴力、强迫与现实伤害；现实行为、反例、安全事实和专业支持优先。</x:v>
      </x:c>
      <x:c r="AA177" s="24" t="str">
        <x:v>中高</x:v>
      </x:c>
      <x:c r="AB177" s="24" t="str">
        <x:v>待验证</x:v>
      </x:c>
      <x:c r="AC177" s="24" t="str"/>
      <x:c r="AD177" s="24" t="str">
        <x:v>provisional=true；保护因素的现实有效性必须由可观察行为、反馈和持续结果验证。</x:v>
      </x:c>
      <x:c r="AE177" s="24" t="str">
        <x:v>0.8</x:v>
      </x:c>
    </x:row>
    <x:row r="178" ht="52" customHeight="1">
      <x:c r="A178" s="24" t="str">
        <x:v>M4-BUFFER-177</x:v>
      </x:c>
      <x:c r="B178" s="24" t="str">
        <x:v>BL5 单次实际有效｜发布上限</x:v>
      </x:c>
      <x:c r="C178" s="24" t="str">
        <x:v>L3 BL0—BL7保护有效层级</x:v>
      </x:c>
      <x:c r="D178" s="24" t="str">
        <x:v>BUFFER-保护层级</x:v>
      </x:c>
      <x:c r="E178" s="24" t="str">
        <x:v>通用</x:v>
      </x:c>
      <x:c r="F178" s="24" t="str">
        <x:v>发布边界</x:v>
      </x:c>
      <x:c r="G178" s="24" t="str">
        <x:v>BL5 单次实际有效</x:v>
      </x:c>
      <x:c r="H178" s="24" t="str">
        <x:v>限制用户报告措辞。</x:v>
      </x:c>
      <x:c r="I178" s="24" t="str">
        <x:v>已经完成本层级证据门控。</x:v>
      </x:c>
      <x:c r="J178" s="24" t="str">
        <x:v>用低层级证据发布更强结论。</x:v>
      </x:c>
      <x:c r="K178" s="24" t="str">
        <x:v>由共享基础引擎提供；仅修正保护功能的承载、持续调用和压力状态下的稳定性，不直接等同成熟度、道德或现实行为。</x:v>
      </x:c>
      <x:c r="L178" s="24" t="str">
        <x:v>由M1／M2接口提供；夫妻星、心动原型和关系门槛只说明关系议题，不单独证明保护因素已经被调用或有效。</x:v>
      </x:c>
      <x:c r="M178" s="24" t="str">
        <x:v>由M3-BASE及M4各模块提供；日支、日柱近位可提高与亲密关系核心的相关性，但同一source_id不得重复计分。</x:v>
      </x:c>
      <x:c r="N178" s="24" t="str">
        <x:v>保护因素必须明确限制过用、补足缺位、恢复顺序、打开反馈、落实改变或完成修复回流；不能只凭五行相生补写现实效果。</x:v>
      </x:c>
      <x:c r="O178" s="24" t="str">
        <x:v>近位提高进入亲密关系核心的概率；远位只作背景、阶段或条件性修正。</x:v>
      </x:c>
      <x:c r="P178" s="24" t="str">
        <x:v>根气只修正该保护功能是否容易重复调用，不等于现实中已经形成稳定保护。</x:v>
      </x:c>
      <x:c r="Q178" s="24" t="str">
        <x:v>旺弱只修正调用强度与承载；强不自动有效，弱也不自动无效。</x:v>
      </x:c>
      <x:c r="R178" s="24" t="str">
        <x:v>喜忌只修正摩擦、平衡与承载，不可直接翻译为好坏、成熟度或解决方案。</x:v>
      </x:c>
      <x:c r="S178" s="24" t="str">
        <x:v>原十神功能有效；真合化成立时按化神功能替换，合化争议时停止定性。</x:v>
      </x:c>
      <x:c r="T178" s="24" t="str">
        <x:v>近位提高直接相关性；远位仅保留背景、阶段或低置信修正。</x:v>
      </x:c>
      <x:c r="U178" s="24" t="str">
        <x:v>99</x:v>
      </x:c>
      <x:c r="V178" s="24" t="str">
        <x:v>封顶</x:v>
      </x:c>
      <x:c r="W178" s="24" t="str">
        <x:v>report_status</x:v>
      </x:c>
      <x:c r="X178" s="24" t="str">
        <x:v>可降低该事件的风险结论，并写出具体有效节点。</x:v>
      </x:c>
      <x:c r="Y178" s="24" t="str">
        <x:v>这一层最多可以说明：可降低该事件的风险结论，并写出具体有效节点。</x:v>
      </x:c>
      <x:c r="Z178" s="24" t="str">
        <x:v>不得仅凭本规则断定问题已经解决、关系必然稳定、用户一定成熟、某十神天然是“药”、喜用神自动等于解决办法，或淡化暴力、强迫与现实伤害；现实行为、反例、安全事实和专业支持优先。</x:v>
      </x:c>
      <x:c r="AA178" s="24" t="str">
        <x:v>高</x:v>
      </x:c>
      <x:c r="AB178" s="24" t="str">
        <x:v>待验证</x:v>
      </x:c>
      <x:c r="AC178" s="24" t="str"/>
      <x:c r="AD178" s="24" t="str">
        <x:v>provisional=true；保护因素的现实有效性必须由可观察行为、反馈和持续结果验证。</x:v>
      </x:c>
      <x:c r="AE178" s="24" t="str">
        <x:v>0.8</x:v>
      </x:c>
    </x:row>
    <x:row r="179" ht="52" customHeight="1">
      <x:c r="A179" s="24" t="str">
        <x:v>M4-BUFFER-178</x:v>
      </x:c>
      <x:c r="B179" s="24" t="str">
        <x:v>BL5 单次实际有效｜升级条件</x:v>
      </x:c>
      <x:c r="C179" s="24" t="str">
        <x:v>L3 BL0—BL7保护有效层级</x:v>
      </x:c>
      <x:c r="D179" s="24" t="str">
        <x:v>BUFFER-保护层级</x:v>
      </x:c>
      <x:c r="E179" s="24" t="str">
        <x:v>通用</x:v>
      </x:c>
      <x:c r="F179" s="24" t="str">
        <x:v>升级</x:v>
      </x:c>
      <x:c r="G179" s="24" t="str">
        <x:v>BL5 单次实际有效</x:v>
      </x:c>
      <x:c r="H179" s="24" t="str">
        <x:v>说明如何从当前层级升级。</x:v>
      </x:c>
      <x:c r="I179" s="24" t="str">
        <x:v>当前层级成立，并补齐下一层所需的独立证据。</x:v>
      </x:c>
      <x:c r="J179" s="24" t="str">
        <x:v>只增加同一source_id或同一event_id的描述。</x:v>
      </x:c>
      <x:c r="K179" s="24" t="str">
        <x:v>由共享基础引擎提供；仅修正保护功能的承载、持续调用和压力状态下的稳定性，不直接等同成熟度、道德或现实行为。</x:v>
      </x:c>
      <x:c r="L179" s="24" t="str">
        <x:v>由M1／M2接口提供；夫妻星、心动原型和关系门槛只说明关系议题，不单独证明保护因素已经被调用或有效。</x:v>
      </x:c>
      <x:c r="M179" s="24" t="str">
        <x:v>由M3-BASE及M4各模块提供；日支、日柱近位可提高与亲密关系核心的相关性，但同一source_id不得重复计分。</x:v>
      </x:c>
      <x:c r="N179" s="24" t="str">
        <x:v>保护因素必须明确限制过用、补足缺位、恢复顺序、打开反馈、落实改变或完成修复回流；不能只凭五行相生补写现实效果。</x:v>
      </x:c>
      <x:c r="O179" s="24" t="str">
        <x:v>近位提高进入亲密关系核心的概率；远位只作背景、阶段或条件性修正。</x:v>
      </x:c>
      <x:c r="P179" s="24" t="str">
        <x:v>根气只修正该保护功能是否容易重复调用，不等于现实中已经形成稳定保护。</x:v>
      </x:c>
      <x:c r="Q179" s="24" t="str">
        <x:v>旺弱只修正调用强度与承载；强不自动有效，弱也不自动无效。</x:v>
      </x:c>
      <x:c r="R179" s="24" t="str">
        <x:v>喜忌只修正摩擦、平衡与承载，不可直接翻译为好坏、成熟度或解决方案。</x:v>
      </x:c>
      <x:c r="S179" s="24" t="str">
        <x:v>原十神功能有效；真合化成立时按化神功能替换，合化争议时停止定性。</x:v>
      </x:c>
      <x:c r="T179" s="24" t="str">
        <x:v>近位提高直接相关性；远位仅保留背景、阶段或低置信修正。</x:v>
      </x:c>
      <x:c r="U179" s="24" t="str">
        <x:v>89</x:v>
      </x:c>
      <x:c r="V179" s="24" t="str">
        <x:v>满足则升级</x:v>
      </x:c>
      <x:c r="W179" s="24" t="str">
        <x:v>upgrade_condition</x:v>
      </x:c>
      <x:c r="X179" s="24" t="str">
        <x:v>在另一相似或不同情境中验证。</x:v>
      </x:c>
      <x:c r="Y179" s="24" t="str">
        <x:v>若要进一步确认，需要：在另一相似或不同情境中验证。</x:v>
      </x:c>
      <x:c r="Z179" s="24" t="str">
        <x:v>不得仅凭本规则断定问题已经解决、关系必然稳定、用户一定成熟、某十神天然是“药”、喜用神自动等于解决办法，或淡化暴力、强迫与现实伤害；现实行为、反例、安全事实和专业支持优先。</x:v>
      </x:c>
      <x:c r="AA179" s="24" t="str">
        <x:v>中高</x:v>
      </x:c>
      <x:c r="AB179" s="24" t="str">
        <x:v>待验证</x:v>
      </x:c>
      <x:c r="AC179" s="24" t="str"/>
      <x:c r="AD179" s="24" t="str">
        <x:v>provisional=true；保护因素的现实有效性必须由可观察行为、反馈和持续结果验证。</x:v>
      </x:c>
      <x:c r="AE179" s="24" t="str">
        <x:v>0.8</x:v>
      </x:c>
    </x:row>
    <x:row r="180" ht="52" customHeight="1">
      <x:c r="A180" s="24" t="str">
        <x:v>M4-BUFFER-179</x:v>
      </x:c>
      <x:c r="B180" s="24" t="str">
        <x:v>BL5 单次实际有效｜降级／停止条件</x:v>
      </x:c>
      <x:c r="C180" s="24" t="str">
        <x:v>L3 BL0—BL7保护有效层级</x:v>
      </x:c>
      <x:c r="D180" s="24" t="str">
        <x:v>BUFFER-保护层级</x:v>
      </x:c>
      <x:c r="E180" s="24" t="str">
        <x:v>通用</x:v>
      </x:c>
      <x:c r="F180" s="24" t="str">
        <x:v>降级</x:v>
      </x:c>
      <x:c r="G180" s="24" t="str">
        <x:v>BL5 单次实际有效</x:v>
      </x:c>
      <x:c r="H180" s="24" t="str">
        <x:v>说明何时需要降低保护等级。</x:v>
      </x:c>
      <x:c r="I180" s="24" t="str">
        <x:v>若效果仅来自偶然、对方单方面配合或环境特殊，保持条件化。</x:v>
      </x:c>
      <x:c r="J180" s="24" t="str">
        <x:v>存在跨情境稳定有效的现实证据。</x:v>
      </x:c>
      <x:c r="K180" s="24" t="str">
        <x:v>由共享基础引擎提供；仅修正保护功能的承载、持续调用和压力状态下的稳定性，不直接等同成熟度、道德或现实行为。</x:v>
      </x:c>
      <x:c r="L180" s="24" t="str">
        <x:v>由M1／M2接口提供；夫妻星、心动原型和关系门槛只说明关系议题，不单独证明保护因素已经被调用或有效。</x:v>
      </x:c>
      <x:c r="M180" s="24" t="str">
        <x:v>由M3-BASE及M4各模块提供；日支、日柱近位可提高与亲密关系核心的相关性，但同一source_id不得重复计分。</x:v>
      </x:c>
      <x:c r="N180" s="24" t="str">
        <x:v>保护因素必须明确限制过用、补足缺位、恢复顺序、打开反馈、落实改变或完成修复回流；不能只凭五行相生补写现实效果。</x:v>
      </x:c>
      <x:c r="O180" s="24" t="str">
        <x:v>近位提高进入亲密关系核心的概率；远位只作背景、阶段或条件性修正。</x:v>
      </x:c>
      <x:c r="P180" s="24" t="str">
        <x:v>根气只修正该保护功能是否容易重复调用，不等于现实中已经形成稳定保护。</x:v>
      </x:c>
      <x:c r="Q180" s="24" t="str">
        <x:v>旺弱只修正调用强度与承载；强不自动有效，弱也不自动无效。</x:v>
      </x:c>
      <x:c r="R180" s="24" t="str">
        <x:v>喜忌只修正摩擦、平衡与承载，不可直接翻译为好坏、成熟度或解决方案。</x:v>
      </x:c>
      <x:c r="S180" s="24" t="str">
        <x:v>原十神功能有效；真合化成立时按化神功能替换，合化争议时停止定性。</x:v>
      </x:c>
      <x:c r="T180" s="24" t="str">
        <x:v>近位提高直接相关性；远位仅保留背景、阶段或低置信修正。</x:v>
      </x:c>
      <x:c r="U180" s="24" t="str">
        <x:v>97</x:v>
      </x:c>
      <x:c r="V180" s="24" t="str">
        <x:v>触发则降级</x:v>
      </x:c>
      <x:c r="W180" s="24" t="str">
        <x:v>downgrade_condition</x:v>
      </x:c>
      <x:c r="X180" s="24" t="str">
        <x:v>若效果仅来自偶然、对方单方面配合或环境特殊，保持条件化。</x:v>
      </x:c>
      <x:c r="Y180" s="24" t="str">
        <x:v>若出现以下情况，应降低判断：若效果仅来自偶然、对方单方面配合或环境特殊，保持条件化。</x:v>
      </x:c>
      <x:c r="Z180" s="24" t="str">
        <x:v>不得仅凭本规则断定问题已经解决、关系必然稳定、用户一定成熟、某十神天然是“药”、喜用神自动等于解决办法，或淡化暴力、强迫与现实伤害；现实行为、反例、安全事实和专业支持优先。</x:v>
      </x:c>
      <x:c r="AA180" s="24" t="str">
        <x:v>高</x:v>
      </x:c>
      <x:c r="AB180" s="24" t="str">
        <x:v>待验证</x:v>
      </x:c>
      <x:c r="AC180" s="24" t="str"/>
      <x:c r="AD180" s="24" t="str">
        <x:v>provisional=true；保护因素的现实有效性必须由可观察行为、反馈和持续结果验证。</x:v>
      </x:c>
      <x:c r="AE180" s="24" t="str">
        <x:v>0.8</x:v>
      </x:c>
    </x:row>
    <x:row r="181" ht="52" customHeight="1">
      <x:c r="A181" s="24" t="str">
        <x:v>M4-BUFFER-180</x:v>
      </x:c>
      <x:c r="B181" s="24" t="str">
        <x:v>BL5 单次实际有效｜用户输出</x:v>
      </x:c>
      <x:c r="C181" s="24" t="str">
        <x:v>L3 BL0—BL7保护有效层级</x:v>
      </x:c>
      <x:c r="D181" s="24" t="str">
        <x:v>BUFFER-保护层级</x:v>
      </x:c>
      <x:c r="E181" s="24" t="str">
        <x:v>通用</x:v>
      </x:c>
      <x:c r="F181" s="24" t="str">
        <x:v>语言</x:v>
      </x:c>
      <x:c r="G181" s="24" t="str">
        <x:v>BL5 单次实际有效</x:v>
      </x:c>
      <x:c r="H181" s="24" t="str">
        <x:v>生成对应层级的用户语言。</x:v>
      </x:c>
      <x:c r="I181" s="24" t="str">
        <x:v>本层级已经成立。</x:v>
      </x:c>
      <x:c r="J181" s="24" t="str">
        <x:v>层级未成立或存在安全停止。</x:v>
      </x:c>
      <x:c r="K181" s="24" t="str">
        <x:v>由共享基础引擎提供；仅修正保护功能的承载、持续调用和压力状态下的稳定性，不直接等同成熟度、道德或现实行为。</x:v>
      </x:c>
      <x:c r="L181" s="24" t="str">
        <x:v>由M1／M2接口提供；夫妻星、心动原型和关系门槛只说明关系议题，不单独证明保护因素已经被调用或有效。</x:v>
      </x:c>
      <x:c r="M181" s="24" t="str">
        <x:v>由M3-BASE及M4各模块提供；日支、日柱近位可提高与亲密关系核心的相关性，但同一source_id不得重复计分。</x:v>
      </x:c>
      <x:c r="N181" s="24" t="str">
        <x:v>保护因素必须明确限制过用、补足缺位、恢复顺序、打开反馈、落实改变或完成修复回流；不能只凭五行相生补写现实效果。</x:v>
      </x:c>
      <x:c r="O181" s="24" t="str">
        <x:v>近位提高进入亲密关系核心的概率；远位只作背景、阶段或条件性修正。</x:v>
      </x:c>
      <x:c r="P181" s="24" t="str">
        <x:v>根气只修正该保护功能是否容易重复调用，不等于现实中已经形成稳定保护。</x:v>
      </x:c>
      <x:c r="Q181" s="24" t="str">
        <x:v>旺弱只修正调用强度与承载；强不自动有效，弱也不自动无效。</x:v>
      </x:c>
      <x:c r="R181" s="24" t="str">
        <x:v>喜忌只修正摩擦、平衡与承载，不可直接翻译为好坏、成熟度或解决方案。</x:v>
      </x:c>
      <x:c r="S181" s="24" t="str">
        <x:v>原十神功能有效；真合化成立时按化神功能替换，合化争议时停止定性。</x:v>
      </x:c>
      <x:c r="T181" s="24" t="str">
        <x:v>近位提高直接相关性；远位仅保留背景、阶段或低置信修正。</x:v>
      </x:c>
      <x:c r="U181" s="24" t="str">
        <x:v>84</x:v>
      </x:c>
      <x:c r="V181" s="24" t="str">
        <x:v>不加分；输出</x:v>
      </x:c>
      <x:c r="W181" s="24" t="str">
        <x:v>report_text</x:v>
      </x:c>
      <x:c r="X181" s="24" t="str">
        <x:v>一次事件中保护因素明确改变了风险链。</x:v>
      </x:c>
      <x:c r="Y181" s="24" t="str">
        <x:v>这项方法在这次事件里确实改变了处理顺序或结果，但稳定性仍需继续观察。</x:v>
      </x:c>
      <x:c r="Z181" s="24" t="str">
        <x:v>不得仅凭本规则断定问题已经解决、关系必然稳定、用户一定成熟、某十神天然是“药”、喜用神自动等于解决办法，或淡化暴力、强迫与现实伤害；现实行为、反例、安全事实和专业支持优先。</x:v>
      </x:c>
      <x:c r="AA181" s="24" t="str">
        <x:v>中高</x:v>
      </x:c>
      <x:c r="AB181" s="24" t="str">
        <x:v>待验证</x:v>
      </x:c>
      <x:c r="AC181" s="24" t="str"/>
      <x:c r="AD181" s="24" t="str">
        <x:v>provisional=true；保护因素的现实有效性必须由可观察行为、反馈和持续结果验证。</x:v>
      </x:c>
      <x:c r="AE181" s="24" t="str">
        <x:v>0.8</x:v>
      </x:c>
    </x:row>
    <x:row r="182" ht="52" customHeight="1">
      <x:c r="A182" s="24" t="str">
        <x:v>M4-BUFFER-181</x:v>
      </x:c>
      <x:c r="B182" s="24" t="str">
        <x:v>BL6 跨情境稳定有效｜层级定义</x:v>
      </x:c>
      <x:c r="C182" s="24" t="str">
        <x:v>L3 BL0—BL7保护有效层级</x:v>
      </x:c>
      <x:c r="D182" s="24" t="str">
        <x:v>BUFFER-保护层级</x:v>
      </x:c>
      <x:c r="E182" s="24" t="str">
        <x:v>通用</x:v>
      </x:c>
      <x:c r="F182" s="24" t="str">
        <x:v>定义</x:v>
      </x:c>
      <x:c r="G182" s="24" t="str">
        <x:v>BL6 跨情境稳定有效</x:v>
      </x:c>
      <x:c r="H182" s="24" t="str">
        <x:v>定义保护有效性的证据层级。</x:v>
      </x:c>
      <x:c r="I182" s="24" t="str">
        <x:v>满足本层级的结构与现实证据要求。</x:v>
      </x:c>
      <x:c r="J182" s="24" t="str">
        <x:v>证据不足或被高估。</x:v>
      </x:c>
      <x:c r="K182" s="24" t="str">
        <x:v>由共享基础引擎提供；仅修正保护功能的承载、持续调用和压力状态下的稳定性，不直接等同成熟度、道德或现实行为。</x:v>
      </x:c>
      <x:c r="L182" s="24" t="str">
        <x:v>由M1／M2接口提供；夫妻星、心动原型和关系门槛只说明关系议题，不单独证明保护因素已经被调用或有效。</x:v>
      </x:c>
      <x:c r="M182" s="24" t="str">
        <x:v>由M3-BASE及M4各模块提供；日支、日柱近位可提高与亲密关系核心的相关性，但同一source_id不得重复计分。</x:v>
      </x:c>
      <x:c r="N182" s="24" t="str">
        <x:v>保护因素必须明确限制过用、补足缺位、恢复顺序、打开反馈、落实改变或完成修复回流；不能只凭五行相生补写现实效果。</x:v>
      </x:c>
      <x:c r="O182" s="24" t="str">
        <x:v>近位提高进入亲密关系核心的概率；远位只作背景、阶段或条件性修正。</x:v>
      </x:c>
      <x:c r="P182" s="24" t="str">
        <x:v>根气只修正该保护功能是否容易重复调用，不等于现实中已经形成稳定保护。</x:v>
      </x:c>
      <x:c r="Q182" s="24" t="str">
        <x:v>旺弱只修正调用强度与承载；强不自动有效，弱也不自动无效。</x:v>
      </x:c>
      <x:c r="R182" s="24" t="str">
        <x:v>喜忌只修正摩擦、平衡与承载，不可直接翻译为好坏、成熟度或解决方案。</x:v>
      </x:c>
      <x:c r="S182" s="24" t="str">
        <x:v>原十神功能有效；真合化成立时按化神功能替换，合化争议时停止定性。</x:v>
      </x:c>
      <x:c r="T182" s="24" t="str">
        <x:v>近位提高直接相关性；远位仅保留背景、阶段或低置信修正。</x:v>
      </x:c>
      <x:c r="U182" s="24" t="str">
        <x:v>96</x:v>
      </x:c>
      <x:c r="V182" s="24" t="str">
        <x:v>层级判定</x:v>
      </x:c>
      <x:c r="W182" s="24" t="str">
        <x:v>buffer_level</x:v>
      </x:c>
      <x:c r="X182" s="24" t="str">
        <x:v>至少两个独立事件或不同情境中重复有效，并有接收方反馈。</x:v>
      </x:c>
      <x:c r="Y182" s="24" t="str">
        <x:v>从多次经历看，这项资源能够在不同情境中稳定发挥保护作用。</x:v>
      </x:c>
      <x:c r="Z182" s="24" t="str">
        <x:v>不得仅凭本规则断定问题已经解决、关系必然稳定、用户一定成熟、某十神天然是“药”、喜用神自动等于解决办法，或淡化暴力、强迫与现实伤害；现实行为、反例、安全事实和专业支持优先。</x:v>
      </x:c>
      <x:c r="AA182" s="24" t="str">
        <x:v>高</x:v>
      </x:c>
      <x:c r="AB182" s="24" t="str">
        <x:v>待验证</x:v>
      </x:c>
      <x:c r="AC182" s="24" t="str"/>
      <x:c r="AD182" s="24" t="str">
        <x:v>provisional=true；保护因素的现实有效性必须由可观察行为、反馈和持续结果验证。</x:v>
      </x:c>
      <x:c r="AE182" s="24" t="str">
        <x:v>0.8</x:v>
      </x:c>
    </x:row>
    <x:row r="183" ht="52" customHeight="1">
      <x:c r="A183" s="24" t="str">
        <x:v>M4-BUFFER-182</x:v>
      </x:c>
      <x:c r="B183" s="24" t="str">
        <x:v>BL6 跨情境稳定有效｜证据要求</x:v>
      </x:c>
      <x:c r="C183" s="24" t="str">
        <x:v>L3 BL0—BL7保护有效层级</x:v>
      </x:c>
      <x:c r="D183" s="24" t="str">
        <x:v>BUFFER-保护层级</x:v>
      </x:c>
      <x:c r="E183" s="24" t="str">
        <x:v>通用</x:v>
      </x:c>
      <x:c r="F183" s="24" t="str">
        <x:v>证据</x:v>
      </x:c>
      <x:c r="G183" s="24" t="str">
        <x:v>BL6 跨情境稳定有效</x:v>
      </x:c>
      <x:c r="H183" s="24" t="str">
        <x:v>明确进入本层级所需证据。</x:v>
      </x:c>
      <x:c r="I183" s="24" t="str">
        <x:v>至少两个独立事件或不同情境中重复有效，并有接收方反馈。</x:v>
      </x:c>
      <x:c r="J183" s="24" t="str">
        <x:v>只有同源重复、标签或主观推测。</x:v>
      </x:c>
      <x:c r="K183" s="24" t="str">
        <x:v>由共享基础引擎提供；仅修正保护功能的承载、持续调用和压力状态下的稳定性，不直接等同成熟度、道德或现实行为。</x:v>
      </x:c>
      <x:c r="L183" s="24" t="str">
        <x:v>由M1／M2接口提供；夫妻星、心动原型和关系门槛只说明关系议题，不单独证明保护因素已经被调用或有效。</x:v>
      </x:c>
      <x:c r="M183" s="24" t="str">
        <x:v>由M3-BASE及M4各模块提供；日支、日柱近位可提高与亲密关系核心的相关性，但同一source_id不得重复计分。</x:v>
      </x:c>
      <x:c r="N183" s="24" t="str">
        <x:v>保护因素必须明确限制过用、补足缺位、恢复顺序、打开反馈、落实改变或完成修复回流；不能只凭五行相生补写现实效果。</x:v>
      </x:c>
      <x:c r="O183" s="24" t="str">
        <x:v>近位提高进入亲密关系核心的概率；远位只作背景、阶段或条件性修正。</x:v>
      </x:c>
      <x:c r="P183" s="24" t="str">
        <x:v>根气只修正该保护功能是否容易重复调用，不等于现实中已经形成稳定保护。</x:v>
      </x:c>
      <x:c r="Q183" s="24" t="str">
        <x:v>旺弱只修正调用强度与承载；强不自动有效，弱也不自动无效。</x:v>
      </x:c>
      <x:c r="R183" s="24" t="str">
        <x:v>喜忌只修正摩擦、平衡与承载，不可直接翻译为好坏、成熟度或解决方案。</x:v>
      </x:c>
      <x:c r="S183" s="24" t="str">
        <x:v>原十神功能有效；真合化成立时按化神功能替换，合化争议时停止定性。</x:v>
      </x:c>
      <x:c r="T183" s="24" t="str">
        <x:v>近位提高直接相关性；远位仅保留背景、阶段或低置信修正。</x:v>
      </x:c>
      <x:c r="U183" s="24" t="str">
        <x:v>94</x:v>
      </x:c>
      <x:c r="V183" s="24" t="str">
        <x:v>证据门槛</x:v>
      </x:c>
      <x:c r="W183" s="24" t="str">
        <x:v>buffer_evidence</x:v>
      </x:c>
      <x:c r="X183" s="24" t="str">
        <x:v>BL6要求：至少两个独立事件或不同情境中重复有效，并有接收方反馈。</x:v>
      </x:c>
      <x:c r="Y183" s="24" t="str">
        <x:v>要达到这一层，需要看到：至少两个独立事件或不同情境中重复有效，并有接收方反馈。</x:v>
      </x:c>
      <x:c r="Z183" s="24" t="str">
        <x:v>不得仅凭本规则断定问题已经解决、关系必然稳定、用户一定成熟、某十神天然是“药”、喜用神自动等于解决办法，或淡化暴力、强迫与现实伤害；现实行为、反例、安全事实和专业支持优先。</x:v>
      </x:c>
      <x:c r="AA183" s="24" t="str">
        <x:v>中高</x:v>
      </x:c>
      <x:c r="AB183" s="24" t="str">
        <x:v>待验证</x:v>
      </x:c>
      <x:c r="AC183" s="24" t="str"/>
      <x:c r="AD183" s="24" t="str">
        <x:v>provisional=true；保护因素的现实有效性必须由可观察行为、反馈和持续结果验证。</x:v>
      </x:c>
      <x:c r="AE183" s="24" t="str">
        <x:v>0.8</x:v>
      </x:c>
    </x:row>
    <x:row r="184" ht="52" customHeight="1">
      <x:c r="A184" s="24" t="str">
        <x:v>M4-BUFFER-183</x:v>
      </x:c>
      <x:c r="B184" s="24" t="str">
        <x:v>BL6 跨情境稳定有效｜发布上限</x:v>
      </x:c>
      <x:c r="C184" s="24" t="str">
        <x:v>L3 BL0—BL7保护有效层级</x:v>
      </x:c>
      <x:c r="D184" s="24" t="str">
        <x:v>BUFFER-保护层级</x:v>
      </x:c>
      <x:c r="E184" s="24" t="str">
        <x:v>通用</x:v>
      </x:c>
      <x:c r="F184" s="24" t="str">
        <x:v>发布边界</x:v>
      </x:c>
      <x:c r="G184" s="24" t="str">
        <x:v>BL6 跨情境稳定有效</x:v>
      </x:c>
      <x:c r="H184" s="24" t="str">
        <x:v>限制用户报告措辞。</x:v>
      </x:c>
      <x:c r="I184" s="24" t="str">
        <x:v>已经完成本层级证据门控。</x:v>
      </x:c>
      <x:c r="J184" s="24" t="str">
        <x:v>用低层级证据发布更强结论。</x:v>
      </x:c>
      <x:c r="K184" s="24" t="str">
        <x:v>由共享基础引擎提供；仅修正保护功能的承载、持续调用和压力状态下的稳定性，不直接等同成熟度、道德或现实行为。</x:v>
      </x:c>
      <x:c r="L184" s="24" t="str">
        <x:v>由M1／M2接口提供；夫妻星、心动原型和关系门槛只说明关系议题，不单独证明保护因素已经被调用或有效。</x:v>
      </x:c>
      <x:c r="M184" s="24" t="str">
        <x:v>由M3-BASE及M4各模块提供；日支、日柱近位可提高与亲密关系核心的相关性，但同一source_id不得重复计分。</x:v>
      </x:c>
      <x:c r="N184" s="24" t="str">
        <x:v>保护因素必须明确限制过用、补足缺位、恢复顺序、打开反馈、落实改变或完成修复回流；不能只凭五行相生补写现实效果。</x:v>
      </x:c>
      <x:c r="O184" s="24" t="str">
        <x:v>近位提高进入亲密关系核心的概率；远位只作背景、阶段或条件性修正。</x:v>
      </x:c>
      <x:c r="P184" s="24" t="str">
        <x:v>根气只修正该保护功能是否容易重复调用，不等于现实中已经形成稳定保护。</x:v>
      </x:c>
      <x:c r="Q184" s="24" t="str">
        <x:v>旺弱只修正调用强度与承载；强不自动有效，弱也不自动无效。</x:v>
      </x:c>
      <x:c r="R184" s="24" t="str">
        <x:v>喜忌只修正摩擦、平衡与承载，不可直接翻译为好坏、成熟度或解决方案。</x:v>
      </x:c>
      <x:c r="S184" s="24" t="str">
        <x:v>原十神功能有效；真合化成立时按化神功能替换，合化争议时停止定性。</x:v>
      </x:c>
      <x:c r="T184" s="24" t="str">
        <x:v>近位提高直接相关性；远位仅保留背景、阶段或低置信修正。</x:v>
      </x:c>
      <x:c r="U184" s="24" t="str">
        <x:v>99</x:v>
      </x:c>
      <x:c r="V184" s="24" t="str">
        <x:v>封顶</x:v>
      </x:c>
      <x:c r="W184" s="24" t="str">
        <x:v>report_status</x:v>
      </x:c>
      <x:c r="X184" s="24" t="str">
        <x:v>可作为稳定保护，显著降权相应风险候选。</x:v>
      </x:c>
      <x:c r="Y184" s="24" t="str">
        <x:v>这一层最多可以说明：可作为稳定保护，显著降权相应风险候选。</x:v>
      </x:c>
      <x:c r="Z184" s="24" t="str">
        <x:v>不得仅凭本规则断定问题已经解决、关系必然稳定、用户一定成熟、某十神天然是“药”、喜用神自动等于解决办法，或淡化暴力、强迫与现实伤害；现实行为、反例、安全事实和专业支持优先。</x:v>
      </x:c>
      <x:c r="AA184" s="24" t="str">
        <x:v>高</x:v>
      </x:c>
      <x:c r="AB184" s="24" t="str">
        <x:v>待验证</x:v>
      </x:c>
      <x:c r="AC184" s="24" t="str"/>
      <x:c r="AD184" s="24" t="str">
        <x:v>provisional=true；保护因素的现实有效性必须由可观察行为、反馈和持续结果验证。</x:v>
      </x:c>
      <x:c r="AE184" s="24" t="str">
        <x:v>0.8</x:v>
      </x:c>
    </x:row>
    <x:row r="185" ht="52" customHeight="1">
      <x:c r="A185" s="24" t="str">
        <x:v>M4-BUFFER-184</x:v>
      </x:c>
      <x:c r="B185" s="24" t="str">
        <x:v>BL6 跨情境稳定有效｜升级条件</x:v>
      </x:c>
      <x:c r="C185" s="24" t="str">
        <x:v>L3 BL0—BL7保护有效层级</x:v>
      </x:c>
      <x:c r="D185" s="24" t="str">
        <x:v>BUFFER-保护层级</x:v>
      </x:c>
      <x:c r="E185" s="24" t="str">
        <x:v>通用</x:v>
      </x:c>
      <x:c r="F185" s="24" t="str">
        <x:v>升级</x:v>
      </x:c>
      <x:c r="G185" s="24" t="str">
        <x:v>BL6 跨情境稳定有效</x:v>
      </x:c>
      <x:c r="H185" s="24" t="str">
        <x:v>说明如何从当前层级升级。</x:v>
      </x:c>
      <x:c r="I185" s="24" t="str">
        <x:v>当前层级成立，并补齐下一层所需的独立证据。</x:v>
      </x:c>
      <x:c r="J185" s="24" t="str">
        <x:v>只增加同一source_id或同一event_id的描述。</x:v>
      </x:c>
      <x:c r="K185" s="24" t="str">
        <x:v>由共享基础引擎提供；仅修正保护功能的承载、持续调用和压力状态下的稳定性，不直接等同成熟度、道德或现实行为。</x:v>
      </x:c>
      <x:c r="L185" s="24" t="str">
        <x:v>由M1／M2接口提供；夫妻星、心动原型和关系门槛只说明关系议题，不单独证明保护因素已经被调用或有效。</x:v>
      </x:c>
      <x:c r="M185" s="24" t="str">
        <x:v>由M3-BASE及M4各模块提供；日支、日柱近位可提高与亲密关系核心的相关性，但同一source_id不得重复计分。</x:v>
      </x:c>
      <x:c r="N185" s="24" t="str">
        <x:v>保护因素必须明确限制过用、补足缺位、恢复顺序、打开反馈、落实改变或完成修复回流；不能只凭五行相生补写现实效果。</x:v>
      </x:c>
      <x:c r="O185" s="24" t="str">
        <x:v>近位提高进入亲密关系核心的概率；远位只作背景、阶段或条件性修正。</x:v>
      </x:c>
      <x:c r="P185" s="24" t="str">
        <x:v>根气只修正该保护功能是否容易重复调用，不等于现实中已经形成稳定保护。</x:v>
      </x:c>
      <x:c r="Q185" s="24" t="str">
        <x:v>旺弱只修正调用强度与承载；强不自动有效，弱也不自动无效。</x:v>
      </x:c>
      <x:c r="R185" s="24" t="str">
        <x:v>喜忌只修正摩擦、平衡与承载，不可直接翻译为好坏、成熟度或解决方案。</x:v>
      </x:c>
      <x:c r="S185" s="24" t="str">
        <x:v>原十神功能有效；真合化成立时按化神功能替换，合化争议时停止定性。</x:v>
      </x:c>
      <x:c r="T185" s="24" t="str">
        <x:v>近位提高直接相关性；远位仅保留背景、阶段或低置信修正。</x:v>
      </x:c>
      <x:c r="U185" s="24" t="str">
        <x:v>89</x:v>
      </x:c>
      <x:c r="V185" s="24" t="str">
        <x:v>满足则升级</x:v>
      </x:c>
      <x:c r="W185" s="24" t="str">
        <x:v>upgrade_condition</x:v>
      </x:c>
      <x:c r="X185" s="24" t="str">
        <x:v>继续纳入高压、代价情境和复发检验。</x:v>
      </x:c>
      <x:c r="Y185" s="24" t="str">
        <x:v>若要进一步确认，需要：继续纳入高压、代价情境和复发检验。</x:v>
      </x:c>
      <x:c r="Z185" s="24" t="str">
        <x:v>不得仅凭本规则断定问题已经解决、关系必然稳定、用户一定成熟、某十神天然是“药”、喜用神自动等于解决办法，或淡化暴力、强迫与现实伤害；现实行为、反例、安全事实和专业支持优先。</x:v>
      </x:c>
      <x:c r="AA185" s="24" t="str">
        <x:v>中高</x:v>
      </x:c>
      <x:c r="AB185" s="24" t="str">
        <x:v>待验证</x:v>
      </x:c>
      <x:c r="AC185" s="24" t="str"/>
      <x:c r="AD185" s="24" t="str">
        <x:v>provisional=true；保护因素的现实有效性必须由可观察行为、反馈和持续结果验证。</x:v>
      </x:c>
      <x:c r="AE185" s="24" t="str">
        <x:v>0.8</x:v>
      </x:c>
    </x:row>
    <x:row r="186" ht="52" customHeight="1">
      <x:c r="A186" s="24" t="str">
        <x:v>M4-BUFFER-185</x:v>
      </x:c>
      <x:c r="B186" s="24" t="str">
        <x:v>BL6 跨情境稳定有效｜降级／停止条件</x:v>
      </x:c>
      <x:c r="C186" s="24" t="str">
        <x:v>L3 BL0—BL7保护有效层级</x:v>
      </x:c>
      <x:c r="D186" s="24" t="str">
        <x:v>BUFFER-保护层级</x:v>
      </x:c>
      <x:c r="E186" s="24" t="str">
        <x:v>通用</x:v>
      </x:c>
      <x:c r="F186" s="24" t="str">
        <x:v>降级</x:v>
      </x:c>
      <x:c r="G186" s="24" t="str">
        <x:v>BL6 跨情境稳定有效</x:v>
      </x:c>
      <x:c r="H186" s="24" t="str">
        <x:v>说明何时需要降低保护等级。</x:v>
      </x:c>
      <x:c r="I186" s="24" t="str">
        <x:v>出现稳定无效或反向结果时转为情境化。</x:v>
      </x:c>
      <x:c r="J186" s="24" t="str">
        <x:v>存在跨情境稳定有效的现实证据。</x:v>
      </x:c>
      <x:c r="K186" s="24" t="str">
        <x:v>由共享基础引擎提供；仅修正保护功能的承载、持续调用和压力状态下的稳定性，不直接等同成熟度、道德或现实行为。</x:v>
      </x:c>
      <x:c r="L186" s="24" t="str">
        <x:v>由M1／M2接口提供；夫妻星、心动原型和关系门槛只说明关系议题，不单独证明保护因素已经被调用或有效。</x:v>
      </x:c>
      <x:c r="M186" s="24" t="str">
        <x:v>由M3-BASE及M4各模块提供；日支、日柱近位可提高与亲密关系核心的相关性，但同一source_id不得重复计分。</x:v>
      </x:c>
      <x:c r="N186" s="24" t="str">
        <x:v>保护因素必须明确限制过用、补足缺位、恢复顺序、打开反馈、落实改变或完成修复回流；不能只凭五行相生补写现实效果。</x:v>
      </x:c>
      <x:c r="O186" s="24" t="str">
        <x:v>近位提高进入亲密关系核心的概率；远位只作背景、阶段或条件性修正。</x:v>
      </x:c>
      <x:c r="P186" s="24" t="str">
        <x:v>根气只修正该保护功能是否容易重复调用，不等于现实中已经形成稳定保护。</x:v>
      </x:c>
      <x:c r="Q186" s="24" t="str">
        <x:v>旺弱只修正调用强度与承载；强不自动有效，弱也不自动无效。</x:v>
      </x:c>
      <x:c r="R186" s="24" t="str">
        <x:v>喜忌只修正摩擦、平衡与承载，不可直接翻译为好坏、成熟度或解决方案。</x:v>
      </x:c>
      <x:c r="S186" s="24" t="str">
        <x:v>原十神功能有效；真合化成立时按化神功能替换，合化争议时停止定性。</x:v>
      </x:c>
      <x:c r="T186" s="24" t="str">
        <x:v>近位提高直接相关性；远位仅保留背景、阶段或低置信修正。</x:v>
      </x:c>
      <x:c r="U186" s="24" t="str">
        <x:v>97</x:v>
      </x:c>
      <x:c r="V186" s="24" t="str">
        <x:v>触发则降级</x:v>
      </x:c>
      <x:c r="W186" s="24" t="str">
        <x:v>downgrade_condition</x:v>
      </x:c>
      <x:c r="X186" s="24" t="str">
        <x:v>出现稳定无效或反向结果时转为情境化。</x:v>
      </x:c>
      <x:c r="Y186" s="24" t="str">
        <x:v>若出现以下情况，应降低判断：出现稳定无效或反向结果时转为情境化。</x:v>
      </x:c>
      <x:c r="Z186" s="24" t="str">
        <x:v>不得仅凭本规则断定问题已经解决、关系必然稳定、用户一定成熟、某十神天然是“药”、喜用神自动等于解决办法，或淡化暴力、强迫与现实伤害；现实行为、反例、安全事实和专业支持优先。</x:v>
      </x:c>
      <x:c r="AA186" s="24" t="str">
        <x:v>高</x:v>
      </x:c>
      <x:c r="AB186" s="24" t="str">
        <x:v>待验证</x:v>
      </x:c>
      <x:c r="AC186" s="24" t="str"/>
      <x:c r="AD186" s="24" t="str">
        <x:v>provisional=true；保护因素的现实有效性必须由可观察行为、反馈和持续结果验证。</x:v>
      </x:c>
      <x:c r="AE186" s="24" t="str">
        <x:v>0.8</x:v>
      </x:c>
    </x:row>
    <x:row r="187" ht="52" customHeight="1">
      <x:c r="A187" s="24" t="str">
        <x:v>M4-BUFFER-186</x:v>
      </x:c>
      <x:c r="B187" s="24" t="str">
        <x:v>BL6 跨情境稳定有效｜用户输出</x:v>
      </x:c>
      <x:c r="C187" s="24" t="str">
        <x:v>L3 BL0—BL7保护有效层级</x:v>
      </x:c>
      <x:c r="D187" s="24" t="str">
        <x:v>BUFFER-保护层级</x:v>
      </x:c>
      <x:c r="E187" s="24" t="str">
        <x:v>通用</x:v>
      </x:c>
      <x:c r="F187" s="24" t="str">
        <x:v>语言</x:v>
      </x:c>
      <x:c r="G187" s="24" t="str">
        <x:v>BL6 跨情境稳定有效</x:v>
      </x:c>
      <x:c r="H187" s="24" t="str">
        <x:v>生成对应层级的用户语言。</x:v>
      </x:c>
      <x:c r="I187" s="24" t="str">
        <x:v>本层级已经成立。</x:v>
      </x:c>
      <x:c r="J187" s="24" t="str">
        <x:v>层级未成立或存在安全停止。</x:v>
      </x:c>
      <x:c r="K187" s="24" t="str">
        <x:v>由共享基础引擎提供；仅修正保护功能的承载、持续调用和压力状态下的稳定性，不直接等同成熟度、道德或现实行为。</x:v>
      </x:c>
      <x:c r="L187" s="24" t="str">
        <x:v>由M1／M2接口提供；夫妻星、心动原型和关系门槛只说明关系议题，不单独证明保护因素已经被调用或有效。</x:v>
      </x:c>
      <x:c r="M187" s="24" t="str">
        <x:v>由M3-BASE及M4各模块提供；日支、日柱近位可提高与亲密关系核心的相关性，但同一source_id不得重复计分。</x:v>
      </x:c>
      <x:c r="N187" s="24" t="str">
        <x:v>保护因素必须明确限制过用、补足缺位、恢复顺序、打开反馈、落实改变或完成修复回流；不能只凭五行相生补写现实效果。</x:v>
      </x:c>
      <x:c r="O187" s="24" t="str">
        <x:v>近位提高进入亲密关系核心的概率；远位只作背景、阶段或条件性修正。</x:v>
      </x:c>
      <x:c r="P187" s="24" t="str">
        <x:v>根气只修正该保护功能是否容易重复调用，不等于现实中已经形成稳定保护。</x:v>
      </x:c>
      <x:c r="Q187" s="24" t="str">
        <x:v>旺弱只修正调用强度与承载；强不自动有效，弱也不自动无效。</x:v>
      </x:c>
      <x:c r="R187" s="24" t="str">
        <x:v>喜忌只修正摩擦、平衡与承载，不可直接翻译为好坏、成熟度或解决方案。</x:v>
      </x:c>
      <x:c r="S187" s="24" t="str">
        <x:v>原十神功能有效；真合化成立时按化神功能替换，合化争议时停止定性。</x:v>
      </x:c>
      <x:c r="T187" s="24" t="str">
        <x:v>近位提高直接相关性；远位仅保留背景、阶段或低置信修正。</x:v>
      </x:c>
      <x:c r="U187" s="24" t="str">
        <x:v>84</x:v>
      </x:c>
      <x:c r="V187" s="24" t="str">
        <x:v>不加分；输出</x:v>
      </x:c>
      <x:c r="W187" s="24" t="str">
        <x:v>report_text</x:v>
      </x:c>
      <x:c r="X187" s="24" t="str">
        <x:v>至少两个独立事件或不同情境中重复有效，并有接收方反馈。</x:v>
      </x:c>
      <x:c r="Y187" s="24" t="str">
        <x:v>从多次经历看，这项资源能够在不同情境中稳定发挥保护作用。</x:v>
      </x:c>
      <x:c r="Z187" s="24" t="str">
        <x:v>不得仅凭本规则断定问题已经解决、关系必然稳定、用户一定成熟、某十神天然是“药”、喜用神自动等于解决办法，或淡化暴力、强迫与现实伤害；现实行为、反例、安全事实和专业支持优先。</x:v>
      </x:c>
      <x:c r="AA187" s="24" t="str">
        <x:v>中高</x:v>
      </x:c>
      <x:c r="AB187" s="24" t="str">
        <x:v>待验证</x:v>
      </x:c>
      <x:c r="AC187" s="24" t="str"/>
      <x:c r="AD187" s="24" t="str">
        <x:v>provisional=true；保护因素的现实有效性必须由可观察行为、反馈和持续结果验证。</x:v>
      </x:c>
      <x:c r="AE187" s="24" t="str">
        <x:v>0.8</x:v>
      </x:c>
    </x:row>
    <x:row r="188" ht="52" customHeight="1">
      <x:c r="A188" s="24" t="str">
        <x:v>M4-BUFFER-187</x:v>
      </x:c>
      <x:c r="B188" s="24" t="str">
        <x:v>BL7 经反例检验的稳定保护｜层级定义</x:v>
      </x:c>
      <x:c r="C188" s="24" t="str">
        <x:v>L3 BL0—BL7保护有效层级</x:v>
      </x:c>
      <x:c r="D188" s="24" t="str">
        <x:v>BUFFER-保护层级</x:v>
      </x:c>
      <x:c r="E188" s="24" t="str">
        <x:v>通用</x:v>
      </x:c>
      <x:c r="F188" s="24" t="str">
        <x:v>定义</x:v>
      </x:c>
      <x:c r="G188" s="24" t="str">
        <x:v>BL7 经反例检验的稳定保护</x:v>
      </x:c>
      <x:c r="H188" s="24" t="str">
        <x:v>定义保护有效性的证据层级。</x:v>
      </x:c>
      <x:c r="I188" s="24" t="str">
        <x:v>满足本层级的结构与现实证据要求。</x:v>
      </x:c>
      <x:c r="J188" s="24" t="str">
        <x:v>证据不足或被高估。</x:v>
      </x:c>
      <x:c r="K188" s="24" t="str">
        <x:v>由共享基础引擎提供；仅修正保护功能的承载、持续调用和压力状态下的稳定性，不直接等同成熟度、道德或现实行为。</x:v>
      </x:c>
      <x:c r="L188" s="24" t="str">
        <x:v>由M1／M2接口提供；夫妻星、心动原型和关系门槛只说明关系议题，不单独证明保护因素已经被调用或有效。</x:v>
      </x:c>
      <x:c r="M188" s="24" t="str">
        <x:v>由M3-BASE及M4各模块提供；日支、日柱近位可提高与亲密关系核心的相关性，但同一source_id不得重复计分。</x:v>
      </x:c>
      <x:c r="N188" s="24" t="str">
        <x:v>保护因素必须明确限制过用、补足缺位、恢复顺序、打开反馈、落实改变或完成修复回流；不能只凭五行相生补写现实效果。</x:v>
      </x:c>
      <x:c r="O188" s="24" t="str">
        <x:v>近位提高进入亲密关系核心的概率；远位只作背景、阶段或条件性修正。</x:v>
      </x:c>
      <x:c r="P188" s="24" t="str">
        <x:v>根气只修正该保护功能是否容易重复调用，不等于现实中已经形成稳定保护。</x:v>
      </x:c>
      <x:c r="Q188" s="24" t="str">
        <x:v>旺弱只修正调用强度与承载；强不自动有效，弱也不自动无效。</x:v>
      </x:c>
      <x:c r="R188" s="24" t="str">
        <x:v>喜忌只修正摩擦、平衡与承载，不可直接翻译为好坏、成熟度或解决方案。</x:v>
      </x:c>
      <x:c r="S188" s="24" t="str">
        <x:v>原十神功能有效；真合化成立时按化神功能替换，合化争议时停止定性。</x:v>
      </x:c>
      <x:c r="T188" s="24" t="str">
        <x:v>近位提高直接相关性；远位仅保留背景、阶段或低置信修正。</x:v>
      </x:c>
      <x:c r="U188" s="24" t="str">
        <x:v>96</x:v>
      </x:c>
      <x:c r="V188" s="24" t="str">
        <x:v>层级判定</x:v>
      </x:c>
      <x:c r="W188" s="24" t="str">
        <x:v>buffer_level</x:v>
      </x:c>
      <x:c r="X188" s="24" t="str">
        <x:v>跨时间、跨情境有效，并已纳入反例、代价和复发审查。</x:v>
      </x:c>
      <x:c r="Y188" s="24" t="str">
        <x:v>这项资源目前经得住多种情境和反例检验，能较稳定地减弱对应盲点。</x:v>
      </x:c>
      <x:c r="Z188" s="24" t="str">
        <x:v>不得仅凭本规则断定问题已经解决、关系必然稳定、用户一定成熟、某十神天然是“药”、喜用神自动等于解决办法，或淡化暴力、强迫与现实伤害；现实行为、反例、安全事实和专业支持优先。</x:v>
      </x:c>
      <x:c r="AA188" s="24" t="str">
        <x:v>高</x:v>
      </x:c>
      <x:c r="AB188" s="24" t="str">
        <x:v>待验证</x:v>
      </x:c>
      <x:c r="AC188" s="24" t="str"/>
      <x:c r="AD188" s="24" t="str">
        <x:v>provisional=true；保护因素的现实有效性必须由可观察行为、反馈和持续结果验证。</x:v>
      </x:c>
      <x:c r="AE188" s="24" t="str">
        <x:v>0.8</x:v>
      </x:c>
    </x:row>
    <x:row r="189" ht="52" customHeight="1">
      <x:c r="A189" s="24" t="str">
        <x:v>M4-BUFFER-188</x:v>
      </x:c>
      <x:c r="B189" s="24" t="str">
        <x:v>BL7 经反例检验的稳定保护｜证据要求</x:v>
      </x:c>
      <x:c r="C189" s="24" t="str">
        <x:v>L3 BL0—BL7保护有效层级</x:v>
      </x:c>
      <x:c r="D189" s="24" t="str">
        <x:v>BUFFER-保护层级</x:v>
      </x:c>
      <x:c r="E189" s="24" t="str">
        <x:v>通用</x:v>
      </x:c>
      <x:c r="F189" s="24" t="str">
        <x:v>证据</x:v>
      </x:c>
      <x:c r="G189" s="24" t="str">
        <x:v>BL7 经反例检验的稳定保护</x:v>
      </x:c>
      <x:c r="H189" s="24" t="str">
        <x:v>明确进入本层级所需证据。</x:v>
      </x:c>
      <x:c r="I189" s="24" t="str">
        <x:v>跨时间、跨情境有效，并已纳入反例、代价和复发审查。</x:v>
      </x:c>
      <x:c r="J189" s="24" t="str">
        <x:v>只有同源重复、标签或主观推测。</x:v>
      </x:c>
      <x:c r="K189" s="24" t="str">
        <x:v>由共享基础引擎提供；仅修正保护功能的承载、持续调用和压力状态下的稳定性，不直接等同成熟度、道德或现实行为。</x:v>
      </x:c>
      <x:c r="L189" s="24" t="str">
        <x:v>由M1／M2接口提供；夫妻星、心动原型和关系门槛只说明关系议题，不单独证明保护因素已经被调用或有效。</x:v>
      </x:c>
      <x:c r="M189" s="24" t="str">
        <x:v>由M3-BASE及M4各模块提供；日支、日柱近位可提高与亲密关系核心的相关性，但同一source_id不得重复计分。</x:v>
      </x:c>
      <x:c r="N189" s="24" t="str">
        <x:v>保护因素必须明确限制过用、补足缺位、恢复顺序、打开反馈、落实改变或完成修复回流；不能只凭五行相生补写现实效果。</x:v>
      </x:c>
      <x:c r="O189" s="24" t="str">
        <x:v>近位提高进入亲密关系核心的概率；远位只作背景、阶段或条件性修正。</x:v>
      </x:c>
      <x:c r="P189" s="24" t="str">
        <x:v>根气只修正该保护功能是否容易重复调用，不等于现实中已经形成稳定保护。</x:v>
      </x:c>
      <x:c r="Q189" s="24" t="str">
        <x:v>旺弱只修正调用强度与承载；强不自动有效，弱也不自动无效。</x:v>
      </x:c>
      <x:c r="R189" s="24" t="str">
        <x:v>喜忌只修正摩擦、平衡与承载，不可直接翻译为好坏、成熟度或解决方案。</x:v>
      </x:c>
      <x:c r="S189" s="24" t="str">
        <x:v>原十神功能有效；真合化成立时按化神功能替换，合化争议时停止定性。</x:v>
      </x:c>
      <x:c r="T189" s="24" t="str">
        <x:v>近位提高直接相关性；远位仅保留背景、阶段或低置信修正。</x:v>
      </x:c>
      <x:c r="U189" s="24" t="str">
        <x:v>94</x:v>
      </x:c>
      <x:c r="V189" s="24" t="str">
        <x:v>证据门槛</x:v>
      </x:c>
      <x:c r="W189" s="24" t="str">
        <x:v>buffer_evidence</x:v>
      </x:c>
      <x:c r="X189" s="24" t="str">
        <x:v>BL7要求：跨时间、跨情境有效，并已纳入反例、代价和复发审查。</x:v>
      </x:c>
      <x:c r="Y189" s="24" t="str">
        <x:v>要达到这一层，需要看到：跨时间、跨情境有效，并已纳入反例、代价和复发审查。</x:v>
      </x:c>
      <x:c r="Z189" s="24" t="str">
        <x:v>不得仅凭本规则断定问题已经解决、关系必然稳定、用户一定成熟、某十神天然是“药”、喜用神自动等于解决办法，或淡化暴力、强迫与现实伤害；现实行为、反例、安全事实和专业支持优先。</x:v>
      </x:c>
      <x:c r="AA189" s="24" t="str">
        <x:v>中高</x:v>
      </x:c>
      <x:c r="AB189" s="24" t="str">
        <x:v>待验证</x:v>
      </x:c>
      <x:c r="AC189" s="24" t="str"/>
      <x:c r="AD189" s="24" t="str">
        <x:v>provisional=true；保护因素的现实有效性必须由可观察行为、反馈和持续结果验证。</x:v>
      </x:c>
      <x:c r="AE189" s="24" t="str">
        <x:v>0.8</x:v>
      </x:c>
    </x:row>
    <x:row r="190" ht="52" customHeight="1">
      <x:c r="A190" s="24" t="str">
        <x:v>M4-BUFFER-189</x:v>
      </x:c>
      <x:c r="B190" s="24" t="str">
        <x:v>BL7 经反例检验的稳定保护｜发布上限</x:v>
      </x:c>
      <x:c r="C190" s="24" t="str">
        <x:v>L3 BL0—BL7保护有效层级</x:v>
      </x:c>
      <x:c r="D190" s="24" t="str">
        <x:v>BUFFER-保护层级</x:v>
      </x:c>
      <x:c r="E190" s="24" t="str">
        <x:v>通用</x:v>
      </x:c>
      <x:c r="F190" s="24" t="str">
        <x:v>发布边界</x:v>
      </x:c>
      <x:c r="G190" s="24" t="str">
        <x:v>BL7 经反例检验的稳定保护</x:v>
      </x:c>
      <x:c r="H190" s="24" t="str">
        <x:v>限制用户报告措辞。</x:v>
      </x:c>
      <x:c r="I190" s="24" t="str">
        <x:v>已经完成本层级证据门控。</x:v>
      </x:c>
      <x:c r="J190" s="24" t="str">
        <x:v>用低层级证据发布更强结论。</x:v>
      </x:c>
      <x:c r="K190" s="24" t="str">
        <x:v>由共享基础引擎提供；仅修正保护功能的承载、持续调用和压力状态下的稳定性，不直接等同成熟度、道德或现实行为。</x:v>
      </x:c>
      <x:c r="L190" s="24" t="str">
        <x:v>由M1／M2接口提供；夫妻星、心动原型和关系门槛只说明关系议题，不单独证明保护因素已经被调用或有效。</x:v>
      </x:c>
      <x:c r="M190" s="24" t="str">
        <x:v>由M3-BASE及M4各模块提供；日支、日柱近位可提高与亲密关系核心的相关性，但同一source_id不得重复计分。</x:v>
      </x:c>
      <x:c r="N190" s="24" t="str">
        <x:v>保护因素必须明确限制过用、补足缺位、恢复顺序、打开反馈、落实改变或完成修复回流；不能只凭五行相生补写现实效果。</x:v>
      </x:c>
      <x:c r="O190" s="24" t="str">
        <x:v>近位提高进入亲密关系核心的概率；远位只作背景、阶段或条件性修正。</x:v>
      </x:c>
      <x:c r="P190" s="24" t="str">
        <x:v>根气只修正该保护功能是否容易重复调用，不等于现实中已经形成稳定保护。</x:v>
      </x:c>
      <x:c r="Q190" s="24" t="str">
        <x:v>旺弱只修正调用强度与承载；强不自动有效，弱也不自动无效。</x:v>
      </x:c>
      <x:c r="R190" s="24" t="str">
        <x:v>喜忌只修正摩擦、平衡与承载，不可直接翻译为好坏、成熟度或解决方案。</x:v>
      </x:c>
      <x:c r="S190" s="24" t="str">
        <x:v>原十神功能有效；真合化成立时按化神功能替换，合化争议时停止定性。</x:v>
      </x:c>
      <x:c r="T190" s="24" t="str">
        <x:v>近位提高直接相关性；远位仅保留背景、阶段或低置信修正。</x:v>
      </x:c>
      <x:c r="U190" s="24" t="str">
        <x:v>99</x:v>
      </x:c>
      <x:c r="V190" s="24" t="str">
        <x:v>封顶</x:v>
      </x:c>
      <x:c r="W190" s="24" t="str">
        <x:v>report_status</x:v>
      </x:c>
      <x:c r="X190" s="24" t="str">
        <x:v>可停止或重写对应风险候选，但不推断未来绝不会复发。</x:v>
      </x:c>
      <x:c r="Y190" s="24" t="str">
        <x:v>这一层最多可以说明：可停止或重写对应风险候选，但不推断未来绝不会复发。</x:v>
      </x:c>
      <x:c r="Z190" s="24" t="str">
        <x:v>不得仅凭本规则断定问题已经解决、关系必然稳定、用户一定成熟、某十神天然是“药”、喜用神自动等于解决办法，或淡化暴力、强迫与现实伤害；现实行为、反例、安全事实和专业支持优先。</x:v>
      </x:c>
      <x:c r="AA190" s="24" t="str">
        <x:v>高</x:v>
      </x:c>
      <x:c r="AB190" s="24" t="str">
        <x:v>待验证</x:v>
      </x:c>
      <x:c r="AC190" s="24" t="str"/>
      <x:c r="AD190" s="24" t="str">
        <x:v>provisional=true；保护因素的现实有效性必须由可观察行为、反馈和持续结果验证。</x:v>
      </x:c>
      <x:c r="AE190" s="24" t="str">
        <x:v>0.8</x:v>
      </x:c>
    </x:row>
    <x:row r="191" ht="52" customHeight="1">
      <x:c r="A191" s="24" t="str">
        <x:v>M4-BUFFER-190</x:v>
      </x:c>
      <x:c r="B191" s="24" t="str">
        <x:v>BL7 经反例检验的稳定保护｜升级条件</x:v>
      </x:c>
      <x:c r="C191" s="24" t="str">
        <x:v>L3 BL0—BL7保护有效层级</x:v>
      </x:c>
      <x:c r="D191" s="24" t="str">
        <x:v>BUFFER-保护层级</x:v>
      </x:c>
      <x:c r="E191" s="24" t="str">
        <x:v>通用</x:v>
      </x:c>
      <x:c r="F191" s="24" t="str">
        <x:v>升级</x:v>
      </x:c>
      <x:c r="G191" s="24" t="str">
        <x:v>BL7 经反例检验的稳定保护</x:v>
      </x:c>
      <x:c r="H191" s="24" t="str">
        <x:v>说明如何从当前层级升级。</x:v>
      </x:c>
      <x:c r="I191" s="24" t="str">
        <x:v>当前层级成立，并补齐下一层所需的独立证据。</x:v>
      </x:c>
      <x:c r="J191" s="24" t="str">
        <x:v>只增加同一source_id或同一event_id的描述。</x:v>
      </x:c>
      <x:c r="K191" s="24" t="str">
        <x:v>由共享基础引擎提供；仅修正保护功能的承载、持续调用和压力状态下的稳定性，不直接等同成熟度、道德或现实行为。</x:v>
      </x:c>
      <x:c r="L191" s="24" t="str">
        <x:v>由M1／M2接口提供；夫妻星、心动原型和关系门槛只说明关系议题，不单独证明保护因素已经被调用或有效。</x:v>
      </x:c>
      <x:c r="M191" s="24" t="str">
        <x:v>由M3-BASE及M4各模块提供；日支、日柱近位可提高与亲密关系核心的相关性，但同一source_id不得重复计分。</x:v>
      </x:c>
      <x:c r="N191" s="24" t="str">
        <x:v>保护因素必须明确限制过用、补足缺位、恢复顺序、打开反馈、落实改变或完成修复回流；不能只凭五行相生补写现实效果。</x:v>
      </x:c>
      <x:c r="O191" s="24" t="str">
        <x:v>近位提高进入亲密关系核心的概率；远位只作背景、阶段或条件性修正。</x:v>
      </x:c>
      <x:c r="P191" s="24" t="str">
        <x:v>根气只修正该保护功能是否容易重复调用，不等于现实中已经形成稳定保护。</x:v>
      </x:c>
      <x:c r="Q191" s="24" t="str">
        <x:v>旺弱只修正调用强度与承载；强不自动有效，弱也不自动无效。</x:v>
      </x:c>
      <x:c r="R191" s="24" t="str">
        <x:v>喜忌只修正摩擦、平衡与承载，不可直接翻译为好坏、成熟度或解决方案。</x:v>
      </x:c>
      <x:c r="S191" s="24" t="str">
        <x:v>原十神功能有效；真合化成立时按化神功能替换，合化争议时停止定性。</x:v>
      </x:c>
      <x:c r="T191" s="24" t="str">
        <x:v>近位提高直接相关性；远位仅保留背景、阶段或低置信修正。</x:v>
      </x:c>
      <x:c r="U191" s="24" t="str">
        <x:v>89</x:v>
      </x:c>
      <x:c r="V191" s="24" t="str">
        <x:v>满足则升级</x:v>
      </x:c>
      <x:c r="W191" s="24" t="str">
        <x:v>upgrade_condition</x:v>
      </x:c>
      <x:c r="X191" s="24" t="str">
        <x:v>持续监测新情境和状态变化。</x:v>
      </x:c>
      <x:c r="Y191" s="24" t="str">
        <x:v>若要进一步确认，需要：持续监测新情境和状态变化。</x:v>
      </x:c>
      <x:c r="Z191" s="24" t="str">
        <x:v>不得仅凭本规则断定问题已经解决、关系必然稳定、用户一定成熟、某十神天然是“药”、喜用神自动等于解决办法，或淡化暴力、强迫与现实伤害；现实行为、反例、安全事实和专业支持优先。</x:v>
      </x:c>
      <x:c r="AA191" s="24" t="str">
        <x:v>中高</x:v>
      </x:c>
      <x:c r="AB191" s="24" t="str">
        <x:v>待验证</x:v>
      </x:c>
      <x:c r="AC191" s="24" t="str"/>
      <x:c r="AD191" s="24" t="str">
        <x:v>provisional=true；保护因素的现实有效性必须由可观察行为、反馈和持续结果验证。</x:v>
      </x:c>
      <x:c r="AE191" s="24" t="str">
        <x:v>0.8</x:v>
      </x:c>
    </x:row>
    <x:row r="192" ht="52" customHeight="1">
      <x:c r="A192" s="24" t="str">
        <x:v>M4-BUFFER-191</x:v>
      </x:c>
      <x:c r="B192" s="24" t="str">
        <x:v>BL7 经反例检验的稳定保护｜降级／停止条件</x:v>
      </x:c>
      <x:c r="C192" s="24" t="str">
        <x:v>L3 BL0—BL7保护有效层级</x:v>
      </x:c>
      <x:c r="D192" s="24" t="str">
        <x:v>BUFFER-保护层级</x:v>
      </x:c>
      <x:c r="E192" s="24" t="str">
        <x:v>通用</x:v>
      </x:c>
      <x:c r="F192" s="24" t="str">
        <x:v>降级</x:v>
      </x:c>
      <x:c r="G192" s="24" t="str">
        <x:v>BL7 经反例检验的稳定保护</x:v>
      </x:c>
      <x:c r="H192" s="24" t="str">
        <x:v>说明何时需要降低保护等级。</x:v>
      </x:c>
      <x:c r="I192" s="24" t="str">
        <x:v>现实安全事实或新反例出现时立即重评。</x:v>
      </x:c>
      <x:c r="J192" s="24" t="str">
        <x:v>存在跨情境稳定有效的现实证据。</x:v>
      </x:c>
      <x:c r="K192" s="24" t="str">
        <x:v>由共享基础引擎提供；仅修正保护功能的承载、持续调用和压力状态下的稳定性，不直接等同成熟度、道德或现实行为。</x:v>
      </x:c>
      <x:c r="L192" s="24" t="str">
        <x:v>由M1／M2接口提供；夫妻星、心动原型和关系门槛只说明关系议题，不单独证明保护因素已经被调用或有效。</x:v>
      </x:c>
      <x:c r="M192" s="24" t="str">
        <x:v>由M3-BASE及M4各模块提供；日支、日柱近位可提高与亲密关系核心的相关性，但同一source_id不得重复计分。</x:v>
      </x:c>
      <x:c r="N192" s="24" t="str">
        <x:v>保护因素必须明确限制过用、补足缺位、恢复顺序、打开反馈、落实改变或完成修复回流；不能只凭五行相生补写现实效果。</x:v>
      </x:c>
      <x:c r="O192" s="24" t="str">
        <x:v>近位提高进入亲密关系核心的概率；远位只作背景、阶段或条件性修正。</x:v>
      </x:c>
      <x:c r="P192" s="24" t="str">
        <x:v>根气只修正该保护功能是否容易重复调用，不等于现实中已经形成稳定保护。</x:v>
      </x:c>
      <x:c r="Q192" s="24" t="str">
        <x:v>旺弱只修正调用强度与承载；强不自动有效，弱也不自动无效。</x:v>
      </x:c>
      <x:c r="R192" s="24" t="str">
        <x:v>喜忌只修正摩擦、平衡与承载，不可直接翻译为好坏、成熟度或解决方案。</x:v>
      </x:c>
      <x:c r="S192" s="24" t="str">
        <x:v>原十神功能有效；真合化成立时按化神功能替换，合化争议时停止定性。</x:v>
      </x:c>
      <x:c r="T192" s="24" t="str">
        <x:v>近位提高直接相关性；远位仅保留背景、阶段或低置信修正。</x:v>
      </x:c>
      <x:c r="U192" s="24" t="str">
        <x:v>97</x:v>
      </x:c>
      <x:c r="V192" s="24" t="str">
        <x:v>触发则降级</x:v>
      </x:c>
      <x:c r="W192" s="24" t="str">
        <x:v>downgrade_condition</x:v>
      </x:c>
      <x:c r="X192" s="24" t="str">
        <x:v>现实安全事实或新反例出现时立即重评。</x:v>
      </x:c>
      <x:c r="Y192" s="24" t="str">
        <x:v>若出现以下情况，应降低判断：现实安全事实或新反例出现时立即重评。</x:v>
      </x:c>
      <x:c r="Z192" s="24" t="str">
        <x:v>不得仅凭本规则断定问题已经解决、关系必然稳定、用户一定成熟、某十神天然是“药”、喜用神自动等于解决办法，或淡化暴力、强迫与现实伤害；现实行为、反例、安全事实和专业支持优先。</x:v>
      </x:c>
      <x:c r="AA192" s="24" t="str">
        <x:v>高</x:v>
      </x:c>
      <x:c r="AB192" s="24" t="str">
        <x:v>待验证</x:v>
      </x:c>
      <x:c r="AC192" s="24" t="str"/>
      <x:c r="AD192" s="24" t="str">
        <x:v>provisional=true；保护因素的现实有效性必须由可观察行为、反馈和持续结果验证。</x:v>
      </x:c>
      <x:c r="AE192" s="24" t="str">
        <x:v>0.8</x:v>
      </x:c>
    </x:row>
    <x:row r="193" ht="52" customHeight="1">
      <x:c r="A193" s="24" t="str">
        <x:v>M4-BUFFER-192</x:v>
      </x:c>
      <x:c r="B193" s="24" t="str">
        <x:v>BL7 经反例检验的稳定保护｜用户输出</x:v>
      </x:c>
      <x:c r="C193" s="24" t="str">
        <x:v>L3 BL0—BL7保护有效层级</x:v>
      </x:c>
      <x:c r="D193" s="24" t="str">
        <x:v>BUFFER-保护层级</x:v>
      </x:c>
      <x:c r="E193" s="24" t="str">
        <x:v>通用</x:v>
      </x:c>
      <x:c r="F193" s="24" t="str">
        <x:v>语言</x:v>
      </x:c>
      <x:c r="G193" s="24" t="str">
        <x:v>BL7 经反例检验的稳定保护</x:v>
      </x:c>
      <x:c r="H193" s="24" t="str">
        <x:v>生成对应层级的用户语言。</x:v>
      </x:c>
      <x:c r="I193" s="24" t="str">
        <x:v>本层级已经成立。</x:v>
      </x:c>
      <x:c r="J193" s="24" t="str">
        <x:v>层级未成立或存在安全停止。</x:v>
      </x:c>
      <x:c r="K193" s="24" t="str">
        <x:v>由共享基础引擎提供；仅修正保护功能的承载、持续调用和压力状态下的稳定性，不直接等同成熟度、道德或现实行为。</x:v>
      </x:c>
      <x:c r="L193" s="24" t="str">
        <x:v>由M1／M2接口提供；夫妻星、心动原型和关系门槛只说明关系议题，不单独证明保护因素已经被调用或有效。</x:v>
      </x:c>
      <x:c r="M193" s="24" t="str">
        <x:v>由M3-BASE及M4各模块提供；日支、日柱近位可提高与亲密关系核心的相关性，但同一source_id不得重复计分。</x:v>
      </x:c>
      <x:c r="N193" s="24" t="str">
        <x:v>保护因素必须明确限制过用、补足缺位、恢复顺序、打开反馈、落实改变或完成修复回流；不能只凭五行相生补写现实效果。</x:v>
      </x:c>
      <x:c r="O193" s="24" t="str">
        <x:v>近位提高进入亲密关系核心的概率；远位只作背景、阶段或条件性修正。</x:v>
      </x:c>
      <x:c r="P193" s="24" t="str">
        <x:v>根气只修正该保护功能是否容易重复调用，不等于现实中已经形成稳定保护。</x:v>
      </x:c>
      <x:c r="Q193" s="24" t="str">
        <x:v>旺弱只修正调用强度与承载；强不自动有效，弱也不自动无效。</x:v>
      </x:c>
      <x:c r="R193" s="24" t="str">
        <x:v>喜忌只修正摩擦、平衡与承载，不可直接翻译为好坏、成熟度或解决方案。</x:v>
      </x:c>
      <x:c r="S193" s="24" t="str">
        <x:v>原十神功能有效；真合化成立时按化神功能替换，合化争议时停止定性。</x:v>
      </x:c>
      <x:c r="T193" s="24" t="str">
        <x:v>近位提高直接相关性；远位仅保留背景、阶段或低置信修正。</x:v>
      </x:c>
      <x:c r="U193" s="24" t="str">
        <x:v>84</x:v>
      </x:c>
      <x:c r="V193" s="24" t="str">
        <x:v>不加分；输出</x:v>
      </x:c>
      <x:c r="W193" s="24" t="str">
        <x:v>report_text</x:v>
      </x:c>
      <x:c r="X193" s="24" t="str">
        <x:v>跨时间、跨情境有效，并已纳入反例、代价和复发审查。</x:v>
      </x:c>
      <x:c r="Y193" s="24" t="str">
        <x:v>这项资源目前经得住多种情境和反例检验，能较稳定地减弱对应盲点。</x:v>
      </x:c>
      <x:c r="Z193" s="24" t="str">
        <x:v>不得仅凭本规则断定问题已经解决、关系必然稳定、用户一定成熟、某十神天然是“药”、喜用神自动等于解决办法，或淡化暴力、强迫与现实伤害；现实行为、反例、安全事实和专业支持优先。</x:v>
      </x:c>
      <x:c r="AA193" s="24" t="str">
        <x:v>中高</x:v>
      </x:c>
      <x:c r="AB193" s="24" t="str">
        <x:v>待验证</x:v>
      </x:c>
      <x:c r="AC193" s="24" t="str"/>
      <x:c r="AD193" s="24" t="str">
        <x:v>provisional=true；保护因素的现实有效性必须由可观察行为、反馈和持续结果验证。</x:v>
      </x:c>
      <x:c r="AE193" s="24" t="str">
        <x:v>0.8</x:v>
      </x:c>
    </x:row>
    <x:row r="194" ht="52" customHeight="1">
      <x:c r="A194" s="24" t="str">
        <x:v>M4-BUFFER-193</x:v>
      </x:c>
      <x:c r="B194" s="24" t="str">
        <x:v>PB01 命理标签替代现实调用｜机制定义</x:v>
      </x:c>
      <x:c r="C194" s="24" t="str">
        <x:v>L4 PB01—PB08伪保护</x:v>
      </x:c>
      <x:c r="D194" s="24" t="str">
        <x:v>BUFFER-伪保护</x:v>
      </x:c>
      <x:c r="E194" s="24" t="str">
        <x:v>通用</x:v>
      </x:c>
      <x:c r="F194" s="24" t="str">
        <x:v>定义</x:v>
      </x:c>
      <x:c r="G194" s="24" t="str">
        <x:v>PB01 命理标签替代现实调用</x:v>
      </x:c>
      <x:c r="H194" s="24" t="str">
        <x:v>界定常见伪保护。</x:v>
      </x:c>
      <x:c r="I194" s="24" t="str">
        <x:v>看到喜用神、制化、通关或某十神存在，就认定关系已有保护。</x:v>
      </x:c>
      <x:c r="J194" s="24" t="str">
        <x:v>该方式已经有独立反馈、现实效果与持续验证。</x:v>
      </x:c>
      <x:c r="K194" s="24" t="str">
        <x:v>由共享基础引擎提供；仅修正保护功能的承载、持续调用和压力状态下的稳定性，不直接等同成熟度、道德或现实行为。</x:v>
      </x:c>
      <x:c r="L194" s="24" t="str">
        <x:v>由M1／M2接口提供；夫妻星、心动原型和关系门槛只说明关系议题，不单独证明保护因素已经被调用或有效。</x:v>
      </x:c>
      <x:c r="M194" s="24" t="str">
        <x:v>由M3-BASE及M4各模块提供；日支、日柱近位可提高与亲密关系核心的相关性，但同一source_id不得重复计分。</x:v>
      </x:c>
      <x:c r="N194" s="24" t="str">
        <x:v>保护因素必须明确限制过用、补足缺位、恢复顺序、打开反馈、落实改变或完成修复回流；不能只凭五行相生补写现实效果。</x:v>
      </x:c>
      <x:c r="O194" s="24" t="str">
        <x:v>近位提高进入亲密关系核心的概率；远位只作背景、阶段或条件性修正。</x:v>
      </x:c>
      <x:c r="P194" s="24" t="str">
        <x:v>根气只修正该保护功能是否容易重复调用，不等于现实中已经形成稳定保护。</x:v>
      </x:c>
      <x:c r="Q194" s="24" t="str">
        <x:v>旺弱只修正调用强度与承载；强不自动有效，弱也不自动无效。</x:v>
      </x:c>
      <x:c r="R194" s="24" t="str">
        <x:v>喜忌只修正摩擦、平衡与承载，不可直接翻译为好坏、成熟度或解决方案。</x:v>
      </x:c>
      <x:c r="S194" s="24" t="str">
        <x:v>原十神功能有效；真合化成立时按化神功能替换，合化争议时停止定性。</x:v>
      </x:c>
      <x:c r="T194" s="24" t="str">
        <x:v>近位提高直接相关性；远位仅保留背景、阶段或低置信修正。</x:v>
      </x:c>
      <x:c r="U194" s="24" t="str">
        <x:v>95</x:v>
      </x:c>
      <x:c r="V194" s="24" t="str">
        <x:v>伪保护候选+0</x:v>
      </x:c>
      <x:c r="W194" s="24" t="str">
        <x:v>pseudo_buffer</x:v>
      </x:c>
      <x:c r="X194" s="24" t="str">
        <x:v>结构标签没有说明靶点、调用条件、现实行为和效果。</x:v>
      </x:c>
      <x:c r="Y194" s="24" t="str">
        <x:v>“命里有这项资源”只说明可能性，不能替代现实中是否真正用出来。</x:v>
      </x:c>
      <x:c r="Z194" s="24" t="str">
        <x:v>不得仅凭本规则断定问题已经解决、关系必然稳定、用户一定成熟、某十神天然是“药”、喜用神自动等于解决办法，或淡化暴力、强迫与现实伤害；现实行为、反例、安全事实和专业支持优先。</x:v>
      </x:c>
      <x:c r="AA194" s="24" t="str">
        <x:v>中高</x:v>
      </x:c>
      <x:c r="AB194" s="24" t="str">
        <x:v>待验证</x:v>
      </x:c>
      <x:c r="AC194" s="24" t="str"/>
      <x:c r="AD194" s="24" t="str">
        <x:v>provisional=true；保护因素的现实有效性必须由可观察行为、反馈和持续结果验证。</x:v>
      </x:c>
      <x:c r="AE194" s="24" t="str">
        <x:v>0.8</x:v>
      </x:c>
    </x:row>
    <x:row r="195" ht="52" customHeight="1">
      <x:c r="A195" s="24" t="str">
        <x:v>M4-BUFFER-194</x:v>
      </x:c>
      <x:c r="B195" s="24" t="str">
        <x:v>PB01 命理标签替代现实调用｜识别条件</x:v>
      </x:c>
      <x:c r="C195" s="24" t="str">
        <x:v>L4 PB01—PB08伪保护</x:v>
      </x:c>
      <x:c r="D195" s="24" t="str">
        <x:v>BUFFER-伪保护</x:v>
      </x:c>
      <x:c r="E195" s="24" t="str">
        <x:v>通用</x:v>
      </x:c>
      <x:c r="F195" s="24" t="str">
        <x:v>识别</x:v>
      </x:c>
      <x:c r="G195" s="24" t="str">
        <x:v>PB01 命理标签替代现实调用</x:v>
      </x:c>
      <x:c r="H195" s="24" t="str">
        <x:v>识别伪保护的现实表现。</x:v>
      </x:c>
      <x:c r="I195" s="24" t="str">
        <x:v>出现以下表面保护：看到喜用神、制化、通关或某十神存在，就认定关系已有保护。</x:v>
      </x:c>
      <x:c r="J195" s="24" t="str">
        <x:v>没有对应风险靶点，或现实结果清楚显示链条已改变。</x:v>
      </x:c>
      <x:c r="K195" s="24" t="str">
        <x:v>由共享基础引擎提供；仅修正保护功能的承载、持续调用和压力状态下的稳定性，不直接等同成熟度、道德或现实行为。</x:v>
      </x:c>
      <x:c r="L195" s="24" t="str">
        <x:v>由M1／M2接口提供；夫妻星、心动原型和关系门槛只说明关系议题，不单独证明保护因素已经被调用或有效。</x:v>
      </x:c>
      <x:c r="M195" s="24" t="str">
        <x:v>由M3-BASE及M4各模块提供；日支、日柱近位可提高与亲密关系核心的相关性，但同一source_id不得重复计分。</x:v>
      </x:c>
      <x:c r="N195" s="24" t="str">
        <x:v>保护因素必须明确限制过用、补足缺位、恢复顺序、打开反馈、落实改变或完成修复回流；不能只凭五行相生补写现实效果。</x:v>
      </x:c>
      <x:c r="O195" s="24" t="str">
        <x:v>近位提高进入亲密关系核心的概率；远位只作背景、阶段或条件性修正。</x:v>
      </x:c>
      <x:c r="P195" s="24" t="str">
        <x:v>根气只修正该保护功能是否容易重复调用，不等于现实中已经形成稳定保护。</x:v>
      </x:c>
      <x:c r="Q195" s="24" t="str">
        <x:v>旺弱只修正调用强度与承载；强不自动有效，弱也不自动无效。</x:v>
      </x:c>
      <x:c r="R195" s="24" t="str">
        <x:v>喜忌只修正摩擦、平衡与承载，不可直接翻译为好坏、成熟度或解决方案。</x:v>
      </x:c>
      <x:c r="S195" s="24" t="str">
        <x:v>原十神功能有效；真合化成立时按化神功能替换，合化争议时停止定性。</x:v>
      </x:c>
      <x:c r="T195" s="24" t="str">
        <x:v>近位提高直接相关性；远位仅保留背景、阶段或低置信修正。</x:v>
      </x:c>
      <x:c r="U195" s="24" t="str">
        <x:v>92</x:v>
      </x:c>
      <x:c r="V195" s="24" t="str">
        <x:v>命中+6</x:v>
      </x:c>
      <x:c r="W195" s="24" t="str">
        <x:v>buffer_evidence</x:v>
      </x:c>
      <x:c r="X195" s="24" t="str">
        <x:v>识别重点：检查是否有具体K机制靶点、现实启动事件、反馈和持续结果。</x:v>
      </x:c>
      <x:c r="Y195" s="24" t="str">
        <x:v>需要继续检查：检查是否有具体K机制靶点、现实启动事件、反馈和持续结果。</x:v>
      </x:c>
      <x:c r="Z195" s="24" t="str">
        <x:v>不得仅凭本规则断定问题已经解决、关系必然稳定、用户一定成熟、某十神天然是“药”、喜用神自动等于解决办法，或淡化暴力、强迫与现实伤害；现实行为、反例、安全事实和专业支持优先。</x:v>
      </x:c>
      <x:c r="AA195" s="24" t="str">
        <x:v>中高</x:v>
      </x:c>
      <x:c r="AB195" s="24" t="str">
        <x:v>待验证</x:v>
      </x:c>
      <x:c r="AC195" s="24" t="str"/>
      <x:c r="AD195" s="24" t="str">
        <x:v>provisional=true；保护因素的现实有效性必须由可观察行为、反馈和持续结果验证。</x:v>
      </x:c>
      <x:c r="AE195" s="24" t="str">
        <x:v>0.8</x:v>
      </x:c>
    </x:row>
    <x:row r="196" ht="52" customHeight="1">
      <x:c r="A196" s="24" t="str">
        <x:v>M4-BUFFER-195</x:v>
      </x:c>
      <x:c r="B196" s="24" t="str">
        <x:v>PB01 命理标签替代现实调用｜为什么无效</x:v>
      </x:c>
      <x:c r="C196" s="24" t="str">
        <x:v>L4 PB01—PB08伪保护</x:v>
      </x:c>
      <x:c r="D196" s="24" t="str">
        <x:v>BUFFER-伪保护</x:v>
      </x:c>
      <x:c r="E196" s="24" t="str">
        <x:v>通用</x:v>
      </x:c>
      <x:c r="F196" s="24" t="str">
        <x:v>逻辑</x:v>
      </x:c>
      <x:c r="G196" s="24" t="str">
        <x:v>PB01 命理标签替代现实调用</x:v>
      </x:c>
      <x:c r="H196" s="24" t="str">
        <x:v>说明表面有效与真实有效的差别。</x:v>
      </x:c>
      <x:c r="I196" s="24" t="str">
        <x:v>看到喜用神、制化、通关或某十神存在，就认定关系已有保护。</x:v>
      </x:c>
      <x:c r="J196" s="24" t="str">
        <x:v>已经完成反馈、执行与反例检验。</x:v>
      </x:c>
      <x:c r="K196" s="24" t="str">
        <x:v>由共享基础引擎提供；仅修正保护功能的承载、持续调用和压力状态下的稳定性，不直接等同成熟度、道德或现实行为。</x:v>
      </x:c>
      <x:c r="L196" s="24" t="str">
        <x:v>由M1／M2接口提供；夫妻星、心动原型和关系门槛只说明关系议题，不单独证明保护因素已经被调用或有效。</x:v>
      </x:c>
      <x:c r="M196" s="24" t="str">
        <x:v>由M3-BASE及M4各模块提供；日支、日柱近位可提高与亲密关系核心的相关性，但同一source_id不得重复计分。</x:v>
      </x:c>
      <x:c r="N196" s="24" t="str">
        <x:v>保护因素必须明确限制过用、补足缺位、恢复顺序、打开反馈、落实改变或完成修复回流；不能只凭五行相生补写现实效果。</x:v>
      </x:c>
      <x:c r="O196" s="24" t="str">
        <x:v>近位提高进入亲密关系核心的概率；远位只作背景、阶段或条件性修正。</x:v>
      </x:c>
      <x:c r="P196" s="24" t="str">
        <x:v>根气只修正该保护功能是否容易重复调用，不等于现实中已经形成稳定保护。</x:v>
      </x:c>
      <x:c r="Q196" s="24" t="str">
        <x:v>旺弱只修正调用强度与承载；强不自动有效，弱也不自动无效。</x:v>
      </x:c>
      <x:c r="R196" s="24" t="str">
        <x:v>喜忌只修正摩擦、平衡与承载，不可直接翻译为好坏、成熟度或解决方案。</x:v>
      </x:c>
      <x:c r="S196" s="24" t="str">
        <x:v>原十神功能有效；真合化成立时按化神功能替换，合化争议时停止定性。</x:v>
      </x:c>
      <x:c r="T196" s="24" t="str">
        <x:v>近位提高直接相关性；远位仅保留背景、阶段或低置信修正。</x:v>
      </x:c>
      <x:c r="U196" s="24" t="str">
        <x:v>90</x:v>
      </x:c>
      <x:c r="V196" s="24" t="str">
        <x:v>不加分；解释</x:v>
      </x:c>
      <x:c r="W196" s="24" t="str">
        <x:v>boundary_note</x:v>
      </x:c>
      <x:c r="X196" s="24" t="str">
        <x:v>结构标签没有说明靶点、调用条件、现实行为和效果。</x:v>
      </x:c>
      <x:c r="Y196" s="24" t="str">
        <x:v>表面上它能暂时降低不适，但还不能证明关键关系任务已经完成。</x:v>
      </x:c>
      <x:c r="Z196" s="24" t="str">
        <x:v>不得仅凭本规则断定问题已经解决、关系必然稳定、用户一定成熟、某十神天然是“药”、喜用神自动等于解决办法，或淡化暴力、强迫与现实伤害；现实行为、反例、安全事实和专业支持优先。</x:v>
      </x:c>
      <x:c r="AA196" s="24" t="str">
        <x:v>中高</x:v>
      </x:c>
      <x:c r="AB196" s="24" t="str">
        <x:v>待验证</x:v>
      </x:c>
      <x:c r="AC196" s="24" t="str"/>
      <x:c r="AD196" s="24" t="str">
        <x:v>provisional=true；保护因素的现实有效性必须由可观察行为、反馈和持续结果验证。</x:v>
      </x:c>
      <x:c r="AE196" s="24" t="str">
        <x:v>0.8</x:v>
      </x:c>
    </x:row>
    <x:row r="197" ht="52" customHeight="1">
      <x:c r="A197" s="24" t="str">
        <x:v>M4-BUFFER-196</x:v>
      </x:c>
      <x:c r="B197" s="24" t="str">
        <x:v>PB01 命理标签替代现实调用｜反例门控</x:v>
      </x:c>
      <x:c r="C197" s="24" t="str">
        <x:v>L4 PB01—PB08伪保护</x:v>
      </x:c>
      <x:c r="D197" s="24" t="str">
        <x:v>BUFFER-伪保护</x:v>
      </x:c>
      <x:c r="E197" s="24" t="str">
        <x:v>通用</x:v>
      </x:c>
      <x:c r="F197" s="24" t="str">
        <x:v>反例</x:v>
      </x:c>
      <x:c r="G197" s="24" t="str">
        <x:v>PB01 命理标签替代现实调用</x:v>
      </x:c>
      <x:c r="H197" s="24" t="str">
        <x:v>防止把真实有效资源误判为伪保护。</x:v>
      </x:c>
      <x:c r="I197" s="24" t="str">
        <x:v>没有观察到只有当结构资源与现实行为共同改变风险链，才退出伪保护。。</x:v>
      </x:c>
      <x:c r="J197" s="24" t="str">
        <x:v>已经观察到只有当结构资源与现实行为共同改变风险链，才退出伪保护。，并在相似情境中重复。</x:v>
      </x:c>
      <x:c r="K197" s="24" t="str">
        <x:v>由共享基础引擎提供；仅修正保护功能的承载、持续调用和压力状态下的稳定性，不直接等同成熟度、道德或现实行为。</x:v>
      </x:c>
      <x:c r="L197" s="24" t="str">
        <x:v>由M1／M2接口提供；夫妻星、心动原型和关系门槛只说明关系议题，不单独证明保护因素已经被调用或有效。</x:v>
      </x:c>
      <x:c r="M197" s="24" t="str">
        <x:v>由M3-BASE及M4各模块提供；日支、日柱近位可提高与亲密关系核心的相关性，但同一source_id不得重复计分。</x:v>
      </x:c>
      <x:c r="N197" s="24" t="str">
        <x:v>保护因素必须明确限制过用、补足缺位、恢复顺序、打开反馈、落实改变或完成修复回流；不能只凭五行相生补写现实效果。</x:v>
      </x:c>
      <x:c r="O197" s="24" t="str">
        <x:v>近位提高进入亲密关系核心的概率；远位只作背景、阶段或条件性修正。</x:v>
      </x:c>
      <x:c r="P197" s="24" t="str">
        <x:v>根气只修正该保护功能是否容易重复调用，不等于现实中已经形成稳定保护。</x:v>
      </x:c>
      <x:c r="Q197" s="24" t="str">
        <x:v>旺弱只修正调用强度与承载；强不自动有效，弱也不自动无效。</x:v>
      </x:c>
      <x:c r="R197" s="24" t="str">
        <x:v>喜忌只修正摩擦、平衡与承载，不可直接翻译为好坏、成熟度或解决方案。</x:v>
      </x:c>
      <x:c r="S197" s="24" t="str">
        <x:v>原十神功能有效；真合化成立时按化神功能替换，合化争议时停止定性。</x:v>
      </x:c>
      <x:c r="T197" s="24" t="str">
        <x:v>近位提高直接相关性；远位仅保留背景、阶段或低置信修正。</x:v>
      </x:c>
      <x:c r="U197" s="24" t="str">
        <x:v>97</x:v>
      </x:c>
      <x:c r="V197" s="24" t="str">
        <x:v>反例则停止</x:v>
      </x:c>
      <x:c r="W197" s="24" t="str">
        <x:v>counterevidence</x:v>
      </x:c>
      <x:c r="X197" s="24" t="str">
        <x:v>若已经满足：只有当结构资源与现实行为共同改变风险链，才退出伪保护。，则应停止PB候选并升级至相应BF。</x:v>
      </x:c>
      <x:c r="Y197" s="24" t="str">
        <x:v>若现实中已经做到“只有当结构资源与现实行为共同改变风险链，才退出伪保护。”，就不应再把它视为表面保护。</x:v>
      </x:c>
      <x:c r="Z197" s="24" t="str">
        <x:v>不得仅凭本规则断定问题已经解决、关系必然稳定、用户一定成熟、某十神天然是“药”、喜用神自动等于解决办法，或淡化暴力、强迫与现实伤害；现实行为、反例、安全事实和专业支持优先。</x:v>
      </x:c>
      <x:c r="AA197" s="24" t="str">
        <x:v>高</x:v>
      </x:c>
      <x:c r="AB197" s="24" t="str">
        <x:v>待验证</x:v>
      </x:c>
      <x:c r="AC197" s="24" t="str"/>
      <x:c r="AD197" s="24" t="str">
        <x:v>provisional=true；保护因素的现实有效性必须由可观察行为、反馈和持续结果验证。</x:v>
      </x:c>
      <x:c r="AE197" s="24" t="str">
        <x:v>0.8</x:v>
      </x:c>
    </x:row>
    <x:row r="198" ht="52" customHeight="1">
      <x:c r="A198" s="24" t="str">
        <x:v>M4-BUFFER-197</x:v>
      </x:c>
      <x:c r="B198" s="24" t="str">
        <x:v>PB01 命理标签替代现实调用｜退出条件</x:v>
      </x:c>
      <x:c r="C198" s="24" t="str">
        <x:v>L4 PB01—PB08伪保护</x:v>
      </x:c>
      <x:c r="D198" s="24" t="str">
        <x:v>BUFFER-伪保护</x:v>
      </x:c>
      <x:c r="E198" s="24" t="str">
        <x:v>通用</x:v>
      </x:c>
      <x:c r="F198" s="24" t="str">
        <x:v>退出</x:v>
      </x:c>
      <x:c r="G198" s="24" t="str">
        <x:v>PB01 命理标签替代现实调用</x:v>
      </x:c>
      <x:c r="H198" s="24" t="str">
        <x:v>说明伪保护如何转成有效保护。</x:v>
      </x:c>
      <x:c r="I198" s="24" t="str">
        <x:v>只有当结构资源与现实行为共同改变风险链，才退出伪保护。</x:v>
      </x:c>
      <x:c r="J198" s="24" t="str">
        <x:v>只有一次口头承诺或单次动作。</x:v>
      </x:c>
      <x:c r="K198" s="24" t="str">
        <x:v>由共享基础引擎提供；仅修正保护功能的承载、持续调用和压力状态下的稳定性，不直接等同成熟度、道德或现实行为。</x:v>
      </x:c>
      <x:c r="L198" s="24" t="str">
        <x:v>由M1／M2接口提供；夫妻星、心动原型和关系门槛只说明关系议题，不单独证明保护因素已经被调用或有效。</x:v>
      </x:c>
      <x:c r="M198" s="24" t="str">
        <x:v>由M3-BASE及M4各模块提供；日支、日柱近位可提高与亲密关系核心的相关性，但同一source_id不得重复计分。</x:v>
      </x:c>
      <x:c r="N198" s="24" t="str">
        <x:v>保护因素必须明确限制过用、补足缺位、恢复顺序、打开反馈、落实改变或完成修复回流；不能只凭五行相生补写现实效果。</x:v>
      </x:c>
      <x:c r="O198" s="24" t="str">
        <x:v>近位提高进入亲密关系核心的概率；远位只作背景、阶段或条件性修正。</x:v>
      </x:c>
      <x:c r="P198" s="24" t="str">
        <x:v>根气只修正该保护功能是否容易重复调用，不等于现实中已经形成稳定保护。</x:v>
      </x:c>
      <x:c r="Q198" s="24" t="str">
        <x:v>旺弱只修正调用强度与承载；强不自动有效，弱也不自动无效。</x:v>
      </x:c>
      <x:c r="R198" s="24" t="str">
        <x:v>喜忌只修正摩擦、平衡与承载，不可直接翻译为好坏、成熟度或解决方案。</x:v>
      </x:c>
      <x:c r="S198" s="24" t="str">
        <x:v>原十神功能有效；真合化成立时按化神功能替换，合化争议时停止定性。</x:v>
      </x:c>
      <x:c r="T198" s="24" t="str">
        <x:v>近位提高直接相关性；远位仅保留背景、阶段或低置信修正。</x:v>
      </x:c>
      <x:c r="U198" s="24" t="str">
        <x:v>91</x:v>
      </x:c>
      <x:c r="V198" s="24" t="str">
        <x:v>满足则转BF</x:v>
      </x:c>
      <x:c r="W198" s="24" t="str">
        <x:v>buffer_upgrade</x:v>
      </x:c>
      <x:c r="X198" s="24" t="str">
        <x:v>PB01退出条件：只有当结构资源与现实行为共同改变风险链，才退出伪保护。</x:v>
      </x:c>
      <x:c r="Y198" s="24" t="str">
        <x:v>这项方式要真正发挥作用，需要做到：只有当结构资源与现实行为共同改变风险链，才退出伪保护。</x:v>
      </x:c>
      <x:c r="Z198" s="24" t="str">
        <x:v>不得仅凭本规则断定问题已经解决、关系必然稳定、用户一定成熟、某十神天然是“药”、喜用神自动等于解决办法，或淡化暴力、强迫与现实伤害；现实行为、反例、安全事实和专业支持优先。</x:v>
      </x:c>
      <x:c r="AA198" s="24" t="str">
        <x:v>中高</x:v>
      </x:c>
      <x:c r="AB198" s="24" t="str">
        <x:v>待验证</x:v>
      </x:c>
      <x:c r="AC198" s="24" t="str"/>
      <x:c r="AD198" s="24" t="str">
        <x:v>provisional=true；保护因素的现实有效性必须由可观察行为、反馈和持续结果验证。</x:v>
      </x:c>
      <x:c r="AE198" s="24" t="str">
        <x:v>0.8</x:v>
      </x:c>
    </x:row>
    <x:row r="199" ht="52" customHeight="1">
      <x:c r="A199" s="24" t="str">
        <x:v>M4-BUFFER-198</x:v>
      </x:c>
      <x:c r="B199" s="24" t="str">
        <x:v>PB01 命理标签替代现实调用｜用户输出</x:v>
      </x:c>
      <x:c r="C199" s="24" t="str">
        <x:v>L4 PB01—PB08伪保护</x:v>
      </x:c>
      <x:c r="D199" s="24" t="str">
        <x:v>BUFFER-伪保护</x:v>
      </x:c>
      <x:c r="E199" s="24" t="str">
        <x:v>通用</x:v>
      </x:c>
      <x:c r="F199" s="24" t="str">
        <x:v>语言</x:v>
      </x:c>
      <x:c r="G199" s="24" t="str">
        <x:v>PB01 命理标签替代现实调用</x:v>
      </x:c>
      <x:c r="H199" s="24" t="str">
        <x:v>生成中性提醒。</x:v>
      </x:c>
      <x:c r="I199" s="24" t="str">
        <x:v>看到喜用神、制化、通关或某十神存在，就认定关系已有保护。</x:v>
      </x:c>
      <x:c r="J199" s="24" t="str">
        <x:v>存在安全停止或资料不足。</x:v>
      </x:c>
      <x:c r="K199" s="24" t="str">
        <x:v>由共享基础引擎提供；仅修正保护功能的承载、持续调用和压力状态下的稳定性，不直接等同成熟度、道德或现实行为。</x:v>
      </x:c>
      <x:c r="L199" s="24" t="str">
        <x:v>由M1／M2接口提供；夫妻星、心动原型和关系门槛只说明关系议题，不单独证明保护因素已经被调用或有效。</x:v>
      </x:c>
      <x:c r="M199" s="24" t="str">
        <x:v>由M3-BASE及M4各模块提供；日支、日柱近位可提高与亲密关系核心的相关性，但同一source_id不得重复计分。</x:v>
      </x:c>
      <x:c r="N199" s="24" t="str">
        <x:v>保护因素必须明确限制过用、补足缺位、恢复顺序、打开反馈、落实改变或完成修复回流；不能只凭五行相生补写现实效果。</x:v>
      </x:c>
      <x:c r="O199" s="24" t="str">
        <x:v>近位提高进入亲密关系核心的概率；远位只作背景、阶段或条件性修正。</x:v>
      </x:c>
      <x:c r="P199" s="24" t="str">
        <x:v>根气只修正该保护功能是否容易重复调用，不等于现实中已经形成稳定保护。</x:v>
      </x:c>
      <x:c r="Q199" s="24" t="str">
        <x:v>旺弱只修正调用强度与承载；强不自动有效，弱也不自动无效。</x:v>
      </x:c>
      <x:c r="R199" s="24" t="str">
        <x:v>喜忌只修正摩擦、平衡与承载，不可直接翻译为好坏、成熟度或解决方案。</x:v>
      </x:c>
      <x:c r="S199" s="24" t="str">
        <x:v>原十神功能有效；真合化成立时按化神功能替换，合化争议时停止定性。</x:v>
      </x:c>
      <x:c r="T199" s="24" t="str">
        <x:v>近位提高直接相关性；远位仅保留背景、阶段或低置信修正。</x:v>
      </x:c>
      <x:c r="U199" s="24" t="str">
        <x:v>84</x:v>
      </x:c>
      <x:c r="V199" s="24" t="str">
        <x:v>不加分；输出</x:v>
      </x:c>
      <x:c r="W199" s="24" t="str">
        <x:v>report_text</x:v>
      </x:c>
      <x:c r="X199" s="24" t="str">
        <x:v>结构标签没有说明靶点、调用条件、现实行为和效果。</x:v>
      </x:c>
      <x:c r="Y199" s="24" t="str">
        <x:v>“命里有这项资源”只说明可能性，不能替代现实中是否真正用出来。</x:v>
      </x:c>
      <x:c r="Z199" s="24" t="str">
        <x:v>不得仅凭本规则断定问题已经解决、关系必然稳定、用户一定成熟、某十神天然是“药”、喜用神自动等于解决办法，或淡化暴力、强迫与现实伤害；现实行为、反例、安全事实和专业支持优先。</x:v>
      </x:c>
      <x:c r="AA199" s="24" t="str">
        <x:v>中高</x:v>
      </x:c>
      <x:c r="AB199" s="24" t="str">
        <x:v>待验证</x:v>
      </x:c>
      <x:c r="AC199" s="24" t="str"/>
      <x:c r="AD199" s="24" t="str">
        <x:v>provisional=true；保护因素的现实有效性必须由可观察行为、反馈和持续结果验证。</x:v>
      </x:c>
      <x:c r="AE199" s="24" t="str">
        <x:v>0.8</x:v>
      </x:c>
    </x:row>
    <x:row r="200" ht="52" customHeight="1">
      <x:c r="A200" s="24" t="str">
        <x:v>M4-BUFFER-199</x:v>
      </x:c>
      <x:c r="B200" s="24" t="str">
        <x:v>PB02 规则加码替代协商｜机制定义</x:v>
      </x:c>
      <x:c r="C200" s="24" t="str">
        <x:v>L4 PB01—PB08伪保护</x:v>
      </x:c>
      <x:c r="D200" s="24" t="str">
        <x:v>BUFFER-伪保护</x:v>
      </x:c>
      <x:c r="E200" s="24" t="str">
        <x:v>通用</x:v>
      </x:c>
      <x:c r="F200" s="24" t="str">
        <x:v>定义</x:v>
      </x:c>
      <x:c r="G200" s="24" t="str">
        <x:v>PB02 规则加码替代协商</x:v>
      </x:c>
      <x:c r="H200" s="24" t="str">
        <x:v>界定常见伪保护。</x:v>
      </x:c>
      <x:c r="I200" s="24" t="str">
        <x:v>遇到混乱就增加规则、要求和边界条款，短期看似更有秩序。</x:v>
      </x:c>
      <x:c r="J200" s="24" t="str">
        <x:v>该方式已经有独立反馈、现实效果与持续验证。</x:v>
      </x:c>
      <x:c r="K200" s="24" t="str">
        <x:v>由共享基础引擎提供；仅修正保护功能的承载、持续调用和压力状态下的稳定性，不直接等同成熟度、道德或现实行为。</x:v>
      </x:c>
      <x:c r="L200" s="24" t="str">
        <x:v>由M1／M2接口提供；夫妻星、心动原型和关系门槛只说明关系议题，不单独证明保护因素已经被调用或有效。</x:v>
      </x:c>
      <x:c r="M200" s="24" t="str">
        <x:v>由M3-BASE及M4各模块提供；日支、日柱近位可提高与亲密关系核心的相关性，但同一source_id不得重复计分。</x:v>
      </x:c>
      <x:c r="N200" s="24" t="str">
        <x:v>保护因素必须明确限制过用、补足缺位、恢复顺序、打开反馈、落实改变或完成修复回流；不能只凭五行相生补写现实效果。</x:v>
      </x:c>
      <x:c r="O200" s="24" t="str">
        <x:v>近位提高进入亲密关系核心的概率；远位只作背景、阶段或条件性修正。</x:v>
      </x:c>
      <x:c r="P200" s="24" t="str">
        <x:v>根气只修正该保护功能是否容易重复调用，不等于现实中已经形成稳定保护。</x:v>
      </x:c>
      <x:c r="Q200" s="24" t="str">
        <x:v>旺弱只修正调用强度与承载；强不自动有效，弱也不自动无效。</x:v>
      </x:c>
      <x:c r="R200" s="24" t="str">
        <x:v>喜忌只修正摩擦、平衡与承载，不可直接翻译为好坏、成熟度或解决方案。</x:v>
      </x:c>
      <x:c r="S200" s="24" t="str">
        <x:v>原十神功能有效；真合化成立时按化神功能替换，合化争议时停止定性。</x:v>
      </x:c>
      <x:c r="T200" s="24" t="str">
        <x:v>近位提高直接相关性；远位仅保留背景、阶段或低置信修正。</x:v>
      </x:c>
      <x:c r="U200" s="24" t="str">
        <x:v>95</x:v>
      </x:c>
      <x:c r="V200" s="24" t="str">
        <x:v>伪保护候选+0</x:v>
      </x:c>
      <x:c r="W200" s="24" t="str">
        <x:v>pseudo_buffer</x:v>
      </x:c>
      <x:c r="X200" s="24" t="str">
        <x:v>规则如果没有共同参与、反馈和执行，可能只是把不确定性压下去。</x:v>
      </x:c>
      <x:c r="Y200" s="24" t="str">
        <x:v>更多规则不一定更安全，关键是规则是否共同制定、可以执行并允许调整。</x:v>
      </x:c>
      <x:c r="Z200" s="24" t="str">
        <x:v>不得仅凭本规则断定问题已经解决、关系必然稳定、用户一定成熟、某十神天然是“药”、喜用神自动等于解决办法，或淡化暴力、强迫与现实伤害；现实行为、反例、安全事实和专业支持优先。</x:v>
      </x:c>
      <x:c r="AA200" s="24" t="str">
        <x:v>中高</x:v>
      </x:c>
      <x:c r="AB200" s="24" t="str">
        <x:v>待验证</x:v>
      </x:c>
      <x:c r="AC200" s="24" t="str"/>
      <x:c r="AD200" s="24" t="str">
        <x:v>provisional=true；保护因素的现实有效性必须由可观察行为、反馈和持续结果验证。</x:v>
      </x:c>
      <x:c r="AE200" s="24" t="str">
        <x:v>0.8</x:v>
      </x:c>
    </x:row>
    <x:row r="201" ht="52" customHeight="1">
      <x:c r="A201" s="24" t="str">
        <x:v>M4-BUFFER-200</x:v>
      </x:c>
      <x:c r="B201" s="24" t="str">
        <x:v>PB02 规则加码替代协商｜识别条件</x:v>
      </x:c>
      <x:c r="C201" s="24" t="str">
        <x:v>L4 PB01—PB08伪保护</x:v>
      </x:c>
      <x:c r="D201" s="24" t="str">
        <x:v>BUFFER-伪保护</x:v>
      </x:c>
      <x:c r="E201" s="24" t="str">
        <x:v>通用</x:v>
      </x:c>
      <x:c r="F201" s="24" t="str">
        <x:v>识别</x:v>
      </x:c>
      <x:c r="G201" s="24" t="str">
        <x:v>PB02 规则加码替代协商</x:v>
      </x:c>
      <x:c r="H201" s="24" t="str">
        <x:v>识别伪保护的现实表现。</x:v>
      </x:c>
      <x:c r="I201" s="24" t="str">
        <x:v>出现以下表面保护：遇到混乱就增加规则、要求和边界条款，短期看似更有秩序。</x:v>
      </x:c>
      <x:c r="J201" s="24" t="str">
        <x:v>没有对应风险靶点，或现实结果清楚显示链条已改变。</x:v>
      </x:c>
      <x:c r="K201" s="24" t="str">
        <x:v>由共享基础引擎提供；仅修正保护功能的承载、持续调用和压力状态下的稳定性，不直接等同成熟度、道德或现实行为。</x:v>
      </x:c>
      <x:c r="L201" s="24" t="str">
        <x:v>由M1／M2接口提供；夫妻星、心动原型和关系门槛只说明关系议题，不单独证明保护因素已经被调用或有效。</x:v>
      </x:c>
      <x:c r="M201" s="24" t="str">
        <x:v>由M3-BASE及M4各模块提供；日支、日柱近位可提高与亲密关系核心的相关性，但同一source_id不得重复计分。</x:v>
      </x:c>
      <x:c r="N201" s="24" t="str">
        <x:v>保护因素必须明确限制过用、补足缺位、恢复顺序、打开反馈、落实改变或完成修复回流；不能只凭五行相生补写现实效果。</x:v>
      </x:c>
      <x:c r="O201" s="24" t="str">
        <x:v>近位提高进入亲密关系核心的概率；远位只作背景、阶段或条件性修正。</x:v>
      </x:c>
      <x:c r="P201" s="24" t="str">
        <x:v>根气只修正该保护功能是否容易重复调用，不等于现实中已经形成稳定保护。</x:v>
      </x:c>
      <x:c r="Q201" s="24" t="str">
        <x:v>旺弱只修正调用强度与承载；强不自动有效，弱也不自动无效。</x:v>
      </x:c>
      <x:c r="R201" s="24" t="str">
        <x:v>喜忌只修正摩擦、平衡与承载，不可直接翻译为好坏、成熟度或解决方案。</x:v>
      </x:c>
      <x:c r="S201" s="24" t="str">
        <x:v>原十神功能有效；真合化成立时按化神功能替换，合化争议时停止定性。</x:v>
      </x:c>
      <x:c r="T201" s="24" t="str">
        <x:v>近位提高直接相关性；远位仅保留背景、阶段或低置信修正。</x:v>
      </x:c>
      <x:c r="U201" s="24" t="str">
        <x:v>92</x:v>
      </x:c>
      <x:c r="V201" s="24" t="str">
        <x:v>命中+6</x:v>
      </x:c>
      <x:c r="W201" s="24" t="str">
        <x:v>buffer_evidence</x:v>
      </x:c>
      <x:c r="X201" s="24" t="str">
        <x:v>识别重点：检查规则是否由双方协商、是否可执行、是否允许反馈和调整。</x:v>
      </x:c>
      <x:c r="Y201" s="24" t="str">
        <x:v>需要继续检查：检查规则是否由双方协商、是否可执行、是否允许反馈和调整。</x:v>
      </x:c>
      <x:c r="Z201" s="24" t="str">
        <x:v>不得仅凭本规则断定问题已经解决、关系必然稳定、用户一定成熟、某十神天然是“药”、喜用神自动等于解决办法，或淡化暴力、强迫与现实伤害；现实行为、反例、安全事实和专业支持优先。</x:v>
      </x:c>
      <x:c r="AA201" s="24" t="str">
        <x:v>中高</x:v>
      </x:c>
      <x:c r="AB201" s="24" t="str">
        <x:v>待验证</x:v>
      </x:c>
      <x:c r="AC201" s="24" t="str"/>
      <x:c r="AD201" s="24" t="str">
        <x:v>provisional=true；保护因素的现实有效性必须由可观察行为、反馈和持续结果验证。</x:v>
      </x:c>
      <x:c r="AE201" s="24" t="str">
        <x:v>0.8</x:v>
      </x:c>
    </x:row>
    <x:row r="202" ht="52" customHeight="1">
      <x:c r="A202" s="24" t="str">
        <x:v>M4-BUFFER-201</x:v>
      </x:c>
      <x:c r="B202" s="24" t="str">
        <x:v>PB02 规则加码替代协商｜为什么无效</x:v>
      </x:c>
      <x:c r="C202" s="24" t="str">
        <x:v>L4 PB01—PB08伪保护</x:v>
      </x:c>
      <x:c r="D202" s="24" t="str">
        <x:v>BUFFER-伪保护</x:v>
      </x:c>
      <x:c r="E202" s="24" t="str">
        <x:v>通用</x:v>
      </x:c>
      <x:c r="F202" s="24" t="str">
        <x:v>逻辑</x:v>
      </x:c>
      <x:c r="G202" s="24" t="str">
        <x:v>PB02 规则加码替代协商</x:v>
      </x:c>
      <x:c r="H202" s="24" t="str">
        <x:v>说明表面有效与真实有效的差别。</x:v>
      </x:c>
      <x:c r="I202" s="24" t="str">
        <x:v>遇到混乱就增加规则、要求和边界条款，短期看似更有秩序。</x:v>
      </x:c>
      <x:c r="J202" s="24" t="str">
        <x:v>已经完成反馈、执行与反例检验。</x:v>
      </x:c>
      <x:c r="K202" s="24" t="str">
        <x:v>由共享基础引擎提供；仅修正保护功能的承载、持续调用和压力状态下的稳定性，不直接等同成熟度、道德或现实行为。</x:v>
      </x:c>
      <x:c r="L202" s="24" t="str">
        <x:v>由M1／M2接口提供；夫妻星、心动原型和关系门槛只说明关系议题，不单独证明保护因素已经被调用或有效。</x:v>
      </x:c>
      <x:c r="M202" s="24" t="str">
        <x:v>由M3-BASE及M4各模块提供；日支、日柱近位可提高与亲密关系核心的相关性，但同一source_id不得重复计分。</x:v>
      </x:c>
      <x:c r="N202" s="24" t="str">
        <x:v>保护因素必须明确限制过用、补足缺位、恢复顺序、打开反馈、落实改变或完成修复回流；不能只凭五行相生补写现实效果。</x:v>
      </x:c>
      <x:c r="O202" s="24" t="str">
        <x:v>近位提高进入亲密关系核心的概率；远位只作背景、阶段或条件性修正。</x:v>
      </x:c>
      <x:c r="P202" s="24" t="str">
        <x:v>根气只修正该保护功能是否容易重复调用，不等于现实中已经形成稳定保护。</x:v>
      </x:c>
      <x:c r="Q202" s="24" t="str">
        <x:v>旺弱只修正调用强度与承载；强不自动有效，弱也不自动无效。</x:v>
      </x:c>
      <x:c r="R202" s="24" t="str">
        <x:v>喜忌只修正摩擦、平衡与承载，不可直接翻译为好坏、成熟度或解决方案。</x:v>
      </x:c>
      <x:c r="S202" s="24" t="str">
        <x:v>原十神功能有效；真合化成立时按化神功能替换，合化争议时停止定性。</x:v>
      </x:c>
      <x:c r="T202" s="24" t="str">
        <x:v>近位提高直接相关性；远位仅保留背景、阶段或低置信修正。</x:v>
      </x:c>
      <x:c r="U202" s="24" t="str">
        <x:v>90</x:v>
      </x:c>
      <x:c r="V202" s="24" t="str">
        <x:v>不加分；解释</x:v>
      </x:c>
      <x:c r="W202" s="24" t="str">
        <x:v>boundary_note</x:v>
      </x:c>
      <x:c r="X202" s="24" t="str">
        <x:v>规则如果没有共同参与、反馈和执行，可能只是把不确定性压下去。</x:v>
      </x:c>
      <x:c r="Y202" s="24" t="str">
        <x:v>表面上它能暂时降低不适，但还不能证明关键关系任务已经完成。</x:v>
      </x:c>
      <x:c r="Z202" s="24" t="str">
        <x:v>不得仅凭本规则断定问题已经解决、关系必然稳定、用户一定成熟、某十神天然是“药”、喜用神自动等于解决办法，或淡化暴力、强迫与现实伤害；现实行为、反例、安全事实和专业支持优先。</x:v>
      </x:c>
      <x:c r="AA202" s="24" t="str">
        <x:v>中高</x:v>
      </x:c>
      <x:c r="AB202" s="24" t="str">
        <x:v>待验证</x:v>
      </x:c>
      <x:c r="AC202" s="24" t="str"/>
      <x:c r="AD202" s="24" t="str">
        <x:v>provisional=true；保护因素的现实有效性必须由可观察行为、反馈和持续结果验证。</x:v>
      </x:c>
      <x:c r="AE202" s="24" t="str">
        <x:v>0.8</x:v>
      </x:c>
    </x:row>
    <x:row r="203" ht="52" customHeight="1">
      <x:c r="A203" s="24" t="str">
        <x:v>M4-BUFFER-202</x:v>
      </x:c>
      <x:c r="B203" s="24" t="str">
        <x:v>PB02 规则加码替代协商｜反例门控</x:v>
      </x:c>
      <x:c r="C203" s="24" t="str">
        <x:v>L4 PB01—PB08伪保护</x:v>
      </x:c>
      <x:c r="D203" s="24" t="str">
        <x:v>BUFFER-伪保护</x:v>
      </x:c>
      <x:c r="E203" s="24" t="str">
        <x:v>通用</x:v>
      </x:c>
      <x:c r="F203" s="24" t="str">
        <x:v>反例</x:v>
      </x:c>
      <x:c r="G203" s="24" t="str">
        <x:v>PB02 规则加码替代协商</x:v>
      </x:c>
      <x:c r="H203" s="24" t="str">
        <x:v>防止把真实有效资源误判为伪保护。</x:v>
      </x:c>
      <x:c r="I203" s="24" t="str">
        <x:v>没有观察到最小可执行规则被共同确认，并在后续真实执行。。</x:v>
      </x:c>
      <x:c r="J203" s="24" t="str">
        <x:v>已经观察到最小可执行规则被共同确认，并在后续真实执行。，并在相似情境中重复。</x:v>
      </x:c>
      <x:c r="K203" s="24" t="str">
        <x:v>由共享基础引擎提供；仅修正保护功能的承载、持续调用和压力状态下的稳定性，不直接等同成熟度、道德或现实行为。</x:v>
      </x:c>
      <x:c r="L203" s="24" t="str">
        <x:v>由M1／M2接口提供；夫妻星、心动原型和关系门槛只说明关系议题，不单独证明保护因素已经被调用或有效。</x:v>
      </x:c>
      <x:c r="M203" s="24" t="str">
        <x:v>由M3-BASE及M4各模块提供；日支、日柱近位可提高与亲密关系核心的相关性，但同一source_id不得重复计分。</x:v>
      </x:c>
      <x:c r="N203" s="24" t="str">
        <x:v>保护因素必须明确限制过用、补足缺位、恢复顺序、打开反馈、落实改变或完成修复回流；不能只凭五行相生补写现实效果。</x:v>
      </x:c>
      <x:c r="O203" s="24" t="str">
        <x:v>近位提高进入亲密关系核心的概率；远位只作背景、阶段或条件性修正。</x:v>
      </x:c>
      <x:c r="P203" s="24" t="str">
        <x:v>根气只修正该保护功能是否容易重复调用，不等于现实中已经形成稳定保护。</x:v>
      </x:c>
      <x:c r="Q203" s="24" t="str">
        <x:v>旺弱只修正调用强度与承载；强不自动有效，弱也不自动无效。</x:v>
      </x:c>
      <x:c r="R203" s="24" t="str">
        <x:v>喜忌只修正摩擦、平衡与承载，不可直接翻译为好坏、成熟度或解决方案。</x:v>
      </x:c>
      <x:c r="S203" s="24" t="str">
        <x:v>原十神功能有效；真合化成立时按化神功能替换，合化争议时停止定性。</x:v>
      </x:c>
      <x:c r="T203" s="24" t="str">
        <x:v>近位提高直接相关性；远位仅保留背景、阶段或低置信修正。</x:v>
      </x:c>
      <x:c r="U203" s="24" t="str">
        <x:v>97</x:v>
      </x:c>
      <x:c r="V203" s="24" t="str">
        <x:v>反例则停止</x:v>
      </x:c>
      <x:c r="W203" s="24" t="str">
        <x:v>counterevidence</x:v>
      </x:c>
      <x:c r="X203" s="24" t="str">
        <x:v>若已经满足：最小可执行规则被共同确认，并在后续真实执行。，则应停止PB候选并升级至相应BF。</x:v>
      </x:c>
      <x:c r="Y203" s="24" t="str">
        <x:v>若现实中已经做到“最小可执行规则被共同确认，并在后续真实执行。”，就不应再把它视为表面保护。</x:v>
      </x:c>
      <x:c r="Z203" s="24" t="str">
        <x:v>不得仅凭本规则断定问题已经解决、关系必然稳定、用户一定成熟、某十神天然是“药”、喜用神自动等于解决办法，或淡化暴力、强迫与现实伤害；现实行为、反例、安全事实和专业支持优先。</x:v>
      </x:c>
      <x:c r="AA203" s="24" t="str">
        <x:v>高</x:v>
      </x:c>
      <x:c r="AB203" s="24" t="str">
        <x:v>待验证</x:v>
      </x:c>
      <x:c r="AC203" s="24" t="str"/>
      <x:c r="AD203" s="24" t="str">
        <x:v>provisional=true；保护因素的现实有效性必须由可观察行为、反馈和持续结果验证。</x:v>
      </x:c>
      <x:c r="AE203" s="24" t="str">
        <x:v>0.8</x:v>
      </x:c>
    </x:row>
    <x:row r="204" ht="52" customHeight="1">
      <x:c r="A204" s="24" t="str">
        <x:v>M4-BUFFER-203</x:v>
      </x:c>
      <x:c r="B204" s="24" t="str">
        <x:v>PB02 规则加码替代协商｜退出条件</x:v>
      </x:c>
      <x:c r="C204" s="24" t="str">
        <x:v>L4 PB01—PB08伪保护</x:v>
      </x:c>
      <x:c r="D204" s="24" t="str">
        <x:v>BUFFER-伪保护</x:v>
      </x:c>
      <x:c r="E204" s="24" t="str">
        <x:v>通用</x:v>
      </x:c>
      <x:c r="F204" s="24" t="str">
        <x:v>退出</x:v>
      </x:c>
      <x:c r="G204" s="24" t="str">
        <x:v>PB02 规则加码替代协商</x:v>
      </x:c>
      <x:c r="H204" s="24" t="str">
        <x:v>说明伪保护如何转成有效保护。</x:v>
      </x:c>
      <x:c r="I204" s="24" t="str">
        <x:v>最小可执行规则被共同确认，并在后续真实执行。</x:v>
      </x:c>
      <x:c r="J204" s="24" t="str">
        <x:v>只有一次口头承诺或单次动作。</x:v>
      </x:c>
      <x:c r="K204" s="24" t="str">
        <x:v>由共享基础引擎提供；仅修正保护功能的承载、持续调用和压力状态下的稳定性，不直接等同成熟度、道德或现实行为。</x:v>
      </x:c>
      <x:c r="L204" s="24" t="str">
        <x:v>由M1／M2接口提供；夫妻星、心动原型和关系门槛只说明关系议题，不单独证明保护因素已经被调用或有效。</x:v>
      </x:c>
      <x:c r="M204" s="24" t="str">
        <x:v>由M3-BASE及M4各模块提供；日支、日柱近位可提高与亲密关系核心的相关性，但同一source_id不得重复计分。</x:v>
      </x:c>
      <x:c r="N204" s="24" t="str">
        <x:v>保护因素必须明确限制过用、补足缺位、恢复顺序、打开反馈、落实改变或完成修复回流；不能只凭五行相生补写现实效果。</x:v>
      </x:c>
      <x:c r="O204" s="24" t="str">
        <x:v>近位提高进入亲密关系核心的概率；远位只作背景、阶段或条件性修正。</x:v>
      </x:c>
      <x:c r="P204" s="24" t="str">
        <x:v>根气只修正该保护功能是否容易重复调用，不等于现实中已经形成稳定保护。</x:v>
      </x:c>
      <x:c r="Q204" s="24" t="str">
        <x:v>旺弱只修正调用强度与承载；强不自动有效，弱也不自动无效。</x:v>
      </x:c>
      <x:c r="R204" s="24" t="str">
        <x:v>喜忌只修正摩擦、平衡与承载，不可直接翻译为好坏、成熟度或解决方案。</x:v>
      </x:c>
      <x:c r="S204" s="24" t="str">
        <x:v>原十神功能有效；真合化成立时按化神功能替换，合化争议时停止定性。</x:v>
      </x:c>
      <x:c r="T204" s="24" t="str">
        <x:v>近位提高直接相关性；远位仅保留背景、阶段或低置信修正。</x:v>
      </x:c>
      <x:c r="U204" s="24" t="str">
        <x:v>91</x:v>
      </x:c>
      <x:c r="V204" s="24" t="str">
        <x:v>满足则转BF</x:v>
      </x:c>
      <x:c r="W204" s="24" t="str">
        <x:v>buffer_upgrade</x:v>
      </x:c>
      <x:c r="X204" s="24" t="str">
        <x:v>PB02退出条件：最小可执行规则被共同确认，并在后续真实执行。</x:v>
      </x:c>
      <x:c r="Y204" s="24" t="str">
        <x:v>这项方式要真正发挥作用，需要做到：最小可执行规则被共同确认，并在后续真实执行。</x:v>
      </x:c>
      <x:c r="Z204" s="24" t="str">
        <x:v>不得仅凭本规则断定问题已经解决、关系必然稳定、用户一定成熟、某十神天然是“药”、喜用神自动等于解决办法，或淡化暴力、强迫与现实伤害；现实行为、反例、安全事实和专业支持优先。</x:v>
      </x:c>
      <x:c r="AA204" s="24" t="str">
        <x:v>中高</x:v>
      </x:c>
      <x:c r="AB204" s="24" t="str">
        <x:v>待验证</x:v>
      </x:c>
      <x:c r="AC204" s="24" t="str"/>
      <x:c r="AD204" s="24" t="str">
        <x:v>provisional=true；保护因素的现实有效性必须由可观察行为、反馈和持续结果验证。</x:v>
      </x:c>
      <x:c r="AE204" s="24" t="str">
        <x:v>0.8</x:v>
      </x:c>
    </x:row>
    <x:row r="205" ht="52" customHeight="1">
      <x:c r="A205" s="24" t="str">
        <x:v>M4-BUFFER-204</x:v>
      </x:c>
      <x:c r="B205" s="24" t="str">
        <x:v>PB02 规则加码替代协商｜用户输出</x:v>
      </x:c>
      <x:c r="C205" s="24" t="str">
        <x:v>L4 PB01—PB08伪保护</x:v>
      </x:c>
      <x:c r="D205" s="24" t="str">
        <x:v>BUFFER-伪保护</x:v>
      </x:c>
      <x:c r="E205" s="24" t="str">
        <x:v>通用</x:v>
      </x:c>
      <x:c r="F205" s="24" t="str">
        <x:v>语言</x:v>
      </x:c>
      <x:c r="G205" s="24" t="str">
        <x:v>PB02 规则加码替代协商</x:v>
      </x:c>
      <x:c r="H205" s="24" t="str">
        <x:v>生成中性提醒。</x:v>
      </x:c>
      <x:c r="I205" s="24" t="str">
        <x:v>遇到混乱就增加规则、要求和边界条款，短期看似更有秩序。</x:v>
      </x:c>
      <x:c r="J205" s="24" t="str">
        <x:v>存在安全停止或资料不足。</x:v>
      </x:c>
      <x:c r="K205" s="24" t="str">
        <x:v>由共享基础引擎提供；仅修正保护功能的承载、持续调用和压力状态下的稳定性，不直接等同成熟度、道德或现实行为。</x:v>
      </x:c>
      <x:c r="L205" s="24" t="str">
        <x:v>由M1／M2接口提供；夫妻星、心动原型和关系门槛只说明关系议题，不单独证明保护因素已经被调用或有效。</x:v>
      </x:c>
      <x:c r="M205" s="24" t="str">
        <x:v>由M3-BASE及M4各模块提供；日支、日柱近位可提高与亲密关系核心的相关性，但同一source_id不得重复计分。</x:v>
      </x:c>
      <x:c r="N205" s="24" t="str">
        <x:v>保护因素必须明确限制过用、补足缺位、恢复顺序、打开反馈、落实改变或完成修复回流；不能只凭五行相生补写现实效果。</x:v>
      </x:c>
      <x:c r="O205" s="24" t="str">
        <x:v>近位提高进入亲密关系核心的概率；远位只作背景、阶段或条件性修正。</x:v>
      </x:c>
      <x:c r="P205" s="24" t="str">
        <x:v>根气只修正该保护功能是否容易重复调用，不等于现实中已经形成稳定保护。</x:v>
      </x:c>
      <x:c r="Q205" s="24" t="str">
        <x:v>旺弱只修正调用强度与承载；强不自动有效，弱也不自动无效。</x:v>
      </x:c>
      <x:c r="R205" s="24" t="str">
        <x:v>喜忌只修正摩擦、平衡与承载，不可直接翻译为好坏、成熟度或解决方案。</x:v>
      </x:c>
      <x:c r="S205" s="24" t="str">
        <x:v>原十神功能有效；真合化成立时按化神功能替换，合化争议时停止定性。</x:v>
      </x:c>
      <x:c r="T205" s="24" t="str">
        <x:v>近位提高直接相关性；远位仅保留背景、阶段或低置信修正。</x:v>
      </x:c>
      <x:c r="U205" s="24" t="str">
        <x:v>84</x:v>
      </x:c>
      <x:c r="V205" s="24" t="str">
        <x:v>不加分；输出</x:v>
      </x:c>
      <x:c r="W205" s="24" t="str">
        <x:v>report_text</x:v>
      </x:c>
      <x:c r="X205" s="24" t="str">
        <x:v>规则如果没有共同参与、反馈和执行，可能只是把不确定性压下去。</x:v>
      </x:c>
      <x:c r="Y205" s="24" t="str">
        <x:v>更多规则不一定更安全，关键是规则是否共同制定、可以执行并允许调整。</x:v>
      </x:c>
      <x:c r="Z205" s="24" t="str">
        <x:v>不得仅凭本规则断定问题已经解决、关系必然稳定、用户一定成熟、某十神天然是“药”、喜用神自动等于解决办法，或淡化暴力、强迫与现实伤害；现实行为、反例、安全事实和专业支持优先。</x:v>
      </x:c>
      <x:c r="AA205" s="24" t="str">
        <x:v>中高</x:v>
      </x:c>
      <x:c r="AB205" s="24" t="str">
        <x:v>待验证</x:v>
      </x:c>
      <x:c r="AC205" s="24" t="str"/>
      <x:c r="AD205" s="24" t="str">
        <x:v>provisional=true；保护因素的现实有效性必须由可观察行为、反馈和持续结果验证。</x:v>
      </x:c>
      <x:c r="AE205" s="24" t="str">
        <x:v>0.8</x:v>
      </x:c>
    </x:row>
    <x:row r="206" ht="52" customHeight="1">
      <x:c r="A206" s="24" t="str">
        <x:v>M4-BUFFER-205</x:v>
      </x:c>
      <x:c r="B206" s="24" t="str">
        <x:v>PB03 解释增加替代反馈｜机制定义</x:v>
      </x:c>
      <x:c r="C206" s="24" t="str">
        <x:v>L4 PB01—PB08伪保护</x:v>
      </x:c>
      <x:c r="D206" s="24" t="str">
        <x:v>BUFFER-伪保护</x:v>
      </x:c>
      <x:c r="E206" s="24" t="str">
        <x:v>通用</x:v>
      </x:c>
      <x:c r="F206" s="24" t="str">
        <x:v>定义</x:v>
      </x:c>
      <x:c r="G206" s="24" t="str">
        <x:v>PB03 解释增加替代反馈</x:v>
      </x:c>
      <x:c r="H206" s="24" t="str">
        <x:v>界定常见伪保护。</x:v>
      </x:c>
      <x:c r="I206" s="24" t="str">
        <x:v>认为只要说得更完整、更有逻辑，就能避免误解。</x:v>
      </x:c>
      <x:c r="J206" s="24" t="str">
        <x:v>该方式已经有独立反馈、现实效果与持续验证。</x:v>
      </x:c>
      <x:c r="K206" s="24" t="str">
        <x:v>由共享基础引擎提供；仅修正保护功能的承载、持续调用和压力状态下的稳定性，不直接等同成熟度、道德或现实行为。</x:v>
      </x:c>
      <x:c r="L206" s="24" t="str">
        <x:v>由M1／M2接口提供；夫妻星、心动原型和关系门槛只说明关系议题，不单独证明保护因素已经被调用或有效。</x:v>
      </x:c>
      <x:c r="M206" s="24" t="str">
        <x:v>由M3-BASE及M4各模块提供；日支、日柱近位可提高与亲密关系核心的相关性，但同一source_id不得重复计分。</x:v>
      </x:c>
      <x:c r="N206" s="24" t="str">
        <x:v>保护因素必须明确限制过用、补足缺位、恢复顺序、打开反馈、落实改变或完成修复回流；不能只凭五行相生补写现实效果。</x:v>
      </x:c>
      <x:c r="O206" s="24" t="str">
        <x:v>近位提高进入亲密关系核心的概率；远位只作背景、阶段或条件性修正。</x:v>
      </x:c>
      <x:c r="P206" s="24" t="str">
        <x:v>根气只修正该保护功能是否容易重复调用，不等于现实中已经形成稳定保护。</x:v>
      </x:c>
      <x:c r="Q206" s="24" t="str">
        <x:v>旺弱只修正调用强度与承载；强不自动有效，弱也不自动无效。</x:v>
      </x:c>
      <x:c r="R206" s="24" t="str">
        <x:v>喜忌只修正摩擦、平衡与承载，不可直接翻译为好坏、成熟度或解决方案。</x:v>
      </x:c>
      <x:c r="S206" s="24" t="str">
        <x:v>原十神功能有效；真合化成立时按化神功能替换，合化争议时停止定性。</x:v>
      </x:c>
      <x:c r="T206" s="24" t="str">
        <x:v>近位提高直接相关性；远位仅保留背景、阶段或低置信修正。</x:v>
      </x:c>
      <x:c r="U206" s="24" t="str">
        <x:v>95</x:v>
      </x:c>
      <x:c r="V206" s="24" t="str">
        <x:v>伪保护候选+0</x:v>
      </x:c>
      <x:c r="W206" s="24" t="str">
        <x:v>pseudo_buffer</x:v>
      </x:c>
      <x:c r="X206" s="24" t="str">
        <x:v>信息增加不等于对方真正接收，也可能压缩倾听和反馈。</x:v>
      </x:c>
      <x:c r="Y206" s="24" t="str">
        <x:v>说得更多不一定等于理解更深，真正的保护来自双方确认听到了什么。</x:v>
      </x:c>
      <x:c r="Z206" s="24" t="str">
        <x:v>不得仅凭本规则断定问题已经解决、关系必然稳定、用户一定成熟、某十神天然是“药”、喜用神自动等于解决办法，或淡化暴力、强迫与现实伤害；现实行为、反例、安全事实和专业支持优先。</x:v>
      </x:c>
      <x:c r="AA206" s="24" t="str">
        <x:v>中高</x:v>
      </x:c>
      <x:c r="AB206" s="24" t="str">
        <x:v>待验证</x:v>
      </x:c>
      <x:c r="AC206" s="24" t="str"/>
      <x:c r="AD206" s="24" t="str">
        <x:v>provisional=true；保护因素的现实有效性必须由可观察行为、反馈和持续结果验证。</x:v>
      </x:c>
      <x:c r="AE206" s="24" t="str">
        <x:v>0.8</x:v>
      </x:c>
    </x:row>
    <x:row r="207" ht="52" customHeight="1">
      <x:c r="A207" s="24" t="str">
        <x:v>M4-BUFFER-206</x:v>
      </x:c>
      <x:c r="B207" s="24" t="str">
        <x:v>PB03 解释增加替代反馈｜识别条件</x:v>
      </x:c>
      <x:c r="C207" s="24" t="str">
        <x:v>L4 PB01—PB08伪保护</x:v>
      </x:c>
      <x:c r="D207" s="24" t="str">
        <x:v>BUFFER-伪保护</x:v>
      </x:c>
      <x:c r="E207" s="24" t="str">
        <x:v>通用</x:v>
      </x:c>
      <x:c r="F207" s="24" t="str">
        <x:v>识别</x:v>
      </x:c>
      <x:c r="G207" s="24" t="str">
        <x:v>PB03 解释增加替代反馈</x:v>
      </x:c>
      <x:c r="H207" s="24" t="str">
        <x:v>识别伪保护的现实表现。</x:v>
      </x:c>
      <x:c r="I207" s="24" t="str">
        <x:v>出现以下表面保护：认为只要说得更完整、更有逻辑，就能避免误解。</x:v>
      </x:c>
      <x:c r="J207" s="24" t="str">
        <x:v>没有对应风险靶点，或现实结果清楚显示链条已改变。</x:v>
      </x:c>
      <x:c r="K207" s="24" t="str">
        <x:v>由共享基础引擎提供；仅修正保护功能的承载、持续调用和压力状态下的稳定性，不直接等同成熟度、道德或现实行为。</x:v>
      </x:c>
      <x:c r="L207" s="24" t="str">
        <x:v>由M1／M2接口提供；夫妻星、心动原型和关系门槛只说明关系议题，不单独证明保护因素已经被调用或有效。</x:v>
      </x:c>
      <x:c r="M207" s="24" t="str">
        <x:v>由M3-BASE及M4各模块提供；日支、日柱近位可提高与亲密关系核心的相关性，但同一source_id不得重复计分。</x:v>
      </x:c>
      <x:c r="N207" s="24" t="str">
        <x:v>保护因素必须明确限制过用、补足缺位、恢复顺序、打开反馈、落实改变或完成修复回流；不能只凭五行相生补写现实效果。</x:v>
      </x:c>
      <x:c r="O207" s="24" t="str">
        <x:v>近位提高进入亲密关系核心的概率；远位只作背景、阶段或条件性修正。</x:v>
      </x:c>
      <x:c r="P207" s="24" t="str">
        <x:v>根气只修正该保护功能是否容易重复调用，不等于现实中已经形成稳定保护。</x:v>
      </x:c>
      <x:c r="Q207" s="24" t="str">
        <x:v>旺弱只修正调用强度与承载；强不自动有效，弱也不自动无效。</x:v>
      </x:c>
      <x:c r="R207" s="24" t="str">
        <x:v>喜忌只修正摩擦、平衡与承载，不可直接翻译为好坏、成熟度或解决方案。</x:v>
      </x:c>
      <x:c r="S207" s="24" t="str">
        <x:v>原十神功能有效；真合化成立时按化神功能替换，合化争议时停止定性。</x:v>
      </x:c>
      <x:c r="T207" s="24" t="str">
        <x:v>近位提高直接相关性；远位仅保留背景、阶段或低置信修正。</x:v>
      </x:c>
      <x:c r="U207" s="24" t="str">
        <x:v>92</x:v>
      </x:c>
      <x:c r="V207" s="24" t="str">
        <x:v>命中+6</x:v>
      </x:c>
      <x:c r="W207" s="24" t="str">
        <x:v>buffer_evidence</x:v>
      </x:c>
      <x:c r="X207" s="24" t="str">
        <x:v>识别重点：检查是否有复述理解、对方反馈和二次修正。</x:v>
      </x:c>
      <x:c r="Y207" s="24" t="str">
        <x:v>需要继续检查：检查是否有复述理解、对方反馈和二次修正。</x:v>
      </x:c>
      <x:c r="Z207" s="24" t="str">
        <x:v>不得仅凭本规则断定问题已经解决、关系必然稳定、用户一定成熟、某十神天然是“药”、喜用神自动等于解决办法，或淡化暴力、强迫与现实伤害；现实行为、反例、安全事实和专业支持优先。</x:v>
      </x:c>
      <x:c r="AA207" s="24" t="str">
        <x:v>中高</x:v>
      </x:c>
      <x:c r="AB207" s="24" t="str">
        <x:v>待验证</x:v>
      </x:c>
      <x:c r="AC207" s="24" t="str"/>
      <x:c r="AD207" s="24" t="str">
        <x:v>provisional=true；保护因素的现实有效性必须由可观察行为、反馈和持续结果验证。</x:v>
      </x:c>
      <x:c r="AE207" s="24" t="str">
        <x:v>0.8</x:v>
      </x:c>
    </x:row>
    <x:row r="208" ht="52" customHeight="1">
      <x:c r="A208" s="24" t="str">
        <x:v>M4-BUFFER-207</x:v>
      </x:c>
      <x:c r="B208" s="24" t="str">
        <x:v>PB03 解释增加替代反馈｜为什么无效</x:v>
      </x:c>
      <x:c r="C208" s="24" t="str">
        <x:v>L4 PB01—PB08伪保护</x:v>
      </x:c>
      <x:c r="D208" s="24" t="str">
        <x:v>BUFFER-伪保护</x:v>
      </x:c>
      <x:c r="E208" s="24" t="str">
        <x:v>通用</x:v>
      </x:c>
      <x:c r="F208" s="24" t="str">
        <x:v>逻辑</x:v>
      </x:c>
      <x:c r="G208" s="24" t="str">
        <x:v>PB03 解释增加替代反馈</x:v>
      </x:c>
      <x:c r="H208" s="24" t="str">
        <x:v>说明表面有效与真实有效的差别。</x:v>
      </x:c>
      <x:c r="I208" s="24" t="str">
        <x:v>认为只要说得更完整、更有逻辑，就能避免误解。</x:v>
      </x:c>
      <x:c r="J208" s="24" t="str">
        <x:v>已经完成反馈、执行与反例检验。</x:v>
      </x:c>
      <x:c r="K208" s="24" t="str">
        <x:v>由共享基础引擎提供；仅修正保护功能的承载、持续调用和压力状态下的稳定性，不直接等同成熟度、道德或现实行为。</x:v>
      </x:c>
      <x:c r="L208" s="24" t="str">
        <x:v>由M1／M2接口提供；夫妻星、心动原型和关系门槛只说明关系议题，不单独证明保护因素已经被调用或有效。</x:v>
      </x:c>
      <x:c r="M208" s="24" t="str">
        <x:v>由M3-BASE及M4各模块提供；日支、日柱近位可提高与亲密关系核心的相关性，但同一source_id不得重复计分。</x:v>
      </x:c>
      <x:c r="N208" s="24" t="str">
        <x:v>保护因素必须明确限制过用、补足缺位、恢复顺序、打开反馈、落实改变或完成修复回流；不能只凭五行相生补写现实效果。</x:v>
      </x:c>
      <x:c r="O208" s="24" t="str">
        <x:v>近位提高进入亲密关系核心的概率；远位只作背景、阶段或条件性修正。</x:v>
      </x:c>
      <x:c r="P208" s="24" t="str">
        <x:v>根气只修正该保护功能是否容易重复调用，不等于现实中已经形成稳定保护。</x:v>
      </x:c>
      <x:c r="Q208" s="24" t="str">
        <x:v>旺弱只修正调用强度与承载；强不自动有效，弱也不自动无效。</x:v>
      </x:c>
      <x:c r="R208" s="24" t="str">
        <x:v>喜忌只修正摩擦、平衡与承载，不可直接翻译为好坏、成熟度或解决方案。</x:v>
      </x:c>
      <x:c r="S208" s="24" t="str">
        <x:v>原十神功能有效；真合化成立时按化神功能替换，合化争议时停止定性。</x:v>
      </x:c>
      <x:c r="T208" s="24" t="str">
        <x:v>近位提高直接相关性；远位仅保留背景、阶段或低置信修正。</x:v>
      </x:c>
      <x:c r="U208" s="24" t="str">
        <x:v>90</x:v>
      </x:c>
      <x:c r="V208" s="24" t="str">
        <x:v>不加分；解释</x:v>
      </x:c>
      <x:c r="W208" s="24" t="str">
        <x:v>boundary_note</x:v>
      </x:c>
      <x:c r="X208" s="24" t="str">
        <x:v>信息增加不等于对方真正接收，也可能压缩倾听和反馈。</x:v>
      </x:c>
      <x:c r="Y208" s="24" t="str">
        <x:v>表面上它能暂时降低不适，但还不能证明关键关系任务已经完成。</x:v>
      </x:c>
      <x:c r="Z208" s="24" t="str">
        <x:v>不得仅凭本规则断定问题已经解决、关系必然稳定、用户一定成熟、某十神天然是“药”、喜用神自动等于解决办法，或淡化暴力、强迫与现实伤害；现实行为、反例、安全事实和专业支持优先。</x:v>
      </x:c>
      <x:c r="AA208" s="24" t="str">
        <x:v>中高</x:v>
      </x:c>
      <x:c r="AB208" s="24" t="str">
        <x:v>待验证</x:v>
      </x:c>
      <x:c r="AC208" s="24" t="str"/>
      <x:c r="AD208" s="24" t="str">
        <x:v>provisional=true；保护因素的现实有效性必须由可观察行为、反馈和持续结果验证。</x:v>
      </x:c>
      <x:c r="AE208" s="24" t="str">
        <x:v>0.8</x:v>
      </x:c>
    </x:row>
    <x:row r="209" ht="52" customHeight="1">
      <x:c r="A209" s="24" t="str">
        <x:v>M4-BUFFER-208</x:v>
      </x:c>
      <x:c r="B209" s="24" t="str">
        <x:v>PB03 解释增加替代反馈｜反例门控</x:v>
      </x:c>
      <x:c r="C209" s="24" t="str">
        <x:v>L4 PB01—PB08伪保护</x:v>
      </x:c>
      <x:c r="D209" s="24" t="str">
        <x:v>BUFFER-伪保护</x:v>
      </x:c>
      <x:c r="E209" s="24" t="str">
        <x:v>通用</x:v>
      </x:c>
      <x:c r="F209" s="24" t="str">
        <x:v>反例</x:v>
      </x:c>
      <x:c r="G209" s="24" t="str">
        <x:v>PB03 解释增加替代反馈</x:v>
      </x:c>
      <x:c r="H209" s="24" t="str">
        <x:v>防止把真实有效资源误判为伪保护。</x:v>
      </x:c>
      <x:c r="I209" s="24" t="str">
        <x:v>没有观察到表达与接收反馈形成往返，而不是单向输出。。</x:v>
      </x:c>
      <x:c r="J209" s="24" t="str">
        <x:v>已经观察到表达与接收反馈形成往返，而不是单向输出。，并在相似情境中重复。</x:v>
      </x:c>
      <x:c r="K209" s="24" t="str">
        <x:v>由共享基础引擎提供；仅修正保护功能的承载、持续调用和压力状态下的稳定性，不直接等同成熟度、道德或现实行为。</x:v>
      </x:c>
      <x:c r="L209" s="24" t="str">
        <x:v>由M1／M2接口提供；夫妻星、心动原型和关系门槛只说明关系议题，不单独证明保护因素已经被调用或有效。</x:v>
      </x:c>
      <x:c r="M209" s="24" t="str">
        <x:v>由M3-BASE及M4各模块提供；日支、日柱近位可提高与亲密关系核心的相关性，但同一source_id不得重复计分。</x:v>
      </x:c>
      <x:c r="N209" s="24" t="str">
        <x:v>保护因素必须明确限制过用、补足缺位、恢复顺序、打开反馈、落实改变或完成修复回流；不能只凭五行相生补写现实效果。</x:v>
      </x:c>
      <x:c r="O209" s="24" t="str">
        <x:v>近位提高进入亲密关系核心的概率；远位只作背景、阶段或条件性修正。</x:v>
      </x:c>
      <x:c r="P209" s="24" t="str">
        <x:v>根气只修正该保护功能是否容易重复调用，不等于现实中已经形成稳定保护。</x:v>
      </x:c>
      <x:c r="Q209" s="24" t="str">
        <x:v>旺弱只修正调用强度与承载；强不自动有效，弱也不自动无效。</x:v>
      </x:c>
      <x:c r="R209" s="24" t="str">
        <x:v>喜忌只修正摩擦、平衡与承载，不可直接翻译为好坏、成熟度或解决方案。</x:v>
      </x:c>
      <x:c r="S209" s="24" t="str">
        <x:v>原十神功能有效；真合化成立时按化神功能替换，合化争议时停止定性。</x:v>
      </x:c>
      <x:c r="T209" s="24" t="str">
        <x:v>近位提高直接相关性；远位仅保留背景、阶段或低置信修正。</x:v>
      </x:c>
      <x:c r="U209" s="24" t="str">
        <x:v>97</x:v>
      </x:c>
      <x:c r="V209" s="24" t="str">
        <x:v>反例则停止</x:v>
      </x:c>
      <x:c r="W209" s="24" t="str">
        <x:v>counterevidence</x:v>
      </x:c>
      <x:c r="X209" s="24" t="str">
        <x:v>若已经满足：表达与接收反馈形成往返，而不是单向输出。，则应停止PB候选并升级至相应BF。</x:v>
      </x:c>
      <x:c r="Y209" s="24" t="str">
        <x:v>若现实中已经做到“表达与接收反馈形成往返，而不是单向输出。”，就不应再把它视为表面保护。</x:v>
      </x:c>
      <x:c r="Z209" s="24" t="str">
        <x:v>不得仅凭本规则断定问题已经解决、关系必然稳定、用户一定成熟、某十神天然是“药”、喜用神自动等于解决办法，或淡化暴力、强迫与现实伤害；现实行为、反例、安全事实和专业支持优先。</x:v>
      </x:c>
      <x:c r="AA209" s="24" t="str">
        <x:v>高</x:v>
      </x:c>
      <x:c r="AB209" s="24" t="str">
        <x:v>待验证</x:v>
      </x:c>
      <x:c r="AC209" s="24" t="str"/>
      <x:c r="AD209" s="24" t="str">
        <x:v>provisional=true；保护因素的现实有效性必须由可观察行为、反馈和持续结果验证。</x:v>
      </x:c>
      <x:c r="AE209" s="24" t="str">
        <x:v>0.8</x:v>
      </x:c>
    </x:row>
    <x:row r="210" ht="52" customHeight="1">
      <x:c r="A210" s="24" t="str">
        <x:v>M4-BUFFER-209</x:v>
      </x:c>
      <x:c r="B210" s="24" t="str">
        <x:v>PB03 解释增加替代反馈｜退出条件</x:v>
      </x:c>
      <x:c r="C210" s="24" t="str">
        <x:v>L4 PB01—PB08伪保护</x:v>
      </x:c>
      <x:c r="D210" s="24" t="str">
        <x:v>BUFFER-伪保护</x:v>
      </x:c>
      <x:c r="E210" s="24" t="str">
        <x:v>通用</x:v>
      </x:c>
      <x:c r="F210" s="24" t="str">
        <x:v>退出</x:v>
      </x:c>
      <x:c r="G210" s="24" t="str">
        <x:v>PB03 解释增加替代反馈</x:v>
      </x:c>
      <x:c r="H210" s="24" t="str">
        <x:v>说明伪保护如何转成有效保护。</x:v>
      </x:c>
      <x:c r="I210" s="24" t="str">
        <x:v>表达与接收反馈形成往返，而不是单向输出。</x:v>
      </x:c>
      <x:c r="J210" s="24" t="str">
        <x:v>只有一次口头承诺或单次动作。</x:v>
      </x:c>
      <x:c r="K210" s="24" t="str">
        <x:v>由共享基础引擎提供；仅修正保护功能的承载、持续调用和压力状态下的稳定性，不直接等同成熟度、道德或现实行为。</x:v>
      </x:c>
      <x:c r="L210" s="24" t="str">
        <x:v>由M1／M2接口提供；夫妻星、心动原型和关系门槛只说明关系议题，不单独证明保护因素已经被调用或有效。</x:v>
      </x:c>
      <x:c r="M210" s="24" t="str">
        <x:v>由M3-BASE及M4各模块提供；日支、日柱近位可提高与亲密关系核心的相关性，但同一source_id不得重复计分。</x:v>
      </x:c>
      <x:c r="N210" s="24" t="str">
        <x:v>保护因素必须明确限制过用、补足缺位、恢复顺序、打开反馈、落实改变或完成修复回流；不能只凭五行相生补写现实效果。</x:v>
      </x:c>
      <x:c r="O210" s="24" t="str">
        <x:v>近位提高进入亲密关系核心的概率；远位只作背景、阶段或条件性修正。</x:v>
      </x:c>
      <x:c r="P210" s="24" t="str">
        <x:v>根气只修正该保护功能是否容易重复调用，不等于现实中已经形成稳定保护。</x:v>
      </x:c>
      <x:c r="Q210" s="24" t="str">
        <x:v>旺弱只修正调用强度与承载；强不自动有效，弱也不自动无效。</x:v>
      </x:c>
      <x:c r="R210" s="24" t="str">
        <x:v>喜忌只修正摩擦、平衡与承载，不可直接翻译为好坏、成熟度或解决方案。</x:v>
      </x:c>
      <x:c r="S210" s="24" t="str">
        <x:v>原十神功能有效；真合化成立时按化神功能替换，合化争议时停止定性。</x:v>
      </x:c>
      <x:c r="T210" s="24" t="str">
        <x:v>近位提高直接相关性；远位仅保留背景、阶段或低置信修正。</x:v>
      </x:c>
      <x:c r="U210" s="24" t="str">
        <x:v>91</x:v>
      </x:c>
      <x:c r="V210" s="24" t="str">
        <x:v>满足则转BF</x:v>
      </x:c>
      <x:c r="W210" s="24" t="str">
        <x:v>buffer_upgrade</x:v>
      </x:c>
      <x:c r="X210" s="24" t="str">
        <x:v>PB03退出条件：表达与接收反馈形成往返，而不是单向输出。</x:v>
      </x:c>
      <x:c r="Y210" s="24" t="str">
        <x:v>这项方式要真正发挥作用，需要做到：表达与接收反馈形成往返，而不是单向输出。</x:v>
      </x:c>
      <x:c r="Z210" s="24" t="str">
        <x:v>不得仅凭本规则断定问题已经解决、关系必然稳定、用户一定成熟、某十神天然是“药”、喜用神自动等于解决办法，或淡化暴力、强迫与现实伤害；现实行为、反例、安全事实和专业支持优先。</x:v>
      </x:c>
      <x:c r="AA210" s="24" t="str">
        <x:v>中高</x:v>
      </x:c>
      <x:c r="AB210" s="24" t="str">
        <x:v>待验证</x:v>
      </x:c>
      <x:c r="AC210" s="24" t="str"/>
      <x:c r="AD210" s="24" t="str">
        <x:v>provisional=true；保护因素的现实有效性必须由可观察行为、反馈和持续结果验证。</x:v>
      </x:c>
      <x:c r="AE210" s="24" t="str">
        <x:v>0.8</x:v>
      </x:c>
    </x:row>
    <x:row r="211" ht="52" customHeight="1">
      <x:c r="A211" s="24" t="str">
        <x:v>M4-BUFFER-210</x:v>
      </x:c>
      <x:c r="B211" s="24" t="str">
        <x:v>PB03 解释增加替代反馈｜用户输出</x:v>
      </x:c>
      <x:c r="C211" s="24" t="str">
        <x:v>L4 PB01—PB08伪保护</x:v>
      </x:c>
      <x:c r="D211" s="24" t="str">
        <x:v>BUFFER-伪保护</x:v>
      </x:c>
      <x:c r="E211" s="24" t="str">
        <x:v>通用</x:v>
      </x:c>
      <x:c r="F211" s="24" t="str">
        <x:v>语言</x:v>
      </x:c>
      <x:c r="G211" s="24" t="str">
        <x:v>PB03 解释增加替代反馈</x:v>
      </x:c>
      <x:c r="H211" s="24" t="str">
        <x:v>生成中性提醒。</x:v>
      </x:c>
      <x:c r="I211" s="24" t="str">
        <x:v>认为只要说得更完整、更有逻辑，就能避免误解。</x:v>
      </x:c>
      <x:c r="J211" s="24" t="str">
        <x:v>存在安全停止或资料不足。</x:v>
      </x:c>
      <x:c r="K211" s="24" t="str">
        <x:v>由共享基础引擎提供；仅修正保护功能的承载、持续调用和压力状态下的稳定性，不直接等同成熟度、道德或现实行为。</x:v>
      </x:c>
      <x:c r="L211" s="24" t="str">
        <x:v>由M1／M2接口提供；夫妻星、心动原型和关系门槛只说明关系议题，不单独证明保护因素已经被调用或有效。</x:v>
      </x:c>
      <x:c r="M211" s="24" t="str">
        <x:v>由M3-BASE及M4各模块提供；日支、日柱近位可提高与亲密关系核心的相关性，但同一source_id不得重复计分。</x:v>
      </x:c>
      <x:c r="N211" s="24" t="str">
        <x:v>保护因素必须明确限制过用、补足缺位、恢复顺序、打开反馈、落实改变或完成修复回流；不能只凭五行相生补写现实效果。</x:v>
      </x:c>
      <x:c r="O211" s="24" t="str">
        <x:v>近位提高进入亲密关系核心的概率；远位只作背景、阶段或条件性修正。</x:v>
      </x:c>
      <x:c r="P211" s="24" t="str">
        <x:v>根气只修正该保护功能是否容易重复调用，不等于现实中已经形成稳定保护。</x:v>
      </x:c>
      <x:c r="Q211" s="24" t="str">
        <x:v>旺弱只修正调用强度与承载；强不自动有效，弱也不自动无效。</x:v>
      </x:c>
      <x:c r="R211" s="24" t="str">
        <x:v>喜忌只修正摩擦、平衡与承载，不可直接翻译为好坏、成熟度或解决方案。</x:v>
      </x:c>
      <x:c r="S211" s="24" t="str">
        <x:v>原十神功能有效；真合化成立时按化神功能替换，合化争议时停止定性。</x:v>
      </x:c>
      <x:c r="T211" s="24" t="str">
        <x:v>近位提高直接相关性；远位仅保留背景、阶段或低置信修正。</x:v>
      </x:c>
      <x:c r="U211" s="24" t="str">
        <x:v>84</x:v>
      </x:c>
      <x:c r="V211" s="24" t="str">
        <x:v>不加分；输出</x:v>
      </x:c>
      <x:c r="W211" s="24" t="str">
        <x:v>report_text</x:v>
      </x:c>
      <x:c r="X211" s="24" t="str">
        <x:v>信息增加不等于对方真正接收，也可能压缩倾听和反馈。</x:v>
      </x:c>
      <x:c r="Y211" s="24" t="str">
        <x:v>说得更多不一定等于理解更深，真正的保护来自双方确认听到了什么。</x:v>
      </x:c>
      <x:c r="Z211" s="24" t="str">
        <x:v>不得仅凭本规则断定问题已经解决、关系必然稳定、用户一定成熟、某十神天然是“药”、喜用神自动等于解决办法，或淡化暴力、强迫与现实伤害；现实行为、反例、安全事实和专业支持优先。</x:v>
      </x:c>
      <x:c r="AA211" s="24" t="str">
        <x:v>中高</x:v>
      </x:c>
      <x:c r="AB211" s="24" t="str">
        <x:v>待验证</x:v>
      </x:c>
      <x:c r="AC211" s="24" t="str"/>
      <x:c r="AD211" s="24" t="str">
        <x:v>provisional=true；保护因素的现实有效性必须由可观察行为、反馈和持续结果验证。</x:v>
      </x:c>
      <x:c r="AE211" s="24" t="str">
        <x:v>0.8</x:v>
      </x:c>
    </x:row>
    <x:row r="212" ht="52" customHeight="1">
      <x:c r="A212" s="24" t="str">
        <x:v>M4-BUFFER-211</x:v>
      </x:c>
      <x:c r="B212" s="24" t="str">
        <x:v>PB04 投入补偿替代责任与边界｜机制定义</x:v>
      </x:c>
      <x:c r="C212" s="24" t="str">
        <x:v>L4 PB01—PB08伪保护</x:v>
      </x:c>
      <x:c r="D212" s="24" t="str">
        <x:v>BUFFER-伪保护</x:v>
      </x:c>
      <x:c r="E212" s="24" t="str">
        <x:v>通用</x:v>
      </x:c>
      <x:c r="F212" s="24" t="str">
        <x:v>定义</x:v>
      </x:c>
      <x:c r="G212" s="24" t="str">
        <x:v>PB04 投入补偿替代责任与边界</x:v>
      </x:c>
      <x:c r="H212" s="24" t="str">
        <x:v>界定常见伪保护。</x:v>
      </x:c>
      <x:c r="I212" s="24" t="str">
        <x:v>通过花时间、花钱、做事或照顾来弥补关系问题。</x:v>
      </x:c>
      <x:c r="J212" s="24" t="str">
        <x:v>该方式已经有独立反馈、现实效果与持续验证。</x:v>
      </x:c>
      <x:c r="K212" s="24" t="str">
        <x:v>由共享基础引擎提供；仅修正保护功能的承载、持续调用和压力状态下的稳定性，不直接等同成熟度、道德或现实行为。</x:v>
      </x:c>
      <x:c r="L212" s="24" t="str">
        <x:v>由M1／M2接口提供；夫妻星、心动原型和关系门槛只说明关系议题，不单独证明保护因素已经被调用或有效。</x:v>
      </x:c>
      <x:c r="M212" s="24" t="str">
        <x:v>由M3-BASE及M4各模块提供；日支、日柱近位可提高与亲密关系核心的相关性，但同一source_id不得重复计分。</x:v>
      </x:c>
      <x:c r="N212" s="24" t="str">
        <x:v>保护因素必须明确限制过用、补足缺位、恢复顺序、打开反馈、落实改变或完成修复回流；不能只凭五行相生补写现实效果。</x:v>
      </x:c>
      <x:c r="O212" s="24" t="str">
        <x:v>近位提高进入亲密关系核心的概率；远位只作背景、阶段或条件性修正。</x:v>
      </x:c>
      <x:c r="P212" s="24" t="str">
        <x:v>根气只修正该保护功能是否容易重复调用，不等于现实中已经形成稳定保护。</x:v>
      </x:c>
      <x:c r="Q212" s="24" t="str">
        <x:v>旺弱只修正调用强度与承载；强不自动有效，弱也不自动无效。</x:v>
      </x:c>
      <x:c r="R212" s="24" t="str">
        <x:v>喜忌只修正摩擦、平衡与承载，不可直接翻译为好坏、成熟度或解决方案。</x:v>
      </x:c>
      <x:c r="S212" s="24" t="str">
        <x:v>原十神功能有效；真合化成立时按化神功能替换，合化争议时停止定性。</x:v>
      </x:c>
      <x:c r="T212" s="24" t="str">
        <x:v>近位提高直接相关性；远位仅保留背景、阶段或低置信修正。</x:v>
      </x:c>
      <x:c r="U212" s="24" t="str">
        <x:v>95</x:v>
      </x:c>
      <x:c r="V212" s="24" t="str">
        <x:v>伪保护候选+0</x:v>
      </x:c>
      <x:c r="W212" s="24" t="str">
        <x:v>pseudo_buffer</x:v>
      </x:c>
      <x:c r="X212" s="24" t="str">
        <x:v>投入可能绕开责任、需求、边界或持续改变。</x:v>
      </x:c>
      <x:c r="Y212" s="24" t="str">
        <x:v>做得多可以表达在意，但不能自动替代责任说清、边界重订和持续改变。</x:v>
      </x:c>
      <x:c r="Z212" s="24" t="str">
        <x:v>不得仅凭本规则断定问题已经解决、关系必然稳定、用户一定成熟、某十神天然是“药”、喜用神自动等于解决办法，或淡化暴力、强迫与现实伤害；现实行为、反例、安全事实和专业支持优先。</x:v>
      </x:c>
      <x:c r="AA212" s="24" t="str">
        <x:v>中高</x:v>
      </x:c>
      <x:c r="AB212" s="24" t="str">
        <x:v>待验证</x:v>
      </x:c>
      <x:c r="AC212" s="24" t="str"/>
      <x:c r="AD212" s="24" t="str">
        <x:v>provisional=true；保护因素的现实有效性必须由可观察行为、反馈和持续结果验证。</x:v>
      </x:c>
      <x:c r="AE212" s="24" t="str">
        <x:v>0.8</x:v>
      </x:c>
    </x:row>
    <x:row r="213" ht="52" customHeight="1">
      <x:c r="A213" s="24" t="str">
        <x:v>M4-BUFFER-212</x:v>
      </x:c>
      <x:c r="B213" s="24" t="str">
        <x:v>PB04 投入补偿替代责任与边界｜识别条件</x:v>
      </x:c>
      <x:c r="C213" s="24" t="str">
        <x:v>L4 PB01—PB08伪保护</x:v>
      </x:c>
      <x:c r="D213" s="24" t="str">
        <x:v>BUFFER-伪保护</x:v>
      </x:c>
      <x:c r="E213" s="24" t="str">
        <x:v>通用</x:v>
      </x:c>
      <x:c r="F213" s="24" t="str">
        <x:v>识别</x:v>
      </x:c>
      <x:c r="G213" s="24" t="str">
        <x:v>PB04 投入补偿替代责任与边界</x:v>
      </x:c>
      <x:c r="H213" s="24" t="str">
        <x:v>识别伪保护的现实表现。</x:v>
      </x:c>
      <x:c r="I213" s="24" t="str">
        <x:v>出现以下表面保护：通过花时间、花钱、做事或照顾来弥补关系问题。</x:v>
      </x:c>
      <x:c r="J213" s="24" t="str">
        <x:v>没有对应风险靶点，或现实结果清楚显示链条已改变。</x:v>
      </x:c>
      <x:c r="K213" s="24" t="str">
        <x:v>由共享基础引擎提供；仅修正保护功能的承载、持续调用和压力状态下的稳定性，不直接等同成熟度、道德或现实行为。</x:v>
      </x:c>
      <x:c r="L213" s="24" t="str">
        <x:v>由M1／M2接口提供；夫妻星、心动原型和关系门槛只说明关系议题，不单独证明保护因素已经被调用或有效。</x:v>
      </x:c>
      <x:c r="M213" s="24" t="str">
        <x:v>由M3-BASE及M4各模块提供；日支、日柱近位可提高与亲密关系核心的相关性，但同一source_id不得重复计分。</x:v>
      </x:c>
      <x:c r="N213" s="24" t="str">
        <x:v>保护因素必须明确限制过用、补足缺位、恢复顺序、打开反馈、落实改变或完成修复回流；不能只凭五行相生补写现实效果。</x:v>
      </x:c>
      <x:c r="O213" s="24" t="str">
        <x:v>近位提高进入亲密关系核心的概率；远位只作背景、阶段或条件性修正。</x:v>
      </x:c>
      <x:c r="P213" s="24" t="str">
        <x:v>根气只修正该保护功能是否容易重复调用，不等于现实中已经形成稳定保护。</x:v>
      </x:c>
      <x:c r="Q213" s="24" t="str">
        <x:v>旺弱只修正调用强度与承载；强不自动有效，弱也不自动无效。</x:v>
      </x:c>
      <x:c r="R213" s="24" t="str">
        <x:v>喜忌只修正摩擦、平衡与承载，不可直接翻译为好坏、成熟度或解决方案。</x:v>
      </x:c>
      <x:c r="S213" s="24" t="str">
        <x:v>原十神功能有效；真合化成立时按化神功能替换，合化争议时停止定性。</x:v>
      </x:c>
      <x:c r="T213" s="24" t="str">
        <x:v>近位提高直接相关性；远位仅保留背景、阶段或低置信修正。</x:v>
      </x:c>
      <x:c r="U213" s="24" t="str">
        <x:v>92</x:v>
      </x:c>
      <x:c r="V213" s="24" t="str">
        <x:v>命中+6</x:v>
      </x:c>
      <x:c r="W213" s="24" t="str">
        <x:v>buffer_evidence</x:v>
      </x:c>
      <x:c r="X213" s="24" t="str">
        <x:v>识别重点：检查付出是否对应具体影响、责任和双方认可的需要。</x:v>
      </x:c>
      <x:c r="Y213" s="24" t="str">
        <x:v>需要继续检查：检查付出是否对应具体影响、责任和双方认可的需要。</x:v>
      </x:c>
      <x:c r="Z213" s="24" t="str">
        <x:v>不得仅凭本规则断定问题已经解决、关系必然稳定、用户一定成熟、某十神天然是“药”、喜用神自动等于解决办法，或淡化暴力、强迫与现实伤害；现实行为、反例、安全事实和专业支持优先。</x:v>
      </x:c>
      <x:c r="AA213" s="24" t="str">
        <x:v>中高</x:v>
      </x:c>
      <x:c r="AB213" s="24" t="str">
        <x:v>待验证</x:v>
      </x:c>
      <x:c r="AC213" s="24" t="str"/>
      <x:c r="AD213" s="24" t="str">
        <x:v>provisional=true；保护因素的现实有效性必须由可观察行为、反馈和持续结果验证。</x:v>
      </x:c>
      <x:c r="AE213" s="24" t="str">
        <x:v>0.8</x:v>
      </x:c>
    </x:row>
    <x:row r="214" ht="52" customHeight="1">
      <x:c r="A214" s="24" t="str">
        <x:v>M4-BUFFER-213</x:v>
      </x:c>
      <x:c r="B214" s="24" t="str">
        <x:v>PB04 投入补偿替代责任与边界｜为什么无效</x:v>
      </x:c>
      <x:c r="C214" s="24" t="str">
        <x:v>L4 PB01—PB08伪保护</x:v>
      </x:c>
      <x:c r="D214" s="24" t="str">
        <x:v>BUFFER-伪保护</x:v>
      </x:c>
      <x:c r="E214" s="24" t="str">
        <x:v>通用</x:v>
      </x:c>
      <x:c r="F214" s="24" t="str">
        <x:v>逻辑</x:v>
      </x:c>
      <x:c r="G214" s="24" t="str">
        <x:v>PB04 投入补偿替代责任与边界</x:v>
      </x:c>
      <x:c r="H214" s="24" t="str">
        <x:v>说明表面有效与真实有效的差别。</x:v>
      </x:c>
      <x:c r="I214" s="24" t="str">
        <x:v>通过花时间、花钱、做事或照顾来弥补关系问题。</x:v>
      </x:c>
      <x:c r="J214" s="24" t="str">
        <x:v>已经完成反馈、执行与反例检验。</x:v>
      </x:c>
      <x:c r="K214" s="24" t="str">
        <x:v>由共享基础引擎提供；仅修正保护功能的承载、持续调用和压力状态下的稳定性，不直接等同成熟度、道德或现实行为。</x:v>
      </x:c>
      <x:c r="L214" s="24" t="str">
        <x:v>由M1／M2接口提供；夫妻星、心动原型和关系门槛只说明关系议题，不单独证明保护因素已经被调用或有效。</x:v>
      </x:c>
      <x:c r="M214" s="24" t="str">
        <x:v>由M3-BASE及M4各模块提供；日支、日柱近位可提高与亲密关系核心的相关性，但同一source_id不得重复计分。</x:v>
      </x:c>
      <x:c r="N214" s="24" t="str">
        <x:v>保护因素必须明确限制过用、补足缺位、恢复顺序、打开反馈、落实改变或完成修复回流；不能只凭五行相生补写现实效果。</x:v>
      </x:c>
      <x:c r="O214" s="24" t="str">
        <x:v>近位提高进入亲密关系核心的概率；远位只作背景、阶段或条件性修正。</x:v>
      </x:c>
      <x:c r="P214" s="24" t="str">
        <x:v>根气只修正该保护功能是否容易重复调用，不等于现实中已经形成稳定保护。</x:v>
      </x:c>
      <x:c r="Q214" s="24" t="str">
        <x:v>旺弱只修正调用强度与承载；强不自动有效，弱也不自动无效。</x:v>
      </x:c>
      <x:c r="R214" s="24" t="str">
        <x:v>喜忌只修正摩擦、平衡与承载，不可直接翻译为好坏、成熟度或解决方案。</x:v>
      </x:c>
      <x:c r="S214" s="24" t="str">
        <x:v>原十神功能有效；真合化成立时按化神功能替换，合化争议时停止定性。</x:v>
      </x:c>
      <x:c r="T214" s="24" t="str">
        <x:v>近位提高直接相关性；远位仅保留背景、阶段或低置信修正。</x:v>
      </x:c>
      <x:c r="U214" s="24" t="str">
        <x:v>90</x:v>
      </x:c>
      <x:c r="V214" s="24" t="str">
        <x:v>不加分；解释</x:v>
      </x:c>
      <x:c r="W214" s="24" t="str">
        <x:v>boundary_note</x:v>
      </x:c>
      <x:c r="X214" s="24" t="str">
        <x:v>投入可能绕开责任、需求、边界或持续改变。</x:v>
      </x:c>
      <x:c r="Y214" s="24" t="str">
        <x:v>表面上它能暂时降低不适，但还不能证明关键关系任务已经完成。</x:v>
      </x:c>
      <x:c r="Z214" s="24" t="str">
        <x:v>不得仅凭本规则断定问题已经解决、关系必然稳定、用户一定成熟、某十神天然是“药”、喜用神自动等于解决办法，或淡化暴力、强迫与现实伤害；现实行为、反例、安全事实和专业支持优先。</x:v>
      </x:c>
      <x:c r="AA214" s="24" t="str">
        <x:v>中高</x:v>
      </x:c>
      <x:c r="AB214" s="24" t="str">
        <x:v>待验证</x:v>
      </x:c>
      <x:c r="AC214" s="24" t="str"/>
      <x:c r="AD214" s="24" t="str">
        <x:v>provisional=true；保护因素的现实有效性必须由可观察行为、反馈和持续结果验证。</x:v>
      </x:c>
      <x:c r="AE214" s="24" t="str">
        <x:v>0.8</x:v>
      </x:c>
    </x:row>
    <x:row r="215" ht="52" customHeight="1">
      <x:c r="A215" s="24" t="str">
        <x:v>M4-BUFFER-214</x:v>
      </x:c>
      <x:c r="B215" s="24" t="str">
        <x:v>PB04 投入补偿替代责任与边界｜反例门控</x:v>
      </x:c>
      <x:c r="C215" s="24" t="str">
        <x:v>L4 PB01—PB08伪保护</x:v>
      </x:c>
      <x:c r="D215" s="24" t="str">
        <x:v>BUFFER-伪保护</x:v>
      </x:c>
      <x:c r="E215" s="24" t="str">
        <x:v>通用</x:v>
      </x:c>
      <x:c r="F215" s="24" t="str">
        <x:v>反例</x:v>
      </x:c>
      <x:c r="G215" s="24" t="str">
        <x:v>PB04 投入补偿替代责任与边界</x:v>
      </x:c>
      <x:c r="H215" s="24" t="str">
        <x:v>防止把真实有效资源误判为伪保护。</x:v>
      </x:c>
      <x:c r="I215" s="24" t="str">
        <x:v>没有观察到投入转成明确责任、边界调整和持续行为。。</x:v>
      </x:c>
      <x:c r="J215" s="24" t="str">
        <x:v>已经观察到投入转成明确责任、边界调整和持续行为。，并在相似情境中重复。</x:v>
      </x:c>
      <x:c r="K215" s="24" t="str">
        <x:v>由共享基础引擎提供；仅修正保护功能的承载、持续调用和压力状态下的稳定性，不直接等同成熟度、道德或现实行为。</x:v>
      </x:c>
      <x:c r="L215" s="24" t="str">
        <x:v>由M1／M2接口提供；夫妻星、心动原型和关系门槛只说明关系议题，不单独证明保护因素已经被调用或有效。</x:v>
      </x:c>
      <x:c r="M215" s="24" t="str">
        <x:v>由M3-BASE及M4各模块提供；日支、日柱近位可提高与亲密关系核心的相关性，但同一source_id不得重复计分。</x:v>
      </x:c>
      <x:c r="N215" s="24" t="str">
        <x:v>保护因素必须明确限制过用、补足缺位、恢复顺序、打开反馈、落实改变或完成修复回流；不能只凭五行相生补写现实效果。</x:v>
      </x:c>
      <x:c r="O215" s="24" t="str">
        <x:v>近位提高进入亲密关系核心的概率；远位只作背景、阶段或条件性修正。</x:v>
      </x:c>
      <x:c r="P215" s="24" t="str">
        <x:v>根气只修正该保护功能是否容易重复调用，不等于现实中已经形成稳定保护。</x:v>
      </x:c>
      <x:c r="Q215" s="24" t="str">
        <x:v>旺弱只修正调用强度与承载；强不自动有效，弱也不自动无效。</x:v>
      </x:c>
      <x:c r="R215" s="24" t="str">
        <x:v>喜忌只修正摩擦、平衡与承载，不可直接翻译为好坏、成熟度或解决方案。</x:v>
      </x:c>
      <x:c r="S215" s="24" t="str">
        <x:v>原十神功能有效；真合化成立时按化神功能替换，合化争议时停止定性。</x:v>
      </x:c>
      <x:c r="T215" s="24" t="str">
        <x:v>近位提高直接相关性；远位仅保留背景、阶段或低置信修正。</x:v>
      </x:c>
      <x:c r="U215" s="24" t="str">
        <x:v>97</x:v>
      </x:c>
      <x:c r="V215" s="24" t="str">
        <x:v>反例则停止</x:v>
      </x:c>
      <x:c r="W215" s="24" t="str">
        <x:v>counterevidence</x:v>
      </x:c>
      <x:c r="X215" s="24" t="str">
        <x:v>若已经满足：投入转成明确责任、边界调整和持续行为。，则应停止PB候选并升级至相应BF。</x:v>
      </x:c>
      <x:c r="Y215" s="24" t="str">
        <x:v>若现实中已经做到“投入转成明确责任、边界调整和持续行为。”，就不应再把它视为表面保护。</x:v>
      </x:c>
      <x:c r="Z215" s="24" t="str">
        <x:v>不得仅凭本规则断定问题已经解决、关系必然稳定、用户一定成熟、某十神天然是“药”、喜用神自动等于解决办法，或淡化暴力、强迫与现实伤害；现实行为、反例、安全事实和专业支持优先。</x:v>
      </x:c>
      <x:c r="AA215" s="24" t="str">
        <x:v>高</x:v>
      </x:c>
      <x:c r="AB215" s="24" t="str">
        <x:v>待验证</x:v>
      </x:c>
      <x:c r="AC215" s="24" t="str"/>
      <x:c r="AD215" s="24" t="str">
        <x:v>provisional=true；保护因素的现实有效性必须由可观察行为、反馈和持续结果验证。</x:v>
      </x:c>
      <x:c r="AE215" s="24" t="str">
        <x:v>0.8</x:v>
      </x:c>
    </x:row>
    <x:row r="216" ht="52" customHeight="1">
      <x:c r="A216" s="24" t="str">
        <x:v>M4-BUFFER-215</x:v>
      </x:c>
      <x:c r="B216" s="24" t="str">
        <x:v>PB04 投入补偿替代责任与边界｜退出条件</x:v>
      </x:c>
      <x:c r="C216" s="24" t="str">
        <x:v>L4 PB01—PB08伪保护</x:v>
      </x:c>
      <x:c r="D216" s="24" t="str">
        <x:v>BUFFER-伪保护</x:v>
      </x:c>
      <x:c r="E216" s="24" t="str">
        <x:v>通用</x:v>
      </x:c>
      <x:c r="F216" s="24" t="str">
        <x:v>退出</x:v>
      </x:c>
      <x:c r="G216" s="24" t="str">
        <x:v>PB04 投入补偿替代责任与边界</x:v>
      </x:c>
      <x:c r="H216" s="24" t="str">
        <x:v>说明伪保护如何转成有效保护。</x:v>
      </x:c>
      <x:c r="I216" s="24" t="str">
        <x:v>投入转成明确责任、边界调整和持续行为。</x:v>
      </x:c>
      <x:c r="J216" s="24" t="str">
        <x:v>只有一次口头承诺或单次动作。</x:v>
      </x:c>
      <x:c r="K216" s="24" t="str">
        <x:v>由共享基础引擎提供；仅修正保护功能的承载、持续调用和压力状态下的稳定性，不直接等同成熟度、道德或现实行为。</x:v>
      </x:c>
      <x:c r="L216" s="24" t="str">
        <x:v>由M1／M2接口提供；夫妻星、心动原型和关系门槛只说明关系议题，不单独证明保护因素已经被调用或有效。</x:v>
      </x:c>
      <x:c r="M216" s="24" t="str">
        <x:v>由M3-BASE及M4各模块提供；日支、日柱近位可提高与亲密关系核心的相关性，但同一source_id不得重复计分。</x:v>
      </x:c>
      <x:c r="N216" s="24" t="str">
        <x:v>保护因素必须明确限制过用、补足缺位、恢复顺序、打开反馈、落实改变或完成修复回流；不能只凭五行相生补写现实效果。</x:v>
      </x:c>
      <x:c r="O216" s="24" t="str">
        <x:v>近位提高进入亲密关系核心的概率；远位只作背景、阶段或条件性修正。</x:v>
      </x:c>
      <x:c r="P216" s="24" t="str">
        <x:v>根气只修正该保护功能是否容易重复调用，不等于现实中已经形成稳定保护。</x:v>
      </x:c>
      <x:c r="Q216" s="24" t="str">
        <x:v>旺弱只修正调用强度与承载；强不自动有效，弱也不自动无效。</x:v>
      </x:c>
      <x:c r="R216" s="24" t="str">
        <x:v>喜忌只修正摩擦、平衡与承载，不可直接翻译为好坏、成熟度或解决方案。</x:v>
      </x:c>
      <x:c r="S216" s="24" t="str">
        <x:v>原十神功能有效；真合化成立时按化神功能替换，合化争议时停止定性。</x:v>
      </x:c>
      <x:c r="T216" s="24" t="str">
        <x:v>近位提高直接相关性；远位仅保留背景、阶段或低置信修正。</x:v>
      </x:c>
      <x:c r="U216" s="24" t="str">
        <x:v>91</x:v>
      </x:c>
      <x:c r="V216" s="24" t="str">
        <x:v>满足则转BF</x:v>
      </x:c>
      <x:c r="W216" s="24" t="str">
        <x:v>buffer_upgrade</x:v>
      </x:c>
      <x:c r="X216" s="24" t="str">
        <x:v>PB04退出条件：投入转成明确责任、边界调整和持续行为。</x:v>
      </x:c>
      <x:c r="Y216" s="24" t="str">
        <x:v>这项方式要真正发挥作用，需要做到：投入转成明确责任、边界调整和持续行为。</x:v>
      </x:c>
      <x:c r="Z216" s="24" t="str">
        <x:v>不得仅凭本规则断定问题已经解决、关系必然稳定、用户一定成熟、某十神天然是“药”、喜用神自动等于解决办法，或淡化暴力、强迫与现实伤害；现实行为、反例、安全事实和专业支持优先。</x:v>
      </x:c>
      <x:c r="AA216" s="24" t="str">
        <x:v>中高</x:v>
      </x:c>
      <x:c r="AB216" s="24" t="str">
        <x:v>待验证</x:v>
      </x:c>
      <x:c r="AC216" s="24" t="str"/>
      <x:c r="AD216" s="24" t="str">
        <x:v>provisional=true；保护因素的现实有效性必须由可观察行为、反馈和持续结果验证。</x:v>
      </x:c>
      <x:c r="AE216" s="24" t="str">
        <x:v>0.8</x:v>
      </x:c>
    </x:row>
    <x:row r="217" ht="52" customHeight="1">
      <x:c r="A217" s="24" t="str">
        <x:v>M4-BUFFER-216</x:v>
      </x:c>
      <x:c r="B217" s="24" t="str">
        <x:v>PB04 投入补偿替代责任与边界｜用户输出</x:v>
      </x:c>
      <x:c r="C217" s="24" t="str">
        <x:v>L4 PB01—PB08伪保护</x:v>
      </x:c>
      <x:c r="D217" s="24" t="str">
        <x:v>BUFFER-伪保护</x:v>
      </x:c>
      <x:c r="E217" s="24" t="str">
        <x:v>通用</x:v>
      </x:c>
      <x:c r="F217" s="24" t="str">
        <x:v>语言</x:v>
      </x:c>
      <x:c r="G217" s="24" t="str">
        <x:v>PB04 投入补偿替代责任与边界</x:v>
      </x:c>
      <x:c r="H217" s="24" t="str">
        <x:v>生成中性提醒。</x:v>
      </x:c>
      <x:c r="I217" s="24" t="str">
        <x:v>通过花时间、花钱、做事或照顾来弥补关系问题。</x:v>
      </x:c>
      <x:c r="J217" s="24" t="str">
        <x:v>存在安全停止或资料不足。</x:v>
      </x:c>
      <x:c r="K217" s="24" t="str">
        <x:v>由共享基础引擎提供；仅修正保护功能的承载、持续调用和压力状态下的稳定性，不直接等同成熟度、道德或现实行为。</x:v>
      </x:c>
      <x:c r="L217" s="24" t="str">
        <x:v>由M1／M2接口提供；夫妻星、心动原型和关系门槛只说明关系议题，不单独证明保护因素已经被调用或有效。</x:v>
      </x:c>
      <x:c r="M217" s="24" t="str">
        <x:v>由M3-BASE及M4各模块提供；日支、日柱近位可提高与亲密关系核心的相关性，但同一source_id不得重复计分。</x:v>
      </x:c>
      <x:c r="N217" s="24" t="str">
        <x:v>保护因素必须明确限制过用、补足缺位、恢复顺序、打开反馈、落实改变或完成修复回流；不能只凭五行相生补写现实效果。</x:v>
      </x:c>
      <x:c r="O217" s="24" t="str">
        <x:v>近位提高进入亲密关系核心的概率；远位只作背景、阶段或条件性修正。</x:v>
      </x:c>
      <x:c r="P217" s="24" t="str">
        <x:v>根气只修正该保护功能是否容易重复调用，不等于现实中已经形成稳定保护。</x:v>
      </x:c>
      <x:c r="Q217" s="24" t="str">
        <x:v>旺弱只修正调用强度与承载；强不自动有效，弱也不自动无效。</x:v>
      </x:c>
      <x:c r="R217" s="24" t="str">
        <x:v>喜忌只修正摩擦、平衡与承载，不可直接翻译为好坏、成熟度或解决方案。</x:v>
      </x:c>
      <x:c r="S217" s="24" t="str">
        <x:v>原十神功能有效；真合化成立时按化神功能替换，合化争议时停止定性。</x:v>
      </x:c>
      <x:c r="T217" s="24" t="str">
        <x:v>近位提高直接相关性；远位仅保留背景、阶段或低置信修正。</x:v>
      </x:c>
      <x:c r="U217" s="24" t="str">
        <x:v>84</x:v>
      </x:c>
      <x:c r="V217" s="24" t="str">
        <x:v>不加分；输出</x:v>
      </x:c>
      <x:c r="W217" s="24" t="str">
        <x:v>report_text</x:v>
      </x:c>
      <x:c r="X217" s="24" t="str">
        <x:v>投入可能绕开责任、需求、边界或持续改变。</x:v>
      </x:c>
      <x:c r="Y217" s="24" t="str">
        <x:v>做得多可以表达在意，但不能自动替代责任说清、边界重订和持续改变。</x:v>
      </x:c>
      <x:c r="Z217" s="24" t="str">
        <x:v>不得仅凭本规则断定问题已经解决、关系必然稳定、用户一定成熟、某十神天然是“药”、喜用神自动等于解决办法，或淡化暴力、强迫与现实伤害；现实行为、反例、安全事实和专业支持优先。</x:v>
      </x:c>
      <x:c r="AA217" s="24" t="str">
        <x:v>中高</x:v>
      </x:c>
      <x:c r="AB217" s="24" t="str">
        <x:v>待验证</x:v>
      </x:c>
      <x:c r="AC217" s="24" t="str"/>
      <x:c r="AD217" s="24" t="str">
        <x:v>provisional=true；保护因素的现实有效性必须由可观察行为、反馈和持续结果验证。</x:v>
      </x:c>
      <x:c r="AE217" s="24" t="str">
        <x:v>0.8</x:v>
      </x:c>
    </x:row>
    <x:row r="218" ht="52" customHeight="1">
      <x:c r="A218" s="24" t="str">
        <x:v>M4-BUFFER-217</x:v>
      </x:c>
      <x:c r="B218" s="24" t="str">
        <x:v>PB05 安抚和谐替代关键处理｜机制定义</x:v>
      </x:c>
      <x:c r="C218" s="24" t="str">
        <x:v>L4 PB01—PB08伪保护</x:v>
      </x:c>
      <x:c r="D218" s="24" t="str">
        <x:v>BUFFER-伪保护</x:v>
      </x:c>
      <x:c r="E218" s="24" t="str">
        <x:v>通用</x:v>
      </x:c>
      <x:c r="F218" s="24" t="str">
        <x:v>定义</x:v>
      </x:c>
      <x:c r="G218" s="24" t="str">
        <x:v>PB05 安抚和谐替代关键处理</x:v>
      </x:c>
      <x:c r="H218" s="24" t="str">
        <x:v>界定常见伪保护。</x:v>
      </x:c>
      <x:c r="I218" s="24" t="str">
        <x:v>先让气氛恢复、避免冲突，短期看似关系已经好转。</x:v>
      </x:c>
      <x:c r="J218" s="24" t="str">
        <x:v>该方式已经有独立反馈、现实效果与持续验证。</x:v>
      </x:c>
      <x:c r="K218" s="24" t="str">
        <x:v>由共享基础引擎提供；仅修正保护功能的承载、持续调用和压力状态下的稳定性，不直接等同成熟度、道德或现实行为。</x:v>
      </x:c>
      <x:c r="L218" s="24" t="str">
        <x:v>由M1／M2接口提供；夫妻星、心动原型和关系门槛只说明关系议题，不单独证明保护因素已经被调用或有效。</x:v>
      </x:c>
      <x:c r="M218" s="24" t="str">
        <x:v>由M3-BASE及M4各模块提供；日支、日柱近位可提高与亲密关系核心的相关性，但同一source_id不得重复计分。</x:v>
      </x:c>
      <x:c r="N218" s="24" t="str">
        <x:v>保护因素必须明确限制过用、补足缺位、恢复顺序、打开反馈、落实改变或完成修复回流；不能只凭五行相生补写现实效果。</x:v>
      </x:c>
      <x:c r="O218" s="24" t="str">
        <x:v>近位提高进入亲密关系核心的概率；远位只作背景、阶段或条件性修正。</x:v>
      </x:c>
      <x:c r="P218" s="24" t="str">
        <x:v>根气只修正该保护功能是否容易重复调用，不等于现实中已经形成稳定保护。</x:v>
      </x:c>
      <x:c r="Q218" s="24" t="str">
        <x:v>旺弱只修正调用强度与承载；强不自动有效，弱也不自动无效。</x:v>
      </x:c>
      <x:c r="R218" s="24" t="str">
        <x:v>喜忌只修正摩擦、平衡与承载，不可直接翻译为好坏、成熟度或解决方案。</x:v>
      </x:c>
      <x:c r="S218" s="24" t="str">
        <x:v>原十神功能有效；真合化成立时按化神功能替换，合化争议时停止定性。</x:v>
      </x:c>
      <x:c r="T218" s="24" t="str">
        <x:v>近位提高直接相关性；远位仅保留背景、阶段或低置信修正。</x:v>
      </x:c>
      <x:c r="U218" s="24" t="str">
        <x:v>95</x:v>
      </x:c>
      <x:c r="V218" s="24" t="str">
        <x:v>伪保护候选+0</x:v>
      </x:c>
      <x:c r="W218" s="24" t="str">
        <x:v>pseudo_buffer</x:v>
      </x:c>
      <x:c r="X218" s="24" t="str">
        <x:v>关键议题、影响和行动没有回访时，平静只是暂时压低强度。</x:v>
      </x:c>
      <x:c r="Y218" s="24" t="str">
        <x:v>恢复平静是一项资源，但只有关键问题被重新处理，才真正具有保护作用。</x:v>
      </x:c>
      <x:c r="Z218" s="24" t="str">
        <x:v>不得仅凭本规则断定问题已经解决、关系必然稳定、用户一定成熟、某十神天然是“药”、喜用神自动等于解决办法，或淡化暴力、强迫与现实伤害；现实行为、反例、安全事实和专业支持优先。</x:v>
      </x:c>
      <x:c r="AA218" s="24" t="str">
        <x:v>中高</x:v>
      </x:c>
      <x:c r="AB218" s="24" t="str">
        <x:v>待验证</x:v>
      </x:c>
      <x:c r="AC218" s="24" t="str"/>
      <x:c r="AD218" s="24" t="str">
        <x:v>provisional=true；保护因素的现实有效性必须由可观察行为、反馈和持续结果验证。</x:v>
      </x:c>
      <x:c r="AE218" s="24" t="str">
        <x:v>0.8</x:v>
      </x:c>
    </x:row>
    <x:row r="219" ht="52" customHeight="1">
      <x:c r="A219" s="24" t="str">
        <x:v>M4-BUFFER-218</x:v>
      </x:c>
      <x:c r="B219" s="24" t="str">
        <x:v>PB05 安抚和谐替代关键处理｜识别条件</x:v>
      </x:c>
      <x:c r="C219" s="24" t="str">
        <x:v>L4 PB01—PB08伪保护</x:v>
      </x:c>
      <x:c r="D219" s="24" t="str">
        <x:v>BUFFER-伪保护</x:v>
      </x:c>
      <x:c r="E219" s="24" t="str">
        <x:v>通用</x:v>
      </x:c>
      <x:c r="F219" s="24" t="str">
        <x:v>识别</x:v>
      </x:c>
      <x:c r="G219" s="24" t="str">
        <x:v>PB05 安抚和谐替代关键处理</x:v>
      </x:c>
      <x:c r="H219" s="24" t="str">
        <x:v>识别伪保护的现实表现。</x:v>
      </x:c>
      <x:c r="I219" s="24" t="str">
        <x:v>出现以下表面保护：先让气氛恢复、避免冲突，短期看似关系已经好转。</x:v>
      </x:c>
      <x:c r="J219" s="24" t="str">
        <x:v>没有对应风险靶点，或现实结果清楚显示链条已改变。</x:v>
      </x:c>
      <x:c r="K219" s="24" t="str">
        <x:v>由共享基础引擎提供；仅修正保护功能的承载、持续调用和压力状态下的稳定性，不直接等同成熟度、道德或现实行为。</x:v>
      </x:c>
      <x:c r="L219" s="24" t="str">
        <x:v>由M1／M2接口提供；夫妻星、心动原型和关系门槛只说明关系议题，不单独证明保护因素已经被调用或有效。</x:v>
      </x:c>
      <x:c r="M219" s="24" t="str">
        <x:v>由M3-BASE及M4各模块提供；日支、日柱近位可提高与亲密关系核心的相关性，但同一source_id不得重复计分。</x:v>
      </x:c>
      <x:c r="N219" s="24" t="str">
        <x:v>保护因素必须明确限制过用、补足缺位、恢复顺序、打开反馈、落实改变或完成修复回流；不能只凭五行相生补写现实效果。</x:v>
      </x:c>
      <x:c r="O219" s="24" t="str">
        <x:v>近位提高进入亲密关系核心的概率；远位只作背景、阶段或条件性修正。</x:v>
      </x:c>
      <x:c r="P219" s="24" t="str">
        <x:v>根气只修正该保护功能是否容易重复调用，不等于现实中已经形成稳定保护。</x:v>
      </x:c>
      <x:c r="Q219" s="24" t="str">
        <x:v>旺弱只修正调用强度与承载；强不自动有效，弱也不自动无效。</x:v>
      </x:c>
      <x:c r="R219" s="24" t="str">
        <x:v>喜忌只修正摩擦、平衡与承载，不可直接翻译为好坏、成熟度或解决方案。</x:v>
      </x:c>
      <x:c r="S219" s="24" t="str">
        <x:v>原十神功能有效；真合化成立时按化神功能替换，合化争议时停止定性。</x:v>
      </x:c>
      <x:c r="T219" s="24" t="str">
        <x:v>近位提高直接相关性；远位仅保留背景、阶段或低置信修正。</x:v>
      </x:c>
      <x:c r="U219" s="24" t="str">
        <x:v>92</x:v>
      </x:c>
      <x:c r="V219" s="24" t="str">
        <x:v>命中+6</x:v>
      </x:c>
      <x:c r="W219" s="24" t="str">
        <x:v>buffer_evidence</x:v>
      </x:c>
      <x:c r="X219" s="24" t="str">
        <x:v>识别重点：检查降温后是否有明确回访时间、议题重开和现实调整。</x:v>
      </x:c>
      <x:c r="Y219" s="24" t="str">
        <x:v>需要继续检查：检查降温后是否有明确回访时间、议题重开和现实调整。</x:v>
      </x:c>
      <x:c r="Z219" s="24" t="str">
        <x:v>不得仅凭本规则断定问题已经解决、关系必然稳定、用户一定成熟、某十神天然是“药”、喜用神自动等于解决办法，或淡化暴力、强迫与现实伤害；现实行为、反例、安全事实和专业支持优先。</x:v>
      </x:c>
      <x:c r="AA219" s="24" t="str">
        <x:v>中高</x:v>
      </x:c>
      <x:c r="AB219" s="24" t="str">
        <x:v>待验证</x:v>
      </x:c>
      <x:c r="AC219" s="24" t="str"/>
      <x:c r="AD219" s="24" t="str">
        <x:v>provisional=true；保护因素的现实有效性必须由可观察行为、反馈和持续结果验证。</x:v>
      </x:c>
      <x:c r="AE219" s="24" t="str">
        <x:v>0.8</x:v>
      </x:c>
    </x:row>
    <x:row r="220" ht="52" customHeight="1">
      <x:c r="A220" s="24" t="str">
        <x:v>M4-BUFFER-219</x:v>
      </x:c>
      <x:c r="B220" s="24" t="str">
        <x:v>PB05 安抚和谐替代关键处理｜为什么无效</x:v>
      </x:c>
      <x:c r="C220" s="24" t="str">
        <x:v>L4 PB01—PB08伪保护</x:v>
      </x:c>
      <x:c r="D220" s="24" t="str">
        <x:v>BUFFER-伪保护</x:v>
      </x:c>
      <x:c r="E220" s="24" t="str">
        <x:v>通用</x:v>
      </x:c>
      <x:c r="F220" s="24" t="str">
        <x:v>逻辑</x:v>
      </x:c>
      <x:c r="G220" s="24" t="str">
        <x:v>PB05 安抚和谐替代关键处理</x:v>
      </x:c>
      <x:c r="H220" s="24" t="str">
        <x:v>说明表面有效与真实有效的差别。</x:v>
      </x:c>
      <x:c r="I220" s="24" t="str">
        <x:v>先让气氛恢复、避免冲突，短期看似关系已经好转。</x:v>
      </x:c>
      <x:c r="J220" s="24" t="str">
        <x:v>已经完成反馈、执行与反例检验。</x:v>
      </x:c>
      <x:c r="K220" s="24" t="str">
        <x:v>由共享基础引擎提供；仅修正保护功能的承载、持续调用和压力状态下的稳定性，不直接等同成熟度、道德或现实行为。</x:v>
      </x:c>
      <x:c r="L220" s="24" t="str">
        <x:v>由M1／M2接口提供；夫妻星、心动原型和关系门槛只说明关系议题，不单独证明保护因素已经被调用或有效。</x:v>
      </x:c>
      <x:c r="M220" s="24" t="str">
        <x:v>由M3-BASE及M4各模块提供；日支、日柱近位可提高与亲密关系核心的相关性，但同一source_id不得重复计分。</x:v>
      </x:c>
      <x:c r="N220" s="24" t="str">
        <x:v>保护因素必须明确限制过用、补足缺位、恢复顺序、打开反馈、落实改变或完成修复回流；不能只凭五行相生补写现实效果。</x:v>
      </x:c>
      <x:c r="O220" s="24" t="str">
        <x:v>近位提高进入亲密关系核心的概率；远位只作背景、阶段或条件性修正。</x:v>
      </x:c>
      <x:c r="P220" s="24" t="str">
        <x:v>根气只修正该保护功能是否容易重复调用，不等于现实中已经形成稳定保护。</x:v>
      </x:c>
      <x:c r="Q220" s="24" t="str">
        <x:v>旺弱只修正调用强度与承载；强不自动有效，弱也不自动无效。</x:v>
      </x:c>
      <x:c r="R220" s="24" t="str">
        <x:v>喜忌只修正摩擦、平衡与承载，不可直接翻译为好坏、成熟度或解决方案。</x:v>
      </x:c>
      <x:c r="S220" s="24" t="str">
        <x:v>原十神功能有效；真合化成立时按化神功能替换，合化争议时停止定性。</x:v>
      </x:c>
      <x:c r="T220" s="24" t="str">
        <x:v>近位提高直接相关性；远位仅保留背景、阶段或低置信修正。</x:v>
      </x:c>
      <x:c r="U220" s="24" t="str">
        <x:v>90</x:v>
      </x:c>
      <x:c r="V220" s="24" t="str">
        <x:v>不加分；解释</x:v>
      </x:c>
      <x:c r="W220" s="24" t="str">
        <x:v>boundary_note</x:v>
      </x:c>
      <x:c r="X220" s="24" t="str">
        <x:v>关键议题、影响和行动没有回访时，平静只是暂时压低强度。</x:v>
      </x:c>
      <x:c r="Y220" s="24" t="str">
        <x:v>表面上它能暂时降低不适，但还不能证明关键关系任务已经完成。</x:v>
      </x:c>
      <x:c r="Z220" s="24" t="str">
        <x:v>不得仅凭本规则断定问题已经解决、关系必然稳定、用户一定成熟、某十神天然是“药”、喜用神自动等于解决办法，或淡化暴力、强迫与现实伤害；现实行为、反例、安全事实和专业支持优先。</x:v>
      </x:c>
      <x:c r="AA220" s="24" t="str">
        <x:v>中高</x:v>
      </x:c>
      <x:c r="AB220" s="24" t="str">
        <x:v>待验证</x:v>
      </x:c>
      <x:c r="AC220" s="24" t="str"/>
      <x:c r="AD220" s="24" t="str">
        <x:v>provisional=true；保护因素的现实有效性必须由可观察行为、反馈和持续结果验证。</x:v>
      </x:c>
      <x:c r="AE220" s="24" t="str">
        <x:v>0.8</x:v>
      </x:c>
    </x:row>
    <x:row r="221" ht="52" customHeight="1">
      <x:c r="A221" s="24" t="str">
        <x:v>M4-BUFFER-220</x:v>
      </x:c>
      <x:c r="B221" s="24" t="str">
        <x:v>PB05 安抚和谐替代关键处理｜反例门控</x:v>
      </x:c>
      <x:c r="C221" s="24" t="str">
        <x:v>L4 PB01—PB08伪保护</x:v>
      </x:c>
      <x:c r="D221" s="24" t="str">
        <x:v>BUFFER-伪保护</x:v>
      </x:c>
      <x:c r="E221" s="24" t="str">
        <x:v>通用</x:v>
      </x:c>
      <x:c r="F221" s="24" t="str">
        <x:v>反例</x:v>
      </x:c>
      <x:c r="G221" s="24" t="str">
        <x:v>PB05 安抚和谐替代关键处理</x:v>
      </x:c>
      <x:c r="H221" s="24" t="str">
        <x:v>防止把真实有效资源误判为伪保护。</x:v>
      </x:c>
      <x:c r="I221" s="24" t="str">
        <x:v>没有观察到舒缓之后重新进入事实、影响和方案。。</x:v>
      </x:c>
      <x:c r="J221" s="24" t="str">
        <x:v>已经观察到舒缓之后重新进入事实、影响和方案。，并在相似情境中重复。</x:v>
      </x:c>
      <x:c r="K221" s="24" t="str">
        <x:v>由共享基础引擎提供；仅修正保护功能的承载、持续调用和压力状态下的稳定性，不直接等同成熟度、道德或现实行为。</x:v>
      </x:c>
      <x:c r="L221" s="24" t="str">
        <x:v>由M1／M2接口提供；夫妻星、心动原型和关系门槛只说明关系议题，不单独证明保护因素已经被调用或有效。</x:v>
      </x:c>
      <x:c r="M221" s="24" t="str">
        <x:v>由M3-BASE及M4各模块提供；日支、日柱近位可提高与亲密关系核心的相关性，但同一source_id不得重复计分。</x:v>
      </x:c>
      <x:c r="N221" s="24" t="str">
        <x:v>保护因素必须明确限制过用、补足缺位、恢复顺序、打开反馈、落实改变或完成修复回流；不能只凭五行相生补写现实效果。</x:v>
      </x:c>
      <x:c r="O221" s="24" t="str">
        <x:v>近位提高进入亲密关系核心的概率；远位只作背景、阶段或条件性修正。</x:v>
      </x:c>
      <x:c r="P221" s="24" t="str">
        <x:v>根气只修正该保护功能是否容易重复调用，不等于现实中已经形成稳定保护。</x:v>
      </x:c>
      <x:c r="Q221" s="24" t="str">
        <x:v>旺弱只修正调用强度与承载；强不自动有效，弱也不自动无效。</x:v>
      </x:c>
      <x:c r="R221" s="24" t="str">
        <x:v>喜忌只修正摩擦、平衡与承载，不可直接翻译为好坏、成熟度或解决方案。</x:v>
      </x:c>
      <x:c r="S221" s="24" t="str">
        <x:v>原十神功能有效；真合化成立时按化神功能替换，合化争议时停止定性。</x:v>
      </x:c>
      <x:c r="T221" s="24" t="str">
        <x:v>近位提高直接相关性；远位仅保留背景、阶段或低置信修正。</x:v>
      </x:c>
      <x:c r="U221" s="24" t="str">
        <x:v>97</x:v>
      </x:c>
      <x:c r="V221" s="24" t="str">
        <x:v>反例则停止</x:v>
      </x:c>
      <x:c r="W221" s="24" t="str">
        <x:v>counterevidence</x:v>
      </x:c>
      <x:c r="X221" s="24" t="str">
        <x:v>若已经满足：舒缓之后重新进入事实、影响和方案。，则应停止PB候选并升级至相应BF。</x:v>
      </x:c>
      <x:c r="Y221" s="24" t="str">
        <x:v>若现实中已经做到“舒缓之后重新进入事实、影响和方案。”，就不应再把它视为表面保护。</x:v>
      </x:c>
      <x:c r="Z221" s="24" t="str">
        <x:v>不得仅凭本规则断定问题已经解决、关系必然稳定、用户一定成熟、某十神天然是“药”、喜用神自动等于解决办法，或淡化暴力、强迫与现实伤害；现实行为、反例、安全事实和专业支持优先。</x:v>
      </x:c>
      <x:c r="AA221" s="24" t="str">
        <x:v>高</x:v>
      </x:c>
      <x:c r="AB221" s="24" t="str">
        <x:v>待验证</x:v>
      </x:c>
      <x:c r="AC221" s="24" t="str"/>
      <x:c r="AD221" s="24" t="str">
        <x:v>provisional=true；保护因素的现实有效性必须由可观察行为、反馈和持续结果验证。</x:v>
      </x:c>
      <x:c r="AE221" s="24" t="str">
        <x:v>0.8</x:v>
      </x:c>
    </x:row>
    <x:row r="222" ht="52" customHeight="1">
      <x:c r="A222" s="24" t="str">
        <x:v>M4-BUFFER-221</x:v>
      </x:c>
      <x:c r="B222" s="24" t="str">
        <x:v>PB05 安抚和谐替代关键处理｜退出条件</x:v>
      </x:c>
      <x:c r="C222" s="24" t="str">
        <x:v>L4 PB01—PB08伪保护</x:v>
      </x:c>
      <x:c r="D222" s="24" t="str">
        <x:v>BUFFER-伪保护</x:v>
      </x:c>
      <x:c r="E222" s="24" t="str">
        <x:v>通用</x:v>
      </x:c>
      <x:c r="F222" s="24" t="str">
        <x:v>退出</x:v>
      </x:c>
      <x:c r="G222" s="24" t="str">
        <x:v>PB05 安抚和谐替代关键处理</x:v>
      </x:c>
      <x:c r="H222" s="24" t="str">
        <x:v>说明伪保护如何转成有效保护。</x:v>
      </x:c>
      <x:c r="I222" s="24" t="str">
        <x:v>舒缓之后重新进入事实、影响和方案。</x:v>
      </x:c>
      <x:c r="J222" s="24" t="str">
        <x:v>只有一次口头承诺或单次动作。</x:v>
      </x:c>
      <x:c r="K222" s="24" t="str">
        <x:v>由共享基础引擎提供；仅修正保护功能的承载、持续调用和压力状态下的稳定性，不直接等同成熟度、道德或现实行为。</x:v>
      </x:c>
      <x:c r="L222" s="24" t="str">
        <x:v>由M1／M2接口提供；夫妻星、心动原型和关系门槛只说明关系议题，不单独证明保护因素已经被调用或有效。</x:v>
      </x:c>
      <x:c r="M222" s="24" t="str">
        <x:v>由M3-BASE及M4各模块提供；日支、日柱近位可提高与亲密关系核心的相关性，但同一source_id不得重复计分。</x:v>
      </x:c>
      <x:c r="N222" s="24" t="str">
        <x:v>保护因素必须明确限制过用、补足缺位、恢复顺序、打开反馈、落实改变或完成修复回流；不能只凭五行相生补写现实效果。</x:v>
      </x:c>
      <x:c r="O222" s="24" t="str">
        <x:v>近位提高进入亲密关系核心的概率；远位只作背景、阶段或条件性修正。</x:v>
      </x:c>
      <x:c r="P222" s="24" t="str">
        <x:v>根气只修正该保护功能是否容易重复调用，不等于现实中已经形成稳定保护。</x:v>
      </x:c>
      <x:c r="Q222" s="24" t="str">
        <x:v>旺弱只修正调用强度与承载；强不自动有效，弱也不自动无效。</x:v>
      </x:c>
      <x:c r="R222" s="24" t="str">
        <x:v>喜忌只修正摩擦、平衡与承载，不可直接翻译为好坏、成熟度或解决方案。</x:v>
      </x:c>
      <x:c r="S222" s="24" t="str">
        <x:v>原十神功能有效；真合化成立时按化神功能替换，合化争议时停止定性。</x:v>
      </x:c>
      <x:c r="T222" s="24" t="str">
        <x:v>近位提高直接相关性；远位仅保留背景、阶段或低置信修正。</x:v>
      </x:c>
      <x:c r="U222" s="24" t="str">
        <x:v>91</x:v>
      </x:c>
      <x:c r="V222" s="24" t="str">
        <x:v>满足则转BF</x:v>
      </x:c>
      <x:c r="W222" s="24" t="str">
        <x:v>buffer_upgrade</x:v>
      </x:c>
      <x:c r="X222" s="24" t="str">
        <x:v>PB05退出条件：舒缓之后重新进入事实、影响和方案。</x:v>
      </x:c>
      <x:c r="Y222" s="24" t="str">
        <x:v>这项方式要真正发挥作用，需要做到：舒缓之后重新进入事实、影响和方案。</x:v>
      </x:c>
      <x:c r="Z222" s="24" t="str">
        <x:v>不得仅凭本规则断定问题已经解决、关系必然稳定、用户一定成熟、某十神天然是“药”、喜用神自动等于解决办法，或淡化暴力、强迫与现实伤害；现实行为、反例、安全事实和专业支持优先。</x:v>
      </x:c>
      <x:c r="AA222" s="24" t="str">
        <x:v>中高</x:v>
      </x:c>
      <x:c r="AB222" s="24" t="str">
        <x:v>待验证</x:v>
      </x:c>
      <x:c r="AC222" s="24" t="str"/>
      <x:c r="AD222" s="24" t="str">
        <x:v>provisional=true；保护因素的现实有效性必须由可观察行为、反馈和持续结果验证。</x:v>
      </x:c>
      <x:c r="AE222" s="24" t="str">
        <x:v>0.8</x:v>
      </x:c>
    </x:row>
    <x:row r="223" ht="52" customHeight="1">
      <x:c r="A223" s="24" t="str">
        <x:v>M4-BUFFER-222</x:v>
      </x:c>
      <x:c r="B223" s="24" t="str">
        <x:v>PB05 安抚和谐替代关键处理｜用户输出</x:v>
      </x:c>
      <x:c r="C223" s="24" t="str">
        <x:v>L4 PB01—PB08伪保护</x:v>
      </x:c>
      <x:c r="D223" s="24" t="str">
        <x:v>BUFFER-伪保护</x:v>
      </x:c>
      <x:c r="E223" s="24" t="str">
        <x:v>通用</x:v>
      </x:c>
      <x:c r="F223" s="24" t="str">
        <x:v>语言</x:v>
      </x:c>
      <x:c r="G223" s="24" t="str">
        <x:v>PB05 安抚和谐替代关键处理</x:v>
      </x:c>
      <x:c r="H223" s="24" t="str">
        <x:v>生成中性提醒。</x:v>
      </x:c>
      <x:c r="I223" s="24" t="str">
        <x:v>先让气氛恢复、避免冲突，短期看似关系已经好转。</x:v>
      </x:c>
      <x:c r="J223" s="24" t="str">
        <x:v>存在安全停止或资料不足。</x:v>
      </x:c>
      <x:c r="K223" s="24" t="str">
        <x:v>由共享基础引擎提供；仅修正保护功能的承载、持续调用和压力状态下的稳定性，不直接等同成熟度、道德或现实行为。</x:v>
      </x:c>
      <x:c r="L223" s="24" t="str">
        <x:v>由M1／M2接口提供；夫妻星、心动原型和关系门槛只说明关系议题，不单独证明保护因素已经被调用或有效。</x:v>
      </x:c>
      <x:c r="M223" s="24" t="str">
        <x:v>由M3-BASE及M4各模块提供；日支、日柱近位可提高与亲密关系核心的相关性，但同一source_id不得重复计分。</x:v>
      </x:c>
      <x:c r="N223" s="24" t="str">
        <x:v>保护因素必须明确限制过用、补足缺位、恢复顺序、打开反馈、落实改变或完成修复回流；不能只凭五行相生补写现实效果。</x:v>
      </x:c>
      <x:c r="O223" s="24" t="str">
        <x:v>近位提高进入亲密关系核心的概率；远位只作背景、阶段或条件性修正。</x:v>
      </x:c>
      <x:c r="P223" s="24" t="str">
        <x:v>根气只修正该保护功能是否容易重复调用，不等于现实中已经形成稳定保护。</x:v>
      </x:c>
      <x:c r="Q223" s="24" t="str">
        <x:v>旺弱只修正调用强度与承载；强不自动有效，弱也不自动无效。</x:v>
      </x:c>
      <x:c r="R223" s="24" t="str">
        <x:v>喜忌只修正摩擦、平衡与承载，不可直接翻译为好坏、成熟度或解决方案。</x:v>
      </x:c>
      <x:c r="S223" s="24" t="str">
        <x:v>原十神功能有效；真合化成立时按化神功能替换，合化争议时停止定性。</x:v>
      </x:c>
      <x:c r="T223" s="24" t="str">
        <x:v>近位提高直接相关性；远位仅保留背景、阶段或低置信修正。</x:v>
      </x:c>
      <x:c r="U223" s="24" t="str">
        <x:v>84</x:v>
      </x:c>
      <x:c r="V223" s="24" t="str">
        <x:v>不加分；输出</x:v>
      </x:c>
      <x:c r="W223" s="24" t="str">
        <x:v>report_text</x:v>
      </x:c>
      <x:c r="X223" s="24" t="str">
        <x:v>关键议题、影响和行动没有回访时，平静只是暂时压低强度。</x:v>
      </x:c>
      <x:c r="Y223" s="24" t="str">
        <x:v>恢复平静是一项资源，但只有关键问题被重新处理，才真正具有保护作用。</x:v>
      </x:c>
      <x:c r="Z223" s="24" t="str">
        <x:v>不得仅凭本规则断定问题已经解决、关系必然稳定、用户一定成熟、某十神天然是“药”、喜用神自动等于解决办法，或淡化暴力、强迫与现实伤害；现实行为、反例、安全事实和专业支持优先。</x:v>
      </x:c>
      <x:c r="AA223" s="24" t="str">
        <x:v>中高</x:v>
      </x:c>
      <x:c r="AB223" s="24" t="str">
        <x:v>待验证</x:v>
      </x:c>
      <x:c r="AC223" s="24" t="str"/>
      <x:c r="AD223" s="24" t="str">
        <x:v>provisional=true；保护因素的现实有效性必须由可观察行为、反馈和持续结果验证。</x:v>
      </x:c>
      <x:c r="AE223" s="24" t="str">
        <x:v>0.8</x:v>
      </x:c>
    </x:row>
    <x:row r="224" ht="52" customHeight="1">
      <x:c r="A224" s="24" t="str">
        <x:v>M4-BUFFER-223</x:v>
      </x:c>
      <x:c r="B224" s="24" t="str">
        <x:v>PB06 快速行动替代共同决定｜机制定义</x:v>
      </x:c>
      <x:c r="C224" s="24" t="str">
        <x:v>L4 PB01—PB08伪保护</x:v>
      </x:c>
      <x:c r="D224" s="24" t="str">
        <x:v>BUFFER-伪保护</x:v>
      </x:c>
      <x:c r="E224" s="24" t="str">
        <x:v>通用</x:v>
      </x:c>
      <x:c r="F224" s="24" t="str">
        <x:v>定义</x:v>
      </x:c>
      <x:c r="G224" s="24" t="str">
        <x:v>PB06 快速行动替代共同决定</x:v>
      </x:c>
      <x:c r="H224" s="24" t="str">
        <x:v>界定常见伪保护。</x:v>
      </x:c>
      <x:c r="I224" s="24" t="str">
        <x:v>用迅速解决、替对方安排或直接推进来降低风险。</x:v>
      </x:c>
      <x:c r="J224" s="24" t="str">
        <x:v>该方式已经有独立反馈、现实效果与持续验证。</x:v>
      </x:c>
      <x:c r="K224" s="24" t="str">
        <x:v>由共享基础引擎提供；仅修正保护功能的承载、持续调用和压力状态下的稳定性，不直接等同成熟度、道德或现实行为。</x:v>
      </x:c>
      <x:c r="L224" s="24" t="str">
        <x:v>由M1／M2接口提供；夫妻星、心动原型和关系门槛只说明关系议题，不单独证明保护因素已经被调用或有效。</x:v>
      </x:c>
      <x:c r="M224" s="24" t="str">
        <x:v>由M3-BASE及M4各模块提供；日支、日柱近位可提高与亲密关系核心的相关性，但同一source_id不得重复计分。</x:v>
      </x:c>
      <x:c r="N224" s="24" t="str">
        <x:v>保护因素必须明确限制过用、补足缺位、恢复顺序、打开反馈、落实改变或完成修复回流；不能只凭五行相生补写现实效果。</x:v>
      </x:c>
      <x:c r="O224" s="24" t="str">
        <x:v>近位提高进入亲密关系核心的概率；远位只作背景、阶段或条件性修正。</x:v>
      </x:c>
      <x:c r="P224" s="24" t="str">
        <x:v>根气只修正该保护功能是否容易重复调用，不等于现实中已经形成稳定保护。</x:v>
      </x:c>
      <x:c r="Q224" s="24" t="str">
        <x:v>旺弱只修正调用强度与承载；强不自动有效，弱也不自动无效。</x:v>
      </x:c>
      <x:c r="R224" s="24" t="str">
        <x:v>喜忌只修正摩擦、平衡与承载，不可直接翻译为好坏、成熟度或解决方案。</x:v>
      </x:c>
      <x:c r="S224" s="24" t="str">
        <x:v>原十神功能有效；真合化成立时按化神功能替换，合化争议时停止定性。</x:v>
      </x:c>
      <x:c r="T224" s="24" t="str">
        <x:v>近位提高直接相关性；远位仅保留背景、阶段或低置信修正。</x:v>
      </x:c>
      <x:c r="U224" s="24" t="str">
        <x:v>95</x:v>
      </x:c>
      <x:c r="V224" s="24" t="str">
        <x:v>伪保护候选+0</x:v>
      </x:c>
      <x:c r="W224" s="24" t="str">
        <x:v>pseudo_buffer</x:v>
      </x:c>
      <x:c r="X224" s="24" t="str">
        <x:v>行动可能越过当事人选择权、参与权和反馈。</x:v>
      </x:c>
      <x:c r="Y224" s="24" t="str">
        <x:v>迅速处理可以止损，但需要保留选择权，并在事后回到协商。</x:v>
      </x:c>
      <x:c r="Z224" s="24" t="str">
        <x:v>不得仅凭本规则断定问题已经解决、关系必然稳定、用户一定成熟、某十神天然是“药”、喜用神自动等于解决办法，或淡化暴力、强迫与现实伤害；现实行为、反例、安全事实和专业支持优先。</x:v>
      </x:c>
      <x:c r="AA224" s="24" t="str">
        <x:v>中高</x:v>
      </x:c>
      <x:c r="AB224" s="24" t="str">
        <x:v>待验证</x:v>
      </x:c>
      <x:c r="AC224" s="24" t="str"/>
      <x:c r="AD224" s="24" t="str">
        <x:v>provisional=true；保护因素的现实有效性必须由可观察行为、反馈和持续结果验证。</x:v>
      </x:c>
      <x:c r="AE224" s="24" t="str">
        <x:v>0.8</x:v>
      </x:c>
    </x:row>
    <x:row r="225" ht="52" customHeight="1">
      <x:c r="A225" s="24" t="str">
        <x:v>M4-BUFFER-224</x:v>
      </x:c>
      <x:c r="B225" s="24" t="str">
        <x:v>PB06 快速行动替代共同决定｜识别条件</x:v>
      </x:c>
      <x:c r="C225" s="24" t="str">
        <x:v>L4 PB01—PB08伪保护</x:v>
      </x:c>
      <x:c r="D225" s="24" t="str">
        <x:v>BUFFER-伪保护</x:v>
      </x:c>
      <x:c r="E225" s="24" t="str">
        <x:v>通用</x:v>
      </x:c>
      <x:c r="F225" s="24" t="str">
        <x:v>识别</x:v>
      </x:c>
      <x:c r="G225" s="24" t="str">
        <x:v>PB06 快速行动替代共同决定</x:v>
      </x:c>
      <x:c r="H225" s="24" t="str">
        <x:v>识别伪保护的现实表现。</x:v>
      </x:c>
      <x:c r="I225" s="24" t="str">
        <x:v>出现以下表面保护：用迅速解决、替对方安排或直接推进来降低风险。</x:v>
      </x:c>
      <x:c r="J225" s="24" t="str">
        <x:v>没有对应风险靶点，或现实结果清楚显示链条已改变。</x:v>
      </x:c>
      <x:c r="K225" s="24" t="str">
        <x:v>由共享基础引擎提供；仅修正保护功能的承载、持续调用和压力状态下的稳定性，不直接等同成熟度、道德或现实行为。</x:v>
      </x:c>
      <x:c r="L225" s="24" t="str">
        <x:v>由M1／M2接口提供；夫妻星、心动原型和关系门槛只说明关系议题，不单独证明保护因素已经被调用或有效。</x:v>
      </x:c>
      <x:c r="M225" s="24" t="str">
        <x:v>由M3-BASE及M4各模块提供；日支、日柱近位可提高与亲密关系核心的相关性，但同一source_id不得重复计分。</x:v>
      </x:c>
      <x:c r="N225" s="24" t="str">
        <x:v>保护因素必须明确限制过用、补足缺位、恢复顺序、打开反馈、落实改变或完成修复回流；不能只凭五行相生补写现实效果。</x:v>
      </x:c>
      <x:c r="O225" s="24" t="str">
        <x:v>近位提高进入亲密关系核心的概率；远位只作背景、阶段或条件性修正。</x:v>
      </x:c>
      <x:c r="P225" s="24" t="str">
        <x:v>根气只修正该保护功能是否容易重复调用，不等于现实中已经形成稳定保护。</x:v>
      </x:c>
      <x:c r="Q225" s="24" t="str">
        <x:v>旺弱只修正调用强度与承载；强不自动有效，弱也不自动无效。</x:v>
      </x:c>
      <x:c r="R225" s="24" t="str">
        <x:v>喜忌只修正摩擦、平衡与承载，不可直接翻译为好坏、成熟度或解决方案。</x:v>
      </x:c>
      <x:c r="S225" s="24" t="str">
        <x:v>原十神功能有效；真合化成立时按化神功能替换，合化争议时停止定性。</x:v>
      </x:c>
      <x:c r="T225" s="24" t="str">
        <x:v>近位提高直接相关性；远位仅保留背景、阶段或低置信修正。</x:v>
      </x:c>
      <x:c r="U225" s="24" t="str">
        <x:v>92</x:v>
      </x:c>
      <x:c r="V225" s="24" t="str">
        <x:v>命中+6</x:v>
      </x:c>
      <x:c r="W225" s="24" t="str">
        <x:v>buffer_evidence</x:v>
      </x:c>
      <x:c r="X225" s="24" t="str">
        <x:v>识别重点：检查行动目标、授权范围、事后反馈和责任回流。</x:v>
      </x:c>
      <x:c r="Y225" s="24" t="str">
        <x:v>需要继续检查：检查行动目标、授权范围、事后反馈和责任回流。</x:v>
      </x:c>
      <x:c r="Z225" s="24" t="str">
        <x:v>不得仅凭本规则断定问题已经解决、关系必然稳定、用户一定成熟、某十神天然是“药”、喜用神自动等于解决办法，或淡化暴力、强迫与现实伤害；现实行为、反例、安全事实和专业支持优先。</x:v>
      </x:c>
      <x:c r="AA225" s="24" t="str">
        <x:v>中高</x:v>
      </x:c>
      <x:c r="AB225" s="24" t="str">
        <x:v>待验证</x:v>
      </x:c>
      <x:c r="AC225" s="24" t="str"/>
      <x:c r="AD225" s="24" t="str">
        <x:v>provisional=true；保护因素的现实有效性必须由可观察行为、反馈和持续结果验证。</x:v>
      </x:c>
      <x:c r="AE225" s="24" t="str">
        <x:v>0.8</x:v>
      </x:c>
    </x:row>
    <x:row r="226" ht="52" customHeight="1">
      <x:c r="A226" s="24" t="str">
        <x:v>M4-BUFFER-225</x:v>
      </x:c>
      <x:c r="B226" s="24" t="str">
        <x:v>PB06 快速行动替代共同决定｜为什么无效</x:v>
      </x:c>
      <x:c r="C226" s="24" t="str">
        <x:v>L4 PB01—PB08伪保护</x:v>
      </x:c>
      <x:c r="D226" s="24" t="str">
        <x:v>BUFFER-伪保护</x:v>
      </x:c>
      <x:c r="E226" s="24" t="str">
        <x:v>通用</x:v>
      </x:c>
      <x:c r="F226" s="24" t="str">
        <x:v>逻辑</x:v>
      </x:c>
      <x:c r="G226" s="24" t="str">
        <x:v>PB06 快速行动替代共同决定</x:v>
      </x:c>
      <x:c r="H226" s="24" t="str">
        <x:v>说明表面有效与真实有效的差别。</x:v>
      </x:c>
      <x:c r="I226" s="24" t="str">
        <x:v>用迅速解决、替对方安排或直接推进来降低风险。</x:v>
      </x:c>
      <x:c r="J226" s="24" t="str">
        <x:v>已经完成反馈、执行与反例检验。</x:v>
      </x:c>
      <x:c r="K226" s="24" t="str">
        <x:v>由共享基础引擎提供；仅修正保护功能的承载、持续调用和压力状态下的稳定性，不直接等同成熟度、道德或现实行为。</x:v>
      </x:c>
      <x:c r="L226" s="24" t="str">
        <x:v>由M1／M2接口提供；夫妻星、心动原型和关系门槛只说明关系议题，不单独证明保护因素已经被调用或有效。</x:v>
      </x:c>
      <x:c r="M226" s="24" t="str">
        <x:v>由M3-BASE及M4各模块提供；日支、日柱近位可提高与亲密关系核心的相关性，但同一source_id不得重复计分。</x:v>
      </x:c>
      <x:c r="N226" s="24" t="str">
        <x:v>保护因素必须明确限制过用、补足缺位、恢复顺序、打开反馈、落实改变或完成修复回流；不能只凭五行相生补写现实效果。</x:v>
      </x:c>
      <x:c r="O226" s="24" t="str">
        <x:v>近位提高进入亲密关系核心的概率；远位只作背景、阶段或条件性修正。</x:v>
      </x:c>
      <x:c r="P226" s="24" t="str">
        <x:v>根气只修正该保护功能是否容易重复调用，不等于现实中已经形成稳定保护。</x:v>
      </x:c>
      <x:c r="Q226" s="24" t="str">
        <x:v>旺弱只修正调用强度与承载；强不自动有效，弱也不自动无效。</x:v>
      </x:c>
      <x:c r="R226" s="24" t="str">
        <x:v>喜忌只修正摩擦、平衡与承载，不可直接翻译为好坏、成熟度或解决方案。</x:v>
      </x:c>
      <x:c r="S226" s="24" t="str">
        <x:v>原十神功能有效；真合化成立时按化神功能替换，合化争议时停止定性。</x:v>
      </x:c>
      <x:c r="T226" s="24" t="str">
        <x:v>近位提高直接相关性；远位仅保留背景、阶段或低置信修正。</x:v>
      </x:c>
      <x:c r="U226" s="24" t="str">
        <x:v>90</x:v>
      </x:c>
      <x:c r="V226" s="24" t="str">
        <x:v>不加分；解释</x:v>
      </x:c>
      <x:c r="W226" s="24" t="str">
        <x:v>boundary_note</x:v>
      </x:c>
      <x:c r="X226" s="24" t="str">
        <x:v>行动可能越过当事人选择权、参与权和反馈。</x:v>
      </x:c>
      <x:c r="Y226" s="24" t="str">
        <x:v>表面上它能暂时降低不适，但还不能证明关键关系任务已经完成。</x:v>
      </x:c>
      <x:c r="Z226" s="24" t="str">
        <x:v>不得仅凭本规则断定问题已经解决、关系必然稳定、用户一定成熟、某十神天然是“药”、喜用神自动等于解决办法，或淡化暴力、强迫与现实伤害；现实行为、反例、安全事实和专业支持优先。</x:v>
      </x:c>
      <x:c r="AA226" s="24" t="str">
        <x:v>中高</x:v>
      </x:c>
      <x:c r="AB226" s="24" t="str">
        <x:v>待验证</x:v>
      </x:c>
      <x:c r="AC226" s="24" t="str"/>
      <x:c r="AD226" s="24" t="str">
        <x:v>provisional=true；保护因素的现实有效性必须由可观察行为、反馈和持续结果验证。</x:v>
      </x:c>
      <x:c r="AE226" s="24" t="str">
        <x:v>0.8</x:v>
      </x:c>
    </x:row>
    <x:row r="227" ht="52" customHeight="1">
      <x:c r="A227" s="24" t="str">
        <x:v>M4-BUFFER-226</x:v>
      </x:c>
      <x:c r="B227" s="24" t="str">
        <x:v>PB06 快速行动替代共同决定｜反例门控</x:v>
      </x:c>
      <x:c r="C227" s="24" t="str">
        <x:v>L4 PB01—PB08伪保护</x:v>
      </x:c>
      <x:c r="D227" s="24" t="str">
        <x:v>BUFFER-伪保护</x:v>
      </x:c>
      <x:c r="E227" s="24" t="str">
        <x:v>通用</x:v>
      </x:c>
      <x:c r="F227" s="24" t="str">
        <x:v>反例</x:v>
      </x:c>
      <x:c r="G227" s="24" t="str">
        <x:v>PB06 快速行动替代共同决定</x:v>
      </x:c>
      <x:c r="H227" s="24" t="str">
        <x:v>防止把真实有效资源误判为伪保护。</x:v>
      </x:c>
      <x:c r="I227" s="24" t="str">
        <x:v>没有观察到高压行动有清楚边界，并在事后恢复共同决定。。</x:v>
      </x:c>
      <x:c r="J227" s="24" t="str">
        <x:v>已经观察到高压行动有清楚边界，并在事后恢复共同决定。，并在相似情境中重复。</x:v>
      </x:c>
      <x:c r="K227" s="24" t="str">
        <x:v>由共享基础引擎提供；仅修正保护功能的承载、持续调用和压力状态下的稳定性，不直接等同成熟度、道德或现实行为。</x:v>
      </x:c>
      <x:c r="L227" s="24" t="str">
        <x:v>由M1／M2接口提供；夫妻星、心动原型和关系门槛只说明关系议题，不单独证明保护因素已经被调用或有效。</x:v>
      </x:c>
      <x:c r="M227" s="24" t="str">
        <x:v>由M3-BASE及M4各模块提供；日支、日柱近位可提高与亲密关系核心的相关性，但同一source_id不得重复计分。</x:v>
      </x:c>
      <x:c r="N227" s="24" t="str">
        <x:v>保护因素必须明确限制过用、补足缺位、恢复顺序、打开反馈、落实改变或完成修复回流；不能只凭五行相生补写现实效果。</x:v>
      </x:c>
      <x:c r="O227" s="24" t="str">
        <x:v>近位提高进入亲密关系核心的概率；远位只作背景、阶段或条件性修正。</x:v>
      </x:c>
      <x:c r="P227" s="24" t="str">
        <x:v>根气只修正该保护功能是否容易重复调用，不等于现实中已经形成稳定保护。</x:v>
      </x:c>
      <x:c r="Q227" s="24" t="str">
        <x:v>旺弱只修正调用强度与承载；强不自动有效，弱也不自动无效。</x:v>
      </x:c>
      <x:c r="R227" s="24" t="str">
        <x:v>喜忌只修正摩擦、平衡与承载，不可直接翻译为好坏、成熟度或解决方案。</x:v>
      </x:c>
      <x:c r="S227" s="24" t="str">
        <x:v>原十神功能有效；真合化成立时按化神功能替换，合化争议时停止定性。</x:v>
      </x:c>
      <x:c r="T227" s="24" t="str">
        <x:v>近位提高直接相关性；远位仅保留背景、阶段或低置信修正。</x:v>
      </x:c>
      <x:c r="U227" s="24" t="str">
        <x:v>97</x:v>
      </x:c>
      <x:c r="V227" s="24" t="str">
        <x:v>反例则停止</x:v>
      </x:c>
      <x:c r="W227" s="24" t="str">
        <x:v>counterevidence</x:v>
      </x:c>
      <x:c r="X227" s="24" t="str">
        <x:v>若已经满足：高压行动有清楚边界，并在事后恢复共同决定。，则应停止PB候选并升级至相应BF。</x:v>
      </x:c>
      <x:c r="Y227" s="24" t="str">
        <x:v>若现实中已经做到“高压行动有清楚边界，并在事后恢复共同决定。”，就不应再把它视为表面保护。</x:v>
      </x:c>
      <x:c r="Z227" s="24" t="str">
        <x:v>不得仅凭本规则断定问题已经解决、关系必然稳定、用户一定成熟、某十神天然是“药”、喜用神自动等于解决办法，或淡化暴力、强迫与现实伤害；现实行为、反例、安全事实和专业支持优先。</x:v>
      </x:c>
      <x:c r="AA227" s="24" t="str">
        <x:v>高</x:v>
      </x:c>
      <x:c r="AB227" s="24" t="str">
        <x:v>待验证</x:v>
      </x:c>
      <x:c r="AC227" s="24" t="str"/>
      <x:c r="AD227" s="24" t="str">
        <x:v>provisional=true；保护因素的现实有效性必须由可观察行为、反馈和持续结果验证。</x:v>
      </x:c>
      <x:c r="AE227" s="24" t="str">
        <x:v>0.8</x:v>
      </x:c>
    </x:row>
    <x:row r="228" ht="52" customHeight="1">
      <x:c r="A228" s="24" t="str">
        <x:v>M4-BUFFER-227</x:v>
      </x:c>
      <x:c r="B228" s="24" t="str">
        <x:v>PB06 快速行动替代共同决定｜退出条件</x:v>
      </x:c>
      <x:c r="C228" s="24" t="str">
        <x:v>L4 PB01—PB08伪保护</x:v>
      </x:c>
      <x:c r="D228" s="24" t="str">
        <x:v>BUFFER-伪保护</x:v>
      </x:c>
      <x:c r="E228" s="24" t="str">
        <x:v>通用</x:v>
      </x:c>
      <x:c r="F228" s="24" t="str">
        <x:v>退出</x:v>
      </x:c>
      <x:c r="G228" s="24" t="str">
        <x:v>PB06 快速行动替代共同决定</x:v>
      </x:c>
      <x:c r="H228" s="24" t="str">
        <x:v>说明伪保护如何转成有效保护。</x:v>
      </x:c>
      <x:c r="I228" s="24" t="str">
        <x:v>高压行动有清楚边界，并在事后恢复共同决定。</x:v>
      </x:c>
      <x:c r="J228" s="24" t="str">
        <x:v>只有一次口头承诺或单次动作。</x:v>
      </x:c>
      <x:c r="K228" s="24" t="str">
        <x:v>由共享基础引擎提供；仅修正保护功能的承载、持续调用和压力状态下的稳定性，不直接等同成熟度、道德或现实行为。</x:v>
      </x:c>
      <x:c r="L228" s="24" t="str">
        <x:v>由M1／M2接口提供；夫妻星、心动原型和关系门槛只说明关系议题，不单独证明保护因素已经被调用或有效。</x:v>
      </x:c>
      <x:c r="M228" s="24" t="str">
        <x:v>由M3-BASE及M4各模块提供；日支、日柱近位可提高与亲密关系核心的相关性，但同一source_id不得重复计分。</x:v>
      </x:c>
      <x:c r="N228" s="24" t="str">
        <x:v>保护因素必须明确限制过用、补足缺位、恢复顺序、打开反馈、落实改变或完成修复回流；不能只凭五行相生补写现实效果。</x:v>
      </x:c>
      <x:c r="O228" s="24" t="str">
        <x:v>近位提高进入亲密关系核心的概率；远位只作背景、阶段或条件性修正。</x:v>
      </x:c>
      <x:c r="P228" s="24" t="str">
        <x:v>根气只修正该保护功能是否容易重复调用，不等于现实中已经形成稳定保护。</x:v>
      </x:c>
      <x:c r="Q228" s="24" t="str">
        <x:v>旺弱只修正调用强度与承载；强不自动有效，弱也不自动无效。</x:v>
      </x:c>
      <x:c r="R228" s="24" t="str">
        <x:v>喜忌只修正摩擦、平衡与承载，不可直接翻译为好坏、成熟度或解决方案。</x:v>
      </x:c>
      <x:c r="S228" s="24" t="str">
        <x:v>原十神功能有效；真合化成立时按化神功能替换，合化争议时停止定性。</x:v>
      </x:c>
      <x:c r="T228" s="24" t="str">
        <x:v>近位提高直接相关性；远位仅保留背景、阶段或低置信修正。</x:v>
      </x:c>
      <x:c r="U228" s="24" t="str">
        <x:v>91</x:v>
      </x:c>
      <x:c r="V228" s="24" t="str">
        <x:v>满足则转BF</x:v>
      </x:c>
      <x:c r="W228" s="24" t="str">
        <x:v>buffer_upgrade</x:v>
      </x:c>
      <x:c r="X228" s="24" t="str">
        <x:v>PB06退出条件：高压行动有清楚边界，并在事后恢复共同决定。</x:v>
      </x:c>
      <x:c r="Y228" s="24" t="str">
        <x:v>这项方式要真正发挥作用，需要做到：高压行动有清楚边界，并在事后恢复共同决定。</x:v>
      </x:c>
      <x:c r="Z228" s="24" t="str">
        <x:v>不得仅凭本规则断定问题已经解决、关系必然稳定、用户一定成熟、某十神天然是“药”、喜用神自动等于解决办法，或淡化暴力、强迫与现实伤害；现实行为、反例、安全事实和专业支持优先。</x:v>
      </x:c>
      <x:c r="AA228" s="24" t="str">
        <x:v>中高</x:v>
      </x:c>
      <x:c r="AB228" s="24" t="str">
        <x:v>待验证</x:v>
      </x:c>
      <x:c r="AC228" s="24" t="str"/>
      <x:c r="AD228" s="24" t="str">
        <x:v>provisional=true；保护因素的现实有效性必须由可观察行为、反馈和持续结果验证。</x:v>
      </x:c>
      <x:c r="AE228" s="24" t="str">
        <x:v>0.8</x:v>
      </x:c>
    </x:row>
    <x:row r="229" ht="52" customHeight="1">
      <x:c r="A229" s="24" t="str">
        <x:v>M4-BUFFER-228</x:v>
      </x:c>
      <x:c r="B229" s="24" t="str">
        <x:v>PB06 快速行动替代共同决定｜用户输出</x:v>
      </x:c>
      <x:c r="C229" s="24" t="str">
        <x:v>L4 PB01—PB08伪保护</x:v>
      </x:c>
      <x:c r="D229" s="24" t="str">
        <x:v>BUFFER-伪保护</x:v>
      </x:c>
      <x:c r="E229" s="24" t="str">
        <x:v>通用</x:v>
      </x:c>
      <x:c r="F229" s="24" t="str">
        <x:v>语言</x:v>
      </x:c>
      <x:c r="G229" s="24" t="str">
        <x:v>PB06 快速行动替代共同决定</x:v>
      </x:c>
      <x:c r="H229" s="24" t="str">
        <x:v>生成中性提醒。</x:v>
      </x:c>
      <x:c r="I229" s="24" t="str">
        <x:v>用迅速解决、替对方安排或直接推进来降低风险。</x:v>
      </x:c>
      <x:c r="J229" s="24" t="str">
        <x:v>存在安全停止或资料不足。</x:v>
      </x:c>
      <x:c r="K229" s="24" t="str">
        <x:v>由共享基础引擎提供；仅修正保护功能的承载、持续调用和压力状态下的稳定性，不直接等同成熟度、道德或现实行为。</x:v>
      </x:c>
      <x:c r="L229" s="24" t="str">
        <x:v>由M1／M2接口提供；夫妻星、心动原型和关系门槛只说明关系议题，不单独证明保护因素已经被调用或有效。</x:v>
      </x:c>
      <x:c r="M229" s="24" t="str">
        <x:v>由M3-BASE及M4各模块提供；日支、日柱近位可提高与亲密关系核心的相关性，但同一source_id不得重复计分。</x:v>
      </x:c>
      <x:c r="N229" s="24" t="str">
        <x:v>保护因素必须明确限制过用、补足缺位、恢复顺序、打开反馈、落实改变或完成修复回流；不能只凭五行相生补写现实效果。</x:v>
      </x:c>
      <x:c r="O229" s="24" t="str">
        <x:v>近位提高进入亲密关系核心的概率；远位只作背景、阶段或条件性修正。</x:v>
      </x:c>
      <x:c r="P229" s="24" t="str">
        <x:v>根气只修正该保护功能是否容易重复调用，不等于现实中已经形成稳定保护。</x:v>
      </x:c>
      <x:c r="Q229" s="24" t="str">
        <x:v>旺弱只修正调用强度与承载；强不自动有效，弱也不自动无效。</x:v>
      </x:c>
      <x:c r="R229" s="24" t="str">
        <x:v>喜忌只修正摩擦、平衡与承载，不可直接翻译为好坏、成熟度或解决方案。</x:v>
      </x:c>
      <x:c r="S229" s="24" t="str">
        <x:v>原十神功能有效；真合化成立时按化神功能替换，合化争议时停止定性。</x:v>
      </x:c>
      <x:c r="T229" s="24" t="str">
        <x:v>近位提高直接相关性；远位仅保留背景、阶段或低置信修正。</x:v>
      </x:c>
      <x:c r="U229" s="24" t="str">
        <x:v>84</x:v>
      </x:c>
      <x:c r="V229" s="24" t="str">
        <x:v>不加分；输出</x:v>
      </x:c>
      <x:c r="W229" s="24" t="str">
        <x:v>report_text</x:v>
      </x:c>
      <x:c r="X229" s="24" t="str">
        <x:v>行动可能越过当事人选择权、参与权和反馈。</x:v>
      </x:c>
      <x:c r="Y229" s="24" t="str">
        <x:v>迅速处理可以止损，但需要保留选择权，并在事后回到协商。</x:v>
      </x:c>
      <x:c r="Z229" s="24" t="str">
        <x:v>不得仅凭本规则断定问题已经解决、关系必然稳定、用户一定成熟、某十神天然是“药”、喜用神自动等于解决办法，或淡化暴力、强迫与现实伤害；现实行为、反例、安全事实和专业支持优先。</x:v>
      </x:c>
      <x:c r="AA229" s="24" t="str">
        <x:v>中高</x:v>
      </x:c>
      <x:c r="AB229" s="24" t="str">
        <x:v>待验证</x:v>
      </x:c>
      <x:c r="AC229" s="24" t="str"/>
      <x:c r="AD229" s="24" t="str">
        <x:v>provisional=true；保护因素的现实有效性必须由可观察行为、反馈和持续结果验证。</x:v>
      </x:c>
      <x:c r="AE229" s="24" t="str">
        <x:v>0.8</x:v>
      </x:c>
    </x:row>
    <x:row r="230" ht="52" customHeight="1">
      <x:c r="A230" s="24" t="str">
        <x:v>M4-BUFFER-229</x:v>
      </x:c>
      <x:c r="B230" s="24" t="str">
        <x:v>PB07 暂停空间替代回归｜机制定义</x:v>
      </x:c>
      <x:c r="C230" s="24" t="str">
        <x:v>L4 PB01—PB08伪保护</x:v>
      </x:c>
      <x:c r="D230" s="24" t="str">
        <x:v>BUFFER-伪保护</x:v>
      </x:c>
      <x:c r="E230" s="24" t="str">
        <x:v>通用</x:v>
      </x:c>
      <x:c r="F230" s="24" t="str">
        <x:v>定义</x:v>
      </x:c>
      <x:c r="G230" s="24" t="str">
        <x:v>PB07 暂停空间替代回归</x:v>
      </x:c>
      <x:c r="H230" s="24" t="str">
        <x:v>界定常见伪保护。</x:v>
      </x:c>
      <x:c r="I230" s="24" t="str">
        <x:v>通过冷静、独处或暂停避免继续升级。</x:v>
      </x:c>
      <x:c r="J230" s="24" t="str">
        <x:v>该方式已经有独立反馈、现实效果与持续验证。</x:v>
      </x:c>
      <x:c r="K230" s="24" t="str">
        <x:v>由共享基础引擎提供；仅修正保护功能的承载、持续调用和压力状态下的稳定性，不直接等同成熟度、道德或现实行为。</x:v>
      </x:c>
      <x:c r="L230" s="24" t="str">
        <x:v>由M1／M2接口提供；夫妻星、心动原型和关系门槛只说明关系议题，不单独证明保护因素已经被调用或有效。</x:v>
      </x:c>
      <x:c r="M230" s="24" t="str">
        <x:v>由M3-BASE及M4各模块提供；日支、日柱近位可提高与亲密关系核心的相关性，但同一source_id不得重复计分。</x:v>
      </x:c>
      <x:c r="N230" s="24" t="str">
        <x:v>保护因素必须明确限制过用、补足缺位、恢复顺序、打开反馈、落实改变或完成修复回流；不能只凭五行相生补写现实效果。</x:v>
      </x:c>
      <x:c r="O230" s="24" t="str">
        <x:v>近位提高进入亲密关系核心的概率；远位只作背景、阶段或条件性修正。</x:v>
      </x:c>
      <x:c r="P230" s="24" t="str">
        <x:v>根气只修正该保护功能是否容易重复调用，不等于现实中已经形成稳定保护。</x:v>
      </x:c>
      <x:c r="Q230" s="24" t="str">
        <x:v>旺弱只修正调用强度与承载；强不自动有效，弱也不自动无效。</x:v>
      </x:c>
      <x:c r="R230" s="24" t="str">
        <x:v>喜忌只修正摩擦、平衡与承载，不可直接翻译为好坏、成熟度或解决方案。</x:v>
      </x:c>
      <x:c r="S230" s="24" t="str">
        <x:v>原十神功能有效；真合化成立时按化神功能替换，合化争议时停止定性。</x:v>
      </x:c>
      <x:c r="T230" s="24" t="str">
        <x:v>近位提高直接相关性；远位仅保留背景、阶段或低置信修正。</x:v>
      </x:c>
      <x:c r="U230" s="24" t="str">
        <x:v>95</x:v>
      </x:c>
      <x:c r="V230" s="24" t="str">
        <x:v>伪保护候选+0</x:v>
      </x:c>
      <x:c r="W230" s="24" t="str">
        <x:v>pseudo_buffer</x:v>
      </x:c>
      <x:c r="X230" s="24" t="str">
        <x:v>没有回归点的暂停会变成连接断裂或长期拖延。</x:v>
      </x:c>
      <x:c r="Y230" s="24" t="str">
        <x:v>空间只有在有清楚回归路径时才是保护；否则只是把问题延后。</x:v>
      </x:c>
      <x:c r="Z230" s="24" t="str">
        <x:v>不得仅凭本规则断定问题已经解决、关系必然稳定、用户一定成熟、某十神天然是“药”、喜用神自动等于解决办法，或淡化暴力、强迫与现实伤害；现实行为、反例、安全事实和专业支持优先。</x:v>
      </x:c>
      <x:c r="AA230" s="24" t="str">
        <x:v>中高</x:v>
      </x:c>
      <x:c r="AB230" s="24" t="str">
        <x:v>待验证</x:v>
      </x:c>
      <x:c r="AC230" s="24" t="str"/>
      <x:c r="AD230" s="24" t="str">
        <x:v>provisional=true；保护因素的现实有效性必须由可观察行为、反馈和持续结果验证。</x:v>
      </x:c>
      <x:c r="AE230" s="24" t="str">
        <x:v>0.8</x:v>
      </x:c>
    </x:row>
    <x:row r="231" ht="52" customHeight="1">
      <x:c r="A231" s="24" t="str">
        <x:v>M4-BUFFER-230</x:v>
      </x:c>
      <x:c r="B231" s="24" t="str">
        <x:v>PB07 暂停空间替代回归｜识别条件</x:v>
      </x:c>
      <x:c r="C231" s="24" t="str">
        <x:v>L4 PB01—PB08伪保护</x:v>
      </x:c>
      <x:c r="D231" s="24" t="str">
        <x:v>BUFFER-伪保护</x:v>
      </x:c>
      <x:c r="E231" s="24" t="str">
        <x:v>通用</x:v>
      </x:c>
      <x:c r="F231" s="24" t="str">
        <x:v>识别</x:v>
      </x:c>
      <x:c r="G231" s="24" t="str">
        <x:v>PB07 暂停空间替代回归</x:v>
      </x:c>
      <x:c r="H231" s="24" t="str">
        <x:v>识别伪保护的现实表现。</x:v>
      </x:c>
      <x:c r="I231" s="24" t="str">
        <x:v>出现以下表面保护：通过冷静、独处或暂停避免继续升级。</x:v>
      </x:c>
      <x:c r="J231" s="24" t="str">
        <x:v>没有对应风险靶点，或现实结果清楚显示链条已改变。</x:v>
      </x:c>
      <x:c r="K231" s="24" t="str">
        <x:v>由共享基础引擎提供；仅修正保护功能的承载、持续调用和压力状态下的稳定性，不直接等同成熟度、道德或现实行为。</x:v>
      </x:c>
      <x:c r="L231" s="24" t="str">
        <x:v>由M1／M2接口提供；夫妻星、心动原型和关系门槛只说明关系议题，不单独证明保护因素已经被调用或有效。</x:v>
      </x:c>
      <x:c r="M231" s="24" t="str">
        <x:v>由M3-BASE及M4各模块提供；日支、日柱近位可提高与亲密关系核心的相关性，但同一source_id不得重复计分。</x:v>
      </x:c>
      <x:c r="N231" s="24" t="str">
        <x:v>保护因素必须明确限制过用、补足缺位、恢复顺序、打开反馈、落实改变或完成修复回流；不能只凭五行相生补写现实效果。</x:v>
      </x:c>
      <x:c r="O231" s="24" t="str">
        <x:v>近位提高进入亲密关系核心的概率；远位只作背景、阶段或条件性修正。</x:v>
      </x:c>
      <x:c r="P231" s="24" t="str">
        <x:v>根气只修正该保护功能是否容易重复调用，不等于现实中已经形成稳定保护。</x:v>
      </x:c>
      <x:c r="Q231" s="24" t="str">
        <x:v>旺弱只修正调用强度与承载；强不自动有效，弱也不自动无效。</x:v>
      </x:c>
      <x:c r="R231" s="24" t="str">
        <x:v>喜忌只修正摩擦、平衡与承载，不可直接翻译为好坏、成熟度或解决方案。</x:v>
      </x:c>
      <x:c r="S231" s="24" t="str">
        <x:v>原十神功能有效；真合化成立时按化神功能替换，合化争议时停止定性。</x:v>
      </x:c>
      <x:c r="T231" s="24" t="str">
        <x:v>近位提高直接相关性；远位仅保留背景、阶段或低置信修正。</x:v>
      </x:c>
      <x:c r="U231" s="24" t="str">
        <x:v>92</x:v>
      </x:c>
      <x:c r="V231" s="24" t="str">
        <x:v>命中+6</x:v>
      </x:c>
      <x:c r="W231" s="24" t="str">
        <x:v>buffer_evidence</x:v>
      </x:c>
      <x:c r="X231" s="24" t="str">
        <x:v>识别重点：检查暂停目的、范围、最低连接和明确返回条件。</x:v>
      </x:c>
      <x:c r="Y231" s="24" t="str">
        <x:v>需要继续检查：检查暂停目的、范围、最低连接和明确返回条件。</x:v>
      </x:c>
      <x:c r="Z231" s="24" t="str">
        <x:v>不得仅凭本规则断定问题已经解决、关系必然稳定、用户一定成熟、某十神天然是“药”、喜用神自动等于解决办法，或淡化暴力、强迫与现实伤害；现实行为、反例、安全事实和专业支持优先。</x:v>
      </x:c>
      <x:c r="AA231" s="24" t="str">
        <x:v>中高</x:v>
      </x:c>
      <x:c r="AB231" s="24" t="str">
        <x:v>待验证</x:v>
      </x:c>
      <x:c r="AC231" s="24" t="str"/>
      <x:c r="AD231" s="24" t="str">
        <x:v>provisional=true；保护因素的现实有效性必须由可观察行为、反馈和持续结果验证。</x:v>
      </x:c>
      <x:c r="AE231" s="24" t="str">
        <x:v>0.8</x:v>
      </x:c>
    </x:row>
    <x:row r="232" ht="52" customHeight="1">
      <x:c r="A232" s="24" t="str">
        <x:v>M4-BUFFER-231</x:v>
      </x:c>
      <x:c r="B232" s="24" t="str">
        <x:v>PB07 暂停空间替代回归｜为什么无效</x:v>
      </x:c>
      <x:c r="C232" s="24" t="str">
        <x:v>L4 PB01—PB08伪保护</x:v>
      </x:c>
      <x:c r="D232" s="24" t="str">
        <x:v>BUFFER-伪保护</x:v>
      </x:c>
      <x:c r="E232" s="24" t="str">
        <x:v>通用</x:v>
      </x:c>
      <x:c r="F232" s="24" t="str">
        <x:v>逻辑</x:v>
      </x:c>
      <x:c r="G232" s="24" t="str">
        <x:v>PB07 暂停空间替代回归</x:v>
      </x:c>
      <x:c r="H232" s="24" t="str">
        <x:v>说明表面有效与真实有效的差别。</x:v>
      </x:c>
      <x:c r="I232" s="24" t="str">
        <x:v>通过冷静、独处或暂停避免继续升级。</x:v>
      </x:c>
      <x:c r="J232" s="24" t="str">
        <x:v>已经完成反馈、执行与反例检验。</x:v>
      </x:c>
      <x:c r="K232" s="24" t="str">
        <x:v>由共享基础引擎提供；仅修正保护功能的承载、持续调用和压力状态下的稳定性，不直接等同成熟度、道德或现实行为。</x:v>
      </x:c>
      <x:c r="L232" s="24" t="str">
        <x:v>由M1／M2接口提供；夫妻星、心动原型和关系门槛只说明关系议题，不单独证明保护因素已经被调用或有效。</x:v>
      </x:c>
      <x:c r="M232" s="24" t="str">
        <x:v>由M3-BASE及M4各模块提供；日支、日柱近位可提高与亲密关系核心的相关性，但同一source_id不得重复计分。</x:v>
      </x:c>
      <x:c r="N232" s="24" t="str">
        <x:v>保护因素必须明确限制过用、补足缺位、恢复顺序、打开反馈、落实改变或完成修复回流；不能只凭五行相生补写现实效果。</x:v>
      </x:c>
      <x:c r="O232" s="24" t="str">
        <x:v>近位提高进入亲密关系核心的概率；远位只作背景、阶段或条件性修正。</x:v>
      </x:c>
      <x:c r="P232" s="24" t="str">
        <x:v>根气只修正该保护功能是否容易重复调用，不等于现实中已经形成稳定保护。</x:v>
      </x:c>
      <x:c r="Q232" s="24" t="str">
        <x:v>旺弱只修正调用强度与承载；强不自动有效，弱也不自动无效。</x:v>
      </x:c>
      <x:c r="R232" s="24" t="str">
        <x:v>喜忌只修正摩擦、平衡与承载，不可直接翻译为好坏、成熟度或解决方案。</x:v>
      </x:c>
      <x:c r="S232" s="24" t="str">
        <x:v>原十神功能有效；真合化成立时按化神功能替换，合化争议时停止定性。</x:v>
      </x:c>
      <x:c r="T232" s="24" t="str">
        <x:v>近位提高直接相关性；远位仅保留背景、阶段或低置信修正。</x:v>
      </x:c>
      <x:c r="U232" s="24" t="str">
        <x:v>90</x:v>
      </x:c>
      <x:c r="V232" s="24" t="str">
        <x:v>不加分；解释</x:v>
      </x:c>
      <x:c r="W232" s="24" t="str">
        <x:v>boundary_note</x:v>
      </x:c>
      <x:c r="X232" s="24" t="str">
        <x:v>没有回归点的暂停会变成连接断裂或长期拖延。</x:v>
      </x:c>
      <x:c r="Y232" s="24" t="str">
        <x:v>表面上它能暂时降低不适，但还不能证明关键关系任务已经完成。</x:v>
      </x:c>
      <x:c r="Z232" s="24" t="str">
        <x:v>不得仅凭本规则断定问题已经解决、关系必然稳定、用户一定成熟、某十神天然是“药”、喜用神自动等于解决办法，或淡化暴力、强迫与现实伤害；现实行为、反例、安全事实和专业支持优先。</x:v>
      </x:c>
      <x:c r="AA232" s="24" t="str">
        <x:v>中高</x:v>
      </x:c>
      <x:c r="AB232" s="24" t="str">
        <x:v>待验证</x:v>
      </x:c>
      <x:c r="AC232" s="24" t="str"/>
      <x:c r="AD232" s="24" t="str">
        <x:v>provisional=true；保护因素的现实有效性必须由可观察行为、反馈和持续结果验证。</x:v>
      </x:c>
      <x:c r="AE232" s="24" t="str">
        <x:v>0.8</x:v>
      </x:c>
    </x:row>
    <x:row r="233" ht="52" customHeight="1">
      <x:c r="A233" s="24" t="str">
        <x:v>M4-BUFFER-232</x:v>
      </x:c>
      <x:c r="B233" s="24" t="str">
        <x:v>PB07 暂停空间替代回归｜反例门控</x:v>
      </x:c>
      <x:c r="C233" s="24" t="str">
        <x:v>L4 PB01—PB08伪保护</x:v>
      </x:c>
      <x:c r="D233" s="24" t="str">
        <x:v>BUFFER-伪保护</x:v>
      </x:c>
      <x:c r="E233" s="24" t="str">
        <x:v>通用</x:v>
      </x:c>
      <x:c r="F233" s="24" t="str">
        <x:v>反例</x:v>
      </x:c>
      <x:c r="G233" s="24" t="str">
        <x:v>PB07 暂停空间替代回归</x:v>
      </x:c>
      <x:c r="H233" s="24" t="str">
        <x:v>防止把真实有效资源误判为伪保护。</x:v>
      </x:c>
      <x:c r="I233" s="24" t="str">
        <x:v>没有观察到暂停后按约定重新进入沟通、边界或修复。。</x:v>
      </x:c>
      <x:c r="J233" s="24" t="str">
        <x:v>已经观察到暂停后按约定重新进入沟通、边界或修复。，并在相似情境中重复。</x:v>
      </x:c>
      <x:c r="K233" s="24" t="str">
        <x:v>由共享基础引擎提供；仅修正保护功能的承载、持续调用和压力状态下的稳定性，不直接等同成熟度、道德或现实行为。</x:v>
      </x:c>
      <x:c r="L233" s="24" t="str">
        <x:v>由M1／M2接口提供；夫妻星、心动原型和关系门槛只说明关系议题，不单独证明保护因素已经被调用或有效。</x:v>
      </x:c>
      <x:c r="M233" s="24" t="str">
        <x:v>由M3-BASE及M4各模块提供；日支、日柱近位可提高与亲密关系核心的相关性，但同一source_id不得重复计分。</x:v>
      </x:c>
      <x:c r="N233" s="24" t="str">
        <x:v>保护因素必须明确限制过用、补足缺位、恢复顺序、打开反馈、落实改变或完成修复回流；不能只凭五行相生补写现实效果。</x:v>
      </x:c>
      <x:c r="O233" s="24" t="str">
        <x:v>近位提高进入亲密关系核心的概率；远位只作背景、阶段或条件性修正。</x:v>
      </x:c>
      <x:c r="P233" s="24" t="str">
        <x:v>根气只修正该保护功能是否容易重复调用，不等于现实中已经形成稳定保护。</x:v>
      </x:c>
      <x:c r="Q233" s="24" t="str">
        <x:v>旺弱只修正调用强度与承载；强不自动有效，弱也不自动无效。</x:v>
      </x:c>
      <x:c r="R233" s="24" t="str">
        <x:v>喜忌只修正摩擦、平衡与承载，不可直接翻译为好坏、成熟度或解决方案。</x:v>
      </x:c>
      <x:c r="S233" s="24" t="str">
        <x:v>原十神功能有效；真合化成立时按化神功能替换，合化争议时停止定性。</x:v>
      </x:c>
      <x:c r="T233" s="24" t="str">
        <x:v>近位提高直接相关性；远位仅保留背景、阶段或低置信修正。</x:v>
      </x:c>
      <x:c r="U233" s="24" t="str">
        <x:v>97</x:v>
      </x:c>
      <x:c r="V233" s="24" t="str">
        <x:v>反例则停止</x:v>
      </x:c>
      <x:c r="W233" s="24" t="str">
        <x:v>counterevidence</x:v>
      </x:c>
      <x:c r="X233" s="24" t="str">
        <x:v>若已经满足：暂停后按约定重新进入沟通、边界或修复。，则应停止PB候选并升级至相应BF。</x:v>
      </x:c>
      <x:c r="Y233" s="24" t="str">
        <x:v>若现实中已经做到“暂停后按约定重新进入沟通、边界或修复。”，就不应再把它视为表面保护。</x:v>
      </x:c>
      <x:c r="Z233" s="24" t="str">
        <x:v>不得仅凭本规则断定问题已经解决、关系必然稳定、用户一定成熟、某十神天然是“药”、喜用神自动等于解决办法，或淡化暴力、强迫与现实伤害；现实行为、反例、安全事实和专业支持优先。</x:v>
      </x:c>
      <x:c r="AA233" s="24" t="str">
        <x:v>高</x:v>
      </x:c>
      <x:c r="AB233" s="24" t="str">
        <x:v>待验证</x:v>
      </x:c>
      <x:c r="AC233" s="24" t="str"/>
      <x:c r="AD233" s="24" t="str">
        <x:v>provisional=true；保护因素的现实有效性必须由可观察行为、反馈和持续结果验证。</x:v>
      </x:c>
      <x:c r="AE233" s="24" t="str">
        <x:v>0.8</x:v>
      </x:c>
    </x:row>
    <x:row r="234" ht="52" customHeight="1">
      <x:c r="A234" s="24" t="str">
        <x:v>M4-BUFFER-233</x:v>
      </x:c>
      <x:c r="B234" s="24" t="str">
        <x:v>PB07 暂停空间替代回归｜退出条件</x:v>
      </x:c>
      <x:c r="C234" s="24" t="str">
        <x:v>L4 PB01—PB08伪保护</x:v>
      </x:c>
      <x:c r="D234" s="24" t="str">
        <x:v>BUFFER-伪保护</x:v>
      </x:c>
      <x:c r="E234" s="24" t="str">
        <x:v>通用</x:v>
      </x:c>
      <x:c r="F234" s="24" t="str">
        <x:v>退出</x:v>
      </x:c>
      <x:c r="G234" s="24" t="str">
        <x:v>PB07 暂停空间替代回归</x:v>
      </x:c>
      <x:c r="H234" s="24" t="str">
        <x:v>说明伪保护如何转成有效保护。</x:v>
      </x:c>
      <x:c r="I234" s="24" t="str">
        <x:v>暂停后按约定重新进入沟通、边界或修复。</x:v>
      </x:c>
      <x:c r="J234" s="24" t="str">
        <x:v>只有一次口头承诺或单次动作。</x:v>
      </x:c>
      <x:c r="K234" s="24" t="str">
        <x:v>由共享基础引擎提供；仅修正保护功能的承载、持续调用和压力状态下的稳定性，不直接等同成熟度、道德或现实行为。</x:v>
      </x:c>
      <x:c r="L234" s="24" t="str">
        <x:v>由M1／M2接口提供；夫妻星、心动原型和关系门槛只说明关系议题，不单独证明保护因素已经被调用或有效。</x:v>
      </x:c>
      <x:c r="M234" s="24" t="str">
        <x:v>由M3-BASE及M4各模块提供；日支、日柱近位可提高与亲密关系核心的相关性，但同一source_id不得重复计分。</x:v>
      </x:c>
      <x:c r="N234" s="24" t="str">
        <x:v>保护因素必须明确限制过用、补足缺位、恢复顺序、打开反馈、落实改变或完成修复回流；不能只凭五行相生补写现实效果。</x:v>
      </x:c>
      <x:c r="O234" s="24" t="str">
        <x:v>近位提高进入亲密关系核心的概率；远位只作背景、阶段或条件性修正。</x:v>
      </x:c>
      <x:c r="P234" s="24" t="str">
        <x:v>根气只修正该保护功能是否容易重复调用，不等于现实中已经形成稳定保护。</x:v>
      </x:c>
      <x:c r="Q234" s="24" t="str">
        <x:v>旺弱只修正调用强度与承载；强不自动有效，弱也不自动无效。</x:v>
      </x:c>
      <x:c r="R234" s="24" t="str">
        <x:v>喜忌只修正摩擦、平衡与承载，不可直接翻译为好坏、成熟度或解决方案。</x:v>
      </x:c>
      <x:c r="S234" s="24" t="str">
        <x:v>原十神功能有效；真合化成立时按化神功能替换，合化争议时停止定性。</x:v>
      </x:c>
      <x:c r="T234" s="24" t="str">
        <x:v>近位提高直接相关性；远位仅保留背景、阶段或低置信修正。</x:v>
      </x:c>
      <x:c r="U234" s="24" t="str">
        <x:v>91</x:v>
      </x:c>
      <x:c r="V234" s="24" t="str">
        <x:v>满足则转BF</x:v>
      </x:c>
      <x:c r="W234" s="24" t="str">
        <x:v>buffer_upgrade</x:v>
      </x:c>
      <x:c r="X234" s="24" t="str">
        <x:v>PB07退出条件：暂停后按约定重新进入沟通、边界或修复。</x:v>
      </x:c>
      <x:c r="Y234" s="24" t="str">
        <x:v>这项方式要真正发挥作用，需要做到：暂停后按约定重新进入沟通、边界或修复。</x:v>
      </x:c>
      <x:c r="Z234" s="24" t="str">
        <x:v>不得仅凭本规则断定问题已经解决、关系必然稳定、用户一定成熟、某十神天然是“药”、喜用神自动等于解决办法，或淡化暴力、强迫与现实伤害；现实行为、反例、安全事实和专业支持优先。</x:v>
      </x:c>
      <x:c r="AA234" s="24" t="str">
        <x:v>中高</x:v>
      </x:c>
      <x:c r="AB234" s="24" t="str">
        <x:v>待验证</x:v>
      </x:c>
      <x:c r="AC234" s="24" t="str"/>
      <x:c r="AD234" s="24" t="str">
        <x:v>provisional=true；保护因素的现实有效性必须由可观察行为、反馈和持续结果验证。</x:v>
      </x:c>
      <x:c r="AE234" s="24" t="str">
        <x:v>0.8</x:v>
      </x:c>
    </x:row>
    <x:row r="235" ht="52" customHeight="1">
      <x:c r="A235" s="24" t="str">
        <x:v>M4-BUFFER-234</x:v>
      </x:c>
      <x:c r="B235" s="24" t="str">
        <x:v>PB07 暂停空间替代回归｜用户输出</x:v>
      </x:c>
      <x:c r="C235" s="24" t="str">
        <x:v>L4 PB01—PB08伪保护</x:v>
      </x:c>
      <x:c r="D235" s="24" t="str">
        <x:v>BUFFER-伪保护</x:v>
      </x:c>
      <x:c r="E235" s="24" t="str">
        <x:v>通用</x:v>
      </x:c>
      <x:c r="F235" s="24" t="str">
        <x:v>语言</x:v>
      </x:c>
      <x:c r="G235" s="24" t="str">
        <x:v>PB07 暂停空间替代回归</x:v>
      </x:c>
      <x:c r="H235" s="24" t="str">
        <x:v>生成中性提醒。</x:v>
      </x:c>
      <x:c r="I235" s="24" t="str">
        <x:v>通过冷静、独处或暂停避免继续升级。</x:v>
      </x:c>
      <x:c r="J235" s="24" t="str">
        <x:v>存在安全停止或资料不足。</x:v>
      </x:c>
      <x:c r="K235" s="24" t="str">
        <x:v>由共享基础引擎提供；仅修正保护功能的承载、持续调用和压力状态下的稳定性，不直接等同成熟度、道德或现实行为。</x:v>
      </x:c>
      <x:c r="L235" s="24" t="str">
        <x:v>由M1／M2接口提供；夫妻星、心动原型和关系门槛只说明关系议题，不单独证明保护因素已经被调用或有效。</x:v>
      </x:c>
      <x:c r="M235" s="24" t="str">
        <x:v>由M3-BASE及M4各模块提供；日支、日柱近位可提高与亲密关系核心的相关性，但同一source_id不得重复计分。</x:v>
      </x:c>
      <x:c r="N235" s="24" t="str">
        <x:v>保护因素必须明确限制过用、补足缺位、恢复顺序、打开反馈、落实改变或完成修复回流；不能只凭五行相生补写现实效果。</x:v>
      </x:c>
      <x:c r="O235" s="24" t="str">
        <x:v>近位提高进入亲密关系核心的概率；远位只作背景、阶段或条件性修正。</x:v>
      </x:c>
      <x:c r="P235" s="24" t="str">
        <x:v>根气只修正该保护功能是否容易重复调用，不等于现实中已经形成稳定保护。</x:v>
      </x:c>
      <x:c r="Q235" s="24" t="str">
        <x:v>旺弱只修正调用强度与承载；强不自动有效，弱也不自动无效。</x:v>
      </x:c>
      <x:c r="R235" s="24" t="str">
        <x:v>喜忌只修正摩擦、平衡与承载，不可直接翻译为好坏、成熟度或解决方案。</x:v>
      </x:c>
      <x:c r="S235" s="24" t="str">
        <x:v>原十神功能有效；真合化成立时按化神功能替换，合化争议时停止定性。</x:v>
      </x:c>
      <x:c r="T235" s="24" t="str">
        <x:v>近位提高直接相关性；远位仅保留背景、阶段或低置信修正。</x:v>
      </x:c>
      <x:c r="U235" s="24" t="str">
        <x:v>84</x:v>
      </x:c>
      <x:c r="V235" s="24" t="str">
        <x:v>不加分；输出</x:v>
      </x:c>
      <x:c r="W235" s="24" t="str">
        <x:v>report_text</x:v>
      </x:c>
      <x:c r="X235" s="24" t="str">
        <x:v>没有回归点的暂停会变成连接断裂或长期拖延。</x:v>
      </x:c>
      <x:c r="Y235" s="24" t="str">
        <x:v>空间只有在有清楚回归路径时才是保护；否则只是把问题延后。</x:v>
      </x:c>
      <x:c r="Z235" s="24" t="str">
        <x:v>不得仅凭本规则断定问题已经解决、关系必然稳定、用户一定成熟、某十神天然是“药”、喜用神自动等于解决办法，或淡化暴力、强迫与现实伤害；现实行为、反例、安全事实和专业支持优先。</x:v>
      </x:c>
      <x:c r="AA235" s="24" t="str">
        <x:v>中高</x:v>
      </x:c>
      <x:c r="AB235" s="24" t="str">
        <x:v>待验证</x:v>
      </x:c>
      <x:c r="AC235" s="24" t="str"/>
      <x:c r="AD235" s="24" t="str">
        <x:v>provisional=true；保护因素的现实有效性必须由可观察行为、反馈和持续结果验证。</x:v>
      </x:c>
      <x:c r="AE235" s="24" t="str">
        <x:v>0.8</x:v>
      </x:c>
    </x:row>
    <x:row r="236" ht="52" customHeight="1">
      <x:c r="A236" s="24" t="str">
        <x:v>M4-BUFFER-235</x:v>
      </x:c>
      <x:c r="B236" s="24" t="str">
        <x:v>PB08 单方努力替代双向修复｜机制定义</x:v>
      </x:c>
      <x:c r="C236" s="24" t="str">
        <x:v>L4 PB01—PB08伪保护</x:v>
      </x:c>
      <x:c r="D236" s="24" t="str">
        <x:v>BUFFER-伪保护</x:v>
      </x:c>
      <x:c r="E236" s="24" t="str">
        <x:v>通用</x:v>
      </x:c>
      <x:c r="F236" s="24" t="str">
        <x:v>定义</x:v>
      </x:c>
      <x:c r="G236" s="24" t="str">
        <x:v>PB08 单方努力替代双向修复</x:v>
      </x:c>
      <x:c r="H236" s="24" t="str">
        <x:v>界定常见伪保护。</x:v>
      </x:c>
      <x:c r="I236" s="24" t="str">
        <x:v>一方不断道歉、补救、解释或投入，就认为修复已经完成。</x:v>
      </x:c>
      <x:c r="J236" s="24" t="str">
        <x:v>该方式已经有独立反馈、现实效果与持续验证。</x:v>
      </x:c>
      <x:c r="K236" s="24" t="str">
        <x:v>由共享基础引擎提供；仅修正保护功能的承载、持续调用和压力状态下的稳定性，不直接等同成熟度、道德或现实行为。</x:v>
      </x:c>
      <x:c r="L236" s="24" t="str">
        <x:v>由M1／M2接口提供；夫妻星、心动原型和关系门槛只说明关系议题，不单独证明保护因素已经被调用或有效。</x:v>
      </x:c>
      <x:c r="M236" s="24" t="str">
        <x:v>由M3-BASE及M4各模块提供；日支、日柱近位可提高与亲密关系核心的相关性，但同一source_id不得重复计分。</x:v>
      </x:c>
      <x:c r="N236" s="24" t="str">
        <x:v>保护因素必须明确限制过用、补足缺位、恢复顺序、打开反馈、落实改变或完成修复回流；不能只凭五行相生补写现实效果。</x:v>
      </x:c>
      <x:c r="O236" s="24" t="str">
        <x:v>近位提高进入亲密关系核心的概率；远位只作背景、阶段或条件性修正。</x:v>
      </x:c>
      <x:c r="P236" s="24" t="str">
        <x:v>根气只修正该保护功能是否容易重复调用，不等于现实中已经形成稳定保护。</x:v>
      </x:c>
      <x:c r="Q236" s="24" t="str">
        <x:v>旺弱只修正调用强度与承载；强不自动有效，弱也不自动无效。</x:v>
      </x:c>
      <x:c r="R236" s="24" t="str">
        <x:v>喜忌只修正摩擦、平衡与承载，不可直接翻译为好坏、成熟度或解决方案。</x:v>
      </x:c>
      <x:c r="S236" s="24" t="str">
        <x:v>原十神功能有效；真合化成立时按化神功能替换，合化争议时停止定性。</x:v>
      </x:c>
      <x:c r="T236" s="24" t="str">
        <x:v>近位提高直接相关性；远位仅保留背景、阶段或低置信修正。</x:v>
      </x:c>
      <x:c r="U236" s="24" t="str">
        <x:v>95</x:v>
      </x:c>
      <x:c r="V236" s="24" t="str">
        <x:v>伪保护候选+0</x:v>
      </x:c>
      <x:c r="W236" s="24" t="str">
        <x:v>pseudo_buffer</x:v>
      </x:c>
      <x:c r="X236" s="24" t="str">
        <x:v>缺少接收方反馈、共同调整和后续回访时，不能形成双方闭环。</x:v>
      </x:c>
      <x:c r="Y236" s="24" t="str">
        <x:v>一个人可以完成自己的责任，但双方修复需要真实反馈和共同调整。</x:v>
      </x:c>
      <x:c r="Z236" s="24" t="str">
        <x:v>不得仅凭本规则断定问题已经解决、关系必然稳定、用户一定成熟、某十神天然是“药”、喜用神自动等于解决办法，或淡化暴力、强迫与现实伤害；现实行为、反例、安全事实和专业支持优先。</x:v>
      </x:c>
      <x:c r="AA236" s="24" t="str">
        <x:v>中高</x:v>
      </x:c>
      <x:c r="AB236" s="24" t="str">
        <x:v>待验证</x:v>
      </x:c>
      <x:c r="AC236" s="24" t="str"/>
      <x:c r="AD236" s="24" t="str">
        <x:v>provisional=true；保护因素的现实有效性必须由可观察行为、反馈和持续结果验证。</x:v>
      </x:c>
      <x:c r="AE236" s="24" t="str">
        <x:v>0.8</x:v>
      </x:c>
    </x:row>
    <x:row r="237" ht="52" customHeight="1">
      <x:c r="A237" s="24" t="str">
        <x:v>M4-BUFFER-236</x:v>
      </x:c>
      <x:c r="B237" s="24" t="str">
        <x:v>PB08 单方努力替代双向修复｜识别条件</x:v>
      </x:c>
      <x:c r="C237" s="24" t="str">
        <x:v>L4 PB01—PB08伪保护</x:v>
      </x:c>
      <x:c r="D237" s="24" t="str">
        <x:v>BUFFER-伪保护</x:v>
      </x:c>
      <x:c r="E237" s="24" t="str">
        <x:v>通用</x:v>
      </x:c>
      <x:c r="F237" s="24" t="str">
        <x:v>识别</x:v>
      </x:c>
      <x:c r="G237" s="24" t="str">
        <x:v>PB08 单方努力替代双向修复</x:v>
      </x:c>
      <x:c r="H237" s="24" t="str">
        <x:v>识别伪保护的现实表现。</x:v>
      </x:c>
      <x:c r="I237" s="24" t="str">
        <x:v>出现以下表面保护：一方不断道歉、补救、解释或投入，就认为修复已经完成。</x:v>
      </x:c>
      <x:c r="J237" s="24" t="str">
        <x:v>没有对应风险靶点，或现实结果清楚显示链条已改变。</x:v>
      </x:c>
      <x:c r="K237" s="24" t="str">
        <x:v>由共享基础引擎提供；仅修正保护功能的承载、持续调用和压力状态下的稳定性，不直接等同成熟度、道德或现实行为。</x:v>
      </x:c>
      <x:c r="L237" s="24" t="str">
        <x:v>由M1／M2接口提供；夫妻星、心动原型和关系门槛只说明关系议题，不单独证明保护因素已经被调用或有效。</x:v>
      </x:c>
      <x:c r="M237" s="24" t="str">
        <x:v>由M3-BASE及M4各模块提供；日支、日柱近位可提高与亲密关系核心的相关性，但同一source_id不得重复计分。</x:v>
      </x:c>
      <x:c r="N237" s="24" t="str">
        <x:v>保护因素必须明确限制过用、补足缺位、恢复顺序、打开反馈、落实改变或完成修复回流；不能只凭五行相生补写现实效果。</x:v>
      </x:c>
      <x:c r="O237" s="24" t="str">
        <x:v>近位提高进入亲密关系核心的概率；远位只作背景、阶段或条件性修正。</x:v>
      </x:c>
      <x:c r="P237" s="24" t="str">
        <x:v>根气只修正该保护功能是否容易重复调用，不等于现实中已经形成稳定保护。</x:v>
      </x:c>
      <x:c r="Q237" s="24" t="str">
        <x:v>旺弱只修正调用强度与承载；强不自动有效，弱也不自动无效。</x:v>
      </x:c>
      <x:c r="R237" s="24" t="str">
        <x:v>喜忌只修正摩擦、平衡与承载，不可直接翻译为好坏、成熟度或解决方案。</x:v>
      </x:c>
      <x:c r="S237" s="24" t="str">
        <x:v>原十神功能有效；真合化成立时按化神功能替换，合化争议时停止定性。</x:v>
      </x:c>
      <x:c r="T237" s="24" t="str">
        <x:v>近位提高直接相关性；远位仅保留背景、阶段或低置信修正。</x:v>
      </x:c>
      <x:c r="U237" s="24" t="str">
        <x:v>92</x:v>
      </x:c>
      <x:c r="V237" s="24" t="str">
        <x:v>命中+6</x:v>
      </x:c>
      <x:c r="W237" s="24" t="str">
        <x:v>buffer_evidence</x:v>
      </x:c>
      <x:c r="X237" s="24" t="str">
        <x:v>识别重点：检查影响是否被表达、反馈是否被整合、双方是否重新协商。</x:v>
      </x:c>
      <x:c r="Y237" s="24" t="str">
        <x:v>需要继续检查：检查影响是否被表达、反馈是否被整合、双方是否重新协商。</x:v>
      </x:c>
      <x:c r="Z237" s="24" t="str">
        <x:v>不得仅凭本规则断定问题已经解决、关系必然稳定、用户一定成熟、某十神天然是“药”、喜用神自动等于解决办法，或淡化暴力、强迫与现实伤害；现实行为、反例、安全事实和专业支持优先。</x:v>
      </x:c>
      <x:c r="AA237" s="24" t="str">
        <x:v>中高</x:v>
      </x:c>
      <x:c r="AB237" s="24" t="str">
        <x:v>待验证</x:v>
      </x:c>
      <x:c r="AC237" s="24" t="str"/>
      <x:c r="AD237" s="24" t="str">
        <x:v>provisional=true；保护因素的现实有效性必须由可观察行为、反馈和持续结果验证。</x:v>
      </x:c>
      <x:c r="AE237" s="24" t="str">
        <x:v>0.8</x:v>
      </x:c>
    </x:row>
    <x:row r="238" ht="52" customHeight="1">
      <x:c r="A238" s="24" t="str">
        <x:v>M4-BUFFER-237</x:v>
      </x:c>
      <x:c r="B238" s="24" t="str">
        <x:v>PB08 单方努力替代双向修复｜为什么无效</x:v>
      </x:c>
      <x:c r="C238" s="24" t="str">
        <x:v>L4 PB01—PB08伪保护</x:v>
      </x:c>
      <x:c r="D238" s="24" t="str">
        <x:v>BUFFER-伪保护</x:v>
      </x:c>
      <x:c r="E238" s="24" t="str">
        <x:v>通用</x:v>
      </x:c>
      <x:c r="F238" s="24" t="str">
        <x:v>逻辑</x:v>
      </x:c>
      <x:c r="G238" s="24" t="str">
        <x:v>PB08 单方努力替代双向修复</x:v>
      </x:c>
      <x:c r="H238" s="24" t="str">
        <x:v>说明表面有效与真实有效的差别。</x:v>
      </x:c>
      <x:c r="I238" s="24" t="str">
        <x:v>一方不断道歉、补救、解释或投入，就认为修复已经完成。</x:v>
      </x:c>
      <x:c r="J238" s="24" t="str">
        <x:v>已经完成反馈、执行与反例检验。</x:v>
      </x:c>
      <x:c r="K238" s="24" t="str">
        <x:v>由共享基础引擎提供；仅修正保护功能的承载、持续调用和压力状态下的稳定性，不直接等同成熟度、道德或现实行为。</x:v>
      </x:c>
      <x:c r="L238" s="24" t="str">
        <x:v>由M1／M2接口提供；夫妻星、心动原型和关系门槛只说明关系议题，不单独证明保护因素已经被调用或有效。</x:v>
      </x:c>
      <x:c r="M238" s="24" t="str">
        <x:v>由M3-BASE及M4各模块提供；日支、日柱近位可提高与亲密关系核心的相关性，但同一source_id不得重复计分。</x:v>
      </x:c>
      <x:c r="N238" s="24" t="str">
        <x:v>保护因素必须明确限制过用、补足缺位、恢复顺序、打开反馈、落实改变或完成修复回流；不能只凭五行相生补写现实效果。</x:v>
      </x:c>
      <x:c r="O238" s="24" t="str">
        <x:v>近位提高进入亲密关系核心的概率；远位只作背景、阶段或条件性修正。</x:v>
      </x:c>
      <x:c r="P238" s="24" t="str">
        <x:v>根气只修正该保护功能是否容易重复调用，不等于现实中已经形成稳定保护。</x:v>
      </x:c>
      <x:c r="Q238" s="24" t="str">
        <x:v>旺弱只修正调用强度与承载；强不自动有效，弱也不自动无效。</x:v>
      </x:c>
      <x:c r="R238" s="24" t="str">
        <x:v>喜忌只修正摩擦、平衡与承载，不可直接翻译为好坏、成熟度或解决方案。</x:v>
      </x:c>
      <x:c r="S238" s="24" t="str">
        <x:v>原十神功能有效；真合化成立时按化神功能替换，合化争议时停止定性。</x:v>
      </x:c>
      <x:c r="T238" s="24" t="str">
        <x:v>近位提高直接相关性；远位仅保留背景、阶段或低置信修正。</x:v>
      </x:c>
      <x:c r="U238" s="24" t="str">
        <x:v>90</x:v>
      </x:c>
      <x:c r="V238" s="24" t="str">
        <x:v>不加分；解释</x:v>
      </x:c>
      <x:c r="W238" s="24" t="str">
        <x:v>boundary_note</x:v>
      </x:c>
      <x:c r="X238" s="24" t="str">
        <x:v>缺少接收方反馈、共同调整和后续回访时，不能形成双方闭环。</x:v>
      </x:c>
      <x:c r="Y238" s="24" t="str">
        <x:v>表面上它能暂时降低不适，但还不能证明关键关系任务已经完成。</x:v>
      </x:c>
      <x:c r="Z238" s="24" t="str">
        <x:v>不得仅凭本规则断定问题已经解决、关系必然稳定、用户一定成熟、某十神天然是“药”、喜用神自动等于解决办法，或淡化暴力、强迫与现实伤害；现实行为、反例、安全事实和专业支持优先。</x:v>
      </x:c>
      <x:c r="AA238" s="24" t="str">
        <x:v>中高</x:v>
      </x:c>
      <x:c r="AB238" s="24" t="str">
        <x:v>待验证</x:v>
      </x:c>
      <x:c r="AC238" s="24" t="str"/>
      <x:c r="AD238" s="24" t="str">
        <x:v>provisional=true；保护因素的现实有效性必须由可观察行为、反馈和持续结果验证。</x:v>
      </x:c>
      <x:c r="AE238" s="24" t="str">
        <x:v>0.8</x:v>
      </x:c>
    </x:row>
    <x:row r="239" ht="52" customHeight="1">
      <x:c r="A239" s="24" t="str">
        <x:v>M4-BUFFER-238</x:v>
      </x:c>
      <x:c r="B239" s="24" t="str">
        <x:v>PB08 单方努力替代双向修复｜反例门控</x:v>
      </x:c>
      <x:c r="C239" s="24" t="str">
        <x:v>L4 PB01—PB08伪保护</x:v>
      </x:c>
      <x:c r="D239" s="24" t="str">
        <x:v>BUFFER-伪保护</x:v>
      </x:c>
      <x:c r="E239" s="24" t="str">
        <x:v>通用</x:v>
      </x:c>
      <x:c r="F239" s="24" t="str">
        <x:v>反例</x:v>
      </x:c>
      <x:c r="G239" s="24" t="str">
        <x:v>PB08 单方努力替代双向修复</x:v>
      </x:c>
      <x:c r="H239" s="24" t="str">
        <x:v>防止把真实有效资源误判为伪保护。</x:v>
      </x:c>
      <x:c r="I239" s="24" t="str">
        <x:v>没有观察到一方责任行动与接收方真实反馈形成二次调整。。</x:v>
      </x:c>
      <x:c r="J239" s="24" t="str">
        <x:v>已经观察到一方责任行动与接收方真实反馈形成二次调整。，并在相似情境中重复。</x:v>
      </x:c>
      <x:c r="K239" s="24" t="str">
        <x:v>由共享基础引擎提供；仅修正保护功能的承载、持续调用和压力状态下的稳定性，不直接等同成熟度、道德或现实行为。</x:v>
      </x:c>
      <x:c r="L239" s="24" t="str">
        <x:v>由M1／M2接口提供；夫妻星、心动原型和关系门槛只说明关系议题，不单独证明保护因素已经被调用或有效。</x:v>
      </x:c>
      <x:c r="M239" s="24" t="str">
        <x:v>由M3-BASE及M4各模块提供；日支、日柱近位可提高与亲密关系核心的相关性，但同一source_id不得重复计分。</x:v>
      </x:c>
      <x:c r="N239" s="24" t="str">
        <x:v>保护因素必须明确限制过用、补足缺位、恢复顺序、打开反馈、落实改变或完成修复回流；不能只凭五行相生补写现实效果。</x:v>
      </x:c>
      <x:c r="O239" s="24" t="str">
        <x:v>近位提高进入亲密关系核心的概率；远位只作背景、阶段或条件性修正。</x:v>
      </x:c>
      <x:c r="P239" s="24" t="str">
        <x:v>根气只修正该保护功能是否容易重复调用，不等于现实中已经形成稳定保护。</x:v>
      </x:c>
      <x:c r="Q239" s="24" t="str">
        <x:v>旺弱只修正调用强度与承载；强不自动有效，弱也不自动无效。</x:v>
      </x:c>
      <x:c r="R239" s="24" t="str">
        <x:v>喜忌只修正摩擦、平衡与承载，不可直接翻译为好坏、成熟度或解决方案。</x:v>
      </x:c>
      <x:c r="S239" s="24" t="str">
        <x:v>原十神功能有效；真合化成立时按化神功能替换，合化争议时停止定性。</x:v>
      </x:c>
      <x:c r="T239" s="24" t="str">
        <x:v>近位提高直接相关性；远位仅保留背景、阶段或低置信修正。</x:v>
      </x:c>
      <x:c r="U239" s="24" t="str">
        <x:v>97</x:v>
      </x:c>
      <x:c r="V239" s="24" t="str">
        <x:v>反例则停止</x:v>
      </x:c>
      <x:c r="W239" s="24" t="str">
        <x:v>counterevidence</x:v>
      </x:c>
      <x:c r="X239" s="24" t="str">
        <x:v>若已经满足：一方责任行动与接收方真实反馈形成二次调整。，则应停止PB候选并升级至相应BF。</x:v>
      </x:c>
      <x:c r="Y239" s="24" t="str">
        <x:v>若现实中已经做到“一方责任行动与接收方真实反馈形成二次调整。”，就不应再把它视为表面保护。</x:v>
      </x:c>
      <x:c r="Z239" s="24" t="str">
        <x:v>不得仅凭本规则断定问题已经解决、关系必然稳定、用户一定成熟、某十神天然是“药”、喜用神自动等于解决办法，或淡化暴力、强迫与现实伤害；现实行为、反例、安全事实和专业支持优先。</x:v>
      </x:c>
      <x:c r="AA239" s="24" t="str">
        <x:v>高</x:v>
      </x:c>
      <x:c r="AB239" s="24" t="str">
        <x:v>待验证</x:v>
      </x:c>
      <x:c r="AC239" s="24" t="str"/>
      <x:c r="AD239" s="24" t="str">
        <x:v>provisional=true；保护因素的现实有效性必须由可观察行为、反馈和持续结果验证。</x:v>
      </x:c>
      <x:c r="AE239" s="24" t="str">
        <x:v>0.8</x:v>
      </x:c>
    </x:row>
    <x:row r="240" ht="52" customHeight="1">
      <x:c r="A240" s="24" t="str">
        <x:v>M4-BUFFER-239</x:v>
      </x:c>
      <x:c r="B240" s="24" t="str">
        <x:v>PB08 单方努力替代双向修复｜退出条件</x:v>
      </x:c>
      <x:c r="C240" s="24" t="str">
        <x:v>L4 PB01—PB08伪保护</x:v>
      </x:c>
      <x:c r="D240" s="24" t="str">
        <x:v>BUFFER-伪保护</x:v>
      </x:c>
      <x:c r="E240" s="24" t="str">
        <x:v>通用</x:v>
      </x:c>
      <x:c r="F240" s="24" t="str">
        <x:v>退出</x:v>
      </x:c>
      <x:c r="G240" s="24" t="str">
        <x:v>PB08 单方努力替代双向修复</x:v>
      </x:c>
      <x:c r="H240" s="24" t="str">
        <x:v>说明伪保护如何转成有效保护。</x:v>
      </x:c>
      <x:c r="I240" s="24" t="str">
        <x:v>一方责任行动与接收方真实反馈形成二次调整。</x:v>
      </x:c>
      <x:c r="J240" s="24" t="str">
        <x:v>只有一次口头承诺或单次动作。</x:v>
      </x:c>
      <x:c r="K240" s="24" t="str">
        <x:v>由共享基础引擎提供；仅修正保护功能的承载、持续调用和压力状态下的稳定性，不直接等同成熟度、道德或现实行为。</x:v>
      </x:c>
      <x:c r="L240" s="24" t="str">
        <x:v>由M1／M2接口提供；夫妻星、心动原型和关系门槛只说明关系议题，不单独证明保护因素已经被调用或有效。</x:v>
      </x:c>
      <x:c r="M240" s="24" t="str">
        <x:v>由M3-BASE及M4各模块提供；日支、日柱近位可提高与亲密关系核心的相关性，但同一source_id不得重复计分。</x:v>
      </x:c>
      <x:c r="N240" s="24" t="str">
        <x:v>保护因素必须明确限制过用、补足缺位、恢复顺序、打开反馈、落实改变或完成修复回流；不能只凭五行相生补写现实效果。</x:v>
      </x:c>
      <x:c r="O240" s="24" t="str">
        <x:v>近位提高进入亲密关系核心的概率；远位只作背景、阶段或条件性修正。</x:v>
      </x:c>
      <x:c r="P240" s="24" t="str">
        <x:v>根气只修正该保护功能是否容易重复调用，不等于现实中已经形成稳定保护。</x:v>
      </x:c>
      <x:c r="Q240" s="24" t="str">
        <x:v>旺弱只修正调用强度与承载；强不自动有效，弱也不自动无效。</x:v>
      </x:c>
      <x:c r="R240" s="24" t="str">
        <x:v>喜忌只修正摩擦、平衡与承载，不可直接翻译为好坏、成熟度或解决方案。</x:v>
      </x:c>
      <x:c r="S240" s="24" t="str">
        <x:v>原十神功能有效；真合化成立时按化神功能替换，合化争议时停止定性。</x:v>
      </x:c>
      <x:c r="T240" s="24" t="str">
        <x:v>近位提高直接相关性；远位仅保留背景、阶段或低置信修正。</x:v>
      </x:c>
      <x:c r="U240" s="24" t="str">
        <x:v>91</x:v>
      </x:c>
      <x:c r="V240" s="24" t="str">
        <x:v>满足则转BF</x:v>
      </x:c>
      <x:c r="W240" s="24" t="str">
        <x:v>buffer_upgrade</x:v>
      </x:c>
      <x:c r="X240" s="24" t="str">
        <x:v>PB08退出条件：一方责任行动与接收方真实反馈形成二次调整。</x:v>
      </x:c>
      <x:c r="Y240" s="24" t="str">
        <x:v>这项方式要真正发挥作用，需要做到：一方责任行动与接收方真实反馈形成二次调整。</x:v>
      </x:c>
      <x:c r="Z240" s="24" t="str">
        <x:v>不得仅凭本规则断定问题已经解决、关系必然稳定、用户一定成熟、某十神天然是“药”、喜用神自动等于解决办法，或淡化暴力、强迫与现实伤害；现实行为、反例、安全事实和专业支持优先。</x:v>
      </x:c>
      <x:c r="AA240" s="24" t="str">
        <x:v>中高</x:v>
      </x:c>
      <x:c r="AB240" s="24" t="str">
        <x:v>待验证</x:v>
      </x:c>
      <x:c r="AC240" s="24" t="str"/>
      <x:c r="AD240" s="24" t="str">
        <x:v>provisional=true；保护因素的现实有效性必须由可观察行为、反馈和持续结果验证。</x:v>
      </x:c>
      <x:c r="AE240" s="24" t="str">
        <x:v>0.8</x:v>
      </x:c>
    </x:row>
    <x:row r="241" ht="52" customHeight="1">
      <x:c r="A241" s="24" t="str">
        <x:v>M4-BUFFER-240</x:v>
      </x:c>
      <x:c r="B241" s="24" t="str">
        <x:v>PB08 单方努力替代双向修复｜用户输出</x:v>
      </x:c>
      <x:c r="C241" s="24" t="str">
        <x:v>L4 PB01—PB08伪保护</x:v>
      </x:c>
      <x:c r="D241" s="24" t="str">
        <x:v>BUFFER-伪保护</x:v>
      </x:c>
      <x:c r="E241" s="24" t="str">
        <x:v>通用</x:v>
      </x:c>
      <x:c r="F241" s="24" t="str">
        <x:v>语言</x:v>
      </x:c>
      <x:c r="G241" s="24" t="str">
        <x:v>PB08 单方努力替代双向修复</x:v>
      </x:c>
      <x:c r="H241" s="24" t="str">
        <x:v>生成中性提醒。</x:v>
      </x:c>
      <x:c r="I241" s="24" t="str">
        <x:v>一方不断道歉、补救、解释或投入，就认为修复已经完成。</x:v>
      </x:c>
      <x:c r="J241" s="24" t="str">
        <x:v>存在安全停止或资料不足。</x:v>
      </x:c>
      <x:c r="K241" s="24" t="str">
        <x:v>由共享基础引擎提供；仅修正保护功能的承载、持续调用和压力状态下的稳定性，不直接等同成熟度、道德或现实行为。</x:v>
      </x:c>
      <x:c r="L241" s="24" t="str">
        <x:v>由M1／M2接口提供；夫妻星、心动原型和关系门槛只说明关系议题，不单独证明保护因素已经被调用或有效。</x:v>
      </x:c>
      <x:c r="M241" s="24" t="str">
        <x:v>由M3-BASE及M4各模块提供；日支、日柱近位可提高与亲密关系核心的相关性，但同一source_id不得重复计分。</x:v>
      </x:c>
      <x:c r="N241" s="24" t="str">
        <x:v>保护因素必须明确限制过用、补足缺位、恢复顺序、打开反馈、落实改变或完成修复回流；不能只凭五行相生补写现实效果。</x:v>
      </x:c>
      <x:c r="O241" s="24" t="str">
        <x:v>近位提高进入亲密关系核心的概率；远位只作背景、阶段或条件性修正。</x:v>
      </x:c>
      <x:c r="P241" s="24" t="str">
        <x:v>根气只修正该保护功能是否容易重复调用，不等于现实中已经形成稳定保护。</x:v>
      </x:c>
      <x:c r="Q241" s="24" t="str">
        <x:v>旺弱只修正调用强度与承载；强不自动有效，弱也不自动无效。</x:v>
      </x:c>
      <x:c r="R241" s="24" t="str">
        <x:v>喜忌只修正摩擦、平衡与承载，不可直接翻译为好坏、成熟度或解决方案。</x:v>
      </x:c>
      <x:c r="S241" s="24" t="str">
        <x:v>原十神功能有效；真合化成立时按化神功能替换，合化争议时停止定性。</x:v>
      </x:c>
      <x:c r="T241" s="24" t="str">
        <x:v>近位提高直接相关性；远位仅保留背景、阶段或低置信修正。</x:v>
      </x:c>
      <x:c r="U241" s="24" t="str">
        <x:v>84</x:v>
      </x:c>
      <x:c r="V241" s="24" t="str">
        <x:v>不加分；输出</x:v>
      </x:c>
      <x:c r="W241" s="24" t="str">
        <x:v>report_text</x:v>
      </x:c>
      <x:c r="X241" s="24" t="str">
        <x:v>缺少接收方反馈、共同调整和后续回访时，不能形成双方闭环。</x:v>
      </x:c>
      <x:c r="Y241" s="24" t="str">
        <x:v>一个人可以完成自己的责任，但双方修复需要真实反馈和共同调整。</x:v>
      </x:c>
      <x:c r="Z241" s="24" t="str">
        <x:v>不得仅凭本规则断定问题已经解决、关系必然稳定、用户一定成熟、某十神天然是“药”、喜用神自动等于解决办法，或淡化暴力、强迫与现实伤害；现实行为、反例、安全事实和专业支持优先。</x:v>
      </x:c>
      <x:c r="AA241" s="24" t="str">
        <x:v>中高</x:v>
      </x:c>
      <x:c r="AB241" s="24" t="str">
        <x:v>待验证</x:v>
      </x:c>
      <x:c r="AC241" s="24" t="str"/>
      <x:c r="AD241" s="24" t="str">
        <x:v>provisional=true；保护因素的现实有效性必须由可观察行为、反馈和持续结果验证。</x:v>
      </x:c>
      <x:c r="AE241" s="24" t="str">
        <x:v>0.8</x:v>
      </x:c>
    </x:row>
    <x:row r="242" ht="52" customHeight="1">
      <x:c r="A242" s="24" t="str">
        <x:v>M4-BUFFER-241</x:v>
      </x:c>
      <x:c r="B242" s="24" t="str">
        <x:v>DY01 限制过用｜功能定义</x:v>
      </x:c>
      <x:c r="C242" s="24" t="str">
        <x:v>L5 DY01—DY08病药功能</x:v>
      </x:c>
      <x:c r="D242" s="24" t="str">
        <x:v>BUFFER-病药接口</x:v>
      </x:c>
      <x:c r="E242" s="24" t="str">
        <x:v>通用</x:v>
      </x:c>
      <x:c r="F242" s="24" t="str">
        <x:v>定义</x:v>
      </x:c>
      <x:c r="G242" s="24" t="str">
        <x:v>DY01 限制过用</x:v>
      </x:c>
      <x:c r="H242" s="24" t="str">
        <x:v>K01；定义病药接口中的功能任务。</x:v>
      </x:c>
      <x:c r="I242" s="24" t="str">
        <x:v>已经确认K01机制或相应修复断点。</x:v>
      </x:c>
      <x:c r="J242" s="24" t="str">
        <x:v>没有具体失衡靶点。</x:v>
      </x:c>
      <x:c r="K242" s="24" t="str">
        <x:v>由共享基础引擎提供；仅修正保护功能的承载、持续调用和压力状态下的稳定性，不直接等同成熟度、道德或现实行为。</x:v>
      </x:c>
      <x:c r="L242" s="24" t="str">
        <x:v>由M1／M2接口提供；夫妻星、心动原型和关系门槛只说明关系议题，不单独证明保护因素已经被调用或有效。</x:v>
      </x:c>
      <x:c r="M242" s="24" t="str">
        <x:v>由M3-BASE及M4各模块提供；日支、日柱近位可提高与亲密关系核心的相关性，但同一source_id不得重复计分。</x:v>
      </x:c>
      <x:c r="N242" s="24" t="str">
        <x:v>保护因素必须明确限制过用、补足缺位、恢复顺序、打开反馈、落实改变或完成修复回流；不能只凭五行相生补写现实效果。</x:v>
      </x:c>
      <x:c r="O242" s="24" t="str">
        <x:v>近位提高进入亲密关系核心的概率；远位只作背景、阶段或条件性修正。</x:v>
      </x:c>
      <x:c r="P242" s="24" t="str">
        <x:v>根气只修正该保护功能是否容易重复调用，不等于现实中已经形成稳定保护。</x:v>
      </x:c>
      <x:c r="Q242" s="24" t="str">
        <x:v>旺弱只修正调用强度与承载；强不自动有效，弱也不自动无效。</x:v>
      </x:c>
      <x:c r="R242" s="24" t="str">
        <x:v>喜忌只修正摩擦、平衡与承载，不可直接翻译为好坏、成熟度或解决方案。</x:v>
      </x:c>
      <x:c r="S242" s="24" t="str">
        <x:v>原十神功能有效；真合化成立时按化神功能替换，合化争议时停止定性。</x:v>
      </x:c>
      <x:c r="T242" s="24" t="str">
        <x:v>近位提高直接相关性；远位仅保留背景、阶段或低置信修正。</x:v>
      </x:c>
      <x:c r="U242" s="24" t="str">
        <x:v>95</x:v>
      </x:c>
      <x:c r="V242" s="24" t="str">
        <x:v>功能定义</x:v>
      </x:c>
      <x:c r="W242" s="24" t="str">
        <x:v>medicine_function</x:v>
      </x:c>
      <x:c r="X242" s="24" t="str">
        <x:v>限制过用的目标是：让抢先、重复或占位过多的功能回到适当范围。</x:v>
      </x:c>
      <x:c r="Y242" s="24" t="str">
        <x:v>这里需要的不是增加某个五行，而是完成“让抢先、重复或占位过多的功能回到适当范围”这项具体功能。</x:v>
      </x:c>
      <x:c r="Z242" s="24" t="str">
        <x:v>不得仅凭本规则断定问题已经解决、关系必然稳定、用户一定成熟、某十神天然是“药”、喜用神自动等于解决办法，或淡化暴力、强迫与现实伤害；现实行为、反例、安全事实和专业支持优先。</x:v>
      </x:c>
      <x:c r="AA242" s="24" t="str">
        <x:v>高</x:v>
      </x:c>
      <x:c r="AB242" s="24" t="str">
        <x:v>待验证</x:v>
      </x:c>
      <x:c r="AC242" s="24" t="str"/>
      <x:c r="AD242" s="24" t="str">
        <x:v>provisional=true；保护因素的现实有效性必须由可观察行为、反馈和持续结果验证。</x:v>
      </x:c>
      <x:c r="AE242" s="24" t="str">
        <x:v>0.8</x:v>
      </x:c>
    </x:row>
    <x:row r="243" ht="52" customHeight="1">
      <x:c r="A243" s="24" t="str">
        <x:v>M4-BUFFER-242</x:v>
      </x:c>
      <x:c r="B243" s="24" t="str">
        <x:v>DY01 限制过用｜诊断靶点</x:v>
      </x:c>
      <x:c r="C243" s="24" t="str">
        <x:v>L5 DY01—DY08病药功能</x:v>
      </x:c>
      <x:c r="D243" s="24" t="str">
        <x:v>BUFFER-病药接口</x:v>
      </x:c>
      <x:c r="E243" s="24" t="str">
        <x:v>通用</x:v>
      </x:c>
      <x:c r="F243" s="24" t="str">
        <x:v>路由</x:v>
      </x:c>
      <x:c r="G243" s="24" t="str">
        <x:v>DY01 限制过用</x:v>
      </x:c>
      <x:c r="H243" s="24" t="str">
        <x:v>K01；将药功能对应到明确K机制。</x:v>
      </x:c>
      <x:c r="I243" s="24" t="str">
        <x:v>K01已经达到E1或以上，且同源去重完成。</x:v>
      </x:c>
      <x:c r="J243" s="24" t="str">
        <x:v>只有十神旺弱标签，未说明关系任务。</x:v>
      </x:c>
      <x:c r="K243" s="24" t="str">
        <x:v>由共享基础引擎提供；仅修正保护功能的承载、持续调用和压力状态下的稳定性，不直接等同成熟度、道德或现实行为。</x:v>
      </x:c>
      <x:c r="L243" s="24" t="str">
        <x:v>由M1／M2接口提供；夫妻星、心动原型和关系门槛只说明关系议题，不单独证明保护因素已经被调用或有效。</x:v>
      </x:c>
      <x:c r="M243" s="24" t="str">
        <x:v>由M3-BASE及M4各模块提供；日支、日柱近位可提高与亲密关系核心的相关性，但同一source_id不得重复计分。</x:v>
      </x:c>
      <x:c r="N243" s="24" t="str">
        <x:v>保护因素必须明确限制过用、补足缺位、恢复顺序、打开反馈、落实改变或完成修复回流；不能只凭五行相生补写现实效果。</x:v>
      </x:c>
      <x:c r="O243" s="24" t="str">
        <x:v>近位提高进入亲密关系核心的概率；远位只作背景、阶段或条件性修正。</x:v>
      </x:c>
      <x:c r="P243" s="24" t="str">
        <x:v>根气只修正该保护功能是否容易重复调用，不等于现实中已经形成稳定保护。</x:v>
      </x:c>
      <x:c r="Q243" s="24" t="str">
        <x:v>旺弱只修正调用强度与承载；强不自动有效，弱也不自动无效。</x:v>
      </x:c>
      <x:c r="R243" s="24" t="str">
        <x:v>喜忌只修正摩擦、平衡与承载，不可直接翻译为好坏、成熟度或解决方案。</x:v>
      </x:c>
      <x:c r="S243" s="24" t="str">
        <x:v>原十神功能有效；真合化成立时按化神功能替换，合化争议时停止定性。</x:v>
      </x:c>
      <x:c r="T243" s="24" t="str">
        <x:v>近位提高直接相关性；远位仅保留背景、阶段或低置信修正。</x:v>
      </x:c>
      <x:c r="U243" s="24" t="str">
        <x:v>94</x:v>
      </x:c>
      <x:c r="V243" s="24" t="str">
        <x:v>靶点匹配+6</x:v>
      </x:c>
      <x:c r="W243" s="24" t="str">
        <x:v>buffer_target</x:v>
      </x:c>
      <x:c r="X243" s="24" t="str">
        <x:v>DY01专门路由至K01。</x:v>
      </x:c>
      <x:c r="Y243" s="24" t="str">
        <x:v>这项调节只针对已经确认的K01问题，不作为万能解决办法。</x:v>
      </x:c>
      <x:c r="Z243" s="24" t="str">
        <x:v>不得仅凭本规则断定问题已经解决、关系必然稳定、用户一定成熟、某十神天然是“药”、喜用神自动等于解决办法，或淡化暴力、强迫与现实伤害；现实行为、反例、安全事实和专业支持优先。</x:v>
      </x:c>
      <x:c r="AA243" s="24" t="str">
        <x:v>高</x:v>
      </x:c>
      <x:c r="AB243" s="24" t="str">
        <x:v>待验证</x:v>
      </x:c>
      <x:c r="AC243" s="24" t="str"/>
      <x:c r="AD243" s="24" t="str">
        <x:v>provisional=true；保护因素的现实有效性必须由可观察行为、反馈和持续结果验证。</x:v>
      </x:c>
      <x:c r="AE243" s="24" t="str">
        <x:v>0.8</x:v>
      </x:c>
    </x:row>
    <x:row r="244" ht="52" customHeight="1">
      <x:c r="A244" s="24" t="str">
        <x:v>M4-BUFFER-243</x:v>
      </x:c>
      <x:c r="B244" s="24" t="str">
        <x:v>DY01 限制过用｜可用资源</x:v>
      </x:c>
      <x:c r="C244" s="24" t="str">
        <x:v>L5 DY01—DY08病药功能</x:v>
      </x:c>
      <x:c r="D244" s="24" t="str">
        <x:v>BUFFER-病药接口</x:v>
      </x:c>
      <x:c r="E244" s="24" t="str">
        <x:v>通用</x:v>
      </x:c>
      <x:c r="F244" s="24" t="str">
        <x:v>资源</x:v>
      </x:c>
      <x:c r="G244" s="24" t="str">
        <x:v>DY01 限制过用</x:v>
      </x:c>
      <x:c r="H244" s="24" t="str">
        <x:v>K01；列出可承担该药功能的保护资源。</x:v>
      </x:c>
      <x:c r="I244" s="24" t="str">
        <x:v>存在BF01有效制化、BF03边界支持或BF04内部复核中的至少一项独立有效资源。</x:v>
      </x:c>
      <x:c r="J244" s="24" t="str">
        <x:v>资源弱远、受损、功能错配或只是同源重复。</x:v>
      </x:c>
      <x:c r="K244" s="24" t="str">
        <x:v>由共享基础引擎提供；仅修正保护功能的承载、持续调用和压力状态下的稳定性，不直接等同成熟度、道德或现实行为。</x:v>
      </x:c>
      <x:c r="L244" s="24" t="str">
        <x:v>由M1／M2接口提供；夫妻星、心动原型和关系门槛只说明关系议题，不单独证明保护因素已经被调用或有效。</x:v>
      </x:c>
      <x:c r="M244" s="24" t="str">
        <x:v>由M3-BASE及M4各模块提供；日支、日柱近位可提高与亲密关系核心的相关性，但同一source_id不得重复计分。</x:v>
      </x:c>
      <x:c r="N244" s="24" t="str">
        <x:v>保护因素必须明确限制过用、补足缺位、恢复顺序、打开反馈、落实改变或完成修复回流；不能只凭五行相生补写现实效果。</x:v>
      </x:c>
      <x:c r="O244" s="24" t="str">
        <x:v>近位提高进入亲密关系核心的概率；远位只作背景、阶段或条件性修正。</x:v>
      </x:c>
      <x:c r="P244" s="24" t="str">
        <x:v>根气只修正该保护功能是否容易重复调用，不等于现实中已经形成稳定保护。</x:v>
      </x:c>
      <x:c r="Q244" s="24" t="str">
        <x:v>旺弱只修正调用强度与承载；强不自动有效，弱也不自动无效。</x:v>
      </x:c>
      <x:c r="R244" s="24" t="str">
        <x:v>喜忌只修正摩擦、平衡与承载，不可直接翻译为好坏、成熟度或解决方案。</x:v>
      </x:c>
      <x:c r="S244" s="24" t="str">
        <x:v>原十神功能有效；真合化成立时按化神功能替换，合化争议时停止定性。</x:v>
      </x:c>
      <x:c r="T244" s="24" t="str">
        <x:v>近位提高直接相关性；远位仅保留背景、阶段或低置信修正。</x:v>
      </x:c>
      <x:c r="U244" s="24" t="str">
        <x:v>90</x:v>
      </x:c>
      <x:c r="V244" s="24" t="str">
        <x:v>独立资源+6</x:v>
      </x:c>
      <x:c r="W244" s="24" t="str">
        <x:v>buffer_factor</x:v>
      </x:c>
      <x:c r="X244" s="24" t="str">
        <x:v>可用资源包括：BF01有效制化、BF03边界支持或BF04内部复核。</x:v>
      </x:c>
      <x:c r="Y244" s="24" t="str">
        <x:v>可能帮助你的资源包括：BF01有效制化、BF03边界支持或BF04内部复核，但要继续看现实中是否会调用。</x:v>
      </x:c>
      <x:c r="Z244" s="24" t="str">
        <x:v>不得仅凭本规则断定问题已经解决、关系必然稳定、用户一定成熟、某十神天然是“药”、喜用神自动等于解决办法，或淡化暴力、强迫与现实伤害；现实行为、反例、安全事实和专业支持优先。</x:v>
      </x:c>
      <x:c r="AA244" s="24" t="str">
        <x:v>中高</x:v>
      </x:c>
      <x:c r="AB244" s="24" t="str">
        <x:v>待验证</x:v>
      </x:c>
      <x:c r="AC244" s="24" t="str"/>
      <x:c r="AD244" s="24" t="str">
        <x:v>provisional=true；保护因素的现实有效性必须由可观察行为、反馈和持续结果验证。</x:v>
      </x:c>
      <x:c r="AE244" s="24" t="str">
        <x:v>0.8</x:v>
      </x:c>
    </x:row>
    <x:row r="245" ht="52" customHeight="1">
      <x:c r="A245" s="24" t="str">
        <x:v>M4-BUFFER-244</x:v>
      </x:c>
      <x:c r="B245" s="24" t="str">
        <x:v>DY01 限制过用｜现实有效标志</x:v>
      </x:c>
      <x:c r="C245" s="24" t="str">
        <x:v>L5 DY01—DY08病药功能</x:v>
      </x:c>
      <x:c r="D245" s="24" t="str">
        <x:v>BUFFER-病药接口</x:v>
      </x:c>
      <x:c r="E245" s="24" t="str">
        <x:v>通用</x:v>
      </x:c>
      <x:c r="F245" s="24" t="str">
        <x:v>效果</x:v>
      </x:c>
      <x:c r="G245" s="24" t="str">
        <x:v>DY01 限制过用</x:v>
      </x:c>
      <x:c r="H245" s="24" t="str">
        <x:v>K01；判断药功能是否真正改变风险链。</x:v>
      </x:c>
      <x:c r="I245" s="24" t="str">
        <x:v>原功能仍能发挥，但不再压缩反馈、边界或第二功能。</x:v>
      </x:c>
      <x:c r="J245" s="24" t="str">
        <x:v>只是把原功能完全压制，或用另一项同样过强的功能取代。</x:v>
      </x:c>
      <x:c r="K245" s="24" t="str">
        <x:v>由共享基础引擎提供；仅修正保护功能的承载、持续调用和压力状态下的稳定性，不直接等同成熟度、道德或现实行为。</x:v>
      </x:c>
      <x:c r="L245" s="24" t="str">
        <x:v>由M1／M2接口提供；夫妻星、心动原型和关系门槛只说明关系议题，不单独证明保护因素已经被调用或有效。</x:v>
      </x:c>
      <x:c r="M245" s="24" t="str">
        <x:v>由M3-BASE及M4各模块提供；日支、日柱近位可提高与亲密关系核心的相关性，但同一source_id不得重复计分。</x:v>
      </x:c>
      <x:c r="N245" s="24" t="str">
        <x:v>保护因素必须明确限制过用、补足缺位、恢复顺序、打开反馈、落实改变或完成修复回流；不能只凭五行相生补写现实效果。</x:v>
      </x:c>
      <x:c r="O245" s="24" t="str">
        <x:v>近位提高进入亲密关系核心的概率；远位只作背景、阶段或条件性修正。</x:v>
      </x:c>
      <x:c r="P245" s="24" t="str">
        <x:v>根气只修正该保护功能是否容易重复调用，不等于现实中已经形成稳定保护。</x:v>
      </x:c>
      <x:c r="Q245" s="24" t="str">
        <x:v>旺弱只修正调用强度与承载；强不自动有效，弱也不自动无效。</x:v>
      </x:c>
      <x:c r="R245" s="24" t="str">
        <x:v>喜忌只修正摩擦、平衡与承载，不可直接翻译为好坏、成熟度或解决方案。</x:v>
      </x:c>
      <x:c r="S245" s="24" t="str">
        <x:v>原十神功能有效；真合化成立时按化神功能替换，合化争议时停止定性。</x:v>
      </x:c>
      <x:c r="T245" s="24" t="str">
        <x:v>近位提高直接相关性；远位仅保留背景、阶段或低置信修正。</x:v>
      </x:c>
      <x:c r="U245" s="24" t="str">
        <x:v>92</x:v>
      </x:c>
      <x:c r="V245" s="24" t="str">
        <x:v>效果+12</x:v>
      </x:c>
      <x:c r="W245" s="24" t="str">
        <x:v>buffer_level</x:v>
      </x:c>
      <x:c r="X245" s="24" t="str">
        <x:v>现实有效标志：原功能仍能发挥，但不再压缩反馈、边界或第二功能。</x:v>
      </x:c>
      <x:c r="Y245" s="24" t="str">
        <x:v>真正有效时会看到：原功能仍能发挥，但不再压缩反馈、边界或第二功能。</x:v>
      </x:c>
      <x:c r="Z245" s="24" t="str">
        <x:v>不得仅凭本规则断定问题已经解决、关系必然稳定、用户一定成熟、某十神天然是“药”、喜用神自动等于解决办法，或淡化暴力、强迫与现实伤害；现实行为、反例、安全事实和专业支持优先。</x:v>
      </x:c>
      <x:c r="AA245" s="24" t="str">
        <x:v>中高</x:v>
      </x:c>
      <x:c r="AB245" s="24" t="str">
        <x:v>待验证</x:v>
      </x:c>
      <x:c r="AC245" s="24" t="str"/>
      <x:c r="AD245" s="24" t="str">
        <x:v>provisional=true；保护因素的现实有效性必须由可观察行为、反馈和持续结果验证。</x:v>
      </x:c>
      <x:c r="AE245" s="24" t="str">
        <x:v>0.8</x:v>
      </x:c>
    </x:row>
    <x:row r="246" ht="52" customHeight="1">
      <x:c r="A246" s="24" t="str">
        <x:v>M4-BUFFER-245</x:v>
      </x:c>
      <x:c r="B246" s="24" t="str">
        <x:v>DY01 限制过用｜无效／过量边界</x:v>
      </x:c>
      <x:c r="C246" s="24" t="str">
        <x:v>L5 DY01—DY08病药功能</x:v>
      </x:c>
      <x:c r="D246" s="24" t="str">
        <x:v>BUFFER-病药接口</x:v>
      </x:c>
      <x:c r="E246" s="24" t="str">
        <x:v>通用</x:v>
      </x:c>
      <x:c r="F246" s="24" t="str">
        <x:v>降级</x:v>
      </x:c>
      <x:c r="G246" s="24" t="str">
        <x:v>DY01 限制过用</x:v>
      </x:c>
      <x:c r="H246" s="24" t="str">
        <x:v>K01；防止药功能变成新的失衡。</x:v>
      </x:c>
      <x:c r="I246" s="24" t="str">
        <x:v>只是把原功能完全压制，或用另一项同样过强的功能取代。</x:v>
      </x:c>
      <x:c r="J246" s="24" t="str">
        <x:v>原功能仍能发挥，但不再压缩反馈、边界或第二功能。</x:v>
      </x:c>
      <x:c r="K246" s="24" t="str">
        <x:v>由共享基础引擎提供；仅修正保护功能的承载、持续调用和压力状态下的稳定性，不直接等同成熟度、道德或现实行为。</x:v>
      </x:c>
      <x:c r="L246" s="24" t="str">
        <x:v>由M1／M2接口提供；夫妻星、心动原型和关系门槛只说明关系议题，不单独证明保护因素已经被调用或有效。</x:v>
      </x:c>
      <x:c r="M246" s="24" t="str">
        <x:v>由M3-BASE及M4各模块提供；日支、日柱近位可提高与亲密关系核心的相关性，但同一source_id不得重复计分。</x:v>
      </x:c>
      <x:c r="N246" s="24" t="str">
        <x:v>保护因素必须明确限制过用、补足缺位、恢复顺序、打开反馈、落实改变或完成修复回流；不能只凭五行相生补写现实效果。</x:v>
      </x:c>
      <x:c r="O246" s="24" t="str">
        <x:v>近位提高进入亲密关系核心的概率；远位只作背景、阶段或条件性修正。</x:v>
      </x:c>
      <x:c r="P246" s="24" t="str">
        <x:v>根气只修正该保护功能是否容易重复调用，不等于现实中已经形成稳定保护。</x:v>
      </x:c>
      <x:c r="Q246" s="24" t="str">
        <x:v>旺弱只修正调用强度与承载；强不自动有效，弱也不自动无效。</x:v>
      </x:c>
      <x:c r="R246" s="24" t="str">
        <x:v>喜忌只修正摩擦、平衡与承载，不可直接翻译为好坏、成熟度或解决方案。</x:v>
      </x:c>
      <x:c r="S246" s="24" t="str">
        <x:v>原十神功能有效；真合化成立时按化神功能替换，合化争议时停止定性。</x:v>
      </x:c>
      <x:c r="T246" s="24" t="str">
        <x:v>近位提高直接相关性；远位仅保留背景、阶段或低置信修正。</x:v>
      </x:c>
      <x:c r="U246" s="24" t="str">
        <x:v>97</x:v>
      </x:c>
      <x:c r="V246" s="24" t="str">
        <x:v>无效-10</x:v>
      </x:c>
      <x:c r="W246" s="24" t="str">
        <x:v>pseudo_buffer</x:v>
      </x:c>
      <x:c r="X246" s="24" t="str">
        <x:v>失效或过量表现：只是把原功能完全压制，或用另一项同样过强的功能取代。</x:v>
      </x:c>
      <x:c r="Y246" s="24" t="str">
        <x:v>若只是“只是把原功能完全压制，或用另一项同样过强的功能取代。”，就不能把它视为有效调节。</x:v>
      </x:c>
      <x:c r="Z246" s="24" t="str">
        <x:v>不得仅凭本规则断定问题已经解决、关系必然稳定、用户一定成熟、某十神天然是“药”、喜用神自动等于解决办法，或淡化暴力、强迫与现实伤害；现实行为、反例、安全事实和专业支持优先。</x:v>
      </x:c>
      <x:c r="AA246" s="24" t="str">
        <x:v>高</x:v>
      </x:c>
      <x:c r="AB246" s="24" t="str">
        <x:v>待验证</x:v>
      </x:c>
      <x:c r="AC246" s="24" t="str"/>
      <x:c r="AD246" s="24" t="str">
        <x:v>provisional=true；保护因素的现实有效性必须由可观察行为、反馈和持续结果验证。</x:v>
      </x:c>
      <x:c r="AE246" s="24" t="str">
        <x:v>0.8</x:v>
      </x:c>
    </x:row>
    <x:row r="247" ht="52" customHeight="1">
      <x:c r="A247" s="24" t="str">
        <x:v>M4-BUFFER-246</x:v>
      </x:c>
      <x:c r="B247" s="24" t="str">
        <x:v>DY01 限制过用｜用户输出</x:v>
      </x:c>
      <x:c r="C247" s="24" t="str">
        <x:v>L5 DY01—DY08病药功能</x:v>
      </x:c>
      <x:c r="D247" s="24" t="str">
        <x:v>BUFFER-病药接口</x:v>
      </x:c>
      <x:c r="E247" s="24" t="str">
        <x:v>通用</x:v>
      </x:c>
      <x:c r="F247" s="24" t="str">
        <x:v>语言</x:v>
      </x:c>
      <x:c r="G247" s="24" t="str">
        <x:v>DY01 限制过用</x:v>
      </x:c>
      <x:c r="H247" s="24" t="str">
        <x:v>K01；生成病药功能语言。</x:v>
      </x:c>
      <x:c r="I247" s="24" t="str">
        <x:v>K01成立且存在匹配资源。</x:v>
      </x:c>
      <x:c r="J247" s="24" t="str">
        <x:v>只是把原功能完全压制，或用另一项同样过强的功能取代。</x:v>
      </x:c>
      <x:c r="K247" s="24" t="str">
        <x:v>由共享基础引擎提供；仅修正保护功能的承载、持续调用和压力状态下的稳定性，不直接等同成熟度、道德或现实行为。</x:v>
      </x:c>
      <x:c r="L247" s="24" t="str">
        <x:v>由M1／M2接口提供；夫妻星、心动原型和关系门槛只说明关系议题，不单独证明保护因素已经被调用或有效。</x:v>
      </x:c>
      <x:c r="M247" s="24" t="str">
        <x:v>由M3-BASE及M4各模块提供；日支、日柱近位可提高与亲密关系核心的相关性，但同一source_id不得重复计分。</x:v>
      </x:c>
      <x:c r="N247" s="24" t="str">
        <x:v>保护因素必须明确限制过用、补足缺位、恢复顺序、打开反馈、落实改变或完成修复回流；不能只凭五行相生补写现实效果。</x:v>
      </x:c>
      <x:c r="O247" s="24" t="str">
        <x:v>近位提高进入亲密关系核心的概率；远位只作背景、阶段或条件性修正。</x:v>
      </x:c>
      <x:c r="P247" s="24" t="str">
        <x:v>根气只修正该保护功能是否容易重复调用，不等于现实中已经形成稳定保护。</x:v>
      </x:c>
      <x:c r="Q247" s="24" t="str">
        <x:v>旺弱只修正调用强度与承载；强不自动有效，弱也不自动无效。</x:v>
      </x:c>
      <x:c r="R247" s="24" t="str">
        <x:v>喜忌只修正摩擦、平衡与承载，不可直接翻译为好坏、成熟度或解决方案。</x:v>
      </x:c>
      <x:c r="S247" s="24" t="str">
        <x:v>原十神功能有效；真合化成立时按化神功能替换，合化争议时停止定性。</x:v>
      </x:c>
      <x:c r="T247" s="24" t="str">
        <x:v>近位提高直接相关性；远位仅保留背景、阶段或低置信修正。</x:v>
      </x:c>
      <x:c r="U247" s="24" t="str">
        <x:v>84</x:v>
      </x:c>
      <x:c r="V247" s="24" t="str">
        <x:v>不加分；输出</x:v>
      </x:c>
      <x:c r="W247" s="24" t="str">
        <x:v>report_text</x:v>
      </x:c>
      <x:c r="X247" s="24" t="str">
        <x:v>病是K01所描述的功能失衡；药是能够让抢先、重复或占位过多的功能回到适当范围的具体功能。</x:v>
      </x:c>
      <x:c r="Y247" s="24" t="str">
        <x:v>你需要补上的不是一个抽象标签，而是：让抢先、重复或占位过多的功能回到适当范围。</x:v>
      </x:c>
      <x:c r="Z247" s="24" t="str">
        <x:v>不得仅凭本规则断定问题已经解决、关系必然稳定、用户一定成熟、某十神天然是“药”、喜用神自动等于解决办法，或淡化暴力、强迫与现实伤害；现实行为、反例、安全事实和专业支持优先。</x:v>
      </x:c>
      <x:c r="AA247" s="24" t="str">
        <x:v>中高</x:v>
      </x:c>
      <x:c r="AB247" s="24" t="str">
        <x:v>待验证</x:v>
      </x:c>
      <x:c r="AC247" s="24" t="str"/>
      <x:c r="AD247" s="24" t="str">
        <x:v>provisional=true；保护因素的现实有效性必须由可观察行为、反馈和持续结果验证。</x:v>
      </x:c>
      <x:c r="AE247" s="24" t="str">
        <x:v>0.8</x:v>
      </x:c>
    </x:row>
    <x:row r="248" ht="52" customHeight="1">
      <x:c r="A248" s="24" t="str">
        <x:v>M4-BUFFER-247</x:v>
      </x:c>
      <x:c r="B248" s="24" t="str">
        <x:v>DY02 补足不足｜功能定义</x:v>
      </x:c>
      <x:c r="C248" s="24" t="str">
        <x:v>L5 DY01—DY08病药功能</x:v>
      </x:c>
      <x:c r="D248" s="24" t="str">
        <x:v>BUFFER-病药接口</x:v>
      </x:c>
      <x:c r="E248" s="24" t="str">
        <x:v>通用</x:v>
      </x:c>
      <x:c r="F248" s="24" t="str">
        <x:v>定义</x:v>
      </x:c>
      <x:c r="G248" s="24" t="str">
        <x:v>DY02 补足不足</x:v>
      </x:c>
      <x:c r="H248" s="24" t="str">
        <x:v>K02；定义病药接口中的功能任务。</x:v>
      </x:c>
      <x:c r="I248" s="24" t="str">
        <x:v>已经确认K02机制或相应修复断点。</x:v>
      </x:c>
      <x:c r="J248" s="24" t="str">
        <x:v>没有具体失衡靶点。</x:v>
      </x:c>
      <x:c r="K248" s="24" t="str">
        <x:v>由共享基础引擎提供；仅修正保护功能的承载、持续调用和压力状态下的稳定性，不直接等同成熟度、道德或现实行为。</x:v>
      </x:c>
      <x:c r="L248" s="24" t="str">
        <x:v>由M1／M2接口提供；夫妻星、心动原型和关系门槛只说明关系议题，不单独证明保护因素已经被调用或有效。</x:v>
      </x:c>
      <x:c r="M248" s="24" t="str">
        <x:v>由M3-BASE及M4各模块提供；日支、日柱近位可提高与亲密关系核心的相关性，但同一source_id不得重复计分。</x:v>
      </x:c>
      <x:c r="N248" s="24" t="str">
        <x:v>保护因素必须明确限制过用、补足缺位、恢复顺序、打开反馈、落实改变或完成修复回流；不能只凭五行相生补写现实效果。</x:v>
      </x:c>
      <x:c r="O248" s="24" t="str">
        <x:v>近位提高进入亲密关系核心的概率；远位只作背景、阶段或条件性修正。</x:v>
      </x:c>
      <x:c r="P248" s="24" t="str">
        <x:v>根气只修正该保护功能是否容易重复调用，不等于现实中已经形成稳定保护。</x:v>
      </x:c>
      <x:c r="Q248" s="24" t="str">
        <x:v>旺弱只修正调用强度与承载；强不自动有效，弱也不自动无效。</x:v>
      </x:c>
      <x:c r="R248" s="24" t="str">
        <x:v>喜忌只修正摩擦、平衡与承载，不可直接翻译为好坏、成熟度或解决方案。</x:v>
      </x:c>
      <x:c r="S248" s="24" t="str">
        <x:v>原十神功能有效；真合化成立时按化神功能替换，合化争议时停止定性。</x:v>
      </x:c>
      <x:c r="T248" s="24" t="str">
        <x:v>近位提高直接相关性；远位仅保留背景、阶段或低置信修正。</x:v>
      </x:c>
      <x:c r="U248" s="24" t="str">
        <x:v>95</x:v>
      </x:c>
      <x:c r="V248" s="24" t="str">
        <x:v>功能定义</x:v>
      </x:c>
      <x:c r="W248" s="24" t="str">
        <x:v>medicine_function</x:v>
      </x:c>
      <x:c r="X248" s="24" t="str">
        <x:v>补足不足的目标是：让当前关系任务所需但进入较弱的功能获得支持。</x:v>
      </x:c>
      <x:c r="Y248" s="24" t="str">
        <x:v>这里需要的不是增加某个五行，而是完成“让当前关系任务所需但进入较弱的功能获得支持”这项具体功能。</x:v>
      </x:c>
      <x:c r="Z248" s="24" t="str">
        <x:v>不得仅凭本规则断定问题已经解决、关系必然稳定、用户一定成熟、某十神天然是“药”、喜用神自动等于解决办法，或淡化暴力、强迫与现实伤害；现实行为、反例、安全事实和专业支持优先。</x:v>
      </x:c>
      <x:c r="AA248" s="24" t="str">
        <x:v>高</x:v>
      </x:c>
      <x:c r="AB248" s="24" t="str">
        <x:v>待验证</x:v>
      </x:c>
      <x:c r="AC248" s="24" t="str"/>
      <x:c r="AD248" s="24" t="str">
        <x:v>provisional=true；保护因素的现实有效性必须由可观察行为、反馈和持续结果验证。</x:v>
      </x:c>
      <x:c r="AE248" s="24" t="str">
        <x:v>0.8</x:v>
      </x:c>
    </x:row>
    <x:row r="249" ht="52" customHeight="1">
      <x:c r="A249" s="24" t="str">
        <x:v>M4-BUFFER-248</x:v>
      </x:c>
      <x:c r="B249" s="24" t="str">
        <x:v>DY02 补足不足｜诊断靶点</x:v>
      </x:c>
      <x:c r="C249" s="24" t="str">
        <x:v>L5 DY01—DY08病药功能</x:v>
      </x:c>
      <x:c r="D249" s="24" t="str">
        <x:v>BUFFER-病药接口</x:v>
      </x:c>
      <x:c r="E249" s="24" t="str">
        <x:v>通用</x:v>
      </x:c>
      <x:c r="F249" s="24" t="str">
        <x:v>路由</x:v>
      </x:c>
      <x:c r="G249" s="24" t="str">
        <x:v>DY02 补足不足</x:v>
      </x:c>
      <x:c r="H249" s="24" t="str">
        <x:v>K02；将药功能对应到明确K机制。</x:v>
      </x:c>
      <x:c r="I249" s="24" t="str">
        <x:v>K02已经达到E1或以上，且同源去重完成。</x:v>
      </x:c>
      <x:c r="J249" s="24" t="str">
        <x:v>只有十神旺弱标签，未说明关系任务。</x:v>
      </x:c>
      <x:c r="K249" s="24" t="str">
        <x:v>由共享基础引擎提供；仅修正保护功能的承载、持续调用和压力状态下的稳定性，不直接等同成熟度、道德或现实行为。</x:v>
      </x:c>
      <x:c r="L249" s="24" t="str">
        <x:v>由M1／M2接口提供；夫妻星、心动原型和关系门槛只说明关系议题，不单独证明保护因素已经被调用或有效。</x:v>
      </x:c>
      <x:c r="M249" s="24" t="str">
        <x:v>由M3-BASE及M4各模块提供；日支、日柱近位可提高与亲密关系核心的相关性，但同一source_id不得重复计分。</x:v>
      </x:c>
      <x:c r="N249" s="24" t="str">
        <x:v>保护因素必须明确限制过用、补足缺位、恢复顺序、打开反馈、落实改变或完成修复回流；不能只凭五行相生补写现实效果。</x:v>
      </x:c>
      <x:c r="O249" s="24" t="str">
        <x:v>近位提高进入亲密关系核心的概率；远位只作背景、阶段或条件性修正。</x:v>
      </x:c>
      <x:c r="P249" s="24" t="str">
        <x:v>根气只修正该保护功能是否容易重复调用，不等于现实中已经形成稳定保护。</x:v>
      </x:c>
      <x:c r="Q249" s="24" t="str">
        <x:v>旺弱只修正调用强度与承载；强不自动有效，弱也不自动无效。</x:v>
      </x:c>
      <x:c r="R249" s="24" t="str">
        <x:v>喜忌只修正摩擦、平衡与承载，不可直接翻译为好坏、成熟度或解决方案。</x:v>
      </x:c>
      <x:c r="S249" s="24" t="str">
        <x:v>原十神功能有效；真合化成立时按化神功能替换，合化争议时停止定性。</x:v>
      </x:c>
      <x:c r="T249" s="24" t="str">
        <x:v>近位提高直接相关性；远位仅保留背景、阶段或低置信修正。</x:v>
      </x:c>
      <x:c r="U249" s="24" t="str">
        <x:v>94</x:v>
      </x:c>
      <x:c r="V249" s="24" t="str">
        <x:v>靶点匹配+6</x:v>
      </x:c>
      <x:c r="W249" s="24" t="str">
        <x:v>buffer_target</x:v>
      </x:c>
      <x:c r="X249" s="24" t="str">
        <x:v>DY02专门路由至K02。</x:v>
      </x:c>
      <x:c r="Y249" s="24" t="str">
        <x:v>这项调节只针对已经确认的K02问题，不作为万能解决办法。</x:v>
      </x:c>
      <x:c r="Z249" s="24" t="str">
        <x:v>不得仅凭本规则断定问题已经解决、关系必然稳定、用户一定成熟、某十神天然是“药”、喜用神自动等于解决办法，或淡化暴力、强迫与现实伤害；现实行为、反例、安全事实和专业支持优先。</x:v>
      </x:c>
      <x:c r="AA249" s="24" t="str">
        <x:v>高</x:v>
      </x:c>
      <x:c r="AB249" s="24" t="str">
        <x:v>待验证</x:v>
      </x:c>
      <x:c r="AC249" s="24" t="str"/>
      <x:c r="AD249" s="24" t="str">
        <x:v>provisional=true；保护因素的现实有效性必须由可观察行为、反馈和持续结果验证。</x:v>
      </x:c>
      <x:c r="AE249" s="24" t="str">
        <x:v>0.8</x:v>
      </x:c>
    </x:row>
    <x:row r="250" ht="52" customHeight="1">
      <x:c r="A250" s="24" t="str">
        <x:v>M4-BUFFER-249</x:v>
      </x:c>
      <x:c r="B250" s="24" t="str">
        <x:v>DY02 补足不足｜可用资源</x:v>
      </x:c>
      <x:c r="C250" s="24" t="str">
        <x:v>L5 DY01—DY08病药功能</x:v>
      </x:c>
      <x:c r="D250" s="24" t="str">
        <x:v>BUFFER-病药接口</x:v>
      </x:c>
      <x:c r="E250" s="24" t="str">
        <x:v>通用</x:v>
      </x:c>
      <x:c r="F250" s="24" t="str">
        <x:v>资源</x:v>
      </x:c>
      <x:c r="G250" s="24" t="str">
        <x:v>DY02 补足不足</x:v>
      </x:c>
      <x:c r="H250" s="24" t="str">
        <x:v>K02；列出可承担该药功能的保护资源。</x:v>
      </x:c>
      <x:c r="I250" s="24" t="str">
        <x:v>存在直接补位功能、BF02通关、BF05表达或BF06现实行为中的至少一项独立有效资源。</x:v>
      </x:c>
      <x:c r="J250" s="24" t="str">
        <x:v>资源弱远、受损、功能错配或只是同源重复。</x:v>
      </x:c>
      <x:c r="K250" s="24" t="str">
        <x:v>由共享基础引擎提供；仅修正保护功能的承载、持续调用和压力状态下的稳定性，不直接等同成熟度、道德或现实行为。</x:v>
      </x:c>
      <x:c r="L250" s="24" t="str">
        <x:v>由M1／M2接口提供；夫妻星、心动原型和关系门槛只说明关系议题，不单独证明保护因素已经被调用或有效。</x:v>
      </x:c>
      <x:c r="M250" s="24" t="str">
        <x:v>由M3-BASE及M4各模块提供；日支、日柱近位可提高与亲密关系核心的相关性，但同一source_id不得重复计分。</x:v>
      </x:c>
      <x:c r="N250" s="24" t="str">
        <x:v>保护因素必须明确限制过用、补足缺位、恢复顺序、打开反馈、落实改变或完成修复回流；不能只凭五行相生补写现实效果。</x:v>
      </x:c>
      <x:c r="O250" s="24" t="str">
        <x:v>近位提高进入亲密关系核心的概率；远位只作背景、阶段或条件性修正。</x:v>
      </x:c>
      <x:c r="P250" s="24" t="str">
        <x:v>根气只修正该保护功能是否容易重复调用，不等于现实中已经形成稳定保护。</x:v>
      </x:c>
      <x:c r="Q250" s="24" t="str">
        <x:v>旺弱只修正调用强度与承载；强不自动有效，弱也不自动无效。</x:v>
      </x:c>
      <x:c r="R250" s="24" t="str">
        <x:v>喜忌只修正摩擦、平衡与承载，不可直接翻译为好坏、成熟度或解决方案。</x:v>
      </x:c>
      <x:c r="S250" s="24" t="str">
        <x:v>原十神功能有效；真合化成立时按化神功能替换，合化争议时停止定性。</x:v>
      </x:c>
      <x:c r="T250" s="24" t="str">
        <x:v>近位提高直接相关性；远位仅保留背景、阶段或低置信修正。</x:v>
      </x:c>
      <x:c r="U250" s="24" t="str">
        <x:v>90</x:v>
      </x:c>
      <x:c r="V250" s="24" t="str">
        <x:v>独立资源+6</x:v>
      </x:c>
      <x:c r="W250" s="24" t="str">
        <x:v>buffer_factor</x:v>
      </x:c>
      <x:c r="X250" s="24" t="str">
        <x:v>可用资源包括：直接补位功能、BF02通关、BF05表达或BF06现实行为。</x:v>
      </x:c>
      <x:c r="Y250" s="24" t="str">
        <x:v>可能帮助你的资源包括：直接补位功能、BF02通关、BF05表达或BF06现实行为，但要继续看现实中是否会调用。</x:v>
      </x:c>
      <x:c r="Z250" s="24" t="str">
        <x:v>不得仅凭本规则断定问题已经解决、关系必然稳定、用户一定成熟、某十神天然是“药”、喜用神自动等于解决办法，或淡化暴力、强迫与现实伤害；现实行为、反例、安全事实和专业支持优先。</x:v>
      </x:c>
      <x:c r="AA250" s="24" t="str">
        <x:v>中高</x:v>
      </x:c>
      <x:c r="AB250" s="24" t="str">
        <x:v>待验证</x:v>
      </x:c>
      <x:c r="AC250" s="24" t="str"/>
      <x:c r="AD250" s="24" t="str">
        <x:v>provisional=true；保护因素的现实有效性必须由可观察行为、反馈和持续结果验证。</x:v>
      </x:c>
      <x:c r="AE250" s="24" t="str">
        <x:v>0.8</x:v>
      </x:c>
    </x:row>
    <x:row r="251" ht="52" customHeight="1">
      <x:c r="A251" s="24" t="str">
        <x:v>M4-BUFFER-250</x:v>
      </x:c>
      <x:c r="B251" s="24" t="str">
        <x:v>DY02 补足不足｜现实有效标志</x:v>
      </x:c>
      <x:c r="C251" s="24" t="str">
        <x:v>L5 DY01—DY08病药功能</x:v>
      </x:c>
      <x:c r="D251" s="24" t="str">
        <x:v>BUFFER-病药接口</x:v>
      </x:c>
      <x:c r="E251" s="24" t="str">
        <x:v>通用</x:v>
      </x:c>
      <x:c r="F251" s="24" t="str">
        <x:v>效果</x:v>
      </x:c>
      <x:c r="G251" s="24" t="str">
        <x:v>DY02 补足不足</x:v>
      </x:c>
      <x:c r="H251" s="24" t="str">
        <x:v>K02；判断药功能是否真正改变风险链。</x:v>
      </x:c>
      <x:c r="I251" s="24" t="str">
        <x:v>缺失步骤能够在需要时进入，而不必由熟悉通道长期代替。</x:v>
      </x:c>
      <x:c r="J251" s="24" t="str">
        <x:v>只增加元素数量，却没有进入具体关系任务。</x:v>
      </x:c>
      <x:c r="K251" s="24" t="str">
        <x:v>由共享基础引擎提供；仅修正保护功能的承载、持续调用和压力状态下的稳定性，不直接等同成熟度、道德或现实行为。</x:v>
      </x:c>
      <x:c r="L251" s="24" t="str">
        <x:v>由M1／M2接口提供；夫妻星、心动原型和关系门槛只说明关系议题，不单独证明保护因素已经被调用或有效。</x:v>
      </x:c>
      <x:c r="M251" s="24" t="str">
        <x:v>由M3-BASE及M4各模块提供；日支、日柱近位可提高与亲密关系核心的相关性，但同一source_id不得重复计分。</x:v>
      </x:c>
      <x:c r="N251" s="24" t="str">
        <x:v>保护因素必须明确限制过用、补足缺位、恢复顺序、打开反馈、落实改变或完成修复回流；不能只凭五行相生补写现实效果。</x:v>
      </x:c>
      <x:c r="O251" s="24" t="str">
        <x:v>近位提高进入亲密关系核心的概率；远位只作背景、阶段或条件性修正。</x:v>
      </x:c>
      <x:c r="P251" s="24" t="str">
        <x:v>根气只修正该保护功能是否容易重复调用，不等于现实中已经形成稳定保护。</x:v>
      </x:c>
      <x:c r="Q251" s="24" t="str">
        <x:v>旺弱只修正调用强度与承载；强不自动有效，弱也不自动无效。</x:v>
      </x:c>
      <x:c r="R251" s="24" t="str">
        <x:v>喜忌只修正摩擦、平衡与承载，不可直接翻译为好坏、成熟度或解决方案。</x:v>
      </x:c>
      <x:c r="S251" s="24" t="str">
        <x:v>原十神功能有效；真合化成立时按化神功能替换，合化争议时停止定性。</x:v>
      </x:c>
      <x:c r="T251" s="24" t="str">
        <x:v>近位提高直接相关性；远位仅保留背景、阶段或低置信修正。</x:v>
      </x:c>
      <x:c r="U251" s="24" t="str">
        <x:v>92</x:v>
      </x:c>
      <x:c r="V251" s="24" t="str">
        <x:v>效果+12</x:v>
      </x:c>
      <x:c r="W251" s="24" t="str">
        <x:v>buffer_level</x:v>
      </x:c>
      <x:c r="X251" s="24" t="str">
        <x:v>现实有效标志：缺失步骤能够在需要时进入，而不必由熟悉通道长期代替。</x:v>
      </x:c>
      <x:c r="Y251" s="24" t="str">
        <x:v>真正有效时会看到：缺失步骤能够在需要时进入，而不必由熟悉通道长期代替。</x:v>
      </x:c>
      <x:c r="Z251" s="24" t="str">
        <x:v>不得仅凭本规则断定问题已经解决、关系必然稳定、用户一定成熟、某十神天然是“药”、喜用神自动等于解决办法，或淡化暴力、强迫与现实伤害；现实行为、反例、安全事实和专业支持优先。</x:v>
      </x:c>
      <x:c r="AA251" s="24" t="str">
        <x:v>中高</x:v>
      </x:c>
      <x:c r="AB251" s="24" t="str">
        <x:v>待验证</x:v>
      </x:c>
      <x:c r="AC251" s="24" t="str"/>
      <x:c r="AD251" s="24" t="str">
        <x:v>provisional=true；保护因素的现实有效性必须由可观察行为、反馈和持续结果验证。</x:v>
      </x:c>
      <x:c r="AE251" s="24" t="str">
        <x:v>0.8</x:v>
      </x:c>
    </x:row>
    <x:row r="252" ht="52" customHeight="1">
      <x:c r="A252" s="24" t="str">
        <x:v>M4-BUFFER-251</x:v>
      </x:c>
      <x:c r="B252" s="24" t="str">
        <x:v>DY02 补足不足｜无效／过量边界</x:v>
      </x:c>
      <x:c r="C252" s="24" t="str">
        <x:v>L5 DY01—DY08病药功能</x:v>
      </x:c>
      <x:c r="D252" s="24" t="str">
        <x:v>BUFFER-病药接口</x:v>
      </x:c>
      <x:c r="E252" s="24" t="str">
        <x:v>通用</x:v>
      </x:c>
      <x:c r="F252" s="24" t="str">
        <x:v>降级</x:v>
      </x:c>
      <x:c r="G252" s="24" t="str">
        <x:v>DY02 补足不足</x:v>
      </x:c>
      <x:c r="H252" s="24" t="str">
        <x:v>K02；防止药功能变成新的失衡。</x:v>
      </x:c>
      <x:c r="I252" s="24" t="str">
        <x:v>只增加元素数量，却没有进入具体关系任务。</x:v>
      </x:c>
      <x:c r="J252" s="24" t="str">
        <x:v>缺失步骤能够在需要时进入，而不必由熟悉通道长期代替。</x:v>
      </x:c>
      <x:c r="K252" s="24" t="str">
        <x:v>由共享基础引擎提供；仅修正保护功能的承载、持续调用和压力状态下的稳定性，不直接等同成熟度、道德或现实行为。</x:v>
      </x:c>
      <x:c r="L252" s="24" t="str">
        <x:v>由M1／M2接口提供；夫妻星、心动原型和关系门槛只说明关系议题，不单独证明保护因素已经被调用或有效。</x:v>
      </x:c>
      <x:c r="M252" s="24" t="str">
        <x:v>由M3-BASE及M4各模块提供；日支、日柱近位可提高与亲密关系核心的相关性，但同一source_id不得重复计分。</x:v>
      </x:c>
      <x:c r="N252" s="24" t="str">
        <x:v>保护因素必须明确限制过用、补足缺位、恢复顺序、打开反馈、落实改变或完成修复回流；不能只凭五行相生补写现实效果。</x:v>
      </x:c>
      <x:c r="O252" s="24" t="str">
        <x:v>近位提高进入亲密关系核心的概率；远位只作背景、阶段或条件性修正。</x:v>
      </x:c>
      <x:c r="P252" s="24" t="str">
        <x:v>根气只修正该保护功能是否容易重复调用，不等于现实中已经形成稳定保护。</x:v>
      </x:c>
      <x:c r="Q252" s="24" t="str">
        <x:v>旺弱只修正调用强度与承载；强不自动有效，弱也不自动无效。</x:v>
      </x:c>
      <x:c r="R252" s="24" t="str">
        <x:v>喜忌只修正摩擦、平衡与承载，不可直接翻译为好坏、成熟度或解决方案。</x:v>
      </x:c>
      <x:c r="S252" s="24" t="str">
        <x:v>原十神功能有效；真合化成立时按化神功能替换，合化争议时停止定性。</x:v>
      </x:c>
      <x:c r="T252" s="24" t="str">
        <x:v>近位提高直接相关性；远位仅保留背景、阶段或低置信修正。</x:v>
      </x:c>
      <x:c r="U252" s="24" t="str">
        <x:v>97</x:v>
      </x:c>
      <x:c r="V252" s="24" t="str">
        <x:v>无效-10</x:v>
      </x:c>
      <x:c r="W252" s="24" t="str">
        <x:v>pseudo_buffer</x:v>
      </x:c>
      <x:c r="X252" s="24" t="str">
        <x:v>失效或过量表现：只增加元素数量，却没有进入具体关系任务。</x:v>
      </x:c>
      <x:c r="Y252" s="24" t="str">
        <x:v>若只是“只增加元素数量，却没有进入具体关系任务。”，就不能把它视为有效调节。</x:v>
      </x:c>
      <x:c r="Z252" s="24" t="str">
        <x:v>不得仅凭本规则断定问题已经解决、关系必然稳定、用户一定成熟、某十神天然是“药”、喜用神自动等于解决办法，或淡化暴力、强迫与现实伤害；现实行为、反例、安全事实和专业支持优先。</x:v>
      </x:c>
      <x:c r="AA252" s="24" t="str">
        <x:v>高</x:v>
      </x:c>
      <x:c r="AB252" s="24" t="str">
        <x:v>待验证</x:v>
      </x:c>
      <x:c r="AC252" s="24" t="str"/>
      <x:c r="AD252" s="24" t="str">
        <x:v>provisional=true；保护因素的现实有效性必须由可观察行为、反馈和持续结果验证。</x:v>
      </x:c>
      <x:c r="AE252" s="24" t="str">
        <x:v>0.8</x:v>
      </x:c>
    </x:row>
    <x:row r="253" ht="52" customHeight="1">
      <x:c r="A253" s="24" t="str">
        <x:v>M4-BUFFER-252</x:v>
      </x:c>
      <x:c r="B253" s="24" t="str">
        <x:v>DY02 补足不足｜用户输出</x:v>
      </x:c>
      <x:c r="C253" s="24" t="str">
        <x:v>L5 DY01—DY08病药功能</x:v>
      </x:c>
      <x:c r="D253" s="24" t="str">
        <x:v>BUFFER-病药接口</x:v>
      </x:c>
      <x:c r="E253" s="24" t="str">
        <x:v>通用</x:v>
      </x:c>
      <x:c r="F253" s="24" t="str">
        <x:v>语言</x:v>
      </x:c>
      <x:c r="G253" s="24" t="str">
        <x:v>DY02 补足不足</x:v>
      </x:c>
      <x:c r="H253" s="24" t="str">
        <x:v>K02；生成病药功能语言。</x:v>
      </x:c>
      <x:c r="I253" s="24" t="str">
        <x:v>K02成立且存在匹配资源。</x:v>
      </x:c>
      <x:c r="J253" s="24" t="str">
        <x:v>只增加元素数量，却没有进入具体关系任务。</x:v>
      </x:c>
      <x:c r="K253" s="24" t="str">
        <x:v>由共享基础引擎提供；仅修正保护功能的承载、持续调用和压力状态下的稳定性，不直接等同成熟度、道德或现实行为。</x:v>
      </x:c>
      <x:c r="L253" s="24" t="str">
        <x:v>由M1／M2接口提供；夫妻星、心动原型和关系门槛只说明关系议题，不单独证明保护因素已经被调用或有效。</x:v>
      </x:c>
      <x:c r="M253" s="24" t="str">
        <x:v>由M3-BASE及M4各模块提供；日支、日柱近位可提高与亲密关系核心的相关性，但同一source_id不得重复计分。</x:v>
      </x:c>
      <x:c r="N253" s="24" t="str">
        <x:v>保护因素必须明确限制过用、补足缺位、恢复顺序、打开反馈、落实改变或完成修复回流；不能只凭五行相生补写现实效果。</x:v>
      </x:c>
      <x:c r="O253" s="24" t="str">
        <x:v>近位提高进入亲密关系核心的概率；远位只作背景、阶段或条件性修正。</x:v>
      </x:c>
      <x:c r="P253" s="24" t="str">
        <x:v>根气只修正该保护功能是否容易重复调用，不等于现实中已经形成稳定保护。</x:v>
      </x:c>
      <x:c r="Q253" s="24" t="str">
        <x:v>旺弱只修正调用强度与承载；强不自动有效，弱也不自动无效。</x:v>
      </x:c>
      <x:c r="R253" s="24" t="str">
        <x:v>喜忌只修正摩擦、平衡与承载，不可直接翻译为好坏、成熟度或解决方案。</x:v>
      </x:c>
      <x:c r="S253" s="24" t="str">
        <x:v>原十神功能有效；真合化成立时按化神功能替换，合化争议时停止定性。</x:v>
      </x:c>
      <x:c r="T253" s="24" t="str">
        <x:v>近位提高直接相关性；远位仅保留背景、阶段或低置信修正。</x:v>
      </x:c>
      <x:c r="U253" s="24" t="str">
        <x:v>84</x:v>
      </x:c>
      <x:c r="V253" s="24" t="str">
        <x:v>不加分；输出</x:v>
      </x:c>
      <x:c r="W253" s="24" t="str">
        <x:v>report_text</x:v>
      </x:c>
      <x:c r="X253" s="24" t="str">
        <x:v>病是K02所描述的功能失衡；药是能够让当前关系任务所需但进入较弱的功能获得支持的具体功能。</x:v>
      </x:c>
      <x:c r="Y253" s="24" t="str">
        <x:v>你需要补上的不是一个抽象标签，而是：让当前关系任务所需但进入较弱的功能获得支持。</x:v>
      </x:c>
      <x:c r="Z253" s="24" t="str">
        <x:v>不得仅凭本规则断定问题已经解决、关系必然稳定、用户一定成熟、某十神天然是“药”、喜用神自动等于解决办法，或淡化暴力、强迫与现实伤害；现实行为、反例、安全事实和专业支持优先。</x:v>
      </x:c>
      <x:c r="AA253" s="24" t="str">
        <x:v>中高</x:v>
      </x:c>
      <x:c r="AB253" s="24" t="str">
        <x:v>待验证</x:v>
      </x:c>
      <x:c r="AC253" s="24" t="str"/>
      <x:c r="AD253" s="24" t="str">
        <x:v>provisional=true；保护因素的现实有效性必须由可观察行为、反馈和持续结果验证。</x:v>
      </x:c>
      <x:c r="AE253" s="24" t="str">
        <x:v>0.8</x:v>
      </x:c>
    </x:row>
    <x:row r="254" ht="52" customHeight="1">
      <x:c r="A254" s="24" t="str">
        <x:v>M4-BUFFER-253</x:v>
      </x:c>
      <x:c r="B254" s="24" t="str">
        <x:v>DY03 拆除单通道替代｜功能定义</x:v>
      </x:c>
      <x:c r="C254" s="24" t="str">
        <x:v>L5 DY01—DY08病药功能</x:v>
      </x:c>
      <x:c r="D254" s="24" t="str">
        <x:v>BUFFER-病药接口</x:v>
      </x:c>
      <x:c r="E254" s="24" t="str">
        <x:v>通用</x:v>
      </x:c>
      <x:c r="F254" s="24" t="str">
        <x:v>定义</x:v>
      </x:c>
      <x:c r="G254" s="24" t="str">
        <x:v>DY03 拆除单通道替代</x:v>
      </x:c>
      <x:c r="H254" s="24" t="str">
        <x:v>K03；定义病药接口中的功能任务。</x:v>
      </x:c>
      <x:c r="I254" s="24" t="str">
        <x:v>已经确认K03机制或相应修复断点。</x:v>
      </x:c>
      <x:c r="J254" s="24" t="str">
        <x:v>没有具体失衡靶点。</x:v>
      </x:c>
      <x:c r="K254" s="24" t="str">
        <x:v>由共享基础引擎提供；仅修正保护功能的承载、持续调用和压力状态下的稳定性，不直接等同成熟度、道德或现实行为。</x:v>
      </x:c>
      <x:c r="L254" s="24" t="str">
        <x:v>由M1／M2接口提供；夫妻星、心动原型和关系门槛只说明关系议题，不单独证明保护因素已经被调用或有效。</x:v>
      </x:c>
      <x:c r="M254" s="24" t="str">
        <x:v>由M3-BASE及M4各模块提供；日支、日柱近位可提高与亲密关系核心的相关性，但同一source_id不得重复计分。</x:v>
      </x:c>
      <x:c r="N254" s="24" t="str">
        <x:v>保护因素必须明确限制过用、补足缺位、恢复顺序、打开反馈、落实改变或完成修复回流；不能只凭五行相生补写现实效果。</x:v>
      </x:c>
      <x:c r="O254" s="24" t="str">
        <x:v>近位提高进入亲密关系核心的概率；远位只作背景、阶段或条件性修正。</x:v>
      </x:c>
      <x:c r="P254" s="24" t="str">
        <x:v>根气只修正该保护功能是否容易重复调用，不等于现实中已经形成稳定保护。</x:v>
      </x:c>
      <x:c r="Q254" s="24" t="str">
        <x:v>旺弱只修正调用强度与承载；强不自动有效，弱也不自动无效。</x:v>
      </x:c>
      <x:c r="R254" s="24" t="str">
        <x:v>喜忌只修正摩擦、平衡与承载，不可直接翻译为好坏、成熟度或解决方案。</x:v>
      </x:c>
      <x:c r="S254" s="24" t="str">
        <x:v>原十神功能有效；真合化成立时按化神功能替换，合化争议时停止定性。</x:v>
      </x:c>
      <x:c r="T254" s="24" t="str">
        <x:v>近位提高直接相关性；远位仅保留背景、阶段或低置信修正。</x:v>
      </x:c>
      <x:c r="U254" s="24" t="str">
        <x:v>95</x:v>
      </x:c>
      <x:c r="V254" s="24" t="str">
        <x:v>功能定义</x:v>
      </x:c>
      <x:c r="W254" s="24" t="str">
        <x:v>medicine_function</x:v>
      </x:c>
      <x:c r="X254" s="24" t="str">
        <x:v>拆除单通道替代的目标是：区分熟悉功能与被替代任务，恢复两者分工。</x:v>
      </x:c>
      <x:c r="Y254" s="24" t="str">
        <x:v>这里需要的不是增加某个五行，而是完成“区分熟悉功能与被替代任务，恢复两者分工”这项具体功能。</x:v>
      </x:c>
      <x:c r="Z254" s="24" t="str">
        <x:v>不得仅凭本规则断定问题已经解决、关系必然稳定、用户一定成熟、某十神天然是“药”、喜用神自动等于解决办法，或淡化暴力、强迫与现实伤害；现实行为、反例、安全事实和专业支持优先。</x:v>
      </x:c>
      <x:c r="AA254" s="24" t="str">
        <x:v>高</x:v>
      </x:c>
      <x:c r="AB254" s="24" t="str">
        <x:v>待验证</x:v>
      </x:c>
      <x:c r="AC254" s="24" t="str"/>
      <x:c r="AD254" s="24" t="str">
        <x:v>provisional=true；保护因素的现实有效性必须由可观察行为、反馈和持续结果验证。</x:v>
      </x:c>
      <x:c r="AE254" s="24" t="str">
        <x:v>0.8</x:v>
      </x:c>
    </x:row>
    <x:row r="255" ht="52" customHeight="1">
      <x:c r="A255" s="24" t="str">
        <x:v>M4-BUFFER-254</x:v>
      </x:c>
      <x:c r="B255" s="24" t="str">
        <x:v>DY03 拆除单通道替代｜诊断靶点</x:v>
      </x:c>
      <x:c r="C255" s="24" t="str">
        <x:v>L5 DY01—DY08病药功能</x:v>
      </x:c>
      <x:c r="D255" s="24" t="str">
        <x:v>BUFFER-病药接口</x:v>
      </x:c>
      <x:c r="E255" s="24" t="str">
        <x:v>通用</x:v>
      </x:c>
      <x:c r="F255" s="24" t="str">
        <x:v>路由</x:v>
      </x:c>
      <x:c r="G255" s="24" t="str">
        <x:v>DY03 拆除单通道替代</x:v>
      </x:c>
      <x:c r="H255" s="24" t="str">
        <x:v>K03；将药功能对应到明确K机制。</x:v>
      </x:c>
      <x:c r="I255" s="24" t="str">
        <x:v>K03已经达到E1或以上，且同源去重完成。</x:v>
      </x:c>
      <x:c r="J255" s="24" t="str">
        <x:v>只有十神旺弱标签，未说明关系任务。</x:v>
      </x:c>
      <x:c r="K255" s="24" t="str">
        <x:v>由共享基础引擎提供；仅修正保护功能的承载、持续调用和压力状态下的稳定性，不直接等同成熟度、道德或现实行为。</x:v>
      </x:c>
      <x:c r="L255" s="24" t="str">
        <x:v>由M1／M2接口提供；夫妻星、心动原型和关系门槛只说明关系议题，不单独证明保护因素已经被调用或有效。</x:v>
      </x:c>
      <x:c r="M255" s="24" t="str">
        <x:v>由M3-BASE及M4各模块提供；日支、日柱近位可提高与亲密关系核心的相关性，但同一source_id不得重复计分。</x:v>
      </x:c>
      <x:c r="N255" s="24" t="str">
        <x:v>保护因素必须明确限制过用、补足缺位、恢复顺序、打开反馈、落实改变或完成修复回流；不能只凭五行相生补写现实效果。</x:v>
      </x:c>
      <x:c r="O255" s="24" t="str">
        <x:v>近位提高进入亲密关系核心的概率；远位只作背景、阶段或条件性修正。</x:v>
      </x:c>
      <x:c r="P255" s="24" t="str">
        <x:v>根气只修正该保护功能是否容易重复调用，不等于现实中已经形成稳定保护。</x:v>
      </x:c>
      <x:c r="Q255" s="24" t="str">
        <x:v>旺弱只修正调用强度与承载；强不自动有效，弱也不自动无效。</x:v>
      </x:c>
      <x:c r="R255" s="24" t="str">
        <x:v>喜忌只修正摩擦、平衡与承载，不可直接翻译为好坏、成熟度或解决方案。</x:v>
      </x:c>
      <x:c r="S255" s="24" t="str">
        <x:v>原十神功能有效；真合化成立时按化神功能替换，合化争议时停止定性。</x:v>
      </x:c>
      <x:c r="T255" s="24" t="str">
        <x:v>近位提高直接相关性；远位仅保留背景、阶段或低置信修正。</x:v>
      </x:c>
      <x:c r="U255" s="24" t="str">
        <x:v>94</x:v>
      </x:c>
      <x:c r="V255" s="24" t="str">
        <x:v>靶点匹配+6</x:v>
      </x:c>
      <x:c r="W255" s="24" t="str">
        <x:v>buffer_target</x:v>
      </x:c>
      <x:c r="X255" s="24" t="str">
        <x:v>DY03专门路由至K03。</x:v>
      </x:c>
      <x:c r="Y255" s="24" t="str">
        <x:v>这项调节只针对已经确认的K03问题，不作为万能解决办法。</x:v>
      </x:c>
      <x:c r="Z255" s="24" t="str">
        <x:v>不得仅凭本规则断定问题已经解决、关系必然稳定、用户一定成熟、某十神天然是“药”、喜用神自动等于解决办法，或淡化暴力、强迫与现实伤害；现实行为、反例、安全事实和专业支持优先。</x:v>
      </x:c>
      <x:c r="AA255" s="24" t="str">
        <x:v>高</x:v>
      </x:c>
      <x:c r="AB255" s="24" t="str">
        <x:v>待验证</x:v>
      </x:c>
      <x:c r="AC255" s="24" t="str"/>
      <x:c r="AD255" s="24" t="str">
        <x:v>provisional=true；保护因素的现实有效性必须由可观察行为、反馈和持续结果验证。</x:v>
      </x:c>
      <x:c r="AE255" s="24" t="str">
        <x:v>0.8</x:v>
      </x:c>
    </x:row>
    <x:row r="256" ht="52" customHeight="1">
      <x:c r="A256" s="24" t="str">
        <x:v>M4-BUFFER-255</x:v>
      </x:c>
      <x:c r="B256" s="24" t="str">
        <x:v>DY03 拆除单通道替代｜可用资源</x:v>
      </x:c>
      <x:c r="C256" s="24" t="str">
        <x:v>L5 DY01—DY08病药功能</x:v>
      </x:c>
      <x:c r="D256" s="24" t="str">
        <x:v>BUFFER-病药接口</x:v>
      </x:c>
      <x:c r="E256" s="24" t="str">
        <x:v>通用</x:v>
      </x:c>
      <x:c r="F256" s="24" t="str">
        <x:v>资源</x:v>
      </x:c>
      <x:c r="G256" s="24" t="str">
        <x:v>DY03 拆除单通道替代</x:v>
      </x:c>
      <x:c r="H256" s="24" t="str">
        <x:v>K03；列出可承担该药功能的保护资源。</x:v>
      </x:c>
      <x:c r="I256" s="24" t="str">
        <x:v>存在BF02跨系统通关、BF04复核、BF05反馈中的至少一项独立有效资源。</x:v>
      </x:c>
      <x:c r="J256" s="24" t="str">
        <x:v>资源弱远、受损、功能错配或只是同源重复。</x:v>
      </x:c>
      <x:c r="K256" s="24" t="str">
        <x:v>由共享基础引擎提供；仅修正保护功能的承载、持续调用和压力状态下的稳定性，不直接等同成熟度、道德或现实行为。</x:v>
      </x:c>
      <x:c r="L256" s="24" t="str">
        <x:v>由M1／M2接口提供；夫妻星、心动原型和关系门槛只说明关系议题，不单独证明保护因素已经被调用或有效。</x:v>
      </x:c>
      <x:c r="M256" s="24" t="str">
        <x:v>由M3-BASE及M4各模块提供；日支、日柱近位可提高与亲密关系核心的相关性，但同一source_id不得重复计分。</x:v>
      </x:c>
      <x:c r="N256" s="24" t="str">
        <x:v>保护因素必须明确限制过用、补足缺位、恢复顺序、打开反馈、落实改变或完成修复回流；不能只凭五行相生补写现实效果。</x:v>
      </x:c>
      <x:c r="O256" s="24" t="str">
        <x:v>近位提高进入亲密关系核心的概率；远位只作背景、阶段或条件性修正。</x:v>
      </x:c>
      <x:c r="P256" s="24" t="str">
        <x:v>根气只修正该保护功能是否容易重复调用，不等于现实中已经形成稳定保护。</x:v>
      </x:c>
      <x:c r="Q256" s="24" t="str">
        <x:v>旺弱只修正调用强度与承载；强不自动有效，弱也不自动无效。</x:v>
      </x:c>
      <x:c r="R256" s="24" t="str">
        <x:v>喜忌只修正摩擦、平衡与承载，不可直接翻译为好坏、成熟度或解决方案。</x:v>
      </x:c>
      <x:c r="S256" s="24" t="str">
        <x:v>原十神功能有效；真合化成立时按化神功能替换，合化争议时停止定性。</x:v>
      </x:c>
      <x:c r="T256" s="24" t="str">
        <x:v>近位提高直接相关性；远位仅保留背景、阶段或低置信修正。</x:v>
      </x:c>
      <x:c r="U256" s="24" t="str">
        <x:v>90</x:v>
      </x:c>
      <x:c r="V256" s="24" t="str">
        <x:v>独立资源+6</x:v>
      </x:c>
      <x:c r="W256" s="24" t="str">
        <x:v>buffer_factor</x:v>
      </x:c>
      <x:c r="X256" s="24" t="str">
        <x:v>可用资源包括：BF02跨系统通关、BF04复核、BF05反馈。</x:v>
      </x:c>
      <x:c r="Y256" s="24" t="str">
        <x:v>可能帮助你的资源包括：BF02跨系统通关、BF04复核、BF05反馈，但要继续看现实中是否会调用。</x:v>
      </x:c>
      <x:c r="Z256" s="24" t="str">
        <x:v>不得仅凭本规则断定问题已经解决、关系必然稳定、用户一定成熟、某十神天然是“药”、喜用神自动等于解决办法，或淡化暴力、强迫与现实伤害；现实行为、反例、安全事实和专业支持优先。</x:v>
      </x:c>
      <x:c r="AA256" s="24" t="str">
        <x:v>中高</x:v>
      </x:c>
      <x:c r="AB256" s="24" t="str">
        <x:v>待验证</x:v>
      </x:c>
      <x:c r="AC256" s="24" t="str"/>
      <x:c r="AD256" s="24" t="str">
        <x:v>provisional=true；保护因素的现实有效性必须由可观察行为、反馈和持续结果验证。</x:v>
      </x:c>
      <x:c r="AE256" s="24" t="str">
        <x:v>0.8</x:v>
      </x:c>
    </x:row>
    <x:row r="257" ht="52" customHeight="1">
      <x:c r="A257" s="24" t="str">
        <x:v>M4-BUFFER-256</x:v>
      </x:c>
      <x:c r="B257" s="24" t="str">
        <x:v>DY03 拆除单通道替代｜现实有效标志</x:v>
      </x:c>
      <x:c r="C257" s="24" t="str">
        <x:v>L5 DY01—DY08病药功能</x:v>
      </x:c>
      <x:c r="D257" s="24" t="str">
        <x:v>BUFFER-病药接口</x:v>
      </x:c>
      <x:c r="E257" s="24" t="str">
        <x:v>通用</x:v>
      </x:c>
      <x:c r="F257" s="24" t="str">
        <x:v>效果</x:v>
      </x:c>
      <x:c r="G257" s="24" t="str">
        <x:v>DY03 拆除单通道替代</x:v>
      </x:c>
      <x:c r="H257" s="24" t="str">
        <x:v>K03；判断药功能是否真正改变风险链。</x:v>
      </x:c>
      <x:c r="I257" s="24" t="str">
        <x:v>表达不再替代倾听，行动不再替代协商，理解不再替代改变。</x:v>
      </x:c>
      <x:c r="J257" s="24" t="str">
        <x:v>把替代关系换成另一种单通道垄断。</x:v>
      </x:c>
      <x:c r="K257" s="24" t="str">
        <x:v>由共享基础引擎提供；仅修正保护功能的承载、持续调用和压力状态下的稳定性，不直接等同成熟度、道德或现实行为。</x:v>
      </x:c>
      <x:c r="L257" s="24" t="str">
        <x:v>由M1／M2接口提供；夫妻星、心动原型和关系门槛只说明关系议题，不单独证明保护因素已经被调用或有效。</x:v>
      </x:c>
      <x:c r="M257" s="24" t="str">
        <x:v>由M3-BASE及M4各模块提供；日支、日柱近位可提高与亲密关系核心的相关性，但同一source_id不得重复计分。</x:v>
      </x:c>
      <x:c r="N257" s="24" t="str">
        <x:v>保护因素必须明确限制过用、补足缺位、恢复顺序、打开反馈、落实改变或完成修复回流；不能只凭五行相生补写现实效果。</x:v>
      </x:c>
      <x:c r="O257" s="24" t="str">
        <x:v>近位提高进入亲密关系核心的概率；远位只作背景、阶段或条件性修正。</x:v>
      </x:c>
      <x:c r="P257" s="24" t="str">
        <x:v>根气只修正该保护功能是否容易重复调用，不等于现实中已经形成稳定保护。</x:v>
      </x:c>
      <x:c r="Q257" s="24" t="str">
        <x:v>旺弱只修正调用强度与承载；强不自动有效，弱也不自动无效。</x:v>
      </x:c>
      <x:c r="R257" s="24" t="str">
        <x:v>喜忌只修正摩擦、平衡与承载，不可直接翻译为好坏、成熟度或解决方案。</x:v>
      </x:c>
      <x:c r="S257" s="24" t="str">
        <x:v>原十神功能有效；真合化成立时按化神功能替换，合化争议时停止定性。</x:v>
      </x:c>
      <x:c r="T257" s="24" t="str">
        <x:v>近位提高直接相关性；远位仅保留背景、阶段或低置信修正。</x:v>
      </x:c>
      <x:c r="U257" s="24" t="str">
        <x:v>92</x:v>
      </x:c>
      <x:c r="V257" s="24" t="str">
        <x:v>效果+12</x:v>
      </x:c>
      <x:c r="W257" s="24" t="str">
        <x:v>buffer_level</x:v>
      </x:c>
      <x:c r="X257" s="24" t="str">
        <x:v>现实有效标志：表达不再替代倾听，行动不再替代协商，理解不再替代改变。</x:v>
      </x:c>
      <x:c r="Y257" s="24" t="str">
        <x:v>真正有效时会看到：表达不再替代倾听，行动不再替代协商，理解不再替代改变。</x:v>
      </x:c>
      <x:c r="Z257" s="24" t="str">
        <x:v>不得仅凭本规则断定问题已经解决、关系必然稳定、用户一定成熟、某十神天然是“药”、喜用神自动等于解决办法，或淡化暴力、强迫与现实伤害；现实行为、反例、安全事实和专业支持优先。</x:v>
      </x:c>
      <x:c r="AA257" s="24" t="str">
        <x:v>中高</x:v>
      </x:c>
      <x:c r="AB257" s="24" t="str">
        <x:v>待验证</x:v>
      </x:c>
      <x:c r="AC257" s="24" t="str"/>
      <x:c r="AD257" s="24" t="str">
        <x:v>provisional=true；保护因素的现实有效性必须由可观察行为、反馈和持续结果验证。</x:v>
      </x:c>
      <x:c r="AE257" s="24" t="str">
        <x:v>0.8</x:v>
      </x:c>
    </x:row>
    <x:row r="258" ht="52" customHeight="1">
      <x:c r="A258" s="24" t="str">
        <x:v>M4-BUFFER-257</x:v>
      </x:c>
      <x:c r="B258" s="24" t="str">
        <x:v>DY03 拆除单通道替代｜无效／过量边界</x:v>
      </x:c>
      <x:c r="C258" s="24" t="str">
        <x:v>L5 DY01—DY08病药功能</x:v>
      </x:c>
      <x:c r="D258" s="24" t="str">
        <x:v>BUFFER-病药接口</x:v>
      </x:c>
      <x:c r="E258" s="24" t="str">
        <x:v>通用</x:v>
      </x:c>
      <x:c r="F258" s="24" t="str">
        <x:v>降级</x:v>
      </x:c>
      <x:c r="G258" s="24" t="str">
        <x:v>DY03 拆除单通道替代</x:v>
      </x:c>
      <x:c r="H258" s="24" t="str">
        <x:v>K03；防止药功能变成新的失衡。</x:v>
      </x:c>
      <x:c r="I258" s="24" t="str">
        <x:v>把替代关系换成另一种单通道垄断。</x:v>
      </x:c>
      <x:c r="J258" s="24" t="str">
        <x:v>表达不再替代倾听，行动不再替代协商，理解不再替代改变。</x:v>
      </x:c>
      <x:c r="K258" s="24" t="str">
        <x:v>由共享基础引擎提供；仅修正保护功能的承载、持续调用和压力状态下的稳定性，不直接等同成熟度、道德或现实行为。</x:v>
      </x:c>
      <x:c r="L258" s="24" t="str">
        <x:v>由M1／M2接口提供；夫妻星、心动原型和关系门槛只说明关系议题，不单独证明保护因素已经被调用或有效。</x:v>
      </x:c>
      <x:c r="M258" s="24" t="str">
        <x:v>由M3-BASE及M4各模块提供；日支、日柱近位可提高与亲密关系核心的相关性，但同一source_id不得重复计分。</x:v>
      </x:c>
      <x:c r="N258" s="24" t="str">
        <x:v>保护因素必须明确限制过用、补足缺位、恢复顺序、打开反馈、落实改变或完成修复回流；不能只凭五行相生补写现实效果。</x:v>
      </x:c>
      <x:c r="O258" s="24" t="str">
        <x:v>近位提高进入亲密关系核心的概率；远位只作背景、阶段或条件性修正。</x:v>
      </x:c>
      <x:c r="P258" s="24" t="str">
        <x:v>根气只修正该保护功能是否容易重复调用，不等于现实中已经形成稳定保护。</x:v>
      </x:c>
      <x:c r="Q258" s="24" t="str">
        <x:v>旺弱只修正调用强度与承载；强不自动有效，弱也不自动无效。</x:v>
      </x:c>
      <x:c r="R258" s="24" t="str">
        <x:v>喜忌只修正摩擦、平衡与承载，不可直接翻译为好坏、成熟度或解决方案。</x:v>
      </x:c>
      <x:c r="S258" s="24" t="str">
        <x:v>原十神功能有效；真合化成立时按化神功能替换，合化争议时停止定性。</x:v>
      </x:c>
      <x:c r="T258" s="24" t="str">
        <x:v>近位提高直接相关性；远位仅保留背景、阶段或低置信修正。</x:v>
      </x:c>
      <x:c r="U258" s="24" t="str">
        <x:v>97</x:v>
      </x:c>
      <x:c r="V258" s="24" t="str">
        <x:v>无效-10</x:v>
      </x:c>
      <x:c r="W258" s="24" t="str">
        <x:v>pseudo_buffer</x:v>
      </x:c>
      <x:c r="X258" s="24" t="str">
        <x:v>失效或过量表现：把替代关系换成另一种单通道垄断。</x:v>
      </x:c>
      <x:c r="Y258" s="24" t="str">
        <x:v>若只是“把替代关系换成另一种单通道垄断。”，就不能把它视为有效调节。</x:v>
      </x:c>
      <x:c r="Z258" s="24" t="str">
        <x:v>不得仅凭本规则断定问题已经解决、关系必然稳定、用户一定成熟、某十神天然是“药”、喜用神自动等于解决办法，或淡化暴力、强迫与现实伤害；现实行为、反例、安全事实和专业支持优先。</x:v>
      </x:c>
      <x:c r="AA258" s="24" t="str">
        <x:v>高</x:v>
      </x:c>
      <x:c r="AB258" s="24" t="str">
        <x:v>待验证</x:v>
      </x:c>
      <x:c r="AC258" s="24" t="str"/>
      <x:c r="AD258" s="24" t="str">
        <x:v>provisional=true；保护因素的现实有效性必须由可观察行为、反馈和持续结果验证。</x:v>
      </x:c>
      <x:c r="AE258" s="24" t="str">
        <x:v>0.8</x:v>
      </x:c>
    </x:row>
    <x:row r="259" ht="52" customHeight="1">
      <x:c r="A259" s="24" t="str">
        <x:v>M4-BUFFER-258</x:v>
      </x:c>
      <x:c r="B259" s="24" t="str">
        <x:v>DY03 拆除单通道替代｜用户输出</x:v>
      </x:c>
      <x:c r="C259" s="24" t="str">
        <x:v>L5 DY01—DY08病药功能</x:v>
      </x:c>
      <x:c r="D259" s="24" t="str">
        <x:v>BUFFER-病药接口</x:v>
      </x:c>
      <x:c r="E259" s="24" t="str">
        <x:v>通用</x:v>
      </x:c>
      <x:c r="F259" s="24" t="str">
        <x:v>语言</x:v>
      </x:c>
      <x:c r="G259" s="24" t="str">
        <x:v>DY03 拆除单通道替代</x:v>
      </x:c>
      <x:c r="H259" s="24" t="str">
        <x:v>K03；生成病药功能语言。</x:v>
      </x:c>
      <x:c r="I259" s="24" t="str">
        <x:v>K03成立且存在匹配资源。</x:v>
      </x:c>
      <x:c r="J259" s="24" t="str">
        <x:v>把替代关系换成另一种单通道垄断。</x:v>
      </x:c>
      <x:c r="K259" s="24" t="str">
        <x:v>由共享基础引擎提供；仅修正保护功能的承载、持续调用和压力状态下的稳定性，不直接等同成熟度、道德或现实行为。</x:v>
      </x:c>
      <x:c r="L259" s="24" t="str">
        <x:v>由M1／M2接口提供；夫妻星、心动原型和关系门槛只说明关系议题，不单独证明保护因素已经被调用或有效。</x:v>
      </x:c>
      <x:c r="M259" s="24" t="str">
        <x:v>由M3-BASE及M4各模块提供；日支、日柱近位可提高与亲密关系核心的相关性，但同一source_id不得重复计分。</x:v>
      </x:c>
      <x:c r="N259" s="24" t="str">
        <x:v>保护因素必须明确限制过用、补足缺位、恢复顺序、打开反馈、落实改变或完成修复回流；不能只凭五行相生补写现实效果。</x:v>
      </x:c>
      <x:c r="O259" s="24" t="str">
        <x:v>近位提高进入亲密关系核心的概率；远位只作背景、阶段或条件性修正。</x:v>
      </x:c>
      <x:c r="P259" s="24" t="str">
        <x:v>根气只修正该保护功能是否容易重复调用，不等于现实中已经形成稳定保护。</x:v>
      </x:c>
      <x:c r="Q259" s="24" t="str">
        <x:v>旺弱只修正调用强度与承载；强不自动有效，弱也不自动无效。</x:v>
      </x:c>
      <x:c r="R259" s="24" t="str">
        <x:v>喜忌只修正摩擦、平衡与承载，不可直接翻译为好坏、成熟度或解决方案。</x:v>
      </x:c>
      <x:c r="S259" s="24" t="str">
        <x:v>原十神功能有效；真合化成立时按化神功能替换，合化争议时停止定性。</x:v>
      </x:c>
      <x:c r="T259" s="24" t="str">
        <x:v>近位提高直接相关性；远位仅保留背景、阶段或低置信修正。</x:v>
      </x:c>
      <x:c r="U259" s="24" t="str">
        <x:v>84</x:v>
      </x:c>
      <x:c r="V259" s="24" t="str">
        <x:v>不加分；输出</x:v>
      </x:c>
      <x:c r="W259" s="24" t="str">
        <x:v>report_text</x:v>
      </x:c>
      <x:c r="X259" s="24" t="str">
        <x:v>病是K03所描述的功能失衡；药是能够区分熟悉功能与被替代任务，恢复两者分工的具体功能。</x:v>
      </x:c>
      <x:c r="Y259" s="24" t="str">
        <x:v>你需要补上的不是一个抽象标签，而是：区分熟悉功能与被替代任务，恢复两者分工。</x:v>
      </x:c>
      <x:c r="Z259" s="24" t="str">
        <x:v>不得仅凭本规则断定问题已经解决、关系必然稳定、用户一定成熟、某十神天然是“药”、喜用神自动等于解决办法，或淡化暴力、强迫与现实伤害；现实行为、反例、安全事实和专业支持优先。</x:v>
      </x:c>
      <x:c r="AA259" s="24" t="str">
        <x:v>中高</x:v>
      </x:c>
      <x:c r="AB259" s="24" t="str">
        <x:v>待验证</x:v>
      </x:c>
      <x:c r="AC259" s="24" t="str"/>
      <x:c r="AD259" s="24" t="str">
        <x:v>provisional=true；保护因素的现实有效性必须由可观察行为、反馈和持续结果验证。</x:v>
      </x:c>
      <x:c r="AE259" s="24" t="str">
        <x:v>0.8</x:v>
      </x:c>
    </x:row>
    <x:row r="260" ht="52" customHeight="1">
      <x:c r="A260" s="24" t="str">
        <x:v>M4-BUFFER-259</x:v>
      </x:c>
      <x:c r="B260" s="24" t="str">
        <x:v>DY04 恢复处理顺序｜功能定义</x:v>
      </x:c>
      <x:c r="C260" s="24" t="str">
        <x:v>L5 DY01—DY08病药功能</x:v>
      </x:c>
      <x:c r="D260" s="24" t="str">
        <x:v>BUFFER-病药接口</x:v>
      </x:c>
      <x:c r="E260" s="24" t="str">
        <x:v>通用</x:v>
      </x:c>
      <x:c r="F260" s="24" t="str">
        <x:v>定义</x:v>
      </x:c>
      <x:c r="G260" s="24" t="str">
        <x:v>DY04 恢复处理顺序</x:v>
      </x:c>
      <x:c r="H260" s="24" t="str">
        <x:v>K04；定义病药接口中的功能任务。</x:v>
      </x:c>
      <x:c r="I260" s="24" t="str">
        <x:v>已经确认K04机制或相应修复断点。</x:v>
      </x:c>
      <x:c r="J260" s="24" t="str">
        <x:v>没有具体失衡靶点。</x:v>
      </x:c>
      <x:c r="K260" s="24" t="str">
        <x:v>由共享基础引擎提供；仅修正保护功能的承载、持续调用和压力状态下的稳定性，不直接等同成熟度、道德或现实行为。</x:v>
      </x:c>
      <x:c r="L260" s="24" t="str">
        <x:v>由M1／M2接口提供；夫妻星、心动原型和关系门槛只说明关系议题，不单独证明保护因素已经被调用或有效。</x:v>
      </x:c>
      <x:c r="M260" s="24" t="str">
        <x:v>由M3-BASE及M4各模块提供；日支、日柱近位可提高与亲密关系核心的相关性，但同一source_id不得重复计分。</x:v>
      </x:c>
      <x:c r="N260" s="24" t="str">
        <x:v>保护因素必须明确限制过用、补足缺位、恢复顺序、打开反馈、落实改变或完成修复回流；不能只凭五行相生补写现实效果。</x:v>
      </x:c>
      <x:c r="O260" s="24" t="str">
        <x:v>近位提高进入亲密关系核心的概率；远位只作背景、阶段或条件性修正。</x:v>
      </x:c>
      <x:c r="P260" s="24" t="str">
        <x:v>根气只修正该保护功能是否容易重复调用，不等于现实中已经形成稳定保护。</x:v>
      </x:c>
      <x:c r="Q260" s="24" t="str">
        <x:v>旺弱只修正调用强度与承载；强不自动有效，弱也不自动无效。</x:v>
      </x:c>
      <x:c r="R260" s="24" t="str">
        <x:v>喜忌只修正摩擦、平衡与承载，不可直接翻译为好坏、成熟度或解决方案。</x:v>
      </x:c>
      <x:c r="S260" s="24" t="str">
        <x:v>原十神功能有效；真合化成立时按化神功能替换，合化争议时停止定性。</x:v>
      </x:c>
      <x:c r="T260" s="24" t="str">
        <x:v>近位提高直接相关性；远位仅保留背景、阶段或低置信修正。</x:v>
      </x:c>
      <x:c r="U260" s="24" t="str">
        <x:v>95</x:v>
      </x:c>
      <x:c r="V260" s="24" t="str">
        <x:v>功能定义</x:v>
      </x:c>
      <x:c r="W260" s="24" t="str">
        <x:v>medicine_function</x:v>
      </x:c>
      <x:c r="X260" s="24" t="str">
        <x:v>恢复处理顺序的目标是：让两项已有功能在更合适的先后与阶段进入。</x:v>
      </x:c>
      <x:c r="Y260" s="24" t="str">
        <x:v>这里需要的不是增加某个五行，而是完成“让两项已有功能在更合适的先后与阶段进入”这项具体功能。</x:v>
      </x:c>
      <x:c r="Z260" s="24" t="str">
        <x:v>不得仅凭本规则断定问题已经解决、关系必然稳定、用户一定成熟、某十神天然是“药”、喜用神自动等于解决办法，或淡化暴力、强迫与现实伤害；现实行为、反例、安全事实和专业支持优先。</x:v>
      </x:c>
      <x:c r="AA260" s="24" t="str">
        <x:v>高</x:v>
      </x:c>
      <x:c r="AB260" s="24" t="str">
        <x:v>待验证</x:v>
      </x:c>
      <x:c r="AC260" s="24" t="str"/>
      <x:c r="AD260" s="24" t="str">
        <x:v>provisional=true；保护因素的现实有效性必须由可观察行为、反馈和持续结果验证。</x:v>
      </x:c>
      <x:c r="AE260" s="24" t="str">
        <x:v>0.8</x:v>
      </x:c>
    </x:row>
    <x:row r="261" ht="52" customHeight="1">
      <x:c r="A261" s="24" t="str">
        <x:v>M4-BUFFER-260</x:v>
      </x:c>
      <x:c r="B261" s="24" t="str">
        <x:v>DY04 恢复处理顺序｜诊断靶点</x:v>
      </x:c>
      <x:c r="C261" s="24" t="str">
        <x:v>L5 DY01—DY08病药功能</x:v>
      </x:c>
      <x:c r="D261" s="24" t="str">
        <x:v>BUFFER-病药接口</x:v>
      </x:c>
      <x:c r="E261" s="24" t="str">
        <x:v>通用</x:v>
      </x:c>
      <x:c r="F261" s="24" t="str">
        <x:v>路由</x:v>
      </x:c>
      <x:c r="G261" s="24" t="str">
        <x:v>DY04 恢复处理顺序</x:v>
      </x:c>
      <x:c r="H261" s="24" t="str">
        <x:v>K04；将药功能对应到明确K机制。</x:v>
      </x:c>
      <x:c r="I261" s="24" t="str">
        <x:v>K04已经达到E1或以上，且同源去重完成。</x:v>
      </x:c>
      <x:c r="J261" s="24" t="str">
        <x:v>只有十神旺弱标签，未说明关系任务。</x:v>
      </x:c>
      <x:c r="K261" s="24" t="str">
        <x:v>由共享基础引擎提供；仅修正保护功能的承载、持续调用和压力状态下的稳定性，不直接等同成熟度、道德或现实行为。</x:v>
      </x:c>
      <x:c r="L261" s="24" t="str">
        <x:v>由M1／M2接口提供；夫妻星、心动原型和关系门槛只说明关系议题，不单独证明保护因素已经被调用或有效。</x:v>
      </x:c>
      <x:c r="M261" s="24" t="str">
        <x:v>由M3-BASE及M4各模块提供；日支、日柱近位可提高与亲密关系核心的相关性，但同一source_id不得重复计分。</x:v>
      </x:c>
      <x:c r="N261" s="24" t="str">
        <x:v>保护因素必须明确限制过用、补足缺位、恢复顺序、打开反馈、落实改变或完成修复回流；不能只凭五行相生补写现实效果。</x:v>
      </x:c>
      <x:c r="O261" s="24" t="str">
        <x:v>近位提高进入亲密关系核心的概率；远位只作背景、阶段或条件性修正。</x:v>
      </x:c>
      <x:c r="P261" s="24" t="str">
        <x:v>根气只修正该保护功能是否容易重复调用，不等于现实中已经形成稳定保护。</x:v>
      </x:c>
      <x:c r="Q261" s="24" t="str">
        <x:v>旺弱只修正调用强度与承载；强不自动有效，弱也不自动无效。</x:v>
      </x:c>
      <x:c r="R261" s="24" t="str">
        <x:v>喜忌只修正摩擦、平衡与承载，不可直接翻译为好坏、成熟度或解决方案。</x:v>
      </x:c>
      <x:c r="S261" s="24" t="str">
        <x:v>原十神功能有效；真合化成立时按化神功能替换，合化争议时停止定性。</x:v>
      </x:c>
      <x:c r="T261" s="24" t="str">
        <x:v>近位提高直接相关性；远位仅保留背景、阶段或低置信修正。</x:v>
      </x:c>
      <x:c r="U261" s="24" t="str">
        <x:v>94</x:v>
      </x:c>
      <x:c r="V261" s="24" t="str">
        <x:v>靶点匹配+6</x:v>
      </x:c>
      <x:c r="W261" s="24" t="str">
        <x:v>buffer_target</x:v>
      </x:c>
      <x:c r="X261" s="24" t="str">
        <x:v>DY04专门路由至K04。</x:v>
      </x:c>
      <x:c r="Y261" s="24" t="str">
        <x:v>这项调节只针对已经确认的K04问题，不作为万能解决办法。</x:v>
      </x:c>
      <x:c r="Z261" s="24" t="str">
        <x:v>不得仅凭本规则断定问题已经解决、关系必然稳定、用户一定成熟、某十神天然是“药”、喜用神自动等于解决办法，或淡化暴力、强迫与现实伤害；现实行为、反例、安全事实和专业支持优先。</x:v>
      </x:c>
      <x:c r="AA261" s="24" t="str">
        <x:v>高</x:v>
      </x:c>
      <x:c r="AB261" s="24" t="str">
        <x:v>待验证</x:v>
      </x:c>
      <x:c r="AC261" s="24" t="str"/>
      <x:c r="AD261" s="24" t="str">
        <x:v>provisional=true；保护因素的现实有效性必须由可观察行为、反馈和持续结果验证。</x:v>
      </x:c>
      <x:c r="AE261" s="24" t="str">
        <x:v>0.8</x:v>
      </x:c>
    </x:row>
    <x:row r="262" ht="52" customHeight="1">
      <x:c r="A262" s="24" t="str">
        <x:v>M4-BUFFER-261</x:v>
      </x:c>
      <x:c r="B262" s="24" t="str">
        <x:v>DY04 恢复处理顺序｜可用资源</x:v>
      </x:c>
      <x:c r="C262" s="24" t="str">
        <x:v>L5 DY01—DY08病药功能</x:v>
      </x:c>
      <x:c r="D262" s="24" t="str">
        <x:v>BUFFER-病药接口</x:v>
      </x:c>
      <x:c r="E262" s="24" t="str">
        <x:v>通用</x:v>
      </x:c>
      <x:c r="F262" s="24" t="str">
        <x:v>资源</x:v>
      </x:c>
      <x:c r="G262" s="24" t="str">
        <x:v>DY04 恢复处理顺序</x:v>
      </x:c>
      <x:c r="H262" s="24" t="str">
        <x:v>K04；列出可承担该药功能的保护资源。</x:v>
      </x:c>
      <x:c r="I262" s="24" t="str">
        <x:v>存在BF02通关、BF08状态分工、明确回访点中的至少一项独立有效资源。</x:v>
      </x:c>
      <x:c r="J262" s="24" t="str">
        <x:v>资源弱远、受损、功能错配或只是同源重复。</x:v>
      </x:c>
      <x:c r="K262" s="24" t="str">
        <x:v>由共享基础引擎提供；仅修正保护功能的承载、持续调用和压力状态下的稳定性，不直接等同成熟度、道德或现实行为。</x:v>
      </x:c>
      <x:c r="L262" s="24" t="str">
        <x:v>由M1／M2接口提供；夫妻星、心动原型和关系门槛只说明关系议题，不单独证明保护因素已经被调用或有效。</x:v>
      </x:c>
      <x:c r="M262" s="24" t="str">
        <x:v>由M3-BASE及M4各模块提供；日支、日柱近位可提高与亲密关系核心的相关性，但同一source_id不得重复计分。</x:v>
      </x:c>
      <x:c r="N262" s="24" t="str">
        <x:v>保护因素必须明确限制过用、补足缺位、恢复顺序、打开反馈、落实改变或完成修复回流；不能只凭五行相生补写现实效果。</x:v>
      </x:c>
      <x:c r="O262" s="24" t="str">
        <x:v>近位提高进入亲密关系核心的概率；远位只作背景、阶段或条件性修正。</x:v>
      </x:c>
      <x:c r="P262" s="24" t="str">
        <x:v>根气只修正该保护功能是否容易重复调用，不等于现实中已经形成稳定保护。</x:v>
      </x:c>
      <x:c r="Q262" s="24" t="str">
        <x:v>旺弱只修正调用强度与承载；强不自动有效，弱也不自动无效。</x:v>
      </x:c>
      <x:c r="R262" s="24" t="str">
        <x:v>喜忌只修正摩擦、平衡与承载，不可直接翻译为好坏、成熟度或解决方案。</x:v>
      </x:c>
      <x:c r="S262" s="24" t="str">
        <x:v>原十神功能有效；真合化成立时按化神功能替换，合化争议时停止定性。</x:v>
      </x:c>
      <x:c r="T262" s="24" t="str">
        <x:v>近位提高直接相关性；远位仅保留背景、阶段或低置信修正。</x:v>
      </x:c>
      <x:c r="U262" s="24" t="str">
        <x:v>90</x:v>
      </x:c>
      <x:c r="V262" s="24" t="str">
        <x:v>独立资源+6</x:v>
      </x:c>
      <x:c r="W262" s="24" t="str">
        <x:v>buffer_factor</x:v>
      </x:c>
      <x:c r="X262" s="24" t="str">
        <x:v>可用资源包括：BF02通关、BF08状态分工、明确回访点。</x:v>
      </x:c>
      <x:c r="Y262" s="24" t="str">
        <x:v>可能帮助你的资源包括：BF02通关、BF08状态分工、明确回访点，但要继续看现实中是否会调用。</x:v>
      </x:c>
      <x:c r="Z262" s="24" t="str">
        <x:v>不得仅凭本规则断定问题已经解决、关系必然稳定、用户一定成熟、某十神天然是“药”、喜用神自动等于解决办法，或淡化暴力、强迫与现实伤害；现实行为、反例、安全事实和专业支持优先。</x:v>
      </x:c>
      <x:c r="AA262" s="24" t="str">
        <x:v>中高</x:v>
      </x:c>
      <x:c r="AB262" s="24" t="str">
        <x:v>待验证</x:v>
      </x:c>
      <x:c r="AC262" s="24" t="str"/>
      <x:c r="AD262" s="24" t="str">
        <x:v>provisional=true；保护因素的现实有效性必须由可观察行为、反馈和持续结果验证。</x:v>
      </x:c>
      <x:c r="AE262" s="24" t="str">
        <x:v>0.8</x:v>
      </x:c>
    </x:row>
    <x:row r="263" ht="52" customHeight="1">
      <x:c r="A263" s="24" t="str">
        <x:v>M4-BUFFER-262</x:v>
      </x:c>
      <x:c r="B263" s="24" t="str">
        <x:v>DY04 恢复处理顺序｜现实有效标志</x:v>
      </x:c>
      <x:c r="C263" s="24" t="str">
        <x:v>L5 DY01—DY08病药功能</x:v>
      </x:c>
      <x:c r="D263" s="24" t="str">
        <x:v>BUFFER-病药接口</x:v>
      </x:c>
      <x:c r="E263" s="24" t="str">
        <x:v>通用</x:v>
      </x:c>
      <x:c r="F263" s="24" t="str">
        <x:v>效果</x:v>
      </x:c>
      <x:c r="G263" s="24" t="str">
        <x:v>DY04 恢复处理顺序</x:v>
      </x:c>
      <x:c r="H263" s="24" t="str">
        <x:v>K04；判断药功能是否真正改变风险链。</x:v>
      </x:c>
      <x:c r="I263" s="24" t="str">
        <x:v>第一步完成后，第二项必要任务能够按时回流。</x:v>
      </x:c>
      <x:c r="J263" s="24" t="str">
        <x:v>只调整表面顺序，却没有完成后续必要节点。</x:v>
      </x:c>
      <x:c r="K263" s="24" t="str">
        <x:v>由共享基础引擎提供；仅修正保护功能的承载、持续调用和压力状态下的稳定性，不直接等同成熟度、道德或现实行为。</x:v>
      </x:c>
      <x:c r="L263" s="24" t="str">
        <x:v>由M1／M2接口提供；夫妻星、心动原型和关系门槛只说明关系议题，不单独证明保护因素已经被调用或有效。</x:v>
      </x:c>
      <x:c r="M263" s="24" t="str">
        <x:v>由M3-BASE及M4各模块提供；日支、日柱近位可提高与亲密关系核心的相关性，但同一source_id不得重复计分。</x:v>
      </x:c>
      <x:c r="N263" s="24" t="str">
        <x:v>保护因素必须明确限制过用、补足缺位、恢复顺序、打开反馈、落实改变或完成修复回流；不能只凭五行相生补写现实效果。</x:v>
      </x:c>
      <x:c r="O263" s="24" t="str">
        <x:v>近位提高进入亲密关系核心的概率；远位只作背景、阶段或条件性修正。</x:v>
      </x:c>
      <x:c r="P263" s="24" t="str">
        <x:v>根气只修正该保护功能是否容易重复调用，不等于现实中已经形成稳定保护。</x:v>
      </x:c>
      <x:c r="Q263" s="24" t="str">
        <x:v>旺弱只修正调用强度与承载；强不自动有效，弱也不自动无效。</x:v>
      </x:c>
      <x:c r="R263" s="24" t="str">
        <x:v>喜忌只修正摩擦、平衡与承载，不可直接翻译为好坏、成熟度或解决方案。</x:v>
      </x:c>
      <x:c r="S263" s="24" t="str">
        <x:v>原十神功能有效；真合化成立时按化神功能替换，合化争议时停止定性。</x:v>
      </x:c>
      <x:c r="T263" s="24" t="str">
        <x:v>近位提高直接相关性；远位仅保留背景、阶段或低置信修正。</x:v>
      </x:c>
      <x:c r="U263" s="24" t="str">
        <x:v>92</x:v>
      </x:c>
      <x:c r="V263" s="24" t="str">
        <x:v>效果+12</x:v>
      </x:c>
      <x:c r="W263" s="24" t="str">
        <x:v>buffer_level</x:v>
      </x:c>
      <x:c r="X263" s="24" t="str">
        <x:v>现实有效标志：第一步完成后，第二项必要任务能够按时回流。</x:v>
      </x:c>
      <x:c r="Y263" s="24" t="str">
        <x:v>真正有效时会看到：第一步完成后，第二项必要任务能够按时回流。</x:v>
      </x:c>
      <x:c r="Z263" s="24" t="str">
        <x:v>不得仅凭本规则断定问题已经解决、关系必然稳定、用户一定成熟、某十神天然是“药”、喜用神自动等于解决办法，或淡化暴力、强迫与现实伤害；现实行为、反例、安全事实和专业支持优先。</x:v>
      </x:c>
      <x:c r="AA263" s="24" t="str">
        <x:v>中高</x:v>
      </x:c>
      <x:c r="AB263" s="24" t="str">
        <x:v>待验证</x:v>
      </x:c>
      <x:c r="AC263" s="24" t="str"/>
      <x:c r="AD263" s="24" t="str">
        <x:v>provisional=true；保护因素的现实有效性必须由可观察行为、反馈和持续结果验证。</x:v>
      </x:c>
      <x:c r="AE263" s="24" t="str">
        <x:v>0.8</x:v>
      </x:c>
    </x:row>
    <x:row r="264" ht="52" customHeight="1">
      <x:c r="A264" s="24" t="str">
        <x:v>M4-BUFFER-263</x:v>
      </x:c>
      <x:c r="B264" s="24" t="str">
        <x:v>DY04 恢复处理顺序｜无效／过量边界</x:v>
      </x:c>
      <x:c r="C264" s="24" t="str">
        <x:v>L5 DY01—DY08病药功能</x:v>
      </x:c>
      <x:c r="D264" s="24" t="str">
        <x:v>BUFFER-病药接口</x:v>
      </x:c>
      <x:c r="E264" s="24" t="str">
        <x:v>通用</x:v>
      </x:c>
      <x:c r="F264" s="24" t="str">
        <x:v>降级</x:v>
      </x:c>
      <x:c r="G264" s="24" t="str">
        <x:v>DY04 恢复处理顺序</x:v>
      </x:c>
      <x:c r="H264" s="24" t="str">
        <x:v>K04；防止药功能变成新的失衡。</x:v>
      </x:c>
      <x:c r="I264" s="24" t="str">
        <x:v>只调整表面顺序，却没有完成后续必要节点。</x:v>
      </x:c>
      <x:c r="J264" s="24" t="str">
        <x:v>第一步完成后，第二项必要任务能够按时回流。</x:v>
      </x:c>
      <x:c r="K264" s="24" t="str">
        <x:v>由共享基础引擎提供；仅修正保护功能的承载、持续调用和压力状态下的稳定性，不直接等同成熟度、道德或现实行为。</x:v>
      </x:c>
      <x:c r="L264" s="24" t="str">
        <x:v>由M1／M2接口提供；夫妻星、心动原型和关系门槛只说明关系议题，不单独证明保护因素已经被调用或有效。</x:v>
      </x:c>
      <x:c r="M264" s="24" t="str">
        <x:v>由M3-BASE及M4各模块提供；日支、日柱近位可提高与亲密关系核心的相关性，但同一source_id不得重复计分。</x:v>
      </x:c>
      <x:c r="N264" s="24" t="str">
        <x:v>保护因素必须明确限制过用、补足缺位、恢复顺序、打开反馈、落实改变或完成修复回流；不能只凭五行相生补写现实效果。</x:v>
      </x:c>
      <x:c r="O264" s="24" t="str">
        <x:v>近位提高进入亲密关系核心的概率；远位只作背景、阶段或条件性修正。</x:v>
      </x:c>
      <x:c r="P264" s="24" t="str">
        <x:v>根气只修正该保护功能是否容易重复调用，不等于现实中已经形成稳定保护。</x:v>
      </x:c>
      <x:c r="Q264" s="24" t="str">
        <x:v>旺弱只修正调用强度与承载；强不自动有效，弱也不自动无效。</x:v>
      </x:c>
      <x:c r="R264" s="24" t="str">
        <x:v>喜忌只修正摩擦、平衡与承载，不可直接翻译为好坏、成熟度或解决方案。</x:v>
      </x:c>
      <x:c r="S264" s="24" t="str">
        <x:v>原十神功能有效；真合化成立时按化神功能替换，合化争议时停止定性。</x:v>
      </x:c>
      <x:c r="T264" s="24" t="str">
        <x:v>近位提高直接相关性；远位仅保留背景、阶段或低置信修正。</x:v>
      </x:c>
      <x:c r="U264" s="24" t="str">
        <x:v>97</x:v>
      </x:c>
      <x:c r="V264" s="24" t="str">
        <x:v>无效-10</x:v>
      </x:c>
      <x:c r="W264" s="24" t="str">
        <x:v>pseudo_buffer</x:v>
      </x:c>
      <x:c r="X264" s="24" t="str">
        <x:v>失效或过量表现：只调整表面顺序，却没有完成后续必要节点。</x:v>
      </x:c>
      <x:c r="Y264" s="24" t="str">
        <x:v>若只是“只调整表面顺序，却没有完成后续必要节点。”，就不能把它视为有效调节。</x:v>
      </x:c>
      <x:c r="Z264" s="24" t="str">
        <x:v>不得仅凭本规则断定问题已经解决、关系必然稳定、用户一定成熟、某十神天然是“药”、喜用神自动等于解决办法，或淡化暴力、强迫与现实伤害；现实行为、反例、安全事实和专业支持优先。</x:v>
      </x:c>
      <x:c r="AA264" s="24" t="str">
        <x:v>高</x:v>
      </x:c>
      <x:c r="AB264" s="24" t="str">
        <x:v>待验证</x:v>
      </x:c>
      <x:c r="AC264" s="24" t="str"/>
      <x:c r="AD264" s="24" t="str">
        <x:v>provisional=true；保护因素的现实有效性必须由可观察行为、反馈和持续结果验证。</x:v>
      </x:c>
      <x:c r="AE264" s="24" t="str">
        <x:v>0.8</x:v>
      </x:c>
    </x:row>
    <x:row r="265" ht="52" customHeight="1">
      <x:c r="A265" s="24" t="str">
        <x:v>M4-BUFFER-264</x:v>
      </x:c>
      <x:c r="B265" s="24" t="str">
        <x:v>DY04 恢复处理顺序｜用户输出</x:v>
      </x:c>
      <x:c r="C265" s="24" t="str">
        <x:v>L5 DY01—DY08病药功能</x:v>
      </x:c>
      <x:c r="D265" s="24" t="str">
        <x:v>BUFFER-病药接口</x:v>
      </x:c>
      <x:c r="E265" s="24" t="str">
        <x:v>通用</x:v>
      </x:c>
      <x:c r="F265" s="24" t="str">
        <x:v>语言</x:v>
      </x:c>
      <x:c r="G265" s="24" t="str">
        <x:v>DY04 恢复处理顺序</x:v>
      </x:c>
      <x:c r="H265" s="24" t="str">
        <x:v>K04；生成病药功能语言。</x:v>
      </x:c>
      <x:c r="I265" s="24" t="str">
        <x:v>K04成立且存在匹配资源。</x:v>
      </x:c>
      <x:c r="J265" s="24" t="str">
        <x:v>只调整表面顺序，却没有完成后续必要节点。</x:v>
      </x:c>
      <x:c r="K265" s="24" t="str">
        <x:v>由共享基础引擎提供；仅修正保护功能的承载、持续调用和压力状态下的稳定性，不直接等同成熟度、道德或现实行为。</x:v>
      </x:c>
      <x:c r="L265" s="24" t="str">
        <x:v>由M1／M2接口提供；夫妻星、心动原型和关系门槛只说明关系议题，不单独证明保护因素已经被调用或有效。</x:v>
      </x:c>
      <x:c r="M265" s="24" t="str">
        <x:v>由M3-BASE及M4各模块提供；日支、日柱近位可提高与亲密关系核心的相关性，但同一source_id不得重复计分。</x:v>
      </x:c>
      <x:c r="N265" s="24" t="str">
        <x:v>保护因素必须明确限制过用、补足缺位、恢复顺序、打开反馈、落实改变或完成修复回流；不能只凭五行相生补写现实效果。</x:v>
      </x:c>
      <x:c r="O265" s="24" t="str">
        <x:v>近位提高进入亲密关系核心的概率；远位只作背景、阶段或条件性修正。</x:v>
      </x:c>
      <x:c r="P265" s="24" t="str">
        <x:v>根气只修正该保护功能是否容易重复调用，不等于现实中已经形成稳定保护。</x:v>
      </x:c>
      <x:c r="Q265" s="24" t="str">
        <x:v>旺弱只修正调用强度与承载；强不自动有效，弱也不自动无效。</x:v>
      </x:c>
      <x:c r="R265" s="24" t="str">
        <x:v>喜忌只修正摩擦、平衡与承载，不可直接翻译为好坏、成熟度或解决方案。</x:v>
      </x:c>
      <x:c r="S265" s="24" t="str">
        <x:v>原十神功能有效；真合化成立时按化神功能替换，合化争议时停止定性。</x:v>
      </x:c>
      <x:c r="T265" s="24" t="str">
        <x:v>近位提高直接相关性；远位仅保留背景、阶段或低置信修正。</x:v>
      </x:c>
      <x:c r="U265" s="24" t="str">
        <x:v>84</x:v>
      </x:c>
      <x:c r="V265" s="24" t="str">
        <x:v>不加分；输出</x:v>
      </x:c>
      <x:c r="W265" s="24" t="str">
        <x:v>report_text</x:v>
      </x:c>
      <x:c r="X265" s="24" t="str">
        <x:v>病是K04所描述的功能失衡；药是能够让两项已有功能在更合适的先后与阶段进入的具体功能。</x:v>
      </x:c>
      <x:c r="Y265" s="24" t="str">
        <x:v>你需要补上的不是一个抽象标签，而是：让两项已有功能在更合适的先后与阶段进入。</x:v>
      </x:c>
      <x:c r="Z265" s="24" t="str">
        <x:v>不得仅凭本规则断定问题已经解决、关系必然稳定、用户一定成熟、某十神天然是“药”、喜用神自动等于解决办法，或淡化暴力、强迫与现实伤害；现实行为、反例、安全事实和专业支持优先。</x:v>
      </x:c>
      <x:c r="AA265" s="24" t="str">
        <x:v>中高</x:v>
      </x:c>
      <x:c r="AB265" s="24" t="str">
        <x:v>待验证</x:v>
      </x:c>
      <x:c r="AC265" s="24" t="str"/>
      <x:c r="AD265" s="24" t="str">
        <x:v>provisional=true；保护因素的现实有效性必须由可观察行为、反馈和持续结果验证。</x:v>
      </x:c>
      <x:c r="AE265" s="24" t="str">
        <x:v>0.8</x:v>
      </x:c>
    </x:row>
    <x:row r="266" ht="52" customHeight="1">
      <x:c r="A266" s="24" t="str">
        <x:v>M4-BUFFER-265</x:v>
      </x:c>
      <x:c r="B266" s="24" t="str">
        <x:v>DY05 调停双通道竞争｜功能定义</x:v>
      </x:c>
      <x:c r="C266" s="24" t="str">
        <x:v>L5 DY01—DY08病药功能</x:v>
      </x:c>
      <x:c r="D266" s="24" t="str">
        <x:v>BUFFER-病药接口</x:v>
      </x:c>
      <x:c r="E266" s="24" t="str">
        <x:v>通用</x:v>
      </x:c>
      <x:c r="F266" s="24" t="str">
        <x:v>定义</x:v>
      </x:c>
      <x:c r="G266" s="24" t="str">
        <x:v>DY05 调停双通道竞争</x:v>
      </x:c>
      <x:c r="H266" s="24" t="str">
        <x:v>K05；定义病药接口中的功能任务。</x:v>
      </x:c>
      <x:c r="I266" s="24" t="str">
        <x:v>已经确认K05机制或相应修复断点。</x:v>
      </x:c>
      <x:c r="J266" s="24" t="str">
        <x:v>没有具体失衡靶点。</x:v>
      </x:c>
      <x:c r="K266" s="24" t="str">
        <x:v>由共享基础引擎提供；仅修正保护功能的承载、持续调用和压力状态下的稳定性，不直接等同成熟度、道德或现实行为。</x:v>
      </x:c>
      <x:c r="L266" s="24" t="str">
        <x:v>由M1／M2接口提供；夫妻星、心动原型和关系门槛只说明关系议题，不单独证明保护因素已经被调用或有效。</x:v>
      </x:c>
      <x:c r="M266" s="24" t="str">
        <x:v>由M3-BASE及M4各模块提供；日支、日柱近位可提高与亲密关系核心的相关性，但同一source_id不得重复计分。</x:v>
      </x:c>
      <x:c r="N266" s="24" t="str">
        <x:v>保护因素必须明确限制过用、补足缺位、恢复顺序、打开反馈、落实改变或完成修复回流；不能只凭五行相生补写现实效果。</x:v>
      </x:c>
      <x:c r="O266" s="24" t="str">
        <x:v>近位提高进入亲密关系核心的概率；远位只作背景、阶段或条件性修正。</x:v>
      </x:c>
      <x:c r="P266" s="24" t="str">
        <x:v>根气只修正该保护功能是否容易重复调用，不等于现实中已经形成稳定保护。</x:v>
      </x:c>
      <x:c r="Q266" s="24" t="str">
        <x:v>旺弱只修正调用强度与承载；强不自动有效，弱也不自动无效。</x:v>
      </x:c>
      <x:c r="R266" s="24" t="str">
        <x:v>喜忌只修正摩擦、平衡与承载，不可直接翻译为好坏、成熟度或解决方案。</x:v>
      </x:c>
      <x:c r="S266" s="24" t="str">
        <x:v>原十神功能有效；真合化成立时按化神功能替换，合化争议时停止定性。</x:v>
      </x:c>
      <x:c r="T266" s="24" t="str">
        <x:v>近位提高直接相关性；远位仅保留背景、阶段或低置信修正。</x:v>
      </x:c>
      <x:c r="U266" s="24" t="str">
        <x:v>95</x:v>
      </x:c>
      <x:c r="V266" s="24" t="str">
        <x:v>功能定义</x:v>
      </x:c>
      <x:c r="W266" s="24" t="str">
        <x:v>medicine_function</x:v>
      </x:c>
      <x:c r="X266" s="24" t="str">
        <x:v>调停双通道竞争的目标是：为两项合理功能建立分工、优先级和共同决策。</x:v>
      </x:c>
      <x:c r="Y266" s="24" t="str">
        <x:v>这里需要的不是增加某个五行，而是完成“为两项合理功能建立分工、优先级和共同决策”这项具体功能。</x:v>
      </x:c>
      <x:c r="Z266" s="24" t="str">
        <x:v>不得仅凭本规则断定问题已经解决、关系必然稳定、用户一定成熟、某十神天然是“药”、喜用神自动等于解决办法，或淡化暴力、强迫与现实伤害；现实行为、反例、安全事实和专业支持优先。</x:v>
      </x:c>
      <x:c r="AA266" s="24" t="str">
        <x:v>高</x:v>
      </x:c>
      <x:c r="AB266" s="24" t="str">
        <x:v>待验证</x:v>
      </x:c>
      <x:c r="AC266" s="24" t="str"/>
      <x:c r="AD266" s="24" t="str">
        <x:v>provisional=true；保护因素的现实有效性必须由可观察行为、反馈和持续结果验证。</x:v>
      </x:c>
      <x:c r="AE266" s="24" t="str">
        <x:v>0.8</x:v>
      </x:c>
    </x:row>
    <x:row r="267" ht="52" customHeight="1">
      <x:c r="A267" s="24" t="str">
        <x:v>M4-BUFFER-266</x:v>
      </x:c>
      <x:c r="B267" s="24" t="str">
        <x:v>DY05 调停双通道竞争｜诊断靶点</x:v>
      </x:c>
      <x:c r="C267" s="24" t="str">
        <x:v>L5 DY01—DY08病药功能</x:v>
      </x:c>
      <x:c r="D267" s="24" t="str">
        <x:v>BUFFER-病药接口</x:v>
      </x:c>
      <x:c r="E267" s="24" t="str">
        <x:v>通用</x:v>
      </x:c>
      <x:c r="F267" s="24" t="str">
        <x:v>路由</x:v>
      </x:c>
      <x:c r="G267" s="24" t="str">
        <x:v>DY05 调停双通道竞争</x:v>
      </x:c>
      <x:c r="H267" s="24" t="str">
        <x:v>K05；将药功能对应到明确K机制。</x:v>
      </x:c>
      <x:c r="I267" s="24" t="str">
        <x:v>K05已经达到E1或以上，且同源去重完成。</x:v>
      </x:c>
      <x:c r="J267" s="24" t="str">
        <x:v>只有十神旺弱标签，未说明关系任务。</x:v>
      </x:c>
      <x:c r="K267" s="24" t="str">
        <x:v>由共享基础引擎提供；仅修正保护功能的承载、持续调用和压力状态下的稳定性，不直接等同成熟度、道德或现实行为。</x:v>
      </x:c>
      <x:c r="L267" s="24" t="str">
        <x:v>由M1／M2接口提供；夫妻星、心动原型和关系门槛只说明关系议题，不单独证明保护因素已经被调用或有效。</x:v>
      </x:c>
      <x:c r="M267" s="24" t="str">
        <x:v>由M3-BASE及M4各模块提供；日支、日柱近位可提高与亲密关系核心的相关性，但同一source_id不得重复计分。</x:v>
      </x:c>
      <x:c r="N267" s="24" t="str">
        <x:v>保护因素必须明确限制过用、补足缺位、恢复顺序、打开反馈、落实改变或完成修复回流；不能只凭五行相生补写现实效果。</x:v>
      </x:c>
      <x:c r="O267" s="24" t="str">
        <x:v>近位提高进入亲密关系核心的概率；远位只作背景、阶段或条件性修正。</x:v>
      </x:c>
      <x:c r="P267" s="24" t="str">
        <x:v>根气只修正该保护功能是否容易重复调用，不等于现实中已经形成稳定保护。</x:v>
      </x:c>
      <x:c r="Q267" s="24" t="str">
        <x:v>旺弱只修正调用强度与承载；强不自动有效，弱也不自动无效。</x:v>
      </x:c>
      <x:c r="R267" s="24" t="str">
        <x:v>喜忌只修正摩擦、平衡与承载，不可直接翻译为好坏、成熟度或解决方案。</x:v>
      </x:c>
      <x:c r="S267" s="24" t="str">
        <x:v>原十神功能有效；真合化成立时按化神功能替换，合化争议时停止定性。</x:v>
      </x:c>
      <x:c r="T267" s="24" t="str">
        <x:v>近位提高直接相关性；远位仅保留背景、阶段或低置信修正。</x:v>
      </x:c>
      <x:c r="U267" s="24" t="str">
        <x:v>94</x:v>
      </x:c>
      <x:c r="V267" s="24" t="str">
        <x:v>靶点匹配+6</x:v>
      </x:c>
      <x:c r="W267" s="24" t="str">
        <x:v>buffer_target</x:v>
      </x:c>
      <x:c r="X267" s="24" t="str">
        <x:v>DY05专门路由至K05。</x:v>
      </x:c>
      <x:c r="Y267" s="24" t="str">
        <x:v>这项调节只针对已经确认的K05问题，不作为万能解决办法。</x:v>
      </x:c>
      <x:c r="Z267" s="24" t="str">
        <x:v>不得仅凭本规则断定问题已经解决、关系必然稳定、用户一定成熟、某十神天然是“药”、喜用神自动等于解决办法，或淡化暴力、强迫与现实伤害；现实行为、反例、安全事实和专业支持优先。</x:v>
      </x:c>
      <x:c r="AA267" s="24" t="str">
        <x:v>高</x:v>
      </x:c>
      <x:c r="AB267" s="24" t="str">
        <x:v>待验证</x:v>
      </x:c>
      <x:c r="AC267" s="24" t="str"/>
      <x:c r="AD267" s="24" t="str">
        <x:v>provisional=true；保护因素的现实有效性必须由可观察行为、反馈和持续结果验证。</x:v>
      </x:c>
      <x:c r="AE267" s="24" t="str">
        <x:v>0.8</x:v>
      </x:c>
    </x:row>
    <x:row r="268" ht="52" customHeight="1">
      <x:c r="A268" s="24" t="str">
        <x:v>M4-BUFFER-267</x:v>
      </x:c>
      <x:c r="B268" s="24" t="str">
        <x:v>DY05 调停双通道竞争｜可用资源</x:v>
      </x:c>
      <x:c r="C268" s="24" t="str">
        <x:v>L5 DY01—DY08病药功能</x:v>
      </x:c>
      <x:c r="D268" s="24" t="str">
        <x:v>BUFFER-病药接口</x:v>
      </x:c>
      <x:c r="E268" s="24" t="str">
        <x:v>通用</x:v>
      </x:c>
      <x:c r="F268" s="24" t="str">
        <x:v>资源</x:v>
      </x:c>
      <x:c r="G268" s="24" t="str">
        <x:v>DY05 调停双通道竞争</x:v>
      </x:c>
      <x:c r="H268" s="24" t="str">
        <x:v>K05；列出可承担该药功能的保护资源。</x:v>
      </x:c>
      <x:c r="I268" s="24" t="str">
        <x:v>存在BF03独立边界、BF05反馈、最小共同规则中的至少一项独立有效资源。</x:v>
      </x:c>
      <x:c r="J268" s="24" t="str">
        <x:v>资源弱远、受损、功能错配或只是同源重复。</x:v>
      </x:c>
      <x:c r="K268" s="24" t="str">
        <x:v>由共享基础引擎提供；仅修正保护功能的承载、持续调用和压力状态下的稳定性，不直接等同成熟度、道德或现实行为。</x:v>
      </x:c>
      <x:c r="L268" s="24" t="str">
        <x:v>由M1／M2接口提供；夫妻星、心动原型和关系门槛只说明关系议题，不单独证明保护因素已经被调用或有效。</x:v>
      </x:c>
      <x:c r="M268" s="24" t="str">
        <x:v>由M3-BASE及M4各模块提供；日支、日柱近位可提高与亲密关系核心的相关性，但同一source_id不得重复计分。</x:v>
      </x:c>
      <x:c r="N268" s="24" t="str">
        <x:v>保护因素必须明确限制过用、补足缺位、恢复顺序、打开反馈、落实改变或完成修复回流；不能只凭五行相生补写现实效果。</x:v>
      </x:c>
      <x:c r="O268" s="24" t="str">
        <x:v>近位提高进入亲密关系核心的概率；远位只作背景、阶段或条件性修正。</x:v>
      </x:c>
      <x:c r="P268" s="24" t="str">
        <x:v>根气只修正该保护功能是否容易重复调用，不等于现实中已经形成稳定保护。</x:v>
      </x:c>
      <x:c r="Q268" s="24" t="str">
        <x:v>旺弱只修正调用强度与承载；强不自动有效，弱也不自动无效。</x:v>
      </x:c>
      <x:c r="R268" s="24" t="str">
        <x:v>喜忌只修正摩擦、平衡与承载，不可直接翻译为好坏、成熟度或解决方案。</x:v>
      </x:c>
      <x:c r="S268" s="24" t="str">
        <x:v>原十神功能有效；真合化成立时按化神功能替换，合化争议时停止定性。</x:v>
      </x:c>
      <x:c r="T268" s="24" t="str">
        <x:v>近位提高直接相关性；远位仅保留背景、阶段或低置信修正。</x:v>
      </x:c>
      <x:c r="U268" s="24" t="str">
        <x:v>90</x:v>
      </x:c>
      <x:c r="V268" s="24" t="str">
        <x:v>独立资源+6</x:v>
      </x:c>
      <x:c r="W268" s="24" t="str">
        <x:v>buffer_factor</x:v>
      </x:c>
      <x:c r="X268" s="24" t="str">
        <x:v>可用资源包括：BF03独立边界、BF05反馈、最小共同规则。</x:v>
      </x:c>
      <x:c r="Y268" s="24" t="str">
        <x:v>可能帮助你的资源包括：BF03独立边界、BF05反馈、最小共同规则，但要继续看现实中是否会调用。</x:v>
      </x:c>
      <x:c r="Z268" s="24" t="str">
        <x:v>不得仅凭本规则断定问题已经解决、关系必然稳定、用户一定成熟、某十神天然是“药”、喜用神自动等于解决办法，或淡化暴力、强迫与现实伤害；现实行为、反例、安全事实和专业支持优先。</x:v>
      </x:c>
      <x:c r="AA268" s="24" t="str">
        <x:v>中高</x:v>
      </x:c>
      <x:c r="AB268" s="24" t="str">
        <x:v>待验证</x:v>
      </x:c>
      <x:c r="AC268" s="24" t="str"/>
      <x:c r="AD268" s="24" t="str">
        <x:v>provisional=true；保护因素的现实有效性必须由可观察行为、反馈和持续结果验证。</x:v>
      </x:c>
      <x:c r="AE268" s="24" t="str">
        <x:v>0.8</x:v>
      </x:c>
    </x:row>
    <x:row r="269" ht="52" customHeight="1">
      <x:c r="A269" s="24" t="str">
        <x:v>M4-BUFFER-268</x:v>
      </x:c>
      <x:c r="B269" s="24" t="str">
        <x:v>DY05 调停双通道竞争｜现实有效标志</x:v>
      </x:c>
      <x:c r="C269" s="24" t="str">
        <x:v>L5 DY01—DY08病药功能</x:v>
      </x:c>
      <x:c r="D269" s="24" t="str">
        <x:v>BUFFER-病药接口</x:v>
      </x:c>
      <x:c r="E269" s="24" t="str">
        <x:v>通用</x:v>
      </x:c>
      <x:c r="F269" s="24" t="str">
        <x:v>效果</x:v>
      </x:c>
      <x:c r="G269" s="24" t="str">
        <x:v>DY05 调停双通道竞争</x:v>
      </x:c>
      <x:c r="H269" s="24" t="str">
        <x:v>K05；判断药功能是否真正改变风险链。</x:v>
      </x:c>
      <x:c r="I269" s="24" t="str">
        <x:v>两项功能不再抢占同一位置，而是各自负责不同任务或阶段。</x:v>
      </x:c>
      <x:c r="J269" s="24" t="str">
        <x:v>机械折中、平均分配，或由一方长期压制另一方。</x:v>
      </x:c>
      <x:c r="K269" s="24" t="str">
        <x:v>由共享基础引擎提供；仅修正保护功能的承载、持续调用和压力状态下的稳定性，不直接等同成熟度、道德或现实行为。</x:v>
      </x:c>
      <x:c r="L269" s="24" t="str">
        <x:v>由M1／M2接口提供；夫妻星、心动原型和关系门槛只说明关系议题，不单独证明保护因素已经被调用或有效。</x:v>
      </x:c>
      <x:c r="M269" s="24" t="str">
        <x:v>由M3-BASE及M4各模块提供；日支、日柱近位可提高与亲密关系核心的相关性，但同一source_id不得重复计分。</x:v>
      </x:c>
      <x:c r="N269" s="24" t="str">
        <x:v>保护因素必须明确限制过用、补足缺位、恢复顺序、打开反馈、落实改变或完成修复回流；不能只凭五行相生补写现实效果。</x:v>
      </x:c>
      <x:c r="O269" s="24" t="str">
        <x:v>近位提高进入亲密关系核心的概率；远位只作背景、阶段或条件性修正。</x:v>
      </x:c>
      <x:c r="P269" s="24" t="str">
        <x:v>根气只修正该保护功能是否容易重复调用，不等于现实中已经形成稳定保护。</x:v>
      </x:c>
      <x:c r="Q269" s="24" t="str">
        <x:v>旺弱只修正调用强度与承载；强不自动有效，弱也不自动无效。</x:v>
      </x:c>
      <x:c r="R269" s="24" t="str">
        <x:v>喜忌只修正摩擦、平衡与承载，不可直接翻译为好坏、成熟度或解决方案。</x:v>
      </x:c>
      <x:c r="S269" s="24" t="str">
        <x:v>原十神功能有效；真合化成立时按化神功能替换，合化争议时停止定性。</x:v>
      </x:c>
      <x:c r="T269" s="24" t="str">
        <x:v>近位提高直接相关性；远位仅保留背景、阶段或低置信修正。</x:v>
      </x:c>
      <x:c r="U269" s="24" t="str">
        <x:v>92</x:v>
      </x:c>
      <x:c r="V269" s="24" t="str">
        <x:v>效果+12</x:v>
      </x:c>
      <x:c r="W269" s="24" t="str">
        <x:v>buffer_level</x:v>
      </x:c>
      <x:c r="X269" s="24" t="str">
        <x:v>现实有效标志：两项功能不再抢占同一位置，而是各自负责不同任务或阶段。</x:v>
      </x:c>
      <x:c r="Y269" s="24" t="str">
        <x:v>真正有效时会看到：两项功能不再抢占同一位置，而是各自负责不同任务或阶段。</x:v>
      </x:c>
      <x:c r="Z269" s="24" t="str">
        <x:v>不得仅凭本规则断定问题已经解决、关系必然稳定、用户一定成熟、某十神天然是“药”、喜用神自动等于解决办法，或淡化暴力、强迫与现实伤害；现实行为、反例、安全事实和专业支持优先。</x:v>
      </x:c>
      <x:c r="AA269" s="24" t="str">
        <x:v>中高</x:v>
      </x:c>
      <x:c r="AB269" s="24" t="str">
        <x:v>待验证</x:v>
      </x:c>
      <x:c r="AC269" s="24" t="str"/>
      <x:c r="AD269" s="24" t="str">
        <x:v>provisional=true；保护因素的现实有效性必须由可观察行为、反馈和持续结果验证。</x:v>
      </x:c>
      <x:c r="AE269" s="24" t="str">
        <x:v>0.8</x:v>
      </x:c>
    </x:row>
    <x:row r="270" ht="52" customHeight="1">
      <x:c r="A270" s="24" t="str">
        <x:v>M4-BUFFER-269</x:v>
      </x:c>
      <x:c r="B270" s="24" t="str">
        <x:v>DY05 调停双通道竞争｜无效／过量边界</x:v>
      </x:c>
      <x:c r="C270" s="24" t="str">
        <x:v>L5 DY01—DY08病药功能</x:v>
      </x:c>
      <x:c r="D270" s="24" t="str">
        <x:v>BUFFER-病药接口</x:v>
      </x:c>
      <x:c r="E270" s="24" t="str">
        <x:v>通用</x:v>
      </x:c>
      <x:c r="F270" s="24" t="str">
        <x:v>降级</x:v>
      </x:c>
      <x:c r="G270" s="24" t="str">
        <x:v>DY05 调停双通道竞争</x:v>
      </x:c>
      <x:c r="H270" s="24" t="str">
        <x:v>K05；防止药功能变成新的失衡。</x:v>
      </x:c>
      <x:c r="I270" s="24" t="str">
        <x:v>机械折中、平均分配，或由一方长期压制另一方。</x:v>
      </x:c>
      <x:c r="J270" s="24" t="str">
        <x:v>两项功能不再抢占同一位置，而是各自负责不同任务或阶段。</x:v>
      </x:c>
      <x:c r="K270" s="24" t="str">
        <x:v>由共享基础引擎提供；仅修正保护功能的承载、持续调用和压力状态下的稳定性，不直接等同成熟度、道德或现实行为。</x:v>
      </x:c>
      <x:c r="L270" s="24" t="str">
        <x:v>由M1／M2接口提供；夫妻星、心动原型和关系门槛只说明关系议题，不单独证明保护因素已经被调用或有效。</x:v>
      </x:c>
      <x:c r="M270" s="24" t="str">
        <x:v>由M3-BASE及M4各模块提供；日支、日柱近位可提高与亲密关系核心的相关性，但同一source_id不得重复计分。</x:v>
      </x:c>
      <x:c r="N270" s="24" t="str">
        <x:v>保护因素必须明确限制过用、补足缺位、恢复顺序、打开反馈、落实改变或完成修复回流；不能只凭五行相生补写现实效果。</x:v>
      </x:c>
      <x:c r="O270" s="24" t="str">
        <x:v>近位提高进入亲密关系核心的概率；远位只作背景、阶段或条件性修正。</x:v>
      </x:c>
      <x:c r="P270" s="24" t="str">
        <x:v>根气只修正该保护功能是否容易重复调用，不等于现实中已经形成稳定保护。</x:v>
      </x:c>
      <x:c r="Q270" s="24" t="str">
        <x:v>旺弱只修正调用强度与承载；强不自动有效，弱也不自动无效。</x:v>
      </x:c>
      <x:c r="R270" s="24" t="str">
        <x:v>喜忌只修正摩擦、平衡与承载，不可直接翻译为好坏、成熟度或解决方案。</x:v>
      </x:c>
      <x:c r="S270" s="24" t="str">
        <x:v>原十神功能有效；真合化成立时按化神功能替换，合化争议时停止定性。</x:v>
      </x:c>
      <x:c r="T270" s="24" t="str">
        <x:v>近位提高直接相关性；远位仅保留背景、阶段或低置信修正。</x:v>
      </x:c>
      <x:c r="U270" s="24" t="str">
        <x:v>97</x:v>
      </x:c>
      <x:c r="V270" s="24" t="str">
        <x:v>无效-10</x:v>
      </x:c>
      <x:c r="W270" s="24" t="str">
        <x:v>pseudo_buffer</x:v>
      </x:c>
      <x:c r="X270" s="24" t="str">
        <x:v>失效或过量表现：机械折中、平均分配，或由一方长期压制另一方。</x:v>
      </x:c>
      <x:c r="Y270" s="24" t="str">
        <x:v>若只是“机械折中、平均分配，或由一方长期压制另一方。”，就不能把它视为有效调节。</x:v>
      </x:c>
      <x:c r="Z270" s="24" t="str">
        <x:v>不得仅凭本规则断定问题已经解决、关系必然稳定、用户一定成熟、某十神天然是“药”、喜用神自动等于解决办法，或淡化暴力、强迫与现实伤害；现实行为、反例、安全事实和专业支持优先。</x:v>
      </x:c>
      <x:c r="AA270" s="24" t="str">
        <x:v>高</x:v>
      </x:c>
      <x:c r="AB270" s="24" t="str">
        <x:v>待验证</x:v>
      </x:c>
      <x:c r="AC270" s="24" t="str"/>
      <x:c r="AD270" s="24" t="str">
        <x:v>provisional=true；保护因素的现实有效性必须由可观察行为、反馈和持续结果验证。</x:v>
      </x:c>
      <x:c r="AE270" s="24" t="str">
        <x:v>0.8</x:v>
      </x:c>
    </x:row>
    <x:row r="271" ht="52" customHeight="1">
      <x:c r="A271" s="24" t="str">
        <x:v>M4-BUFFER-270</x:v>
      </x:c>
      <x:c r="B271" s="24" t="str">
        <x:v>DY05 调停双通道竞争｜用户输出</x:v>
      </x:c>
      <x:c r="C271" s="24" t="str">
        <x:v>L5 DY01—DY08病药功能</x:v>
      </x:c>
      <x:c r="D271" s="24" t="str">
        <x:v>BUFFER-病药接口</x:v>
      </x:c>
      <x:c r="E271" s="24" t="str">
        <x:v>通用</x:v>
      </x:c>
      <x:c r="F271" s="24" t="str">
        <x:v>语言</x:v>
      </x:c>
      <x:c r="G271" s="24" t="str">
        <x:v>DY05 调停双通道竞争</x:v>
      </x:c>
      <x:c r="H271" s="24" t="str">
        <x:v>K05；生成病药功能语言。</x:v>
      </x:c>
      <x:c r="I271" s="24" t="str">
        <x:v>K05成立且存在匹配资源。</x:v>
      </x:c>
      <x:c r="J271" s="24" t="str">
        <x:v>机械折中、平均分配，或由一方长期压制另一方。</x:v>
      </x:c>
      <x:c r="K271" s="24" t="str">
        <x:v>由共享基础引擎提供；仅修正保护功能的承载、持续调用和压力状态下的稳定性，不直接等同成熟度、道德或现实行为。</x:v>
      </x:c>
      <x:c r="L271" s="24" t="str">
        <x:v>由M1／M2接口提供；夫妻星、心动原型和关系门槛只说明关系议题，不单独证明保护因素已经被调用或有效。</x:v>
      </x:c>
      <x:c r="M271" s="24" t="str">
        <x:v>由M3-BASE及M4各模块提供；日支、日柱近位可提高与亲密关系核心的相关性，但同一source_id不得重复计分。</x:v>
      </x:c>
      <x:c r="N271" s="24" t="str">
        <x:v>保护因素必须明确限制过用、补足缺位、恢复顺序、打开反馈、落实改变或完成修复回流；不能只凭五行相生补写现实效果。</x:v>
      </x:c>
      <x:c r="O271" s="24" t="str">
        <x:v>近位提高进入亲密关系核心的概率；远位只作背景、阶段或条件性修正。</x:v>
      </x:c>
      <x:c r="P271" s="24" t="str">
        <x:v>根气只修正该保护功能是否容易重复调用，不等于现实中已经形成稳定保护。</x:v>
      </x:c>
      <x:c r="Q271" s="24" t="str">
        <x:v>旺弱只修正调用强度与承载；强不自动有效，弱也不自动无效。</x:v>
      </x:c>
      <x:c r="R271" s="24" t="str">
        <x:v>喜忌只修正摩擦、平衡与承载，不可直接翻译为好坏、成熟度或解决方案。</x:v>
      </x:c>
      <x:c r="S271" s="24" t="str">
        <x:v>原十神功能有效；真合化成立时按化神功能替换，合化争议时停止定性。</x:v>
      </x:c>
      <x:c r="T271" s="24" t="str">
        <x:v>近位提高直接相关性；远位仅保留背景、阶段或低置信修正。</x:v>
      </x:c>
      <x:c r="U271" s="24" t="str">
        <x:v>84</x:v>
      </x:c>
      <x:c r="V271" s="24" t="str">
        <x:v>不加分；输出</x:v>
      </x:c>
      <x:c r="W271" s="24" t="str">
        <x:v>report_text</x:v>
      </x:c>
      <x:c r="X271" s="24" t="str">
        <x:v>病是K05所描述的功能失衡；药是能够为两项合理功能建立分工、优先级和共同决策的具体功能。</x:v>
      </x:c>
      <x:c r="Y271" s="24" t="str">
        <x:v>你需要补上的不是一个抽象标签，而是：为两项合理功能建立分工、优先级和共同决策。</x:v>
      </x:c>
      <x:c r="Z271" s="24" t="str">
        <x:v>不得仅凭本规则断定问题已经解决、关系必然稳定、用户一定成熟、某十神天然是“药”、喜用神自动等于解决办法，或淡化暴力、强迫与现实伤害；现实行为、反例、安全事实和专业支持优先。</x:v>
      </x:c>
      <x:c r="AA271" s="24" t="str">
        <x:v>中高</x:v>
      </x:c>
      <x:c r="AB271" s="24" t="str">
        <x:v>待验证</x:v>
      </x:c>
      <x:c r="AC271" s="24" t="str"/>
      <x:c r="AD271" s="24" t="str">
        <x:v>provisional=true；保护因素的现实有效性必须由可观察行为、反馈和持续结果验证。</x:v>
      </x:c>
      <x:c r="AE271" s="24" t="str">
        <x:v>0.8</x:v>
      </x:c>
    </x:row>
    <x:row r="272" ht="52" customHeight="1">
      <x:c r="A272" s="24" t="str">
        <x:v>M4-BUFFER-271</x:v>
      </x:c>
      <x:c r="B272" s="24" t="str">
        <x:v>DY06 打通功能转换｜功能定义</x:v>
      </x:c>
      <x:c r="C272" s="24" t="str">
        <x:v>L5 DY01—DY08病药功能</x:v>
      </x:c>
      <x:c r="D272" s="24" t="str">
        <x:v>BUFFER-病药接口</x:v>
      </x:c>
      <x:c r="E272" s="24" t="str">
        <x:v>通用</x:v>
      </x:c>
      <x:c r="F272" s="24" t="str">
        <x:v>定义</x:v>
      </x:c>
      <x:c r="G272" s="24" t="str">
        <x:v>DY06 打通功能转换</x:v>
      </x:c>
      <x:c r="H272" s="24" t="str">
        <x:v>K06；定义病药接口中的功能任务。</x:v>
      </x:c>
      <x:c r="I272" s="24" t="str">
        <x:v>已经确认K06机制或相应修复断点。</x:v>
      </x:c>
      <x:c r="J272" s="24" t="str">
        <x:v>没有具体失衡靶点。</x:v>
      </x:c>
      <x:c r="K272" s="24" t="str">
        <x:v>由共享基础引擎提供；仅修正保护功能的承载、持续调用和压力状态下的稳定性，不直接等同成熟度、道德或现实行为。</x:v>
      </x:c>
      <x:c r="L272" s="24" t="str">
        <x:v>由M1／M2接口提供；夫妻星、心动原型和关系门槛只说明关系议题，不单独证明保护因素已经被调用或有效。</x:v>
      </x:c>
      <x:c r="M272" s="24" t="str">
        <x:v>由M3-BASE及M4各模块提供；日支、日柱近位可提高与亲密关系核心的相关性，但同一source_id不得重复计分。</x:v>
      </x:c>
      <x:c r="N272" s="24" t="str">
        <x:v>保护因素必须明确限制过用、补足缺位、恢复顺序、打开反馈、落实改变或完成修复回流；不能只凭五行相生补写现实效果。</x:v>
      </x:c>
      <x:c r="O272" s="24" t="str">
        <x:v>近位提高进入亲密关系核心的概率；远位只作背景、阶段或条件性修正。</x:v>
      </x:c>
      <x:c r="P272" s="24" t="str">
        <x:v>根气只修正该保护功能是否容易重复调用，不等于现实中已经形成稳定保护。</x:v>
      </x:c>
      <x:c r="Q272" s="24" t="str">
        <x:v>旺弱只修正调用强度与承载；强不自动有效，弱也不自动无效。</x:v>
      </x:c>
      <x:c r="R272" s="24" t="str">
        <x:v>喜忌只修正摩擦、平衡与承载，不可直接翻译为好坏、成熟度或解决方案。</x:v>
      </x:c>
      <x:c r="S272" s="24" t="str">
        <x:v>原十神功能有效；真合化成立时按化神功能替换，合化争议时停止定性。</x:v>
      </x:c>
      <x:c r="T272" s="24" t="str">
        <x:v>近位提高直接相关性；远位仅保留背景、阶段或低置信修正。</x:v>
      </x:c>
      <x:c r="U272" s="24" t="str">
        <x:v>95</x:v>
      </x:c>
      <x:c r="V272" s="24" t="str">
        <x:v>功能定义</x:v>
      </x:c>
      <x:c r="W272" s="24" t="str">
        <x:v>medicine_function</x:v>
      </x:c>
      <x:c r="X272" s="24" t="str">
        <x:v>打通功能转换的目标是：让已完成的第一步转成下一项必要功能。</x:v>
      </x:c>
      <x:c r="Y272" s="24" t="str">
        <x:v>这里需要的不是增加某个五行，而是完成“让已完成的第一步转成下一项必要功能”这项具体功能。</x:v>
      </x:c>
      <x:c r="Z272" s="24" t="str">
        <x:v>不得仅凭本规则断定问题已经解决、关系必然稳定、用户一定成熟、某十神天然是“药”、喜用神自动等于解决办法，或淡化暴力、强迫与现实伤害；现实行为、反例、安全事实和专业支持优先。</x:v>
      </x:c>
      <x:c r="AA272" s="24" t="str">
        <x:v>高</x:v>
      </x:c>
      <x:c r="AB272" s="24" t="str">
        <x:v>待验证</x:v>
      </x:c>
      <x:c r="AC272" s="24" t="str"/>
      <x:c r="AD272" s="24" t="str">
        <x:v>provisional=true；保护因素的现实有效性必须由可观察行为、反馈和持续结果验证。</x:v>
      </x:c>
      <x:c r="AE272" s="24" t="str">
        <x:v>0.8</x:v>
      </x:c>
    </x:row>
    <x:row r="273" ht="52" customHeight="1">
      <x:c r="A273" s="24" t="str">
        <x:v>M4-BUFFER-272</x:v>
      </x:c>
      <x:c r="B273" s="24" t="str">
        <x:v>DY06 打通功能转换｜诊断靶点</x:v>
      </x:c>
      <x:c r="C273" s="24" t="str">
        <x:v>L5 DY01—DY08病药功能</x:v>
      </x:c>
      <x:c r="D273" s="24" t="str">
        <x:v>BUFFER-病药接口</x:v>
      </x:c>
      <x:c r="E273" s="24" t="str">
        <x:v>通用</x:v>
      </x:c>
      <x:c r="F273" s="24" t="str">
        <x:v>路由</x:v>
      </x:c>
      <x:c r="G273" s="24" t="str">
        <x:v>DY06 打通功能转换</x:v>
      </x:c>
      <x:c r="H273" s="24" t="str">
        <x:v>K06；将药功能对应到明确K机制。</x:v>
      </x:c>
      <x:c r="I273" s="24" t="str">
        <x:v>K06已经达到E1或以上，且同源去重完成。</x:v>
      </x:c>
      <x:c r="J273" s="24" t="str">
        <x:v>只有十神旺弱标签，未说明关系任务。</x:v>
      </x:c>
      <x:c r="K273" s="24" t="str">
        <x:v>由共享基础引擎提供；仅修正保护功能的承载、持续调用和压力状态下的稳定性，不直接等同成熟度、道德或现实行为。</x:v>
      </x:c>
      <x:c r="L273" s="24" t="str">
        <x:v>由M1／M2接口提供；夫妻星、心动原型和关系门槛只说明关系议题，不单独证明保护因素已经被调用或有效。</x:v>
      </x:c>
      <x:c r="M273" s="24" t="str">
        <x:v>由M3-BASE及M4各模块提供；日支、日柱近位可提高与亲密关系核心的相关性，但同一source_id不得重复计分。</x:v>
      </x:c>
      <x:c r="N273" s="24" t="str">
        <x:v>保护因素必须明确限制过用、补足缺位、恢复顺序、打开反馈、落实改变或完成修复回流；不能只凭五行相生补写现实效果。</x:v>
      </x:c>
      <x:c r="O273" s="24" t="str">
        <x:v>近位提高进入亲密关系核心的概率；远位只作背景、阶段或条件性修正。</x:v>
      </x:c>
      <x:c r="P273" s="24" t="str">
        <x:v>根气只修正该保护功能是否容易重复调用，不等于现实中已经形成稳定保护。</x:v>
      </x:c>
      <x:c r="Q273" s="24" t="str">
        <x:v>旺弱只修正调用强度与承载；强不自动有效，弱也不自动无效。</x:v>
      </x:c>
      <x:c r="R273" s="24" t="str">
        <x:v>喜忌只修正摩擦、平衡与承载，不可直接翻译为好坏、成熟度或解决方案。</x:v>
      </x:c>
      <x:c r="S273" s="24" t="str">
        <x:v>原十神功能有效；真合化成立时按化神功能替换，合化争议时停止定性。</x:v>
      </x:c>
      <x:c r="T273" s="24" t="str">
        <x:v>近位提高直接相关性；远位仅保留背景、阶段或低置信修正。</x:v>
      </x:c>
      <x:c r="U273" s="24" t="str">
        <x:v>94</x:v>
      </x:c>
      <x:c r="V273" s="24" t="str">
        <x:v>靶点匹配+6</x:v>
      </x:c>
      <x:c r="W273" s="24" t="str">
        <x:v>buffer_target</x:v>
      </x:c>
      <x:c r="X273" s="24" t="str">
        <x:v>DY06专门路由至K06。</x:v>
      </x:c>
      <x:c r="Y273" s="24" t="str">
        <x:v>这项调节只针对已经确认的K06问题，不作为万能解决办法。</x:v>
      </x:c>
      <x:c r="Z273" s="24" t="str">
        <x:v>不得仅凭本规则断定问题已经解决、关系必然稳定、用户一定成熟、某十神天然是“药”、喜用神自动等于解决办法，或淡化暴力、强迫与现实伤害；现实行为、反例、安全事实和专业支持优先。</x:v>
      </x:c>
      <x:c r="AA273" s="24" t="str">
        <x:v>高</x:v>
      </x:c>
      <x:c r="AB273" s="24" t="str">
        <x:v>待验证</x:v>
      </x:c>
      <x:c r="AC273" s="24" t="str"/>
      <x:c r="AD273" s="24" t="str">
        <x:v>provisional=true；保护因素的现实有效性必须由可观察行为、反馈和持续结果验证。</x:v>
      </x:c>
      <x:c r="AE273" s="24" t="str">
        <x:v>0.8</x:v>
      </x:c>
    </x:row>
    <x:row r="274" ht="52" customHeight="1">
      <x:c r="A274" s="24" t="str">
        <x:v>M4-BUFFER-273</x:v>
      </x:c>
      <x:c r="B274" s="24" t="str">
        <x:v>DY06 打通功能转换｜可用资源</x:v>
      </x:c>
      <x:c r="C274" s="24" t="str">
        <x:v>L5 DY01—DY08病药功能</x:v>
      </x:c>
      <x:c r="D274" s="24" t="str">
        <x:v>BUFFER-病药接口</x:v>
      </x:c>
      <x:c r="E274" s="24" t="str">
        <x:v>通用</x:v>
      </x:c>
      <x:c r="F274" s="24" t="str">
        <x:v>资源</x:v>
      </x:c>
      <x:c r="G274" s="24" t="str">
        <x:v>DY06 打通功能转换</x:v>
      </x:c>
      <x:c r="H274" s="24" t="str">
        <x:v>K06；列出可承担该药功能的保护资源。</x:v>
      </x:c>
      <x:c r="I274" s="24" t="str">
        <x:v>存在BF02跨系统通关、BF06现实兑现、BF05反馈中的至少一项独立有效资源。</x:v>
      </x:c>
      <x:c r="J274" s="24" t="str">
        <x:v>资源弱远、受损、功能错配或只是同源重复。</x:v>
      </x:c>
      <x:c r="K274" s="24" t="str">
        <x:v>由共享基础引擎提供；仅修正保护功能的承载、持续调用和压力状态下的稳定性，不直接等同成熟度、道德或现实行为。</x:v>
      </x:c>
      <x:c r="L274" s="24" t="str">
        <x:v>由M1／M2接口提供；夫妻星、心动原型和关系门槛只说明关系议题，不单独证明保护因素已经被调用或有效。</x:v>
      </x:c>
      <x:c r="M274" s="24" t="str">
        <x:v>由M3-BASE及M4各模块提供；日支、日柱近位可提高与亲密关系核心的相关性，但同一source_id不得重复计分。</x:v>
      </x:c>
      <x:c r="N274" s="24" t="str">
        <x:v>保护因素必须明确限制过用、补足缺位、恢复顺序、打开反馈、落实改变或完成修复回流；不能只凭五行相生补写现实效果。</x:v>
      </x:c>
      <x:c r="O274" s="24" t="str">
        <x:v>近位提高进入亲密关系核心的概率；远位只作背景、阶段或条件性修正。</x:v>
      </x:c>
      <x:c r="P274" s="24" t="str">
        <x:v>根气只修正该保护功能是否容易重复调用，不等于现实中已经形成稳定保护。</x:v>
      </x:c>
      <x:c r="Q274" s="24" t="str">
        <x:v>旺弱只修正调用强度与承载；强不自动有效，弱也不自动无效。</x:v>
      </x:c>
      <x:c r="R274" s="24" t="str">
        <x:v>喜忌只修正摩擦、平衡与承载，不可直接翻译为好坏、成熟度或解决方案。</x:v>
      </x:c>
      <x:c r="S274" s="24" t="str">
        <x:v>原十神功能有效；真合化成立时按化神功能替换，合化争议时停止定性。</x:v>
      </x:c>
      <x:c r="T274" s="24" t="str">
        <x:v>近位提高直接相关性；远位仅保留背景、阶段或低置信修正。</x:v>
      </x:c>
      <x:c r="U274" s="24" t="str">
        <x:v>90</x:v>
      </x:c>
      <x:c r="V274" s="24" t="str">
        <x:v>独立资源+6</x:v>
      </x:c>
      <x:c r="W274" s="24" t="str">
        <x:v>buffer_factor</x:v>
      </x:c>
      <x:c r="X274" s="24" t="str">
        <x:v>可用资源包括：BF02跨系统通关、BF06现实兑现、BF05反馈。</x:v>
      </x:c>
      <x:c r="Y274" s="24" t="str">
        <x:v>可能帮助你的资源包括：BF02跨系统通关、BF06现实兑现、BF05反馈，但要继续看现实中是否会调用。</x:v>
      </x:c>
      <x:c r="Z274" s="24" t="str">
        <x:v>不得仅凭本规则断定问题已经解决、关系必然稳定、用户一定成熟、某十神天然是“药”、喜用神自动等于解决办法，或淡化暴力、强迫与现实伤害；现实行为、反例、安全事实和专业支持优先。</x:v>
      </x:c>
      <x:c r="AA274" s="24" t="str">
        <x:v>中高</x:v>
      </x:c>
      <x:c r="AB274" s="24" t="str">
        <x:v>待验证</x:v>
      </x:c>
      <x:c r="AC274" s="24" t="str"/>
      <x:c r="AD274" s="24" t="str">
        <x:v>provisional=true；保护因素的现实有效性必须由可观察行为、反馈和持续结果验证。</x:v>
      </x:c>
      <x:c r="AE274" s="24" t="str">
        <x:v>0.8</x:v>
      </x:c>
    </x:row>
    <x:row r="275" ht="52" customHeight="1">
      <x:c r="A275" s="24" t="str">
        <x:v>M4-BUFFER-274</x:v>
      </x:c>
      <x:c r="B275" s="24" t="str">
        <x:v>DY06 打通功能转换｜现实有效标志</x:v>
      </x:c>
      <x:c r="C275" s="24" t="str">
        <x:v>L5 DY01—DY08病药功能</x:v>
      </x:c>
      <x:c r="D275" s="24" t="str">
        <x:v>BUFFER-病药接口</x:v>
      </x:c>
      <x:c r="E275" s="24" t="str">
        <x:v>通用</x:v>
      </x:c>
      <x:c r="F275" s="24" t="str">
        <x:v>效果</x:v>
      </x:c>
      <x:c r="G275" s="24" t="str">
        <x:v>DY06 打通功能转换</x:v>
      </x:c>
      <x:c r="H275" s="24" t="str">
        <x:v>K06；判断药功能是否真正改变风险链。</x:v>
      </x:c>
      <x:c r="I275" s="24" t="str">
        <x:v>理解转成边界、表达转成行动、投入转成责任、责任转成安全。</x:v>
      </x:c>
      <x:c r="J275" s="24" t="str">
        <x:v>只存在桥梁标签，现实中没有转换结果。</x:v>
      </x:c>
      <x:c r="K275" s="24" t="str">
        <x:v>由共享基础引擎提供；仅修正保护功能的承载、持续调用和压力状态下的稳定性，不直接等同成熟度、道德或现实行为。</x:v>
      </x:c>
      <x:c r="L275" s="24" t="str">
        <x:v>由M1／M2接口提供；夫妻星、心动原型和关系门槛只说明关系议题，不单独证明保护因素已经被调用或有效。</x:v>
      </x:c>
      <x:c r="M275" s="24" t="str">
        <x:v>由M3-BASE及M4各模块提供；日支、日柱近位可提高与亲密关系核心的相关性，但同一source_id不得重复计分。</x:v>
      </x:c>
      <x:c r="N275" s="24" t="str">
        <x:v>保护因素必须明确限制过用、补足缺位、恢复顺序、打开反馈、落实改变或完成修复回流；不能只凭五行相生补写现实效果。</x:v>
      </x:c>
      <x:c r="O275" s="24" t="str">
        <x:v>近位提高进入亲密关系核心的概率；远位只作背景、阶段或条件性修正。</x:v>
      </x:c>
      <x:c r="P275" s="24" t="str">
        <x:v>根气只修正该保护功能是否容易重复调用，不等于现实中已经形成稳定保护。</x:v>
      </x:c>
      <x:c r="Q275" s="24" t="str">
        <x:v>旺弱只修正调用强度与承载；强不自动有效，弱也不自动无效。</x:v>
      </x:c>
      <x:c r="R275" s="24" t="str">
        <x:v>喜忌只修正摩擦、平衡与承载，不可直接翻译为好坏、成熟度或解决方案。</x:v>
      </x:c>
      <x:c r="S275" s="24" t="str">
        <x:v>原十神功能有效；真合化成立时按化神功能替换，合化争议时停止定性。</x:v>
      </x:c>
      <x:c r="T275" s="24" t="str">
        <x:v>近位提高直接相关性；远位仅保留背景、阶段或低置信修正。</x:v>
      </x:c>
      <x:c r="U275" s="24" t="str">
        <x:v>92</x:v>
      </x:c>
      <x:c r="V275" s="24" t="str">
        <x:v>效果+12</x:v>
      </x:c>
      <x:c r="W275" s="24" t="str">
        <x:v>buffer_level</x:v>
      </x:c>
      <x:c r="X275" s="24" t="str">
        <x:v>现实有效标志：理解转成边界、表达转成行动、投入转成责任、责任转成安全。</x:v>
      </x:c>
      <x:c r="Y275" s="24" t="str">
        <x:v>真正有效时会看到：理解转成边界、表达转成行动、投入转成责任、责任转成安全。</x:v>
      </x:c>
      <x:c r="Z275" s="24" t="str">
        <x:v>不得仅凭本规则断定问题已经解决、关系必然稳定、用户一定成熟、某十神天然是“药”、喜用神自动等于解决办法，或淡化暴力、强迫与现实伤害；现实行为、反例、安全事实和专业支持优先。</x:v>
      </x:c>
      <x:c r="AA275" s="24" t="str">
        <x:v>中高</x:v>
      </x:c>
      <x:c r="AB275" s="24" t="str">
        <x:v>待验证</x:v>
      </x:c>
      <x:c r="AC275" s="24" t="str"/>
      <x:c r="AD275" s="24" t="str">
        <x:v>provisional=true；保护因素的现实有效性必须由可观察行为、反馈和持续结果验证。</x:v>
      </x:c>
      <x:c r="AE275" s="24" t="str">
        <x:v>0.8</x:v>
      </x:c>
    </x:row>
    <x:row r="276" ht="52" customHeight="1">
      <x:c r="A276" s="24" t="str">
        <x:v>M4-BUFFER-275</x:v>
      </x:c>
      <x:c r="B276" s="24" t="str">
        <x:v>DY06 打通功能转换｜无效／过量边界</x:v>
      </x:c>
      <x:c r="C276" s="24" t="str">
        <x:v>L5 DY01—DY08病药功能</x:v>
      </x:c>
      <x:c r="D276" s="24" t="str">
        <x:v>BUFFER-病药接口</x:v>
      </x:c>
      <x:c r="E276" s="24" t="str">
        <x:v>通用</x:v>
      </x:c>
      <x:c r="F276" s="24" t="str">
        <x:v>降级</x:v>
      </x:c>
      <x:c r="G276" s="24" t="str">
        <x:v>DY06 打通功能转换</x:v>
      </x:c>
      <x:c r="H276" s="24" t="str">
        <x:v>K06；防止药功能变成新的失衡。</x:v>
      </x:c>
      <x:c r="I276" s="24" t="str">
        <x:v>只存在桥梁标签，现实中没有转换结果。</x:v>
      </x:c>
      <x:c r="J276" s="24" t="str">
        <x:v>理解转成边界、表达转成行动、投入转成责任、责任转成安全。</x:v>
      </x:c>
      <x:c r="K276" s="24" t="str">
        <x:v>由共享基础引擎提供；仅修正保护功能的承载、持续调用和压力状态下的稳定性，不直接等同成熟度、道德或现实行为。</x:v>
      </x:c>
      <x:c r="L276" s="24" t="str">
        <x:v>由M1／M2接口提供；夫妻星、心动原型和关系门槛只说明关系议题，不单独证明保护因素已经被调用或有效。</x:v>
      </x:c>
      <x:c r="M276" s="24" t="str">
        <x:v>由M3-BASE及M4各模块提供；日支、日柱近位可提高与亲密关系核心的相关性，但同一source_id不得重复计分。</x:v>
      </x:c>
      <x:c r="N276" s="24" t="str">
        <x:v>保护因素必须明确限制过用、补足缺位、恢复顺序、打开反馈、落实改变或完成修复回流；不能只凭五行相生补写现实效果。</x:v>
      </x:c>
      <x:c r="O276" s="24" t="str">
        <x:v>近位提高进入亲密关系核心的概率；远位只作背景、阶段或条件性修正。</x:v>
      </x:c>
      <x:c r="P276" s="24" t="str">
        <x:v>根气只修正该保护功能是否容易重复调用，不等于现实中已经形成稳定保护。</x:v>
      </x:c>
      <x:c r="Q276" s="24" t="str">
        <x:v>旺弱只修正调用强度与承载；强不自动有效，弱也不自动无效。</x:v>
      </x:c>
      <x:c r="R276" s="24" t="str">
        <x:v>喜忌只修正摩擦、平衡与承载，不可直接翻译为好坏、成熟度或解决方案。</x:v>
      </x:c>
      <x:c r="S276" s="24" t="str">
        <x:v>原十神功能有效；真合化成立时按化神功能替换，合化争议时停止定性。</x:v>
      </x:c>
      <x:c r="T276" s="24" t="str">
        <x:v>近位提高直接相关性；远位仅保留背景、阶段或低置信修正。</x:v>
      </x:c>
      <x:c r="U276" s="24" t="str">
        <x:v>97</x:v>
      </x:c>
      <x:c r="V276" s="24" t="str">
        <x:v>无效-10</x:v>
      </x:c>
      <x:c r="W276" s="24" t="str">
        <x:v>pseudo_buffer</x:v>
      </x:c>
      <x:c r="X276" s="24" t="str">
        <x:v>失效或过量表现：只存在桥梁标签，现实中没有转换结果。</x:v>
      </x:c>
      <x:c r="Y276" s="24" t="str">
        <x:v>若只是“只存在桥梁标签，现实中没有转换结果。”，就不能把它视为有效调节。</x:v>
      </x:c>
      <x:c r="Z276" s="24" t="str">
        <x:v>不得仅凭本规则断定问题已经解决、关系必然稳定、用户一定成熟、某十神天然是“药”、喜用神自动等于解决办法，或淡化暴力、强迫与现实伤害；现实行为、反例、安全事实和专业支持优先。</x:v>
      </x:c>
      <x:c r="AA276" s="24" t="str">
        <x:v>高</x:v>
      </x:c>
      <x:c r="AB276" s="24" t="str">
        <x:v>待验证</x:v>
      </x:c>
      <x:c r="AC276" s="24" t="str"/>
      <x:c r="AD276" s="24" t="str">
        <x:v>provisional=true；保护因素的现实有效性必须由可观察行为、反馈和持续结果验证。</x:v>
      </x:c>
      <x:c r="AE276" s="24" t="str">
        <x:v>0.8</x:v>
      </x:c>
    </x:row>
    <x:row r="277" ht="52" customHeight="1">
      <x:c r="A277" s="24" t="str">
        <x:v>M4-BUFFER-276</x:v>
      </x:c>
      <x:c r="B277" s="24" t="str">
        <x:v>DY06 打通功能转换｜用户输出</x:v>
      </x:c>
      <x:c r="C277" s="24" t="str">
        <x:v>L5 DY01—DY08病药功能</x:v>
      </x:c>
      <x:c r="D277" s="24" t="str">
        <x:v>BUFFER-病药接口</x:v>
      </x:c>
      <x:c r="E277" s="24" t="str">
        <x:v>通用</x:v>
      </x:c>
      <x:c r="F277" s="24" t="str">
        <x:v>语言</x:v>
      </x:c>
      <x:c r="G277" s="24" t="str">
        <x:v>DY06 打通功能转换</x:v>
      </x:c>
      <x:c r="H277" s="24" t="str">
        <x:v>K06；生成病药功能语言。</x:v>
      </x:c>
      <x:c r="I277" s="24" t="str">
        <x:v>K06成立且存在匹配资源。</x:v>
      </x:c>
      <x:c r="J277" s="24" t="str">
        <x:v>只存在桥梁标签，现实中没有转换结果。</x:v>
      </x:c>
      <x:c r="K277" s="24" t="str">
        <x:v>由共享基础引擎提供；仅修正保护功能的承载、持续调用和压力状态下的稳定性，不直接等同成熟度、道德或现实行为。</x:v>
      </x:c>
      <x:c r="L277" s="24" t="str">
        <x:v>由M1／M2接口提供；夫妻星、心动原型和关系门槛只说明关系议题，不单独证明保护因素已经被调用或有效。</x:v>
      </x:c>
      <x:c r="M277" s="24" t="str">
        <x:v>由M3-BASE及M4各模块提供；日支、日柱近位可提高与亲密关系核心的相关性，但同一source_id不得重复计分。</x:v>
      </x:c>
      <x:c r="N277" s="24" t="str">
        <x:v>保护因素必须明确限制过用、补足缺位、恢复顺序、打开反馈、落实改变或完成修复回流；不能只凭五行相生补写现实效果。</x:v>
      </x:c>
      <x:c r="O277" s="24" t="str">
        <x:v>近位提高进入亲密关系核心的概率；远位只作背景、阶段或条件性修正。</x:v>
      </x:c>
      <x:c r="P277" s="24" t="str">
        <x:v>根气只修正该保护功能是否容易重复调用，不等于现实中已经形成稳定保护。</x:v>
      </x:c>
      <x:c r="Q277" s="24" t="str">
        <x:v>旺弱只修正调用强度与承载；强不自动有效，弱也不自动无效。</x:v>
      </x:c>
      <x:c r="R277" s="24" t="str">
        <x:v>喜忌只修正摩擦、平衡与承载，不可直接翻译为好坏、成熟度或解决方案。</x:v>
      </x:c>
      <x:c r="S277" s="24" t="str">
        <x:v>原十神功能有效；真合化成立时按化神功能替换，合化争议时停止定性。</x:v>
      </x:c>
      <x:c r="T277" s="24" t="str">
        <x:v>近位提高直接相关性；远位仅保留背景、阶段或低置信修正。</x:v>
      </x:c>
      <x:c r="U277" s="24" t="str">
        <x:v>84</x:v>
      </x:c>
      <x:c r="V277" s="24" t="str">
        <x:v>不加分；输出</x:v>
      </x:c>
      <x:c r="W277" s="24" t="str">
        <x:v>report_text</x:v>
      </x:c>
      <x:c r="X277" s="24" t="str">
        <x:v>病是K06所描述的功能失衡；药是能够让已完成的第一步转成下一项必要功能的具体功能。</x:v>
      </x:c>
      <x:c r="Y277" s="24" t="str">
        <x:v>你需要补上的不是一个抽象标签，而是：让已完成的第一步转成下一项必要功能。</x:v>
      </x:c>
      <x:c r="Z277" s="24" t="str">
        <x:v>不得仅凭本规则断定问题已经解决、关系必然稳定、用户一定成熟、某十神天然是“药”、喜用神自动等于解决办法，或淡化暴力、强迫与现实伤害；现实行为、反例、安全事实和专业支持优先。</x:v>
      </x:c>
      <x:c r="AA277" s="24" t="str">
        <x:v>中高</x:v>
      </x:c>
      <x:c r="AB277" s="24" t="str">
        <x:v>待验证</x:v>
      </x:c>
      <x:c r="AC277" s="24" t="str"/>
      <x:c r="AD277" s="24" t="str">
        <x:v>provisional=true；保护因素的现实有效性必须由可观察行为、反馈和持续结果验证。</x:v>
      </x:c>
      <x:c r="AE277" s="24" t="str">
        <x:v>0.8</x:v>
      </x:c>
    </x:row>
    <x:row r="278" ht="52" customHeight="1">
      <x:c r="A278" s="24" t="str">
        <x:v>M4-BUFFER-277</x:v>
      </x:c>
      <x:c r="B278" s="24" t="str">
        <x:v>DY07 中断反馈放大｜功能定义</x:v>
      </x:c>
      <x:c r="C278" s="24" t="str">
        <x:v>L5 DY01—DY08病药功能</x:v>
      </x:c>
      <x:c r="D278" s="24" t="str">
        <x:v>BUFFER-病药接口</x:v>
      </x:c>
      <x:c r="E278" s="24" t="str">
        <x:v>通用</x:v>
      </x:c>
      <x:c r="F278" s="24" t="str">
        <x:v>定义</x:v>
      </x:c>
      <x:c r="G278" s="24" t="str">
        <x:v>DY07 中断反馈放大</x:v>
      </x:c>
      <x:c r="H278" s="24" t="str">
        <x:v>K07；定义病药接口中的功能任务。</x:v>
      </x:c>
      <x:c r="I278" s="24" t="str">
        <x:v>已经确认K07机制或相应修复断点。</x:v>
      </x:c>
      <x:c r="J278" s="24" t="str">
        <x:v>没有具体失衡靶点。</x:v>
      </x:c>
      <x:c r="K278" s="24" t="str">
        <x:v>由共享基础引擎提供；仅修正保护功能的承载、持续调用和压力状态下的稳定性，不直接等同成熟度、道德或现实行为。</x:v>
      </x:c>
      <x:c r="L278" s="24" t="str">
        <x:v>由M1／M2接口提供；夫妻星、心动原型和关系门槛只说明关系议题，不单独证明保护因素已经被调用或有效。</x:v>
      </x:c>
      <x:c r="M278" s="24" t="str">
        <x:v>由M3-BASE及M4各模块提供；日支、日柱近位可提高与亲密关系核心的相关性，但同一source_id不得重复计分。</x:v>
      </x:c>
      <x:c r="N278" s="24" t="str">
        <x:v>保护因素必须明确限制过用、补足缺位、恢复顺序、打开反馈、落实改变或完成修复回流；不能只凭五行相生补写现实效果。</x:v>
      </x:c>
      <x:c r="O278" s="24" t="str">
        <x:v>近位提高进入亲密关系核心的概率；远位只作背景、阶段或条件性修正。</x:v>
      </x:c>
      <x:c r="P278" s="24" t="str">
        <x:v>根气只修正该保护功能是否容易重复调用，不等于现实中已经形成稳定保护。</x:v>
      </x:c>
      <x:c r="Q278" s="24" t="str">
        <x:v>旺弱只修正调用强度与承载；强不自动有效，弱也不自动无效。</x:v>
      </x:c>
      <x:c r="R278" s="24" t="str">
        <x:v>喜忌只修正摩擦、平衡与承载，不可直接翻译为好坏、成熟度或解决方案。</x:v>
      </x:c>
      <x:c r="S278" s="24" t="str">
        <x:v>原十神功能有效；真合化成立时按化神功能替换，合化争议时停止定性。</x:v>
      </x:c>
      <x:c r="T278" s="24" t="str">
        <x:v>近位提高直接相关性；远位仅保留背景、阶段或低置信修正。</x:v>
      </x:c>
      <x:c r="U278" s="24" t="str">
        <x:v>95</x:v>
      </x:c>
      <x:c r="V278" s="24" t="str">
        <x:v>功能定义</x:v>
      </x:c>
      <x:c r="W278" s="24" t="str">
        <x:v>medicine_function</x:v>
      </x:c>
      <x:c r="X278" s="24" t="str">
        <x:v>中断反馈放大的目标是：在对方反馈被误读并推动原反应加码前加入复核与选择。</x:v>
      </x:c>
      <x:c r="Y278" s="24" t="str">
        <x:v>这里需要的不是增加某个五行，而是完成“在对方反馈被误读并推动原反应加码前加入复核与选择”这项具体功能。</x:v>
      </x:c>
      <x:c r="Z278" s="24" t="str">
        <x:v>不得仅凭本规则断定问题已经解决、关系必然稳定、用户一定成熟、某十神天然是“药”、喜用神自动等于解决办法，或淡化暴力、强迫与现实伤害；现实行为、反例、安全事实和专业支持优先。</x:v>
      </x:c>
      <x:c r="AA278" s="24" t="str">
        <x:v>高</x:v>
      </x:c>
      <x:c r="AB278" s="24" t="str">
        <x:v>待验证</x:v>
      </x:c>
      <x:c r="AC278" s="24" t="str"/>
      <x:c r="AD278" s="24" t="str">
        <x:v>provisional=true；保护因素的现实有效性必须由可观察行为、反馈和持续结果验证。</x:v>
      </x:c>
      <x:c r="AE278" s="24" t="str">
        <x:v>0.8</x:v>
      </x:c>
    </x:row>
    <x:row r="279" ht="52" customHeight="1">
      <x:c r="A279" s="24" t="str">
        <x:v>M4-BUFFER-278</x:v>
      </x:c>
      <x:c r="B279" s="24" t="str">
        <x:v>DY07 中断反馈放大｜诊断靶点</x:v>
      </x:c>
      <x:c r="C279" s="24" t="str">
        <x:v>L5 DY01—DY08病药功能</x:v>
      </x:c>
      <x:c r="D279" s="24" t="str">
        <x:v>BUFFER-病药接口</x:v>
      </x:c>
      <x:c r="E279" s="24" t="str">
        <x:v>通用</x:v>
      </x:c>
      <x:c r="F279" s="24" t="str">
        <x:v>路由</x:v>
      </x:c>
      <x:c r="G279" s="24" t="str">
        <x:v>DY07 中断反馈放大</x:v>
      </x:c>
      <x:c r="H279" s="24" t="str">
        <x:v>K07；将药功能对应到明确K机制。</x:v>
      </x:c>
      <x:c r="I279" s="24" t="str">
        <x:v>K07已经达到E1或以上，且同源去重完成。</x:v>
      </x:c>
      <x:c r="J279" s="24" t="str">
        <x:v>只有十神旺弱标签，未说明关系任务。</x:v>
      </x:c>
      <x:c r="K279" s="24" t="str">
        <x:v>由共享基础引擎提供；仅修正保护功能的承载、持续调用和压力状态下的稳定性，不直接等同成熟度、道德或现实行为。</x:v>
      </x:c>
      <x:c r="L279" s="24" t="str">
        <x:v>由M1／M2接口提供；夫妻星、心动原型和关系门槛只说明关系议题，不单独证明保护因素已经被调用或有效。</x:v>
      </x:c>
      <x:c r="M279" s="24" t="str">
        <x:v>由M3-BASE及M4各模块提供；日支、日柱近位可提高与亲密关系核心的相关性，但同一source_id不得重复计分。</x:v>
      </x:c>
      <x:c r="N279" s="24" t="str">
        <x:v>保护因素必须明确限制过用、补足缺位、恢复顺序、打开反馈、落实改变或完成修复回流；不能只凭五行相生补写现实效果。</x:v>
      </x:c>
      <x:c r="O279" s="24" t="str">
        <x:v>近位提高进入亲密关系核心的概率；远位只作背景、阶段或条件性修正。</x:v>
      </x:c>
      <x:c r="P279" s="24" t="str">
        <x:v>根气只修正该保护功能是否容易重复调用，不等于现实中已经形成稳定保护。</x:v>
      </x:c>
      <x:c r="Q279" s="24" t="str">
        <x:v>旺弱只修正调用强度与承载；强不自动有效，弱也不自动无效。</x:v>
      </x:c>
      <x:c r="R279" s="24" t="str">
        <x:v>喜忌只修正摩擦、平衡与承载，不可直接翻译为好坏、成熟度或解决方案。</x:v>
      </x:c>
      <x:c r="S279" s="24" t="str">
        <x:v>原十神功能有效；真合化成立时按化神功能替换，合化争议时停止定性。</x:v>
      </x:c>
      <x:c r="T279" s="24" t="str">
        <x:v>近位提高直接相关性；远位仅保留背景、阶段或低置信修正。</x:v>
      </x:c>
      <x:c r="U279" s="24" t="str">
        <x:v>94</x:v>
      </x:c>
      <x:c r="V279" s="24" t="str">
        <x:v>靶点匹配+6</x:v>
      </x:c>
      <x:c r="W279" s="24" t="str">
        <x:v>buffer_target</x:v>
      </x:c>
      <x:c r="X279" s="24" t="str">
        <x:v>DY07专门路由至K07。</x:v>
      </x:c>
      <x:c r="Y279" s="24" t="str">
        <x:v>这项调节只针对已经确认的K07问题，不作为万能解决办法。</x:v>
      </x:c>
      <x:c r="Z279" s="24" t="str">
        <x:v>不得仅凭本规则断定问题已经解决、关系必然稳定、用户一定成熟、某十神天然是“药”、喜用神自动等于解决办法，或淡化暴力、强迫与现实伤害；现实行为、反例、安全事实和专业支持优先。</x:v>
      </x:c>
      <x:c r="AA279" s="24" t="str">
        <x:v>高</x:v>
      </x:c>
      <x:c r="AB279" s="24" t="str">
        <x:v>待验证</x:v>
      </x:c>
      <x:c r="AC279" s="24" t="str"/>
      <x:c r="AD279" s="24" t="str">
        <x:v>provisional=true；保护因素的现实有效性必须由可观察行为、反馈和持续结果验证。</x:v>
      </x:c>
      <x:c r="AE279" s="24" t="str">
        <x:v>0.8</x:v>
      </x:c>
    </x:row>
    <x:row r="280" ht="52" customHeight="1">
      <x:c r="A280" s="24" t="str">
        <x:v>M4-BUFFER-279</x:v>
      </x:c>
      <x:c r="B280" s="24" t="str">
        <x:v>DY07 中断反馈放大｜可用资源</x:v>
      </x:c>
      <x:c r="C280" s="24" t="str">
        <x:v>L5 DY01—DY08病药功能</x:v>
      </x:c>
      <x:c r="D280" s="24" t="str">
        <x:v>BUFFER-病药接口</x:v>
      </x:c>
      <x:c r="E280" s="24" t="str">
        <x:v>通用</x:v>
      </x:c>
      <x:c r="F280" s="24" t="str">
        <x:v>资源</x:v>
      </x:c>
      <x:c r="G280" s="24" t="str">
        <x:v>DY07 中断反馈放大</x:v>
      </x:c>
      <x:c r="H280" s="24" t="str">
        <x:v>K07；列出可承担该药功能的保护资源。</x:v>
      </x:c>
      <x:c r="I280" s="24" t="str">
        <x:v>存在BF04倾听复核、BF05反馈、BF08状态识别中的至少一项独立有效资源。</x:v>
      </x:c>
      <x:c r="J280" s="24" t="str">
        <x:v>资源弱远、受损、功能错配或只是同源重复。</x:v>
      </x:c>
      <x:c r="K280" s="24" t="str">
        <x:v>由共享基础引擎提供；仅修正保护功能的承载、持续调用和压力状态下的稳定性，不直接等同成熟度、道德或现实行为。</x:v>
      </x:c>
      <x:c r="L280" s="24" t="str">
        <x:v>由M1／M2接口提供；夫妻星、心动原型和关系门槛只说明关系议题，不单独证明保护因素已经被调用或有效。</x:v>
      </x:c>
      <x:c r="M280" s="24" t="str">
        <x:v>由M3-BASE及M4各模块提供；日支、日柱近位可提高与亲密关系核心的相关性，但同一source_id不得重复计分。</x:v>
      </x:c>
      <x:c r="N280" s="24" t="str">
        <x:v>保护因素必须明确限制过用、补足缺位、恢复顺序、打开反馈、落实改变或完成修复回流；不能只凭五行相生补写现实效果。</x:v>
      </x:c>
      <x:c r="O280" s="24" t="str">
        <x:v>近位提高进入亲密关系核心的概率；远位只作背景、阶段或条件性修正。</x:v>
      </x:c>
      <x:c r="P280" s="24" t="str">
        <x:v>根气只修正该保护功能是否容易重复调用，不等于现实中已经形成稳定保护。</x:v>
      </x:c>
      <x:c r="Q280" s="24" t="str">
        <x:v>旺弱只修正调用强度与承载；强不自动有效，弱也不自动无效。</x:v>
      </x:c>
      <x:c r="R280" s="24" t="str">
        <x:v>喜忌只修正摩擦、平衡与承载，不可直接翻译为好坏、成熟度或解决方案。</x:v>
      </x:c>
      <x:c r="S280" s="24" t="str">
        <x:v>原十神功能有效；真合化成立时按化神功能替换，合化争议时停止定性。</x:v>
      </x:c>
      <x:c r="T280" s="24" t="str">
        <x:v>近位提高直接相关性；远位仅保留背景、阶段或低置信修正。</x:v>
      </x:c>
      <x:c r="U280" s="24" t="str">
        <x:v>90</x:v>
      </x:c>
      <x:c r="V280" s="24" t="str">
        <x:v>独立资源+6</x:v>
      </x:c>
      <x:c r="W280" s="24" t="str">
        <x:v>buffer_factor</x:v>
      </x:c>
      <x:c r="X280" s="24" t="str">
        <x:v>可用资源包括：BF04倾听复核、BF05反馈、BF08状态识别。</x:v>
      </x:c>
      <x:c r="Y280" s="24" t="str">
        <x:v>可能帮助你的资源包括：BF04倾听复核、BF05反馈、BF08状态识别，但要继续看现实中是否会调用。</x:v>
      </x:c>
      <x:c r="Z280" s="24" t="str">
        <x:v>不得仅凭本规则断定问题已经解决、关系必然稳定、用户一定成熟、某十神天然是“药”、喜用神自动等于解决办法，或淡化暴力、强迫与现实伤害；现实行为、反例、安全事实和专业支持优先。</x:v>
      </x:c>
      <x:c r="AA280" s="24" t="str">
        <x:v>中高</x:v>
      </x:c>
      <x:c r="AB280" s="24" t="str">
        <x:v>待验证</x:v>
      </x:c>
      <x:c r="AC280" s="24" t="str"/>
      <x:c r="AD280" s="24" t="str">
        <x:v>provisional=true；保护因素的现实有效性必须由可观察行为、反馈和持续结果验证。</x:v>
      </x:c>
      <x:c r="AE280" s="24" t="str">
        <x:v>0.8</x:v>
      </x:c>
    </x:row>
    <x:row r="281" ht="52" customHeight="1">
      <x:c r="A281" s="24" t="str">
        <x:v>M4-BUFFER-280</x:v>
      </x:c>
      <x:c r="B281" s="24" t="str">
        <x:v>DY07 中断反馈放大｜现实有效标志</x:v>
      </x:c>
      <x:c r="C281" s="24" t="str">
        <x:v>L5 DY01—DY08病药功能</x:v>
      </x:c>
      <x:c r="D281" s="24" t="str">
        <x:v>BUFFER-病药接口</x:v>
      </x:c>
      <x:c r="E281" s="24" t="str">
        <x:v>通用</x:v>
      </x:c>
      <x:c r="F281" s="24" t="str">
        <x:v>效果</x:v>
      </x:c>
      <x:c r="G281" s="24" t="str">
        <x:v>DY07 中断反馈放大</x:v>
      </x:c>
      <x:c r="H281" s="24" t="str">
        <x:v>K07；判断药功能是否真正改变风险链。</x:v>
      </x:c>
      <x:c r="I281" s="24" t="str">
        <x:v>反馈被当作新信息，而不是自动证明原判断。</x:v>
      </x:c>
      <x:c r="J281" s="24" t="str">
        <x:v>继续猜测动机、扩大解释或推进，未核对可观察事实。</x:v>
      </x:c>
      <x:c r="K281" s="24" t="str">
        <x:v>由共享基础引擎提供；仅修正保护功能的承载、持续调用和压力状态下的稳定性，不直接等同成熟度、道德或现实行为。</x:v>
      </x:c>
      <x:c r="L281" s="24" t="str">
        <x:v>由M1／M2接口提供；夫妻星、心动原型和关系门槛只说明关系议题，不单独证明保护因素已经被调用或有效。</x:v>
      </x:c>
      <x:c r="M281" s="24" t="str">
        <x:v>由M3-BASE及M4各模块提供；日支、日柱近位可提高与亲密关系核心的相关性，但同一source_id不得重复计分。</x:v>
      </x:c>
      <x:c r="N281" s="24" t="str">
        <x:v>保护因素必须明确限制过用、补足缺位、恢复顺序、打开反馈、落实改变或完成修复回流；不能只凭五行相生补写现实效果。</x:v>
      </x:c>
      <x:c r="O281" s="24" t="str">
        <x:v>近位提高进入亲密关系核心的概率；远位只作背景、阶段或条件性修正。</x:v>
      </x:c>
      <x:c r="P281" s="24" t="str">
        <x:v>根气只修正该保护功能是否容易重复调用，不等于现实中已经形成稳定保护。</x:v>
      </x:c>
      <x:c r="Q281" s="24" t="str">
        <x:v>旺弱只修正调用强度与承载；强不自动有效，弱也不自动无效。</x:v>
      </x:c>
      <x:c r="R281" s="24" t="str">
        <x:v>喜忌只修正摩擦、平衡与承载，不可直接翻译为好坏、成熟度或解决方案。</x:v>
      </x:c>
      <x:c r="S281" s="24" t="str">
        <x:v>原十神功能有效；真合化成立时按化神功能替换，合化争议时停止定性。</x:v>
      </x:c>
      <x:c r="T281" s="24" t="str">
        <x:v>近位提高直接相关性；远位仅保留背景、阶段或低置信修正。</x:v>
      </x:c>
      <x:c r="U281" s="24" t="str">
        <x:v>92</x:v>
      </x:c>
      <x:c r="V281" s="24" t="str">
        <x:v>效果+12</x:v>
      </x:c>
      <x:c r="W281" s="24" t="str">
        <x:v>buffer_level</x:v>
      </x:c>
      <x:c r="X281" s="24" t="str">
        <x:v>现实有效标志：反馈被当作新信息，而不是自动证明原判断。</x:v>
      </x:c>
      <x:c r="Y281" s="24" t="str">
        <x:v>真正有效时会看到：反馈被当作新信息，而不是自动证明原判断。</x:v>
      </x:c>
      <x:c r="Z281" s="24" t="str">
        <x:v>不得仅凭本规则断定问题已经解决、关系必然稳定、用户一定成熟、某十神天然是“药”、喜用神自动等于解决办法，或淡化暴力、强迫与现实伤害；现实行为、反例、安全事实和专业支持优先。</x:v>
      </x:c>
      <x:c r="AA281" s="24" t="str">
        <x:v>中高</x:v>
      </x:c>
      <x:c r="AB281" s="24" t="str">
        <x:v>待验证</x:v>
      </x:c>
      <x:c r="AC281" s="24" t="str"/>
      <x:c r="AD281" s="24" t="str">
        <x:v>provisional=true；保护因素的现实有效性必须由可观察行为、反馈和持续结果验证。</x:v>
      </x:c>
      <x:c r="AE281" s="24" t="str">
        <x:v>0.8</x:v>
      </x:c>
    </x:row>
    <x:row r="282" ht="52" customHeight="1">
      <x:c r="A282" s="24" t="str">
        <x:v>M4-BUFFER-281</x:v>
      </x:c>
      <x:c r="B282" s="24" t="str">
        <x:v>DY07 中断反馈放大｜无效／过量边界</x:v>
      </x:c>
      <x:c r="C282" s="24" t="str">
        <x:v>L5 DY01—DY08病药功能</x:v>
      </x:c>
      <x:c r="D282" s="24" t="str">
        <x:v>BUFFER-病药接口</x:v>
      </x:c>
      <x:c r="E282" s="24" t="str">
        <x:v>通用</x:v>
      </x:c>
      <x:c r="F282" s="24" t="str">
        <x:v>降级</x:v>
      </x:c>
      <x:c r="G282" s="24" t="str">
        <x:v>DY07 中断反馈放大</x:v>
      </x:c>
      <x:c r="H282" s="24" t="str">
        <x:v>K07；防止药功能变成新的失衡。</x:v>
      </x:c>
      <x:c r="I282" s="24" t="str">
        <x:v>继续猜测动机、扩大解释或推进，未核对可观察事实。</x:v>
      </x:c>
      <x:c r="J282" s="24" t="str">
        <x:v>反馈被当作新信息，而不是自动证明原判断。</x:v>
      </x:c>
      <x:c r="K282" s="24" t="str">
        <x:v>由共享基础引擎提供；仅修正保护功能的承载、持续调用和压力状态下的稳定性，不直接等同成熟度、道德或现实行为。</x:v>
      </x:c>
      <x:c r="L282" s="24" t="str">
        <x:v>由M1／M2接口提供；夫妻星、心动原型和关系门槛只说明关系议题，不单独证明保护因素已经被调用或有效。</x:v>
      </x:c>
      <x:c r="M282" s="24" t="str">
        <x:v>由M3-BASE及M4各模块提供；日支、日柱近位可提高与亲密关系核心的相关性，但同一source_id不得重复计分。</x:v>
      </x:c>
      <x:c r="N282" s="24" t="str">
        <x:v>保护因素必须明确限制过用、补足缺位、恢复顺序、打开反馈、落实改变或完成修复回流；不能只凭五行相生补写现实效果。</x:v>
      </x:c>
      <x:c r="O282" s="24" t="str">
        <x:v>近位提高进入亲密关系核心的概率；远位只作背景、阶段或条件性修正。</x:v>
      </x:c>
      <x:c r="P282" s="24" t="str">
        <x:v>根气只修正该保护功能是否容易重复调用，不等于现实中已经形成稳定保护。</x:v>
      </x:c>
      <x:c r="Q282" s="24" t="str">
        <x:v>旺弱只修正调用强度与承载；强不自动有效，弱也不自动无效。</x:v>
      </x:c>
      <x:c r="R282" s="24" t="str">
        <x:v>喜忌只修正摩擦、平衡与承载，不可直接翻译为好坏、成熟度或解决方案。</x:v>
      </x:c>
      <x:c r="S282" s="24" t="str">
        <x:v>原十神功能有效；真合化成立时按化神功能替换，合化争议时停止定性。</x:v>
      </x:c>
      <x:c r="T282" s="24" t="str">
        <x:v>近位提高直接相关性；远位仅保留背景、阶段或低置信修正。</x:v>
      </x:c>
      <x:c r="U282" s="24" t="str">
        <x:v>97</x:v>
      </x:c>
      <x:c r="V282" s="24" t="str">
        <x:v>无效-10</x:v>
      </x:c>
      <x:c r="W282" s="24" t="str">
        <x:v>pseudo_buffer</x:v>
      </x:c>
      <x:c r="X282" s="24" t="str">
        <x:v>失效或过量表现：继续猜测动机、扩大解释或推进，未核对可观察事实。</x:v>
      </x:c>
      <x:c r="Y282" s="24" t="str">
        <x:v>若只是“继续猜测动机、扩大解释或推进，未核对可观察事实。”，就不能把它视为有效调节。</x:v>
      </x:c>
      <x:c r="Z282" s="24" t="str">
        <x:v>不得仅凭本规则断定问题已经解决、关系必然稳定、用户一定成熟、某十神天然是“药”、喜用神自动等于解决办法，或淡化暴力、强迫与现实伤害；现实行为、反例、安全事实和专业支持优先。</x:v>
      </x:c>
      <x:c r="AA282" s="24" t="str">
        <x:v>高</x:v>
      </x:c>
      <x:c r="AB282" s="24" t="str">
        <x:v>待验证</x:v>
      </x:c>
      <x:c r="AC282" s="24" t="str"/>
      <x:c r="AD282" s="24" t="str">
        <x:v>provisional=true；保护因素的现实有效性必须由可观察行为、反馈和持续结果验证。</x:v>
      </x:c>
      <x:c r="AE282" s="24" t="str">
        <x:v>0.8</x:v>
      </x:c>
    </x:row>
    <x:row r="283" ht="52" customHeight="1">
      <x:c r="A283" s="24" t="str">
        <x:v>M4-BUFFER-282</x:v>
      </x:c>
      <x:c r="B283" s="24" t="str">
        <x:v>DY07 中断反馈放大｜用户输出</x:v>
      </x:c>
      <x:c r="C283" s="24" t="str">
        <x:v>L5 DY01—DY08病药功能</x:v>
      </x:c>
      <x:c r="D283" s="24" t="str">
        <x:v>BUFFER-病药接口</x:v>
      </x:c>
      <x:c r="E283" s="24" t="str">
        <x:v>通用</x:v>
      </x:c>
      <x:c r="F283" s="24" t="str">
        <x:v>语言</x:v>
      </x:c>
      <x:c r="G283" s="24" t="str">
        <x:v>DY07 中断反馈放大</x:v>
      </x:c>
      <x:c r="H283" s="24" t="str">
        <x:v>K07；生成病药功能语言。</x:v>
      </x:c>
      <x:c r="I283" s="24" t="str">
        <x:v>K07成立且存在匹配资源。</x:v>
      </x:c>
      <x:c r="J283" s="24" t="str">
        <x:v>继续猜测动机、扩大解释或推进，未核对可观察事实。</x:v>
      </x:c>
      <x:c r="K283" s="24" t="str">
        <x:v>由共享基础引擎提供；仅修正保护功能的承载、持续调用和压力状态下的稳定性，不直接等同成熟度、道德或现实行为。</x:v>
      </x:c>
      <x:c r="L283" s="24" t="str">
        <x:v>由M1／M2接口提供；夫妻星、心动原型和关系门槛只说明关系议题，不单独证明保护因素已经被调用或有效。</x:v>
      </x:c>
      <x:c r="M283" s="24" t="str">
        <x:v>由M3-BASE及M4各模块提供；日支、日柱近位可提高与亲密关系核心的相关性，但同一source_id不得重复计分。</x:v>
      </x:c>
      <x:c r="N283" s="24" t="str">
        <x:v>保护因素必须明确限制过用、补足缺位、恢复顺序、打开反馈、落实改变或完成修复回流；不能只凭五行相生补写现实效果。</x:v>
      </x:c>
      <x:c r="O283" s="24" t="str">
        <x:v>近位提高进入亲密关系核心的概率；远位只作背景、阶段或条件性修正。</x:v>
      </x:c>
      <x:c r="P283" s="24" t="str">
        <x:v>根气只修正该保护功能是否容易重复调用，不等于现实中已经形成稳定保护。</x:v>
      </x:c>
      <x:c r="Q283" s="24" t="str">
        <x:v>旺弱只修正调用强度与承载；强不自动有效，弱也不自动无效。</x:v>
      </x:c>
      <x:c r="R283" s="24" t="str">
        <x:v>喜忌只修正摩擦、平衡与承载，不可直接翻译为好坏、成熟度或解决方案。</x:v>
      </x:c>
      <x:c r="S283" s="24" t="str">
        <x:v>原十神功能有效；真合化成立时按化神功能替换，合化争议时停止定性。</x:v>
      </x:c>
      <x:c r="T283" s="24" t="str">
        <x:v>近位提高直接相关性；远位仅保留背景、阶段或低置信修正。</x:v>
      </x:c>
      <x:c r="U283" s="24" t="str">
        <x:v>84</x:v>
      </x:c>
      <x:c r="V283" s="24" t="str">
        <x:v>不加分；输出</x:v>
      </x:c>
      <x:c r="W283" s="24" t="str">
        <x:v>report_text</x:v>
      </x:c>
      <x:c r="X283" s="24" t="str">
        <x:v>病是K07所描述的功能失衡；药是能够在对方反馈被误读并推动原反应加码前加入复核与选择的具体功能。</x:v>
      </x:c>
      <x:c r="Y283" s="24" t="str">
        <x:v>你需要补上的不是一个抽象标签，而是：在对方反馈被误读并推动原反应加码前加入复核与选择。</x:v>
      </x:c>
      <x:c r="Z283" s="24" t="str">
        <x:v>不得仅凭本规则断定问题已经解决、关系必然稳定、用户一定成熟、某十神天然是“药”、喜用神自动等于解决办法，或淡化暴力、强迫与现实伤害；现实行为、反例、安全事实和专业支持优先。</x:v>
      </x:c>
      <x:c r="AA283" s="24" t="str">
        <x:v>中高</x:v>
      </x:c>
      <x:c r="AB283" s="24" t="str">
        <x:v>待验证</x:v>
      </x:c>
      <x:c r="AC283" s="24" t="str"/>
      <x:c r="AD283" s="24" t="str">
        <x:v>provisional=true；保护因素的现实有效性必须由可观察行为、反馈和持续结果验证。</x:v>
      </x:c>
      <x:c r="AE283" s="24" t="str">
        <x:v>0.8</x:v>
      </x:c>
    </x:row>
    <x:row r="284" ht="52" customHeight="1">
      <x:c r="A284" s="24" t="str">
        <x:v>M4-BUFFER-283</x:v>
      </x:c>
      <x:c r="B284" s="24" t="str">
        <x:v>DY08 完成修复回流｜功能定义</x:v>
      </x:c>
      <x:c r="C284" s="24" t="str">
        <x:v>L5 DY01—DY08病药功能</x:v>
      </x:c>
      <x:c r="D284" s="24" t="str">
        <x:v>BUFFER-病药接口</x:v>
      </x:c>
      <x:c r="E284" s="24" t="str">
        <x:v>通用</x:v>
      </x:c>
      <x:c r="F284" s="24" t="str">
        <x:v>定义</x:v>
      </x:c>
      <x:c r="G284" s="24" t="str">
        <x:v>DY08 完成修复回流</x:v>
      </x:c>
      <x:c r="H284" s="24" t="str">
        <x:v>K08；定义病药接口中的功能任务。</x:v>
      </x:c>
      <x:c r="I284" s="24" t="str">
        <x:v>已经确认K08机制或相应修复断点。</x:v>
      </x:c>
      <x:c r="J284" s="24" t="str">
        <x:v>没有具体失衡靶点。</x:v>
      </x:c>
      <x:c r="K284" s="24" t="str">
        <x:v>由共享基础引擎提供；仅修正保护功能的承载、持续调用和压力状态下的稳定性，不直接等同成熟度、道德或现实行为。</x:v>
      </x:c>
      <x:c r="L284" s="24" t="str">
        <x:v>由M1／M2接口提供；夫妻星、心动原型和关系门槛只说明关系议题，不单独证明保护因素已经被调用或有效。</x:v>
      </x:c>
      <x:c r="M284" s="24" t="str">
        <x:v>由M3-BASE及M4各模块提供；日支、日柱近位可提高与亲密关系核心的相关性，但同一source_id不得重复计分。</x:v>
      </x:c>
      <x:c r="N284" s="24" t="str">
        <x:v>保护因素必须明确限制过用、补足缺位、恢复顺序、打开反馈、落实改变或完成修复回流；不能只凭五行相生补写现实效果。</x:v>
      </x:c>
      <x:c r="O284" s="24" t="str">
        <x:v>近位提高进入亲密关系核心的概率；远位只作背景、阶段或条件性修正。</x:v>
      </x:c>
      <x:c r="P284" s="24" t="str">
        <x:v>根气只修正该保护功能是否容易重复调用，不等于现实中已经形成稳定保护。</x:v>
      </x:c>
      <x:c r="Q284" s="24" t="str">
        <x:v>旺弱只修正调用强度与承载；强不自动有效，弱也不自动无效。</x:v>
      </x:c>
      <x:c r="R284" s="24" t="str">
        <x:v>喜忌只修正摩擦、平衡与承载，不可直接翻译为好坏、成熟度或解决方案。</x:v>
      </x:c>
      <x:c r="S284" s="24" t="str">
        <x:v>原十神功能有效；真合化成立时按化神功能替换，合化争议时停止定性。</x:v>
      </x:c>
      <x:c r="T284" s="24" t="str">
        <x:v>近位提高直接相关性；远位仅保留背景、阶段或低置信修正。</x:v>
      </x:c>
      <x:c r="U284" s="24" t="str">
        <x:v>95</x:v>
      </x:c>
      <x:c r="V284" s="24" t="str">
        <x:v>功能定义</x:v>
      </x:c>
      <x:c r="W284" s="24" t="str">
        <x:v>medicine_function</x:v>
      </x:c>
      <x:c r="X284" s="24" t="str">
        <x:v>完成修复回流的目标是：补齐修复链缺失节点并建立持续回访。</x:v>
      </x:c>
      <x:c r="Y284" s="24" t="str">
        <x:v>这里需要的不是增加某个五行，而是完成“补齐修复链缺失节点并建立持续回访”这项具体功能。</x:v>
      </x:c>
      <x:c r="Z284" s="24" t="str">
        <x:v>不得仅凭本规则断定问题已经解决、关系必然稳定、用户一定成熟、某十神天然是“药”、喜用神自动等于解决办法，或淡化暴力、强迫与现实伤害；现实行为、反例、安全事实和专业支持优先。</x:v>
      </x:c>
      <x:c r="AA284" s="24" t="str">
        <x:v>高</x:v>
      </x:c>
      <x:c r="AB284" s="24" t="str">
        <x:v>待验证</x:v>
      </x:c>
      <x:c r="AC284" s="24" t="str"/>
      <x:c r="AD284" s="24" t="str">
        <x:v>provisional=true；保护因素的现实有效性必须由可观察行为、反馈和持续结果验证。</x:v>
      </x:c>
      <x:c r="AE284" s="24" t="str">
        <x:v>0.8</x:v>
      </x:c>
    </x:row>
    <x:row r="285" ht="52" customHeight="1">
      <x:c r="A285" s="24" t="str">
        <x:v>M4-BUFFER-284</x:v>
      </x:c>
      <x:c r="B285" s="24" t="str">
        <x:v>DY08 完成修复回流｜诊断靶点</x:v>
      </x:c>
      <x:c r="C285" s="24" t="str">
        <x:v>L5 DY01—DY08病药功能</x:v>
      </x:c>
      <x:c r="D285" s="24" t="str">
        <x:v>BUFFER-病药接口</x:v>
      </x:c>
      <x:c r="E285" s="24" t="str">
        <x:v>通用</x:v>
      </x:c>
      <x:c r="F285" s="24" t="str">
        <x:v>路由</x:v>
      </x:c>
      <x:c r="G285" s="24" t="str">
        <x:v>DY08 完成修复回流</x:v>
      </x:c>
      <x:c r="H285" s="24" t="str">
        <x:v>K08；将药功能对应到明确K机制。</x:v>
      </x:c>
      <x:c r="I285" s="24" t="str">
        <x:v>K08已经达到E1或以上，且同源去重完成。</x:v>
      </x:c>
      <x:c r="J285" s="24" t="str">
        <x:v>只有十神旺弱标签，未说明关系任务。</x:v>
      </x:c>
      <x:c r="K285" s="24" t="str">
        <x:v>由共享基础引擎提供；仅修正保护功能的承载、持续调用和压力状态下的稳定性，不直接等同成熟度、道德或现实行为。</x:v>
      </x:c>
      <x:c r="L285" s="24" t="str">
        <x:v>由M1／M2接口提供；夫妻星、心动原型和关系门槛只说明关系议题，不单独证明保护因素已经被调用或有效。</x:v>
      </x:c>
      <x:c r="M285" s="24" t="str">
        <x:v>由M3-BASE及M4各模块提供；日支、日柱近位可提高与亲密关系核心的相关性，但同一source_id不得重复计分。</x:v>
      </x:c>
      <x:c r="N285" s="24" t="str">
        <x:v>保护因素必须明确限制过用、补足缺位、恢复顺序、打开反馈、落实改变或完成修复回流；不能只凭五行相生补写现实效果。</x:v>
      </x:c>
      <x:c r="O285" s="24" t="str">
        <x:v>近位提高进入亲密关系核心的概率；远位只作背景、阶段或条件性修正。</x:v>
      </x:c>
      <x:c r="P285" s="24" t="str">
        <x:v>根气只修正该保护功能是否容易重复调用，不等于现实中已经形成稳定保护。</x:v>
      </x:c>
      <x:c r="Q285" s="24" t="str">
        <x:v>旺弱只修正调用强度与承载；强不自动有效，弱也不自动无效。</x:v>
      </x:c>
      <x:c r="R285" s="24" t="str">
        <x:v>喜忌只修正摩擦、平衡与承载，不可直接翻译为好坏、成熟度或解决方案。</x:v>
      </x:c>
      <x:c r="S285" s="24" t="str">
        <x:v>原十神功能有效；真合化成立时按化神功能替换，合化争议时停止定性。</x:v>
      </x:c>
      <x:c r="T285" s="24" t="str">
        <x:v>近位提高直接相关性；远位仅保留背景、阶段或低置信修正。</x:v>
      </x:c>
      <x:c r="U285" s="24" t="str">
        <x:v>94</x:v>
      </x:c>
      <x:c r="V285" s="24" t="str">
        <x:v>靶点匹配+6</x:v>
      </x:c>
      <x:c r="W285" s="24" t="str">
        <x:v>buffer_target</x:v>
      </x:c>
      <x:c r="X285" s="24" t="str">
        <x:v>DY08专门路由至K08。</x:v>
      </x:c>
      <x:c r="Y285" s="24" t="str">
        <x:v>这项调节只针对已经确认的K08问题，不作为万能解决办法。</x:v>
      </x:c>
      <x:c r="Z285" s="24" t="str">
        <x:v>不得仅凭本规则断定问题已经解决、关系必然稳定、用户一定成熟、某十神天然是“药”、喜用神自动等于解决办法，或淡化暴力、强迫与现实伤害；现实行为、反例、安全事实和专业支持优先。</x:v>
      </x:c>
      <x:c r="AA285" s="24" t="str">
        <x:v>高</x:v>
      </x:c>
      <x:c r="AB285" s="24" t="str">
        <x:v>待验证</x:v>
      </x:c>
      <x:c r="AC285" s="24" t="str"/>
      <x:c r="AD285" s="24" t="str">
        <x:v>provisional=true；保护因素的现实有效性必须由可观察行为、反馈和持续结果验证。</x:v>
      </x:c>
      <x:c r="AE285" s="24" t="str">
        <x:v>0.8</x:v>
      </x:c>
    </x:row>
    <x:row r="286" ht="52" customHeight="1">
      <x:c r="A286" s="24" t="str">
        <x:v>M4-BUFFER-285</x:v>
      </x:c>
      <x:c r="B286" s="24" t="str">
        <x:v>DY08 完成修复回流｜可用资源</x:v>
      </x:c>
      <x:c r="C286" s="24" t="str">
        <x:v>L5 DY01—DY08病药功能</x:v>
      </x:c>
      <x:c r="D286" s="24" t="str">
        <x:v>BUFFER-病药接口</x:v>
      </x:c>
      <x:c r="E286" s="24" t="str">
        <x:v>通用</x:v>
      </x:c>
      <x:c r="F286" s="24" t="str">
        <x:v>资源</x:v>
      </x:c>
      <x:c r="G286" s="24" t="str">
        <x:v>DY08 完成修复回流</x:v>
      </x:c>
      <x:c r="H286" s="24" t="str">
        <x:v>K08；列出可承担该药功能的保护资源。</x:v>
      </x:c>
      <x:c r="I286" s="24" t="str">
        <x:v>存在BF07完整修复、BF06持续兑现、BF03边界与BF04影响确认中的至少一项独立有效资源。</x:v>
      </x:c>
      <x:c r="J286" s="24" t="str">
        <x:v>资源弱远、受损、功能错配或只是同源重复。</x:v>
      </x:c>
      <x:c r="K286" s="24" t="str">
        <x:v>由共享基础引擎提供；仅修正保护功能的承载、持续调用和压力状态下的稳定性，不直接等同成熟度、道德或现实行为。</x:v>
      </x:c>
      <x:c r="L286" s="24" t="str">
        <x:v>由M1／M2接口提供；夫妻星、心动原型和关系门槛只说明关系议题，不单独证明保护因素已经被调用或有效。</x:v>
      </x:c>
      <x:c r="M286" s="24" t="str">
        <x:v>由M3-BASE及M4各模块提供；日支、日柱近位可提高与亲密关系核心的相关性，但同一source_id不得重复计分。</x:v>
      </x:c>
      <x:c r="N286" s="24" t="str">
        <x:v>保护因素必须明确限制过用、补足缺位、恢复顺序、打开反馈、落实改变或完成修复回流；不能只凭五行相生补写现实效果。</x:v>
      </x:c>
      <x:c r="O286" s="24" t="str">
        <x:v>近位提高进入亲密关系核心的概率；远位只作背景、阶段或条件性修正。</x:v>
      </x:c>
      <x:c r="P286" s="24" t="str">
        <x:v>根气只修正该保护功能是否容易重复调用，不等于现实中已经形成稳定保护。</x:v>
      </x:c>
      <x:c r="Q286" s="24" t="str">
        <x:v>旺弱只修正调用强度与承载；强不自动有效，弱也不自动无效。</x:v>
      </x:c>
      <x:c r="R286" s="24" t="str">
        <x:v>喜忌只修正摩擦、平衡与承载，不可直接翻译为好坏、成熟度或解决方案。</x:v>
      </x:c>
      <x:c r="S286" s="24" t="str">
        <x:v>原十神功能有效；真合化成立时按化神功能替换，合化争议时停止定性。</x:v>
      </x:c>
      <x:c r="T286" s="24" t="str">
        <x:v>近位提高直接相关性；远位仅保留背景、阶段或低置信修正。</x:v>
      </x:c>
      <x:c r="U286" s="24" t="str">
        <x:v>90</x:v>
      </x:c>
      <x:c r="V286" s="24" t="str">
        <x:v>独立资源+6</x:v>
      </x:c>
      <x:c r="W286" s="24" t="str">
        <x:v>buffer_factor</x:v>
      </x:c>
      <x:c r="X286" s="24" t="str">
        <x:v>可用资源包括：BF07完整修复、BF06持续兑现、BF03边界与BF04影响确认。</x:v>
      </x:c>
      <x:c r="Y286" s="24" t="str">
        <x:v>可能帮助你的资源包括：BF07完整修复、BF06持续兑现、BF03边界与BF04影响确认，但要继续看现实中是否会调用。</x:v>
      </x:c>
      <x:c r="Z286" s="24" t="str">
        <x:v>不得仅凭本规则断定问题已经解决、关系必然稳定、用户一定成熟、某十神天然是“药”、喜用神自动等于解决办法，或淡化暴力、强迫与现实伤害；现实行为、反例、安全事实和专业支持优先。</x:v>
      </x:c>
      <x:c r="AA286" s="24" t="str">
        <x:v>中高</x:v>
      </x:c>
      <x:c r="AB286" s="24" t="str">
        <x:v>待验证</x:v>
      </x:c>
      <x:c r="AC286" s="24" t="str"/>
      <x:c r="AD286" s="24" t="str">
        <x:v>provisional=true；保护因素的现实有效性必须由可观察行为、反馈和持续结果验证。</x:v>
      </x:c>
      <x:c r="AE286" s="24" t="str">
        <x:v>0.8</x:v>
      </x:c>
    </x:row>
    <x:row r="287" ht="52" customHeight="1">
      <x:c r="A287" s="24" t="str">
        <x:v>M4-BUFFER-286</x:v>
      </x:c>
      <x:c r="B287" s="24" t="str">
        <x:v>DY08 完成修复回流｜现实有效标志</x:v>
      </x:c>
      <x:c r="C287" s="24" t="str">
        <x:v>L5 DY01—DY08病药功能</x:v>
      </x:c>
      <x:c r="D287" s="24" t="str">
        <x:v>BUFFER-病药接口</x:v>
      </x:c>
      <x:c r="E287" s="24" t="str">
        <x:v>通用</x:v>
      </x:c>
      <x:c r="F287" s="24" t="str">
        <x:v>效果</x:v>
      </x:c>
      <x:c r="G287" s="24" t="str">
        <x:v>DY08 完成修复回流</x:v>
      </x:c>
      <x:c r="H287" s="24" t="str">
        <x:v>K08；判断药功能是否真正改变风险链。</x:v>
      </x:c>
      <x:c r="I287" s="24" t="str">
        <x:v>问题停止之后，理解、责任、边界、改变和开放重新进入。</x:v>
      </x:c>
      <x:c r="J287" s="24" t="str">
        <x:v>只完成道歉、补偿、安抚或方案中的一项。</x:v>
      </x:c>
      <x:c r="K287" s="24" t="str">
        <x:v>由共享基础引擎提供；仅修正保护功能的承载、持续调用和压力状态下的稳定性，不直接等同成熟度、道德或现实行为。</x:v>
      </x:c>
      <x:c r="L287" s="24" t="str">
        <x:v>由M1／M2接口提供；夫妻星、心动原型和关系门槛只说明关系议题，不单独证明保护因素已经被调用或有效。</x:v>
      </x:c>
      <x:c r="M287" s="24" t="str">
        <x:v>由M3-BASE及M4各模块提供；日支、日柱近位可提高与亲密关系核心的相关性，但同一source_id不得重复计分。</x:v>
      </x:c>
      <x:c r="N287" s="24" t="str">
        <x:v>保护因素必须明确限制过用、补足缺位、恢复顺序、打开反馈、落实改变或完成修复回流；不能只凭五行相生补写现实效果。</x:v>
      </x:c>
      <x:c r="O287" s="24" t="str">
        <x:v>近位提高进入亲密关系核心的概率；远位只作背景、阶段或条件性修正。</x:v>
      </x:c>
      <x:c r="P287" s="24" t="str">
        <x:v>根气只修正该保护功能是否容易重复调用，不等于现实中已经形成稳定保护。</x:v>
      </x:c>
      <x:c r="Q287" s="24" t="str">
        <x:v>旺弱只修正调用强度与承载；强不自动有效，弱也不自动无效。</x:v>
      </x:c>
      <x:c r="R287" s="24" t="str">
        <x:v>喜忌只修正摩擦、平衡与承载，不可直接翻译为好坏、成熟度或解决方案。</x:v>
      </x:c>
      <x:c r="S287" s="24" t="str">
        <x:v>原十神功能有效；真合化成立时按化神功能替换，合化争议时停止定性。</x:v>
      </x:c>
      <x:c r="T287" s="24" t="str">
        <x:v>近位提高直接相关性；远位仅保留背景、阶段或低置信修正。</x:v>
      </x:c>
      <x:c r="U287" s="24" t="str">
        <x:v>92</x:v>
      </x:c>
      <x:c r="V287" s="24" t="str">
        <x:v>效果+12</x:v>
      </x:c>
      <x:c r="W287" s="24" t="str">
        <x:v>buffer_level</x:v>
      </x:c>
      <x:c r="X287" s="24" t="str">
        <x:v>现实有效标志：问题停止之后，理解、责任、边界、改变和开放重新进入。</x:v>
      </x:c>
      <x:c r="Y287" s="24" t="str">
        <x:v>真正有效时会看到：问题停止之后，理解、责任、边界、改变和开放重新进入。</x:v>
      </x:c>
      <x:c r="Z287" s="24" t="str">
        <x:v>不得仅凭本规则断定问题已经解决、关系必然稳定、用户一定成熟、某十神天然是“药”、喜用神自动等于解决办法，或淡化暴力、强迫与现实伤害；现实行为、反例、安全事实和专业支持优先。</x:v>
      </x:c>
      <x:c r="AA287" s="24" t="str">
        <x:v>中高</x:v>
      </x:c>
      <x:c r="AB287" s="24" t="str">
        <x:v>待验证</x:v>
      </x:c>
      <x:c r="AC287" s="24" t="str"/>
      <x:c r="AD287" s="24" t="str">
        <x:v>provisional=true；保护因素的现实有效性必须由可观察行为、反馈和持续结果验证。</x:v>
      </x:c>
      <x:c r="AE287" s="24" t="str">
        <x:v>0.8</x:v>
      </x:c>
    </x:row>
    <x:row r="288" ht="52" customHeight="1">
      <x:c r="A288" s="24" t="str">
        <x:v>M4-BUFFER-287</x:v>
      </x:c>
      <x:c r="B288" s="24" t="str">
        <x:v>DY08 完成修复回流｜无效／过量边界</x:v>
      </x:c>
      <x:c r="C288" s="24" t="str">
        <x:v>L5 DY01—DY08病药功能</x:v>
      </x:c>
      <x:c r="D288" s="24" t="str">
        <x:v>BUFFER-病药接口</x:v>
      </x:c>
      <x:c r="E288" s="24" t="str">
        <x:v>通用</x:v>
      </x:c>
      <x:c r="F288" s="24" t="str">
        <x:v>降级</x:v>
      </x:c>
      <x:c r="G288" s="24" t="str">
        <x:v>DY08 完成修复回流</x:v>
      </x:c>
      <x:c r="H288" s="24" t="str">
        <x:v>K08；防止药功能变成新的失衡。</x:v>
      </x:c>
      <x:c r="I288" s="24" t="str">
        <x:v>只完成道歉、补偿、安抚或方案中的一项。</x:v>
      </x:c>
      <x:c r="J288" s="24" t="str">
        <x:v>问题停止之后，理解、责任、边界、改变和开放重新进入。</x:v>
      </x:c>
      <x:c r="K288" s="24" t="str">
        <x:v>由共享基础引擎提供；仅修正保护功能的承载、持续调用和压力状态下的稳定性，不直接等同成熟度、道德或现实行为。</x:v>
      </x:c>
      <x:c r="L288" s="24" t="str">
        <x:v>由M1／M2接口提供；夫妻星、心动原型和关系门槛只说明关系议题，不单独证明保护因素已经被调用或有效。</x:v>
      </x:c>
      <x:c r="M288" s="24" t="str">
        <x:v>由M3-BASE及M4各模块提供；日支、日柱近位可提高与亲密关系核心的相关性，但同一source_id不得重复计分。</x:v>
      </x:c>
      <x:c r="N288" s="24" t="str">
        <x:v>保护因素必须明确限制过用、补足缺位、恢复顺序、打开反馈、落实改变或完成修复回流；不能只凭五行相生补写现实效果。</x:v>
      </x:c>
      <x:c r="O288" s="24" t="str">
        <x:v>近位提高进入亲密关系核心的概率；远位只作背景、阶段或条件性修正。</x:v>
      </x:c>
      <x:c r="P288" s="24" t="str">
        <x:v>根气只修正该保护功能是否容易重复调用，不等于现实中已经形成稳定保护。</x:v>
      </x:c>
      <x:c r="Q288" s="24" t="str">
        <x:v>旺弱只修正调用强度与承载；强不自动有效，弱也不自动无效。</x:v>
      </x:c>
      <x:c r="R288" s="24" t="str">
        <x:v>喜忌只修正摩擦、平衡与承载，不可直接翻译为好坏、成熟度或解决方案。</x:v>
      </x:c>
      <x:c r="S288" s="24" t="str">
        <x:v>原十神功能有效；真合化成立时按化神功能替换，合化争议时停止定性。</x:v>
      </x:c>
      <x:c r="T288" s="24" t="str">
        <x:v>近位提高直接相关性；远位仅保留背景、阶段或低置信修正。</x:v>
      </x:c>
      <x:c r="U288" s="24" t="str">
        <x:v>97</x:v>
      </x:c>
      <x:c r="V288" s="24" t="str">
        <x:v>无效-10</x:v>
      </x:c>
      <x:c r="W288" s="24" t="str">
        <x:v>pseudo_buffer</x:v>
      </x:c>
      <x:c r="X288" s="24" t="str">
        <x:v>失效或过量表现：只完成道歉、补偿、安抚或方案中的一项。</x:v>
      </x:c>
      <x:c r="Y288" s="24" t="str">
        <x:v>若只是“只完成道歉、补偿、安抚或方案中的一项。”，就不能把它视为有效调节。</x:v>
      </x:c>
      <x:c r="Z288" s="24" t="str">
        <x:v>不得仅凭本规则断定问题已经解决、关系必然稳定、用户一定成熟、某十神天然是“药”、喜用神自动等于解决办法，或淡化暴力、强迫与现实伤害；现实行为、反例、安全事实和专业支持优先。</x:v>
      </x:c>
      <x:c r="AA288" s="24" t="str">
        <x:v>高</x:v>
      </x:c>
      <x:c r="AB288" s="24" t="str">
        <x:v>待验证</x:v>
      </x:c>
      <x:c r="AC288" s="24" t="str"/>
      <x:c r="AD288" s="24" t="str">
        <x:v>provisional=true；保护因素的现实有效性必须由可观察行为、反馈和持续结果验证。</x:v>
      </x:c>
      <x:c r="AE288" s="24" t="str">
        <x:v>0.8</x:v>
      </x:c>
    </x:row>
    <x:row r="289" ht="52" customHeight="1">
      <x:c r="A289" s="24" t="str">
        <x:v>M4-BUFFER-288</x:v>
      </x:c>
      <x:c r="B289" s="24" t="str">
        <x:v>DY08 完成修复回流｜用户输出</x:v>
      </x:c>
      <x:c r="C289" s="24" t="str">
        <x:v>L5 DY01—DY08病药功能</x:v>
      </x:c>
      <x:c r="D289" s="24" t="str">
        <x:v>BUFFER-病药接口</x:v>
      </x:c>
      <x:c r="E289" s="24" t="str">
        <x:v>通用</x:v>
      </x:c>
      <x:c r="F289" s="24" t="str">
        <x:v>语言</x:v>
      </x:c>
      <x:c r="G289" s="24" t="str">
        <x:v>DY08 完成修复回流</x:v>
      </x:c>
      <x:c r="H289" s="24" t="str">
        <x:v>K08；生成病药功能语言。</x:v>
      </x:c>
      <x:c r="I289" s="24" t="str">
        <x:v>K08成立且存在匹配资源。</x:v>
      </x:c>
      <x:c r="J289" s="24" t="str">
        <x:v>只完成道歉、补偿、安抚或方案中的一项。</x:v>
      </x:c>
      <x:c r="K289" s="24" t="str">
        <x:v>由共享基础引擎提供；仅修正保护功能的承载、持续调用和压力状态下的稳定性，不直接等同成熟度、道德或现实行为。</x:v>
      </x:c>
      <x:c r="L289" s="24" t="str">
        <x:v>由M1／M2接口提供；夫妻星、心动原型和关系门槛只说明关系议题，不单独证明保护因素已经被调用或有效。</x:v>
      </x:c>
      <x:c r="M289" s="24" t="str">
        <x:v>由M3-BASE及M4各模块提供；日支、日柱近位可提高与亲密关系核心的相关性，但同一source_id不得重复计分。</x:v>
      </x:c>
      <x:c r="N289" s="24" t="str">
        <x:v>保护因素必须明确限制过用、补足缺位、恢复顺序、打开反馈、落实改变或完成修复回流；不能只凭五行相生补写现实效果。</x:v>
      </x:c>
      <x:c r="O289" s="24" t="str">
        <x:v>近位提高进入亲密关系核心的概率；远位只作背景、阶段或条件性修正。</x:v>
      </x:c>
      <x:c r="P289" s="24" t="str">
        <x:v>根气只修正该保护功能是否容易重复调用，不等于现实中已经形成稳定保护。</x:v>
      </x:c>
      <x:c r="Q289" s="24" t="str">
        <x:v>旺弱只修正调用强度与承载；强不自动有效，弱也不自动无效。</x:v>
      </x:c>
      <x:c r="R289" s="24" t="str">
        <x:v>喜忌只修正摩擦、平衡与承载，不可直接翻译为好坏、成熟度或解决方案。</x:v>
      </x:c>
      <x:c r="S289" s="24" t="str">
        <x:v>原十神功能有效；真合化成立时按化神功能替换，合化争议时停止定性。</x:v>
      </x:c>
      <x:c r="T289" s="24" t="str">
        <x:v>近位提高直接相关性；远位仅保留背景、阶段或低置信修正。</x:v>
      </x:c>
      <x:c r="U289" s="24" t="str">
        <x:v>84</x:v>
      </x:c>
      <x:c r="V289" s="24" t="str">
        <x:v>不加分；输出</x:v>
      </x:c>
      <x:c r="W289" s="24" t="str">
        <x:v>report_text</x:v>
      </x:c>
      <x:c r="X289" s="24" t="str">
        <x:v>病是K08所描述的功能失衡；药是能够补齐修复链缺失节点并建立持续回访的具体功能。</x:v>
      </x:c>
      <x:c r="Y289" s="24" t="str">
        <x:v>你需要补上的不是一个抽象标签，而是：补齐修复链缺失节点并建立持续回访。</x:v>
      </x:c>
      <x:c r="Z289" s="24" t="str">
        <x:v>不得仅凭本规则断定问题已经解决、关系必然稳定、用户一定成熟、某十神天然是“药”、喜用神自动等于解决办法，或淡化暴力、强迫与现实伤害；现实行为、反例、安全事实和专业支持优先。</x:v>
      </x:c>
      <x:c r="AA289" s="24" t="str">
        <x:v>中高</x:v>
      </x:c>
      <x:c r="AB289" s="24" t="str">
        <x:v>待验证</x:v>
      </x:c>
      <x:c r="AC289" s="24" t="str"/>
      <x:c r="AD289" s="24" t="str">
        <x:v>provisional=true；保护因素的现实有效性必须由可观察行为、反馈和持续结果验证。</x:v>
      </x:c>
      <x:c r="AE289" s="24" t="str">
        <x:v>0.8</x:v>
      </x:c>
    </x:row>
    <x:row r="290" ht="52" customHeight="1">
      <x:c r="A290" s="24" t="str">
        <x:v>M4-BUFFER-289</x:v>
      </x:c>
      <x:c r="B290" s="24" t="str">
        <x:v>K01 过用放大｜问题摘要</x:v>
      </x:c>
      <x:c r="C290" s="24" t="str">
        <x:v>L6 K01—K08保护路由</x:v>
      </x:c>
      <x:c r="D290" s="24" t="str">
        <x:v>BUFFER-K机制接口</x:v>
      </x:c>
      <x:c r="E290" s="24" t="str">
        <x:v>通用</x:v>
      </x:c>
      <x:c r="F290" s="24" t="str">
        <x:v>定义</x:v>
      </x:c>
      <x:c r="G290" s="24" t="str">
        <x:v>K01 过用放大</x:v>
      </x:c>
      <x:c r="H290" s="24" t="str">
        <x:v>保留原问题定义。</x:v>
      </x:c>
      <x:c r="I290" s="24" t="str">
        <x:v>K01已由OVERUSE、LOOP或REPAIR形成候选。</x:v>
      </x:c>
      <x:c r="J290" s="24" t="str">
        <x:v>只有单一十神标签。</x:v>
      </x:c>
      <x:c r="K290" s="24" t="str">
        <x:v>由共享基础引擎提供；仅修正保护功能的承载、持续调用和压力状态下的稳定性，不直接等同成熟度、道德或现实行为。</x:v>
      </x:c>
      <x:c r="L290" s="24" t="str">
        <x:v>由M1／M2接口提供；夫妻星、心动原型和关系门槛只说明关系议题，不单独证明保护因素已经被调用或有效。</x:v>
      </x:c>
      <x:c r="M290" s="24" t="str">
        <x:v>由M3-BASE及M4各模块提供；日支、日柱近位可提高与亲密关系核心的相关性，但同一source_id不得重复计分。</x:v>
      </x:c>
      <x:c r="N290" s="24" t="str">
        <x:v>保护因素必须明确限制过用、补足缺位、恢复顺序、打开反馈、落实改变或完成修复回流；不能只凭五行相生补写现实效果。</x:v>
      </x:c>
      <x:c r="O290" s="24" t="str">
        <x:v>近位提高进入亲密关系核心的概率；远位只作背景、阶段或条件性修正。</x:v>
      </x:c>
      <x:c r="P290" s="24" t="str">
        <x:v>根气只修正该保护功能是否容易重复调用，不等于现实中已经形成稳定保护。</x:v>
      </x:c>
      <x:c r="Q290" s="24" t="str">
        <x:v>旺弱只修正调用强度与承载；强不自动有效，弱也不自动无效。</x:v>
      </x:c>
      <x:c r="R290" s="24" t="str">
        <x:v>喜忌只修正摩擦、平衡与承载，不可直接翻译为好坏、成熟度或解决方案。</x:v>
      </x:c>
      <x:c r="S290" s="24" t="str">
        <x:v>原十神功能有效；真合化成立时按化神功能替换，合化争议时停止定性。</x:v>
      </x:c>
      <x:c r="T290" s="24" t="str">
        <x:v>近位提高直接相关性；远位仅保留背景、阶段或低置信修正。</x:v>
      </x:c>
      <x:c r="U290" s="24" t="str">
        <x:v>94</x:v>
      </x:c>
      <x:c r="V290" s="24" t="str">
        <x:v>不加分；继承</x:v>
      </x:c>
      <x:c r="W290" s="24" t="str">
        <x:v>blind_spot_theme</x:v>
      </x:c>
      <x:c r="X290" s="24" t="str">
        <x:v>某项正常功能抢先、重复或占位过多，压缩另一项必要功能。</x:v>
      </x:c>
      <x:c r="Y290" s="24" t="str">
        <x:v>当前需要处理的核心不是某个十神好坏，而是：某项正常功能抢先、重复或占位过多，压缩另一项必要功能。</x:v>
      </x:c>
      <x:c r="Z290" s="24" t="str">
        <x:v>不得仅凭本规则断定问题已经解决、关系必然稳定、用户一定成熟、某十神天然是“药”、喜用神自动等于解决办法，或淡化暴力、强迫与现实伤害；现实行为、反例、安全事实和专业支持优先。</x:v>
      </x:c>
      <x:c r="AA290" s="24" t="str">
        <x:v>中高</x:v>
      </x:c>
      <x:c r="AB290" s="24" t="str">
        <x:v>待验证</x:v>
      </x:c>
      <x:c r="AC290" s="24" t="str"/>
      <x:c r="AD290" s="24" t="str">
        <x:v>provisional=true；保护因素的现实有效性必须由可观察行为、反馈和持续结果验证。</x:v>
      </x:c>
      <x:c r="AE290" s="24" t="str">
        <x:v>0.8</x:v>
      </x:c>
    </x:row>
    <x:row r="291" ht="52" customHeight="1">
      <x:c r="A291" s="24" t="str">
        <x:v>M4-BUFFER-290</x:v>
      </x:c>
      <x:c r="B291" s="24" t="str">
        <x:v>K01 过用放大｜主保护路由</x:v>
      </x:c>
      <x:c r="C291" s="24" t="str">
        <x:v>L6 K01—K08保护路由</x:v>
      </x:c>
      <x:c r="D291" s="24" t="str">
        <x:v>BUFFER-K机制接口</x:v>
      </x:c>
      <x:c r="E291" s="24" t="str">
        <x:v>通用</x:v>
      </x:c>
      <x:c r="F291" s="24" t="str">
        <x:v>路由</x:v>
      </x:c>
      <x:c r="G291" s="24" t="str">
        <x:v>K01 过用放大</x:v>
      </x:c>
      <x:c r="H291" s="24" t="str">
        <x:v>确定首选保护功能。</x:v>
      </x:c>
      <x:c r="I291" s="24" t="str">
        <x:v>K01达到E1以上，且BF01有效制化结构可用。</x:v>
      </x:c>
      <x:c r="J291" s="24" t="str">
        <x:v>BF01有效制化与风险来源同源重复或功能不匹配。</x:v>
      </x:c>
      <x:c r="K291" s="24" t="str">
        <x:v>由共享基础引擎提供；仅修正保护功能的承载、持续调用和压力状态下的稳定性，不直接等同成熟度、道德或现实行为。</x:v>
      </x:c>
      <x:c r="L291" s="24" t="str">
        <x:v>由M1／M2接口提供；夫妻星、心动原型和关系门槛只说明关系议题，不单独证明保护因素已经被调用或有效。</x:v>
      </x:c>
      <x:c r="M291" s="24" t="str">
        <x:v>由M3-BASE及M4各模块提供；日支、日柱近位可提高与亲密关系核心的相关性，但同一source_id不得重复计分。</x:v>
      </x:c>
      <x:c r="N291" s="24" t="str">
        <x:v>保护因素必须明确限制过用、补足缺位、恢复顺序、打开反馈、落实改变或完成修复回流；不能只凭五行相生补写现实效果。</x:v>
      </x:c>
      <x:c r="O291" s="24" t="str">
        <x:v>近位提高进入亲密关系核心的概率；远位只作背景、阶段或条件性修正。</x:v>
      </x:c>
      <x:c r="P291" s="24" t="str">
        <x:v>根气只修正该保护功能是否容易重复调用，不等于现实中已经形成稳定保护。</x:v>
      </x:c>
      <x:c r="Q291" s="24" t="str">
        <x:v>旺弱只修正调用强度与承载；强不自动有效，弱也不自动无效。</x:v>
      </x:c>
      <x:c r="R291" s="24" t="str">
        <x:v>喜忌只修正摩擦、平衡与承载，不可直接翻译为好坏、成熟度或解决方案。</x:v>
      </x:c>
      <x:c r="S291" s="24" t="str">
        <x:v>原十神功能有效；真合化成立时按化神功能替换，合化争议时停止定性。</x:v>
      </x:c>
      <x:c r="T291" s="24" t="str">
        <x:v>近位提高直接相关性；远位仅保留背景、阶段或低置信修正。</x:v>
      </x:c>
      <x:c r="U291" s="24" t="str">
        <x:v>95</x:v>
      </x:c>
      <x:c r="V291" s="24" t="str">
        <x:v>主路由+8</x:v>
      </x:c>
      <x:c r="W291" s="24" t="str">
        <x:v>primary_buffer</x:v>
      </x:c>
      <x:c r="X291" s="24" t="str">
        <x:v>K01优先路由至BF01有效制化。</x:v>
      </x:c>
      <x:c r="Y291" s="24" t="str">
        <x:v>最优先检查的是BF01有效制化能否进入并改变当前链条。</x:v>
      </x:c>
      <x:c r="Z291" s="24" t="str">
        <x:v>不得仅凭本规则断定问题已经解决、关系必然稳定、用户一定成熟、某十神天然是“药”、喜用神自动等于解决办法，或淡化暴力、强迫与现实伤害；现实行为、反例、安全事实和专业支持优先。</x:v>
      </x:c>
      <x:c r="AA291" s="24" t="str">
        <x:v>中高</x:v>
      </x:c>
      <x:c r="AB291" s="24" t="str">
        <x:v>待验证</x:v>
      </x:c>
      <x:c r="AC291" s="24" t="str"/>
      <x:c r="AD291" s="24" t="str">
        <x:v>provisional=true；保护因素的现实有效性必须由可观察行为、反馈和持续结果验证。</x:v>
      </x:c>
      <x:c r="AE291" s="24" t="str">
        <x:v>0.8</x:v>
      </x:c>
    </x:row>
    <x:row r="292" ht="52" customHeight="1">
      <x:c r="A292" s="24" t="str">
        <x:v>M4-BUFFER-291</x:v>
      </x:c>
      <x:c r="B292" s="24" t="str">
        <x:v>K01 过用放大｜次保护路由</x:v>
      </x:c>
      <x:c r="C292" s="24" t="str">
        <x:v>L6 K01—K08保护路由</x:v>
      </x:c>
      <x:c r="D292" s="24" t="str">
        <x:v>BUFFER-K机制接口</x:v>
      </x:c>
      <x:c r="E292" s="24" t="str">
        <x:v>通用</x:v>
      </x:c>
      <x:c r="F292" s="24" t="str">
        <x:v>路由</x:v>
      </x:c>
      <x:c r="G292" s="24" t="str">
        <x:v>K01 过用放大</x:v>
      </x:c>
      <x:c r="H292" s="24" t="str">
        <x:v>补充第二类保护功能。</x:v>
      </x:c>
      <x:c r="I292" s="24" t="str">
        <x:v>主保护不足以独立改变链条，且存在BF03独立边界／BF04倾听复核／BF08状态分工中的独立资源。</x:v>
      </x:c>
      <x:c r="J292" s="24" t="str">
        <x:v>把所有次资源堆叠成万能保护。</x:v>
      </x:c>
      <x:c r="K292" s="24" t="str">
        <x:v>由共享基础引擎提供；仅修正保护功能的承载、持续调用和压力状态下的稳定性，不直接等同成熟度、道德或现实行为。</x:v>
      </x:c>
      <x:c r="L292" s="24" t="str">
        <x:v>由M1／M2接口提供；夫妻星、心动原型和关系门槛只说明关系议题，不单独证明保护因素已经被调用或有效。</x:v>
      </x:c>
      <x:c r="M292" s="24" t="str">
        <x:v>由M3-BASE及M4各模块提供；日支、日柱近位可提高与亲密关系核心的相关性，但同一source_id不得重复计分。</x:v>
      </x:c>
      <x:c r="N292" s="24" t="str">
        <x:v>保护因素必须明确限制过用、补足缺位、恢复顺序、打开反馈、落实改变或完成修复回流；不能只凭五行相生补写现实效果。</x:v>
      </x:c>
      <x:c r="O292" s="24" t="str">
        <x:v>近位提高进入亲密关系核心的概率；远位只作背景、阶段或条件性修正。</x:v>
      </x:c>
      <x:c r="P292" s="24" t="str">
        <x:v>根气只修正该保护功能是否容易重复调用，不等于现实中已经形成稳定保护。</x:v>
      </x:c>
      <x:c r="Q292" s="24" t="str">
        <x:v>旺弱只修正调用强度与承载；强不自动有效，弱也不自动无效。</x:v>
      </x:c>
      <x:c r="R292" s="24" t="str">
        <x:v>喜忌只修正摩擦、平衡与承载，不可直接翻译为好坏、成熟度或解决方案。</x:v>
      </x:c>
      <x:c r="S292" s="24" t="str">
        <x:v>原十神功能有效；真合化成立时按化神功能替换，合化争议时停止定性。</x:v>
      </x:c>
      <x:c r="T292" s="24" t="str">
        <x:v>近位提高直接相关性；远位仅保留背景、阶段或低置信修正。</x:v>
      </x:c>
      <x:c r="U292" s="24" t="str">
        <x:v>90</x:v>
      </x:c>
      <x:c r="V292" s="24" t="str">
        <x:v>次路由+4</x:v>
      </x:c>
      <x:c r="W292" s="24" t="str">
        <x:v>secondary_buffer</x:v>
      </x:c>
      <x:c r="X292" s="24" t="str">
        <x:v>次级资源可来自：BF03独立边界／BF04倾听复核／BF08状态分工。</x:v>
      </x:c>
      <x:c r="Y292" s="24" t="str">
        <x:v>若主资源不足，还可以检查BF03独立边界／BF04倾听复核／BF08状态分工是否提供补位。</x:v>
      </x:c>
      <x:c r="Z292" s="24" t="str">
        <x:v>不得仅凭本规则断定问题已经解决、关系必然稳定、用户一定成熟、某十神天然是“药”、喜用神自动等于解决办法，或淡化暴力、强迫与现实伤害；现实行为、反例、安全事实和专业支持优先。</x:v>
      </x:c>
      <x:c r="AA292" s="24" t="str">
        <x:v>中高</x:v>
      </x:c>
      <x:c r="AB292" s="24" t="str">
        <x:v>待验证</x:v>
      </x:c>
      <x:c r="AC292" s="24" t="str"/>
      <x:c r="AD292" s="24" t="str">
        <x:v>provisional=true；保护因素的现实有效性必须由可观察行为、反馈和持续结果验证。</x:v>
      </x:c>
      <x:c r="AE292" s="24" t="str">
        <x:v>0.8</x:v>
      </x:c>
    </x:row>
    <x:row r="293" ht="52" customHeight="1">
      <x:c r="A293" s="24" t="str">
        <x:v>M4-BUFFER-292</x:v>
      </x:c>
      <x:c r="B293" s="24" t="str">
        <x:v>K01 过用放大｜有效标志</x:v>
      </x:c>
      <x:c r="C293" s="24" t="str">
        <x:v>L6 K01—K08保护路由</x:v>
      </x:c>
      <x:c r="D293" s="24" t="str">
        <x:v>BUFFER-K机制接口</x:v>
      </x:c>
      <x:c r="E293" s="24" t="str">
        <x:v>通用</x:v>
      </x:c>
      <x:c r="F293" s="24" t="str">
        <x:v>效果</x:v>
      </x:c>
      <x:c r="G293" s="24" t="str">
        <x:v>K01 过用放大</x:v>
      </x:c>
      <x:c r="H293" s="24" t="str">
        <x:v>判断保护是否真正改变K机制。</x:v>
      </x:c>
      <x:c r="I293" s="24" t="str">
        <x:v>主功能仍可使用，但强度、范围或时机被限制，第二功能能够进入。</x:v>
      </x:c>
      <x:c r="J293" s="24" t="str">
        <x:v>只是压制原功能，或由另一项过强功能接管。</x:v>
      </x:c>
      <x:c r="K293" s="24" t="str">
        <x:v>由共享基础引擎提供；仅修正保护功能的承载、持续调用和压力状态下的稳定性，不直接等同成熟度、道德或现实行为。</x:v>
      </x:c>
      <x:c r="L293" s="24" t="str">
        <x:v>由M1／M2接口提供；夫妻星、心动原型和关系门槛只说明关系议题，不单独证明保护因素已经被调用或有效。</x:v>
      </x:c>
      <x:c r="M293" s="24" t="str">
        <x:v>由M3-BASE及M4各模块提供；日支、日柱近位可提高与亲密关系核心的相关性，但同一source_id不得重复计分。</x:v>
      </x:c>
      <x:c r="N293" s="24" t="str">
        <x:v>保护因素必须明确限制过用、补足缺位、恢复顺序、打开反馈、落实改变或完成修复回流；不能只凭五行相生补写现实效果。</x:v>
      </x:c>
      <x:c r="O293" s="24" t="str">
        <x:v>近位提高进入亲密关系核心的概率；远位只作背景、阶段或条件性修正。</x:v>
      </x:c>
      <x:c r="P293" s="24" t="str">
        <x:v>根气只修正该保护功能是否容易重复调用，不等于现实中已经形成稳定保护。</x:v>
      </x:c>
      <x:c r="Q293" s="24" t="str">
        <x:v>旺弱只修正调用强度与承载；强不自动有效，弱也不自动无效。</x:v>
      </x:c>
      <x:c r="R293" s="24" t="str">
        <x:v>喜忌只修正摩擦、平衡与承载，不可直接翻译为好坏、成熟度或解决方案。</x:v>
      </x:c>
      <x:c r="S293" s="24" t="str">
        <x:v>原十神功能有效；真合化成立时按化神功能替换，合化争议时停止定性。</x:v>
      </x:c>
      <x:c r="T293" s="24" t="str">
        <x:v>近位提高直接相关性；远位仅保留背景、阶段或低置信修正。</x:v>
      </x:c>
      <x:c r="U293" s="24" t="str">
        <x:v>93</x:v>
      </x:c>
      <x:c r="V293" s="24" t="str">
        <x:v>效果+12</x:v>
      </x:c>
      <x:c r="W293" s="24" t="str">
        <x:v>buffer_level</x:v>
      </x:c>
      <x:c r="X293" s="24" t="str">
        <x:v>有效标志：主功能仍可使用，但强度、范围或时机被限制，第二功能能够进入。</x:v>
      </x:c>
      <x:c r="Y293" s="24" t="str">
        <x:v>真正有效时，会看到：主功能仍可使用，但强度、范围或时机被限制，第二功能能够进入。</x:v>
      </x:c>
      <x:c r="Z293" s="24" t="str">
        <x:v>不得仅凭本规则断定问题已经解决、关系必然稳定、用户一定成熟、某十神天然是“药”、喜用神自动等于解决办法，或淡化暴力、强迫与现实伤害；现实行为、反例、安全事实和专业支持优先。</x:v>
      </x:c>
      <x:c r="AA293" s="24" t="str">
        <x:v>中高</x:v>
      </x:c>
      <x:c r="AB293" s="24" t="str">
        <x:v>待验证</x:v>
      </x:c>
      <x:c r="AC293" s="24" t="str"/>
      <x:c r="AD293" s="24" t="str">
        <x:v>provisional=true；保护因素的现实有效性必须由可观察行为、反馈和持续结果验证。</x:v>
      </x:c>
      <x:c r="AE293" s="24" t="str">
        <x:v>0.8</x:v>
      </x:c>
    </x:row>
    <x:row r="294" ht="52" customHeight="1">
      <x:c r="A294" s="24" t="str">
        <x:v>M4-BUFFER-293</x:v>
      </x:c>
      <x:c r="B294" s="24" t="str">
        <x:v>K01 过用放大｜失效与伪保护</x:v>
      </x:c>
      <x:c r="C294" s="24" t="str">
        <x:v>L6 K01—K08保护路由</x:v>
      </x:c>
      <x:c r="D294" s="24" t="str">
        <x:v>BUFFER-K机制接口</x:v>
      </x:c>
      <x:c r="E294" s="24" t="str">
        <x:v>通用</x:v>
      </x:c>
      <x:c r="F294" s="24" t="str">
        <x:v>降级</x:v>
      </x:c>
      <x:c r="G294" s="24" t="str">
        <x:v>K01 过用放大</x:v>
      </x:c>
      <x:c r="H294" s="24" t="str">
        <x:v>防止保护资源制造新失衡。</x:v>
      </x:c>
      <x:c r="I294" s="24" t="str">
        <x:v>只是压制原功能，或由另一项过强功能接管。</x:v>
      </x:c>
      <x:c r="J294" s="24" t="str">
        <x:v>主功能仍可使用，但强度、范围或时机被限制，第二功能能够进入。</x:v>
      </x:c>
      <x:c r="K294" s="24" t="str">
        <x:v>由共享基础引擎提供；仅修正保护功能的承载、持续调用和压力状态下的稳定性，不直接等同成熟度、道德或现实行为。</x:v>
      </x:c>
      <x:c r="L294" s="24" t="str">
        <x:v>由M1／M2接口提供；夫妻星、心动原型和关系门槛只说明关系议题，不单独证明保护因素已经被调用或有效。</x:v>
      </x:c>
      <x:c r="M294" s="24" t="str">
        <x:v>由M3-BASE及M4各模块提供；日支、日柱近位可提高与亲密关系核心的相关性，但同一source_id不得重复计分。</x:v>
      </x:c>
      <x:c r="N294" s="24" t="str">
        <x:v>保护因素必须明确限制过用、补足缺位、恢复顺序、打开反馈、落实改变或完成修复回流；不能只凭五行相生补写现实效果。</x:v>
      </x:c>
      <x:c r="O294" s="24" t="str">
        <x:v>近位提高进入亲密关系核心的概率；远位只作背景、阶段或条件性修正。</x:v>
      </x:c>
      <x:c r="P294" s="24" t="str">
        <x:v>根气只修正该保护功能是否容易重复调用，不等于现实中已经形成稳定保护。</x:v>
      </x:c>
      <x:c r="Q294" s="24" t="str">
        <x:v>旺弱只修正调用强度与承载；强不自动有效，弱也不自动无效。</x:v>
      </x:c>
      <x:c r="R294" s="24" t="str">
        <x:v>喜忌只修正摩擦、平衡与承载，不可直接翻译为好坏、成熟度或解决方案。</x:v>
      </x:c>
      <x:c r="S294" s="24" t="str">
        <x:v>原十神功能有效；真合化成立时按化神功能替换，合化争议时停止定性。</x:v>
      </x:c>
      <x:c r="T294" s="24" t="str">
        <x:v>近位提高直接相关性；远位仅保留背景、阶段或低置信修正。</x:v>
      </x:c>
      <x:c r="U294" s="24" t="str">
        <x:v>97</x:v>
      </x:c>
      <x:c r="V294" s="24" t="str">
        <x:v>失效-10</x:v>
      </x:c>
      <x:c r="W294" s="24" t="str">
        <x:v>pseudo_buffer</x:v>
      </x:c>
      <x:c r="X294" s="24" t="str">
        <x:v>失效表现：只是压制原功能，或由另一项过强功能接管。</x:v>
      </x:c>
      <x:c r="Y294" s="24" t="str">
        <x:v>若只是“只是压制原功能，或由另一项过强功能接管。”，说明保护还没有真正成立。</x:v>
      </x:c>
      <x:c r="Z294" s="24" t="str">
        <x:v>不得仅凭本规则断定问题已经解决、关系必然稳定、用户一定成熟、某十神天然是“药”、喜用神自动等于解决办法，或淡化暴力、强迫与现实伤害；现实行为、反例、安全事实和专业支持优先。</x:v>
      </x:c>
      <x:c r="AA294" s="24" t="str">
        <x:v>高</x:v>
      </x:c>
      <x:c r="AB294" s="24" t="str">
        <x:v>待验证</x:v>
      </x:c>
      <x:c r="AC294" s="24" t="str"/>
      <x:c r="AD294" s="24" t="str">
        <x:v>provisional=true；保护因素的现实有效性必须由可观察行为、反馈和持续结果验证。</x:v>
      </x:c>
      <x:c r="AE294" s="24" t="str">
        <x:v>0.8</x:v>
      </x:c>
    </x:row>
    <x:row r="295" ht="52" customHeight="1">
      <x:c r="A295" s="24" t="str">
        <x:v>M4-BUFFER-294</x:v>
      </x:c>
      <x:c r="B295" s="24" t="str">
        <x:v>K01 过用放大｜用户输出</x:v>
      </x:c>
      <x:c r="C295" s="24" t="str">
        <x:v>L6 K01—K08保护路由</x:v>
      </x:c>
      <x:c r="D295" s="24" t="str">
        <x:v>BUFFER-K机制接口</x:v>
      </x:c>
      <x:c r="E295" s="24" t="str">
        <x:v>通用</x:v>
      </x:c>
      <x:c r="F295" s="24" t="str">
        <x:v>语言</x:v>
      </x:c>
      <x:c r="G295" s="24" t="str">
        <x:v>K01 过用放大</x:v>
      </x:c>
      <x:c r="H295" s="24" t="str">
        <x:v>生成K机制＋保护语言。</x:v>
      </x:c>
      <x:c r="I295" s="24" t="str">
        <x:v>K01成立且至少一项匹配保护达到BL2以上。</x:v>
      </x:c>
      <x:c r="J295" s="24" t="str">
        <x:v>资料不足或安全停止。</x:v>
      </x:c>
      <x:c r="K295" s="24" t="str">
        <x:v>由共享基础引擎提供；仅修正保护功能的承载、持续调用和压力状态下的稳定性，不直接等同成熟度、道德或现实行为。</x:v>
      </x:c>
      <x:c r="L295" s="24" t="str">
        <x:v>由M1／M2接口提供；夫妻星、心动原型和关系门槛只说明关系议题，不单独证明保护因素已经被调用或有效。</x:v>
      </x:c>
      <x:c r="M295" s="24" t="str">
        <x:v>由M3-BASE及M4各模块提供；日支、日柱近位可提高与亲密关系核心的相关性，但同一source_id不得重复计分。</x:v>
      </x:c>
      <x:c r="N295" s="24" t="str">
        <x:v>保护因素必须明确限制过用、补足缺位、恢复顺序、打开反馈、落实改变或完成修复回流；不能只凭五行相生补写现实效果。</x:v>
      </x:c>
      <x:c r="O295" s="24" t="str">
        <x:v>近位提高进入亲密关系核心的概率；远位只作背景、阶段或条件性修正。</x:v>
      </x:c>
      <x:c r="P295" s="24" t="str">
        <x:v>根气只修正该保护功能是否容易重复调用，不等于现实中已经形成稳定保护。</x:v>
      </x:c>
      <x:c r="Q295" s="24" t="str">
        <x:v>旺弱只修正调用强度与承载；强不自动有效，弱也不自动无效。</x:v>
      </x:c>
      <x:c r="R295" s="24" t="str">
        <x:v>喜忌只修正摩擦、平衡与承载，不可直接翻译为好坏、成熟度或解决方案。</x:v>
      </x:c>
      <x:c r="S295" s="24" t="str">
        <x:v>原十神功能有效；真合化成立时按化神功能替换，合化争议时停止定性。</x:v>
      </x:c>
      <x:c r="T295" s="24" t="str">
        <x:v>近位提高直接相关性；远位仅保留背景、阶段或低置信修正。</x:v>
      </x:c>
      <x:c r="U295" s="24" t="str">
        <x:v>84</x:v>
      </x:c>
      <x:c r="V295" s="24" t="str">
        <x:v>不加分；输出</x:v>
      </x:c>
      <x:c r="W295" s="24" t="str">
        <x:v>report_text</x:v>
      </x:c>
      <x:c r="X295" s="24" t="str">
        <x:v>某项正常功能抢先、重复或占位过多，压缩另一项必要功能。；对应保护是BF01有效制化，必要时辅以BF03独立边界／BF04倾听复核／BF08状态分工。</x:v>
      </x:c>
      <x:c r="Y295" s="24" t="str">
        <x:v>当这类情况出现时，你真正需要的不是更用力，而是让BF01有效制化进入，必要时再由BF03独立边界／BF04倾听复核／BF08状态分工补位。</x:v>
      </x:c>
      <x:c r="Z295" s="24" t="str">
        <x:v>不得仅凭本规则断定问题已经解决、关系必然稳定、用户一定成熟、某十神天然是“药”、喜用神自动等于解决办法，或淡化暴力、强迫与现实伤害；现实行为、反例、安全事实和专业支持优先。</x:v>
      </x:c>
      <x:c r="AA295" s="24" t="str">
        <x:v>中高</x:v>
      </x:c>
      <x:c r="AB295" s="24" t="str">
        <x:v>待验证</x:v>
      </x:c>
      <x:c r="AC295" s="24" t="str"/>
      <x:c r="AD295" s="24" t="str">
        <x:v>provisional=true；保护因素的现实有效性必须由可观察行为、反馈和持续结果验证。</x:v>
      </x:c>
      <x:c r="AE295" s="24" t="str">
        <x:v>0.8</x:v>
      </x:c>
    </x:row>
    <x:row r="296" ht="52" customHeight="1">
      <x:c r="A296" s="24" t="str">
        <x:v>M4-BUFFER-295</x:v>
      </x:c>
      <x:c r="B296" s="24" t="str">
        <x:v>K02 功能不足｜问题摘要</x:v>
      </x:c>
      <x:c r="C296" s="24" t="str">
        <x:v>L6 K01—K08保护路由</x:v>
      </x:c>
      <x:c r="D296" s="24" t="str">
        <x:v>BUFFER-K机制接口</x:v>
      </x:c>
      <x:c r="E296" s="24" t="str">
        <x:v>通用</x:v>
      </x:c>
      <x:c r="F296" s="24" t="str">
        <x:v>定义</x:v>
      </x:c>
      <x:c r="G296" s="24" t="str">
        <x:v>K02 功能不足</x:v>
      </x:c>
      <x:c r="H296" s="24" t="str">
        <x:v>保留原问题定义。</x:v>
      </x:c>
      <x:c r="I296" s="24" t="str">
        <x:v>K02已由OVERUSE、LOOP或REPAIR形成候选。</x:v>
      </x:c>
      <x:c r="J296" s="24" t="str">
        <x:v>只有单一十神标签。</x:v>
      </x:c>
      <x:c r="K296" s="24" t="str">
        <x:v>由共享基础引擎提供；仅修正保护功能的承载、持续调用和压力状态下的稳定性，不直接等同成熟度、道德或现实行为。</x:v>
      </x:c>
      <x:c r="L296" s="24" t="str">
        <x:v>由M1／M2接口提供；夫妻星、心动原型和关系门槛只说明关系议题，不单独证明保护因素已经被调用或有效。</x:v>
      </x:c>
      <x:c r="M296" s="24" t="str">
        <x:v>由M3-BASE及M4各模块提供；日支、日柱近位可提高与亲密关系核心的相关性，但同一source_id不得重复计分。</x:v>
      </x:c>
      <x:c r="N296" s="24" t="str">
        <x:v>保护因素必须明确限制过用、补足缺位、恢复顺序、打开反馈、落实改变或完成修复回流；不能只凭五行相生补写现实效果。</x:v>
      </x:c>
      <x:c r="O296" s="24" t="str">
        <x:v>近位提高进入亲密关系核心的概率；远位只作背景、阶段或条件性修正。</x:v>
      </x:c>
      <x:c r="P296" s="24" t="str">
        <x:v>根气只修正该保护功能是否容易重复调用，不等于现实中已经形成稳定保护。</x:v>
      </x:c>
      <x:c r="Q296" s="24" t="str">
        <x:v>旺弱只修正调用强度与承载；强不自动有效，弱也不自动无效。</x:v>
      </x:c>
      <x:c r="R296" s="24" t="str">
        <x:v>喜忌只修正摩擦、平衡与承载，不可直接翻译为好坏、成熟度或解决方案。</x:v>
      </x:c>
      <x:c r="S296" s="24" t="str">
        <x:v>原十神功能有效；真合化成立时按化神功能替换，合化争议时停止定性。</x:v>
      </x:c>
      <x:c r="T296" s="24" t="str">
        <x:v>近位提高直接相关性；远位仅保留背景、阶段或低置信修正。</x:v>
      </x:c>
      <x:c r="U296" s="24" t="str">
        <x:v>94</x:v>
      </x:c>
      <x:c r="V296" s="24" t="str">
        <x:v>不加分；继承</x:v>
      </x:c>
      <x:c r="W296" s="24" t="str">
        <x:v>blind_spot_theme</x:v>
      </x:c>
      <x:c r="X296" s="24" t="str">
        <x:v>当前关系任务需要的功能进入太弱、太晚或缺少稳定替代。</x:v>
      </x:c>
      <x:c r="Y296" s="24" t="str">
        <x:v>当前需要处理的核心不是某个十神好坏，而是：当前关系任务需要的功能进入太弱、太晚或缺少稳定替代。</x:v>
      </x:c>
      <x:c r="Z296" s="24" t="str">
        <x:v>不得仅凭本规则断定问题已经解决、关系必然稳定、用户一定成熟、某十神天然是“药”、喜用神自动等于解决办法，或淡化暴力、强迫与现实伤害；现实行为、反例、安全事实和专业支持优先。</x:v>
      </x:c>
      <x:c r="AA296" s="24" t="str">
        <x:v>中高</x:v>
      </x:c>
      <x:c r="AB296" s="24" t="str">
        <x:v>待验证</x:v>
      </x:c>
      <x:c r="AC296" s="24" t="str"/>
      <x:c r="AD296" s="24" t="str">
        <x:v>provisional=true；保护因素的现实有效性必须由可观察行为、反馈和持续结果验证。</x:v>
      </x:c>
      <x:c r="AE296" s="24" t="str">
        <x:v>0.8</x:v>
      </x:c>
    </x:row>
    <x:row r="297" ht="52" customHeight="1">
      <x:c r="A297" s="24" t="str">
        <x:v>M4-BUFFER-296</x:v>
      </x:c>
      <x:c r="B297" s="24" t="str">
        <x:v>K02 功能不足｜主保护路由</x:v>
      </x:c>
      <x:c r="C297" s="24" t="str">
        <x:v>L6 K01—K08保护路由</x:v>
      </x:c>
      <x:c r="D297" s="24" t="str">
        <x:v>BUFFER-K机制接口</x:v>
      </x:c>
      <x:c r="E297" s="24" t="str">
        <x:v>通用</x:v>
      </x:c>
      <x:c r="F297" s="24" t="str">
        <x:v>路由</x:v>
      </x:c>
      <x:c r="G297" s="24" t="str">
        <x:v>K02 功能不足</x:v>
      </x:c>
      <x:c r="H297" s="24" t="str">
        <x:v>确定首选保护功能。</x:v>
      </x:c>
      <x:c r="I297" s="24" t="str">
        <x:v>K02达到E1以上，且BF02跨系统通关或对应十神直接补位结构可用。</x:v>
      </x:c>
      <x:c r="J297" s="24" t="str">
        <x:v>BF02跨系统通关或对应十神直接补位与风险来源同源重复或功能不匹配。</x:v>
      </x:c>
      <x:c r="K297" s="24" t="str">
        <x:v>由共享基础引擎提供；仅修正保护功能的承载、持续调用和压力状态下的稳定性，不直接等同成熟度、道德或现实行为。</x:v>
      </x:c>
      <x:c r="L297" s="24" t="str">
        <x:v>由M1／M2接口提供；夫妻星、心动原型和关系门槛只说明关系议题，不单独证明保护因素已经被调用或有效。</x:v>
      </x:c>
      <x:c r="M297" s="24" t="str">
        <x:v>由M3-BASE及M4各模块提供；日支、日柱近位可提高与亲密关系核心的相关性，但同一source_id不得重复计分。</x:v>
      </x:c>
      <x:c r="N297" s="24" t="str">
        <x:v>保护因素必须明确限制过用、补足缺位、恢复顺序、打开反馈、落实改变或完成修复回流；不能只凭五行相生补写现实效果。</x:v>
      </x:c>
      <x:c r="O297" s="24" t="str">
        <x:v>近位提高进入亲密关系核心的概率；远位只作背景、阶段或条件性修正。</x:v>
      </x:c>
      <x:c r="P297" s="24" t="str">
        <x:v>根气只修正该保护功能是否容易重复调用，不等于现实中已经形成稳定保护。</x:v>
      </x:c>
      <x:c r="Q297" s="24" t="str">
        <x:v>旺弱只修正调用强度与承载；强不自动有效，弱也不自动无效。</x:v>
      </x:c>
      <x:c r="R297" s="24" t="str">
        <x:v>喜忌只修正摩擦、平衡与承载，不可直接翻译为好坏、成熟度或解决方案。</x:v>
      </x:c>
      <x:c r="S297" s="24" t="str">
        <x:v>原十神功能有效；真合化成立时按化神功能替换，合化争议时停止定性。</x:v>
      </x:c>
      <x:c r="T297" s="24" t="str">
        <x:v>近位提高直接相关性；远位仅保留背景、阶段或低置信修正。</x:v>
      </x:c>
      <x:c r="U297" s="24" t="str">
        <x:v>95</x:v>
      </x:c>
      <x:c r="V297" s="24" t="str">
        <x:v>主路由+8</x:v>
      </x:c>
      <x:c r="W297" s="24" t="str">
        <x:v>primary_buffer</x:v>
      </x:c>
      <x:c r="X297" s="24" t="str">
        <x:v>K02优先路由至BF02跨系统通关或对应十神直接补位。</x:v>
      </x:c>
      <x:c r="Y297" s="24" t="str">
        <x:v>最优先检查的是BF02跨系统通关或对应十神直接补位能否进入并改变当前链条。</x:v>
      </x:c>
      <x:c r="Z297" s="24" t="str">
        <x:v>不得仅凭本规则断定问题已经解决、关系必然稳定、用户一定成熟、某十神天然是“药”、喜用神自动等于解决办法，或淡化暴力、强迫与现实伤害；现实行为、反例、安全事实和专业支持优先。</x:v>
      </x:c>
      <x:c r="AA297" s="24" t="str">
        <x:v>中高</x:v>
      </x:c>
      <x:c r="AB297" s="24" t="str">
        <x:v>待验证</x:v>
      </x:c>
      <x:c r="AC297" s="24" t="str"/>
      <x:c r="AD297" s="24" t="str">
        <x:v>provisional=true；保护因素的现实有效性必须由可观察行为、反馈和持续结果验证。</x:v>
      </x:c>
      <x:c r="AE297" s="24" t="str">
        <x:v>0.8</x:v>
      </x:c>
    </x:row>
    <x:row r="298" ht="52" customHeight="1">
      <x:c r="A298" s="24" t="str">
        <x:v>M4-BUFFER-297</x:v>
      </x:c>
      <x:c r="B298" s="24" t="str">
        <x:v>K02 功能不足｜次保护路由</x:v>
      </x:c>
      <x:c r="C298" s="24" t="str">
        <x:v>L6 K01—K08保护路由</x:v>
      </x:c>
      <x:c r="D298" s="24" t="str">
        <x:v>BUFFER-K机制接口</x:v>
      </x:c>
      <x:c r="E298" s="24" t="str">
        <x:v>通用</x:v>
      </x:c>
      <x:c r="F298" s="24" t="str">
        <x:v>路由</x:v>
      </x:c>
      <x:c r="G298" s="24" t="str">
        <x:v>K02 功能不足</x:v>
      </x:c>
      <x:c r="H298" s="24" t="str">
        <x:v>补充第二类保护功能。</x:v>
      </x:c>
      <x:c r="I298" s="24" t="str">
        <x:v>主保护不足以独立改变链条，且存在BF05表达反馈／BF06现实行为／BF08外部支持中的独立资源。</x:v>
      </x:c>
      <x:c r="J298" s="24" t="str">
        <x:v>把所有次资源堆叠成万能保护。</x:v>
      </x:c>
      <x:c r="K298" s="24" t="str">
        <x:v>由共享基础引擎提供；仅修正保护功能的承载、持续调用和压力状态下的稳定性，不直接等同成熟度、道德或现实行为。</x:v>
      </x:c>
      <x:c r="L298" s="24" t="str">
        <x:v>由M1／M2接口提供；夫妻星、心动原型和关系门槛只说明关系议题，不单独证明保护因素已经被调用或有效。</x:v>
      </x:c>
      <x:c r="M298" s="24" t="str">
        <x:v>由M3-BASE及M4各模块提供；日支、日柱近位可提高与亲密关系核心的相关性，但同一source_id不得重复计分。</x:v>
      </x:c>
      <x:c r="N298" s="24" t="str">
        <x:v>保护因素必须明确限制过用、补足缺位、恢复顺序、打开反馈、落实改变或完成修复回流；不能只凭五行相生补写现实效果。</x:v>
      </x:c>
      <x:c r="O298" s="24" t="str">
        <x:v>近位提高进入亲密关系核心的概率；远位只作背景、阶段或条件性修正。</x:v>
      </x:c>
      <x:c r="P298" s="24" t="str">
        <x:v>根气只修正该保护功能是否容易重复调用，不等于现实中已经形成稳定保护。</x:v>
      </x:c>
      <x:c r="Q298" s="24" t="str">
        <x:v>旺弱只修正调用强度与承载；强不自动有效，弱也不自动无效。</x:v>
      </x:c>
      <x:c r="R298" s="24" t="str">
        <x:v>喜忌只修正摩擦、平衡与承载，不可直接翻译为好坏、成熟度或解决方案。</x:v>
      </x:c>
      <x:c r="S298" s="24" t="str">
        <x:v>原十神功能有效；真合化成立时按化神功能替换，合化争议时停止定性。</x:v>
      </x:c>
      <x:c r="T298" s="24" t="str">
        <x:v>近位提高直接相关性；远位仅保留背景、阶段或低置信修正。</x:v>
      </x:c>
      <x:c r="U298" s="24" t="str">
        <x:v>90</x:v>
      </x:c>
      <x:c r="V298" s="24" t="str">
        <x:v>次路由+4</x:v>
      </x:c>
      <x:c r="W298" s="24" t="str">
        <x:v>secondary_buffer</x:v>
      </x:c>
      <x:c r="X298" s="24" t="str">
        <x:v>次级资源可来自：BF05表达反馈／BF06现实行为／BF08外部支持。</x:v>
      </x:c>
      <x:c r="Y298" s="24" t="str">
        <x:v>若主资源不足，还可以检查BF05表达反馈／BF06现实行为／BF08外部支持是否提供补位。</x:v>
      </x:c>
      <x:c r="Z298" s="24" t="str">
        <x:v>不得仅凭本规则断定问题已经解决、关系必然稳定、用户一定成熟、某十神天然是“药”、喜用神自动等于解决办法，或淡化暴力、强迫与现实伤害；现实行为、反例、安全事实和专业支持优先。</x:v>
      </x:c>
      <x:c r="AA298" s="24" t="str">
        <x:v>中高</x:v>
      </x:c>
      <x:c r="AB298" s="24" t="str">
        <x:v>待验证</x:v>
      </x:c>
      <x:c r="AC298" s="24" t="str"/>
      <x:c r="AD298" s="24" t="str">
        <x:v>provisional=true；保护因素的现实有效性必须由可观察行为、反馈和持续结果验证。</x:v>
      </x:c>
      <x:c r="AE298" s="24" t="str">
        <x:v>0.8</x:v>
      </x:c>
    </x:row>
    <x:row r="299" ht="52" customHeight="1">
      <x:c r="A299" s="24" t="str">
        <x:v>M4-BUFFER-298</x:v>
      </x:c>
      <x:c r="B299" s="24" t="str">
        <x:v>K02 功能不足｜有效标志</x:v>
      </x:c>
      <x:c r="C299" s="24" t="str">
        <x:v>L6 K01—K08保护路由</x:v>
      </x:c>
      <x:c r="D299" s="24" t="str">
        <x:v>BUFFER-K机制接口</x:v>
      </x:c>
      <x:c r="E299" s="24" t="str">
        <x:v>通用</x:v>
      </x:c>
      <x:c r="F299" s="24" t="str">
        <x:v>效果</x:v>
      </x:c>
      <x:c r="G299" s="24" t="str">
        <x:v>K02 功能不足</x:v>
      </x:c>
      <x:c r="H299" s="24" t="str">
        <x:v>判断保护是否真正改变K机制。</x:v>
      </x:c>
      <x:c r="I299" s="24" t="str">
        <x:v>缺失功能能够在对应任务出现时被调用，并形成可观察结果。</x:v>
      </x:c>
      <x:c r="J299" s="24" t="str">
        <x:v>只增加抽象标签或资源数量，没有进入具体任务。</x:v>
      </x:c>
      <x:c r="K299" s="24" t="str">
        <x:v>由共享基础引擎提供；仅修正保护功能的承载、持续调用和压力状态下的稳定性，不直接等同成熟度、道德或现实行为。</x:v>
      </x:c>
      <x:c r="L299" s="24" t="str">
        <x:v>由M1／M2接口提供；夫妻星、心动原型和关系门槛只说明关系议题，不单独证明保护因素已经被调用或有效。</x:v>
      </x:c>
      <x:c r="M299" s="24" t="str">
        <x:v>由M3-BASE及M4各模块提供；日支、日柱近位可提高与亲密关系核心的相关性，但同一source_id不得重复计分。</x:v>
      </x:c>
      <x:c r="N299" s="24" t="str">
        <x:v>保护因素必须明确限制过用、补足缺位、恢复顺序、打开反馈、落实改变或完成修复回流；不能只凭五行相生补写现实效果。</x:v>
      </x:c>
      <x:c r="O299" s="24" t="str">
        <x:v>近位提高进入亲密关系核心的概率；远位只作背景、阶段或条件性修正。</x:v>
      </x:c>
      <x:c r="P299" s="24" t="str">
        <x:v>根气只修正该保护功能是否容易重复调用，不等于现实中已经形成稳定保护。</x:v>
      </x:c>
      <x:c r="Q299" s="24" t="str">
        <x:v>旺弱只修正调用强度与承载；强不自动有效，弱也不自动无效。</x:v>
      </x:c>
      <x:c r="R299" s="24" t="str">
        <x:v>喜忌只修正摩擦、平衡与承载，不可直接翻译为好坏、成熟度或解决方案。</x:v>
      </x:c>
      <x:c r="S299" s="24" t="str">
        <x:v>原十神功能有效；真合化成立时按化神功能替换，合化争议时停止定性。</x:v>
      </x:c>
      <x:c r="T299" s="24" t="str">
        <x:v>近位提高直接相关性；远位仅保留背景、阶段或低置信修正。</x:v>
      </x:c>
      <x:c r="U299" s="24" t="str">
        <x:v>93</x:v>
      </x:c>
      <x:c r="V299" s="24" t="str">
        <x:v>效果+12</x:v>
      </x:c>
      <x:c r="W299" s="24" t="str">
        <x:v>buffer_level</x:v>
      </x:c>
      <x:c r="X299" s="24" t="str">
        <x:v>有效标志：缺失功能能够在对应任务出现时被调用，并形成可观察结果。</x:v>
      </x:c>
      <x:c r="Y299" s="24" t="str">
        <x:v>真正有效时，会看到：缺失功能能够在对应任务出现时被调用，并形成可观察结果。</x:v>
      </x:c>
      <x:c r="Z299" s="24" t="str">
        <x:v>不得仅凭本规则断定问题已经解决、关系必然稳定、用户一定成熟、某十神天然是“药”、喜用神自动等于解决办法，或淡化暴力、强迫与现实伤害；现实行为、反例、安全事实和专业支持优先。</x:v>
      </x:c>
      <x:c r="AA299" s="24" t="str">
        <x:v>中高</x:v>
      </x:c>
      <x:c r="AB299" s="24" t="str">
        <x:v>待验证</x:v>
      </x:c>
      <x:c r="AC299" s="24" t="str"/>
      <x:c r="AD299" s="24" t="str">
        <x:v>provisional=true；保护因素的现实有效性必须由可观察行为、反馈和持续结果验证。</x:v>
      </x:c>
      <x:c r="AE299" s="24" t="str">
        <x:v>0.8</x:v>
      </x:c>
    </x:row>
    <x:row r="300" ht="52" customHeight="1">
      <x:c r="A300" s="24" t="str">
        <x:v>M4-BUFFER-299</x:v>
      </x:c>
      <x:c r="B300" s="24" t="str">
        <x:v>K02 功能不足｜失效与伪保护</x:v>
      </x:c>
      <x:c r="C300" s="24" t="str">
        <x:v>L6 K01—K08保护路由</x:v>
      </x:c>
      <x:c r="D300" s="24" t="str">
        <x:v>BUFFER-K机制接口</x:v>
      </x:c>
      <x:c r="E300" s="24" t="str">
        <x:v>通用</x:v>
      </x:c>
      <x:c r="F300" s="24" t="str">
        <x:v>降级</x:v>
      </x:c>
      <x:c r="G300" s="24" t="str">
        <x:v>K02 功能不足</x:v>
      </x:c>
      <x:c r="H300" s="24" t="str">
        <x:v>防止保护资源制造新失衡。</x:v>
      </x:c>
      <x:c r="I300" s="24" t="str">
        <x:v>只增加抽象标签或资源数量，没有进入具体任务。</x:v>
      </x:c>
      <x:c r="J300" s="24" t="str">
        <x:v>缺失功能能够在对应任务出现时被调用，并形成可观察结果。</x:v>
      </x:c>
      <x:c r="K300" s="24" t="str">
        <x:v>由共享基础引擎提供；仅修正保护功能的承载、持续调用和压力状态下的稳定性，不直接等同成熟度、道德或现实行为。</x:v>
      </x:c>
      <x:c r="L300" s="24" t="str">
        <x:v>由M1／M2接口提供；夫妻星、心动原型和关系门槛只说明关系议题，不单独证明保护因素已经被调用或有效。</x:v>
      </x:c>
      <x:c r="M300" s="24" t="str">
        <x:v>由M3-BASE及M4各模块提供；日支、日柱近位可提高与亲密关系核心的相关性，但同一source_id不得重复计分。</x:v>
      </x:c>
      <x:c r="N300" s="24" t="str">
        <x:v>保护因素必须明确限制过用、补足缺位、恢复顺序、打开反馈、落实改变或完成修复回流；不能只凭五行相生补写现实效果。</x:v>
      </x:c>
      <x:c r="O300" s="24" t="str">
        <x:v>近位提高进入亲密关系核心的概率；远位只作背景、阶段或条件性修正。</x:v>
      </x:c>
      <x:c r="P300" s="24" t="str">
        <x:v>根气只修正该保护功能是否容易重复调用，不等于现实中已经形成稳定保护。</x:v>
      </x:c>
      <x:c r="Q300" s="24" t="str">
        <x:v>旺弱只修正调用强度与承载；强不自动有效，弱也不自动无效。</x:v>
      </x:c>
      <x:c r="R300" s="24" t="str">
        <x:v>喜忌只修正摩擦、平衡与承载，不可直接翻译为好坏、成熟度或解决方案。</x:v>
      </x:c>
      <x:c r="S300" s="24" t="str">
        <x:v>原十神功能有效；真合化成立时按化神功能替换，合化争议时停止定性。</x:v>
      </x:c>
      <x:c r="T300" s="24" t="str">
        <x:v>近位提高直接相关性；远位仅保留背景、阶段或低置信修正。</x:v>
      </x:c>
      <x:c r="U300" s="24" t="str">
        <x:v>97</x:v>
      </x:c>
      <x:c r="V300" s="24" t="str">
        <x:v>失效-10</x:v>
      </x:c>
      <x:c r="W300" s="24" t="str">
        <x:v>pseudo_buffer</x:v>
      </x:c>
      <x:c r="X300" s="24" t="str">
        <x:v>失效表现：只增加抽象标签或资源数量，没有进入具体任务。</x:v>
      </x:c>
      <x:c r="Y300" s="24" t="str">
        <x:v>若只是“只增加抽象标签或资源数量，没有进入具体任务。”，说明保护还没有真正成立。</x:v>
      </x:c>
      <x:c r="Z300" s="24" t="str">
        <x:v>不得仅凭本规则断定问题已经解决、关系必然稳定、用户一定成熟、某十神天然是“药”、喜用神自动等于解决办法，或淡化暴力、强迫与现实伤害；现实行为、反例、安全事实和专业支持优先。</x:v>
      </x:c>
      <x:c r="AA300" s="24" t="str">
        <x:v>高</x:v>
      </x:c>
      <x:c r="AB300" s="24" t="str">
        <x:v>待验证</x:v>
      </x:c>
      <x:c r="AC300" s="24" t="str"/>
      <x:c r="AD300" s="24" t="str">
        <x:v>provisional=true；保护因素的现实有效性必须由可观察行为、反馈和持续结果验证。</x:v>
      </x:c>
      <x:c r="AE300" s="24" t="str">
        <x:v>0.8</x:v>
      </x:c>
    </x:row>
    <x:row r="301" ht="52" customHeight="1">
      <x:c r="A301" s="24" t="str">
        <x:v>M4-BUFFER-300</x:v>
      </x:c>
      <x:c r="B301" s="24" t="str">
        <x:v>K02 功能不足｜用户输出</x:v>
      </x:c>
      <x:c r="C301" s="24" t="str">
        <x:v>L6 K01—K08保护路由</x:v>
      </x:c>
      <x:c r="D301" s="24" t="str">
        <x:v>BUFFER-K机制接口</x:v>
      </x:c>
      <x:c r="E301" s="24" t="str">
        <x:v>通用</x:v>
      </x:c>
      <x:c r="F301" s="24" t="str">
        <x:v>语言</x:v>
      </x:c>
      <x:c r="G301" s="24" t="str">
        <x:v>K02 功能不足</x:v>
      </x:c>
      <x:c r="H301" s="24" t="str">
        <x:v>生成K机制＋保护语言。</x:v>
      </x:c>
      <x:c r="I301" s="24" t="str">
        <x:v>K02成立且至少一项匹配保护达到BL2以上。</x:v>
      </x:c>
      <x:c r="J301" s="24" t="str">
        <x:v>资料不足或安全停止。</x:v>
      </x:c>
      <x:c r="K301" s="24" t="str">
        <x:v>由共享基础引擎提供；仅修正保护功能的承载、持续调用和压力状态下的稳定性，不直接等同成熟度、道德或现实行为。</x:v>
      </x:c>
      <x:c r="L301" s="24" t="str">
        <x:v>由M1／M2接口提供；夫妻星、心动原型和关系门槛只说明关系议题，不单独证明保护因素已经被调用或有效。</x:v>
      </x:c>
      <x:c r="M301" s="24" t="str">
        <x:v>由M3-BASE及M4各模块提供；日支、日柱近位可提高与亲密关系核心的相关性，但同一source_id不得重复计分。</x:v>
      </x:c>
      <x:c r="N301" s="24" t="str">
        <x:v>保护因素必须明确限制过用、补足缺位、恢复顺序、打开反馈、落实改变或完成修复回流；不能只凭五行相生补写现实效果。</x:v>
      </x:c>
      <x:c r="O301" s="24" t="str">
        <x:v>近位提高进入亲密关系核心的概率；远位只作背景、阶段或条件性修正。</x:v>
      </x:c>
      <x:c r="P301" s="24" t="str">
        <x:v>根气只修正该保护功能是否容易重复调用，不等于现实中已经形成稳定保护。</x:v>
      </x:c>
      <x:c r="Q301" s="24" t="str">
        <x:v>旺弱只修正调用强度与承载；强不自动有效，弱也不自动无效。</x:v>
      </x:c>
      <x:c r="R301" s="24" t="str">
        <x:v>喜忌只修正摩擦、平衡与承载，不可直接翻译为好坏、成熟度或解决方案。</x:v>
      </x:c>
      <x:c r="S301" s="24" t="str">
        <x:v>原十神功能有效；真合化成立时按化神功能替换，合化争议时停止定性。</x:v>
      </x:c>
      <x:c r="T301" s="24" t="str">
        <x:v>近位提高直接相关性；远位仅保留背景、阶段或低置信修正。</x:v>
      </x:c>
      <x:c r="U301" s="24" t="str">
        <x:v>84</x:v>
      </x:c>
      <x:c r="V301" s="24" t="str">
        <x:v>不加分；输出</x:v>
      </x:c>
      <x:c r="W301" s="24" t="str">
        <x:v>report_text</x:v>
      </x:c>
      <x:c r="X301" s="24" t="str">
        <x:v>当前关系任务需要的功能进入太弱、太晚或缺少稳定替代。；对应保护是BF02跨系统通关或对应十神直接补位，必要时辅以BF05表达反馈／BF06现实行为／BF08外部支持。</x:v>
      </x:c>
      <x:c r="Y301" s="24" t="str">
        <x:v>当这类情况出现时，你真正需要的不是更用力，而是让BF02跨系统通关或对应十神直接补位进入，必要时再由BF05表达反馈／BF06现实行为／BF08外部支持补位。</x:v>
      </x:c>
      <x:c r="Z301" s="24" t="str">
        <x:v>不得仅凭本规则断定问题已经解决、关系必然稳定、用户一定成熟、某十神天然是“药”、喜用神自动等于解决办法，或淡化暴力、强迫与现实伤害；现实行为、反例、安全事实和专业支持优先。</x:v>
      </x:c>
      <x:c r="AA301" s="24" t="str">
        <x:v>中高</x:v>
      </x:c>
      <x:c r="AB301" s="24" t="str">
        <x:v>待验证</x:v>
      </x:c>
      <x:c r="AC301" s="24" t="str"/>
      <x:c r="AD301" s="24" t="str">
        <x:v>provisional=true；保护因素的现实有效性必须由可观察行为、反馈和持续结果验证。</x:v>
      </x:c>
      <x:c r="AE301" s="24" t="str">
        <x:v>0.8</x:v>
      </x:c>
    </x:row>
    <x:row r="302" ht="52" customHeight="1">
      <x:c r="A302" s="24" t="str">
        <x:v>M4-BUFFER-301</x:v>
      </x:c>
      <x:c r="B302" s="24" t="str">
        <x:v>K03 单通道替代｜问题摘要</x:v>
      </x:c>
      <x:c r="C302" s="24" t="str">
        <x:v>L6 K01—K08保护路由</x:v>
      </x:c>
      <x:c r="D302" s="24" t="str">
        <x:v>BUFFER-K机制接口</x:v>
      </x:c>
      <x:c r="E302" s="24" t="str">
        <x:v>通用</x:v>
      </x:c>
      <x:c r="F302" s="24" t="str">
        <x:v>定义</x:v>
      </x:c>
      <x:c r="G302" s="24" t="str">
        <x:v>K03 单通道替代</x:v>
      </x:c>
      <x:c r="H302" s="24" t="str">
        <x:v>保留原问题定义。</x:v>
      </x:c>
      <x:c r="I302" s="24" t="str">
        <x:v>K03已由OVERUSE、LOOP或REPAIR形成候选。</x:v>
      </x:c>
      <x:c r="J302" s="24" t="str">
        <x:v>只有单一十神标签。</x:v>
      </x:c>
      <x:c r="K302" s="24" t="str">
        <x:v>由共享基础引擎提供；仅修正保护功能的承载、持续调用和压力状态下的稳定性，不直接等同成熟度、道德或现实行为。</x:v>
      </x:c>
      <x:c r="L302" s="24" t="str">
        <x:v>由M1／M2接口提供；夫妻星、心动原型和关系门槛只说明关系议题，不单独证明保护因素已经被调用或有效。</x:v>
      </x:c>
      <x:c r="M302" s="24" t="str">
        <x:v>由M3-BASE及M4各模块提供；日支、日柱近位可提高与亲密关系核心的相关性，但同一source_id不得重复计分。</x:v>
      </x:c>
      <x:c r="N302" s="24" t="str">
        <x:v>保护因素必须明确限制过用、补足缺位、恢复顺序、打开反馈、落实改变或完成修复回流；不能只凭五行相生补写现实效果。</x:v>
      </x:c>
      <x:c r="O302" s="24" t="str">
        <x:v>近位提高进入亲密关系核心的概率；远位只作背景、阶段或条件性修正。</x:v>
      </x:c>
      <x:c r="P302" s="24" t="str">
        <x:v>根气只修正该保护功能是否容易重复调用，不等于现实中已经形成稳定保护。</x:v>
      </x:c>
      <x:c r="Q302" s="24" t="str">
        <x:v>旺弱只修正调用强度与承载；强不自动有效，弱也不自动无效。</x:v>
      </x:c>
      <x:c r="R302" s="24" t="str">
        <x:v>喜忌只修正摩擦、平衡与承载，不可直接翻译为好坏、成熟度或解决方案。</x:v>
      </x:c>
      <x:c r="S302" s="24" t="str">
        <x:v>原十神功能有效；真合化成立时按化神功能替换，合化争议时停止定性。</x:v>
      </x:c>
      <x:c r="T302" s="24" t="str">
        <x:v>近位提高直接相关性；远位仅保留背景、阶段或低置信修正。</x:v>
      </x:c>
      <x:c r="U302" s="24" t="str">
        <x:v>94</x:v>
      </x:c>
      <x:c r="V302" s="24" t="str">
        <x:v>不加分；继承</x:v>
      </x:c>
      <x:c r="W302" s="24" t="str">
        <x:v>blind_spot_theme</x:v>
      </x:c>
      <x:c r="X302" s="24" t="str">
        <x:v>熟悉功能承担了另一项不同任务，导致关键步骤被绕开。</x:v>
      </x:c>
      <x:c r="Y302" s="24" t="str">
        <x:v>当前需要处理的核心不是某个十神好坏，而是：熟悉功能承担了另一项不同任务，导致关键步骤被绕开。</x:v>
      </x:c>
      <x:c r="Z302" s="24" t="str">
        <x:v>不得仅凭本规则断定问题已经解决、关系必然稳定、用户一定成熟、某十神天然是“药”、喜用神自动等于解决办法，或淡化暴力、强迫与现实伤害；现实行为、反例、安全事实和专业支持优先。</x:v>
      </x:c>
      <x:c r="AA302" s="24" t="str">
        <x:v>中高</x:v>
      </x:c>
      <x:c r="AB302" s="24" t="str">
        <x:v>待验证</x:v>
      </x:c>
      <x:c r="AC302" s="24" t="str"/>
      <x:c r="AD302" s="24" t="str">
        <x:v>provisional=true；保护因素的现实有效性必须由可观察行为、反馈和持续结果验证。</x:v>
      </x:c>
      <x:c r="AE302" s="24" t="str">
        <x:v>0.8</x:v>
      </x:c>
    </x:row>
    <x:row r="303" ht="52" customHeight="1">
      <x:c r="A303" s="24" t="str">
        <x:v>M4-BUFFER-302</x:v>
      </x:c>
      <x:c r="B303" s="24" t="str">
        <x:v>K03 单通道替代｜主保护路由</x:v>
      </x:c>
      <x:c r="C303" s="24" t="str">
        <x:v>L6 K01—K08保护路由</x:v>
      </x:c>
      <x:c r="D303" s="24" t="str">
        <x:v>BUFFER-K机制接口</x:v>
      </x:c>
      <x:c r="E303" s="24" t="str">
        <x:v>通用</x:v>
      </x:c>
      <x:c r="F303" s="24" t="str">
        <x:v>路由</x:v>
      </x:c>
      <x:c r="G303" s="24" t="str">
        <x:v>K03 单通道替代</x:v>
      </x:c>
      <x:c r="H303" s="24" t="str">
        <x:v>确定首选保护功能。</x:v>
      </x:c>
      <x:c r="I303" s="24" t="str">
        <x:v>K03达到E1以上，且BF02跨系统通关结构可用。</x:v>
      </x:c>
      <x:c r="J303" s="24" t="str">
        <x:v>BF02跨系统通关与风险来源同源重复或功能不匹配。</x:v>
      </x:c>
      <x:c r="K303" s="24" t="str">
        <x:v>由共享基础引擎提供；仅修正保护功能的承载、持续调用和压力状态下的稳定性，不直接等同成熟度、道德或现实行为。</x:v>
      </x:c>
      <x:c r="L303" s="24" t="str">
        <x:v>由M1／M2接口提供；夫妻星、心动原型和关系门槛只说明关系议题，不单独证明保护因素已经被调用或有效。</x:v>
      </x:c>
      <x:c r="M303" s="24" t="str">
        <x:v>由M3-BASE及M4各模块提供；日支、日柱近位可提高与亲密关系核心的相关性，但同一source_id不得重复计分。</x:v>
      </x:c>
      <x:c r="N303" s="24" t="str">
        <x:v>保护因素必须明确限制过用、补足缺位、恢复顺序、打开反馈、落实改变或完成修复回流；不能只凭五行相生补写现实效果。</x:v>
      </x:c>
      <x:c r="O303" s="24" t="str">
        <x:v>近位提高进入亲密关系核心的概率；远位只作背景、阶段或条件性修正。</x:v>
      </x:c>
      <x:c r="P303" s="24" t="str">
        <x:v>根气只修正该保护功能是否容易重复调用，不等于现实中已经形成稳定保护。</x:v>
      </x:c>
      <x:c r="Q303" s="24" t="str">
        <x:v>旺弱只修正调用强度与承载；强不自动有效，弱也不自动无效。</x:v>
      </x:c>
      <x:c r="R303" s="24" t="str">
        <x:v>喜忌只修正摩擦、平衡与承载，不可直接翻译为好坏、成熟度或解决方案。</x:v>
      </x:c>
      <x:c r="S303" s="24" t="str">
        <x:v>原十神功能有效；真合化成立时按化神功能替换，合化争议时停止定性。</x:v>
      </x:c>
      <x:c r="T303" s="24" t="str">
        <x:v>近位提高直接相关性；远位仅保留背景、阶段或低置信修正。</x:v>
      </x:c>
      <x:c r="U303" s="24" t="str">
        <x:v>95</x:v>
      </x:c>
      <x:c r="V303" s="24" t="str">
        <x:v>主路由+8</x:v>
      </x:c>
      <x:c r="W303" s="24" t="str">
        <x:v>primary_buffer</x:v>
      </x:c>
      <x:c r="X303" s="24" t="str">
        <x:v>K03优先路由至BF02跨系统通关。</x:v>
      </x:c>
      <x:c r="Y303" s="24" t="str">
        <x:v>最优先检查的是BF02跨系统通关能否进入并改变当前链条。</x:v>
      </x:c>
      <x:c r="Z303" s="24" t="str">
        <x:v>不得仅凭本规则断定问题已经解决、关系必然稳定、用户一定成熟、某十神天然是“药”、喜用神自动等于解决办法，或淡化暴力、强迫与现实伤害；现实行为、反例、安全事实和专业支持优先。</x:v>
      </x:c>
      <x:c r="AA303" s="24" t="str">
        <x:v>中高</x:v>
      </x:c>
      <x:c r="AB303" s="24" t="str">
        <x:v>待验证</x:v>
      </x:c>
      <x:c r="AC303" s="24" t="str"/>
      <x:c r="AD303" s="24" t="str">
        <x:v>provisional=true；保护因素的现实有效性必须由可观察行为、反馈和持续结果验证。</x:v>
      </x:c>
      <x:c r="AE303" s="24" t="str">
        <x:v>0.8</x:v>
      </x:c>
    </x:row>
    <x:row r="304" ht="52" customHeight="1">
      <x:c r="A304" s="24" t="str">
        <x:v>M4-BUFFER-303</x:v>
      </x:c>
      <x:c r="B304" s="24" t="str">
        <x:v>K03 单通道替代｜次保护路由</x:v>
      </x:c>
      <x:c r="C304" s="24" t="str">
        <x:v>L6 K01—K08保护路由</x:v>
      </x:c>
      <x:c r="D304" s="24" t="str">
        <x:v>BUFFER-K机制接口</x:v>
      </x:c>
      <x:c r="E304" s="24" t="str">
        <x:v>通用</x:v>
      </x:c>
      <x:c r="F304" s="24" t="str">
        <x:v>路由</x:v>
      </x:c>
      <x:c r="G304" s="24" t="str">
        <x:v>K03 单通道替代</x:v>
      </x:c>
      <x:c r="H304" s="24" t="str">
        <x:v>补充第二类保护功能。</x:v>
      </x:c>
      <x:c r="I304" s="24" t="str">
        <x:v>主保护不足以独立改变链条，且存在BF04内部复核／BF05反馈通道中的独立资源。</x:v>
      </x:c>
      <x:c r="J304" s="24" t="str">
        <x:v>把所有次资源堆叠成万能保护。</x:v>
      </x:c>
      <x:c r="K304" s="24" t="str">
        <x:v>由共享基础引擎提供；仅修正保护功能的承载、持续调用和压力状态下的稳定性，不直接等同成熟度、道德或现实行为。</x:v>
      </x:c>
      <x:c r="L304" s="24" t="str">
        <x:v>由M1／M2接口提供；夫妻星、心动原型和关系门槛只说明关系议题，不单独证明保护因素已经被调用或有效。</x:v>
      </x:c>
      <x:c r="M304" s="24" t="str">
        <x:v>由M3-BASE及M4各模块提供；日支、日柱近位可提高与亲密关系核心的相关性，但同一source_id不得重复计分。</x:v>
      </x:c>
      <x:c r="N304" s="24" t="str">
        <x:v>保护因素必须明确限制过用、补足缺位、恢复顺序、打开反馈、落实改变或完成修复回流；不能只凭五行相生补写现实效果。</x:v>
      </x:c>
      <x:c r="O304" s="24" t="str">
        <x:v>近位提高进入亲密关系核心的概率；远位只作背景、阶段或条件性修正。</x:v>
      </x:c>
      <x:c r="P304" s="24" t="str">
        <x:v>根气只修正该保护功能是否容易重复调用，不等于现实中已经形成稳定保护。</x:v>
      </x:c>
      <x:c r="Q304" s="24" t="str">
        <x:v>旺弱只修正调用强度与承载；强不自动有效，弱也不自动无效。</x:v>
      </x:c>
      <x:c r="R304" s="24" t="str">
        <x:v>喜忌只修正摩擦、平衡与承载，不可直接翻译为好坏、成熟度或解决方案。</x:v>
      </x:c>
      <x:c r="S304" s="24" t="str">
        <x:v>原十神功能有效；真合化成立时按化神功能替换，合化争议时停止定性。</x:v>
      </x:c>
      <x:c r="T304" s="24" t="str">
        <x:v>近位提高直接相关性；远位仅保留背景、阶段或低置信修正。</x:v>
      </x:c>
      <x:c r="U304" s="24" t="str">
        <x:v>90</x:v>
      </x:c>
      <x:c r="V304" s="24" t="str">
        <x:v>次路由+4</x:v>
      </x:c>
      <x:c r="W304" s="24" t="str">
        <x:v>secondary_buffer</x:v>
      </x:c>
      <x:c r="X304" s="24" t="str">
        <x:v>次级资源可来自：BF04内部复核／BF05反馈通道。</x:v>
      </x:c>
      <x:c r="Y304" s="24" t="str">
        <x:v>若主资源不足，还可以检查BF04内部复核／BF05反馈通道是否提供补位。</x:v>
      </x:c>
      <x:c r="Z304" s="24" t="str">
        <x:v>不得仅凭本规则断定问题已经解决、关系必然稳定、用户一定成熟、某十神天然是“药”、喜用神自动等于解决办法，或淡化暴力、强迫与现实伤害；现实行为、反例、安全事实和专业支持优先。</x:v>
      </x:c>
      <x:c r="AA304" s="24" t="str">
        <x:v>中高</x:v>
      </x:c>
      <x:c r="AB304" s="24" t="str">
        <x:v>待验证</x:v>
      </x:c>
      <x:c r="AC304" s="24" t="str"/>
      <x:c r="AD304" s="24" t="str">
        <x:v>provisional=true；保护因素的现实有效性必须由可观察行为、反馈和持续结果验证。</x:v>
      </x:c>
      <x:c r="AE304" s="24" t="str">
        <x:v>0.8</x:v>
      </x:c>
    </x:row>
    <x:row r="305" ht="52" customHeight="1">
      <x:c r="A305" s="24" t="str">
        <x:v>M4-BUFFER-304</x:v>
      </x:c>
      <x:c r="B305" s="24" t="str">
        <x:v>K03 单通道替代｜有效标志</x:v>
      </x:c>
      <x:c r="C305" s="24" t="str">
        <x:v>L6 K01—K08保护路由</x:v>
      </x:c>
      <x:c r="D305" s="24" t="str">
        <x:v>BUFFER-K机制接口</x:v>
      </x:c>
      <x:c r="E305" s="24" t="str">
        <x:v>通用</x:v>
      </x:c>
      <x:c r="F305" s="24" t="str">
        <x:v>效果</x:v>
      </x:c>
      <x:c r="G305" s="24" t="str">
        <x:v>K03 单通道替代</x:v>
      </x:c>
      <x:c r="H305" s="24" t="str">
        <x:v>判断保护是否真正改变K机制。</x:v>
      </x:c>
      <x:c r="I305" s="24" t="str">
        <x:v>原功能与被替代任务重新分工，两者都能进入。</x:v>
      </x:c>
      <x:c r="J305" s="24" t="str">
        <x:v>从一种替代换成另一种替代，仍然没有完成目标任务。</x:v>
      </x:c>
      <x:c r="K305" s="24" t="str">
        <x:v>由共享基础引擎提供；仅修正保护功能的承载、持续调用和压力状态下的稳定性，不直接等同成熟度、道德或现实行为。</x:v>
      </x:c>
      <x:c r="L305" s="24" t="str">
        <x:v>由M1／M2接口提供；夫妻星、心动原型和关系门槛只说明关系议题，不单独证明保护因素已经被调用或有效。</x:v>
      </x:c>
      <x:c r="M305" s="24" t="str">
        <x:v>由M3-BASE及M4各模块提供；日支、日柱近位可提高与亲密关系核心的相关性，但同一source_id不得重复计分。</x:v>
      </x:c>
      <x:c r="N305" s="24" t="str">
        <x:v>保护因素必须明确限制过用、补足缺位、恢复顺序、打开反馈、落实改变或完成修复回流；不能只凭五行相生补写现实效果。</x:v>
      </x:c>
      <x:c r="O305" s="24" t="str">
        <x:v>近位提高进入亲密关系核心的概率；远位只作背景、阶段或条件性修正。</x:v>
      </x:c>
      <x:c r="P305" s="24" t="str">
        <x:v>根气只修正该保护功能是否容易重复调用，不等于现实中已经形成稳定保护。</x:v>
      </x:c>
      <x:c r="Q305" s="24" t="str">
        <x:v>旺弱只修正调用强度与承载；强不自动有效，弱也不自动无效。</x:v>
      </x:c>
      <x:c r="R305" s="24" t="str">
        <x:v>喜忌只修正摩擦、平衡与承载，不可直接翻译为好坏、成熟度或解决方案。</x:v>
      </x:c>
      <x:c r="S305" s="24" t="str">
        <x:v>原十神功能有效；真合化成立时按化神功能替换，合化争议时停止定性。</x:v>
      </x:c>
      <x:c r="T305" s="24" t="str">
        <x:v>近位提高直接相关性；远位仅保留背景、阶段或低置信修正。</x:v>
      </x:c>
      <x:c r="U305" s="24" t="str">
        <x:v>93</x:v>
      </x:c>
      <x:c r="V305" s="24" t="str">
        <x:v>效果+12</x:v>
      </x:c>
      <x:c r="W305" s="24" t="str">
        <x:v>buffer_level</x:v>
      </x:c>
      <x:c r="X305" s="24" t="str">
        <x:v>有效标志：原功能与被替代任务重新分工，两者都能进入。</x:v>
      </x:c>
      <x:c r="Y305" s="24" t="str">
        <x:v>真正有效时，会看到：原功能与被替代任务重新分工，两者都能进入。</x:v>
      </x:c>
      <x:c r="Z305" s="24" t="str">
        <x:v>不得仅凭本规则断定问题已经解决、关系必然稳定、用户一定成熟、某十神天然是“药”、喜用神自动等于解决办法，或淡化暴力、强迫与现实伤害；现实行为、反例、安全事实和专业支持优先。</x:v>
      </x:c>
      <x:c r="AA305" s="24" t="str">
        <x:v>中高</x:v>
      </x:c>
      <x:c r="AB305" s="24" t="str">
        <x:v>待验证</x:v>
      </x:c>
      <x:c r="AC305" s="24" t="str"/>
      <x:c r="AD305" s="24" t="str">
        <x:v>provisional=true；保护因素的现实有效性必须由可观察行为、反馈和持续结果验证。</x:v>
      </x:c>
      <x:c r="AE305" s="24" t="str">
        <x:v>0.8</x:v>
      </x:c>
    </x:row>
    <x:row r="306" ht="52" customHeight="1">
      <x:c r="A306" s="24" t="str">
        <x:v>M4-BUFFER-305</x:v>
      </x:c>
      <x:c r="B306" s="24" t="str">
        <x:v>K03 单通道替代｜失效与伪保护</x:v>
      </x:c>
      <x:c r="C306" s="24" t="str">
        <x:v>L6 K01—K08保护路由</x:v>
      </x:c>
      <x:c r="D306" s="24" t="str">
        <x:v>BUFFER-K机制接口</x:v>
      </x:c>
      <x:c r="E306" s="24" t="str">
        <x:v>通用</x:v>
      </x:c>
      <x:c r="F306" s="24" t="str">
        <x:v>降级</x:v>
      </x:c>
      <x:c r="G306" s="24" t="str">
        <x:v>K03 单通道替代</x:v>
      </x:c>
      <x:c r="H306" s="24" t="str">
        <x:v>防止保护资源制造新失衡。</x:v>
      </x:c>
      <x:c r="I306" s="24" t="str">
        <x:v>从一种替代换成另一种替代，仍然没有完成目标任务。</x:v>
      </x:c>
      <x:c r="J306" s="24" t="str">
        <x:v>原功能与被替代任务重新分工，两者都能进入。</x:v>
      </x:c>
      <x:c r="K306" s="24" t="str">
        <x:v>由共享基础引擎提供；仅修正保护功能的承载、持续调用和压力状态下的稳定性，不直接等同成熟度、道德或现实行为。</x:v>
      </x:c>
      <x:c r="L306" s="24" t="str">
        <x:v>由M1／M2接口提供；夫妻星、心动原型和关系门槛只说明关系议题，不单独证明保护因素已经被调用或有效。</x:v>
      </x:c>
      <x:c r="M306" s="24" t="str">
        <x:v>由M3-BASE及M4各模块提供；日支、日柱近位可提高与亲密关系核心的相关性，但同一source_id不得重复计分。</x:v>
      </x:c>
      <x:c r="N306" s="24" t="str">
        <x:v>保护因素必须明确限制过用、补足缺位、恢复顺序、打开反馈、落实改变或完成修复回流；不能只凭五行相生补写现实效果。</x:v>
      </x:c>
      <x:c r="O306" s="24" t="str">
        <x:v>近位提高进入亲密关系核心的概率；远位只作背景、阶段或条件性修正。</x:v>
      </x:c>
      <x:c r="P306" s="24" t="str">
        <x:v>根气只修正该保护功能是否容易重复调用，不等于现实中已经形成稳定保护。</x:v>
      </x:c>
      <x:c r="Q306" s="24" t="str">
        <x:v>旺弱只修正调用强度与承载；强不自动有效，弱也不自动无效。</x:v>
      </x:c>
      <x:c r="R306" s="24" t="str">
        <x:v>喜忌只修正摩擦、平衡与承载，不可直接翻译为好坏、成熟度或解决方案。</x:v>
      </x:c>
      <x:c r="S306" s="24" t="str">
        <x:v>原十神功能有效；真合化成立时按化神功能替换，合化争议时停止定性。</x:v>
      </x:c>
      <x:c r="T306" s="24" t="str">
        <x:v>近位提高直接相关性；远位仅保留背景、阶段或低置信修正。</x:v>
      </x:c>
      <x:c r="U306" s="24" t="str">
        <x:v>97</x:v>
      </x:c>
      <x:c r="V306" s="24" t="str">
        <x:v>失效-10</x:v>
      </x:c>
      <x:c r="W306" s="24" t="str">
        <x:v>pseudo_buffer</x:v>
      </x:c>
      <x:c r="X306" s="24" t="str">
        <x:v>失效表现：从一种替代换成另一种替代，仍然没有完成目标任务。</x:v>
      </x:c>
      <x:c r="Y306" s="24" t="str">
        <x:v>若只是“从一种替代换成另一种替代，仍然没有完成目标任务。”，说明保护还没有真正成立。</x:v>
      </x:c>
      <x:c r="Z306" s="24" t="str">
        <x:v>不得仅凭本规则断定问题已经解决、关系必然稳定、用户一定成熟、某十神天然是“药”、喜用神自动等于解决办法，或淡化暴力、强迫与现实伤害；现实行为、反例、安全事实和专业支持优先。</x:v>
      </x:c>
      <x:c r="AA306" s="24" t="str">
        <x:v>高</x:v>
      </x:c>
      <x:c r="AB306" s="24" t="str">
        <x:v>待验证</x:v>
      </x:c>
      <x:c r="AC306" s="24" t="str"/>
      <x:c r="AD306" s="24" t="str">
        <x:v>provisional=true；保护因素的现实有效性必须由可观察行为、反馈和持续结果验证。</x:v>
      </x:c>
      <x:c r="AE306" s="24" t="str">
        <x:v>0.8</x:v>
      </x:c>
    </x:row>
    <x:row r="307" ht="52" customHeight="1">
      <x:c r="A307" s="24" t="str">
        <x:v>M4-BUFFER-306</x:v>
      </x:c>
      <x:c r="B307" s="24" t="str">
        <x:v>K03 单通道替代｜用户输出</x:v>
      </x:c>
      <x:c r="C307" s="24" t="str">
        <x:v>L6 K01—K08保护路由</x:v>
      </x:c>
      <x:c r="D307" s="24" t="str">
        <x:v>BUFFER-K机制接口</x:v>
      </x:c>
      <x:c r="E307" s="24" t="str">
        <x:v>通用</x:v>
      </x:c>
      <x:c r="F307" s="24" t="str">
        <x:v>语言</x:v>
      </x:c>
      <x:c r="G307" s="24" t="str">
        <x:v>K03 单通道替代</x:v>
      </x:c>
      <x:c r="H307" s="24" t="str">
        <x:v>生成K机制＋保护语言。</x:v>
      </x:c>
      <x:c r="I307" s="24" t="str">
        <x:v>K03成立且至少一项匹配保护达到BL2以上。</x:v>
      </x:c>
      <x:c r="J307" s="24" t="str">
        <x:v>资料不足或安全停止。</x:v>
      </x:c>
      <x:c r="K307" s="24" t="str">
        <x:v>由共享基础引擎提供；仅修正保护功能的承载、持续调用和压力状态下的稳定性，不直接等同成熟度、道德或现实行为。</x:v>
      </x:c>
      <x:c r="L307" s="24" t="str">
        <x:v>由M1／M2接口提供；夫妻星、心动原型和关系门槛只说明关系议题，不单独证明保护因素已经被调用或有效。</x:v>
      </x:c>
      <x:c r="M307" s="24" t="str">
        <x:v>由M3-BASE及M4各模块提供；日支、日柱近位可提高与亲密关系核心的相关性，但同一source_id不得重复计分。</x:v>
      </x:c>
      <x:c r="N307" s="24" t="str">
        <x:v>保护因素必须明确限制过用、补足缺位、恢复顺序、打开反馈、落实改变或完成修复回流；不能只凭五行相生补写现实效果。</x:v>
      </x:c>
      <x:c r="O307" s="24" t="str">
        <x:v>近位提高进入亲密关系核心的概率；远位只作背景、阶段或条件性修正。</x:v>
      </x:c>
      <x:c r="P307" s="24" t="str">
        <x:v>根气只修正该保护功能是否容易重复调用，不等于现实中已经形成稳定保护。</x:v>
      </x:c>
      <x:c r="Q307" s="24" t="str">
        <x:v>旺弱只修正调用强度与承载；强不自动有效，弱也不自动无效。</x:v>
      </x:c>
      <x:c r="R307" s="24" t="str">
        <x:v>喜忌只修正摩擦、平衡与承载，不可直接翻译为好坏、成熟度或解决方案。</x:v>
      </x:c>
      <x:c r="S307" s="24" t="str">
        <x:v>原十神功能有效；真合化成立时按化神功能替换，合化争议时停止定性。</x:v>
      </x:c>
      <x:c r="T307" s="24" t="str">
        <x:v>近位提高直接相关性；远位仅保留背景、阶段或低置信修正。</x:v>
      </x:c>
      <x:c r="U307" s="24" t="str">
        <x:v>84</x:v>
      </x:c>
      <x:c r="V307" s="24" t="str">
        <x:v>不加分；输出</x:v>
      </x:c>
      <x:c r="W307" s="24" t="str">
        <x:v>report_text</x:v>
      </x:c>
      <x:c r="X307" s="24" t="str">
        <x:v>熟悉功能承担了另一项不同任务，导致关键步骤被绕开。；对应保护是BF02跨系统通关，必要时辅以BF04内部复核／BF05反馈通道。</x:v>
      </x:c>
      <x:c r="Y307" s="24" t="str">
        <x:v>当这类情况出现时，你真正需要的不是更用力，而是让BF02跨系统通关进入，必要时再由BF04内部复核／BF05反馈通道补位。</x:v>
      </x:c>
      <x:c r="Z307" s="24" t="str">
        <x:v>不得仅凭本规则断定问题已经解决、关系必然稳定、用户一定成熟、某十神天然是“药”、喜用神自动等于解决办法，或淡化暴力、强迫与现实伤害；现实行为、反例、安全事实和专业支持优先。</x:v>
      </x:c>
      <x:c r="AA307" s="24" t="str">
        <x:v>中高</x:v>
      </x:c>
      <x:c r="AB307" s="24" t="str">
        <x:v>待验证</x:v>
      </x:c>
      <x:c r="AC307" s="24" t="str"/>
      <x:c r="AD307" s="24" t="str">
        <x:v>provisional=true；保护因素的现实有效性必须由可观察行为、反馈和持续结果验证。</x:v>
      </x:c>
      <x:c r="AE307" s="24" t="str">
        <x:v>0.8</x:v>
      </x:c>
    </x:row>
    <x:row r="308" ht="52" customHeight="1">
      <x:c r="A308" s="24" t="str">
        <x:v>M4-BUFFER-307</x:v>
      </x:c>
      <x:c r="B308" s="24" t="str">
        <x:v>K04 处理顺序错位｜问题摘要</x:v>
      </x:c>
      <x:c r="C308" s="24" t="str">
        <x:v>L6 K01—K08保护路由</x:v>
      </x:c>
      <x:c r="D308" s="24" t="str">
        <x:v>BUFFER-K机制接口</x:v>
      </x:c>
      <x:c r="E308" s="24" t="str">
        <x:v>通用</x:v>
      </x:c>
      <x:c r="F308" s="24" t="str">
        <x:v>定义</x:v>
      </x:c>
      <x:c r="G308" s="24" t="str">
        <x:v>K04 处理顺序错位</x:v>
      </x:c>
      <x:c r="H308" s="24" t="str">
        <x:v>保留原问题定义。</x:v>
      </x:c>
      <x:c r="I308" s="24" t="str">
        <x:v>K04已由OVERUSE、LOOP或REPAIR形成候选。</x:v>
      </x:c>
      <x:c r="J308" s="24" t="str">
        <x:v>只有单一十神标签。</x:v>
      </x:c>
      <x:c r="K308" s="24" t="str">
        <x:v>由共享基础引擎提供；仅修正保护功能的承载、持续调用和压力状态下的稳定性，不直接等同成熟度、道德或现实行为。</x:v>
      </x:c>
      <x:c r="L308" s="24" t="str">
        <x:v>由M1／M2接口提供；夫妻星、心动原型和关系门槛只说明关系议题，不单独证明保护因素已经被调用或有效。</x:v>
      </x:c>
      <x:c r="M308" s="24" t="str">
        <x:v>由M3-BASE及M4各模块提供；日支、日柱近位可提高与亲密关系核心的相关性，但同一source_id不得重复计分。</x:v>
      </x:c>
      <x:c r="N308" s="24" t="str">
        <x:v>保护因素必须明确限制过用、补足缺位、恢复顺序、打开反馈、落实改变或完成修复回流；不能只凭五行相生补写现实效果。</x:v>
      </x:c>
      <x:c r="O308" s="24" t="str">
        <x:v>近位提高进入亲密关系核心的概率；远位只作背景、阶段或条件性修正。</x:v>
      </x:c>
      <x:c r="P308" s="24" t="str">
        <x:v>根气只修正该保护功能是否容易重复调用，不等于现实中已经形成稳定保护。</x:v>
      </x:c>
      <x:c r="Q308" s="24" t="str">
        <x:v>旺弱只修正调用强度与承载；强不自动有效，弱也不自动无效。</x:v>
      </x:c>
      <x:c r="R308" s="24" t="str">
        <x:v>喜忌只修正摩擦、平衡与承载，不可直接翻译为好坏、成熟度或解决方案。</x:v>
      </x:c>
      <x:c r="S308" s="24" t="str">
        <x:v>原十神功能有效；真合化成立时按化神功能替换，合化争议时停止定性。</x:v>
      </x:c>
      <x:c r="T308" s="24" t="str">
        <x:v>近位提高直接相关性；远位仅保留背景、阶段或低置信修正。</x:v>
      </x:c>
      <x:c r="U308" s="24" t="str">
        <x:v>94</x:v>
      </x:c>
      <x:c r="V308" s="24" t="str">
        <x:v>不加分；继承</x:v>
      </x:c>
      <x:c r="W308" s="24" t="str">
        <x:v>blind_spot_theme</x:v>
      </x:c>
      <x:c r="X308" s="24" t="str">
        <x:v>两项能力都存在，但进入先后、时机或阶段不合适。</x:v>
      </x:c>
      <x:c r="Y308" s="24" t="str">
        <x:v>当前需要处理的核心不是某个十神好坏，而是：两项能力都存在，但进入先后、时机或阶段不合适。</x:v>
      </x:c>
      <x:c r="Z308" s="24" t="str">
        <x:v>不得仅凭本规则断定问题已经解决、关系必然稳定、用户一定成熟、某十神天然是“药”、喜用神自动等于解决办法，或淡化暴力、强迫与现实伤害；现实行为、反例、安全事实和专业支持优先。</x:v>
      </x:c>
      <x:c r="AA308" s="24" t="str">
        <x:v>中高</x:v>
      </x:c>
      <x:c r="AB308" s="24" t="str">
        <x:v>待验证</x:v>
      </x:c>
      <x:c r="AC308" s="24" t="str"/>
      <x:c r="AD308" s="24" t="str">
        <x:v>provisional=true；保护因素的现实有效性必须由可观察行为、反馈和持续结果验证。</x:v>
      </x:c>
      <x:c r="AE308" s="24" t="str">
        <x:v>0.8</x:v>
      </x:c>
    </x:row>
    <x:row r="309" ht="52" customHeight="1">
      <x:c r="A309" s="24" t="str">
        <x:v>M4-BUFFER-308</x:v>
      </x:c>
      <x:c r="B309" s="24" t="str">
        <x:v>K04 处理顺序错位｜主保护路由</x:v>
      </x:c>
      <x:c r="C309" s="24" t="str">
        <x:v>L6 K01—K08保护路由</x:v>
      </x:c>
      <x:c r="D309" s="24" t="str">
        <x:v>BUFFER-K机制接口</x:v>
      </x:c>
      <x:c r="E309" s="24" t="str">
        <x:v>通用</x:v>
      </x:c>
      <x:c r="F309" s="24" t="str">
        <x:v>路由</x:v>
      </x:c>
      <x:c r="G309" s="24" t="str">
        <x:v>K04 处理顺序错位</x:v>
      </x:c>
      <x:c r="H309" s="24" t="str">
        <x:v>确定首选保护功能。</x:v>
      </x:c>
      <x:c r="I309" s="24" t="str">
        <x:v>K04达到E1以上，且BF08状态分工结构可用。</x:v>
      </x:c>
      <x:c r="J309" s="24" t="str">
        <x:v>BF08状态分工与风险来源同源重复或功能不匹配。</x:v>
      </x:c>
      <x:c r="K309" s="24" t="str">
        <x:v>由共享基础引擎提供；仅修正保护功能的承载、持续调用和压力状态下的稳定性，不直接等同成熟度、道德或现实行为。</x:v>
      </x:c>
      <x:c r="L309" s="24" t="str">
        <x:v>由M1／M2接口提供；夫妻星、心动原型和关系门槛只说明关系议题，不单独证明保护因素已经被调用或有效。</x:v>
      </x:c>
      <x:c r="M309" s="24" t="str">
        <x:v>由M3-BASE及M4各模块提供；日支、日柱近位可提高与亲密关系核心的相关性，但同一source_id不得重复计分。</x:v>
      </x:c>
      <x:c r="N309" s="24" t="str">
        <x:v>保护因素必须明确限制过用、补足缺位、恢复顺序、打开反馈、落实改变或完成修复回流；不能只凭五行相生补写现实效果。</x:v>
      </x:c>
      <x:c r="O309" s="24" t="str">
        <x:v>近位提高进入亲密关系核心的概率；远位只作背景、阶段或条件性修正。</x:v>
      </x:c>
      <x:c r="P309" s="24" t="str">
        <x:v>根气只修正该保护功能是否容易重复调用，不等于现实中已经形成稳定保护。</x:v>
      </x:c>
      <x:c r="Q309" s="24" t="str">
        <x:v>旺弱只修正调用强度与承载；强不自动有效，弱也不自动无效。</x:v>
      </x:c>
      <x:c r="R309" s="24" t="str">
        <x:v>喜忌只修正摩擦、平衡与承载，不可直接翻译为好坏、成熟度或解决方案。</x:v>
      </x:c>
      <x:c r="S309" s="24" t="str">
        <x:v>原十神功能有效；真合化成立时按化神功能替换，合化争议时停止定性。</x:v>
      </x:c>
      <x:c r="T309" s="24" t="str">
        <x:v>近位提高直接相关性；远位仅保留背景、阶段或低置信修正。</x:v>
      </x:c>
      <x:c r="U309" s="24" t="str">
        <x:v>95</x:v>
      </x:c>
      <x:c r="V309" s="24" t="str">
        <x:v>主路由+8</x:v>
      </x:c>
      <x:c r="W309" s="24" t="str">
        <x:v>primary_buffer</x:v>
      </x:c>
      <x:c r="X309" s="24" t="str">
        <x:v>K04优先路由至BF08状态分工。</x:v>
      </x:c>
      <x:c r="Y309" s="24" t="str">
        <x:v>最优先检查的是BF08状态分工能否进入并改变当前链条。</x:v>
      </x:c>
      <x:c r="Z309" s="24" t="str">
        <x:v>不得仅凭本规则断定问题已经解决、关系必然稳定、用户一定成熟、某十神天然是“药”、喜用神自动等于解决办法，或淡化暴力、强迫与现实伤害；现实行为、反例、安全事实和专业支持优先。</x:v>
      </x:c>
      <x:c r="AA309" s="24" t="str">
        <x:v>中高</x:v>
      </x:c>
      <x:c r="AB309" s="24" t="str">
        <x:v>待验证</x:v>
      </x:c>
      <x:c r="AC309" s="24" t="str"/>
      <x:c r="AD309" s="24" t="str">
        <x:v>provisional=true；保护因素的现实有效性必须由可观察行为、反馈和持续结果验证。</x:v>
      </x:c>
      <x:c r="AE309" s="24" t="str">
        <x:v>0.8</x:v>
      </x:c>
    </x:row>
    <x:row r="310" ht="52" customHeight="1">
      <x:c r="A310" s="24" t="str">
        <x:v>M4-BUFFER-309</x:v>
      </x:c>
      <x:c r="B310" s="24" t="str">
        <x:v>K04 处理顺序错位｜次保护路由</x:v>
      </x:c>
      <x:c r="C310" s="24" t="str">
        <x:v>L6 K01—K08保护路由</x:v>
      </x:c>
      <x:c r="D310" s="24" t="str">
        <x:v>BUFFER-K机制接口</x:v>
      </x:c>
      <x:c r="E310" s="24" t="str">
        <x:v>通用</x:v>
      </x:c>
      <x:c r="F310" s="24" t="str">
        <x:v>路由</x:v>
      </x:c>
      <x:c r="G310" s="24" t="str">
        <x:v>K04 处理顺序错位</x:v>
      </x:c>
      <x:c r="H310" s="24" t="str">
        <x:v>补充第二类保护功能。</x:v>
      </x:c>
      <x:c r="I310" s="24" t="str">
        <x:v>主保护不足以独立改变链条，且存在BF02通关／BF05反馈／明确回访点中的独立资源。</x:v>
      </x:c>
      <x:c r="J310" s="24" t="str">
        <x:v>把所有次资源堆叠成万能保护。</x:v>
      </x:c>
      <x:c r="K310" s="24" t="str">
        <x:v>由共享基础引擎提供；仅修正保护功能的承载、持续调用和压力状态下的稳定性，不直接等同成熟度、道德或现实行为。</x:v>
      </x:c>
      <x:c r="L310" s="24" t="str">
        <x:v>由M1／M2接口提供；夫妻星、心动原型和关系门槛只说明关系议题，不单独证明保护因素已经被调用或有效。</x:v>
      </x:c>
      <x:c r="M310" s="24" t="str">
        <x:v>由M3-BASE及M4各模块提供；日支、日柱近位可提高与亲密关系核心的相关性，但同一source_id不得重复计分。</x:v>
      </x:c>
      <x:c r="N310" s="24" t="str">
        <x:v>保护因素必须明确限制过用、补足缺位、恢复顺序、打开反馈、落实改变或完成修复回流；不能只凭五行相生补写现实效果。</x:v>
      </x:c>
      <x:c r="O310" s="24" t="str">
        <x:v>近位提高进入亲密关系核心的概率；远位只作背景、阶段或条件性修正。</x:v>
      </x:c>
      <x:c r="P310" s="24" t="str">
        <x:v>根气只修正该保护功能是否容易重复调用，不等于现实中已经形成稳定保护。</x:v>
      </x:c>
      <x:c r="Q310" s="24" t="str">
        <x:v>旺弱只修正调用强度与承载；强不自动有效，弱也不自动无效。</x:v>
      </x:c>
      <x:c r="R310" s="24" t="str">
        <x:v>喜忌只修正摩擦、平衡与承载，不可直接翻译为好坏、成熟度或解决方案。</x:v>
      </x:c>
      <x:c r="S310" s="24" t="str">
        <x:v>原十神功能有效；真合化成立时按化神功能替换，合化争议时停止定性。</x:v>
      </x:c>
      <x:c r="T310" s="24" t="str">
        <x:v>近位提高直接相关性；远位仅保留背景、阶段或低置信修正。</x:v>
      </x:c>
      <x:c r="U310" s="24" t="str">
        <x:v>90</x:v>
      </x:c>
      <x:c r="V310" s="24" t="str">
        <x:v>次路由+4</x:v>
      </x:c>
      <x:c r="W310" s="24" t="str">
        <x:v>secondary_buffer</x:v>
      </x:c>
      <x:c r="X310" s="24" t="str">
        <x:v>次级资源可来自：BF02通关／BF05反馈／明确回访点。</x:v>
      </x:c>
      <x:c r="Y310" s="24" t="str">
        <x:v>若主资源不足，还可以检查BF02通关／BF05反馈／明确回访点是否提供补位。</x:v>
      </x:c>
      <x:c r="Z310" s="24" t="str">
        <x:v>不得仅凭本规则断定问题已经解决、关系必然稳定、用户一定成熟、某十神天然是“药”、喜用神自动等于解决办法，或淡化暴力、强迫与现实伤害；现实行为、反例、安全事实和专业支持优先。</x:v>
      </x:c>
      <x:c r="AA310" s="24" t="str">
        <x:v>中高</x:v>
      </x:c>
      <x:c r="AB310" s="24" t="str">
        <x:v>待验证</x:v>
      </x:c>
      <x:c r="AC310" s="24" t="str"/>
      <x:c r="AD310" s="24" t="str">
        <x:v>provisional=true；保护因素的现实有效性必须由可观察行为、反馈和持续结果验证。</x:v>
      </x:c>
      <x:c r="AE310" s="24" t="str">
        <x:v>0.8</x:v>
      </x:c>
    </x:row>
    <x:row r="311" ht="52" customHeight="1">
      <x:c r="A311" s="24" t="str">
        <x:v>M4-BUFFER-310</x:v>
      </x:c>
      <x:c r="B311" s="24" t="str">
        <x:v>K04 处理顺序错位｜有效标志</x:v>
      </x:c>
      <x:c r="C311" s="24" t="str">
        <x:v>L6 K01—K08保护路由</x:v>
      </x:c>
      <x:c r="D311" s="24" t="str">
        <x:v>BUFFER-K机制接口</x:v>
      </x:c>
      <x:c r="E311" s="24" t="str">
        <x:v>通用</x:v>
      </x:c>
      <x:c r="F311" s="24" t="str">
        <x:v>效果</x:v>
      </x:c>
      <x:c r="G311" s="24" t="str">
        <x:v>K04 处理顺序错位</x:v>
      </x:c>
      <x:c r="H311" s="24" t="str">
        <x:v>判断保护是否真正改变K机制。</x:v>
      </x:c>
      <x:c r="I311" s="24" t="str">
        <x:v>第一步完成后，第二步在约定时点回流，不再长期延后。</x:v>
      </x:c>
      <x:c r="J311" s="24" t="str">
        <x:v>只改变表面顺序，后续关键步骤仍未完成。</x:v>
      </x:c>
      <x:c r="K311" s="24" t="str">
        <x:v>由共享基础引擎提供；仅修正保护功能的承载、持续调用和压力状态下的稳定性，不直接等同成熟度、道德或现实行为。</x:v>
      </x:c>
      <x:c r="L311" s="24" t="str">
        <x:v>由M1／M2接口提供；夫妻星、心动原型和关系门槛只说明关系议题，不单独证明保护因素已经被调用或有效。</x:v>
      </x:c>
      <x:c r="M311" s="24" t="str">
        <x:v>由M3-BASE及M4各模块提供；日支、日柱近位可提高与亲密关系核心的相关性，但同一source_id不得重复计分。</x:v>
      </x:c>
      <x:c r="N311" s="24" t="str">
        <x:v>保护因素必须明确限制过用、补足缺位、恢复顺序、打开反馈、落实改变或完成修复回流；不能只凭五行相生补写现实效果。</x:v>
      </x:c>
      <x:c r="O311" s="24" t="str">
        <x:v>近位提高进入亲密关系核心的概率；远位只作背景、阶段或条件性修正。</x:v>
      </x:c>
      <x:c r="P311" s="24" t="str">
        <x:v>根气只修正该保护功能是否容易重复调用，不等于现实中已经形成稳定保护。</x:v>
      </x:c>
      <x:c r="Q311" s="24" t="str">
        <x:v>旺弱只修正调用强度与承载；强不自动有效，弱也不自动无效。</x:v>
      </x:c>
      <x:c r="R311" s="24" t="str">
        <x:v>喜忌只修正摩擦、平衡与承载，不可直接翻译为好坏、成熟度或解决方案。</x:v>
      </x:c>
      <x:c r="S311" s="24" t="str">
        <x:v>原十神功能有效；真合化成立时按化神功能替换，合化争议时停止定性。</x:v>
      </x:c>
      <x:c r="T311" s="24" t="str">
        <x:v>近位提高直接相关性；远位仅保留背景、阶段或低置信修正。</x:v>
      </x:c>
      <x:c r="U311" s="24" t="str">
        <x:v>93</x:v>
      </x:c>
      <x:c r="V311" s="24" t="str">
        <x:v>效果+12</x:v>
      </x:c>
      <x:c r="W311" s="24" t="str">
        <x:v>buffer_level</x:v>
      </x:c>
      <x:c r="X311" s="24" t="str">
        <x:v>有效标志：第一步完成后，第二步在约定时点回流，不再长期延后。</x:v>
      </x:c>
      <x:c r="Y311" s="24" t="str">
        <x:v>真正有效时，会看到：第一步完成后，第二步在约定时点回流，不再长期延后。</x:v>
      </x:c>
      <x:c r="Z311" s="24" t="str">
        <x:v>不得仅凭本规则断定问题已经解决、关系必然稳定、用户一定成熟、某十神天然是“药”、喜用神自动等于解决办法，或淡化暴力、强迫与现实伤害；现实行为、反例、安全事实和专业支持优先。</x:v>
      </x:c>
      <x:c r="AA311" s="24" t="str">
        <x:v>中高</x:v>
      </x:c>
      <x:c r="AB311" s="24" t="str">
        <x:v>待验证</x:v>
      </x:c>
      <x:c r="AC311" s="24" t="str"/>
      <x:c r="AD311" s="24" t="str">
        <x:v>provisional=true；保护因素的现实有效性必须由可观察行为、反馈和持续结果验证。</x:v>
      </x:c>
      <x:c r="AE311" s="24" t="str">
        <x:v>0.8</x:v>
      </x:c>
    </x:row>
    <x:row r="312" ht="52" customHeight="1">
      <x:c r="A312" s="24" t="str">
        <x:v>M4-BUFFER-311</x:v>
      </x:c>
      <x:c r="B312" s="24" t="str">
        <x:v>K04 处理顺序错位｜失效与伪保护</x:v>
      </x:c>
      <x:c r="C312" s="24" t="str">
        <x:v>L6 K01—K08保护路由</x:v>
      </x:c>
      <x:c r="D312" s="24" t="str">
        <x:v>BUFFER-K机制接口</x:v>
      </x:c>
      <x:c r="E312" s="24" t="str">
        <x:v>通用</x:v>
      </x:c>
      <x:c r="F312" s="24" t="str">
        <x:v>降级</x:v>
      </x:c>
      <x:c r="G312" s="24" t="str">
        <x:v>K04 处理顺序错位</x:v>
      </x:c>
      <x:c r="H312" s="24" t="str">
        <x:v>防止保护资源制造新失衡。</x:v>
      </x:c>
      <x:c r="I312" s="24" t="str">
        <x:v>只改变表面顺序，后续关键步骤仍未完成。</x:v>
      </x:c>
      <x:c r="J312" s="24" t="str">
        <x:v>第一步完成后，第二步在约定时点回流，不再长期延后。</x:v>
      </x:c>
      <x:c r="K312" s="24" t="str">
        <x:v>由共享基础引擎提供；仅修正保护功能的承载、持续调用和压力状态下的稳定性，不直接等同成熟度、道德或现实行为。</x:v>
      </x:c>
      <x:c r="L312" s="24" t="str">
        <x:v>由M1／M2接口提供；夫妻星、心动原型和关系门槛只说明关系议题，不单独证明保护因素已经被调用或有效。</x:v>
      </x:c>
      <x:c r="M312" s="24" t="str">
        <x:v>由M3-BASE及M4各模块提供；日支、日柱近位可提高与亲密关系核心的相关性，但同一source_id不得重复计分。</x:v>
      </x:c>
      <x:c r="N312" s="24" t="str">
        <x:v>保护因素必须明确限制过用、补足缺位、恢复顺序、打开反馈、落实改变或完成修复回流；不能只凭五行相生补写现实效果。</x:v>
      </x:c>
      <x:c r="O312" s="24" t="str">
        <x:v>近位提高进入亲密关系核心的概率；远位只作背景、阶段或条件性修正。</x:v>
      </x:c>
      <x:c r="P312" s="24" t="str">
        <x:v>根气只修正该保护功能是否容易重复调用，不等于现实中已经形成稳定保护。</x:v>
      </x:c>
      <x:c r="Q312" s="24" t="str">
        <x:v>旺弱只修正调用强度与承载；强不自动有效，弱也不自动无效。</x:v>
      </x:c>
      <x:c r="R312" s="24" t="str">
        <x:v>喜忌只修正摩擦、平衡与承载，不可直接翻译为好坏、成熟度或解决方案。</x:v>
      </x:c>
      <x:c r="S312" s="24" t="str">
        <x:v>原十神功能有效；真合化成立时按化神功能替换，合化争议时停止定性。</x:v>
      </x:c>
      <x:c r="T312" s="24" t="str">
        <x:v>近位提高直接相关性；远位仅保留背景、阶段或低置信修正。</x:v>
      </x:c>
      <x:c r="U312" s="24" t="str">
        <x:v>97</x:v>
      </x:c>
      <x:c r="V312" s="24" t="str">
        <x:v>失效-10</x:v>
      </x:c>
      <x:c r="W312" s="24" t="str">
        <x:v>pseudo_buffer</x:v>
      </x:c>
      <x:c r="X312" s="24" t="str">
        <x:v>失效表现：只改变表面顺序，后续关键步骤仍未完成。</x:v>
      </x:c>
      <x:c r="Y312" s="24" t="str">
        <x:v>若只是“只改变表面顺序，后续关键步骤仍未完成。”，说明保护还没有真正成立。</x:v>
      </x:c>
      <x:c r="Z312" s="24" t="str">
        <x:v>不得仅凭本规则断定问题已经解决、关系必然稳定、用户一定成熟、某十神天然是“药”、喜用神自动等于解决办法，或淡化暴力、强迫与现实伤害；现实行为、反例、安全事实和专业支持优先。</x:v>
      </x:c>
      <x:c r="AA312" s="24" t="str">
        <x:v>高</x:v>
      </x:c>
      <x:c r="AB312" s="24" t="str">
        <x:v>待验证</x:v>
      </x:c>
      <x:c r="AC312" s="24" t="str"/>
      <x:c r="AD312" s="24" t="str">
        <x:v>provisional=true；保护因素的现实有效性必须由可观察行为、反馈和持续结果验证。</x:v>
      </x:c>
      <x:c r="AE312" s="24" t="str">
        <x:v>0.8</x:v>
      </x:c>
    </x:row>
    <x:row r="313" ht="52" customHeight="1">
      <x:c r="A313" s="24" t="str">
        <x:v>M4-BUFFER-312</x:v>
      </x:c>
      <x:c r="B313" s="24" t="str">
        <x:v>K04 处理顺序错位｜用户输出</x:v>
      </x:c>
      <x:c r="C313" s="24" t="str">
        <x:v>L6 K01—K08保护路由</x:v>
      </x:c>
      <x:c r="D313" s="24" t="str">
        <x:v>BUFFER-K机制接口</x:v>
      </x:c>
      <x:c r="E313" s="24" t="str">
        <x:v>通用</x:v>
      </x:c>
      <x:c r="F313" s="24" t="str">
        <x:v>语言</x:v>
      </x:c>
      <x:c r="G313" s="24" t="str">
        <x:v>K04 处理顺序错位</x:v>
      </x:c>
      <x:c r="H313" s="24" t="str">
        <x:v>生成K机制＋保护语言。</x:v>
      </x:c>
      <x:c r="I313" s="24" t="str">
        <x:v>K04成立且至少一项匹配保护达到BL2以上。</x:v>
      </x:c>
      <x:c r="J313" s="24" t="str">
        <x:v>资料不足或安全停止。</x:v>
      </x:c>
      <x:c r="K313" s="24" t="str">
        <x:v>由共享基础引擎提供；仅修正保护功能的承载、持续调用和压力状态下的稳定性，不直接等同成熟度、道德或现实行为。</x:v>
      </x:c>
      <x:c r="L313" s="24" t="str">
        <x:v>由M1／M2接口提供；夫妻星、心动原型和关系门槛只说明关系议题，不单独证明保护因素已经被调用或有效。</x:v>
      </x:c>
      <x:c r="M313" s="24" t="str">
        <x:v>由M3-BASE及M4各模块提供；日支、日柱近位可提高与亲密关系核心的相关性，但同一source_id不得重复计分。</x:v>
      </x:c>
      <x:c r="N313" s="24" t="str">
        <x:v>保护因素必须明确限制过用、补足缺位、恢复顺序、打开反馈、落实改变或完成修复回流；不能只凭五行相生补写现实效果。</x:v>
      </x:c>
      <x:c r="O313" s="24" t="str">
        <x:v>近位提高进入亲密关系核心的概率；远位只作背景、阶段或条件性修正。</x:v>
      </x:c>
      <x:c r="P313" s="24" t="str">
        <x:v>根气只修正该保护功能是否容易重复调用，不等于现实中已经形成稳定保护。</x:v>
      </x:c>
      <x:c r="Q313" s="24" t="str">
        <x:v>旺弱只修正调用强度与承载；强不自动有效，弱也不自动无效。</x:v>
      </x:c>
      <x:c r="R313" s="24" t="str">
        <x:v>喜忌只修正摩擦、平衡与承载，不可直接翻译为好坏、成熟度或解决方案。</x:v>
      </x:c>
      <x:c r="S313" s="24" t="str">
        <x:v>原十神功能有效；真合化成立时按化神功能替换，合化争议时停止定性。</x:v>
      </x:c>
      <x:c r="T313" s="24" t="str">
        <x:v>近位提高直接相关性；远位仅保留背景、阶段或低置信修正。</x:v>
      </x:c>
      <x:c r="U313" s="24" t="str">
        <x:v>84</x:v>
      </x:c>
      <x:c r="V313" s="24" t="str">
        <x:v>不加分；输出</x:v>
      </x:c>
      <x:c r="W313" s="24" t="str">
        <x:v>report_text</x:v>
      </x:c>
      <x:c r="X313" s="24" t="str">
        <x:v>两项能力都存在，但进入先后、时机或阶段不合适。；对应保护是BF08状态分工，必要时辅以BF02通关／BF05反馈／明确回访点。</x:v>
      </x:c>
      <x:c r="Y313" s="24" t="str">
        <x:v>当这类情况出现时，你真正需要的不是更用力，而是让BF08状态分工进入，必要时再由BF02通关／BF05反馈／明确回访点补位。</x:v>
      </x:c>
      <x:c r="Z313" s="24" t="str">
        <x:v>不得仅凭本规则断定问题已经解决、关系必然稳定、用户一定成熟、某十神天然是“药”、喜用神自动等于解决办法，或淡化暴力、强迫与现实伤害；现实行为、反例、安全事实和专业支持优先。</x:v>
      </x:c>
      <x:c r="AA313" s="24" t="str">
        <x:v>中高</x:v>
      </x:c>
      <x:c r="AB313" s="24" t="str">
        <x:v>待验证</x:v>
      </x:c>
      <x:c r="AC313" s="24" t="str"/>
      <x:c r="AD313" s="24" t="str">
        <x:v>provisional=true；保护因素的现实有效性必须由可观察行为、反馈和持续结果验证。</x:v>
      </x:c>
      <x:c r="AE313" s="24" t="str">
        <x:v>0.8</x:v>
      </x:c>
    </x:row>
    <x:row r="314" ht="52" customHeight="1">
      <x:c r="A314" s="24" t="str">
        <x:v>M4-BUFFER-313</x:v>
      </x:c>
      <x:c r="B314" s="24" t="str">
        <x:v>K05 双通道竞争｜问题摘要</x:v>
      </x:c>
      <x:c r="C314" s="24" t="str">
        <x:v>L6 K01—K08保护路由</x:v>
      </x:c>
      <x:c r="D314" s="24" t="str">
        <x:v>BUFFER-K机制接口</x:v>
      </x:c>
      <x:c r="E314" s="24" t="str">
        <x:v>通用</x:v>
      </x:c>
      <x:c r="F314" s="24" t="str">
        <x:v>定义</x:v>
      </x:c>
      <x:c r="G314" s="24" t="str">
        <x:v>K05 双通道竞争</x:v>
      </x:c>
      <x:c r="H314" s="24" t="str">
        <x:v>保留原问题定义。</x:v>
      </x:c>
      <x:c r="I314" s="24" t="str">
        <x:v>K05已由OVERUSE、LOOP或REPAIR形成候选。</x:v>
      </x:c>
      <x:c r="J314" s="24" t="str">
        <x:v>只有单一十神标签。</x:v>
      </x:c>
      <x:c r="K314" s="24" t="str">
        <x:v>由共享基础引擎提供；仅修正保护功能的承载、持续调用和压力状态下的稳定性，不直接等同成熟度、道德或现实行为。</x:v>
      </x:c>
      <x:c r="L314" s="24" t="str">
        <x:v>由M1／M2接口提供；夫妻星、心动原型和关系门槛只说明关系议题，不单独证明保护因素已经被调用或有效。</x:v>
      </x:c>
      <x:c r="M314" s="24" t="str">
        <x:v>由M3-BASE及M4各模块提供；日支、日柱近位可提高与亲密关系核心的相关性，但同一source_id不得重复计分。</x:v>
      </x:c>
      <x:c r="N314" s="24" t="str">
        <x:v>保护因素必须明确限制过用、补足缺位、恢复顺序、打开反馈、落实改变或完成修复回流；不能只凭五行相生补写现实效果。</x:v>
      </x:c>
      <x:c r="O314" s="24" t="str">
        <x:v>近位提高进入亲密关系核心的概率；远位只作背景、阶段或条件性修正。</x:v>
      </x:c>
      <x:c r="P314" s="24" t="str">
        <x:v>根气只修正该保护功能是否容易重复调用，不等于现实中已经形成稳定保护。</x:v>
      </x:c>
      <x:c r="Q314" s="24" t="str">
        <x:v>旺弱只修正调用强度与承载；强不自动有效，弱也不自动无效。</x:v>
      </x:c>
      <x:c r="R314" s="24" t="str">
        <x:v>喜忌只修正摩擦、平衡与承载，不可直接翻译为好坏、成熟度或解决方案。</x:v>
      </x:c>
      <x:c r="S314" s="24" t="str">
        <x:v>原十神功能有效；真合化成立时按化神功能替换，合化争议时停止定性。</x:v>
      </x:c>
      <x:c r="T314" s="24" t="str">
        <x:v>近位提高直接相关性；远位仅保留背景、阶段或低置信修正。</x:v>
      </x:c>
      <x:c r="U314" s="24" t="str">
        <x:v>94</x:v>
      </x:c>
      <x:c r="V314" s="24" t="str">
        <x:v>不加分；继承</x:v>
      </x:c>
      <x:c r="W314" s="24" t="str">
        <x:v>blind_spot_theme</x:v>
      </x:c>
      <x:c r="X314" s="24" t="str">
        <x:v>两项合理功能在同一阶段争夺主导，缺少分工和协调。</x:v>
      </x:c>
      <x:c r="Y314" s="24" t="str">
        <x:v>当前需要处理的核心不是某个十神好坏，而是：两项合理功能在同一阶段争夺主导，缺少分工和协调。</x:v>
      </x:c>
      <x:c r="Z314" s="24" t="str">
        <x:v>不得仅凭本规则断定问题已经解决、关系必然稳定、用户一定成熟、某十神天然是“药”、喜用神自动等于解决办法，或淡化暴力、强迫与现实伤害；现实行为、反例、安全事实和专业支持优先。</x:v>
      </x:c>
      <x:c r="AA314" s="24" t="str">
        <x:v>中高</x:v>
      </x:c>
      <x:c r="AB314" s="24" t="str">
        <x:v>待验证</x:v>
      </x:c>
      <x:c r="AC314" s="24" t="str"/>
      <x:c r="AD314" s="24" t="str">
        <x:v>provisional=true；保护因素的现实有效性必须由可观察行为、反馈和持续结果验证。</x:v>
      </x:c>
      <x:c r="AE314" s="24" t="str">
        <x:v>0.8</x:v>
      </x:c>
    </x:row>
    <x:row r="315" ht="52" customHeight="1">
      <x:c r="A315" s="24" t="str">
        <x:v>M4-BUFFER-314</x:v>
      </x:c>
      <x:c r="B315" s="24" t="str">
        <x:v>K05 双通道竞争｜主保护路由</x:v>
      </x:c>
      <x:c r="C315" s="24" t="str">
        <x:v>L6 K01—K08保护路由</x:v>
      </x:c>
      <x:c r="D315" s="24" t="str">
        <x:v>BUFFER-K机制接口</x:v>
      </x:c>
      <x:c r="E315" s="24" t="str">
        <x:v>通用</x:v>
      </x:c>
      <x:c r="F315" s="24" t="str">
        <x:v>路由</x:v>
      </x:c>
      <x:c r="G315" s="24" t="str">
        <x:v>K05 双通道竞争</x:v>
      </x:c>
      <x:c r="H315" s="24" t="str">
        <x:v>确定首选保护功能。</x:v>
      </x:c>
      <x:c r="I315" s="24" t="str">
        <x:v>K05达到E1以上，且BF03独立边界支持结构可用。</x:v>
      </x:c>
      <x:c r="J315" s="24" t="str">
        <x:v>BF03独立边界支持与风险来源同源重复或功能不匹配。</x:v>
      </x:c>
      <x:c r="K315" s="24" t="str">
        <x:v>由共享基础引擎提供；仅修正保护功能的承载、持续调用和压力状态下的稳定性，不直接等同成熟度、道德或现实行为。</x:v>
      </x:c>
      <x:c r="L315" s="24" t="str">
        <x:v>由M1／M2接口提供；夫妻星、心动原型和关系门槛只说明关系议题，不单独证明保护因素已经被调用或有效。</x:v>
      </x:c>
      <x:c r="M315" s="24" t="str">
        <x:v>由M3-BASE及M4各模块提供；日支、日柱近位可提高与亲密关系核心的相关性，但同一source_id不得重复计分。</x:v>
      </x:c>
      <x:c r="N315" s="24" t="str">
        <x:v>保护因素必须明确限制过用、补足缺位、恢复顺序、打开反馈、落实改变或完成修复回流；不能只凭五行相生补写现实效果。</x:v>
      </x:c>
      <x:c r="O315" s="24" t="str">
        <x:v>近位提高进入亲密关系核心的概率；远位只作背景、阶段或条件性修正。</x:v>
      </x:c>
      <x:c r="P315" s="24" t="str">
        <x:v>根气只修正该保护功能是否容易重复调用，不等于现实中已经形成稳定保护。</x:v>
      </x:c>
      <x:c r="Q315" s="24" t="str">
        <x:v>旺弱只修正调用强度与承载；强不自动有效，弱也不自动无效。</x:v>
      </x:c>
      <x:c r="R315" s="24" t="str">
        <x:v>喜忌只修正摩擦、平衡与承载，不可直接翻译为好坏、成熟度或解决方案。</x:v>
      </x:c>
      <x:c r="S315" s="24" t="str">
        <x:v>原十神功能有效；真合化成立时按化神功能替换，合化争议时停止定性。</x:v>
      </x:c>
      <x:c r="T315" s="24" t="str">
        <x:v>近位提高直接相关性；远位仅保留背景、阶段或低置信修正。</x:v>
      </x:c>
      <x:c r="U315" s="24" t="str">
        <x:v>95</x:v>
      </x:c>
      <x:c r="V315" s="24" t="str">
        <x:v>主路由+8</x:v>
      </x:c>
      <x:c r="W315" s="24" t="str">
        <x:v>primary_buffer</x:v>
      </x:c>
      <x:c r="X315" s="24" t="str">
        <x:v>K05优先路由至BF03独立边界支持。</x:v>
      </x:c>
      <x:c r="Y315" s="24" t="str">
        <x:v>最优先检查的是BF03独立边界支持能否进入并改变当前链条。</x:v>
      </x:c>
      <x:c r="Z315" s="24" t="str">
        <x:v>不得仅凭本规则断定问题已经解决、关系必然稳定、用户一定成熟、某十神天然是“药”、喜用神自动等于解决办法，或淡化暴力、强迫与现实伤害；现实行为、反例、安全事实和专业支持优先。</x:v>
      </x:c>
      <x:c r="AA315" s="24" t="str">
        <x:v>中高</x:v>
      </x:c>
      <x:c r="AB315" s="24" t="str">
        <x:v>待验证</x:v>
      </x:c>
      <x:c r="AC315" s="24" t="str"/>
      <x:c r="AD315" s="24" t="str">
        <x:v>provisional=true；保护因素的现实有效性必须由可观察行为、反馈和持续结果验证。</x:v>
      </x:c>
      <x:c r="AE315" s="24" t="str">
        <x:v>0.8</x:v>
      </x:c>
    </x:row>
    <x:row r="316" ht="52" customHeight="1">
      <x:c r="A316" s="24" t="str">
        <x:v>M4-BUFFER-315</x:v>
      </x:c>
      <x:c r="B316" s="24" t="str">
        <x:v>K05 双通道竞争｜次保护路由</x:v>
      </x:c>
      <x:c r="C316" s="24" t="str">
        <x:v>L6 K01—K08保护路由</x:v>
      </x:c>
      <x:c r="D316" s="24" t="str">
        <x:v>BUFFER-K机制接口</x:v>
      </x:c>
      <x:c r="E316" s="24" t="str">
        <x:v>通用</x:v>
      </x:c>
      <x:c r="F316" s="24" t="str">
        <x:v>路由</x:v>
      </x:c>
      <x:c r="G316" s="24" t="str">
        <x:v>K05 双通道竞争</x:v>
      </x:c>
      <x:c r="H316" s="24" t="str">
        <x:v>补充第二类保护功能。</x:v>
      </x:c>
      <x:c r="I316" s="24" t="str">
        <x:v>主保护不足以独立改变链条，且存在BF05反馈通道／共同规则／角色分工中的独立资源。</x:v>
      </x:c>
      <x:c r="J316" s="24" t="str">
        <x:v>把所有次资源堆叠成万能保护。</x:v>
      </x:c>
      <x:c r="K316" s="24" t="str">
        <x:v>由共享基础引擎提供；仅修正保护功能的承载、持续调用和压力状态下的稳定性，不直接等同成熟度、道德或现实行为。</x:v>
      </x:c>
      <x:c r="L316" s="24" t="str">
        <x:v>由M1／M2接口提供；夫妻星、心动原型和关系门槛只说明关系议题，不单独证明保护因素已经被调用或有效。</x:v>
      </x:c>
      <x:c r="M316" s="24" t="str">
        <x:v>由M3-BASE及M4各模块提供；日支、日柱近位可提高与亲密关系核心的相关性，但同一source_id不得重复计分。</x:v>
      </x:c>
      <x:c r="N316" s="24" t="str">
        <x:v>保护因素必须明确限制过用、补足缺位、恢复顺序、打开反馈、落实改变或完成修复回流；不能只凭五行相生补写现实效果。</x:v>
      </x:c>
      <x:c r="O316" s="24" t="str">
        <x:v>近位提高进入亲密关系核心的概率；远位只作背景、阶段或条件性修正。</x:v>
      </x:c>
      <x:c r="P316" s="24" t="str">
        <x:v>根气只修正该保护功能是否容易重复调用，不等于现实中已经形成稳定保护。</x:v>
      </x:c>
      <x:c r="Q316" s="24" t="str">
        <x:v>旺弱只修正调用强度与承载；强不自动有效，弱也不自动无效。</x:v>
      </x:c>
      <x:c r="R316" s="24" t="str">
        <x:v>喜忌只修正摩擦、平衡与承载，不可直接翻译为好坏、成熟度或解决方案。</x:v>
      </x:c>
      <x:c r="S316" s="24" t="str">
        <x:v>原十神功能有效；真合化成立时按化神功能替换，合化争议时停止定性。</x:v>
      </x:c>
      <x:c r="T316" s="24" t="str">
        <x:v>近位提高直接相关性；远位仅保留背景、阶段或低置信修正。</x:v>
      </x:c>
      <x:c r="U316" s="24" t="str">
        <x:v>90</x:v>
      </x:c>
      <x:c r="V316" s="24" t="str">
        <x:v>次路由+4</x:v>
      </x:c>
      <x:c r="W316" s="24" t="str">
        <x:v>secondary_buffer</x:v>
      </x:c>
      <x:c r="X316" s="24" t="str">
        <x:v>次级资源可来自：BF05反馈通道／共同规则／角色分工。</x:v>
      </x:c>
      <x:c r="Y316" s="24" t="str">
        <x:v>若主资源不足，还可以检查BF05反馈通道／共同规则／角色分工是否提供补位。</x:v>
      </x:c>
      <x:c r="Z316" s="24" t="str">
        <x:v>不得仅凭本规则断定问题已经解决、关系必然稳定、用户一定成熟、某十神天然是“药”、喜用神自动等于解决办法，或淡化暴力、强迫与现实伤害；现实行为、反例、安全事实和专业支持优先。</x:v>
      </x:c>
      <x:c r="AA316" s="24" t="str">
        <x:v>中高</x:v>
      </x:c>
      <x:c r="AB316" s="24" t="str">
        <x:v>待验证</x:v>
      </x:c>
      <x:c r="AC316" s="24" t="str"/>
      <x:c r="AD316" s="24" t="str">
        <x:v>provisional=true；保护因素的现实有效性必须由可观察行为、反馈和持续结果验证。</x:v>
      </x:c>
      <x:c r="AE316" s="24" t="str">
        <x:v>0.8</x:v>
      </x:c>
    </x:row>
    <x:row r="317" ht="52" customHeight="1">
      <x:c r="A317" s="24" t="str">
        <x:v>M4-BUFFER-316</x:v>
      </x:c>
      <x:c r="B317" s="24" t="str">
        <x:v>K05 双通道竞争｜有效标志</x:v>
      </x:c>
      <x:c r="C317" s="24" t="str">
        <x:v>L6 K01—K08保护路由</x:v>
      </x:c>
      <x:c r="D317" s="24" t="str">
        <x:v>BUFFER-K机制接口</x:v>
      </x:c>
      <x:c r="E317" s="24" t="str">
        <x:v>通用</x:v>
      </x:c>
      <x:c r="F317" s="24" t="str">
        <x:v>效果</x:v>
      </x:c>
      <x:c r="G317" s="24" t="str">
        <x:v>K05 双通道竞争</x:v>
      </x:c>
      <x:c r="H317" s="24" t="str">
        <x:v>判断保护是否真正改变K机制。</x:v>
      </x:c>
      <x:c r="I317" s="24" t="str">
        <x:v>两项功能明确各自任务、优先级和决定范围。</x:v>
      </x:c>
      <x:c r="J317" s="24" t="str">
        <x:v>机械折中、轮流压制或把竞争解释成谁更正确。</x:v>
      </x:c>
      <x:c r="K317" s="24" t="str">
        <x:v>由共享基础引擎提供；仅修正保护功能的承载、持续调用和压力状态下的稳定性，不直接等同成熟度、道德或现实行为。</x:v>
      </x:c>
      <x:c r="L317" s="24" t="str">
        <x:v>由M1／M2接口提供；夫妻星、心动原型和关系门槛只说明关系议题，不单独证明保护因素已经被调用或有效。</x:v>
      </x:c>
      <x:c r="M317" s="24" t="str">
        <x:v>由M3-BASE及M4各模块提供；日支、日柱近位可提高与亲密关系核心的相关性，但同一source_id不得重复计分。</x:v>
      </x:c>
      <x:c r="N317" s="24" t="str">
        <x:v>保护因素必须明确限制过用、补足缺位、恢复顺序、打开反馈、落实改变或完成修复回流；不能只凭五行相生补写现实效果。</x:v>
      </x:c>
      <x:c r="O317" s="24" t="str">
        <x:v>近位提高进入亲密关系核心的概率；远位只作背景、阶段或条件性修正。</x:v>
      </x:c>
      <x:c r="P317" s="24" t="str">
        <x:v>根气只修正该保护功能是否容易重复调用，不等于现实中已经形成稳定保护。</x:v>
      </x:c>
      <x:c r="Q317" s="24" t="str">
        <x:v>旺弱只修正调用强度与承载；强不自动有效，弱也不自动无效。</x:v>
      </x:c>
      <x:c r="R317" s="24" t="str">
        <x:v>喜忌只修正摩擦、平衡与承载，不可直接翻译为好坏、成熟度或解决方案。</x:v>
      </x:c>
      <x:c r="S317" s="24" t="str">
        <x:v>原十神功能有效；真合化成立时按化神功能替换，合化争议时停止定性。</x:v>
      </x:c>
      <x:c r="T317" s="24" t="str">
        <x:v>近位提高直接相关性；远位仅保留背景、阶段或低置信修正。</x:v>
      </x:c>
      <x:c r="U317" s="24" t="str">
        <x:v>93</x:v>
      </x:c>
      <x:c r="V317" s="24" t="str">
        <x:v>效果+12</x:v>
      </x:c>
      <x:c r="W317" s="24" t="str">
        <x:v>buffer_level</x:v>
      </x:c>
      <x:c r="X317" s="24" t="str">
        <x:v>有效标志：两项功能明确各自任务、优先级和决定范围。</x:v>
      </x:c>
      <x:c r="Y317" s="24" t="str">
        <x:v>真正有效时，会看到：两项功能明确各自任务、优先级和决定范围。</x:v>
      </x:c>
      <x:c r="Z317" s="24" t="str">
        <x:v>不得仅凭本规则断定问题已经解决、关系必然稳定、用户一定成熟、某十神天然是“药”、喜用神自动等于解决办法，或淡化暴力、强迫与现实伤害；现实行为、反例、安全事实和专业支持优先。</x:v>
      </x:c>
      <x:c r="AA317" s="24" t="str">
        <x:v>中高</x:v>
      </x:c>
      <x:c r="AB317" s="24" t="str">
        <x:v>待验证</x:v>
      </x:c>
      <x:c r="AC317" s="24" t="str"/>
      <x:c r="AD317" s="24" t="str">
        <x:v>provisional=true；保护因素的现实有效性必须由可观察行为、反馈和持续结果验证。</x:v>
      </x:c>
      <x:c r="AE317" s="24" t="str">
        <x:v>0.8</x:v>
      </x:c>
    </x:row>
    <x:row r="318" ht="52" customHeight="1">
      <x:c r="A318" s="24" t="str">
        <x:v>M4-BUFFER-317</x:v>
      </x:c>
      <x:c r="B318" s="24" t="str">
        <x:v>K05 双通道竞争｜失效与伪保护</x:v>
      </x:c>
      <x:c r="C318" s="24" t="str">
        <x:v>L6 K01—K08保护路由</x:v>
      </x:c>
      <x:c r="D318" s="24" t="str">
        <x:v>BUFFER-K机制接口</x:v>
      </x:c>
      <x:c r="E318" s="24" t="str">
        <x:v>通用</x:v>
      </x:c>
      <x:c r="F318" s="24" t="str">
        <x:v>降级</x:v>
      </x:c>
      <x:c r="G318" s="24" t="str">
        <x:v>K05 双通道竞争</x:v>
      </x:c>
      <x:c r="H318" s="24" t="str">
        <x:v>防止保护资源制造新失衡。</x:v>
      </x:c>
      <x:c r="I318" s="24" t="str">
        <x:v>机械折中、轮流压制或把竞争解释成谁更正确。</x:v>
      </x:c>
      <x:c r="J318" s="24" t="str">
        <x:v>两项功能明确各自任务、优先级和决定范围。</x:v>
      </x:c>
      <x:c r="K318" s="24" t="str">
        <x:v>由共享基础引擎提供；仅修正保护功能的承载、持续调用和压力状态下的稳定性，不直接等同成熟度、道德或现实行为。</x:v>
      </x:c>
      <x:c r="L318" s="24" t="str">
        <x:v>由M1／M2接口提供；夫妻星、心动原型和关系门槛只说明关系议题，不单独证明保护因素已经被调用或有效。</x:v>
      </x:c>
      <x:c r="M318" s="24" t="str">
        <x:v>由M3-BASE及M4各模块提供；日支、日柱近位可提高与亲密关系核心的相关性，但同一source_id不得重复计分。</x:v>
      </x:c>
      <x:c r="N318" s="24" t="str">
        <x:v>保护因素必须明确限制过用、补足缺位、恢复顺序、打开反馈、落实改变或完成修复回流；不能只凭五行相生补写现实效果。</x:v>
      </x:c>
      <x:c r="O318" s="24" t="str">
        <x:v>近位提高进入亲密关系核心的概率；远位只作背景、阶段或条件性修正。</x:v>
      </x:c>
      <x:c r="P318" s="24" t="str">
        <x:v>根气只修正该保护功能是否容易重复调用，不等于现实中已经形成稳定保护。</x:v>
      </x:c>
      <x:c r="Q318" s="24" t="str">
        <x:v>旺弱只修正调用强度与承载；强不自动有效，弱也不自动无效。</x:v>
      </x:c>
      <x:c r="R318" s="24" t="str">
        <x:v>喜忌只修正摩擦、平衡与承载，不可直接翻译为好坏、成熟度或解决方案。</x:v>
      </x:c>
      <x:c r="S318" s="24" t="str">
        <x:v>原十神功能有效；真合化成立时按化神功能替换，合化争议时停止定性。</x:v>
      </x:c>
      <x:c r="T318" s="24" t="str">
        <x:v>近位提高直接相关性；远位仅保留背景、阶段或低置信修正。</x:v>
      </x:c>
      <x:c r="U318" s="24" t="str">
        <x:v>97</x:v>
      </x:c>
      <x:c r="V318" s="24" t="str">
        <x:v>失效-10</x:v>
      </x:c>
      <x:c r="W318" s="24" t="str">
        <x:v>pseudo_buffer</x:v>
      </x:c>
      <x:c r="X318" s="24" t="str">
        <x:v>失效表现：机械折中、轮流压制或把竞争解释成谁更正确。</x:v>
      </x:c>
      <x:c r="Y318" s="24" t="str">
        <x:v>若只是“机械折中、轮流压制或把竞争解释成谁更正确。”，说明保护还没有真正成立。</x:v>
      </x:c>
      <x:c r="Z318" s="24" t="str">
        <x:v>不得仅凭本规则断定问题已经解决、关系必然稳定、用户一定成熟、某十神天然是“药”、喜用神自动等于解决办法，或淡化暴力、强迫与现实伤害；现实行为、反例、安全事实和专业支持优先。</x:v>
      </x:c>
      <x:c r="AA318" s="24" t="str">
        <x:v>高</x:v>
      </x:c>
      <x:c r="AB318" s="24" t="str">
        <x:v>待验证</x:v>
      </x:c>
      <x:c r="AC318" s="24" t="str"/>
      <x:c r="AD318" s="24" t="str">
        <x:v>provisional=true；保护因素的现实有效性必须由可观察行为、反馈和持续结果验证。</x:v>
      </x:c>
      <x:c r="AE318" s="24" t="str">
        <x:v>0.8</x:v>
      </x:c>
    </x:row>
    <x:row r="319" ht="52" customHeight="1">
      <x:c r="A319" s="24" t="str">
        <x:v>M4-BUFFER-318</x:v>
      </x:c>
      <x:c r="B319" s="24" t="str">
        <x:v>K05 双通道竞争｜用户输出</x:v>
      </x:c>
      <x:c r="C319" s="24" t="str">
        <x:v>L6 K01—K08保护路由</x:v>
      </x:c>
      <x:c r="D319" s="24" t="str">
        <x:v>BUFFER-K机制接口</x:v>
      </x:c>
      <x:c r="E319" s="24" t="str">
        <x:v>通用</x:v>
      </x:c>
      <x:c r="F319" s="24" t="str">
        <x:v>语言</x:v>
      </x:c>
      <x:c r="G319" s="24" t="str">
        <x:v>K05 双通道竞争</x:v>
      </x:c>
      <x:c r="H319" s="24" t="str">
        <x:v>生成K机制＋保护语言。</x:v>
      </x:c>
      <x:c r="I319" s="24" t="str">
        <x:v>K05成立且至少一项匹配保护达到BL2以上。</x:v>
      </x:c>
      <x:c r="J319" s="24" t="str">
        <x:v>资料不足或安全停止。</x:v>
      </x:c>
      <x:c r="K319" s="24" t="str">
        <x:v>由共享基础引擎提供；仅修正保护功能的承载、持续调用和压力状态下的稳定性，不直接等同成熟度、道德或现实行为。</x:v>
      </x:c>
      <x:c r="L319" s="24" t="str">
        <x:v>由M1／M2接口提供；夫妻星、心动原型和关系门槛只说明关系议题，不单独证明保护因素已经被调用或有效。</x:v>
      </x:c>
      <x:c r="M319" s="24" t="str">
        <x:v>由M3-BASE及M4各模块提供；日支、日柱近位可提高与亲密关系核心的相关性，但同一source_id不得重复计分。</x:v>
      </x:c>
      <x:c r="N319" s="24" t="str">
        <x:v>保护因素必须明确限制过用、补足缺位、恢复顺序、打开反馈、落实改变或完成修复回流；不能只凭五行相生补写现实效果。</x:v>
      </x:c>
      <x:c r="O319" s="24" t="str">
        <x:v>近位提高进入亲密关系核心的概率；远位只作背景、阶段或条件性修正。</x:v>
      </x:c>
      <x:c r="P319" s="24" t="str">
        <x:v>根气只修正该保护功能是否容易重复调用，不等于现实中已经形成稳定保护。</x:v>
      </x:c>
      <x:c r="Q319" s="24" t="str">
        <x:v>旺弱只修正调用强度与承载；强不自动有效，弱也不自动无效。</x:v>
      </x:c>
      <x:c r="R319" s="24" t="str">
        <x:v>喜忌只修正摩擦、平衡与承载，不可直接翻译为好坏、成熟度或解决方案。</x:v>
      </x:c>
      <x:c r="S319" s="24" t="str">
        <x:v>原十神功能有效；真合化成立时按化神功能替换，合化争议时停止定性。</x:v>
      </x:c>
      <x:c r="T319" s="24" t="str">
        <x:v>近位提高直接相关性；远位仅保留背景、阶段或低置信修正。</x:v>
      </x:c>
      <x:c r="U319" s="24" t="str">
        <x:v>84</x:v>
      </x:c>
      <x:c r="V319" s="24" t="str">
        <x:v>不加分；输出</x:v>
      </x:c>
      <x:c r="W319" s="24" t="str">
        <x:v>report_text</x:v>
      </x:c>
      <x:c r="X319" s="24" t="str">
        <x:v>两项合理功能在同一阶段争夺主导，缺少分工和协调。；对应保护是BF03独立边界支持，必要时辅以BF05反馈通道／共同规则／角色分工。</x:v>
      </x:c>
      <x:c r="Y319" s="24" t="str">
        <x:v>当这类情况出现时，你真正需要的不是更用力，而是让BF03独立边界支持进入，必要时再由BF05反馈通道／共同规则／角色分工补位。</x:v>
      </x:c>
      <x:c r="Z319" s="24" t="str">
        <x:v>不得仅凭本规则断定问题已经解决、关系必然稳定、用户一定成熟、某十神天然是“药”、喜用神自动等于解决办法，或淡化暴力、强迫与现实伤害；现实行为、反例、安全事实和专业支持优先。</x:v>
      </x:c>
      <x:c r="AA319" s="24" t="str">
        <x:v>中高</x:v>
      </x:c>
      <x:c r="AB319" s="24" t="str">
        <x:v>待验证</x:v>
      </x:c>
      <x:c r="AC319" s="24" t="str"/>
      <x:c r="AD319" s="24" t="str">
        <x:v>provisional=true；保护因素的现实有效性必须由可观察行为、反馈和持续结果验证。</x:v>
      </x:c>
      <x:c r="AE319" s="24" t="str">
        <x:v>0.8</x:v>
      </x:c>
    </x:row>
    <x:row r="320" ht="52" customHeight="1">
      <x:c r="A320" s="24" t="str">
        <x:v>M4-BUFFER-319</x:v>
      </x:c>
      <x:c r="B320" s="24" t="str">
        <x:v>K06 功能转换受阻｜问题摘要</x:v>
      </x:c>
      <x:c r="C320" s="24" t="str">
        <x:v>L6 K01—K08保护路由</x:v>
      </x:c>
      <x:c r="D320" s="24" t="str">
        <x:v>BUFFER-K机制接口</x:v>
      </x:c>
      <x:c r="E320" s="24" t="str">
        <x:v>通用</x:v>
      </x:c>
      <x:c r="F320" s="24" t="str">
        <x:v>定义</x:v>
      </x:c>
      <x:c r="G320" s="24" t="str">
        <x:v>K06 功能转换受阻</x:v>
      </x:c>
      <x:c r="H320" s="24" t="str">
        <x:v>保留原问题定义。</x:v>
      </x:c>
      <x:c r="I320" s="24" t="str">
        <x:v>K06已由OVERUSE、LOOP或REPAIR形成候选。</x:v>
      </x:c>
      <x:c r="J320" s="24" t="str">
        <x:v>只有单一十神标签。</x:v>
      </x:c>
      <x:c r="K320" s="24" t="str">
        <x:v>由共享基础引擎提供；仅修正保护功能的承载、持续调用和压力状态下的稳定性，不直接等同成熟度、道德或现实行为。</x:v>
      </x:c>
      <x:c r="L320" s="24" t="str">
        <x:v>由M1／M2接口提供；夫妻星、心动原型和关系门槛只说明关系议题，不单独证明保护因素已经被调用或有效。</x:v>
      </x:c>
      <x:c r="M320" s="24" t="str">
        <x:v>由M3-BASE及M4各模块提供；日支、日柱近位可提高与亲密关系核心的相关性，但同一source_id不得重复计分。</x:v>
      </x:c>
      <x:c r="N320" s="24" t="str">
        <x:v>保护因素必须明确限制过用、补足缺位、恢复顺序、打开反馈、落实改变或完成修复回流；不能只凭五行相生补写现实效果。</x:v>
      </x:c>
      <x:c r="O320" s="24" t="str">
        <x:v>近位提高进入亲密关系核心的概率；远位只作背景、阶段或条件性修正。</x:v>
      </x:c>
      <x:c r="P320" s="24" t="str">
        <x:v>根气只修正该保护功能是否容易重复调用，不等于现实中已经形成稳定保护。</x:v>
      </x:c>
      <x:c r="Q320" s="24" t="str">
        <x:v>旺弱只修正调用强度与承载；强不自动有效，弱也不自动无效。</x:v>
      </x:c>
      <x:c r="R320" s="24" t="str">
        <x:v>喜忌只修正摩擦、平衡与承载，不可直接翻译为好坏、成熟度或解决方案。</x:v>
      </x:c>
      <x:c r="S320" s="24" t="str">
        <x:v>原十神功能有效；真合化成立时按化神功能替换，合化争议时停止定性。</x:v>
      </x:c>
      <x:c r="T320" s="24" t="str">
        <x:v>近位提高直接相关性；远位仅保留背景、阶段或低置信修正。</x:v>
      </x:c>
      <x:c r="U320" s="24" t="str">
        <x:v>94</x:v>
      </x:c>
      <x:c r="V320" s="24" t="str">
        <x:v>不加分；继承</x:v>
      </x:c>
      <x:c r="W320" s="24" t="str">
        <x:v>blind_spot_theme</x:v>
      </x:c>
      <x:c r="X320" s="24" t="str">
        <x:v>第一项任务已经完成，但没有转成下一项必要关系功能。</x:v>
      </x:c>
      <x:c r="Y320" s="24" t="str">
        <x:v>当前需要处理的核心不是某个十神好坏，而是：第一项任务已经完成，但没有转成下一项必要关系功能。</x:v>
      </x:c>
      <x:c r="Z320" s="24" t="str">
        <x:v>不得仅凭本规则断定问题已经解决、关系必然稳定、用户一定成熟、某十神天然是“药”、喜用神自动等于解决办法，或淡化暴力、强迫与现实伤害；现实行为、反例、安全事实和专业支持优先。</x:v>
      </x:c>
      <x:c r="AA320" s="24" t="str">
        <x:v>中高</x:v>
      </x:c>
      <x:c r="AB320" s="24" t="str">
        <x:v>待验证</x:v>
      </x:c>
      <x:c r="AC320" s="24" t="str"/>
      <x:c r="AD320" s="24" t="str">
        <x:v>provisional=true；保护因素的现实有效性必须由可观察行为、反馈和持续结果验证。</x:v>
      </x:c>
      <x:c r="AE320" s="24" t="str">
        <x:v>0.8</x:v>
      </x:c>
    </x:row>
    <x:row r="321" ht="52" customHeight="1">
      <x:c r="A321" s="24" t="str">
        <x:v>M4-BUFFER-320</x:v>
      </x:c>
      <x:c r="B321" s="24" t="str">
        <x:v>K06 功能转换受阻｜主保护路由</x:v>
      </x:c>
      <x:c r="C321" s="24" t="str">
        <x:v>L6 K01—K08保护路由</x:v>
      </x:c>
      <x:c r="D321" s="24" t="str">
        <x:v>BUFFER-K机制接口</x:v>
      </x:c>
      <x:c r="E321" s="24" t="str">
        <x:v>通用</x:v>
      </x:c>
      <x:c r="F321" s="24" t="str">
        <x:v>路由</x:v>
      </x:c>
      <x:c r="G321" s="24" t="str">
        <x:v>K06 功能转换受阻</x:v>
      </x:c>
      <x:c r="H321" s="24" t="str">
        <x:v>确定首选保护功能。</x:v>
      </x:c>
      <x:c r="I321" s="24" t="str">
        <x:v>K06达到E1以上，且BF02跨系统通关结构可用。</x:v>
      </x:c>
      <x:c r="J321" s="24" t="str">
        <x:v>BF02跨系统通关与风险来源同源重复或功能不匹配。</x:v>
      </x:c>
      <x:c r="K321" s="24" t="str">
        <x:v>由共享基础引擎提供；仅修正保护功能的承载、持续调用和压力状态下的稳定性，不直接等同成熟度、道德或现实行为。</x:v>
      </x:c>
      <x:c r="L321" s="24" t="str">
        <x:v>由M1／M2接口提供；夫妻星、心动原型和关系门槛只说明关系议题，不单独证明保护因素已经被调用或有效。</x:v>
      </x:c>
      <x:c r="M321" s="24" t="str">
        <x:v>由M3-BASE及M4各模块提供；日支、日柱近位可提高与亲密关系核心的相关性，但同一source_id不得重复计分。</x:v>
      </x:c>
      <x:c r="N321" s="24" t="str">
        <x:v>保护因素必须明确限制过用、补足缺位、恢复顺序、打开反馈、落实改变或完成修复回流；不能只凭五行相生补写现实效果。</x:v>
      </x:c>
      <x:c r="O321" s="24" t="str">
        <x:v>近位提高进入亲密关系核心的概率；远位只作背景、阶段或条件性修正。</x:v>
      </x:c>
      <x:c r="P321" s="24" t="str">
        <x:v>根气只修正该保护功能是否容易重复调用，不等于现实中已经形成稳定保护。</x:v>
      </x:c>
      <x:c r="Q321" s="24" t="str">
        <x:v>旺弱只修正调用强度与承载；强不自动有效，弱也不自动无效。</x:v>
      </x:c>
      <x:c r="R321" s="24" t="str">
        <x:v>喜忌只修正摩擦、平衡与承载，不可直接翻译为好坏、成熟度或解决方案。</x:v>
      </x:c>
      <x:c r="S321" s="24" t="str">
        <x:v>原十神功能有效；真合化成立时按化神功能替换，合化争议时停止定性。</x:v>
      </x:c>
      <x:c r="T321" s="24" t="str">
        <x:v>近位提高直接相关性；远位仅保留背景、阶段或低置信修正。</x:v>
      </x:c>
      <x:c r="U321" s="24" t="str">
        <x:v>95</x:v>
      </x:c>
      <x:c r="V321" s="24" t="str">
        <x:v>主路由+8</x:v>
      </x:c>
      <x:c r="W321" s="24" t="str">
        <x:v>primary_buffer</x:v>
      </x:c>
      <x:c r="X321" s="24" t="str">
        <x:v>K06优先路由至BF02跨系统通关。</x:v>
      </x:c>
      <x:c r="Y321" s="24" t="str">
        <x:v>最优先检查的是BF02跨系统通关能否进入并改变当前链条。</x:v>
      </x:c>
      <x:c r="Z321" s="24" t="str">
        <x:v>不得仅凭本规则断定问题已经解决、关系必然稳定、用户一定成熟、某十神天然是“药”、喜用神自动等于解决办法，或淡化暴力、强迫与现实伤害；现实行为、反例、安全事实和专业支持优先。</x:v>
      </x:c>
      <x:c r="AA321" s="24" t="str">
        <x:v>中高</x:v>
      </x:c>
      <x:c r="AB321" s="24" t="str">
        <x:v>待验证</x:v>
      </x:c>
      <x:c r="AC321" s="24" t="str"/>
      <x:c r="AD321" s="24" t="str">
        <x:v>provisional=true；保护因素的现实有效性必须由可观察行为、反馈和持续结果验证。</x:v>
      </x:c>
      <x:c r="AE321" s="24" t="str">
        <x:v>0.8</x:v>
      </x:c>
    </x:row>
    <x:row r="322" ht="52" customHeight="1">
      <x:c r="A322" s="24" t="str">
        <x:v>M4-BUFFER-321</x:v>
      </x:c>
      <x:c r="B322" s="24" t="str">
        <x:v>K06 功能转换受阻｜次保护路由</x:v>
      </x:c>
      <x:c r="C322" s="24" t="str">
        <x:v>L6 K01—K08保护路由</x:v>
      </x:c>
      <x:c r="D322" s="24" t="str">
        <x:v>BUFFER-K机制接口</x:v>
      </x:c>
      <x:c r="E322" s="24" t="str">
        <x:v>通用</x:v>
      </x:c>
      <x:c r="F322" s="24" t="str">
        <x:v>路由</x:v>
      </x:c>
      <x:c r="G322" s="24" t="str">
        <x:v>K06 功能转换受阻</x:v>
      </x:c>
      <x:c r="H322" s="24" t="str">
        <x:v>补充第二类保护功能。</x:v>
      </x:c>
      <x:c r="I322" s="24" t="str">
        <x:v>主保护不足以独立改变链条，且存在BF06现实兑现／BF05反馈中的独立资源。</x:v>
      </x:c>
      <x:c r="J322" s="24" t="str">
        <x:v>把所有次资源堆叠成万能保护。</x:v>
      </x:c>
      <x:c r="K322" s="24" t="str">
        <x:v>由共享基础引擎提供；仅修正保护功能的承载、持续调用和压力状态下的稳定性，不直接等同成熟度、道德或现实行为。</x:v>
      </x:c>
      <x:c r="L322" s="24" t="str">
        <x:v>由M1／M2接口提供；夫妻星、心动原型和关系门槛只说明关系议题，不单独证明保护因素已经被调用或有效。</x:v>
      </x:c>
      <x:c r="M322" s="24" t="str">
        <x:v>由M3-BASE及M4各模块提供；日支、日柱近位可提高与亲密关系核心的相关性，但同一source_id不得重复计分。</x:v>
      </x:c>
      <x:c r="N322" s="24" t="str">
        <x:v>保护因素必须明确限制过用、补足缺位、恢复顺序、打开反馈、落实改变或完成修复回流；不能只凭五行相生补写现实效果。</x:v>
      </x:c>
      <x:c r="O322" s="24" t="str">
        <x:v>近位提高进入亲密关系核心的概率；远位只作背景、阶段或条件性修正。</x:v>
      </x:c>
      <x:c r="P322" s="24" t="str">
        <x:v>根气只修正该保护功能是否容易重复调用，不等于现实中已经形成稳定保护。</x:v>
      </x:c>
      <x:c r="Q322" s="24" t="str">
        <x:v>旺弱只修正调用强度与承载；强不自动有效，弱也不自动无效。</x:v>
      </x:c>
      <x:c r="R322" s="24" t="str">
        <x:v>喜忌只修正摩擦、平衡与承载，不可直接翻译为好坏、成熟度或解决方案。</x:v>
      </x:c>
      <x:c r="S322" s="24" t="str">
        <x:v>原十神功能有效；真合化成立时按化神功能替换，合化争议时停止定性。</x:v>
      </x:c>
      <x:c r="T322" s="24" t="str">
        <x:v>近位提高直接相关性；远位仅保留背景、阶段或低置信修正。</x:v>
      </x:c>
      <x:c r="U322" s="24" t="str">
        <x:v>90</x:v>
      </x:c>
      <x:c r="V322" s="24" t="str">
        <x:v>次路由+4</x:v>
      </x:c>
      <x:c r="W322" s="24" t="str">
        <x:v>secondary_buffer</x:v>
      </x:c>
      <x:c r="X322" s="24" t="str">
        <x:v>次级资源可来自：BF06现实兑现／BF05反馈。</x:v>
      </x:c>
      <x:c r="Y322" s="24" t="str">
        <x:v>若主资源不足，还可以检查BF06现实兑现／BF05反馈是否提供补位。</x:v>
      </x:c>
      <x:c r="Z322" s="24" t="str">
        <x:v>不得仅凭本规则断定问题已经解决、关系必然稳定、用户一定成熟、某十神天然是“药”、喜用神自动等于解决办法，或淡化暴力、强迫与现实伤害；现实行为、反例、安全事实和专业支持优先。</x:v>
      </x:c>
      <x:c r="AA322" s="24" t="str">
        <x:v>中高</x:v>
      </x:c>
      <x:c r="AB322" s="24" t="str">
        <x:v>待验证</x:v>
      </x:c>
      <x:c r="AC322" s="24" t="str"/>
      <x:c r="AD322" s="24" t="str">
        <x:v>provisional=true；保护因素的现实有效性必须由可观察行为、反馈和持续结果验证。</x:v>
      </x:c>
      <x:c r="AE322" s="24" t="str">
        <x:v>0.8</x:v>
      </x:c>
    </x:row>
    <x:row r="323" ht="52" customHeight="1">
      <x:c r="A323" s="24" t="str">
        <x:v>M4-BUFFER-322</x:v>
      </x:c>
      <x:c r="B323" s="24" t="str">
        <x:v>K06 功能转换受阻｜有效标志</x:v>
      </x:c>
      <x:c r="C323" s="24" t="str">
        <x:v>L6 K01—K08保护路由</x:v>
      </x:c>
      <x:c r="D323" s="24" t="str">
        <x:v>BUFFER-K机制接口</x:v>
      </x:c>
      <x:c r="E323" s="24" t="str">
        <x:v>通用</x:v>
      </x:c>
      <x:c r="F323" s="24" t="str">
        <x:v>效果</x:v>
      </x:c>
      <x:c r="G323" s="24" t="str">
        <x:v>K06 功能转换受阻</x:v>
      </x:c>
      <x:c r="H323" s="24" t="str">
        <x:v>判断保护是否真正改变K机制。</x:v>
      </x:c>
      <x:c r="I323" s="24" t="str">
        <x:v>起点、桥梁和终点形成可观察转换链。</x:v>
      </x:c>
      <x:c r="J323" s="24" t="str">
        <x:v>只有桥梁标签、五行相生或一次动作，没有目标功能结果。</x:v>
      </x:c>
      <x:c r="K323" s="24" t="str">
        <x:v>由共享基础引擎提供；仅修正保护功能的承载、持续调用和压力状态下的稳定性，不直接等同成熟度、道德或现实行为。</x:v>
      </x:c>
      <x:c r="L323" s="24" t="str">
        <x:v>由M1／M2接口提供；夫妻星、心动原型和关系门槛只说明关系议题，不单独证明保护因素已经被调用或有效。</x:v>
      </x:c>
      <x:c r="M323" s="24" t="str">
        <x:v>由M3-BASE及M4各模块提供；日支、日柱近位可提高与亲密关系核心的相关性，但同一source_id不得重复计分。</x:v>
      </x:c>
      <x:c r="N323" s="24" t="str">
        <x:v>保护因素必须明确限制过用、补足缺位、恢复顺序、打开反馈、落实改变或完成修复回流；不能只凭五行相生补写现实效果。</x:v>
      </x:c>
      <x:c r="O323" s="24" t="str">
        <x:v>近位提高进入亲密关系核心的概率；远位只作背景、阶段或条件性修正。</x:v>
      </x:c>
      <x:c r="P323" s="24" t="str">
        <x:v>根气只修正该保护功能是否容易重复调用，不等于现实中已经形成稳定保护。</x:v>
      </x:c>
      <x:c r="Q323" s="24" t="str">
        <x:v>旺弱只修正调用强度与承载；强不自动有效，弱也不自动无效。</x:v>
      </x:c>
      <x:c r="R323" s="24" t="str">
        <x:v>喜忌只修正摩擦、平衡与承载，不可直接翻译为好坏、成熟度或解决方案。</x:v>
      </x:c>
      <x:c r="S323" s="24" t="str">
        <x:v>原十神功能有效；真合化成立时按化神功能替换，合化争议时停止定性。</x:v>
      </x:c>
      <x:c r="T323" s="24" t="str">
        <x:v>近位提高直接相关性；远位仅保留背景、阶段或低置信修正。</x:v>
      </x:c>
      <x:c r="U323" s="24" t="str">
        <x:v>93</x:v>
      </x:c>
      <x:c r="V323" s="24" t="str">
        <x:v>效果+12</x:v>
      </x:c>
      <x:c r="W323" s="24" t="str">
        <x:v>buffer_level</x:v>
      </x:c>
      <x:c r="X323" s="24" t="str">
        <x:v>有效标志：起点、桥梁和终点形成可观察转换链。</x:v>
      </x:c>
      <x:c r="Y323" s="24" t="str">
        <x:v>真正有效时，会看到：起点、桥梁和终点形成可观察转换链。</x:v>
      </x:c>
      <x:c r="Z323" s="24" t="str">
        <x:v>不得仅凭本规则断定问题已经解决、关系必然稳定、用户一定成熟、某十神天然是“药”、喜用神自动等于解决办法，或淡化暴力、强迫与现实伤害；现实行为、反例、安全事实和专业支持优先。</x:v>
      </x:c>
      <x:c r="AA323" s="24" t="str">
        <x:v>中高</x:v>
      </x:c>
      <x:c r="AB323" s="24" t="str">
        <x:v>待验证</x:v>
      </x:c>
      <x:c r="AC323" s="24" t="str"/>
      <x:c r="AD323" s="24" t="str">
        <x:v>provisional=true；保护因素的现实有效性必须由可观察行为、反馈和持续结果验证。</x:v>
      </x:c>
      <x:c r="AE323" s="24" t="str">
        <x:v>0.8</x:v>
      </x:c>
    </x:row>
    <x:row r="324" ht="52" customHeight="1">
      <x:c r="A324" s="24" t="str">
        <x:v>M4-BUFFER-323</x:v>
      </x:c>
      <x:c r="B324" s="24" t="str">
        <x:v>K06 功能转换受阻｜失效与伪保护</x:v>
      </x:c>
      <x:c r="C324" s="24" t="str">
        <x:v>L6 K01—K08保护路由</x:v>
      </x:c>
      <x:c r="D324" s="24" t="str">
        <x:v>BUFFER-K机制接口</x:v>
      </x:c>
      <x:c r="E324" s="24" t="str">
        <x:v>通用</x:v>
      </x:c>
      <x:c r="F324" s="24" t="str">
        <x:v>降级</x:v>
      </x:c>
      <x:c r="G324" s="24" t="str">
        <x:v>K06 功能转换受阻</x:v>
      </x:c>
      <x:c r="H324" s="24" t="str">
        <x:v>防止保护资源制造新失衡。</x:v>
      </x:c>
      <x:c r="I324" s="24" t="str">
        <x:v>只有桥梁标签、五行相生或一次动作，没有目标功能结果。</x:v>
      </x:c>
      <x:c r="J324" s="24" t="str">
        <x:v>起点、桥梁和终点形成可观察转换链。</x:v>
      </x:c>
      <x:c r="K324" s="24" t="str">
        <x:v>由共享基础引擎提供；仅修正保护功能的承载、持续调用和压力状态下的稳定性，不直接等同成熟度、道德或现实行为。</x:v>
      </x:c>
      <x:c r="L324" s="24" t="str">
        <x:v>由M1／M2接口提供；夫妻星、心动原型和关系门槛只说明关系议题，不单独证明保护因素已经被调用或有效。</x:v>
      </x:c>
      <x:c r="M324" s="24" t="str">
        <x:v>由M3-BASE及M4各模块提供；日支、日柱近位可提高与亲密关系核心的相关性，但同一source_id不得重复计分。</x:v>
      </x:c>
      <x:c r="N324" s="24" t="str">
        <x:v>保护因素必须明确限制过用、补足缺位、恢复顺序、打开反馈、落实改变或完成修复回流；不能只凭五行相生补写现实效果。</x:v>
      </x:c>
      <x:c r="O324" s="24" t="str">
        <x:v>近位提高进入亲密关系核心的概率；远位只作背景、阶段或条件性修正。</x:v>
      </x:c>
      <x:c r="P324" s="24" t="str">
        <x:v>根气只修正该保护功能是否容易重复调用，不等于现实中已经形成稳定保护。</x:v>
      </x:c>
      <x:c r="Q324" s="24" t="str">
        <x:v>旺弱只修正调用强度与承载；强不自动有效，弱也不自动无效。</x:v>
      </x:c>
      <x:c r="R324" s="24" t="str">
        <x:v>喜忌只修正摩擦、平衡与承载，不可直接翻译为好坏、成熟度或解决方案。</x:v>
      </x:c>
      <x:c r="S324" s="24" t="str">
        <x:v>原十神功能有效；真合化成立时按化神功能替换，合化争议时停止定性。</x:v>
      </x:c>
      <x:c r="T324" s="24" t="str">
        <x:v>近位提高直接相关性；远位仅保留背景、阶段或低置信修正。</x:v>
      </x:c>
      <x:c r="U324" s="24" t="str">
        <x:v>97</x:v>
      </x:c>
      <x:c r="V324" s="24" t="str">
        <x:v>失效-10</x:v>
      </x:c>
      <x:c r="W324" s="24" t="str">
        <x:v>pseudo_buffer</x:v>
      </x:c>
      <x:c r="X324" s="24" t="str">
        <x:v>失效表现：只有桥梁标签、五行相生或一次动作，没有目标功能结果。</x:v>
      </x:c>
      <x:c r="Y324" s="24" t="str">
        <x:v>若只是“只有桥梁标签、五行相生或一次动作，没有目标功能结果。”，说明保护还没有真正成立。</x:v>
      </x:c>
      <x:c r="Z324" s="24" t="str">
        <x:v>不得仅凭本规则断定问题已经解决、关系必然稳定、用户一定成熟、某十神天然是“药”、喜用神自动等于解决办法，或淡化暴力、强迫与现实伤害；现实行为、反例、安全事实和专业支持优先。</x:v>
      </x:c>
      <x:c r="AA324" s="24" t="str">
        <x:v>高</x:v>
      </x:c>
      <x:c r="AB324" s="24" t="str">
        <x:v>待验证</x:v>
      </x:c>
      <x:c r="AC324" s="24" t="str"/>
      <x:c r="AD324" s="24" t="str">
        <x:v>provisional=true；保护因素的现实有效性必须由可观察行为、反馈和持续结果验证。</x:v>
      </x:c>
      <x:c r="AE324" s="24" t="str">
        <x:v>0.8</x:v>
      </x:c>
    </x:row>
    <x:row r="325" ht="52" customHeight="1">
      <x:c r="A325" s="24" t="str">
        <x:v>M4-BUFFER-324</x:v>
      </x:c>
      <x:c r="B325" s="24" t="str">
        <x:v>K06 功能转换受阻｜用户输出</x:v>
      </x:c>
      <x:c r="C325" s="24" t="str">
        <x:v>L6 K01—K08保护路由</x:v>
      </x:c>
      <x:c r="D325" s="24" t="str">
        <x:v>BUFFER-K机制接口</x:v>
      </x:c>
      <x:c r="E325" s="24" t="str">
        <x:v>通用</x:v>
      </x:c>
      <x:c r="F325" s="24" t="str">
        <x:v>语言</x:v>
      </x:c>
      <x:c r="G325" s="24" t="str">
        <x:v>K06 功能转换受阻</x:v>
      </x:c>
      <x:c r="H325" s="24" t="str">
        <x:v>生成K机制＋保护语言。</x:v>
      </x:c>
      <x:c r="I325" s="24" t="str">
        <x:v>K06成立且至少一项匹配保护达到BL2以上。</x:v>
      </x:c>
      <x:c r="J325" s="24" t="str">
        <x:v>资料不足或安全停止。</x:v>
      </x:c>
      <x:c r="K325" s="24" t="str">
        <x:v>由共享基础引擎提供；仅修正保护功能的承载、持续调用和压力状态下的稳定性，不直接等同成熟度、道德或现实行为。</x:v>
      </x:c>
      <x:c r="L325" s="24" t="str">
        <x:v>由M1／M2接口提供；夫妻星、心动原型和关系门槛只说明关系议题，不单独证明保护因素已经被调用或有效。</x:v>
      </x:c>
      <x:c r="M325" s="24" t="str">
        <x:v>由M3-BASE及M4各模块提供；日支、日柱近位可提高与亲密关系核心的相关性，但同一source_id不得重复计分。</x:v>
      </x:c>
      <x:c r="N325" s="24" t="str">
        <x:v>保护因素必须明确限制过用、补足缺位、恢复顺序、打开反馈、落实改变或完成修复回流；不能只凭五行相生补写现实效果。</x:v>
      </x:c>
      <x:c r="O325" s="24" t="str">
        <x:v>近位提高进入亲密关系核心的概率；远位只作背景、阶段或条件性修正。</x:v>
      </x:c>
      <x:c r="P325" s="24" t="str">
        <x:v>根气只修正该保护功能是否容易重复调用，不等于现实中已经形成稳定保护。</x:v>
      </x:c>
      <x:c r="Q325" s="24" t="str">
        <x:v>旺弱只修正调用强度与承载；强不自动有效，弱也不自动无效。</x:v>
      </x:c>
      <x:c r="R325" s="24" t="str">
        <x:v>喜忌只修正摩擦、平衡与承载，不可直接翻译为好坏、成熟度或解决方案。</x:v>
      </x:c>
      <x:c r="S325" s="24" t="str">
        <x:v>原十神功能有效；真合化成立时按化神功能替换，合化争议时停止定性。</x:v>
      </x:c>
      <x:c r="T325" s="24" t="str">
        <x:v>近位提高直接相关性；远位仅保留背景、阶段或低置信修正。</x:v>
      </x:c>
      <x:c r="U325" s="24" t="str">
        <x:v>84</x:v>
      </x:c>
      <x:c r="V325" s="24" t="str">
        <x:v>不加分；输出</x:v>
      </x:c>
      <x:c r="W325" s="24" t="str">
        <x:v>report_text</x:v>
      </x:c>
      <x:c r="X325" s="24" t="str">
        <x:v>第一项任务已经完成，但没有转成下一项必要关系功能。；对应保护是BF02跨系统通关，必要时辅以BF06现实兑现／BF05反馈。</x:v>
      </x:c>
      <x:c r="Y325" s="24" t="str">
        <x:v>当这类情况出现时，你真正需要的不是更用力，而是让BF02跨系统通关进入，必要时再由BF06现实兑现／BF05反馈补位。</x:v>
      </x:c>
      <x:c r="Z325" s="24" t="str">
        <x:v>不得仅凭本规则断定问题已经解决、关系必然稳定、用户一定成熟、某十神天然是“药”、喜用神自动等于解决办法，或淡化暴力、强迫与现实伤害；现实行为、反例、安全事实和专业支持优先。</x:v>
      </x:c>
      <x:c r="AA325" s="24" t="str">
        <x:v>中高</x:v>
      </x:c>
      <x:c r="AB325" s="24" t="str">
        <x:v>待验证</x:v>
      </x:c>
      <x:c r="AC325" s="24" t="str"/>
      <x:c r="AD325" s="24" t="str">
        <x:v>provisional=true；保护因素的现实有效性必须由可观察行为、反馈和持续结果验证。</x:v>
      </x:c>
      <x:c r="AE325" s="24" t="str">
        <x:v>0.8</x:v>
      </x:c>
    </x:row>
    <x:row r="326" ht="52" customHeight="1">
      <x:c r="A326" s="24" t="str">
        <x:v>M4-BUFFER-325</x:v>
      </x:c>
      <x:c r="B326" s="24" t="str">
        <x:v>K07 反馈回路放大｜问题摘要</x:v>
      </x:c>
      <x:c r="C326" s="24" t="str">
        <x:v>L6 K01—K08保护路由</x:v>
      </x:c>
      <x:c r="D326" s="24" t="str">
        <x:v>BUFFER-K机制接口</x:v>
      </x:c>
      <x:c r="E326" s="24" t="str">
        <x:v>通用</x:v>
      </x:c>
      <x:c r="F326" s="24" t="str">
        <x:v>定义</x:v>
      </x:c>
      <x:c r="G326" s="24" t="str">
        <x:v>K07 反馈回路放大</x:v>
      </x:c>
      <x:c r="H326" s="24" t="str">
        <x:v>保留原问题定义。</x:v>
      </x:c>
      <x:c r="I326" s="24" t="str">
        <x:v>K07已由OVERUSE、LOOP或REPAIR形成候选。</x:v>
      </x:c>
      <x:c r="J326" s="24" t="str">
        <x:v>只有单一十神标签。</x:v>
      </x:c>
      <x:c r="K326" s="24" t="str">
        <x:v>由共享基础引擎提供；仅修正保护功能的承载、持续调用和压力状态下的稳定性，不直接等同成熟度、道德或现实行为。</x:v>
      </x:c>
      <x:c r="L326" s="24" t="str">
        <x:v>由M1／M2接口提供；夫妻星、心动原型和关系门槛只说明关系议题，不单独证明保护因素已经被调用或有效。</x:v>
      </x:c>
      <x:c r="M326" s="24" t="str">
        <x:v>由M3-BASE及M4各模块提供；日支、日柱近位可提高与亲密关系核心的相关性，但同一source_id不得重复计分。</x:v>
      </x:c>
      <x:c r="N326" s="24" t="str">
        <x:v>保护因素必须明确限制过用、补足缺位、恢复顺序、打开反馈、落实改变或完成修复回流；不能只凭五行相生补写现实效果。</x:v>
      </x:c>
      <x:c r="O326" s="24" t="str">
        <x:v>近位提高进入亲密关系核心的概率；远位只作背景、阶段或条件性修正。</x:v>
      </x:c>
      <x:c r="P326" s="24" t="str">
        <x:v>根气只修正该保护功能是否容易重复调用，不等于现实中已经形成稳定保护。</x:v>
      </x:c>
      <x:c r="Q326" s="24" t="str">
        <x:v>旺弱只修正调用强度与承载；强不自动有效，弱也不自动无效。</x:v>
      </x:c>
      <x:c r="R326" s="24" t="str">
        <x:v>喜忌只修正摩擦、平衡与承载，不可直接翻译为好坏、成熟度或解决方案。</x:v>
      </x:c>
      <x:c r="S326" s="24" t="str">
        <x:v>原十神功能有效；真合化成立时按化神功能替换，合化争议时停止定性。</x:v>
      </x:c>
      <x:c r="T326" s="24" t="str">
        <x:v>近位提高直接相关性；远位仅保留背景、阶段或低置信修正。</x:v>
      </x:c>
      <x:c r="U326" s="24" t="str">
        <x:v>94</x:v>
      </x:c>
      <x:c r="V326" s="24" t="str">
        <x:v>不加分；继承</x:v>
      </x:c>
      <x:c r="W326" s="24" t="str">
        <x:v>blind_spot_theme</x:v>
      </x:c>
      <x:c r="X326" s="24" t="str">
        <x:v>对方反馈被误读为原判断的证明，促使原反应继续加码。</x:v>
      </x:c>
      <x:c r="Y326" s="24" t="str">
        <x:v>当前需要处理的核心不是某个十神好坏，而是：对方反馈被误读为原判断的证明，促使原反应继续加码。</x:v>
      </x:c>
      <x:c r="Z326" s="24" t="str">
        <x:v>不得仅凭本规则断定问题已经解决、关系必然稳定、用户一定成熟、某十神天然是“药”、喜用神自动等于解决办法，或淡化暴力、强迫与现实伤害；现实行为、反例、安全事实和专业支持优先。</x:v>
      </x:c>
      <x:c r="AA326" s="24" t="str">
        <x:v>中高</x:v>
      </x:c>
      <x:c r="AB326" s="24" t="str">
        <x:v>待验证</x:v>
      </x:c>
      <x:c r="AC326" s="24" t="str"/>
      <x:c r="AD326" s="24" t="str">
        <x:v>provisional=true；保护因素的现实有效性必须由可观察行为、反馈和持续结果验证。</x:v>
      </x:c>
      <x:c r="AE326" s="24" t="str">
        <x:v>0.8</x:v>
      </x:c>
    </x:row>
    <x:row r="327" ht="52" customHeight="1">
      <x:c r="A327" s="24" t="str">
        <x:v>M4-BUFFER-326</x:v>
      </x:c>
      <x:c r="B327" s="24" t="str">
        <x:v>K07 反馈回路放大｜主保护路由</x:v>
      </x:c>
      <x:c r="C327" s="24" t="str">
        <x:v>L6 K01—K08保护路由</x:v>
      </x:c>
      <x:c r="D327" s="24" t="str">
        <x:v>BUFFER-K机制接口</x:v>
      </x:c>
      <x:c r="E327" s="24" t="str">
        <x:v>通用</x:v>
      </x:c>
      <x:c r="F327" s="24" t="str">
        <x:v>路由</x:v>
      </x:c>
      <x:c r="G327" s="24" t="str">
        <x:v>K07 反馈回路放大</x:v>
      </x:c>
      <x:c r="H327" s="24" t="str">
        <x:v>确定首选保护功能。</x:v>
      </x:c>
      <x:c r="I327" s="24" t="str">
        <x:v>K07达到E1以上，且BF04倾听与内部复核结构可用。</x:v>
      </x:c>
      <x:c r="J327" s="24" t="str">
        <x:v>BF04倾听与内部复核与风险来源同源重复或功能不匹配。</x:v>
      </x:c>
      <x:c r="K327" s="24" t="str">
        <x:v>由共享基础引擎提供；仅修正保护功能的承载、持续调用和压力状态下的稳定性，不直接等同成熟度、道德或现实行为。</x:v>
      </x:c>
      <x:c r="L327" s="24" t="str">
        <x:v>由M1／M2接口提供；夫妻星、心动原型和关系门槛只说明关系议题，不单独证明保护因素已经被调用或有效。</x:v>
      </x:c>
      <x:c r="M327" s="24" t="str">
        <x:v>由M3-BASE及M4各模块提供；日支、日柱近位可提高与亲密关系核心的相关性，但同一source_id不得重复计分。</x:v>
      </x:c>
      <x:c r="N327" s="24" t="str">
        <x:v>保护因素必须明确限制过用、补足缺位、恢复顺序、打开反馈、落实改变或完成修复回流；不能只凭五行相生补写现实效果。</x:v>
      </x:c>
      <x:c r="O327" s="24" t="str">
        <x:v>近位提高进入亲密关系核心的概率；远位只作背景、阶段或条件性修正。</x:v>
      </x:c>
      <x:c r="P327" s="24" t="str">
        <x:v>根气只修正该保护功能是否容易重复调用，不等于现实中已经形成稳定保护。</x:v>
      </x:c>
      <x:c r="Q327" s="24" t="str">
        <x:v>旺弱只修正调用强度与承载；强不自动有效，弱也不自动无效。</x:v>
      </x:c>
      <x:c r="R327" s="24" t="str">
        <x:v>喜忌只修正摩擦、平衡与承载，不可直接翻译为好坏、成熟度或解决方案。</x:v>
      </x:c>
      <x:c r="S327" s="24" t="str">
        <x:v>原十神功能有效；真合化成立时按化神功能替换，合化争议时停止定性。</x:v>
      </x:c>
      <x:c r="T327" s="24" t="str">
        <x:v>近位提高直接相关性；远位仅保留背景、阶段或低置信修正。</x:v>
      </x:c>
      <x:c r="U327" s="24" t="str">
        <x:v>95</x:v>
      </x:c>
      <x:c r="V327" s="24" t="str">
        <x:v>主路由+8</x:v>
      </x:c>
      <x:c r="W327" s="24" t="str">
        <x:v>primary_buffer</x:v>
      </x:c>
      <x:c r="X327" s="24" t="str">
        <x:v>K07优先路由至BF04倾听与内部复核。</x:v>
      </x:c>
      <x:c r="Y327" s="24" t="str">
        <x:v>最优先检查的是BF04倾听与内部复核能否进入并改变当前链条。</x:v>
      </x:c>
      <x:c r="Z327" s="24" t="str">
        <x:v>不得仅凭本规则断定问题已经解决、关系必然稳定、用户一定成熟、某十神天然是“药”、喜用神自动等于解决办法，或淡化暴力、强迫与现实伤害；现实行为、反例、安全事实和专业支持优先。</x:v>
      </x:c>
      <x:c r="AA327" s="24" t="str">
        <x:v>中高</x:v>
      </x:c>
      <x:c r="AB327" s="24" t="str">
        <x:v>待验证</x:v>
      </x:c>
      <x:c r="AC327" s="24" t="str"/>
      <x:c r="AD327" s="24" t="str">
        <x:v>provisional=true；保护因素的现实有效性必须由可观察行为、反馈和持续结果验证。</x:v>
      </x:c>
      <x:c r="AE327" s="24" t="str">
        <x:v>0.8</x:v>
      </x:c>
    </x:row>
    <x:row r="328" ht="52" customHeight="1">
      <x:c r="A328" s="24" t="str">
        <x:v>M4-BUFFER-327</x:v>
      </x:c>
      <x:c r="B328" s="24" t="str">
        <x:v>K07 反馈回路放大｜次保护路由</x:v>
      </x:c>
      <x:c r="C328" s="24" t="str">
        <x:v>L6 K01—K08保护路由</x:v>
      </x:c>
      <x:c r="D328" s="24" t="str">
        <x:v>BUFFER-K机制接口</x:v>
      </x:c>
      <x:c r="E328" s="24" t="str">
        <x:v>通用</x:v>
      </x:c>
      <x:c r="F328" s="24" t="str">
        <x:v>路由</x:v>
      </x:c>
      <x:c r="G328" s="24" t="str">
        <x:v>K07 反馈回路放大</x:v>
      </x:c>
      <x:c r="H328" s="24" t="str">
        <x:v>补充第二类保护功能。</x:v>
      </x:c>
      <x:c r="I328" s="24" t="str">
        <x:v>主保护不足以独立改变链条，且存在BF05反馈通道／BF08状态识别中的独立资源。</x:v>
      </x:c>
      <x:c r="J328" s="24" t="str">
        <x:v>把所有次资源堆叠成万能保护。</x:v>
      </x:c>
      <x:c r="K328" s="24" t="str">
        <x:v>由共享基础引擎提供；仅修正保护功能的承载、持续调用和压力状态下的稳定性，不直接等同成熟度、道德或现实行为。</x:v>
      </x:c>
      <x:c r="L328" s="24" t="str">
        <x:v>由M1／M2接口提供；夫妻星、心动原型和关系门槛只说明关系议题，不单独证明保护因素已经被调用或有效。</x:v>
      </x:c>
      <x:c r="M328" s="24" t="str">
        <x:v>由M3-BASE及M4各模块提供；日支、日柱近位可提高与亲密关系核心的相关性，但同一source_id不得重复计分。</x:v>
      </x:c>
      <x:c r="N328" s="24" t="str">
        <x:v>保护因素必须明确限制过用、补足缺位、恢复顺序、打开反馈、落实改变或完成修复回流；不能只凭五行相生补写现实效果。</x:v>
      </x:c>
      <x:c r="O328" s="24" t="str">
        <x:v>近位提高进入亲密关系核心的概率；远位只作背景、阶段或条件性修正。</x:v>
      </x:c>
      <x:c r="P328" s="24" t="str">
        <x:v>根气只修正该保护功能是否容易重复调用，不等于现实中已经形成稳定保护。</x:v>
      </x:c>
      <x:c r="Q328" s="24" t="str">
        <x:v>旺弱只修正调用强度与承载；强不自动有效，弱也不自动无效。</x:v>
      </x:c>
      <x:c r="R328" s="24" t="str">
        <x:v>喜忌只修正摩擦、平衡与承载，不可直接翻译为好坏、成熟度或解决方案。</x:v>
      </x:c>
      <x:c r="S328" s="24" t="str">
        <x:v>原十神功能有效；真合化成立时按化神功能替换，合化争议时停止定性。</x:v>
      </x:c>
      <x:c r="T328" s="24" t="str">
        <x:v>近位提高直接相关性；远位仅保留背景、阶段或低置信修正。</x:v>
      </x:c>
      <x:c r="U328" s="24" t="str">
        <x:v>90</x:v>
      </x:c>
      <x:c r="V328" s="24" t="str">
        <x:v>次路由+4</x:v>
      </x:c>
      <x:c r="W328" s="24" t="str">
        <x:v>secondary_buffer</x:v>
      </x:c>
      <x:c r="X328" s="24" t="str">
        <x:v>次级资源可来自：BF05反馈通道／BF08状态识别。</x:v>
      </x:c>
      <x:c r="Y328" s="24" t="str">
        <x:v>若主资源不足，还可以检查BF05反馈通道／BF08状态识别是否提供补位。</x:v>
      </x:c>
      <x:c r="Z328" s="24" t="str">
        <x:v>不得仅凭本规则断定问题已经解决、关系必然稳定、用户一定成熟、某十神天然是“药”、喜用神自动等于解决办法，或淡化暴力、强迫与现实伤害；现实行为、反例、安全事实和专业支持优先。</x:v>
      </x:c>
      <x:c r="AA328" s="24" t="str">
        <x:v>中高</x:v>
      </x:c>
      <x:c r="AB328" s="24" t="str">
        <x:v>待验证</x:v>
      </x:c>
      <x:c r="AC328" s="24" t="str"/>
      <x:c r="AD328" s="24" t="str">
        <x:v>provisional=true；保护因素的现实有效性必须由可观察行为、反馈和持续结果验证。</x:v>
      </x:c>
      <x:c r="AE328" s="24" t="str">
        <x:v>0.8</x:v>
      </x:c>
    </x:row>
    <x:row r="329" ht="52" customHeight="1">
      <x:c r="A329" s="24" t="str">
        <x:v>M4-BUFFER-328</x:v>
      </x:c>
      <x:c r="B329" s="24" t="str">
        <x:v>K07 反馈回路放大｜有效标志</x:v>
      </x:c>
      <x:c r="C329" s="24" t="str">
        <x:v>L6 K01—K08保护路由</x:v>
      </x:c>
      <x:c r="D329" s="24" t="str">
        <x:v>BUFFER-K机制接口</x:v>
      </x:c>
      <x:c r="E329" s="24" t="str">
        <x:v>通用</x:v>
      </x:c>
      <x:c r="F329" s="24" t="str">
        <x:v>效果</x:v>
      </x:c>
      <x:c r="G329" s="24" t="str">
        <x:v>K07 反馈回路放大</x:v>
      </x:c>
      <x:c r="H329" s="24" t="str">
        <x:v>判断保护是否真正改变K机制。</x:v>
      </x:c>
      <x:c r="I329" s="24" t="str">
        <x:v>反馈被记录为新信息，能够改变判断、强度或下一步。</x:v>
      </x:c>
      <x:c r="J329" s="24" t="str">
        <x:v>继续猜测动机、加码解释、推进或撤回，没有核对事实。</x:v>
      </x:c>
      <x:c r="K329" s="24" t="str">
        <x:v>由共享基础引擎提供；仅修正保护功能的承载、持续调用和压力状态下的稳定性，不直接等同成熟度、道德或现实行为。</x:v>
      </x:c>
      <x:c r="L329" s="24" t="str">
        <x:v>由M1／M2接口提供；夫妻星、心动原型和关系门槛只说明关系议题，不单独证明保护因素已经被调用或有效。</x:v>
      </x:c>
      <x:c r="M329" s="24" t="str">
        <x:v>由M3-BASE及M4各模块提供；日支、日柱近位可提高与亲密关系核心的相关性，但同一source_id不得重复计分。</x:v>
      </x:c>
      <x:c r="N329" s="24" t="str">
        <x:v>保护因素必须明确限制过用、补足缺位、恢复顺序、打开反馈、落实改变或完成修复回流；不能只凭五行相生补写现实效果。</x:v>
      </x:c>
      <x:c r="O329" s="24" t="str">
        <x:v>近位提高进入亲密关系核心的概率；远位只作背景、阶段或条件性修正。</x:v>
      </x:c>
      <x:c r="P329" s="24" t="str">
        <x:v>根气只修正该保护功能是否容易重复调用，不等于现实中已经形成稳定保护。</x:v>
      </x:c>
      <x:c r="Q329" s="24" t="str">
        <x:v>旺弱只修正调用强度与承载；强不自动有效，弱也不自动无效。</x:v>
      </x:c>
      <x:c r="R329" s="24" t="str">
        <x:v>喜忌只修正摩擦、平衡与承载，不可直接翻译为好坏、成熟度或解决方案。</x:v>
      </x:c>
      <x:c r="S329" s="24" t="str">
        <x:v>原十神功能有效；真合化成立时按化神功能替换，合化争议时停止定性。</x:v>
      </x:c>
      <x:c r="T329" s="24" t="str">
        <x:v>近位提高直接相关性；远位仅保留背景、阶段或低置信修正。</x:v>
      </x:c>
      <x:c r="U329" s="24" t="str">
        <x:v>93</x:v>
      </x:c>
      <x:c r="V329" s="24" t="str">
        <x:v>效果+12</x:v>
      </x:c>
      <x:c r="W329" s="24" t="str">
        <x:v>buffer_level</x:v>
      </x:c>
      <x:c r="X329" s="24" t="str">
        <x:v>有效标志：反馈被记录为新信息，能够改变判断、强度或下一步。</x:v>
      </x:c>
      <x:c r="Y329" s="24" t="str">
        <x:v>真正有效时，会看到：反馈被记录为新信息，能够改变判断、强度或下一步。</x:v>
      </x:c>
      <x:c r="Z329" s="24" t="str">
        <x:v>不得仅凭本规则断定问题已经解决、关系必然稳定、用户一定成熟、某十神天然是“药”、喜用神自动等于解决办法，或淡化暴力、强迫与现实伤害；现实行为、反例、安全事实和专业支持优先。</x:v>
      </x:c>
      <x:c r="AA329" s="24" t="str">
        <x:v>中高</x:v>
      </x:c>
      <x:c r="AB329" s="24" t="str">
        <x:v>待验证</x:v>
      </x:c>
      <x:c r="AC329" s="24" t="str"/>
      <x:c r="AD329" s="24" t="str">
        <x:v>provisional=true；保护因素的现实有效性必须由可观察行为、反馈和持续结果验证。</x:v>
      </x:c>
      <x:c r="AE329" s="24" t="str">
        <x:v>0.8</x:v>
      </x:c>
    </x:row>
    <x:row r="330" ht="52" customHeight="1">
      <x:c r="A330" s="24" t="str">
        <x:v>M4-BUFFER-329</x:v>
      </x:c>
      <x:c r="B330" s="24" t="str">
        <x:v>K07 反馈回路放大｜失效与伪保护</x:v>
      </x:c>
      <x:c r="C330" s="24" t="str">
        <x:v>L6 K01—K08保护路由</x:v>
      </x:c>
      <x:c r="D330" s="24" t="str">
        <x:v>BUFFER-K机制接口</x:v>
      </x:c>
      <x:c r="E330" s="24" t="str">
        <x:v>通用</x:v>
      </x:c>
      <x:c r="F330" s="24" t="str">
        <x:v>降级</x:v>
      </x:c>
      <x:c r="G330" s="24" t="str">
        <x:v>K07 反馈回路放大</x:v>
      </x:c>
      <x:c r="H330" s="24" t="str">
        <x:v>防止保护资源制造新失衡。</x:v>
      </x:c>
      <x:c r="I330" s="24" t="str">
        <x:v>继续猜测动机、加码解释、推进或撤回，没有核对事实。</x:v>
      </x:c>
      <x:c r="J330" s="24" t="str">
        <x:v>反馈被记录为新信息，能够改变判断、强度或下一步。</x:v>
      </x:c>
      <x:c r="K330" s="24" t="str">
        <x:v>由共享基础引擎提供；仅修正保护功能的承载、持续调用和压力状态下的稳定性，不直接等同成熟度、道德或现实行为。</x:v>
      </x:c>
      <x:c r="L330" s="24" t="str">
        <x:v>由M1／M2接口提供；夫妻星、心动原型和关系门槛只说明关系议题，不单独证明保护因素已经被调用或有效。</x:v>
      </x:c>
      <x:c r="M330" s="24" t="str">
        <x:v>由M3-BASE及M4各模块提供；日支、日柱近位可提高与亲密关系核心的相关性，但同一source_id不得重复计分。</x:v>
      </x:c>
      <x:c r="N330" s="24" t="str">
        <x:v>保护因素必须明确限制过用、补足缺位、恢复顺序、打开反馈、落实改变或完成修复回流；不能只凭五行相生补写现实效果。</x:v>
      </x:c>
      <x:c r="O330" s="24" t="str">
        <x:v>近位提高进入亲密关系核心的概率；远位只作背景、阶段或条件性修正。</x:v>
      </x:c>
      <x:c r="P330" s="24" t="str">
        <x:v>根气只修正该保护功能是否容易重复调用，不等于现实中已经形成稳定保护。</x:v>
      </x:c>
      <x:c r="Q330" s="24" t="str">
        <x:v>旺弱只修正调用强度与承载；强不自动有效，弱也不自动无效。</x:v>
      </x:c>
      <x:c r="R330" s="24" t="str">
        <x:v>喜忌只修正摩擦、平衡与承载，不可直接翻译为好坏、成熟度或解决方案。</x:v>
      </x:c>
      <x:c r="S330" s="24" t="str">
        <x:v>原十神功能有效；真合化成立时按化神功能替换，合化争议时停止定性。</x:v>
      </x:c>
      <x:c r="T330" s="24" t="str">
        <x:v>近位提高直接相关性；远位仅保留背景、阶段或低置信修正。</x:v>
      </x:c>
      <x:c r="U330" s="24" t="str">
        <x:v>97</x:v>
      </x:c>
      <x:c r="V330" s="24" t="str">
        <x:v>失效-10</x:v>
      </x:c>
      <x:c r="W330" s="24" t="str">
        <x:v>pseudo_buffer</x:v>
      </x:c>
      <x:c r="X330" s="24" t="str">
        <x:v>失效表现：继续猜测动机、加码解释、推进或撤回，没有核对事实。</x:v>
      </x:c>
      <x:c r="Y330" s="24" t="str">
        <x:v>若只是“继续猜测动机、加码解释、推进或撤回，没有核对事实。”，说明保护还没有真正成立。</x:v>
      </x:c>
      <x:c r="Z330" s="24" t="str">
        <x:v>不得仅凭本规则断定问题已经解决、关系必然稳定、用户一定成熟、某十神天然是“药”、喜用神自动等于解决办法，或淡化暴力、强迫与现实伤害；现实行为、反例、安全事实和专业支持优先。</x:v>
      </x:c>
      <x:c r="AA330" s="24" t="str">
        <x:v>高</x:v>
      </x:c>
      <x:c r="AB330" s="24" t="str">
        <x:v>待验证</x:v>
      </x:c>
      <x:c r="AC330" s="24" t="str"/>
      <x:c r="AD330" s="24" t="str">
        <x:v>provisional=true；保护因素的现实有效性必须由可观察行为、反馈和持续结果验证。</x:v>
      </x:c>
      <x:c r="AE330" s="24" t="str">
        <x:v>0.8</x:v>
      </x:c>
    </x:row>
    <x:row r="331" ht="52" customHeight="1">
      <x:c r="A331" s="24" t="str">
        <x:v>M4-BUFFER-330</x:v>
      </x:c>
      <x:c r="B331" s="24" t="str">
        <x:v>K07 反馈回路放大｜用户输出</x:v>
      </x:c>
      <x:c r="C331" s="24" t="str">
        <x:v>L6 K01—K08保护路由</x:v>
      </x:c>
      <x:c r="D331" s="24" t="str">
        <x:v>BUFFER-K机制接口</x:v>
      </x:c>
      <x:c r="E331" s="24" t="str">
        <x:v>通用</x:v>
      </x:c>
      <x:c r="F331" s="24" t="str">
        <x:v>语言</x:v>
      </x:c>
      <x:c r="G331" s="24" t="str">
        <x:v>K07 反馈回路放大</x:v>
      </x:c>
      <x:c r="H331" s="24" t="str">
        <x:v>生成K机制＋保护语言。</x:v>
      </x:c>
      <x:c r="I331" s="24" t="str">
        <x:v>K07成立且至少一项匹配保护达到BL2以上。</x:v>
      </x:c>
      <x:c r="J331" s="24" t="str">
        <x:v>资料不足或安全停止。</x:v>
      </x:c>
      <x:c r="K331" s="24" t="str">
        <x:v>由共享基础引擎提供；仅修正保护功能的承载、持续调用和压力状态下的稳定性，不直接等同成熟度、道德或现实行为。</x:v>
      </x:c>
      <x:c r="L331" s="24" t="str">
        <x:v>由M1／M2接口提供；夫妻星、心动原型和关系门槛只说明关系议题，不单独证明保护因素已经被调用或有效。</x:v>
      </x:c>
      <x:c r="M331" s="24" t="str">
        <x:v>由M3-BASE及M4各模块提供；日支、日柱近位可提高与亲密关系核心的相关性，但同一source_id不得重复计分。</x:v>
      </x:c>
      <x:c r="N331" s="24" t="str">
        <x:v>保护因素必须明确限制过用、补足缺位、恢复顺序、打开反馈、落实改变或完成修复回流；不能只凭五行相生补写现实效果。</x:v>
      </x:c>
      <x:c r="O331" s="24" t="str">
        <x:v>近位提高进入亲密关系核心的概率；远位只作背景、阶段或条件性修正。</x:v>
      </x:c>
      <x:c r="P331" s="24" t="str">
        <x:v>根气只修正该保护功能是否容易重复调用，不等于现实中已经形成稳定保护。</x:v>
      </x:c>
      <x:c r="Q331" s="24" t="str">
        <x:v>旺弱只修正调用强度与承载；强不自动有效，弱也不自动无效。</x:v>
      </x:c>
      <x:c r="R331" s="24" t="str">
        <x:v>喜忌只修正摩擦、平衡与承载，不可直接翻译为好坏、成熟度或解决方案。</x:v>
      </x:c>
      <x:c r="S331" s="24" t="str">
        <x:v>原十神功能有效；真合化成立时按化神功能替换，合化争议时停止定性。</x:v>
      </x:c>
      <x:c r="T331" s="24" t="str">
        <x:v>近位提高直接相关性；远位仅保留背景、阶段或低置信修正。</x:v>
      </x:c>
      <x:c r="U331" s="24" t="str">
        <x:v>84</x:v>
      </x:c>
      <x:c r="V331" s="24" t="str">
        <x:v>不加分；输出</x:v>
      </x:c>
      <x:c r="W331" s="24" t="str">
        <x:v>report_text</x:v>
      </x:c>
      <x:c r="X331" s="24" t="str">
        <x:v>对方反馈被误读为原判断的证明，促使原反应继续加码。；对应保护是BF04倾听与内部复核，必要时辅以BF05反馈通道／BF08状态识别。</x:v>
      </x:c>
      <x:c r="Y331" s="24" t="str">
        <x:v>当这类情况出现时，你真正需要的不是更用力，而是让BF04倾听与内部复核进入，必要时再由BF05反馈通道／BF08状态识别补位。</x:v>
      </x:c>
      <x:c r="Z331" s="24" t="str">
        <x:v>不得仅凭本规则断定问题已经解决、关系必然稳定、用户一定成熟、某十神天然是“药”、喜用神自动等于解决办法，或淡化暴力、强迫与现实伤害；现实行为、反例、安全事实和专业支持优先。</x:v>
      </x:c>
      <x:c r="AA331" s="24" t="str">
        <x:v>中高</x:v>
      </x:c>
      <x:c r="AB331" s="24" t="str">
        <x:v>待验证</x:v>
      </x:c>
      <x:c r="AC331" s="24" t="str"/>
      <x:c r="AD331" s="24" t="str">
        <x:v>provisional=true；保护因素的现实有效性必须由可观察行为、反馈和持续结果验证。</x:v>
      </x:c>
      <x:c r="AE331" s="24" t="str">
        <x:v>0.8</x:v>
      </x:c>
    </x:row>
    <x:row r="332" ht="52" customHeight="1">
      <x:c r="A332" s="24" t="str">
        <x:v>M4-BUFFER-331</x:v>
      </x:c>
      <x:c r="B332" s="24" t="str">
        <x:v>K08 修复断链｜问题摘要</x:v>
      </x:c>
      <x:c r="C332" s="24" t="str">
        <x:v>L6 K01—K08保护路由</x:v>
      </x:c>
      <x:c r="D332" s="24" t="str">
        <x:v>BUFFER-K机制接口</x:v>
      </x:c>
      <x:c r="E332" s="24" t="str">
        <x:v>通用</x:v>
      </x:c>
      <x:c r="F332" s="24" t="str">
        <x:v>定义</x:v>
      </x:c>
      <x:c r="G332" s="24" t="str">
        <x:v>K08 修复断链</x:v>
      </x:c>
      <x:c r="H332" s="24" t="str">
        <x:v>保留原问题定义。</x:v>
      </x:c>
      <x:c r="I332" s="24" t="str">
        <x:v>K08已由OVERUSE、LOOP或REPAIR形成候选。</x:v>
      </x:c>
      <x:c r="J332" s="24" t="str">
        <x:v>只有单一十神标签。</x:v>
      </x:c>
      <x:c r="K332" s="24" t="str">
        <x:v>由共享基础引擎提供；仅修正保护功能的承载、持续调用和压力状态下的稳定性，不直接等同成熟度、道德或现实行为。</x:v>
      </x:c>
      <x:c r="L332" s="24" t="str">
        <x:v>由M1／M2接口提供；夫妻星、心动原型和关系门槛只说明关系议题，不单独证明保护因素已经被调用或有效。</x:v>
      </x:c>
      <x:c r="M332" s="24" t="str">
        <x:v>由M3-BASE及M4各模块提供；日支、日柱近位可提高与亲密关系核心的相关性，但同一source_id不得重复计分。</x:v>
      </x:c>
      <x:c r="N332" s="24" t="str">
        <x:v>保护因素必须明确限制过用、补足缺位、恢复顺序、打开反馈、落实改变或完成修复回流；不能只凭五行相生补写现实效果。</x:v>
      </x:c>
      <x:c r="O332" s="24" t="str">
        <x:v>近位提高进入亲密关系核心的概率；远位只作背景、阶段或条件性修正。</x:v>
      </x:c>
      <x:c r="P332" s="24" t="str">
        <x:v>根气只修正该保护功能是否容易重复调用，不等于现实中已经形成稳定保护。</x:v>
      </x:c>
      <x:c r="Q332" s="24" t="str">
        <x:v>旺弱只修正调用强度与承载；强不自动有效，弱也不自动无效。</x:v>
      </x:c>
      <x:c r="R332" s="24" t="str">
        <x:v>喜忌只修正摩擦、平衡与承载，不可直接翻译为好坏、成熟度或解决方案。</x:v>
      </x:c>
      <x:c r="S332" s="24" t="str">
        <x:v>原十神功能有效；真合化成立时按化神功能替换，合化争议时停止定性。</x:v>
      </x:c>
      <x:c r="T332" s="24" t="str">
        <x:v>近位提高直接相关性；远位仅保留背景、阶段或低置信修正。</x:v>
      </x:c>
      <x:c r="U332" s="24" t="str">
        <x:v>94</x:v>
      </x:c>
      <x:c r="V332" s="24" t="str">
        <x:v>不加分；继承</x:v>
      </x:c>
      <x:c r="W332" s="24" t="str">
        <x:v>blind_spot_theme</x:v>
      </x:c>
      <x:c r="X332" s="24" t="str">
        <x:v>问题停止或部分处理后，修复链缺少反馈、改变或回访。</x:v>
      </x:c>
      <x:c r="Y332" s="24" t="str">
        <x:v>当前需要处理的核心不是某个十神好坏，而是：问题停止或部分处理后，修复链缺少反馈、改变或回访。</x:v>
      </x:c>
      <x:c r="Z332" s="24" t="str">
        <x:v>不得仅凭本规则断定问题已经解决、关系必然稳定、用户一定成熟、某十神天然是“药”、喜用神自动等于解决办法，或淡化暴力、强迫与现实伤害；现实行为、反例、安全事实和专业支持优先。</x:v>
      </x:c>
      <x:c r="AA332" s="24" t="str">
        <x:v>中高</x:v>
      </x:c>
      <x:c r="AB332" s="24" t="str">
        <x:v>待验证</x:v>
      </x:c>
      <x:c r="AC332" s="24" t="str"/>
      <x:c r="AD332" s="24" t="str">
        <x:v>provisional=true；保护因素的现实有效性必须由可观察行为、反馈和持续结果验证。</x:v>
      </x:c>
      <x:c r="AE332" s="24" t="str">
        <x:v>0.8</x:v>
      </x:c>
    </x:row>
    <x:row r="333" ht="52" customHeight="1">
      <x:c r="A333" s="24" t="str">
        <x:v>M4-BUFFER-332</x:v>
      </x:c>
      <x:c r="B333" s="24" t="str">
        <x:v>K08 修复断链｜主保护路由</x:v>
      </x:c>
      <x:c r="C333" s="24" t="str">
        <x:v>L6 K01—K08保护路由</x:v>
      </x:c>
      <x:c r="D333" s="24" t="str">
        <x:v>BUFFER-K机制接口</x:v>
      </x:c>
      <x:c r="E333" s="24" t="str">
        <x:v>通用</x:v>
      </x:c>
      <x:c r="F333" s="24" t="str">
        <x:v>路由</x:v>
      </x:c>
      <x:c r="G333" s="24" t="str">
        <x:v>K08 修复断链</x:v>
      </x:c>
      <x:c r="H333" s="24" t="str">
        <x:v>确定首选保护功能。</x:v>
      </x:c>
      <x:c r="I333" s="24" t="str">
        <x:v>K08达到E1以上，且BF07完整修复回流结构可用。</x:v>
      </x:c>
      <x:c r="J333" s="24" t="str">
        <x:v>BF07完整修复回流与风险来源同源重复或功能不匹配。</x:v>
      </x:c>
      <x:c r="K333" s="24" t="str">
        <x:v>由共享基础引擎提供；仅修正保护功能的承载、持续调用和压力状态下的稳定性，不直接等同成熟度、道德或现实行为。</x:v>
      </x:c>
      <x:c r="L333" s="24" t="str">
        <x:v>由M1／M2接口提供；夫妻星、心动原型和关系门槛只说明关系议题，不单独证明保护因素已经被调用或有效。</x:v>
      </x:c>
      <x:c r="M333" s="24" t="str">
        <x:v>由M3-BASE及M4各模块提供；日支、日柱近位可提高与亲密关系核心的相关性，但同一source_id不得重复计分。</x:v>
      </x:c>
      <x:c r="N333" s="24" t="str">
        <x:v>保护因素必须明确限制过用、补足缺位、恢复顺序、打开反馈、落实改变或完成修复回流；不能只凭五行相生补写现实效果。</x:v>
      </x:c>
      <x:c r="O333" s="24" t="str">
        <x:v>近位提高进入亲密关系核心的概率；远位只作背景、阶段或条件性修正。</x:v>
      </x:c>
      <x:c r="P333" s="24" t="str">
        <x:v>根气只修正该保护功能是否容易重复调用，不等于现实中已经形成稳定保护。</x:v>
      </x:c>
      <x:c r="Q333" s="24" t="str">
        <x:v>旺弱只修正调用强度与承载；强不自动有效，弱也不自动无效。</x:v>
      </x:c>
      <x:c r="R333" s="24" t="str">
        <x:v>喜忌只修正摩擦、平衡与承载，不可直接翻译为好坏、成熟度或解决方案。</x:v>
      </x:c>
      <x:c r="S333" s="24" t="str">
        <x:v>原十神功能有效；真合化成立时按化神功能替换，合化争议时停止定性。</x:v>
      </x:c>
      <x:c r="T333" s="24" t="str">
        <x:v>近位提高直接相关性；远位仅保留背景、阶段或低置信修正。</x:v>
      </x:c>
      <x:c r="U333" s="24" t="str">
        <x:v>95</x:v>
      </x:c>
      <x:c r="V333" s="24" t="str">
        <x:v>主路由+8</x:v>
      </x:c>
      <x:c r="W333" s="24" t="str">
        <x:v>primary_buffer</x:v>
      </x:c>
      <x:c r="X333" s="24" t="str">
        <x:v>K08优先路由至BF07完整修复回流。</x:v>
      </x:c>
      <x:c r="Y333" s="24" t="str">
        <x:v>最优先检查的是BF07完整修复回流能否进入并改变当前链条。</x:v>
      </x:c>
      <x:c r="Z333" s="24" t="str">
        <x:v>不得仅凭本规则断定问题已经解决、关系必然稳定、用户一定成熟、某十神天然是“药”、喜用神自动等于解决办法，或淡化暴力、强迫与现实伤害；现实行为、反例、安全事实和专业支持优先。</x:v>
      </x:c>
      <x:c r="AA333" s="24" t="str">
        <x:v>中高</x:v>
      </x:c>
      <x:c r="AB333" s="24" t="str">
        <x:v>待验证</x:v>
      </x:c>
      <x:c r="AC333" s="24" t="str"/>
      <x:c r="AD333" s="24" t="str">
        <x:v>provisional=true；保护因素的现实有效性必须由可观察行为、反馈和持续结果验证。</x:v>
      </x:c>
      <x:c r="AE333" s="24" t="str">
        <x:v>0.8</x:v>
      </x:c>
    </x:row>
    <x:row r="334" ht="52" customHeight="1">
      <x:c r="A334" s="24" t="str">
        <x:v>M4-BUFFER-333</x:v>
      </x:c>
      <x:c r="B334" s="24" t="str">
        <x:v>K08 修复断链｜次保护路由</x:v>
      </x:c>
      <x:c r="C334" s="24" t="str">
        <x:v>L6 K01—K08保护路由</x:v>
      </x:c>
      <x:c r="D334" s="24" t="str">
        <x:v>BUFFER-K机制接口</x:v>
      </x:c>
      <x:c r="E334" s="24" t="str">
        <x:v>通用</x:v>
      </x:c>
      <x:c r="F334" s="24" t="str">
        <x:v>路由</x:v>
      </x:c>
      <x:c r="G334" s="24" t="str">
        <x:v>K08 修复断链</x:v>
      </x:c>
      <x:c r="H334" s="24" t="str">
        <x:v>补充第二类保护功能。</x:v>
      </x:c>
      <x:c r="I334" s="24" t="str">
        <x:v>主保护不足以独立改变链条，且存在BF06持续兑现／BF03边界／BF04影响确认中的独立资源。</x:v>
      </x:c>
      <x:c r="J334" s="24" t="str">
        <x:v>把所有次资源堆叠成万能保护。</x:v>
      </x:c>
      <x:c r="K334" s="24" t="str">
        <x:v>由共享基础引擎提供；仅修正保护功能的承载、持续调用和压力状态下的稳定性，不直接等同成熟度、道德或现实行为。</x:v>
      </x:c>
      <x:c r="L334" s="24" t="str">
        <x:v>由M1／M2接口提供；夫妻星、心动原型和关系门槛只说明关系议题，不单独证明保护因素已经被调用或有效。</x:v>
      </x:c>
      <x:c r="M334" s="24" t="str">
        <x:v>由M3-BASE及M4各模块提供；日支、日柱近位可提高与亲密关系核心的相关性，但同一source_id不得重复计分。</x:v>
      </x:c>
      <x:c r="N334" s="24" t="str">
        <x:v>保护因素必须明确限制过用、补足缺位、恢复顺序、打开反馈、落实改变或完成修复回流；不能只凭五行相生补写现实效果。</x:v>
      </x:c>
      <x:c r="O334" s="24" t="str">
        <x:v>近位提高进入亲密关系核心的概率；远位只作背景、阶段或条件性修正。</x:v>
      </x:c>
      <x:c r="P334" s="24" t="str">
        <x:v>根气只修正该保护功能是否容易重复调用，不等于现实中已经形成稳定保护。</x:v>
      </x:c>
      <x:c r="Q334" s="24" t="str">
        <x:v>旺弱只修正调用强度与承载；强不自动有效，弱也不自动无效。</x:v>
      </x:c>
      <x:c r="R334" s="24" t="str">
        <x:v>喜忌只修正摩擦、平衡与承载，不可直接翻译为好坏、成熟度或解决方案。</x:v>
      </x:c>
      <x:c r="S334" s="24" t="str">
        <x:v>原十神功能有效；真合化成立时按化神功能替换，合化争议时停止定性。</x:v>
      </x:c>
      <x:c r="T334" s="24" t="str">
        <x:v>近位提高直接相关性；远位仅保留背景、阶段或低置信修正。</x:v>
      </x:c>
      <x:c r="U334" s="24" t="str">
        <x:v>90</x:v>
      </x:c>
      <x:c r="V334" s="24" t="str">
        <x:v>次路由+4</x:v>
      </x:c>
      <x:c r="W334" s="24" t="str">
        <x:v>secondary_buffer</x:v>
      </x:c>
      <x:c r="X334" s="24" t="str">
        <x:v>次级资源可来自：BF06持续兑现／BF03边界／BF04影响确认。</x:v>
      </x:c>
      <x:c r="Y334" s="24" t="str">
        <x:v>若主资源不足，还可以检查BF06持续兑现／BF03边界／BF04影响确认是否提供补位。</x:v>
      </x:c>
      <x:c r="Z334" s="24" t="str">
        <x:v>不得仅凭本规则断定问题已经解决、关系必然稳定、用户一定成熟、某十神天然是“药”、喜用神自动等于解决办法，或淡化暴力、强迫与现实伤害；现实行为、反例、安全事实和专业支持优先。</x:v>
      </x:c>
      <x:c r="AA334" s="24" t="str">
        <x:v>中高</x:v>
      </x:c>
      <x:c r="AB334" s="24" t="str">
        <x:v>待验证</x:v>
      </x:c>
      <x:c r="AC334" s="24" t="str"/>
      <x:c r="AD334" s="24" t="str">
        <x:v>provisional=true；保护因素的现实有效性必须由可观察行为、反馈和持续结果验证。</x:v>
      </x:c>
      <x:c r="AE334" s="24" t="str">
        <x:v>0.8</x:v>
      </x:c>
    </x:row>
    <x:row r="335" ht="52" customHeight="1">
      <x:c r="A335" s="24" t="str">
        <x:v>M4-BUFFER-334</x:v>
      </x:c>
      <x:c r="B335" s="24" t="str">
        <x:v>K08 修复断链｜有效标志</x:v>
      </x:c>
      <x:c r="C335" s="24" t="str">
        <x:v>L6 K01—K08保护路由</x:v>
      </x:c>
      <x:c r="D335" s="24" t="str">
        <x:v>BUFFER-K机制接口</x:v>
      </x:c>
      <x:c r="E335" s="24" t="str">
        <x:v>通用</x:v>
      </x:c>
      <x:c r="F335" s="24" t="str">
        <x:v>效果</x:v>
      </x:c>
      <x:c r="G335" s="24" t="str">
        <x:v>K08 修复断链</x:v>
      </x:c>
      <x:c r="H335" s="24" t="str">
        <x:v>判断保护是否真正改变K机制。</x:v>
      </x:c>
      <x:c r="I335" s="24" t="str">
        <x:v>必要RN节点完成，并在后续获得接收反馈与持续验证。</x:v>
      </x:c>
      <x:c r="J335" s="24" t="str">
        <x:v>只完成道歉、安抚、补偿、方案或短期和好中的一项。</x:v>
      </x:c>
      <x:c r="K335" s="24" t="str">
        <x:v>由共享基础引擎提供；仅修正保护功能的承载、持续调用和压力状态下的稳定性，不直接等同成熟度、道德或现实行为。</x:v>
      </x:c>
      <x:c r="L335" s="24" t="str">
        <x:v>由M1／M2接口提供；夫妻星、心动原型和关系门槛只说明关系议题，不单独证明保护因素已经被调用或有效。</x:v>
      </x:c>
      <x:c r="M335" s="24" t="str">
        <x:v>由M3-BASE及M4各模块提供；日支、日柱近位可提高与亲密关系核心的相关性，但同一source_id不得重复计分。</x:v>
      </x:c>
      <x:c r="N335" s="24" t="str">
        <x:v>保护因素必须明确限制过用、补足缺位、恢复顺序、打开反馈、落实改变或完成修复回流；不能只凭五行相生补写现实效果。</x:v>
      </x:c>
      <x:c r="O335" s="24" t="str">
        <x:v>近位提高进入亲密关系核心的概率；远位只作背景、阶段或条件性修正。</x:v>
      </x:c>
      <x:c r="P335" s="24" t="str">
        <x:v>根气只修正该保护功能是否容易重复调用，不等于现实中已经形成稳定保护。</x:v>
      </x:c>
      <x:c r="Q335" s="24" t="str">
        <x:v>旺弱只修正调用强度与承载；强不自动有效，弱也不自动无效。</x:v>
      </x:c>
      <x:c r="R335" s="24" t="str">
        <x:v>喜忌只修正摩擦、平衡与承载，不可直接翻译为好坏、成熟度或解决方案。</x:v>
      </x:c>
      <x:c r="S335" s="24" t="str">
        <x:v>原十神功能有效；真合化成立时按化神功能替换，合化争议时停止定性。</x:v>
      </x:c>
      <x:c r="T335" s="24" t="str">
        <x:v>近位提高直接相关性；远位仅保留背景、阶段或低置信修正。</x:v>
      </x:c>
      <x:c r="U335" s="24" t="str">
        <x:v>93</x:v>
      </x:c>
      <x:c r="V335" s="24" t="str">
        <x:v>效果+12</x:v>
      </x:c>
      <x:c r="W335" s="24" t="str">
        <x:v>buffer_level</x:v>
      </x:c>
      <x:c r="X335" s="24" t="str">
        <x:v>有效标志：必要RN节点完成，并在后续获得接收反馈与持续验证。</x:v>
      </x:c>
      <x:c r="Y335" s="24" t="str">
        <x:v>真正有效时，会看到：必要RN节点完成，并在后续获得接收反馈与持续验证。</x:v>
      </x:c>
      <x:c r="Z335" s="24" t="str">
        <x:v>不得仅凭本规则断定问题已经解决、关系必然稳定、用户一定成熟、某十神天然是“药”、喜用神自动等于解决办法，或淡化暴力、强迫与现实伤害；现实行为、反例、安全事实和专业支持优先。</x:v>
      </x:c>
      <x:c r="AA335" s="24" t="str">
        <x:v>中高</x:v>
      </x:c>
      <x:c r="AB335" s="24" t="str">
        <x:v>待验证</x:v>
      </x:c>
      <x:c r="AC335" s="24" t="str"/>
      <x:c r="AD335" s="24" t="str">
        <x:v>provisional=true；保护因素的现实有效性必须由可观察行为、反馈和持续结果验证。</x:v>
      </x:c>
      <x:c r="AE335" s="24" t="str">
        <x:v>0.8</x:v>
      </x:c>
    </x:row>
    <x:row r="336" ht="52" customHeight="1">
      <x:c r="A336" s="24" t="str">
        <x:v>M4-BUFFER-335</x:v>
      </x:c>
      <x:c r="B336" s="24" t="str">
        <x:v>K08 修复断链｜失效与伪保护</x:v>
      </x:c>
      <x:c r="C336" s="24" t="str">
        <x:v>L6 K01—K08保护路由</x:v>
      </x:c>
      <x:c r="D336" s="24" t="str">
        <x:v>BUFFER-K机制接口</x:v>
      </x:c>
      <x:c r="E336" s="24" t="str">
        <x:v>通用</x:v>
      </x:c>
      <x:c r="F336" s="24" t="str">
        <x:v>降级</x:v>
      </x:c>
      <x:c r="G336" s="24" t="str">
        <x:v>K08 修复断链</x:v>
      </x:c>
      <x:c r="H336" s="24" t="str">
        <x:v>防止保护资源制造新失衡。</x:v>
      </x:c>
      <x:c r="I336" s="24" t="str">
        <x:v>只完成道歉、安抚、补偿、方案或短期和好中的一项。</x:v>
      </x:c>
      <x:c r="J336" s="24" t="str">
        <x:v>必要RN节点完成，并在后续获得接收反馈与持续验证。</x:v>
      </x:c>
      <x:c r="K336" s="24" t="str">
        <x:v>由共享基础引擎提供；仅修正保护功能的承载、持续调用和压力状态下的稳定性，不直接等同成熟度、道德或现实行为。</x:v>
      </x:c>
      <x:c r="L336" s="24" t="str">
        <x:v>由M1／M2接口提供；夫妻星、心动原型和关系门槛只说明关系议题，不单独证明保护因素已经被调用或有效。</x:v>
      </x:c>
      <x:c r="M336" s="24" t="str">
        <x:v>由M3-BASE及M4各模块提供；日支、日柱近位可提高与亲密关系核心的相关性，但同一source_id不得重复计分。</x:v>
      </x:c>
      <x:c r="N336" s="24" t="str">
        <x:v>保护因素必须明确限制过用、补足缺位、恢复顺序、打开反馈、落实改变或完成修复回流；不能只凭五行相生补写现实效果。</x:v>
      </x:c>
      <x:c r="O336" s="24" t="str">
        <x:v>近位提高进入亲密关系核心的概率；远位只作背景、阶段或条件性修正。</x:v>
      </x:c>
      <x:c r="P336" s="24" t="str">
        <x:v>根气只修正该保护功能是否容易重复调用，不等于现实中已经形成稳定保护。</x:v>
      </x:c>
      <x:c r="Q336" s="24" t="str">
        <x:v>旺弱只修正调用强度与承载；强不自动有效，弱也不自动无效。</x:v>
      </x:c>
      <x:c r="R336" s="24" t="str">
        <x:v>喜忌只修正摩擦、平衡与承载，不可直接翻译为好坏、成熟度或解决方案。</x:v>
      </x:c>
      <x:c r="S336" s="24" t="str">
        <x:v>原十神功能有效；真合化成立时按化神功能替换，合化争议时停止定性。</x:v>
      </x:c>
      <x:c r="T336" s="24" t="str">
        <x:v>近位提高直接相关性；远位仅保留背景、阶段或低置信修正。</x:v>
      </x:c>
      <x:c r="U336" s="24" t="str">
        <x:v>97</x:v>
      </x:c>
      <x:c r="V336" s="24" t="str">
        <x:v>失效-10</x:v>
      </x:c>
      <x:c r="W336" s="24" t="str">
        <x:v>pseudo_buffer</x:v>
      </x:c>
      <x:c r="X336" s="24" t="str">
        <x:v>失效表现：只完成道歉、安抚、补偿、方案或短期和好中的一项。</x:v>
      </x:c>
      <x:c r="Y336" s="24" t="str">
        <x:v>若只是“只完成道歉、安抚、补偿、方案或短期和好中的一项。”，说明保护还没有真正成立。</x:v>
      </x:c>
      <x:c r="Z336" s="24" t="str">
        <x:v>不得仅凭本规则断定问题已经解决、关系必然稳定、用户一定成熟、某十神天然是“药”、喜用神自动等于解决办法，或淡化暴力、强迫与现实伤害；现实行为、反例、安全事实和专业支持优先。</x:v>
      </x:c>
      <x:c r="AA336" s="24" t="str">
        <x:v>高</x:v>
      </x:c>
      <x:c r="AB336" s="24" t="str">
        <x:v>待验证</x:v>
      </x:c>
      <x:c r="AC336" s="24" t="str"/>
      <x:c r="AD336" s="24" t="str">
        <x:v>provisional=true；保护因素的现实有效性必须由可观察行为、反馈和持续结果验证。</x:v>
      </x:c>
      <x:c r="AE336" s="24" t="str">
        <x:v>0.8</x:v>
      </x:c>
    </x:row>
    <x:row r="337" ht="52" customHeight="1">
      <x:c r="A337" s="24" t="str">
        <x:v>M4-BUFFER-336</x:v>
      </x:c>
      <x:c r="B337" s="24" t="str">
        <x:v>K08 修复断链｜用户输出</x:v>
      </x:c>
      <x:c r="C337" s="24" t="str">
        <x:v>L6 K01—K08保护路由</x:v>
      </x:c>
      <x:c r="D337" s="24" t="str">
        <x:v>BUFFER-K机制接口</x:v>
      </x:c>
      <x:c r="E337" s="24" t="str">
        <x:v>通用</x:v>
      </x:c>
      <x:c r="F337" s="24" t="str">
        <x:v>语言</x:v>
      </x:c>
      <x:c r="G337" s="24" t="str">
        <x:v>K08 修复断链</x:v>
      </x:c>
      <x:c r="H337" s="24" t="str">
        <x:v>生成K机制＋保护语言。</x:v>
      </x:c>
      <x:c r="I337" s="24" t="str">
        <x:v>K08成立且至少一项匹配保护达到BL2以上。</x:v>
      </x:c>
      <x:c r="J337" s="24" t="str">
        <x:v>资料不足或安全停止。</x:v>
      </x:c>
      <x:c r="K337" s="24" t="str">
        <x:v>由共享基础引擎提供；仅修正保护功能的承载、持续调用和压力状态下的稳定性，不直接等同成熟度、道德或现实行为。</x:v>
      </x:c>
      <x:c r="L337" s="24" t="str">
        <x:v>由M1／M2接口提供；夫妻星、心动原型和关系门槛只说明关系议题，不单独证明保护因素已经被调用或有效。</x:v>
      </x:c>
      <x:c r="M337" s="24" t="str">
        <x:v>由M3-BASE及M4各模块提供；日支、日柱近位可提高与亲密关系核心的相关性，但同一source_id不得重复计分。</x:v>
      </x:c>
      <x:c r="N337" s="24" t="str">
        <x:v>保护因素必须明确限制过用、补足缺位、恢复顺序、打开反馈、落实改变或完成修复回流；不能只凭五行相生补写现实效果。</x:v>
      </x:c>
      <x:c r="O337" s="24" t="str">
        <x:v>近位提高进入亲密关系核心的概率；远位只作背景、阶段或条件性修正。</x:v>
      </x:c>
      <x:c r="P337" s="24" t="str">
        <x:v>根气只修正该保护功能是否容易重复调用，不等于现实中已经形成稳定保护。</x:v>
      </x:c>
      <x:c r="Q337" s="24" t="str">
        <x:v>旺弱只修正调用强度与承载；强不自动有效，弱也不自动无效。</x:v>
      </x:c>
      <x:c r="R337" s="24" t="str">
        <x:v>喜忌只修正摩擦、平衡与承载，不可直接翻译为好坏、成熟度或解决方案。</x:v>
      </x:c>
      <x:c r="S337" s="24" t="str">
        <x:v>原十神功能有效；真合化成立时按化神功能替换，合化争议时停止定性。</x:v>
      </x:c>
      <x:c r="T337" s="24" t="str">
        <x:v>近位提高直接相关性；远位仅保留背景、阶段或低置信修正。</x:v>
      </x:c>
      <x:c r="U337" s="24" t="str">
        <x:v>84</x:v>
      </x:c>
      <x:c r="V337" s="24" t="str">
        <x:v>不加分；输出</x:v>
      </x:c>
      <x:c r="W337" s="24" t="str">
        <x:v>report_text</x:v>
      </x:c>
      <x:c r="X337" s="24" t="str">
        <x:v>问题停止或部分处理后，修复链缺少反馈、改变或回访。；对应保护是BF07完整修复回流，必要时辅以BF06持续兑现／BF03边界／BF04影响确认。</x:v>
      </x:c>
      <x:c r="Y337" s="24" t="str">
        <x:v>当这类情况出现时，你真正需要的不是更用力，而是让BF07完整修复回流进入，必要时再由BF06持续兑现／BF03边界／BF04影响确认补位。</x:v>
      </x:c>
      <x:c r="Z337" s="24" t="str">
        <x:v>不得仅凭本规则断定问题已经解决、关系必然稳定、用户一定成熟、某十神天然是“药”、喜用神自动等于解决办法，或淡化暴力、强迫与现实伤害；现实行为、反例、安全事实和专业支持优先。</x:v>
      </x:c>
      <x:c r="AA337" s="24" t="str">
        <x:v>中高</x:v>
      </x:c>
      <x:c r="AB337" s="24" t="str">
        <x:v>待验证</x:v>
      </x:c>
      <x:c r="AC337" s="24" t="str"/>
      <x:c r="AD337" s="24" t="str">
        <x:v>provisional=true；保护因素的现实有效性必须由可观察行为、反馈和持续结果验证。</x:v>
      </x:c>
      <x:c r="AE337" s="24" t="str">
        <x:v>0.8</x:v>
      </x:c>
    </x:row>
    <x:row r="338" ht="52" customHeight="1">
      <x:c r="A338" s="24" t="str">
        <x:v>M4-BUFFER-337</x:v>
      </x:c>
      <x:c r="B338" s="24" t="str">
        <x:v>LP01 证明加码循环｜最低保护组合</x:v>
      </x:c>
      <x:c r="C338" s="24" t="str">
        <x:v>L7 LP01—LP12循环退出</x:v>
      </x:c>
      <x:c r="D338" s="24" t="str">
        <x:v>BUFFER-LOOP接口</x:v>
      </x:c>
      <x:c r="E338" s="24" t="str">
        <x:v>通用</x:v>
      </x:c>
      <x:c r="F338" s="24" t="str">
        <x:v>路由</x:v>
      </x:c>
      <x:c r="G338" s="24" t="str">
        <x:v>LP01 证明加码循环</x:v>
      </x:c>
      <x:c r="H338" s="24" t="str">
        <x:v>BF03定义足够证据＋BF04内部复核＋BF06持续行为；路由循环的最小保护组合。</x:v>
      </x:c>
      <x:c r="I338" s="24" t="str">
        <x:v>LP01达到E3候选，且存在BF03定义足够证据＋BF04内部复核＋BF06持续行为中的至少一项独立资源。</x:v>
      </x:c>
      <x:c r="J338" s="24" t="str">
        <x:v>只有命盘标签，没有现实循环节点。</x:v>
      </x:c>
      <x:c r="K338" s="24" t="str">
        <x:v>由共享基础引擎提供；仅修正保护功能的承载、持续调用和压力状态下的稳定性，不直接等同成熟度、道德或现实行为。</x:v>
      </x:c>
      <x:c r="L338" s="24" t="str">
        <x:v>由M1／M2接口提供；夫妻星、心动原型和关系门槛只说明关系议题，不单独证明保护因素已经被调用或有效。</x:v>
      </x:c>
      <x:c r="M338" s="24" t="str">
        <x:v>由M3-BASE及M4各模块提供；日支、日柱近位可提高与亲密关系核心的相关性，但同一source_id不得重复计分。</x:v>
      </x:c>
      <x:c r="N338" s="24" t="str">
        <x:v>保护因素必须明确限制过用、补足缺位、恢复顺序、打开反馈、落实改变或完成修复回流；不能只凭五行相生补写现实效果。</x:v>
      </x:c>
      <x:c r="O338" s="24" t="str">
        <x:v>近位提高进入亲密关系核心的概率；远位只作背景、阶段或条件性修正。</x:v>
      </x:c>
      <x:c r="P338" s="24" t="str">
        <x:v>根气只修正该保护功能是否容易重复调用，不等于现实中已经形成稳定保护。</x:v>
      </x:c>
      <x:c r="Q338" s="24" t="str">
        <x:v>旺弱只修正调用强度与承载；强不自动有效，弱也不自动无效。</x:v>
      </x:c>
      <x:c r="R338" s="24" t="str">
        <x:v>喜忌只修正摩擦、平衡与承载，不可直接翻译为好坏、成熟度或解决方案。</x:v>
      </x:c>
      <x:c r="S338" s="24" t="str">
        <x:v>原十神功能有效；真合化成立时按化神功能替换，合化争议时停止定性。</x:v>
      </x:c>
      <x:c r="T338" s="24" t="str">
        <x:v>近位提高直接相关性；远位仅保留背景、阶段或低置信修正。</x:v>
      </x:c>
      <x:c r="U338" s="24" t="str">
        <x:v>94</x:v>
      </x:c>
      <x:c r="V338" s="24" t="str">
        <x:v>路由+6</x:v>
      </x:c>
      <x:c r="W338" s="24" t="str">
        <x:v>primary_buffer</x:v>
      </x:c>
      <x:c r="X338" s="24" t="str">
        <x:v>LP01最低保护组合：BF03定义足够证据＋BF04内部复核＋BF06持续行为。</x:v>
      </x:c>
      <x:c r="Y338" s="24" t="str">
        <x:v>要中断这类循环，优先检查：BF03定义足够证据＋BF04内部复核＋BF06持续行为。</x:v>
      </x:c>
      <x:c r="Z338" s="24" t="str">
        <x:v>不得仅凭本规则断定问题已经解决、关系必然稳定、用户一定成熟、某十神天然是“药”、喜用神自动等于解决办法，或淡化暴力、强迫与现实伤害；现实行为、反例、安全事实和专业支持优先。</x:v>
      </x:c>
      <x:c r="AA338" s="24" t="str">
        <x:v>中高</x:v>
      </x:c>
      <x:c r="AB338" s="24" t="str">
        <x:v>待验证</x:v>
      </x:c>
      <x:c r="AC338" s="24" t="str"/>
      <x:c r="AD338" s="24" t="str">
        <x:v>provisional=true；保护因素的现实有效性必须由可观察行为、反馈和持续结果验证。</x:v>
      </x:c>
      <x:c r="AE338" s="24" t="str">
        <x:v>0.8</x:v>
      </x:c>
    </x:row>
    <x:row r="339" ht="52" customHeight="1">
      <x:c r="A339" s="24" t="str">
        <x:v>M4-BUFFER-338</x:v>
      </x:c>
      <x:c r="B339" s="24" t="str">
        <x:v>LP01 证明加码循环｜有效中断标志</x:v>
      </x:c>
      <x:c r="C339" s="24" t="str">
        <x:v>L7 LP01—LP12循环退出</x:v>
      </x:c>
      <x:c r="D339" s="24" t="str">
        <x:v>BUFFER-LOOP接口</x:v>
      </x:c>
      <x:c r="E339" s="24" t="str">
        <x:v>通用</x:v>
      </x:c>
      <x:c r="F339" s="24" t="str">
        <x:v>效果</x:v>
      </x:c>
      <x:c r="G339" s="24" t="str">
        <x:v>LP01 证明加码循环</x:v>
      </x:c>
      <x:c r="H339" s="24" t="str">
        <x:v>BF03定义足够证据＋BF04内部复核＋BF06持续行为；判断循环是否被真实中断。</x:v>
      </x:c>
      <x:c r="I339" s="24" t="str">
        <x:v>双方先定义什么证据已经足够、观察多久，并用持续行为而非反复加码证明。</x:v>
      </x:c>
      <x:c r="J339" s="24" t="str">
        <x:v>仍不断提高证明门槛，或把短期缓解当作长期安全。</x:v>
      </x:c>
      <x:c r="K339" s="24" t="str">
        <x:v>由共享基础引擎提供；仅修正保护功能的承载、持续调用和压力状态下的稳定性，不直接等同成熟度、道德或现实行为。</x:v>
      </x:c>
      <x:c r="L339" s="24" t="str">
        <x:v>由M1／M2接口提供；夫妻星、心动原型和关系门槛只说明关系议题，不单独证明保护因素已经被调用或有效。</x:v>
      </x:c>
      <x:c r="M339" s="24" t="str">
        <x:v>由M3-BASE及M4各模块提供；日支、日柱近位可提高与亲密关系核心的相关性，但同一source_id不得重复计分。</x:v>
      </x:c>
      <x:c r="N339" s="24" t="str">
        <x:v>保护因素必须明确限制过用、补足缺位、恢复顺序、打开反馈、落实改变或完成修复回流；不能只凭五行相生补写现实效果。</x:v>
      </x:c>
      <x:c r="O339" s="24" t="str">
        <x:v>近位提高进入亲密关系核心的概率；远位只作背景、阶段或条件性修正。</x:v>
      </x:c>
      <x:c r="P339" s="24" t="str">
        <x:v>根气只修正该保护功能是否容易重复调用，不等于现实中已经形成稳定保护。</x:v>
      </x:c>
      <x:c r="Q339" s="24" t="str">
        <x:v>旺弱只修正调用强度与承载；强不自动有效，弱也不自动无效。</x:v>
      </x:c>
      <x:c r="R339" s="24" t="str">
        <x:v>喜忌只修正摩擦、平衡与承载，不可直接翻译为好坏、成熟度或解决方案。</x:v>
      </x:c>
      <x:c r="S339" s="24" t="str">
        <x:v>原十神功能有效；真合化成立时按化神功能替换，合化争议时停止定性。</x:v>
      </x:c>
      <x:c r="T339" s="24" t="str">
        <x:v>近位提高直接相关性；远位仅保留背景、阶段或低置信修正。</x:v>
      </x:c>
      <x:c r="U339" s="24" t="str">
        <x:v>93</x:v>
      </x:c>
      <x:c r="V339" s="24" t="str">
        <x:v>中断+14</x:v>
      </x:c>
      <x:c r="W339" s="24" t="str">
        <x:v>buffer_level</x:v>
      </x:c>
      <x:c r="X339" s="24" t="str">
        <x:v>保护成立时，证据标准更清楚，证明不会无限增加。</x:v>
      </x:c>
      <x:c r="Y339" s="24" t="str">
        <x:v>真正有效时会看到：保护成立时，证据标准更清楚，证明不会无限增加。</x:v>
      </x:c>
      <x:c r="Z339" s="24" t="str">
        <x:v>不得仅凭本规则断定问题已经解决、关系必然稳定、用户一定成熟、某十神天然是“药”、喜用神自动等于解决办法，或淡化暴力、强迫与现实伤害；现实行为、反例、安全事实和专业支持优先。</x:v>
      </x:c>
      <x:c r="AA339" s="24" t="str">
        <x:v>中高</x:v>
      </x:c>
      <x:c r="AB339" s="24" t="str">
        <x:v>待验证</x:v>
      </x:c>
      <x:c r="AC339" s="24" t="str"/>
      <x:c r="AD339" s="24" t="str">
        <x:v>provisional=true；保护因素的现实有效性必须由可观察行为、反馈和持续结果验证。</x:v>
      </x:c>
      <x:c r="AE339" s="24" t="str">
        <x:v>0.8</x:v>
      </x:c>
    </x:row>
    <x:row r="340" ht="52" customHeight="1">
      <x:c r="A340" s="24" t="str">
        <x:v>M4-BUFFER-339</x:v>
      </x:c>
      <x:c r="B340" s="24" t="str">
        <x:v>LP01 证明加码循环｜伪中断／复发标志</x:v>
      </x:c>
      <x:c r="C340" s="24" t="str">
        <x:v>L7 LP01—LP12循环退出</x:v>
      </x:c>
      <x:c r="D340" s="24" t="str">
        <x:v>BUFFER-LOOP接口</x:v>
      </x:c>
      <x:c r="E340" s="24" t="str">
        <x:v>通用</x:v>
      </x:c>
      <x:c r="F340" s="24" t="str">
        <x:v>降级</x:v>
      </x:c>
      <x:c r="G340" s="24" t="str">
        <x:v>LP01 证明加码循环</x:v>
      </x:c>
      <x:c r="H340" s="24" t="str">
        <x:v>BF03定义足够证据＋BF04内部复核＋BF06持续行为；识别短期缓解与真实中断的区别。</x:v>
      </x:c>
      <x:c r="I340" s="24" t="str">
        <x:v>仍不断提高证明门槛，或把短期缓解当作长期安全。</x:v>
      </x:c>
      <x:c r="J340" s="24" t="str">
        <x:v>双方先定义什么证据已经足够、观察多久，并用持续行为而非反复加码证明。</x:v>
      </x:c>
      <x:c r="K340" s="24" t="str">
        <x:v>由共享基础引擎提供；仅修正保护功能的承载、持续调用和压力状态下的稳定性，不直接等同成熟度、道德或现实行为。</x:v>
      </x:c>
      <x:c r="L340" s="24" t="str">
        <x:v>由M1／M2接口提供；夫妻星、心动原型和关系门槛只说明关系议题，不单独证明保护因素已经被调用或有效。</x:v>
      </x:c>
      <x:c r="M340" s="24" t="str">
        <x:v>由M3-BASE及M4各模块提供；日支、日柱近位可提高与亲密关系核心的相关性，但同一source_id不得重复计分。</x:v>
      </x:c>
      <x:c r="N340" s="24" t="str">
        <x:v>保护因素必须明确限制过用、补足缺位、恢复顺序、打开反馈、落实改变或完成修复回流；不能只凭五行相生补写现实效果。</x:v>
      </x:c>
      <x:c r="O340" s="24" t="str">
        <x:v>近位提高进入亲密关系核心的概率；远位只作背景、阶段或条件性修正。</x:v>
      </x:c>
      <x:c r="P340" s="24" t="str">
        <x:v>根气只修正该保护功能是否容易重复调用，不等于现实中已经形成稳定保护。</x:v>
      </x:c>
      <x:c r="Q340" s="24" t="str">
        <x:v>旺弱只修正调用强度与承载；强不自动有效，弱也不自动无效。</x:v>
      </x:c>
      <x:c r="R340" s="24" t="str">
        <x:v>喜忌只修正摩擦、平衡与承载，不可直接翻译为好坏、成熟度或解决方案。</x:v>
      </x:c>
      <x:c r="S340" s="24" t="str">
        <x:v>原十神功能有效；真合化成立时按化神功能替换，合化争议时停止定性。</x:v>
      </x:c>
      <x:c r="T340" s="24" t="str">
        <x:v>近位提高直接相关性；远位仅保留背景、阶段或低置信修正。</x:v>
      </x:c>
      <x:c r="U340" s="24" t="str">
        <x:v>97</x:v>
      </x:c>
      <x:c r="V340" s="24" t="str">
        <x:v>复发风险+0／保护-10</x:v>
      </x:c>
      <x:c r="W340" s="24" t="str">
        <x:v>pseudo_buffer</x:v>
      </x:c>
      <x:c r="X340" s="24" t="str">
        <x:v>若出现“仍不断提高证明门槛，或把短期缓解当作长期安全。”，循环可能只是暂时降温，尚未被中断。</x:v>
      </x:c>
      <x:c r="Y340" s="24" t="str">
        <x:v>如果只是仍不断提高证明门槛，或把短期缓解当作长期安全。，还不能判断循环已经改变。</x:v>
      </x:c>
      <x:c r="Z340" s="24" t="str">
        <x:v>不得仅凭本规则断定问题已经解决、关系必然稳定、用户一定成熟、某十神天然是“药”、喜用神自动等于解决办法，或淡化暴力、强迫与现实伤害；现实行为、反例、安全事实和专业支持优先。</x:v>
      </x:c>
      <x:c r="AA340" s="24" t="str">
        <x:v>高</x:v>
      </x:c>
      <x:c r="AB340" s="24" t="str">
        <x:v>待验证</x:v>
      </x:c>
      <x:c r="AC340" s="24" t="str"/>
      <x:c r="AD340" s="24" t="str">
        <x:v>provisional=true；保护因素的现实有效性必须由可观察行为、反馈和持续结果验证。</x:v>
      </x:c>
      <x:c r="AE340" s="24" t="str">
        <x:v>0.8</x:v>
      </x:c>
    </x:row>
    <x:row r="341" ht="52" customHeight="1">
      <x:c r="A341" s="24" t="str">
        <x:v>M4-BUFFER-340</x:v>
      </x:c>
      <x:c r="B341" s="24" t="str">
        <x:v>LP01 证明加码循环｜用户输出</x:v>
      </x:c>
      <x:c r="C341" s="24" t="str">
        <x:v>L7 LP01—LP12循环退出</x:v>
      </x:c>
      <x:c r="D341" s="24" t="str">
        <x:v>BUFFER-LOOP接口</x:v>
      </x:c>
      <x:c r="E341" s="24" t="str">
        <x:v>通用</x:v>
      </x:c>
      <x:c r="F341" s="24" t="str">
        <x:v>语言</x:v>
      </x:c>
      <x:c r="G341" s="24" t="str">
        <x:v>LP01 证明加码循环</x:v>
      </x:c>
      <x:c r="H341" s="24" t="str">
        <x:v>BF03定义足够证据＋BF04内部复核＋BF06持续行为；生成循环＋退出语言。</x:v>
      </x:c>
      <x:c r="I341" s="24" t="str">
        <x:v>LP01循环节点已有现实支持，且保护组合达到BL3以上。</x:v>
      </x:c>
      <x:c r="J341" s="24" t="str">
        <x:v>只有单次事件或资料不足。</x:v>
      </x:c>
      <x:c r="K341" s="24" t="str">
        <x:v>由共享基础引擎提供；仅修正保护功能的承载、持续调用和压力状态下的稳定性，不直接等同成熟度、道德或现实行为。</x:v>
      </x:c>
      <x:c r="L341" s="24" t="str">
        <x:v>由M1／M2接口提供；夫妻星、心动原型和关系门槛只说明关系议题，不单独证明保护因素已经被调用或有效。</x:v>
      </x:c>
      <x:c r="M341" s="24" t="str">
        <x:v>由M3-BASE及M4各模块提供；日支、日柱近位可提高与亲密关系核心的相关性，但同一source_id不得重复计分。</x:v>
      </x:c>
      <x:c r="N341" s="24" t="str">
        <x:v>保护因素必须明确限制过用、补足缺位、恢复顺序、打开反馈、落实改变或完成修复回流；不能只凭五行相生补写现实效果。</x:v>
      </x:c>
      <x:c r="O341" s="24" t="str">
        <x:v>近位提高进入亲密关系核心的概率；远位只作背景、阶段或条件性修正。</x:v>
      </x:c>
      <x:c r="P341" s="24" t="str">
        <x:v>根气只修正该保护功能是否容易重复调用，不等于现实中已经形成稳定保护。</x:v>
      </x:c>
      <x:c r="Q341" s="24" t="str">
        <x:v>旺弱只修正调用强度与承载；强不自动有效，弱也不自动无效。</x:v>
      </x:c>
      <x:c r="R341" s="24" t="str">
        <x:v>喜忌只修正摩擦、平衡与承载，不可直接翻译为好坏、成熟度或解决方案。</x:v>
      </x:c>
      <x:c r="S341" s="24" t="str">
        <x:v>原十神功能有效；真合化成立时按化神功能替换，合化争议时停止定性。</x:v>
      </x:c>
      <x:c r="T341" s="24" t="str">
        <x:v>近位提高直接相关性；远位仅保留背景、阶段或低置信修正。</x:v>
      </x:c>
      <x:c r="U341" s="24" t="str">
        <x:v>84</x:v>
      </x:c>
      <x:c r="V341" s="24" t="str">
        <x:v>不加分；输出</x:v>
      </x:c>
      <x:c r="W341" s="24" t="str">
        <x:v>report_text</x:v>
      </x:c>
      <x:c r="X341" s="24" t="str">
        <x:v>证明加码循环的退出重点是：双方先定义什么证据已经足够、观察多久，并用持续行为而非反复加码证明。</x:v>
      </x:c>
      <x:c r="Y341" s="24" t="str">
        <x:v>这类循环真正需要的是：双方先定义什么证据已经足够、观察多久，并用持续行为而非反复加码证明。</x:v>
      </x:c>
      <x:c r="Z341" s="24" t="str">
        <x:v>不得仅凭本规则断定问题已经解决、关系必然稳定、用户一定成熟、某十神天然是“药”、喜用神自动等于解决办法，或淡化暴力、强迫与现实伤害；现实行为、反例、安全事实和专业支持优先。</x:v>
      </x:c>
      <x:c r="AA341" s="24" t="str">
        <x:v>中高</x:v>
      </x:c>
      <x:c r="AB341" s="24" t="str">
        <x:v>待验证</x:v>
      </x:c>
      <x:c r="AC341" s="24" t="str"/>
      <x:c r="AD341" s="24" t="str">
        <x:v>provisional=true；保护因素的现实有效性必须由可观察行为、反馈和持续结果验证。</x:v>
      </x:c>
      <x:c r="AE341" s="24" t="str">
        <x:v>0.8</x:v>
      </x:c>
    </x:row>
    <x:row r="342" ht="52" customHeight="1">
      <x:c r="A342" s="24" t="str">
        <x:v>M4-BUFFER-341</x:v>
      </x:c>
      <x:c r="B342" s="24" t="str">
        <x:v>LP02 解释升级循环｜最低保护组合</x:v>
      </x:c>
      <x:c r="C342" s="24" t="str">
        <x:v>L7 LP01—LP12循环退出</x:v>
      </x:c>
      <x:c r="D342" s="24" t="str">
        <x:v>BUFFER-LOOP接口</x:v>
      </x:c>
      <x:c r="E342" s="24" t="str">
        <x:v>通用</x:v>
      </x:c>
      <x:c r="F342" s="24" t="str">
        <x:v>路由</x:v>
      </x:c>
      <x:c r="G342" s="24" t="str">
        <x:v>LP02 解释升级循环</x:v>
      </x:c>
      <x:c r="H342" s="24" t="str">
        <x:v>BF04倾听复核＋BF05反馈通道；路由循环的最小保护组合。</x:v>
      </x:c>
      <x:c r="I342" s="24" t="str">
        <x:v>LP02达到E3候选，且存在BF04倾听复核＋BF05反馈通道中的至少一项独立资源。</x:v>
      </x:c>
      <x:c r="J342" s="24" t="str">
        <x:v>只有命盘标签，没有现实循环节点。</x:v>
      </x:c>
      <x:c r="K342" s="24" t="str">
        <x:v>由共享基础引擎提供；仅修正保护功能的承载、持续调用和压力状态下的稳定性，不直接等同成熟度、道德或现实行为。</x:v>
      </x:c>
      <x:c r="L342" s="24" t="str">
        <x:v>由M1／M2接口提供；夫妻星、心动原型和关系门槛只说明关系议题，不单独证明保护因素已经被调用或有效。</x:v>
      </x:c>
      <x:c r="M342" s="24" t="str">
        <x:v>由M3-BASE及M4各模块提供；日支、日柱近位可提高与亲密关系核心的相关性，但同一source_id不得重复计分。</x:v>
      </x:c>
      <x:c r="N342" s="24" t="str">
        <x:v>保护因素必须明确限制过用、补足缺位、恢复顺序、打开反馈、落实改变或完成修复回流；不能只凭五行相生补写现实效果。</x:v>
      </x:c>
      <x:c r="O342" s="24" t="str">
        <x:v>近位提高进入亲密关系核心的概率；远位只作背景、阶段或条件性修正。</x:v>
      </x:c>
      <x:c r="P342" s="24" t="str">
        <x:v>根气只修正该保护功能是否容易重复调用，不等于现实中已经形成稳定保护。</x:v>
      </x:c>
      <x:c r="Q342" s="24" t="str">
        <x:v>旺弱只修正调用强度与承载；强不自动有效，弱也不自动无效。</x:v>
      </x:c>
      <x:c r="R342" s="24" t="str">
        <x:v>喜忌只修正摩擦、平衡与承载，不可直接翻译为好坏、成熟度或解决方案。</x:v>
      </x:c>
      <x:c r="S342" s="24" t="str">
        <x:v>原十神功能有效；真合化成立时按化神功能替换，合化争议时停止定性。</x:v>
      </x:c>
      <x:c r="T342" s="24" t="str">
        <x:v>近位提高直接相关性；远位仅保留背景、阶段或低置信修正。</x:v>
      </x:c>
      <x:c r="U342" s="24" t="str">
        <x:v>94</x:v>
      </x:c>
      <x:c r="V342" s="24" t="str">
        <x:v>路由+6</x:v>
      </x:c>
      <x:c r="W342" s="24" t="str">
        <x:v>primary_buffer</x:v>
      </x:c>
      <x:c r="X342" s="24" t="str">
        <x:v>LP02最低保护组合：BF04倾听复核＋BF05反馈通道。</x:v>
      </x:c>
      <x:c r="Y342" s="24" t="str">
        <x:v>要中断这类循环，优先检查：BF04倾听复核＋BF05反馈通道。</x:v>
      </x:c>
      <x:c r="Z342" s="24" t="str">
        <x:v>不得仅凭本规则断定问题已经解决、关系必然稳定、用户一定成熟、某十神天然是“药”、喜用神自动等于解决办法，或淡化暴力、强迫与现实伤害；现实行为、反例、安全事实和专业支持优先。</x:v>
      </x:c>
      <x:c r="AA342" s="24" t="str">
        <x:v>中高</x:v>
      </x:c>
      <x:c r="AB342" s="24" t="str">
        <x:v>待验证</x:v>
      </x:c>
      <x:c r="AC342" s="24" t="str"/>
      <x:c r="AD342" s="24" t="str">
        <x:v>provisional=true；保护因素的现实有效性必须由可观察行为、反馈和持续结果验证。</x:v>
      </x:c>
      <x:c r="AE342" s="24" t="str">
        <x:v>0.8</x:v>
      </x:c>
    </x:row>
    <x:row r="343" ht="52" customHeight="1">
      <x:c r="A343" s="24" t="str">
        <x:v>M4-BUFFER-342</x:v>
      </x:c>
      <x:c r="B343" s="24" t="str">
        <x:v>LP02 解释升级循环｜有效中断标志</x:v>
      </x:c>
      <x:c r="C343" s="24" t="str">
        <x:v>L7 LP01—LP12循环退出</x:v>
      </x:c>
      <x:c r="D343" s="24" t="str">
        <x:v>BUFFER-LOOP接口</x:v>
      </x:c>
      <x:c r="E343" s="24" t="str">
        <x:v>通用</x:v>
      </x:c>
      <x:c r="F343" s="24" t="str">
        <x:v>效果</x:v>
      </x:c>
      <x:c r="G343" s="24" t="str">
        <x:v>LP02 解释升级循环</x:v>
      </x:c>
      <x:c r="H343" s="24" t="str">
        <x:v>BF04倾听复核＋BF05反馈通道；判断循环是否被真实中断。</x:v>
      </x:c>
      <x:c r="I343" s="24" t="str">
        <x:v>继续解释前先让双方复述理解，并根据反馈决定是否补充。</x:v>
      </x:c>
      <x:c r="J343" s="24" t="str">
        <x:v>表达继续增加，但对方实际理解和回应没有进入。</x:v>
      </x:c>
      <x:c r="K343" s="24" t="str">
        <x:v>由共享基础引擎提供；仅修正保护功能的承载、持续调用和压力状态下的稳定性，不直接等同成熟度、道德或现实行为。</x:v>
      </x:c>
      <x:c r="L343" s="24" t="str">
        <x:v>由M1／M2接口提供；夫妻星、心动原型和关系门槛只说明关系议题，不单独证明保护因素已经被调用或有效。</x:v>
      </x:c>
      <x:c r="M343" s="24" t="str">
        <x:v>由M3-BASE及M4各模块提供；日支、日柱近位可提高与亲密关系核心的相关性，但同一source_id不得重复计分。</x:v>
      </x:c>
      <x:c r="N343" s="24" t="str">
        <x:v>保护因素必须明确限制过用、补足缺位、恢复顺序、打开反馈、落实改变或完成修复回流；不能只凭五行相生补写现实效果。</x:v>
      </x:c>
      <x:c r="O343" s="24" t="str">
        <x:v>近位提高进入亲密关系核心的概率；远位只作背景、阶段或条件性修正。</x:v>
      </x:c>
      <x:c r="P343" s="24" t="str">
        <x:v>根气只修正该保护功能是否容易重复调用，不等于现实中已经形成稳定保护。</x:v>
      </x:c>
      <x:c r="Q343" s="24" t="str">
        <x:v>旺弱只修正调用强度与承载；强不自动有效，弱也不自动无效。</x:v>
      </x:c>
      <x:c r="R343" s="24" t="str">
        <x:v>喜忌只修正摩擦、平衡与承载，不可直接翻译为好坏、成熟度或解决方案。</x:v>
      </x:c>
      <x:c r="S343" s="24" t="str">
        <x:v>原十神功能有效；真合化成立时按化神功能替换，合化争议时停止定性。</x:v>
      </x:c>
      <x:c r="T343" s="24" t="str">
        <x:v>近位提高直接相关性；远位仅保留背景、阶段或低置信修正。</x:v>
      </x:c>
      <x:c r="U343" s="24" t="str">
        <x:v>93</x:v>
      </x:c>
      <x:c r="V343" s="24" t="str">
        <x:v>中断+14</x:v>
      </x:c>
      <x:c r="W343" s="24" t="str">
        <x:v>buffer_level</x:v>
      </x:c>
      <x:c r="X343" s="24" t="str">
        <x:v>保护成立时，解释从单向输出转成双向确认。</x:v>
      </x:c>
      <x:c r="Y343" s="24" t="str">
        <x:v>真正有效时会看到：保护成立时，解释从单向输出转成双向确认。</x:v>
      </x:c>
      <x:c r="Z343" s="24" t="str">
        <x:v>不得仅凭本规则断定问题已经解决、关系必然稳定、用户一定成熟、某十神天然是“药”、喜用神自动等于解决办法，或淡化暴力、强迫与现实伤害；现实行为、反例、安全事实和专业支持优先。</x:v>
      </x:c>
      <x:c r="AA343" s="24" t="str">
        <x:v>中高</x:v>
      </x:c>
      <x:c r="AB343" s="24" t="str">
        <x:v>待验证</x:v>
      </x:c>
      <x:c r="AC343" s="24" t="str"/>
      <x:c r="AD343" s="24" t="str">
        <x:v>provisional=true；保护因素的现实有效性必须由可观察行为、反馈和持续结果验证。</x:v>
      </x:c>
      <x:c r="AE343" s="24" t="str">
        <x:v>0.8</x:v>
      </x:c>
    </x:row>
    <x:row r="344" ht="52" customHeight="1">
      <x:c r="A344" s="24" t="str">
        <x:v>M4-BUFFER-343</x:v>
      </x:c>
      <x:c r="B344" s="24" t="str">
        <x:v>LP02 解释升级循环｜伪中断／复发标志</x:v>
      </x:c>
      <x:c r="C344" s="24" t="str">
        <x:v>L7 LP01—LP12循环退出</x:v>
      </x:c>
      <x:c r="D344" s="24" t="str">
        <x:v>BUFFER-LOOP接口</x:v>
      </x:c>
      <x:c r="E344" s="24" t="str">
        <x:v>通用</x:v>
      </x:c>
      <x:c r="F344" s="24" t="str">
        <x:v>降级</x:v>
      </x:c>
      <x:c r="G344" s="24" t="str">
        <x:v>LP02 解释升级循环</x:v>
      </x:c>
      <x:c r="H344" s="24" t="str">
        <x:v>BF04倾听复核＋BF05反馈通道；识别短期缓解与真实中断的区别。</x:v>
      </x:c>
      <x:c r="I344" s="24" t="str">
        <x:v>表达继续增加，但对方实际理解和回应没有进入。</x:v>
      </x:c>
      <x:c r="J344" s="24" t="str">
        <x:v>继续解释前先让双方复述理解，并根据反馈决定是否补充。</x:v>
      </x:c>
      <x:c r="K344" s="24" t="str">
        <x:v>由共享基础引擎提供；仅修正保护功能的承载、持续调用和压力状态下的稳定性，不直接等同成熟度、道德或现实行为。</x:v>
      </x:c>
      <x:c r="L344" s="24" t="str">
        <x:v>由M1／M2接口提供；夫妻星、心动原型和关系门槛只说明关系议题，不单独证明保护因素已经被调用或有效。</x:v>
      </x:c>
      <x:c r="M344" s="24" t="str">
        <x:v>由M3-BASE及M4各模块提供；日支、日柱近位可提高与亲密关系核心的相关性，但同一source_id不得重复计分。</x:v>
      </x:c>
      <x:c r="N344" s="24" t="str">
        <x:v>保护因素必须明确限制过用、补足缺位、恢复顺序、打开反馈、落实改变或完成修复回流；不能只凭五行相生补写现实效果。</x:v>
      </x:c>
      <x:c r="O344" s="24" t="str">
        <x:v>近位提高进入亲密关系核心的概率；远位只作背景、阶段或条件性修正。</x:v>
      </x:c>
      <x:c r="P344" s="24" t="str">
        <x:v>根气只修正该保护功能是否容易重复调用，不等于现实中已经形成稳定保护。</x:v>
      </x:c>
      <x:c r="Q344" s="24" t="str">
        <x:v>旺弱只修正调用强度与承载；强不自动有效，弱也不自动无效。</x:v>
      </x:c>
      <x:c r="R344" s="24" t="str">
        <x:v>喜忌只修正摩擦、平衡与承载，不可直接翻译为好坏、成熟度或解决方案。</x:v>
      </x:c>
      <x:c r="S344" s="24" t="str">
        <x:v>原十神功能有效；真合化成立时按化神功能替换，合化争议时停止定性。</x:v>
      </x:c>
      <x:c r="T344" s="24" t="str">
        <x:v>近位提高直接相关性；远位仅保留背景、阶段或低置信修正。</x:v>
      </x:c>
      <x:c r="U344" s="24" t="str">
        <x:v>97</x:v>
      </x:c>
      <x:c r="V344" s="24" t="str">
        <x:v>复发风险+0／保护-10</x:v>
      </x:c>
      <x:c r="W344" s="24" t="str">
        <x:v>pseudo_buffer</x:v>
      </x:c>
      <x:c r="X344" s="24" t="str">
        <x:v>若出现“表达继续增加，但对方实际理解和回应没有进入。”，循环可能只是暂时降温，尚未被中断。</x:v>
      </x:c>
      <x:c r="Y344" s="24" t="str">
        <x:v>如果只是表达继续增加，但对方实际理解和回应没有进入。，还不能判断循环已经改变。</x:v>
      </x:c>
      <x:c r="Z344" s="24" t="str">
        <x:v>不得仅凭本规则断定问题已经解决、关系必然稳定、用户一定成熟、某十神天然是“药”、喜用神自动等于解决办法，或淡化暴力、强迫与现实伤害；现实行为、反例、安全事实和专业支持优先。</x:v>
      </x:c>
      <x:c r="AA344" s="24" t="str">
        <x:v>高</x:v>
      </x:c>
      <x:c r="AB344" s="24" t="str">
        <x:v>待验证</x:v>
      </x:c>
      <x:c r="AC344" s="24" t="str"/>
      <x:c r="AD344" s="24" t="str">
        <x:v>provisional=true；保护因素的现实有效性必须由可观察行为、反馈和持续结果验证。</x:v>
      </x:c>
      <x:c r="AE344" s="24" t="str">
        <x:v>0.8</x:v>
      </x:c>
    </x:row>
    <x:row r="345" ht="52" customHeight="1">
      <x:c r="A345" s="24" t="str">
        <x:v>M4-BUFFER-344</x:v>
      </x:c>
      <x:c r="B345" s="24" t="str">
        <x:v>LP02 解释升级循环｜用户输出</x:v>
      </x:c>
      <x:c r="C345" s="24" t="str">
        <x:v>L7 LP01—LP12循环退出</x:v>
      </x:c>
      <x:c r="D345" s="24" t="str">
        <x:v>BUFFER-LOOP接口</x:v>
      </x:c>
      <x:c r="E345" s="24" t="str">
        <x:v>通用</x:v>
      </x:c>
      <x:c r="F345" s="24" t="str">
        <x:v>语言</x:v>
      </x:c>
      <x:c r="G345" s="24" t="str">
        <x:v>LP02 解释升级循环</x:v>
      </x:c>
      <x:c r="H345" s="24" t="str">
        <x:v>BF04倾听复核＋BF05反馈通道；生成循环＋退出语言。</x:v>
      </x:c>
      <x:c r="I345" s="24" t="str">
        <x:v>LP02循环节点已有现实支持，且保护组合达到BL3以上。</x:v>
      </x:c>
      <x:c r="J345" s="24" t="str">
        <x:v>只有单次事件或资料不足。</x:v>
      </x:c>
      <x:c r="K345" s="24" t="str">
        <x:v>由共享基础引擎提供；仅修正保护功能的承载、持续调用和压力状态下的稳定性，不直接等同成熟度、道德或现实行为。</x:v>
      </x:c>
      <x:c r="L345" s="24" t="str">
        <x:v>由M1／M2接口提供；夫妻星、心动原型和关系门槛只说明关系议题，不单独证明保护因素已经被调用或有效。</x:v>
      </x:c>
      <x:c r="M345" s="24" t="str">
        <x:v>由M3-BASE及M4各模块提供；日支、日柱近位可提高与亲密关系核心的相关性，但同一source_id不得重复计分。</x:v>
      </x:c>
      <x:c r="N345" s="24" t="str">
        <x:v>保护因素必须明确限制过用、补足缺位、恢复顺序、打开反馈、落实改变或完成修复回流；不能只凭五行相生补写现实效果。</x:v>
      </x:c>
      <x:c r="O345" s="24" t="str">
        <x:v>近位提高进入亲密关系核心的概率；远位只作背景、阶段或条件性修正。</x:v>
      </x:c>
      <x:c r="P345" s="24" t="str">
        <x:v>根气只修正该保护功能是否容易重复调用，不等于现实中已经形成稳定保护。</x:v>
      </x:c>
      <x:c r="Q345" s="24" t="str">
        <x:v>旺弱只修正调用强度与承载；强不自动有效，弱也不自动无效。</x:v>
      </x:c>
      <x:c r="R345" s="24" t="str">
        <x:v>喜忌只修正摩擦、平衡与承载，不可直接翻译为好坏、成熟度或解决方案。</x:v>
      </x:c>
      <x:c r="S345" s="24" t="str">
        <x:v>原十神功能有效；真合化成立时按化神功能替换，合化争议时停止定性。</x:v>
      </x:c>
      <x:c r="T345" s="24" t="str">
        <x:v>近位提高直接相关性；远位仅保留背景、阶段或低置信修正。</x:v>
      </x:c>
      <x:c r="U345" s="24" t="str">
        <x:v>84</x:v>
      </x:c>
      <x:c r="V345" s="24" t="str">
        <x:v>不加分；输出</x:v>
      </x:c>
      <x:c r="W345" s="24" t="str">
        <x:v>report_text</x:v>
      </x:c>
      <x:c r="X345" s="24" t="str">
        <x:v>解释升级循环的退出重点是：继续解释前先让双方复述理解，并根据反馈决定是否补充。</x:v>
      </x:c>
      <x:c r="Y345" s="24" t="str">
        <x:v>这类循环真正需要的是：继续解释前先让双方复述理解，并根据反馈决定是否补充。</x:v>
      </x:c>
      <x:c r="Z345" s="24" t="str">
        <x:v>不得仅凭本规则断定问题已经解决、关系必然稳定、用户一定成熟、某十神天然是“药”、喜用神自动等于解决办法，或淡化暴力、强迫与现实伤害；现实行为、反例、安全事实和专业支持优先。</x:v>
      </x:c>
      <x:c r="AA345" s="24" t="str">
        <x:v>中高</x:v>
      </x:c>
      <x:c r="AB345" s="24" t="str">
        <x:v>待验证</x:v>
      </x:c>
      <x:c r="AC345" s="24" t="str"/>
      <x:c r="AD345" s="24" t="str">
        <x:v>provisional=true；保护因素的现实有效性必须由可观察行为、反馈和持续结果验证。</x:v>
      </x:c>
      <x:c r="AE345" s="24" t="str">
        <x:v>0.8</x:v>
      </x:c>
    </x:row>
    <x:row r="346" ht="52" customHeight="1">
      <x:c r="A346" s="24" t="str">
        <x:v>M4-BUFFER-345</x:v>
      </x:c>
      <x:c r="B346" s="24" t="str">
        <x:v>LP03 和谐延后循环｜最低保护组合</x:v>
      </x:c>
      <x:c r="C346" s="24" t="str">
        <x:v>L7 LP01—LP12循环退出</x:v>
      </x:c>
      <x:c r="D346" s="24" t="str">
        <x:v>BUFFER-LOOP接口</x:v>
      </x:c>
      <x:c r="E346" s="24" t="str">
        <x:v>通用</x:v>
      </x:c>
      <x:c r="F346" s="24" t="str">
        <x:v>路由</x:v>
      </x:c>
      <x:c r="G346" s="24" t="str">
        <x:v>LP03 和谐延后循环</x:v>
      </x:c>
      <x:c r="H346" s="24" t="str">
        <x:v>BF05关键议题表达＋BF06回访落实＋BF08状态分工；路由循环的最小保护组合。</x:v>
      </x:c>
      <x:c r="I346" s="24" t="str">
        <x:v>LP03达到E3候选，且存在BF05关键议题表达＋BF06回访落实＋BF08状态分工中的至少一项独立资源。</x:v>
      </x:c>
      <x:c r="J346" s="24" t="str">
        <x:v>只有命盘标签，没有现实循环节点。</x:v>
      </x:c>
      <x:c r="K346" s="24" t="str">
        <x:v>由共享基础引擎提供；仅修正保护功能的承载、持续调用和压力状态下的稳定性，不直接等同成熟度、道德或现实行为。</x:v>
      </x:c>
      <x:c r="L346" s="24" t="str">
        <x:v>由M1／M2接口提供；夫妻星、心动原型和关系门槛只说明关系议题，不单独证明保护因素已经被调用或有效。</x:v>
      </x:c>
      <x:c r="M346" s="24" t="str">
        <x:v>由M3-BASE及M4各模块提供；日支、日柱近位可提高与亲密关系核心的相关性，但同一source_id不得重复计分。</x:v>
      </x:c>
      <x:c r="N346" s="24" t="str">
        <x:v>保护因素必须明确限制过用、补足缺位、恢复顺序、打开反馈、落实改变或完成修复回流；不能只凭五行相生补写现实效果。</x:v>
      </x:c>
      <x:c r="O346" s="24" t="str">
        <x:v>近位提高进入亲密关系核心的概率；远位只作背景、阶段或条件性修正。</x:v>
      </x:c>
      <x:c r="P346" s="24" t="str">
        <x:v>根气只修正该保护功能是否容易重复调用，不等于现实中已经形成稳定保护。</x:v>
      </x:c>
      <x:c r="Q346" s="24" t="str">
        <x:v>旺弱只修正调用强度与承载；强不自动有效，弱也不自动无效。</x:v>
      </x:c>
      <x:c r="R346" s="24" t="str">
        <x:v>喜忌只修正摩擦、平衡与承载，不可直接翻译为好坏、成熟度或解决方案。</x:v>
      </x:c>
      <x:c r="S346" s="24" t="str">
        <x:v>原十神功能有效；真合化成立时按化神功能替换，合化争议时停止定性。</x:v>
      </x:c>
      <x:c r="T346" s="24" t="str">
        <x:v>近位提高直接相关性；远位仅保留背景、阶段或低置信修正。</x:v>
      </x:c>
      <x:c r="U346" s="24" t="str">
        <x:v>94</x:v>
      </x:c>
      <x:c r="V346" s="24" t="str">
        <x:v>路由+6</x:v>
      </x:c>
      <x:c r="W346" s="24" t="str">
        <x:v>primary_buffer</x:v>
      </x:c>
      <x:c r="X346" s="24" t="str">
        <x:v>LP03最低保护组合：BF05关键议题表达＋BF06回访落实＋BF08状态分工。</x:v>
      </x:c>
      <x:c r="Y346" s="24" t="str">
        <x:v>要中断这类循环，优先检查：BF05关键议题表达＋BF06回访落实＋BF08状态分工。</x:v>
      </x:c>
      <x:c r="Z346" s="24" t="str">
        <x:v>不得仅凭本规则断定问题已经解决、关系必然稳定、用户一定成熟、某十神天然是“药”、喜用神自动等于解决办法，或淡化暴力、强迫与现实伤害；现实行为、反例、安全事实和专业支持优先。</x:v>
      </x:c>
      <x:c r="AA346" s="24" t="str">
        <x:v>中高</x:v>
      </x:c>
      <x:c r="AB346" s="24" t="str">
        <x:v>待验证</x:v>
      </x:c>
      <x:c r="AC346" s="24" t="str"/>
      <x:c r="AD346" s="24" t="str">
        <x:v>provisional=true；保护因素的现实有效性必须由可观察行为、反馈和持续结果验证。</x:v>
      </x:c>
      <x:c r="AE346" s="24" t="str">
        <x:v>0.8</x:v>
      </x:c>
    </x:row>
    <x:row r="347" ht="52" customHeight="1">
      <x:c r="A347" s="24" t="str">
        <x:v>M4-BUFFER-346</x:v>
      </x:c>
      <x:c r="B347" s="24" t="str">
        <x:v>LP03 和谐延后循环｜有效中断标志</x:v>
      </x:c>
      <x:c r="C347" s="24" t="str">
        <x:v>L7 LP01—LP12循环退出</x:v>
      </x:c>
      <x:c r="D347" s="24" t="str">
        <x:v>BUFFER-LOOP接口</x:v>
      </x:c>
      <x:c r="E347" s="24" t="str">
        <x:v>通用</x:v>
      </x:c>
      <x:c r="F347" s="24" t="str">
        <x:v>效果</x:v>
      </x:c>
      <x:c r="G347" s="24" t="str">
        <x:v>LP03 和谐延后循环</x:v>
      </x:c>
      <x:c r="H347" s="24" t="str">
        <x:v>BF05关键议题表达＋BF06回访落实＋BF08状态分工；判断循环是否被真实中断。</x:v>
      </x:c>
      <x:c r="I347" s="24" t="str">
        <x:v>降温之后设定明确回访点，重新处理关键问题和行动。</x:v>
      </x:c>
      <x:c r="J347" s="24" t="str">
        <x:v>气氛恢复后问题长期不再被提起。</x:v>
      </x:c>
      <x:c r="K347" s="24" t="str">
        <x:v>由共享基础引擎提供；仅修正保护功能的承载、持续调用和压力状态下的稳定性，不直接等同成熟度、道德或现实行为。</x:v>
      </x:c>
      <x:c r="L347" s="24" t="str">
        <x:v>由M1／M2接口提供；夫妻星、心动原型和关系门槛只说明关系议题，不单独证明保护因素已经被调用或有效。</x:v>
      </x:c>
      <x:c r="M347" s="24" t="str">
        <x:v>由M3-BASE及M4各模块提供；日支、日柱近位可提高与亲密关系核心的相关性，但同一source_id不得重复计分。</x:v>
      </x:c>
      <x:c r="N347" s="24" t="str">
        <x:v>保护因素必须明确限制过用、补足缺位、恢复顺序、打开反馈、落实改变或完成修复回流；不能只凭五行相生补写现实效果。</x:v>
      </x:c>
      <x:c r="O347" s="24" t="str">
        <x:v>近位提高进入亲密关系核心的概率；远位只作背景、阶段或条件性修正。</x:v>
      </x:c>
      <x:c r="P347" s="24" t="str">
        <x:v>根气只修正该保护功能是否容易重复调用，不等于现实中已经形成稳定保护。</x:v>
      </x:c>
      <x:c r="Q347" s="24" t="str">
        <x:v>旺弱只修正调用强度与承载；强不自动有效，弱也不自动无效。</x:v>
      </x:c>
      <x:c r="R347" s="24" t="str">
        <x:v>喜忌只修正摩擦、平衡与承载，不可直接翻译为好坏、成熟度或解决方案。</x:v>
      </x:c>
      <x:c r="S347" s="24" t="str">
        <x:v>原十神功能有效；真合化成立时按化神功能替换，合化争议时停止定性。</x:v>
      </x:c>
      <x:c r="T347" s="24" t="str">
        <x:v>近位提高直接相关性；远位仅保留背景、阶段或低置信修正。</x:v>
      </x:c>
      <x:c r="U347" s="24" t="str">
        <x:v>93</x:v>
      </x:c>
      <x:c r="V347" s="24" t="str">
        <x:v>中断+14</x:v>
      </x:c>
      <x:c r="W347" s="24" t="str">
        <x:v>buffer_level</x:v>
      </x:c>
      <x:c r="X347" s="24" t="str">
        <x:v>保护成立时，舒服是过渡，不是结案。</x:v>
      </x:c>
      <x:c r="Y347" s="24" t="str">
        <x:v>真正有效时会看到：保护成立时，舒服是过渡，不是结案。</x:v>
      </x:c>
      <x:c r="Z347" s="24" t="str">
        <x:v>不得仅凭本规则断定问题已经解决、关系必然稳定、用户一定成熟、某十神天然是“药”、喜用神自动等于解决办法，或淡化暴力、强迫与现实伤害；现实行为、反例、安全事实和专业支持优先。</x:v>
      </x:c>
      <x:c r="AA347" s="24" t="str">
        <x:v>中高</x:v>
      </x:c>
      <x:c r="AB347" s="24" t="str">
        <x:v>待验证</x:v>
      </x:c>
      <x:c r="AC347" s="24" t="str"/>
      <x:c r="AD347" s="24" t="str">
        <x:v>provisional=true；保护因素的现实有效性必须由可观察行为、反馈和持续结果验证。</x:v>
      </x:c>
      <x:c r="AE347" s="24" t="str">
        <x:v>0.8</x:v>
      </x:c>
    </x:row>
    <x:row r="348" ht="52" customHeight="1">
      <x:c r="A348" s="24" t="str">
        <x:v>M4-BUFFER-347</x:v>
      </x:c>
      <x:c r="B348" s="24" t="str">
        <x:v>LP03 和谐延后循环｜伪中断／复发标志</x:v>
      </x:c>
      <x:c r="C348" s="24" t="str">
        <x:v>L7 LP01—LP12循环退出</x:v>
      </x:c>
      <x:c r="D348" s="24" t="str">
        <x:v>BUFFER-LOOP接口</x:v>
      </x:c>
      <x:c r="E348" s="24" t="str">
        <x:v>通用</x:v>
      </x:c>
      <x:c r="F348" s="24" t="str">
        <x:v>降级</x:v>
      </x:c>
      <x:c r="G348" s="24" t="str">
        <x:v>LP03 和谐延后循环</x:v>
      </x:c>
      <x:c r="H348" s="24" t="str">
        <x:v>BF05关键议题表达＋BF06回访落实＋BF08状态分工；识别短期缓解与真实中断的区别。</x:v>
      </x:c>
      <x:c r="I348" s="24" t="str">
        <x:v>气氛恢复后问题长期不再被提起。</x:v>
      </x:c>
      <x:c r="J348" s="24" t="str">
        <x:v>降温之后设定明确回访点，重新处理关键问题和行动。</x:v>
      </x:c>
      <x:c r="K348" s="24" t="str">
        <x:v>由共享基础引擎提供；仅修正保护功能的承载、持续调用和压力状态下的稳定性，不直接等同成熟度、道德或现实行为。</x:v>
      </x:c>
      <x:c r="L348" s="24" t="str">
        <x:v>由M1／M2接口提供；夫妻星、心动原型和关系门槛只说明关系议题，不单独证明保护因素已经被调用或有效。</x:v>
      </x:c>
      <x:c r="M348" s="24" t="str">
        <x:v>由M3-BASE及M4各模块提供；日支、日柱近位可提高与亲密关系核心的相关性，但同一source_id不得重复计分。</x:v>
      </x:c>
      <x:c r="N348" s="24" t="str">
        <x:v>保护因素必须明确限制过用、补足缺位、恢复顺序、打开反馈、落实改变或完成修复回流；不能只凭五行相生补写现实效果。</x:v>
      </x:c>
      <x:c r="O348" s="24" t="str">
        <x:v>近位提高进入亲密关系核心的概率；远位只作背景、阶段或条件性修正。</x:v>
      </x:c>
      <x:c r="P348" s="24" t="str">
        <x:v>根气只修正该保护功能是否容易重复调用，不等于现实中已经形成稳定保护。</x:v>
      </x:c>
      <x:c r="Q348" s="24" t="str">
        <x:v>旺弱只修正调用强度与承载；强不自动有效，弱也不自动无效。</x:v>
      </x:c>
      <x:c r="R348" s="24" t="str">
        <x:v>喜忌只修正摩擦、平衡与承载，不可直接翻译为好坏、成熟度或解决方案。</x:v>
      </x:c>
      <x:c r="S348" s="24" t="str">
        <x:v>原十神功能有效；真合化成立时按化神功能替换，合化争议时停止定性。</x:v>
      </x:c>
      <x:c r="T348" s="24" t="str">
        <x:v>近位提高直接相关性；远位仅保留背景、阶段或低置信修正。</x:v>
      </x:c>
      <x:c r="U348" s="24" t="str">
        <x:v>97</x:v>
      </x:c>
      <x:c r="V348" s="24" t="str">
        <x:v>复发风险+0／保护-10</x:v>
      </x:c>
      <x:c r="W348" s="24" t="str">
        <x:v>pseudo_buffer</x:v>
      </x:c>
      <x:c r="X348" s="24" t="str">
        <x:v>若出现“气氛恢复后问题长期不再被提起。”，循环可能只是暂时降温，尚未被中断。</x:v>
      </x:c>
      <x:c r="Y348" s="24" t="str">
        <x:v>如果只是气氛恢复后问题长期不再被提起。，还不能判断循环已经改变。</x:v>
      </x:c>
      <x:c r="Z348" s="24" t="str">
        <x:v>不得仅凭本规则断定问题已经解决、关系必然稳定、用户一定成熟、某十神天然是“药”、喜用神自动等于解决办法，或淡化暴力、强迫与现实伤害；现实行为、反例、安全事实和专业支持优先。</x:v>
      </x:c>
      <x:c r="AA348" s="24" t="str">
        <x:v>高</x:v>
      </x:c>
      <x:c r="AB348" s="24" t="str">
        <x:v>待验证</x:v>
      </x:c>
      <x:c r="AC348" s="24" t="str"/>
      <x:c r="AD348" s="24" t="str">
        <x:v>provisional=true；保护因素的现实有效性必须由可观察行为、反馈和持续结果验证。</x:v>
      </x:c>
      <x:c r="AE348" s="24" t="str">
        <x:v>0.8</x:v>
      </x:c>
    </x:row>
    <x:row r="349" ht="52" customHeight="1">
      <x:c r="A349" s="24" t="str">
        <x:v>M4-BUFFER-348</x:v>
      </x:c>
      <x:c r="B349" s="24" t="str">
        <x:v>LP03 和谐延后循环｜用户输出</x:v>
      </x:c>
      <x:c r="C349" s="24" t="str">
        <x:v>L7 LP01—LP12循环退出</x:v>
      </x:c>
      <x:c r="D349" s="24" t="str">
        <x:v>BUFFER-LOOP接口</x:v>
      </x:c>
      <x:c r="E349" s="24" t="str">
        <x:v>通用</x:v>
      </x:c>
      <x:c r="F349" s="24" t="str">
        <x:v>语言</x:v>
      </x:c>
      <x:c r="G349" s="24" t="str">
        <x:v>LP03 和谐延后循环</x:v>
      </x:c>
      <x:c r="H349" s="24" t="str">
        <x:v>BF05关键议题表达＋BF06回访落实＋BF08状态分工；生成循环＋退出语言。</x:v>
      </x:c>
      <x:c r="I349" s="24" t="str">
        <x:v>LP03循环节点已有现实支持，且保护组合达到BL3以上。</x:v>
      </x:c>
      <x:c r="J349" s="24" t="str">
        <x:v>只有单次事件或资料不足。</x:v>
      </x:c>
      <x:c r="K349" s="24" t="str">
        <x:v>由共享基础引擎提供；仅修正保护功能的承载、持续调用和压力状态下的稳定性，不直接等同成熟度、道德或现实行为。</x:v>
      </x:c>
      <x:c r="L349" s="24" t="str">
        <x:v>由M1／M2接口提供；夫妻星、心动原型和关系门槛只说明关系议题，不单独证明保护因素已经被调用或有效。</x:v>
      </x:c>
      <x:c r="M349" s="24" t="str">
        <x:v>由M3-BASE及M4各模块提供；日支、日柱近位可提高与亲密关系核心的相关性，但同一source_id不得重复计分。</x:v>
      </x:c>
      <x:c r="N349" s="24" t="str">
        <x:v>保护因素必须明确限制过用、补足缺位、恢复顺序、打开反馈、落实改变或完成修复回流；不能只凭五行相生补写现实效果。</x:v>
      </x:c>
      <x:c r="O349" s="24" t="str">
        <x:v>近位提高进入亲密关系核心的概率；远位只作背景、阶段或条件性修正。</x:v>
      </x:c>
      <x:c r="P349" s="24" t="str">
        <x:v>根气只修正该保护功能是否容易重复调用，不等于现实中已经形成稳定保护。</x:v>
      </x:c>
      <x:c r="Q349" s="24" t="str">
        <x:v>旺弱只修正调用强度与承载；强不自动有效，弱也不自动无效。</x:v>
      </x:c>
      <x:c r="R349" s="24" t="str">
        <x:v>喜忌只修正摩擦、平衡与承载，不可直接翻译为好坏、成熟度或解决方案。</x:v>
      </x:c>
      <x:c r="S349" s="24" t="str">
        <x:v>原十神功能有效；真合化成立时按化神功能替换，合化争议时停止定性。</x:v>
      </x:c>
      <x:c r="T349" s="24" t="str">
        <x:v>近位提高直接相关性；远位仅保留背景、阶段或低置信修正。</x:v>
      </x:c>
      <x:c r="U349" s="24" t="str">
        <x:v>84</x:v>
      </x:c>
      <x:c r="V349" s="24" t="str">
        <x:v>不加分；输出</x:v>
      </x:c>
      <x:c r="W349" s="24" t="str">
        <x:v>report_text</x:v>
      </x:c>
      <x:c r="X349" s="24" t="str">
        <x:v>和谐延后循环的退出重点是：降温之后设定明确回访点，重新处理关键问题和行动。</x:v>
      </x:c>
      <x:c r="Y349" s="24" t="str">
        <x:v>这类循环真正需要的是：降温之后设定明确回访点，重新处理关键问题和行动。</x:v>
      </x:c>
      <x:c r="Z349" s="24" t="str">
        <x:v>不得仅凭本规则断定问题已经解决、关系必然稳定、用户一定成熟、某十神天然是“药”、喜用神自动等于解决办法，或淡化暴力、强迫与现实伤害；现实行为、反例、安全事实和专业支持优先。</x:v>
      </x:c>
      <x:c r="AA349" s="24" t="str">
        <x:v>中高</x:v>
      </x:c>
      <x:c r="AB349" s="24" t="str">
        <x:v>待验证</x:v>
      </x:c>
      <x:c r="AC349" s="24" t="str"/>
      <x:c r="AD349" s="24" t="str">
        <x:v>provisional=true；保护因素的现实有效性必须由可观察行为、反馈和持续结果验证。</x:v>
      </x:c>
      <x:c r="AE349" s="24" t="str">
        <x:v>0.8</x:v>
      </x:c>
    </x:row>
    <x:row r="350" ht="52" customHeight="1">
      <x:c r="A350" s="24" t="str">
        <x:v>M4-BUFFER-349</x:v>
      </x:c>
      <x:c r="B350" s="24" t="str">
        <x:v>LP04 解决替代循环｜最低保护组合</x:v>
      </x:c>
      <x:c r="C350" s="24" t="str">
        <x:v>L7 LP01—LP12循环退出</x:v>
      </x:c>
      <x:c r="D350" s="24" t="str">
        <x:v>BUFFER-LOOP接口</x:v>
      </x:c>
      <x:c r="E350" s="24" t="str">
        <x:v>通用</x:v>
      </x:c>
      <x:c r="F350" s="24" t="str">
        <x:v>路由</x:v>
      </x:c>
      <x:c r="G350" s="24" t="str">
        <x:v>LP04 解决替代循环</x:v>
      </x:c>
      <x:c r="H350" s="24" t="str">
        <x:v>BF04影响确认＋BF07完整修复；路由循环的最小保护组合。</x:v>
      </x:c>
      <x:c r="I350" s="24" t="str">
        <x:v>LP04达到E3候选，且存在BF04影响确认＋BF07完整修复中的至少一项独立资源。</x:v>
      </x:c>
      <x:c r="J350" s="24" t="str">
        <x:v>只有命盘标签，没有现实循环节点。</x:v>
      </x:c>
      <x:c r="K350" s="24" t="str">
        <x:v>由共享基础引擎提供；仅修正保护功能的承载、持续调用和压力状态下的稳定性，不直接等同成熟度、道德或现实行为。</x:v>
      </x:c>
      <x:c r="L350" s="24" t="str">
        <x:v>由M1／M2接口提供；夫妻星、心动原型和关系门槛只说明关系议题，不单独证明保护因素已经被调用或有效。</x:v>
      </x:c>
      <x:c r="M350" s="24" t="str">
        <x:v>由M3-BASE及M4各模块提供；日支、日柱近位可提高与亲密关系核心的相关性，但同一source_id不得重复计分。</x:v>
      </x:c>
      <x:c r="N350" s="24" t="str">
        <x:v>保护因素必须明确限制过用、补足缺位、恢复顺序、打开反馈、落实改变或完成修复回流；不能只凭五行相生补写现实效果。</x:v>
      </x:c>
      <x:c r="O350" s="24" t="str">
        <x:v>近位提高进入亲密关系核心的概率；远位只作背景、阶段或条件性修正。</x:v>
      </x:c>
      <x:c r="P350" s="24" t="str">
        <x:v>根气只修正该保护功能是否容易重复调用，不等于现实中已经形成稳定保护。</x:v>
      </x:c>
      <x:c r="Q350" s="24" t="str">
        <x:v>旺弱只修正调用强度与承载；强不自动有效，弱也不自动无效。</x:v>
      </x:c>
      <x:c r="R350" s="24" t="str">
        <x:v>喜忌只修正摩擦、平衡与承载，不可直接翻译为好坏、成熟度或解决方案。</x:v>
      </x:c>
      <x:c r="S350" s="24" t="str">
        <x:v>原十神功能有效；真合化成立时按化神功能替换，合化争议时停止定性。</x:v>
      </x:c>
      <x:c r="T350" s="24" t="str">
        <x:v>近位提高直接相关性；远位仅保留背景、阶段或低置信修正。</x:v>
      </x:c>
      <x:c r="U350" s="24" t="str">
        <x:v>94</x:v>
      </x:c>
      <x:c r="V350" s="24" t="str">
        <x:v>路由+6</x:v>
      </x:c>
      <x:c r="W350" s="24" t="str">
        <x:v>primary_buffer</x:v>
      </x:c>
      <x:c r="X350" s="24" t="str">
        <x:v>LP04最低保护组合：BF04影响确认＋BF07完整修复。</x:v>
      </x:c>
      <x:c r="Y350" s="24" t="str">
        <x:v>要中断这类循环，优先检查：BF04影响确认＋BF07完整修复。</x:v>
      </x:c>
      <x:c r="Z350" s="24" t="str">
        <x:v>不得仅凭本规则断定问题已经解决、关系必然稳定、用户一定成熟、某十神天然是“药”、喜用神自动等于解决办法，或淡化暴力、强迫与现实伤害；现实行为、反例、安全事实和专业支持优先。</x:v>
      </x:c>
      <x:c r="AA350" s="24" t="str">
        <x:v>中高</x:v>
      </x:c>
      <x:c r="AB350" s="24" t="str">
        <x:v>待验证</x:v>
      </x:c>
      <x:c r="AC350" s="24" t="str"/>
      <x:c r="AD350" s="24" t="str">
        <x:v>provisional=true；保护因素的现实有效性必须由可观察行为、反馈和持续结果验证。</x:v>
      </x:c>
      <x:c r="AE350" s="24" t="str">
        <x:v>0.8</x:v>
      </x:c>
    </x:row>
    <x:row r="351" ht="52" customHeight="1">
      <x:c r="A351" s="24" t="str">
        <x:v>M4-BUFFER-350</x:v>
      </x:c>
      <x:c r="B351" s="24" t="str">
        <x:v>LP04 解决替代循环｜有效中断标志</x:v>
      </x:c>
      <x:c r="C351" s="24" t="str">
        <x:v>L7 LP01—LP12循环退出</x:v>
      </x:c>
      <x:c r="D351" s="24" t="str">
        <x:v>BUFFER-LOOP接口</x:v>
      </x:c>
      <x:c r="E351" s="24" t="str">
        <x:v>通用</x:v>
      </x:c>
      <x:c r="F351" s="24" t="str">
        <x:v>效果</x:v>
      </x:c>
      <x:c r="G351" s="24" t="str">
        <x:v>LP04 解决替代循环</x:v>
      </x:c>
      <x:c r="H351" s="24" t="str">
        <x:v>BF04影响确认＋BF07完整修复；判断循环是否被真实中断。</x:v>
      </x:c>
      <x:c r="I351" s="24" t="str">
        <x:v>现实方案之后继续确认影响、参与感和关系安全。</x:v>
      </x:c>
      <x:c r="J351" s="24" t="str">
        <x:v>事情解决后立即结案，不再回到感受和反馈。</x:v>
      </x:c>
      <x:c r="K351" s="24" t="str">
        <x:v>由共享基础引擎提供；仅修正保护功能的承载、持续调用和压力状态下的稳定性，不直接等同成熟度、道德或现实行为。</x:v>
      </x:c>
      <x:c r="L351" s="24" t="str">
        <x:v>由M1／M2接口提供；夫妻星、心动原型和关系门槛只说明关系议题，不单独证明保护因素已经被调用或有效。</x:v>
      </x:c>
      <x:c r="M351" s="24" t="str">
        <x:v>由M3-BASE及M4各模块提供；日支、日柱近位可提高与亲密关系核心的相关性，但同一source_id不得重复计分。</x:v>
      </x:c>
      <x:c r="N351" s="24" t="str">
        <x:v>保护因素必须明确限制过用、补足缺位、恢复顺序、打开反馈、落实改变或完成修复回流；不能只凭五行相生补写现实效果。</x:v>
      </x:c>
      <x:c r="O351" s="24" t="str">
        <x:v>近位提高进入亲密关系核心的概率；远位只作背景、阶段或条件性修正。</x:v>
      </x:c>
      <x:c r="P351" s="24" t="str">
        <x:v>根气只修正该保护功能是否容易重复调用，不等于现实中已经形成稳定保护。</x:v>
      </x:c>
      <x:c r="Q351" s="24" t="str">
        <x:v>旺弱只修正调用强度与承载；强不自动有效，弱也不自动无效。</x:v>
      </x:c>
      <x:c r="R351" s="24" t="str">
        <x:v>喜忌只修正摩擦、平衡与承载，不可直接翻译为好坏、成熟度或解决方案。</x:v>
      </x:c>
      <x:c r="S351" s="24" t="str">
        <x:v>原十神功能有效；真合化成立时按化神功能替换，合化争议时停止定性。</x:v>
      </x:c>
      <x:c r="T351" s="24" t="str">
        <x:v>近位提高直接相关性；远位仅保留背景、阶段或低置信修正。</x:v>
      </x:c>
      <x:c r="U351" s="24" t="str">
        <x:v>93</x:v>
      </x:c>
      <x:c r="V351" s="24" t="str">
        <x:v>中断+14</x:v>
      </x:c>
      <x:c r="W351" s="24" t="str">
        <x:v>buffer_level</x:v>
      </x:c>
      <x:c r="X351" s="24" t="str">
        <x:v>保护成立时，问题解决与关系修复形成两条并行任务。</x:v>
      </x:c>
      <x:c r="Y351" s="24" t="str">
        <x:v>真正有效时会看到：保护成立时，问题解决与关系修复形成两条并行任务。</x:v>
      </x:c>
      <x:c r="Z351" s="24" t="str">
        <x:v>不得仅凭本规则断定问题已经解决、关系必然稳定、用户一定成熟、某十神天然是“药”、喜用神自动等于解决办法，或淡化暴力、强迫与现实伤害；现实行为、反例、安全事实和专业支持优先。</x:v>
      </x:c>
      <x:c r="AA351" s="24" t="str">
        <x:v>中高</x:v>
      </x:c>
      <x:c r="AB351" s="24" t="str">
        <x:v>待验证</x:v>
      </x:c>
      <x:c r="AC351" s="24" t="str"/>
      <x:c r="AD351" s="24" t="str">
        <x:v>provisional=true；保护因素的现实有效性必须由可观察行为、反馈和持续结果验证。</x:v>
      </x:c>
      <x:c r="AE351" s="24" t="str">
        <x:v>0.8</x:v>
      </x:c>
    </x:row>
    <x:row r="352" ht="52" customHeight="1">
      <x:c r="A352" s="24" t="str">
        <x:v>M4-BUFFER-351</x:v>
      </x:c>
      <x:c r="B352" s="24" t="str">
        <x:v>LP04 解决替代循环｜伪中断／复发标志</x:v>
      </x:c>
      <x:c r="C352" s="24" t="str">
        <x:v>L7 LP01—LP12循环退出</x:v>
      </x:c>
      <x:c r="D352" s="24" t="str">
        <x:v>BUFFER-LOOP接口</x:v>
      </x:c>
      <x:c r="E352" s="24" t="str">
        <x:v>通用</x:v>
      </x:c>
      <x:c r="F352" s="24" t="str">
        <x:v>降级</x:v>
      </x:c>
      <x:c r="G352" s="24" t="str">
        <x:v>LP04 解决替代循环</x:v>
      </x:c>
      <x:c r="H352" s="24" t="str">
        <x:v>BF04影响确认＋BF07完整修复；识别短期缓解与真实中断的区别。</x:v>
      </x:c>
      <x:c r="I352" s="24" t="str">
        <x:v>事情解决后立即结案，不再回到感受和反馈。</x:v>
      </x:c>
      <x:c r="J352" s="24" t="str">
        <x:v>现实方案之后继续确认影响、参与感和关系安全。</x:v>
      </x:c>
      <x:c r="K352" s="24" t="str">
        <x:v>由共享基础引擎提供；仅修正保护功能的承载、持续调用和压力状态下的稳定性，不直接等同成熟度、道德或现实行为。</x:v>
      </x:c>
      <x:c r="L352" s="24" t="str">
        <x:v>由M1／M2接口提供；夫妻星、心动原型和关系门槛只说明关系议题，不单独证明保护因素已经被调用或有效。</x:v>
      </x:c>
      <x:c r="M352" s="24" t="str">
        <x:v>由M3-BASE及M4各模块提供；日支、日柱近位可提高与亲密关系核心的相关性，但同一source_id不得重复计分。</x:v>
      </x:c>
      <x:c r="N352" s="24" t="str">
        <x:v>保护因素必须明确限制过用、补足缺位、恢复顺序、打开反馈、落实改变或完成修复回流；不能只凭五行相生补写现实效果。</x:v>
      </x:c>
      <x:c r="O352" s="24" t="str">
        <x:v>近位提高进入亲密关系核心的概率；远位只作背景、阶段或条件性修正。</x:v>
      </x:c>
      <x:c r="P352" s="24" t="str">
        <x:v>根气只修正该保护功能是否容易重复调用，不等于现实中已经形成稳定保护。</x:v>
      </x:c>
      <x:c r="Q352" s="24" t="str">
        <x:v>旺弱只修正调用强度与承载；强不自动有效，弱也不自动无效。</x:v>
      </x:c>
      <x:c r="R352" s="24" t="str">
        <x:v>喜忌只修正摩擦、平衡与承载，不可直接翻译为好坏、成熟度或解决方案。</x:v>
      </x:c>
      <x:c r="S352" s="24" t="str">
        <x:v>原十神功能有效；真合化成立时按化神功能替换，合化争议时停止定性。</x:v>
      </x:c>
      <x:c r="T352" s="24" t="str">
        <x:v>近位提高直接相关性；远位仅保留背景、阶段或低置信修正。</x:v>
      </x:c>
      <x:c r="U352" s="24" t="str">
        <x:v>97</x:v>
      </x:c>
      <x:c r="V352" s="24" t="str">
        <x:v>复发风险+0／保护-10</x:v>
      </x:c>
      <x:c r="W352" s="24" t="str">
        <x:v>pseudo_buffer</x:v>
      </x:c>
      <x:c r="X352" s="24" t="str">
        <x:v>若出现“事情解决后立即结案，不再回到感受和反馈。”，循环可能只是暂时降温，尚未被中断。</x:v>
      </x:c>
      <x:c r="Y352" s="24" t="str">
        <x:v>如果只是事情解决后立即结案，不再回到感受和反馈。，还不能判断循环已经改变。</x:v>
      </x:c>
      <x:c r="Z352" s="24" t="str">
        <x:v>不得仅凭本规则断定问题已经解决、关系必然稳定、用户一定成熟、某十神天然是“药”、喜用神自动等于解决办法，或淡化暴力、强迫与现实伤害；现实行为、反例、安全事实和专业支持优先。</x:v>
      </x:c>
      <x:c r="AA352" s="24" t="str">
        <x:v>高</x:v>
      </x:c>
      <x:c r="AB352" s="24" t="str">
        <x:v>待验证</x:v>
      </x:c>
      <x:c r="AC352" s="24" t="str"/>
      <x:c r="AD352" s="24" t="str">
        <x:v>provisional=true；保护因素的现实有效性必须由可观察行为、反馈和持续结果验证。</x:v>
      </x:c>
      <x:c r="AE352" s="24" t="str">
        <x:v>0.8</x:v>
      </x:c>
    </x:row>
    <x:row r="353" ht="52" customHeight="1">
      <x:c r="A353" s="24" t="str">
        <x:v>M4-BUFFER-352</x:v>
      </x:c>
      <x:c r="B353" s="24" t="str">
        <x:v>LP04 解决替代循环｜用户输出</x:v>
      </x:c>
      <x:c r="C353" s="24" t="str">
        <x:v>L7 LP01—LP12循环退出</x:v>
      </x:c>
      <x:c r="D353" s="24" t="str">
        <x:v>BUFFER-LOOP接口</x:v>
      </x:c>
      <x:c r="E353" s="24" t="str">
        <x:v>通用</x:v>
      </x:c>
      <x:c r="F353" s="24" t="str">
        <x:v>语言</x:v>
      </x:c>
      <x:c r="G353" s="24" t="str">
        <x:v>LP04 解决替代循环</x:v>
      </x:c>
      <x:c r="H353" s="24" t="str">
        <x:v>BF04影响确认＋BF07完整修复；生成循环＋退出语言。</x:v>
      </x:c>
      <x:c r="I353" s="24" t="str">
        <x:v>LP04循环节点已有现实支持，且保护组合达到BL3以上。</x:v>
      </x:c>
      <x:c r="J353" s="24" t="str">
        <x:v>只有单次事件或资料不足。</x:v>
      </x:c>
      <x:c r="K353" s="24" t="str">
        <x:v>由共享基础引擎提供；仅修正保护功能的承载、持续调用和压力状态下的稳定性，不直接等同成熟度、道德或现实行为。</x:v>
      </x:c>
      <x:c r="L353" s="24" t="str">
        <x:v>由M1／M2接口提供；夫妻星、心动原型和关系门槛只说明关系议题，不单独证明保护因素已经被调用或有效。</x:v>
      </x:c>
      <x:c r="M353" s="24" t="str">
        <x:v>由M3-BASE及M4各模块提供；日支、日柱近位可提高与亲密关系核心的相关性，但同一source_id不得重复计分。</x:v>
      </x:c>
      <x:c r="N353" s="24" t="str">
        <x:v>保护因素必须明确限制过用、补足缺位、恢复顺序、打开反馈、落实改变或完成修复回流；不能只凭五行相生补写现实效果。</x:v>
      </x:c>
      <x:c r="O353" s="24" t="str">
        <x:v>近位提高进入亲密关系核心的概率；远位只作背景、阶段或条件性修正。</x:v>
      </x:c>
      <x:c r="P353" s="24" t="str">
        <x:v>根气只修正该保护功能是否容易重复调用，不等于现实中已经形成稳定保护。</x:v>
      </x:c>
      <x:c r="Q353" s="24" t="str">
        <x:v>旺弱只修正调用强度与承载；强不自动有效，弱也不自动无效。</x:v>
      </x:c>
      <x:c r="R353" s="24" t="str">
        <x:v>喜忌只修正摩擦、平衡与承载，不可直接翻译为好坏、成熟度或解决方案。</x:v>
      </x:c>
      <x:c r="S353" s="24" t="str">
        <x:v>原十神功能有效；真合化成立时按化神功能替换，合化争议时停止定性。</x:v>
      </x:c>
      <x:c r="T353" s="24" t="str">
        <x:v>近位提高直接相关性；远位仅保留背景、阶段或低置信修正。</x:v>
      </x:c>
      <x:c r="U353" s="24" t="str">
        <x:v>84</x:v>
      </x:c>
      <x:c r="V353" s="24" t="str">
        <x:v>不加分；输出</x:v>
      </x:c>
      <x:c r="W353" s="24" t="str">
        <x:v>report_text</x:v>
      </x:c>
      <x:c r="X353" s="24" t="str">
        <x:v>解决替代循环的退出重点是：现实方案之后继续确认影响、参与感和关系安全。</x:v>
      </x:c>
      <x:c r="Y353" s="24" t="str">
        <x:v>这类循环真正需要的是：现实方案之后继续确认影响、参与感和关系安全。</x:v>
      </x:c>
      <x:c r="Z353" s="24" t="str">
        <x:v>不得仅凭本规则断定问题已经解决、关系必然稳定、用户一定成熟、某十神天然是“药”、喜用神自动等于解决办法，或淡化暴力、强迫与现实伤害；现实行为、反例、安全事实和专业支持优先。</x:v>
      </x:c>
      <x:c r="AA353" s="24" t="str">
        <x:v>中高</x:v>
      </x:c>
      <x:c r="AB353" s="24" t="str">
        <x:v>待验证</x:v>
      </x:c>
      <x:c r="AC353" s="24" t="str"/>
      <x:c r="AD353" s="24" t="str">
        <x:v>provisional=true；保护因素的现实有效性必须由可观察行为、反馈和持续结果验证。</x:v>
      </x:c>
      <x:c r="AE353" s="24" t="str">
        <x:v>0.8</x:v>
      </x:c>
    </x:row>
    <x:row r="354" ht="52" customHeight="1">
      <x:c r="A354" s="24" t="str">
        <x:v>M4-BUFFER-353</x:v>
      </x:c>
      <x:c r="B354" s="24" t="str">
        <x:v>LP05 承接替代改变循环｜最低保护组合</x:v>
      </x:c>
      <x:c r="C354" s="24" t="str">
        <x:v>L7 LP01—LP12循环退出</x:v>
      </x:c>
      <x:c r="D354" s="24" t="str">
        <x:v>BUFFER-LOOP接口</x:v>
      </x:c>
      <x:c r="E354" s="24" t="str">
        <x:v>通用</x:v>
      </x:c>
      <x:c r="F354" s="24" t="str">
        <x:v>路由</x:v>
      </x:c>
      <x:c r="G354" s="24" t="str">
        <x:v>LP05 承接替代改变循环</x:v>
      </x:c>
      <x:c r="H354" s="24" t="str">
        <x:v>BF06现实改变＋BF03边界支持；路由循环的最小保护组合。</x:v>
      </x:c>
      <x:c r="I354" s="24" t="str">
        <x:v>LP05达到E3候选，且存在BF06现实改变＋BF03边界支持中的至少一项独立资源。</x:v>
      </x:c>
      <x:c r="J354" s="24" t="str">
        <x:v>只有命盘标签，没有现实循环节点。</x:v>
      </x:c>
      <x:c r="K354" s="24" t="str">
        <x:v>由共享基础引擎提供；仅修正保护功能的承载、持续调用和压力状态下的稳定性，不直接等同成熟度、道德或现实行为。</x:v>
      </x:c>
      <x:c r="L354" s="24" t="str">
        <x:v>由M1／M2接口提供；夫妻星、心动原型和关系门槛只说明关系议题，不单独证明保护因素已经被调用或有效。</x:v>
      </x:c>
      <x:c r="M354" s="24" t="str">
        <x:v>由M3-BASE及M4各模块提供；日支、日柱近位可提高与亲密关系核心的相关性，但同一source_id不得重复计分。</x:v>
      </x:c>
      <x:c r="N354" s="24" t="str">
        <x:v>保护因素必须明确限制过用、补足缺位、恢复顺序、打开反馈、落实改变或完成修复回流；不能只凭五行相生补写现实效果。</x:v>
      </x:c>
      <x:c r="O354" s="24" t="str">
        <x:v>近位提高进入亲密关系核心的概率；远位只作背景、阶段或条件性修正。</x:v>
      </x:c>
      <x:c r="P354" s="24" t="str">
        <x:v>根气只修正该保护功能是否容易重复调用，不等于现实中已经形成稳定保护。</x:v>
      </x:c>
      <x:c r="Q354" s="24" t="str">
        <x:v>旺弱只修正调用强度与承载；强不自动有效，弱也不自动无效。</x:v>
      </x:c>
      <x:c r="R354" s="24" t="str">
        <x:v>喜忌只修正摩擦、平衡与承载，不可直接翻译为好坏、成熟度或解决方案。</x:v>
      </x:c>
      <x:c r="S354" s="24" t="str">
        <x:v>原十神功能有效；真合化成立时按化神功能替换，合化争议时停止定性。</x:v>
      </x:c>
      <x:c r="T354" s="24" t="str">
        <x:v>近位提高直接相关性；远位仅保留背景、阶段或低置信修正。</x:v>
      </x:c>
      <x:c r="U354" s="24" t="str">
        <x:v>94</x:v>
      </x:c>
      <x:c r="V354" s="24" t="str">
        <x:v>路由+6</x:v>
      </x:c>
      <x:c r="W354" s="24" t="str">
        <x:v>primary_buffer</x:v>
      </x:c>
      <x:c r="X354" s="24" t="str">
        <x:v>LP05最低保护组合：BF06现实改变＋BF03边界支持。</x:v>
      </x:c>
      <x:c r="Y354" s="24" t="str">
        <x:v>要中断这类循环，优先检查：BF06现实改变＋BF03边界支持。</x:v>
      </x:c>
      <x:c r="Z354" s="24" t="str">
        <x:v>不得仅凭本规则断定问题已经解决、关系必然稳定、用户一定成熟、某十神天然是“药”、喜用神自动等于解决办法，或淡化暴力、强迫与现实伤害；现实行为、反例、安全事实和专业支持优先。</x:v>
      </x:c>
      <x:c r="AA354" s="24" t="str">
        <x:v>中高</x:v>
      </x:c>
      <x:c r="AB354" s="24" t="str">
        <x:v>待验证</x:v>
      </x:c>
      <x:c r="AC354" s="24" t="str"/>
      <x:c r="AD354" s="24" t="str">
        <x:v>provisional=true；保护因素的现实有效性必须由可观察行为、反馈和持续结果验证。</x:v>
      </x:c>
      <x:c r="AE354" s="24" t="str">
        <x:v>0.8</x:v>
      </x:c>
    </x:row>
    <x:row r="355" ht="52" customHeight="1">
      <x:c r="A355" s="24" t="str">
        <x:v>M4-BUFFER-354</x:v>
      </x:c>
      <x:c r="B355" s="24" t="str">
        <x:v>LP05 承接替代改变循环｜有效中断标志</x:v>
      </x:c>
      <x:c r="C355" s="24" t="str">
        <x:v>L7 LP01—LP12循环退出</x:v>
      </x:c>
      <x:c r="D355" s="24" t="str">
        <x:v>BUFFER-LOOP接口</x:v>
      </x:c>
      <x:c r="E355" s="24" t="str">
        <x:v>通用</x:v>
      </x:c>
      <x:c r="F355" s="24" t="str">
        <x:v>效果</x:v>
      </x:c>
      <x:c r="G355" s="24" t="str">
        <x:v>LP05 承接替代改变循环</x:v>
      </x:c>
      <x:c r="H355" s="24" t="str">
        <x:v>BF06现实改变＋BF03边界支持；判断循环是否被真实中断。</x:v>
      </x:c>
      <x:c r="I355" s="24" t="str">
        <x:v>理解和包容之后形成具体责任、边界和可观察调整。</x:v>
      </x:c>
      <x:c r="J355" s="24" t="str">
        <x:v>继续安抚或理解，却没有行为变化。</x:v>
      </x:c>
      <x:c r="K355" s="24" t="str">
        <x:v>由共享基础引擎提供；仅修正保护功能的承载、持续调用和压力状态下的稳定性，不直接等同成熟度、道德或现实行为。</x:v>
      </x:c>
      <x:c r="L355" s="24" t="str">
        <x:v>由M1／M2接口提供；夫妻星、心动原型和关系门槛只说明关系议题，不单独证明保护因素已经被调用或有效。</x:v>
      </x:c>
      <x:c r="M355" s="24" t="str">
        <x:v>由M3-BASE及M4各模块提供；日支、日柱近位可提高与亲密关系核心的相关性，但同一source_id不得重复计分。</x:v>
      </x:c>
      <x:c r="N355" s="24" t="str">
        <x:v>保护因素必须明确限制过用、补足缺位、恢复顺序、打开反馈、落实改变或完成修复回流；不能只凭五行相生补写现实效果。</x:v>
      </x:c>
      <x:c r="O355" s="24" t="str">
        <x:v>近位提高进入亲密关系核心的概率；远位只作背景、阶段或条件性修正。</x:v>
      </x:c>
      <x:c r="P355" s="24" t="str">
        <x:v>根气只修正该保护功能是否容易重复调用，不等于现实中已经形成稳定保护。</x:v>
      </x:c>
      <x:c r="Q355" s="24" t="str">
        <x:v>旺弱只修正调用强度与承载；强不自动有效，弱也不自动无效。</x:v>
      </x:c>
      <x:c r="R355" s="24" t="str">
        <x:v>喜忌只修正摩擦、平衡与承载，不可直接翻译为好坏、成熟度或解决方案。</x:v>
      </x:c>
      <x:c r="S355" s="24" t="str">
        <x:v>原十神功能有效；真合化成立时按化神功能替换，合化争议时停止定性。</x:v>
      </x:c>
      <x:c r="T355" s="24" t="str">
        <x:v>近位提高直接相关性；远位仅保留背景、阶段或低置信修正。</x:v>
      </x:c>
      <x:c r="U355" s="24" t="str">
        <x:v>93</x:v>
      </x:c>
      <x:c r="V355" s="24" t="str">
        <x:v>中断+14</x:v>
      </x:c>
      <x:c r="W355" s="24" t="str">
        <x:v>buffer_level</x:v>
      </x:c>
      <x:c r="X355" s="24" t="str">
        <x:v>保护成立时，理解会转成现实改变。</x:v>
      </x:c>
      <x:c r="Y355" s="24" t="str">
        <x:v>真正有效时会看到：保护成立时，理解会转成现实改变。</x:v>
      </x:c>
      <x:c r="Z355" s="24" t="str">
        <x:v>不得仅凭本规则断定问题已经解决、关系必然稳定、用户一定成熟、某十神天然是“药”、喜用神自动等于解决办法，或淡化暴力、强迫与现实伤害；现实行为、反例、安全事实和专业支持优先。</x:v>
      </x:c>
      <x:c r="AA355" s="24" t="str">
        <x:v>中高</x:v>
      </x:c>
      <x:c r="AB355" s="24" t="str">
        <x:v>待验证</x:v>
      </x:c>
      <x:c r="AC355" s="24" t="str"/>
      <x:c r="AD355" s="24" t="str">
        <x:v>provisional=true；保护因素的现实有效性必须由可观察行为、反馈和持续结果验证。</x:v>
      </x:c>
      <x:c r="AE355" s="24" t="str">
        <x:v>0.8</x:v>
      </x:c>
    </x:row>
    <x:row r="356" ht="52" customHeight="1">
      <x:c r="A356" s="24" t="str">
        <x:v>M4-BUFFER-355</x:v>
      </x:c>
      <x:c r="B356" s="24" t="str">
        <x:v>LP05 承接替代改变循环｜伪中断／复发标志</x:v>
      </x:c>
      <x:c r="C356" s="24" t="str">
        <x:v>L7 LP01—LP12循环退出</x:v>
      </x:c>
      <x:c r="D356" s="24" t="str">
        <x:v>BUFFER-LOOP接口</x:v>
      </x:c>
      <x:c r="E356" s="24" t="str">
        <x:v>通用</x:v>
      </x:c>
      <x:c r="F356" s="24" t="str">
        <x:v>降级</x:v>
      </x:c>
      <x:c r="G356" s="24" t="str">
        <x:v>LP05 承接替代改变循环</x:v>
      </x:c>
      <x:c r="H356" s="24" t="str">
        <x:v>BF06现实改变＋BF03边界支持；识别短期缓解与真实中断的区别。</x:v>
      </x:c>
      <x:c r="I356" s="24" t="str">
        <x:v>继续安抚或理解，却没有行为变化。</x:v>
      </x:c>
      <x:c r="J356" s="24" t="str">
        <x:v>理解和包容之后形成具体责任、边界和可观察调整。</x:v>
      </x:c>
      <x:c r="K356" s="24" t="str">
        <x:v>由共享基础引擎提供；仅修正保护功能的承载、持续调用和压力状态下的稳定性，不直接等同成熟度、道德或现实行为。</x:v>
      </x:c>
      <x:c r="L356" s="24" t="str">
        <x:v>由M1／M2接口提供；夫妻星、心动原型和关系门槛只说明关系议题，不单独证明保护因素已经被调用或有效。</x:v>
      </x:c>
      <x:c r="M356" s="24" t="str">
        <x:v>由M3-BASE及M4各模块提供；日支、日柱近位可提高与亲密关系核心的相关性，但同一source_id不得重复计分。</x:v>
      </x:c>
      <x:c r="N356" s="24" t="str">
        <x:v>保护因素必须明确限制过用、补足缺位、恢复顺序、打开反馈、落实改变或完成修复回流；不能只凭五行相生补写现实效果。</x:v>
      </x:c>
      <x:c r="O356" s="24" t="str">
        <x:v>近位提高进入亲密关系核心的概率；远位只作背景、阶段或条件性修正。</x:v>
      </x:c>
      <x:c r="P356" s="24" t="str">
        <x:v>根气只修正该保护功能是否容易重复调用，不等于现实中已经形成稳定保护。</x:v>
      </x:c>
      <x:c r="Q356" s="24" t="str">
        <x:v>旺弱只修正调用强度与承载；强不自动有效，弱也不自动无效。</x:v>
      </x:c>
      <x:c r="R356" s="24" t="str">
        <x:v>喜忌只修正摩擦、平衡与承载，不可直接翻译为好坏、成熟度或解决方案。</x:v>
      </x:c>
      <x:c r="S356" s="24" t="str">
        <x:v>原十神功能有效；真合化成立时按化神功能替换，合化争议时停止定性。</x:v>
      </x:c>
      <x:c r="T356" s="24" t="str">
        <x:v>近位提高直接相关性；远位仅保留背景、阶段或低置信修正。</x:v>
      </x:c>
      <x:c r="U356" s="24" t="str">
        <x:v>97</x:v>
      </x:c>
      <x:c r="V356" s="24" t="str">
        <x:v>复发风险+0／保护-10</x:v>
      </x:c>
      <x:c r="W356" s="24" t="str">
        <x:v>pseudo_buffer</x:v>
      </x:c>
      <x:c r="X356" s="24" t="str">
        <x:v>若出现“继续安抚或理解，却没有行为变化。”，循环可能只是暂时降温，尚未被中断。</x:v>
      </x:c>
      <x:c r="Y356" s="24" t="str">
        <x:v>如果只是继续安抚或理解，却没有行为变化。，还不能判断循环已经改变。</x:v>
      </x:c>
      <x:c r="Z356" s="24" t="str">
        <x:v>不得仅凭本规则断定问题已经解决、关系必然稳定、用户一定成熟、某十神天然是“药”、喜用神自动等于解决办法，或淡化暴力、强迫与现实伤害；现实行为、反例、安全事实和专业支持优先。</x:v>
      </x:c>
      <x:c r="AA356" s="24" t="str">
        <x:v>高</x:v>
      </x:c>
      <x:c r="AB356" s="24" t="str">
        <x:v>待验证</x:v>
      </x:c>
      <x:c r="AC356" s="24" t="str"/>
      <x:c r="AD356" s="24" t="str">
        <x:v>provisional=true；保护因素的现实有效性必须由可观察行为、反馈和持续结果验证。</x:v>
      </x:c>
      <x:c r="AE356" s="24" t="str">
        <x:v>0.8</x:v>
      </x:c>
    </x:row>
    <x:row r="357" ht="52" customHeight="1">
      <x:c r="A357" s="24" t="str">
        <x:v>M4-BUFFER-356</x:v>
      </x:c>
      <x:c r="B357" s="24" t="str">
        <x:v>LP05 承接替代改变循环｜用户输出</x:v>
      </x:c>
      <x:c r="C357" s="24" t="str">
        <x:v>L7 LP01—LP12循环退出</x:v>
      </x:c>
      <x:c r="D357" s="24" t="str">
        <x:v>BUFFER-LOOP接口</x:v>
      </x:c>
      <x:c r="E357" s="24" t="str">
        <x:v>通用</x:v>
      </x:c>
      <x:c r="F357" s="24" t="str">
        <x:v>语言</x:v>
      </x:c>
      <x:c r="G357" s="24" t="str">
        <x:v>LP05 承接替代改变循环</x:v>
      </x:c>
      <x:c r="H357" s="24" t="str">
        <x:v>BF06现实改变＋BF03边界支持；生成循环＋退出语言。</x:v>
      </x:c>
      <x:c r="I357" s="24" t="str">
        <x:v>LP05循环节点已有现实支持，且保护组合达到BL3以上。</x:v>
      </x:c>
      <x:c r="J357" s="24" t="str">
        <x:v>只有单次事件或资料不足。</x:v>
      </x:c>
      <x:c r="K357" s="24" t="str">
        <x:v>由共享基础引擎提供；仅修正保护功能的承载、持续调用和压力状态下的稳定性，不直接等同成熟度、道德或现实行为。</x:v>
      </x:c>
      <x:c r="L357" s="24" t="str">
        <x:v>由M1／M2接口提供；夫妻星、心动原型和关系门槛只说明关系议题，不单独证明保护因素已经被调用或有效。</x:v>
      </x:c>
      <x:c r="M357" s="24" t="str">
        <x:v>由M3-BASE及M4各模块提供；日支、日柱近位可提高与亲密关系核心的相关性，但同一source_id不得重复计分。</x:v>
      </x:c>
      <x:c r="N357" s="24" t="str">
        <x:v>保护因素必须明确限制过用、补足缺位、恢复顺序、打开反馈、落实改变或完成修复回流；不能只凭五行相生补写现实效果。</x:v>
      </x:c>
      <x:c r="O357" s="24" t="str">
        <x:v>近位提高进入亲密关系核心的概率；远位只作背景、阶段或条件性修正。</x:v>
      </x:c>
      <x:c r="P357" s="24" t="str">
        <x:v>根气只修正该保护功能是否容易重复调用，不等于现实中已经形成稳定保护。</x:v>
      </x:c>
      <x:c r="Q357" s="24" t="str">
        <x:v>旺弱只修正调用强度与承载；强不自动有效，弱也不自动无效。</x:v>
      </x:c>
      <x:c r="R357" s="24" t="str">
        <x:v>喜忌只修正摩擦、平衡与承载，不可直接翻译为好坏、成熟度或解决方案。</x:v>
      </x:c>
      <x:c r="S357" s="24" t="str">
        <x:v>原十神功能有效；真合化成立时按化神功能替换，合化争议时停止定性。</x:v>
      </x:c>
      <x:c r="T357" s="24" t="str">
        <x:v>近位提高直接相关性；远位仅保留背景、阶段或低置信修正。</x:v>
      </x:c>
      <x:c r="U357" s="24" t="str">
        <x:v>84</x:v>
      </x:c>
      <x:c r="V357" s="24" t="str">
        <x:v>不加分；输出</x:v>
      </x:c>
      <x:c r="W357" s="24" t="str">
        <x:v>report_text</x:v>
      </x:c>
      <x:c r="X357" s="24" t="str">
        <x:v>承接替代改变循环的退出重点是：理解和包容之后形成具体责任、边界和可观察调整。</x:v>
      </x:c>
      <x:c r="Y357" s="24" t="str">
        <x:v>这类循环真正需要的是：理解和包容之后形成具体责任、边界和可观察调整。</x:v>
      </x:c>
      <x:c r="Z357" s="24" t="str">
        <x:v>不得仅凭本规则断定问题已经解决、关系必然稳定、用户一定成熟、某十神天然是“药”、喜用神自动等于解决办法，或淡化暴力、强迫与现实伤害；现实行为、反例、安全事实和专业支持优先。</x:v>
      </x:c>
      <x:c r="AA357" s="24" t="str">
        <x:v>中高</x:v>
      </x:c>
      <x:c r="AB357" s="24" t="str">
        <x:v>待验证</x:v>
      </x:c>
      <x:c r="AC357" s="24" t="str"/>
      <x:c r="AD357" s="24" t="str">
        <x:v>provisional=true；保护因素的现实有效性必须由可观察行为、反馈和持续结果验证。</x:v>
      </x:c>
      <x:c r="AE357" s="24" t="str">
        <x:v>0.8</x:v>
      </x:c>
    </x:row>
    <x:row r="358" ht="52" customHeight="1">
      <x:c r="A358" s="24" t="str">
        <x:v>M4-BUFFER-357</x:v>
      </x:c>
      <x:c r="B358" s="24" t="str">
        <x:v>LP06 投入记账循环｜最低保护组合</x:v>
      </x:c>
      <x:c r="C358" s="24" t="str">
        <x:v>L7 LP01—LP12循环退出</x:v>
      </x:c>
      <x:c r="D358" s="24" t="str">
        <x:v>BUFFER-LOOP接口</x:v>
      </x:c>
      <x:c r="E358" s="24" t="str">
        <x:v>通用</x:v>
      </x:c>
      <x:c r="F358" s="24" t="str">
        <x:v>路由</x:v>
      </x:c>
      <x:c r="G358" s="24" t="str">
        <x:v>LP06 投入记账循环</x:v>
      </x:c>
      <x:c r="H358" s="24" t="str">
        <x:v>BF05需求反馈＋BF03资源边界＋BF06持续互惠；路由循环的最小保护组合。</x:v>
      </x:c>
      <x:c r="I358" s="24" t="str">
        <x:v>LP06达到E3候选，且存在BF05需求反馈＋BF03资源边界＋BF06持续互惠中的至少一项独立资源。</x:v>
      </x:c>
      <x:c r="J358" s="24" t="str">
        <x:v>只有命盘标签，没有现实循环节点。</x:v>
      </x:c>
      <x:c r="K358" s="24" t="str">
        <x:v>由共享基础引擎提供；仅修正保护功能的承载、持续调用和压力状态下的稳定性，不直接等同成熟度、道德或现实行为。</x:v>
      </x:c>
      <x:c r="L358" s="24" t="str">
        <x:v>由M1／M2接口提供；夫妻星、心动原型和关系门槛只说明关系议题，不单独证明保护因素已经被调用或有效。</x:v>
      </x:c>
      <x:c r="M358" s="24" t="str">
        <x:v>由M3-BASE及M4各模块提供；日支、日柱近位可提高与亲密关系核心的相关性，但同一source_id不得重复计分。</x:v>
      </x:c>
      <x:c r="N358" s="24" t="str">
        <x:v>保护因素必须明确限制过用、补足缺位、恢复顺序、打开反馈、落实改变或完成修复回流；不能只凭五行相生补写现实效果。</x:v>
      </x:c>
      <x:c r="O358" s="24" t="str">
        <x:v>近位提高进入亲密关系核心的概率；远位只作背景、阶段或条件性修正。</x:v>
      </x:c>
      <x:c r="P358" s="24" t="str">
        <x:v>根气只修正该保护功能是否容易重复调用，不等于现实中已经形成稳定保护。</x:v>
      </x:c>
      <x:c r="Q358" s="24" t="str">
        <x:v>旺弱只修正调用强度与承载；强不自动有效，弱也不自动无效。</x:v>
      </x:c>
      <x:c r="R358" s="24" t="str">
        <x:v>喜忌只修正摩擦、平衡与承载，不可直接翻译为好坏、成熟度或解决方案。</x:v>
      </x:c>
      <x:c r="S358" s="24" t="str">
        <x:v>原十神功能有效；真合化成立时按化神功能替换，合化争议时停止定性。</x:v>
      </x:c>
      <x:c r="T358" s="24" t="str">
        <x:v>近位提高直接相关性；远位仅保留背景、阶段或低置信修正。</x:v>
      </x:c>
      <x:c r="U358" s="24" t="str">
        <x:v>94</x:v>
      </x:c>
      <x:c r="V358" s="24" t="str">
        <x:v>路由+6</x:v>
      </x:c>
      <x:c r="W358" s="24" t="str">
        <x:v>primary_buffer</x:v>
      </x:c>
      <x:c r="X358" s="24" t="str">
        <x:v>LP06最低保护组合：BF05需求反馈＋BF03资源边界＋BF06持续互惠。</x:v>
      </x:c>
      <x:c r="Y358" s="24" t="str">
        <x:v>要中断这类循环，优先检查：BF05需求反馈＋BF03资源边界＋BF06持续互惠。</x:v>
      </x:c>
      <x:c r="Z358" s="24" t="str">
        <x:v>不得仅凭本规则断定问题已经解决、关系必然稳定、用户一定成熟、某十神天然是“药”、喜用神自动等于解决办法，或淡化暴力、强迫与现实伤害；现实行为、反例、安全事实和专业支持优先。</x:v>
      </x:c>
      <x:c r="AA358" s="24" t="str">
        <x:v>中高</x:v>
      </x:c>
      <x:c r="AB358" s="24" t="str">
        <x:v>待验证</x:v>
      </x:c>
      <x:c r="AC358" s="24" t="str"/>
      <x:c r="AD358" s="24" t="str">
        <x:v>provisional=true；保护因素的现实有效性必须由可观察行为、反馈和持续结果验证。</x:v>
      </x:c>
      <x:c r="AE358" s="24" t="str">
        <x:v>0.8</x:v>
      </x:c>
    </x:row>
    <x:row r="359" ht="52" customHeight="1">
      <x:c r="A359" s="24" t="str">
        <x:v>M4-BUFFER-358</x:v>
      </x:c>
      <x:c r="B359" s="24" t="str">
        <x:v>LP06 投入记账循环｜有效中断标志</x:v>
      </x:c>
      <x:c r="C359" s="24" t="str">
        <x:v>L7 LP01—LP12循环退出</x:v>
      </x:c>
      <x:c r="D359" s="24" t="str">
        <x:v>BUFFER-LOOP接口</x:v>
      </x:c>
      <x:c r="E359" s="24" t="str">
        <x:v>通用</x:v>
      </x:c>
      <x:c r="F359" s="24" t="str">
        <x:v>效果</x:v>
      </x:c>
      <x:c r="G359" s="24" t="str">
        <x:v>LP06 投入记账循环</x:v>
      </x:c>
      <x:c r="H359" s="24" t="str">
        <x:v>BF05需求反馈＋BF03资源边界＋BF06持续互惠；判断循环是否被真实中断。</x:v>
      </x:c>
      <x:c r="I359" s="24" t="str">
        <x:v>先说清需要什么回应，再定义资源边界和互惠方式。</x:v>
      </x:c>
      <x:c r="J359" s="24" t="str">
        <x:v>继续用投入量衡量关系，或在未表达需要时累积失衡感。</x:v>
      </x:c>
      <x:c r="K359" s="24" t="str">
        <x:v>由共享基础引擎提供；仅修正保护功能的承载、持续调用和压力状态下的稳定性，不直接等同成熟度、道德或现实行为。</x:v>
      </x:c>
      <x:c r="L359" s="24" t="str">
        <x:v>由M1／M2接口提供；夫妻星、心动原型和关系门槛只说明关系议题，不单独证明保护因素已经被调用或有效。</x:v>
      </x:c>
      <x:c r="M359" s="24" t="str">
        <x:v>由M3-BASE及M4各模块提供；日支、日柱近位可提高与亲密关系核心的相关性，但同一source_id不得重复计分。</x:v>
      </x:c>
      <x:c r="N359" s="24" t="str">
        <x:v>保护因素必须明确限制过用、补足缺位、恢复顺序、打开反馈、落实改变或完成修复回流；不能只凭五行相生补写现实效果。</x:v>
      </x:c>
      <x:c r="O359" s="24" t="str">
        <x:v>近位提高进入亲密关系核心的概率；远位只作背景、阶段或条件性修正。</x:v>
      </x:c>
      <x:c r="P359" s="24" t="str">
        <x:v>根气只修正该保护功能是否容易重复调用，不等于现实中已经形成稳定保护。</x:v>
      </x:c>
      <x:c r="Q359" s="24" t="str">
        <x:v>旺弱只修正调用强度与承载；强不自动有效，弱也不自动无效。</x:v>
      </x:c>
      <x:c r="R359" s="24" t="str">
        <x:v>喜忌只修正摩擦、平衡与承载，不可直接翻译为好坏、成熟度或解决方案。</x:v>
      </x:c>
      <x:c r="S359" s="24" t="str">
        <x:v>原十神功能有效；真合化成立时按化神功能替换，合化争议时停止定性。</x:v>
      </x:c>
      <x:c r="T359" s="24" t="str">
        <x:v>近位提高直接相关性；远位仅保留背景、阶段或低置信修正。</x:v>
      </x:c>
      <x:c r="U359" s="24" t="str">
        <x:v>93</x:v>
      </x:c>
      <x:c r="V359" s="24" t="str">
        <x:v>中断+14</x:v>
      </x:c>
      <x:c r="W359" s="24" t="str">
        <x:v>buffer_level</x:v>
      </x:c>
      <x:c r="X359" s="24" t="str">
        <x:v>保护成立时，付出从隐性记账转成清楚协商。</x:v>
      </x:c>
      <x:c r="Y359" s="24" t="str">
        <x:v>真正有效时会看到：保护成立时，付出从隐性记账转成清楚协商。</x:v>
      </x:c>
      <x:c r="Z359" s="24" t="str">
        <x:v>不得仅凭本规则断定问题已经解决、关系必然稳定、用户一定成熟、某十神天然是“药”、喜用神自动等于解决办法，或淡化暴力、强迫与现实伤害；现实行为、反例、安全事实和专业支持优先。</x:v>
      </x:c>
      <x:c r="AA359" s="24" t="str">
        <x:v>中高</x:v>
      </x:c>
      <x:c r="AB359" s="24" t="str">
        <x:v>待验证</x:v>
      </x:c>
      <x:c r="AC359" s="24" t="str"/>
      <x:c r="AD359" s="24" t="str">
        <x:v>provisional=true；保护因素的现实有效性必须由可观察行为、反馈和持续结果验证。</x:v>
      </x:c>
      <x:c r="AE359" s="24" t="str">
        <x:v>0.8</x:v>
      </x:c>
    </x:row>
    <x:row r="360" ht="52" customHeight="1">
      <x:c r="A360" s="24" t="str">
        <x:v>M4-BUFFER-359</x:v>
      </x:c>
      <x:c r="B360" s="24" t="str">
        <x:v>LP06 投入记账循环｜伪中断／复发标志</x:v>
      </x:c>
      <x:c r="C360" s="24" t="str">
        <x:v>L7 LP01—LP12循环退出</x:v>
      </x:c>
      <x:c r="D360" s="24" t="str">
        <x:v>BUFFER-LOOP接口</x:v>
      </x:c>
      <x:c r="E360" s="24" t="str">
        <x:v>通用</x:v>
      </x:c>
      <x:c r="F360" s="24" t="str">
        <x:v>降级</x:v>
      </x:c>
      <x:c r="G360" s="24" t="str">
        <x:v>LP06 投入记账循环</x:v>
      </x:c>
      <x:c r="H360" s="24" t="str">
        <x:v>BF05需求反馈＋BF03资源边界＋BF06持续互惠；识别短期缓解与真实中断的区别。</x:v>
      </x:c>
      <x:c r="I360" s="24" t="str">
        <x:v>继续用投入量衡量关系，或在未表达需要时累积失衡感。</x:v>
      </x:c>
      <x:c r="J360" s="24" t="str">
        <x:v>先说清需要什么回应，再定义资源边界和互惠方式。</x:v>
      </x:c>
      <x:c r="K360" s="24" t="str">
        <x:v>由共享基础引擎提供；仅修正保护功能的承载、持续调用和压力状态下的稳定性，不直接等同成熟度、道德或现实行为。</x:v>
      </x:c>
      <x:c r="L360" s="24" t="str">
        <x:v>由M1／M2接口提供；夫妻星、心动原型和关系门槛只说明关系议题，不单独证明保护因素已经被调用或有效。</x:v>
      </x:c>
      <x:c r="M360" s="24" t="str">
        <x:v>由M3-BASE及M4各模块提供；日支、日柱近位可提高与亲密关系核心的相关性，但同一source_id不得重复计分。</x:v>
      </x:c>
      <x:c r="N360" s="24" t="str">
        <x:v>保护因素必须明确限制过用、补足缺位、恢复顺序、打开反馈、落实改变或完成修复回流；不能只凭五行相生补写现实效果。</x:v>
      </x:c>
      <x:c r="O360" s="24" t="str">
        <x:v>近位提高进入亲密关系核心的概率；远位只作背景、阶段或条件性修正。</x:v>
      </x:c>
      <x:c r="P360" s="24" t="str">
        <x:v>根气只修正该保护功能是否容易重复调用，不等于现实中已经形成稳定保护。</x:v>
      </x:c>
      <x:c r="Q360" s="24" t="str">
        <x:v>旺弱只修正调用强度与承载；强不自动有效，弱也不自动无效。</x:v>
      </x:c>
      <x:c r="R360" s="24" t="str">
        <x:v>喜忌只修正摩擦、平衡与承载，不可直接翻译为好坏、成熟度或解决方案。</x:v>
      </x:c>
      <x:c r="S360" s="24" t="str">
        <x:v>原十神功能有效；真合化成立时按化神功能替换，合化争议时停止定性。</x:v>
      </x:c>
      <x:c r="T360" s="24" t="str">
        <x:v>近位提高直接相关性；远位仅保留背景、阶段或低置信修正。</x:v>
      </x:c>
      <x:c r="U360" s="24" t="str">
        <x:v>97</x:v>
      </x:c>
      <x:c r="V360" s="24" t="str">
        <x:v>复发风险+0／保护-10</x:v>
      </x:c>
      <x:c r="W360" s="24" t="str">
        <x:v>pseudo_buffer</x:v>
      </x:c>
      <x:c r="X360" s="24" t="str">
        <x:v>若出现“继续用投入量衡量关系，或在未表达需要时累积失衡感。”，循环可能只是暂时降温，尚未被中断。</x:v>
      </x:c>
      <x:c r="Y360" s="24" t="str">
        <x:v>如果只是继续用投入量衡量关系，或在未表达需要时累积失衡感。，还不能判断循环已经改变。</x:v>
      </x:c>
      <x:c r="Z360" s="24" t="str">
        <x:v>不得仅凭本规则断定问题已经解决、关系必然稳定、用户一定成熟、某十神天然是“药”、喜用神自动等于解决办法，或淡化暴力、强迫与现实伤害；现实行为、反例、安全事实和专业支持优先。</x:v>
      </x:c>
      <x:c r="AA360" s="24" t="str">
        <x:v>高</x:v>
      </x:c>
      <x:c r="AB360" s="24" t="str">
        <x:v>待验证</x:v>
      </x:c>
      <x:c r="AC360" s="24" t="str"/>
      <x:c r="AD360" s="24" t="str">
        <x:v>provisional=true；保护因素的现实有效性必须由可观察行为、反馈和持续结果验证。</x:v>
      </x:c>
      <x:c r="AE360" s="24" t="str">
        <x:v>0.8</x:v>
      </x:c>
    </x:row>
    <x:row r="361" ht="52" customHeight="1">
      <x:c r="A361" s="24" t="str">
        <x:v>M4-BUFFER-360</x:v>
      </x:c>
      <x:c r="B361" s="24" t="str">
        <x:v>LP06 投入记账循环｜用户输出</x:v>
      </x:c>
      <x:c r="C361" s="24" t="str">
        <x:v>L7 LP01—LP12循环退出</x:v>
      </x:c>
      <x:c r="D361" s="24" t="str">
        <x:v>BUFFER-LOOP接口</x:v>
      </x:c>
      <x:c r="E361" s="24" t="str">
        <x:v>通用</x:v>
      </x:c>
      <x:c r="F361" s="24" t="str">
        <x:v>语言</x:v>
      </x:c>
      <x:c r="G361" s="24" t="str">
        <x:v>LP06 投入记账循环</x:v>
      </x:c>
      <x:c r="H361" s="24" t="str">
        <x:v>BF05需求反馈＋BF03资源边界＋BF06持续互惠；生成循环＋退出语言。</x:v>
      </x:c>
      <x:c r="I361" s="24" t="str">
        <x:v>LP06循环节点已有现实支持，且保护组合达到BL3以上。</x:v>
      </x:c>
      <x:c r="J361" s="24" t="str">
        <x:v>只有单次事件或资料不足。</x:v>
      </x:c>
      <x:c r="K361" s="24" t="str">
        <x:v>由共享基础引擎提供；仅修正保护功能的承载、持续调用和压力状态下的稳定性，不直接等同成熟度、道德或现实行为。</x:v>
      </x:c>
      <x:c r="L361" s="24" t="str">
        <x:v>由M1／M2接口提供；夫妻星、心动原型和关系门槛只说明关系议题，不单独证明保护因素已经被调用或有效。</x:v>
      </x:c>
      <x:c r="M361" s="24" t="str">
        <x:v>由M3-BASE及M4各模块提供；日支、日柱近位可提高与亲密关系核心的相关性，但同一source_id不得重复计分。</x:v>
      </x:c>
      <x:c r="N361" s="24" t="str">
        <x:v>保护因素必须明确限制过用、补足缺位、恢复顺序、打开反馈、落实改变或完成修复回流；不能只凭五行相生补写现实效果。</x:v>
      </x:c>
      <x:c r="O361" s="24" t="str">
        <x:v>近位提高进入亲密关系核心的概率；远位只作背景、阶段或条件性修正。</x:v>
      </x:c>
      <x:c r="P361" s="24" t="str">
        <x:v>根气只修正该保护功能是否容易重复调用，不等于现实中已经形成稳定保护。</x:v>
      </x:c>
      <x:c r="Q361" s="24" t="str">
        <x:v>旺弱只修正调用强度与承载；强不自动有效，弱也不自动无效。</x:v>
      </x:c>
      <x:c r="R361" s="24" t="str">
        <x:v>喜忌只修正摩擦、平衡与承载，不可直接翻译为好坏、成熟度或解决方案。</x:v>
      </x:c>
      <x:c r="S361" s="24" t="str">
        <x:v>原十神功能有效；真合化成立时按化神功能替换，合化争议时停止定性。</x:v>
      </x:c>
      <x:c r="T361" s="24" t="str">
        <x:v>近位提高直接相关性；远位仅保留背景、阶段或低置信修正。</x:v>
      </x:c>
      <x:c r="U361" s="24" t="str">
        <x:v>84</x:v>
      </x:c>
      <x:c r="V361" s="24" t="str">
        <x:v>不加分；输出</x:v>
      </x:c>
      <x:c r="W361" s="24" t="str">
        <x:v>report_text</x:v>
      </x:c>
      <x:c r="X361" s="24" t="str">
        <x:v>投入记账循环的退出重点是：先说清需要什么回应，再定义资源边界和互惠方式。</x:v>
      </x:c>
      <x:c r="Y361" s="24" t="str">
        <x:v>这类循环真正需要的是：先说清需要什么回应，再定义资源边界和互惠方式。</x:v>
      </x:c>
      <x:c r="Z361" s="24" t="str">
        <x:v>不得仅凭本规则断定问题已经解决、关系必然稳定、用户一定成熟、某十神天然是“药”、喜用神自动等于解决办法，或淡化暴力、强迫与现实伤害；现实行为、反例、安全事实和专业支持优先。</x:v>
      </x:c>
      <x:c r="AA361" s="24" t="str">
        <x:v>中高</x:v>
      </x:c>
      <x:c r="AB361" s="24" t="str">
        <x:v>待验证</x:v>
      </x:c>
      <x:c r="AC361" s="24" t="str"/>
      <x:c r="AD361" s="24" t="str">
        <x:v>provisional=true；保护因素的现实有效性必须由可观察行为、反馈和持续结果验证。</x:v>
      </x:c>
      <x:c r="AE361" s="24" t="str">
        <x:v>0.8</x:v>
      </x:c>
    </x:row>
    <x:row r="362" ht="52" customHeight="1">
      <x:c r="A362" s="24" t="str">
        <x:v>M4-BUFFER-361</x:v>
      </x:c>
      <x:c r="B362" s="24" t="str">
        <x:v>LP07 亲密撤回循环｜最低保护组合</x:v>
      </x:c>
      <x:c r="C362" s="24" t="str">
        <x:v>L7 LP01—LP12循环退出</x:v>
      </x:c>
      <x:c r="D362" s="24" t="str">
        <x:v>BUFFER-LOOP接口</x:v>
      </x:c>
      <x:c r="E362" s="24" t="str">
        <x:v>通用</x:v>
      </x:c>
      <x:c r="F362" s="24" t="str">
        <x:v>路由</x:v>
      </x:c>
      <x:c r="G362" s="24" t="str">
        <x:v>LP07 亲密撤回循环</x:v>
      </x:c>
      <x:c r="H362" s="24" t="str">
        <x:v>BF03空间边界＋BF07回归路径＋BF08状态识别；路由循环的最小保护组合。</x:v>
      </x:c>
      <x:c r="I362" s="24" t="str">
        <x:v>LP07达到E3候选，且存在BF03空间边界＋BF07回归路径＋BF08状态识别中的至少一项独立资源。</x:v>
      </x:c>
      <x:c r="J362" s="24" t="str">
        <x:v>只有命盘标签，没有现实循环节点。</x:v>
      </x:c>
      <x:c r="K362" s="24" t="str">
        <x:v>由共享基础引擎提供；仅修正保护功能的承载、持续调用和压力状态下的稳定性，不直接等同成熟度、道德或现实行为。</x:v>
      </x:c>
      <x:c r="L362" s="24" t="str">
        <x:v>由M1／M2接口提供；夫妻星、心动原型和关系门槛只说明关系议题，不单独证明保护因素已经被调用或有效。</x:v>
      </x:c>
      <x:c r="M362" s="24" t="str">
        <x:v>由M3-BASE及M4各模块提供；日支、日柱近位可提高与亲密关系核心的相关性，但同一source_id不得重复计分。</x:v>
      </x:c>
      <x:c r="N362" s="24" t="str">
        <x:v>保护因素必须明确限制过用、补足缺位、恢复顺序、打开反馈、落实改变或完成修复回流；不能只凭五行相生补写现实效果。</x:v>
      </x:c>
      <x:c r="O362" s="24" t="str">
        <x:v>近位提高进入亲密关系核心的概率；远位只作背景、阶段或条件性修正。</x:v>
      </x:c>
      <x:c r="P362" s="24" t="str">
        <x:v>根气只修正该保护功能是否容易重复调用，不等于现实中已经形成稳定保护。</x:v>
      </x:c>
      <x:c r="Q362" s="24" t="str">
        <x:v>旺弱只修正调用强度与承载；强不自动有效，弱也不自动无效。</x:v>
      </x:c>
      <x:c r="R362" s="24" t="str">
        <x:v>喜忌只修正摩擦、平衡与承载，不可直接翻译为好坏、成熟度或解决方案。</x:v>
      </x:c>
      <x:c r="S362" s="24" t="str">
        <x:v>原十神功能有效；真合化成立时按化神功能替换，合化争议时停止定性。</x:v>
      </x:c>
      <x:c r="T362" s="24" t="str">
        <x:v>近位提高直接相关性；远位仅保留背景、阶段或低置信修正。</x:v>
      </x:c>
      <x:c r="U362" s="24" t="str">
        <x:v>94</x:v>
      </x:c>
      <x:c r="V362" s="24" t="str">
        <x:v>路由+6</x:v>
      </x:c>
      <x:c r="W362" s="24" t="str">
        <x:v>primary_buffer</x:v>
      </x:c>
      <x:c r="X362" s="24" t="str">
        <x:v>LP07最低保护组合：BF03空间边界＋BF07回归路径＋BF08状态识别。</x:v>
      </x:c>
      <x:c r="Y362" s="24" t="str">
        <x:v>要中断这类循环，优先检查：BF03空间边界＋BF07回归路径＋BF08状态识别。</x:v>
      </x:c>
      <x:c r="Z362" s="24" t="str">
        <x:v>不得仅凭本规则断定问题已经解决、关系必然稳定、用户一定成熟、某十神天然是“药”、喜用神自动等于解决办法，或淡化暴力、强迫与现实伤害；现实行为、反例、安全事实和专业支持优先。</x:v>
      </x:c>
      <x:c r="AA362" s="24" t="str">
        <x:v>中高</x:v>
      </x:c>
      <x:c r="AB362" s="24" t="str">
        <x:v>待验证</x:v>
      </x:c>
      <x:c r="AC362" s="24" t="str"/>
      <x:c r="AD362" s="24" t="str">
        <x:v>provisional=true；保护因素的现实有效性必须由可观察行为、反馈和持续结果验证。</x:v>
      </x:c>
      <x:c r="AE362" s="24" t="str">
        <x:v>0.8</x:v>
      </x:c>
    </x:row>
    <x:row r="363" ht="52" customHeight="1">
      <x:c r="A363" s="24" t="str">
        <x:v>M4-BUFFER-362</x:v>
      </x:c>
      <x:c r="B363" s="24" t="str">
        <x:v>LP07 亲密撤回循环｜有效中断标志</x:v>
      </x:c>
      <x:c r="C363" s="24" t="str">
        <x:v>L7 LP01—LP12循环退出</x:v>
      </x:c>
      <x:c r="D363" s="24" t="str">
        <x:v>BUFFER-LOOP接口</x:v>
      </x:c>
      <x:c r="E363" s="24" t="str">
        <x:v>通用</x:v>
      </x:c>
      <x:c r="F363" s="24" t="str">
        <x:v>效果</x:v>
      </x:c>
      <x:c r="G363" s="24" t="str">
        <x:v>LP07 亲密撤回循环</x:v>
      </x:c>
      <x:c r="H363" s="24" t="str">
        <x:v>BF03空间边界＋BF07回归路径＋BF08状态识别；判断循环是否被真实中断。</x:v>
      </x:c>
      <x:c r="I363" s="24" t="str">
        <x:v>说明空间的目的、最低连接和返回时间，让靠近与暂停都有边界。</x:v>
      </x:c>
      <x:c r="J363" s="24" t="str">
        <x:v>一方靠近越多另一方撤回越久，且没有回归协议。</x:v>
      </x:c>
      <x:c r="K363" s="24" t="str">
        <x:v>由共享基础引擎提供；仅修正保护功能的承载、持续调用和压力状态下的稳定性，不直接等同成熟度、道德或现实行为。</x:v>
      </x:c>
      <x:c r="L363" s="24" t="str">
        <x:v>由M1／M2接口提供；夫妻星、心动原型和关系门槛只说明关系议题，不单独证明保护因素已经被调用或有效。</x:v>
      </x:c>
      <x:c r="M363" s="24" t="str">
        <x:v>由M3-BASE及M4各模块提供；日支、日柱近位可提高与亲密关系核心的相关性，但同一source_id不得重复计分。</x:v>
      </x:c>
      <x:c r="N363" s="24" t="str">
        <x:v>保护因素必须明确限制过用、补足缺位、恢复顺序、打开反馈、落实改变或完成修复回流；不能只凭五行相生补写现实效果。</x:v>
      </x:c>
      <x:c r="O363" s="24" t="str">
        <x:v>近位提高进入亲密关系核心的概率；远位只作背景、阶段或条件性修正。</x:v>
      </x:c>
      <x:c r="P363" s="24" t="str">
        <x:v>根气只修正该保护功能是否容易重复调用，不等于现实中已经形成稳定保护。</x:v>
      </x:c>
      <x:c r="Q363" s="24" t="str">
        <x:v>旺弱只修正调用强度与承载；强不自动有效，弱也不自动无效。</x:v>
      </x:c>
      <x:c r="R363" s="24" t="str">
        <x:v>喜忌只修正摩擦、平衡与承载，不可直接翻译为好坏、成熟度或解决方案。</x:v>
      </x:c>
      <x:c r="S363" s="24" t="str">
        <x:v>原十神功能有效；真合化成立时按化神功能替换，合化争议时停止定性。</x:v>
      </x:c>
      <x:c r="T363" s="24" t="str">
        <x:v>近位提高直接相关性；远位仅保留背景、阶段或低置信修正。</x:v>
      </x:c>
      <x:c r="U363" s="24" t="str">
        <x:v>93</x:v>
      </x:c>
      <x:c r="V363" s="24" t="str">
        <x:v>中断+14</x:v>
      </x:c>
      <x:c r="W363" s="24" t="str">
        <x:v>buffer_level</x:v>
      </x:c>
      <x:c r="X363" s="24" t="str">
        <x:v>保护成立时，空间不再等于失联，靠近也不再越过选择权。</x:v>
      </x:c>
      <x:c r="Y363" s="24" t="str">
        <x:v>真正有效时会看到：保护成立时，空间不再等于失联，靠近也不再越过选择权。</x:v>
      </x:c>
      <x:c r="Z363" s="24" t="str">
        <x:v>不得仅凭本规则断定问题已经解决、关系必然稳定、用户一定成熟、某十神天然是“药”、喜用神自动等于解决办法，或淡化暴力、强迫与现实伤害；现实行为、反例、安全事实和专业支持优先。</x:v>
      </x:c>
      <x:c r="AA363" s="24" t="str">
        <x:v>中高</x:v>
      </x:c>
      <x:c r="AB363" s="24" t="str">
        <x:v>待验证</x:v>
      </x:c>
      <x:c r="AC363" s="24" t="str"/>
      <x:c r="AD363" s="24" t="str">
        <x:v>provisional=true；保护因素的现实有效性必须由可观察行为、反馈和持续结果验证。</x:v>
      </x:c>
      <x:c r="AE363" s="24" t="str">
        <x:v>0.8</x:v>
      </x:c>
    </x:row>
    <x:row r="364" ht="52" customHeight="1">
      <x:c r="A364" s="24" t="str">
        <x:v>M4-BUFFER-363</x:v>
      </x:c>
      <x:c r="B364" s="24" t="str">
        <x:v>LP07 亲密撤回循环｜伪中断／复发标志</x:v>
      </x:c>
      <x:c r="C364" s="24" t="str">
        <x:v>L7 LP01—LP12循环退出</x:v>
      </x:c>
      <x:c r="D364" s="24" t="str">
        <x:v>BUFFER-LOOP接口</x:v>
      </x:c>
      <x:c r="E364" s="24" t="str">
        <x:v>通用</x:v>
      </x:c>
      <x:c r="F364" s="24" t="str">
        <x:v>降级</x:v>
      </x:c>
      <x:c r="G364" s="24" t="str">
        <x:v>LP07 亲密撤回循环</x:v>
      </x:c>
      <x:c r="H364" s="24" t="str">
        <x:v>BF03空间边界＋BF07回归路径＋BF08状态识别；识别短期缓解与真实中断的区别。</x:v>
      </x:c>
      <x:c r="I364" s="24" t="str">
        <x:v>一方靠近越多另一方撤回越久，且没有回归协议。</x:v>
      </x:c>
      <x:c r="J364" s="24" t="str">
        <x:v>说明空间的目的、最低连接和返回时间，让靠近与暂停都有边界。</x:v>
      </x:c>
      <x:c r="K364" s="24" t="str">
        <x:v>由共享基础引擎提供；仅修正保护功能的承载、持续调用和压力状态下的稳定性，不直接等同成熟度、道德或现实行为。</x:v>
      </x:c>
      <x:c r="L364" s="24" t="str">
        <x:v>由M1／M2接口提供；夫妻星、心动原型和关系门槛只说明关系议题，不单独证明保护因素已经被调用或有效。</x:v>
      </x:c>
      <x:c r="M364" s="24" t="str">
        <x:v>由M3-BASE及M4各模块提供；日支、日柱近位可提高与亲密关系核心的相关性，但同一source_id不得重复计分。</x:v>
      </x:c>
      <x:c r="N364" s="24" t="str">
        <x:v>保护因素必须明确限制过用、补足缺位、恢复顺序、打开反馈、落实改变或完成修复回流；不能只凭五行相生补写现实效果。</x:v>
      </x:c>
      <x:c r="O364" s="24" t="str">
        <x:v>近位提高进入亲密关系核心的概率；远位只作背景、阶段或条件性修正。</x:v>
      </x:c>
      <x:c r="P364" s="24" t="str">
        <x:v>根气只修正该保护功能是否容易重复调用，不等于现实中已经形成稳定保护。</x:v>
      </x:c>
      <x:c r="Q364" s="24" t="str">
        <x:v>旺弱只修正调用强度与承载；强不自动有效，弱也不自动无效。</x:v>
      </x:c>
      <x:c r="R364" s="24" t="str">
        <x:v>喜忌只修正摩擦、平衡与承载，不可直接翻译为好坏、成熟度或解决方案。</x:v>
      </x:c>
      <x:c r="S364" s="24" t="str">
        <x:v>原十神功能有效；真合化成立时按化神功能替换，合化争议时停止定性。</x:v>
      </x:c>
      <x:c r="T364" s="24" t="str">
        <x:v>近位提高直接相关性；远位仅保留背景、阶段或低置信修正。</x:v>
      </x:c>
      <x:c r="U364" s="24" t="str">
        <x:v>97</x:v>
      </x:c>
      <x:c r="V364" s="24" t="str">
        <x:v>复发风险+0／保护-10</x:v>
      </x:c>
      <x:c r="W364" s="24" t="str">
        <x:v>pseudo_buffer</x:v>
      </x:c>
      <x:c r="X364" s="24" t="str">
        <x:v>若出现“一方靠近越多另一方撤回越久，且没有回归协议。”，循环可能只是暂时降温，尚未被中断。</x:v>
      </x:c>
      <x:c r="Y364" s="24" t="str">
        <x:v>如果只是一方靠近越多另一方撤回越久，且没有回归协议。，还不能判断循环已经改变。</x:v>
      </x:c>
      <x:c r="Z364" s="24" t="str">
        <x:v>不得仅凭本规则断定问题已经解决、关系必然稳定、用户一定成熟、某十神天然是“药”、喜用神自动等于解决办法，或淡化暴力、强迫与现实伤害；现实行为、反例、安全事实和专业支持优先。</x:v>
      </x:c>
      <x:c r="AA364" s="24" t="str">
        <x:v>高</x:v>
      </x:c>
      <x:c r="AB364" s="24" t="str">
        <x:v>待验证</x:v>
      </x:c>
      <x:c r="AC364" s="24" t="str"/>
      <x:c r="AD364" s="24" t="str">
        <x:v>provisional=true；保护因素的现实有效性必须由可观察行为、反馈和持续结果验证。</x:v>
      </x:c>
      <x:c r="AE364" s="24" t="str">
        <x:v>0.8</x:v>
      </x:c>
    </x:row>
    <x:row r="365" ht="52" customHeight="1">
      <x:c r="A365" s="24" t="str">
        <x:v>M4-BUFFER-364</x:v>
      </x:c>
      <x:c r="B365" s="24" t="str">
        <x:v>LP07 亲密撤回循环｜用户输出</x:v>
      </x:c>
      <x:c r="C365" s="24" t="str">
        <x:v>L7 LP01—LP12循环退出</x:v>
      </x:c>
      <x:c r="D365" s="24" t="str">
        <x:v>BUFFER-LOOP接口</x:v>
      </x:c>
      <x:c r="E365" s="24" t="str">
        <x:v>通用</x:v>
      </x:c>
      <x:c r="F365" s="24" t="str">
        <x:v>语言</x:v>
      </x:c>
      <x:c r="G365" s="24" t="str">
        <x:v>LP07 亲密撤回循环</x:v>
      </x:c>
      <x:c r="H365" s="24" t="str">
        <x:v>BF03空间边界＋BF07回归路径＋BF08状态识别；生成循环＋退出语言。</x:v>
      </x:c>
      <x:c r="I365" s="24" t="str">
        <x:v>LP07循环节点已有现实支持，且保护组合达到BL3以上。</x:v>
      </x:c>
      <x:c r="J365" s="24" t="str">
        <x:v>只有单次事件或资料不足。</x:v>
      </x:c>
      <x:c r="K365" s="24" t="str">
        <x:v>由共享基础引擎提供；仅修正保护功能的承载、持续调用和压力状态下的稳定性，不直接等同成熟度、道德或现实行为。</x:v>
      </x:c>
      <x:c r="L365" s="24" t="str">
        <x:v>由M1／M2接口提供；夫妻星、心动原型和关系门槛只说明关系议题，不单独证明保护因素已经被调用或有效。</x:v>
      </x:c>
      <x:c r="M365" s="24" t="str">
        <x:v>由M3-BASE及M4各模块提供；日支、日柱近位可提高与亲密关系核心的相关性，但同一source_id不得重复计分。</x:v>
      </x:c>
      <x:c r="N365" s="24" t="str">
        <x:v>保护因素必须明确限制过用、补足缺位、恢复顺序、打开反馈、落实改变或完成修复回流；不能只凭五行相生补写现实效果。</x:v>
      </x:c>
      <x:c r="O365" s="24" t="str">
        <x:v>近位提高进入亲密关系核心的概率；远位只作背景、阶段或条件性修正。</x:v>
      </x:c>
      <x:c r="P365" s="24" t="str">
        <x:v>根气只修正该保护功能是否容易重复调用，不等于现实中已经形成稳定保护。</x:v>
      </x:c>
      <x:c r="Q365" s="24" t="str">
        <x:v>旺弱只修正调用强度与承载；强不自动有效，弱也不自动无效。</x:v>
      </x:c>
      <x:c r="R365" s="24" t="str">
        <x:v>喜忌只修正摩擦、平衡与承载，不可直接翻译为好坏、成熟度或解决方案。</x:v>
      </x:c>
      <x:c r="S365" s="24" t="str">
        <x:v>原十神功能有效；真合化成立时按化神功能替换，合化争议时停止定性。</x:v>
      </x:c>
      <x:c r="T365" s="24" t="str">
        <x:v>近位提高直接相关性；远位仅保留背景、阶段或低置信修正。</x:v>
      </x:c>
      <x:c r="U365" s="24" t="str">
        <x:v>84</x:v>
      </x:c>
      <x:c r="V365" s="24" t="str">
        <x:v>不加分；输出</x:v>
      </x:c>
      <x:c r="W365" s="24" t="str">
        <x:v>report_text</x:v>
      </x:c>
      <x:c r="X365" s="24" t="str">
        <x:v>亲密撤回循环的退出重点是：说明空间的目的、最低连接和返回时间，让靠近与暂停都有边界。</x:v>
      </x:c>
      <x:c r="Y365" s="24" t="str">
        <x:v>这类循环真正需要的是：说明空间的目的、最低连接和返回时间，让靠近与暂停都有边界。</x:v>
      </x:c>
      <x:c r="Z365" s="24" t="str">
        <x:v>不得仅凭本规则断定问题已经解决、关系必然稳定、用户一定成熟、某十神天然是“药”、喜用神自动等于解决办法，或淡化暴力、强迫与现实伤害；现实行为、反例、安全事实和专业支持优先。</x:v>
      </x:c>
      <x:c r="AA365" s="24" t="str">
        <x:v>中高</x:v>
      </x:c>
      <x:c r="AB365" s="24" t="str">
        <x:v>待验证</x:v>
      </x:c>
      <x:c r="AC365" s="24" t="str"/>
      <x:c r="AD365" s="24" t="str">
        <x:v>provisional=true；保护因素的现实有效性必须由可观察行为、反馈和持续结果验证。</x:v>
      </x:c>
      <x:c r="AE365" s="24" t="str">
        <x:v>0.8</x:v>
      </x:c>
    </x:row>
    <x:row r="366" ht="52" customHeight="1">
      <x:c r="A366" s="24" t="str">
        <x:v>M4-BUFFER-365</x:v>
      </x:c>
      <x:c r="B366" s="24" t="str">
        <x:v>LP08 平等竞争循环｜最低保护组合</x:v>
      </x:c>
      <x:c r="C366" s="24" t="str">
        <x:v>L7 LP01—LP12循环退出</x:v>
      </x:c>
      <x:c r="D366" s="24" t="str">
        <x:v>BUFFER-LOOP接口</x:v>
      </x:c>
      <x:c r="E366" s="24" t="str">
        <x:v>通用</x:v>
      </x:c>
      <x:c r="F366" s="24" t="str">
        <x:v>路由</x:v>
      </x:c>
      <x:c r="G366" s="24" t="str">
        <x:v>LP08 平等竞争循环</x:v>
      </x:c>
      <x:c r="H366" s="24" t="str">
        <x:v>BF03角色分工＋BF05共同协商；路由循环的最小保护组合。</x:v>
      </x:c>
      <x:c r="I366" s="24" t="str">
        <x:v>LP08达到E3候选，且存在BF03角色分工＋BF05共同协商中的至少一项独立资源。</x:v>
      </x:c>
      <x:c r="J366" s="24" t="str">
        <x:v>只有命盘标签，没有现实循环节点。</x:v>
      </x:c>
      <x:c r="K366" s="24" t="str">
        <x:v>由共享基础引擎提供；仅修正保护功能的承载、持续调用和压力状态下的稳定性，不直接等同成熟度、道德或现实行为。</x:v>
      </x:c>
      <x:c r="L366" s="24" t="str">
        <x:v>由M1／M2接口提供；夫妻星、心动原型和关系门槛只说明关系议题，不单独证明保护因素已经被调用或有效。</x:v>
      </x:c>
      <x:c r="M366" s="24" t="str">
        <x:v>由M3-BASE及M4各模块提供；日支、日柱近位可提高与亲密关系核心的相关性，但同一source_id不得重复计分。</x:v>
      </x:c>
      <x:c r="N366" s="24" t="str">
        <x:v>保护因素必须明确限制过用、补足缺位、恢复顺序、打开反馈、落实改变或完成修复回流；不能只凭五行相生补写现实效果。</x:v>
      </x:c>
      <x:c r="O366" s="24" t="str">
        <x:v>近位提高进入亲密关系核心的概率；远位只作背景、阶段或条件性修正。</x:v>
      </x:c>
      <x:c r="P366" s="24" t="str">
        <x:v>根气只修正该保护功能是否容易重复调用，不等于现实中已经形成稳定保护。</x:v>
      </x:c>
      <x:c r="Q366" s="24" t="str">
        <x:v>旺弱只修正调用强度与承载；强不自动有效，弱也不自动无效。</x:v>
      </x:c>
      <x:c r="R366" s="24" t="str">
        <x:v>喜忌只修正摩擦、平衡与承载，不可直接翻译为好坏、成熟度或解决方案。</x:v>
      </x:c>
      <x:c r="S366" s="24" t="str">
        <x:v>原十神功能有效；真合化成立时按化神功能替换，合化争议时停止定性。</x:v>
      </x:c>
      <x:c r="T366" s="24" t="str">
        <x:v>近位提高直接相关性；远位仅保留背景、阶段或低置信修正。</x:v>
      </x:c>
      <x:c r="U366" s="24" t="str">
        <x:v>94</x:v>
      </x:c>
      <x:c r="V366" s="24" t="str">
        <x:v>路由+6</x:v>
      </x:c>
      <x:c r="W366" s="24" t="str">
        <x:v>primary_buffer</x:v>
      </x:c>
      <x:c r="X366" s="24" t="str">
        <x:v>LP08最低保护组合：BF03角色分工＋BF05共同协商。</x:v>
      </x:c>
      <x:c r="Y366" s="24" t="str">
        <x:v>要中断这类循环，优先检查：BF03角色分工＋BF05共同协商。</x:v>
      </x:c>
      <x:c r="Z366" s="24" t="str">
        <x:v>不得仅凭本规则断定问题已经解决、关系必然稳定、用户一定成熟、某十神天然是“药”、喜用神自动等于解决办法，或淡化暴力、强迫与现实伤害；现实行为、反例、安全事实和专业支持优先。</x:v>
      </x:c>
      <x:c r="AA366" s="24" t="str">
        <x:v>中高</x:v>
      </x:c>
      <x:c r="AB366" s="24" t="str">
        <x:v>待验证</x:v>
      </x:c>
      <x:c r="AC366" s="24" t="str"/>
      <x:c r="AD366" s="24" t="str">
        <x:v>provisional=true；保护因素的现实有效性必须由可观察行为、反馈和持续结果验证。</x:v>
      </x:c>
      <x:c r="AE366" s="24" t="str">
        <x:v>0.8</x:v>
      </x:c>
    </x:row>
    <x:row r="367" ht="52" customHeight="1">
      <x:c r="A367" s="24" t="str">
        <x:v>M4-BUFFER-366</x:v>
      </x:c>
      <x:c r="B367" s="24" t="str">
        <x:v>LP08 平等竞争循环｜有效中断标志</x:v>
      </x:c>
      <x:c r="C367" s="24" t="str">
        <x:v>L7 LP01—LP12循环退出</x:v>
      </x:c>
      <x:c r="D367" s="24" t="str">
        <x:v>BUFFER-LOOP接口</x:v>
      </x:c>
      <x:c r="E367" s="24" t="str">
        <x:v>通用</x:v>
      </x:c>
      <x:c r="F367" s="24" t="str">
        <x:v>效果</x:v>
      </x:c>
      <x:c r="G367" s="24" t="str">
        <x:v>LP08 平等竞争循环</x:v>
      </x:c>
      <x:c r="H367" s="24" t="str">
        <x:v>BF03角色分工＋BF05共同协商；判断循环是否被真实中断。</x:v>
      </x:c>
      <x:c r="I367" s="24" t="str">
        <x:v>区分人格平等、具体分工和共同决定领域。</x:v>
      </x:c>
      <x:c r="J367" s="24" t="str">
        <x:v>每个议题都逐项比较谁付出更多、谁更正确。</x:v>
      </x:c>
      <x:c r="K367" s="24" t="str">
        <x:v>由共享基础引擎提供；仅修正保护功能的承载、持续调用和压力状态下的稳定性，不直接等同成熟度、道德或现实行为。</x:v>
      </x:c>
      <x:c r="L367" s="24" t="str">
        <x:v>由M1／M2接口提供；夫妻星、心动原型和关系门槛只说明关系议题，不单独证明保护因素已经被调用或有效。</x:v>
      </x:c>
      <x:c r="M367" s="24" t="str">
        <x:v>由M3-BASE及M4各模块提供；日支、日柱近位可提高与亲密关系核心的相关性，但同一source_id不得重复计分。</x:v>
      </x:c>
      <x:c r="N367" s="24" t="str">
        <x:v>保护因素必须明确限制过用、补足缺位、恢复顺序、打开反馈、落实改变或完成修复回流；不能只凭五行相生补写现实效果。</x:v>
      </x:c>
      <x:c r="O367" s="24" t="str">
        <x:v>近位提高进入亲密关系核心的概率；远位只作背景、阶段或条件性修正。</x:v>
      </x:c>
      <x:c r="P367" s="24" t="str">
        <x:v>根气只修正该保护功能是否容易重复调用，不等于现实中已经形成稳定保护。</x:v>
      </x:c>
      <x:c r="Q367" s="24" t="str">
        <x:v>旺弱只修正调用强度与承载；强不自动有效，弱也不自动无效。</x:v>
      </x:c>
      <x:c r="R367" s="24" t="str">
        <x:v>喜忌只修正摩擦、平衡与承载，不可直接翻译为好坏、成熟度或解决方案。</x:v>
      </x:c>
      <x:c r="S367" s="24" t="str">
        <x:v>原十神功能有效；真合化成立时按化神功能替换，合化争议时停止定性。</x:v>
      </x:c>
      <x:c r="T367" s="24" t="str">
        <x:v>近位提高直接相关性；远位仅保留背景、阶段或低置信修正。</x:v>
      </x:c>
      <x:c r="U367" s="24" t="str">
        <x:v>93</x:v>
      </x:c>
      <x:c r="V367" s="24" t="str">
        <x:v>中断+14</x:v>
      </x:c>
      <x:c r="W367" s="24" t="str">
        <x:v>buffer_level</x:v>
      </x:c>
      <x:c r="X367" s="24" t="str">
        <x:v>保护成立时，平等不再需要机械对称。</x:v>
      </x:c>
      <x:c r="Y367" s="24" t="str">
        <x:v>真正有效时会看到：保护成立时，平等不再需要机械对称。</x:v>
      </x:c>
      <x:c r="Z367" s="24" t="str">
        <x:v>不得仅凭本规则断定问题已经解决、关系必然稳定、用户一定成熟、某十神天然是“药”、喜用神自动等于解决办法，或淡化暴力、强迫与现实伤害；现实行为、反例、安全事实和专业支持优先。</x:v>
      </x:c>
      <x:c r="AA367" s="24" t="str">
        <x:v>中高</x:v>
      </x:c>
      <x:c r="AB367" s="24" t="str">
        <x:v>待验证</x:v>
      </x:c>
      <x:c r="AC367" s="24" t="str"/>
      <x:c r="AD367" s="24" t="str">
        <x:v>provisional=true；保护因素的现实有效性必须由可观察行为、反馈和持续结果验证。</x:v>
      </x:c>
      <x:c r="AE367" s="24" t="str">
        <x:v>0.8</x:v>
      </x:c>
    </x:row>
    <x:row r="368" ht="52" customHeight="1">
      <x:c r="A368" s="24" t="str">
        <x:v>M4-BUFFER-367</x:v>
      </x:c>
      <x:c r="B368" s="24" t="str">
        <x:v>LP08 平等竞争循环｜伪中断／复发标志</x:v>
      </x:c>
      <x:c r="C368" s="24" t="str">
        <x:v>L7 LP01—LP12循环退出</x:v>
      </x:c>
      <x:c r="D368" s="24" t="str">
        <x:v>BUFFER-LOOP接口</x:v>
      </x:c>
      <x:c r="E368" s="24" t="str">
        <x:v>通用</x:v>
      </x:c>
      <x:c r="F368" s="24" t="str">
        <x:v>降级</x:v>
      </x:c>
      <x:c r="G368" s="24" t="str">
        <x:v>LP08 平等竞争循环</x:v>
      </x:c>
      <x:c r="H368" s="24" t="str">
        <x:v>BF03角色分工＋BF05共同协商；识别短期缓解与真实中断的区别。</x:v>
      </x:c>
      <x:c r="I368" s="24" t="str">
        <x:v>每个议题都逐项比较谁付出更多、谁更正确。</x:v>
      </x:c>
      <x:c r="J368" s="24" t="str">
        <x:v>区分人格平等、具体分工和共同决定领域。</x:v>
      </x:c>
      <x:c r="K368" s="24" t="str">
        <x:v>由共享基础引擎提供；仅修正保护功能的承载、持续调用和压力状态下的稳定性，不直接等同成熟度、道德或现实行为。</x:v>
      </x:c>
      <x:c r="L368" s="24" t="str">
        <x:v>由M1／M2接口提供；夫妻星、心动原型和关系门槛只说明关系议题，不单独证明保护因素已经被调用或有效。</x:v>
      </x:c>
      <x:c r="M368" s="24" t="str">
        <x:v>由M3-BASE及M4各模块提供；日支、日柱近位可提高与亲密关系核心的相关性，但同一source_id不得重复计分。</x:v>
      </x:c>
      <x:c r="N368" s="24" t="str">
        <x:v>保护因素必须明确限制过用、补足缺位、恢复顺序、打开反馈、落实改变或完成修复回流；不能只凭五行相生补写现实效果。</x:v>
      </x:c>
      <x:c r="O368" s="24" t="str">
        <x:v>近位提高进入亲密关系核心的概率；远位只作背景、阶段或条件性修正。</x:v>
      </x:c>
      <x:c r="P368" s="24" t="str">
        <x:v>根气只修正该保护功能是否容易重复调用，不等于现实中已经形成稳定保护。</x:v>
      </x:c>
      <x:c r="Q368" s="24" t="str">
        <x:v>旺弱只修正调用强度与承载；强不自动有效，弱也不自动无效。</x:v>
      </x:c>
      <x:c r="R368" s="24" t="str">
        <x:v>喜忌只修正摩擦、平衡与承载，不可直接翻译为好坏、成熟度或解决方案。</x:v>
      </x:c>
      <x:c r="S368" s="24" t="str">
        <x:v>原十神功能有效；真合化成立时按化神功能替换，合化争议时停止定性。</x:v>
      </x:c>
      <x:c r="T368" s="24" t="str">
        <x:v>近位提高直接相关性；远位仅保留背景、阶段或低置信修正。</x:v>
      </x:c>
      <x:c r="U368" s="24" t="str">
        <x:v>97</x:v>
      </x:c>
      <x:c r="V368" s="24" t="str">
        <x:v>复发风险+0／保护-10</x:v>
      </x:c>
      <x:c r="W368" s="24" t="str">
        <x:v>pseudo_buffer</x:v>
      </x:c>
      <x:c r="X368" s="24" t="str">
        <x:v>若出现“每个议题都逐项比较谁付出更多、谁更正确。”，循环可能只是暂时降温，尚未被中断。</x:v>
      </x:c>
      <x:c r="Y368" s="24" t="str">
        <x:v>如果只是每个议题都逐项比较谁付出更多、谁更正确。，还不能判断循环已经改变。</x:v>
      </x:c>
      <x:c r="Z368" s="24" t="str">
        <x:v>不得仅凭本规则断定问题已经解决、关系必然稳定、用户一定成熟、某十神天然是“药”、喜用神自动等于解决办法，或淡化暴力、强迫与现实伤害；现实行为、反例、安全事实和专业支持优先。</x:v>
      </x:c>
      <x:c r="AA368" s="24" t="str">
        <x:v>高</x:v>
      </x:c>
      <x:c r="AB368" s="24" t="str">
        <x:v>待验证</x:v>
      </x:c>
      <x:c r="AC368" s="24" t="str"/>
      <x:c r="AD368" s="24" t="str">
        <x:v>provisional=true；保护因素的现实有效性必须由可观察行为、反馈和持续结果验证。</x:v>
      </x:c>
      <x:c r="AE368" s="24" t="str">
        <x:v>0.8</x:v>
      </x:c>
    </x:row>
    <x:row r="369" ht="52" customHeight="1">
      <x:c r="A369" s="24" t="str">
        <x:v>M4-BUFFER-368</x:v>
      </x:c>
      <x:c r="B369" s="24" t="str">
        <x:v>LP08 平等竞争循环｜用户输出</x:v>
      </x:c>
      <x:c r="C369" s="24" t="str">
        <x:v>L7 LP01—LP12循环退出</x:v>
      </x:c>
      <x:c r="D369" s="24" t="str">
        <x:v>BUFFER-LOOP接口</x:v>
      </x:c>
      <x:c r="E369" s="24" t="str">
        <x:v>通用</x:v>
      </x:c>
      <x:c r="F369" s="24" t="str">
        <x:v>语言</x:v>
      </x:c>
      <x:c r="G369" s="24" t="str">
        <x:v>LP08 平等竞争循环</x:v>
      </x:c>
      <x:c r="H369" s="24" t="str">
        <x:v>BF03角色分工＋BF05共同协商；生成循环＋退出语言。</x:v>
      </x:c>
      <x:c r="I369" s="24" t="str">
        <x:v>LP08循环节点已有现实支持，且保护组合达到BL3以上。</x:v>
      </x:c>
      <x:c r="J369" s="24" t="str">
        <x:v>只有单次事件或资料不足。</x:v>
      </x:c>
      <x:c r="K369" s="24" t="str">
        <x:v>由共享基础引擎提供；仅修正保护功能的承载、持续调用和压力状态下的稳定性，不直接等同成熟度、道德或现实行为。</x:v>
      </x:c>
      <x:c r="L369" s="24" t="str">
        <x:v>由M1／M2接口提供；夫妻星、心动原型和关系门槛只说明关系议题，不单独证明保护因素已经被调用或有效。</x:v>
      </x:c>
      <x:c r="M369" s="24" t="str">
        <x:v>由M3-BASE及M4各模块提供；日支、日柱近位可提高与亲密关系核心的相关性，但同一source_id不得重复计分。</x:v>
      </x:c>
      <x:c r="N369" s="24" t="str">
        <x:v>保护因素必须明确限制过用、补足缺位、恢复顺序、打开反馈、落实改变或完成修复回流；不能只凭五行相生补写现实效果。</x:v>
      </x:c>
      <x:c r="O369" s="24" t="str">
        <x:v>近位提高进入亲密关系核心的概率；远位只作背景、阶段或条件性修正。</x:v>
      </x:c>
      <x:c r="P369" s="24" t="str">
        <x:v>根气只修正该保护功能是否容易重复调用，不等于现实中已经形成稳定保护。</x:v>
      </x:c>
      <x:c r="Q369" s="24" t="str">
        <x:v>旺弱只修正调用强度与承载；强不自动有效，弱也不自动无效。</x:v>
      </x:c>
      <x:c r="R369" s="24" t="str">
        <x:v>喜忌只修正摩擦、平衡与承载，不可直接翻译为好坏、成熟度或解决方案。</x:v>
      </x:c>
      <x:c r="S369" s="24" t="str">
        <x:v>原十神功能有效；真合化成立时按化神功能替换，合化争议时停止定性。</x:v>
      </x:c>
      <x:c r="T369" s="24" t="str">
        <x:v>近位提高直接相关性；远位仅保留背景、阶段或低置信修正。</x:v>
      </x:c>
      <x:c r="U369" s="24" t="str">
        <x:v>84</x:v>
      </x:c>
      <x:c r="V369" s="24" t="str">
        <x:v>不加分；输出</x:v>
      </x:c>
      <x:c r="W369" s="24" t="str">
        <x:v>report_text</x:v>
      </x:c>
      <x:c r="X369" s="24" t="str">
        <x:v>平等竞争循环的退出重点是：区分人格平等、具体分工和共同决定领域。</x:v>
      </x:c>
      <x:c r="Y369" s="24" t="str">
        <x:v>这类循环真正需要的是：区分人格平等、具体分工和共同决定领域。</x:v>
      </x:c>
      <x:c r="Z369" s="24" t="str">
        <x:v>不得仅凭本规则断定问题已经解决、关系必然稳定、用户一定成熟、某十神天然是“药”、喜用神自动等于解决办法，或淡化暴力、强迫与现实伤害；现实行为、反例、安全事实和专业支持优先。</x:v>
      </x:c>
      <x:c r="AA369" s="24" t="str">
        <x:v>中高</x:v>
      </x:c>
      <x:c r="AB369" s="24" t="str">
        <x:v>待验证</x:v>
      </x:c>
      <x:c r="AC369" s="24" t="str"/>
      <x:c r="AD369" s="24" t="str">
        <x:v>provisional=true；保护因素的现实有效性必须由可观察行为、反馈和持续结果验证。</x:v>
      </x:c>
      <x:c r="AE369" s="24" t="str">
        <x:v>0.8</x:v>
      </x:c>
    </x:row>
    <x:row r="370" ht="52" customHeight="1">
      <x:c r="A370" s="24" t="str">
        <x:v>M4-BUFFER-369</x:v>
      </x:c>
      <x:c r="B370" s="24" t="str">
        <x:v>LP09 规则反弹循环｜最低保护组合</x:v>
      </x:c>
      <x:c r="C370" s="24" t="str">
        <x:v>L7 LP01—LP12循环退出</x:v>
      </x:c>
      <x:c r="D370" s="24" t="str">
        <x:v>BUFFER-LOOP接口</x:v>
      </x:c>
      <x:c r="E370" s="24" t="str">
        <x:v>通用</x:v>
      </x:c>
      <x:c r="F370" s="24" t="str">
        <x:v>路由</x:v>
      </x:c>
      <x:c r="G370" s="24" t="str">
        <x:v>LP09 规则反弹循环</x:v>
      </x:c>
      <x:c r="H370" s="24" t="str">
        <x:v>BF03共同决定＋BF05反馈＋BF06最小执行；路由循环的最小保护组合。</x:v>
      </x:c>
      <x:c r="I370" s="24" t="str">
        <x:v>LP09达到E3候选，且存在BF03共同决定＋BF05反馈＋BF06最小执行中的至少一项独立资源。</x:v>
      </x:c>
      <x:c r="J370" s="24" t="str">
        <x:v>只有命盘标签，没有现实循环节点。</x:v>
      </x:c>
      <x:c r="K370" s="24" t="str">
        <x:v>由共享基础引擎提供；仅修正保护功能的承载、持续调用和压力状态下的稳定性，不直接等同成熟度、道德或现实行为。</x:v>
      </x:c>
      <x:c r="L370" s="24" t="str">
        <x:v>由M1／M2接口提供；夫妻星、心动原型和关系门槛只说明关系议题，不单独证明保护因素已经被调用或有效。</x:v>
      </x:c>
      <x:c r="M370" s="24" t="str">
        <x:v>由M3-BASE及M4各模块提供；日支、日柱近位可提高与亲密关系核心的相关性，但同一source_id不得重复计分。</x:v>
      </x:c>
      <x:c r="N370" s="24" t="str">
        <x:v>保护因素必须明确限制过用、补足缺位、恢复顺序、打开反馈、落实改变或完成修复回流；不能只凭五行相生补写现实效果。</x:v>
      </x:c>
      <x:c r="O370" s="24" t="str">
        <x:v>近位提高进入亲密关系核心的概率；远位只作背景、阶段或条件性修正。</x:v>
      </x:c>
      <x:c r="P370" s="24" t="str">
        <x:v>根气只修正该保护功能是否容易重复调用，不等于现实中已经形成稳定保护。</x:v>
      </x:c>
      <x:c r="Q370" s="24" t="str">
        <x:v>旺弱只修正调用强度与承载；强不自动有效，弱也不自动无效。</x:v>
      </x:c>
      <x:c r="R370" s="24" t="str">
        <x:v>喜忌只修正摩擦、平衡与承载，不可直接翻译为好坏、成熟度或解决方案。</x:v>
      </x:c>
      <x:c r="S370" s="24" t="str">
        <x:v>原十神功能有效；真合化成立时按化神功能替换，合化争议时停止定性。</x:v>
      </x:c>
      <x:c r="T370" s="24" t="str">
        <x:v>近位提高直接相关性；远位仅保留背景、阶段或低置信修正。</x:v>
      </x:c>
      <x:c r="U370" s="24" t="str">
        <x:v>94</x:v>
      </x:c>
      <x:c r="V370" s="24" t="str">
        <x:v>路由+6</x:v>
      </x:c>
      <x:c r="W370" s="24" t="str">
        <x:v>primary_buffer</x:v>
      </x:c>
      <x:c r="X370" s="24" t="str">
        <x:v>LP09最低保护组合：BF03共同决定＋BF05反馈＋BF06最小执行。</x:v>
      </x:c>
      <x:c r="Y370" s="24" t="str">
        <x:v>要中断这类循环，优先检查：BF03共同决定＋BF05反馈＋BF06最小执行。</x:v>
      </x:c>
      <x:c r="Z370" s="24" t="str">
        <x:v>不得仅凭本规则断定问题已经解决、关系必然稳定、用户一定成熟、某十神天然是“药”、喜用神自动等于解决办法，或淡化暴力、强迫与现实伤害；现实行为、反例、安全事实和专业支持优先。</x:v>
      </x:c>
      <x:c r="AA370" s="24" t="str">
        <x:v>中高</x:v>
      </x:c>
      <x:c r="AB370" s="24" t="str">
        <x:v>待验证</x:v>
      </x:c>
      <x:c r="AC370" s="24" t="str"/>
      <x:c r="AD370" s="24" t="str">
        <x:v>provisional=true；保护因素的现实有效性必须由可观察行为、反馈和持续结果验证。</x:v>
      </x:c>
      <x:c r="AE370" s="24" t="str">
        <x:v>0.8</x:v>
      </x:c>
    </x:row>
    <x:row r="371" ht="52" customHeight="1">
      <x:c r="A371" s="24" t="str">
        <x:v>M4-BUFFER-370</x:v>
      </x:c>
      <x:c r="B371" s="24" t="str">
        <x:v>LP09 规则反弹循环｜有效中断标志</x:v>
      </x:c>
      <x:c r="C371" s="24" t="str">
        <x:v>L7 LP01—LP12循环退出</x:v>
      </x:c>
      <x:c r="D371" s="24" t="str">
        <x:v>BUFFER-LOOP接口</x:v>
      </x:c>
      <x:c r="E371" s="24" t="str">
        <x:v>通用</x:v>
      </x:c>
      <x:c r="F371" s="24" t="str">
        <x:v>效果</x:v>
      </x:c>
      <x:c r="G371" s="24" t="str">
        <x:v>LP09 规则反弹循环</x:v>
      </x:c>
      <x:c r="H371" s="24" t="str">
        <x:v>BF03共同决定＋BF05反馈＋BF06最小执行；判断循环是否被真实中断。</x:v>
      </x:c>
      <x:c r="I371" s="24" t="str">
        <x:v>共同制定最小可执行规则，并根据反馈迭代。</x:v>
      </x:c>
      <x:c r="J371" s="24" t="str">
        <x:v>规则由单方加码，短期配合后再次反弹。</x:v>
      </x:c>
      <x:c r="K371" s="24" t="str">
        <x:v>由共享基础引擎提供；仅修正保护功能的承载、持续调用和压力状态下的稳定性，不直接等同成熟度、道德或现实行为。</x:v>
      </x:c>
      <x:c r="L371" s="24" t="str">
        <x:v>由M1／M2接口提供；夫妻星、心动原型和关系门槛只说明关系议题，不单独证明保护因素已经被调用或有效。</x:v>
      </x:c>
      <x:c r="M371" s="24" t="str">
        <x:v>由M3-BASE及M4各模块提供；日支、日柱近位可提高与亲密关系核心的相关性，但同一source_id不得重复计分。</x:v>
      </x:c>
      <x:c r="N371" s="24" t="str">
        <x:v>保护因素必须明确限制过用、补足缺位、恢复顺序、打开反馈、落实改变或完成修复回流；不能只凭五行相生补写现实效果。</x:v>
      </x:c>
      <x:c r="O371" s="24" t="str">
        <x:v>近位提高进入亲密关系核心的概率；远位只作背景、阶段或条件性修正。</x:v>
      </x:c>
      <x:c r="P371" s="24" t="str">
        <x:v>根气只修正该保护功能是否容易重复调用，不等于现实中已经形成稳定保护。</x:v>
      </x:c>
      <x:c r="Q371" s="24" t="str">
        <x:v>旺弱只修正调用强度与承载；强不自动有效，弱也不自动无效。</x:v>
      </x:c>
      <x:c r="R371" s="24" t="str">
        <x:v>喜忌只修正摩擦、平衡与承载，不可直接翻译为好坏、成熟度或解决方案。</x:v>
      </x:c>
      <x:c r="S371" s="24" t="str">
        <x:v>原十神功能有效；真合化成立时按化神功能替换，合化争议时停止定性。</x:v>
      </x:c>
      <x:c r="T371" s="24" t="str">
        <x:v>近位提高直接相关性；远位仅保留背景、阶段或低置信修正。</x:v>
      </x:c>
      <x:c r="U371" s="24" t="str">
        <x:v>93</x:v>
      </x:c>
      <x:c r="V371" s="24" t="str">
        <x:v>中断+14</x:v>
      </x:c>
      <x:c r="W371" s="24" t="str">
        <x:v>buffer_level</x:v>
      </x:c>
      <x:c r="X371" s="24" t="str">
        <x:v>保护成立时，规则更少但更可执行。</x:v>
      </x:c>
      <x:c r="Y371" s="24" t="str">
        <x:v>真正有效时会看到：保护成立时，规则更少但更可执行。</x:v>
      </x:c>
      <x:c r="Z371" s="24" t="str">
        <x:v>不得仅凭本规则断定问题已经解决、关系必然稳定、用户一定成熟、某十神天然是“药”、喜用神自动等于解决办法，或淡化暴力、强迫与现实伤害；现实行为、反例、安全事实和专业支持优先。</x:v>
      </x:c>
      <x:c r="AA371" s="24" t="str">
        <x:v>中高</x:v>
      </x:c>
      <x:c r="AB371" s="24" t="str">
        <x:v>待验证</x:v>
      </x:c>
      <x:c r="AC371" s="24" t="str"/>
      <x:c r="AD371" s="24" t="str">
        <x:v>provisional=true；保护因素的现实有效性必须由可观察行为、反馈和持续结果验证。</x:v>
      </x:c>
      <x:c r="AE371" s="24" t="str">
        <x:v>0.8</x:v>
      </x:c>
    </x:row>
    <x:row r="372" ht="52" customHeight="1">
      <x:c r="A372" s="24" t="str">
        <x:v>M4-BUFFER-371</x:v>
      </x:c>
      <x:c r="B372" s="24" t="str">
        <x:v>LP09 规则反弹循环｜伪中断／复发标志</x:v>
      </x:c>
      <x:c r="C372" s="24" t="str">
        <x:v>L7 LP01—LP12循环退出</x:v>
      </x:c>
      <x:c r="D372" s="24" t="str">
        <x:v>BUFFER-LOOP接口</x:v>
      </x:c>
      <x:c r="E372" s="24" t="str">
        <x:v>通用</x:v>
      </x:c>
      <x:c r="F372" s="24" t="str">
        <x:v>降级</x:v>
      </x:c>
      <x:c r="G372" s="24" t="str">
        <x:v>LP09 规则反弹循环</x:v>
      </x:c>
      <x:c r="H372" s="24" t="str">
        <x:v>BF03共同决定＋BF05反馈＋BF06最小执行；识别短期缓解与真实中断的区别。</x:v>
      </x:c>
      <x:c r="I372" s="24" t="str">
        <x:v>规则由单方加码，短期配合后再次反弹。</x:v>
      </x:c>
      <x:c r="J372" s="24" t="str">
        <x:v>共同制定最小可执行规则，并根据反馈迭代。</x:v>
      </x:c>
      <x:c r="K372" s="24" t="str">
        <x:v>由共享基础引擎提供；仅修正保护功能的承载、持续调用和压力状态下的稳定性，不直接等同成熟度、道德或现实行为。</x:v>
      </x:c>
      <x:c r="L372" s="24" t="str">
        <x:v>由M1／M2接口提供；夫妻星、心动原型和关系门槛只说明关系议题，不单独证明保护因素已经被调用或有效。</x:v>
      </x:c>
      <x:c r="M372" s="24" t="str">
        <x:v>由M3-BASE及M4各模块提供；日支、日柱近位可提高与亲密关系核心的相关性，但同一source_id不得重复计分。</x:v>
      </x:c>
      <x:c r="N372" s="24" t="str">
        <x:v>保护因素必须明确限制过用、补足缺位、恢复顺序、打开反馈、落实改变或完成修复回流；不能只凭五行相生补写现实效果。</x:v>
      </x:c>
      <x:c r="O372" s="24" t="str">
        <x:v>近位提高进入亲密关系核心的概率；远位只作背景、阶段或条件性修正。</x:v>
      </x:c>
      <x:c r="P372" s="24" t="str">
        <x:v>根气只修正该保护功能是否容易重复调用，不等于现实中已经形成稳定保护。</x:v>
      </x:c>
      <x:c r="Q372" s="24" t="str">
        <x:v>旺弱只修正调用强度与承载；强不自动有效，弱也不自动无效。</x:v>
      </x:c>
      <x:c r="R372" s="24" t="str">
        <x:v>喜忌只修正摩擦、平衡与承载，不可直接翻译为好坏、成熟度或解决方案。</x:v>
      </x:c>
      <x:c r="S372" s="24" t="str">
        <x:v>原十神功能有效；真合化成立时按化神功能替换，合化争议时停止定性。</x:v>
      </x:c>
      <x:c r="T372" s="24" t="str">
        <x:v>近位提高直接相关性；远位仅保留背景、阶段或低置信修正。</x:v>
      </x:c>
      <x:c r="U372" s="24" t="str">
        <x:v>97</x:v>
      </x:c>
      <x:c r="V372" s="24" t="str">
        <x:v>复发风险+0／保护-10</x:v>
      </x:c>
      <x:c r="W372" s="24" t="str">
        <x:v>pseudo_buffer</x:v>
      </x:c>
      <x:c r="X372" s="24" t="str">
        <x:v>若出现“规则由单方加码，短期配合后再次反弹。”，循环可能只是暂时降温，尚未被中断。</x:v>
      </x:c>
      <x:c r="Y372" s="24" t="str">
        <x:v>如果只是规则由单方加码，短期配合后再次反弹。，还不能判断循环已经改变。</x:v>
      </x:c>
      <x:c r="Z372" s="24" t="str">
        <x:v>不得仅凭本规则断定问题已经解决、关系必然稳定、用户一定成熟、某十神天然是“药”、喜用神自动等于解决办法，或淡化暴力、强迫与现实伤害；现实行为、反例、安全事实和专业支持优先。</x:v>
      </x:c>
      <x:c r="AA372" s="24" t="str">
        <x:v>高</x:v>
      </x:c>
      <x:c r="AB372" s="24" t="str">
        <x:v>待验证</x:v>
      </x:c>
      <x:c r="AC372" s="24" t="str"/>
      <x:c r="AD372" s="24" t="str">
        <x:v>provisional=true；保护因素的现实有效性必须由可观察行为、反馈和持续结果验证。</x:v>
      </x:c>
      <x:c r="AE372" s="24" t="str">
        <x:v>0.8</x:v>
      </x:c>
    </x:row>
    <x:row r="373" ht="52" customHeight="1">
      <x:c r="A373" s="24" t="str">
        <x:v>M4-BUFFER-372</x:v>
      </x:c>
      <x:c r="B373" s="24" t="str">
        <x:v>LP09 规则反弹循环｜用户输出</x:v>
      </x:c>
      <x:c r="C373" s="24" t="str">
        <x:v>L7 LP01—LP12循环退出</x:v>
      </x:c>
      <x:c r="D373" s="24" t="str">
        <x:v>BUFFER-LOOP接口</x:v>
      </x:c>
      <x:c r="E373" s="24" t="str">
        <x:v>通用</x:v>
      </x:c>
      <x:c r="F373" s="24" t="str">
        <x:v>语言</x:v>
      </x:c>
      <x:c r="G373" s="24" t="str">
        <x:v>LP09 规则反弹循环</x:v>
      </x:c>
      <x:c r="H373" s="24" t="str">
        <x:v>BF03共同决定＋BF05反馈＋BF06最小执行；生成循环＋退出语言。</x:v>
      </x:c>
      <x:c r="I373" s="24" t="str">
        <x:v>LP09循环节点已有现实支持，且保护组合达到BL3以上。</x:v>
      </x:c>
      <x:c r="J373" s="24" t="str">
        <x:v>只有单次事件或资料不足。</x:v>
      </x:c>
      <x:c r="K373" s="24" t="str">
        <x:v>由共享基础引擎提供；仅修正保护功能的承载、持续调用和压力状态下的稳定性，不直接等同成熟度、道德或现实行为。</x:v>
      </x:c>
      <x:c r="L373" s="24" t="str">
        <x:v>由M1／M2接口提供；夫妻星、心动原型和关系门槛只说明关系议题，不单独证明保护因素已经被调用或有效。</x:v>
      </x:c>
      <x:c r="M373" s="24" t="str">
        <x:v>由M3-BASE及M4各模块提供；日支、日柱近位可提高与亲密关系核心的相关性，但同一source_id不得重复计分。</x:v>
      </x:c>
      <x:c r="N373" s="24" t="str">
        <x:v>保护因素必须明确限制过用、补足缺位、恢复顺序、打开反馈、落实改变或完成修复回流；不能只凭五行相生补写现实效果。</x:v>
      </x:c>
      <x:c r="O373" s="24" t="str">
        <x:v>近位提高进入亲密关系核心的概率；远位只作背景、阶段或条件性修正。</x:v>
      </x:c>
      <x:c r="P373" s="24" t="str">
        <x:v>根气只修正该保护功能是否容易重复调用，不等于现实中已经形成稳定保护。</x:v>
      </x:c>
      <x:c r="Q373" s="24" t="str">
        <x:v>旺弱只修正调用强度与承载；强不自动有效，弱也不自动无效。</x:v>
      </x:c>
      <x:c r="R373" s="24" t="str">
        <x:v>喜忌只修正摩擦、平衡与承载，不可直接翻译为好坏、成熟度或解决方案。</x:v>
      </x:c>
      <x:c r="S373" s="24" t="str">
        <x:v>原十神功能有效；真合化成立时按化神功能替换，合化争议时停止定性。</x:v>
      </x:c>
      <x:c r="T373" s="24" t="str">
        <x:v>近位提高直接相关性；远位仅保留背景、阶段或低置信修正。</x:v>
      </x:c>
      <x:c r="U373" s="24" t="str">
        <x:v>84</x:v>
      </x:c>
      <x:c r="V373" s="24" t="str">
        <x:v>不加分；输出</x:v>
      </x:c>
      <x:c r="W373" s="24" t="str">
        <x:v>report_text</x:v>
      </x:c>
      <x:c r="X373" s="24" t="str">
        <x:v>规则反弹循环的退出重点是：共同制定最小可执行规则，并根据反馈迭代。</x:v>
      </x:c>
      <x:c r="Y373" s="24" t="str">
        <x:v>这类循环真正需要的是：共同制定最小可执行规则，并根据反馈迭代。</x:v>
      </x:c>
      <x:c r="Z373" s="24" t="str">
        <x:v>不得仅凭本规则断定问题已经解决、关系必然稳定、用户一定成熟、某十神天然是“药”、喜用神自动等于解决办法，或淡化暴力、强迫与现实伤害；现实行为、反例、安全事实和专业支持优先。</x:v>
      </x:c>
      <x:c r="AA373" s="24" t="str">
        <x:v>中高</x:v>
      </x:c>
      <x:c r="AB373" s="24" t="str">
        <x:v>待验证</x:v>
      </x:c>
      <x:c r="AC373" s="24" t="str"/>
      <x:c r="AD373" s="24" t="str">
        <x:v>provisional=true；保护因素的现实有效性必须由可观察行为、反馈和持续结果验证。</x:v>
      </x:c>
      <x:c r="AE373" s="24" t="str">
        <x:v>0.8</x:v>
      </x:c>
    </x:row>
    <x:row r="374" ht="52" customHeight="1">
      <x:c r="A374" s="24" t="str">
        <x:v>M4-BUFFER-373</x:v>
      </x:c>
      <x:c r="B374" s="24" t="str">
        <x:v>LP10 新鲜落地循环｜最低保护组合</x:v>
      </x:c>
      <x:c r="C374" s="24" t="str">
        <x:v>L7 LP01—LP12循环退出</x:v>
      </x:c>
      <x:c r="D374" s="24" t="str">
        <x:v>BUFFER-LOOP接口</x:v>
      </x:c>
      <x:c r="E374" s="24" t="str">
        <x:v>通用</x:v>
      </x:c>
      <x:c r="F374" s="24" t="str">
        <x:v>路由</x:v>
      </x:c>
      <x:c r="G374" s="24" t="str">
        <x:v>LP10 新鲜落地循环</x:v>
      </x:c>
      <x:c r="H374" s="24" t="str">
        <x:v>BF06稳定安排＋BF02转换通关；路由循环的最小保护组合。</x:v>
      </x:c>
      <x:c r="I374" s="24" t="str">
        <x:v>LP10达到E3候选，且存在BF06稳定安排＋BF02转换通关中的至少一项独立资源。</x:v>
      </x:c>
      <x:c r="J374" s="24" t="str">
        <x:v>只有命盘标签，没有现实循环节点。</x:v>
      </x:c>
      <x:c r="K374" s="24" t="str">
        <x:v>由共享基础引擎提供；仅修正保护功能的承载、持续调用和压力状态下的稳定性，不直接等同成熟度、道德或现实行为。</x:v>
      </x:c>
      <x:c r="L374" s="24" t="str">
        <x:v>由M1／M2接口提供；夫妻星、心动原型和关系门槛只说明关系议题，不单独证明保护因素已经被调用或有效。</x:v>
      </x:c>
      <x:c r="M374" s="24" t="str">
        <x:v>由M3-BASE及M4各模块提供；日支、日柱近位可提高与亲密关系核心的相关性，但同一source_id不得重复计分。</x:v>
      </x:c>
      <x:c r="N374" s="24" t="str">
        <x:v>保护因素必须明确限制过用、补足缺位、恢复顺序、打开反馈、落实改变或完成修复回流；不能只凭五行相生补写现实效果。</x:v>
      </x:c>
      <x:c r="O374" s="24" t="str">
        <x:v>近位提高进入亲密关系核心的概率；远位只作背景、阶段或条件性修正。</x:v>
      </x:c>
      <x:c r="P374" s="24" t="str">
        <x:v>根气只修正该保护功能是否容易重复调用，不等于现实中已经形成稳定保护。</x:v>
      </x:c>
      <x:c r="Q374" s="24" t="str">
        <x:v>旺弱只修正调用强度与承载；强不自动有效，弱也不自动无效。</x:v>
      </x:c>
      <x:c r="R374" s="24" t="str">
        <x:v>喜忌只修正摩擦、平衡与承载，不可直接翻译为好坏、成熟度或解决方案。</x:v>
      </x:c>
      <x:c r="S374" s="24" t="str">
        <x:v>原十神功能有效；真合化成立时按化神功能替换，合化争议时停止定性。</x:v>
      </x:c>
      <x:c r="T374" s="24" t="str">
        <x:v>近位提高直接相关性；远位仅保留背景、阶段或低置信修正。</x:v>
      </x:c>
      <x:c r="U374" s="24" t="str">
        <x:v>94</x:v>
      </x:c>
      <x:c r="V374" s="24" t="str">
        <x:v>路由+6</x:v>
      </x:c>
      <x:c r="W374" s="24" t="str">
        <x:v>primary_buffer</x:v>
      </x:c>
      <x:c r="X374" s="24" t="str">
        <x:v>LP10最低保护组合：BF06稳定安排＋BF02转换通关。</x:v>
      </x:c>
      <x:c r="Y374" s="24" t="str">
        <x:v>要中断这类循环，优先检查：BF06稳定安排＋BF02转换通关。</x:v>
      </x:c>
      <x:c r="Z374" s="24" t="str">
        <x:v>不得仅凭本规则断定问题已经解决、关系必然稳定、用户一定成熟、某十神天然是“药”、喜用神自动等于解决办法，或淡化暴力、强迫与现实伤害；现实行为、反例、安全事实和专业支持优先。</x:v>
      </x:c>
      <x:c r="AA374" s="24" t="str">
        <x:v>中高</x:v>
      </x:c>
      <x:c r="AB374" s="24" t="str">
        <x:v>待验证</x:v>
      </x:c>
      <x:c r="AC374" s="24" t="str"/>
      <x:c r="AD374" s="24" t="str">
        <x:v>provisional=true；保护因素的现实有效性必须由可观察行为、反馈和持续结果验证。</x:v>
      </x:c>
      <x:c r="AE374" s="24" t="str">
        <x:v>0.8</x:v>
      </x:c>
    </x:row>
    <x:row r="375" ht="52" customHeight="1">
      <x:c r="A375" s="24" t="str">
        <x:v>M4-BUFFER-374</x:v>
      </x:c>
      <x:c r="B375" s="24" t="str">
        <x:v>LP10 新鲜落地循环｜有效中断标志</x:v>
      </x:c>
      <x:c r="C375" s="24" t="str">
        <x:v>L7 LP01—LP12循环退出</x:v>
      </x:c>
      <x:c r="D375" s="24" t="str">
        <x:v>BUFFER-LOOP接口</x:v>
      </x:c>
      <x:c r="E375" s="24" t="str">
        <x:v>通用</x:v>
      </x:c>
      <x:c r="F375" s="24" t="str">
        <x:v>效果</x:v>
      </x:c>
      <x:c r="G375" s="24" t="str">
        <x:v>LP10 新鲜落地循环</x:v>
      </x:c>
      <x:c r="H375" s="24" t="str">
        <x:v>BF06稳定安排＋BF02转换通关；判断循环是否被真实中断。</x:v>
      </x:c>
      <x:c r="I375" s="24" t="str">
        <x:v>每次新体验后形成一项可持续安排，并复盘是否服务核心需要。</x:v>
      </x:c>
      <x:c r="J375" s="24" t="str">
        <x:v>不断换体验，却没有日常落实和连续性。</x:v>
      </x:c>
      <x:c r="K375" s="24" t="str">
        <x:v>由共享基础引擎提供；仅修正保护功能的承载、持续调用和压力状态下的稳定性，不直接等同成熟度、道德或现实行为。</x:v>
      </x:c>
      <x:c r="L375" s="24" t="str">
        <x:v>由M1／M2接口提供；夫妻星、心动原型和关系门槛只说明关系议题，不单独证明保护因素已经被调用或有效。</x:v>
      </x:c>
      <x:c r="M375" s="24" t="str">
        <x:v>由M3-BASE及M4各模块提供；日支、日柱近位可提高与亲密关系核心的相关性，但同一source_id不得重复计分。</x:v>
      </x:c>
      <x:c r="N375" s="24" t="str">
        <x:v>保护因素必须明确限制过用、补足缺位、恢复顺序、打开反馈、落实改变或完成修复回流；不能只凭五行相生补写现实效果。</x:v>
      </x:c>
      <x:c r="O375" s="24" t="str">
        <x:v>近位提高进入亲密关系核心的概率；远位只作背景、阶段或条件性修正。</x:v>
      </x:c>
      <x:c r="P375" s="24" t="str">
        <x:v>根气只修正该保护功能是否容易重复调用，不等于现实中已经形成稳定保护。</x:v>
      </x:c>
      <x:c r="Q375" s="24" t="str">
        <x:v>旺弱只修正调用强度与承载；强不自动有效，弱也不自动无效。</x:v>
      </x:c>
      <x:c r="R375" s="24" t="str">
        <x:v>喜忌只修正摩擦、平衡与承载，不可直接翻译为好坏、成熟度或解决方案。</x:v>
      </x:c>
      <x:c r="S375" s="24" t="str">
        <x:v>原十神功能有效；真合化成立时按化神功能替换，合化争议时停止定性。</x:v>
      </x:c>
      <x:c r="T375" s="24" t="str">
        <x:v>近位提高直接相关性；远位仅保留背景、阶段或低置信修正。</x:v>
      </x:c>
      <x:c r="U375" s="24" t="str">
        <x:v>93</x:v>
      </x:c>
      <x:c r="V375" s="24" t="str">
        <x:v>中断+14</x:v>
      </x:c>
      <x:c r="W375" s="24" t="str">
        <x:v>buffer_level</x:v>
      </x:c>
      <x:c r="X375" s="24" t="str">
        <x:v>保护成立时，新鲜感能够转成稳定连接。</x:v>
      </x:c>
      <x:c r="Y375" s="24" t="str">
        <x:v>真正有效时会看到：保护成立时，新鲜感能够转成稳定连接。</x:v>
      </x:c>
      <x:c r="Z375" s="24" t="str">
        <x:v>不得仅凭本规则断定问题已经解决、关系必然稳定、用户一定成熟、某十神天然是“药”、喜用神自动等于解决办法，或淡化暴力、强迫与现实伤害；现实行为、反例、安全事实和专业支持优先。</x:v>
      </x:c>
      <x:c r="AA375" s="24" t="str">
        <x:v>中高</x:v>
      </x:c>
      <x:c r="AB375" s="24" t="str">
        <x:v>待验证</x:v>
      </x:c>
      <x:c r="AC375" s="24" t="str"/>
      <x:c r="AD375" s="24" t="str">
        <x:v>provisional=true；保护因素的现实有效性必须由可观察行为、反馈和持续结果验证。</x:v>
      </x:c>
      <x:c r="AE375" s="24" t="str">
        <x:v>0.8</x:v>
      </x:c>
    </x:row>
    <x:row r="376" ht="52" customHeight="1">
      <x:c r="A376" s="24" t="str">
        <x:v>M4-BUFFER-375</x:v>
      </x:c>
      <x:c r="B376" s="24" t="str">
        <x:v>LP10 新鲜落地循环｜伪中断／复发标志</x:v>
      </x:c>
      <x:c r="C376" s="24" t="str">
        <x:v>L7 LP01—LP12循环退出</x:v>
      </x:c>
      <x:c r="D376" s="24" t="str">
        <x:v>BUFFER-LOOP接口</x:v>
      </x:c>
      <x:c r="E376" s="24" t="str">
        <x:v>通用</x:v>
      </x:c>
      <x:c r="F376" s="24" t="str">
        <x:v>降级</x:v>
      </x:c>
      <x:c r="G376" s="24" t="str">
        <x:v>LP10 新鲜落地循环</x:v>
      </x:c>
      <x:c r="H376" s="24" t="str">
        <x:v>BF06稳定安排＋BF02转换通关；识别短期缓解与真实中断的区别。</x:v>
      </x:c>
      <x:c r="I376" s="24" t="str">
        <x:v>不断换体验，却没有日常落实和连续性。</x:v>
      </x:c>
      <x:c r="J376" s="24" t="str">
        <x:v>每次新体验后形成一项可持续安排，并复盘是否服务核心需要。</x:v>
      </x:c>
      <x:c r="K376" s="24" t="str">
        <x:v>由共享基础引擎提供；仅修正保护功能的承载、持续调用和压力状态下的稳定性，不直接等同成熟度、道德或现实行为。</x:v>
      </x:c>
      <x:c r="L376" s="24" t="str">
        <x:v>由M1／M2接口提供；夫妻星、心动原型和关系门槛只说明关系议题，不单独证明保护因素已经被调用或有效。</x:v>
      </x:c>
      <x:c r="M376" s="24" t="str">
        <x:v>由M3-BASE及M4各模块提供；日支、日柱近位可提高与亲密关系核心的相关性，但同一source_id不得重复计分。</x:v>
      </x:c>
      <x:c r="N376" s="24" t="str">
        <x:v>保护因素必须明确限制过用、补足缺位、恢复顺序、打开反馈、落实改变或完成修复回流；不能只凭五行相生补写现实效果。</x:v>
      </x:c>
      <x:c r="O376" s="24" t="str">
        <x:v>近位提高进入亲密关系核心的概率；远位只作背景、阶段或条件性修正。</x:v>
      </x:c>
      <x:c r="P376" s="24" t="str">
        <x:v>根气只修正该保护功能是否容易重复调用，不等于现实中已经形成稳定保护。</x:v>
      </x:c>
      <x:c r="Q376" s="24" t="str">
        <x:v>旺弱只修正调用强度与承载；强不自动有效，弱也不自动无效。</x:v>
      </x:c>
      <x:c r="R376" s="24" t="str">
        <x:v>喜忌只修正摩擦、平衡与承载，不可直接翻译为好坏、成熟度或解决方案。</x:v>
      </x:c>
      <x:c r="S376" s="24" t="str">
        <x:v>原十神功能有效；真合化成立时按化神功能替换，合化争议时停止定性。</x:v>
      </x:c>
      <x:c r="T376" s="24" t="str">
        <x:v>近位提高直接相关性；远位仅保留背景、阶段或低置信修正。</x:v>
      </x:c>
      <x:c r="U376" s="24" t="str">
        <x:v>97</x:v>
      </x:c>
      <x:c r="V376" s="24" t="str">
        <x:v>复发风险+0／保护-10</x:v>
      </x:c>
      <x:c r="W376" s="24" t="str">
        <x:v>pseudo_buffer</x:v>
      </x:c>
      <x:c r="X376" s="24" t="str">
        <x:v>若出现“不断换体验，却没有日常落实和连续性。”，循环可能只是暂时降温，尚未被中断。</x:v>
      </x:c>
      <x:c r="Y376" s="24" t="str">
        <x:v>如果只是不断换体验，却没有日常落实和连续性。，还不能判断循环已经改变。</x:v>
      </x:c>
      <x:c r="Z376" s="24" t="str">
        <x:v>不得仅凭本规则断定问题已经解决、关系必然稳定、用户一定成熟、某十神天然是“药”、喜用神自动等于解决办法，或淡化暴力、强迫与现实伤害；现实行为、反例、安全事实和专业支持优先。</x:v>
      </x:c>
      <x:c r="AA376" s="24" t="str">
        <x:v>高</x:v>
      </x:c>
      <x:c r="AB376" s="24" t="str">
        <x:v>待验证</x:v>
      </x:c>
      <x:c r="AC376" s="24" t="str"/>
      <x:c r="AD376" s="24" t="str">
        <x:v>provisional=true；保护因素的现实有效性必须由可观察行为、反馈和持续结果验证。</x:v>
      </x:c>
      <x:c r="AE376" s="24" t="str">
        <x:v>0.8</x:v>
      </x:c>
    </x:row>
    <x:row r="377" ht="52" customHeight="1">
      <x:c r="A377" s="24" t="str">
        <x:v>M4-BUFFER-376</x:v>
      </x:c>
      <x:c r="B377" s="24" t="str">
        <x:v>LP10 新鲜落地循环｜用户输出</x:v>
      </x:c>
      <x:c r="C377" s="24" t="str">
        <x:v>L7 LP01—LP12循环退出</x:v>
      </x:c>
      <x:c r="D377" s="24" t="str">
        <x:v>BUFFER-LOOP接口</x:v>
      </x:c>
      <x:c r="E377" s="24" t="str">
        <x:v>通用</x:v>
      </x:c>
      <x:c r="F377" s="24" t="str">
        <x:v>语言</x:v>
      </x:c>
      <x:c r="G377" s="24" t="str">
        <x:v>LP10 新鲜落地循环</x:v>
      </x:c>
      <x:c r="H377" s="24" t="str">
        <x:v>BF06稳定安排＋BF02转换通关；生成循环＋退出语言。</x:v>
      </x:c>
      <x:c r="I377" s="24" t="str">
        <x:v>LP10循环节点已有现实支持，且保护组合达到BL3以上。</x:v>
      </x:c>
      <x:c r="J377" s="24" t="str">
        <x:v>只有单次事件或资料不足。</x:v>
      </x:c>
      <x:c r="K377" s="24" t="str">
        <x:v>由共享基础引擎提供；仅修正保护功能的承载、持续调用和压力状态下的稳定性，不直接等同成熟度、道德或现实行为。</x:v>
      </x:c>
      <x:c r="L377" s="24" t="str">
        <x:v>由M1／M2接口提供；夫妻星、心动原型和关系门槛只说明关系议题，不单独证明保护因素已经被调用或有效。</x:v>
      </x:c>
      <x:c r="M377" s="24" t="str">
        <x:v>由M3-BASE及M4各模块提供；日支、日柱近位可提高与亲密关系核心的相关性，但同一source_id不得重复计分。</x:v>
      </x:c>
      <x:c r="N377" s="24" t="str">
        <x:v>保护因素必须明确限制过用、补足缺位、恢复顺序、打开反馈、落实改变或完成修复回流；不能只凭五行相生补写现实效果。</x:v>
      </x:c>
      <x:c r="O377" s="24" t="str">
        <x:v>近位提高进入亲密关系核心的概率；远位只作背景、阶段或条件性修正。</x:v>
      </x:c>
      <x:c r="P377" s="24" t="str">
        <x:v>根气只修正该保护功能是否容易重复调用，不等于现实中已经形成稳定保护。</x:v>
      </x:c>
      <x:c r="Q377" s="24" t="str">
        <x:v>旺弱只修正调用强度与承载；强不自动有效，弱也不自动无效。</x:v>
      </x:c>
      <x:c r="R377" s="24" t="str">
        <x:v>喜忌只修正摩擦、平衡与承载，不可直接翻译为好坏、成熟度或解决方案。</x:v>
      </x:c>
      <x:c r="S377" s="24" t="str">
        <x:v>原十神功能有效；真合化成立时按化神功能替换，合化争议时停止定性。</x:v>
      </x:c>
      <x:c r="T377" s="24" t="str">
        <x:v>近位提高直接相关性；远位仅保留背景、阶段或低置信修正。</x:v>
      </x:c>
      <x:c r="U377" s="24" t="str">
        <x:v>84</x:v>
      </x:c>
      <x:c r="V377" s="24" t="str">
        <x:v>不加分；输出</x:v>
      </x:c>
      <x:c r="W377" s="24" t="str">
        <x:v>report_text</x:v>
      </x:c>
      <x:c r="X377" s="24" t="str">
        <x:v>新鲜落地循环的退出重点是：每次新体验后形成一项可持续安排，并复盘是否服务核心需要。</x:v>
      </x:c>
      <x:c r="Y377" s="24" t="str">
        <x:v>这类循环真正需要的是：每次新体验后形成一项可持续安排，并复盘是否服务核心需要。</x:v>
      </x:c>
      <x:c r="Z377" s="24" t="str">
        <x:v>不得仅凭本规则断定问题已经解决、关系必然稳定、用户一定成熟、某十神天然是“药”、喜用神自动等于解决办法，或淡化暴力、强迫与现实伤害；现实行为、反例、安全事实和专业支持优先。</x:v>
      </x:c>
      <x:c r="AA377" s="24" t="str">
        <x:v>中高</x:v>
      </x:c>
      <x:c r="AB377" s="24" t="str">
        <x:v>待验证</x:v>
      </x:c>
      <x:c r="AC377" s="24" t="str"/>
      <x:c r="AD377" s="24" t="str">
        <x:v>provisional=true；保护因素的现实有效性必须由可观察行为、反馈和持续结果验证。</x:v>
      </x:c>
      <x:c r="AE377" s="24" t="str">
        <x:v>0.8</x:v>
      </x:c>
    </x:row>
    <x:row r="378" ht="52" customHeight="1">
      <x:c r="A378" s="24" t="str">
        <x:v>M4-BUFFER-377</x:v>
      </x:c>
      <x:c r="B378" s="24" t="str">
        <x:v>LP11 暂停断链循环｜最低保护组合</x:v>
      </x:c>
      <x:c r="C378" s="24" t="str">
        <x:v>L7 LP01—LP12循环退出</x:v>
      </x:c>
      <x:c r="D378" s="24" t="str">
        <x:v>BUFFER-LOOP接口</x:v>
      </x:c>
      <x:c r="E378" s="24" t="str">
        <x:v>通用</x:v>
      </x:c>
      <x:c r="F378" s="24" t="str">
        <x:v>路由</x:v>
      </x:c>
      <x:c r="G378" s="24" t="str">
        <x:v>LP11 暂停断链循环</x:v>
      </x:c>
      <x:c r="H378" s="24" t="str">
        <x:v>BF07明确回归＋BF08状态分工＋BF05最低连接；路由循环的最小保护组合。</x:v>
      </x:c>
      <x:c r="I378" s="24" t="str">
        <x:v>LP11达到E3候选，且存在BF07明确回归＋BF08状态分工＋BF05最低连接中的至少一项独立资源。</x:v>
      </x:c>
      <x:c r="J378" s="24" t="str">
        <x:v>只有命盘标签，没有现实循环节点。</x:v>
      </x:c>
      <x:c r="K378" s="24" t="str">
        <x:v>由共享基础引擎提供；仅修正保护功能的承载、持续调用和压力状态下的稳定性，不直接等同成熟度、道德或现实行为。</x:v>
      </x:c>
      <x:c r="L378" s="24" t="str">
        <x:v>由M1／M2接口提供；夫妻星、心动原型和关系门槛只说明关系议题，不单独证明保护因素已经被调用或有效。</x:v>
      </x:c>
      <x:c r="M378" s="24" t="str">
        <x:v>由M3-BASE及M4各模块提供；日支、日柱近位可提高与亲密关系核心的相关性，但同一source_id不得重复计分。</x:v>
      </x:c>
      <x:c r="N378" s="24" t="str">
        <x:v>保护因素必须明确限制过用、补足缺位、恢复顺序、打开反馈、落实改变或完成修复回流；不能只凭五行相生补写现实效果。</x:v>
      </x:c>
      <x:c r="O378" s="24" t="str">
        <x:v>近位提高进入亲密关系核心的概率；远位只作背景、阶段或条件性修正。</x:v>
      </x:c>
      <x:c r="P378" s="24" t="str">
        <x:v>根气只修正该保护功能是否容易重复调用，不等于现实中已经形成稳定保护。</x:v>
      </x:c>
      <x:c r="Q378" s="24" t="str">
        <x:v>旺弱只修正调用强度与承载；强不自动有效，弱也不自动无效。</x:v>
      </x:c>
      <x:c r="R378" s="24" t="str">
        <x:v>喜忌只修正摩擦、平衡与承载，不可直接翻译为好坏、成熟度或解决方案。</x:v>
      </x:c>
      <x:c r="S378" s="24" t="str">
        <x:v>原十神功能有效；真合化成立时按化神功能替换，合化争议时停止定性。</x:v>
      </x:c>
      <x:c r="T378" s="24" t="str">
        <x:v>近位提高直接相关性；远位仅保留背景、阶段或低置信修正。</x:v>
      </x:c>
      <x:c r="U378" s="24" t="str">
        <x:v>94</x:v>
      </x:c>
      <x:c r="V378" s="24" t="str">
        <x:v>路由+6</x:v>
      </x:c>
      <x:c r="W378" s="24" t="str">
        <x:v>primary_buffer</x:v>
      </x:c>
      <x:c r="X378" s="24" t="str">
        <x:v>LP11最低保护组合：BF07明确回归＋BF08状态分工＋BF05最低连接。</x:v>
      </x:c>
      <x:c r="Y378" s="24" t="str">
        <x:v>要中断这类循环，优先检查：BF07明确回归＋BF08状态分工＋BF05最低连接。</x:v>
      </x:c>
      <x:c r="Z378" s="24" t="str">
        <x:v>不得仅凭本规则断定问题已经解决、关系必然稳定、用户一定成熟、某十神天然是“药”、喜用神自动等于解决办法，或淡化暴力、强迫与现实伤害；现实行为、反例、安全事实和专业支持优先。</x:v>
      </x:c>
      <x:c r="AA378" s="24" t="str">
        <x:v>中高</x:v>
      </x:c>
      <x:c r="AB378" s="24" t="str">
        <x:v>待验证</x:v>
      </x:c>
      <x:c r="AC378" s="24" t="str"/>
      <x:c r="AD378" s="24" t="str">
        <x:v>provisional=true；保护因素的现实有效性必须由可观察行为、反馈和持续结果验证。</x:v>
      </x:c>
      <x:c r="AE378" s="24" t="str">
        <x:v>0.8</x:v>
      </x:c>
    </x:row>
    <x:row r="379" ht="52" customHeight="1">
      <x:c r="A379" s="24" t="str">
        <x:v>M4-BUFFER-378</x:v>
      </x:c>
      <x:c r="B379" s="24" t="str">
        <x:v>LP11 暂停断链循环｜有效中断标志</x:v>
      </x:c>
      <x:c r="C379" s="24" t="str">
        <x:v>L7 LP01—LP12循环退出</x:v>
      </x:c>
      <x:c r="D379" s="24" t="str">
        <x:v>BUFFER-LOOP接口</x:v>
      </x:c>
      <x:c r="E379" s="24" t="str">
        <x:v>通用</x:v>
      </x:c>
      <x:c r="F379" s="24" t="str">
        <x:v>效果</x:v>
      </x:c>
      <x:c r="G379" s="24" t="str">
        <x:v>LP11 暂停断链循环</x:v>
      </x:c>
      <x:c r="H379" s="24" t="str">
        <x:v>BF07明确回归＋BF08状态分工＋BF05最低连接；判断循环是否被真实中断。</x:v>
      </x:c>
      <x:c r="I379" s="24" t="str">
        <x:v>暂停前说明目的、范围、最低连接和回归时间。</x:v>
      </x:c>
      <x:c r="J379" s="24" t="str">
        <x:v>暂停不断延长，双方都不知道何时重新进入沟通。</x:v>
      </x:c>
      <x:c r="K379" s="24" t="str">
        <x:v>由共享基础引擎提供；仅修正保护功能的承载、持续调用和压力状态下的稳定性，不直接等同成熟度、道德或现实行为。</x:v>
      </x:c>
      <x:c r="L379" s="24" t="str">
        <x:v>由M1／M2接口提供；夫妻星、心动原型和关系门槛只说明关系议题，不单独证明保护因素已经被调用或有效。</x:v>
      </x:c>
      <x:c r="M379" s="24" t="str">
        <x:v>由M3-BASE及M4各模块提供；日支、日柱近位可提高与亲密关系核心的相关性，但同一source_id不得重复计分。</x:v>
      </x:c>
      <x:c r="N379" s="24" t="str">
        <x:v>保护因素必须明确限制过用、补足缺位、恢复顺序、打开反馈、落实改变或完成修复回流；不能只凭五行相生补写现实效果。</x:v>
      </x:c>
      <x:c r="O379" s="24" t="str">
        <x:v>近位提高进入亲密关系核心的概率；远位只作背景、阶段或条件性修正。</x:v>
      </x:c>
      <x:c r="P379" s="24" t="str">
        <x:v>根气只修正该保护功能是否容易重复调用，不等于现实中已经形成稳定保护。</x:v>
      </x:c>
      <x:c r="Q379" s="24" t="str">
        <x:v>旺弱只修正调用强度与承载；强不自动有效，弱也不自动无效。</x:v>
      </x:c>
      <x:c r="R379" s="24" t="str">
        <x:v>喜忌只修正摩擦、平衡与承载，不可直接翻译为好坏、成熟度或解决方案。</x:v>
      </x:c>
      <x:c r="S379" s="24" t="str">
        <x:v>原十神功能有效；真合化成立时按化神功能替换，合化争议时停止定性。</x:v>
      </x:c>
      <x:c r="T379" s="24" t="str">
        <x:v>近位提高直接相关性；远位仅保留背景、阶段或低置信修正。</x:v>
      </x:c>
      <x:c r="U379" s="24" t="str">
        <x:v>93</x:v>
      </x:c>
      <x:c r="V379" s="24" t="str">
        <x:v>中断+14</x:v>
      </x:c>
      <x:c r="W379" s="24" t="str">
        <x:v>buffer_level</x:v>
      </x:c>
      <x:c r="X379" s="24" t="str">
        <x:v>保护成立时，暂停成为恢复工具而不是连接断点。</x:v>
      </x:c>
      <x:c r="Y379" s="24" t="str">
        <x:v>真正有效时会看到：保护成立时，暂停成为恢复工具而不是连接断点。</x:v>
      </x:c>
      <x:c r="Z379" s="24" t="str">
        <x:v>不得仅凭本规则断定问题已经解决、关系必然稳定、用户一定成熟、某十神天然是“药”、喜用神自动等于解决办法，或淡化暴力、强迫与现实伤害；现实行为、反例、安全事实和专业支持优先。</x:v>
      </x:c>
      <x:c r="AA379" s="24" t="str">
        <x:v>中高</x:v>
      </x:c>
      <x:c r="AB379" s="24" t="str">
        <x:v>待验证</x:v>
      </x:c>
      <x:c r="AC379" s="24" t="str"/>
      <x:c r="AD379" s="24" t="str">
        <x:v>provisional=true；保护因素的现实有效性必须由可观察行为、反馈和持续结果验证。</x:v>
      </x:c>
      <x:c r="AE379" s="24" t="str">
        <x:v>0.8</x:v>
      </x:c>
    </x:row>
    <x:row r="380" ht="52" customHeight="1">
      <x:c r="A380" s="24" t="str">
        <x:v>M4-BUFFER-379</x:v>
      </x:c>
      <x:c r="B380" s="24" t="str">
        <x:v>LP11 暂停断链循环｜伪中断／复发标志</x:v>
      </x:c>
      <x:c r="C380" s="24" t="str">
        <x:v>L7 LP01—LP12循环退出</x:v>
      </x:c>
      <x:c r="D380" s="24" t="str">
        <x:v>BUFFER-LOOP接口</x:v>
      </x:c>
      <x:c r="E380" s="24" t="str">
        <x:v>通用</x:v>
      </x:c>
      <x:c r="F380" s="24" t="str">
        <x:v>降级</x:v>
      </x:c>
      <x:c r="G380" s="24" t="str">
        <x:v>LP11 暂停断链循环</x:v>
      </x:c>
      <x:c r="H380" s="24" t="str">
        <x:v>BF07明确回归＋BF08状态分工＋BF05最低连接；识别短期缓解与真实中断的区别。</x:v>
      </x:c>
      <x:c r="I380" s="24" t="str">
        <x:v>暂停不断延长，双方都不知道何时重新进入沟通。</x:v>
      </x:c>
      <x:c r="J380" s="24" t="str">
        <x:v>暂停前说明目的、范围、最低连接和回归时间。</x:v>
      </x:c>
      <x:c r="K380" s="24" t="str">
        <x:v>由共享基础引擎提供；仅修正保护功能的承载、持续调用和压力状态下的稳定性，不直接等同成熟度、道德或现实行为。</x:v>
      </x:c>
      <x:c r="L380" s="24" t="str">
        <x:v>由M1／M2接口提供；夫妻星、心动原型和关系门槛只说明关系议题，不单独证明保护因素已经被调用或有效。</x:v>
      </x:c>
      <x:c r="M380" s="24" t="str">
        <x:v>由M3-BASE及M4各模块提供；日支、日柱近位可提高与亲密关系核心的相关性，但同一source_id不得重复计分。</x:v>
      </x:c>
      <x:c r="N380" s="24" t="str">
        <x:v>保护因素必须明确限制过用、补足缺位、恢复顺序、打开反馈、落实改变或完成修复回流；不能只凭五行相生补写现实效果。</x:v>
      </x:c>
      <x:c r="O380" s="24" t="str">
        <x:v>近位提高进入亲密关系核心的概率；远位只作背景、阶段或条件性修正。</x:v>
      </x:c>
      <x:c r="P380" s="24" t="str">
        <x:v>根气只修正该保护功能是否容易重复调用，不等于现实中已经形成稳定保护。</x:v>
      </x:c>
      <x:c r="Q380" s="24" t="str">
        <x:v>旺弱只修正调用强度与承载；强不自动有效，弱也不自动无效。</x:v>
      </x:c>
      <x:c r="R380" s="24" t="str">
        <x:v>喜忌只修正摩擦、平衡与承载，不可直接翻译为好坏、成熟度或解决方案。</x:v>
      </x:c>
      <x:c r="S380" s="24" t="str">
        <x:v>原十神功能有效；真合化成立时按化神功能替换，合化争议时停止定性。</x:v>
      </x:c>
      <x:c r="T380" s="24" t="str">
        <x:v>近位提高直接相关性；远位仅保留背景、阶段或低置信修正。</x:v>
      </x:c>
      <x:c r="U380" s="24" t="str">
        <x:v>97</x:v>
      </x:c>
      <x:c r="V380" s="24" t="str">
        <x:v>复发风险+0／保护-10</x:v>
      </x:c>
      <x:c r="W380" s="24" t="str">
        <x:v>pseudo_buffer</x:v>
      </x:c>
      <x:c r="X380" s="24" t="str">
        <x:v>若出现“暂停不断延长，双方都不知道何时重新进入沟通。”，循环可能只是暂时降温，尚未被中断。</x:v>
      </x:c>
      <x:c r="Y380" s="24" t="str">
        <x:v>如果只是暂停不断延长，双方都不知道何时重新进入沟通。，还不能判断循环已经改变。</x:v>
      </x:c>
      <x:c r="Z380" s="24" t="str">
        <x:v>不得仅凭本规则断定问题已经解决、关系必然稳定、用户一定成熟、某十神天然是“药”、喜用神自动等于解决办法，或淡化暴力、强迫与现实伤害；现实行为、反例、安全事实和专业支持优先。</x:v>
      </x:c>
      <x:c r="AA380" s="24" t="str">
        <x:v>高</x:v>
      </x:c>
      <x:c r="AB380" s="24" t="str">
        <x:v>待验证</x:v>
      </x:c>
      <x:c r="AC380" s="24" t="str"/>
      <x:c r="AD380" s="24" t="str">
        <x:v>provisional=true；保护因素的现实有效性必须由可观察行为、反馈和持续结果验证。</x:v>
      </x:c>
      <x:c r="AE380" s="24" t="str">
        <x:v>0.8</x:v>
      </x:c>
    </x:row>
    <x:row r="381" ht="52" customHeight="1">
      <x:c r="A381" s="24" t="str">
        <x:v>M4-BUFFER-380</x:v>
      </x:c>
      <x:c r="B381" s="24" t="str">
        <x:v>LP11 暂停断链循环｜用户输出</x:v>
      </x:c>
      <x:c r="C381" s="24" t="str">
        <x:v>L7 LP01—LP12循环退出</x:v>
      </x:c>
      <x:c r="D381" s="24" t="str">
        <x:v>BUFFER-LOOP接口</x:v>
      </x:c>
      <x:c r="E381" s="24" t="str">
        <x:v>通用</x:v>
      </x:c>
      <x:c r="F381" s="24" t="str">
        <x:v>语言</x:v>
      </x:c>
      <x:c r="G381" s="24" t="str">
        <x:v>LP11 暂停断链循环</x:v>
      </x:c>
      <x:c r="H381" s="24" t="str">
        <x:v>BF07明确回归＋BF08状态分工＋BF05最低连接；生成循环＋退出语言。</x:v>
      </x:c>
      <x:c r="I381" s="24" t="str">
        <x:v>LP11循环节点已有现实支持，且保护组合达到BL3以上。</x:v>
      </x:c>
      <x:c r="J381" s="24" t="str">
        <x:v>只有单次事件或资料不足。</x:v>
      </x:c>
      <x:c r="K381" s="24" t="str">
        <x:v>由共享基础引擎提供；仅修正保护功能的承载、持续调用和压力状态下的稳定性，不直接等同成熟度、道德或现实行为。</x:v>
      </x:c>
      <x:c r="L381" s="24" t="str">
        <x:v>由M1／M2接口提供；夫妻星、心动原型和关系门槛只说明关系议题，不单独证明保护因素已经被调用或有效。</x:v>
      </x:c>
      <x:c r="M381" s="24" t="str">
        <x:v>由M3-BASE及M4各模块提供；日支、日柱近位可提高与亲密关系核心的相关性，但同一source_id不得重复计分。</x:v>
      </x:c>
      <x:c r="N381" s="24" t="str">
        <x:v>保护因素必须明确限制过用、补足缺位、恢复顺序、打开反馈、落实改变或完成修复回流；不能只凭五行相生补写现实效果。</x:v>
      </x:c>
      <x:c r="O381" s="24" t="str">
        <x:v>近位提高进入亲密关系核心的概率；远位只作背景、阶段或条件性修正。</x:v>
      </x:c>
      <x:c r="P381" s="24" t="str">
        <x:v>根气只修正该保护功能是否容易重复调用，不等于现实中已经形成稳定保护。</x:v>
      </x:c>
      <x:c r="Q381" s="24" t="str">
        <x:v>旺弱只修正调用强度与承载；强不自动有效，弱也不自动无效。</x:v>
      </x:c>
      <x:c r="R381" s="24" t="str">
        <x:v>喜忌只修正摩擦、平衡与承载，不可直接翻译为好坏、成熟度或解决方案。</x:v>
      </x:c>
      <x:c r="S381" s="24" t="str">
        <x:v>原十神功能有效；真合化成立时按化神功能替换，合化争议时停止定性。</x:v>
      </x:c>
      <x:c r="T381" s="24" t="str">
        <x:v>近位提高直接相关性；远位仅保留背景、阶段或低置信修正。</x:v>
      </x:c>
      <x:c r="U381" s="24" t="str">
        <x:v>84</x:v>
      </x:c>
      <x:c r="V381" s="24" t="str">
        <x:v>不加分；输出</x:v>
      </x:c>
      <x:c r="W381" s="24" t="str">
        <x:v>report_text</x:v>
      </x:c>
      <x:c r="X381" s="24" t="str">
        <x:v>暂停断链循环的退出重点是：暂停前说明目的、范围、最低连接和回归时间。</x:v>
      </x:c>
      <x:c r="Y381" s="24" t="str">
        <x:v>这类循环真正需要的是：暂停前说明目的、范围、最低连接和回归时间。</x:v>
      </x:c>
      <x:c r="Z381" s="24" t="str">
        <x:v>不得仅凭本规则断定问题已经解决、关系必然稳定、用户一定成熟、某十神天然是“药”、喜用神自动等于解决办法，或淡化暴力、强迫与现实伤害；现实行为、反例、安全事实和专业支持优先。</x:v>
      </x:c>
      <x:c r="AA381" s="24" t="str">
        <x:v>中高</x:v>
      </x:c>
      <x:c r="AB381" s="24" t="str">
        <x:v>待验证</x:v>
      </x:c>
      <x:c r="AC381" s="24" t="str"/>
      <x:c r="AD381" s="24" t="str">
        <x:v>provisional=true；保护因素的现实有效性必须由可观察行为、反馈和持续结果验证。</x:v>
      </x:c>
      <x:c r="AE381" s="24" t="str">
        <x:v>0.8</x:v>
      </x:c>
    </x:row>
    <x:row r="382" ht="52" customHeight="1">
      <x:c r="A382" s="24" t="str">
        <x:v>M4-BUFFER-381</x:v>
      </x:c>
      <x:c r="B382" s="24" t="str">
        <x:v>LP12 修复不闭环循环｜最低保护组合</x:v>
      </x:c>
      <x:c r="C382" s="24" t="str">
        <x:v>L7 LP01—LP12循环退出</x:v>
      </x:c>
      <x:c r="D382" s="24" t="str">
        <x:v>BUFFER-LOOP接口</x:v>
      </x:c>
      <x:c r="E382" s="24" t="str">
        <x:v>通用</x:v>
      </x:c>
      <x:c r="F382" s="24" t="str">
        <x:v>路由</x:v>
      </x:c>
      <x:c r="G382" s="24" t="str">
        <x:v>LP12 修复不闭环循环</x:v>
      </x:c>
      <x:c r="H382" s="24" t="str">
        <x:v>BF07完整修复＋BF06持续兑现＋BF04接收反馈；路由循环的最小保护组合。</x:v>
      </x:c>
      <x:c r="I382" s="24" t="str">
        <x:v>LP12达到E3候选，且存在BF07完整修复＋BF06持续兑现＋BF04接收反馈中的至少一项独立资源。</x:v>
      </x:c>
      <x:c r="J382" s="24" t="str">
        <x:v>只有命盘标签，没有现实循环节点。</x:v>
      </x:c>
      <x:c r="K382" s="24" t="str">
        <x:v>由共享基础引擎提供；仅修正保护功能的承载、持续调用和压力状态下的稳定性，不直接等同成熟度、道德或现实行为。</x:v>
      </x:c>
      <x:c r="L382" s="24" t="str">
        <x:v>由M1／M2接口提供；夫妻星、心动原型和关系门槛只说明关系议题，不单独证明保护因素已经被调用或有效。</x:v>
      </x:c>
      <x:c r="M382" s="24" t="str">
        <x:v>由M3-BASE及M4各模块提供；日支、日柱近位可提高与亲密关系核心的相关性，但同一source_id不得重复计分。</x:v>
      </x:c>
      <x:c r="N382" s="24" t="str">
        <x:v>保护因素必须明确限制过用、补足缺位、恢复顺序、打开反馈、落实改变或完成修复回流；不能只凭五行相生补写现实效果。</x:v>
      </x:c>
      <x:c r="O382" s="24" t="str">
        <x:v>近位提高进入亲密关系核心的概率；远位只作背景、阶段或条件性修正。</x:v>
      </x:c>
      <x:c r="P382" s="24" t="str">
        <x:v>根气只修正该保护功能是否容易重复调用，不等于现实中已经形成稳定保护。</x:v>
      </x:c>
      <x:c r="Q382" s="24" t="str">
        <x:v>旺弱只修正调用强度与承载；强不自动有效，弱也不自动无效。</x:v>
      </x:c>
      <x:c r="R382" s="24" t="str">
        <x:v>喜忌只修正摩擦、平衡与承载，不可直接翻译为好坏、成熟度或解决方案。</x:v>
      </x:c>
      <x:c r="S382" s="24" t="str">
        <x:v>原十神功能有效；真合化成立时按化神功能替换，合化争议时停止定性。</x:v>
      </x:c>
      <x:c r="T382" s="24" t="str">
        <x:v>近位提高直接相关性；远位仅保留背景、阶段或低置信修正。</x:v>
      </x:c>
      <x:c r="U382" s="24" t="str">
        <x:v>94</x:v>
      </x:c>
      <x:c r="V382" s="24" t="str">
        <x:v>路由+6</x:v>
      </x:c>
      <x:c r="W382" s="24" t="str">
        <x:v>primary_buffer</x:v>
      </x:c>
      <x:c r="X382" s="24" t="str">
        <x:v>LP12最低保护组合：BF07完整修复＋BF06持续兑现＋BF04接收反馈。</x:v>
      </x:c>
      <x:c r="Y382" s="24" t="str">
        <x:v>要中断这类循环，优先检查：BF07完整修复＋BF06持续兑现＋BF04接收反馈。</x:v>
      </x:c>
      <x:c r="Z382" s="24" t="str">
        <x:v>不得仅凭本规则断定问题已经解决、关系必然稳定、用户一定成熟、某十神天然是“药”、喜用神自动等于解决办法，或淡化暴力、强迫与现实伤害；现实行为、反例、安全事实和专业支持优先。</x:v>
      </x:c>
      <x:c r="AA382" s="24" t="str">
        <x:v>中高</x:v>
      </x:c>
      <x:c r="AB382" s="24" t="str">
        <x:v>待验证</x:v>
      </x:c>
      <x:c r="AC382" s="24" t="str"/>
      <x:c r="AD382" s="24" t="str">
        <x:v>provisional=true；保护因素的现实有效性必须由可观察行为、反馈和持续结果验证。</x:v>
      </x:c>
      <x:c r="AE382" s="24" t="str">
        <x:v>0.8</x:v>
      </x:c>
    </x:row>
    <x:row r="383" ht="52" customHeight="1">
      <x:c r="A383" s="24" t="str">
        <x:v>M4-BUFFER-382</x:v>
      </x:c>
      <x:c r="B383" s="24" t="str">
        <x:v>LP12 修复不闭环循环｜有效中断标志</x:v>
      </x:c>
      <x:c r="C383" s="24" t="str">
        <x:v>L7 LP01—LP12循环退出</x:v>
      </x:c>
      <x:c r="D383" s="24" t="str">
        <x:v>BUFFER-LOOP接口</x:v>
      </x:c>
      <x:c r="E383" s="24" t="str">
        <x:v>通用</x:v>
      </x:c>
      <x:c r="F383" s="24" t="str">
        <x:v>效果</x:v>
      </x:c>
      <x:c r="G383" s="24" t="str">
        <x:v>LP12 修复不闭环循环</x:v>
      </x:c>
      <x:c r="H383" s="24" t="str">
        <x:v>BF07完整修复＋BF06持续兑现＋BF04接收反馈；判断循环是否被真实中断。</x:v>
      </x:c>
      <x:c r="I383" s="24" t="str">
        <x:v>完成影响确认、责任、边界、行动、反馈和回访中的必要节点。</x:v>
      </x:c>
      <x:c r="J383" s="24" t="str">
        <x:v>只有道歉、方案、补偿或短期和好。</x:v>
      </x:c>
      <x:c r="K383" s="24" t="str">
        <x:v>由共享基础引擎提供；仅修正保护功能的承载、持续调用和压力状态下的稳定性，不直接等同成熟度、道德或现实行为。</x:v>
      </x:c>
      <x:c r="L383" s="24" t="str">
        <x:v>由M1／M2接口提供；夫妻星、心动原型和关系门槛只说明关系议题，不单独证明保护因素已经被调用或有效。</x:v>
      </x:c>
      <x:c r="M383" s="24" t="str">
        <x:v>由M3-BASE及M4各模块提供；日支、日柱近位可提高与亲密关系核心的相关性，但同一source_id不得重复计分。</x:v>
      </x:c>
      <x:c r="N383" s="24" t="str">
        <x:v>保护因素必须明确限制过用、补足缺位、恢复顺序、打开反馈、落实改变或完成修复回流；不能只凭五行相生补写现实效果。</x:v>
      </x:c>
      <x:c r="O383" s="24" t="str">
        <x:v>近位提高进入亲密关系核心的概率；远位只作背景、阶段或条件性修正。</x:v>
      </x:c>
      <x:c r="P383" s="24" t="str">
        <x:v>根气只修正该保护功能是否容易重复调用，不等于现实中已经形成稳定保护。</x:v>
      </x:c>
      <x:c r="Q383" s="24" t="str">
        <x:v>旺弱只修正调用强度与承载；强不自动有效，弱也不自动无效。</x:v>
      </x:c>
      <x:c r="R383" s="24" t="str">
        <x:v>喜忌只修正摩擦、平衡与承载，不可直接翻译为好坏、成熟度或解决方案。</x:v>
      </x:c>
      <x:c r="S383" s="24" t="str">
        <x:v>原十神功能有效；真合化成立时按化神功能替换，合化争议时停止定性。</x:v>
      </x:c>
      <x:c r="T383" s="24" t="str">
        <x:v>近位提高直接相关性；远位仅保留背景、阶段或低置信修正。</x:v>
      </x:c>
      <x:c r="U383" s="24" t="str">
        <x:v>93</x:v>
      </x:c>
      <x:c r="V383" s="24" t="str">
        <x:v>中断+14</x:v>
      </x:c>
      <x:c r="W383" s="24" t="str">
        <x:v>buffer_level</x:v>
      </x:c>
      <x:c r="X383" s="24" t="str">
        <x:v>保护成立时，修复从单次动作转成持续闭环。</x:v>
      </x:c>
      <x:c r="Y383" s="24" t="str">
        <x:v>真正有效时会看到：保护成立时，修复从单次动作转成持续闭环。</x:v>
      </x:c>
      <x:c r="Z383" s="24" t="str">
        <x:v>不得仅凭本规则断定问题已经解决、关系必然稳定、用户一定成熟、某十神天然是“药”、喜用神自动等于解决办法，或淡化暴力、强迫与现实伤害；现实行为、反例、安全事实和专业支持优先。</x:v>
      </x:c>
      <x:c r="AA383" s="24" t="str">
        <x:v>中高</x:v>
      </x:c>
      <x:c r="AB383" s="24" t="str">
        <x:v>待验证</x:v>
      </x:c>
      <x:c r="AC383" s="24" t="str"/>
      <x:c r="AD383" s="24" t="str">
        <x:v>provisional=true；保护因素的现实有效性必须由可观察行为、反馈和持续结果验证。</x:v>
      </x:c>
      <x:c r="AE383" s="24" t="str">
        <x:v>0.8</x:v>
      </x:c>
    </x:row>
    <x:row r="384" ht="52" customHeight="1">
      <x:c r="A384" s="24" t="str">
        <x:v>M4-BUFFER-383</x:v>
      </x:c>
      <x:c r="B384" s="24" t="str">
        <x:v>LP12 修复不闭环循环｜伪中断／复发标志</x:v>
      </x:c>
      <x:c r="C384" s="24" t="str">
        <x:v>L7 LP01—LP12循环退出</x:v>
      </x:c>
      <x:c r="D384" s="24" t="str">
        <x:v>BUFFER-LOOP接口</x:v>
      </x:c>
      <x:c r="E384" s="24" t="str">
        <x:v>通用</x:v>
      </x:c>
      <x:c r="F384" s="24" t="str">
        <x:v>降级</x:v>
      </x:c>
      <x:c r="G384" s="24" t="str">
        <x:v>LP12 修复不闭环循环</x:v>
      </x:c>
      <x:c r="H384" s="24" t="str">
        <x:v>BF07完整修复＋BF06持续兑现＋BF04接收反馈；识别短期缓解与真实中断的区别。</x:v>
      </x:c>
      <x:c r="I384" s="24" t="str">
        <x:v>只有道歉、方案、补偿或短期和好。</x:v>
      </x:c>
      <x:c r="J384" s="24" t="str">
        <x:v>完成影响确认、责任、边界、行动、反馈和回访中的必要节点。</x:v>
      </x:c>
      <x:c r="K384" s="24" t="str">
        <x:v>由共享基础引擎提供；仅修正保护功能的承载、持续调用和压力状态下的稳定性，不直接等同成熟度、道德或现实行为。</x:v>
      </x:c>
      <x:c r="L384" s="24" t="str">
        <x:v>由M1／M2接口提供；夫妻星、心动原型和关系门槛只说明关系议题，不单独证明保护因素已经被调用或有效。</x:v>
      </x:c>
      <x:c r="M384" s="24" t="str">
        <x:v>由M3-BASE及M4各模块提供；日支、日柱近位可提高与亲密关系核心的相关性，但同一source_id不得重复计分。</x:v>
      </x:c>
      <x:c r="N384" s="24" t="str">
        <x:v>保护因素必须明确限制过用、补足缺位、恢复顺序、打开反馈、落实改变或完成修复回流；不能只凭五行相生补写现实效果。</x:v>
      </x:c>
      <x:c r="O384" s="24" t="str">
        <x:v>近位提高进入亲密关系核心的概率；远位只作背景、阶段或条件性修正。</x:v>
      </x:c>
      <x:c r="P384" s="24" t="str">
        <x:v>根气只修正该保护功能是否容易重复调用，不等于现实中已经形成稳定保护。</x:v>
      </x:c>
      <x:c r="Q384" s="24" t="str">
        <x:v>旺弱只修正调用强度与承载；强不自动有效，弱也不自动无效。</x:v>
      </x:c>
      <x:c r="R384" s="24" t="str">
        <x:v>喜忌只修正摩擦、平衡与承载，不可直接翻译为好坏、成熟度或解决方案。</x:v>
      </x:c>
      <x:c r="S384" s="24" t="str">
        <x:v>原十神功能有效；真合化成立时按化神功能替换，合化争议时停止定性。</x:v>
      </x:c>
      <x:c r="T384" s="24" t="str">
        <x:v>近位提高直接相关性；远位仅保留背景、阶段或低置信修正。</x:v>
      </x:c>
      <x:c r="U384" s="24" t="str">
        <x:v>97</x:v>
      </x:c>
      <x:c r="V384" s="24" t="str">
        <x:v>复发风险+0／保护-10</x:v>
      </x:c>
      <x:c r="W384" s="24" t="str">
        <x:v>pseudo_buffer</x:v>
      </x:c>
      <x:c r="X384" s="24" t="str">
        <x:v>若出现“只有道歉、方案、补偿或短期和好。”，循环可能只是暂时降温，尚未被中断。</x:v>
      </x:c>
      <x:c r="Y384" s="24" t="str">
        <x:v>如果只是只有道歉、方案、补偿或短期和好。，还不能判断循环已经改变。</x:v>
      </x:c>
      <x:c r="Z384" s="24" t="str">
        <x:v>不得仅凭本规则断定问题已经解决、关系必然稳定、用户一定成熟、某十神天然是“药”、喜用神自动等于解决办法，或淡化暴力、强迫与现实伤害；现实行为、反例、安全事实和专业支持优先。</x:v>
      </x:c>
      <x:c r="AA384" s="24" t="str">
        <x:v>高</x:v>
      </x:c>
      <x:c r="AB384" s="24" t="str">
        <x:v>待验证</x:v>
      </x:c>
      <x:c r="AC384" s="24" t="str"/>
      <x:c r="AD384" s="24" t="str">
        <x:v>provisional=true；保护因素的现实有效性必须由可观察行为、反馈和持续结果验证。</x:v>
      </x:c>
      <x:c r="AE384" s="24" t="str">
        <x:v>0.8</x:v>
      </x:c>
    </x:row>
    <x:row r="385" ht="52" customHeight="1">
      <x:c r="A385" s="24" t="str">
        <x:v>M4-BUFFER-384</x:v>
      </x:c>
      <x:c r="B385" s="24" t="str">
        <x:v>LP12 修复不闭环循环｜用户输出</x:v>
      </x:c>
      <x:c r="C385" s="24" t="str">
        <x:v>L7 LP01—LP12循环退出</x:v>
      </x:c>
      <x:c r="D385" s="24" t="str">
        <x:v>BUFFER-LOOP接口</x:v>
      </x:c>
      <x:c r="E385" s="24" t="str">
        <x:v>通用</x:v>
      </x:c>
      <x:c r="F385" s="24" t="str">
        <x:v>语言</x:v>
      </x:c>
      <x:c r="G385" s="24" t="str">
        <x:v>LP12 修复不闭环循环</x:v>
      </x:c>
      <x:c r="H385" s="24" t="str">
        <x:v>BF07完整修复＋BF06持续兑现＋BF04接收反馈；生成循环＋退出语言。</x:v>
      </x:c>
      <x:c r="I385" s="24" t="str">
        <x:v>LP12循环节点已有现实支持，且保护组合达到BL3以上。</x:v>
      </x:c>
      <x:c r="J385" s="24" t="str">
        <x:v>只有单次事件或资料不足。</x:v>
      </x:c>
      <x:c r="K385" s="24" t="str">
        <x:v>由共享基础引擎提供；仅修正保护功能的承载、持续调用和压力状态下的稳定性，不直接等同成熟度、道德或现实行为。</x:v>
      </x:c>
      <x:c r="L385" s="24" t="str">
        <x:v>由M1／M2接口提供；夫妻星、心动原型和关系门槛只说明关系议题，不单独证明保护因素已经被调用或有效。</x:v>
      </x:c>
      <x:c r="M385" s="24" t="str">
        <x:v>由M3-BASE及M4各模块提供；日支、日柱近位可提高与亲密关系核心的相关性，但同一source_id不得重复计分。</x:v>
      </x:c>
      <x:c r="N385" s="24" t="str">
        <x:v>保护因素必须明确限制过用、补足缺位、恢复顺序、打开反馈、落实改变或完成修复回流；不能只凭五行相生补写现实效果。</x:v>
      </x:c>
      <x:c r="O385" s="24" t="str">
        <x:v>近位提高进入亲密关系核心的概率；远位只作背景、阶段或条件性修正。</x:v>
      </x:c>
      <x:c r="P385" s="24" t="str">
        <x:v>根气只修正该保护功能是否容易重复调用，不等于现实中已经形成稳定保护。</x:v>
      </x:c>
      <x:c r="Q385" s="24" t="str">
        <x:v>旺弱只修正调用强度与承载；强不自动有效，弱也不自动无效。</x:v>
      </x:c>
      <x:c r="R385" s="24" t="str">
        <x:v>喜忌只修正摩擦、平衡与承载，不可直接翻译为好坏、成熟度或解决方案。</x:v>
      </x:c>
      <x:c r="S385" s="24" t="str">
        <x:v>原十神功能有效；真合化成立时按化神功能替换，合化争议时停止定性。</x:v>
      </x:c>
      <x:c r="T385" s="24" t="str">
        <x:v>近位提高直接相关性；远位仅保留背景、阶段或低置信修正。</x:v>
      </x:c>
      <x:c r="U385" s="24" t="str">
        <x:v>84</x:v>
      </x:c>
      <x:c r="V385" s="24" t="str">
        <x:v>不加分；输出</x:v>
      </x:c>
      <x:c r="W385" s="24" t="str">
        <x:v>report_text</x:v>
      </x:c>
      <x:c r="X385" s="24" t="str">
        <x:v>修复不闭环循环的退出重点是：完成影响确认、责任、边界、行动、反馈和回访中的必要节点。</x:v>
      </x:c>
      <x:c r="Y385" s="24" t="str">
        <x:v>这类循环真正需要的是：完成影响确认、责任、边界、行动、反馈和回访中的必要节点。</x:v>
      </x:c>
      <x:c r="Z385" s="24" t="str">
        <x:v>不得仅凭本规则断定问题已经解决、关系必然稳定、用户一定成熟、某十神天然是“药”、喜用神自动等于解决办法，或淡化暴力、强迫与现实伤害；现实行为、反例、安全事实和专业支持优先。</x:v>
      </x:c>
      <x:c r="AA385" s="24" t="str">
        <x:v>中高</x:v>
      </x:c>
      <x:c r="AB385" s="24" t="str">
        <x:v>待验证</x:v>
      </x:c>
      <x:c r="AC385" s="24" t="str"/>
      <x:c r="AD385" s="24" t="str">
        <x:v>provisional=true；保护因素的现实有效性必须由可观察行为、反馈和持续结果验证。</x:v>
      </x:c>
      <x:c r="AE385" s="24" t="str">
        <x:v>0.8</x:v>
      </x:c>
    </x:row>
    <x:row r="386" ht="52" customHeight="1">
      <x:c r="A386" s="24" t="str">
        <x:v>M4-BUFFER-385</x:v>
      </x:c>
      <x:c r="B386" s="24" t="str">
        <x:v>RN01 停止伤害与恢复基本安全｜保护路由</x:v>
      </x:c>
      <x:c r="C386" s="24" t="str">
        <x:v>L8 REPAIR修复回流接口</x:v>
      </x:c>
      <x:c r="D386" s="24" t="str">
        <x:v>BUFFER-REPAIR接口</x:v>
      </x:c>
      <x:c r="E386" s="24" t="str">
        <x:v>通用</x:v>
      </x:c>
      <x:c r="F386" s="24" t="str">
        <x:v>路由</x:v>
      </x:c>
      <x:c r="G386" s="24" t="str">
        <x:v>RN01 停止伤害与恢复基本安全</x:v>
      </x:c>
      <x:c r="H386" s="24" t="str">
        <x:v>BF08现实支持＋七杀止损＋正官责任门控</x:v>
      </x:c>
      <x:c r="I386" s="24" t="str">
        <x:v>M4-REPAIR显示RN01缺失、薄弱或需要加强，且存在BF08现实支持＋七杀止损＋正官责任门控中的独立资源。</x:v>
      </x:c>
      <x:c r="J386" s="24" t="str">
        <x:v>没有对应修复事件，或资源与缺失节点功能不匹配。</x:v>
      </x:c>
      <x:c r="K386" s="24" t="str">
        <x:v>由共享基础引擎提供；仅修正保护功能的承载、持续调用和压力状态下的稳定性，不直接等同成熟度、道德或现实行为。</x:v>
      </x:c>
      <x:c r="L386" s="24" t="str">
        <x:v>由M1／M2接口提供；夫妻星、心动原型和关系门槛只说明关系议题，不单独证明保护因素已经被调用或有效。</x:v>
      </x:c>
      <x:c r="M386" s="24" t="str">
        <x:v>由M3-BASE及M4各模块提供；日支、日柱近位可提高与亲密关系核心的相关性，但同一source_id不得重复计分。</x:v>
      </x:c>
      <x:c r="N386" s="24" t="str">
        <x:v>保护因素必须明确限制过用、补足缺位、恢复顺序、打开反馈、落实改变或完成修复回流；不能只凭五行相生补写现实效果。</x:v>
      </x:c>
      <x:c r="O386" s="24" t="str">
        <x:v>近位提高进入亲密关系核心的概率；远位只作背景、阶段或条件性修正。</x:v>
      </x:c>
      <x:c r="P386" s="24" t="str">
        <x:v>根气只修正该保护功能是否容易重复调用，不等于现实中已经形成稳定保护。</x:v>
      </x:c>
      <x:c r="Q386" s="24" t="str">
        <x:v>旺弱只修正调用强度与承载；强不自动有效，弱也不自动无效。</x:v>
      </x:c>
      <x:c r="R386" s="24" t="str">
        <x:v>喜忌只修正摩擦、平衡与承载，不可直接翻译为好坏、成熟度或解决方案。</x:v>
      </x:c>
      <x:c r="S386" s="24" t="str">
        <x:v>原十神功能有效；真合化成立时按化神功能替换，合化争议时停止定性。</x:v>
      </x:c>
      <x:c r="T386" s="24" t="str">
        <x:v>近位提高直接相关性；远位仅保留背景、阶段或低置信修正。</x:v>
      </x:c>
      <x:c r="U386" s="24" t="str">
        <x:v>95</x:v>
      </x:c>
      <x:c r="V386" s="24" t="str">
        <x:v>匹配+6</x:v>
      </x:c>
      <x:c r="W386" s="24" t="str">
        <x:v>repair_buffer</x:v>
      </x:c>
      <x:c r="X386" s="24" t="str">
        <x:v>RN01优先由BF08现实支持＋七杀止损＋正官责任门控承担保护任务。</x:v>
      </x:c>
      <x:c r="Y386" s="24" t="str">
        <x:v>这一步需要借助BF08现实支持＋七杀止损＋正官责任门控，让修复链继续向前。</x:v>
      </x:c>
      <x:c r="Z386" s="24" t="str">
        <x:v>不得仅凭本规则断定问题已经解决、关系必然稳定、用户一定成熟、某十神天然是“药”、喜用神自动等于解决办法，或淡化暴力、强迫与现实伤害；现实行为、反例、安全事实和专业支持优先。</x:v>
      </x:c>
      <x:c r="AA386" s="24" t="str">
        <x:v>中高</x:v>
      </x:c>
      <x:c r="AB386" s="24" t="str">
        <x:v>待验证</x:v>
      </x:c>
      <x:c r="AC386" s="24" t="str"/>
      <x:c r="AD386" s="24" t="str">
        <x:v>provisional=true；保护因素的现实有效性必须由可观察行为、反馈和持续结果验证。</x:v>
      </x:c>
      <x:c r="AE386" s="24" t="str">
        <x:v>0.8</x:v>
      </x:c>
    </x:row>
    <x:row r="387" ht="52" customHeight="1">
      <x:c r="A387" s="24" t="str">
        <x:v>M4-BUFFER-386</x:v>
      </x:c>
      <x:c r="B387" s="24" t="str">
        <x:v>RN01 停止伤害与恢复基本安全｜完成边界</x:v>
      </x:c>
      <x:c r="C387" s="24" t="str">
        <x:v>L8 REPAIR修复回流接口</x:v>
      </x:c>
      <x:c r="D387" s="24" t="str">
        <x:v>BUFFER-REPAIR接口</x:v>
      </x:c>
      <x:c r="E387" s="24" t="str">
        <x:v>通用</x:v>
      </x:c>
      <x:c r="F387" s="24" t="str">
        <x:v>边界</x:v>
      </x:c>
      <x:c r="G387" s="24" t="str">
        <x:v>RN01 停止伤害与恢复基本安全</x:v>
      </x:c>
      <x:c r="H387" s="24" t="str">
        <x:v>完成边界</x:v>
      </x:c>
      <x:c r="I387" s="24" t="str">
        <x:v>行为停止、选择权恢复，必要时启动外部安全资源。</x:v>
      </x:c>
      <x:c r="J387" s="24" t="str">
        <x:v>没有安全与停止伤害时，其他修复节点不计有效。</x:v>
      </x:c>
      <x:c r="K387" s="24" t="str">
        <x:v>由共享基础引擎提供；仅修正保护功能的承载、持续调用和压力状态下的稳定性，不直接等同成熟度、道德或现实行为。</x:v>
      </x:c>
      <x:c r="L387" s="24" t="str">
        <x:v>由M1／M2接口提供；夫妻星、心动原型和关系门槛只说明关系议题，不单独证明保护因素已经被调用或有效。</x:v>
      </x:c>
      <x:c r="M387" s="24" t="str">
        <x:v>由M3-BASE及M4各模块提供；日支、日柱近位可提高与亲密关系核心的相关性，但同一source_id不得重复计分。</x:v>
      </x:c>
      <x:c r="N387" s="24" t="str">
        <x:v>保护因素必须明确限制过用、补足缺位、恢复顺序、打开反馈、落实改变或完成修复回流；不能只凭五行相生补写现实效果。</x:v>
      </x:c>
      <x:c r="O387" s="24" t="str">
        <x:v>近位提高进入亲密关系核心的概率；远位只作背景、阶段或条件性修正。</x:v>
      </x:c>
      <x:c r="P387" s="24" t="str">
        <x:v>根气只修正该保护功能是否容易重复调用，不等于现实中已经形成稳定保护。</x:v>
      </x:c>
      <x:c r="Q387" s="24" t="str">
        <x:v>旺弱只修正调用强度与承载；强不自动有效，弱也不自动无效。</x:v>
      </x:c>
      <x:c r="R387" s="24" t="str">
        <x:v>喜忌只修正摩擦、平衡与承载，不可直接翻译为好坏、成熟度或解决方案。</x:v>
      </x:c>
      <x:c r="S387" s="24" t="str">
        <x:v>原十神功能有效；真合化成立时按化神功能替换，合化争议时停止定性。</x:v>
      </x:c>
      <x:c r="T387" s="24" t="str">
        <x:v>近位提高直接相关性；远位仅保留背景、阶段或低置信修正。</x:v>
      </x:c>
      <x:c r="U387" s="24" t="str">
        <x:v>98</x:v>
      </x:c>
      <x:c r="V387" s="24" t="str">
        <x:v>达成+10／未达不升级</x:v>
      </x:c>
      <x:c r="W387" s="24" t="str">
        <x:v>repair_status</x:v>
      </x:c>
      <x:c r="X387" s="24" t="str">
        <x:v>RN01的有效标志是：行为停止、选择权恢复，必要时启动外部安全资源。；边界是：没有安全与停止伤害时，其他修复节点不计有效。</x:v>
      </x:c>
      <x:c r="Y387" s="24" t="str">
        <x:v>只有当“行为停止、选择权恢复，必要时启动外部安全资源。”出现时，才能判断这一步真正进入修复。</x:v>
      </x:c>
      <x:c r="Z387" s="24" t="str">
        <x:v>不得仅凭本规则断定问题已经解决、关系必然稳定、用户一定成熟、某十神天然是“药”、喜用神自动等于解决办法，或淡化暴力、强迫与现实伤害；现实行为、反例、安全事实和专业支持优先。</x:v>
      </x:c>
      <x:c r="AA387" s="24" t="str">
        <x:v>高</x:v>
      </x:c>
      <x:c r="AB387" s="24" t="str">
        <x:v>待验证</x:v>
      </x:c>
      <x:c r="AC387" s="24" t="str"/>
      <x:c r="AD387" s="24" t="str">
        <x:v>provisional=true；保护因素的现实有效性必须由可观察行为、反馈和持续结果验证。</x:v>
      </x:c>
      <x:c r="AE387" s="24" t="str">
        <x:v>0.8</x:v>
      </x:c>
    </x:row>
    <x:row r="388" ht="52" customHeight="1">
      <x:c r="A388" s="24" t="str">
        <x:v>M4-BUFFER-387</x:v>
      </x:c>
      <x:c r="B388" s="24" t="str">
        <x:v>RN02 事实与事件范围确认｜保护路由</x:v>
      </x:c>
      <x:c r="C388" s="24" t="str">
        <x:v>L8 REPAIR修复回流接口</x:v>
      </x:c>
      <x:c r="D388" s="24" t="str">
        <x:v>BUFFER-REPAIR接口</x:v>
      </x:c>
      <x:c r="E388" s="24" t="str">
        <x:v>通用</x:v>
      </x:c>
      <x:c r="F388" s="24" t="str">
        <x:v>路由</x:v>
      </x:c>
      <x:c r="G388" s="24" t="str">
        <x:v>RN02 事实与事件范围确认</x:v>
      </x:c>
      <x:c r="H388" s="24" t="str">
        <x:v>BF05表达反馈＋伤官事实澄清</x:v>
      </x:c>
      <x:c r="I388" s="24" t="str">
        <x:v>M4-REPAIR显示RN02缺失、薄弱或需要加强，且存在BF05表达反馈＋伤官事实澄清中的独立资源。</x:v>
      </x:c>
      <x:c r="J388" s="24" t="str">
        <x:v>没有对应修复事件，或资源与缺失节点功能不匹配。</x:v>
      </x:c>
      <x:c r="K388" s="24" t="str">
        <x:v>由共享基础引擎提供；仅修正保护功能的承载、持续调用和压力状态下的稳定性，不直接等同成熟度、道德或现实行为。</x:v>
      </x:c>
      <x:c r="L388" s="24" t="str">
        <x:v>由M1／M2接口提供；夫妻星、心动原型和关系门槛只说明关系议题，不单独证明保护因素已经被调用或有效。</x:v>
      </x:c>
      <x:c r="M388" s="24" t="str">
        <x:v>由M3-BASE及M4各模块提供；日支、日柱近位可提高与亲密关系核心的相关性，但同一source_id不得重复计分。</x:v>
      </x:c>
      <x:c r="N388" s="24" t="str">
        <x:v>保护因素必须明确限制过用、补足缺位、恢复顺序、打开反馈、落实改变或完成修复回流；不能只凭五行相生补写现实效果。</x:v>
      </x:c>
      <x:c r="O388" s="24" t="str">
        <x:v>近位提高进入亲密关系核心的概率；远位只作背景、阶段或条件性修正。</x:v>
      </x:c>
      <x:c r="P388" s="24" t="str">
        <x:v>根气只修正该保护功能是否容易重复调用，不等于现实中已经形成稳定保护。</x:v>
      </x:c>
      <x:c r="Q388" s="24" t="str">
        <x:v>旺弱只修正调用强度与承载；强不自动有效，弱也不自动无效。</x:v>
      </x:c>
      <x:c r="R388" s="24" t="str">
        <x:v>喜忌只修正摩擦、平衡与承载，不可直接翻译为好坏、成熟度或解决方案。</x:v>
      </x:c>
      <x:c r="S388" s="24" t="str">
        <x:v>原十神功能有效；真合化成立时按化神功能替换，合化争议时停止定性。</x:v>
      </x:c>
      <x:c r="T388" s="24" t="str">
        <x:v>近位提高直接相关性；远位仅保留背景、阶段或低置信修正。</x:v>
      </x:c>
      <x:c r="U388" s="24" t="str">
        <x:v>95</x:v>
      </x:c>
      <x:c r="V388" s="24" t="str">
        <x:v>匹配+6</x:v>
      </x:c>
      <x:c r="W388" s="24" t="str">
        <x:v>repair_buffer</x:v>
      </x:c>
      <x:c r="X388" s="24" t="str">
        <x:v>RN02优先由BF05表达反馈＋伤官事实澄清承担保护任务。</x:v>
      </x:c>
      <x:c r="Y388" s="24" t="str">
        <x:v>这一步需要借助BF05表达反馈＋伤官事实澄清，让修复链继续向前。</x:v>
      </x:c>
      <x:c r="Z388" s="24" t="str">
        <x:v>不得仅凭本规则断定问题已经解决、关系必然稳定、用户一定成熟、某十神天然是“药”、喜用神自动等于解决办法，或淡化暴力、强迫与现实伤害；现实行为、反例、安全事实和专业支持优先。</x:v>
      </x:c>
      <x:c r="AA388" s="24" t="str">
        <x:v>中高</x:v>
      </x:c>
      <x:c r="AB388" s="24" t="str">
        <x:v>待验证</x:v>
      </x:c>
      <x:c r="AC388" s="24" t="str"/>
      <x:c r="AD388" s="24" t="str">
        <x:v>provisional=true；保护因素的现实有效性必须由可观察行为、反馈和持续结果验证。</x:v>
      </x:c>
      <x:c r="AE388" s="24" t="str">
        <x:v>0.8</x:v>
      </x:c>
    </x:row>
    <x:row r="389" ht="52" customHeight="1">
      <x:c r="A389" s="24" t="str">
        <x:v>M4-BUFFER-388</x:v>
      </x:c>
      <x:c r="B389" s="24" t="str">
        <x:v>RN02 事实与事件范围确认｜完成边界</x:v>
      </x:c>
      <x:c r="C389" s="24" t="str">
        <x:v>L8 REPAIR修复回流接口</x:v>
      </x:c>
      <x:c r="D389" s="24" t="str">
        <x:v>BUFFER-REPAIR接口</x:v>
      </x:c>
      <x:c r="E389" s="24" t="str">
        <x:v>通用</x:v>
      </x:c>
      <x:c r="F389" s="24" t="str">
        <x:v>边界</x:v>
      </x:c>
      <x:c r="G389" s="24" t="str">
        <x:v>RN02 事实与事件范围确认</x:v>
      </x:c>
      <x:c r="H389" s="24" t="str">
        <x:v>完成边界</x:v>
      </x:c>
      <x:c r="I389" s="24" t="str">
        <x:v>双方对事件范围、时间、行为和争议点有基本一致记录。</x:v>
      </x:c>
      <x:c r="J389" s="24" t="str">
        <x:v>事实仍混乱或互相替换议题时，不进入完成判断。</x:v>
      </x:c>
      <x:c r="K389" s="24" t="str">
        <x:v>由共享基础引擎提供；仅修正保护功能的承载、持续调用和压力状态下的稳定性，不直接等同成熟度、道德或现实行为。</x:v>
      </x:c>
      <x:c r="L389" s="24" t="str">
        <x:v>由M1／M2接口提供；夫妻星、心动原型和关系门槛只说明关系议题，不单独证明保护因素已经被调用或有效。</x:v>
      </x:c>
      <x:c r="M389" s="24" t="str">
        <x:v>由M3-BASE及M4各模块提供；日支、日柱近位可提高与亲密关系核心的相关性，但同一source_id不得重复计分。</x:v>
      </x:c>
      <x:c r="N389" s="24" t="str">
        <x:v>保护因素必须明确限制过用、补足缺位、恢复顺序、打开反馈、落实改变或完成修复回流；不能只凭五行相生补写现实效果。</x:v>
      </x:c>
      <x:c r="O389" s="24" t="str">
        <x:v>近位提高进入亲密关系核心的概率；远位只作背景、阶段或条件性修正。</x:v>
      </x:c>
      <x:c r="P389" s="24" t="str">
        <x:v>根气只修正该保护功能是否容易重复调用，不等于现实中已经形成稳定保护。</x:v>
      </x:c>
      <x:c r="Q389" s="24" t="str">
        <x:v>旺弱只修正调用强度与承载；强不自动有效，弱也不自动无效。</x:v>
      </x:c>
      <x:c r="R389" s="24" t="str">
        <x:v>喜忌只修正摩擦、平衡与承载，不可直接翻译为好坏、成熟度或解决方案。</x:v>
      </x:c>
      <x:c r="S389" s="24" t="str">
        <x:v>原十神功能有效；真合化成立时按化神功能替换，合化争议时停止定性。</x:v>
      </x:c>
      <x:c r="T389" s="24" t="str">
        <x:v>近位提高直接相关性；远位仅保留背景、阶段或低置信修正。</x:v>
      </x:c>
      <x:c r="U389" s="24" t="str">
        <x:v>98</x:v>
      </x:c>
      <x:c r="V389" s="24" t="str">
        <x:v>达成+10／未达不升级</x:v>
      </x:c>
      <x:c r="W389" s="24" t="str">
        <x:v>repair_status</x:v>
      </x:c>
      <x:c r="X389" s="24" t="str">
        <x:v>RN02的有效标志是：双方对事件范围、时间、行为和争议点有基本一致记录。；边界是：事实仍混乱或互相替换议题时，不进入完成判断。</x:v>
      </x:c>
      <x:c r="Y389" s="24" t="str">
        <x:v>只有当“双方对事件范围、时间、行为和争议点有基本一致记录。”出现时，才能判断这一步真正进入修复。</x:v>
      </x:c>
      <x:c r="Z389" s="24" t="str">
        <x:v>不得仅凭本规则断定问题已经解决、关系必然稳定、用户一定成熟、某十神天然是“药”、喜用神自动等于解决办法，或淡化暴力、强迫与现实伤害；现实行为、反例、安全事实和专业支持优先。</x:v>
      </x:c>
      <x:c r="AA389" s="24" t="str">
        <x:v>高</x:v>
      </x:c>
      <x:c r="AB389" s="24" t="str">
        <x:v>待验证</x:v>
      </x:c>
      <x:c r="AC389" s="24" t="str"/>
      <x:c r="AD389" s="24" t="str">
        <x:v>provisional=true；保护因素的现实有效性必须由可观察行为、反馈和持续结果验证。</x:v>
      </x:c>
      <x:c r="AE389" s="24" t="str">
        <x:v>0.8</x:v>
      </x:c>
    </x:row>
    <x:row r="390" ht="52" customHeight="1">
      <x:c r="A390" s="24" t="str">
        <x:v>M4-BUFFER-389</x:v>
      </x:c>
      <x:c r="B390" s="24" t="str">
        <x:v>RN03 影响、感受与意义确认｜保护路由</x:v>
      </x:c>
      <x:c r="C390" s="24" t="str">
        <x:v>L8 REPAIR修复回流接口</x:v>
      </x:c>
      <x:c r="D390" s="24" t="str">
        <x:v>BUFFER-REPAIR接口</x:v>
      </x:c>
      <x:c r="E390" s="24" t="str">
        <x:v>通用</x:v>
      </x:c>
      <x:c r="F390" s="24" t="str">
        <x:v>路由</x:v>
      </x:c>
      <x:c r="G390" s="24" t="str">
        <x:v>RN03 影响、感受与意义确认</x:v>
      </x:c>
      <x:c r="H390" s="24" t="str">
        <x:v>BF04倾听复核＋正印承接</x:v>
      </x:c>
      <x:c r="I390" s="24" t="str">
        <x:v>M4-REPAIR显示RN03缺失、薄弱或需要加强，且存在BF04倾听复核＋正印承接中的独立资源。</x:v>
      </x:c>
      <x:c r="J390" s="24" t="str">
        <x:v>没有对应修复事件，或资源与缺失节点功能不匹配。</x:v>
      </x:c>
      <x:c r="K390" s="24" t="str">
        <x:v>由共享基础引擎提供；仅修正保护功能的承载、持续调用和压力状态下的稳定性，不直接等同成熟度、道德或现实行为。</x:v>
      </x:c>
      <x:c r="L390" s="24" t="str">
        <x:v>由M1／M2接口提供；夫妻星、心动原型和关系门槛只说明关系议题，不单独证明保护因素已经被调用或有效。</x:v>
      </x:c>
      <x:c r="M390" s="24" t="str">
        <x:v>由M3-BASE及M4各模块提供；日支、日柱近位可提高与亲密关系核心的相关性，但同一source_id不得重复计分。</x:v>
      </x:c>
      <x:c r="N390" s="24" t="str">
        <x:v>保护因素必须明确限制过用、补足缺位、恢复顺序、打开反馈、落实改变或完成修复回流；不能只凭五行相生补写现实效果。</x:v>
      </x:c>
      <x:c r="O390" s="24" t="str">
        <x:v>近位提高进入亲密关系核心的概率；远位只作背景、阶段或条件性修正。</x:v>
      </x:c>
      <x:c r="P390" s="24" t="str">
        <x:v>根气只修正该保护功能是否容易重复调用，不等于现实中已经形成稳定保护。</x:v>
      </x:c>
      <x:c r="Q390" s="24" t="str">
        <x:v>旺弱只修正调用强度与承载；强不自动有效，弱也不自动无效。</x:v>
      </x:c>
      <x:c r="R390" s="24" t="str">
        <x:v>喜忌只修正摩擦、平衡与承载，不可直接翻译为好坏、成熟度或解决方案。</x:v>
      </x:c>
      <x:c r="S390" s="24" t="str">
        <x:v>原十神功能有效；真合化成立时按化神功能替换，合化争议时停止定性。</x:v>
      </x:c>
      <x:c r="T390" s="24" t="str">
        <x:v>近位提高直接相关性；远位仅保留背景、阶段或低置信修正。</x:v>
      </x:c>
      <x:c r="U390" s="24" t="str">
        <x:v>95</x:v>
      </x:c>
      <x:c r="V390" s="24" t="str">
        <x:v>匹配+6</x:v>
      </x:c>
      <x:c r="W390" s="24" t="str">
        <x:v>repair_buffer</x:v>
      </x:c>
      <x:c r="X390" s="24" t="str">
        <x:v>RN03优先由BF04倾听复核＋正印承接承担保护任务。</x:v>
      </x:c>
      <x:c r="Y390" s="24" t="str">
        <x:v>这一步需要借助BF04倾听复核＋正印承接，让修复链继续向前。</x:v>
      </x:c>
      <x:c r="Z390" s="24" t="str">
        <x:v>不得仅凭本规则断定问题已经解决、关系必然稳定、用户一定成熟、某十神天然是“药”、喜用神自动等于解决办法，或淡化暴力、强迫与现实伤害；现实行为、反例、安全事实和专业支持优先。</x:v>
      </x:c>
      <x:c r="AA390" s="24" t="str">
        <x:v>中高</x:v>
      </x:c>
      <x:c r="AB390" s="24" t="str">
        <x:v>待验证</x:v>
      </x:c>
      <x:c r="AC390" s="24" t="str"/>
      <x:c r="AD390" s="24" t="str">
        <x:v>provisional=true；保护因素的现实有效性必须由可观察行为、反馈和持续结果验证。</x:v>
      </x:c>
      <x:c r="AE390" s="24" t="str">
        <x:v>0.8</x:v>
      </x:c>
    </x:row>
    <x:row r="391" ht="52" customHeight="1">
      <x:c r="A391" s="24" t="str">
        <x:v>M4-BUFFER-390</x:v>
      </x:c>
      <x:c r="B391" s="24" t="str">
        <x:v>RN03 影响、感受与意义确认｜完成边界</x:v>
      </x:c>
      <x:c r="C391" s="24" t="str">
        <x:v>L8 REPAIR修复回流接口</x:v>
      </x:c>
      <x:c r="D391" s="24" t="str">
        <x:v>BUFFER-REPAIR接口</x:v>
      </x:c>
      <x:c r="E391" s="24" t="str">
        <x:v>通用</x:v>
      </x:c>
      <x:c r="F391" s="24" t="str">
        <x:v>边界</x:v>
      </x:c>
      <x:c r="G391" s="24" t="str">
        <x:v>RN03 影响、感受与意义确认</x:v>
      </x:c>
      <x:c r="H391" s="24" t="str">
        <x:v>完成边界</x:v>
      </x:c>
      <x:c r="I391" s="24" t="str">
        <x:v>接收方的实际影响被听见、复述并纳入后续行动。</x:v>
      </x:c>
      <x:c r="J391" s="24" t="str">
        <x:v>只有发起方解释动机，没有确认接收方影响。</x:v>
      </x:c>
      <x:c r="K391" s="24" t="str">
        <x:v>由共享基础引擎提供；仅修正保护功能的承载、持续调用和压力状态下的稳定性，不直接等同成熟度、道德或现实行为。</x:v>
      </x:c>
      <x:c r="L391" s="24" t="str">
        <x:v>由M1／M2接口提供；夫妻星、心动原型和关系门槛只说明关系议题，不单独证明保护因素已经被调用或有效。</x:v>
      </x:c>
      <x:c r="M391" s="24" t="str">
        <x:v>由M3-BASE及M4各模块提供；日支、日柱近位可提高与亲密关系核心的相关性，但同一source_id不得重复计分。</x:v>
      </x:c>
      <x:c r="N391" s="24" t="str">
        <x:v>保护因素必须明确限制过用、补足缺位、恢复顺序、打开反馈、落实改变或完成修复回流；不能只凭五行相生补写现实效果。</x:v>
      </x:c>
      <x:c r="O391" s="24" t="str">
        <x:v>近位提高进入亲密关系核心的概率；远位只作背景、阶段或条件性修正。</x:v>
      </x:c>
      <x:c r="P391" s="24" t="str">
        <x:v>根气只修正该保护功能是否容易重复调用，不等于现实中已经形成稳定保护。</x:v>
      </x:c>
      <x:c r="Q391" s="24" t="str">
        <x:v>旺弱只修正调用强度与承载；强不自动有效，弱也不自动无效。</x:v>
      </x:c>
      <x:c r="R391" s="24" t="str">
        <x:v>喜忌只修正摩擦、平衡与承载，不可直接翻译为好坏、成熟度或解决方案。</x:v>
      </x:c>
      <x:c r="S391" s="24" t="str">
        <x:v>原十神功能有效；真合化成立时按化神功能替换，合化争议时停止定性。</x:v>
      </x:c>
      <x:c r="T391" s="24" t="str">
        <x:v>近位提高直接相关性；远位仅保留背景、阶段或低置信修正。</x:v>
      </x:c>
      <x:c r="U391" s="24" t="str">
        <x:v>98</x:v>
      </x:c>
      <x:c r="V391" s="24" t="str">
        <x:v>达成+10／未达不升级</x:v>
      </x:c>
      <x:c r="W391" s="24" t="str">
        <x:v>repair_status</x:v>
      </x:c>
      <x:c r="X391" s="24" t="str">
        <x:v>RN03的有效标志是：接收方的实际影响被听见、复述并纳入后续行动。；边界是：只有发起方解释动机，没有确认接收方影响。</x:v>
      </x:c>
      <x:c r="Y391" s="24" t="str">
        <x:v>只有当“接收方的实际影响被听见、复述并纳入后续行动。”出现时，才能判断这一步真正进入修复。</x:v>
      </x:c>
      <x:c r="Z391" s="24" t="str">
        <x:v>不得仅凭本规则断定问题已经解决、关系必然稳定、用户一定成熟、某十神天然是“药”、喜用神自动等于解决办法，或淡化暴力、强迫与现实伤害；现实行为、反例、安全事实和专业支持优先。</x:v>
      </x:c>
      <x:c r="AA391" s="24" t="str">
        <x:v>高</x:v>
      </x:c>
      <x:c r="AB391" s="24" t="str">
        <x:v>待验证</x:v>
      </x:c>
      <x:c r="AC391" s="24" t="str"/>
      <x:c r="AD391" s="24" t="str">
        <x:v>provisional=true；保护因素的现实有效性必须由可观察行为、反馈和持续结果验证。</x:v>
      </x:c>
      <x:c r="AE391" s="24" t="str">
        <x:v>0.8</x:v>
      </x:c>
    </x:row>
    <x:row r="392" ht="52" customHeight="1">
      <x:c r="A392" s="24" t="str">
        <x:v>M4-BUFFER-391</x:v>
      </x:c>
      <x:c r="B392" s="24" t="str">
        <x:v>RN04 责任与角色承担｜保护路由</x:v>
      </x:c>
      <x:c r="C392" s="24" t="str">
        <x:v>L8 REPAIR修复回流接口</x:v>
      </x:c>
      <x:c r="D392" s="24" t="str">
        <x:v>BUFFER-REPAIR接口</x:v>
      </x:c>
      <x:c r="E392" s="24" t="str">
        <x:v>通用</x:v>
      </x:c>
      <x:c r="F392" s="24" t="str">
        <x:v>路由</x:v>
      </x:c>
      <x:c r="G392" s="24" t="str">
        <x:v>RN04 责任与角色承担</x:v>
      </x:c>
      <x:c r="H392" s="24" t="str">
        <x:v>BF01制化＋正官责任＋BF06兑现</x:v>
      </x:c>
      <x:c r="I392" s="24" t="str">
        <x:v>M4-REPAIR显示RN04缺失、薄弱或需要加强，且存在BF01制化＋正官责任＋BF06兑现中的独立资源。</x:v>
      </x:c>
      <x:c r="J392" s="24" t="str">
        <x:v>没有对应修复事件，或资源与缺失节点功能不匹配。</x:v>
      </x:c>
      <x:c r="K392" s="24" t="str">
        <x:v>由共享基础引擎提供；仅修正保护功能的承载、持续调用和压力状态下的稳定性，不直接等同成熟度、道德或现实行为。</x:v>
      </x:c>
      <x:c r="L392" s="24" t="str">
        <x:v>由M1／M2接口提供；夫妻星、心动原型和关系门槛只说明关系议题，不单独证明保护因素已经被调用或有效。</x:v>
      </x:c>
      <x:c r="M392" s="24" t="str">
        <x:v>由M3-BASE及M4各模块提供；日支、日柱近位可提高与亲密关系核心的相关性，但同一source_id不得重复计分。</x:v>
      </x:c>
      <x:c r="N392" s="24" t="str">
        <x:v>保护因素必须明确限制过用、补足缺位、恢复顺序、打开反馈、落实改变或完成修复回流；不能只凭五行相生补写现实效果。</x:v>
      </x:c>
      <x:c r="O392" s="24" t="str">
        <x:v>近位提高进入亲密关系核心的概率；远位只作背景、阶段或条件性修正。</x:v>
      </x:c>
      <x:c r="P392" s="24" t="str">
        <x:v>根气只修正该保护功能是否容易重复调用，不等于现实中已经形成稳定保护。</x:v>
      </x:c>
      <x:c r="Q392" s="24" t="str">
        <x:v>旺弱只修正调用强度与承载；强不自动有效，弱也不自动无效。</x:v>
      </x:c>
      <x:c r="R392" s="24" t="str">
        <x:v>喜忌只修正摩擦、平衡与承载，不可直接翻译为好坏、成熟度或解决方案。</x:v>
      </x:c>
      <x:c r="S392" s="24" t="str">
        <x:v>原十神功能有效；真合化成立时按化神功能替换，合化争议时停止定性。</x:v>
      </x:c>
      <x:c r="T392" s="24" t="str">
        <x:v>近位提高直接相关性；远位仅保留背景、阶段或低置信修正。</x:v>
      </x:c>
      <x:c r="U392" s="24" t="str">
        <x:v>95</x:v>
      </x:c>
      <x:c r="V392" s="24" t="str">
        <x:v>匹配+6</x:v>
      </x:c>
      <x:c r="W392" s="24" t="str">
        <x:v>repair_buffer</x:v>
      </x:c>
      <x:c r="X392" s="24" t="str">
        <x:v>RN04优先由BF01制化＋正官责任＋BF06兑现承担保护任务。</x:v>
      </x:c>
      <x:c r="Y392" s="24" t="str">
        <x:v>这一步需要借助BF01制化＋正官责任＋BF06兑现，让修复链继续向前。</x:v>
      </x:c>
      <x:c r="Z392" s="24" t="str">
        <x:v>不得仅凭本规则断定问题已经解决、关系必然稳定、用户一定成熟、某十神天然是“药”、喜用神自动等于解决办法，或淡化暴力、强迫与现实伤害；现实行为、反例、安全事实和专业支持优先。</x:v>
      </x:c>
      <x:c r="AA392" s="24" t="str">
        <x:v>中高</x:v>
      </x:c>
      <x:c r="AB392" s="24" t="str">
        <x:v>待验证</x:v>
      </x:c>
      <x:c r="AC392" s="24" t="str"/>
      <x:c r="AD392" s="24" t="str">
        <x:v>provisional=true；保护因素的现实有效性必须由可观察行为、反馈和持续结果验证。</x:v>
      </x:c>
      <x:c r="AE392" s="24" t="str">
        <x:v>0.8</x:v>
      </x:c>
    </x:row>
    <x:row r="393" ht="52" customHeight="1">
      <x:c r="A393" s="24" t="str">
        <x:v>M4-BUFFER-392</x:v>
      </x:c>
      <x:c r="B393" s="24" t="str">
        <x:v>RN04 责任与角色承担｜完成边界</x:v>
      </x:c>
      <x:c r="C393" s="24" t="str">
        <x:v>L8 REPAIR修复回流接口</x:v>
      </x:c>
      <x:c r="D393" s="24" t="str">
        <x:v>BUFFER-REPAIR接口</x:v>
      </x:c>
      <x:c r="E393" s="24" t="str">
        <x:v>通用</x:v>
      </x:c>
      <x:c r="F393" s="24" t="str">
        <x:v>边界</x:v>
      </x:c>
      <x:c r="G393" s="24" t="str">
        <x:v>RN04 责任与角色承担</x:v>
      </x:c>
      <x:c r="H393" s="24" t="str">
        <x:v>完成边界</x:v>
      </x:c>
      <x:c r="I393" s="24" t="str">
        <x:v>责任具体到行为、后果和后续任务，不以原因解释替代。</x:v>
      </x:c>
      <x:c r="J393" s="24" t="str">
        <x:v>只说“我不是故意的”“我也很难”而未承担具体责任。</x:v>
      </x:c>
      <x:c r="K393" s="24" t="str">
        <x:v>由共享基础引擎提供；仅修正保护功能的承载、持续调用和压力状态下的稳定性，不直接等同成熟度、道德或现实行为。</x:v>
      </x:c>
      <x:c r="L393" s="24" t="str">
        <x:v>由M1／M2接口提供；夫妻星、心动原型和关系门槛只说明关系议题，不单独证明保护因素已经被调用或有效。</x:v>
      </x:c>
      <x:c r="M393" s="24" t="str">
        <x:v>由M3-BASE及M4各模块提供；日支、日柱近位可提高与亲密关系核心的相关性，但同一source_id不得重复计分。</x:v>
      </x:c>
      <x:c r="N393" s="24" t="str">
        <x:v>保护因素必须明确限制过用、补足缺位、恢复顺序、打开反馈、落实改变或完成修复回流；不能只凭五行相生补写现实效果。</x:v>
      </x:c>
      <x:c r="O393" s="24" t="str">
        <x:v>近位提高进入亲密关系核心的概率；远位只作背景、阶段或条件性修正。</x:v>
      </x:c>
      <x:c r="P393" s="24" t="str">
        <x:v>根气只修正该保护功能是否容易重复调用，不等于现实中已经形成稳定保护。</x:v>
      </x:c>
      <x:c r="Q393" s="24" t="str">
        <x:v>旺弱只修正调用强度与承载；强不自动有效，弱也不自动无效。</x:v>
      </x:c>
      <x:c r="R393" s="24" t="str">
        <x:v>喜忌只修正摩擦、平衡与承载，不可直接翻译为好坏、成熟度或解决方案。</x:v>
      </x:c>
      <x:c r="S393" s="24" t="str">
        <x:v>原十神功能有效；真合化成立时按化神功能替换，合化争议时停止定性。</x:v>
      </x:c>
      <x:c r="T393" s="24" t="str">
        <x:v>近位提高直接相关性；远位仅保留背景、阶段或低置信修正。</x:v>
      </x:c>
      <x:c r="U393" s="24" t="str">
        <x:v>98</x:v>
      </x:c>
      <x:c r="V393" s="24" t="str">
        <x:v>达成+10／未达不升级</x:v>
      </x:c>
      <x:c r="W393" s="24" t="str">
        <x:v>repair_status</x:v>
      </x:c>
      <x:c r="X393" s="24" t="str">
        <x:v>RN04的有效标志是：责任具体到行为、后果和后续任务，不以原因解释替代。；边界是：只说“我不是故意的”“我也很难”而未承担具体责任。</x:v>
      </x:c>
      <x:c r="Y393" s="24" t="str">
        <x:v>只有当“责任具体到行为、后果和后续任务，不以原因解释替代。”出现时，才能判断这一步真正进入修复。</x:v>
      </x:c>
      <x:c r="Z393" s="24" t="str">
        <x:v>不得仅凭本规则断定问题已经解决、关系必然稳定、用户一定成熟、某十神天然是“药”、喜用神自动等于解决办法，或淡化暴力、强迫与现实伤害；现实行为、反例、安全事实和专业支持优先。</x:v>
      </x:c>
      <x:c r="AA393" s="24" t="str">
        <x:v>高</x:v>
      </x:c>
      <x:c r="AB393" s="24" t="str">
        <x:v>待验证</x:v>
      </x:c>
      <x:c r="AC393" s="24" t="str"/>
      <x:c r="AD393" s="24" t="str">
        <x:v>provisional=true；保护因素的现实有效性必须由可观察行为、反馈和持续结果验证。</x:v>
      </x:c>
      <x:c r="AE393" s="24" t="str">
        <x:v>0.8</x:v>
      </x:c>
    </x:row>
    <x:row r="394" ht="52" customHeight="1">
      <x:c r="A394" s="24" t="str">
        <x:v>M4-BUFFER-393</x:v>
      </x:c>
      <x:c r="B394" s="24" t="str">
        <x:v>RN05 需要、边界与参与权重订｜保护路由</x:v>
      </x:c>
      <x:c r="C394" s="24" t="str">
        <x:v>L8 REPAIR修复回流接口</x:v>
      </x:c>
      <x:c r="D394" s="24" t="str">
        <x:v>BUFFER-REPAIR接口</x:v>
      </x:c>
      <x:c r="E394" s="24" t="str">
        <x:v>通用</x:v>
      </x:c>
      <x:c r="F394" s="24" t="str">
        <x:v>路由</x:v>
      </x:c>
      <x:c r="G394" s="24" t="str">
        <x:v>RN05 需要、边界与参与权重订</x:v>
      </x:c>
      <x:c r="H394" s="24" t="str">
        <x:v>BF03独立边界＋BF05协商</x:v>
      </x:c>
      <x:c r="I394" s="24" t="str">
        <x:v>M4-REPAIR显示RN05缺失、薄弱或需要加强，且存在BF03独立边界＋BF05协商中的独立资源。</x:v>
      </x:c>
      <x:c r="J394" s="24" t="str">
        <x:v>没有对应修复事件，或资源与缺失节点功能不匹配。</x:v>
      </x:c>
      <x:c r="K394" s="24" t="str">
        <x:v>由共享基础引擎提供；仅修正保护功能的承载、持续调用和压力状态下的稳定性，不直接等同成熟度、道德或现实行为。</x:v>
      </x:c>
      <x:c r="L394" s="24" t="str">
        <x:v>由M1／M2接口提供；夫妻星、心动原型和关系门槛只说明关系议题，不单独证明保护因素已经被调用或有效。</x:v>
      </x:c>
      <x:c r="M394" s="24" t="str">
        <x:v>由M3-BASE及M4各模块提供；日支、日柱近位可提高与亲密关系核心的相关性，但同一source_id不得重复计分。</x:v>
      </x:c>
      <x:c r="N394" s="24" t="str">
        <x:v>保护因素必须明确限制过用、补足缺位、恢复顺序、打开反馈、落实改变或完成修复回流；不能只凭五行相生补写现实效果。</x:v>
      </x:c>
      <x:c r="O394" s="24" t="str">
        <x:v>近位提高进入亲密关系核心的概率；远位只作背景、阶段或条件性修正。</x:v>
      </x:c>
      <x:c r="P394" s="24" t="str">
        <x:v>根气只修正该保护功能是否容易重复调用，不等于现实中已经形成稳定保护。</x:v>
      </x:c>
      <x:c r="Q394" s="24" t="str">
        <x:v>旺弱只修正调用强度与承载；强不自动有效，弱也不自动无效。</x:v>
      </x:c>
      <x:c r="R394" s="24" t="str">
        <x:v>喜忌只修正摩擦、平衡与承载，不可直接翻译为好坏、成熟度或解决方案。</x:v>
      </x:c>
      <x:c r="S394" s="24" t="str">
        <x:v>原十神功能有效；真合化成立时按化神功能替换，合化争议时停止定性。</x:v>
      </x:c>
      <x:c r="T394" s="24" t="str">
        <x:v>近位提高直接相关性；远位仅保留背景、阶段或低置信修正。</x:v>
      </x:c>
      <x:c r="U394" s="24" t="str">
        <x:v>95</x:v>
      </x:c>
      <x:c r="V394" s="24" t="str">
        <x:v>匹配+6</x:v>
      </x:c>
      <x:c r="W394" s="24" t="str">
        <x:v>repair_buffer</x:v>
      </x:c>
      <x:c r="X394" s="24" t="str">
        <x:v>RN05优先由BF03独立边界＋BF05协商承担保护任务。</x:v>
      </x:c>
      <x:c r="Y394" s="24" t="str">
        <x:v>这一步需要借助BF03独立边界＋BF05协商，让修复链继续向前。</x:v>
      </x:c>
      <x:c r="Z394" s="24" t="str">
        <x:v>不得仅凭本规则断定问题已经解决、关系必然稳定、用户一定成熟、某十神天然是“药”、喜用神自动等于解决办法，或淡化暴力、强迫与现实伤害；现实行为、反例、安全事实和专业支持优先。</x:v>
      </x:c>
      <x:c r="AA394" s="24" t="str">
        <x:v>中高</x:v>
      </x:c>
      <x:c r="AB394" s="24" t="str">
        <x:v>待验证</x:v>
      </x:c>
      <x:c r="AC394" s="24" t="str"/>
      <x:c r="AD394" s="24" t="str">
        <x:v>provisional=true；保护因素的现实有效性必须由可观察行为、反馈和持续结果验证。</x:v>
      </x:c>
      <x:c r="AE394" s="24" t="str">
        <x:v>0.8</x:v>
      </x:c>
    </x:row>
    <x:row r="395" ht="52" customHeight="1">
      <x:c r="A395" s="24" t="str">
        <x:v>M4-BUFFER-394</x:v>
      </x:c>
      <x:c r="B395" s="24" t="str">
        <x:v>RN05 需要、边界与参与权重订｜完成边界</x:v>
      </x:c>
      <x:c r="C395" s="24" t="str">
        <x:v>L8 REPAIR修复回流接口</x:v>
      </x:c>
      <x:c r="D395" s="24" t="str">
        <x:v>BUFFER-REPAIR接口</x:v>
      </x:c>
      <x:c r="E395" s="24" t="str">
        <x:v>通用</x:v>
      </x:c>
      <x:c r="F395" s="24" t="str">
        <x:v>边界</x:v>
      </x:c>
      <x:c r="G395" s="24" t="str">
        <x:v>RN05 需要、边界与参与权重订</x:v>
      </x:c>
      <x:c r="H395" s="24" t="str">
        <x:v>完成边界</x:v>
      </x:c>
      <x:c r="I395" s="24" t="str">
        <x:v>双方重新明确需要、停止线、参与权和共同决定范围。</x:v>
      </x:c>
      <x:c r="J395" s="24" t="str">
        <x:v>由一方单独制定新规则或要求对方配合。</x:v>
      </x:c>
      <x:c r="K395" s="24" t="str">
        <x:v>由共享基础引擎提供；仅修正保护功能的承载、持续调用和压力状态下的稳定性，不直接等同成熟度、道德或现实行为。</x:v>
      </x:c>
      <x:c r="L395" s="24" t="str">
        <x:v>由M1／M2接口提供；夫妻星、心动原型和关系门槛只说明关系议题，不单独证明保护因素已经被调用或有效。</x:v>
      </x:c>
      <x:c r="M395" s="24" t="str">
        <x:v>由M3-BASE及M4各模块提供；日支、日柱近位可提高与亲密关系核心的相关性，但同一source_id不得重复计分。</x:v>
      </x:c>
      <x:c r="N395" s="24" t="str">
        <x:v>保护因素必须明确限制过用、补足缺位、恢复顺序、打开反馈、落实改变或完成修复回流；不能只凭五行相生补写现实效果。</x:v>
      </x:c>
      <x:c r="O395" s="24" t="str">
        <x:v>近位提高进入亲密关系核心的概率；远位只作背景、阶段或条件性修正。</x:v>
      </x:c>
      <x:c r="P395" s="24" t="str">
        <x:v>根气只修正该保护功能是否容易重复调用，不等于现实中已经形成稳定保护。</x:v>
      </x:c>
      <x:c r="Q395" s="24" t="str">
        <x:v>旺弱只修正调用强度与承载；强不自动有效，弱也不自动无效。</x:v>
      </x:c>
      <x:c r="R395" s="24" t="str">
        <x:v>喜忌只修正摩擦、平衡与承载，不可直接翻译为好坏、成熟度或解决方案。</x:v>
      </x:c>
      <x:c r="S395" s="24" t="str">
        <x:v>原十神功能有效；真合化成立时按化神功能替换，合化争议时停止定性。</x:v>
      </x:c>
      <x:c r="T395" s="24" t="str">
        <x:v>近位提高直接相关性；远位仅保留背景、阶段或低置信修正。</x:v>
      </x:c>
      <x:c r="U395" s="24" t="str">
        <x:v>98</x:v>
      </x:c>
      <x:c r="V395" s="24" t="str">
        <x:v>达成+10／未达不升级</x:v>
      </x:c>
      <x:c r="W395" s="24" t="str">
        <x:v>repair_status</x:v>
      </x:c>
      <x:c r="X395" s="24" t="str">
        <x:v>RN05的有效标志是：双方重新明确需要、停止线、参与权和共同决定范围。；边界是：由一方单独制定新规则或要求对方配合。</x:v>
      </x:c>
      <x:c r="Y395" s="24" t="str">
        <x:v>只有当“双方重新明确需要、停止线、参与权和共同决定范围。”出现时，才能判断这一步真正进入修复。</x:v>
      </x:c>
      <x:c r="Z395" s="24" t="str">
        <x:v>不得仅凭本规则断定问题已经解决、关系必然稳定、用户一定成熟、某十神天然是“药”、喜用神自动等于解决办法，或淡化暴力、强迫与现实伤害；现实行为、反例、安全事实和专业支持优先。</x:v>
      </x:c>
      <x:c r="AA395" s="24" t="str">
        <x:v>高</x:v>
      </x:c>
      <x:c r="AB395" s="24" t="str">
        <x:v>待验证</x:v>
      </x:c>
      <x:c r="AC395" s="24" t="str"/>
      <x:c r="AD395" s="24" t="str">
        <x:v>provisional=true；保护因素的现实有效性必须由可观察行为、反馈和持续结果验证。</x:v>
      </x:c>
      <x:c r="AE395" s="24" t="str">
        <x:v>0.8</x:v>
      </x:c>
    </x:row>
    <x:row r="396" ht="52" customHeight="1">
      <x:c r="A396" s="24" t="str">
        <x:v>M4-BUFFER-395</x:v>
      </x:c>
      <x:c r="B396" s="24" t="str">
        <x:v>RN06 补救行动与现实调整｜保护路由</x:v>
      </x:c>
      <x:c r="C396" s="24" t="str">
        <x:v>L8 REPAIR修复回流接口</x:v>
      </x:c>
      <x:c r="D396" s="24" t="str">
        <x:v>BUFFER-REPAIR接口</x:v>
      </x:c>
      <x:c r="E396" s="24" t="str">
        <x:v>通用</x:v>
      </x:c>
      <x:c r="F396" s="24" t="str">
        <x:v>路由</x:v>
      </x:c>
      <x:c r="G396" s="24" t="str">
        <x:v>RN06 补救行动与现实调整</x:v>
      </x:c>
      <x:c r="H396" s="24" t="str">
        <x:v>BF06现实兑现＋财星落实</x:v>
      </x:c>
      <x:c r="I396" s="24" t="str">
        <x:v>M4-REPAIR显示RN06缺失、薄弱或需要加强，且存在BF06现实兑现＋财星落实中的独立资源。</x:v>
      </x:c>
      <x:c r="J396" s="24" t="str">
        <x:v>没有对应修复事件，或资源与缺失节点功能不匹配。</x:v>
      </x:c>
      <x:c r="K396" s="24" t="str">
        <x:v>由共享基础引擎提供；仅修正保护功能的承载、持续调用和压力状态下的稳定性，不直接等同成熟度、道德或现实行为。</x:v>
      </x:c>
      <x:c r="L396" s="24" t="str">
        <x:v>由M1／M2接口提供；夫妻星、心动原型和关系门槛只说明关系议题，不单独证明保护因素已经被调用或有效。</x:v>
      </x:c>
      <x:c r="M396" s="24" t="str">
        <x:v>由M3-BASE及M4各模块提供；日支、日柱近位可提高与亲密关系核心的相关性，但同一source_id不得重复计分。</x:v>
      </x:c>
      <x:c r="N396" s="24" t="str">
        <x:v>保护因素必须明确限制过用、补足缺位、恢复顺序、打开反馈、落实改变或完成修复回流；不能只凭五行相生补写现实效果。</x:v>
      </x:c>
      <x:c r="O396" s="24" t="str">
        <x:v>近位提高进入亲密关系核心的概率；远位只作背景、阶段或条件性修正。</x:v>
      </x:c>
      <x:c r="P396" s="24" t="str">
        <x:v>根气只修正该保护功能是否容易重复调用，不等于现实中已经形成稳定保护。</x:v>
      </x:c>
      <x:c r="Q396" s="24" t="str">
        <x:v>旺弱只修正调用强度与承载；强不自动有效，弱也不自动无效。</x:v>
      </x:c>
      <x:c r="R396" s="24" t="str">
        <x:v>喜忌只修正摩擦、平衡与承载，不可直接翻译为好坏、成熟度或解决方案。</x:v>
      </x:c>
      <x:c r="S396" s="24" t="str">
        <x:v>原十神功能有效；真合化成立时按化神功能替换，合化争议时停止定性。</x:v>
      </x:c>
      <x:c r="T396" s="24" t="str">
        <x:v>近位提高直接相关性；远位仅保留背景、阶段或低置信修正。</x:v>
      </x:c>
      <x:c r="U396" s="24" t="str">
        <x:v>95</x:v>
      </x:c>
      <x:c r="V396" s="24" t="str">
        <x:v>匹配+6</x:v>
      </x:c>
      <x:c r="W396" s="24" t="str">
        <x:v>repair_buffer</x:v>
      </x:c>
      <x:c r="X396" s="24" t="str">
        <x:v>RN06优先由BF06现实兑现＋财星落实承担保护任务。</x:v>
      </x:c>
      <x:c r="Y396" s="24" t="str">
        <x:v>这一步需要借助BF06现实兑现＋财星落实，让修复链继续向前。</x:v>
      </x:c>
      <x:c r="Z396" s="24" t="str">
        <x:v>不得仅凭本规则断定问题已经解决、关系必然稳定、用户一定成熟、某十神天然是“药”、喜用神自动等于解决办法，或淡化暴力、强迫与现实伤害；现实行为、反例、安全事实和专业支持优先。</x:v>
      </x:c>
      <x:c r="AA396" s="24" t="str">
        <x:v>中高</x:v>
      </x:c>
      <x:c r="AB396" s="24" t="str">
        <x:v>待验证</x:v>
      </x:c>
      <x:c r="AC396" s="24" t="str"/>
      <x:c r="AD396" s="24" t="str">
        <x:v>provisional=true；保护因素的现实有效性必须由可观察行为、反馈和持续结果验证。</x:v>
      </x:c>
      <x:c r="AE396" s="24" t="str">
        <x:v>0.8</x:v>
      </x:c>
    </x:row>
    <x:row r="397" ht="52" customHeight="1">
      <x:c r="A397" s="24" t="str">
        <x:v>M4-BUFFER-396</x:v>
      </x:c>
      <x:c r="B397" s="24" t="str">
        <x:v>RN06 补救行动与现实调整｜完成边界</x:v>
      </x:c>
      <x:c r="C397" s="24" t="str">
        <x:v>L8 REPAIR修复回流接口</x:v>
      </x:c>
      <x:c r="D397" s="24" t="str">
        <x:v>BUFFER-REPAIR接口</x:v>
      </x:c>
      <x:c r="E397" s="24" t="str">
        <x:v>通用</x:v>
      </x:c>
      <x:c r="F397" s="24" t="str">
        <x:v>边界</x:v>
      </x:c>
      <x:c r="G397" s="24" t="str">
        <x:v>RN06 补救行动与现实调整</x:v>
      </x:c>
      <x:c r="H397" s="24" t="str">
        <x:v>完成边界</x:v>
      </x:c>
      <x:c r="I397" s="24" t="str">
        <x:v>形成可观察、可执行、与影响相匹配的行动调整。</x:v>
      </x:c>
      <x:c r="J397" s="24" t="str">
        <x:v>只有承诺、补偿或一次动作，没有持续执行。</x:v>
      </x:c>
      <x:c r="K397" s="24" t="str">
        <x:v>由共享基础引擎提供；仅修正保护功能的承载、持续调用和压力状态下的稳定性，不直接等同成熟度、道德或现实行为。</x:v>
      </x:c>
      <x:c r="L397" s="24" t="str">
        <x:v>由M1／M2接口提供；夫妻星、心动原型和关系门槛只说明关系议题，不单独证明保护因素已经被调用或有效。</x:v>
      </x:c>
      <x:c r="M397" s="24" t="str">
        <x:v>由M3-BASE及M4各模块提供；日支、日柱近位可提高与亲密关系核心的相关性，但同一source_id不得重复计分。</x:v>
      </x:c>
      <x:c r="N397" s="24" t="str">
        <x:v>保护因素必须明确限制过用、补足缺位、恢复顺序、打开反馈、落实改变或完成修复回流；不能只凭五行相生补写现实效果。</x:v>
      </x:c>
      <x:c r="O397" s="24" t="str">
        <x:v>近位提高进入亲密关系核心的概率；远位只作背景、阶段或条件性修正。</x:v>
      </x:c>
      <x:c r="P397" s="24" t="str">
        <x:v>根气只修正该保护功能是否容易重复调用，不等于现实中已经形成稳定保护。</x:v>
      </x:c>
      <x:c r="Q397" s="24" t="str">
        <x:v>旺弱只修正调用强度与承载；强不自动有效，弱也不自动无效。</x:v>
      </x:c>
      <x:c r="R397" s="24" t="str">
        <x:v>喜忌只修正摩擦、平衡与承载，不可直接翻译为好坏、成熟度或解决方案。</x:v>
      </x:c>
      <x:c r="S397" s="24" t="str">
        <x:v>原十神功能有效；真合化成立时按化神功能替换，合化争议时停止定性。</x:v>
      </x:c>
      <x:c r="T397" s="24" t="str">
        <x:v>近位提高直接相关性；远位仅保留背景、阶段或低置信修正。</x:v>
      </x:c>
      <x:c r="U397" s="24" t="str">
        <x:v>98</x:v>
      </x:c>
      <x:c r="V397" s="24" t="str">
        <x:v>达成+10／未达不升级</x:v>
      </x:c>
      <x:c r="W397" s="24" t="str">
        <x:v>repair_status</x:v>
      </x:c>
      <x:c r="X397" s="24" t="str">
        <x:v>RN06的有效标志是：形成可观察、可执行、与影响相匹配的行动调整。；边界是：只有承诺、补偿或一次动作，没有持续执行。</x:v>
      </x:c>
      <x:c r="Y397" s="24" t="str">
        <x:v>只有当“形成可观察、可执行、与影响相匹配的行动调整。”出现时，才能判断这一步真正进入修复。</x:v>
      </x:c>
      <x:c r="Z397" s="24" t="str">
        <x:v>不得仅凭本规则断定问题已经解决、关系必然稳定、用户一定成熟、某十神天然是“药”、喜用神自动等于解决办法，或淡化暴力、强迫与现实伤害；现实行为、反例、安全事实和专业支持优先。</x:v>
      </x:c>
      <x:c r="AA397" s="24" t="str">
        <x:v>高</x:v>
      </x:c>
      <x:c r="AB397" s="24" t="str">
        <x:v>待验证</x:v>
      </x:c>
      <x:c r="AC397" s="24" t="str"/>
      <x:c r="AD397" s="24" t="str">
        <x:v>provisional=true；保护因素的现实有效性必须由可观察行为、反馈和持续结果验证。</x:v>
      </x:c>
      <x:c r="AE397" s="24" t="str">
        <x:v>0.8</x:v>
      </x:c>
    </x:row>
    <x:row r="398" ht="52" customHeight="1">
      <x:c r="A398" s="24" t="str">
        <x:v>M4-BUFFER-397</x:v>
      </x:c>
      <x:c r="B398" s="24" t="str">
        <x:v>RN07 接收反馈与二次修正｜保护路由</x:v>
      </x:c>
      <x:c r="C398" s="24" t="str">
        <x:v>L8 REPAIR修复回流接口</x:v>
      </x:c>
      <x:c r="D398" s="24" t="str">
        <x:v>BUFFER-REPAIR接口</x:v>
      </x:c>
      <x:c r="E398" s="24" t="str">
        <x:v>通用</x:v>
      </x:c>
      <x:c r="F398" s="24" t="str">
        <x:v>路由</x:v>
      </x:c>
      <x:c r="G398" s="24" t="str">
        <x:v>RN07 接收反馈与二次修正</x:v>
      </x:c>
      <x:c r="H398" s="24" t="str">
        <x:v>BF04倾听复核＋BF05反馈</x:v>
      </x:c>
      <x:c r="I398" s="24" t="str">
        <x:v>M4-REPAIR显示RN07缺失、薄弱或需要加强，且存在BF04倾听复核＋BF05反馈中的独立资源。</x:v>
      </x:c>
      <x:c r="J398" s="24" t="str">
        <x:v>没有对应修复事件，或资源与缺失节点功能不匹配。</x:v>
      </x:c>
      <x:c r="K398" s="24" t="str">
        <x:v>由共享基础引擎提供；仅修正保护功能的承载、持续调用和压力状态下的稳定性，不直接等同成熟度、道德或现实行为。</x:v>
      </x:c>
      <x:c r="L398" s="24" t="str">
        <x:v>由M1／M2接口提供；夫妻星、心动原型和关系门槛只说明关系议题，不单独证明保护因素已经被调用或有效。</x:v>
      </x:c>
      <x:c r="M398" s="24" t="str">
        <x:v>由M3-BASE及M4各模块提供；日支、日柱近位可提高与亲密关系核心的相关性，但同一source_id不得重复计分。</x:v>
      </x:c>
      <x:c r="N398" s="24" t="str">
        <x:v>保护因素必须明确限制过用、补足缺位、恢复顺序、打开反馈、落实改变或完成修复回流；不能只凭五行相生补写现实效果。</x:v>
      </x:c>
      <x:c r="O398" s="24" t="str">
        <x:v>近位提高进入亲密关系核心的概率；远位只作背景、阶段或条件性修正。</x:v>
      </x:c>
      <x:c r="P398" s="24" t="str">
        <x:v>根气只修正该保护功能是否容易重复调用，不等于现实中已经形成稳定保护。</x:v>
      </x:c>
      <x:c r="Q398" s="24" t="str">
        <x:v>旺弱只修正调用强度与承载；强不自动有效，弱也不自动无效。</x:v>
      </x:c>
      <x:c r="R398" s="24" t="str">
        <x:v>喜忌只修正摩擦、平衡与承载，不可直接翻译为好坏、成熟度或解决方案。</x:v>
      </x:c>
      <x:c r="S398" s="24" t="str">
        <x:v>原十神功能有效；真合化成立时按化神功能替换，合化争议时停止定性。</x:v>
      </x:c>
      <x:c r="T398" s="24" t="str">
        <x:v>近位提高直接相关性；远位仅保留背景、阶段或低置信修正。</x:v>
      </x:c>
      <x:c r="U398" s="24" t="str">
        <x:v>95</x:v>
      </x:c>
      <x:c r="V398" s="24" t="str">
        <x:v>匹配+6</x:v>
      </x:c>
      <x:c r="W398" s="24" t="str">
        <x:v>repair_buffer</x:v>
      </x:c>
      <x:c r="X398" s="24" t="str">
        <x:v>RN07优先由BF04倾听复核＋BF05反馈承担保护任务。</x:v>
      </x:c>
      <x:c r="Y398" s="24" t="str">
        <x:v>这一步需要借助BF04倾听复核＋BF05反馈，让修复链继续向前。</x:v>
      </x:c>
      <x:c r="Z398" s="24" t="str">
        <x:v>不得仅凭本规则断定问题已经解决、关系必然稳定、用户一定成熟、某十神天然是“药”、喜用神自动等于解决办法，或淡化暴力、强迫与现实伤害；现实行为、反例、安全事实和专业支持优先。</x:v>
      </x:c>
      <x:c r="AA398" s="24" t="str">
        <x:v>中高</x:v>
      </x:c>
      <x:c r="AB398" s="24" t="str">
        <x:v>待验证</x:v>
      </x:c>
      <x:c r="AC398" s="24" t="str"/>
      <x:c r="AD398" s="24" t="str">
        <x:v>provisional=true；保护因素的现实有效性必须由可观察行为、反馈和持续结果验证。</x:v>
      </x:c>
      <x:c r="AE398" s="24" t="str">
        <x:v>0.8</x:v>
      </x:c>
    </x:row>
    <x:row r="399" ht="52" customHeight="1">
      <x:c r="A399" s="24" t="str">
        <x:v>M4-BUFFER-398</x:v>
      </x:c>
      <x:c r="B399" s="24" t="str">
        <x:v>RN07 接收反馈与二次修正｜完成边界</x:v>
      </x:c>
      <x:c r="C399" s="24" t="str">
        <x:v>L8 REPAIR修复回流接口</x:v>
      </x:c>
      <x:c r="D399" s="24" t="str">
        <x:v>BUFFER-REPAIR接口</x:v>
      </x:c>
      <x:c r="E399" s="24" t="str">
        <x:v>通用</x:v>
      </x:c>
      <x:c r="F399" s="24" t="str">
        <x:v>边界</x:v>
      </x:c>
      <x:c r="G399" s="24" t="str">
        <x:v>RN07 接收反馈与二次修正</x:v>
      </x:c>
      <x:c r="H399" s="24" t="str">
        <x:v>完成边界</x:v>
      </x:c>
      <x:c r="I399" s="24" t="str">
        <x:v>接收方能说明修复是否有效，发起方据此调整。</x:v>
      </x:c>
      <x:c r="J399" s="24" t="str">
        <x:v>没有接收方反馈，或反馈被当成挑剔与否定。</x:v>
      </x:c>
      <x:c r="K399" s="24" t="str">
        <x:v>由共享基础引擎提供；仅修正保护功能的承载、持续调用和压力状态下的稳定性，不直接等同成熟度、道德或现实行为。</x:v>
      </x:c>
      <x:c r="L399" s="24" t="str">
        <x:v>由M1／M2接口提供；夫妻星、心动原型和关系门槛只说明关系议题，不单独证明保护因素已经被调用或有效。</x:v>
      </x:c>
      <x:c r="M399" s="24" t="str">
        <x:v>由M3-BASE及M4各模块提供；日支、日柱近位可提高与亲密关系核心的相关性，但同一source_id不得重复计分。</x:v>
      </x:c>
      <x:c r="N399" s="24" t="str">
        <x:v>保护因素必须明确限制过用、补足缺位、恢复顺序、打开反馈、落实改变或完成修复回流；不能只凭五行相生补写现实效果。</x:v>
      </x:c>
      <x:c r="O399" s="24" t="str">
        <x:v>近位提高进入亲密关系核心的概率；远位只作背景、阶段或条件性修正。</x:v>
      </x:c>
      <x:c r="P399" s="24" t="str">
        <x:v>根气只修正该保护功能是否容易重复调用，不等于现实中已经形成稳定保护。</x:v>
      </x:c>
      <x:c r="Q399" s="24" t="str">
        <x:v>旺弱只修正调用强度与承载；强不自动有效，弱也不自动无效。</x:v>
      </x:c>
      <x:c r="R399" s="24" t="str">
        <x:v>喜忌只修正摩擦、平衡与承载，不可直接翻译为好坏、成熟度或解决方案。</x:v>
      </x:c>
      <x:c r="S399" s="24" t="str">
        <x:v>原十神功能有效；真合化成立时按化神功能替换，合化争议时停止定性。</x:v>
      </x:c>
      <x:c r="T399" s="24" t="str">
        <x:v>近位提高直接相关性；远位仅保留背景、阶段或低置信修正。</x:v>
      </x:c>
      <x:c r="U399" s="24" t="str">
        <x:v>98</x:v>
      </x:c>
      <x:c r="V399" s="24" t="str">
        <x:v>达成+10／未达不升级</x:v>
      </x:c>
      <x:c r="W399" s="24" t="str">
        <x:v>repair_status</x:v>
      </x:c>
      <x:c r="X399" s="24" t="str">
        <x:v>RN07的有效标志是：接收方能说明修复是否有效，发起方据此调整。；边界是：没有接收方反馈，或反馈被当成挑剔与否定。</x:v>
      </x:c>
      <x:c r="Y399" s="24" t="str">
        <x:v>只有当“接收方能说明修复是否有效，发起方据此调整。”出现时，才能判断这一步真正进入修复。</x:v>
      </x:c>
      <x:c r="Z399" s="24" t="str">
        <x:v>不得仅凭本规则断定问题已经解决、关系必然稳定、用户一定成熟、某十神天然是“药”、喜用神自动等于解决办法，或淡化暴力、强迫与现实伤害；现实行为、反例、安全事实和专业支持优先。</x:v>
      </x:c>
      <x:c r="AA399" s="24" t="str">
        <x:v>高</x:v>
      </x:c>
      <x:c r="AB399" s="24" t="str">
        <x:v>待验证</x:v>
      </x:c>
      <x:c r="AC399" s="24" t="str"/>
      <x:c r="AD399" s="24" t="str">
        <x:v>provisional=true；保护因素的现实有效性必须由可观察行为、反馈和持续结果验证。</x:v>
      </x:c>
      <x:c r="AE399" s="24" t="str">
        <x:v>0.8</x:v>
      </x:c>
    </x:row>
    <x:row r="400" ht="52" customHeight="1">
      <x:c r="A400" s="24" t="str">
        <x:v>M4-BUFFER-399</x:v>
      </x:c>
      <x:c r="B400" s="24" t="str">
        <x:v>RN08 持续兑现、回访与重新开放｜保护路由</x:v>
      </x:c>
      <x:c r="C400" s="24" t="str">
        <x:v>L8 REPAIR修复回流接口</x:v>
      </x:c>
      <x:c r="D400" s="24" t="str">
        <x:v>BUFFER-REPAIR接口</x:v>
      </x:c>
      <x:c r="E400" s="24" t="str">
        <x:v>通用</x:v>
      </x:c>
      <x:c r="F400" s="24" t="str">
        <x:v>路由</x:v>
      </x:c>
      <x:c r="G400" s="24" t="str">
        <x:v>RN08 持续兑现、回访与重新开放</x:v>
      </x:c>
      <x:c r="H400" s="24" t="str">
        <x:v>BF06持续行为＋BF07完整回流</x:v>
      </x:c>
      <x:c r="I400" s="24" t="str">
        <x:v>M4-REPAIR显示RN08缺失、薄弱或需要加强，且存在BF06持续行为＋BF07完整回流中的独立资源。</x:v>
      </x:c>
      <x:c r="J400" s="24" t="str">
        <x:v>没有对应修复事件，或资源与缺失节点功能不匹配。</x:v>
      </x:c>
      <x:c r="K400" s="24" t="str">
        <x:v>由共享基础引擎提供；仅修正保护功能的承载、持续调用和压力状态下的稳定性，不直接等同成熟度、道德或现实行为。</x:v>
      </x:c>
      <x:c r="L400" s="24" t="str">
        <x:v>由M1／M2接口提供；夫妻星、心动原型和关系门槛只说明关系议题，不单独证明保护因素已经被调用或有效。</x:v>
      </x:c>
      <x:c r="M400" s="24" t="str">
        <x:v>由M3-BASE及M4各模块提供；日支、日柱近位可提高与亲密关系核心的相关性，但同一source_id不得重复计分。</x:v>
      </x:c>
      <x:c r="N400" s="24" t="str">
        <x:v>保护因素必须明确限制过用、补足缺位、恢复顺序、打开反馈、落实改变或完成修复回流；不能只凭五行相生补写现实效果。</x:v>
      </x:c>
      <x:c r="O400" s="24" t="str">
        <x:v>近位提高进入亲密关系核心的概率；远位只作背景、阶段或条件性修正。</x:v>
      </x:c>
      <x:c r="P400" s="24" t="str">
        <x:v>根气只修正该保护功能是否容易重复调用，不等于现实中已经形成稳定保护。</x:v>
      </x:c>
      <x:c r="Q400" s="24" t="str">
        <x:v>旺弱只修正调用强度与承载；强不自动有效，弱也不自动无效。</x:v>
      </x:c>
      <x:c r="R400" s="24" t="str">
        <x:v>喜忌只修正摩擦、平衡与承载，不可直接翻译为好坏、成熟度或解决方案。</x:v>
      </x:c>
      <x:c r="S400" s="24" t="str">
        <x:v>原十神功能有效；真合化成立时按化神功能替换，合化争议时停止定性。</x:v>
      </x:c>
      <x:c r="T400" s="24" t="str">
        <x:v>近位提高直接相关性；远位仅保留背景、阶段或低置信修正。</x:v>
      </x:c>
      <x:c r="U400" s="24" t="str">
        <x:v>95</x:v>
      </x:c>
      <x:c r="V400" s="24" t="str">
        <x:v>匹配+6</x:v>
      </x:c>
      <x:c r="W400" s="24" t="str">
        <x:v>repair_buffer</x:v>
      </x:c>
      <x:c r="X400" s="24" t="str">
        <x:v>RN08优先由BF06持续行为＋BF07完整回流承担保护任务。</x:v>
      </x:c>
      <x:c r="Y400" s="24" t="str">
        <x:v>这一步需要借助BF06持续行为＋BF07完整回流，让修复链继续向前。</x:v>
      </x:c>
      <x:c r="Z400" s="24" t="str">
        <x:v>不得仅凭本规则断定问题已经解决、关系必然稳定、用户一定成熟、某十神天然是“药”、喜用神自动等于解决办法，或淡化暴力、强迫与现实伤害；现实行为、反例、安全事实和专业支持优先。</x:v>
      </x:c>
      <x:c r="AA400" s="24" t="str">
        <x:v>中高</x:v>
      </x:c>
      <x:c r="AB400" s="24" t="str">
        <x:v>待验证</x:v>
      </x:c>
      <x:c r="AC400" s="24" t="str"/>
      <x:c r="AD400" s="24" t="str">
        <x:v>provisional=true；保护因素的现实有效性必须由可观察行为、反馈和持续结果验证。</x:v>
      </x:c>
      <x:c r="AE400" s="24" t="str">
        <x:v>0.8</x:v>
      </x:c>
    </x:row>
    <x:row r="401" ht="52" customHeight="1">
      <x:c r="A401" s="24" t="str">
        <x:v>M4-BUFFER-400</x:v>
      </x:c>
      <x:c r="B401" s="24" t="str">
        <x:v>RN08 持续兑现、回访与重新开放｜完成边界</x:v>
      </x:c>
      <x:c r="C401" s="24" t="str">
        <x:v>L8 REPAIR修复回流接口</x:v>
      </x:c>
      <x:c r="D401" s="24" t="str">
        <x:v>BUFFER-REPAIR接口</x:v>
      </x:c>
      <x:c r="E401" s="24" t="str">
        <x:v>通用</x:v>
      </x:c>
      <x:c r="F401" s="24" t="str">
        <x:v>边界</x:v>
      </x:c>
      <x:c r="G401" s="24" t="str">
        <x:v>RN08 持续兑现、回访与重新开放</x:v>
      </x:c>
      <x:c r="H401" s="24" t="str">
        <x:v>完成边界</x:v>
      </x:c>
      <x:c r="I401" s="24" t="str">
        <x:v>改变在后续情境中持续，并有回访、复发检验和重新开放。</x:v>
      </x:c>
      <x:c r="J401" s="24" t="str">
        <x:v>一次改善、短期和好或无复发资料被写成稳定修复。</x:v>
      </x:c>
      <x:c r="K401" s="24" t="str">
        <x:v>由共享基础引擎提供；仅修正保护功能的承载、持续调用和压力状态下的稳定性，不直接等同成熟度、道德或现实行为。</x:v>
      </x:c>
      <x:c r="L401" s="24" t="str">
        <x:v>由M1／M2接口提供；夫妻星、心动原型和关系门槛只说明关系议题，不单独证明保护因素已经被调用或有效。</x:v>
      </x:c>
      <x:c r="M401" s="24" t="str">
        <x:v>由M3-BASE及M4各模块提供；日支、日柱近位可提高与亲密关系核心的相关性，但同一source_id不得重复计分。</x:v>
      </x:c>
      <x:c r="N401" s="24" t="str">
        <x:v>保护因素必须明确限制过用、补足缺位、恢复顺序、打开反馈、落实改变或完成修复回流；不能只凭五行相生补写现实效果。</x:v>
      </x:c>
      <x:c r="O401" s="24" t="str">
        <x:v>近位提高进入亲密关系核心的概率；远位只作背景、阶段或条件性修正。</x:v>
      </x:c>
      <x:c r="P401" s="24" t="str">
        <x:v>根气只修正该保护功能是否容易重复调用，不等于现实中已经形成稳定保护。</x:v>
      </x:c>
      <x:c r="Q401" s="24" t="str">
        <x:v>旺弱只修正调用强度与承载；强不自动有效，弱也不自动无效。</x:v>
      </x:c>
      <x:c r="R401" s="24" t="str">
        <x:v>喜忌只修正摩擦、平衡与承载，不可直接翻译为好坏、成熟度或解决方案。</x:v>
      </x:c>
      <x:c r="S401" s="24" t="str">
        <x:v>原十神功能有效；真合化成立时按化神功能替换，合化争议时停止定性。</x:v>
      </x:c>
      <x:c r="T401" s="24" t="str">
        <x:v>近位提高直接相关性；远位仅保留背景、阶段或低置信修正。</x:v>
      </x:c>
      <x:c r="U401" s="24" t="str">
        <x:v>98</x:v>
      </x:c>
      <x:c r="V401" s="24" t="str">
        <x:v>达成+10／未达不升级</x:v>
      </x:c>
      <x:c r="W401" s="24" t="str">
        <x:v>repair_status</x:v>
      </x:c>
      <x:c r="X401" s="24" t="str">
        <x:v>RN08的有效标志是：改变在后续情境中持续，并有回访、复发检验和重新开放。；边界是：一次改善、短期和好或无复发资料被写成稳定修复。</x:v>
      </x:c>
      <x:c r="Y401" s="24" t="str">
        <x:v>只有当“改变在后续情境中持续，并有回访、复发检验和重新开放。”出现时，才能判断这一步真正进入修复。</x:v>
      </x:c>
      <x:c r="Z401" s="24" t="str">
        <x:v>不得仅凭本规则断定问题已经解决、关系必然稳定、用户一定成熟、某十神天然是“药”、喜用神自动等于解决办法，或淡化暴力、强迫与现实伤害；现实行为、反例、安全事实和专业支持优先。</x:v>
      </x:c>
      <x:c r="AA401" s="24" t="str">
        <x:v>高</x:v>
      </x:c>
      <x:c r="AB401" s="24" t="str">
        <x:v>待验证</x:v>
      </x:c>
      <x:c r="AC401" s="24" t="str"/>
      <x:c r="AD401" s="24" t="str">
        <x:v>provisional=true；保护因素的现实有效性必须由可观察行为、反馈和持续结果验证。</x:v>
      </x:c>
      <x:c r="AE401" s="24" t="str">
        <x:v>0.8</x:v>
      </x:c>
    </x:row>
    <x:row r="402" ht="52" customHeight="1">
      <x:c r="A402" s="24" t="str">
        <x:v>M4-BUFFER-401</x:v>
      </x:c>
      <x:c r="B402" s="24" t="str">
        <x:v>RB01 事件停止等同修复完成｜保护接口</x:v>
      </x:c>
      <x:c r="C402" s="24" t="str">
        <x:v>L8 REPAIR修复回流接口</x:v>
      </x:c>
      <x:c r="D402" s="24" t="str">
        <x:v>BUFFER-REPAIR盲点接口</x:v>
      </x:c>
      <x:c r="E402" s="24" t="str">
        <x:v>通用</x:v>
      </x:c>
      <x:c r="F402" s="24" t="str">
        <x:v>路由</x:v>
      </x:c>
      <x:c r="G402" s="24" t="str">
        <x:v>RB01 事件停止等同修复完成</x:v>
      </x:c>
      <x:c r="H402" s="24" t="str">
        <x:v>BF07完整修复回流；继续检查RN02—RN08</x:v>
      </x:c>
      <x:c r="I402" s="24" t="str">
        <x:v>M4-REPAIR已识别RB01候选，并且存在BF07完整修复回流；继续检查RN02—RN08中的至少一项资源。</x:v>
      </x:c>
      <x:c r="J402" s="24" t="str">
        <x:v>该盲点已有现实反例，或修复节点已经完整且持续。</x:v>
      </x:c>
      <x:c r="K402" s="24" t="str">
        <x:v>由共享基础引擎提供；仅修正保护功能的承载、持续调用和压力状态下的稳定性，不直接等同成熟度、道德或现实行为。</x:v>
      </x:c>
      <x:c r="L402" s="24" t="str">
        <x:v>由M1／M2接口提供；夫妻星、心动原型和关系门槛只说明关系议题，不单独证明保护因素已经被调用或有效。</x:v>
      </x:c>
      <x:c r="M402" s="24" t="str">
        <x:v>由M3-BASE及M4各模块提供；日支、日柱近位可提高与亲密关系核心的相关性，但同一source_id不得重复计分。</x:v>
      </x:c>
      <x:c r="N402" s="24" t="str">
        <x:v>保护因素必须明确限制过用、补足缺位、恢复顺序、打开反馈、落实改变或完成修复回流；不能只凭五行相生补写现实效果。</x:v>
      </x:c>
      <x:c r="O402" s="24" t="str">
        <x:v>近位提高进入亲密关系核心的概率；远位只作背景、阶段或条件性修正。</x:v>
      </x:c>
      <x:c r="P402" s="24" t="str">
        <x:v>根气只修正该保护功能是否容易重复调用，不等于现实中已经形成稳定保护。</x:v>
      </x:c>
      <x:c r="Q402" s="24" t="str">
        <x:v>旺弱只修正调用强度与承载；强不自动有效，弱也不自动无效。</x:v>
      </x:c>
      <x:c r="R402" s="24" t="str">
        <x:v>喜忌只修正摩擦、平衡与承载，不可直接翻译为好坏、成熟度或解决方案。</x:v>
      </x:c>
      <x:c r="S402" s="24" t="str">
        <x:v>原十神功能有效；真合化成立时按化神功能替换，合化争议时停止定性。</x:v>
      </x:c>
      <x:c r="T402" s="24" t="str">
        <x:v>近位提高直接相关性；远位仅保留背景、阶段或低置信修正。</x:v>
      </x:c>
      <x:c r="U402" s="24" t="str">
        <x:v>93</x:v>
      </x:c>
      <x:c r="V402" s="24" t="str">
        <x:v>路由+5</x:v>
      </x:c>
      <x:c r="W402" s="24" t="str">
        <x:v>repair_buffer</x:v>
      </x:c>
      <x:c r="X402" s="24" t="str">
        <x:v>RB01优先由BF07完整修复回流；继续检查RN02—RN08纠正。</x:v>
      </x:c>
      <x:c r="Y402" s="24" t="str">
        <x:v>要避免“事件停止等同修复完成”，需要继续检查：BF07完整修复回流；继续检查RN02—RN08。</x:v>
      </x:c>
      <x:c r="Z402" s="24" t="str">
        <x:v>不得仅凭本规则断定问题已经解决、关系必然稳定、用户一定成熟、某十神天然是“药”、喜用神自动等于解决办法，或淡化暴力、强迫与现实伤害；现实行为、反例、安全事实和专业支持优先。</x:v>
      </x:c>
      <x:c r="AA402" s="24" t="str">
        <x:v>中高</x:v>
      </x:c>
      <x:c r="AB402" s="24" t="str">
        <x:v>待验证</x:v>
      </x:c>
      <x:c r="AC402" s="24" t="str"/>
      <x:c r="AD402" s="24" t="str">
        <x:v>provisional=true；保护因素的现实有效性必须由可观察行为、反馈和持续结果验证。</x:v>
      </x:c>
      <x:c r="AE402" s="24" t="str">
        <x:v>0.8</x:v>
      </x:c>
    </x:row>
    <x:row r="403" ht="52" customHeight="1">
      <x:c r="A403" s="24" t="str">
        <x:v>M4-BUFFER-402</x:v>
      </x:c>
      <x:c r="B403" s="24" t="str">
        <x:v>RB02 事实说清等同影响被理解｜保护接口</x:v>
      </x:c>
      <x:c r="C403" s="24" t="str">
        <x:v>L8 REPAIR修复回流接口</x:v>
      </x:c>
      <x:c r="D403" s="24" t="str">
        <x:v>BUFFER-REPAIR盲点接口</x:v>
      </x:c>
      <x:c r="E403" s="24" t="str">
        <x:v>通用</x:v>
      </x:c>
      <x:c r="F403" s="24" t="str">
        <x:v>路由</x:v>
      </x:c>
      <x:c r="G403" s="24" t="str">
        <x:v>RB02 事实说清等同影响被理解</x:v>
      </x:c>
      <x:c r="H403" s="24" t="str">
        <x:v>BF04影响确认；补足RN03</x:v>
      </x:c>
      <x:c r="I403" s="24" t="str">
        <x:v>M4-REPAIR已识别RB02候选，并且存在BF04影响确认；补足RN03中的至少一项资源。</x:v>
      </x:c>
      <x:c r="J403" s="24" t="str">
        <x:v>该盲点已有现实反例，或修复节点已经完整且持续。</x:v>
      </x:c>
      <x:c r="K403" s="24" t="str">
        <x:v>由共享基础引擎提供；仅修正保护功能的承载、持续调用和压力状态下的稳定性，不直接等同成熟度、道德或现实行为。</x:v>
      </x:c>
      <x:c r="L403" s="24" t="str">
        <x:v>由M1／M2接口提供；夫妻星、心动原型和关系门槛只说明关系议题，不单独证明保护因素已经被调用或有效。</x:v>
      </x:c>
      <x:c r="M403" s="24" t="str">
        <x:v>由M3-BASE及M4各模块提供；日支、日柱近位可提高与亲密关系核心的相关性，但同一source_id不得重复计分。</x:v>
      </x:c>
      <x:c r="N403" s="24" t="str">
        <x:v>保护因素必须明确限制过用、补足缺位、恢复顺序、打开反馈、落实改变或完成修复回流；不能只凭五行相生补写现实效果。</x:v>
      </x:c>
      <x:c r="O403" s="24" t="str">
        <x:v>近位提高进入亲密关系核心的概率；远位只作背景、阶段或条件性修正。</x:v>
      </x:c>
      <x:c r="P403" s="24" t="str">
        <x:v>根气只修正该保护功能是否容易重复调用，不等于现实中已经形成稳定保护。</x:v>
      </x:c>
      <x:c r="Q403" s="24" t="str">
        <x:v>旺弱只修正调用强度与承载；强不自动有效，弱也不自动无效。</x:v>
      </x:c>
      <x:c r="R403" s="24" t="str">
        <x:v>喜忌只修正摩擦、平衡与承载，不可直接翻译为好坏、成熟度或解决方案。</x:v>
      </x:c>
      <x:c r="S403" s="24" t="str">
        <x:v>原十神功能有效；真合化成立时按化神功能替换，合化争议时停止定性。</x:v>
      </x:c>
      <x:c r="T403" s="24" t="str">
        <x:v>近位提高直接相关性；远位仅保留背景、阶段或低置信修正。</x:v>
      </x:c>
      <x:c r="U403" s="24" t="str">
        <x:v>93</x:v>
      </x:c>
      <x:c r="V403" s="24" t="str">
        <x:v>路由+5</x:v>
      </x:c>
      <x:c r="W403" s="24" t="str">
        <x:v>repair_buffer</x:v>
      </x:c>
      <x:c r="X403" s="24" t="str">
        <x:v>RB02优先由BF04影响确认；补足RN03纠正。</x:v>
      </x:c>
      <x:c r="Y403" s="24" t="str">
        <x:v>要避免“事实说清等同影响被理解”，需要继续检查：BF04影响确认；补足RN03。</x:v>
      </x:c>
      <x:c r="Z403" s="24" t="str">
        <x:v>不得仅凭本规则断定问题已经解决、关系必然稳定、用户一定成熟、某十神天然是“药”、喜用神自动等于解决办法，或淡化暴力、强迫与现实伤害；现实行为、反例、安全事实和专业支持优先。</x:v>
      </x:c>
      <x:c r="AA403" s="24" t="str">
        <x:v>中高</x:v>
      </x:c>
      <x:c r="AB403" s="24" t="str">
        <x:v>待验证</x:v>
      </x:c>
      <x:c r="AC403" s="24" t="str"/>
      <x:c r="AD403" s="24" t="str">
        <x:v>provisional=true；保护因素的现实有效性必须由可观察行为、反馈和持续结果验证。</x:v>
      </x:c>
      <x:c r="AE403" s="24" t="str">
        <x:v>0.8</x:v>
      </x:c>
    </x:row>
    <x:row r="404" ht="52" customHeight="1">
      <x:c r="A404" s="24" t="str">
        <x:v>M4-BUFFER-403</x:v>
      </x:c>
      <x:c r="B404" s="24" t="str">
        <x:v>RB03 解释原因等同责任承担｜保护接口</x:v>
      </x:c>
      <x:c r="C404" s="24" t="str">
        <x:v>L8 REPAIR修复回流接口</x:v>
      </x:c>
      <x:c r="D404" s="24" t="str">
        <x:v>BUFFER-REPAIR盲点接口</x:v>
      </x:c>
      <x:c r="E404" s="24" t="str">
        <x:v>通用</x:v>
      </x:c>
      <x:c r="F404" s="24" t="str">
        <x:v>路由</x:v>
      </x:c>
      <x:c r="G404" s="24" t="str">
        <x:v>RB03 解释原因等同责任承担</x:v>
      </x:c>
      <x:c r="H404" s="24" t="str">
        <x:v>BF01责任门控＋BF06兑现；补足RN04与RN06</x:v>
      </x:c>
      <x:c r="I404" s="24" t="str">
        <x:v>M4-REPAIR已识别RB03候选，并且存在BF01责任门控＋BF06兑现；补足RN04与RN06中的至少一项资源。</x:v>
      </x:c>
      <x:c r="J404" s="24" t="str">
        <x:v>该盲点已有现实反例，或修复节点已经完整且持续。</x:v>
      </x:c>
      <x:c r="K404" s="24" t="str">
        <x:v>由共享基础引擎提供；仅修正保护功能的承载、持续调用和压力状态下的稳定性，不直接等同成熟度、道德或现实行为。</x:v>
      </x:c>
      <x:c r="L404" s="24" t="str">
        <x:v>由M1／M2接口提供；夫妻星、心动原型和关系门槛只说明关系议题，不单独证明保护因素已经被调用或有效。</x:v>
      </x:c>
      <x:c r="M404" s="24" t="str">
        <x:v>由M3-BASE及M4各模块提供；日支、日柱近位可提高与亲密关系核心的相关性，但同一source_id不得重复计分。</x:v>
      </x:c>
      <x:c r="N404" s="24" t="str">
        <x:v>保护因素必须明确限制过用、补足缺位、恢复顺序、打开反馈、落实改变或完成修复回流；不能只凭五行相生补写现实效果。</x:v>
      </x:c>
      <x:c r="O404" s="24" t="str">
        <x:v>近位提高进入亲密关系核心的概率；远位只作背景、阶段或条件性修正。</x:v>
      </x:c>
      <x:c r="P404" s="24" t="str">
        <x:v>根气只修正该保护功能是否容易重复调用，不等于现实中已经形成稳定保护。</x:v>
      </x:c>
      <x:c r="Q404" s="24" t="str">
        <x:v>旺弱只修正调用强度与承载；强不自动有效，弱也不自动无效。</x:v>
      </x:c>
      <x:c r="R404" s="24" t="str">
        <x:v>喜忌只修正摩擦、平衡与承载，不可直接翻译为好坏、成熟度或解决方案。</x:v>
      </x:c>
      <x:c r="S404" s="24" t="str">
        <x:v>原十神功能有效；真合化成立时按化神功能替换，合化争议时停止定性。</x:v>
      </x:c>
      <x:c r="T404" s="24" t="str">
        <x:v>近位提高直接相关性；远位仅保留背景、阶段或低置信修正。</x:v>
      </x:c>
      <x:c r="U404" s="24" t="str">
        <x:v>93</x:v>
      </x:c>
      <x:c r="V404" s="24" t="str">
        <x:v>路由+5</x:v>
      </x:c>
      <x:c r="W404" s="24" t="str">
        <x:v>repair_buffer</x:v>
      </x:c>
      <x:c r="X404" s="24" t="str">
        <x:v>RB03优先由BF01责任门控＋BF06兑现；补足RN04与RN06纠正。</x:v>
      </x:c>
      <x:c r="Y404" s="24" t="str">
        <x:v>要避免“解释原因等同责任承担”，需要继续检查：BF01责任门控＋BF06兑现；补足RN04与RN06。</x:v>
      </x:c>
      <x:c r="Z404" s="24" t="str">
        <x:v>不得仅凭本规则断定问题已经解决、关系必然稳定、用户一定成熟、某十神天然是“药”、喜用神自动等于解决办法，或淡化暴力、强迫与现实伤害；现实行为、反例、安全事实和专业支持优先。</x:v>
      </x:c>
      <x:c r="AA404" s="24" t="str">
        <x:v>中高</x:v>
      </x:c>
      <x:c r="AB404" s="24" t="str">
        <x:v>待验证</x:v>
      </x:c>
      <x:c r="AC404" s="24" t="str"/>
      <x:c r="AD404" s="24" t="str">
        <x:v>provisional=true；保护因素的现实有效性必须由可观察行为、反馈和持续结果验证。</x:v>
      </x:c>
      <x:c r="AE404" s="24" t="str">
        <x:v>0.8</x:v>
      </x:c>
    </x:row>
    <x:row r="405" ht="52" customHeight="1">
      <x:c r="A405" s="24" t="str">
        <x:v>M4-BUFFER-404</x:v>
      </x:c>
      <x:c r="B405" s="24" t="str">
        <x:v>RB04 道歉表达等同行为改变｜保护接口</x:v>
      </x:c>
      <x:c r="C405" s="24" t="str">
        <x:v>L8 REPAIR修复回流接口</x:v>
      </x:c>
      <x:c r="D405" s="24" t="str">
        <x:v>BUFFER-REPAIR盲点接口</x:v>
      </x:c>
      <x:c r="E405" s="24" t="str">
        <x:v>通用</x:v>
      </x:c>
      <x:c r="F405" s="24" t="str">
        <x:v>路由</x:v>
      </x:c>
      <x:c r="G405" s="24" t="str">
        <x:v>RB04 道歉表达等同行为改变</x:v>
      </x:c>
      <x:c r="H405" s="24" t="str">
        <x:v>BF06持续行为；补足RN06与RN08</x:v>
      </x:c>
      <x:c r="I405" s="24" t="str">
        <x:v>M4-REPAIR已识别RB04候选，并且存在BF06持续行为；补足RN06与RN08中的至少一项资源。</x:v>
      </x:c>
      <x:c r="J405" s="24" t="str">
        <x:v>该盲点已有现实反例，或修复节点已经完整且持续。</x:v>
      </x:c>
      <x:c r="K405" s="24" t="str">
        <x:v>由共享基础引擎提供；仅修正保护功能的承载、持续调用和压力状态下的稳定性，不直接等同成熟度、道德或现实行为。</x:v>
      </x:c>
      <x:c r="L405" s="24" t="str">
        <x:v>由M1／M2接口提供；夫妻星、心动原型和关系门槛只说明关系议题，不单独证明保护因素已经被调用或有效。</x:v>
      </x:c>
      <x:c r="M405" s="24" t="str">
        <x:v>由M3-BASE及M4各模块提供；日支、日柱近位可提高与亲密关系核心的相关性，但同一source_id不得重复计分。</x:v>
      </x:c>
      <x:c r="N405" s="24" t="str">
        <x:v>保护因素必须明确限制过用、补足缺位、恢复顺序、打开反馈、落实改变或完成修复回流；不能只凭五行相生补写现实效果。</x:v>
      </x:c>
      <x:c r="O405" s="24" t="str">
        <x:v>近位提高进入亲密关系核心的概率；远位只作背景、阶段或条件性修正。</x:v>
      </x:c>
      <x:c r="P405" s="24" t="str">
        <x:v>根气只修正该保护功能是否容易重复调用，不等于现实中已经形成稳定保护。</x:v>
      </x:c>
      <x:c r="Q405" s="24" t="str">
        <x:v>旺弱只修正调用强度与承载；强不自动有效，弱也不自动无效。</x:v>
      </x:c>
      <x:c r="R405" s="24" t="str">
        <x:v>喜忌只修正摩擦、平衡与承载，不可直接翻译为好坏、成熟度或解决方案。</x:v>
      </x:c>
      <x:c r="S405" s="24" t="str">
        <x:v>原十神功能有效；真合化成立时按化神功能替换，合化争议时停止定性。</x:v>
      </x:c>
      <x:c r="T405" s="24" t="str">
        <x:v>近位提高直接相关性；远位仅保留背景、阶段或低置信修正。</x:v>
      </x:c>
      <x:c r="U405" s="24" t="str">
        <x:v>93</x:v>
      </x:c>
      <x:c r="V405" s="24" t="str">
        <x:v>路由+5</x:v>
      </x:c>
      <x:c r="W405" s="24" t="str">
        <x:v>repair_buffer</x:v>
      </x:c>
      <x:c r="X405" s="24" t="str">
        <x:v>RB04优先由BF06持续行为；补足RN06与RN08纠正。</x:v>
      </x:c>
      <x:c r="Y405" s="24" t="str">
        <x:v>要避免“道歉表达等同行为改变”，需要继续检查：BF06持续行为；补足RN06与RN08。</x:v>
      </x:c>
      <x:c r="Z405" s="24" t="str">
        <x:v>不得仅凭本规则断定问题已经解决、关系必然稳定、用户一定成熟、某十神天然是“药”、喜用神自动等于解决办法，或淡化暴力、强迫与现实伤害；现实行为、反例、安全事实和专业支持优先。</x:v>
      </x:c>
      <x:c r="AA405" s="24" t="str">
        <x:v>中高</x:v>
      </x:c>
      <x:c r="AB405" s="24" t="str">
        <x:v>待验证</x:v>
      </x:c>
      <x:c r="AC405" s="24" t="str"/>
      <x:c r="AD405" s="24" t="str">
        <x:v>provisional=true；保护因素的现实有效性必须由可观察行为、反馈和持续结果验证。</x:v>
      </x:c>
      <x:c r="AE405" s="24" t="str">
        <x:v>0.8</x:v>
      </x:c>
    </x:row>
    <x:row r="406" ht="52" customHeight="1">
      <x:c r="A406" s="24" t="str">
        <x:v>M4-BUFFER-405</x:v>
      </x:c>
      <x:c r="B406" s="24" t="str">
        <x:v>RB05 情绪安抚等同现实问题解决｜保护接口</x:v>
      </x:c>
      <x:c r="C406" s="24" t="str">
        <x:v>L8 REPAIR修复回流接口</x:v>
      </x:c>
      <x:c r="D406" s="24" t="str">
        <x:v>BUFFER-REPAIR盲点接口</x:v>
      </x:c>
      <x:c r="E406" s="24" t="str">
        <x:v>通用</x:v>
      </x:c>
      <x:c r="F406" s="24" t="str">
        <x:v>路由</x:v>
      </x:c>
      <x:c r="G406" s="24" t="str">
        <x:v>RB05 情绪安抚等同现实问题解决</x:v>
      </x:c>
      <x:c r="H406" s="24" t="str">
        <x:v>BF06现实调整＋BF07回流；区分RN03和RN06</x:v>
      </x:c>
      <x:c r="I406" s="24" t="str">
        <x:v>M4-REPAIR已识别RB05候选，并且存在BF06现实调整＋BF07回流；区分RN03和RN06中的至少一项资源。</x:v>
      </x:c>
      <x:c r="J406" s="24" t="str">
        <x:v>该盲点已有现实反例，或修复节点已经完整且持续。</x:v>
      </x:c>
      <x:c r="K406" s="24" t="str">
        <x:v>由共享基础引擎提供；仅修正保护功能的承载、持续调用和压力状态下的稳定性，不直接等同成熟度、道德或现实行为。</x:v>
      </x:c>
      <x:c r="L406" s="24" t="str">
        <x:v>由M1／M2接口提供；夫妻星、心动原型和关系门槛只说明关系议题，不单独证明保护因素已经被调用或有效。</x:v>
      </x:c>
      <x:c r="M406" s="24" t="str">
        <x:v>由M3-BASE及M4各模块提供；日支、日柱近位可提高与亲密关系核心的相关性，但同一source_id不得重复计分。</x:v>
      </x:c>
      <x:c r="N406" s="24" t="str">
        <x:v>保护因素必须明确限制过用、补足缺位、恢复顺序、打开反馈、落实改变或完成修复回流；不能只凭五行相生补写现实效果。</x:v>
      </x:c>
      <x:c r="O406" s="24" t="str">
        <x:v>近位提高进入亲密关系核心的概率；远位只作背景、阶段或条件性修正。</x:v>
      </x:c>
      <x:c r="P406" s="24" t="str">
        <x:v>根气只修正该保护功能是否容易重复调用，不等于现实中已经形成稳定保护。</x:v>
      </x:c>
      <x:c r="Q406" s="24" t="str">
        <x:v>旺弱只修正调用强度与承载；强不自动有效，弱也不自动无效。</x:v>
      </x:c>
      <x:c r="R406" s="24" t="str">
        <x:v>喜忌只修正摩擦、平衡与承载，不可直接翻译为好坏、成熟度或解决方案。</x:v>
      </x:c>
      <x:c r="S406" s="24" t="str">
        <x:v>原十神功能有效；真合化成立时按化神功能替换，合化争议时停止定性。</x:v>
      </x:c>
      <x:c r="T406" s="24" t="str">
        <x:v>近位提高直接相关性；远位仅保留背景、阶段或低置信修正。</x:v>
      </x:c>
      <x:c r="U406" s="24" t="str">
        <x:v>93</x:v>
      </x:c>
      <x:c r="V406" s="24" t="str">
        <x:v>路由+5</x:v>
      </x:c>
      <x:c r="W406" s="24" t="str">
        <x:v>repair_buffer</x:v>
      </x:c>
      <x:c r="X406" s="24" t="str">
        <x:v>RB05优先由BF06现实调整＋BF07回流；区分RN03和RN06纠正。</x:v>
      </x:c>
      <x:c r="Y406" s="24" t="str">
        <x:v>要避免“情绪安抚等同现实问题解决”，需要继续检查：BF06现实调整＋BF07回流；区分RN03和RN06。</x:v>
      </x:c>
      <x:c r="Z406" s="24" t="str">
        <x:v>不得仅凭本规则断定问题已经解决、关系必然稳定、用户一定成熟、某十神天然是“药”、喜用神自动等于解决办法，或淡化暴力、强迫与现实伤害；现实行为、反例、安全事实和专业支持优先。</x:v>
      </x:c>
      <x:c r="AA406" s="24" t="str">
        <x:v>中高</x:v>
      </x:c>
      <x:c r="AB406" s="24" t="str">
        <x:v>待验证</x:v>
      </x:c>
      <x:c r="AC406" s="24" t="str"/>
      <x:c r="AD406" s="24" t="str">
        <x:v>provisional=true；保护因素的现实有效性必须由可观察行为、反馈和持续结果验证。</x:v>
      </x:c>
      <x:c r="AE406" s="24" t="str">
        <x:v>0.8</x:v>
      </x:c>
    </x:row>
    <x:row r="407" ht="52" customHeight="1">
      <x:c r="A407" s="24" t="str">
        <x:v>M4-BUFFER-406</x:v>
      </x:c>
      <x:c r="B407" s="24" t="str">
        <x:v>RB06 现实补偿等同关系修复｜保护接口</x:v>
      </x:c>
      <x:c r="C407" s="24" t="str">
        <x:v>L8 REPAIR修复回流接口</x:v>
      </x:c>
      <x:c r="D407" s="24" t="str">
        <x:v>BUFFER-REPAIR盲点接口</x:v>
      </x:c>
      <x:c r="E407" s="24" t="str">
        <x:v>通用</x:v>
      </x:c>
      <x:c r="F407" s="24" t="str">
        <x:v>路由</x:v>
      </x:c>
      <x:c r="G407" s="24" t="str">
        <x:v>RB06 现实补偿等同关系修复</x:v>
      </x:c>
      <x:c r="H407" s="24" t="str">
        <x:v>BF04影响确认＋BF05反馈；补足RN03与RN07</x:v>
      </x:c>
      <x:c r="I407" s="24" t="str">
        <x:v>M4-REPAIR已识别RB06候选，并且存在BF04影响确认＋BF05反馈；补足RN03与RN07中的至少一项资源。</x:v>
      </x:c>
      <x:c r="J407" s="24" t="str">
        <x:v>该盲点已有现实反例，或修复节点已经完整且持续。</x:v>
      </x:c>
      <x:c r="K407" s="24" t="str">
        <x:v>由共享基础引擎提供；仅修正保护功能的承载、持续调用和压力状态下的稳定性，不直接等同成熟度、道德或现实行为。</x:v>
      </x:c>
      <x:c r="L407" s="24" t="str">
        <x:v>由M1／M2接口提供；夫妻星、心动原型和关系门槛只说明关系议题，不单独证明保护因素已经被调用或有效。</x:v>
      </x:c>
      <x:c r="M407" s="24" t="str">
        <x:v>由M3-BASE及M4各模块提供；日支、日柱近位可提高与亲密关系核心的相关性，但同一source_id不得重复计分。</x:v>
      </x:c>
      <x:c r="N407" s="24" t="str">
        <x:v>保护因素必须明确限制过用、补足缺位、恢复顺序、打开反馈、落实改变或完成修复回流；不能只凭五行相生补写现实效果。</x:v>
      </x:c>
      <x:c r="O407" s="24" t="str">
        <x:v>近位提高进入亲密关系核心的概率；远位只作背景、阶段或条件性修正。</x:v>
      </x:c>
      <x:c r="P407" s="24" t="str">
        <x:v>根气只修正该保护功能是否容易重复调用，不等于现实中已经形成稳定保护。</x:v>
      </x:c>
      <x:c r="Q407" s="24" t="str">
        <x:v>旺弱只修正调用强度与承载；强不自动有效，弱也不自动无效。</x:v>
      </x:c>
      <x:c r="R407" s="24" t="str">
        <x:v>喜忌只修正摩擦、平衡与承载，不可直接翻译为好坏、成熟度或解决方案。</x:v>
      </x:c>
      <x:c r="S407" s="24" t="str">
        <x:v>原十神功能有效；真合化成立时按化神功能替换，合化争议时停止定性。</x:v>
      </x:c>
      <x:c r="T407" s="24" t="str">
        <x:v>近位提高直接相关性；远位仅保留背景、阶段或低置信修正。</x:v>
      </x:c>
      <x:c r="U407" s="24" t="str">
        <x:v>93</x:v>
      </x:c>
      <x:c r="V407" s="24" t="str">
        <x:v>路由+5</x:v>
      </x:c>
      <x:c r="W407" s="24" t="str">
        <x:v>repair_buffer</x:v>
      </x:c>
      <x:c r="X407" s="24" t="str">
        <x:v>RB06优先由BF04影响确认＋BF05反馈；补足RN03与RN07纠正。</x:v>
      </x:c>
      <x:c r="Y407" s="24" t="str">
        <x:v>要避免“现实补偿等同关系修复”，需要继续检查：BF04影响确认＋BF05反馈；补足RN03与RN07。</x:v>
      </x:c>
      <x:c r="Z407" s="24" t="str">
        <x:v>不得仅凭本规则断定问题已经解决、关系必然稳定、用户一定成熟、某十神天然是“药”、喜用神自动等于解决办法，或淡化暴力、强迫与现实伤害；现实行为、反例、安全事实和专业支持优先。</x:v>
      </x:c>
      <x:c r="AA407" s="24" t="str">
        <x:v>中高</x:v>
      </x:c>
      <x:c r="AB407" s="24" t="str">
        <x:v>待验证</x:v>
      </x:c>
      <x:c r="AC407" s="24" t="str"/>
      <x:c r="AD407" s="24" t="str">
        <x:v>provisional=true；保护因素的现实有效性必须由可观察行为、反馈和持续结果验证。</x:v>
      </x:c>
      <x:c r="AE407" s="24" t="str">
        <x:v>0.8</x:v>
      </x:c>
    </x:row>
    <x:row r="408" ht="52" customHeight="1">
      <x:c r="A408" s="24" t="str">
        <x:v>M4-BUFFER-407</x:v>
      </x:c>
      <x:c r="B408" s="24" t="str">
        <x:v>RB07 承诺规则等同共同协商｜保护接口</x:v>
      </x:c>
      <x:c r="C408" s="24" t="str">
        <x:v>L8 REPAIR修复回流接口</x:v>
      </x:c>
      <x:c r="D408" s="24" t="str">
        <x:v>BUFFER-REPAIR盲点接口</x:v>
      </x:c>
      <x:c r="E408" s="24" t="str">
        <x:v>通用</x:v>
      </x:c>
      <x:c r="F408" s="24" t="str">
        <x:v>路由</x:v>
      </x:c>
      <x:c r="G408" s="24" t="str">
        <x:v>RB07 承诺规则等同共同协商</x:v>
      </x:c>
      <x:c r="H408" s="24" t="str">
        <x:v>BF03共同决定＋BF05协商；补足RN05</x:v>
      </x:c>
      <x:c r="I408" s="24" t="str">
        <x:v>M4-REPAIR已识别RB07候选，并且存在BF03共同决定＋BF05协商；补足RN05中的至少一项资源。</x:v>
      </x:c>
      <x:c r="J408" s="24" t="str">
        <x:v>该盲点已有现实反例，或修复节点已经完整且持续。</x:v>
      </x:c>
      <x:c r="K408" s="24" t="str">
        <x:v>由共享基础引擎提供；仅修正保护功能的承载、持续调用和压力状态下的稳定性，不直接等同成熟度、道德或现实行为。</x:v>
      </x:c>
      <x:c r="L408" s="24" t="str">
        <x:v>由M1／M2接口提供；夫妻星、心动原型和关系门槛只说明关系议题，不单独证明保护因素已经被调用或有效。</x:v>
      </x:c>
      <x:c r="M408" s="24" t="str">
        <x:v>由M3-BASE及M4各模块提供；日支、日柱近位可提高与亲密关系核心的相关性，但同一source_id不得重复计分。</x:v>
      </x:c>
      <x:c r="N408" s="24" t="str">
        <x:v>保护因素必须明确限制过用、补足缺位、恢复顺序、打开反馈、落实改变或完成修复回流；不能只凭五行相生补写现实效果。</x:v>
      </x:c>
      <x:c r="O408" s="24" t="str">
        <x:v>近位提高进入亲密关系核心的概率；远位只作背景、阶段或条件性修正。</x:v>
      </x:c>
      <x:c r="P408" s="24" t="str">
        <x:v>根气只修正该保护功能是否容易重复调用，不等于现实中已经形成稳定保护。</x:v>
      </x:c>
      <x:c r="Q408" s="24" t="str">
        <x:v>旺弱只修正调用强度与承载；强不自动有效，弱也不自动无效。</x:v>
      </x:c>
      <x:c r="R408" s="24" t="str">
        <x:v>喜忌只修正摩擦、平衡与承载，不可直接翻译为好坏、成熟度或解决方案。</x:v>
      </x:c>
      <x:c r="S408" s="24" t="str">
        <x:v>原十神功能有效；真合化成立时按化神功能替换，合化争议时停止定性。</x:v>
      </x:c>
      <x:c r="T408" s="24" t="str">
        <x:v>近位提高直接相关性；远位仅保留背景、阶段或低置信修正。</x:v>
      </x:c>
      <x:c r="U408" s="24" t="str">
        <x:v>93</x:v>
      </x:c>
      <x:c r="V408" s="24" t="str">
        <x:v>路由+5</x:v>
      </x:c>
      <x:c r="W408" s="24" t="str">
        <x:v>repair_buffer</x:v>
      </x:c>
      <x:c r="X408" s="24" t="str">
        <x:v>RB07优先由BF03共同决定＋BF05协商；补足RN05纠正。</x:v>
      </x:c>
      <x:c r="Y408" s="24" t="str">
        <x:v>要避免“承诺规则等同共同协商”，需要继续检查：BF03共同决定＋BF05协商；补足RN05。</x:v>
      </x:c>
      <x:c r="Z408" s="24" t="str">
        <x:v>不得仅凭本规则断定问题已经解决、关系必然稳定、用户一定成熟、某十神天然是“药”、喜用神自动等于解决办法，或淡化暴力、强迫与现实伤害；现实行为、反例、安全事实和专业支持优先。</x:v>
      </x:c>
      <x:c r="AA408" s="24" t="str">
        <x:v>中高</x:v>
      </x:c>
      <x:c r="AB408" s="24" t="str">
        <x:v>待验证</x:v>
      </x:c>
      <x:c r="AC408" s="24" t="str"/>
      <x:c r="AD408" s="24" t="str">
        <x:v>provisional=true；保护因素的现实有效性必须由可观察行为、反馈和持续结果验证。</x:v>
      </x:c>
      <x:c r="AE408" s="24" t="str">
        <x:v>0.8</x:v>
      </x:c>
    </x:row>
    <x:row r="409" ht="52" customHeight="1">
      <x:c r="A409" s="24" t="str">
        <x:v>M4-BUFFER-408</x:v>
      </x:c>
      <x:c r="B409" s="24" t="str">
        <x:v>RB08 方案形成等同执行完成｜保护接口</x:v>
      </x:c>
      <x:c r="C409" s="24" t="str">
        <x:v>L8 REPAIR修复回流接口</x:v>
      </x:c>
      <x:c r="D409" s="24" t="str">
        <x:v>BUFFER-REPAIR盲点接口</x:v>
      </x:c>
      <x:c r="E409" s="24" t="str">
        <x:v>通用</x:v>
      </x:c>
      <x:c r="F409" s="24" t="str">
        <x:v>路由</x:v>
      </x:c>
      <x:c r="G409" s="24" t="str">
        <x:v>RB08 方案形成等同执行完成</x:v>
      </x:c>
      <x:c r="H409" s="24" t="str">
        <x:v>BF06执行＋RN07反馈＋RN08回访</x:v>
      </x:c>
      <x:c r="I409" s="24" t="str">
        <x:v>M4-REPAIR已识别RB08候选，并且存在BF06执行＋RN07反馈＋RN08回访中的至少一项资源。</x:v>
      </x:c>
      <x:c r="J409" s="24" t="str">
        <x:v>该盲点已有现实反例，或修复节点已经完整且持续。</x:v>
      </x:c>
      <x:c r="K409" s="24" t="str">
        <x:v>由共享基础引擎提供；仅修正保护功能的承载、持续调用和压力状态下的稳定性，不直接等同成熟度、道德或现实行为。</x:v>
      </x:c>
      <x:c r="L409" s="24" t="str">
        <x:v>由M1／M2接口提供；夫妻星、心动原型和关系门槛只说明关系议题，不单独证明保护因素已经被调用或有效。</x:v>
      </x:c>
      <x:c r="M409" s="24" t="str">
        <x:v>由M3-BASE及M4各模块提供；日支、日柱近位可提高与亲密关系核心的相关性，但同一source_id不得重复计分。</x:v>
      </x:c>
      <x:c r="N409" s="24" t="str">
        <x:v>保护因素必须明确限制过用、补足缺位、恢复顺序、打开反馈、落实改变或完成修复回流；不能只凭五行相生补写现实效果。</x:v>
      </x:c>
      <x:c r="O409" s="24" t="str">
        <x:v>近位提高进入亲密关系核心的概率；远位只作背景、阶段或条件性修正。</x:v>
      </x:c>
      <x:c r="P409" s="24" t="str">
        <x:v>根气只修正该保护功能是否容易重复调用，不等于现实中已经形成稳定保护。</x:v>
      </x:c>
      <x:c r="Q409" s="24" t="str">
        <x:v>旺弱只修正调用强度与承载；强不自动有效，弱也不自动无效。</x:v>
      </x:c>
      <x:c r="R409" s="24" t="str">
        <x:v>喜忌只修正摩擦、平衡与承载，不可直接翻译为好坏、成熟度或解决方案。</x:v>
      </x:c>
      <x:c r="S409" s="24" t="str">
        <x:v>原十神功能有效；真合化成立时按化神功能替换，合化争议时停止定性。</x:v>
      </x:c>
      <x:c r="T409" s="24" t="str">
        <x:v>近位提高直接相关性；远位仅保留背景、阶段或低置信修正。</x:v>
      </x:c>
      <x:c r="U409" s="24" t="str">
        <x:v>93</x:v>
      </x:c>
      <x:c r="V409" s="24" t="str">
        <x:v>路由+5</x:v>
      </x:c>
      <x:c r="W409" s="24" t="str">
        <x:v>repair_buffer</x:v>
      </x:c>
      <x:c r="X409" s="24" t="str">
        <x:v>RB08优先由BF06执行＋RN07反馈＋RN08回访纠正。</x:v>
      </x:c>
      <x:c r="Y409" s="24" t="str">
        <x:v>要避免“方案形成等同执行完成”，需要继续检查：BF06执行＋RN07反馈＋RN08回访。</x:v>
      </x:c>
      <x:c r="Z409" s="24" t="str">
        <x:v>不得仅凭本规则断定问题已经解决、关系必然稳定、用户一定成熟、某十神天然是“药”、喜用神自动等于解决办法，或淡化暴力、强迫与现实伤害；现实行为、反例、安全事实和专业支持优先。</x:v>
      </x:c>
      <x:c r="AA409" s="24" t="str">
        <x:v>中高</x:v>
      </x:c>
      <x:c r="AB409" s="24" t="str">
        <x:v>待验证</x:v>
      </x:c>
      <x:c r="AC409" s="24" t="str"/>
      <x:c r="AD409" s="24" t="str">
        <x:v>provisional=true；保护因素的现实有效性必须由可观察行为、反馈和持续结果验证。</x:v>
      </x:c>
      <x:c r="AE409" s="24" t="str">
        <x:v>0.8</x:v>
      </x:c>
    </x:row>
    <x:row r="410" ht="52" customHeight="1">
      <x:c r="A410" s="24" t="str">
        <x:v>M4-BUFFER-409</x:v>
      </x:c>
      <x:c r="B410" s="24" t="str">
        <x:v>RB09 暂停降温等同自动回归｜保护接口</x:v>
      </x:c>
      <x:c r="C410" s="24" t="str">
        <x:v>L8 REPAIR修复回流接口</x:v>
      </x:c>
      <x:c r="D410" s="24" t="str">
        <x:v>BUFFER-REPAIR盲点接口</x:v>
      </x:c>
      <x:c r="E410" s="24" t="str">
        <x:v>通用</x:v>
      </x:c>
      <x:c r="F410" s="24" t="str">
        <x:v>路由</x:v>
      </x:c>
      <x:c r="G410" s="24" t="str">
        <x:v>RB09 暂停降温等同自动回归</x:v>
      </x:c>
      <x:c r="H410" s="24" t="str">
        <x:v>BF07回归路径＋BF08状态分工；补足RN07／RN08</x:v>
      </x:c>
      <x:c r="I410" s="24" t="str">
        <x:v>M4-REPAIR已识别RB09候选，并且存在BF07回归路径＋BF08状态分工；补足RN07／RN08中的至少一项资源。</x:v>
      </x:c>
      <x:c r="J410" s="24" t="str">
        <x:v>该盲点已有现实反例，或修复节点已经完整且持续。</x:v>
      </x:c>
      <x:c r="K410" s="24" t="str">
        <x:v>由共享基础引擎提供；仅修正保护功能的承载、持续调用和压力状态下的稳定性，不直接等同成熟度、道德或现实行为。</x:v>
      </x:c>
      <x:c r="L410" s="24" t="str">
        <x:v>由M1／M2接口提供；夫妻星、心动原型和关系门槛只说明关系议题，不单独证明保护因素已经被调用或有效。</x:v>
      </x:c>
      <x:c r="M410" s="24" t="str">
        <x:v>由M3-BASE及M4各模块提供；日支、日柱近位可提高与亲密关系核心的相关性，但同一source_id不得重复计分。</x:v>
      </x:c>
      <x:c r="N410" s="24" t="str">
        <x:v>保护因素必须明确限制过用、补足缺位、恢复顺序、打开反馈、落实改变或完成修复回流；不能只凭五行相生补写现实效果。</x:v>
      </x:c>
      <x:c r="O410" s="24" t="str">
        <x:v>近位提高进入亲密关系核心的概率；远位只作背景、阶段或条件性修正。</x:v>
      </x:c>
      <x:c r="P410" s="24" t="str">
        <x:v>根气只修正该保护功能是否容易重复调用，不等于现实中已经形成稳定保护。</x:v>
      </x:c>
      <x:c r="Q410" s="24" t="str">
        <x:v>旺弱只修正调用强度与承载；强不自动有效，弱也不自动无效。</x:v>
      </x:c>
      <x:c r="R410" s="24" t="str">
        <x:v>喜忌只修正摩擦、平衡与承载，不可直接翻译为好坏、成熟度或解决方案。</x:v>
      </x:c>
      <x:c r="S410" s="24" t="str">
        <x:v>原十神功能有效；真合化成立时按化神功能替换，合化争议时停止定性。</x:v>
      </x:c>
      <x:c r="T410" s="24" t="str">
        <x:v>近位提高直接相关性；远位仅保留背景、阶段或低置信修正。</x:v>
      </x:c>
      <x:c r="U410" s="24" t="str">
        <x:v>93</x:v>
      </x:c>
      <x:c r="V410" s="24" t="str">
        <x:v>路由+5</x:v>
      </x:c>
      <x:c r="W410" s="24" t="str">
        <x:v>repair_buffer</x:v>
      </x:c>
      <x:c r="X410" s="24" t="str">
        <x:v>RB09优先由BF07回归路径＋BF08状态分工；补足RN07／RN08纠正。</x:v>
      </x:c>
      <x:c r="Y410" s="24" t="str">
        <x:v>要避免“暂停降温等同自动回归”，需要继续检查：BF07回归路径＋BF08状态分工；补足RN07／RN08。</x:v>
      </x:c>
      <x:c r="Z410" s="24" t="str">
        <x:v>不得仅凭本规则断定问题已经解决、关系必然稳定、用户一定成熟、某十神天然是“药”、喜用神自动等于解决办法，或淡化暴力、强迫与现实伤害；现实行为、反例、安全事实和专业支持优先。</x:v>
      </x:c>
      <x:c r="AA410" s="24" t="str">
        <x:v>中高</x:v>
      </x:c>
      <x:c r="AB410" s="24" t="str">
        <x:v>待验证</x:v>
      </x:c>
      <x:c r="AC410" s="24" t="str"/>
      <x:c r="AD410" s="24" t="str">
        <x:v>provisional=true；保护因素的现实有效性必须由可观察行为、反馈和持续结果验证。</x:v>
      </x:c>
      <x:c r="AE410" s="24" t="str">
        <x:v>0.8</x:v>
      </x:c>
    </x:row>
    <x:row r="411" ht="52" customHeight="1">
      <x:c r="A411" s="24" t="str">
        <x:v>M4-BUFFER-410</x:v>
      </x:c>
      <x:c r="B411" s="24" t="str">
        <x:v>RB10 快速和好等同边界已经重订｜保护接口</x:v>
      </x:c>
      <x:c r="C411" s="24" t="str">
        <x:v>L8 REPAIR修复回流接口</x:v>
      </x:c>
      <x:c r="D411" s="24" t="str">
        <x:v>BUFFER-REPAIR盲点接口</x:v>
      </x:c>
      <x:c r="E411" s="24" t="str">
        <x:v>通用</x:v>
      </x:c>
      <x:c r="F411" s="24" t="str">
        <x:v>路由</x:v>
      </x:c>
      <x:c r="G411" s="24" t="str">
        <x:v>RB10 快速和好等同边界已经重订</x:v>
      </x:c>
      <x:c r="H411" s="24" t="str">
        <x:v>BF03边界重订；补足RN05</x:v>
      </x:c>
      <x:c r="I411" s="24" t="str">
        <x:v>M4-REPAIR已识别RB10候选，并且存在BF03边界重订；补足RN05中的至少一项资源。</x:v>
      </x:c>
      <x:c r="J411" s="24" t="str">
        <x:v>该盲点已有现实反例，或修复节点已经完整且持续。</x:v>
      </x:c>
      <x:c r="K411" s="24" t="str">
        <x:v>由共享基础引擎提供；仅修正保护功能的承载、持续调用和压力状态下的稳定性，不直接等同成熟度、道德或现实行为。</x:v>
      </x:c>
      <x:c r="L411" s="24" t="str">
        <x:v>由M1／M2接口提供；夫妻星、心动原型和关系门槛只说明关系议题，不单独证明保护因素已经被调用或有效。</x:v>
      </x:c>
      <x:c r="M411" s="24" t="str">
        <x:v>由M3-BASE及M4各模块提供；日支、日柱近位可提高与亲密关系核心的相关性，但同一source_id不得重复计分。</x:v>
      </x:c>
      <x:c r="N411" s="24" t="str">
        <x:v>保护因素必须明确限制过用、补足缺位、恢复顺序、打开反馈、落实改变或完成修复回流；不能只凭五行相生补写现实效果。</x:v>
      </x:c>
      <x:c r="O411" s="24" t="str">
        <x:v>近位提高进入亲密关系核心的概率；远位只作背景、阶段或条件性修正。</x:v>
      </x:c>
      <x:c r="P411" s="24" t="str">
        <x:v>根气只修正该保护功能是否容易重复调用，不等于现实中已经形成稳定保护。</x:v>
      </x:c>
      <x:c r="Q411" s="24" t="str">
        <x:v>旺弱只修正调用强度与承载；强不自动有效，弱也不自动无效。</x:v>
      </x:c>
      <x:c r="R411" s="24" t="str">
        <x:v>喜忌只修正摩擦、平衡与承载，不可直接翻译为好坏、成熟度或解决方案。</x:v>
      </x:c>
      <x:c r="S411" s="24" t="str">
        <x:v>原十神功能有效；真合化成立时按化神功能替换，合化争议时停止定性。</x:v>
      </x:c>
      <x:c r="T411" s="24" t="str">
        <x:v>近位提高直接相关性；远位仅保留背景、阶段或低置信修正。</x:v>
      </x:c>
      <x:c r="U411" s="24" t="str">
        <x:v>93</x:v>
      </x:c>
      <x:c r="V411" s="24" t="str">
        <x:v>路由+5</x:v>
      </x:c>
      <x:c r="W411" s="24" t="str">
        <x:v>repair_buffer</x:v>
      </x:c>
      <x:c r="X411" s="24" t="str">
        <x:v>RB10优先由BF03边界重订；补足RN05纠正。</x:v>
      </x:c>
      <x:c r="Y411" s="24" t="str">
        <x:v>要避免“快速和好等同边界已经重订”，需要继续检查：BF03边界重订；补足RN05。</x:v>
      </x:c>
      <x:c r="Z411" s="24" t="str">
        <x:v>不得仅凭本规则断定问题已经解决、关系必然稳定、用户一定成熟、某十神天然是“药”、喜用神自动等于解决办法，或淡化暴力、强迫与现实伤害；现实行为、反例、安全事实和专业支持优先。</x:v>
      </x:c>
      <x:c r="AA411" s="24" t="str">
        <x:v>中高</x:v>
      </x:c>
      <x:c r="AB411" s="24" t="str">
        <x:v>待验证</x:v>
      </x:c>
      <x:c r="AC411" s="24" t="str"/>
      <x:c r="AD411" s="24" t="str">
        <x:v>provisional=true；保护因素的现实有效性必须由可观察行为、反馈和持续结果验证。</x:v>
      </x:c>
      <x:c r="AE411" s="24" t="str">
        <x:v>0.8</x:v>
      </x:c>
    </x:row>
    <x:row r="412" ht="52" customHeight="1">
      <x:c r="A412" s="24" t="str">
        <x:v>M4-BUFFER-411</x:v>
      </x:c>
      <x:c r="B412" s="24" t="str">
        <x:v>RB11 单方修复投入等同双方闭环｜保护接口</x:v>
      </x:c>
      <x:c r="C412" s="24" t="str">
        <x:v>L8 REPAIR修复回流接口</x:v>
      </x:c>
      <x:c r="D412" s="24" t="str">
        <x:v>BUFFER-REPAIR盲点接口</x:v>
      </x:c>
      <x:c r="E412" s="24" t="str">
        <x:v>通用</x:v>
      </x:c>
      <x:c r="F412" s="24" t="str">
        <x:v>路由</x:v>
      </x:c>
      <x:c r="G412" s="24" t="str">
        <x:v>RB11 单方修复投入等同双方闭环</x:v>
      </x:c>
      <x:c r="H412" s="24" t="str">
        <x:v>BF05接收反馈＋BF07双向回流；补足RN07</x:v>
      </x:c>
      <x:c r="I412" s="24" t="str">
        <x:v>M4-REPAIR已识别RB11候选，并且存在BF05接收反馈＋BF07双向回流；补足RN07中的至少一项资源。</x:v>
      </x:c>
      <x:c r="J412" s="24" t="str">
        <x:v>该盲点已有现实反例，或修复节点已经完整且持续。</x:v>
      </x:c>
      <x:c r="K412" s="24" t="str">
        <x:v>由共享基础引擎提供；仅修正保护功能的承载、持续调用和压力状态下的稳定性，不直接等同成熟度、道德或现实行为。</x:v>
      </x:c>
      <x:c r="L412" s="24" t="str">
        <x:v>由M1／M2接口提供；夫妻星、心动原型和关系门槛只说明关系议题，不单独证明保护因素已经被调用或有效。</x:v>
      </x:c>
      <x:c r="M412" s="24" t="str">
        <x:v>由M3-BASE及M4各模块提供；日支、日柱近位可提高与亲密关系核心的相关性，但同一source_id不得重复计分。</x:v>
      </x:c>
      <x:c r="N412" s="24" t="str">
        <x:v>保护因素必须明确限制过用、补足缺位、恢复顺序、打开反馈、落实改变或完成修复回流；不能只凭五行相生补写现实效果。</x:v>
      </x:c>
      <x:c r="O412" s="24" t="str">
        <x:v>近位提高进入亲密关系核心的概率；远位只作背景、阶段或条件性修正。</x:v>
      </x:c>
      <x:c r="P412" s="24" t="str">
        <x:v>根气只修正该保护功能是否容易重复调用，不等于现实中已经形成稳定保护。</x:v>
      </x:c>
      <x:c r="Q412" s="24" t="str">
        <x:v>旺弱只修正调用强度与承载；强不自动有效，弱也不自动无效。</x:v>
      </x:c>
      <x:c r="R412" s="24" t="str">
        <x:v>喜忌只修正摩擦、平衡与承载，不可直接翻译为好坏、成熟度或解决方案。</x:v>
      </x:c>
      <x:c r="S412" s="24" t="str">
        <x:v>原十神功能有效；真合化成立时按化神功能替换，合化争议时停止定性。</x:v>
      </x:c>
      <x:c r="T412" s="24" t="str">
        <x:v>近位提高直接相关性；远位仅保留背景、阶段或低置信修正。</x:v>
      </x:c>
      <x:c r="U412" s="24" t="str">
        <x:v>93</x:v>
      </x:c>
      <x:c r="V412" s="24" t="str">
        <x:v>路由+5</x:v>
      </x:c>
      <x:c r="W412" s="24" t="str">
        <x:v>repair_buffer</x:v>
      </x:c>
      <x:c r="X412" s="24" t="str">
        <x:v>RB11优先由BF05接收反馈＋BF07双向回流；补足RN07纠正。</x:v>
      </x:c>
      <x:c r="Y412" s="24" t="str">
        <x:v>要避免“单方修复投入等同双方闭环”，需要继续检查：BF05接收反馈＋BF07双向回流；补足RN07。</x:v>
      </x:c>
      <x:c r="Z412" s="24" t="str">
        <x:v>不得仅凭本规则断定问题已经解决、关系必然稳定、用户一定成熟、某十神天然是“药”、喜用神自动等于解决办法，或淡化暴力、强迫与现实伤害；现实行为、反例、安全事实和专业支持优先。</x:v>
      </x:c>
      <x:c r="AA412" s="24" t="str">
        <x:v>中高</x:v>
      </x:c>
      <x:c r="AB412" s="24" t="str">
        <x:v>待验证</x:v>
      </x:c>
      <x:c r="AC412" s="24" t="str"/>
      <x:c r="AD412" s="24" t="str">
        <x:v>provisional=true；保护因素的现实有效性必须由可观察行为、反馈和持续结果验证。</x:v>
      </x:c>
      <x:c r="AE412" s="24" t="str">
        <x:v>0.8</x:v>
      </x:c>
    </x:row>
    <x:row r="413" ht="52" customHeight="1">
      <x:c r="A413" s="24" t="str">
        <x:v>M4-BUFFER-412</x:v>
      </x:c>
      <x:c r="B413" s="24" t="str">
        <x:v>RB12 一次改善等同稳定改变｜保护接口</x:v>
      </x:c>
      <x:c r="C413" s="24" t="str">
        <x:v>L8 REPAIR修复回流接口</x:v>
      </x:c>
      <x:c r="D413" s="24" t="str">
        <x:v>BUFFER-REPAIR盲点接口</x:v>
      </x:c>
      <x:c r="E413" s="24" t="str">
        <x:v>通用</x:v>
      </x:c>
      <x:c r="F413" s="24" t="str">
        <x:v>路由</x:v>
      </x:c>
      <x:c r="G413" s="24" t="str">
        <x:v>RB12 一次改善等同稳定改变</x:v>
      </x:c>
      <x:c r="H413" s="24" t="str">
        <x:v>BF06跨时间兑现＋BL6以上证据；补足RN08</x:v>
      </x:c>
      <x:c r="I413" s="24" t="str">
        <x:v>M4-REPAIR已识别RB12候选，并且存在BF06跨时间兑现＋BL6以上证据；补足RN08中的至少一项资源。</x:v>
      </x:c>
      <x:c r="J413" s="24" t="str">
        <x:v>该盲点已有现实反例，或修复节点已经完整且持续。</x:v>
      </x:c>
      <x:c r="K413" s="24" t="str">
        <x:v>由共享基础引擎提供；仅修正保护功能的承载、持续调用和压力状态下的稳定性，不直接等同成熟度、道德或现实行为。</x:v>
      </x:c>
      <x:c r="L413" s="24" t="str">
        <x:v>由M1／M2接口提供；夫妻星、心动原型和关系门槛只说明关系议题，不单独证明保护因素已经被调用或有效。</x:v>
      </x:c>
      <x:c r="M413" s="24" t="str">
        <x:v>由M3-BASE及M4各模块提供；日支、日柱近位可提高与亲密关系核心的相关性，但同一source_id不得重复计分。</x:v>
      </x:c>
      <x:c r="N413" s="24" t="str">
        <x:v>保护因素必须明确限制过用、补足缺位、恢复顺序、打开反馈、落实改变或完成修复回流；不能只凭五行相生补写现实效果。</x:v>
      </x:c>
      <x:c r="O413" s="24" t="str">
        <x:v>近位提高进入亲密关系核心的概率；远位只作背景、阶段或条件性修正。</x:v>
      </x:c>
      <x:c r="P413" s="24" t="str">
        <x:v>根气只修正该保护功能是否容易重复调用，不等于现实中已经形成稳定保护。</x:v>
      </x:c>
      <x:c r="Q413" s="24" t="str">
        <x:v>旺弱只修正调用强度与承载；强不自动有效，弱也不自动无效。</x:v>
      </x:c>
      <x:c r="R413" s="24" t="str">
        <x:v>喜忌只修正摩擦、平衡与承载，不可直接翻译为好坏、成熟度或解决方案。</x:v>
      </x:c>
      <x:c r="S413" s="24" t="str">
        <x:v>原十神功能有效；真合化成立时按化神功能替换，合化争议时停止定性。</x:v>
      </x:c>
      <x:c r="T413" s="24" t="str">
        <x:v>近位提高直接相关性；远位仅保留背景、阶段或低置信修正。</x:v>
      </x:c>
      <x:c r="U413" s="24" t="str">
        <x:v>93</x:v>
      </x:c>
      <x:c r="V413" s="24" t="str">
        <x:v>路由+5</x:v>
      </x:c>
      <x:c r="W413" s="24" t="str">
        <x:v>repair_buffer</x:v>
      </x:c>
      <x:c r="X413" s="24" t="str">
        <x:v>RB12优先由BF06跨时间兑现＋BL6以上证据；补足RN08纠正。</x:v>
      </x:c>
      <x:c r="Y413" s="24" t="str">
        <x:v>要避免“一次改善等同稳定改变”，需要继续检查：BF06跨时间兑现＋BL6以上证据；补足RN08。</x:v>
      </x:c>
      <x:c r="Z413" s="24" t="str">
        <x:v>不得仅凭本规则断定问题已经解决、关系必然稳定、用户一定成熟、某十神天然是“药”、喜用神自动等于解决办法，或淡化暴力、强迫与现实伤害；现实行为、反例、安全事实和专业支持优先。</x:v>
      </x:c>
      <x:c r="AA413" s="24" t="str">
        <x:v>中高</x:v>
      </x:c>
      <x:c r="AB413" s="24" t="str">
        <x:v>待验证</x:v>
      </x:c>
      <x:c r="AC413" s="24" t="str"/>
      <x:c r="AD413" s="24" t="str">
        <x:v>provisional=true；保护因素的现实有效性必须由可观察行为、反馈和持续结果验证。</x:v>
      </x:c>
      <x:c r="AE413" s="24" t="str">
        <x:v>0.8</x:v>
      </x:c>
    </x:row>
    <x:row r="414" ht="52" customHeight="1">
      <x:c r="A414" s="24" t="str">
        <x:v>M4-BUFFER-413</x:v>
      </x:c>
      <x:c r="B414" s="24" t="str">
        <x:v>修复保护只针对缺失节点</x:v>
      </x:c>
      <x:c r="C414" s="24" t="str">
        <x:v>L8 REPAIR修复回流接口</x:v>
      </x:c>
      <x:c r="D414" s="24" t="str">
        <x:v>BUFFER-REPAIR综合接口</x:v>
      </x:c>
      <x:c r="E414" s="24" t="str">
        <x:v>通用</x:v>
      </x:c>
      <x:c r="F414" s="24" t="str">
        <x:v>边界</x:v>
      </x:c>
      <x:c r="G414" s="24" t="str">
        <x:v>REPAIR综合门控</x:v>
      </x:c>
      <x:c r="H414" s="24" t="str"/>
      <x:c r="I414" s="24" t="str">
        <x:v>已明确缺失RN节点。</x:v>
      </x:c>
      <x:c r="J414" s="24" t="str">
        <x:v>把完整修复模型全部堆入每个轻微事件。</x:v>
      </x:c>
      <x:c r="K414" s="24" t="str">
        <x:v>由共享基础引擎提供；仅修正保护功能的承载、持续调用和压力状态下的稳定性，不直接等同成熟度、道德或现实行为。</x:v>
      </x:c>
      <x:c r="L414" s="24" t="str">
        <x:v>由M1／M2接口提供；夫妻星、心动原型和关系门槛只说明关系议题，不单独证明保护因素已经被调用或有效。</x:v>
      </x:c>
      <x:c r="M414" s="24" t="str">
        <x:v>由M3-BASE及M4各模块提供；日支、日柱近位可提高与亲密关系核心的相关性，但同一source_id不得重复计分。</x:v>
      </x:c>
      <x:c r="N414" s="24" t="str">
        <x:v>保护因素必须明确限制过用、补足缺位、恢复顺序、打开反馈、落实改变或完成修复回流；不能只凭五行相生补写现实效果。</x:v>
      </x:c>
      <x:c r="O414" s="24" t="str">
        <x:v>近位提高进入亲密关系核心的概率；远位只作背景、阶段或条件性修正。</x:v>
      </x:c>
      <x:c r="P414" s="24" t="str">
        <x:v>根气只修正该保护功能是否容易重复调用，不等于现实中已经形成稳定保护。</x:v>
      </x:c>
      <x:c r="Q414" s="24" t="str">
        <x:v>旺弱只修正调用强度与承载；强不自动有效，弱也不自动无效。</x:v>
      </x:c>
      <x:c r="R414" s="24" t="str">
        <x:v>喜忌只修正摩擦、平衡与承载，不可直接翻译为好坏、成熟度或解决方案。</x:v>
      </x:c>
      <x:c r="S414" s="24" t="str">
        <x:v>原十神功能有效；真合化成立时按化神功能替换，合化争议时停止定性。</x:v>
      </x:c>
      <x:c r="T414" s="24" t="str">
        <x:v>近位提高直接相关性；远位仅保留背景、阶段或低置信修正。</x:v>
      </x:c>
      <x:c r="U414" s="24" t="str">
        <x:v>96</x:v>
      </x:c>
      <x:c r="V414" s="24" t="str">
        <x:v>不加分；门控</x:v>
      </x:c>
      <x:c r="W414" s="24" t="str">
        <x:v>boundary_note</x:v>
      </x:c>
      <x:c r="X414" s="24" t="str">
        <x:v>修复保护应围绕事件最低必要节点配置。</x:v>
      </x:c>
      <x:c r="Y414" s="24" t="str">
        <x:v>不同事件需要的修复深度不同，先找缺失节点，再补对应功能。</x:v>
      </x:c>
      <x:c r="Z414" s="24" t="str">
        <x:v>不得仅凭本规则断定问题已经解决、关系必然稳定、用户一定成熟、某十神天然是“药”、喜用神自动等于解决办法，或淡化暴力、强迫与现实伤害；现实行为、反例、安全事实和专业支持优先。</x:v>
      </x:c>
      <x:c r="AA414" s="24" t="str">
        <x:v>高</x:v>
      </x:c>
      <x:c r="AB414" s="24" t="str">
        <x:v>待验证</x:v>
      </x:c>
      <x:c r="AC414" s="24" t="str"/>
      <x:c r="AD414" s="24" t="str">
        <x:v>provisional=true；保护因素的现实有效性必须由可观察行为、反馈和持续结果验证。</x:v>
      </x:c>
      <x:c r="AE414" s="24" t="str">
        <x:v>0.8</x:v>
      </x:c>
    </x:row>
    <x:row r="415" ht="52" customHeight="1">
      <x:c r="A415" s="24" t="str">
        <x:v>M4-BUFFER-414</x:v>
      </x:c>
      <x:c r="B415" s="24" t="str">
        <x:v>接收方反馈是保护有效性的独立证据</x:v>
      </x:c>
      <x:c r="C415" s="24" t="str">
        <x:v>L8 REPAIR修复回流接口</x:v>
      </x:c>
      <x:c r="D415" s="24" t="str">
        <x:v>BUFFER-REPAIR综合接口</x:v>
      </x:c>
      <x:c r="E415" s="24" t="str">
        <x:v>通用</x:v>
      </x:c>
      <x:c r="F415" s="24" t="str">
        <x:v>证据</x:v>
      </x:c>
      <x:c r="G415" s="24" t="str">
        <x:v>REPAIR综合门控</x:v>
      </x:c>
      <x:c r="H415" s="24" t="str"/>
      <x:c r="I415" s="24" t="str">
        <x:v>存在接收方可观察反馈或明确无反馈。</x:v>
      </x:c>
      <x:c r="J415" s="24" t="str">
        <x:v>只依据发起者自述判断修复有效。</x:v>
      </x:c>
      <x:c r="K415" s="24" t="str">
        <x:v>由共享基础引擎提供；仅修正保护功能的承载、持续调用和压力状态下的稳定性，不直接等同成熟度、道德或现实行为。</x:v>
      </x:c>
      <x:c r="L415" s="24" t="str">
        <x:v>由M1／M2接口提供；夫妻星、心动原型和关系门槛只说明关系议题，不单独证明保护因素已经被调用或有效。</x:v>
      </x:c>
      <x:c r="M415" s="24" t="str">
        <x:v>由M3-BASE及M4各模块提供；日支、日柱近位可提高与亲密关系核心的相关性，但同一source_id不得重复计分。</x:v>
      </x:c>
      <x:c r="N415" s="24" t="str">
        <x:v>保护因素必须明确限制过用、补足缺位、恢复顺序、打开反馈、落实改变或完成修复回流；不能只凭五行相生补写现实效果。</x:v>
      </x:c>
      <x:c r="O415" s="24" t="str">
        <x:v>近位提高进入亲密关系核心的概率；远位只作背景、阶段或条件性修正。</x:v>
      </x:c>
      <x:c r="P415" s="24" t="str">
        <x:v>根气只修正该保护功能是否容易重复调用，不等于现实中已经形成稳定保护。</x:v>
      </x:c>
      <x:c r="Q415" s="24" t="str">
        <x:v>旺弱只修正调用强度与承载；强不自动有效，弱也不自动无效。</x:v>
      </x:c>
      <x:c r="R415" s="24" t="str">
        <x:v>喜忌只修正摩擦、平衡与承载，不可直接翻译为好坏、成熟度或解决方案。</x:v>
      </x:c>
      <x:c r="S415" s="24" t="str">
        <x:v>原十神功能有效；真合化成立时按化神功能替换，合化争议时停止定性。</x:v>
      </x:c>
      <x:c r="T415" s="24" t="str">
        <x:v>近位提高直接相关性；远位仅保留背景、阶段或低置信修正。</x:v>
      </x:c>
      <x:c r="U415" s="24" t="str">
        <x:v>96</x:v>
      </x:c>
      <x:c r="V415" s="24" t="str">
        <x:v>不加分；门控</x:v>
      </x:c>
      <x:c r="W415" s="24" t="str">
        <x:v>boundary_note</x:v>
      </x:c>
      <x:c r="X415" s="24" t="str">
        <x:v>修复是否被接收不能由发起者单独决定。</x:v>
      </x:c>
      <x:c r="Y415" s="24" t="str">
        <x:v>除了做了什么，还要看对方实际接收到什么，以及是否需要二次调整。</x:v>
      </x:c>
      <x:c r="Z415" s="24" t="str">
        <x:v>不得仅凭本规则断定问题已经解决、关系必然稳定、用户一定成熟、某十神天然是“药”、喜用神自动等于解决办法，或淡化暴力、强迫与现实伤害；现实行为、反例、安全事实和专业支持优先。</x:v>
      </x:c>
      <x:c r="AA415" s="24" t="str">
        <x:v>高</x:v>
      </x:c>
      <x:c r="AB415" s="24" t="str">
        <x:v>待验证</x:v>
      </x:c>
      <x:c r="AC415" s="24" t="str"/>
      <x:c r="AD415" s="24" t="str">
        <x:v>provisional=true；保护因素的现实有效性必须由可观察行为、反馈和持续结果验证。</x:v>
      </x:c>
      <x:c r="AE415" s="24" t="str">
        <x:v>0.8</x:v>
      </x:c>
    </x:row>
    <x:row r="416" ht="52" customHeight="1">
      <x:c r="A416" s="24" t="str">
        <x:v>M4-BUFFER-415</x:v>
      </x:c>
      <x:c r="B416" s="24" t="str">
        <x:v>持续性高于单次补救</x:v>
      </x:c>
      <x:c r="C416" s="24" t="str">
        <x:v>L8 REPAIR修复回流接口</x:v>
      </x:c>
      <x:c r="D416" s="24" t="str">
        <x:v>BUFFER-REPAIR综合接口</x:v>
      </x:c>
      <x:c r="E416" s="24" t="str">
        <x:v>通用</x:v>
      </x:c>
      <x:c r="F416" s="24" t="str">
        <x:v>边界</x:v>
      </x:c>
      <x:c r="G416" s="24" t="str">
        <x:v>REPAIR综合门控</x:v>
      </x:c>
      <x:c r="H416" s="24" t="str"/>
      <x:c r="I416" s="24" t="str">
        <x:v>需要判断稳定改变。</x:v>
      </x:c>
      <x:c r="J416" s="24" t="str">
        <x:v>用一次补偿、道歉或改善升级BL6／BL7。</x:v>
      </x:c>
      <x:c r="K416" s="24" t="str">
        <x:v>由共享基础引擎提供；仅修正保护功能的承载、持续调用和压力状态下的稳定性，不直接等同成熟度、道德或现实行为。</x:v>
      </x:c>
      <x:c r="L416" s="24" t="str">
        <x:v>由M1／M2接口提供；夫妻星、心动原型和关系门槛只说明关系议题，不单独证明保护因素已经被调用或有效。</x:v>
      </x:c>
      <x:c r="M416" s="24" t="str">
        <x:v>由M3-BASE及M4各模块提供；日支、日柱近位可提高与亲密关系核心的相关性，但同一source_id不得重复计分。</x:v>
      </x:c>
      <x:c r="N416" s="24" t="str">
        <x:v>保护因素必须明确限制过用、补足缺位、恢复顺序、打开反馈、落实改变或完成修复回流；不能只凭五行相生补写现实效果。</x:v>
      </x:c>
      <x:c r="O416" s="24" t="str">
        <x:v>近位提高进入亲密关系核心的概率；远位只作背景、阶段或条件性修正。</x:v>
      </x:c>
      <x:c r="P416" s="24" t="str">
        <x:v>根气只修正该保护功能是否容易重复调用，不等于现实中已经形成稳定保护。</x:v>
      </x:c>
      <x:c r="Q416" s="24" t="str">
        <x:v>旺弱只修正调用强度与承载；强不自动有效，弱也不自动无效。</x:v>
      </x:c>
      <x:c r="R416" s="24" t="str">
        <x:v>喜忌只修正摩擦、平衡与承载，不可直接翻译为好坏、成熟度或解决方案。</x:v>
      </x:c>
      <x:c r="S416" s="24" t="str">
        <x:v>原十神功能有效；真合化成立时按化神功能替换，合化争议时停止定性。</x:v>
      </x:c>
      <x:c r="T416" s="24" t="str">
        <x:v>近位提高直接相关性；远位仅保留背景、阶段或低置信修正。</x:v>
      </x:c>
      <x:c r="U416" s="24" t="str">
        <x:v>96</x:v>
      </x:c>
      <x:c r="V416" s="24" t="str">
        <x:v>不加分；门控</x:v>
      </x:c>
      <x:c r="W416" s="24" t="str">
        <x:v>boundary_note</x:v>
      </x:c>
      <x:c r="X416" s="24" t="str">
        <x:v>稳定保护必须包含RN08与跨时间证据。</x:v>
      </x:c>
      <x:c r="Y416" s="24" t="str">
        <x:v>一次补救可以启动修复，但稳定改变要看后续是否持续。</x:v>
      </x:c>
      <x:c r="Z416" s="24" t="str">
        <x:v>不得仅凭本规则断定问题已经解决、关系必然稳定、用户一定成熟、某十神天然是“药”、喜用神自动等于解决办法，或淡化暴力、强迫与现实伤害；现实行为、反例、安全事实和专业支持优先。</x:v>
      </x:c>
      <x:c r="AA416" s="24" t="str">
        <x:v>高</x:v>
      </x:c>
      <x:c r="AB416" s="24" t="str">
        <x:v>待验证</x:v>
      </x:c>
      <x:c r="AC416" s="24" t="str"/>
      <x:c r="AD416" s="24" t="str">
        <x:v>provisional=true；保护因素的现实有效性必须由可观察行为、反馈和持续结果验证。</x:v>
      </x:c>
      <x:c r="AE416" s="24" t="str">
        <x:v>0.8</x:v>
      </x:c>
    </x:row>
    <x:row r="417" ht="52" customHeight="1">
      <x:c r="A417" s="24" t="str">
        <x:v>M4-BUFFER-416</x:v>
      </x:c>
      <x:c r="B417" s="24" t="str">
        <x:v>安全事件优先外部保护</x:v>
      </x:c>
      <x:c r="C417" s="24" t="str">
        <x:v>L8 REPAIR修复回流接口</x:v>
      </x:c>
      <x:c r="D417" s="24" t="str">
        <x:v>BUFFER-REPAIR综合接口</x:v>
      </x:c>
      <x:c r="E417" s="24" t="str">
        <x:v>通用</x:v>
      </x:c>
      <x:c r="F417" s="24" t="str">
        <x:v>安全</x:v>
      </x:c>
      <x:c r="G417" s="24" t="str">
        <x:v>REPAIR综合门控</x:v>
      </x:c>
      <x:c r="H417" s="24" t="str"/>
      <x:c r="I417" s="24" t="str">
        <x:v>RI08或现实安全风险存在。</x:v>
      </x:c>
      <x:c r="J417" s="24" t="str">
        <x:v>把普通沟通、和好或命理制化当成主要方案。</x:v>
      </x:c>
      <x:c r="K417" s="24" t="str">
        <x:v>由共享基础引擎提供；仅修正保护功能的承载、持续调用和压力状态下的稳定性，不直接等同成熟度、道德或现实行为。</x:v>
      </x:c>
      <x:c r="L417" s="24" t="str">
        <x:v>由M1／M2接口提供；夫妻星、心动原型和关系门槛只说明关系议题，不单独证明保护因素已经被调用或有效。</x:v>
      </x:c>
      <x:c r="M417" s="24" t="str">
        <x:v>由M3-BASE及M4各模块提供；日支、日柱近位可提高与亲密关系核心的相关性，但同一source_id不得重复计分。</x:v>
      </x:c>
      <x:c r="N417" s="24" t="str">
        <x:v>保护因素必须明确限制过用、补足缺位、恢复顺序、打开反馈、落实改变或完成修复回流；不能只凭五行相生补写现实效果。</x:v>
      </x:c>
      <x:c r="O417" s="24" t="str">
        <x:v>近位提高进入亲密关系核心的概率；远位只作背景、阶段或条件性修正。</x:v>
      </x:c>
      <x:c r="P417" s="24" t="str">
        <x:v>根气只修正该保护功能是否容易重复调用，不等于现实中已经形成稳定保护。</x:v>
      </x:c>
      <x:c r="Q417" s="24" t="str">
        <x:v>旺弱只修正调用强度与承载；强不自动有效，弱也不自动无效。</x:v>
      </x:c>
      <x:c r="R417" s="24" t="str">
        <x:v>喜忌只修正摩擦、平衡与承载，不可直接翻译为好坏、成熟度或解决方案。</x:v>
      </x:c>
      <x:c r="S417" s="24" t="str">
        <x:v>原十神功能有效；真合化成立时按化神功能替换，合化争议时停止定性。</x:v>
      </x:c>
      <x:c r="T417" s="24" t="str">
        <x:v>近位提高直接相关性；远位仅保留背景、阶段或低置信修正。</x:v>
      </x:c>
      <x:c r="U417" s="24" t="str">
        <x:v>99</x:v>
      </x:c>
      <x:c r="V417" s="24" t="str">
        <x:v>不加分；门控</x:v>
      </x:c>
      <x:c r="W417" s="24" t="str">
        <x:v>boundary_note</x:v>
      </x:c>
      <x:c r="X417" s="24" t="str">
        <x:v>安全、责任、现实资源和专业支持优先于关系闭环。</x:v>
      </x:c>
      <x:c r="Y417" s="24" t="str">
        <x:v>涉及安全风险时，先保护人身与选择权，不以尽快恢复关系为目标。</x:v>
      </x:c>
      <x:c r="Z417" s="24" t="str">
        <x:v>不得仅凭本规则断定问题已经解决、关系必然稳定、用户一定成熟、某十神天然是“药”、喜用神自动等于解决办法，或淡化暴力、强迫与现实伤害；现实行为、反例、安全事实和专业支持优先。</x:v>
      </x:c>
      <x:c r="AA417" s="24" t="str">
        <x:v>高</x:v>
      </x:c>
      <x:c r="AB417" s="24" t="str">
        <x:v>待验证</x:v>
      </x:c>
      <x:c r="AC417" s="24" t="str"/>
      <x:c r="AD417" s="24" t="str">
        <x:v>provisional=true；保护因素的现实有效性必须由可观察行为、反馈和持续结果验证。</x:v>
      </x:c>
      <x:c r="AE417" s="24" t="str">
        <x:v>0.8</x:v>
      </x:c>
    </x:row>
    <x:row r="418" ht="52" customHeight="1">
      <x:c r="A418" s="24" t="str">
        <x:v>M4-BUFFER-417</x:v>
      </x:c>
      <x:c r="B418" s="24" t="str">
        <x:v>SM01 透干且有根｜保护修正</x:v>
      </x:c>
      <x:c r="C418" s="24" t="str">
        <x:v>L9 状态与动态修正</x:v>
      </x:c>
      <x:c r="D418" s="24" t="str">
        <x:v>BUFFER-状态修正</x:v>
      </x:c>
      <x:c r="E418" s="24" t="str">
        <x:v>通用</x:v>
      </x:c>
      <x:c r="F418" s="24" t="str">
        <x:v>状态修正</x:v>
      </x:c>
      <x:c r="G418" s="24" t="str">
        <x:v>SM01 透干且有根</x:v>
      </x:c>
      <x:c r="H418" s="24" t="str">
        <x:v>保护调用修正</x:v>
      </x:c>
      <x:c r="I418" s="24" t="str">
        <x:v>共享基础引擎确认SM01状态，且保护靶点已经明确。</x:v>
      </x:c>
      <x:c r="J418" s="24" t="str">
        <x:v>基础状态未定、合化争议或与现实反例冲突。</x:v>
      </x:c>
      <x:c r="K418" s="24" t="str">
        <x:v>由共享基础引擎提供；仅修正保护功能的承载、持续调用和压力状态下的稳定性，不直接等同成熟度、道德或现实行为。</x:v>
      </x:c>
      <x:c r="L418" s="24" t="str">
        <x:v>由M1／M2接口提供；夫妻星、心动原型和关系门槛只说明关系议题，不单独证明保护因素已经被调用或有效。</x:v>
      </x:c>
      <x:c r="M418" s="24" t="str">
        <x:v>由M3-BASE及M4各模块提供；日支、日柱近位可提高与亲密关系核心的相关性，但同一source_id不得重复计分。</x:v>
      </x:c>
      <x:c r="N418" s="24" t="str">
        <x:v>保护因素必须明确限制过用、补足缺位、恢复顺序、打开反馈、落实改变或完成修复回流；不能只凭五行相生补写现实效果。</x:v>
      </x:c>
      <x:c r="O418" s="24" t="str">
        <x:v>近位提高进入亲密关系核心的概率；远位只作背景、阶段或条件性修正。</x:v>
      </x:c>
      <x:c r="P418" s="24" t="str">
        <x:v>根气只修正该保护功能是否容易重复调用，不等于现实中已经形成稳定保护。</x:v>
      </x:c>
      <x:c r="Q418" s="24" t="str">
        <x:v>旺弱只修正调用强度与承载；强不自动有效，弱也不自动无效。</x:v>
      </x:c>
      <x:c r="R418" s="24" t="str">
        <x:v>喜忌只修正摩擦、平衡与承载，不可直接翻译为好坏、成熟度或解决方案。</x:v>
      </x:c>
      <x:c r="S418" s="24" t="str">
        <x:v>原十神功能有效；真合化成立时按化神功能替换，合化争议时停止定性。</x:v>
      </x:c>
      <x:c r="T418" s="24" t="str">
        <x:v>近位提高直接相关性；远位仅保留背景、阶段或低置信修正。</x:v>
      </x:c>
      <x:c r="U418" s="24" t="str">
        <x:v>90</x:v>
      </x:c>
      <x:c r="V418" s="24" t="str">
        <x:v>按状态±2—8</x:v>
      </x:c>
      <x:c r="W418" s="24" t="str">
        <x:v>state_modifier</x:v>
      </x:c>
      <x:c r="X418" s="24" t="str">
        <x:v>保护功能较容易被看见，也较有条件重复调用。</x:v>
      </x:c>
      <x:c r="Y418" s="24" t="str">
        <x:v>在“透干且有根”状态下，保护功能较容易被看见，也较有条件重复调用。</x:v>
      </x:c>
      <x:c r="Z418" s="24" t="str">
        <x:v>不得仅凭本规则断定问题已经解决、关系必然稳定、用户一定成熟、某十神天然是“药”、喜用神自动等于解决办法，或淡化暴力、强迫与现实伤害；现实行为、反例、安全事实和专业支持优先。</x:v>
      </x:c>
      <x:c r="AA418" s="24" t="str">
        <x:v>中高</x:v>
      </x:c>
      <x:c r="AB418" s="24" t="str">
        <x:v>待验证</x:v>
      </x:c>
      <x:c r="AC418" s="24" t="str"/>
      <x:c r="AD418" s="24" t="str">
        <x:v>provisional=true；保护因素的现实有效性必须由可观察行为、反馈和持续结果验证。</x:v>
      </x:c>
      <x:c r="AE418" s="24" t="str">
        <x:v>0.8</x:v>
      </x:c>
    </x:row>
    <x:row r="419" ht="52" customHeight="1">
      <x:c r="A419" s="24" t="str">
        <x:v>M4-BUFFER-418</x:v>
      </x:c>
      <x:c r="B419" s="24" t="str">
        <x:v>SM01 透干且有根｜使用边界</x:v>
      </x:c>
      <x:c r="C419" s="24" t="str">
        <x:v>L9 状态与动态修正</x:v>
      </x:c>
      <x:c r="D419" s="24" t="str">
        <x:v>BUFFER-状态修正</x:v>
      </x:c>
      <x:c r="E419" s="24" t="str">
        <x:v>通用</x:v>
      </x:c>
      <x:c r="F419" s="24" t="str">
        <x:v>边界</x:v>
      </x:c>
      <x:c r="G419" s="24" t="str">
        <x:v>SM01 透干且有根</x:v>
      </x:c>
      <x:c r="H419" s="24" t="str">
        <x:v>状态边界</x:v>
      </x:c>
      <x:c r="I419" s="24" t="str">
        <x:v>可提高可调用性，但仍需现实效果验证。</x:v>
      </x:c>
      <x:c r="J419" s="24" t="str">
        <x:v>存在独立现实证据支持更强结论。</x:v>
      </x:c>
      <x:c r="K419" s="24" t="str">
        <x:v>由共享基础引擎提供；仅修正保护功能的承载、持续调用和压力状态下的稳定性，不直接等同成熟度、道德或现实行为。</x:v>
      </x:c>
      <x:c r="L419" s="24" t="str">
        <x:v>由M1／M2接口提供；夫妻星、心动原型和关系门槛只说明关系议题，不单独证明保护因素已经被调用或有效。</x:v>
      </x:c>
      <x:c r="M419" s="24" t="str">
        <x:v>由M3-BASE及M4各模块提供；日支、日柱近位可提高与亲密关系核心的相关性，但同一source_id不得重复计分。</x:v>
      </x:c>
      <x:c r="N419" s="24" t="str">
        <x:v>保护因素必须明确限制过用、补足缺位、恢复顺序、打开反馈、落实改变或完成修复回流；不能只凭五行相生补写现实效果。</x:v>
      </x:c>
      <x:c r="O419" s="24" t="str">
        <x:v>近位提高进入亲密关系核心的概率；远位只作背景、阶段或条件性修正。</x:v>
      </x:c>
      <x:c r="P419" s="24" t="str">
        <x:v>根气只修正该保护功能是否容易重复调用，不等于现实中已经形成稳定保护。</x:v>
      </x:c>
      <x:c r="Q419" s="24" t="str">
        <x:v>旺弱只修正调用强度与承载；强不自动有效，弱也不自动无效。</x:v>
      </x:c>
      <x:c r="R419" s="24" t="str">
        <x:v>喜忌只修正摩擦、平衡与承载，不可直接翻译为好坏、成熟度或解决方案。</x:v>
      </x:c>
      <x:c r="S419" s="24" t="str">
        <x:v>原十神功能有效；真合化成立时按化神功能替换，合化争议时停止定性。</x:v>
      </x:c>
      <x:c r="T419" s="24" t="str">
        <x:v>近位提高直接相关性；远位仅保留背景、阶段或低置信修正。</x:v>
      </x:c>
      <x:c r="U419" s="24" t="str">
        <x:v>97</x:v>
      </x:c>
      <x:c r="V419" s="24" t="str">
        <x:v>封顶／降级</x:v>
      </x:c>
      <x:c r="W419" s="24" t="str">
        <x:v>boundary_note</x:v>
      </x:c>
      <x:c r="X419" s="24" t="str">
        <x:v>可提高可调用性，但仍需现实效果验证。</x:v>
      </x:c>
      <x:c r="Y419" s="24" t="str">
        <x:v>需要注意：可提高可调用性，但仍需现实效果验证。</x:v>
      </x:c>
      <x:c r="Z419" s="24" t="str">
        <x:v>不得仅凭本规则断定问题已经解决、关系必然稳定、用户一定成熟、某十神天然是“药”、喜用神自动等于解决办法，或淡化暴力、强迫与现实伤害；现实行为、反例、安全事实和专业支持优先。</x:v>
      </x:c>
      <x:c r="AA419" s="24" t="str">
        <x:v>高</x:v>
      </x:c>
      <x:c r="AB419" s="24" t="str">
        <x:v>待验证</x:v>
      </x:c>
      <x:c r="AC419" s="24" t="str"/>
      <x:c r="AD419" s="24" t="str">
        <x:v>provisional=true；保护因素的现实有效性必须由可观察行为、反馈和持续结果验证。</x:v>
      </x:c>
      <x:c r="AE419" s="24" t="str">
        <x:v>0.8</x:v>
      </x:c>
    </x:row>
    <x:row r="420" ht="52" customHeight="1">
      <x:c r="A420" s="24" t="str">
        <x:v>M4-BUFFER-419</x:v>
      </x:c>
      <x:c r="B420" s="24" t="str">
        <x:v>SM02 透干但无根｜保护修正</x:v>
      </x:c>
      <x:c r="C420" s="24" t="str">
        <x:v>L9 状态与动态修正</x:v>
      </x:c>
      <x:c r="D420" s="24" t="str">
        <x:v>BUFFER-状态修正</x:v>
      </x:c>
      <x:c r="E420" s="24" t="str">
        <x:v>通用</x:v>
      </x:c>
      <x:c r="F420" s="24" t="str">
        <x:v>状态修正</x:v>
      </x:c>
      <x:c r="G420" s="24" t="str">
        <x:v>SM02 透干但无根</x:v>
      </x:c>
      <x:c r="H420" s="24" t="str">
        <x:v>保护调用修正</x:v>
      </x:c>
      <x:c r="I420" s="24" t="str">
        <x:v>共享基础引擎确认SM02状态，且保护靶点已经明确。</x:v>
      </x:c>
      <x:c r="J420" s="24" t="str">
        <x:v>基础状态未定、合化争议或与现实反例冲突。</x:v>
      </x:c>
      <x:c r="K420" s="24" t="str">
        <x:v>由共享基础引擎提供；仅修正保护功能的承载、持续调用和压力状态下的稳定性，不直接等同成熟度、道德或现实行为。</x:v>
      </x:c>
      <x:c r="L420" s="24" t="str">
        <x:v>由M1／M2接口提供；夫妻星、心动原型和关系门槛只说明关系议题，不单独证明保护因素已经被调用或有效。</x:v>
      </x:c>
      <x:c r="M420" s="24" t="str">
        <x:v>由M3-BASE及M4各模块提供；日支、日柱近位可提高与亲密关系核心的相关性，但同一source_id不得重复计分。</x:v>
      </x:c>
      <x:c r="N420" s="24" t="str">
        <x:v>保护因素必须明确限制过用、补足缺位、恢复顺序、打开反馈、落实改变或完成修复回流；不能只凭五行相生补写现实效果。</x:v>
      </x:c>
      <x:c r="O420" s="24" t="str">
        <x:v>近位提高进入亲密关系核心的概率；远位只作背景、阶段或条件性修正。</x:v>
      </x:c>
      <x:c r="P420" s="24" t="str">
        <x:v>根气只修正该保护功能是否容易重复调用，不等于现实中已经形成稳定保护。</x:v>
      </x:c>
      <x:c r="Q420" s="24" t="str">
        <x:v>旺弱只修正调用强度与承载；强不自动有效，弱也不自动无效。</x:v>
      </x:c>
      <x:c r="R420" s="24" t="str">
        <x:v>喜忌只修正摩擦、平衡与承载，不可直接翻译为好坏、成熟度或解决方案。</x:v>
      </x:c>
      <x:c r="S420" s="24" t="str">
        <x:v>原十神功能有效；真合化成立时按化神功能替换，合化争议时停止定性。</x:v>
      </x:c>
      <x:c r="T420" s="24" t="str">
        <x:v>近位提高直接相关性；远位仅保留背景、阶段或低置信修正。</x:v>
      </x:c>
      <x:c r="U420" s="24" t="str">
        <x:v>90</x:v>
      </x:c>
      <x:c r="V420" s="24" t="str">
        <x:v>按状态±2—8</x:v>
      </x:c>
      <x:c r="W420" s="24" t="str">
        <x:v>state_modifier</x:v>
      </x:c>
      <x:c r="X420" s="24" t="str">
        <x:v>保护意图或方法容易外显，但持续性和高压稳定度不足。</x:v>
      </x:c>
      <x:c r="Y420" s="24" t="str">
        <x:v>在“透干但无根”状态下，保护意图或方法容易外显，但持续性和高压稳定度不足。</x:v>
      </x:c>
      <x:c r="Z420" s="24" t="str">
        <x:v>不得仅凭本规则断定问题已经解决、关系必然稳定、用户一定成熟、某十神天然是“药”、喜用神自动等于解决办法，或淡化暴力、强迫与现实伤害；现实行为、反例、安全事实和专业支持优先。</x:v>
      </x:c>
      <x:c r="AA420" s="24" t="str">
        <x:v>中高</x:v>
      </x:c>
      <x:c r="AB420" s="24" t="str">
        <x:v>待验证</x:v>
      </x:c>
      <x:c r="AC420" s="24" t="str"/>
      <x:c r="AD420" s="24" t="str">
        <x:v>provisional=true；保护因素的现实有效性必须由可观察行为、反馈和持续结果验证。</x:v>
      </x:c>
      <x:c r="AE420" s="24" t="str">
        <x:v>0.8</x:v>
      </x:c>
    </x:row>
    <x:row r="421" ht="52" customHeight="1">
      <x:c r="A421" s="24" t="str">
        <x:v>M4-BUFFER-420</x:v>
      </x:c>
      <x:c r="B421" s="24" t="str">
        <x:v>SM02 透干但无根｜使用边界</x:v>
      </x:c>
      <x:c r="C421" s="24" t="str">
        <x:v>L9 状态与动态修正</x:v>
      </x:c>
      <x:c r="D421" s="24" t="str">
        <x:v>BUFFER-状态修正</x:v>
      </x:c>
      <x:c r="E421" s="24" t="str">
        <x:v>通用</x:v>
      </x:c>
      <x:c r="F421" s="24" t="str">
        <x:v>边界</x:v>
      </x:c>
      <x:c r="G421" s="24" t="str">
        <x:v>SM02 透干但无根</x:v>
      </x:c>
      <x:c r="H421" s="24" t="str">
        <x:v>状态边界</x:v>
      </x:c>
      <x:c r="I421" s="24" t="str">
        <x:v>提高可见度，不提高稳定保护等级。</x:v>
      </x:c>
      <x:c r="J421" s="24" t="str">
        <x:v>存在独立现实证据支持更强结论。</x:v>
      </x:c>
      <x:c r="K421" s="24" t="str">
        <x:v>由共享基础引擎提供；仅修正保护功能的承载、持续调用和压力状态下的稳定性，不直接等同成熟度、道德或现实行为。</x:v>
      </x:c>
      <x:c r="L421" s="24" t="str">
        <x:v>由M1／M2接口提供；夫妻星、心动原型和关系门槛只说明关系议题，不单独证明保护因素已经被调用或有效。</x:v>
      </x:c>
      <x:c r="M421" s="24" t="str">
        <x:v>由M3-BASE及M4各模块提供；日支、日柱近位可提高与亲密关系核心的相关性，但同一source_id不得重复计分。</x:v>
      </x:c>
      <x:c r="N421" s="24" t="str">
        <x:v>保护因素必须明确限制过用、补足缺位、恢复顺序、打开反馈、落实改变或完成修复回流；不能只凭五行相生补写现实效果。</x:v>
      </x:c>
      <x:c r="O421" s="24" t="str">
        <x:v>近位提高进入亲密关系核心的概率；远位只作背景、阶段或条件性修正。</x:v>
      </x:c>
      <x:c r="P421" s="24" t="str">
        <x:v>根气只修正该保护功能是否容易重复调用，不等于现实中已经形成稳定保护。</x:v>
      </x:c>
      <x:c r="Q421" s="24" t="str">
        <x:v>旺弱只修正调用强度与承载；强不自动有效，弱也不自动无效。</x:v>
      </x:c>
      <x:c r="R421" s="24" t="str">
        <x:v>喜忌只修正摩擦、平衡与承载，不可直接翻译为好坏、成熟度或解决方案。</x:v>
      </x:c>
      <x:c r="S421" s="24" t="str">
        <x:v>原十神功能有效；真合化成立时按化神功能替换，合化争议时停止定性。</x:v>
      </x:c>
      <x:c r="T421" s="24" t="str">
        <x:v>近位提高直接相关性；远位仅保留背景、阶段或低置信修正。</x:v>
      </x:c>
      <x:c r="U421" s="24" t="str">
        <x:v>97</x:v>
      </x:c>
      <x:c r="V421" s="24" t="str">
        <x:v>封顶／降级</x:v>
      </x:c>
      <x:c r="W421" s="24" t="str">
        <x:v>boundary_note</x:v>
      </x:c>
      <x:c r="X421" s="24" t="str">
        <x:v>提高可见度，不提高稳定保护等级。</x:v>
      </x:c>
      <x:c r="Y421" s="24" t="str">
        <x:v>需要注意：提高可见度，不提高稳定保护等级。</x:v>
      </x:c>
      <x:c r="Z421" s="24" t="str">
        <x:v>不得仅凭本规则断定问题已经解决、关系必然稳定、用户一定成熟、某十神天然是“药”、喜用神自动等于解决办法，或淡化暴力、强迫与现实伤害；现实行为、反例、安全事实和专业支持优先。</x:v>
      </x:c>
      <x:c r="AA421" s="24" t="str">
        <x:v>高</x:v>
      </x:c>
      <x:c r="AB421" s="24" t="str">
        <x:v>待验证</x:v>
      </x:c>
      <x:c r="AC421" s="24" t="str"/>
      <x:c r="AD421" s="24" t="str">
        <x:v>provisional=true；保护因素的现实有效性必须由可观察行为、反馈和持续结果验证。</x:v>
      </x:c>
      <x:c r="AE421" s="24" t="str">
        <x:v>0.8</x:v>
      </x:c>
    </x:row>
    <x:row r="422" ht="52" customHeight="1">
      <x:c r="A422" s="24" t="str">
        <x:v>M4-BUFFER-421</x:v>
      </x:c>
      <x:c r="B422" s="24" t="str">
        <x:v>SM03 藏支且有根｜保护修正</x:v>
      </x:c>
      <x:c r="C422" s="24" t="str">
        <x:v>L9 状态与动态修正</x:v>
      </x:c>
      <x:c r="D422" s="24" t="str">
        <x:v>BUFFER-状态修正</x:v>
      </x:c>
      <x:c r="E422" s="24" t="str">
        <x:v>通用</x:v>
      </x:c>
      <x:c r="F422" s="24" t="str">
        <x:v>状态修正</x:v>
      </x:c>
      <x:c r="G422" s="24" t="str">
        <x:v>SM03 藏支且有根</x:v>
      </x:c>
      <x:c r="H422" s="24" t="str">
        <x:v>保护调用修正</x:v>
      </x:c>
      <x:c r="I422" s="24" t="str">
        <x:v>共享基础引擎确认SM03状态，且保护靶点已经明确。</x:v>
      </x:c>
      <x:c r="J422" s="24" t="str">
        <x:v>基础状态未定、合化争议或与现实反例冲突。</x:v>
      </x:c>
      <x:c r="K422" s="24" t="str">
        <x:v>由共享基础引擎提供；仅修正保护功能的承载、持续调用和压力状态下的稳定性，不直接等同成熟度、道德或现实行为。</x:v>
      </x:c>
      <x:c r="L422" s="24" t="str">
        <x:v>由M1／M2接口提供；夫妻星、心动原型和关系门槛只说明关系议题，不单独证明保护因素已经被调用或有效。</x:v>
      </x:c>
      <x:c r="M422" s="24" t="str">
        <x:v>由M3-BASE及M4各模块提供；日支、日柱近位可提高与亲密关系核心的相关性，但同一source_id不得重复计分。</x:v>
      </x:c>
      <x:c r="N422" s="24" t="str">
        <x:v>保护因素必须明确限制过用、补足缺位、恢复顺序、打开反馈、落实改变或完成修复回流；不能只凭五行相生补写现实效果。</x:v>
      </x:c>
      <x:c r="O422" s="24" t="str">
        <x:v>近位提高进入亲密关系核心的概率；远位只作背景、阶段或条件性修正。</x:v>
      </x:c>
      <x:c r="P422" s="24" t="str">
        <x:v>根气只修正该保护功能是否容易重复调用，不等于现实中已经形成稳定保护。</x:v>
      </x:c>
      <x:c r="Q422" s="24" t="str">
        <x:v>旺弱只修正调用强度与承载；强不自动有效，弱也不自动无效。</x:v>
      </x:c>
      <x:c r="R422" s="24" t="str">
        <x:v>喜忌只修正摩擦、平衡与承载，不可直接翻译为好坏、成熟度或解决方案。</x:v>
      </x:c>
      <x:c r="S422" s="24" t="str">
        <x:v>原十神功能有效；真合化成立时按化神功能替换，合化争议时停止定性。</x:v>
      </x:c>
      <x:c r="T422" s="24" t="str">
        <x:v>近位提高直接相关性；远位仅保留背景、阶段或低置信修正。</x:v>
      </x:c>
      <x:c r="U422" s="24" t="str">
        <x:v>90</x:v>
      </x:c>
      <x:c r="V422" s="24" t="str">
        <x:v>按状态±2—8</x:v>
      </x:c>
      <x:c r="W422" s="24" t="str">
        <x:v>state_modifier</x:v>
      </x:c>
      <x:c r="X422" s="24" t="str">
        <x:v>保护资源较内隐，通常在熟悉、具体事件或需要时逐渐启动。</x:v>
      </x:c>
      <x:c r="Y422" s="24" t="str">
        <x:v>在“藏支且有根”状态下，保护资源较内隐，通常在熟悉、具体事件或需要时逐渐启动。</x:v>
      </x:c>
      <x:c r="Z422" s="24" t="str">
        <x:v>不得仅凭本规则断定问题已经解决、关系必然稳定、用户一定成熟、某十神天然是“药”、喜用神自动等于解决办法，或淡化暴力、强迫与现实伤害；现实行为、反例、安全事实和专业支持优先。</x:v>
      </x:c>
      <x:c r="AA422" s="24" t="str">
        <x:v>中高</x:v>
      </x:c>
      <x:c r="AB422" s="24" t="str">
        <x:v>待验证</x:v>
      </x:c>
      <x:c r="AC422" s="24" t="str"/>
      <x:c r="AD422" s="24" t="str">
        <x:v>provisional=true；保护因素的现实有效性必须由可观察行为、反馈和持续结果验证。</x:v>
      </x:c>
      <x:c r="AE422" s="24" t="str">
        <x:v>0.8</x:v>
      </x:c>
    </x:row>
    <x:row r="423" ht="52" customHeight="1">
      <x:c r="A423" s="24" t="str">
        <x:v>M4-BUFFER-422</x:v>
      </x:c>
      <x:c r="B423" s="24" t="str">
        <x:v>SM03 藏支且有根｜使用边界</x:v>
      </x:c>
      <x:c r="C423" s="24" t="str">
        <x:v>L9 状态与动态修正</x:v>
      </x:c>
      <x:c r="D423" s="24" t="str">
        <x:v>BUFFER-状态修正</x:v>
      </x:c>
      <x:c r="E423" s="24" t="str">
        <x:v>通用</x:v>
      </x:c>
      <x:c r="F423" s="24" t="str">
        <x:v>边界</x:v>
      </x:c>
      <x:c r="G423" s="24" t="str">
        <x:v>SM03 藏支且有根</x:v>
      </x:c>
      <x:c r="H423" s="24" t="str">
        <x:v>状态边界</x:v>
      </x:c>
      <x:c r="I423" s="24" t="str">
        <x:v>可作为条件性资源，不能因不外显就判定不存在。</x:v>
      </x:c>
      <x:c r="J423" s="24" t="str">
        <x:v>存在独立现实证据支持更强结论。</x:v>
      </x:c>
      <x:c r="K423" s="24" t="str">
        <x:v>由共享基础引擎提供；仅修正保护功能的承载、持续调用和压力状态下的稳定性，不直接等同成熟度、道德或现实行为。</x:v>
      </x:c>
      <x:c r="L423" s="24" t="str">
        <x:v>由M1／M2接口提供；夫妻星、心动原型和关系门槛只说明关系议题，不单独证明保护因素已经被调用或有效。</x:v>
      </x:c>
      <x:c r="M423" s="24" t="str">
        <x:v>由M3-BASE及M4各模块提供；日支、日柱近位可提高与亲密关系核心的相关性，但同一source_id不得重复计分。</x:v>
      </x:c>
      <x:c r="N423" s="24" t="str">
        <x:v>保护因素必须明确限制过用、补足缺位、恢复顺序、打开反馈、落实改变或完成修复回流；不能只凭五行相生补写现实效果。</x:v>
      </x:c>
      <x:c r="O423" s="24" t="str">
        <x:v>近位提高进入亲密关系核心的概率；远位只作背景、阶段或条件性修正。</x:v>
      </x:c>
      <x:c r="P423" s="24" t="str">
        <x:v>根气只修正该保护功能是否容易重复调用，不等于现实中已经形成稳定保护。</x:v>
      </x:c>
      <x:c r="Q423" s="24" t="str">
        <x:v>旺弱只修正调用强度与承载；强不自动有效，弱也不自动无效。</x:v>
      </x:c>
      <x:c r="R423" s="24" t="str">
        <x:v>喜忌只修正摩擦、平衡与承载，不可直接翻译为好坏、成熟度或解决方案。</x:v>
      </x:c>
      <x:c r="S423" s="24" t="str">
        <x:v>原十神功能有效；真合化成立时按化神功能替换，合化争议时停止定性。</x:v>
      </x:c>
      <x:c r="T423" s="24" t="str">
        <x:v>近位提高直接相关性；远位仅保留背景、阶段或低置信修正。</x:v>
      </x:c>
      <x:c r="U423" s="24" t="str">
        <x:v>97</x:v>
      </x:c>
      <x:c r="V423" s="24" t="str">
        <x:v>封顶／降级</x:v>
      </x:c>
      <x:c r="W423" s="24" t="str">
        <x:v>boundary_note</x:v>
      </x:c>
      <x:c r="X423" s="24" t="str">
        <x:v>可作为条件性资源，不能因不外显就判定不存在。</x:v>
      </x:c>
      <x:c r="Y423" s="24" t="str">
        <x:v>需要注意：可作为条件性资源，不能因不外显就判定不存在。</x:v>
      </x:c>
      <x:c r="Z423" s="24" t="str">
        <x:v>不得仅凭本规则断定问题已经解决、关系必然稳定、用户一定成熟、某十神天然是“药”、喜用神自动等于解决办法，或淡化暴力、强迫与现实伤害；现实行为、反例、安全事实和专业支持优先。</x:v>
      </x:c>
      <x:c r="AA423" s="24" t="str">
        <x:v>高</x:v>
      </x:c>
      <x:c r="AB423" s="24" t="str">
        <x:v>待验证</x:v>
      </x:c>
      <x:c r="AC423" s="24" t="str"/>
      <x:c r="AD423" s="24" t="str">
        <x:v>provisional=true；保护因素的现实有效性必须由可观察行为、反馈和持续结果验证。</x:v>
      </x:c>
      <x:c r="AE423" s="24" t="str">
        <x:v>0.8</x:v>
      </x:c>
    </x:row>
    <x:row r="424" ht="52" customHeight="1">
      <x:c r="A424" s="24" t="str">
        <x:v>M4-BUFFER-423</x:v>
      </x:c>
      <x:c r="B424" s="24" t="str">
        <x:v>SM04 藏而弱远｜保护修正</x:v>
      </x:c>
      <x:c r="C424" s="24" t="str">
        <x:v>L9 状态与动态修正</x:v>
      </x:c>
      <x:c r="D424" s="24" t="str">
        <x:v>BUFFER-状态修正</x:v>
      </x:c>
      <x:c r="E424" s="24" t="str">
        <x:v>通用</x:v>
      </x:c>
      <x:c r="F424" s="24" t="str">
        <x:v>状态修正</x:v>
      </x:c>
      <x:c r="G424" s="24" t="str">
        <x:v>SM04 藏而弱远</x:v>
      </x:c>
      <x:c r="H424" s="24" t="str">
        <x:v>保护调用修正</x:v>
      </x:c>
      <x:c r="I424" s="24" t="str">
        <x:v>共享基础引擎确认SM04状态，且保护靶点已经明确。</x:v>
      </x:c>
      <x:c r="J424" s="24" t="str">
        <x:v>基础状态未定、合化争议或与现实反例冲突。</x:v>
      </x:c>
      <x:c r="K424" s="24" t="str">
        <x:v>由共享基础引擎提供；仅修正保护功能的承载、持续调用和压力状态下的稳定性，不直接等同成熟度、道德或现实行为。</x:v>
      </x:c>
      <x:c r="L424" s="24" t="str">
        <x:v>由M1／M2接口提供；夫妻星、心动原型和关系门槛只说明关系议题，不单独证明保护因素已经被调用或有效。</x:v>
      </x:c>
      <x:c r="M424" s="24" t="str">
        <x:v>由M3-BASE及M4各模块提供；日支、日柱近位可提高与亲密关系核心的相关性，但同一source_id不得重复计分。</x:v>
      </x:c>
      <x:c r="N424" s="24" t="str">
        <x:v>保护因素必须明确限制过用、补足缺位、恢复顺序、打开反馈、落实改变或完成修复回流；不能只凭五行相生补写现实效果。</x:v>
      </x:c>
      <x:c r="O424" s="24" t="str">
        <x:v>近位提高进入亲密关系核心的概率；远位只作背景、阶段或条件性修正。</x:v>
      </x:c>
      <x:c r="P424" s="24" t="str">
        <x:v>根气只修正该保护功能是否容易重复调用，不等于现实中已经形成稳定保护。</x:v>
      </x:c>
      <x:c r="Q424" s="24" t="str">
        <x:v>旺弱只修正调用强度与承载；强不自动有效，弱也不自动无效。</x:v>
      </x:c>
      <x:c r="R424" s="24" t="str">
        <x:v>喜忌只修正摩擦、平衡与承载，不可直接翻译为好坏、成熟度或解决方案。</x:v>
      </x:c>
      <x:c r="S424" s="24" t="str">
        <x:v>原十神功能有效；真合化成立时按化神功能替换，合化争议时停止定性。</x:v>
      </x:c>
      <x:c r="T424" s="24" t="str">
        <x:v>近位提高直接相关性；远位仅保留背景、阶段或低置信修正。</x:v>
      </x:c>
      <x:c r="U424" s="24" t="str">
        <x:v>90</x:v>
      </x:c>
      <x:c r="V424" s="24" t="str">
        <x:v>按状态±2—8</x:v>
      </x:c>
      <x:c r="W424" s="24" t="str">
        <x:v>state_modifier</x:v>
      </x:c>
      <x:c r="X424" s="24" t="str">
        <x:v>资源存在但进入亲密关系核心的条件较多。</x:v>
      </x:c>
      <x:c r="Y424" s="24" t="str">
        <x:v>在“藏而弱远”状态下，资源存在但进入亲密关系核心的条件较多。</x:v>
      </x:c>
      <x:c r="Z424" s="24" t="str">
        <x:v>不得仅凭本规则断定问题已经解决、关系必然稳定、用户一定成熟、某十神天然是“药”、喜用神自动等于解决办法，或淡化暴力、强迫与现实伤害；现实行为、反例、安全事实和专业支持优先。</x:v>
      </x:c>
      <x:c r="AA424" s="24" t="str">
        <x:v>中高</x:v>
      </x:c>
      <x:c r="AB424" s="24" t="str">
        <x:v>待验证</x:v>
      </x:c>
      <x:c r="AC424" s="24" t="str"/>
      <x:c r="AD424" s="24" t="str">
        <x:v>provisional=true；保护因素的现实有效性必须由可观察行为、反馈和持续结果验证。</x:v>
      </x:c>
      <x:c r="AE424" s="24" t="str">
        <x:v>0.8</x:v>
      </x:c>
    </x:row>
    <x:row r="425" ht="52" customHeight="1">
      <x:c r="A425" s="24" t="str">
        <x:v>M4-BUFFER-424</x:v>
      </x:c>
      <x:c r="B425" s="24" t="str">
        <x:v>SM04 藏而弱远｜使用边界</x:v>
      </x:c>
      <x:c r="C425" s="24" t="str">
        <x:v>L9 状态与动态修正</x:v>
      </x:c>
      <x:c r="D425" s="24" t="str">
        <x:v>BUFFER-状态修正</x:v>
      </x:c>
      <x:c r="E425" s="24" t="str">
        <x:v>通用</x:v>
      </x:c>
      <x:c r="F425" s="24" t="str">
        <x:v>边界</x:v>
      </x:c>
      <x:c r="G425" s="24" t="str">
        <x:v>SM04 藏而弱远</x:v>
      </x:c>
      <x:c r="H425" s="24" t="str">
        <x:v>状态边界</x:v>
      </x:c>
      <x:c r="I425" s="24" t="str">
        <x:v>只保留潜在或背景资源，默认封顶BL1—BL2。</x:v>
      </x:c>
      <x:c r="J425" s="24" t="str">
        <x:v>存在独立现实证据支持更强结论。</x:v>
      </x:c>
      <x:c r="K425" s="24" t="str">
        <x:v>由共享基础引擎提供；仅修正保护功能的承载、持续调用和压力状态下的稳定性，不直接等同成熟度、道德或现实行为。</x:v>
      </x:c>
      <x:c r="L425" s="24" t="str">
        <x:v>由M1／M2接口提供；夫妻星、心动原型和关系门槛只说明关系议题，不单独证明保护因素已经被调用或有效。</x:v>
      </x:c>
      <x:c r="M425" s="24" t="str">
        <x:v>由M3-BASE及M4各模块提供；日支、日柱近位可提高与亲密关系核心的相关性，但同一source_id不得重复计分。</x:v>
      </x:c>
      <x:c r="N425" s="24" t="str">
        <x:v>保护因素必须明确限制过用、补足缺位、恢复顺序、打开反馈、落实改变或完成修复回流；不能只凭五行相生补写现实效果。</x:v>
      </x:c>
      <x:c r="O425" s="24" t="str">
        <x:v>近位提高进入亲密关系核心的概率；远位只作背景、阶段或条件性修正。</x:v>
      </x:c>
      <x:c r="P425" s="24" t="str">
        <x:v>根气只修正该保护功能是否容易重复调用，不等于现实中已经形成稳定保护。</x:v>
      </x:c>
      <x:c r="Q425" s="24" t="str">
        <x:v>旺弱只修正调用强度与承载；强不自动有效，弱也不自动无效。</x:v>
      </x:c>
      <x:c r="R425" s="24" t="str">
        <x:v>喜忌只修正摩擦、平衡与承载，不可直接翻译为好坏、成熟度或解决方案。</x:v>
      </x:c>
      <x:c r="S425" s="24" t="str">
        <x:v>原十神功能有效；真合化成立时按化神功能替换，合化争议时停止定性。</x:v>
      </x:c>
      <x:c r="T425" s="24" t="str">
        <x:v>近位提高直接相关性；远位仅保留背景、阶段或低置信修正。</x:v>
      </x:c>
      <x:c r="U425" s="24" t="str">
        <x:v>97</x:v>
      </x:c>
      <x:c r="V425" s="24" t="str">
        <x:v>封顶／降级</x:v>
      </x:c>
      <x:c r="W425" s="24" t="str">
        <x:v>boundary_note</x:v>
      </x:c>
      <x:c r="X425" s="24" t="str">
        <x:v>只保留潜在或背景资源，默认封顶BL1—BL2。</x:v>
      </x:c>
      <x:c r="Y425" s="24" t="str">
        <x:v>需要注意：只保留潜在或背景资源，默认封顶BL1—BL2。</x:v>
      </x:c>
      <x:c r="Z425" s="24" t="str">
        <x:v>不得仅凭本规则断定问题已经解决、关系必然稳定、用户一定成熟、某十神天然是“药”、喜用神自动等于解决办法，或淡化暴力、强迫与现实伤害；现实行为、反例、安全事实和专业支持优先。</x:v>
      </x:c>
      <x:c r="AA425" s="24" t="str">
        <x:v>高</x:v>
      </x:c>
      <x:c r="AB425" s="24" t="str">
        <x:v>待验证</x:v>
      </x:c>
      <x:c r="AC425" s="24" t="str"/>
      <x:c r="AD425" s="24" t="str">
        <x:v>provisional=true；保护因素的现实有效性必须由可观察行为、反馈和持续结果验证。</x:v>
      </x:c>
      <x:c r="AE425" s="24" t="str">
        <x:v>0.8</x:v>
      </x:c>
    </x:row>
    <x:row r="426" ht="52" customHeight="1">
      <x:c r="A426" s="24" t="str">
        <x:v>M4-BUFFER-425</x:v>
      </x:c>
      <x:c r="B426" s="24" t="str">
        <x:v>SM05 旺而平衡｜保护修正</x:v>
      </x:c>
      <x:c r="C426" s="24" t="str">
        <x:v>L9 状态与动态修正</x:v>
      </x:c>
      <x:c r="D426" s="24" t="str">
        <x:v>BUFFER-状态修正</x:v>
      </x:c>
      <x:c r="E426" s="24" t="str">
        <x:v>通用</x:v>
      </x:c>
      <x:c r="F426" s="24" t="str">
        <x:v>状态修正</x:v>
      </x:c>
      <x:c r="G426" s="24" t="str">
        <x:v>SM05 旺而平衡</x:v>
      </x:c>
      <x:c r="H426" s="24" t="str">
        <x:v>保护调用修正</x:v>
      </x:c>
      <x:c r="I426" s="24" t="str">
        <x:v>共享基础引擎确认SM05状态，且保护靶点已经明确。</x:v>
      </x:c>
      <x:c r="J426" s="24" t="str">
        <x:v>基础状态未定、合化争议或与现实反例冲突。</x:v>
      </x:c>
      <x:c r="K426" s="24" t="str">
        <x:v>由共享基础引擎提供；仅修正保护功能的承载、持续调用和压力状态下的稳定性，不直接等同成熟度、道德或现实行为。</x:v>
      </x:c>
      <x:c r="L426" s="24" t="str">
        <x:v>由M1／M2接口提供；夫妻星、心动原型和关系门槛只说明关系议题，不单独证明保护因素已经被调用或有效。</x:v>
      </x:c>
      <x:c r="M426" s="24" t="str">
        <x:v>由M3-BASE及M4各模块提供；日支、日柱近位可提高与亲密关系核心的相关性，但同一source_id不得重复计分。</x:v>
      </x:c>
      <x:c r="N426" s="24" t="str">
        <x:v>保护因素必须明确限制过用、补足缺位、恢复顺序、打开反馈、落实改变或完成修复回流；不能只凭五行相生补写现实效果。</x:v>
      </x:c>
      <x:c r="O426" s="24" t="str">
        <x:v>近位提高进入亲密关系核心的概率；远位只作背景、阶段或条件性修正。</x:v>
      </x:c>
      <x:c r="P426" s="24" t="str">
        <x:v>根气只修正该保护功能是否容易重复调用，不等于现实中已经形成稳定保护。</x:v>
      </x:c>
      <x:c r="Q426" s="24" t="str">
        <x:v>旺弱只修正调用强度与承载；强不自动有效，弱也不自动无效。</x:v>
      </x:c>
      <x:c r="R426" s="24" t="str">
        <x:v>喜忌只修正摩擦、平衡与承载，不可直接翻译为好坏、成熟度或解决方案。</x:v>
      </x:c>
      <x:c r="S426" s="24" t="str">
        <x:v>原十神功能有效；真合化成立时按化神功能替换，合化争议时停止定性。</x:v>
      </x:c>
      <x:c r="T426" s="24" t="str">
        <x:v>近位提高直接相关性；远位仅保留背景、阶段或低置信修正。</x:v>
      </x:c>
      <x:c r="U426" s="24" t="str">
        <x:v>90</x:v>
      </x:c>
      <x:c r="V426" s="24" t="str">
        <x:v>按状态±2—8</x:v>
      </x:c>
      <x:c r="W426" s="24" t="str">
        <x:v>state_modifier</x:v>
      </x:c>
      <x:c r="X426" s="24" t="str">
        <x:v>保护功能有较好承载和重复调用条件。</x:v>
      </x:c>
      <x:c r="Y426" s="24" t="str">
        <x:v>在“旺而平衡”状态下，保护功能有较好承载和重复调用条件。</x:v>
      </x:c>
      <x:c r="Z426" s="24" t="str">
        <x:v>不得仅凭本规则断定问题已经解决、关系必然稳定、用户一定成熟、某十神天然是“药”、喜用神自动等于解决办法，或淡化暴力、强迫与现实伤害；现实行为、反例、安全事实和专业支持优先。</x:v>
      </x:c>
      <x:c r="AA426" s="24" t="str">
        <x:v>中高</x:v>
      </x:c>
      <x:c r="AB426" s="24" t="str">
        <x:v>待验证</x:v>
      </x:c>
      <x:c r="AC426" s="24" t="str"/>
      <x:c r="AD426" s="24" t="str">
        <x:v>provisional=true；保护因素的现实有效性必须由可观察行为、反馈和持续结果验证。</x:v>
      </x:c>
      <x:c r="AE426" s="24" t="str">
        <x:v>0.8</x:v>
      </x:c>
    </x:row>
    <x:row r="427" ht="52" customHeight="1">
      <x:c r="A427" s="24" t="str">
        <x:v>M4-BUFFER-426</x:v>
      </x:c>
      <x:c r="B427" s="24" t="str">
        <x:v>SM05 旺而平衡｜使用边界</x:v>
      </x:c>
      <x:c r="C427" s="24" t="str">
        <x:v>L9 状态与动态修正</x:v>
      </x:c>
      <x:c r="D427" s="24" t="str">
        <x:v>BUFFER-状态修正</x:v>
      </x:c>
      <x:c r="E427" s="24" t="str">
        <x:v>通用</x:v>
      </x:c>
      <x:c r="F427" s="24" t="str">
        <x:v>边界</x:v>
      </x:c>
      <x:c r="G427" s="24" t="str">
        <x:v>SM05 旺而平衡</x:v>
      </x:c>
      <x:c r="H427" s="24" t="str">
        <x:v>状态边界</x:v>
      </x:c>
      <x:c r="I427" s="24" t="str">
        <x:v>提高可调用性，但强度不能替代功能匹配和现实效果。</x:v>
      </x:c>
      <x:c r="J427" s="24" t="str">
        <x:v>存在独立现实证据支持更强结论。</x:v>
      </x:c>
      <x:c r="K427" s="24" t="str">
        <x:v>由共享基础引擎提供；仅修正保护功能的承载、持续调用和压力状态下的稳定性，不直接等同成熟度、道德或现实行为。</x:v>
      </x:c>
      <x:c r="L427" s="24" t="str">
        <x:v>由M1／M2接口提供；夫妻星、心动原型和关系门槛只说明关系议题，不单独证明保护因素已经被调用或有效。</x:v>
      </x:c>
      <x:c r="M427" s="24" t="str">
        <x:v>由M3-BASE及M4各模块提供；日支、日柱近位可提高与亲密关系核心的相关性，但同一source_id不得重复计分。</x:v>
      </x:c>
      <x:c r="N427" s="24" t="str">
        <x:v>保护因素必须明确限制过用、补足缺位、恢复顺序、打开反馈、落实改变或完成修复回流；不能只凭五行相生补写现实效果。</x:v>
      </x:c>
      <x:c r="O427" s="24" t="str">
        <x:v>近位提高进入亲密关系核心的概率；远位只作背景、阶段或条件性修正。</x:v>
      </x:c>
      <x:c r="P427" s="24" t="str">
        <x:v>根气只修正该保护功能是否容易重复调用，不等于现实中已经形成稳定保护。</x:v>
      </x:c>
      <x:c r="Q427" s="24" t="str">
        <x:v>旺弱只修正调用强度与承载；强不自动有效，弱也不自动无效。</x:v>
      </x:c>
      <x:c r="R427" s="24" t="str">
        <x:v>喜忌只修正摩擦、平衡与承载，不可直接翻译为好坏、成熟度或解决方案。</x:v>
      </x:c>
      <x:c r="S427" s="24" t="str">
        <x:v>原十神功能有效；真合化成立时按化神功能替换，合化争议时停止定性。</x:v>
      </x:c>
      <x:c r="T427" s="24" t="str">
        <x:v>近位提高直接相关性；远位仅保留背景、阶段或低置信修正。</x:v>
      </x:c>
      <x:c r="U427" s="24" t="str">
        <x:v>97</x:v>
      </x:c>
      <x:c r="V427" s="24" t="str">
        <x:v>封顶／降级</x:v>
      </x:c>
      <x:c r="W427" s="24" t="str">
        <x:v>boundary_note</x:v>
      </x:c>
      <x:c r="X427" s="24" t="str">
        <x:v>提高可调用性，但强度不能替代功能匹配和现实效果。</x:v>
      </x:c>
      <x:c r="Y427" s="24" t="str">
        <x:v>需要注意：提高可调用性，但强度不能替代功能匹配和现实效果。</x:v>
      </x:c>
      <x:c r="Z427" s="24" t="str">
        <x:v>不得仅凭本规则断定问题已经解决、关系必然稳定、用户一定成熟、某十神天然是“药”、喜用神自动等于解决办法，或淡化暴力、强迫与现实伤害；现实行为、反例、安全事实和专业支持优先。</x:v>
      </x:c>
      <x:c r="AA427" s="24" t="str">
        <x:v>高</x:v>
      </x:c>
      <x:c r="AB427" s="24" t="str">
        <x:v>待验证</x:v>
      </x:c>
      <x:c r="AC427" s="24" t="str"/>
      <x:c r="AD427" s="24" t="str">
        <x:v>provisional=true；保护因素的现实有效性必须由可观察行为、反馈和持续结果验证。</x:v>
      </x:c>
      <x:c r="AE427" s="24" t="str">
        <x:v>0.8</x:v>
      </x:c>
    </x:row>
    <x:row r="428" ht="52" customHeight="1">
      <x:c r="A428" s="24" t="str">
        <x:v>M4-BUFFER-427</x:v>
      </x:c>
      <x:c r="B428" s="24" t="str">
        <x:v>SM06 旺而失衡｜保护修正</x:v>
      </x:c>
      <x:c r="C428" s="24" t="str">
        <x:v>L9 状态与动态修正</x:v>
      </x:c>
      <x:c r="D428" s="24" t="str">
        <x:v>BUFFER-状态修正</x:v>
      </x:c>
      <x:c r="E428" s="24" t="str">
        <x:v>通用</x:v>
      </x:c>
      <x:c r="F428" s="24" t="str">
        <x:v>状态修正</x:v>
      </x:c>
      <x:c r="G428" s="24" t="str">
        <x:v>SM06 旺而失衡</x:v>
      </x:c>
      <x:c r="H428" s="24" t="str">
        <x:v>保护调用修正</x:v>
      </x:c>
      <x:c r="I428" s="24" t="str">
        <x:v>共享基础引擎确认SM06状态，且保护靶点已经明确。</x:v>
      </x:c>
      <x:c r="J428" s="24" t="str">
        <x:v>基础状态未定、合化争议或与现实反例冲突。</x:v>
      </x:c>
      <x:c r="K428" s="24" t="str">
        <x:v>由共享基础引擎提供；仅修正保护功能的承载、持续调用和压力状态下的稳定性，不直接等同成熟度、道德或现实行为。</x:v>
      </x:c>
      <x:c r="L428" s="24" t="str">
        <x:v>由M1／M2接口提供；夫妻星、心动原型和关系门槛只说明关系议题，不单独证明保护因素已经被调用或有效。</x:v>
      </x:c>
      <x:c r="M428" s="24" t="str">
        <x:v>由M3-BASE及M4各模块提供；日支、日柱近位可提高与亲密关系核心的相关性，但同一source_id不得重复计分。</x:v>
      </x:c>
      <x:c r="N428" s="24" t="str">
        <x:v>保护因素必须明确限制过用、补足缺位、恢复顺序、打开反馈、落实改变或完成修复回流；不能只凭五行相生补写现实效果。</x:v>
      </x:c>
      <x:c r="O428" s="24" t="str">
        <x:v>近位提高进入亲密关系核心的概率；远位只作背景、阶段或条件性修正。</x:v>
      </x:c>
      <x:c r="P428" s="24" t="str">
        <x:v>根气只修正该保护功能是否容易重复调用，不等于现实中已经形成稳定保护。</x:v>
      </x:c>
      <x:c r="Q428" s="24" t="str">
        <x:v>旺弱只修正调用强度与承载；强不自动有效，弱也不自动无效。</x:v>
      </x:c>
      <x:c r="R428" s="24" t="str">
        <x:v>喜忌只修正摩擦、平衡与承载，不可直接翻译为好坏、成熟度或解决方案。</x:v>
      </x:c>
      <x:c r="S428" s="24" t="str">
        <x:v>原十神功能有效；真合化成立时按化神功能替换，合化争议时停止定性。</x:v>
      </x:c>
      <x:c r="T428" s="24" t="str">
        <x:v>近位提高直接相关性；远位仅保留背景、阶段或低置信修正。</x:v>
      </x:c>
      <x:c r="U428" s="24" t="str">
        <x:v>90</x:v>
      </x:c>
      <x:c r="V428" s="24" t="str">
        <x:v>按状态±2—8</x:v>
      </x:c>
      <x:c r="W428" s="24" t="str">
        <x:v>state_modifier</x:v>
      </x:c>
      <x:c r="X428" s="24" t="str">
        <x:v>保护功能可能抢先、过量或转成伪保护。</x:v>
      </x:c>
      <x:c r="Y428" s="24" t="str">
        <x:v>在“旺而失衡”状态下，保护功能可能抢先、过量或转成伪保护。</x:v>
      </x:c>
      <x:c r="Z428" s="24" t="str">
        <x:v>不得仅凭本规则断定问题已经解决、关系必然稳定、用户一定成熟、某十神天然是“药”、喜用神自动等于解决办法，或淡化暴力、强迫与现实伤害；现实行为、反例、安全事实和专业支持优先。</x:v>
      </x:c>
      <x:c r="AA428" s="24" t="str">
        <x:v>中高</x:v>
      </x:c>
      <x:c r="AB428" s="24" t="str">
        <x:v>待验证</x:v>
      </x:c>
      <x:c r="AC428" s="24" t="str"/>
      <x:c r="AD428" s="24" t="str">
        <x:v>provisional=true；保护因素的现实有效性必须由可观察行为、反馈和持续结果验证。</x:v>
      </x:c>
      <x:c r="AE428" s="24" t="str">
        <x:v>0.8</x:v>
      </x:c>
    </x:row>
    <x:row r="429" ht="52" customHeight="1">
      <x:c r="A429" s="24" t="str">
        <x:v>M4-BUFFER-428</x:v>
      </x:c>
      <x:c r="B429" s="24" t="str">
        <x:v>SM06 旺而失衡｜使用边界</x:v>
      </x:c>
      <x:c r="C429" s="24" t="str">
        <x:v>L9 状态与动态修正</x:v>
      </x:c>
      <x:c r="D429" s="24" t="str">
        <x:v>BUFFER-状态修正</x:v>
      </x:c>
      <x:c r="E429" s="24" t="str">
        <x:v>通用</x:v>
      </x:c>
      <x:c r="F429" s="24" t="str">
        <x:v>边界</x:v>
      </x:c>
      <x:c r="G429" s="24" t="str">
        <x:v>SM06 旺而失衡</x:v>
      </x:c>
      <x:c r="H429" s="24" t="str">
        <x:v>状态边界</x:v>
      </x:c>
      <x:c r="I429" s="24" t="str">
        <x:v>需要检查PB与K01，不直接增加保护分。</x:v>
      </x:c>
      <x:c r="J429" s="24" t="str">
        <x:v>存在独立现实证据支持更强结论。</x:v>
      </x:c>
      <x:c r="K429" s="24" t="str">
        <x:v>由共享基础引擎提供；仅修正保护功能的承载、持续调用和压力状态下的稳定性，不直接等同成熟度、道德或现实行为。</x:v>
      </x:c>
      <x:c r="L429" s="24" t="str">
        <x:v>由M1／M2接口提供；夫妻星、心动原型和关系门槛只说明关系议题，不单独证明保护因素已经被调用或有效。</x:v>
      </x:c>
      <x:c r="M429" s="24" t="str">
        <x:v>由M3-BASE及M4各模块提供；日支、日柱近位可提高与亲密关系核心的相关性，但同一source_id不得重复计分。</x:v>
      </x:c>
      <x:c r="N429" s="24" t="str">
        <x:v>保护因素必须明确限制过用、补足缺位、恢复顺序、打开反馈、落实改变或完成修复回流；不能只凭五行相生补写现实效果。</x:v>
      </x:c>
      <x:c r="O429" s="24" t="str">
        <x:v>近位提高进入亲密关系核心的概率；远位只作背景、阶段或条件性修正。</x:v>
      </x:c>
      <x:c r="P429" s="24" t="str">
        <x:v>根气只修正该保护功能是否容易重复调用，不等于现实中已经形成稳定保护。</x:v>
      </x:c>
      <x:c r="Q429" s="24" t="str">
        <x:v>旺弱只修正调用强度与承载；强不自动有效，弱也不自动无效。</x:v>
      </x:c>
      <x:c r="R429" s="24" t="str">
        <x:v>喜忌只修正摩擦、平衡与承载，不可直接翻译为好坏、成熟度或解决方案。</x:v>
      </x:c>
      <x:c r="S429" s="24" t="str">
        <x:v>原十神功能有效；真合化成立时按化神功能替换，合化争议时停止定性。</x:v>
      </x:c>
      <x:c r="T429" s="24" t="str">
        <x:v>近位提高直接相关性；远位仅保留背景、阶段或低置信修正。</x:v>
      </x:c>
      <x:c r="U429" s="24" t="str">
        <x:v>97</x:v>
      </x:c>
      <x:c r="V429" s="24" t="str">
        <x:v>封顶／降级</x:v>
      </x:c>
      <x:c r="W429" s="24" t="str">
        <x:v>boundary_note</x:v>
      </x:c>
      <x:c r="X429" s="24" t="str">
        <x:v>需要检查PB与K01，不直接增加保护分。</x:v>
      </x:c>
      <x:c r="Y429" s="24" t="str">
        <x:v>需要注意：需要检查PB与K01，不直接增加保护分。</x:v>
      </x:c>
      <x:c r="Z429" s="24" t="str">
        <x:v>不得仅凭本规则断定问题已经解决、关系必然稳定、用户一定成熟、某十神天然是“药”、喜用神自动等于解决办法，或淡化暴力、强迫与现实伤害；现实行为、反例、安全事实和专业支持优先。</x:v>
      </x:c>
      <x:c r="AA429" s="24" t="str">
        <x:v>高</x:v>
      </x:c>
      <x:c r="AB429" s="24" t="str">
        <x:v>待验证</x:v>
      </x:c>
      <x:c r="AC429" s="24" t="str"/>
      <x:c r="AD429" s="24" t="str">
        <x:v>provisional=true；保护因素的现实有效性必须由可观察行为、反馈和持续结果验证。</x:v>
      </x:c>
      <x:c r="AE429" s="24" t="str">
        <x:v>0.8</x:v>
      </x:c>
    </x:row>
    <x:row r="430" ht="52" customHeight="1">
      <x:c r="A430" s="24" t="str">
        <x:v>M4-BUFFER-429</x:v>
      </x:c>
      <x:c r="B430" s="24" t="str">
        <x:v>SM07 偏弱但有助｜保护修正</x:v>
      </x:c>
      <x:c r="C430" s="24" t="str">
        <x:v>L9 状态与动态修正</x:v>
      </x:c>
      <x:c r="D430" s="24" t="str">
        <x:v>BUFFER-状态修正</x:v>
      </x:c>
      <x:c r="E430" s="24" t="str">
        <x:v>通用</x:v>
      </x:c>
      <x:c r="F430" s="24" t="str">
        <x:v>状态修正</x:v>
      </x:c>
      <x:c r="G430" s="24" t="str">
        <x:v>SM07 偏弱但有助</x:v>
      </x:c>
      <x:c r="H430" s="24" t="str">
        <x:v>保护调用修正</x:v>
      </x:c>
      <x:c r="I430" s="24" t="str">
        <x:v>共享基础引擎确认SM07状态，且保护靶点已经明确。</x:v>
      </x:c>
      <x:c r="J430" s="24" t="str">
        <x:v>基础状态未定、合化争议或与现实反例冲突。</x:v>
      </x:c>
      <x:c r="K430" s="24" t="str">
        <x:v>由共享基础引擎提供；仅修正保护功能的承载、持续调用和压力状态下的稳定性，不直接等同成熟度、道德或现实行为。</x:v>
      </x:c>
      <x:c r="L430" s="24" t="str">
        <x:v>由M1／M2接口提供；夫妻星、心动原型和关系门槛只说明关系议题，不单独证明保护因素已经被调用或有效。</x:v>
      </x:c>
      <x:c r="M430" s="24" t="str">
        <x:v>由M3-BASE及M4各模块提供；日支、日柱近位可提高与亲密关系核心的相关性，但同一source_id不得重复计分。</x:v>
      </x:c>
      <x:c r="N430" s="24" t="str">
        <x:v>保护因素必须明确限制过用、补足缺位、恢复顺序、打开反馈、落实改变或完成修复回流；不能只凭五行相生补写现实效果。</x:v>
      </x:c>
      <x:c r="O430" s="24" t="str">
        <x:v>近位提高进入亲密关系核心的概率；远位只作背景、阶段或条件性修正。</x:v>
      </x:c>
      <x:c r="P430" s="24" t="str">
        <x:v>根气只修正该保护功能是否容易重复调用，不等于现实中已经形成稳定保护。</x:v>
      </x:c>
      <x:c r="Q430" s="24" t="str">
        <x:v>旺弱只修正调用强度与承载；强不自动有效，弱也不自动无效。</x:v>
      </x:c>
      <x:c r="R430" s="24" t="str">
        <x:v>喜忌只修正摩擦、平衡与承载，不可直接翻译为好坏、成熟度或解决方案。</x:v>
      </x:c>
      <x:c r="S430" s="24" t="str">
        <x:v>原十神功能有效；真合化成立时按化神功能替换，合化争议时停止定性。</x:v>
      </x:c>
      <x:c r="T430" s="24" t="str">
        <x:v>近位提高直接相关性；远位仅保留背景、阶段或低置信修正。</x:v>
      </x:c>
      <x:c r="U430" s="24" t="str">
        <x:v>90</x:v>
      </x:c>
      <x:c r="V430" s="24" t="str">
        <x:v>按状态±2—8</x:v>
      </x:c>
      <x:c r="W430" s="24" t="str">
        <x:v>state_modifier</x:v>
      </x:c>
      <x:c r="X430" s="24" t="str">
        <x:v>功能自身不强，但在特定关系任务中有支持和通关。</x:v>
      </x:c>
      <x:c r="Y430" s="24" t="str">
        <x:v>在“偏弱但有助”状态下，功能自身不强，但在特定关系任务中有支持和通关。</x:v>
      </x:c>
      <x:c r="Z430" s="24" t="str">
        <x:v>不得仅凭本规则断定问题已经解决、关系必然稳定、用户一定成熟、某十神天然是“药”、喜用神自动等于解决办法，或淡化暴力、强迫与现实伤害；现实行为、反例、安全事实和专业支持优先。</x:v>
      </x:c>
      <x:c r="AA430" s="24" t="str">
        <x:v>中高</x:v>
      </x:c>
      <x:c r="AB430" s="24" t="str">
        <x:v>待验证</x:v>
      </x:c>
      <x:c r="AC430" s="24" t="str"/>
      <x:c r="AD430" s="24" t="str">
        <x:v>provisional=true；保护因素的现实有效性必须由可观察行为、反馈和持续结果验证。</x:v>
      </x:c>
      <x:c r="AE430" s="24" t="str">
        <x:v>0.8</x:v>
      </x:c>
    </x:row>
    <x:row r="431" ht="52" customHeight="1">
      <x:c r="A431" s="24" t="str">
        <x:v>M4-BUFFER-430</x:v>
      </x:c>
      <x:c r="B431" s="24" t="str">
        <x:v>SM07 偏弱但有助｜使用边界</x:v>
      </x:c>
      <x:c r="C431" s="24" t="str">
        <x:v>L9 状态与动态修正</x:v>
      </x:c>
      <x:c r="D431" s="24" t="str">
        <x:v>BUFFER-状态修正</x:v>
      </x:c>
      <x:c r="E431" s="24" t="str">
        <x:v>通用</x:v>
      </x:c>
      <x:c r="F431" s="24" t="str">
        <x:v>边界</x:v>
      </x:c>
      <x:c r="G431" s="24" t="str">
        <x:v>SM07 偏弱但有助</x:v>
      </x:c>
      <x:c r="H431" s="24" t="str">
        <x:v>状态边界</x:v>
      </x:c>
      <x:c r="I431" s="24" t="str">
        <x:v>可形成条件性保护，说明触发条件。</x:v>
      </x:c>
      <x:c r="J431" s="24" t="str">
        <x:v>存在独立现实证据支持更强结论。</x:v>
      </x:c>
      <x:c r="K431" s="24" t="str">
        <x:v>由共享基础引擎提供；仅修正保护功能的承载、持续调用和压力状态下的稳定性，不直接等同成熟度、道德或现实行为。</x:v>
      </x:c>
      <x:c r="L431" s="24" t="str">
        <x:v>由M1／M2接口提供；夫妻星、心动原型和关系门槛只说明关系议题，不单独证明保护因素已经被调用或有效。</x:v>
      </x:c>
      <x:c r="M431" s="24" t="str">
        <x:v>由M3-BASE及M4各模块提供；日支、日柱近位可提高与亲密关系核心的相关性，但同一source_id不得重复计分。</x:v>
      </x:c>
      <x:c r="N431" s="24" t="str">
        <x:v>保护因素必须明确限制过用、补足缺位、恢复顺序、打开反馈、落实改变或完成修复回流；不能只凭五行相生补写现实效果。</x:v>
      </x:c>
      <x:c r="O431" s="24" t="str">
        <x:v>近位提高进入亲密关系核心的概率；远位只作背景、阶段或条件性修正。</x:v>
      </x:c>
      <x:c r="P431" s="24" t="str">
        <x:v>根气只修正该保护功能是否容易重复调用，不等于现实中已经形成稳定保护。</x:v>
      </x:c>
      <x:c r="Q431" s="24" t="str">
        <x:v>旺弱只修正调用强度与承载；强不自动有效，弱也不自动无效。</x:v>
      </x:c>
      <x:c r="R431" s="24" t="str">
        <x:v>喜忌只修正摩擦、平衡与承载，不可直接翻译为好坏、成熟度或解决方案。</x:v>
      </x:c>
      <x:c r="S431" s="24" t="str">
        <x:v>原十神功能有效；真合化成立时按化神功能替换，合化争议时停止定性。</x:v>
      </x:c>
      <x:c r="T431" s="24" t="str">
        <x:v>近位提高直接相关性；远位仅保留背景、阶段或低置信修正。</x:v>
      </x:c>
      <x:c r="U431" s="24" t="str">
        <x:v>97</x:v>
      </x:c>
      <x:c r="V431" s="24" t="str">
        <x:v>封顶／降级</x:v>
      </x:c>
      <x:c r="W431" s="24" t="str">
        <x:v>boundary_note</x:v>
      </x:c>
      <x:c r="X431" s="24" t="str">
        <x:v>可形成条件性保护，说明触发条件。</x:v>
      </x:c>
      <x:c r="Y431" s="24" t="str">
        <x:v>需要注意：可形成条件性保护，说明触发条件。</x:v>
      </x:c>
      <x:c r="Z431" s="24" t="str">
        <x:v>不得仅凭本规则断定问题已经解决、关系必然稳定、用户一定成熟、某十神天然是“药”、喜用神自动等于解决办法，或淡化暴力、强迫与现实伤害；现实行为、反例、安全事实和专业支持优先。</x:v>
      </x:c>
      <x:c r="AA431" s="24" t="str">
        <x:v>高</x:v>
      </x:c>
      <x:c r="AB431" s="24" t="str">
        <x:v>待验证</x:v>
      </x:c>
      <x:c r="AC431" s="24" t="str"/>
      <x:c r="AD431" s="24" t="str">
        <x:v>provisional=true；保护因素的现实有效性必须由可观察行为、反馈和持续结果验证。</x:v>
      </x:c>
      <x:c r="AE431" s="24" t="str">
        <x:v>0.8</x:v>
      </x:c>
    </x:row>
    <x:row r="432" ht="52" customHeight="1">
      <x:c r="A432" s="24" t="str">
        <x:v>M4-BUFFER-431</x:v>
      </x:c>
      <x:c r="B432" s="24" t="str">
        <x:v>SM08 偏弱且无助｜保护修正</x:v>
      </x:c>
      <x:c r="C432" s="24" t="str">
        <x:v>L9 状态与动态修正</x:v>
      </x:c>
      <x:c r="D432" s="24" t="str">
        <x:v>BUFFER-状态修正</x:v>
      </x:c>
      <x:c r="E432" s="24" t="str">
        <x:v>通用</x:v>
      </x:c>
      <x:c r="F432" s="24" t="str">
        <x:v>状态修正</x:v>
      </x:c>
      <x:c r="G432" s="24" t="str">
        <x:v>SM08 偏弱且无助</x:v>
      </x:c>
      <x:c r="H432" s="24" t="str">
        <x:v>保护调用修正</x:v>
      </x:c>
      <x:c r="I432" s="24" t="str">
        <x:v>共享基础引擎确认SM08状态，且保护靶点已经明确。</x:v>
      </x:c>
      <x:c r="J432" s="24" t="str">
        <x:v>基础状态未定、合化争议或与现实反例冲突。</x:v>
      </x:c>
      <x:c r="K432" s="24" t="str">
        <x:v>由共享基础引擎提供；仅修正保护功能的承载、持续调用和压力状态下的稳定性，不直接等同成熟度、道德或现实行为。</x:v>
      </x:c>
      <x:c r="L432" s="24" t="str">
        <x:v>由M1／M2接口提供；夫妻星、心动原型和关系门槛只说明关系议题，不单独证明保护因素已经被调用或有效。</x:v>
      </x:c>
      <x:c r="M432" s="24" t="str">
        <x:v>由M3-BASE及M4各模块提供；日支、日柱近位可提高与亲密关系核心的相关性，但同一source_id不得重复计分。</x:v>
      </x:c>
      <x:c r="N432" s="24" t="str">
        <x:v>保护因素必须明确限制过用、补足缺位、恢复顺序、打开反馈、落实改变或完成修复回流；不能只凭五行相生补写现实效果。</x:v>
      </x:c>
      <x:c r="O432" s="24" t="str">
        <x:v>近位提高进入亲密关系核心的概率；远位只作背景、阶段或条件性修正。</x:v>
      </x:c>
      <x:c r="P432" s="24" t="str">
        <x:v>根气只修正该保护功能是否容易重复调用，不等于现实中已经形成稳定保护。</x:v>
      </x:c>
      <x:c r="Q432" s="24" t="str">
        <x:v>旺弱只修正调用强度与承载；强不自动有效，弱也不自动无效。</x:v>
      </x:c>
      <x:c r="R432" s="24" t="str">
        <x:v>喜忌只修正摩擦、平衡与承载，不可直接翻译为好坏、成熟度或解决方案。</x:v>
      </x:c>
      <x:c r="S432" s="24" t="str">
        <x:v>原十神功能有效；真合化成立时按化神功能替换，合化争议时停止定性。</x:v>
      </x:c>
      <x:c r="T432" s="24" t="str">
        <x:v>近位提高直接相关性；远位仅保留背景、阶段或低置信修正。</x:v>
      </x:c>
      <x:c r="U432" s="24" t="str">
        <x:v>90</x:v>
      </x:c>
      <x:c r="V432" s="24" t="str">
        <x:v>按状态±2—8</x:v>
      </x:c>
      <x:c r="W432" s="24" t="str">
        <x:v>state_modifier</x:v>
      </x:c>
      <x:c r="X432" s="24" t="str">
        <x:v>功能进入较难、持续性不足或容易被其他通道替代。</x:v>
      </x:c>
      <x:c r="Y432" s="24" t="str">
        <x:v>在“偏弱且无助”状态下，功能进入较难、持续性不足或容易被其他通道替代。</x:v>
      </x:c>
      <x:c r="Z432" s="24" t="str">
        <x:v>不得仅凭本规则断定问题已经解决、关系必然稳定、用户一定成熟、某十神天然是“药”、喜用神自动等于解决办法，或淡化暴力、强迫与现实伤害；现实行为、反例、安全事实和专业支持优先。</x:v>
      </x:c>
      <x:c r="AA432" s="24" t="str">
        <x:v>中高</x:v>
      </x:c>
      <x:c r="AB432" s="24" t="str">
        <x:v>待验证</x:v>
      </x:c>
      <x:c r="AC432" s="24" t="str"/>
      <x:c r="AD432" s="24" t="str">
        <x:v>provisional=true；保护因素的现实有效性必须由可观察行为、反馈和持续结果验证。</x:v>
      </x:c>
      <x:c r="AE432" s="24" t="str">
        <x:v>0.8</x:v>
      </x:c>
    </x:row>
    <x:row r="433" ht="52" customHeight="1">
      <x:c r="A433" s="24" t="str">
        <x:v>M4-BUFFER-432</x:v>
      </x:c>
      <x:c r="B433" s="24" t="str">
        <x:v>SM08 偏弱且无助｜使用边界</x:v>
      </x:c>
      <x:c r="C433" s="24" t="str">
        <x:v>L9 状态与动态修正</x:v>
      </x:c>
      <x:c r="D433" s="24" t="str">
        <x:v>BUFFER-状态修正</x:v>
      </x:c>
      <x:c r="E433" s="24" t="str">
        <x:v>通用</x:v>
      </x:c>
      <x:c r="F433" s="24" t="str">
        <x:v>边界</x:v>
      </x:c>
      <x:c r="G433" s="24" t="str">
        <x:v>SM08 偏弱且无助</x:v>
      </x:c>
      <x:c r="H433" s="24" t="str">
        <x:v>状态边界</x:v>
      </x:c>
      <x:c r="I433" s="24" t="str">
        <x:v>不得作为主保护，除非现实中已有清楚启动证据。</x:v>
      </x:c>
      <x:c r="J433" s="24" t="str">
        <x:v>存在独立现实证据支持更强结论。</x:v>
      </x:c>
      <x:c r="K433" s="24" t="str">
        <x:v>由共享基础引擎提供；仅修正保护功能的承载、持续调用和压力状态下的稳定性，不直接等同成熟度、道德或现实行为。</x:v>
      </x:c>
      <x:c r="L433" s="24" t="str">
        <x:v>由M1／M2接口提供；夫妻星、心动原型和关系门槛只说明关系议题，不单独证明保护因素已经被调用或有效。</x:v>
      </x:c>
      <x:c r="M433" s="24" t="str">
        <x:v>由M3-BASE及M4各模块提供；日支、日柱近位可提高与亲密关系核心的相关性，但同一source_id不得重复计分。</x:v>
      </x:c>
      <x:c r="N433" s="24" t="str">
        <x:v>保护因素必须明确限制过用、补足缺位、恢复顺序、打开反馈、落实改变或完成修复回流；不能只凭五行相生补写现实效果。</x:v>
      </x:c>
      <x:c r="O433" s="24" t="str">
        <x:v>近位提高进入亲密关系核心的概率；远位只作背景、阶段或条件性修正。</x:v>
      </x:c>
      <x:c r="P433" s="24" t="str">
        <x:v>根气只修正该保护功能是否容易重复调用，不等于现实中已经形成稳定保护。</x:v>
      </x:c>
      <x:c r="Q433" s="24" t="str">
        <x:v>旺弱只修正调用强度与承载；强不自动有效，弱也不自动无效。</x:v>
      </x:c>
      <x:c r="R433" s="24" t="str">
        <x:v>喜忌只修正摩擦、平衡与承载，不可直接翻译为好坏、成熟度或解决方案。</x:v>
      </x:c>
      <x:c r="S433" s="24" t="str">
        <x:v>原十神功能有效；真合化成立时按化神功能替换，合化争议时停止定性。</x:v>
      </x:c>
      <x:c r="T433" s="24" t="str">
        <x:v>近位提高直接相关性；远位仅保留背景、阶段或低置信修正。</x:v>
      </x:c>
      <x:c r="U433" s="24" t="str">
        <x:v>97</x:v>
      </x:c>
      <x:c r="V433" s="24" t="str">
        <x:v>封顶／降级</x:v>
      </x:c>
      <x:c r="W433" s="24" t="str">
        <x:v>boundary_note</x:v>
      </x:c>
      <x:c r="X433" s="24" t="str">
        <x:v>不得作为主保护，除非现实中已有清楚启动证据。</x:v>
      </x:c>
      <x:c r="Y433" s="24" t="str">
        <x:v>需要注意：不得作为主保护，除非现实中已有清楚启动证据。</x:v>
      </x:c>
      <x:c r="Z433" s="24" t="str">
        <x:v>不得仅凭本规则断定问题已经解决、关系必然稳定、用户一定成熟、某十神天然是“药”、喜用神自动等于解决办法，或淡化暴力、强迫与现实伤害；现实行为、反例、安全事实和专业支持优先。</x:v>
      </x:c>
      <x:c r="AA433" s="24" t="str">
        <x:v>高</x:v>
      </x:c>
      <x:c r="AB433" s="24" t="str">
        <x:v>待验证</x:v>
      </x:c>
      <x:c r="AC433" s="24" t="str"/>
      <x:c r="AD433" s="24" t="str">
        <x:v>provisional=true；保护因素的现实有效性必须由可观察行为、反馈和持续结果验证。</x:v>
      </x:c>
      <x:c r="AE433" s="24" t="str">
        <x:v>0.8</x:v>
      </x:c>
    </x:row>
    <x:row r="434" ht="52" customHeight="1">
      <x:c r="A434" s="24" t="str">
        <x:v>M4-BUFFER-433</x:v>
      </x:c>
      <x:c r="B434" s="24" t="str">
        <x:v>SM09 有制有化／有通关｜保护修正</x:v>
      </x:c>
      <x:c r="C434" s="24" t="str">
        <x:v>L9 状态与动态修正</x:v>
      </x:c>
      <x:c r="D434" s="24" t="str">
        <x:v>BUFFER-状态修正</x:v>
      </x:c>
      <x:c r="E434" s="24" t="str">
        <x:v>通用</x:v>
      </x:c>
      <x:c r="F434" s="24" t="str">
        <x:v>状态修正</x:v>
      </x:c>
      <x:c r="G434" s="24" t="str">
        <x:v>SM09 有制有化／有通关</x:v>
      </x:c>
      <x:c r="H434" s="24" t="str">
        <x:v>保护调用修正</x:v>
      </x:c>
      <x:c r="I434" s="24" t="str">
        <x:v>共享基础引擎确认SM09状态，且保护靶点已经明确。</x:v>
      </x:c>
      <x:c r="J434" s="24" t="str">
        <x:v>基础状态未定、合化争议或与现实反例冲突。</x:v>
      </x:c>
      <x:c r="K434" s="24" t="str">
        <x:v>由共享基础引擎提供；仅修正保护功能的承载、持续调用和压力状态下的稳定性，不直接等同成熟度、道德或现实行为。</x:v>
      </x:c>
      <x:c r="L434" s="24" t="str">
        <x:v>由M1／M2接口提供；夫妻星、心动原型和关系门槛只说明关系议题，不单独证明保护因素已经被调用或有效。</x:v>
      </x:c>
      <x:c r="M434" s="24" t="str">
        <x:v>由M3-BASE及M4各模块提供；日支、日柱近位可提高与亲密关系核心的相关性，但同一source_id不得重复计分。</x:v>
      </x:c>
      <x:c r="N434" s="24" t="str">
        <x:v>保护因素必须明确限制过用、补足缺位、恢复顺序、打开反馈、落实改变或完成修复回流；不能只凭五行相生补写现实效果。</x:v>
      </x:c>
      <x:c r="O434" s="24" t="str">
        <x:v>近位提高进入亲密关系核心的概率；远位只作背景、阶段或条件性修正。</x:v>
      </x:c>
      <x:c r="P434" s="24" t="str">
        <x:v>根气只修正该保护功能是否容易重复调用，不等于现实中已经形成稳定保护。</x:v>
      </x:c>
      <x:c r="Q434" s="24" t="str">
        <x:v>旺弱只修正调用强度与承载；强不自动有效，弱也不自动无效。</x:v>
      </x:c>
      <x:c r="R434" s="24" t="str">
        <x:v>喜忌只修正摩擦、平衡与承载，不可直接翻译为好坏、成熟度或解决方案。</x:v>
      </x:c>
      <x:c r="S434" s="24" t="str">
        <x:v>原十神功能有效；真合化成立时按化神功能替换，合化争议时停止定性。</x:v>
      </x:c>
      <x:c r="T434" s="24" t="str">
        <x:v>近位提高直接相关性；远位仅保留背景、阶段或低置信修正。</x:v>
      </x:c>
      <x:c r="U434" s="24" t="str">
        <x:v>90</x:v>
      </x:c>
      <x:c r="V434" s="24" t="str">
        <x:v>按状态±2—8</x:v>
      </x:c>
      <x:c r="W434" s="24" t="str">
        <x:v>state_modifier</x:v>
      </x:c>
      <x:c r="X434" s="24" t="str">
        <x:v>存在独立、强度适配、路径明确的调节或转换功能。</x:v>
      </x:c>
      <x:c r="Y434" s="24" t="str">
        <x:v>在“有制有化／有通关”状态下，存在独立、强度适配、路径明确的调节或转换功能。</x:v>
      </x:c>
      <x:c r="Z434" s="24" t="str">
        <x:v>不得仅凭本规则断定问题已经解决、关系必然稳定、用户一定成熟、某十神天然是“药”、喜用神自动等于解决办法，或淡化暴力、强迫与现实伤害；现实行为、反例、安全事实和专业支持优先。</x:v>
      </x:c>
      <x:c r="AA434" s="24" t="str">
        <x:v>中高</x:v>
      </x:c>
      <x:c r="AB434" s="24" t="str">
        <x:v>待验证</x:v>
      </x:c>
      <x:c r="AC434" s="24" t="str"/>
      <x:c r="AD434" s="24" t="str">
        <x:v>provisional=true；保护因素的现实有效性必须由可观察行为、反馈和持续结果验证。</x:v>
      </x:c>
      <x:c r="AE434" s="24" t="str">
        <x:v>0.8</x:v>
      </x:c>
    </x:row>
    <x:row r="435" ht="52" customHeight="1">
      <x:c r="A435" s="24" t="str">
        <x:v>M4-BUFFER-434</x:v>
      </x:c>
      <x:c r="B435" s="24" t="str">
        <x:v>SM09 有制有化／有通关｜使用边界</x:v>
      </x:c>
      <x:c r="C435" s="24" t="str">
        <x:v>L9 状态与动态修正</x:v>
      </x:c>
      <x:c r="D435" s="24" t="str">
        <x:v>BUFFER-状态修正</x:v>
      </x:c>
      <x:c r="E435" s="24" t="str">
        <x:v>通用</x:v>
      </x:c>
      <x:c r="F435" s="24" t="str">
        <x:v>边界</x:v>
      </x:c>
      <x:c r="G435" s="24" t="str">
        <x:v>SM09 有制有化／有通关</x:v>
      </x:c>
      <x:c r="H435" s="24" t="str">
        <x:v>状态边界</x:v>
      </x:c>
      <x:c r="I435" s="24" t="str">
        <x:v>需确认靶点匹配与现实调用，不能自动清零风险。</x:v>
      </x:c>
      <x:c r="J435" s="24" t="str">
        <x:v>存在独立现实证据支持更强结论。</x:v>
      </x:c>
      <x:c r="K435" s="24" t="str">
        <x:v>由共享基础引擎提供；仅修正保护功能的承载、持续调用和压力状态下的稳定性，不直接等同成熟度、道德或现实行为。</x:v>
      </x:c>
      <x:c r="L435" s="24" t="str">
        <x:v>由M1／M2接口提供；夫妻星、心动原型和关系门槛只说明关系议题，不单独证明保护因素已经被调用或有效。</x:v>
      </x:c>
      <x:c r="M435" s="24" t="str">
        <x:v>由M3-BASE及M4各模块提供；日支、日柱近位可提高与亲密关系核心的相关性，但同一source_id不得重复计分。</x:v>
      </x:c>
      <x:c r="N435" s="24" t="str">
        <x:v>保护因素必须明确限制过用、补足缺位、恢复顺序、打开反馈、落实改变或完成修复回流；不能只凭五行相生补写现实效果。</x:v>
      </x:c>
      <x:c r="O435" s="24" t="str">
        <x:v>近位提高进入亲密关系核心的概率；远位只作背景、阶段或条件性修正。</x:v>
      </x:c>
      <x:c r="P435" s="24" t="str">
        <x:v>根气只修正该保护功能是否容易重复调用，不等于现实中已经形成稳定保护。</x:v>
      </x:c>
      <x:c r="Q435" s="24" t="str">
        <x:v>旺弱只修正调用强度与承载；强不自动有效，弱也不自动无效。</x:v>
      </x:c>
      <x:c r="R435" s="24" t="str">
        <x:v>喜忌只修正摩擦、平衡与承载，不可直接翻译为好坏、成熟度或解决方案。</x:v>
      </x:c>
      <x:c r="S435" s="24" t="str">
        <x:v>原十神功能有效；真合化成立时按化神功能替换，合化争议时停止定性。</x:v>
      </x:c>
      <x:c r="T435" s="24" t="str">
        <x:v>近位提高直接相关性；远位仅保留背景、阶段或低置信修正。</x:v>
      </x:c>
      <x:c r="U435" s="24" t="str">
        <x:v>97</x:v>
      </x:c>
      <x:c r="V435" s="24" t="str">
        <x:v>封顶／降级</x:v>
      </x:c>
      <x:c r="W435" s="24" t="str">
        <x:v>boundary_note</x:v>
      </x:c>
      <x:c r="X435" s="24" t="str">
        <x:v>需确认靶点匹配与现实调用，不能自动清零风险。</x:v>
      </x:c>
      <x:c r="Y435" s="24" t="str">
        <x:v>需要注意：需确认靶点匹配与现实调用，不能自动清零风险。</x:v>
      </x:c>
      <x:c r="Z435" s="24" t="str">
        <x:v>不得仅凭本规则断定问题已经解决、关系必然稳定、用户一定成熟、某十神天然是“药”、喜用神自动等于解决办法，或淡化暴力、强迫与现实伤害；现实行为、反例、安全事实和专业支持优先。</x:v>
      </x:c>
      <x:c r="AA435" s="24" t="str">
        <x:v>高</x:v>
      </x:c>
      <x:c r="AB435" s="24" t="str">
        <x:v>待验证</x:v>
      </x:c>
      <x:c r="AC435" s="24" t="str"/>
      <x:c r="AD435" s="24" t="str">
        <x:v>provisional=true；保护因素的现实有效性必须由可观察行为、反馈和持续结果验证。</x:v>
      </x:c>
      <x:c r="AE435" s="24" t="str">
        <x:v>0.8</x:v>
      </x:c>
    </x:row>
    <x:row r="436" ht="52" customHeight="1">
      <x:c r="A436" s="24" t="str">
        <x:v>M4-BUFFER-435</x:v>
      </x:c>
      <x:c r="B436" s="24" t="str">
        <x:v>SM10 强而无制｜保护修正</x:v>
      </x:c>
      <x:c r="C436" s="24" t="str">
        <x:v>L9 状态与动态修正</x:v>
      </x:c>
      <x:c r="D436" s="24" t="str">
        <x:v>BUFFER-状态修正</x:v>
      </x:c>
      <x:c r="E436" s="24" t="str">
        <x:v>通用</x:v>
      </x:c>
      <x:c r="F436" s="24" t="str">
        <x:v>状态修正</x:v>
      </x:c>
      <x:c r="G436" s="24" t="str">
        <x:v>SM10 强而无制</x:v>
      </x:c>
      <x:c r="H436" s="24" t="str">
        <x:v>保护调用修正</x:v>
      </x:c>
      <x:c r="I436" s="24" t="str">
        <x:v>共享基础引擎确认SM10状态，且保护靶点已经明确。</x:v>
      </x:c>
      <x:c r="J436" s="24" t="str">
        <x:v>基础状态未定、合化争议或与现实反例冲突。</x:v>
      </x:c>
      <x:c r="K436" s="24" t="str">
        <x:v>由共享基础引擎提供；仅修正保护功能的承载、持续调用和压力状态下的稳定性，不直接等同成熟度、道德或现实行为。</x:v>
      </x:c>
      <x:c r="L436" s="24" t="str">
        <x:v>由M1／M2接口提供；夫妻星、心动原型和关系门槛只说明关系议题，不单独证明保护因素已经被调用或有效。</x:v>
      </x:c>
      <x:c r="M436" s="24" t="str">
        <x:v>由M3-BASE及M4各模块提供；日支、日柱近位可提高与亲密关系核心的相关性，但同一source_id不得重复计分。</x:v>
      </x:c>
      <x:c r="N436" s="24" t="str">
        <x:v>保护因素必须明确限制过用、补足缺位、恢复顺序、打开反馈、落实改变或完成修复回流；不能只凭五行相生补写现实效果。</x:v>
      </x:c>
      <x:c r="O436" s="24" t="str">
        <x:v>近位提高进入亲密关系核心的概率；远位只作背景、阶段或条件性修正。</x:v>
      </x:c>
      <x:c r="P436" s="24" t="str">
        <x:v>根气只修正该保护功能是否容易重复调用，不等于现实中已经形成稳定保护。</x:v>
      </x:c>
      <x:c r="Q436" s="24" t="str">
        <x:v>旺弱只修正调用强度与承载；强不自动有效，弱也不自动无效。</x:v>
      </x:c>
      <x:c r="R436" s="24" t="str">
        <x:v>喜忌只修正摩擦、平衡与承载，不可直接翻译为好坏、成熟度或解决方案。</x:v>
      </x:c>
      <x:c r="S436" s="24" t="str">
        <x:v>原十神功能有效；真合化成立时按化神功能替换，合化争议时停止定性。</x:v>
      </x:c>
      <x:c r="T436" s="24" t="str">
        <x:v>近位提高直接相关性；远位仅保留背景、阶段或低置信修正。</x:v>
      </x:c>
      <x:c r="U436" s="24" t="str">
        <x:v>90</x:v>
      </x:c>
      <x:c r="V436" s="24" t="str">
        <x:v>按状态±2—8</x:v>
      </x:c>
      <x:c r="W436" s="24" t="str">
        <x:v>state_modifier</x:v>
      </x:c>
      <x:c r="X436" s="24" t="str">
        <x:v>某功能压力下容易占位，保护功能可能无法及时进入。</x:v>
      </x:c>
      <x:c r="Y436" s="24" t="str">
        <x:v>在“强而无制”状态下，某功能压力下容易占位，保护功能可能无法及时进入。</x:v>
      </x:c>
      <x:c r="Z436" s="24" t="str">
        <x:v>不得仅凭本规则断定问题已经解决、关系必然稳定、用户一定成熟、某十神天然是“药”、喜用神自动等于解决办法，或淡化暴力、强迫与现实伤害；现实行为、反例、安全事实和专业支持优先。</x:v>
      </x:c>
      <x:c r="AA436" s="24" t="str">
        <x:v>中高</x:v>
      </x:c>
      <x:c r="AB436" s="24" t="str">
        <x:v>待验证</x:v>
      </x:c>
      <x:c r="AC436" s="24" t="str"/>
      <x:c r="AD436" s="24" t="str">
        <x:v>provisional=true；保护因素的现实有效性必须由可观察行为、反馈和持续结果验证。</x:v>
      </x:c>
      <x:c r="AE436" s="24" t="str">
        <x:v>0.8</x:v>
      </x:c>
    </x:row>
    <x:row r="437" ht="52" customHeight="1">
      <x:c r="A437" s="24" t="str">
        <x:v>M4-BUFFER-436</x:v>
      </x:c>
      <x:c r="B437" s="24" t="str">
        <x:v>SM10 强而无制｜使用边界</x:v>
      </x:c>
      <x:c r="C437" s="24" t="str">
        <x:v>L9 状态与动态修正</x:v>
      </x:c>
      <x:c r="D437" s="24" t="str">
        <x:v>BUFFER-状态修正</x:v>
      </x:c>
      <x:c r="E437" s="24" t="str">
        <x:v>通用</x:v>
      </x:c>
      <x:c r="F437" s="24" t="str">
        <x:v>边界</x:v>
      </x:c>
      <x:c r="G437" s="24" t="str">
        <x:v>SM10 强而无制</x:v>
      </x:c>
      <x:c r="H437" s="24" t="str">
        <x:v>状态边界</x:v>
      </x:c>
      <x:c r="I437" s="24" t="str">
        <x:v>保护分降级，并优先检查BF01、BF03、BF08。</x:v>
      </x:c>
      <x:c r="J437" s="24" t="str">
        <x:v>存在独立现实证据支持更强结论。</x:v>
      </x:c>
      <x:c r="K437" s="24" t="str">
        <x:v>由共享基础引擎提供；仅修正保护功能的承载、持续调用和压力状态下的稳定性，不直接等同成熟度、道德或现实行为。</x:v>
      </x:c>
      <x:c r="L437" s="24" t="str">
        <x:v>由M1／M2接口提供；夫妻星、心动原型和关系门槛只说明关系议题，不单独证明保护因素已经被调用或有效。</x:v>
      </x:c>
      <x:c r="M437" s="24" t="str">
        <x:v>由M3-BASE及M4各模块提供；日支、日柱近位可提高与亲密关系核心的相关性，但同一source_id不得重复计分。</x:v>
      </x:c>
      <x:c r="N437" s="24" t="str">
        <x:v>保护因素必须明确限制过用、补足缺位、恢复顺序、打开反馈、落实改变或完成修复回流；不能只凭五行相生补写现实效果。</x:v>
      </x:c>
      <x:c r="O437" s="24" t="str">
        <x:v>近位提高进入亲密关系核心的概率；远位只作背景、阶段或条件性修正。</x:v>
      </x:c>
      <x:c r="P437" s="24" t="str">
        <x:v>根气只修正该保护功能是否容易重复调用，不等于现实中已经形成稳定保护。</x:v>
      </x:c>
      <x:c r="Q437" s="24" t="str">
        <x:v>旺弱只修正调用强度与承载；强不自动有效，弱也不自动无效。</x:v>
      </x:c>
      <x:c r="R437" s="24" t="str">
        <x:v>喜忌只修正摩擦、平衡与承载，不可直接翻译为好坏、成熟度或解决方案。</x:v>
      </x:c>
      <x:c r="S437" s="24" t="str">
        <x:v>原十神功能有效；真合化成立时按化神功能替换，合化争议时停止定性。</x:v>
      </x:c>
      <x:c r="T437" s="24" t="str">
        <x:v>近位提高直接相关性；远位仅保留背景、阶段或低置信修正。</x:v>
      </x:c>
      <x:c r="U437" s="24" t="str">
        <x:v>97</x:v>
      </x:c>
      <x:c r="V437" s="24" t="str">
        <x:v>封顶／降级</x:v>
      </x:c>
      <x:c r="W437" s="24" t="str">
        <x:v>boundary_note</x:v>
      </x:c>
      <x:c r="X437" s="24" t="str">
        <x:v>保护分降级，并优先检查BF01、BF03、BF08。</x:v>
      </x:c>
      <x:c r="Y437" s="24" t="str">
        <x:v>需要注意：保护分降级，并优先检查BF01、BF03、BF08。</x:v>
      </x:c>
      <x:c r="Z437" s="24" t="str">
        <x:v>不得仅凭本规则断定问题已经解决、关系必然稳定、用户一定成熟、某十神天然是“药”、喜用神自动等于解决办法，或淡化暴力、强迫与现实伤害；现实行为、反例、安全事实和专业支持优先。</x:v>
      </x:c>
      <x:c r="AA437" s="24" t="str">
        <x:v>高</x:v>
      </x:c>
      <x:c r="AB437" s="24" t="str">
        <x:v>待验证</x:v>
      </x:c>
      <x:c r="AC437" s="24" t="str"/>
      <x:c r="AD437" s="24" t="str">
        <x:v>provisional=true；保护因素的现实有效性必须由可观察行为、反馈和持续结果验证。</x:v>
      </x:c>
      <x:c r="AE437" s="24" t="str">
        <x:v>0.8</x:v>
      </x:c>
    </x:row>
    <x:row r="438" ht="52" customHeight="1">
      <x:c r="A438" s="24" t="str">
        <x:v>M4-BUFFER-437</x:v>
      </x:c>
      <x:c r="B438" s="24" t="str">
        <x:v>SM11 日支主气／日柱近位｜保护修正</x:v>
      </x:c>
      <x:c r="C438" s="24" t="str">
        <x:v>L9 状态与动态修正</x:v>
      </x:c>
      <x:c r="D438" s="24" t="str">
        <x:v>BUFFER-状态修正</x:v>
      </x:c>
      <x:c r="E438" s="24" t="str">
        <x:v>通用</x:v>
      </x:c>
      <x:c r="F438" s="24" t="str">
        <x:v>状态修正</x:v>
      </x:c>
      <x:c r="G438" s="24" t="str">
        <x:v>SM11 日支主气／日柱近位</x:v>
      </x:c>
      <x:c r="H438" s="24" t="str">
        <x:v>保护调用修正</x:v>
      </x:c>
      <x:c r="I438" s="24" t="str">
        <x:v>共享基础引擎确认SM11状态，且保护靶点已经明确。</x:v>
      </x:c>
      <x:c r="J438" s="24" t="str">
        <x:v>基础状态未定、合化争议或与现实反例冲突。</x:v>
      </x:c>
      <x:c r="K438" s="24" t="str">
        <x:v>由共享基础引擎提供；仅修正保护功能的承载、持续调用和压力状态下的稳定性，不直接等同成熟度、道德或现实行为。</x:v>
      </x:c>
      <x:c r="L438" s="24" t="str">
        <x:v>由M1／M2接口提供；夫妻星、心动原型和关系门槛只说明关系议题，不单独证明保护因素已经被调用或有效。</x:v>
      </x:c>
      <x:c r="M438" s="24" t="str">
        <x:v>由M3-BASE及M4各模块提供；日支、日柱近位可提高与亲密关系核心的相关性，但同一source_id不得重复计分。</x:v>
      </x:c>
      <x:c r="N438" s="24" t="str">
        <x:v>保护因素必须明确限制过用、补足缺位、恢复顺序、打开反馈、落实改变或完成修复回流；不能只凭五行相生补写现实效果。</x:v>
      </x:c>
      <x:c r="O438" s="24" t="str">
        <x:v>近位提高进入亲密关系核心的概率；远位只作背景、阶段或条件性修正。</x:v>
      </x:c>
      <x:c r="P438" s="24" t="str">
        <x:v>根气只修正该保护功能是否容易重复调用，不等于现实中已经形成稳定保护。</x:v>
      </x:c>
      <x:c r="Q438" s="24" t="str">
        <x:v>旺弱只修正调用强度与承载；强不自动有效，弱也不自动无效。</x:v>
      </x:c>
      <x:c r="R438" s="24" t="str">
        <x:v>喜忌只修正摩擦、平衡与承载，不可直接翻译为好坏、成熟度或解决方案。</x:v>
      </x:c>
      <x:c r="S438" s="24" t="str">
        <x:v>原十神功能有效；真合化成立时按化神功能替换，合化争议时停止定性。</x:v>
      </x:c>
      <x:c r="T438" s="24" t="str">
        <x:v>近位提高直接相关性；远位仅保留背景、阶段或低置信修正。</x:v>
      </x:c>
      <x:c r="U438" s="24" t="str">
        <x:v>90</x:v>
      </x:c>
      <x:c r="V438" s="24" t="str">
        <x:v>按状态±2—8</x:v>
      </x:c>
      <x:c r="W438" s="24" t="str">
        <x:v>state_modifier</x:v>
      </x:c>
      <x:c r="X438" s="24" t="str">
        <x:v>保护资源与亲密关系核心联系较直接。</x:v>
      </x:c>
      <x:c r="Y438" s="24" t="str">
        <x:v>在“日支主气／日柱近位”状态下，保护资源与亲密关系核心联系较直接。</x:v>
      </x:c>
      <x:c r="Z438" s="24" t="str">
        <x:v>不得仅凭本规则断定问题已经解决、关系必然稳定、用户一定成熟、某十神天然是“药”、喜用神自动等于解决办法，或淡化暴力、强迫与现实伤害；现实行为、反例、安全事实和专业支持优先。</x:v>
      </x:c>
      <x:c r="AA438" s="24" t="str">
        <x:v>中高</x:v>
      </x:c>
      <x:c r="AB438" s="24" t="str">
        <x:v>待验证</x:v>
      </x:c>
      <x:c r="AC438" s="24" t="str"/>
      <x:c r="AD438" s="24" t="str">
        <x:v>provisional=true；保护因素的现实有效性必须由可观察行为、反馈和持续结果验证。</x:v>
      </x:c>
      <x:c r="AE438" s="24" t="str">
        <x:v>0.8</x:v>
      </x:c>
    </x:row>
    <x:row r="439" ht="52" customHeight="1">
      <x:c r="A439" s="24" t="str">
        <x:v>M4-BUFFER-438</x:v>
      </x:c>
      <x:c r="B439" s="24" t="str">
        <x:v>SM11 日支主气／日柱近位｜使用边界</x:v>
      </x:c>
      <x:c r="C439" s="24" t="str">
        <x:v>L9 状态与动态修正</x:v>
      </x:c>
      <x:c r="D439" s="24" t="str">
        <x:v>BUFFER-状态修正</x:v>
      </x:c>
      <x:c r="E439" s="24" t="str">
        <x:v>通用</x:v>
      </x:c>
      <x:c r="F439" s="24" t="str">
        <x:v>边界</x:v>
      </x:c>
      <x:c r="G439" s="24" t="str">
        <x:v>SM11 日支主气／日柱近位</x:v>
      </x:c>
      <x:c r="H439" s="24" t="str">
        <x:v>状态边界</x:v>
      </x:c>
      <x:c r="I439" s="24" t="str">
        <x:v>提高相关性，不等于现实已经成熟使用。</x:v>
      </x:c>
      <x:c r="J439" s="24" t="str">
        <x:v>存在独立现实证据支持更强结论。</x:v>
      </x:c>
      <x:c r="K439" s="24" t="str">
        <x:v>由共享基础引擎提供；仅修正保护功能的承载、持续调用和压力状态下的稳定性，不直接等同成熟度、道德或现实行为。</x:v>
      </x:c>
      <x:c r="L439" s="24" t="str">
        <x:v>由M1／M2接口提供；夫妻星、心动原型和关系门槛只说明关系议题，不单独证明保护因素已经被调用或有效。</x:v>
      </x:c>
      <x:c r="M439" s="24" t="str">
        <x:v>由M3-BASE及M4各模块提供；日支、日柱近位可提高与亲密关系核心的相关性，但同一source_id不得重复计分。</x:v>
      </x:c>
      <x:c r="N439" s="24" t="str">
        <x:v>保护因素必须明确限制过用、补足缺位、恢复顺序、打开反馈、落实改变或完成修复回流；不能只凭五行相生补写现实效果。</x:v>
      </x:c>
      <x:c r="O439" s="24" t="str">
        <x:v>近位提高进入亲密关系核心的概率；远位只作背景、阶段或条件性修正。</x:v>
      </x:c>
      <x:c r="P439" s="24" t="str">
        <x:v>根气只修正该保护功能是否容易重复调用，不等于现实中已经形成稳定保护。</x:v>
      </x:c>
      <x:c r="Q439" s="24" t="str">
        <x:v>旺弱只修正调用强度与承载；强不自动有效，弱也不自动无效。</x:v>
      </x:c>
      <x:c r="R439" s="24" t="str">
        <x:v>喜忌只修正摩擦、平衡与承载，不可直接翻译为好坏、成熟度或解决方案。</x:v>
      </x:c>
      <x:c r="S439" s="24" t="str">
        <x:v>原十神功能有效；真合化成立时按化神功能替换，合化争议时停止定性。</x:v>
      </x:c>
      <x:c r="T439" s="24" t="str">
        <x:v>近位提高直接相关性；远位仅保留背景、阶段或低置信修正。</x:v>
      </x:c>
      <x:c r="U439" s="24" t="str">
        <x:v>97</x:v>
      </x:c>
      <x:c r="V439" s="24" t="str">
        <x:v>封顶／降级</x:v>
      </x:c>
      <x:c r="W439" s="24" t="str">
        <x:v>boundary_note</x:v>
      </x:c>
      <x:c r="X439" s="24" t="str">
        <x:v>提高相关性，不等于现实已经成熟使用。</x:v>
      </x:c>
      <x:c r="Y439" s="24" t="str">
        <x:v>需要注意：提高相关性，不等于现实已经成熟使用。</x:v>
      </x:c>
      <x:c r="Z439" s="24" t="str">
        <x:v>不得仅凭本规则断定问题已经解决、关系必然稳定、用户一定成熟、某十神天然是“药”、喜用神自动等于解决办法，或淡化暴力、强迫与现实伤害；现实行为、反例、安全事实和专业支持优先。</x:v>
      </x:c>
      <x:c r="AA439" s="24" t="str">
        <x:v>高</x:v>
      </x:c>
      <x:c r="AB439" s="24" t="str">
        <x:v>待验证</x:v>
      </x:c>
      <x:c r="AC439" s="24" t="str"/>
      <x:c r="AD439" s="24" t="str">
        <x:v>provisional=true；保护因素的现实有效性必须由可观察行为、反馈和持续结果验证。</x:v>
      </x:c>
      <x:c r="AE439" s="24" t="str">
        <x:v>0.8</x:v>
      </x:c>
    </x:row>
    <x:row r="440" ht="52" customHeight="1">
      <x:c r="A440" s="24" t="str">
        <x:v>M4-BUFFER-439</x:v>
      </x:c>
      <x:c r="B440" s="24" t="str">
        <x:v>SM12 中气有效｜保护修正</x:v>
      </x:c>
      <x:c r="C440" s="24" t="str">
        <x:v>L9 状态与动态修正</x:v>
      </x:c>
      <x:c r="D440" s="24" t="str">
        <x:v>BUFFER-状态修正</x:v>
      </x:c>
      <x:c r="E440" s="24" t="str">
        <x:v>通用</x:v>
      </x:c>
      <x:c r="F440" s="24" t="str">
        <x:v>状态修正</x:v>
      </x:c>
      <x:c r="G440" s="24" t="str">
        <x:v>SM12 中气有效</x:v>
      </x:c>
      <x:c r="H440" s="24" t="str">
        <x:v>保护调用修正</x:v>
      </x:c>
      <x:c r="I440" s="24" t="str">
        <x:v>共享基础引擎确认SM12状态，且保护靶点已经明确。</x:v>
      </x:c>
      <x:c r="J440" s="24" t="str">
        <x:v>基础状态未定、合化争议或与现实反例冲突。</x:v>
      </x:c>
      <x:c r="K440" s="24" t="str">
        <x:v>由共享基础引擎提供；仅修正保护功能的承载、持续调用和压力状态下的稳定性，不直接等同成熟度、道德或现实行为。</x:v>
      </x:c>
      <x:c r="L440" s="24" t="str">
        <x:v>由M1／M2接口提供；夫妻星、心动原型和关系门槛只说明关系议题，不单独证明保护因素已经被调用或有效。</x:v>
      </x:c>
      <x:c r="M440" s="24" t="str">
        <x:v>由M3-BASE及M4各模块提供；日支、日柱近位可提高与亲密关系核心的相关性，但同一source_id不得重复计分。</x:v>
      </x:c>
      <x:c r="N440" s="24" t="str">
        <x:v>保护因素必须明确限制过用、补足缺位、恢复顺序、打开反馈、落实改变或完成修复回流；不能只凭五行相生补写现实效果。</x:v>
      </x:c>
      <x:c r="O440" s="24" t="str">
        <x:v>近位提高进入亲密关系核心的概率；远位只作背景、阶段或条件性修正。</x:v>
      </x:c>
      <x:c r="P440" s="24" t="str">
        <x:v>根气只修正该保护功能是否容易重复调用，不等于现实中已经形成稳定保护。</x:v>
      </x:c>
      <x:c r="Q440" s="24" t="str">
        <x:v>旺弱只修正调用强度与承载；强不自动有效，弱也不自动无效。</x:v>
      </x:c>
      <x:c r="R440" s="24" t="str">
        <x:v>喜忌只修正摩擦、平衡与承载，不可直接翻译为好坏、成熟度或解决方案。</x:v>
      </x:c>
      <x:c r="S440" s="24" t="str">
        <x:v>原十神功能有效；真合化成立时按化神功能替换，合化争议时停止定性。</x:v>
      </x:c>
      <x:c r="T440" s="24" t="str">
        <x:v>近位提高直接相关性；远位仅保留背景、阶段或低置信修正。</x:v>
      </x:c>
      <x:c r="U440" s="24" t="str">
        <x:v>90</x:v>
      </x:c>
      <x:c r="V440" s="24" t="str">
        <x:v>按状态±2—8</x:v>
      </x:c>
      <x:c r="W440" s="24" t="str">
        <x:v>state_modifier</x:v>
      </x:c>
      <x:c r="X440" s="24" t="str">
        <x:v>资源可作为第二保护或特定情境补位。</x:v>
      </x:c>
      <x:c r="Y440" s="24" t="str">
        <x:v>在“中气有效”状态下，资源可作为第二保护或特定情境补位。</x:v>
      </x:c>
      <x:c r="Z440" s="24" t="str">
        <x:v>不得仅凭本规则断定问题已经解决、关系必然稳定、用户一定成熟、某十神天然是“药”、喜用神自动等于解决办法，或淡化暴力、强迫与现实伤害；现实行为、反例、安全事实和专业支持优先。</x:v>
      </x:c>
      <x:c r="AA440" s="24" t="str">
        <x:v>中高</x:v>
      </x:c>
      <x:c r="AB440" s="24" t="str">
        <x:v>待验证</x:v>
      </x:c>
      <x:c r="AC440" s="24" t="str"/>
      <x:c r="AD440" s="24" t="str">
        <x:v>provisional=true；保护因素的现实有效性必须由可观察行为、反馈和持续结果验证。</x:v>
      </x:c>
      <x:c r="AE440" s="24" t="str">
        <x:v>0.8</x:v>
      </x:c>
    </x:row>
    <x:row r="441" ht="52" customHeight="1">
      <x:c r="A441" s="24" t="str">
        <x:v>M4-BUFFER-440</x:v>
      </x:c>
      <x:c r="B441" s="24" t="str">
        <x:v>SM12 中气有效｜使用边界</x:v>
      </x:c>
      <x:c r="C441" s="24" t="str">
        <x:v>L9 状态与动态修正</x:v>
      </x:c>
      <x:c r="D441" s="24" t="str">
        <x:v>BUFFER-状态修正</x:v>
      </x:c>
      <x:c r="E441" s="24" t="str">
        <x:v>通用</x:v>
      </x:c>
      <x:c r="F441" s="24" t="str">
        <x:v>边界</x:v>
      </x:c>
      <x:c r="G441" s="24" t="str">
        <x:v>SM12 中气有效</x:v>
      </x:c>
      <x:c r="H441" s="24" t="str">
        <x:v>状态边界</x:v>
      </x:c>
      <x:c r="I441" s="24" t="str">
        <x:v>需独立来源和功能不同，不能与主气平铺。</x:v>
      </x:c>
      <x:c r="J441" s="24" t="str">
        <x:v>存在独立现实证据支持更强结论。</x:v>
      </x:c>
      <x:c r="K441" s="24" t="str">
        <x:v>由共享基础引擎提供；仅修正保护功能的承载、持续调用和压力状态下的稳定性，不直接等同成熟度、道德或现实行为。</x:v>
      </x:c>
      <x:c r="L441" s="24" t="str">
        <x:v>由M1／M2接口提供；夫妻星、心动原型和关系门槛只说明关系议题，不单独证明保护因素已经被调用或有效。</x:v>
      </x:c>
      <x:c r="M441" s="24" t="str">
        <x:v>由M3-BASE及M4各模块提供；日支、日柱近位可提高与亲密关系核心的相关性，但同一source_id不得重复计分。</x:v>
      </x:c>
      <x:c r="N441" s="24" t="str">
        <x:v>保护因素必须明确限制过用、补足缺位、恢复顺序、打开反馈、落实改变或完成修复回流；不能只凭五行相生补写现实效果。</x:v>
      </x:c>
      <x:c r="O441" s="24" t="str">
        <x:v>近位提高进入亲密关系核心的概率；远位只作背景、阶段或条件性修正。</x:v>
      </x:c>
      <x:c r="P441" s="24" t="str">
        <x:v>根气只修正该保护功能是否容易重复调用，不等于现实中已经形成稳定保护。</x:v>
      </x:c>
      <x:c r="Q441" s="24" t="str">
        <x:v>旺弱只修正调用强度与承载；强不自动有效，弱也不自动无效。</x:v>
      </x:c>
      <x:c r="R441" s="24" t="str">
        <x:v>喜忌只修正摩擦、平衡与承载，不可直接翻译为好坏、成熟度或解决方案。</x:v>
      </x:c>
      <x:c r="S441" s="24" t="str">
        <x:v>原十神功能有效；真合化成立时按化神功能替换，合化争议时停止定性。</x:v>
      </x:c>
      <x:c r="T441" s="24" t="str">
        <x:v>近位提高直接相关性；远位仅保留背景、阶段或低置信修正。</x:v>
      </x:c>
      <x:c r="U441" s="24" t="str">
        <x:v>97</x:v>
      </x:c>
      <x:c r="V441" s="24" t="str">
        <x:v>封顶／降级</x:v>
      </x:c>
      <x:c r="W441" s="24" t="str">
        <x:v>boundary_note</x:v>
      </x:c>
      <x:c r="X441" s="24" t="str">
        <x:v>需独立来源和功能不同，不能与主气平铺。</x:v>
      </x:c>
      <x:c r="Y441" s="24" t="str">
        <x:v>需要注意：需独立来源和功能不同，不能与主气平铺。</x:v>
      </x:c>
      <x:c r="Z441" s="24" t="str">
        <x:v>不得仅凭本规则断定问题已经解决、关系必然稳定、用户一定成熟、某十神天然是“药”、喜用神自动等于解决办法，或淡化暴力、强迫与现实伤害；现实行为、反例、安全事实和专业支持优先。</x:v>
      </x:c>
      <x:c r="AA441" s="24" t="str">
        <x:v>高</x:v>
      </x:c>
      <x:c r="AB441" s="24" t="str">
        <x:v>待验证</x:v>
      </x:c>
      <x:c r="AC441" s="24" t="str"/>
      <x:c r="AD441" s="24" t="str">
        <x:v>provisional=true；保护因素的现实有效性必须由可观察行为、反馈和持续结果验证。</x:v>
      </x:c>
      <x:c r="AE441" s="24" t="str">
        <x:v>0.8</x:v>
      </x:c>
    </x:row>
    <x:row r="442" ht="52" customHeight="1">
      <x:c r="A442" s="24" t="str">
        <x:v>M4-BUFFER-441</x:v>
      </x:c>
      <x:c r="B442" s="24" t="str">
        <x:v>SM13 余气有效｜保护修正</x:v>
      </x:c>
      <x:c r="C442" s="24" t="str">
        <x:v>L9 状态与动态修正</x:v>
      </x:c>
      <x:c r="D442" s="24" t="str">
        <x:v>BUFFER-状态修正</x:v>
      </x:c>
      <x:c r="E442" s="24" t="str">
        <x:v>通用</x:v>
      </x:c>
      <x:c r="F442" s="24" t="str">
        <x:v>状态修正</x:v>
      </x:c>
      <x:c r="G442" s="24" t="str">
        <x:v>SM13 余气有效</x:v>
      </x:c>
      <x:c r="H442" s="24" t="str">
        <x:v>保护调用修正</x:v>
      </x:c>
      <x:c r="I442" s="24" t="str">
        <x:v>共享基础引擎确认SM13状态，且保护靶点已经明确。</x:v>
      </x:c>
      <x:c r="J442" s="24" t="str">
        <x:v>基础状态未定、合化争议或与现实反例冲突。</x:v>
      </x:c>
      <x:c r="K442" s="24" t="str">
        <x:v>由共享基础引擎提供；仅修正保护功能的承载、持续调用和压力状态下的稳定性，不直接等同成熟度、道德或现实行为。</x:v>
      </x:c>
      <x:c r="L442" s="24" t="str">
        <x:v>由M1／M2接口提供；夫妻星、心动原型和关系门槛只说明关系议题，不单独证明保护因素已经被调用或有效。</x:v>
      </x:c>
      <x:c r="M442" s="24" t="str">
        <x:v>由M3-BASE及M4各模块提供；日支、日柱近位可提高与亲密关系核心的相关性，但同一source_id不得重复计分。</x:v>
      </x:c>
      <x:c r="N442" s="24" t="str">
        <x:v>保护因素必须明确限制过用、补足缺位、恢复顺序、打开反馈、落实改变或完成修复回流；不能只凭五行相生补写现实效果。</x:v>
      </x:c>
      <x:c r="O442" s="24" t="str">
        <x:v>近位提高进入亲密关系核心的概率；远位只作背景、阶段或条件性修正。</x:v>
      </x:c>
      <x:c r="P442" s="24" t="str">
        <x:v>根气只修正该保护功能是否容易重复调用，不等于现实中已经形成稳定保护。</x:v>
      </x:c>
      <x:c r="Q442" s="24" t="str">
        <x:v>旺弱只修正调用强度与承载；强不自动有效，弱也不自动无效。</x:v>
      </x:c>
      <x:c r="R442" s="24" t="str">
        <x:v>喜忌只修正摩擦、平衡与承载，不可直接翻译为好坏、成熟度或解决方案。</x:v>
      </x:c>
      <x:c r="S442" s="24" t="str">
        <x:v>原十神功能有效；真合化成立时按化神功能替换，合化争议时停止定性。</x:v>
      </x:c>
      <x:c r="T442" s="24" t="str">
        <x:v>近位提高直接相关性；远位仅保留背景、阶段或低置信修正。</x:v>
      </x:c>
      <x:c r="U442" s="24" t="str">
        <x:v>90</x:v>
      </x:c>
      <x:c r="V442" s="24" t="str">
        <x:v>按状态±2—8</x:v>
      </x:c>
      <x:c r="W442" s="24" t="str">
        <x:v>state_modifier</x:v>
      </x:c>
      <x:c r="X442" s="24" t="str">
        <x:v>资源多为背景、备用或高压下潜在功能。</x:v>
      </x:c>
      <x:c r="Y442" s="24" t="str">
        <x:v>在“余气有效”状态下，资源多为背景、备用或高压下潜在功能。</x:v>
      </x:c>
      <x:c r="Z442" s="24" t="str">
        <x:v>不得仅凭本规则断定问题已经解决、关系必然稳定、用户一定成熟、某十神天然是“药”、喜用神自动等于解决办法，或淡化暴力、强迫与现实伤害；现实行为、反例、安全事实和专业支持优先。</x:v>
      </x:c>
      <x:c r="AA442" s="24" t="str">
        <x:v>中高</x:v>
      </x:c>
      <x:c r="AB442" s="24" t="str">
        <x:v>待验证</x:v>
      </x:c>
      <x:c r="AC442" s="24" t="str"/>
      <x:c r="AD442" s="24" t="str">
        <x:v>provisional=true；保护因素的现实有效性必须由可观察行为、反馈和持续结果验证。</x:v>
      </x:c>
      <x:c r="AE442" s="24" t="str">
        <x:v>0.8</x:v>
      </x:c>
    </x:row>
    <x:row r="443" ht="52" customHeight="1">
      <x:c r="A443" s="24" t="str">
        <x:v>M4-BUFFER-442</x:v>
      </x:c>
      <x:c r="B443" s="24" t="str">
        <x:v>SM13 余气有效｜使用边界</x:v>
      </x:c>
      <x:c r="C443" s="24" t="str">
        <x:v>L9 状态与动态修正</x:v>
      </x:c>
      <x:c r="D443" s="24" t="str">
        <x:v>BUFFER-状态修正</x:v>
      </x:c>
      <x:c r="E443" s="24" t="str">
        <x:v>通用</x:v>
      </x:c>
      <x:c r="F443" s="24" t="str">
        <x:v>边界</x:v>
      </x:c>
      <x:c r="G443" s="24" t="str">
        <x:v>SM13 余气有效</x:v>
      </x:c>
      <x:c r="H443" s="24" t="str">
        <x:v>状态边界</x:v>
      </x:c>
      <x:c r="I443" s="24" t="str">
        <x:v>默认只作次级修正，现实事件可升级。</x:v>
      </x:c>
      <x:c r="J443" s="24" t="str">
        <x:v>存在独立现实证据支持更强结论。</x:v>
      </x:c>
      <x:c r="K443" s="24" t="str">
        <x:v>由共享基础引擎提供；仅修正保护功能的承载、持续调用和压力状态下的稳定性，不直接等同成熟度、道德或现实行为。</x:v>
      </x:c>
      <x:c r="L443" s="24" t="str">
        <x:v>由M1／M2接口提供；夫妻星、心动原型和关系门槛只说明关系议题，不单独证明保护因素已经被调用或有效。</x:v>
      </x:c>
      <x:c r="M443" s="24" t="str">
        <x:v>由M3-BASE及M4各模块提供；日支、日柱近位可提高与亲密关系核心的相关性，但同一source_id不得重复计分。</x:v>
      </x:c>
      <x:c r="N443" s="24" t="str">
        <x:v>保护因素必须明确限制过用、补足缺位、恢复顺序、打开反馈、落实改变或完成修复回流；不能只凭五行相生补写现实效果。</x:v>
      </x:c>
      <x:c r="O443" s="24" t="str">
        <x:v>近位提高进入亲密关系核心的概率；远位只作背景、阶段或条件性修正。</x:v>
      </x:c>
      <x:c r="P443" s="24" t="str">
        <x:v>根气只修正该保护功能是否容易重复调用，不等于现实中已经形成稳定保护。</x:v>
      </x:c>
      <x:c r="Q443" s="24" t="str">
        <x:v>旺弱只修正调用强度与承载；强不自动有效，弱也不自动无效。</x:v>
      </x:c>
      <x:c r="R443" s="24" t="str">
        <x:v>喜忌只修正摩擦、平衡与承载，不可直接翻译为好坏、成熟度或解决方案。</x:v>
      </x:c>
      <x:c r="S443" s="24" t="str">
        <x:v>原十神功能有效；真合化成立时按化神功能替换，合化争议时停止定性。</x:v>
      </x:c>
      <x:c r="T443" s="24" t="str">
        <x:v>近位提高直接相关性；远位仅保留背景、阶段或低置信修正。</x:v>
      </x:c>
      <x:c r="U443" s="24" t="str">
        <x:v>97</x:v>
      </x:c>
      <x:c r="V443" s="24" t="str">
        <x:v>封顶／降级</x:v>
      </x:c>
      <x:c r="W443" s="24" t="str">
        <x:v>boundary_note</x:v>
      </x:c>
      <x:c r="X443" s="24" t="str">
        <x:v>默认只作次级修正，现实事件可升级。</x:v>
      </x:c>
      <x:c r="Y443" s="24" t="str">
        <x:v>需要注意：默认只作次级修正，现实事件可升级。</x:v>
      </x:c>
      <x:c r="Z443" s="24" t="str">
        <x:v>不得仅凭本规则断定问题已经解决、关系必然稳定、用户一定成熟、某十神天然是“药”、喜用神自动等于解决办法，或淡化暴力、强迫与现实伤害；现实行为、反例、安全事实和专业支持优先。</x:v>
      </x:c>
      <x:c r="AA443" s="24" t="str">
        <x:v>高</x:v>
      </x:c>
      <x:c r="AB443" s="24" t="str">
        <x:v>待验证</x:v>
      </x:c>
      <x:c r="AC443" s="24" t="str"/>
      <x:c r="AD443" s="24" t="str">
        <x:v>provisional=true；保护因素的现实有效性必须由可观察行为、反馈和持续结果验证。</x:v>
      </x:c>
      <x:c r="AE443" s="24" t="str">
        <x:v>0.8</x:v>
      </x:c>
    </x:row>
    <x:row r="444" ht="52" customHeight="1">
      <x:c r="A444" s="24" t="str">
        <x:v>M4-BUFFER-443</x:v>
      </x:c>
      <x:c r="B444" s="24" t="str">
        <x:v>SM14 合冲刑害破｜保护修正</x:v>
      </x:c>
      <x:c r="C444" s="24" t="str">
        <x:v>L9 状态与动态修正</x:v>
      </x:c>
      <x:c r="D444" s="24" t="str">
        <x:v>BUFFER-状态修正</x:v>
      </x:c>
      <x:c r="E444" s="24" t="str">
        <x:v>通用</x:v>
      </x:c>
      <x:c r="F444" s="24" t="str">
        <x:v>状态修正</x:v>
      </x:c>
      <x:c r="G444" s="24" t="str">
        <x:v>SM14 合冲刑害破</x:v>
      </x:c>
      <x:c r="H444" s="24" t="str">
        <x:v>保护调用修正</x:v>
      </x:c>
      <x:c r="I444" s="24" t="str">
        <x:v>共享基础引擎确认SM14状态，且保护靶点已经明确。</x:v>
      </x:c>
      <x:c r="J444" s="24" t="str">
        <x:v>基础状态未定、合化争议或与现实反例冲突。</x:v>
      </x:c>
      <x:c r="K444" s="24" t="str">
        <x:v>由共享基础引擎提供；仅修正保护功能的承载、持续调用和压力状态下的稳定性，不直接等同成熟度、道德或现实行为。</x:v>
      </x:c>
      <x:c r="L444" s="24" t="str">
        <x:v>由M1／M2接口提供；夫妻星、心动原型和关系门槛只说明关系议题，不单独证明保护因素已经被调用或有效。</x:v>
      </x:c>
      <x:c r="M444" s="24" t="str">
        <x:v>由M3-BASE及M4各模块提供；日支、日柱近位可提高与亲密关系核心的相关性，但同一source_id不得重复计分。</x:v>
      </x:c>
      <x:c r="N444" s="24" t="str">
        <x:v>保护因素必须明确限制过用、补足缺位、恢复顺序、打开反馈、落实改变或完成修复回流；不能只凭五行相生补写现实效果。</x:v>
      </x:c>
      <x:c r="O444" s="24" t="str">
        <x:v>近位提高进入亲密关系核心的概率；远位只作背景、阶段或条件性修正。</x:v>
      </x:c>
      <x:c r="P444" s="24" t="str">
        <x:v>根气只修正该保护功能是否容易重复调用，不等于现实中已经形成稳定保护。</x:v>
      </x:c>
      <x:c r="Q444" s="24" t="str">
        <x:v>旺弱只修正调用强度与承载；强不自动有效，弱也不自动无效。</x:v>
      </x:c>
      <x:c r="R444" s="24" t="str">
        <x:v>喜忌只修正摩擦、平衡与承载，不可直接翻译为好坏、成熟度或解决方案。</x:v>
      </x:c>
      <x:c r="S444" s="24" t="str">
        <x:v>原十神功能有效；真合化成立时按化神功能替换，合化争议时停止定性。</x:v>
      </x:c>
      <x:c r="T444" s="24" t="str">
        <x:v>近位提高直接相关性；远位仅保留背景、阶段或低置信修正。</x:v>
      </x:c>
      <x:c r="U444" s="24" t="str">
        <x:v>90</x:v>
      </x:c>
      <x:c r="V444" s="24" t="str">
        <x:v>按状态±2—8</x:v>
      </x:c>
      <x:c r="W444" s="24" t="str">
        <x:v>state_modifier</x:v>
      </x:c>
      <x:c r="X444" s="24" t="str">
        <x:v>只修正保护资源的启动、牵连、切换、反复或重组节奏。</x:v>
      </x:c>
      <x:c r="Y444" s="24" t="str">
        <x:v>在“合冲刑害破”状态下，只修正保护资源的启动、牵连、切换、反复或重组节奏。</x:v>
      </x:c>
      <x:c r="Z444" s="24" t="str">
        <x:v>不得仅凭本规则断定问题已经解决、关系必然稳定、用户一定成熟、某十神天然是“药”、喜用神自动等于解决办法，或淡化暴力、强迫与现实伤害；现实行为、反例、安全事实和专业支持优先。</x:v>
      </x:c>
      <x:c r="AA444" s="24" t="str">
        <x:v>中高</x:v>
      </x:c>
      <x:c r="AB444" s="24" t="str">
        <x:v>待验证</x:v>
      </x:c>
      <x:c r="AC444" s="24" t="str"/>
      <x:c r="AD444" s="24" t="str">
        <x:v>provisional=true；保护因素的现实有效性必须由可观察行为、反馈和持续结果验证。</x:v>
      </x:c>
      <x:c r="AE444" s="24" t="str">
        <x:v>0.8</x:v>
      </x:c>
    </x:row>
    <x:row r="445" ht="52" customHeight="1">
      <x:c r="A445" s="24" t="str">
        <x:v>M4-BUFFER-444</x:v>
      </x:c>
      <x:c r="B445" s="24" t="str">
        <x:v>SM14 合冲刑害破｜使用边界</x:v>
      </x:c>
      <x:c r="C445" s="24" t="str">
        <x:v>L9 状态与动态修正</x:v>
      </x:c>
      <x:c r="D445" s="24" t="str">
        <x:v>BUFFER-状态修正</x:v>
      </x:c>
      <x:c r="E445" s="24" t="str">
        <x:v>通用</x:v>
      </x:c>
      <x:c r="F445" s="24" t="str">
        <x:v>边界</x:v>
      </x:c>
      <x:c r="G445" s="24" t="str">
        <x:v>SM14 合冲刑害破</x:v>
      </x:c>
      <x:c r="H445" s="24" t="str">
        <x:v>状态边界</x:v>
      </x:c>
      <x:c r="I445" s="24" t="str">
        <x:v>不能直接判断保护有效、关系破裂或问题必然发生。</x:v>
      </x:c>
      <x:c r="J445" s="24" t="str">
        <x:v>存在独立现实证据支持更强结论。</x:v>
      </x:c>
      <x:c r="K445" s="24" t="str">
        <x:v>由共享基础引擎提供；仅修正保护功能的承载、持续调用和压力状态下的稳定性，不直接等同成熟度、道德或现实行为。</x:v>
      </x:c>
      <x:c r="L445" s="24" t="str">
        <x:v>由M1／M2接口提供；夫妻星、心动原型和关系门槛只说明关系议题，不单独证明保护因素已经被调用或有效。</x:v>
      </x:c>
      <x:c r="M445" s="24" t="str">
        <x:v>由M3-BASE及M4各模块提供；日支、日柱近位可提高与亲密关系核心的相关性，但同一source_id不得重复计分。</x:v>
      </x:c>
      <x:c r="N445" s="24" t="str">
        <x:v>保护因素必须明确限制过用、补足缺位、恢复顺序、打开反馈、落实改变或完成修复回流；不能只凭五行相生补写现实效果。</x:v>
      </x:c>
      <x:c r="O445" s="24" t="str">
        <x:v>近位提高进入亲密关系核心的概率；远位只作背景、阶段或条件性修正。</x:v>
      </x:c>
      <x:c r="P445" s="24" t="str">
        <x:v>根气只修正该保护功能是否容易重复调用，不等于现实中已经形成稳定保护。</x:v>
      </x:c>
      <x:c r="Q445" s="24" t="str">
        <x:v>旺弱只修正调用强度与承载；强不自动有效，弱也不自动无效。</x:v>
      </x:c>
      <x:c r="R445" s="24" t="str">
        <x:v>喜忌只修正摩擦、平衡与承载，不可直接翻译为好坏、成熟度或解决方案。</x:v>
      </x:c>
      <x:c r="S445" s="24" t="str">
        <x:v>原十神功能有效；真合化成立时按化神功能替换，合化争议时停止定性。</x:v>
      </x:c>
      <x:c r="T445" s="24" t="str">
        <x:v>近位提高直接相关性；远位仅保留背景、阶段或低置信修正。</x:v>
      </x:c>
      <x:c r="U445" s="24" t="str">
        <x:v>97</x:v>
      </x:c>
      <x:c r="V445" s="24" t="str">
        <x:v>封顶／降级</x:v>
      </x:c>
      <x:c r="W445" s="24" t="str">
        <x:v>boundary_note</x:v>
      </x:c>
      <x:c r="X445" s="24" t="str">
        <x:v>不能直接判断保护有效、关系破裂或问题必然发生。</x:v>
      </x:c>
      <x:c r="Y445" s="24" t="str">
        <x:v>需要注意：不能直接判断保护有效、关系破裂或问题必然发生。</x:v>
      </x:c>
      <x:c r="Z445" s="24" t="str">
        <x:v>不得仅凭本规则断定问题已经解决、关系必然稳定、用户一定成熟、某十神天然是“药”、喜用神自动等于解决办法，或淡化暴力、强迫与现实伤害；现实行为、反例、安全事实和专业支持优先。</x:v>
      </x:c>
      <x:c r="AA445" s="24" t="str">
        <x:v>高</x:v>
      </x:c>
      <x:c r="AB445" s="24" t="str">
        <x:v>待验证</x:v>
      </x:c>
      <x:c r="AC445" s="24" t="str"/>
      <x:c r="AD445" s="24" t="str">
        <x:v>provisional=true；保护因素的现实有效性必须由可观察行为、反馈和持续结果验证。</x:v>
      </x:c>
      <x:c r="AE445" s="24" t="str">
        <x:v>0.8</x:v>
      </x:c>
    </x:row>
    <x:row r="446" ht="52" customHeight="1">
      <x:c r="A446" s="24" t="str">
        <x:v>M4-BUFFER-445</x:v>
      </x:c>
      <x:c r="B446" s="24" t="str">
        <x:v>SM15 真合化成立｜保护修正</x:v>
      </x:c>
      <x:c r="C446" s="24" t="str">
        <x:v>L9 状态与动态修正</x:v>
      </x:c>
      <x:c r="D446" s="24" t="str">
        <x:v>BUFFER-状态修正</x:v>
      </x:c>
      <x:c r="E446" s="24" t="str">
        <x:v>通用</x:v>
      </x:c>
      <x:c r="F446" s="24" t="str">
        <x:v>状态修正</x:v>
      </x:c>
      <x:c r="G446" s="24" t="str">
        <x:v>SM15 真合化成立</x:v>
      </x:c>
      <x:c r="H446" s="24" t="str">
        <x:v>保护调用修正</x:v>
      </x:c>
      <x:c r="I446" s="24" t="str">
        <x:v>共享基础引擎确认SM15状态，且保护靶点已经明确。</x:v>
      </x:c>
      <x:c r="J446" s="24" t="str">
        <x:v>基础状态未定、合化争议或与现实反例冲突。</x:v>
      </x:c>
      <x:c r="K446" s="24" t="str">
        <x:v>由共享基础引擎提供；仅修正保护功能的承载、持续调用和压力状态下的稳定性，不直接等同成熟度、道德或现实行为。</x:v>
      </x:c>
      <x:c r="L446" s="24" t="str">
        <x:v>由M1／M2接口提供；夫妻星、心动原型和关系门槛只说明关系议题，不单独证明保护因素已经被调用或有效。</x:v>
      </x:c>
      <x:c r="M446" s="24" t="str">
        <x:v>由M3-BASE及M4各模块提供；日支、日柱近位可提高与亲密关系核心的相关性，但同一source_id不得重复计分。</x:v>
      </x:c>
      <x:c r="N446" s="24" t="str">
        <x:v>保护因素必须明确限制过用、补足缺位、恢复顺序、打开反馈、落实改变或完成修复回流；不能只凭五行相生补写现实效果。</x:v>
      </x:c>
      <x:c r="O446" s="24" t="str">
        <x:v>近位提高进入亲密关系核心的概率；远位只作背景、阶段或条件性修正。</x:v>
      </x:c>
      <x:c r="P446" s="24" t="str">
        <x:v>根气只修正该保护功能是否容易重复调用，不等于现实中已经形成稳定保护。</x:v>
      </x:c>
      <x:c r="Q446" s="24" t="str">
        <x:v>旺弱只修正调用强度与承载；强不自动有效，弱也不自动无效。</x:v>
      </x:c>
      <x:c r="R446" s="24" t="str">
        <x:v>喜忌只修正摩擦、平衡与承载，不可直接翻译为好坏、成熟度或解决方案。</x:v>
      </x:c>
      <x:c r="S446" s="24" t="str">
        <x:v>原十神功能有效；真合化成立时按化神功能替换，合化争议时停止定性。</x:v>
      </x:c>
      <x:c r="T446" s="24" t="str">
        <x:v>近位提高直接相关性；远位仅保留背景、阶段或低置信修正。</x:v>
      </x:c>
      <x:c r="U446" s="24" t="str">
        <x:v>90</x:v>
      </x:c>
      <x:c r="V446" s="24" t="str">
        <x:v>按状态±2—8</x:v>
      </x:c>
      <x:c r="W446" s="24" t="str">
        <x:v>state_modifier</x:v>
      </x:c>
      <x:c r="X446" s="24" t="str">
        <x:v>原十神保护功能按化神系统替换。</x:v>
      </x:c>
      <x:c r="Y446" s="24" t="str">
        <x:v>在“真合化成立”状态下，原十神保护功能按化神系统替换。</x:v>
      </x:c>
      <x:c r="Z446" s="24" t="str">
        <x:v>不得仅凭本规则断定问题已经解决、关系必然稳定、用户一定成熟、某十神天然是“药”、喜用神自动等于解决办法，或淡化暴力、强迫与现实伤害；现实行为、反例、安全事实和专业支持优先。</x:v>
      </x:c>
      <x:c r="AA446" s="24" t="str">
        <x:v>中高</x:v>
      </x:c>
      <x:c r="AB446" s="24" t="str">
        <x:v>待验证</x:v>
      </x:c>
      <x:c r="AC446" s="24" t="str"/>
      <x:c r="AD446" s="24" t="str">
        <x:v>provisional=true；保护因素的现实有效性必须由可观察行为、反馈和持续结果验证。</x:v>
      </x:c>
      <x:c r="AE446" s="24" t="str">
        <x:v>0.8</x:v>
      </x:c>
    </x:row>
    <x:row r="447" ht="52" customHeight="1">
      <x:c r="A447" s="24" t="str">
        <x:v>M4-BUFFER-446</x:v>
      </x:c>
      <x:c r="B447" s="24" t="str">
        <x:v>SM15 真合化成立｜使用边界</x:v>
      </x:c>
      <x:c r="C447" s="24" t="str">
        <x:v>L9 状态与动态修正</x:v>
      </x:c>
      <x:c r="D447" s="24" t="str">
        <x:v>BUFFER-状态修正</x:v>
      </x:c>
      <x:c r="E447" s="24" t="str">
        <x:v>通用</x:v>
      </x:c>
      <x:c r="F447" s="24" t="str">
        <x:v>边界</x:v>
      </x:c>
      <x:c r="G447" s="24" t="str">
        <x:v>SM15 真合化成立</x:v>
      </x:c>
      <x:c r="H447" s="24" t="str">
        <x:v>状态边界</x:v>
      </x:c>
      <x:c r="I447" s="24" t="str">
        <x:v>原功能清零，不得与化神重复计分。</x:v>
      </x:c>
      <x:c r="J447" s="24" t="str">
        <x:v>存在独立现实证据支持更强结论。</x:v>
      </x:c>
      <x:c r="K447" s="24" t="str">
        <x:v>由共享基础引擎提供；仅修正保护功能的承载、持续调用和压力状态下的稳定性，不直接等同成熟度、道德或现实行为。</x:v>
      </x:c>
      <x:c r="L447" s="24" t="str">
        <x:v>由M1／M2接口提供；夫妻星、心动原型和关系门槛只说明关系议题，不单独证明保护因素已经被调用或有效。</x:v>
      </x:c>
      <x:c r="M447" s="24" t="str">
        <x:v>由M3-BASE及M4各模块提供；日支、日柱近位可提高与亲密关系核心的相关性，但同一source_id不得重复计分。</x:v>
      </x:c>
      <x:c r="N447" s="24" t="str">
        <x:v>保护因素必须明确限制过用、补足缺位、恢复顺序、打开反馈、落实改变或完成修复回流；不能只凭五行相生补写现实效果。</x:v>
      </x:c>
      <x:c r="O447" s="24" t="str">
        <x:v>近位提高进入亲密关系核心的概率；远位只作背景、阶段或条件性修正。</x:v>
      </x:c>
      <x:c r="P447" s="24" t="str">
        <x:v>根气只修正该保护功能是否容易重复调用，不等于现实中已经形成稳定保护。</x:v>
      </x:c>
      <x:c r="Q447" s="24" t="str">
        <x:v>旺弱只修正调用强度与承载；强不自动有效，弱也不自动无效。</x:v>
      </x:c>
      <x:c r="R447" s="24" t="str">
        <x:v>喜忌只修正摩擦、平衡与承载，不可直接翻译为好坏、成熟度或解决方案。</x:v>
      </x:c>
      <x:c r="S447" s="24" t="str">
        <x:v>原十神功能有效；真合化成立时按化神功能替换，合化争议时停止定性。</x:v>
      </x:c>
      <x:c r="T447" s="24" t="str">
        <x:v>近位提高直接相关性；远位仅保留背景、阶段或低置信修正。</x:v>
      </x:c>
      <x:c r="U447" s="24" t="str">
        <x:v>97</x:v>
      </x:c>
      <x:c r="V447" s="24" t="str">
        <x:v>封顶／降级</x:v>
      </x:c>
      <x:c r="W447" s="24" t="str">
        <x:v>boundary_note</x:v>
      </x:c>
      <x:c r="X447" s="24" t="str">
        <x:v>原功能清零，不得与化神重复计分。</x:v>
      </x:c>
      <x:c r="Y447" s="24" t="str">
        <x:v>需要注意：原功能清零，不得与化神重复计分。</x:v>
      </x:c>
      <x:c r="Z447" s="24" t="str">
        <x:v>不得仅凭本规则断定问题已经解决、关系必然稳定、用户一定成熟、某十神天然是“药”、喜用神自动等于解决办法，或淡化暴力、强迫与现实伤害；现实行为、反例、安全事实和专业支持优先。</x:v>
      </x:c>
      <x:c r="AA447" s="24" t="str">
        <x:v>高</x:v>
      </x:c>
      <x:c r="AB447" s="24" t="str">
        <x:v>待验证</x:v>
      </x:c>
      <x:c r="AC447" s="24" t="str"/>
      <x:c r="AD447" s="24" t="str">
        <x:v>provisional=true；保护因素的现实有效性必须由可观察行为、反馈和持续结果验证。</x:v>
      </x:c>
      <x:c r="AE447" s="24" t="str">
        <x:v>0.8</x:v>
      </x:c>
    </x:row>
    <x:row r="448" ht="52" customHeight="1">
      <x:c r="A448" s="24" t="str">
        <x:v>M4-BUFFER-447</x:v>
      </x:c>
      <x:c r="B448" s="24" t="str">
        <x:v>SM16 阶段覆盖与现实反例｜保护修正</x:v>
      </x:c>
      <x:c r="C448" s="24" t="str">
        <x:v>L9 状态与动态修正</x:v>
      </x:c>
      <x:c r="D448" s="24" t="str">
        <x:v>BUFFER-状态修正</x:v>
      </x:c>
      <x:c r="E448" s="24" t="str">
        <x:v>通用</x:v>
      </x:c>
      <x:c r="F448" s="24" t="str">
        <x:v>状态修正</x:v>
      </x:c>
      <x:c r="G448" s="24" t="str">
        <x:v>SM16 阶段覆盖与现实反例</x:v>
      </x:c>
      <x:c r="H448" s="24" t="str">
        <x:v>保护调用修正</x:v>
      </x:c>
      <x:c r="I448" s="24" t="str">
        <x:v>共享基础引擎确认SM16状态，且保护靶点已经明确。</x:v>
      </x:c>
      <x:c r="J448" s="24" t="str">
        <x:v>基础状态未定、合化争议或与现实反例冲突。</x:v>
      </x:c>
      <x:c r="K448" s="24" t="str">
        <x:v>由共享基础引擎提供；仅修正保护功能的承载、持续调用和压力状态下的稳定性，不直接等同成熟度、道德或现实行为。</x:v>
      </x:c>
      <x:c r="L448" s="24" t="str">
        <x:v>由M1／M2接口提供；夫妻星、心动原型和关系门槛只说明关系议题，不单独证明保护因素已经被调用或有效。</x:v>
      </x:c>
      <x:c r="M448" s="24" t="str">
        <x:v>由M3-BASE及M4各模块提供；日支、日柱近位可提高与亲密关系核心的相关性，但同一source_id不得重复计分。</x:v>
      </x:c>
      <x:c r="N448" s="24" t="str">
        <x:v>保护因素必须明确限制过用、补足缺位、恢复顺序、打开反馈、落实改变或完成修复回流；不能只凭五行相生补写现实效果。</x:v>
      </x:c>
      <x:c r="O448" s="24" t="str">
        <x:v>近位提高进入亲密关系核心的概率；远位只作背景、阶段或条件性修正。</x:v>
      </x:c>
      <x:c r="P448" s="24" t="str">
        <x:v>根气只修正该保护功能是否容易重复调用，不等于现实中已经形成稳定保护。</x:v>
      </x:c>
      <x:c r="Q448" s="24" t="str">
        <x:v>旺弱只修正调用强度与承载；强不自动有效，弱也不自动无效。</x:v>
      </x:c>
      <x:c r="R448" s="24" t="str">
        <x:v>喜忌只修正摩擦、平衡与承载，不可直接翻译为好坏、成熟度或解决方案。</x:v>
      </x:c>
      <x:c r="S448" s="24" t="str">
        <x:v>原十神功能有效；真合化成立时按化神功能替换，合化争议时停止定性。</x:v>
      </x:c>
      <x:c r="T448" s="24" t="str">
        <x:v>近位提高直接相关性；远位仅保留背景、阶段或低置信修正。</x:v>
      </x:c>
      <x:c r="U448" s="24" t="str">
        <x:v>90</x:v>
      </x:c>
      <x:c r="V448" s="24" t="str">
        <x:v>按状态±2—8</x:v>
      </x:c>
      <x:c r="W448" s="24" t="str">
        <x:v>state_modifier</x:v>
      </x:c>
      <x:c r="X448" s="24" t="str">
        <x:v>大运流年或生活阶段可提高资源显著度；现实反例直接修正。</x:v>
      </x:c>
      <x:c r="Y448" s="24" t="str">
        <x:v>在“阶段覆盖与现实反例”状态下，大运流年或生活阶段可提高资源显著度；现实反例直接修正。</x:v>
      </x:c>
      <x:c r="Z448" s="24" t="str">
        <x:v>不得仅凭本规则断定问题已经解决、关系必然稳定、用户一定成熟、某十神天然是“药”、喜用神自动等于解决办法，或淡化暴力、强迫与现实伤害；现实行为、反例、安全事实和专业支持优先。</x:v>
      </x:c>
      <x:c r="AA448" s="24" t="str">
        <x:v>中高</x:v>
      </x:c>
      <x:c r="AB448" s="24" t="str">
        <x:v>待验证</x:v>
      </x:c>
      <x:c r="AC448" s="24" t="str"/>
      <x:c r="AD448" s="24" t="str">
        <x:v>provisional=true；保护因素的现实有效性必须由可观察行为、反馈和持续结果验证。</x:v>
      </x:c>
      <x:c r="AE448" s="24" t="str">
        <x:v>0.8</x:v>
      </x:c>
    </x:row>
    <x:row r="449" ht="52" customHeight="1">
      <x:c r="A449" s="24" t="str">
        <x:v>M4-BUFFER-448</x:v>
      </x:c>
      <x:c r="B449" s="24" t="str">
        <x:v>SM16 阶段覆盖与现实反例｜使用边界</x:v>
      </x:c>
      <x:c r="C449" s="24" t="str">
        <x:v>L9 状态与动态修正</x:v>
      </x:c>
      <x:c r="D449" s="24" t="str">
        <x:v>BUFFER-状态修正</x:v>
      </x:c>
      <x:c r="E449" s="24" t="str">
        <x:v>通用</x:v>
      </x:c>
      <x:c r="F449" s="24" t="str">
        <x:v>边界</x:v>
      </x:c>
      <x:c r="G449" s="24" t="str">
        <x:v>SM16 阶段覆盖与现实反例</x:v>
      </x:c>
      <x:c r="H449" s="24" t="str">
        <x:v>状态边界</x:v>
      </x:c>
      <x:c r="I449" s="24" t="str">
        <x:v>阶段不能创造不存在的现实支持，反例优先。</x:v>
      </x:c>
      <x:c r="J449" s="24" t="str">
        <x:v>存在独立现实证据支持更强结论。</x:v>
      </x:c>
      <x:c r="K449" s="24" t="str">
        <x:v>由共享基础引擎提供；仅修正保护功能的承载、持续调用和压力状态下的稳定性，不直接等同成熟度、道德或现实行为。</x:v>
      </x:c>
      <x:c r="L449" s="24" t="str">
        <x:v>由M1／M2接口提供；夫妻星、心动原型和关系门槛只说明关系议题，不单独证明保护因素已经被调用或有效。</x:v>
      </x:c>
      <x:c r="M449" s="24" t="str">
        <x:v>由M3-BASE及M4各模块提供；日支、日柱近位可提高与亲密关系核心的相关性，但同一source_id不得重复计分。</x:v>
      </x:c>
      <x:c r="N449" s="24" t="str">
        <x:v>保护因素必须明确限制过用、补足缺位、恢复顺序、打开反馈、落实改变或完成修复回流；不能只凭五行相生补写现实效果。</x:v>
      </x:c>
      <x:c r="O449" s="24" t="str">
        <x:v>近位提高进入亲密关系核心的概率；远位只作背景、阶段或条件性修正。</x:v>
      </x:c>
      <x:c r="P449" s="24" t="str">
        <x:v>根气只修正该保护功能是否容易重复调用，不等于现实中已经形成稳定保护。</x:v>
      </x:c>
      <x:c r="Q449" s="24" t="str">
        <x:v>旺弱只修正调用强度与承载；强不自动有效，弱也不自动无效。</x:v>
      </x:c>
      <x:c r="R449" s="24" t="str">
        <x:v>喜忌只修正摩擦、平衡与承载，不可直接翻译为好坏、成熟度或解决方案。</x:v>
      </x:c>
      <x:c r="S449" s="24" t="str">
        <x:v>原十神功能有效；真合化成立时按化神功能替换，合化争议时停止定性。</x:v>
      </x:c>
      <x:c r="T449" s="24" t="str">
        <x:v>近位提高直接相关性；远位仅保留背景、阶段或低置信修正。</x:v>
      </x:c>
      <x:c r="U449" s="24" t="str">
        <x:v>97</x:v>
      </x:c>
      <x:c r="V449" s="24" t="str">
        <x:v>封顶／降级</x:v>
      </x:c>
      <x:c r="W449" s="24" t="str">
        <x:v>boundary_note</x:v>
      </x:c>
      <x:c r="X449" s="24" t="str">
        <x:v>阶段不能创造不存在的现实支持，反例优先。</x:v>
      </x:c>
      <x:c r="Y449" s="24" t="str">
        <x:v>需要注意：阶段不能创造不存在的现实支持，反例优先。</x:v>
      </x:c>
      <x:c r="Z449" s="24" t="str">
        <x:v>不得仅凭本规则断定问题已经解决、关系必然稳定、用户一定成熟、某十神天然是“药”、喜用神自动等于解决办法，或淡化暴力、强迫与现实伤害；现实行为、反例、安全事实和专业支持优先。</x:v>
      </x:c>
      <x:c r="AA449" s="24" t="str">
        <x:v>高</x:v>
      </x:c>
      <x:c r="AB449" s="24" t="str">
        <x:v>待验证</x:v>
      </x:c>
      <x:c r="AC449" s="24" t="str"/>
      <x:c r="AD449" s="24" t="str">
        <x:v>provisional=true；保护因素的现实有效性必须由可观察行为、反馈和持续结果验证。</x:v>
      </x:c>
      <x:c r="AE449" s="24" t="str">
        <x:v>0.8</x:v>
      </x:c>
    </x:row>
    <x:row r="450" ht="52" customHeight="1">
      <x:c r="A450" s="24" t="str">
        <x:v>M4-BUFFER-449</x:v>
      </x:c>
      <x:c r="B450" s="24" t="str">
        <x:v>OS01 现实反例与成功经验｜现实支持定义</x:v>
      </x:c>
      <x:c r="C450" s="24" t="str">
        <x:v>L10 外部支持与现实证据</x:v>
      </x:c>
      <x:c r="D450" s="24" t="str">
        <x:v>BUFFER-现实支持</x:v>
      </x:c>
      <x:c r="E450" s="24" t="str">
        <x:v>通用</x:v>
      </x:c>
      <x:c r="F450" s="24" t="str">
        <x:v>定义</x:v>
      </x:c>
      <x:c r="G450" s="24" t="str">
        <x:v>OS01 现实反例与成功经验</x:v>
      </x:c>
      <x:c r="H450" s="24" t="str">
        <x:v>定义外部支持输入。</x:v>
      </x:c>
      <x:c r="I450" s="24" t="str">
        <x:v>记录同类触发下没有进入风险链、或成功中断风险链的具体事件。</x:v>
      </x:c>
      <x:c r="J450" s="24" t="str">
        <x:v>仅由命盘推测或没有现实来源。</x:v>
      </x:c>
      <x:c r="K450" s="24" t="str">
        <x:v>由共享基础引擎提供；仅修正保护功能的承载、持续调用和压力状态下的稳定性，不直接等同成熟度、道德或现实行为。</x:v>
      </x:c>
      <x:c r="L450" s="24" t="str">
        <x:v>由M1／M2接口提供；夫妻星、心动原型和关系门槛只说明关系议题，不单独证明保护因素已经被调用或有效。</x:v>
      </x:c>
      <x:c r="M450" s="24" t="str">
        <x:v>由M3-BASE及M4各模块提供；日支、日柱近位可提高与亲密关系核心的相关性，但同一source_id不得重复计分。</x:v>
      </x:c>
      <x:c r="N450" s="24" t="str">
        <x:v>保护因素必须明确限制过用、补足缺位、恢复顺序、打开反馈、落实改变或完成修复回流；不能只凭五行相生补写现实效果。</x:v>
      </x:c>
      <x:c r="O450" s="24" t="str">
        <x:v>近位提高进入亲密关系核心的概率；远位只作背景、阶段或条件性修正。</x:v>
      </x:c>
      <x:c r="P450" s="24" t="str">
        <x:v>根气只修正该保护功能是否容易重复调用，不等于现实中已经形成稳定保护。</x:v>
      </x:c>
      <x:c r="Q450" s="24" t="str">
        <x:v>旺弱只修正调用强度与承载；强不自动有效，弱也不自动无效。</x:v>
      </x:c>
      <x:c r="R450" s="24" t="str">
        <x:v>喜忌只修正摩擦、平衡与承载，不可直接翻译为好坏、成熟度或解决方案。</x:v>
      </x:c>
      <x:c r="S450" s="24" t="str">
        <x:v>原十神功能有效；真合化成立时按化神功能替换，合化争议时停止定性。</x:v>
      </x:c>
      <x:c r="T450" s="24" t="str">
        <x:v>近位提高直接相关性；远位仅保留背景、阶段或低置信修正。</x:v>
      </x:c>
      <x:c r="U450" s="24" t="str">
        <x:v>95</x:v>
      </x:c>
      <x:c r="V450" s="24" t="str">
        <x:v>现实输入+0</x:v>
      </x:c>
      <x:c r="W450" s="24" t="str">
        <x:v>external_support</x:v>
      </x:c>
      <x:c r="X450" s="24" t="str">
        <x:v>记录同类触发下没有进入风险链、或成功中断风险链的具体事件。</x:v>
      </x:c>
      <x:c r="Y450" s="24" t="str">
        <x:v>现实中可利用的支持包括：记录同类触发下没有进入风险链、或成功中断风险链的具体事件。</x:v>
      </x:c>
      <x:c r="Z450" s="24" t="str">
        <x:v>不得仅凭本规则断定问题已经解决、关系必然稳定、用户一定成熟、某十神天然是“药”、喜用神自动等于解决办法，或淡化暴力、强迫与现实伤害；现实行为、反例、安全事实和专业支持优先。</x:v>
      </x:c>
      <x:c r="AA450" s="24" t="str">
        <x:v>高</x:v>
      </x:c>
      <x:c r="AB450" s="24" t="str">
        <x:v>待验证</x:v>
      </x:c>
      <x:c r="AC450" s="24" t="str"/>
      <x:c r="AD450" s="24" t="str">
        <x:v>provisional=true；保护因素的现实有效性必须由可观察行为、反馈和持续结果验证。</x:v>
      </x:c>
      <x:c r="AE450" s="24" t="str">
        <x:v>0.8</x:v>
      </x:c>
    </x:row>
    <x:row r="451" ht="52" customHeight="1">
      <x:c r="A451" s="24" t="str">
        <x:v>M4-BUFFER-450</x:v>
      </x:c>
      <x:c r="B451" s="24" t="str">
        <x:v>OS01 现实反例与成功经验｜适用情境</x:v>
      </x:c>
      <x:c r="C451" s="24" t="str">
        <x:v>L10 外部支持与现实证据</x:v>
      </x:c>
      <x:c r="D451" s="24" t="str">
        <x:v>BUFFER-现实支持</x:v>
      </x:c>
      <x:c r="E451" s="24" t="str">
        <x:v>通用</x:v>
      </x:c>
      <x:c r="F451" s="24" t="str">
        <x:v>路由</x:v>
      </x:c>
      <x:c r="G451" s="24" t="str">
        <x:v>OS01 现实反例与成功经验</x:v>
      </x:c>
      <x:c r="H451" s="24" t="str">
        <x:v>说明何时调用该支持。</x:v>
      </x:c>
      <x:c r="I451" s="24" t="str">
        <x:v>用于降低候选强度、识别条件性模式，并校验保护是否真实有效。</x:v>
      </x:c>
      <x:c r="J451" s="24" t="str">
        <x:v>功能与当前风险靶点不匹配。</x:v>
      </x:c>
      <x:c r="K451" s="24" t="str">
        <x:v>由共享基础引擎提供；仅修正保护功能的承载、持续调用和压力状态下的稳定性，不直接等同成熟度、道德或现实行为。</x:v>
      </x:c>
      <x:c r="L451" s="24" t="str">
        <x:v>由M1／M2接口提供；夫妻星、心动原型和关系门槛只说明关系议题，不单独证明保护因素已经被调用或有效。</x:v>
      </x:c>
      <x:c r="M451" s="24" t="str">
        <x:v>由M3-BASE及M4各模块提供；日支、日柱近位可提高与亲密关系核心的相关性，但同一source_id不得重复计分。</x:v>
      </x:c>
      <x:c r="N451" s="24" t="str">
        <x:v>保护因素必须明确限制过用、补足缺位、恢复顺序、打开反馈、落实改变或完成修复回流；不能只凭五行相生补写现实效果。</x:v>
      </x:c>
      <x:c r="O451" s="24" t="str">
        <x:v>近位提高进入亲密关系核心的概率；远位只作背景、阶段或条件性修正。</x:v>
      </x:c>
      <x:c r="P451" s="24" t="str">
        <x:v>根气只修正该保护功能是否容易重复调用，不等于现实中已经形成稳定保护。</x:v>
      </x:c>
      <x:c r="Q451" s="24" t="str">
        <x:v>旺弱只修正调用强度与承载；强不自动有效，弱也不自动无效。</x:v>
      </x:c>
      <x:c r="R451" s="24" t="str">
        <x:v>喜忌只修正摩擦、平衡与承载，不可直接翻译为好坏、成熟度或解决方案。</x:v>
      </x:c>
      <x:c r="S451" s="24" t="str">
        <x:v>原十神功能有效；真合化成立时按化神功能替换，合化争议时停止定性。</x:v>
      </x:c>
      <x:c r="T451" s="24" t="str">
        <x:v>近位提高直接相关性；远位仅保留背景、阶段或低置信修正。</x:v>
      </x:c>
      <x:c r="U451" s="24" t="str">
        <x:v>91</x:v>
      </x:c>
      <x:c r="V451" s="24" t="str">
        <x:v>匹配+5</x:v>
      </x:c>
      <x:c r="W451" s="24" t="str">
        <x:v>buffer_target</x:v>
      </x:c>
      <x:c r="X451" s="24" t="str">
        <x:v>用于降低候选强度、识别条件性模式，并校验保护是否真实有效。</x:v>
      </x:c>
      <x:c r="Y451" s="24" t="str">
        <x:v>这类支持更适合用于：用于降低候选强度、识别条件性模式，并校验保护是否真实有效。</x:v>
      </x:c>
      <x:c r="Z451" s="24" t="str">
        <x:v>不得仅凭本规则断定问题已经解决、关系必然稳定、用户一定成熟、某十神天然是“药”、喜用神自动等于解决办法，或淡化暴力、强迫与现实伤害；现实行为、反例、安全事实和专业支持优先。</x:v>
      </x:c>
      <x:c r="AA451" s="24" t="str">
        <x:v>中高</x:v>
      </x:c>
      <x:c r="AB451" s="24" t="str">
        <x:v>待验证</x:v>
      </x:c>
      <x:c r="AC451" s="24" t="str"/>
      <x:c r="AD451" s="24" t="str">
        <x:v>provisional=true；保护因素的现实有效性必须由可观察行为、反馈和持续结果验证。</x:v>
      </x:c>
      <x:c r="AE451" s="24" t="str">
        <x:v>0.8</x:v>
      </x:c>
    </x:row>
    <x:row r="452" ht="52" customHeight="1">
      <x:c r="A452" s="24" t="str">
        <x:v>M4-BUFFER-451</x:v>
      </x:c>
      <x:c r="B452" s="24" t="str">
        <x:v>OS01 现实反例与成功经验｜有效证据</x:v>
      </x:c>
      <x:c r="C452" s="24" t="str">
        <x:v>L10 外部支持与现实证据</x:v>
      </x:c>
      <x:c r="D452" s="24" t="str">
        <x:v>BUFFER-现实支持</x:v>
      </x:c>
      <x:c r="E452" s="24" t="str">
        <x:v>通用</x:v>
      </x:c>
      <x:c r="F452" s="24" t="str">
        <x:v>效果</x:v>
      </x:c>
      <x:c r="G452" s="24" t="str">
        <x:v>OS01 现实反例与成功经验</x:v>
      </x:c>
      <x:c r="H452" s="24" t="str">
        <x:v>判断外部支持是否真实改变风险链。</x:v>
      </x:c>
      <x:c r="I452" s="24" t="str">
        <x:v>若成功经验包含清楚触发、保护动作和后续结果，可升级BL4—BL6。</x:v>
      </x:c>
      <x:c r="J452" s="24" t="str">
        <x:v>一次成功不等于稳定保护；需纳入失败事件和情境差异。</x:v>
      </x:c>
      <x:c r="K452" s="24" t="str">
        <x:v>由共享基础引擎提供；仅修正保护功能的承载、持续调用和压力状态下的稳定性，不直接等同成熟度、道德或现实行为。</x:v>
      </x:c>
      <x:c r="L452" s="24" t="str">
        <x:v>由M1／M2接口提供；夫妻星、心动原型和关系门槛只说明关系议题，不单独证明保护因素已经被调用或有效。</x:v>
      </x:c>
      <x:c r="M452" s="24" t="str">
        <x:v>由M3-BASE及M4各模块提供；日支、日柱近位可提高与亲密关系核心的相关性，但同一source_id不得重复计分。</x:v>
      </x:c>
      <x:c r="N452" s="24" t="str">
        <x:v>保护因素必须明确限制过用、补足缺位、恢复顺序、打开反馈、落实改变或完成修复回流；不能只凭五行相生补写现实效果。</x:v>
      </x:c>
      <x:c r="O452" s="24" t="str">
        <x:v>近位提高进入亲密关系核心的概率；远位只作背景、阶段或条件性修正。</x:v>
      </x:c>
      <x:c r="P452" s="24" t="str">
        <x:v>根气只修正该保护功能是否容易重复调用，不等于现实中已经形成稳定保护。</x:v>
      </x:c>
      <x:c r="Q452" s="24" t="str">
        <x:v>旺弱只修正调用强度与承载；强不自动有效，弱也不自动无效。</x:v>
      </x:c>
      <x:c r="R452" s="24" t="str">
        <x:v>喜忌只修正摩擦、平衡与承载，不可直接翻译为好坏、成熟度或解决方案。</x:v>
      </x:c>
      <x:c r="S452" s="24" t="str">
        <x:v>原十神功能有效；真合化成立时按化神功能替换，合化争议时停止定性。</x:v>
      </x:c>
      <x:c r="T452" s="24" t="str">
        <x:v>近位提高直接相关性；远位仅保留背景、阶段或低置信修正。</x:v>
      </x:c>
      <x:c r="U452" s="24" t="str">
        <x:v>93</x:v>
      </x:c>
      <x:c r="V452" s="24" t="str">
        <x:v>现实有效+12</x:v>
      </x:c>
      <x:c r="W452" s="24" t="str">
        <x:v>buffer_level</x:v>
      </x:c>
      <x:c r="X452" s="24" t="str">
        <x:v>若成功经验包含清楚触发、保护动作和后续结果，可升级BL4—BL6。</x:v>
      </x:c>
      <x:c r="Y452" s="24" t="str">
        <x:v>真正有效时会看到：若成功经验包含清楚触发、保护动作和后续结果，可升级BL4—BL6。</x:v>
      </x:c>
      <x:c r="Z452" s="24" t="str">
        <x:v>不得仅凭本规则断定问题已经解决、关系必然稳定、用户一定成熟、某十神天然是“药”、喜用神自动等于解决办法，或淡化暴力、强迫与现实伤害；现实行为、反例、安全事实和专业支持优先。</x:v>
      </x:c>
      <x:c r="AA452" s="24" t="str">
        <x:v>中高</x:v>
      </x:c>
      <x:c r="AB452" s="24" t="str">
        <x:v>待验证</x:v>
      </x:c>
      <x:c r="AC452" s="24" t="str"/>
      <x:c r="AD452" s="24" t="str">
        <x:v>provisional=true；保护因素的现实有效性必须由可观察行为、反馈和持续结果验证。</x:v>
      </x:c>
      <x:c r="AE452" s="24" t="str">
        <x:v>0.8</x:v>
      </x:c>
    </x:row>
    <x:row r="453" ht="52" customHeight="1">
      <x:c r="A453" s="24" t="str">
        <x:v>M4-BUFFER-452</x:v>
      </x:c>
      <x:c r="B453" s="24" t="str">
        <x:v>OS01 现实反例与成功经验｜使用边界</x:v>
      </x:c>
      <x:c r="C453" s="24" t="str">
        <x:v>L10 外部支持与现实证据</x:v>
      </x:c>
      <x:c r="D453" s="24" t="str">
        <x:v>BUFFER-现实支持</x:v>
      </x:c>
      <x:c r="E453" s="24" t="str">
        <x:v>通用</x:v>
      </x:c>
      <x:c r="F453" s="24" t="str">
        <x:v>边界</x:v>
      </x:c>
      <x:c r="G453" s="24" t="str">
        <x:v>OS01 现实反例与成功经验</x:v>
      </x:c>
      <x:c r="H453" s="24" t="str">
        <x:v>限制外部支持推断。</x:v>
      </x:c>
      <x:c r="I453" s="24" t="str">
        <x:v>一次成功不等于稳定保护；需纳入失败事件和情境差异。</x:v>
      </x:c>
      <x:c r="J453" s="24" t="str">
        <x:v>现实专业或安全评估明确支持更强行动。</x:v>
      </x:c>
      <x:c r="K453" s="24" t="str">
        <x:v>由共享基础引擎提供；仅修正保护功能的承载、持续调用和压力状态下的稳定性，不直接等同成熟度、道德或现实行为。</x:v>
      </x:c>
      <x:c r="L453" s="24" t="str">
        <x:v>由M1／M2接口提供；夫妻星、心动原型和关系门槛只说明关系议题，不单独证明保护因素已经被调用或有效。</x:v>
      </x:c>
      <x:c r="M453" s="24" t="str">
        <x:v>由M3-BASE及M4各模块提供；日支、日柱近位可提高与亲密关系核心的相关性，但同一source_id不得重复计分。</x:v>
      </x:c>
      <x:c r="N453" s="24" t="str">
        <x:v>保护因素必须明确限制过用、补足缺位、恢复顺序、打开反馈、落实改变或完成修复回流；不能只凭五行相生补写现实效果。</x:v>
      </x:c>
      <x:c r="O453" s="24" t="str">
        <x:v>近位提高进入亲密关系核心的概率；远位只作背景、阶段或条件性修正。</x:v>
      </x:c>
      <x:c r="P453" s="24" t="str">
        <x:v>根气只修正该保护功能是否容易重复调用，不等于现实中已经形成稳定保护。</x:v>
      </x:c>
      <x:c r="Q453" s="24" t="str">
        <x:v>旺弱只修正调用强度与承载；强不自动有效，弱也不自动无效。</x:v>
      </x:c>
      <x:c r="R453" s="24" t="str">
        <x:v>喜忌只修正摩擦、平衡与承载，不可直接翻译为好坏、成熟度或解决方案。</x:v>
      </x:c>
      <x:c r="S453" s="24" t="str">
        <x:v>原十神功能有效；真合化成立时按化神功能替换，合化争议时停止定性。</x:v>
      </x:c>
      <x:c r="T453" s="24" t="str">
        <x:v>近位提高直接相关性；远位仅保留背景、阶段或低置信修正。</x:v>
      </x:c>
      <x:c r="U453" s="24" t="str">
        <x:v>99</x:v>
      </x:c>
      <x:c r="V453" s="24" t="str">
        <x:v>边界／停止</x:v>
      </x:c>
      <x:c r="W453" s="24" t="str">
        <x:v>boundary_note</x:v>
      </x:c>
      <x:c r="X453" s="24" t="str">
        <x:v>一次成功不等于稳定保护；需纳入失败事件和情境差异。</x:v>
      </x:c>
      <x:c r="Y453" s="24" t="str">
        <x:v>需要注意：一次成功不等于稳定保护；需纳入失败事件和情境差异。</x:v>
      </x:c>
      <x:c r="Z453" s="24" t="str">
        <x:v>不得仅凭本规则断定问题已经解决、关系必然稳定、用户一定成熟、某十神天然是“药”、喜用神自动等于解决办法，或淡化暴力、强迫与现实伤害；现实行为、反例、安全事实和专业支持优先。</x:v>
      </x:c>
      <x:c r="AA453" s="24" t="str">
        <x:v>高</x:v>
      </x:c>
      <x:c r="AB453" s="24" t="str">
        <x:v>待验证</x:v>
      </x:c>
      <x:c r="AC453" s="24" t="str"/>
      <x:c r="AD453" s="24" t="str">
        <x:v>provisional=true；保护因素的现实有效性必须由可观察行为、反馈和持续结果验证。</x:v>
      </x:c>
      <x:c r="AE453" s="24" t="str">
        <x:v>0.8</x:v>
      </x:c>
    </x:row>
    <x:row r="454" ht="52" customHeight="1">
      <x:c r="A454" s="24" t="str">
        <x:v>M4-BUFFER-453</x:v>
      </x:c>
      <x:c r="B454" s="24" t="str">
        <x:v>OS02 伴侣可观察反馈｜现实支持定义</x:v>
      </x:c>
      <x:c r="C454" s="24" t="str">
        <x:v>L10 外部支持与现实证据</x:v>
      </x:c>
      <x:c r="D454" s="24" t="str">
        <x:v>BUFFER-现实支持</x:v>
      </x:c>
      <x:c r="E454" s="24" t="str">
        <x:v>通用</x:v>
      </x:c>
      <x:c r="F454" s="24" t="str">
        <x:v>定义</x:v>
      </x:c>
      <x:c r="G454" s="24" t="str">
        <x:v>OS02 伴侣可观察反馈</x:v>
      </x:c>
      <x:c r="H454" s="24" t="str">
        <x:v>定义外部支持输入。</x:v>
      </x:c>
      <x:c r="I454" s="24" t="str">
        <x:v>由伴侣或互动对象提供对表达、边界、行动、修复是否被接收的具体反馈。</x:v>
      </x:c>
      <x:c r="J454" s="24" t="str">
        <x:v>仅由命盘推测或没有现实来源。</x:v>
      </x:c>
      <x:c r="K454" s="24" t="str">
        <x:v>由共享基础引擎提供；仅修正保护功能的承载、持续调用和压力状态下的稳定性，不直接等同成熟度、道德或现实行为。</x:v>
      </x:c>
      <x:c r="L454" s="24" t="str">
        <x:v>由M1／M2接口提供；夫妻星、心动原型和关系门槛只说明关系议题，不单独证明保护因素已经被调用或有效。</x:v>
      </x:c>
      <x:c r="M454" s="24" t="str">
        <x:v>由M3-BASE及M4各模块提供；日支、日柱近位可提高与亲密关系核心的相关性，但同一source_id不得重复计分。</x:v>
      </x:c>
      <x:c r="N454" s="24" t="str">
        <x:v>保护因素必须明确限制过用、补足缺位、恢复顺序、打开反馈、落实改变或完成修复回流；不能只凭五行相生补写现实效果。</x:v>
      </x:c>
      <x:c r="O454" s="24" t="str">
        <x:v>近位提高进入亲密关系核心的概率；远位只作背景、阶段或条件性修正。</x:v>
      </x:c>
      <x:c r="P454" s="24" t="str">
        <x:v>根气只修正该保护功能是否容易重复调用，不等于现实中已经形成稳定保护。</x:v>
      </x:c>
      <x:c r="Q454" s="24" t="str">
        <x:v>旺弱只修正调用强度与承载；强不自动有效，弱也不自动无效。</x:v>
      </x:c>
      <x:c r="R454" s="24" t="str">
        <x:v>喜忌只修正摩擦、平衡与承载，不可直接翻译为好坏、成熟度或解决方案。</x:v>
      </x:c>
      <x:c r="S454" s="24" t="str">
        <x:v>原十神功能有效；真合化成立时按化神功能替换，合化争议时停止定性。</x:v>
      </x:c>
      <x:c r="T454" s="24" t="str">
        <x:v>近位提高直接相关性；远位仅保留背景、阶段或低置信修正。</x:v>
      </x:c>
      <x:c r="U454" s="24" t="str">
        <x:v>95</x:v>
      </x:c>
      <x:c r="V454" s="24" t="str">
        <x:v>现实输入+0</x:v>
      </x:c>
      <x:c r="W454" s="24" t="str">
        <x:v>external_support</x:v>
      </x:c>
      <x:c r="X454" s="24" t="str">
        <x:v>由伴侣或互动对象提供对表达、边界、行动、修复是否被接收的具体反馈。</x:v>
      </x:c>
      <x:c r="Y454" s="24" t="str">
        <x:v>现实中可利用的支持包括：由伴侣或互动对象提供对表达、边界、行动、修复是否被接收的具体反馈。</x:v>
      </x:c>
      <x:c r="Z454" s="24" t="str">
        <x:v>不得仅凭本规则断定问题已经解决、关系必然稳定、用户一定成熟、某十神天然是“药”、喜用神自动等于解决办法，或淡化暴力、强迫与现实伤害；现实行为、反例、安全事实和专业支持优先。</x:v>
      </x:c>
      <x:c r="AA454" s="24" t="str">
        <x:v>高</x:v>
      </x:c>
      <x:c r="AB454" s="24" t="str">
        <x:v>待验证</x:v>
      </x:c>
      <x:c r="AC454" s="24" t="str"/>
      <x:c r="AD454" s="24" t="str">
        <x:v>provisional=true；保护因素的现实有效性必须由可观察行为、反馈和持续结果验证。</x:v>
      </x:c>
      <x:c r="AE454" s="24" t="str">
        <x:v>0.8</x:v>
      </x:c>
    </x:row>
    <x:row r="455" ht="52" customHeight="1">
      <x:c r="A455" s="24" t="str">
        <x:v>M4-BUFFER-454</x:v>
      </x:c>
      <x:c r="B455" s="24" t="str">
        <x:v>OS02 伴侣可观察反馈｜适用情境</x:v>
      </x:c>
      <x:c r="C455" s="24" t="str">
        <x:v>L10 外部支持与现实证据</x:v>
      </x:c>
      <x:c r="D455" s="24" t="str">
        <x:v>BUFFER-现实支持</x:v>
      </x:c>
      <x:c r="E455" s="24" t="str">
        <x:v>通用</x:v>
      </x:c>
      <x:c r="F455" s="24" t="str">
        <x:v>路由</x:v>
      </x:c>
      <x:c r="G455" s="24" t="str">
        <x:v>OS02 伴侣可观察反馈</x:v>
      </x:c>
      <x:c r="H455" s="24" t="str">
        <x:v>说明何时调用该支持。</x:v>
      </x:c>
      <x:c r="I455" s="24" t="str">
        <x:v>用于验证BF04、BF05、BF07及循环是否真正被中断。</x:v>
      </x:c>
      <x:c r="J455" s="24" t="str">
        <x:v>功能与当前风险靶点不匹配。</x:v>
      </x:c>
      <x:c r="K455" s="24" t="str">
        <x:v>由共享基础引擎提供；仅修正保护功能的承载、持续调用和压力状态下的稳定性，不直接等同成熟度、道德或现实行为。</x:v>
      </x:c>
      <x:c r="L455" s="24" t="str">
        <x:v>由M1／M2接口提供；夫妻星、心动原型和关系门槛只说明关系议题，不单独证明保护因素已经被调用或有效。</x:v>
      </x:c>
      <x:c r="M455" s="24" t="str">
        <x:v>由M3-BASE及M4各模块提供；日支、日柱近位可提高与亲密关系核心的相关性，但同一source_id不得重复计分。</x:v>
      </x:c>
      <x:c r="N455" s="24" t="str">
        <x:v>保护因素必须明确限制过用、补足缺位、恢复顺序、打开反馈、落实改变或完成修复回流；不能只凭五行相生补写现实效果。</x:v>
      </x:c>
      <x:c r="O455" s="24" t="str">
        <x:v>近位提高进入亲密关系核心的概率；远位只作背景、阶段或条件性修正。</x:v>
      </x:c>
      <x:c r="P455" s="24" t="str">
        <x:v>根气只修正该保护功能是否容易重复调用，不等于现实中已经形成稳定保护。</x:v>
      </x:c>
      <x:c r="Q455" s="24" t="str">
        <x:v>旺弱只修正调用强度与承载；强不自动有效，弱也不自动无效。</x:v>
      </x:c>
      <x:c r="R455" s="24" t="str">
        <x:v>喜忌只修正摩擦、平衡与承载，不可直接翻译为好坏、成熟度或解决方案。</x:v>
      </x:c>
      <x:c r="S455" s="24" t="str">
        <x:v>原十神功能有效；真合化成立时按化神功能替换，合化争议时停止定性。</x:v>
      </x:c>
      <x:c r="T455" s="24" t="str">
        <x:v>近位提高直接相关性；远位仅保留背景、阶段或低置信修正。</x:v>
      </x:c>
      <x:c r="U455" s="24" t="str">
        <x:v>91</x:v>
      </x:c>
      <x:c r="V455" s="24" t="str">
        <x:v>匹配+5</x:v>
      </x:c>
      <x:c r="W455" s="24" t="str">
        <x:v>buffer_target</x:v>
      </x:c>
      <x:c r="X455" s="24" t="str">
        <x:v>用于验证BF04、BF05、BF07及循环是否真正被中断。</x:v>
      </x:c>
      <x:c r="Y455" s="24" t="str">
        <x:v>这类支持更适合用于：用于验证BF04、BF05、BF07及循环是否真正被中断。</x:v>
      </x:c>
      <x:c r="Z455" s="24" t="str">
        <x:v>不得仅凭本规则断定问题已经解决、关系必然稳定、用户一定成熟、某十神天然是“药”、喜用神自动等于解决办法，或淡化暴力、强迫与现实伤害；现实行为、反例、安全事实和专业支持优先。</x:v>
      </x:c>
      <x:c r="AA455" s="24" t="str">
        <x:v>中高</x:v>
      </x:c>
      <x:c r="AB455" s="24" t="str">
        <x:v>待验证</x:v>
      </x:c>
      <x:c r="AC455" s="24" t="str"/>
      <x:c r="AD455" s="24" t="str">
        <x:v>provisional=true；保护因素的现实有效性必须由可观察行为、反馈和持续结果验证。</x:v>
      </x:c>
      <x:c r="AE455" s="24" t="str">
        <x:v>0.8</x:v>
      </x:c>
    </x:row>
    <x:row r="456" ht="52" customHeight="1">
      <x:c r="A456" s="24" t="str">
        <x:v>M4-BUFFER-455</x:v>
      </x:c>
      <x:c r="B456" s="24" t="str">
        <x:v>OS02 伴侣可观察反馈｜有效证据</x:v>
      </x:c>
      <x:c r="C456" s="24" t="str">
        <x:v>L10 外部支持与现实证据</x:v>
      </x:c>
      <x:c r="D456" s="24" t="str">
        <x:v>BUFFER-现实支持</x:v>
      </x:c>
      <x:c r="E456" s="24" t="str">
        <x:v>通用</x:v>
      </x:c>
      <x:c r="F456" s="24" t="str">
        <x:v>效果</x:v>
      </x:c>
      <x:c r="G456" s="24" t="str">
        <x:v>OS02 伴侣可观察反馈</x:v>
      </x:c>
      <x:c r="H456" s="24" t="str">
        <x:v>判断外部支持是否真实改变风险链。</x:v>
      </x:c>
      <x:c r="I456" s="24" t="str">
        <x:v>反馈被整合并引发二次调整时，可提高保护有效层级。</x:v>
      </x:c>
      <x:c r="J456" s="24" t="str">
        <x:v>不得替对方猜测动机；只记录可观察行为和明确表达。</x:v>
      </x:c>
      <x:c r="K456" s="24" t="str">
        <x:v>由共享基础引擎提供；仅修正保护功能的承载、持续调用和压力状态下的稳定性，不直接等同成熟度、道德或现实行为。</x:v>
      </x:c>
      <x:c r="L456" s="24" t="str">
        <x:v>由M1／M2接口提供；夫妻星、心动原型和关系门槛只说明关系议题，不单独证明保护因素已经被调用或有效。</x:v>
      </x:c>
      <x:c r="M456" s="24" t="str">
        <x:v>由M3-BASE及M4各模块提供；日支、日柱近位可提高与亲密关系核心的相关性，但同一source_id不得重复计分。</x:v>
      </x:c>
      <x:c r="N456" s="24" t="str">
        <x:v>保护因素必须明确限制过用、补足缺位、恢复顺序、打开反馈、落实改变或完成修复回流；不能只凭五行相生补写现实效果。</x:v>
      </x:c>
      <x:c r="O456" s="24" t="str">
        <x:v>近位提高进入亲密关系核心的概率；远位只作背景、阶段或条件性修正。</x:v>
      </x:c>
      <x:c r="P456" s="24" t="str">
        <x:v>根气只修正该保护功能是否容易重复调用，不等于现实中已经形成稳定保护。</x:v>
      </x:c>
      <x:c r="Q456" s="24" t="str">
        <x:v>旺弱只修正调用强度与承载；强不自动有效，弱也不自动无效。</x:v>
      </x:c>
      <x:c r="R456" s="24" t="str">
        <x:v>喜忌只修正摩擦、平衡与承载，不可直接翻译为好坏、成熟度或解决方案。</x:v>
      </x:c>
      <x:c r="S456" s="24" t="str">
        <x:v>原十神功能有效；真合化成立时按化神功能替换，合化争议时停止定性。</x:v>
      </x:c>
      <x:c r="T456" s="24" t="str">
        <x:v>近位提高直接相关性；远位仅保留背景、阶段或低置信修正。</x:v>
      </x:c>
      <x:c r="U456" s="24" t="str">
        <x:v>93</x:v>
      </x:c>
      <x:c r="V456" s="24" t="str">
        <x:v>现实有效+12</x:v>
      </x:c>
      <x:c r="W456" s="24" t="str">
        <x:v>buffer_level</x:v>
      </x:c>
      <x:c r="X456" s="24" t="str">
        <x:v>反馈被整合并引发二次调整时，可提高保护有效层级。</x:v>
      </x:c>
      <x:c r="Y456" s="24" t="str">
        <x:v>真正有效时会看到：反馈被整合并引发二次调整时，可提高保护有效层级。</x:v>
      </x:c>
      <x:c r="Z456" s="24" t="str">
        <x:v>不得仅凭本规则断定问题已经解决、关系必然稳定、用户一定成熟、某十神天然是“药”、喜用神自动等于解决办法，或淡化暴力、强迫与现实伤害；现实行为、反例、安全事实和专业支持优先。</x:v>
      </x:c>
      <x:c r="AA456" s="24" t="str">
        <x:v>中高</x:v>
      </x:c>
      <x:c r="AB456" s="24" t="str">
        <x:v>待验证</x:v>
      </x:c>
      <x:c r="AC456" s="24" t="str"/>
      <x:c r="AD456" s="24" t="str">
        <x:v>provisional=true；保护因素的现实有效性必须由可观察行为、反馈和持续结果验证。</x:v>
      </x:c>
      <x:c r="AE456" s="24" t="str">
        <x:v>0.8</x:v>
      </x:c>
    </x:row>
    <x:row r="457" ht="52" customHeight="1">
      <x:c r="A457" s="24" t="str">
        <x:v>M4-BUFFER-456</x:v>
      </x:c>
      <x:c r="B457" s="24" t="str">
        <x:v>OS02 伴侣可观察反馈｜使用边界</x:v>
      </x:c>
      <x:c r="C457" s="24" t="str">
        <x:v>L10 外部支持与现实证据</x:v>
      </x:c>
      <x:c r="D457" s="24" t="str">
        <x:v>BUFFER-现实支持</x:v>
      </x:c>
      <x:c r="E457" s="24" t="str">
        <x:v>通用</x:v>
      </x:c>
      <x:c r="F457" s="24" t="str">
        <x:v>边界</x:v>
      </x:c>
      <x:c r="G457" s="24" t="str">
        <x:v>OS02 伴侣可观察反馈</x:v>
      </x:c>
      <x:c r="H457" s="24" t="str">
        <x:v>限制外部支持推断。</x:v>
      </x:c>
      <x:c r="I457" s="24" t="str">
        <x:v>不得替对方猜测动机；只记录可观察行为和明确表达。</x:v>
      </x:c>
      <x:c r="J457" s="24" t="str">
        <x:v>现实专业或安全评估明确支持更强行动。</x:v>
      </x:c>
      <x:c r="K457" s="24" t="str">
        <x:v>由共享基础引擎提供；仅修正保护功能的承载、持续调用和压力状态下的稳定性，不直接等同成熟度、道德或现实行为。</x:v>
      </x:c>
      <x:c r="L457" s="24" t="str">
        <x:v>由M1／M2接口提供；夫妻星、心动原型和关系门槛只说明关系议题，不单独证明保护因素已经被调用或有效。</x:v>
      </x:c>
      <x:c r="M457" s="24" t="str">
        <x:v>由M3-BASE及M4各模块提供；日支、日柱近位可提高与亲密关系核心的相关性，但同一source_id不得重复计分。</x:v>
      </x:c>
      <x:c r="N457" s="24" t="str">
        <x:v>保护因素必须明确限制过用、补足缺位、恢复顺序、打开反馈、落实改变或完成修复回流；不能只凭五行相生补写现实效果。</x:v>
      </x:c>
      <x:c r="O457" s="24" t="str">
        <x:v>近位提高进入亲密关系核心的概率；远位只作背景、阶段或条件性修正。</x:v>
      </x:c>
      <x:c r="P457" s="24" t="str">
        <x:v>根气只修正该保护功能是否容易重复调用，不等于现实中已经形成稳定保护。</x:v>
      </x:c>
      <x:c r="Q457" s="24" t="str">
        <x:v>旺弱只修正调用强度与承载；强不自动有效，弱也不自动无效。</x:v>
      </x:c>
      <x:c r="R457" s="24" t="str">
        <x:v>喜忌只修正摩擦、平衡与承载，不可直接翻译为好坏、成熟度或解决方案。</x:v>
      </x:c>
      <x:c r="S457" s="24" t="str">
        <x:v>原十神功能有效；真合化成立时按化神功能替换，合化争议时停止定性。</x:v>
      </x:c>
      <x:c r="T457" s="24" t="str">
        <x:v>近位提高直接相关性；远位仅保留背景、阶段或低置信修正。</x:v>
      </x:c>
      <x:c r="U457" s="24" t="str">
        <x:v>99</x:v>
      </x:c>
      <x:c r="V457" s="24" t="str">
        <x:v>边界／停止</x:v>
      </x:c>
      <x:c r="W457" s="24" t="str">
        <x:v>boundary_note</x:v>
      </x:c>
      <x:c r="X457" s="24" t="str">
        <x:v>不得替对方猜测动机；只记录可观察行为和明确表达。</x:v>
      </x:c>
      <x:c r="Y457" s="24" t="str">
        <x:v>需要注意：不得替对方猜测动机；只记录可观察行为和明确表达。</x:v>
      </x:c>
      <x:c r="Z457" s="24" t="str">
        <x:v>不得仅凭本规则断定问题已经解决、关系必然稳定、用户一定成熟、某十神天然是“药”、喜用神自动等于解决办法，或淡化暴力、强迫与现实伤害；现实行为、反例、安全事实和专业支持优先。</x:v>
      </x:c>
      <x:c r="AA457" s="24" t="str">
        <x:v>高</x:v>
      </x:c>
      <x:c r="AB457" s="24" t="str">
        <x:v>待验证</x:v>
      </x:c>
      <x:c r="AC457" s="24" t="str"/>
      <x:c r="AD457" s="24" t="str">
        <x:v>provisional=true；保护因素的现实有效性必须由可观察行为、反馈和持续结果验证。</x:v>
      </x:c>
      <x:c r="AE457" s="24" t="str">
        <x:v>0.8</x:v>
      </x:c>
    </x:row>
    <x:row r="458" ht="52" customHeight="1">
      <x:c r="A458" s="24" t="str">
        <x:v>M4-BUFFER-457</x:v>
      </x:c>
      <x:c r="B458" s="24" t="str">
        <x:v>OS03 可靠亲友与社会支持｜现实支持定义</x:v>
      </x:c>
      <x:c r="C458" s="24" t="str">
        <x:v>L10 外部支持与现实证据</x:v>
      </x:c>
      <x:c r="D458" s="24" t="str">
        <x:v>BUFFER-现实支持</x:v>
      </x:c>
      <x:c r="E458" s="24" t="str">
        <x:v>通用</x:v>
      </x:c>
      <x:c r="F458" s="24" t="str">
        <x:v>定义</x:v>
      </x:c>
      <x:c r="G458" s="24" t="str">
        <x:v>OS03 可靠亲友与社会支持</x:v>
      </x:c>
      <x:c r="H458" s="24" t="str">
        <x:v>定义外部支持输入。</x:v>
      </x:c>
      <x:c r="I458" s="24" t="str">
        <x:v>现实中可提供陪伴、信息、临时资源、见证或安全协助的可靠人员。</x:v>
      </x:c>
      <x:c r="J458" s="24" t="str">
        <x:v>仅由命盘推测或没有现实来源。</x:v>
      </x:c>
      <x:c r="K458" s="24" t="str">
        <x:v>由共享基础引擎提供；仅修正保护功能的承载、持续调用和压力状态下的稳定性，不直接等同成熟度、道德或现实行为。</x:v>
      </x:c>
      <x:c r="L458" s="24" t="str">
        <x:v>由M1／M2接口提供；夫妻星、心动原型和关系门槛只说明关系议题，不单独证明保护因素已经被调用或有效。</x:v>
      </x:c>
      <x:c r="M458" s="24" t="str">
        <x:v>由M3-BASE及M4各模块提供；日支、日柱近位可提高与亲密关系核心的相关性，但同一source_id不得重复计分。</x:v>
      </x:c>
      <x:c r="N458" s="24" t="str">
        <x:v>保护因素必须明确限制过用、补足缺位、恢复顺序、打开反馈、落实改变或完成修复回流；不能只凭五行相生补写现实效果。</x:v>
      </x:c>
      <x:c r="O458" s="24" t="str">
        <x:v>近位提高进入亲密关系核心的概率；远位只作背景、阶段或条件性修正。</x:v>
      </x:c>
      <x:c r="P458" s="24" t="str">
        <x:v>根气只修正该保护功能是否容易重复调用，不等于现实中已经形成稳定保护。</x:v>
      </x:c>
      <x:c r="Q458" s="24" t="str">
        <x:v>旺弱只修正调用强度与承载；强不自动有效，弱也不自动无效。</x:v>
      </x:c>
      <x:c r="R458" s="24" t="str">
        <x:v>喜忌只修正摩擦、平衡与承载，不可直接翻译为好坏、成熟度或解决方案。</x:v>
      </x:c>
      <x:c r="S458" s="24" t="str">
        <x:v>原十神功能有效；真合化成立时按化神功能替换，合化争议时停止定性。</x:v>
      </x:c>
      <x:c r="T458" s="24" t="str">
        <x:v>近位提高直接相关性；远位仅保留背景、阶段或低置信修正。</x:v>
      </x:c>
      <x:c r="U458" s="24" t="str">
        <x:v>95</x:v>
      </x:c>
      <x:c r="V458" s="24" t="str">
        <x:v>现实输入+0</x:v>
      </x:c>
      <x:c r="W458" s="24" t="str">
        <x:v>external_support</x:v>
      </x:c>
      <x:c r="X458" s="24" t="str">
        <x:v>现实中可提供陪伴、信息、临时资源、见证或安全协助的可靠人员。</x:v>
      </x:c>
      <x:c r="Y458" s="24" t="str">
        <x:v>现实中可利用的支持包括：现实中可提供陪伴、信息、临时资源、见证或安全协助的可靠人员。</x:v>
      </x:c>
      <x:c r="Z458" s="24" t="str">
        <x:v>不得仅凭本规则断定问题已经解决、关系必然稳定、用户一定成熟、某十神天然是“药”、喜用神自动等于解决办法，或淡化暴力、强迫与现实伤害；现实行为、反例、安全事实和专业支持优先。</x:v>
      </x:c>
      <x:c r="AA458" s="24" t="str">
        <x:v>高</x:v>
      </x:c>
      <x:c r="AB458" s="24" t="str">
        <x:v>待验证</x:v>
      </x:c>
      <x:c r="AC458" s="24" t="str"/>
      <x:c r="AD458" s="24" t="str">
        <x:v>provisional=true；保护因素的现实有效性必须由可观察行为、反馈和持续结果验证。</x:v>
      </x:c>
      <x:c r="AE458" s="24" t="str">
        <x:v>0.8</x:v>
      </x:c>
    </x:row>
    <x:row r="459" ht="52" customHeight="1">
      <x:c r="A459" s="24" t="str">
        <x:v>M4-BUFFER-458</x:v>
      </x:c>
      <x:c r="B459" s="24" t="str">
        <x:v>OS03 可靠亲友与社会支持｜适用情境</x:v>
      </x:c>
      <x:c r="C459" s="24" t="str">
        <x:v>L10 外部支持与现实证据</x:v>
      </x:c>
      <x:c r="D459" s="24" t="str">
        <x:v>BUFFER-现实支持</x:v>
      </x:c>
      <x:c r="E459" s="24" t="str">
        <x:v>通用</x:v>
      </x:c>
      <x:c r="F459" s="24" t="str">
        <x:v>路由</x:v>
      </x:c>
      <x:c r="G459" s="24" t="str">
        <x:v>OS03 可靠亲友与社会支持</x:v>
      </x:c>
      <x:c r="H459" s="24" t="str">
        <x:v>说明何时调用该支持。</x:v>
      </x:c>
      <x:c r="I459" s="24" t="str">
        <x:v>用于降低孤立决策、高压占位和资源不足，尤其适用于TR04、TR08。</x:v>
      </x:c>
      <x:c r="J459" s="24" t="str">
        <x:v>功能与当前风险靶点不匹配。</x:v>
      </x:c>
      <x:c r="K459" s="24" t="str">
        <x:v>由共享基础引擎提供；仅修正保护功能的承载、持续调用和压力状态下的稳定性，不直接等同成熟度、道德或现实行为。</x:v>
      </x:c>
      <x:c r="L459" s="24" t="str">
        <x:v>由M1／M2接口提供；夫妻星、心动原型和关系门槛只说明关系议题，不单独证明保护因素已经被调用或有效。</x:v>
      </x:c>
      <x:c r="M459" s="24" t="str">
        <x:v>由M3-BASE及M4各模块提供；日支、日柱近位可提高与亲密关系核心的相关性，但同一source_id不得重复计分。</x:v>
      </x:c>
      <x:c r="N459" s="24" t="str">
        <x:v>保护因素必须明确限制过用、补足缺位、恢复顺序、打开反馈、落实改变或完成修复回流；不能只凭五行相生补写现实效果。</x:v>
      </x:c>
      <x:c r="O459" s="24" t="str">
        <x:v>近位提高进入亲密关系核心的概率；远位只作背景、阶段或条件性修正。</x:v>
      </x:c>
      <x:c r="P459" s="24" t="str">
        <x:v>根气只修正该保护功能是否容易重复调用，不等于现实中已经形成稳定保护。</x:v>
      </x:c>
      <x:c r="Q459" s="24" t="str">
        <x:v>旺弱只修正调用强度与承载；强不自动有效，弱也不自动无效。</x:v>
      </x:c>
      <x:c r="R459" s="24" t="str">
        <x:v>喜忌只修正摩擦、平衡与承载，不可直接翻译为好坏、成熟度或解决方案。</x:v>
      </x:c>
      <x:c r="S459" s="24" t="str">
        <x:v>原十神功能有效；真合化成立时按化神功能替换，合化争议时停止定性。</x:v>
      </x:c>
      <x:c r="T459" s="24" t="str">
        <x:v>近位提高直接相关性；远位仅保留背景、阶段或低置信修正。</x:v>
      </x:c>
      <x:c r="U459" s="24" t="str">
        <x:v>91</x:v>
      </x:c>
      <x:c r="V459" s="24" t="str">
        <x:v>匹配+5</x:v>
      </x:c>
      <x:c r="W459" s="24" t="str">
        <x:v>buffer_target</x:v>
      </x:c>
      <x:c r="X459" s="24" t="str">
        <x:v>用于降低孤立决策、高压占位和资源不足，尤其适用于TR04、TR08。</x:v>
      </x:c>
      <x:c r="Y459" s="24" t="str">
        <x:v>这类支持更适合用于：用于降低孤立决策、高压占位和资源不足，尤其适用于TR04、TR08。</x:v>
      </x:c>
      <x:c r="Z459" s="24" t="str">
        <x:v>不得仅凭本规则断定问题已经解决、关系必然稳定、用户一定成熟、某十神天然是“药”、喜用神自动等于解决办法，或淡化暴力、强迫与现实伤害；现实行为、反例、安全事实和专业支持优先。</x:v>
      </x:c>
      <x:c r="AA459" s="24" t="str">
        <x:v>中高</x:v>
      </x:c>
      <x:c r="AB459" s="24" t="str">
        <x:v>待验证</x:v>
      </x:c>
      <x:c r="AC459" s="24" t="str"/>
      <x:c r="AD459" s="24" t="str">
        <x:v>provisional=true；保护因素的现实有效性必须由可观察行为、反馈和持续结果验证。</x:v>
      </x:c>
      <x:c r="AE459" s="24" t="str">
        <x:v>0.8</x:v>
      </x:c>
    </x:row>
    <x:row r="460" ht="52" customHeight="1">
      <x:c r="A460" s="24" t="str">
        <x:v>M4-BUFFER-459</x:v>
      </x:c>
      <x:c r="B460" s="24" t="str">
        <x:v>OS03 可靠亲友与社会支持｜有效证据</x:v>
      </x:c>
      <x:c r="C460" s="24" t="str">
        <x:v>L10 外部支持与现实证据</x:v>
      </x:c>
      <x:c r="D460" s="24" t="str">
        <x:v>BUFFER-现实支持</x:v>
      </x:c>
      <x:c r="E460" s="24" t="str">
        <x:v>通用</x:v>
      </x:c>
      <x:c r="F460" s="24" t="str">
        <x:v>效果</x:v>
      </x:c>
      <x:c r="G460" s="24" t="str">
        <x:v>OS03 可靠亲友与社会支持</x:v>
      </x:c>
      <x:c r="H460" s="24" t="str">
        <x:v>判断外部支持是否真实改变风险链。</x:v>
      </x:c>
      <x:c r="I460" s="24" t="str">
        <x:v>支持能够在关键情境中被实际调用时，可作为BF08的现实证据。</x:v>
      </x:c>
      <x:c r="J460" s="24" t="str">
        <x:v>不得由命盘推断支持一定存在；支持质量、边界和保密性需现实确认。</x:v>
      </x:c>
      <x:c r="K460" s="24" t="str">
        <x:v>由共享基础引擎提供；仅修正保护功能的承载、持续调用和压力状态下的稳定性，不直接等同成熟度、道德或现实行为。</x:v>
      </x:c>
      <x:c r="L460" s="24" t="str">
        <x:v>由M1／M2接口提供；夫妻星、心动原型和关系门槛只说明关系议题，不单独证明保护因素已经被调用或有效。</x:v>
      </x:c>
      <x:c r="M460" s="24" t="str">
        <x:v>由M3-BASE及M4各模块提供；日支、日柱近位可提高与亲密关系核心的相关性，但同一source_id不得重复计分。</x:v>
      </x:c>
      <x:c r="N460" s="24" t="str">
        <x:v>保护因素必须明确限制过用、补足缺位、恢复顺序、打开反馈、落实改变或完成修复回流；不能只凭五行相生补写现实效果。</x:v>
      </x:c>
      <x:c r="O460" s="24" t="str">
        <x:v>近位提高进入亲密关系核心的概率；远位只作背景、阶段或条件性修正。</x:v>
      </x:c>
      <x:c r="P460" s="24" t="str">
        <x:v>根气只修正该保护功能是否容易重复调用，不等于现实中已经形成稳定保护。</x:v>
      </x:c>
      <x:c r="Q460" s="24" t="str">
        <x:v>旺弱只修正调用强度与承载；强不自动有效，弱也不自动无效。</x:v>
      </x:c>
      <x:c r="R460" s="24" t="str">
        <x:v>喜忌只修正摩擦、平衡与承载，不可直接翻译为好坏、成熟度或解决方案。</x:v>
      </x:c>
      <x:c r="S460" s="24" t="str">
        <x:v>原十神功能有效；真合化成立时按化神功能替换，合化争议时停止定性。</x:v>
      </x:c>
      <x:c r="T460" s="24" t="str">
        <x:v>近位提高直接相关性；远位仅保留背景、阶段或低置信修正。</x:v>
      </x:c>
      <x:c r="U460" s="24" t="str">
        <x:v>93</x:v>
      </x:c>
      <x:c r="V460" s="24" t="str">
        <x:v>现实有效+12</x:v>
      </x:c>
      <x:c r="W460" s="24" t="str">
        <x:v>buffer_level</x:v>
      </x:c>
      <x:c r="X460" s="24" t="str">
        <x:v>支持能够在关键情境中被实际调用时，可作为BF08的现实证据。</x:v>
      </x:c>
      <x:c r="Y460" s="24" t="str">
        <x:v>真正有效时会看到：支持能够在关键情境中被实际调用时，可作为BF08的现实证据。</x:v>
      </x:c>
      <x:c r="Z460" s="24" t="str">
        <x:v>不得仅凭本规则断定问题已经解决、关系必然稳定、用户一定成熟、某十神天然是“药”、喜用神自动等于解决办法，或淡化暴力、强迫与现实伤害；现实行为、反例、安全事实和专业支持优先。</x:v>
      </x:c>
      <x:c r="AA460" s="24" t="str">
        <x:v>中高</x:v>
      </x:c>
      <x:c r="AB460" s="24" t="str">
        <x:v>待验证</x:v>
      </x:c>
      <x:c r="AC460" s="24" t="str"/>
      <x:c r="AD460" s="24" t="str">
        <x:v>provisional=true；保护因素的现实有效性必须由可观察行为、反馈和持续结果验证。</x:v>
      </x:c>
      <x:c r="AE460" s="24" t="str">
        <x:v>0.8</x:v>
      </x:c>
    </x:row>
    <x:row r="461" ht="52" customHeight="1">
      <x:c r="A461" s="24" t="str">
        <x:v>M4-BUFFER-460</x:v>
      </x:c>
      <x:c r="B461" s="24" t="str">
        <x:v>OS03 可靠亲友与社会支持｜使用边界</x:v>
      </x:c>
      <x:c r="C461" s="24" t="str">
        <x:v>L10 外部支持与现实证据</x:v>
      </x:c>
      <x:c r="D461" s="24" t="str">
        <x:v>BUFFER-现实支持</x:v>
      </x:c>
      <x:c r="E461" s="24" t="str">
        <x:v>通用</x:v>
      </x:c>
      <x:c r="F461" s="24" t="str">
        <x:v>边界</x:v>
      </x:c>
      <x:c r="G461" s="24" t="str">
        <x:v>OS03 可靠亲友与社会支持</x:v>
      </x:c>
      <x:c r="H461" s="24" t="str">
        <x:v>限制外部支持推断。</x:v>
      </x:c>
      <x:c r="I461" s="24" t="str">
        <x:v>不得由命盘推断支持一定存在；支持质量、边界和保密性需现实确认。</x:v>
      </x:c>
      <x:c r="J461" s="24" t="str">
        <x:v>现实专业或安全评估明确支持更强行动。</x:v>
      </x:c>
      <x:c r="K461" s="24" t="str">
        <x:v>由共享基础引擎提供；仅修正保护功能的承载、持续调用和压力状态下的稳定性，不直接等同成熟度、道德或现实行为。</x:v>
      </x:c>
      <x:c r="L461" s="24" t="str">
        <x:v>由M1／M2接口提供；夫妻星、心动原型和关系门槛只说明关系议题，不单独证明保护因素已经被调用或有效。</x:v>
      </x:c>
      <x:c r="M461" s="24" t="str">
        <x:v>由M3-BASE及M4各模块提供；日支、日柱近位可提高与亲密关系核心的相关性，但同一source_id不得重复计分。</x:v>
      </x:c>
      <x:c r="N461" s="24" t="str">
        <x:v>保护因素必须明确限制过用、补足缺位、恢复顺序、打开反馈、落实改变或完成修复回流；不能只凭五行相生补写现实效果。</x:v>
      </x:c>
      <x:c r="O461" s="24" t="str">
        <x:v>近位提高进入亲密关系核心的概率；远位只作背景、阶段或条件性修正。</x:v>
      </x:c>
      <x:c r="P461" s="24" t="str">
        <x:v>根气只修正该保护功能是否容易重复调用，不等于现实中已经形成稳定保护。</x:v>
      </x:c>
      <x:c r="Q461" s="24" t="str">
        <x:v>旺弱只修正调用强度与承载；强不自动有效，弱也不自动无效。</x:v>
      </x:c>
      <x:c r="R461" s="24" t="str">
        <x:v>喜忌只修正摩擦、平衡与承载，不可直接翻译为好坏、成熟度或解决方案。</x:v>
      </x:c>
      <x:c r="S461" s="24" t="str">
        <x:v>原十神功能有效；真合化成立时按化神功能替换，合化争议时停止定性。</x:v>
      </x:c>
      <x:c r="T461" s="24" t="str">
        <x:v>近位提高直接相关性；远位仅保留背景、阶段或低置信修正。</x:v>
      </x:c>
      <x:c r="U461" s="24" t="str">
        <x:v>99</x:v>
      </x:c>
      <x:c r="V461" s="24" t="str">
        <x:v>边界／停止</x:v>
      </x:c>
      <x:c r="W461" s="24" t="str">
        <x:v>boundary_note</x:v>
      </x:c>
      <x:c r="X461" s="24" t="str">
        <x:v>不得由命盘推断支持一定存在；支持质量、边界和保密性需现实确认。</x:v>
      </x:c>
      <x:c r="Y461" s="24" t="str">
        <x:v>需要注意：不得由命盘推断支持一定存在；支持质量、边界和保密性需现实确认。</x:v>
      </x:c>
      <x:c r="Z461" s="24" t="str">
        <x:v>不得仅凭本规则断定问题已经解决、关系必然稳定、用户一定成熟、某十神天然是“药”、喜用神自动等于解决办法，或淡化暴力、强迫与现实伤害；现实行为、反例、安全事实和专业支持优先。</x:v>
      </x:c>
      <x:c r="AA461" s="24" t="str">
        <x:v>高</x:v>
      </x:c>
      <x:c r="AB461" s="24" t="str">
        <x:v>待验证</x:v>
      </x:c>
      <x:c r="AC461" s="24" t="str"/>
      <x:c r="AD461" s="24" t="str">
        <x:v>provisional=true；保护因素的现实有效性必须由可观察行为、反馈和持续结果验证。</x:v>
      </x:c>
      <x:c r="AE461" s="24" t="str">
        <x:v>0.8</x:v>
      </x:c>
    </x:row>
    <x:row r="462" ht="52" customHeight="1">
      <x:c r="A462" s="24" t="str">
        <x:v>M4-BUFFER-461</x:v>
      </x:c>
      <x:c r="B462" s="24" t="str">
        <x:v>OS04 结构化沟通工具与书面协议｜现实支持定义</x:v>
      </x:c>
      <x:c r="C462" s="24" t="str">
        <x:v>L10 外部支持与现实证据</x:v>
      </x:c>
      <x:c r="D462" s="24" t="str">
        <x:v>BUFFER-现实支持</x:v>
      </x:c>
      <x:c r="E462" s="24" t="str">
        <x:v>通用</x:v>
      </x:c>
      <x:c r="F462" s="24" t="str">
        <x:v>定义</x:v>
      </x:c>
      <x:c r="G462" s="24" t="str">
        <x:v>OS04 结构化沟通工具与书面协议</x:v>
      </x:c>
      <x:c r="H462" s="24" t="str">
        <x:v>定义外部支持输入。</x:v>
      </x:c>
      <x:c r="I462" s="24" t="str">
        <x:v>包括议题清单、暂停回归约定、分工表、最低规则、复盘记录等现实工具。</x:v>
      </x:c>
      <x:c r="J462" s="24" t="str">
        <x:v>仅由命盘推测或没有现实来源。</x:v>
      </x:c>
      <x:c r="K462" s="24" t="str">
        <x:v>由共享基础引擎提供；仅修正保护功能的承载、持续调用和压力状态下的稳定性，不直接等同成熟度、道德或现实行为。</x:v>
      </x:c>
      <x:c r="L462" s="24" t="str">
        <x:v>由M1／M2接口提供；夫妻星、心动原型和关系门槛只说明关系议题，不单独证明保护因素已经被调用或有效。</x:v>
      </x:c>
      <x:c r="M462" s="24" t="str">
        <x:v>由M3-BASE及M4各模块提供；日支、日柱近位可提高与亲密关系核心的相关性，但同一source_id不得重复计分。</x:v>
      </x:c>
      <x:c r="N462" s="24" t="str">
        <x:v>保护因素必须明确限制过用、补足缺位、恢复顺序、打开反馈、落实改变或完成修复回流；不能只凭五行相生补写现实效果。</x:v>
      </x:c>
      <x:c r="O462" s="24" t="str">
        <x:v>近位提高进入亲密关系核心的概率；远位只作背景、阶段或条件性修正。</x:v>
      </x:c>
      <x:c r="P462" s="24" t="str">
        <x:v>根气只修正该保护功能是否容易重复调用，不等于现实中已经形成稳定保护。</x:v>
      </x:c>
      <x:c r="Q462" s="24" t="str">
        <x:v>旺弱只修正调用强度与承载；强不自动有效，弱也不自动无效。</x:v>
      </x:c>
      <x:c r="R462" s="24" t="str">
        <x:v>喜忌只修正摩擦、平衡与承载，不可直接翻译为好坏、成熟度或解决方案。</x:v>
      </x:c>
      <x:c r="S462" s="24" t="str">
        <x:v>原十神功能有效；真合化成立时按化神功能替换，合化争议时停止定性。</x:v>
      </x:c>
      <x:c r="T462" s="24" t="str">
        <x:v>近位提高直接相关性；远位仅保留背景、阶段或低置信修正。</x:v>
      </x:c>
      <x:c r="U462" s="24" t="str">
        <x:v>95</x:v>
      </x:c>
      <x:c r="V462" s="24" t="str">
        <x:v>现实输入+0</x:v>
      </x:c>
      <x:c r="W462" s="24" t="str">
        <x:v>external_support</x:v>
      </x:c>
      <x:c r="X462" s="24" t="str">
        <x:v>包括议题清单、暂停回归约定、分工表、最低规则、复盘记录等现实工具。</x:v>
      </x:c>
      <x:c r="Y462" s="24" t="str">
        <x:v>现实中可利用的支持包括：包括议题清单、暂停回归约定、分工表、最低规则、复盘记录等现实工具。</x:v>
      </x:c>
      <x:c r="Z462" s="24" t="str">
        <x:v>不得仅凭本规则断定问题已经解决、关系必然稳定、用户一定成熟、某十神天然是“药”、喜用神自动等于解决办法，或淡化暴力、强迫与现实伤害；现实行为、反例、安全事实和专业支持优先。</x:v>
      </x:c>
      <x:c r="AA462" s="24" t="str">
        <x:v>高</x:v>
      </x:c>
      <x:c r="AB462" s="24" t="str">
        <x:v>待验证</x:v>
      </x:c>
      <x:c r="AC462" s="24" t="str"/>
      <x:c r="AD462" s="24" t="str">
        <x:v>provisional=true；保护因素的现实有效性必须由可观察行为、反馈和持续结果验证。</x:v>
      </x:c>
      <x:c r="AE462" s="24" t="str">
        <x:v>0.8</x:v>
      </x:c>
    </x:row>
    <x:row r="463" ht="52" customHeight="1">
      <x:c r="A463" s="24" t="str">
        <x:v>M4-BUFFER-462</x:v>
      </x:c>
      <x:c r="B463" s="24" t="str">
        <x:v>OS04 结构化沟通工具与书面协议｜适用情境</x:v>
      </x:c>
      <x:c r="C463" s="24" t="str">
        <x:v>L10 外部支持与现实证据</x:v>
      </x:c>
      <x:c r="D463" s="24" t="str">
        <x:v>BUFFER-现实支持</x:v>
      </x:c>
      <x:c r="E463" s="24" t="str">
        <x:v>通用</x:v>
      </x:c>
      <x:c r="F463" s="24" t="str">
        <x:v>路由</x:v>
      </x:c>
      <x:c r="G463" s="24" t="str">
        <x:v>OS04 结构化沟通工具与书面协议</x:v>
      </x:c>
      <x:c r="H463" s="24" t="str">
        <x:v>说明何时调用该支持。</x:v>
      </x:c>
      <x:c r="I463" s="24" t="str">
        <x:v>用于支持BF03、BF05、BF06、BF07，把抽象共识转成可执行流程。</x:v>
      </x:c>
      <x:c r="J463" s="24" t="str">
        <x:v>功能与当前风险靶点不匹配。</x:v>
      </x:c>
      <x:c r="K463" s="24" t="str">
        <x:v>由共享基础引擎提供；仅修正保护功能的承载、持续调用和压力状态下的稳定性，不直接等同成熟度、道德或现实行为。</x:v>
      </x:c>
      <x:c r="L463" s="24" t="str">
        <x:v>由M1／M2接口提供；夫妻星、心动原型和关系门槛只说明关系议题，不单独证明保护因素已经被调用或有效。</x:v>
      </x:c>
      <x:c r="M463" s="24" t="str">
        <x:v>由M3-BASE及M4各模块提供；日支、日柱近位可提高与亲密关系核心的相关性，但同一source_id不得重复计分。</x:v>
      </x:c>
      <x:c r="N463" s="24" t="str">
        <x:v>保护因素必须明确限制过用、补足缺位、恢复顺序、打开反馈、落实改变或完成修复回流；不能只凭五行相生补写现实效果。</x:v>
      </x:c>
      <x:c r="O463" s="24" t="str">
        <x:v>近位提高进入亲密关系核心的概率；远位只作背景、阶段或条件性修正。</x:v>
      </x:c>
      <x:c r="P463" s="24" t="str">
        <x:v>根气只修正该保护功能是否容易重复调用，不等于现实中已经形成稳定保护。</x:v>
      </x:c>
      <x:c r="Q463" s="24" t="str">
        <x:v>旺弱只修正调用强度与承载；强不自动有效，弱也不自动无效。</x:v>
      </x:c>
      <x:c r="R463" s="24" t="str">
        <x:v>喜忌只修正摩擦、平衡与承载，不可直接翻译为好坏、成熟度或解决方案。</x:v>
      </x:c>
      <x:c r="S463" s="24" t="str">
        <x:v>原十神功能有效；真合化成立时按化神功能替换，合化争议时停止定性。</x:v>
      </x:c>
      <x:c r="T463" s="24" t="str">
        <x:v>近位提高直接相关性；远位仅保留背景、阶段或低置信修正。</x:v>
      </x:c>
      <x:c r="U463" s="24" t="str">
        <x:v>91</x:v>
      </x:c>
      <x:c r="V463" s="24" t="str">
        <x:v>匹配+5</x:v>
      </x:c>
      <x:c r="W463" s="24" t="str">
        <x:v>buffer_target</x:v>
      </x:c>
      <x:c r="X463" s="24" t="str">
        <x:v>用于支持BF03、BF05、BF06、BF07，把抽象共识转成可执行流程。</x:v>
      </x:c>
      <x:c r="Y463" s="24" t="str">
        <x:v>这类支持更适合用于：用于支持BF03、BF05、BF06、BF07，把抽象共识转成可执行流程。</x:v>
      </x:c>
      <x:c r="Z463" s="24" t="str">
        <x:v>不得仅凭本规则断定问题已经解决、关系必然稳定、用户一定成熟、某十神天然是“药”、喜用神自动等于解决办法，或淡化暴力、强迫与现实伤害；现实行为、反例、安全事实和专业支持优先。</x:v>
      </x:c>
      <x:c r="AA463" s="24" t="str">
        <x:v>中高</x:v>
      </x:c>
      <x:c r="AB463" s="24" t="str">
        <x:v>待验证</x:v>
      </x:c>
      <x:c r="AC463" s="24" t="str"/>
      <x:c r="AD463" s="24" t="str">
        <x:v>provisional=true；保护因素的现实有效性必须由可观察行为、反馈和持续结果验证。</x:v>
      </x:c>
      <x:c r="AE463" s="24" t="str">
        <x:v>0.8</x:v>
      </x:c>
    </x:row>
    <x:row r="464" ht="52" customHeight="1">
      <x:c r="A464" s="24" t="str">
        <x:v>M4-BUFFER-463</x:v>
      </x:c>
      <x:c r="B464" s="24" t="str">
        <x:v>OS04 结构化沟通工具与书面协议｜有效证据</x:v>
      </x:c>
      <x:c r="C464" s="24" t="str">
        <x:v>L10 外部支持与现实证据</x:v>
      </x:c>
      <x:c r="D464" s="24" t="str">
        <x:v>BUFFER-现实支持</x:v>
      </x:c>
      <x:c r="E464" s="24" t="str">
        <x:v>通用</x:v>
      </x:c>
      <x:c r="F464" s="24" t="str">
        <x:v>效果</x:v>
      </x:c>
      <x:c r="G464" s="24" t="str">
        <x:v>OS04 结构化沟通工具与书面协议</x:v>
      </x:c>
      <x:c r="H464" s="24" t="str">
        <x:v>判断外部支持是否真实改变风险链。</x:v>
      </x:c>
      <x:c r="I464" s="24" t="str">
        <x:v>工具被双方使用、允许反馈并持续执行时，可提高保护可重复性。</x:v>
      </x:c>
      <x:c r="J464" s="24" t="str">
        <x:v>工具不能替代安全、诚意、责任或双方选择；表格越多不等于关系越好。</x:v>
      </x:c>
      <x:c r="K464" s="24" t="str">
        <x:v>由共享基础引擎提供；仅修正保护功能的承载、持续调用和压力状态下的稳定性，不直接等同成熟度、道德或现实行为。</x:v>
      </x:c>
      <x:c r="L464" s="24" t="str">
        <x:v>由M1／M2接口提供；夫妻星、心动原型和关系门槛只说明关系议题，不单独证明保护因素已经被调用或有效。</x:v>
      </x:c>
      <x:c r="M464" s="24" t="str">
        <x:v>由M3-BASE及M4各模块提供；日支、日柱近位可提高与亲密关系核心的相关性，但同一source_id不得重复计分。</x:v>
      </x:c>
      <x:c r="N464" s="24" t="str">
        <x:v>保护因素必须明确限制过用、补足缺位、恢复顺序、打开反馈、落实改变或完成修复回流；不能只凭五行相生补写现实效果。</x:v>
      </x:c>
      <x:c r="O464" s="24" t="str">
        <x:v>近位提高进入亲密关系核心的概率；远位只作背景、阶段或条件性修正。</x:v>
      </x:c>
      <x:c r="P464" s="24" t="str">
        <x:v>根气只修正该保护功能是否容易重复调用，不等于现实中已经形成稳定保护。</x:v>
      </x:c>
      <x:c r="Q464" s="24" t="str">
        <x:v>旺弱只修正调用强度与承载；强不自动有效，弱也不自动无效。</x:v>
      </x:c>
      <x:c r="R464" s="24" t="str">
        <x:v>喜忌只修正摩擦、平衡与承载，不可直接翻译为好坏、成熟度或解决方案。</x:v>
      </x:c>
      <x:c r="S464" s="24" t="str">
        <x:v>原十神功能有效；真合化成立时按化神功能替换，合化争议时停止定性。</x:v>
      </x:c>
      <x:c r="T464" s="24" t="str">
        <x:v>近位提高直接相关性；远位仅保留背景、阶段或低置信修正。</x:v>
      </x:c>
      <x:c r="U464" s="24" t="str">
        <x:v>93</x:v>
      </x:c>
      <x:c r="V464" s="24" t="str">
        <x:v>现实有效+12</x:v>
      </x:c>
      <x:c r="W464" s="24" t="str">
        <x:v>buffer_level</x:v>
      </x:c>
      <x:c r="X464" s="24" t="str">
        <x:v>工具被双方使用、允许反馈并持续执行时，可提高保护可重复性。</x:v>
      </x:c>
      <x:c r="Y464" s="24" t="str">
        <x:v>真正有效时会看到：工具被双方使用、允许反馈并持续执行时，可提高保护可重复性。</x:v>
      </x:c>
      <x:c r="Z464" s="24" t="str">
        <x:v>不得仅凭本规则断定问题已经解决、关系必然稳定、用户一定成熟、某十神天然是“药”、喜用神自动等于解决办法，或淡化暴力、强迫与现实伤害；现实行为、反例、安全事实和专业支持优先。</x:v>
      </x:c>
      <x:c r="AA464" s="24" t="str">
        <x:v>中高</x:v>
      </x:c>
      <x:c r="AB464" s="24" t="str">
        <x:v>待验证</x:v>
      </x:c>
      <x:c r="AC464" s="24" t="str"/>
      <x:c r="AD464" s="24" t="str">
        <x:v>provisional=true；保护因素的现实有效性必须由可观察行为、反馈和持续结果验证。</x:v>
      </x:c>
      <x:c r="AE464" s="24" t="str">
        <x:v>0.8</x:v>
      </x:c>
    </x:row>
    <x:row r="465" ht="52" customHeight="1">
      <x:c r="A465" s="24" t="str">
        <x:v>M4-BUFFER-464</x:v>
      </x:c>
      <x:c r="B465" s="24" t="str">
        <x:v>OS04 结构化沟通工具与书面协议｜使用边界</x:v>
      </x:c>
      <x:c r="C465" s="24" t="str">
        <x:v>L10 外部支持与现实证据</x:v>
      </x:c>
      <x:c r="D465" s="24" t="str">
        <x:v>BUFFER-现实支持</x:v>
      </x:c>
      <x:c r="E465" s="24" t="str">
        <x:v>通用</x:v>
      </x:c>
      <x:c r="F465" s="24" t="str">
        <x:v>边界</x:v>
      </x:c>
      <x:c r="G465" s="24" t="str">
        <x:v>OS04 结构化沟通工具与书面协议</x:v>
      </x:c>
      <x:c r="H465" s="24" t="str">
        <x:v>限制外部支持推断。</x:v>
      </x:c>
      <x:c r="I465" s="24" t="str">
        <x:v>工具不能替代安全、诚意、责任或双方选择；表格越多不等于关系越好。</x:v>
      </x:c>
      <x:c r="J465" s="24" t="str">
        <x:v>现实专业或安全评估明确支持更强行动。</x:v>
      </x:c>
      <x:c r="K465" s="24" t="str">
        <x:v>由共享基础引擎提供；仅修正保护功能的承载、持续调用和压力状态下的稳定性，不直接等同成熟度、道德或现实行为。</x:v>
      </x:c>
      <x:c r="L465" s="24" t="str">
        <x:v>由M1／M2接口提供；夫妻星、心动原型和关系门槛只说明关系议题，不单独证明保护因素已经被调用或有效。</x:v>
      </x:c>
      <x:c r="M465" s="24" t="str">
        <x:v>由M3-BASE及M4各模块提供；日支、日柱近位可提高与亲密关系核心的相关性，但同一source_id不得重复计分。</x:v>
      </x:c>
      <x:c r="N465" s="24" t="str">
        <x:v>保护因素必须明确限制过用、补足缺位、恢复顺序、打开反馈、落实改变或完成修复回流；不能只凭五行相生补写现实效果。</x:v>
      </x:c>
      <x:c r="O465" s="24" t="str">
        <x:v>近位提高进入亲密关系核心的概率；远位只作背景、阶段或条件性修正。</x:v>
      </x:c>
      <x:c r="P465" s="24" t="str">
        <x:v>根气只修正该保护功能是否容易重复调用，不等于现实中已经形成稳定保护。</x:v>
      </x:c>
      <x:c r="Q465" s="24" t="str">
        <x:v>旺弱只修正调用强度与承载；强不自动有效，弱也不自动无效。</x:v>
      </x:c>
      <x:c r="R465" s="24" t="str">
        <x:v>喜忌只修正摩擦、平衡与承载，不可直接翻译为好坏、成熟度或解决方案。</x:v>
      </x:c>
      <x:c r="S465" s="24" t="str">
        <x:v>原十神功能有效；真合化成立时按化神功能替换，合化争议时停止定性。</x:v>
      </x:c>
      <x:c r="T465" s="24" t="str">
        <x:v>近位提高直接相关性；远位仅保留背景、阶段或低置信修正。</x:v>
      </x:c>
      <x:c r="U465" s="24" t="str">
        <x:v>99</x:v>
      </x:c>
      <x:c r="V465" s="24" t="str">
        <x:v>边界／停止</x:v>
      </x:c>
      <x:c r="W465" s="24" t="str">
        <x:v>boundary_note</x:v>
      </x:c>
      <x:c r="X465" s="24" t="str">
        <x:v>工具不能替代安全、诚意、责任或双方选择；表格越多不等于关系越好。</x:v>
      </x:c>
      <x:c r="Y465" s="24" t="str">
        <x:v>需要注意：工具不能替代安全、诚意、责任或双方选择；表格越多不等于关系越好。</x:v>
      </x:c>
      <x:c r="Z465" s="24" t="str">
        <x:v>不得仅凭本规则断定问题已经解决、关系必然稳定、用户一定成熟、某十神天然是“药”、喜用神自动等于解决办法，或淡化暴力、强迫与现实伤害；现实行为、反例、安全事实和专业支持优先。</x:v>
      </x:c>
      <x:c r="AA465" s="24" t="str">
        <x:v>高</x:v>
      </x:c>
      <x:c r="AB465" s="24" t="str">
        <x:v>待验证</x:v>
      </x:c>
      <x:c r="AC465" s="24" t="str"/>
      <x:c r="AD465" s="24" t="str">
        <x:v>provisional=true；保护因素的现实有效性必须由可观察行为、反馈和持续结果验证。</x:v>
      </x:c>
      <x:c r="AE465" s="24" t="str">
        <x:v>0.8</x:v>
      </x:c>
    </x:row>
    <x:row r="466" ht="52" customHeight="1">
      <x:c r="A466" s="24" t="str">
        <x:v>M4-BUFFER-465</x:v>
      </x:c>
      <x:c r="B466" s="24" t="str">
        <x:v>OS05 现实资源与环境调整｜现实支持定义</x:v>
      </x:c>
      <x:c r="C466" s="24" t="str">
        <x:v>L10 外部支持与现实证据</x:v>
      </x:c>
      <x:c r="D466" s="24" t="str">
        <x:v>BUFFER-现实支持</x:v>
      </x:c>
      <x:c r="E466" s="24" t="str">
        <x:v>通用</x:v>
      </x:c>
      <x:c r="F466" s="24" t="str">
        <x:v>定义</x:v>
      </x:c>
      <x:c r="G466" s="24" t="str">
        <x:v>OS05 现实资源与环境调整</x:v>
      </x:c>
      <x:c r="H466" s="24" t="str">
        <x:v>定义外部支持输入。</x:v>
      </x:c>
      <x:c r="I466" s="24" t="str">
        <x:v>通过时间安排、经济资源、居住环境、工作负荷或接触频率调整降低触发负荷。</x:v>
      </x:c>
      <x:c r="J466" s="24" t="str">
        <x:v>仅由命盘推测或没有现实来源。</x:v>
      </x:c>
      <x:c r="K466" s="24" t="str">
        <x:v>由共享基础引擎提供；仅修正保护功能的承载、持续调用和压力状态下的稳定性，不直接等同成熟度、道德或现实行为。</x:v>
      </x:c>
      <x:c r="L466" s="24" t="str">
        <x:v>由M1／M2接口提供；夫妻星、心动原型和关系门槛只说明关系议题，不单独证明保护因素已经被调用或有效。</x:v>
      </x:c>
      <x:c r="M466" s="24" t="str">
        <x:v>由M3-BASE及M4各模块提供；日支、日柱近位可提高与亲密关系核心的相关性，但同一source_id不得重复计分。</x:v>
      </x:c>
      <x:c r="N466" s="24" t="str">
        <x:v>保护因素必须明确限制过用、补足缺位、恢复顺序、打开反馈、落实改变或完成修复回流；不能只凭五行相生补写现实效果。</x:v>
      </x:c>
      <x:c r="O466" s="24" t="str">
        <x:v>近位提高进入亲密关系核心的概率；远位只作背景、阶段或条件性修正。</x:v>
      </x:c>
      <x:c r="P466" s="24" t="str">
        <x:v>根气只修正该保护功能是否容易重复调用，不等于现实中已经形成稳定保护。</x:v>
      </x:c>
      <x:c r="Q466" s="24" t="str">
        <x:v>旺弱只修正调用强度与承载；强不自动有效，弱也不自动无效。</x:v>
      </x:c>
      <x:c r="R466" s="24" t="str">
        <x:v>喜忌只修正摩擦、平衡与承载，不可直接翻译为好坏、成熟度或解决方案。</x:v>
      </x:c>
      <x:c r="S466" s="24" t="str">
        <x:v>原十神功能有效；真合化成立时按化神功能替换，合化争议时停止定性。</x:v>
      </x:c>
      <x:c r="T466" s="24" t="str">
        <x:v>近位提高直接相关性；远位仅保留背景、阶段或低置信修正。</x:v>
      </x:c>
      <x:c r="U466" s="24" t="str">
        <x:v>95</x:v>
      </x:c>
      <x:c r="V466" s="24" t="str">
        <x:v>现实输入+0</x:v>
      </x:c>
      <x:c r="W466" s="24" t="str">
        <x:v>external_support</x:v>
      </x:c>
      <x:c r="X466" s="24" t="str">
        <x:v>通过时间安排、经济资源、居住环境、工作负荷或接触频率调整降低触发负荷。</x:v>
      </x:c>
      <x:c r="Y466" s="24" t="str">
        <x:v>现实中可利用的支持包括：通过时间安排、经济资源、居住环境、工作负荷或接触频率调整降低触发负荷。</x:v>
      </x:c>
      <x:c r="Z466" s="24" t="str">
        <x:v>不得仅凭本规则断定问题已经解决、关系必然稳定、用户一定成熟、某十神天然是“药”、喜用神自动等于解决办法，或淡化暴力、强迫与现实伤害；现实行为、反例、安全事实和专业支持优先。</x:v>
      </x:c>
      <x:c r="AA466" s="24" t="str">
        <x:v>高</x:v>
      </x:c>
      <x:c r="AB466" s="24" t="str">
        <x:v>待验证</x:v>
      </x:c>
      <x:c r="AC466" s="24" t="str"/>
      <x:c r="AD466" s="24" t="str">
        <x:v>provisional=true；保护因素的现实有效性必须由可观察行为、反馈和持续结果验证。</x:v>
      </x:c>
      <x:c r="AE466" s="24" t="str">
        <x:v>0.8</x:v>
      </x:c>
    </x:row>
    <x:row r="467" ht="52" customHeight="1">
      <x:c r="A467" s="24" t="str">
        <x:v>M4-BUFFER-466</x:v>
      </x:c>
      <x:c r="B467" s="24" t="str">
        <x:v>OS05 现实资源与环境调整｜适用情境</x:v>
      </x:c>
      <x:c r="C467" s="24" t="str">
        <x:v>L10 外部支持与现实证据</x:v>
      </x:c>
      <x:c r="D467" s="24" t="str">
        <x:v>BUFFER-现实支持</x:v>
      </x:c>
      <x:c r="E467" s="24" t="str">
        <x:v>通用</x:v>
      </x:c>
      <x:c r="F467" s="24" t="str">
        <x:v>路由</x:v>
      </x:c>
      <x:c r="G467" s="24" t="str">
        <x:v>OS05 现实资源与环境调整</x:v>
      </x:c>
      <x:c r="H467" s="24" t="str">
        <x:v>说明何时调用该支持。</x:v>
      </x:c>
      <x:c r="I467" s="24" t="str">
        <x:v>用于TR04、TR06、TR08及资源压力下的状态分工。</x:v>
      </x:c>
      <x:c r="J467" s="24" t="str">
        <x:v>功能与当前风险靶点不匹配。</x:v>
      </x:c>
      <x:c r="K467" s="24" t="str">
        <x:v>由共享基础引擎提供；仅修正保护功能的承载、持续调用和压力状态下的稳定性，不直接等同成熟度、道德或现实行为。</x:v>
      </x:c>
      <x:c r="L467" s="24" t="str">
        <x:v>由M1／M2接口提供；夫妻星、心动原型和关系门槛只说明关系议题，不单独证明保护因素已经被调用或有效。</x:v>
      </x:c>
      <x:c r="M467" s="24" t="str">
        <x:v>由M3-BASE及M4各模块提供；日支、日柱近位可提高与亲密关系核心的相关性，但同一source_id不得重复计分。</x:v>
      </x:c>
      <x:c r="N467" s="24" t="str">
        <x:v>保护因素必须明确限制过用、补足缺位、恢复顺序、打开反馈、落实改变或完成修复回流；不能只凭五行相生补写现实效果。</x:v>
      </x:c>
      <x:c r="O467" s="24" t="str">
        <x:v>近位提高进入亲密关系核心的概率；远位只作背景、阶段或条件性修正。</x:v>
      </x:c>
      <x:c r="P467" s="24" t="str">
        <x:v>根气只修正该保护功能是否容易重复调用，不等于现实中已经形成稳定保护。</x:v>
      </x:c>
      <x:c r="Q467" s="24" t="str">
        <x:v>旺弱只修正调用强度与承载；强不自动有效，弱也不自动无效。</x:v>
      </x:c>
      <x:c r="R467" s="24" t="str">
        <x:v>喜忌只修正摩擦、平衡与承载，不可直接翻译为好坏、成熟度或解决方案。</x:v>
      </x:c>
      <x:c r="S467" s="24" t="str">
        <x:v>原十神功能有效；真合化成立时按化神功能替换，合化争议时停止定性。</x:v>
      </x:c>
      <x:c r="T467" s="24" t="str">
        <x:v>近位提高直接相关性；远位仅保留背景、阶段或低置信修正。</x:v>
      </x:c>
      <x:c r="U467" s="24" t="str">
        <x:v>91</x:v>
      </x:c>
      <x:c r="V467" s="24" t="str">
        <x:v>匹配+5</x:v>
      </x:c>
      <x:c r="W467" s="24" t="str">
        <x:v>buffer_target</x:v>
      </x:c>
      <x:c r="X467" s="24" t="str">
        <x:v>用于TR04、TR06、TR08及资源压力下的状态分工。</x:v>
      </x:c>
      <x:c r="Y467" s="24" t="str">
        <x:v>这类支持更适合用于：用于TR04、TR06、TR08及资源压力下的状态分工。</x:v>
      </x:c>
      <x:c r="Z467" s="24" t="str">
        <x:v>不得仅凭本规则断定问题已经解决、关系必然稳定、用户一定成熟、某十神天然是“药”、喜用神自动等于解决办法，或淡化暴力、强迫与现实伤害；现实行为、反例、安全事实和专业支持优先。</x:v>
      </x:c>
      <x:c r="AA467" s="24" t="str">
        <x:v>中高</x:v>
      </x:c>
      <x:c r="AB467" s="24" t="str">
        <x:v>待验证</x:v>
      </x:c>
      <x:c r="AC467" s="24" t="str"/>
      <x:c r="AD467" s="24" t="str">
        <x:v>provisional=true；保护因素的现实有效性必须由可观察行为、反馈和持续结果验证。</x:v>
      </x:c>
      <x:c r="AE467" s="24" t="str">
        <x:v>0.8</x:v>
      </x:c>
    </x:row>
    <x:row r="468" ht="52" customHeight="1">
      <x:c r="A468" s="24" t="str">
        <x:v>M4-BUFFER-467</x:v>
      </x:c>
      <x:c r="B468" s="24" t="str">
        <x:v>OS05 现实资源与环境调整｜有效证据</x:v>
      </x:c>
      <x:c r="C468" s="24" t="str">
        <x:v>L10 外部支持与现实证据</x:v>
      </x:c>
      <x:c r="D468" s="24" t="str">
        <x:v>BUFFER-现实支持</x:v>
      </x:c>
      <x:c r="E468" s="24" t="str">
        <x:v>通用</x:v>
      </x:c>
      <x:c r="F468" s="24" t="str">
        <x:v>效果</x:v>
      </x:c>
      <x:c r="G468" s="24" t="str">
        <x:v>OS05 现实资源与环境调整</x:v>
      </x:c>
      <x:c r="H468" s="24" t="str">
        <x:v>判断外部支持是否真实改变风险链。</x:v>
      </x:c>
      <x:c r="I468" s="24" t="str">
        <x:v>环境调整明确降低触发频率或提高修复完成率时，可计入有效保护。</x:v>
      </x:c>
      <x:c r="J468" s="24" t="str">
        <x:v>环境改善不等于关系能力自动提升；需区分暂时减压和长期改变。</x:v>
      </x:c>
      <x:c r="K468" s="24" t="str">
        <x:v>由共享基础引擎提供；仅修正保护功能的承载、持续调用和压力状态下的稳定性，不直接等同成熟度、道德或现实行为。</x:v>
      </x:c>
      <x:c r="L468" s="24" t="str">
        <x:v>由M1／M2接口提供；夫妻星、心动原型和关系门槛只说明关系议题，不单独证明保护因素已经被调用或有效。</x:v>
      </x:c>
      <x:c r="M468" s="24" t="str">
        <x:v>由M3-BASE及M4各模块提供；日支、日柱近位可提高与亲密关系核心的相关性，但同一source_id不得重复计分。</x:v>
      </x:c>
      <x:c r="N468" s="24" t="str">
        <x:v>保护因素必须明确限制过用、补足缺位、恢复顺序、打开反馈、落实改变或完成修复回流；不能只凭五行相生补写现实效果。</x:v>
      </x:c>
      <x:c r="O468" s="24" t="str">
        <x:v>近位提高进入亲密关系核心的概率；远位只作背景、阶段或条件性修正。</x:v>
      </x:c>
      <x:c r="P468" s="24" t="str">
        <x:v>根气只修正该保护功能是否容易重复调用，不等于现实中已经形成稳定保护。</x:v>
      </x:c>
      <x:c r="Q468" s="24" t="str">
        <x:v>旺弱只修正调用强度与承载；强不自动有效，弱也不自动无效。</x:v>
      </x:c>
      <x:c r="R468" s="24" t="str">
        <x:v>喜忌只修正摩擦、平衡与承载，不可直接翻译为好坏、成熟度或解决方案。</x:v>
      </x:c>
      <x:c r="S468" s="24" t="str">
        <x:v>原十神功能有效；真合化成立时按化神功能替换，合化争议时停止定性。</x:v>
      </x:c>
      <x:c r="T468" s="24" t="str">
        <x:v>近位提高直接相关性；远位仅保留背景、阶段或低置信修正。</x:v>
      </x:c>
      <x:c r="U468" s="24" t="str">
        <x:v>93</x:v>
      </x:c>
      <x:c r="V468" s="24" t="str">
        <x:v>现实有效+12</x:v>
      </x:c>
      <x:c r="W468" s="24" t="str">
        <x:v>buffer_level</x:v>
      </x:c>
      <x:c r="X468" s="24" t="str">
        <x:v>环境调整明确降低触发频率或提高修复完成率时，可计入有效保护。</x:v>
      </x:c>
      <x:c r="Y468" s="24" t="str">
        <x:v>真正有效时会看到：环境调整明确降低触发频率或提高修复完成率时，可计入有效保护。</x:v>
      </x:c>
      <x:c r="Z468" s="24" t="str">
        <x:v>不得仅凭本规则断定问题已经解决、关系必然稳定、用户一定成熟、某十神天然是“药”、喜用神自动等于解决办法，或淡化暴力、强迫与现实伤害；现实行为、反例、安全事实和专业支持优先。</x:v>
      </x:c>
      <x:c r="AA468" s="24" t="str">
        <x:v>中高</x:v>
      </x:c>
      <x:c r="AB468" s="24" t="str">
        <x:v>待验证</x:v>
      </x:c>
      <x:c r="AC468" s="24" t="str"/>
      <x:c r="AD468" s="24" t="str">
        <x:v>provisional=true；保护因素的现实有效性必须由可观察行为、反馈和持续结果验证。</x:v>
      </x:c>
      <x:c r="AE468" s="24" t="str">
        <x:v>0.8</x:v>
      </x:c>
    </x:row>
    <x:row r="469" ht="52" customHeight="1">
      <x:c r="A469" s="24" t="str">
        <x:v>M4-BUFFER-468</x:v>
      </x:c>
      <x:c r="B469" s="24" t="str">
        <x:v>OS05 现实资源与环境调整｜使用边界</x:v>
      </x:c>
      <x:c r="C469" s="24" t="str">
        <x:v>L10 外部支持与现实证据</x:v>
      </x:c>
      <x:c r="D469" s="24" t="str">
        <x:v>BUFFER-现实支持</x:v>
      </x:c>
      <x:c r="E469" s="24" t="str">
        <x:v>通用</x:v>
      </x:c>
      <x:c r="F469" s="24" t="str">
        <x:v>边界</x:v>
      </x:c>
      <x:c r="G469" s="24" t="str">
        <x:v>OS05 现实资源与环境调整</x:v>
      </x:c>
      <x:c r="H469" s="24" t="str">
        <x:v>限制外部支持推断。</x:v>
      </x:c>
      <x:c r="I469" s="24" t="str">
        <x:v>环境改善不等于关系能力自动提升；需区分暂时减压和长期改变。</x:v>
      </x:c>
      <x:c r="J469" s="24" t="str">
        <x:v>现实专业或安全评估明确支持更强行动。</x:v>
      </x:c>
      <x:c r="K469" s="24" t="str">
        <x:v>由共享基础引擎提供；仅修正保护功能的承载、持续调用和压力状态下的稳定性，不直接等同成熟度、道德或现实行为。</x:v>
      </x:c>
      <x:c r="L469" s="24" t="str">
        <x:v>由M1／M2接口提供；夫妻星、心动原型和关系门槛只说明关系议题，不单独证明保护因素已经被调用或有效。</x:v>
      </x:c>
      <x:c r="M469" s="24" t="str">
        <x:v>由M3-BASE及M4各模块提供；日支、日柱近位可提高与亲密关系核心的相关性，但同一source_id不得重复计分。</x:v>
      </x:c>
      <x:c r="N469" s="24" t="str">
        <x:v>保护因素必须明确限制过用、补足缺位、恢复顺序、打开反馈、落实改变或完成修复回流；不能只凭五行相生补写现实效果。</x:v>
      </x:c>
      <x:c r="O469" s="24" t="str">
        <x:v>近位提高进入亲密关系核心的概率；远位只作背景、阶段或条件性修正。</x:v>
      </x:c>
      <x:c r="P469" s="24" t="str">
        <x:v>根气只修正该保护功能是否容易重复调用，不等于现实中已经形成稳定保护。</x:v>
      </x:c>
      <x:c r="Q469" s="24" t="str">
        <x:v>旺弱只修正调用强度与承载；强不自动有效，弱也不自动无效。</x:v>
      </x:c>
      <x:c r="R469" s="24" t="str">
        <x:v>喜忌只修正摩擦、平衡与承载，不可直接翻译为好坏、成熟度或解决方案。</x:v>
      </x:c>
      <x:c r="S469" s="24" t="str">
        <x:v>原十神功能有效；真合化成立时按化神功能替换，合化争议时停止定性。</x:v>
      </x:c>
      <x:c r="T469" s="24" t="str">
        <x:v>近位提高直接相关性；远位仅保留背景、阶段或低置信修正。</x:v>
      </x:c>
      <x:c r="U469" s="24" t="str">
        <x:v>99</x:v>
      </x:c>
      <x:c r="V469" s="24" t="str">
        <x:v>边界／停止</x:v>
      </x:c>
      <x:c r="W469" s="24" t="str">
        <x:v>boundary_note</x:v>
      </x:c>
      <x:c r="X469" s="24" t="str">
        <x:v>环境改善不等于关系能力自动提升；需区分暂时减压和长期改变。</x:v>
      </x:c>
      <x:c r="Y469" s="24" t="str">
        <x:v>需要注意：环境改善不等于关系能力自动提升；需区分暂时减压和长期改变。</x:v>
      </x:c>
      <x:c r="Z469" s="24" t="str">
        <x:v>不得仅凭本规则断定问题已经解决、关系必然稳定、用户一定成熟、某十神天然是“药”、喜用神自动等于解决办法，或淡化暴力、强迫与现实伤害；现实行为、反例、安全事实和专业支持优先。</x:v>
      </x:c>
      <x:c r="AA469" s="24" t="str">
        <x:v>高</x:v>
      </x:c>
      <x:c r="AB469" s="24" t="str">
        <x:v>待验证</x:v>
      </x:c>
      <x:c r="AC469" s="24" t="str"/>
      <x:c r="AD469" s="24" t="str">
        <x:v>provisional=true；保护因素的现实有效性必须由可观察行为、反馈和持续结果验证。</x:v>
      </x:c>
      <x:c r="AE469" s="24" t="str">
        <x:v>0.8</x:v>
      </x:c>
    </x:row>
    <x:row r="470" ht="52" customHeight="1">
      <x:c r="A470" s="24" t="str">
        <x:v>M4-BUFFER-469</x:v>
      </x:c>
      <x:c r="B470" s="24" t="str">
        <x:v>OS06 专业咨询、治疗或督导｜现实支持定义</x:v>
      </x:c>
      <x:c r="C470" s="24" t="str">
        <x:v>L10 外部支持与现实证据</x:v>
      </x:c>
      <x:c r="D470" s="24" t="str">
        <x:v>BUFFER-现实支持</x:v>
      </x:c>
      <x:c r="E470" s="24" t="str">
        <x:v>通用</x:v>
      </x:c>
      <x:c r="F470" s="24" t="str">
        <x:v>定义</x:v>
      </x:c>
      <x:c r="G470" s="24" t="str">
        <x:v>OS06 专业咨询、治疗或督导</x:v>
      </x:c>
      <x:c r="H470" s="24" t="str">
        <x:v>定义外部支持输入。</x:v>
      </x:c>
      <x:c r="I470" s="24" t="str">
        <x:v>由合格专业人员提供评估、技能训练、心理支持、医疗或关系咨询。</x:v>
      </x:c>
      <x:c r="J470" s="24" t="str">
        <x:v>仅由命盘推测或没有现实来源。</x:v>
      </x:c>
      <x:c r="K470" s="24" t="str">
        <x:v>由共享基础引擎提供；仅修正保护功能的承载、持续调用和压力状态下的稳定性，不直接等同成熟度、道德或现实行为。</x:v>
      </x:c>
      <x:c r="L470" s="24" t="str">
        <x:v>由M1／M2接口提供；夫妻星、心动原型和关系门槛只说明关系议题，不单独证明保护因素已经被调用或有效。</x:v>
      </x:c>
      <x:c r="M470" s="24" t="str">
        <x:v>由M3-BASE及M4各模块提供；日支、日柱近位可提高与亲密关系核心的相关性，但同一source_id不得重复计分。</x:v>
      </x:c>
      <x:c r="N470" s="24" t="str">
        <x:v>保护因素必须明确限制过用、补足缺位、恢复顺序、打开反馈、落实改变或完成修复回流；不能只凭五行相生补写现实效果。</x:v>
      </x:c>
      <x:c r="O470" s="24" t="str">
        <x:v>近位提高进入亲密关系核心的概率；远位只作背景、阶段或条件性修正。</x:v>
      </x:c>
      <x:c r="P470" s="24" t="str">
        <x:v>根气只修正该保护功能是否容易重复调用，不等于现实中已经形成稳定保护。</x:v>
      </x:c>
      <x:c r="Q470" s="24" t="str">
        <x:v>旺弱只修正调用强度与承载；强不自动有效，弱也不自动无效。</x:v>
      </x:c>
      <x:c r="R470" s="24" t="str">
        <x:v>喜忌只修正摩擦、平衡与承载，不可直接翻译为好坏、成熟度或解决方案。</x:v>
      </x:c>
      <x:c r="S470" s="24" t="str">
        <x:v>原十神功能有效；真合化成立时按化神功能替换，合化争议时停止定性。</x:v>
      </x:c>
      <x:c r="T470" s="24" t="str">
        <x:v>近位提高直接相关性；远位仅保留背景、阶段或低置信修正。</x:v>
      </x:c>
      <x:c r="U470" s="24" t="str">
        <x:v>95</x:v>
      </x:c>
      <x:c r="V470" s="24" t="str">
        <x:v>现实输入+0</x:v>
      </x:c>
      <x:c r="W470" s="24" t="str">
        <x:v>external_support</x:v>
      </x:c>
      <x:c r="X470" s="24" t="str">
        <x:v>由合格专业人员提供评估、技能训练、心理支持、医疗或关系咨询。</x:v>
      </x:c>
      <x:c r="Y470" s="24" t="str">
        <x:v>现实中可利用的支持包括：由合格专业人员提供评估、技能训练、心理支持、医疗或关系咨询。</x:v>
      </x:c>
      <x:c r="Z470" s="24" t="str">
        <x:v>不得仅凭本规则断定问题已经解决、关系必然稳定、用户一定成熟、某十神天然是“药”、喜用神自动等于解决办法，或淡化暴力、强迫与现实伤害；现实行为、反例、安全事实和专业支持优先。</x:v>
      </x:c>
      <x:c r="AA470" s="24" t="str">
        <x:v>高</x:v>
      </x:c>
      <x:c r="AB470" s="24" t="str">
        <x:v>待验证</x:v>
      </x:c>
      <x:c r="AC470" s="24" t="str"/>
      <x:c r="AD470" s="24" t="str">
        <x:v>provisional=true；保护因素的现实有效性必须由可观察行为、反馈和持续结果验证。</x:v>
      </x:c>
      <x:c r="AE470" s="24" t="str">
        <x:v>0.8</x:v>
      </x:c>
    </x:row>
    <x:row r="471" ht="52" customHeight="1">
      <x:c r="A471" s="24" t="str">
        <x:v>M4-BUFFER-470</x:v>
      </x:c>
      <x:c r="B471" s="24" t="str">
        <x:v>OS06 专业咨询、治疗或督导｜适用情境</x:v>
      </x:c>
      <x:c r="C471" s="24" t="str">
        <x:v>L10 外部支持与现实证据</x:v>
      </x:c>
      <x:c r="D471" s="24" t="str">
        <x:v>BUFFER-现实支持</x:v>
      </x:c>
      <x:c r="E471" s="24" t="str">
        <x:v>通用</x:v>
      </x:c>
      <x:c r="F471" s="24" t="str">
        <x:v>路由</x:v>
      </x:c>
      <x:c r="G471" s="24" t="str">
        <x:v>OS06 专业咨询、治疗或督导</x:v>
      </x:c>
      <x:c r="H471" s="24" t="str">
        <x:v>说明何时调用该支持。</x:v>
      </x:c>
      <x:c r="I471" s="24" t="str">
        <x:v>当个人与伴侣资源不足、循环反复或影响显著时，提供外部结构和专业反馈。</x:v>
      </x:c>
      <x:c r="J471" s="24" t="str">
        <x:v>功能与当前风险靶点不匹配。</x:v>
      </x:c>
      <x:c r="K471" s="24" t="str">
        <x:v>由共享基础引擎提供；仅修正保护功能的承载、持续调用和压力状态下的稳定性，不直接等同成熟度、道德或现实行为。</x:v>
      </x:c>
      <x:c r="L471" s="24" t="str">
        <x:v>由M1／M2接口提供；夫妻星、心动原型和关系门槛只说明关系议题，不单独证明保护因素已经被调用或有效。</x:v>
      </x:c>
      <x:c r="M471" s="24" t="str">
        <x:v>由M3-BASE及M4各模块提供；日支、日柱近位可提高与亲密关系核心的相关性，但同一source_id不得重复计分。</x:v>
      </x:c>
      <x:c r="N471" s="24" t="str">
        <x:v>保护因素必须明确限制过用、补足缺位、恢复顺序、打开反馈、落实改变或完成修复回流；不能只凭五行相生补写现实效果。</x:v>
      </x:c>
      <x:c r="O471" s="24" t="str">
        <x:v>近位提高进入亲密关系核心的概率；远位只作背景、阶段或条件性修正。</x:v>
      </x:c>
      <x:c r="P471" s="24" t="str">
        <x:v>根气只修正该保护功能是否容易重复调用，不等于现实中已经形成稳定保护。</x:v>
      </x:c>
      <x:c r="Q471" s="24" t="str">
        <x:v>旺弱只修正调用强度与承载；强不自动有效，弱也不自动无效。</x:v>
      </x:c>
      <x:c r="R471" s="24" t="str">
        <x:v>喜忌只修正摩擦、平衡与承载，不可直接翻译为好坏、成熟度或解决方案。</x:v>
      </x:c>
      <x:c r="S471" s="24" t="str">
        <x:v>原十神功能有效；真合化成立时按化神功能替换，合化争议时停止定性。</x:v>
      </x:c>
      <x:c r="T471" s="24" t="str">
        <x:v>近位提高直接相关性；远位仅保留背景、阶段或低置信修正。</x:v>
      </x:c>
      <x:c r="U471" s="24" t="str">
        <x:v>91</x:v>
      </x:c>
      <x:c r="V471" s="24" t="str">
        <x:v>匹配+5</x:v>
      </x:c>
      <x:c r="W471" s="24" t="str">
        <x:v>buffer_target</x:v>
      </x:c>
      <x:c r="X471" s="24" t="str">
        <x:v>当个人与伴侣资源不足、循环反复或影响显著时，提供外部结构和专业反馈。</x:v>
      </x:c>
      <x:c r="Y471" s="24" t="str">
        <x:v>这类支持更适合用于：当个人与伴侣资源不足、循环反复或影响显著时，提供外部结构和专业反馈。</x:v>
      </x:c>
      <x:c r="Z471" s="24" t="str">
        <x:v>不得仅凭本规则断定问题已经解决、关系必然稳定、用户一定成熟、某十神天然是“药”、喜用神自动等于解决办法，或淡化暴力、强迫与现实伤害；现实行为、反例、安全事实和专业支持优先。</x:v>
      </x:c>
      <x:c r="AA471" s="24" t="str">
        <x:v>中高</x:v>
      </x:c>
      <x:c r="AB471" s="24" t="str">
        <x:v>待验证</x:v>
      </x:c>
      <x:c r="AC471" s="24" t="str"/>
      <x:c r="AD471" s="24" t="str">
        <x:v>provisional=true；保护因素的现实有效性必须由可观察行为、反馈和持续结果验证。</x:v>
      </x:c>
      <x:c r="AE471" s="24" t="str">
        <x:v>0.8</x:v>
      </x:c>
    </x:row>
    <x:row r="472" ht="52" customHeight="1">
      <x:c r="A472" s="24" t="str">
        <x:v>M4-BUFFER-471</x:v>
      </x:c>
      <x:c r="B472" s="24" t="str">
        <x:v>OS06 专业咨询、治疗或督导｜有效证据</x:v>
      </x:c>
      <x:c r="C472" s="24" t="str">
        <x:v>L10 外部支持与现实证据</x:v>
      </x:c>
      <x:c r="D472" s="24" t="str">
        <x:v>BUFFER-现实支持</x:v>
      </x:c>
      <x:c r="E472" s="24" t="str">
        <x:v>通用</x:v>
      </x:c>
      <x:c r="F472" s="24" t="str">
        <x:v>效果</x:v>
      </x:c>
      <x:c r="G472" s="24" t="str">
        <x:v>OS06 专业咨询、治疗或督导</x:v>
      </x:c>
      <x:c r="H472" s="24" t="str">
        <x:v>判断外部支持是否真实改变风险链。</x:v>
      </x:c>
      <x:c r="I472" s="24" t="str">
        <x:v>现实中已参与并产生可观察改变时，可作为BF08与BL4以上证据。</x:v>
      </x:c>
      <x:c r="J472" s="24" t="str">
        <x:v>模型不能诊断疾病、指定治疗或保证效果；应以专业评估为准。</x:v>
      </x:c>
      <x:c r="K472" s="24" t="str">
        <x:v>由共享基础引擎提供；仅修正保护功能的承载、持续调用和压力状态下的稳定性，不直接等同成熟度、道德或现实行为。</x:v>
      </x:c>
      <x:c r="L472" s="24" t="str">
        <x:v>由M1／M2接口提供；夫妻星、心动原型和关系门槛只说明关系议题，不单独证明保护因素已经被调用或有效。</x:v>
      </x:c>
      <x:c r="M472" s="24" t="str">
        <x:v>由M3-BASE及M4各模块提供；日支、日柱近位可提高与亲密关系核心的相关性，但同一source_id不得重复计分。</x:v>
      </x:c>
      <x:c r="N472" s="24" t="str">
        <x:v>保护因素必须明确限制过用、补足缺位、恢复顺序、打开反馈、落实改变或完成修复回流；不能只凭五行相生补写现实效果。</x:v>
      </x:c>
      <x:c r="O472" s="24" t="str">
        <x:v>近位提高进入亲密关系核心的概率；远位只作背景、阶段或条件性修正。</x:v>
      </x:c>
      <x:c r="P472" s="24" t="str">
        <x:v>根气只修正该保护功能是否容易重复调用，不等于现实中已经形成稳定保护。</x:v>
      </x:c>
      <x:c r="Q472" s="24" t="str">
        <x:v>旺弱只修正调用强度与承载；强不自动有效，弱也不自动无效。</x:v>
      </x:c>
      <x:c r="R472" s="24" t="str">
        <x:v>喜忌只修正摩擦、平衡与承载，不可直接翻译为好坏、成熟度或解决方案。</x:v>
      </x:c>
      <x:c r="S472" s="24" t="str">
        <x:v>原十神功能有效；真合化成立时按化神功能替换，合化争议时停止定性。</x:v>
      </x:c>
      <x:c r="T472" s="24" t="str">
        <x:v>近位提高直接相关性；远位仅保留背景、阶段或低置信修正。</x:v>
      </x:c>
      <x:c r="U472" s="24" t="str">
        <x:v>93</x:v>
      </x:c>
      <x:c r="V472" s="24" t="str">
        <x:v>现实有效+12</x:v>
      </x:c>
      <x:c r="W472" s="24" t="str">
        <x:v>buffer_level</x:v>
      </x:c>
      <x:c r="X472" s="24" t="str">
        <x:v>现实中已参与并产生可观察改变时，可作为BF08与BL4以上证据。</x:v>
      </x:c>
      <x:c r="Y472" s="24" t="str">
        <x:v>真正有效时会看到：现实中已参与并产生可观察改变时，可作为BF08与BL4以上证据。</x:v>
      </x:c>
      <x:c r="Z472" s="24" t="str">
        <x:v>不得仅凭本规则断定问题已经解决、关系必然稳定、用户一定成熟、某十神天然是“药”、喜用神自动等于解决办法，或淡化暴力、强迫与现实伤害；现实行为、反例、安全事实和专业支持优先。</x:v>
      </x:c>
      <x:c r="AA472" s="24" t="str">
        <x:v>中高</x:v>
      </x:c>
      <x:c r="AB472" s="24" t="str">
        <x:v>待验证</x:v>
      </x:c>
      <x:c r="AC472" s="24" t="str"/>
      <x:c r="AD472" s="24" t="str">
        <x:v>provisional=true；保护因素的现实有效性必须由可观察行为、反馈和持续结果验证。</x:v>
      </x:c>
      <x:c r="AE472" s="24" t="str">
        <x:v>0.8</x:v>
      </x:c>
    </x:row>
    <x:row r="473" ht="52" customHeight="1">
      <x:c r="A473" s="24" t="str">
        <x:v>M4-BUFFER-472</x:v>
      </x:c>
      <x:c r="B473" s="24" t="str">
        <x:v>OS06 专业咨询、治疗或督导｜使用边界</x:v>
      </x:c>
      <x:c r="C473" s="24" t="str">
        <x:v>L10 外部支持与现实证据</x:v>
      </x:c>
      <x:c r="D473" s="24" t="str">
        <x:v>BUFFER-现实支持</x:v>
      </x:c>
      <x:c r="E473" s="24" t="str">
        <x:v>通用</x:v>
      </x:c>
      <x:c r="F473" s="24" t="str">
        <x:v>边界</x:v>
      </x:c>
      <x:c r="G473" s="24" t="str">
        <x:v>OS06 专业咨询、治疗或督导</x:v>
      </x:c>
      <x:c r="H473" s="24" t="str">
        <x:v>限制外部支持推断。</x:v>
      </x:c>
      <x:c r="I473" s="24" t="str">
        <x:v>模型不能诊断疾病、指定治疗或保证效果；应以专业评估为准。</x:v>
      </x:c>
      <x:c r="J473" s="24" t="str">
        <x:v>现实专业或安全评估明确支持更强行动。</x:v>
      </x:c>
      <x:c r="K473" s="24" t="str">
        <x:v>由共享基础引擎提供；仅修正保护功能的承载、持续调用和压力状态下的稳定性，不直接等同成熟度、道德或现实行为。</x:v>
      </x:c>
      <x:c r="L473" s="24" t="str">
        <x:v>由M1／M2接口提供；夫妻星、心动原型和关系门槛只说明关系议题，不单独证明保护因素已经被调用或有效。</x:v>
      </x:c>
      <x:c r="M473" s="24" t="str">
        <x:v>由M3-BASE及M4各模块提供；日支、日柱近位可提高与亲密关系核心的相关性，但同一source_id不得重复计分。</x:v>
      </x:c>
      <x:c r="N473" s="24" t="str">
        <x:v>保护因素必须明确限制过用、补足缺位、恢复顺序、打开反馈、落实改变或完成修复回流；不能只凭五行相生补写现实效果。</x:v>
      </x:c>
      <x:c r="O473" s="24" t="str">
        <x:v>近位提高进入亲密关系核心的概率；远位只作背景、阶段或条件性修正。</x:v>
      </x:c>
      <x:c r="P473" s="24" t="str">
        <x:v>根气只修正该保护功能是否容易重复调用，不等于现实中已经形成稳定保护。</x:v>
      </x:c>
      <x:c r="Q473" s="24" t="str">
        <x:v>旺弱只修正调用强度与承载；强不自动有效，弱也不自动无效。</x:v>
      </x:c>
      <x:c r="R473" s="24" t="str">
        <x:v>喜忌只修正摩擦、平衡与承载，不可直接翻译为好坏、成熟度或解决方案。</x:v>
      </x:c>
      <x:c r="S473" s="24" t="str">
        <x:v>原十神功能有效；真合化成立时按化神功能替换，合化争议时停止定性。</x:v>
      </x:c>
      <x:c r="T473" s="24" t="str">
        <x:v>近位提高直接相关性；远位仅保留背景、阶段或低置信修正。</x:v>
      </x:c>
      <x:c r="U473" s="24" t="str">
        <x:v>99</x:v>
      </x:c>
      <x:c r="V473" s="24" t="str">
        <x:v>边界／停止</x:v>
      </x:c>
      <x:c r="W473" s="24" t="str">
        <x:v>boundary_note</x:v>
      </x:c>
      <x:c r="X473" s="24" t="str">
        <x:v>模型不能诊断疾病、指定治疗或保证效果；应以专业评估为准。</x:v>
      </x:c>
      <x:c r="Y473" s="24" t="str">
        <x:v>需要注意：模型不能诊断疾病、指定治疗或保证效果；应以专业评估为准。</x:v>
      </x:c>
      <x:c r="Z473" s="24" t="str">
        <x:v>不得仅凭本规则断定问题已经解决、关系必然稳定、用户一定成熟、某十神天然是“药”、喜用神自动等于解决办法，或淡化暴力、强迫与现实伤害；现实行为、反例、安全事实和专业支持优先。</x:v>
      </x:c>
      <x:c r="AA473" s="24" t="str">
        <x:v>高</x:v>
      </x:c>
      <x:c r="AB473" s="24" t="str">
        <x:v>待验证</x:v>
      </x:c>
      <x:c r="AC473" s="24" t="str"/>
      <x:c r="AD473" s="24" t="str">
        <x:v>provisional=true；保护因素的现实有效性必须由可观察行为、反馈和持续结果验证。</x:v>
      </x:c>
      <x:c r="AE473" s="24" t="str">
        <x:v>0.8</x:v>
      </x:c>
    </x:row>
    <x:row r="474" ht="52" customHeight="1">
      <x:c r="A474" s="24" t="str">
        <x:v>M4-BUFFER-473</x:v>
      </x:c>
      <x:c r="B474" s="24" t="str">
        <x:v>OS07 安全计划、法律与医疗支持｜现实支持定义</x:v>
      </x:c>
      <x:c r="C474" s="24" t="str">
        <x:v>L10 外部支持与现实证据</x:v>
      </x:c>
      <x:c r="D474" s="24" t="str">
        <x:v>BUFFER-现实支持</x:v>
      </x:c>
      <x:c r="E474" s="24" t="str">
        <x:v>通用</x:v>
      </x:c>
      <x:c r="F474" s="24" t="str">
        <x:v>定义</x:v>
      </x:c>
      <x:c r="G474" s="24" t="str">
        <x:v>OS07 安全计划、法律与医疗支持</x:v>
      </x:c>
      <x:c r="H474" s="24" t="str">
        <x:v>定义外部支持输入。</x:v>
      </x:c>
      <x:c r="I474" s="24" t="str">
        <x:v>在暴力、威胁、强迫、跟踪、经济控制或人身风险中使用的现实保护资源。</x:v>
      </x:c>
      <x:c r="J474" s="24" t="str">
        <x:v>仅由命盘推测或没有现实来源。</x:v>
      </x:c>
      <x:c r="K474" s="24" t="str">
        <x:v>由共享基础引擎提供；仅修正保护功能的承载、持续调用和压力状态下的稳定性，不直接等同成熟度、道德或现实行为。</x:v>
      </x:c>
      <x:c r="L474" s="24" t="str">
        <x:v>由M1／M2接口提供；夫妻星、心动原型和关系门槛只说明关系议题，不单独证明保护因素已经被调用或有效。</x:v>
      </x:c>
      <x:c r="M474" s="24" t="str">
        <x:v>由M3-BASE及M4各模块提供；日支、日柱近位可提高与亲密关系核心的相关性，但同一source_id不得重复计分。</x:v>
      </x:c>
      <x:c r="N474" s="24" t="str">
        <x:v>保护因素必须明确限制过用、补足缺位、恢复顺序、打开反馈、落实改变或完成修复回流；不能只凭五行相生补写现实效果。</x:v>
      </x:c>
      <x:c r="O474" s="24" t="str">
        <x:v>近位提高进入亲密关系核心的概率；远位只作背景、阶段或条件性修正。</x:v>
      </x:c>
      <x:c r="P474" s="24" t="str">
        <x:v>根气只修正该保护功能是否容易重复调用，不等于现实中已经形成稳定保护。</x:v>
      </x:c>
      <x:c r="Q474" s="24" t="str">
        <x:v>旺弱只修正调用强度与承载；强不自动有效，弱也不自动无效。</x:v>
      </x:c>
      <x:c r="R474" s="24" t="str">
        <x:v>喜忌只修正摩擦、平衡与承载，不可直接翻译为好坏、成熟度或解决方案。</x:v>
      </x:c>
      <x:c r="S474" s="24" t="str">
        <x:v>原十神功能有效；真合化成立时按化神功能替换，合化争议时停止定性。</x:v>
      </x:c>
      <x:c r="T474" s="24" t="str">
        <x:v>近位提高直接相关性；远位仅保留背景、阶段或低置信修正。</x:v>
      </x:c>
      <x:c r="U474" s="24" t="str">
        <x:v>95</x:v>
      </x:c>
      <x:c r="V474" s="24" t="str">
        <x:v>现实输入+0</x:v>
      </x:c>
      <x:c r="W474" s="24" t="str">
        <x:v>external_support</x:v>
      </x:c>
      <x:c r="X474" s="24" t="str">
        <x:v>在暴力、威胁、强迫、跟踪、经济控制或人身风险中使用的现实保护资源。</x:v>
      </x:c>
      <x:c r="Y474" s="24" t="str">
        <x:v>现实中可利用的支持包括：在暴力、威胁、强迫、跟踪、经济控制或人身风险中使用的现实保护资源。</x:v>
      </x:c>
      <x:c r="Z474" s="24" t="str">
        <x:v>不得仅凭本规则断定问题已经解决、关系必然稳定、用户一定成熟、某十神天然是“药”、喜用神自动等于解决办法，或淡化暴力、强迫与现实伤害；现实行为、反例、安全事实和专业支持优先。</x:v>
      </x:c>
      <x:c r="AA474" s="24" t="str">
        <x:v>高</x:v>
      </x:c>
      <x:c r="AB474" s="24" t="str">
        <x:v>待验证</x:v>
      </x:c>
      <x:c r="AC474" s="24" t="str"/>
      <x:c r="AD474" s="24" t="str">
        <x:v>provisional=true；保护因素的现实有效性必须由可观察行为、反馈和持续结果验证。</x:v>
      </x:c>
      <x:c r="AE474" s="24" t="str">
        <x:v>0.8</x:v>
      </x:c>
    </x:row>
    <x:row r="475" ht="52" customHeight="1">
      <x:c r="A475" s="24" t="str">
        <x:v>M4-BUFFER-474</x:v>
      </x:c>
      <x:c r="B475" s="24" t="str">
        <x:v>OS07 安全计划、法律与医疗支持｜适用情境</x:v>
      </x:c>
      <x:c r="C475" s="24" t="str">
        <x:v>L10 外部支持与现实证据</x:v>
      </x:c>
      <x:c r="D475" s="24" t="str">
        <x:v>BUFFER-现实支持</x:v>
      </x:c>
      <x:c r="E475" s="24" t="str">
        <x:v>通用</x:v>
      </x:c>
      <x:c r="F475" s="24" t="str">
        <x:v>路由</x:v>
      </x:c>
      <x:c r="G475" s="24" t="str">
        <x:v>OS07 安全计划、法律与医疗支持</x:v>
      </x:c>
      <x:c r="H475" s="24" t="str">
        <x:v>说明何时调用该支持。</x:v>
      </x:c>
      <x:c r="I475" s="24" t="str">
        <x:v>用于安全停止、责任追踪、证据保存、医疗与法律协助。</x:v>
      </x:c>
      <x:c r="J475" s="24" t="str">
        <x:v>功能与当前风险靶点不匹配。</x:v>
      </x:c>
      <x:c r="K475" s="24" t="str">
        <x:v>由共享基础引擎提供；仅修正保护功能的承载、持续调用和压力状态下的稳定性，不直接等同成熟度、道德或现实行为。</x:v>
      </x:c>
      <x:c r="L475" s="24" t="str">
        <x:v>由M1／M2接口提供；夫妻星、心动原型和关系门槛只说明关系议题，不单独证明保护因素已经被调用或有效。</x:v>
      </x:c>
      <x:c r="M475" s="24" t="str">
        <x:v>由M3-BASE及M4各模块提供；日支、日柱近位可提高与亲密关系核心的相关性，但同一source_id不得重复计分。</x:v>
      </x:c>
      <x:c r="N475" s="24" t="str">
        <x:v>保护因素必须明确限制过用、补足缺位、恢复顺序、打开反馈、落实改变或完成修复回流；不能只凭五行相生补写现实效果。</x:v>
      </x:c>
      <x:c r="O475" s="24" t="str">
        <x:v>近位提高进入亲密关系核心的概率；远位只作背景、阶段或条件性修正。</x:v>
      </x:c>
      <x:c r="P475" s="24" t="str">
        <x:v>根气只修正该保护功能是否容易重复调用，不等于现实中已经形成稳定保护。</x:v>
      </x:c>
      <x:c r="Q475" s="24" t="str">
        <x:v>旺弱只修正调用强度与承载；强不自动有效，弱也不自动无效。</x:v>
      </x:c>
      <x:c r="R475" s="24" t="str">
        <x:v>喜忌只修正摩擦、平衡与承载，不可直接翻译为好坏、成熟度或解决方案。</x:v>
      </x:c>
      <x:c r="S475" s="24" t="str">
        <x:v>原十神功能有效；真合化成立时按化神功能替换，合化争议时停止定性。</x:v>
      </x:c>
      <x:c r="T475" s="24" t="str">
        <x:v>近位提高直接相关性；远位仅保留背景、阶段或低置信修正。</x:v>
      </x:c>
      <x:c r="U475" s="24" t="str">
        <x:v>91</x:v>
      </x:c>
      <x:c r="V475" s="24" t="str">
        <x:v>匹配+5</x:v>
      </x:c>
      <x:c r="W475" s="24" t="str">
        <x:v>buffer_target</x:v>
      </x:c>
      <x:c r="X475" s="24" t="str">
        <x:v>用于安全停止、责任追踪、证据保存、医疗与法律协助。</x:v>
      </x:c>
      <x:c r="Y475" s="24" t="str">
        <x:v>这类支持更适合用于：用于安全停止、责任追踪、证据保存、医疗与法律协助。</x:v>
      </x:c>
      <x:c r="Z475" s="24" t="str">
        <x:v>不得仅凭本规则断定问题已经解决、关系必然稳定、用户一定成熟、某十神天然是“药”、喜用神自动等于解决办法，或淡化暴力、强迫与现实伤害；现实行为、反例、安全事实和专业支持优先。</x:v>
      </x:c>
      <x:c r="AA475" s="24" t="str">
        <x:v>中高</x:v>
      </x:c>
      <x:c r="AB475" s="24" t="str">
        <x:v>待验证</x:v>
      </x:c>
      <x:c r="AC475" s="24" t="str"/>
      <x:c r="AD475" s="24" t="str">
        <x:v>provisional=true；保护因素的现实有效性必须由可观察行为、反馈和持续结果验证。</x:v>
      </x:c>
      <x:c r="AE475" s="24" t="str">
        <x:v>0.8</x:v>
      </x:c>
    </x:row>
    <x:row r="476" ht="52" customHeight="1">
      <x:c r="A476" s="24" t="str">
        <x:v>M4-BUFFER-475</x:v>
      </x:c>
      <x:c r="B476" s="24" t="str">
        <x:v>OS07 安全计划、法律与医疗支持｜有效证据</x:v>
      </x:c>
      <x:c r="C476" s="24" t="str">
        <x:v>L10 外部支持与现实证据</x:v>
      </x:c>
      <x:c r="D476" s="24" t="str">
        <x:v>BUFFER-现实支持</x:v>
      </x:c>
      <x:c r="E476" s="24" t="str">
        <x:v>通用</x:v>
      </x:c>
      <x:c r="F476" s="24" t="str">
        <x:v>效果</x:v>
      </x:c>
      <x:c r="G476" s="24" t="str">
        <x:v>OS07 安全计划、法律与医疗支持</x:v>
      </x:c>
      <x:c r="H476" s="24" t="str">
        <x:v>判断外部支持是否真实改变风险链。</x:v>
      </x:c>
      <x:c r="I476" s="24" t="str">
        <x:v>该类支持优先于普通关系调节，不参与“双方循环”平均责任。</x:v>
      </x:c>
      <x:c r="J476" s="24" t="str">
        <x:v>不得建议继续暴露、私下协商或以命理化解替代安全措施。</x:v>
      </x:c>
      <x:c r="K476" s="24" t="str">
        <x:v>由共享基础引擎提供；仅修正保护功能的承载、持续调用和压力状态下的稳定性，不直接等同成熟度、道德或现实行为。</x:v>
      </x:c>
      <x:c r="L476" s="24" t="str">
        <x:v>由M1／M2接口提供；夫妻星、心动原型和关系门槛只说明关系议题，不单独证明保护因素已经被调用或有效。</x:v>
      </x:c>
      <x:c r="M476" s="24" t="str">
        <x:v>由M3-BASE及M4各模块提供；日支、日柱近位可提高与亲密关系核心的相关性，但同一source_id不得重复计分。</x:v>
      </x:c>
      <x:c r="N476" s="24" t="str">
        <x:v>保护因素必须明确限制过用、补足缺位、恢复顺序、打开反馈、落实改变或完成修复回流；不能只凭五行相生补写现实效果。</x:v>
      </x:c>
      <x:c r="O476" s="24" t="str">
        <x:v>近位提高进入亲密关系核心的概率；远位只作背景、阶段或条件性修正。</x:v>
      </x:c>
      <x:c r="P476" s="24" t="str">
        <x:v>根气只修正该保护功能是否容易重复调用，不等于现实中已经形成稳定保护。</x:v>
      </x:c>
      <x:c r="Q476" s="24" t="str">
        <x:v>旺弱只修正调用强度与承载；强不自动有效，弱也不自动无效。</x:v>
      </x:c>
      <x:c r="R476" s="24" t="str">
        <x:v>喜忌只修正摩擦、平衡与承载，不可直接翻译为好坏、成熟度或解决方案。</x:v>
      </x:c>
      <x:c r="S476" s="24" t="str">
        <x:v>原十神功能有效；真合化成立时按化神功能替换，合化争议时停止定性。</x:v>
      </x:c>
      <x:c r="T476" s="24" t="str">
        <x:v>近位提高直接相关性；远位仅保留背景、阶段或低置信修正。</x:v>
      </x:c>
      <x:c r="U476" s="24" t="str">
        <x:v>93</x:v>
      </x:c>
      <x:c r="V476" s="24" t="str">
        <x:v>现实有效+12</x:v>
      </x:c>
      <x:c r="W476" s="24" t="str">
        <x:v>buffer_level</x:v>
      </x:c>
      <x:c r="X476" s="24" t="str">
        <x:v>该类支持优先于普通关系调节，不参与“双方循环”平均责任。</x:v>
      </x:c>
      <x:c r="Y476" s="24" t="str">
        <x:v>真正有效时会看到：该类支持优先于普通关系调节，不参与“双方循环”平均责任。</x:v>
      </x:c>
      <x:c r="Z476" s="24" t="str">
        <x:v>不得仅凭本规则断定问题已经解决、关系必然稳定、用户一定成熟、某十神天然是“药”、喜用神自动等于解决办法，或淡化暴力、强迫与现实伤害；现实行为、反例、安全事实和专业支持优先。</x:v>
      </x:c>
      <x:c r="AA476" s="24" t="str">
        <x:v>中高</x:v>
      </x:c>
      <x:c r="AB476" s="24" t="str">
        <x:v>待验证</x:v>
      </x:c>
      <x:c r="AC476" s="24" t="str"/>
      <x:c r="AD476" s="24" t="str">
        <x:v>provisional=true；保护因素的现实有效性必须由可观察行为、反馈和持续结果验证。</x:v>
      </x:c>
      <x:c r="AE476" s="24" t="str">
        <x:v>0.8</x:v>
      </x:c>
    </x:row>
    <x:row r="477" ht="52" customHeight="1">
      <x:c r="A477" s="24" t="str">
        <x:v>M4-BUFFER-476</x:v>
      </x:c>
      <x:c r="B477" s="24" t="str">
        <x:v>OS07 安全计划、法律与医疗支持｜使用边界</x:v>
      </x:c>
      <x:c r="C477" s="24" t="str">
        <x:v>L10 外部支持与现实证据</x:v>
      </x:c>
      <x:c r="D477" s="24" t="str">
        <x:v>BUFFER-现实支持</x:v>
      </x:c>
      <x:c r="E477" s="24" t="str">
        <x:v>通用</x:v>
      </x:c>
      <x:c r="F477" s="24" t="str">
        <x:v>边界</x:v>
      </x:c>
      <x:c r="G477" s="24" t="str">
        <x:v>OS07 安全计划、法律与医疗支持</x:v>
      </x:c>
      <x:c r="H477" s="24" t="str">
        <x:v>限制外部支持推断。</x:v>
      </x:c>
      <x:c r="I477" s="24" t="str">
        <x:v>不得建议继续暴露、私下协商或以命理化解替代安全措施。</x:v>
      </x:c>
      <x:c r="J477" s="24" t="str">
        <x:v>现实专业或安全评估明确支持更强行动。</x:v>
      </x:c>
      <x:c r="K477" s="24" t="str">
        <x:v>由共享基础引擎提供；仅修正保护功能的承载、持续调用和压力状态下的稳定性，不直接等同成熟度、道德或现实行为。</x:v>
      </x:c>
      <x:c r="L477" s="24" t="str">
        <x:v>由M1／M2接口提供；夫妻星、心动原型和关系门槛只说明关系议题，不单独证明保护因素已经被调用或有效。</x:v>
      </x:c>
      <x:c r="M477" s="24" t="str">
        <x:v>由M3-BASE及M4各模块提供；日支、日柱近位可提高与亲密关系核心的相关性，但同一source_id不得重复计分。</x:v>
      </x:c>
      <x:c r="N477" s="24" t="str">
        <x:v>保护因素必须明确限制过用、补足缺位、恢复顺序、打开反馈、落实改变或完成修复回流；不能只凭五行相生补写现实效果。</x:v>
      </x:c>
      <x:c r="O477" s="24" t="str">
        <x:v>近位提高进入亲密关系核心的概率；远位只作背景、阶段或条件性修正。</x:v>
      </x:c>
      <x:c r="P477" s="24" t="str">
        <x:v>根气只修正该保护功能是否容易重复调用，不等于现实中已经形成稳定保护。</x:v>
      </x:c>
      <x:c r="Q477" s="24" t="str">
        <x:v>旺弱只修正调用强度与承载；强不自动有效，弱也不自动无效。</x:v>
      </x:c>
      <x:c r="R477" s="24" t="str">
        <x:v>喜忌只修正摩擦、平衡与承载，不可直接翻译为好坏、成熟度或解决方案。</x:v>
      </x:c>
      <x:c r="S477" s="24" t="str">
        <x:v>原十神功能有效；真合化成立时按化神功能替换，合化争议时停止定性。</x:v>
      </x:c>
      <x:c r="T477" s="24" t="str">
        <x:v>近位提高直接相关性；远位仅保留背景、阶段或低置信修正。</x:v>
      </x:c>
      <x:c r="U477" s="24" t="str">
        <x:v>99</x:v>
      </x:c>
      <x:c r="V477" s="24" t="str">
        <x:v>边界／停止</x:v>
      </x:c>
      <x:c r="W477" s="24" t="str">
        <x:v>boundary_note</x:v>
      </x:c>
      <x:c r="X477" s="24" t="str">
        <x:v>不得建议继续暴露、私下协商或以命理化解替代安全措施。</x:v>
      </x:c>
      <x:c r="Y477" s="24" t="str">
        <x:v>需要注意：不得建议继续暴露、私下协商或以命理化解替代安全措施。</x:v>
      </x:c>
      <x:c r="Z477" s="24" t="str">
        <x:v>不得仅凭本规则断定问题已经解决、关系必然稳定、用户一定成熟、某十神天然是“药”、喜用神自动等于解决办法，或淡化暴力、强迫与现实伤害；现实行为、反例、安全事实和专业支持优先。</x:v>
      </x:c>
      <x:c r="AA477" s="24" t="str">
        <x:v>高</x:v>
      </x:c>
      <x:c r="AB477" s="24" t="str">
        <x:v>待验证</x:v>
      </x:c>
      <x:c r="AC477" s="24" t="str"/>
      <x:c r="AD477" s="24" t="str">
        <x:v>provisional=true；保护因素的现实有效性必须由可观察行为、反馈和持续结果验证。</x:v>
      </x:c>
      <x:c r="AE477" s="24" t="str">
        <x:v>0.8</x:v>
      </x:c>
    </x:row>
    <x:row r="478" ht="52" customHeight="1">
      <x:c r="A478" s="24" t="str">
        <x:v>M4-BUFFER-477</x:v>
      </x:c>
      <x:c r="B478" s="24" t="str">
        <x:v>OS08 主动退出、降低暴露与关系降级｜现实支持定义</x:v>
      </x:c>
      <x:c r="C478" s="24" t="str">
        <x:v>L10 外部支持与现实证据</x:v>
      </x:c>
      <x:c r="D478" s="24" t="str">
        <x:v>BUFFER-现实支持</x:v>
      </x:c>
      <x:c r="E478" s="24" t="str">
        <x:v>通用</x:v>
      </x:c>
      <x:c r="F478" s="24" t="str">
        <x:v>定义</x:v>
      </x:c>
      <x:c r="G478" s="24" t="str">
        <x:v>OS08 主动退出、降低暴露与关系降级</x:v>
      </x:c>
      <x:c r="H478" s="24" t="str">
        <x:v>定义外部支持输入。</x:v>
      </x:c>
      <x:c r="I478" s="24" t="str">
        <x:v>在风险持续、边界反复被越过或修复无效时，减少接触、暂停或结束关系。</x:v>
      </x:c>
      <x:c r="J478" s="24" t="str">
        <x:v>仅由命盘推测或没有现实来源。</x:v>
      </x:c>
      <x:c r="K478" s="24" t="str">
        <x:v>由共享基础引擎提供；仅修正保护功能的承载、持续调用和压力状态下的稳定性，不直接等同成熟度、道德或现实行为。</x:v>
      </x:c>
      <x:c r="L478" s="24" t="str">
        <x:v>由M1／M2接口提供；夫妻星、心动原型和关系门槛只说明关系议题，不单独证明保护因素已经被调用或有效。</x:v>
      </x:c>
      <x:c r="M478" s="24" t="str">
        <x:v>由M3-BASE及M4各模块提供；日支、日柱近位可提高与亲密关系核心的相关性，但同一source_id不得重复计分。</x:v>
      </x:c>
      <x:c r="N478" s="24" t="str">
        <x:v>保护因素必须明确限制过用、补足缺位、恢复顺序、打开反馈、落实改变或完成修复回流；不能只凭五行相生补写现实效果。</x:v>
      </x:c>
      <x:c r="O478" s="24" t="str">
        <x:v>近位提高进入亲密关系核心的概率；远位只作背景、阶段或条件性修正。</x:v>
      </x:c>
      <x:c r="P478" s="24" t="str">
        <x:v>根气只修正该保护功能是否容易重复调用，不等于现实中已经形成稳定保护。</x:v>
      </x:c>
      <x:c r="Q478" s="24" t="str">
        <x:v>旺弱只修正调用强度与承载；强不自动有效，弱也不自动无效。</x:v>
      </x:c>
      <x:c r="R478" s="24" t="str">
        <x:v>喜忌只修正摩擦、平衡与承载，不可直接翻译为好坏、成熟度或解决方案。</x:v>
      </x:c>
      <x:c r="S478" s="24" t="str">
        <x:v>原十神功能有效；真合化成立时按化神功能替换，合化争议时停止定性。</x:v>
      </x:c>
      <x:c r="T478" s="24" t="str">
        <x:v>近位提高直接相关性；远位仅保留背景、阶段或低置信修正。</x:v>
      </x:c>
      <x:c r="U478" s="24" t="str">
        <x:v>95</x:v>
      </x:c>
      <x:c r="V478" s="24" t="str">
        <x:v>现实输入+0</x:v>
      </x:c>
      <x:c r="W478" s="24" t="str">
        <x:v>external_support</x:v>
      </x:c>
      <x:c r="X478" s="24" t="str">
        <x:v>在风险持续、边界反复被越过或修复无效时，减少接触、暂停或结束关系。</x:v>
      </x:c>
      <x:c r="Y478" s="24" t="str">
        <x:v>现实中可利用的支持包括：在风险持续、边界反复被越过或修复无效时，减少接触、暂停或结束关系。</x:v>
      </x:c>
      <x:c r="Z478" s="24" t="str">
        <x:v>不得仅凭本规则断定问题已经解决、关系必然稳定、用户一定成熟、某十神天然是“药”、喜用神自动等于解决办法，或淡化暴力、强迫与现实伤害；现实行为、反例、安全事实和专业支持优先。</x:v>
      </x:c>
      <x:c r="AA478" s="24" t="str">
        <x:v>高</x:v>
      </x:c>
      <x:c r="AB478" s="24" t="str">
        <x:v>待验证</x:v>
      </x:c>
      <x:c r="AC478" s="24" t="str"/>
      <x:c r="AD478" s="24" t="str">
        <x:v>provisional=true；保护因素的现实有效性必须由可观察行为、反馈和持续结果验证。</x:v>
      </x:c>
      <x:c r="AE478" s="24" t="str">
        <x:v>0.8</x:v>
      </x:c>
    </x:row>
    <x:row r="479" ht="52" customHeight="1">
      <x:c r="A479" s="24" t="str">
        <x:v>M4-BUFFER-478</x:v>
      </x:c>
      <x:c r="B479" s="24" t="str">
        <x:v>OS08 主动退出、降低暴露与关系降级｜适用情境</x:v>
      </x:c>
      <x:c r="C479" s="24" t="str">
        <x:v>L10 外部支持与现实证据</x:v>
      </x:c>
      <x:c r="D479" s="24" t="str">
        <x:v>BUFFER-现实支持</x:v>
      </x:c>
      <x:c r="E479" s="24" t="str">
        <x:v>通用</x:v>
      </x:c>
      <x:c r="F479" s="24" t="str">
        <x:v>路由</x:v>
      </x:c>
      <x:c r="G479" s="24" t="str">
        <x:v>OS08 主动退出、降低暴露与关系降级</x:v>
      </x:c>
      <x:c r="H479" s="24" t="str">
        <x:v>说明何时调用该支持。</x:v>
      </x:c>
      <x:c r="I479" s="24" t="str">
        <x:v>用于保护选择权、安全和现实资源，并停止不必要的循环暴露。</x:v>
      </x:c>
      <x:c r="J479" s="24" t="str">
        <x:v>功能与当前风险靶点不匹配。</x:v>
      </x:c>
      <x:c r="K479" s="24" t="str">
        <x:v>由共享基础引擎提供；仅修正保护功能的承载、持续调用和压力状态下的稳定性，不直接等同成熟度、道德或现实行为。</x:v>
      </x:c>
      <x:c r="L479" s="24" t="str">
        <x:v>由M1／M2接口提供；夫妻星、心动原型和关系门槛只说明关系议题，不单独证明保护因素已经被调用或有效。</x:v>
      </x:c>
      <x:c r="M479" s="24" t="str">
        <x:v>由M3-BASE及M4各模块提供；日支、日柱近位可提高与亲密关系核心的相关性，但同一source_id不得重复计分。</x:v>
      </x:c>
      <x:c r="N479" s="24" t="str">
        <x:v>保护因素必须明确限制过用、补足缺位、恢复顺序、打开反馈、落实改变或完成修复回流；不能只凭五行相生补写现实效果。</x:v>
      </x:c>
      <x:c r="O479" s="24" t="str">
        <x:v>近位提高进入亲密关系核心的概率；远位只作背景、阶段或条件性修正。</x:v>
      </x:c>
      <x:c r="P479" s="24" t="str">
        <x:v>根气只修正该保护功能是否容易重复调用，不等于现实中已经形成稳定保护。</x:v>
      </x:c>
      <x:c r="Q479" s="24" t="str">
        <x:v>旺弱只修正调用强度与承载；强不自动有效，弱也不自动无效。</x:v>
      </x:c>
      <x:c r="R479" s="24" t="str">
        <x:v>喜忌只修正摩擦、平衡与承载，不可直接翻译为好坏、成熟度或解决方案。</x:v>
      </x:c>
      <x:c r="S479" s="24" t="str">
        <x:v>原十神功能有效；真合化成立时按化神功能替换，合化争议时停止定性。</x:v>
      </x:c>
      <x:c r="T479" s="24" t="str">
        <x:v>近位提高直接相关性；远位仅保留背景、阶段或低置信修正。</x:v>
      </x:c>
      <x:c r="U479" s="24" t="str">
        <x:v>91</x:v>
      </x:c>
      <x:c r="V479" s="24" t="str">
        <x:v>匹配+5</x:v>
      </x:c>
      <x:c r="W479" s="24" t="str">
        <x:v>buffer_target</x:v>
      </x:c>
      <x:c r="X479" s="24" t="str">
        <x:v>用于保护选择权、安全和现实资源，并停止不必要的循环暴露。</x:v>
      </x:c>
      <x:c r="Y479" s="24" t="str">
        <x:v>这类支持更适合用于：用于保护选择权、安全和现实资源，并停止不必要的循环暴露。</x:v>
      </x:c>
      <x:c r="Z479" s="24" t="str">
        <x:v>不得仅凭本规则断定问题已经解决、关系必然稳定、用户一定成熟、某十神天然是“药”、喜用神自动等于解决办法，或淡化暴力、强迫与现实伤害；现实行为、反例、安全事实和专业支持优先。</x:v>
      </x:c>
      <x:c r="AA479" s="24" t="str">
        <x:v>中高</x:v>
      </x:c>
      <x:c r="AB479" s="24" t="str">
        <x:v>待验证</x:v>
      </x:c>
      <x:c r="AC479" s="24" t="str"/>
      <x:c r="AD479" s="24" t="str">
        <x:v>provisional=true；保护因素的现实有效性必须由可观察行为、反馈和持续结果验证。</x:v>
      </x:c>
      <x:c r="AE479" s="24" t="str">
        <x:v>0.8</x:v>
      </x:c>
    </x:row>
    <x:row r="480" ht="52" customHeight="1">
      <x:c r="A480" s="24" t="str">
        <x:v>M4-BUFFER-479</x:v>
      </x:c>
      <x:c r="B480" s="24" t="str">
        <x:v>OS08 主动退出、降低暴露与关系降级｜有效证据</x:v>
      </x:c>
      <x:c r="C480" s="24" t="str">
        <x:v>L10 外部支持与现实证据</x:v>
      </x:c>
      <x:c r="D480" s="24" t="str">
        <x:v>BUFFER-现实支持</x:v>
      </x:c>
      <x:c r="E480" s="24" t="str">
        <x:v>通用</x:v>
      </x:c>
      <x:c r="F480" s="24" t="str">
        <x:v>效果</x:v>
      </x:c>
      <x:c r="G480" s="24" t="str">
        <x:v>OS08 主动退出、降低暴露与关系降级</x:v>
      </x:c>
      <x:c r="H480" s="24" t="str">
        <x:v>判断外部支持是否真实改变风险链。</x:v>
      </x:c>
      <x:c r="I480" s="24" t="str">
        <x:v>退出或降级本身可以是有效保护，不要求关系必须恢复。</x:v>
      </x:c>
      <x:c r="J480" s="24" t="str">
        <x:v>是否退出由当事人基于现实情况决定；命理不能强制继续或结束关系。</x:v>
      </x:c>
      <x:c r="K480" s="24" t="str">
        <x:v>由共享基础引擎提供；仅修正保护功能的承载、持续调用和压力状态下的稳定性，不直接等同成熟度、道德或现实行为。</x:v>
      </x:c>
      <x:c r="L480" s="24" t="str">
        <x:v>由M1／M2接口提供；夫妻星、心动原型和关系门槛只说明关系议题，不单独证明保护因素已经被调用或有效。</x:v>
      </x:c>
      <x:c r="M480" s="24" t="str">
        <x:v>由M3-BASE及M4各模块提供；日支、日柱近位可提高与亲密关系核心的相关性，但同一source_id不得重复计分。</x:v>
      </x:c>
      <x:c r="N480" s="24" t="str">
        <x:v>保护因素必须明确限制过用、补足缺位、恢复顺序、打开反馈、落实改变或完成修复回流；不能只凭五行相生补写现实效果。</x:v>
      </x:c>
      <x:c r="O480" s="24" t="str">
        <x:v>近位提高进入亲密关系核心的概率；远位只作背景、阶段或条件性修正。</x:v>
      </x:c>
      <x:c r="P480" s="24" t="str">
        <x:v>根气只修正该保护功能是否容易重复调用，不等于现实中已经形成稳定保护。</x:v>
      </x:c>
      <x:c r="Q480" s="24" t="str">
        <x:v>旺弱只修正调用强度与承载；强不自动有效，弱也不自动无效。</x:v>
      </x:c>
      <x:c r="R480" s="24" t="str">
        <x:v>喜忌只修正摩擦、平衡与承载，不可直接翻译为好坏、成熟度或解决方案。</x:v>
      </x:c>
      <x:c r="S480" s="24" t="str">
        <x:v>原十神功能有效；真合化成立时按化神功能替换，合化争议时停止定性。</x:v>
      </x:c>
      <x:c r="T480" s="24" t="str">
        <x:v>近位提高直接相关性；远位仅保留背景、阶段或低置信修正。</x:v>
      </x:c>
      <x:c r="U480" s="24" t="str">
        <x:v>93</x:v>
      </x:c>
      <x:c r="V480" s="24" t="str">
        <x:v>现实有效+12</x:v>
      </x:c>
      <x:c r="W480" s="24" t="str">
        <x:v>buffer_level</x:v>
      </x:c>
      <x:c r="X480" s="24" t="str">
        <x:v>退出或降级本身可以是有效保护，不要求关系必须恢复。</x:v>
      </x:c>
      <x:c r="Y480" s="24" t="str">
        <x:v>真正有效时会看到：退出或降级本身可以是有效保护，不要求关系必须恢复。</x:v>
      </x:c>
      <x:c r="Z480" s="24" t="str">
        <x:v>不得仅凭本规则断定问题已经解决、关系必然稳定、用户一定成熟、某十神天然是“药”、喜用神自动等于解决办法，或淡化暴力、强迫与现实伤害；现实行为、反例、安全事实和专业支持优先。</x:v>
      </x:c>
      <x:c r="AA480" s="24" t="str">
        <x:v>中高</x:v>
      </x:c>
      <x:c r="AB480" s="24" t="str">
        <x:v>待验证</x:v>
      </x:c>
      <x:c r="AC480" s="24" t="str"/>
      <x:c r="AD480" s="24" t="str">
        <x:v>provisional=true；保护因素的现实有效性必须由可观察行为、反馈和持续结果验证。</x:v>
      </x:c>
      <x:c r="AE480" s="24" t="str">
        <x:v>0.8</x:v>
      </x:c>
    </x:row>
    <x:row r="481" ht="52" customHeight="1">
      <x:c r="A481" s="24" t="str">
        <x:v>M4-BUFFER-480</x:v>
      </x:c>
      <x:c r="B481" s="24" t="str">
        <x:v>OS08 主动退出、降低暴露与关系降级｜使用边界</x:v>
      </x:c>
      <x:c r="C481" s="24" t="str">
        <x:v>L10 外部支持与现实证据</x:v>
      </x:c>
      <x:c r="D481" s="24" t="str">
        <x:v>BUFFER-现实支持</x:v>
      </x:c>
      <x:c r="E481" s="24" t="str">
        <x:v>通用</x:v>
      </x:c>
      <x:c r="F481" s="24" t="str">
        <x:v>边界</x:v>
      </x:c>
      <x:c r="G481" s="24" t="str">
        <x:v>OS08 主动退出、降低暴露与关系降级</x:v>
      </x:c>
      <x:c r="H481" s="24" t="str">
        <x:v>限制外部支持推断。</x:v>
      </x:c>
      <x:c r="I481" s="24" t="str">
        <x:v>是否退出由当事人基于现实情况决定；命理不能强制继续或结束关系。</x:v>
      </x:c>
      <x:c r="J481" s="24" t="str">
        <x:v>现实专业或安全评估明确支持更强行动。</x:v>
      </x:c>
      <x:c r="K481" s="24" t="str">
        <x:v>由共享基础引擎提供；仅修正保护功能的承载、持续调用和压力状态下的稳定性，不直接等同成熟度、道德或现实行为。</x:v>
      </x:c>
      <x:c r="L481" s="24" t="str">
        <x:v>由M1／M2接口提供；夫妻星、心动原型和关系门槛只说明关系议题，不单独证明保护因素已经被调用或有效。</x:v>
      </x:c>
      <x:c r="M481" s="24" t="str">
        <x:v>由M3-BASE及M4各模块提供；日支、日柱近位可提高与亲密关系核心的相关性，但同一source_id不得重复计分。</x:v>
      </x:c>
      <x:c r="N481" s="24" t="str">
        <x:v>保护因素必须明确限制过用、补足缺位、恢复顺序、打开反馈、落实改变或完成修复回流；不能只凭五行相生补写现实效果。</x:v>
      </x:c>
      <x:c r="O481" s="24" t="str">
        <x:v>近位提高进入亲密关系核心的概率；远位只作背景、阶段或条件性修正。</x:v>
      </x:c>
      <x:c r="P481" s="24" t="str">
        <x:v>根气只修正该保护功能是否容易重复调用，不等于现实中已经形成稳定保护。</x:v>
      </x:c>
      <x:c r="Q481" s="24" t="str">
        <x:v>旺弱只修正调用强度与承载；强不自动有效，弱也不自动无效。</x:v>
      </x:c>
      <x:c r="R481" s="24" t="str">
        <x:v>喜忌只修正摩擦、平衡与承载，不可直接翻译为好坏、成熟度或解决方案。</x:v>
      </x:c>
      <x:c r="S481" s="24" t="str">
        <x:v>原十神功能有效；真合化成立时按化神功能替换，合化争议时停止定性。</x:v>
      </x:c>
      <x:c r="T481" s="24" t="str">
        <x:v>近位提高直接相关性；远位仅保留背景、阶段或低置信修正。</x:v>
      </x:c>
      <x:c r="U481" s="24" t="str">
        <x:v>99</x:v>
      </x:c>
      <x:c r="V481" s="24" t="str">
        <x:v>边界／停止</x:v>
      </x:c>
      <x:c r="W481" s="24" t="str">
        <x:v>boundary_note</x:v>
      </x:c>
      <x:c r="X481" s="24" t="str">
        <x:v>是否退出由当事人基于现实情况决定；命理不能强制继续或结束关系。</x:v>
      </x:c>
      <x:c r="Y481" s="24" t="str">
        <x:v>需要注意：是否退出由当事人基于现实情况决定；命理不能强制继续或结束关系。</x:v>
      </x:c>
      <x:c r="Z481" s="24" t="str">
        <x:v>不得仅凭本规则断定问题已经解决、关系必然稳定、用户一定成熟、某十神天然是“药”、喜用神自动等于解决办法，或淡化暴力、强迫与现实伤害；现实行为、反例、安全事实和专业支持优先。</x:v>
      </x:c>
      <x:c r="AA481" s="24" t="str">
        <x:v>高</x:v>
      </x:c>
      <x:c r="AB481" s="24" t="str">
        <x:v>待验证</x:v>
      </x:c>
      <x:c r="AC481" s="24" t="str"/>
      <x:c r="AD481" s="24" t="str">
        <x:v>provisional=true；保护因素的现实有效性必须由可观察行为、反馈和持续结果验证。</x:v>
      </x:c>
      <x:c r="AE481" s="24" t="str">
        <x:v>0.8</x:v>
      </x:c>
    </x:row>
    <x:row r="482" ht="52" customHeight="1">
      <x:c r="A482" s="24" t="str">
        <x:v>M4-BUFFER-481</x:v>
      </x:c>
      <x:c r="B482" s="24" t="str">
        <x:v>M4-BASE接口｜保护必须针对已成立失衡候选</x:v>
      </x:c>
      <x:c r="C482" s="24" t="str">
        <x:v>L11 跨模块接口与去重</x:v>
      </x:c>
      <x:c r="D482" s="24" t="str">
        <x:v>BUFFER-合成接口</x:v>
      </x:c>
      <x:c r="E482" s="24" t="str">
        <x:v>通用</x:v>
      </x:c>
      <x:c r="F482" s="24" t="str">
        <x:v>接口</x:v>
      </x:c>
      <x:c r="G482" s="24" t="str">
        <x:v>跨模块接口</x:v>
      </x:c>
      <x:c r="H482" s="24" t="str"/>
      <x:c r="I482" s="24" t="str">
        <x:v>M4-BASE已经形成E1结构候选。</x:v>
      </x:c>
      <x:c r="J482" s="24" t="str">
        <x:v>没有明确正常功能与失衡方式。</x:v>
      </x:c>
      <x:c r="K482" s="24" t="str">
        <x:v>由共享基础引擎提供；仅修正保护功能的承载、持续调用和压力状态下的稳定性，不直接等同成熟度、道德或现实行为。</x:v>
      </x:c>
      <x:c r="L482" s="24" t="str">
        <x:v>由M1／M2接口提供；夫妻星、心动原型和关系门槛只说明关系议题，不单独证明保护因素已经被调用或有效。</x:v>
      </x:c>
      <x:c r="M482" s="24" t="str">
        <x:v>由M3-BASE及M4各模块提供；日支、日柱近位可提高与亲密关系核心的相关性，但同一source_id不得重复计分。</x:v>
      </x:c>
      <x:c r="N482" s="24" t="str">
        <x:v>保护因素必须明确限制过用、补足缺位、恢复顺序、打开反馈、落实改变或完成修复回流；不能只凭五行相生补写现实效果。</x:v>
      </x:c>
      <x:c r="O482" s="24" t="str">
        <x:v>近位提高进入亲密关系核心的概率；远位只作背景、阶段或条件性修正。</x:v>
      </x:c>
      <x:c r="P482" s="24" t="str">
        <x:v>根气只修正该保护功能是否容易重复调用，不等于现实中已经形成稳定保护。</x:v>
      </x:c>
      <x:c r="Q482" s="24" t="str">
        <x:v>旺弱只修正调用强度与承载；强不自动有效，弱也不自动无效。</x:v>
      </x:c>
      <x:c r="R482" s="24" t="str">
        <x:v>喜忌只修正摩擦、平衡与承载，不可直接翻译为好坏、成熟度或解决方案。</x:v>
      </x:c>
      <x:c r="S482" s="24" t="str">
        <x:v>原十神功能有效；真合化成立时按化神功能替换，合化争议时停止定性。</x:v>
      </x:c>
      <x:c r="T482" s="24" t="str">
        <x:v>近位提高直接相关性；远位仅保留背景、阶段或低置信修正。</x:v>
      </x:c>
      <x:c r="U482" s="24" t="str">
        <x:v>98</x:v>
      </x:c>
      <x:c r="V482" s="24" t="str">
        <x:v>不加分；路由／去重</x:v>
      </x:c>
      <x:c r="W482" s="24" t="str">
        <x:v>interface_log</x:v>
      </x:c>
      <x:c r="X482" s="24" t="str">
        <x:v>BF只对已定义的失衡靶点生效。</x:v>
      </x:c>
      <x:c r="Y482" s="24" t="str">
        <x:v>先确认哪项正常功能怎样失衡，再匹配保护因素。</x:v>
      </x:c>
      <x:c r="Z482" s="24" t="str">
        <x:v>不得仅凭本规则断定问题已经解决、关系必然稳定、用户一定成熟、某十神天然是“药”、喜用神自动等于解决办法，或淡化暴力、强迫与现实伤害；现实行为、反例、安全事实和专业支持优先。</x:v>
      </x:c>
      <x:c r="AA482" s="24" t="str">
        <x:v>高</x:v>
      </x:c>
      <x:c r="AB482" s="24" t="str">
        <x:v>待验证</x:v>
      </x:c>
      <x:c r="AC482" s="24" t="str"/>
      <x:c r="AD482" s="24" t="str">
        <x:v>provisional=true；保护因素的现实有效性必须由可观察行为、反馈和持续结果验证。</x:v>
      </x:c>
      <x:c r="AE482" s="24" t="str">
        <x:v>0.8</x:v>
      </x:c>
    </x:row>
    <x:row r="483" ht="52" customHeight="1">
      <x:c r="A483" s="24" t="str">
        <x:v>M4-BUFFER-482</x:v>
      </x:c>
      <x:c r="B483" s="24" t="str">
        <x:v>M4-MISREAD接口｜验证证据优先于增加解释</x:v>
      </x:c>
      <x:c r="C483" s="24" t="str">
        <x:v>L11 跨模块接口与去重</x:v>
      </x:c>
      <x:c r="D483" s="24" t="str">
        <x:v>BUFFER-合成接口</x:v>
      </x:c>
      <x:c r="E483" s="24" t="str">
        <x:v>通用</x:v>
      </x:c>
      <x:c r="F483" s="24" t="str">
        <x:v>接口</x:v>
      </x:c>
      <x:c r="G483" s="24" t="str">
        <x:v>跨模块接口</x:v>
      </x:c>
      <x:c r="H483" s="24" t="str"/>
      <x:c r="I483" s="24" t="str">
        <x:v>M4-MISREAD已识别J01—J10证据越级。</x:v>
      </x:c>
      <x:c r="J483" s="24" t="str">
        <x:v>继续用命理标签补充更多同源证明。</x:v>
      </x:c>
      <x:c r="K483" s="24" t="str">
        <x:v>由共享基础引擎提供；仅修正保护功能的承载、持续调用和压力状态下的稳定性，不直接等同成熟度、道德或现实行为。</x:v>
      </x:c>
      <x:c r="L483" s="24" t="str">
        <x:v>由M1／M2接口提供；夫妻星、心动原型和关系门槛只说明关系议题，不单独证明保护因素已经被调用或有效。</x:v>
      </x:c>
      <x:c r="M483" s="24" t="str">
        <x:v>由M3-BASE及M4各模块提供；日支、日柱近位可提高与亲密关系核心的相关性，但同一source_id不得重复计分。</x:v>
      </x:c>
      <x:c r="N483" s="24" t="str">
        <x:v>保护因素必须明确限制过用、补足缺位、恢复顺序、打开反馈、落实改变或完成修复回流；不能只凭五行相生补写现实效果。</x:v>
      </x:c>
      <x:c r="O483" s="24" t="str">
        <x:v>近位提高进入亲密关系核心的概率；远位只作背景、阶段或条件性修正。</x:v>
      </x:c>
      <x:c r="P483" s="24" t="str">
        <x:v>根气只修正该保护功能是否容易重复调用，不等于现实中已经形成稳定保护。</x:v>
      </x:c>
      <x:c r="Q483" s="24" t="str">
        <x:v>旺弱只修正调用强度与承载；强不自动有效，弱也不自动无效。</x:v>
      </x:c>
      <x:c r="R483" s="24" t="str">
        <x:v>喜忌只修正摩擦、平衡与承载，不可直接翻译为好坏、成熟度或解决方案。</x:v>
      </x:c>
      <x:c r="S483" s="24" t="str">
        <x:v>原十神功能有效；真合化成立时按化神功能替换，合化争议时停止定性。</x:v>
      </x:c>
      <x:c r="T483" s="24" t="str">
        <x:v>近位提高直接相关性；远位仅保留背景、阶段或低置信修正。</x:v>
      </x:c>
      <x:c r="U483" s="24" t="str">
        <x:v>98</x:v>
      </x:c>
      <x:c r="V483" s="24" t="str">
        <x:v>不加分；路由／去重</x:v>
      </x:c>
      <x:c r="W483" s="24" t="str">
        <x:v>interface_log</x:v>
      </x:c>
      <x:c r="X483" s="24" t="str">
        <x:v>优先用BF06现实行为、OS01反例和OS02反馈校验误读。</x:v>
      </x:c>
      <x:c r="Y483" s="24" t="str">
        <x:v>面对证据误读，最有效的保护通常是增加现实验证，而不是增加解释。</x:v>
      </x:c>
      <x:c r="Z483" s="24" t="str">
        <x:v>不得仅凭本规则断定问题已经解决、关系必然稳定、用户一定成熟、某十神天然是“药”、喜用神自动等于解决办法，或淡化暴力、强迫与现实伤害；现实行为、反例、安全事实和专业支持优先。</x:v>
      </x:c>
      <x:c r="AA483" s="24" t="str">
        <x:v>高</x:v>
      </x:c>
      <x:c r="AB483" s="24" t="str">
        <x:v>待验证</x:v>
      </x:c>
      <x:c r="AC483" s="24" t="str"/>
      <x:c r="AD483" s="24" t="str">
        <x:v>provisional=true；保护因素的现实有效性必须由可观察行为、反馈和持续结果验证。</x:v>
      </x:c>
      <x:c r="AE483" s="24" t="str">
        <x:v>0.8</x:v>
      </x:c>
    </x:row>
    <x:row r="484" ht="52" customHeight="1">
      <x:c r="A484" s="24" t="str">
        <x:v>M4-BUFFER-483</x:v>
      </x:c>
      <x:c r="B484" s="24" t="str">
        <x:v>M4-OVERUSE接口｜K机制决定保护任务</x:v>
      </x:c>
      <x:c r="C484" s="24" t="str">
        <x:v>L11 跨模块接口与去重</x:v>
      </x:c>
      <x:c r="D484" s="24" t="str">
        <x:v>BUFFER-合成接口</x:v>
      </x:c>
      <x:c r="E484" s="24" t="str">
        <x:v>通用</x:v>
      </x:c>
      <x:c r="F484" s="24" t="str">
        <x:v>接口</x:v>
      </x:c>
      <x:c r="G484" s="24" t="str">
        <x:v>跨模块接口</x:v>
      </x:c>
      <x:c r="H484" s="24" t="str"/>
      <x:c r="I484" s="24" t="str">
        <x:v>K01—K08至少一项达到E1。</x:v>
      </x:c>
      <x:c r="J484" s="24" t="str">
        <x:v>没有K机制却直接配置“药”。</x:v>
      </x:c>
      <x:c r="K484" s="24" t="str">
        <x:v>由共享基础引擎提供；仅修正保护功能的承载、持续调用和压力状态下的稳定性，不直接等同成熟度、道德或现实行为。</x:v>
      </x:c>
      <x:c r="L484" s="24" t="str">
        <x:v>由M1／M2接口提供；夫妻星、心动原型和关系门槛只说明关系议题，不单独证明保护因素已经被调用或有效。</x:v>
      </x:c>
      <x:c r="M484" s="24" t="str">
        <x:v>由M3-BASE及M4各模块提供；日支、日柱近位可提高与亲密关系核心的相关性，但同一source_id不得重复计分。</x:v>
      </x:c>
      <x:c r="N484" s="24" t="str">
        <x:v>保护因素必须明确限制过用、补足缺位、恢复顺序、打开反馈、落实改变或完成修复回流；不能只凭五行相生补写现实效果。</x:v>
      </x:c>
      <x:c r="O484" s="24" t="str">
        <x:v>近位提高进入亲密关系核心的概率；远位只作背景、阶段或条件性修正。</x:v>
      </x:c>
      <x:c r="P484" s="24" t="str">
        <x:v>根气只修正该保护功能是否容易重复调用，不等于现实中已经形成稳定保护。</x:v>
      </x:c>
      <x:c r="Q484" s="24" t="str">
        <x:v>旺弱只修正调用强度与承载；强不自动有效，弱也不自动无效。</x:v>
      </x:c>
      <x:c r="R484" s="24" t="str">
        <x:v>喜忌只修正摩擦、平衡与承载，不可直接翻译为好坏、成熟度或解决方案。</x:v>
      </x:c>
      <x:c r="S484" s="24" t="str">
        <x:v>原十神功能有效；真合化成立时按化神功能替换，合化争议时停止定性。</x:v>
      </x:c>
      <x:c r="T484" s="24" t="str">
        <x:v>近位提高直接相关性；远位仅保留背景、阶段或低置信修正。</x:v>
      </x:c>
      <x:c r="U484" s="24" t="str">
        <x:v>98</x:v>
      </x:c>
      <x:c r="V484" s="24" t="str">
        <x:v>不加分；路由／去重</x:v>
      </x:c>
      <x:c r="W484" s="24" t="str">
        <x:v>interface_log</x:v>
      </x:c>
      <x:c r="X484" s="24" t="str">
        <x:v>K机制拥有保护路由主权。</x:v>
      </x:c>
      <x:c r="Y484" s="24" t="str">
        <x:v>保护因素要精确对应过用、不足、替代、错位、竞争、卡点、反馈或修复断链。</x:v>
      </x:c>
      <x:c r="Z484" s="24" t="str">
        <x:v>不得仅凭本规则断定问题已经解决、关系必然稳定、用户一定成熟、某十神天然是“药”、喜用神自动等于解决办法，或淡化暴力、强迫与现实伤害；现实行为、反例、安全事实和专业支持优先。</x:v>
      </x:c>
      <x:c r="AA484" s="24" t="str">
        <x:v>高</x:v>
      </x:c>
      <x:c r="AB484" s="24" t="str">
        <x:v>待验证</x:v>
      </x:c>
      <x:c r="AC484" s="24" t="str"/>
      <x:c r="AD484" s="24" t="str">
        <x:v>provisional=true；保护因素的现实有效性必须由可观察行为、反馈和持续结果验证。</x:v>
      </x:c>
      <x:c r="AE484" s="24" t="str">
        <x:v>0.8</x:v>
      </x:c>
    </x:row>
    <x:row r="485" ht="52" customHeight="1">
      <x:c r="A485" s="24" t="str">
        <x:v>M4-BUFFER-484</x:v>
      </x:c>
      <x:c r="B485" s="24" t="str">
        <x:v>M4-TRIGGER接口｜保护可调整阈值但不预测事件</x:v>
      </x:c>
      <x:c r="C485" s="24" t="str">
        <x:v>L11 跨模块接口与去重</x:v>
      </x:c>
      <x:c r="D485" s="24" t="str">
        <x:v>BUFFER-合成接口</x:v>
      </x:c>
      <x:c r="E485" s="24" t="str">
        <x:v>通用</x:v>
      </x:c>
      <x:c r="F485" s="24" t="str">
        <x:v>接口</x:v>
      </x:c>
      <x:c r="G485" s="24" t="str">
        <x:v>跨模块接口</x:v>
      </x:c>
      <x:c r="H485" s="24" t="str"/>
      <x:c r="I485" s="24" t="str">
        <x:v>TR域与触发形式已经明确。</x:v>
      </x:c>
      <x:c r="J485" s="24" t="str">
        <x:v>用保护分数推断具体事件不会发生。</x:v>
      </x:c>
      <x:c r="K485" s="24" t="str">
        <x:v>由共享基础引擎提供；仅修正保护功能的承载、持续调用和压力状态下的稳定性，不直接等同成熟度、道德或现实行为。</x:v>
      </x:c>
      <x:c r="L485" s="24" t="str">
        <x:v>由M1／M2接口提供；夫妻星、心动原型和关系门槛只说明关系议题，不单独证明保护因素已经被调用或有效。</x:v>
      </x:c>
      <x:c r="M485" s="24" t="str">
        <x:v>由M3-BASE及M4各模块提供；日支、日柱近位可提高与亲密关系核心的相关性，但同一source_id不得重复计分。</x:v>
      </x:c>
      <x:c r="N485" s="24" t="str">
        <x:v>保护因素必须明确限制过用、补足缺位、恢复顺序、打开反馈、落实改变或完成修复回流；不能只凭五行相生补写现实效果。</x:v>
      </x:c>
      <x:c r="O485" s="24" t="str">
        <x:v>近位提高进入亲密关系核心的概率；远位只作背景、阶段或条件性修正。</x:v>
      </x:c>
      <x:c r="P485" s="24" t="str">
        <x:v>根气只修正该保护功能是否容易重复调用，不等于现实中已经形成稳定保护。</x:v>
      </x:c>
      <x:c r="Q485" s="24" t="str">
        <x:v>旺弱只修正调用强度与承载；强不自动有效，弱也不自动无效。</x:v>
      </x:c>
      <x:c r="R485" s="24" t="str">
        <x:v>喜忌只修正摩擦、平衡与承载，不可直接翻译为好坏、成熟度或解决方案。</x:v>
      </x:c>
      <x:c r="S485" s="24" t="str">
        <x:v>原十神功能有效；真合化成立时按化神功能替换，合化争议时停止定性。</x:v>
      </x:c>
      <x:c r="T485" s="24" t="str">
        <x:v>近位提高直接相关性；远位仅保留背景、阶段或低置信修正。</x:v>
      </x:c>
      <x:c r="U485" s="24" t="str">
        <x:v>98</x:v>
      </x:c>
      <x:c r="V485" s="24" t="str">
        <x:v>不加分；路由／去重</x:v>
      </x:c>
      <x:c r="W485" s="24" t="str">
        <x:v>interface_log</x:v>
      </x:c>
      <x:c r="X485" s="24" t="str">
        <x:v>保护可以提高、降低或条件化触发阈值，不改变事件预测边界。</x:v>
      </x:c>
      <x:c r="Y485" s="24" t="str">
        <x:v>这项资源可能让某类情境更不容易启动旧反应，但不能保证事件不会发生。</x:v>
      </x:c>
      <x:c r="Z485" s="24" t="str">
        <x:v>不得仅凭本规则断定问题已经解决、关系必然稳定、用户一定成熟、某十神天然是“药”、喜用神自动等于解决办法，或淡化暴力、强迫与现实伤害；现实行为、反例、安全事实和专业支持优先。</x:v>
      </x:c>
      <x:c r="AA485" s="24" t="str">
        <x:v>高</x:v>
      </x:c>
      <x:c r="AB485" s="24" t="str">
        <x:v>待验证</x:v>
      </x:c>
      <x:c r="AC485" s="24" t="str"/>
      <x:c r="AD485" s="24" t="str">
        <x:v>provisional=true；保护因素的现实有效性必须由可观察行为、反馈和持续结果验证。</x:v>
      </x:c>
      <x:c r="AE485" s="24" t="str">
        <x:v>0.8</x:v>
      </x:c>
    </x:row>
    <x:row r="486" ht="52" customHeight="1">
      <x:c r="A486" s="24" t="str">
        <x:v>M4-BUFFER-485</x:v>
      </x:c>
      <x:c r="B486" s="24" t="str">
        <x:v>M4-LOOP接口｜中断循环必须有现实节点</x:v>
      </x:c>
      <x:c r="C486" s="24" t="str">
        <x:v>L11 跨模块接口与去重</x:v>
      </x:c>
      <x:c r="D486" s="24" t="str">
        <x:v>BUFFER-合成接口</x:v>
      </x:c>
      <x:c r="E486" s="24" t="str">
        <x:v>通用</x:v>
      </x:c>
      <x:c r="F486" s="24" t="str">
        <x:v>接口</x:v>
      </x:c>
      <x:c r="G486" s="24" t="str">
        <x:v>跨模块接口</x:v>
      </x:c>
      <x:c r="H486" s="24" t="str"/>
      <x:c r="I486" s="24" t="str">
        <x:v>LP循环已有现实反馈与复发证据。</x:v>
      </x:c>
      <x:c r="J486" s="24" t="str">
        <x:v>只有命盘结构而没有对方反馈。</x:v>
      </x:c>
      <x:c r="K486" s="24" t="str">
        <x:v>由共享基础引擎提供；仅修正保护功能的承载、持续调用和压力状态下的稳定性，不直接等同成熟度、道德或现实行为。</x:v>
      </x:c>
      <x:c r="L486" s="24" t="str">
        <x:v>由M1／M2接口提供；夫妻星、心动原型和关系门槛只说明关系议题，不单独证明保护因素已经被调用或有效。</x:v>
      </x:c>
      <x:c r="M486" s="24" t="str">
        <x:v>由M3-BASE及M4各模块提供；日支、日柱近位可提高与亲密关系核心的相关性，但同一source_id不得重复计分。</x:v>
      </x:c>
      <x:c r="N486" s="24" t="str">
        <x:v>保护因素必须明确限制过用、补足缺位、恢复顺序、打开反馈、落实改变或完成修复回流；不能只凭五行相生补写现实效果。</x:v>
      </x:c>
      <x:c r="O486" s="24" t="str">
        <x:v>近位提高进入亲密关系核心的概率；远位只作背景、阶段或条件性修正。</x:v>
      </x:c>
      <x:c r="P486" s="24" t="str">
        <x:v>根气只修正该保护功能是否容易重复调用，不等于现实中已经形成稳定保护。</x:v>
      </x:c>
      <x:c r="Q486" s="24" t="str">
        <x:v>旺弱只修正调用强度与承载；强不自动有效，弱也不自动无效。</x:v>
      </x:c>
      <x:c r="R486" s="24" t="str">
        <x:v>喜忌只修正摩擦、平衡与承载，不可直接翻译为好坏、成熟度或解决方案。</x:v>
      </x:c>
      <x:c r="S486" s="24" t="str">
        <x:v>原十神功能有效；真合化成立时按化神功能替换，合化争议时停止定性。</x:v>
      </x:c>
      <x:c r="T486" s="24" t="str">
        <x:v>近位提高直接相关性；远位仅保留背景、阶段或低置信修正。</x:v>
      </x:c>
      <x:c r="U486" s="24" t="str">
        <x:v>98</x:v>
      </x:c>
      <x:c r="V486" s="24" t="str">
        <x:v>不加分；路由／去重</x:v>
      </x:c>
      <x:c r="W486" s="24" t="str">
        <x:v>interface_log</x:v>
      </x:c>
      <x:c r="X486" s="24" t="str">
        <x:v>循环保护必须改变至少一个LN节点，并观察后续复发。</x:v>
      </x:c>
      <x:c r="Y486" s="24" t="str">
        <x:v>判断循环是否被中断，要看现实反馈和复发，而不是只看命局里有没有调节。</x:v>
      </x:c>
      <x:c r="Z486" s="24" t="str">
        <x:v>不得仅凭本规则断定问题已经解决、关系必然稳定、用户一定成熟、某十神天然是“药”、喜用神自动等于解决办法，或淡化暴力、强迫与现实伤害；现实行为、反例、安全事实和专业支持优先。</x:v>
      </x:c>
      <x:c r="AA486" s="24" t="str">
        <x:v>高</x:v>
      </x:c>
      <x:c r="AB486" s="24" t="str">
        <x:v>待验证</x:v>
      </x:c>
      <x:c r="AC486" s="24" t="str"/>
      <x:c r="AD486" s="24" t="str">
        <x:v>provisional=true；保护因素的现实有效性必须由可观察行为、反馈和持续结果验证。</x:v>
      </x:c>
      <x:c r="AE486" s="24" t="str">
        <x:v>0.8</x:v>
      </x:c>
    </x:row>
    <x:row r="487" ht="52" customHeight="1">
      <x:c r="A487" s="24" t="str">
        <x:v>M4-BUFFER-486</x:v>
      </x:c>
      <x:c r="B487" s="24" t="str">
        <x:v>M4-REPAIR接口｜保护必须补足具体RN节点</x:v>
      </x:c>
      <x:c r="C487" s="24" t="str">
        <x:v>L11 跨模块接口与去重</x:v>
      </x:c>
      <x:c r="D487" s="24" t="str">
        <x:v>BUFFER-合成接口</x:v>
      </x:c>
      <x:c r="E487" s="24" t="str">
        <x:v>通用</x:v>
      </x:c>
      <x:c r="F487" s="24" t="str">
        <x:v>接口</x:v>
      </x:c>
      <x:c r="G487" s="24" t="str">
        <x:v>跨模块接口</x:v>
      </x:c>
      <x:c r="H487" s="24" t="str"/>
      <x:c r="I487" s="24" t="str">
        <x:v>已识别缺失RN节点或RB盲点。</x:v>
      </x:c>
      <x:c r="J487" s="24" t="str">
        <x:v>把道歉、安抚或补偿泛化为完整修复。</x:v>
      </x:c>
      <x:c r="K487" s="24" t="str">
        <x:v>由共享基础引擎提供；仅修正保护功能的承载、持续调用和压力状态下的稳定性，不直接等同成熟度、道德或现实行为。</x:v>
      </x:c>
      <x:c r="L487" s="24" t="str">
        <x:v>由M1／M2接口提供；夫妻星、心动原型和关系门槛只说明关系议题，不单独证明保护因素已经被调用或有效。</x:v>
      </x:c>
      <x:c r="M487" s="24" t="str">
        <x:v>由M3-BASE及M4各模块提供；日支、日柱近位可提高与亲密关系核心的相关性，但同一source_id不得重复计分。</x:v>
      </x:c>
      <x:c r="N487" s="24" t="str">
        <x:v>保护因素必须明确限制过用、补足缺位、恢复顺序、打开反馈、落实改变或完成修复回流；不能只凭五行相生补写现实效果。</x:v>
      </x:c>
      <x:c r="O487" s="24" t="str">
        <x:v>近位提高进入亲密关系核心的概率；远位只作背景、阶段或条件性修正。</x:v>
      </x:c>
      <x:c r="P487" s="24" t="str">
        <x:v>根气只修正该保护功能是否容易重复调用，不等于现实中已经形成稳定保护。</x:v>
      </x:c>
      <x:c r="Q487" s="24" t="str">
        <x:v>旺弱只修正调用强度与承载；强不自动有效，弱也不自动无效。</x:v>
      </x:c>
      <x:c r="R487" s="24" t="str">
        <x:v>喜忌只修正摩擦、平衡与承载，不可直接翻译为好坏、成熟度或解决方案。</x:v>
      </x:c>
      <x:c r="S487" s="24" t="str">
        <x:v>原十神功能有效；真合化成立时按化神功能替换，合化争议时停止定性。</x:v>
      </x:c>
      <x:c r="T487" s="24" t="str">
        <x:v>近位提高直接相关性；远位仅保留背景、阶段或低置信修正。</x:v>
      </x:c>
      <x:c r="U487" s="24" t="str">
        <x:v>98</x:v>
      </x:c>
      <x:c r="V487" s="24" t="str">
        <x:v>不加分；路由／去重</x:v>
      </x:c>
      <x:c r="W487" s="24" t="str">
        <x:v>interface_log</x:v>
      </x:c>
      <x:c r="X487" s="24" t="str">
        <x:v>修复保护按缺失节点配置，并由RN07、RN08限制完成结论。</x:v>
      </x:c>
      <x:c r="Y487" s="24" t="str">
        <x:v>先找修复链断在哪一步，再补对应功能。</x:v>
      </x:c>
      <x:c r="Z487" s="24" t="str">
        <x:v>不得仅凭本规则断定问题已经解决、关系必然稳定、用户一定成熟、某十神天然是“药”、喜用神自动等于解决办法，或淡化暴力、强迫与现实伤害；现实行为、反例、安全事实和专业支持优先。</x:v>
      </x:c>
      <x:c r="AA487" s="24" t="str">
        <x:v>高</x:v>
      </x:c>
      <x:c r="AB487" s="24" t="str">
        <x:v>待验证</x:v>
      </x:c>
      <x:c r="AC487" s="24" t="str"/>
      <x:c r="AD487" s="24" t="str">
        <x:v>provisional=true；保护因素的现实有效性必须由可观察行为、反馈和持续结果验证。</x:v>
      </x:c>
      <x:c r="AE487" s="24" t="str">
        <x:v>0.8</x:v>
      </x:c>
    </x:row>
    <x:row r="488" ht="52" customHeight="1">
      <x:c r="A488" s="24" t="str">
        <x:v>M4-BUFFER-487</x:v>
      </x:c>
      <x:c r="B488" s="24" t="str">
        <x:v>M1接口｜心动信号不作为保护分</x:v>
      </x:c>
      <x:c r="C488" s="24" t="str">
        <x:v>L11 跨模块接口与去重</x:v>
      </x:c>
      <x:c r="D488" s="24" t="str">
        <x:v>BUFFER-合成接口</x:v>
      </x:c>
      <x:c r="E488" s="24" t="str">
        <x:v>通用</x:v>
      </x:c>
      <x:c r="F488" s="24" t="str">
        <x:v>接口</x:v>
      </x:c>
      <x:c r="G488" s="24" t="str">
        <x:v>跨模块接口</x:v>
      </x:c>
      <x:c r="H488" s="24" t="str"/>
      <x:c r="I488" s="24" t="str">
        <x:v>M1提供吸引触发和心动原型。</x:v>
      </x:c>
      <x:c r="J488" s="24" t="str">
        <x:v>把喜欢成熟、会沟通、有力量的人直接当成保护。</x:v>
      </x:c>
      <x:c r="K488" s="24" t="str">
        <x:v>由共享基础引擎提供；仅修正保护功能的承载、持续调用和压力状态下的稳定性，不直接等同成熟度、道德或现实行为。</x:v>
      </x:c>
      <x:c r="L488" s="24" t="str">
        <x:v>由M1／M2接口提供；夫妻星、心动原型和关系门槛只说明关系议题，不单独证明保护因素已经被调用或有效。</x:v>
      </x:c>
      <x:c r="M488" s="24" t="str">
        <x:v>由M3-BASE及M4各模块提供；日支、日柱近位可提高与亲密关系核心的相关性，但同一source_id不得重复计分。</x:v>
      </x:c>
      <x:c r="N488" s="24" t="str">
        <x:v>保护因素必须明确限制过用、补足缺位、恢复顺序、打开反馈、落实改变或完成修复回流；不能只凭五行相生补写现实效果。</x:v>
      </x:c>
      <x:c r="O488" s="24" t="str">
        <x:v>近位提高进入亲密关系核心的概率；远位只作背景、阶段或条件性修正。</x:v>
      </x:c>
      <x:c r="P488" s="24" t="str">
        <x:v>根气只修正该保护功能是否容易重复调用，不等于现实中已经形成稳定保护。</x:v>
      </x:c>
      <x:c r="Q488" s="24" t="str">
        <x:v>旺弱只修正调用强度与承载；强不自动有效，弱也不自动无效。</x:v>
      </x:c>
      <x:c r="R488" s="24" t="str">
        <x:v>喜忌只修正摩擦、平衡与承载，不可直接翻译为好坏、成熟度或解决方案。</x:v>
      </x:c>
      <x:c r="S488" s="24" t="str">
        <x:v>原十神功能有效；真合化成立时按化神功能替换，合化争议时停止定性。</x:v>
      </x:c>
      <x:c r="T488" s="24" t="str">
        <x:v>近位提高直接相关性；远位仅保留背景、阶段或低置信修正。</x:v>
      </x:c>
      <x:c r="U488" s="24" t="str">
        <x:v>98</x:v>
      </x:c>
      <x:c r="V488" s="24" t="str">
        <x:v>不加分；路由／去重</x:v>
      </x:c>
      <x:c r="W488" s="24" t="str">
        <x:v>interface_log</x:v>
      </x:c>
      <x:c r="X488" s="24" t="str">
        <x:v>M1只用于识别可能被高估的信号，不增加BUFFER分。</x:v>
      </x:c>
      <x:c r="Y488" s="24" t="str">
        <x:v>让你心动的特质不一定能在关系里发挥保护作用。</x:v>
      </x:c>
      <x:c r="Z488" s="24" t="str">
        <x:v>不得仅凭本规则断定问题已经解决、关系必然稳定、用户一定成熟、某十神天然是“药”、喜用神自动等于解决办法，或淡化暴力、强迫与现实伤害；现实行为、反例、安全事实和专业支持优先。</x:v>
      </x:c>
      <x:c r="AA488" s="24" t="str">
        <x:v>高</x:v>
      </x:c>
      <x:c r="AB488" s="24" t="str">
        <x:v>待验证</x:v>
      </x:c>
      <x:c r="AC488" s="24" t="str"/>
      <x:c r="AD488" s="24" t="str">
        <x:v>provisional=true；保护因素的现实有效性必须由可观察行为、反馈和持续结果验证。</x:v>
      </x:c>
      <x:c r="AE488" s="24" t="str">
        <x:v>0.8</x:v>
      </x:c>
    </x:row>
    <x:row r="489" ht="52" customHeight="1">
      <x:c r="A489" s="24" t="str">
        <x:v>M4-BUFFER-488</x:v>
      </x:c>
      <x:c r="B489" s="24" t="str">
        <x:v>M2接口｜准入证据不等于调节能力</x:v>
      </x:c>
      <x:c r="C489" s="24" t="str">
        <x:v>L11 跨模块接口与去重</x:v>
      </x:c>
      <x:c r="D489" s="24" t="str">
        <x:v>BUFFER-合成接口</x:v>
      </x:c>
      <x:c r="E489" s="24" t="str">
        <x:v>通用</x:v>
      </x:c>
      <x:c r="F489" s="24" t="str">
        <x:v>接口</x:v>
      </x:c>
      <x:c r="G489" s="24" t="str">
        <x:v>跨模块接口</x:v>
      </x:c>
      <x:c r="H489" s="24" t="str"/>
      <x:c r="I489" s="24" t="str">
        <x:v>M2提供门槛、资格证据和确认路径。</x:v>
      </x:c>
      <x:c r="J489" s="24" t="str">
        <x:v>把守约、投入或推进一次直接视为稳定保护。</x:v>
      </x:c>
      <x:c r="K489" s="24" t="str">
        <x:v>由共享基础引擎提供；仅修正保护功能的承载、持续调用和压力状态下的稳定性，不直接等同成熟度、道德或现实行为。</x:v>
      </x:c>
      <x:c r="L489" s="24" t="str">
        <x:v>由M1／M2接口提供；夫妻星、心动原型和关系门槛只说明关系议题，不单独证明保护因素已经被调用或有效。</x:v>
      </x:c>
      <x:c r="M489" s="24" t="str">
        <x:v>由M3-BASE及M4各模块提供；日支、日柱近位可提高与亲密关系核心的相关性，但同一source_id不得重复计分。</x:v>
      </x:c>
      <x:c r="N489" s="24" t="str">
        <x:v>保护因素必须明确限制过用、补足缺位、恢复顺序、打开反馈、落实改变或完成修复回流；不能只凭五行相生补写现实效果。</x:v>
      </x:c>
      <x:c r="O489" s="24" t="str">
        <x:v>近位提高进入亲密关系核心的概率；远位只作背景、阶段或条件性修正。</x:v>
      </x:c>
      <x:c r="P489" s="24" t="str">
        <x:v>根气只修正该保护功能是否容易重复调用，不等于现实中已经形成稳定保护。</x:v>
      </x:c>
      <x:c r="Q489" s="24" t="str">
        <x:v>旺弱只修正调用强度与承载；强不自动有效，弱也不自动无效。</x:v>
      </x:c>
      <x:c r="R489" s="24" t="str">
        <x:v>喜忌只修正摩擦、平衡与承载，不可直接翻译为好坏、成熟度或解决方案。</x:v>
      </x:c>
      <x:c r="S489" s="24" t="str">
        <x:v>原十神功能有效；真合化成立时按化神功能替换，合化争议时停止定性。</x:v>
      </x:c>
      <x:c r="T489" s="24" t="str">
        <x:v>近位提高直接相关性；远位仅保留背景、阶段或低置信修正。</x:v>
      </x:c>
      <x:c r="U489" s="24" t="str">
        <x:v>98</x:v>
      </x:c>
      <x:c r="V489" s="24" t="str">
        <x:v>不加分；路由／去重</x:v>
      </x:c>
      <x:c r="W489" s="24" t="str">
        <x:v>interface_log</x:v>
      </x:c>
      <x:c r="X489" s="24" t="str">
        <x:v>M2证据需经M3功能和现实重复验证后才可进入BF06。</x:v>
      </x:c>
      <x:c r="Y489" s="24" t="str">
        <x:v>通过关系门槛的表现，还需要继续看能否在相处和修复中稳定使用。</x:v>
      </x:c>
      <x:c r="Z489" s="24" t="str">
        <x:v>不得仅凭本规则断定问题已经解决、关系必然稳定、用户一定成熟、某十神天然是“药”、喜用神自动等于解决办法，或淡化暴力、强迫与现实伤害；现实行为、反例、安全事实和专业支持优先。</x:v>
      </x:c>
      <x:c r="AA489" s="24" t="str">
        <x:v>高</x:v>
      </x:c>
      <x:c r="AB489" s="24" t="str">
        <x:v>待验证</x:v>
      </x:c>
      <x:c r="AC489" s="24" t="str"/>
      <x:c r="AD489" s="24" t="str">
        <x:v>provisional=true；保护因素的现实有效性必须由可观察行为、反馈和持续结果验证。</x:v>
      </x:c>
      <x:c r="AE489" s="24" t="str">
        <x:v>0.8</x:v>
      </x:c>
    </x:row>
    <x:row r="490" ht="52" customHeight="1">
      <x:c r="A490" s="24" t="str">
        <x:v>M4-BUFFER-489</x:v>
      </x:c>
      <x:c r="B490" s="24" t="str">
        <x:v>M3-BASE／EXPR接口｜中性功能只提供资源来源</x:v>
      </x:c>
      <x:c r="C490" s="24" t="str">
        <x:v>L11 跨模块接口与去重</x:v>
      </x:c>
      <x:c r="D490" s="24" t="str">
        <x:v>BUFFER-合成接口</x:v>
      </x:c>
      <x:c r="E490" s="24" t="str">
        <x:v>通用</x:v>
      </x:c>
      <x:c r="F490" s="24" t="str">
        <x:v>接口</x:v>
      </x:c>
      <x:c r="G490" s="24" t="str">
        <x:v>跨模块接口</x:v>
      </x:c>
      <x:c r="H490" s="24" t="str"/>
      <x:c r="I490" s="24" t="str">
        <x:v>M3已确定底盘和表达通道。</x:v>
      </x:c>
      <x:c r="J490" s="24" t="str">
        <x:v>将M3中性通道直接贴成药或风险已解除。</x:v>
      </x:c>
      <x:c r="K490" s="24" t="str">
        <x:v>由共享基础引擎提供；仅修正保护功能的承载、持续调用和压力状态下的稳定性，不直接等同成熟度、道德或现实行为。</x:v>
      </x:c>
      <x:c r="L490" s="24" t="str">
        <x:v>由M1／M2接口提供；夫妻星、心动原型和关系门槛只说明关系议题，不单独证明保护因素已经被调用或有效。</x:v>
      </x:c>
      <x:c r="M490" s="24" t="str">
        <x:v>由M3-BASE及M4各模块提供；日支、日柱近位可提高与亲密关系核心的相关性，但同一source_id不得重复计分。</x:v>
      </x:c>
      <x:c r="N490" s="24" t="str">
        <x:v>保护因素必须明确限制过用、补足缺位、恢复顺序、打开反馈、落实改变或完成修复回流；不能只凭五行相生补写现实效果。</x:v>
      </x:c>
      <x:c r="O490" s="24" t="str">
        <x:v>近位提高进入亲密关系核心的概率；远位只作背景、阶段或条件性修正。</x:v>
      </x:c>
      <x:c r="P490" s="24" t="str">
        <x:v>根气只修正该保护功能是否容易重复调用，不等于现实中已经形成稳定保护。</x:v>
      </x:c>
      <x:c r="Q490" s="24" t="str">
        <x:v>旺弱只修正调用强度与承载；强不自动有效，弱也不自动无效。</x:v>
      </x:c>
      <x:c r="R490" s="24" t="str">
        <x:v>喜忌只修正摩擦、平衡与承载，不可直接翻译为好坏、成熟度或解决方案。</x:v>
      </x:c>
      <x:c r="S490" s="24" t="str">
        <x:v>原十神功能有效；真合化成立时按化神功能替换，合化争议时停止定性。</x:v>
      </x:c>
      <x:c r="T490" s="24" t="str">
        <x:v>近位提高直接相关性；远位仅保留背景、阶段或低置信修正。</x:v>
      </x:c>
      <x:c r="U490" s="24" t="str">
        <x:v>98</x:v>
      </x:c>
      <x:c r="V490" s="24" t="str">
        <x:v>不加分；路由／去重</x:v>
      </x:c>
      <x:c r="W490" s="24" t="str">
        <x:v>interface_log</x:v>
      </x:c>
      <x:c r="X490" s="24" t="str">
        <x:v>M3说明资源来源；BUFFER判断是否匹配靶点、可调用和有效。</x:v>
      </x:c>
      <x:c r="Y490" s="24" t="str">
        <x:v>你原本的表达或相处能力可以成为资源，但是否有保护作用要看具体问题和实际效果。</x:v>
      </x:c>
      <x:c r="Z490" s="24" t="str">
        <x:v>不得仅凭本规则断定问题已经解决、关系必然稳定、用户一定成熟、某十神天然是“药”、喜用神自动等于解决办法，或淡化暴力、强迫与现实伤害；现实行为、反例、安全事实和专业支持优先。</x:v>
      </x:c>
      <x:c r="AA490" s="24" t="str">
        <x:v>高</x:v>
      </x:c>
      <x:c r="AB490" s="24" t="str">
        <x:v>待验证</x:v>
      </x:c>
      <x:c r="AC490" s="24" t="str"/>
      <x:c r="AD490" s="24" t="str">
        <x:v>provisional=true；保护因素的现实有效性必须由可观察行为、反馈和持续结果验证。</x:v>
      </x:c>
      <x:c r="AE490" s="24" t="str">
        <x:v>0.8</x:v>
      </x:c>
    </x:row>
    <x:row r="491" ht="52" customHeight="1">
      <x:c r="A491" s="24" t="str">
        <x:v>M4-BUFFER-490</x:v>
      </x:c>
      <x:c r="B491" s="24" t="str">
        <x:v>M3-CARE／BOUND接口｜投入与边界分别验证</x:v>
      </x:c>
      <x:c r="C491" s="24" t="str">
        <x:v>L11 跨模块接口与去重</x:v>
      </x:c>
      <x:c r="D491" s="24" t="str">
        <x:v>BUFFER-合成接口</x:v>
      </x:c>
      <x:c r="E491" s="24" t="str">
        <x:v>通用</x:v>
      </x:c>
      <x:c r="F491" s="24" t="str">
        <x:v>接口</x:v>
      </x:c>
      <x:c r="G491" s="24" t="str">
        <x:v>跨模块接口</x:v>
      </x:c>
      <x:c r="H491" s="24" t="str"/>
      <x:c r="I491" s="24" t="str">
        <x:v>M3已确定支持交换和边界通道。</x:v>
      </x:c>
      <x:c r="J491" s="24" t="str">
        <x:v>用付出量替代边界、反馈或双向修复。</x:v>
      </x:c>
      <x:c r="K491" s="24" t="str">
        <x:v>由共享基础引擎提供；仅修正保护功能的承载、持续调用和压力状态下的稳定性，不直接等同成熟度、道德或现实行为。</x:v>
      </x:c>
      <x:c r="L491" s="24" t="str">
        <x:v>由M1／M2接口提供；夫妻星、心动原型和关系门槛只说明关系议题，不单独证明保护因素已经被调用或有效。</x:v>
      </x:c>
      <x:c r="M491" s="24" t="str">
        <x:v>由M3-BASE及M4各模块提供；日支、日柱近位可提高与亲密关系核心的相关性，但同一source_id不得重复计分。</x:v>
      </x:c>
      <x:c r="N491" s="24" t="str">
        <x:v>保护因素必须明确限制过用、补足缺位、恢复顺序、打开反馈、落实改变或完成修复回流；不能只凭五行相生补写现实效果。</x:v>
      </x:c>
      <x:c r="O491" s="24" t="str">
        <x:v>近位提高进入亲密关系核心的概率；远位只作背景、阶段或条件性修正。</x:v>
      </x:c>
      <x:c r="P491" s="24" t="str">
        <x:v>根气只修正该保护功能是否容易重复调用，不等于现实中已经形成稳定保护。</x:v>
      </x:c>
      <x:c r="Q491" s="24" t="str">
        <x:v>旺弱只修正调用强度与承载；强不自动有效，弱也不自动无效。</x:v>
      </x:c>
      <x:c r="R491" s="24" t="str">
        <x:v>喜忌只修正摩擦、平衡与承载，不可直接翻译为好坏、成熟度或解决方案。</x:v>
      </x:c>
      <x:c r="S491" s="24" t="str">
        <x:v>原十神功能有效；真合化成立时按化神功能替换，合化争议时停止定性。</x:v>
      </x:c>
      <x:c r="T491" s="24" t="str">
        <x:v>近位提高直接相关性；远位仅保留背景、阶段或低置信修正。</x:v>
      </x:c>
      <x:c r="U491" s="24" t="str">
        <x:v>98</x:v>
      </x:c>
      <x:c r="V491" s="24" t="str">
        <x:v>不加分；路由／去重</x:v>
      </x:c>
      <x:c r="W491" s="24" t="str">
        <x:v>interface_log</x:v>
      </x:c>
      <x:c r="X491" s="24" t="str">
        <x:v>CARE提供落实资源，BOUND提供选择权；同源事实需去重。</x:v>
      </x:c>
      <x:c r="Y491" s="24" t="str">
        <x:v>付出和边界是不同任务，只有各自进入，保护链才更完整。</x:v>
      </x:c>
      <x:c r="Z491" s="24" t="str">
        <x:v>不得仅凭本规则断定问题已经解决、关系必然稳定、用户一定成熟、某十神天然是“药”、喜用神自动等于解决办法，或淡化暴力、强迫与现实伤害；现实行为、反例、安全事实和专业支持优先。</x:v>
      </x:c>
      <x:c r="AA491" s="24" t="str">
        <x:v>高</x:v>
      </x:c>
      <x:c r="AB491" s="24" t="str">
        <x:v>待验证</x:v>
      </x:c>
      <x:c r="AC491" s="24" t="str"/>
      <x:c r="AD491" s="24" t="str">
        <x:v>provisional=true；保护因素的现实有效性必须由可观察行为、反馈和持续结果验证。</x:v>
      </x:c>
      <x:c r="AE491" s="24" t="str">
        <x:v>0.8</x:v>
      </x:c>
    </x:row>
    <x:row r="492" ht="52" customHeight="1">
      <x:c r="A492" s="24" t="str">
        <x:v>M4-BUFFER-491</x:v>
      </x:c>
      <x:c r="B492" s="24" t="str">
        <x:v>M3-CONFLICT及未来REPAIR／STATE接口</x:v>
      </x:c>
      <x:c r="C492" s="24" t="str">
        <x:v>L11 跨模块接口与去重</x:v>
      </x:c>
      <x:c r="D492" s="24" t="str">
        <x:v>BUFFER-合成接口</x:v>
      </x:c>
      <x:c r="E492" s="24" t="str">
        <x:v>通用</x:v>
      </x:c>
      <x:c r="F492" s="24" t="str">
        <x:v>接口</x:v>
      </x:c>
      <x:c r="G492" s="24" t="str">
        <x:v>跨模块接口</x:v>
      </x:c>
      <x:c r="H492" s="24" t="str"/>
      <x:c r="I492" s="24" t="str">
        <x:v>已有分歧顺序；M3-REPAIR和STATE尚待建设。</x:v>
      </x:c>
      <x:c r="J492" s="24" t="str">
        <x:v>把暂定状态切换与修复风格写成最终结论。</x:v>
      </x:c>
      <x:c r="K492" s="24" t="str">
        <x:v>由共享基础引擎提供；仅修正保护功能的承载、持续调用和压力状态下的稳定性，不直接等同成熟度、道德或现实行为。</x:v>
      </x:c>
      <x:c r="L492" s="24" t="str">
        <x:v>由M1／M2接口提供；夫妻星、心动原型和关系门槛只说明关系议题，不单独证明保护因素已经被调用或有效。</x:v>
      </x:c>
      <x:c r="M492" s="24" t="str">
        <x:v>由M3-BASE及M4各模块提供；日支、日柱近位可提高与亲密关系核心的相关性，但同一source_id不得重复计分。</x:v>
      </x:c>
      <x:c r="N492" s="24" t="str">
        <x:v>保护因素必须明确限制过用、补足缺位、恢复顺序、打开反馈、落实改变或完成修复回流；不能只凭五行相生补写现实效果。</x:v>
      </x:c>
      <x:c r="O492" s="24" t="str">
        <x:v>近位提高进入亲密关系核心的概率；远位只作背景、阶段或条件性修正。</x:v>
      </x:c>
      <x:c r="P492" s="24" t="str">
        <x:v>根气只修正该保护功能是否容易重复调用，不等于现实中已经形成稳定保护。</x:v>
      </x:c>
      <x:c r="Q492" s="24" t="str">
        <x:v>旺弱只修正调用强度与承载；强不自动有效，弱也不自动无效。</x:v>
      </x:c>
      <x:c r="R492" s="24" t="str">
        <x:v>喜忌只修正摩擦、平衡与承载，不可直接翻译为好坏、成熟度或解决方案。</x:v>
      </x:c>
      <x:c r="S492" s="24" t="str">
        <x:v>原十神功能有效；真合化成立时按化神功能替换，合化争议时停止定性。</x:v>
      </x:c>
      <x:c r="T492" s="24" t="str">
        <x:v>近位提高直接相关性；远位仅保留背景、阶段或低置信修正。</x:v>
      </x:c>
      <x:c r="U492" s="24" t="str">
        <x:v>98</x:v>
      </x:c>
      <x:c r="V492" s="24" t="str">
        <x:v>不加分；路由／去重</x:v>
      </x:c>
      <x:c r="W492" s="24" t="str">
        <x:v>interface_log</x:v>
      </x:c>
      <x:c r="X492" s="24" t="str">
        <x:v>当前只继承CONFLICT；修复和状态接口保持provisional。</x:v>
      </x:c>
      <x:c r="Y492" s="24" t="str">
        <x:v>现在能看到冲突处理资源，但完整修复和状态切换还需后续模块校准。</x:v>
      </x:c>
      <x:c r="Z492" s="24" t="str">
        <x:v>不得仅凭本规则断定问题已经解决、关系必然稳定、用户一定成熟、某十神天然是“药”、喜用神自动等于解决办法，或淡化暴力、强迫与现实伤害；现实行为、反例、安全事实和专业支持优先。</x:v>
      </x:c>
      <x:c r="AA492" s="24" t="str">
        <x:v>高</x:v>
      </x:c>
      <x:c r="AB492" s="24" t="str">
        <x:v>待验证</x:v>
      </x:c>
      <x:c r="AC492" s="24" t="str"/>
      <x:c r="AD492" s="24" t="str">
        <x:v>provisional=true；保护因素的现实有效性必须由可观察行为、反馈和持续结果验证。</x:v>
      </x:c>
      <x:c r="AE492" s="24" t="str">
        <x:v>0.8</x:v>
      </x:c>
    </x:row>
    <x:row r="493" ht="52" customHeight="1">
      <x:c r="A493" s="24" t="str">
        <x:v>M4-BUFFER-492</x:v>
      </x:c>
      <x:c r="B493" s="24" t="str">
        <x:v>共享引擎、M5与去重接口</x:v>
      </x:c>
      <x:c r="C493" s="24" t="str">
        <x:v>L11 跨模块接口与去重</x:v>
      </x:c>
      <x:c r="D493" s="24" t="str">
        <x:v>BUFFER-合成接口</x:v>
      </x:c>
      <x:c r="E493" s="24" t="str">
        <x:v>通用</x:v>
      </x:c>
      <x:c r="F493" s="24" t="str">
        <x:v>接口</x:v>
      </x:c>
      <x:c r="G493" s="24" t="str">
        <x:v>跨模块接口</x:v>
      </x:c>
      <x:c r="H493" s="24" t="str"/>
      <x:c r="I493" s="24" t="str">
        <x:v>所有事实保留source_id，最终适配交M5。</x:v>
      </x:c>
      <x:c r="J493" s="24" t="str">
        <x:v>重复计算同一事实，或由保护因素直接推荐伴侣类型。</x:v>
      </x:c>
      <x:c r="K493" s="24" t="str">
        <x:v>由共享基础引擎提供；仅修正保护功能的承载、持续调用和压力状态下的稳定性，不直接等同成熟度、道德或现实行为。</x:v>
      </x:c>
      <x:c r="L493" s="24" t="str">
        <x:v>由M1／M2接口提供；夫妻星、心动原型和关系门槛只说明关系议题，不单独证明保护因素已经被调用或有效。</x:v>
      </x:c>
      <x:c r="M493" s="24" t="str">
        <x:v>由M3-BASE及M4各模块提供；日支、日柱近位可提高与亲密关系核心的相关性，但同一source_id不得重复计分。</x:v>
      </x:c>
      <x:c r="N493" s="24" t="str">
        <x:v>保护因素必须明确限制过用、补足缺位、恢复顺序、打开反馈、落实改变或完成修复回流；不能只凭五行相生补写现实效果。</x:v>
      </x:c>
      <x:c r="O493" s="24" t="str">
        <x:v>近位提高进入亲密关系核心的概率；远位只作背景、阶段或条件性修正。</x:v>
      </x:c>
      <x:c r="P493" s="24" t="str">
        <x:v>根气只修正该保护功能是否容易重复调用，不等于现实中已经形成稳定保护。</x:v>
      </x:c>
      <x:c r="Q493" s="24" t="str">
        <x:v>旺弱只修正调用强度与承载；强不自动有效，弱也不自动无效。</x:v>
      </x:c>
      <x:c r="R493" s="24" t="str">
        <x:v>喜忌只修正摩擦、平衡与承载，不可直接翻译为好坏、成熟度或解决方案。</x:v>
      </x:c>
      <x:c r="S493" s="24" t="str">
        <x:v>原十神功能有效；真合化成立时按化神功能替换，合化争议时停止定性。</x:v>
      </x:c>
      <x:c r="T493" s="24" t="str">
        <x:v>近位提高直接相关性；远位仅保留背景、阶段或低置信修正。</x:v>
      </x:c>
      <x:c r="U493" s="24" t="str">
        <x:v>98</x:v>
      </x:c>
      <x:c r="V493" s="24" t="str">
        <x:v>不加分；路由／去重</x:v>
      </x:c>
      <x:c r="W493" s="24" t="str">
        <x:v>interface_log</x:v>
      </x:c>
      <x:c r="X493" s="24" t="str">
        <x:v>共享引擎负责事实，BUFFER负责降权，M5负责长期适配。</x:v>
      </x:c>
      <x:c r="Y493" s="24" t="str">
        <x:v>这一步只说明已有的调节资源；什么关系结构更适合，要在模型五综合。</x:v>
      </x:c>
      <x:c r="Z493" s="24" t="str">
        <x:v>不得仅凭本规则断定问题已经解决、关系必然稳定、用户一定成熟、某十神天然是“药”、喜用神自动等于解决办法，或淡化暴力、强迫与现实伤害；现实行为、反例、安全事实和专业支持优先。</x:v>
      </x:c>
      <x:c r="AA493" s="24" t="str">
        <x:v>高</x:v>
      </x:c>
      <x:c r="AB493" s="24" t="str">
        <x:v>待验证</x:v>
      </x:c>
      <x:c r="AC493" s="24" t="str"/>
      <x:c r="AD493" s="24" t="str">
        <x:v>provisional=true；保护因素的现实有效性必须由可观察行为、反馈和持续结果验证。</x:v>
      </x:c>
      <x:c r="AE493" s="24" t="str">
        <x:v>0.8</x:v>
      </x:c>
    </x:row>
    <x:row r="494" ht="52" customHeight="1">
      <x:c r="A494" s="24" t="str">
        <x:v>M4-BUFFER-493</x:v>
      </x:c>
      <x:c r="B494" s="24" t="str">
        <x:v>结构保护基础分</x:v>
      </x:c>
      <x:c r="C494" s="24" t="str">
        <x:v>L12 评分、层级与发布</x:v>
      </x:c>
      <x:c r="D494" s="24" t="str">
        <x:v>BUFFER-评分置信</x:v>
      </x:c>
      <x:c r="E494" s="24" t="str">
        <x:v>通用</x:v>
      </x:c>
      <x:c r="F494" s="24" t="str">
        <x:v>评分</x:v>
      </x:c>
      <x:c r="G494" s="24" t="str">
        <x:v>BUFFER评分</x:v>
      </x:c>
      <x:c r="H494" s="24" t="str"/>
      <x:c r="I494" s="24" t="str">
        <x:v>存在独立BF结构资源且靶点匹配。</x:v>
      </x:c>
      <x:c r="J494" s="24" t="str">
        <x:v>同源重复、弱远无助或功能错配。</x:v>
      </x:c>
      <x:c r="K494" s="24" t="str">
        <x:v>由共享基础引擎提供；仅修正保护功能的承载、持续调用和压力状态下的稳定性，不直接等同成熟度、道德或现实行为。</x:v>
      </x:c>
      <x:c r="L494" s="24" t="str">
        <x:v>由M1／M2接口提供；夫妻星、心动原型和关系门槛只说明关系议题，不单独证明保护因素已经被调用或有效。</x:v>
      </x:c>
      <x:c r="M494" s="24" t="str">
        <x:v>由M3-BASE及M4各模块提供；日支、日柱近位可提高与亲密关系核心的相关性，但同一source_id不得重复计分。</x:v>
      </x:c>
      <x:c r="N494" s="24" t="str">
        <x:v>保护因素必须明确限制过用、补足缺位、恢复顺序、打开反馈、落实改变或完成修复回流；不能只凭五行相生补写现实效果。</x:v>
      </x:c>
      <x:c r="O494" s="24" t="str">
        <x:v>近位提高进入亲密关系核心的概率；远位只作背景、阶段或条件性修正。</x:v>
      </x:c>
      <x:c r="P494" s="24" t="str">
        <x:v>根气只修正该保护功能是否容易重复调用，不等于现实中已经形成稳定保护。</x:v>
      </x:c>
      <x:c r="Q494" s="24" t="str">
        <x:v>旺弱只修正调用强度与承载；强不自动有效，弱也不自动无效。</x:v>
      </x:c>
      <x:c r="R494" s="24" t="str">
        <x:v>喜忌只修正摩擦、平衡与承载，不可直接翻译为好坏、成熟度或解决方案。</x:v>
      </x:c>
      <x:c r="S494" s="24" t="str">
        <x:v>原十神功能有效；真合化成立时按化神功能替换，合化争议时停止定性。</x:v>
      </x:c>
      <x:c r="T494" s="24" t="str">
        <x:v>近位提高直接相关性；远位仅保留背景、阶段或低置信修正。</x:v>
      </x:c>
      <x:c r="U494" s="24" t="str">
        <x:v>96</x:v>
      </x:c>
      <x:c r="V494" s="24" t="str">
        <x:v>结构资源+8；仅用于BL2候选。</x:v>
      </x:c>
      <x:c r="W494" s="24" t="str">
        <x:v>buffer_score</x:v>
      </x:c>
      <x:c r="X494" s="24" t="str">
        <x:v>结构分只能说明可用候选，不得直接降低E等级。</x:v>
      </x:c>
      <x:c r="Y494" s="24" t="str">
        <x:v>结构分只能说明可用候选，不得直接降低E等级。</x:v>
      </x:c>
      <x:c r="Z494" s="24" t="str">
        <x:v>不得仅凭本规则断定问题已经解决、关系必然稳定、用户一定成熟、某十神天然是“药”、喜用神自动等于解决办法，或淡化暴力、强迫与现实伤害；现实行为、反例、安全事实和专业支持优先。</x:v>
      </x:c>
      <x:c r="AA494" s="24" t="str">
        <x:v>高</x:v>
      </x:c>
      <x:c r="AB494" s="24" t="str">
        <x:v>待验证</x:v>
      </x:c>
      <x:c r="AC494" s="24" t="str"/>
      <x:c r="AD494" s="24" t="str">
        <x:v>provisional=true；保护因素的现实有效性必须由可观察行为、反馈和持续结果验证。</x:v>
      </x:c>
      <x:c r="AE494" s="24" t="str">
        <x:v>0.8</x:v>
      </x:c>
    </x:row>
    <x:row r="495" ht="52" customHeight="1">
      <x:c r="A495" s="24" t="str">
        <x:v>M4-BUFFER-494</x:v>
      </x:c>
      <x:c r="B495" s="24" t="str">
        <x:v>独立来源加分</x:v>
      </x:c>
      <x:c r="C495" s="24" t="str">
        <x:v>L12 评分、层级与发布</x:v>
      </x:c>
      <x:c r="D495" s="24" t="str">
        <x:v>BUFFER-评分置信</x:v>
      </x:c>
      <x:c r="E495" s="24" t="str">
        <x:v>通用</x:v>
      </x:c>
      <x:c r="F495" s="24" t="str">
        <x:v>评分</x:v>
      </x:c>
      <x:c r="G495" s="24" t="str">
        <x:v>BUFFER评分</x:v>
      </x:c>
      <x:c r="H495" s="24" t="str"/>
      <x:c r="I495" s="24" t="str">
        <x:v>保护来源与风险来源不同source_id，或有独立现实行为。</x:v>
      </x:c>
      <x:c r="J495" s="24" t="str">
        <x:v>同一事实多模块解释。</x:v>
      </x:c>
      <x:c r="K495" s="24" t="str">
        <x:v>由共享基础引擎提供；仅修正保护功能的承载、持续调用和压力状态下的稳定性，不直接等同成熟度、道德或现实行为。</x:v>
      </x:c>
      <x:c r="L495" s="24" t="str">
        <x:v>由M1／M2接口提供；夫妻星、心动原型和关系门槛只说明关系议题，不单独证明保护因素已经被调用或有效。</x:v>
      </x:c>
      <x:c r="M495" s="24" t="str">
        <x:v>由M3-BASE及M4各模块提供；日支、日柱近位可提高与亲密关系核心的相关性，但同一source_id不得重复计分。</x:v>
      </x:c>
      <x:c r="N495" s="24" t="str">
        <x:v>保护因素必须明确限制过用、补足缺位、恢复顺序、打开反馈、落实改变或完成修复回流；不能只凭五行相生补写现实效果。</x:v>
      </x:c>
      <x:c r="O495" s="24" t="str">
        <x:v>近位提高进入亲密关系核心的概率；远位只作背景、阶段或条件性修正。</x:v>
      </x:c>
      <x:c r="P495" s="24" t="str">
        <x:v>根气只修正该保护功能是否容易重复调用，不等于现实中已经形成稳定保护。</x:v>
      </x:c>
      <x:c r="Q495" s="24" t="str">
        <x:v>旺弱只修正调用强度与承载；强不自动有效，弱也不自动无效。</x:v>
      </x:c>
      <x:c r="R495" s="24" t="str">
        <x:v>喜忌只修正摩擦、平衡与承载，不可直接翻译为好坏、成熟度或解决方案。</x:v>
      </x:c>
      <x:c r="S495" s="24" t="str">
        <x:v>原十神功能有效；真合化成立时按化神功能替换，合化争议时停止定性。</x:v>
      </x:c>
      <x:c r="T495" s="24" t="str">
        <x:v>近位提高直接相关性；远位仅保留背景、阶段或低置信修正。</x:v>
      </x:c>
      <x:c r="U495" s="24" t="str">
        <x:v>96</x:v>
      </x:c>
      <x:c r="V495" s="24" t="str">
        <x:v>独立来源+6。</x:v>
      </x:c>
      <x:c r="W495" s="24" t="str">
        <x:v>buffer_score</x:v>
      </x:c>
      <x:c r="X495" s="24" t="str">
        <x:v>独立来源提高可信度，重复解释不加分。</x:v>
      </x:c>
      <x:c r="Y495" s="24" t="str">
        <x:v>独立来源提高可信度，重复解释不加分。</x:v>
      </x:c>
      <x:c r="Z495" s="24" t="str">
        <x:v>不得仅凭本规则断定问题已经解决、关系必然稳定、用户一定成熟、某十神天然是“药”、喜用神自动等于解决办法，或淡化暴力、强迫与现实伤害；现实行为、反例、安全事实和专业支持优先。</x:v>
      </x:c>
      <x:c r="AA495" s="24" t="str">
        <x:v>高</x:v>
      </x:c>
      <x:c r="AB495" s="24" t="str">
        <x:v>待验证</x:v>
      </x:c>
      <x:c r="AC495" s="24" t="str"/>
      <x:c r="AD495" s="24" t="str">
        <x:v>provisional=true；保护因素的现实有效性必须由可观察行为、反馈和持续结果验证。</x:v>
      </x:c>
      <x:c r="AE495" s="24" t="str">
        <x:v>0.8</x:v>
      </x:c>
    </x:row>
    <x:row r="496" ht="52" customHeight="1">
      <x:c r="A496" s="24" t="str">
        <x:v>M4-BUFFER-495</x:v>
      </x:c>
      <x:c r="B496" s="24" t="str">
        <x:v>靶点匹配加分</x:v>
      </x:c>
      <x:c r="C496" s="24" t="str">
        <x:v>L12 评分、层级与发布</x:v>
      </x:c>
      <x:c r="D496" s="24" t="str">
        <x:v>BUFFER-评分置信</x:v>
      </x:c>
      <x:c r="E496" s="24" t="str">
        <x:v>通用</x:v>
      </x:c>
      <x:c r="F496" s="24" t="str">
        <x:v>评分</x:v>
      </x:c>
      <x:c r="G496" s="24" t="str">
        <x:v>BUFFER评分</x:v>
      </x:c>
      <x:c r="H496" s="24" t="str"/>
      <x:c r="I496" s="24" t="str">
        <x:v>保护功能直接处理主K机制、LP节点或RN缺失。</x:v>
      </x:c>
      <x:c r="J496" s="24" t="str">
        <x:v>只与一般性格优点相关。</x:v>
      </x:c>
      <x:c r="K496" s="24" t="str">
        <x:v>由共享基础引擎提供；仅修正保护功能的承载、持续调用和压力状态下的稳定性，不直接等同成熟度、道德或现实行为。</x:v>
      </x:c>
      <x:c r="L496" s="24" t="str">
        <x:v>由M1／M2接口提供；夫妻星、心动原型和关系门槛只说明关系议题，不单独证明保护因素已经被调用或有效。</x:v>
      </x:c>
      <x:c r="M496" s="24" t="str">
        <x:v>由M3-BASE及M4各模块提供；日支、日柱近位可提高与亲密关系核心的相关性，但同一source_id不得重复计分。</x:v>
      </x:c>
      <x:c r="N496" s="24" t="str">
        <x:v>保护因素必须明确限制过用、补足缺位、恢复顺序、打开反馈、落实改变或完成修复回流；不能只凭五行相生补写现实效果。</x:v>
      </x:c>
      <x:c r="O496" s="24" t="str">
        <x:v>近位提高进入亲密关系核心的概率；远位只作背景、阶段或条件性修正。</x:v>
      </x:c>
      <x:c r="P496" s="24" t="str">
        <x:v>根气只修正该保护功能是否容易重复调用，不等于现实中已经形成稳定保护。</x:v>
      </x:c>
      <x:c r="Q496" s="24" t="str">
        <x:v>旺弱只修正调用强度与承载；强不自动有效，弱也不自动无效。</x:v>
      </x:c>
      <x:c r="R496" s="24" t="str">
        <x:v>喜忌只修正摩擦、平衡与承载，不可直接翻译为好坏、成熟度或解决方案。</x:v>
      </x:c>
      <x:c r="S496" s="24" t="str">
        <x:v>原十神功能有效；真合化成立时按化神功能替换，合化争议时停止定性。</x:v>
      </x:c>
      <x:c r="T496" s="24" t="str">
        <x:v>近位提高直接相关性；远位仅保留背景、阶段或低置信修正。</x:v>
      </x:c>
      <x:c r="U496" s="24" t="str">
        <x:v>96</x:v>
      </x:c>
      <x:c r="V496" s="24" t="str">
        <x:v>靶点匹配+6。</x:v>
      </x:c>
      <x:c r="W496" s="24" t="str">
        <x:v>buffer_score</x:v>
      </x:c>
      <x:c r="X496" s="24" t="str">
        <x:v>保护必须对准具体关系任务。</x:v>
      </x:c>
      <x:c r="Y496" s="24" t="str">
        <x:v>保护必须对准具体关系任务。</x:v>
      </x:c>
      <x:c r="Z496" s="24" t="str">
        <x:v>不得仅凭本规则断定问题已经解决、关系必然稳定、用户一定成熟、某十神天然是“药”、喜用神自动等于解决办法，或淡化暴力、强迫与现实伤害；现实行为、反例、安全事实和专业支持优先。</x:v>
      </x:c>
      <x:c r="AA496" s="24" t="str">
        <x:v>高</x:v>
      </x:c>
      <x:c r="AB496" s="24" t="str">
        <x:v>待验证</x:v>
      </x:c>
      <x:c r="AC496" s="24" t="str"/>
      <x:c r="AD496" s="24" t="str">
        <x:v>provisional=true；保护因素的现实有效性必须由可观察行为、反馈和持续结果验证。</x:v>
      </x:c>
      <x:c r="AE496" s="24" t="str">
        <x:v>0.8</x:v>
      </x:c>
    </x:row>
    <x:row r="497" ht="52" customHeight="1">
      <x:c r="A497" s="24" t="str">
        <x:v>M4-BUFFER-496</x:v>
      </x:c>
      <x:c r="B497" s="24" t="str">
        <x:v>现实启动加分</x:v>
      </x:c>
      <x:c r="C497" s="24" t="str">
        <x:v>L12 评分、层级与发布</x:v>
      </x:c>
      <x:c r="D497" s="24" t="str">
        <x:v>BUFFER-评分置信</x:v>
      </x:c>
      <x:c r="E497" s="24" t="str">
        <x:v>通用</x:v>
      </x:c>
      <x:c r="F497" s="24" t="str">
        <x:v>评分</x:v>
      </x:c>
      <x:c r="G497" s="24" t="str">
        <x:v>BUFFER评分</x:v>
      </x:c>
      <x:c r="H497" s="24" t="str"/>
      <x:c r="I497" s="24" t="str">
        <x:v>具体事件中保护功能被调用。</x:v>
      </x:c>
      <x:c r="J497" s="24" t="str">
        <x:v>只有自述、知识或计划。</x:v>
      </x:c>
      <x:c r="K497" s="24" t="str">
        <x:v>由共享基础引擎提供；仅修正保护功能的承载、持续调用和压力状态下的稳定性，不直接等同成熟度、道德或现实行为。</x:v>
      </x:c>
      <x:c r="L497" s="24" t="str">
        <x:v>由M1／M2接口提供；夫妻星、心动原型和关系门槛只说明关系议题，不单独证明保护因素已经被调用或有效。</x:v>
      </x:c>
      <x:c r="M497" s="24" t="str">
        <x:v>由M3-BASE及M4各模块提供；日支、日柱近位可提高与亲密关系核心的相关性，但同一source_id不得重复计分。</x:v>
      </x:c>
      <x:c r="N497" s="24" t="str">
        <x:v>保护因素必须明确限制过用、补足缺位、恢复顺序、打开反馈、落实改变或完成修复回流；不能只凭五行相生补写现实效果。</x:v>
      </x:c>
      <x:c r="O497" s="24" t="str">
        <x:v>近位提高进入亲密关系核心的概率；远位只作背景、阶段或条件性修正。</x:v>
      </x:c>
      <x:c r="P497" s="24" t="str">
        <x:v>根气只修正该保护功能是否容易重复调用，不等于现实中已经形成稳定保护。</x:v>
      </x:c>
      <x:c r="Q497" s="24" t="str">
        <x:v>旺弱只修正调用强度与承载；强不自动有效，弱也不自动无效。</x:v>
      </x:c>
      <x:c r="R497" s="24" t="str">
        <x:v>喜忌只修正摩擦、平衡与承载，不可直接翻译为好坏、成熟度或解决方案。</x:v>
      </x:c>
      <x:c r="S497" s="24" t="str">
        <x:v>原十神功能有效；真合化成立时按化神功能替换，合化争议时停止定性。</x:v>
      </x:c>
      <x:c r="T497" s="24" t="str">
        <x:v>近位提高直接相关性；远位仅保留背景、阶段或低置信修正。</x:v>
      </x:c>
      <x:c r="U497" s="24" t="str">
        <x:v>96</x:v>
      </x:c>
      <x:c r="V497" s="24" t="str">
        <x:v>现实启动+12。</x:v>
      </x:c>
      <x:c r="W497" s="24" t="str">
        <x:v>buffer_score</x:v>
      </x:c>
      <x:c r="X497" s="24" t="str">
        <x:v>行为启动才能从结构资源升级。</x:v>
      </x:c>
      <x:c r="Y497" s="24" t="str">
        <x:v>行为启动才能从结构资源升级。</x:v>
      </x:c>
      <x:c r="Z497" s="24" t="str">
        <x:v>不得仅凭本规则断定问题已经解决、关系必然稳定、用户一定成熟、某十神天然是“药”、喜用神自动等于解决办法，或淡化暴力、强迫与现实伤害；现实行为、反例、安全事实和专业支持优先。</x:v>
      </x:c>
      <x:c r="AA497" s="24" t="str">
        <x:v>高</x:v>
      </x:c>
      <x:c r="AB497" s="24" t="str">
        <x:v>待验证</x:v>
      </x:c>
      <x:c r="AC497" s="24" t="str"/>
      <x:c r="AD497" s="24" t="str">
        <x:v>provisional=true；保护因素的现实有效性必须由可观察行为、反馈和持续结果验证。</x:v>
      </x:c>
      <x:c r="AE497" s="24" t="str">
        <x:v>0.8</x:v>
      </x:c>
    </x:row>
    <x:row r="498" ht="52" customHeight="1">
      <x:c r="A498" s="24" t="str">
        <x:v>M4-BUFFER-497</x:v>
      </x:c>
      <x:c r="B498" s="24" t="str">
        <x:v>实际效果加分</x:v>
      </x:c>
      <x:c r="C498" s="24" t="str">
        <x:v>L12 评分、层级与发布</x:v>
      </x:c>
      <x:c r="D498" s="24" t="str">
        <x:v>BUFFER-评分置信</x:v>
      </x:c>
      <x:c r="E498" s="24" t="str">
        <x:v>通用</x:v>
      </x:c>
      <x:c r="F498" s="24" t="str">
        <x:v>评分</x:v>
      </x:c>
      <x:c r="G498" s="24" t="str">
        <x:v>BUFFER评分</x:v>
      </x:c>
      <x:c r="H498" s="24" t="str"/>
      <x:c r="I498" s="24" t="str">
        <x:v>保护明确改变顺序、反馈、边界、行动或修复。</x:v>
      </x:c>
      <x:c r="J498" s="24" t="str">
        <x:v>动作发生但风险链未变。</x:v>
      </x:c>
      <x:c r="K498" s="24" t="str">
        <x:v>由共享基础引擎提供；仅修正保护功能的承载、持续调用和压力状态下的稳定性，不直接等同成熟度、道德或现实行为。</x:v>
      </x:c>
      <x:c r="L498" s="24" t="str">
        <x:v>由M1／M2接口提供；夫妻星、心动原型和关系门槛只说明关系议题，不单独证明保护因素已经被调用或有效。</x:v>
      </x:c>
      <x:c r="M498" s="24" t="str">
        <x:v>由M3-BASE及M4各模块提供；日支、日柱近位可提高与亲密关系核心的相关性，但同一source_id不得重复计分。</x:v>
      </x:c>
      <x:c r="N498" s="24" t="str">
        <x:v>保护因素必须明确限制过用、补足缺位、恢复顺序、打开反馈、落实改变或完成修复回流；不能只凭五行相生补写现实效果。</x:v>
      </x:c>
      <x:c r="O498" s="24" t="str">
        <x:v>近位提高进入亲密关系核心的概率；远位只作背景、阶段或条件性修正。</x:v>
      </x:c>
      <x:c r="P498" s="24" t="str">
        <x:v>根气只修正该保护功能是否容易重复调用，不等于现实中已经形成稳定保护。</x:v>
      </x:c>
      <x:c r="Q498" s="24" t="str">
        <x:v>旺弱只修正调用强度与承载；强不自动有效，弱也不自动无效。</x:v>
      </x:c>
      <x:c r="R498" s="24" t="str">
        <x:v>喜忌只修正摩擦、平衡与承载，不可直接翻译为好坏、成熟度或解决方案。</x:v>
      </x:c>
      <x:c r="S498" s="24" t="str">
        <x:v>原十神功能有效；真合化成立时按化神功能替换，合化争议时停止定性。</x:v>
      </x:c>
      <x:c r="T498" s="24" t="str">
        <x:v>近位提高直接相关性；远位仅保留背景、阶段或低置信修正。</x:v>
      </x:c>
      <x:c r="U498" s="24" t="str">
        <x:v>96</x:v>
      </x:c>
      <x:c r="V498" s="24" t="str">
        <x:v>实际效果+14。</x:v>
      </x:c>
      <x:c r="W498" s="24" t="str">
        <x:v>buffer_score</x:v>
      </x:c>
      <x:c r="X498" s="24" t="str">
        <x:v>有效性以链条变化为准。</x:v>
      </x:c>
      <x:c r="Y498" s="24" t="str">
        <x:v>有效性以链条变化为准。</x:v>
      </x:c>
      <x:c r="Z498" s="24" t="str">
        <x:v>不得仅凭本规则断定问题已经解决、关系必然稳定、用户一定成熟、某十神天然是“药”、喜用神自动等于解决办法，或淡化暴力、强迫与现实伤害；现实行为、反例、安全事实和专业支持优先。</x:v>
      </x:c>
      <x:c r="AA498" s="24" t="str">
        <x:v>高</x:v>
      </x:c>
      <x:c r="AB498" s="24" t="str">
        <x:v>待验证</x:v>
      </x:c>
      <x:c r="AC498" s="24" t="str"/>
      <x:c r="AD498" s="24" t="str">
        <x:v>provisional=true；保护因素的现实有效性必须由可观察行为、反馈和持续结果验证。</x:v>
      </x:c>
      <x:c r="AE498" s="24" t="str">
        <x:v>0.8</x:v>
      </x:c>
    </x:row>
    <x:row r="499" ht="52" customHeight="1">
      <x:c r="A499" s="24" t="str">
        <x:v>M4-BUFFER-498</x:v>
      </x:c>
      <x:c r="B499" s="24" t="str">
        <x:v>跨情境稳定加分</x:v>
      </x:c>
      <x:c r="C499" s="24" t="str">
        <x:v>L12 评分、层级与发布</x:v>
      </x:c>
      <x:c r="D499" s="24" t="str">
        <x:v>BUFFER-评分置信</x:v>
      </x:c>
      <x:c r="E499" s="24" t="str">
        <x:v>通用</x:v>
      </x:c>
      <x:c r="F499" s="24" t="str">
        <x:v>评分</x:v>
      </x:c>
      <x:c r="G499" s="24" t="str">
        <x:v>BUFFER评分</x:v>
      </x:c>
      <x:c r="H499" s="24" t="str"/>
      <x:c r="I499" s="24" t="str">
        <x:v>至少两个独立情境重复有效。</x:v>
      </x:c>
      <x:c r="J499" s="24" t="str">
        <x:v>只有一次低代价成功。</x:v>
      </x:c>
      <x:c r="K499" s="24" t="str">
        <x:v>由共享基础引擎提供；仅修正保护功能的承载、持续调用和压力状态下的稳定性，不直接等同成熟度、道德或现实行为。</x:v>
      </x:c>
      <x:c r="L499" s="24" t="str">
        <x:v>由M1／M2接口提供；夫妻星、心动原型和关系门槛只说明关系议题，不单独证明保护因素已经被调用或有效。</x:v>
      </x:c>
      <x:c r="M499" s="24" t="str">
        <x:v>由M3-BASE及M4各模块提供；日支、日柱近位可提高与亲密关系核心的相关性，但同一source_id不得重复计分。</x:v>
      </x:c>
      <x:c r="N499" s="24" t="str">
        <x:v>保护因素必须明确限制过用、补足缺位、恢复顺序、打开反馈、落实改变或完成修复回流；不能只凭五行相生补写现实效果。</x:v>
      </x:c>
      <x:c r="O499" s="24" t="str">
        <x:v>近位提高进入亲密关系核心的概率；远位只作背景、阶段或条件性修正。</x:v>
      </x:c>
      <x:c r="P499" s="24" t="str">
        <x:v>根气只修正该保护功能是否容易重复调用，不等于现实中已经形成稳定保护。</x:v>
      </x:c>
      <x:c r="Q499" s="24" t="str">
        <x:v>旺弱只修正调用强度与承载；强不自动有效，弱也不自动无效。</x:v>
      </x:c>
      <x:c r="R499" s="24" t="str">
        <x:v>喜忌只修正摩擦、平衡与承载，不可直接翻译为好坏、成熟度或解决方案。</x:v>
      </x:c>
      <x:c r="S499" s="24" t="str">
        <x:v>原十神功能有效；真合化成立时按化神功能替换，合化争议时停止定性。</x:v>
      </x:c>
      <x:c r="T499" s="24" t="str">
        <x:v>近位提高直接相关性；远位仅保留背景、阶段或低置信修正。</x:v>
      </x:c>
      <x:c r="U499" s="24" t="str">
        <x:v>96</x:v>
      </x:c>
      <x:c r="V499" s="24" t="str">
        <x:v>跨情境+12。</x:v>
      </x:c>
      <x:c r="W499" s="24" t="str">
        <x:v>buffer_score</x:v>
      </x:c>
      <x:c r="X499" s="24" t="str">
        <x:v>重复有效才支持稳定保护。</x:v>
      </x:c>
      <x:c r="Y499" s="24" t="str">
        <x:v>重复有效才支持稳定保护。</x:v>
      </x:c>
      <x:c r="Z499" s="24" t="str">
        <x:v>不得仅凭本规则断定问题已经解决、关系必然稳定、用户一定成熟、某十神天然是“药”、喜用神自动等于解决办法，或淡化暴力、强迫与现实伤害；现实行为、反例、安全事实和专业支持优先。</x:v>
      </x:c>
      <x:c r="AA499" s="24" t="str">
        <x:v>高</x:v>
      </x:c>
      <x:c r="AB499" s="24" t="str">
        <x:v>待验证</x:v>
      </x:c>
      <x:c r="AC499" s="24" t="str"/>
      <x:c r="AD499" s="24" t="str">
        <x:v>provisional=true；保护因素的现实有效性必须由可观察行为、反馈和持续结果验证。</x:v>
      </x:c>
      <x:c r="AE499" s="24" t="str">
        <x:v>0.8</x:v>
      </x:c>
    </x:row>
    <x:row r="500" ht="52" customHeight="1">
      <x:c r="A500" s="24" t="str">
        <x:v>M4-BUFFER-499</x:v>
      </x:c>
      <x:c r="B500" s="24" t="str">
        <x:v>接收反馈与反例审查加分</x:v>
      </x:c>
      <x:c r="C500" s="24" t="str">
        <x:v>L12 评分、层级与发布</x:v>
      </x:c>
      <x:c r="D500" s="24" t="str">
        <x:v>BUFFER-评分置信</x:v>
      </x:c>
      <x:c r="E500" s="24" t="str">
        <x:v>通用</x:v>
      </x:c>
      <x:c r="F500" s="24" t="str">
        <x:v>评分</x:v>
      </x:c>
      <x:c r="G500" s="24" t="str">
        <x:v>BUFFER评分</x:v>
      </x:c>
      <x:c r="H500" s="24" t="str"/>
      <x:c r="I500" s="24" t="str">
        <x:v>存在对方反馈、现实反例和二次修正。</x:v>
      </x:c>
      <x:c r="J500" s="24" t="str">
        <x:v>只由本人单方评价效果。</x:v>
      </x:c>
      <x:c r="K500" s="24" t="str">
        <x:v>由共享基础引擎提供；仅修正保护功能的承载、持续调用和压力状态下的稳定性，不直接等同成熟度、道德或现实行为。</x:v>
      </x:c>
      <x:c r="L500" s="24" t="str">
        <x:v>由M1／M2接口提供；夫妻星、心动原型和关系门槛只说明关系议题，不单独证明保护因素已经被调用或有效。</x:v>
      </x:c>
      <x:c r="M500" s="24" t="str">
        <x:v>由M3-BASE及M4各模块提供；日支、日柱近位可提高与亲密关系核心的相关性，但同一source_id不得重复计分。</x:v>
      </x:c>
      <x:c r="N500" s="24" t="str">
        <x:v>保护因素必须明确限制过用、补足缺位、恢复顺序、打开反馈、落实改变或完成修复回流；不能只凭五行相生补写现实效果。</x:v>
      </x:c>
      <x:c r="O500" s="24" t="str">
        <x:v>近位提高进入亲密关系核心的概率；远位只作背景、阶段或条件性修正。</x:v>
      </x:c>
      <x:c r="P500" s="24" t="str">
        <x:v>根气只修正该保护功能是否容易重复调用，不等于现实中已经形成稳定保护。</x:v>
      </x:c>
      <x:c r="Q500" s="24" t="str">
        <x:v>旺弱只修正调用强度与承载；强不自动有效，弱也不自动无效。</x:v>
      </x:c>
      <x:c r="R500" s="24" t="str">
        <x:v>喜忌只修正摩擦、平衡与承载，不可直接翻译为好坏、成熟度或解决方案。</x:v>
      </x:c>
      <x:c r="S500" s="24" t="str">
        <x:v>原十神功能有效；真合化成立时按化神功能替换，合化争议时停止定性。</x:v>
      </x:c>
      <x:c r="T500" s="24" t="str">
        <x:v>近位提高直接相关性；远位仅保留背景、阶段或低置信修正。</x:v>
      </x:c>
      <x:c r="U500" s="24" t="str">
        <x:v>96</x:v>
      </x:c>
      <x:c r="V500" s="24" t="str">
        <x:v>反馈与反例+8。</x:v>
      </x:c>
      <x:c r="W500" s="24" t="str">
        <x:v>buffer_score</x:v>
      </x:c>
      <x:c r="X500" s="24" t="str">
        <x:v>稳定保护需要接收方和反例检验。</x:v>
      </x:c>
      <x:c r="Y500" s="24" t="str">
        <x:v>稳定保护需要接收方和反例检验。</x:v>
      </x:c>
      <x:c r="Z500" s="24" t="str">
        <x:v>不得仅凭本规则断定问题已经解决、关系必然稳定、用户一定成熟、某十神天然是“药”、喜用神自动等于解决办法，或淡化暴力、强迫与现实伤害；现实行为、反例、安全事实和专业支持优先。</x:v>
      </x:c>
      <x:c r="AA500" s="24" t="str">
        <x:v>高</x:v>
      </x:c>
      <x:c r="AB500" s="24" t="str">
        <x:v>待验证</x:v>
      </x:c>
      <x:c r="AC500" s="24" t="str"/>
      <x:c r="AD500" s="24" t="str">
        <x:v>provisional=true；保护因素的现实有效性必须由可观察行为、反馈和持续结果验证。</x:v>
      </x:c>
      <x:c r="AE500" s="24" t="str">
        <x:v>0.8</x:v>
      </x:c>
    </x:row>
    <x:row r="501" ht="52" customHeight="1">
      <x:c r="A501" s="24" t="str">
        <x:v>M4-BUFFER-500</x:v>
      </x:c>
      <x:c r="B501" s="24" t="str">
        <x:v>伪保护扣分</x:v>
      </x:c>
      <x:c r="C501" s="24" t="str">
        <x:v>L12 评分、层级与发布</x:v>
      </x:c>
      <x:c r="D501" s="24" t="str">
        <x:v>BUFFER-评分置信</x:v>
      </x:c>
      <x:c r="E501" s="24" t="str">
        <x:v>通用</x:v>
      </x:c>
      <x:c r="F501" s="24" t="str">
        <x:v>评分</x:v>
      </x:c>
      <x:c r="G501" s="24" t="str">
        <x:v>BUFFER评分</x:v>
      </x:c>
      <x:c r="H501" s="24" t="str"/>
      <x:c r="I501" s="24" t="str">
        <x:v>命中PB01—PB08且未满足退出条件。</x:v>
      </x:c>
      <x:c r="J501" s="24" t="str">
        <x:v>伪保护已有真实反例并转为有效BF。</x:v>
      </x:c>
      <x:c r="K501" s="24" t="str">
        <x:v>由共享基础引擎提供；仅修正保护功能的承载、持续调用和压力状态下的稳定性，不直接等同成熟度、道德或现实行为。</x:v>
      </x:c>
      <x:c r="L501" s="24" t="str">
        <x:v>由M1／M2接口提供；夫妻星、心动原型和关系门槛只说明关系议题，不单独证明保护因素已经被调用或有效。</x:v>
      </x:c>
      <x:c r="M501" s="24" t="str">
        <x:v>由M3-BASE及M4各模块提供；日支、日柱近位可提高与亲密关系核心的相关性，但同一source_id不得重复计分。</x:v>
      </x:c>
      <x:c r="N501" s="24" t="str">
        <x:v>保护因素必须明确限制过用、补足缺位、恢复顺序、打开反馈、落实改变或完成修复回流；不能只凭五行相生补写现实效果。</x:v>
      </x:c>
      <x:c r="O501" s="24" t="str">
        <x:v>近位提高进入亲密关系核心的概率；远位只作背景、阶段或条件性修正。</x:v>
      </x:c>
      <x:c r="P501" s="24" t="str">
        <x:v>根气只修正该保护功能是否容易重复调用，不等于现实中已经形成稳定保护。</x:v>
      </x:c>
      <x:c r="Q501" s="24" t="str">
        <x:v>旺弱只修正调用强度与承载；强不自动有效，弱也不自动无效。</x:v>
      </x:c>
      <x:c r="R501" s="24" t="str">
        <x:v>喜忌只修正摩擦、平衡与承载，不可直接翻译为好坏、成熟度或解决方案。</x:v>
      </x:c>
      <x:c r="S501" s="24" t="str">
        <x:v>原十神功能有效；真合化成立时按化神功能替换，合化争议时停止定性。</x:v>
      </x:c>
      <x:c r="T501" s="24" t="str">
        <x:v>近位提高直接相关性；远位仅保留背景、阶段或低置信修正。</x:v>
      </x:c>
      <x:c r="U501" s="24" t="str">
        <x:v>96</x:v>
      </x:c>
      <x:c r="V501" s="24" t="str">
        <x:v>每项主伪保护-10，次伪保护-6。</x:v>
      </x:c>
      <x:c r="W501" s="24" t="str">
        <x:v>buffer_score</x:v>
      </x:c>
      <x:c r="X501" s="24" t="str">
        <x:v>表面保护会降低有效层级。</x:v>
      </x:c>
      <x:c r="Y501" s="24" t="str">
        <x:v>表面保护会降低有效层级。</x:v>
      </x:c>
      <x:c r="Z501" s="24" t="str">
        <x:v>不得仅凭本规则断定问题已经解决、关系必然稳定、用户一定成熟、某十神天然是“药”、喜用神自动等于解决办法，或淡化暴力、强迫与现实伤害；现实行为、反例、安全事实和专业支持优先。</x:v>
      </x:c>
      <x:c r="AA501" s="24" t="str">
        <x:v>高</x:v>
      </x:c>
      <x:c r="AB501" s="24" t="str">
        <x:v>待验证</x:v>
      </x:c>
      <x:c r="AC501" s="24" t="str"/>
      <x:c r="AD501" s="24" t="str">
        <x:v>provisional=true；保护因素的现实有效性必须由可观察行为、反馈和持续结果验证。</x:v>
      </x:c>
      <x:c r="AE501" s="24" t="str">
        <x:v>0.8</x:v>
      </x:c>
    </x:row>
    <x:row r="502" ht="52" customHeight="1">
      <x:c r="A502" s="24" t="str">
        <x:v>M4-BUFFER-501</x:v>
      </x:c>
      <x:c r="B502" s="24" t="str">
        <x:v>现实反例扣分</x:v>
      </x:c>
      <x:c r="C502" s="24" t="str">
        <x:v>L12 评分、层级与发布</x:v>
      </x:c>
      <x:c r="D502" s="24" t="str">
        <x:v>BUFFER-评分置信</x:v>
      </x:c>
      <x:c r="E502" s="24" t="str">
        <x:v>通用</x:v>
      </x:c>
      <x:c r="F502" s="24" t="str">
        <x:v>评分</x:v>
      </x:c>
      <x:c r="G502" s="24" t="str">
        <x:v>BUFFER评分</x:v>
      </x:c>
      <x:c r="H502" s="24" t="str"/>
      <x:c r="I502" s="24" t="str">
        <x:v>相似情境中资源多次未启动或无效。</x:v>
      </x:c>
      <x:c r="J502" s="24" t="str">
        <x:v>反例属于不同任务、不同状态且已有合理分层。</x:v>
      </x:c>
      <x:c r="K502" s="24" t="str">
        <x:v>由共享基础引擎提供；仅修正保护功能的承载、持续调用和压力状态下的稳定性，不直接等同成熟度、道德或现实行为。</x:v>
      </x:c>
      <x:c r="L502" s="24" t="str">
        <x:v>由M1／M2接口提供；夫妻星、心动原型和关系门槛只说明关系议题，不单独证明保护因素已经被调用或有效。</x:v>
      </x:c>
      <x:c r="M502" s="24" t="str">
        <x:v>由M3-BASE及M4各模块提供；日支、日柱近位可提高与亲密关系核心的相关性，但同一source_id不得重复计分。</x:v>
      </x:c>
      <x:c r="N502" s="24" t="str">
        <x:v>保护因素必须明确限制过用、补足缺位、恢复顺序、打开反馈、落实改变或完成修复回流；不能只凭五行相生补写现实效果。</x:v>
      </x:c>
      <x:c r="O502" s="24" t="str">
        <x:v>近位提高进入亲密关系核心的概率；远位只作背景、阶段或条件性修正。</x:v>
      </x:c>
      <x:c r="P502" s="24" t="str">
        <x:v>根气只修正该保护功能是否容易重复调用，不等于现实中已经形成稳定保护。</x:v>
      </x:c>
      <x:c r="Q502" s="24" t="str">
        <x:v>旺弱只修正调用强度与承载；强不自动有效，弱也不自动无效。</x:v>
      </x:c>
      <x:c r="R502" s="24" t="str">
        <x:v>喜忌只修正摩擦、平衡与承载，不可直接翻译为好坏、成熟度或解决方案。</x:v>
      </x:c>
      <x:c r="S502" s="24" t="str">
        <x:v>原十神功能有效；真合化成立时按化神功能替换，合化争议时停止定性。</x:v>
      </x:c>
      <x:c r="T502" s="24" t="str">
        <x:v>近位提高直接相关性；远位仅保留背景、阶段或低置信修正。</x:v>
      </x:c>
      <x:c r="U502" s="24" t="str">
        <x:v>96</x:v>
      </x:c>
      <x:c r="V502" s="24" t="str">
        <x:v>稳定反例-12至-24。</x:v>
      </x:c>
      <x:c r="W502" s="24" t="str">
        <x:v>counterevidence</x:v>
      </x:c>
      <x:c r="X502" s="24" t="str">
        <x:v>现实反例优先于结构分。</x:v>
      </x:c>
      <x:c r="Y502" s="24" t="str">
        <x:v>现实反例优先于结构分。</x:v>
      </x:c>
      <x:c r="Z502" s="24" t="str">
        <x:v>不得仅凭本规则断定问题已经解决、关系必然稳定、用户一定成熟、某十神天然是“药”、喜用神自动等于解决办法，或淡化暴力、强迫与现实伤害；现实行为、反例、安全事实和专业支持优先。</x:v>
      </x:c>
      <x:c r="AA502" s="24" t="str">
        <x:v>高</x:v>
      </x:c>
      <x:c r="AB502" s="24" t="str">
        <x:v>待验证</x:v>
      </x:c>
      <x:c r="AC502" s="24" t="str"/>
      <x:c r="AD502" s="24" t="str">
        <x:v>provisional=true；保护因素的现实有效性必须由可观察行为、反馈和持续结果验证。</x:v>
      </x:c>
      <x:c r="AE502" s="24" t="str">
        <x:v>0.8</x:v>
      </x:c>
    </x:row>
    <x:row r="503" ht="52" customHeight="1">
      <x:c r="A503" s="24" t="str">
        <x:v>M4-BUFFER-502</x:v>
      </x:c>
      <x:c r="B503" s="24" t="str">
        <x:v>同源与同事件去重</x:v>
      </x:c>
      <x:c r="C503" s="24" t="str">
        <x:v>L12 评分、层级与发布</x:v>
      </x:c>
      <x:c r="D503" s="24" t="str">
        <x:v>BUFFER-评分置信</x:v>
      </x:c>
      <x:c r="E503" s="24" t="str">
        <x:v>通用</x:v>
      </x:c>
      <x:c r="F503" s="24" t="str">
        <x:v>评分</x:v>
      </x:c>
      <x:c r="G503" s="24" t="str">
        <x:v>BUFFER评分</x:v>
      </x:c>
      <x:c r="H503" s="24" t="str"/>
      <x:c r="I503" s="24" t="str">
        <x:v>source_id／event_id已经记录。</x:v>
      </x:c>
      <x:c r="J503" s="24" t="str">
        <x:v>把同一事件的多个描述视为独立证据。</x:v>
      </x:c>
      <x:c r="K503" s="24" t="str">
        <x:v>由共享基础引擎提供；仅修正保护功能的承载、持续调用和压力状态下的稳定性，不直接等同成熟度、道德或现实行为。</x:v>
      </x:c>
      <x:c r="L503" s="24" t="str">
        <x:v>由M1／M2接口提供；夫妻星、心动原型和关系门槛只说明关系议题，不单独证明保护因素已经被调用或有效。</x:v>
      </x:c>
      <x:c r="M503" s="24" t="str">
        <x:v>由M3-BASE及M4各模块提供；日支、日柱近位可提高与亲密关系核心的相关性，但同一source_id不得重复计分。</x:v>
      </x:c>
      <x:c r="N503" s="24" t="str">
        <x:v>保护因素必须明确限制过用、补足缺位、恢复顺序、打开反馈、落实改变或完成修复回流；不能只凭五行相生补写现实效果。</x:v>
      </x:c>
      <x:c r="O503" s="24" t="str">
        <x:v>近位提高进入亲密关系核心的概率；远位只作背景、阶段或条件性修正。</x:v>
      </x:c>
      <x:c r="P503" s="24" t="str">
        <x:v>根气只修正该保护功能是否容易重复调用，不等于现实中已经形成稳定保护。</x:v>
      </x:c>
      <x:c r="Q503" s="24" t="str">
        <x:v>旺弱只修正调用强度与承载；强不自动有效，弱也不自动无效。</x:v>
      </x:c>
      <x:c r="R503" s="24" t="str">
        <x:v>喜忌只修正摩擦、平衡与承载，不可直接翻译为好坏、成熟度或解决方案。</x:v>
      </x:c>
      <x:c r="S503" s="24" t="str">
        <x:v>原十神功能有效；真合化成立时按化神功能替换，合化争议时停止定性。</x:v>
      </x:c>
      <x:c r="T503" s="24" t="str">
        <x:v>近位提高直接相关性；远位仅保留背景、阶段或低置信修正。</x:v>
      </x:c>
      <x:c r="U503" s="24" t="str">
        <x:v>96</x:v>
      </x:c>
      <x:c r="V503" s="24" t="str">
        <x:v>重复证据只保留一次基础分。</x:v>
      </x:c>
      <x:c r="W503" s="24" t="str">
        <x:v>dedup_log</x:v>
      </x:c>
      <x:c r="X503" s="24" t="str">
        <x:v>规则出现次数不等于独立证据数量。</x:v>
      </x:c>
      <x:c r="Y503" s="24" t="str">
        <x:v>规则出现次数不等于独立证据数量。</x:v>
      </x:c>
      <x:c r="Z503" s="24" t="str">
        <x:v>不得仅凭本规则断定问题已经解决、关系必然稳定、用户一定成熟、某十神天然是“药”、喜用神自动等于解决办法，或淡化暴力、强迫与现实伤害；现实行为、反例、安全事实和专业支持优先。</x:v>
      </x:c>
      <x:c r="AA503" s="24" t="str">
        <x:v>高</x:v>
      </x:c>
      <x:c r="AB503" s="24" t="str">
        <x:v>待验证</x:v>
      </x:c>
      <x:c r="AC503" s="24" t="str"/>
      <x:c r="AD503" s="24" t="str">
        <x:v>provisional=true；保护因素的现实有效性必须由可观察行为、反馈和持续结果验证。</x:v>
      </x:c>
      <x:c r="AE503" s="24" t="str">
        <x:v>0.8</x:v>
      </x:c>
    </x:row>
    <x:row r="504" ht="52" customHeight="1">
      <x:c r="A504" s="24" t="str">
        <x:v>M4-BUFFER-503</x:v>
      </x:c>
      <x:c r="B504" s="24" t="str">
        <x:v>主次保护门槛</x:v>
      </x:c>
      <x:c r="C504" s="24" t="str">
        <x:v>L12 评分、层级与发布</x:v>
      </x:c>
      <x:c r="D504" s="24" t="str">
        <x:v>BUFFER-评分置信</x:v>
      </x:c>
      <x:c r="E504" s="24" t="str">
        <x:v>通用</x:v>
      </x:c>
      <x:c r="F504" s="24" t="str">
        <x:v>评分</x:v>
      </x:c>
      <x:c r="G504" s="24" t="str">
        <x:v>BUFFER评分</x:v>
      </x:c>
      <x:c r="H504" s="24" t="str"/>
      <x:c r="I504" s="24" t="str">
        <x:v>主保护净分≥34且领先次候选≥8；次保护≥24且功能不同。</x:v>
      </x:c>
      <x:c r="J504" s="24" t="str">
        <x:v>证据层级不足BL2或同义重复。</x:v>
      </x:c>
      <x:c r="K504" s="24" t="str">
        <x:v>由共享基础引擎提供；仅修正保护功能的承载、持续调用和压力状态下的稳定性，不直接等同成熟度、道德或现实行为。</x:v>
      </x:c>
      <x:c r="L504" s="24" t="str">
        <x:v>由M1／M2接口提供；夫妻星、心动原型和关系门槛只说明关系议题，不单独证明保护因素已经被调用或有效。</x:v>
      </x:c>
      <x:c r="M504" s="24" t="str">
        <x:v>由M3-BASE及M4各模块提供；日支、日柱近位可提高与亲密关系核心的相关性，但同一source_id不得重复计分。</x:v>
      </x:c>
      <x:c r="N504" s="24" t="str">
        <x:v>保护因素必须明确限制过用、补足缺位、恢复顺序、打开反馈、落实改变或完成修复回流；不能只凭五行相生补写现实效果。</x:v>
      </x:c>
      <x:c r="O504" s="24" t="str">
        <x:v>近位提高进入亲密关系核心的概率；远位只作背景、阶段或条件性修正。</x:v>
      </x:c>
      <x:c r="P504" s="24" t="str">
        <x:v>根气只修正该保护功能是否容易重复调用，不等于现实中已经形成稳定保护。</x:v>
      </x:c>
      <x:c r="Q504" s="24" t="str">
        <x:v>旺弱只修正调用强度与承载；强不自动有效，弱也不自动无效。</x:v>
      </x:c>
      <x:c r="R504" s="24" t="str">
        <x:v>喜忌只修正摩擦、平衡与承载，不可直接翻译为好坏、成熟度或解决方案。</x:v>
      </x:c>
      <x:c r="S504" s="24" t="str">
        <x:v>原十神功能有效；真合化成立时按化神功能替换，合化争议时停止定性。</x:v>
      </x:c>
      <x:c r="T504" s="24" t="str">
        <x:v>近位提高直接相关性；远位仅保留背景、阶段或低置信修正。</x:v>
      </x:c>
      <x:c r="U504" s="24" t="str">
        <x:v>96</x:v>
      </x:c>
      <x:c r="V504" s="24" t="str">
        <x:v>达到门槛才进入正文；否则只保留内部候选。</x:v>
      </x:c>
      <x:c r="W504" s="24" t="str">
        <x:v>primary_buffer</x:v>
      </x:c>
      <x:c r="X504" s="24" t="str">
        <x:v>最终正文最多一个主保护和一个次保护。</x:v>
      </x:c>
      <x:c r="Y504" s="24" t="str">
        <x:v>最终正文最多一个主保护和一个次保护。</x:v>
      </x:c>
      <x:c r="Z504" s="24" t="str">
        <x:v>不得仅凭本规则断定问题已经解决、关系必然稳定、用户一定成熟、某十神天然是“药”、喜用神自动等于解决办法，或淡化暴力、强迫与现实伤害；现实行为、反例、安全事实和专业支持优先。</x:v>
      </x:c>
      <x:c r="AA504" s="24" t="str">
        <x:v>高</x:v>
      </x:c>
      <x:c r="AB504" s="24" t="str">
        <x:v>待验证</x:v>
      </x:c>
      <x:c r="AC504" s="24" t="str"/>
      <x:c r="AD504" s="24" t="str">
        <x:v>provisional=true；保护因素的现实有效性必须由可观察行为、反馈和持续结果验证。</x:v>
      </x:c>
      <x:c r="AE504" s="24" t="str">
        <x:v>0.8</x:v>
      </x:c>
    </x:row>
    <x:row r="505" ht="52" customHeight="1">
      <x:c r="A505" s="24" t="str">
        <x:v>M4-BUFFER-504</x:v>
      </x:c>
      <x:c r="B505" s="24" t="str">
        <x:v>BL层级与风险降权规则</x:v>
      </x:c>
      <x:c r="C505" s="24" t="str">
        <x:v>L12 评分、层级与发布</x:v>
      </x:c>
      <x:c r="D505" s="24" t="str">
        <x:v>BUFFER-评分置信</x:v>
      </x:c>
      <x:c r="E505" s="24" t="str">
        <x:v>通用</x:v>
      </x:c>
      <x:c r="F505" s="24" t="str">
        <x:v>评分</x:v>
      </x:c>
      <x:c r="G505" s="24" t="str">
        <x:v>BUFFER评分</x:v>
      </x:c>
      <x:c r="H505" s="24" t="str"/>
      <x:c r="I505" s="24" t="str">
        <x:v>已计算BL0—BL7并完成安全、反例和去重。</x:v>
      </x:c>
      <x:c r="J505" s="24" t="str">
        <x:v>用保护分清除现实安全事实或E4现实模式。</x:v>
      </x:c>
      <x:c r="K505" s="24" t="str">
        <x:v>由共享基础引擎提供；仅修正保护功能的承载、持续调用和压力状态下的稳定性，不直接等同成熟度、道德或现实行为。</x:v>
      </x:c>
      <x:c r="L505" s="24" t="str">
        <x:v>由M1／M2接口提供；夫妻星、心动原型和关系门槛只说明关系议题，不单独证明保护因素已经被调用或有效。</x:v>
      </x:c>
      <x:c r="M505" s="24" t="str">
        <x:v>由M3-BASE及M4各模块提供；日支、日柱近位可提高与亲密关系核心的相关性，但同一source_id不得重复计分。</x:v>
      </x:c>
      <x:c r="N505" s="24" t="str">
        <x:v>保护因素必须明确限制过用、补足缺位、恢复顺序、打开反馈、落实改变或完成修复回流；不能只凭五行相生补写现实效果。</x:v>
      </x:c>
      <x:c r="O505" s="24" t="str">
        <x:v>近位提高进入亲密关系核心的概率；远位只作背景、阶段或条件性修正。</x:v>
      </x:c>
      <x:c r="P505" s="24" t="str">
        <x:v>根气只修正该保护功能是否容易重复调用，不等于现实中已经形成稳定保护。</x:v>
      </x:c>
      <x:c r="Q505" s="24" t="str">
        <x:v>旺弱只修正调用强度与承载；强不自动有效，弱也不自动无效。</x:v>
      </x:c>
      <x:c r="R505" s="24" t="str">
        <x:v>喜忌只修正摩擦、平衡与承载，不可直接翻译为好坏、成熟度或解决方案。</x:v>
      </x:c>
      <x:c r="S505" s="24" t="str">
        <x:v>原十神功能有效；真合化成立时按化神功能替换，合化争议时停止定性。</x:v>
      </x:c>
      <x:c r="T505" s="24" t="str">
        <x:v>近位提高直接相关性；远位仅保留背景、阶段或低置信修正。</x:v>
      </x:c>
      <x:c r="U505" s="24" t="str">
        <x:v>96</x:v>
      </x:c>
      <x:c r="V505" s="24" t="str">
        <x:v>BL2仅提示资源；BL3条件降权；BL4事件降权；BL5—BL7可重写对应候选。</x:v>
      </x:c>
      <x:c r="W505" s="24" t="str">
        <x:v>buffer_level</x:v>
      </x:c>
      <x:c r="X505" s="24" t="str">
        <x:v>保护只对匹配靶点降权，不跨域清零所有风险。</x:v>
      </x:c>
      <x:c r="Y505" s="24" t="str">
        <x:v>保护只对匹配靶点降权，不跨域清零所有风险。</x:v>
      </x:c>
      <x:c r="Z505" s="24" t="str">
        <x:v>不得仅凭本规则断定问题已经解决、关系必然稳定、用户一定成熟、某十神天然是“药”、喜用神自动等于解决办法，或淡化暴力、强迫与现实伤害；现实行为、反例、安全事实和专业支持优先。</x:v>
      </x:c>
      <x:c r="AA505" s="24" t="str">
        <x:v>高</x:v>
      </x:c>
      <x:c r="AB505" s="24" t="str">
        <x:v>待验证</x:v>
      </x:c>
      <x:c r="AC505" s="24" t="str"/>
      <x:c r="AD505" s="24" t="str">
        <x:v>provisional=true；保护因素的现实有效性必须由可观察行为、反馈和持续结果验证。</x:v>
      </x:c>
      <x:c r="AE505" s="24" t="str">
        <x:v>0.8</x:v>
      </x:c>
    </x:row>
    <x:row r="506" ht="52" customHeight="1">
      <x:c r="A506" s="24" t="str">
        <x:v>M4-BUFFER-505</x:v>
      </x:c>
      <x:c r="B506" s="24" t="str">
        <x:v>潜在资源模板</x:v>
      </x:c>
      <x:c r="C506" s="24" t="str">
        <x:v>L13 用户输出与句库</x:v>
      </x:c>
      <x:c r="D506" s="24" t="str">
        <x:v>BUFFER-报告生成</x:v>
      </x:c>
      <x:c r="E506" s="24" t="str">
        <x:v>通用</x:v>
      </x:c>
      <x:c r="F506" s="24" t="str">
        <x:v>模板</x:v>
      </x:c>
      <x:c r="G506" s="24" t="str">
        <x:v>BUFFER输出模板</x:v>
      </x:c>
      <x:c r="H506" s="24" t="str"/>
      <x:c r="I506" s="24" t="str">
        <x:v>BL1—BL2成立，尚无现实启动。</x:v>
      </x:c>
      <x:c r="J506" s="24" t="str">
        <x:v>已经有现实有效证据。</x:v>
      </x:c>
      <x:c r="K506" s="24" t="str">
        <x:v>由共享基础引擎提供；仅修正保护功能的承载、持续调用和压力状态下的稳定性，不直接等同成熟度、道德或现实行为。</x:v>
      </x:c>
      <x:c r="L506" s="24" t="str">
        <x:v>由M1／M2接口提供；夫妻星、心动原型和关系门槛只说明关系议题，不单独证明保护因素已经被调用或有效。</x:v>
      </x:c>
      <x:c r="M506" s="24" t="str">
        <x:v>由M3-BASE及M4各模块提供；日支、日柱近位可提高与亲密关系核心的相关性，但同一source_id不得重复计分。</x:v>
      </x:c>
      <x:c r="N506" s="24" t="str">
        <x:v>保护因素必须明确限制过用、补足缺位、恢复顺序、打开反馈、落实改变或完成修复回流；不能只凭五行相生补写现实效果。</x:v>
      </x:c>
      <x:c r="O506" s="24" t="str">
        <x:v>近位提高进入亲密关系核心的概率；远位只作背景、阶段或条件性修正。</x:v>
      </x:c>
      <x:c r="P506" s="24" t="str">
        <x:v>根气只修正该保护功能是否容易重复调用，不等于现实中已经形成稳定保护。</x:v>
      </x:c>
      <x:c r="Q506" s="24" t="str">
        <x:v>旺弱只修正调用强度与承载；强不自动有效，弱也不自动无效。</x:v>
      </x:c>
      <x:c r="R506" s="24" t="str">
        <x:v>喜忌只修正摩擦、平衡与承载，不可直接翻译为好坏、成熟度或解决方案。</x:v>
      </x:c>
      <x:c r="S506" s="24" t="str">
        <x:v>原十神功能有效；真合化成立时按化神功能替换，合化争议时停止定性。</x:v>
      </x:c>
      <x:c r="T506" s="24" t="str">
        <x:v>近位提高直接相关性；远位仅保留背景、阶段或低置信修正。</x:v>
      </x:c>
      <x:c r="U506" s="24" t="str">
        <x:v>85</x:v>
      </x:c>
      <x:c r="V506" s="24" t="str">
        <x:v>不加分；生成文本</x:v>
      </x:c>
      <x:c r="W506" s="24" t="str">
        <x:v>report_text</x:v>
      </x:c>
      <x:c r="X506" s="24" t="str">
        <x:v>用户报告必须同时保留正常功能、风险靶点、保护资源、有效层级与边界。</x:v>
      </x:c>
      <x:c r="Y506" s="24" t="str">
        <x:v>结构上可以看到________这一调节资源，但它目前更适合作为潜在方向，是否能在关键时刻用出来仍需现实验证。</x:v>
      </x:c>
      <x:c r="Z506" s="24" t="str">
        <x:v>不得仅凭本规则断定问题已经解决、关系必然稳定、用户一定成熟、某十神天然是“药”、喜用神自动等于解决办法，或淡化暴力、强迫与现实伤害；现实行为、反例、安全事实和专业支持优先。</x:v>
      </x:c>
      <x:c r="AA506" s="24" t="str">
        <x:v>中高</x:v>
      </x:c>
      <x:c r="AB506" s="24" t="str">
        <x:v>待验证</x:v>
      </x:c>
      <x:c r="AC506" s="24" t="str"/>
      <x:c r="AD506" s="24" t="str">
        <x:v>provisional=true；保护因素的现实有效性必须由可观察行为、反馈和持续结果验证。</x:v>
      </x:c>
      <x:c r="AE506" s="24" t="str">
        <x:v>0.8</x:v>
      </x:c>
    </x:row>
    <x:row r="507" ht="52" customHeight="1">
      <x:c r="A507" s="24" t="str">
        <x:v>M4-BUFFER-506</x:v>
      </x:c>
      <x:c r="B507" s="24" t="str">
        <x:v>条件性资源模板</x:v>
      </x:c>
      <x:c r="C507" s="24" t="str">
        <x:v>L13 用户输出与句库</x:v>
      </x:c>
      <x:c r="D507" s="24" t="str">
        <x:v>BUFFER-报告生成</x:v>
      </x:c>
      <x:c r="E507" s="24" t="str">
        <x:v>通用</x:v>
      </x:c>
      <x:c r="F507" s="24" t="str">
        <x:v>模板</x:v>
      </x:c>
      <x:c r="G507" s="24" t="str">
        <x:v>BUFFER输出模板</x:v>
      </x:c>
      <x:c r="H507" s="24" t="str"/>
      <x:c r="I507" s="24" t="str">
        <x:v>BL3成立，适用触发域清楚。</x:v>
      </x:c>
      <x:c r="J507" s="24" t="str">
        <x:v>未说明有效条件。</x:v>
      </x:c>
      <x:c r="K507" s="24" t="str">
        <x:v>由共享基础引擎提供；仅修正保护功能的承载、持续调用和压力状态下的稳定性，不直接等同成熟度、道德或现实行为。</x:v>
      </x:c>
      <x:c r="L507" s="24" t="str">
        <x:v>由M1／M2接口提供；夫妻星、心动原型和关系门槛只说明关系议题，不单独证明保护因素已经被调用或有效。</x:v>
      </x:c>
      <x:c r="M507" s="24" t="str">
        <x:v>由M3-BASE及M4各模块提供；日支、日柱近位可提高与亲密关系核心的相关性，但同一source_id不得重复计分。</x:v>
      </x:c>
      <x:c r="N507" s="24" t="str">
        <x:v>保护因素必须明确限制过用、补足缺位、恢复顺序、打开反馈、落实改变或完成修复回流；不能只凭五行相生补写现实效果。</x:v>
      </x:c>
      <x:c r="O507" s="24" t="str">
        <x:v>近位提高进入亲密关系核心的概率；远位只作背景、阶段或条件性修正。</x:v>
      </x:c>
      <x:c r="P507" s="24" t="str">
        <x:v>根气只修正该保护功能是否容易重复调用，不等于现实中已经形成稳定保护。</x:v>
      </x:c>
      <x:c r="Q507" s="24" t="str">
        <x:v>旺弱只修正调用强度与承载；强不自动有效，弱也不自动无效。</x:v>
      </x:c>
      <x:c r="R507" s="24" t="str">
        <x:v>喜忌只修正摩擦、平衡与承载，不可直接翻译为好坏、成熟度或解决方案。</x:v>
      </x:c>
      <x:c r="S507" s="24" t="str">
        <x:v>原十神功能有效；真合化成立时按化神功能替换，合化争议时停止定性。</x:v>
      </x:c>
      <x:c r="T507" s="24" t="str">
        <x:v>近位提高直接相关性；远位仅保留背景、阶段或低置信修正。</x:v>
      </x:c>
      <x:c r="U507" s="24" t="str">
        <x:v>85</x:v>
      </x:c>
      <x:c r="V507" s="24" t="str">
        <x:v>不加分；生成文本</x:v>
      </x:c>
      <x:c r="W507" s="24" t="str">
        <x:v>report_text</x:v>
      </x:c>
      <x:c r="X507" s="24" t="str">
        <x:v>用户报告必须同时保留正常功能、风险靶点、保护资源、有效层级与边界。</x:v>
      </x:c>
      <x:c r="Y507" s="24" t="str">
        <x:v>当________出现时，________更容易进入并减弱________；在其他情境下不一定同样有效。</x:v>
      </x:c>
      <x:c r="Z507" s="24" t="str">
        <x:v>不得仅凭本规则断定问题已经解决、关系必然稳定、用户一定成熟、某十神天然是“药”、喜用神自动等于解决办法，或淡化暴力、强迫与现实伤害；现实行为、反例、安全事实和专业支持优先。</x:v>
      </x:c>
      <x:c r="AA507" s="24" t="str">
        <x:v>中高</x:v>
      </x:c>
      <x:c r="AB507" s="24" t="str">
        <x:v>待验证</x:v>
      </x:c>
      <x:c r="AC507" s="24" t="str"/>
      <x:c r="AD507" s="24" t="str">
        <x:v>provisional=true；保护因素的现实有效性必须由可观察行为、反馈和持续结果验证。</x:v>
      </x:c>
      <x:c r="AE507" s="24" t="str">
        <x:v>0.8</x:v>
      </x:c>
    </x:row>
    <x:row r="508" ht="52" customHeight="1">
      <x:c r="A508" s="24" t="str">
        <x:v>M4-BUFFER-507</x:v>
      </x:c>
      <x:c r="B508" s="24" t="str">
        <x:v>现实已启动模板</x:v>
      </x:c>
      <x:c r="C508" s="24" t="str">
        <x:v>L13 用户输出与句库</x:v>
      </x:c>
      <x:c r="D508" s="24" t="str">
        <x:v>BUFFER-报告生成</x:v>
      </x:c>
      <x:c r="E508" s="24" t="str">
        <x:v>通用</x:v>
      </x:c>
      <x:c r="F508" s="24" t="str">
        <x:v>模板</x:v>
      </x:c>
      <x:c r="G508" s="24" t="str">
        <x:v>BUFFER输出模板</x:v>
      </x:c>
      <x:c r="H508" s="24" t="str"/>
      <x:c r="I508" s="24" t="str">
        <x:v>BL4成立，有一个具体事件。</x:v>
      </x:c>
      <x:c r="J508" s="24" t="str">
        <x:v>只有标签或自述。</x:v>
      </x:c>
      <x:c r="K508" s="24" t="str">
        <x:v>由共享基础引擎提供；仅修正保护功能的承载、持续调用和压力状态下的稳定性，不直接等同成熟度、道德或现实行为。</x:v>
      </x:c>
      <x:c r="L508" s="24" t="str">
        <x:v>由M1／M2接口提供；夫妻星、心动原型和关系门槛只说明关系议题，不单独证明保护因素已经被调用或有效。</x:v>
      </x:c>
      <x:c r="M508" s="24" t="str">
        <x:v>由M3-BASE及M4各模块提供；日支、日柱近位可提高与亲密关系核心的相关性，但同一source_id不得重复计分。</x:v>
      </x:c>
      <x:c r="N508" s="24" t="str">
        <x:v>保护因素必须明确限制过用、补足缺位、恢复顺序、打开反馈、落实改变或完成修复回流；不能只凭五行相生补写现实效果。</x:v>
      </x:c>
      <x:c r="O508" s="24" t="str">
        <x:v>近位提高进入亲密关系核心的概率；远位只作背景、阶段或条件性修正。</x:v>
      </x:c>
      <x:c r="P508" s="24" t="str">
        <x:v>根气只修正该保护功能是否容易重复调用，不等于现实中已经形成稳定保护。</x:v>
      </x:c>
      <x:c r="Q508" s="24" t="str">
        <x:v>旺弱只修正调用强度与承载；强不自动有效，弱也不自动无效。</x:v>
      </x:c>
      <x:c r="R508" s="24" t="str">
        <x:v>喜忌只修正摩擦、平衡与承载，不可直接翻译为好坏、成熟度或解决方案。</x:v>
      </x:c>
      <x:c r="S508" s="24" t="str">
        <x:v>原十神功能有效；真合化成立时按化神功能替换，合化争议时停止定性。</x:v>
      </x:c>
      <x:c r="T508" s="24" t="str">
        <x:v>近位提高直接相关性；远位仅保留背景、阶段或低置信修正。</x:v>
      </x:c>
      <x:c r="U508" s="24" t="str">
        <x:v>85</x:v>
      </x:c>
      <x:c r="V508" s="24" t="str">
        <x:v>不加分；生成文本</x:v>
      </x:c>
      <x:c r="W508" s="24" t="str">
        <x:v>report_text</x:v>
      </x:c>
      <x:c r="X508" s="24" t="str">
        <x:v>用户报告必须同时保留正常功能、风险靶点、保护资源、有效层级与边界。</x:v>
      </x:c>
      <x:c r="Y508" s="24" t="str">
        <x:v>从这次经历看，你已经用出了________，它开始改变________；但是否稳定仍需更多情境验证。</x:v>
      </x:c>
      <x:c r="Z508" s="24" t="str">
        <x:v>不得仅凭本规则断定问题已经解决、关系必然稳定、用户一定成熟、某十神天然是“药”、喜用神自动等于解决办法，或淡化暴力、强迫与现实伤害；现实行为、反例、安全事实和专业支持优先。</x:v>
      </x:c>
      <x:c r="AA508" s="24" t="str">
        <x:v>中高</x:v>
      </x:c>
      <x:c r="AB508" s="24" t="str">
        <x:v>待验证</x:v>
      </x:c>
      <x:c r="AC508" s="24" t="str"/>
      <x:c r="AD508" s="24" t="str">
        <x:v>provisional=true；保护因素的现实有效性必须由可观察行为、反馈和持续结果验证。</x:v>
      </x:c>
      <x:c r="AE508" s="24" t="str">
        <x:v>0.8</x:v>
      </x:c>
    </x:row>
    <x:row r="509" ht="52" customHeight="1">
      <x:c r="A509" s="24" t="str">
        <x:v>M4-BUFFER-508</x:v>
      </x:c>
      <x:c r="B509" s="24" t="str">
        <x:v>单次有效模板</x:v>
      </x:c>
      <x:c r="C509" s="24" t="str">
        <x:v>L13 用户输出与句库</x:v>
      </x:c>
      <x:c r="D509" s="24" t="str">
        <x:v>BUFFER-报告生成</x:v>
      </x:c>
      <x:c r="E509" s="24" t="str">
        <x:v>通用</x:v>
      </x:c>
      <x:c r="F509" s="24" t="str">
        <x:v>模板</x:v>
      </x:c>
      <x:c r="G509" s="24" t="str">
        <x:v>BUFFER输出模板</x:v>
      </x:c>
      <x:c r="H509" s="24" t="str"/>
      <x:c r="I509" s="24" t="str">
        <x:v>BL5成立，链条已改变。</x:v>
      </x:c>
      <x:c r="J509" s="24" t="str">
        <x:v>效果只来自偶然或对方单方配合且未说明。</x:v>
      </x:c>
      <x:c r="K509" s="24" t="str">
        <x:v>由共享基础引擎提供；仅修正保护功能的承载、持续调用和压力状态下的稳定性，不直接等同成熟度、道德或现实行为。</x:v>
      </x:c>
      <x:c r="L509" s="24" t="str">
        <x:v>由M1／M2接口提供；夫妻星、心动原型和关系门槛只说明关系议题，不单独证明保护因素已经被调用或有效。</x:v>
      </x:c>
      <x:c r="M509" s="24" t="str">
        <x:v>由M3-BASE及M4各模块提供；日支、日柱近位可提高与亲密关系核心的相关性，但同一source_id不得重复计分。</x:v>
      </x:c>
      <x:c r="N509" s="24" t="str">
        <x:v>保护因素必须明确限制过用、补足缺位、恢复顺序、打开反馈、落实改变或完成修复回流；不能只凭五行相生补写现实效果。</x:v>
      </x:c>
      <x:c r="O509" s="24" t="str">
        <x:v>近位提高进入亲密关系核心的概率；远位只作背景、阶段或条件性修正。</x:v>
      </x:c>
      <x:c r="P509" s="24" t="str">
        <x:v>根气只修正该保护功能是否容易重复调用，不等于现实中已经形成稳定保护。</x:v>
      </x:c>
      <x:c r="Q509" s="24" t="str">
        <x:v>旺弱只修正调用强度与承载；强不自动有效，弱也不自动无效。</x:v>
      </x:c>
      <x:c r="R509" s="24" t="str">
        <x:v>喜忌只修正摩擦、平衡与承载，不可直接翻译为好坏、成熟度或解决方案。</x:v>
      </x:c>
      <x:c r="S509" s="24" t="str">
        <x:v>原十神功能有效；真合化成立时按化神功能替换，合化争议时停止定性。</x:v>
      </x:c>
      <x:c r="T509" s="24" t="str">
        <x:v>近位提高直接相关性；远位仅保留背景、阶段或低置信修正。</x:v>
      </x:c>
      <x:c r="U509" s="24" t="str">
        <x:v>85</x:v>
      </x:c>
      <x:c r="V509" s="24" t="str">
        <x:v>不加分；生成文本</x:v>
      </x:c>
      <x:c r="W509" s="24" t="str">
        <x:v>report_text</x:v>
      </x:c>
      <x:c r="X509" s="24" t="str">
        <x:v>用户报告必须同时保留正常功能、风险靶点、保护资源、有效层级与边界。</x:v>
      </x:c>
      <x:c r="Y509" s="24" t="str">
        <x:v>这次事件中，________确实帮助你把________转成了________，因此对应盲点得到了实际缓冲。</x:v>
      </x:c>
      <x:c r="Z509" s="24" t="str">
        <x:v>不得仅凭本规则断定问题已经解决、关系必然稳定、用户一定成熟、某十神天然是“药”、喜用神自动等于解决办法，或淡化暴力、强迫与现实伤害；现实行为、反例、安全事实和专业支持优先。</x:v>
      </x:c>
      <x:c r="AA509" s="24" t="str">
        <x:v>中高</x:v>
      </x:c>
      <x:c r="AB509" s="24" t="str">
        <x:v>待验证</x:v>
      </x:c>
      <x:c r="AC509" s="24" t="str"/>
      <x:c r="AD509" s="24" t="str">
        <x:v>provisional=true；保护因素的现实有效性必须由可观察行为、反馈和持续结果验证。</x:v>
      </x:c>
      <x:c r="AE509" s="24" t="str">
        <x:v>0.8</x:v>
      </x:c>
    </x:row>
    <x:row r="510" ht="52" customHeight="1">
      <x:c r="A510" s="24" t="str">
        <x:v>M4-BUFFER-509</x:v>
      </x:c>
      <x:c r="B510" s="24" t="str">
        <x:v>稳定保护模板</x:v>
      </x:c>
      <x:c r="C510" s="24" t="str">
        <x:v>L13 用户输出与句库</x:v>
      </x:c>
      <x:c r="D510" s="24" t="str">
        <x:v>BUFFER-报告生成</x:v>
      </x:c>
      <x:c r="E510" s="24" t="str">
        <x:v>通用</x:v>
      </x:c>
      <x:c r="F510" s="24" t="str">
        <x:v>模板</x:v>
      </x:c>
      <x:c r="G510" s="24" t="str">
        <x:v>BUFFER输出模板</x:v>
      </x:c>
      <x:c r="H510" s="24" t="str"/>
      <x:c r="I510" s="24" t="str">
        <x:v>BL6—BL7成立，有跨情境与反例。</x:v>
      </x:c>
      <x:c r="J510" s="24" t="str">
        <x:v>没有复发和反例检验。</x:v>
      </x:c>
      <x:c r="K510" s="24" t="str">
        <x:v>由共享基础引擎提供；仅修正保护功能的承载、持续调用和压力状态下的稳定性，不直接等同成熟度、道德或现实行为。</x:v>
      </x:c>
      <x:c r="L510" s="24" t="str">
        <x:v>由M1／M2接口提供；夫妻星、心动原型和关系门槛只说明关系议题，不单独证明保护因素已经被调用或有效。</x:v>
      </x:c>
      <x:c r="M510" s="24" t="str">
        <x:v>由M3-BASE及M4各模块提供；日支、日柱近位可提高与亲密关系核心的相关性，但同一source_id不得重复计分。</x:v>
      </x:c>
      <x:c r="N510" s="24" t="str">
        <x:v>保护因素必须明确限制过用、补足缺位、恢复顺序、打开反馈、落实改变或完成修复回流；不能只凭五行相生补写现实效果。</x:v>
      </x:c>
      <x:c r="O510" s="24" t="str">
        <x:v>近位提高进入亲密关系核心的概率；远位只作背景、阶段或条件性修正。</x:v>
      </x:c>
      <x:c r="P510" s="24" t="str">
        <x:v>根气只修正该保护功能是否容易重复调用，不等于现实中已经形成稳定保护。</x:v>
      </x:c>
      <x:c r="Q510" s="24" t="str">
        <x:v>旺弱只修正调用强度与承载；强不自动有效，弱也不自动无效。</x:v>
      </x:c>
      <x:c r="R510" s="24" t="str">
        <x:v>喜忌只修正摩擦、平衡与承载，不可直接翻译为好坏、成熟度或解决方案。</x:v>
      </x:c>
      <x:c r="S510" s="24" t="str">
        <x:v>原十神功能有效；真合化成立时按化神功能替换，合化争议时停止定性。</x:v>
      </x:c>
      <x:c r="T510" s="24" t="str">
        <x:v>近位提高直接相关性；远位仅保留背景、阶段或低置信修正。</x:v>
      </x:c>
      <x:c r="U510" s="24" t="str">
        <x:v>85</x:v>
      </x:c>
      <x:c r="V510" s="24" t="str">
        <x:v>不加分；生成文本</x:v>
      </x:c>
      <x:c r="W510" s="24" t="str">
        <x:v>report_text</x:v>
      </x:c>
      <x:c r="X510" s="24" t="str">
        <x:v>用户报告必须同时保留正常功能、风险靶点、保护资源、有效层级与边界。</x:v>
      </x:c>
      <x:c r="Y510" s="24" t="str">
        <x:v>从多次经历看，________能够较稳定地限制________，并帮助________重新进入关系过程。</x:v>
      </x:c>
      <x:c r="Z510" s="24" t="str">
        <x:v>不得仅凭本规则断定问题已经解决、关系必然稳定、用户一定成熟、某十神天然是“药”、喜用神自动等于解决办法，或淡化暴力、强迫与现实伤害；现实行为、反例、安全事实和专业支持优先。</x:v>
      </x:c>
      <x:c r="AA510" s="24" t="str">
        <x:v>中高</x:v>
      </x:c>
      <x:c r="AB510" s="24" t="str">
        <x:v>待验证</x:v>
      </x:c>
      <x:c r="AC510" s="24" t="str"/>
      <x:c r="AD510" s="24" t="str">
        <x:v>provisional=true；保护因素的现实有效性必须由可观察行为、反馈和持续结果验证。</x:v>
      </x:c>
      <x:c r="AE510" s="24" t="str">
        <x:v>0.8</x:v>
      </x:c>
    </x:row>
    <x:row r="511" ht="52" customHeight="1">
      <x:c r="A511" s="24" t="str">
        <x:v>M4-BUFFER-510</x:v>
      </x:c>
      <x:c r="B511" s="24" t="str">
        <x:v>伪保护提醒模板</x:v>
      </x:c>
      <x:c r="C511" s="24" t="str">
        <x:v>L13 用户输出与句库</x:v>
      </x:c>
      <x:c r="D511" s="24" t="str">
        <x:v>BUFFER-报告生成</x:v>
      </x:c>
      <x:c r="E511" s="24" t="str">
        <x:v>通用</x:v>
      </x:c>
      <x:c r="F511" s="24" t="str">
        <x:v>模板</x:v>
      </x:c>
      <x:c r="G511" s="24" t="str">
        <x:v>BUFFER输出模板</x:v>
      </x:c>
      <x:c r="H511" s="24" t="str"/>
      <x:c r="I511" s="24" t="str">
        <x:v>命中PB候选且未退出。</x:v>
      </x:c>
      <x:c r="J511" s="24" t="str">
        <x:v>已满足真实有效标志。</x:v>
      </x:c>
      <x:c r="K511" s="24" t="str">
        <x:v>由共享基础引擎提供；仅修正保护功能的承载、持续调用和压力状态下的稳定性，不直接等同成熟度、道德或现实行为。</x:v>
      </x:c>
      <x:c r="L511" s="24" t="str">
        <x:v>由M1／M2接口提供；夫妻星、心动原型和关系门槛只说明关系议题，不单独证明保护因素已经被调用或有效。</x:v>
      </x:c>
      <x:c r="M511" s="24" t="str">
        <x:v>由M3-BASE及M4各模块提供；日支、日柱近位可提高与亲密关系核心的相关性，但同一source_id不得重复计分。</x:v>
      </x:c>
      <x:c r="N511" s="24" t="str">
        <x:v>保护因素必须明确限制过用、补足缺位、恢复顺序、打开反馈、落实改变或完成修复回流；不能只凭五行相生补写现实效果。</x:v>
      </x:c>
      <x:c r="O511" s="24" t="str">
        <x:v>近位提高进入亲密关系核心的概率；远位只作背景、阶段或条件性修正。</x:v>
      </x:c>
      <x:c r="P511" s="24" t="str">
        <x:v>根气只修正该保护功能是否容易重复调用，不等于现实中已经形成稳定保护。</x:v>
      </x:c>
      <x:c r="Q511" s="24" t="str">
        <x:v>旺弱只修正调用强度与承载；强不自动有效，弱也不自动无效。</x:v>
      </x:c>
      <x:c r="R511" s="24" t="str">
        <x:v>喜忌只修正摩擦、平衡与承载，不可直接翻译为好坏、成熟度或解决方案。</x:v>
      </x:c>
      <x:c r="S511" s="24" t="str">
        <x:v>原十神功能有效；真合化成立时按化神功能替换，合化争议时停止定性。</x:v>
      </x:c>
      <x:c r="T511" s="24" t="str">
        <x:v>近位提高直接相关性；远位仅保留背景、阶段或低置信修正。</x:v>
      </x:c>
      <x:c r="U511" s="24" t="str">
        <x:v>85</x:v>
      </x:c>
      <x:c r="V511" s="24" t="str">
        <x:v>不加分；生成文本</x:v>
      </x:c>
      <x:c r="W511" s="24" t="str">
        <x:v>report_text</x:v>
      </x:c>
      <x:c r="X511" s="24" t="str">
        <x:v>用户报告必须同时保留正常功能、风险靶点、保护资源、有效层级与边界。</x:v>
      </x:c>
      <x:c r="Y511" s="24" t="str">
        <x:v>你可能会把________当成保护，但真正需要继续确认的是________有没有发生；否则它更像短期缓解。</x:v>
      </x:c>
      <x:c r="Z511" s="24" t="str">
        <x:v>不得仅凭本规则断定问题已经解决、关系必然稳定、用户一定成熟、某十神天然是“药”、喜用神自动等于解决办法，或淡化暴力、强迫与现实伤害；现实行为、反例、安全事实和专业支持优先。</x:v>
      </x:c>
      <x:c r="AA511" s="24" t="str">
        <x:v>中高</x:v>
      </x:c>
      <x:c r="AB511" s="24" t="str">
        <x:v>待验证</x:v>
      </x:c>
      <x:c r="AC511" s="24" t="str"/>
      <x:c r="AD511" s="24" t="str">
        <x:v>provisional=true；保护因素的现实有效性必须由可观察行为、反馈和持续结果验证。</x:v>
      </x:c>
      <x:c r="AE511" s="24" t="str">
        <x:v>0.8</x:v>
      </x:c>
    </x:row>
    <x:row r="512" ht="52" customHeight="1">
      <x:c r="A512" s="24" t="str">
        <x:v>M4-BUFFER-511</x:v>
      </x:c>
      <x:c r="B512" s="24" t="str">
        <x:v>安全与外部支持模板</x:v>
      </x:c>
      <x:c r="C512" s="24" t="str">
        <x:v>L13 用户输出与句库</x:v>
      </x:c>
      <x:c r="D512" s="24" t="str">
        <x:v>BUFFER-报告生成</x:v>
      </x:c>
      <x:c r="E512" s="24" t="str">
        <x:v>通用</x:v>
      </x:c>
      <x:c r="F512" s="24" t="str">
        <x:v>模板</x:v>
      </x:c>
      <x:c r="G512" s="24" t="str">
        <x:v>BUFFER输出模板</x:v>
      </x:c>
      <x:c r="H512" s="24" t="str"/>
      <x:c r="I512" s="24" t="str">
        <x:v>存在RI08、安全风险或个人资源不足。</x:v>
      </x:c>
      <x:c r="J512" s="24" t="str">
        <x:v>以普通沟通替代安全方案。</x:v>
      </x:c>
      <x:c r="K512" s="24" t="str">
        <x:v>由共享基础引擎提供；仅修正保护功能的承载、持续调用和压力状态下的稳定性，不直接等同成熟度、道德或现实行为。</x:v>
      </x:c>
      <x:c r="L512" s="24" t="str">
        <x:v>由M1／M2接口提供；夫妻星、心动原型和关系门槛只说明关系议题，不单独证明保护因素已经被调用或有效。</x:v>
      </x:c>
      <x:c r="M512" s="24" t="str">
        <x:v>由M3-BASE及M4各模块提供；日支、日柱近位可提高与亲密关系核心的相关性，但同一source_id不得重复计分。</x:v>
      </x:c>
      <x:c r="N512" s="24" t="str">
        <x:v>保护因素必须明确限制过用、补足缺位、恢复顺序、打开反馈、落实改变或完成修复回流；不能只凭五行相生补写现实效果。</x:v>
      </x:c>
      <x:c r="O512" s="24" t="str">
        <x:v>近位提高进入亲密关系核心的概率；远位只作背景、阶段或条件性修正。</x:v>
      </x:c>
      <x:c r="P512" s="24" t="str">
        <x:v>根气只修正该保护功能是否容易重复调用，不等于现实中已经形成稳定保护。</x:v>
      </x:c>
      <x:c r="Q512" s="24" t="str">
        <x:v>旺弱只修正调用强度与承载；强不自动有效，弱也不自动无效。</x:v>
      </x:c>
      <x:c r="R512" s="24" t="str">
        <x:v>喜忌只修正摩擦、平衡与承载，不可直接翻译为好坏、成熟度或解决方案。</x:v>
      </x:c>
      <x:c r="S512" s="24" t="str">
        <x:v>原十神功能有效；真合化成立时按化神功能替换，合化争议时停止定性。</x:v>
      </x:c>
      <x:c r="T512" s="24" t="str">
        <x:v>近位提高直接相关性；远位仅保留背景、阶段或低置信修正。</x:v>
      </x:c>
      <x:c r="U512" s="24" t="str">
        <x:v>85</x:v>
      </x:c>
      <x:c r="V512" s="24" t="str">
        <x:v>不加分；生成文本</x:v>
      </x:c>
      <x:c r="W512" s="24" t="str">
        <x:v>report_text</x:v>
      </x:c>
      <x:c r="X512" s="24" t="str">
        <x:v>用户报告必须同时保留正常功能、风险靶点、保护资源、有效层级与边界。</x:v>
      </x:c>
      <x:c r="Y512" s="24" t="str">
        <x:v>当前优先级不是让关系尽快恢复，而是保护安全、选择权和现实资源；必要时应使用可靠的外部与专业支持。</x:v>
      </x:c>
      <x:c r="Z512" s="24" t="str">
        <x:v>不得仅凭本规则断定问题已经解决、关系必然稳定、用户一定成熟、某十神天然是“药”、喜用神自动等于解决办法，或淡化暴力、强迫与现实伤害；现实行为、反例、安全事实和专业支持优先。</x:v>
      </x:c>
      <x:c r="AA512" s="24" t="str">
        <x:v>中高</x:v>
      </x:c>
      <x:c r="AB512" s="24" t="str">
        <x:v>待验证</x:v>
      </x:c>
      <x:c r="AC512" s="24" t="str"/>
      <x:c r="AD512" s="24" t="str">
        <x:v>provisional=true；保护因素的现实有效性必须由可观察行为、反馈和持续结果验证。</x:v>
      </x:c>
      <x:c r="AE512" s="24" t="str">
        <x:v>0.8</x:v>
      </x:c>
    </x:row>
    <x:row r="513" ht="52" customHeight="1">
      <x:c r="A513" s="24" t="str">
        <x:v>M4-BUFFER-512</x:v>
      </x:c>
      <x:c r="B513" s="24" t="str">
        <x:v>标准四段式报告模板</x:v>
      </x:c>
      <x:c r="C513" s="24" t="str">
        <x:v>L13 用户输出与句库</x:v>
      </x:c>
      <x:c r="D513" s="24" t="str">
        <x:v>BUFFER-报告生成</x:v>
      </x:c>
      <x:c r="E513" s="24" t="str">
        <x:v>通用</x:v>
      </x:c>
      <x:c r="F513" s="24" t="str">
        <x:v>模板</x:v>
      </x:c>
      <x:c r="G513" s="24" t="str">
        <x:v>BUFFER输出模板</x:v>
      </x:c>
      <x:c r="H513" s="24" t="str"/>
      <x:c r="I513" s="24" t="str">
        <x:v>已确定主风险、主保护、有效层级和边界。</x:v>
      </x:c>
      <x:c r="J513" s="24" t="str">
        <x:v>资料不足或安全停止。</x:v>
      </x:c>
      <x:c r="K513" s="24" t="str">
        <x:v>由共享基础引擎提供；仅修正保护功能的承载、持续调用和压力状态下的稳定性，不直接等同成熟度、道德或现实行为。</x:v>
      </x:c>
      <x:c r="L513" s="24" t="str">
        <x:v>由M1／M2接口提供；夫妻星、心动原型和关系门槛只说明关系议题，不单独证明保护因素已经被调用或有效。</x:v>
      </x:c>
      <x:c r="M513" s="24" t="str">
        <x:v>由M3-BASE及M4各模块提供；日支、日柱近位可提高与亲密关系核心的相关性，但同一source_id不得重复计分。</x:v>
      </x:c>
      <x:c r="N513" s="24" t="str">
        <x:v>保护因素必须明确限制过用、补足缺位、恢复顺序、打开反馈、落实改变或完成修复回流；不能只凭五行相生补写现实效果。</x:v>
      </x:c>
      <x:c r="O513" s="24" t="str">
        <x:v>近位提高进入亲密关系核心的概率；远位只作背景、阶段或条件性修正。</x:v>
      </x:c>
      <x:c r="P513" s="24" t="str">
        <x:v>根气只修正该保护功能是否容易重复调用，不等于现实中已经形成稳定保护。</x:v>
      </x:c>
      <x:c r="Q513" s="24" t="str">
        <x:v>旺弱只修正调用强度与承载；强不自动有效，弱也不自动无效。</x:v>
      </x:c>
      <x:c r="R513" s="24" t="str">
        <x:v>喜忌只修正摩擦、平衡与承载，不可直接翻译为好坏、成熟度或解决方案。</x:v>
      </x:c>
      <x:c r="S513" s="24" t="str">
        <x:v>原十神功能有效；真合化成立时按化神功能替换，合化争议时停止定性。</x:v>
      </x:c>
      <x:c r="T513" s="24" t="str">
        <x:v>近位提高直接相关性；远位仅保留背景、阶段或低置信修正。</x:v>
      </x:c>
      <x:c r="U513" s="24" t="str">
        <x:v>85</x:v>
      </x:c>
      <x:c r="V513" s="24" t="str">
        <x:v>不加分；生成文本</x:v>
      </x:c>
      <x:c r="W513" s="24" t="str">
        <x:v>report_text</x:v>
      </x:c>
      <x:c r="X513" s="24" t="str">
        <x:v>用户报告必须同时保留正常功能、风险靶点、保护资源、有效层级与边界。</x:v>
      </x:c>
      <x:c r="Y513" s="24" t="str">
        <x:v>【正常功能】________。
【风险靶点】当________时，可能出现________。
【已有保护】________可帮助________，当前有效层级为________。
【边界】这项资源只对________有效，仍需通过________验证。</x:v>
      </x:c>
      <x:c r="Z513" s="24" t="str">
        <x:v>不得仅凭本规则断定问题已经解决、关系必然稳定、用户一定成熟、某十神天然是“药”、喜用神自动等于解决办法，或淡化暴力、强迫与现实伤害；现实行为、反例、安全事实和专业支持优先。</x:v>
      </x:c>
      <x:c r="AA513" s="24" t="str">
        <x:v>中高</x:v>
      </x:c>
      <x:c r="AB513" s="24" t="str">
        <x:v>待验证</x:v>
      </x:c>
      <x:c r="AC513" s="24" t="str"/>
      <x:c r="AD513" s="24" t="str">
        <x:v>provisional=true；保护因素的现实有效性必须由可观察行为、反馈和持续结果验证。</x:v>
      </x:c>
      <x:c r="AE513" s="24" t="str">
        <x:v>0.8</x:v>
      </x:c>
    </x:row>
    <x:row r="514" ht="52" customHeight="1">
      <x:c r="A514" s="24" t="str">
        <x:v>M4-BUFFER-513</x:v>
      </x:c>
      <x:c r="B514" s="24" t="str">
        <x:v>案例记录最小字段</x:v>
      </x:c>
      <x:c r="C514" s="24" t="str">
        <x:v>L14 案例验证与发布</x:v>
      </x:c>
      <x:c r="D514" s="24" t="str">
        <x:v>BUFFER-验证发布</x:v>
      </x:c>
      <x:c r="E514" s="24" t="str">
        <x:v>通用</x:v>
      </x:c>
      <x:c r="F514" s="24" t="str">
        <x:v>验证</x:v>
      </x:c>
      <x:c r="G514" s="24" t="str">
        <x:v>案例与版本</x:v>
      </x:c>
      <x:c r="H514" s="24" t="str"/>
      <x:c r="I514" s="24" t="str">
        <x:v>记录case_id、触发、K机制、风险节点、保护动作、对方反馈、结果、复发与反例。</x:v>
      </x:c>
      <x:c r="J514" s="24" t="str">
        <x:v>只有结论，没有事件顺序。</x:v>
      </x:c>
      <x:c r="K514" s="24" t="str">
        <x:v>由共享基础引擎提供；仅修正保护功能的承载、持续调用和压力状态下的稳定性，不直接等同成熟度、道德或现实行为。</x:v>
      </x:c>
      <x:c r="L514" s="24" t="str">
        <x:v>由M1／M2接口提供；夫妻星、心动原型和关系门槛只说明关系议题，不单独证明保护因素已经被调用或有效。</x:v>
      </x:c>
      <x:c r="M514" s="24" t="str">
        <x:v>由M3-BASE及M4各模块提供；日支、日柱近位可提高与亲密关系核心的相关性，但同一source_id不得重复计分。</x:v>
      </x:c>
      <x:c r="N514" s="24" t="str">
        <x:v>保护因素必须明确限制过用、补足缺位、恢复顺序、打开反馈、落实改变或完成修复回流；不能只凭五行相生补写现实效果。</x:v>
      </x:c>
      <x:c r="O514" s="24" t="str">
        <x:v>近位提高进入亲密关系核心的概率；远位只作背景、阶段或条件性修正。</x:v>
      </x:c>
      <x:c r="P514" s="24" t="str">
        <x:v>根气只修正该保护功能是否容易重复调用，不等于现实中已经形成稳定保护。</x:v>
      </x:c>
      <x:c r="Q514" s="24" t="str">
        <x:v>旺弱只修正调用强度与承载；强不自动有效，弱也不自动无效。</x:v>
      </x:c>
      <x:c r="R514" s="24" t="str">
        <x:v>喜忌只修正摩擦、平衡与承载，不可直接翻译为好坏、成熟度或解决方案。</x:v>
      </x:c>
      <x:c r="S514" s="24" t="str">
        <x:v>原十神功能有效；真合化成立时按化神功能替换，合化争议时停止定性。</x:v>
      </x:c>
      <x:c r="T514" s="24" t="str">
        <x:v>近位提高直接相关性；远位仅保留背景、阶段或低置信修正。</x:v>
      </x:c>
      <x:c r="U514" s="24" t="str">
        <x:v>97</x:v>
      </x:c>
      <x:c r="V514" s="24" t="str">
        <x:v>不加分；验证／发布</x:v>
      </x:c>
      <x:c r="W514" s="24" t="str">
        <x:v>case_validation</x:v>
      </x:c>
      <x:c r="X514" s="24" t="str">
        <x:v>案例校准必须能够复原保护怎样改变链条。</x:v>
      </x:c>
      <x:c r="Y514" s="24" t="str">
        <x:v>案例校准必须能够复原保护怎样改变链条。</x:v>
      </x:c>
      <x:c r="Z514" s="24" t="str">
        <x:v>不得仅凭本规则断定问题已经解决、关系必然稳定、用户一定成熟、某十神天然是“药”、喜用神自动等于解决办法，或淡化暴力、强迫与现实伤害；现实行为、反例、安全事实和专业支持优先。</x:v>
      </x:c>
      <x:c r="AA514" s="24" t="str">
        <x:v>高</x:v>
      </x:c>
      <x:c r="AB514" s="24" t="str">
        <x:v>待验证</x:v>
      </x:c>
      <x:c r="AC514" s="24" t="str"/>
      <x:c r="AD514" s="24" t="str">
        <x:v>provisional=true；保护因素的现实有效性必须由可观察行为、反馈和持续结果验证。</x:v>
      </x:c>
      <x:c r="AE514" s="24" t="str">
        <x:v>0.8</x:v>
      </x:c>
    </x:row>
    <x:row r="515" ht="52" customHeight="1">
      <x:c r="A515" s="24" t="str">
        <x:v>M4-BUFFER-514</x:v>
      </x:c>
      <x:c r="B515" s="24" t="str">
        <x:v>规则升级为已验证</x:v>
      </x:c>
      <x:c r="C515" s="24" t="str">
        <x:v>L14 案例验证与发布</x:v>
      </x:c>
      <x:c r="D515" s="24" t="str">
        <x:v>BUFFER-验证发布</x:v>
      </x:c>
      <x:c r="E515" s="24" t="str">
        <x:v>通用</x:v>
      </x:c>
      <x:c r="F515" s="24" t="str">
        <x:v>验证</x:v>
      </x:c>
      <x:c r="G515" s="24" t="str">
        <x:v>案例与版本</x:v>
      </x:c>
      <x:c r="H515" s="24" t="str"/>
      <x:c r="I515" s="24" t="str">
        <x:v>同一规则至少有多例支持，并完成反例、同源和安全审查。</x:v>
      </x:c>
      <x:c r="J515" s="24" t="str">
        <x:v>只因理论合理或单一案例吻合。</x:v>
      </x:c>
      <x:c r="K515" s="24" t="str">
        <x:v>由共享基础引擎提供；仅修正保护功能的承载、持续调用和压力状态下的稳定性，不直接等同成熟度、道德或现实行为。</x:v>
      </x:c>
      <x:c r="L515" s="24" t="str">
        <x:v>由M1／M2接口提供；夫妻星、心动原型和关系门槛只说明关系议题，不单独证明保护因素已经被调用或有效。</x:v>
      </x:c>
      <x:c r="M515" s="24" t="str">
        <x:v>由M3-BASE及M4各模块提供；日支、日柱近位可提高与亲密关系核心的相关性，但同一source_id不得重复计分。</x:v>
      </x:c>
      <x:c r="N515" s="24" t="str">
        <x:v>保护因素必须明确限制过用、补足缺位、恢复顺序、打开反馈、落实改变或完成修复回流；不能只凭五行相生补写现实效果。</x:v>
      </x:c>
      <x:c r="O515" s="24" t="str">
        <x:v>近位提高进入亲密关系核心的概率；远位只作背景、阶段或条件性修正。</x:v>
      </x:c>
      <x:c r="P515" s="24" t="str">
        <x:v>根气只修正该保护功能是否容易重复调用，不等于现实中已经形成稳定保护。</x:v>
      </x:c>
      <x:c r="Q515" s="24" t="str">
        <x:v>旺弱只修正调用强度与承载；强不自动有效，弱也不自动无效。</x:v>
      </x:c>
      <x:c r="R515" s="24" t="str">
        <x:v>喜忌只修正摩擦、平衡与承载，不可直接翻译为好坏、成熟度或解决方案。</x:v>
      </x:c>
      <x:c r="S515" s="24" t="str">
        <x:v>原十神功能有效；真合化成立时按化神功能替换，合化争议时停止定性。</x:v>
      </x:c>
      <x:c r="T515" s="24" t="str">
        <x:v>近位提高直接相关性；远位仅保留背景、阶段或低置信修正。</x:v>
      </x:c>
      <x:c r="U515" s="24" t="str">
        <x:v>97</x:v>
      </x:c>
      <x:c r="V515" s="24" t="str">
        <x:v>不加分；验证／发布</x:v>
      </x:c>
      <x:c r="W515" s="24" t="str">
        <x:v>validation_status</x:v>
      </x:c>
      <x:c r="X515" s="24" t="str">
        <x:v>验证状态由案例证据推动，不由主观确认。</x:v>
      </x:c>
      <x:c r="Y515" s="24" t="str">
        <x:v>验证状态由案例证据推动，不由主观确认。</x:v>
      </x:c>
      <x:c r="Z515" s="24" t="str">
        <x:v>不得仅凭本规则断定问题已经解决、关系必然稳定、用户一定成熟、某十神天然是“药”、喜用神自动等于解决办法，或淡化暴力、强迫与现实伤害；现实行为、反例、安全事实和专业支持优先。</x:v>
      </x:c>
      <x:c r="AA515" s="24" t="str">
        <x:v>高</x:v>
      </x:c>
      <x:c r="AB515" s="24" t="str">
        <x:v>待验证</x:v>
      </x:c>
      <x:c r="AC515" s="24" t="str"/>
      <x:c r="AD515" s="24" t="str">
        <x:v>provisional=true；保护因素的现实有效性必须由可观察行为、反馈和持续结果验证。</x:v>
      </x:c>
      <x:c r="AE515" s="24" t="str">
        <x:v>0.8</x:v>
      </x:c>
    </x:row>
    <x:row r="516" ht="52" customHeight="1">
      <x:c r="A516" s="24" t="str">
        <x:v>M4-BUFFER-515</x:v>
      </x:c>
      <x:c r="B516" s="24" t="str">
        <x:v>规则标记需修改</x:v>
      </x:c>
      <x:c r="C516" s="24" t="str">
        <x:v>L14 案例验证与发布</x:v>
      </x:c>
      <x:c r="D516" s="24" t="str">
        <x:v>BUFFER-验证发布</x:v>
      </x:c>
      <x:c r="E516" s="24" t="str">
        <x:v>通用</x:v>
      </x:c>
      <x:c r="F516" s="24" t="str">
        <x:v>验证</x:v>
      </x:c>
      <x:c r="G516" s="24" t="str">
        <x:v>案例与版本</x:v>
      </x:c>
      <x:c r="H516" s="24" t="str"/>
      <x:c r="I516" s="24" t="str">
        <x:v>多例出现相同偏差，且偏差可定位到靶点、门槛、路由或文案。</x:v>
      </x:c>
      <x:c r="J516" s="24" t="str">
        <x:v>只因一个案例信息不足。</x:v>
      </x:c>
      <x:c r="K516" s="24" t="str">
        <x:v>由共享基础引擎提供；仅修正保护功能的承载、持续调用和压力状态下的稳定性，不直接等同成熟度、道德或现实行为。</x:v>
      </x:c>
      <x:c r="L516" s="24" t="str">
        <x:v>由M1／M2接口提供；夫妻星、心动原型和关系门槛只说明关系议题，不单独证明保护因素已经被调用或有效。</x:v>
      </x:c>
      <x:c r="M516" s="24" t="str">
        <x:v>由M3-BASE及M4各模块提供；日支、日柱近位可提高与亲密关系核心的相关性，但同一source_id不得重复计分。</x:v>
      </x:c>
      <x:c r="N516" s="24" t="str">
        <x:v>保护因素必须明确限制过用、补足缺位、恢复顺序、打开反馈、落实改变或完成修复回流；不能只凭五行相生补写现实效果。</x:v>
      </x:c>
      <x:c r="O516" s="24" t="str">
        <x:v>近位提高进入亲密关系核心的概率；远位只作背景、阶段或条件性修正。</x:v>
      </x:c>
      <x:c r="P516" s="24" t="str">
        <x:v>根气只修正该保护功能是否容易重复调用，不等于现实中已经形成稳定保护。</x:v>
      </x:c>
      <x:c r="Q516" s="24" t="str">
        <x:v>旺弱只修正调用强度与承载；强不自动有效，弱也不自动无效。</x:v>
      </x:c>
      <x:c r="R516" s="24" t="str">
        <x:v>喜忌只修正摩擦、平衡与承载，不可直接翻译为好坏、成熟度或解决方案。</x:v>
      </x:c>
      <x:c r="S516" s="24" t="str">
        <x:v>原十神功能有效；真合化成立时按化神功能替换，合化争议时停止定性。</x:v>
      </x:c>
      <x:c r="T516" s="24" t="str">
        <x:v>近位提高直接相关性；远位仅保留背景、阶段或低置信修正。</x:v>
      </x:c>
      <x:c r="U516" s="24" t="str">
        <x:v>97</x:v>
      </x:c>
      <x:c r="V516" s="24" t="str">
        <x:v>不加分；验证／发布</x:v>
      </x:c>
      <x:c r="W516" s="24" t="str">
        <x:v>validation_status</x:v>
      </x:c>
      <x:c r="X516" s="24" t="str">
        <x:v>修改应指向具体字段和原因。</x:v>
      </x:c>
      <x:c r="Y516" s="24" t="str">
        <x:v>修改应指向具体字段和原因。</x:v>
      </x:c>
      <x:c r="Z516" s="24" t="str">
        <x:v>不得仅凭本规则断定问题已经解决、关系必然稳定、用户一定成熟、某十神天然是“药”、喜用神自动等于解决办法，或淡化暴力、强迫与现实伤害；现实行为、反例、安全事实和专业支持优先。</x:v>
      </x:c>
      <x:c r="AA516" s="24" t="str">
        <x:v>高</x:v>
      </x:c>
      <x:c r="AB516" s="24" t="str">
        <x:v>待验证</x:v>
      </x:c>
      <x:c r="AC516" s="24" t="str"/>
      <x:c r="AD516" s="24" t="str">
        <x:v>provisional=true；保护因素的现实有效性必须由可观察行为、反馈和持续结果验证。</x:v>
      </x:c>
      <x:c r="AE516" s="24" t="str">
        <x:v>0.8</x:v>
      </x:c>
    </x:row>
    <x:row r="517" ht="52" customHeight="1">
      <x:c r="A517" s="24" t="str">
        <x:v>M4-BUFFER-516</x:v>
      </x:c>
      <x:c r="B517" s="24" t="str">
        <x:v>规则停用条件</x:v>
      </x:c>
      <x:c r="C517" s="24" t="str">
        <x:v>L14 案例验证与发布</x:v>
      </x:c>
      <x:c r="D517" s="24" t="str">
        <x:v>BUFFER-验证发布</x:v>
      </x:c>
      <x:c r="E517" s="24" t="str">
        <x:v>通用</x:v>
      </x:c>
      <x:c r="F517" s="24" t="str">
        <x:v>验证</x:v>
      </x:c>
      <x:c r="G517" s="24" t="str">
        <x:v>案例与版本</x:v>
      </x:c>
      <x:c r="H517" s="24" t="str"/>
      <x:c r="I517" s="24" t="str">
        <x:v>稳定反例、伦理风险、重复规则或无法区分边界。</x:v>
      </x:c>
      <x:c r="J517" s="24" t="str">
        <x:v>只是暂时没有案例。</x:v>
      </x:c>
      <x:c r="K517" s="24" t="str">
        <x:v>由共享基础引擎提供；仅修正保护功能的承载、持续调用和压力状态下的稳定性，不直接等同成熟度、道德或现实行为。</x:v>
      </x:c>
      <x:c r="L517" s="24" t="str">
        <x:v>由M1／M2接口提供；夫妻星、心动原型和关系门槛只说明关系议题，不单独证明保护因素已经被调用或有效。</x:v>
      </x:c>
      <x:c r="M517" s="24" t="str">
        <x:v>由M3-BASE及M4各模块提供；日支、日柱近位可提高与亲密关系核心的相关性，但同一source_id不得重复计分。</x:v>
      </x:c>
      <x:c r="N517" s="24" t="str">
        <x:v>保护因素必须明确限制过用、补足缺位、恢复顺序、打开反馈、落实改变或完成修复回流；不能只凭五行相生补写现实效果。</x:v>
      </x:c>
      <x:c r="O517" s="24" t="str">
        <x:v>近位提高进入亲密关系核心的概率；远位只作背景、阶段或条件性修正。</x:v>
      </x:c>
      <x:c r="P517" s="24" t="str">
        <x:v>根气只修正该保护功能是否容易重复调用，不等于现实中已经形成稳定保护。</x:v>
      </x:c>
      <x:c r="Q517" s="24" t="str">
        <x:v>旺弱只修正调用强度与承载；强不自动有效，弱也不自动无效。</x:v>
      </x:c>
      <x:c r="R517" s="24" t="str">
        <x:v>喜忌只修正摩擦、平衡与承载，不可直接翻译为好坏、成熟度或解决方案。</x:v>
      </x:c>
      <x:c r="S517" s="24" t="str">
        <x:v>原十神功能有效；真合化成立时按化神功能替换，合化争议时停止定性。</x:v>
      </x:c>
      <x:c r="T517" s="24" t="str">
        <x:v>近位提高直接相关性；远位仅保留背景、阶段或低置信修正。</x:v>
      </x:c>
      <x:c r="U517" s="24" t="str">
        <x:v>97</x:v>
      </x:c>
      <x:c r="V517" s="24" t="str">
        <x:v>不加分；验证／发布</x:v>
      </x:c>
      <x:c r="W517" s="24" t="str">
        <x:v>validation_status</x:v>
      </x:c>
      <x:c r="X517" s="24" t="str">
        <x:v>停用必须记录原因和替代规则。</x:v>
      </x:c>
      <x:c r="Y517" s="24" t="str">
        <x:v>停用必须记录原因和替代规则。</x:v>
      </x:c>
      <x:c r="Z517" s="24" t="str">
        <x:v>不得仅凭本规则断定问题已经解决、关系必然稳定、用户一定成熟、某十神天然是“药”、喜用神自动等于解决办法，或淡化暴力、强迫与现实伤害；现实行为、反例、安全事实和专业支持优先。</x:v>
      </x:c>
      <x:c r="AA517" s="24" t="str">
        <x:v>高</x:v>
      </x:c>
      <x:c r="AB517" s="24" t="str">
        <x:v>待验证</x:v>
      </x:c>
      <x:c r="AC517" s="24" t="str"/>
      <x:c r="AD517" s="24" t="str">
        <x:v>provisional=true；保护因素的现实有效性必须由可观察行为、反馈和持续结果验证。</x:v>
      </x:c>
      <x:c r="AE517" s="24" t="str">
        <x:v>0.8</x:v>
      </x:c>
    </x:row>
    <x:row r="518" ht="52" customHeight="1">
      <x:c r="A518" s="24" t="str">
        <x:v>M4-BUFFER-517</x:v>
      </x:c>
      <x:c r="B518" s="24" t="str">
        <x:v>版本追踪规则</x:v>
      </x:c>
      <x:c r="C518" s="24" t="str">
        <x:v>L14 案例验证与发布</x:v>
      </x:c>
      <x:c r="D518" s="24" t="str">
        <x:v>BUFFER-验证发布</x:v>
      </x:c>
      <x:c r="E518" s="24" t="str">
        <x:v>通用</x:v>
      </x:c>
      <x:c r="F518" s="24" t="str">
        <x:v>验证</x:v>
      </x:c>
      <x:c r="G518" s="24" t="str">
        <x:v>案例与版本</x:v>
      </x:c>
      <x:c r="H518" s="24" t="str"/>
      <x:c r="I518" s="24" t="str">
        <x:v>任何分值、门槛、代码、用户语言或边界变化均记录版本。</x:v>
      </x:c>
      <x:c r="J518" s="24" t="str">
        <x:v>静默覆盖旧规则。</x:v>
      </x:c>
      <x:c r="K518" s="24" t="str">
        <x:v>由共享基础引擎提供；仅修正保护功能的承载、持续调用和压力状态下的稳定性，不直接等同成熟度、道德或现实行为。</x:v>
      </x:c>
      <x:c r="L518" s="24" t="str">
        <x:v>由M1／M2接口提供；夫妻星、心动原型和关系门槛只说明关系议题，不单独证明保护因素已经被调用或有效。</x:v>
      </x:c>
      <x:c r="M518" s="24" t="str">
        <x:v>由M3-BASE及M4各模块提供；日支、日柱近位可提高与亲密关系核心的相关性，但同一source_id不得重复计分。</x:v>
      </x:c>
      <x:c r="N518" s="24" t="str">
        <x:v>保护因素必须明确限制过用、补足缺位、恢复顺序、打开反馈、落实改变或完成修复回流；不能只凭五行相生补写现实效果。</x:v>
      </x:c>
      <x:c r="O518" s="24" t="str">
        <x:v>近位提高进入亲密关系核心的概率；远位只作背景、阶段或条件性修正。</x:v>
      </x:c>
      <x:c r="P518" s="24" t="str">
        <x:v>根气只修正该保护功能是否容易重复调用，不等于现实中已经形成稳定保护。</x:v>
      </x:c>
      <x:c r="Q518" s="24" t="str">
        <x:v>旺弱只修正调用强度与承载；强不自动有效，弱也不自动无效。</x:v>
      </x:c>
      <x:c r="R518" s="24" t="str">
        <x:v>喜忌只修正摩擦、平衡与承载，不可直接翻译为好坏、成熟度或解决方案。</x:v>
      </x:c>
      <x:c r="S518" s="24" t="str">
        <x:v>原十神功能有效；真合化成立时按化神功能替换，合化争议时停止定性。</x:v>
      </x:c>
      <x:c r="T518" s="24" t="str">
        <x:v>近位提高直接相关性；远位仅保留背景、阶段或低置信修正。</x:v>
      </x:c>
      <x:c r="U518" s="24" t="str">
        <x:v>97</x:v>
      </x:c>
      <x:c r="V518" s="24" t="str">
        <x:v>不加分；验证／发布</x:v>
      </x:c>
      <x:c r="W518" s="24" t="str">
        <x:v>version_log</x:v>
      </x:c>
      <x:c r="X518" s="24" t="str">
        <x:v>版本记录保证案例结果可追溯。</x:v>
      </x:c>
      <x:c r="Y518" s="24" t="str">
        <x:v>版本记录保证案例结果可追溯。</x:v>
      </x:c>
      <x:c r="Z518" s="24" t="str">
        <x:v>不得仅凭本规则断定问题已经解决、关系必然稳定、用户一定成熟、某十神天然是“药”、喜用神自动等于解决办法，或淡化暴力、强迫与现实伤害；现实行为、反例、安全事实和专业支持优先。</x:v>
      </x:c>
      <x:c r="AA518" s="24" t="str">
        <x:v>高</x:v>
      </x:c>
      <x:c r="AB518" s="24" t="str">
        <x:v>待验证</x:v>
      </x:c>
      <x:c r="AC518" s="24" t="str"/>
      <x:c r="AD518" s="24" t="str">
        <x:v>provisional=true；保护因素的现实有效性必须由可观察行为、反馈和持续结果验证。</x:v>
      </x:c>
      <x:c r="AE518" s="24" t="str">
        <x:v>0.8</x:v>
      </x:c>
    </x:row>
    <x:row r="519" ht="52" customHeight="1">
      <x:c r="A519" s="24" t="str">
        <x:v>M4-BUFFER-518</x:v>
      </x:c>
      <x:c r="B519" s="24" t="str">
        <x:v>发布前十项检查</x:v>
      </x:c>
      <x:c r="C519" s="24" t="str">
        <x:v>L14 案例验证与发布</x:v>
      </x:c>
      <x:c r="D519" s="24" t="str">
        <x:v>BUFFER-验证发布</x:v>
      </x:c>
      <x:c r="E519" s="24" t="str">
        <x:v>通用</x:v>
      </x:c>
      <x:c r="F519" s="24" t="str">
        <x:v>验证</x:v>
      </x:c>
      <x:c r="G519" s="24" t="str">
        <x:v>案例与版本</x:v>
      </x:c>
      <x:c r="H519" s="24" t="str"/>
      <x:c r="I519" s="24" t="str">
        <x:v>完成诊断靶点、同源去重、BL层级、PB检查、反例、安全、主次、边界、现实证据和M5接口。</x:v>
      </x:c>
      <x:c r="J519" s="24" t="str">
        <x:v>任一关键检查缺失。</x:v>
      </x:c>
      <x:c r="K519" s="24" t="str">
        <x:v>由共享基础引擎提供；仅修正保护功能的承载、持续调用和压力状态下的稳定性，不直接等同成熟度、道德或现实行为。</x:v>
      </x:c>
      <x:c r="L519" s="24" t="str">
        <x:v>由M1／M2接口提供；夫妻星、心动原型和关系门槛只说明关系议题，不单独证明保护因素已经被调用或有效。</x:v>
      </x:c>
      <x:c r="M519" s="24" t="str">
        <x:v>由M3-BASE及M4各模块提供；日支、日柱近位可提高与亲密关系核心的相关性，但同一source_id不得重复计分。</x:v>
      </x:c>
      <x:c r="N519" s="24" t="str">
        <x:v>保护因素必须明确限制过用、补足缺位、恢复顺序、打开反馈、落实改变或完成修复回流；不能只凭五行相生补写现实效果。</x:v>
      </x:c>
      <x:c r="O519" s="24" t="str">
        <x:v>近位提高进入亲密关系核心的概率；远位只作背景、阶段或条件性修正。</x:v>
      </x:c>
      <x:c r="P519" s="24" t="str">
        <x:v>根气只修正该保护功能是否容易重复调用，不等于现实中已经形成稳定保护。</x:v>
      </x:c>
      <x:c r="Q519" s="24" t="str">
        <x:v>旺弱只修正调用强度与承载；强不自动有效，弱也不自动无效。</x:v>
      </x:c>
      <x:c r="R519" s="24" t="str">
        <x:v>喜忌只修正摩擦、平衡与承载，不可直接翻译为好坏、成熟度或解决方案。</x:v>
      </x:c>
      <x:c r="S519" s="24" t="str">
        <x:v>原十神功能有效；真合化成立时按化神功能替换，合化争议时停止定性。</x:v>
      </x:c>
      <x:c r="T519" s="24" t="str">
        <x:v>近位提高直接相关性；远位仅保留背景、阶段或低置信修正。</x:v>
      </x:c>
      <x:c r="U519" s="24" t="str">
        <x:v>97</x:v>
      </x:c>
      <x:c r="V519" s="24" t="str">
        <x:v>不加分；验证／发布</x:v>
      </x:c>
      <x:c r="W519" s="24" t="str">
        <x:v>release_check</x:v>
      </x:c>
      <x:c r="X519" s="24" t="str">
        <x:v>未通过检查不得发布强结论。</x:v>
      </x:c>
      <x:c r="Y519" s="24" t="str">
        <x:v>未通过检查不得发布强结论。</x:v>
      </x:c>
      <x:c r="Z519" s="24" t="str">
        <x:v>不得仅凭本规则断定问题已经解决、关系必然稳定、用户一定成熟、某十神天然是“药”、喜用神自动等于解决办法，或淡化暴力、强迫与现实伤害；现实行为、反例、安全事实和专业支持优先。</x:v>
      </x:c>
      <x:c r="AA519" s="24" t="str">
        <x:v>高</x:v>
      </x:c>
      <x:c r="AB519" s="24" t="str">
        <x:v>待验证</x:v>
      </x:c>
      <x:c r="AC519" s="24" t="str"/>
      <x:c r="AD519" s="24" t="str">
        <x:v>provisional=true；保护因素的现实有效性必须由可观察行为、反馈和持续结果验证。</x:v>
      </x:c>
      <x:c r="AE519" s="24" t="str">
        <x:v>0.8</x:v>
      </x:c>
    </x:row>
    <x:row r="520" ht="52" customHeight="1">
      <x:c r="A520" s="24" t="str">
        <x:v>M4-BUFFER-519</x:v>
      </x:c>
      <x:c r="B520" s="24" t="str">
        <x:v>当前版本状态</x:v>
      </x:c>
      <x:c r="C520" s="24" t="str">
        <x:v>L14 案例验证与发布</x:v>
      </x:c>
      <x:c r="D520" s="24" t="str">
        <x:v>BUFFER-验证发布</x:v>
      </x:c>
      <x:c r="E520" s="24" t="str">
        <x:v>通用</x:v>
      </x:c>
      <x:c r="F520" s="24" t="str">
        <x:v>验证</x:v>
      </x:c>
      <x:c r="G520" s="24" t="str">
        <x:v>案例与版本</x:v>
      </x:c>
      <x:c r="H520" s="24" t="str"/>
      <x:c r="I520" s="24" t="str">
        <x:v>所有M4-BUFFER规则保持provisional=true、待验证。</x:v>
      </x:c>
      <x:c r="J520" s="24" t="str">
        <x:v>把工程分值宣传为统计概率或命理准确率。</x:v>
      </x:c>
      <x:c r="K520" s="24" t="str">
        <x:v>由共享基础引擎提供；仅修正保护功能的承载、持续调用和压力状态下的稳定性，不直接等同成熟度、道德或现实行为。</x:v>
      </x:c>
      <x:c r="L520" s="24" t="str">
        <x:v>由M1／M2接口提供；夫妻星、心动原型和关系门槛只说明关系议题，不单独证明保护因素已经被调用或有效。</x:v>
      </x:c>
      <x:c r="M520" s="24" t="str">
        <x:v>由M3-BASE及M4各模块提供；日支、日柱近位可提高与亲密关系核心的相关性，但同一source_id不得重复计分。</x:v>
      </x:c>
      <x:c r="N520" s="24" t="str">
        <x:v>保护因素必须明确限制过用、补足缺位、恢复顺序、打开反馈、落实改变或完成修复回流；不能只凭五行相生补写现实效果。</x:v>
      </x:c>
      <x:c r="O520" s="24" t="str">
        <x:v>近位提高进入亲密关系核心的概率；远位只作背景、阶段或条件性修正。</x:v>
      </x:c>
      <x:c r="P520" s="24" t="str">
        <x:v>根气只修正该保护功能是否容易重复调用，不等于现实中已经形成稳定保护。</x:v>
      </x:c>
      <x:c r="Q520" s="24" t="str">
        <x:v>旺弱只修正调用强度与承载；强不自动有效，弱也不自动无效。</x:v>
      </x:c>
      <x:c r="R520" s="24" t="str">
        <x:v>喜忌只修正摩擦、平衡与承载，不可直接翻译为好坏、成熟度或解决方案。</x:v>
      </x:c>
      <x:c r="S520" s="24" t="str">
        <x:v>原十神功能有效；真合化成立时按化神功能替换，合化争议时停止定性。</x:v>
      </x:c>
      <x:c r="T520" s="24" t="str">
        <x:v>近位提高直接相关性；远位仅保留背景、阶段或低置信修正。</x:v>
      </x:c>
      <x:c r="U520" s="24" t="str">
        <x:v>97</x:v>
      </x:c>
      <x:c r="V520" s="24" t="str">
        <x:v>不加分；验证／发布</x:v>
      </x:c>
      <x:c r="W520" s="24" t="str">
        <x:v>validation_status</x:v>
      </x:c>
      <x:c r="X520" s="24" t="str">
        <x:v>V0.8为知识工程初始参数，不代表统计验证。</x:v>
      </x:c>
      <x:c r="Y520" s="24" t="str">
        <x:v>V0.8为知识工程初始参数，不代表统计验证。</x:v>
      </x:c>
      <x:c r="Z520" s="24" t="str">
        <x:v>不得仅凭本规则断定问题已经解决、关系必然稳定、用户一定成熟、某十神天然是“药”、喜用神自动等于解决办法，或淡化暴力、强迫与现实伤害；现实行为、反例、安全事实和专业支持优先。</x:v>
      </x:c>
      <x:c r="AA520" s="24" t="str">
        <x:v>高</x:v>
      </x:c>
      <x:c r="AB520" s="24" t="str">
        <x:v>待验证</x:v>
      </x:c>
      <x:c r="AC520" s="24" t="str"/>
      <x:c r="AD520" s="24" t="str">
        <x:v>provisional=true；保护因素的现实有效性必须由可观察行为、反馈和持续结果验证。</x:v>
      </x:c>
      <x:c r="AE520" s="24" t="str">
        <x:v>0.8</x:v>
      </x:c>
    </x:row>
    <x:row r="521" ht="52" customHeight="1">
      <x:c r="A521" s="24" t="str">
        <x:v>M4-BUFFER-520</x:v>
      </x:c>
      <x:c r="B521" s="24" t="str">
        <x:v>下一阶段接口｜进入M4-SYNTH</x:v>
      </x:c>
      <x:c r="C521" s="24" t="str">
        <x:v>L14 案例验证与发布</x:v>
      </x:c>
      <x:c r="D521" s="24" t="str">
        <x:v>BUFFER-验证发布</x:v>
      </x:c>
      <x:c r="E521" s="24" t="str">
        <x:v>通用</x:v>
      </x:c>
      <x:c r="F521" s="24" t="str">
        <x:v>验证</x:v>
      </x:c>
      <x:c r="G521" s="24" t="str">
        <x:v>案例与版本</x:v>
      </x:c>
      <x:c r="H521" s="24" t="str"/>
      <x:c r="I521" s="24" t="str">
        <x:v>BASE至BUFFER模块均已完成，可开始总合成、权威矩阵、去重、置信与报告。</x:v>
      </x:c>
      <x:c r="J521" s="24" t="str">
        <x:v>继续无限扩充局部规则而未统一合成。</x:v>
      </x:c>
      <x:c r="K521" s="24" t="str">
        <x:v>由共享基础引擎提供；仅修正保护功能的承载、持续调用和压力状态下的稳定性，不直接等同成熟度、道德或现实行为。</x:v>
      </x:c>
      <x:c r="L521" s="24" t="str">
        <x:v>由M1／M2接口提供；夫妻星、心动原型和关系门槛只说明关系议题，不单独证明保护因素已经被调用或有效。</x:v>
      </x:c>
      <x:c r="M521" s="24" t="str">
        <x:v>由M3-BASE及M4各模块提供；日支、日柱近位可提高与亲密关系核心的相关性，但同一source_id不得重复计分。</x:v>
      </x:c>
      <x:c r="N521" s="24" t="str">
        <x:v>保护因素必须明确限制过用、补足缺位、恢复顺序、打开反馈、落实改变或完成修复回流；不能只凭五行相生补写现实效果。</x:v>
      </x:c>
      <x:c r="O521" s="24" t="str">
        <x:v>近位提高进入亲密关系核心的概率；远位只作背景、阶段或条件性修正。</x:v>
      </x:c>
      <x:c r="P521" s="24" t="str">
        <x:v>根气只修正该保护功能是否容易重复调用，不等于现实中已经形成稳定保护。</x:v>
      </x:c>
      <x:c r="Q521" s="24" t="str">
        <x:v>旺弱只修正调用强度与承载；强不自动有效，弱也不自动无效。</x:v>
      </x:c>
      <x:c r="R521" s="24" t="str">
        <x:v>喜忌只修正摩擦、平衡与承载，不可直接翻译为好坏、成熟度或解决方案。</x:v>
      </x:c>
      <x:c r="S521" s="24" t="str">
        <x:v>原十神功能有效；真合化成立时按化神功能替换，合化争议时停止定性。</x:v>
      </x:c>
      <x:c r="T521" s="24" t="str">
        <x:v>近位提高直接相关性；远位仅保留背景、阶段或低置信修正。</x:v>
      </x:c>
      <x:c r="U521" s="24" t="str">
        <x:v>97</x:v>
      </x:c>
      <x:c r="V521" s="24" t="str">
        <x:v>不加分；验证／发布</x:v>
      </x:c>
      <x:c r="W521" s="24" t="str">
        <x:v>next_stage</x:v>
      </x:c>
      <x:c r="X521" s="24" t="str">
        <x:v>下一阶段把M4各模块整合为唯一总规则库。</x:v>
      </x:c>
      <x:c r="Y521" s="24" t="str">
        <x:v>下一阶段把M4各模块整合为唯一总规则库。</x:v>
      </x:c>
      <x:c r="Z521" s="24" t="str">
        <x:v>不得仅凭本规则断定问题已经解决、关系必然稳定、用户一定成熟、某十神天然是“药”、喜用神自动等于解决办法，或淡化暴力、强迫与现实伤害；现实行为、反例、安全事实和专业支持优先。</x:v>
      </x:c>
      <x:c r="AA521" s="24" t="str">
        <x:v>高</x:v>
      </x:c>
      <x:c r="AB521" s="24" t="str">
        <x:v>待验证</x:v>
      </x:c>
      <x:c r="AC521" s="24" t="str"/>
      <x:c r="AD521" s="24" t="str">
        <x:v>provisional=true；保护因素的现实有效性必须由可观察行为、反馈和持续结果验证。</x:v>
      </x:c>
      <x:c r="AE521" s="24" t="str">
        <x:v>0.8</x:v>
      </x:c>
    </x:row>
  </x:sheetData>
  <x:conditionalFormatting sqref="AB2:AB521">
    <x:cfRule type="expression" dxfId="0" priority="1">
      <x:formula>AB2="已验证"</x:formula>
    </x:cfRule>
    <x:cfRule type="expression" dxfId="1" priority="2">
      <x:formula>AB2="需修改"</x:formula>
    </x:cfRule>
    <x:cfRule type="expression" dxfId="2" priority="3">
      <x:formula>AB2="停用"</x:formula>
    </x:cfRule>
    <x:cfRule type="expression" dxfId="3" priority="4">
      <x:formula>AB2="待验证"</x:formula>
    </x:cfRule>
  </x:conditionalFormatting>
  <x:dataValidations count="2">
    <x:dataValidation type="list" sqref="AA2:AA521">
      <x:formula1>"高,中高,中,中低,低,停止"</x:formula1>
    </x:dataValidation>
    <x:dataValidation type="list" sqref="AB2:AB521">
      <x:formula1>"待验证,已验证,需修改,停用"</x:formula1>
    </x:dataValidation>
  </x:dataValidations>
  <x:pageMargins left="0.7" right="0.7" top="0.75" bottom="0.75" header="0.3" footer="0.3"/>
  <x:tableParts count="1">
    <x:tablePart xmlns:r="http://schemas.openxmlformats.org/officeDocument/2006/relationships" r:id="R229292f9669b453c"/>
  </x:tableParts>
</x:worksheet>
</file>

<file path=xl/worksheets/sheet15.xml><?xml version="1.0" encoding="utf-8"?>
<x:worksheet xmlns:x="http://schemas.openxmlformats.org/spreadsheetml/2006/main">
  <x:sheetFormatPr defaultRowHeight="15"/>
  <x:cols>
    <x:col min="1" max="1" width="18" hidden="0" customWidth="1"/>
    <x:col min="2" max="2" width="40" hidden="0" customWidth="1"/>
    <x:col min="3" max="3" width="12" hidden="0" customWidth="1"/>
    <x:col min="4" max="4" width="24" hidden="0" customWidth="1"/>
    <x:col min="5" max="5" width="44" hidden="0" customWidth="1"/>
    <x:col min="6" max="6" width="44" hidden="0" customWidth="1"/>
    <x:col min="7" max="7" width="46" hidden="0" customWidth="1"/>
    <x:col min="8" max="8" width="10" hidden="0" customWidth="1"/>
  </x:cols>
  <x:sheetData>
    <x:row r="1">
      <x:c r="A1" s="6" t="str">
        <x:v>高优先级边界、降级与停止规则</x:v>
      </x:c>
      <x:c r="B1" s="6"/>
      <x:c r="C1" s="6"/>
      <x:c r="D1" s="6"/>
      <x:c r="E1" s="6"/>
      <x:c r="F1" s="6"/>
      <x:c r="G1" s="6"/>
      <x:c r="H1" s="6"/>
    </x:row>
    <x:row r="3">
      <x:c r="A3" s="16" t="str">
        <x:v>规则ID</x:v>
      </x:c>
      <x:c r="B3" s="16" t="str">
        <x:v>规则名称</x:v>
      </x:c>
      <x:c r="C3" s="16" t="str">
        <x:v>类型</x:v>
      </x:c>
      <x:c r="D3" s="16" t="str">
        <x:v>主信号</x:v>
      </x:c>
      <x:c r="E3" s="16" t="str">
        <x:v>必要条件</x:v>
      </x:c>
      <x:c r="F3" s="16" t="str">
        <x:v>停止／排除条件</x:v>
      </x:c>
      <x:c r="G3" s="16" t="str">
        <x:v>用户解释</x:v>
      </x:c>
      <x:c r="H3" s="16" t="str">
        <x:v>优先级</x:v>
      </x:c>
    </x:row>
    <x:row r="4">
      <x:c r="A4" s="24" t="str">
        <x:v>M4-BUFFER-008</x:v>
      </x:c>
      <x:c r="B4" s="24" t="str">
        <x:v>安全停止｜暴力强迫不进入普通缓冲框架</x:v>
      </x:c>
      <x:c r="C4" s="24" t="str">
        <x:v>安全</x:v>
      </x:c>
      <x:c r="D4" s="24" t="str">
        <x:v>现实安全门控</x:v>
      </x:c>
      <x:c r="E4" s="24" t="str">
        <x:v>现实中不存在暴力、威胁、强迫、跟踪、经济控制或明显人身风险。</x:v>
      </x:c>
      <x:c r="F4" s="24" t="str">
        <x:v>存在安全风险，却用“有制化、有沟通、有爱”要求继续协商。</x:v>
      </x:c>
      <x:c r="G4" s="24" t="str">
        <x:v>若存在威胁、强迫或人身安全风险，首要任务是安全，不应把重点放在如何调和。</x:v>
      </x:c>
      <x:c r="H4" s="24" t="str">
        <x:v>100</x:v>
      </x:c>
    </x:row>
    <x:row r="5">
      <x:c r="A5" s="24" t="str">
        <x:v>M4-BUFFER-009</x:v>
      </x:c>
      <x:c r="B5" s="24" t="str">
        <x:v>保护因素不创造原谅与继续关系义务</x:v>
      </x:c>
      <x:c r="C5" s="24" t="str">
        <x:v>伦理</x:v>
      </x:c>
      <x:c r="D5" s="24" t="str">
        <x:v>选择权边界</x:v>
      </x:c>
      <x:c r="E5" s="24" t="str">
        <x:v>区分责任行动、关系修复、原谅、信任和是否继续。</x:v>
      </x:c>
      <x:c r="F5" s="24" t="str">
        <x:v>用“命里有药”“可以化解”要求受影响者原谅、复合或继续关系。</x:v>
      </x:c>
      <x:c r="G5" s="24" t="str">
        <x:v>即使对方做出改变，你仍有权决定是否原谅、恢复信任或继续关系。</x:v>
      </x:c>
      <x:c r="H5" s="24" t="str">
        <x:v>100</x:v>
      </x:c>
    </x:row>
    <x:row r="6">
      <x:c r="A6" s="24" t="str">
        <x:v>M4-BUFFER-028</x:v>
      </x:c>
      <x:c r="B6" s="24" t="str">
        <x:v>BF01 有效制化｜使用边界</x:v>
      </x:c>
      <x:c r="C6" s="24" t="str">
        <x:v>边界</x:v>
      </x:c>
      <x:c r="D6" s="24" t="str">
        <x:v>BF01 有效制化</x:v>
      </x:c>
      <x:c r="E6" s="24" t="str">
        <x:v>完成同源去重、现实反例和安全门控。</x:v>
      </x:c>
      <x:c r="F6" s="24" t="str">
        <x:v>把该因素写成绝对化解、关系必稳或道德优点。</x:v>
      </x:c>
      <x:c r="G6" s="24" t="str">
        <x:v>这项资源能减弱特定盲点，但不代表所有关系问题都会自动消失。</x:v>
      </x:c>
      <x:c r="H6" s="24" t="str">
        <x:v>99</x:v>
      </x:c>
    </x:row>
    <x:row r="7">
      <x:c r="A7" s="24" t="str">
        <x:v>M4-BUFFER-036</x:v>
      </x:c>
      <x:c r="B7" s="24" t="str">
        <x:v>BF02 跨系统通关｜使用边界</x:v>
      </x:c>
      <x:c r="C7" s="24" t="str">
        <x:v>边界</x:v>
      </x:c>
      <x:c r="D7" s="24" t="str">
        <x:v>BF02 跨系统通关</x:v>
      </x:c>
      <x:c r="E7" s="24" t="str">
        <x:v>完成同源去重、现实反例和安全门控。</x:v>
      </x:c>
      <x:c r="F7" s="24" t="str">
        <x:v>把该因素写成绝对化解、关系必稳或道德优点。</x:v>
      </x:c>
      <x:c r="G7" s="24" t="str">
        <x:v>这项资源能减弱特定盲点，但不代表所有关系问题都会自动消失。</x:v>
      </x:c>
      <x:c r="H7" s="24" t="str">
        <x:v>99</x:v>
      </x:c>
    </x:row>
    <x:row r="8">
      <x:c r="A8" s="24" t="str">
        <x:v>M4-BUFFER-044</x:v>
      </x:c>
      <x:c r="B8" s="24" t="str">
        <x:v>BF03 独立边界支持｜使用边界</x:v>
      </x:c>
      <x:c r="C8" s="24" t="str">
        <x:v>边界</x:v>
      </x:c>
      <x:c r="D8" s="24" t="str">
        <x:v>BF03 独立边界支持</x:v>
      </x:c>
      <x:c r="E8" s="24" t="str">
        <x:v>完成同源去重、现实反例和安全门控。</x:v>
      </x:c>
      <x:c r="F8" s="24" t="str">
        <x:v>把该因素写成绝对化解、关系必稳或道德优点。</x:v>
      </x:c>
      <x:c r="G8" s="24" t="str">
        <x:v>这项资源能减弱特定盲点，但不代表所有关系问题都会自动消失。</x:v>
      </x:c>
      <x:c r="H8" s="24" t="str">
        <x:v>99</x:v>
      </x:c>
    </x:row>
    <x:row r="9">
      <x:c r="A9" s="24" t="str">
        <x:v>M4-BUFFER-052</x:v>
      </x:c>
      <x:c r="B9" s="24" t="str">
        <x:v>BF04 倾听与内部复核｜使用边界</x:v>
      </x:c>
      <x:c r="C9" s="24" t="str">
        <x:v>边界</x:v>
      </x:c>
      <x:c r="D9" s="24" t="str">
        <x:v>BF04 倾听与内部复核</x:v>
      </x:c>
      <x:c r="E9" s="24" t="str">
        <x:v>完成同源去重、现实反例和安全门控。</x:v>
      </x:c>
      <x:c r="F9" s="24" t="str">
        <x:v>把该因素写成绝对化解、关系必稳或道德优点。</x:v>
      </x:c>
      <x:c r="G9" s="24" t="str">
        <x:v>这项资源能减弱特定盲点，但不代表所有关系问题都会自动消失。</x:v>
      </x:c>
      <x:c r="H9" s="24" t="str">
        <x:v>99</x:v>
      </x:c>
    </x:row>
    <x:row r="10">
      <x:c r="A10" s="24" t="str">
        <x:v>M4-BUFFER-060</x:v>
      </x:c>
      <x:c r="B10" s="24" t="str">
        <x:v>BF05 表达与反馈通道｜使用边界</x:v>
      </x:c>
      <x:c r="C10" s="24" t="str">
        <x:v>边界</x:v>
      </x:c>
      <x:c r="D10" s="24" t="str">
        <x:v>BF05 表达与反馈通道</x:v>
      </x:c>
      <x:c r="E10" s="24" t="str">
        <x:v>完成同源去重、现实反例和安全门控。</x:v>
      </x:c>
      <x:c r="F10" s="24" t="str">
        <x:v>把该因素写成绝对化解、关系必稳或道德优点。</x:v>
      </x:c>
      <x:c r="G10" s="24" t="str">
        <x:v>这项资源能减弱特定盲点，但不代表所有关系问题都会自动消失。</x:v>
      </x:c>
      <x:c r="H10" s="24" t="str">
        <x:v>99</x:v>
      </x:c>
    </x:row>
    <x:row r="11">
      <x:c r="A11" s="24" t="str">
        <x:v>M4-BUFFER-068</x:v>
      </x:c>
      <x:c r="B11" s="24" t="str">
        <x:v>BF06 现实兑现与重复行为｜使用边界</x:v>
      </x:c>
      <x:c r="C11" s="24" t="str">
        <x:v>边界</x:v>
      </x:c>
      <x:c r="D11" s="24" t="str">
        <x:v>BF06 现实兑现与重复行为</x:v>
      </x:c>
      <x:c r="E11" s="24" t="str">
        <x:v>完成同源去重、现实反例和安全门控。</x:v>
      </x:c>
      <x:c r="F11" s="24" t="str">
        <x:v>把该因素写成绝对化解、关系必稳或道德优点。</x:v>
      </x:c>
      <x:c r="G11" s="24" t="str">
        <x:v>这项资源能减弱特定盲点，但不代表所有关系问题都会自动消失。</x:v>
      </x:c>
      <x:c r="H11" s="24" t="str">
        <x:v>99</x:v>
      </x:c>
    </x:row>
    <x:row r="12">
      <x:c r="A12" s="24" t="str">
        <x:v>M4-BUFFER-076</x:v>
      </x:c>
      <x:c r="B12" s="24" t="str">
        <x:v>BF07 完整修复回流｜使用边界</x:v>
      </x:c>
      <x:c r="C12" s="24" t="str">
        <x:v>边界</x:v>
      </x:c>
      <x:c r="D12" s="24" t="str">
        <x:v>BF07 完整修复回流</x:v>
      </x:c>
      <x:c r="E12" s="24" t="str">
        <x:v>完成同源去重、现实反例和安全门控。</x:v>
      </x:c>
      <x:c r="F12" s="24" t="str">
        <x:v>把该因素写成绝对化解、关系必稳或道德优点。</x:v>
      </x:c>
      <x:c r="G12" s="24" t="str">
        <x:v>这项资源能减弱特定盲点，但不代表所有关系问题都会自动消失。</x:v>
      </x:c>
      <x:c r="H12" s="24" t="str">
        <x:v>99</x:v>
      </x:c>
    </x:row>
    <x:row r="13">
      <x:c r="A13" s="24" t="str">
        <x:v>M4-BUFFER-084</x:v>
      </x:c>
      <x:c r="B13" s="24" t="str">
        <x:v>BF08 状态分工与现实支持｜使用边界</x:v>
      </x:c>
      <x:c r="C13" s="24" t="str">
        <x:v>边界</x:v>
      </x:c>
      <x:c r="D13" s="24" t="str">
        <x:v>BF08 状态分工与现实支持</x:v>
      </x:c>
      <x:c r="E13" s="24" t="str">
        <x:v>完成同源去重、现实反例和安全门控。</x:v>
      </x:c>
      <x:c r="F13" s="24" t="str">
        <x:v>把该因素写成绝对化解、关系必稳或道德优点。</x:v>
      </x:c>
      <x:c r="G13" s="24" t="str">
        <x:v>这项资源能减弱特定盲点，但不代表所有关系问题都会自动消失。</x:v>
      </x:c>
      <x:c r="H13" s="24" t="str">
        <x:v>99</x:v>
      </x:c>
    </x:row>
    <x:row r="14">
      <x:c r="A14" s="24" t="str">
        <x:v>M4-BUFFER-090</x:v>
      </x:c>
      <x:c r="B14" s="24" t="str">
        <x:v>比肩｜平等边界与自我复核｜禁止推断</x:v>
      </x:c>
      <x:c r="C14" s="24" t="str">
        <x:v>边界</x:v>
      </x:c>
      <x:c r="D14" s="24" t="str">
        <x:v>比肩</x:v>
      </x:c>
      <x:c r="E14" s="24" t="str">
        <x:v>完成同源去重、现实反例和安全检查。</x:v>
      </x:c>
      <x:c r="F14" s="24" t="str">
        <x:v>将该十神写成天然成熟、万能药或关系必稳。</x:v>
      </x:c>
      <x:c r="G14" s="24" t="str">
        <x:v>这项资源只对特定问题有帮助，并不代表所有关系风险都会因此消失。</x:v>
      </x:c>
      <x:c r="H14" s="24" t="str">
        <x:v>98</x:v>
      </x:c>
    </x:row>
    <x:row r="15">
      <x:c r="A15" s="24" t="str">
        <x:v>M4-BUFFER-096</x:v>
      </x:c>
      <x:c r="B15" s="24" t="str">
        <x:v>劫财｜即时协作与资源动员｜禁止推断</x:v>
      </x:c>
      <x:c r="C15" s="24" t="str">
        <x:v>边界</x:v>
      </x:c>
      <x:c r="D15" s="24" t="str">
        <x:v>劫财</x:v>
      </x:c>
      <x:c r="E15" s="24" t="str">
        <x:v>完成同源去重、现实反例和安全检查。</x:v>
      </x:c>
      <x:c r="F15" s="24" t="str">
        <x:v>将该十神写成天然成熟、万能药或关系必稳。</x:v>
      </x:c>
      <x:c r="G15" s="24" t="str">
        <x:v>这项资源只对特定问题有帮助，并不代表所有关系风险都会因此消失。</x:v>
      </x:c>
      <x:c r="H15" s="24" t="str">
        <x:v>98</x:v>
      </x:c>
    </x:row>
    <x:row r="16">
      <x:c r="A16" s="24" t="str">
        <x:v>M4-BUFFER-102</x:v>
      </x:c>
      <x:c r="B16" s="24" t="str">
        <x:v>食神｜降温、舒缓与可接近性｜禁止推断</x:v>
      </x:c>
      <x:c r="C16" s="24" t="str">
        <x:v>边界</x:v>
      </x:c>
      <x:c r="D16" s="24" t="str">
        <x:v>食神</x:v>
      </x:c>
      <x:c r="E16" s="24" t="str">
        <x:v>完成同源去重、现实反例和安全检查。</x:v>
      </x:c>
      <x:c r="F16" s="24" t="str">
        <x:v>将该十神写成天然成熟、万能药或关系必稳。</x:v>
      </x:c>
      <x:c r="G16" s="24" t="str">
        <x:v>这项资源只对特定问题有帮助，并不代表所有关系风险都会因此消失。</x:v>
      </x:c>
      <x:c r="H16" s="24" t="str">
        <x:v>98</x:v>
      </x:c>
    </x:row>
    <x:row r="17">
      <x:c r="A17" s="24" t="str">
        <x:v>M4-BUFFER-108</x:v>
      </x:c>
      <x:c r="B17" s="24" t="str">
        <x:v>伤官｜问题命名、表达与反馈核对｜禁止推断</x:v>
      </x:c>
      <x:c r="C17" s="24" t="str">
        <x:v>边界</x:v>
      </x:c>
      <x:c r="D17" s="24" t="str">
        <x:v>伤官</x:v>
      </x:c>
      <x:c r="E17" s="24" t="str">
        <x:v>完成同源去重、现实反例和安全检查。</x:v>
      </x:c>
      <x:c r="F17" s="24" t="str">
        <x:v>将该十神写成天然成熟、万能药或关系必稳。</x:v>
      </x:c>
      <x:c r="G17" s="24" t="str">
        <x:v>这项资源只对特定问题有帮助，并不代表所有关系风险都会因此消失。</x:v>
      </x:c>
      <x:c r="H17" s="24" t="str">
        <x:v>98</x:v>
      </x:c>
    </x:row>
    <x:row r="18">
      <x:c r="A18" s="24" t="str">
        <x:v>M4-BUFFER-114</x:v>
      </x:c>
      <x:c r="B18" s="24" t="str">
        <x:v>正财｜持续落实与资源边界｜禁止推断</x:v>
      </x:c>
      <x:c r="C18" s="24" t="str">
        <x:v>边界</x:v>
      </x:c>
      <x:c r="D18" s="24" t="str">
        <x:v>正财</x:v>
      </x:c>
      <x:c r="E18" s="24" t="str">
        <x:v>完成同源去重、现实反例和安全检查。</x:v>
      </x:c>
      <x:c r="F18" s="24" t="str">
        <x:v>将该十神写成天然成熟、万能药或关系必稳。</x:v>
      </x:c>
      <x:c r="G18" s="24" t="str">
        <x:v>这项资源只对特定问题有帮助，并不代表所有关系风险都会因此消失。</x:v>
      </x:c>
      <x:c r="H18" s="24" t="str">
        <x:v>98</x:v>
      </x:c>
    </x:row>
    <x:row r="19">
      <x:c r="A19" s="24" t="str">
        <x:v>M4-BUFFER-120</x:v>
      </x:c>
      <x:c r="B19" s="24" t="str">
        <x:v>偏财｜替代方案与灵活资源｜禁止推断</x:v>
      </x:c>
      <x:c r="C19" s="24" t="str">
        <x:v>边界</x:v>
      </x:c>
      <x:c r="D19" s="24" t="str">
        <x:v>偏财</x:v>
      </x:c>
      <x:c r="E19" s="24" t="str">
        <x:v>完成同源去重、现实反例和安全检查。</x:v>
      </x:c>
      <x:c r="F19" s="24" t="str">
        <x:v>将该十神写成天然成熟、万能药或关系必稳。</x:v>
      </x:c>
      <x:c r="G19" s="24" t="str">
        <x:v>这项资源只对特定问题有帮助，并不代表所有关系风险都会因此消失。</x:v>
      </x:c>
      <x:c r="H19" s="24" t="str">
        <x:v>98</x:v>
      </x:c>
    </x:row>
    <x:row r="20">
      <x:c r="A20" s="24" t="str">
        <x:v>M4-BUFFER-126</x:v>
      </x:c>
      <x:c r="B20" s="24" t="str">
        <x:v>正官｜责任、规则与最小标准｜禁止推断</x:v>
      </x:c>
      <x:c r="C20" s="24" t="str">
        <x:v>边界</x:v>
      </x:c>
      <x:c r="D20" s="24" t="str">
        <x:v>正官</x:v>
      </x:c>
      <x:c r="E20" s="24" t="str">
        <x:v>完成同源去重、现实反例和安全检查。</x:v>
      </x:c>
      <x:c r="F20" s="24" t="str">
        <x:v>将该十神写成天然成熟、万能药或关系必稳。</x:v>
      </x:c>
      <x:c r="G20" s="24" t="str">
        <x:v>这项资源只对特定问题有帮助，并不代表所有关系风险都会因此消失。</x:v>
      </x:c>
      <x:c r="H20" s="24" t="str">
        <x:v>98</x:v>
      </x:c>
    </x:row>
    <x:row r="21">
      <x:c r="A21" s="24" t="str">
        <x:v>M4-BUFFER-132</x:v>
      </x:c>
      <x:c r="B21" s="24" t="str">
        <x:v>七杀｜止损、安全与关键行动｜禁止推断</x:v>
      </x:c>
      <x:c r="C21" s="24" t="str">
        <x:v>边界</x:v>
      </x:c>
      <x:c r="D21" s="24" t="str">
        <x:v>七杀</x:v>
      </x:c>
      <x:c r="E21" s="24" t="str">
        <x:v>完成同源去重、现实反例和安全检查。</x:v>
      </x:c>
      <x:c r="F21" s="24" t="str">
        <x:v>将该十神写成天然成熟、万能药或关系必稳。</x:v>
      </x:c>
      <x:c r="G21" s="24" t="str">
        <x:v>这项资源只对特定问题有帮助，并不代表所有关系风险都会因此消失。</x:v>
      </x:c>
      <x:c r="H21" s="24" t="str">
        <x:v>98</x:v>
      </x:c>
    </x:row>
    <x:row r="22">
      <x:c r="A22" s="24" t="str">
        <x:v>M4-BUFFER-138</x:v>
      </x:c>
      <x:c r="B22" s="24" t="str">
        <x:v>正印｜倾听、影响确认与安全恢复｜禁止推断</x:v>
      </x:c>
      <x:c r="C22" s="24" t="str">
        <x:v>边界</x:v>
      </x:c>
      <x:c r="D22" s="24" t="str">
        <x:v>正印</x:v>
      </x:c>
      <x:c r="E22" s="24" t="str">
        <x:v>完成同源去重、现实反例和安全检查。</x:v>
      </x:c>
      <x:c r="F22" s="24" t="str">
        <x:v>将该十神写成天然成熟、万能药或关系必稳。</x:v>
      </x:c>
      <x:c r="G22" s="24" t="str">
        <x:v>这项资源只对特定问题有帮助，并不代表所有关系风险都会因此消失。</x:v>
      </x:c>
      <x:c r="H22" s="24" t="str">
        <x:v>98</x:v>
      </x:c>
    </x:row>
    <x:row r="23">
      <x:c r="A23" s="24" t="str">
        <x:v>M4-BUFFER-144</x:v>
      </x:c>
      <x:c r="B23" s="24" t="str">
        <x:v>偏印｜模式识别、内部复盘与个性化方案｜禁止推断</x:v>
      </x:c>
      <x:c r="C23" s="24" t="str">
        <x:v>边界</x:v>
      </x:c>
      <x:c r="D23" s="24" t="str">
        <x:v>偏印</x:v>
      </x:c>
      <x:c r="E23" s="24" t="str">
        <x:v>完成同源去重、现实反例和安全检查。</x:v>
      </x:c>
      <x:c r="F23" s="24" t="str">
        <x:v>将该十神写成天然成熟、万能药或关系必稳。</x:v>
      </x:c>
      <x:c r="G23" s="24" t="str">
        <x:v>这项资源只对特定问题有帮助，并不代表所有关系风险都会因此消失。</x:v>
      </x:c>
      <x:c r="H23" s="24" t="str">
        <x:v>98</x:v>
      </x:c>
    </x:row>
    <x:row r="24">
      <x:c r="A24" s="24" t="str">
        <x:v>M4-BUFFER-147</x:v>
      </x:c>
      <x:c r="B24" s="24" t="str">
        <x:v>BL0 无有效资料／停止｜发布上限</x:v>
      </x:c>
      <x:c r="C24" s="24" t="str">
        <x:v>发布边界</x:v>
      </x:c>
      <x:c r="D24" s="24" t="str">
        <x:v>BL0 无有效资料／停止</x:v>
      </x:c>
      <x:c r="E24" s="24" t="str">
        <x:v>已经完成本层级证据门控。</x:v>
      </x:c>
      <x:c r="F24" s="24" t="str">
        <x:v>用低层级证据发布更强结论。</x:v>
      </x:c>
      <x:c r="G24" s="24" t="str">
        <x:v>这一层最多可以说明：不发布保护结论，只说明缺失项或停止原因。</x:v>
      </x:c>
      <x:c r="H24" s="24" t="str">
        <x:v>99</x:v>
      </x:c>
    </x:row>
    <x:row r="25">
      <x:c r="A25" s="24" t="str">
        <x:v>M4-BUFFER-149</x:v>
      </x:c>
      <x:c r="B25" s="24" t="str">
        <x:v>BL0 无有效资料／停止｜降级／停止条件</x:v>
      </x:c>
      <x:c r="C25" s="24" t="str">
        <x:v>降级</x:v>
      </x:c>
      <x:c r="D25" s="24" t="str">
        <x:v>BL0 无有效资料／停止</x:v>
      </x:c>
      <x:c r="E25" s="24" t="str">
        <x:v>任何单一十神、喜用神或自述均不能越过停止门控。</x:v>
      </x:c>
      <x:c r="F25" s="24" t="str">
        <x:v>存在跨情境稳定有效的现实证据。</x:v>
      </x:c>
      <x:c r="G25" s="24" t="str">
        <x:v>若出现以下情况，应降低判断：任何单一十神、喜用神或自述均不能越过停止门控。</x:v>
      </x:c>
      <x:c r="H25" s="24" t="str">
        <x:v>97</x:v>
      </x:c>
    </x:row>
    <x:row r="26">
      <x:c r="A26" s="24" t="str">
        <x:v>M4-BUFFER-153</x:v>
      </x:c>
      <x:c r="B26" s="24" t="str">
        <x:v>BL1 标签资源｜发布上限</x:v>
      </x:c>
      <x:c r="C26" s="24" t="str">
        <x:v>发布边界</x:v>
      </x:c>
      <x:c r="D26" s="24" t="str">
        <x:v>BL1 标签资源</x:v>
      </x:c>
      <x:c r="E26" s="24" t="str">
        <x:v>已经完成本层级证据门控。</x:v>
      </x:c>
      <x:c r="F26" s="24" t="str">
        <x:v>用低层级证据发布更强结论。</x:v>
      </x:c>
      <x:c r="G26" s="24" t="str">
        <x:v>这一层最多可以说明：最多写“存在潜在方向”，不得减弱风险等级。</x:v>
      </x:c>
      <x:c r="H26" s="24" t="str">
        <x:v>99</x:v>
      </x:c>
    </x:row>
    <x:row r="27">
      <x:c r="A27" s="24" t="str">
        <x:v>M4-BUFFER-155</x:v>
      </x:c>
      <x:c r="B27" s="24" t="str">
        <x:v>BL1 标签资源｜降级／停止条件</x:v>
      </x:c>
      <x:c r="C27" s="24" t="str">
        <x:v>降级</x:v>
      </x:c>
      <x:c r="D27" s="24" t="str">
        <x:v>BL1 标签资源</x:v>
      </x:c>
      <x:c r="E27" s="24" t="str">
        <x:v>若现实反例明确，则回到BL0。</x:v>
      </x:c>
      <x:c r="F27" s="24" t="str">
        <x:v>存在跨情境稳定有效的现实证据。</x:v>
      </x:c>
      <x:c r="G27" s="24" t="str">
        <x:v>若出现以下情况，应降低判断：若现实反例明确，则回到BL0。</x:v>
      </x:c>
      <x:c r="H27" s="24" t="str">
        <x:v>97</x:v>
      </x:c>
    </x:row>
    <x:row r="28">
      <x:c r="A28" s="24" t="str">
        <x:v>M4-BUFFER-159</x:v>
      </x:c>
      <x:c r="B28" s="24" t="str">
        <x:v>BL2 结构可用候选｜发布上限</x:v>
      </x:c>
      <x:c r="C28" s="24" t="str">
        <x:v>发布边界</x:v>
      </x:c>
      <x:c r="D28" s="24" t="str">
        <x:v>BL2 结构可用候选</x:v>
      </x:c>
      <x:c r="E28" s="24" t="str">
        <x:v>已经完成本层级证据门控。</x:v>
      </x:c>
      <x:c r="F28" s="24" t="str">
        <x:v>用低层级证据发布更强结论。</x:v>
      </x:c>
      <x:c r="G28" s="24" t="str">
        <x:v>这一层最多可以说明：可作为结构保护候选，小幅降低候选分值但不改变E等级。</x:v>
      </x:c>
      <x:c r="H28" s="24" t="str">
        <x:v>99</x:v>
      </x:c>
    </x:row>
    <x:row r="29">
      <x:c r="A29" s="24" t="str">
        <x:v>M4-BUFFER-161</x:v>
      </x:c>
      <x:c r="B29" s="24" t="str">
        <x:v>BL2 结构可用候选｜降级／停止条件</x:v>
      </x:c>
      <x:c r="C29" s="24" t="str">
        <x:v>降级</x:v>
      </x:c>
      <x:c r="D29" s="24" t="str">
        <x:v>BL2 结构可用候选</x:v>
      </x:c>
      <x:c r="E29" s="24" t="str">
        <x:v>同源重复、弱远无助或功能错配时降回BL1。</x:v>
      </x:c>
      <x:c r="F29" s="24" t="str">
        <x:v>存在跨情境稳定有效的现实证据。</x:v>
      </x:c>
      <x:c r="G29" s="24" t="str">
        <x:v>若出现以下情况，应降低判断：同源重复、弱远无助或功能错配时降回BL1。</x:v>
      </x:c>
      <x:c r="H29" s="24" t="str">
        <x:v>97</x:v>
      </x:c>
    </x:row>
    <x:row r="30">
      <x:c r="A30" s="24" t="str">
        <x:v>M4-BUFFER-165</x:v>
      </x:c>
      <x:c r="B30" s="24" t="str">
        <x:v>BL3 条件性可调用｜发布上限</x:v>
      </x:c>
      <x:c r="C30" s="24" t="str">
        <x:v>发布边界</x:v>
      </x:c>
      <x:c r="D30" s="24" t="str">
        <x:v>BL3 条件性可调用</x:v>
      </x:c>
      <x:c r="E30" s="24" t="str">
        <x:v>已经完成本层级证据门控。</x:v>
      </x:c>
      <x:c r="F30" s="24" t="str">
        <x:v>用低层级证据发布更强结论。</x:v>
      </x:c>
      <x:c r="G30" s="24" t="str">
        <x:v>这一层最多可以说明：可形成条件性保护，说明何时有效、何时不一定有效。</x:v>
      </x:c>
      <x:c r="H30" s="24" t="str">
        <x:v>99</x:v>
      </x:c>
    </x:row>
    <x:row r="31">
      <x:c r="A31" s="24" t="str">
        <x:v>M4-BUFFER-167</x:v>
      </x:c>
      <x:c r="B31" s="24" t="str">
        <x:v>BL3 条件性可调用｜降级／停止条件</x:v>
      </x:c>
      <x:c r="C31" s="24" t="str">
        <x:v>降级</x:v>
      </x:c>
      <x:c r="D31" s="24" t="str">
        <x:v>BL3 条件性可调用</x:v>
      </x:c>
      <x:c r="E31" s="24" t="str">
        <x:v>条件不满足或高压下失效时不得泛化。</x:v>
      </x:c>
      <x:c r="F31" s="24" t="str">
        <x:v>存在跨情境稳定有效的现实证据。</x:v>
      </x:c>
      <x:c r="G31" s="24" t="str">
        <x:v>若出现以下情况，应降低判断：条件不满足或高压下失效时不得泛化。</x:v>
      </x:c>
      <x:c r="H31" s="24" t="str">
        <x:v>97</x:v>
      </x:c>
    </x:row>
    <x:row r="32">
      <x:c r="A32" s="24" t="str">
        <x:v>M4-BUFFER-171</x:v>
      </x:c>
      <x:c r="B32" s="24" t="str">
        <x:v>BL4 单次现实已启动｜发布上限</x:v>
      </x:c>
      <x:c r="C32" s="24" t="str">
        <x:v>发布边界</x:v>
      </x:c>
      <x:c r="D32" s="24" t="str">
        <x:v>BL4 单次现实已启动</x:v>
      </x:c>
      <x:c r="E32" s="24" t="str">
        <x:v>已经完成本层级证据门控。</x:v>
      </x:c>
      <x:c r="F32" s="24" t="str">
        <x:v>用低层级证据发布更强结论。</x:v>
      </x:c>
      <x:c r="G32" s="24" t="str">
        <x:v>这一层最多可以说明：可写“这次事件中已启动”，但不能写稳定有效。</x:v>
      </x:c>
      <x:c r="H32" s="24" t="str">
        <x:v>99</x:v>
      </x:c>
    </x:row>
    <x:row r="33">
      <x:c r="A33" s="24" t="str">
        <x:v>M4-BUFFER-173</x:v>
      </x:c>
      <x:c r="B33" s="24" t="str">
        <x:v>BL4 单次现实已启动｜降级／停止条件</x:v>
      </x:c>
      <x:c r="C33" s="24" t="str">
        <x:v>降级</x:v>
      </x:c>
      <x:c r="D33" s="24" t="str">
        <x:v>BL4 单次现实已启动</x:v>
      </x:c>
      <x:c r="E33" s="24" t="str">
        <x:v>只有动作没有效果时仍停留BL4，不升级。</x:v>
      </x:c>
      <x:c r="F33" s="24" t="str">
        <x:v>存在跨情境稳定有效的现实证据。</x:v>
      </x:c>
      <x:c r="G33" s="24" t="str">
        <x:v>若出现以下情况，应降低判断：只有动作没有效果时仍停留BL4，不升级。</x:v>
      </x:c>
      <x:c r="H33" s="24" t="str">
        <x:v>97</x:v>
      </x:c>
    </x:row>
    <x:row r="34">
      <x:c r="A34" s="24" t="str">
        <x:v>M4-BUFFER-177</x:v>
      </x:c>
      <x:c r="B34" s="24" t="str">
        <x:v>BL5 单次实际有效｜发布上限</x:v>
      </x:c>
      <x:c r="C34" s="24" t="str">
        <x:v>发布边界</x:v>
      </x:c>
      <x:c r="D34" s="24" t="str">
        <x:v>BL5 单次实际有效</x:v>
      </x:c>
      <x:c r="E34" s="24" t="str">
        <x:v>已经完成本层级证据门控。</x:v>
      </x:c>
      <x:c r="F34" s="24" t="str">
        <x:v>用低层级证据发布更强结论。</x:v>
      </x:c>
      <x:c r="G34" s="24" t="str">
        <x:v>这一层最多可以说明：可降低该事件的风险结论，并写出具体有效节点。</x:v>
      </x:c>
      <x:c r="H34" s="24" t="str">
        <x:v>99</x:v>
      </x:c>
    </x:row>
    <x:row r="35">
      <x:c r="A35" s="24" t="str">
        <x:v>M4-BUFFER-179</x:v>
      </x:c>
      <x:c r="B35" s="24" t="str">
        <x:v>BL5 单次实际有效｜降级／停止条件</x:v>
      </x:c>
      <x:c r="C35" s="24" t="str">
        <x:v>降级</x:v>
      </x:c>
      <x:c r="D35" s="24" t="str">
        <x:v>BL5 单次实际有效</x:v>
      </x:c>
      <x:c r="E35" s="24" t="str">
        <x:v>若效果仅来自偶然、对方单方面配合或环境特殊，保持条件化。</x:v>
      </x:c>
      <x:c r="F35" s="24" t="str">
        <x:v>存在跨情境稳定有效的现实证据。</x:v>
      </x:c>
      <x:c r="G35" s="24" t="str">
        <x:v>若出现以下情况，应降低判断：若效果仅来自偶然、对方单方面配合或环境特殊，保持条件化。</x:v>
      </x:c>
      <x:c r="H35" s="24" t="str">
        <x:v>97</x:v>
      </x:c>
    </x:row>
    <x:row r="36">
      <x:c r="A36" s="24" t="str">
        <x:v>M4-BUFFER-183</x:v>
      </x:c>
      <x:c r="B36" s="24" t="str">
        <x:v>BL6 跨情境稳定有效｜发布上限</x:v>
      </x:c>
      <x:c r="C36" s="24" t="str">
        <x:v>发布边界</x:v>
      </x:c>
      <x:c r="D36" s="24" t="str">
        <x:v>BL6 跨情境稳定有效</x:v>
      </x:c>
      <x:c r="E36" s="24" t="str">
        <x:v>已经完成本层级证据门控。</x:v>
      </x:c>
      <x:c r="F36" s="24" t="str">
        <x:v>用低层级证据发布更强结论。</x:v>
      </x:c>
      <x:c r="G36" s="24" t="str">
        <x:v>这一层最多可以说明：可作为稳定保护，显著降权相应风险候选。</x:v>
      </x:c>
      <x:c r="H36" s="24" t="str">
        <x:v>99</x:v>
      </x:c>
    </x:row>
    <x:row r="37">
      <x:c r="A37" s="24" t="str">
        <x:v>M4-BUFFER-185</x:v>
      </x:c>
      <x:c r="B37" s="24" t="str">
        <x:v>BL6 跨情境稳定有效｜降级／停止条件</x:v>
      </x:c>
      <x:c r="C37" s="24" t="str">
        <x:v>降级</x:v>
      </x:c>
      <x:c r="D37" s="24" t="str">
        <x:v>BL6 跨情境稳定有效</x:v>
      </x:c>
      <x:c r="E37" s="24" t="str">
        <x:v>出现稳定无效或反向结果时转为情境化。</x:v>
      </x:c>
      <x:c r="F37" s="24" t="str">
        <x:v>存在跨情境稳定有效的现实证据。</x:v>
      </x:c>
      <x:c r="G37" s="24" t="str">
        <x:v>若出现以下情况，应降低判断：出现稳定无效或反向结果时转为情境化。</x:v>
      </x:c>
      <x:c r="H37" s="24" t="str">
        <x:v>97</x:v>
      </x:c>
    </x:row>
    <x:row r="38">
      <x:c r="A38" s="24" t="str">
        <x:v>M4-BUFFER-189</x:v>
      </x:c>
      <x:c r="B38" s="24" t="str">
        <x:v>BL7 经反例检验的稳定保护｜发布上限</x:v>
      </x:c>
      <x:c r="C38" s="24" t="str">
        <x:v>发布边界</x:v>
      </x:c>
      <x:c r="D38" s="24" t="str">
        <x:v>BL7 经反例检验的稳定保护</x:v>
      </x:c>
      <x:c r="E38" s="24" t="str">
        <x:v>已经完成本层级证据门控。</x:v>
      </x:c>
      <x:c r="F38" s="24" t="str">
        <x:v>用低层级证据发布更强结论。</x:v>
      </x:c>
      <x:c r="G38" s="24" t="str">
        <x:v>这一层最多可以说明：可停止或重写对应风险候选，但不推断未来绝不会复发。</x:v>
      </x:c>
      <x:c r="H38" s="24" t="str">
        <x:v>99</x:v>
      </x:c>
    </x:row>
    <x:row r="39">
      <x:c r="A39" s="24" t="str">
        <x:v>M4-BUFFER-191</x:v>
      </x:c>
      <x:c r="B39" s="24" t="str">
        <x:v>BL7 经反例检验的稳定保护｜降级／停止条件</x:v>
      </x:c>
      <x:c r="C39" s="24" t="str">
        <x:v>降级</x:v>
      </x:c>
      <x:c r="D39" s="24" t="str">
        <x:v>BL7 经反例检验的稳定保护</x:v>
      </x:c>
      <x:c r="E39" s="24" t="str">
        <x:v>现实安全事实或新反例出现时立即重评。</x:v>
      </x:c>
      <x:c r="F39" s="24" t="str">
        <x:v>存在跨情境稳定有效的现实证据。</x:v>
      </x:c>
      <x:c r="G39" s="24" t="str">
        <x:v>若出现以下情况，应降低判断：现实安全事实或新反例出现时立即重评。</x:v>
      </x:c>
      <x:c r="H39" s="24" t="str">
        <x:v>97</x:v>
      </x:c>
    </x:row>
    <x:row r="40">
      <x:c r="A40" s="24" t="str">
        <x:v>M4-BUFFER-196</x:v>
      </x:c>
      <x:c r="B40" s="24" t="str">
        <x:v>PB01 命理标签替代现实调用｜反例门控</x:v>
      </x:c>
      <x:c r="C40" s="24" t="str">
        <x:v>反例</x:v>
      </x:c>
      <x:c r="D40" s="24" t="str">
        <x:v>PB01 命理标签替代现实调用</x:v>
      </x:c>
      <x:c r="E40" s="24" t="str">
        <x:v>没有观察到只有当结构资源与现实行为共同改变风险链，才退出伪保护。。</x:v>
      </x:c>
      <x:c r="F40" s="24" t="str">
        <x:v>已经观察到只有当结构资源与现实行为共同改变风险链，才退出伪保护。，并在相似情境中重复。</x:v>
      </x:c>
      <x:c r="G40" s="24" t="str">
        <x:v>若现实中已经做到“只有当结构资源与现实行为共同改变风险链，才退出伪保护。”，就不应再把它视为表面保护。</x:v>
      </x:c>
      <x:c r="H40" s="24" t="str">
        <x:v>97</x:v>
      </x:c>
    </x:row>
    <x:row r="41">
      <x:c r="A41" s="24" t="str">
        <x:v>M4-BUFFER-202</x:v>
      </x:c>
      <x:c r="B41" s="24" t="str">
        <x:v>PB02 规则加码替代协商｜反例门控</x:v>
      </x:c>
      <x:c r="C41" s="24" t="str">
        <x:v>反例</x:v>
      </x:c>
      <x:c r="D41" s="24" t="str">
        <x:v>PB02 规则加码替代协商</x:v>
      </x:c>
      <x:c r="E41" s="24" t="str">
        <x:v>没有观察到最小可执行规则被共同确认，并在后续真实执行。。</x:v>
      </x:c>
      <x:c r="F41" s="24" t="str">
        <x:v>已经观察到最小可执行规则被共同确认，并在后续真实执行。，并在相似情境中重复。</x:v>
      </x:c>
      <x:c r="G41" s="24" t="str">
        <x:v>若现实中已经做到“最小可执行规则被共同确认，并在后续真实执行。”，就不应再把它视为表面保护。</x:v>
      </x:c>
      <x:c r="H41" s="24" t="str">
        <x:v>97</x:v>
      </x:c>
    </x:row>
    <x:row r="42">
      <x:c r="A42" s="24" t="str">
        <x:v>M4-BUFFER-208</x:v>
      </x:c>
      <x:c r="B42" s="24" t="str">
        <x:v>PB03 解释增加替代反馈｜反例门控</x:v>
      </x:c>
      <x:c r="C42" s="24" t="str">
        <x:v>反例</x:v>
      </x:c>
      <x:c r="D42" s="24" t="str">
        <x:v>PB03 解释增加替代反馈</x:v>
      </x:c>
      <x:c r="E42" s="24" t="str">
        <x:v>没有观察到表达与接收反馈形成往返，而不是单向输出。。</x:v>
      </x:c>
      <x:c r="F42" s="24" t="str">
        <x:v>已经观察到表达与接收反馈形成往返，而不是单向输出。，并在相似情境中重复。</x:v>
      </x:c>
      <x:c r="G42" s="24" t="str">
        <x:v>若现实中已经做到“表达与接收反馈形成往返，而不是单向输出。”，就不应再把它视为表面保护。</x:v>
      </x:c>
      <x:c r="H42" s="24" t="str">
        <x:v>97</x:v>
      </x:c>
    </x:row>
    <x:row r="43">
      <x:c r="A43" s="24" t="str">
        <x:v>M4-BUFFER-214</x:v>
      </x:c>
      <x:c r="B43" s="24" t="str">
        <x:v>PB04 投入补偿替代责任与边界｜反例门控</x:v>
      </x:c>
      <x:c r="C43" s="24" t="str">
        <x:v>反例</x:v>
      </x:c>
      <x:c r="D43" s="24" t="str">
        <x:v>PB04 投入补偿替代责任与边界</x:v>
      </x:c>
      <x:c r="E43" s="24" t="str">
        <x:v>没有观察到投入转成明确责任、边界调整和持续行为。。</x:v>
      </x:c>
      <x:c r="F43" s="24" t="str">
        <x:v>已经观察到投入转成明确责任、边界调整和持续行为。，并在相似情境中重复。</x:v>
      </x:c>
      <x:c r="G43" s="24" t="str">
        <x:v>若现实中已经做到“投入转成明确责任、边界调整和持续行为。”，就不应再把它视为表面保护。</x:v>
      </x:c>
      <x:c r="H43" s="24" t="str">
        <x:v>97</x:v>
      </x:c>
    </x:row>
    <x:row r="44">
      <x:c r="A44" s="24" t="str">
        <x:v>M4-BUFFER-220</x:v>
      </x:c>
      <x:c r="B44" s="24" t="str">
        <x:v>PB05 安抚和谐替代关键处理｜反例门控</x:v>
      </x:c>
      <x:c r="C44" s="24" t="str">
        <x:v>反例</x:v>
      </x:c>
      <x:c r="D44" s="24" t="str">
        <x:v>PB05 安抚和谐替代关键处理</x:v>
      </x:c>
      <x:c r="E44" s="24" t="str">
        <x:v>没有观察到舒缓之后重新进入事实、影响和方案。。</x:v>
      </x:c>
      <x:c r="F44" s="24" t="str">
        <x:v>已经观察到舒缓之后重新进入事实、影响和方案。，并在相似情境中重复。</x:v>
      </x:c>
      <x:c r="G44" s="24" t="str">
        <x:v>若现实中已经做到“舒缓之后重新进入事实、影响和方案。”，就不应再把它视为表面保护。</x:v>
      </x:c>
      <x:c r="H44" s="24" t="str">
        <x:v>97</x:v>
      </x:c>
    </x:row>
    <x:row r="45">
      <x:c r="A45" s="24" t="str">
        <x:v>M4-BUFFER-226</x:v>
      </x:c>
      <x:c r="B45" s="24" t="str">
        <x:v>PB06 快速行动替代共同决定｜反例门控</x:v>
      </x:c>
      <x:c r="C45" s="24" t="str">
        <x:v>反例</x:v>
      </x:c>
      <x:c r="D45" s="24" t="str">
        <x:v>PB06 快速行动替代共同决定</x:v>
      </x:c>
      <x:c r="E45" s="24" t="str">
        <x:v>没有观察到高压行动有清楚边界，并在事后恢复共同决定。。</x:v>
      </x:c>
      <x:c r="F45" s="24" t="str">
        <x:v>已经观察到高压行动有清楚边界，并在事后恢复共同决定。，并在相似情境中重复。</x:v>
      </x:c>
      <x:c r="G45" s="24" t="str">
        <x:v>若现实中已经做到“高压行动有清楚边界，并在事后恢复共同决定。”，就不应再把它视为表面保护。</x:v>
      </x:c>
      <x:c r="H45" s="24" t="str">
        <x:v>97</x:v>
      </x:c>
    </x:row>
    <x:row r="46">
      <x:c r="A46" s="24" t="str">
        <x:v>M4-BUFFER-232</x:v>
      </x:c>
      <x:c r="B46" s="24" t="str">
        <x:v>PB07 暂停空间替代回归｜反例门控</x:v>
      </x:c>
      <x:c r="C46" s="24" t="str">
        <x:v>反例</x:v>
      </x:c>
      <x:c r="D46" s="24" t="str">
        <x:v>PB07 暂停空间替代回归</x:v>
      </x:c>
      <x:c r="E46" s="24" t="str">
        <x:v>没有观察到暂停后按约定重新进入沟通、边界或修复。。</x:v>
      </x:c>
      <x:c r="F46" s="24" t="str">
        <x:v>已经观察到暂停后按约定重新进入沟通、边界或修复。，并在相似情境中重复。</x:v>
      </x:c>
      <x:c r="G46" s="24" t="str">
        <x:v>若现实中已经做到“暂停后按约定重新进入沟通、边界或修复。”，就不应再把它视为表面保护。</x:v>
      </x:c>
      <x:c r="H46" s="24" t="str">
        <x:v>97</x:v>
      </x:c>
    </x:row>
    <x:row r="47">
      <x:c r="A47" s="24" t="str">
        <x:v>M4-BUFFER-238</x:v>
      </x:c>
      <x:c r="B47" s="24" t="str">
        <x:v>PB08 单方努力替代双向修复｜反例门控</x:v>
      </x:c>
      <x:c r="C47" s="24" t="str">
        <x:v>反例</x:v>
      </x:c>
      <x:c r="D47" s="24" t="str">
        <x:v>PB08 单方努力替代双向修复</x:v>
      </x:c>
      <x:c r="E47" s="24" t="str">
        <x:v>没有观察到一方责任行动与接收方真实反馈形成二次调整。。</x:v>
      </x:c>
      <x:c r="F47" s="24" t="str">
        <x:v>已经观察到一方责任行动与接收方真实反馈形成二次调整。，并在相似情境中重复。</x:v>
      </x:c>
      <x:c r="G47" s="24" t="str">
        <x:v>若现实中已经做到“一方责任行动与接收方真实反馈形成二次调整。”，就不应再把它视为表面保护。</x:v>
      </x:c>
      <x:c r="H47" s="24" t="str">
        <x:v>97</x:v>
      </x:c>
    </x:row>
    <x:row r="48">
      <x:c r="A48" s="24" t="str">
        <x:v>M4-BUFFER-245</x:v>
      </x:c>
      <x:c r="B48" s="24" t="str">
        <x:v>DY01 限制过用｜无效／过量边界</x:v>
      </x:c>
      <x:c r="C48" s="24" t="str">
        <x:v>降级</x:v>
      </x:c>
      <x:c r="D48" s="24" t="str">
        <x:v>DY01 限制过用</x:v>
      </x:c>
      <x:c r="E48" s="24" t="str">
        <x:v>只是把原功能完全压制，或用另一项同样过强的功能取代。</x:v>
      </x:c>
      <x:c r="F48" s="24" t="str">
        <x:v>原功能仍能发挥，但不再压缩反馈、边界或第二功能。</x:v>
      </x:c>
      <x:c r="G48" s="24" t="str">
        <x:v>若只是“只是把原功能完全压制，或用另一项同样过强的功能取代。”，就不能把它视为有效调节。</x:v>
      </x:c>
      <x:c r="H48" s="24" t="str">
        <x:v>97</x:v>
      </x:c>
    </x:row>
    <x:row r="49">
      <x:c r="A49" s="24" t="str">
        <x:v>M4-BUFFER-251</x:v>
      </x:c>
      <x:c r="B49" s="24" t="str">
        <x:v>DY02 补足不足｜无效／过量边界</x:v>
      </x:c>
      <x:c r="C49" s="24" t="str">
        <x:v>降级</x:v>
      </x:c>
      <x:c r="D49" s="24" t="str">
        <x:v>DY02 补足不足</x:v>
      </x:c>
      <x:c r="E49" s="24" t="str">
        <x:v>只增加元素数量，却没有进入具体关系任务。</x:v>
      </x:c>
      <x:c r="F49" s="24" t="str">
        <x:v>缺失步骤能够在需要时进入，而不必由熟悉通道长期代替。</x:v>
      </x:c>
      <x:c r="G49" s="24" t="str">
        <x:v>若只是“只增加元素数量，却没有进入具体关系任务。”，就不能把它视为有效调节。</x:v>
      </x:c>
      <x:c r="H49" s="24" t="str">
        <x:v>97</x:v>
      </x:c>
    </x:row>
    <x:row r="50">
      <x:c r="A50" s="24" t="str">
        <x:v>M4-BUFFER-257</x:v>
      </x:c>
      <x:c r="B50" s="24" t="str">
        <x:v>DY03 拆除单通道替代｜无效／过量边界</x:v>
      </x:c>
      <x:c r="C50" s="24" t="str">
        <x:v>降级</x:v>
      </x:c>
      <x:c r="D50" s="24" t="str">
        <x:v>DY03 拆除单通道替代</x:v>
      </x:c>
      <x:c r="E50" s="24" t="str">
        <x:v>把替代关系换成另一种单通道垄断。</x:v>
      </x:c>
      <x:c r="F50" s="24" t="str">
        <x:v>表达不再替代倾听，行动不再替代协商，理解不再替代改变。</x:v>
      </x:c>
      <x:c r="G50" s="24" t="str">
        <x:v>若只是“把替代关系换成另一种单通道垄断。”，就不能把它视为有效调节。</x:v>
      </x:c>
      <x:c r="H50" s="24" t="str">
        <x:v>97</x:v>
      </x:c>
    </x:row>
    <x:row r="51">
      <x:c r="A51" s="24" t="str">
        <x:v>M4-BUFFER-263</x:v>
      </x:c>
      <x:c r="B51" s="24" t="str">
        <x:v>DY04 恢复处理顺序｜无效／过量边界</x:v>
      </x:c>
      <x:c r="C51" s="24" t="str">
        <x:v>降级</x:v>
      </x:c>
      <x:c r="D51" s="24" t="str">
        <x:v>DY04 恢复处理顺序</x:v>
      </x:c>
      <x:c r="E51" s="24" t="str">
        <x:v>只调整表面顺序，却没有完成后续必要节点。</x:v>
      </x:c>
      <x:c r="F51" s="24" t="str">
        <x:v>第一步完成后，第二项必要任务能够按时回流。</x:v>
      </x:c>
      <x:c r="G51" s="24" t="str">
        <x:v>若只是“只调整表面顺序，却没有完成后续必要节点。”，就不能把它视为有效调节。</x:v>
      </x:c>
      <x:c r="H51" s="24" t="str">
        <x:v>97</x:v>
      </x:c>
    </x:row>
    <x:row r="52">
      <x:c r="A52" s="24" t="str">
        <x:v>M4-BUFFER-269</x:v>
      </x:c>
      <x:c r="B52" s="24" t="str">
        <x:v>DY05 调停双通道竞争｜无效／过量边界</x:v>
      </x:c>
      <x:c r="C52" s="24" t="str">
        <x:v>降级</x:v>
      </x:c>
      <x:c r="D52" s="24" t="str">
        <x:v>DY05 调停双通道竞争</x:v>
      </x:c>
      <x:c r="E52" s="24" t="str">
        <x:v>机械折中、平均分配，或由一方长期压制另一方。</x:v>
      </x:c>
      <x:c r="F52" s="24" t="str">
        <x:v>两项功能不再抢占同一位置，而是各自负责不同任务或阶段。</x:v>
      </x:c>
      <x:c r="G52" s="24" t="str">
        <x:v>若只是“机械折中、平均分配，或由一方长期压制另一方。”，就不能把它视为有效调节。</x:v>
      </x:c>
      <x:c r="H52" s="24" t="str">
        <x:v>97</x:v>
      </x:c>
    </x:row>
    <x:row r="53">
      <x:c r="A53" s="24" t="str">
        <x:v>M4-BUFFER-275</x:v>
      </x:c>
      <x:c r="B53" s="24" t="str">
        <x:v>DY06 打通功能转换｜无效／过量边界</x:v>
      </x:c>
      <x:c r="C53" s="24" t="str">
        <x:v>降级</x:v>
      </x:c>
      <x:c r="D53" s="24" t="str">
        <x:v>DY06 打通功能转换</x:v>
      </x:c>
      <x:c r="E53" s="24" t="str">
        <x:v>只存在桥梁标签，现实中没有转换结果。</x:v>
      </x:c>
      <x:c r="F53" s="24" t="str">
        <x:v>理解转成边界、表达转成行动、投入转成责任、责任转成安全。</x:v>
      </x:c>
      <x:c r="G53" s="24" t="str">
        <x:v>若只是“只存在桥梁标签，现实中没有转换结果。”，就不能把它视为有效调节。</x:v>
      </x:c>
      <x:c r="H53" s="24" t="str">
        <x:v>97</x:v>
      </x:c>
    </x:row>
    <x:row r="54">
      <x:c r="A54" s="24" t="str">
        <x:v>M4-BUFFER-281</x:v>
      </x:c>
      <x:c r="B54" s="24" t="str">
        <x:v>DY07 中断反馈放大｜无效／过量边界</x:v>
      </x:c>
      <x:c r="C54" s="24" t="str">
        <x:v>降级</x:v>
      </x:c>
      <x:c r="D54" s="24" t="str">
        <x:v>DY07 中断反馈放大</x:v>
      </x:c>
      <x:c r="E54" s="24" t="str">
        <x:v>继续猜测动机、扩大解释或推进，未核对可观察事实。</x:v>
      </x:c>
      <x:c r="F54" s="24" t="str">
        <x:v>反馈被当作新信息，而不是自动证明原判断。</x:v>
      </x:c>
      <x:c r="G54" s="24" t="str">
        <x:v>若只是“继续猜测动机、扩大解释或推进，未核对可观察事实。”，就不能把它视为有效调节。</x:v>
      </x:c>
      <x:c r="H54" s="24" t="str">
        <x:v>97</x:v>
      </x:c>
    </x:row>
    <x:row r="55">
      <x:c r="A55" s="24" t="str">
        <x:v>M4-BUFFER-287</x:v>
      </x:c>
      <x:c r="B55" s="24" t="str">
        <x:v>DY08 完成修复回流｜无效／过量边界</x:v>
      </x:c>
      <x:c r="C55" s="24" t="str">
        <x:v>降级</x:v>
      </x:c>
      <x:c r="D55" s="24" t="str">
        <x:v>DY08 完成修复回流</x:v>
      </x:c>
      <x:c r="E55" s="24" t="str">
        <x:v>只完成道歉、补偿、安抚或方案中的一项。</x:v>
      </x:c>
      <x:c r="F55" s="24" t="str">
        <x:v>问题停止之后，理解、责任、边界、改变和开放重新进入。</x:v>
      </x:c>
      <x:c r="G55" s="24" t="str">
        <x:v>若只是“只完成道歉、补偿、安抚或方案中的一项。”，就不能把它视为有效调节。</x:v>
      </x:c>
      <x:c r="H55" s="24" t="str">
        <x:v>97</x:v>
      </x:c>
    </x:row>
    <x:row r="56">
      <x:c r="A56" s="24" t="str">
        <x:v>M4-BUFFER-293</x:v>
      </x:c>
      <x:c r="B56" s="24" t="str">
        <x:v>K01 过用放大｜失效与伪保护</x:v>
      </x:c>
      <x:c r="C56" s="24" t="str">
        <x:v>降级</x:v>
      </x:c>
      <x:c r="D56" s="24" t="str">
        <x:v>K01 过用放大</x:v>
      </x:c>
      <x:c r="E56" s="24" t="str">
        <x:v>只是压制原功能，或由另一项过强功能接管。</x:v>
      </x:c>
      <x:c r="F56" s="24" t="str">
        <x:v>主功能仍可使用，但强度、范围或时机被限制，第二功能能够进入。</x:v>
      </x:c>
      <x:c r="G56" s="24" t="str">
        <x:v>若只是“只是压制原功能，或由另一项过强功能接管。”，说明保护还没有真正成立。</x:v>
      </x:c>
      <x:c r="H56" s="24" t="str">
        <x:v>97</x:v>
      </x:c>
    </x:row>
    <x:row r="57">
      <x:c r="A57" s="24" t="str">
        <x:v>M4-BUFFER-299</x:v>
      </x:c>
      <x:c r="B57" s="24" t="str">
        <x:v>K02 功能不足｜失效与伪保护</x:v>
      </x:c>
      <x:c r="C57" s="24" t="str">
        <x:v>降级</x:v>
      </x:c>
      <x:c r="D57" s="24" t="str">
        <x:v>K02 功能不足</x:v>
      </x:c>
      <x:c r="E57" s="24" t="str">
        <x:v>只增加抽象标签或资源数量，没有进入具体任务。</x:v>
      </x:c>
      <x:c r="F57" s="24" t="str">
        <x:v>缺失功能能够在对应任务出现时被调用，并形成可观察结果。</x:v>
      </x:c>
      <x:c r="G57" s="24" t="str">
        <x:v>若只是“只增加抽象标签或资源数量，没有进入具体任务。”，说明保护还没有真正成立。</x:v>
      </x:c>
      <x:c r="H57" s="24" t="str">
        <x:v>97</x:v>
      </x:c>
    </x:row>
    <x:row r="58">
      <x:c r="A58" s="24" t="str">
        <x:v>M4-BUFFER-305</x:v>
      </x:c>
      <x:c r="B58" s="24" t="str">
        <x:v>K03 单通道替代｜失效与伪保护</x:v>
      </x:c>
      <x:c r="C58" s="24" t="str">
        <x:v>降级</x:v>
      </x:c>
      <x:c r="D58" s="24" t="str">
        <x:v>K03 单通道替代</x:v>
      </x:c>
      <x:c r="E58" s="24" t="str">
        <x:v>从一种替代换成另一种替代，仍然没有完成目标任务。</x:v>
      </x:c>
      <x:c r="F58" s="24" t="str">
        <x:v>原功能与被替代任务重新分工，两者都能进入。</x:v>
      </x:c>
      <x:c r="G58" s="24" t="str">
        <x:v>若只是“从一种替代换成另一种替代，仍然没有完成目标任务。”，说明保护还没有真正成立。</x:v>
      </x:c>
      <x:c r="H58" s="24" t="str">
        <x:v>97</x:v>
      </x:c>
    </x:row>
    <x:row r="59">
      <x:c r="A59" s="24" t="str">
        <x:v>M4-BUFFER-311</x:v>
      </x:c>
      <x:c r="B59" s="24" t="str">
        <x:v>K04 处理顺序错位｜失效与伪保护</x:v>
      </x:c>
      <x:c r="C59" s="24" t="str">
        <x:v>降级</x:v>
      </x:c>
      <x:c r="D59" s="24" t="str">
        <x:v>K04 处理顺序错位</x:v>
      </x:c>
      <x:c r="E59" s="24" t="str">
        <x:v>只改变表面顺序，后续关键步骤仍未完成。</x:v>
      </x:c>
      <x:c r="F59" s="24" t="str">
        <x:v>第一步完成后，第二步在约定时点回流，不再长期延后。</x:v>
      </x:c>
      <x:c r="G59" s="24" t="str">
        <x:v>若只是“只改变表面顺序，后续关键步骤仍未完成。”，说明保护还没有真正成立。</x:v>
      </x:c>
      <x:c r="H59" s="24" t="str">
        <x:v>97</x:v>
      </x:c>
    </x:row>
    <x:row r="60">
      <x:c r="A60" s="24" t="str">
        <x:v>M4-BUFFER-317</x:v>
      </x:c>
      <x:c r="B60" s="24" t="str">
        <x:v>K05 双通道竞争｜失效与伪保护</x:v>
      </x:c>
      <x:c r="C60" s="24" t="str">
        <x:v>降级</x:v>
      </x:c>
      <x:c r="D60" s="24" t="str">
        <x:v>K05 双通道竞争</x:v>
      </x:c>
      <x:c r="E60" s="24" t="str">
        <x:v>机械折中、轮流压制或把竞争解释成谁更正确。</x:v>
      </x:c>
      <x:c r="F60" s="24" t="str">
        <x:v>两项功能明确各自任务、优先级和决定范围。</x:v>
      </x:c>
      <x:c r="G60" s="24" t="str">
        <x:v>若只是“机械折中、轮流压制或把竞争解释成谁更正确。”，说明保护还没有真正成立。</x:v>
      </x:c>
      <x:c r="H60" s="24" t="str">
        <x:v>97</x:v>
      </x:c>
    </x:row>
    <x:row r="61">
      <x:c r="A61" s="24" t="str">
        <x:v>M4-BUFFER-323</x:v>
      </x:c>
      <x:c r="B61" s="24" t="str">
        <x:v>K06 功能转换受阻｜失效与伪保护</x:v>
      </x:c>
      <x:c r="C61" s="24" t="str">
        <x:v>降级</x:v>
      </x:c>
      <x:c r="D61" s="24" t="str">
        <x:v>K06 功能转换受阻</x:v>
      </x:c>
      <x:c r="E61" s="24" t="str">
        <x:v>只有桥梁标签、五行相生或一次动作，没有目标功能结果。</x:v>
      </x:c>
      <x:c r="F61" s="24" t="str">
        <x:v>起点、桥梁和终点形成可观察转换链。</x:v>
      </x:c>
      <x:c r="G61" s="24" t="str">
        <x:v>若只是“只有桥梁标签、五行相生或一次动作，没有目标功能结果。”，说明保护还没有真正成立。</x:v>
      </x:c>
      <x:c r="H61" s="24" t="str">
        <x:v>97</x:v>
      </x:c>
    </x:row>
    <x:row r="62">
      <x:c r="A62" s="24" t="str">
        <x:v>M4-BUFFER-329</x:v>
      </x:c>
      <x:c r="B62" s="24" t="str">
        <x:v>K07 反馈回路放大｜失效与伪保护</x:v>
      </x:c>
      <x:c r="C62" s="24" t="str">
        <x:v>降级</x:v>
      </x:c>
      <x:c r="D62" s="24" t="str">
        <x:v>K07 反馈回路放大</x:v>
      </x:c>
      <x:c r="E62" s="24" t="str">
        <x:v>继续猜测动机、加码解释、推进或撤回，没有核对事实。</x:v>
      </x:c>
      <x:c r="F62" s="24" t="str">
        <x:v>反馈被记录为新信息，能够改变判断、强度或下一步。</x:v>
      </x:c>
      <x:c r="G62" s="24" t="str">
        <x:v>若只是“继续猜测动机、加码解释、推进或撤回，没有核对事实。”，说明保护还没有真正成立。</x:v>
      </x:c>
      <x:c r="H62" s="24" t="str">
        <x:v>97</x:v>
      </x:c>
    </x:row>
    <x:row r="63">
      <x:c r="A63" s="24" t="str">
        <x:v>M4-BUFFER-335</x:v>
      </x:c>
      <x:c r="B63" s="24" t="str">
        <x:v>K08 修复断链｜失效与伪保护</x:v>
      </x:c>
      <x:c r="C63" s="24" t="str">
        <x:v>降级</x:v>
      </x:c>
      <x:c r="D63" s="24" t="str">
        <x:v>K08 修复断链</x:v>
      </x:c>
      <x:c r="E63" s="24" t="str">
        <x:v>只完成道歉、安抚、补偿、方案或短期和好中的一项。</x:v>
      </x:c>
      <x:c r="F63" s="24" t="str">
        <x:v>必要RN节点完成，并在后续获得接收反馈与持续验证。</x:v>
      </x:c>
      <x:c r="G63" s="24" t="str">
        <x:v>若只是“只完成道歉、安抚、补偿、方案或短期和好中的一项。”，说明保护还没有真正成立。</x:v>
      </x:c>
      <x:c r="H63" s="24" t="str">
        <x:v>97</x:v>
      </x:c>
    </x:row>
    <x:row r="64">
      <x:c r="A64" s="24" t="str">
        <x:v>M4-BUFFER-339</x:v>
      </x:c>
      <x:c r="B64" s="24" t="str">
        <x:v>LP01 证明加码循环｜伪中断／复发标志</x:v>
      </x:c>
      <x:c r="C64" s="24" t="str">
        <x:v>降级</x:v>
      </x:c>
      <x:c r="D64" s="24" t="str">
        <x:v>LP01 证明加码循环</x:v>
      </x:c>
      <x:c r="E64" s="24" t="str">
        <x:v>仍不断提高证明门槛，或把短期缓解当作长期安全。</x:v>
      </x:c>
      <x:c r="F64" s="24" t="str">
        <x:v>双方先定义什么证据已经足够、观察多久，并用持续行为而非反复加码证明。</x:v>
      </x:c>
      <x:c r="G64" s="24" t="str">
        <x:v>如果只是仍不断提高证明门槛，或把短期缓解当作长期安全。，还不能判断循环已经改变。</x:v>
      </x:c>
      <x:c r="H64" s="24" t="str">
        <x:v>97</x:v>
      </x:c>
    </x:row>
    <x:row r="65">
      <x:c r="A65" s="24" t="str">
        <x:v>M4-BUFFER-343</x:v>
      </x:c>
      <x:c r="B65" s="24" t="str">
        <x:v>LP02 解释升级循环｜伪中断／复发标志</x:v>
      </x:c>
      <x:c r="C65" s="24" t="str">
        <x:v>降级</x:v>
      </x:c>
      <x:c r="D65" s="24" t="str">
        <x:v>LP02 解释升级循环</x:v>
      </x:c>
      <x:c r="E65" s="24" t="str">
        <x:v>表达继续增加，但对方实际理解和回应没有进入。</x:v>
      </x:c>
      <x:c r="F65" s="24" t="str">
        <x:v>继续解释前先让双方复述理解，并根据反馈决定是否补充。</x:v>
      </x:c>
      <x:c r="G65" s="24" t="str">
        <x:v>如果只是表达继续增加，但对方实际理解和回应没有进入。，还不能判断循环已经改变。</x:v>
      </x:c>
      <x:c r="H65" s="24" t="str">
        <x:v>97</x:v>
      </x:c>
    </x:row>
    <x:row r="66">
      <x:c r="A66" s="24" t="str">
        <x:v>M4-BUFFER-347</x:v>
      </x:c>
      <x:c r="B66" s="24" t="str">
        <x:v>LP03 和谐延后循环｜伪中断／复发标志</x:v>
      </x:c>
      <x:c r="C66" s="24" t="str">
        <x:v>降级</x:v>
      </x:c>
      <x:c r="D66" s="24" t="str">
        <x:v>LP03 和谐延后循环</x:v>
      </x:c>
      <x:c r="E66" s="24" t="str">
        <x:v>气氛恢复后问题长期不再被提起。</x:v>
      </x:c>
      <x:c r="F66" s="24" t="str">
        <x:v>降温之后设定明确回访点，重新处理关键问题和行动。</x:v>
      </x:c>
      <x:c r="G66" s="24" t="str">
        <x:v>如果只是气氛恢复后问题长期不再被提起。，还不能判断循环已经改变。</x:v>
      </x:c>
      <x:c r="H66" s="24" t="str">
        <x:v>97</x:v>
      </x:c>
    </x:row>
    <x:row r="67">
      <x:c r="A67" s="24" t="str">
        <x:v>M4-BUFFER-351</x:v>
      </x:c>
      <x:c r="B67" s="24" t="str">
        <x:v>LP04 解决替代循环｜伪中断／复发标志</x:v>
      </x:c>
      <x:c r="C67" s="24" t="str">
        <x:v>降级</x:v>
      </x:c>
      <x:c r="D67" s="24" t="str">
        <x:v>LP04 解决替代循环</x:v>
      </x:c>
      <x:c r="E67" s="24" t="str">
        <x:v>事情解决后立即结案，不再回到感受和反馈。</x:v>
      </x:c>
      <x:c r="F67" s="24" t="str">
        <x:v>现实方案之后继续确认影响、参与感和关系安全。</x:v>
      </x:c>
      <x:c r="G67" s="24" t="str">
        <x:v>如果只是事情解决后立即结案，不再回到感受和反馈。，还不能判断循环已经改变。</x:v>
      </x:c>
      <x:c r="H67" s="24" t="str">
        <x:v>97</x:v>
      </x:c>
    </x:row>
    <x:row r="68">
      <x:c r="A68" s="24" t="str">
        <x:v>M4-BUFFER-355</x:v>
      </x:c>
      <x:c r="B68" s="24" t="str">
        <x:v>LP05 承接替代改变循环｜伪中断／复发标志</x:v>
      </x:c>
      <x:c r="C68" s="24" t="str">
        <x:v>降级</x:v>
      </x:c>
      <x:c r="D68" s="24" t="str">
        <x:v>LP05 承接替代改变循环</x:v>
      </x:c>
      <x:c r="E68" s="24" t="str">
        <x:v>继续安抚或理解，却没有行为变化。</x:v>
      </x:c>
      <x:c r="F68" s="24" t="str">
        <x:v>理解和包容之后形成具体责任、边界和可观察调整。</x:v>
      </x:c>
      <x:c r="G68" s="24" t="str">
        <x:v>如果只是继续安抚或理解，却没有行为变化。，还不能判断循环已经改变。</x:v>
      </x:c>
      <x:c r="H68" s="24" t="str">
        <x:v>97</x:v>
      </x:c>
    </x:row>
    <x:row r="69">
      <x:c r="A69" s="24" t="str">
        <x:v>M4-BUFFER-359</x:v>
      </x:c>
      <x:c r="B69" s="24" t="str">
        <x:v>LP06 投入记账循环｜伪中断／复发标志</x:v>
      </x:c>
      <x:c r="C69" s="24" t="str">
        <x:v>降级</x:v>
      </x:c>
      <x:c r="D69" s="24" t="str">
        <x:v>LP06 投入记账循环</x:v>
      </x:c>
      <x:c r="E69" s="24" t="str">
        <x:v>继续用投入量衡量关系，或在未表达需要时累积失衡感。</x:v>
      </x:c>
      <x:c r="F69" s="24" t="str">
        <x:v>先说清需要什么回应，再定义资源边界和互惠方式。</x:v>
      </x:c>
      <x:c r="G69" s="24" t="str">
        <x:v>如果只是继续用投入量衡量关系，或在未表达需要时累积失衡感。，还不能判断循环已经改变。</x:v>
      </x:c>
      <x:c r="H69" s="24" t="str">
        <x:v>97</x:v>
      </x:c>
    </x:row>
    <x:row r="70">
      <x:c r="A70" s="24" t="str">
        <x:v>M4-BUFFER-363</x:v>
      </x:c>
      <x:c r="B70" s="24" t="str">
        <x:v>LP07 亲密撤回循环｜伪中断／复发标志</x:v>
      </x:c>
      <x:c r="C70" s="24" t="str">
        <x:v>降级</x:v>
      </x:c>
      <x:c r="D70" s="24" t="str">
        <x:v>LP07 亲密撤回循环</x:v>
      </x:c>
      <x:c r="E70" s="24" t="str">
        <x:v>一方靠近越多另一方撤回越久，且没有回归协议。</x:v>
      </x:c>
      <x:c r="F70" s="24" t="str">
        <x:v>说明空间的目的、最低连接和返回时间，让靠近与暂停都有边界。</x:v>
      </x:c>
      <x:c r="G70" s="24" t="str">
        <x:v>如果只是一方靠近越多另一方撤回越久，且没有回归协议。，还不能判断循环已经改变。</x:v>
      </x:c>
      <x:c r="H70" s="24" t="str">
        <x:v>97</x:v>
      </x:c>
    </x:row>
    <x:row r="71">
      <x:c r="A71" s="24" t="str">
        <x:v>M4-BUFFER-367</x:v>
      </x:c>
      <x:c r="B71" s="24" t="str">
        <x:v>LP08 平等竞争循环｜伪中断／复发标志</x:v>
      </x:c>
      <x:c r="C71" s="24" t="str">
        <x:v>降级</x:v>
      </x:c>
      <x:c r="D71" s="24" t="str">
        <x:v>LP08 平等竞争循环</x:v>
      </x:c>
      <x:c r="E71" s="24" t="str">
        <x:v>每个议题都逐项比较谁付出更多、谁更正确。</x:v>
      </x:c>
      <x:c r="F71" s="24" t="str">
        <x:v>区分人格平等、具体分工和共同决定领域。</x:v>
      </x:c>
      <x:c r="G71" s="24" t="str">
        <x:v>如果只是每个议题都逐项比较谁付出更多、谁更正确。，还不能判断循环已经改变。</x:v>
      </x:c>
      <x:c r="H71" s="24" t="str">
        <x:v>97</x:v>
      </x:c>
    </x:row>
    <x:row r="72">
      <x:c r="A72" s="24" t="str">
        <x:v>M4-BUFFER-371</x:v>
      </x:c>
      <x:c r="B72" s="24" t="str">
        <x:v>LP09 规则反弹循环｜伪中断／复发标志</x:v>
      </x:c>
      <x:c r="C72" s="24" t="str">
        <x:v>降级</x:v>
      </x:c>
      <x:c r="D72" s="24" t="str">
        <x:v>LP09 规则反弹循环</x:v>
      </x:c>
      <x:c r="E72" s="24" t="str">
        <x:v>规则由单方加码，短期配合后再次反弹。</x:v>
      </x:c>
      <x:c r="F72" s="24" t="str">
        <x:v>共同制定最小可执行规则，并根据反馈迭代。</x:v>
      </x:c>
      <x:c r="G72" s="24" t="str">
        <x:v>如果只是规则由单方加码，短期配合后再次反弹。，还不能判断循环已经改变。</x:v>
      </x:c>
      <x:c r="H72" s="24" t="str">
        <x:v>97</x:v>
      </x:c>
    </x:row>
    <x:row r="73">
      <x:c r="A73" s="24" t="str">
        <x:v>M4-BUFFER-375</x:v>
      </x:c>
      <x:c r="B73" s="24" t="str">
        <x:v>LP10 新鲜落地循环｜伪中断／复发标志</x:v>
      </x:c>
      <x:c r="C73" s="24" t="str">
        <x:v>降级</x:v>
      </x:c>
      <x:c r="D73" s="24" t="str">
        <x:v>LP10 新鲜落地循环</x:v>
      </x:c>
      <x:c r="E73" s="24" t="str">
        <x:v>不断换体验，却没有日常落实和连续性。</x:v>
      </x:c>
      <x:c r="F73" s="24" t="str">
        <x:v>每次新体验后形成一项可持续安排，并复盘是否服务核心需要。</x:v>
      </x:c>
      <x:c r="G73" s="24" t="str">
        <x:v>如果只是不断换体验，却没有日常落实和连续性。，还不能判断循环已经改变。</x:v>
      </x:c>
      <x:c r="H73" s="24" t="str">
        <x:v>97</x:v>
      </x:c>
    </x:row>
    <x:row r="74">
      <x:c r="A74" s="24" t="str">
        <x:v>M4-BUFFER-379</x:v>
      </x:c>
      <x:c r="B74" s="24" t="str">
        <x:v>LP11 暂停断链循环｜伪中断／复发标志</x:v>
      </x:c>
      <x:c r="C74" s="24" t="str">
        <x:v>降级</x:v>
      </x:c>
      <x:c r="D74" s="24" t="str">
        <x:v>LP11 暂停断链循环</x:v>
      </x:c>
      <x:c r="E74" s="24" t="str">
        <x:v>暂停不断延长，双方都不知道何时重新进入沟通。</x:v>
      </x:c>
      <x:c r="F74" s="24" t="str">
        <x:v>暂停前说明目的、范围、最低连接和回归时间。</x:v>
      </x:c>
      <x:c r="G74" s="24" t="str">
        <x:v>如果只是暂停不断延长，双方都不知道何时重新进入沟通。，还不能判断循环已经改变。</x:v>
      </x:c>
      <x:c r="H74" s="24" t="str">
        <x:v>97</x:v>
      </x:c>
    </x:row>
    <x:row r="75">
      <x:c r="A75" s="24" t="str">
        <x:v>M4-BUFFER-383</x:v>
      </x:c>
      <x:c r="B75" s="24" t="str">
        <x:v>LP12 修复不闭环循环｜伪中断／复发标志</x:v>
      </x:c>
      <x:c r="C75" s="24" t="str">
        <x:v>降级</x:v>
      </x:c>
      <x:c r="D75" s="24" t="str">
        <x:v>LP12 修复不闭环循环</x:v>
      </x:c>
      <x:c r="E75" s="24" t="str">
        <x:v>只有道歉、方案、补偿或短期和好。</x:v>
      </x:c>
      <x:c r="F75" s="24" t="str">
        <x:v>完成影响确认、责任、边界、行动、反馈和回访中的必要节点。</x:v>
      </x:c>
      <x:c r="G75" s="24" t="str">
        <x:v>如果只是只有道歉、方案、补偿或短期和好。，还不能判断循环已经改变。</x:v>
      </x:c>
      <x:c r="H75" s="24" t="str">
        <x:v>97</x:v>
      </x:c>
    </x:row>
    <x:row r="76">
      <x:c r="A76" s="24" t="str">
        <x:v>M4-BUFFER-386</x:v>
      </x:c>
      <x:c r="B76" s="24" t="str">
        <x:v>RN01 停止伤害与恢复基本安全｜完成边界</x:v>
      </x:c>
      <x:c r="C76" s="24" t="str">
        <x:v>边界</x:v>
      </x:c>
      <x:c r="D76" s="24" t="str">
        <x:v>RN01 停止伤害与恢复基本安全</x:v>
      </x:c>
      <x:c r="E76" s="24" t="str">
        <x:v>行为停止、选择权恢复，必要时启动外部安全资源。</x:v>
      </x:c>
      <x:c r="F76" s="24" t="str">
        <x:v>没有安全与停止伤害时，其他修复节点不计有效。</x:v>
      </x:c>
      <x:c r="G76" s="24" t="str">
        <x:v>只有当“行为停止、选择权恢复，必要时启动外部安全资源。”出现时，才能判断这一步真正进入修复。</x:v>
      </x:c>
      <x:c r="H76" s="24" t="str">
        <x:v>98</x:v>
      </x:c>
    </x:row>
    <x:row r="77">
      <x:c r="A77" s="24" t="str">
        <x:v>M4-BUFFER-388</x:v>
      </x:c>
      <x:c r="B77" s="24" t="str">
        <x:v>RN02 事实与事件范围确认｜完成边界</x:v>
      </x:c>
      <x:c r="C77" s="24" t="str">
        <x:v>边界</x:v>
      </x:c>
      <x:c r="D77" s="24" t="str">
        <x:v>RN02 事实与事件范围确认</x:v>
      </x:c>
      <x:c r="E77" s="24" t="str">
        <x:v>双方对事件范围、时间、行为和争议点有基本一致记录。</x:v>
      </x:c>
      <x:c r="F77" s="24" t="str">
        <x:v>事实仍混乱或互相替换议题时，不进入完成判断。</x:v>
      </x:c>
      <x:c r="G77" s="24" t="str">
        <x:v>只有当“双方对事件范围、时间、行为和争议点有基本一致记录。”出现时，才能判断这一步真正进入修复。</x:v>
      </x:c>
      <x:c r="H77" s="24" t="str">
        <x:v>98</x:v>
      </x:c>
    </x:row>
    <x:row r="78">
      <x:c r="A78" s="24" t="str">
        <x:v>M4-BUFFER-390</x:v>
      </x:c>
      <x:c r="B78" s="24" t="str">
        <x:v>RN03 影响、感受与意义确认｜完成边界</x:v>
      </x:c>
      <x:c r="C78" s="24" t="str">
        <x:v>边界</x:v>
      </x:c>
      <x:c r="D78" s="24" t="str">
        <x:v>RN03 影响、感受与意义确认</x:v>
      </x:c>
      <x:c r="E78" s="24" t="str">
        <x:v>接收方的实际影响被听见、复述并纳入后续行动。</x:v>
      </x:c>
      <x:c r="F78" s="24" t="str">
        <x:v>只有发起方解释动机，没有确认接收方影响。</x:v>
      </x:c>
      <x:c r="G78" s="24" t="str">
        <x:v>只有当“接收方的实际影响被听见、复述并纳入后续行动。”出现时，才能判断这一步真正进入修复。</x:v>
      </x:c>
      <x:c r="H78" s="24" t="str">
        <x:v>98</x:v>
      </x:c>
    </x:row>
    <x:row r="79">
      <x:c r="A79" s="24" t="str">
        <x:v>M4-BUFFER-392</x:v>
      </x:c>
      <x:c r="B79" s="24" t="str">
        <x:v>RN04 责任与角色承担｜完成边界</x:v>
      </x:c>
      <x:c r="C79" s="24" t="str">
        <x:v>边界</x:v>
      </x:c>
      <x:c r="D79" s="24" t="str">
        <x:v>RN04 责任与角色承担</x:v>
      </x:c>
      <x:c r="E79" s="24" t="str">
        <x:v>责任具体到行为、后果和后续任务，不以原因解释替代。</x:v>
      </x:c>
      <x:c r="F79" s="24" t="str">
        <x:v>只说“我不是故意的”“我也很难”而未承担具体责任。</x:v>
      </x:c>
      <x:c r="G79" s="24" t="str">
        <x:v>只有当“责任具体到行为、后果和后续任务，不以原因解释替代。”出现时，才能判断这一步真正进入修复。</x:v>
      </x:c>
      <x:c r="H79" s="24" t="str">
        <x:v>98</x:v>
      </x:c>
    </x:row>
    <x:row r="80">
      <x:c r="A80" s="24" t="str">
        <x:v>M4-BUFFER-394</x:v>
      </x:c>
      <x:c r="B80" s="24" t="str">
        <x:v>RN05 需要、边界与参与权重订｜完成边界</x:v>
      </x:c>
      <x:c r="C80" s="24" t="str">
        <x:v>边界</x:v>
      </x:c>
      <x:c r="D80" s="24" t="str">
        <x:v>RN05 需要、边界与参与权重订</x:v>
      </x:c>
      <x:c r="E80" s="24" t="str">
        <x:v>双方重新明确需要、停止线、参与权和共同决定范围。</x:v>
      </x:c>
      <x:c r="F80" s="24" t="str">
        <x:v>由一方单独制定新规则或要求对方配合。</x:v>
      </x:c>
      <x:c r="G80" s="24" t="str">
        <x:v>只有当“双方重新明确需要、停止线、参与权和共同决定范围。”出现时，才能判断这一步真正进入修复。</x:v>
      </x:c>
      <x:c r="H80" s="24" t="str">
        <x:v>98</x:v>
      </x:c>
    </x:row>
    <x:row r="81">
      <x:c r="A81" s="24" t="str">
        <x:v>M4-BUFFER-396</x:v>
      </x:c>
      <x:c r="B81" s="24" t="str">
        <x:v>RN06 补救行动与现实调整｜完成边界</x:v>
      </x:c>
      <x:c r="C81" s="24" t="str">
        <x:v>边界</x:v>
      </x:c>
      <x:c r="D81" s="24" t="str">
        <x:v>RN06 补救行动与现实调整</x:v>
      </x:c>
      <x:c r="E81" s="24" t="str">
        <x:v>形成可观察、可执行、与影响相匹配的行动调整。</x:v>
      </x:c>
      <x:c r="F81" s="24" t="str">
        <x:v>只有承诺、补偿或一次动作，没有持续执行。</x:v>
      </x:c>
      <x:c r="G81" s="24" t="str">
        <x:v>只有当“形成可观察、可执行、与影响相匹配的行动调整。”出现时，才能判断这一步真正进入修复。</x:v>
      </x:c>
      <x:c r="H81" s="24" t="str">
        <x:v>98</x:v>
      </x:c>
    </x:row>
    <x:row r="82">
      <x:c r="A82" s="24" t="str">
        <x:v>M4-BUFFER-398</x:v>
      </x:c>
      <x:c r="B82" s="24" t="str">
        <x:v>RN07 接收反馈与二次修正｜完成边界</x:v>
      </x:c>
      <x:c r="C82" s="24" t="str">
        <x:v>边界</x:v>
      </x:c>
      <x:c r="D82" s="24" t="str">
        <x:v>RN07 接收反馈与二次修正</x:v>
      </x:c>
      <x:c r="E82" s="24" t="str">
        <x:v>接收方能说明修复是否有效，发起方据此调整。</x:v>
      </x:c>
      <x:c r="F82" s="24" t="str">
        <x:v>没有接收方反馈，或反馈被当成挑剔与否定。</x:v>
      </x:c>
      <x:c r="G82" s="24" t="str">
        <x:v>只有当“接收方能说明修复是否有效，发起方据此调整。”出现时，才能判断这一步真正进入修复。</x:v>
      </x:c>
      <x:c r="H82" s="24" t="str">
        <x:v>98</x:v>
      </x:c>
    </x:row>
    <x:row r="83">
      <x:c r="A83" s="24" t="str">
        <x:v>M4-BUFFER-400</x:v>
      </x:c>
      <x:c r="B83" s="24" t="str">
        <x:v>RN08 持续兑现、回访与重新开放｜完成边界</x:v>
      </x:c>
      <x:c r="C83" s="24" t="str">
        <x:v>边界</x:v>
      </x:c>
      <x:c r="D83" s="24" t="str">
        <x:v>RN08 持续兑现、回访与重新开放</x:v>
      </x:c>
      <x:c r="E83" s="24" t="str">
        <x:v>改变在后续情境中持续，并有回访、复发检验和重新开放。</x:v>
      </x:c>
      <x:c r="F83" s="24" t="str">
        <x:v>一次改善、短期和好或无复发资料被写成稳定修复。</x:v>
      </x:c>
      <x:c r="G83" s="24" t="str">
        <x:v>只有当“改变在后续情境中持续，并有回访、复发检验和重新开放。”出现时，才能判断这一步真正进入修复。</x:v>
      </x:c>
      <x:c r="H83" s="24" t="str">
        <x:v>98</x:v>
      </x:c>
    </x:row>
    <x:row r="84">
      <x:c r="A84" s="24" t="str">
        <x:v>M4-BUFFER-416</x:v>
      </x:c>
      <x:c r="B84" s="24" t="str">
        <x:v>安全事件优先外部保护</x:v>
      </x:c>
      <x:c r="C84" s="24" t="str">
        <x:v>安全</x:v>
      </x:c>
      <x:c r="D84" s="24" t="str">
        <x:v>REPAIR综合门控</x:v>
      </x:c>
      <x:c r="E84" s="24" t="str">
        <x:v>RI08或现实安全风险存在。</x:v>
      </x:c>
      <x:c r="F84" s="24" t="str">
        <x:v>把普通沟通、和好或命理制化当成主要方案。</x:v>
      </x:c>
      <x:c r="G84" s="24" t="str">
        <x:v>涉及安全风险时，先保护人身与选择权，不以尽快恢复关系为目标。</x:v>
      </x:c>
      <x:c r="H84" s="24" t="str">
        <x:v>99</x:v>
      </x:c>
    </x:row>
    <x:row r="85">
      <x:c r="A85" s="24" t="str">
        <x:v>M4-BUFFER-418</x:v>
      </x:c>
      <x:c r="B85" s="24" t="str">
        <x:v>SM01 透干且有根｜使用边界</x:v>
      </x:c>
      <x:c r="C85" s="24" t="str">
        <x:v>边界</x:v>
      </x:c>
      <x:c r="D85" s="24" t="str">
        <x:v>SM01 透干且有根</x:v>
      </x:c>
      <x:c r="E85" s="24" t="str">
        <x:v>可提高可调用性，但仍需现实效果验证。</x:v>
      </x:c>
      <x:c r="F85" s="24" t="str">
        <x:v>存在独立现实证据支持更强结论。</x:v>
      </x:c>
      <x:c r="G85" s="24" t="str">
        <x:v>需要注意：可提高可调用性，但仍需现实效果验证。</x:v>
      </x:c>
      <x:c r="H85" s="24" t="str">
        <x:v>97</x:v>
      </x:c>
    </x:row>
    <x:row r="86">
      <x:c r="A86" s="24" t="str">
        <x:v>M4-BUFFER-420</x:v>
      </x:c>
      <x:c r="B86" s="24" t="str">
        <x:v>SM02 透干但无根｜使用边界</x:v>
      </x:c>
      <x:c r="C86" s="24" t="str">
        <x:v>边界</x:v>
      </x:c>
      <x:c r="D86" s="24" t="str">
        <x:v>SM02 透干但无根</x:v>
      </x:c>
      <x:c r="E86" s="24" t="str">
        <x:v>提高可见度，不提高稳定保护等级。</x:v>
      </x:c>
      <x:c r="F86" s="24" t="str">
        <x:v>存在独立现实证据支持更强结论。</x:v>
      </x:c>
      <x:c r="G86" s="24" t="str">
        <x:v>需要注意：提高可见度，不提高稳定保护等级。</x:v>
      </x:c>
      <x:c r="H86" s="24" t="str">
        <x:v>97</x:v>
      </x:c>
    </x:row>
    <x:row r="87">
      <x:c r="A87" s="24" t="str">
        <x:v>M4-BUFFER-422</x:v>
      </x:c>
      <x:c r="B87" s="24" t="str">
        <x:v>SM03 藏支且有根｜使用边界</x:v>
      </x:c>
      <x:c r="C87" s="24" t="str">
        <x:v>边界</x:v>
      </x:c>
      <x:c r="D87" s="24" t="str">
        <x:v>SM03 藏支且有根</x:v>
      </x:c>
      <x:c r="E87" s="24" t="str">
        <x:v>可作为条件性资源，不能因不外显就判定不存在。</x:v>
      </x:c>
      <x:c r="F87" s="24" t="str">
        <x:v>存在独立现实证据支持更强结论。</x:v>
      </x:c>
      <x:c r="G87" s="24" t="str">
        <x:v>需要注意：可作为条件性资源，不能因不外显就判定不存在。</x:v>
      </x:c>
      <x:c r="H87" s="24" t="str">
        <x:v>97</x:v>
      </x:c>
    </x:row>
    <x:row r="88">
      <x:c r="A88" s="24" t="str">
        <x:v>M4-BUFFER-424</x:v>
      </x:c>
      <x:c r="B88" s="24" t="str">
        <x:v>SM04 藏而弱远｜使用边界</x:v>
      </x:c>
      <x:c r="C88" s="24" t="str">
        <x:v>边界</x:v>
      </x:c>
      <x:c r="D88" s="24" t="str">
        <x:v>SM04 藏而弱远</x:v>
      </x:c>
      <x:c r="E88" s="24" t="str">
        <x:v>只保留潜在或背景资源，默认封顶BL1—BL2。</x:v>
      </x:c>
      <x:c r="F88" s="24" t="str">
        <x:v>存在独立现实证据支持更强结论。</x:v>
      </x:c>
      <x:c r="G88" s="24" t="str">
        <x:v>需要注意：只保留潜在或背景资源，默认封顶BL1—BL2。</x:v>
      </x:c>
      <x:c r="H88" s="24" t="str">
        <x:v>97</x:v>
      </x:c>
    </x:row>
    <x:row r="89">
      <x:c r="A89" s="24" t="str">
        <x:v>M4-BUFFER-426</x:v>
      </x:c>
      <x:c r="B89" s="24" t="str">
        <x:v>SM05 旺而平衡｜使用边界</x:v>
      </x:c>
      <x:c r="C89" s="24" t="str">
        <x:v>边界</x:v>
      </x:c>
      <x:c r="D89" s="24" t="str">
        <x:v>SM05 旺而平衡</x:v>
      </x:c>
      <x:c r="E89" s="24" t="str">
        <x:v>提高可调用性，但强度不能替代功能匹配和现实效果。</x:v>
      </x:c>
      <x:c r="F89" s="24" t="str">
        <x:v>存在独立现实证据支持更强结论。</x:v>
      </x:c>
      <x:c r="G89" s="24" t="str">
        <x:v>需要注意：提高可调用性，但强度不能替代功能匹配和现实效果。</x:v>
      </x:c>
      <x:c r="H89" s="24" t="str">
        <x:v>97</x:v>
      </x:c>
    </x:row>
    <x:row r="90">
      <x:c r="A90" s="24" t="str">
        <x:v>M4-BUFFER-428</x:v>
      </x:c>
      <x:c r="B90" s="24" t="str">
        <x:v>SM06 旺而失衡｜使用边界</x:v>
      </x:c>
      <x:c r="C90" s="24" t="str">
        <x:v>边界</x:v>
      </x:c>
      <x:c r="D90" s="24" t="str">
        <x:v>SM06 旺而失衡</x:v>
      </x:c>
      <x:c r="E90" s="24" t="str">
        <x:v>需要检查PB与K01，不直接增加保护分。</x:v>
      </x:c>
      <x:c r="F90" s="24" t="str">
        <x:v>存在独立现实证据支持更强结论。</x:v>
      </x:c>
      <x:c r="G90" s="24" t="str">
        <x:v>需要注意：需要检查PB与K01，不直接增加保护分。</x:v>
      </x:c>
      <x:c r="H90" s="24" t="str">
        <x:v>97</x:v>
      </x:c>
    </x:row>
    <x:row r="91">
      <x:c r="A91" s="24" t="str">
        <x:v>M4-BUFFER-430</x:v>
      </x:c>
      <x:c r="B91" s="24" t="str">
        <x:v>SM07 偏弱但有助｜使用边界</x:v>
      </x:c>
      <x:c r="C91" s="24" t="str">
        <x:v>边界</x:v>
      </x:c>
      <x:c r="D91" s="24" t="str">
        <x:v>SM07 偏弱但有助</x:v>
      </x:c>
      <x:c r="E91" s="24" t="str">
        <x:v>可形成条件性保护，说明触发条件。</x:v>
      </x:c>
      <x:c r="F91" s="24" t="str">
        <x:v>存在独立现实证据支持更强结论。</x:v>
      </x:c>
      <x:c r="G91" s="24" t="str">
        <x:v>需要注意：可形成条件性保护，说明触发条件。</x:v>
      </x:c>
      <x:c r="H91" s="24" t="str">
        <x:v>97</x:v>
      </x:c>
    </x:row>
    <x:row r="92">
      <x:c r="A92" s="24" t="str">
        <x:v>M4-BUFFER-432</x:v>
      </x:c>
      <x:c r="B92" s="24" t="str">
        <x:v>SM08 偏弱且无助｜使用边界</x:v>
      </x:c>
      <x:c r="C92" s="24" t="str">
        <x:v>边界</x:v>
      </x:c>
      <x:c r="D92" s="24" t="str">
        <x:v>SM08 偏弱且无助</x:v>
      </x:c>
      <x:c r="E92" s="24" t="str">
        <x:v>不得作为主保护，除非现实中已有清楚启动证据。</x:v>
      </x:c>
      <x:c r="F92" s="24" t="str">
        <x:v>存在独立现实证据支持更强结论。</x:v>
      </x:c>
      <x:c r="G92" s="24" t="str">
        <x:v>需要注意：不得作为主保护，除非现实中已有清楚启动证据。</x:v>
      </x:c>
      <x:c r="H92" s="24" t="str">
        <x:v>97</x:v>
      </x:c>
    </x:row>
    <x:row r="93">
      <x:c r="A93" s="24" t="str">
        <x:v>M4-BUFFER-434</x:v>
      </x:c>
      <x:c r="B93" s="24" t="str">
        <x:v>SM09 有制有化／有通关｜使用边界</x:v>
      </x:c>
      <x:c r="C93" s="24" t="str">
        <x:v>边界</x:v>
      </x:c>
      <x:c r="D93" s="24" t="str">
        <x:v>SM09 有制有化／有通关</x:v>
      </x:c>
      <x:c r="E93" s="24" t="str">
        <x:v>需确认靶点匹配与现实调用，不能自动清零风险。</x:v>
      </x:c>
      <x:c r="F93" s="24" t="str">
        <x:v>存在独立现实证据支持更强结论。</x:v>
      </x:c>
      <x:c r="G93" s="24" t="str">
        <x:v>需要注意：需确认靶点匹配与现实调用，不能自动清零风险。</x:v>
      </x:c>
      <x:c r="H93" s="24" t="str">
        <x:v>97</x:v>
      </x:c>
    </x:row>
    <x:row r="94">
      <x:c r="A94" s="24" t="str">
        <x:v>M4-BUFFER-436</x:v>
      </x:c>
      <x:c r="B94" s="24" t="str">
        <x:v>SM10 强而无制｜使用边界</x:v>
      </x:c>
      <x:c r="C94" s="24" t="str">
        <x:v>边界</x:v>
      </x:c>
      <x:c r="D94" s="24" t="str">
        <x:v>SM10 强而无制</x:v>
      </x:c>
      <x:c r="E94" s="24" t="str">
        <x:v>保护分降级，并优先检查BF01、BF03、BF08。</x:v>
      </x:c>
      <x:c r="F94" s="24" t="str">
        <x:v>存在独立现实证据支持更强结论。</x:v>
      </x:c>
      <x:c r="G94" s="24" t="str">
        <x:v>需要注意：保护分降级，并优先检查BF01、BF03、BF08。</x:v>
      </x:c>
      <x:c r="H94" s="24" t="str">
        <x:v>97</x:v>
      </x:c>
    </x:row>
    <x:row r="95">
      <x:c r="A95" s="24" t="str">
        <x:v>M4-BUFFER-438</x:v>
      </x:c>
      <x:c r="B95" s="24" t="str">
        <x:v>SM11 日支主气／日柱近位｜使用边界</x:v>
      </x:c>
      <x:c r="C95" s="24" t="str">
        <x:v>边界</x:v>
      </x:c>
      <x:c r="D95" s="24" t="str">
        <x:v>SM11 日支主气／日柱近位</x:v>
      </x:c>
      <x:c r="E95" s="24" t="str">
        <x:v>提高相关性，不等于现实已经成熟使用。</x:v>
      </x:c>
      <x:c r="F95" s="24" t="str">
        <x:v>存在独立现实证据支持更强结论。</x:v>
      </x:c>
      <x:c r="G95" s="24" t="str">
        <x:v>需要注意：提高相关性，不等于现实已经成熟使用。</x:v>
      </x:c>
      <x:c r="H95" s="24" t="str">
        <x:v>97</x:v>
      </x:c>
    </x:row>
    <x:row r="96">
      <x:c r="A96" s="24" t="str">
        <x:v>M4-BUFFER-440</x:v>
      </x:c>
      <x:c r="B96" s="24" t="str">
        <x:v>SM12 中气有效｜使用边界</x:v>
      </x:c>
      <x:c r="C96" s="24" t="str">
        <x:v>边界</x:v>
      </x:c>
      <x:c r="D96" s="24" t="str">
        <x:v>SM12 中气有效</x:v>
      </x:c>
      <x:c r="E96" s="24" t="str">
        <x:v>需独立来源和功能不同，不能与主气平铺。</x:v>
      </x:c>
      <x:c r="F96" s="24" t="str">
        <x:v>存在独立现实证据支持更强结论。</x:v>
      </x:c>
      <x:c r="G96" s="24" t="str">
        <x:v>需要注意：需独立来源和功能不同，不能与主气平铺。</x:v>
      </x:c>
      <x:c r="H96" s="24" t="str">
        <x:v>97</x:v>
      </x:c>
    </x:row>
    <x:row r="97">
      <x:c r="A97" s="24" t="str">
        <x:v>M4-BUFFER-442</x:v>
      </x:c>
      <x:c r="B97" s="24" t="str">
        <x:v>SM13 余气有效｜使用边界</x:v>
      </x:c>
      <x:c r="C97" s="24" t="str">
        <x:v>边界</x:v>
      </x:c>
      <x:c r="D97" s="24" t="str">
        <x:v>SM13 余气有效</x:v>
      </x:c>
      <x:c r="E97" s="24" t="str">
        <x:v>默认只作次级修正，现实事件可升级。</x:v>
      </x:c>
      <x:c r="F97" s="24" t="str">
        <x:v>存在独立现实证据支持更强结论。</x:v>
      </x:c>
      <x:c r="G97" s="24" t="str">
        <x:v>需要注意：默认只作次级修正，现实事件可升级。</x:v>
      </x:c>
      <x:c r="H97" s="24" t="str">
        <x:v>97</x:v>
      </x:c>
    </x:row>
    <x:row r="98">
      <x:c r="A98" s="24" t="str">
        <x:v>M4-BUFFER-444</x:v>
      </x:c>
      <x:c r="B98" s="24" t="str">
        <x:v>SM14 合冲刑害破｜使用边界</x:v>
      </x:c>
      <x:c r="C98" s="24" t="str">
        <x:v>边界</x:v>
      </x:c>
      <x:c r="D98" s="24" t="str">
        <x:v>SM14 合冲刑害破</x:v>
      </x:c>
      <x:c r="E98" s="24" t="str">
        <x:v>不能直接判断保护有效、关系破裂或问题必然发生。</x:v>
      </x:c>
      <x:c r="F98" s="24" t="str">
        <x:v>存在独立现实证据支持更强结论。</x:v>
      </x:c>
      <x:c r="G98" s="24" t="str">
        <x:v>需要注意：不能直接判断保护有效、关系破裂或问题必然发生。</x:v>
      </x:c>
      <x:c r="H98" s="24" t="str">
        <x:v>97</x:v>
      </x:c>
    </x:row>
    <x:row r="99">
      <x:c r="A99" s="24" t="str">
        <x:v>M4-BUFFER-446</x:v>
      </x:c>
      <x:c r="B99" s="24" t="str">
        <x:v>SM15 真合化成立｜使用边界</x:v>
      </x:c>
      <x:c r="C99" s="24" t="str">
        <x:v>边界</x:v>
      </x:c>
      <x:c r="D99" s="24" t="str">
        <x:v>SM15 真合化成立</x:v>
      </x:c>
      <x:c r="E99" s="24" t="str">
        <x:v>原功能清零，不得与化神重复计分。</x:v>
      </x:c>
      <x:c r="F99" s="24" t="str">
        <x:v>存在独立现实证据支持更强结论。</x:v>
      </x:c>
      <x:c r="G99" s="24" t="str">
        <x:v>需要注意：原功能清零，不得与化神重复计分。</x:v>
      </x:c>
      <x:c r="H99" s="24" t="str">
        <x:v>97</x:v>
      </x:c>
    </x:row>
    <x:row r="100">
      <x:c r="A100" s="24" t="str">
        <x:v>M4-BUFFER-448</x:v>
      </x:c>
      <x:c r="B100" s="24" t="str">
        <x:v>SM16 阶段覆盖与现实反例｜使用边界</x:v>
      </x:c>
      <x:c r="C100" s="24" t="str">
        <x:v>边界</x:v>
      </x:c>
      <x:c r="D100" s="24" t="str">
        <x:v>SM16 阶段覆盖与现实反例</x:v>
      </x:c>
      <x:c r="E100" s="24" t="str">
        <x:v>阶段不能创造不存在的现实支持，反例优先。</x:v>
      </x:c>
      <x:c r="F100" s="24" t="str">
        <x:v>存在独立现实证据支持更强结论。</x:v>
      </x:c>
      <x:c r="G100" s="24" t="str">
        <x:v>需要注意：阶段不能创造不存在的现实支持，反例优先。</x:v>
      </x:c>
      <x:c r="H100" s="24" t="str">
        <x:v>97</x:v>
      </x:c>
    </x:row>
    <x:row r="101">
      <x:c r="A101" s="24" t="str">
        <x:v>M4-BUFFER-452</x:v>
      </x:c>
      <x:c r="B101" s="24" t="str">
        <x:v>OS01 现实反例与成功经验｜使用边界</x:v>
      </x:c>
      <x:c r="C101" s="24" t="str">
        <x:v>边界</x:v>
      </x:c>
      <x:c r="D101" s="24" t="str">
        <x:v>OS01 现实反例与成功经验</x:v>
      </x:c>
      <x:c r="E101" s="24" t="str">
        <x:v>一次成功不等于稳定保护；需纳入失败事件和情境差异。</x:v>
      </x:c>
      <x:c r="F101" s="24" t="str">
        <x:v>现实专业或安全评估明确支持更强行动。</x:v>
      </x:c>
      <x:c r="G101" s="24" t="str">
        <x:v>需要注意：一次成功不等于稳定保护；需纳入失败事件和情境差异。</x:v>
      </x:c>
      <x:c r="H101" s="24" t="str">
        <x:v>99</x:v>
      </x:c>
    </x:row>
    <x:row r="102">
      <x:c r="A102" s="24" t="str">
        <x:v>M4-BUFFER-456</x:v>
      </x:c>
      <x:c r="B102" s="24" t="str">
        <x:v>OS02 伴侣可观察反馈｜使用边界</x:v>
      </x:c>
      <x:c r="C102" s="24" t="str">
        <x:v>边界</x:v>
      </x:c>
      <x:c r="D102" s="24" t="str">
        <x:v>OS02 伴侣可观察反馈</x:v>
      </x:c>
      <x:c r="E102" s="24" t="str">
        <x:v>不得替对方猜测动机；只记录可观察行为和明确表达。</x:v>
      </x:c>
      <x:c r="F102" s="24" t="str">
        <x:v>现实专业或安全评估明确支持更强行动。</x:v>
      </x:c>
      <x:c r="G102" s="24" t="str">
        <x:v>需要注意：不得替对方猜测动机；只记录可观察行为和明确表达。</x:v>
      </x:c>
      <x:c r="H102" s="24" t="str">
        <x:v>99</x:v>
      </x:c>
    </x:row>
    <x:row r="103">
      <x:c r="A103" s="24" t="str">
        <x:v>M4-BUFFER-460</x:v>
      </x:c>
      <x:c r="B103" s="24" t="str">
        <x:v>OS03 可靠亲友与社会支持｜使用边界</x:v>
      </x:c>
      <x:c r="C103" s="24" t="str">
        <x:v>边界</x:v>
      </x:c>
      <x:c r="D103" s="24" t="str">
        <x:v>OS03 可靠亲友与社会支持</x:v>
      </x:c>
      <x:c r="E103" s="24" t="str">
        <x:v>不得由命盘推断支持一定存在；支持质量、边界和保密性需现实确认。</x:v>
      </x:c>
      <x:c r="F103" s="24" t="str">
        <x:v>现实专业或安全评估明确支持更强行动。</x:v>
      </x:c>
      <x:c r="G103" s="24" t="str">
        <x:v>需要注意：不得由命盘推断支持一定存在；支持质量、边界和保密性需现实确认。</x:v>
      </x:c>
      <x:c r="H103" s="24" t="str">
        <x:v>99</x:v>
      </x:c>
    </x:row>
    <x:row r="104">
      <x:c r="A104" s="24" t="str">
        <x:v>M4-BUFFER-464</x:v>
      </x:c>
      <x:c r="B104" s="24" t="str">
        <x:v>OS04 结构化沟通工具与书面协议｜使用边界</x:v>
      </x:c>
      <x:c r="C104" s="24" t="str">
        <x:v>边界</x:v>
      </x:c>
      <x:c r="D104" s="24" t="str">
        <x:v>OS04 结构化沟通工具与书面协议</x:v>
      </x:c>
      <x:c r="E104" s="24" t="str">
        <x:v>工具不能替代安全、诚意、责任或双方选择；表格越多不等于关系越好。</x:v>
      </x:c>
      <x:c r="F104" s="24" t="str">
        <x:v>现实专业或安全评估明确支持更强行动。</x:v>
      </x:c>
      <x:c r="G104" s="24" t="str">
        <x:v>需要注意：工具不能替代安全、诚意、责任或双方选择；表格越多不等于关系越好。</x:v>
      </x:c>
      <x:c r="H104" s="24" t="str">
        <x:v>99</x:v>
      </x:c>
    </x:row>
    <x:row r="105">
      <x:c r="A105" s="24" t="str">
        <x:v>M4-BUFFER-468</x:v>
      </x:c>
      <x:c r="B105" s="24" t="str">
        <x:v>OS05 现实资源与环境调整｜使用边界</x:v>
      </x:c>
      <x:c r="C105" s="24" t="str">
        <x:v>边界</x:v>
      </x:c>
      <x:c r="D105" s="24" t="str">
        <x:v>OS05 现实资源与环境调整</x:v>
      </x:c>
      <x:c r="E105" s="24" t="str">
        <x:v>环境改善不等于关系能力自动提升；需区分暂时减压和长期改变。</x:v>
      </x:c>
      <x:c r="F105" s="24" t="str">
        <x:v>现实专业或安全评估明确支持更强行动。</x:v>
      </x:c>
      <x:c r="G105" s="24" t="str">
        <x:v>需要注意：环境改善不等于关系能力自动提升；需区分暂时减压和长期改变。</x:v>
      </x:c>
      <x:c r="H105" s="24" t="str">
        <x:v>99</x:v>
      </x:c>
    </x:row>
    <x:row r="106">
      <x:c r="A106" s="24" t="str">
        <x:v>M4-BUFFER-472</x:v>
      </x:c>
      <x:c r="B106" s="24" t="str">
        <x:v>OS06 专业咨询、治疗或督导｜使用边界</x:v>
      </x:c>
      <x:c r="C106" s="24" t="str">
        <x:v>边界</x:v>
      </x:c>
      <x:c r="D106" s="24" t="str">
        <x:v>OS06 专业咨询、治疗或督导</x:v>
      </x:c>
      <x:c r="E106" s="24" t="str">
        <x:v>模型不能诊断疾病、指定治疗或保证效果；应以专业评估为准。</x:v>
      </x:c>
      <x:c r="F106" s="24" t="str">
        <x:v>现实专业或安全评估明确支持更强行动。</x:v>
      </x:c>
      <x:c r="G106" s="24" t="str">
        <x:v>需要注意：模型不能诊断疾病、指定治疗或保证效果；应以专业评估为准。</x:v>
      </x:c>
      <x:c r="H106" s="24" t="str">
        <x:v>99</x:v>
      </x:c>
    </x:row>
    <x:row r="107">
      <x:c r="A107" s="24" t="str">
        <x:v>M4-BUFFER-476</x:v>
      </x:c>
      <x:c r="B107" s="24" t="str">
        <x:v>OS07 安全计划、法律与医疗支持｜使用边界</x:v>
      </x:c>
      <x:c r="C107" s="24" t="str">
        <x:v>边界</x:v>
      </x:c>
      <x:c r="D107" s="24" t="str">
        <x:v>OS07 安全计划、法律与医疗支持</x:v>
      </x:c>
      <x:c r="E107" s="24" t="str">
        <x:v>不得建议继续暴露、私下协商或以命理化解替代安全措施。</x:v>
      </x:c>
      <x:c r="F107" s="24" t="str">
        <x:v>现实专业或安全评估明确支持更强行动。</x:v>
      </x:c>
      <x:c r="G107" s="24" t="str">
        <x:v>需要注意：不得建议继续暴露、私下协商或以命理化解替代安全措施。</x:v>
      </x:c>
      <x:c r="H107" s="24" t="str">
        <x:v>99</x:v>
      </x:c>
    </x:row>
    <x:row r="108">
      <x:c r="A108" s="24" t="str">
        <x:v>M4-BUFFER-480</x:v>
      </x:c>
      <x:c r="B108" s="24" t="str">
        <x:v>OS08 主动退出、降低暴露与关系降级｜使用边界</x:v>
      </x:c>
      <x:c r="C108" s="24" t="str">
        <x:v>边界</x:v>
      </x:c>
      <x:c r="D108" s="24" t="str">
        <x:v>OS08 主动退出、降低暴露与关系降级</x:v>
      </x:c>
      <x:c r="E108" s="24" t="str">
        <x:v>是否退出由当事人基于现实情况决定；命理不能强制继续或结束关系。</x:v>
      </x:c>
      <x:c r="F108" s="24" t="str">
        <x:v>现实专业或安全评估明确支持更强行动。</x:v>
      </x:c>
      <x:c r="G108" s="24" t="str">
        <x:v>需要注意：是否退出由当事人基于现实情况决定；命理不能强制继续或结束关系。</x:v>
      </x:c>
      <x:c r="H108" s="24" t="str">
        <x:v>99</x:v>
      </x:c>
    </x:row>
  </x:sheetData>
  <x:mergeCells>
    <x:mergeCell ref="A1:H1"/>
  </x:mergeCells>
  <x:conditionalFormatting sqref="C4:C108">
    <x:cfRule type="expression" dxfId="4" priority="1">
      <x:formula>C4="安全"</x:formula>
    </x:cfRule>
    <x:cfRule type="expression" dxfId="5" priority="2">
      <x:formula>C4="边界"</x:formula>
    </x:cfRule>
  </x:conditionalFormatting>
  <x:pageMargins left="0.7" right="0.7" top="0.75" bottom="0.75" header="0.3" footer="0.3"/>
  <x:tableParts count="1">
    <x:tablePart xmlns:r="http://schemas.openxmlformats.org/officeDocument/2006/relationships" r:id="Rda48ced1fedc4f22"/>
  </x:tableParts>
</x:worksheet>
</file>

<file path=xl/worksheets/sheet16.xml><?xml version="1.0" encoding="utf-8"?>
<x:worksheet xmlns:x="http://schemas.openxmlformats.org/spreadsheetml/2006/main">
  <x:sheetFormatPr defaultRowHeight="15"/>
  <x:cols>
    <x:col min="1" max="1" width="24" hidden="0" customWidth="1"/>
    <x:col min="2" max="2" width="34" hidden="0" customWidth="1"/>
    <x:col min="3" max="3" width="64" hidden="0" customWidth="1"/>
    <x:col min="4" max="4" width="42" hidden="0" customWidth="1"/>
    <x:col min="5" max="5" width="40" hidden="0" customWidth="1"/>
  </x:cols>
  <x:sheetData>
    <x:row r="1">
      <x:c r="A1" s="6" t="str">
        <x:v>M4-BUFFER 用户输出模板与实战句库</x:v>
      </x:c>
      <x:c r="B1" s="6"/>
      <x:c r="C1" s="6"/>
      <x:c r="D1" s="6"/>
      <x:c r="E1" s="6"/>
    </x:row>
    <x:row r="2">
      <x:c r="A2" s="41" t="str">
        <x:v>输出顺序：正常功能 → 风险靶点 → 主保护 → BL层级 → 验证与边界。</x:v>
      </x:c>
      <x:c r="B2" s="41"/>
      <x:c r="C2" s="41"/>
      <x:c r="D2" s="41"/>
      <x:c r="E2" s="41"/>
    </x:row>
    <x:row r="4">
      <x:c r="A4" s="16" t="str">
        <x:v>模板</x:v>
      </x:c>
      <x:c r="B4" s="16" t="str">
        <x:v>适用条件</x:v>
      </x:c>
      <x:c r="C4" s="16" t="str">
        <x:v>不能用于</x:v>
      </x:c>
      <x:c r="D4" s="16" t="str">
        <x:v>用户文案</x:v>
      </x:c>
      <x:c r="E4" s="16" t="str">
        <x:v>输出槽位</x:v>
      </x:c>
    </x:row>
    <x:row r="5">
      <x:c r="A5" s="24" t="str">
        <x:v>潜在资源模板</x:v>
      </x:c>
      <x:c r="B5" s="24" t="str">
        <x:v>BL1—BL2成立，尚无现实启动。</x:v>
      </x:c>
      <x:c r="C5" s="24" t="str">
        <x:v>已经有现实有效证据。</x:v>
      </x:c>
      <x:c r="D5" s="24" t="str">
        <x:v>结构上可以看到________这一调节资源，但它目前更适合作为潜在方向，是否能在关键时刻用出来仍需现实验证。</x:v>
      </x:c>
      <x:c r="E5" s="24" t="str">
        <x:v>report_text</x:v>
      </x:c>
    </x:row>
    <x:row r="6">
      <x:c r="A6" s="24" t="str">
        <x:v>条件性资源模板</x:v>
      </x:c>
      <x:c r="B6" s="24" t="str">
        <x:v>BL3成立，适用触发域清楚。</x:v>
      </x:c>
      <x:c r="C6" s="24" t="str">
        <x:v>未说明有效条件。</x:v>
      </x:c>
      <x:c r="D6" s="24" t="str">
        <x:v>当________出现时，________更容易进入并减弱________；在其他情境下不一定同样有效。</x:v>
      </x:c>
      <x:c r="E6" s="24" t="str">
        <x:v>report_text</x:v>
      </x:c>
    </x:row>
    <x:row r="7">
      <x:c r="A7" s="24" t="str">
        <x:v>现实已启动模板</x:v>
      </x:c>
      <x:c r="B7" s="24" t="str">
        <x:v>BL4成立，有一个具体事件。</x:v>
      </x:c>
      <x:c r="C7" s="24" t="str">
        <x:v>只有标签或自述。</x:v>
      </x:c>
      <x:c r="D7" s="24" t="str">
        <x:v>从这次经历看，你已经用出了________，它开始改变________；但是否稳定仍需更多情境验证。</x:v>
      </x:c>
      <x:c r="E7" s="24" t="str">
        <x:v>report_text</x:v>
      </x:c>
    </x:row>
    <x:row r="8">
      <x:c r="A8" s="24" t="str">
        <x:v>单次有效模板</x:v>
      </x:c>
      <x:c r="B8" s="24" t="str">
        <x:v>BL5成立，链条已改变。</x:v>
      </x:c>
      <x:c r="C8" s="24" t="str">
        <x:v>效果只来自偶然或对方单方配合且未说明。</x:v>
      </x:c>
      <x:c r="D8" s="24" t="str">
        <x:v>这次事件中，________确实帮助你把________转成了________，因此对应盲点得到了实际缓冲。</x:v>
      </x:c>
      <x:c r="E8" s="24" t="str">
        <x:v>report_text</x:v>
      </x:c>
    </x:row>
    <x:row r="9">
      <x:c r="A9" s="24" t="str">
        <x:v>稳定保护模板</x:v>
      </x:c>
      <x:c r="B9" s="24" t="str">
        <x:v>BL6—BL7成立，有跨情境与反例。</x:v>
      </x:c>
      <x:c r="C9" s="24" t="str">
        <x:v>没有复发和反例检验。</x:v>
      </x:c>
      <x:c r="D9" s="24" t="str">
        <x:v>从多次经历看，________能够较稳定地限制________，并帮助________重新进入关系过程。</x:v>
      </x:c>
      <x:c r="E9" s="24" t="str">
        <x:v>report_text</x:v>
      </x:c>
    </x:row>
    <x:row r="10">
      <x:c r="A10" s="24" t="str">
        <x:v>伪保护提醒模板</x:v>
      </x:c>
      <x:c r="B10" s="24" t="str">
        <x:v>命中PB候选且未退出。</x:v>
      </x:c>
      <x:c r="C10" s="24" t="str">
        <x:v>已满足真实有效标志。</x:v>
      </x:c>
      <x:c r="D10" s="24" t="str">
        <x:v>你可能会把________当成保护，但真正需要继续确认的是________有没有发生；否则它更像短期缓解。</x:v>
      </x:c>
      <x:c r="E10" s="24" t="str">
        <x:v>report_text</x:v>
      </x:c>
    </x:row>
    <x:row r="11">
      <x:c r="A11" s="24" t="str">
        <x:v>安全与外部支持模板</x:v>
      </x:c>
      <x:c r="B11" s="24" t="str">
        <x:v>存在RI08、安全风险或个人资源不足。</x:v>
      </x:c>
      <x:c r="C11" s="24" t="str">
        <x:v>以普通沟通替代安全方案。</x:v>
      </x:c>
      <x:c r="D11" s="24" t="str">
        <x:v>当前优先级不是让关系尽快恢复，而是保护安全、选择权和现实资源；必要时应使用可靠的外部与专业支持。</x:v>
      </x:c>
      <x:c r="E11" s="24" t="str">
        <x:v>report_text</x:v>
      </x:c>
    </x:row>
    <x:row r="12">
      <x:c r="A12" s="24" t="str">
        <x:v>标准四段式报告模板</x:v>
      </x:c>
      <x:c r="B12" s="24" t="str">
        <x:v>已确定主风险、主保护、有效层级和边界。</x:v>
      </x:c>
      <x:c r="C12" s="24" t="str">
        <x:v>资料不足或安全停止。</x:v>
      </x:c>
      <x:c r="D12" s="24" t="str">
        <x:v>【正常功能】________。
【风险靶点】当________时，可能出现________。
【已有保护】________可帮助________，当前有效层级为________。
【边界】这项资源只对________有效，仍需通过________验证。</x:v>
      </x:c>
      <x:c r="E12" s="24" t="str">
        <x:v>report_text</x:v>
      </x:c>
    </x:row>
    <x:row r="14">
      <x:c r="A14" s="32" t="str">
        <x:v>BF01—BF08一句话句库</x:v>
      </x:c>
      <x:c r="B14" s="32"/>
      <x:c r="C14" s="32"/>
      <x:c r="D14" s="32"/>
      <x:c r="E14" s="32"/>
    </x:row>
    <x:row r="15">
      <x:c r="A15" s="16" t="str">
        <x:v>编号</x:v>
      </x:c>
      <x:c r="B15" s="16" t="str">
        <x:v>保护因素</x:v>
      </x:c>
      <x:c r="C15" s="16" t="str">
        <x:v>推荐开头</x:v>
      </x:c>
      <x:c r="D15" s="16" t="str">
        <x:v>有效标志</x:v>
      </x:c>
      <x:c r="E15" s="16" t="str">
        <x:v>边界句</x:v>
      </x:c>
    </x:row>
    <x:row r="16">
      <x:c r="A16" s="24" t="str">
        <x:v>BF01</x:v>
      </x:c>
      <x:c r="B16" s="24" t="str">
        <x:v>有效制化</x:v>
      </x:c>
      <x:c r="C16" s="24" t="str">
        <x:v>当熟悉的处理方式启动过快时，另一项功能有机会把它拉回更可协商、可调整的范围。</x:v>
      </x:c>
      <x:c r="D16" s="24" t="str">
        <x:v>要看到现实顺序、反馈、边界或后续行为发生变化。</x:v>
      </x:c>
      <x:c r="E16" s="24" t="str">
        <x:v>这项资源只针对匹配靶点，不代表所有问题都会自动消失。</x:v>
      </x:c>
    </x:row>
    <x:row r="17">
      <x:c r="A17" s="24" t="str">
        <x:v>BF02</x:v>
      </x:c>
      <x:c r="B17" s="24" t="str">
        <x:v>跨系统通关</x:v>
      </x:c>
      <x:c r="C17" s="24" t="str">
        <x:v>你并非缺少第一步，关键是能否借助中间功能，把理解转成边界、表达转成落实或责任转成安全。</x:v>
      </x:c>
      <x:c r="D17" s="24" t="str">
        <x:v>要看到现实顺序、反馈、边界或后续行为发生变化。</x:v>
      </x:c>
      <x:c r="E17" s="24" t="str">
        <x:v>这项资源只针对匹配靶点，不代表所有问题都会自动消失。</x:v>
      </x:c>
    </x:row>
    <x:row r="18">
      <x:c r="A18" s="24" t="str">
        <x:v>BF03</x:v>
      </x:c>
      <x:c r="B18" s="24" t="str">
        <x:v>独立边界支持</x:v>
      </x:c>
      <x:c r="C18" s="24" t="str">
        <x:v>当关系推进、投入或照顾增加时，清楚的参与权和停止线能帮助你保留选择，而不是被节奏带着走。</x:v>
      </x:c>
      <x:c r="D18" s="24" t="str">
        <x:v>要看到现实顺序、反馈、边界或后续行为发生变化。</x:v>
      </x:c>
      <x:c r="E18" s="24" t="str">
        <x:v>这项资源只针对匹配靶点，不代表所有问题都会自动消失。</x:v>
      </x:c>
    </x:row>
    <x:row r="19">
      <x:c r="A19" s="24" t="str">
        <x:v>BF04</x:v>
      </x:c>
      <x:c r="B19" s="24" t="str">
        <x:v>倾听与内部复核</x:v>
      </x:c>
      <x:c r="C19" s="24" t="str">
        <x:v>在继续解释、推进或定规则前，先确认对方实际接收到什么，会明显降低误判和反应加码。</x:v>
      </x:c>
      <x:c r="D19" s="24" t="str">
        <x:v>要看到现实顺序、反馈、边界或后续行为发生变化。</x:v>
      </x:c>
      <x:c r="E19" s="24" t="str">
        <x:v>这项资源只针对匹配靶点，不代表所有问题都会自动消失。</x:v>
      </x:c>
    </x:row>
    <x:row r="20">
      <x:c r="A20" s="24" t="str">
        <x:v>BF05</x:v>
      </x:c>
      <x:c r="B20" s="24" t="str">
        <x:v>表达与反馈通道</x:v>
      </x:c>
      <x:c r="C20" s="24" t="str">
        <x:v>真正有保护作用的沟通，不只是把话说出来，而是双方能确认彼此听到了什么、接下来怎样调整。</x:v>
      </x:c>
      <x:c r="D20" s="24" t="str">
        <x:v>要看到现实顺序、反馈、边界或后续行为发生变化。</x:v>
      </x:c>
      <x:c r="E20" s="24" t="str">
        <x:v>这项资源只针对匹配靶点，不代表所有问题都会自动消失。</x:v>
      </x:c>
    </x:row>
    <x:row r="21">
      <x:c r="A21" s="24" t="str">
        <x:v>BF06</x:v>
      </x:c>
      <x:c r="B21" s="24" t="str">
        <x:v>现实兑现与重复行为</x:v>
      </x:c>
      <x:c r="C21" s="24" t="str">
        <x:v>能否持续做到，比一次说得好或做得多更能说明这项改变是否真的在保护关系。</x:v>
      </x:c>
      <x:c r="D21" s="24" t="str">
        <x:v>要看到现实顺序、反馈、边界或后续行为发生变化。</x:v>
      </x:c>
      <x:c r="E21" s="24" t="str">
        <x:v>这项资源只针对匹配靶点，不代表所有问题都会自动消失。</x:v>
      </x:c>
    </x:row>
    <x:row r="22">
      <x:c r="A22" s="24" t="str">
        <x:v>BF07</x:v>
      </x:c>
      <x:c r="B22" s="24" t="str">
        <x:v>完整修复回流</x:v>
      </x:c>
      <x:c r="C22" s="24" t="str">
        <x:v>真正的修复不仅要让事情停下来，还要确认影响、调整做法、接收反馈，并看改变能否持续。</x:v>
      </x:c>
      <x:c r="D22" s="24" t="str">
        <x:v>要看到现实顺序、反馈、边界或后续行为发生变化。</x:v>
      </x:c>
      <x:c r="E22" s="24" t="str">
        <x:v>这项资源只针对匹配靶点，不代表所有问题都会自动消失。</x:v>
      </x:c>
    </x:row>
    <x:row r="23">
      <x:c r="A23" s="24" t="str">
        <x:v>BF08</x:v>
      </x:c>
      <x:c r="B23" s="24" t="str">
        <x:v>状态分工与现实支持</x:v>
      </x:c>
      <x:c r="C23" s="24" t="str">
        <x:v>知道自己现在处于平稳、初压还是高压，并在需要时借助现实支持，能减少一种反应长期占据全部关系任务。</x:v>
      </x:c>
      <x:c r="D23" s="24" t="str">
        <x:v>要看到现实顺序、反馈、边界或后续行为发生变化。</x:v>
      </x:c>
      <x:c r="E23" s="24" t="str">
        <x:v>这项资源只针对匹配靶点，不代表所有问题都会自动消失。</x:v>
      </x:c>
    </x:row>
    <x:row r="25">
      <x:c r="A25" s="32" t="str">
        <x:v>标准四段式报告</x:v>
      </x:c>
      <x:c r="B25" s="32"/>
      <x:c r="C25" s="32"/>
      <x:c r="D25" s="32"/>
      <x:c r="E25" s="32"/>
    </x:row>
    <x:row r="26">
      <x:c r="A26" s="16" t="str">
        <x:v>段落</x:v>
      </x:c>
      <x:c r="B26" s="16" t="str">
        <x:v>问题</x:v>
      </x:c>
      <x:c r="C26" s="16" t="str">
        <x:v>模板</x:v>
      </x:c>
      <x:c r="D26" s="16" t="str">
        <x:v>必须包含</x:v>
      </x:c>
      <x:c r="E26" s="16" t="str">
        <x:v>禁止</x:v>
      </x:c>
    </x:row>
    <x:row r="27">
      <x:c r="A27" s="24" t="str">
        <x:v>1 正常功能</x:v>
      </x:c>
      <x:c r="B27" s="24" t="str">
        <x:v>用户原本擅长什么</x:v>
      </x:c>
      <x:c r="C27" s="24" t="str">
        <x:v>你原本很擅长通过________处理________。</x:v>
      </x:c>
      <x:c r="D27" s="24" t="str">
        <x:v>正常功能来源</x:v>
      </x:c>
      <x:c r="E27" s="24" t="str">
        <x:v>负面人格标签</x:v>
      </x:c>
    </x:row>
    <x:row r="28">
      <x:c r="A28" s="24" t="str">
        <x:v>2 风险靶点</x:v>
      </x:c>
      <x:c r="B28" s="24" t="str">
        <x:v>何时怎样失衡</x:v>
      </x:c>
      <x:c r="C28" s="24" t="str">
        <x:v>当________出现时，这项功能可能________，使________进入得更晚。</x:v>
      </x:c>
      <x:c r="D28" s="24" t="str">
        <x:v>触发＋K机制</x:v>
      </x:c>
      <x:c r="E28" s="24" t="str">
        <x:v>必然结果</x:v>
      </x:c>
    </x:row>
    <x:row r="29">
      <x:c r="A29" s="24" t="str">
        <x:v>3 已有保护</x:v>
      </x:c>
      <x:c r="B29" s="24" t="str">
        <x:v>什么能改变链条</x:v>
      </x:c>
      <x:c r="C29" s="24" t="str">
        <x:v>________能够帮助________；当前有效层级是________。</x:v>
      </x:c>
      <x:c r="D29" s="24" t="str">
        <x:v>BF＋BL＋作用节点</x:v>
      </x:c>
      <x:c r="E29" s="24" t="str">
        <x:v>万能药</x:v>
      </x:c>
    </x:row>
    <x:row r="30">
      <x:c r="A30" s="24" t="str">
        <x:v>4 验证边界</x:v>
      </x:c>
      <x:c r="B30" s="24" t="str">
        <x:v>怎样才算有效</x:v>
      </x:c>
      <x:c r="C30" s="24" t="str">
        <x:v>真正有效要看到________。这项资源只针对________，仍需通过________验证。</x:v>
      </x:c>
      <x:c r="D30" s="24" t="str">
        <x:v>现实证据＋反例＋边界</x:v>
      </x:c>
      <x:c r="E30" s="24" t="str">
        <x:v>关系必稳／必须复合</x:v>
      </x:c>
    </x:row>
  </x:sheetData>
  <x:mergeCells>
    <x:mergeCell ref="A1:E1"/>
    <x:mergeCell ref="A2:E2"/>
    <x:mergeCell ref="A14:E14"/>
    <x:mergeCell ref="A25:E25"/>
  </x:mergeCells>
  <x:pageMargins left="0.7" right="0.7" top="0.75" bottom="0.75" header="0.3" footer="0.3"/>
  <x:tableParts count="2">
    <x:tablePart xmlns:r="http://schemas.openxmlformats.org/officeDocument/2006/relationships" r:id="Rb807efed35774a82"/>
    <x:tablePart xmlns:r="http://schemas.openxmlformats.org/officeDocument/2006/relationships" r:id="R4904bffd93404a5f"/>
  </x:tableParts>
</x:worksheet>
</file>

<file path=xl/worksheets/sheet17.xml><?xml version="1.0" encoding="utf-8"?>
<x:worksheet xmlns:x="http://schemas.openxmlformats.org/spreadsheetml/2006/main">
  <x:sheetFormatPr defaultRowHeight="15"/>
  <x:cols>
    <x:col min="1" max="1" width="16" hidden="0" customWidth="1"/>
    <x:col min="2" max="2" width="12" hidden="0" customWidth="1"/>
    <x:col min="3" max="3" width="36" hidden="0" customWidth="1"/>
    <x:col min="4" max="4" width="16" hidden="0" customWidth="1"/>
    <x:col min="5" max="5" width="26" hidden="0" customWidth="1"/>
    <x:col min="6" max="6" width="18" hidden="0" customWidth="1"/>
    <x:col min="7" max="7" width="18" hidden="0" customWidth="1"/>
    <x:col min="8" max="8" width="12" hidden="0" customWidth="1"/>
    <x:col min="9" max="9" width="18" hidden="0" customWidth="1"/>
    <x:col min="10" max="10" width="42" hidden="0" customWidth="1"/>
    <x:col min="11" max="11" width="42" hidden="0" customWidth="1"/>
    <x:col min="12" max="12" width="22" hidden="0" customWidth="1"/>
    <x:col min="13" max="13" width="22" hidden="0" customWidth="1"/>
    <x:col min="14" max="14" width="34" hidden="0" customWidth="1"/>
    <x:col min="15" max="15" width="14" hidden="0" customWidth="1"/>
    <x:col min="16" max="16" width="28" hidden="0" customWidth="1"/>
    <x:col min="17" max="17" width="36" hidden="0" customWidth="1"/>
  </x:cols>
  <x:sheetData>
    <x:row r="1">
      <x:c r="A1" s="6" t="str">
        <x:v>M4-BUFFER 真实案例校准记录</x:v>
      </x:c>
      <x:c r="B1" s="6"/>
      <x:c r="C1" s="6"/>
      <x:c r="D1" s="6"/>
      <x:c r="E1" s="6"/>
      <x:c r="F1" s="6"/>
      <x:c r="G1" s="6"/>
      <x:c r="H1" s="6"/>
      <x:c r="I1" s="6"/>
      <x:c r="J1" s="6"/>
      <x:c r="K1" s="6"/>
      <x:c r="L1" s="6"/>
      <x:c r="M1" s="6"/>
      <x:c r="N1" s="6"/>
      <x:c r="O1" s="6"/>
      <x:c r="P1" s="6"/>
      <x:c r="Q1" s="6"/>
    </x:row>
    <x:row r="2">
      <x:c r="A2" s="55" t="str">
        <x:v>至少记录触发、K机制、风险节点、保护动作、对方反馈、结果、复发与反例；没有现实事件不能升级BL4以上。</x:v>
      </x:c>
      <x:c r="B2" s="55"/>
      <x:c r="C2" s="55"/>
      <x:c r="D2" s="55"/>
      <x:c r="E2" s="55"/>
      <x:c r="F2" s="55"/>
      <x:c r="G2" s="55"/>
      <x:c r="H2" s="55"/>
      <x:c r="I2" s="55"/>
      <x:c r="J2" s="55"/>
      <x:c r="K2" s="55"/>
      <x:c r="L2" s="55"/>
      <x:c r="M2" s="55"/>
      <x:c r="N2" s="55"/>
      <x:c r="O2" s="55"/>
      <x:c r="P2" s="55"/>
      <x:c r="Q2" s="55"/>
    </x:row>
    <x:row r="4">
      <x:c r="A4" s="16" t="str">
        <x:v>case_id</x:v>
      </x:c>
      <x:c r="B4" s="16" t="str">
        <x:v>案例状态</x:v>
      </x:c>
      <x:c r="C4" s="16" t="str">
        <x:v>命盘／结构摘要</x:v>
      </x:c>
      <x:c r="D4" s="16" t="str">
        <x:v>主K机制</x:v>
      </x:c>
      <x:c r="E4" s="16" t="str">
        <x:v>TR／LP／RN靶点</x:v>
      </x:c>
      <x:c r="F4" s="16" t="str">
        <x:v>主保护BF</x:v>
      </x:c>
      <x:c r="G4" s="16" t="str">
        <x:v>次保护BF</x:v>
      </x:c>
      <x:c r="H4" s="16" t="str">
        <x:v>BL层级</x:v>
      </x:c>
      <x:c r="I4" s="16" t="str">
        <x:v>伪保护PB</x:v>
      </x:c>
      <x:c r="J4" s="16" t="str">
        <x:v>现实保护动作</x:v>
      </x:c>
      <x:c r="K4" s="16" t="str">
        <x:v>对方／接收方反馈</x:v>
      </x:c>
      <x:c r="L4" s="16" t="str">
        <x:v>结果是否改变链条</x:v>
      </x:c>
      <x:c r="M4" s="16" t="str">
        <x:v>复发情况</x:v>
      </x:c>
      <x:c r="N4" s="16" t="str">
        <x:v>现实反例</x:v>
      </x:c>
      <x:c r="O4" s="16" t="str">
        <x:v>匹配程度</x:v>
      </x:c>
      <x:c r="P4" s="16" t="str">
        <x:v>关联规则ID</x:v>
      </x:c>
      <x:c r="Q4" s="16" t="str">
        <x:v>备注</x:v>
      </x:c>
    </x:row>
    <x:row r="5">
      <x:c r="A5" s="24" t="str">
        <x:v>M4B-CASE-001</x:v>
      </x:c>
      <x:c r="B5" s="24" t="str">
        <x:v>待录入</x:v>
      </x:c>
      <x:c r="C5" s="24" t="str"/>
      <x:c r="D5" s="24" t="str"/>
      <x:c r="E5" s="24" t="str"/>
      <x:c r="F5" s="24" t="str"/>
      <x:c r="G5" s="24" t="str"/>
      <x:c r="H5" s="24" t="str">
        <x:v>BL0</x:v>
      </x:c>
      <x:c r="I5" s="24" t="str"/>
      <x:c r="J5" s="24" t="str"/>
      <x:c r="K5" s="24" t="str"/>
      <x:c r="L5" s="24" t="str"/>
      <x:c r="M5" s="24" t="str"/>
      <x:c r="N5" s="24" t="str"/>
      <x:c r="O5" s="24" t="str">
        <x:v>信息不足</x:v>
      </x:c>
      <x:c r="P5" s="24" t="str"/>
      <x:c r="Q5" s="24" t="str"/>
    </x:row>
    <x:row r="6">
      <x:c r="A6" s="24" t="str">
        <x:v>M4B-CASE-002</x:v>
      </x:c>
      <x:c r="B6" s="24" t="str">
        <x:v>待录入</x:v>
      </x:c>
      <x:c r="C6" s="24" t="str"/>
      <x:c r="D6" s="24" t="str"/>
      <x:c r="E6" s="24" t="str"/>
      <x:c r="F6" s="24" t="str"/>
      <x:c r="G6" s="24" t="str"/>
      <x:c r="H6" s="24" t="str">
        <x:v>BL0</x:v>
      </x:c>
      <x:c r="I6" s="24" t="str"/>
      <x:c r="J6" s="24" t="str"/>
      <x:c r="K6" s="24" t="str"/>
      <x:c r="L6" s="24" t="str"/>
      <x:c r="M6" s="24" t="str"/>
      <x:c r="N6" s="24" t="str"/>
      <x:c r="O6" s="24" t="str">
        <x:v>信息不足</x:v>
      </x:c>
      <x:c r="P6" s="24" t="str"/>
      <x:c r="Q6" s="24" t="str"/>
    </x:row>
    <x:row r="7">
      <x:c r="A7" s="24" t="str">
        <x:v>M4B-CASE-003</x:v>
      </x:c>
      <x:c r="B7" s="24" t="str">
        <x:v>待录入</x:v>
      </x:c>
      <x:c r="C7" s="24" t="str"/>
      <x:c r="D7" s="24" t="str"/>
      <x:c r="E7" s="24" t="str"/>
      <x:c r="F7" s="24" t="str"/>
      <x:c r="G7" s="24" t="str"/>
      <x:c r="H7" s="24" t="str">
        <x:v>BL0</x:v>
      </x:c>
      <x:c r="I7" s="24" t="str"/>
      <x:c r="J7" s="24" t="str"/>
      <x:c r="K7" s="24" t="str"/>
      <x:c r="L7" s="24" t="str"/>
      <x:c r="M7" s="24" t="str"/>
      <x:c r="N7" s="24" t="str"/>
      <x:c r="O7" s="24" t="str">
        <x:v>信息不足</x:v>
      </x:c>
      <x:c r="P7" s="24" t="str"/>
      <x:c r="Q7" s="24" t="str"/>
    </x:row>
    <x:row r="8">
      <x:c r="A8" s="24" t="str">
        <x:v>M4B-CASE-004</x:v>
      </x:c>
      <x:c r="B8" s="24" t="str">
        <x:v>待录入</x:v>
      </x:c>
      <x:c r="C8" s="24" t="str"/>
      <x:c r="D8" s="24" t="str"/>
      <x:c r="E8" s="24" t="str"/>
      <x:c r="F8" s="24" t="str"/>
      <x:c r="G8" s="24" t="str"/>
      <x:c r="H8" s="24" t="str">
        <x:v>BL0</x:v>
      </x:c>
      <x:c r="I8" s="24" t="str"/>
      <x:c r="J8" s="24" t="str"/>
      <x:c r="K8" s="24" t="str"/>
      <x:c r="L8" s="24" t="str"/>
      <x:c r="M8" s="24" t="str"/>
      <x:c r="N8" s="24" t="str"/>
      <x:c r="O8" s="24" t="str">
        <x:v>信息不足</x:v>
      </x:c>
      <x:c r="P8" s="24" t="str"/>
      <x:c r="Q8" s="24" t="str"/>
    </x:row>
    <x:row r="9">
      <x:c r="A9" s="24" t="str">
        <x:v>M4B-CASE-005</x:v>
      </x:c>
      <x:c r="B9" s="24" t="str">
        <x:v>待录入</x:v>
      </x:c>
      <x:c r="C9" s="24" t="str"/>
      <x:c r="D9" s="24" t="str"/>
      <x:c r="E9" s="24" t="str"/>
      <x:c r="F9" s="24" t="str"/>
      <x:c r="G9" s="24" t="str"/>
      <x:c r="H9" s="24" t="str">
        <x:v>BL0</x:v>
      </x:c>
      <x:c r="I9" s="24" t="str"/>
      <x:c r="J9" s="24" t="str"/>
      <x:c r="K9" s="24" t="str"/>
      <x:c r="L9" s="24" t="str"/>
      <x:c r="M9" s="24" t="str"/>
      <x:c r="N9" s="24" t="str"/>
      <x:c r="O9" s="24" t="str">
        <x:v>信息不足</x:v>
      </x:c>
      <x:c r="P9" s="24" t="str"/>
      <x:c r="Q9" s="24" t="str"/>
    </x:row>
    <x:row r="10">
      <x:c r="A10" s="24" t="str">
        <x:v>M4B-CASE-006</x:v>
      </x:c>
      <x:c r="B10" s="24" t="str">
        <x:v>待录入</x:v>
      </x:c>
      <x:c r="C10" s="24" t="str"/>
      <x:c r="D10" s="24" t="str"/>
      <x:c r="E10" s="24" t="str"/>
      <x:c r="F10" s="24" t="str"/>
      <x:c r="G10" s="24" t="str"/>
      <x:c r="H10" s="24" t="str">
        <x:v>BL0</x:v>
      </x:c>
      <x:c r="I10" s="24" t="str"/>
      <x:c r="J10" s="24" t="str"/>
      <x:c r="K10" s="24" t="str"/>
      <x:c r="L10" s="24" t="str"/>
      <x:c r="M10" s="24" t="str"/>
      <x:c r="N10" s="24" t="str"/>
      <x:c r="O10" s="24" t="str">
        <x:v>信息不足</x:v>
      </x:c>
      <x:c r="P10" s="24" t="str"/>
      <x:c r="Q10" s="24" t="str"/>
    </x:row>
    <x:row r="11">
      <x:c r="A11" s="24" t="str">
        <x:v>M4B-CASE-007</x:v>
      </x:c>
      <x:c r="B11" s="24" t="str">
        <x:v>待录入</x:v>
      </x:c>
      <x:c r="C11" s="24" t="str"/>
      <x:c r="D11" s="24" t="str"/>
      <x:c r="E11" s="24" t="str"/>
      <x:c r="F11" s="24" t="str"/>
      <x:c r="G11" s="24" t="str"/>
      <x:c r="H11" s="24" t="str">
        <x:v>BL0</x:v>
      </x:c>
      <x:c r="I11" s="24" t="str"/>
      <x:c r="J11" s="24" t="str"/>
      <x:c r="K11" s="24" t="str"/>
      <x:c r="L11" s="24" t="str"/>
      <x:c r="M11" s="24" t="str"/>
      <x:c r="N11" s="24" t="str"/>
      <x:c r="O11" s="24" t="str">
        <x:v>信息不足</x:v>
      </x:c>
      <x:c r="P11" s="24" t="str"/>
      <x:c r="Q11" s="24" t="str"/>
    </x:row>
    <x:row r="12">
      <x:c r="A12" s="24" t="str">
        <x:v>M4B-CASE-008</x:v>
      </x:c>
      <x:c r="B12" s="24" t="str">
        <x:v>待录入</x:v>
      </x:c>
      <x:c r="C12" s="24" t="str"/>
      <x:c r="D12" s="24" t="str"/>
      <x:c r="E12" s="24" t="str"/>
      <x:c r="F12" s="24" t="str"/>
      <x:c r="G12" s="24" t="str"/>
      <x:c r="H12" s="24" t="str">
        <x:v>BL0</x:v>
      </x:c>
      <x:c r="I12" s="24" t="str"/>
      <x:c r="J12" s="24" t="str"/>
      <x:c r="K12" s="24" t="str"/>
      <x:c r="L12" s="24" t="str"/>
      <x:c r="M12" s="24" t="str"/>
      <x:c r="N12" s="24" t="str"/>
      <x:c r="O12" s="24" t="str">
        <x:v>信息不足</x:v>
      </x:c>
      <x:c r="P12" s="24" t="str"/>
      <x:c r="Q12" s="24" t="str"/>
    </x:row>
    <x:row r="13">
      <x:c r="A13" s="24" t="str">
        <x:v>M4B-CASE-009</x:v>
      </x:c>
      <x:c r="B13" s="24" t="str">
        <x:v>待录入</x:v>
      </x:c>
      <x:c r="C13" s="24" t="str"/>
      <x:c r="D13" s="24" t="str"/>
      <x:c r="E13" s="24" t="str"/>
      <x:c r="F13" s="24" t="str"/>
      <x:c r="G13" s="24" t="str"/>
      <x:c r="H13" s="24" t="str">
        <x:v>BL0</x:v>
      </x:c>
      <x:c r="I13" s="24" t="str"/>
      <x:c r="J13" s="24" t="str"/>
      <x:c r="K13" s="24" t="str"/>
      <x:c r="L13" s="24" t="str"/>
      <x:c r="M13" s="24" t="str"/>
      <x:c r="N13" s="24" t="str"/>
      <x:c r="O13" s="24" t="str">
        <x:v>信息不足</x:v>
      </x:c>
      <x:c r="P13" s="24" t="str"/>
      <x:c r="Q13" s="24" t="str"/>
    </x:row>
    <x:row r="14">
      <x:c r="A14" s="24" t="str">
        <x:v>M4B-CASE-010</x:v>
      </x:c>
      <x:c r="B14" s="24" t="str">
        <x:v>待录入</x:v>
      </x:c>
      <x:c r="C14" s="24" t="str"/>
      <x:c r="D14" s="24" t="str"/>
      <x:c r="E14" s="24" t="str"/>
      <x:c r="F14" s="24" t="str"/>
      <x:c r="G14" s="24" t="str"/>
      <x:c r="H14" s="24" t="str">
        <x:v>BL0</x:v>
      </x:c>
      <x:c r="I14" s="24" t="str"/>
      <x:c r="J14" s="24" t="str"/>
      <x:c r="K14" s="24" t="str"/>
      <x:c r="L14" s="24" t="str"/>
      <x:c r="M14" s="24" t="str"/>
      <x:c r="N14" s="24" t="str"/>
      <x:c r="O14" s="24" t="str">
        <x:v>信息不足</x:v>
      </x:c>
      <x:c r="P14" s="24" t="str"/>
      <x:c r="Q14" s="24" t="str"/>
    </x:row>
    <x:row r="15">
      <x:c r="A15" s="24" t="str">
        <x:v>M4B-CASE-011</x:v>
      </x:c>
      <x:c r="B15" s="24" t="str">
        <x:v>待录入</x:v>
      </x:c>
      <x:c r="C15" s="24" t="str"/>
      <x:c r="D15" s="24" t="str"/>
      <x:c r="E15" s="24" t="str"/>
      <x:c r="F15" s="24" t="str"/>
      <x:c r="G15" s="24" t="str"/>
      <x:c r="H15" s="24" t="str">
        <x:v>BL0</x:v>
      </x:c>
      <x:c r="I15" s="24" t="str"/>
      <x:c r="J15" s="24" t="str"/>
      <x:c r="K15" s="24" t="str"/>
      <x:c r="L15" s="24" t="str"/>
      <x:c r="M15" s="24" t="str"/>
      <x:c r="N15" s="24" t="str"/>
      <x:c r="O15" s="24" t="str">
        <x:v>信息不足</x:v>
      </x:c>
      <x:c r="P15" s="24" t="str"/>
      <x:c r="Q15" s="24" t="str"/>
    </x:row>
    <x:row r="16">
      <x:c r="A16" s="24" t="str">
        <x:v>M4B-CASE-012</x:v>
      </x:c>
      <x:c r="B16" s="24" t="str">
        <x:v>待录入</x:v>
      </x:c>
      <x:c r="C16" s="24" t="str"/>
      <x:c r="D16" s="24" t="str"/>
      <x:c r="E16" s="24" t="str"/>
      <x:c r="F16" s="24" t="str"/>
      <x:c r="G16" s="24" t="str"/>
      <x:c r="H16" s="24" t="str">
        <x:v>BL0</x:v>
      </x:c>
      <x:c r="I16" s="24" t="str"/>
      <x:c r="J16" s="24" t="str"/>
      <x:c r="K16" s="24" t="str"/>
      <x:c r="L16" s="24" t="str"/>
      <x:c r="M16" s="24" t="str"/>
      <x:c r="N16" s="24" t="str"/>
      <x:c r="O16" s="24" t="str">
        <x:v>信息不足</x:v>
      </x:c>
      <x:c r="P16" s="24" t="str"/>
      <x:c r="Q16" s="24" t="str"/>
    </x:row>
    <x:row r="17">
      <x:c r="A17" s="24" t="str">
        <x:v>M4B-CASE-013</x:v>
      </x:c>
      <x:c r="B17" s="24" t="str">
        <x:v>待录入</x:v>
      </x:c>
      <x:c r="C17" s="24" t="str"/>
      <x:c r="D17" s="24" t="str"/>
      <x:c r="E17" s="24" t="str"/>
      <x:c r="F17" s="24" t="str"/>
      <x:c r="G17" s="24" t="str"/>
      <x:c r="H17" s="24" t="str">
        <x:v>BL0</x:v>
      </x:c>
      <x:c r="I17" s="24" t="str"/>
      <x:c r="J17" s="24" t="str"/>
      <x:c r="K17" s="24" t="str"/>
      <x:c r="L17" s="24" t="str"/>
      <x:c r="M17" s="24" t="str"/>
      <x:c r="N17" s="24" t="str"/>
      <x:c r="O17" s="24" t="str">
        <x:v>信息不足</x:v>
      </x:c>
      <x:c r="P17" s="24" t="str"/>
      <x:c r="Q17" s="24" t="str"/>
    </x:row>
    <x:row r="18">
      <x:c r="A18" s="24" t="str">
        <x:v>M4B-CASE-014</x:v>
      </x:c>
      <x:c r="B18" s="24" t="str">
        <x:v>待录入</x:v>
      </x:c>
      <x:c r="C18" s="24" t="str"/>
      <x:c r="D18" s="24" t="str"/>
      <x:c r="E18" s="24" t="str"/>
      <x:c r="F18" s="24" t="str"/>
      <x:c r="G18" s="24" t="str"/>
      <x:c r="H18" s="24" t="str">
        <x:v>BL0</x:v>
      </x:c>
      <x:c r="I18" s="24" t="str"/>
      <x:c r="J18" s="24" t="str"/>
      <x:c r="K18" s="24" t="str"/>
      <x:c r="L18" s="24" t="str"/>
      <x:c r="M18" s="24" t="str"/>
      <x:c r="N18" s="24" t="str"/>
      <x:c r="O18" s="24" t="str">
        <x:v>信息不足</x:v>
      </x:c>
      <x:c r="P18" s="24" t="str"/>
      <x:c r="Q18" s="24" t="str"/>
    </x:row>
    <x:row r="19">
      <x:c r="A19" s="24" t="str">
        <x:v>M4B-CASE-015</x:v>
      </x:c>
      <x:c r="B19" s="24" t="str">
        <x:v>待录入</x:v>
      </x:c>
      <x:c r="C19" s="24" t="str"/>
      <x:c r="D19" s="24" t="str"/>
      <x:c r="E19" s="24" t="str"/>
      <x:c r="F19" s="24" t="str"/>
      <x:c r="G19" s="24" t="str"/>
      <x:c r="H19" s="24" t="str">
        <x:v>BL0</x:v>
      </x:c>
      <x:c r="I19" s="24" t="str"/>
      <x:c r="J19" s="24" t="str"/>
      <x:c r="K19" s="24" t="str"/>
      <x:c r="L19" s="24" t="str"/>
      <x:c r="M19" s="24" t="str"/>
      <x:c r="N19" s="24" t="str"/>
      <x:c r="O19" s="24" t="str">
        <x:v>信息不足</x:v>
      </x:c>
      <x:c r="P19" s="24" t="str"/>
      <x:c r="Q19" s="24" t="str"/>
    </x:row>
    <x:row r="20">
      <x:c r="A20" s="24" t="str">
        <x:v>M4B-CASE-016</x:v>
      </x:c>
      <x:c r="B20" s="24" t="str">
        <x:v>待录入</x:v>
      </x:c>
      <x:c r="C20" s="24" t="str"/>
      <x:c r="D20" s="24" t="str"/>
      <x:c r="E20" s="24" t="str"/>
      <x:c r="F20" s="24" t="str"/>
      <x:c r="G20" s="24" t="str"/>
      <x:c r="H20" s="24" t="str">
        <x:v>BL0</x:v>
      </x:c>
      <x:c r="I20" s="24" t="str"/>
      <x:c r="J20" s="24" t="str"/>
      <x:c r="K20" s="24" t="str"/>
      <x:c r="L20" s="24" t="str"/>
      <x:c r="M20" s="24" t="str"/>
      <x:c r="N20" s="24" t="str"/>
      <x:c r="O20" s="24" t="str">
        <x:v>信息不足</x:v>
      </x:c>
      <x:c r="P20" s="24" t="str"/>
      <x:c r="Q20" s="24" t="str"/>
    </x:row>
    <x:row r="21">
      <x:c r="A21" s="24" t="str">
        <x:v>M4B-CASE-017</x:v>
      </x:c>
      <x:c r="B21" s="24" t="str">
        <x:v>待录入</x:v>
      </x:c>
      <x:c r="C21" s="24" t="str"/>
      <x:c r="D21" s="24" t="str"/>
      <x:c r="E21" s="24" t="str"/>
      <x:c r="F21" s="24" t="str"/>
      <x:c r="G21" s="24" t="str"/>
      <x:c r="H21" s="24" t="str">
        <x:v>BL0</x:v>
      </x:c>
      <x:c r="I21" s="24" t="str"/>
      <x:c r="J21" s="24" t="str"/>
      <x:c r="K21" s="24" t="str"/>
      <x:c r="L21" s="24" t="str"/>
      <x:c r="M21" s="24" t="str"/>
      <x:c r="N21" s="24" t="str"/>
      <x:c r="O21" s="24" t="str">
        <x:v>信息不足</x:v>
      </x:c>
      <x:c r="P21" s="24" t="str"/>
      <x:c r="Q21" s="24" t="str"/>
    </x:row>
    <x:row r="22">
      <x:c r="A22" s="24" t="str">
        <x:v>M4B-CASE-018</x:v>
      </x:c>
      <x:c r="B22" s="24" t="str">
        <x:v>待录入</x:v>
      </x:c>
      <x:c r="C22" s="24" t="str"/>
      <x:c r="D22" s="24" t="str"/>
      <x:c r="E22" s="24" t="str"/>
      <x:c r="F22" s="24" t="str"/>
      <x:c r="G22" s="24" t="str"/>
      <x:c r="H22" s="24" t="str">
        <x:v>BL0</x:v>
      </x:c>
      <x:c r="I22" s="24" t="str"/>
      <x:c r="J22" s="24" t="str"/>
      <x:c r="K22" s="24" t="str"/>
      <x:c r="L22" s="24" t="str"/>
      <x:c r="M22" s="24" t="str"/>
      <x:c r="N22" s="24" t="str"/>
      <x:c r="O22" s="24" t="str">
        <x:v>信息不足</x:v>
      </x:c>
      <x:c r="P22" s="24" t="str"/>
      <x:c r="Q22" s="24" t="str"/>
    </x:row>
    <x:row r="23">
      <x:c r="A23" s="24" t="str">
        <x:v>M4B-CASE-019</x:v>
      </x:c>
      <x:c r="B23" s="24" t="str">
        <x:v>待录入</x:v>
      </x:c>
      <x:c r="C23" s="24" t="str"/>
      <x:c r="D23" s="24" t="str"/>
      <x:c r="E23" s="24" t="str"/>
      <x:c r="F23" s="24" t="str"/>
      <x:c r="G23" s="24" t="str"/>
      <x:c r="H23" s="24" t="str">
        <x:v>BL0</x:v>
      </x:c>
      <x:c r="I23" s="24" t="str"/>
      <x:c r="J23" s="24" t="str"/>
      <x:c r="K23" s="24" t="str"/>
      <x:c r="L23" s="24" t="str"/>
      <x:c r="M23" s="24" t="str"/>
      <x:c r="N23" s="24" t="str"/>
      <x:c r="O23" s="24" t="str">
        <x:v>信息不足</x:v>
      </x:c>
      <x:c r="P23" s="24" t="str"/>
      <x:c r="Q23" s="24" t="str"/>
    </x:row>
    <x:row r="24">
      <x:c r="A24" s="24" t="str">
        <x:v>M4B-CASE-020</x:v>
      </x:c>
      <x:c r="B24" s="24" t="str">
        <x:v>待录入</x:v>
      </x:c>
      <x:c r="C24" s="24" t="str"/>
      <x:c r="D24" s="24" t="str"/>
      <x:c r="E24" s="24" t="str"/>
      <x:c r="F24" s="24" t="str"/>
      <x:c r="G24" s="24" t="str"/>
      <x:c r="H24" s="24" t="str">
        <x:v>BL0</x:v>
      </x:c>
      <x:c r="I24" s="24" t="str"/>
      <x:c r="J24" s="24" t="str"/>
      <x:c r="K24" s="24" t="str"/>
      <x:c r="L24" s="24" t="str"/>
      <x:c r="M24" s="24" t="str"/>
      <x:c r="N24" s="24" t="str"/>
      <x:c r="O24" s="24" t="str">
        <x:v>信息不足</x:v>
      </x:c>
      <x:c r="P24" s="24" t="str"/>
      <x:c r="Q24" s="24" t="str"/>
    </x:row>
  </x:sheetData>
  <x:mergeCells>
    <x:mergeCell ref="A1:Q1"/>
    <x:mergeCell ref="A2:Q2"/>
  </x:mergeCells>
  <x:conditionalFormatting sqref="O5:O24">
    <x:cfRule type="expression" dxfId="6" priority="1">
      <x:formula>O5="完全吻合"</x:formula>
    </x:cfRule>
    <x:cfRule type="expression" dxfId="7" priority="2">
      <x:formula>O5="明显不吻合"</x:formula>
    </x:cfRule>
    <x:cfRule type="expression" dxfId="8" priority="3">
      <x:formula>O5="部分吻合"</x:formula>
    </x:cfRule>
  </x:conditionalFormatting>
  <x:dataValidations count="5">
    <x:dataValidation type="list" sqref="B5:B24">
      <x:formula1>"待录入,已录入,已复核,排除"</x:formula1>
    </x:dataValidation>
    <x:dataValidation type="list" sqref="D5:D24">
      <x:formula1>"K01,K02,K03,K04,K05,K06,K07,K08,未定"</x:formula1>
    </x:dataValidation>
    <x:dataValidation type="list" sqref="F5:G24">
      <x:formula1>"BF01,BF02,BF03,BF04,BF05,BF06,BF07,BF08,无／未定"</x:formula1>
    </x:dataValidation>
    <x:dataValidation type="list" sqref="H5:H24">
      <x:formula1>"BL0,BL1,BL2,BL3,BL4,BL5,BL6,BL7"</x:formula1>
    </x:dataValidation>
    <x:dataValidation type="list" sqref="O5:O24">
      <x:formula1>"完全吻合,部分吻合,明显不吻合,信息不足"</x:formula1>
    </x:dataValidation>
  </x:dataValidations>
  <x:pageMargins left="0.7" right="0.7" top="0.75" bottom="0.75" header="0.3" footer="0.3"/>
  <x:tableParts count="1">
    <x:tablePart xmlns:r="http://schemas.openxmlformats.org/officeDocument/2006/relationships" r:id="R09281b9912fd4487"/>
  </x:tableParts>
</x:worksheet>
</file>

<file path=xl/worksheets/sheet18.xml><?xml version="1.0" encoding="utf-8"?>
<x:worksheet xmlns:x="http://schemas.openxmlformats.org/spreadsheetml/2006/main">
  <x:sheetFormatPr defaultRowHeight="15"/>
  <x:cols>
    <x:col min="1" max="1" width="28" hidden="0" customWidth="1"/>
    <x:col min="2" max="2" width="72" hidden="0" customWidth="1"/>
    <x:col min="3" max="3" width="24" hidden="0" customWidth="1"/>
    <x:col min="4" max="4" width="22" hidden="0" customWidth="1"/>
  </x:cols>
  <x:sheetData>
    <x:row r="1">
      <x:c r="A1" s="6" t="str">
        <x:v>31个原子规则字段词典</x:v>
      </x:c>
      <x:c r="B1" s="6"/>
      <x:c r="C1" s="6"/>
      <x:c r="D1" s="6"/>
    </x:row>
    <x:row r="3">
      <x:c r="A3" s="16" t="str">
        <x:v>字段</x:v>
      </x:c>
      <x:c r="B3" s="16" t="str">
        <x:v>含义</x:v>
      </x:c>
      <x:c r="C3" s="16" t="str">
        <x:v>用途</x:v>
      </x:c>
      <x:c r="D3" s="16" t="str">
        <x:v>主要位置</x:v>
      </x:c>
    </x:row>
    <x:row r="4">
      <x:c r="A4" s="24" t="str">
        <x:v>rule_id</x:v>
      </x:c>
      <x:c r="B4" s="24" t="str">
        <x:v>唯一规则编号；M4-BUFFER-001—520。</x:v>
      </x:c>
      <x:c r="C4" s="24" t="str">
        <x:v>规则维护／开发</x:v>
      </x:c>
      <x:c r="D4" s="24" t="str">
        <x:v>13_原子规则</x:v>
      </x:c>
    </x:row>
    <x:row r="5">
      <x:c r="A5" s="24" t="str">
        <x:v>rule_name</x:v>
      </x:c>
      <x:c r="B5" s="24" t="str">
        <x:v>规则的可读名称。</x:v>
      </x:c>
      <x:c r="C5" s="24" t="str">
        <x:v>规则维护／开发</x:v>
      </x:c>
      <x:c r="D5" s="24" t="str">
        <x:v>13_原子规则</x:v>
      </x:c>
    </x:row>
    <x:row r="6">
      <x:c r="A6" s="24" t="str">
        <x:v>layer</x:v>
      </x:c>
      <x:c r="B6" s="24" t="str">
        <x:v>规则所在知识层级。</x:v>
      </x:c>
      <x:c r="C6" s="24" t="str">
        <x:v>规则维护／开发</x:v>
      </x:c>
      <x:c r="D6" s="24" t="str">
        <x:v>13_原子规则</x:v>
      </x:c>
    </x:row>
    <x:row r="7">
      <x:c r="A7" s="24" t="str">
        <x:v>module</x:v>
      </x:c>
      <x:c r="B7" s="24" t="str">
        <x:v>模块／子模块代码。</x:v>
      </x:c>
      <x:c r="C7" s="24" t="str">
        <x:v>规则维护／开发</x:v>
      </x:c>
      <x:c r="D7" s="24" t="str">
        <x:v>13_原子规则</x:v>
      </x:c>
    </x:row>
    <x:row r="8">
      <x:c r="A8" s="24" t="str">
        <x:v>applicable_group</x:v>
      </x:c>
      <x:c r="B8" s="24" t="str">
        <x:v>适用对象；本模块以通用为主。</x:v>
      </x:c>
      <x:c r="C8" s="24" t="str">
        <x:v>规则维护／开发</x:v>
      </x:c>
      <x:c r="D8" s="24" t="str">
        <x:v>13_原子规则</x:v>
      </x:c>
    </x:row>
    <x:row r="9">
      <x:c r="A9" s="24" t="str">
        <x:v>rule_type</x:v>
      </x:c>
      <x:c r="B9" s="24" t="str">
        <x:v>定义、边界、路由、证据、评分、模板等。</x:v>
      </x:c>
      <x:c r="C9" s="24" t="str">
        <x:v>规则维护／开发</x:v>
      </x:c>
      <x:c r="D9" s="24" t="str">
        <x:v>13_原子规则</x:v>
      </x:c>
    </x:row>
    <x:row r="10">
      <x:c r="A10" s="24" t="str">
        <x:v>main_signal</x:v>
      </x:c>
      <x:c r="B10" s="24" t="str">
        <x:v>主保护因素、K机制、循环、修复节点或接口。</x:v>
      </x:c>
      <x:c r="C10" s="24" t="str">
        <x:v>规则维护／开发</x:v>
      </x:c>
      <x:c r="D10" s="24" t="str">
        <x:v>13_原子规则</x:v>
      </x:c>
    </x:row>
    <x:row r="11">
      <x:c r="A11" s="24" t="str">
        <x:v>secondary_signal</x:v>
      </x:c>
      <x:c r="B11" s="24" t="str">
        <x:v>辅助资源、功能说明或次级路由。</x:v>
      </x:c>
      <x:c r="C11" s="24" t="str">
        <x:v>规则维护／开发</x:v>
      </x:c>
      <x:c r="D11" s="24" t="str">
        <x:v>13_原子规则</x:v>
      </x:c>
    </x:row>
    <x:row r="12">
      <x:c r="A12" s="24" t="str">
        <x:v>required_conditions</x:v>
      </x:c>
      <x:c r="B12" s="24" t="str">
        <x:v>使用规则前必须满足的条件。</x:v>
      </x:c>
      <x:c r="C12" s="24" t="str">
        <x:v>规则维护／开发</x:v>
      </x:c>
      <x:c r="D12" s="24" t="str">
        <x:v>13_原子规则</x:v>
      </x:c>
    </x:row>
    <x:row r="13">
      <x:c r="A13" s="24" t="str">
        <x:v>excluded_conditions</x:v>
      </x:c>
      <x:c r="B13" s="24" t="str">
        <x:v>出现时应停止、降级或改道的条件。</x:v>
      </x:c>
      <x:c r="C13" s="24" t="str">
        <x:v>规则维护／开发</x:v>
      </x:c>
      <x:c r="D13" s="24" t="str">
        <x:v>13_原子规则</x:v>
      </x:c>
    </x:row>
    <x:row r="14">
      <x:c r="A14" s="24" t="str">
        <x:v>self_strength_status</x:v>
      </x:c>
      <x:c r="B14" s="24" t="str">
        <x:v>日主承载与保护调用稳定度接口。</x:v>
      </x:c>
      <x:c r="C14" s="24" t="str">
        <x:v>规则维护／开发</x:v>
      </x:c>
      <x:c r="D14" s="24" t="str">
        <x:v>13_原子规则</x:v>
      </x:c>
    </x:row>
    <x:row r="15">
      <x:c r="A15" s="24" t="str">
        <x:v>spouse_star_status</x:v>
      </x:c>
      <x:c r="B15" s="24" t="str">
        <x:v>M1／M2关系议题接口。</x:v>
      </x:c>
      <x:c r="C15" s="24" t="str">
        <x:v>规则维护／开发</x:v>
      </x:c>
      <x:c r="D15" s="24" t="str">
        <x:v>13_原子规则</x:v>
      </x:c>
    </x:row>
    <x:row r="16">
      <x:c r="A16" s="24" t="str">
        <x:v>palace_signal</x:v>
      </x:c>
      <x:c r="B16" s="24" t="str">
        <x:v>M3-BASE及日支亲密核心接口。</x:v>
      </x:c>
      <x:c r="C16" s="24" t="str">
        <x:v>规则维护／开发</x:v>
      </x:c>
      <x:c r="D16" s="24" t="str">
        <x:v>13_原子规则</x:v>
      </x:c>
    </x:row>
    <x:row r="17">
      <x:c r="A17" s="24" t="str">
        <x:v>flow_path</x:v>
      </x:c>
      <x:c r="B17" s="24" t="str">
        <x:v>保护如何改变具体风险链。</x:v>
      </x:c>
      <x:c r="C17" s="24" t="str">
        <x:v>规则维护／开发</x:v>
      </x:c>
      <x:c r="D17" s="24" t="str">
        <x:v>13_原子规则</x:v>
      </x:c>
    </x:row>
    <x:row r="18">
      <x:c r="A18" s="24" t="str">
        <x:v>signal_position</x:v>
      </x:c>
      <x:c r="B18" s="24" t="str">
        <x:v>透藏与近远位置摘要。</x:v>
      </x:c>
      <x:c r="C18" s="24" t="str">
        <x:v>规则维护／开发</x:v>
      </x:c>
      <x:c r="D18" s="24" t="str">
        <x:v>13_原子规则</x:v>
      </x:c>
    </x:row>
    <x:row r="19">
      <x:c r="A19" s="24" t="str">
        <x:v>root_status</x:v>
      </x:c>
      <x:c r="B19" s="24" t="str">
        <x:v>根气与重复调用条件。</x:v>
      </x:c>
      <x:c r="C19" s="24" t="str">
        <x:v>规则维护／开发</x:v>
      </x:c>
      <x:c r="D19" s="24" t="str">
        <x:v>13_原子规则</x:v>
      </x:c>
    </x:row>
    <x:row r="20">
      <x:c r="A20" s="24" t="str">
        <x:v>strength_level</x:v>
      </x:c>
      <x:c r="B20" s="24" t="str">
        <x:v>旺弱与占位强度。</x:v>
      </x:c>
      <x:c r="C20" s="24" t="str">
        <x:v>规则维护／开发</x:v>
      </x:c>
      <x:c r="D20" s="24" t="str">
        <x:v>13_原子规则</x:v>
      </x:c>
    </x:row>
    <x:row r="21">
      <x:c r="A21" s="24" t="str">
        <x:v>favorability</x:v>
      </x:c>
      <x:c r="B21" s="24" t="str">
        <x:v>喜忌、平衡与摩擦。</x:v>
      </x:c>
      <x:c r="C21" s="24" t="str">
        <x:v>规则维护／开发</x:v>
      </x:c>
      <x:c r="D21" s="24" t="str">
        <x:v>13_原子规则</x:v>
      </x:c>
    </x:row>
    <x:row r="22">
      <x:c r="A22" s="24" t="str">
        <x:v>transformation_status</x:v>
      </x:c>
      <x:c r="B22" s="24" t="str">
        <x:v>制化、通关、真合化或争议。</x:v>
      </x:c>
      <x:c r="C22" s="24" t="str">
        <x:v>规则维护／开发</x:v>
      </x:c>
      <x:c r="D22" s="24" t="str">
        <x:v>13_原子规则</x:v>
      </x:c>
    </x:row>
    <x:row r="23">
      <x:c r="A23" s="24" t="str">
        <x:v>distance_level</x:v>
      </x:c>
      <x:c r="B23" s="24" t="str">
        <x:v>与日柱／夫妻宫的距离。</x:v>
      </x:c>
      <x:c r="C23" s="24" t="str">
        <x:v>规则维护／开发</x:v>
      </x:c>
      <x:c r="D23" s="24" t="str">
        <x:v>13_原子规则</x:v>
      </x:c>
    </x:row>
    <x:row r="24">
      <x:c r="A24" s="24" t="str">
        <x:v>priority</x:v>
      </x:c>
      <x:c r="B24" s="24" t="str">
        <x:v>规则冲突时的优先级。</x:v>
      </x:c>
      <x:c r="C24" s="24" t="str">
        <x:v>规则维护／开发</x:v>
      </x:c>
      <x:c r="D24" s="24" t="str">
        <x:v>13_原子规则</x:v>
      </x:c>
    </x:row>
    <x:row r="25">
      <x:c r="A25" s="24" t="str">
        <x:v>score_effect</x:v>
      </x:c>
      <x:c r="B25" s="24" t="str">
        <x:v>暂定工程分值或路由作用。</x:v>
      </x:c>
      <x:c r="C25" s="24" t="str">
        <x:v>规则维护／开发</x:v>
      </x:c>
      <x:c r="D25" s="24" t="str">
        <x:v>13_原子规则</x:v>
      </x:c>
    </x:row>
    <x:row r="26">
      <x:c r="A26" s="24" t="str">
        <x:v>output_slot</x:v>
      </x:c>
      <x:c r="B26" s="24" t="str">
        <x:v>最终报告或JSON字段。</x:v>
      </x:c>
      <x:c r="C26" s="24" t="str">
        <x:v>规则维护／开发</x:v>
      </x:c>
      <x:c r="D26" s="24" t="str">
        <x:v>13_原子规则</x:v>
      </x:c>
    </x:row>
    <x:row r="27">
      <x:c r="A27" s="24" t="str">
        <x:v>internal_logic</x:v>
      </x:c>
      <x:c r="B27" s="24" t="str">
        <x:v>给分析者和开发者的专业逻辑。</x:v>
      </x:c>
      <x:c r="C27" s="24" t="str">
        <x:v>规则维护／开发</x:v>
      </x:c>
      <x:c r="D27" s="24" t="str">
        <x:v>13_原子规则</x:v>
      </x:c>
    </x:row>
    <x:row r="28">
      <x:c r="A28" s="24" t="str">
        <x:v>user_explanation</x:v>
      </x:c>
      <x:c r="B28" s="24" t="str">
        <x:v>可直接改写给用户的语言。</x:v>
      </x:c>
      <x:c r="C28" s="24" t="str">
        <x:v>规则维护／开发</x:v>
      </x:c>
      <x:c r="D28" s="24" t="str">
        <x:v>13_原子规则</x:v>
      </x:c>
    </x:row>
    <x:row r="29">
      <x:c r="A29" s="24" t="str">
        <x:v>forbidden_inference</x:v>
      </x:c>
      <x:c r="B29" s="24" t="str">
        <x:v>该规则不能继续推出什么。</x:v>
      </x:c>
      <x:c r="C29" s="24" t="str">
        <x:v>规则维护／开发</x:v>
      </x:c>
      <x:c r="D29" s="24" t="str">
        <x:v>13_原子规则</x:v>
      </x:c>
    </x:row>
    <x:row r="30">
      <x:c r="A30" s="24" t="str">
        <x:v>confidence_base</x:v>
      </x:c>
      <x:c r="B30" s="24" t="str">
        <x:v>规则基础置信度。</x:v>
      </x:c>
      <x:c r="C30" s="24" t="str">
        <x:v>规则维护／开发</x:v>
      </x:c>
      <x:c r="D30" s="24" t="str">
        <x:v>13_原子规则</x:v>
      </x:c>
    </x:row>
    <x:row r="31">
      <x:c r="A31" s="24" t="str">
        <x:v>validation_status</x:v>
      </x:c>
      <x:c r="B31" s="24" t="str">
        <x:v>待验证、已验证、需修改、停用。</x:v>
      </x:c>
      <x:c r="C31" s="24" t="str">
        <x:v>规则维护／开发</x:v>
      </x:c>
      <x:c r="D31" s="24" t="str">
        <x:v>13_原子规则</x:v>
      </x:c>
    </x:row>
    <x:row r="32">
      <x:c r="A32" s="24" t="str">
        <x:v>case_refs</x:v>
      </x:c>
      <x:c r="B32" s="24" t="str">
        <x:v>支持案例或反例编号。</x:v>
      </x:c>
      <x:c r="C32" s="24" t="str">
        <x:v>规则维护／开发</x:v>
      </x:c>
      <x:c r="D32" s="24" t="str">
        <x:v>13_原子规则</x:v>
      </x:c>
    </x:row>
    <x:row r="33">
      <x:c r="A33" s="24" t="str">
        <x:v>notes</x:v>
      </x:c>
      <x:c r="B33" s="24" t="str">
        <x:v>暂定状态、依赖与维护备注。</x:v>
      </x:c>
      <x:c r="C33" s="24" t="str">
        <x:v>规则维护／开发</x:v>
      </x:c>
      <x:c r="D33" s="24" t="str">
        <x:v>13_原子规则</x:v>
      </x:c>
    </x:row>
    <x:row r="34">
      <x:c r="A34" s="24" t="str">
        <x:v>version</x:v>
      </x:c>
      <x:c r="B34" s="24" t="str">
        <x:v>当前规则版本。</x:v>
      </x:c>
      <x:c r="C34" s="24" t="str">
        <x:v>规则维护／开发</x:v>
      </x:c>
      <x:c r="D34" s="24" t="str">
        <x:v>13_原子规则</x:v>
      </x:c>
    </x:row>
  </x:sheetData>
  <x:mergeCells>
    <x:mergeCell ref="A1:D1"/>
  </x:mergeCells>
  <x:pageMargins left="0.7" right="0.7" top="0.75" bottom="0.75" header="0.3" footer="0.3"/>
  <x:tableParts count="1">
    <x:tablePart xmlns:r="http://schemas.openxmlformats.org/officeDocument/2006/relationships" r:id="Rff2a7315a8be49d6"/>
  </x:tableParts>
</x:worksheet>
</file>

<file path=xl/worksheets/sheet19.xml><?xml version="1.0" encoding="utf-8"?>
<x:worksheet xmlns:x="http://schemas.openxmlformats.org/spreadsheetml/2006/main">
  <x:sheetFormatPr defaultRowHeight="15"/>
  <x:cols>
    <x:col min="1" max="1" width="26" hidden="0" customWidth="1"/>
    <x:col min="2" max="2" width="18" hidden="0" customWidth="1"/>
    <x:col min="3" max="3" width="22" hidden="0" customWidth="1"/>
    <x:col min="4" max="4" width="44" hidden="0" customWidth="1"/>
    <x:col min="5" max="5" width="16" hidden="0" customWidth="1"/>
    <x:col min="6" max="6" width="18" hidden="0" customWidth="1"/>
    <x:col min="7" max="7" width="18" hidden="0" customWidth="1"/>
    <x:col min="8" max="8" width="52" hidden="0" customWidth="1"/>
  </x:cols>
  <x:sheetData>
    <x:row r="1">
      <x:c r="A1" s="6" t="str">
        <x:v>M4-BUFFER V0.8 版本与验证看板</x:v>
      </x:c>
      <x:c r="B1" s="6"/>
      <x:c r="C1" s="6"/>
      <x:c r="D1" s="6"/>
      <x:c r="E1" s="6"/>
      <x:c r="F1" s="6"/>
      <x:c r="G1" s="6"/>
      <x:c r="H1" s="6"/>
    </x:row>
    <x:row r="3">
      <x:c r="A3" s="16" t="str">
        <x:v>指标</x:v>
      </x:c>
      <x:c r="B3" s="16" t="str">
        <x:v>数值</x:v>
      </x:c>
      <x:c r="C3" s="16" t="str">
        <x:v>状态</x:v>
      </x:c>
      <x:c r="D3" s="16" t="str">
        <x:v>说明</x:v>
      </x:c>
      <x:c r="F3" s="16" t="str">
        <x:v>案例指标</x:v>
      </x:c>
      <x:c r="G3" s="16" t="str">
        <x:v>数值</x:v>
      </x:c>
      <x:c r="H3" s="16" t="str">
        <x:v>说明</x:v>
      </x:c>
    </x:row>
    <x:row r="4">
      <x:c r="A4" s="24" t="str">
        <x:v>原子规则总数</x:v>
      </x:c>
      <x:c r="B4" s="24" t="n">
        <x:f>COUNTA('13_原子规则'!A2:A521)</x:f>
        <x:v>520</x:v>
      </x:c>
      <x:c r="C4" s="24" t="str">
        <x:v>目标520</x:v>
      </x:c>
      <x:c r="D4" s="24" t="str">
        <x:v>应与CSV一致</x:v>
      </x:c>
      <x:c r="F4" s="24" t="str">
        <x:v>案例总位</x:v>
      </x:c>
      <x:c r="G4" s="24" t="n">
        <x:f>COUNTA('16_案例验证'!A5:A24)</x:f>
        <x:v>20</x:v>
      </x:c>
      <x:c r="H4" s="24" t="str">
        <x:v>当前预留20条</x:v>
      </x:c>
    </x:row>
    <x:row r="5">
      <x:c r="A5" s="24" t="str">
        <x:v>待验证规则</x:v>
      </x:c>
      <x:c r="B5" s="24" t="n">
        <x:f>COUNTIF('13_原子规则'!AB2:AB521,"待验证")</x:f>
        <x:v>520</x:v>
      </x:c>
      <x:c r="C5" s="24" t="str">
        <x:v>需校准</x:v>
      </x:c>
      <x:c r="D5" s="24" t="str">
        <x:v>当前全部待验证</x:v>
      </x:c>
      <x:c r="F5" s="24" t="str">
        <x:v>已录入</x:v>
      </x:c>
      <x:c r="G5" s="24" t="n">
        <x:f>COUNTIF('16_案例验证'!B5:B24,"已录入")</x:f>
        <x:v>0</x:v>
      </x:c>
      <x:c r="H5" s="24" t="str">
        <x:v>进入复核前必须有事件顺序</x:v>
      </x:c>
    </x:row>
    <x:row r="6">
      <x:c r="A6" s="24" t="str">
        <x:v>已验证规则</x:v>
      </x:c>
      <x:c r="B6" s="24" t="n">
        <x:f>COUNTIF('13_原子规则'!AB2:AB521,"已验证")</x:f>
        <x:v>0</x:v>
      </x:c>
      <x:c r="C6" s="24" t="str">
        <x:v>目标逐步增加</x:v>
      </x:c>
      <x:c r="D6" s="24" t="str">
        <x:v>需真实案例支持</x:v>
      </x:c>
      <x:c r="F6" s="24" t="str">
        <x:v>已复核</x:v>
      </x:c>
      <x:c r="G6" s="24" t="n">
        <x:f>COUNTIF('16_案例验证'!B5:B24,"已复核")</x:f>
        <x:v>0</x:v>
      </x:c>
      <x:c r="H6" s="24" t="str">
        <x:v>可用于升级规则状态</x:v>
      </x:c>
    </x:row>
    <x:row r="7">
      <x:c r="A7" s="24" t="str">
        <x:v>需修改规则</x:v>
      </x:c>
      <x:c r="B7" s="24" t="n">
        <x:f>COUNTIF('13_原子规则'!AB2:AB521,"需修改")</x:f>
        <x:v>0</x:v>
      </x:c>
      <x:c r="C7" s="24" t="str">
        <x:v>监控</x:v>
      </x:c>
      <x:c r="D7" s="24" t="str">
        <x:v>多例同类偏差时标记</x:v>
      </x:c>
      <x:c r="F7" s="24" t="str">
        <x:v>完全吻合</x:v>
      </x:c>
      <x:c r="G7" s="24" t="n">
        <x:f>COUNTIF('16_案例验证'!O5:O24,"完全吻合")</x:f>
        <x:v>0</x:v>
      </x:c>
      <x:c r="H7" s="24" t="str">
        <x:v>仍需反例审查</x:v>
      </x:c>
    </x:row>
    <x:row r="8">
      <x:c r="A8" s="24" t="str">
        <x:v>停用规则</x:v>
      </x:c>
      <x:c r="B8" s="24" t="n">
        <x:f>COUNTIF('13_原子规则'!AB2:AB521,"停用")</x:f>
        <x:v>0</x:v>
      </x:c>
      <x:c r="C8" s="24" t="str">
        <x:v>监控</x:v>
      </x:c>
      <x:c r="D8" s="24" t="str">
        <x:v>伦理风险、稳定反例或重复规则</x:v>
      </x:c>
      <x:c r="F8" s="24" t="str">
        <x:v>明显不吻合</x:v>
      </x:c>
      <x:c r="G8" s="24" t="n">
        <x:f>COUNTIF('16_案例验证'!O5:O24,"明显不吻合")</x:f>
        <x:v>0</x:v>
      </x:c>
      <x:c r="H8" s="24" t="str">
        <x:v>优先定位规则偏差</x:v>
      </x:c>
    </x:row>
    <x:row r="10">
      <x:c r="A10" s="32" t="str">
        <x:v>规则范围统计</x:v>
      </x:c>
      <x:c r="B10" s="32"/>
      <x:c r="C10" s="32"/>
      <x:c r="D10" s="32"/>
      <x:c r="E10" s="32" t="str">
        <x:v>版本记录</x:v>
      </x:c>
      <x:c r="F10" s="32"/>
      <x:c r="G10" s="32"/>
      <x:c r="H10" s="32"/>
    </x:row>
    <x:row r="11">
      <x:c r="A11" s="16" t="str">
        <x:v>规则范围</x:v>
      </x:c>
      <x:c r="B11" s="16" t="str">
        <x:v>内容</x:v>
      </x:c>
      <x:c r="C11" s="16" t="str">
        <x:v>数量</x:v>
      </x:c>
      <x:c r="E11" s="16" t="str">
        <x:v>版本</x:v>
      </x:c>
      <x:c r="F11" s="16" t="str">
        <x:v>日期</x:v>
      </x:c>
      <x:c r="G11" s="16" t="str">
        <x:v>变化</x:v>
      </x:c>
      <x:c r="H11" s="16" t="str">
        <x:v>状态</x:v>
      </x:c>
    </x:row>
    <x:row r="12">
      <x:c r="A12" s="24" t="str">
        <x:v>M4-BUFFER-001—020</x:v>
      </x:c>
      <x:c r="B12" s="24" t="str">
        <x:v>定义、边界与证据合同</x:v>
      </x:c>
      <x:c r="C12" s="24" t="n">
        <x:v>20</x:v>
      </x:c>
      <x:c r="E12" s="24" t="str">
        <x:v>V0.8</x:v>
      </x:c>
      <x:c r="F12" s="24" t="str">
        <x:v>2026-08-28</x:v>
      </x:c>
      <x:c r="G12" s="24" t="str">
        <x:v>完成BF、BL、PB、DY、K／LP／REPAIR路由、外部支持、评分和520条原子规则</x:v>
      </x:c>
      <x:c r="H12" s="24" t="str">
        <x:v>当前</x:v>
      </x:c>
    </x:row>
    <x:row r="13">
      <x:c r="A13" s="24" t="str">
        <x:v>M4-BUFFER-021—084</x:v>
      </x:c>
      <x:c r="B13" s="24" t="str">
        <x:v>BF01—BF08八类保护因素</x:v>
      </x:c>
      <x:c r="C13" s="24" t="n">
        <x:v>64</x:v>
      </x:c>
      <x:c r="E13" s="24" t="str">
        <x:v>V0.9</x:v>
      </x:c>
      <x:c r="F13" s="24" t="str">
        <x:v>待定</x:v>
      </x:c>
      <x:c r="G13" s="24" t="str">
        <x:v>M4-SYNTH总合成、权威矩阵、去重、统一报告和案例测试</x:v>
      </x:c>
      <x:c r="H13" s="24" t="str">
        <x:v>下一阶段</x:v>
      </x:c>
    </x:row>
    <x:row r="14">
      <x:c r="A14" s="24" t="str">
        <x:v>M4-BUFFER-085—144</x:v>
      </x:c>
      <x:c r="B14" s="24" t="str">
        <x:v>十神保护通道</x:v>
      </x:c>
      <x:c r="C14" s="24" t="n">
        <x:v>60</x:v>
      </x:c>
    </x:row>
    <x:row r="15">
      <x:c r="A15" s="24" t="str">
        <x:v>M4-BUFFER-145—192</x:v>
      </x:c>
      <x:c r="B15" s="24" t="str">
        <x:v>BL0—BL7保护有效层级</x:v>
      </x:c>
      <x:c r="C15" s="24" t="n">
        <x:v>48</x:v>
      </x:c>
    </x:row>
    <x:row r="16">
      <x:c r="A16" s="24" t="str">
        <x:v>M4-BUFFER-193—240</x:v>
      </x:c>
      <x:c r="B16" s="24" t="str">
        <x:v>PB01—PB08伪保护</x:v>
      </x:c>
      <x:c r="C16" s="24" t="n">
        <x:v>48</x:v>
      </x:c>
    </x:row>
    <x:row r="17">
      <x:c r="A17" s="24" t="str">
        <x:v>M4-BUFFER-241—288</x:v>
      </x:c>
      <x:c r="B17" s="24" t="str">
        <x:v>DY01—DY08病药功能</x:v>
      </x:c>
      <x:c r="C17" s="24" t="n">
        <x:v>48</x:v>
      </x:c>
    </x:row>
    <x:row r="18">
      <x:c r="A18" s="24" t="str">
        <x:v>M4-BUFFER-289—336</x:v>
      </x:c>
      <x:c r="B18" s="24" t="str">
        <x:v>K01—K08保护路由</x:v>
      </x:c>
      <x:c r="C18" s="24" t="n">
        <x:v>48</x:v>
      </x:c>
    </x:row>
    <x:row r="19">
      <x:c r="A19" s="24" t="str">
        <x:v>M4-BUFFER-337—384</x:v>
      </x:c>
      <x:c r="B19" s="24" t="str">
        <x:v>LP01—LP12循环退出路由</x:v>
      </x:c>
      <x:c r="C19" s="24" t="n">
        <x:v>48</x:v>
      </x:c>
    </x:row>
    <x:row r="20">
      <x:c r="A20" s="24" t="str">
        <x:v>M4-BUFFER-385—416</x:v>
      </x:c>
      <x:c r="B20" s="24" t="str">
        <x:v>REPAIR修复回流接口</x:v>
      </x:c>
      <x:c r="C20" s="24" t="n">
        <x:v>32</x:v>
      </x:c>
    </x:row>
    <x:row r="21">
      <x:c r="A21" s="24" t="str">
        <x:v>M4-BUFFER-417—448</x:v>
      </x:c>
      <x:c r="B21" s="24" t="str">
        <x:v>状态、位置与动态修正</x:v>
      </x:c>
      <x:c r="C21" s="24" t="n">
        <x:v>32</x:v>
      </x:c>
    </x:row>
    <x:row r="22">
      <x:c r="A22" s="24" t="str">
        <x:v>M4-BUFFER-449—480</x:v>
      </x:c>
      <x:c r="B22" s="24" t="str">
        <x:v>外部支持与现实证据</x:v>
      </x:c>
      <x:c r="C22" s="24" t="n">
        <x:v>32</x:v>
      </x:c>
    </x:row>
    <x:row r="23">
      <x:c r="A23" s="24" t="str">
        <x:v>M4-BUFFER-481—520</x:v>
      </x:c>
      <x:c r="B23" s="24" t="str">
        <x:v>跨模块接口、评分、模板与发布</x:v>
      </x:c>
      <x:c r="C23" s="24" t="n">
        <x:v>40</x:v>
      </x:c>
    </x:row>
    <x:row r="25">
      <x:c r="A25" s="32" t="str">
        <x:v>发布前检查清单</x:v>
      </x:c>
      <x:c r="B25" s="32"/>
      <x:c r="C25" s="32"/>
      <x:c r="D25" s="32"/>
      <x:c r="E25" s="32"/>
      <x:c r="F25" s="32"/>
      <x:c r="G25" s="32"/>
      <x:c r="H25" s="32"/>
    </x:row>
    <x:row r="26">
      <x:c r="A26" s="16" t="str">
        <x:v>编号</x:v>
      </x:c>
      <x:c r="B26" s="16" t="str">
        <x:v>检查项</x:v>
      </x:c>
      <x:c r="C26" s="16" t="str">
        <x:v>当前状态</x:v>
      </x:c>
      <x:c r="D26" s="16" t="str">
        <x:v>说明</x:v>
      </x:c>
    </x:row>
    <x:row r="27">
      <x:c r="A27" s="24" t="str">
        <x:v>1</x:v>
      </x:c>
      <x:c r="B27" s="24" t="str">
        <x:v>是否先明确K／TR／LP／RN风险靶点</x:v>
      </x:c>
      <x:c r="C27" s="24" t="str">
        <x:v>待人工检查</x:v>
      </x:c>
      <x:c r="D27" s="24" t="str">
        <x:v>没有靶点不得配保护</x:v>
      </x:c>
    </x:row>
    <x:row r="28">
      <x:c r="A28" s="24" t="str">
        <x:v>2</x:v>
      </x:c>
      <x:c r="B28" s="24" t="str">
        <x:v>是否完成source_id／event_id去重</x:v>
      </x:c>
      <x:c r="C28" s="24" t="str">
        <x:v>待人工检查</x:v>
      </x:c>
      <x:c r="D28" s="24" t="str">
        <x:v>同一事实只计一次</x:v>
      </x:c>
    </x:row>
    <x:row r="29">
      <x:c r="A29" s="24" t="str">
        <x:v>3</x:v>
      </x:c>
      <x:c r="B29" s="24" t="str">
        <x:v>是否区分潜在、可调用、已启动和实际有效</x:v>
      </x:c>
      <x:c r="C29" s="24" t="str">
        <x:v>待人工检查</x:v>
      </x:c>
      <x:c r="D29" s="24" t="str">
        <x:v>用BL0—BL7</x:v>
      </x:c>
    </x:row>
    <x:row r="30">
      <x:c r="A30" s="24" t="str">
        <x:v>4</x:v>
      </x:c>
      <x:c r="B30" s="24" t="str">
        <x:v>是否检查PB01—PB08伪保护</x:v>
      </x:c>
      <x:c r="C30" s="24" t="str">
        <x:v>待人工检查</x:v>
      </x:c>
      <x:c r="D30" s="24" t="str">
        <x:v>表面缓解不等于保护</x:v>
      </x:c>
    </x:row>
    <x:row r="31">
      <x:c r="A31" s="24" t="str">
        <x:v>5</x:v>
      </x:c>
      <x:c r="B31" s="24" t="str">
        <x:v>是否加入现实反馈与反例</x:v>
      </x:c>
      <x:c r="C31" s="24" t="str">
        <x:v>待人工检查</x:v>
      </x:c>
      <x:c r="D31" s="24" t="str">
        <x:v>现实优先于结构</x:v>
      </x:c>
    </x:row>
    <x:row r="32">
      <x:c r="A32" s="24" t="str">
        <x:v>6</x:v>
      </x:c>
      <x:c r="B32" s="24" t="str">
        <x:v>是否检查安全与外部支持</x:v>
      </x:c>
      <x:c r="C32" s="24" t="str">
        <x:v>待人工检查</x:v>
      </x:c>
      <x:c r="D32" s="24" t="str">
        <x:v>安全优先</x:v>
      </x:c>
    </x:row>
    <x:row r="33">
      <x:c r="A33" s="24" t="str">
        <x:v>7</x:v>
      </x:c>
      <x:c r="B33" s="24" t="str">
        <x:v>是否只保留一个主保护和一个次保护</x:v>
      </x:c>
      <x:c r="C33" s="24" t="str">
        <x:v>待人工检查</x:v>
      </x:c>
      <x:c r="D33" s="24" t="str">
        <x:v>正文避免标签堆积</x:v>
      </x:c>
    </x:row>
    <x:row r="34">
      <x:c r="A34" s="24" t="str">
        <x:v>8</x:v>
      </x:c>
      <x:c r="B34" s="24" t="str">
        <x:v>是否说明保护只针对匹配靶点</x:v>
      </x:c>
      <x:c r="C34" s="24" t="str">
        <x:v>待人工检查</x:v>
      </x:c>
      <x:c r="D34" s="24" t="str">
        <x:v>不可跨域清零风险</x:v>
      </x:c>
    </x:row>
    <x:row r="35">
      <x:c r="A35" s="24" t="str">
        <x:v>9</x:v>
      </x:c>
      <x:c r="B35" s="24" t="str">
        <x:v>是否保留M5边界</x:v>
      </x:c>
      <x:c r="C35" s="24" t="str">
        <x:v>待人工检查</x:v>
      </x:c>
      <x:c r="D35" s="24" t="str">
        <x:v>不直接推荐适配伴侣</x:v>
      </x:c>
    </x:row>
    <x:row r="36">
      <x:c r="A36" s="24" t="str">
        <x:v>10</x:v>
      </x:c>
      <x:c r="B36" s="24" t="str">
        <x:v>是否明确当前全部规则待验证</x:v>
      </x:c>
      <x:c r="C36" s="24" t="str">
        <x:v>已完成</x:v>
      </x:c>
      <x:c r="D36" s="24" t="str">
        <x:v>provisional=true</x:v>
      </x:c>
    </x:row>
  </x:sheetData>
  <x:mergeCells>
    <x:mergeCell ref="A1:H1"/>
    <x:mergeCell ref="A10:H10"/>
    <x:mergeCell ref="E10:H10"/>
    <x:mergeCell ref="A25:H25"/>
  </x:mergeCells>
  <x:pageMargins left="0.7" right="0.7" top="0.75" bottom="0.75" header="0.3" footer="0.3"/>
  <x:tableParts count="2">
    <x:tablePart xmlns:r="http://schemas.openxmlformats.org/officeDocument/2006/relationships" r:id="R300c7c8352bd46ed"/>
    <x:tablePart xmlns:r="http://schemas.openxmlformats.org/officeDocument/2006/relationships" r:id="Rb6ebdc8b77844a02"/>
  </x:tableParts>
</x:worksheet>
</file>