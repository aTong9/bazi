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61be17fd0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911f8d40cf124776"/>
    <x:sheet xmlns:r="http://schemas.openxmlformats.org/officeDocument/2006/relationships" name="01_十神功能速查" sheetId="2" r:id="Rbc3cbf7697f54785"/>
    <x:sheet xmlns:r="http://schemas.openxmlformats.org/officeDocument/2006/relationships" name="02_五系统失衡矩阵" sheetId="3" r:id="R45e353ce7f224293"/>
    <x:sheet xmlns:r="http://schemas.openxmlformats.org/officeDocument/2006/relationships" name="03_流向卡点与通关" sheetId="4" r:id="R78f63ecea1c2415e"/>
    <x:sheet xmlns:r="http://schemas.openxmlformats.org/officeDocument/2006/relationships" name="04_状态修正矩阵" sheetId="5" r:id="R63d7bd3fff384bd1"/>
    <x:sheet xmlns:r="http://schemas.openxmlformats.org/officeDocument/2006/relationships" name="05_日支层级与动态" sheetId="6" r:id="Rcc009c0fa38d45f6"/>
    <x:sheet xmlns:r="http://schemas.openxmlformats.org/officeDocument/2006/relationships" name="06_M3接口与去重" sheetId="7" r:id="R8d168735d2ae4b7f"/>
    <x:sheet xmlns:r="http://schemas.openxmlformats.org/officeDocument/2006/relationships" name="07_证据等级与评分" sheetId="8" r:id="R5dddecb42e974146"/>
    <x:sheet xmlns:r="http://schemas.openxmlformats.org/officeDocument/2006/relationships" name="08_原子规则" sheetId="9" r:id="R4aa7dc0920e348b5"/>
    <x:sheet xmlns:r="http://schemas.openxmlformats.org/officeDocument/2006/relationships" name="09_门控与停止" sheetId="10" r:id="R05e9531f5254439e"/>
    <x:sheet xmlns:r="http://schemas.openxmlformats.org/officeDocument/2006/relationships" name="10_输出模板与句库" sheetId="11" r:id="R41a47cbe06034fde"/>
    <x:sheet xmlns:r="http://schemas.openxmlformats.org/officeDocument/2006/relationships" name="11_案例验证" sheetId="12" r:id="R198da0ab737d4374"/>
    <x:sheet xmlns:r="http://schemas.openxmlformats.org/officeDocument/2006/relationships" name="12_字段词典" sheetId="13" r:id="Rd73b6a2d684449bd"/>
    <x:sheet xmlns:r="http://schemas.openxmlformats.org/officeDocument/2006/relationships" name="13_版本与验证" sheetId="14" r:id="Rd71beb899e4f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1"/>
      <x:color rgb="FF1F4E78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  <x:font>
      <x:b/>
      <x:sz val="9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1F6D6B"/>
      </x:patternFill>
    </x:fill>
    <x:fill>
      <x:patternFill patternType="solid">
        <x:fgColor rgb="FFFFF2CC"/>
      </x:patternFill>
    </x:fill>
  </x:fills>
  <x:borders count="2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top/>
    </x:border>
    <x:border>
      <x:bottom/>
    </x:border>
    <x:border>
      <x:top/>
    </x:border>
    <x:border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horizontal="center" wrapText="1"/>
    </x:xf>
    <x:xf numFmtId="0" fontId="5" fillId="5" borderId="15" xfId="0" applyNumberFormat="1" applyFont="1" applyFill="1" applyBorder="1" applyAlignment="1">
      <x:alignment horizontal="center" wrapText="1"/>
    </x:xf>
    <x:xf numFmtId="0" fontId="5" fillId="5" borderId="16" xfId="0" applyNumberFormat="1" applyFont="1" applyFill="1" applyBorder="1" applyAlignment="1">
      <x:alignment horizont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horizontal="center" wrapText="1"/>
    </x:xf>
    <x:xf numFmtId="0" fontId="5" fillId="5" borderId="18" xfId="0" applyNumberFormat="1" applyFont="1" applyFill="1" applyBorder="1" applyAlignment="1">
      <x:alignment horizontal="center" wrapText="1"/>
    </x:xf>
    <x:xf numFmtId="0" fontId="5" fillId="5" borderId="19" xfId="0" applyNumberFormat="1" applyFont="1" applyFill="1" applyBorder="1" applyAlignment="1">
      <x:alignment horizontal="center" wrapText="1"/>
    </x:xf>
    <x:xf numFmtId="0" fontId="5" fillId="5" borderId="17" xfId="0" applyNumberFormat="1" applyFont="1" applyFill="1" applyBorder="1" applyAlignment="1">
      <x:alignment horizontal="center" vertical="center" wrapText="1"/>
    </x:xf>
    <x:xf numFmtId="0" fontId="5" fillId="5" borderId="18" xfId="0" applyNumberFormat="1" applyFont="1" applyFill="1" applyBorder="1" applyAlignment="1">
      <x:alignment horizontal="center" vertical="center" wrapText="1"/>
    </x:xf>
    <x:xf numFmtId="0" fontId="5" fillId="5" borderId="1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horizontal="center" vertical="top" wrapText="1"/>
    </x:xf>
    <x:xf numFmtId="0" fontId="7" fillId="3" borderId="4" xfId="0" applyNumberFormat="1" applyFont="1" applyFill="1" applyBorder="1" applyAlignment="1">
      <x:alignment horizontal="center" vertical="top" wrapText="1"/>
    </x:xf>
    <x:xf numFmtId="0" fontId="7" fillId="3" borderId="6" xfId="0" applyNumberFormat="1" applyFont="1" applyFill="1" applyBorder="1" applyAlignment="1">
      <x:alignment horizontal="center" vertical="top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 vertical="center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3" borderId="12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horizontal="center" vertical="top" wrapText="1"/>
    </x:xf>
    <x:xf numFmtId="0" fontId="7" fillId="3" borderId="10" xfId="0" applyNumberFormat="1" applyFont="1" applyFill="1" applyBorder="1" applyAlignment="1">
      <x:alignment horizontal="center" vertical="top" wrapText="1"/>
    </x:xf>
    <x:xf numFmtId="0" fontId="7" fillId="3" borderId="12" xfId="0" applyNumberFormat="1" applyFont="1" applyFill="1" applyBorder="1" applyAlignment="1">
      <x:alignment horizontal="center" vertical="top" wrapText="1"/>
    </x:xf>
    <x:xf numFmtId="0" fontId="7" fillId="3" borderId="8" xfId="0" applyNumberFormat="1" applyFont="1" applyFill="1" applyBorder="1" applyAlignment="1">
      <x:alignment horizontal="center" vertical="center" wrapText="1"/>
    </x:xf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9" fillId="7" borderId="2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9" fillId="7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0" fontId="6" fillId="0" borderId="26" xfId="0" applyNumberFormat="1" applyFont="1" applyFill="1" applyBorder="1" applyAlignment="1">
      <x:alignment vertical="top" wrapText="1"/>
    </x:xf>
    <x:xf numFmtId="0" fontId="6" fillId="0" borderId="27" xfId="0" applyNumberFormat="1" applyFont="1" applyFill="1" applyBorder="1" applyAlignment="1">
      <x:alignment vertical="top" wrapText="1"/>
    </x:xf>
    <x:xf numFmtId="0" fontId="6" fillId="4" borderId="24" xfId="0" applyNumberFormat="1" applyFont="1" applyFill="1" applyBorder="1" applyAlignment="1">
      <x:alignment vertical="top" wrapText="1"/>
    </x:xf>
    <x:xf numFmtId="0" fontId="7" fillId="4" borderId="24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ill>
        <x:patternFill patternType="solid">
          <x:bgColor rgb="FFF8FBFD"/>
        </x:patternFill>
      </x:fill>
    </x:dxf>
    <x:dxf>
      <x:fill>
        <x:patternFill patternType="solid">
          <x:bgColor rgb="FFF8FBFD"/>
        </x:patternFill>
      </x:fill>
    </x:dxf>
    <x:dxf>
      <x:fill>
        <x:patternFill patternType="solid">
          <x:bgColor rgb="FFF8FBFD"/>
        </x:patternFill>
      </x:fill>
    </x:dxf>
    <x:dxf>
      <x:fill>
        <x:patternFill patternType="solid">
          <x:bgColor rgb="FFF8FBFD"/>
        </x:patternFill>
      </x:fill>
    </x:dxf>
    <x:dxf>
      <x:fill>
        <x:patternFill patternType="solid">
          <x:bgColor rgb="FFF8FBFD"/>
        </x:patternFill>
      </x:fill>
    </x:dxf>
    <x:dxf>
      <x:fill>
        <x:patternFill patternType="solid">
          <x:bgColor rgb="FFF8FBFD"/>
        </x:patternFill>
      </x:fill>
    </x:dxf>
    <x:dxf>
      <x:fill>
        <x:patternFill patternType="solid">
          <x:bgColor rgb="FFF8FBFD"/>
        </x:patternFill>
      </x:fill>
    </x:dxf>
    <x:dxf>
      <x:fill>
        <x:patternFill patternType="solid">
          <x:bgColor rgb="FFF8FBFD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8FBFD"/>
        </x:patternFill>
      </x:fill>
    </x:dxf>
    <x:dxf>
      <x:fill>
        <x:patternFill patternType="solid">
          <x:bgColor rgb="FFF8FBFD"/>
        </x:patternFill>
      </x:fill>
    </x:dxf>
    <x:dxf>
      <x:fill>
        <x:patternFill patternType="solid">
          <x:bgColor rgb="FFF8FBFD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bdc6814b04c28" /><Relationship Type="http://schemas.openxmlformats.org/officeDocument/2006/relationships/theme" Target="/xl/theme/theme1.xml" Id="R72e94a3b7da342bb" /><Relationship Type="http://schemas.openxmlformats.org/officeDocument/2006/relationships/sharedStrings" Target="/xl/sharedStrings.xml" Id="R734547d7ce44406f" /><Relationship Type="http://schemas.openxmlformats.org/officeDocument/2006/relationships/worksheet" Target="/xl/worksheets/sheet1.xml" Id="R911f8d40cf124776" /><Relationship Type="http://schemas.openxmlformats.org/officeDocument/2006/relationships/worksheet" Target="/xl/worksheets/sheet2.xml" Id="Rbc3cbf7697f54785" /><Relationship Type="http://schemas.openxmlformats.org/officeDocument/2006/relationships/worksheet" Target="/xl/worksheets/sheet3.xml" Id="R45e353ce7f224293" /><Relationship Type="http://schemas.openxmlformats.org/officeDocument/2006/relationships/worksheet" Target="/xl/worksheets/sheet4.xml" Id="R78f63ecea1c2415e" /><Relationship Type="http://schemas.openxmlformats.org/officeDocument/2006/relationships/worksheet" Target="/xl/worksheets/sheet5.xml" Id="R63d7bd3fff384bd1" /><Relationship Type="http://schemas.openxmlformats.org/officeDocument/2006/relationships/worksheet" Target="/xl/worksheets/sheet6.xml" Id="Rcc009c0fa38d45f6" /><Relationship Type="http://schemas.openxmlformats.org/officeDocument/2006/relationships/worksheet" Target="/xl/worksheets/sheet7.xml" Id="R8d168735d2ae4b7f" /><Relationship Type="http://schemas.openxmlformats.org/officeDocument/2006/relationships/worksheet" Target="/xl/worksheets/sheet8.xml" Id="R5dddecb42e974146" /><Relationship Type="http://schemas.openxmlformats.org/officeDocument/2006/relationships/worksheet" Target="/xl/worksheets/sheet9.xml" Id="R4aa7dc0920e348b5" /><Relationship Type="http://schemas.openxmlformats.org/officeDocument/2006/relationships/worksheet" Target="/xl/worksheets/sheet10.xml" Id="R05e9531f5254439e" /><Relationship Type="http://schemas.openxmlformats.org/officeDocument/2006/relationships/worksheet" Target="/xl/worksheets/sheet11.xml" Id="R41a47cbe06034fde" /><Relationship Type="http://schemas.openxmlformats.org/officeDocument/2006/relationships/worksheet" Target="/xl/worksheets/sheet12.xml" Id="R198da0ab737d4374" /><Relationship Type="http://schemas.openxmlformats.org/officeDocument/2006/relationships/worksheet" Target="/xl/worksheets/sheet13.xml" Id="Rd73b6a2d684449bd" /><Relationship Type="http://schemas.openxmlformats.org/officeDocument/2006/relationships/worksheet" Target="/xl/worksheets/sheet14.xml" Id="Rd71beb899e4f4f40" /></Relationships>
</file>

<file path=xl/tables/table1.xml><?xml version="1.0" encoding="utf-8"?>
<x:table xmlns:x="http://schemas.openxmlformats.org/spreadsheetml/2006/main" id="1" name="TenGodQuick" displayName="TenGodQuick" ref="A4:L14" headerRowCount="1" totalsRowCount="0" totalsRowShown="0">
  <x:tableColumns count="12">
    <x:tableColumn id="1" name="十神"/>
    <x:tableColumn id="2" name="系统"/>
    <x:tableColumn id="3" name="M3接口"/>
    <x:tableColumn id="4" name="正常功能"/>
    <x:tableColumn id="5" name="K01过用候选"/>
    <x:tableColumn id="6" name="K02不足候选"/>
    <x:tableColumn id="7" name="K03替代候选"/>
    <x:tableColumn id="8" name="K04顺序错位"/>
    <x:tableColumn id="9" name="主要调节"/>
    <x:tableColumn id="10" name="盲点路由"/>
    <x:tableColumn id="11" name="用户速查句"/>
    <x:tableColumn id="12" name="禁止推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Matrix" displayName="SystemMatrix" ref="A4:G9" headerRowCount="1" totalsRowCount="0" totalsRowShown="0">
  <x:tableColumns count="7">
    <x:tableColumn id="1" name="系统"/>
    <x:tableColumn id="2" name="正常任务"/>
    <x:tableColumn id="3" name="过用候选"/>
    <x:tableColumn id="4" name="不足候选"/>
    <x:tableColumn id="5" name="单通道替代"/>
    <x:tableColumn id="6" name="调节功能"/>
    <x:tableColumn id="7" name="盲点路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owMatrix" displayName="FlowMatrix" ref="A4:G24" headerRowCount="1" totalsRowCount="0" totalsRowShown="0">
  <x:tableColumns count="7">
    <x:tableColumn id="1" name="类型"/>
    <x:tableColumn id="2" name="路径/组合"/>
    <x:tableColumn id="3" name="起点"/>
    <x:tableColumn id="4" name="终点/对象"/>
    <x:tableColumn id="5" name="内部逻辑"/>
    <x:tableColumn id="6" name="用户速查"/>
    <x:tableColumn id="7" name="路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Matrix" displayName="StateMatrix" ref="A4:H44" headerRowCount="1" totalsRowCount="0" totalsRowShown="0">
  <x:tableColumns count="8">
    <x:tableColumn id="1" name="规则ID"/>
    <x:tableColumn id="2" name="状态/位置"/>
    <x:tableColumn id="3" name="规则类型"/>
    <x:tableColumn id="4" name="核心作用"/>
    <x:tableColumn id="5" name="分值/路由"/>
    <x:tableColumn id="6" name="输出字段"/>
    <x:tableColumn id="7" name="用户解释"/>
    <x:tableColumn id="8" name="禁止推断/门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laceMatrix" displayName="PalaceMatrix" ref="A4:F29" headerRowCount="1" totalsRowCount="0" totalsRowShown="0">
  <x:tableColumns count="6">
    <x:tableColumn id="1" name="类别"/>
    <x:tableColumn id="2" name="信号"/>
    <x:tableColumn id="3" name="核心作用"/>
    <x:tableColumn id="4" name="成立条件/修正"/>
    <x:tableColumn id="5" name="分值/边界"/>
    <x:tableColumn id="6" name="用户速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3Interface" displayName="M3Interface" ref="A4:H9" headerRowCount="1" totalsRowCount="0" totalsRowShown="0">
  <x:tableColumns count="8">
    <x:tableColumn id="1" name="M3模块"/>
    <x:tableColumn id="2" name="导入字段"/>
    <x:tableColumn id="3" name="正常功能"/>
    <x:tableColumn id="4" name="过用候选"/>
    <x:tableColumn id="5" name="不足/替代候选"/>
    <x:tableColumn id="6" name="主要盲点路由"/>
    <x:tableColumn id="7" name="用户速查"/>
    <x:tableColumn id="8" name="同源去重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Matrix" displayName="EvidenceMatrix" ref="A4:E15" headerRowCount="1" totalsRowCount="0" totalsRowShown="0">
  <x:tableColumns count="5">
    <x:tableColumn id="1" name="项目"/>
    <x:tableColumn id="2" name="成立条件/定义"/>
    <x:tableColumn id="3" name="初始作用"/>
    <x:tableColumn id="4" name="最强可用措辞"/>
    <x:tableColumn id="5" name="禁止升级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4BaseRules" displayName="M4BaseRules" ref="A4:AE284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opRules" displayName="StopRules" ref="A4:I62" headerRowCount="1" totalsRowCount="0" totalsRowShown="0">
  <x:tableColumns count="9">
    <x:tableColumn id="1" name="规则ID"/>
    <x:tableColumn id="2" name="规则名称"/>
    <x:tableColumn id="3" name="类型"/>
    <x:tableColumn id="4" name="主信号"/>
    <x:tableColumn id="5" name="必要条件"/>
    <x:tableColumn id="6" name="内部逻辑"/>
    <x:tableColumn id="7" name="用户解释"/>
    <x:tableColumn id="8" name="分值/路由"/>
    <x:tableColumn id="9" name="置信度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utputTemplates" displayName="OutputTemplates" ref="A4:B10" headerRowCount="1" totalsRowCount="0" totalsRowShown="0">
  <x:tableColumns count="2">
    <x:tableColumn id="1" name="模板类型"/>
    <x:tableColumn id="2" name="可直接改写的句式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utputExamples" displayName="OutputExamples" ref="A13:E21" headerRowCount="1" totalsRowCount="0" totalsRowShown="0">
  <x:tableColumns count="5">
    <x:tableColumn id="1" name="示例结构"/>
    <x:tableColumn id="2" name="关键证据"/>
    <x:tableColumn id="3" name="机制"/>
    <x:tableColumn id="4" name="盲点路由"/>
    <x:tableColumn id="5" name="用户语言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4CaseValidation" displayName="M4CaseValidation" ref="A4:Q24" headerRowCount="1" totalsRowCount="0" totalsRowShown="0">
  <x:tableColumns count="17">
    <x:tableColumn id="1" name="案例ID"/>
    <x:tableColumn id="2" name="命盘摘要/关键事实"/>
    <x:tableColumn id="3" name="M3功能来源"/>
    <x:tableColumn id="4" name="主失衡机制"/>
    <x:tableColumn id="5" name="次失衡机制"/>
    <x:tableColumn id="6" name="缺位功能"/>
    <x:tableColumn id="7" name="触发域候选"/>
    <x:tableColumn id="8" name="保护因素"/>
    <x:tableColumn id="9" name="E等级"/>
    <x:tableColumn id="10" name="模型预期"/>
    <x:tableColumn id="11" name="当事人反馈"/>
    <x:tableColumn id="12" name="伴侣反馈"/>
    <x:tableColumn id="13" name="匹配程度"/>
    <x:tableColumn id="14" name="偏差类型"/>
    <x:tableColumn id="15" name="需修改规则ID"/>
    <x:tableColumn id="16" name="验证结论"/>
    <x:tableColumn id="17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ieldDictionary" displayName="FieldDictionary" ref="A4:C35" headerRowCount="1" totalsRowCount="0" totalsRowShown="0">
  <x:tableColumns count="3">
    <x:tableColumn id="1" name="字段"/>
    <x:tableColumn id="2" name="含义"/>
    <x:tableColumn id="3" name="M4-BASE使用要点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VersionStats" displayName="VersionStats" ref="A4:B10" headerRowCount="1" totalsRowCount="0" totalsRowShown="0">
  <x:tableColumns count="2">
    <x:tableColumn id="1" name="指标"/>
    <x:tableColumn id="2" name="值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leaseChecklist" displayName="ReleaseChecklist" ref="A13:C23" headerRowCount="1" totalsRowCount="0" totalsRowShown="0">
  <x:tableColumns count="3">
    <x:tableColumn id="1" name="检查项"/>
    <x:tableColumn id="2" name="状态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bcfef4e92f41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57bff5697e4b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82b94746ce4c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3afc25a77147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0b7fc1af3b41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236420189340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2dd7ac898245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96446f975f43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4f9e0901de340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9ea3cb47283472e" /><Relationship Type="http://schemas.openxmlformats.org/officeDocument/2006/relationships/table" Target="/xl/tables/table11.xml" Id="R10eedf51ac1044b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82d6d17fdf44f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abb5ae09050415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4c30510b1f34415" /><Relationship Type="http://schemas.openxmlformats.org/officeDocument/2006/relationships/table" Target="/xl/tables/table15.xml" Id="R5c07e50f1fad433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 ht="28" customHeight="1">
      <x:c r="A1" s="5" t="str">
        <x:v>M4-BASE 失衡候选底盘规则库 V0.2</x:v>
      </x:c>
      <x:c r="B1" s="5"/>
      <x:c r="C1" s="5"/>
      <x:c r="D1" s="5"/>
    </x:row>
    <x:row r="2" ht="32" customHeight="1">
      <x:c r="A2" s="13" t="str">
        <x:v>用于快速学习与案例分析：先保留正常功能，再判断结构性失衡候选。</x:v>
      </x:c>
      <x:c r="B2" s="13"/>
      <x:c r="C2" s="13"/>
      <x:c r="D2" s="13"/>
    </x:row>
    <x:row r="4">
      <x:c r="A4" s="32" t="str">
        <x:v>M4-BASE 失衡候选底盘规则库 V0.2</x:v>
      </x:c>
      <x:c r="B4" s="33" t="str"/>
    </x:row>
    <x:row r="5">
      <x:c r="A5" s="34" t="str">
        <x:v>正式任务</x:v>
      </x:c>
      <x:c r="B5" s="35" t="str">
        <x:v>先确认M3正常关系功能，再判断过用、不足、替代、顺序错位、双通道竞争或转换受阻候选。</x:v>
      </x:c>
    </x:row>
    <x:row r="6">
      <x:c r="A6" s="34" t="str">
        <x:v>最大证据等级</x:v>
      </x:c>
      <x:c r="B6" s="35" t="str">
        <x:v>E2 触发候选；本模块不建立完整循环，不输出现实已验证模式。</x:v>
      </x:c>
    </x:row>
    <x:row r="7">
      <x:c r="A7" s="34" t="str">
        <x:v>规则总数</x:v>
      </x:c>
      <x:c r="B7" s="35" t="n">
        <x:v>280</x:v>
      </x:c>
    </x:row>
    <x:row r="8">
      <x:c r="A8" s="34" t="str">
        <x:v>规则编号</x:v>
      </x:c>
      <x:c r="B8" s="35" t="str">
        <x:v>M4-BASE-001—M4-BASE-280</x:v>
      </x:c>
    </x:row>
    <x:row r="9">
      <x:c r="A9" s="34" t="str">
        <x:v>发布状态</x:v>
      </x:c>
      <x:c r="B9" s="35" t="str">
        <x:v>待验证 / provisional=true</x:v>
      </x:c>
    </x:row>
    <x:row r="10">
      <x:c r="A10" s="34" t="str"/>
      <x:c r="B10" s="35" t="str"/>
    </x:row>
    <x:row r="11">
      <x:c r="A11" s="34" t="str">
        <x:v>90秒案例判断顺序</x:v>
      </x:c>
      <x:c r="B11" s="35" t="str"/>
    </x:row>
    <x:row r="12">
      <x:c r="A12" s="34" t="str">
        <x:v>1</x:v>
      </x:c>
      <x:c r="B12" s="35" t="str">
        <x:v>读取M3-BASE、EXPR、CARE、BOUND、CONFLICT的正常功能来源。</x:v>
      </x:c>
    </x:row>
    <x:row r="13">
      <x:c r="A13" s="34" t="str">
        <x:v>2</x:v>
      </x:c>
      <x:c r="B13" s="35" t="str">
        <x:v>确认十神、日支藏干层级、根气、旺衰、喜忌、制化与真合化。</x:v>
      </x:c>
    </x:row>
    <x:row r="14">
      <x:c r="A14" s="34" t="str">
        <x:v>3</x:v>
      </x:c>
      <x:c r="B14" s="35" t="str">
        <x:v>确定一个主功能，最多一个真正有效的次功能。</x:v>
      </x:c>
    </x:row>
    <x:row r="15">
      <x:c r="A15" s="34" t="str">
        <x:v>4</x:v>
      </x:c>
      <x:c r="B15" s="35" t="str">
        <x:v>匹配K01过用、K02不足、K03替代、K04错位、K05竞争、K06受阻。</x:v>
      </x:c>
    </x:row>
    <x:row r="16">
      <x:c r="A16" s="34" t="str">
        <x:v>5</x:v>
      </x:c>
      <x:c r="B16" s="35" t="str">
        <x:v>检查五系统桥接、流向卡点和有效调节。</x:v>
      </x:c>
    </x:row>
    <x:row r="17">
      <x:c r="A17" s="34" t="str">
        <x:v>6</x:v>
      </x:c>
      <x:c r="B17" s="35" t="str">
        <x:v>检查日支主气、中气、余气以及合冲刑害破节奏修正。</x:v>
      </x:c>
    </x:row>
    <x:row r="18">
      <x:c r="A18" s="34" t="str">
        <x:v>7</x:v>
      </x:c>
      <x:c r="B18" s="35" t="str">
        <x:v>完成M3接口与source_id同源去重。</x:v>
      </x:c>
    </x:row>
    <x:row r="19">
      <x:c r="A19" s="34" t="str">
        <x:v>8</x:v>
      </x:c>
      <x:c r="B19" s="35" t="str">
        <x:v>寻找制化、通关、现实反例和保护因子。</x:v>
      </x:c>
    </x:row>
    <x:row r="20">
      <x:c r="A20" s="34" t="str">
        <x:v>9</x:v>
      </x:c>
      <x:c r="B20" s="35" t="str">
        <x:v>判定E0、E1或E2以及置信度。</x:v>
      </x:c>
    </x:row>
    <x:row r="21">
      <x:c r="A21" s="34" t="str">
        <x:v>10</x:v>
      </x:c>
      <x:c r="B21" s="35" t="str">
        <x:v>按正常功能→失衡条件→缺位功能→保护因素→边界说明输出。</x:v>
      </x:c>
    </x:row>
    <x:row r="22">
      <x:c r="A22" s="34" t="str"/>
      <x:c r="B22" s="35" t="str"/>
    </x:row>
    <x:row r="23">
      <x:c r="A23" s="34" t="str">
        <x:v>四条硬边界</x:v>
      </x:c>
      <x:c r="B23" s="35" t="str"/>
    </x:row>
    <x:row r="24">
      <x:c r="A24" s="34" t="str">
        <x:v>A</x:v>
      </x:c>
      <x:c r="B24" s="35" t="str">
        <x:v>没有正常功能来源，不判断失衡。</x:v>
      </x:c>
    </x:row>
    <x:row r="25">
      <x:c r="A25" s="34" t="str">
        <x:v>B</x:v>
      </x:c>
      <x:c r="B25" s="35" t="str">
        <x:v>单一十神、单一喜忌、单一刑冲不能生成盲点。</x:v>
      </x:c>
    </x:row>
    <x:row r="26">
      <x:c r="A26" s="34" t="str">
        <x:v>C</x:v>
      </x:c>
      <x:c r="B26" s="35" t="str">
        <x:v>同一source_id只计算一次基础权重。</x:v>
      </x:c>
    </x:row>
    <x:row r="27">
      <x:c r="A27" s="36" t="str">
        <x:v>D</x:v>
      </x:c>
      <x:c r="B27" s="37" t="str">
        <x:v>涉及暴力、威胁、强迫、跟踪或经济控制时，现实安全优先。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30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2" hidden="0" customWidth="1"/>
    <x:col min="10" max="10" width="22" hidden="0" customWidth="1"/>
    <x:col min="11" max="11" width="44" hidden="0" customWidth="1"/>
    <x:col min="12" max="12" width="38" hidden="0" customWidth="1"/>
  </x:cols>
  <x:sheetData>
    <x:row r="1" ht="28" customHeight="1">
      <x:c r="A1" s="5" t="str">
        <x:v>十神正常功能与失衡候选速查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13" t="str">
        <x:v>搜索十神即可直接匹配：正常功能 → 过用/不足/替代/错位 → 调节 → 用户语言。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28" customHeight="1">
      <x:c r="A4" s="55" t="str">
        <x:v>十神</x:v>
      </x:c>
      <x:c r="B4" s="56" t="str">
        <x:v>系统</x:v>
      </x:c>
      <x:c r="C4" s="56" t="str">
        <x:v>M3接口</x:v>
      </x:c>
      <x:c r="D4" s="56" t="str">
        <x:v>正常功能</x:v>
      </x:c>
      <x:c r="E4" s="56" t="str">
        <x:v>K01过用候选</x:v>
      </x:c>
      <x:c r="F4" s="56" t="str">
        <x:v>K02不足候选</x:v>
      </x:c>
      <x:c r="G4" s="56" t="str">
        <x:v>K03替代候选</x:v>
      </x:c>
      <x:c r="H4" s="56" t="str">
        <x:v>K04顺序错位</x:v>
      </x:c>
      <x:c r="I4" s="56" t="str">
        <x:v>主要调节</x:v>
      </x:c>
      <x:c r="J4" s="56" t="str">
        <x:v>盲点路由</x:v>
      </x:c>
      <x:c r="K4" s="56" t="str">
        <x:v>用户速查句</x:v>
      </x:c>
      <x:c r="L4" s="57" t="str">
        <x:v>禁止推断</x:v>
      </x:c>
    </x:row>
    <x:row r="5">
      <x:c r="A5" s="103" t="str">
        <x:v>比肩</x:v>
      </x:c>
      <x:c r="B5" s="79" t="str">
        <x:v>SYS01 比劫系统</x:v>
      </x:c>
      <x:c r="C5" s="79" t="str">
        <x:v>I01／X01／CA01／BD01／CF01</x:v>
      </x:c>
      <x:c r="D5" s="79" t="str">
        <x:v>平等、自主、并肩协作、保留决定权并区分各自责任。</x:v>
      </x:c>
      <x:c r="E5" s="79" t="str">
        <x:v>把平等机械化为所有付出、时间或让步都必须对称，容易进入比较、计较或防御性自证。</x:v>
      </x:c>
      <x:c r="F5" s="79" t="str">
        <x:v>自身立场、拒绝或暂停执行通道不足，关系可能先跟随对方节奏，再回头复核自己。</x:v>
      </x:c>
      <x:c r="G5" s="79" t="str">
        <x:v>用形式上的对等替代对现实差异、阶段差异和角色分工的理解。</x:v>
      </x:c>
      <x:c r="H5" s="79" t="str">
        <x:v>先强调各自权利或对等，再理解情境和需要；若后续缺少协商，容易把公平处理成机械对称。</x:v>
      </x:c>
      <x:c r="I5" s="79" t="str">
        <x:v>正印／偏印帮助回到内部标准；食伤把边界说清；财官把平等落实为分工、责任和持续执行。</x:v>
      </x:c>
      <x:c r="J5" s="79" t="str">
        <x:v>B10 自主平等滑向竞争防御；B12 亲密与空间节奏失配候选。</x:v>
      </x:c>
      <x:c r="K5" s="79" t="str">
        <x:v>你原本重视平等和自主，这有助于双方保留判断与参与权。需要留意的是，当关系压力增加时，是否会把“公平”收窄成必须完全对称，而忽略阶段、能力和角色上的合理差异。</x:v>
      </x:c>
      <x:c r="L5" s="80" t="str">
        <x:v>不得推出用户自私、不会依赖、一定争强好胜或排斥亲密；是否形成竞争、防御或资源冲突需现实事件验证。</x:v>
      </x:c>
    </x:row>
    <x:row r="6">
      <x:c r="A6" s="104" t="str">
        <x:v>劫财</x:v>
      </x:c>
      <x:c r="B6" s="76" t="str">
        <x:v>SYS01 比劫系统</x:v>
      </x:c>
      <x:c r="C6" s="76" t="str">
        <x:v>I02／X02／CA02／BD02／CF02</x:v>
      </x:c>
      <x:c r="D6" s="76" t="str">
        <x:v>即时参与、共同执行、快速补位、调动资源和在行动中协调。</x:v>
      </x:c>
      <x:c r="E6" s="76" t="str">
        <x:v>过快卷入、抢先接管、把合作变成竞争，或让时间、资源与决定权边界变得模糊。</x:v>
      </x:c>
      <x:c r="F6" s="76" t="str">
        <x:v>需要共同处理事情时难以迅速进入协作，或资源、行动与责任无法被及时动员。</x:v>
      </x:c>
      <x:c r="G6" s="76" t="str">
        <x:v>用参与强度和行动热度替代事前授权、角色分工和后续责任确认。</x:v>
      </x:c>
      <x:c r="H6" s="76" t="str">
        <x:v>先加入、先行动，再补谈权限和分工；若缺少比肩或正官调节，容易出现谁负责、谁决定不清。</x:v>
      </x:c>
      <x:c r="I6" s="76" t="str">
        <x:v>比肩明确自主与权限；正官建立角色和责任；食伤补充反馈和协商。</x:v>
      </x:c>
      <x:c r="J6" s="76" t="str">
        <x:v>B10 自主平等滑向竞争防御；B08 责任行动越过协商边界候选。</x:v>
      </x:c>
      <x:c r="K6" s="76" t="str">
        <x:v>你原本擅长在需要时迅速加入、一起行动。需要留意的是，行动太快时，是否还来得及确认双方的权限、资源和责任，避免“参与很多”却让边界变得不清楚。</x:v>
      </x:c>
      <x:c r="L6" s="82" t="str">
        <x:v>不得推出抢夺、背叛、第三者、爱竞争或一定资源混乱；这里只判断参与与协作功能的结构候选。</x:v>
      </x:c>
    </x:row>
    <x:row r="7">
      <x:c r="A7" s="104" t="str">
        <x:v>食神</x:v>
      </x:c>
      <x:c r="B7" s="76" t="str">
        <x:v>SYS02 食伤系统</x:v>
      </x:c>
      <x:c r="C7" s="76" t="str">
        <x:v>I03／X03／CA03／BD03／CF03</x:v>
      </x:c>
      <x:c r="D7" s="76" t="str">
        <x:v>舒缓、陪伴、温和分享、降低压力并恢复双方可交流的状态。</x:v>
      </x:c>
      <x:c r="E7" s="76" t="str">
        <x:v>为了维持舒服与和谐，延后关键问题、边界、承诺或现实安排。</x:v>
      </x:c>
      <x:c r="F7" s="76" t="str">
        <x:v>关系缺少低压力交流、降温和柔性表达，重要议题容易直接进入紧张或任务处理。</x:v>
      </x:c>
      <x:c r="G7" s="76" t="str">
        <x:v>用陪伴、好气氛或体贴照顾替代明确讨论和现实改变。</x:v>
      </x:c>
      <x:c r="H7" s="76" t="str">
        <x:v>先安抚和恢复舒服，但没有回到核心问题；降温从过渡步骤变成议题终点。</x:v>
      </x:c>
      <x:c r="I7" s="76" t="str">
        <x:v>伤官把关键问题说清；正官形成后续安排；正财把共识落到稳定行动。</x:v>
      </x:c>
      <x:c r="J7" s="76" t="str">
        <x:v>B11 舒适和谐延后关键问题；B14 问题结案但关系未修复候选。</x:v>
      </x:c>
      <x:c r="K7" s="76" t="str">
        <x:v>你原本会通过温和、陪伴和舒适氛围降低关系压力。需要留意的是，舒服下来以后，双方是否真的回到关键议题，而不是让“先别破坏气氛”长期替代必要的说明和调整。</x:v>
      </x:c>
      <x:c r="L7" s="82" t="str">
        <x:v>不得推出用户逃避问题、懒散、只想享受或一定压抑矛盾；是否延后关键问题需结合现实顺序验证。</x:v>
      </x:c>
    </x:row>
    <x:row r="8">
      <x:c r="A8" s="104" t="str">
        <x:v>伤官</x:v>
      </x:c>
      <x:c r="B8" s="76" t="str">
        <x:v>SYS02 食伤系统</x:v>
      </x:c>
      <x:c r="C8" s="76" t="str">
        <x:v>I04／X04／CA04／BD04／CF04</x:v>
      </x:c>
      <x:c r="D8" s="76" t="str">
        <x:v>分析、澄清、表达、提问、交换观点并把复杂问题说清楚。</x:v>
      </x:c>
      <x:c r="E8" s="76" t="str">
        <x:v>解释和分析不断增加，但倾听、情绪承接或现实落实没有同步进入。</x:v>
      </x:c>
      <x:c r="F8" s="76" t="str">
        <x:v>需求、感受或关键事实难以清楚表达，对方只能从行动、沉默或情绪间接猜测。</x:v>
      </x:c>
      <x:c r="G8" s="76" t="str">
        <x:v>把“我已经说清楚”当成“对方已经被理解、关系已经形成共识”。</x:v>
      </x:c>
      <x:c r="H8" s="76" t="str">
        <x:v>在情绪尚未被承接或安全尚未恢复时，先讲逻辑、规则或完整论证。</x:v>
      </x:c>
      <x:c r="I8" s="76" t="str">
        <x:v>正印负责倾听与承接；财星把语言转成行动；官杀把共识转成责任和后续安排。</x:v>
      </x:c>
      <x:c r="J8" s="76" t="str">
        <x:v>B05 表达充分替代理解完成；B06 解决问题替代情绪处理候选。</x:v>
      </x:c>
      <x:c r="K8" s="76" t="str">
        <x:v>你原本有把事情分析清楚、把想法说明白的能力。需要留意的是，表达完整、对方听见、情绪被理解和现实达成共识，其实是不同步骤；说得更多不一定等于理解更深。</x:v>
      </x:c>
      <x:c r="L8" s="82" t="str">
        <x:v>不得推出刻薄、爱批评、婚姻不顺或一定言语伤人；是否形成解释过载需现实反馈验证。</x:v>
      </x:c>
    </x:row>
    <x:row r="9">
      <x:c r="A9" s="104" t="str">
        <x:v>正财</x:v>
      </x:c>
      <x:c r="B9" s="76" t="str">
        <x:v>SYS03 财星系统</x:v>
      </x:c>
      <x:c r="C9" s="76" t="str">
        <x:v>I05／X05／CA05／BD05／CF05</x:v>
      </x:c>
      <x:c r="D9" s="76" t="str">
        <x:v>持续投入、生活经营、时间资源安排、稳定落实和日常责任。</x:v>
      </x:c>
      <x:c r="E9" s="76" t="str">
        <x:v>把付出数量、任务完成或资源投入当成关系质量，形成隐性记账或用事务替代情绪交流。</x:v>
      </x:c>
      <x:c r="F9" s="76" t="str">
        <x:v>语言和承诺存在，但时间、资源、计划和日常行动难以持续落实。</x:v>
      </x:c>
      <x:c r="G9" s="76" t="str">
        <x:v>用帮忙、安排、花费或承担事务替代承诺、沟通或情绪处理。</x:v>
      </x:c>
      <x:c r="H9" s="76" t="str">
        <x:v>先增加现实投入，再等待对方自动理解自己的需要；关键期待没有被明确说出。</x:v>
      </x:c>
      <x:c r="I9" s="76" t="str">
        <x:v>比劫明确资源与分工边界；官杀确认责任和承诺；印星检查投入是否真正回应情绪和安全需要。</x:v>
      </x:c>
      <x:c r="J9" s="76" t="str">
        <x:v>B07 付出投入替代承诺责任；B06 解决问题替代情绪处理候选。</x:v>
      </x:c>
      <x:c r="K9" s="76" t="str">
        <x:v>你原本会通过稳定投入和现实安排经营关系。需要留意的是，做了很多、花了很多时间或承担了很多事务，并不自动等于双方已经说清期待、承诺和回馈方式。</x:v>
      </x:c>
      <x:c r="L9" s="82" t="str">
        <x:v>不得推出只看钱、控制资源、计较或一定过度付出；投入与隐性记账需由现实行为验证。</x:v>
      </x:c>
    </x:row>
    <x:row r="10">
      <x:c r="A10" s="104" t="str">
        <x:v>偏财</x:v>
      </x:c>
      <x:c r="B10" s="76" t="str">
        <x:v>SYS03 财星系统</x:v>
      </x:c>
      <x:c r="C10" s="76" t="str">
        <x:v>I06／X06／CA06／BD06／CF06</x:v>
      </x:c>
      <x:c r="D10" s="76" t="str">
        <x:v>灵活投入、共同体验、社交互动、即时便利和根据情境调整资源。</x:v>
      </x:c>
      <x:c r="E10" s="76" t="str">
        <x:v>把互动热度、氛围、新鲜体验或一次性投入当成稳定关系证据，或投入方向过于分散。</x:v>
      </x:c>
      <x:c r="F10" s="76" t="str">
        <x:v>关系缺少灵活回应、共同体验和现实活力，容易只剩规则或任务。</x:v>
      </x:c>
      <x:c r="G10" s="76" t="str">
        <x:v>用感觉、互动和体验替代持续投入、明确承诺与生活落地。</x:v>
      </x:c>
      <x:c r="H10" s="76" t="str">
        <x:v>先因互动和体验进入关系评估，却长期没有进入稳定性与责任复核。</x:v>
      </x:c>
      <x:c r="I10" s="76" t="str">
        <x:v>正财检验持续性；正官确认关系责任；比肩明确资源和社交边界。</x:v>
      </x:c>
      <x:c r="J10" s="76" t="str">
        <x:v>B02 单一优点遮蔽整体条件；B03 心动信号替代关系准入；B07 付出投入替代承诺责任候选。</x:v>
      </x:c>
      <x:c r="K10" s="76" t="str">
        <x:v>你原本擅长通过互动、体验和灵活回应让关系保持活力。需要留意的是，感觉很好、相处有趣或一次投入很多，不等于长期稳定、责任和现实安排已经成立。</x:v>
      </x:c>
      <x:c r="L10" s="82" t="str">
        <x:v>不得推出花心、关系多、爱玩或一定投入分散；是否缺少落地和持续性需要现实证据。</x:v>
      </x:c>
    </x:row>
    <x:row r="11">
      <x:c r="A11" s="104" t="str">
        <x:v>正官</x:v>
      </x:c>
      <x:c r="B11" s="76" t="str">
        <x:v>SYS04 官杀系统</x:v>
      </x:c>
      <x:c r="C11" s="76" t="str">
        <x:v>I07／X07／CA07／BD07／CF07</x:v>
      </x:c>
      <x:c r="D11" s="76" t="str">
        <x:v>承诺、责任、规则、角色分工、守约和稳定维护关系。</x:v>
      </x:c>
      <x:c r="E11" s="76" t="str">
        <x:v>标准或规则变得僵化，以道德压力、角色要求或“应该如此”替代协商。</x:v>
      </x:c>
      <x:c r="F11" s="76" t="str">
        <x:v>关系责任、角色、承诺和后续安排长期不清楚，讨论很多却缺少执行主体。</x:v>
      </x:c>
      <x:c r="G11" s="76" t="str">
        <x:v>用规则正确或角色合格替代对具体感受、差异和现实限制的理解。</x:v>
      </x:c>
      <x:c r="H11" s="76" t="str">
        <x:v>在了解背景、感受和双方资源之前先套用标准或要求。</x:v>
      </x:c>
      <x:c r="I11" s="76" t="str">
        <x:v>食伤提供说明和反馈；比劫保留共同决定权；财星检验规则能否持续落实。</x:v>
      </x:c>
      <x:c r="J11" s="76" t="str">
        <x:v>B08 责任行动越过协商边界；B14 问题结案但关系未修复候选。</x:v>
      </x:c>
      <x:c r="K11" s="76" t="str">
        <x:v>你原本重视责任、承诺和清楚的关系规则。需要留意的是，规则是否仍然允许双方讨论现实差异；“应该怎么做”不能完全替代“我们能否共同决定怎么做”。</x:v>
      </x:c>
      <x:c r="L11" s="82" t="str">
        <x:v>不得推出控制欲强、古板、道德绑架或一定关系压抑；是否形成僵化标准需结合现实互动。</x:v>
      </x:c>
    </x:row>
    <x:row r="12">
      <x:c r="A12" s="104" t="str">
        <x:v>七杀</x:v>
      </x:c>
      <x:c r="B12" s="76" t="str">
        <x:v>SYS04 官杀系统</x:v>
      </x:c>
      <x:c r="C12" s="76" t="str">
        <x:v>I08／X08／CA08／BD08／CF08</x:v>
      </x:c>
      <x:c r="D12" s="76" t="str">
        <x:v>决断、推进、保护、止损、危机处理和在关键时刻承担。</x:v>
      </x:c>
      <x:c r="E12" s="76" t="str">
        <x:v>行动速度和压力强度压过双向确认，先推进、先决定或先解决，协商与感受被延后。</x:v>
      </x:c>
      <x:c r="F12" s="76" t="str">
        <x:v>关键时刻缺少决断、行动或止损，问题被反复讨论却迟迟没有进入处理。</x:v>
      </x:c>
      <x:c r="G12" s="76" t="str">
        <x:v>用解决事情、保护或推动结果替代情绪处理、共同决定和后续修复。</x:v>
      </x:c>
      <x:c r="H12" s="76" t="str">
        <x:v>在信息、授权和情绪尚未充分进入时先行动；事情结束后未回到沟通。</x:v>
      </x:c>
      <x:c r="I12" s="76" t="str">
        <x:v>食伤补充协商和反馈；比劫保留双方决定权；印星承接感受并恢复安全。</x:v>
      </x:c>
      <x:c r="J12" s="76" t="str">
        <x:v>B06 解决问题替代情绪处理；B08 责任行动越过协商边界候选。</x:v>
      </x:c>
      <x:c r="K12" s="76" t="str">
        <x:v>你原本能够在关键时刻快速行动、处理问题和承担压力。需要留意的是，行动有效不等于所有人都已被纳入决定；事情处理完以后，协商、感受和修复是否也会回来。</x:v>
      </x:c>
      <x:c r="L12" s="82" t="str">
        <x:v>不得推出暴力、强迫、控制或危险人格；行动强度与现实伤害必须分开，并以真实安全证据为准。</x:v>
      </x:c>
    </x:row>
    <x:row r="13">
      <x:c r="A13" s="104" t="str">
        <x:v>正印</x:v>
      </x:c>
      <x:c r="B13" s="76" t="str">
        <x:v>SYS05 印星系统</x:v>
      </x:c>
      <x:c r="C13" s="76" t="str">
        <x:v>I09／X09／CA09／BD09／CF09</x:v>
      </x:c>
      <x:c r="D13" s="76" t="str">
        <x:v>理解、倾听、承接、恢复安全、接受支持和稳定内化经验。</x:v>
      </x:c>
      <x:c r="E13" s="76" t="str">
        <x:v>理解了对方的原因，就降低对现实改变、责任或边界的要求；或长期承接而延后自身需要。</x:v>
      </x:c>
      <x:c r="F13" s="76" t="str">
        <x:v>难以接受帮助、恢复安全或在问题处理后重新开放，情绪尚未整理就进入表达和行动。</x:v>
      </x:c>
      <x:c r="G13" s="76" t="str">
        <x:v>用包容、照顾和解释原因替代分工、责任、边界和行为改变。</x:v>
      </x:c>
      <x:c r="H13" s="76" t="str">
        <x:v>反复理解和承接，却迟迟没有进入明确表达、现实落实或责任复核。</x:v>
      </x:c>
      <x:c r="I13" s="76" t="str">
        <x:v>比劫恢复自身位置和边界；食伤把理解转为可沟通信息；财官把理解转为现实调整和责任兑现。</x:v>
      </x:c>
      <x:c r="J13" s="76" t="str">
        <x:v>B09 理解照顾替代现实改变；B14 问题结案但关系未修复候选。</x:v>
      </x:c>
      <x:c r="K13" s="76" t="str">
        <x:v>你原本有理解、倾听和承接关系压力的能力。需要留意的是，理解对方为什么这样做，并不等于现实问题已经改变；包容之后，边界、责任和后续行动仍要单独确认。</x:v>
      </x:c>
      <x:c r="L13" s="82" t="str">
        <x:v>不得推出依赖、妈宝、没有主见或一定过度照顾；是否延后边界和改变需现实事件验证。</x:v>
      </x:c>
    </x:row>
    <x:row r="14">
      <x:c r="A14" s="105" t="str">
        <x:v>偏印</x:v>
      </x:c>
      <x:c r="B14" s="84" t="str">
        <x:v>SYS05 印星系统</x:v>
      </x:c>
      <x:c r="C14" s="84" t="str">
        <x:v>I10／X10／CA10／BD10／CF10</x:v>
      </x:c>
      <x:c r="D14" s="84" t="str">
        <x:v>深度整理、选择性开放、保留私人空间、专业判断和复杂信息内化。</x:v>
      </x:c>
      <x:c r="E14" s="84" t="str">
        <x:v>内部分析和沉默持续过久，以私人逻辑替代可沟通回应，暂停失去明确回归路径。</x:v>
      </x:c>
      <x:c r="F14" s="84" t="str">
        <x:v>缺少反思、独处和整理空间，复杂感受来不及消化就进入表达或行动。</x:v>
      </x:c>
      <x:c r="G14" s="84" t="str">
        <x:v>把“我已经想明白”替代“我已经让对方知道并完成协商”。</x:v>
      </x:c>
      <x:c r="H14" s="84" t="str">
        <x:v>先暂停和内化，但没有说明范围、时间或回来沟通的条件。</x:v>
      </x:c>
      <x:c r="I14" s="84" t="str">
        <x:v>食伤把内部结论转为语言；正官建立回归约定；比劫说明空间与边界。</x:v>
      </x:c>
      <x:c r="J14" s="84" t="str">
        <x:v>B13 暂停处理失去回归路径；B15 平稳与压力状态切换未被识别候选。</x:v>
      </x:c>
      <x:c r="K14" s="84" t="str">
        <x:v>你原本需要一定空间整理复杂感受，这有助于避免仓促回应。需要留意的是，内部想清楚和让关系重新进入可沟通状态是两件事；暂停最好有范围、说明和回归路径。</x:v>
      </x:c>
      <x:c r="L14" s="85" t="str">
        <x:v>不得推出冷漠、回避型依恋、秘密多或不在乎关系；是否形成沉默断链需现实行为验证。</x:v>
      </x:c>
    </x:row>
  </x:sheetData>
  <x:mergeCells>
    <x:mergeCell ref="A1:L1"/>
    <x:mergeCell ref="A2:L2"/>
  </x:mergeCells>
  <x:conditionalFormatting sqref="A5:L14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bcfef4e92f41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6" hidden="0" customWidth="1"/>
    <x:col min="4" max="4" width="36" hidden="0" customWidth="1"/>
    <x:col min="5" max="5" width="36" hidden="0" customWidth="1"/>
    <x:col min="6" max="6" width="34" hidden="0" customWidth="1"/>
    <x:col min="7" max="7" width="20" hidden="0" customWidth="1"/>
  </x:cols>
  <x:sheetData>
    <x:row r="1" ht="28" customHeight="1">
      <x:c r="A1" s="5" t="str">
        <x:v>五系统失衡矩阵</x:v>
      </x:c>
      <x:c r="B1" s="5"/>
      <x:c r="C1" s="5"/>
      <x:c r="D1" s="5"/>
      <x:c r="E1" s="5"/>
      <x:c r="F1" s="5"/>
      <x:c r="G1" s="5"/>
    </x:row>
    <x:row r="2" ht="32" customHeight="1">
      <x:c r="A2" s="13" t="str">
        <x:v>同系统正偏十神先收敛；系统层只做功能归类，不与十神基础分重复。</x:v>
      </x:c>
      <x:c r="B2" s="13"/>
      <x:c r="C2" s="13"/>
      <x:c r="D2" s="13"/>
      <x:c r="E2" s="13"/>
      <x:c r="F2" s="13"/>
      <x:c r="G2" s="13"/>
    </x:row>
    <x:row r="4" ht="28" customHeight="1">
      <x:c r="A4" s="55" t="str">
        <x:v>系统</x:v>
      </x:c>
      <x:c r="B4" s="56" t="str">
        <x:v>正常任务</x:v>
      </x:c>
      <x:c r="C4" s="56" t="str">
        <x:v>过用候选</x:v>
      </x:c>
      <x:c r="D4" s="56" t="str">
        <x:v>不足候选</x:v>
      </x:c>
      <x:c r="E4" s="56" t="str">
        <x:v>单通道替代</x:v>
      </x:c>
      <x:c r="F4" s="56" t="str">
        <x:v>调节功能</x:v>
      </x:c>
      <x:c r="G4" s="57" t="str">
        <x:v>盲点路由</x:v>
      </x:c>
    </x:row>
    <x:row r="5">
      <x:c r="A5" s="78" t="str">
        <x:v>SYS01 比劫系统</x:v>
      </x:c>
      <x:c r="B5" s="79" t="str">
        <x:v>自主、平等、边界、共同参与和决定权</x:v>
      </x:c>
      <x:c r="C5" s="79" t="str">
        <x:v>机械对等、比较、防御、资源竞争或把妥协理解成失去自我</x:v>
      </x:c>
      <x:c r="D5" s="79" t="str">
        <x:v>自身位置、拒绝、暂停和共同决定权难以稳定进入关系</x:v>
      </x:c>
      <x:c r="E5" s="79" t="str">
        <x:v>用形式对等替代差异化分工、情绪照顾或现实责任</x:v>
      </x:c>
      <x:c r="F5" s="79" t="str">
        <x:v>印星内部确认＋食伤表达＋财官落实</x:v>
      </x:c>
      <x:c r="G5" s="80" t="str">
        <x:v>B10／B12</x:v>
      </x:c>
    </x:row>
    <x:row r="6">
      <x:c r="A6" s="81" t="str">
        <x:v>SYS02 食伤系统</x:v>
      </x:c>
      <x:c r="B6" s="76" t="str">
        <x:v>表达、澄清、互动、降温和将内部体验变成可沟通信息</x:v>
      </x:c>
      <x:c r="C6" s="76" t="str">
        <x:v>解释过载、逻辑抢先、舒适延后问题或表达替代理解</x:v>
      </x:c>
      <x:c r="D6" s="76" t="str">
        <x:v>需求、感受和关键信息难以被看见，修复缺少语言回流</x:v>
      </x:c>
      <x:c r="E6" s="76" t="str">
        <x:v>用说清楚或维持气氛替代倾听、责任、行动和边界执行</x:v>
      </x:c>
      <x:c r="F6" s="76" t="str">
        <x:v>印星承接＋财星落实＋官杀责任</x:v>
      </x:c>
      <x:c r="G6" s="82" t="str">
        <x:v>B05／B06／B11</x:v>
      </x:c>
    </x:row>
    <x:row r="7">
      <x:c r="A7" s="81" t="str">
        <x:v>SYS03 财星系统</x:v>
      </x:c>
      <x:c r="B7" s="76" t="str">
        <x:v>投入、资源、生活经营、现实落实和共同体验</x:v>
      </x:c>
      <x:c r="C7" s="76" t="str">
        <x:v>付出记账、任务替代情绪、氛围替代稳定或资源边界模糊</x:v>
      </x:c>
      <x:c r="D7" s="76" t="str">
        <x:v>承诺和表达难以落地，关系缺少持续时间、资源与日常安排</x:v>
      </x:c>
      <x:c r="E7" s="76" t="str">
        <x:v>用投入或体验替代明确承诺、情绪处理和双方协商</x:v>
      </x:c>
      <x:c r="F7" s="76" t="str">
        <x:v>比劫边界＋官杀责任＋印星需要复核</x:v>
      </x:c>
      <x:c r="G7" s="82" t="str">
        <x:v>B02／B03／B07</x:v>
      </x:c>
    </x:row>
    <x:row r="8">
      <x:c r="A8" s="81" t="str">
        <x:v>SYS04 官杀系统</x:v>
      </x:c>
      <x:c r="B8" s="76" t="str">
        <x:v>承诺、责任、规则、行动、推进、保护和止损</x:v>
      </x:c>
      <x:c r="C8" s="76" t="str">
        <x:v>规则僵化、压力升级、行动越过协商或解决问题替代感受</x:v>
      </x:c>
      <x:c r="D8" s="76" t="str">
        <x:v>关系责任不明、决定拖延、方案缺少执行和后续兑现</x:v>
      </x:c>
      <x:c r="E8" s="76" t="str">
        <x:v>用责任姿态、规则或行动速度替代理解、共同决定和修复</x:v>
      </x:c>
      <x:c r="F8" s="76" t="str">
        <x:v>食伤协商＋比劫决定权＋印星承接＋财星持续落实</x:v>
      </x:c>
      <x:c r="G8" s="82" t="str">
        <x:v>B06／B08／B14</x:v>
      </x:c>
    </x:row>
    <x:row r="9">
      <x:c r="A9" s="83" t="str">
        <x:v>SYS05 印星系统</x:v>
      </x:c>
      <x:c r="B9" s="84" t="str">
        <x:v>理解、承接、支持、安全恢复、内部整理和经验复盘</x:v>
      </x:c>
      <x:c r="C9" s="84" t="str">
        <x:v>理解替代改变、照顾替代边界、沉默过久或长期承接</x:v>
      </x:c>
      <x:c r="D9" s="84" t="str">
        <x:v>难以接受支持、恢复安全、内部复核或在处理后重新开放</x:v>
      </x:c>
      <x:c r="E9" s="84" t="str">
        <x:v>用理解、原因解释或私人整理替代明确表达、责任和现实调整</x:v>
      </x:c>
      <x:c r="F9" s="84" t="str">
        <x:v>比劫边界＋食伤表达＋财官现实改变</x:v>
      </x:c>
      <x:c r="G9" s="85" t="str">
        <x:v>B09／B13／B14／B15</x:v>
      </x:c>
    </x:row>
  </x:sheetData>
  <x:mergeCells>
    <x:mergeCell ref="A1:G1"/>
    <x:mergeCell ref="A2:G2"/>
  </x:mergeCells>
  <x:conditionalFormatting sqref="A5:G9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57bff5697e4b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42" hidden="0" customWidth="1"/>
    <x:col min="6" max="6" width="42" hidden="0" customWidth="1"/>
    <x:col min="7" max="7" width="22" hidden="0" customWidth="1"/>
  </x:cols>
  <x:sheetData>
    <x:row r="1" ht="28" customHeight="1">
      <x:c r="A1" s="5" t="str">
        <x:v>五系统桥接、卡点、筛选与竞争</x:v>
      </x:c>
      <x:c r="B1" s="5"/>
      <x:c r="C1" s="5"/>
      <x:c r="D1" s="5"/>
      <x:c r="E1" s="5"/>
      <x:c r="F1" s="5"/>
      <x:c r="G1" s="5"/>
    </x:row>
    <x:row r="2" ht="32" customHeight="1">
      <x:c r="A2" s="13" t="str">
        <x:v>五行生克只提供潜在方向；必须有有效起点、桥梁、终点和M3/现实顺序证据。</x:v>
      </x:c>
      <x:c r="B2" s="13"/>
      <x:c r="C2" s="13"/>
      <x:c r="D2" s="13"/>
      <x:c r="E2" s="13"/>
      <x:c r="F2" s="13"/>
      <x:c r="G2" s="13"/>
    </x:row>
    <x:row r="4" ht="28" customHeight="1">
      <x:c r="A4" s="55" t="str">
        <x:v>类型</x:v>
      </x:c>
      <x:c r="B4" s="56" t="str">
        <x:v>路径/组合</x:v>
      </x:c>
      <x:c r="C4" s="56" t="str">
        <x:v>起点</x:v>
      </x:c>
      <x:c r="D4" s="56" t="str">
        <x:v>终点/对象</x:v>
      </x:c>
      <x:c r="E4" s="56" t="str">
        <x:v>内部逻辑</x:v>
      </x:c>
      <x:c r="F4" s="56" t="str">
        <x:v>用户速查</x:v>
      </x:c>
      <x:c r="G4" s="57" t="str">
        <x:v>路由</x:v>
      </x:c>
    </x:row>
    <x:row r="5">
      <x:c r="A5" s="78" t="str">
        <x:v>正常桥接</x:v>
      </x:c>
      <x:c r="B5" s="79" t="str">
        <x:v>印→比劫</x:v>
      </x:c>
      <x:c r="C5" s="79" t="str">
        <x:v>SYS05 印星系统</x:v>
      </x:c>
      <x:c r="D5" s="79" t="str">
        <x:v>SYS01 比劫系统</x:v>
      </x:c>
      <x:c r="E5" s="79" t="str">
        <x:v>先通过理解、内部确认和安全恢复，形成更稳定的自身立场与边界。</x:v>
      </x:c>
      <x:c r="F5" s="79" t="str">
        <x:v>内部确认能够转为边界和决定权。</x:v>
      </x:c>
      <x:c r="G5" s="80" t="str">
        <x:v>BF通关</x:v>
      </x:c>
    </x:row>
    <x:row r="6">
      <x:c r="A6" s="81" t="str">
        <x:v>正常桥接</x:v>
      </x:c>
      <x:c r="B6" s="76" t="str">
        <x:v>比劫→食伤</x:v>
      </x:c>
      <x:c r="C6" s="76" t="str">
        <x:v>SYS01 比劫系统</x:v>
      </x:c>
      <x:c r="D6" s="76" t="str">
        <x:v>SYS02 食伤系统</x:v>
      </x:c>
      <x:c r="E6" s="76" t="str">
        <x:v>先确认自身位置和双方权限，再把需要、边界与不同意见说清楚。</x:v>
      </x:c>
      <x:c r="F6" s="76" t="str">
        <x:v>边界能够转为可沟通信息。</x:v>
      </x:c>
      <x:c r="G6" s="82" t="str">
        <x:v>BF通关</x:v>
      </x:c>
    </x:row>
    <x:row r="7">
      <x:c r="A7" s="81" t="str">
        <x:v>正常桥接</x:v>
      </x:c>
      <x:c r="B7" s="76" t="str">
        <x:v>食伤→财</x:v>
      </x:c>
      <x:c r="C7" s="76" t="str">
        <x:v>SYS02 食伤系统</x:v>
      </x:c>
      <x:c r="D7" s="76" t="str">
        <x:v>SYS03 财星系统</x:v>
      </x:c>
      <x:c r="E7" s="76" t="str">
        <x:v>把表达、共识和互动转成时间、资源、安排和持续行动。</x:v>
      </x:c>
      <x:c r="F7" s="76" t="str">
        <x:v>语言能够转为现实落实。</x:v>
      </x:c>
      <x:c r="G7" s="82" t="str">
        <x:v>BF通关</x:v>
      </x:c>
    </x:row>
    <x:row r="8">
      <x:c r="A8" s="81" t="str">
        <x:v>正常桥接</x:v>
      </x:c>
      <x:c r="B8" s="76" t="str">
        <x:v>财→官杀</x:v>
      </x:c>
      <x:c r="C8" s="76" t="str">
        <x:v>SYS03 财星系统</x:v>
      </x:c>
      <x:c r="D8" s="76" t="str">
        <x:v>SYS04 官杀系统</x:v>
      </x:c>
      <x:c r="E8" s="76" t="str">
        <x:v>把持续投入和现实安排进一步转成清楚责任、承诺和执行主体。</x:v>
      </x:c>
      <x:c r="F8" s="76" t="str">
        <x:v>投入能够转为责任与承诺。</x:v>
      </x:c>
      <x:c r="G8" s="82" t="str">
        <x:v>BF通关</x:v>
      </x:c>
    </x:row>
    <x:row r="9">
      <x:c r="A9" s="81" t="str">
        <x:v>正常桥接</x:v>
      </x:c>
      <x:c r="B9" s="76" t="str">
        <x:v>官杀→印</x:v>
      </x:c>
      <x:c r="C9" s="76" t="str">
        <x:v>SYS04 官杀系统</x:v>
      </x:c>
      <x:c r="D9" s="76" t="str">
        <x:v>SYS05 印星系统</x:v>
      </x:c>
      <x:c r="E9" s="76" t="str">
        <x:v>通过行动、守约和责任兑现，恢复理解、安全和再次开放。</x:v>
      </x:c>
      <x:c r="F9" s="76" t="str">
        <x:v>行动与承诺能够形成安全回流。</x:v>
      </x:c>
      <x:c r="G9" s="82" t="str">
        <x:v>BF通关</x:v>
      </x:c>
    </x:row>
    <x:row r="10">
      <x:c r="A10" s="81" t="str">
        <x:v>转换卡点</x:v>
      </x:c>
      <x:c r="B10" s="76" t="str">
        <x:v>印→比劫受阻</x:v>
      </x:c>
      <x:c r="C10" s="76" t="str">
        <x:v>SYS05 印星系统</x:v>
      </x:c>
      <x:c r="D10" s="76" t="str">
        <x:v>SYS01 比劫系统</x:v>
      </x:c>
      <x:c r="E10" s="76" t="str">
        <x:v>能够理解或内部想清楚，但难以形成清楚立场、拒绝或共同决定。</x:v>
      </x:c>
      <x:c r="F10" s="76" t="str">
        <x:v>能够理解或内部想清楚，但难以形成清楚立场、拒绝或共同决定。</x:v>
      </x:c>
      <x:c r="G10" s="82" t="str">
        <x:v>B09／B12</x:v>
      </x:c>
    </x:row>
    <x:row r="11">
      <x:c r="A11" s="81" t="str">
        <x:v>转换卡点</x:v>
      </x:c>
      <x:c r="B11" s="76" t="str">
        <x:v>比劫→食伤受阻</x:v>
      </x:c>
      <x:c r="C11" s="76" t="str">
        <x:v>SYS01 比劫系统</x:v>
      </x:c>
      <x:c r="D11" s="76" t="str">
        <x:v>SYS02 食伤系统</x:v>
      </x:c>
      <x:c r="E11" s="76" t="str">
        <x:v>知道自己的位置和界限，却难以把它转成对方能够接收的语言。</x:v>
      </x:c>
      <x:c r="F11" s="76" t="str">
        <x:v>知道自己的位置和界限，却难以把它转成对方能够接收的语言。</x:v>
      </x:c>
      <x:c r="G11" s="82" t="str">
        <x:v>B10／B13</x:v>
      </x:c>
    </x:row>
    <x:row r="12">
      <x:c r="A12" s="81" t="str">
        <x:v>转换卡点</x:v>
      </x:c>
      <x:c r="B12" s="76" t="str">
        <x:v>食伤→财受阻</x:v>
      </x:c>
      <x:c r="C12" s="76" t="str">
        <x:v>SYS02 食伤系统</x:v>
      </x:c>
      <x:c r="D12" s="76" t="str">
        <x:v>SYS03 财星系统</x:v>
      </x:c>
      <x:c r="E12" s="76" t="str">
        <x:v>能表达和讨论，但共识长期无法转成时间、资源与现实行动。</x:v>
      </x:c>
      <x:c r="F12" s="76" t="str">
        <x:v>能表达和讨论，但共识长期无法转成时间、资源与现实行动。</x:v>
      </x:c>
      <x:c r="G12" s="82" t="str">
        <x:v>B05／B07</x:v>
      </x:c>
    </x:row>
    <x:row r="13">
      <x:c r="A13" s="81" t="str">
        <x:v>转换卡点</x:v>
      </x:c>
      <x:c r="B13" s="76" t="str">
        <x:v>财→官杀受阻</x:v>
      </x:c>
      <x:c r="C13" s="76" t="str">
        <x:v>SYS03 财星系统</x:v>
      </x:c>
      <x:c r="D13" s="76" t="str">
        <x:v>SYS04 官杀系统</x:v>
      </x:c>
      <x:c r="E13" s="76" t="str">
        <x:v>有投入、安排或共同体验，却迟迟没有形成责任、承诺和执行主体。</x:v>
      </x:c>
      <x:c r="F13" s="76" t="str">
        <x:v>有投入、安排或共同体验，却迟迟没有形成责任、承诺和执行主体。</x:v>
      </x:c>
      <x:c r="G13" s="82" t="str">
        <x:v>B03／B07</x:v>
      </x:c>
    </x:row>
    <x:row r="14">
      <x:c r="A14" s="81" t="str">
        <x:v>转换卡点</x:v>
      </x:c>
      <x:c r="B14" s="76" t="str">
        <x:v>官杀→印受阻</x:v>
      </x:c>
      <x:c r="C14" s="76" t="str">
        <x:v>SYS04 官杀系统</x:v>
      </x:c>
      <x:c r="D14" s="76" t="str">
        <x:v>SYS05 印星系统</x:v>
      </x:c>
      <x:c r="E14" s="76" t="str">
        <x:v>事情被处理、规则被建立或承诺被说出，但理解、安全和情绪回流没有恢复。</x:v>
      </x:c>
      <x:c r="F14" s="76" t="str">
        <x:v>事情被处理、规则被建立或承诺被说出，但理解、安全和情绪回流没有恢复。</x:v>
      </x:c>
      <x:c r="G14" s="82" t="str">
        <x:v>B06／B14</x:v>
      </x:c>
    </x:row>
    <x:row r="15">
      <x:c r="A15" s="81" t="str">
        <x:v>制约筛选</x:v>
      </x:c>
      <x:c r="B15" s="76" t="str">
        <x:v>印制食伤</x:v>
      </x:c>
      <x:c r="C15" s="76" t="str">
        <x:v>SYS05 印星系统</x:v>
      </x:c>
      <x:c r="D15" s="76" t="str">
        <x:v>SYS02 食伤系统</x:v>
      </x:c>
      <x:c r="E15" s="76" t="str">
        <x:v>倾听、内部复核和安全承接用于调节表达强度；若印不足，食伤可能更易出现解释过载。</x:v>
      </x:c>
      <x:c r="F15" s="76" t="str">
        <x:v>倾听、内部复核和安全承接用于调节表达强度；若印不足，食伤可能更易出现解释过载。</x:v>
      </x:c>
      <x:c r="G15" s="82" t="str">
        <x:v>BF04 倾听与内部复核 / B05</x:v>
      </x:c>
    </x:row>
    <x:row r="16">
      <x:c r="A16" s="81" t="str">
        <x:v>制约筛选</x:v>
      </x:c>
      <x:c r="B16" s="76" t="str">
        <x:v>食伤制官杀</x:v>
      </x:c>
      <x:c r="C16" s="76" t="str">
        <x:v>SYS02 食伤系统</x:v>
      </x:c>
      <x:c r="D16" s="76" t="str">
        <x:v>SYS04 官杀系统</x:v>
      </x:c>
      <x:c r="E16" s="76" t="str">
        <x:v>协商、反馈和说明用于调节规则与行动；若食伤不足，推进可能越过双向确认。</x:v>
      </x:c>
      <x:c r="F16" s="76" t="str">
        <x:v>协商、反馈和说明用于调节规则与行动；若食伤不足，推进可能越过双向确认。</x:v>
      </x:c>
      <x:c r="G16" s="82" t="str">
        <x:v>BF05 表达与反馈通道 / B08</x:v>
      </x:c>
    </x:row>
    <x:row r="17">
      <x:c r="A17" s="81" t="str">
        <x:v>制约筛选</x:v>
      </x:c>
      <x:c r="B17" s="76" t="str">
        <x:v>官杀制比劫</x:v>
      </x:c>
      <x:c r="C17" s="76" t="str">
        <x:v>SYS04 官杀系统</x:v>
      </x:c>
      <x:c r="D17" s="76" t="str">
        <x:v>SYS01 比劫系统</x:v>
      </x:c>
      <x:c r="E17" s="76" t="str">
        <x:v>承诺、角色与责任为自主提供共同框架；若官杀过强，可能压缩协商空间。</x:v>
      </x:c>
      <x:c r="F17" s="76" t="str">
        <x:v>承诺、角色与责任为自主提供共同框架；若官杀过强，可能压缩协商空间。</x:v>
      </x:c>
      <x:c r="G17" s="82" t="str">
        <x:v>BF01 有制有化 / B10</x:v>
      </x:c>
    </x:row>
    <x:row r="18">
      <x:c r="A18" s="81" t="str">
        <x:v>制约筛选</x:v>
      </x:c>
      <x:c r="B18" s="76" t="str">
        <x:v>比劫制财</x:v>
      </x:c>
      <x:c r="C18" s="76" t="str">
        <x:v>SYS01 比劫系统</x:v>
      </x:c>
      <x:c r="D18" s="76" t="str">
        <x:v>SYS03 财星系统</x:v>
      </x:c>
      <x:c r="E18" s="76" t="str">
        <x:v>边界、分工和共同决定用于调节资源投入；若比劫不足，资源与付出边界可能模糊。</x:v>
      </x:c>
      <x:c r="F18" s="76" t="str">
        <x:v>边界、分工和共同决定用于调节资源投入；若比劫不足，资源与付出边界可能模糊。</x:v>
      </x:c>
      <x:c r="G18" s="82" t="str">
        <x:v>BF03 独立边界支持 / B07</x:v>
      </x:c>
    </x:row>
    <x:row r="19">
      <x:c r="A19" s="81" t="str">
        <x:v>制约筛选</x:v>
      </x:c>
      <x:c r="B19" s="76" t="str">
        <x:v>财制印</x:v>
      </x:c>
      <x:c r="C19" s="76" t="str">
        <x:v>SYS03 财星系统</x:v>
      </x:c>
      <x:c r="D19" s="76" t="str">
        <x:v>SYS05 印星系统</x:v>
      </x:c>
      <x:c r="E19" s="76" t="str">
        <x:v>现实行动和重复兑现用于检验理解与照顾；若财不足，理解可能替代改变。</x:v>
      </x:c>
      <x:c r="F19" s="76" t="str">
        <x:v>现实行动和重复兑现用于检验理解与照顾；若财不足，理解可能替代改变。</x:v>
      </x:c>
      <x:c r="G19" s="82" t="str">
        <x:v>BF06 现实兑现和重复行为 / B09</x:v>
      </x:c>
    </x:row>
    <x:row r="20">
      <x:c r="A20" s="81" t="str">
        <x:v>双通道竞争</x:v>
      </x:c>
      <x:c r="B20" s="76" t="str">
        <x:v>比劫—官杀竞争</x:v>
      </x:c>
      <x:c r="C20" s="76" t="str">
        <x:v>SYS01 比劫系统</x:v>
      </x:c>
      <x:c r="D20" s="76" t="str">
        <x:v>SYS04 官杀系统</x:v>
      </x:c>
      <x:c r="E20" s="76" t="str">
        <x:v>自主与共同决定权同规则、角色和推进同时争夺第一反应；若无食伤协商，可能出现K05。</x:v>
      </x:c>
      <x:c r="F20" s="76" t="str">
        <x:v>自主与共同决定权同规则、角色和推进同时争夺第一反应；若无食伤协商，可能出现K05。</x:v>
      </x:c>
      <x:c r="G20" s="82" t="str">
        <x:v>B08／B10</x:v>
      </x:c>
    </x:row>
    <x:row r="21">
      <x:c r="A21" s="81" t="str">
        <x:v>双通道竞争</x:v>
      </x:c>
      <x:c r="B21" s="76" t="str">
        <x:v>食伤—印星竞争</x:v>
      </x:c>
      <x:c r="C21" s="76" t="str">
        <x:v>SYS02 食伤系统</x:v>
      </x:c>
      <x:c r="D21" s="76" t="str">
        <x:v>SYS05 印星系统</x:v>
      </x:c>
      <x:c r="E21" s="76" t="str">
        <x:v>一边想立即表达，一边需要先内部整理；若缺少分工，可能在说与不说之间反复切换。</x:v>
      </x:c>
      <x:c r="F21" s="76" t="str">
        <x:v>一边想立即表达，一边需要先内部整理；若缺少分工，可能在说与不说之间反复切换。</x:v>
      </x:c>
      <x:c r="G21" s="82" t="str">
        <x:v>B05／B13／B15</x:v>
      </x:c>
    </x:row>
    <x:row r="22">
      <x:c r="A22" s="81" t="str">
        <x:v>双通道竞争</x:v>
      </x:c>
      <x:c r="B22" s="76" t="str">
        <x:v>财星—比劫竞争</x:v>
      </x:c>
      <x:c r="C22" s="76" t="str">
        <x:v>SYS03 财星系统</x:v>
      </x:c>
      <x:c r="D22" s="76" t="str">
        <x:v>SYS01 比劫系统</x:v>
      </x:c>
      <x:c r="E22" s="76" t="str">
        <x:v>投入共享与资源自主同时抢占优先级；若分工不清，可能出现付出、回馈和边界争议。</x:v>
      </x:c>
      <x:c r="F22" s="76" t="str">
        <x:v>投入共享与资源自主同时抢占优先级；若分工不清，可能出现付出、回馈和边界争议。</x:v>
      </x:c>
      <x:c r="G22" s="82" t="str">
        <x:v>B07／B10</x:v>
      </x:c>
    </x:row>
    <x:row r="23">
      <x:c r="A23" s="81" t="str">
        <x:v>双通道竞争</x:v>
      </x:c>
      <x:c r="B23" s="76" t="str">
        <x:v>官杀—食伤竞争</x:v>
      </x:c>
      <x:c r="C23" s="76" t="str">
        <x:v>SYS04 官杀系统</x:v>
      </x:c>
      <x:c r="D23" s="76" t="str">
        <x:v>SYS02 食伤系统</x:v>
      </x:c>
      <x:c r="E23" s="76" t="str">
        <x:v>一边强调行动、规则和结论，一边强调说明、反馈和协商；若无法排序，问题处理可能反复。</x:v>
      </x:c>
      <x:c r="F23" s="76" t="str">
        <x:v>一边强调行动、规则和结论，一边强调说明、反馈和协商；若无法排序，问题处理可能反复。</x:v>
      </x:c>
      <x:c r="G23" s="82" t="str">
        <x:v>B06／B08</x:v>
      </x:c>
    </x:row>
    <x:row r="24">
      <x:c r="A24" s="83" t="str">
        <x:v>双通道竞争</x:v>
      </x:c>
      <x:c r="B24" s="84" t="str">
        <x:v>印星—财星竞争</x:v>
      </x:c>
      <x:c r="C24" s="84" t="str">
        <x:v>SYS05 印星系统</x:v>
      </x:c>
      <x:c r="D24" s="84" t="str">
        <x:v>SYS03 财星系统</x:v>
      </x:c>
      <x:c r="E24" s="84" t="str">
        <x:v>一边重理解、承接与原因，一边重现实改变和投入；若不能分工，可能在包容与要求改变之间摆动。</x:v>
      </x:c>
      <x:c r="F24" s="84" t="str">
        <x:v>一边重理解、承接与原因，一边重现实改变和投入；若不能分工，可能在包容与要求改变之间摆动。</x:v>
      </x:c>
      <x:c r="G24" s="85" t="str">
        <x:v>B09／B14</x:v>
      </x:c>
    </x:row>
  </x:sheetData>
  <x:mergeCells>
    <x:mergeCell ref="A1:G1"/>
    <x:mergeCell ref="A2:G2"/>
  </x:mergeCells>
  <x:conditionalFormatting sqref="A5:G24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82b94746ce4c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4" hidden="0" customWidth="1"/>
    <x:col min="4" max="4" width="46" hidden="0" customWidth="1"/>
    <x:col min="5" max="5" width="22" hidden="0" customWidth="1"/>
    <x:col min="6" max="6" width="20" hidden="0" customWidth="1"/>
    <x:col min="7" max="7" width="42" hidden="0" customWidth="1"/>
    <x:col min="8" max="8" width="42" hidden="0" customWidth="1"/>
  </x:cols>
  <x:sheetData>
    <x:row r="1" ht="28" customHeight="1">
      <x:c r="A1" s="5" t="str">
        <x:v>透藏、根气、旺弱、喜忌、制化与位置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状态只修正可见度、重复性、调用强度、摩擦和置信度；不直接生成负面人格。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55" t="str">
        <x:v>规则ID</x:v>
      </x:c>
      <x:c r="B4" s="56" t="str">
        <x:v>状态/位置</x:v>
      </x:c>
      <x:c r="C4" s="56" t="str">
        <x:v>规则类型</x:v>
      </x:c>
      <x:c r="D4" s="56" t="str">
        <x:v>核心作用</x:v>
      </x:c>
      <x:c r="E4" s="56" t="str">
        <x:v>分值/路由</x:v>
      </x:c>
      <x:c r="F4" s="56" t="str">
        <x:v>输出字段</x:v>
      </x:c>
      <x:c r="G4" s="56" t="str">
        <x:v>用户解释</x:v>
      </x:c>
      <x:c r="H4" s="57" t="str">
        <x:v>禁止推断/门控</x:v>
      </x:c>
    </x:row>
    <x:row r="5">
      <x:c r="A5" s="78" t="str">
        <x:v>M4-BASE-141</x:v>
      </x:c>
      <x:c r="B5" s="79" t="str">
        <x:v>透干</x:v>
      </x:c>
      <x:c r="C5" s="79" t="str">
        <x:v>状态修正</x:v>
      </x:c>
      <x:c r="D5" s="79" t="str">
        <x:v>透干主要提高功能及失衡反应被本人和对方看见的概率，不直接提高问题严重度。</x:v>
      </x:c>
      <x:c r="E5" s="79" t="str">
        <x:v>可见度 +3；不增加证据独立数</x:v>
      </x:c>
      <x:c r="F5" s="79" t="str">
        <x:v>signal_visibility</x:v>
      </x:c>
      <x:c r="G5" s="79" t="str">
        <x:v>这项反应较容易被看见和说出来，但是否真正稳定重复，还要继续看根气和现实行为。</x:v>
      </x:c>
      <x:c r="H5" s="80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6">
      <x:c r="A6" s="81" t="str">
        <x:v>M4-BASE-142</x:v>
      </x:c>
      <x:c r="B6" s="76" t="str">
        <x:v>透干</x:v>
      </x:c>
      <x:c r="C6" s="76" t="str">
        <x:v>边界</x:v>
      </x:c>
      <x:c r="D6" s="76" t="str">
        <x:v>可见性、强度、重复性和关系后果是不同维度。</x:v>
      </x:c>
      <x:c r="E6" s="76" t="str">
        <x:v>不加分；语言门控</x:v>
      </x:c>
      <x:c r="F6" s="76" t="str">
        <x:v>boundary_note</x:v>
      </x:c>
      <x:c r="G6" s="76" t="str">
        <x:v>表现得明显，不等于问题一定更严重。</x:v>
      </x:c>
      <x:c r="H6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7">
      <x:c r="A7" s="81" t="str">
        <x:v>M4-BASE-143</x:v>
      </x:c>
      <x:c r="B7" s="76" t="str">
        <x:v>藏支</x:v>
      </x:c>
      <x:c r="C7" s="76" t="str">
        <x:v>状态修正</x:v>
      </x:c>
      <x:c r="D7" s="76" t="str">
        <x:v>藏支可使反应在熟悉、私人或压力情境中更容易显现，但不等于压抑或秘密。</x:v>
      </x:c>
      <x:c r="E7" s="76" t="str">
        <x:v>内隐候选 +2</x:v>
      </x:c>
      <x:c r="F7" s="76" t="str">
        <x:v>signal_visibility</x:v>
      </x:c>
      <x:c r="G7" s="76" t="str">
        <x:v>这项反应未必在关系初期就明显，可能在熟悉或压力增加后更容易被观察到。</x:v>
      </x:c>
      <x:c r="H7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8">
      <x:c r="A8" s="81" t="str">
        <x:v>M4-BASE-144</x:v>
      </x:c>
      <x:c r="B8" s="76" t="str">
        <x:v>藏支有根</x:v>
      </x:c>
      <x:c r="C8" s="76" t="str">
        <x:v>状态修正</x:v>
      </x:c>
      <x:c r="D8" s="76" t="str">
        <x:v>藏而有根主要提高跨情境重复和熟悉后显现的可能性。</x:v>
      </x:c>
      <x:c r="E8" s="76" t="str">
        <x:v>重复性 +4</x:v>
      </x:c>
      <x:c r="F8" s="76" t="str">
        <x:v>confidence</x:v>
      </x:c>
      <x:c r="G8" s="76" t="str">
        <x:v>它可能不是第一眼就能看见的反应，但在长期相处中更容易重复出现。</x:v>
      </x:c>
      <x:c r="H8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9">
      <x:c r="A9" s="81" t="str">
        <x:v>M4-BASE-145</x:v>
      </x:c>
      <x:c r="B9" s="76" t="str">
        <x:v>有根</x:v>
      </x:c>
      <x:c r="C9" s="76" t="str">
        <x:v>状态修正</x:v>
      </x:c>
      <x:c r="D9" s="76" t="str">
        <x:v>有根提高通道可重复调用的可能性，但不能单独生成盲点。</x:v>
      </x:c>
      <x:c r="E9" s="76" t="str">
        <x:v>重复性 +4；不增加独立证据数</x:v>
      </x:c>
      <x:c r="F9" s="76" t="str">
        <x:v>confidence</x:v>
      </x:c>
      <x:c r="G9" s="76" t="str">
        <x:v>这项方式较可能成为反复调用的习惯，但是否失衡仍需看强弱、调节和触发。</x:v>
      </x:c>
      <x:c r="H9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0">
      <x:c r="A10" s="81" t="str">
        <x:v>M4-BASE-146</x:v>
      </x:c>
      <x:c r="B10" s="76" t="str">
        <x:v>无根</x:v>
      </x:c>
      <x:c r="C10" s="76" t="str">
        <x:v>状态修正</x:v>
      </x:c>
      <x:c r="D10" s="76" t="str">
        <x:v>无根不等于没有，只说明结构稳定性和跨情境重复证据不足。</x:v>
      </x:c>
      <x:c r="E10" s="76" t="str">
        <x:v>置信度 −4／封顶中低</x:v>
      </x:c>
      <x:c r="F10" s="76" t="str">
        <x:v>confidence</x:v>
      </x:c>
      <x:c r="G10" s="76" t="str">
        <x:v>这项反应可能出现，但暂时不宜把它写成稳定、长期的关系盲点。</x:v>
      </x:c>
      <x:c r="H10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1">
      <x:c r="A11" s="81" t="str">
        <x:v>M4-BASE-147</x:v>
      </x:c>
      <x:c r="B11" s="76" t="str">
        <x:v>旺而平衡</x:v>
      </x:c>
      <x:c r="C11" s="76" t="str">
        <x:v>状态修正</x:v>
      </x:c>
      <x:c r="D11" s="76" t="str">
        <x:v>强功能在平衡状态下可能只是熟练资源，不应因旺而被负面化。</x:v>
      </x:c>
      <x:c r="E11" s="76" t="str">
        <x:v>K01候选不成立或−6</x:v>
      </x:c>
      <x:c r="F11" s="76" t="str">
        <x:v>buffer_factor</x:v>
      </x:c>
      <x:c r="G11" s="76" t="str">
        <x:v>你可能很常使用这项方式，但只要调节和分工完整，它本身不构成关系问题。</x:v>
      </x:c>
      <x:c r="H11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2">
      <x:c r="A12" s="81" t="str">
        <x:v>M4-BASE-148</x:v>
      </x:c>
      <x:c r="B12" s="76" t="str">
        <x:v>过旺失衡</x:v>
      </x:c>
      <x:c r="C12" s="76" t="str">
        <x:v>状态修正</x:v>
      </x:c>
      <x:c r="D12" s="76" t="str">
        <x:v>过旺失衡提高K01抢先启动和占用其他通道的候选权重。</x:v>
      </x:c>
      <x:c r="E12" s="76" t="str">
        <x:v>K01 +8</x:v>
      </x:c>
      <x:c r="F12" s="76" t="str">
        <x:v>imbalance_mechanism</x:v>
      </x:c>
      <x:c r="G12" s="76" t="str">
        <x:v>压力增加时，这项熟练方式可能更容易先占据处理位置，让其他步骤进入得较晚。</x:v>
      </x:c>
      <x:c r="H12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3">
      <x:c r="A13" s="81" t="str">
        <x:v>M4-BASE-149</x:v>
      </x:c>
      <x:c r="B13" s="76" t="str">
        <x:v>偏弱有助</x:v>
      </x:c>
      <x:c r="C13" s="76" t="str">
        <x:v>状态修正</x:v>
      </x:c>
      <x:c r="D13" s="76" t="str">
        <x:v>弱而有助说明功能可在条件合适时被调用，不能机械判K02。</x:v>
      </x:c>
      <x:c r="E13" s="76" t="str">
        <x:v>取消K02或−4</x:v>
      </x:c>
      <x:c r="F13" s="76" t="str">
        <x:v>buffer_factor</x:v>
      </x:c>
      <x:c r="G13" s="76" t="str">
        <x:v>这项功能未必一直外显，但在合适条件下仍可以进入，不宜直接判断缺失。</x:v>
      </x:c>
      <x:c r="H13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4">
      <x:c r="A14" s="81" t="str">
        <x:v>M4-BASE-150</x:v>
      </x:c>
      <x:c r="B14" s="76" t="str">
        <x:v>偏弱无助</x:v>
      </x:c>
      <x:c r="C14" s="76" t="str">
        <x:v>状态修正</x:v>
      </x:c>
      <x:c r="D14" s="76" t="str">
        <x:v>只有在路径必要且无替代时，弱而无助才可形成K02。</x:v>
      </x:c>
      <x:c r="E14" s="76" t="str">
        <x:v>K02 +8</x:v>
      </x:c>
      <x:c r="F14" s="76" t="str">
        <x:v>missing_function</x:v>
      </x:c>
      <x:c r="G14" s="76" t="str">
        <x:v>若这一功能正是关系过程不可缺少的一步，而命局和现实中都缺少稳定出口，它才会成为不足候选。</x:v>
      </x:c>
      <x:c r="H14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5">
      <x:c r="A15" s="81" t="str">
        <x:v>M4-BASE-151</x:v>
      </x:c>
      <x:c r="B15" s="76" t="str">
        <x:v>为喜且平衡</x:v>
      </x:c>
      <x:c r="C15" s="76" t="str">
        <x:v>状态修正</x:v>
      </x:c>
      <x:c r="D15" s="76" t="str">
        <x:v>为喜且平衡通常提高调用顺畅度，可作为保护因素，但不代表不会在压力下过用。</x:v>
      </x:c>
      <x:c r="E15" s="76" t="str">
        <x:v>buffer −4</x:v>
      </x:c>
      <x:c r="F15" s="76" t="str">
        <x:v>buffer_factor</x:v>
      </x:c>
      <x:c r="G15" s="76" t="str">
        <x:v>这项方式通常更容易被自然、顺畅地使用，但仍需要结合压力状态判断是否会抢先。</x:v>
      </x:c>
      <x:c r="H15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6">
      <x:c r="A16" s="81" t="str">
        <x:v>M4-BASE-152</x:v>
      </x:c>
      <x:c r="B16" s="76" t="str">
        <x:v>为忌且过旺</x:v>
      </x:c>
      <x:c r="C16" s="76" t="str">
        <x:v>状态修正</x:v>
      </x:c>
      <x:c r="D16" s="76" t="str">
        <x:v>为忌且过旺只提高调用摩擦和失衡候选，不能转译为负面人格。</x:v>
      </x:c>
      <x:c r="E16" s="76" t="str">
        <x:v>候选 +4；不得单独成立</x:v>
      </x:c>
      <x:c r="F16" s="76" t="str">
        <x:v>confidence</x:v>
      </x:c>
      <x:c r="G16" s="76" t="str">
        <x:v>这项方式在关系中可能更容易带来摩擦或占用过多注意，但不能据此把你贴成某种负面性格。</x:v>
      </x:c>
      <x:c r="H16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7">
      <x:c r="A17" s="81" t="str">
        <x:v>M4-BASE-153</x:v>
      </x:c>
      <x:c r="B17" s="76" t="str">
        <x:v>喜忌未定</x:v>
      </x:c>
      <x:c r="C17" s="76" t="str">
        <x:v>停止</x:v>
      </x:c>
      <x:c r="D17" s="76" t="str">
        <x:v>M4不得用喜忌未定的信号生成过用、不足或人格结论。</x:v>
      </x:c>
      <x:c r="E17" s="76" t="str">
        <x:v>STOP喜忌加权</x:v>
      </x:c>
      <x:c r="F17" s="76" t="str">
        <x:v>stop_reason</x:v>
      </x:c>
      <x:c r="G17" s="76" t="str">
        <x:v>当前喜忌还不够清楚，因此不会用它来强化或削弱关系盲点判断。</x:v>
      </x:c>
      <x:c r="H17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8">
      <x:c r="A18" s="81" t="str">
        <x:v>M4-BASE-154</x:v>
      </x:c>
      <x:c r="B18" s="76" t="str">
        <x:v>有制有化</x:v>
      </x:c>
      <x:c r="C18" s="76" t="str">
        <x:v>调节候选</x:v>
      </x:c>
      <x:c r="D18" s="76" t="str">
        <x:v>有效制化可限制过用、补足不足或改变调用顺序。</x:v>
      </x:c>
      <x:c r="E18" s="76" t="str">
        <x:v>buffer −6至−10</x:v>
      </x:c>
      <x:c r="F18" s="76" t="str">
        <x:v>buffer_factor</x:v>
      </x:c>
      <x:c r="G18" s="76" t="str">
        <x:v>命局中存在能调节这项反应的功能，因此即使候选存在，也不宜把它写成固定问题。</x:v>
      </x:c>
      <x:c r="H18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19">
      <x:c r="A19" s="81" t="str">
        <x:v>M4-BASE-155</x:v>
      </x:c>
      <x:c r="B19" s="76" t="str">
        <x:v>制化弱远</x:v>
      </x:c>
      <x:c r="C19" s="76" t="str">
        <x:v>状态修正</x:v>
      </x:c>
      <x:c r="D19" s="76" t="str">
        <x:v>名义制化不等于实际调节，不能为了完整自动扣分。</x:v>
      </x:c>
      <x:c r="E19" s="76" t="str">
        <x:v>不扣分；置信度−2</x:v>
      </x:c>
      <x:c r="F19" s="76" t="str">
        <x:v>buffer_factor</x:v>
      </x:c>
      <x:c r="G19" s="76" t="str">
        <x:v>虽然结构上看得到调节信号，但它是否真正能进入关系行为仍需验证。</x:v>
      </x:c>
      <x:c r="H19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0">
      <x:c r="A20" s="81" t="str">
        <x:v>M4-BASE-156</x:v>
      </x:c>
      <x:c r="B20" s="76" t="str">
        <x:v>通关有效</x:v>
      </x:c>
      <x:c r="C20" s="76" t="str">
        <x:v>调节候选</x:v>
      </x:c>
      <x:c r="D20" s="76" t="str">
        <x:v>有效通关优先中断K03、K04、K06候选。</x:v>
      </x:c>
      <x:c r="E20" s="76" t="str">
        <x:v>buffer −6至−10</x:v>
      </x:c>
      <x:c r="F20" s="76" t="str">
        <x:v>buffer_factor</x:v>
      </x:c>
      <x:c r="G20" s="76" t="str">
        <x:v>若这条转换能真实运行，原本容易卡住的步骤可以被另一功能接上，盲点候选会明显减弱。</x:v>
      </x:c>
      <x:c r="H20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1">
      <x:c r="A21" s="81" t="str">
        <x:v>M4-BASE-157</x:v>
      </x:c>
      <x:c r="B21" s="76" t="str">
        <x:v>通关受阻</x:v>
      </x:c>
      <x:c r="C21" s="76" t="str">
        <x:v>失衡候选</x:v>
      </x:c>
      <x:c r="D21" s="76" t="str">
        <x:v>转换卡点形成K06候选，并可路由后续OVERUSE／TRIGGER。</x:v>
      </x:c>
      <x:c r="E21" s="76" t="str">
        <x:v>K06 +6</x:v>
      </x:c>
      <x:c r="F21" s="76" t="str">
        <x:v>missing_function</x:v>
      </x:c>
      <x:c r="G21" s="76" t="str">
        <x:v>你可能不是缺少前一步，而是前一步难以顺利转成下一步。</x:v>
      </x:c>
      <x:c r="H21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2">
      <x:c r="A22" s="81" t="str">
        <x:v>M4-BASE-158</x:v>
      </x:c>
      <x:c r="B22" s="76" t="str">
        <x:v>真合化成立</x:v>
      </x:c>
      <x:c r="C22" s="76" t="str">
        <x:v>替换路由</x:v>
      </x:c>
      <x:c r="D22" s="76" t="str">
        <x:v>原十神功能与失衡基础分清零，按化神所属系统重新判断。</x:v>
      </x:c>
      <x:c r="E22" s="76" t="str">
        <x:v>原通道清零；转化神重建</x:v>
      </x:c>
      <x:c r="F22" s="76" t="str">
        <x:v>transformation_status</x:v>
      </x:c>
      <x:c r="G22" s="76" t="str">
        <x:v>若真合化成立，原来的十神解释不再继续叠加，而要按照转化后的功能系统重新分析。</x:v>
      </x:c>
      <x:c r="H22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3">
      <x:c r="A23" s="81" t="str">
        <x:v>M4-BASE-159</x:v>
      </x:c>
      <x:c r="B23" s="76" t="str">
        <x:v>真合化争议</x:v>
      </x:c>
      <x:c r="C23" s="76" t="str">
        <x:v>停止</x:v>
      </x:c>
      <x:c r="D23" s="76" t="str">
        <x:v>在合化争议解决前，原十神盲点与化神盲点均不得满分输出。</x:v>
      </x:c>
      <x:c r="E23" s="76" t="str">
        <x:v>STOP原通道；封顶低</x:v>
      </x:c>
      <x:c r="F23" s="76" t="str">
        <x:v>stop_reason</x:v>
      </x:c>
      <x:c r="G23" s="76" t="str">
        <x:v>当前合化状态还不够明确，因此暂不固定这一功能的盲点方向。</x:v>
      </x:c>
      <x:c r="H23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4">
      <x:c r="A24" s="81" t="str">
        <x:v>M4-BASE-160</x:v>
      </x:c>
      <x:c r="B24" s="76" t="str">
        <x:v>合而不化</x:v>
      </x:c>
      <x:c r="C24" s="76" t="str">
        <x:v>状态修正</x:v>
      </x:c>
      <x:c r="D24" s="76" t="str">
        <x:v>保留原十神功能，只把合作为议题牵连和整合节奏修正。</x:v>
      </x:c>
      <x:c r="E24" s="76" t="str">
        <x:v>原功能保留；动态修正</x:v>
      </x:c>
      <x:c r="F24" s="76" t="str">
        <x:v>transformation_status</x:v>
      </x:c>
      <x:c r="G24" s="76" t="str">
        <x:v>原来的关系功能仍然保留，只是相关议题更容易相互牵连，需要分开说明。</x:v>
      </x:c>
      <x:c r="H24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5">
      <x:c r="A25" s="81" t="str">
        <x:v>M4-BASE-161</x:v>
      </x:c>
      <x:c r="B25" s="76" t="str">
        <x:v>日柱／日支近位</x:v>
      </x:c>
      <x:c r="C25" s="76" t="str">
        <x:v>位置修正</x:v>
      </x:c>
      <x:c r="D25" s="76" t="str">
        <x:v>近位提高关系场景相关性，不自动提高负面程度。</x:v>
      </x:c>
      <x:c r="E25" s="76" t="str">
        <x:v>相关性 +3；同源不重复</x:v>
      </x:c>
      <x:c r="F25" s="76" t="str">
        <x:v>distance_level</x:v>
      </x:c>
      <x:c r="G25" s="76" t="str">
        <x:v>这项方式更容易进入亲密关系场景，但仍需看是否失衡和是否有调节。</x:v>
      </x:c>
      <x:c r="H25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6">
      <x:c r="A26" s="81" t="str">
        <x:v>M4-BASE-162</x:v>
      </x:c>
      <x:c r="B26" s="76" t="str">
        <x:v>年柱／时柱远位</x:v>
      </x:c>
      <x:c r="C26" s="76" t="str">
        <x:v>位置修正</x:v>
      </x:c>
      <x:c r="D26" s="76" t="str">
        <x:v>远位可作为背景或阶段候选，不宜单独成为主盲点。</x:v>
      </x:c>
      <x:c r="E26" s="76" t="str">
        <x:v>分数−3；封顶中低</x:v>
      </x:c>
      <x:c r="F26" s="76" t="str">
        <x:v>confidence</x:v>
      </x:c>
      <x:c r="G26" s="76" t="str">
        <x:v>这项特征可能影响关系，但暂时更适合作为背景，不宜写成核心盲点。</x:v>
      </x:c>
      <x:c r="H26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7">
      <x:c r="A27" s="81" t="str">
        <x:v>M4-BASE-163</x:v>
      </x:c>
      <x:c r="B27" s="76" t="str">
        <x:v>日支主气＋日干日支生克</x:v>
      </x:c>
      <x:c r="C27" s="76" t="str">
        <x:v>去重</x:v>
      </x:c>
      <x:c r="D27" s="76" t="str">
        <x:v>三种解释共享source_id，只计一次基础权重。</x:v>
      </x:c>
      <x:c r="E27" s="76" t="str">
        <x:v>同源只计一次</x:v>
      </x:c>
      <x:c r="F27" s="76" t="str">
        <x:v>dedup_log</x:v>
      </x:c>
      <x:c r="G27" s="76" t="str">
        <x:v>同一个日支事实不会因为换了三种说法就被放大。</x:v>
      </x:c>
      <x:c r="H27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8">
      <x:c r="A28" s="81" t="str">
        <x:v>M4-BASE-164</x:v>
      </x:c>
      <x:c r="B28" s="76" t="str">
        <x:v>同根多透</x:v>
      </x:c>
      <x:c r="C28" s="76" t="str">
        <x:v>去重</x:v>
      </x:c>
      <x:c r="D28" s="76" t="str">
        <x:v>多次可见可提高显著度，但不能虚增证据独立性。</x:v>
      </x:c>
      <x:c r="E28" s="76" t="str">
        <x:v>显著度+2；独立证据不变</x:v>
      </x:c>
      <x:c r="F28" s="76" t="str">
        <x:v>dedup_log</x:v>
      </x:c>
      <x:c r="G28" s="76" t="str">
        <x:v>这项反应可能更显眼，但仍然只算一个基础来源。</x:v>
      </x:c>
      <x:c r="H28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29">
      <x:c r="A29" s="81" t="str">
        <x:v>M4-BASE-165</x:v>
      </x:c>
      <x:c r="B29" s="76" t="str">
        <x:v>同系统多根</x:v>
      </x:c>
      <x:c r="C29" s="76" t="str">
        <x:v>去重</x:v>
      </x:c>
      <x:c r="D29" s="76" t="str">
        <x:v>多根主要提高跨情境重复性，不自动增加多个盲点。</x:v>
      </x:c>
      <x:c r="E29" s="76" t="str">
        <x:v>重复性+3；证据数不变</x:v>
      </x:c>
      <x:c r="F29" s="76" t="str">
        <x:v>confidence</x:v>
      </x:c>
      <x:c r="G29" s="76" t="str">
        <x:v>这项方式可能更稳定地重复，但不代表同时存在多个不同问题。</x:v>
      </x:c>
      <x:c r="H29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0">
      <x:c r="A30" s="81" t="str">
        <x:v>M4-BASE-166</x:v>
      </x:c>
      <x:c r="B30" s="76" t="str">
        <x:v>独立source_id</x:v>
      </x:c>
      <x:c r="C30" s="76" t="str">
        <x:v>证据修正</x:v>
      </x:c>
      <x:c r="D30" s="76" t="str">
        <x:v>独立来源可支持E1/E2，但必须说明它支持的是功能、失衡还是触发。</x:v>
      </x:c>
      <x:c r="E30" s="76" t="str">
        <x:v>独立证据 +8</x:v>
      </x:c>
      <x:c r="F30" s="76" t="str">
        <x:v>evidence_level</x:v>
      </x:c>
      <x:c r="G30" s="76" t="str">
        <x:v>不同来源的信息若指向同一个机制，候选才会更可靠。</x:v>
      </x:c>
      <x:c r="H30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1">
      <x:c r="A31" s="81" t="str">
        <x:v>M4-BASE-167</x:v>
      </x:c>
      <x:c r="B31" s="76" t="str">
        <x:v>M3主通道</x:v>
      </x:c>
      <x:c r="C31" s="76" t="str">
        <x:v>跨模块修正</x:v>
      </x:c>
      <x:c r="D31" s="76" t="str">
        <x:v>M3主通道可作为M4功能来源权威，但不得重复计算底层source_id。</x:v>
      </x:c>
      <x:c r="E31" s="76" t="str">
        <x:v>functional_origin +4（同源不叠加）</x:v>
      </x:c>
      <x:c r="F31" s="76" t="str">
        <x:v>functional_origin</x:v>
      </x:c>
      <x:c r="G31" s="76" t="str">
        <x:v>如果这项方式在M3中已经是稳定主通道，M4会更有把握判断它在压力下可能怎样失衡。</x:v>
      </x:c>
      <x:c r="H31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2">
      <x:c r="A32" s="81" t="str">
        <x:v>M4-BASE-168</x:v>
      </x:c>
      <x:c r="B32" s="76" t="str">
        <x:v>M3次通道</x:v>
      </x:c>
      <x:c r="C32" s="76" t="str">
        <x:v>跨模块修正</x:v>
      </x:c>
      <x:c r="D32" s="76" t="str">
        <x:v>仅有M3次通道时，M4对应失衡最多保留中低候选。</x:v>
      </x:c>
      <x:c r="E32" s="76" t="str">
        <x:v>封顶中低</x:v>
      </x:c>
      <x:c r="F32" s="76" t="str">
        <x:v>confidence</x:v>
      </x:c>
      <x:c r="G32" s="76" t="str">
        <x:v>这项方式可能参与关系过程，但目前不足以单独成为核心盲点。</x:v>
      </x:c>
      <x:c r="H32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3">
      <x:c r="A33" s="81" t="str">
        <x:v>M4-BASE-169</x:v>
      </x:c>
      <x:c r="B33" s="76" t="str">
        <x:v>M3 STOP</x:v>
      </x:c>
      <x:c r="C33" s="76" t="str">
        <x:v>停止</x:v>
      </x:c>
      <x:c r="D33" s="76" t="str">
        <x:v>M4不得绕过M3停止状态自行制造失衡结论。</x:v>
      </x:c>
      <x:c r="E33" s="76" t="str">
        <x:v>STOP对应路由</x:v>
      </x:c>
      <x:c r="F33" s="76" t="str">
        <x:v>stop_reason</x:v>
      </x:c>
      <x:c r="G33" s="76" t="str">
        <x:v>由于前一步的相处功能还无法可靠确定，这一盲点方向暂不固定。</x:v>
      </x:c>
      <x:c r="H33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4">
      <x:c r="A34" s="81" t="str">
        <x:v>M4-BASE-170</x:v>
      </x:c>
      <x:c r="B34" s="76" t="str">
        <x:v>日主承载</x:v>
      </x:c>
      <x:c r="C34" s="76" t="str">
        <x:v>状态修正</x:v>
      </x:c>
      <x:c r="D34" s="76" t="str">
        <x:v>日主承载修正功能能否稳定执行，不等同强势、软弱、独立或依赖。</x:v>
      </x:c>
      <x:c r="E34" s="76" t="str">
        <x:v>执行置信修正±2</x:v>
      </x:c>
      <x:c r="F34" s="76" t="str">
        <x:v>self_strength_status</x:v>
      </x:c>
      <x:c r="G34" s="76" t="str">
        <x:v>你的承载状态会影响某项反应能否持续执行，但不会被直接翻译成有无主见或人格好坏。</x:v>
      </x:c>
      <x:c r="H34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5">
      <x:c r="A35" s="81" t="str">
        <x:v>M4-BASE-171</x:v>
      </x:c>
      <x:c r="B35" s="76" t="str">
        <x:v>夫妻星状态</x:v>
      </x:c>
      <x:c r="C35" s="76" t="str">
        <x:v>跨模型修正</x:v>
      </x:c>
      <x:c r="D35" s="76" t="str">
        <x:v>夫妻星可提高特定关系议题相关性，但不能单独证明误判或失衡。</x:v>
      </x:c>
      <x:c r="E35" s="76" t="str">
        <x:v>相关性+2；不得单独成立</x:v>
      </x:c>
      <x:c r="F35" s="76" t="str">
        <x:v>spouse_star_status</x:v>
      </x:c>
      <x:c r="G35" s="76" t="str">
        <x:v>夫妻星只说明某类伴侣证据和关系任务更重要，不会单独变成关系盲点。</x:v>
      </x:c>
      <x:c r="H35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6">
      <x:c r="A36" s="81" t="str">
        <x:v>M4-BASE-172</x:v>
      </x:c>
      <x:c r="B36" s="76" t="str">
        <x:v>日支主气</x:v>
      </x:c>
      <x:c r="C36" s="76" t="str">
        <x:v>位置修正</x:v>
      </x:c>
      <x:c r="D36" s="76" t="str">
        <x:v>日支主气是亲密关系功能来源的高权重证据，但盲点仍需失衡与独立修正。</x:v>
      </x:c>
      <x:c r="E36" s="76" t="str">
        <x:v>functional_origin +12</x:v>
      </x:c>
      <x:c r="F36" s="76" t="str">
        <x:v>functional_origin</x:v>
      </x:c>
      <x:c r="G36" s="76" t="str">
        <x:v>日支主气更容易进入长期亲密关系，但不能仅凭它判断问题。</x:v>
      </x:c>
      <x:c r="H36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7">
      <x:c r="A37" s="81" t="str">
        <x:v>M4-BASE-173</x:v>
      </x:c>
      <x:c r="B37" s="76" t="str">
        <x:v>日支中气</x:v>
      </x:c>
      <x:c r="C37" s="76" t="str">
        <x:v>位置修正</x:v>
      </x:c>
      <x:c r="D37" s="76" t="str">
        <x:v>中气可提供第二功能或调节候选，不能自动与主气并列。</x:v>
      </x:c>
      <x:c r="E37" s="76" t="str">
        <x:v>候选 +6；独立时可升级</x:v>
      </x:c>
      <x:c r="F37" s="76" t="str">
        <x:v>secondary_signal</x:v>
      </x:c>
      <x:c r="G37" s="76" t="str">
        <x:v>日支中气可能是第二处理通道或调节条件，需要看它是否真正有力。</x:v>
      </x:c>
      <x:c r="H37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8">
      <x:c r="A38" s="81" t="str">
        <x:v>M4-BASE-174</x:v>
      </x:c>
      <x:c r="B38" s="76" t="str">
        <x:v>日支余气</x:v>
      </x:c>
      <x:c r="C38" s="76" t="str">
        <x:v>位置修正</x:v>
      </x:c>
      <x:c r="D38" s="76" t="str">
        <x:v>余气通常只做背景、潜在或特定压力下的备用通道。</x:v>
      </x:c>
      <x:c r="E38" s="76" t="str">
        <x:v>候选 +3；封顶低</x:v>
      </x:c>
      <x:c r="F38" s="76" t="str">
        <x:v>secondary_signal</x:v>
      </x:c>
      <x:c r="G38" s="76" t="str">
        <x:v>这项信号更适合作为背景，不宜单独写成核心盲点。</x:v>
      </x:c>
      <x:c r="H38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39">
      <x:c r="A39" s="81" t="str">
        <x:v>M4-BASE-175</x:v>
      </x:c>
      <x:c r="B39" s="76" t="str">
        <x:v>大运流年引动</x:v>
      </x:c>
      <x:c r="C39" s="76" t="str">
        <x:v>阶段修正</x:v>
      </x:c>
      <x:c r="D39" s="76" t="str">
        <x:v>阶段覆盖可以提高某一候选的启动概率，但不改变原局功能来源。</x:v>
      </x:c>
      <x:c r="E39" s="76" t="str">
        <x:v>trigger +3；另记时间来源</x:v>
      </x:c>
      <x:c r="F39" s="76" t="str">
        <x:v>activation_trigger</x:v>
      </x:c>
      <x:c r="G39" s="76" t="str">
        <x:v>某个阶段可能让这项反应更容易被启动，但不代表你长期一直如此。</x:v>
      </x:c>
      <x:c r="H39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40">
      <x:c r="A40" s="81" t="str">
        <x:v>M4-BASE-176</x:v>
      </x:c>
      <x:c r="B40" s="76" t="str">
        <x:v>原局＋阶段同向</x:v>
      </x:c>
      <x:c r="C40" s="76" t="str">
        <x:v>阶段修正</x:v>
      </x:c>
      <x:c r="D40" s="76" t="str">
        <x:v>同向阶段可提高E2启动候选，但不能直接升级E3循环。</x:v>
      </x:c>
      <x:c r="E40" s="76" t="str">
        <x:v>E2候选 +3</x:v>
      </x:c>
      <x:c r="F40" s="76" t="str">
        <x:v>activation_trigger</x:v>
      </x:c>
      <x:c r="G40" s="76" t="str">
        <x:v>当阶段性压力与原有结构同向时，这种反应更容易暂时被放大。</x:v>
      </x:c>
      <x:c r="H40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41">
      <x:c r="A41" s="81" t="str">
        <x:v>M4-BASE-177</x:v>
      </x:c>
      <x:c r="B41" s="76" t="str">
        <x:v>现实行为</x:v>
      </x:c>
      <x:c r="C41" s="76" t="str">
        <x:v>案例修正</x:v>
      </x:c>
      <x:c r="D41" s="76" t="str">
        <x:v>现实行为可提高E1/E2置信，但BASE仍不独立建立完整循环。</x:v>
      </x:c>
      <x:c r="E41" s="76" t="str">
        <x:v>证据 +6</x:v>
      </x:c>
      <x:c r="F41" s="76" t="str">
        <x:v>evidence_level</x:v>
      </x:c>
      <x:c r="G41" s="76" t="str">
        <x:v>若具体经历显示这一顺序确实发生过，候选会更可靠。</x:v>
      </x:c>
      <x:c r="H41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42">
      <x:c r="A42" s="81" t="str">
        <x:v>M4-BASE-178</x:v>
      </x:c>
      <x:c r="B42" s="76" t="str">
        <x:v>明确反例</x:v>
      </x:c>
      <x:c r="C42" s="76" t="str">
        <x:v>案例修正</x:v>
      </x:c>
      <x:c r="D42" s="76" t="str">
        <x:v>反例必须真实扣分，不能为了保留模型忽略。</x:v>
      </x:c>
      <x:c r="E42" s="76" t="str">
        <x:v>−10或STOP</x:v>
      </x:c>
      <x:c r="F42" s="76" t="str">
        <x:v>evidence_level</x:v>
      </x:c>
      <x:c r="G42" s="76" t="str">
        <x:v>若现实经历持续显示你能完成相反的调节步骤，这一候选应明显降级或停止。</x:v>
      </x:c>
      <x:c r="H42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43">
      <x:c r="A43" s="81" t="str">
        <x:v>M4-BASE-179</x:v>
      </x:c>
      <x:c r="B43" s="76" t="str">
        <x:v>对方反馈缺失</x:v>
      </x:c>
      <x:c r="C43" s="76" t="str">
        <x:v>边界</x:v>
      </x:c>
      <x:c r="D43" s="76" t="str">
        <x:v>BASE最多输出E1/E2，不得假设对方一定防御、撤退、控制或反弹。</x:v>
      </x:c>
      <x:c r="E43" s="76" t="str">
        <x:v>封顶E2</x:v>
      </x:c>
      <x:c r="F43" s="76" t="str">
        <x:v>evidence_level</x:v>
      </x:c>
      <x:c r="G43" s="76" t="str">
        <x:v>目前只能说明你的可能起点，不能替对方写出固定反应。</x:v>
      </x:c>
      <x:c r="H43" s="82" t="str">
        <x:v>不得仅凭本规则推出自私、冷漠、控制、花心、暴力、人格或依恋问题、分手离婚、背叛或关系失败；本模块只生成结构／触发候选，现实模式需具体事件验证。</x:v>
      </x:c>
    </x:row>
    <x:row r="44">
      <x:c r="A44" s="83" t="str">
        <x:v>M4-BASE-180</x:v>
      </x:c>
      <x:c r="B44" s="84" t="str">
        <x:v>source_id日志</x:v>
      </x:c>
      <x:c r="C44" s="84" t="str">
        <x:v>去重</x:v>
      </x:c>
      <x:c r="D44" s="84" t="str">
        <x:v>所有来源必须写入notes／dedup_log，便于开发和案例追溯。</x:v>
      </x:c>
      <x:c r="E44" s="84" t="str">
        <x:v>强制记录</x:v>
      </x:c>
      <x:c r="F44" s="84" t="str">
        <x:v>dedup_log</x:v>
      </x:c>
      <x:c r="G44" s="84" t="str">
        <x:v>每个判断都应能追溯到具体命理事实或现实事件，避免同一信号被重复解释。</x:v>
      </x:c>
      <x:c r="H44" s="85" t="str">
        <x:v>不得仅凭本规则推出自私、冷漠、控制、花心、暴力、人格或依恋问题、分手离婚、背叛或关系失败；本模块只生成结构／触发候选，现实模式需具体事件验证。</x:v>
      </x:c>
    </x:row>
  </x:sheetData>
  <x:mergeCells>
    <x:mergeCell ref="A1:H1"/>
    <x:mergeCell ref="A2:H2"/>
  </x:mergeCells>
  <x:conditionalFormatting sqref="A5:H44">
    <x:cfRule type="expression" dxfId="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3afc25a77147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2" hidden="0" customWidth="1"/>
    <x:col min="4" max="4" width="44" hidden="0" customWidth="1"/>
    <x:col min="5" max="5" width="28" hidden="0" customWidth="1"/>
    <x:col min="6" max="6" width="42" hidden="0" customWidth="1"/>
  </x:cols>
  <x:sheetData>
    <x:row r="1" ht="28" customHeight="1">
      <x:c r="A1" s="5" t="str">
        <x:v>日支主气、中气、余气与合冲刑害破</x:v>
      </x:c>
      <x:c r="B1" s="5"/>
      <x:c r="C1" s="5"/>
      <x:c r="D1" s="5"/>
      <x:c r="E1" s="5"/>
      <x:c r="F1" s="5"/>
    </x:row>
    <x:row r="2" ht="32" customHeight="1">
      <x:c r="A2" s="13" t="str">
        <x:v>主气定功能主轴；中气为第二通道候选；余气为背景。宫位动态只修正节奏。</x:v>
      </x:c>
      <x:c r="B2" s="13"/>
      <x:c r="C2" s="13"/>
      <x:c r="D2" s="13"/>
      <x:c r="E2" s="13"/>
      <x:c r="F2" s="13"/>
    </x:row>
    <x:row r="4" ht="28" customHeight="1">
      <x:c r="A4" s="55" t="str">
        <x:v>类别</x:v>
      </x:c>
      <x:c r="B4" s="56" t="str">
        <x:v>信号</x:v>
      </x:c>
      <x:c r="C4" s="56" t="str">
        <x:v>核心作用</x:v>
      </x:c>
      <x:c r="D4" s="56" t="str">
        <x:v>成立条件/修正</x:v>
      </x:c>
      <x:c r="E4" s="56" t="str">
        <x:v>分值/边界</x:v>
      </x:c>
      <x:c r="F4" s="57" t="str">
        <x:v>用户速查</x:v>
      </x:c>
    </x:row>
    <x:row r="5">
      <x:c r="A5" s="78" t="str">
        <x:v>日支层级</x:v>
      </x:c>
      <x:c r="B5" s="79" t="str">
        <x:v>日支主气</x:v>
      </x:c>
      <x:c r="C5" s="79" t="str">
        <x:v>日支主气优先定义亲密关系中的正常功能来源，不直接定义盲点。</x:v>
      </x:c>
      <x:c r="D5" s="79" t="str">
        <x:v>日支主气十神可靠、原性质有效、M3-BASE对应底盘成立。</x:v>
      </x:c>
      <x:c r="E5" s="79" t="str">
        <x:v>functional_origin +12</x:v>
      </x:c>
      <x:c r="F5" s="80" t="str">
        <x:v>日支主气说明你在关系中最自然使用哪一种功能，但盲点必须再看它是否失衡。</x:v>
      </x:c>
    </x:row>
    <x:row r="6">
      <x:c r="A6" s="81" t="str">
        <x:v>日支层级</x:v>
      </x:c>
      <x:c r="B6" s="76" t="str">
        <x:v>日支主气</x:v>
      </x:c>
      <x:c r="C6" s="76" t="str">
        <x:v>日支主气只是关系底盘，不等于核心问题。</x:v>
      </x:c>
      <x:c r="D6" s="76" t="str">
        <x:v>只有日支主气事实，没有强弱失衡、通道不足或独立修正。</x:v>
      </x:c>
      <x:c r="E6" s="76" t="str">
        <x:v>不成立E1</x:v>
      </x:c>
      <x:c r="F6" s="82" t="str">
        <x:v>仅凭日支主气，不能把某种相处方式写成关系盲点。</x:v>
      </x:c>
    </x:row>
    <x:row r="7">
      <x:c r="A7" s="81" t="str">
        <x:v>日支层级</x:v>
      </x:c>
      <x:c r="B7" s="76" t="str">
        <x:v>日支主气＋过旺</x:v>
      </x:c>
      <x:c r="C7" s="76" t="str">
        <x:v>日支主气可提高相关性，但K01仍需独立失衡证据。</x:v>
      </x:c>
      <x:c r="D7" s="76" t="str">
        <x:v>主气功能有效；另有过旺失衡、压力抢先、M3跨模块重复或现实行为中的独立支持。</x:v>
      </x:c>
      <x:c r="E7" s="76" t="str">
        <x:v>K01候选；需独立证据</x:v>
      </x:c>
      <x:c r="F7" s="82" t="str">
        <x:v>它虽然很容易进入亲密关系，但只有在调用过强或缺少调节时，才会成为过用候选。</x:v>
      </x:c>
    </x:row>
    <x:row r="8">
      <x:c r="A8" s="81" t="str">
        <x:v>日支层级</x:v>
      </x:c>
      <x:c r="B8" s="76" t="str">
        <x:v>日支中气</x:v>
      </x:c>
      <x:c r="C8" s="76" t="str">
        <x:v>中气可作为第二功能、调节或缺位对照，但默认低于主气。</x:v>
      </x:c>
      <x:c r="D8" s="76" t="str">
        <x:v>中气十神可靠，功能与主气不同，且有根／透出／M3行为中的至少一项支持。</x:v>
      </x:c>
      <x:c r="E8" s="76" t="str">
        <x:v>secondary candidate +6</x:v>
      </x:c>
      <x:c r="F8" s="82" t="str">
        <x:v>日支中气可能是第二处理方式，是否进入正文要看它是否真正有力且功能不同。</x:v>
      </x:c>
    </x:row>
    <x:row r="9">
      <x:c r="A9" s="81" t="str">
        <x:v>日支层级</x:v>
      </x:c>
      <x:c r="B9" s="76" t="str">
        <x:v>日支中气</x:v>
      </x:c>
      <x:c r="C9" s="76" t="str">
        <x:v>满足升级条件时，中气可成为次机制或保护因素。</x:v>
      </x:c>
      <x:c r="D9" s="76" t="str">
        <x:v>中气有根或透干；来源独立；对应M3模块形成稳定次通道；与主气功能不同。</x:v>
      </x:c>
      <x:c r="E9" s="76" t="str">
        <x:v>次机制 +4</x:v>
      </x:c>
      <x:c r="F9" s="82" t="str">
        <x:v>当中气不仅存在，而且能在现实关系中稳定进入时，才会被提升为第二项判断。</x:v>
      </x:c>
    </x:row>
    <x:row r="10">
      <x:c r="A10" s="81" t="str">
        <x:v>日支层级</x:v>
      </x:c>
      <x:c r="B10" s="76" t="str">
        <x:v>日支中气</x:v>
      </x:c>
      <x:c r="C10" s="76" t="str">
        <x:v>中气降为背景，不参与主次失衡评分。</x:v>
      </x:c>
      <x:c r="D10" s="76" t="str">
        <x:v>中气仅藏而无根、受制严重、来源同义或现实无对应行为。</x:v>
      </x:c>
      <x:c r="E10" s="76" t="str">
        <x:v>−4；封顶低</x:v>
      </x:c>
      <x:c r="F10" s="82" t="str">
        <x:v>这项信号目前更适合作为背景，不宜放进用户正文。</x:v>
      </x:c>
    </x:row>
    <x:row r="11">
      <x:c r="A11" s="81" t="str">
        <x:v>日支层级</x:v>
      </x:c>
      <x:c r="B11" s="76" t="str">
        <x:v>日支余气</x:v>
      </x:c>
      <x:c r="C11" s="76" t="str">
        <x:v>余气主要说明潜在、备用或特定压力下才可能出现的功能。</x:v>
      </x:c>
      <x:c r="D11" s="76" t="str">
        <x:v>余气十神可靠，原性质有效。</x:v>
      </x:c>
      <x:c r="E11" s="76" t="str">
        <x:v>background +3</x:v>
      </x:c>
      <x:c r="F11" s="82" t="str">
        <x:v>这项功能可能在特定情境下出现，但通常不是关系盲点的主轴。</x:v>
      </x:c>
    </x:row>
    <x:row r="12">
      <x:c r="A12" s="81" t="str">
        <x:v>日支层级</x:v>
      </x:c>
      <x:c r="B12" s="76" t="str">
        <x:v>日支余气</x:v>
      </x:c>
      <x:c r="C12" s="76" t="str">
        <x:v>余气单独不足以建立E1结构候选。</x:v>
      </x:c>
      <x:c r="D12" s="76" t="str">
        <x:v>只有余气一处信号，没有独立根气、透出或现实行为。</x:v>
      </x:c>
      <x:c r="E12" s="76" t="str">
        <x:v>STOP主候选</x:v>
      </x:c>
      <x:c r="F12" s="82" t="str">
        <x:v>仅凭余气，不会把某种关系问题固定为核心盲点。</x:v>
      </x:c>
    </x:row>
    <x:row r="13">
      <x:c r="A13" s="81" t="str">
        <x:v>日支层级</x:v>
      </x:c>
      <x:c r="B13" s="76" t="str">
        <x:v>日支余气</x:v>
      </x:c>
      <x:c r="C13" s="76" t="str">
        <x:v>余气只有在多类独立支持下才能升级为次候选。</x:v>
      </x:c>
      <x:c r="D13" s="76" t="str">
        <x:v>余气有独立透出、有根、被明确引动且现实行为重复；与主气功能不同。</x:v>
      </x:c>
      <x:c r="E13" s="76" t="str">
        <x:v>次候选 +3；封顶中低</x:v>
      </x:c>
      <x:c r="F13" s="82" t="str">
        <x:v>只有当这项背景功能在多个来源和现实行为中都被看见，才会进入次级判断。</x:v>
      </x:c>
    </x:row>
    <x:row r="14">
      <x:c r="A14" s="81" t="str">
        <x:v>日支层级</x:v>
      </x:c>
      <x:c r="B14" s="76" t="str">
        <x:v>日支单藏干</x:v>
      </x:c>
      <x:c r="C14" s="76" t="str">
        <x:v>单藏干说明关系功能底盘较集中，但不等于单一人格或单一盲点。</x:v>
      </x:c>
      <x:c r="D14" s="76" t="str">
        <x:v>日支只有一个可靠藏干，且无真合化替换。</x:v>
      </x:c>
      <x:c r="E14" s="76" t="str">
        <x:v>集中度 +2</x:v>
      </x:c>
      <x:c r="F14" s="82" t="str">
        <x:v>你的关系底盘较集中，但仍要看全局其他通道如何调节它。</x:v>
      </x:c>
    </x:row>
    <x:row r="15">
      <x:c r="A15" s="81" t="str">
        <x:v>日支层级</x:v>
      </x:c>
      <x:c r="B15" s="76" t="str">
        <x:v>日支多藏干</x:v>
      </x:c>
      <x:c r="C15" s="76" t="str">
        <x:v>多藏干只表示多个功能层级共存，必须按主次与独立性排序。</x:v>
      </x:c>
      <x:c r="D15" s="76" t="str">
        <x:v>日支存在主气、中气、余气多个藏干。</x:v>
      </x:c>
      <x:c r="E15" s="76" t="str">
        <x:v>不加分；排序门控</x:v>
      </x:c>
      <x:c r="F15" s="82" t="str">
        <x:v>多个藏干不等于感情复杂；它们只是不同层级的关系功能，需要先判断谁主谁次。</x:v>
      </x:c>
    </x:row>
    <x:row r="16">
      <x:c r="A16" s="81" t="str">
        <x:v>日支层级</x:v>
      </x:c>
      <x:c r="B16" s="76" t="str">
        <x:v>主气＋中气同系统</x:v>
      </x:c>
      <x:c r="C16" s="76" t="str">
        <x:v>同系统信号先收敛为一个功能系统，不能重复制造两个盲点。</x:v>
      </x:c>
      <x:c r="D16" s="76" t="str">
        <x:v>主气与中气属于同一五系统，且功能语义高度重合。</x:v>
      </x:c>
      <x:c r="E16" s="76" t="str">
        <x:v>同义收敛；取较高值</x:v>
      </x:c>
      <x:c r="F16" s="82" t="str">
        <x:v>如果主气和中气都在强调同一类功能，会先合并理解，不重复写成两个问题。</x:v>
      </x:c>
    </x:row>
    <x:row r="17">
      <x:c r="A17" s="81" t="str">
        <x:v>日支层级</x:v>
      </x:c>
      <x:c r="B17" s="76" t="str">
        <x:v>主气＋中气跨系统</x:v>
      </x:c>
      <x:c r="C17" s="76" t="str">
        <x:v>主气负责核心功能，中气可作为调节、缺位或次机制候选。</x:v>
      </x:c>
      <x:c r="D17" s="76" t="str">
        <x:v>主气与中气功能不同，均有效，且中气达到升级门槛。</x:v>
      </x:c>
      <x:c r="E17" s="76" t="str">
        <x:v>一主一次</x:v>
      </x:c>
      <x:c r="F17" s="82" t="str">
        <x:v>关系中可能同时存在两种不同功能，但正文会明确一项为主、一项为辅。</x:v>
      </x:c>
    </x:row>
    <x:row r="18">
      <x:c r="A18" s="81" t="str">
        <x:v>日支层级</x:v>
      </x:c>
      <x:c r="B18" s="76" t="str">
        <x:v>主气＋中气</x:v>
      </x:c>
      <x:c r="C18" s="76" t="str">
        <x:v>可生成K05双通道竞争候选，但仍需触发或M3顺序证据。</x:v>
      </x:c>
      <x:c r="D18" s="76" t="str">
        <x:v>两个跨系统功能都强、有根、近位，并在同一关系任务中抢占第一反应；无明确顺序或桥接。</x:v>
      </x:c>
      <x:c r="E18" s="76" t="str">
        <x:v>K05 +6</x:v>
      </x:c>
      <x:c r="F18" s="82" t="str">
        <x:v>当两种功能同时想先处理同一件事，可能出现内部拉扯；是否形成问题还要看现实顺序。</x:v>
      </x:c>
    </x:row>
    <x:row r="19">
      <x:c r="A19" s="81" t="str">
        <x:v>日支层级</x:v>
      </x:c>
      <x:c r="B19" s="76" t="str">
        <x:v>两项有效功能</x:v>
      </x:c>
      <x:c r="C19" s="76" t="str">
        <x:v>两项功能可能形成分工、桥接或保护，不自动等于两个问题。</x:v>
      </x:c>
      <x:c r="D19" s="76" t="str">
        <x:v>主气与次功能均有效。</x:v>
      </x:c>
      <x:c r="E19" s="76" t="str">
        <x:v>不加分；先查buffer</x:v>
      </x:c>
      <x:c r="F19" s="82" t="str">
        <x:v>两种功能同时存在，可能是互补而不是冲突；会先检查它们是否能分工和通关。</x:v>
      </x:c>
    </x:row>
    <x:row r="20">
      <x:c r="A20" s="81" t="str">
        <x:v>日支层级</x:v>
      </x:c>
      <x:c r="B20" s="76" t="str">
        <x:v>夫妻星入日支</x:v>
      </x:c>
      <x:c r="C20" s="76" t="str">
        <x:v>该事实可说明关系选择标准与相处功能连续，但不独立生成M4盲点。</x:v>
      </x:c>
      <x:c r="D20" s="76" t="str">
        <x:v>女命官杀或男命财星进入日支，夫妻星性质有效。</x:v>
      </x:c>
      <x:c r="E20" s="76" t="str">
        <x:v>相关性 +2；同源不重复</x:v>
      </x:c>
      <x:c r="F20" s="82" t="str">
        <x:v>你选择关系时重视的某类证据，可能也会进入日常相处；是否失衡仍要另看调节和现实行为。</x:v>
      </x:c>
    </x:row>
    <x:row r="21">
      <x:c r="A21" s="81" t="str">
        <x:v>日支层级</x:v>
      </x:c>
      <x:c r="B21" s="76" t="str">
        <x:v>夫妻星＋日支</x:v>
      </x:c>
      <x:c r="C21" s="76" t="str">
        <x:v>只计算一次基础事实；跨模型一致只能说明连续性。</x:v>
      </x:c>
      <x:c r="D21" s="76" t="str">
        <x:v>同一夫妻星入宫事实被M2、M3和M4多次读取。</x:v>
      </x:c>
      <x:c r="E21" s="76" t="str">
        <x:v>source_id只计一次</x:v>
      </x:c>
      <x:c r="F21" s="82" t="str">
        <x:v>同一个夫妻星入宫事实不会因为在多个模型中出现就被重复放大。</x:v>
      </x:c>
    </x:row>
    <x:row r="22">
      <x:c r="A22" s="81" t="str">
        <x:v>日支层级</x:v>
      </x:c>
      <x:c r="B22" s="76" t="str">
        <x:v>日干日支关系</x:v>
      </x:c>
      <x:c r="C22" s="76" t="str">
        <x:v>三者是同一事实的不同解释层，只计一次。</x:v>
      </x:c>
      <x:c r="D22" s="76" t="str">
        <x:v>日干日支生克、日支十神和M3五系统映射来自同一关系。</x:v>
      </x:c>
      <x:c r="E22" s="76" t="str">
        <x:v>同源去重</x:v>
      </x:c>
      <x:c r="F22" s="82" t="str">
        <x:v>同一个日柱关系不会因为换成五行、生克和十神三种说法就变成三份证据。</x:v>
      </x:c>
    </x:row>
    <x:row r="23">
      <x:c r="A23" s="81" t="str">
        <x:v>日支层级</x:v>
      </x:c>
      <x:c r="B23" s="76" t="str">
        <x:v>日柱近位</x:v>
      </x:c>
      <x:c r="C23" s="76" t="str">
        <x:v>近位提高亲密关系相关性，不能直接决定失衡机制。</x:v>
      </x:c>
      <x:c r="D23" s="76" t="str">
        <x:v>功能信号位于日柱并有效。</x:v>
      </x:c>
      <x:c r="E23" s="76" t="str">
        <x:v>相关性 +2；同源不重复</x:v>
      </x:c>
      <x:c r="F23" s="82" t="str">
        <x:v>它更容易进入亲密相处，但是否成为盲点仍取决于调用方式。</x:v>
      </x:c>
    </x:row>
    <x:row r="24">
      <x:c r="A24" s="81" t="str">
        <x:v>日支层级</x:v>
      </x:c>
      <x:c r="B24" s="76" t="str">
        <x:v>日支／夫妻宫争议</x:v>
      </x:c>
      <x:c r="C24" s="76" t="str">
        <x:v>M4-BASE不得在关系核心事实未定时固定主功能或主盲点。</x:v>
      </x:c>
      <x:c r="D24" s="76" t="str">
        <x:v>日支藏干、十神、真合化或宫位动态结论存在关键争议。</x:v>
      </x:c>
      <x:c r="E24" s="76" t="str">
        <x:v>STOP主轴；封顶低</x:v>
      </x:c>
      <x:c r="F24" s="82" t="str">
        <x:v>当前夫妻宫基础状态还不够清楚，因此主盲点暂不固定。</x:v>
      </x:c>
    </x:row>
    <x:row r="25">
      <x:c r="A25" s="81" t="str">
        <x:v>宫位动态</x:v>
      </x:c>
      <x:c r="B25" s="76" t="str">
        <x:v>合</x:v>
      </x:c>
      <x:c r="C25" s="76" t="str">
        <x:v>议题相互牵连、多个关系任务容易被整体化处理，边界与功能不易完全分开。</x:v>
      </x:c>
      <x:c r="D25" s="76" t="str">
        <x:v>在承诺、资源、情绪或空间议题同时出现时，更容易把多个问题绑在一起处理。</x:v>
      </x:c>
      <x:c r="E25" s="76" t="str">
        <x:v>只修正节奏；不能单独生成盲点</x:v>
      </x:c>
      <x:c r="F25" s="82" t="str">
        <x:v>相关议题容易被放在一起理解，分析时需要分清：哪些是感受，哪些是责任，哪些是现实安排。</x:v>
      </x:c>
    </x:row>
    <x:row r="26">
      <x:c r="A26" s="81" t="str">
        <x:v>宫位动态</x:v>
      </x:c>
      <x:c r="B26" s="76" t="str">
        <x:v>冲</x:v>
      </x:c>
      <x:c r="C26" s="76" t="str">
        <x:v>差异外显、状态切换和互动节奏变化，原有安排更容易被迫调整。</x:v>
      </x:c>
      <x:c r="D26" s="76" t="str">
        <x:v>当联系、距离、计划、权限或关系节奏改变时，原本熟练的通道可能迅速切换。</x:v>
      </x:c>
      <x:c r="E26" s="76" t="str">
        <x:v>只修正节奏；不能单独生成盲点</x:v>
      </x:c>
      <x:c r="F26" s="82" t="str">
        <x:v>差异和变化较容易被看见，关键不是“会不会冲突”，而是变化出现时先启动什么、能否重新协商。</x:v>
      </x:c>
    </x:row>
    <x:row r="27">
      <x:c r="A27" s="81" t="str">
        <x:v>宫位动态</x:v>
      </x:c>
      <x:c r="B27" s="76" t="str">
        <x:v>刑</x:v>
      </x:c>
      <x:c r="C27" s="76" t="str">
        <x:v>同一议题需要反复校正、细节反馈容易累积，处理过程可能多轮展开。</x:v>
      </x:c>
      <x:c r="D27" s="76" t="str">
        <x:v>当同一问题没有被完整解决或细节标准反复变化时，旧反应更容易再次启动。</x:v>
      </x:c>
      <x:c r="E27" s="76" t="str">
        <x:v>只修正节奏；不能单独生成盲点</x:v>
      </x:c>
      <x:c r="F27" s="82" t="str">
        <x:v>同一议题可能需要多次确认和调整；重点是每一轮是否真正增加了新信息或完成了改变。</x:v>
      </x:c>
    </x:row>
    <x:row r="28">
      <x:c r="A28" s="81" t="str">
        <x:v>宫位动态</x:v>
      </x:c>
      <x:c r="B28" s="76" t="str">
        <x:v>害</x:v>
      </x:c>
      <x:c r="C28" s="76" t="str">
        <x:v>隐性期待、默认规则和信息错位不容易在第一时间说清。</x:v>
      </x:c>
      <x:c r="D28" s="76" t="str">
        <x:v>当双方都假设对方“应该知道”时，未说出的需要和权限更容易成为启动点。</x:v>
      </x:c>
      <x:c r="E28" s="76" t="str">
        <x:v>只修正节奏；不能单独生成盲点</x:v>
      </x:c>
      <x:c r="F28" s="82" t="str">
        <x:v>有些不舒服可能不是来自公开冲突，而是双方对默认规则和未说出口的期待理解不同。</x:v>
      </x:c>
    </x:row>
    <x:row r="29">
      <x:c r="A29" s="83" t="str">
        <x:v>宫位动态</x:v>
      </x:c>
      <x:c r="B29" s="84" t="str">
        <x:v>破</x:v>
      </x:c>
      <x:c r="C29" s="84" t="str">
        <x:v>原有方案、分工、共享方式或边界安排失去适用性，需要重新组合。</x:v>
      </x:c>
      <x:c r="D29" s="84" t="str">
        <x:v>当现实条件改变、旧安排失效或原本的处理方法不能继续时，功能转换更容易卡住。</x:v>
      </x:c>
      <x:c r="E29" s="84" t="str">
        <x:v>只修正节奏；不能单独生成盲点</x:v>
      </x:c>
      <x:c r="F29" s="85" t="str">
        <x:v>旧的相处安排可能需要重做，关键是能否把变化转成新的分工、边界和行动方案。</x:v>
      </x:c>
    </x:row>
  </x:sheetData>
  <x:mergeCells>
    <x:mergeCell ref="A1:F1"/>
    <x:mergeCell ref="A2:F2"/>
  </x:mergeCells>
  <x:conditionalFormatting sqref="A5:F29">
    <x:cfRule type="expression" dxfId="4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0b7fc1af3b415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8" hidden="0" customWidth="1"/>
    <x:col min="4" max="4" width="38" hidden="0" customWidth="1"/>
    <x:col min="5" max="5" width="38" hidden="0" customWidth="1"/>
    <x:col min="6" max="6" width="22" hidden="0" customWidth="1"/>
    <x:col min="7" max="7" width="42" hidden="0" customWidth="1"/>
    <x:col min="8" max="8" width="30" hidden="0" customWidth="1"/>
  </x:cols>
  <x:sheetData>
    <x:row r="1" ht="28" customHeight="1">
      <x:c r="A1" s="5" t="str">
        <x:v>M3正常功能到M4失衡候选的接口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M4继承M3中性功能，不得绕过M3或把模块数量当成证据数量。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55" t="str">
        <x:v>M3模块</x:v>
      </x:c>
      <x:c r="B4" s="56" t="str">
        <x:v>导入字段</x:v>
      </x:c>
      <x:c r="C4" s="56" t="str">
        <x:v>正常功能</x:v>
      </x:c>
      <x:c r="D4" s="56" t="str">
        <x:v>过用候选</x:v>
      </x:c>
      <x:c r="E4" s="56" t="str">
        <x:v>不足/替代候选</x:v>
      </x:c>
      <x:c r="F4" s="56" t="str">
        <x:v>主要盲点路由</x:v>
      </x:c>
      <x:c r="G4" s="56" t="str">
        <x:v>用户速查</x:v>
      </x:c>
      <x:c r="H4" s="57" t="str">
        <x:v>同源去重</x:v>
      </x:c>
    </x:row>
    <x:row r="5">
      <x:c r="A5" s="78" t="str">
        <x:v>M3-BASE</x:v>
      </x:c>
      <x:c r="B5" s="79" t="str">
        <x:v>relationship_baseline</x:v>
      </x:c>
      <x:c r="C5" s="79" t="str">
        <x:v>关系建立后最自然进入的运行主题，是M4判断功能来源的底盘。</x:v>
      </x:c>
      <x:c r="D5" s="79" t="str">
        <x:v>底盘功能在多个关系任务中长期占据唯一主轴，其他系统难以进入。</x:v>
      </x:c>
      <x:c r="E5" s="79" t="str">
        <x:v>若底盘需要的次通道未能进入，可路由K02、K03或K06候选。</x:v>
      </x:c>
      <x:c r="F5" s="79" t="str">
        <x:v>B04／B10／B11／B15</x:v>
      </x:c>
      <x:c r="G5" s="79" t="str">
        <x:v>先保留你最自然的关系底盘，再检查它是否长期替代了表达、落实、边界或承接。</x:v>
      </x:c>
      <x:c r="H5" s="80" t="str">
        <x:v>同一日支/十神source_id只计一次</x:v>
      </x:c>
    </x:row>
    <x:row r="6">
      <x:c r="A6" s="81" t="str">
        <x:v>M3-EXPR</x:v>
      </x:c>
      <x:c r="B6" s="76" t="str">
        <x:v>affection_expression／communication_style</x:v>
      </x:c>
      <x:c r="C6" s="76" t="str">
        <x:v>把感受、观点、需要和态度变成对方可接收的信息。</x:v>
      </x:c>
      <x:c r="D6" s="76" t="str">
        <x:v>表达、分析、说明或氛围通道抢先，可能出现解释过载、表达替代理解或轻松延后问题。</x:v>
      </x:c>
      <x:c r="E6" s="76" t="str">
        <x:v>语言、需求或反馈不足时，关系可能只能靠行动、沉默或猜测传递信息。</x:v>
      </x:c>
      <x:c r="F6" s="76" t="str">
        <x:v>B05／B11／B13</x:v>
      </x:c>
      <x:c r="G6" s="76" t="str">
        <x:v>会区分“表达出来了”“对方听见了”“彼此理解了”和“现实达成共识”四个步骤。</x:v>
      </x:c>
      <x:c r="H6" s="82" t="str">
        <x:v>同一日支/十神source_id只计一次</x:v>
      </x:c>
    </x:row>
    <x:row r="7">
      <x:c r="A7" s="81" t="str">
        <x:v>M3-CARE</x:v>
      </x:c>
      <x:c r="B7" s="76" t="str">
        <x:v>care_investment／support_receiving</x:v>
      </x:c>
      <x:c r="C7" s="76" t="str">
        <x:v>通过时间、资源、行动、陪伴、理解或共同参与支持关系。</x:v>
      </x:c>
      <x:c r="D7" s="76" t="str">
        <x:v>支持加码、角色过度占位、投入记账或照顾替代边界与现实改变。</x:v>
      </x:c>
      <x:c r="E7" s="76" t="str">
        <x:v>持续投入、请求支持、接受帮助或回馈结构不足。</x:v>
      </x:c>
      <x:c r="F7" s="76" t="str">
        <x:v>B07／B09／B10</x:v>
      </x:c>
      <x:c r="G7" s="76" t="str">
        <x:v>会区分“表达在意”“实际投入”“被对方接住”和“形成稳定回馈”四件事。</x:v>
      </x:c>
      <x:c r="H7" s="82" t="str">
        <x:v>同一日支/十神source_id只计一次</x:v>
      </x:c>
    </x:row>
    <x:row r="8">
      <x:c r="A8" s="81" t="str">
        <x:v>M3-BOUND</x:v>
      </x:c>
      <x:c r="B8" s="76" t="str">
        <x:v>closeness_boundary／decision_pattern</x:v>
      </x:c>
      <x:c r="C8" s="76" t="str">
        <x:v>组织靠近、空间、共享、决定权、拒绝和重新协商。</x:v>
      </x:c>
      <x:c r="D8" s="76" t="str">
        <x:v>边界过度僵化、空间持续延长、决定权抢占或平等滑向机械对称。</x:v>
      </x:c>
      <x:c r="E8" s="76" t="str">
        <x:v>需求、拒绝、暂停范围和回归条件不清，或接受照顾时难保留参与权。</x:v>
      </x:c>
      <x:c r="F8" s="76" t="str">
        <x:v>B08／B10／B12／B13</x:v>
      </x:c>
      <x:c r="G8" s="76" t="str">
        <x:v>会区分“需要空间”和“拒绝亲密”，也会区分“愿意依靠”和“失去自主”。</x:v>
      </x:c>
      <x:c r="H8" s="82" t="str">
        <x:v>同一日支/十神source_id只计一次</x:v>
      </x:c>
    </x:row>
    <x:row r="9">
      <x:c r="A9" s="83" t="str">
        <x:v>M3-CONFLICT</x:v>
      </x:c>
      <x:c r="B9" s="84" t="str">
        <x:v>conflict_response／conflict_order</x:v>
      </x:c>
      <x:c r="C9" s="84" t="str">
        <x:v>在分歧中组织事实、情绪、立场、责任、方案、暂停和阶段结束。</x:v>
      </x:c>
      <x:c r="D9" s="84" t="str">
        <x:v>第一反应长期抢占、方案替代感受、暂停失去回归、规则或解释不断升级。</x:v>
      </x:c>
      <x:c r="E9" s="84" t="str">
        <x:v>倾听、现实方案、责任执行、暂停边界或阶段结束条件不足。</x:v>
      </x:c>
      <x:c r="F9" s="84" t="str">
        <x:v>B05／B06／B08／B13／B14</x:v>
      </x:c>
      <x:c r="G9" s="84" t="str">
        <x:v>会区分“问题处理完了”和“关系已经修复”，也不会把第一反应当成全部处理方式。</x:v>
      </x:c>
      <x:c r="H9" s="85" t="str">
        <x:v>同一日支/十神source_id只计一次</x:v>
      </x:c>
    </x:row>
    <x:row r="12" ht="24" customHeight="1">
      <x:c r="A12" s="119" t="str">
        <x:v>同源去重五条硬规则</x:v>
      </x:c>
      <x:c r="B12" s="119"/>
      <x:c r="C12" s="119"/>
      <x:c r="D12" s="119"/>
      <x:c r="E12" s="119"/>
      <x:c r="F12" s="119"/>
      <x:c r="G12" s="119"/>
      <x:c r="H12" s="119"/>
    </x:row>
    <x:row r="13">
      <x:c r="A13" s="128" t="str">
        <x:v>1</x:v>
      </x:c>
      <x:c r="B13" s="129" t="str">
        <x:v>日支十神、日干日支生克、M3-BASE五系统映射若来自同一事实，只计一次。</x:v>
      </x:c>
      <x:c r="C13" s="129" t="str"/>
      <x:c r="D13" s="129" t="str"/>
      <x:c r="E13" s="129" t="str"/>
      <x:c r="F13" s="129" t="str"/>
      <x:c r="G13" s="129" t="str"/>
      <x:c r="H13" s="130" t="str"/>
    </x:row>
    <x:row r="14">
      <x:c r="A14" s="131" t="str">
        <x:v>2</x:v>
      </x:c>
      <x:c r="B14" s="72" t="str">
        <x:v>同一十神在EXPR、CARE、BOUND、CONFLICT中出现，可多角度解释，但不增加基础来源数。</x:v>
      </x:c>
      <x:c r="C14" s="72" t="str"/>
      <x:c r="D14" s="72" t="str"/>
      <x:c r="E14" s="72" t="str"/>
      <x:c r="F14" s="72" t="str"/>
      <x:c r="G14" s="72" t="str"/>
      <x:c r="H14" s="132" t="str"/>
    </x:row>
    <x:row r="15">
      <x:c r="A15" s="131" t="str">
        <x:v>3</x:v>
      </x:c>
      <x:c r="B15" s="72" t="str">
        <x:v>同根多透提高可见度；多根提高重复性；两者都不自动增加独立证据数。</x:v>
      </x:c>
      <x:c r="C15" s="72" t="str"/>
      <x:c r="D15" s="72" t="str"/>
      <x:c r="E15" s="72" t="str"/>
      <x:c r="F15" s="72" t="str"/>
      <x:c r="G15" s="72" t="str"/>
      <x:c r="H15" s="132" t="str"/>
    </x:row>
    <x:row r="16">
      <x:c r="A16" s="131" t="str">
        <x:v>4</x:v>
      </x:c>
      <x:c r="B16" s="72" t="str">
        <x:v>跨模型一致只有在source_id不同、关系任务不同或有具体现实事件时才可加权。</x:v>
      </x:c>
      <x:c r="C16" s="72" t="str"/>
      <x:c r="D16" s="72" t="str"/>
      <x:c r="E16" s="72" t="str"/>
      <x:c r="F16" s="72" t="str"/>
      <x:c r="G16" s="72" t="str"/>
      <x:c r="H16" s="132" t="str"/>
    </x:row>
    <x:row r="17">
      <x:c r="A17" s="133" t="str">
        <x:v>5</x:v>
      </x:c>
      <x:c r="B17" s="134" t="str">
        <x:v>没有完成dedup_log，不得计算E1/E2或发布置信度。</x:v>
      </x:c>
      <x:c r="C17" s="134" t="str"/>
      <x:c r="D17" s="134" t="str"/>
      <x:c r="E17" s="134" t="str"/>
      <x:c r="F17" s="134" t="str"/>
      <x:c r="G17" s="134" t="str"/>
      <x:c r="H17" s="135" t="str"/>
    </x:row>
  </x:sheetData>
  <x:mergeCells>
    <x:mergeCell ref="A1:H1"/>
    <x:mergeCell ref="A2:H2"/>
    <x:mergeCell ref="A12:H12"/>
  </x:mergeCells>
  <x:conditionalFormatting sqref="A5:H9">
    <x:cfRule type="expression" dxfId="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236420189340d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34" hidden="0" customWidth="1"/>
  </x:cols>
  <x:sheetData>
    <x:row r="1" ht="28" customHeight="1">
      <x:c r="A1" s="5" t="str">
        <x:v>E0—E2证据等级、初始评分与发布门槛</x:v>
      </x:c>
      <x:c r="B1" s="5"/>
      <x:c r="C1" s="5"/>
      <x:c r="D1" s="5"/>
      <x:c r="E1" s="5"/>
    </x:row>
    <x:row r="2" ht="32" customHeight="1">
      <x:c r="A2" s="13" t="str">
        <x:v>分值是知识工程参数，不是统计概率。现实重复不能由分数替代。</x:v>
      </x:c>
      <x:c r="B2" s="13"/>
      <x:c r="C2" s="13"/>
      <x:c r="D2" s="13"/>
      <x:c r="E2" s="13"/>
    </x:row>
    <x:row r="4" ht="28" customHeight="1">
      <x:c r="A4" s="55" t="str">
        <x:v>项目</x:v>
      </x:c>
      <x:c r="B4" s="56" t="str">
        <x:v>成立条件/定义</x:v>
      </x:c>
      <x:c r="C4" s="56" t="str">
        <x:v>初始作用</x:v>
      </x:c>
      <x:c r="D4" s="56" t="str">
        <x:v>最强可用措辞</x:v>
      </x:c>
      <x:c r="E4" s="57" t="str">
        <x:v>禁止升级</x:v>
      </x:c>
    </x:row>
    <x:row r="5">
      <x:c r="A5" s="78" t="str">
        <x:v>E0 STOP</x:v>
      </x:c>
      <x:c r="B5" s="79" t="str">
        <x:v>基础状态、M3功能、合化或证据独立性不可靠</x:v>
      </x:c>
      <x:c r="C5" s="79" t="str">
        <x:v>停止</x:v>
      </x:c>
      <x:c r="D5" s="79" t="str">
        <x:v>当前资料不足，暂不固定判断。</x:v>
      </x:c>
      <x:c r="E5" s="80" t="str">
        <x:v>不得硬写盲点</x:v>
      </x:c>
    </x:row>
    <x:row r="6">
      <x:c r="A6" s="81" t="str">
        <x:v>E1 STRUCTURAL</x:v>
      </x:c>
      <x:c r="B6" s="76" t="str">
        <x:v>有效功能＋失衡方式＋独立修正；去重后≥18分</x:v>
      </x:c>
      <x:c r="C6" s="76" t="str">
        <x:v>结构候选</x:v>
      </x:c>
      <x:c r="D6" s="76" t="str">
        <x:v>存在某类盲点候选。</x:v>
      </x:c>
      <x:c r="E6" s="82" t="str">
        <x:v>不得说现实已发生</x:v>
      </x:c>
    </x:row>
    <x:row r="7">
      <x:c r="A7" s="81" t="str">
        <x:v>E2 ACTIVATION</x:v>
      </x:c>
      <x:c r="B7" s="76" t="str">
        <x:v>E1＋触发域＋调节不足/卡点；去重后≥26分</x:v>
      </x:c>
      <x:c r="C7" s="76" t="str">
        <x:v>触发候选</x:v>
      </x:c>
      <x:c r="D7" s="76" t="str">
        <x:v>在某类情境下，这种反应更容易启动。</x:v>
      </x:c>
      <x:c r="E7" s="82" t="str">
        <x:v>不得写完整循环</x:v>
      </x:c>
    </x:row>
    <x:row r="8">
      <x:c r="A8" s="81" t="str">
        <x:v>主功能来源</x:v>
      </x:c>
      <x:c r="B8" s="76" t="str">
        <x:v>日支主气/日柱近位/M3主通道可靠</x:v>
      </x:c>
      <x:c r="C8" s="76" t="str">
        <x:v>+12</x:v>
      </x:c>
      <x:c r="D8" s="76" t="str">
        <x:v>先确认功能稳定存在</x:v>
      </x:c>
      <x:c r="E8" s="82" t="str">
        <x:v>同源只取一次</x:v>
      </x:c>
    </x:row>
    <x:row r="9">
      <x:c r="A9" s="81" t="str">
        <x:v>第二独立来源</x:v>
      </x:c>
      <x:c r="B9" s="76" t="str">
        <x:v>不同source_id、现实任务或具体事件</x:v>
      </x:c>
      <x:c r="C9" s="76" t="str">
        <x:v>+8</x:v>
      </x:c>
      <x:c r="D9" s="76" t="str">
        <x:v>不同来源相互支持</x:v>
      </x:c>
      <x:c r="E9" s="82" t="str">
        <x:v>同义重复不算</x:v>
      </x:c>
    </x:row>
    <x:row r="10">
      <x:c r="A10" s="81" t="str">
        <x:v>明显失衡或受阻</x:v>
      </x:c>
      <x:c r="B10" s="76" t="str">
        <x:v>过旺失衡、必要功能缺位或完整卡点</x:v>
      </x:c>
      <x:c r="C10" s="76" t="str">
        <x:v>+8</x:v>
      </x:c>
      <x:c r="D10" s="76" t="str">
        <x:v>提高K01/K02/K06</x:v>
      </x:c>
      <x:c r="E10" s="82" t="str">
        <x:v>旺而平衡不加</x:v>
      </x:c>
    </x:row>
    <x:row r="11">
      <x:c r="A11" s="81" t="str">
        <x:v>触发域</x:v>
      </x:c>
      <x:c r="B11" s="76" t="str">
        <x:v>有宫位动态、阶段引动、M3状态或具体事件</x:v>
      </x:c>
      <x:c r="C11" s="76" t="str">
        <x:v>+6</x:v>
      </x:c>
      <x:c r="D11" s="76" t="str">
        <x:v>支持E2</x:v>
      </x:c>
      <x:c r="E11" s="82" t="str">
        <x:v>不得凭空补写</x:v>
      </x:c>
    </x:row>
    <x:row r="12">
      <x:c r="A12" s="81" t="str">
        <x:v>完整流向卡点</x:v>
      </x:c>
      <x:c r="B12" s="76" t="str">
        <x:v>起点有效，桥梁/终点必要且确实受阻</x:v>
      </x:c>
      <x:c r="C12" s="76" t="str">
        <x:v>+6</x:v>
      </x:c>
      <x:c r="D12" s="76" t="str">
        <x:v>说明少了哪一步</x:v>
      </x:c>
      <x:c r="E12" s="82" t="str">
        <x:v>静态生克不算</x:v>
      </x:c>
    </x:row>
    <x:row r="13">
      <x:c r="A13" s="81" t="str">
        <x:v>跨模型独立支持</x:v>
      </x:c>
      <x:c r="B13" s="76" t="str">
        <x:v>M1/M2/M3不同来源指向同一方向</x:v>
      </x:c>
      <x:c r="C13" s="76" t="str">
        <x:v>+4</x:v>
      </x:c>
      <x:c r="D13" s="76" t="str">
        <x:v>补充置信</x:v>
      </x:c>
      <x:c r="E13" s="82" t="str">
        <x:v>同源不加</x:v>
      </x:c>
    </x:row>
    <x:row r="14">
      <x:c r="A14" s="81" t="str">
        <x:v>有效保护因素</x:v>
      </x:c>
      <x:c r="B14" s="76" t="str">
        <x:v>有效制化、通关、边界或现实兑现</x:v>
      </x:c>
      <x:c r="C14" s="76" t="str">
        <x:v>−6至−10</x:v>
      </x:c>
      <x:c r="D14" s="76" t="str">
        <x:v>说明候选减弱</x:v>
      </x:c>
      <x:c r="E14" s="82" t="str">
        <x:v>保护存在不等于完全消失</x:v>
      </x:c>
    </x:row>
    <x:row r="15">
      <x:c r="A15" s="83" t="str">
        <x:v>现实反例</x:v>
      </x:c>
      <x:c r="B15" s="84" t="str">
        <x:v>具体事件显示候选不成立或能稳定中断</x:v>
      </x:c>
      <x:c r="C15" s="84" t="str">
        <x:v>−10或停止</x:v>
      </x:c>
      <x:c r="D15" s="84" t="str">
        <x:v>优先修正规则</x:v>
      </x:c>
      <x:c r="E15" s="85" t="str">
        <x:v>不得忽略反例</x:v>
      </x:c>
    </x:row>
  </x:sheetData>
  <x:mergeCells>
    <x:mergeCell ref="A1:E1"/>
    <x:mergeCell ref="A2:E2"/>
  </x:mergeCells>
  <x:conditionalFormatting sqref="A5:E15">
    <x:cfRule type="expression" dxfId="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2dd7ac8982455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22" hidden="0" customWidth="1"/>
    <x:col min="5" max="5" width="12" hidden="0" customWidth="1"/>
    <x:col min="6" max="6" width="14" hidden="0" customWidth="1"/>
    <x:col min="7" max="7" width="22" hidden="0" customWidth="1"/>
    <x:col min="8" max="8" width="24" hidden="0" customWidth="1"/>
    <x:col min="9" max="9" width="44" hidden="0" customWidth="1"/>
    <x:col min="10" max="10" width="42" hidden="0" customWidth="1"/>
    <x:col min="11" max="11" width="30" hidden="0" customWidth="1"/>
    <x:col min="12" max="12" width="30" hidden="0" customWidth="1"/>
    <x:col min="13" max="13" width="30" hidden="0" customWidth="1"/>
    <x:col min="14" max="14" width="34" hidden="0" customWidth="1"/>
    <x:col min="15" max="15" width="22" hidden="0" customWidth="1"/>
    <x:col min="16" max="16" width="18" hidden="0" customWidth="1"/>
    <x:col min="17" max="17" width="18" hidden="0" customWidth="1"/>
    <x:col min="18" max="18" width="22" hidden="0" customWidth="1"/>
    <x:col min="19" max="19" width="28" hidden="0" customWidth="1"/>
    <x:col min="20" max="20" width="18" hidden="0" customWidth="1"/>
    <x:col min="21" max="21" width="10" hidden="0" customWidth="1"/>
    <x:col min="22" max="22" width="24" hidden="0" customWidth="1"/>
    <x:col min="23" max="23" width="24" hidden="0" customWidth="1"/>
    <x:col min="24" max="24" width="48" hidden="0" customWidth="1"/>
    <x:col min="25" max="25" width="48" hidden="0" customWidth="1"/>
    <x:col min="26" max="26" width="48" hidden="0" customWidth="1"/>
    <x:col min="27" max="27" width="12" hidden="0" customWidth="1"/>
    <x:col min="28" max="28" width="12" hidden="0" customWidth="1"/>
    <x:col min="29" max="29" width="18" hidden="0" customWidth="1"/>
    <x:col min="30" max="30" width="38" hidden="0" customWidth="1"/>
    <x:col min="31" max="31" width="10" hidden="0" customWidth="1"/>
  </x:cols>
  <x:sheetData>
    <x:row r="1" ht="28" customHeight="1">
      <x:c r="A1" s="5" t="str">
        <x:v>M4-BASE 280条原子规则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2" customHeight="1">
      <x:c r="A2" s="13" t="str">
        <x:v>唯一正式真源：每条规则均包含必要条件、排除条件、去重、分值、用户解释和禁止推断。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</x:row>
    <x:row r="4" ht="28" customHeight="1">
      <x:c r="A4" s="55" t="str">
        <x:v>rule_id</x:v>
      </x:c>
      <x:c r="B4" s="56" t="str">
        <x:v>rule_name</x:v>
      </x:c>
      <x:c r="C4" s="56" t="str">
        <x:v>layer</x:v>
      </x:c>
      <x:c r="D4" s="56" t="str">
        <x:v>module</x:v>
      </x:c>
      <x:c r="E4" s="56" t="str">
        <x:v>applicable_group</x:v>
      </x:c>
      <x:c r="F4" s="56" t="str">
        <x:v>rule_type</x:v>
      </x:c>
      <x:c r="G4" s="56" t="str">
        <x:v>main_signal</x:v>
      </x:c>
      <x:c r="H4" s="56" t="str">
        <x:v>secondary_signal</x:v>
      </x:c>
      <x:c r="I4" s="56" t="str">
        <x:v>required_conditions</x:v>
      </x:c>
      <x:c r="J4" s="56" t="str">
        <x:v>excluded_conditions</x:v>
      </x:c>
      <x:c r="K4" s="56" t="str">
        <x:v>self_strength_status</x:v>
      </x:c>
      <x:c r="L4" s="56" t="str">
        <x:v>spouse_star_status</x:v>
      </x:c>
      <x:c r="M4" s="56" t="str">
        <x:v>palace_signal</x:v>
      </x:c>
      <x:c r="N4" s="56" t="str">
        <x:v>flow_path</x:v>
      </x:c>
      <x:c r="O4" s="56" t="str">
        <x:v>signal_position</x:v>
      </x:c>
      <x:c r="P4" s="56" t="str">
        <x:v>root_status</x:v>
      </x:c>
      <x:c r="Q4" s="56" t="str">
        <x:v>strength_level</x:v>
      </x:c>
      <x:c r="R4" s="56" t="str">
        <x:v>favorability</x:v>
      </x:c>
      <x:c r="S4" s="56" t="str">
        <x:v>transformation_status</x:v>
      </x:c>
      <x:c r="T4" s="56" t="str">
        <x:v>distance_level</x:v>
      </x:c>
      <x:c r="U4" s="56" t="str">
        <x:v>priority</x:v>
      </x:c>
      <x:c r="V4" s="56" t="str">
        <x:v>score_effect</x:v>
      </x:c>
      <x:c r="W4" s="56" t="str">
        <x:v>output_slot</x:v>
      </x:c>
      <x:c r="X4" s="56" t="str">
        <x:v>internal_logic</x:v>
      </x:c>
      <x:c r="Y4" s="56" t="str">
        <x:v>user_explanation</x:v>
      </x:c>
      <x:c r="Z4" s="56" t="str">
        <x:v>forbidden_inference</x:v>
      </x:c>
      <x:c r="AA4" s="56" t="str">
        <x:v>confidence_base</x:v>
      </x:c>
      <x:c r="AB4" s="56" t="str">
        <x:v>validation_status</x:v>
      </x:c>
      <x:c r="AC4" s="56" t="str">
        <x:v>case_refs</x:v>
      </x:c>
      <x:c r="AD4" s="56" t="str">
        <x:v>notes</x:v>
      </x:c>
      <x:c r="AE4" s="57" t="str">
        <x:v>version</x:v>
      </x:c>
    </x:row>
    <x:row r="5">
      <x:c r="A5" s="78" t="str">
        <x:v>M4-BASE-001</x:v>
      </x:c>
      <x:c r="B5" s="79" t="str">
        <x:v>M4-BASE正式定义｜失衡候选底盘</x:v>
      </x:c>
      <x:c r="C5" s="79" t="str">
        <x:v>L0 模型边界与证据</x:v>
      </x:c>
      <x:c r="D5" s="79" t="str">
        <x:v>BASE-定义边界</x:v>
      </x:c>
      <x:c r="E5" s="79" t="str">
        <x:v>通用</x:v>
      </x:c>
      <x:c r="F5" s="79" t="str">
        <x:v>定义</x:v>
      </x:c>
      <x:c r="G5" s="79" t="str">
        <x:v>M4-BASE模块规则</x:v>
      </x:c>
      <x:c r="H5" s="79" t="str"/>
      <x:c r="I5" s="79" t="str">
        <x:v>M4-BASE被调用；分析对象为M3正常功能在结构层面的过用、不足、替代、错位或转换受阻候选。</x:v>
      </x:c>
      <x:c r="J5" s="79" t="str">
        <x:v>M3正常功能未确定；基础十神或真合化状态未定；只有单一弱远标签；或现实安全问题应优先处理。</x:v>
      </x:c>
      <x:c r="K5" s="79" t="str">
        <x:v>由共享基础引擎提供；只修正承载与执行，不直接等同强弱人格。</x:v>
      </x:c>
      <x:c r="L5" s="79" t="str">
        <x:v>由M2接口提供；夫妻星只参与关系议题权重，不单独生成盲点。</x:v>
      </x:c>
      <x:c r="M5" s="79" t="str">
        <x:v>由M3-BASE与共享引擎提供；不得把日支直接写成配偶性格。</x:v>
      </x:c>
      <x:c r="N5" s="79" t="str">
        <x:v>无／待后续规则组合</x:v>
      </x:c>
      <x:c r="O5" s="79" t="str">
        <x:v>由共享基础引擎判定</x:v>
      </x:c>
      <x:c r="P5" s="79" t="str">
        <x:v>由共享基础引擎判定</x:v>
      </x:c>
      <x:c r="Q5" s="79" t="str">
        <x:v>由共享基础引擎判定</x:v>
      </x:c>
      <x:c r="R5" s="79" t="str">
        <x:v>喜忌只修正调用摩擦与平衡，不直接等同好坏。</x:v>
      </x:c>
      <x:c r="S5" s="79" t="str">
        <x:v>原十神性质有效；真合化成立时按化神系统替换。</x:v>
      </x:c>
      <x:c r="T5" s="79" t="str">
        <x:v>由共享基础引擎判定</x:v>
      </x:c>
      <x:c r="U5" s="79" t="str">
        <x:v>99</x:v>
      </x:c>
      <x:c r="V5" s="79" t="str">
        <x:v>不加分；定义／路由</x:v>
      </x:c>
      <x:c r="W5" s="79" t="str">
        <x:v>report_status</x:v>
      </x:c>
      <x:c r="X5" s="79" t="str">
        <x:v>M4-BASE先说明一项关系功能原本有什么作用，再判断它在什么条件下可能失衡；本阶段不建立完整双向循环。</x:v>
      </x:c>
      <x:c r="Y5" s="79" t="str">
        <x:v>这一部分先看：你原本用什么方式维持关系，以及这项方式在压力或调节不足时，哪里可能被用得过多、过少或替代了别的任务。</x:v>
      </x:c>
      <x:c r="Z5" s="79" t="str">
        <x:v>不得仅凭本规则推出自私、冷漠、控制、花心、暴力、人格或依恋问题、分手离婚、背叛或关系失败；本模块只生成结构／触发候选，现实模式需具体事件验证。</x:v>
      </x:c>
      <x:c r="AA5" s="79" t="str">
        <x:v>高</x:v>
      </x:c>
      <x:c r="AB5" s="79" t="str">
        <x:v>待验证</x:v>
      </x:c>
      <x:c r="AC5" s="79" t="str"/>
      <x:c r="AD5" s="79" t="str">
        <x:v>provisional=true; rule_group=BASE-定义边界</x:v>
      </x:c>
      <x:c r="AE5" s="80" t="str">
        <x:v>0.2</x:v>
      </x:c>
    </x:row>
    <x:row r="6">
      <x:c r="A6" s="81" t="str">
        <x:v>M4-BASE-002</x:v>
      </x:c>
      <x:c r="B6" s="76" t="str">
        <x:v>正常功能先行｜禁止坏标签起步</x:v>
      </x:c>
      <x:c r="C6" s="76" t="str">
        <x:v>L0 模型边界与证据</x:v>
      </x:c>
      <x:c r="D6" s="76" t="str">
        <x:v>BASE-定义边界</x:v>
      </x:c>
      <x:c r="E6" s="76" t="str">
        <x:v>通用</x:v>
      </x:c>
      <x:c r="F6" s="76" t="str">
        <x:v>边界</x:v>
      </x:c>
      <x:c r="G6" s="76" t="str">
        <x:v>正常功能来源</x:v>
      </x:c>
      <x:c r="H6" s="76" t="str"/>
      <x:c r="I6" s="76" t="str">
        <x:v>需要判断某项十神或M3通道的失衡候选。</x:v>
      </x:c>
      <x:c r="J6" s="76" t="str">
        <x:v>无法说明该信号在关系中的正常功能。</x:v>
      </x:c>
      <x:c r="K6" s="76" t="str">
        <x:v>由共享基础引擎提供；只修正承载与执行，不直接等同强弱人格。</x:v>
      </x:c>
      <x:c r="L6" s="76" t="str">
        <x:v>由M2接口提供；夫妻星只参与关系议题权重，不单独生成盲点。</x:v>
      </x:c>
      <x:c r="M6" s="76" t="str">
        <x:v>由M3-BASE与共享引擎提供；不得把日支直接写成配偶性格。</x:v>
      </x:c>
      <x:c r="N6" s="76" t="str">
        <x:v>无／待后续规则组合</x:v>
      </x:c>
      <x:c r="O6" s="76" t="str">
        <x:v>由共享基础引擎判定</x:v>
      </x:c>
      <x:c r="P6" s="76" t="str">
        <x:v>由共享基础引擎判定</x:v>
      </x:c>
      <x:c r="Q6" s="76" t="str">
        <x:v>由共享基础引擎判定</x:v>
      </x:c>
      <x:c r="R6" s="76" t="str">
        <x:v>喜忌只修正调用摩擦与平衡，不直接等同好坏。</x:v>
      </x:c>
      <x:c r="S6" s="76" t="str">
        <x:v>原十神性质有效；真合化成立时按化神系统替换。</x:v>
      </x:c>
      <x:c r="T6" s="76" t="str">
        <x:v>由共享基础引擎判定</x:v>
      </x:c>
      <x:c r="U6" s="76" t="str">
        <x:v>98</x:v>
      </x:c>
      <x:c r="V6" s="76" t="str">
        <x:v>不加分；前置门控</x:v>
      </x:c>
      <x:c r="W6" s="76" t="str">
        <x:v>functional_origin</x:v>
      </x:c>
      <x:c r="X6" s="76" t="str">
        <x:v>任何盲点必须从有效功能出发；若只剩负面标签，则规则不成立。</x:v>
      </x:c>
      <x:c r="Y6" s="76" t="str">
        <x:v>这项反应原本有它的功能；只有在特定条件下，它才可能遮住另一项同样重要的关系任务。</x:v>
      </x:c>
      <x:c r="Z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6" s="76" t="str">
        <x:v>高</x:v>
      </x:c>
      <x:c r="AB6" s="76" t="str">
        <x:v>待验证</x:v>
      </x:c>
      <x:c r="AC6" s="76" t="str"/>
      <x:c r="AD6" s="76" t="str">
        <x:v>provisional=true; rule_group=BASE-定义边界</x:v>
      </x:c>
      <x:c r="AE6" s="82" t="str">
        <x:v>0.2</x:v>
      </x:c>
    </x:row>
    <x:row r="7">
      <x:c r="A7" s="81" t="str">
        <x:v>M4-BASE-003</x:v>
      </x:c>
      <x:c r="B7" s="76" t="str">
        <x:v>单一十神禁止生成盲点</x:v>
      </x:c>
      <x:c r="C7" s="76" t="str">
        <x:v>L0 模型边界与证据</x:v>
      </x:c>
      <x:c r="D7" s="76" t="str">
        <x:v>BASE-定义边界</x:v>
      </x:c>
      <x:c r="E7" s="76" t="str">
        <x:v>通用</x:v>
      </x:c>
      <x:c r="F7" s="76" t="str">
        <x:v>边界</x:v>
      </x:c>
      <x:c r="G7" s="76" t="str">
        <x:v>十神标签</x:v>
      </x:c>
      <x:c r="H7" s="76" t="str"/>
      <x:c r="I7" s="76" t="str">
        <x:v>仅出现某一十神名称、喜忌或旺衰标签。</x:v>
      </x:c>
      <x:c r="J7" s="76" t="str">
        <x:v>存在至少两类独立证据并完成失衡机制判断。</x:v>
      </x:c>
      <x:c r="K7" s="76" t="str">
        <x:v>由共享基础引擎提供；只修正承载与执行，不直接等同强弱人格。</x:v>
      </x:c>
      <x:c r="L7" s="76" t="str">
        <x:v>由M2接口提供；夫妻星只参与关系议题权重，不单独生成盲点。</x:v>
      </x:c>
      <x:c r="M7" s="76" t="str">
        <x:v>由M3-BASE与共享引擎提供；不得把日支直接写成配偶性格。</x:v>
      </x:c>
      <x:c r="N7" s="76" t="str">
        <x:v>无／待后续规则组合</x:v>
      </x:c>
      <x:c r="O7" s="76" t="str">
        <x:v>由共享基础引擎判定</x:v>
      </x:c>
      <x:c r="P7" s="76" t="str">
        <x:v>由共享基础引擎判定</x:v>
      </x:c>
      <x:c r="Q7" s="76" t="str">
        <x:v>由共享基础引擎判定</x:v>
      </x:c>
      <x:c r="R7" s="76" t="str">
        <x:v>喜忌只修正调用摩擦与平衡，不直接等同好坏。</x:v>
      </x:c>
      <x:c r="S7" s="76" t="str">
        <x:v>原十神性质有效；真合化成立时按化神系统替换。</x:v>
      </x:c>
      <x:c r="T7" s="76" t="str">
        <x:v>由共享基础引擎判定</x:v>
      </x:c>
      <x:c r="U7" s="76" t="str">
        <x:v>98</x:v>
      </x:c>
      <x:c r="V7" s="76" t="str">
        <x:v>停止单标签路由</x:v>
      </x:c>
      <x:c r="W7" s="76" t="str">
        <x:v>stop_reason</x:v>
      </x:c>
      <x:c r="X7" s="76" t="str">
        <x:v>十神只定义功能，不独立证明失衡、触发或循环。</x:v>
      </x:c>
      <x:c r="Y7" s="76" t="str">
        <x:v>仅凭一个十神，不能把某种关系问题固定下来。</x:v>
      </x:c>
      <x:c r="Z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7" s="76" t="str">
        <x:v>高</x:v>
      </x:c>
      <x:c r="AB7" s="76" t="str">
        <x:v>待验证</x:v>
      </x:c>
      <x:c r="AC7" s="76" t="str"/>
      <x:c r="AD7" s="76" t="str">
        <x:v>provisional=true; rule_group=BASE-定义边界</x:v>
      </x:c>
      <x:c r="AE7" s="82" t="str">
        <x:v>0.2</x:v>
      </x:c>
    </x:row>
    <x:row r="8">
      <x:c r="A8" s="81" t="str">
        <x:v>M4-BASE-004</x:v>
      </x:c>
      <x:c r="B8" s="76" t="str">
        <x:v>独立证据门槛</x:v>
      </x:c>
      <x:c r="C8" s="76" t="str">
        <x:v>L0 模型边界与证据</x:v>
      </x:c>
      <x:c r="D8" s="76" t="str">
        <x:v>BASE-定义边界</x:v>
      </x:c>
      <x:c r="E8" s="76" t="str">
        <x:v>通用</x:v>
      </x:c>
      <x:c r="F8" s="76" t="str">
        <x:v>证据门控</x:v>
      </x:c>
      <x:c r="G8" s="76" t="str">
        <x:v>source_id与跨模块证据</x:v>
      </x:c>
      <x:c r="H8" s="76" t="str"/>
      <x:c r="I8" s="76" t="str">
        <x:v>准备建立E1或E2候选。</x:v>
      </x:c>
      <x:c r="J8" s="76" t="str">
        <x:v>所有支持都来自同一个source_id或同一日支事实的重复解释。</x:v>
      </x:c>
      <x:c r="K8" s="76" t="str">
        <x:v>由共享基础引擎提供；只修正承载与执行，不直接等同强弱人格。</x:v>
      </x:c>
      <x:c r="L8" s="76" t="str">
        <x:v>由M2接口提供；夫妻星只参与关系议题权重，不单独生成盲点。</x:v>
      </x:c>
      <x:c r="M8" s="76" t="str">
        <x:v>由M3-BASE与共享引擎提供；不得把日支直接写成配偶性格。</x:v>
      </x:c>
      <x:c r="N8" s="76" t="str">
        <x:v>无／待后续规则组合</x:v>
      </x:c>
      <x:c r="O8" s="76" t="str">
        <x:v>由共享基础引擎判定</x:v>
      </x:c>
      <x:c r="P8" s="76" t="str">
        <x:v>由共享基础引擎判定</x:v>
      </x:c>
      <x:c r="Q8" s="76" t="str">
        <x:v>由共享基础引擎判定</x:v>
      </x:c>
      <x:c r="R8" s="76" t="str">
        <x:v>喜忌只修正调用摩擦与平衡，不直接等同好坏。</x:v>
      </x:c>
      <x:c r="S8" s="76" t="str">
        <x:v>原十神性质有效；真合化成立时按化神系统替换。</x:v>
      </x:c>
      <x:c r="T8" s="76" t="str">
        <x:v>由共享基础引擎判定</x:v>
      </x:c>
      <x:c r="U8" s="76" t="str">
        <x:v>97</x:v>
      </x:c>
      <x:c r="V8" s="76" t="str">
        <x:v>去重后计分</x:v>
      </x:c>
      <x:c r="W8" s="76" t="str">
        <x:v>evidence_level</x:v>
      </x:c>
      <x:c r="X8" s="76" t="str">
        <x:v>至少两类独立证据才能建立结构候选；解释次数不等于证据数量。</x:v>
      </x:c>
      <x:c r="Y8" s="76" t="str">
        <x:v>只有当不同来源的信息彼此支持时，才会把它保留为较明确的关系盲点候选。</x:v>
      </x:c>
      <x:c r="Z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8" s="76" t="str">
        <x:v>高</x:v>
      </x:c>
      <x:c r="AB8" s="76" t="str">
        <x:v>待验证</x:v>
      </x:c>
      <x:c r="AC8" s="76" t="str"/>
      <x:c r="AD8" s="76" t="str">
        <x:v>provisional=true; rule_group=BASE-定义边界</x:v>
      </x:c>
      <x:c r="AE8" s="82" t="str">
        <x:v>0.2</x:v>
      </x:c>
    </x:row>
    <x:row r="9">
      <x:c r="A9" s="81" t="str">
        <x:v>M4-BASE-005</x:v>
      </x:c>
      <x:c r="B9" s="76" t="str">
        <x:v>E1结构候选定义</x:v>
      </x:c>
      <x:c r="C9" s="76" t="str">
        <x:v>L0 模型边界与证据</x:v>
      </x:c>
      <x:c r="D9" s="76" t="str">
        <x:v>BASE-定义边界</x:v>
      </x:c>
      <x:c r="E9" s="76" t="str">
        <x:v>通用</x:v>
      </x:c>
      <x:c r="F9" s="76" t="str">
        <x:v>证据等级</x:v>
      </x:c>
      <x:c r="G9" s="76" t="str">
        <x:v>E1 STRUCTURAL</x:v>
      </x:c>
      <x:c r="H9" s="76" t="str"/>
      <x:c r="I9" s="76" t="str">
        <x:v>有效功能来源＋明确失衡状态＋一项独立修正证据成立。</x:v>
      </x:c>
      <x:c r="J9" s="76" t="str">
        <x:v>触发域、反馈或修复链被强行补写；或基础状态争议。</x:v>
      </x:c>
      <x:c r="K9" s="76" t="str">
        <x:v>由共享基础引擎提供；只修正承载与执行，不直接等同强弱人格。</x:v>
      </x:c>
      <x:c r="L9" s="76" t="str">
        <x:v>由M2接口提供；夫妻星只参与关系议题权重，不单独生成盲点。</x:v>
      </x:c>
      <x:c r="M9" s="76" t="str">
        <x:v>由M3-BASE与共享引擎提供；不得把日支直接写成配偶性格。</x:v>
      </x:c>
      <x:c r="N9" s="76" t="str">
        <x:v>无／待后续规则组合</x:v>
      </x:c>
      <x:c r="O9" s="76" t="str">
        <x:v>由共享基础引擎判定</x:v>
      </x:c>
      <x:c r="P9" s="76" t="str">
        <x:v>由共享基础引擎判定</x:v>
      </x:c>
      <x:c r="Q9" s="76" t="str">
        <x:v>由共享基础引擎判定</x:v>
      </x:c>
      <x:c r="R9" s="76" t="str">
        <x:v>喜忌只修正调用摩擦与平衡，不直接等同好坏。</x:v>
      </x:c>
      <x:c r="S9" s="76" t="str">
        <x:v>原十神性质有效；真合化成立时按化神系统替换。</x:v>
      </x:c>
      <x:c r="T9" s="76" t="str">
        <x:v>由共享基础引擎判定</x:v>
      </x:c>
      <x:c r="U9" s="76" t="str">
        <x:v>96</x:v>
      </x:c>
      <x:c r="V9" s="76" t="str">
        <x:v>E1候选</x:v>
      </x:c>
      <x:c r="W9" s="76" t="str">
        <x:v>evidence_level</x:v>
      </x:c>
      <x:c r="X9" s="76" t="str">
        <x:v>E1只说明结构上可能存在某类失衡，不说明现实中一定发生。</x:v>
      </x:c>
      <x:c r="Y9" s="76" t="str">
        <x:v>目前最多可以说，某类相处方式存在被过度调用、调用不足或替代其他功能的候选。</x:v>
      </x:c>
      <x:c r="Z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9" s="76" t="str">
        <x:v>中高</x:v>
      </x:c>
      <x:c r="AB9" s="76" t="str">
        <x:v>待验证</x:v>
      </x:c>
      <x:c r="AC9" s="76" t="str"/>
      <x:c r="AD9" s="76" t="str">
        <x:v>provisional=true; rule_group=BASE-定义边界</x:v>
      </x:c>
      <x:c r="AE9" s="82" t="str">
        <x:v>0.2</x:v>
      </x:c>
    </x:row>
    <x:row r="10">
      <x:c r="A10" s="81" t="str">
        <x:v>M4-BASE-006</x:v>
      </x:c>
      <x:c r="B10" s="76" t="str">
        <x:v>E2触发候选定义</x:v>
      </x:c>
      <x:c r="C10" s="76" t="str">
        <x:v>L0 模型边界与证据</x:v>
      </x:c>
      <x:c r="D10" s="76" t="str">
        <x:v>BASE-定义边界</x:v>
      </x:c>
      <x:c r="E10" s="76" t="str">
        <x:v>通用</x:v>
      </x:c>
      <x:c r="F10" s="76" t="str">
        <x:v>证据等级</x:v>
      </x:c>
      <x:c r="G10" s="76" t="str">
        <x:v>E2 ACTIVATION</x:v>
      </x:c>
      <x:c r="H10" s="76" t="str"/>
      <x:c r="I10" s="76" t="str">
        <x:v>E1成立；另有可识别触发域候选与调节不足／转换受阻证据。</x:v>
      </x:c>
      <x:c r="J10" s="76" t="str">
        <x:v>触发域仅由想象补足；保护因素足以中断；现实反例明显。</x:v>
      </x:c>
      <x:c r="K10" s="76" t="str">
        <x:v>由共享基础引擎提供；只修正承载与执行，不直接等同强弱人格。</x:v>
      </x:c>
      <x:c r="L10" s="76" t="str">
        <x:v>由M2接口提供；夫妻星只参与关系议题权重，不单独生成盲点。</x:v>
      </x:c>
      <x:c r="M10" s="76" t="str">
        <x:v>由M3-BASE与共享引擎提供；不得把日支直接写成配偶性格。</x:v>
      </x:c>
      <x:c r="N10" s="76" t="str">
        <x:v>无／待后续规则组合</x:v>
      </x:c>
      <x:c r="O10" s="76" t="str">
        <x:v>由共享基础引擎判定</x:v>
      </x:c>
      <x:c r="P10" s="76" t="str">
        <x:v>由共享基础引擎判定</x:v>
      </x:c>
      <x:c r="Q10" s="76" t="str">
        <x:v>由共享基础引擎判定</x:v>
      </x:c>
      <x:c r="R10" s="76" t="str">
        <x:v>喜忌只修正调用摩擦与平衡，不直接等同好坏。</x:v>
      </x:c>
      <x:c r="S10" s="76" t="str">
        <x:v>原十神性质有效；真合化成立时按化神系统替换。</x:v>
      </x:c>
      <x:c r="T10" s="76" t="str">
        <x:v>由共享基础引擎判定</x:v>
      </x:c>
      <x:c r="U10" s="76" t="str">
        <x:v>95</x:v>
      </x:c>
      <x:c r="V10" s="76" t="str">
        <x:v>E2候选</x:v>
      </x:c>
      <x:c r="W10" s="76" t="str">
        <x:v>evidence_level</x:v>
      </x:c>
      <x:c r="X10" s="76" t="str">
        <x:v>E2说明在特定情境下失衡反应更容易启动，仍不是现实循环结论。</x:v>
      </x:c>
      <x:c r="Y10" s="76" t="str">
        <x:v>当关系进入某类压力或不确定情境时，这种反应更容易被启动，但是否反复仍要结合真实经历。</x:v>
      </x:c>
      <x:c r="Z1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0" s="76" t="str">
        <x:v>中高</x:v>
      </x:c>
      <x:c r="AB10" s="76" t="str">
        <x:v>待验证</x:v>
      </x:c>
      <x:c r="AC10" s="76" t="str"/>
      <x:c r="AD10" s="76" t="str">
        <x:v>provisional=true; rule_group=BASE-定义边界</x:v>
      </x:c>
      <x:c r="AE10" s="82" t="str">
        <x:v>0.2</x:v>
      </x:c>
    </x:row>
    <x:row r="11">
      <x:c r="A11" s="81" t="str">
        <x:v>M4-BASE-007</x:v>
      </x:c>
      <x:c r="B11" s="76" t="str">
        <x:v>BASE阶段禁止建立完整循环</x:v>
      </x:c>
      <x:c r="C11" s="76" t="str">
        <x:v>L0 模型边界与证据</x:v>
      </x:c>
      <x:c r="D11" s="76" t="str">
        <x:v>BASE-定义边界</x:v>
      </x:c>
      <x:c r="E11" s="76" t="str">
        <x:v>通用</x:v>
      </x:c>
      <x:c r="F11" s="76" t="str">
        <x:v>边界</x:v>
      </x:c>
      <x:c r="G11" s="76" t="str">
        <x:v>E3 LOOP</x:v>
      </x:c>
      <x:c r="H11" s="76" t="str"/>
      <x:c r="I11" s="76" t="str">
        <x:v>M4-BASE正在运行。</x:v>
      </x:c>
      <x:c r="J11" s="76" t="str">
        <x:v>后续M4-LOOP已提供起点、反馈、强化和修复卡点，并经现实事件验证。</x:v>
      </x:c>
      <x:c r="K11" s="76" t="str">
        <x:v>由共享基础引擎提供；只修正承载与执行，不直接等同强弱人格。</x:v>
      </x:c>
      <x:c r="L11" s="76" t="str">
        <x:v>由M2接口提供；夫妻星只参与关系议题权重，不单独生成盲点。</x:v>
      </x:c>
      <x:c r="M11" s="76" t="str">
        <x:v>由M3-BASE与共享引擎提供；不得把日支直接写成配偶性格。</x:v>
      </x:c>
      <x:c r="N11" s="76" t="str">
        <x:v>无／待后续规则组合</x:v>
      </x:c>
      <x:c r="O11" s="76" t="str">
        <x:v>由共享基础引擎判定</x:v>
      </x:c>
      <x:c r="P11" s="76" t="str">
        <x:v>由共享基础引擎判定</x:v>
      </x:c>
      <x:c r="Q11" s="76" t="str">
        <x:v>由共享基础引擎判定</x:v>
      </x:c>
      <x:c r="R11" s="76" t="str">
        <x:v>喜忌只修正调用摩擦与平衡，不直接等同好坏。</x:v>
      </x:c>
      <x:c r="S11" s="76" t="str">
        <x:v>原十神性质有效；真合化成立时按化神系统替换。</x:v>
      </x:c>
      <x:c r="T11" s="76" t="str">
        <x:v>由共享基础引擎判定</x:v>
      </x:c>
      <x:c r="U11" s="76" t="str">
        <x:v>95</x:v>
      </x:c>
      <x:c r="V11" s="76" t="str">
        <x:v>禁止升级E3</x:v>
      </x:c>
      <x:c r="W11" s="76" t="str">
        <x:v>boundary_note</x:v>
      </x:c>
      <x:c r="X11" s="76" t="str">
        <x:v>BASE只建立功能与失衡候选，不能生成完整双向循环。</x:v>
      </x:c>
      <x:c r="Y11" s="76" t="str">
        <x:v>这一阶段只识别可能的起点，不把对方的反应和关系结果提前写成定论。</x:v>
      </x:c>
      <x:c r="Z1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1" s="76" t="str">
        <x:v>高</x:v>
      </x:c>
      <x:c r="AB11" s="76" t="str">
        <x:v>待验证</x:v>
      </x:c>
      <x:c r="AC11" s="76" t="str"/>
      <x:c r="AD11" s="76" t="str">
        <x:v>provisional=true; rule_group=BASE-定义边界</x:v>
      </x:c>
      <x:c r="AE11" s="82" t="str">
        <x:v>0.2</x:v>
      </x:c>
    </x:row>
    <x:row r="12">
      <x:c r="A12" s="81" t="str">
        <x:v>M4-BASE-008</x:v>
      </x:c>
      <x:c r="B12" s="76" t="str">
        <x:v>M3正常功能为功能来源主权威</x:v>
      </x:c>
      <x:c r="C12" s="76" t="str">
        <x:v>L0 模型边界与证据</x:v>
      </x:c>
      <x:c r="D12" s="76" t="str">
        <x:v>BASE-定义边界</x:v>
      </x:c>
      <x:c r="E12" s="76" t="str">
        <x:v>通用</x:v>
      </x:c>
      <x:c r="F12" s="76" t="str">
        <x:v>输入门控</x:v>
      </x:c>
      <x:c r="G12" s="76" t="str">
        <x:v>M3输出</x:v>
      </x:c>
      <x:c r="H12" s="76" t="str"/>
      <x:c r="I12" s="76" t="str">
        <x:v>M3-BASE／EXPR／CARE／BOUND／CONFLICT至少一项有效输出存在。</x:v>
      </x:c>
      <x:c r="J12" s="76" t="str">
        <x:v>M3关键模块停止；或M4试图绕过M3重新定义日常相处方式。</x:v>
      </x:c>
      <x:c r="K12" s="76" t="str">
        <x:v>由共享基础引擎提供；只修正承载与执行，不直接等同强弱人格。</x:v>
      </x:c>
      <x:c r="L12" s="76" t="str">
        <x:v>由M2接口提供；夫妻星只参与关系议题权重，不单独生成盲点。</x:v>
      </x:c>
      <x:c r="M12" s="76" t="str">
        <x:v>由M3-BASE与共享引擎提供；不得把日支直接写成配偶性格。</x:v>
      </x:c>
      <x:c r="N12" s="76" t="str">
        <x:v>无／待后续规则组合</x:v>
      </x:c>
      <x:c r="O12" s="76" t="str">
        <x:v>由共享基础引擎判定</x:v>
      </x:c>
      <x:c r="P12" s="76" t="str">
        <x:v>由共享基础引擎判定</x:v>
      </x:c>
      <x:c r="Q12" s="76" t="str">
        <x:v>由共享基础引擎判定</x:v>
      </x:c>
      <x:c r="R12" s="76" t="str">
        <x:v>喜忌只修正调用摩擦与平衡，不直接等同好坏。</x:v>
      </x:c>
      <x:c r="S12" s="76" t="str">
        <x:v>原十神性质有效；真合化成立时按化神系统替换。</x:v>
      </x:c>
      <x:c r="T12" s="76" t="str">
        <x:v>由共享基础引擎判定</x:v>
      </x:c>
      <x:c r="U12" s="76" t="str">
        <x:v>94</x:v>
      </x:c>
      <x:c r="V12" s="76" t="str">
        <x:v>导入M3；不重复加分</x:v>
      </x:c>
      <x:c r="W12" s="76" t="str">
        <x:v>functional_origin</x:v>
      </x:c>
      <x:c r="X12" s="76" t="str">
        <x:v>M4必须继承M3的中性功能描述，再判断失衡；不得改写M3。</x:v>
      </x:c>
      <x:c r="Y12" s="76" t="str">
        <x:v>模型会先保留你原本有效的相处方式，再检查它在哪些条件下可能出现偏差。</x:v>
      </x:c>
      <x:c r="Z1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2" s="76" t="str">
        <x:v>高</x:v>
      </x:c>
      <x:c r="AB12" s="76" t="str">
        <x:v>待验证</x:v>
      </x:c>
      <x:c r="AC12" s="76" t="str"/>
      <x:c r="AD12" s="76" t="str">
        <x:v>provisional=true; rule_group=BASE-定义边界</x:v>
      </x:c>
      <x:c r="AE12" s="82" t="str">
        <x:v>0.2</x:v>
      </x:c>
    </x:row>
    <x:row r="13">
      <x:c r="A13" s="81" t="str">
        <x:v>M4-BASE-009</x:v>
      </x:c>
      <x:c r="B13" s="76" t="str">
        <x:v>共享基础引擎输入合同</x:v>
      </x:c>
      <x:c r="C13" s="76" t="str">
        <x:v>L0 模型边界与证据</x:v>
      </x:c>
      <x:c r="D13" s="76" t="str">
        <x:v>BASE-定义边界</x:v>
      </x:c>
      <x:c r="E13" s="76" t="str">
        <x:v>通用</x:v>
      </x:c>
      <x:c r="F13" s="76" t="str">
        <x:v>输入门控</x:v>
      </x:c>
      <x:c r="G13" s="76" t="str">
        <x:v>共享命理引擎</x:v>
      </x:c>
      <x:c r="H13" s="76" t="str"/>
      <x:c r="I13" s="76" t="str">
        <x:v>排盘、十神、日支藏干、旺衰、根气、喜忌、合化、制化、流向和source_id已标准化。</x:v>
      </x:c>
      <x:c r="J13" s="76" t="str">
        <x:v>基础数据缺失或互相冲突。</x:v>
      </x:c>
      <x:c r="K13" s="76" t="str">
        <x:v>由共享基础引擎提供；只修正承载与执行，不直接等同强弱人格。</x:v>
      </x:c>
      <x:c r="L13" s="76" t="str">
        <x:v>由M2接口提供；夫妻星只参与关系议题权重，不单独生成盲点。</x:v>
      </x:c>
      <x:c r="M13" s="76" t="str">
        <x:v>由M3-BASE与共享引擎提供；不得把日支直接写成配偶性格。</x:v>
      </x:c>
      <x:c r="N13" s="76" t="str">
        <x:v>无／待后续规则组合</x:v>
      </x:c>
      <x:c r="O13" s="76" t="str">
        <x:v>由共享基础引擎判定</x:v>
      </x:c>
      <x:c r="P13" s="76" t="str">
        <x:v>由共享基础引擎判定</x:v>
      </x:c>
      <x:c r="Q13" s="76" t="str">
        <x:v>由共享基础引擎判定</x:v>
      </x:c>
      <x:c r="R13" s="76" t="str">
        <x:v>喜忌只修正调用摩擦与平衡，不直接等同好坏。</x:v>
      </x:c>
      <x:c r="S13" s="76" t="str">
        <x:v>原十神性质有效；真合化成立时按化神系统替换。</x:v>
      </x:c>
      <x:c r="T13" s="76" t="str">
        <x:v>由共享基础引擎判定</x:v>
      </x:c>
      <x:c r="U13" s="76" t="str">
        <x:v>94</x:v>
      </x:c>
      <x:c r="V13" s="76" t="str">
        <x:v>不加分；输入门控</x:v>
      </x:c>
      <x:c r="W13" s="76" t="str">
        <x:v>report_status</x:v>
      </x:c>
      <x:c r="X13" s="76" t="str">
        <x:v>M4不重新排盘，不独立裁定合化旺衰，只翻译可靠事实。</x:v>
      </x:c>
      <x:c r="Y13" s="76" t="str">
        <x:v>基础状态有争议时，会保留不确定性，不为了完整而硬写关系问题。</x:v>
      </x:c>
      <x:c r="Z1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3" s="76" t="str">
        <x:v>高</x:v>
      </x:c>
      <x:c r="AB13" s="76" t="str">
        <x:v>待验证</x:v>
      </x:c>
      <x:c r="AC13" s="76" t="str"/>
      <x:c r="AD13" s="76" t="str">
        <x:v>provisional=true; rule_group=BASE-定义边界</x:v>
      </x:c>
      <x:c r="AE13" s="82" t="str">
        <x:v>0.2</x:v>
      </x:c>
    </x:row>
    <x:row r="14">
      <x:c r="A14" s="81" t="str">
        <x:v>M4-BASE-010</x:v>
      </x:c>
      <x:c r="B14" s="76" t="str">
        <x:v>同源证据只计一次</x:v>
      </x:c>
      <x:c r="C14" s="76" t="str">
        <x:v>L0 模型边界与证据</x:v>
      </x:c>
      <x:c r="D14" s="76" t="str">
        <x:v>BASE-定义边界</x:v>
      </x:c>
      <x:c r="E14" s="76" t="str">
        <x:v>通用</x:v>
      </x:c>
      <x:c r="F14" s="76" t="str">
        <x:v>去重</x:v>
      </x:c>
      <x:c r="G14" s="76" t="str">
        <x:v>source_id</x:v>
      </x:c>
      <x:c r="H14" s="76" t="str"/>
      <x:c r="I14" s="76" t="str">
        <x:v>同一命理事实被M3多个模块或M4多条规则读取。</x:v>
      </x:c>
      <x:c r="J14" s="76" t="str">
        <x:v>来源确实独立且功能不同。</x:v>
      </x:c>
      <x:c r="K14" s="76" t="str">
        <x:v>由共享基础引擎提供；只修正承载与执行，不直接等同强弱人格。</x:v>
      </x:c>
      <x:c r="L14" s="76" t="str">
        <x:v>由M2接口提供；夫妻星只参与关系议题权重，不单独生成盲点。</x:v>
      </x:c>
      <x:c r="M14" s="76" t="str">
        <x:v>由M3-BASE与共享引擎提供；不得把日支直接写成配偶性格。</x:v>
      </x:c>
      <x:c r="N14" s="76" t="str">
        <x:v>无／待后续规则组合</x:v>
      </x:c>
      <x:c r="O14" s="76" t="str">
        <x:v>由共享基础引擎判定</x:v>
      </x:c>
      <x:c r="P14" s="76" t="str">
        <x:v>由共享基础引擎判定</x:v>
      </x:c>
      <x:c r="Q14" s="76" t="str">
        <x:v>由共享基础引擎判定</x:v>
      </x:c>
      <x:c r="R14" s="76" t="str">
        <x:v>喜忌只修正调用摩擦与平衡，不直接等同好坏。</x:v>
      </x:c>
      <x:c r="S14" s="76" t="str">
        <x:v>原十神性质有效；真合化成立时按化神系统替换。</x:v>
      </x:c>
      <x:c r="T14" s="76" t="str">
        <x:v>由共享基础引擎判定</x:v>
      </x:c>
      <x:c r="U14" s="76" t="str">
        <x:v>94</x:v>
      </x:c>
      <x:c r="V14" s="76" t="str">
        <x:v>同源去重</x:v>
      </x:c>
      <x:c r="W14" s="76" t="str">
        <x:v>dedup_log</x:v>
      </x:c>
      <x:c r="X14" s="76" t="str">
        <x:v>同一source_id只能计算一次基础权重；可多角度解释但不增加独立证据数。</x:v>
      </x:c>
      <x:c r="Y14" s="76" t="str">
        <x:v>同一个命理事实不会因为被多个模块解释，就被重复放大。</x:v>
      </x:c>
      <x:c r="Z1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4" s="76" t="str">
        <x:v>高</x:v>
      </x:c>
      <x:c r="AB14" s="76" t="str">
        <x:v>待验证</x:v>
      </x:c>
      <x:c r="AC14" s="76" t="str"/>
      <x:c r="AD14" s="76" t="str">
        <x:v>provisional=true; rule_group=BASE-定义边界</x:v>
      </x:c>
      <x:c r="AE14" s="82" t="str">
        <x:v>0.2</x:v>
      </x:c>
    </x:row>
    <x:row r="15">
      <x:c r="A15" s="81" t="str">
        <x:v>M4-BASE-011</x:v>
      </x:c>
      <x:c r="B15" s="76" t="str">
        <x:v>现实安全优先</x:v>
      </x:c>
      <x:c r="C15" s="76" t="str">
        <x:v>L0 模型边界与证据</x:v>
      </x:c>
      <x:c r="D15" s="76" t="str">
        <x:v>BASE-定义边界</x:v>
      </x:c>
      <x:c r="E15" s="76" t="str">
        <x:v>通用</x:v>
      </x:c>
      <x:c r="F15" s="76" t="str">
        <x:v>安全边界</x:v>
      </x:c>
      <x:c r="G15" s="76" t="str">
        <x:v>现实安全事件</x:v>
      </x:c>
      <x:c r="H15" s="76" t="str"/>
      <x:c r="I15" s="76" t="str">
        <x:v>真实关系涉及暴力、威胁、强迫、经济控制、跟踪、隔离或明确人身风险。</x:v>
      </x:c>
      <x:c r="J15" s="76" t="str"/>
      <x:c r="K15" s="76" t="str">
        <x:v>由共享基础引擎提供；只修正承载与执行，不直接等同强弱人格。</x:v>
      </x:c>
      <x:c r="L15" s="76" t="str">
        <x:v>由M2接口提供；夫妻星只参与关系议题权重，不单独生成盲点。</x:v>
      </x:c>
      <x:c r="M15" s="76" t="str">
        <x:v>由M3-BASE与共享引擎提供；不得把日支直接写成配偶性格。</x:v>
      </x:c>
      <x:c r="N15" s="76" t="str">
        <x:v>无／待后续规则组合</x:v>
      </x:c>
      <x:c r="O15" s="76" t="str">
        <x:v>由共享基础引擎判定</x:v>
      </x:c>
      <x:c r="P15" s="76" t="str">
        <x:v>由共享基础引擎判定</x:v>
      </x:c>
      <x:c r="Q15" s="76" t="str">
        <x:v>由共享基础引擎判定</x:v>
      </x:c>
      <x:c r="R15" s="76" t="str">
        <x:v>喜忌只修正调用摩擦与平衡，不直接等同好坏。</x:v>
      </x:c>
      <x:c r="S15" s="76" t="str">
        <x:v>原十神性质有效；真合化成立时按化神系统替换。</x:v>
      </x:c>
      <x:c r="T15" s="76" t="str">
        <x:v>由共享基础引擎判定</x:v>
      </x:c>
      <x:c r="U15" s="76" t="str">
        <x:v>100</x:v>
      </x:c>
      <x:c r="V15" s="76" t="str">
        <x:v>STOP；安全优先</x:v>
      </x:c>
      <x:c r="W15" s="76" t="str">
        <x:v>report_status</x:v>
      </x:c>
      <x:c r="X15" s="76" t="str">
        <x:v>此时停止用互动循环淡化责任，优先现实安全评估与专业支持。</x:v>
      </x:c>
      <x:c r="Y15" s="76" t="str">
        <x:v>若现实中已经存在明确伤害或安全风险，应先处理现实安全，不能用命理把责任平均化或合理化。</x:v>
      </x:c>
      <x:c r="Z1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" s="76" t="str">
        <x:v>高</x:v>
      </x:c>
      <x:c r="AB15" s="76" t="str">
        <x:v>待验证</x:v>
      </x:c>
      <x:c r="AC15" s="76" t="str"/>
      <x:c r="AD15" s="76" t="str">
        <x:v>provisional=true; rule_group=BASE-定义边界</x:v>
      </x:c>
      <x:c r="AE15" s="82" t="str">
        <x:v>0.2</x:v>
      </x:c>
    </x:row>
    <x:row r="16">
      <x:c r="A16" s="81" t="str">
        <x:v>M4-BASE-012</x:v>
      </x:c>
      <x:c r="B16" s="76" t="str">
        <x:v>M4-BASE输出合同</x:v>
      </x:c>
      <x:c r="C16" s="76" t="str">
        <x:v>L0 模型边界与证据</x:v>
      </x:c>
      <x:c r="D16" s="76" t="str">
        <x:v>BASE-定义边界</x:v>
      </x:c>
      <x:c r="E16" s="76" t="str">
        <x:v>通用</x:v>
      </x:c>
      <x:c r="F16" s="76" t="str">
        <x:v>输出合同</x:v>
      </x:c>
      <x:c r="G16" s="76" t="str">
        <x:v>BASE输出字段</x:v>
      </x:c>
      <x:c r="H16" s="76" t="str"/>
      <x:c r="I16" s="76" t="str">
        <x:v>至少一项正常功能来源可靠，并通过基础门控。</x:v>
      </x:c>
      <x:c r="J16" s="76" t="str">
        <x:v>所有候选均停止或只有单一弱远标签。</x:v>
      </x:c>
      <x:c r="K16" s="76" t="str">
        <x:v>由共享基础引擎提供；只修正承载与执行，不直接等同强弱人格。</x:v>
      </x:c>
      <x:c r="L16" s="76" t="str">
        <x:v>由M2接口提供；夫妻星只参与关系议题权重，不单独生成盲点。</x:v>
      </x:c>
      <x:c r="M16" s="76" t="str">
        <x:v>由M3-BASE与共享引擎提供；不得把日支直接写成配偶性格。</x:v>
      </x:c>
      <x:c r="N16" s="76" t="str">
        <x:v>无／待后续规则组合</x:v>
      </x:c>
      <x:c r="O16" s="76" t="str">
        <x:v>由共享基础引擎判定</x:v>
      </x:c>
      <x:c r="P16" s="76" t="str">
        <x:v>由共享基础引擎判定</x:v>
      </x:c>
      <x:c r="Q16" s="76" t="str">
        <x:v>由共享基础引擎判定</x:v>
      </x:c>
      <x:c r="R16" s="76" t="str">
        <x:v>喜忌只修正调用摩擦与平衡，不直接等同好坏。</x:v>
      </x:c>
      <x:c r="S16" s="76" t="str">
        <x:v>原十神性质有效；真合化成立时按化神系统替换。</x:v>
      </x:c>
      <x:c r="T16" s="76" t="str">
        <x:v>由共享基础引擎判定</x:v>
      </x:c>
      <x:c r="U16" s="76" t="str">
        <x:v>93</x:v>
      </x:c>
      <x:c r="V16" s="76" t="str">
        <x:v>不加分；输出合同</x:v>
      </x:c>
      <x:c r="W16" s="76" t="str">
        <x:v>report_template</x:v>
      </x:c>
      <x:c r="X16" s="76" t="str">
        <x:v>本模块输出functional_origin、imbalance_mechanism_candidate、missing_function_candidate、buffer_candidate、evidence_level和boundary_note。</x:v>
      </x:c>
      <x:c r="Y16" s="76" t="str">
        <x:v>最终会说明：这项反应原本有什么作用、哪里可能失衡、还缺哪一步，以及哪些条件会使它减弱。</x:v>
      </x:c>
      <x:c r="Z1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" s="76" t="str">
        <x:v>中高</x:v>
      </x:c>
      <x:c r="AB16" s="76" t="str">
        <x:v>待验证</x:v>
      </x:c>
      <x:c r="AC16" s="76" t="str"/>
      <x:c r="AD16" s="76" t="str">
        <x:v>provisional=true; rule_group=BASE-定义边界</x:v>
      </x:c>
      <x:c r="AE16" s="82" t="str">
        <x:v>0.2</x:v>
      </x:c>
    </x:row>
    <x:row r="17">
      <x:c r="A17" s="81" t="str">
        <x:v>M4-BASE-013</x:v>
      </x:c>
      <x:c r="B17" s="76" t="str">
        <x:v>正文一主一辅</x:v>
      </x:c>
      <x:c r="C17" s="76" t="str">
        <x:v>L0 模型边界与证据</x:v>
      </x:c>
      <x:c r="D17" s="76" t="str">
        <x:v>BASE-定义边界</x:v>
      </x:c>
      <x:c r="E17" s="76" t="str">
        <x:v>通用</x:v>
      </x:c>
      <x:c r="F17" s="76" t="str">
        <x:v>输出边界</x:v>
      </x:c>
      <x:c r="G17" s="76" t="str">
        <x:v>候选排序</x:v>
      </x:c>
      <x:c r="H17" s="76" t="str"/>
      <x:c r="I17" s="76" t="str">
        <x:v>存在多个失衡候选。</x:v>
      </x:c>
      <x:c r="J17" s="76" t="str">
        <x:v>仅为内部候选池，不进入用户正文。</x:v>
      </x:c>
      <x:c r="K17" s="76" t="str">
        <x:v>由共享基础引擎提供；只修正承载与执行，不直接等同强弱人格。</x:v>
      </x:c>
      <x:c r="L17" s="76" t="str">
        <x:v>由M2接口提供；夫妻星只参与关系议题权重，不单独生成盲点。</x:v>
      </x:c>
      <x:c r="M17" s="76" t="str">
        <x:v>由M3-BASE与共享引擎提供；不得把日支直接写成配偶性格。</x:v>
      </x:c>
      <x:c r="N17" s="76" t="str">
        <x:v>无／待后续规则组合</x:v>
      </x:c>
      <x:c r="O17" s="76" t="str">
        <x:v>由共享基础引擎判定</x:v>
      </x:c>
      <x:c r="P17" s="76" t="str">
        <x:v>由共享基础引擎判定</x:v>
      </x:c>
      <x:c r="Q17" s="76" t="str">
        <x:v>由共享基础引擎判定</x:v>
      </x:c>
      <x:c r="R17" s="76" t="str">
        <x:v>喜忌只修正调用摩擦与平衡，不直接等同好坏。</x:v>
      </x:c>
      <x:c r="S17" s="76" t="str">
        <x:v>原十神性质有效；真合化成立时按化神系统替换。</x:v>
      </x:c>
      <x:c r="T17" s="76" t="str">
        <x:v>由共享基础引擎判定</x:v>
      </x:c>
      <x:c r="U17" s="76" t="str">
        <x:v>92</x:v>
      </x:c>
      <x:c r="V17" s="76" t="str">
        <x:v>正文封顶1主1辅</x:v>
      </x:c>
      <x:c r="W17" s="76" t="str">
        <x:v>boundary_note</x:v>
      </x:c>
      <x:c r="X17" s="76" t="str">
        <x:v>正文最多保留一个主失衡机制和一个次机制；其余写入内部日志。</x:v>
      </x:c>
      <x:c r="Y17" s="76" t="str">
        <x:v>报告只保留最有证据的一项核心盲点和必要的第二项，不堆积问题标签。</x:v>
      </x:c>
      <x:c r="Z1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" s="76" t="str">
        <x:v>高</x:v>
      </x:c>
      <x:c r="AB17" s="76" t="str">
        <x:v>待验证</x:v>
      </x:c>
      <x:c r="AC17" s="76" t="str"/>
      <x:c r="AD17" s="76" t="str">
        <x:v>provisional=true; rule_group=BASE-定义边界</x:v>
      </x:c>
      <x:c r="AE17" s="82" t="str">
        <x:v>0.2</x:v>
      </x:c>
    </x:row>
    <x:row r="18">
      <x:c r="A18" s="81" t="str">
        <x:v>M4-BASE-014</x:v>
      </x:c>
      <x:c r="B18" s="76" t="str">
        <x:v>反例与保护因素必须并查</x:v>
      </x:c>
      <x:c r="C18" s="76" t="str">
        <x:v>L0 模型边界与证据</x:v>
      </x:c>
      <x:c r="D18" s="76" t="str">
        <x:v>BASE-定义边界</x:v>
      </x:c>
      <x:c r="E18" s="76" t="str">
        <x:v>通用</x:v>
      </x:c>
      <x:c r="F18" s="76" t="str">
        <x:v>证据门控</x:v>
      </x:c>
      <x:c r="G18" s="76" t="str">
        <x:v>counterevidence／buffer</x:v>
      </x:c>
      <x:c r="H18" s="76" t="str"/>
      <x:c r="I18" s="76" t="str">
        <x:v>准备发布E1或E2候选。</x:v>
      </x:c>
      <x:c r="J18" s="76" t="str">
        <x:v>尚未检查有效制化、通关、现实反例或状态分工。</x:v>
      </x:c>
      <x:c r="K18" s="76" t="str">
        <x:v>由共享基础引擎提供；只修正承载与执行，不直接等同强弱人格。</x:v>
      </x:c>
      <x:c r="L18" s="76" t="str">
        <x:v>由M2接口提供；夫妻星只参与关系议题权重，不单独生成盲点。</x:v>
      </x:c>
      <x:c r="M18" s="76" t="str">
        <x:v>由M3-BASE与共享引擎提供；不得把日支直接写成配偶性格。</x:v>
      </x:c>
      <x:c r="N18" s="76" t="str">
        <x:v>无／待后续规则组合</x:v>
      </x:c>
      <x:c r="O18" s="76" t="str">
        <x:v>由共享基础引擎判定</x:v>
      </x:c>
      <x:c r="P18" s="76" t="str">
        <x:v>由共享基础引擎判定</x:v>
      </x:c>
      <x:c r="Q18" s="76" t="str">
        <x:v>由共享基础引擎判定</x:v>
      </x:c>
      <x:c r="R18" s="76" t="str">
        <x:v>喜忌只修正调用摩擦与平衡，不直接等同好坏。</x:v>
      </x:c>
      <x:c r="S18" s="76" t="str">
        <x:v>原十神性质有效；真合化成立时按化神系统替换。</x:v>
      </x:c>
      <x:c r="T18" s="76" t="str">
        <x:v>由共享基础引擎判定</x:v>
      </x:c>
      <x:c r="U18" s="76" t="str">
        <x:v>92</x:v>
      </x:c>
      <x:c r="V18" s="76" t="str">
        <x:v>未查保护因子则不发布</x:v>
      </x:c>
      <x:c r="W18" s="76" t="str">
        <x:v>buffer_factor</x:v>
      </x:c>
      <x:c r="X18" s="76" t="str">
        <x:v>风险候选必须与保护因素和反例同时评估。</x:v>
      </x:c>
      <x:c r="Y18" s="76" t="str">
        <x:v>即使存在某种失衡候选，也会同时检查命局和现实中是否有能限制它、补足它或中断它的条件。</x:v>
      </x:c>
      <x:c r="Z1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" s="76" t="str">
        <x:v>高</x:v>
      </x:c>
      <x:c r="AB18" s="76" t="str">
        <x:v>待验证</x:v>
      </x:c>
      <x:c r="AC18" s="76" t="str"/>
      <x:c r="AD18" s="76" t="str">
        <x:v>provisional=true; rule_group=BASE-定义边界</x:v>
      </x:c>
      <x:c r="AE18" s="82" t="str">
        <x:v>0.2</x:v>
      </x:c>
    </x:row>
    <x:row r="19">
      <x:c r="A19" s="81" t="str">
        <x:v>M4-BASE-015</x:v>
      </x:c>
      <x:c r="B19" s="76" t="str">
        <x:v>禁止道德裁定</x:v>
      </x:c>
      <x:c r="C19" s="76" t="str">
        <x:v>L0 模型边界与证据</x:v>
      </x:c>
      <x:c r="D19" s="76" t="str">
        <x:v>BASE-定义边界</x:v>
      </x:c>
      <x:c r="E19" s="76" t="str">
        <x:v>通用</x:v>
      </x:c>
      <x:c r="F19" s="76" t="str">
        <x:v>边界</x:v>
      </x:c>
      <x:c r="G19" s="76" t="str">
        <x:v>道德与责任判断</x:v>
      </x:c>
      <x:c r="H19" s="76" t="str"/>
      <x:c r="I19" s="76" t="str">
        <x:v>M4规则运行。</x:v>
      </x:c>
      <x:c r="J19" s="76" t="str">
        <x:v>现实安全事件需单独处理。</x:v>
      </x:c>
      <x:c r="K19" s="76" t="str">
        <x:v>由共享基础引擎提供；只修正承载与执行，不直接等同强弱人格。</x:v>
      </x:c>
      <x:c r="L19" s="76" t="str">
        <x:v>由M2接口提供；夫妻星只参与关系议题权重，不单独生成盲点。</x:v>
      </x:c>
      <x:c r="M19" s="76" t="str">
        <x:v>由M3-BASE与共享引擎提供；不得把日支直接写成配偶性格。</x:v>
      </x:c>
      <x:c r="N19" s="76" t="str">
        <x:v>无／待后续规则组合</x:v>
      </x:c>
      <x:c r="O19" s="76" t="str">
        <x:v>由共享基础引擎判定</x:v>
      </x:c>
      <x:c r="P19" s="76" t="str">
        <x:v>由共享基础引擎判定</x:v>
      </x:c>
      <x:c r="Q19" s="76" t="str">
        <x:v>由共享基础引擎判定</x:v>
      </x:c>
      <x:c r="R19" s="76" t="str">
        <x:v>喜忌只修正调用摩擦与平衡，不直接等同好坏。</x:v>
      </x:c>
      <x:c r="S19" s="76" t="str">
        <x:v>原十神性质有效；真合化成立时按化神系统替换。</x:v>
      </x:c>
      <x:c r="T19" s="76" t="str">
        <x:v>由共享基础引擎判定</x:v>
      </x:c>
      <x:c r="U19" s="76" t="str">
        <x:v>92</x:v>
      </x:c>
      <x:c r="V19" s="76" t="str">
        <x:v>不加分；语言门控</x:v>
      </x:c>
      <x:c r="W19" s="76" t="str">
        <x:v>boundary_note</x:v>
      </x:c>
      <x:c r="X19" s="76" t="str">
        <x:v>M4描述功能和反馈机制，不判断谁是好人坏人或谁更爱。</x:v>
      </x:c>
      <x:c r="Y19" s="76" t="str">
        <x:v>这部分只描述自动反应和可能遗漏的信息，不把它解释成品德好坏。</x:v>
      </x:c>
      <x:c r="Z1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" s="76" t="str">
        <x:v>高</x:v>
      </x:c>
      <x:c r="AB19" s="76" t="str">
        <x:v>待验证</x:v>
      </x:c>
      <x:c r="AC19" s="76" t="str"/>
      <x:c r="AD19" s="76" t="str">
        <x:v>provisional=true; rule_group=BASE-定义边界</x:v>
      </x:c>
      <x:c r="AE19" s="82" t="str">
        <x:v>0.2</x:v>
      </x:c>
    </x:row>
    <x:row r="20">
      <x:c r="A20" s="81" t="str">
        <x:v>M4-BASE-016</x:v>
      </x:c>
      <x:c r="B20" s="76" t="str">
        <x:v>正常功能句必须保留</x:v>
      </x:c>
      <x:c r="C20" s="76" t="str">
        <x:v>L0 模型边界与证据</x:v>
      </x:c>
      <x:c r="D20" s="76" t="str">
        <x:v>BASE-定义边界</x:v>
      </x:c>
      <x:c r="E20" s="76" t="str">
        <x:v>通用</x:v>
      </x:c>
      <x:c r="F20" s="76" t="str">
        <x:v>输出合同</x:v>
      </x:c>
      <x:c r="G20" s="76" t="str">
        <x:v>functional_origin</x:v>
      </x:c>
      <x:c r="H20" s="76" t="str"/>
      <x:c r="I20" s="76" t="str">
        <x:v>用户正文包含盲点候选。</x:v>
      </x:c>
      <x:c r="J20" s="76" t="str">
        <x:v>功能来源不可靠。</x:v>
      </x:c>
      <x:c r="K20" s="76" t="str">
        <x:v>由共享基础引擎提供；只修正承载与执行，不直接等同强弱人格。</x:v>
      </x:c>
      <x:c r="L20" s="76" t="str">
        <x:v>由M2接口提供；夫妻星只参与关系议题权重，不单独生成盲点。</x:v>
      </x:c>
      <x:c r="M20" s="76" t="str">
        <x:v>由M3-BASE与共享引擎提供；不得把日支直接写成配偶性格。</x:v>
      </x:c>
      <x:c r="N20" s="76" t="str">
        <x:v>无／待后续规则组合</x:v>
      </x:c>
      <x:c r="O20" s="76" t="str">
        <x:v>由共享基础引擎判定</x:v>
      </x:c>
      <x:c r="P20" s="76" t="str">
        <x:v>由共享基础引擎判定</x:v>
      </x:c>
      <x:c r="Q20" s="76" t="str">
        <x:v>由共享基础引擎判定</x:v>
      </x:c>
      <x:c r="R20" s="76" t="str">
        <x:v>喜忌只修正调用摩擦与平衡，不直接等同好坏。</x:v>
      </x:c>
      <x:c r="S20" s="76" t="str">
        <x:v>原十神性质有效；真合化成立时按化神系统替换。</x:v>
      </x:c>
      <x:c r="T20" s="76" t="str">
        <x:v>由共享基础引擎判定</x:v>
      </x:c>
      <x:c r="U20" s="76" t="str">
        <x:v>91</x:v>
      </x:c>
      <x:c r="V20" s="76" t="str">
        <x:v>强制前置功能句</x:v>
      </x:c>
      <x:c r="W20" s="76" t="str">
        <x:v>user_explanation</x:v>
      </x:c>
      <x:c r="X20" s="76" t="str">
        <x:v>每条盲点输出前必须先说明该反应原本的合理功能。</x:v>
      </x:c>
      <x:c r="Y20" s="76" t="str">
        <x:v>这项反应并非毫无价值；它原本是在帮助你________。真正需要留意的是，当________时，它可能开始遮住另一项需要。</x:v>
      </x:c>
      <x:c r="Z2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0" s="76" t="str">
        <x:v>中高</x:v>
      </x:c>
      <x:c r="AB20" s="76" t="str">
        <x:v>待验证</x:v>
      </x:c>
      <x:c r="AC20" s="76" t="str"/>
      <x:c r="AD20" s="76" t="str">
        <x:v>provisional=true; rule_group=BASE-定义边界</x:v>
      </x:c>
      <x:c r="AE20" s="82" t="str">
        <x:v>0.2</x:v>
      </x:c>
    </x:row>
    <x:row r="21">
      <x:c r="A21" s="81" t="str">
        <x:v>M4-BASE-017</x:v>
      </x:c>
      <x:c r="B21" s="76" t="str">
        <x:v>过用与缺位分别记录</x:v>
      </x:c>
      <x:c r="C21" s="76" t="str">
        <x:v>L0 模型边界与证据</x:v>
      </x:c>
      <x:c r="D21" s="76" t="str">
        <x:v>BASE-定义边界</x:v>
      </x:c>
      <x:c r="E21" s="76" t="str">
        <x:v>通用</x:v>
      </x:c>
      <x:c r="F21" s="76" t="str">
        <x:v>结构边界</x:v>
      </x:c>
      <x:c r="G21" s="76" t="str">
        <x:v>K01／K02</x:v>
      </x:c>
      <x:c r="H21" s="76" t="str"/>
      <x:c r="I21" s="76" t="str">
        <x:v>同一候选同时涉及过用和不足。</x:v>
      </x:c>
      <x:c r="J21" s="76" t="str">
        <x:v>两者来自同一语义重复。</x:v>
      </x:c>
      <x:c r="K21" s="76" t="str">
        <x:v>由共享基础引擎提供；只修正承载与执行，不直接等同强弱人格。</x:v>
      </x:c>
      <x:c r="L21" s="76" t="str">
        <x:v>由M2接口提供；夫妻星只参与关系议题权重，不单独生成盲点。</x:v>
      </x:c>
      <x:c r="M21" s="76" t="str">
        <x:v>由M3-BASE与共享引擎提供；不得把日支直接写成配偶性格。</x:v>
      </x:c>
      <x:c r="N21" s="76" t="str">
        <x:v>无／待后续规则组合</x:v>
      </x:c>
      <x:c r="O21" s="76" t="str">
        <x:v>由共享基础引擎判定</x:v>
      </x:c>
      <x:c r="P21" s="76" t="str">
        <x:v>由共享基础引擎判定</x:v>
      </x:c>
      <x:c r="Q21" s="76" t="str">
        <x:v>由共享基础引擎判定</x:v>
      </x:c>
      <x:c r="R21" s="76" t="str">
        <x:v>喜忌只修正调用摩擦与平衡，不直接等同好坏。</x:v>
      </x:c>
      <x:c r="S21" s="76" t="str">
        <x:v>原十神性质有效；真合化成立时按化神系统替换。</x:v>
      </x:c>
      <x:c r="T21" s="76" t="str">
        <x:v>由共享基础引擎判定</x:v>
      </x:c>
      <x:c r="U21" s="76" t="str">
        <x:v>91</x:v>
      </x:c>
      <x:c r="V21" s="76" t="str">
        <x:v>分开记录K01与K02</x:v>
      </x:c>
      <x:c r="W21" s="76" t="str">
        <x:v>imbalance_mechanism</x:v>
      </x:c>
      <x:c r="X21" s="76" t="str">
        <x:v>熟练通道的过用与另一通道的缺位是两个不同字段，不得混成一个负面标签。</x:v>
      </x:c>
      <x:c r="Y21" s="76" t="str">
        <x:v>你可能不是单纯“做得太多”，而是某一种熟练方式抢先启动，同时另一项必要步骤没有及时进入。</x:v>
      </x:c>
      <x:c r="Z2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1" s="76" t="str">
        <x:v>中高</x:v>
      </x:c>
      <x:c r="AB21" s="76" t="str">
        <x:v>待验证</x:v>
      </x:c>
      <x:c r="AC21" s="76" t="str"/>
      <x:c r="AD21" s="76" t="str">
        <x:v>provisional=true; rule_group=BASE-定义边界</x:v>
      </x:c>
      <x:c r="AE21" s="82" t="str">
        <x:v>0.2</x:v>
      </x:c>
    </x:row>
    <x:row r="22">
      <x:c r="A22" s="81" t="str">
        <x:v>M4-BASE-018</x:v>
      </x:c>
      <x:c r="B22" s="76" t="str">
        <x:v>压力反应不等于固定人格</x:v>
      </x:c>
      <x:c r="C22" s="76" t="str">
        <x:v>L0 模型边界与证据</x:v>
      </x:c>
      <x:c r="D22" s="76" t="str">
        <x:v>BASE-定义边界</x:v>
      </x:c>
      <x:c r="E22" s="76" t="str">
        <x:v>通用</x:v>
      </x:c>
      <x:c r="F22" s="76" t="str">
        <x:v>边界</x:v>
      </x:c>
      <x:c r="G22" s="76" t="str">
        <x:v>状态切换</x:v>
      </x:c>
      <x:c r="H22" s="76" t="str"/>
      <x:c r="I22" s="76" t="str">
        <x:v>失衡候选主要在压力或特定阶段出现。</x:v>
      </x:c>
      <x:c r="J22" s="76" t="str">
        <x:v>现实长期稳定重复且跨情境一致。</x:v>
      </x:c>
      <x:c r="K22" s="76" t="str">
        <x:v>由共享基础引擎提供；只修正承载与执行，不直接等同强弱人格。</x:v>
      </x:c>
      <x:c r="L22" s="76" t="str">
        <x:v>由M2接口提供；夫妻星只参与关系议题权重，不单独生成盲点。</x:v>
      </x:c>
      <x:c r="M22" s="76" t="str">
        <x:v>由M3-BASE与共享引擎提供；不得把日支直接写成配偶性格。</x:v>
      </x:c>
      <x:c r="N22" s="76" t="str">
        <x:v>无／待后续规则组合</x:v>
      </x:c>
      <x:c r="O22" s="76" t="str">
        <x:v>由共享基础引擎判定</x:v>
      </x:c>
      <x:c r="P22" s="76" t="str">
        <x:v>由共享基础引擎判定</x:v>
      </x:c>
      <x:c r="Q22" s="76" t="str">
        <x:v>由共享基础引擎判定</x:v>
      </x:c>
      <x:c r="R22" s="76" t="str">
        <x:v>喜忌只修正调用摩擦与平衡，不直接等同好坏。</x:v>
      </x:c>
      <x:c r="S22" s="76" t="str">
        <x:v>原十神性质有效；真合化成立时按化神系统替换。</x:v>
      </x:c>
      <x:c r="T22" s="76" t="str">
        <x:v>由共享基础引擎判定</x:v>
      </x:c>
      <x:c r="U22" s="76" t="str">
        <x:v>91</x:v>
      </x:c>
      <x:c r="V22" s="76" t="str">
        <x:v>阶段信号不得覆盖原局</x:v>
      </x:c>
      <x:c r="W22" s="76" t="str">
        <x:v>activation_trigger</x:v>
      </x:c>
      <x:c r="X22" s="76" t="str">
        <x:v>阶段覆盖或压力状态只能生成触发候选，不得写成终身人格。</x:v>
      </x:c>
      <x:c r="Y22" s="76" t="str">
        <x:v>平稳时你可能并不如此；这一反应更可能在压力增加或关系节奏变化时被启动。</x:v>
      </x:c>
      <x:c r="Z2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2" s="76" t="str">
        <x:v>高</x:v>
      </x:c>
      <x:c r="AB22" s="76" t="str">
        <x:v>待验证</x:v>
      </x:c>
      <x:c r="AC22" s="76" t="str"/>
      <x:c r="AD22" s="76" t="str">
        <x:v>provisional=true; rule_group=BASE-定义边界</x:v>
      </x:c>
      <x:c r="AE22" s="82" t="str">
        <x:v>0.2</x:v>
      </x:c>
    </x:row>
    <x:row r="23">
      <x:c r="A23" s="81" t="str">
        <x:v>M4-BASE-019</x:v>
      </x:c>
      <x:c r="B23" s="76" t="str">
        <x:v>原局与阶段覆盖分离</x:v>
      </x:c>
      <x:c r="C23" s="76" t="str">
        <x:v>L0 模型边界与证据</x:v>
      </x:c>
      <x:c r="D23" s="76" t="str">
        <x:v>BASE-定义边界</x:v>
      </x:c>
      <x:c r="E23" s="76" t="str">
        <x:v>通用</x:v>
      </x:c>
      <x:c r="F23" s="76" t="str">
        <x:v>输入门控</x:v>
      </x:c>
      <x:c r="G23" s="76" t="str">
        <x:v>原局／大运流年</x:v>
      </x:c>
      <x:c r="H23" s="76" t="str"/>
      <x:c r="I23" s="76" t="str">
        <x:v>同时存在原局结构和阶段性引动。</x:v>
      </x:c>
      <x:c r="J23" s="76" t="str">
        <x:v>来源时间未区分。</x:v>
      </x:c>
      <x:c r="K23" s="76" t="str">
        <x:v>由共享基础引擎提供；只修正承载与执行，不直接等同强弱人格。</x:v>
      </x:c>
      <x:c r="L23" s="76" t="str">
        <x:v>由M2接口提供；夫妻星只参与关系议题权重，不单独生成盲点。</x:v>
      </x:c>
      <x:c r="M23" s="76" t="str">
        <x:v>由M3-BASE与共享引擎提供；不得把日支直接写成配偶性格。</x:v>
      </x:c>
      <x:c r="N23" s="76" t="str">
        <x:v>无／待后续规则组合</x:v>
      </x:c>
      <x:c r="O23" s="76" t="str">
        <x:v>由共享基础引擎判定</x:v>
      </x:c>
      <x:c r="P23" s="76" t="str">
        <x:v>由共享基础引擎判定</x:v>
      </x:c>
      <x:c r="Q23" s="76" t="str">
        <x:v>由共享基础引擎判定</x:v>
      </x:c>
      <x:c r="R23" s="76" t="str">
        <x:v>喜忌只修正调用摩擦与平衡，不直接等同好坏。</x:v>
      </x:c>
      <x:c r="S23" s="76" t="str">
        <x:v>原十神性质有效；真合化成立时按化神系统替换。</x:v>
      </x:c>
      <x:c r="T23" s="76" t="str">
        <x:v>由共享基础引擎判定</x:v>
      </x:c>
      <x:c r="U23" s="76" t="str">
        <x:v>90</x:v>
      </x:c>
      <x:c r="V23" s="76" t="str">
        <x:v>阶段另路由</x:v>
      </x:c>
      <x:c r="W23" s="76" t="str">
        <x:v>activation_trigger</x:v>
      </x:c>
      <x:c r="X23" s="76" t="str">
        <x:v>原局用于稳定底盘，阶段信号只调整触发概率和表现时段。</x:v>
      </x:c>
      <x:c r="Y23" s="76" t="str">
        <x:v>会区分长期相处底盘与某个阶段被放大的反应，不把阶段状态写成永久模式。</x:v>
      </x:c>
      <x:c r="Z2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3" s="76" t="str">
        <x:v>高</x:v>
      </x:c>
      <x:c r="AB23" s="76" t="str">
        <x:v>待验证</x:v>
      </x:c>
      <x:c r="AC23" s="76" t="str"/>
      <x:c r="AD23" s="76" t="str">
        <x:v>provisional=true; rule_group=BASE-定义边界</x:v>
      </x:c>
      <x:c r="AE23" s="82" t="str">
        <x:v>0.2</x:v>
      </x:c>
    </x:row>
    <x:row r="24">
      <x:c r="A24" s="81" t="str">
        <x:v>M4-BASE-020</x:v>
      </x:c>
      <x:c r="B24" s="76" t="str">
        <x:v>规则状态保持暂定</x:v>
      </x:c>
      <x:c r="C24" s="76" t="str">
        <x:v>L0 模型边界与证据</x:v>
      </x:c>
      <x:c r="D24" s="76" t="str">
        <x:v>BASE-定义边界</x:v>
      </x:c>
      <x:c r="E24" s="76" t="str">
        <x:v>通用</x:v>
      </x:c>
      <x:c r="F24" s="76" t="str">
        <x:v>版本门控</x:v>
      </x:c>
      <x:c r="G24" s="76" t="str">
        <x:v>provisional=true</x:v>
      </x:c>
      <x:c r="H24" s="76" t="str"/>
      <x:c r="I24" s="76" t="str">
        <x:v>V0.2规则尚未完成真实案例校准。</x:v>
      </x:c>
      <x:c r="J24" s="76" t="str"/>
      <x:c r="K24" s="76" t="str">
        <x:v>由共享基础引擎提供；只修正承载与执行，不直接等同强弱人格。</x:v>
      </x:c>
      <x:c r="L24" s="76" t="str">
        <x:v>由M2接口提供；夫妻星只参与关系议题权重，不单独生成盲点。</x:v>
      </x:c>
      <x:c r="M24" s="76" t="str">
        <x:v>由M3-BASE与共享引擎提供；不得把日支直接写成配偶性格。</x:v>
      </x:c>
      <x:c r="N24" s="76" t="str">
        <x:v>无／待后续规则组合</x:v>
      </x:c>
      <x:c r="O24" s="76" t="str">
        <x:v>由共享基础引擎判定</x:v>
      </x:c>
      <x:c r="P24" s="76" t="str">
        <x:v>由共享基础引擎判定</x:v>
      </x:c>
      <x:c r="Q24" s="76" t="str">
        <x:v>由共享基础引擎判定</x:v>
      </x:c>
      <x:c r="R24" s="76" t="str">
        <x:v>喜忌只修正调用摩擦与平衡，不直接等同好坏。</x:v>
      </x:c>
      <x:c r="S24" s="76" t="str">
        <x:v>原十神性质有效；真合化成立时按化神系统替换。</x:v>
      </x:c>
      <x:c r="T24" s="76" t="str">
        <x:v>由共享基础引擎判定</x:v>
      </x:c>
      <x:c r="U24" s="76" t="str">
        <x:v>90</x:v>
      </x:c>
      <x:c r="V24" s="76" t="str">
        <x:v>validation_status=待验证</x:v>
      </x:c>
      <x:c r="W24" s="76" t="str">
        <x:v>boundary_note</x:v>
      </x:c>
      <x:c r="X24" s="76" t="str">
        <x:v>所有权重、阈值和组合均为知识工程初始参数。</x:v>
      </x:c>
      <x:c r="Y24" s="76" t="str">
        <x:v>当前结论用于结构化分析和学习，不代表统计概率，也不能替代真实关系经历。</x:v>
      </x:c>
      <x:c r="Z2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4" s="76" t="str">
        <x:v>高</x:v>
      </x:c>
      <x:c r="AB24" s="76" t="str">
        <x:v>待验证</x:v>
      </x:c>
      <x:c r="AC24" s="76" t="str"/>
      <x:c r="AD24" s="76" t="str">
        <x:v>provisional=true; rule_group=BASE-定义边界</x:v>
      </x:c>
      <x:c r="AE24" s="82" t="str">
        <x:v>0.2</x:v>
      </x:c>
    </x:row>
    <x:row r="25">
      <x:c r="A25" s="81" t="str">
        <x:v>M4-BASE-021</x:v>
      </x:c>
      <x:c r="B25" s="76" t="str">
        <x:v>比肩｜正常关系功能来源</x:v>
      </x:c>
      <x:c r="C25" s="76" t="str">
        <x:v>L1 正常功能来源</x:v>
      </x:c>
      <x:c r="D25" s="76" t="str">
        <x:v>BASE-十神功能</x:v>
      </x:c>
      <x:c r="E25" s="76" t="str">
        <x:v>通用</x:v>
      </x:c>
      <x:c r="F25" s="76" t="str">
        <x:v>基础</x:v>
      </x:c>
      <x:c r="G25" s="76" t="str">
        <x:v>比肩</x:v>
      </x:c>
      <x:c r="H25" s="76" t="str">
        <x:v>I01／X01／CA01／BD01／CF01</x:v>
      </x:c>
      <x:c r="I25" s="76" t="str">
        <x:v>M3中I01／X01／CA01／BD01／CF01至少一项对应功能可靠成立；共享引擎确认比肩性质有效；未命中真合化替换；完成source_id去重。</x:v>
      </x:c>
      <x:c r="J25" s="76" t="str">
        <x:v>M3相关功能停止；真合化后原十神失效；仅有单一弱远无根信号；或现实反例明确显示该功能并不稳定出现。</x:v>
      </x:c>
      <x:c r="K25" s="76" t="str">
        <x:v>由共享基础引擎提供；只修正承载与执行，不直接等同强弱人格。</x:v>
      </x:c>
      <x:c r="L25" s="76" t="str">
        <x:v>由M2接口提供；夫妻星只参与关系议题权重，不单独生成盲点。</x:v>
      </x:c>
      <x:c r="M25" s="76" t="str">
        <x:v>由M3-BASE与共享引擎提供；不得把日支直接写成配偶性格。</x:v>
      </x:c>
      <x:c r="N25" s="76" t="str">
        <x:v>无／待后续规则组合</x:v>
      </x:c>
      <x:c r="O25" s="76" t="str">
        <x:v>由共享基础引擎判定</x:v>
      </x:c>
      <x:c r="P25" s="76" t="str">
        <x:v>由共享基础引擎判定</x:v>
      </x:c>
      <x:c r="Q25" s="76" t="str">
        <x:v>由共享基础引擎判定</x:v>
      </x:c>
      <x:c r="R25" s="76" t="str">
        <x:v>喜忌只修正调用摩擦与平衡，不直接等同好坏。</x:v>
      </x:c>
      <x:c r="S25" s="76" t="str">
        <x:v>原十神性质有效；真合化成立时按化神系统替换。</x:v>
      </x:c>
      <x:c r="T25" s="76" t="str">
        <x:v>由共享基础引擎判定</x:v>
      </x:c>
      <x:c r="U25" s="76" t="str">
        <x:v>90</x:v>
      </x:c>
      <x:c r="V25" s="76" t="str">
        <x:v>functional_origin +12（同源只计一次）</x:v>
      </x:c>
      <x:c r="W25" s="76" t="str">
        <x:v>functional_origin</x:v>
      </x:c>
      <x:c r="X25" s="76" t="str">
        <x:v>比肩在M4中的起点不是负面标签，而是：平等、自主、并肩协作、保留决定权并区分各自责任。</x:v>
      </x:c>
      <x:c r="Y25" s="76" t="str">
        <x:v>这项反应原本的功能是：平等、自主、并肩协作、保留决定权并区分各自责任。</x:v>
      </x:c>
      <x:c r="Z25" s="76" t="str">
        <x:v>不得推出用户自私、不会依赖、一定争强好胜或排斥亲密；是否形成竞争、防御或资源冲突需现实事件验证。</x:v>
      </x:c>
      <x:c r="AA25" s="76" t="str">
        <x:v>中高</x:v>
      </x:c>
      <x:c r="AB25" s="76" t="str">
        <x:v>待验证</x:v>
      </x:c>
      <x:c r="AC25" s="76" t="str"/>
      <x:c r="AD25" s="76" t="str">
        <x:v>provisional=true; ten_god=比肩; system=SYS01 比劫系统; m3_refs=I01／X01／CA01／BD01／CF01; subtype=normal</x:v>
      </x:c>
      <x:c r="AE25" s="82" t="str">
        <x:v>0.2</x:v>
      </x:c>
    </x:row>
    <x:row r="26">
      <x:c r="A26" s="81" t="str">
        <x:v>M4-BASE-022</x:v>
      </x:c>
      <x:c r="B26" s="76" t="str">
        <x:v>比肩｜K01过用放大候选</x:v>
      </x:c>
      <x:c r="C26" s="76" t="str">
        <x:v>L2 十神失衡候选</x:v>
      </x:c>
      <x:c r="D26" s="76" t="str">
        <x:v>BASE-十神功能</x:v>
      </x:c>
      <x:c r="E26" s="76" t="str">
        <x:v>通用</x:v>
      </x:c>
      <x:c r="F26" s="76" t="str">
        <x:v>失衡候选</x:v>
      </x:c>
      <x:c r="G26" s="76" t="str">
        <x:v>比肩</x:v>
      </x:c>
      <x:c r="H26" s="76" t="str">
        <x:v>K01 过用放大</x:v>
      </x:c>
      <x:c r="I26" s="76" t="str">
        <x:v>M3中I01／X01／CA01／BD01／CF01至少一项对应功能可靠成立；共享引擎确认比肩性质有效；未命中真合化替换；完成source_id去重。；另有过旺失衡、压力下抢先启动、重复行为或缺少调节中的至少一项独立证据。</x:v>
      </x:c>
      <x:c r="J26" s="76" t="str">
        <x:v>M3相关功能停止；真合化后原十神失效；仅有单一弱远无根信号；或现实反例明确显示该功能并不稳定出现。；旺而平衡且制化／通关有效。</x:v>
      </x:c>
      <x:c r="K26" s="76" t="str">
        <x:v>由共享基础引擎提供；只修正承载与执行，不直接等同强弱人格。</x:v>
      </x:c>
      <x:c r="L26" s="76" t="str">
        <x:v>由M2接口提供；夫妻星只参与关系议题权重，不单独生成盲点。</x:v>
      </x:c>
      <x:c r="M26" s="76" t="str">
        <x:v>由M3-BASE与共享引擎提供；不得把日支直接写成配偶性格。</x:v>
      </x:c>
      <x:c r="N26" s="76" t="str">
        <x:v>无／待后续规则组合</x:v>
      </x:c>
      <x:c r="O26" s="76" t="str">
        <x:v>由共享基础引擎判定</x:v>
      </x:c>
      <x:c r="P26" s="76" t="str">
        <x:v>由共享基础引擎判定</x:v>
      </x:c>
      <x:c r="Q26" s="76" t="str">
        <x:v>过旺失衡、抢先启动或现实重复证据；旺而平衡不自动成立。</x:v>
      </x:c>
      <x:c r="R26" s="76" t="str">
        <x:v>喜忌只修正调用摩擦与平衡，不直接等同好坏。</x:v>
      </x:c>
      <x:c r="S26" s="76" t="str">
        <x:v>原十神性质有效；真合化成立时按化神系统替换。</x:v>
      </x:c>
      <x:c r="T26" s="76" t="str">
        <x:v>由共享基础引擎判定</x:v>
      </x:c>
      <x:c r="U26" s="76" t="str">
        <x:v>84</x:v>
      </x:c>
      <x:c r="V26" s="76" t="str">
        <x:v>K01候选 +8</x:v>
      </x:c>
      <x:c r="W26" s="76" t="str">
        <x:v>imbalance_mechanism</x:v>
      </x:c>
      <x:c r="X26" s="76" t="str">
        <x:v>比肩的正常功能在调用强度过高或长期抢先时，可能表现为：把平等机械化为所有付出、时间或让步都必须对称，容易进入比较、计较或防御性自证。</x:v>
      </x:c>
      <x:c r="Y26" s="76" t="str">
        <x:v>当这项方式被过度调用时，你可能更容易：把平等机械化为所有付出、时间或让步都必须对称，容易进入比较、计较或防御性自证。</x:v>
      </x:c>
      <x:c r="Z26" s="76" t="str">
        <x:v>不得推出用户自私、不会依赖、一定争强好胜或排斥亲密；是否形成竞争、防御或资源冲突需现实事件验证。</x:v>
      </x:c>
      <x:c r="AA26" s="76" t="str">
        <x:v>中</x:v>
      </x:c>
      <x:c r="AB26" s="76" t="str">
        <x:v>待验证</x:v>
      </x:c>
      <x:c r="AC26" s="76" t="str"/>
      <x:c r="AD26" s="76" t="str">
        <x:v>provisional=true; ten_god=比肩; system=SYS01 比劫系统; m3_refs=I01／X01／CA01／BD01／CF01; imbalance=K01</x:v>
      </x:c>
      <x:c r="AE26" s="82" t="str">
        <x:v>0.2</x:v>
      </x:c>
    </x:row>
    <x:row r="27">
      <x:c r="A27" s="81" t="str">
        <x:v>M4-BASE-023</x:v>
      </x:c>
      <x:c r="B27" s="76" t="str">
        <x:v>比肩｜K02功能不足候选</x:v>
      </x:c>
      <x:c r="C27" s="76" t="str">
        <x:v>L2 十神失衡候选</x:v>
      </x:c>
      <x:c r="D27" s="76" t="str">
        <x:v>BASE-十神功能</x:v>
      </x:c>
      <x:c r="E27" s="76" t="str">
        <x:v>通用</x:v>
      </x:c>
      <x:c r="F27" s="76" t="str">
        <x:v>失衡候选</x:v>
      </x:c>
      <x:c r="G27" s="76" t="str">
        <x:v>比肩</x:v>
      </x:c>
      <x:c r="H27" s="76" t="str">
        <x:v>K02 功能不足</x:v>
      </x:c>
      <x:c r="I27" s="76" t="str">
        <x:v>M3或关系路径显示比肩对应功能为必要环节；该功能偏弱无助、受阻或长期缺少现实出口；无可靠替代通道。</x:v>
      </x:c>
      <x:c r="J27" s="76" t="str">
        <x:v>该功能弱而有助；存在有效替代通道；现实行为显示此功能稳定可用。</x:v>
      </x:c>
      <x:c r="K27" s="76" t="str">
        <x:v>由共享基础引擎提供；只修正承载与执行，不直接等同强弱人格。</x:v>
      </x:c>
      <x:c r="L27" s="76" t="str">
        <x:v>由M2接口提供；夫妻星只参与关系议题权重，不单独生成盲点。</x:v>
      </x:c>
      <x:c r="M27" s="76" t="str">
        <x:v>由M3-BASE与共享引擎提供；不得把日支直接写成配偶性格。</x:v>
      </x:c>
      <x:c r="N27" s="76" t="str">
        <x:v>无／待后续规则组合</x:v>
      </x:c>
      <x:c r="O27" s="76" t="str">
        <x:v>由共享基础引擎判定</x:v>
      </x:c>
      <x:c r="P27" s="76" t="str">
        <x:v>由共享基础引擎判定</x:v>
      </x:c>
      <x:c r="Q27" s="76" t="str">
        <x:v>偏弱无助／转换受阻／现实缺位</x:v>
      </x:c>
      <x:c r="R27" s="76" t="str">
        <x:v>喜忌只修正调用摩擦与平衡，不直接等同好坏。</x:v>
      </x:c>
      <x:c r="S27" s="76" t="str">
        <x:v>原十神性质有效；真合化成立时按化神系统替换。</x:v>
      </x:c>
      <x:c r="T27" s="76" t="str">
        <x:v>由共享基础引擎判定</x:v>
      </x:c>
      <x:c r="U27" s="76" t="str">
        <x:v>83</x:v>
      </x:c>
      <x:c r="V27" s="76" t="str">
        <x:v>K02候选 +8</x:v>
      </x:c>
      <x:c r="W27" s="76" t="str">
        <x:v>missing_function</x:v>
      </x:c>
      <x:c r="X27" s="76" t="str">
        <x:v>当比肩功能是关系路径的必要环节却缺少稳定出口时，可能出现：自身立场、拒绝或暂停执行通道不足，关系可能先跟随对方节奏，再回头复核自己。</x:v>
      </x:c>
      <x:c r="Y27" s="76" t="str">
        <x:v>另一项需要继续确认的功能是：自身立场、拒绝或暂停执行通道不足，关系可能先跟随对方节奏，再回头复核自己。</x:v>
      </x:c>
      <x:c r="Z27" s="76" t="str">
        <x:v>不得推出用户自私、不会依赖、一定争强好胜或排斥亲密；是否形成竞争、防御或资源冲突需现实事件验证。</x:v>
      </x:c>
      <x:c r="AA27" s="76" t="str">
        <x:v>中</x:v>
      </x:c>
      <x:c r="AB27" s="76" t="str">
        <x:v>待验证</x:v>
      </x:c>
      <x:c r="AC27" s="76" t="str"/>
      <x:c r="AD27" s="76" t="str">
        <x:v>provisional=true; ten_god=比肩; system=SYS01 比劫系统; m3_refs=I01／X01／CA01／BD01／CF01; imbalance=K02</x:v>
      </x:c>
      <x:c r="AE27" s="82" t="str">
        <x:v>0.2</x:v>
      </x:c>
    </x:row>
    <x:row r="28">
      <x:c r="A28" s="81" t="str">
        <x:v>M4-BASE-024</x:v>
      </x:c>
      <x:c r="B28" s="76" t="str">
        <x:v>比肩｜K03单通道替代候选</x:v>
      </x:c>
      <x:c r="C28" s="76" t="str">
        <x:v>L2 十神失衡候选</x:v>
      </x:c>
      <x:c r="D28" s="76" t="str">
        <x:v>BASE-十神功能</x:v>
      </x:c>
      <x:c r="E28" s="76" t="str">
        <x:v>通用</x:v>
      </x:c>
      <x:c r="F28" s="76" t="str">
        <x:v>组合候选</x:v>
      </x:c>
      <x:c r="G28" s="76" t="str">
        <x:v>比肩</x:v>
      </x:c>
      <x:c r="H28" s="76" t="str">
        <x:v>K03 单通道替代</x:v>
      </x:c>
      <x:c r="I28" s="76" t="str">
        <x:v>M3中I01／X01／CA01／BD01／CF01至少一项对应功能可靠成立；共享引擎确认比肩性质有效；未命中真合化替换；完成source_id去重。；当前关系任务还需要另一系统功能，但该功能不足、延后或被比肩通道替代。</x:v>
      </x:c>
      <x:c r="J28" s="76" t="str">
        <x:v>另一功能已经有效进入并形成分工；仅为同一功能的不同表述。</x:v>
      </x:c>
      <x:c r="K28" s="76" t="str">
        <x:v>由共享基础引擎提供；只修正承载与执行，不直接等同强弱人格。</x:v>
      </x:c>
      <x:c r="L28" s="76" t="str">
        <x:v>由M2接口提供；夫妻星只参与关系议题权重，不单独生成盲点。</x:v>
      </x:c>
      <x:c r="M28" s="76" t="str">
        <x:v>由M3-BASE与共享引擎提供；不得把日支直接写成配偶性格。</x:v>
      </x:c>
      <x:c r="N28" s="76" t="str">
        <x:v>比肩功能替代另一必要功能；需由后续OVERUSE确认</x:v>
      </x:c>
      <x:c r="O28" s="76" t="str">
        <x:v>由共享基础引擎判定</x:v>
      </x:c>
      <x:c r="P28" s="76" t="str">
        <x:v>由共享基础引擎判定</x:v>
      </x:c>
      <x:c r="Q28" s="76" t="str">
        <x:v>由共享基础引擎判定</x:v>
      </x:c>
      <x:c r="R28" s="76" t="str">
        <x:v>喜忌只修正调用摩擦与平衡，不直接等同好坏。</x:v>
      </x:c>
      <x:c r="S28" s="76" t="str">
        <x:v>原十神性质有效；真合化成立时按化神系统替换。</x:v>
      </x:c>
      <x:c r="T28" s="76" t="str">
        <x:v>由共享基础引擎判定</x:v>
      </x:c>
      <x:c r="U28" s="76" t="str">
        <x:v>82</x:v>
      </x:c>
      <x:c r="V28" s="76" t="str">
        <x:v>K03候选 +6</x:v>
      </x:c>
      <x:c r="W28" s="76" t="str">
        <x:v>imbalance_mechanism</x:v>
      </x:c>
      <x:c r="X28" s="76" t="str">
        <x:v>用形式上的对等替代对现实差异、阶段差异和角色分工的理解。</x:v>
      </x:c>
      <x:c r="Y28" s="76" t="str">
        <x:v>需要留意的是，是否会出现：用形式上的对等替代对现实差异、阶段差异和角色分工的理解。</x:v>
      </x:c>
      <x:c r="Z28" s="76" t="str">
        <x:v>不得推出用户自私、不会依赖、一定争强好胜或排斥亲密；是否形成竞争、防御或资源冲突需现实事件验证。</x:v>
      </x:c>
      <x:c r="AA28" s="76" t="str">
        <x:v>中</x:v>
      </x:c>
      <x:c r="AB28" s="76" t="str">
        <x:v>待验证</x:v>
      </x:c>
      <x:c r="AC28" s="76" t="str"/>
      <x:c r="AD28" s="76" t="str">
        <x:v>provisional=true; ten_god=比肩; system=SYS01 比劫系统; m3_refs=I01／X01／CA01／BD01／CF01; imbalance=K03</x:v>
      </x:c>
      <x:c r="AE28" s="82" t="str">
        <x:v>0.2</x:v>
      </x:c>
    </x:row>
    <x:row r="29">
      <x:c r="A29" s="81" t="str">
        <x:v>M4-BASE-025</x:v>
      </x:c>
      <x:c r="B29" s="76" t="str">
        <x:v>比肩｜K04处理顺序错位候选</x:v>
      </x:c>
      <x:c r="C29" s="76" t="str">
        <x:v>L2 十神失衡候选</x:v>
      </x:c>
      <x:c r="D29" s="76" t="str">
        <x:v>BASE-十神功能</x:v>
      </x:c>
      <x:c r="E29" s="76" t="str">
        <x:v>通用</x:v>
      </x:c>
      <x:c r="F29" s="76" t="str">
        <x:v>路径候选</x:v>
      </x:c>
      <x:c r="G29" s="76" t="str">
        <x:v>比肩</x:v>
      </x:c>
      <x:c r="H29" s="76" t="str">
        <x:v>K04 处理顺序错位</x:v>
      </x:c>
      <x:c r="I29" s="76" t="str">
        <x:v>M3中I01／X01／CA01／BD01／CF01至少一项对应功能可靠成立；共享引擎确认比肩性质有效；未命中真合化替换；完成source_id去重。；至少另一项功能真实存在，但在对应情境中进入过晚；有M3-FLOW或现实顺序证据。</x:v>
      </x:c>
      <x:c r="J29" s="76" t="str">
        <x:v>只有静态五行生克而无现实／M3顺序证据；另一功能并非该情境必要。</x:v>
      </x:c>
      <x:c r="K29" s="76" t="str">
        <x:v>由共享基础引擎提供；只修正承载与执行，不直接等同强弱人格。</x:v>
      </x:c>
      <x:c r="L29" s="76" t="str">
        <x:v>由M2接口提供；夫妻星只参与关系议题权重，不单独生成盲点。</x:v>
      </x:c>
      <x:c r="M29" s="76" t="str">
        <x:v>由M3-BASE与共享引擎提供；不得把日支直接写成配偶性格。</x:v>
      </x:c>
      <x:c r="N29" s="76" t="str">
        <x:v>先强调各自权利或对等，再理解情境和需要；若后续缺少协商，容易把公平处理成机械对称。</x:v>
      </x:c>
      <x:c r="O29" s="76" t="str">
        <x:v>由共享基础引擎判定</x:v>
      </x:c>
      <x:c r="P29" s="76" t="str">
        <x:v>由共享基础引擎判定</x:v>
      </x:c>
      <x:c r="Q29" s="76" t="str">
        <x:v>由共享基础引擎判定</x:v>
      </x:c>
      <x:c r="R29" s="76" t="str">
        <x:v>喜忌只修正调用摩擦与平衡，不直接等同好坏。</x:v>
      </x:c>
      <x:c r="S29" s="76" t="str">
        <x:v>原十神性质有效；真合化成立时按化神系统替换。</x:v>
      </x:c>
      <x:c r="T29" s="76" t="str">
        <x:v>由共享基础引擎判定</x:v>
      </x:c>
      <x:c r="U29" s="76" t="str">
        <x:v>81</x:v>
      </x:c>
      <x:c r="V29" s="76" t="str">
        <x:v>K04候选 +6</x:v>
      </x:c>
      <x:c r="W29" s="76" t="str">
        <x:v>flow_path</x:v>
      </x:c>
      <x:c r="X29" s="76" t="str">
        <x:v>先强调各自权利或对等，再理解情境和需要；若后续缺少协商，容易把公平处理成机械对称。</x:v>
      </x:c>
      <x:c r="Y29" s="76" t="str">
        <x:v>在处理顺序上，可能需要观察：先强调各自权利或对等，再理解情境和需要；若后续缺少协商，容易把公平处理成机械对称。</x:v>
      </x:c>
      <x:c r="Z29" s="76" t="str">
        <x:v>不得推出用户自私、不会依赖、一定争强好胜或排斥亲密；是否形成竞争、防御或资源冲突需现实事件验证。</x:v>
      </x:c>
      <x:c r="AA29" s="76" t="str">
        <x:v>中低</x:v>
      </x:c>
      <x:c r="AB29" s="76" t="str">
        <x:v>待验证</x:v>
      </x:c>
      <x:c r="AC29" s="76" t="str"/>
      <x:c r="AD29" s="76" t="str">
        <x:v>provisional=true; ten_god=比肩; system=SYS01 比劫系统; m3_refs=I01／X01／CA01／BD01／CF01; imbalance=K04</x:v>
      </x:c>
      <x:c r="AE29" s="82" t="str">
        <x:v>0.2</x:v>
      </x:c>
    </x:row>
    <x:row r="30">
      <x:c r="A30" s="81" t="str">
        <x:v>M4-BASE-026</x:v>
      </x:c>
      <x:c r="B30" s="76" t="str">
        <x:v>比肩｜调节与保护因子候选</x:v>
      </x:c>
      <x:c r="C30" s="76" t="str">
        <x:v>L3 五系统与流向</x:v>
      </x:c>
      <x:c r="D30" s="76" t="str">
        <x:v>BASE-十神功能</x:v>
      </x:c>
      <x:c r="E30" s="76" t="str">
        <x:v>通用</x:v>
      </x:c>
      <x:c r="F30" s="76" t="str">
        <x:v>保护候选</x:v>
      </x:c>
      <x:c r="G30" s="76" t="str">
        <x:v>比肩</x:v>
      </x:c>
      <x:c r="H30" s="76" t="str">
        <x:v>BF调节功能</x:v>
      </x:c>
      <x:c r="I30" s="76" t="str">
        <x:v>正印／偏印帮助回到内部标准；食伤把边界说清；财官把平等落实为分工、责任和持续执行。；且调节信号有效、有根、位置可进入关系核心或现实行为已有支持。</x:v>
      </x:c>
      <x:c r="J30" s="76" t="str">
        <x:v>调节信号仅结构存在但弱远无根；真合化后已失效；现实中未形成可调用行为。</x:v>
      </x:c>
      <x:c r="K30" s="76" t="str">
        <x:v>由共享基础引擎提供；只修正承载与执行，不直接等同强弱人格。</x:v>
      </x:c>
      <x:c r="L30" s="76" t="str">
        <x:v>由M2接口提供；夫妻星只参与关系议题权重，不单独生成盲点。</x:v>
      </x:c>
      <x:c r="M30" s="76" t="str">
        <x:v>由M3-BASE与共享引擎提供；不得把日支直接写成配偶性格。</x:v>
      </x:c>
      <x:c r="N30" s="76" t="str">
        <x:v>正印／偏印帮助回到内部标准；食伤把边界说清；财官把平等落实为分工、责任和持续执行。</x:v>
      </x:c>
      <x:c r="O30" s="76" t="str">
        <x:v>由共享基础引擎判定</x:v>
      </x:c>
      <x:c r="P30" s="76" t="str">
        <x:v>由共享基础引擎判定</x:v>
      </x:c>
      <x:c r="Q30" s="76" t="str">
        <x:v>由共享基础引擎判定</x:v>
      </x:c>
      <x:c r="R30" s="76" t="str">
        <x:v>喜忌只修正调用摩擦与平衡，不直接等同好坏。</x:v>
      </x:c>
      <x:c r="S30" s="76" t="str">
        <x:v>原十神性质有效；真合化成立时按化神系统替换。</x:v>
      </x:c>
      <x:c r="T30" s="76" t="str">
        <x:v>由共享基础引擎判定</x:v>
      </x:c>
      <x:c r="U30" s="76" t="str">
        <x:v>78</x:v>
      </x:c>
      <x:c r="V30" s="76" t="str">
        <x:v>有效buffer −6至−10</x:v>
      </x:c>
      <x:c r="W30" s="76" t="str">
        <x:v>buffer_factor</x:v>
      </x:c>
      <x:c r="X30" s="76" t="str">
        <x:v>比肩失衡候选可由以下功能限制、补足或转换：正印／偏印帮助回到内部标准；食伤把边界说清；财官把平等落实为分工、责任和持续执行。</x:v>
      </x:c>
      <x:c r="Y30" s="76" t="str">
        <x:v>使这一候选减弱的条件包括：正印／偏印帮助回到内部标准；食伤把边界说清；财官把平等落实为分工、责任和持续执行。</x:v>
      </x:c>
      <x:c r="Z30" s="76" t="str">
        <x:v>保护因子存在不等于风险完全消失；不得把喜神或制化结构直接写成现实中一定成熟、一定会自我调节。</x:v>
      </x:c>
      <x:c r="AA30" s="76" t="str">
        <x:v>中</x:v>
      </x:c>
      <x:c r="AB30" s="76" t="str">
        <x:v>待验证</x:v>
      </x:c>
      <x:c r="AC30" s="76" t="str"/>
      <x:c r="AD30" s="76" t="str">
        <x:v>provisional=true; ten_god=比肩; system=SYS01 比劫系统; m3_refs=I01／X01／CA01／BD01／CF01; subtype=buffer</x:v>
      </x:c>
      <x:c r="AE30" s="82" t="str">
        <x:v>0.2</x:v>
      </x:c>
    </x:row>
    <x:row r="31">
      <x:c r="A31" s="81" t="str">
        <x:v>M4-BASE-027</x:v>
      </x:c>
      <x:c r="B31" s="76" t="str">
        <x:v>比肩｜盲点主题路由候选</x:v>
      </x:c>
      <x:c r="C31" s="76" t="str">
        <x:v>L2 十神失衡候选</x:v>
      </x:c>
      <x:c r="D31" s="76" t="str">
        <x:v>BASE-十神功能</x:v>
      </x:c>
      <x:c r="E31" s="76" t="str">
        <x:v>通用</x:v>
      </x:c>
      <x:c r="F31" s="76" t="str">
        <x:v>路由</x:v>
      </x:c>
      <x:c r="G31" s="76" t="str">
        <x:v>比肩</x:v>
      </x:c>
      <x:c r="H31" s="76" t="str">
        <x:v>B10 自主平等滑向竞争防御；B12 亲密与空间节奏失配候选。</x:v>
      </x:c>
      <x:c r="I31" s="76" t="str">
        <x:v>对应正常功能已成立；至少一个K01—K06机制候选通过门控；完成独立证据与保护因子检查。</x:v>
      </x:c>
      <x:c r="J31" s="76" t="str">
        <x:v>仅有十神标签；机制不明；保护因素足以中断；现实反例明显。</x:v>
      </x:c>
      <x:c r="K31" s="76" t="str">
        <x:v>由共享基础引擎提供；只修正承载与执行，不直接等同强弱人格。</x:v>
      </x:c>
      <x:c r="L31" s="76" t="str">
        <x:v>由M2接口提供；夫妻星只参与关系议题权重，不单独生成盲点。</x:v>
      </x:c>
      <x:c r="M31" s="76" t="str">
        <x:v>由M3-BASE与共享引擎提供；不得把日支直接写成配偶性格。</x:v>
      </x:c>
      <x:c r="N31" s="76" t="str">
        <x:v>无／待后续规则组合</x:v>
      </x:c>
      <x:c r="O31" s="76" t="str">
        <x:v>由共享基础引擎判定</x:v>
      </x:c>
      <x:c r="P31" s="76" t="str">
        <x:v>由共享基础引擎判定</x:v>
      </x:c>
      <x:c r="Q31" s="76" t="str">
        <x:v>由共享基础引擎判定</x:v>
      </x:c>
      <x:c r="R31" s="76" t="str">
        <x:v>喜忌只修正调用摩擦与平衡，不直接等同好坏。</x:v>
      </x:c>
      <x:c r="S31" s="76" t="str">
        <x:v>原十神性质有效；真合化成立时按化神系统替换。</x:v>
      </x:c>
      <x:c r="T31" s="76" t="str">
        <x:v>由共享基础引擎判定</x:v>
      </x:c>
      <x:c r="U31" s="76" t="str">
        <x:v>76</x:v>
      </x:c>
      <x:c r="V31" s="76" t="str">
        <x:v>路由至后续MISREAD／OVERUSE，不在BASE定案</x:v>
      </x:c>
      <x:c r="W31" s="76" t="str">
        <x:v>blind_spot_candidate</x:v>
      </x:c>
      <x:c r="X31" s="76" t="str">
        <x:v>比肩在BASE阶段可路由至：B10 自主平等滑向竞争防御；B12 亲密与空间节奏失配候选。，但最终盲点主题由后续模块裁定。</x:v>
      </x:c>
      <x:c r="Y31" s="76" t="str">
        <x:v>当前可保留的盲点方向是：B10 自主平等滑向竞争防御；B12 亲密与空间节奏失配候选。；它仍需结合触发情境和真实互动验证。</x:v>
      </x:c>
      <x:c r="Z31" s="76" t="str">
        <x:v>不得推出用户自私、不会依赖、一定争强好胜或排斥亲密；是否形成竞争、防御或资源冲突需现实事件验证。</x:v>
      </x:c>
      <x:c r="AA31" s="76" t="str">
        <x:v>中低</x:v>
      </x:c>
      <x:c r="AB31" s="76" t="str">
        <x:v>待验证</x:v>
      </x:c>
      <x:c r="AC31" s="76" t="str"/>
      <x:c r="AD31" s="76" t="str">
        <x:v>provisional=true; ten_god=比肩; system=SYS01 比劫系统; m3_refs=I01／X01／CA01／BD01／CF01; route_only=true</x:v>
      </x:c>
      <x:c r="AE31" s="82" t="str">
        <x:v>0.2</x:v>
      </x:c>
    </x:row>
    <x:row r="32">
      <x:c r="A32" s="81" t="str">
        <x:v>M4-BASE-028</x:v>
      </x:c>
      <x:c r="B32" s="76" t="str">
        <x:v>比肩｜用户解释摘要</x:v>
      </x:c>
      <x:c r="C32" s="76" t="str">
        <x:v>L8 输出与停止</x:v>
      </x:c>
      <x:c r="D32" s="76" t="str">
        <x:v>BASE-十神功能</x:v>
      </x:c>
      <x:c r="E32" s="76" t="str">
        <x:v>通用</x:v>
      </x:c>
      <x:c r="F32" s="76" t="str">
        <x:v>输出</x:v>
      </x:c>
      <x:c r="G32" s="76" t="str">
        <x:v>比肩</x:v>
      </x:c>
      <x:c r="H32" s="76" t="str">
        <x:v>B10 自主平等滑向竞争防御；B12 亲密与空间节奏失配候选。</x:v>
      </x:c>
      <x:c r="I32" s="76" t="str">
        <x:v>比肩功能进入最终或暂定BASE输出；至少E1成立。</x:v>
      </x:c>
      <x:c r="J32" s="76" t="str">
        <x:v>该候选被停止、真合化替换或保护因素足以降至E0。</x:v>
      </x:c>
      <x:c r="K32" s="76" t="str">
        <x:v>由共享基础引擎提供；只修正承载与执行，不直接等同强弱人格。</x:v>
      </x:c>
      <x:c r="L32" s="76" t="str">
        <x:v>由M2接口提供；夫妻星只参与关系议题权重，不单独生成盲点。</x:v>
      </x:c>
      <x:c r="M32" s="76" t="str">
        <x:v>由M3-BASE与共享引擎提供；不得把日支直接写成配偶性格。</x:v>
      </x:c>
      <x:c r="N32" s="76" t="str">
        <x:v>无／待后续规则组合</x:v>
      </x:c>
      <x:c r="O32" s="76" t="str">
        <x:v>由共享基础引擎判定</x:v>
      </x:c>
      <x:c r="P32" s="76" t="str">
        <x:v>由共享基础引擎判定</x:v>
      </x:c>
      <x:c r="Q32" s="76" t="str">
        <x:v>由共享基础引擎判定</x:v>
      </x:c>
      <x:c r="R32" s="76" t="str">
        <x:v>喜忌只修正调用摩擦与平衡，不直接等同好坏。</x:v>
      </x:c>
      <x:c r="S32" s="76" t="str">
        <x:v>原十神性质有效；真合化成立时按化神系统替换。</x:v>
      </x:c>
      <x:c r="T32" s="76" t="str">
        <x:v>由共享基础引擎判定</x:v>
      </x:c>
      <x:c r="U32" s="76" t="str">
        <x:v>68</x:v>
      </x:c>
      <x:c r="V32" s="76" t="str">
        <x:v>不加分；摘要</x:v>
      </x:c>
      <x:c r="W32" s="76" t="str">
        <x:v>basis_summary</x:v>
      </x:c>
      <x:c r="X32" s="76" t="str">
        <x:v>用“正常功能—需要留意—保护条件”的顺序输出比肩BASE结论。</x:v>
      </x:c>
      <x:c r="Y32" s="76" t="str">
        <x:v>你原本重视平等和自主，这有助于双方保留判断与参与权。需要留意的是，当关系压力增加时，是否会把“公平”收窄成必须完全对称，而忽略阶段、能力和角色上的合理差异。</x:v>
      </x:c>
      <x:c r="Z32" s="76" t="str">
        <x:v>不得推出用户自私、不会依赖、一定争强好胜或排斥亲密；是否形成竞争、防御或资源冲突需现实事件验证。</x:v>
      </x:c>
      <x:c r="AA32" s="76" t="str">
        <x:v>中</x:v>
      </x:c>
      <x:c r="AB32" s="76" t="str">
        <x:v>待验证</x:v>
      </x:c>
      <x:c r="AC32" s="76" t="str"/>
      <x:c r="AD32" s="76" t="str">
        <x:v>provisional=true; ten_god=比肩; system=SYS01 比劫系统; m3_refs=I01／X01／CA01／BD01／CF01; summary_only=true</x:v>
      </x:c>
      <x:c r="AE32" s="82" t="str">
        <x:v>0.2</x:v>
      </x:c>
    </x:row>
    <x:row r="33">
      <x:c r="A33" s="81" t="str">
        <x:v>M4-BASE-029</x:v>
      </x:c>
      <x:c r="B33" s="76" t="str">
        <x:v>劫财｜正常关系功能来源</x:v>
      </x:c>
      <x:c r="C33" s="76" t="str">
        <x:v>L1 正常功能来源</x:v>
      </x:c>
      <x:c r="D33" s="76" t="str">
        <x:v>BASE-十神功能</x:v>
      </x:c>
      <x:c r="E33" s="76" t="str">
        <x:v>通用</x:v>
      </x:c>
      <x:c r="F33" s="76" t="str">
        <x:v>基础</x:v>
      </x:c>
      <x:c r="G33" s="76" t="str">
        <x:v>劫财</x:v>
      </x:c>
      <x:c r="H33" s="76" t="str">
        <x:v>I02／X02／CA02／BD02／CF02</x:v>
      </x:c>
      <x:c r="I33" s="76" t="str">
        <x:v>M3中I02／X02／CA02／BD02／CF02至少一项对应功能可靠成立；共享引擎确认劫财性质有效；未命中真合化替换；完成source_id去重。</x:v>
      </x:c>
      <x:c r="J33" s="76" t="str">
        <x:v>M3相关功能停止；真合化后原十神失效；仅有单一弱远无根信号；或现实反例明确显示该功能并不稳定出现。</x:v>
      </x:c>
      <x:c r="K33" s="76" t="str">
        <x:v>由共享基础引擎提供；只修正承载与执行，不直接等同强弱人格。</x:v>
      </x:c>
      <x:c r="L33" s="76" t="str">
        <x:v>由M2接口提供；夫妻星只参与关系议题权重，不单独生成盲点。</x:v>
      </x:c>
      <x:c r="M33" s="76" t="str">
        <x:v>由M3-BASE与共享引擎提供；不得把日支直接写成配偶性格。</x:v>
      </x:c>
      <x:c r="N33" s="76" t="str">
        <x:v>无／待后续规则组合</x:v>
      </x:c>
      <x:c r="O33" s="76" t="str">
        <x:v>由共享基础引擎判定</x:v>
      </x:c>
      <x:c r="P33" s="76" t="str">
        <x:v>由共享基础引擎判定</x:v>
      </x:c>
      <x:c r="Q33" s="76" t="str">
        <x:v>由共享基础引擎判定</x:v>
      </x:c>
      <x:c r="R33" s="76" t="str">
        <x:v>喜忌只修正调用摩擦与平衡，不直接等同好坏。</x:v>
      </x:c>
      <x:c r="S33" s="76" t="str">
        <x:v>原十神性质有效；真合化成立时按化神系统替换。</x:v>
      </x:c>
      <x:c r="T33" s="76" t="str">
        <x:v>由共享基础引擎判定</x:v>
      </x:c>
      <x:c r="U33" s="76" t="str">
        <x:v>90</x:v>
      </x:c>
      <x:c r="V33" s="76" t="str">
        <x:v>functional_origin +12（同源只计一次）</x:v>
      </x:c>
      <x:c r="W33" s="76" t="str">
        <x:v>functional_origin</x:v>
      </x:c>
      <x:c r="X33" s="76" t="str">
        <x:v>劫财在M4中的起点不是负面标签，而是：即时参与、共同执行、快速补位、调动资源和在行动中协调。</x:v>
      </x:c>
      <x:c r="Y33" s="76" t="str">
        <x:v>这项反应原本的功能是：即时参与、共同执行、快速补位、调动资源和在行动中协调。</x:v>
      </x:c>
      <x:c r="Z33" s="76" t="str">
        <x:v>不得推出抢夺、背叛、第三者、爱竞争或一定资源混乱；这里只判断参与与协作功能的结构候选。</x:v>
      </x:c>
      <x:c r="AA33" s="76" t="str">
        <x:v>中高</x:v>
      </x:c>
      <x:c r="AB33" s="76" t="str">
        <x:v>待验证</x:v>
      </x:c>
      <x:c r="AC33" s="76" t="str"/>
      <x:c r="AD33" s="76" t="str">
        <x:v>provisional=true; ten_god=劫财; system=SYS01 比劫系统; m3_refs=I02／X02／CA02／BD02／CF02; subtype=normal</x:v>
      </x:c>
      <x:c r="AE33" s="82" t="str">
        <x:v>0.2</x:v>
      </x:c>
    </x:row>
    <x:row r="34">
      <x:c r="A34" s="81" t="str">
        <x:v>M4-BASE-030</x:v>
      </x:c>
      <x:c r="B34" s="76" t="str">
        <x:v>劫财｜K01过用放大候选</x:v>
      </x:c>
      <x:c r="C34" s="76" t="str">
        <x:v>L2 十神失衡候选</x:v>
      </x:c>
      <x:c r="D34" s="76" t="str">
        <x:v>BASE-十神功能</x:v>
      </x:c>
      <x:c r="E34" s="76" t="str">
        <x:v>通用</x:v>
      </x:c>
      <x:c r="F34" s="76" t="str">
        <x:v>失衡候选</x:v>
      </x:c>
      <x:c r="G34" s="76" t="str">
        <x:v>劫财</x:v>
      </x:c>
      <x:c r="H34" s="76" t="str">
        <x:v>K01 过用放大</x:v>
      </x:c>
      <x:c r="I34" s="76" t="str">
        <x:v>M3中I02／X02／CA02／BD02／CF02至少一项对应功能可靠成立；共享引擎确认劫财性质有效；未命中真合化替换；完成source_id去重。；另有过旺失衡、压力下抢先启动、重复行为或缺少调节中的至少一项独立证据。</x:v>
      </x:c>
      <x:c r="J34" s="76" t="str">
        <x:v>M3相关功能停止；真合化后原十神失效；仅有单一弱远无根信号；或现实反例明确显示该功能并不稳定出现。；旺而平衡且制化／通关有效。</x:v>
      </x:c>
      <x:c r="K34" s="76" t="str">
        <x:v>由共享基础引擎提供；只修正承载与执行，不直接等同强弱人格。</x:v>
      </x:c>
      <x:c r="L34" s="76" t="str">
        <x:v>由M2接口提供；夫妻星只参与关系议题权重，不单独生成盲点。</x:v>
      </x:c>
      <x:c r="M34" s="76" t="str">
        <x:v>由M3-BASE与共享引擎提供；不得把日支直接写成配偶性格。</x:v>
      </x:c>
      <x:c r="N34" s="76" t="str">
        <x:v>无／待后续规则组合</x:v>
      </x:c>
      <x:c r="O34" s="76" t="str">
        <x:v>由共享基础引擎判定</x:v>
      </x:c>
      <x:c r="P34" s="76" t="str">
        <x:v>由共享基础引擎判定</x:v>
      </x:c>
      <x:c r="Q34" s="76" t="str">
        <x:v>过旺失衡、抢先启动或现实重复证据；旺而平衡不自动成立。</x:v>
      </x:c>
      <x:c r="R34" s="76" t="str">
        <x:v>喜忌只修正调用摩擦与平衡，不直接等同好坏。</x:v>
      </x:c>
      <x:c r="S34" s="76" t="str">
        <x:v>原十神性质有效；真合化成立时按化神系统替换。</x:v>
      </x:c>
      <x:c r="T34" s="76" t="str">
        <x:v>由共享基础引擎判定</x:v>
      </x:c>
      <x:c r="U34" s="76" t="str">
        <x:v>84</x:v>
      </x:c>
      <x:c r="V34" s="76" t="str">
        <x:v>K01候选 +8</x:v>
      </x:c>
      <x:c r="W34" s="76" t="str">
        <x:v>imbalance_mechanism</x:v>
      </x:c>
      <x:c r="X34" s="76" t="str">
        <x:v>劫财的正常功能在调用强度过高或长期抢先时，可能表现为：过快卷入、抢先接管、把合作变成竞争，或让时间、资源与决定权边界变得模糊。</x:v>
      </x:c>
      <x:c r="Y34" s="76" t="str">
        <x:v>当这项方式被过度调用时，你可能更容易：过快卷入、抢先接管、把合作变成竞争，或让时间、资源与决定权边界变得模糊。</x:v>
      </x:c>
      <x:c r="Z34" s="76" t="str">
        <x:v>不得推出抢夺、背叛、第三者、爱竞争或一定资源混乱；这里只判断参与与协作功能的结构候选。</x:v>
      </x:c>
      <x:c r="AA34" s="76" t="str">
        <x:v>中</x:v>
      </x:c>
      <x:c r="AB34" s="76" t="str">
        <x:v>待验证</x:v>
      </x:c>
      <x:c r="AC34" s="76" t="str"/>
      <x:c r="AD34" s="76" t="str">
        <x:v>provisional=true; ten_god=劫财; system=SYS01 比劫系统; m3_refs=I02／X02／CA02／BD02／CF02; imbalance=K01</x:v>
      </x:c>
      <x:c r="AE34" s="82" t="str">
        <x:v>0.2</x:v>
      </x:c>
    </x:row>
    <x:row r="35">
      <x:c r="A35" s="81" t="str">
        <x:v>M4-BASE-031</x:v>
      </x:c>
      <x:c r="B35" s="76" t="str">
        <x:v>劫财｜K02功能不足候选</x:v>
      </x:c>
      <x:c r="C35" s="76" t="str">
        <x:v>L2 十神失衡候选</x:v>
      </x:c>
      <x:c r="D35" s="76" t="str">
        <x:v>BASE-十神功能</x:v>
      </x:c>
      <x:c r="E35" s="76" t="str">
        <x:v>通用</x:v>
      </x:c>
      <x:c r="F35" s="76" t="str">
        <x:v>失衡候选</x:v>
      </x:c>
      <x:c r="G35" s="76" t="str">
        <x:v>劫财</x:v>
      </x:c>
      <x:c r="H35" s="76" t="str">
        <x:v>K02 功能不足</x:v>
      </x:c>
      <x:c r="I35" s="76" t="str">
        <x:v>M3或关系路径显示劫财对应功能为必要环节；该功能偏弱无助、受阻或长期缺少现实出口；无可靠替代通道。</x:v>
      </x:c>
      <x:c r="J35" s="76" t="str">
        <x:v>该功能弱而有助；存在有效替代通道；现实行为显示此功能稳定可用。</x:v>
      </x:c>
      <x:c r="K35" s="76" t="str">
        <x:v>由共享基础引擎提供；只修正承载与执行，不直接等同强弱人格。</x:v>
      </x:c>
      <x:c r="L35" s="76" t="str">
        <x:v>由M2接口提供；夫妻星只参与关系议题权重，不单独生成盲点。</x:v>
      </x:c>
      <x:c r="M35" s="76" t="str">
        <x:v>由M3-BASE与共享引擎提供；不得把日支直接写成配偶性格。</x:v>
      </x:c>
      <x:c r="N35" s="76" t="str">
        <x:v>无／待后续规则组合</x:v>
      </x:c>
      <x:c r="O35" s="76" t="str">
        <x:v>由共享基础引擎判定</x:v>
      </x:c>
      <x:c r="P35" s="76" t="str">
        <x:v>由共享基础引擎判定</x:v>
      </x:c>
      <x:c r="Q35" s="76" t="str">
        <x:v>偏弱无助／转换受阻／现实缺位</x:v>
      </x:c>
      <x:c r="R35" s="76" t="str">
        <x:v>喜忌只修正调用摩擦与平衡，不直接等同好坏。</x:v>
      </x:c>
      <x:c r="S35" s="76" t="str">
        <x:v>原十神性质有效；真合化成立时按化神系统替换。</x:v>
      </x:c>
      <x:c r="T35" s="76" t="str">
        <x:v>由共享基础引擎判定</x:v>
      </x:c>
      <x:c r="U35" s="76" t="str">
        <x:v>83</x:v>
      </x:c>
      <x:c r="V35" s="76" t="str">
        <x:v>K02候选 +8</x:v>
      </x:c>
      <x:c r="W35" s="76" t="str">
        <x:v>missing_function</x:v>
      </x:c>
      <x:c r="X35" s="76" t="str">
        <x:v>当劫财功能是关系路径的必要环节却缺少稳定出口时，可能出现：需要共同处理事情时难以迅速进入协作，或资源、行动与责任无法被及时动员。</x:v>
      </x:c>
      <x:c r="Y35" s="76" t="str">
        <x:v>另一项需要继续确认的功能是：需要共同处理事情时难以迅速进入协作，或资源、行动与责任无法被及时动员。</x:v>
      </x:c>
      <x:c r="Z35" s="76" t="str">
        <x:v>不得推出抢夺、背叛、第三者、爱竞争或一定资源混乱；这里只判断参与与协作功能的结构候选。</x:v>
      </x:c>
      <x:c r="AA35" s="76" t="str">
        <x:v>中</x:v>
      </x:c>
      <x:c r="AB35" s="76" t="str">
        <x:v>待验证</x:v>
      </x:c>
      <x:c r="AC35" s="76" t="str"/>
      <x:c r="AD35" s="76" t="str">
        <x:v>provisional=true; ten_god=劫财; system=SYS01 比劫系统; m3_refs=I02／X02／CA02／BD02／CF02; imbalance=K02</x:v>
      </x:c>
      <x:c r="AE35" s="82" t="str">
        <x:v>0.2</x:v>
      </x:c>
    </x:row>
    <x:row r="36">
      <x:c r="A36" s="81" t="str">
        <x:v>M4-BASE-032</x:v>
      </x:c>
      <x:c r="B36" s="76" t="str">
        <x:v>劫财｜K03单通道替代候选</x:v>
      </x:c>
      <x:c r="C36" s="76" t="str">
        <x:v>L2 十神失衡候选</x:v>
      </x:c>
      <x:c r="D36" s="76" t="str">
        <x:v>BASE-十神功能</x:v>
      </x:c>
      <x:c r="E36" s="76" t="str">
        <x:v>通用</x:v>
      </x:c>
      <x:c r="F36" s="76" t="str">
        <x:v>组合候选</x:v>
      </x:c>
      <x:c r="G36" s="76" t="str">
        <x:v>劫财</x:v>
      </x:c>
      <x:c r="H36" s="76" t="str">
        <x:v>K03 单通道替代</x:v>
      </x:c>
      <x:c r="I36" s="76" t="str">
        <x:v>M3中I02／X02／CA02／BD02／CF02至少一项对应功能可靠成立；共享引擎确认劫财性质有效；未命中真合化替换；完成source_id去重。；当前关系任务还需要另一系统功能，但该功能不足、延后或被劫财通道替代。</x:v>
      </x:c>
      <x:c r="J36" s="76" t="str">
        <x:v>另一功能已经有效进入并形成分工；仅为同一功能的不同表述。</x:v>
      </x:c>
      <x:c r="K36" s="76" t="str">
        <x:v>由共享基础引擎提供；只修正承载与执行，不直接等同强弱人格。</x:v>
      </x:c>
      <x:c r="L36" s="76" t="str">
        <x:v>由M2接口提供；夫妻星只参与关系议题权重，不单独生成盲点。</x:v>
      </x:c>
      <x:c r="M36" s="76" t="str">
        <x:v>由M3-BASE与共享引擎提供；不得把日支直接写成配偶性格。</x:v>
      </x:c>
      <x:c r="N36" s="76" t="str">
        <x:v>劫财功能替代另一必要功能；需由后续OVERUSE确认</x:v>
      </x:c>
      <x:c r="O36" s="76" t="str">
        <x:v>由共享基础引擎判定</x:v>
      </x:c>
      <x:c r="P36" s="76" t="str">
        <x:v>由共享基础引擎判定</x:v>
      </x:c>
      <x:c r="Q36" s="76" t="str">
        <x:v>由共享基础引擎判定</x:v>
      </x:c>
      <x:c r="R36" s="76" t="str">
        <x:v>喜忌只修正调用摩擦与平衡，不直接等同好坏。</x:v>
      </x:c>
      <x:c r="S36" s="76" t="str">
        <x:v>原十神性质有效；真合化成立时按化神系统替换。</x:v>
      </x:c>
      <x:c r="T36" s="76" t="str">
        <x:v>由共享基础引擎判定</x:v>
      </x:c>
      <x:c r="U36" s="76" t="str">
        <x:v>82</x:v>
      </x:c>
      <x:c r="V36" s="76" t="str">
        <x:v>K03候选 +6</x:v>
      </x:c>
      <x:c r="W36" s="76" t="str">
        <x:v>imbalance_mechanism</x:v>
      </x:c>
      <x:c r="X36" s="76" t="str">
        <x:v>用参与强度和行动热度替代事前授权、角色分工和后续责任确认。</x:v>
      </x:c>
      <x:c r="Y36" s="76" t="str">
        <x:v>需要留意的是，是否会出现：用参与强度和行动热度替代事前授权、角色分工和后续责任确认。</x:v>
      </x:c>
      <x:c r="Z36" s="76" t="str">
        <x:v>不得推出抢夺、背叛、第三者、爱竞争或一定资源混乱；这里只判断参与与协作功能的结构候选。</x:v>
      </x:c>
      <x:c r="AA36" s="76" t="str">
        <x:v>中</x:v>
      </x:c>
      <x:c r="AB36" s="76" t="str">
        <x:v>待验证</x:v>
      </x:c>
      <x:c r="AC36" s="76" t="str"/>
      <x:c r="AD36" s="76" t="str">
        <x:v>provisional=true; ten_god=劫财; system=SYS01 比劫系统; m3_refs=I02／X02／CA02／BD02／CF02; imbalance=K03</x:v>
      </x:c>
      <x:c r="AE36" s="82" t="str">
        <x:v>0.2</x:v>
      </x:c>
    </x:row>
    <x:row r="37">
      <x:c r="A37" s="81" t="str">
        <x:v>M4-BASE-033</x:v>
      </x:c>
      <x:c r="B37" s="76" t="str">
        <x:v>劫财｜K04处理顺序错位候选</x:v>
      </x:c>
      <x:c r="C37" s="76" t="str">
        <x:v>L2 十神失衡候选</x:v>
      </x:c>
      <x:c r="D37" s="76" t="str">
        <x:v>BASE-十神功能</x:v>
      </x:c>
      <x:c r="E37" s="76" t="str">
        <x:v>通用</x:v>
      </x:c>
      <x:c r="F37" s="76" t="str">
        <x:v>路径候选</x:v>
      </x:c>
      <x:c r="G37" s="76" t="str">
        <x:v>劫财</x:v>
      </x:c>
      <x:c r="H37" s="76" t="str">
        <x:v>K04 处理顺序错位</x:v>
      </x:c>
      <x:c r="I37" s="76" t="str">
        <x:v>M3中I02／X02／CA02／BD02／CF02至少一项对应功能可靠成立；共享引擎确认劫财性质有效；未命中真合化替换；完成source_id去重。；至少另一项功能真实存在，但在对应情境中进入过晚；有M3-FLOW或现实顺序证据。</x:v>
      </x:c>
      <x:c r="J37" s="76" t="str">
        <x:v>只有静态五行生克而无现实／M3顺序证据；另一功能并非该情境必要。</x:v>
      </x:c>
      <x:c r="K37" s="76" t="str">
        <x:v>由共享基础引擎提供；只修正承载与执行，不直接等同强弱人格。</x:v>
      </x:c>
      <x:c r="L37" s="76" t="str">
        <x:v>由M2接口提供；夫妻星只参与关系议题权重，不单独生成盲点。</x:v>
      </x:c>
      <x:c r="M37" s="76" t="str">
        <x:v>由M3-BASE与共享引擎提供；不得把日支直接写成配偶性格。</x:v>
      </x:c>
      <x:c r="N37" s="76" t="str">
        <x:v>先加入、先行动，再补谈权限和分工；若缺少比肩或正官调节，容易出现谁负责、谁决定不清。</x:v>
      </x:c>
      <x:c r="O37" s="76" t="str">
        <x:v>由共享基础引擎判定</x:v>
      </x:c>
      <x:c r="P37" s="76" t="str">
        <x:v>由共享基础引擎判定</x:v>
      </x:c>
      <x:c r="Q37" s="76" t="str">
        <x:v>由共享基础引擎判定</x:v>
      </x:c>
      <x:c r="R37" s="76" t="str">
        <x:v>喜忌只修正调用摩擦与平衡，不直接等同好坏。</x:v>
      </x:c>
      <x:c r="S37" s="76" t="str">
        <x:v>原十神性质有效；真合化成立时按化神系统替换。</x:v>
      </x:c>
      <x:c r="T37" s="76" t="str">
        <x:v>由共享基础引擎判定</x:v>
      </x:c>
      <x:c r="U37" s="76" t="str">
        <x:v>81</x:v>
      </x:c>
      <x:c r="V37" s="76" t="str">
        <x:v>K04候选 +6</x:v>
      </x:c>
      <x:c r="W37" s="76" t="str">
        <x:v>flow_path</x:v>
      </x:c>
      <x:c r="X37" s="76" t="str">
        <x:v>先加入、先行动，再补谈权限和分工；若缺少比肩或正官调节，容易出现谁负责、谁决定不清。</x:v>
      </x:c>
      <x:c r="Y37" s="76" t="str">
        <x:v>在处理顺序上，可能需要观察：先加入、先行动，再补谈权限和分工；若缺少比肩或正官调节，容易出现谁负责、谁决定不清。</x:v>
      </x:c>
      <x:c r="Z37" s="76" t="str">
        <x:v>不得推出抢夺、背叛、第三者、爱竞争或一定资源混乱；这里只判断参与与协作功能的结构候选。</x:v>
      </x:c>
      <x:c r="AA37" s="76" t="str">
        <x:v>中低</x:v>
      </x:c>
      <x:c r="AB37" s="76" t="str">
        <x:v>待验证</x:v>
      </x:c>
      <x:c r="AC37" s="76" t="str"/>
      <x:c r="AD37" s="76" t="str">
        <x:v>provisional=true; ten_god=劫财; system=SYS01 比劫系统; m3_refs=I02／X02／CA02／BD02／CF02; imbalance=K04</x:v>
      </x:c>
      <x:c r="AE37" s="82" t="str">
        <x:v>0.2</x:v>
      </x:c>
    </x:row>
    <x:row r="38">
      <x:c r="A38" s="81" t="str">
        <x:v>M4-BASE-034</x:v>
      </x:c>
      <x:c r="B38" s="76" t="str">
        <x:v>劫财｜调节与保护因子候选</x:v>
      </x:c>
      <x:c r="C38" s="76" t="str">
        <x:v>L3 五系统与流向</x:v>
      </x:c>
      <x:c r="D38" s="76" t="str">
        <x:v>BASE-十神功能</x:v>
      </x:c>
      <x:c r="E38" s="76" t="str">
        <x:v>通用</x:v>
      </x:c>
      <x:c r="F38" s="76" t="str">
        <x:v>保护候选</x:v>
      </x:c>
      <x:c r="G38" s="76" t="str">
        <x:v>劫财</x:v>
      </x:c>
      <x:c r="H38" s="76" t="str">
        <x:v>BF调节功能</x:v>
      </x:c>
      <x:c r="I38" s="76" t="str">
        <x:v>比肩明确自主与权限；正官建立角色和责任；食伤补充反馈和协商。；且调节信号有效、有根、位置可进入关系核心或现实行为已有支持。</x:v>
      </x:c>
      <x:c r="J38" s="76" t="str">
        <x:v>调节信号仅结构存在但弱远无根；真合化后已失效；现实中未形成可调用行为。</x:v>
      </x:c>
      <x:c r="K38" s="76" t="str">
        <x:v>由共享基础引擎提供；只修正承载与执行，不直接等同强弱人格。</x:v>
      </x:c>
      <x:c r="L38" s="76" t="str">
        <x:v>由M2接口提供；夫妻星只参与关系议题权重，不单独生成盲点。</x:v>
      </x:c>
      <x:c r="M38" s="76" t="str">
        <x:v>由M3-BASE与共享引擎提供；不得把日支直接写成配偶性格。</x:v>
      </x:c>
      <x:c r="N38" s="76" t="str">
        <x:v>比肩明确自主与权限；正官建立角色和责任；食伤补充反馈和协商。</x:v>
      </x:c>
      <x:c r="O38" s="76" t="str">
        <x:v>由共享基础引擎判定</x:v>
      </x:c>
      <x:c r="P38" s="76" t="str">
        <x:v>由共享基础引擎判定</x:v>
      </x:c>
      <x:c r="Q38" s="76" t="str">
        <x:v>由共享基础引擎判定</x:v>
      </x:c>
      <x:c r="R38" s="76" t="str">
        <x:v>喜忌只修正调用摩擦与平衡，不直接等同好坏。</x:v>
      </x:c>
      <x:c r="S38" s="76" t="str">
        <x:v>原十神性质有效；真合化成立时按化神系统替换。</x:v>
      </x:c>
      <x:c r="T38" s="76" t="str">
        <x:v>由共享基础引擎判定</x:v>
      </x:c>
      <x:c r="U38" s="76" t="str">
        <x:v>78</x:v>
      </x:c>
      <x:c r="V38" s="76" t="str">
        <x:v>有效buffer −6至−10</x:v>
      </x:c>
      <x:c r="W38" s="76" t="str">
        <x:v>buffer_factor</x:v>
      </x:c>
      <x:c r="X38" s="76" t="str">
        <x:v>劫财失衡候选可由以下功能限制、补足或转换：比肩明确自主与权限；正官建立角色和责任；食伤补充反馈和协商。</x:v>
      </x:c>
      <x:c r="Y38" s="76" t="str">
        <x:v>使这一候选减弱的条件包括：比肩明确自主与权限；正官建立角色和责任；食伤补充反馈和协商。</x:v>
      </x:c>
      <x:c r="Z38" s="76" t="str">
        <x:v>保护因子存在不等于风险完全消失；不得把喜神或制化结构直接写成现实中一定成熟、一定会自我调节。</x:v>
      </x:c>
      <x:c r="AA38" s="76" t="str">
        <x:v>中</x:v>
      </x:c>
      <x:c r="AB38" s="76" t="str">
        <x:v>待验证</x:v>
      </x:c>
      <x:c r="AC38" s="76" t="str"/>
      <x:c r="AD38" s="76" t="str">
        <x:v>provisional=true; ten_god=劫财; system=SYS01 比劫系统; m3_refs=I02／X02／CA02／BD02／CF02; subtype=buffer</x:v>
      </x:c>
      <x:c r="AE38" s="82" t="str">
        <x:v>0.2</x:v>
      </x:c>
    </x:row>
    <x:row r="39">
      <x:c r="A39" s="81" t="str">
        <x:v>M4-BASE-035</x:v>
      </x:c>
      <x:c r="B39" s="76" t="str">
        <x:v>劫财｜盲点主题路由候选</x:v>
      </x:c>
      <x:c r="C39" s="76" t="str">
        <x:v>L2 十神失衡候选</x:v>
      </x:c>
      <x:c r="D39" s="76" t="str">
        <x:v>BASE-十神功能</x:v>
      </x:c>
      <x:c r="E39" s="76" t="str">
        <x:v>通用</x:v>
      </x:c>
      <x:c r="F39" s="76" t="str">
        <x:v>路由</x:v>
      </x:c>
      <x:c r="G39" s="76" t="str">
        <x:v>劫财</x:v>
      </x:c>
      <x:c r="H39" s="76" t="str">
        <x:v>B10 自主平等滑向竞争防御；B08 责任行动越过协商边界候选。</x:v>
      </x:c>
      <x:c r="I39" s="76" t="str">
        <x:v>对应正常功能已成立；至少一个K01—K06机制候选通过门控；完成独立证据与保护因子检查。</x:v>
      </x:c>
      <x:c r="J39" s="76" t="str">
        <x:v>仅有十神标签；机制不明；保护因素足以中断；现实反例明显。</x:v>
      </x:c>
      <x:c r="K39" s="76" t="str">
        <x:v>由共享基础引擎提供；只修正承载与执行，不直接等同强弱人格。</x:v>
      </x:c>
      <x:c r="L39" s="76" t="str">
        <x:v>由M2接口提供；夫妻星只参与关系议题权重，不单独生成盲点。</x:v>
      </x:c>
      <x:c r="M39" s="76" t="str">
        <x:v>由M3-BASE与共享引擎提供；不得把日支直接写成配偶性格。</x:v>
      </x:c>
      <x:c r="N39" s="76" t="str">
        <x:v>无／待后续规则组合</x:v>
      </x:c>
      <x:c r="O39" s="76" t="str">
        <x:v>由共享基础引擎判定</x:v>
      </x:c>
      <x:c r="P39" s="76" t="str">
        <x:v>由共享基础引擎判定</x:v>
      </x:c>
      <x:c r="Q39" s="76" t="str">
        <x:v>由共享基础引擎判定</x:v>
      </x:c>
      <x:c r="R39" s="76" t="str">
        <x:v>喜忌只修正调用摩擦与平衡，不直接等同好坏。</x:v>
      </x:c>
      <x:c r="S39" s="76" t="str">
        <x:v>原十神性质有效；真合化成立时按化神系统替换。</x:v>
      </x:c>
      <x:c r="T39" s="76" t="str">
        <x:v>由共享基础引擎判定</x:v>
      </x:c>
      <x:c r="U39" s="76" t="str">
        <x:v>76</x:v>
      </x:c>
      <x:c r="V39" s="76" t="str">
        <x:v>路由至后续MISREAD／OVERUSE，不在BASE定案</x:v>
      </x:c>
      <x:c r="W39" s="76" t="str">
        <x:v>blind_spot_candidate</x:v>
      </x:c>
      <x:c r="X39" s="76" t="str">
        <x:v>劫财在BASE阶段可路由至：B10 自主平等滑向竞争防御；B08 责任行动越过协商边界候选。，但最终盲点主题由后续模块裁定。</x:v>
      </x:c>
      <x:c r="Y39" s="76" t="str">
        <x:v>当前可保留的盲点方向是：B10 自主平等滑向竞争防御；B08 责任行动越过协商边界候选。；它仍需结合触发情境和真实互动验证。</x:v>
      </x:c>
      <x:c r="Z39" s="76" t="str">
        <x:v>不得推出抢夺、背叛、第三者、爱竞争或一定资源混乱；这里只判断参与与协作功能的结构候选。</x:v>
      </x:c>
      <x:c r="AA39" s="76" t="str">
        <x:v>中低</x:v>
      </x:c>
      <x:c r="AB39" s="76" t="str">
        <x:v>待验证</x:v>
      </x:c>
      <x:c r="AC39" s="76" t="str"/>
      <x:c r="AD39" s="76" t="str">
        <x:v>provisional=true; ten_god=劫财; system=SYS01 比劫系统; m3_refs=I02／X02／CA02／BD02／CF02; route_only=true</x:v>
      </x:c>
      <x:c r="AE39" s="82" t="str">
        <x:v>0.2</x:v>
      </x:c>
    </x:row>
    <x:row r="40">
      <x:c r="A40" s="81" t="str">
        <x:v>M4-BASE-036</x:v>
      </x:c>
      <x:c r="B40" s="76" t="str">
        <x:v>劫财｜用户解释摘要</x:v>
      </x:c>
      <x:c r="C40" s="76" t="str">
        <x:v>L8 输出与停止</x:v>
      </x:c>
      <x:c r="D40" s="76" t="str">
        <x:v>BASE-十神功能</x:v>
      </x:c>
      <x:c r="E40" s="76" t="str">
        <x:v>通用</x:v>
      </x:c>
      <x:c r="F40" s="76" t="str">
        <x:v>输出</x:v>
      </x:c>
      <x:c r="G40" s="76" t="str">
        <x:v>劫财</x:v>
      </x:c>
      <x:c r="H40" s="76" t="str">
        <x:v>B10 自主平等滑向竞争防御；B08 责任行动越过协商边界候选。</x:v>
      </x:c>
      <x:c r="I40" s="76" t="str">
        <x:v>劫财功能进入最终或暂定BASE输出；至少E1成立。</x:v>
      </x:c>
      <x:c r="J40" s="76" t="str">
        <x:v>该候选被停止、真合化替换或保护因素足以降至E0。</x:v>
      </x:c>
      <x:c r="K40" s="76" t="str">
        <x:v>由共享基础引擎提供；只修正承载与执行，不直接等同强弱人格。</x:v>
      </x:c>
      <x:c r="L40" s="76" t="str">
        <x:v>由M2接口提供；夫妻星只参与关系议题权重，不单独生成盲点。</x:v>
      </x:c>
      <x:c r="M40" s="76" t="str">
        <x:v>由M3-BASE与共享引擎提供；不得把日支直接写成配偶性格。</x:v>
      </x:c>
      <x:c r="N40" s="76" t="str">
        <x:v>无／待后续规则组合</x:v>
      </x:c>
      <x:c r="O40" s="76" t="str">
        <x:v>由共享基础引擎判定</x:v>
      </x:c>
      <x:c r="P40" s="76" t="str">
        <x:v>由共享基础引擎判定</x:v>
      </x:c>
      <x:c r="Q40" s="76" t="str">
        <x:v>由共享基础引擎判定</x:v>
      </x:c>
      <x:c r="R40" s="76" t="str">
        <x:v>喜忌只修正调用摩擦与平衡，不直接等同好坏。</x:v>
      </x:c>
      <x:c r="S40" s="76" t="str">
        <x:v>原十神性质有效；真合化成立时按化神系统替换。</x:v>
      </x:c>
      <x:c r="T40" s="76" t="str">
        <x:v>由共享基础引擎判定</x:v>
      </x:c>
      <x:c r="U40" s="76" t="str">
        <x:v>68</x:v>
      </x:c>
      <x:c r="V40" s="76" t="str">
        <x:v>不加分；摘要</x:v>
      </x:c>
      <x:c r="W40" s="76" t="str">
        <x:v>basis_summary</x:v>
      </x:c>
      <x:c r="X40" s="76" t="str">
        <x:v>用“正常功能—需要留意—保护条件”的顺序输出劫财BASE结论。</x:v>
      </x:c>
      <x:c r="Y40" s="76" t="str">
        <x:v>你原本擅长在需要时迅速加入、一起行动。需要留意的是，行动太快时，是否还来得及确认双方的权限、资源和责任，避免“参与很多”却让边界变得不清楚。</x:v>
      </x:c>
      <x:c r="Z40" s="76" t="str">
        <x:v>不得推出抢夺、背叛、第三者、爱竞争或一定资源混乱；这里只判断参与与协作功能的结构候选。</x:v>
      </x:c>
      <x:c r="AA40" s="76" t="str">
        <x:v>中</x:v>
      </x:c>
      <x:c r="AB40" s="76" t="str">
        <x:v>待验证</x:v>
      </x:c>
      <x:c r="AC40" s="76" t="str"/>
      <x:c r="AD40" s="76" t="str">
        <x:v>provisional=true; ten_god=劫财; system=SYS01 比劫系统; m3_refs=I02／X02／CA02／BD02／CF02; summary_only=true</x:v>
      </x:c>
      <x:c r="AE40" s="82" t="str">
        <x:v>0.2</x:v>
      </x:c>
    </x:row>
    <x:row r="41">
      <x:c r="A41" s="81" t="str">
        <x:v>M4-BASE-037</x:v>
      </x:c>
      <x:c r="B41" s="76" t="str">
        <x:v>食神｜正常关系功能来源</x:v>
      </x:c>
      <x:c r="C41" s="76" t="str">
        <x:v>L1 正常功能来源</x:v>
      </x:c>
      <x:c r="D41" s="76" t="str">
        <x:v>BASE-十神功能</x:v>
      </x:c>
      <x:c r="E41" s="76" t="str">
        <x:v>通用</x:v>
      </x:c>
      <x:c r="F41" s="76" t="str">
        <x:v>基础</x:v>
      </x:c>
      <x:c r="G41" s="76" t="str">
        <x:v>食神</x:v>
      </x:c>
      <x:c r="H41" s="76" t="str">
        <x:v>I03／X03／CA03／BD03／CF03</x:v>
      </x:c>
      <x:c r="I41" s="76" t="str">
        <x:v>M3中I03／X03／CA03／BD03／CF03至少一项对应功能可靠成立；共享引擎确认食神性质有效；未命中真合化替换；完成source_id去重。</x:v>
      </x:c>
      <x:c r="J41" s="76" t="str">
        <x:v>M3相关功能停止；真合化后原十神失效；仅有单一弱远无根信号；或现实反例明确显示该功能并不稳定出现。</x:v>
      </x:c>
      <x:c r="K41" s="76" t="str">
        <x:v>由共享基础引擎提供；只修正承载与执行，不直接等同强弱人格。</x:v>
      </x:c>
      <x:c r="L41" s="76" t="str">
        <x:v>由M2接口提供；夫妻星只参与关系议题权重，不单独生成盲点。</x:v>
      </x:c>
      <x:c r="M41" s="76" t="str">
        <x:v>由M3-BASE与共享引擎提供；不得把日支直接写成配偶性格。</x:v>
      </x:c>
      <x:c r="N41" s="76" t="str">
        <x:v>无／待后续规则组合</x:v>
      </x:c>
      <x:c r="O41" s="76" t="str">
        <x:v>由共享基础引擎判定</x:v>
      </x:c>
      <x:c r="P41" s="76" t="str">
        <x:v>由共享基础引擎判定</x:v>
      </x:c>
      <x:c r="Q41" s="76" t="str">
        <x:v>由共享基础引擎判定</x:v>
      </x:c>
      <x:c r="R41" s="76" t="str">
        <x:v>喜忌只修正调用摩擦与平衡，不直接等同好坏。</x:v>
      </x:c>
      <x:c r="S41" s="76" t="str">
        <x:v>原十神性质有效；真合化成立时按化神系统替换。</x:v>
      </x:c>
      <x:c r="T41" s="76" t="str">
        <x:v>由共享基础引擎判定</x:v>
      </x:c>
      <x:c r="U41" s="76" t="str">
        <x:v>90</x:v>
      </x:c>
      <x:c r="V41" s="76" t="str">
        <x:v>functional_origin +12（同源只计一次）</x:v>
      </x:c>
      <x:c r="W41" s="76" t="str">
        <x:v>functional_origin</x:v>
      </x:c>
      <x:c r="X41" s="76" t="str">
        <x:v>食神在M4中的起点不是负面标签，而是：舒缓、陪伴、温和分享、降低压力并恢复双方可交流的状态。</x:v>
      </x:c>
      <x:c r="Y41" s="76" t="str">
        <x:v>这项反应原本的功能是：舒缓、陪伴、温和分享、降低压力并恢复双方可交流的状态。</x:v>
      </x:c>
      <x:c r="Z41" s="76" t="str">
        <x:v>不得推出用户逃避问题、懒散、只想享受或一定压抑矛盾；是否延后关键问题需结合现实顺序验证。</x:v>
      </x:c>
      <x:c r="AA41" s="76" t="str">
        <x:v>中高</x:v>
      </x:c>
      <x:c r="AB41" s="76" t="str">
        <x:v>待验证</x:v>
      </x:c>
      <x:c r="AC41" s="76" t="str"/>
      <x:c r="AD41" s="76" t="str">
        <x:v>provisional=true; ten_god=食神; system=SYS02 食伤系统; m3_refs=I03／X03／CA03／BD03／CF03; subtype=normal</x:v>
      </x:c>
      <x:c r="AE41" s="82" t="str">
        <x:v>0.2</x:v>
      </x:c>
    </x:row>
    <x:row r="42">
      <x:c r="A42" s="81" t="str">
        <x:v>M4-BASE-038</x:v>
      </x:c>
      <x:c r="B42" s="76" t="str">
        <x:v>食神｜K01过用放大候选</x:v>
      </x:c>
      <x:c r="C42" s="76" t="str">
        <x:v>L2 十神失衡候选</x:v>
      </x:c>
      <x:c r="D42" s="76" t="str">
        <x:v>BASE-十神功能</x:v>
      </x:c>
      <x:c r="E42" s="76" t="str">
        <x:v>通用</x:v>
      </x:c>
      <x:c r="F42" s="76" t="str">
        <x:v>失衡候选</x:v>
      </x:c>
      <x:c r="G42" s="76" t="str">
        <x:v>食神</x:v>
      </x:c>
      <x:c r="H42" s="76" t="str">
        <x:v>K01 过用放大</x:v>
      </x:c>
      <x:c r="I42" s="76" t="str">
        <x:v>M3中I03／X03／CA03／BD03／CF03至少一项对应功能可靠成立；共享引擎确认食神性质有效；未命中真合化替换；完成source_id去重。；另有过旺失衡、压力下抢先启动、重复行为或缺少调节中的至少一项独立证据。</x:v>
      </x:c>
      <x:c r="J42" s="76" t="str">
        <x:v>M3相关功能停止；真合化后原十神失效；仅有单一弱远无根信号；或现实反例明确显示该功能并不稳定出现。；旺而平衡且制化／通关有效。</x:v>
      </x:c>
      <x:c r="K42" s="76" t="str">
        <x:v>由共享基础引擎提供；只修正承载与执行，不直接等同强弱人格。</x:v>
      </x:c>
      <x:c r="L42" s="76" t="str">
        <x:v>由M2接口提供；夫妻星只参与关系议题权重，不单独生成盲点。</x:v>
      </x:c>
      <x:c r="M42" s="76" t="str">
        <x:v>由M3-BASE与共享引擎提供；不得把日支直接写成配偶性格。</x:v>
      </x:c>
      <x:c r="N42" s="76" t="str">
        <x:v>无／待后续规则组合</x:v>
      </x:c>
      <x:c r="O42" s="76" t="str">
        <x:v>由共享基础引擎判定</x:v>
      </x:c>
      <x:c r="P42" s="76" t="str">
        <x:v>由共享基础引擎判定</x:v>
      </x:c>
      <x:c r="Q42" s="76" t="str">
        <x:v>过旺失衡、抢先启动或现实重复证据；旺而平衡不自动成立。</x:v>
      </x:c>
      <x:c r="R42" s="76" t="str">
        <x:v>喜忌只修正调用摩擦与平衡，不直接等同好坏。</x:v>
      </x:c>
      <x:c r="S42" s="76" t="str">
        <x:v>原十神性质有效；真合化成立时按化神系统替换。</x:v>
      </x:c>
      <x:c r="T42" s="76" t="str">
        <x:v>由共享基础引擎判定</x:v>
      </x:c>
      <x:c r="U42" s="76" t="str">
        <x:v>84</x:v>
      </x:c>
      <x:c r="V42" s="76" t="str">
        <x:v>K01候选 +8</x:v>
      </x:c>
      <x:c r="W42" s="76" t="str">
        <x:v>imbalance_mechanism</x:v>
      </x:c>
      <x:c r="X42" s="76" t="str">
        <x:v>食神的正常功能在调用强度过高或长期抢先时，可能表现为：为了维持舒服与和谐，延后关键问题、边界、承诺或现实安排。</x:v>
      </x:c>
      <x:c r="Y42" s="76" t="str">
        <x:v>当这项方式被过度调用时，你可能更容易：为了维持舒服与和谐，延后关键问题、边界、承诺或现实安排。</x:v>
      </x:c>
      <x:c r="Z42" s="76" t="str">
        <x:v>不得推出用户逃避问题、懒散、只想享受或一定压抑矛盾；是否延后关键问题需结合现实顺序验证。</x:v>
      </x:c>
      <x:c r="AA42" s="76" t="str">
        <x:v>中</x:v>
      </x:c>
      <x:c r="AB42" s="76" t="str">
        <x:v>待验证</x:v>
      </x:c>
      <x:c r="AC42" s="76" t="str"/>
      <x:c r="AD42" s="76" t="str">
        <x:v>provisional=true; ten_god=食神; system=SYS02 食伤系统; m3_refs=I03／X03／CA03／BD03／CF03; imbalance=K01</x:v>
      </x:c>
      <x:c r="AE42" s="82" t="str">
        <x:v>0.2</x:v>
      </x:c>
    </x:row>
    <x:row r="43">
      <x:c r="A43" s="81" t="str">
        <x:v>M4-BASE-039</x:v>
      </x:c>
      <x:c r="B43" s="76" t="str">
        <x:v>食神｜K02功能不足候选</x:v>
      </x:c>
      <x:c r="C43" s="76" t="str">
        <x:v>L2 十神失衡候选</x:v>
      </x:c>
      <x:c r="D43" s="76" t="str">
        <x:v>BASE-十神功能</x:v>
      </x:c>
      <x:c r="E43" s="76" t="str">
        <x:v>通用</x:v>
      </x:c>
      <x:c r="F43" s="76" t="str">
        <x:v>失衡候选</x:v>
      </x:c>
      <x:c r="G43" s="76" t="str">
        <x:v>食神</x:v>
      </x:c>
      <x:c r="H43" s="76" t="str">
        <x:v>K02 功能不足</x:v>
      </x:c>
      <x:c r="I43" s="76" t="str">
        <x:v>M3或关系路径显示食神对应功能为必要环节；该功能偏弱无助、受阻或长期缺少现实出口；无可靠替代通道。</x:v>
      </x:c>
      <x:c r="J43" s="76" t="str">
        <x:v>该功能弱而有助；存在有效替代通道；现实行为显示此功能稳定可用。</x:v>
      </x:c>
      <x:c r="K43" s="76" t="str">
        <x:v>由共享基础引擎提供；只修正承载与执行，不直接等同强弱人格。</x:v>
      </x:c>
      <x:c r="L43" s="76" t="str">
        <x:v>由M2接口提供；夫妻星只参与关系议题权重，不单独生成盲点。</x:v>
      </x:c>
      <x:c r="M43" s="76" t="str">
        <x:v>由M3-BASE与共享引擎提供；不得把日支直接写成配偶性格。</x:v>
      </x:c>
      <x:c r="N43" s="76" t="str">
        <x:v>无／待后续规则组合</x:v>
      </x:c>
      <x:c r="O43" s="76" t="str">
        <x:v>由共享基础引擎判定</x:v>
      </x:c>
      <x:c r="P43" s="76" t="str">
        <x:v>由共享基础引擎判定</x:v>
      </x:c>
      <x:c r="Q43" s="76" t="str">
        <x:v>偏弱无助／转换受阻／现实缺位</x:v>
      </x:c>
      <x:c r="R43" s="76" t="str">
        <x:v>喜忌只修正调用摩擦与平衡，不直接等同好坏。</x:v>
      </x:c>
      <x:c r="S43" s="76" t="str">
        <x:v>原十神性质有效；真合化成立时按化神系统替换。</x:v>
      </x:c>
      <x:c r="T43" s="76" t="str">
        <x:v>由共享基础引擎判定</x:v>
      </x:c>
      <x:c r="U43" s="76" t="str">
        <x:v>83</x:v>
      </x:c>
      <x:c r="V43" s="76" t="str">
        <x:v>K02候选 +8</x:v>
      </x:c>
      <x:c r="W43" s="76" t="str">
        <x:v>missing_function</x:v>
      </x:c>
      <x:c r="X43" s="76" t="str">
        <x:v>当食神功能是关系路径的必要环节却缺少稳定出口时，可能出现：关系缺少低压力交流、降温和柔性表达，重要议题容易直接进入紧张或任务处理。</x:v>
      </x:c>
      <x:c r="Y43" s="76" t="str">
        <x:v>另一项需要继续确认的功能是：关系缺少低压力交流、降温和柔性表达，重要议题容易直接进入紧张或任务处理。</x:v>
      </x:c>
      <x:c r="Z43" s="76" t="str">
        <x:v>不得推出用户逃避问题、懒散、只想享受或一定压抑矛盾；是否延后关键问题需结合现实顺序验证。</x:v>
      </x:c>
      <x:c r="AA43" s="76" t="str">
        <x:v>中</x:v>
      </x:c>
      <x:c r="AB43" s="76" t="str">
        <x:v>待验证</x:v>
      </x:c>
      <x:c r="AC43" s="76" t="str"/>
      <x:c r="AD43" s="76" t="str">
        <x:v>provisional=true; ten_god=食神; system=SYS02 食伤系统; m3_refs=I03／X03／CA03／BD03／CF03; imbalance=K02</x:v>
      </x:c>
      <x:c r="AE43" s="82" t="str">
        <x:v>0.2</x:v>
      </x:c>
    </x:row>
    <x:row r="44">
      <x:c r="A44" s="81" t="str">
        <x:v>M4-BASE-040</x:v>
      </x:c>
      <x:c r="B44" s="76" t="str">
        <x:v>食神｜K03单通道替代候选</x:v>
      </x:c>
      <x:c r="C44" s="76" t="str">
        <x:v>L2 十神失衡候选</x:v>
      </x:c>
      <x:c r="D44" s="76" t="str">
        <x:v>BASE-十神功能</x:v>
      </x:c>
      <x:c r="E44" s="76" t="str">
        <x:v>通用</x:v>
      </x:c>
      <x:c r="F44" s="76" t="str">
        <x:v>组合候选</x:v>
      </x:c>
      <x:c r="G44" s="76" t="str">
        <x:v>食神</x:v>
      </x:c>
      <x:c r="H44" s="76" t="str">
        <x:v>K03 单通道替代</x:v>
      </x:c>
      <x:c r="I44" s="76" t="str">
        <x:v>M3中I03／X03／CA03／BD03／CF03至少一项对应功能可靠成立；共享引擎确认食神性质有效；未命中真合化替换；完成source_id去重。；当前关系任务还需要另一系统功能，但该功能不足、延后或被食神通道替代。</x:v>
      </x:c>
      <x:c r="J44" s="76" t="str">
        <x:v>另一功能已经有效进入并形成分工；仅为同一功能的不同表述。</x:v>
      </x:c>
      <x:c r="K44" s="76" t="str">
        <x:v>由共享基础引擎提供；只修正承载与执行，不直接等同强弱人格。</x:v>
      </x:c>
      <x:c r="L44" s="76" t="str">
        <x:v>由M2接口提供；夫妻星只参与关系议题权重，不单独生成盲点。</x:v>
      </x:c>
      <x:c r="M44" s="76" t="str">
        <x:v>由M3-BASE与共享引擎提供；不得把日支直接写成配偶性格。</x:v>
      </x:c>
      <x:c r="N44" s="76" t="str">
        <x:v>食神功能替代另一必要功能；需由后续OVERUSE确认</x:v>
      </x:c>
      <x:c r="O44" s="76" t="str">
        <x:v>由共享基础引擎判定</x:v>
      </x:c>
      <x:c r="P44" s="76" t="str">
        <x:v>由共享基础引擎判定</x:v>
      </x:c>
      <x:c r="Q44" s="76" t="str">
        <x:v>由共享基础引擎判定</x:v>
      </x:c>
      <x:c r="R44" s="76" t="str">
        <x:v>喜忌只修正调用摩擦与平衡，不直接等同好坏。</x:v>
      </x:c>
      <x:c r="S44" s="76" t="str">
        <x:v>原十神性质有效；真合化成立时按化神系统替换。</x:v>
      </x:c>
      <x:c r="T44" s="76" t="str">
        <x:v>由共享基础引擎判定</x:v>
      </x:c>
      <x:c r="U44" s="76" t="str">
        <x:v>82</x:v>
      </x:c>
      <x:c r="V44" s="76" t="str">
        <x:v>K03候选 +6</x:v>
      </x:c>
      <x:c r="W44" s="76" t="str">
        <x:v>imbalance_mechanism</x:v>
      </x:c>
      <x:c r="X44" s="76" t="str">
        <x:v>用陪伴、好气氛或体贴照顾替代明确讨论和现实改变。</x:v>
      </x:c>
      <x:c r="Y44" s="76" t="str">
        <x:v>需要留意的是，是否会出现：用陪伴、好气氛或体贴照顾替代明确讨论和现实改变。</x:v>
      </x:c>
      <x:c r="Z44" s="76" t="str">
        <x:v>不得推出用户逃避问题、懒散、只想享受或一定压抑矛盾；是否延后关键问题需结合现实顺序验证。</x:v>
      </x:c>
      <x:c r="AA44" s="76" t="str">
        <x:v>中</x:v>
      </x:c>
      <x:c r="AB44" s="76" t="str">
        <x:v>待验证</x:v>
      </x:c>
      <x:c r="AC44" s="76" t="str"/>
      <x:c r="AD44" s="76" t="str">
        <x:v>provisional=true; ten_god=食神; system=SYS02 食伤系统; m3_refs=I03／X03／CA03／BD03／CF03; imbalance=K03</x:v>
      </x:c>
      <x:c r="AE44" s="82" t="str">
        <x:v>0.2</x:v>
      </x:c>
    </x:row>
    <x:row r="45">
      <x:c r="A45" s="81" t="str">
        <x:v>M4-BASE-041</x:v>
      </x:c>
      <x:c r="B45" s="76" t="str">
        <x:v>食神｜K04处理顺序错位候选</x:v>
      </x:c>
      <x:c r="C45" s="76" t="str">
        <x:v>L2 十神失衡候选</x:v>
      </x:c>
      <x:c r="D45" s="76" t="str">
        <x:v>BASE-十神功能</x:v>
      </x:c>
      <x:c r="E45" s="76" t="str">
        <x:v>通用</x:v>
      </x:c>
      <x:c r="F45" s="76" t="str">
        <x:v>路径候选</x:v>
      </x:c>
      <x:c r="G45" s="76" t="str">
        <x:v>食神</x:v>
      </x:c>
      <x:c r="H45" s="76" t="str">
        <x:v>K04 处理顺序错位</x:v>
      </x:c>
      <x:c r="I45" s="76" t="str">
        <x:v>M3中I03／X03／CA03／BD03／CF03至少一项对应功能可靠成立；共享引擎确认食神性质有效；未命中真合化替换；完成source_id去重。；至少另一项功能真实存在，但在对应情境中进入过晚；有M3-FLOW或现实顺序证据。</x:v>
      </x:c>
      <x:c r="J45" s="76" t="str">
        <x:v>只有静态五行生克而无现实／M3顺序证据；另一功能并非该情境必要。</x:v>
      </x:c>
      <x:c r="K45" s="76" t="str">
        <x:v>由共享基础引擎提供；只修正承载与执行，不直接等同强弱人格。</x:v>
      </x:c>
      <x:c r="L45" s="76" t="str">
        <x:v>由M2接口提供；夫妻星只参与关系议题权重，不单独生成盲点。</x:v>
      </x:c>
      <x:c r="M45" s="76" t="str">
        <x:v>由M3-BASE与共享引擎提供；不得把日支直接写成配偶性格。</x:v>
      </x:c>
      <x:c r="N45" s="76" t="str">
        <x:v>先安抚和恢复舒服，但没有回到核心问题；降温从过渡步骤变成议题终点。</x:v>
      </x:c>
      <x:c r="O45" s="76" t="str">
        <x:v>由共享基础引擎判定</x:v>
      </x:c>
      <x:c r="P45" s="76" t="str">
        <x:v>由共享基础引擎判定</x:v>
      </x:c>
      <x:c r="Q45" s="76" t="str">
        <x:v>由共享基础引擎判定</x:v>
      </x:c>
      <x:c r="R45" s="76" t="str">
        <x:v>喜忌只修正调用摩擦与平衡，不直接等同好坏。</x:v>
      </x:c>
      <x:c r="S45" s="76" t="str">
        <x:v>原十神性质有效；真合化成立时按化神系统替换。</x:v>
      </x:c>
      <x:c r="T45" s="76" t="str">
        <x:v>由共享基础引擎判定</x:v>
      </x:c>
      <x:c r="U45" s="76" t="str">
        <x:v>81</x:v>
      </x:c>
      <x:c r="V45" s="76" t="str">
        <x:v>K04候选 +6</x:v>
      </x:c>
      <x:c r="W45" s="76" t="str">
        <x:v>flow_path</x:v>
      </x:c>
      <x:c r="X45" s="76" t="str">
        <x:v>先安抚和恢复舒服，但没有回到核心问题；降温从过渡步骤变成议题终点。</x:v>
      </x:c>
      <x:c r="Y45" s="76" t="str">
        <x:v>在处理顺序上，可能需要观察：先安抚和恢复舒服，但没有回到核心问题；降温从过渡步骤变成议题终点。</x:v>
      </x:c>
      <x:c r="Z45" s="76" t="str">
        <x:v>不得推出用户逃避问题、懒散、只想享受或一定压抑矛盾；是否延后关键问题需结合现实顺序验证。</x:v>
      </x:c>
      <x:c r="AA45" s="76" t="str">
        <x:v>中低</x:v>
      </x:c>
      <x:c r="AB45" s="76" t="str">
        <x:v>待验证</x:v>
      </x:c>
      <x:c r="AC45" s="76" t="str"/>
      <x:c r="AD45" s="76" t="str">
        <x:v>provisional=true; ten_god=食神; system=SYS02 食伤系统; m3_refs=I03／X03／CA03／BD03／CF03; imbalance=K04</x:v>
      </x:c>
      <x:c r="AE45" s="82" t="str">
        <x:v>0.2</x:v>
      </x:c>
    </x:row>
    <x:row r="46">
      <x:c r="A46" s="81" t="str">
        <x:v>M4-BASE-042</x:v>
      </x:c>
      <x:c r="B46" s="76" t="str">
        <x:v>食神｜调节与保护因子候选</x:v>
      </x:c>
      <x:c r="C46" s="76" t="str">
        <x:v>L3 五系统与流向</x:v>
      </x:c>
      <x:c r="D46" s="76" t="str">
        <x:v>BASE-十神功能</x:v>
      </x:c>
      <x:c r="E46" s="76" t="str">
        <x:v>通用</x:v>
      </x:c>
      <x:c r="F46" s="76" t="str">
        <x:v>保护候选</x:v>
      </x:c>
      <x:c r="G46" s="76" t="str">
        <x:v>食神</x:v>
      </x:c>
      <x:c r="H46" s="76" t="str">
        <x:v>BF调节功能</x:v>
      </x:c>
      <x:c r="I46" s="76" t="str">
        <x:v>伤官把关键问题说清；正官形成后续安排；正财把共识落到稳定行动。；且调节信号有效、有根、位置可进入关系核心或现实行为已有支持。</x:v>
      </x:c>
      <x:c r="J46" s="76" t="str">
        <x:v>调节信号仅结构存在但弱远无根；真合化后已失效；现实中未形成可调用行为。</x:v>
      </x:c>
      <x:c r="K46" s="76" t="str">
        <x:v>由共享基础引擎提供；只修正承载与执行，不直接等同强弱人格。</x:v>
      </x:c>
      <x:c r="L46" s="76" t="str">
        <x:v>由M2接口提供；夫妻星只参与关系议题权重，不单独生成盲点。</x:v>
      </x:c>
      <x:c r="M46" s="76" t="str">
        <x:v>由M3-BASE与共享引擎提供；不得把日支直接写成配偶性格。</x:v>
      </x:c>
      <x:c r="N46" s="76" t="str">
        <x:v>伤官把关键问题说清；正官形成后续安排；正财把共识落到稳定行动。</x:v>
      </x:c>
      <x:c r="O46" s="76" t="str">
        <x:v>由共享基础引擎判定</x:v>
      </x:c>
      <x:c r="P46" s="76" t="str">
        <x:v>由共享基础引擎判定</x:v>
      </x:c>
      <x:c r="Q46" s="76" t="str">
        <x:v>由共享基础引擎判定</x:v>
      </x:c>
      <x:c r="R46" s="76" t="str">
        <x:v>喜忌只修正调用摩擦与平衡，不直接等同好坏。</x:v>
      </x:c>
      <x:c r="S46" s="76" t="str">
        <x:v>原十神性质有效；真合化成立时按化神系统替换。</x:v>
      </x:c>
      <x:c r="T46" s="76" t="str">
        <x:v>由共享基础引擎判定</x:v>
      </x:c>
      <x:c r="U46" s="76" t="str">
        <x:v>78</x:v>
      </x:c>
      <x:c r="V46" s="76" t="str">
        <x:v>有效buffer −6至−10</x:v>
      </x:c>
      <x:c r="W46" s="76" t="str">
        <x:v>buffer_factor</x:v>
      </x:c>
      <x:c r="X46" s="76" t="str">
        <x:v>食神失衡候选可由以下功能限制、补足或转换：伤官把关键问题说清；正官形成后续安排；正财把共识落到稳定行动。</x:v>
      </x:c>
      <x:c r="Y46" s="76" t="str">
        <x:v>使这一候选减弱的条件包括：伤官把关键问题说清；正官形成后续安排；正财把共识落到稳定行动。</x:v>
      </x:c>
      <x:c r="Z46" s="76" t="str">
        <x:v>保护因子存在不等于风险完全消失；不得把喜神或制化结构直接写成现实中一定成熟、一定会自我调节。</x:v>
      </x:c>
      <x:c r="AA46" s="76" t="str">
        <x:v>中</x:v>
      </x:c>
      <x:c r="AB46" s="76" t="str">
        <x:v>待验证</x:v>
      </x:c>
      <x:c r="AC46" s="76" t="str"/>
      <x:c r="AD46" s="76" t="str">
        <x:v>provisional=true; ten_god=食神; system=SYS02 食伤系统; m3_refs=I03／X03／CA03／BD03／CF03; subtype=buffer</x:v>
      </x:c>
      <x:c r="AE46" s="82" t="str">
        <x:v>0.2</x:v>
      </x:c>
    </x:row>
    <x:row r="47">
      <x:c r="A47" s="81" t="str">
        <x:v>M4-BASE-043</x:v>
      </x:c>
      <x:c r="B47" s="76" t="str">
        <x:v>食神｜盲点主题路由候选</x:v>
      </x:c>
      <x:c r="C47" s="76" t="str">
        <x:v>L2 十神失衡候选</x:v>
      </x:c>
      <x:c r="D47" s="76" t="str">
        <x:v>BASE-十神功能</x:v>
      </x:c>
      <x:c r="E47" s="76" t="str">
        <x:v>通用</x:v>
      </x:c>
      <x:c r="F47" s="76" t="str">
        <x:v>路由</x:v>
      </x:c>
      <x:c r="G47" s="76" t="str">
        <x:v>食神</x:v>
      </x:c>
      <x:c r="H47" s="76" t="str">
        <x:v>B11 舒适和谐延后关键问题；B14 问题结案但关系未修复候选。</x:v>
      </x:c>
      <x:c r="I47" s="76" t="str">
        <x:v>对应正常功能已成立；至少一个K01—K06机制候选通过门控；完成独立证据与保护因子检查。</x:v>
      </x:c>
      <x:c r="J47" s="76" t="str">
        <x:v>仅有十神标签；机制不明；保护因素足以中断；现实反例明显。</x:v>
      </x:c>
      <x:c r="K47" s="76" t="str">
        <x:v>由共享基础引擎提供；只修正承载与执行，不直接等同强弱人格。</x:v>
      </x:c>
      <x:c r="L47" s="76" t="str">
        <x:v>由M2接口提供；夫妻星只参与关系议题权重，不单独生成盲点。</x:v>
      </x:c>
      <x:c r="M47" s="76" t="str">
        <x:v>由M3-BASE与共享引擎提供；不得把日支直接写成配偶性格。</x:v>
      </x:c>
      <x:c r="N47" s="76" t="str">
        <x:v>无／待后续规则组合</x:v>
      </x:c>
      <x:c r="O47" s="76" t="str">
        <x:v>由共享基础引擎判定</x:v>
      </x:c>
      <x:c r="P47" s="76" t="str">
        <x:v>由共享基础引擎判定</x:v>
      </x:c>
      <x:c r="Q47" s="76" t="str">
        <x:v>由共享基础引擎判定</x:v>
      </x:c>
      <x:c r="R47" s="76" t="str">
        <x:v>喜忌只修正调用摩擦与平衡，不直接等同好坏。</x:v>
      </x:c>
      <x:c r="S47" s="76" t="str">
        <x:v>原十神性质有效；真合化成立时按化神系统替换。</x:v>
      </x:c>
      <x:c r="T47" s="76" t="str">
        <x:v>由共享基础引擎判定</x:v>
      </x:c>
      <x:c r="U47" s="76" t="str">
        <x:v>76</x:v>
      </x:c>
      <x:c r="V47" s="76" t="str">
        <x:v>路由至后续MISREAD／OVERUSE，不在BASE定案</x:v>
      </x:c>
      <x:c r="W47" s="76" t="str">
        <x:v>blind_spot_candidate</x:v>
      </x:c>
      <x:c r="X47" s="76" t="str">
        <x:v>食神在BASE阶段可路由至：B11 舒适和谐延后关键问题；B14 问题结案但关系未修复候选。，但最终盲点主题由后续模块裁定。</x:v>
      </x:c>
      <x:c r="Y47" s="76" t="str">
        <x:v>当前可保留的盲点方向是：B11 舒适和谐延后关键问题；B14 问题结案但关系未修复候选。；它仍需结合触发情境和真实互动验证。</x:v>
      </x:c>
      <x:c r="Z47" s="76" t="str">
        <x:v>不得推出用户逃避问题、懒散、只想享受或一定压抑矛盾；是否延后关键问题需结合现实顺序验证。</x:v>
      </x:c>
      <x:c r="AA47" s="76" t="str">
        <x:v>中低</x:v>
      </x:c>
      <x:c r="AB47" s="76" t="str">
        <x:v>待验证</x:v>
      </x:c>
      <x:c r="AC47" s="76" t="str"/>
      <x:c r="AD47" s="76" t="str">
        <x:v>provisional=true; ten_god=食神; system=SYS02 食伤系统; m3_refs=I03／X03／CA03／BD03／CF03; route_only=true</x:v>
      </x:c>
      <x:c r="AE47" s="82" t="str">
        <x:v>0.2</x:v>
      </x:c>
    </x:row>
    <x:row r="48">
      <x:c r="A48" s="81" t="str">
        <x:v>M4-BASE-044</x:v>
      </x:c>
      <x:c r="B48" s="76" t="str">
        <x:v>食神｜用户解释摘要</x:v>
      </x:c>
      <x:c r="C48" s="76" t="str">
        <x:v>L8 输出与停止</x:v>
      </x:c>
      <x:c r="D48" s="76" t="str">
        <x:v>BASE-十神功能</x:v>
      </x:c>
      <x:c r="E48" s="76" t="str">
        <x:v>通用</x:v>
      </x:c>
      <x:c r="F48" s="76" t="str">
        <x:v>输出</x:v>
      </x:c>
      <x:c r="G48" s="76" t="str">
        <x:v>食神</x:v>
      </x:c>
      <x:c r="H48" s="76" t="str">
        <x:v>B11 舒适和谐延后关键问题；B14 问题结案但关系未修复候选。</x:v>
      </x:c>
      <x:c r="I48" s="76" t="str">
        <x:v>食神功能进入最终或暂定BASE输出；至少E1成立。</x:v>
      </x:c>
      <x:c r="J48" s="76" t="str">
        <x:v>该候选被停止、真合化替换或保护因素足以降至E0。</x:v>
      </x:c>
      <x:c r="K48" s="76" t="str">
        <x:v>由共享基础引擎提供；只修正承载与执行，不直接等同强弱人格。</x:v>
      </x:c>
      <x:c r="L48" s="76" t="str">
        <x:v>由M2接口提供；夫妻星只参与关系议题权重，不单独生成盲点。</x:v>
      </x:c>
      <x:c r="M48" s="76" t="str">
        <x:v>由M3-BASE与共享引擎提供；不得把日支直接写成配偶性格。</x:v>
      </x:c>
      <x:c r="N48" s="76" t="str">
        <x:v>无／待后续规则组合</x:v>
      </x:c>
      <x:c r="O48" s="76" t="str">
        <x:v>由共享基础引擎判定</x:v>
      </x:c>
      <x:c r="P48" s="76" t="str">
        <x:v>由共享基础引擎判定</x:v>
      </x:c>
      <x:c r="Q48" s="76" t="str">
        <x:v>由共享基础引擎判定</x:v>
      </x:c>
      <x:c r="R48" s="76" t="str">
        <x:v>喜忌只修正调用摩擦与平衡，不直接等同好坏。</x:v>
      </x:c>
      <x:c r="S48" s="76" t="str">
        <x:v>原十神性质有效；真合化成立时按化神系统替换。</x:v>
      </x:c>
      <x:c r="T48" s="76" t="str">
        <x:v>由共享基础引擎判定</x:v>
      </x:c>
      <x:c r="U48" s="76" t="str">
        <x:v>68</x:v>
      </x:c>
      <x:c r="V48" s="76" t="str">
        <x:v>不加分；摘要</x:v>
      </x:c>
      <x:c r="W48" s="76" t="str">
        <x:v>basis_summary</x:v>
      </x:c>
      <x:c r="X48" s="76" t="str">
        <x:v>用“正常功能—需要留意—保护条件”的顺序输出食神BASE结论。</x:v>
      </x:c>
      <x:c r="Y48" s="76" t="str">
        <x:v>你原本会通过温和、陪伴和舒适氛围降低关系压力。需要留意的是，舒服下来以后，双方是否真的回到关键议题，而不是让“先别破坏气氛”长期替代必要的说明和调整。</x:v>
      </x:c>
      <x:c r="Z48" s="76" t="str">
        <x:v>不得推出用户逃避问题、懒散、只想享受或一定压抑矛盾；是否延后关键问题需结合现实顺序验证。</x:v>
      </x:c>
      <x:c r="AA48" s="76" t="str">
        <x:v>中</x:v>
      </x:c>
      <x:c r="AB48" s="76" t="str">
        <x:v>待验证</x:v>
      </x:c>
      <x:c r="AC48" s="76" t="str"/>
      <x:c r="AD48" s="76" t="str">
        <x:v>provisional=true; ten_god=食神; system=SYS02 食伤系统; m3_refs=I03／X03／CA03／BD03／CF03; summary_only=true</x:v>
      </x:c>
      <x:c r="AE48" s="82" t="str">
        <x:v>0.2</x:v>
      </x:c>
    </x:row>
    <x:row r="49">
      <x:c r="A49" s="81" t="str">
        <x:v>M4-BASE-045</x:v>
      </x:c>
      <x:c r="B49" s="76" t="str">
        <x:v>伤官｜正常关系功能来源</x:v>
      </x:c>
      <x:c r="C49" s="76" t="str">
        <x:v>L1 正常功能来源</x:v>
      </x:c>
      <x:c r="D49" s="76" t="str">
        <x:v>BASE-十神功能</x:v>
      </x:c>
      <x:c r="E49" s="76" t="str">
        <x:v>通用</x:v>
      </x:c>
      <x:c r="F49" s="76" t="str">
        <x:v>基础</x:v>
      </x:c>
      <x:c r="G49" s="76" t="str">
        <x:v>伤官</x:v>
      </x:c>
      <x:c r="H49" s="76" t="str">
        <x:v>I04／X04／CA04／BD04／CF04</x:v>
      </x:c>
      <x:c r="I49" s="76" t="str">
        <x:v>M3中I04／X04／CA04／BD04／CF04至少一项对应功能可靠成立；共享引擎确认伤官性质有效；未命中真合化替换；完成source_id去重。</x:v>
      </x:c>
      <x:c r="J49" s="76" t="str">
        <x:v>M3相关功能停止；真合化后原十神失效；仅有单一弱远无根信号；或现实反例明确显示该功能并不稳定出现。</x:v>
      </x:c>
      <x:c r="K49" s="76" t="str">
        <x:v>由共享基础引擎提供；只修正承载与执行，不直接等同强弱人格。</x:v>
      </x:c>
      <x:c r="L49" s="76" t="str">
        <x:v>由M2接口提供；夫妻星只参与关系议题权重，不单独生成盲点。</x:v>
      </x:c>
      <x:c r="M49" s="76" t="str">
        <x:v>由M3-BASE与共享引擎提供；不得把日支直接写成配偶性格。</x:v>
      </x:c>
      <x:c r="N49" s="76" t="str">
        <x:v>无／待后续规则组合</x:v>
      </x:c>
      <x:c r="O49" s="76" t="str">
        <x:v>由共享基础引擎判定</x:v>
      </x:c>
      <x:c r="P49" s="76" t="str">
        <x:v>由共享基础引擎判定</x:v>
      </x:c>
      <x:c r="Q49" s="76" t="str">
        <x:v>由共享基础引擎判定</x:v>
      </x:c>
      <x:c r="R49" s="76" t="str">
        <x:v>喜忌只修正调用摩擦与平衡，不直接等同好坏。</x:v>
      </x:c>
      <x:c r="S49" s="76" t="str">
        <x:v>原十神性质有效；真合化成立时按化神系统替换。</x:v>
      </x:c>
      <x:c r="T49" s="76" t="str">
        <x:v>由共享基础引擎判定</x:v>
      </x:c>
      <x:c r="U49" s="76" t="str">
        <x:v>90</x:v>
      </x:c>
      <x:c r="V49" s="76" t="str">
        <x:v>functional_origin +12（同源只计一次）</x:v>
      </x:c>
      <x:c r="W49" s="76" t="str">
        <x:v>functional_origin</x:v>
      </x:c>
      <x:c r="X49" s="76" t="str">
        <x:v>伤官在M4中的起点不是负面标签，而是：分析、澄清、表达、提问、交换观点并把复杂问题说清楚。</x:v>
      </x:c>
      <x:c r="Y49" s="76" t="str">
        <x:v>这项反应原本的功能是：分析、澄清、表达、提问、交换观点并把复杂问题说清楚。</x:v>
      </x:c>
      <x:c r="Z49" s="76" t="str">
        <x:v>不得推出刻薄、爱批评、婚姻不顺或一定言语伤人；是否形成解释过载需现实反馈验证。</x:v>
      </x:c>
      <x:c r="AA49" s="76" t="str">
        <x:v>中高</x:v>
      </x:c>
      <x:c r="AB49" s="76" t="str">
        <x:v>待验证</x:v>
      </x:c>
      <x:c r="AC49" s="76" t="str"/>
      <x:c r="AD49" s="76" t="str">
        <x:v>provisional=true; ten_god=伤官; system=SYS02 食伤系统; m3_refs=I04／X04／CA04／BD04／CF04; subtype=normal</x:v>
      </x:c>
      <x:c r="AE49" s="82" t="str">
        <x:v>0.2</x:v>
      </x:c>
    </x:row>
    <x:row r="50">
      <x:c r="A50" s="81" t="str">
        <x:v>M4-BASE-046</x:v>
      </x:c>
      <x:c r="B50" s="76" t="str">
        <x:v>伤官｜K01过用放大候选</x:v>
      </x:c>
      <x:c r="C50" s="76" t="str">
        <x:v>L2 十神失衡候选</x:v>
      </x:c>
      <x:c r="D50" s="76" t="str">
        <x:v>BASE-十神功能</x:v>
      </x:c>
      <x:c r="E50" s="76" t="str">
        <x:v>通用</x:v>
      </x:c>
      <x:c r="F50" s="76" t="str">
        <x:v>失衡候选</x:v>
      </x:c>
      <x:c r="G50" s="76" t="str">
        <x:v>伤官</x:v>
      </x:c>
      <x:c r="H50" s="76" t="str">
        <x:v>K01 过用放大</x:v>
      </x:c>
      <x:c r="I50" s="76" t="str">
        <x:v>M3中I04／X04／CA04／BD04／CF04至少一项对应功能可靠成立；共享引擎确认伤官性质有效；未命中真合化替换；完成source_id去重。；另有过旺失衡、压力下抢先启动、重复行为或缺少调节中的至少一项独立证据。</x:v>
      </x:c>
      <x:c r="J50" s="76" t="str">
        <x:v>M3相关功能停止；真合化后原十神失效；仅有单一弱远无根信号；或现实反例明确显示该功能并不稳定出现。；旺而平衡且制化／通关有效。</x:v>
      </x:c>
      <x:c r="K50" s="76" t="str">
        <x:v>由共享基础引擎提供；只修正承载与执行，不直接等同强弱人格。</x:v>
      </x:c>
      <x:c r="L50" s="76" t="str">
        <x:v>由M2接口提供；夫妻星只参与关系议题权重，不单独生成盲点。</x:v>
      </x:c>
      <x:c r="M50" s="76" t="str">
        <x:v>由M3-BASE与共享引擎提供；不得把日支直接写成配偶性格。</x:v>
      </x:c>
      <x:c r="N50" s="76" t="str">
        <x:v>无／待后续规则组合</x:v>
      </x:c>
      <x:c r="O50" s="76" t="str">
        <x:v>由共享基础引擎判定</x:v>
      </x:c>
      <x:c r="P50" s="76" t="str">
        <x:v>由共享基础引擎判定</x:v>
      </x:c>
      <x:c r="Q50" s="76" t="str">
        <x:v>过旺失衡、抢先启动或现实重复证据；旺而平衡不自动成立。</x:v>
      </x:c>
      <x:c r="R50" s="76" t="str">
        <x:v>喜忌只修正调用摩擦与平衡，不直接等同好坏。</x:v>
      </x:c>
      <x:c r="S50" s="76" t="str">
        <x:v>原十神性质有效；真合化成立时按化神系统替换。</x:v>
      </x:c>
      <x:c r="T50" s="76" t="str">
        <x:v>由共享基础引擎判定</x:v>
      </x:c>
      <x:c r="U50" s="76" t="str">
        <x:v>84</x:v>
      </x:c>
      <x:c r="V50" s="76" t="str">
        <x:v>K01候选 +8</x:v>
      </x:c>
      <x:c r="W50" s="76" t="str">
        <x:v>imbalance_mechanism</x:v>
      </x:c>
      <x:c r="X50" s="76" t="str">
        <x:v>伤官的正常功能在调用强度过高或长期抢先时，可能表现为：解释和分析不断增加，但倾听、情绪承接或现实落实没有同步进入。</x:v>
      </x:c>
      <x:c r="Y50" s="76" t="str">
        <x:v>当这项方式被过度调用时，你可能更容易：解释和分析不断增加，但倾听、情绪承接或现实落实没有同步进入。</x:v>
      </x:c>
      <x:c r="Z50" s="76" t="str">
        <x:v>不得推出刻薄、爱批评、婚姻不顺或一定言语伤人；是否形成解释过载需现实反馈验证。</x:v>
      </x:c>
      <x:c r="AA50" s="76" t="str">
        <x:v>中</x:v>
      </x:c>
      <x:c r="AB50" s="76" t="str">
        <x:v>待验证</x:v>
      </x:c>
      <x:c r="AC50" s="76" t="str"/>
      <x:c r="AD50" s="76" t="str">
        <x:v>provisional=true; ten_god=伤官; system=SYS02 食伤系统; m3_refs=I04／X04／CA04／BD04／CF04; imbalance=K01</x:v>
      </x:c>
      <x:c r="AE50" s="82" t="str">
        <x:v>0.2</x:v>
      </x:c>
    </x:row>
    <x:row r="51">
      <x:c r="A51" s="81" t="str">
        <x:v>M4-BASE-047</x:v>
      </x:c>
      <x:c r="B51" s="76" t="str">
        <x:v>伤官｜K02功能不足候选</x:v>
      </x:c>
      <x:c r="C51" s="76" t="str">
        <x:v>L2 十神失衡候选</x:v>
      </x:c>
      <x:c r="D51" s="76" t="str">
        <x:v>BASE-十神功能</x:v>
      </x:c>
      <x:c r="E51" s="76" t="str">
        <x:v>通用</x:v>
      </x:c>
      <x:c r="F51" s="76" t="str">
        <x:v>失衡候选</x:v>
      </x:c>
      <x:c r="G51" s="76" t="str">
        <x:v>伤官</x:v>
      </x:c>
      <x:c r="H51" s="76" t="str">
        <x:v>K02 功能不足</x:v>
      </x:c>
      <x:c r="I51" s="76" t="str">
        <x:v>M3或关系路径显示伤官对应功能为必要环节；该功能偏弱无助、受阻或长期缺少现实出口；无可靠替代通道。</x:v>
      </x:c>
      <x:c r="J51" s="76" t="str">
        <x:v>该功能弱而有助；存在有效替代通道；现实行为显示此功能稳定可用。</x:v>
      </x:c>
      <x:c r="K51" s="76" t="str">
        <x:v>由共享基础引擎提供；只修正承载与执行，不直接等同强弱人格。</x:v>
      </x:c>
      <x:c r="L51" s="76" t="str">
        <x:v>由M2接口提供；夫妻星只参与关系议题权重，不单独生成盲点。</x:v>
      </x:c>
      <x:c r="M51" s="76" t="str">
        <x:v>由M3-BASE与共享引擎提供；不得把日支直接写成配偶性格。</x:v>
      </x:c>
      <x:c r="N51" s="76" t="str">
        <x:v>无／待后续规则组合</x:v>
      </x:c>
      <x:c r="O51" s="76" t="str">
        <x:v>由共享基础引擎判定</x:v>
      </x:c>
      <x:c r="P51" s="76" t="str">
        <x:v>由共享基础引擎判定</x:v>
      </x:c>
      <x:c r="Q51" s="76" t="str">
        <x:v>偏弱无助／转换受阻／现实缺位</x:v>
      </x:c>
      <x:c r="R51" s="76" t="str">
        <x:v>喜忌只修正调用摩擦与平衡，不直接等同好坏。</x:v>
      </x:c>
      <x:c r="S51" s="76" t="str">
        <x:v>原十神性质有效；真合化成立时按化神系统替换。</x:v>
      </x:c>
      <x:c r="T51" s="76" t="str">
        <x:v>由共享基础引擎判定</x:v>
      </x:c>
      <x:c r="U51" s="76" t="str">
        <x:v>83</x:v>
      </x:c>
      <x:c r="V51" s="76" t="str">
        <x:v>K02候选 +8</x:v>
      </x:c>
      <x:c r="W51" s="76" t="str">
        <x:v>missing_function</x:v>
      </x:c>
      <x:c r="X51" s="76" t="str">
        <x:v>当伤官功能是关系路径的必要环节却缺少稳定出口时，可能出现：需求、感受或关键事实难以清楚表达，对方只能从行动、沉默或情绪间接猜测。</x:v>
      </x:c>
      <x:c r="Y51" s="76" t="str">
        <x:v>另一项需要继续确认的功能是：需求、感受或关键事实难以清楚表达，对方只能从行动、沉默或情绪间接猜测。</x:v>
      </x:c>
      <x:c r="Z51" s="76" t="str">
        <x:v>不得推出刻薄、爱批评、婚姻不顺或一定言语伤人；是否形成解释过载需现实反馈验证。</x:v>
      </x:c>
      <x:c r="AA51" s="76" t="str">
        <x:v>中</x:v>
      </x:c>
      <x:c r="AB51" s="76" t="str">
        <x:v>待验证</x:v>
      </x:c>
      <x:c r="AC51" s="76" t="str"/>
      <x:c r="AD51" s="76" t="str">
        <x:v>provisional=true; ten_god=伤官; system=SYS02 食伤系统; m3_refs=I04／X04／CA04／BD04／CF04; imbalance=K02</x:v>
      </x:c>
      <x:c r="AE51" s="82" t="str">
        <x:v>0.2</x:v>
      </x:c>
    </x:row>
    <x:row r="52">
      <x:c r="A52" s="81" t="str">
        <x:v>M4-BASE-048</x:v>
      </x:c>
      <x:c r="B52" s="76" t="str">
        <x:v>伤官｜K03单通道替代候选</x:v>
      </x:c>
      <x:c r="C52" s="76" t="str">
        <x:v>L2 十神失衡候选</x:v>
      </x:c>
      <x:c r="D52" s="76" t="str">
        <x:v>BASE-十神功能</x:v>
      </x:c>
      <x:c r="E52" s="76" t="str">
        <x:v>通用</x:v>
      </x:c>
      <x:c r="F52" s="76" t="str">
        <x:v>组合候选</x:v>
      </x:c>
      <x:c r="G52" s="76" t="str">
        <x:v>伤官</x:v>
      </x:c>
      <x:c r="H52" s="76" t="str">
        <x:v>K03 单通道替代</x:v>
      </x:c>
      <x:c r="I52" s="76" t="str">
        <x:v>M3中I04／X04／CA04／BD04／CF04至少一项对应功能可靠成立；共享引擎确认伤官性质有效；未命中真合化替换；完成source_id去重。；当前关系任务还需要另一系统功能，但该功能不足、延后或被伤官通道替代。</x:v>
      </x:c>
      <x:c r="J52" s="76" t="str">
        <x:v>另一功能已经有效进入并形成分工；仅为同一功能的不同表述。</x:v>
      </x:c>
      <x:c r="K52" s="76" t="str">
        <x:v>由共享基础引擎提供；只修正承载与执行，不直接等同强弱人格。</x:v>
      </x:c>
      <x:c r="L52" s="76" t="str">
        <x:v>由M2接口提供；夫妻星只参与关系议题权重，不单独生成盲点。</x:v>
      </x:c>
      <x:c r="M52" s="76" t="str">
        <x:v>由M3-BASE与共享引擎提供；不得把日支直接写成配偶性格。</x:v>
      </x:c>
      <x:c r="N52" s="76" t="str">
        <x:v>伤官功能替代另一必要功能；需由后续OVERUSE确认</x:v>
      </x:c>
      <x:c r="O52" s="76" t="str">
        <x:v>由共享基础引擎判定</x:v>
      </x:c>
      <x:c r="P52" s="76" t="str">
        <x:v>由共享基础引擎判定</x:v>
      </x:c>
      <x:c r="Q52" s="76" t="str">
        <x:v>由共享基础引擎判定</x:v>
      </x:c>
      <x:c r="R52" s="76" t="str">
        <x:v>喜忌只修正调用摩擦与平衡，不直接等同好坏。</x:v>
      </x:c>
      <x:c r="S52" s="76" t="str">
        <x:v>原十神性质有效；真合化成立时按化神系统替换。</x:v>
      </x:c>
      <x:c r="T52" s="76" t="str">
        <x:v>由共享基础引擎判定</x:v>
      </x:c>
      <x:c r="U52" s="76" t="str">
        <x:v>82</x:v>
      </x:c>
      <x:c r="V52" s="76" t="str">
        <x:v>K03候选 +6</x:v>
      </x:c>
      <x:c r="W52" s="76" t="str">
        <x:v>imbalance_mechanism</x:v>
      </x:c>
      <x:c r="X52" s="76" t="str">
        <x:v>把“我已经说清楚”当成“对方已经被理解、关系已经形成共识”。</x:v>
      </x:c>
      <x:c r="Y52" s="76" t="str">
        <x:v>需要留意的是，是否会出现：把“我已经说清楚”当成“对方已经被理解、关系已经形成共识”。</x:v>
      </x:c>
      <x:c r="Z52" s="76" t="str">
        <x:v>不得推出刻薄、爱批评、婚姻不顺或一定言语伤人；是否形成解释过载需现实反馈验证。</x:v>
      </x:c>
      <x:c r="AA52" s="76" t="str">
        <x:v>中</x:v>
      </x:c>
      <x:c r="AB52" s="76" t="str">
        <x:v>待验证</x:v>
      </x:c>
      <x:c r="AC52" s="76" t="str"/>
      <x:c r="AD52" s="76" t="str">
        <x:v>provisional=true; ten_god=伤官; system=SYS02 食伤系统; m3_refs=I04／X04／CA04／BD04／CF04; imbalance=K03</x:v>
      </x:c>
      <x:c r="AE52" s="82" t="str">
        <x:v>0.2</x:v>
      </x:c>
    </x:row>
    <x:row r="53">
      <x:c r="A53" s="81" t="str">
        <x:v>M4-BASE-049</x:v>
      </x:c>
      <x:c r="B53" s="76" t="str">
        <x:v>伤官｜K04处理顺序错位候选</x:v>
      </x:c>
      <x:c r="C53" s="76" t="str">
        <x:v>L2 十神失衡候选</x:v>
      </x:c>
      <x:c r="D53" s="76" t="str">
        <x:v>BASE-十神功能</x:v>
      </x:c>
      <x:c r="E53" s="76" t="str">
        <x:v>通用</x:v>
      </x:c>
      <x:c r="F53" s="76" t="str">
        <x:v>路径候选</x:v>
      </x:c>
      <x:c r="G53" s="76" t="str">
        <x:v>伤官</x:v>
      </x:c>
      <x:c r="H53" s="76" t="str">
        <x:v>K04 处理顺序错位</x:v>
      </x:c>
      <x:c r="I53" s="76" t="str">
        <x:v>M3中I04／X04／CA04／BD04／CF04至少一项对应功能可靠成立；共享引擎确认伤官性质有效；未命中真合化替换；完成source_id去重。；至少另一项功能真实存在，但在对应情境中进入过晚；有M3-FLOW或现实顺序证据。</x:v>
      </x:c>
      <x:c r="J53" s="76" t="str">
        <x:v>只有静态五行生克而无现实／M3顺序证据；另一功能并非该情境必要。</x:v>
      </x:c>
      <x:c r="K53" s="76" t="str">
        <x:v>由共享基础引擎提供；只修正承载与执行，不直接等同强弱人格。</x:v>
      </x:c>
      <x:c r="L53" s="76" t="str">
        <x:v>由M2接口提供；夫妻星只参与关系议题权重，不单独生成盲点。</x:v>
      </x:c>
      <x:c r="M53" s="76" t="str">
        <x:v>由M3-BASE与共享引擎提供；不得把日支直接写成配偶性格。</x:v>
      </x:c>
      <x:c r="N53" s="76" t="str">
        <x:v>在情绪尚未被承接或安全尚未恢复时，先讲逻辑、规则或完整论证。</x:v>
      </x:c>
      <x:c r="O53" s="76" t="str">
        <x:v>由共享基础引擎判定</x:v>
      </x:c>
      <x:c r="P53" s="76" t="str">
        <x:v>由共享基础引擎判定</x:v>
      </x:c>
      <x:c r="Q53" s="76" t="str">
        <x:v>由共享基础引擎判定</x:v>
      </x:c>
      <x:c r="R53" s="76" t="str">
        <x:v>喜忌只修正调用摩擦与平衡，不直接等同好坏。</x:v>
      </x:c>
      <x:c r="S53" s="76" t="str">
        <x:v>原十神性质有效；真合化成立时按化神系统替换。</x:v>
      </x:c>
      <x:c r="T53" s="76" t="str">
        <x:v>由共享基础引擎判定</x:v>
      </x:c>
      <x:c r="U53" s="76" t="str">
        <x:v>81</x:v>
      </x:c>
      <x:c r="V53" s="76" t="str">
        <x:v>K04候选 +6</x:v>
      </x:c>
      <x:c r="W53" s="76" t="str">
        <x:v>flow_path</x:v>
      </x:c>
      <x:c r="X53" s="76" t="str">
        <x:v>在情绪尚未被承接或安全尚未恢复时，先讲逻辑、规则或完整论证。</x:v>
      </x:c>
      <x:c r="Y53" s="76" t="str">
        <x:v>在处理顺序上，可能需要观察：在情绪尚未被承接或安全尚未恢复时，先讲逻辑、规则或完整论证。</x:v>
      </x:c>
      <x:c r="Z53" s="76" t="str">
        <x:v>不得推出刻薄、爱批评、婚姻不顺或一定言语伤人；是否形成解释过载需现实反馈验证。</x:v>
      </x:c>
      <x:c r="AA53" s="76" t="str">
        <x:v>中低</x:v>
      </x:c>
      <x:c r="AB53" s="76" t="str">
        <x:v>待验证</x:v>
      </x:c>
      <x:c r="AC53" s="76" t="str"/>
      <x:c r="AD53" s="76" t="str">
        <x:v>provisional=true; ten_god=伤官; system=SYS02 食伤系统; m3_refs=I04／X04／CA04／BD04／CF04; imbalance=K04</x:v>
      </x:c>
      <x:c r="AE53" s="82" t="str">
        <x:v>0.2</x:v>
      </x:c>
    </x:row>
    <x:row r="54">
      <x:c r="A54" s="81" t="str">
        <x:v>M4-BASE-050</x:v>
      </x:c>
      <x:c r="B54" s="76" t="str">
        <x:v>伤官｜调节与保护因子候选</x:v>
      </x:c>
      <x:c r="C54" s="76" t="str">
        <x:v>L3 五系统与流向</x:v>
      </x:c>
      <x:c r="D54" s="76" t="str">
        <x:v>BASE-十神功能</x:v>
      </x:c>
      <x:c r="E54" s="76" t="str">
        <x:v>通用</x:v>
      </x:c>
      <x:c r="F54" s="76" t="str">
        <x:v>保护候选</x:v>
      </x:c>
      <x:c r="G54" s="76" t="str">
        <x:v>伤官</x:v>
      </x:c>
      <x:c r="H54" s="76" t="str">
        <x:v>BF调节功能</x:v>
      </x:c>
      <x:c r="I54" s="76" t="str">
        <x:v>正印负责倾听与承接；财星把语言转成行动；官杀把共识转成责任和后续安排。；且调节信号有效、有根、位置可进入关系核心或现实行为已有支持。</x:v>
      </x:c>
      <x:c r="J54" s="76" t="str">
        <x:v>调节信号仅结构存在但弱远无根；真合化后已失效；现实中未形成可调用行为。</x:v>
      </x:c>
      <x:c r="K54" s="76" t="str">
        <x:v>由共享基础引擎提供；只修正承载与执行，不直接等同强弱人格。</x:v>
      </x:c>
      <x:c r="L54" s="76" t="str">
        <x:v>由M2接口提供；夫妻星只参与关系议题权重，不单独生成盲点。</x:v>
      </x:c>
      <x:c r="M54" s="76" t="str">
        <x:v>由M3-BASE与共享引擎提供；不得把日支直接写成配偶性格。</x:v>
      </x:c>
      <x:c r="N54" s="76" t="str">
        <x:v>正印负责倾听与承接；财星把语言转成行动；官杀把共识转成责任和后续安排。</x:v>
      </x:c>
      <x:c r="O54" s="76" t="str">
        <x:v>由共享基础引擎判定</x:v>
      </x:c>
      <x:c r="P54" s="76" t="str">
        <x:v>由共享基础引擎判定</x:v>
      </x:c>
      <x:c r="Q54" s="76" t="str">
        <x:v>由共享基础引擎判定</x:v>
      </x:c>
      <x:c r="R54" s="76" t="str">
        <x:v>喜忌只修正调用摩擦与平衡，不直接等同好坏。</x:v>
      </x:c>
      <x:c r="S54" s="76" t="str">
        <x:v>原十神性质有效；真合化成立时按化神系统替换。</x:v>
      </x:c>
      <x:c r="T54" s="76" t="str">
        <x:v>由共享基础引擎判定</x:v>
      </x:c>
      <x:c r="U54" s="76" t="str">
        <x:v>78</x:v>
      </x:c>
      <x:c r="V54" s="76" t="str">
        <x:v>有效buffer −6至−10</x:v>
      </x:c>
      <x:c r="W54" s="76" t="str">
        <x:v>buffer_factor</x:v>
      </x:c>
      <x:c r="X54" s="76" t="str">
        <x:v>伤官失衡候选可由以下功能限制、补足或转换：正印负责倾听与承接；财星把语言转成行动；官杀把共识转成责任和后续安排。</x:v>
      </x:c>
      <x:c r="Y54" s="76" t="str">
        <x:v>使这一候选减弱的条件包括：正印负责倾听与承接；财星把语言转成行动；官杀把共识转成责任和后续安排。</x:v>
      </x:c>
      <x:c r="Z54" s="76" t="str">
        <x:v>保护因子存在不等于风险完全消失；不得把喜神或制化结构直接写成现实中一定成熟、一定会自我调节。</x:v>
      </x:c>
      <x:c r="AA54" s="76" t="str">
        <x:v>中</x:v>
      </x:c>
      <x:c r="AB54" s="76" t="str">
        <x:v>待验证</x:v>
      </x:c>
      <x:c r="AC54" s="76" t="str"/>
      <x:c r="AD54" s="76" t="str">
        <x:v>provisional=true; ten_god=伤官; system=SYS02 食伤系统; m3_refs=I04／X04／CA04／BD04／CF04; subtype=buffer</x:v>
      </x:c>
      <x:c r="AE54" s="82" t="str">
        <x:v>0.2</x:v>
      </x:c>
    </x:row>
    <x:row r="55">
      <x:c r="A55" s="81" t="str">
        <x:v>M4-BASE-051</x:v>
      </x:c>
      <x:c r="B55" s="76" t="str">
        <x:v>伤官｜盲点主题路由候选</x:v>
      </x:c>
      <x:c r="C55" s="76" t="str">
        <x:v>L2 十神失衡候选</x:v>
      </x:c>
      <x:c r="D55" s="76" t="str">
        <x:v>BASE-十神功能</x:v>
      </x:c>
      <x:c r="E55" s="76" t="str">
        <x:v>通用</x:v>
      </x:c>
      <x:c r="F55" s="76" t="str">
        <x:v>路由</x:v>
      </x:c>
      <x:c r="G55" s="76" t="str">
        <x:v>伤官</x:v>
      </x:c>
      <x:c r="H55" s="76" t="str">
        <x:v>B05 表达充分替代理解完成；B06 解决问题替代情绪处理候选。</x:v>
      </x:c>
      <x:c r="I55" s="76" t="str">
        <x:v>对应正常功能已成立；至少一个K01—K06机制候选通过门控；完成独立证据与保护因子检查。</x:v>
      </x:c>
      <x:c r="J55" s="76" t="str">
        <x:v>仅有十神标签；机制不明；保护因素足以中断；现实反例明显。</x:v>
      </x:c>
      <x:c r="K55" s="76" t="str">
        <x:v>由共享基础引擎提供；只修正承载与执行，不直接等同强弱人格。</x:v>
      </x:c>
      <x:c r="L55" s="76" t="str">
        <x:v>由M2接口提供；夫妻星只参与关系议题权重，不单独生成盲点。</x:v>
      </x:c>
      <x:c r="M55" s="76" t="str">
        <x:v>由M3-BASE与共享引擎提供；不得把日支直接写成配偶性格。</x:v>
      </x:c>
      <x:c r="N55" s="76" t="str">
        <x:v>无／待后续规则组合</x:v>
      </x:c>
      <x:c r="O55" s="76" t="str">
        <x:v>由共享基础引擎判定</x:v>
      </x:c>
      <x:c r="P55" s="76" t="str">
        <x:v>由共享基础引擎判定</x:v>
      </x:c>
      <x:c r="Q55" s="76" t="str">
        <x:v>由共享基础引擎判定</x:v>
      </x:c>
      <x:c r="R55" s="76" t="str">
        <x:v>喜忌只修正调用摩擦与平衡，不直接等同好坏。</x:v>
      </x:c>
      <x:c r="S55" s="76" t="str">
        <x:v>原十神性质有效；真合化成立时按化神系统替换。</x:v>
      </x:c>
      <x:c r="T55" s="76" t="str">
        <x:v>由共享基础引擎判定</x:v>
      </x:c>
      <x:c r="U55" s="76" t="str">
        <x:v>76</x:v>
      </x:c>
      <x:c r="V55" s="76" t="str">
        <x:v>路由至后续MISREAD／OVERUSE，不在BASE定案</x:v>
      </x:c>
      <x:c r="W55" s="76" t="str">
        <x:v>blind_spot_candidate</x:v>
      </x:c>
      <x:c r="X55" s="76" t="str">
        <x:v>伤官在BASE阶段可路由至：B05 表达充分替代理解完成；B06 解决问题替代情绪处理候选。，但最终盲点主题由后续模块裁定。</x:v>
      </x:c>
      <x:c r="Y55" s="76" t="str">
        <x:v>当前可保留的盲点方向是：B05 表达充分替代理解完成；B06 解决问题替代情绪处理候选。；它仍需结合触发情境和真实互动验证。</x:v>
      </x:c>
      <x:c r="Z55" s="76" t="str">
        <x:v>不得推出刻薄、爱批评、婚姻不顺或一定言语伤人；是否形成解释过载需现实反馈验证。</x:v>
      </x:c>
      <x:c r="AA55" s="76" t="str">
        <x:v>中低</x:v>
      </x:c>
      <x:c r="AB55" s="76" t="str">
        <x:v>待验证</x:v>
      </x:c>
      <x:c r="AC55" s="76" t="str"/>
      <x:c r="AD55" s="76" t="str">
        <x:v>provisional=true; ten_god=伤官; system=SYS02 食伤系统; m3_refs=I04／X04／CA04／BD04／CF04; route_only=true</x:v>
      </x:c>
      <x:c r="AE55" s="82" t="str">
        <x:v>0.2</x:v>
      </x:c>
    </x:row>
    <x:row r="56">
      <x:c r="A56" s="81" t="str">
        <x:v>M4-BASE-052</x:v>
      </x:c>
      <x:c r="B56" s="76" t="str">
        <x:v>伤官｜用户解释摘要</x:v>
      </x:c>
      <x:c r="C56" s="76" t="str">
        <x:v>L8 输出与停止</x:v>
      </x:c>
      <x:c r="D56" s="76" t="str">
        <x:v>BASE-十神功能</x:v>
      </x:c>
      <x:c r="E56" s="76" t="str">
        <x:v>通用</x:v>
      </x:c>
      <x:c r="F56" s="76" t="str">
        <x:v>输出</x:v>
      </x:c>
      <x:c r="G56" s="76" t="str">
        <x:v>伤官</x:v>
      </x:c>
      <x:c r="H56" s="76" t="str">
        <x:v>B05 表达充分替代理解完成；B06 解决问题替代情绪处理候选。</x:v>
      </x:c>
      <x:c r="I56" s="76" t="str">
        <x:v>伤官功能进入最终或暂定BASE输出；至少E1成立。</x:v>
      </x:c>
      <x:c r="J56" s="76" t="str">
        <x:v>该候选被停止、真合化替换或保护因素足以降至E0。</x:v>
      </x:c>
      <x:c r="K56" s="76" t="str">
        <x:v>由共享基础引擎提供；只修正承载与执行，不直接等同强弱人格。</x:v>
      </x:c>
      <x:c r="L56" s="76" t="str">
        <x:v>由M2接口提供；夫妻星只参与关系议题权重，不单独生成盲点。</x:v>
      </x:c>
      <x:c r="M56" s="76" t="str">
        <x:v>由M3-BASE与共享引擎提供；不得把日支直接写成配偶性格。</x:v>
      </x:c>
      <x:c r="N56" s="76" t="str">
        <x:v>无／待后续规则组合</x:v>
      </x:c>
      <x:c r="O56" s="76" t="str">
        <x:v>由共享基础引擎判定</x:v>
      </x:c>
      <x:c r="P56" s="76" t="str">
        <x:v>由共享基础引擎判定</x:v>
      </x:c>
      <x:c r="Q56" s="76" t="str">
        <x:v>由共享基础引擎判定</x:v>
      </x:c>
      <x:c r="R56" s="76" t="str">
        <x:v>喜忌只修正调用摩擦与平衡，不直接等同好坏。</x:v>
      </x:c>
      <x:c r="S56" s="76" t="str">
        <x:v>原十神性质有效；真合化成立时按化神系统替换。</x:v>
      </x:c>
      <x:c r="T56" s="76" t="str">
        <x:v>由共享基础引擎判定</x:v>
      </x:c>
      <x:c r="U56" s="76" t="str">
        <x:v>68</x:v>
      </x:c>
      <x:c r="V56" s="76" t="str">
        <x:v>不加分；摘要</x:v>
      </x:c>
      <x:c r="W56" s="76" t="str">
        <x:v>basis_summary</x:v>
      </x:c>
      <x:c r="X56" s="76" t="str">
        <x:v>用“正常功能—需要留意—保护条件”的顺序输出伤官BASE结论。</x:v>
      </x:c>
      <x:c r="Y56" s="76" t="str">
        <x:v>你原本有把事情分析清楚、把想法说明白的能力。需要留意的是，表达完整、对方听见、情绪被理解和现实达成共识，其实是不同步骤；说得更多不一定等于理解更深。</x:v>
      </x:c>
      <x:c r="Z56" s="76" t="str">
        <x:v>不得推出刻薄、爱批评、婚姻不顺或一定言语伤人；是否形成解释过载需现实反馈验证。</x:v>
      </x:c>
      <x:c r="AA56" s="76" t="str">
        <x:v>中</x:v>
      </x:c>
      <x:c r="AB56" s="76" t="str">
        <x:v>待验证</x:v>
      </x:c>
      <x:c r="AC56" s="76" t="str"/>
      <x:c r="AD56" s="76" t="str">
        <x:v>provisional=true; ten_god=伤官; system=SYS02 食伤系统; m3_refs=I04／X04／CA04／BD04／CF04; summary_only=true</x:v>
      </x:c>
      <x:c r="AE56" s="82" t="str">
        <x:v>0.2</x:v>
      </x:c>
    </x:row>
    <x:row r="57">
      <x:c r="A57" s="81" t="str">
        <x:v>M4-BASE-053</x:v>
      </x:c>
      <x:c r="B57" s="76" t="str">
        <x:v>正财｜正常关系功能来源</x:v>
      </x:c>
      <x:c r="C57" s="76" t="str">
        <x:v>L1 正常功能来源</x:v>
      </x:c>
      <x:c r="D57" s="76" t="str">
        <x:v>BASE-十神功能</x:v>
      </x:c>
      <x:c r="E57" s="76" t="str">
        <x:v>通用</x:v>
      </x:c>
      <x:c r="F57" s="76" t="str">
        <x:v>基础</x:v>
      </x:c>
      <x:c r="G57" s="76" t="str">
        <x:v>正财</x:v>
      </x:c>
      <x:c r="H57" s="76" t="str">
        <x:v>I05／X05／CA05／BD05／CF05</x:v>
      </x:c>
      <x:c r="I57" s="76" t="str">
        <x:v>M3中I05／X05／CA05／BD05／CF05至少一项对应功能可靠成立；共享引擎确认正财性质有效；未命中真合化替换；完成source_id去重。</x:v>
      </x:c>
      <x:c r="J57" s="76" t="str">
        <x:v>M3相关功能停止；真合化后原十神失效；仅有单一弱远无根信号；或现实反例明确显示该功能并不稳定出现。</x:v>
      </x:c>
      <x:c r="K57" s="76" t="str">
        <x:v>由共享基础引擎提供；只修正承载与执行，不直接等同强弱人格。</x:v>
      </x:c>
      <x:c r="L57" s="76" t="str">
        <x:v>由M2接口提供；夫妻星只参与关系议题权重，不单独生成盲点。</x:v>
      </x:c>
      <x:c r="M57" s="76" t="str">
        <x:v>由M3-BASE与共享引擎提供；不得把日支直接写成配偶性格。</x:v>
      </x:c>
      <x:c r="N57" s="76" t="str">
        <x:v>无／待后续规则组合</x:v>
      </x:c>
      <x:c r="O57" s="76" t="str">
        <x:v>由共享基础引擎判定</x:v>
      </x:c>
      <x:c r="P57" s="76" t="str">
        <x:v>由共享基础引擎判定</x:v>
      </x:c>
      <x:c r="Q57" s="76" t="str">
        <x:v>由共享基础引擎判定</x:v>
      </x:c>
      <x:c r="R57" s="76" t="str">
        <x:v>喜忌只修正调用摩擦与平衡，不直接等同好坏。</x:v>
      </x:c>
      <x:c r="S57" s="76" t="str">
        <x:v>原十神性质有效；真合化成立时按化神系统替换。</x:v>
      </x:c>
      <x:c r="T57" s="76" t="str">
        <x:v>由共享基础引擎判定</x:v>
      </x:c>
      <x:c r="U57" s="76" t="str">
        <x:v>90</x:v>
      </x:c>
      <x:c r="V57" s="76" t="str">
        <x:v>functional_origin +12（同源只计一次）</x:v>
      </x:c>
      <x:c r="W57" s="76" t="str">
        <x:v>functional_origin</x:v>
      </x:c>
      <x:c r="X57" s="76" t="str">
        <x:v>正财在M4中的起点不是负面标签，而是：持续投入、生活经营、时间资源安排、稳定落实和日常责任。</x:v>
      </x:c>
      <x:c r="Y57" s="76" t="str">
        <x:v>这项反应原本的功能是：持续投入、生活经营、时间资源安排、稳定落实和日常责任。</x:v>
      </x:c>
      <x:c r="Z57" s="76" t="str">
        <x:v>不得推出只看钱、控制资源、计较或一定过度付出；投入与隐性记账需由现实行为验证。</x:v>
      </x:c>
      <x:c r="AA57" s="76" t="str">
        <x:v>中高</x:v>
      </x:c>
      <x:c r="AB57" s="76" t="str">
        <x:v>待验证</x:v>
      </x:c>
      <x:c r="AC57" s="76" t="str"/>
      <x:c r="AD57" s="76" t="str">
        <x:v>provisional=true; ten_god=正财; system=SYS03 财星系统; m3_refs=I05／X05／CA05／BD05／CF05; subtype=normal</x:v>
      </x:c>
      <x:c r="AE57" s="82" t="str">
        <x:v>0.2</x:v>
      </x:c>
    </x:row>
    <x:row r="58">
      <x:c r="A58" s="81" t="str">
        <x:v>M4-BASE-054</x:v>
      </x:c>
      <x:c r="B58" s="76" t="str">
        <x:v>正财｜K01过用放大候选</x:v>
      </x:c>
      <x:c r="C58" s="76" t="str">
        <x:v>L2 十神失衡候选</x:v>
      </x:c>
      <x:c r="D58" s="76" t="str">
        <x:v>BASE-十神功能</x:v>
      </x:c>
      <x:c r="E58" s="76" t="str">
        <x:v>通用</x:v>
      </x:c>
      <x:c r="F58" s="76" t="str">
        <x:v>失衡候选</x:v>
      </x:c>
      <x:c r="G58" s="76" t="str">
        <x:v>正财</x:v>
      </x:c>
      <x:c r="H58" s="76" t="str">
        <x:v>K01 过用放大</x:v>
      </x:c>
      <x:c r="I58" s="76" t="str">
        <x:v>M3中I05／X05／CA05／BD05／CF05至少一项对应功能可靠成立；共享引擎确认正财性质有效；未命中真合化替换；完成source_id去重。；另有过旺失衡、压力下抢先启动、重复行为或缺少调节中的至少一项独立证据。</x:v>
      </x:c>
      <x:c r="J58" s="76" t="str">
        <x:v>M3相关功能停止；真合化后原十神失效；仅有单一弱远无根信号；或现实反例明确显示该功能并不稳定出现。；旺而平衡且制化／通关有效。</x:v>
      </x:c>
      <x:c r="K58" s="76" t="str">
        <x:v>由共享基础引擎提供；只修正承载与执行，不直接等同强弱人格。</x:v>
      </x:c>
      <x:c r="L58" s="76" t="str">
        <x:v>由M2接口提供；夫妻星只参与关系议题权重，不单独生成盲点。</x:v>
      </x:c>
      <x:c r="M58" s="76" t="str">
        <x:v>由M3-BASE与共享引擎提供；不得把日支直接写成配偶性格。</x:v>
      </x:c>
      <x:c r="N58" s="76" t="str">
        <x:v>无／待后续规则组合</x:v>
      </x:c>
      <x:c r="O58" s="76" t="str">
        <x:v>由共享基础引擎判定</x:v>
      </x:c>
      <x:c r="P58" s="76" t="str">
        <x:v>由共享基础引擎判定</x:v>
      </x:c>
      <x:c r="Q58" s="76" t="str">
        <x:v>过旺失衡、抢先启动或现实重复证据；旺而平衡不自动成立。</x:v>
      </x:c>
      <x:c r="R58" s="76" t="str">
        <x:v>喜忌只修正调用摩擦与平衡，不直接等同好坏。</x:v>
      </x:c>
      <x:c r="S58" s="76" t="str">
        <x:v>原十神性质有效；真合化成立时按化神系统替换。</x:v>
      </x:c>
      <x:c r="T58" s="76" t="str">
        <x:v>由共享基础引擎判定</x:v>
      </x:c>
      <x:c r="U58" s="76" t="str">
        <x:v>84</x:v>
      </x:c>
      <x:c r="V58" s="76" t="str">
        <x:v>K01候选 +8</x:v>
      </x:c>
      <x:c r="W58" s="76" t="str">
        <x:v>imbalance_mechanism</x:v>
      </x:c>
      <x:c r="X58" s="76" t="str">
        <x:v>正财的正常功能在调用强度过高或长期抢先时，可能表现为：把付出数量、任务完成或资源投入当成关系质量，形成隐性记账或用事务替代情绪交流。</x:v>
      </x:c>
      <x:c r="Y58" s="76" t="str">
        <x:v>当这项方式被过度调用时，你可能更容易：把付出数量、任务完成或资源投入当成关系质量，形成隐性记账或用事务替代情绪交流。</x:v>
      </x:c>
      <x:c r="Z58" s="76" t="str">
        <x:v>不得推出只看钱、控制资源、计较或一定过度付出；投入与隐性记账需由现实行为验证。</x:v>
      </x:c>
      <x:c r="AA58" s="76" t="str">
        <x:v>中</x:v>
      </x:c>
      <x:c r="AB58" s="76" t="str">
        <x:v>待验证</x:v>
      </x:c>
      <x:c r="AC58" s="76" t="str"/>
      <x:c r="AD58" s="76" t="str">
        <x:v>provisional=true; ten_god=正财; system=SYS03 财星系统; m3_refs=I05／X05／CA05／BD05／CF05; imbalance=K01</x:v>
      </x:c>
      <x:c r="AE58" s="82" t="str">
        <x:v>0.2</x:v>
      </x:c>
    </x:row>
    <x:row r="59">
      <x:c r="A59" s="81" t="str">
        <x:v>M4-BASE-055</x:v>
      </x:c>
      <x:c r="B59" s="76" t="str">
        <x:v>正财｜K02功能不足候选</x:v>
      </x:c>
      <x:c r="C59" s="76" t="str">
        <x:v>L2 十神失衡候选</x:v>
      </x:c>
      <x:c r="D59" s="76" t="str">
        <x:v>BASE-十神功能</x:v>
      </x:c>
      <x:c r="E59" s="76" t="str">
        <x:v>通用</x:v>
      </x:c>
      <x:c r="F59" s="76" t="str">
        <x:v>失衡候选</x:v>
      </x:c>
      <x:c r="G59" s="76" t="str">
        <x:v>正财</x:v>
      </x:c>
      <x:c r="H59" s="76" t="str">
        <x:v>K02 功能不足</x:v>
      </x:c>
      <x:c r="I59" s="76" t="str">
        <x:v>M3或关系路径显示正财对应功能为必要环节；该功能偏弱无助、受阻或长期缺少现实出口；无可靠替代通道。</x:v>
      </x:c>
      <x:c r="J59" s="76" t="str">
        <x:v>该功能弱而有助；存在有效替代通道；现实行为显示此功能稳定可用。</x:v>
      </x:c>
      <x:c r="K59" s="76" t="str">
        <x:v>由共享基础引擎提供；只修正承载与执行，不直接等同强弱人格。</x:v>
      </x:c>
      <x:c r="L59" s="76" t="str">
        <x:v>由M2接口提供；夫妻星只参与关系议题权重，不单独生成盲点。</x:v>
      </x:c>
      <x:c r="M59" s="76" t="str">
        <x:v>由M3-BASE与共享引擎提供；不得把日支直接写成配偶性格。</x:v>
      </x:c>
      <x:c r="N59" s="76" t="str">
        <x:v>无／待后续规则组合</x:v>
      </x:c>
      <x:c r="O59" s="76" t="str">
        <x:v>由共享基础引擎判定</x:v>
      </x:c>
      <x:c r="P59" s="76" t="str">
        <x:v>由共享基础引擎判定</x:v>
      </x:c>
      <x:c r="Q59" s="76" t="str">
        <x:v>偏弱无助／转换受阻／现实缺位</x:v>
      </x:c>
      <x:c r="R59" s="76" t="str">
        <x:v>喜忌只修正调用摩擦与平衡，不直接等同好坏。</x:v>
      </x:c>
      <x:c r="S59" s="76" t="str">
        <x:v>原十神性质有效；真合化成立时按化神系统替换。</x:v>
      </x:c>
      <x:c r="T59" s="76" t="str">
        <x:v>由共享基础引擎判定</x:v>
      </x:c>
      <x:c r="U59" s="76" t="str">
        <x:v>83</x:v>
      </x:c>
      <x:c r="V59" s="76" t="str">
        <x:v>K02候选 +8</x:v>
      </x:c>
      <x:c r="W59" s="76" t="str">
        <x:v>missing_function</x:v>
      </x:c>
      <x:c r="X59" s="76" t="str">
        <x:v>当正财功能是关系路径的必要环节却缺少稳定出口时，可能出现：语言和承诺存在，但时间、资源、计划和日常行动难以持续落实。</x:v>
      </x:c>
      <x:c r="Y59" s="76" t="str">
        <x:v>另一项需要继续确认的功能是：语言和承诺存在，但时间、资源、计划和日常行动难以持续落实。</x:v>
      </x:c>
      <x:c r="Z59" s="76" t="str">
        <x:v>不得推出只看钱、控制资源、计较或一定过度付出；投入与隐性记账需由现实行为验证。</x:v>
      </x:c>
      <x:c r="AA59" s="76" t="str">
        <x:v>中</x:v>
      </x:c>
      <x:c r="AB59" s="76" t="str">
        <x:v>待验证</x:v>
      </x:c>
      <x:c r="AC59" s="76" t="str"/>
      <x:c r="AD59" s="76" t="str">
        <x:v>provisional=true; ten_god=正财; system=SYS03 财星系统; m3_refs=I05／X05／CA05／BD05／CF05; imbalance=K02</x:v>
      </x:c>
      <x:c r="AE59" s="82" t="str">
        <x:v>0.2</x:v>
      </x:c>
    </x:row>
    <x:row r="60">
      <x:c r="A60" s="81" t="str">
        <x:v>M4-BASE-056</x:v>
      </x:c>
      <x:c r="B60" s="76" t="str">
        <x:v>正财｜K03单通道替代候选</x:v>
      </x:c>
      <x:c r="C60" s="76" t="str">
        <x:v>L2 十神失衡候选</x:v>
      </x:c>
      <x:c r="D60" s="76" t="str">
        <x:v>BASE-十神功能</x:v>
      </x:c>
      <x:c r="E60" s="76" t="str">
        <x:v>通用</x:v>
      </x:c>
      <x:c r="F60" s="76" t="str">
        <x:v>组合候选</x:v>
      </x:c>
      <x:c r="G60" s="76" t="str">
        <x:v>正财</x:v>
      </x:c>
      <x:c r="H60" s="76" t="str">
        <x:v>K03 单通道替代</x:v>
      </x:c>
      <x:c r="I60" s="76" t="str">
        <x:v>M3中I05／X05／CA05／BD05／CF05至少一项对应功能可靠成立；共享引擎确认正财性质有效；未命中真合化替换；完成source_id去重。；当前关系任务还需要另一系统功能，但该功能不足、延后或被正财通道替代。</x:v>
      </x:c>
      <x:c r="J60" s="76" t="str">
        <x:v>另一功能已经有效进入并形成分工；仅为同一功能的不同表述。</x:v>
      </x:c>
      <x:c r="K60" s="76" t="str">
        <x:v>由共享基础引擎提供；只修正承载与执行，不直接等同强弱人格。</x:v>
      </x:c>
      <x:c r="L60" s="76" t="str">
        <x:v>由M2接口提供；夫妻星只参与关系议题权重，不单独生成盲点。</x:v>
      </x:c>
      <x:c r="M60" s="76" t="str">
        <x:v>由M3-BASE与共享引擎提供；不得把日支直接写成配偶性格。</x:v>
      </x:c>
      <x:c r="N60" s="76" t="str">
        <x:v>正财功能替代另一必要功能；需由后续OVERUSE确认</x:v>
      </x:c>
      <x:c r="O60" s="76" t="str">
        <x:v>由共享基础引擎判定</x:v>
      </x:c>
      <x:c r="P60" s="76" t="str">
        <x:v>由共享基础引擎判定</x:v>
      </x:c>
      <x:c r="Q60" s="76" t="str">
        <x:v>由共享基础引擎判定</x:v>
      </x:c>
      <x:c r="R60" s="76" t="str">
        <x:v>喜忌只修正调用摩擦与平衡，不直接等同好坏。</x:v>
      </x:c>
      <x:c r="S60" s="76" t="str">
        <x:v>原十神性质有效；真合化成立时按化神系统替换。</x:v>
      </x:c>
      <x:c r="T60" s="76" t="str">
        <x:v>由共享基础引擎判定</x:v>
      </x:c>
      <x:c r="U60" s="76" t="str">
        <x:v>82</x:v>
      </x:c>
      <x:c r="V60" s="76" t="str">
        <x:v>K03候选 +6</x:v>
      </x:c>
      <x:c r="W60" s="76" t="str">
        <x:v>imbalance_mechanism</x:v>
      </x:c>
      <x:c r="X60" s="76" t="str">
        <x:v>用帮忙、安排、花费或承担事务替代承诺、沟通或情绪处理。</x:v>
      </x:c>
      <x:c r="Y60" s="76" t="str">
        <x:v>需要留意的是，是否会出现：用帮忙、安排、花费或承担事务替代承诺、沟通或情绪处理。</x:v>
      </x:c>
      <x:c r="Z60" s="76" t="str">
        <x:v>不得推出只看钱、控制资源、计较或一定过度付出；投入与隐性记账需由现实行为验证。</x:v>
      </x:c>
      <x:c r="AA60" s="76" t="str">
        <x:v>中</x:v>
      </x:c>
      <x:c r="AB60" s="76" t="str">
        <x:v>待验证</x:v>
      </x:c>
      <x:c r="AC60" s="76" t="str"/>
      <x:c r="AD60" s="76" t="str">
        <x:v>provisional=true; ten_god=正财; system=SYS03 财星系统; m3_refs=I05／X05／CA05／BD05／CF05; imbalance=K03</x:v>
      </x:c>
      <x:c r="AE60" s="82" t="str">
        <x:v>0.2</x:v>
      </x:c>
    </x:row>
    <x:row r="61">
      <x:c r="A61" s="81" t="str">
        <x:v>M4-BASE-057</x:v>
      </x:c>
      <x:c r="B61" s="76" t="str">
        <x:v>正财｜K04处理顺序错位候选</x:v>
      </x:c>
      <x:c r="C61" s="76" t="str">
        <x:v>L2 十神失衡候选</x:v>
      </x:c>
      <x:c r="D61" s="76" t="str">
        <x:v>BASE-十神功能</x:v>
      </x:c>
      <x:c r="E61" s="76" t="str">
        <x:v>通用</x:v>
      </x:c>
      <x:c r="F61" s="76" t="str">
        <x:v>路径候选</x:v>
      </x:c>
      <x:c r="G61" s="76" t="str">
        <x:v>正财</x:v>
      </x:c>
      <x:c r="H61" s="76" t="str">
        <x:v>K04 处理顺序错位</x:v>
      </x:c>
      <x:c r="I61" s="76" t="str">
        <x:v>M3中I05／X05／CA05／BD05／CF05至少一项对应功能可靠成立；共享引擎确认正财性质有效；未命中真合化替换；完成source_id去重。；至少另一项功能真实存在，但在对应情境中进入过晚；有M3-FLOW或现实顺序证据。</x:v>
      </x:c>
      <x:c r="J61" s="76" t="str">
        <x:v>只有静态五行生克而无现实／M3顺序证据；另一功能并非该情境必要。</x:v>
      </x:c>
      <x:c r="K61" s="76" t="str">
        <x:v>由共享基础引擎提供；只修正承载与执行，不直接等同强弱人格。</x:v>
      </x:c>
      <x:c r="L61" s="76" t="str">
        <x:v>由M2接口提供；夫妻星只参与关系议题权重，不单独生成盲点。</x:v>
      </x:c>
      <x:c r="M61" s="76" t="str">
        <x:v>由M3-BASE与共享引擎提供；不得把日支直接写成配偶性格。</x:v>
      </x:c>
      <x:c r="N61" s="76" t="str">
        <x:v>先增加现实投入，再等待对方自动理解自己的需要；关键期待没有被明确说出。</x:v>
      </x:c>
      <x:c r="O61" s="76" t="str">
        <x:v>由共享基础引擎判定</x:v>
      </x:c>
      <x:c r="P61" s="76" t="str">
        <x:v>由共享基础引擎判定</x:v>
      </x:c>
      <x:c r="Q61" s="76" t="str">
        <x:v>由共享基础引擎判定</x:v>
      </x:c>
      <x:c r="R61" s="76" t="str">
        <x:v>喜忌只修正调用摩擦与平衡，不直接等同好坏。</x:v>
      </x:c>
      <x:c r="S61" s="76" t="str">
        <x:v>原十神性质有效；真合化成立时按化神系统替换。</x:v>
      </x:c>
      <x:c r="T61" s="76" t="str">
        <x:v>由共享基础引擎判定</x:v>
      </x:c>
      <x:c r="U61" s="76" t="str">
        <x:v>81</x:v>
      </x:c>
      <x:c r="V61" s="76" t="str">
        <x:v>K04候选 +6</x:v>
      </x:c>
      <x:c r="W61" s="76" t="str">
        <x:v>flow_path</x:v>
      </x:c>
      <x:c r="X61" s="76" t="str">
        <x:v>先增加现实投入，再等待对方自动理解自己的需要；关键期待没有被明确说出。</x:v>
      </x:c>
      <x:c r="Y61" s="76" t="str">
        <x:v>在处理顺序上，可能需要观察：先增加现实投入，再等待对方自动理解自己的需要；关键期待没有被明确说出。</x:v>
      </x:c>
      <x:c r="Z61" s="76" t="str">
        <x:v>不得推出只看钱、控制资源、计较或一定过度付出；投入与隐性记账需由现实行为验证。</x:v>
      </x:c>
      <x:c r="AA61" s="76" t="str">
        <x:v>中低</x:v>
      </x:c>
      <x:c r="AB61" s="76" t="str">
        <x:v>待验证</x:v>
      </x:c>
      <x:c r="AC61" s="76" t="str"/>
      <x:c r="AD61" s="76" t="str">
        <x:v>provisional=true; ten_god=正财; system=SYS03 财星系统; m3_refs=I05／X05／CA05／BD05／CF05; imbalance=K04</x:v>
      </x:c>
      <x:c r="AE61" s="82" t="str">
        <x:v>0.2</x:v>
      </x:c>
    </x:row>
    <x:row r="62">
      <x:c r="A62" s="81" t="str">
        <x:v>M4-BASE-058</x:v>
      </x:c>
      <x:c r="B62" s="76" t="str">
        <x:v>正财｜调节与保护因子候选</x:v>
      </x:c>
      <x:c r="C62" s="76" t="str">
        <x:v>L3 五系统与流向</x:v>
      </x:c>
      <x:c r="D62" s="76" t="str">
        <x:v>BASE-十神功能</x:v>
      </x:c>
      <x:c r="E62" s="76" t="str">
        <x:v>通用</x:v>
      </x:c>
      <x:c r="F62" s="76" t="str">
        <x:v>保护候选</x:v>
      </x:c>
      <x:c r="G62" s="76" t="str">
        <x:v>正财</x:v>
      </x:c>
      <x:c r="H62" s="76" t="str">
        <x:v>BF调节功能</x:v>
      </x:c>
      <x:c r="I62" s="76" t="str">
        <x:v>比劫明确资源与分工边界；官杀确认责任和承诺；印星检查投入是否真正回应情绪和安全需要。；且调节信号有效、有根、位置可进入关系核心或现实行为已有支持。</x:v>
      </x:c>
      <x:c r="J62" s="76" t="str">
        <x:v>调节信号仅结构存在但弱远无根；真合化后已失效；现实中未形成可调用行为。</x:v>
      </x:c>
      <x:c r="K62" s="76" t="str">
        <x:v>由共享基础引擎提供；只修正承载与执行，不直接等同强弱人格。</x:v>
      </x:c>
      <x:c r="L62" s="76" t="str">
        <x:v>由M2接口提供；夫妻星只参与关系议题权重，不单独生成盲点。</x:v>
      </x:c>
      <x:c r="M62" s="76" t="str">
        <x:v>由M3-BASE与共享引擎提供；不得把日支直接写成配偶性格。</x:v>
      </x:c>
      <x:c r="N62" s="76" t="str">
        <x:v>比劫明确资源与分工边界；官杀确认责任和承诺；印星检查投入是否真正回应情绪和安全需要。</x:v>
      </x:c>
      <x:c r="O62" s="76" t="str">
        <x:v>由共享基础引擎判定</x:v>
      </x:c>
      <x:c r="P62" s="76" t="str">
        <x:v>由共享基础引擎判定</x:v>
      </x:c>
      <x:c r="Q62" s="76" t="str">
        <x:v>由共享基础引擎判定</x:v>
      </x:c>
      <x:c r="R62" s="76" t="str">
        <x:v>喜忌只修正调用摩擦与平衡，不直接等同好坏。</x:v>
      </x:c>
      <x:c r="S62" s="76" t="str">
        <x:v>原十神性质有效；真合化成立时按化神系统替换。</x:v>
      </x:c>
      <x:c r="T62" s="76" t="str">
        <x:v>由共享基础引擎判定</x:v>
      </x:c>
      <x:c r="U62" s="76" t="str">
        <x:v>78</x:v>
      </x:c>
      <x:c r="V62" s="76" t="str">
        <x:v>有效buffer −6至−10</x:v>
      </x:c>
      <x:c r="W62" s="76" t="str">
        <x:v>buffer_factor</x:v>
      </x:c>
      <x:c r="X62" s="76" t="str">
        <x:v>正财失衡候选可由以下功能限制、补足或转换：比劫明确资源与分工边界；官杀确认责任和承诺；印星检查投入是否真正回应情绪和安全需要。</x:v>
      </x:c>
      <x:c r="Y62" s="76" t="str">
        <x:v>使这一候选减弱的条件包括：比劫明确资源与分工边界；官杀确认责任和承诺；印星检查投入是否真正回应情绪和安全需要。</x:v>
      </x:c>
      <x:c r="Z62" s="76" t="str">
        <x:v>保护因子存在不等于风险完全消失；不得把喜神或制化结构直接写成现实中一定成熟、一定会自我调节。</x:v>
      </x:c>
      <x:c r="AA62" s="76" t="str">
        <x:v>中</x:v>
      </x:c>
      <x:c r="AB62" s="76" t="str">
        <x:v>待验证</x:v>
      </x:c>
      <x:c r="AC62" s="76" t="str"/>
      <x:c r="AD62" s="76" t="str">
        <x:v>provisional=true; ten_god=正财; system=SYS03 财星系统; m3_refs=I05／X05／CA05／BD05／CF05; subtype=buffer</x:v>
      </x:c>
      <x:c r="AE62" s="82" t="str">
        <x:v>0.2</x:v>
      </x:c>
    </x:row>
    <x:row r="63">
      <x:c r="A63" s="81" t="str">
        <x:v>M4-BASE-059</x:v>
      </x:c>
      <x:c r="B63" s="76" t="str">
        <x:v>正财｜盲点主题路由候选</x:v>
      </x:c>
      <x:c r="C63" s="76" t="str">
        <x:v>L2 十神失衡候选</x:v>
      </x:c>
      <x:c r="D63" s="76" t="str">
        <x:v>BASE-十神功能</x:v>
      </x:c>
      <x:c r="E63" s="76" t="str">
        <x:v>通用</x:v>
      </x:c>
      <x:c r="F63" s="76" t="str">
        <x:v>路由</x:v>
      </x:c>
      <x:c r="G63" s="76" t="str">
        <x:v>正财</x:v>
      </x:c>
      <x:c r="H63" s="76" t="str">
        <x:v>B07 付出投入替代承诺责任；B06 解决问题替代情绪处理候选。</x:v>
      </x:c>
      <x:c r="I63" s="76" t="str">
        <x:v>对应正常功能已成立；至少一个K01—K06机制候选通过门控；完成独立证据与保护因子检查。</x:v>
      </x:c>
      <x:c r="J63" s="76" t="str">
        <x:v>仅有十神标签；机制不明；保护因素足以中断；现实反例明显。</x:v>
      </x:c>
      <x:c r="K63" s="76" t="str">
        <x:v>由共享基础引擎提供；只修正承载与执行，不直接等同强弱人格。</x:v>
      </x:c>
      <x:c r="L63" s="76" t="str">
        <x:v>由M2接口提供；夫妻星只参与关系议题权重，不单独生成盲点。</x:v>
      </x:c>
      <x:c r="M63" s="76" t="str">
        <x:v>由M3-BASE与共享引擎提供；不得把日支直接写成配偶性格。</x:v>
      </x:c>
      <x:c r="N63" s="76" t="str">
        <x:v>无／待后续规则组合</x:v>
      </x:c>
      <x:c r="O63" s="76" t="str">
        <x:v>由共享基础引擎判定</x:v>
      </x:c>
      <x:c r="P63" s="76" t="str">
        <x:v>由共享基础引擎判定</x:v>
      </x:c>
      <x:c r="Q63" s="76" t="str">
        <x:v>由共享基础引擎判定</x:v>
      </x:c>
      <x:c r="R63" s="76" t="str">
        <x:v>喜忌只修正调用摩擦与平衡，不直接等同好坏。</x:v>
      </x:c>
      <x:c r="S63" s="76" t="str">
        <x:v>原十神性质有效；真合化成立时按化神系统替换。</x:v>
      </x:c>
      <x:c r="T63" s="76" t="str">
        <x:v>由共享基础引擎判定</x:v>
      </x:c>
      <x:c r="U63" s="76" t="str">
        <x:v>76</x:v>
      </x:c>
      <x:c r="V63" s="76" t="str">
        <x:v>路由至后续MISREAD／OVERUSE，不在BASE定案</x:v>
      </x:c>
      <x:c r="W63" s="76" t="str">
        <x:v>blind_spot_candidate</x:v>
      </x:c>
      <x:c r="X63" s="76" t="str">
        <x:v>正财在BASE阶段可路由至：B07 付出投入替代承诺责任；B06 解决问题替代情绪处理候选。，但最终盲点主题由后续模块裁定。</x:v>
      </x:c>
      <x:c r="Y63" s="76" t="str">
        <x:v>当前可保留的盲点方向是：B07 付出投入替代承诺责任；B06 解决问题替代情绪处理候选。；它仍需结合触发情境和真实互动验证。</x:v>
      </x:c>
      <x:c r="Z63" s="76" t="str">
        <x:v>不得推出只看钱、控制资源、计较或一定过度付出；投入与隐性记账需由现实行为验证。</x:v>
      </x:c>
      <x:c r="AA63" s="76" t="str">
        <x:v>中低</x:v>
      </x:c>
      <x:c r="AB63" s="76" t="str">
        <x:v>待验证</x:v>
      </x:c>
      <x:c r="AC63" s="76" t="str"/>
      <x:c r="AD63" s="76" t="str">
        <x:v>provisional=true; ten_god=正财; system=SYS03 财星系统; m3_refs=I05／X05／CA05／BD05／CF05; route_only=true</x:v>
      </x:c>
      <x:c r="AE63" s="82" t="str">
        <x:v>0.2</x:v>
      </x:c>
    </x:row>
    <x:row r="64">
      <x:c r="A64" s="81" t="str">
        <x:v>M4-BASE-060</x:v>
      </x:c>
      <x:c r="B64" s="76" t="str">
        <x:v>正财｜用户解释摘要</x:v>
      </x:c>
      <x:c r="C64" s="76" t="str">
        <x:v>L8 输出与停止</x:v>
      </x:c>
      <x:c r="D64" s="76" t="str">
        <x:v>BASE-十神功能</x:v>
      </x:c>
      <x:c r="E64" s="76" t="str">
        <x:v>通用</x:v>
      </x:c>
      <x:c r="F64" s="76" t="str">
        <x:v>输出</x:v>
      </x:c>
      <x:c r="G64" s="76" t="str">
        <x:v>正财</x:v>
      </x:c>
      <x:c r="H64" s="76" t="str">
        <x:v>B07 付出投入替代承诺责任；B06 解决问题替代情绪处理候选。</x:v>
      </x:c>
      <x:c r="I64" s="76" t="str">
        <x:v>正财功能进入最终或暂定BASE输出；至少E1成立。</x:v>
      </x:c>
      <x:c r="J64" s="76" t="str">
        <x:v>该候选被停止、真合化替换或保护因素足以降至E0。</x:v>
      </x:c>
      <x:c r="K64" s="76" t="str">
        <x:v>由共享基础引擎提供；只修正承载与执行，不直接等同强弱人格。</x:v>
      </x:c>
      <x:c r="L64" s="76" t="str">
        <x:v>由M2接口提供；夫妻星只参与关系议题权重，不单独生成盲点。</x:v>
      </x:c>
      <x:c r="M64" s="76" t="str">
        <x:v>由M3-BASE与共享引擎提供；不得把日支直接写成配偶性格。</x:v>
      </x:c>
      <x:c r="N64" s="76" t="str">
        <x:v>无／待后续规则组合</x:v>
      </x:c>
      <x:c r="O64" s="76" t="str">
        <x:v>由共享基础引擎判定</x:v>
      </x:c>
      <x:c r="P64" s="76" t="str">
        <x:v>由共享基础引擎判定</x:v>
      </x:c>
      <x:c r="Q64" s="76" t="str">
        <x:v>由共享基础引擎判定</x:v>
      </x:c>
      <x:c r="R64" s="76" t="str">
        <x:v>喜忌只修正调用摩擦与平衡，不直接等同好坏。</x:v>
      </x:c>
      <x:c r="S64" s="76" t="str">
        <x:v>原十神性质有效；真合化成立时按化神系统替换。</x:v>
      </x:c>
      <x:c r="T64" s="76" t="str">
        <x:v>由共享基础引擎判定</x:v>
      </x:c>
      <x:c r="U64" s="76" t="str">
        <x:v>68</x:v>
      </x:c>
      <x:c r="V64" s="76" t="str">
        <x:v>不加分；摘要</x:v>
      </x:c>
      <x:c r="W64" s="76" t="str">
        <x:v>basis_summary</x:v>
      </x:c>
      <x:c r="X64" s="76" t="str">
        <x:v>用“正常功能—需要留意—保护条件”的顺序输出正财BASE结论。</x:v>
      </x:c>
      <x:c r="Y64" s="76" t="str">
        <x:v>你原本会通过稳定投入和现实安排经营关系。需要留意的是，做了很多、花了很多时间或承担了很多事务，并不自动等于双方已经说清期待、承诺和回馈方式。</x:v>
      </x:c>
      <x:c r="Z64" s="76" t="str">
        <x:v>不得推出只看钱、控制资源、计较或一定过度付出；投入与隐性记账需由现实行为验证。</x:v>
      </x:c>
      <x:c r="AA64" s="76" t="str">
        <x:v>中</x:v>
      </x:c>
      <x:c r="AB64" s="76" t="str">
        <x:v>待验证</x:v>
      </x:c>
      <x:c r="AC64" s="76" t="str"/>
      <x:c r="AD64" s="76" t="str">
        <x:v>provisional=true; ten_god=正财; system=SYS03 财星系统; m3_refs=I05／X05／CA05／BD05／CF05; summary_only=true</x:v>
      </x:c>
      <x:c r="AE64" s="82" t="str">
        <x:v>0.2</x:v>
      </x:c>
    </x:row>
    <x:row r="65">
      <x:c r="A65" s="81" t="str">
        <x:v>M4-BASE-061</x:v>
      </x:c>
      <x:c r="B65" s="76" t="str">
        <x:v>偏财｜正常关系功能来源</x:v>
      </x:c>
      <x:c r="C65" s="76" t="str">
        <x:v>L1 正常功能来源</x:v>
      </x:c>
      <x:c r="D65" s="76" t="str">
        <x:v>BASE-十神功能</x:v>
      </x:c>
      <x:c r="E65" s="76" t="str">
        <x:v>通用</x:v>
      </x:c>
      <x:c r="F65" s="76" t="str">
        <x:v>基础</x:v>
      </x:c>
      <x:c r="G65" s="76" t="str">
        <x:v>偏财</x:v>
      </x:c>
      <x:c r="H65" s="76" t="str">
        <x:v>I06／X06／CA06／BD06／CF06</x:v>
      </x:c>
      <x:c r="I65" s="76" t="str">
        <x:v>M3中I06／X06／CA06／BD06／CF06至少一项对应功能可靠成立；共享引擎确认偏财性质有效；未命中真合化替换；完成source_id去重。</x:v>
      </x:c>
      <x:c r="J65" s="76" t="str">
        <x:v>M3相关功能停止；真合化后原十神失效；仅有单一弱远无根信号；或现实反例明确显示该功能并不稳定出现。</x:v>
      </x:c>
      <x:c r="K65" s="76" t="str">
        <x:v>由共享基础引擎提供；只修正承载与执行，不直接等同强弱人格。</x:v>
      </x:c>
      <x:c r="L65" s="76" t="str">
        <x:v>由M2接口提供；夫妻星只参与关系议题权重，不单独生成盲点。</x:v>
      </x:c>
      <x:c r="M65" s="76" t="str">
        <x:v>由M3-BASE与共享引擎提供；不得把日支直接写成配偶性格。</x:v>
      </x:c>
      <x:c r="N65" s="76" t="str">
        <x:v>无／待后续规则组合</x:v>
      </x:c>
      <x:c r="O65" s="76" t="str">
        <x:v>由共享基础引擎判定</x:v>
      </x:c>
      <x:c r="P65" s="76" t="str">
        <x:v>由共享基础引擎判定</x:v>
      </x:c>
      <x:c r="Q65" s="76" t="str">
        <x:v>由共享基础引擎判定</x:v>
      </x:c>
      <x:c r="R65" s="76" t="str">
        <x:v>喜忌只修正调用摩擦与平衡，不直接等同好坏。</x:v>
      </x:c>
      <x:c r="S65" s="76" t="str">
        <x:v>原十神性质有效；真合化成立时按化神系统替换。</x:v>
      </x:c>
      <x:c r="T65" s="76" t="str">
        <x:v>由共享基础引擎判定</x:v>
      </x:c>
      <x:c r="U65" s="76" t="str">
        <x:v>90</x:v>
      </x:c>
      <x:c r="V65" s="76" t="str">
        <x:v>functional_origin +12（同源只计一次）</x:v>
      </x:c>
      <x:c r="W65" s="76" t="str">
        <x:v>functional_origin</x:v>
      </x:c>
      <x:c r="X65" s="76" t="str">
        <x:v>偏财在M4中的起点不是负面标签，而是：灵活投入、共同体验、社交互动、即时便利和根据情境调整资源。</x:v>
      </x:c>
      <x:c r="Y65" s="76" t="str">
        <x:v>这项反应原本的功能是：灵活投入、共同体验、社交互动、即时便利和根据情境调整资源。</x:v>
      </x:c>
      <x:c r="Z65" s="76" t="str">
        <x:v>不得推出花心、关系多、爱玩或一定投入分散；是否缺少落地和持续性需要现实证据。</x:v>
      </x:c>
      <x:c r="AA65" s="76" t="str">
        <x:v>中高</x:v>
      </x:c>
      <x:c r="AB65" s="76" t="str">
        <x:v>待验证</x:v>
      </x:c>
      <x:c r="AC65" s="76" t="str"/>
      <x:c r="AD65" s="76" t="str">
        <x:v>provisional=true; ten_god=偏财; system=SYS03 财星系统; m3_refs=I06／X06／CA06／BD06／CF06; subtype=normal</x:v>
      </x:c>
      <x:c r="AE65" s="82" t="str">
        <x:v>0.2</x:v>
      </x:c>
    </x:row>
    <x:row r="66">
      <x:c r="A66" s="81" t="str">
        <x:v>M4-BASE-062</x:v>
      </x:c>
      <x:c r="B66" s="76" t="str">
        <x:v>偏财｜K01过用放大候选</x:v>
      </x:c>
      <x:c r="C66" s="76" t="str">
        <x:v>L2 十神失衡候选</x:v>
      </x:c>
      <x:c r="D66" s="76" t="str">
        <x:v>BASE-十神功能</x:v>
      </x:c>
      <x:c r="E66" s="76" t="str">
        <x:v>通用</x:v>
      </x:c>
      <x:c r="F66" s="76" t="str">
        <x:v>失衡候选</x:v>
      </x:c>
      <x:c r="G66" s="76" t="str">
        <x:v>偏财</x:v>
      </x:c>
      <x:c r="H66" s="76" t="str">
        <x:v>K01 过用放大</x:v>
      </x:c>
      <x:c r="I66" s="76" t="str">
        <x:v>M3中I06／X06／CA06／BD06／CF06至少一项对应功能可靠成立；共享引擎确认偏财性质有效；未命中真合化替换；完成source_id去重。；另有过旺失衡、压力下抢先启动、重复行为或缺少调节中的至少一项独立证据。</x:v>
      </x:c>
      <x:c r="J66" s="76" t="str">
        <x:v>M3相关功能停止；真合化后原十神失效；仅有单一弱远无根信号；或现实反例明确显示该功能并不稳定出现。；旺而平衡且制化／通关有效。</x:v>
      </x:c>
      <x:c r="K66" s="76" t="str">
        <x:v>由共享基础引擎提供；只修正承载与执行，不直接等同强弱人格。</x:v>
      </x:c>
      <x:c r="L66" s="76" t="str">
        <x:v>由M2接口提供；夫妻星只参与关系议题权重，不单独生成盲点。</x:v>
      </x:c>
      <x:c r="M66" s="76" t="str">
        <x:v>由M3-BASE与共享引擎提供；不得把日支直接写成配偶性格。</x:v>
      </x:c>
      <x:c r="N66" s="76" t="str">
        <x:v>无／待后续规则组合</x:v>
      </x:c>
      <x:c r="O66" s="76" t="str">
        <x:v>由共享基础引擎判定</x:v>
      </x:c>
      <x:c r="P66" s="76" t="str">
        <x:v>由共享基础引擎判定</x:v>
      </x:c>
      <x:c r="Q66" s="76" t="str">
        <x:v>过旺失衡、抢先启动或现实重复证据；旺而平衡不自动成立。</x:v>
      </x:c>
      <x:c r="R66" s="76" t="str">
        <x:v>喜忌只修正调用摩擦与平衡，不直接等同好坏。</x:v>
      </x:c>
      <x:c r="S66" s="76" t="str">
        <x:v>原十神性质有效；真合化成立时按化神系统替换。</x:v>
      </x:c>
      <x:c r="T66" s="76" t="str">
        <x:v>由共享基础引擎判定</x:v>
      </x:c>
      <x:c r="U66" s="76" t="str">
        <x:v>84</x:v>
      </x:c>
      <x:c r="V66" s="76" t="str">
        <x:v>K01候选 +8</x:v>
      </x:c>
      <x:c r="W66" s="76" t="str">
        <x:v>imbalance_mechanism</x:v>
      </x:c>
      <x:c r="X66" s="76" t="str">
        <x:v>偏财的正常功能在调用强度过高或长期抢先时，可能表现为：把互动热度、氛围、新鲜体验或一次性投入当成稳定关系证据，或投入方向过于分散。</x:v>
      </x:c>
      <x:c r="Y66" s="76" t="str">
        <x:v>当这项方式被过度调用时，你可能更容易：把互动热度、氛围、新鲜体验或一次性投入当成稳定关系证据，或投入方向过于分散。</x:v>
      </x:c>
      <x:c r="Z66" s="76" t="str">
        <x:v>不得推出花心、关系多、爱玩或一定投入分散；是否缺少落地和持续性需要现实证据。</x:v>
      </x:c>
      <x:c r="AA66" s="76" t="str">
        <x:v>中</x:v>
      </x:c>
      <x:c r="AB66" s="76" t="str">
        <x:v>待验证</x:v>
      </x:c>
      <x:c r="AC66" s="76" t="str"/>
      <x:c r="AD66" s="76" t="str">
        <x:v>provisional=true; ten_god=偏财; system=SYS03 财星系统; m3_refs=I06／X06／CA06／BD06／CF06; imbalance=K01</x:v>
      </x:c>
      <x:c r="AE66" s="82" t="str">
        <x:v>0.2</x:v>
      </x:c>
    </x:row>
    <x:row r="67">
      <x:c r="A67" s="81" t="str">
        <x:v>M4-BASE-063</x:v>
      </x:c>
      <x:c r="B67" s="76" t="str">
        <x:v>偏财｜K02功能不足候选</x:v>
      </x:c>
      <x:c r="C67" s="76" t="str">
        <x:v>L2 十神失衡候选</x:v>
      </x:c>
      <x:c r="D67" s="76" t="str">
        <x:v>BASE-十神功能</x:v>
      </x:c>
      <x:c r="E67" s="76" t="str">
        <x:v>通用</x:v>
      </x:c>
      <x:c r="F67" s="76" t="str">
        <x:v>失衡候选</x:v>
      </x:c>
      <x:c r="G67" s="76" t="str">
        <x:v>偏财</x:v>
      </x:c>
      <x:c r="H67" s="76" t="str">
        <x:v>K02 功能不足</x:v>
      </x:c>
      <x:c r="I67" s="76" t="str">
        <x:v>M3或关系路径显示偏财对应功能为必要环节；该功能偏弱无助、受阻或长期缺少现实出口；无可靠替代通道。</x:v>
      </x:c>
      <x:c r="J67" s="76" t="str">
        <x:v>该功能弱而有助；存在有效替代通道；现实行为显示此功能稳定可用。</x:v>
      </x:c>
      <x:c r="K67" s="76" t="str">
        <x:v>由共享基础引擎提供；只修正承载与执行，不直接等同强弱人格。</x:v>
      </x:c>
      <x:c r="L67" s="76" t="str">
        <x:v>由M2接口提供；夫妻星只参与关系议题权重，不单独生成盲点。</x:v>
      </x:c>
      <x:c r="M67" s="76" t="str">
        <x:v>由M3-BASE与共享引擎提供；不得把日支直接写成配偶性格。</x:v>
      </x:c>
      <x:c r="N67" s="76" t="str">
        <x:v>无／待后续规则组合</x:v>
      </x:c>
      <x:c r="O67" s="76" t="str">
        <x:v>由共享基础引擎判定</x:v>
      </x:c>
      <x:c r="P67" s="76" t="str">
        <x:v>由共享基础引擎判定</x:v>
      </x:c>
      <x:c r="Q67" s="76" t="str">
        <x:v>偏弱无助／转换受阻／现实缺位</x:v>
      </x:c>
      <x:c r="R67" s="76" t="str">
        <x:v>喜忌只修正调用摩擦与平衡，不直接等同好坏。</x:v>
      </x:c>
      <x:c r="S67" s="76" t="str">
        <x:v>原十神性质有效；真合化成立时按化神系统替换。</x:v>
      </x:c>
      <x:c r="T67" s="76" t="str">
        <x:v>由共享基础引擎判定</x:v>
      </x:c>
      <x:c r="U67" s="76" t="str">
        <x:v>83</x:v>
      </x:c>
      <x:c r="V67" s="76" t="str">
        <x:v>K02候选 +8</x:v>
      </x:c>
      <x:c r="W67" s="76" t="str">
        <x:v>missing_function</x:v>
      </x:c>
      <x:c r="X67" s="76" t="str">
        <x:v>当偏财功能是关系路径的必要环节却缺少稳定出口时，可能出现：关系缺少灵活回应、共同体验和现实活力，容易只剩规则或任务。</x:v>
      </x:c>
      <x:c r="Y67" s="76" t="str">
        <x:v>另一项需要继续确认的功能是：关系缺少灵活回应、共同体验和现实活力，容易只剩规则或任务。</x:v>
      </x:c>
      <x:c r="Z67" s="76" t="str">
        <x:v>不得推出花心、关系多、爱玩或一定投入分散；是否缺少落地和持续性需要现实证据。</x:v>
      </x:c>
      <x:c r="AA67" s="76" t="str">
        <x:v>中</x:v>
      </x:c>
      <x:c r="AB67" s="76" t="str">
        <x:v>待验证</x:v>
      </x:c>
      <x:c r="AC67" s="76" t="str"/>
      <x:c r="AD67" s="76" t="str">
        <x:v>provisional=true; ten_god=偏财; system=SYS03 财星系统; m3_refs=I06／X06／CA06／BD06／CF06; imbalance=K02</x:v>
      </x:c>
      <x:c r="AE67" s="82" t="str">
        <x:v>0.2</x:v>
      </x:c>
    </x:row>
    <x:row r="68">
      <x:c r="A68" s="81" t="str">
        <x:v>M4-BASE-064</x:v>
      </x:c>
      <x:c r="B68" s="76" t="str">
        <x:v>偏财｜K03单通道替代候选</x:v>
      </x:c>
      <x:c r="C68" s="76" t="str">
        <x:v>L2 十神失衡候选</x:v>
      </x:c>
      <x:c r="D68" s="76" t="str">
        <x:v>BASE-十神功能</x:v>
      </x:c>
      <x:c r="E68" s="76" t="str">
        <x:v>通用</x:v>
      </x:c>
      <x:c r="F68" s="76" t="str">
        <x:v>组合候选</x:v>
      </x:c>
      <x:c r="G68" s="76" t="str">
        <x:v>偏财</x:v>
      </x:c>
      <x:c r="H68" s="76" t="str">
        <x:v>K03 单通道替代</x:v>
      </x:c>
      <x:c r="I68" s="76" t="str">
        <x:v>M3中I06／X06／CA06／BD06／CF06至少一项对应功能可靠成立；共享引擎确认偏财性质有效；未命中真合化替换；完成source_id去重。；当前关系任务还需要另一系统功能，但该功能不足、延后或被偏财通道替代。</x:v>
      </x:c>
      <x:c r="J68" s="76" t="str">
        <x:v>另一功能已经有效进入并形成分工；仅为同一功能的不同表述。</x:v>
      </x:c>
      <x:c r="K68" s="76" t="str">
        <x:v>由共享基础引擎提供；只修正承载与执行，不直接等同强弱人格。</x:v>
      </x:c>
      <x:c r="L68" s="76" t="str">
        <x:v>由M2接口提供；夫妻星只参与关系议题权重，不单独生成盲点。</x:v>
      </x:c>
      <x:c r="M68" s="76" t="str">
        <x:v>由M3-BASE与共享引擎提供；不得把日支直接写成配偶性格。</x:v>
      </x:c>
      <x:c r="N68" s="76" t="str">
        <x:v>偏财功能替代另一必要功能；需由后续OVERUSE确认</x:v>
      </x:c>
      <x:c r="O68" s="76" t="str">
        <x:v>由共享基础引擎判定</x:v>
      </x:c>
      <x:c r="P68" s="76" t="str">
        <x:v>由共享基础引擎判定</x:v>
      </x:c>
      <x:c r="Q68" s="76" t="str">
        <x:v>由共享基础引擎判定</x:v>
      </x:c>
      <x:c r="R68" s="76" t="str">
        <x:v>喜忌只修正调用摩擦与平衡，不直接等同好坏。</x:v>
      </x:c>
      <x:c r="S68" s="76" t="str">
        <x:v>原十神性质有效；真合化成立时按化神系统替换。</x:v>
      </x:c>
      <x:c r="T68" s="76" t="str">
        <x:v>由共享基础引擎判定</x:v>
      </x:c>
      <x:c r="U68" s="76" t="str">
        <x:v>82</x:v>
      </x:c>
      <x:c r="V68" s="76" t="str">
        <x:v>K03候选 +6</x:v>
      </x:c>
      <x:c r="W68" s="76" t="str">
        <x:v>imbalance_mechanism</x:v>
      </x:c>
      <x:c r="X68" s="76" t="str">
        <x:v>用感觉、互动和体验替代持续投入、明确承诺与生活落地。</x:v>
      </x:c>
      <x:c r="Y68" s="76" t="str">
        <x:v>需要留意的是，是否会出现：用感觉、互动和体验替代持续投入、明确承诺与生活落地。</x:v>
      </x:c>
      <x:c r="Z68" s="76" t="str">
        <x:v>不得推出花心、关系多、爱玩或一定投入分散；是否缺少落地和持续性需要现实证据。</x:v>
      </x:c>
      <x:c r="AA68" s="76" t="str">
        <x:v>中</x:v>
      </x:c>
      <x:c r="AB68" s="76" t="str">
        <x:v>待验证</x:v>
      </x:c>
      <x:c r="AC68" s="76" t="str"/>
      <x:c r="AD68" s="76" t="str">
        <x:v>provisional=true; ten_god=偏财; system=SYS03 财星系统; m3_refs=I06／X06／CA06／BD06／CF06; imbalance=K03</x:v>
      </x:c>
      <x:c r="AE68" s="82" t="str">
        <x:v>0.2</x:v>
      </x:c>
    </x:row>
    <x:row r="69">
      <x:c r="A69" s="81" t="str">
        <x:v>M4-BASE-065</x:v>
      </x:c>
      <x:c r="B69" s="76" t="str">
        <x:v>偏财｜K04处理顺序错位候选</x:v>
      </x:c>
      <x:c r="C69" s="76" t="str">
        <x:v>L2 十神失衡候选</x:v>
      </x:c>
      <x:c r="D69" s="76" t="str">
        <x:v>BASE-十神功能</x:v>
      </x:c>
      <x:c r="E69" s="76" t="str">
        <x:v>通用</x:v>
      </x:c>
      <x:c r="F69" s="76" t="str">
        <x:v>路径候选</x:v>
      </x:c>
      <x:c r="G69" s="76" t="str">
        <x:v>偏财</x:v>
      </x:c>
      <x:c r="H69" s="76" t="str">
        <x:v>K04 处理顺序错位</x:v>
      </x:c>
      <x:c r="I69" s="76" t="str">
        <x:v>M3中I06／X06／CA06／BD06／CF06至少一项对应功能可靠成立；共享引擎确认偏财性质有效；未命中真合化替换；完成source_id去重。；至少另一项功能真实存在，但在对应情境中进入过晚；有M3-FLOW或现实顺序证据。</x:v>
      </x:c>
      <x:c r="J69" s="76" t="str">
        <x:v>只有静态五行生克而无现实／M3顺序证据；另一功能并非该情境必要。</x:v>
      </x:c>
      <x:c r="K69" s="76" t="str">
        <x:v>由共享基础引擎提供；只修正承载与执行，不直接等同强弱人格。</x:v>
      </x:c>
      <x:c r="L69" s="76" t="str">
        <x:v>由M2接口提供；夫妻星只参与关系议题权重，不单独生成盲点。</x:v>
      </x:c>
      <x:c r="M69" s="76" t="str">
        <x:v>由M3-BASE与共享引擎提供；不得把日支直接写成配偶性格。</x:v>
      </x:c>
      <x:c r="N69" s="76" t="str">
        <x:v>先因互动和体验进入关系评估，却长期没有进入稳定性与责任复核。</x:v>
      </x:c>
      <x:c r="O69" s="76" t="str">
        <x:v>由共享基础引擎判定</x:v>
      </x:c>
      <x:c r="P69" s="76" t="str">
        <x:v>由共享基础引擎判定</x:v>
      </x:c>
      <x:c r="Q69" s="76" t="str">
        <x:v>由共享基础引擎判定</x:v>
      </x:c>
      <x:c r="R69" s="76" t="str">
        <x:v>喜忌只修正调用摩擦与平衡，不直接等同好坏。</x:v>
      </x:c>
      <x:c r="S69" s="76" t="str">
        <x:v>原十神性质有效；真合化成立时按化神系统替换。</x:v>
      </x:c>
      <x:c r="T69" s="76" t="str">
        <x:v>由共享基础引擎判定</x:v>
      </x:c>
      <x:c r="U69" s="76" t="str">
        <x:v>81</x:v>
      </x:c>
      <x:c r="V69" s="76" t="str">
        <x:v>K04候选 +6</x:v>
      </x:c>
      <x:c r="W69" s="76" t="str">
        <x:v>flow_path</x:v>
      </x:c>
      <x:c r="X69" s="76" t="str">
        <x:v>先因互动和体验进入关系评估，却长期没有进入稳定性与责任复核。</x:v>
      </x:c>
      <x:c r="Y69" s="76" t="str">
        <x:v>在处理顺序上，可能需要观察：先因互动和体验进入关系评估，却长期没有进入稳定性与责任复核。</x:v>
      </x:c>
      <x:c r="Z69" s="76" t="str">
        <x:v>不得推出花心、关系多、爱玩或一定投入分散；是否缺少落地和持续性需要现实证据。</x:v>
      </x:c>
      <x:c r="AA69" s="76" t="str">
        <x:v>中低</x:v>
      </x:c>
      <x:c r="AB69" s="76" t="str">
        <x:v>待验证</x:v>
      </x:c>
      <x:c r="AC69" s="76" t="str"/>
      <x:c r="AD69" s="76" t="str">
        <x:v>provisional=true; ten_god=偏财; system=SYS03 财星系统; m3_refs=I06／X06／CA06／BD06／CF06; imbalance=K04</x:v>
      </x:c>
      <x:c r="AE69" s="82" t="str">
        <x:v>0.2</x:v>
      </x:c>
    </x:row>
    <x:row r="70">
      <x:c r="A70" s="81" t="str">
        <x:v>M4-BASE-066</x:v>
      </x:c>
      <x:c r="B70" s="76" t="str">
        <x:v>偏财｜调节与保护因子候选</x:v>
      </x:c>
      <x:c r="C70" s="76" t="str">
        <x:v>L3 五系统与流向</x:v>
      </x:c>
      <x:c r="D70" s="76" t="str">
        <x:v>BASE-十神功能</x:v>
      </x:c>
      <x:c r="E70" s="76" t="str">
        <x:v>通用</x:v>
      </x:c>
      <x:c r="F70" s="76" t="str">
        <x:v>保护候选</x:v>
      </x:c>
      <x:c r="G70" s="76" t="str">
        <x:v>偏财</x:v>
      </x:c>
      <x:c r="H70" s="76" t="str">
        <x:v>BF调节功能</x:v>
      </x:c>
      <x:c r="I70" s="76" t="str">
        <x:v>正财检验持续性；正官确认关系责任；比肩明确资源和社交边界。；且调节信号有效、有根、位置可进入关系核心或现实行为已有支持。</x:v>
      </x:c>
      <x:c r="J70" s="76" t="str">
        <x:v>调节信号仅结构存在但弱远无根；真合化后已失效；现实中未形成可调用行为。</x:v>
      </x:c>
      <x:c r="K70" s="76" t="str">
        <x:v>由共享基础引擎提供；只修正承载与执行，不直接等同强弱人格。</x:v>
      </x:c>
      <x:c r="L70" s="76" t="str">
        <x:v>由M2接口提供；夫妻星只参与关系议题权重，不单独生成盲点。</x:v>
      </x:c>
      <x:c r="M70" s="76" t="str">
        <x:v>由M3-BASE与共享引擎提供；不得把日支直接写成配偶性格。</x:v>
      </x:c>
      <x:c r="N70" s="76" t="str">
        <x:v>正财检验持续性；正官确认关系责任；比肩明确资源和社交边界。</x:v>
      </x:c>
      <x:c r="O70" s="76" t="str">
        <x:v>由共享基础引擎判定</x:v>
      </x:c>
      <x:c r="P70" s="76" t="str">
        <x:v>由共享基础引擎判定</x:v>
      </x:c>
      <x:c r="Q70" s="76" t="str">
        <x:v>由共享基础引擎判定</x:v>
      </x:c>
      <x:c r="R70" s="76" t="str">
        <x:v>喜忌只修正调用摩擦与平衡，不直接等同好坏。</x:v>
      </x:c>
      <x:c r="S70" s="76" t="str">
        <x:v>原十神性质有效；真合化成立时按化神系统替换。</x:v>
      </x:c>
      <x:c r="T70" s="76" t="str">
        <x:v>由共享基础引擎判定</x:v>
      </x:c>
      <x:c r="U70" s="76" t="str">
        <x:v>78</x:v>
      </x:c>
      <x:c r="V70" s="76" t="str">
        <x:v>有效buffer −6至−10</x:v>
      </x:c>
      <x:c r="W70" s="76" t="str">
        <x:v>buffer_factor</x:v>
      </x:c>
      <x:c r="X70" s="76" t="str">
        <x:v>偏财失衡候选可由以下功能限制、补足或转换：正财检验持续性；正官确认关系责任；比肩明确资源和社交边界。</x:v>
      </x:c>
      <x:c r="Y70" s="76" t="str">
        <x:v>使这一候选减弱的条件包括：正财检验持续性；正官确认关系责任；比肩明确资源和社交边界。</x:v>
      </x:c>
      <x:c r="Z70" s="76" t="str">
        <x:v>保护因子存在不等于风险完全消失；不得把喜神或制化结构直接写成现实中一定成熟、一定会自我调节。</x:v>
      </x:c>
      <x:c r="AA70" s="76" t="str">
        <x:v>中</x:v>
      </x:c>
      <x:c r="AB70" s="76" t="str">
        <x:v>待验证</x:v>
      </x:c>
      <x:c r="AC70" s="76" t="str"/>
      <x:c r="AD70" s="76" t="str">
        <x:v>provisional=true; ten_god=偏财; system=SYS03 财星系统; m3_refs=I06／X06／CA06／BD06／CF06; subtype=buffer</x:v>
      </x:c>
      <x:c r="AE70" s="82" t="str">
        <x:v>0.2</x:v>
      </x:c>
    </x:row>
    <x:row r="71">
      <x:c r="A71" s="81" t="str">
        <x:v>M4-BASE-067</x:v>
      </x:c>
      <x:c r="B71" s="76" t="str">
        <x:v>偏财｜盲点主题路由候选</x:v>
      </x:c>
      <x:c r="C71" s="76" t="str">
        <x:v>L2 十神失衡候选</x:v>
      </x:c>
      <x:c r="D71" s="76" t="str">
        <x:v>BASE-十神功能</x:v>
      </x:c>
      <x:c r="E71" s="76" t="str">
        <x:v>通用</x:v>
      </x:c>
      <x:c r="F71" s="76" t="str">
        <x:v>路由</x:v>
      </x:c>
      <x:c r="G71" s="76" t="str">
        <x:v>偏财</x:v>
      </x:c>
      <x:c r="H71" s="76" t="str">
        <x:v>B02 单一优点遮蔽整体条件；B03 心动信号替代关系准入；B07 付出投入替代承诺责任候选。</x:v>
      </x:c>
      <x:c r="I71" s="76" t="str">
        <x:v>对应正常功能已成立；至少一个K01—K06机制候选通过门控；完成独立证据与保护因子检查。</x:v>
      </x:c>
      <x:c r="J71" s="76" t="str">
        <x:v>仅有十神标签；机制不明；保护因素足以中断；现实反例明显。</x:v>
      </x:c>
      <x:c r="K71" s="76" t="str">
        <x:v>由共享基础引擎提供；只修正承载与执行，不直接等同强弱人格。</x:v>
      </x:c>
      <x:c r="L71" s="76" t="str">
        <x:v>由M2接口提供；夫妻星只参与关系议题权重，不单独生成盲点。</x:v>
      </x:c>
      <x:c r="M71" s="76" t="str">
        <x:v>由M3-BASE与共享引擎提供；不得把日支直接写成配偶性格。</x:v>
      </x:c>
      <x:c r="N71" s="76" t="str">
        <x:v>无／待后续规则组合</x:v>
      </x:c>
      <x:c r="O71" s="76" t="str">
        <x:v>由共享基础引擎判定</x:v>
      </x:c>
      <x:c r="P71" s="76" t="str">
        <x:v>由共享基础引擎判定</x:v>
      </x:c>
      <x:c r="Q71" s="76" t="str">
        <x:v>由共享基础引擎判定</x:v>
      </x:c>
      <x:c r="R71" s="76" t="str">
        <x:v>喜忌只修正调用摩擦与平衡，不直接等同好坏。</x:v>
      </x:c>
      <x:c r="S71" s="76" t="str">
        <x:v>原十神性质有效；真合化成立时按化神系统替换。</x:v>
      </x:c>
      <x:c r="T71" s="76" t="str">
        <x:v>由共享基础引擎判定</x:v>
      </x:c>
      <x:c r="U71" s="76" t="str">
        <x:v>76</x:v>
      </x:c>
      <x:c r="V71" s="76" t="str">
        <x:v>路由至后续MISREAD／OVERUSE，不在BASE定案</x:v>
      </x:c>
      <x:c r="W71" s="76" t="str">
        <x:v>blind_spot_candidate</x:v>
      </x:c>
      <x:c r="X71" s="76" t="str">
        <x:v>偏财在BASE阶段可路由至：B02 单一优点遮蔽整体条件；B03 心动信号替代关系准入；B07 付出投入替代承诺责任候选。，但最终盲点主题由后续模块裁定。</x:v>
      </x:c>
      <x:c r="Y71" s="76" t="str">
        <x:v>当前可保留的盲点方向是：B02 单一优点遮蔽整体条件；B03 心动信号替代关系准入；B07 付出投入替代承诺责任候选。；它仍需结合触发情境和真实互动验证。</x:v>
      </x:c>
      <x:c r="Z71" s="76" t="str">
        <x:v>不得推出花心、关系多、爱玩或一定投入分散；是否缺少落地和持续性需要现实证据。</x:v>
      </x:c>
      <x:c r="AA71" s="76" t="str">
        <x:v>中低</x:v>
      </x:c>
      <x:c r="AB71" s="76" t="str">
        <x:v>待验证</x:v>
      </x:c>
      <x:c r="AC71" s="76" t="str"/>
      <x:c r="AD71" s="76" t="str">
        <x:v>provisional=true; ten_god=偏财; system=SYS03 财星系统; m3_refs=I06／X06／CA06／BD06／CF06; route_only=true</x:v>
      </x:c>
      <x:c r="AE71" s="82" t="str">
        <x:v>0.2</x:v>
      </x:c>
    </x:row>
    <x:row r="72">
      <x:c r="A72" s="81" t="str">
        <x:v>M4-BASE-068</x:v>
      </x:c>
      <x:c r="B72" s="76" t="str">
        <x:v>偏财｜用户解释摘要</x:v>
      </x:c>
      <x:c r="C72" s="76" t="str">
        <x:v>L8 输出与停止</x:v>
      </x:c>
      <x:c r="D72" s="76" t="str">
        <x:v>BASE-十神功能</x:v>
      </x:c>
      <x:c r="E72" s="76" t="str">
        <x:v>通用</x:v>
      </x:c>
      <x:c r="F72" s="76" t="str">
        <x:v>输出</x:v>
      </x:c>
      <x:c r="G72" s="76" t="str">
        <x:v>偏财</x:v>
      </x:c>
      <x:c r="H72" s="76" t="str">
        <x:v>B02 单一优点遮蔽整体条件；B03 心动信号替代关系准入；B07 付出投入替代承诺责任候选。</x:v>
      </x:c>
      <x:c r="I72" s="76" t="str">
        <x:v>偏财功能进入最终或暂定BASE输出；至少E1成立。</x:v>
      </x:c>
      <x:c r="J72" s="76" t="str">
        <x:v>该候选被停止、真合化替换或保护因素足以降至E0。</x:v>
      </x:c>
      <x:c r="K72" s="76" t="str">
        <x:v>由共享基础引擎提供；只修正承载与执行，不直接等同强弱人格。</x:v>
      </x:c>
      <x:c r="L72" s="76" t="str">
        <x:v>由M2接口提供；夫妻星只参与关系议题权重，不单独生成盲点。</x:v>
      </x:c>
      <x:c r="M72" s="76" t="str">
        <x:v>由M3-BASE与共享引擎提供；不得把日支直接写成配偶性格。</x:v>
      </x:c>
      <x:c r="N72" s="76" t="str">
        <x:v>无／待后续规则组合</x:v>
      </x:c>
      <x:c r="O72" s="76" t="str">
        <x:v>由共享基础引擎判定</x:v>
      </x:c>
      <x:c r="P72" s="76" t="str">
        <x:v>由共享基础引擎判定</x:v>
      </x:c>
      <x:c r="Q72" s="76" t="str">
        <x:v>由共享基础引擎判定</x:v>
      </x:c>
      <x:c r="R72" s="76" t="str">
        <x:v>喜忌只修正调用摩擦与平衡，不直接等同好坏。</x:v>
      </x:c>
      <x:c r="S72" s="76" t="str">
        <x:v>原十神性质有效；真合化成立时按化神系统替换。</x:v>
      </x:c>
      <x:c r="T72" s="76" t="str">
        <x:v>由共享基础引擎判定</x:v>
      </x:c>
      <x:c r="U72" s="76" t="str">
        <x:v>68</x:v>
      </x:c>
      <x:c r="V72" s="76" t="str">
        <x:v>不加分；摘要</x:v>
      </x:c>
      <x:c r="W72" s="76" t="str">
        <x:v>basis_summary</x:v>
      </x:c>
      <x:c r="X72" s="76" t="str">
        <x:v>用“正常功能—需要留意—保护条件”的顺序输出偏财BASE结论。</x:v>
      </x:c>
      <x:c r="Y72" s="76" t="str">
        <x:v>你原本擅长通过互动、体验和灵活回应让关系保持活力。需要留意的是，感觉很好、相处有趣或一次投入很多，不等于长期稳定、责任和现实安排已经成立。</x:v>
      </x:c>
      <x:c r="Z72" s="76" t="str">
        <x:v>不得推出花心、关系多、爱玩或一定投入分散；是否缺少落地和持续性需要现实证据。</x:v>
      </x:c>
      <x:c r="AA72" s="76" t="str">
        <x:v>中</x:v>
      </x:c>
      <x:c r="AB72" s="76" t="str">
        <x:v>待验证</x:v>
      </x:c>
      <x:c r="AC72" s="76" t="str"/>
      <x:c r="AD72" s="76" t="str">
        <x:v>provisional=true; ten_god=偏财; system=SYS03 财星系统; m3_refs=I06／X06／CA06／BD06／CF06; summary_only=true</x:v>
      </x:c>
      <x:c r="AE72" s="82" t="str">
        <x:v>0.2</x:v>
      </x:c>
    </x:row>
    <x:row r="73">
      <x:c r="A73" s="81" t="str">
        <x:v>M4-BASE-069</x:v>
      </x:c>
      <x:c r="B73" s="76" t="str">
        <x:v>正官｜正常关系功能来源</x:v>
      </x:c>
      <x:c r="C73" s="76" t="str">
        <x:v>L1 正常功能来源</x:v>
      </x:c>
      <x:c r="D73" s="76" t="str">
        <x:v>BASE-十神功能</x:v>
      </x:c>
      <x:c r="E73" s="76" t="str">
        <x:v>通用</x:v>
      </x:c>
      <x:c r="F73" s="76" t="str">
        <x:v>基础</x:v>
      </x:c>
      <x:c r="G73" s="76" t="str">
        <x:v>正官</x:v>
      </x:c>
      <x:c r="H73" s="76" t="str">
        <x:v>I07／X07／CA07／BD07／CF07</x:v>
      </x:c>
      <x:c r="I73" s="76" t="str">
        <x:v>M3中I07／X07／CA07／BD07／CF07至少一项对应功能可靠成立；共享引擎确认正官性质有效；未命中真合化替换；完成source_id去重。</x:v>
      </x:c>
      <x:c r="J73" s="76" t="str">
        <x:v>M3相关功能停止；真合化后原十神失效；仅有单一弱远无根信号；或现实反例明确显示该功能并不稳定出现。</x:v>
      </x:c>
      <x:c r="K73" s="76" t="str">
        <x:v>由共享基础引擎提供；只修正承载与执行，不直接等同强弱人格。</x:v>
      </x:c>
      <x:c r="L73" s="76" t="str">
        <x:v>由M2接口提供；夫妻星只参与关系议题权重，不单独生成盲点。</x:v>
      </x:c>
      <x:c r="M73" s="76" t="str">
        <x:v>由M3-BASE与共享引擎提供；不得把日支直接写成配偶性格。</x:v>
      </x:c>
      <x:c r="N73" s="76" t="str">
        <x:v>无／待后续规则组合</x:v>
      </x:c>
      <x:c r="O73" s="76" t="str">
        <x:v>由共享基础引擎判定</x:v>
      </x:c>
      <x:c r="P73" s="76" t="str">
        <x:v>由共享基础引擎判定</x:v>
      </x:c>
      <x:c r="Q73" s="76" t="str">
        <x:v>由共享基础引擎判定</x:v>
      </x:c>
      <x:c r="R73" s="76" t="str">
        <x:v>喜忌只修正调用摩擦与平衡，不直接等同好坏。</x:v>
      </x:c>
      <x:c r="S73" s="76" t="str">
        <x:v>原十神性质有效；真合化成立时按化神系统替换。</x:v>
      </x:c>
      <x:c r="T73" s="76" t="str">
        <x:v>由共享基础引擎判定</x:v>
      </x:c>
      <x:c r="U73" s="76" t="str">
        <x:v>90</x:v>
      </x:c>
      <x:c r="V73" s="76" t="str">
        <x:v>functional_origin +12（同源只计一次）</x:v>
      </x:c>
      <x:c r="W73" s="76" t="str">
        <x:v>functional_origin</x:v>
      </x:c>
      <x:c r="X73" s="76" t="str">
        <x:v>正官在M4中的起点不是负面标签，而是：承诺、责任、规则、角色分工、守约和稳定维护关系。</x:v>
      </x:c>
      <x:c r="Y73" s="76" t="str">
        <x:v>这项反应原本的功能是：承诺、责任、规则、角色分工、守约和稳定维护关系。</x:v>
      </x:c>
      <x:c r="Z73" s="76" t="str">
        <x:v>不得推出控制欲强、古板、道德绑架或一定关系压抑；是否形成僵化标准需结合现实互动。</x:v>
      </x:c>
      <x:c r="AA73" s="76" t="str">
        <x:v>中高</x:v>
      </x:c>
      <x:c r="AB73" s="76" t="str">
        <x:v>待验证</x:v>
      </x:c>
      <x:c r="AC73" s="76" t="str"/>
      <x:c r="AD73" s="76" t="str">
        <x:v>provisional=true; ten_god=正官; system=SYS04 官杀系统; m3_refs=I07／X07／CA07／BD07／CF07; subtype=normal</x:v>
      </x:c>
      <x:c r="AE73" s="82" t="str">
        <x:v>0.2</x:v>
      </x:c>
    </x:row>
    <x:row r="74">
      <x:c r="A74" s="81" t="str">
        <x:v>M4-BASE-070</x:v>
      </x:c>
      <x:c r="B74" s="76" t="str">
        <x:v>正官｜K01过用放大候选</x:v>
      </x:c>
      <x:c r="C74" s="76" t="str">
        <x:v>L2 十神失衡候选</x:v>
      </x:c>
      <x:c r="D74" s="76" t="str">
        <x:v>BASE-十神功能</x:v>
      </x:c>
      <x:c r="E74" s="76" t="str">
        <x:v>通用</x:v>
      </x:c>
      <x:c r="F74" s="76" t="str">
        <x:v>失衡候选</x:v>
      </x:c>
      <x:c r="G74" s="76" t="str">
        <x:v>正官</x:v>
      </x:c>
      <x:c r="H74" s="76" t="str">
        <x:v>K01 过用放大</x:v>
      </x:c>
      <x:c r="I74" s="76" t="str">
        <x:v>M3中I07／X07／CA07／BD07／CF07至少一项对应功能可靠成立；共享引擎确认正官性质有效；未命中真合化替换；完成source_id去重。；另有过旺失衡、压力下抢先启动、重复行为或缺少调节中的至少一项独立证据。</x:v>
      </x:c>
      <x:c r="J74" s="76" t="str">
        <x:v>M3相关功能停止；真合化后原十神失效；仅有单一弱远无根信号；或现实反例明确显示该功能并不稳定出现。；旺而平衡且制化／通关有效。</x:v>
      </x:c>
      <x:c r="K74" s="76" t="str">
        <x:v>由共享基础引擎提供；只修正承载与执行，不直接等同强弱人格。</x:v>
      </x:c>
      <x:c r="L74" s="76" t="str">
        <x:v>由M2接口提供；夫妻星只参与关系议题权重，不单独生成盲点。</x:v>
      </x:c>
      <x:c r="M74" s="76" t="str">
        <x:v>由M3-BASE与共享引擎提供；不得把日支直接写成配偶性格。</x:v>
      </x:c>
      <x:c r="N74" s="76" t="str">
        <x:v>无／待后续规则组合</x:v>
      </x:c>
      <x:c r="O74" s="76" t="str">
        <x:v>由共享基础引擎判定</x:v>
      </x:c>
      <x:c r="P74" s="76" t="str">
        <x:v>由共享基础引擎判定</x:v>
      </x:c>
      <x:c r="Q74" s="76" t="str">
        <x:v>过旺失衡、抢先启动或现实重复证据；旺而平衡不自动成立。</x:v>
      </x:c>
      <x:c r="R74" s="76" t="str">
        <x:v>喜忌只修正调用摩擦与平衡，不直接等同好坏。</x:v>
      </x:c>
      <x:c r="S74" s="76" t="str">
        <x:v>原十神性质有效；真合化成立时按化神系统替换。</x:v>
      </x:c>
      <x:c r="T74" s="76" t="str">
        <x:v>由共享基础引擎判定</x:v>
      </x:c>
      <x:c r="U74" s="76" t="str">
        <x:v>84</x:v>
      </x:c>
      <x:c r="V74" s="76" t="str">
        <x:v>K01候选 +8</x:v>
      </x:c>
      <x:c r="W74" s="76" t="str">
        <x:v>imbalance_mechanism</x:v>
      </x:c>
      <x:c r="X74" s="76" t="str">
        <x:v>正官的正常功能在调用强度过高或长期抢先时，可能表现为：标准或规则变得僵化，以道德压力、角色要求或“应该如此”替代协商。</x:v>
      </x:c>
      <x:c r="Y74" s="76" t="str">
        <x:v>当这项方式被过度调用时，你可能更容易：标准或规则变得僵化，以道德压力、角色要求或“应该如此”替代协商。</x:v>
      </x:c>
      <x:c r="Z74" s="76" t="str">
        <x:v>不得推出控制欲强、古板、道德绑架或一定关系压抑；是否形成僵化标准需结合现实互动。</x:v>
      </x:c>
      <x:c r="AA74" s="76" t="str">
        <x:v>中</x:v>
      </x:c>
      <x:c r="AB74" s="76" t="str">
        <x:v>待验证</x:v>
      </x:c>
      <x:c r="AC74" s="76" t="str"/>
      <x:c r="AD74" s="76" t="str">
        <x:v>provisional=true; ten_god=正官; system=SYS04 官杀系统; m3_refs=I07／X07／CA07／BD07／CF07; imbalance=K01</x:v>
      </x:c>
      <x:c r="AE74" s="82" t="str">
        <x:v>0.2</x:v>
      </x:c>
    </x:row>
    <x:row r="75">
      <x:c r="A75" s="81" t="str">
        <x:v>M4-BASE-071</x:v>
      </x:c>
      <x:c r="B75" s="76" t="str">
        <x:v>正官｜K02功能不足候选</x:v>
      </x:c>
      <x:c r="C75" s="76" t="str">
        <x:v>L2 十神失衡候选</x:v>
      </x:c>
      <x:c r="D75" s="76" t="str">
        <x:v>BASE-十神功能</x:v>
      </x:c>
      <x:c r="E75" s="76" t="str">
        <x:v>通用</x:v>
      </x:c>
      <x:c r="F75" s="76" t="str">
        <x:v>失衡候选</x:v>
      </x:c>
      <x:c r="G75" s="76" t="str">
        <x:v>正官</x:v>
      </x:c>
      <x:c r="H75" s="76" t="str">
        <x:v>K02 功能不足</x:v>
      </x:c>
      <x:c r="I75" s="76" t="str">
        <x:v>M3或关系路径显示正官对应功能为必要环节；该功能偏弱无助、受阻或长期缺少现实出口；无可靠替代通道。</x:v>
      </x:c>
      <x:c r="J75" s="76" t="str">
        <x:v>该功能弱而有助；存在有效替代通道；现实行为显示此功能稳定可用。</x:v>
      </x:c>
      <x:c r="K75" s="76" t="str">
        <x:v>由共享基础引擎提供；只修正承载与执行，不直接等同强弱人格。</x:v>
      </x:c>
      <x:c r="L75" s="76" t="str">
        <x:v>由M2接口提供；夫妻星只参与关系议题权重，不单独生成盲点。</x:v>
      </x:c>
      <x:c r="M75" s="76" t="str">
        <x:v>由M3-BASE与共享引擎提供；不得把日支直接写成配偶性格。</x:v>
      </x:c>
      <x:c r="N75" s="76" t="str">
        <x:v>无／待后续规则组合</x:v>
      </x:c>
      <x:c r="O75" s="76" t="str">
        <x:v>由共享基础引擎判定</x:v>
      </x:c>
      <x:c r="P75" s="76" t="str">
        <x:v>由共享基础引擎判定</x:v>
      </x:c>
      <x:c r="Q75" s="76" t="str">
        <x:v>偏弱无助／转换受阻／现实缺位</x:v>
      </x:c>
      <x:c r="R75" s="76" t="str">
        <x:v>喜忌只修正调用摩擦与平衡，不直接等同好坏。</x:v>
      </x:c>
      <x:c r="S75" s="76" t="str">
        <x:v>原十神性质有效；真合化成立时按化神系统替换。</x:v>
      </x:c>
      <x:c r="T75" s="76" t="str">
        <x:v>由共享基础引擎判定</x:v>
      </x:c>
      <x:c r="U75" s="76" t="str">
        <x:v>83</x:v>
      </x:c>
      <x:c r="V75" s="76" t="str">
        <x:v>K02候选 +8</x:v>
      </x:c>
      <x:c r="W75" s="76" t="str">
        <x:v>missing_function</x:v>
      </x:c>
      <x:c r="X75" s="76" t="str">
        <x:v>当正官功能是关系路径的必要环节却缺少稳定出口时，可能出现：关系责任、角色、承诺和后续安排长期不清楚，讨论很多却缺少执行主体。</x:v>
      </x:c>
      <x:c r="Y75" s="76" t="str">
        <x:v>另一项需要继续确认的功能是：关系责任、角色、承诺和后续安排长期不清楚，讨论很多却缺少执行主体。</x:v>
      </x:c>
      <x:c r="Z75" s="76" t="str">
        <x:v>不得推出控制欲强、古板、道德绑架或一定关系压抑；是否形成僵化标准需结合现实互动。</x:v>
      </x:c>
      <x:c r="AA75" s="76" t="str">
        <x:v>中</x:v>
      </x:c>
      <x:c r="AB75" s="76" t="str">
        <x:v>待验证</x:v>
      </x:c>
      <x:c r="AC75" s="76" t="str"/>
      <x:c r="AD75" s="76" t="str">
        <x:v>provisional=true; ten_god=正官; system=SYS04 官杀系统; m3_refs=I07／X07／CA07／BD07／CF07; imbalance=K02</x:v>
      </x:c>
      <x:c r="AE75" s="82" t="str">
        <x:v>0.2</x:v>
      </x:c>
    </x:row>
    <x:row r="76">
      <x:c r="A76" s="81" t="str">
        <x:v>M4-BASE-072</x:v>
      </x:c>
      <x:c r="B76" s="76" t="str">
        <x:v>正官｜K03单通道替代候选</x:v>
      </x:c>
      <x:c r="C76" s="76" t="str">
        <x:v>L2 十神失衡候选</x:v>
      </x:c>
      <x:c r="D76" s="76" t="str">
        <x:v>BASE-十神功能</x:v>
      </x:c>
      <x:c r="E76" s="76" t="str">
        <x:v>通用</x:v>
      </x:c>
      <x:c r="F76" s="76" t="str">
        <x:v>组合候选</x:v>
      </x:c>
      <x:c r="G76" s="76" t="str">
        <x:v>正官</x:v>
      </x:c>
      <x:c r="H76" s="76" t="str">
        <x:v>K03 单通道替代</x:v>
      </x:c>
      <x:c r="I76" s="76" t="str">
        <x:v>M3中I07／X07／CA07／BD07／CF07至少一项对应功能可靠成立；共享引擎确认正官性质有效；未命中真合化替换；完成source_id去重。；当前关系任务还需要另一系统功能，但该功能不足、延后或被正官通道替代。</x:v>
      </x:c>
      <x:c r="J76" s="76" t="str">
        <x:v>另一功能已经有效进入并形成分工；仅为同一功能的不同表述。</x:v>
      </x:c>
      <x:c r="K76" s="76" t="str">
        <x:v>由共享基础引擎提供；只修正承载与执行，不直接等同强弱人格。</x:v>
      </x:c>
      <x:c r="L76" s="76" t="str">
        <x:v>由M2接口提供；夫妻星只参与关系议题权重，不单独生成盲点。</x:v>
      </x:c>
      <x:c r="M76" s="76" t="str">
        <x:v>由M3-BASE与共享引擎提供；不得把日支直接写成配偶性格。</x:v>
      </x:c>
      <x:c r="N76" s="76" t="str">
        <x:v>正官功能替代另一必要功能；需由后续OVERUSE确认</x:v>
      </x:c>
      <x:c r="O76" s="76" t="str">
        <x:v>由共享基础引擎判定</x:v>
      </x:c>
      <x:c r="P76" s="76" t="str">
        <x:v>由共享基础引擎判定</x:v>
      </x:c>
      <x:c r="Q76" s="76" t="str">
        <x:v>由共享基础引擎判定</x:v>
      </x:c>
      <x:c r="R76" s="76" t="str">
        <x:v>喜忌只修正调用摩擦与平衡，不直接等同好坏。</x:v>
      </x:c>
      <x:c r="S76" s="76" t="str">
        <x:v>原十神性质有效；真合化成立时按化神系统替换。</x:v>
      </x:c>
      <x:c r="T76" s="76" t="str">
        <x:v>由共享基础引擎判定</x:v>
      </x:c>
      <x:c r="U76" s="76" t="str">
        <x:v>82</x:v>
      </x:c>
      <x:c r="V76" s="76" t="str">
        <x:v>K03候选 +6</x:v>
      </x:c>
      <x:c r="W76" s="76" t="str">
        <x:v>imbalance_mechanism</x:v>
      </x:c>
      <x:c r="X76" s="76" t="str">
        <x:v>用规则正确或角色合格替代对具体感受、差异和现实限制的理解。</x:v>
      </x:c>
      <x:c r="Y76" s="76" t="str">
        <x:v>需要留意的是，是否会出现：用规则正确或角色合格替代对具体感受、差异和现实限制的理解。</x:v>
      </x:c>
      <x:c r="Z76" s="76" t="str">
        <x:v>不得推出控制欲强、古板、道德绑架或一定关系压抑；是否形成僵化标准需结合现实互动。</x:v>
      </x:c>
      <x:c r="AA76" s="76" t="str">
        <x:v>中</x:v>
      </x:c>
      <x:c r="AB76" s="76" t="str">
        <x:v>待验证</x:v>
      </x:c>
      <x:c r="AC76" s="76" t="str"/>
      <x:c r="AD76" s="76" t="str">
        <x:v>provisional=true; ten_god=正官; system=SYS04 官杀系统; m3_refs=I07／X07／CA07／BD07／CF07; imbalance=K03</x:v>
      </x:c>
      <x:c r="AE76" s="82" t="str">
        <x:v>0.2</x:v>
      </x:c>
    </x:row>
    <x:row r="77">
      <x:c r="A77" s="81" t="str">
        <x:v>M4-BASE-073</x:v>
      </x:c>
      <x:c r="B77" s="76" t="str">
        <x:v>正官｜K04处理顺序错位候选</x:v>
      </x:c>
      <x:c r="C77" s="76" t="str">
        <x:v>L2 十神失衡候选</x:v>
      </x:c>
      <x:c r="D77" s="76" t="str">
        <x:v>BASE-十神功能</x:v>
      </x:c>
      <x:c r="E77" s="76" t="str">
        <x:v>通用</x:v>
      </x:c>
      <x:c r="F77" s="76" t="str">
        <x:v>路径候选</x:v>
      </x:c>
      <x:c r="G77" s="76" t="str">
        <x:v>正官</x:v>
      </x:c>
      <x:c r="H77" s="76" t="str">
        <x:v>K04 处理顺序错位</x:v>
      </x:c>
      <x:c r="I77" s="76" t="str">
        <x:v>M3中I07／X07／CA07／BD07／CF07至少一项对应功能可靠成立；共享引擎确认正官性质有效；未命中真合化替换；完成source_id去重。；至少另一项功能真实存在，但在对应情境中进入过晚；有M3-FLOW或现实顺序证据。</x:v>
      </x:c>
      <x:c r="J77" s="76" t="str">
        <x:v>只有静态五行生克而无现实／M3顺序证据；另一功能并非该情境必要。</x:v>
      </x:c>
      <x:c r="K77" s="76" t="str">
        <x:v>由共享基础引擎提供；只修正承载与执行，不直接等同强弱人格。</x:v>
      </x:c>
      <x:c r="L77" s="76" t="str">
        <x:v>由M2接口提供；夫妻星只参与关系议题权重，不单独生成盲点。</x:v>
      </x:c>
      <x:c r="M77" s="76" t="str">
        <x:v>由M3-BASE与共享引擎提供；不得把日支直接写成配偶性格。</x:v>
      </x:c>
      <x:c r="N77" s="76" t="str">
        <x:v>在了解背景、感受和双方资源之前先套用标准或要求。</x:v>
      </x:c>
      <x:c r="O77" s="76" t="str">
        <x:v>由共享基础引擎判定</x:v>
      </x:c>
      <x:c r="P77" s="76" t="str">
        <x:v>由共享基础引擎判定</x:v>
      </x:c>
      <x:c r="Q77" s="76" t="str">
        <x:v>由共享基础引擎判定</x:v>
      </x:c>
      <x:c r="R77" s="76" t="str">
        <x:v>喜忌只修正调用摩擦与平衡，不直接等同好坏。</x:v>
      </x:c>
      <x:c r="S77" s="76" t="str">
        <x:v>原十神性质有效；真合化成立时按化神系统替换。</x:v>
      </x:c>
      <x:c r="T77" s="76" t="str">
        <x:v>由共享基础引擎判定</x:v>
      </x:c>
      <x:c r="U77" s="76" t="str">
        <x:v>81</x:v>
      </x:c>
      <x:c r="V77" s="76" t="str">
        <x:v>K04候选 +6</x:v>
      </x:c>
      <x:c r="W77" s="76" t="str">
        <x:v>flow_path</x:v>
      </x:c>
      <x:c r="X77" s="76" t="str">
        <x:v>在了解背景、感受和双方资源之前先套用标准或要求。</x:v>
      </x:c>
      <x:c r="Y77" s="76" t="str">
        <x:v>在处理顺序上，可能需要观察：在了解背景、感受和双方资源之前先套用标准或要求。</x:v>
      </x:c>
      <x:c r="Z77" s="76" t="str">
        <x:v>不得推出控制欲强、古板、道德绑架或一定关系压抑；是否形成僵化标准需结合现实互动。</x:v>
      </x:c>
      <x:c r="AA77" s="76" t="str">
        <x:v>中低</x:v>
      </x:c>
      <x:c r="AB77" s="76" t="str">
        <x:v>待验证</x:v>
      </x:c>
      <x:c r="AC77" s="76" t="str"/>
      <x:c r="AD77" s="76" t="str">
        <x:v>provisional=true; ten_god=正官; system=SYS04 官杀系统; m3_refs=I07／X07／CA07／BD07／CF07; imbalance=K04</x:v>
      </x:c>
      <x:c r="AE77" s="82" t="str">
        <x:v>0.2</x:v>
      </x:c>
    </x:row>
    <x:row r="78">
      <x:c r="A78" s="81" t="str">
        <x:v>M4-BASE-074</x:v>
      </x:c>
      <x:c r="B78" s="76" t="str">
        <x:v>正官｜调节与保护因子候选</x:v>
      </x:c>
      <x:c r="C78" s="76" t="str">
        <x:v>L3 五系统与流向</x:v>
      </x:c>
      <x:c r="D78" s="76" t="str">
        <x:v>BASE-十神功能</x:v>
      </x:c>
      <x:c r="E78" s="76" t="str">
        <x:v>通用</x:v>
      </x:c>
      <x:c r="F78" s="76" t="str">
        <x:v>保护候选</x:v>
      </x:c>
      <x:c r="G78" s="76" t="str">
        <x:v>正官</x:v>
      </x:c>
      <x:c r="H78" s="76" t="str">
        <x:v>BF调节功能</x:v>
      </x:c>
      <x:c r="I78" s="76" t="str">
        <x:v>食伤提供说明和反馈；比劫保留共同决定权；财星检验规则能否持续落实。；且调节信号有效、有根、位置可进入关系核心或现实行为已有支持。</x:v>
      </x:c>
      <x:c r="J78" s="76" t="str">
        <x:v>调节信号仅结构存在但弱远无根；真合化后已失效；现实中未形成可调用行为。</x:v>
      </x:c>
      <x:c r="K78" s="76" t="str">
        <x:v>由共享基础引擎提供；只修正承载与执行，不直接等同强弱人格。</x:v>
      </x:c>
      <x:c r="L78" s="76" t="str">
        <x:v>由M2接口提供；夫妻星只参与关系议题权重，不单独生成盲点。</x:v>
      </x:c>
      <x:c r="M78" s="76" t="str">
        <x:v>由M3-BASE与共享引擎提供；不得把日支直接写成配偶性格。</x:v>
      </x:c>
      <x:c r="N78" s="76" t="str">
        <x:v>食伤提供说明和反馈；比劫保留共同决定权；财星检验规则能否持续落实。</x:v>
      </x:c>
      <x:c r="O78" s="76" t="str">
        <x:v>由共享基础引擎判定</x:v>
      </x:c>
      <x:c r="P78" s="76" t="str">
        <x:v>由共享基础引擎判定</x:v>
      </x:c>
      <x:c r="Q78" s="76" t="str">
        <x:v>由共享基础引擎判定</x:v>
      </x:c>
      <x:c r="R78" s="76" t="str">
        <x:v>喜忌只修正调用摩擦与平衡，不直接等同好坏。</x:v>
      </x:c>
      <x:c r="S78" s="76" t="str">
        <x:v>原十神性质有效；真合化成立时按化神系统替换。</x:v>
      </x:c>
      <x:c r="T78" s="76" t="str">
        <x:v>由共享基础引擎判定</x:v>
      </x:c>
      <x:c r="U78" s="76" t="str">
        <x:v>78</x:v>
      </x:c>
      <x:c r="V78" s="76" t="str">
        <x:v>有效buffer −6至−10</x:v>
      </x:c>
      <x:c r="W78" s="76" t="str">
        <x:v>buffer_factor</x:v>
      </x:c>
      <x:c r="X78" s="76" t="str">
        <x:v>正官失衡候选可由以下功能限制、补足或转换：食伤提供说明和反馈；比劫保留共同决定权；财星检验规则能否持续落实。</x:v>
      </x:c>
      <x:c r="Y78" s="76" t="str">
        <x:v>使这一候选减弱的条件包括：食伤提供说明和反馈；比劫保留共同决定权；财星检验规则能否持续落实。</x:v>
      </x:c>
      <x:c r="Z78" s="76" t="str">
        <x:v>保护因子存在不等于风险完全消失；不得把喜神或制化结构直接写成现实中一定成熟、一定会自我调节。</x:v>
      </x:c>
      <x:c r="AA78" s="76" t="str">
        <x:v>中</x:v>
      </x:c>
      <x:c r="AB78" s="76" t="str">
        <x:v>待验证</x:v>
      </x:c>
      <x:c r="AC78" s="76" t="str"/>
      <x:c r="AD78" s="76" t="str">
        <x:v>provisional=true; ten_god=正官; system=SYS04 官杀系统; m3_refs=I07／X07／CA07／BD07／CF07; subtype=buffer</x:v>
      </x:c>
      <x:c r="AE78" s="82" t="str">
        <x:v>0.2</x:v>
      </x:c>
    </x:row>
    <x:row r="79">
      <x:c r="A79" s="81" t="str">
        <x:v>M4-BASE-075</x:v>
      </x:c>
      <x:c r="B79" s="76" t="str">
        <x:v>正官｜盲点主题路由候选</x:v>
      </x:c>
      <x:c r="C79" s="76" t="str">
        <x:v>L2 十神失衡候选</x:v>
      </x:c>
      <x:c r="D79" s="76" t="str">
        <x:v>BASE-十神功能</x:v>
      </x:c>
      <x:c r="E79" s="76" t="str">
        <x:v>通用</x:v>
      </x:c>
      <x:c r="F79" s="76" t="str">
        <x:v>路由</x:v>
      </x:c>
      <x:c r="G79" s="76" t="str">
        <x:v>正官</x:v>
      </x:c>
      <x:c r="H79" s="76" t="str">
        <x:v>B08 责任行动越过协商边界；B14 问题结案但关系未修复候选。</x:v>
      </x:c>
      <x:c r="I79" s="76" t="str">
        <x:v>对应正常功能已成立；至少一个K01—K06机制候选通过门控；完成独立证据与保护因子检查。</x:v>
      </x:c>
      <x:c r="J79" s="76" t="str">
        <x:v>仅有十神标签；机制不明；保护因素足以中断；现实反例明显。</x:v>
      </x:c>
      <x:c r="K79" s="76" t="str">
        <x:v>由共享基础引擎提供；只修正承载与执行，不直接等同强弱人格。</x:v>
      </x:c>
      <x:c r="L79" s="76" t="str">
        <x:v>由M2接口提供；夫妻星只参与关系议题权重，不单独生成盲点。</x:v>
      </x:c>
      <x:c r="M79" s="76" t="str">
        <x:v>由M3-BASE与共享引擎提供；不得把日支直接写成配偶性格。</x:v>
      </x:c>
      <x:c r="N79" s="76" t="str">
        <x:v>无／待后续规则组合</x:v>
      </x:c>
      <x:c r="O79" s="76" t="str">
        <x:v>由共享基础引擎判定</x:v>
      </x:c>
      <x:c r="P79" s="76" t="str">
        <x:v>由共享基础引擎判定</x:v>
      </x:c>
      <x:c r="Q79" s="76" t="str">
        <x:v>由共享基础引擎判定</x:v>
      </x:c>
      <x:c r="R79" s="76" t="str">
        <x:v>喜忌只修正调用摩擦与平衡，不直接等同好坏。</x:v>
      </x:c>
      <x:c r="S79" s="76" t="str">
        <x:v>原十神性质有效；真合化成立时按化神系统替换。</x:v>
      </x:c>
      <x:c r="T79" s="76" t="str">
        <x:v>由共享基础引擎判定</x:v>
      </x:c>
      <x:c r="U79" s="76" t="str">
        <x:v>76</x:v>
      </x:c>
      <x:c r="V79" s="76" t="str">
        <x:v>路由至后续MISREAD／OVERUSE，不在BASE定案</x:v>
      </x:c>
      <x:c r="W79" s="76" t="str">
        <x:v>blind_spot_candidate</x:v>
      </x:c>
      <x:c r="X79" s="76" t="str">
        <x:v>正官在BASE阶段可路由至：B08 责任行动越过协商边界；B14 问题结案但关系未修复候选。，但最终盲点主题由后续模块裁定。</x:v>
      </x:c>
      <x:c r="Y79" s="76" t="str">
        <x:v>当前可保留的盲点方向是：B08 责任行动越过协商边界；B14 问题结案但关系未修复候选。；它仍需结合触发情境和真实互动验证。</x:v>
      </x:c>
      <x:c r="Z79" s="76" t="str">
        <x:v>不得推出控制欲强、古板、道德绑架或一定关系压抑；是否形成僵化标准需结合现实互动。</x:v>
      </x:c>
      <x:c r="AA79" s="76" t="str">
        <x:v>中低</x:v>
      </x:c>
      <x:c r="AB79" s="76" t="str">
        <x:v>待验证</x:v>
      </x:c>
      <x:c r="AC79" s="76" t="str"/>
      <x:c r="AD79" s="76" t="str">
        <x:v>provisional=true; ten_god=正官; system=SYS04 官杀系统; m3_refs=I07／X07／CA07／BD07／CF07; route_only=true</x:v>
      </x:c>
      <x:c r="AE79" s="82" t="str">
        <x:v>0.2</x:v>
      </x:c>
    </x:row>
    <x:row r="80">
      <x:c r="A80" s="81" t="str">
        <x:v>M4-BASE-076</x:v>
      </x:c>
      <x:c r="B80" s="76" t="str">
        <x:v>正官｜用户解释摘要</x:v>
      </x:c>
      <x:c r="C80" s="76" t="str">
        <x:v>L8 输出与停止</x:v>
      </x:c>
      <x:c r="D80" s="76" t="str">
        <x:v>BASE-十神功能</x:v>
      </x:c>
      <x:c r="E80" s="76" t="str">
        <x:v>通用</x:v>
      </x:c>
      <x:c r="F80" s="76" t="str">
        <x:v>输出</x:v>
      </x:c>
      <x:c r="G80" s="76" t="str">
        <x:v>正官</x:v>
      </x:c>
      <x:c r="H80" s="76" t="str">
        <x:v>B08 责任行动越过协商边界；B14 问题结案但关系未修复候选。</x:v>
      </x:c>
      <x:c r="I80" s="76" t="str">
        <x:v>正官功能进入最终或暂定BASE输出；至少E1成立。</x:v>
      </x:c>
      <x:c r="J80" s="76" t="str">
        <x:v>该候选被停止、真合化替换或保护因素足以降至E0。</x:v>
      </x:c>
      <x:c r="K80" s="76" t="str">
        <x:v>由共享基础引擎提供；只修正承载与执行，不直接等同强弱人格。</x:v>
      </x:c>
      <x:c r="L80" s="76" t="str">
        <x:v>由M2接口提供；夫妻星只参与关系议题权重，不单独生成盲点。</x:v>
      </x:c>
      <x:c r="M80" s="76" t="str">
        <x:v>由M3-BASE与共享引擎提供；不得把日支直接写成配偶性格。</x:v>
      </x:c>
      <x:c r="N80" s="76" t="str">
        <x:v>无／待后续规则组合</x:v>
      </x:c>
      <x:c r="O80" s="76" t="str">
        <x:v>由共享基础引擎判定</x:v>
      </x:c>
      <x:c r="P80" s="76" t="str">
        <x:v>由共享基础引擎判定</x:v>
      </x:c>
      <x:c r="Q80" s="76" t="str">
        <x:v>由共享基础引擎判定</x:v>
      </x:c>
      <x:c r="R80" s="76" t="str">
        <x:v>喜忌只修正调用摩擦与平衡，不直接等同好坏。</x:v>
      </x:c>
      <x:c r="S80" s="76" t="str">
        <x:v>原十神性质有效；真合化成立时按化神系统替换。</x:v>
      </x:c>
      <x:c r="T80" s="76" t="str">
        <x:v>由共享基础引擎判定</x:v>
      </x:c>
      <x:c r="U80" s="76" t="str">
        <x:v>68</x:v>
      </x:c>
      <x:c r="V80" s="76" t="str">
        <x:v>不加分；摘要</x:v>
      </x:c>
      <x:c r="W80" s="76" t="str">
        <x:v>basis_summary</x:v>
      </x:c>
      <x:c r="X80" s="76" t="str">
        <x:v>用“正常功能—需要留意—保护条件”的顺序输出正官BASE结论。</x:v>
      </x:c>
      <x:c r="Y80" s="76" t="str">
        <x:v>你原本重视责任、承诺和清楚的关系规则。需要留意的是，规则是否仍然允许双方讨论现实差异；“应该怎么做”不能完全替代“我们能否共同决定怎么做”。</x:v>
      </x:c>
      <x:c r="Z80" s="76" t="str">
        <x:v>不得推出控制欲强、古板、道德绑架或一定关系压抑；是否形成僵化标准需结合现实互动。</x:v>
      </x:c>
      <x:c r="AA80" s="76" t="str">
        <x:v>中</x:v>
      </x:c>
      <x:c r="AB80" s="76" t="str">
        <x:v>待验证</x:v>
      </x:c>
      <x:c r="AC80" s="76" t="str"/>
      <x:c r="AD80" s="76" t="str">
        <x:v>provisional=true; ten_god=正官; system=SYS04 官杀系统; m3_refs=I07／X07／CA07／BD07／CF07; summary_only=true</x:v>
      </x:c>
      <x:c r="AE80" s="82" t="str">
        <x:v>0.2</x:v>
      </x:c>
    </x:row>
    <x:row r="81">
      <x:c r="A81" s="81" t="str">
        <x:v>M4-BASE-077</x:v>
      </x:c>
      <x:c r="B81" s="76" t="str">
        <x:v>七杀｜正常关系功能来源</x:v>
      </x:c>
      <x:c r="C81" s="76" t="str">
        <x:v>L1 正常功能来源</x:v>
      </x:c>
      <x:c r="D81" s="76" t="str">
        <x:v>BASE-十神功能</x:v>
      </x:c>
      <x:c r="E81" s="76" t="str">
        <x:v>通用</x:v>
      </x:c>
      <x:c r="F81" s="76" t="str">
        <x:v>基础</x:v>
      </x:c>
      <x:c r="G81" s="76" t="str">
        <x:v>七杀</x:v>
      </x:c>
      <x:c r="H81" s="76" t="str">
        <x:v>I08／X08／CA08／BD08／CF08</x:v>
      </x:c>
      <x:c r="I81" s="76" t="str">
        <x:v>M3中I08／X08／CA08／BD08／CF08至少一项对应功能可靠成立；共享引擎确认七杀性质有效；未命中真合化替换；完成source_id去重。</x:v>
      </x:c>
      <x:c r="J81" s="76" t="str">
        <x:v>M3相关功能停止；真合化后原十神失效；仅有单一弱远无根信号；或现实反例明确显示该功能并不稳定出现。</x:v>
      </x:c>
      <x:c r="K81" s="76" t="str">
        <x:v>由共享基础引擎提供；只修正承载与执行，不直接等同强弱人格。</x:v>
      </x:c>
      <x:c r="L81" s="76" t="str">
        <x:v>由M2接口提供；夫妻星只参与关系议题权重，不单独生成盲点。</x:v>
      </x:c>
      <x:c r="M81" s="76" t="str">
        <x:v>由M3-BASE与共享引擎提供；不得把日支直接写成配偶性格。</x:v>
      </x:c>
      <x:c r="N81" s="76" t="str">
        <x:v>无／待后续规则组合</x:v>
      </x:c>
      <x:c r="O81" s="76" t="str">
        <x:v>由共享基础引擎判定</x:v>
      </x:c>
      <x:c r="P81" s="76" t="str">
        <x:v>由共享基础引擎判定</x:v>
      </x:c>
      <x:c r="Q81" s="76" t="str">
        <x:v>由共享基础引擎判定</x:v>
      </x:c>
      <x:c r="R81" s="76" t="str">
        <x:v>喜忌只修正调用摩擦与平衡，不直接等同好坏。</x:v>
      </x:c>
      <x:c r="S81" s="76" t="str">
        <x:v>原十神性质有效；真合化成立时按化神系统替换。</x:v>
      </x:c>
      <x:c r="T81" s="76" t="str">
        <x:v>由共享基础引擎判定</x:v>
      </x:c>
      <x:c r="U81" s="76" t="str">
        <x:v>90</x:v>
      </x:c>
      <x:c r="V81" s="76" t="str">
        <x:v>functional_origin +12（同源只计一次）</x:v>
      </x:c>
      <x:c r="W81" s="76" t="str">
        <x:v>functional_origin</x:v>
      </x:c>
      <x:c r="X81" s="76" t="str">
        <x:v>七杀在M4中的起点不是负面标签，而是：决断、推进、保护、止损、危机处理和在关键时刻承担。</x:v>
      </x:c>
      <x:c r="Y81" s="76" t="str">
        <x:v>这项反应原本的功能是：决断、推进、保护、止损、危机处理和在关键时刻承担。</x:v>
      </x:c>
      <x:c r="Z81" s="76" t="str">
        <x:v>不得推出暴力、强迫、控制或危险人格；行动强度与现实伤害必须分开，并以真实安全证据为准。</x:v>
      </x:c>
      <x:c r="AA81" s="76" t="str">
        <x:v>中高</x:v>
      </x:c>
      <x:c r="AB81" s="76" t="str">
        <x:v>待验证</x:v>
      </x:c>
      <x:c r="AC81" s="76" t="str"/>
      <x:c r="AD81" s="76" t="str">
        <x:v>provisional=true; ten_god=七杀; system=SYS04 官杀系统; m3_refs=I08／X08／CA08／BD08／CF08; subtype=normal</x:v>
      </x:c>
      <x:c r="AE81" s="82" t="str">
        <x:v>0.2</x:v>
      </x:c>
    </x:row>
    <x:row r="82">
      <x:c r="A82" s="81" t="str">
        <x:v>M4-BASE-078</x:v>
      </x:c>
      <x:c r="B82" s="76" t="str">
        <x:v>七杀｜K01过用放大候选</x:v>
      </x:c>
      <x:c r="C82" s="76" t="str">
        <x:v>L2 十神失衡候选</x:v>
      </x:c>
      <x:c r="D82" s="76" t="str">
        <x:v>BASE-十神功能</x:v>
      </x:c>
      <x:c r="E82" s="76" t="str">
        <x:v>通用</x:v>
      </x:c>
      <x:c r="F82" s="76" t="str">
        <x:v>失衡候选</x:v>
      </x:c>
      <x:c r="G82" s="76" t="str">
        <x:v>七杀</x:v>
      </x:c>
      <x:c r="H82" s="76" t="str">
        <x:v>K01 过用放大</x:v>
      </x:c>
      <x:c r="I82" s="76" t="str">
        <x:v>M3中I08／X08／CA08／BD08／CF08至少一项对应功能可靠成立；共享引擎确认七杀性质有效；未命中真合化替换；完成source_id去重。；另有过旺失衡、压力下抢先启动、重复行为或缺少调节中的至少一项独立证据。</x:v>
      </x:c>
      <x:c r="J82" s="76" t="str">
        <x:v>M3相关功能停止；真合化后原十神失效；仅有单一弱远无根信号；或现实反例明确显示该功能并不稳定出现。；旺而平衡且制化／通关有效。</x:v>
      </x:c>
      <x:c r="K82" s="76" t="str">
        <x:v>由共享基础引擎提供；只修正承载与执行，不直接等同强弱人格。</x:v>
      </x:c>
      <x:c r="L82" s="76" t="str">
        <x:v>由M2接口提供；夫妻星只参与关系议题权重，不单独生成盲点。</x:v>
      </x:c>
      <x:c r="M82" s="76" t="str">
        <x:v>由M3-BASE与共享引擎提供；不得把日支直接写成配偶性格。</x:v>
      </x:c>
      <x:c r="N82" s="76" t="str">
        <x:v>无／待后续规则组合</x:v>
      </x:c>
      <x:c r="O82" s="76" t="str">
        <x:v>由共享基础引擎判定</x:v>
      </x:c>
      <x:c r="P82" s="76" t="str">
        <x:v>由共享基础引擎判定</x:v>
      </x:c>
      <x:c r="Q82" s="76" t="str">
        <x:v>过旺失衡、抢先启动或现实重复证据；旺而平衡不自动成立。</x:v>
      </x:c>
      <x:c r="R82" s="76" t="str">
        <x:v>喜忌只修正调用摩擦与平衡，不直接等同好坏。</x:v>
      </x:c>
      <x:c r="S82" s="76" t="str">
        <x:v>原十神性质有效；真合化成立时按化神系统替换。</x:v>
      </x:c>
      <x:c r="T82" s="76" t="str">
        <x:v>由共享基础引擎判定</x:v>
      </x:c>
      <x:c r="U82" s="76" t="str">
        <x:v>84</x:v>
      </x:c>
      <x:c r="V82" s="76" t="str">
        <x:v>K01候选 +8</x:v>
      </x:c>
      <x:c r="W82" s="76" t="str">
        <x:v>imbalance_mechanism</x:v>
      </x:c>
      <x:c r="X82" s="76" t="str">
        <x:v>七杀的正常功能在调用强度过高或长期抢先时，可能表现为：行动速度和压力强度压过双向确认，先推进、先决定或先解决，协商与感受被延后。</x:v>
      </x:c>
      <x:c r="Y82" s="76" t="str">
        <x:v>当这项方式被过度调用时，你可能更容易：行动速度和压力强度压过双向确认，先推进、先决定或先解决，协商与感受被延后。</x:v>
      </x:c>
      <x:c r="Z82" s="76" t="str">
        <x:v>不得推出暴力、强迫、控制或危险人格；行动强度与现实伤害必须分开，并以真实安全证据为准。</x:v>
      </x:c>
      <x:c r="AA82" s="76" t="str">
        <x:v>中</x:v>
      </x:c>
      <x:c r="AB82" s="76" t="str">
        <x:v>待验证</x:v>
      </x:c>
      <x:c r="AC82" s="76" t="str"/>
      <x:c r="AD82" s="76" t="str">
        <x:v>provisional=true; ten_god=七杀; system=SYS04 官杀系统; m3_refs=I08／X08／CA08／BD08／CF08; imbalance=K01</x:v>
      </x:c>
      <x:c r="AE82" s="82" t="str">
        <x:v>0.2</x:v>
      </x:c>
    </x:row>
    <x:row r="83">
      <x:c r="A83" s="81" t="str">
        <x:v>M4-BASE-079</x:v>
      </x:c>
      <x:c r="B83" s="76" t="str">
        <x:v>七杀｜K02功能不足候选</x:v>
      </x:c>
      <x:c r="C83" s="76" t="str">
        <x:v>L2 十神失衡候选</x:v>
      </x:c>
      <x:c r="D83" s="76" t="str">
        <x:v>BASE-十神功能</x:v>
      </x:c>
      <x:c r="E83" s="76" t="str">
        <x:v>通用</x:v>
      </x:c>
      <x:c r="F83" s="76" t="str">
        <x:v>失衡候选</x:v>
      </x:c>
      <x:c r="G83" s="76" t="str">
        <x:v>七杀</x:v>
      </x:c>
      <x:c r="H83" s="76" t="str">
        <x:v>K02 功能不足</x:v>
      </x:c>
      <x:c r="I83" s="76" t="str">
        <x:v>M3或关系路径显示七杀对应功能为必要环节；该功能偏弱无助、受阻或长期缺少现实出口；无可靠替代通道。</x:v>
      </x:c>
      <x:c r="J83" s="76" t="str">
        <x:v>该功能弱而有助；存在有效替代通道；现实行为显示此功能稳定可用。</x:v>
      </x:c>
      <x:c r="K83" s="76" t="str">
        <x:v>由共享基础引擎提供；只修正承载与执行，不直接等同强弱人格。</x:v>
      </x:c>
      <x:c r="L83" s="76" t="str">
        <x:v>由M2接口提供；夫妻星只参与关系议题权重，不单独生成盲点。</x:v>
      </x:c>
      <x:c r="M83" s="76" t="str">
        <x:v>由M3-BASE与共享引擎提供；不得把日支直接写成配偶性格。</x:v>
      </x:c>
      <x:c r="N83" s="76" t="str">
        <x:v>无／待后续规则组合</x:v>
      </x:c>
      <x:c r="O83" s="76" t="str">
        <x:v>由共享基础引擎判定</x:v>
      </x:c>
      <x:c r="P83" s="76" t="str">
        <x:v>由共享基础引擎判定</x:v>
      </x:c>
      <x:c r="Q83" s="76" t="str">
        <x:v>偏弱无助／转换受阻／现实缺位</x:v>
      </x:c>
      <x:c r="R83" s="76" t="str">
        <x:v>喜忌只修正调用摩擦与平衡，不直接等同好坏。</x:v>
      </x:c>
      <x:c r="S83" s="76" t="str">
        <x:v>原十神性质有效；真合化成立时按化神系统替换。</x:v>
      </x:c>
      <x:c r="T83" s="76" t="str">
        <x:v>由共享基础引擎判定</x:v>
      </x:c>
      <x:c r="U83" s="76" t="str">
        <x:v>83</x:v>
      </x:c>
      <x:c r="V83" s="76" t="str">
        <x:v>K02候选 +8</x:v>
      </x:c>
      <x:c r="W83" s="76" t="str">
        <x:v>missing_function</x:v>
      </x:c>
      <x:c r="X83" s="76" t="str">
        <x:v>当七杀功能是关系路径的必要环节却缺少稳定出口时，可能出现：关键时刻缺少决断、行动或止损，问题被反复讨论却迟迟没有进入处理。</x:v>
      </x:c>
      <x:c r="Y83" s="76" t="str">
        <x:v>另一项需要继续确认的功能是：关键时刻缺少决断、行动或止损，问题被反复讨论却迟迟没有进入处理。</x:v>
      </x:c>
      <x:c r="Z83" s="76" t="str">
        <x:v>不得推出暴力、强迫、控制或危险人格；行动强度与现实伤害必须分开，并以真实安全证据为准。</x:v>
      </x:c>
      <x:c r="AA83" s="76" t="str">
        <x:v>中</x:v>
      </x:c>
      <x:c r="AB83" s="76" t="str">
        <x:v>待验证</x:v>
      </x:c>
      <x:c r="AC83" s="76" t="str"/>
      <x:c r="AD83" s="76" t="str">
        <x:v>provisional=true; ten_god=七杀; system=SYS04 官杀系统; m3_refs=I08／X08／CA08／BD08／CF08; imbalance=K02</x:v>
      </x:c>
      <x:c r="AE83" s="82" t="str">
        <x:v>0.2</x:v>
      </x:c>
    </x:row>
    <x:row r="84">
      <x:c r="A84" s="81" t="str">
        <x:v>M4-BASE-080</x:v>
      </x:c>
      <x:c r="B84" s="76" t="str">
        <x:v>七杀｜K03单通道替代候选</x:v>
      </x:c>
      <x:c r="C84" s="76" t="str">
        <x:v>L2 十神失衡候选</x:v>
      </x:c>
      <x:c r="D84" s="76" t="str">
        <x:v>BASE-十神功能</x:v>
      </x:c>
      <x:c r="E84" s="76" t="str">
        <x:v>通用</x:v>
      </x:c>
      <x:c r="F84" s="76" t="str">
        <x:v>组合候选</x:v>
      </x:c>
      <x:c r="G84" s="76" t="str">
        <x:v>七杀</x:v>
      </x:c>
      <x:c r="H84" s="76" t="str">
        <x:v>K03 单通道替代</x:v>
      </x:c>
      <x:c r="I84" s="76" t="str">
        <x:v>M3中I08／X08／CA08／BD08／CF08至少一项对应功能可靠成立；共享引擎确认七杀性质有效；未命中真合化替换；完成source_id去重。；当前关系任务还需要另一系统功能，但该功能不足、延后或被七杀通道替代。</x:v>
      </x:c>
      <x:c r="J84" s="76" t="str">
        <x:v>另一功能已经有效进入并形成分工；仅为同一功能的不同表述。</x:v>
      </x:c>
      <x:c r="K84" s="76" t="str">
        <x:v>由共享基础引擎提供；只修正承载与执行，不直接等同强弱人格。</x:v>
      </x:c>
      <x:c r="L84" s="76" t="str">
        <x:v>由M2接口提供；夫妻星只参与关系议题权重，不单独生成盲点。</x:v>
      </x:c>
      <x:c r="M84" s="76" t="str">
        <x:v>由M3-BASE与共享引擎提供；不得把日支直接写成配偶性格。</x:v>
      </x:c>
      <x:c r="N84" s="76" t="str">
        <x:v>七杀功能替代另一必要功能；需由后续OVERUSE确认</x:v>
      </x:c>
      <x:c r="O84" s="76" t="str">
        <x:v>由共享基础引擎判定</x:v>
      </x:c>
      <x:c r="P84" s="76" t="str">
        <x:v>由共享基础引擎判定</x:v>
      </x:c>
      <x:c r="Q84" s="76" t="str">
        <x:v>由共享基础引擎判定</x:v>
      </x:c>
      <x:c r="R84" s="76" t="str">
        <x:v>喜忌只修正调用摩擦与平衡，不直接等同好坏。</x:v>
      </x:c>
      <x:c r="S84" s="76" t="str">
        <x:v>原十神性质有效；真合化成立时按化神系统替换。</x:v>
      </x:c>
      <x:c r="T84" s="76" t="str">
        <x:v>由共享基础引擎判定</x:v>
      </x:c>
      <x:c r="U84" s="76" t="str">
        <x:v>82</x:v>
      </x:c>
      <x:c r="V84" s="76" t="str">
        <x:v>K03候选 +6</x:v>
      </x:c>
      <x:c r="W84" s="76" t="str">
        <x:v>imbalance_mechanism</x:v>
      </x:c>
      <x:c r="X84" s="76" t="str">
        <x:v>用解决事情、保护或推动结果替代情绪处理、共同决定和后续修复。</x:v>
      </x:c>
      <x:c r="Y84" s="76" t="str">
        <x:v>需要留意的是，是否会出现：用解决事情、保护或推动结果替代情绪处理、共同决定和后续修复。</x:v>
      </x:c>
      <x:c r="Z84" s="76" t="str">
        <x:v>不得推出暴力、强迫、控制或危险人格；行动强度与现实伤害必须分开，并以真实安全证据为准。</x:v>
      </x:c>
      <x:c r="AA84" s="76" t="str">
        <x:v>中</x:v>
      </x:c>
      <x:c r="AB84" s="76" t="str">
        <x:v>待验证</x:v>
      </x:c>
      <x:c r="AC84" s="76" t="str"/>
      <x:c r="AD84" s="76" t="str">
        <x:v>provisional=true; ten_god=七杀; system=SYS04 官杀系统; m3_refs=I08／X08／CA08／BD08／CF08; imbalance=K03</x:v>
      </x:c>
      <x:c r="AE84" s="82" t="str">
        <x:v>0.2</x:v>
      </x:c>
    </x:row>
    <x:row r="85">
      <x:c r="A85" s="81" t="str">
        <x:v>M4-BASE-081</x:v>
      </x:c>
      <x:c r="B85" s="76" t="str">
        <x:v>七杀｜K04处理顺序错位候选</x:v>
      </x:c>
      <x:c r="C85" s="76" t="str">
        <x:v>L2 十神失衡候选</x:v>
      </x:c>
      <x:c r="D85" s="76" t="str">
        <x:v>BASE-十神功能</x:v>
      </x:c>
      <x:c r="E85" s="76" t="str">
        <x:v>通用</x:v>
      </x:c>
      <x:c r="F85" s="76" t="str">
        <x:v>路径候选</x:v>
      </x:c>
      <x:c r="G85" s="76" t="str">
        <x:v>七杀</x:v>
      </x:c>
      <x:c r="H85" s="76" t="str">
        <x:v>K04 处理顺序错位</x:v>
      </x:c>
      <x:c r="I85" s="76" t="str">
        <x:v>M3中I08／X08／CA08／BD08／CF08至少一项对应功能可靠成立；共享引擎确认七杀性质有效；未命中真合化替换；完成source_id去重。；至少另一项功能真实存在，但在对应情境中进入过晚；有M3-FLOW或现实顺序证据。</x:v>
      </x:c>
      <x:c r="J85" s="76" t="str">
        <x:v>只有静态五行生克而无现实／M3顺序证据；另一功能并非该情境必要。</x:v>
      </x:c>
      <x:c r="K85" s="76" t="str">
        <x:v>由共享基础引擎提供；只修正承载与执行，不直接等同强弱人格。</x:v>
      </x:c>
      <x:c r="L85" s="76" t="str">
        <x:v>由M2接口提供；夫妻星只参与关系议题权重，不单独生成盲点。</x:v>
      </x:c>
      <x:c r="M85" s="76" t="str">
        <x:v>由M3-BASE与共享引擎提供；不得把日支直接写成配偶性格。</x:v>
      </x:c>
      <x:c r="N85" s="76" t="str">
        <x:v>在信息、授权和情绪尚未充分进入时先行动；事情结束后未回到沟通。</x:v>
      </x:c>
      <x:c r="O85" s="76" t="str">
        <x:v>由共享基础引擎判定</x:v>
      </x:c>
      <x:c r="P85" s="76" t="str">
        <x:v>由共享基础引擎判定</x:v>
      </x:c>
      <x:c r="Q85" s="76" t="str">
        <x:v>由共享基础引擎判定</x:v>
      </x:c>
      <x:c r="R85" s="76" t="str">
        <x:v>喜忌只修正调用摩擦与平衡，不直接等同好坏。</x:v>
      </x:c>
      <x:c r="S85" s="76" t="str">
        <x:v>原十神性质有效；真合化成立时按化神系统替换。</x:v>
      </x:c>
      <x:c r="T85" s="76" t="str">
        <x:v>由共享基础引擎判定</x:v>
      </x:c>
      <x:c r="U85" s="76" t="str">
        <x:v>81</x:v>
      </x:c>
      <x:c r="V85" s="76" t="str">
        <x:v>K04候选 +6</x:v>
      </x:c>
      <x:c r="W85" s="76" t="str">
        <x:v>flow_path</x:v>
      </x:c>
      <x:c r="X85" s="76" t="str">
        <x:v>在信息、授权和情绪尚未充分进入时先行动；事情结束后未回到沟通。</x:v>
      </x:c>
      <x:c r="Y85" s="76" t="str">
        <x:v>在处理顺序上，可能需要观察：在信息、授权和情绪尚未充分进入时先行动；事情结束后未回到沟通。</x:v>
      </x:c>
      <x:c r="Z85" s="76" t="str">
        <x:v>不得推出暴力、强迫、控制或危险人格；行动强度与现实伤害必须分开，并以真实安全证据为准。</x:v>
      </x:c>
      <x:c r="AA85" s="76" t="str">
        <x:v>中低</x:v>
      </x:c>
      <x:c r="AB85" s="76" t="str">
        <x:v>待验证</x:v>
      </x:c>
      <x:c r="AC85" s="76" t="str"/>
      <x:c r="AD85" s="76" t="str">
        <x:v>provisional=true; ten_god=七杀; system=SYS04 官杀系统; m3_refs=I08／X08／CA08／BD08／CF08; imbalance=K04</x:v>
      </x:c>
      <x:c r="AE85" s="82" t="str">
        <x:v>0.2</x:v>
      </x:c>
    </x:row>
    <x:row r="86">
      <x:c r="A86" s="81" t="str">
        <x:v>M4-BASE-082</x:v>
      </x:c>
      <x:c r="B86" s="76" t="str">
        <x:v>七杀｜调节与保护因子候选</x:v>
      </x:c>
      <x:c r="C86" s="76" t="str">
        <x:v>L3 五系统与流向</x:v>
      </x:c>
      <x:c r="D86" s="76" t="str">
        <x:v>BASE-十神功能</x:v>
      </x:c>
      <x:c r="E86" s="76" t="str">
        <x:v>通用</x:v>
      </x:c>
      <x:c r="F86" s="76" t="str">
        <x:v>保护候选</x:v>
      </x:c>
      <x:c r="G86" s="76" t="str">
        <x:v>七杀</x:v>
      </x:c>
      <x:c r="H86" s="76" t="str">
        <x:v>BF调节功能</x:v>
      </x:c>
      <x:c r="I86" s="76" t="str">
        <x:v>食伤补充协商和反馈；比劫保留双方决定权；印星承接感受并恢复安全。；且调节信号有效、有根、位置可进入关系核心或现实行为已有支持。</x:v>
      </x:c>
      <x:c r="J86" s="76" t="str">
        <x:v>调节信号仅结构存在但弱远无根；真合化后已失效；现实中未形成可调用行为。</x:v>
      </x:c>
      <x:c r="K86" s="76" t="str">
        <x:v>由共享基础引擎提供；只修正承载与执行，不直接等同强弱人格。</x:v>
      </x:c>
      <x:c r="L86" s="76" t="str">
        <x:v>由M2接口提供；夫妻星只参与关系议题权重，不单独生成盲点。</x:v>
      </x:c>
      <x:c r="M86" s="76" t="str">
        <x:v>由M3-BASE与共享引擎提供；不得把日支直接写成配偶性格。</x:v>
      </x:c>
      <x:c r="N86" s="76" t="str">
        <x:v>食伤补充协商和反馈；比劫保留双方决定权；印星承接感受并恢复安全。</x:v>
      </x:c>
      <x:c r="O86" s="76" t="str">
        <x:v>由共享基础引擎判定</x:v>
      </x:c>
      <x:c r="P86" s="76" t="str">
        <x:v>由共享基础引擎判定</x:v>
      </x:c>
      <x:c r="Q86" s="76" t="str">
        <x:v>由共享基础引擎判定</x:v>
      </x:c>
      <x:c r="R86" s="76" t="str">
        <x:v>喜忌只修正调用摩擦与平衡，不直接等同好坏。</x:v>
      </x:c>
      <x:c r="S86" s="76" t="str">
        <x:v>原十神性质有效；真合化成立时按化神系统替换。</x:v>
      </x:c>
      <x:c r="T86" s="76" t="str">
        <x:v>由共享基础引擎判定</x:v>
      </x:c>
      <x:c r="U86" s="76" t="str">
        <x:v>78</x:v>
      </x:c>
      <x:c r="V86" s="76" t="str">
        <x:v>有效buffer −6至−10</x:v>
      </x:c>
      <x:c r="W86" s="76" t="str">
        <x:v>buffer_factor</x:v>
      </x:c>
      <x:c r="X86" s="76" t="str">
        <x:v>七杀失衡候选可由以下功能限制、补足或转换：食伤补充协商和反馈；比劫保留双方决定权；印星承接感受并恢复安全。</x:v>
      </x:c>
      <x:c r="Y86" s="76" t="str">
        <x:v>使这一候选减弱的条件包括：食伤补充协商和反馈；比劫保留双方决定权；印星承接感受并恢复安全。</x:v>
      </x:c>
      <x:c r="Z86" s="76" t="str">
        <x:v>保护因子存在不等于风险完全消失；不得把喜神或制化结构直接写成现实中一定成熟、一定会自我调节。</x:v>
      </x:c>
      <x:c r="AA86" s="76" t="str">
        <x:v>中</x:v>
      </x:c>
      <x:c r="AB86" s="76" t="str">
        <x:v>待验证</x:v>
      </x:c>
      <x:c r="AC86" s="76" t="str"/>
      <x:c r="AD86" s="76" t="str">
        <x:v>provisional=true; ten_god=七杀; system=SYS04 官杀系统; m3_refs=I08／X08／CA08／BD08／CF08; subtype=buffer</x:v>
      </x:c>
      <x:c r="AE86" s="82" t="str">
        <x:v>0.2</x:v>
      </x:c>
    </x:row>
    <x:row r="87">
      <x:c r="A87" s="81" t="str">
        <x:v>M4-BASE-083</x:v>
      </x:c>
      <x:c r="B87" s="76" t="str">
        <x:v>七杀｜盲点主题路由候选</x:v>
      </x:c>
      <x:c r="C87" s="76" t="str">
        <x:v>L2 十神失衡候选</x:v>
      </x:c>
      <x:c r="D87" s="76" t="str">
        <x:v>BASE-十神功能</x:v>
      </x:c>
      <x:c r="E87" s="76" t="str">
        <x:v>通用</x:v>
      </x:c>
      <x:c r="F87" s="76" t="str">
        <x:v>路由</x:v>
      </x:c>
      <x:c r="G87" s="76" t="str">
        <x:v>七杀</x:v>
      </x:c>
      <x:c r="H87" s="76" t="str">
        <x:v>B06 解决问题替代情绪处理；B08 责任行动越过协商边界候选。</x:v>
      </x:c>
      <x:c r="I87" s="76" t="str">
        <x:v>对应正常功能已成立；至少一个K01—K06机制候选通过门控；完成独立证据与保护因子检查。</x:v>
      </x:c>
      <x:c r="J87" s="76" t="str">
        <x:v>仅有十神标签；机制不明；保护因素足以中断；现实反例明显。</x:v>
      </x:c>
      <x:c r="K87" s="76" t="str">
        <x:v>由共享基础引擎提供；只修正承载与执行，不直接等同强弱人格。</x:v>
      </x:c>
      <x:c r="L87" s="76" t="str">
        <x:v>由M2接口提供；夫妻星只参与关系议题权重，不单独生成盲点。</x:v>
      </x:c>
      <x:c r="M87" s="76" t="str">
        <x:v>由M3-BASE与共享引擎提供；不得把日支直接写成配偶性格。</x:v>
      </x:c>
      <x:c r="N87" s="76" t="str">
        <x:v>无／待后续规则组合</x:v>
      </x:c>
      <x:c r="O87" s="76" t="str">
        <x:v>由共享基础引擎判定</x:v>
      </x:c>
      <x:c r="P87" s="76" t="str">
        <x:v>由共享基础引擎判定</x:v>
      </x:c>
      <x:c r="Q87" s="76" t="str">
        <x:v>由共享基础引擎判定</x:v>
      </x:c>
      <x:c r="R87" s="76" t="str">
        <x:v>喜忌只修正调用摩擦与平衡，不直接等同好坏。</x:v>
      </x:c>
      <x:c r="S87" s="76" t="str">
        <x:v>原十神性质有效；真合化成立时按化神系统替换。</x:v>
      </x:c>
      <x:c r="T87" s="76" t="str">
        <x:v>由共享基础引擎判定</x:v>
      </x:c>
      <x:c r="U87" s="76" t="str">
        <x:v>76</x:v>
      </x:c>
      <x:c r="V87" s="76" t="str">
        <x:v>路由至后续MISREAD／OVERUSE，不在BASE定案</x:v>
      </x:c>
      <x:c r="W87" s="76" t="str">
        <x:v>blind_spot_candidate</x:v>
      </x:c>
      <x:c r="X87" s="76" t="str">
        <x:v>七杀在BASE阶段可路由至：B06 解决问题替代情绪处理；B08 责任行动越过协商边界候选。，但最终盲点主题由后续模块裁定。</x:v>
      </x:c>
      <x:c r="Y87" s="76" t="str">
        <x:v>当前可保留的盲点方向是：B06 解决问题替代情绪处理；B08 责任行动越过协商边界候选。；它仍需结合触发情境和真实互动验证。</x:v>
      </x:c>
      <x:c r="Z87" s="76" t="str">
        <x:v>不得推出暴力、强迫、控制或危险人格；行动强度与现实伤害必须分开，并以真实安全证据为准。</x:v>
      </x:c>
      <x:c r="AA87" s="76" t="str">
        <x:v>中低</x:v>
      </x:c>
      <x:c r="AB87" s="76" t="str">
        <x:v>待验证</x:v>
      </x:c>
      <x:c r="AC87" s="76" t="str"/>
      <x:c r="AD87" s="76" t="str">
        <x:v>provisional=true; ten_god=七杀; system=SYS04 官杀系统; m3_refs=I08／X08／CA08／BD08／CF08; route_only=true</x:v>
      </x:c>
      <x:c r="AE87" s="82" t="str">
        <x:v>0.2</x:v>
      </x:c>
    </x:row>
    <x:row r="88">
      <x:c r="A88" s="81" t="str">
        <x:v>M4-BASE-084</x:v>
      </x:c>
      <x:c r="B88" s="76" t="str">
        <x:v>七杀｜用户解释摘要</x:v>
      </x:c>
      <x:c r="C88" s="76" t="str">
        <x:v>L8 输出与停止</x:v>
      </x:c>
      <x:c r="D88" s="76" t="str">
        <x:v>BASE-十神功能</x:v>
      </x:c>
      <x:c r="E88" s="76" t="str">
        <x:v>通用</x:v>
      </x:c>
      <x:c r="F88" s="76" t="str">
        <x:v>输出</x:v>
      </x:c>
      <x:c r="G88" s="76" t="str">
        <x:v>七杀</x:v>
      </x:c>
      <x:c r="H88" s="76" t="str">
        <x:v>B06 解决问题替代情绪处理；B08 责任行动越过协商边界候选。</x:v>
      </x:c>
      <x:c r="I88" s="76" t="str">
        <x:v>七杀功能进入最终或暂定BASE输出；至少E1成立。</x:v>
      </x:c>
      <x:c r="J88" s="76" t="str">
        <x:v>该候选被停止、真合化替换或保护因素足以降至E0。</x:v>
      </x:c>
      <x:c r="K88" s="76" t="str">
        <x:v>由共享基础引擎提供；只修正承载与执行，不直接等同强弱人格。</x:v>
      </x:c>
      <x:c r="L88" s="76" t="str">
        <x:v>由M2接口提供；夫妻星只参与关系议题权重，不单独生成盲点。</x:v>
      </x:c>
      <x:c r="M88" s="76" t="str">
        <x:v>由M3-BASE与共享引擎提供；不得把日支直接写成配偶性格。</x:v>
      </x:c>
      <x:c r="N88" s="76" t="str">
        <x:v>无／待后续规则组合</x:v>
      </x:c>
      <x:c r="O88" s="76" t="str">
        <x:v>由共享基础引擎判定</x:v>
      </x:c>
      <x:c r="P88" s="76" t="str">
        <x:v>由共享基础引擎判定</x:v>
      </x:c>
      <x:c r="Q88" s="76" t="str">
        <x:v>由共享基础引擎判定</x:v>
      </x:c>
      <x:c r="R88" s="76" t="str">
        <x:v>喜忌只修正调用摩擦与平衡，不直接等同好坏。</x:v>
      </x:c>
      <x:c r="S88" s="76" t="str">
        <x:v>原十神性质有效；真合化成立时按化神系统替换。</x:v>
      </x:c>
      <x:c r="T88" s="76" t="str">
        <x:v>由共享基础引擎判定</x:v>
      </x:c>
      <x:c r="U88" s="76" t="str">
        <x:v>68</x:v>
      </x:c>
      <x:c r="V88" s="76" t="str">
        <x:v>不加分；摘要</x:v>
      </x:c>
      <x:c r="W88" s="76" t="str">
        <x:v>basis_summary</x:v>
      </x:c>
      <x:c r="X88" s="76" t="str">
        <x:v>用“正常功能—需要留意—保护条件”的顺序输出七杀BASE结论。</x:v>
      </x:c>
      <x:c r="Y88" s="76" t="str">
        <x:v>你原本能够在关键时刻快速行动、处理问题和承担压力。需要留意的是，行动有效不等于所有人都已被纳入决定；事情处理完以后，协商、感受和修复是否也会回来。</x:v>
      </x:c>
      <x:c r="Z88" s="76" t="str">
        <x:v>不得推出暴力、强迫、控制或危险人格；行动强度与现实伤害必须分开，并以真实安全证据为准。</x:v>
      </x:c>
      <x:c r="AA88" s="76" t="str">
        <x:v>中</x:v>
      </x:c>
      <x:c r="AB88" s="76" t="str">
        <x:v>待验证</x:v>
      </x:c>
      <x:c r="AC88" s="76" t="str"/>
      <x:c r="AD88" s="76" t="str">
        <x:v>provisional=true; ten_god=七杀; system=SYS04 官杀系统; m3_refs=I08／X08／CA08／BD08／CF08; summary_only=true</x:v>
      </x:c>
      <x:c r="AE88" s="82" t="str">
        <x:v>0.2</x:v>
      </x:c>
    </x:row>
    <x:row r="89">
      <x:c r="A89" s="81" t="str">
        <x:v>M4-BASE-085</x:v>
      </x:c>
      <x:c r="B89" s="76" t="str">
        <x:v>正印｜正常关系功能来源</x:v>
      </x:c>
      <x:c r="C89" s="76" t="str">
        <x:v>L1 正常功能来源</x:v>
      </x:c>
      <x:c r="D89" s="76" t="str">
        <x:v>BASE-十神功能</x:v>
      </x:c>
      <x:c r="E89" s="76" t="str">
        <x:v>通用</x:v>
      </x:c>
      <x:c r="F89" s="76" t="str">
        <x:v>基础</x:v>
      </x:c>
      <x:c r="G89" s="76" t="str">
        <x:v>正印</x:v>
      </x:c>
      <x:c r="H89" s="76" t="str">
        <x:v>I09／X09／CA09／BD09／CF09</x:v>
      </x:c>
      <x:c r="I89" s="76" t="str">
        <x:v>M3中I09／X09／CA09／BD09／CF09至少一项对应功能可靠成立；共享引擎确认正印性质有效；未命中真合化替换；完成source_id去重。</x:v>
      </x:c>
      <x:c r="J89" s="76" t="str">
        <x:v>M3相关功能停止；真合化后原十神失效；仅有单一弱远无根信号；或现实反例明确显示该功能并不稳定出现。</x:v>
      </x:c>
      <x:c r="K89" s="76" t="str">
        <x:v>由共享基础引擎提供；只修正承载与执行，不直接等同强弱人格。</x:v>
      </x:c>
      <x:c r="L89" s="76" t="str">
        <x:v>由M2接口提供；夫妻星只参与关系议题权重，不单独生成盲点。</x:v>
      </x:c>
      <x:c r="M89" s="76" t="str">
        <x:v>由M3-BASE与共享引擎提供；不得把日支直接写成配偶性格。</x:v>
      </x:c>
      <x:c r="N89" s="76" t="str">
        <x:v>无／待后续规则组合</x:v>
      </x:c>
      <x:c r="O89" s="76" t="str">
        <x:v>由共享基础引擎判定</x:v>
      </x:c>
      <x:c r="P89" s="76" t="str">
        <x:v>由共享基础引擎判定</x:v>
      </x:c>
      <x:c r="Q89" s="76" t="str">
        <x:v>由共享基础引擎判定</x:v>
      </x:c>
      <x:c r="R89" s="76" t="str">
        <x:v>喜忌只修正调用摩擦与平衡，不直接等同好坏。</x:v>
      </x:c>
      <x:c r="S89" s="76" t="str">
        <x:v>原十神性质有效；真合化成立时按化神系统替换。</x:v>
      </x:c>
      <x:c r="T89" s="76" t="str">
        <x:v>由共享基础引擎判定</x:v>
      </x:c>
      <x:c r="U89" s="76" t="str">
        <x:v>90</x:v>
      </x:c>
      <x:c r="V89" s="76" t="str">
        <x:v>functional_origin +12（同源只计一次）</x:v>
      </x:c>
      <x:c r="W89" s="76" t="str">
        <x:v>functional_origin</x:v>
      </x:c>
      <x:c r="X89" s="76" t="str">
        <x:v>正印在M4中的起点不是负面标签，而是：理解、倾听、承接、恢复安全、接受支持和稳定内化经验。</x:v>
      </x:c>
      <x:c r="Y89" s="76" t="str">
        <x:v>这项反应原本的功能是：理解、倾听、承接、恢复安全、接受支持和稳定内化经验。</x:v>
      </x:c>
      <x:c r="Z89" s="76" t="str">
        <x:v>不得推出依赖、妈宝、没有主见或一定过度照顾；是否延后边界和改变需现实事件验证。</x:v>
      </x:c>
      <x:c r="AA89" s="76" t="str">
        <x:v>中高</x:v>
      </x:c>
      <x:c r="AB89" s="76" t="str">
        <x:v>待验证</x:v>
      </x:c>
      <x:c r="AC89" s="76" t="str"/>
      <x:c r="AD89" s="76" t="str">
        <x:v>provisional=true; ten_god=正印; system=SYS05 印星系统; m3_refs=I09／X09／CA09／BD09／CF09; subtype=normal</x:v>
      </x:c>
      <x:c r="AE89" s="82" t="str">
        <x:v>0.2</x:v>
      </x:c>
    </x:row>
    <x:row r="90">
      <x:c r="A90" s="81" t="str">
        <x:v>M4-BASE-086</x:v>
      </x:c>
      <x:c r="B90" s="76" t="str">
        <x:v>正印｜K01过用放大候选</x:v>
      </x:c>
      <x:c r="C90" s="76" t="str">
        <x:v>L2 十神失衡候选</x:v>
      </x:c>
      <x:c r="D90" s="76" t="str">
        <x:v>BASE-十神功能</x:v>
      </x:c>
      <x:c r="E90" s="76" t="str">
        <x:v>通用</x:v>
      </x:c>
      <x:c r="F90" s="76" t="str">
        <x:v>失衡候选</x:v>
      </x:c>
      <x:c r="G90" s="76" t="str">
        <x:v>正印</x:v>
      </x:c>
      <x:c r="H90" s="76" t="str">
        <x:v>K01 过用放大</x:v>
      </x:c>
      <x:c r="I90" s="76" t="str">
        <x:v>M3中I09／X09／CA09／BD09／CF09至少一项对应功能可靠成立；共享引擎确认正印性质有效；未命中真合化替换；完成source_id去重。；另有过旺失衡、压力下抢先启动、重复行为或缺少调节中的至少一项独立证据。</x:v>
      </x:c>
      <x:c r="J90" s="76" t="str">
        <x:v>M3相关功能停止；真合化后原十神失效；仅有单一弱远无根信号；或现实反例明确显示该功能并不稳定出现。；旺而平衡且制化／通关有效。</x:v>
      </x:c>
      <x:c r="K90" s="76" t="str">
        <x:v>由共享基础引擎提供；只修正承载与执行，不直接等同强弱人格。</x:v>
      </x:c>
      <x:c r="L90" s="76" t="str">
        <x:v>由M2接口提供；夫妻星只参与关系议题权重，不单独生成盲点。</x:v>
      </x:c>
      <x:c r="M90" s="76" t="str">
        <x:v>由M3-BASE与共享引擎提供；不得把日支直接写成配偶性格。</x:v>
      </x:c>
      <x:c r="N90" s="76" t="str">
        <x:v>无／待后续规则组合</x:v>
      </x:c>
      <x:c r="O90" s="76" t="str">
        <x:v>由共享基础引擎判定</x:v>
      </x:c>
      <x:c r="P90" s="76" t="str">
        <x:v>由共享基础引擎判定</x:v>
      </x:c>
      <x:c r="Q90" s="76" t="str">
        <x:v>过旺失衡、抢先启动或现实重复证据；旺而平衡不自动成立。</x:v>
      </x:c>
      <x:c r="R90" s="76" t="str">
        <x:v>喜忌只修正调用摩擦与平衡，不直接等同好坏。</x:v>
      </x:c>
      <x:c r="S90" s="76" t="str">
        <x:v>原十神性质有效；真合化成立时按化神系统替换。</x:v>
      </x:c>
      <x:c r="T90" s="76" t="str">
        <x:v>由共享基础引擎判定</x:v>
      </x:c>
      <x:c r="U90" s="76" t="str">
        <x:v>84</x:v>
      </x:c>
      <x:c r="V90" s="76" t="str">
        <x:v>K01候选 +8</x:v>
      </x:c>
      <x:c r="W90" s="76" t="str">
        <x:v>imbalance_mechanism</x:v>
      </x:c>
      <x:c r="X90" s="76" t="str">
        <x:v>正印的正常功能在调用强度过高或长期抢先时，可能表现为：理解了对方的原因，就降低对现实改变、责任或边界的要求；或长期承接而延后自身需要。</x:v>
      </x:c>
      <x:c r="Y90" s="76" t="str">
        <x:v>当这项方式被过度调用时，你可能更容易：理解了对方的原因，就降低对现实改变、责任或边界的要求；或长期承接而延后自身需要。</x:v>
      </x:c>
      <x:c r="Z90" s="76" t="str">
        <x:v>不得推出依赖、妈宝、没有主见或一定过度照顾；是否延后边界和改变需现实事件验证。</x:v>
      </x:c>
      <x:c r="AA90" s="76" t="str">
        <x:v>中</x:v>
      </x:c>
      <x:c r="AB90" s="76" t="str">
        <x:v>待验证</x:v>
      </x:c>
      <x:c r="AC90" s="76" t="str"/>
      <x:c r="AD90" s="76" t="str">
        <x:v>provisional=true; ten_god=正印; system=SYS05 印星系统; m3_refs=I09／X09／CA09／BD09／CF09; imbalance=K01</x:v>
      </x:c>
      <x:c r="AE90" s="82" t="str">
        <x:v>0.2</x:v>
      </x:c>
    </x:row>
    <x:row r="91">
      <x:c r="A91" s="81" t="str">
        <x:v>M4-BASE-087</x:v>
      </x:c>
      <x:c r="B91" s="76" t="str">
        <x:v>正印｜K02功能不足候选</x:v>
      </x:c>
      <x:c r="C91" s="76" t="str">
        <x:v>L2 十神失衡候选</x:v>
      </x:c>
      <x:c r="D91" s="76" t="str">
        <x:v>BASE-十神功能</x:v>
      </x:c>
      <x:c r="E91" s="76" t="str">
        <x:v>通用</x:v>
      </x:c>
      <x:c r="F91" s="76" t="str">
        <x:v>失衡候选</x:v>
      </x:c>
      <x:c r="G91" s="76" t="str">
        <x:v>正印</x:v>
      </x:c>
      <x:c r="H91" s="76" t="str">
        <x:v>K02 功能不足</x:v>
      </x:c>
      <x:c r="I91" s="76" t="str">
        <x:v>M3或关系路径显示正印对应功能为必要环节；该功能偏弱无助、受阻或长期缺少现实出口；无可靠替代通道。</x:v>
      </x:c>
      <x:c r="J91" s="76" t="str">
        <x:v>该功能弱而有助；存在有效替代通道；现实行为显示此功能稳定可用。</x:v>
      </x:c>
      <x:c r="K91" s="76" t="str">
        <x:v>由共享基础引擎提供；只修正承载与执行，不直接等同强弱人格。</x:v>
      </x:c>
      <x:c r="L91" s="76" t="str">
        <x:v>由M2接口提供；夫妻星只参与关系议题权重，不单独生成盲点。</x:v>
      </x:c>
      <x:c r="M91" s="76" t="str">
        <x:v>由M3-BASE与共享引擎提供；不得把日支直接写成配偶性格。</x:v>
      </x:c>
      <x:c r="N91" s="76" t="str">
        <x:v>无／待后续规则组合</x:v>
      </x:c>
      <x:c r="O91" s="76" t="str">
        <x:v>由共享基础引擎判定</x:v>
      </x:c>
      <x:c r="P91" s="76" t="str">
        <x:v>由共享基础引擎判定</x:v>
      </x:c>
      <x:c r="Q91" s="76" t="str">
        <x:v>偏弱无助／转换受阻／现实缺位</x:v>
      </x:c>
      <x:c r="R91" s="76" t="str">
        <x:v>喜忌只修正调用摩擦与平衡，不直接等同好坏。</x:v>
      </x:c>
      <x:c r="S91" s="76" t="str">
        <x:v>原十神性质有效；真合化成立时按化神系统替换。</x:v>
      </x:c>
      <x:c r="T91" s="76" t="str">
        <x:v>由共享基础引擎判定</x:v>
      </x:c>
      <x:c r="U91" s="76" t="str">
        <x:v>83</x:v>
      </x:c>
      <x:c r="V91" s="76" t="str">
        <x:v>K02候选 +8</x:v>
      </x:c>
      <x:c r="W91" s="76" t="str">
        <x:v>missing_function</x:v>
      </x:c>
      <x:c r="X91" s="76" t="str">
        <x:v>当正印功能是关系路径的必要环节却缺少稳定出口时，可能出现：难以接受帮助、恢复安全或在问题处理后重新开放，情绪尚未整理就进入表达和行动。</x:v>
      </x:c>
      <x:c r="Y91" s="76" t="str">
        <x:v>另一项需要继续确认的功能是：难以接受帮助、恢复安全或在问题处理后重新开放，情绪尚未整理就进入表达和行动。</x:v>
      </x:c>
      <x:c r="Z91" s="76" t="str">
        <x:v>不得推出依赖、妈宝、没有主见或一定过度照顾；是否延后边界和改变需现实事件验证。</x:v>
      </x:c>
      <x:c r="AA91" s="76" t="str">
        <x:v>中</x:v>
      </x:c>
      <x:c r="AB91" s="76" t="str">
        <x:v>待验证</x:v>
      </x:c>
      <x:c r="AC91" s="76" t="str"/>
      <x:c r="AD91" s="76" t="str">
        <x:v>provisional=true; ten_god=正印; system=SYS05 印星系统; m3_refs=I09／X09／CA09／BD09／CF09; imbalance=K02</x:v>
      </x:c>
      <x:c r="AE91" s="82" t="str">
        <x:v>0.2</x:v>
      </x:c>
    </x:row>
    <x:row r="92">
      <x:c r="A92" s="81" t="str">
        <x:v>M4-BASE-088</x:v>
      </x:c>
      <x:c r="B92" s="76" t="str">
        <x:v>正印｜K03单通道替代候选</x:v>
      </x:c>
      <x:c r="C92" s="76" t="str">
        <x:v>L2 十神失衡候选</x:v>
      </x:c>
      <x:c r="D92" s="76" t="str">
        <x:v>BASE-十神功能</x:v>
      </x:c>
      <x:c r="E92" s="76" t="str">
        <x:v>通用</x:v>
      </x:c>
      <x:c r="F92" s="76" t="str">
        <x:v>组合候选</x:v>
      </x:c>
      <x:c r="G92" s="76" t="str">
        <x:v>正印</x:v>
      </x:c>
      <x:c r="H92" s="76" t="str">
        <x:v>K03 单通道替代</x:v>
      </x:c>
      <x:c r="I92" s="76" t="str">
        <x:v>M3中I09／X09／CA09／BD09／CF09至少一项对应功能可靠成立；共享引擎确认正印性质有效；未命中真合化替换；完成source_id去重。；当前关系任务还需要另一系统功能，但该功能不足、延后或被正印通道替代。</x:v>
      </x:c>
      <x:c r="J92" s="76" t="str">
        <x:v>另一功能已经有效进入并形成分工；仅为同一功能的不同表述。</x:v>
      </x:c>
      <x:c r="K92" s="76" t="str">
        <x:v>由共享基础引擎提供；只修正承载与执行，不直接等同强弱人格。</x:v>
      </x:c>
      <x:c r="L92" s="76" t="str">
        <x:v>由M2接口提供；夫妻星只参与关系议题权重，不单独生成盲点。</x:v>
      </x:c>
      <x:c r="M92" s="76" t="str">
        <x:v>由M3-BASE与共享引擎提供；不得把日支直接写成配偶性格。</x:v>
      </x:c>
      <x:c r="N92" s="76" t="str">
        <x:v>正印功能替代另一必要功能；需由后续OVERUSE确认</x:v>
      </x:c>
      <x:c r="O92" s="76" t="str">
        <x:v>由共享基础引擎判定</x:v>
      </x:c>
      <x:c r="P92" s="76" t="str">
        <x:v>由共享基础引擎判定</x:v>
      </x:c>
      <x:c r="Q92" s="76" t="str">
        <x:v>由共享基础引擎判定</x:v>
      </x:c>
      <x:c r="R92" s="76" t="str">
        <x:v>喜忌只修正调用摩擦与平衡，不直接等同好坏。</x:v>
      </x:c>
      <x:c r="S92" s="76" t="str">
        <x:v>原十神性质有效；真合化成立时按化神系统替换。</x:v>
      </x:c>
      <x:c r="T92" s="76" t="str">
        <x:v>由共享基础引擎判定</x:v>
      </x:c>
      <x:c r="U92" s="76" t="str">
        <x:v>82</x:v>
      </x:c>
      <x:c r="V92" s="76" t="str">
        <x:v>K03候选 +6</x:v>
      </x:c>
      <x:c r="W92" s="76" t="str">
        <x:v>imbalance_mechanism</x:v>
      </x:c>
      <x:c r="X92" s="76" t="str">
        <x:v>用包容、照顾和解释原因替代分工、责任、边界和行为改变。</x:v>
      </x:c>
      <x:c r="Y92" s="76" t="str">
        <x:v>需要留意的是，是否会出现：用包容、照顾和解释原因替代分工、责任、边界和行为改变。</x:v>
      </x:c>
      <x:c r="Z92" s="76" t="str">
        <x:v>不得推出依赖、妈宝、没有主见或一定过度照顾；是否延后边界和改变需现实事件验证。</x:v>
      </x:c>
      <x:c r="AA92" s="76" t="str">
        <x:v>中</x:v>
      </x:c>
      <x:c r="AB92" s="76" t="str">
        <x:v>待验证</x:v>
      </x:c>
      <x:c r="AC92" s="76" t="str"/>
      <x:c r="AD92" s="76" t="str">
        <x:v>provisional=true; ten_god=正印; system=SYS05 印星系统; m3_refs=I09／X09／CA09／BD09／CF09; imbalance=K03</x:v>
      </x:c>
      <x:c r="AE92" s="82" t="str">
        <x:v>0.2</x:v>
      </x:c>
    </x:row>
    <x:row r="93">
      <x:c r="A93" s="81" t="str">
        <x:v>M4-BASE-089</x:v>
      </x:c>
      <x:c r="B93" s="76" t="str">
        <x:v>正印｜K04处理顺序错位候选</x:v>
      </x:c>
      <x:c r="C93" s="76" t="str">
        <x:v>L2 十神失衡候选</x:v>
      </x:c>
      <x:c r="D93" s="76" t="str">
        <x:v>BASE-十神功能</x:v>
      </x:c>
      <x:c r="E93" s="76" t="str">
        <x:v>通用</x:v>
      </x:c>
      <x:c r="F93" s="76" t="str">
        <x:v>路径候选</x:v>
      </x:c>
      <x:c r="G93" s="76" t="str">
        <x:v>正印</x:v>
      </x:c>
      <x:c r="H93" s="76" t="str">
        <x:v>K04 处理顺序错位</x:v>
      </x:c>
      <x:c r="I93" s="76" t="str">
        <x:v>M3中I09／X09／CA09／BD09／CF09至少一项对应功能可靠成立；共享引擎确认正印性质有效；未命中真合化替换；完成source_id去重。；至少另一项功能真实存在，但在对应情境中进入过晚；有M3-FLOW或现实顺序证据。</x:v>
      </x:c>
      <x:c r="J93" s="76" t="str">
        <x:v>只有静态五行生克而无现实／M3顺序证据；另一功能并非该情境必要。</x:v>
      </x:c>
      <x:c r="K93" s="76" t="str">
        <x:v>由共享基础引擎提供；只修正承载与执行，不直接等同强弱人格。</x:v>
      </x:c>
      <x:c r="L93" s="76" t="str">
        <x:v>由M2接口提供；夫妻星只参与关系议题权重，不单独生成盲点。</x:v>
      </x:c>
      <x:c r="M93" s="76" t="str">
        <x:v>由M3-BASE与共享引擎提供；不得把日支直接写成配偶性格。</x:v>
      </x:c>
      <x:c r="N93" s="76" t="str">
        <x:v>反复理解和承接，却迟迟没有进入明确表达、现实落实或责任复核。</x:v>
      </x:c>
      <x:c r="O93" s="76" t="str">
        <x:v>由共享基础引擎判定</x:v>
      </x:c>
      <x:c r="P93" s="76" t="str">
        <x:v>由共享基础引擎判定</x:v>
      </x:c>
      <x:c r="Q93" s="76" t="str">
        <x:v>由共享基础引擎判定</x:v>
      </x:c>
      <x:c r="R93" s="76" t="str">
        <x:v>喜忌只修正调用摩擦与平衡，不直接等同好坏。</x:v>
      </x:c>
      <x:c r="S93" s="76" t="str">
        <x:v>原十神性质有效；真合化成立时按化神系统替换。</x:v>
      </x:c>
      <x:c r="T93" s="76" t="str">
        <x:v>由共享基础引擎判定</x:v>
      </x:c>
      <x:c r="U93" s="76" t="str">
        <x:v>81</x:v>
      </x:c>
      <x:c r="V93" s="76" t="str">
        <x:v>K04候选 +6</x:v>
      </x:c>
      <x:c r="W93" s="76" t="str">
        <x:v>flow_path</x:v>
      </x:c>
      <x:c r="X93" s="76" t="str">
        <x:v>反复理解和承接，却迟迟没有进入明确表达、现实落实或责任复核。</x:v>
      </x:c>
      <x:c r="Y93" s="76" t="str">
        <x:v>在处理顺序上，可能需要观察：反复理解和承接，却迟迟没有进入明确表达、现实落实或责任复核。</x:v>
      </x:c>
      <x:c r="Z93" s="76" t="str">
        <x:v>不得推出依赖、妈宝、没有主见或一定过度照顾；是否延后边界和改变需现实事件验证。</x:v>
      </x:c>
      <x:c r="AA93" s="76" t="str">
        <x:v>中低</x:v>
      </x:c>
      <x:c r="AB93" s="76" t="str">
        <x:v>待验证</x:v>
      </x:c>
      <x:c r="AC93" s="76" t="str"/>
      <x:c r="AD93" s="76" t="str">
        <x:v>provisional=true; ten_god=正印; system=SYS05 印星系统; m3_refs=I09／X09／CA09／BD09／CF09; imbalance=K04</x:v>
      </x:c>
      <x:c r="AE93" s="82" t="str">
        <x:v>0.2</x:v>
      </x:c>
    </x:row>
    <x:row r="94">
      <x:c r="A94" s="81" t="str">
        <x:v>M4-BASE-090</x:v>
      </x:c>
      <x:c r="B94" s="76" t="str">
        <x:v>正印｜调节与保护因子候选</x:v>
      </x:c>
      <x:c r="C94" s="76" t="str">
        <x:v>L3 五系统与流向</x:v>
      </x:c>
      <x:c r="D94" s="76" t="str">
        <x:v>BASE-十神功能</x:v>
      </x:c>
      <x:c r="E94" s="76" t="str">
        <x:v>通用</x:v>
      </x:c>
      <x:c r="F94" s="76" t="str">
        <x:v>保护候选</x:v>
      </x:c>
      <x:c r="G94" s="76" t="str">
        <x:v>正印</x:v>
      </x:c>
      <x:c r="H94" s="76" t="str">
        <x:v>BF调节功能</x:v>
      </x:c>
      <x:c r="I94" s="76" t="str">
        <x:v>比劫恢复自身位置和边界；食伤把理解转为可沟通信息；财官把理解转为现实调整和责任兑现。；且调节信号有效、有根、位置可进入关系核心或现实行为已有支持。</x:v>
      </x:c>
      <x:c r="J94" s="76" t="str">
        <x:v>调节信号仅结构存在但弱远无根；真合化后已失效；现实中未形成可调用行为。</x:v>
      </x:c>
      <x:c r="K94" s="76" t="str">
        <x:v>由共享基础引擎提供；只修正承载与执行，不直接等同强弱人格。</x:v>
      </x:c>
      <x:c r="L94" s="76" t="str">
        <x:v>由M2接口提供；夫妻星只参与关系议题权重，不单独生成盲点。</x:v>
      </x:c>
      <x:c r="M94" s="76" t="str">
        <x:v>由M3-BASE与共享引擎提供；不得把日支直接写成配偶性格。</x:v>
      </x:c>
      <x:c r="N94" s="76" t="str">
        <x:v>比劫恢复自身位置和边界；食伤把理解转为可沟通信息；财官把理解转为现实调整和责任兑现。</x:v>
      </x:c>
      <x:c r="O94" s="76" t="str">
        <x:v>由共享基础引擎判定</x:v>
      </x:c>
      <x:c r="P94" s="76" t="str">
        <x:v>由共享基础引擎判定</x:v>
      </x:c>
      <x:c r="Q94" s="76" t="str">
        <x:v>由共享基础引擎判定</x:v>
      </x:c>
      <x:c r="R94" s="76" t="str">
        <x:v>喜忌只修正调用摩擦与平衡，不直接等同好坏。</x:v>
      </x:c>
      <x:c r="S94" s="76" t="str">
        <x:v>原十神性质有效；真合化成立时按化神系统替换。</x:v>
      </x:c>
      <x:c r="T94" s="76" t="str">
        <x:v>由共享基础引擎判定</x:v>
      </x:c>
      <x:c r="U94" s="76" t="str">
        <x:v>78</x:v>
      </x:c>
      <x:c r="V94" s="76" t="str">
        <x:v>有效buffer −6至−10</x:v>
      </x:c>
      <x:c r="W94" s="76" t="str">
        <x:v>buffer_factor</x:v>
      </x:c>
      <x:c r="X94" s="76" t="str">
        <x:v>正印失衡候选可由以下功能限制、补足或转换：比劫恢复自身位置和边界；食伤把理解转为可沟通信息；财官把理解转为现实调整和责任兑现。</x:v>
      </x:c>
      <x:c r="Y94" s="76" t="str">
        <x:v>使这一候选减弱的条件包括：比劫恢复自身位置和边界；食伤把理解转为可沟通信息；财官把理解转为现实调整和责任兑现。</x:v>
      </x:c>
      <x:c r="Z94" s="76" t="str">
        <x:v>保护因子存在不等于风险完全消失；不得把喜神或制化结构直接写成现实中一定成熟、一定会自我调节。</x:v>
      </x:c>
      <x:c r="AA94" s="76" t="str">
        <x:v>中</x:v>
      </x:c>
      <x:c r="AB94" s="76" t="str">
        <x:v>待验证</x:v>
      </x:c>
      <x:c r="AC94" s="76" t="str"/>
      <x:c r="AD94" s="76" t="str">
        <x:v>provisional=true; ten_god=正印; system=SYS05 印星系统; m3_refs=I09／X09／CA09／BD09／CF09; subtype=buffer</x:v>
      </x:c>
      <x:c r="AE94" s="82" t="str">
        <x:v>0.2</x:v>
      </x:c>
    </x:row>
    <x:row r="95">
      <x:c r="A95" s="81" t="str">
        <x:v>M4-BASE-091</x:v>
      </x:c>
      <x:c r="B95" s="76" t="str">
        <x:v>正印｜盲点主题路由候选</x:v>
      </x:c>
      <x:c r="C95" s="76" t="str">
        <x:v>L2 十神失衡候选</x:v>
      </x:c>
      <x:c r="D95" s="76" t="str">
        <x:v>BASE-十神功能</x:v>
      </x:c>
      <x:c r="E95" s="76" t="str">
        <x:v>通用</x:v>
      </x:c>
      <x:c r="F95" s="76" t="str">
        <x:v>路由</x:v>
      </x:c>
      <x:c r="G95" s="76" t="str">
        <x:v>正印</x:v>
      </x:c>
      <x:c r="H95" s="76" t="str">
        <x:v>B09 理解照顾替代现实改变；B14 问题结案但关系未修复候选。</x:v>
      </x:c>
      <x:c r="I95" s="76" t="str">
        <x:v>对应正常功能已成立；至少一个K01—K06机制候选通过门控；完成独立证据与保护因子检查。</x:v>
      </x:c>
      <x:c r="J95" s="76" t="str">
        <x:v>仅有十神标签；机制不明；保护因素足以中断；现实反例明显。</x:v>
      </x:c>
      <x:c r="K95" s="76" t="str">
        <x:v>由共享基础引擎提供；只修正承载与执行，不直接等同强弱人格。</x:v>
      </x:c>
      <x:c r="L95" s="76" t="str">
        <x:v>由M2接口提供；夫妻星只参与关系议题权重，不单独生成盲点。</x:v>
      </x:c>
      <x:c r="M95" s="76" t="str">
        <x:v>由M3-BASE与共享引擎提供；不得把日支直接写成配偶性格。</x:v>
      </x:c>
      <x:c r="N95" s="76" t="str">
        <x:v>无／待后续规则组合</x:v>
      </x:c>
      <x:c r="O95" s="76" t="str">
        <x:v>由共享基础引擎判定</x:v>
      </x:c>
      <x:c r="P95" s="76" t="str">
        <x:v>由共享基础引擎判定</x:v>
      </x:c>
      <x:c r="Q95" s="76" t="str">
        <x:v>由共享基础引擎判定</x:v>
      </x:c>
      <x:c r="R95" s="76" t="str">
        <x:v>喜忌只修正调用摩擦与平衡，不直接等同好坏。</x:v>
      </x:c>
      <x:c r="S95" s="76" t="str">
        <x:v>原十神性质有效；真合化成立时按化神系统替换。</x:v>
      </x:c>
      <x:c r="T95" s="76" t="str">
        <x:v>由共享基础引擎判定</x:v>
      </x:c>
      <x:c r="U95" s="76" t="str">
        <x:v>76</x:v>
      </x:c>
      <x:c r="V95" s="76" t="str">
        <x:v>路由至后续MISREAD／OVERUSE，不在BASE定案</x:v>
      </x:c>
      <x:c r="W95" s="76" t="str">
        <x:v>blind_spot_candidate</x:v>
      </x:c>
      <x:c r="X95" s="76" t="str">
        <x:v>正印在BASE阶段可路由至：B09 理解照顾替代现实改变；B14 问题结案但关系未修复候选。，但最终盲点主题由后续模块裁定。</x:v>
      </x:c>
      <x:c r="Y95" s="76" t="str">
        <x:v>当前可保留的盲点方向是：B09 理解照顾替代现实改变；B14 问题结案但关系未修复候选。；它仍需结合触发情境和真实互动验证。</x:v>
      </x:c>
      <x:c r="Z95" s="76" t="str">
        <x:v>不得推出依赖、妈宝、没有主见或一定过度照顾；是否延后边界和改变需现实事件验证。</x:v>
      </x:c>
      <x:c r="AA95" s="76" t="str">
        <x:v>中低</x:v>
      </x:c>
      <x:c r="AB95" s="76" t="str">
        <x:v>待验证</x:v>
      </x:c>
      <x:c r="AC95" s="76" t="str"/>
      <x:c r="AD95" s="76" t="str">
        <x:v>provisional=true; ten_god=正印; system=SYS05 印星系统; m3_refs=I09／X09／CA09／BD09／CF09; route_only=true</x:v>
      </x:c>
      <x:c r="AE95" s="82" t="str">
        <x:v>0.2</x:v>
      </x:c>
    </x:row>
    <x:row r="96">
      <x:c r="A96" s="81" t="str">
        <x:v>M4-BASE-092</x:v>
      </x:c>
      <x:c r="B96" s="76" t="str">
        <x:v>正印｜用户解释摘要</x:v>
      </x:c>
      <x:c r="C96" s="76" t="str">
        <x:v>L8 输出与停止</x:v>
      </x:c>
      <x:c r="D96" s="76" t="str">
        <x:v>BASE-十神功能</x:v>
      </x:c>
      <x:c r="E96" s="76" t="str">
        <x:v>通用</x:v>
      </x:c>
      <x:c r="F96" s="76" t="str">
        <x:v>输出</x:v>
      </x:c>
      <x:c r="G96" s="76" t="str">
        <x:v>正印</x:v>
      </x:c>
      <x:c r="H96" s="76" t="str">
        <x:v>B09 理解照顾替代现实改变；B14 问题结案但关系未修复候选。</x:v>
      </x:c>
      <x:c r="I96" s="76" t="str">
        <x:v>正印功能进入最终或暂定BASE输出；至少E1成立。</x:v>
      </x:c>
      <x:c r="J96" s="76" t="str">
        <x:v>该候选被停止、真合化替换或保护因素足以降至E0。</x:v>
      </x:c>
      <x:c r="K96" s="76" t="str">
        <x:v>由共享基础引擎提供；只修正承载与执行，不直接等同强弱人格。</x:v>
      </x:c>
      <x:c r="L96" s="76" t="str">
        <x:v>由M2接口提供；夫妻星只参与关系议题权重，不单独生成盲点。</x:v>
      </x:c>
      <x:c r="M96" s="76" t="str">
        <x:v>由M3-BASE与共享引擎提供；不得把日支直接写成配偶性格。</x:v>
      </x:c>
      <x:c r="N96" s="76" t="str">
        <x:v>无／待后续规则组合</x:v>
      </x:c>
      <x:c r="O96" s="76" t="str">
        <x:v>由共享基础引擎判定</x:v>
      </x:c>
      <x:c r="P96" s="76" t="str">
        <x:v>由共享基础引擎判定</x:v>
      </x:c>
      <x:c r="Q96" s="76" t="str">
        <x:v>由共享基础引擎判定</x:v>
      </x:c>
      <x:c r="R96" s="76" t="str">
        <x:v>喜忌只修正调用摩擦与平衡，不直接等同好坏。</x:v>
      </x:c>
      <x:c r="S96" s="76" t="str">
        <x:v>原十神性质有效；真合化成立时按化神系统替换。</x:v>
      </x:c>
      <x:c r="T96" s="76" t="str">
        <x:v>由共享基础引擎判定</x:v>
      </x:c>
      <x:c r="U96" s="76" t="str">
        <x:v>68</x:v>
      </x:c>
      <x:c r="V96" s="76" t="str">
        <x:v>不加分；摘要</x:v>
      </x:c>
      <x:c r="W96" s="76" t="str">
        <x:v>basis_summary</x:v>
      </x:c>
      <x:c r="X96" s="76" t="str">
        <x:v>用“正常功能—需要留意—保护条件”的顺序输出正印BASE结论。</x:v>
      </x:c>
      <x:c r="Y96" s="76" t="str">
        <x:v>你原本有理解、倾听和承接关系压力的能力。需要留意的是，理解对方为什么这样做，并不等于现实问题已经改变；包容之后，边界、责任和后续行动仍要单独确认。</x:v>
      </x:c>
      <x:c r="Z96" s="76" t="str">
        <x:v>不得推出依赖、妈宝、没有主见或一定过度照顾；是否延后边界和改变需现实事件验证。</x:v>
      </x:c>
      <x:c r="AA96" s="76" t="str">
        <x:v>中</x:v>
      </x:c>
      <x:c r="AB96" s="76" t="str">
        <x:v>待验证</x:v>
      </x:c>
      <x:c r="AC96" s="76" t="str"/>
      <x:c r="AD96" s="76" t="str">
        <x:v>provisional=true; ten_god=正印; system=SYS05 印星系统; m3_refs=I09／X09／CA09／BD09／CF09; summary_only=true</x:v>
      </x:c>
      <x:c r="AE96" s="82" t="str">
        <x:v>0.2</x:v>
      </x:c>
    </x:row>
    <x:row r="97">
      <x:c r="A97" s="81" t="str">
        <x:v>M4-BASE-093</x:v>
      </x:c>
      <x:c r="B97" s="76" t="str">
        <x:v>偏印｜正常关系功能来源</x:v>
      </x:c>
      <x:c r="C97" s="76" t="str">
        <x:v>L1 正常功能来源</x:v>
      </x:c>
      <x:c r="D97" s="76" t="str">
        <x:v>BASE-十神功能</x:v>
      </x:c>
      <x:c r="E97" s="76" t="str">
        <x:v>通用</x:v>
      </x:c>
      <x:c r="F97" s="76" t="str">
        <x:v>基础</x:v>
      </x:c>
      <x:c r="G97" s="76" t="str">
        <x:v>偏印</x:v>
      </x:c>
      <x:c r="H97" s="76" t="str">
        <x:v>I10／X10／CA10／BD10／CF10</x:v>
      </x:c>
      <x:c r="I97" s="76" t="str">
        <x:v>M3中I10／X10／CA10／BD10／CF10至少一项对应功能可靠成立；共享引擎确认偏印性质有效；未命中真合化替换；完成source_id去重。</x:v>
      </x:c>
      <x:c r="J97" s="76" t="str">
        <x:v>M3相关功能停止；真合化后原十神失效；仅有单一弱远无根信号；或现实反例明确显示该功能并不稳定出现。</x:v>
      </x:c>
      <x:c r="K97" s="76" t="str">
        <x:v>由共享基础引擎提供；只修正承载与执行，不直接等同强弱人格。</x:v>
      </x:c>
      <x:c r="L97" s="76" t="str">
        <x:v>由M2接口提供；夫妻星只参与关系议题权重，不单独生成盲点。</x:v>
      </x:c>
      <x:c r="M97" s="76" t="str">
        <x:v>由M3-BASE与共享引擎提供；不得把日支直接写成配偶性格。</x:v>
      </x:c>
      <x:c r="N97" s="76" t="str">
        <x:v>无／待后续规则组合</x:v>
      </x:c>
      <x:c r="O97" s="76" t="str">
        <x:v>由共享基础引擎判定</x:v>
      </x:c>
      <x:c r="P97" s="76" t="str">
        <x:v>由共享基础引擎判定</x:v>
      </x:c>
      <x:c r="Q97" s="76" t="str">
        <x:v>由共享基础引擎判定</x:v>
      </x:c>
      <x:c r="R97" s="76" t="str">
        <x:v>喜忌只修正调用摩擦与平衡，不直接等同好坏。</x:v>
      </x:c>
      <x:c r="S97" s="76" t="str">
        <x:v>原十神性质有效；真合化成立时按化神系统替换。</x:v>
      </x:c>
      <x:c r="T97" s="76" t="str">
        <x:v>由共享基础引擎判定</x:v>
      </x:c>
      <x:c r="U97" s="76" t="str">
        <x:v>90</x:v>
      </x:c>
      <x:c r="V97" s="76" t="str">
        <x:v>functional_origin +12（同源只计一次）</x:v>
      </x:c>
      <x:c r="W97" s="76" t="str">
        <x:v>functional_origin</x:v>
      </x:c>
      <x:c r="X97" s="76" t="str">
        <x:v>偏印在M4中的起点不是负面标签，而是：深度整理、选择性开放、保留私人空间、专业判断和复杂信息内化。</x:v>
      </x:c>
      <x:c r="Y97" s="76" t="str">
        <x:v>这项反应原本的功能是：深度整理、选择性开放、保留私人空间、专业判断和复杂信息内化。</x:v>
      </x:c>
      <x:c r="Z97" s="76" t="str">
        <x:v>不得推出冷漠、回避型依恋、秘密多或不在乎关系；是否形成沉默断链需现实行为验证。</x:v>
      </x:c>
      <x:c r="AA97" s="76" t="str">
        <x:v>中高</x:v>
      </x:c>
      <x:c r="AB97" s="76" t="str">
        <x:v>待验证</x:v>
      </x:c>
      <x:c r="AC97" s="76" t="str"/>
      <x:c r="AD97" s="76" t="str">
        <x:v>provisional=true; ten_god=偏印; system=SYS05 印星系统; m3_refs=I10／X10／CA10／BD10／CF10; subtype=normal</x:v>
      </x:c>
      <x:c r="AE97" s="82" t="str">
        <x:v>0.2</x:v>
      </x:c>
    </x:row>
    <x:row r="98">
      <x:c r="A98" s="81" t="str">
        <x:v>M4-BASE-094</x:v>
      </x:c>
      <x:c r="B98" s="76" t="str">
        <x:v>偏印｜K01过用放大候选</x:v>
      </x:c>
      <x:c r="C98" s="76" t="str">
        <x:v>L2 十神失衡候选</x:v>
      </x:c>
      <x:c r="D98" s="76" t="str">
        <x:v>BASE-十神功能</x:v>
      </x:c>
      <x:c r="E98" s="76" t="str">
        <x:v>通用</x:v>
      </x:c>
      <x:c r="F98" s="76" t="str">
        <x:v>失衡候选</x:v>
      </x:c>
      <x:c r="G98" s="76" t="str">
        <x:v>偏印</x:v>
      </x:c>
      <x:c r="H98" s="76" t="str">
        <x:v>K01 过用放大</x:v>
      </x:c>
      <x:c r="I98" s="76" t="str">
        <x:v>M3中I10／X10／CA10／BD10／CF10至少一项对应功能可靠成立；共享引擎确认偏印性质有效；未命中真合化替换；完成source_id去重。；另有过旺失衡、压力下抢先启动、重复行为或缺少调节中的至少一项独立证据。</x:v>
      </x:c>
      <x:c r="J98" s="76" t="str">
        <x:v>M3相关功能停止；真合化后原十神失效；仅有单一弱远无根信号；或现实反例明确显示该功能并不稳定出现。；旺而平衡且制化／通关有效。</x:v>
      </x:c>
      <x:c r="K98" s="76" t="str">
        <x:v>由共享基础引擎提供；只修正承载与执行，不直接等同强弱人格。</x:v>
      </x:c>
      <x:c r="L98" s="76" t="str">
        <x:v>由M2接口提供；夫妻星只参与关系议题权重，不单独生成盲点。</x:v>
      </x:c>
      <x:c r="M98" s="76" t="str">
        <x:v>由M3-BASE与共享引擎提供；不得把日支直接写成配偶性格。</x:v>
      </x:c>
      <x:c r="N98" s="76" t="str">
        <x:v>无／待后续规则组合</x:v>
      </x:c>
      <x:c r="O98" s="76" t="str">
        <x:v>由共享基础引擎判定</x:v>
      </x:c>
      <x:c r="P98" s="76" t="str">
        <x:v>由共享基础引擎判定</x:v>
      </x:c>
      <x:c r="Q98" s="76" t="str">
        <x:v>过旺失衡、抢先启动或现实重复证据；旺而平衡不自动成立。</x:v>
      </x:c>
      <x:c r="R98" s="76" t="str">
        <x:v>喜忌只修正调用摩擦与平衡，不直接等同好坏。</x:v>
      </x:c>
      <x:c r="S98" s="76" t="str">
        <x:v>原十神性质有效；真合化成立时按化神系统替换。</x:v>
      </x:c>
      <x:c r="T98" s="76" t="str">
        <x:v>由共享基础引擎判定</x:v>
      </x:c>
      <x:c r="U98" s="76" t="str">
        <x:v>84</x:v>
      </x:c>
      <x:c r="V98" s="76" t="str">
        <x:v>K01候选 +8</x:v>
      </x:c>
      <x:c r="W98" s="76" t="str">
        <x:v>imbalance_mechanism</x:v>
      </x:c>
      <x:c r="X98" s="76" t="str">
        <x:v>偏印的正常功能在调用强度过高或长期抢先时，可能表现为：内部分析和沉默持续过久，以私人逻辑替代可沟通回应，暂停失去明确回归路径。</x:v>
      </x:c>
      <x:c r="Y98" s="76" t="str">
        <x:v>当这项方式被过度调用时，你可能更容易：内部分析和沉默持续过久，以私人逻辑替代可沟通回应，暂停失去明确回归路径。</x:v>
      </x:c>
      <x:c r="Z98" s="76" t="str">
        <x:v>不得推出冷漠、回避型依恋、秘密多或不在乎关系；是否形成沉默断链需现实行为验证。</x:v>
      </x:c>
      <x:c r="AA98" s="76" t="str">
        <x:v>中</x:v>
      </x:c>
      <x:c r="AB98" s="76" t="str">
        <x:v>待验证</x:v>
      </x:c>
      <x:c r="AC98" s="76" t="str"/>
      <x:c r="AD98" s="76" t="str">
        <x:v>provisional=true; ten_god=偏印; system=SYS05 印星系统; m3_refs=I10／X10／CA10／BD10／CF10; imbalance=K01</x:v>
      </x:c>
      <x:c r="AE98" s="82" t="str">
        <x:v>0.2</x:v>
      </x:c>
    </x:row>
    <x:row r="99">
      <x:c r="A99" s="81" t="str">
        <x:v>M4-BASE-095</x:v>
      </x:c>
      <x:c r="B99" s="76" t="str">
        <x:v>偏印｜K02功能不足候选</x:v>
      </x:c>
      <x:c r="C99" s="76" t="str">
        <x:v>L2 十神失衡候选</x:v>
      </x:c>
      <x:c r="D99" s="76" t="str">
        <x:v>BASE-十神功能</x:v>
      </x:c>
      <x:c r="E99" s="76" t="str">
        <x:v>通用</x:v>
      </x:c>
      <x:c r="F99" s="76" t="str">
        <x:v>失衡候选</x:v>
      </x:c>
      <x:c r="G99" s="76" t="str">
        <x:v>偏印</x:v>
      </x:c>
      <x:c r="H99" s="76" t="str">
        <x:v>K02 功能不足</x:v>
      </x:c>
      <x:c r="I99" s="76" t="str">
        <x:v>M3或关系路径显示偏印对应功能为必要环节；该功能偏弱无助、受阻或长期缺少现实出口；无可靠替代通道。</x:v>
      </x:c>
      <x:c r="J99" s="76" t="str">
        <x:v>该功能弱而有助；存在有效替代通道；现实行为显示此功能稳定可用。</x:v>
      </x:c>
      <x:c r="K99" s="76" t="str">
        <x:v>由共享基础引擎提供；只修正承载与执行，不直接等同强弱人格。</x:v>
      </x:c>
      <x:c r="L99" s="76" t="str">
        <x:v>由M2接口提供；夫妻星只参与关系议题权重，不单独生成盲点。</x:v>
      </x:c>
      <x:c r="M99" s="76" t="str">
        <x:v>由M3-BASE与共享引擎提供；不得把日支直接写成配偶性格。</x:v>
      </x:c>
      <x:c r="N99" s="76" t="str">
        <x:v>无／待后续规则组合</x:v>
      </x:c>
      <x:c r="O99" s="76" t="str">
        <x:v>由共享基础引擎判定</x:v>
      </x:c>
      <x:c r="P99" s="76" t="str">
        <x:v>由共享基础引擎判定</x:v>
      </x:c>
      <x:c r="Q99" s="76" t="str">
        <x:v>偏弱无助／转换受阻／现实缺位</x:v>
      </x:c>
      <x:c r="R99" s="76" t="str">
        <x:v>喜忌只修正调用摩擦与平衡，不直接等同好坏。</x:v>
      </x:c>
      <x:c r="S99" s="76" t="str">
        <x:v>原十神性质有效；真合化成立时按化神系统替换。</x:v>
      </x:c>
      <x:c r="T99" s="76" t="str">
        <x:v>由共享基础引擎判定</x:v>
      </x:c>
      <x:c r="U99" s="76" t="str">
        <x:v>83</x:v>
      </x:c>
      <x:c r="V99" s="76" t="str">
        <x:v>K02候选 +8</x:v>
      </x:c>
      <x:c r="W99" s="76" t="str">
        <x:v>missing_function</x:v>
      </x:c>
      <x:c r="X99" s="76" t="str">
        <x:v>当偏印功能是关系路径的必要环节却缺少稳定出口时，可能出现：缺少反思、独处和整理空间，复杂感受来不及消化就进入表达或行动。</x:v>
      </x:c>
      <x:c r="Y99" s="76" t="str">
        <x:v>另一项需要继续确认的功能是：缺少反思、独处和整理空间，复杂感受来不及消化就进入表达或行动。</x:v>
      </x:c>
      <x:c r="Z99" s="76" t="str">
        <x:v>不得推出冷漠、回避型依恋、秘密多或不在乎关系；是否形成沉默断链需现实行为验证。</x:v>
      </x:c>
      <x:c r="AA99" s="76" t="str">
        <x:v>中</x:v>
      </x:c>
      <x:c r="AB99" s="76" t="str">
        <x:v>待验证</x:v>
      </x:c>
      <x:c r="AC99" s="76" t="str"/>
      <x:c r="AD99" s="76" t="str">
        <x:v>provisional=true; ten_god=偏印; system=SYS05 印星系统; m3_refs=I10／X10／CA10／BD10／CF10; imbalance=K02</x:v>
      </x:c>
      <x:c r="AE99" s="82" t="str">
        <x:v>0.2</x:v>
      </x:c>
    </x:row>
    <x:row r="100">
      <x:c r="A100" s="81" t="str">
        <x:v>M4-BASE-096</x:v>
      </x:c>
      <x:c r="B100" s="76" t="str">
        <x:v>偏印｜K03单通道替代候选</x:v>
      </x:c>
      <x:c r="C100" s="76" t="str">
        <x:v>L2 十神失衡候选</x:v>
      </x:c>
      <x:c r="D100" s="76" t="str">
        <x:v>BASE-十神功能</x:v>
      </x:c>
      <x:c r="E100" s="76" t="str">
        <x:v>通用</x:v>
      </x:c>
      <x:c r="F100" s="76" t="str">
        <x:v>组合候选</x:v>
      </x:c>
      <x:c r="G100" s="76" t="str">
        <x:v>偏印</x:v>
      </x:c>
      <x:c r="H100" s="76" t="str">
        <x:v>K03 单通道替代</x:v>
      </x:c>
      <x:c r="I100" s="76" t="str">
        <x:v>M3中I10／X10／CA10／BD10／CF10至少一项对应功能可靠成立；共享引擎确认偏印性质有效；未命中真合化替换；完成source_id去重。；当前关系任务还需要另一系统功能，但该功能不足、延后或被偏印通道替代。</x:v>
      </x:c>
      <x:c r="J100" s="76" t="str">
        <x:v>另一功能已经有效进入并形成分工；仅为同一功能的不同表述。</x:v>
      </x:c>
      <x:c r="K100" s="76" t="str">
        <x:v>由共享基础引擎提供；只修正承载与执行，不直接等同强弱人格。</x:v>
      </x:c>
      <x:c r="L100" s="76" t="str">
        <x:v>由M2接口提供；夫妻星只参与关系议题权重，不单独生成盲点。</x:v>
      </x:c>
      <x:c r="M100" s="76" t="str">
        <x:v>由M3-BASE与共享引擎提供；不得把日支直接写成配偶性格。</x:v>
      </x:c>
      <x:c r="N100" s="76" t="str">
        <x:v>偏印功能替代另一必要功能；需由后续OVERUSE确认</x:v>
      </x:c>
      <x:c r="O100" s="76" t="str">
        <x:v>由共享基础引擎判定</x:v>
      </x:c>
      <x:c r="P100" s="76" t="str">
        <x:v>由共享基础引擎判定</x:v>
      </x:c>
      <x:c r="Q100" s="76" t="str">
        <x:v>由共享基础引擎判定</x:v>
      </x:c>
      <x:c r="R100" s="76" t="str">
        <x:v>喜忌只修正调用摩擦与平衡，不直接等同好坏。</x:v>
      </x:c>
      <x:c r="S100" s="76" t="str">
        <x:v>原十神性质有效；真合化成立时按化神系统替换。</x:v>
      </x:c>
      <x:c r="T100" s="76" t="str">
        <x:v>由共享基础引擎判定</x:v>
      </x:c>
      <x:c r="U100" s="76" t="str">
        <x:v>82</x:v>
      </x:c>
      <x:c r="V100" s="76" t="str">
        <x:v>K03候选 +6</x:v>
      </x:c>
      <x:c r="W100" s="76" t="str">
        <x:v>imbalance_mechanism</x:v>
      </x:c>
      <x:c r="X100" s="76" t="str">
        <x:v>把“我已经想明白”替代“我已经让对方知道并完成协商”。</x:v>
      </x:c>
      <x:c r="Y100" s="76" t="str">
        <x:v>需要留意的是，是否会出现：把“我已经想明白”替代“我已经让对方知道并完成协商”。</x:v>
      </x:c>
      <x:c r="Z100" s="76" t="str">
        <x:v>不得推出冷漠、回避型依恋、秘密多或不在乎关系；是否形成沉默断链需现实行为验证。</x:v>
      </x:c>
      <x:c r="AA100" s="76" t="str">
        <x:v>中</x:v>
      </x:c>
      <x:c r="AB100" s="76" t="str">
        <x:v>待验证</x:v>
      </x:c>
      <x:c r="AC100" s="76" t="str"/>
      <x:c r="AD100" s="76" t="str">
        <x:v>provisional=true; ten_god=偏印; system=SYS05 印星系统; m3_refs=I10／X10／CA10／BD10／CF10; imbalance=K03</x:v>
      </x:c>
      <x:c r="AE100" s="82" t="str">
        <x:v>0.2</x:v>
      </x:c>
    </x:row>
    <x:row r="101">
      <x:c r="A101" s="81" t="str">
        <x:v>M4-BASE-097</x:v>
      </x:c>
      <x:c r="B101" s="76" t="str">
        <x:v>偏印｜K04处理顺序错位候选</x:v>
      </x:c>
      <x:c r="C101" s="76" t="str">
        <x:v>L2 十神失衡候选</x:v>
      </x:c>
      <x:c r="D101" s="76" t="str">
        <x:v>BASE-十神功能</x:v>
      </x:c>
      <x:c r="E101" s="76" t="str">
        <x:v>通用</x:v>
      </x:c>
      <x:c r="F101" s="76" t="str">
        <x:v>路径候选</x:v>
      </x:c>
      <x:c r="G101" s="76" t="str">
        <x:v>偏印</x:v>
      </x:c>
      <x:c r="H101" s="76" t="str">
        <x:v>K04 处理顺序错位</x:v>
      </x:c>
      <x:c r="I101" s="76" t="str">
        <x:v>M3中I10／X10／CA10／BD10／CF10至少一项对应功能可靠成立；共享引擎确认偏印性质有效；未命中真合化替换；完成source_id去重。；至少另一项功能真实存在，但在对应情境中进入过晚；有M3-FLOW或现实顺序证据。</x:v>
      </x:c>
      <x:c r="J101" s="76" t="str">
        <x:v>只有静态五行生克而无现实／M3顺序证据；另一功能并非该情境必要。</x:v>
      </x:c>
      <x:c r="K101" s="76" t="str">
        <x:v>由共享基础引擎提供；只修正承载与执行，不直接等同强弱人格。</x:v>
      </x:c>
      <x:c r="L101" s="76" t="str">
        <x:v>由M2接口提供；夫妻星只参与关系议题权重，不单独生成盲点。</x:v>
      </x:c>
      <x:c r="M101" s="76" t="str">
        <x:v>由M3-BASE与共享引擎提供；不得把日支直接写成配偶性格。</x:v>
      </x:c>
      <x:c r="N101" s="76" t="str">
        <x:v>先暂停和内化，但没有说明范围、时间或回来沟通的条件。</x:v>
      </x:c>
      <x:c r="O101" s="76" t="str">
        <x:v>由共享基础引擎判定</x:v>
      </x:c>
      <x:c r="P101" s="76" t="str">
        <x:v>由共享基础引擎判定</x:v>
      </x:c>
      <x:c r="Q101" s="76" t="str">
        <x:v>由共享基础引擎判定</x:v>
      </x:c>
      <x:c r="R101" s="76" t="str">
        <x:v>喜忌只修正调用摩擦与平衡，不直接等同好坏。</x:v>
      </x:c>
      <x:c r="S101" s="76" t="str">
        <x:v>原十神性质有效；真合化成立时按化神系统替换。</x:v>
      </x:c>
      <x:c r="T101" s="76" t="str">
        <x:v>由共享基础引擎判定</x:v>
      </x:c>
      <x:c r="U101" s="76" t="str">
        <x:v>81</x:v>
      </x:c>
      <x:c r="V101" s="76" t="str">
        <x:v>K04候选 +6</x:v>
      </x:c>
      <x:c r="W101" s="76" t="str">
        <x:v>flow_path</x:v>
      </x:c>
      <x:c r="X101" s="76" t="str">
        <x:v>先暂停和内化，但没有说明范围、时间或回来沟通的条件。</x:v>
      </x:c>
      <x:c r="Y101" s="76" t="str">
        <x:v>在处理顺序上，可能需要观察：先暂停和内化，但没有说明范围、时间或回来沟通的条件。</x:v>
      </x:c>
      <x:c r="Z101" s="76" t="str">
        <x:v>不得推出冷漠、回避型依恋、秘密多或不在乎关系；是否形成沉默断链需现实行为验证。</x:v>
      </x:c>
      <x:c r="AA101" s="76" t="str">
        <x:v>中低</x:v>
      </x:c>
      <x:c r="AB101" s="76" t="str">
        <x:v>待验证</x:v>
      </x:c>
      <x:c r="AC101" s="76" t="str"/>
      <x:c r="AD101" s="76" t="str">
        <x:v>provisional=true; ten_god=偏印; system=SYS05 印星系统; m3_refs=I10／X10／CA10／BD10／CF10; imbalance=K04</x:v>
      </x:c>
      <x:c r="AE101" s="82" t="str">
        <x:v>0.2</x:v>
      </x:c>
    </x:row>
    <x:row r="102">
      <x:c r="A102" s="81" t="str">
        <x:v>M4-BASE-098</x:v>
      </x:c>
      <x:c r="B102" s="76" t="str">
        <x:v>偏印｜调节与保护因子候选</x:v>
      </x:c>
      <x:c r="C102" s="76" t="str">
        <x:v>L3 五系统与流向</x:v>
      </x:c>
      <x:c r="D102" s="76" t="str">
        <x:v>BASE-十神功能</x:v>
      </x:c>
      <x:c r="E102" s="76" t="str">
        <x:v>通用</x:v>
      </x:c>
      <x:c r="F102" s="76" t="str">
        <x:v>保护候选</x:v>
      </x:c>
      <x:c r="G102" s="76" t="str">
        <x:v>偏印</x:v>
      </x:c>
      <x:c r="H102" s="76" t="str">
        <x:v>BF调节功能</x:v>
      </x:c>
      <x:c r="I102" s="76" t="str">
        <x:v>食伤把内部结论转为语言；正官建立回归约定；比劫说明空间与边界。；且调节信号有效、有根、位置可进入关系核心或现实行为已有支持。</x:v>
      </x:c>
      <x:c r="J102" s="76" t="str">
        <x:v>调节信号仅结构存在但弱远无根；真合化后已失效；现实中未形成可调用行为。</x:v>
      </x:c>
      <x:c r="K102" s="76" t="str">
        <x:v>由共享基础引擎提供；只修正承载与执行，不直接等同强弱人格。</x:v>
      </x:c>
      <x:c r="L102" s="76" t="str">
        <x:v>由M2接口提供；夫妻星只参与关系议题权重，不单独生成盲点。</x:v>
      </x:c>
      <x:c r="M102" s="76" t="str">
        <x:v>由M3-BASE与共享引擎提供；不得把日支直接写成配偶性格。</x:v>
      </x:c>
      <x:c r="N102" s="76" t="str">
        <x:v>食伤把内部结论转为语言；正官建立回归约定；比劫说明空间与边界。</x:v>
      </x:c>
      <x:c r="O102" s="76" t="str">
        <x:v>由共享基础引擎判定</x:v>
      </x:c>
      <x:c r="P102" s="76" t="str">
        <x:v>由共享基础引擎判定</x:v>
      </x:c>
      <x:c r="Q102" s="76" t="str">
        <x:v>由共享基础引擎判定</x:v>
      </x:c>
      <x:c r="R102" s="76" t="str">
        <x:v>喜忌只修正调用摩擦与平衡，不直接等同好坏。</x:v>
      </x:c>
      <x:c r="S102" s="76" t="str">
        <x:v>原十神性质有效；真合化成立时按化神系统替换。</x:v>
      </x:c>
      <x:c r="T102" s="76" t="str">
        <x:v>由共享基础引擎判定</x:v>
      </x:c>
      <x:c r="U102" s="76" t="str">
        <x:v>78</x:v>
      </x:c>
      <x:c r="V102" s="76" t="str">
        <x:v>有效buffer −6至−10</x:v>
      </x:c>
      <x:c r="W102" s="76" t="str">
        <x:v>buffer_factor</x:v>
      </x:c>
      <x:c r="X102" s="76" t="str">
        <x:v>偏印失衡候选可由以下功能限制、补足或转换：食伤把内部结论转为语言；正官建立回归约定；比劫说明空间与边界。</x:v>
      </x:c>
      <x:c r="Y102" s="76" t="str">
        <x:v>使这一候选减弱的条件包括：食伤把内部结论转为语言；正官建立回归约定；比劫说明空间与边界。</x:v>
      </x:c>
      <x:c r="Z102" s="76" t="str">
        <x:v>保护因子存在不等于风险完全消失；不得把喜神或制化结构直接写成现实中一定成熟、一定会自我调节。</x:v>
      </x:c>
      <x:c r="AA102" s="76" t="str">
        <x:v>中</x:v>
      </x:c>
      <x:c r="AB102" s="76" t="str">
        <x:v>待验证</x:v>
      </x:c>
      <x:c r="AC102" s="76" t="str"/>
      <x:c r="AD102" s="76" t="str">
        <x:v>provisional=true; ten_god=偏印; system=SYS05 印星系统; m3_refs=I10／X10／CA10／BD10／CF10; subtype=buffer</x:v>
      </x:c>
      <x:c r="AE102" s="82" t="str">
        <x:v>0.2</x:v>
      </x:c>
    </x:row>
    <x:row r="103">
      <x:c r="A103" s="81" t="str">
        <x:v>M4-BASE-099</x:v>
      </x:c>
      <x:c r="B103" s="76" t="str">
        <x:v>偏印｜盲点主题路由候选</x:v>
      </x:c>
      <x:c r="C103" s="76" t="str">
        <x:v>L2 十神失衡候选</x:v>
      </x:c>
      <x:c r="D103" s="76" t="str">
        <x:v>BASE-十神功能</x:v>
      </x:c>
      <x:c r="E103" s="76" t="str">
        <x:v>通用</x:v>
      </x:c>
      <x:c r="F103" s="76" t="str">
        <x:v>路由</x:v>
      </x:c>
      <x:c r="G103" s="76" t="str">
        <x:v>偏印</x:v>
      </x:c>
      <x:c r="H103" s="76" t="str">
        <x:v>B13 暂停处理失去回归路径；B15 平稳与压力状态切换未被识别候选。</x:v>
      </x:c>
      <x:c r="I103" s="76" t="str">
        <x:v>对应正常功能已成立；至少一个K01—K06机制候选通过门控；完成独立证据与保护因子检查。</x:v>
      </x:c>
      <x:c r="J103" s="76" t="str">
        <x:v>仅有十神标签；机制不明；保护因素足以中断；现实反例明显。</x:v>
      </x:c>
      <x:c r="K103" s="76" t="str">
        <x:v>由共享基础引擎提供；只修正承载与执行，不直接等同强弱人格。</x:v>
      </x:c>
      <x:c r="L103" s="76" t="str">
        <x:v>由M2接口提供；夫妻星只参与关系议题权重，不单独生成盲点。</x:v>
      </x:c>
      <x:c r="M103" s="76" t="str">
        <x:v>由M3-BASE与共享引擎提供；不得把日支直接写成配偶性格。</x:v>
      </x:c>
      <x:c r="N103" s="76" t="str">
        <x:v>无／待后续规则组合</x:v>
      </x:c>
      <x:c r="O103" s="76" t="str">
        <x:v>由共享基础引擎判定</x:v>
      </x:c>
      <x:c r="P103" s="76" t="str">
        <x:v>由共享基础引擎判定</x:v>
      </x:c>
      <x:c r="Q103" s="76" t="str">
        <x:v>由共享基础引擎判定</x:v>
      </x:c>
      <x:c r="R103" s="76" t="str">
        <x:v>喜忌只修正调用摩擦与平衡，不直接等同好坏。</x:v>
      </x:c>
      <x:c r="S103" s="76" t="str">
        <x:v>原十神性质有效；真合化成立时按化神系统替换。</x:v>
      </x:c>
      <x:c r="T103" s="76" t="str">
        <x:v>由共享基础引擎判定</x:v>
      </x:c>
      <x:c r="U103" s="76" t="str">
        <x:v>76</x:v>
      </x:c>
      <x:c r="V103" s="76" t="str">
        <x:v>路由至后续MISREAD／OVERUSE，不在BASE定案</x:v>
      </x:c>
      <x:c r="W103" s="76" t="str">
        <x:v>blind_spot_candidate</x:v>
      </x:c>
      <x:c r="X103" s="76" t="str">
        <x:v>偏印在BASE阶段可路由至：B13 暂停处理失去回归路径；B15 平稳与压力状态切换未被识别候选。，但最终盲点主题由后续模块裁定。</x:v>
      </x:c>
      <x:c r="Y103" s="76" t="str">
        <x:v>当前可保留的盲点方向是：B13 暂停处理失去回归路径；B15 平稳与压力状态切换未被识别候选。；它仍需结合触发情境和真实互动验证。</x:v>
      </x:c>
      <x:c r="Z103" s="76" t="str">
        <x:v>不得推出冷漠、回避型依恋、秘密多或不在乎关系；是否形成沉默断链需现实行为验证。</x:v>
      </x:c>
      <x:c r="AA103" s="76" t="str">
        <x:v>中低</x:v>
      </x:c>
      <x:c r="AB103" s="76" t="str">
        <x:v>待验证</x:v>
      </x:c>
      <x:c r="AC103" s="76" t="str"/>
      <x:c r="AD103" s="76" t="str">
        <x:v>provisional=true; ten_god=偏印; system=SYS05 印星系统; m3_refs=I10／X10／CA10／BD10／CF10; route_only=true</x:v>
      </x:c>
      <x:c r="AE103" s="82" t="str">
        <x:v>0.2</x:v>
      </x:c>
    </x:row>
    <x:row r="104">
      <x:c r="A104" s="81" t="str">
        <x:v>M4-BASE-100</x:v>
      </x:c>
      <x:c r="B104" s="76" t="str">
        <x:v>偏印｜用户解释摘要</x:v>
      </x:c>
      <x:c r="C104" s="76" t="str">
        <x:v>L8 输出与停止</x:v>
      </x:c>
      <x:c r="D104" s="76" t="str">
        <x:v>BASE-十神功能</x:v>
      </x:c>
      <x:c r="E104" s="76" t="str">
        <x:v>通用</x:v>
      </x:c>
      <x:c r="F104" s="76" t="str">
        <x:v>输出</x:v>
      </x:c>
      <x:c r="G104" s="76" t="str">
        <x:v>偏印</x:v>
      </x:c>
      <x:c r="H104" s="76" t="str">
        <x:v>B13 暂停处理失去回归路径；B15 平稳与压力状态切换未被识别候选。</x:v>
      </x:c>
      <x:c r="I104" s="76" t="str">
        <x:v>偏印功能进入最终或暂定BASE输出；至少E1成立。</x:v>
      </x:c>
      <x:c r="J104" s="76" t="str">
        <x:v>该候选被停止、真合化替换或保护因素足以降至E0。</x:v>
      </x:c>
      <x:c r="K104" s="76" t="str">
        <x:v>由共享基础引擎提供；只修正承载与执行，不直接等同强弱人格。</x:v>
      </x:c>
      <x:c r="L104" s="76" t="str">
        <x:v>由M2接口提供；夫妻星只参与关系议题权重，不单独生成盲点。</x:v>
      </x:c>
      <x:c r="M104" s="76" t="str">
        <x:v>由M3-BASE与共享引擎提供；不得把日支直接写成配偶性格。</x:v>
      </x:c>
      <x:c r="N104" s="76" t="str">
        <x:v>无／待后续规则组合</x:v>
      </x:c>
      <x:c r="O104" s="76" t="str">
        <x:v>由共享基础引擎判定</x:v>
      </x:c>
      <x:c r="P104" s="76" t="str">
        <x:v>由共享基础引擎判定</x:v>
      </x:c>
      <x:c r="Q104" s="76" t="str">
        <x:v>由共享基础引擎判定</x:v>
      </x:c>
      <x:c r="R104" s="76" t="str">
        <x:v>喜忌只修正调用摩擦与平衡，不直接等同好坏。</x:v>
      </x:c>
      <x:c r="S104" s="76" t="str">
        <x:v>原十神性质有效；真合化成立时按化神系统替换。</x:v>
      </x:c>
      <x:c r="T104" s="76" t="str">
        <x:v>由共享基础引擎判定</x:v>
      </x:c>
      <x:c r="U104" s="76" t="str">
        <x:v>68</x:v>
      </x:c>
      <x:c r="V104" s="76" t="str">
        <x:v>不加分；摘要</x:v>
      </x:c>
      <x:c r="W104" s="76" t="str">
        <x:v>basis_summary</x:v>
      </x:c>
      <x:c r="X104" s="76" t="str">
        <x:v>用“正常功能—需要留意—保护条件”的顺序输出偏印BASE结论。</x:v>
      </x:c>
      <x:c r="Y104" s="76" t="str">
        <x:v>你原本需要一定空间整理复杂感受，这有助于避免仓促回应。需要留意的是，内部想清楚和让关系重新进入可沟通状态是两件事；暂停最好有范围、说明和回归路径。</x:v>
      </x:c>
      <x:c r="Z104" s="76" t="str">
        <x:v>不得推出冷漠、回避型依恋、秘密多或不在乎关系；是否形成沉默断链需现实行为验证。</x:v>
      </x:c>
      <x:c r="AA104" s="76" t="str">
        <x:v>中</x:v>
      </x:c>
      <x:c r="AB104" s="76" t="str">
        <x:v>待验证</x:v>
      </x:c>
      <x:c r="AC104" s="76" t="str"/>
      <x:c r="AD104" s="76" t="str">
        <x:v>provisional=true; ten_god=偏印; system=SYS05 印星系统; m3_refs=I10／X10／CA10／BD10／CF10; summary_only=true</x:v>
      </x:c>
      <x:c r="AE104" s="82" t="str">
        <x:v>0.2</x:v>
      </x:c>
    </x:row>
    <x:row r="105">
      <x:c r="A105" s="81" t="str">
        <x:v>M4-BASE-101</x:v>
      </x:c>
      <x:c r="B105" s="76" t="str">
        <x:v>SYS01 比劫系统｜正常功能总纲</x:v>
      </x:c>
      <x:c r="C105" s="76" t="str">
        <x:v>L1 正常功能来源</x:v>
      </x:c>
      <x:c r="D105" s="76" t="str">
        <x:v>BASE-五系统</x:v>
      </x:c>
      <x:c r="E105" s="76" t="str">
        <x:v>通用</x:v>
      </x:c>
      <x:c r="F105" s="76" t="str">
        <x:v>基础</x:v>
      </x:c>
      <x:c r="G105" s="76" t="str">
        <x:v>SYS01 比劫系统</x:v>
      </x:c>
      <x:c r="H105" s="76" t="str"/>
      <x:c r="I105" s="76" t="str">
        <x:v>M3至少一个对应十神通道有效；同系统正偏十神完成收敛；基础状态可靠。</x:v>
      </x:c>
      <x:c r="J105" s="76" t="str">
        <x:v>同系统所有通道均停止或已真合化替换。</x:v>
      </x:c>
      <x:c r="K105" s="76" t="str">
        <x:v>由共享基础引擎提供；只修正承载与执行，不直接等同强弱人格。</x:v>
      </x:c>
      <x:c r="L105" s="76" t="str">
        <x:v>由M2接口提供；夫妻星只参与关系议题权重，不单独生成盲点。</x:v>
      </x:c>
      <x:c r="M105" s="76" t="str">
        <x:v>由M3-BASE与共享引擎提供；不得把日支直接写成配偶性格。</x:v>
      </x:c>
      <x:c r="N105" s="76" t="str">
        <x:v>无／待后续规则组合</x:v>
      </x:c>
      <x:c r="O105" s="76" t="str">
        <x:v>由共享基础引擎判定</x:v>
      </x:c>
      <x:c r="P105" s="76" t="str">
        <x:v>由共享基础引擎判定</x:v>
      </x:c>
      <x:c r="Q105" s="76" t="str">
        <x:v>由共享基础引擎判定</x:v>
      </x:c>
      <x:c r="R105" s="76" t="str">
        <x:v>喜忌只修正调用摩擦与平衡，不直接等同好坏。</x:v>
      </x:c>
      <x:c r="S105" s="76" t="str">
        <x:v>原十神性质有效；真合化成立时按化神系统替换。</x:v>
      </x:c>
      <x:c r="T105" s="76" t="str">
        <x:v>由共享基础引擎判定</x:v>
      </x:c>
      <x:c r="U105" s="76" t="str">
        <x:v>88</x:v>
      </x:c>
      <x:c r="V105" s="76" t="str">
        <x:v>系统功能来源候选 +4（不与十神基础分重复）</x:v>
      </x:c>
      <x:c r="W105" s="76" t="str">
        <x:v>functional_origin</x:v>
      </x:c>
      <x:c r="X105" s="76" t="str">
        <x:v>比劫系统在关系中的正常任务是：自主、平等、边界、共同参与和决定权。系统层只做归类，不重复十神分数。</x:v>
      </x:c>
      <x:c r="Y105" s="76" t="str">
        <x:v>从功能系统看，你较常调用的是：自主、平等、边界、共同参与和决定权。</x:v>
      </x:c>
      <x:c r="Z105" s="76" t="str">
        <x:v>系统明显不等于人格标签，也不等于必然失衡；不得与同一十神source_id重复加分。</x:v>
      </x:c>
      <x:c r="AA105" s="76" t="str">
        <x:v>中高</x:v>
      </x:c>
      <x:c r="AB105" s="76" t="str">
        <x:v>待验证</x:v>
      </x:c>
      <x:c r="AC105" s="76" t="str"/>
      <x:c r="AD105" s="76" t="str">
        <x:v>provisional=true; system=SYS01; subtype=normal; dedup_required=true</x:v>
      </x:c>
      <x:c r="AE105" s="82" t="str">
        <x:v>0.2</x:v>
      </x:c>
    </x:row>
    <x:row r="106">
      <x:c r="A106" s="81" t="str">
        <x:v>M4-BASE-102</x:v>
      </x:c>
      <x:c r="B106" s="76" t="str">
        <x:v>SYS01 比劫系统｜K01系统过用候选</x:v>
      </x:c>
      <x:c r="C106" s="76" t="str">
        <x:v>L3 五系统与流向</x:v>
      </x:c>
      <x:c r="D106" s="76" t="str">
        <x:v>BASE-五系统</x:v>
      </x:c>
      <x:c r="E106" s="76" t="str">
        <x:v>通用</x:v>
      </x:c>
      <x:c r="F106" s="76" t="str">
        <x:v>失衡候选</x:v>
      </x:c>
      <x:c r="G106" s="76" t="str">
        <x:v>SYS01 比劫系统</x:v>
      </x:c>
      <x:c r="H106" s="76" t="str">
        <x:v>K01 过用放大</x:v>
      </x:c>
      <x:c r="I106" s="76" t="str">
        <x:v>系统功能有效；过旺失衡、压力抢先、跨模块重复调用或现实重复中的至少两类证据成立。</x:v>
      </x:c>
      <x:c r="J106" s="76" t="str">
        <x:v>旺而平衡且调节完整；仅有单一十神标签；现实反例明显。</x:v>
      </x:c>
      <x:c r="K106" s="76" t="str">
        <x:v>由共享基础引擎提供；只修正承载与执行，不直接等同强弱人格。</x:v>
      </x:c>
      <x:c r="L106" s="76" t="str">
        <x:v>由M2接口提供；夫妻星只参与关系议题权重，不单独生成盲点。</x:v>
      </x:c>
      <x:c r="M106" s="76" t="str">
        <x:v>由M3-BASE与共享引擎提供；不得把日支直接写成配偶性格。</x:v>
      </x:c>
      <x:c r="N106" s="76" t="str">
        <x:v>无／待后续规则组合</x:v>
      </x:c>
      <x:c r="O106" s="76" t="str">
        <x:v>由共享基础引擎判定</x:v>
      </x:c>
      <x:c r="P106" s="76" t="str">
        <x:v>由共享基础引擎判定</x:v>
      </x:c>
      <x:c r="Q106" s="76" t="str">
        <x:v>过旺失衡／多模块抢先／现实重复</x:v>
      </x:c>
      <x:c r="R106" s="76" t="str">
        <x:v>喜忌只修正调用摩擦与平衡，不直接等同好坏。</x:v>
      </x:c>
      <x:c r="S106" s="76" t="str">
        <x:v>原十神性质有效；真合化成立时按化神系统替换。</x:v>
      </x:c>
      <x:c r="T106" s="76" t="str">
        <x:v>由共享基础引擎判定</x:v>
      </x:c>
      <x:c r="U106" s="76" t="str">
        <x:v>80</x:v>
      </x:c>
      <x:c r="V106" s="76" t="str">
        <x:v>K01系统候选 +6；与十神K01取较高值不叠加</x:v>
      </x:c>
      <x:c r="W106" s="76" t="str">
        <x:v>imbalance_mechanism</x:v>
      </x:c>
      <x:c r="X106" s="76" t="str">
        <x:v>比劫系统过用时可能表现为：机械对等、比较、防御、资源竞争或把妥协理解成失去自我。</x:v>
      </x:c>
      <x:c r="Y106" s="76" t="str">
        <x:v>当这一功能系统过度占位时，可能出现：机械对等、比较、防御、资源竞争或把妥协理解成失去自我。</x:v>
      </x:c>
      <x:c r="Z106" s="76" t="str">
        <x:v>不得把系统过用写成固定人格、道德问题或关系结局；需检查触发与保护因素。</x:v>
      </x:c>
      <x:c r="AA106" s="76" t="str">
        <x:v>中</x:v>
      </x:c>
      <x:c r="AB106" s="76" t="str">
        <x:v>待验证</x:v>
      </x:c>
      <x:c r="AC106" s="76" t="str"/>
      <x:c r="AD106" s="76" t="str">
        <x:v>provisional=true; system=SYS01; imbalance=K01; max_not_sum=true</x:v>
      </x:c>
      <x:c r="AE106" s="82" t="str">
        <x:v>0.2</x:v>
      </x:c>
    </x:row>
    <x:row r="107">
      <x:c r="A107" s="81" t="str">
        <x:v>M4-BASE-103</x:v>
      </x:c>
      <x:c r="B107" s="76" t="str">
        <x:v>SYS01 比劫系统｜K02系统不足候选</x:v>
      </x:c>
      <x:c r="C107" s="76" t="str">
        <x:v>L3 五系统与流向</x:v>
      </x:c>
      <x:c r="D107" s="76" t="str">
        <x:v>BASE-五系统</x:v>
      </x:c>
      <x:c r="E107" s="76" t="str">
        <x:v>通用</x:v>
      </x:c>
      <x:c r="F107" s="76" t="str">
        <x:v>失衡候选</x:v>
      </x:c>
      <x:c r="G107" s="76" t="str">
        <x:v>SYS01 比劫系统</x:v>
      </x:c>
      <x:c r="H107" s="76" t="str">
        <x:v>K02 功能不足</x:v>
      </x:c>
      <x:c r="I107" s="76" t="str">
        <x:v>该系统是某条关系路径必要环节；相关通道弱而无助、被制受阻或现实行为长期缺位；无有效替代。</x:v>
      </x:c>
      <x:c r="J107" s="76" t="str">
        <x:v>存在弱而有助或可替代通道；现实行为能够稳定完成该系统任务。</x:v>
      </x:c>
      <x:c r="K107" s="76" t="str">
        <x:v>由共享基础引擎提供；只修正承载与执行，不直接等同强弱人格。</x:v>
      </x:c>
      <x:c r="L107" s="76" t="str">
        <x:v>由M2接口提供；夫妻星只参与关系议题权重，不单独生成盲点。</x:v>
      </x:c>
      <x:c r="M107" s="76" t="str">
        <x:v>由M3-BASE与共享引擎提供；不得把日支直接写成配偶性格。</x:v>
      </x:c>
      <x:c r="N107" s="76" t="str">
        <x:v>无／待后续规则组合</x:v>
      </x:c>
      <x:c r="O107" s="76" t="str">
        <x:v>由共享基础引擎判定</x:v>
      </x:c>
      <x:c r="P107" s="76" t="str">
        <x:v>由共享基础引擎判定</x:v>
      </x:c>
      <x:c r="Q107" s="76" t="str">
        <x:v>弱而无助／被制受阻／现实缺位</x:v>
      </x:c>
      <x:c r="R107" s="76" t="str">
        <x:v>喜忌只修正调用摩擦与平衡，不直接等同好坏。</x:v>
      </x:c>
      <x:c r="S107" s="76" t="str">
        <x:v>原十神性质有效；真合化成立时按化神系统替换。</x:v>
      </x:c>
      <x:c r="T107" s="76" t="str">
        <x:v>由共享基础引擎判定</x:v>
      </x:c>
      <x:c r="U107" s="76" t="str">
        <x:v>79</x:v>
      </x:c>
      <x:c r="V107" s="76" t="str">
        <x:v>K02系统候选 +6；与十神K02取较高值不叠加</x:v>
      </x:c>
      <x:c r="W107" s="76" t="str">
        <x:v>missing_function</x:v>
      </x:c>
      <x:c r="X107" s="76" t="str">
        <x:v>比劫系统不足时可能表现为：自身位置、拒绝、暂停和共同决定权难以稳定进入关系。</x:v>
      </x:c>
      <x:c r="Y107" s="76" t="str">
        <x:v>关系中可能较晚进入或需要补充的环节是：自身位置、拒绝、暂停和共同决定权难以稳定进入关系。</x:v>
      </x:c>
      <x:c r="Z107" s="76" t="str">
        <x:v>弱不等于没有；必须排除替代通道和现实反例，不得由此判断用户无能力或不成熟。</x:v>
      </x:c>
      <x:c r="AA107" s="76" t="str">
        <x:v>中</x:v>
      </x:c>
      <x:c r="AB107" s="76" t="str">
        <x:v>待验证</x:v>
      </x:c>
      <x:c r="AC107" s="76" t="str"/>
      <x:c r="AD107" s="76" t="str">
        <x:v>provisional=true; system=SYS01; imbalance=K02; max_not_sum=true</x:v>
      </x:c>
      <x:c r="AE107" s="82" t="str">
        <x:v>0.2</x:v>
      </x:c>
    </x:row>
    <x:row r="108">
      <x:c r="A108" s="81" t="str">
        <x:v>M4-BASE-104</x:v>
      </x:c>
      <x:c r="B108" s="76" t="str">
        <x:v>SYS01 比劫系统｜K03系统替代候选</x:v>
      </x:c>
      <x:c r="C108" s="76" t="str">
        <x:v>L3 五系统与流向</x:v>
      </x:c>
      <x:c r="D108" s="76" t="str">
        <x:v>BASE-五系统</x:v>
      </x:c>
      <x:c r="E108" s="76" t="str">
        <x:v>通用</x:v>
      </x:c>
      <x:c r="F108" s="76" t="str">
        <x:v>组合候选</x:v>
      </x:c>
      <x:c r="G108" s="76" t="str">
        <x:v>SYS01 比劫系统</x:v>
      </x:c>
      <x:c r="H108" s="76" t="str">
        <x:v>K03 单通道替代</x:v>
      </x:c>
      <x:c r="I108" s="76" t="str">
        <x:v>系统功能有效且长期承担超出本系统范围的关系任务；被替代系统不足或延后；有M3顺序或现实行为支持。</x:v>
      </x:c>
      <x:c r="J108" s="76" t="str">
        <x:v>多个系统已形成清楚分工；仅为同义表达；无被替代任务。</x:v>
      </x:c>
      <x:c r="K108" s="76" t="str">
        <x:v>由共享基础引擎提供；只修正承载与执行，不直接等同强弱人格。</x:v>
      </x:c>
      <x:c r="L108" s="76" t="str">
        <x:v>由M2接口提供；夫妻星只参与关系议题权重，不单独生成盲点。</x:v>
      </x:c>
      <x:c r="M108" s="76" t="str">
        <x:v>由M3-BASE与共享引擎提供；不得把日支直接写成配偶性格。</x:v>
      </x:c>
      <x:c r="N108" s="76" t="str">
        <x:v>无／待后续规则组合</x:v>
      </x:c>
      <x:c r="O108" s="76" t="str">
        <x:v>由共享基础引擎判定</x:v>
      </x:c>
      <x:c r="P108" s="76" t="str">
        <x:v>由共享基础引擎判定</x:v>
      </x:c>
      <x:c r="Q108" s="76" t="str">
        <x:v>由共享基础引擎判定</x:v>
      </x:c>
      <x:c r="R108" s="76" t="str">
        <x:v>喜忌只修正调用摩擦与平衡，不直接等同好坏。</x:v>
      </x:c>
      <x:c r="S108" s="76" t="str">
        <x:v>原十神性质有效；真合化成立时按化神系统替换。</x:v>
      </x:c>
      <x:c r="T108" s="76" t="str">
        <x:v>由共享基础引擎判定</x:v>
      </x:c>
      <x:c r="U108" s="76" t="str">
        <x:v>78</x:v>
      </x:c>
      <x:c r="V108" s="76" t="str">
        <x:v>K03系统候选 +6</x:v>
      </x:c>
      <x:c r="W108" s="76" t="str">
        <x:v>imbalance_mechanism</x:v>
      </x:c>
      <x:c r="X108" s="76" t="str">
        <x:v>比劫系统可能被用来替代其他必要任务：用形式对等替代差异化分工、情绪照顾或现实责任。</x:v>
      </x:c>
      <x:c r="Y108" s="76" t="str">
        <x:v>需要观察是否会出现：用形式对等替代差异化分工、情绪照顾或现实责任。</x:v>
      </x:c>
      <x:c r="Z108" s="76" t="str">
        <x:v>不得只凭系统强弱判断替代关系；必须说明被替代的具体功能。</x:v>
      </x:c>
      <x:c r="AA108" s="76" t="str">
        <x:v>中低</x:v>
      </x:c>
      <x:c r="AB108" s="76" t="str">
        <x:v>待验证</x:v>
      </x:c>
      <x:c r="AC108" s="76" t="str"/>
      <x:c r="AD108" s="76" t="str">
        <x:v>provisional=true; system=SYS01; imbalance=K03; route=B10／B12</x:v>
      </x:c>
      <x:c r="AE108" s="82" t="str">
        <x:v>0.2</x:v>
      </x:c>
    </x:row>
    <x:row r="109">
      <x:c r="A109" s="81" t="str">
        <x:v>M4-BASE-105</x:v>
      </x:c>
      <x:c r="B109" s="76" t="str">
        <x:v>SYS02 食伤系统｜正常功能总纲</x:v>
      </x:c>
      <x:c r="C109" s="76" t="str">
        <x:v>L1 正常功能来源</x:v>
      </x:c>
      <x:c r="D109" s="76" t="str">
        <x:v>BASE-五系统</x:v>
      </x:c>
      <x:c r="E109" s="76" t="str">
        <x:v>通用</x:v>
      </x:c>
      <x:c r="F109" s="76" t="str">
        <x:v>基础</x:v>
      </x:c>
      <x:c r="G109" s="76" t="str">
        <x:v>SYS02 食伤系统</x:v>
      </x:c>
      <x:c r="H109" s="76" t="str"/>
      <x:c r="I109" s="76" t="str">
        <x:v>M3至少一个对应十神通道有效；同系统正偏十神完成收敛；基础状态可靠。</x:v>
      </x:c>
      <x:c r="J109" s="76" t="str">
        <x:v>同系统所有通道均停止或已真合化替换。</x:v>
      </x:c>
      <x:c r="K109" s="76" t="str">
        <x:v>由共享基础引擎提供；只修正承载与执行，不直接等同强弱人格。</x:v>
      </x:c>
      <x:c r="L109" s="76" t="str">
        <x:v>由M2接口提供；夫妻星只参与关系议题权重，不单独生成盲点。</x:v>
      </x:c>
      <x:c r="M109" s="76" t="str">
        <x:v>由M3-BASE与共享引擎提供；不得把日支直接写成配偶性格。</x:v>
      </x:c>
      <x:c r="N109" s="76" t="str">
        <x:v>无／待后续规则组合</x:v>
      </x:c>
      <x:c r="O109" s="76" t="str">
        <x:v>由共享基础引擎判定</x:v>
      </x:c>
      <x:c r="P109" s="76" t="str">
        <x:v>由共享基础引擎判定</x:v>
      </x:c>
      <x:c r="Q109" s="76" t="str">
        <x:v>由共享基础引擎判定</x:v>
      </x:c>
      <x:c r="R109" s="76" t="str">
        <x:v>喜忌只修正调用摩擦与平衡，不直接等同好坏。</x:v>
      </x:c>
      <x:c r="S109" s="76" t="str">
        <x:v>原十神性质有效；真合化成立时按化神系统替换。</x:v>
      </x:c>
      <x:c r="T109" s="76" t="str">
        <x:v>由共享基础引擎判定</x:v>
      </x:c>
      <x:c r="U109" s="76" t="str">
        <x:v>88</x:v>
      </x:c>
      <x:c r="V109" s="76" t="str">
        <x:v>系统功能来源候选 +4（不与十神基础分重复）</x:v>
      </x:c>
      <x:c r="W109" s="76" t="str">
        <x:v>functional_origin</x:v>
      </x:c>
      <x:c r="X109" s="76" t="str">
        <x:v>食伤系统在关系中的正常任务是：表达、澄清、互动、降温和将内部体验变成可沟通信息。系统层只做归类，不重复十神分数。</x:v>
      </x:c>
      <x:c r="Y109" s="76" t="str">
        <x:v>从功能系统看，你较常调用的是：表达、澄清、互动、降温和将内部体验变成可沟通信息。</x:v>
      </x:c>
      <x:c r="Z109" s="76" t="str">
        <x:v>系统明显不等于人格标签，也不等于必然失衡；不得与同一十神source_id重复加分。</x:v>
      </x:c>
      <x:c r="AA109" s="76" t="str">
        <x:v>中高</x:v>
      </x:c>
      <x:c r="AB109" s="76" t="str">
        <x:v>待验证</x:v>
      </x:c>
      <x:c r="AC109" s="76" t="str"/>
      <x:c r="AD109" s="76" t="str">
        <x:v>provisional=true; system=SYS02; subtype=normal; dedup_required=true</x:v>
      </x:c>
      <x:c r="AE109" s="82" t="str">
        <x:v>0.2</x:v>
      </x:c>
    </x:row>
    <x:row r="110">
      <x:c r="A110" s="81" t="str">
        <x:v>M4-BASE-106</x:v>
      </x:c>
      <x:c r="B110" s="76" t="str">
        <x:v>SYS02 食伤系统｜K01系统过用候选</x:v>
      </x:c>
      <x:c r="C110" s="76" t="str">
        <x:v>L3 五系统与流向</x:v>
      </x:c>
      <x:c r="D110" s="76" t="str">
        <x:v>BASE-五系统</x:v>
      </x:c>
      <x:c r="E110" s="76" t="str">
        <x:v>通用</x:v>
      </x:c>
      <x:c r="F110" s="76" t="str">
        <x:v>失衡候选</x:v>
      </x:c>
      <x:c r="G110" s="76" t="str">
        <x:v>SYS02 食伤系统</x:v>
      </x:c>
      <x:c r="H110" s="76" t="str">
        <x:v>K01 过用放大</x:v>
      </x:c>
      <x:c r="I110" s="76" t="str">
        <x:v>系统功能有效；过旺失衡、压力抢先、跨模块重复调用或现实重复中的至少两类证据成立。</x:v>
      </x:c>
      <x:c r="J110" s="76" t="str">
        <x:v>旺而平衡且调节完整；仅有单一十神标签；现实反例明显。</x:v>
      </x:c>
      <x:c r="K110" s="76" t="str">
        <x:v>由共享基础引擎提供；只修正承载与执行，不直接等同强弱人格。</x:v>
      </x:c>
      <x:c r="L110" s="76" t="str">
        <x:v>由M2接口提供；夫妻星只参与关系议题权重，不单独生成盲点。</x:v>
      </x:c>
      <x:c r="M110" s="76" t="str">
        <x:v>由M3-BASE与共享引擎提供；不得把日支直接写成配偶性格。</x:v>
      </x:c>
      <x:c r="N110" s="76" t="str">
        <x:v>无／待后续规则组合</x:v>
      </x:c>
      <x:c r="O110" s="76" t="str">
        <x:v>由共享基础引擎判定</x:v>
      </x:c>
      <x:c r="P110" s="76" t="str">
        <x:v>由共享基础引擎判定</x:v>
      </x:c>
      <x:c r="Q110" s="76" t="str">
        <x:v>过旺失衡／多模块抢先／现实重复</x:v>
      </x:c>
      <x:c r="R110" s="76" t="str">
        <x:v>喜忌只修正调用摩擦与平衡，不直接等同好坏。</x:v>
      </x:c>
      <x:c r="S110" s="76" t="str">
        <x:v>原十神性质有效；真合化成立时按化神系统替换。</x:v>
      </x:c>
      <x:c r="T110" s="76" t="str">
        <x:v>由共享基础引擎判定</x:v>
      </x:c>
      <x:c r="U110" s="76" t="str">
        <x:v>80</x:v>
      </x:c>
      <x:c r="V110" s="76" t="str">
        <x:v>K01系统候选 +6；与十神K01取较高值不叠加</x:v>
      </x:c>
      <x:c r="W110" s="76" t="str">
        <x:v>imbalance_mechanism</x:v>
      </x:c>
      <x:c r="X110" s="76" t="str">
        <x:v>食伤系统过用时可能表现为：解释过载、逻辑抢先、舒适延后问题或表达替代理解。</x:v>
      </x:c>
      <x:c r="Y110" s="76" t="str">
        <x:v>当这一功能系统过度占位时，可能出现：解释过载、逻辑抢先、舒适延后问题或表达替代理解。</x:v>
      </x:c>
      <x:c r="Z110" s="76" t="str">
        <x:v>不得把系统过用写成固定人格、道德问题或关系结局；需检查触发与保护因素。</x:v>
      </x:c>
      <x:c r="AA110" s="76" t="str">
        <x:v>中</x:v>
      </x:c>
      <x:c r="AB110" s="76" t="str">
        <x:v>待验证</x:v>
      </x:c>
      <x:c r="AC110" s="76" t="str"/>
      <x:c r="AD110" s="76" t="str">
        <x:v>provisional=true; system=SYS02; imbalance=K01; max_not_sum=true</x:v>
      </x:c>
      <x:c r="AE110" s="82" t="str">
        <x:v>0.2</x:v>
      </x:c>
    </x:row>
    <x:row r="111">
      <x:c r="A111" s="81" t="str">
        <x:v>M4-BASE-107</x:v>
      </x:c>
      <x:c r="B111" s="76" t="str">
        <x:v>SYS02 食伤系统｜K02系统不足候选</x:v>
      </x:c>
      <x:c r="C111" s="76" t="str">
        <x:v>L3 五系统与流向</x:v>
      </x:c>
      <x:c r="D111" s="76" t="str">
        <x:v>BASE-五系统</x:v>
      </x:c>
      <x:c r="E111" s="76" t="str">
        <x:v>通用</x:v>
      </x:c>
      <x:c r="F111" s="76" t="str">
        <x:v>失衡候选</x:v>
      </x:c>
      <x:c r="G111" s="76" t="str">
        <x:v>SYS02 食伤系统</x:v>
      </x:c>
      <x:c r="H111" s="76" t="str">
        <x:v>K02 功能不足</x:v>
      </x:c>
      <x:c r="I111" s="76" t="str">
        <x:v>该系统是某条关系路径必要环节；相关通道弱而无助、被制受阻或现实行为长期缺位；无有效替代。</x:v>
      </x:c>
      <x:c r="J111" s="76" t="str">
        <x:v>存在弱而有助或可替代通道；现实行为能够稳定完成该系统任务。</x:v>
      </x:c>
      <x:c r="K111" s="76" t="str">
        <x:v>由共享基础引擎提供；只修正承载与执行，不直接等同强弱人格。</x:v>
      </x:c>
      <x:c r="L111" s="76" t="str">
        <x:v>由M2接口提供；夫妻星只参与关系议题权重，不单独生成盲点。</x:v>
      </x:c>
      <x:c r="M111" s="76" t="str">
        <x:v>由M3-BASE与共享引擎提供；不得把日支直接写成配偶性格。</x:v>
      </x:c>
      <x:c r="N111" s="76" t="str">
        <x:v>无／待后续规则组合</x:v>
      </x:c>
      <x:c r="O111" s="76" t="str">
        <x:v>由共享基础引擎判定</x:v>
      </x:c>
      <x:c r="P111" s="76" t="str">
        <x:v>由共享基础引擎判定</x:v>
      </x:c>
      <x:c r="Q111" s="76" t="str">
        <x:v>弱而无助／被制受阻／现实缺位</x:v>
      </x:c>
      <x:c r="R111" s="76" t="str">
        <x:v>喜忌只修正调用摩擦与平衡，不直接等同好坏。</x:v>
      </x:c>
      <x:c r="S111" s="76" t="str">
        <x:v>原十神性质有效；真合化成立时按化神系统替换。</x:v>
      </x:c>
      <x:c r="T111" s="76" t="str">
        <x:v>由共享基础引擎判定</x:v>
      </x:c>
      <x:c r="U111" s="76" t="str">
        <x:v>79</x:v>
      </x:c>
      <x:c r="V111" s="76" t="str">
        <x:v>K02系统候选 +6；与十神K02取较高值不叠加</x:v>
      </x:c>
      <x:c r="W111" s="76" t="str">
        <x:v>missing_function</x:v>
      </x:c>
      <x:c r="X111" s="76" t="str">
        <x:v>食伤系统不足时可能表现为：需求、感受和关键信息难以被看见，修复缺少语言回流。</x:v>
      </x:c>
      <x:c r="Y111" s="76" t="str">
        <x:v>关系中可能较晚进入或需要补充的环节是：需求、感受和关键信息难以被看见，修复缺少语言回流。</x:v>
      </x:c>
      <x:c r="Z111" s="76" t="str">
        <x:v>弱不等于没有；必须排除替代通道和现实反例，不得由此判断用户无能力或不成熟。</x:v>
      </x:c>
      <x:c r="AA111" s="76" t="str">
        <x:v>中</x:v>
      </x:c>
      <x:c r="AB111" s="76" t="str">
        <x:v>待验证</x:v>
      </x:c>
      <x:c r="AC111" s="76" t="str"/>
      <x:c r="AD111" s="76" t="str">
        <x:v>provisional=true; system=SYS02; imbalance=K02; max_not_sum=true</x:v>
      </x:c>
      <x:c r="AE111" s="82" t="str">
        <x:v>0.2</x:v>
      </x:c>
    </x:row>
    <x:row r="112">
      <x:c r="A112" s="81" t="str">
        <x:v>M4-BASE-108</x:v>
      </x:c>
      <x:c r="B112" s="76" t="str">
        <x:v>SYS02 食伤系统｜K03系统替代候选</x:v>
      </x:c>
      <x:c r="C112" s="76" t="str">
        <x:v>L3 五系统与流向</x:v>
      </x:c>
      <x:c r="D112" s="76" t="str">
        <x:v>BASE-五系统</x:v>
      </x:c>
      <x:c r="E112" s="76" t="str">
        <x:v>通用</x:v>
      </x:c>
      <x:c r="F112" s="76" t="str">
        <x:v>组合候选</x:v>
      </x:c>
      <x:c r="G112" s="76" t="str">
        <x:v>SYS02 食伤系统</x:v>
      </x:c>
      <x:c r="H112" s="76" t="str">
        <x:v>K03 单通道替代</x:v>
      </x:c>
      <x:c r="I112" s="76" t="str">
        <x:v>系统功能有效且长期承担超出本系统范围的关系任务；被替代系统不足或延后；有M3顺序或现实行为支持。</x:v>
      </x:c>
      <x:c r="J112" s="76" t="str">
        <x:v>多个系统已形成清楚分工；仅为同义表达；无被替代任务。</x:v>
      </x:c>
      <x:c r="K112" s="76" t="str">
        <x:v>由共享基础引擎提供；只修正承载与执行，不直接等同强弱人格。</x:v>
      </x:c>
      <x:c r="L112" s="76" t="str">
        <x:v>由M2接口提供；夫妻星只参与关系议题权重，不单独生成盲点。</x:v>
      </x:c>
      <x:c r="M112" s="76" t="str">
        <x:v>由M3-BASE与共享引擎提供；不得把日支直接写成配偶性格。</x:v>
      </x:c>
      <x:c r="N112" s="76" t="str">
        <x:v>无／待后续规则组合</x:v>
      </x:c>
      <x:c r="O112" s="76" t="str">
        <x:v>由共享基础引擎判定</x:v>
      </x:c>
      <x:c r="P112" s="76" t="str">
        <x:v>由共享基础引擎判定</x:v>
      </x:c>
      <x:c r="Q112" s="76" t="str">
        <x:v>由共享基础引擎判定</x:v>
      </x:c>
      <x:c r="R112" s="76" t="str">
        <x:v>喜忌只修正调用摩擦与平衡，不直接等同好坏。</x:v>
      </x:c>
      <x:c r="S112" s="76" t="str">
        <x:v>原十神性质有效；真合化成立时按化神系统替换。</x:v>
      </x:c>
      <x:c r="T112" s="76" t="str">
        <x:v>由共享基础引擎判定</x:v>
      </x:c>
      <x:c r="U112" s="76" t="str">
        <x:v>78</x:v>
      </x:c>
      <x:c r="V112" s="76" t="str">
        <x:v>K03系统候选 +6</x:v>
      </x:c>
      <x:c r="W112" s="76" t="str">
        <x:v>imbalance_mechanism</x:v>
      </x:c>
      <x:c r="X112" s="76" t="str">
        <x:v>食伤系统可能被用来替代其他必要任务：用说清楚或维持气氛替代倾听、责任、行动和边界执行。</x:v>
      </x:c>
      <x:c r="Y112" s="76" t="str">
        <x:v>需要观察是否会出现：用说清楚或维持气氛替代倾听、责任、行动和边界执行。</x:v>
      </x:c>
      <x:c r="Z112" s="76" t="str">
        <x:v>不得只凭系统强弱判断替代关系；必须说明被替代的具体功能。</x:v>
      </x:c>
      <x:c r="AA112" s="76" t="str">
        <x:v>中低</x:v>
      </x:c>
      <x:c r="AB112" s="76" t="str">
        <x:v>待验证</x:v>
      </x:c>
      <x:c r="AC112" s="76" t="str"/>
      <x:c r="AD112" s="76" t="str">
        <x:v>provisional=true; system=SYS02; imbalance=K03; route=B05／B06／B11</x:v>
      </x:c>
      <x:c r="AE112" s="82" t="str">
        <x:v>0.2</x:v>
      </x:c>
    </x:row>
    <x:row r="113">
      <x:c r="A113" s="81" t="str">
        <x:v>M4-BASE-109</x:v>
      </x:c>
      <x:c r="B113" s="76" t="str">
        <x:v>SYS03 财星系统｜正常功能总纲</x:v>
      </x:c>
      <x:c r="C113" s="76" t="str">
        <x:v>L1 正常功能来源</x:v>
      </x:c>
      <x:c r="D113" s="76" t="str">
        <x:v>BASE-五系统</x:v>
      </x:c>
      <x:c r="E113" s="76" t="str">
        <x:v>通用</x:v>
      </x:c>
      <x:c r="F113" s="76" t="str">
        <x:v>基础</x:v>
      </x:c>
      <x:c r="G113" s="76" t="str">
        <x:v>SYS03 财星系统</x:v>
      </x:c>
      <x:c r="H113" s="76" t="str"/>
      <x:c r="I113" s="76" t="str">
        <x:v>M3至少一个对应十神通道有效；同系统正偏十神完成收敛；基础状态可靠。</x:v>
      </x:c>
      <x:c r="J113" s="76" t="str">
        <x:v>同系统所有通道均停止或已真合化替换。</x:v>
      </x:c>
      <x:c r="K113" s="76" t="str">
        <x:v>由共享基础引擎提供；只修正承载与执行，不直接等同强弱人格。</x:v>
      </x:c>
      <x:c r="L113" s="76" t="str">
        <x:v>由M2接口提供；夫妻星只参与关系议题权重，不单独生成盲点。</x:v>
      </x:c>
      <x:c r="M113" s="76" t="str">
        <x:v>由M3-BASE与共享引擎提供；不得把日支直接写成配偶性格。</x:v>
      </x:c>
      <x:c r="N113" s="76" t="str">
        <x:v>无／待后续规则组合</x:v>
      </x:c>
      <x:c r="O113" s="76" t="str">
        <x:v>由共享基础引擎判定</x:v>
      </x:c>
      <x:c r="P113" s="76" t="str">
        <x:v>由共享基础引擎判定</x:v>
      </x:c>
      <x:c r="Q113" s="76" t="str">
        <x:v>由共享基础引擎判定</x:v>
      </x:c>
      <x:c r="R113" s="76" t="str">
        <x:v>喜忌只修正调用摩擦与平衡，不直接等同好坏。</x:v>
      </x:c>
      <x:c r="S113" s="76" t="str">
        <x:v>原十神性质有效；真合化成立时按化神系统替换。</x:v>
      </x:c>
      <x:c r="T113" s="76" t="str">
        <x:v>由共享基础引擎判定</x:v>
      </x:c>
      <x:c r="U113" s="76" t="str">
        <x:v>88</x:v>
      </x:c>
      <x:c r="V113" s="76" t="str">
        <x:v>系统功能来源候选 +4（不与十神基础分重复）</x:v>
      </x:c>
      <x:c r="W113" s="76" t="str">
        <x:v>functional_origin</x:v>
      </x:c>
      <x:c r="X113" s="76" t="str">
        <x:v>财星系统在关系中的正常任务是：投入、资源、生活经营、现实落实和共同体验。系统层只做归类，不重复十神分数。</x:v>
      </x:c>
      <x:c r="Y113" s="76" t="str">
        <x:v>从功能系统看，你较常调用的是：投入、资源、生活经营、现实落实和共同体验。</x:v>
      </x:c>
      <x:c r="Z113" s="76" t="str">
        <x:v>系统明显不等于人格标签，也不等于必然失衡；不得与同一十神source_id重复加分。</x:v>
      </x:c>
      <x:c r="AA113" s="76" t="str">
        <x:v>中高</x:v>
      </x:c>
      <x:c r="AB113" s="76" t="str">
        <x:v>待验证</x:v>
      </x:c>
      <x:c r="AC113" s="76" t="str"/>
      <x:c r="AD113" s="76" t="str">
        <x:v>provisional=true; system=SYS03; subtype=normal; dedup_required=true</x:v>
      </x:c>
      <x:c r="AE113" s="82" t="str">
        <x:v>0.2</x:v>
      </x:c>
    </x:row>
    <x:row r="114">
      <x:c r="A114" s="81" t="str">
        <x:v>M4-BASE-110</x:v>
      </x:c>
      <x:c r="B114" s="76" t="str">
        <x:v>SYS03 财星系统｜K01系统过用候选</x:v>
      </x:c>
      <x:c r="C114" s="76" t="str">
        <x:v>L3 五系统与流向</x:v>
      </x:c>
      <x:c r="D114" s="76" t="str">
        <x:v>BASE-五系统</x:v>
      </x:c>
      <x:c r="E114" s="76" t="str">
        <x:v>通用</x:v>
      </x:c>
      <x:c r="F114" s="76" t="str">
        <x:v>失衡候选</x:v>
      </x:c>
      <x:c r="G114" s="76" t="str">
        <x:v>SYS03 财星系统</x:v>
      </x:c>
      <x:c r="H114" s="76" t="str">
        <x:v>K01 过用放大</x:v>
      </x:c>
      <x:c r="I114" s="76" t="str">
        <x:v>系统功能有效；过旺失衡、压力抢先、跨模块重复调用或现实重复中的至少两类证据成立。</x:v>
      </x:c>
      <x:c r="J114" s="76" t="str">
        <x:v>旺而平衡且调节完整；仅有单一十神标签；现实反例明显。</x:v>
      </x:c>
      <x:c r="K114" s="76" t="str">
        <x:v>由共享基础引擎提供；只修正承载与执行，不直接等同强弱人格。</x:v>
      </x:c>
      <x:c r="L114" s="76" t="str">
        <x:v>由M2接口提供；夫妻星只参与关系议题权重，不单独生成盲点。</x:v>
      </x:c>
      <x:c r="M114" s="76" t="str">
        <x:v>由M3-BASE与共享引擎提供；不得把日支直接写成配偶性格。</x:v>
      </x:c>
      <x:c r="N114" s="76" t="str">
        <x:v>无／待后续规则组合</x:v>
      </x:c>
      <x:c r="O114" s="76" t="str">
        <x:v>由共享基础引擎判定</x:v>
      </x:c>
      <x:c r="P114" s="76" t="str">
        <x:v>由共享基础引擎判定</x:v>
      </x:c>
      <x:c r="Q114" s="76" t="str">
        <x:v>过旺失衡／多模块抢先／现实重复</x:v>
      </x:c>
      <x:c r="R114" s="76" t="str">
        <x:v>喜忌只修正调用摩擦与平衡，不直接等同好坏。</x:v>
      </x:c>
      <x:c r="S114" s="76" t="str">
        <x:v>原十神性质有效；真合化成立时按化神系统替换。</x:v>
      </x:c>
      <x:c r="T114" s="76" t="str">
        <x:v>由共享基础引擎判定</x:v>
      </x:c>
      <x:c r="U114" s="76" t="str">
        <x:v>80</x:v>
      </x:c>
      <x:c r="V114" s="76" t="str">
        <x:v>K01系统候选 +6；与十神K01取较高值不叠加</x:v>
      </x:c>
      <x:c r="W114" s="76" t="str">
        <x:v>imbalance_mechanism</x:v>
      </x:c>
      <x:c r="X114" s="76" t="str">
        <x:v>财星系统过用时可能表现为：付出记账、任务替代情绪、氛围替代稳定或资源边界模糊。</x:v>
      </x:c>
      <x:c r="Y114" s="76" t="str">
        <x:v>当这一功能系统过度占位时，可能出现：付出记账、任务替代情绪、氛围替代稳定或资源边界模糊。</x:v>
      </x:c>
      <x:c r="Z114" s="76" t="str">
        <x:v>不得把系统过用写成固定人格、道德问题或关系结局；需检查触发与保护因素。</x:v>
      </x:c>
      <x:c r="AA114" s="76" t="str">
        <x:v>中</x:v>
      </x:c>
      <x:c r="AB114" s="76" t="str">
        <x:v>待验证</x:v>
      </x:c>
      <x:c r="AC114" s="76" t="str"/>
      <x:c r="AD114" s="76" t="str">
        <x:v>provisional=true; system=SYS03; imbalance=K01; max_not_sum=true</x:v>
      </x:c>
      <x:c r="AE114" s="82" t="str">
        <x:v>0.2</x:v>
      </x:c>
    </x:row>
    <x:row r="115">
      <x:c r="A115" s="81" t="str">
        <x:v>M4-BASE-111</x:v>
      </x:c>
      <x:c r="B115" s="76" t="str">
        <x:v>SYS03 财星系统｜K02系统不足候选</x:v>
      </x:c>
      <x:c r="C115" s="76" t="str">
        <x:v>L3 五系统与流向</x:v>
      </x:c>
      <x:c r="D115" s="76" t="str">
        <x:v>BASE-五系统</x:v>
      </x:c>
      <x:c r="E115" s="76" t="str">
        <x:v>通用</x:v>
      </x:c>
      <x:c r="F115" s="76" t="str">
        <x:v>失衡候选</x:v>
      </x:c>
      <x:c r="G115" s="76" t="str">
        <x:v>SYS03 财星系统</x:v>
      </x:c>
      <x:c r="H115" s="76" t="str">
        <x:v>K02 功能不足</x:v>
      </x:c>
      <x:c r="I115" s="76" t="str">
        <x:v>该系统是某条关系路径必要环节；相关通道弱而无助、被制受阻或现实行为长期缺位；无有效替代。</x:v>
      </x:c>
      <x:c r="J115" s="76" t="str">
        <x:v>存在弱而有助或可替代通道；现实行为能够稳定完成该系统任务。</x:v>
      </x:c>
      <x:c r="K115" s="76" t="str">
        <x:v>由共享基础引擎提供；只修正承载与执行，不直接等同强弱人格。</x:v>
      </x:c>
      <x:c r="L115" s="76" t="str">
        <x:v>由M2接口提供；夫妻星只参与关系议题权重，不单独生成盲点。</x:v>
      </x:c>
      <x:c r="M115" s="76" t="str">
        <x:v>由M3-BASE与共享引擎提供；不得把日支直接写成配偶性格。</x:v>
      </x:c>
      <x:c r="N115" s="76" t="str">
        <x:v>无／待后续规则组合</x:v>
      </x:c>
      <x:c r="O115" s="76" t="str">
        <x:v>由共享基础引擎判定</x:v>
      </x:c>
      <x:c r="P115" s="76" t="str">
        <x:v>由共享基础引擎判定</x:v>
      </x:c>
      <x:c r="Q115" s="76" t="str">
        <x:v>弱而无助／被制受阻／现实缺位</x:v>
      </x:c>
      <x:c r="R115" s="76" t="str">
        <x:v>喜忌只修正调用摩擦与平衡，不直接等同好坏。</x:v>
      </x:c>
      <x:c r="S115" s="76" t="str">
        <x:v>原十神性质有效；真合化成立时按化神系统替换。</x:v>
      </x:c>
      <x:c r="T115" s="76" t="str">
        <x:v>由共享基础引擎判定</x:v>
      </x:c>
      <x:c r="U115" s="76" t="str">
        <x:v>79</x:v>
      </x:c>
      <x:c r="V115" s="76" t="str">
        <x:v>K02系统候选 +6；与十神K02取较高值不叠加</x:v>
      </x:c>
      <x:c r="W115" s="76" t="str">
        <x:v>missing_function</x:v>
      </x:c>
      <x:c r="X115" s="76" t="str">
        <x:v>财星系统不足时可能表现为：承诺和表达难以落地，关系缺少持续时间、资源与日常安排。</x:v>
      </x:c>
      <x:c r="Y115" s="76" t="str">
        <x:v>关系中可能较晚进入或需要补充的环节是：承诺和表达难以落地，关系缺少持续时间、资源与日常安排。</x:v>
      </x:c>
      <x:c r="Z115" s="76" t="str">
        <x:v>弱不等于没有；必须排除替代通道和现实反例，不得由此判断用户无能力或不成熟。</x:v>
      </x:c>
      <x:c r="AA115" s="76" t="str">
        <x:v>中</x:v>
      </x:c>
      <x:c r="AB115" s="76" t="str">
        <x:v>待验证</x:v>
      </x:c>
      <x:c r="AC115" s="76" t="str"/>
      <x:c r="AD115" s="76" t="str">
        <x:v>provisional=true; system=SYS03; imbalance=K02; max_not_sum=true</x:v>
      </x:c>
      <x:c r="AE115" s="82" t="str">
        <x:v>0.2</x:v>
      </x:c>
    </x:row>
    <x:row r="116">
      <x:c r="A116" s="81" t="str">
        <x:v>M4-BASE-112</x:v>
      </x:c>
      <x:c r="B116" s="76" t="str">
        <x:v>SYS03 财星系统｜K03系统替代候选</x:v>
      </x:c>
      <x:c r="C116" s="76" t="str">
        <x:v>L3 五系统与流向</x:v>
      </x:c>
      <x:c r="D116" s="76" t="str">
        <x:v>BASE-五系统</x:v>
      </x:c>
      <x:c r="E116" s="76" t="str">
        <x:v>通用</x:v>
      </x:c>
      <x:c r="F116" s="76" t="str">
        <x:v>组合候选</x:v>
      </x:c>
      <x:c r="G116" s="76" t="str">
        <x:v>SYS03 财星系统</x:v>
      </x:c>
      <x:c r="H116" s="76" t="str">
        <x:v>K03 单通道替代</x:v>
      </x:c>
      <x:c r="I116" s="76" t="str">
        <x:v>系统功能有效且长期承担超出本系统范围的关系任务；被替代系统不足或延后；有M3顺序或现实行为支持。</x:v>
      </x:c>
      <x:c r="J116" s="76" t="str">
        <x:v>多个系统已形成清楚分工；仅为同义表达；无被替代任务。</x:v>
      </x:c>
      <x:c r="K116" s="76" t="str">
        <x:v>由共享基础引擎提供；只修正承载与执行，不直接等同强弱人格。</x:v>
      </x:c>
      <x:c r="L116" s="76" t="str">
        <x:v>由M2接口提供；夫妻星只参与关系议题权重，不单独生成盲点。</x:v>
      </x:c>
      <x:c r="M116" s="76" t="str">
        <x:v>由M3-BASE与共享引擎提供；不得把日支直接写成配偶性格。</x:v>
      </x:c>
      <x:c r="N116" s="76" t="str">
        <x:v>无／待后续规则组合</x:v>
      </x:c>
      <x:c r="O116" s="76" t="str">
        <x:v>由共享基础引擎判定</x:v>
      </x:c>
      <x:c r="P116" s="76" t="str">
        <x:v>由共享基础引擎判定</x:v>
      </x:c>
      <x:c r="Q116" s="76" t="str">
        <x:v>由共享基础引擎判定</x:v>
      </x:c>
      <x:c r="R116" s="76" t="str">
        <x:v>喜忌只修正调用摩擦与平衡，不直接等同好坏。</x:v>
      </x:c>
      <x:c r="S116" s="76" t="str">
        <x:v>原十神性质有效；真合化成立时按化神系统替换。</x:v>
      </x:c>
      <x:c r="T116" s="76" t="str">
        <x:v>由共享基础引擎判定</x:v>
      </x:c>
      <x:c r="U116" s="76" t="str">
        <x:v>78</x:v>
      </x:c>
      <x:c r="V116" s="76" t="str">
        <x:v>K03系统候选 +6</x:v>
      </x:c>
      <x:c r="W116" s="76" t="str">
        <x:v>imbalance_mechanism</x:v>
      </x:c>
      <x:c r="X116" s="76" t="str">
        <x:v>财星系统可能被用来替代其他必要任务：用投入或体验替代明确承诺、情绪处理和双方协商。</x:v>
      </x:c>
      <x:c r="Y116" s="76" t="str">
        <x:v>需要观察是否会出现：用投入或体验替代明确承诺、情绪处理和双方协商。</x:v>
      </x:c>
      <x:c r="Z116" s="76" t="str">
        <x:v>不得只凭系统强弱判断替代关系；必须说明被替代的具体功能。</x:v>
      </x:c>
      <x:c r="AA116" s="76" t="str">
        <x:v>中低</x:v>
      </x:c>
      <x:c r="AB116" s="76" t="str">
        <x:v>待验证</x:v>
      </x:c>
      <x:c r="AC116" s="76" t="str"/>
      <x:c r="AD116" s="76" t="str">
        <x:v>provisional=true; system=SYS03; imbalance=K03; route=B02／B03／B07</x:v>
      </x:c>
      <x:c r="AE116" s="82" t="str">
        <x:v>0.2</x:v>
      </x:c>
    </x:row>
    <x:row r="117">
      <x:c r="A117" s="81" t="str">
        <x:v>M4-BASE-113</x:v>
      </x:c>
      <x:c r="B117" s="76" t="str">
        <x:v>SYS04 官杀系统｜正常功能总纲</x:v>
      </x:c>
      <x:c r="C117" s="76" t="str">
        <x:v>L1 正常功能来源</x:v>
      </x:c>
      <x:c r="D117" s="76" t="str">
        <x:v>BASE-五系统</x:v>
      </x:c>
      <x:c r="E117" s="76" t="str">
        <x:v>通用</x:v>
      </x:c>
      <x:c r="F117" s="76" t="str">
        <x:v>基础</x:v>
      </x:c>
      <x:c r="G117" s="76" t="str">
        <x:v>SYS04 官杀系统</x:v>
      </x:c>
      <x:c r="H117" s="76" t="str"/>
      <x:c r="I117" s="76" t="str">
        <x:v>M3至少一个对应十神通道有效；同系统正偏十神完成收敛；基础状态可靠。</x:v>
      </x:c>
      <x:c r="J117" s="76" t="str">
        <x:v>同系统所有通道均停止或已真合化替换。</x:v>
      </x:c>
      <x:c r="K117" s="76" t="str">
        <x:v>由共享基础引擎提供；只修正承载与执行，不直接等同强弱人格。</x:v>
      </x:c>
      <x:c r="L117" s="76" t="str">
        <x:v>由M2接口提供；夫妻星只参与关系议题权重，不单独生成盲点。</x:v>
      </x:c>
      <x:c r="M117" s="76" t="str">
        <x:v>由M3-BASE与共享引擎提供；不得把日支直接写成配偶性格。</x:v>
      </x:c>
      <x:c r="N117" s="76" t="str">
        <x:v>无／待后续规则组合</x:v>
      </x:c>
      <x:c r="O117" s="76" t="str">
        <x:v>由共享基础引擎判定</x:v>
      </x:c>
      <x:c r="P117" s="76" t="str">
        <x:v>由共享基础引擎判定</x:v>
      </x:c>
      <x:c r="Q117" s="76" t="str">
        <x:v>由共享基础引擎判定</x:v>
      </x:c>
      <x:c r="R117" s="76" t="str">
        <x:v>喜忌只修正调用摩擦与平衡，不直接等同好坏。</x:v>
      </x:c>
      <x:c r="S117" s="76" t="str">
        <x:v>原十神性质有效；真合化成立时按化神系统替换。</x:v>
      </x:c>
      <x:c r="T117" s="76" t="str">
        <x:v>由共享基础引擎判定</x:v>
      </x:c>
      <x:c r="U117" s="76" t="str">
        <x:v>88</x:v>
      </x:c>
      <x:c r="V117" s="76" t="str">
        <x:v>系统功能来源候选 +4（不与十神基础分重复）</x:v>
      </x:c>
      <x:c r="W117" s="76" t="str">
        <x:v>functional_origin</x:v>
      </x:c>
      <x:c r="X117" s="76" t="str">
        <x:v>官杀系统在关系中的正常任务是：承诺、责任、规则、行动、推进、保护和止损。系统层只做归类，不重复十神分数。</x:v>
      </x:c>
      <x:c r="Y117" s="76" t="str">
        <x:v>从功能系统看，你较常调用的是：承诺、责任、规则、行动、推进、保护和止损。</x:v>
      </x:c>
      <x:c r="Z117" s="76" t="str">
        <x:v>系统明显不等于人格标签，也不等于必然失衡；不得与同一十神source_id重复加分。</x:v>
      </x:c>
      <x:c r="AA117" s="76" t="str">
        <x:v>中高</x:v>
      </x:c>
      <x:c r="AB117" s="76" t="str">
        <x:v>待验证</x:v>
      </x:c>
      <x:c r="AC117" s="76" t="str"/>
      <x:c r="AD117" s="76" t="str">
        <x:v>provisional=true; system=SYS04; subtype=normal; dedup_required=true</x:v>
      </x:c>
      <x:c r="AE117" s="82" t="str">
        <x:v>0.2</x:v>
      </x:c>
    </x:row>
    <x:row r="118">
      <x:c r="A118" s="81" t="str">
        <x:v>M4-BASE-114</x:v>
      </x:c>
      <x:c r="B118" s="76" t="str">
        <x:v>SYS04 官杀系统｜K01系统过用候选</x:v>
      </x:c>
      <x:c r="C118" s="76" t="str">
        <x:v>L3 五系统与流向</x:v>
      </x:c>
      <x:c r="D118" s="76" t="str">
        <x:v>BASE-五系统</x:v>
      </x:c>
      <x:c r="E118" s="76" t="str">
        <x:v>通用</x:v>
      </x:c>
      <x:c r="F118" s="76" t="str">
        <x:v>失衡候选</x:v>
      </x:c>
      <x:c r="G118" s="76" t="str">
        <x:v>SYS04 官杀系统</x:v>
      </x:c>
      <x:c r="H118" s="76" t="str">
        <x:v>K01 过用放大</x:v>
      </x:c>
      <x:c r="I118" s="76" t="str">
        <x:v>系统功能有效；过旺失衡、压力抢先、跨模块重复调用或现实重复中的至少两类证据成立。</x:v>
      </x:c>
      <x:c r="J118" s="76" t="str">
        <x:v>旺而平衡且调节完整；仅有单一十神标签；现实反例明显。</x:v>
      </x:c>
      <x:c r="K118" s="76" t="str">
        <x:v>由共享基础引擎提供；只修正承载与执行，不直接等同强弱人格。</x:v>
      </x:c>
      <x:c r="L118" s="76" t="str">
        <x:v>由M2接口提供；夫妻星只参与关系议题权重，不单独生成盲点。</x:v>
      </x:c>
      <x:c r="M118" s="76" t="str">
        <x:v>由M3-BASE与共享引擎提供；不得把日支直接写成配偶性格。</x:v>
      </x:c>
      <x:c r="N118" s="76" t="str">
        <x:v>无／待后续规则组合</x:v>
      </x:c>
      <x:c r="O118" s="76" t="str">
        <x:v>由共享基础引擎判定</x:v>
      </x:c>
      <x:c r="P118" s="76" t="str">
        <x:v>由共享基础引擎判定</x:v>
      </x:c>
      <x:c r="Q118" s="76" t="str">
        <x:v>过旺失衡／多模块抢先／现实重复</x:v>
      </x:c>
      <x:c r="R118" s="76" t="str">
        <x:v>喜忌只修正调用摩擦与平衡，不直接等同好坏。</x:v>
      </x:c>
      <x:c r="S118" s="76" t="str">
        <x:v>原十神性质有效；真合化成立时按化神系统替换。</x:v>
      </x:c>
      <x:c r="T118" s="76" t="str">
        <x:v>由共享基础引擎判定</x:v>
      </x:c>
      <x:c r="U118" s="76" t="str">
        <x:v>80</x:v>
      </x:c>
      <x:c r="V118" s="76" t="str">
        <x:v>K01系统候选 +6；与十神K01取较高值不叠加</x:v>
      </x:c>
      <x:c r="W118" s="76" t="str">
        <x:v>imbalance_mechanism</x:v>
      </x:c>
      <x:c r="X118" s="76" t="str">
        <x:v>官杀系统过用时可能表现为：规则僵化、压力升级、行动越过协商或解决问题替代感受。</x:v>
      </x:c>
      <x:c r="Y118" s="76" t="str">
        <x:v>当这一功能系统过度占位时，可能出现：规则僵化、压力升级、行动越过协商或解决问题替代感受。</x:v>
      </x:c>
      <x:c r="Z118" s="76" t="str">
        <x:v>不得把系统过用写成固定人格、道德问题或关系结局；需检查触发与保护因素。</x:v>
      </x:c>
      <x:c r="AA118" s="76" t="str">
        <x:v>中</x:v>
      </x:c>
      <x:c r="AB118" s="76" t="str">
        <x:v>待验证</x:v>
      </x:c>
      <x:c r="AC118" s="76" t="str"/>
      <x:c r="AD118" s="76" t="str">
        <x:v>provisional=true; system=SYS04; imbalance=K01; max_not_sum=true</x:v>
      </x:c>
      <x:c r="AE118" s="82" t="str">
        <x:v>0.2</x:v>
      </x:c>
    </x:row>
    <x:row r="119">
      <x:c r="A119" s="81" t="str">
        <x:v>M4-BASE-115</x:v>
      </x:c>
      <x:c r="B119" s="76" t="str">
        <x:v>SYS04 官杀系统｜K02系统不足候选</x:v>
      </x:c>
      <x:c r="C119" s="76" t="str">
        <x:v>L3 五系统与流向</x:v>
      </x:c>
      <x:c r="D119" s="76" t="str">
        <x:v>BASE-五系统</x:v>
      </x:c>
      <x:c r="E119" s="76" t="str">
        <x:v>通用</x:v>
      </x:c>
      <x:c r="F119" s="76" t="str">
        <x:v>失衡候选</x:v>
      </x:c>
      <x:c r="G119" s="76" t="str">
        <x:v>SYS04 官杀系统</x:v>
      </x:c>
      <x:c r="H119" s="76" t="str">
        <x:v>K02 功能不足</x:v>
      </x:c>
      <x:c r="I119" s="76" t="str">
        <x:v>该系统是某条关系路径必要环节；相关通道弱而无助、被制受阻或现实行为长期缺位；无有效替代。</x:v>
      </x:c>
      <x:c r="J119" s="76" t="str">
        <x:v>存在弱而有助或可替代通道；现实行为能够稳定完成该系统任务。</x:v>
      </x:c>
      <x:c r="K119" s="76" t="str">
        <x:v>由共享基础引擎提供；只修正承载与执行，不直接等同强弱人格。</x:v>
      </x:c>
      <x:c r="L119" s="76" t="str">
        <x:v>由M2接口提供；夫妻星只参与关系议题权重，不单独生成盲点。</x:v>
      </x:c>
      <x:c r="M119" s="76" t="str">
        <x:v>由M3-BASE与共享引擎提供；不得把日支直接写成配偶性格。</x:v>
      </x:c>
      <x:c r="N119" s="76" t="str">
        <x:v>无／待后续规则组合</x:v>
      </x:c>
      <x:c r="O119" s="76" t="str">
        <x:v>由共享基础引擎判定</x:v>
      </x:c>
      <x:c r="P119" s="76" t="str">
        <x:v>由共享基础引擎判定</x:v>
      </x:c>
      <x:c r="Q119" s="76" t="str">
        <x:v>弱而无助／被制受阻／现实缺位</x:v>
      </x:c>
      <x:c r="R119" s="76" t="str">
        <x:v>喜忌只修正调用摩擦与平衡，不直接等同好坏。</x:v>
      </x:c>
      <x:c r="S119" s="76" t="str">
        <x:v>原十神性质有效；真合化成立时按化神系统替换。</x:v>
      </x:c>
      <x:c r="T119" s="76" t="str">
        <x:v>由共享基础引擎判定</x:v>
      </x:c>
      <x:c r="U119" s="76" t="str">
        <x:v>79</x:v>
      </x:c>
      <x:c r="V119" s="76" t="str">
        <x:v>K02系统候选 +6；与十神K02取较高值不叠加</x:v>
      </x:c>
      <x:c r="W119" s="76" t="str">
        <x:v>missing_function</x:v>
      </x:c>
      <x:c r="X119" s="76" t="str">
        <x:v>官杀系统不足时可能表现为：关系责任不明、决定拖延、方案缺少执行和后续兑现。</x:v>
      </x:c>
      <x:c r="Y119" s="76" t="str">
        <x:v>关系中可能较晚进入或需要补充的环节是：关系责任不明、决定拖延、方案缺少执行和后续兑现。</x:v>
      </x:c>
      <x:c r="Z119" s="76" t="str">
        <x:v>弱不等于没有；必须排除替代通道和现实反例，不得由此判断用户无能力或不成熟。</x:v>
      </x:c>
      <x:c r="AA119" s="76" t="str">
        <x:v>中</x:v>
      </x:c>
      <x:c r="AB119" s="76" t="str">
        <x:v>待验证</x:v>
      </x:c>
      <x:c r="AC119" s="76" t="str"/>
      <x:c r="AD119" s="76" t="str">
        <x:v>provisional=true; system=SYS04; imbalance=K02; max_not_sum=true</x:v>
      </x:c>
      <x:c r="AE119" s="82" t="str">
        <x:v>0.2</x:v>
      </x:c>
    </x:row>
    <x:row r="120">
      <x:c r="A120" s="81" t="str">
        <x:v>M4-BASE-116</x:v>
      </x:c>
      <x:c r="B120" s="76" t="str">
        <x:v>SYS04 官杀系统｜K03系统替代候选</x:v>
      </x:c>
      <x:c r="C120" s="76" t="str">
        <x:v>L3 五系统与流向</x:v>
      </x:c>
      <x:c r="D120" s="76" t="str">
        <x:v>BASE-五系统</x:v>
      </x:c>
      <x:c r="E120" s="76" t="str">
        <x:v>通用</x:v>
      </x:c>
      <x:c r="F120" s="76" t="str">
        <x:v>组合候选</x:v>
      </x:c>
      <x:c r="G120" s="76" t="str">
        <x:v>SYS04 官杀系统</x:v>
      </x:c>
      <x:c r="H120" s="76" t="str">
        <x:v>K03 单通道替代</x:v>
      </x:c>
      <x:c r="I120" s="76" t="str">
        <x:v>系统功能有效且长期承担超出本系统范围的关系任务；被替代系统不足或延后；有M3顺序或现实行为支持。</x:v>
      </x:c>
      <x:c r="J120" s="76" t="str">
        <x:v>多个系统已形成清楚分工；仅为同义表达；无被替代任务。</x:v>
      </x:c>
      <x:c r="K120" s="76" t="str">
        <x:v>由共享基础引擎提供；只修正承载与执行，不直接等同强弱人格。</x:v>
      </x:c>
      <x:c r="L120" s="76" t="str">
        <x:v>由M2接口提供；夫妻星只参与关系议题权重，不单独生成盲点。</x:v>
      </x:c>
      <x:c r="M120" s="76" t="str">
        <x:v>由M3-BASE与共享引擎提供；不得把日支直接写成配偶性格。</x:v>
      </x:c>
      <x:c r="N120" s="76" t="str">
        <x:v>无／待后续规则组合</x:v>
      </x:c>
      <x:c r="O120" s="76" t="str">
        <x:v>由共享基础引擎判定</x:v>
      </x:c>
      <x:c r="P120" s="76" t="str">
        <x:v>由共享基础引擎判定</x:v>
      </x:c>
      <x:c r="Q120" s="76" t="str">
        <x:v>由共享基础引擎判定</x:v>
      </x:c>
      <x:c r="R120" s="76" t="str">
        <x:v>喜忌只修正调用摩擦与平衡，不直接等同好坏。</x:v>
      </x:c>
      <x:c r="S120" s="76" t="str">
        <x:v>原十神性质有效；真合化成立时按化神系统替换。</x:v>
      </x:c>
      <x:c r="T120" s="76" t="str">
        <x:v>由共享基础引擎判定</x:v>
      </x:c>
      <x:c r="U120" s="76" t="str">
        <x:v>78</x:v>
      </x:c>
      <x:c r="V120" s="76" t="str">
        <x:v>K03系统候选 +6</x:v>
      </x:c>
      <x:c r="W120" s="76" t="str">
        <x:v>imbalance_mechanism</x:v>
      </x:c>
      <x:c r="X120" s="76" t="str">
        <x:v>官杀系统可能被用来替代其他必要任务：用责任姿态、规则或行动速度替代理解、共同决定和修复。</x:v>
      </x:c>
      <x:c r="Y120" s="76" t="str">
        <x:v>需要观察是否会出现：用责任姿态、规则或行动速度替代理解、共同决定和修复。</x:v>
      </x:c>
      <x:c r="Z120" s="76" t="str">
        <x:v>不得只凭系统强弱判断替代关系；必须说明被替代的具体功能。</x:v>
      </x:c>
      <x:c r="AA120" s="76" t="str">
        <x:v>中低</x:v>
      </x:c>
      <x:c r="AB120" s="76" t="str">
        <x:v>待验证</x:v>
      </x:c>
      <x:c r="AC120" s="76" t="str"/>
      <x:c r="AD120" s="76" t="str">
        <x:v>provisional=true; system=SYS04; imbalance=K03; route=B06／B08／B14</x:v>
      </x:c>
      <x:c r="AE120" s="82" t="str">
        <x:v>0.2</x:v>
      </x:c>
    </x:row>
    <x:row r="121">
      <x:c r="A121" s="81" t="str">
        <x:v>M4-BASE-117</x:v>
      </x:c>
      <x:c r="B121" s="76" t="str">
        <x:v>SYS05 印星系统｜正常功能总纲</x:v>
      </x:c>
      <x:c r="C121" s="76" t="str">
        <x:v>L1 正常功能来源</x:v>
      </x:c>
      <x:c r="D121" s="76" t="str">
        <x:v>BASE-五系统</x:v>
      </x:c>
      <x:c r="E121" s="76" t="str">
        <x:v>通用</x:v>
      </x:c>
      <x:c r="F121" s="76" t="str">
        <x:v>基础</x:v>
      </x:c>
      <x:c r="G121" s="76" t="str">
        <x:v>SYS05 印星系统</x:v>
      </x:c>
      <x:c r="H121" s="76" t="str"/>
      <x:c r="I121" s="76" t="str">
        <x:v>M3至少一个对应十神通道有效；同系统正偏十神完成收敛；基础状态可靠。</x:v>
      </x:c>
      <x:c r="J121" s="76" t="str">
        <x:v>同系统所有通道均停止或已真合化替换。</x:v>
      </x:c>
      <x:c r="K121" s="76" t="str">
        <x:v>由共享基础引擎提供；只修正承载与执行，不直接等同强弱人格。</x:v>
      </x:c>
      <x:c r="L121" s="76" t="str">
        <x:v>由M2接口提供；夫妻星只参与关系议题权重，不单独生成盲点。</x:v>
      </x:c>
      <x:c r="M121" s="76" t="str">
        <x:v>由M3-BASE与共享引擎提供；不得把日支直接写成配偶性格。</x:v>
      </x:c>
      <x:c r="N121" s="76" t="str">
        <x:v>无／待后续规则组合</x:v>
      </x:c>
      <x:c r="O121" s="76" t="str">
        <x:v>由共享基础引擎判定</x:v>
      </x:c>
      <x:c r="P121" s="76" t="str">
        <x:v>由共享基础引擎判定</x:v>
      </x:c>
      <x:c r="Q121" s="76" t="str">
        <x:v>由共享基础引擎判定</x:v>
      </x:c>
      <x:c r="R121" s="76" t="str">
        <x:v>喜忌只修正调用摩擦与平衡，不直接等同好坏。</x:v>
      </x:c>
      <x:c r="S121" s="76" t="str">
        <x:v>原十神性质有效；真合化成立时按化神系统替换。</x:v>
      </x:c>
      <x:c r="T121" s="76" t="str">
        <x:v>由共享基础引擎判定</x:v>
      </x:c>
      <x:c r="U121" s="76" t="str">
        <x:v>88</x:v>
      </x:c>
      <x:c r="V121" s="76" t="str">
        <x:v>系统功能来源候选 +4（不与十神基础分重复）</x:v>
      </x:c>
      <x:c r="W121" s="76" t="str">
        <x:v>functional_origin</x:v>
      </x:c>
      <x:c r="X121" s="76" t="str">
        <x:v>印星系统在关系中的正常任务是：理解、承接、支持、安全恢复、内部整理和经验复盘。系统层只做归类，不重复十神分数。</x:v>
      </x:c>
      <x:c r="Y121" s="76" t="str">
        <x:v>从功能系统看，你较常调用的是：理解、承接、支持、安全恢复、内部整理和经验复盘。</x:v>
      </x:c>
      <x:c r="Z121" s="76" t="str">
        <x:v>系统明显不等于人格标签，也不等于必然失衡；不得与同一十神source_id重复加分。</x:v>
      </x:c>
      <x:c r="AA121" s="76" t="str">
        <x:v>中高</x:v>
      </x:c>
      <x:c r="AB121" s="76" t="str">
        <x:v>待验证</x:v>
      </x:c>
      <x:c r="AC121" s="76" t="str"/>
      <x:c r="AD121" s="76" t="str">
        <x:v>provisional=true; system=SYS05; subtype=normal; dedup_required=true</x:v>
      </x:c>
      <x:c r="AE121" s="82" t="str">
        <x:v>0.2</x:v>
      </x:c>
    </x:row>
    <x:row r="122">
      <x:c r="A122" s="81" t="str">
        <x:v>M4-BASE-118</x:v>
      </x:c>
      <x:c r="B122" s="76" t="str">
        <x:v>SYS05 印星系统｜K01系统过用候选</x:v>
      </x:c>
      <x:c r="C122" s="76" t="str">
        <x:v>L3 五系统与流向</x:v>
      </x:c>
      <x:c r="D122" s="76" t="str">
        <x:v>BASE-五系统</x:v>
      </x:c>
      <x:c r="E122" s="76" t="str">
        <x:v>通用</x:v>
      </x:c>
      <x:c r="F122" s="76" t="str">
        <x:v>失衡候选</x:v>
      </x:c>
      <x:c r="G122" s="76" t="str">
        <x:v>SYS05 印星系统</x:v>
      </x:c>
      <x:c r="H122" s="76" t="str">
        <x:v>K01 过用放大</x:v>
      </x:c>
      <x:c r="I122" s="76" t="str">
        <x:v>系统功能有效；过旺失衡、压力抢先、跨模块重复调用或现实重复中的至少两类证据成立。</x:v>
      </x:c>
      <x:c r="J122" s="76" t="str">
        <x:v>旺而平衡且调节完整；仅有单一十神标签；现实反例明显。</x:v>
      </x:c>
      <x:c r="K122" s="76" t="str">
        <x:v>由共享基础引擎提供；只修正承载与执行，不直接等同强弱人格。</x:v>
      </x:c>
      <x:c r="L122" s="76" t="str">
        <x:v>由M2接口提供；夫妻星只参与关系议题权重，不单独生成盲点。</x:v>
      </x:c>
      <x:c r="M122" s="76" t="str">
        <x:v>由M3-BASE与共享引擎提供；不得把日支直接写成配偶性格。</x:v>
      </x:c>
      <x:c r="N122" s="76" t="str">
        <x:v>无／待后续规则组合</x:v>
      </x:c>
      <x:c r="O122" s="76" t="str">
        <x:v>由共享基础引擎判定</x:v>
      </x:c>
      <x:c r="P122" s="76" t="str">
        <x:v>由共享基础引擎判定</x:v>
      </x:c>
      <x:c r="Q122" s="76" t="str">
        <x:v>过旺失衡／多模块抢先／现实重复</x:v>
      </x:c>
      <x:c r="R122" s="76" t="str">
        <x:v>喜忌只修正调用摩擦与平衡，不直接等同好坏。</x:v>
      </x:c>
      <x:c r="S122" s="76" t="str">
        <x:v>原十神性质有效；真合化成立时按化神系统替换。</x:v>
      </x:c>
      <x:c r="T122" s="76" t="str">
        <x:v>由共享基础引擎判定</x:v>
      </x:c>
      <x:c r="U122" s="76" t="str">
        <x:v>80</x:v>
      </x:c>
      <x:c r="V122" s="76" t="str">
        <x:v>K01系统候选 +6；与十神K01取较高值不叠加</x:v>
      </x:c>
      <x:c r="W122" s="76" t="str">
        <x:v>imbalance_mechanism</x:v>
      </x:c>
      <x:c r="X122" s="76" t="str">
        <x:v>印星系统过用时可能表现为：理解替代改变、照顾替代边界、沉默过久或长期承接。</x:v>
      </x:c>
      <x:c r="Y122" s="76" t="str">
        <x:v>当这一功能系统过度占位时，可能出现：理解替代改变、照顾替代边界、沉默过久或长期承接。</x:v>
      </x:c>
      <x:c r="Z122" s="76" t="str">
        <x:v>不得把系统过用写成固定人格、道德问题或关系结局；需检查触发与保护因素。</x:v>
      </x:c>
      <x:c r="AA122" s="76" t="str">
        <x:v>中</x:v>
      </x:c>
      <x:c r="AB122" s="76" t="str">
        <x:v>待验证</x:v>
      </x:c>
      <x:c r="AC122" s="76" t="str"/>
      <x:c r="AD122" s="76" t="str">
        <x:v>provisional=true; system=SYS05; imbalance=K01; max_not_sum=true</x:v>
      </x:c>
      <x:c r="AE122" s="82" t="str">
        <x:v>0.2</x:v>
      </x:c>
    </x:row>
    <x:row r="123">
      <x:c r="A123" s="81" t="str">
        <x:v>M4-BASE-119</x:v>
      </x:c>
      <x:c r="B123" s="76" t="str">
        <x:v>SYS05 印星系统｜K02系统不足候选</x:v>
      </x:c>
      <x:c r="C123" s="76" t="str">
        <x:v>L3 五系统与流向</x:v>
      </x:c>
      <x:c r="D123" s="76" t="str">
        <x:v>BASE-五系统</x:v>
      </x:c>
      <x:c r="E123" s="76" t="str">
        <x:v>通用</x:v>
      </x:c>
      <x:c r="F123" s="76" t="str">
        <x:v>失衡候选</x:v>
      </x:c>
      <x:c r="G123" s="76" t="str">
        <x:v>SYS05 印星系统</x:v>
      </x:c>
      <x:c r="H123" s="76" t="str">
        <x:v>K02 功能不足</x:v>
      </x:c>
      <x:c r="I123" s="76" t="str">
        <x:v>该系统是某条关系路径必要环节；相关通道弱而无助、被制受阻或现实行为长期缺位；无有效替代。</x:v>
      </x:c>
      <x:c r="J123" s="76" t="str">
        <x:v>存在弱而有助或可替代通道；现实行为能够稳定完成该系统任务。</x:v>
      </x:c>
      <x:c r="K123" s="76" t="str">
        <x:v>由共享基础引擎提供；只修正承载与执行，不直接等同强弱人格。</x:v>
      </x:c>
      <x:c r="L123" s="76" t="str">
        <x:v>由M2接口提供；夫妻星只参与关系议题权重，不单独生成盲点。</x:v>
      </x:c>
      <x:c r="M123" s="76" t="str">
        <x:v>由M3-BASE与共享引擎提供；不得把日支直接写成配偶性格。</x:v>
      </x:c>
      <x:c r="N123" s="76" t="str">
        <x:v>无／待后续规则组合</x:v>
      </x:c>
      <x:c r="O123" s="76" t="str">
        <x:v>由共享基础引擎判定</x:v>
      </x:c>
      <x:c r="P123" s="76" t="str">
        <x:v>由共享基础引擎判定</x:v>
      </x:c>
      <x:c r="Q123" s="76" t="str">
        <x:v>弱而无助／被制受阻／现实缺位</x:v>
      </x:c>
      <x:c r="R123" s="76" t="str">
        <x:v>喜忌只修正调用摩擦与平衡，不直接等同好坏。</x:v>
      </x:c>
      <x:c r="S123" s="76" t="str">
        <x:v>原十神性质有效；真合化成立时按化神系统替换。</x:v>
      </x:c>
      <x:c r="T123" s="76" t="str">
        <x:v>由共享基础引擎判定</x:v>
      </x:c>
      <x:c r="U123" s="76" t="str">
        <x:v>79</x:v>
      </x:c>
      <x:c r="V123" s="76" t="str">
        <x:v>K02系统候选 +6；与十神K02取较高值不叠加</x:v>
      </x:c>
      <x:c r="W123" s="76" t="str">
        <x:v>missing_function</x:v>
      </x:c>
      <x:c r="X123" s="76" t="str">
        <x:v>印星系统不足时可能表现为：难以接受支持、恢复安全、内部复核或在处理后重新开放。</x:v>
      </x:c>
      <x:c r="Y123" s="76" t="str">
        <x:v>关系中可能较晚进入或需要补充的环节是：难以接受支持、恢复安全、内部复核或在处理后重新开放。</x:v>
      </x:c>
      <x:c r="Z123" s="76" t="str">
        <x:v>弱不等于没有；必须排除替代通道和现实反例，不得由此判断用户无能力或不成熟。</x:v>
      </x:c>
      <x:c r="AA123" s="76" t="str">
        <x:v>中</x:v>
      </x:c>
      <x:c r="AB123" s="76" t="str">
        <x:v>待验证</x:v>
      </x:c>
      <x:c r="AC123" s="76" t="str"/>
      <x:c r="AD123" s="76" t="str">
        <x:v>provisional=true; system=SYS05; imbalance=K02; max_not_sum=true</x:v>
      </x:c>
      <x:c r="AE123" s="82" t="str">
        <x:v>0.2</x:v>
      </x:c>
    </x:row>
    <x:row r="124">
      <x:c r="A124" s="81" t="str">
        <x:v>M4-BASE-120</x:v>
      </x:c>
      <x:c r="B124" s="76" t="str">
        <x:v>SYS05 印星系统｜K03系统替代候选</x:v>
      </x:c>
      <x:c r="C124" s="76" t="str">
        <x:v>L3 五系统与流向</x:v>
      </x:c>
      <x:c r="D124" s="76" t="str">
        <x:v>BASE-五系统</x:v>
      </x:c>
      <x:c r="E124" s="76" t="str">
        <x:v>通用</x:v>
      </x:c>
      <x:c r="F124" s="76" t="str">
        <x:v>组合候选</x:v>
      </x:c>
      <x:c r="G124" s="76" t="str">
        <x:v>SYS05 印星系统</x:v>
      </x:c>
      <x:c r="H124" s="76" t="str">
        <x:v>K03 单通道替代</x:v>
      </x:c>
      <x:c r="I124" s="76" t="str">
        <x:v>系统功能有效且长期承担超出本系统范围的关系任务；被替代系统不足或延后；有M3顺序或现实行为支持。</x:v>
      </x:c>
      <x:c r="J124" s="76" t="str">
        <x:v>多个系统已形成清楚分工；仅为同义表达；无被替代任务。</x:v>
      </x:c>
      <x:c r="K124" s="76" t="str">
        <x:v>由共享基础引擎提供；只修正承载与执行，不直接等同强弱人格。</x:v>
      </x:c>
      <x:c r="L124" s="76" t="str">
        <x:v>由M2接口提供；夫妻星只参与关系议题权重，不单独生成盲点。</x:v>
      </x:c>
      <x:c r="M124" s="76" t="str">
        <x:v>由M3-BASE与共享引擎提供；不得把日支直接写成配偶性格。</x:v>
      </x:c>
      <x:c r="N124" s="76" t="str">
        <x:v>无／待后续规则组合</x:v>
      </x:c>
      <x:c r="O124" s="76" t="str">
        <x:v>由共享基础引擎判定</x:v>
      </x:c>
      <x:c r="P124" s="76" t="str">
        <x:v>由共享基础引擎判定</x:v>
      </x:c>
      <x:c r="Q124" s="76" t="str">
        <x:v>由共享基础引擎判定</x:v>
      </x:c>
      <x:c r="R124" s="76" t="str">
        <x:v>喜忌只修正调用摩擦与平衡，不直接等同好坏。</x:v>
      </x:c>
      <x:c r="S124" s="76" t="str">
        <x:v>原十神性质有效；真合化成立时按化神系统替换。</x:v>
      </x:c>
      <x:c r="T124" s="76" t="str">
        <x:v>由共享基础引擎判定</x:v>
      </x:c>
      <x:c r="U124" s="76" t="str">
        <x:v>78</x:v>
      </x:c>
      <x:c r="V124" s="76" t="str">
        <x:v>K03系统候选 +6</x:v>
      </x:c>
      <x:c r="W124" s="76" t="str">
        <x:v>imbalance_mechanism</x:v>
      </x:c>
      <x:c r="X124" s="76" t="str">
        <x:v>印星系统可能被用来替代其他必要任务：用理解、原因解释或私人整理替代明确表达、责任和现实调整。</x:v>
      </x:c>
      <x:c r="Y124" s="76" t="str">
        <x:v>需要观察是否会出现：用理解、原因解释或私人整理替代明确表达、责任和现实调整。</x:v>
      </x:c>
      <x:c r="Z124" s="76" t="str">
        <x:v>不得只凭系统强弱判断替代关系；必须说明被替代的具体功能。</x:v>
      </x:c>
      <x:c r="AA124" s="76" t="str">
        <x:v>中低</x:v>
      </x:c>
      <x:c r="AB124" s="76" t="str">
        <x:v>待验证</x:v>
      </x:c>
      <x:c r="AC124" s="76" t="str"/>
      <x:c r="AD124" s="76" t="str">
        <x:v>provisional=true; system=SYS05; imbalance=K03; route=B09／B13／B14／B15</x:v>
      </x:c>
      <x:c r="AE124" s="82" t="str">
        <x:v>0.2</x:v>
      </x:c>
    </x:row>
    <x:row r="125">
      <x:c r="A125" s="81" t="str">
        <x:v>M4-BASE-121</x:v>
      </x:c>
      <x:c r="B125" s="76" t="str">
        <x:v>生助桥接｜印→比劫正常转换</x:v>
      </x:c>
      <x:c r="C125" s="76" t="str">
        <x:v>L3 五系统与流向</x:v>
      </x:c>
      <x:c r="D125" s="76" t="str">
        <x:v>BASE-流向卡点</x:v>
      </x:c>
      <x:c r="E125" s="76" t="str">
        <x:v>通用</x:v>
      </x:c>
      <x:c r="F125" s="76" t="str">
        <x:v>通关候选</x:v>
      </x:c>
      <x:c r="G125" s="76" t="str">
        <x:v>SYS05 印星系统</x:v>
      </x:c>
      <x:c r="H125" s="76" t="str">
        <x:v>SYS01 比劫系统</x:v>
      </x:c>
      <x:c r="I125" s="76" t="str">
        <x:v>SYS05 印星系统与SYS01 比劫系统均有效；存在真实M3路径或独立关系行为支持；非仅静态五行相生。</x:v>
      </x:c>
      <x:c r="J125" s="76" t="str">
        <x:v>只有五行相生标签；起点或终点无根弱远；真合化后路径改变。</x:v>
      </x:c>
      <x:c r="K125" s="76" t="str">
        <x:v>由共享基础引擎提供；只修正承载与执行，不直接等同强弱人格。</x:v>
      </x:c>
      <x:c r="L125" s="76" t="str">
        <x:v>由M2接口提供；夫妻星只参与关系议题权重，不单独生成盲点。</x:v>
      </x:c>
      <x:c r="M125" s="76" t="str">
        <x:v>由M3-BASE与共享引擎提供；不得把日支直接写成配偶性格。</x:v>
      </x:c>
      <x:c r="N125" s="76" t="str">
        <x:v>印→比劫 正常桥接</x:v>
      </x:c>
      <x:c r="O125" s="76" t="str">
        <x:v>由共享基础引擎判定</x:v>
      </x:c>
      <x:c r="P125" s="76" t="str">
        <x:v>由共享基础引擎判定</x:v>
      </x:c>
      <x:c r="Q125" s="76" t="str">
        <x:v>由共享基础引擎判定</x:v>
      </x:c>
      <x:c r="R125" s="76" t="str">
        <x:v>喜忌只修正调用摩擦与平衡，不直接等同好坏。</x:v>
      </x:c>
      <x:c r="S125" s="76" t="str">
        <x:v>原十神性质有效；真合化成立时按化神系统替换。</x:v>
      </x:c>
      <x:c r="T125" s="76" t="str">
        <x:v>由共享基础引擎判定</x:v>
      </x:c>
      <x:c r="U125" s="76" t="str">
        <x:v>77</x:v>
      </x:c>
      <x:c r="V125" s="76" t="str">
        <x:v>有效通关／buffer −6</x:v>
      </x:c>
      <x:c r="W125" s="76" t="str">
        <x:v>buffer_factor</x:v>
      </x:c>
      <x:c r="X125" s="76" t="str">
        <x:v>先通过理解、内部确认和安全恢复，形成更稳定的自身立场与边界。</x:v>
      </x:c>
      <x:c r="Y125" s="76" t="str">
        <x:v>若这条转换有效，意味着：内部确认能够转为边界和决定权。</x:v>
      </x:c>
      <x:c r="Z125" s="76" t="str">
        <x:v>五行相生只提供潜在方向，不能单独推出现实处理顺序或成熟度。</x:v>
      </x:c>
      <x:c r="AA125" s="76" t="str">
        <x:v>中</x:v>
      </x:c>
      <x:c r="AB125" s="76" t="str">
        <x:v>待验证</x:v>
      </x:c>
      <x:c r="AC125" s="76" t="str"/>
      <x:c r="AD125" s="76" t="str">
        <x:v>provisional=true; flow=印→比劫; type=generating_bridge</x:v>
      </x:c>
      <x:c r="AE125" s="82" t="str">
        <x:v>0.2</x:v>
      </x:c>
    </x:row>
    <x:row r="126">
      <x:c r="A126" s="81" t="str">
        <x:v>M4-BASE-122</x:v>
      </x:c>
      <x:c r="B126" s="76" t="str">
        <x:v>生助桥接｜比劫→食伤正常转换</x:v>
      </x:c>
      <x:c r="C126" s="76" t="str">
        <x:v>L3 五系统与流向</x:v>
      </x:c>
      <x:c r="D126" s="76" t="str">
        <x:v>BASE-流向卡点</x:v>
      </x:c>
      <x:c r="E126" s="76" t="str">
        <x:v>通用</x:v>
      </x:c>
      <x:c r="F126" s="76" t="str">
        <x:v>通关候选</x:v>
      </x:c>
      <x:c r="G126" s="76" t="str">
        <x:v>SYS01 比劫系统</x:v>
      </x:c>
      <x:c r="H126" s="76" t="str">
        <x:v>SYS02 食伤系统</x:v>
      </x:c>
      <x:c r="I126" s="76" t="str">
        <x:v>SYS01 比劫系统与SYS02 食伤系统均有效；存在真实M3路径或独立关系行为支持；非仅静态五行相生。</x:v>
      </x:c>
      <x:c r="J126" s="76" t="str">
        <x:v>只有五行相生标签；起点或终点无根弱远；真合化后路径改变。</x:v>
      </x:c>
      <x:c r="K126" s="76" t="str">
        <x:v>由共享基础引擎提供；只修正承载与执行，不直接等同强弱人格。</x:v>
      </x:c>
      <x:c r="L126" s="76" t="str">
        <x:v>由M2接口提供；夫妻星只参与关系议题权重，不单独生成盲点。</x:v>
      </x:c>
      <x:c r="M126" s="76" t="str">
        <x:v>由M3-BASE与共享引擎提供；不得把日支直接写成配偶性格。</x:v>
      </x:c>
      <x:c r="N126" s="76" t="str">
        <x:v>比劫→食伤 正常桥接</x:v>
      </x:c>
      <x:c r="O126" s="76" t="str">
        <x:v>由共享基础引擎判定</x:v>
      </x:c>
      <x:c r="P126" s="76" t="str">
        <x:v>由共享基础引擎判定</x:v>
      </x:c>
      <x:c r="Q126" s="76" t="str">
        <x:v>由共享基础引擎判定</x:v>
      </x:c>
      <x:c r="R126" s="76" t="str">
        <x:v>喜忌只修正调用摩擦与平衡，不直接等同好坏。</x:v>
      </x:c>
      <x:c r="S126" s="76" t="str">
        <x:v>原十神性质有效；真合化成立时按化神系统替换。</x:v>
      </x:c>
      <x:c r="T126" s="76" t="str">
        <x:v>由共享基础引擎判定</x:v>
      </x:c>
      <x:c r="U126" s="76" t="str">
        <x:v>77</x:v>
      </x:c>
      <x:c r="V126" s="76" t="str">
        <x:v>有效通关／buffer −6</x:v>
      </x:c>
      <x:c r="W126" s="76" t="str">
        <x:v>buffer_factor</x:v>
      </x:c>
      <x:c r="X126" s="76" t="str">
        <x:v>先确认自身位置和双方权限，再把需要、边界与不同意见说清楚。</x:v>
      </x:c>
      <x:c r="Y126" s="76" t="str">
        <x:v>若这条转换有效，意味着：边界能够转为可沟通信息。</x:v>
      </x:c>
      <x:c r="Z126" s="76" t="str">
        <x:v>五行相生只提供潜在方向，不能单独推出现实处理顺序或成熟度。</x:v>
      </x:c>
      <x:c r="AA126" s="76" t="str">
        <x:v>中</x:v>
      </x:c>
      <x:c r="AB126" s="76" t="str">
        <x:v>待验证</x:v>
      </x:c>
      <x:c r="AC126" s="76" t="str"/>
      <x:c r="AD126" s="76" t="str">
        <x:v>provisional=true; flow=比劫→食伤; type=generating_bridge</x:v>
      </x:c>
      <x:c r="AE126" s="82" t="str">
        <x:v>0.2</x:v>
      </x:c>
    </x:row>
    <x:row r="127">
      <x:c r="A127" s="81" t="str">
        <x:v>M4-BASE-123</x:v>
      </x:c>
      <x:c r="B127" s="76" t="str">
        <x:v>生助桥接｜食伤→财正常转换</x:v>
      </x:c>
      <x:c r="C127" s="76" t="str">
        <x:v>L3 五系统与流向</x:v>
      </x:c>
      <x:c r="D127" s="76" t="str">
        <x:v>BASE-流向卡点</x:v>
      </x:c>
      <x:c r="E127" s="76" t="str">
        <x:v>通用</x:v>
      </x:c>
      <x:c r="F127" s="76" t="str">
        <x:v>通关候选</x:v>
      </x:c>
      <x:c r="G127" s="76" t="str">
        <x:v>SYS02 食伤系统</x:v>
      </x:c>
      <x:c r="H127" s="76" t="str">
        <x:v>SYS03 财星系统</x:v>
      </x:c>
      <x:c r="I127" s="76" t="str">
        <x:v>SYS02 食伤系统与SYS03 财星系统均有效；存在真实M3路径或独立关系行为支持；非仅静态五行相生。</x:v>
      </x:c>
      <x:c r="J127" s="76" t="str">
        <x:v>只有五行相生标签；起点或终点无根弱远；真合化后路径改变。</x:v>
      </x:c>
      <x:c r="K127" s="76" t="str">
        <x:v>由共享基础引擎提供；只修正承载与执行，不直接等同强弱人格。</x:v>
      </x:c>
      <x:c r="L127" s="76" t="str">
        <x:v>由M2接口提供；夫妻星只参与关系议题权重，不单独生成盲点。</x:v>
      </x:c>
      <x:c r="M127" s="76" t="str">
        <x:v>由M3-BASE与共享引擎提供；不得把日支直接写成配偶性格。</x:v>
      </x:c>
      <x:c r="N127" s="76" t="str">
        <x:v>食伤→财 正常桥接</x:v>
      </x:c>
      <x:c r="O127" s="76" t="str">
        <x:v>由共享基础引擎判定</x:v>
      </x:c>
      <x:c r="P127" s="76" t="str">
        <x:v>由共享基础引擎判定</x:v>
      </x:c>
      <x:c r="Q127" s="76" t="str">
        <x:v>由共享基础引擎判定</x:v>
      </x:c>
      <x:c r="R127" s="76" t="str">
        <x:v>喜忌只修正调用摩擦与平衡，不直接等同好坏。</x:v>
      </x:c>
      <x:c r="S127" s="76" t="str">
        <x:v>原十神性质有效；真合化成立时按化神系统替换。</x:v>
      </x:c>
      <x:c r="T127" s="76" t="str">
        <x:v>由共享基础引擎判定</x:v>
      </x:c>
      <x:c r="U127" s="76" t="str">
        <x:v>77</x:v>
      </x:c>
      <x:c r="V127" s="76" t="str">
        <x:v>有效通关／buffer −6</x:v>
      </x:c>
      <x:c r="W127" s="76" t="str">
        <x:v>buffer_factor</x:v>
      </x:c>
      <x:c r="X127" s="76" t="str">
        <x:v>把表达、共识和互动转成时间、资源、安排和持续行动。</x:v>
      </x:c>
      <x:c r="Y127" s="76" t="str">
        <x:v>若这条转换有效，意味着：语言能够转为现实落实。</x:v>
      </x:c>
      <x:c r="Z127" s="76" t="str">
        <x:v>五行相生只提供潜在方向，不能单独推出现实处理顺序或成熟度。</x:v>
      </x:c>
      <x:c r="AA127" s="76" t="str">
        <x:v>中</x:v>
      </x:c>
      <x:c r="AB127" s="76" t="str">
        <x:v>待验证</x:v>
      </x:c>
      <x:c r="AC127" s="76" t="str"/>
      <x:c r="AD127" s="76" t="str">
        <x:v>provisional=true; flow=食伤→财; type=generating_bridge</x:v>
      </x:c>
      <x:c r="AE127" s="82" t="str">
        <x:v>0.2</x:v>
      </x:c>
    </x:row>
    <x:row r="128">
      <x:c r="A128" s="81" t="str">
        <x:v>M4-BASE-124</x:v>
      </x:c>
      <x:c r="B128" s="76" t="str">
        <x:v>生助桥接｜财→官杀正常转换</x:v>
      </x:c>
      <x:c r="C128" s="76" t="str">
        <x:v>L3 五系统与流向</x:v>
      </x:c>
      <x:c r="D128" s="76" t="str">
        <x:v>BASE-流向卡点</x:v>
      </x:c>
      <x:c r="E128" s="76" t="str">
        <x:v>通用</x:v>
      </x:c>
      <x:c r="F128" s="76" t="str">
        <x:v>通关候选</x:v>
      </x:c>
      <x:c r="G128" s="76" t="str">
        <x:v>SYS03 财星系统</x:v>
      </x:c>
      <x:c r="H128" s="76" t="str">
        <x:v>SYS04 官杀系统</x:v>
      </x:c>
      <x:c r="I128" s="76" t="str">
        <x:v>SYS03 财星系统与SYS04 官杀系统均有效；存在真实M3路径或独立关系行为支持；非仅静态五行相生。</x:v>
      </x:c>
      <x:c r="J128" s="76" t="str">
        <x:v>只有五行相生标签；起点或终点无根弱远；真合化后路径改变。</x:v>
      </x:c>
      <x:c r="K128" s="76" t="str">
        <x:v>由共享基础引擎提供；只修正承载与执行，不直接等同强弱人格。</x:v>
      </x:c>
      <x:c r="L128" s="76" t="str">
        <x:v>由M2接口提供；夫妻星只参与关系议题权重，不单独生成盲点。</x:v>
      </x:c>
      <x:c r="M128" s="76" t="str">
        <x:v>由M3-BASE与共享引擎提供；不得把日支直接写成配偶性格。</x:v>
      </x:c>
      <x:c r="N128" s="76" t="str">
        <x:v>财→官杀 正常桥接</x:v>
      </x:c>
      <x:c r="O128" s="76" t="str">
        <x:v>由共享基础引擎判定</x:v>
      </x:c>
      <x:c r="P128" s="76" t="str">
        <x:v>由共享基础引擎判定</x:v>
      </x:c>
      <x:c r="Q128" s="76" t="str">
        <x:v>由共享基础引擎判定</x:v>
      </x:c>
      <x:c r="R128" s="76" t="str">
        <x:v>喜忌只修正调用摩擦与平衡，不直接等同好坏。</x:v>
      </x:c>
      <x:c r="S128" s="76" t="str">
        <x:v>原十神性质有效；真合化成立时按化神系统替换。</x:v>
      </x:c>
      <x:c r="T128" s="76" t="str">
        <x:v>由共享基础引擎判定</x:v>
      </x:c>
      <x:c r="U128" s="76" t="str">
        <x:v>77</x:v>
      </x:c>
      <x:c r="V128" s="76" t="str">
        <x:v>有效通关／buffer −6</x:v>
      </x:c>
      <x:c r="W128" s="76" t="str">
        <x:v>buffer_factor</x:v>
      </x:c>
      <x:c r="X128" s="76" t="str">
        <x:v>把持续投入和现实安排进一步转成清楚责任、承诺和执行主体。</x:v>
      </x:c>
      <x:c r="Y128" s="76" t="str">
        <x:v>若这条转换有效，意味着：投入能够转为责任与承诺。</x:v>
      </x:c>
      <x:c r="Z128" s="76" t="str">
        <x:v>五行相生只提供潜在方向，不能单独推出现实处理顺序或成熟度。</x:v>
      </x:c>
      <x:c r="AA128" s="76" t="str">
        <x:v>中</x:v>
      </x:c>
      <x:c r="AB128" s="76" t="str">
        <x:v>待验证</x:v>
      </x:c>
      <x:c r="AC128" s="76" t="str"/>
      <x:c r="AD128" s="76" t="str">
        <x:v>provisional=true; flow=财→官杀; type=generating_bridge</x:v>
      </x:c>
      <x:c r="AE128" s="82" t="str">
        <x:v>0.2</x:v>
      </x:c>
    </x:row>
    <x:row r="129">
      <x:c r="A129" s="81" t="str">
        <x:v>M4-BASE-125</x:v>
      </x:c>
      <x:c r="B129" s="76" t="str">
        <x:v>生助桥接｜官杀→印正常转换</x:v>
      </x:c>
      <x:c r="C129" s="76" t="str">
        <x:v>L3 五系统与流向</x:v>
      </x:c>
      <x:c r="D129" s="76" t="str">
        <x:v>BASE-流向卡点</x:v>
      </x:c>
      <x:c r="E129" s="76" t="str">
        <x:v>通用</x:v>
      </x:c>
      <x:c r="F129" s="76" t="str">
        <x:v>通关候选</x:v>
      </x:c>
      <x:c r="G129" s="76" t="str">
        <x:v>SYS04 官杀系统</x:v>
      </x:c>
      <x:c r="H129" s="76" t="str">
        <x:v>SYS05 印星系统</x:v>
      </x:c>
      <x:c r="I129" s="76" t="str">
        <x:v>SYS04 官杀系统与SYS05 印星系统均有效；存在真实M3路径或独立关系行为支持；非仅静态五行相生。</x:v>
      </x:c>
      <x:c r="J129" s="76" t="str">
        <x:v>只有五行相生标签；起点或终点无根弱远；真合化后路径改变。</x:v>
      </x:c>
      <x:c r="K129" s="76" t="str">
        <x:v>由共享基础引擎提供；只修正承载与执行，不直接等同强弱人格。</x:v>
      </x:c>
      <x:c r="L129" s="76" t="str">
        <x:v>由M2接口提供；夫妻星只参与关系议题权重，不单独生成盲点。</x:v>
      </x:c>
      <x:c r="M129" s="76" t="str">
        <x:v>由M3-BASE与共享引擎提供；不得把日支直接写成配偶性格。</x:v>
      </x:c>
      <x:c r="N129" s="76" t="str">
        <x:v>官杀→印 正常桥接</x:v>
      </x:c>
      <x:c r="O129" s="76" t="str">
        <x:v>由共享基础引擎判定</x:v>
      </x:c>
      <x:c r="P129" s="76" t="str">
        <x:v>由共享基础引擎判定</x:v>
      </x:c>
      <x:c r="Q129" s="76" t="str">
        <x:v>由共享基础引擎判定</x:v>
      </x:c>
      <x:c r="R129" s="76" t="str">
        <x:v>喜忌只修正调用摩擦与平衡，不直接等同好坏。</x:v>
      </x:c>
      <x:c r="S129" s="76" t="str">
        <x:v>原十神性质有效；真合化成立时按化神系统替换。</x:v>
      </x:c>
      <x:c r="T129" s="76" t="str">
        <x:v>由共享基础引擎判定</x:v>
      </x:c>
      <x:c r="U129" s="76" t="str">
        <x:v>77</x:v>
      </x:c>
      <x:c r="V129" s="76" t="str">
        <x:v>有效通关／buffer −6</x:v>
      </x:c>
      <x:c r="W129" s="76" t="str">
        <x:v>buffer_factor</x:v>
      </x:c>
      <x:c r="X129" s="76" t="str">
        <x:v>通过行动、守约和责任兑现，恢复理解、安全和再次开放。</x:v>
      </x:c>
      <x:c r="Y129" s="76" t="str">
        <x:v>若这条转换有效，意味着：行动与承诺能够形成安全回流。</x:v>
      </x:c>
      <x:c r="Z129" s="76" t="str">
        <x:v>五行相生只提供潜在方向，不能单独推出现实处理顺序或成熟度。</x:v>
      </x:c>
      <x:c r="AA129" s="76" t="str">
        <x:v>中</x:v>
      </x:c>
      <x:c r="AB129" s="76" t="str">
        <x:v>待验证</x:v>
      </x:c>
      <x:c r="AC129" s="76" t="str"/>
      <x:c r="AD129" s="76" t="str">
        <x:v>provisional=true; flow=官杀→印; type=generating_bridge</x:v>
      </x:c>
      <x:c r="AE129" s="82" t="str">
        <x:v>0.2</x:v>
      </x:c>
    </x:row>
    <x:row r="130">
      <x:c r="A130" s="81" t="str">
        <x:v>M4-BASE-126</x:v>
      </x:c>
      <x:c r="B130" s="76" t="str">
        <x:v>流通卡点｜印→比劫受阻</x:v>
      </x:c>
      <x:c r="C130" s="76" t="str">
        <x:v>L3 五系统与流向</x:v>
      </x:c>
      <x:c r="D130" s="76" t="str">
        <x:v>BASE-流向卡点</x:v>
      </x:c>
      <x:c r="E130" s="76" t="str">
        <x:v>通用</x:v>
      </x:c>
      <x:c r="F130" s="76" t="str">
        <x:v>失衡候选</x:v>
      </x:c>
      <x:c r="G130" s="76" t="str">
        <x:v>SYS05 印星系统</x:v>
      </x:c>
      <x:c r="H130" s="76" t="str">
        <x:v>SYS01 比劫系统</x:v>
      </x:c>
      <x:c r="I130" s="76" t="str">
        <x:v>SYS05 印星系统功能有效；SYS01 比劫系统为关系路径必要环节但弱而无助、被制或现实缺位；至少一项M3路径／现实证据支持。</x:v>
      </x:c>
      <x:c r="J130" s="76" t="str">
        <x:v>终点系统有效且已完成转换；只有静态五行关系；存在可靠替代桥梁。</x:v>
      </x:c>
      <x:c r="K130" s="76" t="str">
        <x:v>由共享基础引擎提供；只修正承载与执行，不直接等同强弱人格。</x:v>
      </x:c>
      <x:c r="L130" s="76" t="str">
        <x:v>由M2接口提供；夫妻星只参与关系议题权重，不单独生成盲点。</x:v>
      </x:c>
      <x:c r="M130" s="76" t="str">
        <x:v>由M3-BASE与共享引擎提供；不得把日支直接写成配偶性格。</x:v>
      </x:c>
      <x:c r="N130" s="76" t="str">
        <x:v>印→比劫受阻</x:v>
      </x:c>
      <x:c r="O130" s="76" t="str">
        <x:v>由共享基础引擎判定</x:v>
      </x:c>
      <x:c r="P130" s="76" t="str">
        <x:v>由共享基础引擎判定</x:v>
      </x:c>
      <x:c r="Q130" s="76" t="str">
        <x:v>由共享基础引擎判定</x:v>
      </x:c>
      <x:c r="R130" s="76" t="str">
        <x:v>喜忌只修正调用摩擦与平衡，不直接等同好坏。</x:v>
      </x:c>
      <x:c r="S130" s="76" t="str">
        <x:v>原十神性质有效；真合化成立时按化神系统替换。</x:v>
      </x:c>
      <x:c r="T130" s="76" t="str">
        <x:v>由共享基础引擎判定</x:v>
      </x:c>
      <x:c r="U130" s="76" t="str">
        <x:v>82</x:v>
      </x:c>
      <x:c r="V130" s="76" t="str">
        <x:v>K06候选 +6；若完整卡点另 +6</x:v>
      </x:c>
      <x:c r="W130" s="76" t="str">
        <x:v>missing_function</x:v>
      </x:c>
      <x:c r="X130" s="76" t="str">
        <x:v>能够理解或内部想清楚，但难以形成清楚立场、拒绝或共同决定。</x:v>
      </x:c>
      <x:c r="Y130" s="76" t="str">
        <x:v>需要留意的转换卡点是：能够理解或内部想清楚，但难以形成清楚立场、拒绝或共同决定。</x:v>
      </x:c>
      <x:c r="Z130" s="76" t="str">
        <x:v>不得把转换受阻写成永远无法改变；需检查通关、制化、现实行为和阶段状态。</x:v>
      </x:c>
      <x:c r="AA130" s="76" t="str">
        <x:v>中</x:v>
      </x:c>
      <x:c r="AB130" s="76" t="str">
        <x:v>待验证</x:v>
      </x:c>
      <x:c r="AC130" s="76" t="str"/>
      <x:c r="AD130" s="76" t="str">
        <x:v>provisional=true; flow=印→比劫受阻; imbalance=K06; blind_route=B09／B12</x:v>
      </x:c>
      <x:c r="AE130" s="82" t="str">
        <x:v>0.2</x:v>
      </x:c>
    </x:row>
    <x:row r="131">
      <x:c r="A131" s="81" t="str">
        <x:v>M4-BASE-127</x:v>
      </x:c>
      <x:c r="B131" s="76" t="str">
        <x:v>流通卡点｜比劫→食伤受阻</x:v>
      </x:c>
      <x:c r="C131" s="76" t="str">
        <x:v>L3 五系统与流向</x:v>
      </x:c>
      <x:c r="D131" s="76" t="str">
        <x:v>BASE-流向卡点</x:v>
      </x:c>
      <x:c r="E131" s="76" t="str">
        <x:v>通用</x:v>
      </x:c>
      <x:c r="F131" s="76" t="str">
        <x:v>失衡候选</x:v>
      </x:c>
      <x:c r="G131" s="76" t="str">
        <x:v>SYS01 比劫系统</x:v>
      </x:c>
      <x:c r="H131" s="76" t="str">
        <x:v>SYS02 食伤系统</x:v>
      </x:c>
      <x:c r="I131" s="76" t="str">
        <x:v>SYS01 比劫系统功能有效；SYS02 食伤系统为关系路径必要环节但弱而无助、被制或现实缺位；至少一项M3路径／现实证据支持。</x:v>
      </x:c>
      <x:c r="J131" s="76" t="str">
        <x:v>终点系统有效且已完成转换；只有静态五行关系；存在可靠替代桥梁。</x:v>
      </x:c>
      <x:c r="K131" s="76" t="str">
        <x:v>由共享基础引擎提供；只修正承载与执行，不直接等同强弱人格。</x:v>
      </x:c>
      <x:c r="L131" s="76" t="str">
        <x:v>由M2接口提供；夫妻星只参与关系议题权重，不单独生成盲点。</x:v>
      </x:c>
      <x:c r="M131" s="76" t="str">
        <x:v>由M3-BASE与共享引擎提供；不得把日支直接写成配偶性格。</x:v>
      </x:c>
      <x:c r="N131" s="76" t="str">
        <x:v>比劫→食伤受阻</x:v>
      </x:c>
      <x:c r="O131" s="76" t="str">
        <x:v>由共享基础引擎判定</x:v>
      </x:c>
      <x:c r="P131" s="76" t="str">
        <x:v>由共享基础引擎判定</x:v>
      </x:c>
      <x:c r="Q131" s="76" t="str">
        <x:v>由共享基础引擎判定</x:v>
      </x:c>
      <x:c r="R131" s="76" t="str">
        <x:v>喜忌只修正调用摩擦与平衡，不直接等同好坏。</x:v>
      </x:c>
      <x:c r="S131" s="76" t="str">
        <x:v>原十神性质有效；真合化成立时按化神系统替换。</x:v>
      </x:c>
      <x:c r="T131" s="76" t="str">
        <x:v>由共享基础引擎判定</x:v>
      </x:c>
      <x:c r="U131" s="76" t="str">
        <x:v>82</x:v>
      </x:c>
      <x:c r="V131" s="76" t="str">
        <x:v>K06候选 +6；若完整卡点另 +6</x:v>
      </x:c>
      <x:c r="W131" s="76" t="str">
        <x:v>missing_function</x:v>
      </x:c>
      <x:c r="X131" s="76" t="str">
        <x:v>知道自己的位置和界限，却难以把它转成对方能够接收的语言。</x:v>
      </x:c>
      <x:c r="Y131" s="76" t="str">
        <x:v>需要留意的转换卡点是：知道自己的位置和界限，却难以把它转成对方能够接收的语言。</x:v>
      </x:c>
      <x:c r="Z131" s="76" t="str">
        <x:v>不得把转换受阻写成永远无法改变；需检查通关、制化、现实行为和阶段状态。</x:v>
      </x:c>
      <x:c r="AA131" s="76" t="str">
        <x:v>中</x:v>
      </x:c>
      <x:c r="AB131" s="76" t="str">
        <x:v>待验证</x:v>
      </x:c>
      <x:c r="AC131" s="76" t="str"/>
      <x:c r="AD131" s="76" t="str">
        <x:v>provisional=true; flow=比劫→食伤受阻; imbalance=K06; blind_route=B10／B13</x:v>
      </x:c>
      <x:c r="AE131" s="82" t="str">
        <x:v>0.2</x:v>
      </x:c>
    </x:row>
    <x:row r="132">
      <x:c r="A132" s="81" t="str">
        <x:v>M4-BASE-128</x:v>
      </x:c>
      <x:c r="B132" s="76" t="str">
        <x:v>流通卡点｜食伤→财受阻</x:v>
      </x:c>
      <x:c r="C132" s="76" t="str">
        <x:v>L3 五系统与流向</x:v>
      </x:c>
      <x:c r="D132" s="76" t="str">
        <x:v>BASE-流向卡点</x:v>
      </x:c>
      <x:c r="E132" s="76" t="str">
        <x:v>通用</x:v>
      </x:c>
      <x:c r="F132" s="76" t="str">
        <x:v>失衡候选</x:v>
      </x:c>
      <x:c r="G132" s="76" t="str">
        <x:v>SYS02 食伤系统</x:v>
      </x:c>
      <x:c r="H132" s="76" t="str">
        <x:v>SYS03 财星系统</x:v>
      </x:c>
      <x:c r="I132" s="76" t="str">
        <x:v>SYS02 食伤系统功能有效；SYS03 财星系统为关系路径必要环节但弱而无助、被制或现实缺位；至少一项M3路径／现实证据支持。</x:v>
      </x:c>
      <x:c r="J132" s="76" t="str">
        <x:v>终点系统有效且已完成转换；只有静态五行关系；存在可靠替代桥梁。</x:v>
      </x:c>
      <x:c r="K132" s="76" t="str">
        <x:v>由共享基础引擎提供；只修正承载与执行，不直接等同强弱人格。</x:v>
      </x:c>
      <x:c r="L132" s="76" t="str">
        <x:v>由M2接口提供；夫妻星只参与关系议题权重，不单独生成盲点。</x:v>
      </x:c>
      <x:c r="M132" s="76" t="str">
        <x:v>由M3-BASE与共享引擎提供；不得把日支直接写成配偶性格。</x:v>
      </x:c>
      <x:c r="N132" s="76" t="str">
        <x:v>食伤→财受阻</x:v>
      </x:c>
      <x:c r="O132" s="76" t="str">
        <x:v>由共享基础引擎判定</x:v>
      </x:c>
      <x:c r="P132" s="76" t="str">
        <x:v>由共享基础引擎判定</x:v>
      </x:c>
      <x:c r="Q132" s="76" t="str">
        <x:v>由共享基础引擎判定</x:v>
      </x:c>
      <x:c r="R132" s="76" t="str">
        <x:v>喜忌只修正调用摩擦与平衡，不直接等同好坏。</x:v>
      </x:c>
      <x:c r="S132" s="76" t="str">
        <x:v>原十神性质有效；真合化成立时按化神系统替换。</x:v>
      </x:c>
      <x:c r="T132" s="76" t="str">
        <x:v>由共享基础引擎判定</x:v>
      </x:c>
      <x:c r="U132" s="76" t="str">
        <x:v>82</x:v>
      </x:c>
      <x:c r="V132" s="76" t="str">
        <x:v>K06候选 +6；若完整卡点另 +6</x:v>
      </x:c>
      <x:c r="W132" s="76" t="str">
        <x:v>missing_function</x:v>
      </x:c>
      <x:c r="X132" s="76" t="str">
        <x:v>能表达和讨论，但共识长期无法转成时间、资源与现实行动。</x:v>
      </x:c>
      <x:c r="Y132" s="76" t="str">
        <x:v>需要留意的转换卡点是：能表达和讨论，但共识长期无法转成时间、资源与现实行动。</x:v>
      </x:c>
      <x:c r="Z132" s="76" t="str">
        <x:v>不得把转换受阻写成永远无法改变；需检查通关、制化、现实行为和阶段状态。</x:v>
      </x:c>
      <x:c r="AA132" s="76" t="str">
        <x:v>中</x:v>
      </x:c>
      <x:c r="AB132" s="76" t="str">
        <x:v>待验证</x:v>
      </x:c>
      <x:c r="AC132" s="76" t="str"/>
      <x:c r="AD132" s="76" t="str">
        <x:v>provisional=true; flow=食伤→财受阻; imbalance=K06; blind_route=B05／B07</x:v>
      </x:c>
      <x:c r="AE132" s="82" t="str">
        <x:v>0.2</x:v>
      </x:c>
    </x:row>
    <x:row r="133">
      <x:c r="A133" s="81" t="str">
        <x:v>M4-BASE-129</x:v>
      </x:c>
      <x:c r="B133" s="76" t="str">
        <x:v>流通卡点｜财→官杀受阻</x:v>
      </x:c>
      <x:c r="C133" s="76" t="str">
        <x:v>L3 五系统与流向</x:v>
      </x:c>
      <x:c r="D133" s="76" t="str">
        <x:v>BASE-流向卡点</x:v>
      </x:c>
      <x:c r="E133" s="76" t="str">
        <x:v>通用</x:v>
      </x:c>
      <x:c r="F133" s="76" t="str">
        <x:v>失衡候选</x:v>
      </x:c>
      <x:c r="G133" s="76" t="str">
        <x:v>SYS03 财星系统</x:v>
      </x:c>
      <x:c r="H133" s="76" t="str">
        <x:v>SYS04 官杀系统</x:v>
      </x:c>
      <x:c r="I133" s="76" t="str">
        <x:v>SYS03 财星系统功能有效；SYS04 官杀系统为关系路径必要环节但弱而无助、被制或现实缺位；至少一项M3路径／现实证据支持。</x:v>
      </x:c>
      <x:c r="J133" s="76" t="str">
        <x:v>终点系统有效且已完成转换；只有静态五行关系；存在可靠替代桥梁。</x:v>
      </x:c>
      <x:c r="K133" s="76" t="str">
        <x:v>由共享基础引擎提供；只修正承载与执行，不直接等同强弱人格。</x:v>
      </x:c>
      <x:c r="L133" s="76" t="str">
        <x:v>由M2接口提供；夫妻星只参与关系议题权重，不单独生成盲点。</x:v>
      </x:c>
      <x:c r="M133" s="76" t="str">
        <x:v>由M3-BASE与共享引擎提供；不得把日支直接写成配偶性格。</x:v>
      </x:c>
      <x:c r="N133" s="76" t="str">
        <x:v>财→官杀受阻</x:v>
      </x:c>
      <x:c r="O133" s="76" t="str">
        <x:v>由共享基础引擎判定</x:v>
      </x:c>
      <x:c r="P133" s="76" t="str">
        <x:v>由共享基础引擎判定</x:v>
      </x:c>
      <x:c r="Q133" s="76" t="str">
        <x:v>由共享基础引擎判定</x:v>
      </x:c>
      <x:c r="R133" s="76" t="str">
        <x:v>喜忌只修正调用摩擦与平衡，不直接等同好坏。</x:v>
      </x:c>
      <x:c r="S133" s="76" t="str">
        <x:v>原十神性质有效；真合化成立时按化神系统替换。</x:v>
      </x:c>
      <x:c r="T133" s="76" t="str">
        <x:v>由共享基础引擎判定</x:v>
      </x:c>
      <x:c r="U133" s="76" t="str">
        <x:v>82</x:v>
      </x:c>
      <x:c r="V133" s="76" t="str">
        <x:v>K06候选 +6；若完整卡点另 +6</x:v>
      </x:c>
      <x:c r="W133" s="76" t="str">
        <x:v>missing_function</x:v>
      </x:c>
      <x:c r="X133" s="76" t="str">
        <x:v>有投入、安排或共同体验，却迟迟没有形成责任、承诺和执行主体。</x:v>
      </x:c>
      <x:c r="Y133" s="76" t="str">
        <x:v>需要留意的转换卡点是：有投入、安排或共同体验，却迟迟没有形成责任、承诺和执行主体。</x:v>
      </x:c>
      <x:c r="Z133" s="76" t="str">
        <x:v>不得把转换受阻写成永远无法改变；需检查通关、制化、现实行为和阶段状态。</x:v>
      </x:c>
      <x:c r="AA133" s="76" t="str">
        <x:v>中</x:v>
      </x:c>
      <x:c r="AB133" s="76" t="str">
        <x:v>待验证</x:v>
      </x:c>
      <x:c r="AC133" s="76" t="str"/>
      <x:c r="AD133" s="76" t="str">
        <x:v>provisional=true; flow=财→官杀受阻; imbalance=K06; blind_route=B03／B07</x:v>
      </x:c>
      <x:c r="AE133" s="82" t="str">
        <x:v>0.2</x:v>
      </x:c>
    </x:row>
    <x:row r="134">
      <x:c r="A134" s="81" t="str">
        <x:v>M4-BASE-130</x:v>
      </x:c>
      <x:c r="B134" s="76" t="str">
        <x:v>流通卡点｜官杀→印受阻</x:v>
      </x:c>
      <x:c r="C134" s="76" t="str">
        <x:v>L3 五系统与流向</x:v>
      </x:c>
      <x:c r="D134" s="76" t="str">
        <x:v>BASE-流向卡点</x:v>
      </x:c>
      <x:c r="E134" s="76" t="str">
        <x:v>通用</x:v>
      </x:c>
      <x:c r="F134" s="76" t="str">
        <x:v>失衡候选</x:v>
      </x:c>
      <x:c r="G134" s="76" t="str">
        <x:v>SYS04 官杀系统</x:v>
      </x:c>
      <x:c r="H134" s="76" t="str">
        <x:v>SYS05 印星系统</x:v>
      </x:c>
      <x:c r="I134" s="76" t="str">
        <x:v>SYS04 官杀系统功能有效；SYS05 印星系统为关系路径必要环节但弱而无助、被制或现实缺位；至少一项M3路径／现实证据支持。</x:v>
      </x:c>
      <x:c r="J134" s="76" t="str">
        <x:v>终点系统有效且已完成转换；只有静态五行关系；存在可靠替代桥梁。</x:v>
      </x:c>
      <x:c r="K134" s="76" t="str">
        <x:v>由共享基础引擎提供；只修正承载与执行，不直接等同强弱人格。</x:v>
      </x:c>
      <x:c r="L134" s="76" t="str">
        <x:v>由M2接口提供；夫妻星只参与关系议题权重，不单独生成盲点。</x:v>
      </x:c>
      <x:c r="M134" s="76" t="str">
        <x:v>由M3-BASE与共享引擎提供；不得把日支直接写成配偶性格。</x:v>
      </x:c>
      <x:c r="N134" s="76" t="str">
        <x:v>官杀→印受阻</x:v>
      </x:c>
      <x:c r="O134" s="76" t="str">
        <x:v>由共享基础引擎判定</x:v>
      </x:c>
      <x:c r="P134" s="76" t="str">
        <x:v>由共享基础引擎判定</x:v>
      </x:c>
      <x:c r="Q134" s="76" t="str">
        <x:v>由共享基础引擎判定</x:v>
      </x:c>
      <x:c r="R134" s="76" t="str">
        <x:v>喜忌只修正调用摩擦与平衡，不直接等同好坏。</x:v>
      </x:c>
      <x:c r="S134" s="76" t="str">
        <x:v>原十神性质有效；真合化成立时按化神系统替换。</x:v>
      </x:c>
      <x:c r="T134" s="76" t="str">
        <x:v>由共享基础引擎判定</x:v>
      </x:c>
      <x:c r="U134" s="76" t="str">
        <x:v>82</x:v>
      </x:c>
      <x:c r="V134" s="76" t="str">
        <x:v>K06候选 +6；若完整卡点另 +6</x:v>
      </x:c>
      <x:c r="W134" s="76" t="str">
        <x:v>missing_function</x:v>
      </x:c>
      <x:c r="X134" s="76" t="str">
        <x:v>事情被处理、规则被建立或承诺被说出，但理解、安全和情绪回流没有恢复。</x:v>
      </x:c>
      <x:c r="Y134" s="76" t="str">
        <x:v>需要留意的转换卡点是：事情被处理、规则被建立或承诺被说出，但理解、安全和情绪回流没有恢复。</x:v>
      </x:c>
      <x:c r="Z134" s="76" t="str">
        <x:v>不得把转换受阻写成永远无法改变；需检查通关、制化、现实行为和阶段状态。</x:v>
      </x:c>
      <x:c r="AA134" s="76" t="str">
        <x:v>中</x:v>
      </x:c>
      <x:c r="AB134" s="76" t="str">
        <x:v>待验证</x:v>
      </x:c>
      <x:c r="AC134" s="76" t="str"/>
      <x:c r="AD134" s="76" t="str">
        <x:v>provisional=true; flow=官杀→印受阻; imbalance=K06; blind_route=B06／B14</x:v>
      </x:c>
      <x:c r="AE134" s="82" t="str">
        <x:v>0.2</x:v>
      </x:c>
    </x:row>
    <x:row r="135">
      <x:c r="A135" s="81" t="str">
        <x:v>M4-BASE-131</x:v>
      </x:c>
      <x:c r="B135" s="76" t="str">
        <x:v>制约筛选｜印制食伤</x:v>
      </x:c>
      <x:c r="C135" s="76" t="str">
        <x:v>L3 五系统与流向</x:v>
      </x:c>
      <x:c r="D135" s="76" t="str">
        <x:v>BASE-流向卡点</x:v>
      </x:c>
      <x:c r="E135" s="76" t="str">
        <x:v>通用</x:v>
      </x:c>
      <x:c r="F135" s="76" t="str">
        <x:v>调节候选</x:v>
      </x:c>
      <x:c r="G135" s="76" t="str">
        <x:v>SYS05 印星系统</x:v>
      </x:c>
      <x:c r="H135" s="76" t="str">
        <x:v>SYS02 食伤系统</x:v>
      </x:c>
      <x:c r="I135" s="76" t="str">
        <x:v>SYS05 印星系统与SYS02 食伤系统均有效；制约关系有力、位置可进入关系核心，并有M3功能分工或现实行为支持。</x:v>
      </x:c>
      <x:c r="J135" s="76" t="str">
        <x:v>只有静态克制标签；调节方弱远无根；一方真合化失效；制约过强造成新的压制候选。</x:v>
      </x:c>
      <x:c r="K135" s="76" t="str">
        <x:v>由共享基础引擎提供；只修正承载与执行，不直接等同强弱人格。</x:v>
      </x:c>
      <x:c r="L135" s="76" t="str">
        <x:v>由M2接口提供；夫妻星只参与关系议题权重，不单独生成盲点。</x:v>
      </x:c>
      <x:c r="M135" s="76" t="str">
        <x:v>由M3-BASE与共享引擎提供；不得把日支直接写成配偶性格。</x:v>
      </x:c>
      <x:c r="N135" s="76" t="str">
        <x:v>印制食伤 筛选／调节</x:v>
      </x:c>
      <x:c r="O135" s="76" t="str">
        <x:v>由共享基础引擎判定</x:v>
      </x:c>
      <x:c r="P135" s="76" t="str">
        <x:v>由共享基础引擎判定</x:v>
      </x:c>
      <x:c r="Q135" s="76" t="str">
        <x:v>由共享基础引擎判定</x:v>
      </x:c>
      <x:c r="R135" s="76" t="str">
        <x:v>喜忌只修正调用摩擦与平衡，不直接等同好坏。</x:v>
      </x:c>
      <x:c r="S135" s="76" t="str">
        <x:v>原十神性质有效；真合化成立时按化神系统替换。</x:v>
      </x:c>
      <x:c r="T135" s="76" t="str">
        <x:v>由共享基础引擎判定</x:v>
      </x:c>
      <x:c r="U135" s="76" t="str">
        <x:v>76</x:v>
      </x:c>
      <x:c r="V135" s="76" t="str">
        <x:v>有效调节 −6；过强则路由K05/K01</x:v>
      </x:c>
      <x:c r="W135" s="76" t="str">
        <x:v>buffer_factor</x:v>
      </x:c>
      <x:c r="X135" s="76" t="str">
        <x:v>倾听、内部复核和安全承接用于调节表达强度；若印不足，食伤可能更易出现解释过载。</x:v>
      </x:c>
      <x:c r="Y135" s="76" t="str">
        <x:v>这项调节若有效，会表现为：倾听、内部复核和安全承接用于调节表达强度；若印不足，食伤可能更易出现解释过载。</x:v>
      </x:c>
      <x:c r="Z135" s="76" t="str">
        <x:v>制约不自动等于压制，也不自动等于成熟调节；必须检查力量、位置和现实行为。</x:v>
      </x:c>
      <x:c r="AA135" s="76" t="str">
        <x:v>中</x:v>
      </x:c>
      <x:c r="AB135" s="76" t="str">
        <x:v>待验证</x:v>
      </x:c>
      <x:c r="AC135" s="76" t="str"/>
      <x:c r="AD135" s="76" t="str">
        <x:v>provisional=true; flow=印制食伤; buffer=BF04 倾听与内部复核; blind_route=B05</x:v>
      </x:c>
      <x:c r="AE135" s="82" t="str">
        <x:v>0.2</x:v>
      </x:c>
    </x:row>
    <x:row r="136">
      <x:c r="A136" s="81" t="str">
        <x:v>M4-BASE-132</x:v>
      </x:c>
      <x:c r="B136" s="76" t="str">
        <x:v>制约筛选｜食伤制官杀</x:v>
      </x:c>
      <x:c r="C136" s="76" t="str">
        <x:v>L3 五系统与流向</x:v>
      </x:c>
      <x:c r="D136" s="76" t="str">
        <x:v>BASE-流向卡点</x:v>
      </x:c>
      <x:c r="E136" s="76" t="str">
        <x:v>通用</x:v>
      </x:c>
      <x:c r="F136" s="76" t="str">
        <x:v>调节候选</x:v>
      </x:c>
      <x:c r="G136" s="76" t="str">
        <x:v>SYS02 食伤系统</x:v>
      </x:c>
      <x:c r="H136" s="76" t="str">
        <x:v>SYS04 官杀系统</x:v>
      </x:c>
      <x:c r="I136" s="76" t="str">
        <x:v>SYS02 食伤系统与SYS04 官杀系统均有效；制约关系有力、位置可进入关系核心，并有M3功能分工或现实行为支持。</x:v>
      </x:c>
      <x:c r="J136" s="76" t="str">
        <x:v>只有静态克制标签；调节方弱远无根；一方真合化失效；制约过强造成新的压制候选。</x:v>
      </x:c>
      <x:c r="K136" s="76" t="str">
        <x:v>由共享基础引擎提供；只修正承载与执行，不直接等同强弱人格。</x:v>
      </x:c>
      <x:c r="L136" s="76" t="str">
        <x:v>由M2接口提供；夫妻星只参与关系议题权重，不单独生成盲点。</x:v>
      </x:c>
      <x:c r="M136" s="76" t="str">
        <x:v>由M3-BASE与共享引擎提供；不得把日支直接写成配偶性格。</x:v>
      </x:c>
      <x:c r="N136" s="76" t="str">
        <x:v>食伤制官杀 筛选／调节</x:v>
      </x:c>
      <x:c r="O136" s="76" t="str">
        <x:v>由共享基础引擎判定</x:v>
      </x:c>
      <x:c r="P136" s="76" t="str">
        <x:v>由共享基础引擎判定</x:v>
      </x:c>
      <x:c r="Q136" s="76" t="str">
        <x:v>由共享基础引擎判定</x:v>
      </x:c>
      <x:c r="R136" s="76" t="str">
        <x:v>喜忌只修正调用摩擦与平衡，不直接等同好坏。</x:v>
      </x:c>
      <x:c r="S136" s="76" t="str">
        <x:v>原十神性质有效；真合化成立时按化神系统替换。</x:v>
      </x:c>
      <x:c r="T136" s="76" t="str">
        <x:v>由共享基础引擎判定</x:v>
      </x:c>
      <x:c r="U136" s="76" t="str">
        <x:v>76</x:v>
      </x:c>
      <x:c r="V136" s="76" t="str">
        <x:v>有效调节 −6；过强则路由K05/K01</x:v>
      </x:c>
      <x:c r="W136" s="76" t="str">
        <x:v>buffer_factor</x:v>
      </x:c>
      <x:c r="X136" s="76" t="str">
        <x:v>协商、反馈和说明用于调节规则与行动；若食伤不足，推进可能越过双向确认。</x:v>
      </x:c>
      <x:c r="Y136" s="76" t="str">
        <x:v>这项调节若有效，会表现为：协商、反馈和说明用于调节规则与行动；若食伤不足，推进可能越过双向确认。</x:v>
      </x:c>
      <x:c r="Z136" s="76" t="str">
        <x:v>制约不自动等于压制，也不自动等于成熟调节；必须检查力量、位置和现实行为。</x:v>
      </x:c>
      <x:c r="AA136" s="76" t="str">
        <x:v>中</x:v>
      </x:c>
      <x:c r="AB136" s="76" t="str">
        <x:v>待验证</x:v>
      </x:c>
      <x:c r="AC136" s="76" t="str"/>
      <x:c r="AD136" s="76" t="str">
        <x:v>provisional=true; flow=食伤制官杀; buffer=BF05 表达与反馈通道; blind_route=B08</x:v>
      </x:c>
      <x:c r="AE136" s="82" t="str">
        <x:v>0.2</x:v>
      </x:c>
    </x:row>
    <x:row r="137">
      <x:c r="A137" s="81" t="str">
        <x:v>M4-BASE-133</x:v>
      </x:c>
      <x:c r="B137" s="76" t="str">
        <x:v>制约筛选｜官杀制比劫</x:v>
      </x:c>
      <x:c r="C137" s="76" t="str">
        <x:v>L3 五系统与流向</x:v>
      </x:c>
      <x:c r="D137" s="76" t="str">
        <x:v>BASE-流向卡点</x:v>
      </x:c>
      <x:c r="E137" s="76" t="str">
        <x:v>通用</x:v>
      </x:c>
      <x:c r="F137" s="76" t="str">
        <x:v>调节候选</x:v>
      </x:c>
      <x:c r="G137" s="76" t="str">
        <x:v>SYS04 官杀系统</x:v>
      </x:c>
      <x:c r="H137" s="76" t="str">
        <x:v>SYS01 比劫系统</x:v>
      </x:c>
      <x:c r="I137" s="76" t="str">
        <x:v>SYS04 官杀系统与SYS01 比劫系统均有效；制约关系有力、位置可进入关系核心，并有M3功能分工或现实行为支持。</x:v>
      </x:c>
      <x:c r="J137" s="76" t="str">
        <x:v>只有静态克制标签；调节方弱远无根；一方真合化失效；制约过强造成新的压制候选。</x:v>
      </x:c>
      <x:c r="K137" s="76" t="str">
        <x:v>由共享基础引擎提供；只修正承载与执行，不直接等同强弱人格。</x:v>
      </x:c>
      <x:c r="L137" s="76" t="str">
        <x:v>由M2接口提供；夫妻星只参与关系议题权重，不单独生成盲点。</x:v>
      </x:c>
      <x:c r="M137" s="76" t="str">
        <x:v>由M3-BASE与共享引擎提供；不得把日支直接写成配偶性格。</x:v>
      </x:c>
      <x:c r="N137" s="76" t="str">
        <x:v>官杀制比劫 筛选／调节</x:v>
      </x:c>
      <x:c r="O137" s="76" t="str">
        <x:v>由共享基础引擎判定</x:v>
      </x:c>
      <x:c r="P137" s="76" t="str">
        <x:v>由共享基础引擎判定</x:v>
      </x:c>
      <x:c r="Q137" s="76" t="str">
        <x:v>由共享基础引擎判定</x:v>
      </x:c>
      <x:c r="R137" s="76" t="str">
        <x:v>喜忌只修正调用摩擦与平衡，不直接等同好坏。</x:v>
      </x:c>
      <x:c r="S137" s="76" t="str">
        <x:v>原十神性质有效；真合化成立时按化神系统替换。</x:v>
      </x:c>
      <x:c r="T137" s="76" t="str">
        <x:v>由共享基础引擎判定</x:v>
      </x:c>
      <x:c r="U137" s="76" t="str">
        <x:v>76</x:v>
      </x:c>
      <x:c r="V137" s="76" t="str">
        <x:v>有效调节 −6；过强则路由K05/K01</x:v>
      </x:c>
      <x:c r="W137" s="76" t="str">
        <x:v>buffer_factor</x:v>
      </x:c>
      <x:c r="X137" s="76" t="str">
        <x:v>承诺、角色与责任为自主提供共同框架；若官杀过强，可能压缩协商空间。</x:v>
      </x:c>
      <x:c r="Y137" s="76" t="str">
        <x:v>这项调节若有效，会表现为：承诺、角色与责任为自主提供共同框架；若官杀过强，可能压缩协商空间。</x:v>
      </x:c>
      <x:c r="Z137" s="76" t="str">
        <x:v>制约不自动等于压制，也不自动等于成熟调节；必须检查力量、位置和现实行为。</x:v>
      </x:c>
      <x:c r="AA137" s="76" t="str">
        <x:v>中</x:v>
      </x:c>
      <x:c r="AB137" s="76" t="str">
        <x:v>待验证</x:v>
      </x:c>
      <x:c r="AC137" s="76" t="str"/>
      <x:c r="AD137" s="76" t="str">
        <x:v>provisional=true; flow=官杀制比劫; buffer=BF01 有制有化; blind_route=B10</x:v>
      </x:c>
      <x:c r="AE137" s="82" t="str">
        <x:v>0.2</x:v>
      </x:c>
    </x:row>
    <x:row r="138">
      <x:c r="A138" s="81" t="str">
        <x:v>M4-BASE-134</x:v>
      </x:c>
      <x:c r="B138" s="76" t="str">
        <x:v>制约筛选｜比劫制财</x:v>
      </x:c>
      <x:c r="C138" s="76" t="str">
        <x:v>L3 五系统与流向</x:v>
      </x:c>
      <x:c r="D138" s="76" t="str">
        <x:v>BASE-流向卡点</x:v>
      </x:c>
      <x:c r="E138" s="76" t="str">
        <x:v>通用</x:v>
      </x:c>
      <x:c r="F138" s="76" t="str">
        <x:v>调节候选</x:v>
      </x:c>
      <x:c r="G138" s="76" t="str">
        <x:v>SYS01 比劫系统</x:v>
      </x:c>
      <x:c r="H138" s="76" t="str">
        <x:v>SYS03 财星系统</x:v>
      </x:c>
      <x:c r="I138" s="76" t="str">
        <x:v>SYS01 比劫系统与SYS03 财星系统均有效；制约关系有力、位置可进入关系核心，并有M3功能分工或现实行为支持。</x:v>
      </x:c>
      <x:c r="J138" s="76" t="str">
        <x:v>只有静态克制标签；调节方弱远无根；一方真合化失效；制约过强造成新的压制候选。</x:v>
      </x:c>
      <x:c r="K138" s="76" t="str">
        <x:v>由共享基础引擎提供；只修正承载与执行，不直接等同强弱人格。</x:v>
      </x:c>
      <x:c r="L138" s="76" t="str">
        <x:v>由M2接口提供；夫妻星只参与关系议题权重，不单独生成盲点。</x:v>
      </x:c>
      <x:c r="M138" s="76" t="str">
        <x:v>由M3-BASE与共享引擎提供；不得把日支直接写成配偶性格。</x:v>
      </x:c>
      <x:c r="N138" s="76" t="str">
        <x:v>比劫制财 筛选／调节</x:v>
      </x:c>
      <x:c r="O138" s="76" t="str">
        <x:v>由共享基础引擎判定</x:v>
      </x:c>
      <x:c r="P138" s="76" t="str">
        <x:v>由共享基础引擎判定</x:v>
      </x:c>
      <x:c r="Q138" s="76" t="str">
        <x:v>由共享基础引擎判定</x:v>
      </x:c>
      <x:c r="R138" s="76" t="str">
        <x:v>喜忌只修正调用摩擦与平衡，不直接等同好坏。</x:v>
      </x:c>
      <x:c r="S138" s="76" t="str">
        <x:v>原十神性质有效；真合化成立时按化神系统替换。</x:v>
      </x:c>
      <x:c r="T138" s="76" t="str">
        <x:v>由共享基础引擎判定</x:v>
      </x:c>
      <x:c r="U138" s="76" t="str">
        <x:v>76</x:v>
      </x:c>
      <x:c r="V138" s="76" t="str">
        <x:v>有效调节 −6；过强则路由K05/K01</x:v>
      </x:c>
      <x:c r="W138" s="76" t="str">
        <x:v>buffer_factor</x:v>
      </x:c>
      <x:c r="X138" s="76" t="str">
        <x:v>边界、分工和共同决定用于调节资源投入；若比劫不足，资源与付出边界可能模糊。</x:v>
      </x:c>
      <x:c r="Y138" s="76" t="str">
        <x:v>这项调节若有效，会表现为：边界、分工和共同决定用于调节资源投入；若比劫不足，资源与付出边界可能模糊。</x:v>
      </x:c>
      <x:c r="Z138" s="76" t="str">
        <x:v>制约不自动等于压制，也不自动等于成熟调节；必须检查力量、位置和现实行为。</x:v>
      </x:c>
      <x:c r="AA138" s="76" t="str">
        <x:v>中</x:v>
      </x:c>
      <x:c r="AB138" s="76" t="str">
        <x:v>待验证</x:v>
      </x:c>
      <x:c r="AC138" s="76" t="str"/>
      <x:c r="AD138" s="76" t="str">
        <x:v>provisional=true; flow=比劫制财; buffer=BF03 独立边界支持; blind_route=B07</x:v>
      </x:c>
      <x:c r="AE138" s="82" t="str">
        <x:v>0.2</x:v>
      </x:c>
    </x:row>
    <x:row r="139">
      <x:c r="A139" s="81" t="str">
        <x:v>M4-BASE-135</x:v>
      </x:c>
      <x:c r="B139" s="76" t="str">
        <x:v>制约筛选｜财制印</x:v>
      </x:c>
      <x:c r="C139" s="76" t="str">
        <x:v>L3 五系统与流向</x:v>
      </x:c>
      <x:c r="D139" s="76" t="str">
        <x:v>BASE-流向卡点</x:v>
      </x:c>
      <x:c r="E139" s="76" t="str">
        <x:v>通用</x:v>
      </x:c>
      <x:c r="F139" s="76" t="str">
        <x:v>调节候选</x:v>
      </x:c>
      <x:c r="G139" s="76" t="str">
        <x:v>SYS03 财星系统</x:v>
      </x:c>
      <x:c r="H139" s="76" t="str">
        <x:v>SYS05 印星系统</x:v>
      </x:c>
      <x:c r="I139" s="76" t="str">
        <x:v>SYS03 财星系统与SYS05 印星系统均有效；制约关系有力、位置可进入关系核心，并有M3功能分工或现实行为支持。</x:v>
      </x:c>
      <x:c r="J139" s="76" t="str">
        <x:v>只有静态克制标签；调节方弱远无根；一方真合化失效；制约过强造成新的压制候选。</x:v>
      </x:c>
      <x:c r="K139" s="76" t="str">
        <x:v>由共享基础引擎提供；只修正承载与执行，不直接等同强弱人格。</x:v>
      </x:c>
      <x:c r="L139" s="76" t="str">
        <x:v>由M2接口提供；夫妻星只参与关系议题权重，不单独生成盲点。</x:v>
      </x:c>
      <x:c r="M139" s="76" t="str">
        <x:v>由M3-BASE与共享引擎提供；不得把日支直接写成配偶性格。</x:v>
      </x:c>
      <x:c r="N139" s="76" t="str">
        <x:v>财制印 筛选／调节</x:v>
      </x:c>
      <x:c r="O139" s="76" t="str">
        <x:v>由共享基础引擎判定</x:v>
      </x:c>
      <x:c r="P139" s="76" t="str">
        <x:v>由共享基础引擎判定</x:v>
      </x:c>
      <x:c r="Q139" s="76" t="str">
        <x:v>由共享基础引擎判定</x:v>
      </x:c>
      <x:c r="R139" s="76" t="str">
        <x:v>喜忌只修正调用摩擦与平衡，不直接等同好坏。</x:v>
      </x:c>
      <x:c r="S139" s="76" t="str">
        <x:v>原十神性质有效；真合化成立时按化神系统替换。</x:v>
      </x:c>
      <x:c r="T139" s="76" t="str">
        <x:v>由共享基础引擎判定</x:v>
      </x:c>
      <x:c r="U139" s="76" t="str">
        <x:v>76</x:v>
      </x:c>
      <x:c r="V139" s="76" t="str">
        <x:v>有效调节 −6；过强则路由K05/K01</x:v>
      </x:c>
      <x:c r="W139" s="76" t="str">
        <x:v>buffer_factor</x:v>
      </x:c>
      <x:c r="X139" s="76" t="str">
        <x:v>现实行动和重复兑现用于检验理解与照顾；若财不足，理解可能替代改变。</x:v>
      </x:c>
      <x:c r="Y139" s="76" t="str">
        <x:v>这项调节若有效，会表现为：现实行动和重复兑现用于检验理解与照顾；若财不足，理解可能替代改变。</x:v>
      </x:c>
      <x:c r="Z139" s="76" t="str">
        <x:v>制约不自动等于压制，也不自动等于成熟调节；必须检查力量、位置和现实行为。</x:v>
      </x:c>
      <x:c r="AA139" s="76" t="str">
        <x:v>中</x:v>
      </x:c>
      <x:c r="AB139" s="76" t="str">
        <x:v>待验证</x:v>
      </x:c>
      <x:c r="AC139" s="76" t="str"/>
      <x:c r="AD139" s="76" t="str">
        <x:v>provisional=true; flow=财制印; buffer=BF06 现实兑现和重复行为; blind_route=B09</x:v>
      </x:c>
      <x:c r="AE139" s="82" t="str">
        <x:v>0.2</x:v>
      </x:c>
    </x:row>
    <x:row r="140">
      <x:c r="A140" s="81" t="str">
        <x:v>M4-BASE-136</x:v>
      </x:c>
      <x:c r="B140" s="76" t="str">
        <x:v>K05双通道竞争｜比劫—官杀竞争</x:v>
      </x:c>
      <x:c r="C140" s="76" t="str">
        <x:v>L3 五系统与流向</x:v>
      </x:c>
      <x:c r="D140" s="76" t="str">
        <x:v>BASE-流向卡点</x:v>
      </x:c>
      <x:c r="E140" s="76" t="str">
        <x:v>通用</x:v>
      </x:c>
      <x:c r="F140" s="76" t="str">
        <x:v>组合候选</x:v>
      </x:c>
      <x:c r="G140" s="76" t="str">
        <x:v>SYS01 比劫系统</x:v>
      </x:c>
      <x:c r="H140" s="76" t="str">
        <x:v>SYS04 官杀系统</x:v>
      </x:c>
      <x:c r="I140" s="76" t="str">
        <x:v>两系统均达到有效门槛、分差较小且在同一关系任务中同时抢占启动位；缺少桥接或明确分工。</x:v>
      </x:c>
      <x:c r="J140" s="76" t="str">
        <x:v>两系统已经形成先后或角色分工；一方仅弱远背景；只有静态生克关系。</x:v>
      </x:c>
      <x:c r="K140" s="76" t="str">
        <x:v>由共享基础引擎提供；只修正承载与执行，不直接等同强弱人格。</x:v>
      </x:c>
      <x:c r="L140" s="76" t="str">
        <x:v>由M2接口提供；夫妻星只参与关系议题权重，不单独生成盲点。</x:v>
      </x:c>
      <x:c r="M140" s="76" t="str">
        <x:v>由M3-BASE与共享引擎提供；不得把日支直接写成配偶性格。</x:v>
      </x:c>
      <x:c r="N140" s="76" t="str">
        <x:v>比劫—官杀竞争</x:v>
      </x:c>
      <x:c r="O140" s="76" t="str">
        <x:v>由共享基础引擎判定</x:v>
      </x:c>
      <x:c r="P140" s="76" t="str">
        <x:v>由共享基础引擎判定</x:v>
      </x:c>
      <x:c r="Q140" s="76" t="str">
        <x:v>由共享基础引擎判定</x:v>
      </x:c>
      <x:c r="R140" s="76" t="str">
        <x:v>喜忌只修正调用摩擦与平衡，不直接等同好坏。</x:v>
      </x:c>
      <x:c r="S140" s="76" t="str">
        <x:v>原十神性质有效；真合化成立时按化神系统替换。</x:v>
      </x:c>
      <x:c r="T140" s="76" t="str">
        <x:v>由共享基础引擎判定</x:v>
      </x:c>
      <x:c r="U140" s="76" t="str">
        <x:v>80</x:v>
      </x:c>
      <x:c r="V140" s="76" t="str">
        <x:v>K05候选 +6</x:v>
      </x:c>
      <x:c r="W140" s="76" t="str">
        <x:v>imbalance_mechanism</x:v>
      </x:c>
      <x:c r="X140" s="76" t="str">
        <x:v>自主与共同决定权同规则、角色和推进同时争夺第一反应；若无食伤协商，可能出现K05。</x:v>
      </x:c>
      <x:c r="Y140" s="76" t="str">
        <x:v>当两种功能同时抢先时，可能出现：自主与共同决定权同规则、角色和推进同时争夺第一反应；若无食伤协商，可能出现K05。</x:v>
      </x:c>
      <x:c r="Z140" s="76" t="str">
        <x:v>双通道竞争不等于人格矛盾、反复无常或关系一定不稳定；需结合触发与现实顺序验证。</x:v>
      </x:c>
      <x:c r="AA140" s="76" t="str">
        <x:v>中低</x:v>
      </x:c>
      <x:c r="AB140" s="76" t="str">
        <x:v>待验证</x:v>
      </x:c>
      <x:c r="AC140" s="76" t="str"/>
      <x:c r="AD140" s="76" t="str">
        <x:v>provisional=true; imbalance=K05; blind_route=B08／B10</x:v>
      </x:c>
      <x:c r="AE140" s="82" t="str">
        <x:v>0.2</x:v>
      </x:c>
    </x:row>
    <x:row r="141">
      <x:c r="A141" s="81" t="str">
        <x:v>M4-BASE-137</x:v>
      </x:c>
      <x:c r="B141" s="76" t="str">
        <x:v>K05双通道竞争｜食伤—印星竞争</x:v>
      </x:c>
      <x:c r="C141" s="76" t="str">
        <x:v>L3 五系统与流向</x:v>
      </x:c>
      <x:c r="D141" s="76" t="str">
        <x:v>BASE-流向卡点</x:v>
      </x:c>
      <x:c r="E141" s="76" t="str">
        <x:v>通用</x:v>
      </x:c>
      <x:c r="F141" s="76" t="str">
        <x:v>组合候选</x:v>
      </x:c>
      <x:c r="G141" s="76" t="str">
        <x:v>SYS02 食伤系统</x:v>
      </x:c>
      <x:c r="H141" s="76" t="str">
        <x:v>SYS05 印星系统</x:v>
      </x:c>
      <x:c r="I141" s="76" t="str">
        <x:v>两系统均达到有效门槛、分差较小且在同一关系任务中同时抢占启动位；缺少桥接或明确分工。</x:v>
      </x:c>
      <x:c r="J141" s="76" t="str">
        <x:v>两系统已经形成先后或角色分工；一方仅弱远背景；只有静态生克关系。</x:v>
      </x:c>
      <x:c r="K141" s="76" t="str">
        <x:v>由共享基础引擎提供；只修正承载与执行，不直接等同强弱人格。</x:v>
      </x:c>
      <x:c r="L141" s="76" t="str">
        <x:v>由M2接口提供；夫妻星只参与关系议题权重，不单独生成盲点。</x:v>
      </x:c>
      <x:c r="M141" s="76" t="str">
        <x:v>由M3-BASE与共享引擎提供；不得把日支直接写成配偶性格。</x:v>
      </x:c>
      <x:c r="N141" s="76" t="str">
        <x:v>食伤—印星竞争</x:v>
      </x:c>
      <x:c r="O141" s="76" t="str">
        <x:v>由共享基础引擎判定</x:v>
      </x:c>
      <x:c r="P141" s="76" t="str">
        <x:v>由共享基础引擎判定</x:v>
      </x:c>
      <x:c r="Q141" s="76" t="str">
        <x:v>由共享基础引擎判定</x:v>
      </x:c>
      <x:c r="R141" s="76" t="str">
        <x:v>喜忌只修正调用摩擦与平衡，不直接等同好坏。</x:v>
      </x:c>
      <x:c r="S141" s="76" t="str">
        <x:v>原十神性质有效；真合化成立时按化神系统替换。</x:v>
      </x:c>
      <x:c r="T141" s="76" t="str">
        <x:v>由共享基础引擎判定</x:v>
      </x:c>
      <x:c r="U141" s="76" t="str">
        <x:v>80</x:v>
      </x:c>
      <x:c r="V141" s="76" t="str">
        <x:v>K05候选 +6</x:v>
      </x:c>
      <x:c r="W141" s="76" t="str">
        <x:v>imbalance_mechanism</x:v>
      </x:c>
      <x:c r="X141" s="76" t="str">
        <x:v>一边想立即表达，一边需要先内部整理；若缺少分工，可能在说与不说之间反复切换。</x:v>
      </x:c>
      <x:c r="Y141" s="76" t="str">
        <x:v>当两种功能同时抢先时，可能出现：一边想立即表达，一边需要先内部整理；若缺少分工，可能在说与不说之间反复切换。</x:v>
      </x:c>
      <x:c r="Z141" s="76" t="str">
        <x:v>双通道竞争不等于人格矛盾、反复无常或关系一定不稳定；需结合触发与现实顺序验证。</x:v>
      </x:c>
      <x:c r="AA141" s="76" t="str">
        <x:v>中低</x:v>
      </x:c>
      <x:c r="AB141" s="76" t="str">
        <x:v>待验证</x:v>
      </x:c>
      <x:c r="AC141" s="76" t="str"/>
      <x:c r="AD141" s="76" t="str">
        <x:v>provisional=true; imbalance=K05; blind_route=B05／B13／B15</x:v>
      </x:c>
      <x:c r="AE141" s="82" t="str">
        <x:v>0.2</x:v>
      </x:c>
    </x:row>
    <x:row r="142">
      <x:c r="A142" s="81" t="str">
        <x:v>M4-BASE-138</x:v>
      </x:c>
      <x:c r="B142" s="76" t="str">
        <x:v>K05双通道竞争｜财星—比劫竞争</x:v>
      </x:c>
      <x:c r="C142" s="76" t="str">
        <x:v>L3 五系统与流向</x:v>
      </x:c>
      <x:c r="D142" s="76" t="str">
        <x:v>BASE-流向卡点</x:v>
      </x:c>
      <x:c r="E142" s="76" t="str">
        <x:v>通用</x:v>
      </x:c>
      <x:c r="F142" s="76" t="str">
        <x:v>组合候选</x:v>
      </x:c>
      <x:c r="G142" s="76" t="str">
        <x:v>SYS03 财星系统</x:v>
      </x:c>
      <x:c r="H142" s="76" t="str">
        <x:v>SYS01 比劫系统</x:v>
      </x:c>
      <x:c r="I142" s="76" t="str">
        <x:v>两系统均达到有效门槛、分差较小且在同一关系任务中同时抢占启动位；缺少桥接或明确分工。</x:v>
      </x:c>
      <x:c r="J142" s="76" t="str">
        <x:v>两系统已经形成先后或角色分工；一方仅弱远背景；只有静态生克关系。</x:v>
      </x:c>
      <x:c r="K142" s="76" t="str">
        <x:v>由共享基础引擎提供；只修正承载与执行，不直接等同强弱人格。</x:v>
      </x:c>
      <x:c r="L142" s="76" t="str">
        <x:v>由M2接口提供；夫妻星只参与关系议题权重，不单独生成盲点。</x:v>
      </x:c>
      <x:c r="M142" s="76" t="str">
        <x:v>由M3-BASE与共享引擎提供；不得把日支直接写成配偶性格。</x:v>
      </x:c>
      <x:c r="N142" s="76" t="str">
        <x:v>财星—比劫竞争</x:v>
      </x:c>
      <x:c r="O142" s="76" t="str">
        <x:v>由共享基础引擎判定</x:v>
      </x:c>
      <x:c r="P142" s="76" t="str">
        <x:v>由共享基础引擎判定</x:v>
      </x:c>
      <x:c r="Q142" s="76" t="str">
        <x:v>由共享基础引擎判定</x:v>
      </x:c>
      <x:c r="R142" s="76" t="str">
        <x:v>喜忌只修正调用摩擦与平衡，不直接等同好坏。</x:v>
      </x:c>
      <x:c r="S142" s="76" t="str">
        <x:v>原十神性质有效；真合化成立时按化神系统替换。</x:v>
      </x:c>
      <x:c r="T142" s="76" t="str">
        <x:v>由共享基础引擎判定</x:v>
      </x:c>
      <x:c r="U142" s="76" t="str">
        <x:v>80</x:v>
      </x:c>
      <x:c r="V142" s="76" t="str">
        <x:v>K05候选 +6</x:v>
      </x:c>
      <x:c r="W142" s="76" t="str">
        <x:v>imbalance_mechanism</x:v>
      </x:c>
      <x:c r="X142" s="76" t="str">
        <x:v>投入共享与资源自主同时抢占优先级；若分工不清，可能出现付出、回馈和边界争议。</x:v>
      </x:c>
      <x:c r="Y142" s="76" t="str">
        <x:v>当两种功能同时抢先时，可能出现：投入共享与资源自主同时抢占优先级；若分工不清，可能出现付出、回馈和边界争议。</x:v>
      </x:c>
      <x:c r="Z142" s="76" t="str">
        <x:v>双通道竞争不等于人格矛盾、反复无常或关系一定不稳定；需结合触发与现实顺序验证。</x:v>
      </x:c>
      <x:c r="AA142" s="76" t="str">
        <x:v>中低</x:v>
      </x:c>
      <x:c r="AB142" s="76" t="str">
        <x:v>待验证</x:v>
      </x:c>
      <x:c r="AC142" s="76" t="str"/>
      <x:c r="AD142" s="76" t="str">
        <x:v>provisional=true; imbalance=K05; blind_route=B07／B10</x:v>
      </x:c>
      <x:c r="AE142" s="82" t="str">
        <x:v>0.2</x:v>
      </x:c>
    </x:row>
    <x:row r="143">
      <x:c r="A143" s="81" t="str">
        <x:v>M4-BASE-139</x:v>
      </x:c>
      <x:c r="B143" s="76" t="str">
        <x:v>K05双通道竞争｜官杀—食伤竞争</x:v>
      </x:c>
      <x:c r="C143" s="76" t="str">
        <x:v>L3 五系统与流向</x:v>
      </x:c>
      <x:c r="D143" s="76" t="str">
        <x:v>BASE-流向卡点</x:v>
      </x:c>
      <x:c r="E143" s="76" t="str">
        <x:v>通用</x:v>
      </x:c>
      <x:c r="F143" s="76" t="str">
        <x:v>组合候选</x:v>
      </x:c>
      <x:c r="G143" s="76" t="str">
        <x:v>SYS04 官杀系统</x:v>
      </x:c>
      <x:c r="H143" s="76" t="str">
        <x:v>SYS02 食伤系统</x:v>
      </x:c>
      <x:c r="I143" s="76" t="str">
        <x:v>两系统均达到有效门槛、分差较小且在同一关系任务中同时抢占启动位；缺少桥接或明确分工。</x:v>
      </x:c>
      <x:c r="J143" s="76" t="str">
        <x:v>两系统已经形成先后或角色分工；一方仅弱远背景；只有静态生克关系。</x:v>
      </x:c>
      <x:c r="K143" s="76" t="str">
        <x:v>由共享基础引擎提供；只修正承载与执行，不直接等同强弱人格。</x:v>
      </x:c>
      <x:c r="L143" s="76" t="str">
        <x:v>由M2接口提供；夫妻星只参与关系议题权重，不单独生成盲点。</x:v>
      </x:c>
      <x:c r="M143" s="76" t="str">
        <x:v>由M3-BASE与共享引擎提供；不得把日支直接写成配偶性格。</x:v>
      </x:c>
      <x:c r="N143" s="76" t="str">
        <x:v>官杀—食伤竞争</x:v>
      </x:c>
      <x:c r="O143" s="76" t="str">
        <x:v>由共享基础引擎判定</x:v>
      </x:c>
      <x:c r="P143" s="76" t="str">
        <x:v>由共享基础引擎判定</x:v>
      </x:c>
      <x:c r="Q143" s="76" t="str">
        <x:v>由共享基础引擎判定</x:v>
      </x:c>
      <x:c r="R143" s="76" t="str">
        <x:v>喜忌只修正调用摩擦与平衡，不直接等同好坏。</x:v>
      </x:c>
      <x:c r="S143" s="76" t="str">
        <x:v>原十神性质有效；真合化成立时按化神系统替换。</x:v>
      </x:c>
      <x:c r="T143" s="76" t="str">
        <x:v>由共享基础引擎判定</x:v>
      </x:c>
      <x:c r="U143" s="76" t="str">
        <x:v>80</x:v>
      </x:c>
      <x:c r="V143" s="76" t="str">
        <x:v>K05候选 +6</x:v>
      </x:c>
      <x:c r="W143" s="76" t="str">
        <x:v>imbalance_mechanism</x:v>
      </x:c>
      <x:c r="X143" s="76" t="str">
        <x:v>一边强调行动、规则和结论，一边强调说明、反馈和协商；若无法排序，问题处理可能反复。</x:v>
      </x:c>
      <x:c r="Y143" s="76" t="str">
        <x:v>当两种功能同时抢先时，可能出现：一边强调行动、规则和结论，一边强调说明、反馈和协商；若无法排序，问题处理可能反复。</x:v>
      </x:c>
      <x:c r="Z143" s="76" t="str">
        <x:v>双通道竞争不等于人格矛盾、反复无常或关系一定不稳定；需结合触发与现实顺序验证。</x:v>
      </x:c>
      <x:c r="AA143" s="76" t="str">
        <x:v>中低</x:v>
      </x:c>
      <x:c r="AB143" s="76" t="str">
        <x:v>待验证</x:v>
      </x:c>
      <x:c r="AC143" s="76" t="str"/>
      <x:c r="AD143" s="76" t="str">
        <x:v>provisional=true; imbalance=K05; blind_route=B06／B08</x:v>
      </x:c>
      <x:c r="AE143" s="82" t="str">
        <x:v>0.2</x:v>
      </x:c>
    </x:row>
    <x:row r="144">
      <x:c r="A144" s="81" t="str">
        <x:v>M4-BASE-140</x:v>
      </x:c>
      <x:c r="B144" s="76" t="str">
        <x:v>K05双通道竞争｜印星—财星竞争</x:v>
      </x:c>
      <x:c r="C144" s="76" t="str">
        <x:v>L3 五系统与流向</x:v>
      </x:c>
      <x:c r="D144" s="76" t="str">
        <x:v>BASE-流向卡点</x:v>
      </x:c>
      <x:c r="E144" s="76" t="str">
        <x:v>通用</x:v>
      </x:c>
      <x:c r="F144" s="76" t="str">
        <x:v>组合候选</x:v>
      </x:c>
      <x:c r="G144" s="76" t="str">
        <x:v>SYS05 印星系统</x:v>
      </x:c>
      <x:c r="H144" s="76" t="str">
        <x:v>SYS03 财星系统</x:v>
      </x:c>
      <x:c r="I144" s="76" t="str">
        <x:v>两系统均达到有效门槛、分差较小且在同一关系任务中同时抢占启动位；缺少桥接或明确分工。</x:v>
      </x:c>
      <x:c r="J144" s="76" t="str">
        <x:v>两系统已经形成先后或角色分工；一方仅弱远背景；只有静态生克关系。</x:v>
      </x:c>
      <x:c r="K144" s="76" t="str">
        <x:v>由共享基础引擎提供；只修正承载与执行，不直接等同强弱人格。</x:v>
      </x:c>
      <x:c r="L144" s="76" t="str">
        <x:v>由M2接口提供；夫妻星只参与关系议题权重，不单独生成盲点。</x:v>
      </x:c>
      <x:c r="M144" s="76" t="str">
        <x:v>由M3-BASE与共享引擎提供；不得把日支直接写成配偶性格。</x:v>
      </x:c>
      <x:c r="N144" s="76" t="str">
        <x:v>印星—财星竞争</x:v>
      </x:c>
      <x:c r="O144" s="76" t="str">
        <x:v>由共享基础引擎判定</x:v>
      </x:c>
      <x:c r="P144" s="76" t="str">
        <x:v>由共享基础引擎判定</x:v>
      </x:c>
      <x:c r="Q144" s="76" t="str">
        <x:v>由共享基础引擎判定</x:v>
      </x:c>
      <x:c r="R144" s="76" t="str">
        <x:v>喜忌只修正调用摩擦与平衡，不直接等同好坏。</x:v>
      </x:c>
      <x:c r="S144" s="76" t="str">
        <x:v>原十神性质有效；真合化成立时按化神系统替换。</x:v>
      </x:c>
      <x:c r="T144" s="76" t="str">
        <x:v>由共享基础引擎判定</x:v>
      </x:c>
      <x:c r="U144" s="76" t="str">
        <x:v>80</x:v>
      </x:c>
      <x:c r="V144" s="76" t="str">
        <x:v>K05候选 +6</x:v>
      </x:c>
      <x:c r="W144" s="76" t="str">
        <x:v>imbalance_mechanism</x:v>
      </x:c>
      <x:c r="X144" s="76" t="str">
        <x:v>一边重理解、承接与原因，一边重现实改变和投入；若不能分工，可能在包容与要求改变之间摆动。</x:v>
      </x:c>
      <x:c r="Y144" s="76" t="str">
        <x:v>当两种功能同时抢先时，可能出现：一边重理解、承接与原因，一边重现实改变和投入；若不能分工，可能在包容与要求改变之间摆动。</x:v>
      </x:c>
      <x:c r="Z144" s="76" t="str">
        <x:v>双通道竞争不等于人格矛盾、反复无常或关系一定不稳定；需结合触发与现实顺序验证。</x:v>
      </x:c>
      <x:c r="AA144" s="76" t="str">
        <x:v>中低</x:v>
      </x:c>
      <x:c r="AB144" s="76" t="str">
        <x:v>待验证</x:v>
      </x:c>
      <x:c r="AC144" s="76" t="str"/>
      <x:c r="AD144" s="76" t="str">
        <x:v>provisional=true; imbalance=K05; blind_route=B09／B14</x:v>
      </x:c>
      <x:c r="AE144" s="82" t="str">
        <x:v>0.2</x:v>
      </x:c>
    </x:row>
    <x:row r="145">
      <x:c r="A145" s="81" t="str">
        <x:v>M4-BASE-141</x:v>
      </x:c>
      <x:c r="B145" s="76" t="str">
        <x:v>透干｜失衡反应可见度提高</x:v>
      </x:c>
      <x:c r="C145" s="76" t="str">
        <x:v>L4 状态与位置修正</x:v>
      </x:c>
      <x:c r="D145" s="76" t="str">
        <x:v>BASE-状态修正</x:v>
      </x:c>
      <x:c r="E145" s="76" t="str">
        <x:v>通用</x:v>
      </x:c>
      <x:c r="F145" s="76" t="str">
        <x:v>状态修正</x:v>
      </x:c>
      <x:c r="G145" s="76" t="str">
        <x:v>透干</x:v>
      </x:c>
      <x:c r="H145" s="76" t="str"/>
      <x:c r="I145" s="76" t="str">
        <x:v>相关十神功能有效且透干；来源未被真合化替换。</x:v>
      </x:c>
      <x:c r="J145" s="76" t="str">
        <x:v>透干无根且现实行为不重复；原十神已失效。</x:v>
      </x:c>
      <x:c r="K145" s="76" t="str">
        <x:v>由共享基础引擎提供；只修正承载与执行，不直接等同强弱人格。</x:v>
      </x:c>
      <x:c r="L145" s="76" t="str">
        <x:v>由M2接口提供；夫妻星只参与关系议题权重，不单独生成盲点。</x:v>
      </x:c>
      <x:c r="M145" s="76" t="str">
        <x:v>由M3-BASE与共享引擎提供；不得把日支直接写成配偶性格。</x:v>
      </x:c>
      <x:c r="N145" s="76" t="str">
        <x:v>无／待后续规则组合</x:v>
      </x:c>
      <x:c r="O145" s="76" t="str">
        <x:v>由共享基础引擎判定</x:v>
      </x:c>
      <x:c r="P145" s="76" t="str">
        <x:v>由共享基础引擎判定</x:v>
      </x:c>
      <x:c r="Q145" s="76" t="str">
        <x:v>由共享基础引擎判定</x:v>
      </x:c>
      <x:c r="R145" s="76" t="str">
        <x:v>喜忌只修正调用摩擦与平衡，不直接等同好坏。</x:v>
      </x:c>
      <x:c r="S145" s="76" t="str">
        <x:v>原十神性质有效；真合化成立时按化神系统替换。</x:v>
      </x:c>
      <x:c r="T145" s="76" t="str">
        <x:v>由共享基础引擎判定</x:v>
      </x:c>
      <x:c r="U145" s="76" t="str">
        <x:v>76</x:v>
      </x:c>
      <x:c r="V145" s="76" t="str">
        <x:v>可见度 +3；不增加证据独立数</x:v>
      </x:c>
      <x:c r="W145" s="76" t="str">
        <x:v>signal_visibility</x:v>
      </x:c>
      <x:c r="X145" s="76" t="str">
        <x:v>透干主要提高功能及失衡反应被本人和对方看见的概率，不直接提高问题严重度。</x:v>
      </x:c>
      <x:c r="Y145" s="76" t="str">
        <x:v>这项反应较容易被看见和说出来，但是否真正稳定重复，还要继续看根气和现实行为。</x:v>
      </x:c>
      <x:c r="Z14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45" s="76" t="str">
        <x:v>中</x:v>
      </x:c>
      <x:c r="AB145" s="76" t="str">
        <x:v>待验证</x:v>
      </x:c>
      <x:c r="AC145" s="76" t="str"/>
      <x:c r="AD145" s="76" t="str">
        <x:v>provisional=true; rule_group=BASE-状态修正; state=透干</x:v>
      </x:c>
      <x:c r="AE145" s="82" t="str">
        <x:v>0.2</x:v>
      </x:c>
    </x:row>
    <x:row r="146">
      <x:c r="A146" s="81" t="str">
        <x:v>M4-BASE-142</x:v>
      </x:c>
      <x:c r="B146" s="76" t="str">
        <x:v>透干｜不得等同问题更严重</x:v>
      </x:c>
      <x:c r="C146" s="76" t="str">
        <x:v>L4 状态与位置修正</x:v>
      </x:c>
      <x:c r="D146" s="76" t="str">
        <x:v>BASE-状态修正</x:v>
      </x:c>
      <x:c r="E146" s="76" t="str">
        <x:v>通用</x:v>
      </x:c>
      <x:c r="F146" s="76" t="str">
        <x:v>边界</x:v>
      </x:c>
      <x:c r="G146" s="76" t="str">
        <x:v>透干</x:v>
      </x:c>
      <x:c r="H146" s="76" t="str"/>
      <x:c r="I146" s="76" t="str">
        <x:v>准备把透干用于M4判断。</x:v>
      </x:c>
      <x:c r="J146" s="76" t="str"/>
      <x:c r="K146" s="76" t="str">
        <x:v>由共享基础引擎提供；只修正承载与执行，不直接等同强弱人格。</x:v>
      </x:c>
      <x:c r="L146" s="76" t="str">
        <x:v>由M2接口提供；夫妻星只参与关系议题权重，不单独生成盲点。</x:v>
      </x:c>
      <x:c r="M146" s="76" t="str">
        <x:v>由M3-BASE与共享引擎提供；不得把日支直接写成配偶性格。</x:v>
      </x:c>
      <x:c r="N146" s="76" t="str">
        <x:v>无／待后续规则组合</x:v>
      </x:c>
      <x:c r="O146" s="76" t="str">
        <x:v>由共享基础引擎判定</x:v>
      </x:c>
      <x:c r="P146" s="76" t="str">
        <x:v>由共享基础引擎判定</x:v>
      </x:c>
      <x:c r="Q146" s="76" t="str">
        <x:v>由共享基础引擎判定</x:v>
      </x:c>
      <x:c r="R146" s="76" t="str">
        <x:v>喜忌只修正调用摩擦与平衡，不直接等同好坏。</x:v>
      </x:c>
      <x:c r="S146" s="76" t="str">
        <x:v>原十神性质有效；真合化成立时按化神系统替换。</x:v>
      </x:c>
      <x:c r="T146" s="76" t="str">
        <x:v>由共享基础引擎判定</x:v>
      </x:c>
      <x:c r="U146" s="76" t="str">
        <x:v>95</x:v>
      </x:c>
      <x:c r="V146" s="76" t="str">
        <x:v>不加分；语言门控</x:v>
      </x:c>
      <x:c r="W146" s="76" t="str">
        <x:v>boundary_note</x:v>
      </x:c>
      <x:c r="X146" s="76" t="str">
        <x:v>可见性、强度、重复性和关系后果是不同维度。</x:v>
      </x:c>
      <x:c r="Y146" s="76" t="str">
        <x:v>表现得明显，不等于问题一定更严重。</x:v>
      </x:c>
      <x:c r="Z14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46" s="76" t="str">
        <x:v>高</x:v>
      </x:c>
      <x:c r="AB146" s="76" t="str">
        <x:v>待验证</x:v>
      </x:c>
      <x:c r="AC146" s="76" t="str"/>
      <x:c r="AD146" s="76" t="str">
        <x:v>provisional=true; rule_group=BASE-状态修正; state=透干</x:v>
      </x:c>
      <x:c r="AE146" s="82" t="str">
        <x:v>0.2</x:v>
      </x:c>
    </x:row>
    <x:row r="147">
      <x:c r="A147" s="81" t="str">
        <x:v>M4-BASE-143</x:v>
      </x:c>
      <x:c r="B147" s="76" t="str">
        <x:v>藏支｜盲点更内隐</x:v>
      </x:c>
      <x:c r="C147" s="76" t="str">
        <x:v>L4 状态与位置修正</x:v>
      </x:c>
      <x:c r="D147" s="76" t="str">
        <x:v>BASE-状态修正</x:v>
      </x:c>
      <x:c r="E147" s="76" t="str">
        <x:v>通用</x:v>
      </x:c>
      <x:c r="F147" s="76" t="str">
        <x:v>状态修正</x:v>
      </x:c>
      <x:c r="G147" s="76" t="str">
        <x:v>藏支</x:v>
      </x:c>
      <x:c r="H147" s="76" t="str"/>
      <x:c r="I147" s="76" t="str">
        <x:v>相关十神功能藏支且性质有效。</x:v>
      </x:c>
      <x:c r="J147" s="76" t="str">
        <x:v>真合化后原信号失效。</x:v>
      </x:c>
      <x:c r="K147" s="76" t="str">
        <x:v>由共享基础引擎提供；只修正承载与执行，不直接等同强弱人格。</x:v>
      </x:c>
      <x:c r="L147" s="76" t="str">
        <x:v>由M2接口提供；夫妻星只参与关系议题权重，不单独生成盲点。</x:v>
      </x:c>
      <x:c r="M147" s="76" t="str">
        <x:v>由M3-BASE与共享引擎提供；不得把日支直接写成配偶性格。</x:v>
      </x:c>
      <x:c r="N147" s="76" t="str">
        <x:v>无／待后续规则组合</x:v>
      </x:c>
      <x:c r="O147" s="76" t="str">
        <x:v>由共享基础引擎判定</x:v>
      </x:c>
      <x:c r="P147" s="76" t="str">
        <x:v>由共享基础引擎判定</x:v>
      </x:c>
      <x:c r="Q147" s="76" t="str">
        <x:v>由共享基础引擎判定</x:v>
      </x:c>
      <x:c r="R147" s="76" t="str">
        <x:v>喜忌只修正调用摩擦与平衡，不直接等同好坏。</x:v>
      </x:c>
      <x:c r="S147" s="76" t="str">
        <x:v>原十神性质有效；真合化成立时按化神系统替换。</x:v>
      </x:c>
      <x:c r="T147" s="76" t="str">
        <x:v>由共享基础引擎判定</x:v>
      </x:c>
      <x:c r="U147" s="76" t="str">
        <x:v>74</x:v>
      </x:c>
      <x:c r="V147" s="76" t="str">
        <x:v>内隐候选 +2</x:v>
      </x:c>
      <x:c r="W147" s="76" t="str">
        <x:v>signal_visibility</x:v>
      </x:c>
      <x:c r="X147" s="76" t="str">
        <x:v>藏支可使反应在熟悉、私人或压力情境中更容易显现，但不等于压抑或秘密。</x:v>
      </x:c>
      <x:c r="Y147" s="76" t="str">
        <x:v>这项反应未必在关系初期就明显，可能在熟悉或压力增加后更容易被观察到。</x:v>
      </x:c>
      <x:c r="Z14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47" s="76" t="str">
        <x:v>中</x:v>
      </x:c>
      <x:c r="AB147" s="76" t="str">
        <x:v>待验证</x:v>
      </x:c>
      <x:c r="AC147" s="76" t="str"/>
      <x:c r="AD147" s="76" t="str">
        <x:v>provisional=true; rule_group=BASE-状态修正; state=藏支</x:v>
      </x:c>
      <x:c r="AE147" s="82" t="str">
        <x:v>0.2</x:v>
      </x:c>
    </x:row>
    <x:row r="148">
      <x:c r="A148" s="81" t="str">
        <x:v>M4-BASE-144</x:v>
      </x:c>
      <x:c r="B148" s="76" t="str">
        <x:v>藏支有根｜熟悉后重复候选</x:v>
      </x:c>
      <x:c r="C148" s="76" t="str">
        <x:v>L4 状态与位置修正</x:v>
      </x:c>
      <x:c r="D148" s="76" t="str">
        <x:v>BASE-状态修正</x:v>
      </x:c>
      <x:c r="E148" s="76" t="str">
        <x:v>通用</x:v>
      </x:c>
      <x:c r="F148" s="76" t="str">
        <x:v>状态修正</x:v>
      </x:c>
      <x:c r="G148" s="76" t="str">
        <x:v>藏支有根</x:v>
      </x:c>
      <x:c r="H148" s="76" t="str"/>
      <x:c r="I148" s="76" t="str">
        <x:v>藏支信号有根、重复或被有效引动；M3相关功能可靠。</x:v>
      </x:c>
      <x:c r="J148" s="76" t="str">
        <x:v>只有余气弱远；无现实重复；已真合化。</x:v>
      </x:c>
      <x:c r="K148" s="76" t="str">
        <x:v>由共享基础引擎提供；只修正承载与执行，不直接等同强弱人格。</x:v>
      </x:c>
      <x:c r="L148" s="76" t="str">
        <x:v>由M2接口提供；夫妻星只参与关系议题权重，不单独生成盲点。</x:v>
      </x:c>
      <x:c r="M148" s="76" t="str">
        <x:v>由M3-BASE与共享引擎提供；不得把日支直接写成配偶性格。</x:v>
      </x:c>
      <x:c r="N148" s="76" t="str">
        <x:v>无／待后续规则组合</x:v>
      </x:c>
      <x:c r="O148" s="76" t="str">
        <x:v>由共享基础引擎判定</x:v>
      </x:c>
      <x:c r="P148" s="76" t="str">
        <x:v>由共享基础引擎判定</x:v>
      </x:c>
      <x:c r="Q148" s="76" t="str">
        <x:v>由共享基础引擎判定</x:v>
      </x:c>
      <x:c r="R148" s="76" t="str">
        <x:v>喜忌只修正调用摩擦与平衡，不直接等同好坏。</x:v>
      </x:c>
      <x:c r="S148" s="76" t="str">
        <x:v>原十神性质有效；真合化成立时按化神系统替换。</x:v>
      </x:c>
      <x:c r="T148" s="76" t="str">
        <x:v>由共享基础引擎判定</x:v>
      </x:c>
      <x:c r="U148" s="76" t="str">
        <x:v>78</x:v>
      </x:c>
      <x:c r="V148" s="76" t="str">
        <x:v>重复性 +4</x:v>
      </x:c>
      <x:c r="W148" s="76" t="str">
        <x:v>confidence</x:v>
      </x:c>
      <x:c r="X148" s="76" t="str">
        <x:v>藏而有根主要提高跨情境重复和熟悉后显现的可能性。</x:v>
      </x:c>
      <x:c r="Y148" s="76" t="str">
        <x:v>它可能不是第一眼就能看见的反应，但在长期相处中更容易重复出现。</x:v>
      </x:c>
      <x:c r="Z14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48" s="76" t="str">
        <x:v>中</x:v>
      </x:c>
      <x:c r="AB148" s="76" t="str">
        <x:v>待验证</x:v>
      </x:c>
      <x:c r="AC148" s="76" t="str"/>
      <x:c r="AD148" s="76" t="str">
        <x:v>provisional=true; rule_group=BASE-状态修正; state=藏支有根</x:v>
      </x:c>
      <x:c r="AE148" s="82" t="str">
        <x:v>0.2</x:v>
      </x:c>
    </x:row>
    <x:row r="149">
      <x:c r="A149" s="81" t="str">
        <x:v>M4-BASE-145</x:v>
      </x:c>
      <x:c r="B149" s="76" t="str">
        <x:v>有根｜重复性加权</x:v>
      </x:c>
      <x:c r="C149" s="76" t="str">
        <x:v>L4 状态与位置修正</x:v>
      </x:c>
      <x:c r="D149" s="76" t="str">
        <x:v>BASE-状态修正</x:v>
      </x:c>
      <x:c r="E149" s="76" t="str">
        <x:v>通用</x:v>
      </x:c>
      <x:c r="F149" s="76" t="str">
        <x:v>状态修正</x:v>
      </x:c>
      <x:c r="G149" s="76" t="str">
        <x:v>有根</x:v>
      </x:c>
      <x:c r="H149" s="76" t="str"/>
      <x:c r="I149" s="76" t="str">
        <x:v>相关功能有根且未受严重破坏。</x:v>
      </x:c>
      <x:c r="J149" s="76" t="str">
        <x:v>根气结论争议或同一根被重复计分。</x:v>
      </x:c>
      <x:c r="K149" s="76" t="str">
        <x:v>由共享基础引擎提供；只修正承载与执行，不直接等同强弱人格。</x:v>
      </x:c>
      <x:c r="L149" s="76" t="str">
        <x:v>由M2接口提供；夫妻星只参与关系议题权重，不单独生成盲点。</x:v>
      </x:c>
      <x:c r="M149" s="76" t="str">
        <x:v>由M3-BASE与共享引擎提供；不得把日支直接写成配偶性格。</x:v>
      </x:c>
      <x:c r="N149" s="76" t="str">
        <x:v>无／待后续规则组合</x:v>
      </x:c>
      <x:c r="O149" s="76" t="str">
        <x:v>由共享基础引擎判定</x:v>
      </x:c>
      <x:c r="P149" s="76" t="str">
        <x:v>由共享基础引擎判定</x:v>
      </x:c>
      <x:c r="Q149" s="76" t="str">
        <x:v>由共享基础引擎判定</x:v>
      </x:c>
      <x:c r="R149" s="76" t="str">
        <x:v>喜忌只修正调用摩擦与平衡，不直接等同好坏。</x:v>
      </x:c>
      <x:c r="S149" s="76" t="str">
        <x:v>原十神性质有效；真合化成立时按化神系统替换。</x:v>
      </x:c>
      <x:c r="T149" s="76" t="str">
        <x:v>由共享基础引擎判定</x:v>
      </x:c>
      <x:c r="U149" s="76" t="str">
        <x:v>80</x:v>
      </x:c>
      <x:c r="V149" s="76" t="str">
        <x:v>重复性 +4；不增加独立证据数</x:v>
      </x:c>
      <x:c r="W149" s="76" t="str">
        <x:v>confidence</x:v>
      </x:c>
      <x:c r="X149" s="76" t="str">
        <x:v>有根提高通道可重复调用的可能性，但不能单独生成盲点。</x:v>
      </x:c>
      <x:c r="Y149" s="76" t="str">
        <x:v>这项方式较可能成为反复调用的习惯，但是否失衡仍需看强弱、调节和触发。</x:v>
      </x:c>
      <x:c r="Z14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49" s="76" t="str">
        <x:v>中</x:v>
      </x:c>
      <x:c r="AB149" s="76" t="str">
        <x:v>待验证</x:v>
      </x:c>
      <x:c r="AC149" s="76" t="str"/>
      <x:c r="AD149" s="76" t="str">
        <x:v>provisional=true; rule_group=BASE-状态修正; state=有根</x:v>
      </x:c>
      <x:c r="AE149" s="82" t="str">
        <x:v>0.2</x:v>
      </x:c>
    </x:row>
    <x:row r="150">
      <x:c r="A150" s="81" t="str">
        <x:v>M4-BASE-146</x:v>
      </x:c>
      <x:c r="B150" s="76" t="str">
        <x:v>无根｜稳定性降级</x:v>
      </x:c>
      <x:c r="C150" s="76" t="str">
        <x:v>L4 状态与位置修正</x:v>
      </x:c>
      <x:c r="D150" s="76" t="str">
        <x:v>BASE-状态修正</x:v>
      </x:c>
      <x:c r="E150" s="76" t="str">
        <x:v>通用</x:v>
      </x:c>
      <x:c r="F150" s="76" t="str">
        <x:v>状态修正</x:v>
      </x:c>
      <x:c r="G150" s="76" t="str">
        <x:v>无根</x:v>
      </x:c>
      <x:c r="H150" s="76" t="str"/>
      <x:c r="I150" s="76" t="str">
        <x:v>相关信号透出或出现但无根。</x:v>
      </x:c>
      <x:c r="J150" s="76" t="str">
        <x:v>存在其他独立根气或现实重复行为。</x:v>
      </x:c>
      <x:c r="K150" s="76" t="str">
        <x:v>由共享基础引擎提供；只修正承载与执行，不直接等同强弱人格。</x:v>
      </x:c>
      <x:c r="L150" s="76" t="str">
        <x:v>由M2接口提供；夫妻星只参与关系议题权重，不单独生成盲点。</x:v>
      </x:c>
      <x:c r="M150" s="76" t="str">
        <x:v>由M3-BASE与共享引擎提供；不得把日支直接写成配偶性格。</x:v>
      </x:c>
      <x:c r="N150" s="76" t="str">
        <x:v>无／待后续规则组合</x:v>
      </x:c>
      <x:c r="O150" s="76" t="str">
        <x:v>由共享基础引擎判定</x:v>
      </x:c>
      <x:c r="P150" s="76" t="str">
        <x:v>由共享基础引擎判定</x:v>
      </x:c>
      <x:c r="Q150" s="76" t="str">
        <x:v>由共享基础引擎判定</x:v>
      </x:c>
      <x:c r="R150" s="76" t="str">
        <x:v>喜忌只修正调用摩擦与平衡，不直接等同好坏。</x:v>
      </x:c>
      <x:c r="S150" s="76" t="str">
        <x:v>原十神性质有效；真合化成立时按化神系统替换。</x:v>
      </x:c>
      <x:c r="T150" s="76" t="str">
        <x:v>由共享基础引擎判定</x:v>
      </x:c>
      <x:c r="U150" s="76" t="str">
        <x:v>82</x:v>
      </x:c>
      <x:c r="V150" s="76" t="str">
        <x:v>置信度 −4／封顶中低</x:v>
      </x:c>
      <x:c r="W150" s="76" t="str">
        <x:v>confidence</x:v>
      </x:c>
      <x:c r="X150" s="76" t="str">
        <x:v>无根不等于没有，只说明结构稳定性和跨情境重复证据不足。</x:v>
      </x:c>
      <x:c r="Y150" s="76" t="str">
        <x:v>这项反应可能出现，但暂时不宜把它写成稳定、长期的关系盲点。</x:v>
      </x:c>
      <x:c r="Z15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0" s="76" t="str">
        <x:v>中高</x:v>
      </x:c>
      <x:c r="AB150" s="76" t="str">
        <x:v>待验证</x:v>
      </x:c>
      <x:c r="AC150" s="76" t="str"/>
      <x:c r="AD150" s="76" t="str">
        <x:v>provisional=true; rule_group=BASE-状态修正; state=无根</x:v>
      </x:c>
      <x:c r="AE150" s="82" t="str">
        <x:v>0.2</x:v>
      </x:c>
    </x:row>
    <x:row r="151">
      <x:c r="A151" s="81" t="str">
        <x:v>M4-BASE-147</x:v>
      </x:c>
      <x:c r="B151" s="76" t="str">
        <x:v>旺而平衡｜不自动形成盲点</x:v>
      </x:c>
      <x:c r="C151" s="76" t="str">
        <x:v>L4 状态与位置修正</x:v>
      </x:c>
      <x:c r="D151" s="76" t="str">
        <x:v>BASE-状态修正</x:v>
      </x:c>
      <x:c r="E151" s="76" t="str">
        <x:v>通用</x:v>
      </x:c>
      <x:c r="F151" s="76" t="str">
        <x:v>状态修正</x:v>
      </x:c>
      <x:c r="G151" s="76" t="str">
        <x:v>旺而平衡</x:v>
      </x:c>
      <x:c r="H151" s="76" t="str"/>
      <x:c r="I151" s="76" t="str">
        <x:v>功能强而有序，有有效制化、通关或分工。</x:v>
      </x:c>
      <x:c r="J151" s="76" t="str">
        <x:v>另有独立失衡、触发和调节不足证据。</x:v>
      </x:c>
      <x:c r="K151" s="76" t="str">
        <x:v>由共享基础引擎提供；只修正承载与执行，不直接等同强弱人格。</x:v>
      </x:c>
      <x:c r="L151" s="76" t="str">
        <x:v>由M2接口提供；夫妻星只参与关系议题权重，不单独生成盲点。</x:v>
      </x:c>
      <x:c r="M151" s="76" t="str">
        <x:v>由M3-BASE与共享引擎提供；不得把日支直接写成配偶性格。</x:v>
      </x:c>
      <x:c r="N151" s="76" t="str">
        <x:v>无／待后续规则组合</x:v>
      </x:c>
      <x:c r="O151" s="76" t="str">
        <x:v>由共享基础引擎判定</x:v>
      </x:c>
      <x:c r="P151" s="76" t="str">
        <x:v>由共享基础引擎判定</x:v>
      </x:c>
      <x:c r="Q151" s="76" t="str">
        <x:v>由共享基础引擎判定</x:v>
      </x:c>
      <x:c r="R151" s="76" t="str">
        <x:v>喜忌只修正调用摩擦与平衡，不直接等同好坏。</x:v>
      </x:c>
      <x:c r="S151" s="76" t="str">
        <x:v>原十神性质有效；真合化成立时按化神系统替换。</x:v>
      </x:c>
      <x:c r="T151" s="76" t="str">
        <x:v>由共享基础引擎判定</x:v>
      </x:c>
      <x:c r="U151" s="76" t="str">
        <x:v>94</x:v>
      </x:c>
      <x:c r="V151" s="76" t="str">
        <x:v>K01候选不成立或−6</x:v>
      </x:c>
      <x:c r="W151" s="76" t="str">
        <x:v>buffer_factor</x:v>
      </x:c>
      <x:c r="X151" s="76" t="str">
        <x:v>强功能在平衡状态下可能只是熟练资源，不应因旺而被负面化。</x:v>
      </x:c>
      <x:c r="Y151" s="76" t="str">
        <x:v>你可能很常使用这项方式，但只要调节和分工完整，它本身不构成关系问题。</x:v>
      </x:c>
      <x:c r="Z15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1" s="76" t="str">
        <x:v>高</x:v>
      </x:c>
      <x:c r="AB151" s="76" t="str">
        <x:v>待验证</x:v>
      </x:c>
      <x:c r="AC151" s="76" t="str"/>
      <x:c r="AD151" s="76" t="str">
        <x:v>provisional=true; rule_group=BASE-状态修正; state=旺而平衡</x:v>
      </x:c>
      <x:c r="AE151" s="82" t="str">
        <x:v>0.2</x:v>
      </x:c>
    </x:row>
    <x:row r="152">
      <x:c r="A152" s="81" t="str">
        <x:v>M4-BASE-148</x:v>
      </x:c>
      <x:c r="B152" s="76" t="str">
        <x:v>过旺失衡｜抢先启动候选</x:v>
      </x:c>
      <x:c r="C152" s="76" t="str">
        <x:v>L4 状态与位置修正</x:v>
      </x:c>
      <x:c r="D152" s="76" t="str">
        <x:v>BASE-状态修正</x:v>
      </x:c>
      <x:c r="E152" s="76" t="str">
        <x:v>通用</x:v>
      </x:c>
      <x:c r="F152" s="76" t="str">
        <x:v>状态修正</x:v>
      </x:c>
      <x:c r="G152" s="76" t="str">
        <x:v>过旺失衡</x:v>
      </x:c>
      <x:c r="H152" s="76" t="str"/>
      <x:c r="I152" s="76" t="str">
        <x:v>相关功能过旺、失衡或多处抢先；至少一项调节不足证据。</x:v>
      </x:c>
      <x:c r="J152" s="76" t="str">
        <x:v>旺而平衡；有效制化通关；只有单一旺标签。</x:v>
      </x:c>
      <x:c r="K152" s="76" t="str">
        <x:v>由共享基础引擎提供；只修正承载与执行，不直接等同强弱人格。</x:v>
      </x:c>
      <x:c r="L152" s="76" t="str">
        <x:v>由M2接口提供；夫妻星只参与关系议题权重，不单独生成盲点。</x:v>
      </x:c>
      <x:c r="M152" s="76" t="str">
        <x:v>由M3-BASE与共享引擎提供；不得把日支直接写成配偶性格。</x:v>
      </x:c>
      <x:c r="N152" s="76" t="str">
        <x:v>无／待后续规则组合</x:v>
      </x:c>
      <x:c r="O152" s="76" t="str">
        <x:v>由共享基础引擎判定</x:v>
      </x:c>
      <x:c r="P152" s="76" t="str">
        <x:v>由共享基础引擎判定</x:v>
      </x:c>
      <x:c r="Q152" s="76" t="str">
        <x:v>由共享基础引擎判定</x:v>
      </x:c>
      <x:c r="R152" s="76" t="str">
        <x:v>喜忌只修正调用摩擦与平衡，不直接等同好坏。</x:v>
      </x:c>
      <x:c r="S152" s="76" t="str">
        <x:v>原十神性质有效；真合化成立时按化神系统替换。</x:v>
      </x:c>
      <x:c r="T152" s="76" t="str">
        <x:v>由共享基础引擎判定</x:v>
      </x:c>
      <x:c r="U152" s="76" t="str">
        <x:v>86</x:v>
      </x:c>
      <x:c r="V152" s="76" t="str">
        <x:v>K01 +8</x:v>
      </x:c>
      <x:c r="W152" s="76" t="str">
        <x:v>imbalance_mechanism</x:v>
      </x:c>
      <x:c r="X152" s="76" t="str">
        <x:v>过旺失衡提高K01抢先启动和占用其他通道的候选权重。</x:v>
      </x:c>
      <x:c r="Y152" s="76" t="str">
        <x:v>压力增加时，这项熟练方式可能更容易先占据处理位置，让其他步骤进入得较晚。</x:v>
      </x:c>
      <x:c r="Z15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2" s="76" t="str">
        <x:v>中</x:v>
      </x:c>
      <x:c r="AB152" s="76" t="str">
        <x:v>待验证</x:v>
      </x:c>
      <x:c r="AC152" s="76" t="str"/>
      <x:c r="AD152" s="76" t="str">
        <x:v>provisional=true; rule_group=BASE-状态修正; state=过旺失衡</x:v>
      </x:c>
      <x:c r="AE152" s="82" t="str">
        <x:v>0.2</x:v>
      </x:c>
    </x:row>
    <x:row r="153">
      <x:c r="A153" s="81" t="str">
        <x:v>M4-BASE-149</x:v>
      </x:c>
      <x:c r="B153" s="76" t="str">
        <x:v>偏弱有助｜不判功能不足</x:v>
      </x:c>
      <x:c r="C153" s="76" t="str">
        <x:v>L4 状态与位置修正</x:v>
      </x:c>
      <x:c r="D153" s="76" t="str">
        <x:v>BASE-状态修正</x:v>
      </x:c>
      <x:c r="E153" s="76" t="str">
        <x:v>通用</x:v>
      </x:c>
      <x:c r="F153" s="76" t="str">
        <x:v>状态修正</x:v>
      </x:c>
      <x:c r="G153" s="76" t="str">
        <x:v>偏弱有助</x:v>
      </x:c>
      <x:c r="H153" s="76" t="str"/>
      <x:c r="I153" s="76" t="str">
        <x:v>功能本身偏弱，但有根、通关、关系核心近位或现实行为支持。</x:v>
      </x:c>
      <x:c r="J153" s="76" t="str">
        <x:v>所有帮助弱远无效；现实长期缺位。</x:v>
      </x:c>
      <x:c r="K153" s="76" t="str">
        <x:v>由共享基础引擎提供；只修正承载与执行，不直接等同强弱人格。</x:v>
      </x:c>
      <x:c r="L153" s="76" t="str">
        <x:v>由M2接口提供；夫妻星只参与关系议题权重，不单独生成盲点。</x:v>
      </x:c>
      <x:c r="M153" s="76" t="str">
        <x:v>由M3-BASE与共享引擎提供；不得把日支直接写成配偶性格。</x:v>
      </x:c>
      <x:c r="N153" s="76" t="str">
        <x:v>无／待后续规则组合</x:v>
      </x:c>
      <x:c r="O153" s="76" t="str">
        <x:v>由共享基础引擎判定</x:v>
      </x:c>
      <x:c r="P153" s="76" t="str">
        <x:v>由共享基础引擎判定</x:v>
      </x:c>
      <x:c r="Q153" s="76" t="str">
        <x:v>由共享基础引擎判定</x:v>
      </x:c>
      <x:c r="R153" s="76" t="str">
        <x:v>喜忌只修正调用摩擦与平衡，不直接等同好坏。</x:v>
      </x:c>
      <x:c r="S153" s="76" t="str">
        <x:v>原十神性质有效；真合化成立时按化神系统替换。</x:v>
      </x:c>
      <x:c r="T153" s="76" t="str">
        <x:v>由共享基础引擎判定</x:v>
      </x:c>
      <x:c r="U153" s="76" t="str">
        <x:v>90</x:v>
      </x:c>
      <x:c r="V153" s="76" t="str">
        <x:v>取消K02或−4</x:v>
      </x:c>
      <x:c r="W153" s="76" t="str">
        <x:v>buffer_factor</x:v>
      </x:c>
      <x:c r="X153" s="76" t="str">
        <x:v>弱而有助说明功能可在条件合适时被调用，不能机械判K02。</x:v>
      </x:c>
      <x:c r="Y153" s="76" t="str">
        <x:v>这项功能未必一直外显，但在合适条件下仍可以进入，不宜直接判断缺失。</x:v>
      </x:c>
      <x:c r="Z15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3" s="76" t="str">
        <x:v>高</x:v>
      </x:c>
      <x:c r="AB153" s="76" t="str">
        <x:v>待验证</x:v>
      </x:c>
      <x:c r="AC153" s="76" t="str"/>
      <x:c r="AD153" s="76" t="str">
        <x:v>provisional=true; rule_group=BASE-状态修正; state=偏弱有助</x:v>
      </x:c>
      <x:c r="AE153" s="82" t="str">
        <x:v>0.2</x:v>
      </x:c>
    </x:row>
    <x:row r="154">
      <x:c r="A154" s="81" t="str">
        <x:v>M4-BASE-150</x:v>
      </x:c>
      <x:c r="B154" s="76" t="str">
        <x:v>偏弱无助｜必要环节不足候选</x:v>
      </x:c>
      <x:c r="C154" s="76" t="str">
        <x:v>L4 状态与位置修正</x:v>
      </x:c>
      <x:c r="D154" s="76" t="str">
        <x:v>BASE-状态修正</x:v>
      </x:c>
      <x:c r="E154" s="76" t="str">
        <x:v>通用</x:v>
      </x:c>
      <x:c r="F154" s="76" t="str">
        <x:v>状态修正</x:v>
      </x:c>
      <x:c r="G154" s="76" t="str">
        <x:v>偏弱无助</x:v>
      </x:c>
      <x:c r="H154" s="76" t="str"/>
      <x:c r="I154" s="76" t="str">
        <x:v>该功能为关系路径必要环节；偏弱无根、无助、无替代且现实缺位。</x:v>
      </x:c>
      <x:c r="J154" s="76" t="str">
        <x:v>存在有效替代或现实重复行为；该功能不是当前任务必要环节。</x:v>
      </x:c>
      <x:c r="K154" s="76" t="str">
        <x:v>由共享基础引擎提供；只修正承载与执行，不直接等同强弱人格。</x:v>
      </x:c>
      <x:c r="L154" s="76" t="str">
        <x:v>由M2接口提供；夫妻星只参与关系议题权重，不单独生成盲点。</x:v>
      </x:c>
      <x:c r="M154" s="76" t="str">
        <x:v>由M3-BASE与共享引擎提供；不得把日支直接写成配偶性格。</x:v>
      </x:c>
      <x:c r="N154" s="76" t="str">
        <x:v>无／待后续规则组合</x:v>
      </x:c>
      <x:c r="O154" s="76" t="str">
        <x:v>由共享基础引擎判定</x:v>
      </x:c>
      <x:c r="P154" s="76" t="str">
        <x:v>由共享基础引擎判定</x:v>
      </x:c>
      <x:c r="Q154" s="76" t="str">
        <x:v>由共享基础引擎判定</x:v>
      </x:c>
      <x:c r="R154" s="76" t="str">
        <x:v>喜忌只修正调用摩擦与平衡，不直接等同好坏。</x:v>
      </x:c>
      <x:c r="S154" s="76" t="str">
        <x:v>原十神性质有效；真合化成立时按化神系统替换。</x:v>
      </x:c>
      <x:c r="T154" s="76" t="str">
        <x:v>由共享基础引擎判定</x:v>
      </x:c>
      <x:c r="U154" s="76" t="str">
        <x:v>84</x:v>
      </x:c>
      <x:c r="V154" s="76" t="str">
        <x:v>K02 +8</x:v>
      </x:c>
      <x:c r="W154" s="76" t="str">
        <x:v>missing_function</x:v>
      </x:c>
      <x:c r="X154" s="76" t="str">
        <x:v>只有在路径必要且无替代时，弱而无助才可形成K02。</x:v>
      </x:c>
      <x:c r="Y154" s="76" t="str">
        <x:v>若这一功能正是关系过程不可缺少的一步，而命局和现实中都缺少稳定出口，它才会成为不足候选。</x:v>
      </x:c>
      <x:c r="Z15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4" s="76" t="str">
        <x:v>中</x:v>
      </x:c>
      <x:c r="AB154" s="76" t="str">
        <x:v>待验证</x:v>
      </x:c>
      <x:c r="AC154" s="76" t="str"/>
      <x:c r="AD154" s="76" t="str">
        <x:v>provisional=true; rule_group=BASE-状态修正; state=偏弱无助</x:v>
      </x:c>
      <x:c r="AE154" s="82" t="str">
        <x:v>0.2</x:v>
      </x:c>
    </x:row>
    <x:row r="155">
      <x:c r="A155" s="81" t="str">
        <x:v>M4-BASE-151</x:v>
      </x:c>
      <x:c r="B155" s="76" t="str">
        <x:v>为喜且平衡｜调用顺畅但不免疫</x:v>
      </x:c>
      <x:c r="C155" s="76" t="str">
        <x:v>L4 状态与位置修正</x:v>
      </x:c>
      <x:c r="D155" s="76" t="str">
        <x:v>BASE-状态修正</x:v>
      </x:c>
      <x:c r="E155" s="76" t="str">
        <x:v>通用</x:v>
      </x:c>
      <x:c r="F155" s="76" t="str">
        <x:v>状态修正</x:v>
      </x:c>
      <x:c r="G155" s="76" t="str">
        <x:v>为喜且平衡</x:v>
      </x:c>
      <x:c r="H155" s="76" t="str"/>
      <x:c r="I155" s="76" t="str">
        <x:v>喜忌可靠，功能为喜且处于平衡状态。</x:v>
      </x:c>
      <x:c r="J155" s="76" t="str">
        <x:v>喜忌未定或结构失衡。</x:v>
      </x:c>
      <x:c r="K155" s="76" t="str">
        <x:v>由共享基础引擎提供；只修正承载与执行，不直接等同强弱人格。</x:v>
      </x:c>
      <x:c r="L155" s="76" t="str">
        <x:v>由M2接口提供；夫妻星只参与关系议题权重，不单独生成盲点。</x:v>
      </x:c>
      <x:c r="M155" s="76" t="str">
        <x:v>由M3-BASE与共享引擎提供；不得把日支直接写成配偶性格。</x:v>
      </x:c>
      <x:c r="N155" s="76" t="str">
        <x:v>无／待后续规则组合</x:v>
      </x:c>
      <x:c r="O155" s="76" t="str">
        <x:v>由共享基础引擎判定</x:v>
      </x:c>
      <x:c r="P155" s="76" t="str">
        <x:v>由共享基础引擎判定</x:v>
      </x:c>
      <x:c r="Q155" s="76" t="str">
        <x:v>由共享基础引擎判定</x:v>
      </x:c>
      <x:c r="R155" s="76" t="str">
        <x:v>喜忌只修正调用摩擦与平衡，不直接等同好坏。</x:v>
      </x:c>
      <x:c r="S155" s="76" t="str">
        <x:v>原十神性质有效；真合化成立时按化神系统替换。</x:v>
      </x:c>
      <x:c r="T155" s="76" t="str">
        <x:v>由共享基础引擎判定</x:v>
      </x:c>
      <x:c r="U155" s="76" t="str">
        <x:v>78</x:v>
      </x:c>
      <x:c r="V155" s="76" t="str">
        <x:v>buffer −4</x:v>
      </x:c>
      <x:c r="W155" s="76" t="str">
        <x:v>buffer_factor</x:v>
      </x:c>
      <x:c r="X155" s="76" t="str">
        <x:v>为喜且平衡通常提高调用顺畅度，可作为保护因素，但不代表不会在压力下过用。</x:v>
      </x:c>
      <x:c r="Y155" s="76" t="str">
        <x:v>这项方式通常更容易被自然、顺畅地使用，但仍需要结合压力状态判断是否会抢先。</x:v>
      </x:c>
      <x:c r="Z15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5" s="76" t="str">
        <x:v>中</x:v>
      </x:c>
      <x:c r="AB155" s="76" t="str">
        <x:v>待验证</x:v>
      </x:c>
      <x:c r="AC155" s="76" t="str"/>
      <x:c r="AD155" s="76" t="str">
        <x:v>provisional=true; rule_group=BASE-状态修正; state=为喜且平衡</x:v>
      </x:c>
      <x:c r="AE155" s="82" t="str">
        <x:v>0.2</x:v>
      </x:c>
    </x:row>
    <x:row r="156">
      <x:c r="A156" s="81" t="str">
        <x:v>M4-BASE-152</x:v>
      </x:c>
      <x:c r="B156" s="76" t="str">
        <x:v>为忌且过旺｜摩擦候选增加</x:v>
      </x:c>
      <x:c r="C156" s="76" t="str">
        <x:v>L4 状态与位置修正</x:v>
      </x:c>
      <x:c r="D156" s="76" t="str">
        <x:v>BASE-状态修正</x:v>
      </x:c>
      <x:c r="E156" s="76" t="str">
        <x:v>通用</x:v>
      </x:c>
      <x:c r="F156" s="76" t="str">
        <x:v>状态修正</x:v>
      </x:c>
      <x:c r="G156" s="76" t="str">
        <x:v>为忌且过旺</x:v>
      </x:c>
      <x:c r="H156" s="76" t="str"/>
      <x:c r="I156" s="76" t="str">
        <x:v>喜忌可靠；相关功能为忌且过旺失衡；另有独立失衡证据。</x:v>
      </x:c>
      <x:c r="J156" s="76" t="str">
        <x:v>喜忌未定；旺而平衡；有效制化完整。</x:v>
      </x:c>
      <x:c r="K156" s="76" t="str">
        <x:v>由共享基础引擎提供；只修正承载与执行，不直接等同强弱人格。</x:v>
      </x:c>
      <x:c r="L156" s="76" t="str">
        <x:v>由M2接口提供；夫妻星只参与关系议题权重，不单独生成盲点。</x:v>
      </x:c>
      <x:c r="M156" s="76" t="str">
        <x:v>由M3-BASE与共享引擎提供；不得把日支直接写成配偶性格。</x:v>
      </x:c>
      <x:c r="N156" s="76" t="str">
        <x:v>无／待后续规则组合</x:v>
      </x:c>
      <x:c r="O156" s="76" t="str">
        <x:v>由共享基础引擎判定</x:v>
      </x:c>
      <x:c r="P156" s="76" t="str">
        <x:v>由共享基础引擎判定</x:v>
      </x:c>
      <x:c r="Q156" s="76" t="str">
        <x:v>由共享基础引擎判定</x:v>
      </x:c>
      <x:c r="R156" s="76" t="str">
        <x:v>喜忌只修正调用摩擦与平衡，不直接等同好坏。</x:v>
      </x:c>
      <x:c r="S156" s="76" t="str">
        <x:v>原十神性质有效；真合化成立时按化神系统替换。</x:v>
      </x:c>
      <x:c r="T156" s="76" t="str">
        <x:v>由共享基础引擎判定</x:v>
      </x:c>
      <x:c r="U156" s="76" t="str">
        <x:v>80</x:v>
      </x:c>
      <x:c r="V156" s="76" t="str">
        <x:v>候选 +4；不得单独成立</x:v>
      </x:c>
      <x:c r="W156" s="76" t="str">
        <x:v>confidence</x:v>
      </x:c>
      <x:c r="X156" s="76" t="str">
        <x:v>为忌且过旺只提高调用摩擦和失衡候选，不能转译为负面人格。</x:v>
      </x:c>
      <x:c r="Y156" s="76" t="str">
        <x:v>这项方式在关系中可能更容易带来摩擦或占用过多注意，但不能据此把你贴成某种负面性格。</x:v>
      </x:c>
      <x:c r="Z15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6" s="76" t="str">
        <x:v>中</x:v>
      </x:c>
      <x:c r="AB156" s="76" t="str">
        <x:v>待验证</x:v>
      </x:c>
      <x:c r="AC156" s="76" t="str"/>
      <x:c r="AD156" s="76" t="str">
        <x:v>provisional=true; rule_group=BASE-状态修正; state=为忌且过旺</x:v>
      </x:c>
      <x:c r="AE156" s="82" t="str">
        <x:v>0.2</x:v>
      </x:c>
    </x:row>
    <x:row r="157">
      <x:c r="A157" s="81" t="str">
        <x:v>M4-BASE-153</x:v>
      </x:c>
      <x:c r="B157" s="76" t="str">
        <x:v>喜忌未定｜停止喜忌路由</x:v>
      </x:c>
      <x:c r="C157" s="76" t="str">
        <x:v>L4 状态与位置修正</x:v>
      </x:c>
      <x:c r="D157" s="76" t="str">
        <x:v>BASE-状态修正</x:v>
      </x:c>
      <x:c r="E157" s="76" t="str">
        <x:v>通用</x:v>
      </x:c>
      <x:c r="F157" s="76" t="str">
        <x:v>停止</x:v>
      </x:c>
      <x:c r="G157" s="76" t="str">
        <x:v>喜忌未定</x:v>
      </x:c>
      <x:c r="H157" s="76" t="str"/>
      <x:c r="I157" s="76" t="str">
        <x:v>喜忌结论存在争议或共享引擎未提供。</x:v>
      </x:c>
      <x:c r="J157" s="76" t="str"/>
      <x:c r="K157" s="76" t="str">
        <x:v>由共享基础引擎提供；只修正承载与执行，不直接等同强弱人格。</x:v>
      </x:c>
      <x:c r="L157" s="76" t="str">
        <x:v>由M2接口提供；夫妻星只参与关系议题权重，不单独生成盲点。</x:v>
      </x:c>
      <x:c r="M157" s="76" t="str">
        <x:v>由M3-BASE与共享引擎提供；不得把日支直接写成配偶性格。</x:v>
      </x:c>
      <x:c r="N157" s="76" t="str">
        <x:v>无／待后续规则组合</x:v>
      </x:c>
      <x:c r="O157" s="76" t="str">
        <x:v>由共享基础引擎判定</x:v>
      </x:c>
      <x:c r="P157" s="76" t="str">
        <x:v>由共享基础引擎判定</x:v>
      </x:c>
      <x:c r="Q157" s="76" t="str">
        <x:v>由共享基础引擎判定</x:v>
      </x:c>
      <x:c r="R157" s="76" t="str">
        <x:v>喜忌只修正调用摩擦与平衡，不直接等同好坏。</x:v>
      </x:c>
      <x:c r="S157" s="76" t="str">
        <x:v>原十神性质有效；真合化成立时按化神系统替换。</x:v>
      </x:c>
      <x:c r="T157" s="76" t="str">
        <x:v>由共享基础引擎判定</x:v>
      </x:c>
      <x:c r="U157" s="76" t="str">
        <x:v>96</x:v>
      </x:c>
      <x:c r="V157" s="76" t="str">
        <x:v>STOP喜忌加权</x:v>
      </x:c>
      <x:c r="W157" s="76" t="str">
        <x:v>stop_reason</x:v>
      </x:c>
      <x:c r="X157" s="76" t="str">
        <x:v>M4不得用喜忌未定的信号生成过用、不足或人格结论。</x:v>
      </x:c>
      <x:c r="Y157" s="76" t="str">
        <x:v>当前喜忌还不够清楚，因此不会用它来强化或削弱关系盲点判断。</x:v>
      </x:c>
      <x:c r="Z15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7" s="76" t="str">
        <x:v>高</x:v>
      </x:c>
      <x:c r="AB157" s="76" t="str">
        <x:v>待验证</x:v>
      </x:c>
      <x:c r="AC157" s="76" t="str"/>
      <x:c r="AD157" s="76" t="str">
        <x:v>provisional=true; rule_group=BASE-状态修正; state=喜忌未定</x:v>
      </x:c>
      <x:c r="AE157" s="82" t="str">
        <x:v>0.2</x:v>
      </x:c>
    </x:row>
    <x:row r="158">
      <x:c r="A158" s="81" t="str">
        <x:v>M4-BASE-154</x:v>
      </x:c>
      <x:c r="B158" s="76" t="str">
        <x:v>有效制化｜降低过用候选</x:v>
      </x:c>
      <x:c r="C158" s="76" t="str">
        <x:v>L4 状态与位置修正</x:v>
      </x:c>
      <x:c r="D158" s="76" t="str">
        <x:v>BASE-状态修正</x:v>
      </x:c>
      <x:c r="E158" s="76" t="str">
        <x:v>通用</x:v>
      </x:c>
      <x:c r="F158" s="76" t="str">
        <x:v>调节候选</x:v>
      </x:c>
      <x:c r="G158" s="76" t="str">
        <x:v>有制有化</x:v>
      </x:c>
      <x:c r="H158" s="76" t="str"/>
      <x:c r="I158" s="76" t="str">
        <x:v>制化真实有效、力量足够、位置可进入关系核心并有M3行为接口。</x:v>
      </x:c>
      <x:c r="J158" s="76" t="str">
        <x:v>制化仅名义存在、弱远无根或现实不可调用。</x:v>
      </x:c>
      <x:c r="K158" s="76" t="str">
        <x:v>由共享基础引擎提供；只修正承载与执行，不直接等同强弱人格。</x:v>
      </x:c>
      <x:c r="L158" s="76" t="str">
        <x:v>由M2接口提供；夫妻星只参与关系议题权重，不单独生成盲点。</x:v>
      </x:c>
      <x:c r="M158" s="76" t="str">
        <x:v>由M3-BASE与共享引擎提供；不得把日支直接写成配偶性格。</x:v>
      </x:c>
      <x:c r="N158" s="76" t="str">
        <x:v>无／待后续规则组合</x:v>
      </x:c>
      <x:c r="O158" s="76" t="str">
        <x:v>由共享基础引擎判定</x:v>
      </x:c>
      <x:c r="P158" s="76" t="str">
        <x:v>由共享基础引擎判定</x:v>
      </x:c>
      <x:c r="Q158" s="76" t="str">
        <x:v>由共享基础引擎判定</x:v>
      </x:c>
      <x:c r="R158" s="76" t="str">
        <x:v>喜忌只修正调用摩擦与平衡，不直接等同好坏。</x:v>
      </x:c>
      <x:c r="S158" s="76" t="str">
        <x:v>原十神性质有效；真合化成立时按化神系统替换。</x:v>
      </x:c>
      <x:c r="T158" s="76" t="str">
        <x:v>由共享基础引擎判定</x:v>
      </x:c>
      <x:c r="U158" s="76" t="str">
        <x:v>88</x:v>
      </x:c>
      <x:c r="V158" s="76" t="str">
        <x:v>buffer −6至−10</x:v>
      </x:c>
      <x:c r="W158" s="76" t="str">
        <x:v>buffer_factor</x:v>
      </x:c>
      <x:c r="X158" s="76" t="str">
        <x:v>有效制化可限制过用、补足不足或改变调用顺序。</x:v>
      </x:c>
      <x:c r="Y158" s="76" t="str">
        <x:v>命局中存在能调节这项反应的功能，因此即使候选存在，也不宜把它写成固定问题。</x:v>
      </x:c>
      <x:c r="Z15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8" s="76" t="str">
        <x:v>中高</x:v>
      </x:c>
      <x:c r="AB158" s="76" t="str">
        <x:v>待验证</x:v>
      </x:c>
      <x:c r="AC158" s="76" t="str"/>
      <x:c r="AD158" s="76" t="str">
        <x:v>provisional=true; rule_group=BASE-状态修正; state=有制有化</x:v>
      </x:c>
      <x:c r="AE158" s="82" t="str">
        <x:v>0.2</x:v>
      </x:c>
    </x:row>
    <x:row r="159">
      <x:c r="A159" s="81" t="str">
        <x:v>M4-BASE-155</x:v>
      </x:c>
      <x:c r="B159" s="76" t="str">
        <x:v>制化存在但无力｜不计保护</x:v>
      </x:c>
      <x:c r="C159" s="76" t="str">
        <x:v>L4 状态与位置修正</x:v>
      </x:c>
      <x:c r="D159" s="76" t="str">
        <x:v>BASE-状态修正</x:v>
      </x:c>
      <x:c r="E159" s="76" t="str">
        <x:v>通用</x:v>
      </x:c>
      <x:c r="F159" s="76" t="str">
        <x:v>状态修正</x:v>
      </x:c>
      <x:c r="G159" s="76" t="str">
        <x:v>制化弱远</x:v>
      </x:c>
      <x:c r="H159" s="76" t="str"/>
      <x:c r="I159" s="76" t="str">
        <x:v>结构上存在制化，但调节方弱、远、无根或无法进入M3行为。</x:v>
      </x:c>
      <x:c r="J159" s="76" t="str">
        <x:v>调节方有效有根且现实可调用。</x:v>
      </x:c>
      <x:c r="K159" s="76" t="str">
        <x:v>由共享基础引擎提供；只修正承载与执行，不直接等同强弱人格。</x:v>
      </x:c>
      <x:c r="L159" s="76" t="str">
        <x:v>由M2接口提供；夫妻星只参与关系议题权重，不单独生成盲点。</x:v>
      </x:c>
      <x:c r="M159" s="76" t="str">
        <x:v>由M3-BASE与共享引擎提供；不得把日支直接写成配偶性格。</x:v>
      </x:c>
      <x:c r="N159" s="76" t="str">
        <x:v>无／待后续规则组合</x:v>
      </x:c>
      <x:c r="O159" s="76" t="str">
        <x:v>由共享基础引擎判定</x:v>
      </x:c>
      <x:c r="P159" s="76" t="str">
        <x:v>由共享基础引擎判定</x:v>
      </x:c>
      <x:c r="Q159" s="76" t="str">
        <x:v>由共享基础引擎判定</x:v>
      </x:c>
      <x:c r="R159" s="76" t="str">
        <x:v>喜忌只修正调用摩擦与平衡，不直接等同好坏。</x:v>
      </x:c>
      <x:c r="S159" s="76" t="str">
        <x:v>原十神性质有效；真合化成立时按化神系统替换。</x:v>
      </x:c>
      <x:c r="T159" s="76" t="str">
        <x:v>由共享基础引擎判定</x:v>
      </x:c>
      <x:c r="U159" s="76" t="str">
        <x:v>82</x:v>
      </x:c>
      <x:c r="V159" s="76" t="str">
        <x:v>不扣分；置信度−2</x:v>
      </x:c>
      <x:c r="W159" s="76" t="str">
        <x:v>buffer_factor</x:v>
      </x:c>
      <x:c r="X159" s="76" t="str">
        <x:v>名义制化不等于实际调节，不能为了完整自动扣分。</x:v>
      </x:c>
      <x:c r="Y159" s="76" t="str">
        <x:v>虽然结构上看得到调节信号，但它是否真正能进入关系行为仍需验证。</x:v>
      </x:c>
      <x:c r="Z15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59" s="76" t="str">
        <x:v>中</x:v>
      </x:c>
      <x:c r="AB159" s="76" t="str">
        <x:v>待验证</x:v>
      </x:c>
      <x:c r="AC159" s="76" t="str"/>
      <x:c r="AD159" s="76" t="str">
        <x:v>provisional=true; rule_group=BASE-状态修正; state=制化弱远</x:v>
      </x:c>
      <x:c r="AE159" s="82" t="str">
        <x:v>0.2</x:v>
      </x:c>
    </x:row>
    <x:row r="160">
      <x:c r="A160" s="81" t="str">
        <x:v>M4-BASE-156</x:v>
      </x:c>
      <x:c r="B160" s="76" t="str">
        <x:v>有效通关｜恢复转换</x:v>
      </x:c>
      <x:c r="C160" s="76" t="str">
        <x:v>L4 状态与位置修正</x:v>
      </x:c>
      <x:c r="D160" s="76" t="str">
        <x:v>BASE-状态修正</x:v>
      </x:c>
      <x:c r="E160" s="76" t="str">
        <x:v>通用</x:v>
      </x:c>
      <x:c r="F160" s="76" t="str">
        <x:v>调节候选</x:v>
      </x:c>
      <x:c r="G160" s="76" t="str">
        <x:v>通关有效</x:v>
      </x:c>
      <x:c r="H160" s="76" t="str"/>
      <x:c r="I160" s="76" t="str">
        <x:v>起点、桥梁、终点均有效；来源独立；M3顺序或现实行为支持。</x:v>
      </x:c>
      <x:c r="J160" s="76" t="str">
        <x:v>只有静态相生；桥梁弱远无根；真合化后路径变化。</x:v>
      </x:c>
      <x:c r="K160" s="76" t="str">
        <x:v>由共享基础引擎提供；只修正承载与执行，不直接等同强弱人格。</x:v>
      </x:c>
      <x:c r="L160" s="76" t="str">
        <x:v>由M2接口提供；夫妻星只参与关系议题权重，不单独生成盲点。</x:v>
      </x:c>
      <x:c r="M160" s="76" t="str">
        <x:v>由M3-BASE与共享引擎提供；不得把日支直接写成配偶性格。</x:v>
      </x:c>
      <x:c r="N160" s="76" t="str">
        <x:v>无／待后续规则组合</x:v>
      </x:c>
      <x:c r="O160" s="76" t="str">
        <x:v>由共享基础引擎判定</x:v>
      </x:c>
      <x:c r="P160" s="76" t="str">
        <x:v>由共享基础引擎判定</x:v>
      </x:c>
      <x:c r="Q160" s="76" t="str">
        <x:v>由共享基础引擎判定</x:v>
      </x:c>
      <x:c r="R160" s="76" t="str">
        <x:v>喜忌只修正调用摩擦与平衡，不直接等同好坏。</x:v>
      </x:c>
      <x:c r="S160" s="76" t="str">
        <x:v>原十神性质有效；真合化成立时按化神系统替换。</x:v>
      </x:c>
      <x:c r="T160" s="76" t="str">
        <x:v>由共享基础引擎判定</x:v>
      </x:c>
      <x:c r="U160" s="76" t="str">
        <x:v>88</x:v>
      </x:c>
      <x:c r="V160" s="76" t="str">
        <x:v>buffer −6至−10</x:v>
      </x:c>
      <x:c r="W160" s="76" t="str">
        <x:v>buffer_factor</x:v>
      </x:c>
      <x:c r="X160" s="76" t="str">
        <x:v>有效通关优先中断K03、K04、K06候选。</x:v>
      </x:c>
      <x:c r="Y160" s="76" t="str">
        <x:v>若这条转换能真实运行，原本容易卡住的步骤可以被另一功能接上，盲点候选会明显减弱。</x:v>
      </x:c>
      <x:c r="Z16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0" s="76" t="str">
        <x:v>中高</x:v>
      </x:c>
      <x:c r="AB160" s="76" t="str">
        <x:v>待验证</x:v>
      </x:c>
      <x:c r="AC160" s="76" t="str"/>
      <x:c r="AD160" s="76" t="str">
        <x:v>provisional=true; rule_group=BASE-状态修正; state=通关有效</x:v>
      </x:c>
      <x:c r="AE160" s="82" t="str">
        <x:v>0.2</x:v>
      </x:c>
    </x:row>
    <x:row r="161">
      <x:c r="A161" s="81" t="str">
        <x:v>M4-BASE-157</x:v>
      </x:c>
      <x:c r="B161" s="76" t="str">
        <x:v>通关受阻｜K06候选</x:v>
      </x:c>
      <x:c r="C161" s="76" t="str">
        <x:v>L4 状态与位置修正</x:v>
      </x:c>
      <x:c r="D161" s="76" t="str">
        <x:v>BASE-状态修正</x:v>
      </x:c>
      <x:c r="E161" s="76" t="str">
        <x:v>通用</x:v>
      </x:c>
      <x:c r="F161" s="76" t="str">
        <x:v>失衡候选</x:v>
      </x:c>
      <x:c r="G161" s="76" t="str">
        <x:v>通关受阻</x:v>
      </x:c>
      <x:c r="H161" s="76" t="str"/>
      <x:c r="I161" s="76" t="str">
        <x:v>起点功能有效；桥梁或终点为必要环节却弱而无助、被制或现实缺位。</x:v>
      </x:c>
      <x:c r="J161" s="76" t="str">
        <x:v>存在可靠替代桥梁或现实中转换稳定完成。</x:v>
      </x:c>
      <x:c r="K161" s="76" t="str">
        <x:v>由共享基础引擎提供；只修正承载与执行，不直接等同强弱人格。</x:v>
      </x:c>
      <x:c r="L161" s="76" t="str">
        <x:v>由M2接口提供；夫妻星只参与关系议题权重，不单独生成盲点。</x:v>
      </x:c>
      <x:c r="M161" s="76" t="str">
        <x:v>由M3-BASE与共享引擎提供；不得把日支直接写成配偶性格。</x:v>
      </x:c>
      <x:c r="N161" s="76" t="str">
        <x:v>无／待后续规则组合</x:v>
      </x:c>
      <x:c r="O161" s="76" t="str">
        <x:v>由共享基础引擎判定</x:v>
      </x:c>
      <x:c r="P161" s="76" t="str">
        <x:v>由共享基础引擎判定</x:v>
      </x:c>
      <x:c r="Q161" s="76" t="str">
        <x:v>由共享基础引擎判定</x:v>
      </x:c>
      <x:c r="R161" s="76" t="str">
        <x:v>喜忌只修正调用摩擦与平衡，不直接等同好坏。</x:v>
      </x:c>
      <x:c r="S161" s="76" t="str">
        <x:v>原十神性质有效；真合化成立时按化神系统替换。</x:v>
      </x:c>
      <x:c r="T161" s="76" t="str">
        <x:v>由共享基础引擎判定</x:v>
      </x:c>
      <x:c r="U161" s="76" t="str">
        <x:v>86</x:v>
      </x:c>
      <x:c r="V161" s="76" t="str">
        <x:v>K06 +6</x:v>
      </x:c>
      <x:c r="W161" s="76" t="str">
        <x:v>missing_function</x:v>
      </x:c>
      <x:c r="X161" s="76" t="str">
        <x:v>转换卡点形成K06候选，并可路由后续OVERUSE／TRIGGER。</x:v>
      </x:c>
      <x:c r="Y161" s="76" t="str">
        <x:v>你可能不是缺少前一步，而是前一步难以顺利转成下一步。</x:v>
      </x:c>
      <x:c r="Z16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1" s="76" t="str">
        <x:v>中</x:v>
      </x:c>
      <x:c r="AB161" s="76" t="str">
        <x:v>待验证</x:v>
      </x:c>
      <x:c r="AC161" s="76" t="str"/>
      <x:c r="AD161" s="76" t="str">
        <x:v>provisional=true; rule_group=BASE-状态修正; state=通关受阻</x:v>
      </x:c>
      <x:c r="AE161" s="82" t="str">
        <x:v>0.2</x:v>
      </x:c>
    </x:row>
    <x:row r="162">
      <x:c r="A162" s="81" t="str">
        <x:v>M4-BASE-158</x:v>
      </x:c>
      <x:c r="B162" s="76" t="str">
        <x:v>真合化成立｜替换原通道</x:v>
      </x:c>
      <x:c r="C162" s="76" t="str">
        <x:v>L4 状态与位置修正</x:v>
      </x:c>
      <x:c r="D162" s="76" t="str">
        <x:v>BASE-状态修正</x:v>
      </x:c>
      <x:c r="E162" s="76" t="str">
        <x:v>通用</x:v>
      </x:c>
      <x:c r="F162" s="76" t="str">
        <x:v>替换路由</x:v>
      </x:c>
      <x:c r="G162" s="76" t="str">
        <x:v>真合化成立</x:v>
      </x:c>
      <x:c r="H162" s="76" t="str"/>
      <x:c r="I162" s="76" t="str">
        <x:v>共享引擎确认真合化成立且化神性质可靠。</x:v>
      </x:c>
      <x:c r="J162" s="76" t="str">
        <x:v>仅合而不化、半合、拱合或合化争议。</x:v>
      </x:c>
      <x:c r="K162" s="76" t="str">
        <x:v>由共享基础引擎提供；只修正承载与执行，不直接等同强弱人格。</x:v>
      </x:c>
      <x:c r="L162" s="76" t="str">
        <x:v>由M2接口提供；夫妻星只参与关系议题权重，不单独生成盲点。</x:v>
      </x:c>
      <x:c r="M162" s="76" t="str">
        <x:v>由M3-BASE与共享引擎提供；不得把日支直接写成配偶性格。</x:v>
      </x:c>
      <x:c r="N162" s="76" t="str">
        <x:v>无／待后续规则组合</x:v>
      </x:c>
      <x:c r="O162" s="76" t="str">
        <x:v>由共享基础引擎判定</x:v>
      </x:c>
      <x:c r="P162" s="76" t="str">
        <x:v>由共享基础引擎判定</x:v>
      </x:c>
      <x:c r="Q162" s="76" t="str">
        <x:v>由共享基础引擎判定</x:v>
      </x:c>
      <x:c r="R162" s="76" t="str">
        <x:v>喜忌只修正调用摩擦与平衡，不直接等同好坏。</x:v>
      </x:c>
      <x:c r="S162" s="76" t="str">
        <x:v>原十神性质有效；真合化成立时按化神系统替换。</x:v>
      </x:c>
      <x:c r="T162" s="76" t="str">
        <x:v>由共享基础引擎判定</x:v>
      </x:c>
      <x:c r="U162" s="76" t="str">
        <x:v>100</x:v>
      </x:c>
      <x:c r="V162" s="76" t="str">
        <x:v>原通道清零；转化神重建</x:v>
      </x:c>
      <x:c r="W162" s="76" t="str">
        <x:v>transformation_status</x:v>
      </x:c>
      <x:c r="X162" s="76" t="str">
        <x:v>原十神功能与失衡基础分清零，按化神所属系统重新判断。</x:v>
      </x:c>
      <x:c r="Y162" s="76" t="str">
        <x:v>若真合化成立，原来的十神解释不再继续叠加，而要按照转化后的功能系统重新分析。</x:v>
      </x:c>
      <x:c r="Z16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2" s="76" t="str">
        <x:v>高</x:v>
      </x:c>
      <x:c r="AB162" s="76" t="str">
        <x:v>待验证</x:v>
      </x:c>
      <x:c r="AC162" s="76" t="str"/>
      <x:c r="AD162" s="76" t="str">
        <x:v>provisional=true; rule_group=BASE-状态修正; state=真合化成立</x:v>
      </x:c>
      <x:c r="AE162" s="82" t="str">
        <x:v>0.2</x:v>
      </x:c>
    </x:row>
    <x:row r="163">
      <x:c r="A163" s="81" t="str">
        <x:v>M4-BASE-159</x:v>
      </x:c>
      <x:c r="B163" s="76" t="str">
        <x:v>真合化争议｜停止原通道路由</x:v>
      </x:c>
      <x:c r="C163" s="76" t="str">
        <x:v>L4 状态与位置修正</x:v>
      </x:c>
      <x:c r="D163" s="76" t="str">
        <x:v>BASE-状态修正</x:v>
      </x:c>
      <x:c r="E163" s="76" t="str">
        <x:v>通用</x:v>
      </x:c>
      <x:c r="F163" s="76" t="str">
        <x:v>停止</x:v>
      </x:c>
      <x:c r="G163" s="76" t="str">
        <x:v>真合化争议</x:v>
      </x:c>
      <x:c r="H163" s="76" t="str"/>
      <x:c r="I163" s="76" t="str">
        <x:v>合化条件存在争议，原功能是否保留无法可靠确定。</x:v>
      </x:c>
      <x:c r="J163" s="76" t="str"/>
      <x:c r="K163" s="76" t="str">
        <x:v>由共享基础引擎提供；只修正承载与执行，不直接等同强弱人格。</x:v>
      </x:c>
      <x:c r="L163" s="76" t="str">
        <x:v>由M2接口提供；夫妻星只参与关系议题权重，不单独生成盲点。</x:v>
      </x:c>
      <x:c r="M163" s="76" t="str">
        <x:v>由M3-BASE与共享引擎提供；不得把日支直接写成配偶性格。</x:v>
      </x:c>
      <x:c r="N163" s="76" t="str">
        <x:v>无／待后续规则组合</x:v>
      </x:c>
      <x:c r="O163" s="76" t="str">
        <x:v>由共享基础引擎判定</x:v>
      </x:c>
      <x:c r="P163" s="76" t="str">
        <x:v>由共享基础引擎判定</x:v>
      </x:c>
      <x:c r="Q163" s="76" t="str">
        <x:v>由共享基础引擎判定</x:v>
      </x:c>
      <x:c r="R163" s="76" t="str">
        <x:v>喜忌只修正调用摩擦与平衡，不直接等同好坏。</x:v>
      </x:c>
      <x:c r="S163" s="76" t="str">
        <x:v>原十神性质有效；真合化成立时按化神系统替换。</x:v>
      </x:c>
      <x:c r="T163" s="76" t="str">
        <x:v>由共享基础引擎判定</x:v>
      </x:c>
      <x:c r="U163" s="76" t="str">
        <x:v>100</x:v>
      </x:c>
      <x:c r="V163" s="76" t="str">
        <x:v>STOP原通道；封顶低</x:v>
      </x:c>
      <x:c r="W163" s="76" t="str">
        <x:v>stop_reason</x:v>
      </x:c>
      <x:c r="X163" s="76" t="str">
        <x:v>在合化争议解决前，原十神盲点与化神盲点均不得满分输出。</x:v>
      </x:c>
      <x:c r="Y163" s="76" t="str">
        <x:v>当前合化状态还不够明确，因此暂不固定这一功能的盲点方向。</x:v>
      </x:c>
      <x:c r="Z16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3" s="76" t="str">
        <x:v>高</x:v>
      </x:c>
      <x:c r="AB163" s="76" t="str">
        <x:v>待验证</x:v>
      </x:c>
      <x:c r="AC163" s="76" t="str"/>
      <x:c r="AD163" s="76" t="str">
        <x:v>provisional=true; rule_group=BASE-状态修正; state=真合化争议</x:v>
      </x:c>
      <x:c r="AE163" s="82" t="str">
        <x:v>0.2</x:v>
      </x:c>
    </x:row>
    <x:row r="164">
      <x:c r="A164" s="81" t="str">
        <x:v>M4-BASE-160</x:v>
      </x:c>
      <x:c r="B164" s="76" t="str">
        <x:v>合而不化｜保留原功能</x:v>
      </x:c>
      <x:c r="C164" s="76" t="str">
        <x:v>L4 状态与位置修正</x:v>
      </x:c>
      <x:c r="D164" s="76" t="str">
        <x:v>BASE-状态修正</x:v>
      </x:c>
      <x:c r="E164" s="76" t="str">
        <x:v>通用</x:v>
      </x:c>
      <x:c r="F164" s="76" t="str">
        <x:v>状态修正</x:v>
      </x:c>
      <x:c r="G164" s="76" t="str">
        <x:v>合而不化</x:v>
      </x:c>
      <x:c r="H164" s="76" t="str"/>
      <x:c r="I164" s="76" t="str">
        <x:v>共享引擎确认合而不化、合绊或一般牵连。</x:v>
      </x:c>
      <x:c r="J164" s="76" t="str">
        <x:v>真合化成立。</x:v>
      </x:c>
      <x:c r="K164" s="76" t="str">
        <x:v>由共享基础引擎提供；只修正承载与执行，不直接等同强弱人格。</x:v>
      </x:c>
      <x:c r="L164" s="76" t="str">
        <x:v>由M2接口提供；夫妻星只参与关系议题权重，不单独生成盲点。</x:v>
      </x:c>
      <x:c r="M164" s="76" t="str">
        <x:v>由M3-BASE与共享引擎提供；不得把日支直接写成配偶性格。</x:v>
      </x:c>
      <x:c r="N164" s="76" t="str">
        <x:v>无／待后续规则组合</x:v>
      </x:c>
      <x:c r="O164" s="76" t="str">
        <x:v>由共享基础引擎判定</x:v>
      </x:c>
      <x:c r="P164" s="76" t="str">
        <x:v>由共享基础引擎判定</x:v>
      </x:c>
      <x:c r="Q164" s="76" t="str">
        <x:v>由共享基础引擎判定</x:v>
      </x:c>
      <x:c r="R164" s="76" t="str">
        <x:v>喜忌只修正调用摩擦与平衡，不直接等同好坏。</x:v>
      </x:c>
      <x:c r="S164" s="76" t="str">
        <x:v>原十神性质有效；真合化成立时按化神系统替换。</x:v>
      </x:c>
      <x:c r="T164" s="76" t="str">
        <x:v>由共享基础引擎判定</x:v>
      </x:c>
      <x:c r="U164" s="76" t="str">
        <x:v>84</x:v>
      </x:c>
      <x:c r="V164" s="76" t="str">
        <x:v>原功能保留；动态修正</x:v>
      </x:c>
      <x:c r="W164" s="76" t="str">
        <x:v>transformation_status</x:v>
      </x:c>
      <x:c r="X164" s="76" t="str">
        <x:v>保留原十神功能，只把合作为议题牵连和整合节奏修正。</x:v>
      </x:c>
      <x:c r="Y164" s="76" t="str">
        <x:v>原来的关系功能仍然保留，只是相关议题更容易相互牵连，需要分开说明。</x:v>
      </x:c>
      <x:c r="Z16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4" s="76" t="str">
        <x:v>中高</x:v>
      </x:c>
      <x:c r="AB164" s="76" t="str">
        <x:v>待验证</x:v>
      </x:c>
      <x:c r="AC164" s="76" t="str"/>
      <x:c r="AD164" s="76" t="str">
        <x:v>provisional=true; rule_group=BASE-状态修正; state=合而不化</x:v>
      </x:c>
      <x:c r="AE164" s="82" t="str">
        <x:v>0.2</x:v>
      </x:c>
    </x:row>
    <x:row r="165">
      <x:c r="A165" s="81" t="str">
        <x:v>M4-BASE-161</x:v>
      </x:c>
      <x:c r="B165" s="76" t="str">
        <x:v>近位｜关系相关性提高</x:v>
      </x:c>
      <x:c r="C165" s="76" t="str">
        <x:v>L4 状态与位置修正</x:v>
      </x:c>
      <x:c r="D165" s="76" t="str">
        <x:v>BASE-状态修正</x:v>
      </x:c>
      <x:c r="E165" s="76" t="str">
        <x:v>通用</x:v>
      </x:c>
      <x:c r="F165" s="76" t="str">
        <x:v>位置修正</x:v>
      </x:c>
      <x:c r="G165" s="76" t="str">
        <x:v>日柱／日支近位</x:v>
      </x:c>
      <x:c r="H165" s="76" t="str"/>
      <x:c r="I165" s="76" t="str">
        <x:v>有效信号位于日柱、日支或直接作用关系核心。</x:v>
      </x:c>
      <x:c r="J165" s="76" t="str">
        <x:v>同一近位事实已作为日支主气计分；真合化失效。</x:v>
      </x:c>
      <x:c r="K165" s="76" t="str">
        <x:v>由共享基础引擎提供；只修正承载与执行，不直接等同强弱人格。</x:v>
      </x:c>
      <x:c r="L165" s="76" t="str">
        <x:v>由M2接口提供；夫妻星只参与关系议题权重，不单独生成盲点。</x:v>
      </x:c>
      <x:c r="M165" s="76" t="str">
        <x:v>由M3-BASE与共享引擎提供；不得把日支直接写成配偶性格。</x:v>
      </x:c>
      <x:c r="N165" s="76" t="str">
        <x:v>无／待后续规则组合</x:v>
      </x:c>
      <x:c r="O165" s="76" t="str">
        <x:v>由共享基础引擎判定</x:v>
      </x:c>
      <x:c r="P165" s="76" t="str">
        <x:v>由共享基础引擎判定</x:v>
      </x:c>
      <x:c r="Q165" s="76" t="str">
        <x:v>由共享基础引擎判定</x:v>
      </x:c>
      <x:c r="R165" s="76" t="str">
        <x:v>喜忌只修正调用摩擦与平衡，不直接等同好坏。</x:v>
      </x:c>
      <x:c r="S165" s="76" t="str">
        <x:v>原十神性质有效；真合化成立时按化神系统替换。</x:v>
      </x:c>
      <x:c r="T165" s="76" t="str">
        <x:v>由共享基础引擎判定</x:v>
      </x:c>
      <x:c r="U165" s="76" t="str">
        <x:v>78</x:v>
      </x:c>
      <x:c r="V165" s="76" t="str">
        <x:v>相关性 +3；同源不重复</x:v>
      </x:c>
      <x:c r="W165" s="76" t="str">
        <x:v>distance_level</x:v>
      </x:c>
      <x:c r="X165" s="76" t="str">
        <x:v>近位提高关系场景相关性，不自动提高负面程度。</x:v>
      </x:c>
      <x:c r="Y165" s="76" t="str">
        <x:v>这项方式更容易进入亲密关系场景，但仍需看是否失衡和是否有调节。</x:v>
      </x:c>
      <x:c r="Z16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5" s="76" t="str">
        <x:v>中</x:v>
      </x:c>
      <x:c r="AB165" s="76" t="str">
        <x:v>待验证</x:v>
      </x:c>
      <x:c r="AC165" s="76" t="str"/>
      <x:c r="AD165" s="76" t="str">
        <x:v>provisional=true; rule_group=BASE-状态修正; state=日柱／日支近位</x:v>
      </x:c>
      <x:c r="AE165" s="82" t="str">
        <x:v>0.2</x:v>
      </x:c>
    </x:row>
    <x:row r="166">
      <x:c r="A166" s="81" t="str">
        <x:v>M4-BASE-162</x:v>
      </x:c>
      <x:c r="B166" s="76" t="str">
        <x:v>远位｜降级为背景候选</x:v>
      </x:c>
      <x:c r="C166" s="76" t="str">
        <x:v>L4 状态与位置修正</x:v>
      </x:c>
      <x:c r="D166" s="76" t="str">
        <x:v>BASE-状态修正</x:v>
      </x:c>
      <x:c r="E166" s="76" t="str">
        <x:v>通用</x:v>
      </x:c>
      <x:c r="F166" s="76" t="str">
        <x:v>位置修正</x:v>
      </x:c>
      <x:c r="G166" s="76" t="str">
        <x:v>年柱／时柱远位</x:v>
      </x:c>
      <x:c r="H166" s="76" t="str"/>
      <x:c r="I166" s="76" t="str">
        <x:v>信号主要位于远位，且未被近位或现实行为复核。</x:v>
      </x:c>
      <x:c r="J166" s="76" t="str">
        <x:v>有近位独立证据或现实稳定重复。</x:v>
      </x:c>
      <x:c r="K166" s="76" t="str">
        <x:v>由共享基础引擎提供；只修正承载与执行，不直接等同强弱人格。</x:v>
      </x:c>
      <x:c r="L166" s="76" t="str">
        <x:v>由M2接口提供；夫妻星只参与关系议题权重，不单独生成盲点。</x:v>
      </x:c>
      <x:c r="M166" s="76" t="str">
        <x:v>由M3-BASE与共享引擎提供；不得把日支直接写成配偶性格。</x:v>
      </x:c>
      <x:c r="N166" s="76" t="str">
        <x:v>无／待后续规则组合</x:v>
      </x:c>
      <x:c r="O166" s="76" t="str">
        <x:v>由共享基础引擎判定</x:v>
      </x:c>
      <x:c r="P166" s="76" t="str">
        <x:v>由共享基础引擎判定</x:v>
      </x:c>
      <x:c r="Q166" s="76" t="str">
        <x:v>由共享基础引擎判定</x:v>
      </x:c>
      <x:c r="R166" s="76" t="str">
        <x:v>喜忌只修正调用摩擦与平衡，不直接等同好坏。</x:v>
      </x:c>
      <x:c r="S166" s="76" t="str">
        <x:v>原十神性质有效；真合化成立时按化神系统替换。</x:v>
      </x:c>
      <x:c r="T166" s="76" t="str">
        <x:v>由共享基础引擎判定</x:v>
      </x:c>
      <x:c r="U166" s="76" t="str">
        <x:v>82</x:v>
      </x:c>
      <x:c r="V166" s="76" t="str">
        <x:v>分数−3；封顶中低</x:v>
      </x:c>
      <x:c r="W166" s="76" t="str">
        <x:v>confidence</x:v>
      </x:c>
      <x:c r="X166" s="76" t="str">
        <x:v>远位可作为背景或阶段候选，不宜单独成为主盲点。</x:v>
      </x:c>
      <x:c r="Y166" s="76" t="str">
        <x:v>这项特征可能影响关系，但暂时更适合作为背景，不宜写成核心盲点。</x:v>
      </x:c>
      <x:c r="Z16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6" s="76" t="str">
        <x:v>中高</x:v>
      </x:c>
      <x:c r="AB166" s="76" t="str">
        <x:v>待验证</x:v>
      </x:c>
      <x:c r="AC166" s="76" t="str"/>
      <x:c r="AD166" s="76" t="str">
        <x:v>provisional=true; rule_group=BASE-状态修正; state=年柱／时柱远位</x:v>
      </x:c>
      <x:c r="AE166" s="82" t="str">
        <x:v>0.2</x:v>
      </x:c>
    </x:row>
    <x:row r="167">
      <x:c r="A167" s="81" t="str">
        <x:v>M4-BASE-163</x:v>
      </x:c>
      <x:c r="B167" s="76" t="str">
        <x:v>同一近位事实｜不得重复加权</x:v>
      </x:c>
      <x:c r="C167" s="76" t="str">
        <x:v>L4 状态与位置修正</x:v>
      </x:c>
      <x:c r="D167" s="76" t="str">
        <x:v>BASE-状态修正</x:v>
      </x:c>
      <x:c r="E167" s="76" t="str">
        <x:v>通用</x:v>
      </x:c>
      <x:c r="F167" s="76" t="str">
        <x:v>去重</x:v>
      </x:c>
      <x:c r="G167" s="76" t="str">
        <x:v>日支主气＋日干日支生克</x:v>
      </x:c>
      <x:c r="H167" s="76" t="str"/>
      <x:c r="I167" s="76" t="str">
        <x:v>日支十神、日干日支关系和M3-BASE底盘来自同一事实。</x:v>
      </x:c>
      <x:c r="J167" s="76" t="str"/>
      <x:c r="K167" s="76" t="str">
        <x:v>由共享基础引擎提供；只修正承载与执行，不直接等同强弱人格。</x:v>
      </x:c>
      <x:c r="L167" s="76" t="str">
        <x:v>由M2接口提供；夫妻星只参与关系议题权重，不单独生成盲点。</x:v>
      </x:c>
      <x:c r="M167" s="76" t="str">
        <x:v>由M3-BASE与共享引擎提供；不得把日支直接写成配偶性格。</x:v>
      </x:c>
      <x:c r="N167" s="76" t="str">
        <x:v>无／待后续规则组合</x:v>
      </x:c>
      <x:c r="O167" s="76" t="str">
        <x:v>由共享基础引擎判定</x:v>
      </x:c>
      <x:c r="P167" s="76" t="str">
        <x:v>由共享基础引擎判定</x:v>
      </x:c>
      <x:c r="Q167" s="76" t="str">
        <x:v>由共享基础引擎判定</x:v>
      </x:c>
      <x:c r="R167" s="76" t="str">
        <x:v>喜忌只修正调用摩擦与平衡，不直接等同好坏。</x:v>
      </x:c>
      <x:c r="S167" s="76" t="str">
        <x:v>原十神性质有效；真合化成立时按化神系统替换。</x:v>
      </x:c>
      <x:c r="T167" s="76" t="str">
        <x:v>由共享基础引擎判定</x:v>
      </x:c>
      <x:c r="U167" s="76" t="str">
        <x:v>95</x:v>
      </x:c>
      <x:c r="V167" s="76" t="str">
        <x:v>同源只计一次</x:v>
      </x:c>
      <x:c r="W167" s="76" t="str">
        <x:v>dedup_log</x:v>
      </x:c>
      <x:c r="X167" s="76" t="str">
        <x:v>三种解释共享source_id，只计一次基础权重。</x:v>
      </x:c>
      <x:c r="Y167" s="76" t="str">
        <x:v>同一个日支事实不会因为换了三种说法就被放大。</x:v>
      </x:c>
      <x:c r="Z16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7" s="76" t="str">
        <x:v>高</x:v>
      </x:c>
      <x:c r="AB167" s="76" t="str">
        <x:v>待验证</x:v>
      </x:c>
      <x:c r="AC167" s="76" t="str"/>
      <x:c r="AD167" s="76" t="str">
        <x:v>provisional=true; rule_group=BASE-状态修正; state=日支主气＋日干日支生克</x:v>
      </x:c>
      <x:c r="AE167" s="82" t="str">
        <x:v>0.2</x:v>
      </x:c>
    </x:row>
    <x:row r="168">
      <x:c r="A168" s="81" t="str">
        <x:v>M4-BASE-164</x:v>
      </x:c>
      <x:c r="B168" s="76" t="str">
        <x:v>多透同源｜不增加独立证据数</x:v>
      </x:c>
      <x:c r="C168" s="76" t="str">
        <x:v>L4 状态与位置修正</x:v>
      </x:c>
      <x:c r="D168" s="76" t="str">
        <x:v>BASE-状态修正</x:v>
      </x:c>
      <x:c r="E168" s="76" t="str">
        <x:v>通用</x:v>
      </x:c>
      <x:c r="F168" s="76" t="str">
        <x:v>去重</x:v>
      </x:c>
      <x:c r="G168" s="76" t="str">
        <x:v>同根多透</x:v>
      </x:c>
      <x:c r="H168" s="76" t="str"/>
      <x:c r="I168" s="76" t="str">
        <x:v>多个透干或模块输出追溯到同一根、同一藏干或同一source_id。</x:v>
      </x:c>
      <x:c r="J168" s="76" t="str">
        <x:v>来源确实独立。</x:v>
      </x:c>
      <x:c r="K168" s="76" t="str">
        <x:v>由共享基础引擎提供；只修正承载与执行，不直接等同强弱人格。</x:v>
      </x:c>
      <x:c r="L168" s="76" t="str">
        <x:v>由M2接口提供；夫妻星只参与关系议题权重，不单独生成盲点。</x:v>
      </x:c>
      <x:c r="M168" s="76" t="str">
        <x:v>由M3-BASE与共享引擎提供；不得把日支直接写成配偶性格。</x:v>
      </x:c>
      <x:c r="N168" s="76" t="str">
        <x:v>无／待后续规则组合</x:v>
      </x:c>
      <x:c r="O168" s="76" t="str">
        <x:v>由共享基础引擎判定</x:v>
      </x:c>
      <x:c r="P168" s="76" t="str">
        <x:v>由共享基础引擎判定</x:v>
      </x:c>
      <x:c r="Q168" s="76" t="str">
        <x:v>由共享基础引擎判定</x:v>
      </x:c>
      <x:c r="R168" s="76" t="str">
        <x:v>喜忌只修正调用摩擦与平衡，不直接等同好坏。</x:v>
      </x:c>
      <x:c r="S168" s="76" t="str">
        <x:v>原十神性质有效；真合化成立时按化神系统替换。</x:v>
      </x:c>
      <x:c r="T168" s="76" t="str">
        <x:v>由共享基础引擎判定</x:v>
      </x:c>
      <x:c r="U168" s="76" t="str">
        <x:v>92</x:v>
      </x:c>
      <x:c r="V168" s="76" t="str">
        <x:v>显著度+2；独立证据不变</x:v>
      </x:c>
      <x:c r="W168" s="76" t="str">
        <x:v>dedup_log</x:v>
      </x:c>
      <x:c r="X168" s="76" t="str">
        <x:v>多次可见可提高显著度，但不能虚增证据独立性。</x:v>
      </x:c>
      <x:c r="Y168" s="76" t="str">
        <x:v>这项反应可能更显眼，但仍然只算一个基础来源。</x:v>
      </x:c>
      <x:c r="Z16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8" s="76" t="str">
        <x:v>高</x:v>
      </x:c>
      <x:c r="AB168" s="76" t="str">
        <x:v>待验证</x:v>
      </x:c>
      <x:c r="AC168" s="76" t="str"/>
      <x:c r="AD168" s="76" t="str">
        <x:v>provisional=true; rule_group=BASE-状态修正; state=同根多透</x:v>
      </x:c>
      <x:c r="AE168" s="82" t="str">
        <x:v>0.2</x:v>
      </x:c>
    </x:row>
    <x:row r="169">
      <x:c r="A169" s="81" t="str">
        <x:v>M4-BASE-165</x:v>
      </x:c>
      <x:c r="B169" s="76" t="str">
        <x:v>多根同源｜提高重复性不提高来源数</x:v>
      </x:c>
      <x:c r="C169" s="76" t="str">
        <x:v>L4 状态与位置修正</x:v>
      </x:c>
      <x:c r="D169" s="76" t="str">
        <x:v>BASE-状态修正</x:v>
      </x:c>
      <x:c r="E169" s="76" t="str">
        <x:v>通用</x:v>
      </x:c>
      <x:c r="F169" s="76" t="str">
        <x:v>去重</x:v>
      </x:c>
      <x:c r="G169" s="76" t="str">
        <x:v>同系统多根</x:v>
      </x:c>
      <x:c r="H169" s="76" t="str"/>
      <x:c r="I169" s="76" t="str">
        <x:v>同一系统在多处有根，但来源属于同一功能链。</x:v>
      </x:c>
      <x:c r="J169" s="76" t="str">
        <x:v>确有不同柱位、不同现实行为与不同功能任务的独立支持。</x:v>
      </x:c>
      <x:c r="K169" s="76" t="str">
        <x:v>由共享基础引擎提供；只修正承载与执行，不直接等同强弱人格。</x:v>
      </x:c>
      <x:c r="L169" s="76" t="str">
        <x:v>由M2接口提供；夫妻星只参与关系议题权重，不单独生成盲点。</x:v>
      </x:c>
      <x:c r="M169" s="76" t="str">
        <x:v>由M3-BASE与共享引擎提供；不得把日支直接写成配偶性格。</x:v>
      </x:c>
      <x:c r="N169" s="76" t="str">
        <x:v>无／待后续规则组合</x:v>
      </x:c>
      <x:c r="O169" s="76" t="str">
        <x:v>由共享基础引擎判定</x:v>
      </x:c>
      <x:c r="P169" s="76" t="str">
        <x:v>由共享基础引擎判定</x:v>
      </x:c>
      <x:c r="Q169" s="76" t="str">
        <x:v>由共享基础引擎判定</x:v>
      </x:c>
      <x:c r="R169" s="76" t="str">
        <x:v>喜忌只修正调用摩擦与平衡，不直接等同好坏。</x:v>
      </x:c>
      <x:c r="S169" s="76" t="str">
        <x:v>原十神性质有效；真合化成立时按化神系统替换。</x:v>
      </x:c>
      <x:c r="T169" s="76" t="str">
        <x:v>由共享基础引擎判定</x:v>
      </x:c>
      <x:c r="U169" s="76" t="str">
        <x:v>86</x:v>
      </x:c>
      <x:c r="V169" s="76" t="str">
        <x:v>重复性+3；证据数不变</x:v>
      </x:c>
      <x:c r="W169" s="76" t="str">
        <x:v>confidence</x:v>
      </x:c>
      <x:c r="X169" s="76" t="str">
        <x:v>多根主要提高跨情境重复性，不自动增加多个盲点。</x:v>
      </x:c>
      <x:c r="Y169" s="76" t="str">
        <x:v>这项方式可能更稳定地重复，但不代表同时存在多个不同问题。</x:v>
      </x:c>
      <x:c r="Z16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69" s="76" t="str">
        <x:v>中高</x:v>
      </x:c>
      <x:c r="AB169" s="76" t="str">
        <x:v>待验证</x:v>
      </x:c>
      <x:c r="AC169" s="76" t="str"/>
      <x:c r="AD169" s="76" t="str">
        <x:v>provisional=true; rule_group=BASE-状态修正; state=同系统多根</x:v>
      </x:c>
      <x:c r="AE169" s="82" t="str">
        <x:v>0.2</x:v>
      </x:c>
    </x:row>
    <x:row r="170">
      <x:c r="A170" s="81" t="str">
        <x:v>M4-BASE-166</x:v>
      </x:c>
      <x:c r="B170" s="76" t="str">
        <x:v>第二独立来源｜证据加权</x:v>
      </x:c>
      <x:c r="C170" s="76" t="str">
        <x:v>L4 状态与位置修正</x:v>
      </x:c>
      <x:c r="D170" s="76" t="str">
        <x:v>BASE-状态修正</x:v>
      </x:c>
      <x:c r="E170" s="76" t="str">
        <x:v>通用</x:v>
      </x:c>
      <x:c r="F170" s="76" t="str">
        <x:v>证据修正</x:v>
      </x:c>
      <x:c r="G170" s="76" t="str">
        <x:v>独立source_id</x:v>
      </x:c>
      <x:c r="H170" s="76" t="str"/>
      <x:c r="I170" s="76" t="str">
        <x:v>第二类证据来自不同柱位／不同M3模块现实任务／现实行为，且非同义重复。</x:v>
      </x:c>
      <x:c r="J170" s="76" t="str">
        <x:v>追溯后仍为同一日支或同一根。</x:v>
      </x:c>
      <x:c r="K170" s="76" t="str">
        <x:v>由共享基础引擎提供；只修正承载与执行，不直接等同强弱人格。</x:v>
      </x:c>
      <x:c r="L170" s="76" t="str">
        <x:v>由M2接口提供；夫妻星只参与关系议题权重，不单独生成盲点。</x:v>
      </x:c>
      <x:c r="M170" s="76" t="str">
        <x:v>由M3-BASE与共享引擎提供；不得把日支直接写成配偶性格。</x:v>
      </x:c>
      <x:c r="N170" s="76" t="str">
        <x:v>无／待后续规则组合</x:v>
      </x:c>
      <x:c r="O170" s="76" t="str">
        <x:v>由共享基础引擎判定</x:v>
      </x:c>
      <x:c r="P170" s="76" t="str">
        <x:v>由共享基础引擎判定</x:v>
      </x:c>
      <x:c r="Q170" s="76" t="str">
        <x:v>由共享基础引擎判定</x:v>
      </x:c>
      <x:c r="R170" s="76" t="str">
        <x:v>喜忌只修正调用摩擦与平衡，不直接等同好坏。</x:v>
      </x:c>
      <x:c r="S170" s="76" t="str">
        <x:v>原十神性质有效；真合化成立时按化神系统替换。</x:v>
      </x:c>
      <x:c r="T170" s="76" t="str">
        <x:v>由共享基础引擎判定</x:v>
      </x:c>
      <x:c r="U170" s="76" t="str">
        <x:v>84</x:v>
      </x:c>
      <x:c r="V170" s="76" t="str">
        <x:v>独立证据 +8</x:v>
      </x:c>
      <x:c r="W170" s="76" t="str">
        <x:v>evidence_level</x:v>
      </x:c>
      <x:c r="X170" s="76" t="str">
        <x:v>独立来源可支持E1/E2，但必须说明它支持的是功能、失衡还是触发。</x:v>
      </x:c>
      <x:c r="Y170" s="76" t="str">
        <x:v>不同来源的信息若指向同一个机制，候选才会更可靠。</x:v>
      </x:c>
      <x:c r="Z17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0" s="76" t="str">
        <x:v>中</x:v>
      </x:c>
      <x:c r="AB170" s="76" t="str">
        <x:v>待验证</x:v>
      </x:c>
      <x:c r="AC170" s="76" t="str"/>
      <x:c r="AD170" s="76" t="str">
        <x:v>provisional=true; rule_group=BASE-状态修正; state=独立source_id</x:v>
      </x:c>
      <x:c r="AE170" s="82" t="str">
        <x:v>0.2</x:v>
      </x:c>
    </x:row>
    <x:row r="171">
      <x:c r="A171" s="81" t="str">
        <x:v>M4-BASE-167</x:v>
      </x:c>
      <x:c r="B171" s="76" t="str">
        <x:v>M3主通道可靠｜功能来源加权</x:v>
      </x:c>
      <x:c r="C171" s="76" t="str">
        <x:v>L4 状态与位置修正</x:v>
      </x:c>
      <x:c r="D171" s="76" t="str">
        <x:v>BASE-状态修正</x:v>
      </x:c>
      <x:c r="E171" s="76" t="str">
        <x:v>通用</x:v>
      </x:c>
      <x:c r="F171" s="76" t="str">
        <x:v>跨模块修正</x:v>
      </x:c>
      <x:c r="G171" s="76" t="str">
        <x:v>M3主通道</x:v>
      </x:c>
      <x:c r="H171" s="76" t="str"/>
      <x:c r="I171" s="76" t="str">
        <x:v>M3对应模块主通道高／中高置信并有独立证据。</x:v>
      </x:c>
      <x:c r="J171" s="76" t="str">
        <x:v>M3输出停止或仅次通道候选。</x:v>
      </x:c>
      <x:c r="K171" s="76" t="str">
        <x:v>由共享基础引擎提供；只修正承载与执行，不直接等同强弱人格。</x:v>
      </x:c>
      <x:c r="L171" s="76" t="str">
        <x:v>由M2接口提供；夫妻星只参与关系议题权重，不单独生成盲点。</x:v>
      </x:c>
      <x:c r="M171" s="76" t="str">
        <x:v>由M3-BASE与共享引擎提供；不得把日支直接写成配偶性格。</x:v>
      </x:c>
      <x:c r="N171" s="76" t="str">
        <x:v>无／待后续规则组合</x:v>
      </x:c>
      <x:c r="O171" s="76" t="str">
        <x:v>由共享基础引擎判定</x:v>
      </x:c>
      <x:c r="P171" s="76" t="str">
        <x:v>由共享基础引擎判定</x:v>
      </x:c>
      <x:c r="Q171" s="76" t="str">
        <x:v>由共享基础引擎判定</x:v>
      </x:c>
      <x:c r="R171" s="76" t="str">
        <x:v>喜忌只修正调用摩擦与平衡，不直接等同好坏。</x:v>
      </x:c>
      <x:c r="S171" s="76" t="str">
        <x:v>原十神性质有效；真合化成立时按化神系统替换。</x:v>
      </x:c>
      <x:c r="T171" s="76" t="str">
        <x:v>由共享基础引擎判定</x:v>
      </x:c>
      <x:c r="U171" s="76" t="str">
        <x:v>82</x:v>
      </x:c>
      <x:c r="V171" s="76" t="str">
        <x:v>functional_origin +4（同源不叠加）</x:v>
      </x:c>
      <x:c r="W171" s="76" t="str">
        <x:v>functional_origin</x:v>
      </x:c>
      <x:c r="X171" s="76" t="str">
        <x:v>M3主通道可作为M4功能来源权威，但不得重复计算底层source_id。</x:v>
      </x:c>
      <x:c r="Y171" s="76" t="str">
        <x:v>如果这项方式在M3中已经是稳定主通道，M4会更有把握判断它在压力下可能怎样失衡。</x:v>
      </x:c>
      <x:c r="Z17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1" s="76" t="str">
        <x:v>中</x:v>
      </x:c>
      <x:c r="AB171" s="76" t="str">
        <x:v>待验证</x:v>
      </x:c>
      <x:c r="AC171" s="76" t="str"/>
      <x:c r="AD171" s="76" t="str">
        <x:v>provisional=true; rule_group=BASE-状态修正; state=M3主通道</x:v>
      </x:c>
      <x:c r="AE171" s="82" t="str">
        <x:v>0.2</x:v>
      </x:c>
    </x:row>
    <x:row r="172">
      <x:c r="A172" s="81" t="str">
        <x:v>M4-BASE-168</x:v>
      </x:c>
      <x:c r="B172" s="76" t="str">
        <x:v>M3次通道｜候选封顶</x:v>
      </x:c>
      <x:c r="C172" s="76" t="str">
        <x:v>L4 状态与位置修正</x:v>
      </x:c>
      <x:c r="D172" s="76" t="str">
        <x:v>BASE-状态修正</x:v>
      </x:c>
      <x:c r="E172" s="76" t="str">
        <x:v>通用</x:v>
      </x:c>
      <x:c r="F172" s="76" t="str">
        <x:v>跨模块修正</x:v>
      </x:c>
      <x:c r="G172" s="76" t="str">
        <x:v>M3次通道</x:v>
      </x:c>
      <x:c r="H172" s="76" t="str"/>
      <x:c r="I172" s="76" t="str">
        <x:v>M3仅将该功能判为次通道或低置信候选。</x:v>
      </x:c>
      <x:c r="J172" s="76" t="str">
        <x:v>另有独立主通道／现实行为复核。</x:v>
      </x:c>
      <x:c r="K172" s="76" t="str">
        <x:v>由共享基础引擎提供；只修正承载与执行，不直接等同强弱人格。</x:v>
      </x:c>
      <x:c r="L172" s="76" t="str">
        <x:v>由M2接口提供；夫妻星只参与关系议题权重，不单独生成盲点。</x:v>
      </x:c>
      <x:c r="M172" s="76" t="str">
        <x:v>由M3-BASE与共享引擎提供；不得把日支直接写成配偶性格。</x:v>
      </x:c>
      <x:c r="N172" s="76" t="str">
        <x:v>无／待后续规则组合</x:v>
      </x:c>
      <x:c r="O172" s="76" t="str">
        <x:v>由共享基础引擎判定</x:v>
      </x:c>
      <x:c r="P172" s="76" t="str">
        <x:v>由共享基础引擎判定</x:v>
      </x:c>
      <x:c r="Q172" s="76" t="str">
        <x:v>由共享基础引擎判定</x:v>
      </x:c>
      <x:c r="R172" s="76" t="str">
        <x:v>喜忌只修正调用摩擦与平衡，不直接等同好坏。</x:v>
      </x:c>
      <x:c r="S172" s="76" t="str">
        <x:v>原十神性质有效；真合化成立时按化神系统替换。</x:v>
      </x:c>
      <x:c r="T172" s="76" t="str">
        <x:v>由共享基础引擎判定</x:v>
      </x:c>
      <x:c r="U172" s="76" t="str">
        <x:v>86</x:v>
      </x:c>
      <x:c r="V172" s="76" t="str">
        <x:v>封顶中低</x:v>
      </x:c>
      <x:c r="W172" s="76" t="str">
        <x:v>confidence</x:v>
      </x:c>
      <x:c r="X172" s="76" t="str">
        <x:v>仅有M3次通道时，M4对应失衡最多保留中低候选。</x:v>
      </x:c>
      <x:c r="Y172" s="76" t="str">
        <x:v>这项方式可能参与关系过程，但目前不足以单独成为核心盲点。</x:v>
      </x:c>
      <x:c r="Z17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2" s="76" t="str">
        <x:v>中高</x:v>
      </x:c>
      <x:c r="AB172" s="76" t="str">
        <x:v>待验证</x:v>
      </x:c>
      <x:c r="AC172" s="76" t="str"/>
      <x:c r="AD172" s="76" t="str">
        <x:v>provisional=true; rule_group=BASE-状态修正; state=M3次通道</x:v>
      </x:c>
      <x:c r="AE172" s="82" t="str">
        <x:v>0.2</x:v>
      </x:c>
    </x:row>
    <x:row r="173">
      <x:c r="A173" s="81" t="str">
        <x:v>M4-BASE-169</x:v>
      </x:c>
      <x:c r="B173" s="76" t="str">
        <x:v>M3关键模块停止｜M4对应路由停止</x:v>
      </x:c>
      <x:c r="C173" s="76" t="str">
        <x:v>L4 状态与位置修正</x:v>
      </x:c>
      <x:c r="D173" s="76" t="str">
        <x:v>BASE-状态修正</x:v>
      </x:c>
      <x:c r="E173" s="76" t="str">
        <x:v>通用</x:v>
      </x:c>
      <x:c r="F173" s="76" t="str">
        <x:v>停止</x:v>
      </x:c>
      <x:c r="G173" s="76" t="str">
        <x:v>M3 STOP</x:v>
      </x:c>
      <x:c r="H173" s="76" t="str"/>
      <x:c r="I173" s="76" t="str">
        <x:v>对应M3功能来源、顺序或边界字段停止。</x:v>
      </x:c>
      <x:c r="J173" s="76" t="str"/>
      <x:c r="K173" s="76" t="str">
        <x:v>由共享基础引擎提供；只修正承载与执行，不直接等同强弱人格。</x:v>
      </x:c>
      <x:c r="L173" s="76" t="str">
        <x:v>由M2接口提供；夫妻星只参与关系议题权重，不单独生成盲点。</x:v>
      </x:c>
      <x:c r="M173" s="76" t="str">
        <x:v>由M3-BASE与共享引擎提供；不得把日支直接写成配偶性格。</x:v>
      </x:c>
      <x:c r="N173" s="76" t="str">
        <x:v>无／待后续规则组合</x:v>
      </x:c>
      <x:c r="O173" s="76" t="str">
        <x:v>由共享基础引擎判定</x:v>
      </x:c>
      <x:c r="P173" s="76" t="str">
        <x:v>由共享基础引擎判定</x:v>
      </x:c>
      <x:c r="Q173" s="76" t="str">
        <x:v>由共享基础引擎判定</x:v>
      </x:c>
      <x:c r="R173" s="76" t="str">
        <x:v>喜忌只修正调用摩擦与平衡，不直接等同好坏。</x:v>
      </x:c>
      <x:c r="S173" s="76" t="str">
        <x:v>原十神性质有效；真合化成立时按化神系统替换。</x:v>
      </x:c>
      <x:c r="T173" s="76" t="str">
        <x:v>由共享基础引擎判定</x:v>
      </x:c>
      <x:c r="U173" s="76" t="str">
        <x:v>98</x:v>
      </x:c>
      <x:c r="V173" s="76" t="str">
        <x:v>STOP对应路由</x:v>
      </x:c>
      <x:c r="W173" s="76" t="str">
        <x:v>stop_reason</x:v>
      </x:c>
      <x:c r="X173" s="76" t="str">
        <x:v>M4不得绕过M3停止状态自行制造失衡结论。</x:v>
      </x:c>
      <x:c r="Y173" s="76" t="str">
        <x:v>由于前一步的相处功能还无法可靠确定，这一盲点方向暂不固定。</x:v>
      </x:c>
      <x:c r="Z17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3" s="76" t="str">
        <x:v>高</x:v>
      </x:c>
      <x:c r="AB173" s="76" t="str">
        <x:v>待验证</x:v>
      </x:c>
      <x:c r="AC173" s="76" t="str"/>
      <x:c r="AD173" s="76" t="str">
        <x:v>provisional=true; rule_group=BASE-状态修正; state=M3 STOP</x:v>
      </x:c>
      <x:c r="AE173" s="82" t="str">
        <x:v>0.2</x:v>
      </x:c>
    </x:row>
    <x:row r="174">
      <x:c r="A174" s="81" t="str">
        <x:v>M4-BASE-170</x:v>
      </x:c>
      <x:c r="B174" s="76" t="str">
        <x:v>日主承载｜只修正执行强度</x:v>
      </x:c>
      <x:c r="C174" s="76" t="str">
        <x:v>L4 状态与位置修正</x:v>
      </x:c>
      <x:c r="D174" s="76" t="str">
        <x:v>BASE-状态修正</x:v>
      </x:c>
      <x:c r="E174" s="76" t="str">
        <x:v>通用</x:v>
      </x:c>
      <x:c r="F174" s="76" t="str">
        <x:v>状态修正</x:v>
      </x:c>
      <x:c r="G174" s="76" t="str">
        <x:v>日主承载</x:v>
      </x:c>
      <x:c r="H174" s="76" t="str"/>
      <x:c r="I174" s="76" t="str">
        <x:v>共享引擎提供日主承载、印比支持与关系牵引状态。</x:v>
      </x:c>
      <x:c r="J174" s="76" t="str"/>
      <x:c r="K174" s="76" t="str">
        <x:v>由共享基础引擎提供；只修正承载与执行，不直接等同强弱人格。</x:v>
      </x:c>
      <x:c r="L174" s="76" t="str">
        <x:v>由M2接口提供；夫妻星只参与关系议题权重，不单独生成盲点。</x:v>
      </x:c>
      <x:c r="M174" s="76" t="str">
        <x:v>由M3-BASE与共享引擎提供；不得把日支直接写成配偶性格。</x:v>
      </x:c>
      <x:c r="N174" s="76" t="str">
        <x:v>无／待后续规则组合</x:v>
      </x:c>
      <x:c r="O174" s="76" t="str">
        <x:v>由共享基础引擎判定</x:v>
      </x:c>
      <x:c r="P174" s="76" t="str">
        <x:v>由共享基础引擎判定</x:v>
      </x:c>
      <x:c r="Q174" s="76" t="str">
        <x:v>由共享基础引擎判定</x:v>
      </x:c>
      <x:c r="R174" s="76" t="str">
        <x:v>喜忌只修正调用摩擦与平衡，不直接等同好坏。</x:v>
      </x:c>
      <x:c r="S174" s="76" t="str">
        <x:v>原十神性质有效；真合化成立时按化神系统替换。</x:v>
      </x:c>
      <x:c r="T174" s="76" t="str">
        <x:v>由共享基础引擎判定</x:v>
      </x:c>
      <x:c r="U174" s="76" t="str">
        <x:v>80</x:v>
      </x:c>
      <x:c r="V174" s="76" t="str">
        <x:v>执行置信修正±2</x:v>
      </x:c>
      <x:c r="W174" s="76" t="str">
        <x:v>self_strength_status</x:v>
      </x:c>
      <x:c r="X174" s="76" t="str">
        <x:v>日主承载修正功能能否稳定执行，不等同强势、软弱、独立或依赖。</x:v>
      </x:c>
      <x:c r="Y174" s="76" t="str">
        <x:v>你的承载状态会影响某项反应能否持续执行，但不会被直接翻译成有无主见或人格好坏。</x:v>
      </x:c>
      <x:c r="Z17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4" s="76" t="str">
        <x:v>中</x:v>
      </x:c>
      <x:c r="AB174" s="76" t="str">
        <x:v>待验证</x:v>
      </x:c>
      <x:c r="AC174" s="76" t="str"/>
      <x:c r="AD174" s="76" t="str">
        <x:v>provisional=true; rule_group=BASE-状态修正; state=日主承载</x:v>
      </x:c>
      <x:c r="AE174" s="82" t="str">
        <x:v>0.2</x:v>
      </x:c>
    </x:row>
    <x:row r="175">
      <x:c r="A175" s="81" t="str">
        <x:v>M4-BASE-171</x:v>
      </x:c>
      <x:c r="B175" s="76" t="str">
        <x:v>夫妻星状态｜只作关系议题接口</x:v>
      </x:c>
      <x:c r="C175" s="76" t="str">
        <x:v>L4 状态与位置修正</x:v>
      </x:c>
      <x:c r="D175" s="76" t="str">
        <x:v>BASE-状态修正</x:v>
      </x:c>
      <x:c r="E175" s="76" t="str">
        <x:v>通用</x:v>
      </x:c>
      <x:c r="F175" s="76" t="str">
        <x:v>跨模型修正</x:v>
      </x:c>
      <x:c r="G175" s="76" t="str">
        <x:v>夫妻星状态</x:v>
      </x:c>
      <x:c r="H175" s="76" t="str"/>
      <x:c r="I175" s="76" t="str">
        <x:v>夫妻星与M2资格证据／M3关系功能存在可靠接口。</x:v>
      </x:c>
      <x:c r="J175" s="76" t="str">
        <x:v>仅凭夫妻星旺弱生成盲点。</x:v>
      </x:c>
      <x:c r="K175" s="76" t="str">
        <x:v>由共享基础引擎提供；只修正承载与执行，不直接等同强弱人格。</x:v>
      </x:c>
      <x:c r="L175" s="76" t="str">
        <x:v>由M2接口提供；夫妻星只参与关系议题权重，不单独生成盲点。</x:v>
      </x:c>
      <x:c r="M175" s="76" t="str">
        <x:v>由M3-BASE与共享引擎提供；不得把日支直接写成配偶性格。</x:v>
      </x:c>
      <x:c r="N175" s="76" t="str">
        <x:v>无／待后续规则组合</x:v>
      </x:c>
      <x:c r="O175" s="76" t="str">
        <x:v>由共享基础引擎判定</x:v>
      </x:c>
      <x:c r="P175" s="76" t="str">
        <x:v>由共享基础引擎判定</x:v>
      </x:c>
      <x:c r="Q175" s="76" t="str">
        <x:v>由共享基础引擎判定</x:v>
      </x:c>
      <x:c r="R175" s="76" t="str">
        <x:v>喜忌只修正调用摩擦与平衡，不直接等同好坏。</x:v>
      </x:c>
      <x:c r="S175" s="76" t="str">
        <x:v>原十神性质有效；真合化成立时按化神系统替换。</x:v>
      </x:c>
      <x:c r="T175" s="76" t="str">
        <x:v>由共享基础引擎判定</x:v>
      </x:c>
      <x:c r="U175" s="76" t="str">
        <x:v>84</x:v>
      </x:c>
      <x:c r="V175" s="76" t="str">
        <x:v>相关性+2；不得单独成立</x:v>
      </x:c>
      <x:c r="W175" s="76" t="str">
        <x:v>spouse_star_status</x:v>
      </x:c>
      <x:c r="X175" s="76" t="str">
        <x:v>夫妻星可提高特定关系议题相关性，但不能单独证明误判或失衡。</x:v>
      </x:c>
      <x:c r="Y175" s="76" t="str">
        <x:v>夫妻星只说明某类伴侣证据和关系任务更重要，不会单独变成关系盲点。</x:v>
      </x:c>
      <x:c r="Z17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5" s="76" t="str">
        <x:v>中</x:v>
      </x:c>
      <x:c r="AB175" s="76" t="str">
        <x:v>待验证</x:v>
      </x:c>
      <x:c r="AC175" s="76" t="str"/>
      <x:c r="AD175" s="76" t="str">
        <x:v>provisional=true; rule_group=BASE-状态修正; state=夫妻星状态</x:v>
      </x:c>
      <x:c r="AE175" s="82" t="str">
        <x:v>0.2</x:v>
      </x:c>
    </x:row>
    <x:row r="176">
      <x:c r="A176" s="81" t="str">
        <x:v>M4-BASE-172</x:v>
      </x:c>
      <x:c r="B176" s="76" t="str">
        <x:v>日支主气｜基础功能高权重</x:v>
      </x:c>
      <x:c r="C176" s="76" t="str">
        <x:v>L4 状态与位置修正</x:v>
      </x:c>
      <x:c r="D176" s="76" t="str">
        <x:v>BASE-状态修正</x:v>
      </x:c>
      <x:c r="E176" s="76" t="str">
        <x:v>通用</x:v>
      </x:c>
      <x:c r="F176" s="76" t="str">
        <x:v>位置修正</x:v>
      </x:c>
      <x:c r="G176" s="76" t="str">
        <x:v>日支主气</x:v>
      </x:c>
      <x:c r="H176" s="76" t="str"/>
      <x:c r="I176" s="76" t="str">
        <x:v>日支主气十神可靠，原性质有效，M3-BASE对应功能成立。</x:v>
      </x:c>
      <x:c r="J176" s="76" t="str">
        <x:v>真合化替换；主气未定。</x:v>
      </x:c>
      <x:c r="K176" s="76" t="str">
        <x:v>由共享基础引擎提供；只修正承载与执行，不直接等同强弱人格。</x:v>
      </x:c>
      <x:c r="L176" s="76" t="str">
        <x:v>由M2接口提供；夫妻星只参与关系议题权重，不单独生成盲点。</x:v>
      </x:c>
      <x:c r="M176" s="76" t="str">
        <x:v>由M3-BASE与共享引擎提供；不得把日支直接写成配偶性格。</x:v>
      </x:c>
      <x:c r="N176" s="76" t="str">
        <x:v>无／待后续规则组合</x:v>
      </x:c>
      <x:c r="O176" s="76" t="str">
        <x:v>由共享基础引擎判定</x:v>
      </x:c>
      <x:c r="P176" s="76" t="str">
        <x:v>由共享基础引擎判定</x:v>
      </x:c>
      <x:c r="Q176" s="76" t="str">
        <x:v>由共享基础引擎判定</x:v>
      </x:c>
      <x:c r="R176" s="76" t="str">
        <x:v>喜忌只修正调用摩擦与平衡，不直接等同好坏。</x:v>
      </x:c>
      <x:c r="S176" s="76" t="str">
        <x:v>原十神性质有效；真合化成立时按化神系统替换。</x:v>
      </x:c>
      <x:c r="T176" s="76" t="str">
        <x:v>由共享基础引擎判定</x:v>
      </x:c>
      <x:c r="U176" s="76" t="str">
        <x:v>88</x:v>
      </x:c>
      <x:c r="V176" s="76" t="str">
        <x:v>functional_origin +12</x:v>
      </x:c>
      <x:c r="W176" s="76" t="str">
        <x:v>functional_origin</x:v>
      </x:c>
      <x:c r="X176" s="76" t="str">
        <x:v>日支主气是亲密关系功能来源的高权重证据，但盲点仍需失衡与独立修正。</x:v>
      </x:c>
      <x:c r="Y176" s="76" t="str">
        <x:v>日支主气更容易进入长期亲密关系，但不能仅凭它判断问题。</x:v>
      </x:c>
      <x:c r="Z17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6" s="76" t="str">
        <x:v>中高</x:v>
      </x:c>
      <x:c r="AB176" s="76" t="str">
        <x:v>待验证</x:v>
      </x:c>
      <x:c r="AC176" s="76" t="str"/>
      <x:c r="AD176" s="76" t="str">
        <x:v>provisional=true; rule_group=BASE-状态修正; state=日支主气</x:v>
      </x:c>
      <x:c r="AE176" s="82" t="str">
        <x:v>0.2</x:v>
      </x:c>
    </x:row>
    <x:row r="177">
      <x:c r="A177" s="81" t="str">
        <x:v>M4-BASE-173</x:v>
      </x:c>
      <x:c r="B177" s="76" t="str">
        <x:v>日支中气｜第二通道候选</x:v>
      </x:c>
      <x:c r="C177" s="76" t="str">
        <x:v>L4 状态与位置修正</x:v>
      </x:c>
      <x:c r="D177" s="76" t="str">
        <x:v>BASE-状态修正</x:v>
      </x:c>
      <x:c r="E177" s="76" t="str">
        <x:v>通用</x:v>
      </x:c>
      <x:c r="F177" s="76" t="str">
        <x:v>位置修正</x:v>
      </x:c>
      <x:c r="G177" s="76" t="str">
        <x:v>日支中气</x:v>
      </x:c>
      <x:c r="H177" s="76" t="str"/>
      <x:c r="I177" s="76" t="str">
        <x:v>中气有效、有根或被透出；功能不同于主气。</x:v>
      </x:c>
      <x:c r="J177" s="76" t="str">
        <x:v>弱远无根；与主气同系统同义重复。</x:v>
      </x:c>
      <x:c r="K177" s="76" t="str">
        <x:v>由共享基础引擎提供；只修正承载与执行，不直接等同强弱人格。</x:v>
      </x:c>
      <x:c r="L177" s="76" t="str">
        <x:v>由M2接口提供；夫妻星只参与关系议题权重，不单独生成盲点。</x:v>
      </x:c>
      <x:c r="M177" s="76" t="str">
        <x:v>由M3-BASE与共享引擎提供；不得把日支直接写成配偶性格。</x:v>
      </x:c>
      <x:c r="N177" s="76" t="str">
        <x:v>无／待后续规则组合</x:v>
      </x:c>
      <x:c r="O177" s="76" t="str">
        <x:v>由共享基础引擎判定</x:v>
      </x:c>
      <x:c r="P177" s="76" t="str">
        <x:v>由共享基础引擎判定</x:v>
      </x:c>
      <x:c r="Q177" s="76" t="str">
        <x:v>由共享基础引擎判定</x:v>
      </x:c>
      <x:c r="R177" s="76" t="str">
        <x:v>喜忌只修正调用摩擦与平衡，不直接等同好坏。</x:v>
      </x:c>
      <x:c r="S177" s="76" t="str">
        <x:v>原十神性质有效；真合化成立时按化神系统替换。</x:v>
      </x:c>
      <x:c r="T177" s="76" t="str">
        <x:v>由共享基础引擎判定</x:v>
      </x:c>
      <x:c r="U177" s="76" t="str">
        <x:v>76</x:v>
      </x:c>
      <x:c r="V177" s="76" t="str">
        <x:v>候选 +6；独立时可升级</x:v>
      </x:c>
      <x:c r="W177" s="76" t="str">
        <x:v>secondary_signal</x:v>
      </x:c>
      <x:c r="X177" s="76" t="str">
        <x:v>中气可提供第二功能或调节候选，不能自动与主气并列。</x:v>
      </x:c>
      <x:c r="Y177" s="76" t="str">
        <x:v>日支中气可能是第二处理通道或调节条件，需要看它是否真正有力。</x:v>
      </x:c>
      <x:c r="Z17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7" s="76" t="str">
        <x:v>中</x:v>
      </x:c>
      <x:c r="AB177" s="76" t="str">
        <x:v>待验证</x:v>
      </x:c>
      <x:c r="AC177" s="76" t="str"/>
      <x:c r="AD177" s="76" t="str">
        <x:v>provisional=true; rule_group=BASE-状态修正; state=日支中气</x:v>
      </x:c>
      <x:c r="AE177" s="82" t="str">
        <x:v>0.2</x:v>
      </x:c>
    </x:row>
    <x:row r="178">
      <x:c r="A178" s="81" t="str">
        <x:v>M4-BASE-174</x:v>
      </x:c>
      <x:c r="B178" s="76" t="str">
        <x:v>日支余气｜背景候选</x:v>
      </x:c>
      <x:c r="C178" s="76" t="str">
        <x:v>L4 状态与位置修正</x:v>
      </x:c>
      <x:c r="D178" s="76" t="str">
        <x:v>BASE-状态修正</x:v>
      </x:c>
      <x:c r="E178" s="76" t="str">
        <x:v>通用</x:v>
      </x:c>
      <x:c r="F178" s="76" t="str">
        <x:v>位置修正</x:v>
      </x:c>
      <x:c r="G178" s="76" t="str">
        <x:v>日支余气</x:v>
      </x:c>
      <x:c r="H178" s="76" t="str"/>
      <x:c r="I178" s="76" t="str">
        <x:v>余气性质可靠。</x:v>
      </x:c>
      <x:c r="J178" s="76" t="str">
        <x:v>余气被错误提升为主气；真合化后失效。</x:v>
      </x:c>
      <x:c r="K178" s="76" t="str">
        <x:v>由共享基础引擎提供；只修正承载与执行，不直接等同强弱人格。</x:v>
      </x:c>
      <x:c r="L178" s="76" t="str">
        <x:v>由M2接口提供；夫妻星只参与关系议题权重，不单独生成盲点。</x:v>
      </x:c>
      <x:c r="M178" s="76" t="str">
        <x:v>由M3-BASE与共享引擎提供；不得把日支直接写成配偶性格。</x:v>
      </x:c>
      <x:c r="N178" s="76" t="str">
        <x:v>无／待后续规则组合</x:v>
      </x:c>
      <x:c r="O178" s="76" t="str">
        <x:v>由共享基础引擎判定</x:v>
      </x:c>
      <x:c r="P178" s="76" t="str">
        <x:v>由共享基础引擎判定</x:v>
      </x:c>
      <x:c r="Q178" s="76" t="str">
        <x:v>由共享基础引擎判定</x:v>
      </x:c>
      <x:c r="R178" s="76" t="str">
        <x:v>喜忌只修正调用摩擦与平衡，不直接等同好坏。</x:v>
      </x:c>
      <x:c r="S178" s="76" t="str">
        <x:v>原十神性质有效；真合化成立时按化神系统替换。</x:v>
      </x:c>
      <x:c r="T178" s="76" t="str">
        <x:v>由共享基础引擎判定</x:v>
      </x:c>
      <x:c r="U178" s="76" t="str">
        <x:v>74</x:v>
      </x:c>
      <x:c r="V178" s="76" t="str">
        <x:v>候选 +3；封顶低</x:v>
      </x:c>
      <x:c r="W178" s="76" t="str">
        <x:v>secondary_signal</x:v>
      </x:c>
      <x:c r="X178" s="76" t="str">
        <x:v>余气通常只做背景、潜在或特定压力下的备用通道。</x:v>
      </x:c>
      <x:c r="Y178" s="76" t="str">
        <x:v>这项信号更适合作为背景，不宜单独写成核心盲点。</x:v>
      </x:c>
      <x:c r="Z17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8" s="76" t="str">
        <x:v>中</x:v>
      </x:c>
      <x:c r="AB178" s="76" t="str">
        <x:v>待验证</x:v>
      </x:c>
      <x:c r="AC178" s="76" t="str"/>
      <x:c r="AD178" s="76" t="str">
        <x:v>provisional=true; rule_group=BASE-状态修正; state=日支余气</x:v>
      </x:c>
      <x:c r="AE178" s="82" t="str">
        <x:v>0.2</x:v>
      </x:c>
    </x:row>
    <x:row r="179">
      <x:c r="A179" s="81" t="str">
        <x:v>M4-BASE-175</x:v>
      </x:c>
      <x:c r="B179" s="76" t="str">
        <x:v>阶段覆盖｜只生成触发修正</x:v>
      </x:c>
      <x:c r="C179" s="76" t="str">
        <x:v>L4 状态与位置修正</x:v>
      </x:c>
      <x:c r="D179" s="76" t="str">
        <x:v>BASE-状态修正</x:v>
      </x:c>
      <x:c r="E179" s="76" t="str">
        <x:v>通用</x:v>
      </x:c>
      <x:c r="F179" s="76" t="str">
        <x:v>阶段修正</x:v>
      </x:c>
      <x:c r="G179" s="76" t="str">
        <x:v>大运流年引动</x:v>
      </x:c>
      <x:c r="H179" s="76" t="str"/>
      <x:c r="I179" s="76" t="str">
        <x:v>阶段信号明确引动原局功能或宫位动态。</x:v>
      </x:c>
      <x:c r="J179" s="76" t="str">
        <x:v>将阶段信号写成终身固定模式。</x:v>
      </x:c>
      <x:c r="K179" s="76" t="str">
        <x:v>由共享基础引擎提供；只修正承载与执行，不直接等同强弱人格。</x:v>
      </x:c>
      <x:c r="L179" s="76" t="str">
        <x:v>由M2接口提供；夫妻星只参与关系议题权重，不单独生成盲点。</x:v>
      </x:c>
      <x:c r="M179" s="76" t="str">
        <x:v>由M3-BASE与共享引擎提供；不得把日支直接写成配偶性格。</x:v>
      </x:c>
      <x:c r="N179" s="76" t="str">
        <x:v>无／待后续规则组合</x:v>
      </x:c>
      <x:c r="O179" s="76" t="str">
        <x:v>由共享基础引擎判定</x:v>
      </x:c>
      <x:c r="P179" s="76" t="str">
        <x:v>由共享基础引擎判定</x:v>
      </x:c>
      <x:c r="Q179" s="76" t="str">
        <x:v>由共享基础引擎判定</x:v>
      </x:c>
      <x:c r="R179" s="76" t="str">
        <x:v>喜忌只修正调用摩擦与平衡，不直接等同好坏。</x:v>
      </x:c>
      <x:c r="S179" s="76" t="str">
        <x:v>原十神性质有效；真合化成立时按化神系统替换。</x:v>
      </x:c>
      <x:c r="T179" s="76" t="str">
        <x:v>由共享基础引擎判定</x:v>
      </x:c>
      <x:c r="U179" s="76" t="str">
        <x:v>82</x:v>
      </x:c>
      <x:c r="V179" s="76" t="str">
        <x:v>trigger +3；另记时间来源</x:v>
      </x:c>
      <x:c r="W179" s="76" t="str">
        <x:v>activation_trigger</x:v>
      </x:c>
      <x:c r="X179" s="76" t="str">
        <x:v>阶段覆盖可以提高某一候选的启动概率，但不改变原局功能来源。</x:v>
      </x:c>
      <x:c r="Y179" s="76" t="str">
        <x:v>某个阶段可能让这项反应更容易被启动，但不代表你长期一直如此。</x:v>
      </x:c>
      <x:c r="Z17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79" s="76" t="str">
        <x:v>中</x:v>
      </x:c>
      <x:c r="AB179" s="76" t="str">
        <x:v>待验证</x:v>
      </x:c>
      <x:c r="AC179" s="76" t="str"/>
      <x:c r="AD179" s="76" t="str">
        <x:v>provisional=true; rule_group=BASE-状态修正; state=大运流年引动</x:v>
      </x:c>
      <x:c r="AE179" s="82" t="str">
        <x:v>0.2</x:v>
      </x:c>
    </x:row>
    <x:row r="180">
      <x:c r="A180" s="81" t="str">
        <x:v>M4-BASE-176</x:v>
      </x:c>
      <x:c r="B180" s="76" t="str">
        <x:v>原局与阶段一致｜提高启动候选</x:v>
      </x:c>
      <x:c r="C180" s="76" t="str">
        <x:v>L4 状态与位置修正</x:v>
      </x:c>
      <x:c r="D180" s="76" t="str">
        <x:v>BASE-状态修正</x:v>
      </x:c>
      <x:c r="E180" s="76" t="str">
        <x:v>通用</x:v>
      </x:c>
      <x:c r="F180" s="76" t="str">
        <x:v>阶段修正</x:v>
      </x:c>
      <x:c r="G180" s="76" t="str">
        <x:v>原局＋阶段同向</x:v>
      </x:c>
      <x:c r="H180" s="76" t="str"/>
      <x:c r="I180" s="76" t="str">
        <x:v>原局已有E1候选；阶段信号同向引动；来源时间分开记录。</x:v>
      </x:c>
      <x:c r="J180" s="76" t="str">
        <x:v>只有阶段信号而原局无基础；同源重复。</x:v>
      </x:c>
      <x:c r="K180" s="76" t="str">
        <x:v>由共享基础引擎提供；只修正承载与执行，不直接等同强弱人格。</x:v>
      </x:c>
      <x:c r="L180" s="76" t="str">
        <x:v>由M2接口提供；夫妻星只参与关系议题权重，不单独生成盲点。</x:v>
      </x:c>
      <x:c r="M180" s="76" t="str">
        <x:v>由M3-BASE与共享引擎提供；不得把日支直接写成配偶性格。</x:v>
      </x:c>
      <x:c r="N180" s="76" t="str">
        <x:v>无／待后续规则组合</x:v>
      </x:c>
      <x:c r="O180" s="76" t="str">
        <x:v>由共享基础引擎判定</x:v>
      </x:c>
      <x:c r="P180" s="76" t="str">
        <x:v>由共享基础引擎判定</x:v>
      </x:c>
      <x:c r="Q180" s="76" t="str">
        <x:v>由共享基础引擎判定</x:v>
      </x:c>
      <x:c r="R180" s="76" t="str">
        <x:v>喜忌只修正调用摩擦与平衡，不直接等同好坏。</x:v>
      </x:c>
      <x:c r="S180" s="76" t="str">
        <x:v>原十神性质有效；真合化成立时按化神系统替换。</x:v>
      </x:c>
      <x:c r="T180" s="76" t="str">
        <x:v>由共享基础引擎判定</x:v>
      </x:c>
      <x:c r="U180" s="76" t="str">
        <x:v>80</x:v>
      </x:c>
      <x:c r="V180" s="76" t="str">
        <x:v>E2候选 +3</x:v>
      </x:c>
      <x:c r="W180" s="76" t="str">
        <x:v>activation_trigger</x:v>
      </x:c>
      <x:c r="X180" s="76" t="str">
        <x:v>同向阶段可提高E2启动候选，但不能直接升级E3循环。</x:v>
      </x:c>
      <x:c r="Y180" s="76" t="str">
        <x:v>当阶段性压力与原有结构同向时，这种反应更容易暂时被放大。</x:v>
      </x:c>
      <x:c r="Z18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0" s="76" t="str">
        <x:v>中</x:v>
      </x:c>
      <x:c r="AB180" s="76" t="str">
        <x:v>待验证</x:v>
      </x:c>
      <x:c r="AC180" s="76" t="str"/>
      <x:c r="AD180" s="76" t="str">
        <x:v>provisional=true; rule_group=BASE-状态修正; state=原局＋阶段同向</x:v>
      </x:c>
      <x:c r="AE180" s="82" t="str">
        <x:v>0.2</x:v>
      </x:c>
    </x:row>
    <x:row r="181">
      <x:c r="A181" s="81" t="str">
        <x:v>M4-BASE-177</x:v>
      </x:c>
      <x:c r="B181" s="76" t="str">
        <x:v>现实行为支持｜允许升级结构证据</x:v>
      </x:c>
      <x:c r="C181" s="76" t="str">
        <x:v>L4 状态与位置修正</x:v>
      </x:c>
      <x:c r="D181" s="76" t="str">
        <x:v>BASE-状态修正</x:v>
      </x:c>
      <x:c r="E181" s="76" t="str">
        <x:v>通用</x:v>
      </x:c>
      <x:c r="F181" s="76" t="str">
        <x:v>案例修正</x:v>
      </x:c>
      <x:c r="G181" s="76" t="str">
        <x:v>现实行为</x:v>
      </x:c>
      <x:c r="H181" s="76" t="str"/>
      <x:c r="I181" s="76" t="str">
        <x:v>至少一项具体事件清楚支持功能过用、不足、替代或卡点。</x:v>
      </x:c>
      <x:c r="J181" s="76" t="str">
        <x:v>仅为抽象自我评价；事件与规则不匹配。</x:v>
      </x:c>
      <x:c r="K181" s="76" t="str">
        <x:v>由共享基础引擎提供；只修正承载与执行，不直接等同强弱人格。</x:v>
      </x:c>
      <x:c r="L181" s="76" t="str">
        <x:v>由M2接口提供；夫妻星只参与关系议题权重，不单独生成盲点。</x:v>
      </x:c>
      <x:c r="M181" s="76" t="str">
        <x:v>由M3-BASE与共享引擎提供；不得把日支直接写成配偶性格。</x:v>
      </x:c>
      <x:c r="N181" s="76" t="str">
        <x:v>无／待后续规则组合</x:v>
      </x:c>
      <x:c r="O181" s="76" t="str">
        <x:v>由共享基础引擎判定</x:v>
      </x:c>
      <x:c r="P181" s="76" t="str">
        <x:v>由共享基础引擎判定</x:v>
      </x:c>
      <x:c r="Q181" s="76" t="str">
        <x:v>由共享基础引擎判定</x:v>
      </x:c>
      <x:c r="R181" s="76" t="str">
        <x:v>喜忌只修正调用摩擦与平衡，不直接等同好坏。</x:v>
      </x:c>
      <x:c r="S181" s="76" t="str">
        <x:v>原十神性质有效；真合化成立时按化神系统替换。</x:v>
      </x:c>
      <x:c r="T181" s="76" t="str">
        <x:v>由共享基础引擎判定</x:v>
      </x:c>
      <x:c r="U181" s="76" t="str">
        <x:v>86</x:v>
      </x:c>
      <x:c r="V181" s="76" t="str">
        <x:v>证据 +6</x:v>
      </x:c>
      <x:c r="W181" s="76" t="str">
        <x:v>evidence_level</x:v>
      </x:c>
      <x:c r="X181" s="76" t="str">
        <x:v>现实行为可提高E1/E2置信，但BASE仍不独立建立完整循环。</x:v>
      </x:c>
      <x:c r="Y181" s="76" t="str">
        <x:v>若具体经历显示这一顺序确实发生过，候选会更可靠。</x:v>
      </x:c>
      <x:c r="Z18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1" s="76" t="str">
        <x:v>中高</x:v>
      </x:c>
      <x:c r="AB181" s="76" t="str">
        <x:v>待验证</x:v>
      </x:c>
      <x:c r="AC181" s="76" t="str"/>
      <x:c r="AD181" s="76" t="str">
        <x:v>provisional=true; rule_group=BASE-状态修正; state=现实行为</x:v>
      </x:c>
      <x:c r="AE181" s="82" t="str">
        <x:v>0.2</x:v>
      </x:c>
    </x:row>
    <x:row r="182">
      <x:c r="A182" s="81" t="str">
        <x:v>M4-BASE-178</x:v>
      </x:c>
      <x:c r="B182" s="76" t="str">
        <x:v>现实反例｜降权或停止</x:v>
      </x:c>
      <x:c r="C182" s="76" t="str">
        <x:v>L4 状态与位置修正</x:v>
      </x:c>
      <x:c r="D182" s="76" t="str">
        <x:v>BASE-状态修正</x:v>
      </x:c>
      <x:c r="E182" s="76" t="str">
        <x:v>通用</x:v>
      </x:c>
      <x:c r="F182" s="76" t="str">
        <x:v>案例修正</x:v>
      </x:c>
      <x:c r="G182" s="76" t="str">
        <x:v>明确反例</x:v>
      </x:c>
      <x:c r="H182" s="76" t="str"/>
      <x:c r="I182" s="76" t="str">
        <x:v>有具体关系事件显示该功能在压力下仍能被有效调节，或候选长期不出现。</x:v>
      </x:c>
      <x:c r="J182" s="76" t="str"/>
      <x:c r="K182" s="76" t="str">
        <x:v>由共享基础引擎提供；只修正承载与执行，不直接等同强弱人格。</x:v>
      </x:c>
      <x:c r="L182" s="76" t="str">
        <x:v>由M2接口提供；夫妻星只参与关系议题权重，不单独生成盲点。</x:v>
      </x:c>
      <x:c r="M182" s="76" t="str">
        <x:v>由M3-BASE与共享引擎提供；不得把日支直接写成配偶性格。</x:v>
      </x:c>
      <x:c r="N182" s="76" t="str">
        <x:v>无／待后续规则组合</x:v>
      </x:c>
      <x:c r="O182" s="76" t="str">
        <x:v>由共享基础引擎判定</x:v>
      </x:c>
      <x:c r="P182" s="76" t="str">
        <x:v>由共享基础引擎判定</x:v>
      </x:c>
      <x:c r="Q182" s="76" t="str">
        <x:v>由共享基础引擎判定</x:v>
      </x:c>
      <x:c r="R182" s="76" t="str">
        <x:v>喜忌只修正调用摩擦与平衡，不直接等同好坏。</x:v>
      </x:c>
      <x:c r="S182" s="76" t="str">
        <x:v>原十神性质有效；真合化成立时按化神系统替换。</x:v>
      </x:c>
      <x:c r="T182" s="76" t="str">
        <x:v>由共享基础引擎判定</x:v>
      </x:c>
      <x:c r="U182" s="76" t="str">
        <x:v>96</x:v>
      </x:c>
      <x:c r="V182" s="76" t="str">
        <x:v>−10或STOP</x:v>
      </x:c>
      <x:c r="W182" s="76" t="str">
        <x:v>evidence_level</x:v>
      </x:c>
      <x:c r="X182" s="76" t="str">
        <x:v>反例必须真实扣分，不能为了保留模型忽略。</x:v>
      </x:c>
      <x:c r="Y182" s="76" t="str">
        <x:v>若现实经历持续显示你能完成相反的调节步骤，这一候选应明显降级或停止。</x:v>
      </x:c>
      <x:c r="Z18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2" s="76" t="str">
        <x:v>高</x:v>
      </x:c>
      <x:c r="AB182" s="76" t="str">
        <x:v>待验证</x:v>
      </x:c>
      <x:c r="AC182" s="76" t="str"/>
      <x:c r="AD182" s="76" t="str">
        <x:v>provisional=true; rule_group=BASE-状态修正; state=明确反例</x:v>
      </x:c>
      <x:c r="AE182" s="82" t="str">
        <x:v>0.2</x:v>
      </x:c>
    </x:row>
    <x:row r="183">
      <x:c r="A183" s="81" t="str">
        <x:v>M4-BASE-179</x:v>
      </x:c>
      <x:c r="B183" s="76" t="str">
        <x:v>对方反馈未知｜不得扩写循环</x:v>
      </x:c>
      <x:c r="C183" s="76" t="str">
        <x:v>L4 状态与位置修正</x:v>
      </x:c>
      <x:c r="D183" s="76" t="str">
        <x:v>BASE-状态修正</x:v>
      </x:c>
      <x:c r="E183" s="76" t="str">
        <x:v>通用</x:v>
      </x:c>
      <x:c r="F183" s="76" t="str">
        <x:v>边界</x:v>
      </x:c>
      <x:c r="G183" s="76" t="str">
        <x:v>对方反馈缺失</x:v>
      </x:c>
      <x:c r="H183" s="76" t="str"/>
      <x:c r="I183" s="76" t="str">
        <x:v>只有命主自述或命盘结构，没有对方真实反馈。</x:v>
      </x:c>
      <x:c r="J183" s="76" t="str"/>
      <x:c r="K183" s="76" t="str">
        <x:v>由共享基础引擎提供；只修正承载与执行，不直接等同强弱人格。</x:v>
      </x:c>
      <x:c r="L183" s="76" t="str">
        <x:v>由M2接口提供；夫妻星只参与关系议题权重，不单独生成盲点。</x:v>
      </x:c>
      <x:c r="M183" s="76" t="str">
        <x:v>由M3-BASE与共享引擎提供；不得把日支直接写成配偶性格。</x:v>
      </x:c>
      <x:c r="N183" s="76" t="str">
        <x:v>无／待后续规则组合</x:v>
      </x:c>
      <x:c r="O183" s="76" t="str">
        <x:v>由共享基础引擎判定</x:v>
      </x:c>
      <x:c r="P183" s="76" t="str">
        <x:v>由共享基础引擎判定</x:v>
      </x:c>
      <x:c r="Q183" s="76" t="str">
        <x:v>由共享基础引擎判定</x:v>
      </x:c>
      <x:c r="R183" s="76" t="str">
        <x:v>喜忌只修正调用摩擦与平衡，不直接等同好坏。</x:v>
      </x:c>
      <x:c r="S183" s="76" t="str">
        <x:v>原十神性质有效；真合化成立时按化神系统替换。</x:v>
      </x:c>
      <x:c r="T183" s="76" t="str">
        <x:v>由共享基础引擎判定</x:v>
      </x:c>
      <x:c r="U183" s="76" t="str">
        <x:v>95</x:v>
      </x:c>
      <x:c r="V183" s="76" t="str">
        <x:v>封顶E2</x:v>
      </x:c>
      <x:c r="W183" s="76" t="str">
        <x:v>evidence_level</x:v>
      </x:c>
      <x:c r="X183" s="76" t="str">
        <x:v>BASE最多输出E1/E2，不得假设对方一定防御、撤退、控制或反弹。</x:v>
      </x:c>
      <x:c r="Y183" s="76" t="str">
        <x:v>目前只能说明你的可能起点，不能替对方写出固定反应。</x:v>
      </x:c>
      <x:c r="Z18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3" s="76" t="str">
        <x:v>高</x:v>
      </x:c>
      <x:c r="AB183" s="76" t="str">
        <x:v>待验证</x:v>
      </x:c>
      <x:c r="AC183" s="76" t="str"/>
      <x:c r="AD183" s="76" t="str">
        <x:v>provisional=true; rule_group=BASE-状态修正; state=对方反馈缺失</x:v>
      </x:c>
      <x:c r="AE183" s="82" t="str">
        <x:v>0.2</x:v>
      </x:c>
    </x:row>
    <x:row r="184">
      <x:c r="A184" s="81" t="str">
        <x:v>M4-BASE-180</x:v>
      </x:c>
      <x:c r="B184" s="76" t="str">
        <x:v>同源去重日志｜必须记录source_id</x:v>
      </x:c>
      <x:c r="C184" s="76" t="str">
        <x:v>L4 状态与位置修正</x:v>
      </x:c>
      <x:c r="D184" s="76" t="str">
        <x:v>BASE-状态修正</x:v>
      </x:c>
      <x:c r="E184" s="76" t="str">
        <x:v>通用</x:v>
      </x:c>
      <x:c r="F184" s="76" t="str">
        <x:v>去重</x:v>
      </x:c>
      <x:c r="G184" s="76" t="str">
        <x:v>source_id日志</x:v>
      </x:c>
      <x:c r="H184" s="76" t="str"/>
      <x:c r="I184" s="76" t="str">
        <x:v>任何规则产生加分、减分、封顶或停止。</x:v>
      </x:c>
      <x:c r="J184" s="76" t="str"/>
      <x:c r="K184" s="76" t="str">
        <x:v>由共享基础引擎提供；只修正承载与执行，不直接等同强弱人格。</x:v>
      </x:c>
      <x:c r="L184" s="76" t="str">
        <x:v>由M2接口提供；夫妻星只参与关系议题权重，不单独生成盲点。</x:v>
      </x:c>
      <x:c r="M184" s="76" t="str">
        <x:v>由M3-BASE与共享引擎提供；不得把日支直接写成配偶性格。</x:v>
      </x:c>
      <x:c r="N184" s="76" t="str">
        <x:v>无／待后续规则组合</x:v>
      </x:c>
      <x:c r="O184" s="76" t="str">
        <x:v>由共享基础引擎判定</x:v>
      </x:c>
      <x:c r="P184" s="76" t="str">
        <x:v>由共享基础引擎判定</x:v>
      </x:c>
      <x:c r="Q184" s="76" t="str">
        <x:v>由共享基础引擎判定</x:v>
      </x:c>
      <x:c r="R184" s="76" t="str">
        <x:v>喜忌只修正调用摩擦与平衡，不直接等同好坏。</x:v>
      </x:c>
      <x:c r="S184" s="76" t="str">
        <x:v>原十神性质有效；真合化成立时按化神系统替换。</x:v>
      </x:c>
      <x:c r="T184" s="76" t="str">
        <x:v>由共享基础引擎判定</x:v>
      </x:c>
      <x:c r="U184" s="76" t="str">
        <x:v>94</x:v>
      </x:c>
      <x:c r="V184" s="76" t="str">
        <x:v>强制记录</x:v>
      </x:c>
      <x:c r="W184" s="76" t="str">
        <x:v>dedup_log</x:v>
      </x:c>
      <x:c r="X184" s="76" t="str">
        <x:v>所有来源必须写入notes／dedup_log，便于开发和案例追溯。</x:v>
      </x:c>
      <x:c r="Y184" s="76" t="str">
        <x:v>每个判断都应能追溯到具体命理事实或现实事件，避免同一信号被重复解释。</x:v>
      </x:c>
      <x:c r="Z18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4" s="76" t="str">
        <x:v>高</x:v>
      </x:c>
      <x:c r="AB184" s="76" t="str">
        <x:v>待验证</x:v>
      </x:c>
      <x:c r="AC184" s="76" t="str"/>
      <x:c r="AD184" s="76" t="str">
        <x:v>provisional=true; rule_group=BASE-状态修正; state=source_id日志</x:v>
      </x:c>
      <x:c r="AE184" s="82" t="str">
        <x:v>0.2</x:v>
      </x:c>
    </x:row>
    <x:row r="185">
      <x:c r="A185" s="81" t="str">
        <x:v>M4-BASE-181</x:v>
      </x:c>
      <x:c r="B185" s="76" t="str">
        <x:v>日支主气｜关系功能来源主轴</x:v>
      </x:c>
      <x:c r="C185" s="76" t="str">
        <x:v>L5 宫位层级与动态</x:v>
      </x:c>
      <x:c r="D185" s="76" t="str">
        <x:v>BASE-宫位层级</x:v>
      </x:c>
      <x:c r="E185" s="76" t="str">
        <x:v>通用</x:v>
      </x:c>
      <x:c r="F185" s="76" t="str">
        <x:v>基础</x:v>
      </x:c>
      <x:c r="G185" s="76" t="str">
        <x:v>日支主气</x:v>
      </x:c>
      <x:c r="H185" s="76" t="str"/>
      <x:c r="I185" s="76" t="str">
        <x:v>日支主气十神可靠、原性质有效、M3-BASE对应底盘成立。</x:v>
      </x:c>
      <x:c r="J185" s="76" t="str">
        <x:v>主气未定、真合化替换或基础排盘争议。</x:v>
      </x:c>
      <x:c r="K185" s="76" t="str">
        <x:v>由共享基础引擎提供；只修正承载与执行，不直接等同强弱人格。</x:v>
      </x:c>
      <x:c r="L185" s="76" t="str">
        <x:v>由M2接口提供；夫妻星只参与关系议题权重，不单独生成盲点。</x:v>
      </x:c>
      <x:c r="M185" s="76" t="str">
        <x:v>由M3-BASE与共享引擎提供；不得把日支直接写成配偶性格。</x:v>
      </x:c>
      <x:c r="N185" s="76" t="str">
        <x:v>无／待后续规则组合</x:v>
      </x:c>
      <x:c r="O185" s="76" t="str">
        <x:v>由共享基础引擎判定</x:v>
      </x:c>
      <x:c r="P185" s="76" t="str">
        <x:v>由共享基础引擎判定</x:v>
      </x:c>
      <x:c r="Q185" s="76" t="str">
        <x:v>由共享基础引擎判定</x:v>
      </x:c>
      <x:c r="R185" s="76" t="str">
        <x:v>喜忌只修正调用摩擦与平衡，不直接等同好坏。</x:v>
      </x:c>
      <x:c r="S185" s="76" t="str">
        <x:v>原十神性质有效；真合化成立时按化神系统替换。</x:v>
      </x:c>
      <x:c r="T185" s="76" t="str">
        <x:v>由共享基础引擎判定</x:v>
      </x:c>
      <x:c r="U185" s="76" t="str">
        <x:v>92</x:v>
      </x:c>
      <x:c r="V185" s="76" t="str">
        <x:v>functional_origin +12</x:v>
      </x:c>
      <x:c r="W185" s="76" t="str">
        <x:v>functional_origin</x:v>
      </x:c>
      <x:c r="X185" s="76" t="str">
        <x:v>日支主气优先定义亲密关系中的正常功能来源，不直接定义盲点。</x:v>
      </x:c>
      <x:c r="Y185" s="76" t="str">
        <x:v>日支主气说明你在关系中最自然使用哪一种功能，但盲点必须再看它是否失衡。</x:v>
      </x:c>
      <x:c r="Z18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5" s="76" t="str">
        <x:v>中高</x:v>
      </x:c>
      <x:c r="AB185" s="76" t="str">
        <x:v>待验证</x:v>
      </x:c>
      <x:c r="AC185" s="76" t="str"/>
      <x:c r="AD185" s="76" t="str">
        <x:v>provisional=true; rule_group=BASE-宫位层级; palace_rule=日支主气</x:v>
      </x:c>
      <x:c r="AE185" s="82" t="str">
        <x:v>0.2</x:v>
      </x:c>
    </x:row>
    <x:row r="186">
      <x:c r="A186" s="81" t="str">
        <x:v>M4-BASE-182</x:v>
      </x:c>
      <x:c r="B186" s="76" t="str">
        <x:v>日支主气｜单独不得生成失衡</x:v>
      </x:c>
      <x:c r="C186" s="76" t="str">
        <x:v>L5 宫位层级与动态</x:v>
      </x:c>
      <x:c r="D186" s="76" t="str">
        <x:v>BASE-宫位层级</x:v>
      </x:c>
      <x:c r="E186" s="76" t="str">
        <x:v>通用</x:v>
      </x:c>
      <x:c r="F186" s="76" t="str">
        <x:v>边界</x:v>
      </x:c>
      <x:c r="G186" s="76" t="str">
        <x:v>日支主气</x:v>
      </x:c>
      <x:c r="H186" s="76" t="str"/>
      <x:c r="I186" s="76" t="str">
        <x:v>只有日支主气事实，没有强弱失衡、通道不足或独立修正。</x:v>
      </x:c>
      <x:c r="J186" s="76" t="str"/>
      <x:c r="K186" s="76" t="str">
        <x:v>由共享基础引擎提供；只修正承载与执行，不直接等同强弱人格。</x:v>
      </x:c>
      <x:c r="L186" s="76" t="str">
        <x:v>由M2接口提供；夫妻星只参与关系议题权重，不单独生成盲点。</x:v>
      </x:c>
      <x:c r="M186" s="76" t="str">
        <x:v>由M3-BASE与共享引擎提供；不得把日支直接写成配偶性格。</x:v>
      </x:c>
      <x:c r="N186" s="76" t="str">
        <x:v>无／待后续规则组合</x:v>
      </x:c>
      <x:c r="O186" s="76" t="str">
        <x:v>由共享基础引擎判定</x:v>
      </x:c>
      <x:c r="P186" s="76" t="str">
        <x:v>由共享基础引擎判定</x:v>
      </x:c>
      <x:c r="Q186" s="76" t="str">
        <x:v>由共享基础引擎判定</x:v>
      </x:c>
      <x:c r="R186" s="76" t="str">
        <x:v>喜忌只修正调用摩擦与平衡，不直接等同好坏。</x:v>
      </x:c>
      <x:c r="S186" s="76" t="str">
        <x:v>原十神性质有效；真合化成立时按化神系统替换。</x:v>
      </x:c>
      <x:c r="T186" s="76" t="str">
        <x:v>由共享基础引擎判定</x:v>
      </x:c>
      <x:c r="U186" s="76" t="str">
        <x:v>96</x:v>
      </x:c>
      <x:c r="V186" s="76" t="str">
        <x:v>不成立E1</x:v>
      </x:c>
      <x:c r="W186" s="76" t="str">
        <x:v>stop_reason</x:v>
      </x:c>
      <x:c r="X186" s="76" t="str">
        <x:v>日支主气只是关系底盘，不等于核心问题。</x:v>
      </x:c>
      <x:c r="Y186" s="76" t="str">
        <x:v>仅凭日支主气，不能把某种相处方式写成关系盲点。</x:v>
      </x:c>
      <x:c r="Z18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6" s="76" t="str">
        <x:v>高</x:v>
      </x:c>
      <x:c r="AB186" s="76" t="str">
        <x:v>待验证</x:v>
      </x:c>
      <x:c r="AC186" s="76" t="str"/>
      <x:c r="AD186" s="76" t="str">
        <x:v>provisional=true; rule_group=BASE-宫位层级; palace_rule=日支主气</x:v>
      </x:c>
      <x:c r="AE186" s="82" t="str">
        <x:v>0.2</x:v>
      </x:c>
    </x:row>
    <x:row r="187">
      <x:c r="A187" s="81" t="str">
        <x:v>M4-BASE-183</x:v>
      </x:c>
      <x:c r="B187" s="76" t="str">
        <x:v>日支主气｜过用需第二证据</x:v>
      </x:c>
      <x:c r="C187" s="76" t="str">
        <x:v>L5 宫位层级与动态</x:v>
      </x:c>
      <x:c r="D187" s="76" t="str">
        <x:v>BASE-宫位层级</x:v>
      </x:c>
      <x:c r="E187" s="76" t="str">
        <x:v>通用</x:v>
      </x:c>
      <x:c r="F187" s="76" t="str">
        <x:v>证据门控</x:v>
      </x:c>
      <x:c r="G187" s="76" t="str">
        <x:v>日支主气＋过旺</x:v>
      </x:c>
      <x:c r="H187" s="76" t="str"/>
      <x:c r="I187" s="76" t="str">
        <x:v>主气功能有效；另有过旺失衡、压力抢先、M3跨模块重复或现实行为中的独立支持。</x:v>
      </x:c>
      <x:c r="J187" s="76" t="str">
        <x:v>只因主气位置重要就判断过用。</x:v>
      </x:c>
      <x:c r="K187" s="76" t="str">
        <x:v>由共享基础引擎提供；只修正承载与执行，不直接等同强弱人格。</x:v>
      </x:c>
      <x:c r="L187" s="76" t="str">
        <x:v>由M2接口提供；夫妻星只参与关系议题权重，不单独生成盲点。</x:v>
      </x:c>
      <x:c r="M187" s="76" t="str">
        <x:v>由M3-BASE与共享引擎提供；不得把日支直接写成配偶性格。</x:v>
      </x:c>
      <x:c r="N187" s="76" t="str">
        <x:v>无／待后续规则组合</x:v>
      </x:c>
      <x:c r="O187" s="76" t="str">
        <x:v>由共享基础引擎判定</x:v>
      </x:c>
      <x:c r="P187" s="76" t="str">
        <x:v>由共享基础引擎判定</x:v>
      </x:c>
      <x:c r="Q187" s="76" t="str">
        <x:v>由共享基础引擎判定</x:v>
      </x:c>
      <x:c r="R187" s="76" t="str">
        <x:v>喜忌只修正调用摩擦与平衡，不直接等同好坏。</x:v>
      </x:c>
      <x:c r="S187" s="76" t="str">
        <x:v>原十神性质有效；真合化成立时按化神系统替换。</x:v>
      </x:c>
      <x:c r="T187" s="76" t="str">
        <x:v>由共享基础引擎判定</x:v>
      </x:c>
      <x:c r="U187" s="76" t="str">
        <x:v>88</x:v>
      </x:c>
      <x:c r="V187" s="76" t="str">
        <x:v>K01候选；需独立证据</x:v>
      </x:c>
      <x:c r="W187" s="76" t="str">
        <x:v>imbalance_mechanism</x:v>
      </x:c>
      <x:c r="X187" s="76" t="str">
        <x:v>日支主气可提高相关性，但K01仍需独立失衡证据。</x:v>
      </x:c>
      <x:c r="Y187" s="76" t="str">
        <x:v>它虽然很容易进入亲密关系，但只有在调用过强或缺少调节时，才会成为过用候选。</x:v>
      </x:c>
      <x:c r="Z18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7" s="76" t="str">
        <x:v>中</x:v>
      </x:c>
      <x:c r="AB187" s="76" t="str">
        <x:v>待验证</x:v>
      </x:c>
      <x:c r="AC187" s="76" t="str"/>
      <x:c r="AD187" s="76" t="str">
        <x:v>provisional=true; rule_group=BASE-宫位层级; palace_rule=日支主气＋过旺</x:v>
      </x:c>
      <x:c r="AE187" s="82" t="str">
        <x:v>0.2</x:v>
      </x:c>
    </x:row>
    <x:row r="188">
      <x:c r="A188" s="81" t="str">
        <x:v>M4-BASE-184</x:v>
      </x:c>
      <x:c r="B188" s="76" t="str">
        <x:v>日支中气｜第二功能候选</x:v>
      </x:c>
      <x:c r="C188" s="76" t="str">
        <x:v>L5 宫位层级与动态</x:v>
      </x:c>
      <x:c r="D188" s="76" t="str">
        <x:v>BASE-宫位层级</x:v>
      </x:c>
      <x:c r="E188" s="76" t="str">
        <x:v>通用</x:v>
      </x:c>
      <x:c r="F188" s="76" t="str">
        <x:v>基础</x:v>
      </x:c>
      <x:c r="G188" s="76" t="str">
        <x:v>日支中气</x:v>
      </x:c>
      <x:c r="H188" s="76" t="str"/>
      <x:c r="I188" s="76" t="str">
        <x:v>中气十神可靠，功能与主气不同，且有根／透出／M3行为中的至少一项支持。</x:v>
      </x:c>
      <x:c r="J188" s="76" t="str">
        <x:v>中气弱远无根；与主气同系统同义重复。</x:v>
      </x:c>
      <x:c r="K188" s="76" t="str">
        <x:v>由共享基础引擎提供；只修正承载与执行，不直接等同强弱人格。</x:v>
      </x:c>
      <x:c r="L188" s="76" t="str">
        <x:v>由M2接口提供；夫妻星只参与关系议题权重，不单独生成盲点。</x:v>
      </x:c>
      <x:c r="M188" s="76" t="str">
        <x:v>由M3-BASE与共享引擎提供；不得把日支直接写成配偶性格。</x:v>
      </x:c>
      <x:c r="N188" s="76" t="str">
        <x:v>无／待后续规则组合</x:v>
      </x:c>
      <x:c r="O188" s="76" t="str">
        <x:v>由共享基础引擎判定</x:v>
      </x:c>
      <x:c r="P188" s="76" t="str">
        <x:v>由共享基础引擎判定</x:v>
      </x:c>
      <x:c r="Q188" s="76" t="str">
        <x:v>由共享基础引擎判定</x:v>
      </x:c>
      <x:c r="R188" s="76" t="str">
        <x:v>喜忌只修正调用摩擦与平衡，不直接等同好坏。</x:v>
      </x:c>
      <x:c r="S188" s="76" t="str">
        <x:v>原十神性质有效；真合化成立时按化神系统替换。</x:v>
      </x:c>
      <x:c r="T188" s="76" t="str">
        <x:v>由共享基础引擎判定</x:v>
      </x:c>
      <x:c r="U188" s="76" t="str">
        <x:v>78</x:v>
      </x:c>
      <x:c r="V188" s="76" t="str">
        <x:v>secondary candidate +6</x:v>
      </x:c>
      <x:c r="W188" s="76" t="str">
        <x:v>secondary_signal</x:v>
      </x:c>
      <x:c r="X188" s="76" t="str">
        <x:v>中气可作为第二功能、调节或缺位对照，但默认低于主气。</x:v>
      </x:c>
      <x:c r="Y188" s="76" t="str">
        <x:v>日支中气可能是第二处理方式，是否进入正文要看它是否真正有力且功能不同。</x:v>
      </x:c>
      <x:c r="Z18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8" s="76" t="str">
        <x:v>中</x:v>
      </x:c>
      <x:c r="AB188" s="76" t="str">
        <x:v>待验证</x:v>
      </x:c>
      <x:c r="AC188" s="76" t="str"/>
      <x:c r="AD188" s="76" t="str">
        <x:v>provisional=true; rule_group=BASE-宫位层级; palace_rule=日支中气</x:v>
      </x:c>
      <x:c r="AE188" s="82" t="str">
        <x:v>0.2</x:v>
      </x:c>
    </x:row>
    <x:row r="189">
      <x:c r="A189" s="81" t="str">
        <x:v>M4-BASE-185</x:v>
      </x:c>
      <x:c r="B189" s="76" t="str">
        <x:v>日支中气｜升级为次机制条件</x:v>
      </x:c>
      <x:c r="C189" s="76" t="str">
        <x:v>L5 宫位层级与动态</x:v>
      </x:c>
      <x:c r="D189" s="76" t="str">
        <x:v>BASE-宫位层级</x:v>
      </x:c>
      <x:c r="E189" s="76" t="str">
        <x:v>通用</x:v>
      </x:c>
      <x:c r="F189" s="76" t="str">
        <x:v>升级</x:v>
      </x:c>
      <x:c r="G189" s="76" t="str">
        <x:v>日支中气</x:v>
      </x:c>
      <x:c r="H189" s="76" t="str"/>
      <x:c r="I189" s="76" t="str">
        <x:v>中气有根或透干；来源独立；对应M3模块形成稳定次通道；与主气功能不同。</x:v>
      </x:c>
      <x:c r="J189" s="76" t="str">
        <x:v>同源同义、弱远无根或被真合化。</x:v>
      </x:c>
      <x:c r="K189" s="76" t="str">
        <x:v>由共享基础引擎提供；只修正承载与执行，不直接等同强弱人格。</x:v>
      </x:c>
      <x:c r="L189" s="76" t="str">
        <x:v>由M2接口提供；夫妻星只参与关系议题权重，不单独生成盲点。</x:v>
      </x:c>
      <x:c r="M189" s="76" t="str">
        <x:v>由M3-BASE与共享引擎提供；不得把日支直接写成配偶性格。</x:v>
      </x:c>
      <x:c r="N189" s="76" t="str">
        <x:v>无／待后续规则组合</x:v>
      </x:c>
      <x:c r="O189" s="76" t="str">
        <x:v>由共享基础引擎判定</x:v>
      </x:c>
      <x:c r="P189" s="76" t="str">
        <x:v>由共享基础引擎判定</x:v>
      </x:c>
      <x:c r="Q189" s="76" t="str">
        <x:v>由共享基础引擎判定</x:v>
      </x:c>
      <x:c r="R189" s="76" t="str">
        <x:v>喜忌只修正调用摩擦与平衡，不直接等同好坏。</x:v>
      </x:c>
      <x:c r="S189" s="76" t="str">
        <x:v>原十神性质有效；真合化成立时按化神系统替换。</x:v>
      </x:c>
      <x:c r="T189" s="76" t="str">
        <x:v>由共享基础引擎判定</x:v>
      </x:c>
      <x:c r="U189" s="76" t="str">
        <x:v>80</x:v>
      </x:c>
      <x:c r="V189" s="76" t="str">
        <x:v>次机制 +4</x:v>
      </x:c>
      <x:c r="W189" s="76" t="str">
        <x:v>secondary_signal</x:v>
      </x:c>
      <x:c r="X189" s="76" t="str">
        <x:v>满足升级条件时，中气可成为次机制或保护因素。</x:v>
      </x:c>
      <x:c r="Y189" s="76" t="str">
        <x:v>当中气不仅存在，而且能在现实关系中稳定进入时，才会被提升为第二项判断。</x:v>
      </x:c>
      <x:c r="Z18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89" s="76" t="str">
        <x:v>中</x:v>
      </x:c>
      <x:c r="AB189" s="76" t="str">
        <x:v>待验证</x:v>
      </x:c>
      <x:c r="AC189" s="76" t="str"/>
      <x:c r="AD189" s="76" t="str">
        <x:v>provisional=true; rule_group=BASE-宫位层级; palace_rule=日支中气</x:v>
      </x:c>
      <x:c r="AE189" s="82" t="str">
        <x:v>0.2</x:v>
      </x:c>
    </x:row>
    <x:row r="190">
      <x:c r="A190" s="81" t="str">
        <x:v>M4-BASE-186</x:v>
      </x:c>
      <x:c r="B190" s="76" t="str">
        <x:v>日支中气｜降级条件</x:v>
      </x:c>
      <x:c r="C190" s="76" t="str">
        <x:v>L5 宫位层级与动态</x:v>
      </x:c>
      <x:c r="D190" s="76" t="str">
        <x:v>BASE-宫位层级</x:v>
      </x:c>
      <x:c r="E190" s="76" t="str">
        <x:v>通用</x:v>
      </x:c>
      <x:c r="F190" s="76" t="str">
        <x:v>降级</x:v>
      </x:c>
      <x:c r="G190" s="76" t="str">
        <x:v>日支中气</x:v>
      </x:c>
      <x:c r="H190" s="76" t="str"/>
      <x:c r="I190" s="76" t="str">
        <x:v>中气仅藏而无根、受制严重、来源同义或现实无对应行为。</x:v>
      </x:c>
      <x:c r="J190" s="76" t="str"/>
      <x:c r="K190" s="76" t="str">
        <x:v>由共享基础引擎提供；只修正承载与执行，不直接等同强弱人格。</x:v>
      </x:c>
      <x:c r="L190" s="76" t="str">
        <x:v>由M2接口提供；夫妻星只参与关系议题权重，不单独生成盲点。</x:v>
      </x:c>
      <x:c r="M190" s="76" t="str">
        <x:v>由M3-BASE与共享引擎提供；不得把日支直接写成配偶性格。</x:v>
      </x:c>
      <x:c r="N190" s="76" t="str">
        <x:v>无／待后续规则组合</x:v>
      </x:c>
      <x:c r="O190" s="76" t="str">
        <x:v>由共享基础引擎判定</x:v>
      </x:c>
      <x:c r="P190" s="76" t="str">
        <x:v>由共享基础引擎判定</x:v>
      </x:c>
      <x:c r="Q190" s="76" t="str">
        <x:v>由共享基础引擎判定</x:v>
      </x:c>
      <x:c r="R190" s="76" t="str">
        <x:v>喜忌只修正调用摩擦与平衡，不直接等同好坏。</x:v>
      </x:c>
      <x:c r="S190" s="76" t="str">
        <x:v>原十神性质有效；真合化成立时按化神系统替换。</x:v>
      </x:c>
      <x:c r="T190" s="76" t="str">
        <x:v>由共享基础引擎判定</x:v>
      </x:c>
      <x:c r="U190" s="76" t="str">
        <x:v>84</x:v>
      </x:c>
      <x:c r="V190" s="76" t="str">
        <x:v>−4；封顶低</x:v>
      </x:c>
      <x:c r="W190" s="76" t="str">
        <x:v>confidence</x:v>
      </x:c>
      <x:c r="X190" s="76" t="str">
        <x:v>中气降为背景，不参与主次失衡评分。</x:v>
      </x:c>
      <x:c r="Y190" s="76" t="str">
        <x:v>这项信号目前更适合作为背景，不宜放进用户正文。</x:v>
      </x:c>
      <x:c r="Z19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0" s="76" t="str">
        <x:v>中高</x:v>
      </x:c>
      <x:c r="AB190" s="76" t="str">
        <x:v>待验证</x:v>
      </x:c>
      <x:c r="AC190" s="76" t="str"/>
      <x:c r="AD190" s="76" t="str">
        <x:v>provisional=true; rule_group=BASE-宫位层级; palace_rule=日支中气</x:v>
      </x:c>
      <x:c r="AE190" s="82" t="str">
        <x:v>0.2</x:v>
      </x:c>
    </x:row>
    <x:row r="191">
      <x:c r="A191" s="81" t="str">
        <x:v>M4-BASE-187</x:v>
      </x:c>
      <x:c r="B191" s="76" t="str">
        <x:v>日支余气｜潜在背景</x:v>
      </x:c>
      <x:c r="C191" s="76" t="str">
        <x:v>L5 宫位层级与动态</x:v>
      </x:c>
      <x:c r="D191" s="76" t="str">
        <x:v>BASE-宫位层级</x:v>
      </x:c>
      <x:c r="E191" s="76" t="str">
        <x:v>通用</x:v>
      </x:c>
      <x:c r="F191" s="76" t="str">
        <x:v>基础</x:v>
      </x:c>
      <x:c r="G191" s="76" t="str">
        <x:v>日支余气</x:v>
      </x:c>
      <x:c r="H191" s="76" t="str"/>
      <x:c r="I191" s="76" t="str">
        <x:v>余气十神可靠，原性质有效。</x:v>
      </x:c>
      <x:c r="J191" s="76" t="str">
        <x:v>真合化替换或余气识别争议。</x:v>
      </x:c>
      <x:c r="K191" s="76" t="str">
        <x:v>由共享基础引擎提供；只修正承载与执行，不直接等同强弱人格。</x:v>
      </x:c>
      <x:c r="L191" s="76" t="str">
        <x:v>由M2接口提供；夫妻星只参与关系议题权重，不单独生成盲点。</x:v>
      </x:c>
      <x:c r="M191" s="76" t="str">
        <x:v>由M3-BASE与共享引擎提供；不得把日支直接写成配偶性格。</x:v>
      </x:c>
      <x:c r="N191" s="76" t="str">
        <x:v>无／待后续规则组合</x:v>
      </x:c>
      <x:c r="O191" s="76" t="str">
        <x:v>由共享基础引擎判定</x:v>
      </x:c>
      <x:c r="P191" s="76" t="str">
        <x:v>由共享基础引擎判定</x:v>
      </x:c>
      <x:c r="Q191" s="76" t="str">
        <x:v>由共享基础引擎判定</x:v>
      </x:c>
      <x:c r="R191" s="76" t="str">
        <x:v>喜忌只修正调用摩擦与平衡，不直接等同好坏。</x:v>
      </x:c>
      <x:c r="S191" s="76" t="str">
        <x:v>原十神性质有效；真合化成立时按化神系统替换。</x:v>
      </x:c>
      <x:c r="T191" s="76" t="str">
        <x:v>由共享基础引擎判定</x:v>
      </x:c>
      <x:c r="U191" s="76" t="str">
        <x:v>72</x:v>
      </x:c>
      <x:c r="V191" s="76" t="str">
        <x:v>background +3</x:v>
      </x:c>
      <x:c r="W191" s="76" t="str">
        <x:v>secondary_signal</x:v>
      </x:c>
      <x:c r="X191" s="76" t="str">
        <x:v>余气主要说明潜在、备用或特定压力下才可能出现的功能。</x:v>
      </x:c>
      <x:c r="Y191" s="76" t="str">
        <x:v>这项功能可能在特定情境下出现，但通常不是关系盲点的主轴。</x:v>
      </x:c>
      <x:c r="Z19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1" s="76" t="str">
        <x:v>中低</x:v>
      </x:c>
      <x:c r="AB191" s="76" t="str">
        <x:v>待验证</x:v>
      </x:c>
      <x:c r="AC191" s="76" t="str"/>
      <x:c r="AD191" s="76" t="str">
        <x:v>provisional=true; rule_group=BASE-宫位层级; palace_rule=日支余气</x:v>
      </x:c>
      <x:c r="AE191" s="82" t="str">
        <x:v>0.2</x:v>
      </x:c>
    </x:row>
    <x:row r="192">
      <x:c r="A192" s="81" t="str">
        <x:v>M4-BASE-188</x:v>
      </x:c>
      <x:c r="B192" s="76" t="str">
        <x:v>日支余气｜不得单独成为主盲点</x:v>
      </x:c>
      <x:c r="C192" s="76" t="str">
        <x:v>L5 宫位层级与动态</x:v>
      </x:c>
      <x:c r="D192" s="76" t="str">
        <x:v>BASE-宫位层级</x:v>
      </x:c>
      <x:c r="E192" s="76" t="str">
        <x:v>通用</x:v>
      </x:c>
      <x:c r="F192" s="76" t="str">
        <x:v>边界</x:v>
      </x:c>
      <x:c r="G192" s="76" t="str">
        <x:v>日支余气</x:v>
      </x:c>
      <x:c r="H192" s="76" t="str"/>
      <x:c r="I192" s="76" t="str">
        <x:v>只有余气一处信号，没有独立根气、透出或现实行为。</x:v>
      </x:c>
      <x:c r="J192" s="76" t="str"/>
      <x:c r="K192" s="76" t="str">
        <x:v>由共享基础引擎提供；只修正承载与执行，不直接等同强弱人格。</x:v>
      </x:c>
      <x:c r="L192" s="76" t="str">
        <x:v>由M2接口提供；夫妻星只参与关系议题权重，不单独生成盲点。</x:v>
      </x:c>
      <x:c r="M192" s="76" t="str">
        <x:v>由M3-BASE与共享引擎提供；不得把日支直接写成配偶性格。</x:v>
      </x:c>
      <x:c r="N192" s="76" t="str">
        <x:v>无／待后续规则组合</x:v>
      </x:c>
      <x:c r="O192" s="76" t="str">
        <x:v>由共享基础引擎判定</x:v>
      </x:c>
      <x:c r="P192" s="76" t="str">
        <x:v>由共享基础引擎判定</x:v>
      </x:c>
      <x:c r="Q192" s="76" t="str">
        <x:v>由共享基础引擎判定</x:v>
      </x:c>
      <x:c r="R192" s="76" t="str">
        <x:v>喜忌只修正调用摩擦与平衡，不直接等同好坏。</x:v>
      </x:c>
      <x:c r="S192" s="76" t="str">
        <x:v>原十神性质有效；真合化成立时按化神系统替换。</x:v>
      </x:c>
      <x:c r="T192" s="76" t="str">
        <x:v>由共享基础引擎判定</x:v>
      </x:c>
      <x:c r="U192" s="76" t="str">
        <x:v>96</x:v>
      </x:c>
      <x:c r="V192" s="76" t="str">
        <x:v>STOP主候选</x:v>
      </x:c>
      <x:c r="W192" s="76" t="str">
        <x:v>stop_reason</x:v>
      </x:c>
      <x:c r="X192" s="76" t="str">
        <x:v>余气单独不足以建立E1结构候选。</x:v>
      </x:c>
      <x:c r="Y192" s="76" t="str">
        <x:v>仅凭余气，不会把某种关系问题固定为核心盲点。</x:v>
      </x:c>
      <x:c r="Z19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2" s="76" t="str">
        <x:v>高</x:v>
      </x:c>
      <x:c r="AB192" s="76" t="str">
        <x:v>待验证</x:v>
      </x:c>
      <x:c r="AC192" s="76" t="str"/>
      <x:c r="AD192" s="76" t="str">
        <x:v>provisional=true; rule_group=BASE-宫位层级; palace_rule=日支余气</x:v>
      </x:c>
      <x:c r="AE192" s="82" t="str">
        <x:v>0.2</x:v>
      </x:c>
    </x:row>
    <x:row r="193">
      <x:c r="A193" s="81" t="str">
        <x:v>M4-BASE-189</x:v>
      </x:c>
      <x:c r="B193" s="76" t="str">
        <x:v>日支余气｜升级门槛</x:v>
      </x:c>
      <x:c r="C193" s="76" t="str">
        <x:v>L5 宫位层级与动态</x:v>
      </x:c>
      <x:c r="D193" s="76" t="str">
        <x:v>BASE-宫位层级</x:v>
      </x:c>
      <x:c r="E193" s="76" t="str">
        <x:v>通用</x:v>
      </x:c>
      <x:c r="F193" s="76" t="str">
        <x:v>升级</x:v>
      </x:c>
      <x:c r="G193" s="76" t="str">
        <x:v>日支余气</x:v>
      </x:c>
      <x:c r="H193" s="76" t="str"/>
      <x:c r="I193" s="76" t="str">
        <x:v>余气有独立透出、有根、被明确引动且现实行为重复；与主气功能不同。</x:v>
      </x:c>
      <x:c r="J193" s="76" t="str">
        <x:v>仍为同源同义；只有阶段一次性引动。</x:v>
      </x:c>
      <x:c r="K193" s="76" t="str">
        <x:v>由共享基础引擎提供；只修正承载与执行，不直接等同强弱人格。</x:v>
      </x:c>
      <x:c r="L193" s="76" t="str">
        <x:v>由M2接口提供；夫妻星只参与关系议题权重，不单独生成盲点。</x:v>
      </x:c>
      <x:c r="M193" s="76" t="str">
        <x:v>由M3-BASE与共享引擎提供；不得把日支直接写成配偶性格。</x:v>
      </x:c>
      <x:c r="N193" s="76" t="str">
        <x:v>无／待后续规则组合</x:v>
      </x:c>
      <x:c r="O193" s="76" t="str">
        <x:v>由共享基础引擎判定</x:v>
      </x:c>
      <x:c r="P193" s="76" t="str">
        <x:v>由共享基础引擎判定</x:v>
      </x:c>
      <x:c r="Q193" s="76" t="str">
        <x:v>由共享基础引擎判定</x:v>
      </x:c>
      <x:c r="R193" s="76" t="str">
        <x:v>喜忌只修正调用摩擦与平衡，不直接等同好坏。</x:v>
      </x:c>
      <x:c r="S193" s="76" t="str">
        <x:v>原十神性质有效；真合化成立时按化神系统替换。</x:v>
      </x:c>
      <x:c r="T193" s="76" t="str">
        <x:v>由共享基础引擎判定</x:v>
      </x:c>
      <x:c r="U193" s="76" t="str">
        <x:v>76</x:v>
      </x:c>
      <x:c r="V193" s="76" t="str">
        <x:v>次候选 +3；封顶中低</x:v>
      </x:c>
      <x:c r="W193" s="76" t="str">
        <x:v>secondary_signal</x:v>
      </x:c>
      <x:c r="X193" s="76" t="str">
        <x:v>余气只有在多类独立支持下才能升级为次候选。</x:v>
      </x:c>
      <x:c r="Y193" s="76" t="str">
        <x:v>只有当这项背景功能在多个来源和现实行为中都被看见，才会进入次级判断。</x:v>
      </x:c>
      <x:c r="Z19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3" s="76" t="str">
        <x:v>中</x:v>
      </x:c>
      <x:c r="AB193" s="76" t="str">
        <x:v>待验证</x:v>
      </x:c>
      <x:c r="AC193" s="76" t="str"/>
      <x:c r="AD193" s="76" t="str">
        <x:v>provisional=true; rule_group=BASE-宫位层级; palace_rule=日支余气</x:v>
      </x:c>
      <x:c r="AE193" s="82" t="str">
        <x:v>0.2</x:v>
      </x:c>
    </x:row>
    <x:row r="194">
      <x:c r="A194" s="81" t="str">
        <x:v>M4-BASE-190</x:v>
      </x:c>
      <x:c r="B194" s="76" t="str">
        <x:v>日支单藏干｜底盘较集中</x:v>
      </x:c>
      <x:c r="C194" s="76" t="str">
        <x:v>L5 宫位层级与动态</x:v>
      </x:c>
      <x:c r="D194" s="76" t="str">
        <x:v>BASE-宫位层级</x:v>
      </x:c>
      <x:c r="E194" s="76" t="str">
        <x:v>通用</x:v>
      </x:c>
      <x:c r="F194" s="76" t="str">
        <x:v>结构</x:v>
      </x:c>
      <x:c r="G194" s="76" t="str">
        <x:v>日支单藏干</x:v>
      </x:c>
      <x:c r="H194" s="76" t="str"/>
      <x:c r="I194" s="76" t="str">
        <x:v>日支只有一个可靠藏干，且无真合化替换。</x:v>
      </x:c>
      <x:c r="J194" s="76" t="str"/>
      <x:c r="K194" s="76" t="str">
        <x:v>由共享基础引擎提供；只修正承载与执行，不直接等同强弱人格。</x:v>
      </x:c>
      <x:c r="L194" s="76" t="str">
        <x:v>由M2接口提供；夫妻星只参与关系议题权重，不单独生成盲点。</x:v>
      </x:c>
      <x:c r="M194" s="76" t="str">
        <x:v>由M3-BASE与共享引擎提供；不得把日支直接写成配偶性格。</x:v>
      </x:c>
      <x:c r="N194" s="76" t="str">
        <x:v>无／待后续规则组合</x:v>
      </x:c>
      <x:c r="O194" s="76" t="str">
        <x:v>由共享基础引擎判定</x:v>
      </x:c>
      <x:c r="P194" s="76" t="str">
        <x:v>由共享基础引擎判定</x:v>
      </x:c>
      <x:c r="Q194" s="76" t="str">
        <x:v>由共享基础引擎判定</x:v>
      </x:c>
      <x:c r="R194" s="76" t="str">
        <x:v>喜忌只修正调用摩擦与平衡，不直接等同好坏。</x:v>
      </x:c>
      <x:c r="S194" s="76" t="str">
        <x:v>原十神性质有效；真合化成立时按化神系统替换。</x:v>
      </x:c>
      <x:c r="T194" s="76" t="str">
        <x:v>由共享基础引擎判定</x:v>
      </x:c>
      <x:c r="U194" s="76" t="str">
        <x:v>72</x:v>
      </x:c>
      <x:c r="V194" s="76" t="str">
        <x:v>集中度 +2</x:v>
      </x:c>
      <x:c r="W194" s="76" t="str">
        <x:v>functional_origin</x:v>
      </x:c>
      <x:c r="X194" s="76" t="str">
        <x:v>单藏干说明关系功能底盘较集中，但不等于单一人格或单一盲点。</x:v>
      </x:c>
      <x:c r="Y194" s="76" t="str">
        <x:v>你的关系底盘较集中，但仍要看全局其他通道如何调节它。</x:v>
      </x:c>
      <x:c r="Z19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4" s="76" t="str">
        <x:v>中</x:v>
      </x:c>
      <x:c r="AB194" s="76" t="str">
        <x:v>待验证</x:v>
      </x:c>
      <x:c r="AC194" s="76" t="str"/>
      <x:c r="AD194" s="76" t="str">
        <x:v>provisional=true; rule_group=BASE-宫位层级; palace_rule=日支单藏干</x:v>
      </x:c>
      <x:c r="AE194" s="82" t="str">
        <x:v>0.2</x:v>
      </x:c>
    </x:row>
    <x:row r="195">
      <x:c r="A195" s="81" t="str">
        <x:v>M4-BASE-191</x:v>
      </x:c>
      <x:c r="B195" s="76" t="str">
        <x:v>日支多藏干｜不等于关系复杂</x:v>
      </x:c>
      <x:c r="C195" s="76" t="str">
        <x:v>L5 宫位层级与动态</x:v>
      </x:c>
      <x:c r="D195" s="76" t="str">
        <x:v>BASE-宫位层级</x:v>
      </x:c>
      <x:c r="E195" s="76" t="str">
        <x:v>通用</x:v>
      </x:c>
      <x:c r="F195" s="76" t="str">
        <x:v>边界</x:v>
      </x:c>
      <x:c r="G195" s="76" t="str">
        <x:v>日支多藏干</x:v>
      </x:c>
      <x:c r="H195" s="76" t="str"/>
      <x:c r="I195" s="76" t="str">
        <x:v>日支存在主气、中气、余气多个藏干。</x:v>
      </x:c>
      <x:c r="J195" s="76" t="str"/>
      <x:c r="K195" s="76" t="str">
        <x:v>由共享基础引擎提供；只修正承载与执行，不直接等同强弱人格。</x:v>
      </x:c>
      <x:c r="L195" s="76" t="str">
        <x:v>由M2接口提供；夫妻星只参与关系议题权重，不单独生成盲点。</x:v>
      </x:c>
      <x:c r="M195" s="76" t="str">
        <x:v>由M3-BASE与共享引擎提供；不得把日支直接写成配偶性格。</x:v>
      </x:c>
      <x:c r="N195" s="76" t="str">
        <x:v>无／待后续规则组合</x:v>
      </x:c>
      <x:c r="O195" s="76" t="str">
        <x:v>由共享基础引擎判定</x:v>
      </x:c>
      <x:c r="P195" s="76" t="str">
        <x:v>由共享基础引擎判定</x:v>
      </x:c>
      <x:c r="Q195" s="76" t="str">
        <x:v>由共享基础引擎判定</x:v>
      </x:c>
      <x:c r="R195" s="76" t="str">
        <x:v>喜忌只修正调用摩擦与平衡，不直接等同好坏。</x:v>
      </x:c>
      <x:c r="S195" s="76" t="str">
        <x:v>原十神性质有效；真合化成立时按化神系统替换。</x:v>
      </x:c>
      <x:c r="T195" s="76" t="str">
        <x:v>由共享基础引擎判定</x:v>
      </x:c>
      <x:c r="U195" s="76" t="str">
        <x:v>96</x:v>
      </x:c>
      <x:c r="V195" s="76" t="str">
        <x:v>不加分；排序门控</x:v>
      </x:c>
      <x:c r="W195" s="76" t="str">
        <x:v>boundary_note</x:v>
      </x:c>
      <x:c r="X195" s="76" t="str">
        <x:v>多藏干只表示多个功能层级共存，必须按主次与独立性排序。</x:v>
      </x:c>
      <x:c r="Y195" s="76" t="str">
        <x:v>多个藏干不等于感情复杂；它们只是不同层级的关系功能，需要先判断谁主谁次。</x:v>
      </x:c>
      <x:c r="Z19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5" s="76" t="str">
        <x:v>高</x:v>
      </x:c>
      <x:c r="AB195" s="76" t="str">
        <x:v>待验证</x:v>
      </x:c>
      <x:c r="AC195" s="76" t="str"/>
      <x:c r="AD195" s="76" t="str">
        <x:v>provisional=true; rule_group=BASE-宫位层级; palace_rule=日支多藏干</x:v>
      </x:c>
      <x:c r="AE195" s="82" t="str">
        <x:v>0.2</x:v>
      </x:c>
    </x:row>
    <x:row r="196">
      <x:c r="A196" s="81" t="str">
        <x:v>M4-BASE-192</x:v>
      </x:c>
      <x:c r="B196" s="76" t="str">
        <x:v>主中同系统｜同义收敛</x:v>
      </x:c>
      <x:c r="C196" s="76" t="str">
        <x:v>L5 宫位层级与动态</x:v>
      </x:c>
      <x:c r="D196" s="76" t="str">
        <x:v>BASE-宫位层级</x:v>
      </x:c>
      <x:c r="E196" s="76" t="str">
        <x:v>通用</x:v>
      </x:c>
      <x:c r="F196" s="76" t="str">
        <x:v>去重</x:v>
      </x:c>
      <x:c r="G196" s="76" t="str">
        <x:v>主气＋中气同系统</x:v>
      </x:c>
      <x:c r="H196" s="76" t="str"/>
      <x:c r="I196" s="76" t="str">
        <x:v>主气与中气属于同一五系统，且功能语义高度重合。</x:v>
      </x:c>
      <x:c r="J196" s="76" t="str">
        <x:v>两者承担不同M3任务且来源现实独立。</x:v>
      </x:c>
      <x:c r="K196" s="76" t="str">
        <x:v>由共享基础引擎提供；只修正承载与执行，不直接等同强弱人格。</x:v>
      </x:c>
      <x:c r="L196" s="76" t="str">
        <x:v>由M2接口提供；夫妻星只参与关系议题权重，不单独生成盲点。</x:v>
      </x:c>
      <x:c r="M196" s="76" t="str">
        <x:v>由M3-BASE与共享引擎提供；不得把日支直接写成配偶性格。</x:v>
      </x:c>
      <x:c r="N196" s="76" t="str">
        <x:v>无／待后续规则组合</x:v>
      </x:c>
      <x:c r="O196" s="76" t="str">
        <x:v>由共享基础引擎判定</x:v>
      </x:c>
      <x:c r="P196" s="76" t="str">
        <x:v>由共享基础引擎判定</x:v>
      </x:c>
      <x:c r="Q196" s="76" t="str">
        <x:v>由共享基础引擎判定</x:v>
      </x:c>
      <x:c r="R196" s="76" t="str">
        <x:v>喜忌只修正调用摩擦与平衡，不直接等同好坏。</x:v>
      </x:c>
      <x:c r="S196" s="76" t="str">
        <x:v>原十神性质有效；真合化成立时按化神系统替换。</x:v>
      </x:c>
      <x:c r="T196" s="76" t="str">
        <x:v>由共享基础引擎判定</x:v>
      </x:c>
      <x:c r="U196" s="76" t="str">
        <x:v>90</x:v>
      </x:c>
      <x:c r="V196" s="76" t="str">
        <x:v>同义收敛；取较高值</x:v>
      </x:c>
      <x:c r="W196" s="76" t="str">
        <x:v>dedup_log</x:v>
      </x:c>
      <x:c r="X196" s="76" t="str">
        <x:v>同系统信号先收敛为一个功能系统，不能重复制造两个盲点。</x:v>
      </x:c>
      <x:c r="Y196" s="76" t="str">
        <x:v>如果主气和中气都在强调同一类功能，会先合并理解，不重复写成两个问题。</x:v>
      </x:c>
      <x:c r="Z19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6" s="76" t="str">
        <x:v>高</x:v>
      </x:c>
      <x:c r="AB196" s="76" t="str">
        <x:v>待验证</x:v>
      </x:c>
      <x:c r="AC196" s="76" t="str"/>
      <x:c r="AD196" s="76" t="str">
        <x:v>provisional=true; rule_group=BASE-宫位层级; palace_rule=主气＋中气同系统</x:v>
      </x:c>
      <x:c r="AE196" s="82" t="str">
        <x:v>0.2</x:v>
      </x:c>
    </x:row>
    <x:row r="197">
      <x:c r="A197" s="81" t="str">
        <x:v>M4-BASE-193</x:v>
      </x:c>
      <x:c r="B197" s="76" t="str">
        <x:v>主中跨系统｜主次分层</x:v>
      </x:c>
      <x:c r="C197" s="76" t="str">
        <x:v>L5 宫位层级与动态</x:v>
      </x:c>
      <x:c r="D197" s="76" t="str">
        <x:v>BASE-宫位层级</x:v>
      </x:c>
      <x:c r="E197" s="76" t="str">
        <x:v>通用</x:v>
      </x:c>
      <x:c r="F197" s="76" t="str">
        <x:v>组合</x:v>
      </x:c>
      <x:c r="G197" s="76" t="str">
        <x:v>主气＋中气跨系统</x:v>
      </x:c>
      <x:c r="H197" s="76" t="str"/>
      <x:c r="I197" s="76" t="str">
        <x:v>主气与中气功能不同，均有效，且中气达到升级门槛。</x:v>
      </x:c>
      <x:c r="J197" s="76" t="str">
        <x:v>中气弱远无根或同义重复。</x:v>
      </x:c>
      <x:c r="K197" s="76" t="str">
        <x:v>由共享基础引擎提供；只修正承载与执行，不直接等同强弱人格。</x:v>
      </x:c>
      <x:c r="L197" s="76" t="str">
        <x:v>由M2接口提供；夫妻星只参与关系议题权重，不单独生成盲点。</x:v>
      </x:c>
      <x:c r="M197" s="76" t="str">
        <x:v>由M3-BASE与共享引擎提供；不得把日支直接写成配偶性格。</x:v>
      </x:c>
      <x:c r="N197" s="76" t="str">
        <x:v>无／待后续规则组合</x:v>
      </x:c>
      <x:c r="O197" s="76" t="str">
        <x:v>由共享基础引擎判定</x:v>
      </x:c>
      <x:c r="P197" s="76" t="str">
        <x:v>由共享基础引擎判定</x:v>
      </x:c>
      <x:c r="Q197" s="76" t="str">
        <x:v>由共享基础引擎判定</x:v>
      </x:c>
      <x:c r="R197" s="76" t="str">
        <x:v>喜忌只修正调用摩擦与平衡，不直接等同好坏。</x:v>
      </x:c>
      <x:c r="S197" s="76" t="str">
        <x:v>原十神性质有效；真合化成立时按化神系统替换。</x:v>
      </x:c>
      <x:c r="T197" s="76" t="str">
        <x:v>由共享基础引擎判定</x:v>
      </x:c>
      <x:c r="U197" s="76" t="str">
        <x:v>82</x:v>
      </x:c>
      <x:c r="V197" s="76" t="str">
        <x:v>一主一次</x:v>
      </x:c>
      <x:c r="W197" s="76" t="str">
        <x:v>secondary_signal</x:v>
      </x:c>
      <x:c r="X197" s="76" t="str">
        <x:v>主气负责核心功能，中气可作为调节、缺位或次机制候选。</x:v>
      </x:c>
      <x:c r="Y197" s="76" t="str">
        <x:v>关系中可能同时存在两种不同功能，但正文会明确一项为主、一项为辅。</x:v>
      </x:c>
      <x:c r="Z19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7" s="76" t="str">
        <x:v>中</x:v>
      </x:c>
      <x:c r="AB197" s="76" t="str">
        <x:v>待验证</x:v>
      </x:c>
      <x:c r="AC197" s="76" t="str"/>
      <x:c r="AD197" s="76" t="str">
        <x:v>provisional=true; rule_group=BASE-宫位层级; palace_rule=主气＋中气跨系统</x:v>
      </x:c>
      <x:c r="AE197" s="82" t="str">
        <x:v>0.2</x:v>
      </x:c>
    </x:row>
    <x:row r="198">
      <x:c r="A198" s="81" t="str">
        <x:v>M4-BASE-194</x:v>
      </x:c>
      <x:c r="B198" s="76" t="str">
        <x:v>主中同时抢先｜K05竞争候选</x:v>
      </x:c>
      <x:c r="C198" s="76" t="str">
        <x:v>L5 宫位层级与动态</x:v>
      </x:c>
      <x:c r="D198" s="76" t="str">
        <x:v>BASE-宫位层级</x:v>
      </x:c>
      <x:c r="E198" s="76" t="str">
        <x:v>通用</x:v>
      </x:c>
      <x:c r="F198" s="76" t="str">
        <x:v>组合候选</x:v>
      </x:c>
      <x:c r="G198" s="76" t="str">
        <x:v>主气＋中气</x:v>
      </x:c>
      <x:c r="H198" s="76" t="str"/>
      <x:c r="I198" s="76" t="str">
        <x:v>两个跨系统功能都强、有根、近位，并在同一关系任务中抢占第一反应；无明确顺序或桥接。</x:v>
      </x:c>
      <x:c r="J198" s="76" t="str">
        <x:v>两者已有分工、先后或调节关系。</x:v>
      </x:c>
      <x:c r="K198" s="76" t="str">
        <x:v>由共享基础引擎提供；只修正承载与执行，不直接等同强弱人格。</x:v>
      </x:c>
      <x:c r="L198" s="76" t="str">
        <x:v>由M2接口提供；夫妻星只参与关系议题权重，不单独生成盲点。</x:v>
      </x:c>
      <x:c r="M198" s="76" t="str">
        <x:v>由M3-BASE与共享引擎提供；不得把日支直接写成配偶性格。</x:v>
      </x:c>
      <x:c r="N198" s="76" t="str">
        <x:v>无／待后续规则组合</x:v>
      </x:c>
      <x:c r="O198" s="76" t="str">
        <x:v>由共享基础引擎判定</x:v>
      </x:c>
      <x:c r="P198" s="76" t="str">
        <x:v>由共享基础引擎判定</x:v>
      </x:c>
      <x:c r="Q198" s="76" t="str">
        <x:v>由共享基础引擎判定</x:v>
      </x:c>
      <x:c r="R198" s="76" t="str">
        <x:v>喜忌只修正调用摩擦与平衡，不直接等同好坏。</x:v>
      </x:c>
      <x:c r="S198" s="76" t="str">
        <x:v>原十神性质有效；真合化成立时按化神系统替换。</x:v>
      </x:c>
      <x:c r="T198" s="76" t="str">
        <x:v>由共享基础引擎判定</x:v>
      </x:c>
      <x:c r="U198" s="76" t="str">
        <x:v>82</x:v>
      </x:c>
      <x:c r="V198" s="76" t="str">
        <x:v>K05 +6</x:v>
      </x:c>
      <x:c r="W198" s="76" t="str">
        <x:v>imbalance_mechanism</x:v>
      </x:c>
      <x:c r="X198" s="76" t="str">
        <x:v>可生成K05双通道竞争候选，但仍需触发或M3顺序证据。</x:v>
      </x:c>
      <x:c r="Y198" s="76" t="str">
        <x:v>当两种功能同时想先处理同一件事，可能出现内部拉扯；是否形成问题还要看现实顺序。</x:v>
      </x:c>
      <x:c r="Z19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8" s="76" t="str">
        <x:v>中</x:v>
      </x:c>
      <x:c r="AB198" s="76" t="str">
        <x:v>待验证</x:v>
      </x:c>
      <x:c r="AC198" s="76" t="str"/>
      <x:c r="AD198" s="76" t="str">
        <x:v>provisional=true; rule_group=BASE-宫位层级; palace_rule=主气＋中气</x:v>
      </x:c>
      <x:c r="AE198" s="82" t="str">
        <x:v>0.2</x:v>
      </x:c>
    </x:row>
    <x:row r="199">
      <x:c r="A199" s="81" t="str">
        <x:v>M4-BASE-195</x:v>
      </x:c>
      <x:c r="B199" s="76" t="str">
        <x:v>双功能共存｜不自动双盲点</x:v>
      </x:c>
      <x:c r="C199" s="76" t="str">
        <x:v>L5 宫位层级与动态</x:v>
      </x:c>
      <x:c r="D199" s="76" t="str">
        <x:v>BASE-宫位层级</x:v>
      </x:c>
      <x:c r="E199" s="76" t="str">
        <x:v>通用</x:v>
      </x:c>
      <x:c r="F199" s="76" t="str">
        <x:v>边界</x:v>
      </x:c>
      <x:c r="G199" s="76" t="str">
        <x:v>两项有效功能</x:v>
      </x:c>
      <x:c r="H199" s="76" t="str"/>
      <x:c r="I199" s="76" t="str">
        <x:v>主气与次功能均有效。</x:v>
      </x:c>
      <x:c r="J199" s="76" t="str"/>
      <x:c r="K199" s="76" t="str">
        <x:v>由共享基础引擎提供；只修正承载与执行，不直接等同强弱人格。</x:v>
      </x:c>
      <x:c r="L199" s="76" t="str">
        <x:v>由M2接口提供；夫妻星只参与关系议题权重，不单独生成盲点。</x:v>
      </x:c>
      <x:c r="M199" s="76" t="str">
        <x:v>由M3-BASE与共享引擎提供；不得把日支直接写成配偶性格。</x:v>
      </x:c>
      <x:c r="N199" s="76" t="str">
        <x:v>无／待后续规则组合</x:v>
      </x:c>
      <x:c r="O199" s="76" t="str">
        <x:v>由共享基础引擎判定</x:v>
      </x:c>
      <x:c r="P199" s="76" t="str">
        <x:v>由共享基础引擎判定</x:v>
      </x:c>
      <x:c r="Q199" s="76" t="str">
        <x:v>由共享基础引擎判定</x:v>
      </x:c>
      <x:c r="R199" s="76" t="str">
        <x:v>喜忌只修正调用摩擦与平衡，不直接等同好坏。</x:v>
      </x:c>
      <x:c r="S199" s="76" t="str">
        <x:v>原十神性质有效；真合化成立时按化神系统替换。</x:v>
      </x:c>
      <x:c r="T199" s="76" t="str">
        <x:v>由共享基础引擎判定</x:v>
      </x:c>
      <x:c r="U199" s="76" t="str">
        <x:v>92</x:v>
      </x:c>
      <x:c r="V199" s="76" t="str">
        <x:v>不加分；先查buffer</x:v>
      </x:c>
      <x:c r="W199" s="76" t="str">
        <x:v>boundary_note</x:v>
      </x:c>
      <x:c r="X199" s="76" t="str">
        <x:v>两项功能可能形成分工、桥接或保护，不自动等于两个问题。</x:v>
      </x:c>
      <x:c r="Y199" s="76" t="str">
        <x:v>两种功能同时存在，可能是互补而不是冲突；会先检查它们是否能分工和通关。</x:v>
      </x:c>
      <x:c r="Z19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199" s="76" t="str">
        <x:v>高</x:v>
      </x:c>
      <x:c r="AB199" s="76" t="str">
        <x:v>待验证</x:v>
      </x:c>
      <x:c r="AC199" s="76" t="str"/>
      <x:c r="AD199" s="76" t="str">
        <x:v>provisional=true; rule_group=BASE-宫位层级; palace_rule=两项有效功能</x:v>
      </x:c>
      <x:c r="AE199" s="82" t="str">
        <x:v>0.2</x:v>
      </x:c>
    </x:row>
    <x:row r="200">
      <x:c r="A200" s="81" t="str">
        <x:v>M4-BASE-196</x:v>
      </x:c>
      <x:c r="B200" s="76" t="str">
        <x:v>夫妻星入日支｜M2—M3连续性</x:v>
      </x:c>
      <x:c r="C200" s="76" t="str">
        <x:v>L5 宫位层级与动态</x:v>
      </x:c>
      <x:c r="D200" s="76" t="str">
        <x:v>BASE-宫位层级</x:v>
      </x:c>
      <x:c r="E200" s="76" t="str">
        <x:v>通用</x:v>
      </x:c>
      <x:c r="F200" s="76" t="str">
        <x:v>接口</x:v>
      </x:c>
      <x:c r="G200" s="76" t="str">
        <x:v>夫妻星入日支</x:v>
      </x:c>
      <x:c r="H200" s="76" t="str"/>
      <x:c r="I200" s="76" t="str">
        <x:v>女命官杀或男命财星进入日支，夫妻星性质有效。</x:v>
      </x:c>
      <x:c r="J200" s="76" t="str">
        <x:v>夫妻星映射或真合化状态争议。</x:v>
      </x:c>
      <x:c r="K200" s="76" t="str">
        <x:v>由共享基础引擎提供；只修正承载与执行，不直接等同强弱人格。</x:v>
      </x:c>
      <x:c r="L200" s="76" t="str">
        <x:v>由M2接口提供；夫妻星只参与关系议题权重，不单独生成盲点。</x:v>
      </x:c>
      <x:c r="M200" s="76" t="str">
        <x:v>由M3-BASE与共享引擎提供；不得把日支直接写成配偶性格。</x:v>
      </x:c>
      <x:c r="N200" s="76" t="str">
        <x:v>无／待后续规则组合</x:v>
      </x:c>
      <x:c r="O200" s="76" t="str">
        <x:v>由共享基础引擎判定</x:v>
      </x:c>
      <x:c r="P200" s="76" t="str">
        <x:v>由共享基础引擎判定</x:v>
      </x:c>
      <x:c r="Q200" s="76" t="str">
        <x:v>由共享基础引擎判定</x:v>
      </x:c>
      <x:c r="R200" s="76" t="str">
        <x:v>喜忌只修正调用摩擦与平衡，不直接等同好坏。</x:v>
      </x:c>
      <x:c r="S200" s="76" t="str">
        <x:v>原十神性质有效；真合化成立时按化神系统替换。</x:v>
      </x:c>
      <x:c r="T200" s="76" t="str">
        <x:v>由共享基础引擎判定</x:v>
      </x:c>
      <x:c r="U200" s="76" t="str">
        <x:v>78</x:v>
      </x:c>
      <x:c r="V200" s="76" t="str">
        <x:v>相关性 +2；同源不重复</x:v>
      </x:c>
      <x:c r="W200" s="76" t="str">
        <x:v>cross_model_ref</x:v>
      </x:c>
      <x:c r="X200" s="76" t="str">
        <x:v>该事实可说明关系选择标准与相处功能连续，但不独立生成M4盲点。</x:v>
      </x:c>
      <x:c r="Y200" s="76" t="str">
        <x:v>你选择关系时重视的某类证据，可能也会进入日常相处；是否失衡仍要另看调节和现实行为。</x:v>
      </x:c>
      <x:c r="Z20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00" s="76" t="str">
        <x:v>中</x:v>
      </x:c>
      <x:c r="AB200" s="76" t="str">
        <x:v>待验证</x:v>
      </x:c>
      <x:c r="AC200" s="76" t="str"/>
      <x:c r="AD200" s="76" t="str">
        <x:v>provisional=true; rule_group=BASE-宫位层级; palace_rule=夫妻星入日支</x:v>
      </x:c>
      <x:c r="AE200" s="82" t="str">
        <x:v>0.2</x:v>
      </x:c>
    </x:row>
    <x:row r="201">
      <x:c r="A201" s="81" t="str">
        <x:v>M4-BASE-197</x:v>
      </x:c>
      <x:c r="B201" s="76" t="str">
        <x:v>夫妻星入宫｜同源去重</x:v>
      </x:c>
      <x:c r="C201" s="76" t="str">
        <x:v>L5 宫位层级与动态</x:v>
      </x:c>
      <x:c r="D201" s="76" t="str">
        <x:v>BASE-宫位层级</x:v>
      </x:c>
      <x:c r="E201" s="76" t="str">
        <x:v>通用</x:v>
      </x:c>
      <x:c r="F201" s="76" t="str">
        <x:v>去重</x:v>
      </x:c>
      <x:c r="G201" s="76" t="str">
        <x:v>夫妻星＋日支</x:v>
      </x:c>
      <x:c r="H201" s="76" t="str"/>
      <x:c r="I201" s="76" t="str">
        <x:v>同一夫妻星入宫事实被M2、M3和M4多次读取。</x:v>
      </x:c>
      <x:c r="J201" s="76" t="str"/>
      <x:c r="K201" s="76" t="str">
        <x:v>由共享基础引擎提供；只修正承载与执行，不直接等同强弱人格。</x:v>
      </x:c>
      <x:c r="L201" s="76" t="str">
        <x:v>由M2接口提供；夫妻星只参与关系议题权重，不单独生成盲点。</x:v>
      </x:c>
      <x:c r="M201" s="76" t="str">
        <x:v>由M3-BASE与共享引擎提供；不得把日支直接写成配偶性格。</x:v>
      </x:c>
      <x:c r="N201" s="76" t="str">
        <x:v>无／待后续规则组合</x:v>
      </x:c>
      <x:c r="O201" s="76" t="str">
        <x:v>由共享基础引擎判定</x:v>
      </x:c>
      <x:c r="P201" s="76" t="str">
        <x:v>由共享基础引擎判定</x:v>
      </x:c>
      <x:c r="Q201" s="76" t="str">
        <x:v>由共享基础引擎判定</x:v>
      </x:c>
      <x:c r="R201" s="76" t="str">
        <x:v>喜忌只修正调用摩擦与平衡，不直接等同好坏。</x:v>
      </x:c>
      <x:c r="S201" s="76" t="str">
        <x:v>原十神性质有效；真合化成立时按化神系统替换。</x:v>
      </x:c>
      <x:c r="T201" s="76" t="str">
        <x:v>由共享基础引擎判定</x:v>
      </x:c>
      <x:c r="U201" s="76" t="str">
        <x:v>96</x:v>
      </x:c>
      <x:c r="V201" s="76" t="str">
        <x:v>source_id只计一次</x:v>
      </x:c>
      <x:c r="W201" s="76" t="str">
        <x:v>dedup_log</x:v>
      </x:c>
      <x:c r="X201" s="76" t="str">
        <x:v>只计算一次基础事实；跨模型一致只能说明连续性。</x:v>
      </x:c>
      <x:c r="Y201" s="76" t="str">
        <x:v>同一个夫妻星入宫事实不会因为在多个模型中出现就被重复放大。</x:v>
      </x:c>
      <x:c r="Z20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01" s="76" t="str">
        <x:v>高</x:v>
      </x:c>
      <x:c r="AB201" s="76" t="str">
        <x:v>待验证</x:v>
      </x:c>
      <x:c r="AC201" s="76" t="str"/>
      <x:c r="AD201" s="76" t="str">
        <x:v>provisional=true; rule_group=BASE-宫位层级; palace_rule=夫妻星＋日支</x:v>
      </x:c>
      <x:c r="AE201" s="82" t="str">
        <x:v>0.2</x:v>
      </x:c>
    </x:row>
    <x:row r="202">
      <x:c r="A202" s="81" t="str">
        <x:v>M4-BASE-198</x:v>
      </x:c>
      <x:c r="B202" s="76" t="str">
        <x:v>日干日支生克｜与日支十神去重</x:v>
      </x:c>
      <x:c r="C202" s="76" t="str">
        <x:v>L5 宫位层级与动态</x:v>
      </x:c>
      <x:c r="D202" s="76" t="str">
        <x:v>BASE-宫位层级</x:v>
      </x:c>
      <x:c r="E202" s="76" t="str">
        <x:v>通用</x:v>
      </x:c>
      <x:c r="F202" s="76" t="str">
        <x:v>去重</x:v>
      </x:c>
      <x:c r="G202" s="76" t="str">
        <x:v>日干日支关系</x:v>
      </x:c>
      <x:c r="H202" s="76" t="str"/>
      <x:c r="I202" s="76" t="str">
        <x:v>日干日支生克、日支十神和M3五系统映射来自同一关系。</x:v>
      </x:c>
      <x:c r="J202" s="76" t="str"/>
      <x:c r="K202" s="76" t="str">
        <x:v>由共享基础引擎提供；只修正承载与执行，不直接等同强弱人格。</x:v>
      </x:c>
      <x:c r="L202" s="76" t="str">
        <x:v>由M2接口提供；夫妻星只参与关系议题权重，不单独生成盲点。</x:v>
      </x:c>
      <x:c r="M202" s="76" t="str">
        <x:v>由M3-BASE与共享引擎提供；不得把日支直接写成配偶性格。</x:v>
      </x:c>
      <x:c r="N202" s="76" t="str">
        <x:v>无／待后续规则组合</x:v>
      </x:c>
      <x:c r="O202" s="76" t="str">
        <x:v>由共享基础引擎判定</x:v>
      </x:c>
      <x:c r="P202" s="76" t="str">
        <x:v>由共享基础引擎判定</x:v>
      </x:c>
      <x:c r="Q202" s="76" t="str">
        <x:v>由共享基础引擎判定</x:v>
      </x:c>
      <x:c r="R202" s="76" t="str">
        <x:v>喜忌只修正调用摩擦与平衡，不直接等同好坏。</x:v>
      </x:c>
      <x:c r="S202" s="76" t="str">
        <x:v>原十神性质有效；真合化成立时按化神系统替换。</x:v>
      </x:c>
      <x:c r="T202" s="76" t="str">
        <x:v>由共享基础引擎判定</x:v>
      </x:c>
      <x:c r="U202" s="76" t="str">
        <x:v>96</x:v>
      </x:c>
      <x:c r="V202" s="76" t="str">
        <x:v>同源去重</x:v>
      </x:c>
      <x:c r="W202" s="76" t="str">
        <x:v>dedup_log</x:v>
      </x:c>
      <x:c r="X202" s="76" t="str">
        <x:v>三者是同一事实的不同解释层，只计一次。</x:v>
      </x:c>
      <x:c r="Y202" s="76" t="str">
        <x:v>同一个日柱关系不会因为换成五行、生克和十神三种说法就变成三份证据。</x:v>
      </x:c>
      <x:c r="Z20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02" s="76" t="str">
        <x:v>高</x:v>
      </x:c>
      <x:c r="AB202" s="76" t="str">
        <x:v>待验证</x:v>
      </x:c>
      <x:c r="AC202" s="76" t="str"/>
      <x:c r="AD202" s="76" t="str">
        <x:v>provisional=true; rule_group=BASE-宫位层级; palace_rule=日干日支关系</x:v>
      </x:c>
      <x:c r="AE202" s="82" t="str">
        <x:v>0.2</x:v>
      </x:c>
    </x:row>
    <x:row r="203">
      <x:c r="A203" s="81" t="str">
        <x:v>M4-BASE-199</x:v>
      </x:c>
      <x:c r="B203" s="76" t="str">
        <x:v>日柱近位｜主轴优先但不定性</x:v>
      </x:c>
      <x:c r="C203" s="76" t="str">
        <x:v>L5 宫位层级与动态</x:v>
      </x:c>
      <x:c r="D203" s="76" t="str">
        <x:v>BASE-宫位层级</x:v>
      </x:c>
      <x:c r="E203" s="76" t="str">
        <x:v>通用</x:v>
      </x:c>
      <x:c r="F203" s="76" t="str">
        <x:v>位置修正</x:v>
      </x:c>
      <x:c r="G203" s="76" t="str">
        <x:v>日柱近位</x:v>
      </x:c>
      <x:c r="H203" s="76" t="str"/>
      <x:c r="I203" s="76" t="str">
        <x:v>功能信号位于日柱并有效。</x:v>
      </x:c>
      <x:c r="J203" s="76" t="str">
        <x:v>已由日支主气计满基础分；真合化替换。</x:v>
      </x:c>
      <x:c r="K203" s="76" t="str">
        <x:v>由共享基础引擎提供；只修正承载与执行，不直接等同强弱人格。</x:v>
      </x:c>
      <x:c r="L203" s="76" t="str">
        <x:v>由M2接口提供；夫妻星只参与关系议题权重，不单独生成盲点。</x:v>
      </x:c>
      <x:c r="M203" s="76" t="str">
        <x:v>由M3-BASE与共享引擎提供；不得把日支直接写成配偶性格。</x:v>
      </x:c>
      <x:c r="N203" s="76" t="str">
        <x:v>无／待后续规则组合</x:v>
      </x:c>
      <x:c r="O203" s="76" t="str">
        <x:v>由共享基础引擎判定</x:v>
      </x:c>
      <x:c r="P203" s="76" t="str">
        <x:v>由共享基础引擎判定</x:v>
      </x:c>
      <x:c r="Q203" s="76" t="str">
        <x:v>由共享基础引擎判定</x:v>
      </x:c>
      <x:c r="R203" s="76" t="str">
        <x:v>喜忌只修正调用摩擦与平衡，不直接等同好坏。</x:v>
      </x:c>
      <x:c r="S203" s="76" t="str">
        <x:v>原十神性质有效；真合化成立时按化神系统替换。</x:v>
      </x:c>
      <x:c r="T203" s="76" t="str">
        <x:v>由共享基础引擎判定</x:v>
      </x:c>
      <x:c r="U203" s="76" t="str">
        <x:v>76</x:v>
      </x:c>
      <x:c r="V203" s="76" t="str">
        <x:v>相关性 +2；同源不重复</x:v>
      </x:c>
      <x:c r="W203" s="76" t="str">
        <x:v>distance_level</x:v>
      </x:c>
      <x:c r="X203" s="76" t="str">
        <x:v>近位提高亲密关系相关性，不能直接决定失衡机制。</x:v>
      </x:c>
      <x:c r="Y203" s="76" t="str">
        <x:v>它更容易进入亲密相处，但是否成为盲点仍取决于调用方式。</x:v>
      </x:c>
      <x:c r="Z20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03" s="76" t="str">
        <x:v>中</x:v>
      </x:c>
      <x:c r="AB203" s="76" t="str">
        <x:v>待验证</x:v>
      </x:c>
      <x:c r="AC203" s="76" t="str"/>
      <x:c r="AD203" s="76" t="str">
        <x:v>provisional=true; rule_group=BASE-宫位层级; palace_rule=日柱近位</x:v>
      </x:c>
      <x:c r="AE203" s="82" t="str">
        <x:v>0.2</x:v>
      </x:c>
    </x:row>
    <x:row r="204">
      <x:c r="A204" s="81" t="str">
        <x:v>M4-BASE-200</x:v>
      </x:c>
      <x:c r="B204" s="76" t="str">
        <x:v>夫妻宫基础状态争议｜停止主轴</x:v>
      </x:c>
      <x:c r="C204" s="76" t="str">
        <x:v>L5 宫位层级与动态</x:v>
      </x:c>
      <x:c r="D204" s="76" t="str">
        <x:v>BASE-宫位层级</x:v>
      </x:c>
      <x:c r="E204" s="76" t="str">
        <x:v>通用</x:v>
      </x:c>
      <x:c r="F204" s="76" t="str">
        <x:v>停止</x:v>
      </x:c>
      <x:c r="G204" s="76" t="str">
        <x:v>日支／夫妻宫争议</x:v>
      </x:c>
      <x:c r="H204" s="76" t="str"/>
      <x:c r="I204" s="76" t="str">
        <x:v>日支藏干、十神、真合化或宫位动态结论存在关键争议。</x:v>
      </x:c>
      <x:c r="J204" s="76" t="str"/>
      <x:c r="K204" s="76" t="str">
        <x:v>由共享基础引擎提供；只修正承载与执行，不直接等同强弱人格。</x:v>
      </x:c>
      <x:c r="L204" s="76" t="str">
        <x:v>由M2接口提供；夫妻星只参与关系议题权重，不单独生成盲点。</x:v>
      </x:c>
      <x:c r="M204" s="76" t="str">
        <x:v>由M3-BASE与共享引擎提供；不得把日支直接写成配偶性格。</x:v>
      </x:c>
      <x:c r="N204" s="76" t="str">
        <x:v>无／待后续规则组合</x:v>
      </x:c>
      <x:c r="O204" s="76" t="str">
        <x:v>由共享基础引擎判定</x:v>
      </x:c>
      <x:c r="P204" s="76" t="str">
        <x:v>由共享基础引擎判定</x:v>
      </x:c>
      <x:c r="Q204" s="76" t="str">
        <x:v>由共享基础引擎判定</x:v>
      </x:c>
      <x:c r="R204" s="76" t="str">
        <x:v>喜忌只修正调用摩擦与平衡，不直接等同好坏。</x:v>
      </x:c>
      <x:c r="S204" s="76" t="str">
        <x:v>原十神性质有效；真合化成立时按化神系统替换。</x:v>
      </x:c>
      <x:c r="T204" s="76" t="str">
        <x:v>由共享基础引擎判定</x:v>
      </x:c>
      <x:c r="U204" s="76" t="str">
        <x:v>100</x:v>
      </x:c>
      <x:c r="V204" s="76" t="str">
        <x:v>STOP主轴；封顶低</x:v>
      </x:c>
      <x:c r="W204" s="76" t="str">
        <x:v>stop_reason</x:v>
      </x:c>
      <x:c r="X204" s="76" t="str">
        <x:v>M4-BASE不得在关系核心事实未定时固定主功能或主盲点。</x:v>
      </x:c>
      <x:c r="Y204" s="76" t="str">
        <x:v>当前夫妻宫基础状态还不够清楚，因此主盲点暂不固定。</x:v>
      </x:c>
      <x:c r="Z20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04" s="76" t="str">
        <x:v>高</x:v>
      </x:c>
      <x:c r="AB204" s="76" t="str">
        <x:v>待验证</x:v>
      </x:c>
      <x:c r="AC204" s="76" t="str"/>
      <x:c r="AD204" s="76" t="str">
        <x:v>provisional=true; rule_group=BASE-宫位层级; palace_rule=日支／夫妻宫争议</x:v>
      </x:c>
      <x:c r="AE204" s="82" t="str">
        <x:v>0.2</x:v>
      </x:c>
    </x:row>
    <x:row r="205">
      <x:c r="A205" s="81" t="str">
        <x:v>M4-BASE-201</x:v>
      </x:c>
      <x:c r="B205" s="76" t="str">
        <x:v>日支合｜中性功能定义</x:v>
      </x:c>
      <x:c r="C205" s="76" t="str">
        <x:v>L5 宫位层级与动态</x:v>
      </x:c>
      <x:c r="D205" s="76" t="str">
        <x:v>BASE-宫位动态</x:v>
      </x:c>
      <x:c r="E205" s="76" t="str">
        <x:v>通用</x:v>
      </x:c>
      <x:c r="F205" s="76" t="str">
        <x:v>定义</x:v>
      </x:c>
      <x:c r="G205" s="76" t="str">
        <x:v>日支合</x:v>
      </x:c>
      <x:c r="H205" s="76" t="str"/>
      <x:c r="I205" s="76" t="str">
        <x:v>共享引擎确认原局日支合成立；结构类型、对象和是否合化已分清。</x:v>
      </x:c>
      <x:c r="J205" s="76" t="str">
        <x:v>结构未成立、仅为流年短暂作用却被写成原局，或真合化需另路由。</x:v>
      </x:c>
      <x:c r="K205" s="76" t="str">
        <x:v>由共享基础引擎提供；只修正承载与执行，不直接等同强弱人格。</x:v>
      </x:c>
      <x:c r="L205" s="76" t="str">
        <x:v>由M2接口提供；夫妻星只参与关系议题权重，不单独生成盲点。</x:v>
      </x:c>
      <x:c r="M205" s="76" t="str">
        <x:v>日支合：议题相互牵连、多个关系任务容易被整体化处理，边界与功能不易完全分开。</x:v>
      </x:c>
      <x:c r="N205" s="76" t="str">
        <x:v>无／待后续规则组合</x:v>
      </x:c>
      <x:c r="O205" s="76" t="str">
        <x:v>由共享基础引擎判定</x:v>
      </x:c>
      <x:c r="P205" s="76" t="str">
        <x:v>由共享基础引擎判定</x:v>
      </x:c>
      <x:c r="Q205" s="76" t="str">
        <x:v>由共享基础引擎判定</x:v>
      </x:c>
      <x:c r="R205" s="76" t="str">
        <x:v>喜忌只修正调用摩擦与平衡，不直接等同好坏。</x:v>
      </x:c>
      <x:c r="S205" s="76" t="str">
        <x:v>原十神性质有效；真合化成立时按化神系统替换。</x:v>
      </x:c>
      <x:c r="T205" s="76" t="str">
        <x:v>由共享基础引擎判定</x:v>
      </x:c>
      <x:c r="U205" s="76" t="str">
        <x:v>80</x:v>
      </x:c>
      <x:c r="V205" s="76" t="str">
        <x:v>不加分；动态定义</x:v>
      </x:c>
      <x:c r="W205" s="76" t="str">
        <x:v>palace_dynamic</x:v>
      </x:c>
      <x:c r="X205" s="76" t="str">
        <x:v>议题相互牵连、多个关系任务容易被整体化处理，边界与功能不易完全分开。</x:v>
      </x:c>
      <x:c r="Y205" s="76" t="str">
        <x:v>相关议题容易被放在一起理解，分析时需要分清：哪些是感受，哪些是责任，哪些是现实安排。</x:v>
      </x:c>
      <x:c r="Z205" s="76" t="str">
        <x:v>不得由“合”直接推出纠缠、第三者、离不开、婚姻稳定或感情必然好坏。</x:v>
      </x:c>
      <x:c r="AA205" s="76" t="str">
        <x:v>中高</x:v>
      </x:c>
      <x:c r="AB205" s="76" t="str">
        <x:v>待验证</x:v>
      </x:c>
      <x:c r="AC205" s="76" t="str"/>
      <x:c r="AD205" s="76" t="str">
        <x:v>provisional=true; dynamic=合; subtype=definition</x:v>
      </x:c>
      <x:c r="AE205" s="82" t="str">
        <x:v>0.2</x:v>
      </x:c>
    </x:row>
    <x:row r="206">
      <x:c r="A206" s="81" t="str">
        <x:v>M4-BASE-202</x:v>
      </x:c>
      <x:c r="B206" s="76" t="str">
        <x:v>日支合｜与有效功能结合</x:v>
      </x:c>
      <x:c r="C206" s="76" t="str">
        <x:v>L5 宫位层级与动态</x:v>
      </x:c>
      <x:c r="D206" s="76" t="str">
        <x:v>BASE-宫位动态</x:v>
      </x:c>
      <x:c r="E206" s="76" t="str">
        <x:v>通用</x:v>
      </x:c>
      <x:c r="F206" s="76" t="str">
        <x:v>修正</x:v>
      </x:c>
      <x:c r="G206" s="76" t="str">
        <x:v>日支合</x:v>
      </x:c>
      <x:c r="H206" s="76" t="str">
        <x:v>有效M3／M4功能通道</x:v>
      </x:c>
      <x:c r="I206" s="76" t="str">
        <x:v>日支合成立；至少一个正常功能来源可靠；动态与该功能作用对象明确。</x:v>
      </x:c>
      <x:c r="J206" s="76" t="str">
        <x:v>只有合而没有有效功能通道；作用对象不明。</x:v>
      </x:c>
      <x:c r="K206" s="76" t="str">
        <x:v>由共享基础引擎提供；只修正承载与执行，不直接等同强弱人格。</x:v>
      </x:c>
      <x:c r="L206" s="76" t="str">
        <x:v>由M2接口提供；夫妻星只参与关系议题权重，不单独生成盲点。</x:v>
      </x:c>
      <x:c r="M206" s="76" t="str">
        <x:v>合修正功能调用节奏</x:v>
      </x:c>
      <x:c r="N206" s="76" t="str">
        <x:v>可修正K03单通道替代或K05双通道竞争，也可在有效通关时成为整合条件。</x:v>
      </x:c>
      <x:c r="O206" s="76" t="str">
        <x:v>由共享基础引擎判定</x:v>
      </x:c>
      <x:c r="P206" s="76" t="str">
        <x:v>由共享基础引擎判定</x:v>
      </x:c>
      <x:c r="Q206" s="76" t="str">
        <x:v>由共享基础引擎判定</x:v>
      </x:c>
      <x:c r="R206" s="76" t="str">
        <x:v>喜忌只修正调用摩擦与平衡，不直接等同好坏。</x:v>
      </x:c>
      <x:c r="S206" s="76" t="str">
        <x:v>原十神性质有效；真合化成立时按化神系统替换。</x:v>
      </x:c>
      <x:c r="T206" s="76" t="str">
        <x:v>由共享基础引擎判定</x:v>
      </x:c>
      <x:c r="U206" s="76" t="str">
        <x:v>78</x:v>
      </x:c>
      <x:c r="V206" s="76" t="str">
        <x:v>相关机制候选 +3</x:v>
      </x:c>
      <x:c r="W206" s="76" t="str">
        <x:v>imbalance_mechanism</x:v>
      </x:c>
      <x:c r="X206" s="76" t="str">
        <x:v>合不能独立生成盲点，但与有效功能结合时：可修正K03单通道替代或K05双通道竞争，也可在有效通关时成为整合条件。</x:v>
      </x:c>
      <x:c r="Y206" s="76" t="str">
        <x:v>相关议题容易被放在一起理解，分析时需要分清：哪些是感受，哪些是责任，哪些是现实安排。 这只修正关系节奏，不直接判断结果。</x:v>
      </x:c>
      <x:c r="Z206" s="76" t="str">
        <x:v>不得由“合”直接推出纠缠、第三者、离不开、婚姻稳定或感情必然好坏。</x:v>
      </x:c>
      <x:c r="AA206" s="76" t="str">
        <x:v>中</x:v>
      </x:c>
      <x:c r="AB206" s="76" t="str">
        <x:v>待验证</x:v>
      </x:c>
      <x:c r="AC206" s="76" t="str"/>
      <x:c r="AD206" s="76" t="str">
        <x:v>provisional=true; dynamic=合; subtype=function_modifier</x:v>
      </x:c>
      <x:c r="AE206" s="82" t="str">
        <x:v>0.2</x:v>
      </x:c>
    </x:row>
    <x:row r="207">
      <x:c r="A207" s="81" t="str">
        <x:v>M4-BASE-203</x:v>
      </x:c>
      <x:c r="B207" s="76" t="str">
        <x:v>日支合｜触发域候选</x:v>
      </x:c>
      <x:c r="C207" s="76" t="str">
        <x:v>L5 宫位层级与动态</x:v>
      </x:c>
      <x:c r="D207" s="76" t="str">
        <x:v>BASE-宫位动态</x:v>
      </x:c>
      <x:c r="E207" s="76" t="str">
        <x:v>通用</x:v>
      </x:c>
      <x:c r="F207" s="76" t="str">
        <x:v>触发候选</x:v>
      </x:c>
      <x:c r="G207" s="76" t="str">
        <x:v>日支合</x:v>
      </x:c>
      <x:c r="H207" s="76" t="str">
        <x:v>TR触发域候选</x:v>
      </x:c>
      <x:c r="I207" s="76" t="str">
        <x:v>日支合成立；E1结构候选已成立；存在与该动态匹配的关系情境或阶段引动。</x:v>
      </x:c>
      <x:c r="J207" s="76" t="str">
        <x:v>没有E1功能失衡候选；仅凭动态想象触发情境；保护因素足以中断。</x:v>
      </x:c>
      <x:c r="K207" s="76" t="str">
        <x:v>由共享基础引擎提供；只修正承载与执行，不直接等同强弱人格。</x:v>
      </x:c>
      <x:c r="L207" s="76" t="str">
        <x:v>由M2接口提供；夫妻星只参与关系议题权重，不单独生成盲点。</x:v>
      </x:c>
      <x:c r="M207" s="76" t="str">
        <x:v>合作为触发节奏修正</x:v>
      </x:c>
      <x:c r="N207" s="76" t="str">
        <x:v>无／待后续规则组合</x:v>
      </x:c>
      <x:c r="O207" s="76" t="str">
        <x:v>由共享基础引擎判定</x:v>
      </x:c>
      <x:c r="P207" s="76" t="str">
        <x:v>由共享基础引擎判定</x:v>
      </x:c>
      <x:c r="Q207" s="76" t="str">
        <x:v>由共享基础引擎判定</x:v>
      </x:c>
      <x:c r="R207" s="76" t="str">
        <x:v>喜忌只修正调用摩擦与平衡，不直接等同好坏。</x:v>
      </x:c>
      <x:c r="S207" s="76" t="str">
        <x:v>原十神性质有效；真合化成立时按化神系统替换。</x:v>
      </x:c>
      <x:c r="T207" s="76" t="str">
        <x:v>由共享基础引擎判定</x:v>
      </x:c>
      <x:c r="U207" s="76" t="str">
        <x:v>76</x:v>
      </x:c>
      <x:c r="V207" s="76" t="str">
        <x:v>trigger candidate +3；不得单独建立E2</x:v>
      </x:c>
      <x:c r="W207" s="76" t="str">
        <x:v>activation_trigger</x:v>
      </x:c>
      <x:c r="X207" s="76" t="str">
        <x:v>在承诺、资源、情绪或空间议题同时出现时，更容易把多个问题绑在一起处理。</x:v>
      </x:c>
      <x:c r="Y207" s="76" t="str">
        <x:v>在以下情境中，这项候选可能更容易启动：在承诺、资源、情绪或空间议题同时出现时，更容易把多个问题绑在一起处理。</x:v>
      </x:c>
      <x:c r="Z207" s="76" t="str">
        <x:v>不得由“合”直接推出纠缠、第三者、离不开、婚姻稳定或感情必然好坏。</x:v>
      </x:c>
      <x:c r="AA207" s="76" t="str">
        <x:v>中低</x:v>
      </x:c>
      <x:c r="AB207" s="76" t="str">
        <x:v>待验证</x:v>
      </x:c>
      <x:c r="AC207" s="76" t="str"/>
      <x:c r="AD207" s="76" t="str">
        <x:v>provisional=true; dynamic=合; subtype=trigger_route</x:v>
      </x:c>
      <x:c r="AE207" s="82" t="str">
        <x:v>0.2</x:v>
      </x:c>
    </x:row>
    <x:row r="208">
      <x:c r="A208" s="81" t="str">
        <x:v>M4-BASE-204</x:v>
      </x:c>
      <x:c r="B208" s="76" t="str">
        <x:v>日支合｜禁止单独生成盲点</x:v>
      </x:c>
      <x:c r="C208" s="76" t="str">
        <x:v>L5 宫位层级与动态</x:v>
      </x:c>
      <x:c r="D208" s="76" t="str">
        <x:v>BASE-宫位动态</x:v>
      </x:c>
      <x:c r="E208" s="76" t="str">
        <x:v>通用</x:v>
      </x:c>
      <x:c r="F208" s="76" t="str">
        <x:v>停止</x:v>
      </x:c>
      <x:c r="G208" s="76" t="str">
        <x:v>日支合</x:v>
      </x:c>
      <x:c r="H208" s="76" t="str"/>
      <x:c r="I208" s="76" t="str">
        <x:v>当前只有日支合一项事实，没有正常功能来源、失衡机制或独立证据。</x:v>
      </x:c>
      <x:c r="J208" s="76" t="str"/>
      <x:c r="K208" s="76" t="str">
        <x:v>由共享基础引擎提供；只修正承载与执行，不直接等同强弱人格。</x:v>
      </x:c>
      <x:c r="L208" s="76" t="str">
        <x:v>由M2接口提供；夫妻星只参与关系议题权重，不单独生成盲点。</x:v>
      </x:c>
      <x:c r="M208" s="76" t="str">
        <x:v>由M3-BASE与共享引擎提供；不得把日支直接写成配偶性格。</x:v>
      </x:c>
      <x:c r="N208" s="76" t="str">
        <x:v>无／待后续规则组合</x:v>
      </x:c>
      <x:c r="O208" s="76" t="str">
        <x:v>由共享基础引擎判定</x:v>
      </x:c>
      <x:c r="P208" s="76" t="str">
        <x:v>由共享基础引擎判定</x:v>
      </x:c>
      <x:c r="Q208" s="76" t="str">
        <x:v>由共享基础引擎判定</x:v>
      </x:c>
      <x:c r="R208" s="76" t="str">
        <x:v>喜忌只修正调用摩擦与平衡，不直接等同好坏。</x:v>
      </x:c>
      <x:c r="S208" s="76" t="str">
        <x:v>原十神性质有效；真合化成立时按化神系统替换。</x:v>
      </x:c>
      <x:c r="T208" s="76" t="str">
        <x:v>由共享基础引擎判定</x:v>
      </x:c>
      <x:c r="U208" s="76" t="str">
        <x:v>96</x:v>
      </x:c>
      <x:c r="V208" s="76" t="str">
        <x:v>STOP动态单独路由</x:v>
      </x:c>
      <x:c r="W208" s="76" t="str">
        <x:v>stop_reason</x:v>
      </x:c>
      <x:c r="X208" s="76" t="str">
        <x:v>合只修正触发、切换或整合节奏，不能单独生成B01—B15。</x:v>
      </x:c>
      <x:c r="Y208" s="76" t="str">
        <x:v>仅凭“合”这一结构，不能判断具体关系问题。</x:v>
      </x:c>
      <x:c r="Z208" s="76" t="str">
        <x:v>不得由“合”直接推出纠缠、第三者、离不开、婚姻稳定或感情必然好坏。</x:v>
      </x:c>
      <x:c r="AA208" s="76" t="str">
        <x:v>高</x:v>
      </x:c>
      <x:c r="AB208" s="76" t="str">
        <x:v>待验证</x:v>
      </x:c>
      <x:c r="AC208" s="76" t="str"/>
      <x:c r="AD208" s="76" t="str">
        <x:v>provisional=true; dynamic=合; subtype=stop</x:v>
      </x:c>
      <x:c r="AE208" s="82" t="str">
        <x:v>0.2</x:v>
      </x:c>
    </x:row>
    <x:row r="209">
      <x:c r="A209" s="81" t="str">
        <x:v>M4-BASE-205</x:v>
      </x:c>
      <x:c r="B209" s="76" t="str">
        <x:v>日支合｜用户语言模板</x:v>
      </x:c>
      <x:c r="C209" s="76" t="str">
        <x:v>L8 输出与停止</x:v>
      </x:c>
      <x:c r="D209" s="76" t="str">
        <x:v>BASE-宫位动态</x:v>
      </x:c>
      <x:c r="E209" s="76" t="str">
        <x:v>通用</x:v>
      </x:c>
      <x:c r="F209" s="76" t="str">
        <x:v>输出</x:v>
      </x:c>
      <x:c r="G209" s="76" t="str">
        <x:v>日支合</x:v>
      </x:c>
      <x:c r="H209" s="76" t="str"/>
      <x:c r="I209" s="76" t="str">
        <x:v>日支合作为已通过门控的动态修正进入输出。</x:v>
      </x:c>
      <x:c r="J209" s="76" t="str">
        <x:v>动态被停止、作用对象不明或真合化替换。</x:v>
      </x:c>
      <x:c r="K209" s="76" t="str">
        <x:v>由共享基础引擎提供；只修正承载与执行，不直接等同强弱人格。</x:v>
      </x:c>
      <x:c r="L209" s="76" t="str">
        <x:v>由M2接口提供；夫妻星只参与关系议题权重，不单独生成盲点。</x:v>
      </x:c>
      <x:c r="M209" s="76" t="str">
        <x:v>由M3-BASE与共享引擎提供；不得把日支直接写成配偶性格。</x:v>
      </x:c>
      <x:c r="N209" s="76" t="str">
        <x:v>无／待后续规则组合</x:v>
      </x:c>
      <x:c r="O209" s="76" t="str">
        <x:v>由共享基础引擎判定</x:v>
      </x:c>
      <x:c r="P209" s="76" t="str">
        <x:v>由共享基础引擎判定</x:v>
      </x:c>
      <x:c r="Q209" s="76" t="str">
        <x:v>由共享基础引擎判定</x:v>
      </x:c>
      <x:c r="R209" s="76" t="str">
        <x:v>喜忌只修正调用摩擦与平衡，不直接等同好坏。</x:v>
      </x:c>
      <x:c r="S209" s="76" t="str">
        <x:v>原十神性质有效；真合化成立时按化神系统替换。</x:v>
      </x:c>
      <x:c r="T209" s="76" t="str">
        <x:v>由共享基础引擎判定</x:v>
      </x:c>
      <x:c r="U209" s="76" t="str">
        <x:v>66</x:v>
      </x:c>
      <x:c r="V209" s="76" t="str">
        <x:v>不加分；摘要</x:v>
      </x:c>
      <x:c r="W209" s="76" t="str">
        <x:v>basis_summary</x:v>
      </x:c>
      <x:c r="X209" s="76" t="str">
        <x:v>只用中性语言说明合如何修正功能节奏。</x:v>
      </x:c>
      <x:c r="Y209" s="76" t="str">
        <x:v>相关议题容易被放在一起理解，分析时需要分清：哪些是感受，哪些是责任，哪些是现实安排。</x:v>
      </x:c>
      <x:c r="Z209" s="76" t="str">
        <x:v>不得由“合”直接推出纠缠、第三者、离不开、婚姻稳定或感情必然好坏。</x:v>
      </x:c>
      <x:c r="AA209" s="76" t="str">
        <x:v>中</x:v>
      </x:c>
      <x:c r="AB209" s="76" t="str">
        <x:v>待验证</x:v>
      </x:c>
      <x:c r="AC209" s="76" t="str"/>
      <x:c r="AD209" s="76" t="str">
        <x:v>provisional=true; dynamic=合; summary_only=true</x:v>
      </x:c>
      <x:c r="AE209" s="82" t="str">
        <x:v>0.2</x:v>
      </x:c>
    </x:row>
    <x:row r="210">
      <x:c r="A210" s="81" t="str">
        <x:v>M4-BASE-206</x:v>
      </x:c>
      <x:c r="B210" s="76" t="str">
        <x:v>日支冲｜中性功能定义</x:v>
      </x:c>
      <x:c r="C210" s="76" t="str">
        <x:v>L5 宫位层级与动态</x:v>
      </x:c>
      <x:c r="D210" s="76" t="str">
        <x:v>BASE-宫位动态</x:v>
      </x:c>
      <x:c r="E210" s="76" t="str">
        <x:v>通用</x:v>
      </x:c>
      <x:c r="F210" s="76" t="str">
        <x:v>定义</x:v>
      </x:c>
      <x:c r="G210" s="76" t="str">
        <x:v>日支冲</x:v>
      </x:c>
      <x:c r="H210" s="76" t="str"/>
      <x:c r="I210" s="76" t="str">
        <x:v>共享引擎确认原局日支冲成立；结构类型、对象和是否合化已分清。</x:v>
      </x:c>
      <x:c r="J210" s="76" t="str">
        <x:v>结构未成立、仅为流年短暂作用却被写成原局，或真合化需另路由。</x:v>
      </x:c>
      <x:c r="K210" s="76" t="str">
        <x:v>由共享基础引擎提供；只修正承载与执行，不直接等同强弱人格。</x:v>
      </x:c>
      <x:c r="L210" s="76" t="str">
        <x:v>由M2接口提供；夫妻星只参与关系议题权重，不单独生成盲点。</x:v>
      </x:c>
      <x:c r="M210" s="76" t="str">
        <x:v>日支冲：差异外显、状态切换和互动节奏变化，原有安排更容易被迫调整。</x:v>
      </x:c>
      <x:c r="N210" s="76" t="str">
        <x:v>无／待后续规则组合</x:v>
      </x:c>
      <x:c r="O210" s="76" t="str">
        <x:v>由共享基础引擎判定</x:v>
      </x:c>
      <x:c r="P210" s="76" t="str">
        <x:v>由共享基础引擎判定</x:v>
      </x:c>
      <x:c r="Q210" s="76" t="str">
        <x:v>由共享基础引擎判定</x:v>
      </x:c>
      <x:c r="R210" s="76" t="str">
        <x:v>喜忌只修正调用摩擦与平衡，不直接等同好坏。</x:v>
      </x:c>
      <x:c r="S210" s="76" t="str">
        <x:v>原十神性质有效；真合化成立时按化神系统替换。</x:v>
      </x:c>
      <x:c r="T210" s="76" t="str">
        <x:v>由共享基础引擎判定</x:v>
      </x:c>
      <x:c r="U210" s="76" t="str">
        <x:v>80</x:v>
      </x:c>
      <x:c r="V210" s="76" t="str">
        <x:v>不加分；动态定义</x:v>
      </x:c>
      <x:c r="W210" s="76" t="str">
        <x:v>palace_dynamic</x:v>
      </x:c>
      <x:c r="X210" s="76" t="str">
        <x:v>差异外显、状态切换和互动节奏变化，原有安排更容易被迫调整。</x:v>
      </x:c>
      <x:c r="Y210" s="76" t="str">
        <x:v>差异和变化较容易被看见，关键不是“会不会冲突”，而是变化出现时先启动什么、能否重新协商。</x:v>
      </x:c>
      <x:c r="Z210" s="76" t="str">
        <x:v>不得由“冲”直接推出争吵、分手、离婚、搬离、背叛或关系失败。</x:v>
      </x:c>
      <x:c r="AA210" s="76" t="str">
        <x:v>中高</x:v>
      </x:c>
      <x:c r="AB210" s="76" t="str">
        <x:v>待验证</x:v>
      </x:c>
      <x:c r="AC210" s="76" t="str"/>
      <x:c r="AD210" s="76" t="str">
        <x:v>provisional=true; dynamic=冲; subtype=definition</x:v>
      </x:c>
      <x:c r="AE210" s="82" t="str">
        <x:v>0.2</x:v>
      </x:c>
    </x:row>
    <x:row r="211">
      <x:c r="A211" s="81" t="str">
        <x:v>M4-BASE-207</x:v>
      </x:c>
      <x:c r="B211" s="76" t="str">
        <x:v>日支冲｜与有效功能结合</x:v>
      </x:c>
      <x:c r="C211" s="76" t="str">
        <x:v>L5 宫位层级与动态</x:v>
      </x:c>
      <x:c r="D211" s="76" t="str">
        <x:v>BASE-宫位动态</x:v>
      </x:c>
      <x:c r="E211" s="76" t="str">
        <x:v>通用</x:v>
      </x:c>
      <x:c r="F211" s="76" t="str">
        <x:v>修正</x:v>
      </x:c>
      <x:c r="G211" s="76" t="str">
        <x:v>日支冲</x:v>
      </x:c>
      <x:c r="H211" s="76" t="str">
        <x:v>有效M3／M4功能通道</x:v>
      </x:c>
      <x:c r="I211" s="76" t="str">
        <x:v>日支冲成立；至少一个正常功能来源可靠；动态与该功能作用对象明确。</x:v>
      </x:c>
      <x:c r="J211" s="76" t="str">
        <x:v>只有冲而没有有效功能通道；作用对象不明。</x:v>
      </x:c>
      <x:c r="K211" s="76" t="str">
        <x:v>由共享基础引擎提供；只修正承载与执行，不直接等同强弱人格。</x:v>
      </x:c>
      <x:c r="L211" s="76" t="str">
        <x:v>由M2接口提供；夫妻星只参与关系议题权重，不单独生成盲点。</x:v>
      </x:c>
      <x:c r="M211" s="76" t="str">
        <x:v>冲修正功能调用节奏</x:v>
      </x:c>
      <x:c r="N211" s="76" t="str">
        <x:v>可提高K04顺序错位、K05通道竞争或阶段性K01抢先的候选权重。</x:v>
      </x:c>
      <x:c r="O211" s="76" t="str">
        <x:v>由共享基础引擎判定</x:v>
      </x:c>
      <x:c r="P211" s="76" t="str">
        <x:v>由共享基础引擎判定</x:v>
      </x:c>
      <x:c r="Q211" s="76" t="str">
        <x:v>由共享基础引擎判定</x:v>
      </x:c>
      <x:c r="R211" s="76" t="str">
        <x:v>喜忌只修正调用摩擦与平衡，不直接等同好坏。</x:v>
      </x:c>
      <x:c r="S211" s="76" t="str">
        <x:v>原十神性质有效；真合化成立时按化神系统替换。</x:v>
      </x:c>
      <x:c r="T211" s="76" t="str">
        <x:v>由共享基础引擎判定</x:v>
      </x:c>
      <x:c r="U211" s="76" t="str">
        <x:v>78</x:v>
      </x:c>
      <x:c r="V211" s="76" t="str">
        <x:v>相关机制候选 +3</x:v>
      </x:c>
      <x:c r="W211" s="76" t="str">
        <x:v>imbalance_mechanism</x:v>
      </x:c>
      <x:c r="X211" s="76" t="str">
        <x:v>冲不能独立生成盲点，但与有效功能结合时：可提高K04顺序错位、K05通道竞争或阶段性K01抢先的候选权重。</x:v>
      </x:c>
      <x:c r="Y211" s="76" t="str">
        <x:v>差异和变化较容易被看见，关键不是“会不会冲突”，而是变化出现时先启动什么、能否重新协商。 这只修正关系节奏，不直接判断结果。</x:v>
      </x:c>
      <x:c r="Z211" s="76" t="str">
        <x:v>不得由“冲”直接推出争吵、分手、离婚、搬离、背叛或关系失败。</x:v>
      </x:c>
      <x:c r="AA211" s="76" t="str">
        <x:v>中</x:v>
      </x:c>
      <x:c r="AB211" s="76" t="str">
        <x:v>待验证</x:v>
      </x:c>
      <x:c r="AC211" s="76" t="str"/>
      <x:c r="AD211" s="76" t="str">
        <x:v>provisional=true; dynamic=冲; subtype=function_modifier</x:v>
      </x:c>
      <x:c r="AE211" s="82" t="str">
        <x:v>0.2</x:v>
      </x:c>
    </x:row>
    <x:row r="212">
      <x:c r="A212" s="81" t="str">
        <x:v>M4-BASE-208</x:v>
      </x:c>
      <x:c r="B212" s="76" t="str">
        <x:v>日支冲｜触发域候选</x:v>
      </x:c>
      <x:c r="C212" s="76" t="str">
        <x:v>L5 宫位层级与动态</x:v>
      </x:c>
      <x:c r="D212" s="76" t="str">
        <x:v>BASE-宫位动态</x:v>
      </x:c>
      <x:c r="E212" s="76" t="str">
        <x:v>通用</x:v>
      </x:c>
      <x:c r="F212" s="76" t="str">
        <x:v>触发候选</x:v>
      </x:c>
      <x:c r="G212" s="76" t="str">
        <x:v>日支冲</x:v>
      </x:c>
      <x:c r="H212" s="76" t="str">
        <x:v>TR触发域候选</x:v>
      </x:c>
      <x:c r="I212" s="76" t="str">
        <x:v>日支冲成立；E1结构候选已成立；存在与该动态匹配的关系情境或阶段引动。</x:v>
      </x:c>
      <x:c r="J212" s="76" t="str">
        <x:v>没有E1功能失衡候选；仅凭动态想象触发情境；保护因素足以中断。</x:v>
      </x:c>
      <x:c r="K212" s="76" t="str">
        <x:v>由共享基础引擎提供；只修正承载与执行，不直接等同强弱人格。</x:v>
      </x:c>
      <x:c r="L212" s="76" t="str">
        <x:v>由M2接口提供；夫妻星只参与关系议题权重，不单独生成盲点。</x:v>
      </x:c>
      <x:c r="M212" s="76" t="str">
        <x:v>冲作为触发节奏修正</x:v>
      </x:c>
      <x:c r="N212" s="76" t="str">
        <x:v>无／待后续规则组合</x:v>
      </x:c>
      <x:c r="O212" s="76" t="str">
        <x:v>由共享基础引擎判定</x:v>
      </x:c>
      <x:c r="P212" s="76" t="str">
        <x:v>由共享基础引擎判定</x:v>
      </x:c>
      <x:c r="Q212" s="76" t="str">
        <x:v>由共享基础引擎判定</x:v>
      </x:c>
      <x:c r="R212" s="76" t="str">
        <x:v>喜忌只修正调用摩擦与平衡，不直接等同好坏。</x:v>
      </x:c>
      <x:c r="S212" s="76" t="str">
        <x:v>原十神性质有效；真合化成立时按化神系统替换。</x:v>
      </x:c>
      <x:c r="T212" s="76" t="str">
        <x:v>由共享基础引擎判定</x:v>
      </x:c>
      <x:c r="U212" s="76" t="str">
        <x:v>76</x:v>
      </x:c>
      <x:c r="V212" s="76" t="str">
        <x:v>trigger candidate +3；不得单独建立E2</x:v>
      </x:c>
      <x:c r="W212" s="76" t="str">
        <x:v>activation_trigger</x:v>
      </x:c>
      <x:c r="X212" s="76" t="str">
        <x:v>当联系、距离、计划、权限或关系节奏改变时，原本熟练的通道可能迅速切换。</x:v>
      </x:c>
      <x:c r="Y212" s="76" t="str">
        <x:v>在以下情境中，这项候选可能更容易启动：当联系、距离、计划、权限或关系节奏改变时，原本熟练的通道可能迅速切换。</x:v>
      </x:c>
      <x:c r="Z212" s="76" t="str">
        <x:v>不得由“冲”直接推出争吵、分手、离婚、搬离、背叛或关系失败。</x:v>
      </x:c>
      <x:c r="AA212" s="76" t="str">
        <x:v>中低</x:v>
      </x:c>
      <x:c r="AB212" s="76" t="str">
        <x:v>待验证</x:v>
      </x:c>
      <x:c r="AC212" s="76" t="str"/>
      <x:c r="AD212" s="76" t="str">
        <x:v>provisional=true; dynamic=冲; subtype=trigger_route</x:v>
      </x:c>
      <x:c r="AE212" s="82" t="str">
        <x:v>0.2</x:v>
      </x:c>
    </x:row>
    <x:row r="213">
      <x:c r="A213" s="81" t="str">
        <x:v>M4-BASE-209</x:v>
      </x:c>
      <x:c r="B213" s="76" t="str">
        <x:v>日支冲｜禁止单独生成盲点</x:v>
      </x:c>
      <x:c r="C213" s="76" t="str">
        <x:v>L5 宫位层级与动态</x:v>
      </x:c>
      <x:c r="D213" s="76" t="str">
        <x:v>BASE-宫位动态</x:v>
      </x:c>
      <x:c r="E213" s="76" t="str">
        <x:v>通用</x:v>
      </x:c>
      <x:c r="F213" s="76" t="str">
        <x:v>停止</x:v>
      </x:c>
      <x:c r="G213" s="76" t="str">
        <x:v>日支冲</x:v>
      </x:c>
      <x:c r="H213" s="76" t="str"/>
      <x:c r="I213" s="76" t="str">
        <x:v>当前只有日支冲一项事实，没有正常功能来源、失衡机制或独立证据。</x:v>
      </x:c>
      <x:c r="J213" s="76" t="str"/>
      <x:c r="K213" s="76" t="str">
        <x:v>由共享基础引擎提供；只修正承载与执行，不直接等同强弱人格。</x:v>
      </x:c>
      <x:c r="L213" s="76" t="str">
        <x:v>由M2接口提供；夫妻星只参与关系议题权重，不单独生成盲点。</x:v>
      </x:c>
      <x:c r="M213" s="76" t="str">
        <x:v>由M3-BASE与共享引擎提供；不得把日支直接写成配偶性格。</x:v>
      </x:c>
      <x:c r="N213" s="76" t="str">
        <x:v>无／待后续规则组合</x:v>
      </x:c>
      <x:c r="O213" s="76" t="str">
        <x:v>由共享基础引擎判定</x:v>
      </x:c>
      <x:c r="P213" s="76" t="str">
        <x:v>由共享基础引擎判定</x:v>
      </x:c>
      <x:c r="Q213" s="76" t="str">
        <x:v>由共享基础引擎判定</x:v>
      </x:c>
      <x:c r="R213" s="76" t="str">
        <x:v>喜忌只修正调用摩擦与平衡，不直接等同好坏。</x:v>
      </x:c>
      <x:c r="S213" s="76" t="str">
        <x:v>原十神性质有效；真合化成立时按化神系统替换。</x:v>
      </x:c>
      <x:c r="T213" s="76" t="str">
        <x:v>由共享基础引擎判定</x:v>
      </x:c>
      <x:c r="U213" s="76" t="str">
        <x:v>96</x:v>
      </x:c>
      <x:c r="V213" s="76" t="str">
        <x:v>STOP动态单独路由</x:v>
      </x:c>
      <x:c r="W213" s="76" t="str">
        <x:v>stop_reason</x:v>
      </x:c>
      <x:c r="X213" s="76" t="str">
        <x:v>冲只修正触发、切换或整合节奏，不能单独生成B01—B15。</x:v>
      </x:c>
      <x:c r="Y213" s="76" t="str">
        <x:v>仅凭“冲”这一结构，不能判断具体关系问题。</x:v>
      </x:c>
      <x:c r="Z213" s="76" t="str">
        <x:v>不得由“冲”直接推出争吵、分手、离婚、搬离、背叛或关系失败。</x:v>
      </x:c>
      <x:c r="AA213" s="76" t="str">
        <x:v>高</x:v>
      </x:c>
      <x:c r="AB213" s="76" t="str">
        <x:v>待验证</x:v>
      </x:c>
      <x:c r="AC213" s="76" t="str"/>
      <x:c r="AD213" s="76" t="str">
        <x:v>provisional=true; dynamic=冲; subtype=stop</x:v>
      </x:c>
      <x:c r="AE213" s="82" t="str">
        <x:v>0.2</x:v>
      </x:c>
    </x:row>
    <x:row r="214">
      <x:c r="A214" s="81" t="str">
        <x:v>M4-BASE-210</x:v>
      </x:c>
      <x:c r="B214" s="76" t="str">
        <x:v>日支冲｜用户语言模板</x:v>
      </x:c>
      <x:c r="C214" s="76" t="str">
        <x:v>L8 输出与停止</x:v>
      </x:c>
      <x:c r="D214" s="76" t="str">
        <x:v>BASE-宫位动态</x:v>
      </x:c>
      <x:c r="E214" s="76" t="str">
        <x:v>通用</x:v>
      </x:c>
      <x:c r="F214" s="76" t="str">
        <x:v>输出</x:v>
      </x:c>
      <x:c r="G214" s="76" t="str">
        <x:v>日支冲</x:v>
      </x:c>
      <x:c r="H214" s="76" t="str"/>
      <x:c r="I214" s="76" t="str">
        <x:v>日支冲作为已通过门控的动态修正进入输出。</x:v>
      </x:c>
      <x:c r="J214" s="76" t="str">
        <x:v>动态被停止、作用对象不明或真合化替换。</x:v>
      </x:c>
      <x:c r="K214" s="76" t="str">
        <x:v>由共享基础引擎提供；只修正承载与执行，不直接等同强弱人格。</x:v>
      </x:c>
      <x:c r="L214" s="76" t="str">
        <x:v>由M2接口提供；夫妻星只参与关系议题权重，不单独生成盲点。</x:v>
      </x:c>
      <x:c r="M214" s="76" t="str">
        <x:v>由M3-BASE与共享引擎提供；不得把日支直接写成配偶性格。</x:v>
      </x:c>
      <x:c r="N214" s="76" t="str">
        <x:v>无／待后续规则组合</x:v>
      </x:c>
      <x:c r="O214" s="76" t="str">
        <x:v>由共享基础引擎判定</x:v>
      </x:c>
      <x:c r="P214" s="76" t="str">
        <x:v>由共享基础引擎判定</x:v>
      </x:c>
      <x:c r="Q214" s="76" t="str">
        <x:v>由共享基础引擎判定</x:v>
      </x:c>
      <x:c r="R214" s="76" t="str">
        <x:v>喜忌只修正调用摩擦与平衡，不直接等同好坏。</x:v>
      </x:c>
      <x:c r="S214" s="76" t="str">
        <x:v>原十神性质有效；真合化成立时按化神系统替换。</x:v>
      </x:c>
      <x:c r="T214" s="76" t="str">
        <x:v>由共享基础引擎判定</x:v>
      </x:c>
      <x:c r="U214" s="76" t="str">
        <x:v>66</x:v>
      </x:c>
      <x:c r="V214" s="76" t="str">
        <x:v>不加分；摘要</x:v>
      </x:c>
      <x:c r="W214" s="76" t="str">
        <x:v>basis_summary</x:v>
      </x:c>
      <x:c r="X214" s="76" t="str">
        <x:v>只用中性语言说明冲如何修正功能节奏。</x:v>
      </x:c>
      <x:c r="Y214" s="76" t="str">
        <x:v>差异和变化较容易被看见，关键不是“会不会冲突”，而是变化出现时先启动什么、能否重新协商。</x:v>
      </x:c>
      <x:c r="Z214" s="76" t="str">
        <x:v>不得由“冲”直接推出争吵、分手、离婚、搬离、背叛或关系失败。</x:v>
      </x:c>
      <x:c r="AA214" s="76" t="str">
        <x:v>中</x:v>
      </x:c>
      <x:c r="AB214" s="76" t="str">
        <x:v>待验证</x:v>
      </x:c>
      <x:c r="AC214" s="76" t="str"/>
      <x:c r="AD214" s="76" t="str">
        <x:v>provisional=true; dynamic=冲; summary_only=true</x:v>
      </x:c>
      <x:c r="AE214" s="82" t="str">
        <x:v>0.2</x:v>
      </x:c>
    </x:row>
    <x:row r="215">
      <x:c r="A215" s="81" t="str">
        <x:v>M4-BASE-211</x:v>
      </x:c>
      <x:c r="B215" s="76" t="str">
        <x:v>日支刑｜中性功能定义</x:v>
      </x:c>
      <x:c r="C215" s="76" t="str">
        <x:v>L5 宫位层级与动态</x:v>
      </x:c>
      <x:c r="D215" s="76" t="str">
        <x:v>BASE-宫位动态</x:v>
      </x:c>
      <x:c r="E215" s="76" t="str">
        <x:v>通用</x:v>
      </x:c>
      <x:c r="F215" s="76" t="str">
        <x:v>定义</x:v>
      </x:c>
      <x:c r="G215" s="76" t="str">
        <x:v>日支刑</x:v>
      </x:c>
      <x:c r="H215" s="76" t="str"/>
      <x:c r="I215" s="76" t="str">
        <x:v>共享引擎确认原局日支刑成立；结构类型、对象和是否合化已分清。</x:v>
      </x:c>
      <x:c r="J215" s="76" t="str">
        <x:v>结构未成立、仅为流年短暂作用却被写成原局，或真合化需另路由。</x:v>
      </x:c>
      <x:c r="K215" s="76" t="str">
        <x:v>由共享基础引擎提供；只修正承载与执行，不直接等同强弱人格。</x:v>
      </x:c>
      <x:c r="L215" s="76" t="str">
        <x:v>由M2接口提供；夫妻星只参与关系议题权重，不单独生成盲点。</x:v>
      </x:c>
      <x:c r="M215" s="76" t="str">
        <x:v>日支刑：同一议题需要反复校正、细节反馈容易累积，处理过程可能多轮展开。</x:v>
      </x:c>
      <x:c r="N215" s="76" t="str">
        <x:v>无／待后续规则组合</x:v>
      </x:c>
      <x:c r="O215" s="76" t="str">
        <x:v>由共享基础引擎判定</x:v>
      </x:c>
      <x:c r="P215" s="76" t="str">
        <x:v>由共享基础引擎判定</x:v>
      </x:c>
      <x:c r="Q215" s="76" t="str">
        <x:v>由共享基础引擎判定</x:v>
      </x:c>
      <x:c r="R215" s="76" t="str">
        <x:v>喜忌只修正调用摩擦与平衡，不直接等同好坏。</x:v>
      </x:c>
      <x:c r="S215" s="76" t="str">
        <x:v>原十神性质有效；真合化成立时按化神系统替换。</x:v>
      </x:c>
      <x:c r="T215" s="76" t="str">
        <x:v>由共享基础引擎判定</x:v>
      </x:c>
      <x:c r="U215" s="76" t="str">
        <x:v>80</x:v>
      </x:c>
      <x:c r="V215" s="76" t="str">
        <x:v>不加分；动态定义</x:v>
      </x:c>
      <x:c r="W215" s="76" t="str">
        <x:v>palace_dynamic</x:v>
      </x:c>
      <x:c r="X215" s="76" t="str">
        <x:v>同一议题需要反复校正、细节反馈容易累积，处理过程可能多轮展开。</x:v>
      </x:c>
      <x:c r="Y215" s="76" t="str">
        <x:v>同一议题可能需要多次确认和调整；重点是每一轮是否真正增加了新信息或完成了改变。</x:v>
      </x:c>
      <x:c r="Z215" s="76" t="str">
        <x:v>不得由“刑”直接推出自我折磨、必然内耗、反复争吵、心理问题或婚姻不顺。</x:v>
      </x:c>
      <x:c r="AA215" s="76" t="str">
        <x:v>中高</x:v>
      </x:c>
      <x:c r="AB215" s="76" t="str">
        <x:v>待验证</x:v>
      </x:c>
      <x:c r="AC215" s="76" t="str"/>
      <x:c r="AD215" s="76" t="str">
        <x:v>provisional=true; dynamic=刑; subtype=definition</x:v>
      </x:c>
      <x:c r="AE215" s="82" t="str">
        <x:v>0.2</x:v>
      </x:c>
    </x:row>
    <x:row r="216">
      <x:c r="A216" s="81" t="str">
        <x:v>M4-BASE-212</x:v>
      </x:c>
      <x:c r="B216" s="76" t="str">
        <x:v>日支刑｜与有效功能结合</x:v>
      </x:c>
      <x:c r="C216" s="76" t="str">
        <x:v>L5 宫位层级与动态</x:v>
      </x:c>
      <x:c r="D216" s="76" t="str">
        <x:v>BASE-宫位动态</x:v>
      </x:c>
      <x:c r="E216" s="76" t="str">
        <x:v>通用</x:v>
      </x:c>
      <x:c r="F216" s="76" t="str">
        <x:v>修正</x:v>
      </x:c>
      <x:c r="G216" s="76" t="str">
        <x:v>日支刑</x:v>
      </x:c>
      <x:c r="H216" s="76" t="str">
        <x:v>有效M3／M4功能通道</x:v>
      </x:c>
      <x:c r="I216" s="76" t="str">
        <x:v>日支刑成立；至少一个正常功能来源可靠；动态与该功能作用对象明确。</x:v>
      </x:c>
      <x:c r="J216" s="76" t="str">
        <x:v>只有刑而没有有效功能通道；作用对象不明。</x:v>
      </x:c>
      <x:c r="K216" s="76" t="str">
        <x:v>由共享基础引擎提供；只修正承载与执行，不直接等同强弱人格。</x:v>
      </x:c>
      <x:c r="L216" s="76" t="str">
        <x:v>由M2接口提供；夫妻星只参与关系议题权重，不单独生成盲点。</x:v>
      </x:c>
      <x:c r="M216" s="76" t="str">
        <x:v>刑修正功能调用节奏</x:v>
      </x:c>
      <x:c r="N216" s="76" t="str">
        <x:v>可提高K07反馈放大和K08修复断链的后续路由候选，但BASE只记录反复校正倾向。</x:v>
      </x:c>
      <x:c r="O216" s="76" t="str">
        <x:v>由共享基础引擎判定</x:v>
      </x:c>
      <x:c r="P216" s="76" t="str">
        <x:v>由共享基础引擎判定</x:v>
      </x:c>
      <x:c r="Q216" s="76" t="str">
        <x:v>由共享基础引擎判定</x:v>
      </x:c>
      <x:c r="R216" s="76" t="str">
        <x:v>喜忌只修正调用摩擦与平衡，不直接等同好坏。</x:v>
      </x:c>
      <x:c r="S216" s="76" t="str">
        <x:v>原十神性质有效；真合化成立时按化神系统替换。</x:v>
      </x:c>
      <x:c r="T216" s="76" t="str">
        <x:v>由共享基础引擎判定</x:v>
      </x:c>
      <x:c r="U216" s="76" t="str">
        <x:v>78</x:v>
      </x:c>
      <x:c r="V216" s="76" t="str">
        <x:v>相关机制候选 +3</x:v>
      </x:c>
      <x:c r="W216" s="76" t="str">
        <x:v>imbalance_mechanism</x:v>
      </x:c>
      <x:c r="X216" s="76" t="str">
        <x:v>刑不能独立生成盲点，但与有效功能结合时：可提高K07反馈放大和K08修复断链的后续路由候选，但BASE只记录反复校正倾向。</x:v>
      </x:c>
      <x:c r="Y216" s="76" t="str">
        <x:v>同一议题可能需要多次确认和调整；重点是每一轮是否真正增加了新信息或完成了改变。 这只修正关系节奏，不直接判断结果。</x:v>
      </x:c>
      <x:c r="Z216" s="76" t="str">
        <x:v>不得由“刑”直接推出自我折磨、必然内耗、反复争吵、心理问题或婚姻不顺。</x:v>
      </x:c>
      <x:c r="AA216" s="76" t="str">
        <x:v>中</x:v>
      </x:c>
      <x:c r="AB216" s="76" t="str">
        <x:v>待验证</x:v>
      </x:c>
      <x:c r="AC216" s="76" t="str"/>
      <x:c r="AD216" s="76" t="str">
        <x:v>provisional=true; dynamic=刑; subtype=function_modifier</x:v>
      </x:c>
      <x:c r="AE216" s="82" t="str">
        <x:v>0.2</x:v>
      </x:c>
    </x:row>
    <x:row r="217">
      <x:c r="A217" s="81" t="str">
        <x:v>M4-BASE-213</x:v>
      </x:c>
      <x:c r="B217" s="76" t="str">
        <x:v>日支刑｜触发域候选</x:v>
      </x:c>
      <x:c r="C217" s="76" t="str">
        <x:v>L5 宫位层级与动态</x:v>
      </x:c>
      <x:c r="D217" s="76" t="str">
        <x:v>BASE-宫位动态</x:v>
      </x:c>
      <x:c r="E217" s="76" t="str">
        <x:v>通用</x:v>
      </x:c>
      <x:c r="F217" s="76" t="str">
        <x:v>触发候选</x:v>
      </x:c>
      <x:c r="G217" s="76" t="str">
        <x:v>日支刑</x:v>
      </x:c>
      <x:c r="H217" s="76" t="str">
        <x:v>TR触发域候选</x:v>
      </x:c>
      <x:c r="I217" s="76" t="str">
        <x:v>日支刑成立；E1结构候选已成立；存在与该动态匹配的关系情境或阶段引动。</x:v>
      </x:c>
      <x:c r="J217" s="76" t="str">
        <x:v>没有E1功能失衡候选；仅凭动态想象触发情境；保护因素足以中断。</x:v>
      </x:c>
      <x:c r="K217" s="76" t="str">
        <x:v>由共享基础引擎提供；只修正承载与执行，不直接等同强弱人格。</x:v>
      </x:c>
      <x:c r="L217" s="76" t="str">
        <x:v>由M2接口提供；夫妻星只参与关系议题权重，不单独生成盲点。</x:v>
      </x:c>
      <x:c r="M217" s="76" t="str">
        <x:v>刑作为触发节奏修正</x:v>
      </x:c>
      <x:c r="N217" s="76" t="str">
        <x:v>无／待后续规则组合</x:v>
      </x:c>
      <x:c r="O217" s="76" t="str">
        <x:v>由共享基础引擎判定</x:v>
      </x:c>
      <x:c r="P217" s="76" t="str">
        <x:v>由共享基础引擎判定</x:v>
      </x:c>
      <x:c r="Q217" s="76" t="str">
        <x:v>由共享基础引擎判定</x:v>
      </x:c>
      <x:c r="R217" s="76" t="str">
        <x:v>喜忌只修正调用摩擦与平衡，不直接等同好坏。</x:v>
      </x:c>
      <x:c r="S217" s="76" t="str">
        <x:v>原十神性质有效；真合化成立时按化神系统替换。</x:v>
      </x:c>
      <x:c r="T217" s="76" t="str">
        <x:v>由共享基础引擎判定</x:v>
      </x:c>
      <x:c r="U217" s="76" t="str">
        <x:v>76</x:v>
      </x:c>
      <x:c r="V217" s="76" t="str">
        <x:v>trigger candidate +3；不得单独建立E2</x:v>
      </x:c>
      <x:c r="W217" s="76" t="str">
        <x:v>activation_trigger</x:v>
      </x:c>
      <x:c r="X217" s="76" t="str">
        <x:v>当同一问题没有被完整解决或细节标准反复变化时，旧反应更容易再次启动。</x:v>
      </x:c>
      <x:c r="Y217" s="76" t="str">
        <x:v>在以下情境中，这项候选可能更容易启动：当同一问题没有被完整解决或细节标准反复变化时，旧反应更容易再次启动。</x:v>
      </x:c>
      <x:c r="Z217" s="76" t="str">
        <x:v>不得由“刑”直接推出自我折磨、必然内耗、反复争吵、心理问题或婚姻不顺。</x:v>
      </x:c>
      <x:c r="AA217" s="76" t="str">
        <x:v>中低</x:v>
      </x:c>
      <x:c r="AB217" s="76" t="str">
        <x:v>待验证</x:v>
      </x:c>
      <x:c r="AC217" s="76" t="str"/>
      <x:c r="AD217" s="76" t="str">
        <x:v>provisional=true; dynamic=刑; subtype=trigger_route</x:v>
      </x:c>
      <x:c r="AE217" s="82" t="str">
        <x:v>0.2</x:v>
      </x:c>
    </x:row>
    <x:row r="218">
      <x:c r="A218" s="81" t="str">
        <x:v>M4-BASE-214</x:v>
      </x:c>
      <x:c r="B218" s="76" t="str">
        <x:v>日支刑｜禁止单独生成盲点</x:v>
      </x:c>
      <x:c r="C218" s="76" t="str">
        <x:v>L5 宫位层级与动态</x:v>
      </x:c>
      <x:c r="D218" s="76" t="str">
        <x:v>BASE-宫位动态</x:v>
      </x:c>
      <x:c r="E218" s="76" t="str">
        <x:v>通用</x:v>
      </x:c>
      <x:c r="F218" s="76" t="str">
        <x:v>停止</x:v>
      </x:c>
      <x:c r="G218" s="76" t="str">
        <x:v>日支刑</x:v>
      </x:c>
      <x:c r="H218" s="76" t="str"/>
      <x:c r="I218" s="76" t="str">
        <x:v>当前只有日支刑一项事实，没有正常功能来源、失衡机制或独立证据。</x:v>
      </x:c>
      <x:c r="J218" s="76" t="str"/>
      <x:c r="K218" s="76" t="str">
        <x:v>由共享基础引擎提供；只修正承载与执行，不直接等同强弱人格。</x:v>
      </x:c>
      <x:c r="L218" s="76" t="str">
        <x:v>由M2接口提供；夫妻星只参与关系议题权重，不单独生成盲点。</x:v>
      </x:c>
      <x:c r="M218" s="76" t="str">
        <x:v>由M3-BASE与共享引擎提供；不得把日支直接写成配偶性格。</x:v>
      </x:c>
      <x:c r="N218" s="76" t="str">
        <x:v>无／待后续规则组合</x:v>
      </x:c>
      <x:c r="O218" s="76" t="str">
        <x:v>由共享基础引擎判定</x:v>
      </x:c>
      <x:c r="P218" s="76" t="str">
        <x:v>由共享基础引擎判定</x:v>
      </x:c>
      <x:c r="Q218" s="76" t="str">
        <x:v>由共享基础引擎判定</x:v>
      </x:c>
      <x:c r="R218" s="76" t="str">
        <x:v>喜忌只修正调用摩擦与平衡，不直接等同好坏。</x:v>
      </x:c>
      <x:c r="S218" s="76" t="str">
        <x:v>原十神性质有效；真合化成立时按化神系统替换。</x:v>
      </x:c>
      <x:c r="T218" s="76" t="str">
        <x:v>由共享基础引擎判定</x:v>
      </x:c>
      <x:c r="U218" s="76" t="str">
        <x:v>96</x:v>
      </x:c>
      <x:c r="V218" s="76" t="str">
        <x:v>STOP动态单独路由</x:v>
      </x:c>
      <x:c r="W218" s="76" t="str">
        <x:v>stop_reason</x:v>
      </x:c>
      <x:c r="X218" s="76" t="str">
        <x:v>刑只修正触发、切换或整合节奏，不能单独生成B01—B15。</x:v>
      </x:c>
      <x:c r="Y218" s="76" t="str">
        <x:v>仅凭“刑”这一结构，不能判断具体关系问题。</x:v>
      </x:c>
      <x:c r="Z218" s="76" t="str">
        <x:v>不得由“刑”直接推出自我折磨、必然内耗、反复争吵、心理问题或婚姻不顺。</x:v>
      </x:c>
      <x:c r="AA218" s="76" t="str">
        <x:v>高</x:v>
      </x:c>
      <x:c r="AB218" s="76" t="str">
        <x:v>待验证</x:v>
      </x:c>
      <x:c r="AC218" s="76" t="str"/>
      <x:c r="AD218" s="76" t="str">
        <x:v>provisional=true; dynamic=刑; subtype=stop</x:v>
      </x:c>
      <x:c r="AE218" s="82" t="str">
        <x:v>0.2</x:v>
      </x:c>
    </x:row>
    <x:row r="219">
      <x:c r="A219" s="81" t="str">
        <x:v>M4-BASE-215</x:v>
      </x:c>
      <x:c r="B219" s="76" t="str">
        <x:v>日支刑｜用户语言模板</x:v>
      </x:c>
      <x:c r="C219" s="76" t="str">
        <x:v>L8 输出与停止</x:v>
      </x:c>
      <x:c r="D219" s="76" t="str">
        <x:v>BASE-宫位动态</x:v>
      </x:c>
      <x:c r="E219" s="76" t="str">
        <x:v>通用</x:v>
      </x:c>
      <x:c r="F219" s="76" t="str">
        <x:v>输出</x:v>
      </x:c>
      <x:c r="G219" s="76" t="str">
        <x:v>日支刑</x:v>
      </x:c>
      <x:c r="H219" s="76" t="str"/>
      <x:c r="I219" s="76" t="str">
        <x:v>日支刑作为已通过门控的动态修正进入输出。</x:v>
      </x:c>
      <x:c r="J219" s="76" t="str">
        <x:v>动态被停止、作用对象不明或真合化替换。</x:v>
      </x:c>
      <x:c r="K219" s="76" t="str">
        <x:v>由共享基础引擎提供；只修正承载与执行，不直接等同强弱人格。</x:v>
      </x:c>
      <x:c r="L219" s="76" t="str">
        <x:v>由M2接口提供；夫妻星只参与关系议题权重，不单独生成盲点。</x:v>
      </x:c>
      <x:c r="M219" s="76" t="str">
        <x:v>由M3-BASE与共享引擎提供；不得把日支直接写成配偶性格。</x:v>
      </x:c>
      <x:c r="N219" s="76" t="str">
        <x:v>无／待后续规则组合</x:v>
      </x:c>
      <x:c r="O219" s="76" t="str">
        <x:v>由共享基础引擎判定</x:v>
      </x:c>
      <x:c r="P219" s="76" t="str">
        <x:v>由共享基础引擎判定</x:v>
      </x:c>
      <x:c r="Q219" s="76" t="str">
        <x:v>由共享基础引擎判定</x:v>
      </x:c>
      <x:c r="R219" s="76" t="str">
        <x:v>喜忌只修正调用摩擦与平衡，不直接等同好坏。</x:v>
      </x:c>
      <x:c r="S219" s="76" t="str">
        <x:v>原十神性质有效；真合化成立时按化神系统替换。</x:v>
      </x:c>
      <x:c r="T219" s="76" t="str">
        <x:v>由共享基础引擎判定</x:v>
      </x:c>
      <x:c r="U219" s="76" t="str">
        <x:v>66</x:v>
      </x:c>
      <x:c r="V219" s="76" t="str">
        <x:v>不加分；摘要</x:v>
      </x:c>
      <x:c r="W219" s="76" t="str">
        <x:v>basis_summary</x:v>
      </x:c>
      <x:c r="X219" s="76" t="str">
        <x:v>只用中性语言说明刑如何修正功能节奏。</x:v>
      </x:c>
      <x:c r="Y219" s="76" t="str">
        <x:v>同一议题可能需要多次确认和调整；重点是每一轮是否真正增加了新信息或完成了改变。</x:v>
      </x:c>
      <x:c r="Z219" s="76" t="str">
        <x:v>不得由“刑”直接推出自我折磨、必然内耗、反复争吵、心理问题或婚姻不顺。</x:v>
      </x:c>
      <x:c r="AA219" s="76" t="str">
        <x:v>中</x:v>
      </x:c>
      <x:c r="AB219" s="76" t="str">
        <x:v>待验证</x:v>
      </x:c>
      <x:c r="AC219" s="76" t="str"/>
      <x:c r="AD219" s="76" t="str">
        <x:v>provisional=true; dynamic=刑; summary_only=true</x:v>
      </x:c>
      <x:c r="AE219" s="82" t="str">
        <x:v>0.2</x:v>
      </x:c>
    </x:row>
    <x:row r="220">
      <x:c r="A220" s="81" t="str">
        <x:v>M4-BASE-216</x:v>
      </x:c>
      <x:c r="B220" s="76" t="str">
        <x:v>日支害｜中性功能定义</x:v>
      </x:c>
      <x:c r="C220" s="76" t="str">
        <x:v>L5 宫位层级与动态</x:v>
      </x:c>
      <x:c r="D220" s="76" t="str">
        <x:v>BASE-宫位动态</x:v>
      </x:c>
      <x:c r="E220" s="76" t="str">
        <x:v>通用</x:v>
      </x:c>
      <x:c r="F220" s="76" t="str">
        <x:v>定义</x:v>
      </x:c>
      <x:c r="G220" s="76" t="str">
        <x:v>日支害</x:v>
      </x:c>
      <x:c r="H220" s="76" t="str"/>
      <x:c r="I220" s="76" t="str">
        <x:v>共享引擎确认原局日支害成立；结构类型、对象和是否合化已分清。</x:v>
      </x:c>
      <x:c r="J220" s="76" t="str">
        <x:v>结构未成立、仅为流年短暂作用却被写成原局，或真合化需另路由。</x:v>
      </x:c>
      <x:c r="K220" s="76" t="str">
        <x:v>由共享基础引擎提供；只修正承载与执行，不直接等同强弱人格。</x:v>
      </x:c>
      <x:c r="L220" s="76" t="str">
        <x:v>由M2接口提供；夫妻星只参与关系议题权重，不单独生成盲点。</x:v>
      </x:c>
      <x:c r="M220" s="76" t="str">
        <x:v>日支害：隐性期待、默认规则和信息错位不容易在第一时间说清。</x:v>
      </x:c>
      <x:c r="N220" s="76" t="str">
        <x:v>无／待后续规则组合</x:v>
      </x:c>
      <x:c r="O220" s="76" t="str">
        <x:v>由共享基础引擎判定</x:v>
      </x:c>
      <x:c r="P220" s="76" t="str">
        <x:v>由共享基础引擎判定</x:v>
      </x:c>
      <x:c r="Q220" s="76" t="str">
        <x:v>由共享基础引擎判定</x:v>
      </x:c>
      <x:c r="R220" s="76" t="str">
        <x:v>喜忌只修正调用摩擦与平衡，不直接等同好坏。</x:v>
      </x:c>
      <x:c r="S220" s="76" t="str">
        <x:v>原十神性质有效；真合化成立时按化神系统替换。</x:v>
      </x:c>
      <x:c r="T220" s="76" t="str">
        <x:v>由共享基础引擎判定</x:v>
      </x:c>
      <x:c r="U220" s="76" t="str">
        <x:v>80</x:v>
      </x:c>
      <x:c r="V220" s="76" t="str">
        <x:v>不加分；动态定义</x:v>
      </x:c>
      <x:c r="W220" s="76" t="str">
        <x:v>palace_dynamic</x:v>
      </x:c>
      <x:c r="X220" s="76" t="str">
        <x:v>隐性期待、默认规则和信息错位不容易在第一时间说清。</x:v>
      </x:c>
      <x:c r="Y220" s="76" t="str">
        <x:v>有些不舒服可能不是来自公开冲突，而是双方对默认规则和未说出口的期待理解不同。</x:v>
      </x:c>
      <x:c r="Z220" s="76" t="str">
        <x:v>不得由“害”直接推出小人、暗害、背叛、欺骗、第三者或对方恶意。</x:v>
      </x:c>
      <x:c r="AA220" s="76" t="str">
        <x:v>中高</x:v>
      </x:c>
      <x:c r="AB220" s="76" t="str">
        <x:v>待验证</x:v>
      </x:c>
      <x:c r="AC220" s="76" t="str"/>
      <x:c r="AD220" s="76" t="str">
        <x:v>provisional=true; dynamic=害; subtype=definition</x:v>
      </x:c>
      <x:c r="AE220" s="82" t="str">
        <x:v>0.2</x:v>
      </x:c>
    </x:row>
    <x:row r="221">
      <x:c r="A221" s="81" t="str">
        <x:v>M4-BASE-217</x:v>
      </x:c>
      <x:c r="B221" s="76" t="str">
        <x:v>日支害｜与有效功能结合</x:v>
      </x:c>
      <x:c r="C221" s="76" t="str">
        <x:v>L5 宫位层级与动态</x:v>
      </x:c>
      <x:c r="D221" s="76" t="str">
        <x:v>BASE-宫位动态</x:v>
      </x:c>
      <x:c r="E221" s="76" t="str">
        <x:v>通用</x:v>
      </x:c>
      <x:c r="F221" s="76" t="str">
        <x:v>修正</x:v>
      </x:c>
      <x:c r="G221" s="76" t="str">
        <x:v>日支害</x:v>
      </x:c>
      <x:c r="H221" s="76" t="str">
        <x:v>有效M3／M4功能通道</x:v>
      </x:c>
      <x:c r="I221" s="76" t="str">
        <x:v>日支害成立；至少一个正常功能来源可靠；动态与该功能作用对象明确。</x:v>
      </x:c>
      <x:c r="J221" s="76" t="str">
        <x:v>只有害而没有有效功能通道；作用对象不明。</x:v>
      </x:c>
      <x:c r="K221" s="76" t="str">
        <x:v>由共享基础引擎提供；只修正承载与执行，不直接等同强弱人格。</x:v>
      </x:c>
      <x:c r="L221" s="76" t="str">
        <x:v>由M2接口提供；夫妻星只参与关系议题权重，不单独生成盲点。</x:v>
      </x:c>
      <x:c r="M221" s="76" t="str">
        <x:v>害修正功能调用节奏</x:v>
      </x:c>
      <x:c r="N221" s="76" t="str">
        <x:v>可提高K02功能不足、K04顺序错位和B05/B09/B12等候选的触发相关性。</x:v>
      </x:c>
      <x:c r="O221" s="76" t="str">
        <x:v>由共享基础引擎判定</x:v>
      </x:c>
      <x:c r="P221" s="76" t="str">
        <x:v>由共享基础引擎判定</x:v>
      </x:c>
      <x:c r="Q221" s="76" t="str">
        <x:v>由共享基础引擎判定</x:v>
      </x:c>
      <x:c r="R221" s="76" t="str">
        <x:v>喜忌只修正调用摩擦与平衡，不直接等同好坏。</x:v>
      </x:c>
      <x:c r="S221" s="76" t="str">
        <x:v>原十神性质有效；真合化成立时按化神系统替换。</x:v>
      </x:c>
      <x:c r="T221" s="76" t="str">
        <x:v>由共享基础引擎判定</x:v>
      </x:c>
      <x:c r="U221" s="76" t="str">
        <x:v>78</x:v>
      </x:c>
      <x:c r="V221" s="76" t="str">
        <x:v>相关机制候选 +3</x:v>
      </x:c>
      <x:c r="W221" s="76" t="str">
        <x:v>imbalance_mechanism</x:v>
      </x:c>
      <x:c r="X221" s="76" t="str">
        <x:v>害不能独立生成盲点，但与有效功能结合时：可提高K02功能不足、K04顺序错位和B05/B09/B12等候选的触发相关性。</x:v>
      </x:c>
      <x:c r="Y221" s="76" t="str">
        <x:v>有些不舒服可能不是来自公开冲突，而是双方对默认规则和未说出口的期待理解不同。 这只修正关系节奏，不直接判断结果。</x:v>
      </x:c>
      <x:c r="Z221" s="76" t="str">
        <x:v>不得由“害”直接推出小人、暗害、背叛、欺骗、第三者或对方恶意。</x:v>
      </x:c>
      <x:c r="AA221" s="76" t="str">
        <x:v>中</x:v>
      </x:c>
      <x:c r="AB221" s="76" t="str">
        <x:v>待验证</x:v>
      </x:c>
      <x:c r="AC221" s="76" t="str"/>
      <x:c r="AD221" s="76" t="str">
        <x:v>provisional=true; dynamic=害; subtype=function_modifier</x:v>
      </x:c>
      <x:c r="AE221" s="82" t="str">
        <x:v>0.2</x:v>
      </x:c>
    </x:row>
    <x:row r="222">
      <x:c r="A222" s="81" t="str">
        <x:v>M4-BASE-218</x:v>
      </x:c>
      <x:c r="B222" s="76" t="str">
        <x:v>日支害｜触发域候选</x:v>
      </x:c>
      <x:c r="C222" s="76" t="str">
        <x:v>L5 宫位层级与动态</x:v>
      </x:c>
      <x:c r="D222" s="76" t="str">
        <x:v>BASE-宫位动态</x:v>
      </x:c>
      <x:c r="E222" s="76" t="str">
        <x:v>通用</x:v>
      </x:c>
      <x:c r="F222" s="76" t="str">
        <x:v>触发候选</x:v>
      </x:c>
      <x:c r="G222" s="76" t="str">
        <x:v>日支害</x:v>
      </x:c>
      <x:c r="H222" s="76" t="str">
        <x:v>TR触发域候选</x:v>
      </x:c>
      <x:c r="I222" s="76" t="str">
        <x:v>日支害成立；E1结构候选已成立；存在与该动态匹配的关系情境或阶段引动。</x:v>
      </x:c>
      <x:c r="J222" s="76" t="str">
        <x:v>没有E1功能失衡候选；仅凭动态想象触发情境；保护因素足以中断。</x:v>
      </x:c>
      <x:c r="K222" s="76" t="str">
        <x:v>由共享基础引擎提供；只修正承载与执行，不直接等同强弱人格。</x:v>
      </x:c>
      <x:c r="L222" s="76" t="str">
        <x:v>由M2接口提供；夫妻星只参与关系议题权重，不单独生成盲点。</x:v>
      </x:c>
      <x:c r="M222" s="76" t="str">
        <x:v>害作为触发节奏修正</x:v>
      </x:c>
      <x:c r="N222" s="76" t="str">
        <x:v>无／待后续规则组合</x:v>
      </x:c>
      <x:c r="O222" s="76" t="str">
        <x:v>由共享基础引擎判定</x:v>
      </x:c>
      <x:c r="P222" s="76" t="str">
        <x:v>由共享基础引擎判定</x:v>
      </x:c>
      <x:c r="Q222" s="76" t="str">
        <x:v>由共享基础引擎判定</x:v>
      </x:c>
      <x:c r="R222" s="76" t="str">
        <x:v>喜忌只修正调用摩擦与平衡，不直接等同好坏。</x:v>
      </x:c>
      <x:c r="S222" s="76" t="str">
        <x:v>原十神性质有效；真合化成立时按化神系统替换。</x:v>
      </x:c>
      <x:c r="T222" s="76" t="str">
        <x:v>由共享基础引擎判定</x:v>
      </x:c>
      <x:c r="U222" s="76" t="str">
        <x:v>76</x:v>
      </x:c>
      <x:c r="V222" s="76" t="str">
        <x:v>trigger candidate +3；不得单独建立E2</x:v>
      </x:c>
      <x:c r="W222" s="76" t="str">
        <x:v>activation_trigger</x:v>
      </x:c>
      <x:c r="X222" s="76" t="str">
        <x:v>当双方都假设对方“应该知道”时，未说出的需要和权限更容易成为启动点。</x:v>
      </x:c>
      <x:c r="Y222" s="76" t="str">
        <x:v>在以下情境中，这项候选可能更容易启动：当双方都假设对方“应该知道”时，未说出的需要和权限更容易成为启动点。</x:v>
      </x:c>
      <x:c r="Z222" s="76" t="str">
        <x:v>不得由“害”直接推出小人、暗害、背叛、欺骗、第三者或对方恶意。</x:v>
      </x:c>
      <x:c r="AA222" s="76" t="str">
        <x:v>中低</x:v>
      </x:c>
      <x:c r="AB222" s="76" t="str">
        <x:v>待验证</x:v>
      </x:c>
      <x:c r="AC222" s="76" t="str"/>
      <x:c r="AD222" s="76" t="str">
        <x:v>provisional=true; dynamic=害; subtype=trigger_route</x:v>
      </x:c>
      <x:c r="AE222" s="82" t="str">
        <x:v>0.2</x:v>
      </x:c>
    </x:row>
    <x:row r="223">
      <x:c r="A223" s="81" t="str">
        <x:v>M4-BASE-219</x:v>
      </x:c>
      <x:c r="B223" s="76" t="str">
        <x:v>日支害｜禁止单独生成盲点</x:v>
      </x:c>
      <x:c r="C223" s="76" t="str">
        <x:v>L5 宫位层级与动态</x:v>
      </x:c>
      <x:c r="D223" s="76" t="str">
        <x:v>BASE-宫位动态</x:v>
      </x:c>
      <x:c r="E223" s="76" t="str">
        <x:v>通用</x:v>
      </x:c>
      <x:c r="F223" s="76" t="str">
        <x:v>停止</x:v>
      </x:c>
      <x:c r="G223" s="76" t="str">
        <x:v>日支害</x:v>
      </x:c>
      <x:c r="H223" s="76" t="str"/>
      <x:c r="I223" s="76" t="str">
        <x:v>当前只有日支害一项事实，没有正常功能来源、失衡机制或独立证据。</x:v>
      </x:c>
      <x:c r="J223" s="76" t="str"/>
      <x:c r="K223" s="76" t="str">
        <x:v>由共享基础引擎提供；只修正承载与执行，不直接等同强弱人格。</x:v>
      </x:c>
      <x:c r="L223" s="76" t="str">
        <x:v>由M2接口提供；夫妻星只参与关系议题权重，不单独生成盲点。</x:v>
      </x:c>
      <x:c r="M223" s="76" t="str">
        <x:v>由M3-BASE与共享引擎提供；不得把日支直接写成配偶性格。</x:v>
      </x:c>
      <x:c r="N223" s="76" t="str">
        <x:v>无／待后续规则组合</x:v>
      </x:c>
      <x:c r="O223" s="76" t="str">
        <x:v>由共享基础引擎判定</x:v>
      </x:c>
      <x:c r="P223" s="76" t="str">
        <x:v>由共享基础引擎判定</x:v>
      </x:c>
      <x:c r="Q223" s="76" t="str">
        <x:v>由共享基础引擎判定</x:v>
      </x:c>
      <x:c r="R223" s="76" t="str">
        <x:v>喜忌只修正调用摩擦与平衡，不直接等同好坏。</x:v>
      </x:c>
      <x:c r="S223" s="76" t="str">
        <x:v>原十神性质有效；真合化成立时按化神系统替换。</x:v>
      </x:c>
      <x:c r="T223" s="76" t="str">
        <x:v>由共享基础引擎判定</x:v>
      </x:c>
      <x:c r="U223" s="76" t="str">
        <x:v>96</x:v>
      </x:c>
      <x:c r="V223" s="76" t="str">
        <x:v>STOP动态单独路由</x:v>
      </x:c>
      <x:c r="W223" s="76" t="str">
        <x:v>stop_reason</x:v>
      </x:c>
      <x:c r="X223" s="76" t="str">
        <x:v>害只修正触发、切换或整合节奏，不能单独生成B01—B15。</x:v>
      </x:c>
      <x:c r="Y223" s="76" t="str">
        <x:v>仅凭“害”这一结构，不能判断具体关系问题。</x:v>
      </x:c>
      <x:c r="Z223" s="76" t="str">
        <x:v>不得由“害”直接推出小人、暗害、背叛、欺骗、第三者或对方恶意。</x:v>
      </x:c>
      <x:c r="AA223" s="76" t="str">
        <x:v>高</x:v>
      </x:c>
      <x:c r="AB223" s="76" t="str">
        <x:v>待验证</x:v>
      </x:c>
      <x:c r="AC223" s="76" t="str"/>
      <x:c r="AD223" s="76" t="str">
        <x:v>provisional=true; dynamic=害; subtype=stop</x:v>
      </x:c>
      <x:c r="AE223" s="82" t="str">
        <x:v>0.2</x:v>
      </x:c>
    </x:row>
    <x:row r="224">
      <x:c r="A224" s="81" t="str">
        <x:v>M4-BASE-220</x:v>
      </x:c>
      <x:c r="B224" s="76" t="str">
        <x:v>日支害｜用户语言模板</x:v>
      </x:c>
      <x:c r="C224" s="76" t="str">
        <x:v>L8 输出与停止</x:v>
      </x:c>
      <x:c r="D224" s="76" t="str">
        <x:v>BASE-宫位动态</x:v>
      </x:c>
      <x:c r="E224" s="76" t="str">
        <x:v>通用</x:v>
      </x:c>
      <x:c r="F224" s="76" t="str">
        <x:v>输出</x:v>
      </x:c>
      <x:c r="G224" s="76" t="str">
        <x:v>日支害</x:v>
      </x:c>
      <x:c r="H224" s="76" t="str"/>
      <x:c r="I224" s="76" t="str">
        <x:v>日支害作为已通过门控的动态修正进入输出。</x:v>
      </x:c>
      <x:c r="J224" s="76" t="str">
        <x:v>动态被停止、作用对象不明或真合化替换。</x:v>
      </x:c>
      <x:c r="K224" s="76" t="str">
        <x:v>由共享基础引擎提供；只修正承载与执行，不直接等同强弱人格。</x:v>
      </x:c>
      <x:c r="L224" s="76" t="str">
        <x:v>由M2接口提供；夫妻星只参与关系议题权重，不单独生成盲点。</x:v>
      </x:c>
      <x:c r="M224" s="76" t="str">
        <x:v>由M3-BASE与共享引擎提供；不得把日支直接写成配偶性格。</x:v>
      </x:c>
      <x:c r="N224" s="76" t="str">
        <x:v>无／待后续规则组合</x:v>
      </x:c>
      <x:c r="O224" s="76" t="str">
        <x:v>由共享基础引擎判定</x:v>
      </x:c>
      <x:c r="P224" s="76" t="str">
        <x:v>由共享基础引擎判定</x:v>
      </x:c>
      <x:c r="Q224" s="76" t="str">
        <x:v>由共享基础引擎判定</x:v>
      </x:c>
      <x:c r="R224" s="76" t="str">
        <x:v>喜忌只修正调用摩擦与平衡，不直接等同好坏。</x:v>
      </x:c>
      <x:c r="S224" s="76" t="str">
        <x:v>原十神性质有效；真合化成立时按化神系统替换。</x:v>
      </x:c>
      <x:c r="T224" s="76" t="str">
        <x:v>由共享基础引擎判定</x:v>
      </x:c>
      <x:c r="U224" s="76" t="str">
        <x:v>66</x:v>
      </x:c>
      <x:c r="V224" s="76" t="str">
        <x:v>不加分；摘要</x:v>
      </x:c>
      <x:c r="W224" s="76" t="str">
        <x:v>basis_summary</x:v>
      </x:c>
      <x:c r="X224" s="76" t="str">
        <x:v>只用中性语言说明害如何修正功能节奏。</x:v>
      </x:c>
      <x:c r="Y224" s="76" t="str">
        <x:v>有些不舒服可能不是来自公开冲突，而是双方对默认规则和未说出口的期待理解不同。</x:v>
      </x:c>
      <x:c r="Z224" s="76" t="str">
        <x:v>不得由“害”直接推出小人、暗害、背叛、欺骗、第三者或对方恶意。</x:v>
      </x:c>
      <x:c r="AA224" s="76" t="str">
        <x:v>中</x:v>
      </x:c>
      <x:c r="AB224" s="76" t="str">
        <x:v>待验证</x:v>
      </x:c>
      <x:c r="AC224" s="76" t="str"/>
      <x:c r="AD224" s="76" t="str">
        <x:v>provisional=true; dynamic=害; summary_only=true</x:v>
      </x:c>
      <x:c r="AE224" s="82" t="str">
        <x:v>0.2</x:v>
      </x:c>
    </x:row>
    <x:row r="225">
      <x:c r="A225" s="81" t="str">
        <x:v>M4-BASE-221</x:v>
      </x:c>
      <x:c r="B225" s="76" t="str">
        <x:v>日支破｜中性功能定义</x:v>
      </x:c>
      <x:c r="C225" s="76" t="str">
        <x:v>L5 宫位层级与动态</x:v>
      </x:c>
      <x:c r="D225" s="76" t="str">
        <x:v>BASE-宫位动态</x:v>
      </x:c>
      <x:c r="E225" s="76" t="str">
        <x:v>通用</x:v>
      </x:c>
      <x:c r="F225" s="76" t="str">
        <x:v>定义</x:v>
      </x:c>
      <x:c r="G225" s="76" t="str">
        <x:v>日支破</x:v>
      </x:c>
      <x:c r="H225" s="76" t="str"/>
      <x:c r="I225" s="76" t="str">
        <x:v>共享引擎确认原局日支破成立；结构类型、对象和是否合化已分清。</x:v>
      </x:c>
      <x:c r="J225" s="76" t="str">
        <x:v>结构未成立、仅为流年短暂作用却被写成原局，或真合化需另路由。</x:v>
      </x:c>
      <x:c r="K225" s="76" t="str">
        <x:v>由共享基础引擎提供；只修正承载与执行，不直接等同强弱人格。</x:v>
      </x:c>
      <x:c r="L225" s="76" t="str">
        <x:v>由M2接口提供；夫妻星只参与关系议题权重，不单独生成盲点。</x:v>
      </x:c>
      <x:c r="M225" s="76" t="str">
        <x:v>日支破：原有方案、分工、共享方式或边界安排失去适用性，需要重新组合。</x:v>
      </x:c>
      <x:c r="N225" s="76" t="str">
        <x:v>无／待后续规则组合</x:v>
      </x:c>
      <x:c r="O225" s="76" t="str">
        <x:v>由共享基础引擎判定</x:v>
      </x:c>
      <x:c r="P225" s="76" t="str">
        <x:v>由共享基础引擎判定</x:v>
      </x:c>
      <x:c r="Q225" s="76" t="str">
        <x:v>由共享基础引擎判定</x:v>
      </x:c>
      <x:c r="R225" s="76" t="str">
        <x:v>喜忌只修正调用摩擦与平衡，不直接等同好坏。</x:v>
      </x:c>
      <x:c r="S225" s="76" t="str">
        <x:v>原十神性质有效；真合化成立时按化神系统替换。</x:v>
      </x:c>
      <x:c r="T225" s="76" t="str">
        <x:v>由共享基础引擎判定</x:v>
      </x:c>
      <x:c r="U225" s="76" t="str">
        <x:v>80</x:v>
      </x:c>
      <x:c r="V225" s="76" t="str">
        <x:v>不加分；动态定义</x:v>
      </x:c>
      <x:c r="W225" s="76" t="str">
        <x:v>palace_dynamic</x:v>
      </x:c>
      <x:c r="X225" s="76" t="str">
        <x:v>原有方案、分工、共享方式或边界安排失去适用性，需要重新组合。</x:v>
      </x:c>
      <x:c r="Y225" s="76" t="str">
        <x:v>旧的相处安排可能需要重做，关键是能否把变化转成新的分工、边界和行动方案。</x:v>
      </x:c>
      <x:c r="Z225" s="76" t="str">
        <x:v>不得由“破”直接推出婚姻破裂、关系失败、分手、财务损失或家庭破败。</x:v>
      </x:c>
      <x:c r="AA225" s="76" t="str">
        <x:v>中高</x:v>
      </x:c>
      <x:c r="AB225" s="76" t="str">
        <x:v>待验证</x:v>
      </x:c>
      <x:c r="AC225" s="76" t="str"/>
      <x:c r="AD225" s="76" t="str">
        <x:v>provisional=true; dynamic=破; subtype=definition</x:v>
      </x:c>
      <x:c r="AE225" s="82" t="str">
        <x:v>0.2</x:v>
      </x:c>
    </x:row>
    <x:row r="226">
      <x:c r="A226" s="81" t="str">
        <x:v>M4-BASE-222</x:v>
      </x:c>
      <x:c r="B226" s="76" t="str">
        <x:v>日支破｜与有效功能结合</x:v>
      </x:c>
      <x:c r="C226" s="76" t="str">
        <x:v>L5 宫位层级与动态</x:v>
      </x:c>
      <x:c r="D226" s="76" t="str">
        <x:v>BASE-宫位动态</x:v>
      </x:c>
      <x:c r="E226" s="76" t="str">
        <x:v>通用</x:v>
      </x:c>
      <x:c r="F226" s="76" t="str">
        <x:v>修正</x:v>
      </x:c>
      <x:c r="G226" s="76" t="str">
        <x:v>日支破</x:v>
      </x:c>
      <x:c r="H226" s="76" t="str">
        <x:v>有效M3／M4功能通道</x:v>
      </x:c>
      <x:c r="I226" s="76" t="str">
        <x:v>日支破成立；至少一个正常功能来源可靠；动态与该功能作用对象明确。</x:v>
      </x:c>
      <x:c r="J226" s="76" t="str">
        <x:v>只有破而没有有效功能通道；作用对象不明。</x:v>
      </x:c>
      <x:c r="K226" s="76" t="str">
        <x:v>由共享基础引擎提供；只修正承载与执行，不直接等同强弱人格。</x:v>
      </x:c>
      <x:c r="L226" s="76" t="str">
        <x:v>由M2接口提供；夫妻星只参与关系议题权重，不单独生成盲点。</x:v>
      </x:c>
      <x:c r="M226" s="76" t="str">
        <x:v>破修正功能调用节奏</x:v>
      </x:c>
      <x:c r="N226" s="76" t="str">
        <x:v>可提高K06转换受阻和K08修复断链的后续路由候选，但不能单独形成盲点。</x:v>
      </x:c>
      <x:c r="O226" s="76" t="str">
        <x:v>由共享基础引擎判定</x:v>
      </x:c>
      <x:c r="P226" s="76" t="str">
        <x:v>由共享基础引擎判定</x:v>
      </x:c>
      <x:c r="Q226" s="76" t="str">
        <x:v>由共享基础引擎判定</x:v>
      </x:c>
      <x:c r="R226" s="76" t="str">
        <x:v>喜忌只修正调用摩擦与平衡，不直接等同好坏。</x:v>
      </x:c>
      <x:c r="S226" s="76" t="str">
        <x:v>原十神性质有效；真合化成立时按化神系统替换。</x:v>
      </x:c>
      <x:c r="T226" s="76" t="str">
        <x:v>由共享基础引擎判定</x:v>
      </x:c>
      <x:c r="U226" s="76" t="str">
        <x:v>78</x:v>
      </x:c>
      <x:c r="V226" s="76" t="str">
        <x:v>相关机制候选 +3</x:v>
      </x:c>
      <x:c r="W226" s="76" t="str">
        <x:v>imbalance_mechanism</x:v>
      </x:c>
      <x:c r="X226" s="76" t="str">
        <x:v>破不能独立生成盲点，但与有效功能结合时：可提高K06转换受阻和K08修复断链的后续路由候选，但不能单独形成盲点。</x:v>
      </x:c>
      <x:c r="Y226" s="76" t="str">
        <x:v>旧的相处安排可能需要重做，关键是能否把变化转成新的分工、边界和行动方案。 这只修正关系节奏，不直接判断结果。</x:v>
      </x:c>
      <x:c r="Z226" s="76" t="str">
        <x:v>不得由“破”直接推出婚姻破裂、关系失败、分手、财务损失或家庭破败。</x:v>
      </x:c>
      <x:c r="AA226" s="76" t="str">
        <x:v>中</x:v>
      </x:c>
      <x:c r="AB226" s="76" t="str">
        <x:v>待验证</x:v>
      </x:c>
      <x:c r="AC226" s="76" t="str"/>
      <x:c r="AD226" s="76" t="str">
        <x:v>provisional=true; dynamic=破; subtype=function_modifier</x:v>
      </x:c>
      <x:c r="AE226" s="82" t="str">
        <x:v>0.2</x:v>
      </x:c>
    </x:row>
    <x:row r="227">
      <x:c r="A227" s="81" t="str">
        <x:v>M4-BASE-223</x:v>
      </x:c>
      <x:c r="B227" s="76" t="str">
        <x:v>日支破｜触发域候选</x:v>
      </x:c>
      <x:c r="C227" s="76" t="str">
        <x:v>L5 宫位层级与动态</x:v>
      </x:c>
      <x:c r="D227" s="76" t="str">
        <x:v>BASE-宫位动态</x:v>
      </x:c>
      <x:c r="E227" s="76" t="str">
        <x:v>通用</x:v>
      </x:c>
      <x:c r="F227" s="76" t="str">
        <x:v>触发候选</x:v>
      </x:c>
      <x:c r="G227" s="76" t="str">
        <x:v>日支破</x:v>
      </x:c>
      <x:c r="H227" s="76" t="str">
        <x:v>TR触发域候选</x:v>
      </x:c>
      <x:c r="I227" s="76" t="str">
        <x:v>日支破成立；E1结构候选已成立；存在与该动态匹配的关系情境或阶段引动。</x:v>
      </x:c>
      <x:c r="J227" s="76" t="str">
        <x:v>没有E1功能失衡候选；仅凭动态想象触发情境；保护因素足以中断。</x:v>
      </x:c>
      <x:c r="K227" s="76" t="str">
        <x:v>由共享基础引擎提供；只修正承载与执行，不直接等同强弱人格。</x:v>
      </x:c>
      <x:c r="L227" s="76" t="str">
        <x:v>由M2接口提供；夫妻星只参与关系议题权重，不单独生成盲点。</x:v>
      </x:c>
      <x:c r="M227" s="76" t="str">
        <x:v>破作为触发节奏修正</x:v>
      </x:c>
      <x:c r="N227" s="76" t="str">
        <x:v>无／待后续规则组合</x:v>
      </x:c>
      <x:c r="O227" s="76" t="str">
        <x:v>由共享基础引擎判定</x:v>
      </x:c>
      <x:c r="P227" s="76" t="str">
        <x:v>由共享基础引擎判定</x:v>
      </x:c>
      <x:c r="Q227" s="76" t="str">
        <x:v>由共享基础引擎判定</x:v>
      </x:c>
      <x:c r="R227" s="76" t="str">
        <x:v>喜忌只修正调用摩擦与平衡，不直接等同好坏。</x:v>
      </x:c>
      <x:c r="S227" s="76" t="str">
        <x:v>原十神性质有效；真合化成立时按化神系统替换。</x:v>
      </x:c>
      <x:c r="T227" s="76" t="str">
        <x:v>由共享基础引擎判定</x:v>
      </x:c>
      <x:c r="U227" s="76" t="str">
        <x:v>76</x:v>
      </x:c>
      <x:c r="V227" s="76" t="str">
        <x:v>trigger candidate +3；不得单独建立E2</x:v>
      </x:c>
      <x:c r="W227" s="76" t="str">
        <x:v>activation_trigger</x:v>
      </x:c>
      <x:c r="X227" s="76" t="str">
        <x:v>当现实条件改变、旧安排失效或原本的处理方法不能继续时，功能转换更容易卡住。</x:v>
      </x:c>
      <x:c r="Y227" s="76" t="str">
        <x:v>在以下情境中，这项候选可能更容易启动：当现实条件改变、旧安排失效或原本的处理方法不能继续时，功能转换更容易卡住。</x:v>
      </x:c>
      <x:c r="Z227" s="76" t="str">
        <x:v>不得由“破”直接推出婚姻破裂、关系失败、分手、财务损失或家庭破败。</x:v>
      </x:c>
      <x:c r="AA227" s="76" t="str">
        <x:v>中低</x:v>
      </x:c>
      <x:c r="AB227" s="76" t="str">
        <x:v>待验证</x:v>
      </x:c>
      <x:c r="AC227" s="76" t="str"/>
      <x:c r="AD227" s="76" t="str">
        <x:v>provisional=true; dynamic=破; subtype=trigger_route</x:v>
      </x:c>
      <x:c r="AE227" s="82" t="str">
        <x:v>0.2</x:v>
      </x:c>
    </x:row>
    <x:row r="228">
      <x:c r="A228" s="81" t="str">
        <x:v>M4-BASE-224</x:v>
      </x:c>
      <x:c r="B228" s="76" t="str">
        <x:v>日支破｜禁止单独生成盲点</x:v>
      </x:c>
      <x:c r="C228" s="76" t="str">
        <x:v>L5 宫位层级与动态</x:v>
      </x:c>
      <x:c r="D228" s="76" t="str">
        <x:v>BASE-宫位动态</x:v>
      </x:c>
      <x:c r="E228" s="76" t="str">
        <x:v>通用</x:v>
      </x:c>
      <x:c r="F228" s="76" t="str">
        <x:v>停止</x:v>
      </x:c>
      <x:c r="G228" s="76" t="str">
        <x:v>日支破</x:v>
      </x:c>
      <x:c r="H228" s="76" t="str"/>
      <x:c r="I228" s="76" t="str">
        <x:v>当前只有日支破一项事实，没有正常功能来源、失衡机制或独立证据。</x:v>
      </x:c>
      <x:c r="J228" s="76" t="str"/>
      <x:c r="K228" s="76" t="str">
        <x:v>由共享基础引擎提供；只修正承载与执行，不直接等同强弱人格。</x:v>
      </x:c>
      <x:c r="L228" s="76" t="str">
        <x:v>由M2接口提供；夫妻星只参与关系议题权重，不单独生成盲点。</x:v>
      </x:c>
      <x:c r="M228" s="76" t="str">
        <x:v>由M3-BASE与共享引擎提供；不得把日支直接写成配偶性格。</x:v>
      </x:c>
      <x:c r="N228" s="76" t="str">
        <x:v>无／待后续规则组合</x:v>
      </x:c>
      <x:c r="O228" s="76" t="str">
        <x:v>由共享基础引擎判定</x:v>
      </x:c>
      <x:c r="P228" s="76" t="str">
        <x:v>由共享基础引擎判定</x:v>
      </x:c>
      <x:c r="Q228" s="76" t="str">
        <x:v>由共享基础引擎判定</x:v>
      </x:c>
      <x:c r="R228" s="76" t="str">
        <x:v>喜忌只修正调用摩擦与平衡，不直接等同好坏。</x:v>
      </x:c>
      <x:c r="S228" s="76" t="str">
        <x:v>原十神性质有效；真合化成立时按化神系统替换。</x:v>
      </x:c>
      <x:c r="T228" s="76" t="str">
        <x:v>由共享基础引擎判定</x:v>
      </x:c>
      <x:c r="U228" s="76" t="str">
        <x:v>96</x:v>
      </x:c>
      <x:c r="V228" s="76" t="str">
        <x:v>STOP动态单独路由</x:v>
      </x:c>
      <x:c r="W228" s="76" t="str">
        <x:v>stop_reason</x:v>
      </x:c>
      <x:c r="X228" s="76" t="str">
        <x:v>破只修正触发、切换或整合节奏，不能单独生成B01—B15。</x:v>
      </x:c>
      <x:c r="Y228" s="76" t="str">
        <x:v>仅凭“破”这一结构，不能判断具体关系问题。</x:v>
      </x:c>
      <x:c r="Z228" s="76" t="str">
        <x:v>不得由“破”直接推出婚姻破裂、关系失败、分手、财务损失或家庭破败。</x:v>
      </x:c>
      <x:c r="AA228" s="76" t="str">
        <x:v>高</x:v>
      </x:c>
      <x:c r="AB228" s="76" t="str">
        <x:v>待验证</x:v>
      </x:c>
      <x:c r="AC228" s="76" t="str"/>
      <x:c r="AD228" s="76" t="str">
        <x:v>provisional=true; dynamic=破; subtype=stop</x:v>
      </x:c>
      <x:c r="AE228" s="82" t="str">
        <x:v>0.2</x:v>
      </x:c>
    </x:row>
    <x:row r="229">
      <x:c r="A229" s="81" t="str">
        <x:v>M4-BASE-225</x:v>
      </x:c>
      <x:c r="B229" s="76" t="str">
        <x:v>日支破｜用户语言模板</x:v>
      </x:c>
      <x:c r="C229" s="76" t="str">
        <x:v>L8 输出与停止</x:v>
      </x:c>
      <x:c r="D229" s="76" t="str">
        <x:v>BASE-宫位动态</x:v>
      </x:c>
      <x:c r="E229" s="76" t="str">
        <x:v>通用</x:v>
      </x:c>
      <x:c r="F229" s="76" t="str">
        <x:v>输出</x:v>
      </x:c>
      <x:c r="G229" s="76" t="str">
        <x:v>日支破</x:v>
      </x:c>
      <x:c r="H229" s="76" t="str"/>
      <x:c r="I229" s="76" t="str">
        <x:v>日支破作为已通过门控的动态修正进入输出。</x:v>
      </x:c>
      <x:c r="J229" s="76" t="str">
        <x:v>动态被停止、作用对象不明或真合化替换。</x:v>
      </x:c>
      <x:c r="K229" s="76" t="str">
        <x:v>由共享基础引擎提供；只修正承载与执行，不直接等同强弱人格。</x:v>
      </x:c>
      <x:c r="L229" s="76" t="str">
        <x:v>由M2接口提供；夫妻星只参与关系议题权重，不单独生成盲点。</x:v>
      </x:c>
      <x:c r="M229" s="76" t="str">
        <x:v>由M3-BASE与共享引擎提供；不得把日支直接写成配偶性格。</x:v>
      </x:c>
      <x:c r="N229" s="76" t="str">
        <x:v>无／待后续规则组合</x:v>
      </x:c>
      <x:c r="O229" s="76" t="str">
        <x:v>由共享基础引擎判定</x:v>
      </x:c>
      <x:c r="P229" s="76" t="str">
        <x:v>由共享基础引擎判定</x:v>
      </x:c>
      <x:c r="Q229" s="76" t="str">
        <x:v>由共享基础引擎判定</x:v>
      </x:c>
      <x:c r="R229" s="76" t="str">
        <x:v>喜忌只修正调用摩擦与平衡，不直接等同好坏。</x:v>
      </x:c>
      <x:c r="S229" s="76" t="str">
        <x:v>原十神性质有效；真合化成立时按化神系统替换。</x:v>
      </x:c>
      <x:c r="T229" s="76" t="str">
        <x:v>由共享基础引擎判定</x:v>
      </x:c>
      <x:c r="U229" s="76" t="str">
        <x:v>66</x:v>
      </x:c>
      <x:c r="V229" s="76" t="str">
        <x:v>不加分；摘要</x:v>
      </x:c>
      <x:c r="W229" s="76" t="str">
        <x:v>basis_summary</x:v>
      </x:c>
      <x:c r="X229" s="76" t="str">
        <x:v>只用中性语言说明破如何修正功能节奏。</x:v>
      </x:c>
      <x:c r="Y229" s="76" t="str">
        <x:v>旧的相处安排可能需要重做，关键是能否把变化转成新的分工、边界和行动方案。</x:v>
      </x:c>
      <x:c r="Z229" s="76" t="str">
        <x:v>不得由“破”直接推出婚姻破裂、关系失败、分手、财务损失或家庭破败。</x:v>
      </x:c>
      <x:c r="AA229" s="76" t="str">
        <x:v>中</x:v>
      </x:c>
      <x:c r="AB229" s="76" t="str">
        <x:v>待验证</x:v>
      </x:c>
      <x:c r="AC229" s="76" t="str"/>
      <x:c r="AD229" s="76" t="str">
        <x:v>provisional=true; dynamic=破; summary_only=true</x:v>
      </x:c>
      <x:c r="AE229" s="82" t="str">
        <x:v>0.2</x:v>
      </x:c>
    </x:row>
    <x:row r="230">
      <x:c r="A230" s="81" t="str">
        <x:v>M4-BASE-226</x:v>
      </x:c>
      <x:c r="B230" s="76" t="str">
        <x:v>M3-BASE接口｜导入正常功能</x:v>
      </x:c>
      <x:c r="C230" s="76" t="str">
        <x:v>L6 跨模块接口</x:v>
      </x:c>
      <x:c r="D230" s="76" t="str">
        <x:v>BASE-M3接口</x:v>
      </x:c>
      <x:c r="E230" s="76" t="str">
        <x:v>通用</x:v>
      </x:c>
      <x:c r="F230" s="76" t="str">
        <x:v>接口</x:v>
      </x:c>
      <x:c r="G230" s="76" t="str">
        <x:v>M3-BASE</x:v>
      </x:c>
      <x:c r="H230" s="76" t="str">
        <x:v>relationship_baseline</x:v>
      </x:c>
      <x:c r="I230" s="76" t="str">
        <x:v>M3-BASE输出有效，置信度不低于中；来源可追溯；功能未被真合化替换。</x:v>
      </x:c>
      <x:c r="J230" s="76" t="str">
        <x:v>M3-BASE停止、低置信且无独立支持，或基础source_id争议。</x:v>
      </x:c>
      <x:c r="K230" s="76" t="str">
        <x:v>由共享基础引擎提供；只修正承载与执行，不直接等同强弱人格。</x:v>
      </x:c>
      <x:c r="L230" s="76" t="str">
        <x:v>由M2接口提供；夫妻星只参与关系议题权重，不单独生成盲点。</x:v>
      </x:c>
      <x:c r="M230" s="76" t="str">
        <x:v>由M3-BASE与共享引擎提供；不得把日支直接写成配偶性格。</x:v>
      </x:c>
      <x:c r="N230" s="76" t="str">
        <x:v>无／待后续规则组合</x:v>
      </x:c>
      <x:c r="O230" s="76" t="str">
        <x:v>由共享基础引擎判定</x:v>
      </x:c>
      <x:c r="P230" s="76" t="str">
        <x:v>由共享基础引擎判定</x:v>
      </x:c>
      <x:c r="Q230" s="76" t="str">
        <x:v>由共享基础引擎判定</x:v>
      </x:c>
      <x:c r="R230" s="76" t="str">
        <x:v>喜忌只修正调用摩擦与平衡，不直接等同好坏。</x:v>
      </x:c>
      <x:c r="S230" s="76" t="str">
        <x:v>原十神性质有效；真合化成立时按化神系统替换。</x:v>
      </x:c>
      <x:c r="T230" s="76" t="str">
        <x:v>由共享基础引擎判定</x:v>
      </x:c>
      <x:c r="U230" s="76" t="str">
        <x:v>88</x:v>
      </x:c>
      <x:c r="V230" s="76" t="str">
        <x:v>functional_origin引用；底层source_id不重复</x:v>
      </x:c>
      <x:c r="W230" s="76" t="str">
        <x:v>functional_origin</x:v>
      </x:c>
      <x:c r="X230" s="76" t="str">
        <x:v>关系建立后最自然进入的运行主题，是M4判断功能来源的底盘。</x:v>
      </x:c>
      <x:c r="Y230" s="76" t="str">
        <x:v>在日常相处中，这一模块原本负责：关系建立后最自然进入的运行主题，是M4判断功能来源的底盘。</x:v>
      </x:c>
      <x:c r="Z230" s="76" t="str">
        <x:v>M3中性功能不能被M4改写成负面人格；只有通过失衡与独立证据门控后才能生成候选。</x:v>
      </x:c>
      <x:c r="AA230" s="76" t="str">
        <x:v>中高</x:v>
      </x:c>
      <x:c r="AB230" s="76" t="str">
        <x:v>待验证</x:v>
      </x:c>
      <x:c r="AC230" s="76" t="str"/>
      <x:c r="AD230" s="76" t="str">
        <x:v>provisional=true; cross_model_ref=M3-BASE; subtype=import</x:v>
      </x:c>
      <x:c r="AE230" s="82" t="str">
        <x:v>0.2</x:v>
      </x:c>
    </x:row>
    <x:row r="231">
      <x:c r="A231" s="81" t="str">
        <x:v>M4-BASE-227</x:v>
      </x:c>
      <x:c r="B231" s="76" t="str">
        <x:v>M3-BASE接口｜K01过用候选</x:v>
      </x:c>
      <x:c r="C231" s="76" t="str">
        <x:v>L6 跨模块接口</x:v>
      </x:c>
      <x:c r="D231" s="76" t="str">
        <x:v>BASE-M3接口</x:v>
      </x:c>
      <x:c r="E231" s="76" t="str">
        <x:v>通用</x:v>
      </x:c>
      <x:c r="F231" s="76" t="str">
        <x:v>失衡候选</x:v>
      </x:c>
      <x:c r="G231" s="76" t="str">
        <x:v>M3-BASE</x:v>
      </x:c>
      <x:c r="H231" s="76" t="str">
        <x:v>K01 过用放大</x:v>
      </x:c>
      <x:c r="I231" s="76" t="str">
        <x:v>M3-BASE主通道可靠；压力下抢先或跨场景重复；另有调节不足或现实行为支持。</x:v>
      </x:c>
      <x:c r="J231" s="76" t="str">
        <x:v>M3-BASE功能平衡、有完整次通道／修复回流，或仅为一次性事件。</x:v>
      </x:c>
      <x:c r="K231" s="76" t="str">
        <x:v>由共享基础引擎提供；只修正承载与执行，不直接等同强弱人格。</x:v>
      </x:c>
      <x:c r="L231" s="76" t="str">
        <x:v>由M2接口提供；夫妻星只参与关系议题权重，不单独生成盲点。</x:v>
      </x:c>
      <x:c r="M231" s="76" t="str">
        <x:v>由M3-BASE与共享引擎提供；不得把日支直接写成配偶性格。</x:v>
      </x:c>
      <x:c r="N231" s="76" t="str">
        <x:v>无／待后续规则组合</x:v>
      </x:c>
      <x:c r="O231" s="76" t="str">
        <x:v>由共享基础引擎判定</x:v>
      </x:c>
      <x:c r="P231" s="76" t="str">
        <x:v>由共享基础引擎判定</x:v>
      </x:c>
      <x:c r="Q231" s="76" t="str">
        <x:v>由共享基础引擎判定</x:v>
      </x:c>
      <x:c r="R231" s="76" t="str">
        <x:v>喜忌只修正调用摩擦与平衡，不直接等同好坏。</x:v>
      </x:c>
      <x:c r="S231" s="76" t="str">
        <x:v>原十神性质有效；真合化成立时按化神系统替换。</x:v>
      </x:c>
      <x:c r="T231" s="76" t="str">
        <x:v>由共享基础引擎判定</x:v>
      </x:c>
      <x:c r="U231" s="76" t="str">
        <x:v>82</x:v>
      </x:c>
      <x:c r="V231" s="76" t="str">
        <x:v>K01候选 +6；与同一十神规则取高不叠加</x:v>
      </x:c>
      <x:c r="W231" s="76" t="str">
        <x:v>imbalance_mechanism</x:v>
      </x:c>
      <x:c r="X231" s="76" t="str">
        <x:v>底盘功能在多个关系任务中长期占据唯一主轴，其他系统难以进入。</x:v>
      </x:c>
      <x:c r="Y231" s="76" t="str">
        <x:v>需要留意的是：底盘功能在多个关系任务中长期占据唯一主轴，其他系统难以进入。</x:v>
      </x:c>
      <x:c r="Z231" s="76" t="str">
        <x:v>不得把模块主通道直接等同固定问题、关系风险或人格标签。</x:v>
      </x:c>
      <x:c r="AA231" s="76" t="str">
        <x:v>中</x:v>
      </x:c>
      <x:c r="AB231" s="76" t="str">
        <x:v>待验证</x:v>
      </x:c>
      <x:c r="AC231" s="76" t="str"/>
      <x:c r="AD231" s="76" t="str">
        <x:v>provisional=true; cross_model_ref=M3-BASE; imbalance=K01; blind_route=B04／B10／B11／B15</x:v>
      </x:c>
      <x:c r="AE231" s="82" t="str">
        <x:v>0.2</x:v>
      </x:c>
    </x:row>
    <x:row r="232">
      <x:c r="A232" s="81" t="str">
        <x:v>M4-BASE-228</x:v>
      </x:c>
      <x:c r="B232" s="76" t="str">
        <x:v>M3-BASE接口｜K02／K03缺位替代候选</x:v>
      </x:c>
      <x:c r="C232" s="76" t="str">
        <x:v>L6 跨模块接口</x:v>
      </x:c>
      <x:c r="D232" s="76" t="str">
        <x:v>BASE-M3接口</x:v>
      </x:c>
      <x:c r="E232" s="76" t="str">
        <x:v>通用</x:v>
      </x:c>
      <x:c r="F232" s="76" t="str">
        <x:v>组合候选</x:v>
      </x:c>
      <x:c r="G232" s="76" t="str">
        <x:v>M3-BASE</x:v>
      </x:c>
      <x:c r="H232" s="76" t="str">
        <x:v>K02 功能不足／K03 单通道替代</x:v>
      </x:c>
      <x:c r="I232" s="76" t="str">
        <x:v>M3-BASE显示某项关系任务必要；对应功能弱、延后或被另一通道替代；无有效替代；有独立证据。</x:v>
      </x:c>
      <x:c r="J232" s="76" t="str">
        <x:v>相关功能可稳定进入；只是表达风格不同；无该任务需求。</x:v>
      </x:c>
      <x:c r="K232" s="76" t="str">
        <x:v>由共享基础引擎提供；只修正承载与执行，不直接等同强弱人格。</x:v>
      </x:c>
      <x:c r="L232" s="76" t="str">
        <x:v>由M2接口提供；夫妻星只参与关系议题权重，不单独生成盲点。</x:v>
      </x:c>
      <x:c r="M232" s="76" t="str">
        <x:v>由M3-BASE与共享引擎提供；不得把日支直接写成配偶性格。</x:v>
      </x:c>
      <x:c r="N232" s="76" t="str">
        <x:v>无／待后续规则组合</x:v>
      </x:c>
      <x:c r="O232" s="76" t="str">
        <x:v>由共享基础引擎判定</x:v>
      </x:c>
      <x:c r="P232" s="76" t="str">
        <x:v>由共享基础引擎判定</x:v>
      </x:c>
      <x:c r="Q232" s="76" t="str">
        <x:v>由共享基础引擎判定</x:v>
      </x:c>
      <x:c r="R232" s="76" t="str">
        <x:v>喜忌只修正调用摩擦与平衡，不直接等同好坏。</x:v>
      </x:c>
      <x:c r="S232" s="76" t="str">
        <x:v>原十神性质有效；真合化成立时按化神系统替换。</x:v>
      </x:c>
      <x:c r="T232" s="76" t="str">
        <x:v>由共享基础引擎判定</x:v>
      </x:c>
      <x:c r="U232" s="76" t="str">
        <x:v>80</x:v>
      </x:c>
      <x:c r="V232" s="76" t="str">
        <x:v>K02或K03候选 +6</x:v>
      </x:c>
      <x:c r="W232" s="76" t="str">
        <x:v>missing_function</x:v>
      </x:c>
      <x:c r="X232" s="76" t="str">
        <x:v>若底盘需要的次通道未能进入，可路由K02、K03或K06候选。</x:v>
      </x:c>
      <x:c r="Y232" s="76" t="str">
        <x:v>可能需要补充或继续确认的环节是：若底盘需要的次通道未能进入，可路由K02、K03或K06候选。</x:v>
      </x:c>
      <x:c r="Z232" s="76" t="str">
        <x:v>功能不足是路径层候选，不等于用户没有能力、缺爱或不成熟。</x:v>
      </x:c>
      <x:c r="AA232" s="76" t="str">
        <x:v>中</x:v>
      </x:c>
      <x:c r="AB232" s="76" t="str">
        <x:v>待验证</x:v>
      </x:c>
      <x:c r="AC232" s="76" t="str"/>
      <x:c r="AD232" s="76" t="str">
        <x:v>provisional=true; cross_model_ref=M3-BASE; imbalance=K02_K03; blind_route=B04／B10／B11／B15</x:v>
      </x:c>
      <x:c r="AE232" s="82" t="str">
        <x:v>0.2</x:v>
      </x:c>
    </x:row>
    <x:row r="233">
      <x:c r="A233" s="81" t="str">
        <x:v>M4-BASE-229</x:v>
      </x:c>
      <x:c r="B233" s="76" t="str">
        <x:v>M3-BASE接口｜同源去重</x:v>
      </x:c>
      <x:c r="C233" s="76" t="str">
        <x:v>L6 跨模块接口</x:v>
      </x:c>
      <x:c r="D233" s="76" t="str">
        <x:v>BASE-M3接口</x:v>
      </x:c>
      <x:c r="E233" s="76" t="str">
        <x:v>通用</x:v>
      </x:c>
      <x:c r="F233" s="76" t="str">
        <x:v>去重</x:v>
      </x:c>
      <x:c r="G233" s="76" t="str">
        <x:v>M3-BASE</x:v>
      </x:c>
      <x:c r="H233" s="76" t="str">
        <x:v>source_id</x:v>
      </x:c>
      <x:c r="I233" s="76" t="str">
        <x:v>M3-BASE多个字段或M4规则追溯到同一命理事实。</x:v>
      </x:c>
      <x:c r="J233" s="76" t="str">
        <x:v>来源确实独立且分别承担不同关系任务。</x:v>
      </x:c>
      <x:c r="K233" s="76" t="str">
        <x:v>由共享基础引擎提供；只修正承载与执行，不直接等同强弱人格。</x:v>
      </x:c>
      <x:c r="L233" s="76" t="str">
        <x:v>由M2接口提供；夫妻星只参与关系议题权重，不单独生成盲点。</x:v>
      </x:c>
      <x:c r="M233" s="76" t="str">
        <x:v>由M3-BASE与共享引擎提供；不得把日支直接写成配偶性格。</x:v>
      </x:c>
      <x:c r="N233" s="76" t="str">
        <x:v>无／待后续规则组合</x:v>
      </x:c>
      <x:c r="O233" s="76" t="str">
        <x:v>由共享基础引擎判定</x:v>
      </x:c>
      <x:c r="P233" s="76" t="str">
        <x:v>由共享基础引擎判定</x:v>
      </x:c>
      <x:c r="Q233" s="76" t="str">
        <x:v>由共享基础引擎判定</x:v>
      </x:c>
      <x:c r="R233" s="76" t="str">
        <x:v>喜忌只修正调用摩擦与平衡，不直接等同好坏。</x:v>
      </x:c>
      <x:c r="S233" s="76" t="str">
        <x:v>原十神性质有效；真合化成立时按化神系统替换。</x:v>
      </x:c>
      <x:c r="T233" s="76" t="str">
        <x:v>由共享基础引擎判定</x:v>
      </x:c>
      <x:c r="U233" s="76" t="str">
        <x:v>94</x:v>
      </x:c>
      <x:c r="V233" s="76" t="str">
        <x:v>同源只计一次；语义可多角度解释</x:v>
      </x:c>
      <x:c r="W233" s="76" t="str">
        <x:v>dedup_log</x:v>
      </x:c>
      <x:c r="X233" s="76" t="str">
        <x:v>M3-BASE字段可支持M4解释，但不能因同一日支或同一十神在多个输出槽位出现就重复加分。</x:v>
      </x:c>
      <x:c r="Y233" s="76" t="str">
        <x:v>同一个相处事实不会因为被表达、照顾、边界或分歧模块分别提到，就自动变成多份证据。</x:v>
      </x:c>
      <x:c r="Z233" s="76" t="str">
        <x:v>不得以模块数量代替证据数量。</x:v>
      </x:c>
      <x:c r="AA233" s="76" t="str">
        <x:v>高</x:v>
      </x:c>
      <x:c r="AB233" s="76" t="str">
        <x:v>待验证</x:v>
      </x:c>
      <x:c r="AC233" s="76" t="str"/>
      <x:c r="AD233" s="76" t="str">
        <x:v>provisional=true; cross_model_ref=M3-BASE; subtype=dedup</x:v>
      </x:c>
      <x:c r="AE233" s="82" t="str">
        <x:v>0.2</x:v>
      </x:c>
    </x:row>
    <x:row r="234">
      <x:c r="A234" s="81" t="str">
        <x:v>M4-BASE-230</x:v>
      </x:c>
      <x:c r="B234" s="76" t="str">
        <x:v>M3-BASE接口｜用户语言与边界</x:v>
      </x:c>
      <x:c r="C234" s="76" t="str">
        <x:v>L8 输出与停止</x:v>
      </x:c>
      <x:c r="D234" s="76" t="str">
        <x:v>BASE-M3接口</x:v>
      </x:c>
      <x:c r="E234" s="76" t="str">
        <x:v>通用</x:v>
      </x:c>
      <x:c r="F234" s="76" t="str">
        <x:v>输出</x:v>
      </x:c>
      <x:c r="G234" s="76" t="str">
        <x:v>M3-BASE</x:v>
      </x:c>
      <x:c r="H234" s="76" t="str">
        <x:v>B04／B10／B11／B15</x:v>
      </x:c>
      <x:c r="I234" s="76" t="str">
        <x:v>M3-BASE功能与至少一个失衡机制候选通过门控。</x:v>
      </x:c>
      <x:c r="J234" s="76" t="str">
        <x:v>对应候选被保护因子中断、现实反例否定或证据等级低于E1。</x:v>
      </x:c>
      <x:c r="K234" s="76" t="str">
        <x:v>由共享基础引擎提供；只修正承载与执行，不直接等同强弱人格。</x:v>
      </x:c>
      <x:c r="L234" s="76" t="str">
        <x:v>由M2接口提供；夫妻星只参与关系议题权重，不单独生成盲点。</x:v>
      </x:c>
      <x:c r="M234" s="76" t="str">
        <x:v>由M3-BASE与共享引擎提供；不得把日支直接写成配偶性格。</x:v>
      </x:c>
      <x:c r="N234" s="76" t="str">
        <x:v>无／待后续规则组合</x:v>
      </x:c>
      <x:c r="O234" s="76" t="str">
        <x:v>由共享基础引擎判定</x:v>
      </x:c>
      <x:c r="P234" s="76" t="str">
        <x:v>由共享基础引擎判定</x:v>
      </x:c>
      <x:c r="Q234" s="76" t="str">
        <x:v>由共享基础引擎判定</x:v>
      </x:c>
      <x:c r="R234" s="76" t="str">
        <x:v>喜忌只修正调用摩擦与平衡，不直接等同好坏。</x:v>
      </x:c>
      <x:c r="S234" s="76" t="str">
        <x:v>原十神性质有效；真合化成立时按化神系统替换。</x:v>
      </x:c>
      <x:c r="T234" s="76" t="str">
        <x:v>由共享基础引擎判定</x:v>
      </x:c>
      <x:c r="U234" s="76" t="str">
        <x:v>66</x:v>
      </x:c>
      <x:c r="V234" s="76" t="str">
        <x:v>不加分；摘要</x:v>
      </x:c>
      <x:c r="W234" s="76" t="str">
        <x:v>basis_summary</x:v>
      </x:c>
      <x:c r="X234" s="76" t="str">
        <x:v>用正常功能—失衡条件—缺位功能的结构解释M3-BASE接口。</x:v>
      </x:c>
      <x:c r="Y234" s="76" t="str">
        <x:v>先保留你最自然的关系底盘，再检查它是否长期替代了表达、落实、边界或承接。</x:v>
      </x:c>
      <x:c r="Z234" s="76" t="str">
        <x:v>不得越界输出完整双向循环、修复结论、人格诊断或适配建议；这些由后续M4模块与M5处理。</x:v>
      </x:c>
      <x:c r="AA234" s="76" t="str">
        <x:v>中</x:v>
      </x:c>
      <x:c r="AB234" s="76" t="str">
        <x:v>待验证</x:v>
      </x:c>
      <x:c r="AC234" s="76" t="str"/>
      <x:c r="AD234" s="76" t="str">
        <x:v>provisional=true; cross_model_ref=M3-BASE; summary_only=true</x:v>
      </x:c>
      <x:c r="AE234" s="82" t="str">
        <x:v>0.2</x:v>
      </x:c>
    </x:row>
    <x:row r="235">
      <x:c r="A235" s="81" t="str">
        <x:v>M4-BASE-231</x:v>
      </x:c>
      <x:c r="B235" s="76" t="str">
        <x:v>M3-EXPR接口｜导入正常功能</x:v>
      </x:c>
      <x:c r="C235" s="76" t="str">
        <x:v>L6 跨模块接口</x:v>
      </x:c>
      <x:c r="D235" s="76" t="str">
        <x:v>BASE-M3接口</x:v>
      </x:c>
      <x:c r="E235" s="76" t="str">
        <x:v>通用</x:v>
      </x:c>
      <x:c r="F235" s="76" t="str">
        <x:v>接口</x:v>
      </x:c>
      <x:c r="G235" s="76" t="str">
        <x:v>M3-EXPR</x:v>
      </x:c>
      <x:c r="H235" s="76" t="str">
        <x:v>affection_expression／communication_style</x:v>
      </x:c>
      <x:c r="I235" s="76" t="str">
        <x:v>M3-EXPR输出有效，置信度不低于中；来源可追溯；功能未被真合化替换。</x:v>
      </x:c>
      <x:c r="J235" s="76" t="str">
        <x:v>M3-EXPR停止、低置信且无独立支持，或基础source_id争议。</x:v>
      </x:c>
      <x:c r="K235" s="76" t="str">
        <x:v>由共享基础引擎提供；只修正承载与执行，不直接等同强弱人格。</x:v>
      </x:c>
      <x:c r="L235" s="76" t="str">
        <x:v>由M2接口提供；夫妻星只参与关系议题权重，不单独生成盲点。</x:v>
      </x:c>
      <x:c r="M235" s="76" t="str">
        <x:v>由M3-BASE与共享引擎提供；不得把日支直接写成配偶性格。</x:v>
      </x:c>
      <x:c r="N235" s="76" t="str">
        <x:v>无／待后续规则组合</x:v>
      </x:c>
      <x:c r="O235" s="76" t="str">
        <x:v>由共享基础引擎判定</x:v>
      </x:c>
      <x:c r="P235" s="76" t="str">
        <x:v>由共享基础引擎判定</x:v>
      </x:c>
      <x:c r="Q235" s="76" t="str">
        <x:v>由共享基础引擎判定</x:v>
      </x:c>
      <x:c r="R235" s="76" t="str">
        <x:v>喜忌只修正调用摩擦与平衡，不直接等同好坏。</x:v>
      </x:c>
      <x:c r="S235" s="76" t="str">
        <x:v>原十神性质有效；真合化成立时按化神系统替换。</x:v>
      </x:c>
      <x:c r="T235" s="76" t="str">
        <x:v>由共享基础引擎判定</x:v>
      </x:c>
      <x:c r="U235" s="76" t="str">
        <x:v>88</x:v>
      </x:c>
      <x:c r="V235" s="76" t="str">
        <x:v>functional_origin引用；底层source_id不重复</x:v>
      </x:c>
      <x:c r="W235" s="76" t="str">
        <x:v>functional_origin</x:v>
      </x:c>
      <x:c r="X235" s="76" t="str">
        <x:v>把感受、观点、需要和态度变成对方可接收的信息。</x:v>
      </x:c>
      <x:c r="Y235" s="76" t="str">
        <x:v>在日常相处中，这一模块原本负责：把感受、观点、需要和态度变成对方可接收的信息。</x:v>
      </x:c>
      <x:c r="Z235" s="76" t="str">
        <x:v>M3中性功能不能被M4改写成负面人格；只有通过失衡与独立证据门控后才能生成候选。</x:v>
      </x:c>
      <x:c r="AA235" s="76" t="str">
        <x:v>中高</x:v>
      </x:c>
      <x:c r="AB235" s="76" t="str">
        <x:v>待验证</x:v>
      </x:c>
      <x:c r="AC235" s="76" t="str"/>
      <x:c r="AD235" s="76" t="str">
        <x:v>provisional=true; cross_model_ref=M3-EXPR; subtype=import</x:v>
      </x:c>
      <x:c r="AE235" s="82" t="str">
        <x:v>0.2</x:v>
      </x:c>
    </x:row>
    <x:row r="236">
      <x:c r="A236" s="81" t="str">
        <x:v>M4-BASE-232</x:v>
      </x:c>
      <x:c r="B236" s="76" t="str">
        <x:v>M3-EXPR接口｜K01过用候选</x:v>
      </x:c>
      <x:c r="C236" s="76" t="str">
        <x:v>L6 跨模块接口</x:v>
      </x:c>
      <x:c r="D236" s="76" t="str">
        <x:v>BASE-M3接口</x:v>
      </x:c>
      <x:c r="E236" s="76" t="str">
        <x:v>通用</x:v>
      </x:c>
      <x:c r="F236" s="76" t="str">
        <x:v>失衡候选</x:v>
      </x:c>
      <x:c r="G236" s="76" t="str">
        <x:v>M3-EXPR</x:v>
      </x:c>
      <x:c r="H236" s="76" t="str">
        <x:v>K01 过用放大</x:v>
      </x:c>
      <x:c r="I236" s="76" t="str">
        <x:v>M3-EXPR主通道可靠；压力下抢先或跨场景重复；另有调节不足或现实行为支持。</x:v>
      </x:c>
      <x:c r="J236" s="76" t="str">
        <x:v>M3-EXPR功能平衡、有完整次通道／修复回流，或仅为一次性事件。</x:v>
      </x:c>
      <x:c r="K236" s="76" t="str">
        <x:v>由共享基础引擎提供；只修正承载与执行，不直接等同强弱人格。</x:v>
      </x:c>
      <x:c r="L236" s="76" t="str">
        <x:v>由M2接口提供；夫妻星只参与关系议题权重，不单独生成盲点。</x:v>
      </x:c>
      <x:c r="M236" s="76" t="str">
        <x:v>由M3-BASE与共享引擎提供；不得把日支直接写成配偶性格。</x:v>
      </x:c>
      <x:c r="N236" s="76" t="str">
        <x:v>无／待后续规则组合</x:v>
      </x:c>
      <x:c r="O236" s="76" t="str">
        <x:v>由共享基础引擎判定</x:v>
      </x:c>
      <x:c r="P236" s="76" t="str">
        <x:v>由共享基础引擎判定</x:v>
      </x:c>
      <x:c r="Q236" s="76" t="str">
        <x:v>由共享基础引擎判定</x:v>
      </x:c>
      <x:c r="R236" s="76" t="str">
        <x:v>喜忌只修正调用摩擦与平衡，不直接等同好坏。</x:v>
      </x:c>
      <x:c r="S236" s="76" t="str">
        <x:v>原十神性质有效；真合化成立时按化神系统替换。</x:v>
      </x:c>
      <x:c r="T236" s="76" t="str">
        <x:v>由共享基础引擎判定</x:v>
      </x:c>
      <x:c r="U236" s="76" t="str">
        <x:v>82</x:v>
      </x:c>
      <x:c r="V236" s="76" t="str">
        <x:v>K01候选 +6；与同一十神规则取高不叠加</x:v>
      </x:c>
      <x:c r="W236" s="76" t="str">
        <x:v>imbalance_mechanism</x:v>
      </x:c>
      <x:c r="X236" s="76" t="str">
        <x:v>表达、分析、说明或氛围通道抢先，可能出现解释过载、表达替代理解或轻松延后问题。</x:v>
      </x:c>
      <x:c r="Y236" s="76" t="str">
        <x:v>需要留意的是：表达、分析、说明或氛围通道抢先，可能出现解释过载、表达替代理解或轻松延后问题。</x:v>
      </x:c>
      <x:c r="Z236" s="76" t="str">
        <x:v>不得把模块主通道直接等同固定问题、关系风险或人格标签。</x:v>
      </x:c>
      <x:c r="AA236" s="76" t="str">
        <x:v>中</x:v>
      </x:c>
      <x:c r="AB236" s="76" t="str">
        <x:v>待验证</x:v>
      </x:c>
      <x:c r="AC236" s="76" t="str"/>
      <x:c r="AD236" s="76" t="str">
        <x:v>provisional=true; cross_model_ref=M3-EXPR; imbalance=K01; blind_route=B05／B11／B13</x:v>
      </x:c>
      <x:c r="AE236" s="82" t="str">
        <x:v>0.2</x:v>
      </x:c>
    </x:row>
    <x:row r="237">
      <x:c r="A237" s="81" t="str">
        <x:v>M4-BASE-233</x:v>
      </x:c>
      <x:c r="B237" s="76" t="str">
        <x:v>M3-EXPR接口｜K02／K03缺位替代候选</x:v>
      </x:c>
      <x:c r="C237" s="76" t="str">
        <x:v>L6 跨模块接口</x:v>
      </x:c>
      <x:c r="D237" s="76" t="str">
        <x:v>BASE-M3接口</x:v>
      </x:c>
      <x:c r="E237" s="76" t="str">
        <x:v>通用</x:v>
      </x:c>
      <x:c r="F237" s="76" t="str">
        <x:v>组合候选</x:v>
      </x:c>
      <x:c r="G237" s="76" t="str">
        <x:v>M3-EXPR</x:v>
      </x:c>
      <x:c r="H237" s="76" t="str">
        <x:v>K02 功能不足／K03 单通道替代</x:v>
      </x:c>
      <x:c r="I237" s="76" t="str">
        <x:v>M3-EXPR显示某项关系任务必要；对应功能弱、延后或被另一通道替代；无有效替代；有独立证据。</x:v>
      </x:c>
      <x:c r="J237" s="76" t="str">
        <x:v>相关功能可稳定进入；只是表达风格不同；无该任务需求。</x:v>
      </x:c>
      <x:c r="K237" s="76" t="str">
        <x:v>由共享基础引擎提供；只修正承载与执行，不直接等同强弱人格。</x:v>
      </x:c>
      <x:c r="L237" s="76" t="str">
        <x:v>由M2接口提供；夫妻星只参与关系议题权重，不单独生成盲点。</x:v>
      </x:c>
      <x:c r="M237" s="76" t="str">
        <x:v>由M3-BASE与共享引擎提供；不得把日支直接写成配偶性格。</x:v>
      </x:c>
      <x:c r="N237" s="76" t="str">
        <x:v>无／待后续规则组合</x:v>
      </x:c>
      <x:c r="O237" s="76" t="str">
        <x:v>由共享基础引擎判定</x:v>
      </x:c>
      <x:c r="P237" s="76" t="str">
        <x:v>由共享基础引擎判定</x:v>
      </x:c>
      <x:c r="Q237" s="76" t="str">
        <x:v>由共享基础引擎判定</x:v>
      </x:c>
      <x:c r="R237" s="76" t="str">
        <x:v>喜忌只修正调用摩擦与平衡，不直接等同好坏。</x:v>
      </x:c>
      <x:c r="S237" s="76" t="str">
        <x:v>原十神性质有效；真合化成立时按化神系统替换。</x:v>
      </x:c>
      <x:c r="T237" s="76" t="str">
        <x:v>由共享基础引擎判定</x:v>
      </x:c>
      <x:c r="U237" s="76" t="str">
        <x:v>80</x:v>
      </x:c>
      <x:c r="V237" s="76" t="str">
        <x:v>K02或K03候选 +6</x:v>
      </x:c>
      <x:c r="W237" s="76" t="str">
        <x:v>missing_function</x:v>
      </x:c>
      <x:c r="X237" s="76" t="str">
        <x:v>语言、需求或反馈不足时，关系可能只能靠行动、沉默或猜测传递信息。</x:v>
      </x:c>
      <x:c r="Y237" s="76" t="str">
        <x:v>可能需要补充或继续确认的环节是：语言、需求或反馈不足时，关系可能只能靠行动、沉默或猜测传递信息。</x:v>
      </x:c>
      <x:c r="Z237" s="76" t="str">
        <x:v>功能不足是路径层候选，不等于用户没有能力、缺爱或不成熟。</x:v>
      </x:c>
      <x:c r="AA237" s="76" t="str">
        <x:v>中</x:v>
      </x:c>
      <x:c r="AB237" s="76" t="str">
        <x:v>待验证</x:v>
      </x:c>
      <x:c r="AC237" s="76" t="str"/>
      <x:c r="AD237" s="76" t="str">
        <x:v>provisional=true; cross_model_ref=M3-EXPR; imbalance=K02_K03; blind_route=B05／B11／B13</x:v>
      </x:c>
      <x:c r="AE237" s="82" t="str">
        <x:v>0.2</x:v>
      </x:c>
    </x:row>
    <x:row r="238">
      <x:c r="A238" s="81" t="str">
        <x:v>M4-BASE-234</x:v>
      </x:c>
      <x:c r="B238" s="76" t="str">
        <x:v>M3-EXPR接口｜同源去重</x:v>
      </x:c>
      <x:c r="C238" s="76" t="str">
        <x:v>L6 跨模块接口</x:v>
      </x:c>
      <x:c r="D238" s="76" t="str">
        <x:v>BASE-M3接口</x:v>
      </x:c>
      <x:c r="E238" s="76" t="str">
        <x:v>通用</x:v>
      </x:c>
      <x:c r="F238" s="76" t="str">
        <x:v>去重</x:v>
      </x:c>
      <x:c r="G238" s="76" t="str">
        <x:v>M3-EXPR</x:v>
      </x:c>
      <x:c r="H238" s="76" t="str">
        <x:v>source_id</x:v>
      </x:c>
      <x:c r="I238" s="76" t="str">
        <x:v>M3-EXPR多个字段或M4规则追溯到同一命理事实。</x:v>
      </x:c>
      <x:c r="J238" s="76" t="str">
        <x:v>来源确实独立且分别承担不同关系任务。</x:v>
      </x:c>
      <x:c r="K238" s="76" t="str">
        <x:v>由共享基础引擎提供；只修正承载与执行，不直接等同强弱人格。</x:v>
      </x:c>
      <x:c r="L238" s="76" t="str">
        <x:v>由M2接口提供；夫妻星只参与关系议题权重，不单独生成盲点。</x:v>
      </x:c>
      <x:c r="M238" s="76" t="str">
        <x:v>由M3-BASE与共享引擎提供；不得把日支直接写成配偶性格。</x:v>
      </x:c>
      <x:c r="N238" s="76" t="str">
        <x:v>无／待后续规则组合</x:v>
      </x:c>
      <x:c r="O238" s="76" t="str">
        <x:v>由共享基础引擎判定</x:v>
      </x:c>
      <x:c r="P238" s="76" t="str">
        <x:v>由共享基础引擎判定</x:v>
      </x:c>
      <x:c r="Q238" s="76" t="str">
        <x:v>由共享基础引擎判定</x:v>
      </x:c>
      <x:c r="R238" s="76" t="str">
        <x:v>喜忌只修正调用摩擦与平衡，不直接等同好坏。</x:v>
      </x:c>
      <x:c r="S238" s="76" t="str">
        <x:v>原十神性质有效；真合化成立时按化神系统替换。</x:v>
      </x:c>
      <x:c r="T238" s="76" t="str">
        <x:v>由共享基础引擎判定</x:v>
      </x:c>
      <x:c r="U238" s="76" t="str">
        <x:v>94</x:v>
      </x:c>
      <x:c r="V238" s="76" t="str">
        <x:v>同源只计一次；语义可多角度解释</x:v>
      </x:c>
      <x:c r="W238" s="76" t="str">
        <x:v>dedup_log</x:v>
      </x:c>
      <x:c r="X238" s="76" t="str">
        <x:v>M3-EXPR字段可支持M4解释，但不能因同一日支或同一十神在多个输出槽位出现就重复加分。</x:v>
      </x:c>
      <x:c r="Y238" s="76" t="str">
        <x:v>同一个相处事实不会因为被表达、照顾、边界或分歧模块分别提到，就自动变成多份证据。</x:v>
      </x:c>
      <x:c r="Z238" s="76" t="str">
        <x:v>不得以模块数量代替证据数量。</x:v>
      </x:c>
      <x:c r="AA238" s="76" t="str">
        <x:v>高</x:v>
      </x:c>
      <x:c r="AB238" s="76" t="str">
        <x:v>待验证</x:v>
      </x:c>
      <x:c r="AC238" s="76" t="str"/>
      <x:c r="AD238" s="76" t="str">
        <x:v>provisional=true; cross_model_ref=M3-EXPR; subtype=dedup</x:v>
      </x:c>
      <x:c r="AE238" s="82" t="str">
        <x:v>0.2</x:v>
      </x:c>
    </x:row>
    <x:row r="239">
      <x:c r="A239" s="81" t="str">
        <x:v>M4-BASE-235</x:v>
      </x:c>
      <x:c r="B239" s="76" t="str">
        <x:v>M3-EXPR接口｜用户语言与边界</x:v>
      </x:c>
      <x:c r="C239" s="76" t="str">
        <x:v>L8 输出与停止</x:v>
      </x:c>
      <x:c r="D239" s="76" t="str">
        <x:v>BASE-M3接口</x:v>
      </x:c>
      <x:c r="E239" s="76" t="str">
        <x:v>通用</x:v>
      </x:c>
      <x:c r="F239" s="76" t="str">
        <x:v>输出</x:v>
      </x:c>
      <x:c r="G239" s="76" t="str">
        <x:v>M3-EXPR</x:v>
      </x:c>
      <x:c r="H239" s="76" t="str">
        <x:v>B05／B11／B13</x:v>
      </x:c>
      <x:c r="I239" s="76" t="str">
        <x:v>M3-EXPR功能与至少一个失衡机制候选通过门控。</x:v>
      </x:c>
      <x:c r="J239" s="76" t="str">
        <x:v>对应候选被保护因子中断、现实反例否定或证据等级低于E1。</x:v>
      </x:c>
      <x:c r="K239" s="76" t="str">
        <x:v>由共享基础引擎提供；只修正承载与执行，不直接等同强弱人格。</x:v>
      </x:c>
      <x:c r="L239" s="76" t="str">
        <x:v>由M2接口提供；夫妻星只参与关系议题权重，不单独生成盲点。</x:v>
      </x:c>
      <x:c r="M239" s="76" t="str">
        <x:v>由M3-BASE与共享引擎提供；不得把日支直接写成配偶性格。</x:v>
      </x:c>
      <x:c r="N239" s="76" t="str">
        <x:v>无／待后续规则组合</x:v>
      </x:c>
      <x:c r="O239" s="76" t="str">
        <x:v>由共享基础引擎判定</x:v>
      </x:c>
      <x:c r="P239" s="76" t="str">
        <x:v>由共享基础引擎判定</x:v>
      </x:c>
      <x:c r="Q239" s="76" t="str">
        <x:v>由共享基础引擎判定</x:v>
      </x:c>
      <x:c r="R239" s="76" t="str">
        <x:v>喜忌只修正调用摩擦与平衡，不直接等同好坏。</x:v>
      </x:c>
      <x:c r="S239" s="76" t="str">
        <x:v>原十神性质有效；真合化成立时按化神系统替换。</x:v>
      </x:c>
      <x:c r="T239" s="76" t="str">
        <x:v>由共享基础引擎判定</x:v>
      </x:c>
      <x:c r="U239" s="76" t="str">
        <x:v>66</x:v>
      </x:c>
      <x:c r="V239" s="76" t="str">
        <x:v>不加分；摘要</x:v>
      </x:c>
      <x:c r="W239" s="76" t="str">
        <x:v>basis_summary</x:v>
      </x:c>
      <x:c r="X239" s="76" t="str">
        <x:v>用正常功能—失衡条件—缺位功能的结构解释M3-EXPR接口。</x:v>
      </x:c>
      <x:c r="Y239" s="76" t="str">
        <x:v>会区分“表达出来了”“对方听见了”“彼此理解了”和“现实达成共识”四个步骤。</x:v>
      </x:c>
      <x:c r="Z239" s="76" t="str">
        <x:v>不得越界输出完整双向循环、修复结论、人格诊断或适配建议；这些由后续M4模块与M5处理。</x:v>
      </x:c>
      <x:c r="AA239" s="76" t="str">
        <x:v>中</x:v>
      </x:c>
      <x:c r="AB239" s="76" t="str">
        <x:v>待验证</x:v>
      </x:c>
      <x:c r="AC239" s="76" t="str"/>
      <x:c r="AD239" s="76" t="str">
        <x:v>provisional=true; cross_model_ref=M3-EXPR; summary_only=true</x:v>
      </x:c>
      <x:c r="AE239" s="82" t="str">
        <x:v>0.2</x:v>
      </x:c>
    </x:row>
    <x:row r="240">
      <x:c r="A240" s="81" t="str">
        <x:v>M4-BASE-236</x:v>
      </x:c>
      <x:c r="B240" s="76" t="str">
        <x:v>M3-CARE接口｜导入正常功能</x:v>
      </x:c>
      <x:c r="C240" s="76" t="str">
        <x:v>L6 跨模块接口</x:v>
      </x:c>
      <x:c r="D240" s="76" t="str">
        <x:v>BASE-M3接口</x:v>
      </x:c>
      <x:c r="E240" s="76" t="str">
        <x:v>通用</x:v>
      </x:c>
      <x:c r="F240" s="76" t="str">
        <x:v>接口</x:v>
      </x:c>
      <x:c r="G240" s="76" t="str">
        <x:v>M3-CARE</x:v>
      </x:c>
      <x:c r="H240" s="76" t="str">
        <x:v>care_investment／support_receiving</x:v>
      </x:c>
      <x:c r="I240" s="76" t="str">
        <x:v>M3-CARE输出有效，置信度不低于中；来源可追溯；功能未被真合化替换。</x:v>
      </x:c>
      <x:c r="J240" s="76" t="str">
        <x:v>M3-CARE停止、低置信且无独立支持，或基础source_id争议。</x:v>
      </x:c>
      <x:c r="K240" s="76" t="str">
        <x:v>由共享基础引擎提供；只修正承载与执行，不直接等同强弱人格。</x:v>
      </x:c>
      <x:c r="L240" s="76" t="str">
        <x:v>由M2接口提供；夫妻星只参与关系议题权重，不单独生成盲点。</x:v>
      </x:c>
      <x:c r="M240" s="76" t="str">
        <x:v>由M3-BASE与共享引擎提供；不得把日支直接写成配偶性格。</x:v>
      </x:c>
      <x:c r="N240" s="76" t="str">
        <x:v>无／待后续规则组合</x:v>
      </x:c>
      <x:c r="O240" s="76" t="str">
        <x:v>由共享基础引擎判定</x:v>
      </x:c>
      <x:c r="P240" s="76" t="str">
        <x:v>由共享基础引擎判定</x:v>
      </x:c>
      <x:c r="Q240" s="76" t="str">
        <x:v>由共享基础引擎判定</x:v>
      </x:c>
      <x:c r="R240" s="76" t="str">
        <x:v>喜忌只修正调用摩擦与平衡，不直接等同好坏。</x:v>
      </x:c>
      <x:c r="S240" s="76" t="str">
        <x:v>原十神性质有效；真合化成立时按化神系统替换。</x:v>
      </x:c>
      <x:c r="T240" s="76" t="str">
        <x:v>由共享基础引擎判定</x:v>
      </x:c>
      <x:c r="U240" s="76" t="str">
        <x:v>88</x:v>
      </x:c>
      <x:c r="V240" s="76" t="str">
        <x:v>functional_origin引用；底层source_id不重复</x:v>
      </x:c>
      <x:c r="W240" s="76" t="str">
        <x:v>functional_origin</x:v>
      </x:c>
      <x:c r="X240" s="76" t="str">
        <x:v>通过时间、资源、行动、陪伴、理解或共同参与支持关系。</x:v>
      </x:c>
      <x:c r="Y240" s="76" t="str">
        <x:v>在日常相处中，这一模块原本负责：通过时间、资源、行动、陪伴、理解或共同参与支持关系。</x:v>
      </x:c>
      <x:c r="Z240" s="76" t="str">
        <x:v>M3中性功能不能被M4改写成负面人格；只有通过失衡与独立证据门控后才能生成候选。</x:v>
      </x:c>
      <x:c r="AA240" s="76" t="str">
        <x:v>中高</x:v>
      </x:c>
      <x:c r="AB240" s="76" t="str">
        <x:v>待验证</x:v>
      </x:c>
      <x:c r="AC240" s="76" t="str"/>
      <x:c r="AD240" s="76" t="str">
        <x:v>provisional=true; cross_model_ref=M3-CARE; subtype=import</x:v>
      </x:c>
      <x:c r="AE240" s="82" t="str">
        <x:v>0.2</x:v>
      </x:c>
    </x:row>
    <x:row r="241">
      <x:c r="A241" s="81" t="str">
        <x:v>M4-BASE-237</x:v>
      </x:c>
      <x:c r="B241" s="76" t="str">
        <x:v>M3-CARE接口｜K01过用候选</x:v>
      </x:c>
      <x:c r="C241" s="76" t="str">
        <x:v>L6 跨模块接口</x:v>
      </x:c>
      <x:c r="D241" s="76" t="str">
        <x:v>BASE-M3接口</x:v>
      </x:c>
      <x:c r="E241" s="76" t="str">
        <x:v>通用</x:v>
      </x:c>
      <x:c r="F241" s="76" t="str">
        <x:v>失衡候选</x:v>
      </x:c>
      <x:c r="G241" s="76" t="str">
        <x:v>M3-CARE</x:v>
      </x:c>
      <x:c r="H241" s="76" t="str">
        <x:v>K01 过用放大</x:v>
      </x:c>
      <x:c r="I241" s="76" t="str">
        <x:v>M3-CARE主通道可靠；压力下抢先或跨场景重复；另有调节不足或现实行为支持。</x:v>
      </x:c>
      <x:c r="J241" s="76" t="str">
        <x:v>M3-CARE功能平衡、有完整次通道／修复回流，或仅为一次性事件。</x:v>
      </x:c>
      <x:c r="K241" s="76" t="str">
        <x:v>由共享基础引擎提供；只修正承载与执行，不直接等同强弱人格。</x:v>
      </x:c>
      <x:c r="L241" s="76" t="str">
        <x:v>由M2接口提供；夫妻星只参与关系议题权重，不单独生成盲点。</x:v>
      </x:c>
      <x:c r="M241" s="76" t="str">
        <x:v>由M3-BASE与共享引擎提供；不得把日支直接写成配偶性格。</x:v>
      </x:c>
      <x:c r="N241" s="76" t="str">
        <x:v>无／待后续规则组合</x:v>
      </x:c>
      <x:c r="O241" s="76" t="str">
        <x:v>由共享基础引擎判定</x:v>
      </x:c>
      <x:c r="P241" s="76" t="str">
        <x:v>由共享基础引擎判定</x:v>
      </x:c>
      <x:c r="Q241" s="76" t="str">
        <x:v>由共享基础引擎判定</x:v>
      </x:c>
      <x:c r="R241" s="76" t="str">
        <x:v>喜忌只修正调用摩擦与平衡，不直接等同好坏。</x:v>
      </x:c>
      <x:c r="S241" s="76" t="str">
        <x:v>原十神性质有效；真合化成立时按化神系统替换。</x:v>
      </x:c>
      <x:c r="T241" s="76" t="str">
        <x:v>由共享基础引擎判定</x:v>
      </x:c>
      <x:c r="U241" s="76" t="str">
        <x:v>82</x:v>
      </x:c>
      <x:c r="V241" s="76" t="str">
        <x:v>K01候选 +6；与同一十神规则取高不叠加</x:v>
      </x:c>
      <x:c r="W241" s="76" t="str">
        <x:v>imbalance_mechanism</x:v>
      </x:c>
      <x:c r="X241" s="76" t="str">
        <x:v>支持加码、角色过度占位、投入记账或照顾替代边界与现实改变。</x:v>
      </x:c>
      <x:c r="Y241" s="76" t="str">
        <x:v>需要留意的是：支持加码、角色过度占位、投入记账或照顾替代边界与现实改变。</x:v>
      </x:c>
      <x:c r="Z241" s="76" t="str">
        <x:v>不得把模块主通道直接等同固定问题、关系风险或人格标签。</x:v>
      </x:c>
      <x:c r="AA241" s="76" t="str">
        <x:v>中</x:v>
      </x:c>
      <x:c r="AB241" s="76" t="str">
        <x:v>待验证</x:v>
      </x:c>
      <x:c r="AC241" s="76" t="str"/>
      <x:c r="AD241" s="76" t="str">
        <x:v>provisional=true; cross_model_ref=M3-CARE; imbalance=K01; blind_route=B07／B09／B10</x:v>
      </x:c>
      <x:c r="AE241" s="82" t="str">
        <x:v>0.2</x:v>
      </x:c>
    </x:row>
    <x:row r="242">
      <x:c r="A242" s="81" t="str">
        <x:v>M4-BASE-238</x:v>
      </x:c>
      <x:c r="B242" s="76" t="str">
        <x:v>M3-CARE接口｜K02／K03缺位替代候选</x:v>
      </x:c>
      <x:c r="C242" s="76" t="str">
        <x:v>L6 跨模块接口</x:v>
      </x:c>
      <x:c r="D242" s="76" t="str">
        <x:v>BASE-M3接口</x:v>
      </x:c>
      <x:c r="E242" s="76" t="str">
        <x:v>通用</x:v>
      </x:c>
      <x:c r="F242" s="76" t="str">
        <x:v>组合候选</x:v>
      </x:c>
      <x:c r="G242" s="76" t="str">
        <x:v>M3-CARE</x:v>
      </x:c>
      <x:c r="H242" s="76" t="str">
        <x:v>K02 功能不足／K03 单通道替代</x:v>
      </x:c>
      <x:c r="I242" s="76" t="str">
        <x:v>M3-CARE显示某项关系任务必要；对应功能弱、延后或被另一通道替代；无有效替代；有独立证据。</x:v>
      </x:c>
      <x:c r="J242" s="76" t="str">
        <x:v>相关功能可稳定进入；只是表达风格不同；无该任务需求。</x:v>
      </x:c>
      <x:c r="K242" s="76" t="str">
        <x:v>由共享基础引擎提供；只修正承载与执行，不直接等同强弱人格。</x:v>
      </x:c>
      <x:c r="L242" s="76" t="str">
        <x:v>由M2接口提供；夫妻星只参与关系议题权重，不单独生成盲点。</x:v>
      </x:c>
      <x:c r="M242" s="76" t="str">
        <x:v>由M3-BASE与共享引擎提供；不得把日支直接写成配偶性格。</x:v>
      </x:c>
      <x:c r="N242" s="76" t="str">
        <x:v>无／待后续规则组合</x:v>
      </x:c>
      <x:c r="O242" s="76" t="str">
        <x:v>由共享基础引擎判定</x:v>
      </x:c>
      <x:c r="P242" s="76" t="str">
        <x:v>由共享基础引擎判定</x:v>
      </x:c>
      <x:c r="Q242" s="76" t="str">
        <x:v>由共享基础引擎判定</x:v>
      </x:c>
      <x:c r="R242" s="76" t="str">
        <x:v>喜忌只修正调用摩擦与平衡，不直接等同好坏。</x:v>
      </x:c>
      <x:c r="S242" s="76" t="str">
        <x:v>原十神性质有效；真合化成立时按化神系统替换。</x:v>
      </x:c>
      <x:c r="T242" s="76" t="str">
        <x:v>由共享基础引擎判定</x:v>
      </x:c>
      <x:c r="U242" s="76" t="str">
        <x:v>80</x:v>
      </x:c>
      <x:c r="V242" s="76" t="str">
        <x:v>K02或K03候选 +6</x:v>
      </x:c>
      <x:c r="W242" s="76" t="str">
        <x:v>missing_function</x:v>
      </x:c>
      <x:c r="X242" s="76" t="str">
        <x:v>持续投入、请求支持、接受帮助或回馈结构不足。</x:v>
      </x:c>
      <x:c r="Y242" s="76" t="str">
        <x:v>可能需要补充或继续确认的环节是：持续投入、请求支持、接受帮助或回馈结构不足。</x:v>
      </x:c>
      <x:c r="Z242" s="76" t="str">
        <x:v>功能不足是路径层候选，不等于用户没有能力、缺爱或不成熟。</x:v>
      </x:c>
      <x:c r="AA242" s="76" t="str">
        <x:v>中</x:v>
      </x:c>
      <x:c r="AB242" s="76" t="str">
        <x:v>待验证</x:v>
      </x:c>
      <x:c r="AC242" s="76" t="str"/>
      <x:c r="AD242" s="76" t="str">
        <x:v>provisional=true; cross_model_ref=M3-CARE; imbalance=K02_K03; blind_route=B07／B09／B10</x:v>
      </x:c>
      <x:c r="AE242" s="82" t="str">
        <x:v>0.2</x:v>
      </x:c>
    </x:row>
    <x:row r="243">
      <x:c r="A243" s="81" t="str">
        <x:v>M4-BASE-239</x:v>
      </x:c>
      <x:c r="B243" s="76" t="str">
        <x:v>M3-CARE接口｜同源去重</x:v>
      </x:c>
      <x:c r="C243" s="76" t="str">
        <x:v>L6 跨模块接口</x:v>
      </x:c>
      <x:c r="D243" s="76" t="str">
        <x:v>BASE-M3接口</x:v>
      </x:c>
      <x:c r="E243" s="76" t="str">
        <x:v>通用</x:v>
      </x:c>
      <x:c r="F243" s="76" t="str">
        <x:v>去重</x:v>
      </x:c>
      <x:c r="G243" s="76" t="str">
        <x:v>M3-CARE</x:v>
      </x:c>
      <x:c r="H243" s="76" t="str">
        <x:v>source_id</x:v>
      </x:c>
      <x:c r="I243" s="76" t="str">
        <x:v>M3-CARE多个字段或M4规则追溯到同一命理事实。</x:v>
      </x:c>
      <x:c r="J243" s="76" t="str">
        <x:v>来源确实独立且分别承担不同关系任务。</x:v>
      </x:c>
      <x:c r="K243" s="76" t="str">
        <x:v>由共享基础引擎提供；只修正承载与执行，不直接等同强弱人格。</x:v>
      </x:c>
      <x:c r="L243" s="76" t="str">
        <x:v>由M2接口提供；夫妻星只参与关系议题权重，不单独生成盲点。</x:v>
      </x:c>
      <x:c r="M243" s="76" t="str">
        <x:v>由M3-BASE与共享引擎提供；不得把日支直接写成配偶性格。</x:v>
      </x:c>
      <x:c r="N243" s="76" t="str">
        <x:v>无／待后续规则组合</x:v>
      </x:c>
      <x:c r="O243" s="76" t="str">
        <x:v>由共享基础引擎判定</x:v>
      </x:c>
      <x:c r="P243" s="76" t="str">
        <x:v>由共享基础引擎判定</x:v>
      </x:c>
      <x:c r="Q243" s="76" t="str">
        <x:v>由共享基础引擎判定</x:v>
      </x:c>
      <x:c r="R243" s="76" t="str">
        <x:v>喜忌只修正调用摩擦与平衡，不直接等同好坏。</x:v>
      </x:c>
      <x:c r="S243" s="76" t="str">
        <x:v>原十神性质有效；真合化成立时按化神系统替换。</x:v>
      </x:c>
      <x:c r="T243" s="76" t="str">
        <x:v>由共享基础引擎判定</x:v>
      </x:c>
      <x:c r="U243" s="76" t="str">
        <x:v>94</x:v>
      </x:c>
      <x:c r="V243" s="76" t="str">
        <x:v>同源只计一次；语义可多角度解释</x:v>
      </x:c>
      <x:c r="W243" s="76" t="str">
        <x:v>dedup_log</x:v>
      </x:c>
      <x:c r="X243" s="76" t="str">
        <x:v>M3-CARE字段可支持M4解释，但不能因同一日支或同一十神在多个输出槽位出现就重复加分。</x:v>
      </x:c>
      <x:c r="Y243" s="76" t="str">
        <x:v>同一个相处事实不会因为被表达、照顾、边界或分歧模块分别提到，就自动变成多份证据。</x:v>
      </x:c>
      <x:c r="Z243" s="76" t="str">
        <x:v>不得以模块数量代替证据数量。</x:v>
      </x:c>
      <x:c r="AA243" s="76" t="str">
        <x:v>高</x:v>
      </x:c>
      <x:c r="AB243" s="76" t="str">
        <x:v>待验证</x:v>
      </x:c>
      <x:c r="AC243" s="76" t="str"/>
      <x:c r="AD243" s="76" t="str">
        <x:v>provisional=true; cross_model_ref=M3-CARE; subtype=dedup</x:v>
      </x:c>
      <x:c r="AE243" s="82" t="str">
        <x:v>0.2</x:v>
      </x:c>
    </x:row>
    <x:row r="244">
      <x:c r="A244" s="81" t="str">
        <x:v>M4-BASE-240</x:v>
      </x:c>
      <x:c r="B244" s="76" t="str">
        <x:v>M3-CARE接口｜用户语言与边界</x:v>
      </x:c>
      <x:c r="C244" s="76" t="str">
        <x:v>L8 输出与停止</x:v>
      </x:c>
      <x:c r="D244" s="76" t="str">
        <x:v>BASE-M3接口</x:v>
      </x:c>
      <x:c r="E244" s="76" t="str">
        <x:v>通用</x:v>
      </x:c>
      <x:c r="F244" s="76" t="str">
        <x:v>输出</x:v>
      </x:c>
      <x:c r="G244" s="76" t="str">
        <x:v>M3-CARE</x:v>
      </x:c>
      <x:c r="H244" s="76" t="str">
        <x:v>B07／B09／B10</x:v>
      </x:c>
      <x:c r="I244" s="76" t="str">
        <x:v>M3-CARE功能与至少一个失衡机制候选通过门控。</x:v>
      </x:c>
      <x:c r="J244" s="76" t="str">
        <x:v>对应候选被保护因子中断、现实反例否定或证据等级低于E1。</x:v>
      </x:c>
      <x:c r="K244" s="76" t="str">
        <x:v>由共享基础引擎提供；只修正承载与执行，不直接等同强弱人格。</x:v>
      </x:c>
      <x:c r="L244" s="76" t="str">
        <x:v>由M2接口提供；夫妻星只参与关系议题权重，不单独生成盲点。</x:v>
      </x:c>
      <x:c r="M244" s="76" t="str">
        <x:v>由M3-BASE与共享引擎提供；不得把日支直接写成配偶性格。</x:v>
      </x:c>
      <x:c r="N244" s="76" t="str">
        <x:v>无／待后续规则组合</x:v>
      </x:c>
      <x:c r="O244" s="76" t="str">
        <x:v>由共享基础引擎判定</x:v>
      </x:c>
      <x:c r="P244" s="76" t="str">
        <x:v>由共享基础引擎判定</x:v>
      </x:c>
      <x:c r="Q244" s="76" t="str">
        <x:v>由共享基础引擎判定</x:v>
      </x:c>
      <x:c r="R244" s="76" t="str">
        <x:v>喜忌只修正调用摩擦与平衡，不直接等同好坏。</x:v>
      </x:c>
      <x:c r="S244" s="76" t="str">
        <x:v>原十神性质有效；真合化成立时按化神系统替换。</x:v>
      </x:c>
      <x:c r="T244" s="76" t="str">
        <x:v>由共享基础引擎判定</x:v>
      </x:c>
      <x:c r="U244" s="76" t="str">
        <x:v>66</x:v>
      </x:c>
      <x:c r="V244" s="76" t="str">
        <x:v>不加分；摘要</x:v>
      </x:c>
      <x:c r="W244" s="76" t="str">
        <x:v>basis_summary</x:v>
      </x:c>
      <x:c r="X244" s="76" t="str">
        <x:v>用正常功能—失衡条件—缺位功能的结构解释M3-CARE接口。</x:v>
      </x:c>
      <x:c r="Y244" s="76" t="str">
        <x:v>会区分“表达在意”“实际投入”“被对方接住”和“形成稳定回馈”四件事。</x:v>
      </x:c>
      <x:c r="Z244" s="76" t="str">
        <x:v>不得越界输出完整双向循环、修复结论、人格诊断或适配建议；这些由后续M4模块与M5处理。</x:v>
      </x:c>
      <x:c r="AA244" s="76" t="str">
        <x:v>中</x:v>
      </x:c>
      <x:c r="AB244" s="76" t="str">
        <x:v>待验证</x:v>
      </x:c>
      <x:c r="AC244" s="76" t="str"/>
      <x:c r="AD244" s="76" t="str">
        <x:v>provisional=true; cross_model_ref=M3-CARE; summary_only=true</x:v>
      </x:c>
      <x:c r="AE244" s="82" t="str">
        <x:v>0.2</x:v>
      </x:c>
    </x:row>
    <x:row r="245">
      <x:c r="A245" s="81" t="str">
        <x:v>M4-BASE-241</x:v>
      </x:c>
      <x:c r="B245" s="76" t="str">
        <x:v>M3-BOUND接口｜导入正常功能</x:v>
      </x:c>
      <x:c r="C245" s="76" t="str">
        <x:v>L6 跨模块接口</x:v>
      </x:c>
      <x:c r="D245" s="76" t="str">
        <x:v>BASE-M3接口</x:v>
      </x:c>
      <x:c r="E245" s="76" t="str">
        <x:v>通用</x:v>
      </x:c>
      <x:c r="F245" s="76" t="str">
        <x:v>接口</x:v>
      </x:c>
      <x:c r="G245" s="76" t="str">
        <x:v>M3-BOUND</x:v>
      </x:c>
      <x:c r="H245" s="76" t="str">
        <x:v>closeness_boundary／decision_pattern</x:v>
      </x:c>
      <x:c r="I245" s="76" t="str">
        <x:v>M3-BOUND输出有效，置信度不低于中；来源可追溯；功能未被真合化替换。</x:v>
      </x:c>
      <x:c r="J245" s="76" t="str">
        <x:v>M3-BOUND停止、低置信且无独立支持，或基础source_id争议。</x:v>
      </x:c>
      <x:c r="K245" s="76" t="str">
        <x:v>由共享基础引擎提供；只修正承载与执行，不直接等同强弱人格。</x:v>
      </x:c>
      <x:c r="L245" s="76" t="str">
        <x:v>由M2接口提供；夫妻星只参与关系议题权重，不单独生成盲点。</x:v>
      </x:c>
      <x:c r="M245" s="76" t="str">
        <x:v>由M3-BASE与共享引擎提供；不得把日支直接写成配偶性格。</x:v>
      </x:c>
      <x:c r="N245" s="76" t="str">
        <x:v>无／待后续规则组合</x:v>
      </x:c>
      <x:c r="O245" s="76" t="str">
        <x:v>由共享基础引擎判定</x:v>
      </x:c>
      <x:c r="P245" s="76" t="str">
        <x:v>由共享基础引擎判定</x:v>
      </x:c>
      <x:c r="Q245" s="76" t="str">
        <x:v>由共享基础引擎判定</x:v>
      </x:c>
      <x:c r="R245" s="76" t="str">
        <x:v>喜忌只修正调用摩擦与平衡，不直接等同好坏。</x:v>
      </x:c>
      <x:c r="S245" s="76" t="str">
        <x:v>原十神性质有效；真合化成立时按化神系统替换。</x:v>
      </x:c>
      <x:c r="T245" s="76" t="str">
        <x:v>由共享基础引擎判定</x:v>
      </x:c>
      <x:c r="U245" s="76" t="str">
        <x:v>88</x:v>
      </x:c>
      <x:c r="V245" s="76" t="str">
        <x:v>functional_origin引用；底层source_id不重复</x:v>
      </x:c>
      <x:c r="W245" s="76" t="str">
        <x:v>functional_origin</x:v>
      </x:c>
      <x:c r="X245" s="76" t="str">
        <x:v>组织靠近、空间、共享、决定权、拒绝和重新协商。</x:v>
      </x:c>
      <x:c r="Y245" s="76" t="str">
        <x:v>在日常相处中，这一模块原本负责：组织靠近、空间、共享、决定权、拒绝和重新协商。</x:v>
      </x:c>
      <x:c r="Z245" s="76" t="str">
        <x:v>M3中性功能不能被M4改写成负面人格；只有通过失衡与独立证据门控后才能生成候选。</x:v>
      </x:c>
      <x:c r="AA245" s="76" t="str">
        <x:v>中高</x:v>
      </x:c>
      <x:c r="AB245" s="76" t="str">
        <x:v>待验证</x:v>
      </x:c>
      <x:c r="AC245" s="76" t="str"/>
      <x:c r="AD245" s="76" t="str">
        <x:v>provisional=true; cross_model_ref=M3-BOUND; subtype=import</x:v>
      </x:c>
      <x:c r="AE245" s="82" t="str">
        <x:v>0.2</x:v>
      </x:c>
    </x:row>
    <x:row r="246">
      <x:c r="A246" s="81" t="str">
        <x:v>M4-BASE-242</x:v>
      </x:c>
      <x:c r="B246" s="76" t="str">
        <x:v>M3-BOUND接口｜K01过用候选</x:v>
      </x:c>
      <x:c r="C246" s="76" t="str">
        <x:v>L6 跨模块接口</x:v>
      </x:c>
      <x:c r="D246" s="76" t="str">
        <x:v>BASE-M3接口</x:v>
      </x:c>
      <x:c r="E246" s="76" t="str">
        <x:v>通用</x:v>
      </x:c>
      <x:c r="F246" s="76" t="str">
        <x:v>失衡候选</x:v>
      </x:c>
      <x:c r="G246" s="76" t="str">
        <x:v>M3-BOUND</x:v>
      </x:c>
      <x:c r="H246" s="76" t="str">
        <x:v>K01 过用放大</x:v>
      </x:c>
      <x:c r="I246" s="76" t="str">
        <x:v>M3-BOUND主通道可靠；压力下抢先或跨场景重复；另有调节不足或现实行为支持。</x:v>
      </x:c>
      <x:c r="J246" s="76" t="str">
        <x:v>M3-BOUND功能平衡、有完整次通道／修复回流，或仅为一次性事件。</x:v>
      </x:c>
      <x:c r="K246" s="76" t="str">
        <x:v>由共享基础引擎提供；只修正承载与执行，不直接等同强弱人格。</x:v>
      </x:c>
      <x:c r="L246" s="76" t="str">
        <x:v>由M2接口提供；夫妻星只参与关系议题权重，不单独生成盲点。</x:v>
      </x:c>
      <x:c r="M246" s="76" t="str">
        <x:v>由M3-BASE与共享引擎提供；不得把日支直接写成配偶性格。</x:v>
      </x:c>
      <x:c r="N246" s="76" t="str">
        <x:v>无／待后续规则组合</x:v>
      </x:c>
      <x:c r="O246" s="76" t="str">
        <x:v>由共享基础引擎判定</x:v>
      </x:c>
      <x:c r="P246" s="76" t="str">
        <x:v>由共享基础引擎判定</x:v>
      </x:c>
      <x:c r="Q246" s="76" t="str">
        <x:v>由共享基础引擎判定</x:v>
      </x:c>
      <x:c r="R246" s="76" t="str">
        <x:v>喜忌只修正调用摩擦与平衡，不直接等同好坏。</x:v>
      </x:c>
      <x:c r="S246" s="76" t="str">
        <x:v>原十神性质有效；真合化成立时按化神系统替换。</x:v>
      </x:c>
      <x:c r="T246" s="76" t="str">
        <x:v>由共享基础引擎判定</x:v>
      </x:c>
      <x:c r="U246" s="76" t="str">
        <x:v>82</x:v>
      </x:c>
      <x:c r="V246" s="76" t="str">
        <x:v>K01候选 +6；与同一十神规则取高不叠加</x:v>
      </x:c>
      <x:c r="W246" s="76" t="str">
        <x:v>imbalance_mechanism</x:v>
      </x:c>
      <x:c r="X246" s="76" t="str">
        <x:v>边界过度僵化、空间持续延长、决定权抢占或平等滑向机械对称。</x:v>
      </x:c>
      <x:c r="Y246" s="76" t="str">
        <x:v>需要留意的是：边界过度僵化、空间持续延长、决定权抢占或平等滑向机械对称。</x:v>
      </x:c>
      <x:c r="Z246" s="76" t="str">
        <x:v>不得把模块主通道直接等同固定问题、关系风险或人格标签。</x:v>
      </x:c>
      <x:c r="AA246" s="76" t="str">
        <x:v>中</x:v>
      </x:c>
      <x:c r="AB246" s="76" t="str">
        <x:v>待验证</x:v>
      </x:c>
      <x:c r="AC246" s="76" t="str"/>
      <x:c r="AD246" s="76" t="str">
        <x:v>provisional=true; cross_model_ref=M3-BOUND; imbalance=K01; blind_route=B08／B10／B12／B13</x:v>
      </x:c>
      <x:c r="AE246" s="82" t="str">
        <x:v>0.2</x:v>
      </x:c>
    </x:row>
    <x:row r="247">
      <x:c r="A247" s="81" t="str">
        <x:v>M4-BASE-243</x:v>
      </x:c>
      <x:c r="B247" s="76" t="str">
        <x:v>M3-BOUND接口｜K02／K03缺位替代候选</x:v>
      </x:c>
      <x:c r="C247" s="76" t="str">
        <x:v>L6 跨模块接口</x:v>
      </x:c>
      <x:c r="D247" s="76" t="str">
        <x:v>BASE-M3接口</x:v>
      </x:c>
      <x:c r="E247" s="76" t="str">
        <x:v>通用</x:v>
      </x:c>
      <x:c r="F247" s="76" t="str">
        <x:v>组合候选</x:v>
      </x:c>
      <x:c r="G247" s="76" t="str">
        <x:v>M3-BOUND</x:v>
      </x:c>
      <x:c r="H247" s="76" t="str">
        <x:v>K02 功能不足／K03 单通道替代</x:v>
      </x:c>
      <x:c r="I247" s="76" t="str">
        <x:v>M3-BOUND显示某项关系任务必要；对应功能弱、延后或被另一通道替代；无有效替代；有独立证据。</x:v>
      </x:c>
      <x:c r="J247" s="76" t="str">
        <x:v>相关功能可稳定进入；只是表达风格不同；无该任务需求。</x:v>
      </x:c>
      <x:c r="K247" s="76" t="str">
        <x:v>由共享基础引擎提供；只修正承载与执行，不直接等同强弱人格。</x:v>
      </x:c>
      <x:c r="L247" s="76" t="str">
        <x:v>由M2接口提供；夫妻星只参与关系议题权重，不单独生成盲点。</x:v>
      </x:c>
      <x:c r="M247" s="76" t="str">
        <x:v>由M3-BASE与共享引擎提供；不得把日支直接写成配偶性格。</x:v>
      </x:c>
      <x:c r="N247" s="76" t="str">
        <x:v>无／待后续规则组合</x:v>
      </x:c>
      <x:c r="O247" s="76" t="str">
        <x:v>由共享基础引擎判定</x:v>
      </x:c>
      <x:c r="P247" s="76" t="str">
        <x:v>由共享基础引擎判定</x:v>
      </x:c>
      <x:c r="Q247" s="76" t="str">
        <x:v>由共享基础引擎判定</x:v>
      </x:c>
      <x:c r="R247" s="76" t="str">
        <x:v>喜忌只修正调用摩擦与平衡，不直接等同好坏。</x:v>
      </x:c>
      <x:c r="S247" s="76" t="str">
        <x:v>原十神性质有效；真合化成立时按化神系统替换。</x:v>
      </x:c>
      <x:c r="T247" s="76" t="str">
        <x:v>由共享基础引擎判定</x:v>
      </x:c>
      <x:c r="U247" s="76" t="str">
        <x:v>80</x:v>
      </x:c>
      <x:c r="V247" s="76" t="str">
        <x:v>K02或K03候选 +6</x:v>
      </x:c>
      <x:c r="W247" s="76" t="str">
        <x:v>missing_function</x:v>
      </x:c>
      <x:c r="X247" s="76" t="str">
        <x:v>需求、拒绝、暂停范围和回归条件不清，或接受照顾时难保留参与权。</x:v>
      </x:c>
      <x:c r="Y247" s="76" t="str">
        <x:v>可能需要补充或继续确认的环节是：需求、拒绝、暂停范围和回归条件不清，或接受照顾时难保留参与权。</x:v>
      </x:c>
      <x:c r="Z247" s="76" t="str">
        <x:v>功能不足是路径层候选，不等于用户没有能力、缺爱或不成熟。</x:v>
      </x:c>
      <x:c r="AA247" s="76" t="str">
        <x:v>中</x:v>
      </x:c>
      <x:c r="AB247" s="76" t="str">
        <x:v>待验证</x:v>
      </x:c>
      <x:c r="AC247" s="76" t="str"/>
      <x:c r="AD247" s="76" t="str">
        <x:v>provisional=true; cross_model_ref=M3-BOUND; imbalance=K02_K03; blind_route=B08／B10／B12／B13</x:v>
      </x:c>
      <x:c r="AE247" s="82" t="str">
        <x:v>0.2</x:v>
      </x:c>
    </x:row>
    <x:row r="248">
      <x:c r="A248" s="81" t="str">
        <x:v>M4-BASE-244</x:v>
      </x:c>
      <x:c r="B248" s="76" t="str">
        <x:v>M3-BOUND接口｜同源去重</x:v>
      </x:c>
      <x:c r="C248" s="76" t="str">
        <x:v>L6 跨模块接口</x:v>
      </x:c>
      <x:c r="D248" s="76" t="str">
        <x:v>BASE-M3接口</x:v>
      </x:c>
      <x:c r="E248" s="76" t="str">
        <x:v>通用</x:v>
      </x:c>
      <x:c r="F248" s="76" t="str">
        <x:v>去重</x:v>
      </x:c>
      <x:c r="G248" s="76" t="str">
        <x:v>M3-BOUND</x:v>
      </x:c>
      <x:c r="H248" s="76" t="str">
        <x:v>source_id</x:v>
      </x:c>
      <x:c r="I248" s="76" t="str">
        <x:v>M3-BOUND多个字段或M4规则追溯到同一命理事实。</x:v>
      </x:c>
      <x:c r="J248" s="76" t="str">
        <x:v>来源确实独立且分别承担不同关系任务。</x:v>
      </x:c>
      <x:c r="K248" s="76" t="str">
        <x:v>由共享基础引擎提供；只修正承载与执行，不直接等同强弱人格。</x:v>
      </x:c>
      <x:c r="L248" s="76" t="str">
        <x:v>由M2接口提供；夫妻星只参与关系议题权重，不单独生成盲点。</x:v>
      </x:c>
      <x:c r="M248" s="76" t="str">
        <x:v>由M3-BASE与共享引擎提供；不得把日支直接写成配偶性格。</x:v>
      </x:c>
      <x:c r="N248" s="76" t="str">
        <x:v>无／待后续规则组合</x:v>
      </x:c>
      <x:c r="O248" s="76" t="str">
        <x:v>由共享基础引擎判定</x:v>
      </x:c>
      <x:c r="P248" s="76" t="str">
        <x:v>由共享基础引擎判定</x:v>
      </x:c>
      <x:c r="Q248" s="76" t="str">
        <x:v>由共享基础引擎判定</x:v>
      </x:c>
      <x:c r="R248" s="76" t="str">
        <x:v>喜忌只修正调用摩擦与平衡，不直接等同好坏。</x:v>
      </x:c>
      <x:c r="S248" s="76" t="str">
        <x:v>原十神性质有效；真合化成立时按化神系统替换。</x:v>
      </x:c>
      <x:c r="T248" s="76" t="str">
        <x:v>由共享基础引擎判定</x:v>
      </x:c>
      <x:c r="U248" s="76" t="str">
        <x:v>94</x:v>
      </x:c>
      <x:c r="V248" s="76" t="str">
        <x:v>同源只计一次；语义可多角度解释</x:v>
      </x:c>
      <x:c r="W248" s="76" t="str">
        <x:v>dedup_log</x:v>
      </x:c>
      <x:c r="X248" s="76" t="str">
        <x:v>M3-BOUND字段可支持M4解释，但不能因同一日支或同一十神在多个输出槽位出现就重复加分。</x:v>
      </x:c>
      <x:c r="Y248" s="76" t="str">
        <x:v>同一个相处事实不会因为被表达、照顾、边界或分歧模块分别提到，就自动变成多份证据。</x:v>
      </x:c>
      <x:c r="Z248" s="76" t="str">
        <x:v>不得以模块数量代替证据数量。</x:v>
      </x:c>
      <x:c r="AA248" s="76" t="str">
        <x:v>高</x:v>
      </x:c>
      <x:c r="AB248" s="76" t="str">
        <x:v>待验证</x:v>
      </x:c>
      <x:c r="AC248" s="76" t="str"/>
      <x:c r="AD248" s="76" t="str">
        <x:v>provisional=true; cross_model_ref=M3-BOUND; subtype=dedup</x:v>
      </x:c>
      <x:c r="AE248" s="82" t="str">
        <x:v>0.2</x:v>
      </x:c>
    </x:row>
    <x:row r="249">
      <x:c r="A249" s="81" t="str">
        <x:v>M4-BASE-245</x:v>
      </x:c>
      <x:c r="B249" s="76" t="str">
        <x:v>M3-BOUND接口｜用户语言与边界</x:v>
      </x:c>
      <x:c r="C249" s="76" t="str">
        <x:v>L8 输出与停止</x:v>
      </x:c>
      <x:c r="D249" s="76" t="str">
        <x:v>BASE-M3接口</x:v>
      </x:c>
      <x:c r="E249" s="76" t="str">
        <x:v>通用</x:v>
      </x:c>
      <x:c r="F249" s="76" t="str">
        <x:v>输出</x:v>
      </x:c>
      <x:c r="G249" s="76" t="str">
        <x:v>M3-BOUND</x:v>
      </x:c>
      <x:c r="H249" s="76" t="str">
        <x:v>B08／B10／B12／B13</x:v>
      </x:c>
      <x:c r="I249" s="76" t="str">
        <x:v>M3-BOUND功能与至少一个失衡机制候选通过门控。</x:v>
      </x:c>
      <x:c r="J249" s="76" t="str">
        <x:v>对应候选被保护因子中断、现实反例否定或证据等级低于E1。</x:v>
      </x:c>
      <x:c r="K249" s="76" t="str">
        <x:v>由共享基础引擎提供；只修正承载与执行，不直接等同强弱人格。</x:v>
      </x:c>
      <x:c r="L249" s="76" t="str">
        <x:v>由M2接口提供；夫妻星只参与关系议题权重，不单独生成盲点。</x:v>
      </x:c>
      <x:c r="M249" s="76" t="str">
        <x:v>由M3-BASE与共享引擎提供；不得把日支直接写成配偶性格。</x:v>
      </x:c>
      <x:c r="N249" s="76" t="str">
        <x:v>无／待后续规则组合</x:v>
      </x:c>
      <x:c r="O249" s="76" t="str">
        <x:v>由共享基础引擎判定</x:v>
      </x:c>
      <x:c r="P249" s="76" t="str">
        <x:v>由共享基础引擎判定</x:v>
      </x:c>
      <x:c r="Q249" s="76" t="str">
        <x:v>由共享基础引擎判定</x:v>
      </x:c>
      <x:c r="R249" s="76" t="str">
        <x:v>喜忌只修正调用摩擦与平衡，不直接等同好坏。</x:v>
      </x:c>
      <x:c r="S249" s="76" t="str">
        <x:v>原十神性质有效；真合化成立时按化神系统替换。</x:v>
      </x:c>
      <x:c r="T249" s="76" t="str">
        <x:v>由共享基础引擎判定</x:v>
      </x:c>
      <x:c r="U249" s="76" t="str">
        <x:v>66</x:v>
      </x:c>
      <x:c r="V249" s="76" t="str">
        <x:v>不加分；摘要</x:v>
      </x:c>
      <x:c r="W249" s="76" t="str">
        <x:v>basis_summary</x:v>
      </x:c>
      <x:c r="X249" s="76" t="str">
        <x:v>用正常功能—失衡条件—缺位功能的结构解释M3-BOUND接口。</x:v>
      </x:c>
      <x:c r="Y249" s="76" t="str">
        <x:v>会区分“需要空间”和“拒绝亲密”，也会区分“愿意依靠”和“失去自主”。</x:v>
      </x:c>
      <x:c r="Z249" s="76" t="str">
        <x:v>不得越界输出完整双向循环、修复结论、人格诊断或适配建议；这些由后续M4模块与M5处理。</x:v>
      </x:c>
      <x:c r="AA249" s="76" t="str">
        <x:v>中</x:v>
      </x:c>
      <x:c r="AB249" s="76" t="str">
        <x:v>待验证</x:v>
      </x:c>
      <x:c r="AC249" s="76" t="str"/>
      <x:c r="AD249" s="76" t="str">
        <x:v>provisional=true; cross_model_ref=M3-BOUND; summary_only=true</x:v>
      </x:c>
      <x:c r="AE249" s="82" t="str">
        <x:v>0.2</x:v>
      </x:c>
    </x:row>
    <x:row r="250">
      <x:c r="A250" s="81" t="str">
        <x:v>M4-BASE-246</x:v>
      </x:c>
      <x:c r="B250" s="76" t="str">
        <x:v>M3-CONFLICT接口｜导入正常功能</x:v>
      </x:c>
      <x:c r="C250" s="76" t="str">
        <x:v>L6 跨模块接口</x:v>
      </x:c>
      <x:c r="D250" s="76" t="str">
        <x:v>BASE-M3接口</x:v>
      </x:c>
      <x:c r="E250" s="76" t="str">
        <x:v>通用</x:v>
      </x:c>
      <x:c r="F250" s="76" t="str">
        <x:v>接口</x:v>
      </x:c>
      <x:c r="G250" s="76" t="str">
        <x:v>M3-CONFLICT</x:v>
      </x:c>
      <x:c r="H250" s="76" t="str">
        <x:v>conflict_response／conflict_order</x:v>
      </x:c>
      <x:c r="I250" s="76" t="str">
        <x:v>M3-CONFLICT输出有效，置信度不低于中；来源可追溯；功能未被真合化替换。</x:v>
      </x:c>
      <x:c r="J250" s="76" t="str">
        <x:v>M3-CONFLICT停止、低置信且无独立支持，或基础source_id争议。</x:v>
      </x:c>
      <x:c r="K250" s="76" t="str">
        <x:v>由共享基础引擎提供；只修正承载与执行，不直接等同强弱人格。</x:v>
      </x:c>
      <x:c r="L250" s="76" t="str">
        <x:v>由M2接口提供；夫妻星只参与关系议题权重，不单独生成盲点。</x:v>
      </x:c>
      <x:c r="M250" s="76" t="str">
        <x:v>由M3-BASE与共享引擎提供；不得把日支直接写成配偶性格。</x:v>
      </x:c>
      <x:c r="N250" s="76" t="str">
        <x:v>无／待后续规则组合</x:v>
      </x:c>
      <x:c r="O250" s="76" t="str">
        <x:v>由共享基础引擎判定</x:v>
      </x:c>
      <x:c r="P250" s="76" t="str">
        <x:v>由共享基础引擎判定</x:v>
      </x:c>
      <x:c r="Q250" s="76" t="str">
        <x:v>由共享基础引擎判定</x:v>
      </x:c>
      <x:c r="R250" s="76" t="str">
        <x:v>喜忌只修正调用摩擦与平衡，不直接等同好坏。</x:v>
      </x:c>
      <x:c r="S250" s="76" t="str">
        <x:v>原十神性质有效；真合化成立时按化神系统替换。</x:v>
      </x:c>
      <x:c r="T250" s="76" t="str">
        <x:v>由共享基础引擎判定</x:v>
      </x:c>
      <x:c r="U250" s="76" t="str">
        <x:v>88</x:v>
      </x:c>
      <x:c r="V250" s="76" t="str">
        <x:v>functional_origin引用；底层source_id不重复</x:v>
      </x:c>
      <x:c r="W250" s="76" t="str">
        <x:v>functional_origin</x:v>
      </x:c>
      <x:c r="X250" s="76" t="str">
        <x:v>在分歧中组织事实、情绪、立场、责任、方案、暂停和阶段结束。</x:v>
      </x:c>
      <x:c r="Y250" s="76" t="str">
        <x:v>在日常相处中，这一模块原本负责：在分歧中组织事实、情绪、立场、责任、方案、暂停和阶段结束。</x:v>
      </x:c>
      <x:c r="Z250" s="76" t="str">
        <x:v>M3中性功能不能被M4改写成负面人格；只有通过失衡与独立证据门控后才能生成候选。</x:v>
      </x:c>
      <x:c r="AA250" s="76" t="str">
        <x:v>中高</x:v>
      </x:c>
      <x:c r="AB250" s="76" t="str">
        <x:v>待验证</x:v>
      </x:c>
      <x:c r="AC250" s="76" t="str"/>
      <x:c r="AD250" s="76" t="str">
        <x:v>provisional=true; cross_model_ref=M3-CONFLICT; subtype=import</x:v>
      </x:c>
      <x:c r="AE250" s="82" t="str">
        <x:v>0.2</x:v>
      </x:c>
    </x:row>
    <x:row r="251">
      <x:c r="A251" s="81" t="str">
        <x:v>M4-BASE-247</x:v>
      </x:c>
      <x:c r="B251" s="76" t="str">
        <x:v>M3-CONFLICT接口｜K01过用候选</x:v>
      </x:c>
      <x:c r="C251" s="76" t="str">
        <x:v>L6 跨模块接口</x:v>
      </x:c>
      <x:c r="D251" s="76" t="str">
        <x:v>BASE-M3接口</x:v>
      </x:c>
      <x:c r="E251" s="76" t="str">
        <x:v>通用</x:v>
      </x:c>
      <x:c r="F251" s="76" t="str">
        <x:v>失衡候选</x:v>
      </x:c>
      <x:c r="G251" s="76" t="str">
        <x:v>M3-CONFLICT</x:v>
      </x:c>
      <x:c r="H251" s="76" t="str">
        <x:v>K01 过用放大</x:v>
      </x:c>
      <x:c r="I251" s="76" t="str">
        <x:v>M3-CONFLICT主通道可靠；压力下抢先或跨场景重复；另有调节不足或现实行为支持。</x:v>
      </x:c>
      <x:c r="J251" s="76" t="str">
        <x:v>M3-CONFLICT功能平衡、有完整次通道／修复回流，或仅为一次性事件。</x:v>
      </x:c>
      <x:c r="K251" s="76" t="str">
        <x:v>由共享基础引擎提供；只修正承载与执行，不直接等同强弱人格。</x:v>
      </x:c>
      <x:c r="L251" s="76" t="str">
        <x:v>由M2接口提供；夫妻星只参与关系议题权重，不单独生成盲点。</x:v>
      </x:c>
      <x:c r="M251" s="76" t="str">
        <x:v>由M3-BASE与共享引擎提供；不得把日支直接写成配偶性格。</x:v>
      </x:c>
      <x:c r="N251" s="76" t="str">
        <x:v>无／待后续规则组合</x:v>
      </x:c>
      <x:c r="O251" s="76" t="str">
        <x:v>由共享基础引擎判定</x:v>
      </x:c>
      <x:c r="P251" s="76" t="str">
        <x:v>由共享基础引擎判定</x:v>
      </x:c>
      <x:c r="Q251" s="76" t="str">
        <x:v>由共享基础引擎判定</x:v>
      </x:c>
      <x:c r="R251" s="76" t="str">
        <x:v>喜忌只修正调用摩擦与平衡，不直接等同好坏。</x:v>
      </x:c>
      <x:c r="S251" s="76" t="str">
        <x:v>原十神性质有效；真合化成立时按化神系统替换。</x:v>
      </x:c>
      <x:c r="T251" s="76" t="str">
        <x:v>由共享基础引擎判定</x:v>
      </x:c>
      <x:c r="U251" s="76" t="str">
        <x:v>82</x:v>
      </x:c>
      <x:c r="V251" s="76" t="str">
        <x:v>K01候选 +6；与同一十神规则取高不叠加</x:v>
      </x:c>
      <x:c r="W251" s="76" t="str">
        <x:v>imbalance_mechanism</x:v>
      </x:c>
      <x:c r="X251" s="76" t="str">
        <x:v>第一反应长期抢占、方案替代感受、暂停失去回归、规则或解释不断升级。</x:v>
      </x:c>
      <x:c r="Y251" s="76" t="str">
        <x:v>需要留意的是：第一反应长期抢占、方案替代感受、暂停失去回归、规则或解释不断升级。</x:v>
      </x:c>
      <x:c r="Z251" s="76" t="str">
        <x:v>不得把模块主通道直接等同固定问题、关系风险或人格标签。</x:v>
      </x:c>
      <x:c r="AA251" s="76" t="str">
        <x:v>中</x:v>
      </x:c>
      <x:c r="AB251" s="76" t="str">
        <x:v>待验证</x:v>
      </x:c>
      <x:c r="AC251" s="76" t="str"/>
      <x:c r="AD251" s="76" t="str">
        <x:v>provisional=true; cross_model_ref=M3-CONFLICT; imbalance=K01; blind_route=B05／B06／B08／B13／B14</x:v>
      </x:c>
      <x:c r="AE251" s="82" t="str">
        <x:v>0.2</x:v>
      </x:c>
    </x:row>
    <x:row r="252">
      <x:c r="A252" s="81" t="str">
        <x:v>M4-BASE-248</x:v>
      </x:c>
      <x:c r="B252" s="76" t="str">
        <x:v>M3-CONFLICT接口｜K02／K03缺位替代候选</x:v>
      </x:c>
      <x:c r="C252" s="76" t="str">
        <x:v>L6 跨模块接口</x:v>
      </x:c>
      <x:c r="D252" s="76" t="str">
        <x:v>BASE-M3接口</x:v>
      </x:c>
      <x:c r="E252" s="76" t="str">
        <x:v>通用</x:v>
      </x:c>
      <x:c r="F252" s="76" t="str">
        <x:v>组合候选</x:v>
      </x:c>
      <x:c r="G252" s="76" t="str">
        <x:v>M3-CONFLICT</x:v>
      </x:c>
      <x:c r="H252" s="76" t="str">
        <x:v>K02 功能不足／K03 单通道替代</x:v>
      </x:c>
      <x:c r="I252" s="76" t="str">
        <x:v>M3-CONFLICT显示某项关系任务必要；对应功能弱、延后或被另一通道替代；无有效替代；有独立证据。</x:v>
      </x:c>
      <x:c r="J252" s="76" t="str">
        <x:v>相关功能可稳定进入；只是表达风格不同；无该任务需求。</x:v>
      </x:c>
      <x:c r="K252" s="76" t="str">
        <x:v>由共享基础引擎提供；只修正承载与执行，不直接等同强弱人格。</x:v>
      </x:c>
      <x:c r="L252" s="76" t="str">
        <x:v>由M2接口提供；夫妻星只参与关系议题权重，不单独生成盲点。</x:v>
      </x:c>
      <x:c r="M252" s="76" t="str">
        <x:v>由M3-BASE与共享引擎提供；不得把日支直接写成配偶性格。</x:v>
      </x:c>
      <x:c r="N252" s="76" t="str">
        <x:v>无／待后续规则组合</x:v>
      </x:c>
      <x:c r="O252" s="76" t="str">
        <x:v>由共享基础引擎判定</x:v>
      </x:c>
      <x:c r="P252" s="76" t="str">
        <x:v>由共享基础引擎判定</x:v>
      </x:c>
      <x:c r="Q252" s="76" t="str">
        <x:v>由共享基础引擎判定</x:v>
      </x:c>
      <x:c r="R252" s="76" t="str">
        <x:v>喜忌只修正调用摩擦与平衡，不直接等同好坏。</x:v>
      </x:c>
      <x:c r="S252" s="76" t="str">
        <x:v>原十神性质有效；真合化成立时按化神系统替换。</x:v>
      </x:c>
      <x:c r="T252" s="76" t="str">
        <x:v>由共享基础引擎判定</x:v>
      </x:c>
      <x:c r="U252" s="76" t="str">
        <x:v>80</x:v>
      </x:c>
      <x:c r="V252" s="76" t="str">
        <x:v>K02或K03候选 +6</x:v>
      </x:c>
      <x:c r="W252" s="76" t="str">
        <x:v>missing_function</x:v>
      </x:c>
      <x:c r="X252" s="76" t="str">
        <x:v>倾听、现实方案、责任执行、暂停边界或阶段结束条件不足。</x:v>
      </x:c>
      <x:c r="Y252" s="76" t="str">
        <x:v>可能需要补充或继续确认的环节是：倾听、现实方案、责任执行、暂停边界或阶段结束条件不足。</x:v>
      </x:c>
      <x:c r="Z252" s="76" t="str">
        <x:v>功能不足是路径层候选，不等于用户没有能力、缺爱或不成熟。</x:v>
      </x:c>
      <x:c r="AA252" s="76" t="str">
        <x:v>中</x:v>
      </x:c>
      <x:c r="AB252" s="76" t="str">
        <x:v>待验证</x:v>
      </x:c>
      <x:c r="AC252" s="76" t="str"/>
      <x:c r="AD252" s="76" t="str">
        <x:v>provisional=true; cross_model_ref=M3-CONFLICT; imbalance=K02_K03; blind_route=B05／B06／B08／B13／B14</x:v>
      </x:c>
      <x:c r="AE252" s="82" t="str">
        <x:v>0.2</x:v>
      </x:c>
    </x:row>
    <x:row r="253">
      <x:c r="A253" s="81" t="str">
        <x:v>M4-BASE-249</x:v>
      </x:c>
      <x:c r="B253" s="76" t="str">
        <x:v>M3-CONFLICT接口｜同源去重</x:v>
      </x:c>
      <x:c r="C253" s="76" t="str">
        <x:v>L6 跨模块接口</x:v>
      </x:c>
      <x:c r="D253" s="76" t="str">
        <x:v>BASE-M3接口</x:v>
      </x:c>
      <x:c r="E253" s="76" t="str">
        <x:v>通用</x:v>
      </x:c>
      <x:c r="F253" s="76" t="str">
        <x:v>去重</x:v>
      </x:c>
      <x:c r="G253" s="76" t="str">
        <x:v>M3-CONFLICT</x:v>
      </x:c>
      <x:c r="H253" s="76" t="str">
        <x:v>source_id</x:v>
      </x:c>
      <x:c r="I253" s="76" t="str">
        <x:v>M3-CONFLICT多个字段或M4规则追溯到同一命理事实。</x:v>
      </x:c>
      <x:c r="J253" s="76" t="str">
        <x:v>来源确实独立且分别承担不同关系任务。</x:v>
      </x:c>
      <x:c r="K253" s="76" t="str">
        <x:v>由共享基础引擎提供；只修正承载与执行，不直接等同强弱人格。</x:v>
      </x:c>
      <x:c r="L253" s="76" t="str">
        <x:v>由M2接口提供；夫妻星只参与关系议题权重，不单独生成盲点。</x:v>
      </x:c>
      <x:c r="M253" s="76" t="str">
        <x:v>由M3-BASE与共享引擎提供；不得把日支直接写成配偶性格。</x:v>
      </x:c>
      <x:c r="N253" s="76" t="str">
        <x:v>无／待后续规则组合</x:v>
      </x:c>
      <x:c r="O253" s="76" t="str">
        <x:v>由共享基础引擎判定</x:v>
      </x:c>
      <x:c r="P253" s="76" t="str">
        <x:v>由共享基础引擎判定</x:v>
      </x:c>
      <x:c r="Q253" s="76" t="str">
        <x:v>由共享基础引擎判定</x:v>
      </x:c>
      <x:c r="R253" s="76" t="str">
        <x:v>喜忌只修正调用摩擦与平衡，不直接等同好坏。</x:v>
      </x:c>
      <x:c r="S253" s="76" t="str">
        <x:v>原十神性质有效；真合化成立时按化神系统替换。</x:v>
      </x:c>
      <x:c r="T253" s="76" t="str">
        <x:v>由共享基础引擎判定</x:v>
      </x:c>
      <x:c r="U253" s="76" t="str">
        <x:v>94</x:v>
      </x:c>
      <x:c r="V253" s="76" t="str">
        <x:v>同源只计一次；语义可多角度解释</x:v>
      </x:c>
      <x:c r="W253" s="76" t="str">
        <x:v>dedup_log</x:v>
      </x:c>
      <x:c r="X253" s="76" t="str">
        <x:v>M3-CONFLICT字段可支持M4解释，但不能因同一日支或同一十神在多个输出槽位出现就重复加分。</x:v>
      </x:c>
      <x:c r="Y253" s="76" t="str">
        <x:v>同一个相处事实不会因为被表达、照顾、边界或分歧模块分别提到，就自动变成多份证据。</x:v>
      </x:c>
      <x:c r="Z253" s="76" t="str">
        <x:v>不得以模块数量代替证据数量。</x:v>
      </x:c>
      <x:c r="AA253" s="76" t="str">
        <x:v>高</x:v>
      </x:c>
      <x:c r="AB253" s="76" t="str">
        <x:v>待验证</x:v>
      </x:c>
      <x:c r="AC253" s="76" t="str"/>
      <x:c r="AD253" s="76" t="str">
        <x:v>provisional=true; cross_model_ref=M3-CONFLICT; subtype=dedup</x:v>
      </x:c>
      <x:c r="AE253" s="82" t="str">
        <x:v>0.2</x:v>
      </x:c>
    </x:row>
    <x:row r="254">
      <x:c r="A254" s="81" t="str">
        <x:v>M4-BASE-250</x:v>
      </x:c>
      <x:c r="B254" s="76" t="str">
        <x:v>M3-CONFLICT接口｜用户语言与边界</x:v>
      </x:c>
      <x:c r="C254" s="76" t="str">
        <x:v>L8 输出与停止</x:v>
      </x:c>
      <x:c r="D254" s="76" t="str">
        <x:v>BASE-M3接口</x:v>
      </x:c>
      <x:c r="E254" s="76" t="str">
        <x:v>通用</x:v>
      </x:c>
      <x:c r="F254" s="76" t="str">
        <x:v>输出</x:v>
      </x:c>
      <x:c r="G254" s="76" t="str">
        <x:v>M3-CONFLICT</x:v>
      </x:c>
      <x:c r="H254" s="76" t="str">
        <x:v>B05／B06／B08／B13／B14</x:v>
      </x:c>
      <x:c r="I254" s="76" t="str">
        <x:v>M3-CONFLICT功能与至少一个失衡机制候选通过门控。</x:v>
      </x:c>
      <x:c r="J254" s="76" t="str">
        <x:v>对应候选被保护因子中断、现实反例否定或证据等级低于E1。</x:v>
      </x:c>
      <x:c r="K254" s="76" t="str">
        <x:v>由共享基础引擎提供；只修正承载与执行，不直接等同强弱人格。</x:v>
      </x:c>
      <x:c r="L254" s="76" t="str">
        <x:v>由M2接口提供；夫妻星只参与关系议题权重，不单独生成盲点。</x:v>
      </x:c>
      <x:c r="M254" s="76" t="str">
        <x:v>由M3-BASE与共享引擎提供；不得把日支直接写成配偶性格。</x:v>
      </x:c>
      <x:c r="N254" s="76" t="str">
        <x:v>无／待后续规则组合</x:v>
      </x:c>
      <x:c r="O254" s="76" t="str">
        <x:v>由共享基础引擎判定</x:v>
      </x:c>
      <x:c r="P254" s="76" t="str">
        <x:v>由共享基础引擎判定</x:v>
      </x:c>
      <x:c r="Q254" s="76" t="str">
        <x:v>由共享基础引擎判定</x:v>
      </x:c>
      <x:c r="R254" s="76" t="str">
        <x:v>喜忌只修正调用摩擦与平衡，不直接等同好坏。</x:v>
      </x:c>
      <x:c r="S254" s="76" t="str">
        <x:v>原十神性质有效；真合化成立时按化神系统替换。</x:v>
      </x:c>
      <x:c r="T254" s="76" t="str">
        <x:v>由共享基础引擎判定</x:v>
      </x:c>
      <x:c r="U254" s="76" t="str">
        <x:v>66</x:v>
      </x:c>
      <x:c r="V254" s="76" t="str">
        <x:v>不加分；摘要</x:v>
      </x:c>
      <x:c r="W254" s="76" t="str">
        <x:v>basis_summary</x:v>
      </x:c>
      <x:c r="X254" s="76" t="str">
        <x:v>用正常功能—失衡条件—缺位功能的结构解释M3-CONFLICT接口。</x:v>
      </x:c>
      <x:c r="Y254" s="76" t="str">
        <x:v>会区分“问题处理完了”和“关系已经修复”，也不会把第一反应当成全部处理方式。</x:v>
      </x:c>
      <x:c r="Z254" s="76" t="str">
        <x:v>不得越界输出完整双向循环、修复结论、人格诊断或适配建议；这些由后续M4模块与M5处理。</x:v>
      </x:c>
      <x:c r="AA254" s="76" t="str">
        <x:v>中</x:v>
      </x:c>
      <x:c r="AB254" s="76" t="str">
        <x:v>待验证</x:v>
      </x:c>
      <x:c r="AC254" s="76" t="str"/>
      <x:c r="AD254" s="76" t="str">
        <x:v>provisional=true; cross_model_ref=M3-CONFLICT; summary_only=true</x:v>
      </x:c>
      <x:c r="AE254" s="82" t="str">
        <x:v>0.2</x:v>
      </x:c>
    </x:row>
    <x:row r="255">
      <x:c r="A255" s="81" t="str">
        <x:v>M4-BASE-251</x:v>
      </x:c>
      <x:c r="B255" s="76" t="str">
        <x:v>E0停止｜基础状态不明</x:v>
      </x:c>
      <x:c r="C255" s="76" t="str">
        <x:v>L7 证据等级与评分</x:v>
      </x:c>
      <x:c r="D255" s="76" t="str">
        <x:v>BASE-证据评分</x:v>
      </x:c>
      <x:c r="E255" s="76" t="str">
        <x:v>通用</x:v>
      </x:c>
      <x:c r="F255" s="76" t="str">
        <x:v>证据等级</x:v>
      </x:c>
      <x:c r="G255" s="76" t="str">
        <x:v>E0 STOP</x:v>
      </x:c>
      <x:c r="H255" s="76" t="str"/>
      <x:c r="I255" s="76" t="str">
        <x:v>基础十神、M3正常功能、真合化、旺衰或source_id存在关键争议。</x:v>
      </x:c>
      <x:c r="J255" s="76" t="str"/>
      <x:c r="K255" s="76" t="str">
        <x:v>由共享基础引擎提供；只修正承载与执行，不直接等同强弱人格。</x:v>
      </x:c>
      <x:c r="L255" s="76" t="str">
        <x:v>由M2接口提供；夫妻星只参与关系议题权重，不单独生成盲点。</x:v>
      </x:c>
      <x:c r="M255" s="76" t="str">
        <x:v>由M3-BASE与共享引擎提供；不得把日支直接写成配偶性格。</x:v>
      </x:c>
      <x:c r="N255" s="76" t="str">
        <x:v>无／待后续规则组合</x:v>
      </x:c>
      <x:c r="O255" s="76" t="str">
        <x:v>由共享基础引擎判定</x:v>
      </x:c>
      <x:c r="P255" s="76" t="str">
        <x:v>由共享基础引擎判定</x:v>
      </x:c>
      <x:c r="Q255" s="76" t="str">
        <x:v>由共享基础引擎判定</x:v>
      </x:c>
      <x:c r="R255" s="76" t="str">
        <x:v>喜忌只修正调用摩擦与平衡，不直接等同好坏。</x:v>
      </x:c>
      <x:c r="S255" s="76" t="str">
        <x:v>原十神性质有效；真合化成立时按化神系统替换。</x:v>
      </x:c>
      <x:c r="T255" s="76" t="str">
        <x:v>由共享基础引擎判定</x:v>
      </x:c>
      <x:c r="U255" s="76" t="str">
        <x:v>100</x:v>
      </x:c>
      <x:c r="V255" s="76" t="str">
        <x:v>STOP</x:v>
      </x:c>
      <x:c r="W255" s="76" t="str">
        <x:v>evidence_level</x:v>
      </x:c>
      <x:c r="X255" s="76" t="str">
        <x:v>关键基础未确定时，M4-BASE停止生成固定功能与失衡候选。</x:v>
      </x:c>
      <x:c r="Y255" s="76" t="str">
        <x:v>当前基础状态仍有争议，因此暂不把某种反应固定为关系盲点。</x:v>
      </x:c>
      <x:c r="Z25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55" s="76" t="str">
        <x:v>高</x:v>
      </x:c>
      <x:c r="AB255" s="76" t="str">
        <x:v>待验证</x:v>
      </x:c>
      <x:c r="AC255" s="76" t="str"/>
      <x:c r="AD255" s="76" t="str">
        <x:v>provisional=true; rule_group=BASE-证据评分与输出; signal=E0 STOP</x:v>
      </x:c>
      <x:c r="AE255" s="82" t="str">
        <x:v>0.2</x:v>
      </x:c>
    </x:row>
    <x:row r="256">
      <x:c r="A256" s="81" t="str">
        <x:v>M4-BASE-252</x:v>
      </x:c>
      <x:c r="B256" s="76" t="str">
        <x:v>E1结构候选｜成立公式</x:v>
      </x:c>
      <x:c r="C256" s="76" t="str">
        <x:v>L7 证据等级与评分</x:v>
      </x:c>
      <x:c r="D256" s="76" t="str">
        <x:v>BASE-证据评分</x:v>
      </x:c>
      <x:c r="E256" s="76" t="str">
        <x:v>通用</x:v>
      </x:c>
      <x:c r="F256" s="76" t="str">
        <x:v>证据等级</x:v>
      </x:c>
      <x:c r="G256" s="76" t="str">
        <x:v>E1 STRUCTURAL</x:v>
      </x:c>
      <x:c r="H256" s="76" t="str"/>
      <x:c r="I256" s="76" t="str">
        <x:v>有效功能来源＋明确失衡方式＋一项独立修正证据；总分达到初始门槛。</x:v>
      </x:c>
      <x:c r="J256" s="76" t="str">
        <x:v>只有单一标签、同源重复、保护因素足以中断或现实反例明显。</x:v>
      </x:c>
      <x:c r="K256" s="76" t="str">
        <x:v>由共享基础引擎提供；只修正承载与执行，不直接等同强弱人格。</x:v>
      </x:c>
      <x:c r="L256" s="76" t="str">
        <x:v>由M2接口提供；夫妻星只参与关系议题权重，不单独生成盲点。</x:v>
      </x:c>
      <x:c r="M256" s="76" t="str">
        <x:v>由M3-BASE与共享引擎提供；不得把日支直接写成配偶性格。</x:v>
      </x:c>
      <x:c r="N256" s="76" t="str">
        <x:v>无／待后续规则组合</x:v>
      </x:c>
      <x:c r="O256" s="76" t="str">
        <x:v>由共享基础引擎判定</x:v>
      </x:c>
      <x:c r="P256" s="76" t="str">
        <x:v>由共享基础引擎判定</x:v>
      </x:c>
      <x:c r="Q256" s="76" t="str">
        <x:v>由共享基础引擎判定</x:v>
      </x:c>
      <x:c r="R256" s="76" t="str">
        <x:v>喜忌只修正调用摩擦与平衡，不直接等同好坏。</x:v>
      </x:c>
      <x:c r="S256" s="76" t="str">
        <x:v>原十神性质有效；真合化成立时按化神系统替换。</x:v>
      </x:c>
      <x:c r="T256" s="76" t="str">
        <x:v>由共享基础引擎判定</x:v>
      </x:c>
      <x:c r="U256" s="76" t="str">
        <x:v>94</x:v>
      </x:c>
      <x:c r="V256" s="76" t="str">
        <x:v>E1 if score≥18</x:v>
      </x:c>
      <x:c r="W256" s="76" t="str">
        <x:v>evidence_level</x:v>
      </x:c>
      <x:c r="X256" s="76" t="str">
        <x:v>E1只证明结构候选，不说明现实已发生。</x:v>
      </x:c>
      <x:c r="Y256" s="76" t="str">
        <x:v>目前可以保留一个结构候选：某项有效方式在特定条件下可能被过用、调用不足或替代其他功能。</x:v>
      </x:c>
      <x:c r="Z25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56" s="76" t="str">
        <x:v>中高</x:v>
      </x:c>
      <x:c r="AB256" s="76" t="str">
        <x:v>待验证</x:v>
      </x:c>
      <x:c r="AC256" s="76" t="str"/>
      <x:c r="AD256" s="76" t="str">
        <x:v>provisional=true; rule_group=BASE-证据评分与输出; signal=E1 STRUCTURAL</x:v>
      </x:c>
      <x:c r="AE256" s="82" t="str">
        <x:v>0.2</x:v>
      </x:c>
    </x:row>
    <x:row r="257">
      <x:c r="A257" s="81" t="str">
        <x:v>M4-BASE-253</x:v>
      </x:c>
      <x:c r="B257" s="76" t="str">
        <x:v>E2触发候选｜成立公式</x:v>
      </x:c>
      <x:c r="C257" s="76" t="str">
        <x:v>L7 证据等级与评分</x:v>
      </x:c>
      <x:c r="D257" s="76" t="str">
        <x:v>BASE-证据评分</x:v>
      </x:c>
      <x:c r="E257" s="76" t="str">
        <x:v>通用</x:v>
      </x:c>
      <x:c r="F257" s="76" t="str">
        <x:v>证据等级</x:v>
      </x:c>
      <x:c r="G257" s="76" t="str">
        <x:v>E2 ACTIVATION</x:v>
      </x:c>
      <x:c r="H257" s="76" t="str"/>
      <x:c r="I257" s="76" t="str">
        <x:v>E1成立＋可识别触发域候选＋调节不足或转换受阻；总分达到初始门槛。</x:v>
      </x:c>
      <x:c r="J257" s="76" t="str">
        <x:v>触发情境由想象补足；保护因素有效；没有任何状态或现实支持。</x:v>
      </x:c>
      <x:c r="K257" s="76" t="str">
        <x:v>由共享基础引擎提供；只修正承载与执行，不直接等同强弱人格。</x:v>
      </x:c>
      <x:c r="L257" s="76" t="str">
        <x:v>由M2接口提供；夫妻星只参与关系议题权重，不单独生成盲点。</x:v>
      </x:c>
      <x:c r="M257" s="76" t="str">
        <x:v>由M3-BASE与共享引擎提供；不得把日支直接写成配偶性格。</x:v>
      </x:c>
      <x:c r="N257" s="76" t="str">
        <x:v>无／待后续规则组合</x:v>
      </x:c>
      <x:c r="O257" s="76" t="str">
        <x:v>由共享基础引擎判定</x:v>
      </x:c>
      <x:c r="P257" s="76" t="str">
        <x:v>由共享基础引擎判定</x:v>
      </x:c>
      <x:c r="Q257" s="76" t="str">
        <x:v>由共享基础引擎判定</x:v>
      </x:c>
      <x:c r="R257" s="76" t="str">
        <x:v>喜忌只修正调用摩擦与平衡，不直接等同好坏。</x:v>
      </x:c>
      <x:c r="S257" s="76" t="str">
        <x:v>原十神性质有效；真合化成立时按化神系统替换。</x:v>
      </x:c>
      <x:c r="T257" s="76" t="str">
        <x:v>由共享基础引擎判定</x:v>
      </x:c>
      <x:c r="U257" s="76" t="str">
        <x:v>93</x:v>
      </x:c>
      <x:c r="V257" s="76" t="str">
        <x:v>E2 if score≥26</x:v>
      </x:c>
      <x:c r="W257" s="76" t="str">
        <x:v>evidence_level</x:v>
      </x:c>
      <x:c r="X257" s="76" t="str">
        <x:v>E2只说明某类情境更容易启动失衡，不建立完整反馈循环。</x:v>
      </x:c>
      <x:c r="Y257" s="76" t="str">
        <x:v>当关系进入某类压力或不确定情境时，这个结构候选更容易被启动。</x:v>
      </x:c>
      <x:c r="Z25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57" s="76" t="str">
        <x:v>中高</x:v>
      </x:c>
      <x:c r="AB257" s="76" t="str">
        <x:v>待验证</x:v>
      </x:c>
      <x:c r="AC257" s="76" t="str"/>
      <x:c r="AD257" s="76" t="str">
        <x:v>provisional=true; rule_group=BASE-证据评分与输出; signal=E2 ACTIVATION</x:v>
      </x:c>
      <x:c r="AE257" s="82" t="str">
        <x:v>0.2</x:v>
      </x:c>
    </x:row>
    <x:row r="258">
      <x:c r="A258" s="81" t="str">
        <x:v>M4-BASE-254</x:v>
      </x:c>
      <x:c r="B258" s="76" t="str">
        <x:v>BASE阶段禁止E3升级</x:v>
      </x:c>
      <x:c r="C258" s="76" t="str">
        <x:v>L8 输出与停止</x:v>
      </x:c>
      <x:c r="D258" s="76" t="str">
        <x:v>BASE-门控停止</x:v>
      </x:c>
      <x:c r="E258" s="76" t="str">
        <x:v>通用</x:v>
      </x:c>
      <x:c r="F258" s="76" t="str">
        <x:v>边界</x:v>
      </x:c>
      <x:c r="G258" s="76" t="str">
        <x:v>E3 LOOP</x:v>
      </x:c>
      <x:c r="H258" s="76" t="str"/>
      <x:c r="I258" s="76" t="str">
        <x:v>M4-BASE模块正在生成结果。</x:v>
      </x:c>
      <x:c r="J258" s="76" t="str">
        <x:v>后续LOOP模块已建立反馈与修复链并有现实支持。</x:v>
      </x:c>
      <x:c r="K258" s="76" t="str">
        <x:v>由共享基础引擎提供；只修正承载与执行，不直接等同强弱人格。</x:v>
      </x:c>
      <x:c r="L258" s="76" t="str">
        <x:v>由M2接口提供；夫妻星只参与关系议题权重，不单独生成盲点。</x:v>
      </x:c>
      <x:c r="M258" s="76" t="str">
        <x:v>由M3-BASE与共享引擎提供；不得把日支直接写成配偶性格。</x:v>
      </x:c>
      <x:c r="N258" s="76" t="str">
        <x:v>无／待后续规则组合</x:v>
      </x:c>
      <x:c r="O258" s="76" t="str">
        <x:v>由共享基础引擎判定</x:v>
      </x:c>
      <x:c r="P258" s="76" t="str">
        <x:v>由共享基础引擎判定</x:v>
      </x:c>
      <x:c r="Q258" s="76" t="str">
        <x:v>由共享基础引擎判定</x:v>
      </x:c>
      <x:c r="R258" s="76" t="str">
        <x:v>喜忌只修正调用摩擦与平衡，不直接等同好坏。</x:v>
      </x:c>
      <x:c r="S258" s="76" t="str">
        <x:v>原十神性质有效；真合化成立时按化神系统替换。</x:v>
      </x:c>
      <x:c r="T258" s="76" t="str">
        <x:v>由共享基础引擎判定</x:v>
      </x:c>
      <x:c r="U258" s="76" t="str">
        <x:v>100</x:v>
      </x:c>
      <x:c r="V258" s="76" t="str">
        <x:v>cap E2</x:v>
      </x:c>
      <x:c r="W258" s="76" t="str">
        <x:v>evidence_level</x:v>
      </x:c>
      <x:c r="X258" s="76" t="str">
        <x:v>BASE不拥有loop_path字段的最终权威。</x:v>
      </x:c>
      <x:c r="Y258" s="76" t="str">
        <x:v>目前只能说明可能的起点，不能替双方写出完整循环。</x:v>
      </x:c>
      <x:c r="Z25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58" s="76" t="str">
        <x:v>高</x:v>
      </x:c>
      <x:c r="AB258" s="76" t="str">
        <x:v>待验证</x:v>
      </x:c>
      <x:c r="AC258" s="76" t="str"/>
      <x:c r="AD258" s="76" t="str">
        <x:v>provisional=true; rule_group=BASE-证据评分与输出; signal=E3 LOOP</x:v>
      </x:c>
      <x:c r="AE258" s="82" t="str">
        <x:v>0.2</x:v>
      </x:c>
    </x:row>
    <x:row r="259">
      <x:c r="A259" s="81" t="str">
        <x:v>M4-BASE-255</x:v>
      </x:c>
      <x:c r="B259" s="76" t="str">
        <x:v>E4现实确认必须来自案例</x:v>
      </x:c>
      <x:c r="C259" s="76" t="str">
        <x:v>L8 输出与停止</x:v>
      </x:c>
      <x:c r="D259" s="76" t="str">
        <x:v>BASE-门控停止</x:v>
      </x:c>
      <x:c r="E259" s="76" t="str">
        <x:v>通用</x:v>
      </x:c>
      <x:c r="F259" s="76" t="str">
        <x:v>边界</x:v>
      </x:c>
      <x:c r="G259" s="76" t="str">
        <x:v>E4 CONFIRMED</x:v>
      </x:c>
      <x:c r="H259" s="76" t="str"/>
      <x:c r="I259" s="76" t="str">
        <x:v>准备将候选升级为已验证模式。</x:v>
      </x:c>
      <x:c r="J259" s="76" t="str">
        <x:v>少于两次独立现实事件，或只有抽象自述。</x:v>
      </x:c>
      <x:c r="K259" s="76" t="str">
        <x:v>由共享基础引擎提供；只修正承载与执行，不直接等同强弱人格。</x:v>
      </x:c>
      <x:c r="L259" s="76" t="str">
        <x:v>由M2接口提供；夫妻星只参与关系议题权重，不单独生成盲点。</x:v>
      </x:c>
      <x:c r="M259" s="76" t="str">
        <x:v>由M3-BASE与共享引擎提供；不得把日支直接写成配偶性格。</x:v>
      </x:c>
      <x:c r="N259" s="76" t="str">
        <x:v>无／待后续规则组合</x:v>
      </x:c>
      <x:c r="O259" s="76" t="str">
        <x:v>由共享基础引擎判定</x:v>
      </x:c>
      <x:c r="P259" s="76" t="str">
        <x:v>由共享基础引擎判定</x:v>
      </x:c>
      <x:c r="Q259" s="76" t="str">
        <x:v>由共享基础引擎判定</x:v>
      </x:c>
      <x:c r="R259" s="76" t="str">
        <x:v>喜忌只修正调用摩擦与平衡，不直接等同好坏。</x:v>
      </x:c>
      <x:c r="S259" s="76" t="str">
        <x:v>原十神性质有效；真合化成立时按化神系统替换。</x:v>
      </x:c>
      <x:c r="T259" s="76" t="str">
        <x:v>由共享基础引擎判定</x:v>
      </x:c>
      <x:c r="U259" s="76" t="str">
        <x:v>100</x:v>
      </x:c>
      <x:c r="V259" s="76" t="str">
        <x:v>BASE不得升级E4</x:v>
      </x:c>
      <x:c r="W259" s="76" t="str">
        <x:v>evidence_level</x:v>
      </x:c>
      <x:c r="X259" s="76" t="str">
        <x:v>E4必须由至少两次具体事件和当事人／伴侣反馈支持，不能靠命盘分数。</x:v>
      </x:c>
      <x:c r="Y259" s="76" t="str">
        <x:v>只有当多个现实经历反复支持同一顺序，才可以称为已验证模式。</x:v>
      </x:c>
      <x:c r="Z25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59" s="76" t="str">
        <x:v>高</x:v>
      </x:c>
      <x:c r="AB259" s="76" t="str">
        <x:v>待验证</x:v>
      </x:c>
      <x:c r="AC259" s="76" t="str"/>
      <x:c r="AD259" s="76" t="str">
        <x:v>provisional=true; rule_group=BASE-证据评分与输出; signal=E4 CONFIRMED</x:v>
      </x:c>
      <x:c r="AE259" s="82" t="str">
        <x:v>0.2</x:v>
      </x:c>
    </x:row>
    <x:row r="260">
      <x:c r="A260" s="81" t="str">
        <x:v>M4-BASE-256</x:v>
      </x:c>
      <x:c r="B260" s="76" t="str">
        <x:v>基础功能来源评分</x:v>
      </x:c>
      <x:c r="C260" s="76" t="str">
        <x:v>L7 证据等级与评分</x:v>
      </x:c>
      <x:c r="D260" s="76" t="str">
        <x:v>BASE-证据评分</x:v>
      </x:c>
      <x:c r="E260" s="76" t="str">
        <x:v>通用</x:v>
      </x:c>
      <x:c r="F260" s="76" t="str">
        <x:v>评分</x:v>
      </x:c>
      <x:c r="G260" s="76" t="str">
        <x:v>functional_origin</x:v>
      </x:c>
      <x:c r="H260" s="76" t="str"/>
      <x:c r="I260" s="76" t="str">
        <x:v>日支主气、日柱近位或M3主通道中至少一项可靠。</x:v>
      </x:c>
      <x:c r="J260" s="76" t="str">
        <x:v>同源事实已计分。</x:v>
      </x:c>
      <x:c r="K260" s="76" t="str">
        <x:v>由共享基础引擎提供；只修正承载与执行，不直接等同强弱人格。</x:v>
      </x:c>
      <x:c r="L260" s="76" t="str">
        <x:v>由M2接口提供；夫妻星只参与关系议题权重，不单独生成盲点。</x:v>
      </x:c>
      <x:c r="M260" s="76" t="str">
        <x:v>由M3-BASE与共享引擎提供；不得把日支直接写成配偶性格。</x:v>
      </x:c>
      <x:c r="N260" s="76" t="str">
        <x:v>无／待后续规则组合</x:v>
      </x:c>
      <x:c r="O260" s="76" t="str">
        <x:v>由共享基础引擎判定</x:v>
      </x:c>
      <x:c r="P260" s="76" t="str">
        <x:v>由共享基础引擎判定</x:v>
      </x:c>
      <x:c r="Q260" s="76" t="str">
        <x:v>由共享基础引擎判定</x:v>
      </x:c>
      <x:c r="R260" s="76" t="str">
        <x:v>喜忌只修正调用摩擦与平衡，不直接等同好坏。</x:v>
      </x:c>
      <x:c r="S260" s="76" t="str">
        <x:v>原十神性质有效；真合化成立时按化神系统替换。</x:v>
      </x:c>
      <x:c r="T260" s="76" t="str">
        <x:v>由共享基础引擎判定</x:v>
      </x:c>
      <x:c r="U260" s="76" t="str">
        <x:v>88</x:v>
      </x:c>
      <x:c r="V260" s="76" t="str">
        <x:v>+12主来源／+8独立次来源</x:v>
      </x:c>
      <x:c r="W260" s="76" t="str">
        <x:v>functional_origin</x:v>
      </x:c>
      <x:c r="X260" s="76" t="str">
        <x:v>正常功能来源是M4评分起点；同一事实只取一次最高基础值。</x:v>
      </x:c>
      <x:c r="Y260" s="76" t="str">
        <x:v>先确认这项相处方式确实稳定存在，再讨论它是否会失衡。</x:v>
      </x:c>
      <x:c r="Z26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0" s="76" t="str">
        <x:v>中</x:v>
      </x:c>
      <x:c r="AB260" s="76" t="str">
        <x:v>待验证</x:v>
      </x:c>
      <x:c r="AC260" s="76" t="str"/>
      <x:c r="AD260" s="76" t="str">
        <x:v>provisional=true; rule_group=BASE-证据评分与输出; signal=functional_origin</x:v>
      </x:c>
      <x:c r="AE260" s="82" t="str">
        <x:v>0.2</x:v>
      </x:c>
    </x:row>
    <x:row r="261">
      <x:c r="A261" s="81" t="str">
        <x:v>M4-BASE-257</x:v>
      </x:c>
      <x:c r="B261" s="76" t="str">
        <x:v>第二类独立证据评分</x:v>
      </x:c>
      <x:c r="C261" s="76" t="str">
        <x:v>L7 证据等级与评分</x:v>
      </x:c>
      <x:c r="D261" s="76" t="str">
        <x:v>BASE-证据评分</x:v>
      </x:c>
      <x:c r="E261" s="76" t="str">
        <x:v>通用</x:v>
      </x:c>
      <x:c r="F261" s="76" t="str">
        <x:v>评分</x:v>
      </x:c>
      <x:c r="G261" s="76" t="str">
        <x:v>independent_evidence</x:v>
      </x:c>
      <x:c r="H261" s="76" t="str"/>
      <x:c r="I261" s="76" t="str">
        <x:v>第二证据来自不同source_id、不同现实任务或具体事件，且非同义重复。</x:v>
      </x:c>
      <x:c r="J261" s="76" t="str">
        <x:v>追溯后仍为同一日支、同一根或同一行为描述。</x:v>
      </x:c>
      <x:c r="K261" s="76" t="str">
        <x:v>由共享基础引擎提供；只修正承载与执行，不直接等同强弱人格。</x:v>
      </x:c>
      <x:c r="L261" s="76" t="str">
        <x:v>由M2接口提供；夫妻星只参与关系议题权重，不单独生成盲点。</x:v>
      </x:c>
      <x:c r="M261" s="76" t="str">
        <x:v>由M3-BASE与共享引擎提供；不得把日支直接写成配偶性格。</x:v>
      </x:c>
      <x:c r="N261" s="76" t="str">
        <x:v>无／待后续规则组合</x:v>
      </x:c>
      <x:c r="O261" s="76" t="str">
        <x:v>由共享基础引擎判定</x:v>
      </x:c>
      <x:c r="P261" s="76" t="str">
        <x:v>由共享基础引擎判定</x:v>
      </x:c>
      <x:c r="Q261" s="76" t="str">
        <x:v>由共享基础引擎判定</x:v>
      </x:c>
      <x:c r="R261" s="76" t="str">
        <x:v>喜忌只修正调用摩擦与平衡，不直接等同好坏。</x:v>
      </x:c>
      <x:c r="S261" s="76" t="str">
        <x:v>原十神性质有效；真合化成立时按化神系统替换。</x:v>
      </x:c>
      <x:c r="T261" s="76" t="str">
        <x:v>由共享基础引擎判定</x:v>
      </x:c>
      <x:c r="U261" s="76" t="str">
        <x:v>86</x:v>
      </x:c>
      <x:c r="V261" s="76" t="str">
        <x:v>+8</x:v>
      </x:c>
      <x:c r="W261" s="76" t="str">
        <x:v>evidence_level</x:v>
      </x:c>
      <x:c r="X261" s="76" t="str">
        <x:v>独立证据提高候选可靠性，但必须标明支持哪一个字段。</x:v>
      </x:c>
      <x:c r="Y261" s="76" t="str">
        <x:v>不同来源的信息若指向同一机制，判断才会提高。</x:v>
      </x:c>
      <x:c r="Z26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1" s="76" t="str">
        <x:v>中</x:v>
      </x:c>
      <x:c r="AB261" s="76" t="str">
        <x:v>待验证</x:v>
      </x:c>
      <x:c r="AC261" s="76" t="str"/>
      <x:c r="AD261" s="76" t="str">
        <x:v>provisional=true; rule_group=BASE-证据评分与输出; signal=independent_evidence</x:v>
      </x:c>
      <x:c r="AE261" s="82" t="str">
        <x:v>0.2</x:v>
      </x:c>
    </x:row>
    <x:row r="262">
      <x:c r="A262" s="81" t="str">
        <x:v>M4-BASE-258</x:v>
      </x:c>
      <x:c r="B262" s="76" t="str">
        <x:v>明显失衡状态评分</x:v>
      </x:c>
      <x:c r="C262" s="76" t="str">
        <x:v>L7 证据等级与评分</x:v>
      </x:c>
      <x:c r="D262" s="76" t="str">
        <x:v>BASE-证据评分</x:v>
      </x:c>
      <x:c r="E262" s="76" t="str">
        <x:v>通用</x:v>
      </x:c>
      <x:c r="F262" s="76" t="str">
        <x:v>评分</x:v>
      </x:c>
      <x:c r="G262" s="76" t="str">
        <x:v>overstrength_or_block</x:v>
      </x:c>
      <x:c r="H262" s="76" t="str"/>
      <x:c r="I262" s="76" t="str">
        <x:v>过旺失衡、明显受阻、现实重复抢先或必要功能长期缺位。</x:v>
      </x:c>
      <x:c r="J262" s="76" t="str">
        <x:v>旺而平衡、弱而有助或调节完整。</x:v>
      </x:c>
      <x:c r="K262" s="76" t="str">
        <x:v>由共享基础引擎提供；只修正承载与执行，不直接等同强弱人格。</x:v>
      </x:c>
      <x:c r="L262" s="76" t="str">
        <x:v>由M2接口提供；夫妻星只参与关系议题权重，不单独生成盲点。</x:v>
      </x:c>
      <x:c r="M262" s="76" t="str">
        <x:v>由M3-BASE与共享引擎提供；不得把日支直接写成配偶性格。</x:v>
      </x:c>
      <x:c r="N262" s="76" t="str">
        <x:v>无／待后续规则组合</x:v>
      </x:c>
      <x:c r="O262" s="76" t="str">
        <x:v>由共享基础引擎判定</x:v>
      </x:c>
      <x:c r="P262" s="76" t="str">
        <x:v>由共享基础引擎判定</x:v>
      </x:c>
      <x:c r="Q262" s="76" t="str">
        <x:v>由共享基础引擎判定</x:v>
      </x:c>
      <x:c r="R262" s="76" t="str">
        <x:v>喜忌只修正调用摩擦与平衡，不直接等同好坏。</x:v>
      </x:c>
      <x:c r="S262" s="76" t="str">
        <x:v>原十神性质有效；真合化成立时按化神系统替换。</x:v>
      </x:c>
      <x:c r="T262" s="76" t="str">
        <x:v>由共享基础引擎判定</x:v>
      </x:c>
      <x:c r="U262" s="76" t="str">
        <x:v>86</x:v>
      </x:c>
      <x:c r="V262" s="76" t="str">
        <x:v>+8</x:v>
      </x:c>
      <x:c r="W262" s="76" t="str">
        <x:v>imbalance_mechanism</x:v>
      </x:c>
      <x:c r="X262" s="76" t="str">
        <x:v>明确失衡状态支持K01／K02／K06。</x:v>
      </x:c>
      <x:c r="Y262" s="76" t="str">
        <x:v>只有当调用强度、缺位或卡点比较明确时，才会提高候选权重。</x:v>
      </x:c>
      <x:c r="Z26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2" s="76" t="str">
        <x:v>中</x:v>
      </x:c>
      <x:c r="AB262" s="76" t="str">
        <x:v>待验证</x:v>
      </x:c>
      <x:c r="AC262" s="76" t="str"/>
      <x:c r="AD262" s="76" t="str">
        <x:v>provisional=true; rule_group=BASE-证据评分与输出; signal=overstrength_or_block</x:v>
      </x:c>
      <x:c r="AE262" s="82" t="str">
        <x:v>0.2</x:v>
      </x:c>
    </x:row>
    <x:row r="263">
      <x:c r="A263" s="81" t="str">
        <x:v>M4-BASE-259</x:v>
      </x:c>
      <x:c r="B263" s="76" t="str">
        <x:v>触发域证据评分</x:v>
      </x:c>
      <x:c r="C263" s="76" t="str">
        <x:v>L7 证据等级与评分</x:v>
      </x:c>
      <x:c r="D263" s="76" t="str">
        <x:v>BASE-证据评分</x:v>
      </x:c>
      <x:c r="E263" s="76" t="str">
        <x:v>通用</x:v>
      </x:c>
      <x:c r="F263" s="76" t="str">
        <x:v>评分</x:v>
      </x:c>
      <x:c r="G263" s="76" t="str">
        <x:v>trigger_domain</x:v>
      </x:c>
      <x:c r="H263" s="76" t="str"/>
      <x:c r="I263" s="76" t="str">
        <x:v>E1已成立；有日支动态、阶段引动、M3状态或具体事件支持对应触发域。</x:v>
      </x:c>
      <x:c r="J263" s="76" t="str">
        <x:v>只有抽象推测；触发与候选机制无关。</x:v>
      </x:c>
      <x:c r="K263" s="76" t="str">
        <x:v>由共享基础引擎提供；只修正承载与执行，不直接等同强弱人格。</x:v>
      </x:c>
      <x:c r="L263" s="76" t="str">
        <x:v>由M2接口提供；夫妻星只参与关系议题权重，不单独生成盲点。</x:v>
      </x:c>
      <x:c r="M263" s="76" t="str">
        <x:v>由M3-BASE与共享引擎提供；不得把日支直接写成配偶性格。</x:v>
      </x:c>
      <x:c r="N263" s="76" t="str">
        <x:v>无／待后续规则组合</x:v>
      </x:c>
      <x:c r="O263" s="76" t="str">
        <x:v>由共享基础引擎判定</x:v>
      </x:c>
      <x:c r="P263" s="76" t="str">
        <x:v>由共享基础引擎判定</x:v>
      </x:c>
      <x:c r="Q263" s="76" t="str">
        <x:v>由共享基础引擎判定</x:v>
      </x:c>
      <x:c r="R263" s="76" t="str">
        <x:v>喜忌只修正调用摩擦与平衡，不直接等同好坏。</x:v>
      </x:c>
      <x:c r="S263" s="76" t="str">
        <x:v>原十神性质有效；真合化成立时按化神系统替换。</x:v>
      </x:c>
      <x:c r="T263" s="76" t="str">
        <x:v>由共享基础引擎判定</x:v>
      </x:c>
      <x:c r="U263" s="76" t="str">
        <x:v>84</x:v>
      </x:c>
      <x:c r="V263" s="76" t="str">
        <x:v>+6</x:v>
      </x:c>
      <x:c r="W263" s="76" t="str">
        <x:v>activation_trigger</x:v>
      </x:c>
      <x:c r="X263" s="76" t="str">
        <x:v>触发域是E2必要条件之一，不能由BASE凭空补写。</x:v>
      </x:c>
      <x:c r="Y263" s="76" t="str">
        <x:v>需要能说明在哪类关系情境中，这项反应更容易启动。</x:v>
      </x:c>
      <x:c r="Z26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3" s="76" t="str">
        <x:v>中</x:v>
      </x:c>
      <x:c r="AB263" s="76" t="str">
        <x:v>待验证</x:v>
      </x:c>
      <x:c r="AC263" s="76" t="str"/>
      <x:c r="AD263" s="76" t="str">
        <x:v>provisional=true; rule_group=BASE-证据评分与输出; signal=trigger_domain</x:v>
      </x:c>
      <x:c r="AE263" s="82" t="str">
        <x:v>0.2</x:v>
      </x:c>
    </x:row>
    <x:row r="264">
      <x:c r="A264" s="81" t="str">
        <x:v>M4-BASE-260</x:v>
      </x:c>
      <x:c r="B264" s="76" t="str">
        <x:v>完整流通卡点评分</x:v>
      </x:c>
      <x:c r="C264" s="76" t="str">
        <x:v>L7 证据等级与评分</x:v>
      </x:c>
      <x:c r="D264" s="76" t="str">
        <x:v>BASE-证据评分</x:v>
      </x:c>
      <x:c r="E264" s="76" t="str">
        <x:v>通用</x:v>
      </x:c>
      <x:c r="F264" s="76" t="str">
        <x:v>评分</x:v>
      </x:c>
      <x:c r="G264" s="76" t="str">
        <x:v>flow_block</x:v>
      </x:c>
      <x:c r="H264" s="76" t="str"/>
      <x:c r="I264" s="76" t="str">
        <x:v>起点功能有效；桥梁／终点为必要环节且确实受阻；无替代通道。</x:v>
      </x:c>
      <x:c r="J264" s="76" t="str">
        <x:v>只有静态五行生克；现实能够完成转换。</x:v>
      </x:c>
      <x:c r="K264" s="76" t="str">
        <x:v>由共享基础引擎提供；只修正承载与执行，不直接等同强弱人格。</x:v>
      </x:c>
      <x:c r="L264" s="76" t="str">
        <x:v>由M2接口提供；夫妻星只参与关系议题权重，不单独生成盲点。</x:v>
      </x:c>
      <x:c r="M264" s="76" t="str">
        <x:v>由M3-BASE与共享引擎提供；不得把日支直接写成配偶性格。</x:v>
      </x:c>
      <x:c r="N264" s="76" t="str">
        <x:v>无／待后续规则组合</x:v>
      </x:c>
      <x:c r="O264" s="76" t="str">
        <x:v>由共享基础引擎判定</x:v>
      </x:c>
      <x:c r="P264" s="76" t="str">
        <x:v>由共享基础引擎判定</x:v>
      </x:c>
      <x:c r="Q264" s="76" t="str">
        <x:v>由共享基础引擎判定</x:v>
      </x:c>
      <x:c r="R264" s="76" t="str">
        <x:v>喜忌只修正调用摩擦与平衡，不直接等同好坏。</x:v>
      </x:c>
      <x:c r="S264" s="76" t="str">
        <x:v>原十神性质有效；真合化成立时按化神系统替换。</x:v>
      </x:c>
      <x:c r="T264" s="76" t="str">
        <x:v>由共享基础引擎判定</x:v>
      </x:c>
      <x:c r="U264" s="76" t="str">
        <x:v>84</x:v>
      </x:c>
      <x:c r="V264" s="76" t="str">
        <x:v>+6</x:v>
      </x:c>
      <x:c r="W264" s="76" t="str">
        <x:v>missing_function</x:v>
      </x:c>
      <x:c r="X264" s="76" t="str">
        <x:v>完整卡点可支持K06与E2。</x:v>
      </x:c>
      <x:c r="Y264" s="76" t="str">
        <x:v>真正需要留意的可能不是第一步，而是第一步无法顺利转成下一步。</x:v>
      </x:c>
      <x:c r="Z26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4" s="76" t="str">
        <x:v>中</x:v>
      </x:c>
      <x:c r="AB264" s="76" t="str">
        <x:v>待验证</x:v>
      </x:c>
      <x:c r="AC264" s="76" t="str"/>
      <x:c r="AD264" s="76" t="str">
        <x:v>provisional=true; rule_group=BASE-证据评分与输出; signal=flow_block</x:v>
      </x:c>
      <x:c r="AE264" s="82" t="str">
        <x:v>0.2</x:v>
      </x:c>
    </x:row>
    <x:row r="265">
      <x:c r="A265" s="81" t="str">
        <x:v>M4-BASE-261</x:v>
      </x:c>
      <x:c r="B265" s="76" t="str">
        <x:v>跨模型一致评分</x:v>
      </x:c>
      <x:c r="C265" s="76" t="str">
        <x:v>L7 证据等级与评分</x:v>
      </x:c>
      <x:c r="D265" s="76" t="str">
        <x:v>BASE-证据评分</x:v>
      </x:c>
      <x:c r="E265" s="76" t="str">
        <x:v>通用</x:v>
      </x:c>
      <x:c r="F265" s="76" t="str">
        <x:v>评分</x:v>
      </x:c>
      <x:c r="G265" s="76" t="str">
        <x:v>M1／M2／M3一致</x:v>
      </x:c>
      <x:c r="H265" s="76" t="str"/>
      <x:c r="I265" s="76" t="str">
        <x:v>不同模型从独立事实支持同一误读或失衡方向。</x:v>
      </x:c>
      <x:c r="J265" s="76" t="str">
        <x:v>同一source_id在多个模型重复解释。</x:v>
      </x:c>
      <x:c r="K265" s="76" t="str">
        <x:v>由共享基础引擎提供；只修正承载与执行，不直接等同强弱人格。</x:v>
      </x:c>
      <x:c r="L265" s="76" t="str">
        <x:v>由M2接口提供；夫妻星只参与关系议题权重，不单独生成盲点。</x:v>
      </x:c>
      <x:c r="M265" s="76" t="str">
        <x:v>由M3-BASE与共享引擎提供；不得把日支直接写成配偶性格。</x:v>
      </x:c>
      <x:c r="N265" s="76" t="str">
        <x:v>无／待后续规则组合</x:v>
      </x:c>
      <x:c r="O265" s="76" t="str">
        <x:v>由共享基础引擎判定</x:v>
      </x:c>
      <x:c r="P265" s="76" t="str">
        <x:v>由共享基础引擎判定</x:v>
      </x:c>
      <x:c r="Q265" s="76" t="str">
        <x:v>由共享基础引擎判定</x:v>
      </x:c>
      <x:c r="R265" s="76" t="str">
        <x:v>喜忌只修正调用摩擦与平衡，不直接等同好坏。</x:v>
      </x:c>
      <x:c r="S265" s="76" t="str">
        <x:v>原十神性质有效；真合化成立时按化神系统替换。</x:v>
      </x:c>
      <x:c r="T265" s="76" t="str">
        <x:v>由共享基础引擎判定</x:v>
      </x:c>
      <x:c r="U265" s="76" t="str">
        <x:v>78</x:v>
      </x:c>
      <x:c r="V265" s="76" t="str">
        <x:v>+4；同源不加</x:v>
      </x:c>
      <x:c r="W265" s="76" t="str">
        <x:v>confidence</x:v>
      </x:c>
      <x:c r="X265" s="76" t="str">
        <x:v>跨模型一致最多小幅加权，不得压过M4字段权威。</x:v>
      </x:c>
      <x:c r="Y265" s="76" t="str">
        <x:v>不同模型若从不同证据指向同一问题方向，可以作为补充，但不会重复放大。</x:v>
      </x:c>
      <x:c r="Z26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5" s="76" t="str">
        <x:v>中</x:v>
      </x:c>
      <x:c r="AB265" s="76" t="str">
        <x:v>待验证</x:v>
      </x:c>
      <x:c r="AC265" s="76" t="str"/>
      <x:c r="AD265" s="76" t="str">
        <x:v>provisional=true; rule_group=BASE-证据评分与输出; signal=M1／M2／M3一致</x:v>
      </x:c>
      <x:c r="AE265" s="82" t="str">
        <x:v>0.2</x:v>
      </x:c>
    </x:row>
    <x:row r="266">
      <x:c r="A266" s="81" t="str">
        <x:v>M4-BASE-262</x:v>
      </x:c>
      <x:c r="B266" s="76" t="str">
        <x:v>有效保护因素扣分</x:v>
      </x:c>
      <x:c r="C266" s="76" t="str">
        <x:v>L7 证据等级与评分</x:v>
      </x:c>
      <x:c r="D266" s="76" t="str">
        <x:v>BASE-证据评分</x:v>
      </x:c>
      <x:c r="E266" s="76" t="str">
        <x:v>通用</x:v>
      </x:c>
      <x:c r="F266" s="76" t="str">
        <x:v>评分</x:v>
      </x:c>
      <x:c r="G266" s="76" t="str">
        <x:v>buffer_factor</x:v>
      </x:c>
      <x:c r="H266" s="76" t="str"/>
      <x:c r="I266" s="76" t="str">
        <x:v>有效制化、通关、边界、倾听、现实兑现或状态分工可实际进入关系行为。</x:v>
      </x:c>
      <x:c r="J266" s="76" t="str">
        <x:v>调节信号弱远无根、只结构存在或现实不可调用。</x:v>
      </x:c>
      <x:c r="K266" s="76" t="str">
        <x:v>由共享基础引擎提供；只修正承载与执行，不直接等同强弱人格。</x:v>
      </x:c>
      <x:c r="L266" s="76" t="str">
        <x:v>由M2接口提供；夫妻星只参与关系议题权重，不单独生成盲点。</x:v>
      </x:c>
      <x:c r="M266" s="76" t="str">
        <x:v>由M3-BASE与共享引擎提供；不得把日支直接写成配偶性格。</x:v>
      </x:c>
      <x:c r="N266" s="76" t="str">
        <x:v>无／待后续规则组合</x:v>
      </x:c>
      <x:c r="O266" s="76" t="str">
        <x:v>由共享基础引擎判定</x:v>
      </x:c>
      <x:c r="P266" s="76" t="str">
        <x:v>由共享基础引擎判定</x:v>
      </x:c>
      <x:c r="Q266" s="76" t="str">
        <x:v>由共享基础引擎判定</x:v>
      </x:c>
      <x:c r="R266" s="76" t="str">
        <x:v>喜忌只修正调用摩擦与平衡，不直接等同好坏。</x:v>
      </x:c>
      <x:c r="S266" s="76" t="str">
        <x:v>原十神性质有效；真合化成立时按化神系统替换。</x:v>
      </x:c>
      <x:c r="T266" s="76" t="str">
        <x:v>由共享基础引擎判定</x:v>
      </x:c>
      <x:c r="U266" s="76" t="str">
        <x:v>90</x:v>
      </x:c>
      <x:c r="V266" s="76" t="str">
        <x:v>−6至−10</x:v>
      </x:c>
      <x:c r="W266" s="76" t="str">
        <x:v>buffer_factor</x:v>
      </x:c>
      <x:c r="X266" s="76" t="str">
        <x:v>保护因素必须真实扣减候选，而不是只在文末象征性提及。</x:v>
      </x:c>
      <x:c r="Y266" s="76" t="str">
        <x:v>若命局和现实中存在稳定调节，这项候选应被明显降级。</x:v>
      </x:c>
      <x:c r="Z26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6" s="76" t="str">
        <x:v>中高</x:v>
      </x:c>
      <x:c r="AB266" s="76" t="str">
        <x:v>待验证</x:v>
      </x:c>
      <x:c r="AC266" s="76" t="str"/>
      <x:c r="AD266" s="76" t="str">
        <x:v>provisional=true; rule_group=BASE-证据评分与输出; signal=buffer_factor</x:v>
      </x:c>
      <x:c r="AE266" s="82" t="str">
        <x:v>0.2</x:v>
      </x:c>
    </x:row>
    <x:row r="267">
      <x:c r="A267" s="81" t="str">
        <x:v>M4-BASE-263</x:v>
      </x:c>
      <x:c r="B267" s="76" t="str">
        <x:v>明确现实反例扣分</x:v>
      </x:c>
      <x:c r="C267" s="76" t="str">
        <x:v>L7 证据等级与评分</x:v>
      </x:c>
      <x:c r="D267" s="76" t="str">
        <x:v>BASE-证据评分</x:v>
      </x:c>
      <x:c r="E267" s="76" t="str">
        <x:v>通用</x:v>
      </x:c>
      <x:c r="F267" s="76" t="str">
        <x:v>评分</x:v>
      </x:c>
      <x:c r="G267" s="76" t="str">
        <x:v>counterevidence</x:v>
      </x:c>
      <x:c r="H267" s="76" t="str"/>
      <x:c r="I267" s="76" t="str">
        <x:v>至少一个具体事件清楚显示候选不成立或能被稳定中断。</x:v>
      </x:c>
      <x:c r="J267" s="76" t="str"/>
      <x:c r="K267" s="76" t="str">
        <x:v>由共享基础引擎提供；只修正承载与执行，不直接等同强弱人格。</x:v>
      </x:c>
      <x:c r="L267" s="76" t="str">
        <x:v>由M2接口提供；夫妻星只参与关系议题权重，不单独生成盲点。</x:v>
      </x:c>
      <x:c r="M267" s="76" t="str">
        <x:v>由M3-BASE与共享引擎提供；不得把日支直接写成配偶性格。</x:v>
      </x:c>
      <x:c r="N267" s="76" t="str">
        <x:v>无／待后续规则组合</x:v>
      </x:c>
      <x:c r="O267" s="76" t="str">
        <x:v>由共享基础引擎判定</x:v>
      </x:c>
      <x:c r="P267" s="76" t="str">
        <x:v>由共享基础引擎判定</x:v>
      </x:c>
      <x:c r="Q267" s="76" t="str">
        <x:v>由共享基础引擎判定</x:v>
      </x:c>
      <x:c r="R267" s="76" t="str">
        <x:v>喜忌只修正调用摩擦与平衡，不直接等同好坏。</x:v>
      </x:c>
      <x:c r="S267" s="76" t="str">
        <x:v>原十神性质有效；真合化成立时按化神系统替换。</x:v>
      </x:c>
      <x:c r="T267" s="76" t="str">
        <x:v>由共享基础引擎判定</x:v>
      </x:c>
      <x:c r="U267" s="76" t="str">
        <x:v>96</x:v>
      </x:c>
      <x:c r="V267" s="76" t="str">
        <x:v>−10或STOP</x:v>
      </x:c>
      <x:c r="W267" s="76" t="str">
        <x:v>evidence_level</x:v>
      </x:c>
      <x:c r="X267" s="76" t="str">
        <x:v>反例可大幅降权或停止对应候选。</x:v>
      </x:c>
      <x:c r="Y267" s="76" t="str">
        <x:v>现实经历若持续显示相反结果，会优先修正规则而不是忽略反例。</x:v>
      </x:c>
      <x:c r="Z26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7" s="76" t="str">
        <x:v>高</x:v>
      </x:c>
      <x:c r="AB267" s="76" t="str">
        <x:v>待验证</x:v>
      </x:c>
      <x:c r="AC267" s="76" t="str"/>
      <x:c r="AD267" s="76" t="str">
        <x:v>provisional=true; rule_group=BASE-证据评分与输出; signal=counterevidence</x:v>
      </x:c>
      <x:c r="AE267" s="82" t="str">
        <x:v>0.2</x:v>
      </x:c>
    </x:row>
    <x:row r="268">
      <x:c r="A268" s="81" t="str">
        <x:v>M4-BASE-264</x:v>
      </x:c>
      <x:c r="B268" s="76" t="str">
        <x:v>基础争议置信封顶</x:v>
      </x:c>
      <x:c r="C268" s="76" t="str">
        <x:v>L7 证据等级与评分</x:v>
      </x:c>
      <x:c r="D268" s="76" t="str">
        <x:v>BASE-证据评分</x:v>
      </x:c>
      <x:c r="E268" s="76" t="str">
        <x:v>通用</x:v>
      </x:c>
      <x:c r="F268" s="76" t="str">
        <x:v>置信度</x:v>
      </x:c>
      <x:c r="G268" s="76" t="str">
        <x:v>基础争议</x:v>
      </x:c>
      <x:c r="H268" s="76" t="str"/>
      <x:c r="I268" s="76" t="str">
        <x:v>旺衰、根气、主次、合化或M3接口存在一项未解决争议。</x:v>
      </x:c>
      <x:c r="J268" s="76" t="str"/>
      <x:c r="K268" s="76" t="str">
        <x:v>由共享基础引擎提供；只修正承载与执行，不直接等同强弱人格。</x:v>
      </x:c>
      <x:c r="L268" s="76" t="str">
        <x:v>由M2接口提供；夫妻星只参与关系议题权重，不单独生成盲点。</x:v>
      </x:c>
      <x:c r="M268" s="76" t="str">
        <x:v>由M3-BASE与共享引擎提供；不得把日支直接写成配偶性格。</x:v>
      </x:c>
      <x:c r="N268" s="76" t="str">
        <x:v>无／待后续规则组合</x:v>
      </x:c>
      <x:c r="O268" s="76" t="str">
        <x:v>由共享基础引擎判定</x:v>
      </x:c>
      <x:c r="P268" s="76" t="str">
        <x:v>由共享基础引擎判定</x:v>
      </x:c>
      <x:c r="Q268" s="76" t="str">
        <x:v>由共享基础引擎判定</x:v>
      </x:c>
      <x:c r="R268" s="76" t="str">
        <x:v>喜忌只修正调用摩擦与平衡，不直接等同好坏。</x:v>
      </x:c>
      <x:c r="S268" s="76" t="str">
        <x:v>原十神性质有效；真合化成立时按化神系统替换。</x:v>
      </x:c>
      <x:c r="T268" s="76" t="str">
        <x:v>由共享基础引擎判定</x:v>
      </x:c>
      <x:c r="U268" s="76" t="str">
        <x:v>94</x:v>
      </x:c>
      <x:c r="V268" s="76" t="str">
        <x:v>confidence cap 中低</x:v>
      </x:c>
      <x:c r="W268" s="76" t="str">
        <x:v>confidence</x:v>
      </x:c>
      <x:c r="X268" s="76" t="str">
        <x:v>基础争议时总体置信度封顶中低，必要时E0停止。</x:v>
      </x:c>
      <x:c r="Y268" s="76" t="str">
        <x:v>基础判断还不够稳定时，结论只能保留为低置信候选。</x:v>
      </x:c>
      <x:c r="Z26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8" s="76" t="str">
        <x:v>高</x:v>
      </x:c>
      <x:c r="AB268" s="76" t="str">
        <x:v>待验证</x:v>
      </x:c>
      <x:c r="AC268" s="76" t="str"/>
      <x:c r="AD268" s="76" t="str">
        <x:v>provisional=true; rule_group=BASE-证据评分与输出; signal=基础争议</x:v>
      </x:c>
      <x:c r="AE268" s="82" t="str">
        <x:v>0.2</x:v>
      </x:c>
    </x:row>
    <x:row r="269">
      <x:c r="A269" s="81" t="str">
        <x:v>M4-BASE-265</x:v>
      </x:c>
      <x:c r="B269" s="76" t="str">
        <x:v>E1初始门槛</x:v>
      </x:c>
      <x:c r="C269" s="76" t="str">
        <x:v>L7 证据等级与评分</x:v>
      </x:c>
      <x:c r="D269" s="76" t="str">
        <x:v>BASE-证据评分</x:v>
      </x:c>
      <x:c r="E269" s="76" t="str">
        <x:v>通用</x:v>
      </x:c>
      <x:c r="F269" s="76" t="str">
        <x:v>门槛</x:v>
      </x:c>
      <x:c r="G269" s="76" t="str">
        <x:v>E1 score threshold</x:v>
      </x:c>
      <x:c r="H269" s="76" t="str"/>
      <x:c r="I269" s="76" t="str">
        <x:v>去重后总分≥18，且至少两类独立证据；正常功能和失衡方式均明确。</x:v>
      </x:c>
      <x:c r="J269" s="76" t="str">
        <x:v>分数来自同源堆叠；没有失衡机制；保护因素足以抵消。</x:v>
      </x:c>
      <x:c r="K269" s="76" t="str">
        <x:v>由共享基础引擎提供；只修正承载与执行，不直接等同强弱人格。</x:v>
      </x:c>
      <x:c r="L269" s="76" t="str">
        <x:v>由M2接口提供；夫妻星只参与关系议题权重，不单独生成盲点。</x:v>
      </x:c>
      <x:c r="M269" s="76" t="str">
        <x:v>由M3-BASE与共享引擎提供；不得把日支直接写成配偶性格。</x:v>
      </x:c>
      <x:c r="N269" s="76" t="str">
        <x:v>无／待后续规则组合</x:v>
      </x:c>
      <x:c r="O269" s="76" t="str">
        <x:v>由共享基础引擎判定</x:v>
      </x:c>
      <x:c r="P269" s="76" t="str">
        <x:v>由共享基础引擎判定</x:v>
      </x:c>
      <x:c r="Q269" s="76" t="str">
        <x:v>由共享基础引擎判定</x:v>
      </x:c>
      <x:c r="R269" s="76" t="str">
        <x:v>喜忌只修正调用摩擦与平衡，不直接等同好坏。</x:v>
      </x:c>
      <x:c r="S269" s="76" t="str">
        <x:v>原十神性质有效；真合化成立时按化神系统替换。</x:v>
      </x:c>
      <x:c r="T269" s="76" t="str">
        <x:v>由共享基础引擎判定</x:v>
      </x:c>
      <x:c r="U269" s="76" t="str">
        <x:v>88</x:v>
      </x:c>
      <x:c r="V269" s="76" t="str">
        <x:v>threshold 18</x:v>
      </x:c>
      <x:c r="W269" s="76" t="str">
        <x:v>evidence_level</x:v>
      </x:c>
      <x:c r="X269" s="76" t="str">
        <x:v>知识工程初始门槛，等待案例校准。</x:v>
      </x:c>
      <x:c r="Y269" s="76" t="str">
        <x:v>达到这个门槛，只能说存在结构候选，不能说现实一定发生。</x:v>
      </x:c>
      <x:c r="Z26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69" s="76" t="str">
        <x:v>中</x:v>
      </x:c>
      <x:c r="AB269" s="76" t="str">
        <x:v>待验证</x:v>
      </x:c>
      <x:c r="AC269" s="76" t="str"/>
      <x:c r="AD269" s="76" t="str">
        <x:v>provisional=true; rule_group=BASE-证据评分与输出; signal=E1 score threshold</x:v>
      </x:c>
      <x:c r="AE269" s="82" t="str">
        <x:v>0.2</x:v>
      </x:c>
    </x:row>
    <x:row r="270">
      <x:c r="A270" s="81" t="str">
        <x:v>M4-BASE-266</x:v>
      </x:c>
      <x:c r="B270" s="76" t="str">
        <x:v>E2初始门槛</x:v>
      </x:c>
      <x:c r="C270" s="76" t="str">
        <x:v>L7 证据等级与评分</x:v>
      </x:c>
      <x:c r="D270" s="76" t="str">
        <x:v>BASE-证据评分</x:v>
      </x:c>
      <x:c r="E270" s="76" t="str">
        <x:v>通用</x:v>
      </x:c>
      <x:c r="F270" s="76" t="str">
        <x:v>门槛</x:v>
      </x:c>
      <x:c r="G270" s="76" t="str">
        <x:v>E2 score threshold</x:v>
      </x:c>
      <x:c r="H270" s="76" t="str"/>
      <x:c r="I270" s="76" t="str">
        <x:v>去重后总分≥26；E1成立；触发域和调节不足／卡点均明确。</x:v>
      </x:c>
      <x:c r="J270" s="76" t="str">
        <x:v>没有触发证据；保护因素有效；只有阶段一次性信号。</x:v>
      </x:c>
      <x:c r="K270" s="76" t="str">
        <x:v>由共享基础引擎提供；只修正承载与执行，不直接等同强弱人格。</x:v>
      </x:c>
      <x:c r="L270" s="76" t="str">
        <x:v>由M2接口提供；夫妻星只参与关系议题权重，不单独生成盲点。</x:v>
      </x:c>
      <x:c r="M270" s="76" t="str">
        <x:v>由M3-BASE与共享引擎提供；不得把日支直接写成配偶性格。</x:v>
      </x:c>
      <x:c r="N270" s="76" t="str">
        <x:v>无／待后续规则组合</x:v>
      </x:c>
      <x:c r="O270" s="76" t="str">
        <x:v>由共享基础引擎判定</x:v>
      </x:c>
      <x:c r="P270" s="76" t="str">
        <x:v>由共享基础引擎判定</x:v>
      </x:c>
      <x:c r="Q270" s="76" t="str">
        <x:v>由共享基础引擎判定</x:v>
      </x:c>
      <x:c r="R270" s="76" t="str">
        <x:v>喜忌只修正调用摩擦与平衡，不直接等同好坏。</x:v>
      </x:c>
      <x:c r="S270" s="76" t="str">
        <x:v>原十神性质有效；真合化成立时按化神系统替换。</x:v>
      </x:c>
      <x:c r="T270" s="76" t="str">
        <x:v>由共享基础引擎判定</x:v>
      </x:c>
      <x:c r="U270" s="76" t="str">
        <x:v>88</x:v>
      </x:c>
      <x:c r="V270" s="76" t="str">
        <x:v>threshold 26</x:v>
      </x:c>
      <x:c r="W270" s="76" t="str">
        <x:v>evidence_level</x:v>
      </x:c>
      <x:c r="X270" s="76" t="str">
        <x:v>知识工程初始门槛，等待案例校准。</x:v>
      </x:c>
      <x:c r="Y270" s="76" t="str">
        <x:v>达到这个门槛，可以说明某类情境更容易启动候选，但仍不能写完整循环。</x:v>
      </x:c>
      <x:c r="Z27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0" s="76" t="str">
        <x:v>中</x:v>
      </x:c>
      <x:c r="AB270" s="76" t="str">
        <x:v>待验证</x:v>
      </x:c>
      <x:c r="AC270" s="76" t="str"/>
      <x:c r="AD270" s="76" t="str">
        <x:v>provisional=true; rule_group=BASE-证据评分与输出; signal=E2 score threshold</x:v>
      </x:c>
      <x:c r="AE270" s="82" t="str">
        <x:v>0.2</x:v>
      </x:c>
    </x:row>
    <x:row r="271">
      <x:c r="A271" s="81" t="str">
        <x:v>M4-BASE-267</x:v>
      </x:c>
      <x:c r="B271" s="76" t="str">
        <x:v>主失衡机制选择</x:v>
      </x:c>
      <x:c r="C271" s="76" t="str">
        <x:v>L7 证据等级与评分</x:v>
      </x:c>
      <x:c r="D271" s="76" t="str">
        <x:v>BASE-证据评分</x:v>
      </x:c>
      <x:c r="E271" s="76" t="str">
        <x:v>通用</x:v>
      </x:c>
      <x:c r="F271" s="76" t="str">
        <x:v>排序</x:v>
      </x:c>
      <x:c r="G271" s="76" t="str">
        <x:v>K01—K08主机制</x:v>
      </x:c>
      <x:c r="H271" s="76" t="str"/>
      <x:c r="I271" s="76" t="str">
        <x:v>候选通过门控；分值最高；来源独立；功能与失衡链清楚。</x:v>
      </x:c>
      <x:c r="J271" s="76" t="str">
        <x:v>仅靠单一十神；与第二候选分差不足且功能同义。</x:v>
      </x:c>
      <x:c r="K271" s="76" t="str">
        <x:v>由共享基础引擎提供；只修正承载与执行，不直接等同强弱人格。</x:v>
      </x:c>
      <x:c r="L271" s="76" t="str">
        <x:v>由M2接口提供；夫妻星只参与关系议题权重，不单独生成盲点。</x:v>
      </x:c>
      <x:c r="M271" s="76" t="str">
        <x:v>由M3-BASE与共享引擎提供；不得把日支直接写成配偶性格。</x:v>
      </x:c>
      <x:c r="N271" s="76" t="str">
        <x:v>无／待后续规则组合</x:v>
      </x:c>
      <x:c r="O271" s="76" t="str">
        <x:v>由共享基础引擎判定</x:v>
      </x:c>
      <x:c r="P271" s="76" t="str">
        <x:v>由共享基础引擎判定</x:v>
      </x:c>
      <x:c r="Q271" s="76" t="str">
        <x:v>由共享基础引擎判定</x:v>
      </x:c>
      <x:c r="R271" s="76" t="str">
        <x:v>喜忌只修正调用摩擦与平衡，不直接等同好坏。</x:v>
      </x:c>
      <x:c r="S271" s="76" t="str">
        <x:v>原十神性质有效；真合化成立时按化神系统替换。</x:v>
      </x:c>
      <x:c r="T271" s="76" t="str">
        <x:v>由共享基础引擎判定</x:v>
      </x:c>
      <x:c r="U271" s="76" t="str">
        <x:v>84</x:v>
      </x:c>
      <x:c r="V271" s="76" t="str">
        <x:v>primary if lead≥6</x:v>
      </x:c>
      <x:c r="W271" s="76" t="str">
        <x:v>imbalance_mechanism</x:v>
      </x:c>
      <x:c r="X271" s="76" t="str">
        <x:v>用户正文只保留一个最有证据的主机制。</x:v>
      </x:c>
      <x:c r="Y271" s="76" t="str">
        <x:v>报告会优先说明最核心的一种失衡方式，而不是罗列所有可能问题。</x:v>
      </x:c>
      <x:c r="Z27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1" s="76" t="str">
        <x:v>中</x:v>
      </x:c>
      <x:c r="AB271" s="76" t="str">
        <x:v>待验证</x:v>
      </x:c>
      <x:c r="AC271" s="76" t="str"/>
      <x:c r="AD271" s="76" t="str">
        <x:v>provisional=true; rule_group=BASE-证据评分与输出; signal=K01—K08主机制</x:v>
      </x:c>
      <x:c r="AE271" s="82" t="str">
        <x:v>0.2</x:v>
      </x:c>
    </x:row>
    <x:row r="272">
      <x:c r="A272" s="81" t="str">
        <x:v>M4-BASE-268</x:v>
      </x:c>
      <x:c r="B272" s="76" t="str">
        <x:v>次失衡机制选择</x:v>
      </x:c>
      <x:c r="C272" s="76" t="str">
        <x:v>L7 证据等级与评分</x:v>
      </x:c>
      <x:c r="D272" s="76" t="str">
        <x:v>BASE-证据评分</x:v>
      </x:c>
      <x:c r="E272" s="76" t="str">
        <x:v>通用</x:v>
      </x:c>
      <x:c r="F272" s="76" t="str">
        <x:v>排序</x:v>
      </x:c>
      <x:c r="G272" s="76" t="str">
        <x:v>K01—K08次机制</x:v>
      </x:c>
      <x:c r="H272" s="76" t="str"/>
      <x:c r="I272" s="76" t="str">
        <x:v>第二候选达到E1门槛，来源独立、功能不同，且对主机制有补充作用。</x:v>
      </x:c>
      <x:c r="J272" s="76" t="str">
        <x:v>同义重复、同源、弱远或仅为背景。</x:v>
      </x:c>
      <x:c r="K272" s="76" t="str">
        <x:v>由共享基础引擎提供；只修正承载与执行，不直接等同强弱人格。</x:v>
      </x:c>
      <x:c r="L272" s="76" t="str">
        <x:v>由M2接口提供；夫妻星只参与关系议题权重，不单独生成盲点。</x:v>
      </x:c>
      <x:c r="M272" s="76" t="str">
        <x:v>由M3-BASE与共享引擎提供；不得把日支直接写成配偶性格。</x:v>
      </x:c>
      <x:c r="N272" s="76" t="str">
        <x:v>无／待后续规则组合</x:v>
      </x:c>
      <x:c r="O272" s="76" t="str">
        <x:v>由共享基础引擎判定</x:v>
      </x:c>
      <x:c r="P272" s="76" t="str">
        <x:v>由共享基础引擎判定</x:v>
      </x:c>
      <x:c r="Q272" s="76" t="str">
        <x:v>由共享基础引擎判定</x:v>
      </x:c>
      <x:c r="R272" s="76" t="str">
        <x:v>喜忌只修正调用摩擦与平衡，不直接等同好坏。</x:v>
      </x:c>
      <x:c r="S272" s="76" t="str">
        <x:v>原十神性质有效；真合化成立时按化神系统替换。</x:v>
      </x:c>
      <x:c r="T272" s="76" t="str">
        <x:v>由共享基础引擎判定</x:v>
      </x:c>
      <x:c r="U272" s="76" t="str">
        <x:v>80</x:v>
      </x:c>
      <x:c r="V272" s="76" t="str">
        <x:v>secondary candidate</x:v>
      </x:c>
      <x:c r="W272" s="76" t="str">
        <x:v>imbalance_mechanism</x:v>
      </x:c>
      <x:c r="X272" s="76" t="str">
        <x:v>次机制只用于解释主机制如何形成，不得与主机制平铺。</x:v>
      </x:c>
      <x:c r="Y272" s="76" t="str">
        <x:v>只有真正补充主机制的第二项，才会进入正文。</x:v>
      </x:c>
      <x:c r="Z27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2" s="76" t="str">
        <x:v>中</x:v>
      </x:c>
      <x:c r="AB272" s="76" t="str">
        <x:v>待验证</x:v>
      </x:c>
      <x:c r="AC272" s="76" t="str"/>
      <x:c r="AD272" s="76" t="str">
        <x:v>provisional=true; rule_group=BASE-证据评分与输出; signal=K01—K08次机制</x:v>
      </x:c>
      <x:c r="AE272" s="82" t="str">
        <x:v>0.2</x:v>
      </x:c>
    </x:row>
    <x:row r="273">
      <x:c r="A273" s="81" t="str">
        <x:v>M4-BASE-269</x:v>
      </x:c>
      <x:c r="B273" s="76" t="str">
        <x:v>一主一辅输出封顶</x:v>
      </x:c>
      <x:c r="C273" s="76" t="str">
        <x:v>L8 输出与停止</x:v>
      </x:c>
      <x:c r="D273" s="76" t="str">
        <x:v>BASE-输出</x:v>
      </x:c>
      <x:c r="E273" s="76" t="str">
        <x:v>通用</x:v>
      </x:c>
      <x:c r="F273" s="76" t="str">
        <x:v>输出边界</x:v>
      </x:c>
      <x:c r="G273" s="76" t="str">
        <x:v>primary＋secondary</x:v>
      </x:c>
      <x:c r="H273" s="76" t="str"/>
      <x:c r="I273" s="76" t="str">
        <x:v>存在多个候选。</x:v>
      </x:c>
      <x:c r="J273" s="76" t="str"/>
      <x:c r="K273" s="76" t="str">
        <x:v>由共享基础引擎提供；只修正承载与执行，不直接等同强弱人格。</x:v>
      </x:c>
      <x:c r="L273" s="76" t="str">
        <x:v>由M2接口提供；夫妻星只参与关系议题权重，不单独生成盲点。</x:v>
      </x:c>
      <x:c r="M273" s="76" t="str">
        <x:v>由M3-BASE与共享引擎提供；不得把日支直接写成配偶性格。</x:v>
      </x:c>
      <x:c r="N273" s="76" t="str">
        <x:v>无／待后续规则组合</x:v>
      </x:c>
      <x:c r="O273" s="76" t="str">
        <x:v>由共享基础引擎判定</x:v>
      </x:c>
      <x:c r="P273" s="76" t="str">
        <x:v>由共享基础引擎判定</x:v>
      </x:c>
      <x:c r="Q273" s="76" t="str">
        <x:v>由共享基础引擎判定</x:v>
      </x:c>
      <x:c r="R273" s="76" t="str">
        <x:v>喜忌只修正调用摩擦与平衡，不直接等同好坏。</x:v>
      </x:c>
      <x:c r="S273" s="76" t="str">
        <x:v>原十神性质有效；真合化成立时按化神系统替换。</x:v>
      </x:c>
      <x:c r="T273" s="76" t="str">
        <x:v>由共享基础引擎判定</x:v>
      </x:c>
      <x:c r="U273" s="76" t="str">
        <x:v>94</x:v>
      </x:c>
      <x:c r="V273" s="76" t="str">
        <x:v>正文封顶</x:v>
      </x:c>
      <x:c r="W273" s="76" t="str">
        <x:v>boundary_note</x:v>
      </x:c>
      <x:c r="X273" s="76" t="str">
        <x:v>最终正文最多一个主机制、一个次机制、一个缺位功能和一个保护因素。</x:v>
      </x:c>
      <x:c r="Y273" s="76" t="str">
        <x:v>分析会保留重点，不把所有潜在问题都堆给用户。</x:v>
      </x:c>
      <x:c r="Z27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3" s="76" t="str">
        <x:v>高</x:v>
      </x:c>
      <x:c r="AB273" s="76" t="str">
        <x:v>待验证</x:v>
      </x:c>
      <x:c r="AC273" s="76" t="str"/>
      <x:c r="AD273" s="76" t="str">
        <x:v>provisional=true; rule_group=BASE-证据评分与输出; signal=primary＋secondary</x:v>
      </x:c>
      <x:c r="AE273" s="82" t="str">
        <x:v>0.2</x:v>
      </x:c>
    </x:row>
    <x:row r="274">
      <x:c r="A274" s="81" t="str">
        <x:v>M4-BASE-270</x:v>
      </x:c>
      <x:c r="B274" s="76" t="str">
        <x:v>缺位功能独立字段</x:v>
      </x:c>
      <x:c r="C274" s="76" t="str">
        <x:v>L8 输出与停止</x:v>
      </x:c>
      <x:c r="D274" s="76" t="str">
        <x:v>BASE-输出</x:v>
      </x:c>
      <x:c r="E274" s="76" t="str">
        <x:v>通用</x:v>
      </x:c>
      <x:c r="F274" s="76" t="str">
        <x:v>输出合同</x:v>
      </x:c>
      <x:c r="G274" s="76" t="str">
        <x:v>missing_function</x:v>
      </x:c>
      <x:c r="H274" s="76" t="str"/>
      <x:c r="I274" s="76" t="str">
        <x:v>主机制涉及另一必要功能未进入、进入过晚或转换受阻。</x:v>
      </x:c>
      <x:c r="J274" s="76" t="str">
        <x:v>缺位与主机制同义重复。</x:v>
      </x:c>
      <x:c r="K274" s="76" t="str">
        <x:v>由共享基础引擎提供；只修正承载与执行，不直接等同强弱人格。</x:v>
      </x:c>
      <x:c r="L274" s="76" t="str">
        <x:v>由M2接口提供；夫妻星只参与关系议题权重，不单独生成盲点。</x:v>
      </x:c>
      <x:c r="M274" s="76" t="str">
        <x:v>由M3-BASE与共享引擎提供；不得把日支直接写成配偶性格。</x:v>
      </x:c>
      <x:c r="N274" s="76" t="str">
        <x:v>无／待后续规则组合</x:v>
      </x:c>
      <x:c r="O274" s="76" t="str">
        <x:v>由共享基础引擎判定</x:v>
      </x:c>
      <x:c r="P274" s="76" t="str">
        <x:v>由共享基础引擎判定</x:v>
      </x:c>
      <x:c r="Q274" s="76" t="str">
        <x:v>由共享基础引擎判定</x:v>
      </x:c>
      <x:c r="R274" s="76" t="str">
        <x:v>喜忌只修正调用摩擦与平衡，不直接等同好坏。</x:v>
      </x:c>
      <x:c r="S274" s="76" t="str">
        <x:v>原十神性质有效；真合化成立时按化神系统替换。</x:v>
      </x:c>
      <x:c r="T274" s="76" t="str">
        <x:v>由共享基础引擎判定</x:v>
      </x:c>
      <x:c r="U274" s="76" t="str">
        <x:v>86</x:v>
      </x:c>
      <x:c r="V274" s="76" t="str">
        <x:v>不加分；解释字段</x:v>
      </x:c>
      <x:c r="W274" s="76" t="str">
        <x:v>missing_function</x:v>
      </x:c>
      <x:c r="X274" s="76" t="str">
        <x:v>missing_function用于说明“少了哪一步”，不能写成人格缺陷。</x:v>
      </x:c>
      <x:c r="Y274" s="76" t="str">
        <x:v>真正需要补充的可能是________这一步，而不是简单要求自己少做或多做。</x:v>
      </x:c>
      <x:c r="Z274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4" s="76" t="str">
        <x:v>中高</x:v>
      </x:c>
      <x:c r="AB274" s="76" t="str">
        <x:v>待验证</x:v>
      </x:c>
      <x:c r="AC274" s="76" t="str"/>
      <x:c r="AD274" s="76" t="str">
        <x:v>provisional=true; rule_group=BASE-证据评分与输出; signal=missing_function</x:v>
      </x:c>
      <x:c r="AE274" s="82" t="str">
        <x:v>0.2</x:v>
      </x:c>
    </x:row>
    <x:row r="275">
      <x:c r="A275" s="81" t="str">
        <x:v>M4-BASE-271</x:v>
      </x:c>
      <x:c r="B275" s="76" t="str">
        <x:v>保护因素强制输出</x:v>
      </x:c>
      <x:c r="C275" s="76" t="str">
        <x:v>L8 输出与停止</x:v>
      </x:c>
      <x:c r="D275" s="76" t="str">
        <x:v>BASE-输出</x:v>
      </x:c>
      <x:c r="E275" s="76" t="str">
        <x:v>通用</x:v>
      </x:c>
      <x:c r="F275" s="76" t="str">
        <x:v>输出合同</x:v>
      </x:c>
      <x:c r="G275" s="76" t="str">
        <x:v>buffer_factor</x:v>
      </x:c>
      <x:c r="H275" s="76" t="str"/>
      <x:c r="I275" s="76" t="str">
        <x:v>E1或E2候选进入用户正文。</x:v>
      </x:c>
      <x:c r="J275" s="76" t="str">
        <x:v>现实安全问题需停止常规输出。</x:v>
      </x:c>
      <x:c r="K275" s="76" t="str">
        <x:v>由共享基础引擎提供；只修正承载与执行，不直接等同强弱人格。</x:v>
      </x:c>
      <x:c r="L275" s="76" t="str">
        <x:v>由M2接口提供；夫妻星只参与关系议题权重，不单独生成盲点。</x:v>
      </x:c>
      <x:c r="M275" s="76" t="str">
        <x:v>由M3-BASE与共享引擎提供；不得把日支直接写成配偶性格。</x:v>
      </x:c>
      <x:c r="N275" s="76" t="str">
        <x:v>无／待后续规则组合</x:v>
      </x:c>
      <x:c r="O275" s="76" t="str">
        <x:v>由共享基础引擎判定</x:v>
      </x:c>
      <x:c r="P275" s="76" t="str">
        <x:v>由共享基础引擎判定</x:v>
      </x:c>
      <x:c r="Q275" s="76" t="str">
        <x:v>由共享基础引擎判定</x:v>
      </x:c>
      <x:c r="R275" s="76" t="str">
        <x:v>喜忌只修正调用摩擦与平衡，不直接等同好坏。</x:v>
      </x:c>
      <x:c r="S275" s="76" t="str">
        <x:v>原十神性质有效；真合化成立时按化神系统替换。</x:v>
      </x:c>
      <x:c r="T275" s="76" t="str">
        <x:v>由共享基础引擎判定</x:v>
      </x:c>
      <x:c r="U275" s="76" t="str">
        <x:v>92</x:v>
      </x:c>
      <x:c r="V275" s="76" t="str">
        <x:v>强制字段</x:v>
      </x:c>
      <x:c r="W275" s="76" t="str">
        <x:v>buffer_factor</x:v>
      </x:c>
      <x:c r="X275" s="76" t="str">
        <x:v>每个候选必须说明已有调节、反例或仍待验证的保护条件。</x:v>
      </x:c>
      <x:c r="Y275" s="76" t="str">
        <x:v>同时也要看：哪些条件能使这一候选减弱、被接上或不成立。</x:v>
      </x:c>
      <x:c r="Z275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5" s="76" t="str">
        <x:v>高</x:v>
      </x:c>
      <x:c r="AB275" s="76" t="str">
        <x:v>待验证</x:v>
      </x:c>
      <x:c r="AC275" s="76" t="str"/>
      <x:c r="AD275" s="76" t="str">
        <x:v>provisional=true; rule_group=BASE-证据评分与输出; signal=buffer_factor</x:v>
      </x:c>
      <x:c r="AE275" s="82" t="str">
        <x:v>0.2</x:v>
      </x:c>
    </x:row>
    <x:row r="276">
      <x:c r="A276" s="81" t="str">
        <x:v>M4-BASE-272</x:v>
      </x:c>
      <x:c r="B276" s="76" t="str">
        <x:v>同源去重发布门控</x:v>
      </x:c>
      <x:c r="C276" s="76" t="str">
        <x:v>L8 输出与停止</x:v>
      </x:c>
      <x:c r="D276" s="76" t="str">
        <x:v>BASE-输出</x:v>
      </x:c>
      <x:c r="E276" s="76" t="str">
        <x:v>通用</x:v>
      </x:c>
      <x:c r="F276" s="76" t="str">
        <x:v>去重</x:v>
      </x:c>
      <x:c r="G276" s="76" t="str">
        <x:v>dedup_log</x:v>
      </x:c>
      <x:c r="H276" s="76" t="str"/>
      <x:c r="I276" s="76" t="str">
        <x:v>准备计算总分或发布候选。</x:v>
      </x:c>
      <x:c r="J276" s="76" t="str">
        <x:v>source_id未记录或重复事实未合并。</x:v>
      </x:c>
      <x:c r="K276" s="76" t="str">
        <x:v>由共享基础引擎提供；只修正承载与执行，不直接等同强弱人格。</x:v>
      </x:c>
      <x:c r="L276" s="76" t="str">
        <x:v>由M2接口提供；夫妻星只参与关系议题权重，不单独生成盲点。</x:v>
      </x:c>
      <x:c r="M276" s="76" t="str">
        <x:v>由M3-BASE与共享引擎提供；不得把日支直接写成配偶性格。</x:v>
      </x:c>
      <x:c r="N276" s="76" t="str">
        <x:v>无／待后续规则组合</x:v>
      </x:c>
      <x:c r="O276" s="76" t="str">
        <x:v>由共享基础引擎判定</x:v>
      </x:c>
      <x:c r="P276" s="76" t="str">
        <x:v>由共享基础引擎判定</x:v>
      </x:c>
      <x:c r="Q276" s="76" t="str">
        <x:v>由共享基础引擎判定</x:v>
      </x:c>
      <x:c r="R276" s="76" t="str">
        <x:v>喜忌只修正调用摩擦与平衡，不直接等同好坏。</x:v>
      </x:c>
      <x:c r="S276" s="76" t="str">
        <x:v>原十神性质有效；真合化成立时按化神系统替换。</x:v>
      </x:c>
      <x:c r="T276" s="76" t="str">
        <x:v>由共享基础引擎判定</x:v>
      </x:c>
      <x:c r="U276" s="76" t="str">
        <x:v>98</x:v>
      </x:c>
      <x:c r="V276" s="76" t="str">
        <x:v>未去重则STOP</x:v>
      </x:c>
      <x:c r="W276" s="76" t="str">
        <x:v>stop_reason</x:v>
      </x:c>
      <x:c r="X276" s="76" t="str">
        <x:v>去重未完成时不得发布。</x:v>
      </x:c>
      <x:c r="Y276" s="76" t="str">
        <x:v>只有完成来源核对后，才会给出置信度。</x:v>
      </x:c>
      <x:c r="Z276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6" s="76" t="str">
        <x:v>高</x:v>
      </x:c>
      <x:c r="AB276" s="76" t="str">
        <x:v>待验证</x:v>
      </x:c>
      <x:c r="AC276" s="76" t="str"/>
      <x:c r="AD276" s="76" t="str">
        <x:v>provisional=true; rule_group=BASE-证据评分与输出; signal=dedup_log</x:v>
      </x:c>
      <x:c r="AE276" s="82" t="str">
        <x:v>0.2</x:v>
      </x:c>
    </x:row>
    <x:row r="277">
      <x:c r="A277" s="81" t="str">
        <x:v>M4-BASE-273</x:v>
      </x:c>
      <x:c r="B277" s="76" t="str">
        <x:v>M3功能未定｜停止</x:v>
      </x:c>
      <x:c r="C277" s="76" t="str">
        <x:v>L8 输出与停止</x:v>
      </x:c>
      <x:c r="D277" s="76" t="str">
        <x:v>BASE-门控停止</x:v>
      </x:c>
      <x:c r="E277" s="76" t="str">
        <x:v>通用</x:v>
      </x:c>
      <x:c r="F277" s="76" t="str">
        <x:v>停止</x:v>
      </x:c>
      <x:c r="G277" s="76" t="str">
        <x:v>M3功能来源未定</x:v>
      </x:c>
      <x:c r="H277" s="76" t="str"/>
      <x:c r="I277" s="76" t="str">
        <x:v>对应M3模块停止或正常功能无法可靠确定。</x:v>
      </x:c>
      <x:c r="J277" s="76" t="str"/>
      <x:c r="K277" s="76" t="str">
        <x:v>由共享基础引擎提供；只修正承载与执行，不直接等同强弱人格。</x:v>
      </x:c>
      <x:c r="L277" s="76" t="str">
        <x:v>由M2接口提供；夫妻星只参与关系议题权重，不单独生成盲点。</x:v>
      </x:c>
      <x:c r="M277" s="76" t="str">
        <x:v>由M3-BASE与共享引擎提供；不得把日支直接写成配偶性格。</x:v>
      </x:c>
      <x:c r="N277" s="76" t="str">
        <x:v>无／待后续规则组合</x:v>
      </x:c>
      <x:c r="O277" s="76" t="str">
        <x:v>由共享基础引擎判定</x:v>
      </x:c>
      <x:c r="P277" s="76" t="str">
        <x:v>由共享基础引擎判定</x:v>
      </x:c>
      <x:c r="Q277" s="76" t="str">
        <x:v>由共享基础引擎判定</x:v>
      </x:c>
      <x:c r="R277" s="76" t="str">
        <x:v>喜忌只修正调用摩擦与平衡，不直接等同好坏。</x:v>
      </x:c>
      <x:c r="S277" s="76" t="str">
        <x:v>原十神性质有效；真合化成立时按化神系统替换。</x:v>
      </x:c>
      <x:c r="T277" s="76" t="str">
        <x:v>由共享基础引擎判定</x:v>
      </x:c>
      <x:c r="U277" s="76" t="str">
        <x:v>100</x:v>
      </x:c>
      <x:c r="V277" s="76" t="str">
        <x:v>STOP</x:v>
      </x:c>
      <x:c r="W277" s="76" t="str">
        <x:v>stop_reason</x:v>
      </x:c>
      <x:c r="X277" s="76" t="str">
        <x:v>没有正常功能，就无法判断它怎样失衡。</x:v>
      </x:c>
      <x:c r="Y277" s="76" t="str">
        <x:v>前一步的相处方式还无法确定，因此这一盲点暂不判断。</x:v>
      </x:c>
      <x:c r="Z277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7" s="76" t="str">
        <x:v>高</x:v>
      </x:c>
      <x:c r="AB277" s="76" t="str">
        <x:v>待验证</x:v>
      </x:c>
      <x:c r="AC277" s="76" t="str"/>
      <x:c r="AD277" s="76" t="str">
        <x:v>provisional=true; rule_group=BASE-证据评分与输出; signal=M3功能来源未定</x:v>
      </x:c>
      <x:c r="AE277" s="82" t="str">
        <x:v>0.2</x:v>
      </x:c>
    </x:row>
    <x:row r="278">
      <x:c r="A278" s="81" t="str">
        <x:v>M4-BASE-274</x:v>
      </x:c>
      <x:c r="B278" s="76" t="str">
        <x:v>真合化未定｜停止</x:v>
      </x:c>
      <x:c r="C278" s="76" t="str">
        <x:v>L8 输出与停止</x:v>
      </x:c>
      <x:c r="D278" s="76" t="str">
        <x:v>BASE-门控停止</x:v>
      </x:c>
      <x:c r="E278" s="76" t="str">
        <x:v>通用</x:v>
      </x:c>
      <x:c r="F278" s="76" t="str">
        <x:v>停止</x:v>
      </x:c>
      <x:c r="G278" s="76" t="str">
        <x:v>真合化未定</x:v>
      </x:c>
      <x:c r="H278" s="76" t="str"/>
      <x:c r="I278" s="76" t="str">
        <x:v>原十神是否保留与化神是否成立存在关键争议。</x:v>
      </x:c>
      <x:c r="J278" s="76" t="str"/>
      <x:c r="K278" s="76" t="str">
        <x:v>由共享基础引擎提供；只修正承载与执行，不直接等同强弱人格。</x:v>
      </x:c>
      <x:c r="L278" s="76" t="str">
        <x:v>由M2接口提供；夫妻星只参与关系议题权重，不单独生成盲点。</x:v>
      </x:c>
      <x:c r="M278" s="76" t="str">
        <x:v>由M3-BASE与共享引擎提供；不得把日支直接写成配偶性格。</x:v>
      </x:c>
      <x:c r="N278" s="76" t="str">
        <x:v>无／待后续规则组合</x:v>
      </x:c>
      <x:c r="O278" s="76" t="str">
        <x:v>由共享基础引擎判定</x:v>
      </x:c>
      <x:c r="P278" s="76" t="str">
        <x:v>由共享基础引擎判定</x:v>
      </x:c>
      <x:c r="Q278" s="76" t="str">
        <x:v>由共享基础引擎判定</x:v>
      </x:c>
      <x:c r="R278" s="76" t="str">
        <x:v>喜忌只修正调用摩擦与平衡，不直接等同好坏。</x:v>
      </x:c>
      <x:c r="S278" s="76" t="str">
        <x:v>原十神性质有效；真合化成立时按化神系统替换。</x:v>
      </x:c>
      <x:c r="T278" s="76" t="str">
        <x:v>由共享基础引擎判定</x:v>
      </x:c>
      <x:c r="U278" s="76" t="str">
        <x:v>100</x:v>
      </x:c>
      <x:c r="V278" s="76" t="str">
        <x:v>STOP</x:v>
      </x:c>
      <x:c r="W278" s="76" t="str">
        <x:v>stop_reason</x:v>
      </x:c>
      <x:c r="X278" s="76" t="str">
        <x:v>在替换路由未确定前，原功能与化神功能均不得作为主轴。</x:v>
      </x:c>
      <x:c r="Y278" s="76" t="str">
        <x:v>合化状态不清时，不会同时保留两套互相冲突的解释。</x:v>
      </x:c>
      <x:c r="Z278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8" s="76" t="str">
        <x:v>高</x:v>
      </x:c>
      <x:c r="AB278" s="76" t="str">
        <x:v>待验证</x:v>
      </x:c>
      <x:c r="AC278" s="76" t="str"/>
      <x:c r="AD278" s="76" t="str">
        <x:v>provisional=true; rule_group=BASE-证据评分与输出; signal=真合化未定</x:v>
      </x:c>
      <x:c r="AE278" s="82" t="str">
        <x:v>0.2</x:v>
      </x:c>
    </x:row>
    <x:row r="279">
      <x:c r="A279" s="81" t="str">
        <x:v>M4-BASE-275</x:v>
      </x:c>
      <x:c r="B279" s="76" t="str">
        <x:v>单一弱远无根｜停止主候选</x:v>
      </x:c>
      <x:c r="C279" s="76" t="str">
        <x:v>L8 输出与停止</x:v>
      </x:c>
      <x:c r="D279" s="76" t="str">
        <x:v>BASE-门控停止</x:v>
      </x:c>
      <x:c r="E279" s="76" t="str">
        <x:v>通用</x:v>
      </x:c>
      <x:c r="F279" s="76" t="str">
        <x:v>停止</x:v>
      </x:c>
      <x:c r="G279" s="76" t="str">
        <x:v>弱远无根单信号</x:v>
      </x:c>
      <x:c r="H279" s="76" t="str"/>
      <x:c r="I279" s="76" t="str">
        <x:v>只有一处弱远无根信号，没有M3或现实独立支持。</x:v>
      </x:c>
      <x:c r="J279" s="76" t="str"/>
      <x:c r="K279" s="76" t="str">
        <x:v>由共享基础引擎提供；只修正承载与执行，不直接等同强弱人格。</x:v>
      </x:c>
      <x:c r="L279" s="76" t="str">
        <x:v>由M2接口提供；夫妻星只参与关系议题权重，不单独生成盲点。</x:v>
      </x:c>
      <x:c r="M279" s="76" t="str">
        <x:v>由M3-BASE与共享引擎提供；不得把日支直接写成配偶性格。</x:v>
      </x:c>
      <x:c r="N279" s="76" t="str">
        <x:v>无／待后续规则组合</x:v>
      </x:c>
      <x:c r="O279" s="76" t="str">
        <x:v>由共享基础引擎判定</x:v>
      </x:c>
      <x:c r="P279" s="76" t="str">
        <x:v>由共享基础引擎判定</x:v>
      </x:c>
      <x:c r="Q279" s="76" t="str">
        <x:v>由共享基础引擎判定</x:v>
      </x:c>
      <x:c r="R279" s="76" t="str">
        <x:v>喜忌只修正调用摩擦与平衡，不直接等同好坏。</x:v>
      </x:c>
      <x:c r="S279" s="76" t="str">
        <x:v>原十神性质有效；真合化成立时按化神系统替换。</x:v>
      </x:c>
      <x:c r="T279" s="76" t="str">
        <x:v>由共享基础引擎判定</x:v>
      </x:c>
      <x:c r="U279" s="76" t="str">
        <x:v>98</x:v>
      </x:c>
      <x:c r="V279" s="76" t="str">
        <x:v>STOP主候选</x:v>
      </x:c>
      <x:c r="W279" s="76" t="str">
        <x:v>stop_reason</x:v>
      </x:c>
      <x:c r="X279" s="76" t="str">
        <x:v>不足以建立E1。</x:v>
      </x:c>
      <x:c r="Y279" s="76" t="str">
        <x:v>这项信号太弱且缺少独立支持，暂不写成核心盲点。</x:v>
      </x:c>
      <x:c r="Z279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79" s="76" t="str">
        <x:v>高</x:v>
      </x:c>
      <x:c r="AB279" s="76" t="str">
        <x:v>待验证</x:v>
      </x:c>
      <x:c r="AC279" s="76" t="str"/>
      <x:c r="AD279" s="76" t="str">
        <x:v>provisional=true; rule_group=BASE-证据评分与输出; signal=弱远无根单信号</x:v>
      </x:c>
      <x:c r="AE279" s="82" t="str">
        <x:v>0.2</x:v>
      </x:c>
    </x:row>
    <x:row r="280">
      <x:c r="A280" s="81" t="str">
        <x:v>M4-BASE-276</x:v>
      </x:c>
      <x:c r="B280" s="76" t="str">
        <x:v>只有合冲刑害破｜停止</x:v>
      </x:c>
      <x:c r="C280" s="76" t="str">
        <x:v>L8 输出与停止</x:v>
      </x:c>
      <x:c r="D280" s="76" t="str">
        <x:v>BASE-门控停止</x:v>
      </x:c>
      <x:c r="E280" s="76" t="str">
        <x:v>通用</x:v>
      </x:c>
      <x:c r="F280" s="76" t="str">
        <x:v>停止</x:v>
      </x:c>
      <x:c r="G280" s="76" t="str">
        <x:v>宫位动态单信号</x:v>
      </x:c>
      <x:c r="H280" s="76" t="str"/>
      <x:c r="I280" s="76" t="str">
        <x:v>只有合、冲、刑、害或破，没有有效功能来源与失衡机制。</x:v>
      </x:c>
      <x:c r="J280" s="76" t="str"/>
      <x:c r="K280" s="76" t="str">
        <x:v>由共享基础引擎提供；只修正承载与执行，不直接等同强弱人格。</x:v>
      </x:c>
      <x:c r="L280" s="76" t="str">
        <x:v>由M2接口提供；夫妻星只参与关系议题权重，不单独生成盲点。</x:v>
      </x:c>
      <x:c r="M280" s="76" t="str">
        <x:v>由M3-BASE与共享引擎提供；不得把日支直接写成配偶性格。</x:v>
      </x:c>
      <x:c r="N280" s="76" t="str">
        <x:v>无／待后续规则组合</x:v>
      </x:c>
      <x:c r="O280" s="76" t="str">
        <x:v>由共享基础引擎判定</x:v>
      </x:c>
      <x:c r="P280" s="76" t="str">
        <x:v>由共享基础引擎判定</x:v>
      </x:c>
      <x:c r="Q280" s="76" t="str">
        <x:v>由共享基础引擎判定</x:v>
      </x:c>
      <x:c r="R280" s="76" t="str">
        <x:v>喜忌只修正调用摩擦与平衡，不直接等同好坏。</x:v>
      </x:c>
      <x:c r="S280" s="76" t="str">
        <x:v>原十神性质有效；真合化成立时按化神系统替换。</x:v>
      </x:c>
      <x:c r="T280" s="76" t="str">
        <x:v>由共享基础引擎判定</x:v>
      </x:c>
      <x:c r="U280" s="76" t="str">
        <x:v>100</x:v>
      </x:c>
      <x:c r="V280" s="76" t="str">
        <x:v>STOP</x:v>
      </x:c>
      <x:c r="W280" s="76" t="str">
        <x:v>stop_reason</x:v>
      </x:c>
      <x:c r="X280" s="76" t="str">
        <x:v>宫位动态只能修正节奏，不能独立生成盲点。</x:v>
      </x:c>
      <x:c r="Y280" s="76" t="str">
        <x:v>仅凭合冲刑害破，不能判断具体关系问题。</x:v>
      </x:c>
      <x:c r="Z280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80" s="76" t="str">
        <x:v>高</x:v>
      </x:c>
      <x:c r="AB280" s="76" t="str">
        <x:v>待验证</x:v>
      </x:c>
      <x:c r="AC280" s="76" t="str"/>
      <x:c r="AD280" s="76" t="str">
        <x:v>provisional=true; rule_group=BASE-证据评分与输出; signal=宫位动态单信号</x:v>
      </x:c>
      <x:c r="AE280" s="82" t="str">
        <x:v>0.2</x:v>
      </x:c>
    </x:row>
    <x:row r="281">
      <x:c r="A281" s="81" t="str">
        <x:v>M4-BASE-277</x:v>
      </x:c>
      <x:c r="B281" s="76" t="str">
        <x:v>喜忌直接等同好坏｜禁止</x:v>
      </x:c>
      <x:c r="C281" s="76" t="str">
        <x:v>L8 输出与停止</x:v>
      </x:c>
      <x:c r="D281" s="76" t="str">
        <x:v>BASE-门控停止</x:v>
      </x:c>
      <x:c r="E281" s="76" t="str">
        <x:v>通用</x:v>
      </x:c>
      <x:c r="F281" s="76" t="str">
        <x:v>停止</x:v>
      </x:c>
      <x:c r="G281" s="76" t="str">
        <x:v>喜忌机械推断</x:v>
      </x:c>
      <x:c r="H281" s="76" t="str"/>
      <x:c r="I281" s="76" t="str">
        <x:v>规则试图用喜神／忌神直接生成正负人格或关系问题。</x:v>
      </x:c>
      <x:c r="J281" s="76" t="str"/>
      <x:c r="K281" s="76" t="str">
        <x:v>由共享基础引擎提供；只修正承载与执行，不直接等同强弱人格。</x:v>
      </x:c>
      <x:c r="L281" s="76" t="str">
        <x:v>由M2接口提供；夫妻星只参与关系议题权重，不单独生成盲点。</x:v>
      </x:c>
      <x:c r="M281" s="76" t="str">
        <x:v>由M3-BASE与共享引擎提供；不得把日支直接写成配偶性格。</x:v>
      </x:c>
      <x:c r="N281" s="76" t="str">
        <x:v>无／待后续规则组合</x:v>
      </x:c>
      <x:c r="O281" s="76" t="str">
        <x:v>由共享基础引擎判定</x:v>
      </x:c>
      <x:c r="P281" s="76" t="str">
        <x:v>由共享基础引擎判定</x:v>
      </x:c>
      <x:c r="Q281" s="76" t="str">
        <x:v>由共享基础引擎判定</x:v>
      </x:c>
      <x:c r="R281" s="76" t="str">
        <x:v>喜忌只修正调用摩擦与平衡，不直接等同好坏。</x:v>
      </x:c>
      <x:c r="S281" s="76" t="str">
        <x:v>原十神性质有效；真合化成立时按化神系统替换。</x:v>
      </x:c>
      <x:c r="T281" s="76" t="str">
        <x:v>由共享基础引擎判定</x:v>
      </x:c>
      <x:c r="U281" s="76" t="str">
        <x:v>100</x:v>
      </x:c>
      <x:c r="V281" s="76" t="str">
        <x:v>STOP错误路由</x:v>
      </x:c>
      <x:c r="W281" s="76" t="str">
        <x:v>stop_reason</x:v>
      </x:c>
      <x:c r="X281" s="76" t="str">
        <x:v>喜忌只修正功能摩擦与平衡，不是道德标签。</x:v>
      </x:c>
      <x:c r="Y281" s="76" t="str">
        <x:v>不会因为某个十神为忌，就把它直接解释成负面人格。</x:v>
      </x:c>
      <x:c r="Z281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81" s="76" t="str">
        <x:v>高</x:v>
      </x:c>
      <x:c r="AB281" s="76" t="str">
        <x:v>待验证</x:v>
      </x:c>
      <x:c r="AC281" s="76" t="str"/>
      <x:c r="AD281" s="76" t="str">
        <x:v>provisional=true; rule_group=BASE-证据评分与输出; signal=喜忌机械推断</x:v>
      </x:c>
      <x:c r="AE281" s="82" t="str">
        <x:v>0.2</x:v>
      </x:c>
    </x:row>
    <x:row r="282">
      <x:c r="A282" s="81" t="str">
        <x:v>M4-BASE-278</x:v>
      </x:c>
      <x:c r="B282" s="76" t="str">
        <x:v>现实安全问题｜停止常规循环解释</x:v>
      </x:c>
      <x:c r="C282" s="76" t="str">
        <x:v>L8 输出与停止</x:v>
      </x:c>
      <x:c r="D282" s="76" t="str">
        <x:v>BASE-门控停止</x:v>
      </x:c>
      <x:c r="E282" s="76" t="str">
        <x:v>通用</x:v>
      </x:c>
      <x:c r="F282" s="76" t="str">
        <x:v>安全边界</x:v>
      </x:c>
      <x:c r="G282" s="76" t="str">
        <x:v>安全风险</x:v>
      </x:c>
      <x:c r="H282" s="76" t="str"/>
      <x:c r="I282" s="76" t="str">
        <x:v>存在暴力、威胁、强迫、经济控制、跟踪、隔离或明确违法风险。</x:v>
      </x:c>
      <x:c r="J282" s="76" t="str"/>
      <x:c r="K282" s="76" t="str">
        <x:v>由共享基础引擎提供；只修正承载与执行，不直接等同强弱人格。</x:v>
      </x:c>
      <x:c r="L282" s="76" t="str">
        <x:v>由M2接口提供；夫妻星只参与关系议题权重，不单独生成盲点。</x:v>
      </x:c>
      <x:c r="M282" s="76" t="str">
        <x:v>由M3-BASE与共享引擎提供；不得把日支直接写成配偶性格。</x:v>
      </x:c>
      <x:c r="N282" s="76" t="str">
        <x:v>无／待后续规则组合</x:v>
      </x:c>
      <x:c r="O282" s="76" t="str">
        <x:v>由共享基础引擎判定</x:v>
      </x:c>
      <x:c r="P282" s="76" t="str">
        <x:v>由共享基础引擎判定</x:v>
      </x:c>
      <x:c r="Q282" s="76" t="str">
        <x:v>由共享基础引擎判定</x:v>
      </x:c>
      <x:c r="R282" s="76" t="str">
        <x:v>喜忌只修正调用摩擦与平衡，不直接等同好坏。</x:v>
      </x:c>
      <x:c r="S282" s="76" t="str">
        <x:v>原十神性质有效；真合化成立时按化神系统替换。</x:v>
      </x:c>
      <x:c r="T282" s="76" t="str">
        <x:v>由共享基础引擎判定</x:v>
      </x:c>
      <x:c r="U282" s="76" t="str">
        <x:v>100</x:v>
      </x:c>
      <x:c r="V282" s="76" t="str">
        <x:v>STOP；安全优先</x:v>
      </x:c>
      <x:c r="W282" s="76" t="str">
        <x:v>report_status</x:v>
      </x:c>
      <x:c r="X282" s="76" t="str">
        <x:v>现实安全优先，不能用双方循环平均责任。</x:v>
      </x:c>
      <x:c r="Y282" s="76" t="str">
        <x:v>现实安全和责任判断应优先于命理解释。</x:v>
      </x:c>
      <x:c r="Z282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82" s="76" t="str">
        <x:v>高</x:v>
      </x:c>
      <x:c r="AB282" s="76" t="str">
        <x:v>待验证</x:v>
      </x:c>
      <x:c r="AC282" s="76" t="str"/>
      <x:c r="AD282" s="76" t="str">
        <x:v>provisional=true; rule_group=BASE-证据评分与输出; signal=安全风险</x:v>
      </x:c>
      <x:c r="AE282" s="82" t="str">
        <x:v>0.2</x:v>
      </x:c>
    </x:row>
    <x:row r="283">
      <x:c r="A283" s="81" t="str">
        <x:v>M4-BASE-279</x:v>
      </x:c>
      <x:c r="B283" s="76" t="str">
        <x:v>M4-BASE标准输出模板</x:v>
      </x:c>
      <x:c r="C283" s="76" t="str">
        <x:v>L8 输出与停止</x:v>
      </x:c>
      <x:c r="D283" s="76" t="str">
        <x:v>BASE-输出</x:v>
      </x:c>
      <x:c r="E283" s="76" t="str">
        <x:v>通用</x:v>
      </x:c>
      <x:c r="F283" s="76" t="str">
        <x:v>输出</x:v>
      </x:c>
      <x:c r="G283" s="76" t="str">
        <x:v>BASE报告模板</x:v>
      </x:c>
      <x:c r="H283" s="76" t="str"/>
      <x:c r="I283" s="76" t="str">
        <x:v>至少E1成立；功能来源、失衡机制、缺位功能、保护因素和边界说明完整。</x:v>
      </x:c>
      <x:c r="J283" s="76" t="str">
        <x:v>任一关键字段停止或未去重。</x:v>
      </x:c>
      <x:c r="K283" s="76" t="str">
        <x:v>由共享基础引擎提供；只修正承载与执行，不直接等同强弱人格。</x:v>
      </x:c>
      <x:c r="L283" s="76" t="str">
        <x:v>由M2接口提供；夫妻星只参与关系议题权重，不单独生成盲点。</x:v>
      </x:c>
      <x:c r="M283" s="76" t="str">
        <x:v>由M3-BASE与共享引擎提供；不得把日支直接写成配偶性格。</x:v>
      </x:c>
      <x:c r="N283" s="76" t="str">
        <x:v>无／待后续规则组合</x:v>
      </x:c>
      <x:c r="O283" s="76" t="str">
        <x:v>由共享基础引擎判定</x:v>
      </x:c>
      <x:c r="P283" s="76" t="str">
        <x:v>由共享基础引擎判定</x:v>
      </x:c>
      <x:c r="Q283" s="76" t="str">
        <x:v>由共享基础引擎判定</x:v>
      </x:c>
      <x:c r="R283" s="76" t="str">
        <x:v>喜忌只修正调用摩擦与平衡，不直接等同好坏。</x:v>
      </x:c>
      <x:c r="S283" s="76" t="str">
        <x:v>原十神性质有效；真合化成立时按化神系统替换。</x:v>
      </x:c>
      <x:c r="T283" s="76" t="str">
        <x:v>由共享基础引擎判定</x:v>
      </x:c>
      <x:c r="U283" s="76" t="str">
        <x:v>90</x:v>
      </x:c>
      <x:c r="V283" s="76" t="str">
        <x:v>不加分；生成报告</x:v>
      </x:c>
      <x:c r="W283" s="76" t="str">
        <x:v>report_template</x:v>
      </x:c>
      <x:c r="X283" s="76" t="str">
        <x:v>标准顺序：正常功能→失衡条件→缺位功能→保护因素→证据等级与边界。</x:v>
      </x:c>
      <x:c r="Y283" s="76" t="str">
        <x:v>这项反应原本帮助你________。当________时，它可能被用得过多／过少，并让________这一步进入得较晚。命局与现实中若有________，这一候选会减弱。当前证据等级为________，仍需结合具体经历验证。</x:v>
      </x:c>
      <x:c r="Z283" s="76" t="str">
        <x:v>不得仅凭本规则推出自私、冷漠、控制、花心、暴力、人格或依恋问题、分手离婚、背叛或关系失败；本模块只生成结构／触发候选，现实模式需具体事件验证。</x:v>
      </x:c>
      <x:c r="AA283" s="76" t="str">
        <x:v>中高</x:v>
      </x:c>
      <x:c r="AB283" s="76" t="str">
        <x:v>待验证</x:v>
      </x:c>
      <x:c r="AC283" s="76" t="str"/>
      <x:c r="AD283" s="76" t="str">
        <x:v>provisional=true; rule_group=BASE-证据评分与输出; signal=BASE报告模板</x:v>
      </x:c>
      <x:c r="AE283" s="82" t="str">
        <x:v>0.2</x:v>
      </x:c>
    </x:row>
    <x:row r="284">
      <x:c r="A284" s="83" t="str">
        <x:v>M4-BASE-280</x:v>
      </x:c>
      <x:c r="B284" s="84" t="str">
        <x:v>V0.2发布状态｜待验证</x:v>
      </x:c>
      <x:c r="C284" s="84" t="str">
        <x:v>L8 输出与停止</x:v>
      </x:c>
      <x:c r="D284" s="84" t="str">
        <x:v>BASE-输出</x:v>
      </x:c>
      <x:c r="E284" s="84" t="str">
        <x:v>通用</x:v>
      </x:c>
      <x:c r="F284" s="84" t="str">
        <x:v>版本</x:v>
      </x:c>
      <x:c r="G284" s="84" t="str">
        <x:v>validation_status</x:v>
      </x:c>
      <x:c r="H284" s="84" t="str"/>
      <x:c r="I284" s="84" t="str">
        <x:v>M4-BASE V0.2完成结构化规则建设。</x:v>
      </x:c>
      <x:c r="J284" s="84" t="str"/>
      <x:c r="K284" s="84" t="str">
        <x:v>由共享基础引擎提供；只修正承载与执行，不直接等同强弱人格。</x:v>
      </x:c>
      <x:c r="L284" s="84" t="str">
        <x:v>由M2接口提供；夫妻星只参与关系议题权重，不单独生成盲点。</x:v>
      </x:c>
      <x:c r="M284" s="84" t="str">
        <x:v>由M3-BASE与共享引擎提供；不得把日支直接写成配偶性格。</x:v>
      </x:c>
      <x:c r="N284" s="84" t="str">
        <x:v>无／待后续规则组合</x:v>
      </x:c>
      <x:c r="O284" s="84" t="str">
        <x:v>由共享基础引擎判定</x:v>
      </x:c>
      <x:c r="P284" s="84" t="str">
        <x:v>由共享基础引擎判定</x:v>
      </x:c>
      <x:c r="Q284" s="84" t="str">
        <x:v>由共享基础引擎判定</x:v>
      </x:c>
      <x:c r="R284" s="84" t="str">
        <x:v>喜忌只修正调用摩擦与平衡，不直接等同好坏。</x:v>
      </x:c>
      <x:c r="S284" s="84" t="str">
        <x:v>原十神性质有效；真合化成立时按化神系统替换。</x:v>
      </x:c>
      <x:c r="T284" s="84" t="str">
        <x:v>由共享基础引擎判定</x:v>
      </x:c>
      <x:c r="U284" s="84" t="str">
        <x:v>100</x:v>
      </x:c>
      <x:c r="V284" s="84" t="str">
        <x:v>validation_status=待验证</x:v>
      </x:c>
      <x:c r="W284" s="84" t="str">
        <x:v>boundary_note</x:v>
      </x:c>
      <x:c r="X284" s="84" t="str">
        <x:v>所有分值、阈值、路径和用户语言在真实案例校准前保持provisional=true。</x:v>
      </x:c>
      <x:c r="Y284" s="84" t="str">
        <x:v>当前版本可用于结构化分析和学习，但不代表统计准确率。</x:v>
      </x:c>
      <x:c r="Z284" s="84" t="str">
        <x:v>不得仅凭本规则推出自私、冷漠、控制、花心、暴力、人格或依恋问题、分手离婚、背叛或关系失败；本模块只生成结构／触发候选，现实模式需具体事件验证。</x:v>
      </x:c>
      <x:c r="AA284" s="84" t="str">
        <x:v>高</x:v>
      </x:c>
      <x:c r="AB284" s="84" t="str">
        <x:v>待验证</x:v>
      </x:c>
      <x:c r="AC284" s="84" t="str"/>
      <x:c r="AD284" s="84" t="str">
        <x:v>provisional=true; rule_group=BASE-证据评分与输出; signal=validation_status</x:v>
      </x:c>
      <x:c r="AE284" s="85" t="str">
        <x:v>0.2</x:v>
      </x:c>
    </x:row>
  </x:sheetData>
  <x:mergeCells>
    <x:mergeCell ref="A1:AE1"/>
    <x:mergeCell ref="A2:AE2"/>
  </x:mergeCells>
  <x:conditionalFormatting sqref="A5:AE284">
    <x:cfRule type="expression" dxfId="7" priority="1">
      <x:formula>MOD(ROW(),2)=0</x:formula>
    </x:cfRule>
  </x:conditionalFormatting>
  <x:conditionalFormatting sqref="AB5:AB284">
    <x:cfRule type="expression" dxfId="8" priority="2">
      <x:formula>AB5="已验证"</x:formula>
    </x:cfRule>
    <x:cfRule type="expression" dxfId="9" priority="3">
      <x:formula>AB5="需修改"</x:formula>
    </x:cfRule>
    <x:cfRule type="expression" dxfId="10" priority="4">
      <x:formula>AB5="停用"</x:formula>
    </x:cfRule>
  </x:conditionalFormatting>
  <x:dataValidations count="2">
    <x:dataValidation type="list" sqref="AA5:AA284">
      <x:formula1>"高,中高,中,中低,低,停止"</x:formula1>
    </x:dataValidation>
    <x:dataValidation type="list" sqref="AB5:AB284">
      <x:formula1>"草稿,待验证,已验证,需修改,停用"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96446f975f43b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22" hidden="0" customWidth="1"/>
    <x:col min="5" max="5" width="46" hidden="0" customWidth="1"/>
    <x:col min="6" max="6" width="46" hidden="0" customWidth="1"/>
    <x:col min="7" max="7" width="42" hidden="0" customWidth="1"/>
    <x:col min="8" max="8" width="24" hidden="0" customWidth="1"/>
    <x:col min="9" max="9" width="12" hidden="0" customWidth="1"/>
  </x:cols>
  <x:sheetData>
    <x:row r="1" ht="28" customHeight="1">
      <x:c r="A1" s="5" t="str">
        <x:v>高优先级门控、去重、安全与停止规则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分析案例前先查本页。任何STOP命中，都必须阻止后续强结论。</x:v>
      </x:c>
      <x:c r="B2" s="13"/>
      <x:c r="C2" s="13"/>
      <x:c r="D2" s="13"/>
      <x:c r="E2" s="13"/>
      <x:c r="F2" s="13"/>
      <x:c r="G2" s="13"/>
      <x:c r="H2" s="13"/>
      <x:c r="I2" s="13"/>
    </x:row>
    <x:row r="4" ht="28" customHeight="1">
      <x:c r="A4" s="55" t="str">
        <x:v>规则ID</x:v>
      </x:c>
      <x:c r="B4" s="56" t="str">
        <x:v>规则名称</x:v>
      </x:c>
      <x:c r="C4" s="56" t="str">
        <x:v>类型</x:v>
      </x:c>
      <x:c r="D4" s="56" t="str">
        <x:v>主信号</x:v>
      </x:c>
      <x:c r="E4" s="56" t="str">
        <x:v>必要条件</x:v>
      </x:c>
      <x:c r="F4" s="56" t="str">
        <x:v>内部逻辑</x:v>
      </x:c>
      <x:c r="G4" s="56" t="str">
        <x:v>用户解释</x:v>
      </x:c>
      <x:c r="H4" s="56" t="str">
        <x:v>分值/路由</x:v>
      </x:c>
      <x:c r="I4" s="57" t="str">
        <x:v>置信度</x:v>
      </x:c>
    </x:row>
    <x:row r="5">
      <x:c r="A5" s="78" t="str">
        <x:v>M4-BASE-001</x:v>
      </x:c>
      <x:c r="B5" s="79" t="str">
        <x:v>M4-BASE正式定义｜失衡候选底盘</x:v>
      </x:c>
      <x:c r="C5" s="79" t="str">
        <x:v>定义</x:v>
      </x:c>
      <x:c r="D5" s="79" t="str">
        <x:v>M4-BASE模块规则</x:v>
      </x:c>
      <x:c r="E5" s="79" t="str">
        <x:v>M4-BASE被调用；分析对象为M3正常功能在结构层面的过用、不足、替代、错位或转换受阻候选。</x:v>
      </x:c>
      <x:c r="F5" s="79" t="str">
        <x:v>M4-BASE先说明一项关系功能原本有什么作用，再判断它在什么条件下可能失衡；本阶段不建立完整双向循环。</x:v>
      </x:c>
      <x:c r="G5" s="79" t="str">
        <x:v>这一部分先看：你原本用什么方式维持关系，以及这项方式在压力或调节不足时，哪里可能被用得过多、过少或替代了别的任务。</x:v>
      </x:c>
      <x:c r="H5" s="79" t="str">
        <x:v>不加分；定义／路由</x:v>
      </x:c>
      <x:c r="I5" s="80" t="str">
        <x:v>高</x:v>
      </x:c>
    </x:row>
    <x:row r="6">
      <x:c r="A6" s="81" t="str">
        <x:v>M4-BASE-002</x:v>
      </x:c>
      <x:c r="B6" s="76" t="str">
        <x:v>正常功能先行｜禁止坏标签起步</x:v>
      </x:c>
      <x:c r="C6" s="76" t="str">
        <x:v>边界</x:v>
      </x:c>
      <x:c r="D6" s="76" t="str">
        <x:v>正常功能来源</x:v>
      </x:c>
      <x:c r="E6" s="76" t="str">
        <x:v>需要判断某项十神或M3通道的失衡候选。</x:v>
      </x:c>
      <x:c r="F6" s="76" t="str">
        <x:v>任何盲点必须从有效功能出发；若只剩负面标签，则规则不成立。</x:v>
      </x:c>
      <x:c r="G6" s="76" t="str">
        <x:v>这项反应原本有它的功能；只有在特定条件下，它才可能遮住另一项同样重要的关系任务。</x:v>
      </x:c>
      <x:c r="H6" s="76" t="str">
        <x:v>不加分；前置门控</x:v>
      </x:c>
      <x:c r="I6" s="82" t="str">
        <x:v>高</x:v>
      </x:c>
    </x:row>
    <x:row r="7">
      <x:c r="A7" s="81" t="str">
        <x:v>M4-BASE-003</x:v>
      </x:c>
      <x:c r="B7" s="76" t="str">
        <x:v>单一十神禁止生成盲点</x:v>
      </x:c>
      <x:c r="C7" s="76" t="str">
        <x:v>边界</x:v>
      </x:c>
      <x:c r="D7" s="76" t="str">
        <x:v>十神标签</x:v>
      </x:c>
      <x:c r="E7" s="76" t="str">
        <x:v>仅出现某一十神名称、喜忌或旺衰标签。</x:v>
      </x:c>
      <x:c r="F7" s="76" t="str">
        <x:v>十神只定义功能，不独立证明失衡、触发或循环。</x:v>
      </x:c>
      <x:c r="G7" s="76" t="str">
        <x:v>仅凭一个十神，不能把某种关系问题固定下来。</x:v>
      </x:c>
      <x:c r="H7" s="76" t="str">
        <x:v>停止单标签路由</x:v>
      </x:c>
      <x:c r="I7" s="82" t="str">
        <x:v>高</x:v>
      </x:c>
    </x:row>
    <x:row r="8">
      <x:c r="A8" s="81" t="str">
        <x:v>M4-BASE-004</x:v>
      </x:c>
      <x:c r="B8" s="76" t="str">
        <x:v>独立证据门槛</x:v>
      </x:c>
      <x:c r="C8" s="76" t="str">
        <x:v>证据门控</x:v>
      </x:c>
      <x:c r="D8" s="76" t="str">
        <x:v>source_id与跨模块证据</x:v>
      </x:c>
      <x:c r="E8" s="76" t="str">
        <x:v>准备建立E1或E2候选。</x:v>
      </x:c>
      <x:c r="F8" s="76" t="str">
        <x:v>至少两类独立证据才能建立结构候选；解释次数不等于证据数量。</x:v>
      </x:c>
      <x:c r="G8" s="76" t="str">
        <x:v>只有当不同来源的信息彼此支持时，才会把它保留为较明确的关系盲点候选。</x:v>
      </x:c>
      <x:c r="H8" s="76" t="str">
        <x:v>去重后计分</x:v>
      </x:c>
      <x:c r="I8" s="82" t="str">
        <x:v>高</x:v>
      </x:c>
    </x:row>
    <x:row r="9">
      <x:c r="A9" s="81" t="str">
        <x:v>M4-BASE-005</x:v>
      </x:c>
      <x:c r="B9" s="76" t="str">
        <x:v>E1结构候选定义</x:v>
      </x:c>
      <x:c r="C9" s="76" t="str">
        <x:v>证据等级</x:v>
      </x:c>
      <x:c r="D9" s="76" t="str">
        <x:v>E1 STRUCTURAL</x:v>
      </x:c>
      <x:c r="E9" s="76" t="str">
        <x:v>有效功能来源＋明确失衡状态＋一项独立修正证据成立。</x:v>
      </x:c>
      <x:c r="F9" s="76" t="str">
        <x:v>E1只说明结构上可能存在某类失衡，不说明现实中一定发生。</x:v>
      </x:c>
      <x:c r="G9" s="76" t="str">
        <x:v>目前最多可以说，某类相处方式存在被过度调用、调用不足或替代其他功能的候选。</x:v>
      </x:c>
      <x:c r="H9" s="76" t="str">
        <x:v>E1候选</x:v>
      </x:c>
      <x:c r="I9" s="82" t="str">
        <x:v>中高</x:v>
      </x:c>
    </x:row>
    <x:row r="10">
      <x:c r="A10" s="81" t="str">
        <x:v>M4-BASE-006</x:v>
      </x:c>
      <x:c r="B10" s="76" t="str">
        <x:v>E2触发候选定义</x:v>
      </x:c>
      <x:c r="C10" s="76" t="str">
        <x:v>证据等级</x:v>
      </x:c>
      <x:c r="D10" s="76" t="str">
        <x:v>E2 ACTIVATION</x:v>
      </x:c>
      <x:c r="E10" s="76" t="str">
        <x:v>E1成立；另有可识别触发域候选与调节不足／转换受阻证据。</x:v>
      </x:c>
      <x:c r="F10" s="76" t="str">
        <x:v>E2说明在特定情境下失衡反应更容易启动，仍不是现实循环结论。</x:v>
      </x:c>
      <x:c r="G10" s="76" t="str">
        <x:v>当关系进入某类压力或不确定情境时，这种反应更容易被启动，但是否反复仍要结合真实经历。</x:v>
      </x:c>
      <x:c r="H10" s="76" t="str">
        <x:v>E2候选</x:v>
      </x:c>
      <x:c r="I10" s="82" t="str">
        <x:v>中高</x:v>
      </x:c>
    </x:row>
    <x:row r="11">
      <x:c r="A11" s="81" t="str">
        <x:v>M4-BASE-007</x:v>
      </x:c>
      <x:c r="B11" s="76" t="str">
        <x:v>BASE阶段禁止建立完整循环</x:v>
      </x:c>
      <x:c r="C11" s="76" t="str">
        <x:v>边界</x:v>
      </x:c>
      <x:c r="D11" s="76" t="str">
        <x:v>E3 LOOP</x:v>
      </x:c>
      <x:c r="E11" s="76" t="str">
        <x:v>M4-BASE正在运行。</x:v>
      </x:c>
      <x:c r="F11" s="76" t="str">
        <x:v>BASE只建立功能与失衡候选，不能生成完整双向循环。</x:v>
      </x:c>
      <x:c r="G11" s="76" t="str">
        <x:v>这一阶段只识别可能的起点，不把对方的反应和关系结果提前写成定论。</x:v>
      </x:c>
      <x:c r="H11" s="76" t="str">
        <x:v>禁止升级E3</x:v>
      </x:c>
      <x:c r="I11" s="82" t="str">
        <x:v>高</x:v>
      </x:c>
    </x:row>
    <x:row r="12">
      <x:c r="A12" s="81" t="str">
        <x:v>M4-BASE-008</x:v>
      </x:c>
      <x:c r="B12" s="76" t="str">
        <x:v>M3正常功能为功能来源主权威</x:v>
      </x:c>
      <x:c r="C12" s="76" t="str">
        <x:v>输入门控</x:v>
      </x:c>
      <x:c r="D12" s="76" t="str">
        <x:v>M3输出</x:v>
      </x:c>
      <x:c r="E12" s="76" t="str">
        <x:v>M3-BASE／EXPR／CARE／BOUND／CONFLICT至少一项有效输出存在。</x:v>
      </x:c>
      <x:c r="F12" s="76" t="str">
        <x:v>M4必须继承M3的中性功能描述，再判断失衡；不得改写M3。</x:v>
      </x:c>
      <x:c r="G12" s="76" t="str">
        <x:v>模型会先保留你原本有效的相处方式，再检查它在哪些条件下可能出现偏差。</x:v>
      </x:c>
      <x:c r="H12" s="76" t="str">
        <x:v>导入M3；不重复加分</x:v>
      </x:c>
      <x:c r="I12" s="82" t="str">
        <x:v>高</x:v>
      </x:c>
    </x:row>
    <x:row r="13">
      <x:c r="A13" s="81" t="str">
        <x:v>M4-BASE-009</x:v>
      </x:c>
      <x:c r="B13" s="76" t="str">
        <x:v>共享基础引擎输入合同</x:v>
      </x:c>
      <x:c r="C13" s="76" t="str">
        <x:v>输入门控</x:v>
      </x:c>
      <x:c r="D13" s="76" t="str">
        <x:v>共享命理引擎</x:v>
      </x:c>
      <x:c r="E13" s="76" t="str">
        <x:v>排盘、十神、日支藏干、旺衰、根气、喜忌、合化、制化、流向和source_id已标准化。</x:v>
      </x:c>
      <x:c r="F13" s="76" t="str">
        <x:v>M4不重新排盘，不独立裁定合化旺衰，只翻译可靠事实。</x:v>
      </x:c>
      <x:c r="G13" s="76" t="str">
        <x:v>基础状态有争议时，会保留不确定性，不为了完整而硬写关系问题。</x:v>
      </x:c>
      <x:c r="H13" s="76" t="str">
        <x:v>不加分；输入门控</x:v>
      </x:c>
      <x:c r="I13" s="82" t="str">
        <x:v>高</x:v>
      </x:c>
    </x:row>
    <x:row r="14">
      <x:c r="A14" s="81" t="str">
        <x:v>M4-BASE-010</x:v>
      </x:c>
      <x:c r="B14" s="76" t="str">
        <x:v>同源证据只计一次</x:v>
      </x:c>
      <x:c r="C14" s="76" t="str">
        <x:v>去重</x:v>
      </x:c>
      <x:c r="D14" s="76" t="str">
        <x:v>source_id</x:v>
      </x:c>
      <x:c r="E14" s="76" t="str">
        <x:v>同一命理事实被M3多个模块或M4多条规则读取。</x:v>
      </x:c>
      <x:c r="F14" s="76" t="str">
        <x:v>同一source_id只能计算一次基础权重；可多角度解释但不增加独立证据数。</x:v>
      </x:c>
      <x:c r="G14" s="76" t="str">
        <x:v>同一个命理事实不会因为被多个模块解释，就被重复放大。</x:v>
      </x:c>
      <x:c r="H14" s="76" t="str">
        <x:v>同源去重</x:v>
      </x:c>
      <x:c r="I14" s="82" t="str">
        <x:v>高</x:v>
      </x:c>
    </x:row>
    <x:row r="15">
      <x:c r="A15" s="81" t="str">
        <x:v>M4-BASE-011</x:v>
      </x:c>
      <x:c r="B15" s="76" t="str">
        <x:v>现实安全优先</x:v>
      </x:c>
      <x:c r="C15" s="76" t="str">
        <x:v>安全边界</x:v>
      </x:c>
      <x:c r="D15" s="76" t="str">
        <x:v>现实安全事件</x:v>
      </x:c>
      <x:c r="E15" s="76" t="str">
        <x:v>真实关系涉及暴力、威胁、强迫、经济控制、跟踪、隔离或明确人身风险。</x:v>
      </x:c>
      <x:c r="F15" s="76" t="str">
        <x:v>此时停止用互动循环淡化责任，优先现实安全评估与专业支持。</x:v>
      </x:c>
      <x:c r="G15" s="76" t="str">
        <x:v>若现实中已经存在明确伤害或安全风险，应先处理现实安全，不能用命理把责任平均化或合理化。</x:v>
      </x:c>
      <x:c r="H15" s="76" t="str">
        <x:v>STOP；安全优先</x:v>
      </x:c>
      <x:c r="I15" s="82" t="str">
        <x:v>高</x:v>
      </x:c>
    </x:row>
    <x:row r="16">
      <x:c r="A16" s="81" t="str">
        <x:v>M4-BASE-015</x:v>
      </x:c>
      <x:c r="B16" s="76" t="str">
        <x:v>禁止道德裁定</x:v>
      </x:c>
      <x:c r="C16" s="76" t="str">
        <x:v>边界</x:v>
      </x:c>
      <x:c r="D16" s="76" t="str">
        <x:v>道德与责任判断</x:v>
      </x:c>
      <x:c r="E16" s="76" t="str">
        <x:v>M4规则运行。</x:v>
      </x:c>
      <x:c r="F16" s="76" t="str">
        <x:v>M4描述功能和反馈机制，不判断谁是好人坏人或谁更爱。</x:v>
      </x:c>
      <x:c r="G16" s="76" t="str">
        <x:v>这部分只描述自动反应和可能遗漏的信息，不把它解释成品德好坏。</x:v>
      </x:c>
      <x:c r="H16" s="76" t="str">
        <x:v>不加分；语言门控</x:v>
      </x:c>
      <x:c r="I16" s="82" t="str">
        <x:v>高</x:v>
      </x:c>
    </x:row>
    <x:row r="17">
      <x:c r="A17" s="81" t="str">
        <x:v>M4-BASE-018</x:v>
      </x:c>
      <x:c r="B17" s="76" t="str">
        <x:v>压力反应不等于固定人格</x:v>
      </x:c>
      <x:c r="C17" s="76" t="str">
        <x:v>边界</x:v>
      </x:c>
      <x:c r="D17" s="76" t="str">
        <x:v>状态切换</x:v>
      </x:c>
      <x:c r="E17" s="76" t="str">
        <x:v>失衡候选主要在压力或特定阶段出现。</x:v>
      </x:c>
      <x:c r="F17" s="76" t="str">
        <x:v>阶段覆盖或压力状态只能生成触发候选，不得写成终身人格。</x:v>
      </x:c>
      <x:c r="G17" s="76" t="str">
        <x:v>平稳时你可能并不如此；这一反应更可能在压力增加或关系节奏变化时被启动。</x:v>
      </x:c>
      <x:c r="H17" s="76" t="str">
        <x:v>阶段信号不得覆盖原局</x:v>
      </x:c>
      <x:c r="I17" s="82" t="str">
        <x:v>高</x:v>
      </x:c>
    </x:row>
    <x:row r="18">
      <x:c r="A18" s="81" t="str">
        <x:v>M4-BASE-142</x:v>
      </x:c>
      <x:c r="B18" s="76" t="str">
        <x:v>透干｜不得等同问题更严重</x:v>
      </x:c>
      <x:c r="C18" s="76" t="str">
        <x:v>边界</x:v>
      </x:c>
      <x:c r="D18" s="76" t="str">
        <x:v>透干</x:v>
      </x:c>
      <x:c r="E18" s="76" t="str">
        <x:v>准备把透干用于M4判断。</x:v>
      </x:c>
      <x:c r="F18" s="76" t="str">
        <x:v>可见性、强度、重复性和关系后果是不同维度。</x:v>
      </x:c>
      <x:c r="G18" s="76" t="str">
        <x:v>表现得明显，不等于问题一定更严重。</x:v>
      </x:c>
      <x:c r="H18" s="76" t="str">
        <x:v>不加分；语言门控</x:v>
      </x:c>
      <x:c r="I18" s="82" t="str">
        <x:v>高</x:v>
      </x:c>
    </x:row>
    <x:row r="19">
      <x:c r="A19" s="81" t="str">
        <x:v>M4-BASE-147</x:v>
      </x:c>
      <x:c r="B19" s="76" t="str">
        <x:v>旺而平衡｜不自动形成盲点</x:v>
      </x:c>
      <x:c r="C19" s="76" t="str">
        <x:v>状态修正</x:v>
      </x:c>
      <x:c r="D19" s="76" t="str">
        <x:v>旺而平衡</x:v>
      </x:c>
      <x:c r="E19" s="76" t="str">
        <x:v>功能强而有序，有有效制化、通关或分工。</x:v>
      </x:c>
      <x:c r="F19" s="76" t="str">
        <x:v>强功能在平衡状态下可能只是熟练资源，不应因旺而被负面化。</x:v>
      </x:c>
      <x:c r="G19" s="76" t="str">
        <x:v>你可能很常使用这项方式，但只要调节和分工完整，它本身不构成关系问题。</x:v>
      </x:c>
      <x:c r="H19" s="76" t="str">
        <x:v>K01候选不成立或−6</x:v>
      </x:c>
      <x:c r="I19" s="82" t="str">
        <x:v>高</x:v>
      </x:c>
    </x:row>
    <x:row r="20">
      <x:c r="A20" s="81" t="str">
        <x:v>M4-BASE-153</x:v>
      </x:c>
      <x:c r="B20" s="76" t="str">
        <x:v>喜忌未定｜停止喜忌路由</x:v>
      </x:c>
      <x:c r="C20" s="76" t="str">
        <x:v>停止</x:v>
      </x:c>
      <x:c r="D20" s="76" t="str">
        <x:v>喜忌未定</x:v>
      </x:c>
      <x:c r="E20" s="76" t="str">
        <x:v>喜忌结论存在争议或共享引擎未提供。</x:v>
      </x:c>
      <x:c r="F20" s="76" t="str">
        <x:v>M4不得用喜忌未定的信号生成过用、不足或人格结论。</x:v>
      </x:c>
      <x:c r="G20" s="76" t="str">
        <x:v>当前喜忌还不够清楚，因此不会用它来强化或削弱关系盲点判断。</x:v>
      </x:c>
      <x:c r="H20" s="76" t="str">
        <x:v>STOP喜忌加权</x:v>
      </x:c>
      <x:c r="I20" s="82" t="str">
        <x:v>高</x:v>
      </x:c>
    </x:row>
    <x:row r="21">
      <x:c r="A21" s="81" t="str">
        <x:v>M4-BASE-158</x:v>
      </x:c>
      <x:c r="B21" s="76" t="str">
        <x:v>真合化成立｜替换原通道</x:v>
      </x:c>
      <x:c r="C21" s="76" t="str">
        <x:v>替换路由</x:v>
      </x:c>
      <x:c r="D21" s="76" t="str">
        <x:v>真合化成立</x:v>
      </x:c>
      <x:c r="E21" s="76" t="str">
        <x:v>共享引擎确认真合化成立且化神性质可靠。</x:v>
      </x:c>
      <x:c r="F21" s="76" t="str">
        <x:v>原十神功能与失衡基础分清零，按化神所属系统重新判断。</x:v>
      </x:c>
      <x:c r="G21" s="76" t="str">
        <x:v>若真合化成立，原来的十神解释不再继续叠加，而要按照转化后的功能系统重新分析。</x:v>
      </x:c>
      <x:c r="H21" s="76" t="str">
        <x:v>原通道清零；转化神重建</x:v>
      </x:c>
      <x:c r="I21" s="82" t="str">
        <x:v>高</x:v>
      </x:c>
    </x:row>
    <x:row r="22">
      <x:c r="A22" s="81" t="str">
        <x:v>M4-BASE-159</x:v>
      </x:c>
      <x:c r="B22" s="76" t="str">
        <x:v>真合化争议｜停止原通道路由</x:v>
      </x:c>
      <x:c r="C22" s="76" t="str">
        <x:v>停止</x:v>
      </x:c>
      <x:c r="D22" s="76" t="str">
        <x:v>真合化争议</x:v>
      </x:c>
      <x:c r="E22" s="76" t="str">
        <x:v>合化条件存在争议，原功能是否保留无法可靠确定。</x:v>
      </x:c>
      <x:c r="F22" s="76" t="str">
        <x:v>在合化争议解决前，原十神盲点与化神盲点均不得满分输出。</x:v>
      </x:c>
      <x:c r="G22" s="76" t="str">
        <x:v>当前合化状态还不够明确，因此暂不固定这一功能的盲点方向。</x:v>
      </x:c>
      <x:c r="H22" s="76" t="str">
        <x:v>STOP原通道；封顶低</x:v>
      </x:c>
      <x:c r="I22" s="82" t="str">
        <x:v>高</x:v>
      </x:c>
    </x:row>
    <x:row r="23">
      <x:c r="A23" s="81" t="str">
        <x:v>M4-BASE-163</x:v>
      </x:c>
      <x:c r="B23" s="76" t="str">
        <x:v>同一近位事实｜不得重复加权</x:v>
      </x:c>
      <x:c r="C23" s="76" t="str">
        <x:v>去重</x:v>
      </x:c>
      <x:c r="D23" s="76" t="str">
        <x:v>日支主气＋日干日支生克</x:v>
      </x:c>
      <x:c r="E23" s="76" t="str">
        <x:v>日支十神、日干日支关系和M3-BASE底盘来自同一事实。</x:v>
      </x:c>
      <x:c r="F23" s="76" t="str">
        <x:v>三种解释共享source_id，只计一次基础权重。</x:v>
      </x:c>
      <x:c r="G23" s="76" t="str">
        <x:v>同一个日支事实不会因为换了三种说法就被放大。</x:v>
      </x:c>
      <x:c r="H23" s="76" t="str">
        <x:v>同源只计一次</x:v>
      </x:c>
      <x:c r="I23" s="82" t="str">
        <x:v>高</x:v>
      </x:c>
    </x:row>
    <x:row r="24">
      <x:c r="A24" s="81" t="str">
        <x:v>M4-BASE-164</x:v>
      </x:c>
      <x:c r="B24" s="76" t="str">
        <x:v>多透同源｜不增加独立证据数</x:v>
      </x:c>
      <x:c r="C24" s="76" t="str">
        <x:v>去重</x:v>
      </x:c>
      <x:c r="D24" s="76" t="str">
        <x:v>同根多透</x:v>
      </x:c>
      <x:c r="E24" s="76" t="str">
        <x:v>多个透干或模块输出追溯到同一根、同一藏干或同一source_id。</x:v>
      </x:c>
      <x:c r="F24" s="76" t="str">
        <x:v>多次可见可提高显著度，但不能虚增证据独立性。</x:v>
      </x:c>
      <x:c r="G24" s="76" t="str">
        <x:v>这项反应可能更显眼，但仍然只算一个基础来源。</x:v>
      </x:c>
      <x:c r="H24" s="76" t="str">
        <x:v>显著度+2；独立证据不变</x:v>
      </x:c>
      <x:c r="I24" s="82" t="str">
        <x:v>高</x:v>
      </x:c>
    </x:row>
    <x:row r="25">
      <x:c r="A25" s="81" t="str">
        <x:v>M4-BASE-165</x:v>
      </x:c>
      <x:c r="B25" s="76" t="str">
        <x:v>多根同源｜提高重复性不提高来源数</x:v>
      </x:c>
      <x:c r="C25" s="76" t="str">
        <x:v>去重</x:v>
      </x:c>
      <x:c r="D25" s="76" t="str">
        <x:v>同系统多根</x:v>
      </x:c>
      <x:c r="E25" s="76" t="str">
        <x:v>同一系统在多处有根，但来源属于同一功能链。</x:v>
      </x:c>
      <x:c r="F25" s="76" t="str">
        <x:v>多根主要提高跨情境重复性，不自动增加多个盲点。</x:v>
      </x:c>
      <x:c r="G25" s="76" t="str">
        <x:v>这项方式可能更稳定地重复，但不代表同时存在多个不同问题。</x:v>
      </x:c>
      <x:c r="H25" s="76" t="str">
        <x:v>重复性+3；证据数不变</x:v>
      </x:c>
      <x:c r="I25" s="82" t="str">
        <x:v>中高</x:v>
      </x:c>
    </x:row>
    <x:row r="26">
      <x:c r="A26" s="81" t="str">
        <x:v>M4-BASE-169</x:v>
      </x:c>
      <x:c r="B26" s="76" t="str">
        <x:v>M3关键模块停止｜M4对应路由停止</x:v>
      </x:c>
      <x:c r="C26" s="76" t="str">
        <x:v>停止</x:v>
      </x:c>
      <x:c r="D26" s="76" t="str">
        <x:v>M3 STOP</x:v>
      </x:c>
      <x:c r="E26" s="76" t="str">
        <x:v>对应M3功能来源、顺序或边界字段停止。</x:v>
      </x:c>
      <x:c r="F26" s="76" t="str">
        <x:v>M4不得绕过M3停止状态自行制造失衡结论。</x:v>
      </x:c>
      <x:c r="G26" s="76" t="str">
        <x:v>由于前一步的相处功能还无法可靠确定，这一盲点方向暂不固定。</x:v>
      </x:c>
      <x:c r="H26" s="76" t="str">
        <x:v>STOP对应路由</x:v>
      </x:c>
      <x:c r="I26" s="82" t="str">
        <x:v>高</x:v>
      </x:c>
    </x:row>
    <x:row r="27">
      <x:c r="A27" s="81" t="str">
        <x:v>M4-BASE-178</x:v>
      </x:c>
      <x:c r="B27" s="76" t="str">
        <x:v>现实反例｜降权或停止</x:v>
      </x:c>
      <x:c r="C27" s="76" t="str">
        <x:v>案例修正</x:v>
      </x:c>
      <x:c r="D27" s="76" t="str">
        <x:v>明确反例</x:v>
      </x:c>
      <x:c r="E27" s="76" t="str">
        <x:v>有具体关系事件显示该功能在压力下仍能被有效调节，或候选长期不出现。</x:v>
      </x:c>
      <x:c r="F27" s="76" t="str">
        <x:v>反例必须真实扣分，不能为了保留模型忽略。</x:v>
      </x:c>
      <x:c r="G27" s="76" t="str">
        <x:v>若现实经历持续显示你能完成相反的调节步骤，这一候选应明显降级或停止。</x:v>
      </x:c>
      <x:c r="H27" s="76" t="str">
        <x:v>−10或STOP</x:v>
      </x:c>
      <x:c r="I27" s="82" t="str">
        <x:v>高</x:v>
      </x:c>
    </x:row>
    <x:row r="28">
      <x:c r="A28" s="81" t="str">
        <x:v>M4-BASE-179</x:v>
      </x:c>
      <x:c r="B28" s="76" t="str">
        <x:v>对方反馈未知｜不得扩写循环</x:v>
      </x:c>
      <x:c r="C28" s="76" t="str">
        <x:v>边界</x:v>
      </x:c>
      <x:c r="D28" s="76" t="str">
        <x:v>对方反馈缺失</x:v>
      </x:c>
      <x:c r="E28" s="76" t="str">
        <x:v>只有命主自述或命盘结构，没有对方真实反馈。</x:v>
      </x:c>
      <x:c r="F28" s="76" t="str">
        <x:v>BASE最多输出E1/E2，不得假设对方一定防御、撤退、控制或反弹。</x:v>
      </x:c>
      <x:c r="G28" s="76" t="str">
        <x:v>目前只能说明你的可能起点，不能替对方写出固定反应。</x:v>
      </x:c>
      <x:c r="H28" s="76" t="str">
        <x:v>封顶E2</x:v>
      </x:c>
      <x:c r="I28" s="82" t="str">
        <x:v>高</x:v>
      </x:c>
    </x:row>
    <x:row r="29">
      <x:c r="A29" s="81" t="str">
        <x:v>M4-BASE-180</x:v>
      </x:c>
      <x:c r="B29" s="76" t="str">
        <x:v>同源去重日志｜必须记录source_id</x:v>
      </x:c>
      <x:c r="C29" s="76" t="str">
        <x:v>去重</x:v>
      </x:c>
      <x:c r="D29" s="76" t="str">
        <x:v>source_id日志</x:v>
      </x:c>
      <x:c r="E29" s="76" t="str">
        <x:v>任何规则产生加分、减分、封顶或停止。</x:v>
      </x:c>
      <x:c r="F29" s="76" t="str">
        <x:v>所有来源必须写入notes／dedup_log，便于开发和案例追溯。</x:v>
      </x:c>
      <x:c r="G29" s="76" t="str">
        <x:v>每个判断都应能追溯到具体命理事实或现实事件，避免同一信号被重复解释。</x:v>
      </x:c>
      <x:c r="H29" s="76" t="str">
        <x:v>强制记录</x:v>
      </x:c>
      <x:c r="I29" s="82" t="str">
        <x:v>高</x:v>
      </x:c>
    </x:row>
    <x:row r="30">
      <x:c r="A30" s="81" t="str">
        <x:v>M4-BASE-182</x:v>
      </x:c>
      <x:c r="B30" s="76" t="str">
        <x:v>日支主气｜单独不得生成失衡</x:v>
      </x:c>
      <x:c r="C30" s="76" t="str">
        <x:v>边界</x:v>
      </x:c>
      <x:c r="D30" s="76" t="str">
        <x:v>日支主气</x:v>
      </x:c>
      <x:c r="E30" s="76" t="str">
        <x:v>只有日支主气事实，没有强弱失衡、通道不足或独立修正。</x:v>
      </x:c>
      <x:c r="F30" s="76" t="str">
        <x:v>日支主气只是关系底盘，不等于核心问题。</x:v>
      </x:c>
      <x:c r="G30" s="76" t="str">
        <x:v>仅凭日支主气，不能把某种相处方式写成关系盲点。</x:v>
      </x:c>
      <x:c r="H30" s="76" t="str">
        <x:v>不成立E1</x:v>
      </x:c>
      <x:c r="I30" s="82" t="str">
        <x:v>高</x:v>
      </x:c>
    </x:row>
    <x:row r="31">
      <x:c r="A31" s="81" t="str">
        <x:v>M4-BASE-188</x:v>
      </x:c>
      <x:c r="B31" s="76" t="str">
        <x:v>日支余气｜不得单独成为主盲点</x:v>
      </x:c>
      <x:c r="C31" s="76" t="str">
        <x:v>边界</x:v>
      </x:c>
      <x:c r="D31" s="76" t="str">
        <x:v>日支余气</x:v>
      </x:c>
      <x:c r="E31" s="76" t="str">
        <x:v>只有余气一处信号，没有独立根气、透出或现实行为。</x:v>
      </x:c>
      <x:c r="F31" s="76" t="str">
        <x:v>余气单独不足以建立E1结构候选。</x:v>
      </x:c>
      <x:c r="G31" s="76" t="str">
        <x:v>仅凭余气，不会把某种关系问题固定为核心盲点。</x:v>
      </x:c>
      <x:c r="H31" s="76" t="str">
        <x:v>STOP主候选</x:v>
      </x:c>
      <x:c r="I31" s="82" t="str">
        <x:v>高</x:v>
      </x:c>
    </x:row>
    <x:row r="32">
      <x:c r="A32" s="81" t="str">
        <x:v>M4-BASE-191</x:v>
      </x:c>
      <x:c r="B32" s="76" t="str">
        <x:v>日支多藏干｜不等于关系复杂</x:v>
      </x:c>
      <x:c r="C32" s="76" t="str">
        <x:v>边界</x:v>
      </x:c>
      <x:c r="D32" s="76" t="str">
        <x:v>日支多藏干</x:v>
      </x:c>
      <x:c r="E32" s="76" t="str">
        <x:v>日支存在主气、中气、余气多个藏干。</x:v>
      </x:c>
      <x:c r="F32" s="76" t="str">
        <x:v>多藏干只表示多个功能层级共存，必须按主次与独立性排序。</x:v>
      </x:c>
      <x:c r="G32" s="76" t="str">
        <x:v>多个藏干不等于感情复杂；它们只是不同层级的关系功能，需要先判断谁主谁次。</x:v>
      </x:c>
      <x:c r="H32" s="76" t="str">
        <x:v>不加分；排序门控</x:v>
      </x:c>
      <x:c r="I32" s="82" t="str">
        <x:v>高</x:v>
      </x:c>
    </x:row>
    <x:row r="33">
      <x:c r="A33" s="81" t="str">
        <x:v>M4-BASE-192</x:v>
      </x:c>
      <x:c r="B33" s="76" t="str">
        <x:v>主中同系统｜同义收敛</x:v>
      </x:c>
      <x:c r="C33" s="76" t="str">
        <x:v>去重</x:v>
      </x:c>
      <x:c r="D33" s="76" t="str">
        <x:v>主气＋中气同系统</x:v>
      </x:c>
      <x:c r="E33" s="76" t="str">
        <x:v>主气与中气属于同一五系统，且功能语义高度重合。</x:v>
      </x:c>
      <x:c r="F33" s="76" t="str">
        <x:v>同系统信号先收敛为一个功能系统，不能重复制造两个盲点。</x:v>
      </x:c>
      <x:c r="G33" s="76" t="str">
        <x:v>如果主气和中气都在强调同一类功能，会先合并理解，不重复写成两个问题。</x:v>
      </x:c>
      <x:c r="H33" s="76" t="str">
        <x:v>同义收敛；取较高值</x:v>
      </x:c>
      <x:c r="I33" s="82" t="str">
        <x:v>高</x:v>
      </x:c>
    </x:row>
    <x:row r="34">
      <x:c r="A34" s="81" t="str">
        <x:v>M4-BASE-195</x:v>
      </x:c>
      <x:c r="B34" s="76" t="str">
        <x:v>双功能共存｜不自动双盲点</x:v>
      </x:c>
      <x:c r="C34" s="76" t="str">
        <x:v>边界</x:v>
      </x:c>
      <x:c r="D34" s="76" t="str">
        <x:v>两项有效功能</x:v>
      </x:c>
      <x:c r="E34" s="76" t="str">
        <x:v>主气与次功能均有效。</x:v>
      </x:c>
      <x:c r="F34" s="76" t="str">
        <x:v>两项功能可能形成分工、桥接或保护，不自动等于两个问题。</x:v>
      </x:c>
      <x:c r="G34" s="76" t="str">
        <x:v>两种功能同时存在，可能是互补而不是冲突；会先检查它们是否能分工和通关。</x:v>
      </x:c>
      <x:c r="H34" s="76" t="str">
        <x:v>不加分；先查buffer</x:v>
      </x:c>
      <x:c r="I34" s="82" t="str">
        <x:v>高</x:v>
      </x:c>
    </x:row>
    <x:row r="35">
      <x:c r="A35" s="81" t="str">
        <x:v>M4-BASE-197</x:v>
      </x:c>
      <x:c r="B35" s="76" t="str">
        <x:v>夫妻星入宫｜同源去重</x:v>
      </x:c>
      <x:c r="C35" s="76" t="str">
        <x:v>去重</x:v>
      </x:c>
      <x:c r="D35" s="76" t="str">
        <x:v>夫妻星＋日支</x:v>
      </x:c>
      <x:c r="E35" s="76" t="str">
        <x:v>同一夫妻星入宫事实被M2、M3和M4多次读取。</x:v>
      </x:c>
      <x:c r="F35" s="76" t="str">
        <x:v>只计算一次基础事实；跨模型一致只能说明连续性。</x:v>
      </x:c>
      <x:c r="G35" s="76" t="str">
        <x:v>同一个夫妻星入宫事实不会因为在多个模型中出现就被重复放大。</x:v>
      </x:c>
      <x:c r="H35" s="76" t="str">
        <x:v>source_id只计一次</x:v>
      </x:c>
      <x:c r="I35" s="82" t="str">
        <x:v>高</x:v>
      </x:c>
    </x:row>
    <x:row r="36">
      <x:c r="A36" s="81" t="str">
        <x:v>M4-BASE-198</x:v>
      </x:c>
      <x:c r="B36" s="76" t="str">
        <x:v>日干日支生克｜与日支十神去重</x:v>
      </x:c>
      <x:c r="C36" s="76" t="str">
        <x:v>去重</x:v>
      </x:c>
      <x:c r="D36" s="76" t="str">
        <x:v>日干日支关系</x:v>
      </x:c>
      <x:c r="E36" s="76" t="str">
        <x:v>日干日支生克、日支十神和M3五系统映射来自同一关系。</x:v>
      </x:c>
      <x:c r="F36" s="76" t="str">
        <x:v>三者是同一事实的不同解释层，只计一次。</x:v>
      </x:c>
      <x:c r="G36" s="76" t="str">
        <x:v>同一个日柱关系不会因为换成五行、生克和十神三种说法就变成三份证据。</x:v>
      </x:c>
      <x:c r="H36" s="76" t="str">
        <x:v>同源去重</x:v>
      </x:c>
      <x:c r="I36" s="82" t="str">
        <x:v>高</x:v>
      </x:c>
    </x:row>
    <x:row r="37">
      <x:c r="A37" s="81" t="str">
        <x:v>M4-BASE-200</x:v>
      </x:c>
      <x:c r="B37" s="76" t="str">
        <x:v>夫妻宫基础状态争议｜停止主轴</x:v>
      </x:c>
      <x:c r="C37" s="76" t="str">
        <x:v>停止</x:v>
      </x:c>
      <x:c r="D37" s="76" t="str">
        <x:v>日支／夫妻宫争议</x:v>
      </x:c>
      <x:c r="E37" s="76" t="str">
        <x:v>日支藏干、十神、真合化或宫位动态结论存在关键争议。</x:v>
      </x:c>
      <x:c r="F37" s="76" t="str">
        <x:v>M4-BASE不得在关系核心事实未定时固定主功能或主盲点。</x:v>
      </x:c>
      <x:c r="G37" s="76" t="str">
        <x:v>当前夫妻宫基础状态还不够清楚，因此主盲点暂不固定。</x:v>
      </x:c>
      <x:c r="H37" s="76" t="str">
        <x:v>STOP主轴；封顶低</x:v>
      </x:c>
      <x:c r="I37" s="82" t="str">
        <x:v>高</x:v>
      </x:c>
    </x:row>
    <x:row r="38">
      <x:c r="A38" s="81" t="str">
        <x:v>M4-BASE-204</x:v>
      </x:c>
      <x:c r="B38" s="76" t="str">
        <x:v>日支合｜禁止单独生成盲点</x:v>
      </x:c>
      <x:c r="C38" s="76" t="str">
        <x:v>停止</x:v>
      </x:c>
      <x:c r="D38" s="76" t="str">
        <x:v>日支合</x:v>
      </x:c>
      <x:c r="E38" s="76" t="str">
        <x:v>当前只有日支合一项事实，没有正常功能来源、失衡机制或独立证据。</x:v>
      </x:c>
      <x:c r="F38" s="76" t="str">
        <x:v>合只修正触发、切换或整合节奏，不能单独生成B01—B15。</x:v>
      </x:c>
      <x:c r="G38" s="76" t="str">
        <x:v>仅凭“合”这一结构，不能判断具体关系问题。</x:v>
      </x:c>
      <x:c r="H38" s="76" t="str">
        <x:v>STOP动态单独路由</x:v>
      </x:c>
      <x:c r="I38" s="82" t="str">
        <x:v>高</x:v>
      </x:c>
    </x:row>
    <x:row r="39">
      <x:c r="A39" s="81" t="str">
        <x:v>M4-BASE-209</x:v>
      </x:c>
      <x:c r="B39" s="76" t="str">
        <x:v>日支冲｜禁止单独生成盲点</x:v>
      </x:c>
      <x:c r="C39" s="76" t="str">
        <x:v>停止</x:v>
      </x:c>
      <x:c r="D39" s="76" t="str">
        <x:v>日支冲</x:v>
      </x:c>
      <x:c r="E39" s="76" t="str">
        <x:v>当前只有日支冲一项事实，没有正常功能来源、失衡机制或独立证据。</x:v>
      </x:c>
      <x:c r="F39" s="76" t="str">
        <x:v>冲只修正触发、切换或整合节奏，不能单独生成B01—B15。</x:v>
      </x:c>
      <x:c r="G39" s="76" t="str">
        <x:v>仅凭“冲”这一结构，不能判断具体关系问题。</x:v>
      </x:c>
      <x:c r="H39" s="76" t="str">
        <x:v>STOP动态单独路由</x:v>
      </x:c>
      <x:c r="I39" s="82" t="str">
        <x:v>高</x:v>
      </x:c>
    </x:row>
    <x:row r="40">
      <x:c r="A40" s="81" t="str">
        <x:v>M4-BASE-214</x:v>
      </x:c>
      <x:c r="B40" s="76" t="str">
        <x:v>日支刑｜禁止单独生成盲点</x:v>
      </x:c>
      <x:c r="C40" s="76" t="str">
        <x:v>停止</x:v>
      </x:c>
      <x:c r="D40" s="76" t="str">
        <x:v>日支刑</x:v>
      </x:c>
      <x:c r="E40" s="76" t="str">
        <x:v>当前只有日支刑一项事实，没有正常功能来源、失衡机制或独立证据。</x:v>
      </x:c>
      <x:c r="F40" s="76" t="str">
        <x:v>刑只修正触发、切换或整合节奏，不能单独生成B01—B15。</x:v>
      </x:c>
      <x:c r="G40" s="76" t="str">
        <x:v>仅凭“刑”这一结构，不能判断具体关系问题。</x:v>
      </x:c>
      <x:c r="H40" s="76" t="str">
        <x:v>STOP动态单独路由</x:v>
      </x:c>
      <x:c r="I40" s="82" t="str">
        <x:v>高</x:v>
      </x:c>
    </x:row>
    <x:row r="41">
      <x:c r="A41" s="81" t="str">
        <x:v>M4-BASE-219</x:v>
      </x:c>
      <x:c r="B41" s="76" t="str">
        <x:v>日支害｜禁止单独生成盲点</x:v>
      </x:c>
      <x:c r="C41" s="76" t="str">
        <x:v>停止</x:v>
      </x:c>
      <x:c r="D41" s="76" t="str">
        <x:v>日支害</x:v>
      </x:c>
      <x:c r="E41" s="76" t="str">
        <x:v>当前只有日支害一项事实，没有正常功能来源、失衡机制或独立证据。</x:v>
      </x:c>
      <x:c r="F41" s="76" t="str">
        <x:v>害只修正触发、切换或整合节奏，不能单独生成B01—B15。</x:v>
      </x:c>
      <x:c r="G41" s="76" t="str">
        <x:v>仅凭“害”这一结构，不能判断具体关系问题。</x:v>
      </x:c>
      <x:c r="H41" s="76" t="str">
        <x:v>STOP动态单独路由</x:v>
      </x:c>
      <x:c r="I41" s="82" t="str">
        <x:v>高</x:v>
      </x:c>
    </x:row>
    <x:row r="42">
      <x:c r="A42" s="81" t="str">
        <x:v>M4-BASE-224</x:v>
      </x:c>
      <x:c r="B42" s="76" t="str">
        <x:v>日支破｜禁止单独生成盲点</x:v>
      </x:c>
      <x:c r="C42" s="76" t="str">
        <x:v>停止</x:v>
      </x:c>
      <x:c r="D42" s="76" t="str">
        <x:v>日支破</x:v>
      </x:c>
      <x:c r="E42" s="76" t="str">
        <x:v>当前只有日支破一项事实，没有正常功能来源、失衡机制或独立证据。</x:v>
      </x:c>
      <x:c r="F42" s="76" t="str">
        <x:v>破只修正触发、切换或整合节奏，不能单独生成B01—B15。</x:v>
      </x:c>
      <x:c r="G42" s="76" t="str">
        <x:v>仅凭“破”这一结构，不能判断具体关系问题。</x:v>
      </x:c>
      <x:c r="H42" s="76" t="str">
        <x:v>STOP动态单独路由</x:v>
      </x:c>
      <x:c r="I42" s="82" t="str">
        <x:v>高</x:v>
      </x:c>
    </x:row>
    <x:row r="43">
      <x:c r="A43" s="81" t="str">
        <x:v>M4-BASE-229</x:v>
      </x:c>
      <x:c r="B43" s="76" t="str">
        <x:v>M3-BASE接口｜同源去重</x:v>
      </x:c>
      <x:c r="C43" s="76" t="str">
        <x:v>去重</x:v>
      </x:c>
      <x:c r="D43" s="76" t="str">
        <x:v>M3-BASE</x:v>
      </x:c>
      <x:c r="E43" s="76" t="str">
        <x:v>M3-BASE多个字段或M4规则追溯到同一命理事实。</x:v>
      </x:c>
      <x:c r="F43" s="76" t="str">
        <x:v>M3-BASE字段可支持M4解释，但不能因同一日支或同一十神在多个输出槽位出现就重复加分。</x:v>
      </x:c>
      <x:c r="G43" s="76" t="str">
        <x:v>同一个相处事实不会因为被表达、照顾、边界或分歧模块分别提到，就自动变成多份证据。</x:v>
      </x:c>
      <x:c r="H43" s="76" t="str">
        <x:v>同源只计一次；语义可多角度解释</x:v>
      </x:c>
      <x:c r="I43" s="82" t="str">
        <x:v>高</x:v>
      </x:c>
    </x:row>
    <x:row r="44">
      <x:c r="A44" s="81" t="str">
        <x:v>M4-BASE-234</x:v>
      </x:c>
      <x:c r="B44" s="76" t="str">
        <x:v>M3-EXPR接口｜同源去重</x:v>
      </x:c>
      <x:c r="C44" s="76" t="str">
        <x:v>去重</x:v>
      </x:c>
      <x:c r="D44" s="76" t="str">
        <x:v>M3-EXPR</x:v>
      </x:c>
      <x:c r="E44" s="76" t="str">
        <x:v>M3-EXPR多个字段或M4规则追溯到同一命理事实。</x:v>
      </x:c>
      <x:c r="F44" s="76" t="str">
        <x:v>M3-EXPR字段可支持M4解释，但不能因同一日支或同一十神在多个输出槽位出现就重复加分。</x:v>
      </x:c>
      <x:c r="G44" s="76" t="str">
        <x:v>同一个相处事实不会因为被表达、照顾、边界或分歧模块分别提到，就自动变成多份证据。</x:v>
      </x:c>
      <x:c r="H44" s="76" t="str">
        <x:v>同源只计一次；语义可多角度解释</x:v>
      </x:c>
      <x:c r="I44" s="82" t="str">
        <x:v>高</x:v>
      </x:c>
    </x:row>
    <x:row r="45">
      <x:c r="A45" s="81" t="str">
        <x:v>M4-BASE-239</x:v>
      </x:c>
      <x:c r="B45" s="76" t="str">
        <x:v>M3-CARE接口｜同源去重</x:v>
      </x:c>
      <x:c r="C45" s="76" t="str">
        <x:v>去重</x:v>
      </x:c>
      <x:c r="D45" s="76" t="str">
        <x:v>M3-CARE</x:v>
      </x:c>
      <x:c r="E45" s="76" t="str">
        <x:v>M3-CARE多个字段或M4规则追溯到同一命理事实。</x:v>
      </x:c>
      <x:c r="F45" s="76" t="str">
        <x:v>M3-CARE字段可支持M4解释，但不能因同一日支或同一十神在多个输出槽位出现就重复加分。</x:v>
      </x:c>
      <x:c r="G45" s="76" t="str">
        <x:v>同一个相处事实不会因为被表达、照顾、边界或分歧模块分别提到，就自动变成多份证据。</x:v>
      </x:c>
      <x:c r="H45" s="76" t="str">
        <x:v>同源只计一次；语义可多角度解释</x:v>
      </x:c>
      <x:c r="I45" s="82" t="str">
        <x:v>高</x:v>
      </x:c>
    </x:row>
    <x:row r="46">
      <x:c r="A46" s="81" t="str">
        <x:v>M4-BASE-244</x:v>
      </x:c>
      <x:c r="B46" s="76" t="str">
        <x:v>M3-BOUND接口｜同源去重</x:v>
      </x:c>
      <x:c r="C46" s="76" t="str">
        <x:v>去重</x:v>
      </x:c>
      <x:c r="D46" s="76" t="str">
        <x:v>M3-BOUND</x:v>
      </x:c>
      <x:c r="E46" s="76" t="str">
        <x:v>M3-BOUND多个字段或M4规则追溯到同一命理事实。</x:v>
      </x:c>
      <x:c r="F46" s="76" t="str">
        <x:v>M3-BOUND字段可支持M4解释，但不能因同一日支或同一十神在多个输出槽位出现就重复加分。</x:v>
      </x:c>
      <x:c r="G46" s="76" t="str">
        <x:v>同一个相处事实不会因为被表达、照顾、边界或分歧模块分别提到，就自动变成多份证据。</x:v>
      </x:c>
      <x:c r="H46" s="76" t="str">
        <x:v>同源只计一次；语义可多角度解释</x:v>
      </x:c>
      <x:c r="I46" s="82" t="str">
        <x:v>高</x:v>
      </x:c>
    </x:row>
    <x:row r="47">
      <x:c r="A47" s="81" t="str">
        <x:v>M4-BASE-249</x:v>
      </x:c>
      <x:c r="B47" s="76" t="str">
        <x:v>M3-CONFLICT接口｜同源去重</x:v>
      </x:c>
      <x:c r="C47" s="76" t="str">
        <x:v>去重</x:v>
      </x:c>
      <x:c r="D47" s="76" t="str">
        <x:v>M3-CONFLICT</x:v>
      </x:c>
      <x:c r="E47" s="76" t="str">
        <x:v>M3-CONFLICT多个字段或M4规则追溯到同一命理事实。</x:v>
      </x:c>
      <x:c r="F47" s="76" t="str">
        <x:v>M3-CONFLICT字段可支持M4解释，但不能因同一日支或同一十神在多个输出槽位出现就重复加分。</x:v>
      </x:c>
      <x:c r="G47" s="76" t="str">
        <x:v>同一个相处事实不会因为被表达、照顾、边界或分歧模块分别提到，就自动变成多份证据。</x:v>
      </x:c>
      <x:c r="H47" s="76" t="str">
        <x:v>同源只计一次；语义可多角度解释</x:v>
      </x:c>
      <x:c r="I47" s="82" t="str">
        <x:v>高</x:v>
      </x:c>
    </x:row>
    <x:row r="48">
      <x:c r="A48" s="81" t="str">
        <x:v>M4-BASE-251</x:v>
      </x:c>
      <x:c r="B48" s="76" t="str">
        <x:v>E0停止｜基础状态不明</x:v>
      </x:c>
      <x:c r="C48" s="76" t="str">
        <x:v>证据等级</x:v>
      </x:c>
      <x:c r="D48" s="76" t="str">
        <x:v>E0 STOP</x:v>
      </x:c>
      <x:c r="E48" s="76" t="str">
        <x:v>基础十神、M3正常功能、真合化、旺衰或source_id存在关键争议。</x:v>
      </x:c>
      <x:c r="F48" s="76" t="str">
        <x:v>关键基础未确定时，M4-BASE停止生成固定功能与失衡候选。</x:v>
      </x:c>
      <x:c r="G48" s="76" t="str">
        <x:v>当前基础状态仍有争议，因此暂不把某种反应固定为关系盲点。</x:v>
      </x:c>
      <x:c r="H48" s="76" t="str">
        <x:v>STOP</x:v>
      </x:c>
      <x:c r="I48" s="82" t="str">
        <x:v>高</x:v>
      </x:c>
    </x:row>
    <x:row r="49">
      <x:c r="A49" s="81" t="str">
        <x:v>M4-BASE-252</x:v>
      </x:c>
      <x:c r="B49" s="76" t="str">
        <x:v>E1结构候选｜成立公式</x:v>
      </x:c>
      <x:c r="C49" s="76" t="str">
        <x:v>证据等级</x:v>
      </x:c>
      <x:c r="D49" s="76" t="str">
        <x:v>E1 STRUCTURAL</x:v>
      </x:c>
      <x:c r="E49" s="76" t="str">
        <x:v>有效功能来源＋明确失衡方式＋一项独立修正证据；总分达到初始门槛。</x:v>
      </x:c>
      <x:c r="F49" s="76" t="str">
        <x:v>E1只证明结构候选，不说明现实已发生。</x:v>
      </x:c>
      <x:c r="G49" s="76" t="str">
        <x:v>目前可以保留一个结构候选：某项有效方式在特定条件下可能被过用、调用不足或替代其他功能。</x:v>
      </x:c>
      <x:c r="H49" s="76" t="str">
        <x:v>E1 if score≥18</x:v>
      </x:c>
      <x:c r="I49" s="82" t="str">
        <x:v>中高</x:v>
      </x:c>
    </x:row>
    <x:row r="50">
      <x:c r="A50" s="81" t="str">
        <x:v>M4-BASE-254</x:v>
      </x:c>
      <x:c r="B50" s="76" t="str">
        <x:v>BASE阶段禁止E3升级</x:v>
      </x:c>
      <x:c r="C50" s="76" t="str">
        <x:v>边界</x:v>
      </x:c>
      <x:c r="D50" s="76" t="str">
        <x:v>E3 LOOP</x:v>
      </x:c>
      <x:c r="E50" s="76" t="str">
        <x:v>M4-BASE模块正在生成结果。</x:v>
      </x:c>
      <x:c r="F50" s="76" t="str">
        <x:v>BASE不拥有loop_path字段的最终权威。</x:v>
      </x:c>
      <x:c r="G50" s="76" t="str">
        <x:v>目前只能说明可能的起点，不能替双方写出完整循环。</x:v>
      </x:c>
      <x:c r="H50" s="76" t="str">
        <x:v>cap E2</x:v>
      </x:c>
      <x:c r="I50" s="82" t="str">
        <x:v>高</x:v>
      </x:c>
    </x:row>
    <x:row r="51">
      <x:c r="A51" s="81" t="str">
        <x:v>M4-BASE-255</x:v>
      </x:c>
      <x:c r="B51" s="76" t="str">
        <x:v>E4现实确认必须来自案例</x:v>
      </x:c>
      <x:c r="C51" s="76" t="str">
        <x:v>边界</x:v>
      </x:c>
      <x:c r="D51" s="76" t="str">
        <x:v>E4 CONFIRMED</x:v>
      </x:c>
      <x:c r="E51" s="76" t="str">
        <x:v>准备将候选升级为已验证模式。</x:v>
      </x:c>
      <x:c r="F51" s="76" t="str">
        <x:v>E4必须由至少两次具体事件和当事人／伴侣反馈支持，不能靠命盘分数。</x:v>
      </x:c>
      <x:c r="G51" s="76" t="str">
        <x:v>只有当多个现实经历反复支持同一顺序，才可以称为已验证模式。</x:v>
      </x:c>
      <x:c r="H51" s="76" t="str">
        <x:v>BASE不得升级E4</x:v>
      </x:c>
      <x:c r="I51" s="82" t="str">
        <x:v>高</x:v>
      </x:c>
    </x:row>
    <x:row r="52">
      <x:c r="A52" s="81" t="str">
        <x:v>M4-BASE-263</x:v>
      </x:c>
      <x:c r="B52" s="76" t="str">
        <x:v>明确现实反例扣分</x:v>
      </x:c>
      <x:c r="C52" s="76" t="str">
        <x:v>评分</x:v>
      </x:c>
      <x:c r="D52" s="76" t="str">
        <x:v>counterevidence</x:v>
      </x:c>
      <x:c r="E52" s="76" t="str">
        <x:v>至少一个具体事件清楚显示候选不成立或能被稳定中断。</x:v>
      </x:c>
      <x:c r="F52" s="76" t="str">
        <x:v>反例可大幅降权或停止对应候选。</x:v>
      </x:c>
      <x:c r="G52" s="76" t="str">
        <x:v>现实经历若持续显示相反结果，会优先修正规则而不是忽略反例。</x:v>
      </x:c>
      <x:c r="H52" s="76" t="str">
        <x:v>−10或STOP</x:v>
      </x:c>
      <x:c r="I52" s="82" t="str">
        <x:v>高</x:v>
      </x:c>
    </x:row>
    <x:row r="53">
      <x:c r="A53" s="81" t="str">
        <x:v>M4-BASE-264</x:v>
      </x:c>
      <x:c r="B53" s="76" t="str">
        <x:v>基础争议置信封顶</x:v>
      </x:c>
      <x:c r="C53" s="76" t="str">
        <x:v>置信度</x:v>
      </x:c>
      <x:c r="D53" s="76" t="str">
        <x:v>基础争议</x:v>
      </x:c>
      <x:c r="E53" s="76" t="str">
        <x:v>旺衰、根气、主次、合化或M3接口存在一项未解决争议。</x:v>
      </x:c>
      <x:c r="F53" s="76" t="str">
        <x:v>基础争议时总体置信度封顶中低，必要时E0停止。</x:v>
      </x:c>
      <x:c r="G53" s="76" t="str">
        <x:v>基础判断还不够稳定时，结论只能保留为低置信候选。</x:v>
      </x:c>
      <x:c r="H53" s="76" t="str">
        <x:v>confidence cap 中低</x:v>
      </x:c>
      <x:c r="I53" s="82" t="str">
        <x:v>高</x:v>
      </x:c>
    </x:row>
    <x:row r="54">
      <x:c r="A54" s="81" t="str">
        <x:v>M4-BASE-269</x:v>
      </x:c>
      <x:c r="B54" s="76" t="str">
        <x:v>一主一辅输出封顶</x:v>
      </x:c>
      <x:c r="C54" s="76" t="str">
        <x:v>输出边界</x:v>
      </x:c>
      <x:c r="D54" s="76" t="str">
        <x:v>primary＋secondary</x:v>
      </x:c>
      <x:c r="E54" s="76" t="str">
        <x:v>存在多个候选。</x:v>
      </x:c>
      <x:c r="F54" s="76" t="str">
        <x:v>最终正文最多一个主机制、一个次机制、一个缺位功能和一个保护因素。</x:v>
      </x:c>
      <x:c r="G54" s="76" t="str">
        <x:v>分析会保留重点，不把所有潜在问题都堆给用户。</x:v>
      </x:c>
      <x:c r="H54" s="76" t="str">
        <x:v>正文封顶</x:v>
      </x:c>
      <x:c r="I54" s="82" t="str">
        <x:v>高</x:v>
      </x:c>
    </x:row>
    <x:row r="55">
      <x:c r="A55" s="81" t="str">
        <x:v>M4-BASE-272</x:v>
      </x:c>
      <x:c r="B55" s="76" t="str">
        <x:v>同源去重发布门控</x:v>
      </x:c>
      <x:c r="C55" s="76" t="str">
        <x:v>去重</x:v>
      </x:c>
      <x:c r="D55" s="76" t="str">
        <x:v>dedup_log</x:v>
      </x:c>
      <x:c r="E55" s="76" t="str">
        <x:v>准备计算总分或发布候选。</x:v>
      </x:c>
      <x:c r="F55" s="76" t="str">
        <x:v>去重未完成时不得发布。</x:v>
      </x:c>
      <x:c r="G55" s="76" t="str">
        <x:v>只有完成来源核对后，才会给出置信度。</x:v>
      </x:c>
      <x:c r="H55" s="76" t="str">
        <x:v>未去重则STOP</x:v>
      </x:c>
      <x:c r="I55" s="82" t="str">
        <x:v>高</x:v>
      </x:c>
    </x:row>
    <x:row r="56">
      <x:c r="A56" s="81" t="str">
        <x:v>M4-BASE-273</x:v>
      </x:c>
      <x:c r="B56" s="76" t="str">
        <x:v>M3功能未定｜停止</x:v>
      </x:c>
      <x:c r="C56" s="76" t="str">
        <x:v>停止</x:v>
      </x:c>
      <x:c r="D56" s="76" t="str">
        <x:v>M3功能来源未定</x:v>
      </x:c>
      <x:c r="E56" s="76" t="str">
        <x:v>对应M3模块停止或正常功能无法可靠确定。</x:v>
      </x:c>
      <x:c r="F56" s="76" t="str">
        <x:v>没有正常功能，就无法判断它怎样失衡。</x:v>
      </x:c>
      <x:c r="G56" s="76" t="str">
        <x:v>前一步的相处方式还无法确定，因此这一盲点暂不判断。</x:v>
      </x:c>
      <x:c r="H56" s="76" t="str">
        <x:v>STOP</x:v>
      </x:c>
      <x:c r="I56" s="82" t="str">
        <x:v>高</x:v>
      </x:c>
    </x:row>
    <x:row r="57">
      <x:c r="A57" s="81" t="str">
        <x:v>M4-BASE-274</x:v>
      </x:c>
      <x:c r="B57" s="76" t="str">
        <x:v>真合化未定｜停止</x:v>
      </x:c>
      <x:c r="C57" s="76" t="str">
        <x:v>停止</x:v>
      </x:c>
      <x:c r="D57" s="76" t="str">
        <x:v>真合化未定</x:v>
      </x:c>
      <x:c r="E57" s="76" t="str">
        <x:v>原十神是否保留与化神是否成立存在关键争议。</x:v>
      </x:c>
      <x:c r="F57" s="76" t="str">
        <x:v>在替换路由未确定前，原功能与化神功能均不得作为主轴。</x:v>
      </x:c>
      <x:c r="G57" s="76" t="str">
        <x:v>合化状态不清时，不会同时保留两套互相冲突的解释。</x:v>
      </x:c>
      <x:c r="H57" s="76" t="str">
        <x:v>STOP</x:v>
      </x:c>
      <x:c r="I57" s="82" t="str">
        <x:v>高</x:v>
      </x:c>
    </x:row>
    <x:row r="58">
      <x:c r="A58" s="81" t="str">
        <x:v>M4-BASE-275</x:v>
      </x:c>
      <x:c r="B58" s="76" t="str">
        <x:v>单一弱远无根｜停止主候选</x:v>
      </x:c>
      <x:c r="C58" s="76" t="str">
        <x:v>停止</x:v>
      </x:c>
      <x:c r="D58" s="76" t="str">
        <x:v>弱远无根单信号</x:v>
      </x:c>
      <x:c r="E58" s="76" t="str">
        <x:v>只有一处弱远无根信号，没有M3或现实独立支持。</x:v>
      </x:c>
      <x:c r="F58" s="76" t="str">
        <x:v>不足以建立E1。</x:v>
      </x:c>
      <x:c r="G58" s="76" t="str">
        <x:v>这项信号太弱且缺少独立支持，暂不写成核心盲点。</x:v>
      </x:c>
      <x:c r="H58" s="76" t="str">
        <x:v>STOP主候选</x:v>
      </x:c>
      <x:c r="I58" s="82" t="str">
        <x:v>高</x:v>
      </x:c>
    </x:row>
    <x:row r="59">
      <x:c r="A59" s="81" t="str">
        <x:v>M4-BASE-276</x:v>
      </x:c>
      <x:c r="B59" s="76" t="str">
        <x:v>只有合冲刑害破｜停止</x:v>
      </x:c>
      <x:c r="C59" s="76" t="str">
        <x:v>停止</x:v>
      </x:c>
      <x:c r="D59" s="76" t="str">
        <x:v>宫位动态单信号</x:v>
      </x:c>
      <x:c r="E59" s="76" t="str">
        <x:v>只有合、冲、刑、害或破，没有有效功能来源与失衡机制。</x:v>
      </x:c>
      <x:c r="F59" s="76" t="str">
        <x:v>宫位动态只能修正节奏，不能独立生成盲点。</x:v>
      </x:c>
      <x:c r="G59" s="76" t="str">
        <x:v>仅凭合冲刑害破，不能判断具体关系问题。</x:v>
      </x:c>
      <x:c r="H59" s="76" t="str">
        <x:v>STOP</x:v>
      </x:c>
      <x:c r="I59" s="82" t="str">
        <x:v>高</x:v>
      </x:c>
    </x:row>
    <x:row r="60">
      <x:c r="A60" s="81" t="str">
        <x:v>M4-BASE-277</x:v>
      </x:c>
      <x:c r="B60" s="76" t="str">
        <x:v>喜忌直接等同好坏｜禁止</x:v>
      </x:c>
      <x:c r="C60" s="76" t="str">
        <x:v>停止</x:v>
      </x:c>
      <x:c r="D60" s="76" t="str">
        <x:v>喜忌机械推断</x:v>
      </x:c>
      <x:c r="E60" s="76" t="str">
        <x:v>规则试图用喜神／忌神直接生成正负人格或关系问题。</x:v>
      </x:c>
      <x:c r="F60" s="76" t="str">
        <x:v>喜忌只修正功能摩擦与平衡，不是道德标签。</x:v>
      </x:c>
      <x:c r="G60" s="76" t="str">
        <x:v>不会因为某个十神为忌，就把它直接解释成负面人格。</x:v>
      </x:c>
      <x:c r="H60" s="76" t="str">
        <x:v>STOP错误路由</x:v>
      </x:c>
      <x:c r="I60" s="82" t="str">
        <x:v>高</x:v>
      </x:c>
    </x:row>
    <x:row r="61">
      <x:c r="A61" s="81" t="str">
        <x:v>M4-BASE-278</x:v>
      </x:c>
      <x:c r="B61" s="76" t="str">
        <x:v>现实安全问题｜停止常规循环解释</x:v>
      </x:c>
      <x:c r="C61" s="76" t="str">
        <x:v>安全边界</x:v>
      </x:c>
      <x:c r="D61" s="76" t="str">
        <x:v>安全风险</x:v>
      </x:c>
      <x:c r="E61" s="76" t="str">
        <x:v>存在暴力、威胁、强迫、经济控制、跟踪、隔离或明确违法风险。</x:v>
      </x:c>
      <x:c r="F61" s="76" t="str">
        <x:v>现实安全优先，不能用双方循环平均责任。</x:v>
      </x:c>
      <x:c r="G61" s="76" t="str">
        <x:v>现实安全和责任判断应优先于命理解释。</x:v>
      </x:c>
      <x:c r="H61" s="76" t="str">
        <x:v>STOP；安全优先</x:v>
      </x:c>
      <x:c r="I61" s="82" t="str">
        <x:v>高</x:v>
      </x:c>
    </x:row>
    <x:row r="62">
      <x:c r="A62" s="83" t="str">
        <x:v>M4-BASE-280</x:v>
      </x:c>
      <x:c r="B62" s="84" t="str">
        <x:v>V0.2发布状态｜待验证</x:v>
      </x:c>
      <x:c r="C62" s="84" t="str">
        <x:v>版本</x:v>
      </x:c>
      <x:c r="D62" s="84" t="str">
        <x:v>validation_status</x:v>
      </x:c>
      <x:c r="E62" s="84" t="str">
        <x:v>M4-BASE V0.2完成结构化规则建设。</x:v>
      </x:c>
      <x:c r="F62" s="84" t="str">
        <x:v>所有分值、阈值、路径和用户语言在真实案例校准前保持provisional=true。</x:v>
      </x:c>
      <x:c r="G62" s="84" t="str">
        <x:v>当前版本可用于结构化分析和学习，但不代表统计准确率。</x:v>
      </x:c>
      <x:c r="H62" s="84" t="str">
        <x:v>validation_status=待验证</x:v>
      </x:c>
      <x:c r="I62" s="85" t="str">
        <x:v>高</x:v>
      </x:c>
    </x:row>
  </x:sheetData>
  <x:mergeCells>
    <x:mergeCell ref="A1:I1"/>
    <x:mergeCell ref="A2:I2"/>
  </x:mergeCells>
  <x:conditionalFormatting sqref="A5:I62">
    <x:cfRule type="expression" dxfId="1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f9e0901de3401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18" hidden="0" customWidth="1"/>
    <x:col min="4" max="4" width="18" hidden="0" customWidth="1"/>
    <x:col min="5" max="5" width="58" hidden="0" customWidth="1"/>
  </x:cols>
  <x:sheetData>
    <x:row r="1" ht="28" customHeight="1">
      <x:c r="A1" s="5" t="str">
        <x:v>用户输出模板、句库与结构示例</x:v>
      </x:c>
      <x:c r="B1" s="5"/>
      <x:c r="C1" s="5"/>
      <x:c r="D1" s="5"/>
      <x:c r="E1" s="5"/>
      <x:c r="F1" s="5"/>
      <x:c r="G1" s="5"/>
    </x:row>
    <x:row r="2" ht="32" customHeight="1">
      <x:c r="A2" s="13" t="str">
        <x:v>固定顺序：正常功能 → 失衡条件 → 缺位功能 → 保护因素 → 证据等级与边界。</x:v>
      </x:c>
      <x:c r="B2" s="13"/>
      <x:c r="C2" s="13"/>
      <x:c r="D2" s="13"/>
      <x:c r="E2" s="13"/>
      <x:c r="F2" s="13"/>
      <x:c r="G2" s="13"/>
    </x:row>
    <x:row r="4" ht="28" customHeight="1">
      <x:c r="A4" s="55" t="str">
        <x:v>模板类型</x:v>
      </x:c>
      <x:c r="B4" s="57" t="str">
        <x:v>可直接改写的句式</x:v>
      </x:c>
    </x:row>
    <x:row r="5">
      <x:c r="A5" s="78" t="str">
        <x:v>E1结构候选</x:v>
      </x:c>
      <x:c r="B5" s="80" t="str">
        <x:v>这项反应原本帮助你________。当________时，它可能被用得过多／过少，并让________这一步进入得较晚。目前这只是结构候选，仍需结合真实关系经历验证。</x:v>
      </x:c>
    </x:row>
    <x:row r="6">
      <x:c r="A6" s="81" t="str">
        <x:v>E2触发候选</x:v>
      </x:c>
      <x:c r="B6" s="82" t="str">
        <x:v>这项反应原本是在帮助你________。当关系进入________情境时，它可能更容易抢先启动，并让________被延后。命局中若有________能够稳定进入，这个候选会减弱。当前最多判断为触发候选。</x:v>
      </x:c>
    </x:row>
    <x:row r="7">
      <x:c r="A7" s="81" t="str">
        <x:v>停止版</x:v>
      </x:c>
      <x:c r="B7" s="82" t="str">
        <x:v>当前虽然存在________信号，但正常功能来源／旺衰／合化／独立证据仍不够清楚，因此暂时不能把它固定为关系盲点。</x:v>
      </x:c>
    </x:row>
    <x:row r="8">
      <x:c r="A8" s="81" t="str">
        <x:v>正常功能句</x:v>
      </x:c>
      <x:c r="B8" s="82" t="str">
        <x:v>你原本会通过________维持关系，这项方式的正常功能是________。</x:v>
      </x:c>
    </x:row>
    <x:row r="9">
      <x:c r="A9" s="81" t="str">
        <x:v>缺位功能句</x:v>
      </x:c>
      <x:c r="B9" s="82" t="str">
        <x:v>真正需要继续确认的不是简单少做或多做，而是________这一步能否及时进入。</x:v>
      </x:c>
    </x:row>
    <x:row r="10">
      <x:c r="A10" s="83" t="str">
        <x:v>保护因素句</x:v>
      </x:c>
      <x:c r="B10" s="85" t="str">
        <x:v>若________能够稳定进入，原本的失衡候选会被限制、补足或接回。</x:v>
      </x:c>
    </x:row>
    <x:row r="11">
      <x:c r="A11" s="149" t="str">
        <x:v>边界说明</x:v>
      </x:c>
      <x:c r="B11" s="145" t="str">
        <x:v>这只是结构／触发候选，不等于现实中一定发生，也不能继续推断具体关系结果。</x:v>
      </x:c>
    </x:row>
    <x:row r="13" ht="28" customHeight="1">
      <x:c r="A13" s="55" t="str">
        <x:v>示例结构</x:v>
      </x:c>
      <x:c r="B13" s="56" t="str">
        <x:v>关键证据</x:v>
      </x:c>
      <x:c r="C13" s="56" t="str">
        <x:v>机制</x:v>
      </x:c>
      <x:c r="D13" s="56" t="str">
        <x:v>盲点路由</x:v>
      </x:c>
      <x:c r="E13" s="57" t="str">
        <x:v>用户语言</x:v>
      </x:c>
    </x:row>
    <x:row r="14">
      <x:c r="A14" s="78" t="str">
        <x:v>伤官＋正印不足</x:v>
      </x:c>
      <x:c r="B14" s="79" t="str">
        <x:v>分析澄清主通道＋过旺失衡＋承接不足</x:v>
      </x:c>
      <x:c r="C14" s="79" t="str">
        <x:v>K01＋K02</x:v>
      </x:c>
      <x:c r="D14" s="79" t="str">
        <x:v>B05</x:v>
      </x:c>
      <x:c r="E14" s="80" t="str">
        <x:v>你有把事情说清楚的能力；需要留意表达完整是否替代了倾听与理解。</x:v>
      </x:c>
    </x:row>
    <x:row r="15">
      <x:c r="A15" s="81" t="str">
        <x:v>七杀＋食伤不足</x:v>
      </x:c>
      <x:c r="B15" s="76" t="str">
        <x:v>行动解决主通道＋压力抢先＋协商不足</x:v>
      </x:c>
      <x:c r="C15" s="76" t="str">
        <x:v>K01＋K06</x:v>
      </x:c>
      <x:c r="D15" s="76" t="str">
        <x:v>B08</x:v>
      </x:c>
      <x:c r="E15" s="82" t="str">
        <x:v>你擅长快速处理问题；行动以后仍要确认双方协商和感受是否回来。</x:v>
      </x:c>
    </x:row>
    <x:row r="16">
      <x:c r="A16" s="81" t="str">
        <x:v>正印＋财官不足</x:v>
      </x:c>
      <x:c r="B16" s="76" t="str">
        <x:v>安全承接主通道＋现实改变不足</x:v>
      </x:c>
      <x:c r="C16" s="76" t="str">
        <x:v>K03</x:v>
      </x:c>
      <x:c r="D16" s="76" t="str">
        <x:v>B09</x:v>
      </x:c>
      <x:c r="E16" s="82" t="str">
        <x:v>理解原因不等于问题已经改变，责任和行动需要单独确认。</x:v>
      </x:c>
    </x:row>
    <x:row r="17">
      <x:c r="A17" s="81" t="str">
        <x:v>食神＋正官不足</x:v>
      </x:c>
      <x:c r="B17" s="76" t="str">
        <x:v>缓冲降温主通道＋后续安排不足</x:v>
      </x:c>
      <x:c r="C17" s="76" t="str">
        <x:v>K04</x:v>
      </x:c>
      <x:c r="D17" s="76" t="str">
        <x:v>B11</x:v>
      </x:c>
      <x:c r="E17" s="82" t="str">
        <x:v>舒服下来以后，关键议题是否会重新进入。</x:v>
      </x:c>
    </x:row>
    <x:row r="18">
      <x:c r="A18" s="81" t="str">
        <x:v>正财＋比劫不足</x:v>
      </x:c>
      <x:c r="B18" s="76" t="str">
        <x:v>稳定投入主通道＋资源边界不足</x:v>
      </x:c>
      <x:c r="C18" s="76" t="str">
        <x:v>K01＋K02</x:v>
      </x:c>
      <x:c r="D18" s="76" t="str">
        <x:v>B07</x:v>
      </x:c>
      <x:c r="E18" s="82" t="str">
        <x:v>做了很多不等于期待、分工和回馈已经说清。</x:v>
      </x:c>
    </x:row>
    <x:row r="19">
      <x:c r="A19" s="81" t="str">
        <x:v>比肩＋正官竞争</x:v>
      </x:c>
      <x:c r="B19" s="76" t="str">
        <x:v>自主与规则同时强＋食伤桥接不足</x:v>
      </x:c>
      <x:c r="C19" s="76" t="str">
        <x:v>K05</x:v>
      </x:c>
      <x:c r="D19" s="76" t="str">
        <x:v>B08/B10</x:v>
      </x:c>
      <x:c r="E19" s="82" t="str">
        <x:v>需要通过协商区分个人决定权和共同责任。</x:v>
      </x:c>
    </x:row>
    <x:row r="20">
      <x:c r="A20" s="81" t="str">
        <x:v>偏印＋食伤/正官不足</x:v>
      </x:c>
      <x:c r="B20" s="76" t="str">
        <x:v>暂停内化＋回归通道不足</x:v>
      </x:c>
      <x:c r="C20" s="76" t="str">
        <x:v>K06</x:v>
      </x:c>
      <x:c r="D20" s="76" t="str">
        <x:v>B13</x:v>
      </x:c>
      <x:c r="E20" s="82" t="str">
        <x:v>需要空间没有问题，关键是暂停是否有说明和回归路径。</x:v>
      </x:c>
    </x:row>
    <x:row r="21">
      <x:c r="A21" s="83" t="str">
        <x:v>伤官强但调节完整</x:v>
      </x:c>
      <x:c r="B21" s="84" t="str">
        <x:v>表达强＋正印承接＋正财落实＋现实反例</x:v>
      </x:c>
      <x:c r="C21" s="84" t="str">
        <x:v>保护中断</x:v>
      </x:c>
      <x:c r="D21" s="84" t="str">
        <x:v>不成立E1</x:v>
      </x:c>
      <x:c r="E21" s="85" t="str">
        <x:v>功能强但调节完整时，不建立负面候选。</x:v>
      </x:c>
    </x:row>
  </x:sheetData>
  <x:mergeCells>
    <x:mergeCell ref="A1:G1"/>
    <x:mergeCell ref="A2:G2"/>
  </x:mergeCells>
  <x:pageMargins left="0.7" right="0.7" top="0.75" bottom="0.75" header="0.3" footer="0.3"/>
  <x:tableParts count="2">
    <x:tablePart xmlns:r="http://schemas.openxmlformats.org/officeDocument/2006/relationships" r:id="Re9ea3cb47283472e"/>
    <x:tablePart xmlns:r="http://schemas.openxmlformats.org/officeDocument/2006/relationships" r:id="R10eedf51ac1044b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30" hidden="0" customWidth="1"/>
    <x:col min="4" max="4" width="22" hidden="0" customWidth="1"/>
    <x:col min="5" max="5" width="22" hidden="0" customWidth="1"/>
    <x:col min="6" max="6" width="28" hidden="0" customWidth="1"/>
    <x:col min="7" max="7" width="26" hidden="0" customWidth="1"/>
    <x:col min="8" max="8" width="28" hidden="0" customWidth="1"/>
    <x:col min="9" max="9" width="12" hidden="0" customWidth="1"/>
    <x:col min="10" max="10" width="42" hidden="0" customWidth="1"/>
    <x:col min="11" max="11" width="42" hidden="0" customWidth="1"/>
    <x:col min="12" max="12" width="42" hidden="0" customWidth="1"/>
    <x:col min="13" max="13" width="14" hidden="0" customWidth="1"/>
    <x:col min="14" max="14" width="20" hidden="0" customWidth="1"/>
    <x:col min="15" max="15" width="24" hidden="0" customWidth="1"/>
    <x:col min="16" max="16" width="18" hidden="0" customWidth="1"/>
    <x:col min="17" max="17" width="38" hidden="0" customWidth="1"/>
  </x:cols>
  <x:sheetData>
    <x:row r="1" ht="28" customHeight="1">
      <x:c r="A1" s="5" t="str">
        <x:v>M4-BASE 真实案例验证记录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2" customHeight="1">
      <x:c r="A2" s="13" t="str">
        <x:v>记录具体事件、对方反馈、反例和需修改规则；抽象自评不能替代事件证据。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 ht="28" customHeight="1">
      <x:c r="A4" s="55" t="str">
        <x:v>案例ID</x:v>
      </x:c>
      <x:c r="B4" s="56" t="str">
        <x:v>命盘摘要/关键事实</x:v>
      </x:c>
      <x:c r="C4" s="56" t="str">
        <x:v>M3功能来源</x:v>
      </x:c>
      <x:c r="D4" s="56" t="str">
        <x:v>主失衡机制</x:v>
      </x:c>
      <x:c r="E4" s="56" t="str">
        <x:v>次失衡机制</x:v>
      </x:c>
      <x:c r="F4" s="56" t="str">
        <x:v>缺位功能</x:v>
      </x:c>
      <x:c r="G4" s="56" t="str">
        <x:v>触发域候选</x:v>
      </x:c>
      <x:c r="H4" s="56" t="str">
        <x:v>保护因素</x:v>
      </x:c>
      <x:c r="I4" s="56" t="str">
        <x:v>E等级</x:v>
      </x:c>
      <x:c r="J4" s="56" t="str">
        <x:v>模型预期</x:v>
      </x:c>
      <x:c r="K4" s="56" t="str">
        <x:v>当事人反馈</x:v>
      </x:c>
      <x:c r="L4" s="56" t="str">
        <x:v>伴侣反馈</x:v>
      </x:c>
      <x:c r="M4" s="56" t="str">
        <x:v>匹配程度</x:v>
      </x:c>
      <x:c r="N4" s="56" t="str">
        <x:v>偏差类型</x:v>
      </x:c>
      <x:c r="O4" s="56" t="str">
        <x:v>需修改规则ID</x:v>
      </x:c>
      <x:c r="P4" s="56" t="str">
        <x:v>验证结论</x:v>
      </x:c>
      <x:c r="Q4" s="57" t="str">
        <x:v>备注</x:v>
      </x:c>
    </x:row>
    <x:row r="5">
      <x:c r="A5" s="78" t="str">
        <x:v>M4-CASE-001</x:v>
      </x:c>
      <x:c r="B5" s="79" t="str"/>
      <x:c r="C5" s="79" t="str"/>
      <x:c r="D5" s="79" t="str"/>
      <x:c r="E5" s="79" t="str"/>
      <x:c r="F5" s="79" t="str"/>
      <x:c r="G5" s="79" t="str"/>
      <x:c r="H5" s="79" t="str"/>
      <x:c r="I5" s="79" t="str"/>
      <x:c r="J5" s="79" t="str"/>
      <x:c r="K5" s="79" t="str"/>
      <x:c r="L5" s="79" t="str"/>
      <x:c r="M5" s="79" t="str"/>
      <x:c r="N5" s="79" t="str"/>
      <x:c r="O5" s="79" t="str"/>
      <x:c r="P5" s="79" t="str"/>
      <x:c r="Q5" s="80" t="str"/>
    </x:row>
    <x:row r="6">
      <x:c r="A6" s="81" t="str">
        <x:v>M4-CASE-002</x:v>
      </x:c>
      <x:c r="B6" s="76" t="str"/>
      <x:c r="C6" s="76" t="str"/>
      <x:c r="D6" s="76" t="str"/>
      <x:c r="E6" s="76" t="str"/>
      <x:c r="F6" s="76" t="str"/>
      <x:c r="G6" s="76" t="str"/>
      <x:c r="H6" s="76" t="str"/>
      <x:c r="I6" s="76" t="str"/>
      <x:c r="J6" s="76" t="str"/>
      <x:c r="K6" s="76" t="str"/>
      <x:c r="L6" s="76" t="str"/>
      <x:c r="M6" s="76" t="str"/>
      <x:c r="N6" s="76" t="str"/>
      <x:c r="O6" s="76" t="str"/>
      <x:c r="P6" s="76" t="str"/>
      <x:c r="Q6" s="82" t="str"/>
    </x:row>
    <x:row r="7">
      <x:c r="A7" s="81" t="str">
        <x:v>M4-CASE-003</x:v>
      </x:c>
      <x:c r="B7" s="76" t="str"/>
      <x:c r="C7" s="76" t="str"/>
      <x:c r="D7" s="76" t="str"/>
      <x:c r="E7" s="76" t="str"/>
      <x:c r="F7" s="76" t="str"/>
      <x:c r="G7" s="76" t="str"/>
      <x:c r="H7" s="76" t="str"/>
      <x:c r="I7" s="76" t="str"/>
      <x:c r="J7" s="76" t="str"/>
      <x:c r="K7" s="76" t="str"/>
      <x:c r="L7" s="76" t="str"/>
      <x:c r="M7" s="76" t="str"/>
      <x:c r="N7" s="76" t="str"/>
      <x:c r="O7" s="76" t="str"/>
      <x:c r="P7" s="76" t="str"/>
      <x:c r="Q7" s="82" t="str"/>
    </x:row>
    <x:row r="8">
      <x:c r="A8" s="81" t="str">
        <x:v>M4-CASE-004</x:v>
      </x:c>
      <x:c r="B8" s="76" t="str"/>
      <x:c r="C8" s="76" t="str"/>
      <x:c r="D8" s="76" t="str"/>
      <x:c r="E8" s="76" t="str"/>
      <x:c r="F8" s="76" t="str"/>
      <x:c r="G8" s="76" t="str"/>
      <x:c r="H8" s="76" t="str"/>
      <x:c r="I8" s="76" t="str"/>
      <x:c r="J8" s="76" t="str"/>
      <x:c r="K8" s="76" t="str"/>
      <x:c r="L8" s="76" t="str"/>
      <x:c r="M8" s="76" t="str"/>
      <x:c r="N8" s="76" t="str"/>
      <x:c r="O8" s="76" t="str"/>
      <x:c r="P8" s="76" t="str"/>
      <x:c r="Q8" s="82" t="str"/>
    </x:row>
    <x:row r="9">
      <x:c r="A9" s="81" t="str">
        <x:v>M4-CASE-005</x:v>
      </x:c>
      <x:c r="B9" s="76" t="str"/>
      <x:c r="C9" s="76" t="str"/>
      <x:c r="D9" s="76" t="str"/>
      <x:c r="E9" s="76" t="str"/>
      <x:c r="F9" s="76" t="str"/>
      <x:c r="G9" s="76" t="str"/>
      <x:c r="H9" s="76" t="str"/>
      <x:c r="I9" s="76" t="str"/>
      <x:c r="J9" s="76" t="str"/>
      <x:c r="K9" s="76" t="str"/>
      <x:c r="L9" s="76" t="str"/>
      <x:c r="M9" s="76" t="str"/>
      <x:c r="N9" s="76" t="str"/>
      <x:c r="O9" s="76" t="str"/>
      <x:c r="P9" s="76" t="str"/>
      <x:c r="Q9" s="82" t="str"/>
    </x:row>
    <x:row r="10">
      <x:c r="A10" s="81" t="str">
        <x:v>M4-CASE-006</x:v>
      </x:c>
      <x:c r="B10" s="76" t="str"/>
      <x:c r="C10" s="76" t="str"/>
      <x:c r="D10" s="76" t="str"/>
      <x:c r="E10" s="76" t="str"/>
      <x:c r="F10" s="76" t="str"/>
      <x:c r="G10" s="76" t="str"/>
      <x:c r="H10" s="76" t="str"/>
      <x:c r="I10" s="76" t="str"/>
      <x:c r="J10" s="76" t="str"/>
      <x:c r="K10" s="76" t="str"/>
      <x:c r="L10" s="76" t="str"/>
      <x:c r="M10" s="76" t="str"/>
      <x:c r="N10" s="76" t="str"/>
      <x:c r="O10" s="76" t="str"/>
      <x:c r="P10" s="76" t="str"/>
      <x:c r="Q10" s="82" t="str"/>
    </x:row>
    <x:row r="11">
      <x:c r="A11" s="81" t="str">
        <x:v>M4-CASE-007</x:v>
      </x:c>
      <x:c r="B11" s="76" t="str"/>
      <x:c r="C11" s="76" t="str"/>
      <x:c r="D11" s="76" t="str"/>
      <x:c r="E11" s="76" t="str"/>
      <x:c r="F11" s="76" t="str"/>
      <x:c r="G11" s="76" t="str"/>
      <x:c r="H11" s="76" t="str"/>
      <x:c r="I11" s="76" t="str"/>
      <x:c r="J11" s="76" t="str"/>
      <x:c r="K11" s="76" t="str"/>
      <x:c r="L11" s="76" t="str"/>
      <x:c r="M11" s="76" t="str"/>
      <x:c r="N11" s="76" t="str"/>
      <x:c r="O11" s="76" t="str"/>
      <x:c r="P11" s="76" t="str"/>
      <x:c r="Q11" s="82" t="str"/>
    </x:row>
    <x:row r="12">
      <x:c r="A12" s="81" t="str">
        <x:v>M4-CASE-008</x:v>
      </x:c>
      <x:c r="B12" s="76" t="str"/>
      <x:c r="C12" s="76" t="str"/>
      <x:c r="D12" s="76" t="str"/>
      <x:c r="E12" s="76" t="str"/>
      <x:c r="F12" s="76" t="str"/>
      <x:c r="G12" s="76" t="str"/>
      <x:c r="H12" s="76" t="str"/>
      <x:c r="I12" s="76" t="str"/>
      <x:c r="J12" s="76" t="str"/>
      <x:c r="K12" s="76" t="str"/>
      <x:c r="L12" s="76" t="str"/>
      <x:c r="M12" s="76" t="str"/>
      <x:c r="N12" s="76" t="str"/>
      <x:c r="O12" s="76" t="str"/>
      <x:c r="P12" s="76" t="str"/>
      <x:c r="Q12" s="82" t="str"/>
    </x:row>
    <x:row r="13">
      <x:c r="A13" s="81" t="str">
        <x:v>M4-CASE-009</x:v>
      </x:c>
      <x:c r="B13" s="76" t="str"/>
      <x:c r="C13" s="76" t="str"/>
      <x:c r="D13" s="76" t="str"/>
      <x:c r="E13" s="76" t="str"/>
      <x:c r="F13" s="76" t="str"/>
      <x:c r="G13" s="76" t="str"/>
      <x:c r="H13" s="76" t="str"/>
      <x:c r="I13" s="76" t="str"/>
      <x:c r="J13" s="76" t="str"/>
      <x:c r="K13" s="76" t="str"/>
      <x:c r="L13" s="76" t="str"/>
      <x:c r="M13" s="76" t="str"/>
      <x:c r="N13" s="76" t="str"/>
      <x:c r="O13" s="76" t="str"/>
      <x:c r="P13" s="76" t="str"/>
      <x:c r="Q13" s="82" t="str"/>
    </x:row>
    <x:row r="14">
      <x:c r="A14" s="81" t="str">
        <x:v>M4-CASE-010</x:v>
      </x:c>
      <x:c r="B14" s="76" t="str"/>
      <x:c r="C14" s="76" t="str"/>
      <x:c r="D14" s="76" t="str"/>
      <x:c r="E14" s="76" t="str"/>
      <x:c r="F14" s="76" t="str"/>
      <x:c r="G14" s="76" t="str"/>
      <x:c r="H14" s="76" t="str"/>
      <x:c r="I14" s="76" t="str"/>
      <x:c r="J14" s="76" t="str"/>
      <x:c r="K14" s="76" t="str"/>
      <x:c r="L14" s="76" t="str"/>
      <x:c r="M14" s="76" t="str"/>
      <x:c r="N14" s="76" t="str"/>
      <x:c r="O14" s="76" t="str"/>
      <x:c r="P14" s="76" t="str"/>
      <x:c r="Q14" s="82" t="str"/>
    </x:row>
    <x:row r="15">
      <x:c r="A15" s="81" t="str">
        <x:v>M4-CASE-011</x:v>
      </x:c>
      <x:c r="B15" s="76" t="str"/>
      <x:c r="C15" s="76" t="str"/>
      <x:c r="D15" s="76" t="str"/>
      <x:c r="E15" s="76" t="str"/>
      <x:c r="F15" s="76" t="str"/>
      <x:c r="G15" s="76" t="str"/>
      <x:c r="H15" s="76" t="str"/>
      <x:c r="I15" s="76" t="str"/>
      <x:c r="J15" s="76" t="str"/>
      <x:c r="K15" s="76" t="str"/>
      <x:c r="L15" s="76" t="str"/>
      <x:c r="M15" s="76" t="str"/>
      <x:c r="N15" s="76" t="str"/>
      <x:c r="O15" s="76" t="str"/>
      <x:c r="P15" s="76" t="str"/>
      <x:c r="Q15" s="82" t="str"/>
    </x:row>
    <x:row r="16">
      <x:c r="A16" s="81" t="str">
        <x:v>M4-CASE-012</x:v>
      </x:c>
      <x:c r="B16" s="76" t="str"/>
      <x:c r="C16" s="76" t="str"/>
      <x:c r="D16" s="76" t="str"/>
      <x:c r="E16" s="76" t="str"/>
      <x:c r="F16" s="76" t="str"/>
      <x:c r="G16" s="76" t="str"/>
      <x:c r="H16" s="76" t="str"/>
      <x:c r="I16" s="76" t="str"/>
      <x:c r="J16" s="76" t="str"/>
      <x:c r="K16" s="76" t="str"/>
      <x:c r="L16" s="76" t="str"/>
      <x:c r="M16" s="76" t="str"/>
      <x:c r="N16" s="76" t="str"/>
      <x:c r="O16" s="76" t="str"/>
      <x:c r="P16" s="76" t="str"/>
      <x:c r="Q16" s="82" t="str"/>
    </x:row>
    <x:row r="17">
      <x:c r="A17" s="81" t="str">
        <x:v>M4-CASE-013</x:v>
      </x:c>
      <x:c r="B17" s="76" t="str"/>
      <x:c r="C17" s="76" t="str"/>
      <x:c r="D17" s="76" t="str"/>
      <x:c r="E17" s="76" t="str"/>
      <x:c r="F17" s="76" t="str"/>
      <x:c r="G17" s="76" t="str"/>
      <x:c r="H17" s="76" t="str"/>
      <x:c r="I17" s="76" t="str"/>
      <x:c r="J17" s="76" t="str"/>
      <x:c r="K17" s="76" t="str"/>
      <x:c r="L17" s="76" t="str"/>
      <x:c r="M17" s="76" t="str"/>
      <x:c r="N17" s="76" t="str"/>
      <x:c r="O17" s="76" t="str"/>
      <x:c r="P17" s="76" t="str"/>
      <x:c r="Q17" s="82" t="str"/>
    </x:row>
    <x:row r="18">
      <x:c r="A18" s="81" t="str">
        <x:v>M4-CASE-014</x:v>
      </x:c>
      <x:c r="B18" s="76" t="str"/>
      <x:c r="C18" s="76" t="str"/>
      <x:c r="D18" s="76" t="str"/>
      <x:c r="E18" s="76" t="str"/>
      <x:c r="F18" s="76" t="str"/>
      <x:c r="G18" s="76" t="str"/>
      <x:c r="H18" s="76" t="str"/>
      <x:c r="I18" s="76" t="str"/>
      <x:c r="J18" s="76" t="str"/>
      <x:c r="K18" s="76" t="str"/>
      <x:c r="L18" s="76" t="str"/>
      <x:c r="M18" s="76" t="str"/>
      <x:c r="N18" s="76" t="str"/>
      <x:c r="O18" s="76" t="str"/>
      <x:c r="P18" s="76" t="str"/>
      <x:c r="Q18" s="82" t="str"/>
    </x:row>
    <x:row r="19">
      <x:c r="A19" s="81" t="str">
        <x:v>M4-CASE-015</x:v>
      </x:c>
      <x:c r="B19" s="76" t="str"/>
      <x:c r="C19" s="76" t="str"/>
      <x:c r="D19" s="76" t="str"/>
      <x:c r="E19" s="76" t="str"/>
      <x:c r="F19" s="76" t="str"/>
      <x:c r="G19" s="76" t="str"/>
      <x:c r="H19" s="76" t="str"/>
      <x:c r="I19" s="76" t="str"/>
      <x:c r="J19" s="76" t="str"/>
      <x:c r="K19" s="76" t="str"/>
      <x:c r="L19" s="76" t="str"/>
      <x:c r="M19" s="76" t="str"/>
      <x:c r="N19" s="76" t="str"/>
      <x:c r="O19" s="76" t="str"/>
      <x:c r="P19" s="76" t="str"/>
      <x:c r="Q19" s="82" t="str"/>
    </x:row>
    <x:row r="20">
      <x:c r="A20" s="81" t="str">
        <x:v>M4-CASE-016</x:v>
      </x:c>
      <x:c r="B20" s="76" t="str"/>
      <x:c r="C20" s="76" t="str"/>
      <x:c r="D20" s="76" t="str"/>
      <x:c r="E20" s="76" t="str"/>
      <x:c r="F20" s="76" t="str"/>
      <x:c r="G20" s="76" t="str"/>
      <x:c r="H20" s="76" t="str"/>
      <x:c r="I20" s="76" t="str"/>
      <x:c r="J20" s="76" t="str"/>
      <x:c r="K20" s="76" t="str"/>
      <x:c r="L20" s="76" t="str"/>
      <x:c r="M20" s="76" t="str"/>
      <x:c r="N20" s="76" t="str"/>
      <x:c r="O20" s="76" t="str"/>
      <x:c r="P20" s="76" t="str"/>
      <x:c r="Q20" s="82" t="str"/>
    </x:row>
    <x:row r="21">
      <x:c r="A21" s="81" t="str">
        <x:v>M4-CASE-017</x:v>
      </x:c>
      <x:c r="B21" s="76" t="str"/>
      <x:c r="C21" s="76" t="str"/>
      <x:c r="D21" s="76" t="str"/>
      <x:c r="E21" s="76" t="str"/>
      <x:c r="F21" s="76" t="str"/>
      <x:c r="G21" s="76" t="str"/>
      <x:c r="H21" s="76" t="str"/>
      <x:c r="I21" s="76" t="str"/>
      <x:c r="J21" s="76" t="str"/>
      <x:c r="K21" s="76" t="str"/>
      <x:c r="L21" s="76" t="str"/>
      <x:c r="M21" s="76" t="str"/>
      <x:c r="N21" s="76" t="str"/>
      <x:c r="O21" s="76" t="str"/>
      <x:c r="P21" s="76" t="str"/>
      <x:c r="Q21" s="82" t="str"/>
    </x:row>
    <x:row r="22">
      <x:c r="A22" s="81" t="str">
        <x:v>M4-CASE-018</x:v>
      </x:c>
      <x:c r="B22" s="76" t="str"/>
      <x:c r="C22" s="76" t="str"/>
      <x:c r="D22" s="76" t="str"/>
      <x:c r="E22" s="76" t="str"/>
      <x:c r="F22" s="76" t="str"/>
      <x:c r="G22" s="76" t="str"/>
      <x:c r="H22" s="76" t="str"/>
      <x:c r="I22" s="76" t="str"/>
      <x:c r="J22" s="76" t="str"/>
      <x:c r="K22" s="76" t="str"/>
      <x:c r="L22" s="76" t="str"/>
      <x:c r="M22" s="76" t="str"/>
      <x:c r="N22" s="76" t="str"/>
      <x:c r="O22" s="76" t="str"/>
      <x:c r="P22" s="76" t="str"/>
      <x:c r="Q22" s="82" t="str"/>
    </x:row>
    <x:row r="23">
      <x:c r="A23" s="81" t="str">
        <x:v>M4-CASE-019</x:v>
      </x:c>
      <x:c r="B23" s="76" t="str"/>
      <x:c r="C23" s="76" t="str"/>
      <x:c r="D23" s="76" t="str"/>
      <x:c r="E23" s="76" t="str"/>
      <x:c r="F23" s="76" t="str"/>
      <x:c r="G23" s="76" t="str"/>
      <x:c r="H23" s="76" t="str"/>
      <x:c r="I23" s="76" t="str"/>
      <x:c r="J23" s="76" t="str"/>
      <x:c r="K23" s="76" t="str"/>
      <x:c r="L23" s="76" t="str"/>
      <x:c r="M23" s="76" t="str"/>
      <x:c r="N23" s="76" t="str"/>
      <x:c r="O23" s="76" t="str"/>
      <x:c r="P23" s="76" t="str"/>
      <x:c r="Q23" s="82" t="str"/>
    </x:row>
    <x:row r="24">
      <x:c r="A24" s="83" t="str">
        <x:v>M4-CASE-020</x:v>
      </x:c>
      <x:c r="B24" s="84" t="str"/>
      <x:c r="C24" s="84" t="str"/>
      <x:c r="D24" s="84" t="str"/>
      <x:c r="E24" s="84" t="str"/>
      <x:c r="F24" s="84" t="str"/>
      <x:c r="G24" s="84" t="str"/>
      <x:c r="H24" s="84" t="str"/>
      <x:c r="I24" s="84" t="str"/>
      <x:c r="J24" s="84" t="str"/>
      <x:c r="K24" s="84" t="str"/>
      <x:c r="L24" s="84" t="str"/>
      <x:c r="M24" s="84" t="str"/>
      <x:c r="N24" s="84" t="str"/>
      <x:c r="O24" s="84" t="str"/>
      <x:c r="P24" s="84" t="str"/>
      <x:c r="Q24" s="85" t="str"/>
    </x:row>
  </x:sheetData>
  <x:mergeCells>
    <x:mergeCell ref="A1:Q1"/>
    <x:mergeCell ref="A2:Q2"/>
  </x:mergeCells>
  <x:conditionalFormatting sqref="A5:Q24">
    <x:cfRule type="expression" dxfId="12" priority="1">
      <x:formula>MOD(ROW(),2)=0</x:formula>
    </x:cfRule>
  </x:conditionalFormatting>
  <x:dataValidations count="4">
    <x:dataValidation type="list" sqref="I5:I24">
      <x:formula1>"E0,E1,E2,E3,E4"</x:formula1>
    </x:dataValidation>
    <x:dataValidation type="list" sqref="M5:M24">
      <x:formula1>"完全吻合,部分吻合,明显不符,信息不足"</x:formula1>
    </x:dataValidation>
    <x:dataValidation type="list" sqref="N5:N24">
      <x:formula1>"规则内容,主次判断,权重阈值,同源去重,停止条件,现实信息不足,其他"</x:formula1>
    </x:dataValidation>
    <x:dataValidation type="list" sqref="P5:P24">
      <x:formula1>"保留,修改,降权,停用,继续观察"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2d6d17fdf44f9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54" hidden="0" customWidth="1"/>
  </x:cols>
  <x:sheetData>
    <x:row r="1" ht="28" customHeight="1">
      <x:c r="A1" s="5" t="str">
        <x:v>31个标准字段词典</x:v>
      </x:c>
      <x:c r="B1" s="5"/>
      <x:c r="C1" s="5"/>
    </x:row>
    <x:row r="2" ht="32" customHeight="1">
      <x:c r="A2" s="13" t="str">
        <x:v>与M2、M3兼容；开发迁移时保持字段名称与含义一致。</x:v>
      </x:c>
      <x:c r="B2" s="13"/>
      <x:c r="C2" s="13"/>
    </x:row>
    <x:row r="4" ht="28" customHeight="1">
      <x:c r="A4" s="55" t="str">
        <x:v>字段</x:v>
      </x:c>
      <x:c r="B4" s="56" t="str">
        <x:v>含义</x:v>
      </x:c>
      <x:c r="C4" s="57" t="str">
        <x:v>M4-BASE使用要点</x:v>
      </x:c>
    </x:row>
    <x:row r="5">
      <x:c r="A5" s="78" t="str">
        <x:v>rule_id</x:v>
      </x:c>
      <x:c r="B5" s="79" t="str">
        <x:v>唯一规则编号</x:v>
      </x:c>
      <x:c r="C5" s="80" t="str">
        <x:v>按31字段统一合同填写。</x:v>
      </x:c>
    </x:row>
    <x:row r="6">
      <x:c r="A6" s="81" t="str">
        <x:v>rule_name</x:v>
      </x:c>
      <x:c r="B6" s="76" t="str">
        <x:v>规则名称</x:v>
      </x:c>
      <x:c r="C6" s="82" t="str">
        <x:v>按31字段统一合同填写。</x:v>
      </x:c>
    </x:row>
    <x:row r="7">
      <x:c r="A7" s="81" t="str">
        <x:v>layer</x:v>
      </x:c>
      <x:c r="B7" s="76" t="str">
        <x:v>知识层级</x:v>
      </x:c>
      <x:c r="C7" s="82" t="str">
        <x:v>按31字段统一合同填写。</x:v>
      </x:c>
    </x:row>
    <x:row r="8">
      <x:c r="A8" s="81" t="str">
        <x:v>module</x:v>
      </x:c>
      <x:c r="B8" s="76" t="str">
        <x:v>BASE子模块</x:v>
      </x:c>
      <x:c r="C8" s="82" t="str">
        <x:v>按31字段统一合同填写。</x:v>
      </x:c>
    </x:row>
    <x:row r="9">
      <x:c r="A9" s="81" t="str">
        <x:v>applicable_group</x:v>
      </x:c>
      <x:c r="B9" s="76" t="str">
        <x:v>适用范围</x:v>
      </x:c>
      <x:c r="C9" s="82" t="str">
        <x:v>按31字段统一合同填写。</x:v>
      </x:c>
    </x:row>
    <x:row r="10">
      <x:c r="A10" s="81" t="str">
        <x:v>rule_type</x:v>
      </x:c>
      <x:c r="B10" s="76" t="str">
        <x:v>基础、修正、组合、门控、停止、输出等</x:v>
      </x:c>
      <x:c r="C10" s="82" t="str">
        <x:v>按31字段统一合同填写。</x:v>
      </x:c>
    </x:row>
    <x:row r="11">
      <x:c r="A11" s="81" t="str">
        <x:v>main_signal</x:v>
      </x:c>
      <x:c r="B11" s="76" t="str">
        <x:v>主信号</x:v>
      </x:c>
      <x:c r="C11" s="82" t="str">
        <x:v>写正常功能来源或主状态，不写模糊人格标签。</x:v>
      </x:c>
    </x:row>
    <x:row r="12">
      <x:c r="A12" s="81" t="str">
        <x:v>secondary_signal</x:v>
      </x:c>
      <x:c r="B12" s="76" t="str">
        <x:v>次信号或组合信号</x:v>
      </x:c>
      <x:c r="C12" s="82" t="str">
        <x:v>组合、调节、缺位或路由；必须检查独立性。</x:v>
      </x:c>
    </x:row>
    <x:row r="13">
      <x:c r="A13" s="81" t="str">
        <x:v>required_conditions</x:v>
      </x:c>
      <x:c r="B13" s="76" t="str">
        <x:v>必要条件</x:v>
      </x:c>
      <x:c r="C13" s="82" t="str">
        <x:v>按31字段统一合同填写。</x:v>
      </x:c>
    </x:row>
    <x:row r="14">
      <x:c r="A14" s="81" t="str">
        <x:v>excluded_conditions</x:v>
      </x:c>
      <x:c r="B14" s="76" t="str">
        <x:v>排除条件</x:v>
      </x:c>
      <x:c r="C14" s="82" t="str">
        <x:v>按31字段统一合同填写。</x:v>
      </x:c>
    </x:row>
    <x:row r="15">
      <x:c r="A15" s="81" t="str">
        <x:v>self_strength_status</x:v>
      </x:c>
      <x:c r="B15" s="76" t="str">
        <x:v>日主承载与自我支持状态</x:v>
      </x:c>
      <x:c r="C15" s="82" t="str">
        <x:v>按31字段统一合同填写。</x:v>
      </x:c>
    </x:row>
    <x:row r="16">
      <x:c r="A16" s="81" t="str">
        <x:v>spouse_star_status</x:v>
      </x:c>
      <x:c r="B16" s="76" t="str">
        <x:v>夫妻星及M2接口状态</x:v>
      </x:c>
      <x:c r="C16" s="82" t="str">
        <x:v>按31字段统一合同填写。</x:v>
      </x:c>
    </x:row>
    <x:row r="17">
      <x:c r="A17" s="81" t="str">
        <x:v>palace_signal</x:v>
      </x:c>
      <x:c r="B17" s="76" t="str">
        <x:v>日支/夫妻宫信号</x:v>
      </x:c>
      <x:c r="C17" s="82" t="str">
        <x:v>按31字段统一合同填写。</x:v>
      </x:c>
    </x:row>
    <x:row r="18">
      <x:c r="A18" s="81" t="str">
        <x:v>flow_path</x:v>
      </x:c>
      <x:c r="B18" s="76" t="str">
        <x:v>桥接、制约、卡点或转换路径</x:v>
      </x:c>
      <x:c r="C18" s="82" t="str">
        <x:v>按31字段统一合同填写。</x:v>
      </x:c>
    </x:row>
    <x:row r="19">
      <x:c r="A19" s="81" t="str">
        <x:v>signal_position</x:v>
      </x:c>
      <x:c r="B19" s="76" t="str">
        <x:v>透藏与柱位</x:v>
      </x:c>
      <x:c r="C19" s="82" t="str">
        <x:v>按31字段统一合同填写。</x:v>
      </x:c>
    </x:row>
    <x:row r="20">
      <x:c r="A20" s="81" t="str">
        <x:v>root_status</x:v>
      </x:c>
      <x:c r="B20" s="76" t="str">
        <x:v>根气状态</x:v>
      </x:c>
      <x:c r="C20" s="82" t="str">
        <x:v>按31字段统一合同填写。</x:v>
      </x:c>
    </x:row>
    <x:row r="21">
      <x:c r="A21" s="81" t="str">
        <x:v>strength_level</x:v>
      </x:c>
      <x:c r="B21" s="76" t="str">
        <x:v>强弱状态</x:v>
      </x:c>
      <x:c r="C21" s="82" t="str">
        <x:v>按31字段统一合同填写。</x:v>
      </x:c>
    </x:row>
    <x:row r="22">
      <x:c r="A22" s="81" t="str">
        <x:v>favorability</x:v>
      </x:c>
      <x:c r="B22" s="76" t="str">
        <x:v>喜忌与平衡状态</x:v>
      </x:c>
      <x:c r="C22" s="82" t="str">
        <x:v>按31字段统一合同填写。</x:v>
      </x:c>
    </x:row>
    <x:row r="23">
      <x:c r="A23" s="81" t="str">
        <x:v>transformation_status</x:v>
      </x:c>
      <x:c r="B23" s="76" t="str">
        <x:v>制、合、化和争议状态</x:v>
      </x:c>
      <x:c r="C23" s="82" t="str">
        <x:v>按31字段统一合同填写。</x:v>
      </x:c>
    </x:row>
    <x:row r="24">
      <x:c r="A24" s="81" t="str">
        <x:v>distance_level</x:v>
      </x:c>
      <x:c r="B24" s="76" t="str">
        <x:v>与日柱及关系核心的距离</x:v>
      </x:c>
      <x:c r="C24" s="82" t="str">
        <x:v>按31字段统一合同填写。</x:v>
      </x:c>
    </x:row>
    <x:row r="25">
      <x:c r="A25" s="81" t="str">
        <x:v>priority</x:v>
      </x:c>
      <x:c r="B25" s="76" t="str">
        <x:v>冲突时优先级</x:v>
      </x:c>
      <x:c r="C25" s="82" t="str">
        <x:v>按31字段统一合同填写。</x:v>
      </x:c>
    </x:row>
    <x:row r="26">
      <x:c r="A26" s="81" t="str">
        <x:v>score_effect</x:v>
      </x:c>
      <x:c r="B26" s="76" t="str">
        <x:v>加分、减分、封顶、停止或去重</x:v>
      </x:c>
      <x:c r="C26" s="82" t="str">
        <x:v>可为加分、减分、封顶、去重、替换或STOP。</x:v>
      </x:c>
    </x:row>
    <x:row r="27">
      <x:c r="A27" s="81" t="str">
        <x:v>output_slot</x:v>
      </x:c>
      <x:c r="B27" s="76" t="str">
        <x:v>影响的最终字段</x:v>
      </x:c>
      <x:c r="C27" s="82" t="str">
        <x:v>BASE主要使用functional_origin、imbalance_mechanism、missing_function、buffer_factor、evidence_level等。</x:v>
      </x:c>
    </x:row>
    <x:row r="28">
      <x:c r="A28" s="81" t="str">
        <x:v>internal_logic</x:v>
      </x:c>
      <x:c r="B28" s="76" t="str">
        <x:v>内部命理与知识工程解释</x:v>
      </x:c>
      <x:c r="C28" s="82" t="str">
        <x:v>按31字段统一合同填写。</x:v>
      </x:c>
    </x:row>
    <x:row r="29">
      <x:c r="A29" s="81" t="str">
        <x:v>user_explanation</x:v>
      </x:c>
      <x:c r="B29" s="76" t="str">
        <x:v>用户可见自然语言</x:v>
      </x:c>
      <x:c r="C29" s="82" t="str">
        <x:v>按31字段统一合同填写。</x:v>
      </x:c>
    </x:row>
    <x:row r="30">
      <x:c r="A30" s="81" t="str">
        <x:v>forbidden_inference</x:v>
      </x:c>
      <x:c r="B30" s="76" t="str">
        <x:v>禁止继续推出的结论</x:v>
      </x:c>
      <x:c r="C30" s="82" t="str">
        <x:v>按31字段统一合同填写。</x:v>
      </x:c>
    </x:row>
    <x:row r="31">
      <x:c r="A31" s="81" t="str">
        <x:v>confidence_base</x:v>
      </x:c>
      <x:c r="B31" s="76" t="str">
        <x:v>基础置信度</x:v>
      </x:c>
      <x:c r="C31" s="82" t="str">
        <x:v>按31字段统一合同填写。</x:v>
      </x:c>
    </x:row>
    <x:row r="32">
      <x:c r="A32" s="81" t="str">
        <x:v>validation_status</x:v>
      </x:c>
      <x:c r="B32" s="76" t="str">
        <x:v>待验证、已验证、需修改或停用</x:v>
      </x:c>
      <x:c r="C32" s="82" t="str">
        <x:v>按31字段统一合同填写。</x:v>
      </x:c>
    </x:row>
    <x:row r="33">
      <x:c r="A33" s="81" t="str">
        <x:v>case_refs</x:v>
      </x:c>
      <x:c r="B33" s="76" t="str">
        <x:v>支持案例与反例编号</x:v>
      </x:c>
      <x:c r="C33" s="82" t="str">
        <x:v>按31字段统一合同填写。</x:v>
      </x:c>
    </x:row>
    <x:row r="34">
      <x:c r="A34" s="81" t="str">
        <x:v>notes</x:v>
      </x:c>
      <x:c r="B34" s="76" t="str">
        <x:v>source_id、候选代码、争议和开发备注</x:v>
      </x:c>
      <x:c r="C34" s="82" t="str">
        <x:v>记录source_id、K/B/BF代码、跨模型来源和provisional状态。</x:v>
      </x:c>
    </x:row>
    <x:row r="35">
      <x:c r="A35" s="83" t="str">
        <x:v>version</x:v>
      </x:c>
      <x:c r="B35" s="84" t="str">
        <x:v>规则版本</x:v>
      </x:c>
      <x:c r="C35" s="85" t="str">
        <x:v>按31字段统一合同填写。</x:v>
      </x:c>
    </x:row>
  </x:sheetData>
  <x:mergeCells>
    <x:mergeCell ref="A1:C1"/>
    <x:mergeCell ref="A2:C2"/>
  </x:mergeCells>
  <x:conditionalFormatting sqref="A5:C35">
    <x:cfRule type="expression" dxfId="1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bb5ae09050415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4" hidden="0" customWidth="1"/>
  </x:cols>
  <x:sheetData>
    <x:row r="1" ht="28" customHeight="1">
      <x:c r="A1" s="5" t="str">
        <x:v>版本、规则统计与发布检查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所有规则当前均为待验证；完成真实案例校准后再调整阈值与状态。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55" t="str">
        <x:v>指标</x:v>
      </x:c>
      <x:c r="B4" s="57" t="str">
        <x:v>值</x:v>
      </x:c>
    </x:row>
    <x:row r="5">
      <x:c r="A5" s="78" t="str">
        <x:v>规则总数</x:v>
      </x:c>
      <x:c r="B5" s="80" t="n">
        <x:f>COUNTA('08_原子规则'!A5:A284)</x:f>
        <x:v>280</x:v>
      </x:c>
    </x:row>
    <x:row r="6">
      <x:c r="A6" s="81" t="str">
        <x:v>待验证</x:v>
      </x:c>
      <x:c r="B6" s="82" t="n">
        <x:f>COUNTIF('08_原子规则'!AB5:AB284,"待验证")</x:f>
        <x:v>280</x:v>
      </x:c>
    </x:row>
    <x:row r="7">
      <x:c r="A7" s="81" t="str">
        <x:v>已验证</x:v>
      </x:c>
      <x:c r="B7" s="82" t="n">
        <x:f>COUNTIF('08_原子规则'!AB5:AB284,"已验证")</x:f>
        <x:v>0</x:v>
      </x:c>
    </x:row>
    <x:row r="8">
      <x:c r="A8" s="81" t="str">
        <x:v>需修改</x:v>
      </x:c>
      <x:c r="B8" s="82" t="n">
        <x:f>COUNTIF('08_原子规则'!AB5:AB284,"需修改")</x:f>
        <x:v>0</x:v>
      </x:c>
    </x:row>
    <x:row r="9">
      <x:c r="A9" s="81" t="str">
        <x:v>停用</x:v>
      </x:c>
      <x:c r="B9" s="82" t="n">
        <x:f>COUNTIF('08_原子规则'!AB5:AB284,"停用")</x:f>
        <x:v>0</x:v>
      </x:c>
    </x:row>
    <x:row r="10">
      <x:c r="A10" s="83" t="str">
        <x:v>版本</x:v>
      </x:c>
      <x:c r="B10" s="85" t="str">
        <x:v>0.2</x:v>
      </x:c>
    </x:row>
    <x:row r="13" ht="28" customHeight="1">
      <x:c r="A13" s="55" t="str">
        <x:v>检查项</x:v>
      </x:c>
      <x:c r="B13" s="56" t="str">
        <x:v>状态</x:v>
      </x:c>
      <x:c r="C13" s="57" t="str">
        <x:v>说明</x:v>
      </x:c>
    </x:row>
    <x:row r="14">
      <x:c r="A14" s="78" t="str">
        <x:v>M3正常功能已确定</x:v>
      </x:c>
      <x:c r="B14" s="79" t="str">
        <x:v>待检查</x:v>
      </x:c>
      <x:c r="C14" s="80" t="str">
        <x:v>没有正常功能不得判断失衡</x:v>
      </x:c>
    </x:row>
    <x:row r="15">
      <x:c r="A15" s="81" t="str">
        <x:v>真合化与基础旺衰已确认</x:v>
      </x:c>
      <x:c r="B15" s="76" t="str">
        <x:v>待检查</x:v>
      </x:c>
      <x:c r="C15" s="82" t="str">
        <x:v>争议时停止原通道路由</x:v>
      </x:c>
    </x:row>
    <x:row r="16">
      <x:c r="A16" s="81" t="str">
        <x:v>source_id已完成去重</x:v>
      </x:c>
      <x:c r="B16" s="76" t="str">
        <x:v>待检查</x:v>
      </x:c>
      <x:c r="C16" s="82" t="str">
        <x:v>同一事实只计一次</x:v>
      </x:c>
    </x:row>
    <x:row r="17">
      <x:c r="A17" s="81" t="str">
        <x:v>主机制与次机制已分层</x:v>
      </x:c>
      <x:c r="B17" s="76" t="str">
        <x:v>待检查</x:v>
      </x:c>
      <x:c r="C17" s="82" t="str">
        <x:v>正文一主一辅</x:v>
      </x:c>
    </x:row>
    <x:row r="18">
      <x:c r="A18" s="81" t="str">
        <x:v>缺位功能已单独说明</x:v>
      </x:c>
      <x:c r="B18" s="76" t="str">
        <x:v>待检查</x:v>
      </x:c>
      <x:c r="C18" s="82" t="str">
        <x:v>不能混成负面人格</x:v>
      </x:c>
    </x:row>
    <x:row r="19">
      <x:c r="A19" s="81" t="str">
        <x:v>保护因素与现实反例已检查</x:v>
      </x:c>
      <x:c r="B19" s="76" t="str">
        <x:v>待检查</x:v>
      </x:c>
      <x:c r="C19" s="82" t="str">
        <x:v>候选必须能够被降权或停止</x:v>
      </x:c>
    </x:row>
    <x:row r="20">
      <x:c r="A20" s="81" t="str">
        <x:v>证据等级不高于E2</x:v>
      </x:c>
      <x:c r="B20" s="76" t="str">
        <x:v>待检查</x:v>
      </x:c>
      <x:c r="C20" s="82" t="str">
        <x:v>BASE不得建立完整循环</x:v>
      </x:c>
    </x:row>
    <x:row r="21">
      <x:c r="A21" s="81" t="str">
        <x:v>用户语言先写正常功能</x:v>
      </x:c>
      <x:c r="B21" s="76" t="str">
        <x:v>待检查</x:v>
      </x:c>
      <x:c r="C21" s="82" t="str">
        <x:v>禁止直接贴坏标签</x:v>
      </x:c>
    </x:row>
    <x:row r="22">
      <x:c r="A22" s="81" t="str">
        <x:v>安全边界已检查</x:v>
      </x:c>
      <x:c r="B22" s="76" t="str">
        <x:v>待检查</x:v>
      </x:c>
      <x:c r="C22" s="82" t="str">
        <x:v>现实伤害优先</x:v>
      </x:c>
    </x:row>
    <x:row r="23">
      <x:c r="A23" s="83" t="str">
        <x:v>版本与验证状态已记录</x:v>
      </x:c>
      <x:c r="B23" s="84" t="str">
        <x:v>待检查</x:v>
      </x:c>
      <x:c r="C23" s="85" t="str">
        <x:v>provisional=true</x:v>
      </x:c>
    </x:row>
  </x:sheetData>
  <x:mergeCells>
    <x:mergeCell ref="A1:H1"/>
    <x:mergeCell ref="A2:H2"/>
  </x:mergeCells>
  <x:conditionalFormatting sqref="B14:B23">
    <x:cfRule type="expression" dxfId="14" priority="1">
      <x:formula>B14="通过"</x:formula>
    </x:cfRule>
    <x:cfRule type="expression" dxfId="15" priority="2">
      <x:formula>B14="不通过"</x:formula>
    </x:cfRule>
  </x:conditionalFormatting>
  <x:dataValidations count="1">
    <x:dataValidation type="list" sqref="B14:B23">
      <x:formula1>"待检查,通过,不通过"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4c30510b1f34415"/>
    <x:tablePart xmlns:r="http://schemas.openxmlformats.org/officeDocument/2006/relationships" r:id="R5c07e50f1fad4333"/>
  </x:tableParts>
</x:worksheet>
</file>