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e9cb1ee02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8e80fe85f1ea40c9"/>
    <x:sheet xmlns:r="http://schemas.openxmlformats.org/officeDocument/2006/relationships" name="01_问题与修复区分" sheetId="2" r:id="R51084ea664974695"/>
    <x:sheet xmlns:r="http://schemas.openxmlformats.org/officeDocument/2006/relationships" name="02_修复节点速查" sheetId="3" r:id="Ra105f92f34e64a20"/>
    <x:sheet xmlns:r="http://schemas.openxmlformats.org/officeDocument/2006/relationships" name="03_十神修复通道" sheetId="4" r:id="Rf25bf82af70a4322"/>
    <x:sheet xmlns:r="http://schemas.openxmlformats.org/officeDocument/2006/relationships" name="04_修复盲点矩阵" sheetId="5" r:id="Rb1643172c702473a"/>
    <x:sheet xmlns:r="http://schemas.openxmlformats.org/officeDocument/2006/relationships" name="05_事件类型最低节点" sheetId="6" r:id="R2a49e6e9a93c4d72"/>
    <x:sheet xmlns:r="http://schemas.openxmlformats.org/officeDocument/2006/relationships" name="06_断链机制与时钟" sheetId="7" r:id="R1090f0b482974020"/>
    <x:sheet xmlns:r="http://schemas.openxmlformats.org/officeDocument/2006/relationships" name="07_证据与完成层级" sheetId="8" r:id="R14b1787df28642b3"/>
    <x:sheet xmlns:r="http://schemas.openxmlformats.org/officeDocument/2006/relationships" name="08_循环路由接口" sheetId="9" r:id="R75e94706eaef4d2c"/>
    <x:sheet xmlns:r="http://schemas.openxmlformats.org/officeDocument/2006/relationships" name="09_状态与动态修正" sheetId="10" r:id="R9b2812b1306346e8"/>
    <x:sheet xmlns:r="http://schemas.openxmlformats.org/officeDocument/2006/relationships" name="10_接口去重与安全" sheetId="11" r:id="R9b8e018410b8454a"/>
    <x:sheet xmlns:r="http://schemas.openxmlformats.org/officeDocument/2006/relationships" name="11_评分与证据等级" sheetId="12" r:id="Rf318fbc8ef084e63"/>
    <x:sheet xmlns:r="http://schemas.openxmlformats.org/officeDocument/2006/relationships" name="12_原子规则" sheetId="13" r:id="R088b9ce67f904590"/>
    <x:sheet xmlns:r="http://schemas.openxmlformats.org/officeDocument/2006/relationships" name="13_门控与停止" sheetId="14" r:id="R225314b27e704da4"/>
    <x:sheet xmlns:r="http://schemas.openxmlformats.org/officeDocument/2006/relationships" name="14_输出模板与句库" sheetId="15" r:id="R593b56f5e0d94a82"/>
    <x:sheet xmlns:r="http://schemas.openxmlformats.org/officeDocument/2006/relationships" name="15_案例验证" sheetId="16" r:id="R5427aaecd4a4483e"/>
    <x:sheet xmlns:r="http://schemas.openxmlformats.org/officeDocument/2006/relationships" name="16_字段词典" sheetId="17" r:id="Rf14ed7a320d04ce0"/>
    <x:sheet xmlns:r="http://schemas.openxmlformats.org/officeDocument/2006/relationships" name="17_版本与验证" sheetId="18" r:id="Rb66f8ea18693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  <x:font>
      <x:b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FB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6" fillId="4" borderId="12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horizontal="center" vertical="center" wrapText="1"/>
    </x:xf>
    <x:xf numFmtId="0" fontId="6" fillId="4" borderId="14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0d0cae01d4314" /><Relationship Type="http://schemas.openxmlformats.org/officeDocument/2006/relationships/theme" Target="/xl/theme/theme1.xml" Id="R958f65fe34ee4dc6" /><Relationship Type="http://schemas.openxmlformats.org/officeDocument/2006/relationships/sharedStrings" Target="/xl/sharedStrings.xml" Id="R6766d8c5305346d7" /><Relationship Type="http://schemas.openxmlformats.org/officeDocument/2006/relationships/worksheet" Target="/xl/worksheets/sheet1.xml" Id="R8e80fe85f1ea40c9" /><Relationship Type="http://schemas.openxmlformats.org/officeDocument/2006/relationships/worksheet" Target="/xl/worksheets/sheet2.xml" Id="R51084ea664974695" /><Relationship Type="http://schemas.openxmlformats.org/officeDocument/2006/relationships/worksheet" Target="/xl/worksheets/sheet3.xml" Id="Ra105f92f34e64a20" /><Relationship Type="http://schemas.openxmlformats.org/officeDocument/2006/relationships/worksheet" Target="/xl/worksheets/sheet4.xml" Id="Rf25bf82af70a4322" /><Relationship Type="http://schemas.openxmlformats.org/officeDocument/2006/relationships/worksheet" Target="/xl/worksheets/sheet5.xml" Id="Rb1643172c702473a" /><Relationship Type="http://schemas.openxmlformats.org/officeDocument/2006/relationships/worksheet" Target="/xl/worksheets/sheet6.xml" Id="R2a49e6e9a93c4d72" /><Relationship Type="http://schemas.openxmlformats.org/officeDocument/2006/relationships/worksheet" Target="/xl/worksheets/sheet7.xml" Id="R1090f0b482974020" /><Relationship Type="http://schemas.openxmlformats.org/officeDocument/2006/relationships/worksheet" Target="/xl/worksheets/sheet8.xml" Id="R14b1787df28642b3" /><Relationship Type="http://schemas.openxmlformats.org/officeDocument/2006/relationships/worksheet" Target="/xl/worksheets/sheet9.xml" Id="R75e94706eaef4d2c" /><Relationship Type="http://schemas.openxmlformats.org/officeDocument/2006/relationships/worksheet" Target="/xl/worksheets/sheet10.xml" Id="R9b2812b1306346e8" /><Relationship Type="http://schemas.openxmlformats.org/officeDocument/2006/relationships/worksheet" Target="/xl/worksheets/sheet11.xml" Id="R9b8e018410b8454a" /><Relationship Type="http://schemas.openxmlformats.org/officeDocument/2006/relationships/worksheet" Target="/xl/worksheets/sheet12.xml" Id="Rf318fbc8ef084e63" /><Relationship Type="http://schemas.openxmlformats.org/officeDocument/2006/relationships/worksheet" Target="/xl/worksheets/sheet13.xml" Id="R088b9ce67f904590" /><Relationship Type="http://schemas.openxmlformats.org/officeDocument/2006/relationships/worksheet" Target="/xl/worksheets/sheet14.xml" Id="R225314b27e704da4" /><Relationship Type="http://schemas.openxmlformats.org/officeDocument/2006/relationships/worksheet" Target="/xl/worksheets/sheet15.xml" Id="R593b56f5e0d94a82" /><Relationship Type="http://schemas.openxmlformats.org/officeDocument/2006/relationships/worksheet" Target="/xl/worksheets/sheet16.xml" Id="R5427aaecd4a4483e" /><Relationship Type="http://schemas.openxmlformats.org/officeDocument/2006/relationships/worksheet" Target="/xl/worksheets/sheet17.xml" Id="Rf14ed7a320d04ce0" /><Relationship Type="http://schemas.openxmlformats.org/officeDocument/2006/relationships/worksheet" Target="/xl/worksheets/sheet18.xml" Id="Rb66f8ea186934131" /></Relationships>
</file>

<file path=xl/tables/table1.xml><?xml version="1.0" encoding="utf-8"?>
<x:table xmlns:x="http://schemas.openxmlformats.org/spreadsheetml/2006/main" id="1" name="RepairLevelTable" displayName="RepairLevelTable" ref="A4:E10" headerRowCount="1" totalsRowCount="0" totalsRowShown="0">
  <x:tableColumns count="5">
    <x:tableColumn id="1" name="层级"/>
    <x:tableColumn id="2" name="名称"/>
    <x:tableColumn id="3" name="含义"/>
    <x:tableColumn id="4" name="关键证据"/>
    <x:tableColumn id="5" name="输出边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airNodeTable" displayName="RepairNodeTable" ref="A4:F12" headerRowCount="1" totalsRowCount="0" totalsRowShown="0">
  <x:tableColumns count="6">
    <x:tableColumn id="1" name="编号"/>
    <x:tableColumn id="2" name="节点"/>
    <x:tableColumn id="3" name="核心任务"/>
    <x:tableColumn id="4" name="最低证据"/>
    <x:tableColumn id="5" name="常见假完成"/>
    <x:tableColumn id="6" name="用户语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airChannelTable" displayName="RepairChannelTable" ref="A4:G14" headerRowCount="1" totalsRowCount="0" totalsRowShown="0">
  <x:tableColumns count="7">
    <x:tableColumn id="1" name="编号"/>
    <x:tableColumn id="2" name="十神"/>
    <x:tableColumn id="3" name="通道"/>
    <x:tableColumn id="4" name="正常功能"/>
    <x:tableColumn id="5" name="现实表现"/>
    <x:tableColumn id="6" name="替代盲点"/>
    <x:tableColumn id="7" name="所需第二功能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airBlindspotTable" displayName="RepairBlindspotTable" ref="A4:E16" headerRowCount="1" totalsRowCount="0" totalsRowShown="0">
  <x:tableColumns count="5">
    <x:tableColumn id="1" name="编号"/>
    <x:tableColumn id="2" name="盲点"/>
    <x:tableColumn id="3" name="典型顺序"/>
    <x:tableColumn id="4" name="关键缺口"/>
    <x:tableColumn id="5" name="中断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airIssueTable" displayName="RepairIssueTable" ref="A4:F12" headerRowCount="1" totalsRowCount="0" totalsRowShown="0">
  <x:tableColumns count="6">
    <x:tableColumn id="1" name="编号"/>
    <x:tableColumn id="2" name="事件类型"/>
    <x:tableColumn id="3" name="定义"/>
    <x:tableColumn id="4" name="最低节点"/>
    <x:tableColumn id="5" name="条件节点"/>
    <x:tableColumn id="6" name="常见假完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airFailureTable" displayName="RepairFailureTable" ref="A4:F12" headerRowCount="1" totalsRowCount="0" totalsRowShown="0">
  <x:tableColumns count="6">
    <x:tableColumn id="1" name="编号"/>
    <x:tableColumn id="2" name="机制"/>
    <x:tableColumn id="3" name="定义"/>
    <x:tableColumn id="4" name="识别条件"/>
    <x:tableColumn id="5" name="反例"/>
    <x:tableColumn id="6" name="退出条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pairEvidenceTable" displayName="RepairEvidenceTable" ref="A4:E12" headerRowCount="1" totalsRowCount="0" totalsRowShown="0">
  <x:tableColumns count="5">
    <x:tableColumn id="1" name="编号"/>
    <x:tableColumn id="2" name="证据层级"/>
    <x:tableColumn id="3" name="内容"/>
    <x:tableColumn id="4" name="发布上限"/>
    <x:tableColumn id="5" name="升级条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PRepairRouteTable" displayName="LPRepairRouteTable" ref="A4:E16" headerRowCount="1" totalsRowCount="0" totalsRowShown="0">
  <x:tableColumns count="5">
    <x:tableColumn id="1" name="编号"/>
    <x:tableColumn id="2" name="循环"/>
    <x:tableColumn id="3" name="关键修复路由"/>
    <x:tableColumn id="4" name="边界"/>
    <x:tableColumn id="5" name="完成门槛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pairModifierTable" displayName="RepairModifierTable" ref="A4:E20" headerRowCount="1" totalsRowCount="0" totalsRowShown="0">
  <x:tableColumns count="5">
    <x:tableColumn id="1" name="代码"/>
    <x:tableColumn id="2" name="状态"/>
    <x:tableColumn id="3" name="修正作用"/>
    <x:tableColumn id="4" name="使用边界"/>
    <x:tableColumn id="5" name="暂定作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pairInterfaceTable" displayName="RepairInterfaceTable" ref="A4:F16" headerRowCount="1" totalsRowCount="0" totalsRowShown="0">
  <x:tableColumns count="6">
    <x:tableColumn id="1" name="规则ID"/>
    <x:tableColumn id="2" name="接口／门控"/>
    <x:tableColumn id="3" name="类型"/>
    <x:tableColumn id="4" name="必要条件"/>
    <x:tableColumn id="5" name="排除／停止"/>
    <x:tableColumn id="6" name="用户提示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pairScoreTable" displayName="RepairScoreTable" ref="A4:E11" headerRowCount="1" totalsRowCount="0" totalsRowShown="0">
  <x:tableColumns count="5">
    <x:tableColumn id="1" name="等级／类型"/>
    <x:tableColumn id="2" name="名称"/>
    <x:tableColumn id="3" name="成立条件"/>
    <x:tableColumn id="4" name="发布上限"/>
    <x:tableColumn id="5" name="边界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4RepairRulesTable" displayName="M4RepairRulesTable" ref="A1:AE481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pairGateTable" displayName="RepairGateTable" ref="A4:F27" headerRowCount="1" totalsRowCount="0" totalsRowShown="0">
  <x:tableColumns count="6">
    <x:tableColumn id="1" name="规则ID"/>
    <x:tableColumn id="2" name="规则"/>
    <x:tableColumn id="3" name="类型"/>
    <x:tableColumn id="4" name="必要条件"/>
    <x:tableColumn id="5" name="排除／停止"/>
    <x:tableColumn id="6" name="用户提示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pairOutputTable" displayName="RepairOutputTable" ref="A4:C24" headerRowCount="1" totalsRowCount="0" totalsRowShown="0">
  <x:tableColumns count="3">
    <x:tableColumn id="1" name="类型／编号"/>
    <x:tableColumn id="2" name="用途"/>
    <x:tableColumn id="3" name="可直接改写的用户语言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pairCasesTable" displayName="RepairCasesTable" ref="A4:R24" headerRowCount="1" totalsRowCount="0" totalsRowShown="0">
  <x:tableColumns count="18">
    <x:tableColumn id="1" name="case_id"/>
    <x:tableColumn id="2" name="事件类型"/>
    <x:tableColumn id="3" name="事件事实"/>
    <x:tableColumn id="4" name="RN已完成"/>
    <x:tableColumn id="5" name="RN缺失"/>
    <x:tableColumn id="6" name="主修复通道"/>
    <x:tableColumn id="7" name="RB候选"/>
    <x:tableColumn id="8" name="RF机制"/>
    <x:tableColumn id="9" name="接收方反馈"/>
    <x:tableColumn id="10" name="后续行为"/>
    <x:tableColumn id="11" name="RV层级"/>
    <x:tableColumn id="12" name="RS状态"/>
    <x:tableColumn id="13" name="E等级"/>
    <x:tableColumn id="14" name="匹配程度"/>
    <x:tableColumn id="15" name="偏差类型"/>
    <x:tableColumn id="16" name="规则ID"/>
    <x:tableColumn id="17" name="反例／安全"/>
    <x:tableColumn id="18" name="备注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pairFieldDict" displayName="RepairFieldDict" ref="A4:E35" headerRowCount="1" totalsRowCount="0" totalsRowShown="0">
  <x:tableColumns count="5">
    <x:tableColumn id="1" name="字段"/>
    <x:tableColumn id="2" name="说明"/>
    <x:tableColumn id="3" name="Column3"/>
    <x:tableColumn id="4" name="代码组"/>
    <x:tableColumn id="5" name="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61da8c0ed147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5cf44560d34a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b68d1efc6948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f1e662cdf840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f8a10e29b041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5adc0b6cf14f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c05c06189a44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efa0f7971748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c9d406730a04c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03b10488b6241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238f0bc49f847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8d397fc29b04e0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1a826b6752144b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131953c083e42a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482b64a304f488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045b51751d44c6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4" hidden="0" customWidth="1"/>
    <x:col min="4" max="4" width="4" hidden="0" customWidth="1"/>
    <x:col min="5" max="5" width="40" hidden="0" customWidth="1"/>
  </x:cols>
  <x:sheetData>
    <x:row r="1" ht="28" customHeight="1">
      <x:c r="A1" s="5" t="str">
        <x:v>M4-REPAIR 修复卡点与回流断点 V0.7</x:v>
      </x:c>
      <x:c r="B1" s="5"/>
      <x:c r="C1" s="5"/>
      <x:c r="D1" s="5"/>
      <x:c r="E1" s="5"/>
    </x:row>
    <x:row r="2" ht="34" customHeight="1">
      <x:c r="A2" s="13" t="str">
        <x:v>用途：在具体分歧或循环以后，区分问题停止、问题结案、修复启动、部分修复、闭环候选和持续修复。</x:v>
      </x:c>
      <x:c r="B2" s="13"/>
      <x:c r="C2" s="13"/>
      <x:c r="D2" s="13"/>
      <x:c r="E2" s="13"/>
    </x:row>
    <x:row r="4">
      <x:c r="A4" s="34" t="str">
        <x:v>模块定位</x:v>
      </x:c>
      <x:c r="B4" s="20" t="str">
        <x:v>识别RN01—RN08中已完成、缺失、替代、过早关闭或未持续的节点。</x:v>
      </x:c>
      <x:c r="C4" s="20" t="str"/>
      <x:c r="D4" s="20" t="str"/>
      <x:c r="E4" s="20" t="str"/>
    </x:row>
    <x:row r="5">
      <x:c r="A5" s="34" t="str">
        <x:v>核心公式</x:v>
      </x:c>
      <x:c r="B5" s="20" t="str">
        <x:v>事件类型＋最低节点＋现实动作＋接收反馈＋持续性－替代／反例＝修复状态与卡点候选。</x:v>
      </x:c>
      <x:c r="C5" s="20" t="str"/>
      <x:c r="D5" s="20" t="str"/>
      <x:c r="E5" s="20" t="str"/>
    </x:row>
    <x:row r="6">
      <x:c r="A6" s="34" t="str">
        <x:v>输出上限</x:v>
      </x:c>
      <x:c r="B6" s="20" t="str">
        <x:v>一个主卡点＋必要时一个次卡点＋一个缺失节点＋一个保护因素。</x:v>
      </x:c>
      <x:c r="C6" s="20" t="str"/>
      <x:c r="D6" s="20" t="str"/>
      <x:c r="E6" s="20" t="str"/>
    </x:row>
    <x:row r="7">
      <x:c r="A7" s="34" t="str">
        <x:v>下一模块</x:v>
      </x:c>
      <x:c r="B7" s="20" t="str">
        <x:v>M4-BUFFER：调节、保护因素与病药功能接口 V0.8。</x:v>
      </x:c>
      <x:c r="C7" s="20" t="str"/>
      <x:c r="D7" s="20" t="str"/>
      <x:c r="E7" s="20" t="str"/>
    </x:row>
    <x:row r="8">
      <x:c r="A8" s="20" t="str"/>
      <x:c r="B8" s="20" t="str"/>
      <x:c r="C8" s="20" t="str"/>
      <x:c r="D8" s="20" t="str"/>
      <x:c r="E8" s="20" t="str"/>
    </x:row>
    <x:row r="9">
      <x:c r="A9" s="27" t="str">
        <x:v>90秒判断流程</x:v>
      </x:c>
      <x:c r="B9" s="27" t="str"/>
      <x:c r="C9" s="27" t="str"/>
      <x:c r="D9" s="27" t="str"/>
      <x:c r="E9" s="27" t="str">
        <x:v>十条硬边界</x:v>
      </x:c>
    </x:row>
    <x:row r="10">
      <x:c r="A10" s="20" t="str">
        <x:v>步骤</x:v>
      </x:c>
      <x:c r="B10" s="20" t="str">
        <x:v>任务</x:v>
      </x:c>
      <x:c r="C10" s="20" t="str">
        <x:v>硬边界</x:v>
      </x:c>
      <x:c r="D10" s="20" t="str"/>
      <x:c r="E10" s="20" t="str"/>
    </x:row>
    <x:row r="11">
      <x:c r="A11" s="20" t="str">
        <x:v>1</x:v>
      </x:c>
      <x:c r="B11" s="20" t="str">
        <x:v>先判断现实安全与是否需要停止普通修复</x:v>
      </x:c>
      <x:c r="C11" s="20" t="str">
        <x:v>安全优先于和好</x:v>
      </x:c>
      <x:c r="D11" s="20" t="str"/>
      <x:c r="E11" s="20" t="str">
        <x:v>1. 问题停止不等于关系修复</x:v>
      </x:c>
    </x:row>
    <x:row r="12">
      <x:c r="A12" s="20" t="str">
        <x:v>2</x:v>
      </x:c>
      <x:c r="B12" s="20" t="str">
        <x:v>确定RI01—RI08事件类型</x:v>
      </x:c>
      <x:c r="C12" s="20" t="str">
        <x:v>不同事件最低节点不同</x:v>
      </x:c>
      <x:c r="D12" s="20" t="str"/>
      <x:c r="E12" s="20" t="str">
        <x:v>2. 修复尝试不等于完成</x:v>
      </x:c>
    </x:row>
    <x:row r="13">
      <x:c r="A13" s="20" t="str">
        <x:v>3</x:v>
      </x:c>
      <x:c r="B13" s="20" t="str">
        <x:v>填写RN01—RN08已完成／未知／缺失</x:v>
      </x:c>
      <x:c r="C13" s="20" t="str">
        <x:v>不凭命盘补写现实节点</x:v>
      </x:c>
      <x:c r="D13" s="20" t="str"/>
      <x:c r="E13" s="20" t="str">
        <x:v>3. 不要求原谅或复合</x:v>
      </x:c>
    </x:row>
    <x:row r="14">
      <x:c r="A14" s="20" t="str">
        <x:v>4</x:v>
      </x:c>
      <x:c r="B14" s="20" t="str">
        <x:v>识别主十神修复通道</x:v>
      </x:c>
      <x:c r="C14" s="20" t="str">
        <x:v>十神只决定功能，不决定诚意</x:v>
      </x:c>
      <x:c r="D14" s="20" t="str"/>
      <x:c r="E14" s="20" t="str">
        <x:v>4. 道歉标签不是完整证据</x:v>
      </x:c>
    </x:row>
    <x:row r="15">
      <x:c r="A15" s="20" t="str">
        <x:v>5</x:v>
      </x:c>
      <x:c r="B15" s="20" t="str">
        <x:v>匹配RB01—RB12过早关闭</x:v>
      </x:c>
      <x:c r="C15" s="20" t="str">
        <x:v>已完成与未完成必须分开</x:v>
      </x:c>
      <x:c r="D15" s="20" t="str"/>
      <x:c r="E15" s="20" t="str">
        <x:v>5. 解释不等于承担</x:v>
      </x:c>
    </x:row>
    <x:row r="16">
      <x:c r="A16" s="20" t="str">
        <x:v>6</x:v>
      </x:c>
      <x:c r="B16" s="20" t="str">
        <x:v>匹配RF01—RF08断链机制</x:v>
      </x:c>
      <x:c r="C16" s="20" t="str">
        <x:v>缺失、替代、时钟、反馈、持续</x:v>
      </x:c>
      <x:c r="D16" s="20" t="str"/>
      <x:c r="E16" s="20" t="str">
        <x:v>6. 补偿不等于闭环</x:v>
      </x:c>
    </x:row>
    <x:row r="17">
      <x:c r="A17" s="20" t="str">
        <x:v>7</x:v>
      </x:c>
      <x:c r="B17" s="20" t="str">
        <x:v>检查RN07接收反馈</x:v>
      </x:c>
      <x:c r="C17" s="20" t="str">
        <x:v>无反馈最高部分修复</x:v>
      </x:c>
      <x:c r="D17" s="20" t="str"/>
      <x:c r="E17" s="20" t="str">
        <x:v>7. 暂停必须有回归点</x:v>
      </x:c>
    </x:row>
    <x:row r="18">
      <x:c r="A18" s="20" t="str">
        <x:v>8</x:v>
      </x:c>
      <x:c r="B18" s="20" t="str">
        <x:v>检查RN08持续与回访</x:v>
      </x:c>
      <x:c r="C18" s="20" t="str">
        <x:v>一次改善不等于稳定改变</x:v>
      </x:c>
      <x:c r="D18" s="20" t="str"/>
      <x:c r="E18" s="20" t="str">
        <x:v>8. 一方不能单独完成双方闭环</x:v>
      </x:c>
    </x:row>
    <x:row r="19">
      <x:c r="A19" s="20" t="str">
        <x:v>9</x:v>
      </x:c>
      <x:c r="B19" s="20" t="str">
        <x:v>判RV证据深度与RS状态</x:v>
      </x:c>
      <x:c r="C19" s="20" t="str">
        <x:v>不能由命盘分数升级</x:v>
      </x:c>
      <x:c r="D19" s="20" t="str"/>
      <x:c r="E19" s="20" t="str">
        <x:v>9. 同一事件和source_id只计一次</x:v>
      </x:c>
    </x:row>
    <x:row r="20">
      <x:c r="A20" s="20" t="str">
        <x:v>10</x:v>
      </x:c>
      <x:c r="B20" s="20" t="str">
        <x:v>完成反例、安全、去重和用户输出</x:v>
      </x:c>
      <x:c r="C20" s="20" t="str">
        <x:v>最多一主一次</x:v>
      </x:c>
      <x:c r="D20" s="20" t="str"/>
      <x:c r="E20" s="20" t="str">
        <x:v>10. 现实反例必须降权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28" customHeight="1">
      <x:c r="A1" s="5" t="str">
        <x:v>问题结束、任务解决与关系修复的六级区分</x:v>
      </x:c>
      <x:c r="B1" s="5"/>
      <x:c r="C1" s="5"/>
      <x:c r="D1" s="5"/>
      <x:c r="E1" s="5"/>
    </x:row>
    <x:row r="2" ht="34" customHeight="1">
      <x:c r="A2" s="13" t="str">
        <x:v>先判断完成到了哪一层，再判断哪里断链。</x:v>
      </x:c>
      <x:c r="B2" s="13"/>
      <x:c r="C2" s="13"/>
      <x:c r="D2" s="13"/>
      <x:c r="E2" s="13"/>
    </x:row>
    <x:row r="4">
      <x:c r="A4" s="48" t="str">
        <x:v>层级</x:v>
      </x:c>
      <x:c r="B4" s="49" t="str">
        <x:v>名称</x:v>
      </x:c>
      <x:c r="C4" s="49" t="str">
        <x:v>含义</x:v>
      </x:c>
      <x:c r="D4" s="49" t="str">
        <x:v>关键证据</x:v>
      </x:c>
      <x:c r="E4" s="50" t="str">
        <x:v>输出边界</x:v>
      </x:c>
    </x:row>
    <x:row r="5">
      <x:c r="A5" s="51" t="str">
        <x:v>L0</x:v>
      </x:c>
      <x:c r="B5" s="20" t="str">
        <x:v>未处理／未知</x:v>
      </x:c>
      <x:c r="C5" s="20" t="str">
        <x:v>事件仍在继续或资料不足</x:v>
      </x:c>
      <x:c r="D5" s="20" t="str">
        <x:v>没有现实停止与节点资料</x:v>
      </x:c>
      <x:c r="E5" s="52" t="str">
        <x:v>停止或补充事实</x:v>
      </x:c>
    </x:row>
    <x:row r="6">
      <x:c r="A6" s="51" t="str">
        <x:v>L1</x:v>
      </x:c>
      <x:c r="B6" s="20" t="str">
        <x:v>事件止损</x:v>
      </x:c>
      <x:c r="C6" s="20" t="str">
        <x:v>问题不再继续扩大</x:v>
      </x:c>
      <x:c r="D6" s="20" t="str">
        <x:v>RN01</x:v>
      </x:c>
      <x:c r="E6" s="52" t="str">
        <x:v>不能写关系已修复</x:v>
      </x:c>
    </x:row>
    <x:row r="7">
      <x:c r="A7" s="51" t="str">
        <x:v>L2</x:v>
      </x:c>
      <x:c r="B7" s="20" t="str">
        <x:v>问题结案</x:v>
      </x:c>
      <x:c r="C7" s="20" t="str">
        <x:v>事实或任务有了处理结果</x:v>
      </x:c>
      <x:c r="D7" s="20" t="str">
        <x:v>RN02和／或RN06</x:v>
      </x:c>
      <x:c r="E7" s="52" t="str">
        <x:v>继续检查影响、反馈、持续</x:v>
      </x:c>
    </x:row>
    <x:row r="8">
      <x:c r="A8" s="51" t="str">
        <x:v>L3</x:v>
      </x:c>
      <x:c r="B8" s="20" t="str">
        <x:v>修复启动</x:v>
      </x:c>
      <x:c r="C8" s="20" t="str">
        <x:v>道歉、倾听、责任或补救开始</x:v>
      </x:c>
      <x:c r="D8" s="20" t="str">
        <x:v>RS3／RV2以上</x:v>
      </x:c>
      <x:c r="E8" s="52" t="str">
        <x:v>不能写闭环</x:v>
      </x:c>
    </x:row>
    <x:row r="9">
      <x:c r="A9" s="51" t="str">
        <x:v>L4</x:v>
      </x:c>
      <x:c r="B9" s="20" t="str">
        <x:v>部分修复</x:v>
      </x:c>
      <x:c r="C9" s="20" t="str">
        <x:v>多个节点完成但仍有关键缺口</x:v>
      </x:c>
      <x:c r="D9" s="20" t="str">
        <x:v>RS4／RV3以上</x:v>
      </x:c>
      <x:c r="E9" s="52" t="str">
        <x:v>写清缺失节点</x:v>
      </x:c>
    </x:row>
    <x:row r="10">
      <x:c r="A10" s="53" t="str">
        <x:v>L5</x:v>
      </x:c>
      <x:c r="B10" s="54" t="str">
        <x:v>闭环候选／持续验证</x:v>
      </x:c>
      <x:c r="C10" s="54" t="str">
        <x:v>反馈、行为改变和回访进入</x:v>
      </x:c>
      <x:c r="D10" s="54" t="str">
        <x:v>RS5—RS6／RV4以上</x:v>
      </x:c>
      <x:c r="E10" s="55" t="str">
        <x:v>仍不要求原谅或复合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f61da8c0ed147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38" hidden="0" customWidth="1"/>
    <x:col min="5" max="5" width="34" hidden="0" customWidth="1"/>
    <x:col min="6" max="6" width="34" hidden="0" customWidth="1"/>
  </x:cols>
  <x:sheetData>
    <x:row r="1" ht="28" customHeight="1">
      <x:c r="A1" s="5" t="str">
        <x:v>RN01—RN08 修复节点</x:v>
      </x:c>
      <x:c r="B1" s="5"/>
      <x:c r="C1" s="5"/>
      <x:c r="D1" s="5"/>
      <x:c r="E1" s="5"/>
      <x:c r="F1" s="5"/>
    </x:row>
    <x:row r="2" ht="34" customHeight="1">
      <x:c r="A2" s="13" t="str">
        <x:v>节点是独立任务；单一节点不能代表全部修复。</x:v>
      </x:c>
      <x:c r="B2" s="13"/>
      <x:c r="C2" s="13"/>
      <x:c r="D2" s="13"/>
      <x:c r="E2" s="13"/>
      <x:c r="F2" s="13"/>
    </x:row>
    <x:row r="4">
      <x:c r="A4" s="48" t="str">
        <x:v>编号</x:v>
      </x:c>
      <x:c r="B4" s="49" t="str">
        <x:v>节点</x:v>
      </x:c>
      <x:c r="C4" s="49" t="str">
        <x:v>核心任务</x:v>
      </x:c>
      <x:c r="D4" s="49" t="str">
        <x:v>最低证据</x:v>
      </x:c>
      <x:c r="E4" s="49" t="str">
        <x:v>常见假完成</x:v>
      </x:c>
      <x:c r="F4" s="50" t="str">
        <x:v>用户语言</x:v>
      </x:c>
    </x:row>
    <x:row r="5">
      <x:c r="A5" s="51" t="str">
        <x:v>RN01</x:v>
      </x:c>
      <x:c r="B5" s="20" t="str">
        <x:v>停止伤害与恢复基本安全</x:v>
      </x:c>
      <x:c r="C5" s="20" t="str">
        <x:v>先让正在继续的伤害、越界、风险或高强度互动停止，并恢复基本可选择状态</x:v>
      </x:c>
      <x:c r="D5" s="20" t="str">
        <x:v>现实中有停止、离开、保护、暂停升级、停止重复行为或安全安排</x:v>
      </x:c>
      <x:c r="E5" s="20" t="str">
        <x:v>把暂时沉默、被迫配合或问题自然消失当成安全已经恢复</x:v>
      </x:c>
      <x:c r="F5" s="52" t="str">
        <x:v>修复的第一步是先让问题不再继续扩大，并确认双方有真实的选择空间。</x:v>
      </x:c>
    </x:row>
    <x:row r="6">
      <x:c r="A6" s="51" t="str">
        <x:v>RN02</x:v>
      </x:c>
      <x:c r="B6" s="20" t="str">
        <x:v>事实与事件范围确认</x:v>
      </x:c>
      <x:c r="C6" s="20" t="str">
        <x:v>对发生了什么、时间顺序、涉及范围和争议点形成足够清楚的共同基础</x:v>
      </x:c>
      <x:c r="D6" s="20" t="str">
        <x:v>至少能够区分已确认事实、双方理解差异和仍未知部分</x:v>
      </x:c>
      <x:c r="E6" s="20" t="str">
        <x:v>要求双方所有细节完全一致，或用一方版本覆盖另一方</x:v>
      </x:c>
      <x:c r="F6" s="52" t="str">
        <x:v>需要先把发生了什么和哪些部分仍有分歧说清，避免修复建立在不同版本上。</x:v>
      </x:c>
    </x:row>
    <x:row r="7">
      <x:c r="A7" s="51" t="str">
        <x:v>RN03</x:v>
      </x:c>
      <x:c r="B7" s="20" t="str">
        <x:v>影响、感受与意义确认</x:v>
      </x:c>
      <x:c r="C7" s="20" t="str">
        <x:v>确认事件对接收方造成的情绪、信任、参与权、生活或边界影响</x:v>
      </x:c>
      <x:c r="D7" s="20" t="str">
        <x:v>接收方能够表达影响，发起方能够复述或承认，而非只解释自己的意图</x:v>
      </x:c>
      <x:c r="E7" s="20" t="str">
        <x:v>只听到情绪标签，没有确认具体影响；或用“我不是故意的”取消影响</x:v>
      </x:c>
      <x:c r="F7" s="52" t="str">
        <x:v>除了发生了什么，还要确认这件事对你造成了什么影响，以及对方是否真正听懂。</x:v>
      </x:c>
    </x:row>
    <x:row r="8">
      <x:c r="A8" s="51" t="str">
        <x:v>RN04</x:v>
      </x:c>
      <x:c r="B8" s="20" t="str">
        <x:v>责任与角色承担</x:v>
      </x:c>
      <x:c r="C8" s="20" t="str">
        <x:v>明确谁对哪些行为、决定、失约、遗漏或后果承担什么责任</x:v>
      </x:c>
      <x:c r="D8" s="20" t="str">
        <x:v>责任对象、范围和下一步可被说清，不使用模糊的“大家都有问题”遮蔽具体行为</x:v>
      </x:c>
      <x:c r="E8" s="20" t="str">
        <x:v>在明显不对等伤害中平均责任；或只承认情绪、不承认行为责任</x:v>
      </x:c>
      <x:c r="F8" s="52" t="str">
        <x:v>有效修复需要明确：谁对哪一部分负责，不能只停在“都不容易”或“都是误会”。</x:v>
      </x:c>
    </x:row>
    <x:row r="9">
      <x:c r="A9" s="51" t="str">
        <x:v>RN05</x:v>
      </x:c>
      <x:c r="B9" s="20" t="str">
        <x:v>需要、边界与参与权重订</x:v>
      </x:c>
      <x:c r="C9" s="20" t="str">
        <x:v>把接收方接下来需要什么、哪些边界要恢复、哪些决定需要共同参与说清楚</x:v>
      </x:c>
      <x:c r="D9" s="20" t="str">
        <x:v>有具体需要、拒绝范围、协商事项、最低标准或选择权安排</x:v>
      </x:c>
      <x:c r="E9" s="20" t="str">
        <x:v>把单方要求包装成共同边界，或要求接收方立即开放、原谅</x:v>
      </x:c>
      <x:c r="F9" s="52" t="str">
        <x:v>需要把接下来怎样相处、哪些事情必须商量、哪些边界不能再越过说清楚。</x:v>
      </x:c>
    </x:row>
    <x:row r="10">
      <x:c r="A10" s="51" t="str">
        <x:v>RN06</x:v>
      </x:c>
      <x:c r="B10" s="20" t="str">
        <x:v>补救行动与现实调整</x:v>
      </x:c>
      <x:c r="C10" s="20" t="str">
        <x:v>把责任和需要转成可观察、可执行、可追踪的行动、补偿、安排或行为调整</x:v>
      </x:c>
      <x:c r="D10" s="20" t="str">
        <x:v>行动与问题类型匹配，执行责任、时间或观察点基本清楚</x:v>
      </x:c>
      <x:c r="E10" s="20" t="str">
        <x:v>只给模糊承诺、象征动作，或补偿与实际影响无关</x:v>
      </x:c>
      <x:c r="F10" s="52" t="str">
        <x:v>修复需要落到具体改变：接下来做什么、怎样做，以及如何看见它真的发生。</x:v>
      </x:c>
    </x:row>
    <x:row r="11">
      <x:c r="A11" s="51" t="str">
        <x:v>RN07</x:v>
      </x:c>
      <x:c r="B11" s="20" t="str">
        <x:v>接收反馈与二次修正</x:v>
      </x:c>
      <x:c r="C11" s="20" t="str">
        <x:v>接收方对道歉、方案和改变提供反馈，发起方能够据此调整而非要求立即认可</x:v>
      </x:c>
      <x:c r="D11" s="20" t="str">
        <x:v>存在真实反馈、异议、保留意见、接受或拒绝，以及相应的二次调整</x:v>
      </x:c>
      <x:c r="E11" s="20" t="str">
        <x:v>把沉默当同意，或认为“我已经做了”就无需再听反馈</x:v>
      </x:c>
      <x:c r="F11" s="52" t="str">
        <x:v>对方做出补救以后，还要允许你说出哪些部分有效、哪些仍不足，并据此调整。</x:v>
      </x:c>
    </x:row>
    <x:row r="12">
      <x:c r="A12" s="53" t="str">
        <x:v>RN08</x:v>
      </x:c>
      <x:c r="B12" s="54" t="str">
        <x:v>持续兑现、回访与重新开放</x:v>
      </x:c>
      <x:c r="C12" s="54" t="str">
        <x:v>在时间和相似情境中观察改变是否持续，并在适当时回访信任、合作或亲密是否恢复</x:v>
      </x:c>
      <x:c r="D12" s="54" t="str">
        <x:v>至少有后续回访、重复兑现、跨情境表现或对复发的复盘</x:v>
      </x:c>
      <x:c r="E12" s="54" t="str">
        <x:v>一次好转后不再确认，或要求关系立即恢复原状</x:v>
      </x:c>
      <x:c r="F12" s="55" t="str">
        <x:v>真正完成修复需要时间：改变要持续，双方还要回访这件事是否真的不同了。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a5cf44560d34a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28" customHeight="1">
      <x:c r="A1" s="5" t="str">
        <x:v>十神在修复中的正常功能与替代盲点</x:v>
      </x:c>
      <x:c r="B1" s="5"/>
      <x:c r="C1" s="5"/>
      <x:c r="D1" s="5"/>
      <x:c r="E1" s="5"/>
      <x:c r="F1" s="5"/>
      <x:c r="G1" s="5"/>
    </x:row>
    <x:row r="2" ht="34" customHeight="1">
      <x:c r="A2" s="13" t="str">
        <x:v>先保留正常功能，再看是否替代了其他必要任务。</x:v>
      </x:c>
      <x:c r="B2" s="13"/>
      <x:c r="C2" s="13"/>
      <x:c r="D2" s="13"/>
      <x:c r="E2" s="13"/>
      <x:c r="F2" s="13"/>
      <x:c r="G2" s="13"/>
    </x:row>
    <x:row r="4">
      <x:c r="A4" s="48" t="str">
        <x:v>编号</x:v>
      </x:c>
      <x:c r="B4" s="49" t="str">
        <x:v>十神</x:v>
      </x:c>
      <x:c r="C4" s="49" t="str">
        <x:v>通道</x:v>
      </x:c>
      <x:c r="D4" s="49" t="str">
        <x:v>正常功能</x:v>
      </x:c>
      <x:c r="E4" s="49" t="str">
        <x:v>现实表现</x:v>
      </x:c>
      <x:c r="F4" s="49" t="str">
        <x:v>替代盲点</x:v>
      </x:c>
      <x:c r="G4" s="50" t="str">
        <x:v>所需第二功能</x:v>
      </x:c>
    </x:row>
    <x:row r="5">
      <x:c r="A5" s="51" t="str">
        <x:v>RC01</x:v>
      </x:c>
      <x:c r="B5" s="20" t="str">
        <x:v>比肩</x:v>
      </x:c>
      <x:c r="C5" s="20" t="str">
        <x:v>平等参与修复</x:v>
      </x:c>
      <x:c r="D5" s="20" t="str">
        <x:v>恢复双方表达、决定和承担的平等位置</x:v>
      </x:c>
      <x:c r="E5" s="20" t="str">
        <x:v>共同讨论责任、边界、分工和选择；保留接收方拒绝权</x:v>
      </x:c>
      <x:c r="F5" s="20" t="str">
        <x:v>容易把修复变成逐项对等、平均责任或谁也不让谁</x:v>
      </x:c>
      <x:c r="G5" s="52" t="str">
        <x:v>需要印星影响承接、食伤沟通或官财现实责任配合</x:v>
      </x:c>
    </x:row>
    <x:row r="6">
      <x:c r="A6" s="51" t="str">
        <x:v>RC02</x:v>
      </x:c>
      <x:c r="B6" s="20" t="str">
        <x:v>劫财</x:v>
      </x:c>
      <x:c r="C6" s="20" t="str">
        <x:v>即时协作修复</x:v>
      </x:c>
      <x:c r="D6" s="20" t="str">
        <x:v>快速回到现场、一起处理现实问题或补位</x:v>
      </x:c>
      <x:c r="E6" s="20" t="str">
        <x:v>及时参与、协助执行、共同完成补救</x:v>
      </x:c>
      <x:c r="F6" s="20" t="str">
        <x:v>可能先行动后确认范围，使接收方参与权进入较晚</x:v>
      </x:c>
      <x:c r="G6" s="52" t="str">
        <x:v>需要比肩／食伤确认范围，正财／正官稳定后续</x:v>
      </x:c>
    </x:row>
    <x:row r="7">
      <x:c r="A7" s="51" t="str">
        <x:v>RC03</x:v>
      </x:c>
      <x:c r="B7" s="20" t="str">
        <x:v>食神</x:v>
      </x:c>
      <x:c r="C7" s="20" t="str">
        <x:v>舒缓重连修复</x:v>
      </x:c>
      <x:c r="D7" s="20" t="str">
        <x:v>降低紧张、恢复可说话状态和日常温度</x:v>
      </x:c>
      <x:c r="E7" s="20" t="str">
        <x:v>陪伴、柔和表达、生活照顾、恢复低压力接触</x:v>
      </x:c>
      <x:c r="F7" s="20" t="str">
        <x:v>可能把气氛恢复当成问题已经完成</x:v>
      </x:c>
      <x:c r="G7" s="52" t="str">
        <x:v>需要伤官澄清、财官行动或明确回访点</x:v>
      </x:c>
    </x:row>
    <x:row r="8">
      <x:c r="A8" s="51" t="str">
        <x:v>RC04</x:v>
      </x:c>
      <x:c r="B8" s="20" t="str">
        <x:v>伤官</x:v>
      </x:c>
      <x:c r="C8" s="20" t="str">
        <x:v>澄清命名修复</x:v>
      </x:c>
      <x:c r="D8" s="20" t="str">
        <x:v>把事件、影响、误解和需要说清楚</x:v>
      </x:c>
      <x:c r="E8" s="20" t="str">
        <x:v>解释、提问、复述、命名问题、核对彼此理解</x:v>
      </x:c>
      <x:c r="F8" s="20" t="str">
        <x:v>可能用更完整的解释替代倾听、责任或现实改变</x:v>
      </x:c>
      <x:c r="G8" s="52" t="str">
        <x:v>需要正印反馈承接、财星落实或官杀承担</x:v>
      </x:c>
    </x:row>
    <x:row r="9">
      <x:c r="A9" s="51" t="str">
        <x:v>RC05</x:v>
      </x:c>
      <x:c r="B9" s="20" t="str">
        <x:v>正财</x:v>
      </x:c>
      <x:c r="C9" s="20" t="str">
        <x:v>稳定补救修复</x:v>
      </x:c>
      <x:c r="D9" s="20" t="str">
        <x:v>以持续现实调整、资源安排和重复兑现修复</x:v>
      </x:c>
      <x:c r="E9" s="20" t="str">
        <x:v>具体补偿、生活安排、时间投入、稳定执行</x:v>
      </x:c>
      <x:c r="F9" s="20" t="str">
        <x:v>可能用投入替代影响确认、责任说明或关系反馈</x:v>
      </x:c>
      <x:c r="G9" s="52" t="str">
        <x:v>需要印星确认影响、官杀责任和RN07反馈</x:v>
      </x:c>
    </x:row>
    <x:row r="10">
      <x:c r="A10" s="51" t="str">
        <x:v>RC06</x:v>
      </x:c>
      <x:c r="B10" s="20" t="str">
        <x:v>偏财</x:v>
      </x:c>
      <x:c r="C10" s="20" t="str">
        <x:v>灵活重启修复</x:v>
      </x:c>
      <x:c r="D10" s="20" t="str">
        <x:v>通过灵活资源、共同体验和情境调整重新建立连接</x:v>
      </x:c>
      <x:c r="E10" s="20" t="str">
        <x:v>换场景、示好、创造体验、即时便利、灵活补偿</x:v>
      </x:c>
      <x:c r="F10" s="20" t="str">
        <x:v>可能用一次高光体验覆盖未完成的核心问题</x:v>
      </x:c>
      <x:c r="G10" s="52" t="str">
        <x:v>需要正财持续、官杀承诺和RN08回访</x:v>
      </x:c>
    </x:row>
    <x:row r="11">
      <x:c r="A11" s="51" t="str">
        <x:v>RC07</x:v>
      </x:c>
      <x:c r="B11" s="20" t="str">
        <x:v>正官</x:v>
      </x:c>
      <x:c r="C11" s="20" t="str">
        <x:v>责任承诺修复</x:v>
      </x:c>
      <x:c r="D11" s="20" t="str">
        <x:v>明确责任、规则、承诺和以后怎样避免复发</x:v>
      </x:c>
      <x:c r="E11" s="20" t="str">
        <x:v>承认角色责任、重订规则、明确承诺、持续守约</x:v>
      </x:c>
      <x:c r="F11" s="20" t="str">
        <x:v>可能把新规则或郑重表态当成已经恢复信任</x:v>
      </x:c>
      <x:c r="G11" s="52" t="str">
        <x:v>需要比劫共同参与、印星影响确认、财星执行</x:v>
      </x:c>
    </x:row>
    <x:row r="12">
      <x:c r="A12" s="51" t="str">
        <x:v>RC08</x:v>
      </x:c>
      <x:c r="B12" s="20" t="str">
        <x:v>七杀</x:v>
      </x:c>
      <x:c r="C12" s="20" t="str">
        <x:v>止损改正修复</x:v>
      </x:c>
      <x:c r="D12" s="20" t="str">
        <x:v>快速停止伤害、处理风险并立即纠正关键行为</x:v>
      </x:c>
      <x:c r="E12" s="20" t="str">
        <x:v>制止继续升级、保护、撤销错误决定、落实关键改动</x:v>
      </x:c>
      <x:c r="F12" s="20" t="str">
        <x:v>可能把危机处理完成当成关系影响已经修复</x:v>
      </x:c>
      <x:c r="G12" s="52" t="str">
        <x:v>需要正印承接影响、食伤反馈和RN08持续回访</x:v>
      </x:c>
    </x:row>
    <x:row r="13">
      <x:c r="A13" s="51" t="str">
        <x:v>RC09</x:v>
      </x:c>
      <x:c r="B13" s="20" t="str">
        <x:v>正印</x:v>
      </x:c>
      <x:c r="C13" s="20" t="str">
        <x:v>影响承接修复</x:v>
      </x:c>
      <x:c r="D13" s="20" t="str">
        <x:v>倾听、理解并确认对方受到的影响和安全需要</x:v>
      </x:c>
      <x:c r="E13" s="20" t="str">
        <x:v>耐心听、复述、安抚、承认感受、提供稳定支持</x:v>
      </x:c>
      <x:c r="F13" s="20" t="str">
        <x:v>可能理解很多，但现实责任和行为改变进入较晚</x:v>
      </x:c>
      <x:c r="G13" s="52" t="str">
        <x:v>需要比劫边界、财官行动与RN06兑现</x:v>
      </x:c>
    </x:row>
    <x:row r="14">
      <x:c r="A14" s="53" t="str">
        <x:v>RC10</x:v>
      </x:c>
      <x:c r="B14" s="54" t="str">
        <x:v>偏印</x:v>
      </x:c>
      <x:c r="C14" s="54" t="str">
        <x:v>反思精确修复</x:v>
      </x:c>
      <x:c r="D14" s="54" t="str">
        <x:v>先内部整理，再形成较精准的理解、说明和空间安排</x:v>
      </x:c>
      <x:c r="E14" s="54" t="str">
        <x:v>独立反思、书面表达、专业帮助、选择性开放、给出空间</x:v>
      </x:c>
      <x:c r="F14" s="54" t="str">
        <x:v>可能延迟回应或把内部理解当成双方已经完成沟通</x:v>
      </x:c>
      <x:c r="G14" s="55" t="str">
        <x:v>需要明确回归点、食伤表达和RN07反馈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1b68d1efc69488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38" hidden="0" customWidth="1"/>
    <x:col min="5" max="5" width="42" hidden="0" customWidth="1"/>
  </x:cols>
  <x:sheetData>
    <x:row r="1" ht="28" customHeight="1">
      <x:c r="A1" s="5" t="str">
        <x:v>RB01—RB12 十二类修复盲点</x:v>
      </x:c>
      <x:c r="B1" s="5"/>
      <x:c r="C1" s="5"/>
      <x:c r="D1" s="5"/>
      <x:c r="E1" s="5"/>
    </x:row>
    <x:row r="2" ht="34" customHeight="1">
      <x:c r="A2" s="13" t="str">
        <x:v>用于快速判断“哪一步被误当成全部完成”。</x:v>
      </x:c>
      <x:c r="B2" s="13"/>
      <x:c r="C2" s="13"/>
      <x:c r="D2" s="13"/>
      <x:c r="E2" s="13"/>
    </x:row>
    <x:row r="4">
      <x:c r="A4" s="48" t="str">
        <x:v>编号</x:v>
      </x:c>
      <x:c r="B4" s="49" t="str">
        <x:v>盲点</x:v>
      </x:c>
      <x:c r="C4" s="49" t="str">
        <x:v>典型顺序</x:v>
      </x:c>
      <x:c r="D4" s="49" t="str">
        <x:v>关键缺口</x:v>
      </x:c>
      <x:c r="E4" s="50" t="str">
        <x:v>中断点</x:v>
      </x:c>
    </x:row>
    <x:row r="5">
      <x:c r="A5" s="51" t="str">
        <x:v>RB01</x:v>
      </x:c>
      <x:c r="B5" s="20" t="str">
        <x:v>事件停止等同修复完成</x:v>
      </x:c>
      <x:c r="C5" s="20" t="str">
        <x:v>问题不再继续或冲突暂停后，直接认为关系已经恢复</x:v>
      </x:c>
      <x:c r="D5" s="20" t="str">
        <x:v>RN03影响确认、RN07反馈或RN08持续回访未完成</x:v>
      </x:c>
      <x:c r="E5" s="52" t="str">
        <x:v>区分“没有继续发生”和“关系重新安全”</x:v>
      </x:c>
    </x:row>
    <x:row r="6">
      <x:c r="A6" s="51" t="str">
        <x:v>RB02</x:v>
      </x:c>
      <x:c r="B6" s="20" t="str">
        <x:v>事实说清等同影响被理解</x:v>
      </x:c>
      <x:c r="C6" s="20" t="str">
        <x:v>双方对事件经过形成版本后，跳过对感受、信任和边界影响的确认</x:v>
      </x:c>
      <x:c r="D6" s="20" t="str">
        <x:v>RN02有效但RN03不足</x:v>
      </x:c>
      <x:c r="E6" s="52" t="str">
        <x:v>在事实之后增加影响复述和接收方校验</x:v>
      </x:c>
    </x:row>
    <x:row r="7">
      <x:c r="A7" s="51" t="str">
        <x:v>RB03</x:v>
      </x:c>
      <x:c r="B7" s="20" t="str">
        <x:v>解释原因等同责任承担</x:v>
      </x:c>
      <x:c r="C7" s="20" t="str">
        <x:v>用压力、动机或背景说明原因后，认为责任已经完成</x:v>
      </x:c>
      <x:c r="D7" s="20" t="str">
        <x:v>RN04责任范围和RN06改变不足</x:v>
      </x:c>
      <x:c r="E7" s="52" t="str">
        <x:v>原因说明与责任承担分栏记录</x:v>
      </x:c>
    </x:row>
    <x:row r="8">
      <x:c r="A8" s="51" t="str">
        <x:v>RB04</x:v>
      </x:c>
      <x:c r="B8" s="20" t="str">
        <x:v>道歉表达等同行为改变</x:v>
      </x:c>
      <x:c r="C8" s="20" t="str">
        <x:v>一次认错、情绪表达或郑重表态后，直接认定模式已经改变</x:v>
      </x:c>
      <x:c r="D8" s="20" t="str">
        <x:v>RN06执行和RN08持续性不足</x:v>
      </x:c>
      <x:c r="E8" s="52" t="str">
        <x:v>将道歉内容、现实行动和持续兑现分别验证</x:v>
      </x:c>
    </x:row>
    <x:row r="9">
      <x:c r="A9" s="51" t="str">
        <x:v>RB05</x:v>
      </x:c>
      <x:c r="B9" s="20" t="str">
        <x:v>情绪安抚等同现实问题解决</x:v>
      </x:c>
      <x:c r="C9" s="20" t="str">
        <x:v>关系恢复平静后，导致问题的资源、分工、承诺或边界没有调整</x:v>
      </x:c>
      <x:c r="D9" s="20" t="str">
        <x:v>RN06现实改变不足</x:v>
      </x:c>
      <x:c r="E9" s="52" t="str">
        <x:v>情绪线和任务线双轨处理</x:v>
      </x:c>
    </x:row>
    <x:row r="10">
      <x:c r="A10" s="51" t="str">
        <x:v>RB06</x:v>
      </x:c>
      <x:c r="B10" s="20" t="str">
        <x:v>现实补偿等同关系修复</x:v>
      </x:c>
      <x:c r="C10" s="20" t="str">
        <x:v>礼物、花费、承担任务或一次补偿替代影响、责任和反馈</x:v>
      </x:c>
      <x:c r="D10" s="20" t="str">
        <x:v>RN03、RN04或RN07不足</x:v>
      </x:c>
      <x:c r="E10" s="52" t="str">
        <x:v>补偿与责任、影响、反馈分开核对</x:v>
      </x:c>
    </x:row>
    <x:row r="11">
      <x:c r="A11" s="51" t="str">
        <x:v>RB07</x:v>
      </x:c>
      <x:c r="B11" s="20" t="str">
        <x:v>承诺规则等同共同协商</x:v>
      </x:c>
      <x:c r="C11" s="20" t="str">
        <x:v>增加承诺、规则或限制，却没有恢复双方参与权和反馈空间</x:v>
      </x:c>
      <x:c r="D11" s="20" t="str">
        <x:v>RN05共同决定不足</x:v>
      </x:c>
      <x:c r="E11" s="52" t="str">
        <x:v>规则必须共同制定、可执行并允许复盘</x:v>
      </x:c>
    </x:row>
    <x:row r="12">
      <x:c r="A12" s="51" t="str">
        <x:v>RB08</x:v>
      </x:c>
      <x:c r="B12" s="20" t="str">
        <x:v>方案形成等同执行完成</x:v>
      </x:c>
      <x:c r="C12" s="20" t="str">
        <x:v>讨论出方案或写下计划后，不再追踪实施、效果与反馈</x:v>
      </x:c>
      <x:c r="D12" s="20" t="str">
        <x:v>RN06执行、RN07反馈或RN08回访不足</x:v>
      </x:c>
      <x:c r="E12" s="52" t="str">
        <x:v>给方案增加责任人、观察点和回访</x:v>
      </x:c>
    </x:row>
    <x:row r="13">
      <x:c r="A13" s="51" t="str">
        <x:v>RB09</x:v>
      </x:c>
      <x:c r="B13" s="20" t="str">
        <x:v>暂停降温等同自动回归</x:v>
      </x:c>
      <x:c r="C13" s="20" t="str">
        <x:v>暂停后没有重新启动条件，关系议题长期悬置</x:v>
      </x:c>
      <x:c r="D13" s="20" t="str">
        <x:v>RN07／RN08回归路径不足</x:v>
      </x:c>
      <x:c r="E13" s="52" t="str">
        <x:v>暂停前说明目的、范围和返回点</x:v>
      </x:c>
    </x:row>
    <x:row r="14">
      <x:c r="A14" s="51" t="str">
        <x:v>RB10</x:v>
      </x:c>
      <x:c r="B14" s="20" t="str">
        <x:v>快速和好等同边界已重订</x:v>
      </x:c>
      <x:c r="C14" s="20" t="str">
        <x:v>恢复联系、亲密或日常互动后，原有权限、需要和边界没有重新确认</x:v>
      </x:c>
      <x:c r="D14" s="20" t="str">
        <x:v>RN05不足</x:v>
      </x:c>
      <x:c r="E14" s="52" t="str">
        <x:v>和好后补做边界与决定权重订</x:v>
      </x:c>
    </x:row>
    <x:row r="15">
      <x:c r="A15" s="51" t="str">
        <x:v>RB11</x:v>
      </x:c>
      <x:c r="B15" s="20" t="str">
        <x:v>单方修复投入等同双方闭环</x:v>
      </x:c>
      <x:c r="C15" s="20" t="str">
        <x:v>一方不断解释、补偿或改变，却没有接收方真实反馈与选择</x:v>
      </x:c>
      <x:c r="D15" s="20" t="str">
        <x:v>RN07不足，或接收方明确拒绝继续</x:v>
      </x:c>
      <x:c r="E15" s="52" t="str">
        <x:v>区分个人责任行动、修复邀请和双方闭环</x:v>
      </x:c>
    </x:row>
    <x:row r="16">
      <x:c r="A16" s="53" t="str">
        <x:v>RB12</x:v>
      </x:c>
      <x:c r="B16" s="54" t="str">
        <x:v>一次改善等同稳定改变</x:v>
      </x:c>
      <x:c r="C16" s="54" t="str">
        <x:v>一次有效修复或短期表现被扩大为稳定模式</x:v>
      </x:c>
      <x:c r="D16" s="54" t="str">
        <x:v>RN08跨时间与相似情境证据不足</x:v>
      </x:c>
      <x:c r="E16" s="55" t="str">
        <x:v>观察复发情境、持续兑现和反例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9f1e662cdf8401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5" t="str">
        <x:v>RI01—RI08 事件类型与最低修复任务</x:v>
      </x:c>
      <x:c r="B1" s="5"/>
      <x:c r="C1" s="5"/>
      <x:c r="D1" s="5"/>
      <x:c r="E1" s="5"/>
      <x:c r="F1" s="5"/>
    </x:row>
    <x:row r="2" ht="34" customHeight="1">
      <x:c r="A2" s="13" t="str">
        <x:v>先定事件类型，避免用统一模板处理所有问题。</x:v>
      </x:c>
      <x:c r="B2" s="13"/>
      <x:c r="C2" s="13"/>
      <x:c r="D2" s="13"/>
      <x:c r="E2" s="13"/>
      <x:c r="F2" s="13"/>
    </x:row>
    <x:row r="4">
      <x:c r="A4" s="48" t="str">
        <x:v>编号</x:v>
      </x:c>
      <x:c r="B4" s="49" t="str">
        <x:v>事件类型</x:v>
      </x:c>
      <x:c r="C4" s="49" t="str">
        <x:v>定义</x:v>
      </x:c>
      <x:c r="D4" s="49" t="str">
        <x:v>最低节点</x:v>
      </x:c>
      <x:c r="E4" s="49" t="str">
        <x:v>条件节点</x:v>
      </x:c>
      <x:c r="F4" s="50" t="str">
        <x:v>常见假完成</x:v>
      </x:c>
    </x:row>
    <x:row r="5">
      <x:c r="A5" s="51" t="str">
        <x:v>RI01</x:v>
      </x:c>
      <x:c r="B5" s="20" t="str">
        <x:v>信息误解与表达失真</x:v>
      </x:c>
      <x:c r="C5" s="20" t="str">
        <x:v>双方对信息、意图或表达内容理解不同，未见明显伤害或越界</x:v>
      </x:c>
      <x:c r="D5" s="20" t="str">
        <x:v>RN02事实、RN03影响、RN07反馈</x:v>
      </x:c>
      <x:c r="E5" s="20" t="str">
        <x:v>RN04视责任而定；RN06用于调整沟通方式</x:v>
      </x:c>
      <x:c r="F5" s="52" t="str">
        <x:v>只重复解释自己的意思，没有确认对方实际收到什么</x:v>
      </x:c>
    </x:row>
    <x:row r="6">
      <x:c r="A6" s="51" t="str">
        <x:v>RI02</x:v>
      </x:c>
      <x:c r="B6" s="20" t="str">
        <x:v>承诺失约与责任变化</x:v>
      </x:c>
      <x:c r="C6" s="20" t="str">
        <x:v>承诺、计划、角色或责任没有按约定兑现</x:v>
      </x:c>
      <x:c r="D6" s="20" t="str">
        <x:v>RN02事实、RN04责任、RN06补救、RN08持续兑现</x:v>
      </x:c>
      <x:c r="E6" s="20" t="str">
        <x:v>RN03影响、RN05规则重订、RN07反馈</x:v>
      </x:c>
      <x:c r="F6" s="52" t="str">
        <x:v>只有再次承诺，没有责任范围和持续兑现</x:v>
      </x:c>
    </x:row>
    <x:row r="7">
      <x:c r="A7" s="51" t="str">
        <x:v>RI03</x:v>
      </x:c>
      <x:c r="B7" s="20" t="str">
        <x:v>现实任务、资源与分工问题</x:v>
      </x:c>
      <x:c r="C7" s="20" t="str">
        <x:v>时间、金钱、家务、工作或家庭事务安排失衡</x:v>
      </x:c>
      <x:c r="D7" s="20" t="str">
        <x:v>RN02事实、RN05分工边界、RN06现实调整、RN07反馈</x:v>
      </x:c>
      <x:c r="E7" s="20" t="str">
        <x:v>RN03在影响明显时必要；RN08用于检验新安排</x:v>
      </x:c>
      <x:c r="F7" s="52" t="str">
        <x:v>只安抚或道歉，没有调整现实分工</x:v>
      </x:c>
    </x:row>
    <x:row r="8">
      <x:c r="A8" s="51" t="str">
        <x:v>RI04</x:v>
      </x:c>
      <x:c r="B8" s="20" t="str">
        <x:v>情绪受伤与影响未被看见</x:v>
      </x:c>
      <x:c r="C8" s="20" t="str">
        <x:v>言语、忽视、失望或关系事件造成明显情绪和信任影响</x:v>
      </x:c>
      <x:c r="D8" s="20" t="str">
        <x:v>RN03影响、RN04责任、RN07反馈</x:v>
      </x:c>
      <x:c r="E8" s="20" t="str">
        <x:v>RN02事实、RN05需要、RN06补救、RN08持续</x:v>
      </x:c>
      <x:c r="F8" s="52" t="str">
        <x:v>只解释意图或只让情绪平静</x:v>
      </x:c>
    </x:row>
    <x:row r="9">
      <x:c r="A9" s="51" t="str">
        <x:v>RI05</x:v>
      </x:c>
      <x:c r="B9" s="20" t="str">
        <x:v>边界、权限与决定权越界</x:v>
      </x:c>
      <x:c r="C9" s="20" t="str">
        <x:v>一方未经协商替另一方决定、侵犯隐私、限制选择或越过明确边界</x:v>
      </x:c>
      <x:c r="D9" s="20" t="str">
        <x:v>RN01停止、RN03影响、RN04责任、RN05边界、RN06改变、RN08持续</x:v>
      </x:c>
      <x:c r="E9" s="20" t="str">
        <x:v>RN02事实、RN07反馈；严重情境进入安全门控</x:v>
      </x:c>
      <x:c r="F9" s="52" t="str">
        <x:v>只说以后注意，却没有恢复决定权和持续改变</x:v>
      </x:c>
    </x:row>
    <x:row r="10">
      <x:c r="A10" s="51" t="str">
        <x:v>RI06</x:v>
      </x:c>
      <x:c r="B10" s="20" t="str">
        <x:v>亲密距离与连接中断</x:v>
      </x:c>
      <x:c r="C10" s="20" t="str">
        <x:v>靠近、撤回、联系、空间或依赖节奏造成关系中断</x:v>
      </x:c>
      <x:c r="D10" s="20" t="str">
        <x:v>RN03影响、RN05空间协议、RN07反馈、RN08回归</x:v>
      </x:c>
      <x:c r="E10" s="20" t="str">
        <x:v>RN02事实、RN06最低连接安排</x:v>
      </x:c>
      <x:c r="F10" s="52" t="str">
        <x:v>只说需要空间或只要求立即靠近，没有回归协议</x:v>
      </x:c>
    </x:row>
    <x:row r="11">
      <x:c r="A11" s="51" t="str">
        <x:v>RI07</x:v>
      </x:c>
      <x:c r="B11" s="20" t="str">
        <x:v>重复循环复发</x:v>
      </x:c>
      <x:c r="C11" s="20" t="str">
        <x:v>相似触发—反应—反馈顺序再次出现，原修复未阻止复发</x:v>
      </x:c>
      <x:c r="D11" s="20" t="str">
        <x:v>RN02复盘、RN03影响、RN04责任、RN05重订、RN06改变、RN07反馈、RN08跟踪</x:v>
      </x:c>
      <x:c r="E11" s="20" t="str">
        <x:v>RN01在升级时必要</x:v>
      </x:c>
      <x:c r="F11" s="52" t="str">
        <x:v>重复使用同一种道歉或补救，却不检查旧修复为何失效</x:v>
      </x:c>
    </x:row>
    <x:row r="12">
      <x:c r="A12" s="53" t="str">
        <x:v>RI08</x:v>
      </x:c>
      <x:c r="B12" s="54" t="str">
        <x:v>安全、强迫与权力伤害</x:v>
      </x:c>
      <x:c r="C12" s="54" t="str">
        <x:v>存在暴力、威胁、强迫、跟踪、经济控制、报复或明显权力压迫</x:v>
      </x:c>
      <x:c r="D12" s="54" t="str">
        <x:v>RN01安全与停止伤害；现实责任、专业与法律支持优先</x:v>
      </x:c>
      <x:c r="E12" s="54" t="str">
        <x:v>普通关系修复节点不能替代安全、问责和外部支持</x:v>
      </x:c>
      <x:c r="F12" s="55" t="str">
        <x:v>要求双方平等协商、快速原谅或恢复关系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bf8a10e29b0415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5" t="str">
        <x:v>RF01—RF08 修复断链机制</x:v>
      </x:c>
      <x:c r="B1" s="5"/>
      <x:c r="C1" s="5"/>
      <x:c r="D1" s="5"/>
      <x:c r="E1" s="5"/>
      <x:c r="F1" s="5"/>
    </x:row>
    <x:row r="2" ht="34" customHeight="1">
      <x:c r="A2" s="13" t="str">
        <x:v>看卡点是缺失、替代、过早结案、时钟不同步、反馈、持续还是安全门控。</x:v>
      </x:c>
      <x:c r="B2" s="13"/>
      <x:c r="C2" s="13"/>
      <x:c r="D2" s="13"/>
      <x:c r="E2" s="13"/>
      <x:c r="F2" s="13"/>
    </x:row>
    <x:row r="4">
      <x:c r="A4" s="48" t="str">
        <x:v>编号</x:v>
      </x:c>
      <x:c r="B4" s="49" t="str">
        <x:v>机制</x:v>
      </x:c>
      <x:c r="C4" s="49" t="str">
        <x:v>定义</x:v>
      </x:c>
      <x:c r="D4" s="49" t="str">
        <x:v>识别条件</x:v>
      </x:c>
      <x:c r="E4" s="49" t="str">
        <x:v>反例</x:v>
      </x:c>
      <x:c r="F4" s="50" t="str">
        <x:v>退出条件</x:v>
      </x:c>
    </x:row>
    <x:row r="5">
      <x:c r="A5" s="51" t="str">
        <x:v>RF01</x:v>
      </x:c>
      <x:c r="B5" s="20" t="str">
        <x:v>关键节点缺失</x:v>
      </x:c>
      <x:c r="C5" s="20" t="str">
        <x:v>事件所需的一个或多个最低修复节点从未进入</x:v>
      </x:c>
      <x:c r="D5" s="20" t="str">
        <x:v>对照RI事件类型最低节点，至少一项关键节点长期为空</x:v>
      </x:c>
      <x:c r="E5" s="20" t="str">
        <x:v>相应节点由其他等价功能真实完成</x:v>
      </x:c>
      <x:c r="F5" s="52" t="str">
        <x:v>补入缺失节点并让接收方验证</x:v>
      </x:c>
    </x:row>
    <x:row r="6">
      <x:c r="A6" s="51" t="str">
        <x:v>RF02</x:v>
      </x:c>
      <x:c r="B6" s="20" t="str">
        <x:v>单通道替代完整修复</x:v>
      </x:c>
      <x:c r="C6" s="20" t="str">
        <x:v>解释、安抚、行动、补偿、规则或反思承担了全部修复任务</x:v>
      </x:c>
      <x:c r="D6" s="20" t="str">
        <x:v>一个通道反复出现，其他不同任务长期没有进入</x:v>
      </x:c>
      <x:c r="E6" s="20" t="str">
        <x:v>单通道确实同时完成多个任务且有接收方反馈</x:v>
      </x:c>
      <x:c r="F6" s="52" t="str">
        <x:v>把熟悉通道与被替代任务分开处理</x:v>
      </x:c>
    </x:row>
    <x:row r="7">
      <x:c r="A7" s="51" t="str">
        <x:v>RF03</x:v>
      </x:c>
      <x:c r="B7" s="20" t="str">
        <x:v>过早结案</x:v>
      </x:c>
      <x:c r="C7" s="20" t="str">
        <x:v>某个中间节点出现后，双方或一方宣布事情已经结束</x:v>
      </x:c>
      <x:c r="D7" s="20" t="str">
        <x:v>RN02／RN03／RN06等单点出现后停止后续</x:v>
      </x:c>
      <x:c r="E7" s="20" t="str">
        <x:v>事件本身轻微且最低节点确已完成</x:v>
      </x:c>
      <x:c r="F7" s="52" t="str">
        <x:v>明确当前只是止损、问题结案还是关系闭环</x:v>
      </x:c>
    </x:row>
    <x:row r="8">
      <x:c r="A8" s="51" t="str">
        <x:v>RF04</x:v>
      </x:c>
      <x:c r="B8" s="20" t="str">
        <x:v>修复时钟不同步</x:v>
      </x:c>
      <x:c r="C8" s="20" t="str">
        <x:v>一方准备解释、靠近或和好时，另一方仍在安全、影响或边界阶段</x:v>
      </x:c>
      <x:c r="D8" s="20" t="str">
        <x:v>双方需要的节点和节奏不同，出现催促或撤回</x:v>
      </x:c>
      <x:c r="E8" s="20" t="str">
        <x:v>双方明确协商节奏且保留拒绝权</x:v>
      </x:c>
      <x:c r="F8" s="52" t="str">
        <x:v>区分修复邀请、接收准备度和回归时间</x:v>
      </x:c>
    </x:row>
    <x:row r="9">
      <x:c r="A9" s="51" t="str">
        <x:v>RF05</x:v>
      </x:c>
      <x:c r="B9" s="20" t="str">
        <x:v>反馈未整合</x:v>
      </x:c>
      <x:c r="C9" s="20" t="str">
        <x:v>发起方做出道歉或方案后，没有真正接收接收方的异议和反馈</x:v>
      </x:c>
      <x:c r="D9" s="20" t="str">
        <x:v>RN07缺失，或反馈被解释为不知足、挑剔、拒绝修复</x:v>
      </x:c>
      <x:c r="E9" s="20" t="str">
        <x:v>反馈已被复述并转成二次调整</x:v>
      </x:c>
      <x:c r="F9" s="52" t="str">
        <x:v>建立反馈—调整—再次确认</x:v>
      </x:c>
    </x:row>
    <x:row r="10">
      <x:c r="A10" s="51" t="str">
        <x:v>RF06</x:v>
      </x:c>
      <x:c r="B10" s="20" t="str">
        <x:v>行动未持续</x:v>
      </x:c>
      <x:c r="C10" s="20" t="str">
        <x:v>短期改变出现，但在相似情境中无法保持</x:v>
      </x:c>
      <x:c r="D10" s="20" t="str">
        <x:v>RN08持续性不足或反复回到旧做法</x:v>
      </x:c>
      <x:c r="E10" s="20" t="str">
        <x:v>现实资源变化合理且有重新协商</x:v>
      </x:c>
      <x:c r="F10" s="52" t="str">
        <x:v>设置跨时间观察、相似情境和回访点</x:v>
      </x:c>
    </x:row>
    <x:row r="11">
      <x:c r="A11" s="51" t="str">
        <x:v>RF07</x:v>
      </x:c>
      <x:c r="B11" s="20" t="str">
        <x:v>复发未复盘</x:v>
      </x:c>
      <x:c r="C11" s="20" t="str">
        <x:v>同一循环再次出现，却重复上一次的道歉、解释或补救</x:v>
      </x:c>
      <x:c r="D11" s="20" t="str">
        <x:v>LP复发后没有分析旧修复在哪一步失效</x:v>
      </x:c>
      <x:c r="E11" s="20" t="str">
        <x:v>每次复发后都有结构复盘和新方案</x:v>
      </x:c>
      <x:c r="F11" s="52" t="str">
        <x:v>对照上次修复链，找出未完成节点</x:v>
      </x:c>
    </x:row>
    <x:row r="12">
      <x:c r="A12" s="53" t="str">
        <x:v>RF08</x:v>
      </x:c>
      <x:c r="B12" s="54" t="str">
        <x:v>安全与责任门控失效</x:v>
      </x:c>
      <x:c r="C12" s="54" t="str">
        <x:v>在明显伤害、强迫或权力不对等中使用普通互相理解和双方负责框架</x:v>
      </x:c>
      <x:c r="D12" s="54" t="str">
        <x:v>安全事实存在，责任却被平均，接收方被要求配合修复</x:v>
      </x:c>
      <x:c r="E12" s="54" t="str">
        <x:v>不存在安全风险且双方有真实平等选择</x:v>
      </x:c>
      <x:c r="F12" s="55" t="str">
        <x:v>停止普通修复路由，优先安全、问责和外部支持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f5adc0b6cf14f8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38" hidden="0" customWidth="1"/>
    <x:col min="5" max="5" width="38" hidden="0" customWidth="1"/>
  </x:cols>
  <x:sheetData>
    <x:row r="1" ht="28" customHeight="1">
      <x:c r="A1" s="5" t="str">
        <x:v>RV0—RV7现实证据深度与RS0—RS7修复状态</x:v>
      </x:c>
      <x:c r="B1" s="5"/>
      <x:c r="C1" s="5"/>
      <x:c r="D1" s="5"/>
      <x:c r="E1" s="5"/>
    </x:row>
    <x:row r="2" ht="34" customHeight="1">
      <x:c r="A2" s="13" t="str">
        <x:v>RV决定资料有多深；RS决定当前修复到了哪一步。</x:v>
      </x:c>
      <x:c r="B2" s="13"/>
      <x:c r="C2" s="13"/>
      <x:c r="D2" s="13"/>
      <x:c r="E2" s="13"/>
    </x:row>
    <x:row r="4">
      <x:c r="A4" s="48" t="str">
        <x:v>编号</x:v>
      </x:c>
      <x:c r="B4" s="49" t="str">
        <x:v>证据层级</x:v>
      </x:c>
      <x:c r="C4" s="49" t="str">
        <x:v>内容</x:v>
      </x:c>
      <x:c r="D4" s="49" t="str">
        <x:v>发布上限</x:v>
      </x:c>
      <x:c r="E4" s="50" t="str">
        <x:v>升级条件</x:v>
      </x:c>
    </x:row>
    <x:row r="5">
      <x:c r="A5" s="51" t="str">
        <x:v>RV0</x:v>
      </x:c>
      <x:c r="B5" s="20" t="str">
        <x:v>无修复资料</x:v>
      </x:c>
      <x:c r="C5" s="20" t="str">
        <x:v>没有具体修复言语、行动、反馈或后续资料</x:v>
      </x:c>
      <x:c r="D5" s="20" t="str">
        <x:v>只能停止或描述未知</x:v>
      </x:c>
      <x:c r="E5" s="52" t="str">
        <x:v>补充一件可还原的修复事件</x:v>
      </x:c>
    </x:row>
    <x:row r="6">
      <x:c r="A6" s="51" t="str">
        <x:v>RV1</x:v>
      </x:c>
      <x:c r="B6" s="20" t="str">
        <x:v>修复标签／自述</x:v>
      </x:c>
      <x:c r="C6" s="20" t="str">
        <x:v>只有“道歉了”“和好了”“改了”等概括</x:v>
      </x:c>
      <x:c r="D6" s="20" t="str">
        <x:v>最高只能识别修复尝试标签</x:v>
      </x:c>
      <x:c r="E6" s="52" t="str">
        <x:v>补充具体说了什么、做了什么</x:v>
      </x:c>
    </x:row>
    <x:row r="7">
      <x:c r="A7" s="51" t="str">
        <x:v>RV2</x:v>
      </x:c>
      <x:c r="B7" s="20" t="str">
        <x:v>单一修复动作</x:v>
      </x:c>
      <x:c r="C7" s="20" t="str">
        <x:v>有一次道歉、解释、安抚、补偿、方案或重联动作</x:v>
      </x:c>
      <x:c r="D7" s="20" t="str">
        <x:v>可确认单节点，不得写闭环</x:v>
      </x:c>
      <x:c r="E7" s="52" t="str">
        <x:v>补充接收方反馈与后续行动</x:v>
      </x:c>
    </x:row>
    <x:row r="8">
      <x:c r="A8" s="51" t="str">
        <x:v>RV3</x:v>
      </x:c>
      <x:c r="B8" s="20" t="str">
        <x:v>多节点事件链</x:v>
      </x:c>
      <x:c r="C8" s="20" t="str">
        <x:v>同一事件中至少三个修复节点及顺序清楚</x:v>
      </x:c>
      <x:c r="D8" s="20" t="str">
        <x:v>可判断部分修复和初步卡点</x:v>
      </x:c>
      <x:c r="E8" s="52" t="str">
        <x:v>补充反馈、执行和回访</x:v>
      </x:c>
    </x:row>
    <x:row r="9">
      <x:c r="A9" s="51" t="str">
        <x:v>RV4</x:v>
      </x:c>
      <x:c r="B9" s="20" t="str">
        <x:v>接收反馈已记录</x:v>
      </x:c>
      <x:c r="C9" s="20" t="str">
        <x:v>接收方对修复动作有具体接受、拒绝、异议或调整反馈</x:v>
      </x:c>
      <x:c r="D9" s="20" t="str">
        <x:v>可判断RN07与修复是否命中影响</x:v>
      </x:c>
      <x:c r="E9" s="52" t="str">
        <x:v>补充二次调整和持续性</x:v>
      </x:c>
    </x:row>
    <x:row r="10">
      <x:c r="A10" s="51" t="str">
        <x:v>RV5</x:v>
      </x:c>
      <x:c r="B10" s="20" t="str">
        <x:v>行为改变已持续</x:v>
      </x:c>
      <x:c r="C10" s="20" t="str">
        <x:v>相关行动在一段时间或相似情境中重复兑现</x:v>
      </x:c>
      <x:c r="D10" s="20" t="str">
        <x:v>可建立闭环候选</x:v>
      </x:c>
      <x:c r="E10" s="52" t="str">
        <x:v>补充复发检验与后续回访</x:v>
      </x:c>
    </x:row>
    <x:row r="11">
      <x:c r="A11" s="51" t="str">
        <x:v>RV6</x:v>
      </x:c>
      <x:c r="B11" s="20" t="str">
        <x:v>跨时间回访与复发检验</x:v>
      </x:c>
      <x:c r="C11" s="20" t="str">
        <x:v>修复后经历时间、相似触发或关系阶段变化仍能保持</x:v>
      </x:c>
      <x:c r="D11" s="20" t="str">
        <x:v>支持较高置信修复闭环</x:v>
      </x:c>
      <x:c r="E11" s="52" t="str">
        <x:v>补充独立资料和反例</x:v>
      </x:c>
    </x:row>
    <x:row r="12">
      <x:c r="A12" s="53" t="str">
        <x:v>RV7</x:v>
      </x:c>
      <x:c r="B12" s="54" t="str">
        <x:v>独立佐证与反例审查</x:v>
      </x:c>
      <x:c r="C12" s="54" t="str">
        <x:v>有伴侣反馈、记录或咨询资料，并主动检查失败和成功反例</x:v>
      </x:c>
      <x:c r="D12" s="54" t="str">
        <x:v>可进入E4／持续修复审查</x:v>
      </x:c>
      <x:c r="E12" s="55" t="str">
        <x:v>仍不得推断必须原谅或关系结果</x:v>
      </x:c>
    </x:row>
    <x:row r="15">
      <x:c r="A15" s="72" t="str">
        <x:v>RS0—RS7修复状态</x:v>
      </x:c>
      <x:c r="B15" s="73"/>
      <x:c r="C15" s="73"/>
      <x:c r="D15" s="73"/>
      <x:c r="E15" s="74"/>
    </x:row>
    <x:row r="16">
      <x:c r="A16" s="75" t="str">
        <x:v>编号</x:v>
      </x:c>
      <x:c r="B16" s="42" t="str">
        <x:v>状态</x:v>
      </x:c>
      <x:c r="C16" s="42" t="str">
        <x:v>含义</x:v>
      </x:c>
      <x:c r="D16" s="42" t="str">
        <x:v>进入条件</x:v>
      </x:c>
      <x:c r="E16" s="76" t="str">
        <x:v>用户语言</x:v>
      </x:c>
    </x:row>
    <x:row r="17">
      <x:c r="A17" s="51" t="str">
        <x:v>RS0</x:v>
      </x:c>
      <x:c r="B17" s="20" t="str">
        <x:v>资料不足／停止</x:v>
      </x:c>
      <x:c r="C17" s="20" t="str">
        <x:v>无法确认修复是否启动，或安全门控要求停止普通分析</x:v>
      </x:c>
      <x:c r="D17" s="20" t="str">
        <x:v>没有具体事件或存在安全风险</x:v>
      </x:c>
      <x:c r="E17" s="52" t="str">
        <x:v>当前不能判断修复状态。</x:v>
      </x:c>
    </x:row>
    <x:row r="18">
      <x:c r="A18" s="51" t="str">
        <x:v>RS1</x:v>
      </x:c>
      <x:c r="B18" s="20" t="str">
        <x:v>事件止损</x:v>
      </x:c>
      <x:c r="C18" s="20" t="str">
        <x:v>伤害、争论或风险暂时停止，但关系任务尚未展开</x:v>
      </x:c>
      <x:c r="D18" s="20" t="str">
        <x:v>RN01有效，其他节点未知或不足</x:v>
      </x:c>
      <x:c r="E18" s="52" t="str">
        <x:v>事情已经停下，但还不能说关系已经修复。</x:v>
      </x:c>
    </x:row>
    <x:row r="19">
      <x:c r="A19" s="51" t="str">
        <x:v>RS2</x:v>
      </x:c>
      <x:c r="B19" s="20" t="str">
        <x:v>问题结案</x:v>
      </x:c>
      <x:c r="C19" s="20" t="str">
        <x:v>事实、任务或现实方案已经处理，但影响、反馈或持续性未完成</x:v>
      </x:c>
      <x:c r="D19" s="20" t="str">
        <x:v>RN02／RN06有效，RN03／RN07／RN08不足</x:v>
      </x:c>
      <x:c r="E19" s="52" t="str">
        <x:v>现实问题有了处理结果，但关系影响仍需要继续确认。</x:v>
      </x:c>
    </x:row>
    <x:row r="20">
      <x:c r="A20" s="51" t="str">
        <x:v>RS3</x:v>
      </x:c>
      <x:c r="B20" s="20" t="str">
        <x:v>修复启动</x:v>
      </x:c>
      <x:c r="C20" s="20" t="str">
        <x:v>道歉、倾听、责任或补救中的一个或多个节点已经出现</x:v>
      </x:c>
      <x:c r="D20" s="20" t="str">
        <x:v>至少RV2，且有明确修复邀请或动作</x:v>
      </x:c>
      <x:c r="E20" s="52" t="str">
        <x:v>修复已经开始，但仍处于启动阶段。</x:v>
      </x:c>
    </x:row>
    <x:row r="21">
      <x:c r="A21" s="51" t="str">
        <x:v>RS4</x:v>
      </x:c>
      <x:c r="B21" s="20" t="str">
        <x:v>部分修复</x:v>
      </x:c>
      <x:c r="C21" s="20" t="str">
        <x:v>多个必要节点已完成，但至少一个关键节点仍缺失或未验证</x:v>
      </x:c>
      <x:c r="D21" s="20" t="str">
        <x:v>至少RV3，且有明确缺口</x:v>
      </x:c>
      <x:c r="E21" s="52" t="str">
        <x:v>已经完成了一部分修复，当前卡在________。</x:v>
      </x:c>
    </x:row>
    <x:row r="22">
      <x:c r="A22" s="51" t="str">
        <x:v>RS5</x:v>
      </x:c>
      <x:c r="B22" s="20" t="str">
        <x:v>修复闭环候选</x:v>
      </x:c>
      <x:c r="C22" s="20" t="str">
        <x:v>事件类型所需最低节点基本完成，接收反馈和现实改变已进入</x:v>
      </x:c>
      <x:c r="D22" s="20" t="str">
        <x:v>至少RV4／RV5，反例和安全检查通过</x:v>
      </x:c>
      <x:c r="E22" s="52" t="str">
        <x:v>目前具备修复闭环的主要条件，但持续性仍需时间验证。</x:v>
      </x:c>
    </x:row>
    <x:row r="23">
      <x:c r="A23" s="51" t="str">
        <x:v>RS6</x:v>
      </x:c>
      <x:c r="B23" s="20" t="str">
        <x:v>持续修复已验证</x:v>
      </x:c>
      <x:c r="C23" s="20" t="str">
        <x:v>相似情境中改变能够保持，并完成回访、反例和独立佐证</x:v>
      </x:c>
      <x:c r="D23" s="20" t="str">
        <x:v>RV6／RV7，且无重大反例</x:v>
      </x:c>
      <x:c r="E23" s="52" t="str">
        <x:v>从后续表现看，这次修复已经不只是一次动作，而形成了较稳定的新做法。</x:v>
      </x:c>
    </x:row>
    <x:row r="24">
      <x:c r="A24" s="53" t="str">
        <x:v>RS7</x:v>
      </x:c>
      <x:c r="B24" s="54" t="str">
        <x:v>不继续关系／安全路由</x:v>
      </x:c>
      <x:c r="C24" s="54" t="str">
        <x:v>一方选择不原谅、不恢复信任或不继续关系，或现实安全优先</x:v>
      </x:c>
      <x:c r="D24" s="54" t="str">
        <x:v>明确拒绝、退出、保护安排或安全事实</x:v>
      </x:c>
      <x:c r="E24" s="55" t="str">
        <x:v>修复责任与是否继续关系是两件事；不继续也可以是合理选择。</x:v>
      </x:c>
    </x:row>
  </x:sheetData>
  <x:mergeCells>
    <x:mergeCell ref="A1:E1"/>
    <x:mergeCell ref="A2:E2"/>
    <x:mergeCell ref="A15:E15"/>
  </x:mergeCells>
  <x:pageMargins left="0.7" right="0.7" top="0.75" bottom="0.75" header="0.3" footer="0.3"/>
  <x:tableParts count="1">
    <x:tablePart xmlns:r="http://schemas.openxmlformats.org/officeDocument/2006/relationships" r:id="R0fc05c06189a445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4" hidden="0" customWidth="1"/>
    <x:col min="4" max="4" width="38" hidden="0" customWidth="1"/>
    <x:col min="5" max="5" width="34" hidden="0" customWidth="1"/>
  </x:cols>
  <x:sheetData>
    <x:row r="1" ht="28" customHeight="1">
      <x:c r="A1" s="5" t="str">
        <x:v>LP01—LP12与K01—K08修复路由</x:v>
      </x:c>
      <x:c r="B1" s="5"/>
      <x:c r="C1" s="5"/>
      <x:c r="D1" s="5"/>
      <x:c r="E1" s="5"/>
    </x:row>
    <x:row r="2" ht="34" customHeight="1">
      <x:c r="A2" s="13" t="str">
        <x:v>循环类型决定中断点；K机制决定需要补入什么功能。</x:v>
      </x:c>
      <x:c r="B2" s="13"/>
      <x:c r="C2" s="13"/>
      <x:c r="D2" s="13"/>
      <x:c r="E2" s="13"/>
    </x:row>
    <x:row r="4">
      <x:c r="A4" s="48" t="str">
        <x:v>编号</x:v>
      </x:c>
      <x:c r="B4" s="49" t="str">
        <x:v>循环</x:v>
      </x:c>
      <x:c r="C4" s="49" t="str">
        <x:v>关键修复路由</x:v>
      </x:c>
      <x:c r="D4" s="49" t="str">
        <x:v>边界</x:v>
      </x:c>
      <x:c r="E4" s="50" t="str">
        <x:v>完成门槛</x:v>
      </x:c>
    </x:row>
    <x:row r="5">
      <x:c r="A5" s="51" t="str">
        <x:v>LP01</x:v>
      </x:c>
      <x:c r="B5" s="20" t="str">
        <x:v>证明加码循环</x:v>
      </x:c>
      <x:c r="C5" s="20" t="str">
        <x:v>先定义“什么证据已经足够”，再用RN07反馈与RN08持续性替代无限证明</x:v>
      </x:c>
      <x:c r="D5" s="20" t="str">
        <x:v>新承诺或一次证明不能自动结束循环</x:v>
      </x:c>
      <x:c r="E5" s="52" t="str">
        <x:v>需现实反馈与持续验证</x:v>
      </x:c>
    </x:row>
    <x:row r="6">
      <x:c r="A6" s="51" t="str">
        <x:v>LP02</x:v>
      </x:c>
      <x:c r="B6" s="20" t="str">
        <x:v>解释升级循环</x:v>
      </x:c>
      <x:c r="C6" s="20" t="str">
        <x:v>在继续解释前加入RN03影响复述与RN07接收反馈</x:v>
      </x:c>
      <x:c r="D6" s="20" t="str">
        <x:v>更多解释不等于更被理解</x:v>
      </x:c>
      <x:c r="E6" s="52" t="str">
        <x:v>需现实反馈与持续验证</x:v>
      </x:c>
    </x:row>
    <x:row r="7">
      <x:c r="A7" s="51" t="str">
        <x:v>LP03</x:v>
      </x:c>
      <x:c r="B7" s="20" t="str">
        <x:v>和谐延后循环</x:v>
      </x:c>
      <x:c r="C7" s="20" t="str">
        <x:v>降温后设置明确回访点，补做RN02／RN05／RN06</x:v>
      </x:c>
      <x:c r="D7" s="20" t="str">
        <x:v>气氛恢复不能替代关键议题</x:v>
      </x:c>
      <x:c r="E7" s="52" t="str">
        <x:v>需现实反馈与持续验证</x:v>
      </x:c>
    </x:row>
    <x:row r="8">
      <x:c r="A8" s="51" t="str">
        <x:v>LP04</x:v>
      </x:c>
      <x:c r="B8" s="20" t="str">
        <x:v>解决替代循环</x:v>
      </x:c>
      <x:c r="C8" s="20" t="str">
        <x:v>现实方案后加入RN03影响、RN05参与权和RN07反馈</x:v>
      </x:c>
      <x:c r="D8" s="20" t="str">
        <x:v>任务完成不等于关系修复</x:v>
      </x:c>
      <x:c r="E8" s="52" t="str">
        <x:v>需现实反馈与持续验证</x:v>
      </x:c>
    </x:row>
    <x:row r="9">
      <x:c r="A9" s="51" t="str">
        <x:v>LP05</x:v>
      </x:c>
      <x:c r="B9" s="20" t="str">
        <x:v>承接替代改变循环</x:v>
      </x:c>
      <x:c r="C9" s="20" t="str">
        <x:v>理解之后进入RN04责任与RN06现实改变</x:v>
      </x:c>
      <x:c r="D9" s="20" t="str">
        <x:v>被理解不等于行为已改变</x:v>
      </x:c>
      <x:c r="E9" s="52" t="str">
        <x:v>需现实反馈与持续验证</x:v>
      </x:c>
    </x:row>
    <x:row r="10">
      <x:c r="A10" s="51" t="str">
        <x:v>LP06</x:v>
      </x:c>
      <x:c r="B10" s="20" t="str">
        <x:v>投入记账循环</x:v>
      </x:c>
      <x:c r="C10" s="20" t="str">
        <x:v>明确需要、支持形式与回应方式，使用RN07校验而非项目比较</x:v>
      </x:c>
      <x:c r="D10" s="20" t="str">
        <x:v>投入数量不能自动代表关系质量</x:v>
      </x:c>
      <x:c r="E10" s="52" t="str">
        <x:v>需现实反馈与持续验证</x:v>
      </x:c>
    </x:row>
    <x:row r="11">
      <x:c r="A11" s="51" t="str">
        <x:v>LP07</x:v>
      </x:c>
      <x:c r="B11" s="20" t="str">
        <x:v>亲密撤回循环</x:v>
      </x:c>
      <x:c r="C11" s="20" t="str">
        <x:v>用RN05建立空间范围、最低连接与回归点，再由RN08验证</x:v>
      </x:c>
      <x:c r="D11" s="20" t="str">
        <x:v>需要空间不等于拒绝关系</x:v>
      </x:c>
      <x:c r="E11" s="52" t="str">
        <x:v>需现实反馈与持续验证</x:v>
      </x:c>
    </x:row>
    <x:row r="12">
      <x:c r="A12" s="51" t="str">
        <x:v>LP08</x:v>
      </x:c>
      <x:c r="B12" s="20" t="str">
        <x:v>平等竞争循环</x:v>
      </x:c>
      <x:c r="C12" s="20" t="str">
        <x:v>区分人格平等、责任分工与共同决定领域，避免平均伤害责任</x:v>
      </x:c>
      <x:c r="D12" s="20" t="str">
        <x:v>平等不等于每件事逐项对等</x:v>
      </x:c>
      <x:c r="E12" s="52" t="str">
        <x:v>需现实反馈与持续验证</x:v>
      </x:c>
    </x:row>
    <x:row r="13">
      <x:c r="A13" s="51" t="str">
        <x:v>LP09</x:v>
      </x:c>
      <x:c r="B13" s="20" t="str">
        <x:v>规则反弹循环</x:v>
      </x:c>
      <x:c r="C13" s="20" t="str">
        <x:v>共同制定最小可执行规则，加入RN07反馈和RN08复盘</x:v>
      </x:c>
      <x:c r="D13" s="20" t="str">
        <x:v>增加规则数量不等于提高修复质量</x:v>
      </x:c>
      <x:c r="E13" s="52" t="str">
        <x:v>需现实反馈与持续验证</x:v>
      </x:c>
    </x:row>
    <x:row r="14">
      <x:c r="A14" s="51" t="str">
        <x:v>LP10</x:v>
      </x:c>
      <x:c r="B14" s="20" t="str">
        <x:v>新鲜落地循环</x:v>
      </x:c>
      <x:c r="C14" s="20" t="str">
        <x:v>共同体验后转入正财式持续安排和RN08回访</x:v>
      </x:c>
      <x:c r="D14" s="20" t="str">
        <x:v>一次高光不能替代稳定关系安排</x:v>
      </x:c>
      <x:c r="E14" s="52" t="str">
        <x:v>需现实反馈与持续验证</x:v>
      </x:c>
    </x:row>
    <x:row r="15">
      <x:c r="A15" s="51" t="str">
        <x:v>LP11</x:v>
      </x:c>
      <x:c r="B15" s="20" t="str">
        <x:v>暂停断链循环</x:v>
      </x:c>
      <x:c r="C15" s="20" t="str">
        <x:v>暂停前确定目的、范围、最低联系与返回条件</x:v>
      </x:c>
      <x:c r="D15" s="20" t="str">
        <x:v>没有回归点的暂停不能写成有效修复</x:v>
      </x:c>
      <x:c r="E15" s="52" t="str">
        <x:v>需现实反馈与持续验证</x:v>
      </x:c>
    </x:row>
    <x:row r="16">
      <x:c r="A16" s="53" t="str">
        <x:v>LP12</x:v>
      </x:c>
      <x:c r="B16" s="54" t="str">
        <x:v>修复不闭环循环</x:v>
      </x:c>
      <x:c r="C16" s="54" t="str">
        <x:v>按事件类型检查RN01—RN08缺失节点，并优先补反馈、持续性和回访</x:v>
      </x:c>
      <x:c r="D16" s="54" t="str">
        <x:v>道歉、方案或短期缓和不等于闭环</x:v>
      </x:c>
      <x:c r="E16" s="55" t="str">
        <x:v>需现实反馈与持续验证</x:v>
      </x:c>
    </x:row>
    <x:row r="19">
      <x:c r="A19" s="72" t="str">
        <x:v>K01—K08修复功能</x:v>
      </x:c>
      <x:c r="B19" s="73"/>
      <x:c r="C19" s="73"/>
      <x:c r="D19" s="73"/>
      <x:c r="E19" s="74"/>
    </x:row>
    <x:row r="20">
      <x:c r="A20" s="75" t="str">
        <x:v>编号</x:v>
      </x:c>
      <x:c r="B20" s="42" t="str">
        <x:v>机制</x:v>
      </x:c>
      <x:c r="C20" s="42" t="str">
        <x:v>修复重点</x:v>
      </x:c>
      <x:c r="D20" s="42" t="str">
        <x:v>边界</x:v>
      </x:c>
      <x:c r="E20" s="76" t="str">
        <x:v>验证</x:v>
      </x:c>
    </x:row>
    <x:row r="21">
      <x:c r="A21" s="51" t="str">
        <x:v>K01</x:v>
      </x:c>
      <x:c r="B21" s="20" t="str">
        <x:v>过用放大</x:v>
      </x:c>
      <x:c r="C21" s="20" t="str">
        <x:v>减少主通道占位，补入被压缩的必要节点</x:v>
      </x:c>
      <x:c r="D21" s="20" t="str">
        <x:v>不直接决定修复结果</x:v>
      </x:c>
      <x:c r="E21" s="52" t="str">
        <x:v>需现实行动</x:v>
      </x:c>
    </x:row>
    <x:row r="22">
      <x:c r="A22" s="51" t="str">
        <x:v>K02</x:v>
      </x:c>
      <x:c r="B22" s="20" t="str">
        <x:v>功能不足</x:v>
      </x:c>
      <x:c r="C22" s="20" t="str">
        <x:v>寻找同功能替代通道或建立最低可用步骤</x:v>
      </x:c>
      <x:c r="D22" s="20" t="str">
        <x:v>不直接决定修复结果</x:v>
      </x:c>
      <x:c r="E22" s="52" t="str">
        <x:v>需现实行动</x:v>
      </x:c>
    </x:row>
    <x:row r="23">
      <x:c r="A23" s="51" t="str">
        <x:v>K03</x:v>
      </x:c>
      <x:c r="B23" s="20" t="str">
        <x:v>单通道替代</x:v>
      </x:c>
      <x:c r="C23" s="20" t="str">
        <x:v>把熟悉通道与被替代任务分开完成</x:v>
      </x:c>
      <x:c r="D23" s="20" t="str">
        <x:v>不直接决定修复结果</x:v>
      </x:c>
      <x:c r="E23" s="52" t="str">
        <x:v>需现实行动</x:v>
      </x:c>
    </x:row>
    <x:row r="24">
      <x:c r="A24" s="51" t="str">
        <x:v>K04</x:v>
      </x:c>
      <x:c r="B24" s="20" t="str">
        <x:v>顺序错位</x:v>
      </x:c>
      <x:c r="C24" s="20" t="str">
        <x:v>按事件类型调整节点先后，避免过早结案</x:v>
      </x:c>
      <x:c r="D24" s="20" t="str">
        <x:v>不直接决定修复结果</x:v>
      </x:c>
      <x:c r="E24" s="52" t="str">
        <x:v>需现实行动</x:v>
      </x:c>
    </x:row>
    <x:row r="25">
      <x:c r="A25" s="51" t="str">
        <x:v>K05</x:v>
      </x:c>
      <x:c r="B25" s="20" t="str">
        <x:v>双通道竞争</x:v>
      </x:c>
      <x:c r="C25" s="20" t="str">
        <x:v>为两项功能分配阶段和职责，恢复双方参与</x:v>
      </x:c>
      <x:c r="D25" s="20" t="str">
        <x:v>不直接决定修复结果</x:v>
      </x:c>
      <x:c r="E25" s="52" t="str">
        <x:v>需现实行动</x:v>
      </x:c>
    </x:row>
    <x:row r="26">
      <x:c r="A26" s="51" t="str">
        <x:v>K06</x:v>
      </x:c>
      <x:c r="B26" s="20" t="str">
        <x:v>功能转换受阻</x:v>
      </x:c>
      <x:c r="C26" s="20" t="str">
        <x:v>明确桥接节点，使理解、表达、行动、责任与安全能够回流</x:v>
      </x:c>
      <x:c r="D26" s="20" t="str">
        <x:v>不直接决定修复结果</x:v>
      </x:c>
      <x:c r="E26" s="52" t="str">
        <x:v>需现实行动</x:v>
      </x:c>
    </x:row>
    <x:row r="27">
      <x:c r="A27" s="51" t="str">
        <x:v>K07</x:v>
      </x:c>
      <x:c r="B27" s="20" t="str">
        <x:v>反馈回路放大</x:v>
      </x:c>
      <x:c r="C27" s="20" t="str">
        <x:v>在强化节点前加入接收反馈、反例和退出条件</x:v>
      </x:c>
      <x:c r="D27" s="20" t="str">
        <x:v>不直接决定修复结果</x:v>
      </x:c>
      <x:c r="E27" s="52" t="str">
        <x:v>需现实行动</x:v>
      </x:c>
    </x:row>
    <x:row r="28">
      <x:c r="A28" s="53" t="str">
        <x:v>K08</x:v>
      </x:c>
      <x:c r="B28" s="54" t="str">
        <x:v>修复断链</x:v>
      </x:c>
      <x:c r="C28" s="54" t="str">
        <x:v>识别RN01—RN08中缺失、替代或未持续的关键步骤</x:v>
      </x:c>
      <x:c r="D28" s="54" t="str">
        <x:v>不直接决定修复结果</x:v>
      </x:c>
      <x:c r="E28" s="55" t="str">
        <x:v>需现实行动</x:v>
      </x:c>
    </x:row>
  </x:sheetData>
  <x:mergeCells>
    <x:mergeCell ref="A1:E1"/>
    <x:mergeCell ref="A2:E2"/>
    <x:mergeCell ref="A19:E19"/>
  </x:mergeCells>
  <x:pageMargins left="0.7" right="0.7" top="0.75" bottom="0.75" header="0.3" footer="0.3"/>
  <x:tableParts count="1">
    <x:tablePart xmlns:r="http://schemas.openxmlformats.org/officeDocument/2006/relationships" r:id="R8cefa0f79717484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42" hidden="0" customWidth="1"/>
    <x:col min="5" max="5" width="28" hidden="0" customWidth="1"/>
  </x:cols>
  <x:sheetData>
    <x:row r="1" ht="28" customHeight="1">
      <x:c r="A1" s="5" t="str">
        <x:v>透藏、根气、旺弱、制化、位置、动态与现实反例</x:v>
      </x:c>
      <x:c r="B1" s="5"/>
      <x:c r="C1" s="5"/>
      <x:c r="D1" s="5"/>
      <x:c r="E1" s="5"/>
    </x:row>
    <x:row r="2" ht="34" customHeight="1">
      <x:c r="A2" s="13" t="str">
        <x:v>状态只修正修复功能的可见、持续和占位，不决定完成度。</x:v>
      </x:c>
      <x:c r="B2" s="13"/>
      <x:c r="C2" s="13"/>
      <x:c r="D2" s="13"/>
      <x:c r="E2" s="13"/>
    </x:row>
    <x:row r="4">
      <x:c r="A4" s="48" t="str">
        <x:v>代码</x:v>
      </x:c>
      <x:c r="B4" s="49" t="str">
        <x:v>状态</x:v>
      </x:c>
      <x:c r="C4" s="49" t="str">
        <x:v>修正作用</x:v>
      </x:c>
      <x:c r="D4" s="49" t="str">
        <x:v>使用边界</x:v>
      </x:c>
      <x:c r="E4" s="50" t="str">
        <x:v>暂定作用</x:v>
      </x:c>
    </x:row>
    <x:row r="5">
      <x:c r="A5" s="51" t="str">
        <x:v>SM01</x:v>
      </x:c>
      <x:c r="B5" s="20" t="str">
        <x:v>透干且有根</x:v>
      </x:c>
      <x:c r="C5" s="20" t="str">
        <x:v>修复功能较易被看见，也较可能重复调用</x:v>
      </x:c>
      <x:c r="D5" s="20" t="str">
        <x:v>可见与重复不等于完整或有效</x:v>
      </x:c>
      <x:c r="E5" s="52" t="str">
        <x:v>±2至±6；单独不得E2</x:v>
      </x:c>
    </x:row>
    <x:row r="6">
      <x:c r="A6" s="51" t="str">
        <x:v>SM02</x:v>
      </x:c>
      <x:c r="B6" s="20" t="str">
        <x:v>透干但无根</x:v>
      </x:c>
      <x:c r="C6" s="20" t="str">
        <x:v>修复姿态容易早出现，持续性需现实验证</x:v>
      </x:c>
      <x:c r="D6" s="20" t="str">
        <x:v>不能由郑重表态推出长期改变</x:v>
      </x:c>
      <x:c r="E6" s="52" t="str">
        <x:v>±2至±6；单独不得E2</x:v>
      </x:c>
    </x:row>
    <x:row r="7">
      <x:c r="A7" s="51" t="str">
        <x:v>SM03</x:v>
      </x:c>
      <x:c r="B7" s="20" t="str">
        <x:v>藏支且有根</x:v>
      </x:c>
      <x:c r="C7" s="20" t="str">
        <x:v>修复功能可能较隐性、熟悉后或行动中出现</x:v>
      </x:c>
      <x:c r="D7" s="20" t="str">
        <x:v>不能因语言少判断没有修复意愿</x:v>
      </x:c>
      <x:c r="E7" s="52" t="str">
        <x:v>±2至±6；单独不得E2</x:v>
      </x:c>
    </x:row>
    <x:row r="8">
      <x:c r="A8" s="51" t="str">
        <x:v>SM04</x:v>
      </x:c>
      <x:c r="B8" s="20" t="str">
        <x:v>藏而弱远</x:v>
      </x:c>
      <x:c r="C8" s="20" t="str">
        <x:v>只能保留背景候选，不能作为主修复通道</x:v>
      </x:c>
      <x:c r="D8" s="20" t="str">
        <x:v>需要更强现实行为支持</x:v>
      </x:c>
      <x:c r="E8" s="52" t="str">
        <x:v>±2至±6；单独不得E2</x:v>
      </x:c>
    </x:row>
    <x:row r="9">
      <x:c r="A9" s="51" t="str">
        <x:v>SM05</x:v>
      </x:c>
      <x:c r="B9" s="20" t="str">
        <x:v>旺而平衡</x:v>
      </x:c>
      <x:c r="C9" s="20" t="str">
        <x:v>功能调用较熟练，可作为资源</x:v>
      </x:c>
      <x:c r="D9" s="20" t="str">
        <x:v>仍须检查是否承担了不属于它的任务</x:v>
      </x:c>
      <x:c r="E9" s="52" t="str">
        <x:v>±2至±6；单独不得E2</x:v>
      </x:c>
    </x:row>
    <x:row r="10">
      <x:c r="A10" s="51" t="str">
        <x:v>SM06</x:v>
      </x:c>
      <x:c r="B10" s="20" t="str">
        <x:v>旺而失衡</x:v>
      </x:c>
      <x:c r="C10" s="20" t="str">
        <x:v>熟悉功能可能抢先占位，提高RB／RF候选</x:v>
      </x:c>
      <x:c r="D10" s="20" t="str">
        <x:v>不能直接写成恶意或拒绝修复</x:v>
      </x:c>
      <x:c r="E10" s="52" t="str">
        <x:v>±2至±6；单独不得E2</x:v>
      </x:c>
    </x:row>
    <x:row r="11">
      <x:c r="A11" s="51" t="str">
        <x:v>SM07</x:v>
      </x:c>
      <x:c r="B11" s="20" t="str">
        <x:v>偏弱但有助</x:v>
      </x:c>
      <x:c r="C11" s="20" t="str">
        <x:v>特定条件下功能仍可进入</x:v>
      </x:c>
      <x:c r="D11" s="20" t="str">
        <x:v>不能机械判断功能不足</x:v>
      </x:c>
      <x:c r="E11" s="52" t="str">
        <x:v>±2至±6；单独不得E2</x:v>
      </x:c>
    </x:row>
    <x:row r="12">
      <x:c r="A12" s="51" t="str">
        <x:v>SM08</x:v>
      </x:c>
      <x:c r="B12" s="20" t="str">
        <x:v>偏弱且无助</x:v>
      </x:c>
      <x:c r="C12" s="20" t="str">
        <x:v>若当前事件必须依赖该功能，才建立缺失候选</x:v>
      </x:c>
      <x:c r="D12" s="20" t="str">
        <x:v>先检查等价替代通道</x:v>
      </x:c>
      <x:c r="E12" s="52" t="str">
        <x:v>±2至±6；单独不得E2</x:v>
      </x:c>
    </x:row>
    <x:row r="13">
      <x:c r="A13" s="51" t="str">
        <x:v>SM09</x:v>
      </x:c>
      <x:c r="B13" s="20" t="str">
        <x:v>有制有化／有通关</x:v>
      </x:c>
      <x:c r="C13" s="20" t="str">
        <x:v>过用受到限制、缺位得到补入或转换较顺畅</x:v>
      </x:c>
      <x:c r="D13" s="20" t="str">
        <x:v>保护因素必须真实降权</x:v>
      </x:c>
      <x:c r="E13" s="52" t="str">
        <x:v>±2至±6；单独不得E2</x:v>
      </x:c>
    </x:row>
    <x:row r="14">
      <x:c r="A14" s="51" t="str">
        <x:v>SM10</x:v>
      </x:c>
      <x:c r="B14" s="20" t="str">
        <x:v>强而无制</x:v>
      </x:c>
      <x:c r="C14" s="20" t="str">
        <x:v>高压下更易由单一通道占位</x:v>
      </x:c>
      <x:c r="D14" s="20" t="str">
        <x:v>仍需现实事件证明过早结案或替代</x:v>
      </x:c>
      <x:c r="E14" s="52" t="str">
        <x:v>±2至±6；单独不得E2</x:v>
      </x:c>
    </x:row>
    <x:row r="15">
      <x:c r="A15" s="51" t="str">
        <x:v>SM11</x:v>
      </x:c>
      <x:c r="B15" s="20" t="str">
        <x:v>日支主气／日柱近位</x:v>
      </x:c>
      <x:c r="C15" s="20" t="str">
        <x:v>修复功能更易进入亲密关系核心</x:v>
      </x:c>
      <x:c r="D15" s="20" t="str">
        <x:v>同一日支事实不能跨模块重复计分</x:v>
      </x:c>
      <x:c r="E15" s="52" t="str">
        <x:v>±2至±6；单独不得E2</x:v>
      </x:c>
    </x:row>
    <x:row r="16">
      <x:c r="A16" s="51" t="str">
        <x:v>SM12</x:v>
      </x:c>
      <x:c r="B16" s="20" t="str">
        <x:v>中气有效</x:v>
      </x:c>
      <x:c r="C16" s="20" t="str">
        <x:v>可作为第二修复通道或调节因素</x:v>
      </x:c>
      <x:c r="D16" s="20" t="str">
        <x:v>不能与主气平铺同权</x:v>
      </x:c>
      <x:c r="E16" s="52" t="str">
        <x:v>±2至±6；单独不得E2</x:v>
      </x:c>
    </x:row>
    <x:row r="17">
      <x:c r="A17" s="51" t="str">
        <x:v>SM13</x:v>
      </x:c>
      <x:c r="B17" s="20" t="str">
        <x:v>余气有效</x:v>
      </x:c>
      <x:c r="C17" s="20" t="str">
        <x:v>只作背景、特定情境或恢复阶段候选</x:v>
      </x:c>
      <x:c r="D17" s="20" t="str">
        <x:v>没有独立证据不得进入正文</x:v>
      </x:c>
      <x:c r="E17" s="52" t="str">
        <x:v>±2至±6；单独不得E2</x:v>
      </x:c>
    </x:row>
    <x:row r="18">
      <x:c r="A18" s="51" t="str">
        <x:v>SM14</x:v>
      </x:c>
      <x:c r="B18" s="20" t="str">
        <x:v>合冲刑害破</x:v>
      </x:c>
      <x:c r="C18" s="20" t="str">
        <x:v>只修正议题牵连、切换、反复校正、隐性错位或旧方案重组</x:v>
      </x:c>
      <x:c r="D18" s="20" t="str">
        <x:v>不得直接推出修复失败或关系破裂</x:v>
      </x:c>
      <x:c r="E18" s="52" t="str">
        <x:v>±2至±6；单独不得E2</x:v>
      </x:c>
    </x:row>
    <x:row r="19">
      <x:c r="A19" s="51" t="str">
        <x:v>SM15</x:v>
      </x:c>
      <x:c r="B19" s="20" t="str">
        <x:v>真合化成立</x:v>
      </x:c>
      <x:c r="C19" s="20" t="str">
        <x:v>原通道清零，按化神系统重新路由修复功能</x:v>
      </x:c>
      <x:c r="D19" s="20" t="str">
        <x:v>原十神与化神不能并列满分</x:v>
      </x:c>
      <x:c r="E19" s="52" t="str">
        <x:v>±2至±6；单独不得E2</x:v>
      </x:c>
    </x:row>
    <x:row r="20">
      <x:c r="A20" s="53" t="str">
        <x:v>SM16</x:v>
      </x:c>
      <x:c r="B20" s="54" t="str">
        <x:v>阶段覆盖与现实反例</x:v>
      </x:c>
      <x:c r="C20" s="54" t="str">
        <x:v>阶段提高议题显著度；反例可降低或停止候选</x:v>
      </x:c>
      <x:c r="D20" s="54" t="str">
        <x:v>阶段不能创造修复事件或替代现实资料</x:v>
      </x:c>
      <x:c r="E20" s="55" t="str">
        <x:v>±2至±6；单独不得E2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c9d406730a04c7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38" hidden="0" customWidth="1"/>
    <x:col min="5" max="5" width="38" hidden="0" customWidth="1"/>
    <x:col min="6" max="6" width="34" hidden="0" customWidth="1"/>
  </x:cols>
  <x:sheetData>
    <x:row r="1" ht="28" customHeight="1">
      <x:c r="A1" s="5" t="str">
        <x:v>跨模块接口、source_id／event_id去重和安全门控</x:v>
      </x:c>
      <x:c r="B1" s="5"/>
      <x:c r="C1" s="5"/>
      <x:c r="D1" s="5"/>
      <x:c r="E1" s="5"/>
      <x:c r="F1" s="5"/>
    </x:row>
    <x:row r="2" ht="34" customHeight="1">
      <x:c r="A2" s="13" t="str">
        <x:v>高优先级规则必须在输出前逐项检查。</x:v>
      </x:c>
      <x:c r="B2" s="13"/>
      <x:c r="C2" s="13"/>
      <x:c r="D2" s="13"/>
      <x:c r="E2" s="13"/>
      <x:c r="F2" s="13"/>
    </x:row>
    <x:row r="4">
      <x:c r="A4" s="48" t="str">
        <x:v>规则ID</x:v>
      </x:c>
      <x:c r="B4" s="49" t="str">
        <x:v>接口／门控</x:v>
      </x:c>
      <x:c r="C4" s="49" t="str">
        <x:v>类型</x:v>
      </x:c>
      <x:c r="D4" s="49" t="str">
        <x:v>必要条件</x:v>
      </x:c>
      <x:c r="E4" s="49" t="str">
        <x:v>排除／停止</x:v>
      </x:c>
      <x:c r="F4" s="50" t="str">
        <x:v>用户提示</x:v>
      </x:c>
    </x:row>
    <x:row r="5">
      <x:c r="A5" s="51" t="str">
        <x:v>M4-REPAIR-453</x:v>
      </x:c>
      <x:c r="B5" s="20" t="str">
        <x:v>M3-CONFLICT接口｜问题结案字段只作起点</x:v>
      </x:c>
      <x:c r="C5" s="20" t="str">
        <x:v>接口</x:v>
      </x:c>
      <x:c r="D5" s="20" t="str">
        <x:v>M3-CONFLICT确认一轮问题已告一段落。</x:v>
      </x:c>
      <x:c r="E5" s="20" t="str">
        <x:v>把冲突结束条件直接当关系修复完成。</x:v>
      </x:c>
      <x:c r="F5" s="52" t="str">
        <x:v>问题有了处理结果以后，仍要继续看关系层面的修复是否完成。</x:v>
      </x:c>
    </x:row>
    <x:row r="6">
      <x:c r="A6" s="51" t="str">
        <x:v>M4-REPAIR-454</x:v>
      </x:c>
      <x:c r="B6" s="20" t="str">
        <x:v>M3-REPAIR依赖｜正常修复风格尚待建设</x:v>
      </x:c>
      <x:c r="C6" s="20" t="str">
        <x:v>接口</x:v>
      </x:c>
      <x:c r="D6" s="20" t="str">
        <x:v>当前仅使用暂定修复节点和功能通道。</x:v>
      </x:c>
      <x:c r="E6" s="20" t="str">
        <x:v>把M4卡点模型当成完整修复能力评价。</x:v>
      </x:c>
      <x:c r="F6" s="52" t="str">
        <x:v>当前结论只说明修复链哪里可能卡住，不等同你的完整修复风格。</x:v>
      </x:c>
    </x:row>
    <x:row r="7">
      <x:c r="A7" s="51" t="str">
        <x:v>M4-REPAIR-455</x:v>
      </x:c>
      <x:c r="B7" s="20" t="str">
        <x:v>M3-STATE依赖｜平稳、压力与恢复需后续校准</x:v>
      </x:c>
      <x:c r="C7" s="20" t="str">
        <x:v>接口</x:v>
      </x:c>
      <x:c r="D7" s="20" t="str">
        <x:v>使用TRIGGER的ST0—ST3作为暂定状态路由。</x:v>
      </x:c>
      <x:c r="E7" s="20" t="str">
        <x:v>把高压时一次修复方式当日常固定模式。</x:v>
      </x:c>
      <x:c r="F7" s="52" t="str">
        <x:v>要区分这是高压下的临时顺序，还是平稳时也会重复。</x:v>
      </x:c>
    </x:row>
    <x:row r="8">
      <x:c r="A8" s="51" t="str">
        <x:v>M4-REPAIR-456</x:v>
      </x:c>
      <x:c r="B8" s="20" t="str">
        <x:v>M3-CARE接口｜补偿与投入只是一类修复行动</x:v>
      </x:c>
      <x:c r="C8" s="20" t="str">
        <x:v>接口</x:v>
      </x:c>
      <x:c r="D8" s="20" t="str">
        <x:v>现实投入与当前影响、责任和反馈相匹配。</x:v>
      </x:c>
      <x:c r="E8" s="20" t="str">
        <x:v>把CARE投入直接当修复闭环。</x:v>
      </x:c>
      <x:c r="F8" s="52" t="str">
        <x:v>现实投入很重要，但还要看它是否回应了真正的影响和需要。</x:v>
      </x:c>
    </x:row>
    <x:row r="9">
      <x:c r="A9" s="51" t="str">
        <x:v>M4-REPAIR-457</x:v>
      </x:c>
      <x:c r="B9" s="20" t="str">
        <x:v>M3-BOUND接口｜修复必须恢复选择与边界</x:v>
      </x:c>
      <x:c r="C9" s="20" t="str">
        <x:v>接口</x:v>
      </x:c>
      <x:c r="D9" s="20" t="str">
        <x:v>事件涉及边界、权限、空间或决定权。</x:v>
      </x:c>
      <x:c r="E9" s="20" t="str">
        <x:v>只要求重新靠近，不恢复选择权。</x:v>
      </x:c>
      <x:c r="F9" s="52" t="str">
        <x:v>修复不能只恢复联系，还要确认双方的决定权和边界是否被重新尊重。</x:v>
      </x:c>
    </x:row>
    <x:row r="10">
      <x:c r="A10" s="51" t="str">
        <x:v>M4-REPAIR-458</x:v>
      </x:c>
      <x:c r="B10" s="20" t="str">
        <x:v>M3-EXPR接口｜解释表达不能替代接收反馈</x:v>
      </x:c>
      <x:c r="C10" s="20" t="str">
        <x:v>接口</x:v>
      </x:c>
      <x:c r="D10" s="20" t="str">
        <x:v>表达通道已进入修复。</x:v>
      </x:c>
      <x:c r="E10" s="20" t="str">
        <x:v>把表达充分当理解完成。</x:v>
      </x:c>
      <x:c r="F10" s="52" t="str">
        <x:v>说清楚以后还要确认对方实际听到了什么，以及是否需要调整。</x:v>
      </x:c>
    </x:row>
    <x:row r="11">
      <x:c r="A11" s="51" t="str">
        <x:v>M4-REPAIR-459</x:v>
      </x:c>
      <x:c r="B11" s="20" t="str">
        <x:v>M4-BUFFER接口｜保护因素必须真实改变修复链</x:v>
      </x:c>
      <x:c r="C11" s="20" t="str">
        <x:v>接口</x:v>
      </x:c>
      <x:c r="D11" s="20" t="str">
        <x:v>存在制化、通关、现实支持或稳定反例。</x:v>
      </x:c>
      <x:c r="E11" s="20" t="str">
        <x:v>只在文末象征性写“有保护”。</x:v>
      </x:c>
      <x:c r="F11" s="52" t="str">
        <x:v>若已有稳定的倾听、边界、责任或回访机制，这项卡点应明显降权。</x:v>
      </x:c>
    </x:row>
    <x:row r="12">
      <x:c r="A12" s="51" t="str">
        <x:v>M4-REPAIR-460</x:v>
      </x:c>
      <x:c r="B12" s="20" t="str">
        <x:v>M5接口｜修复卡点不等于适配结论</x:v>
      </x:c>
      <x:c r="C12" s="20" t="str">
        <x:v>边界</x:v>
      </x:c>
      <x:c r="D12" s="20" t="str">
        <x:v>只描述修复所需结构。</x:v>
      </x:c>
      <x:c r="E12" s="20" t="str">
        <x:v>由修复卡点直接断定某类伴侣一定适合或不适合。</x:v>
      </x:c>
      <x:c r="F12" s="52" t="str">
        <x:v>这里说明的是关系需要什么修复条件，不直接决定谁最适合你。</x:v>
      </x:c>
    </x:row>
    <x:row r="13">
      <x:c r="A13" s="51" t="str">
        <x:v>M4-REPAIR-461</x:v>
      </x:c>
      <x:c r="B13" s="20" t="str">
        <x:v>source_id去重｜同一命理事实只计一次</x:v>
      </x:c>
      <x:c r="C13" s="20" t="str">
        <x:v>去重</x:v>
      </x:c>
      <x:c r="D13" s="20" t="str">
        <x:v>同一十神、日支或状态被多个模块使用。</x:v>
      </x:c>
      <x:c r="E13" s="20" t="str">
        <x:v>跨模块重复增加独立证据。</x:v>
      </x:c>
      <x:c r="F13" s="52" t="str">
        <x:v>同一个命盘事实不能因为出现在多个模块就变成多份证据。</x:v>
      </x:c>
    </x:row>
    <x:row r="14">
      <x:c r="A14" s="51" t="str">
        <x:v>M4-REPAIR-462</x:v>
      </x:c>
      <x:c r="B14" s="20" t="str">
        <x:v>event_id去重｜同一修复事件只计一次</x:v>
      </x:c>
      <x:c r="C14" s="20" t="str">
        <x:v>去重</x:v>
      </x:c>
      <x:c r="D14" s="20" t="str">
        <x:v>同一道歉、行动、反馈或回访被多次引用。</x:v>
      </x:c>
      <x:c r="E14" s="20" t="str">
        <x:v>同一事件拆成多条独立现实证据。</x:v>
      </x:c>
      <x:c r="F14" s="52" t="str">
        <x:v>同一次修复可以拆解步骤，但不能当成多次独立修复。</x:v>
      </x:c>
    </x:row>
    <x:row r="15">
      <x:c r="A15" s="51" t="str">
        <x:v>M4-REPAIR-463</x:v>
      </x:c>
      <x:c r="B15" s="20" t="str">
        <x:v>接收方反馈门控｜无RN07不得写双方闭环</x:v>
      </x:c>
      <x:c r="C15" s="20" t="str">
        <x:v>门控</x:v>
      </x:c>
      <x:c r="D15" s="20" t="str">
        <x:v>接收方有具体反馈并被二次调整。</x:v>
      </x:c>
      <x:c r="E15" s="20" t="str">
        <x:v>只有发起方陈述。</x:v>
      </x:c>
      <x:c r="F15" s="52" t="str">
        <x:v>没有接收方真实反馈时，只能说一方完成了部分责任，不能说双方已经闭环。</x:v>
      </x:c>
    </x:row>
    <x:row r="16">
      <x:c r="A16" s="53" t="str">
        <x:v>M4-REPAIR-464</x:v>
      </x:c>
      <x:c r="B16" s="54" t="str">
        <x:v>安全门控｜RI08／RF08优先停止普通修复</x:v>
      </x:c>
      <x:c r="C16" s="54" t="str">
        <x:v>安全</x:v>
      </x:c>
      <x:c r="D16" s="54" t="str">
        <x:v>不存在安全风险，或已由现实支持处理。</x:v>
      </x:c>
      <x:c r="E16" s="54" t="str">
        <x:v>安全风险仍在却继续普通修复建议。</x:v>
      </x:c>
      <x:c r="F16" s="55" t="str">
        <x:v>若伤害仍在继续，应先处理安全和责任，不以恢复关系为优先。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03b10488b6241b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32" hidden="0" customWidth="1"/>
    <x:col min="5" max="5" width="42" hidden="0" customWidth="1"/>
  </x:cols>
  <x:sheetData>
    <x:row r="1" ht="28" customHeight="1">
      <x:c r="A1" s="5" t="str">
        <x:v>E0—E4、主次门槛与置信度</x:v>
      </x:c>
      <x:c r="B1" s="5"/>
      <x:c r="C1" s="5"/>
      <x:c r="D1" s="5"/>
      <x:c r="E1" s="5"/>
    </x:row>
    <x:row r="2" ht="34" customHeight="1">
      <x:c r="A2" s="13" t="str">
        <x:v>分值是工程参数，不是统计概率。</x:v>
      </x:c>
      <x:c r="B2" s="13"/>
      <x:c r="C2" s="13"/>
      <x:c r="D2" s="13"/>
      <x:c r="E2" s="13"/>
    </x:row>
    <x:row r="4">
      <x:c r="A4" s="48" t="str">
        <x:v>等级／类型</x:v>
      </x:c>
      <x:c r="B4" s="49" t="str">
        <x:v>名称</x:v>
      </x:c>
      <x:c r="C4" s="49" t="str">
        <x:v>成立条件</x:v>
      </x:c>
      <x:c r="D4" s="49" t="str">
        <x:v>发布上限</x:v>
      </x:c>
      <x:c r="E4" s="50" t="str">
        <x:v>边界</x:v>
      </x:c>
    </x:row>
    <x:row r="5">
      <x:c r="A5" s="51" t="str">
        <x:v>E0</x:v>
      </x:c>
      <x:c r="B5" s="20" t="str">
        <x:v>停止／资料不足</x:v>
      </x:c>
      <x:c r="C5" s="20" t="str">
        <x:v>安全风险、关键资料缺失或合化争议</x:v>
      </x:c>
      <x:c r="D5" s="20" t="str">
        <x:v>停止</x:v>
      </x:c>
      <x:c r="E5" s="52" t="str">
        <x:v>说明原因</x:v>
      </x:c>
    </x:row>
    <x:row r="6">
      <x:c r="A6" s="51" t="str">
        <x:v>E1</x:v>
      </x:c>
      <x:c r="B6" s="20" t="str">
        <x:v>结构候选</x:v>
      </x:c>
      <x:c r="C6" s="20" t="str">
        <x:v>净分≥24＋两类独立结构证据</x:v>
      </x:c>
      <x:c r="D6" s="20" t="str">
        <x:v>只能写可能卡点</x:v>
      </x:c>
      <x:c r="E6" s="52" t="str">
        <x:v>不得写现实失败</x:v>
      </x:c>
    </x:row>
    <x:row r="7">
      <x:c r="A7" s="51" t="str">
        <x:v>E2</x:v>
      </x:c>
      <x:c r="B7" s="20" t="str">
        <x:v>事件卡点</x:v>
      </x:c>
      <x:c r="C7" s="20" t="str">
        <x:v>净分≥38＋具体事件＋缺失节点／替代</x:v>
      </x:c>
      <x:c r="D7" s="20" t="str">
        <x:v>可写条件性卡点</x:v>
      </x:c>
      <x:c r="E7" s="52" t="str">
        <x:v>需接收反馈或第二来源</x:v>
      </x:c>
    </x:row>
    <x:row r="8">
      <x:c r="A8" s="51" t="str">
        <x:v>E3</x:v>
      </x:c>
      <x:c r="B8" s="20" t="str">
        <x:v>重复断链</x:v>
      </x:c>
      <x:c r="C8" s="20" t="str">
        <x:v>净分≥54＋至少两次相似修复事件</x:v>
      </x:c>
      <x:c r="D8" s="20" t="str">
        <x:v>可写重复候选</x:v>
      </x:c>
      <x:c r="E8" s="52" t="str">
        <x:v>反例检查</x:v>
      </x:c>
    </x:row>
    <x:row r="9">
      <x:c r="A9" s="51" t="str">
        <x:v>E4</x:v>
      </x:c>
      <x:c r="B9" s="20" t="str">
        <x:v>已验证模式</x:v>
      </x:c>
      <x:c r="C9" s="20" t="str">
        <x:v>净分≥70＋跨时间／情境＋独立佐证</x:v>
      </x:c>
      <x:c r="D9" s="20" t="str">
        <x:v>可写已验证</x:v>
      </x:c>
      <x:c r="E9" s="52" t="str">
        <x:v>仍不推关系结局</x:v>
      </x:c>
    </x:row>
    <x:row r="10">
      <x:c r="A10" s="51" t="str">
        <x:v>主卡点</x:v>
      </x:c>
      <x:c r="B10" s="20" t="str">
        <x:v>primary</x:v>
      </x:c>
      <x:c r="C10" s="20" t="str">
        <x:v>≥38且领先第二候选≥8分</x:v>
      </x:c>
      <x:c r="D10" s="20" t="str">
        <x:v>正文保留一个</x:v>
      </x:c>
      <x:c r="E10" s="52" t="str">
        <x:v>来源独立</x:v>
      </x:c>
    </x:row>
    <x:row r="11">
      <x:c r="A11" s="53" t="str">
        <x:v>次卡点</x:v>
      </x:c>
      <x:c r="B11" s="54" t="str">
        <x:v>secondary</x:v>
      </x:c>
      <x:c r="C11" s="54" t="str">
        <x:v>≥28且功能不同</x:v>
      </x:c>
      <x:c r="D11" s="54" t="str">
        <x:v>最多一个</x:v>
      </x:c>
      <x:c r="E11" s="55" t="str">
        <x:v>不可同义重复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238f0bc49f8472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2" hidden="0" customWidth="1"/>
    <x:col min="4" max="4" width="22" hidden="0" customWidth="1"/>
    <x:col min="5" max="5" width="12" hidden="0" customWidth="1"/>
    <x:col min="6" max="6" width="14" hidden="0" customWidth="1"/>
    <x:col min="7" max="7" width="20" hidden="0" customWidth="1"/>
    <x:col min="8" max="8" width="22" hidden="0" customWidth="1"/>
    <x:col min="9" max="9" width="42" hidden="0" customWidth="1"/>
    <x:col min="10" max="10" width="4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10" hidden="0" customWidth="1"/>
    <x:col min="22" max="22" width="24" hidden="0" customWidth="1"/>
    <x:col min="23" max="23" width="22" hidden="0" customWidth="1"/>
    <x:col min="24" max="24" width="46" hidden="0" customWidth="1"/>
    <x:col min="25" max="25" width="46" hidden="0" customWidth="1"/>
    <x:col min="26" max="26" width="46" hidden="0" customWidth="1"/>
    <x:col min="27" max="27" width="12" hidden="0" customWidth="1"/>
    <x:col min="28" max="28" width="12" hidden="0" customWidth="1"/>
    <x:col min="29" max="29" width="18" hidden="0" customWidth="1"/>
    <x:col min="30" max="30" width="32" hidden="0" customWidth="1"/>
    <x:col min="31" max="31" width="8" hidden="0" customWidth="1"/>
  </x:cols>
  <x:sheetData>
    <x:row r="1">
      <x:c r="A1" s="48" t="str">
        <x:v>rule_id</x:v>
      </x:c>
      <x:c r="B1" s="49" t="str">
        <x:v>rule_name</x:v>
      </x:c>
      <x:c r="C1" s="49" t="str">
        <x:v>layer</x:v>
      </x:c>
      <x:c r="D1" s="49" t="str">
        <x:v>module</x:v>
      </x:c>
      <x:c r="E1" s="49" t="str">
        <x:v>applicable_group</x:v>
      </x:c>
      <x:c r="F1" s="49" t="str">
        <x:v>rule_type</x:v>
      </x:c>
      <x:c r="G1" s="49" t="str">
        <x:v>main_signal</x:v>
      </x:c>
      <x:c r="H1" s="49" t="str">
        <x:v>secondary_signal</x:v>
      </x:c>
      <x:c r="I1" s="49" t="str">
        <x:v>required_conditions</x:v>
      </x:c>
      <x:c r="J1" s="49" t="str">
        <x:v>excluded_conditions</x:v>
      </x:c>
      <x:c r="K1" s="49" t="str">
        <x:v>self_strength_status</x:v>
      </x:c>
      <x:c r="L1" s="49" t="str">
        <x:v>spouse_star_status</x:v>
      </x:c>
      <x:c r="M1" s="49" t="str">
        <x:v>palace_signal</x:v>
      </x:c>
      <x:c r="N1" s="49" t="str">
        <x:v>flow_path</x:v>
      </x:c>
      <x:c r="O1" s="49" t="str">
        <x:v>signal_position</x:v>
      </x:c>
      <x:c r="P1" s="49" t="str">
        <x:v>root_status</x:v>
      </x:c>
      <x:c r="Q1" s="49" t="str">
        <x:v>strength_level</x:v>
      </x:c>
      <x:c r="R1" s="49" t="str">
        <x:v>favorability</x:v>
      </x:c>
      <x:c r="S1" s="49" t="str">
        <x:v>transformation_status</x:v>
      </x:c>
      <x:c r="T1" s="49" t="str">
        <x:v>distance_level</x:v>
      </x:c>
      <x:c r="U1" s="49" t="str">
        <x:v>priority</x:v>
      </x:c>
      <x:c r="V1" s="49" t="str">
        <x:v>score_effect</x:v>
      </x:c>
      <x:c r="W1" s="49" t="str">
        <x:v>output_slot</x:v>
      </x:c>
      <x:c r="X1" s="49" t="str">
        <x:v>internal_logic</x:v>
      </x:c>
      <x:c r="Y1" s="49" t="str">
        <x:v>user_explanation</x:v>
      </x:c>
      <x:c r="Z1" s="49" t="str">
        <x:v>forbidden_inference</x:v>
      </x:c>
      <x:c r="AA1" s="49" t="str">
        <x:v>confidence_base</x:v>
      </x:c>
      <x:c r="AB1" s="49" t="str">
        <x:v>validation_status</x:v>
      </x:c>
      <x:c r="AC1" s="49" t="str">
        <x:v>case_refs</x:v>
      </x:c>
      <x:c r="AD1" s="49" t="str">
        <x:v>notes</x:v>
      </x:c>
      <x:c r="AE1" s="50" t="str">
        <x:v>version</x:v>
      </x:c>
    </x:row>
    <x:row r="2">
      <x:c r="A2" s="51" t="str">
        <x:v>M4-REPAIR-001</x:v>
      </x:c>
      <x:c r="B2" s="20" t="str">
        <x:v>M4-REPAIR正式定义｜修复卡点、回流断点与完成边界</x:v>
      </x:c>
      <x:c r="C2" s="20" t="str">
        <x:v>L0 定义、边界与证据合同</x:v>
      </x:c>
      <x:c r="D2" s="20" t="str">
        <x:v>REPAIR-定义边界</x:v>
      </x:c>
      <x:c r="E2" s="20" t="str">
        <x:v>通用</x:v>
      </x:c>
      <x:c r="F2" s="20" t="str">
        <x:v>定义</x:v>
      </x:c>
      <x:c r="G2" s="20" t="str">
        <x:v>M4-REPAIR模块规则</x:v>
      </x:c>
      <x:c r="H2" s="20" t="str"/>
      <x:c r="I2" s="20" t="str">
        <x:v>已经存在一件可还原的分歧、伤害、失约、边界或循环事件，并准备区分问题结案与关系修复。</x:v>
      </x:c>
      <x:c r="J2" s="20" t="str">
        <x:v>只凭十神、旺弱或宫位动态判断修复成败。</x:v>
      </x:c>
      <x:c r="K2" s="20" t="str">
        <x:v>由共享基础引擎提供；仅修正修复功能的承载、持续与压力占位，不直接等同是否愿意认错或能否修复。</x:v>
      </x:c>
      <x:c r="L2" s="20" t="str">
        <x:v>由M1／M2提供；夫妻星只说明伴侣原型与关系资格，不单独证明修复能力、修复意愿或修复结果。</x:v>
      </x:c>
      <x:c r="M2" s="20" t="str">
        <x:v>由M3-BASE提供；日支底盘说明亲密关系中自然调用的功能，但不能单独证明修复闭环。</x:v>
      </x:c>
      <x:c r="N2" s="20" t="str">
        <x:v>由M3-CONFLICT、M4-LOOP及现实事件提供；必须区分问题停止、责任承担、影响确认、行动改变、反馈整合与后续回访。</x:v>
      </x:c>
      <x:c r="O2" s="20" t="str">
        <x:v>由共享基础引擎判定；近位提高相关功能进入亲密关系核心的概率，远位只作背景或阶段修正。</x:v>
      </x:c>
      <x:c r="P2" s="20" t="str">
        <x:v>根气只修正某修复功能是否容易重复调用，不等于现实中已经持续改变。</x:v>
      </x:c>
      <x:c r="Q2" s="20" t="str">
        <x:v>旺弱只修正功能调用强度与占位，不直接等同修复质量、诚意或关系结果。</x:v>
      </x:c>
      <x:c r="R2" s="20" t="str">
        <x:v>喜忌只修正功能摩擦、平衡与承载，不直接等同道德、成熟、善恶或是否值得原谅。</x:v>
      </x:c>
      <x:c r="S2" s="20" t="str">
        <x:v>原十神功能有效；真合化成立时按化神功能替换，合化争议时停止定性。</x:v>
      </x:c>
      <x:c r="T2" s="20" t="str">
        <x:v>近位提高修复议题与亲密关系的直接相关性；远位仅保留背景、阶段或低置信修正。</x:v>
      </x:c>
      <x:c r="U2" s="20" t="str">
        <x:v>99</x:v>
      </x:c>
      <x:c r="V2" s="20" t="str">
        <x:v>不加分；定义／门控</x:v>
      </x:c>
      <x:c r="W2" s="20" t="str">
        <x:v>report_status</x:v>
      </x:c>
      <x:c r="X2" s="20" t="str">
        <x:v>M4-REPAIR识别的是修复链中哪一步缺失、被替代、过早关闭或未持续，不给人贴“不会修复”的人格标签。</x:v>
      </x:c>
      <x:c r="Y2" s="20" t="str">
        <x:v>这一部分看的是：事情结束以后，关系需要的哪些步骤已经完成，哪些步骤仍然没有回流。</x:v>
      </x:c>
      <x:c r="Z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" s="20" t="str">
        <x:v>高</x:v>
      </x:c>
      <x:c r="AB2" s="20" t="str">
        <x:v>待验证</x:v>
      </x:c>
      <x:c r="AC2" s="20" t="str"/>
      <x:c r="AD2" s="20" t="str">
        <x:v>provisional=true；M3-REPAIR尚未完成，完成条件为暂定功能模型。</x:v>
      </x:c>
      <x:c r="AE2" s="52" t="str">
        <x:v>0.7</x:v>
      </x:c>
    </x:row>
    <x:row r="3">
      <x:c r="A3" s="51" t="str">
        <x:v>M4-REPAIR-002</x:v>
      </x:c>
      <x:c r="B3" s="20" t="str">
        <x:v>问题停止不等于关系修复｜必须分开两套完成条件</x:v>
      </x:c>
      <x:c r="C3" s="20" t="str">
        <x:v>L0 定义、边界与证据合同</x:v>
      </x:c>
      <x:c r="D3" s="20" t="str">
        <x:v>REPAIR-定义边界</x:v>
      </x:c>
      <x:c r="E3" s="20" t="str">
        <x:v>通用</x:v>
      </x:c>
      <x:c r="F3" s="20" t="str">
        <x:v>边界</x:v>
      </x:c>
      <x:c r="G3" s="20" t="str">
        <x:v>问题结案与关系修复</x:v>
      </x:c>
      <x:c r="H3" s="20" t="str"/>
      <x:c r="I3" s="20" t="str">
        <x:v>能够分别记录事件是否停止、任务是否解决、感受是否被看见、责任是否承担和行为是否改变。</x:v>
      </x:c>
      <x:c r="J3" s="20" t="str">
        <x:v>把不再争论、问题解决或情绪平静直接写成关系已经修复。</x:v>
      </x:c>
      <x:c r="K3" s="20" t="str">
        <x:v>由共享基础引擎提供；仅修正修复功能的承载、持续与压力占位，不直接等同是否愿意认错或能否修复。</x:v>
      </x:c>
      <x:c r="L3" s="20" t="str">
        <x:v>由M1／M2提供；夫妻星只说明伴侣原型与关系资格，不单独证明修复能力、修复意愿或修复结果。</x:v>
      </x:c>
      <x:c r="M3" s="20" t="str">
        <x:v>由M3-BASE提供；日支底盘说明亲密关系中自然调用的功能，但不能单独证明修复闭环。</x:v>
      </x:c>
      <x:c r="N3" s="20" t="str">
        <x:v>由M3-CONFLICT、M4-LOOP及现实事件提供；必须区分问题停止、责任承担、影响确认、行动改变、反馈整合与后续回访。</x:v>
      </x:c>
      <x:c r="O3" s="20" t="str">
        <x:v>由共享基础引擎判定；近位提高相关功能进入亲密关系核心的概率，远位只作背景或阶段修正。</x:v>
      </x:c>
      <x:c r="P3" s="20" t="str">
        <x:v>根气只修正某修复功能是否容易重复调用，不等于现实中已经持续改变。</x:v>
      </x:c>
      <x:c r="Q3" s="20" t="str">
        <x:v>旺弱只修正功能调用强度与占位，不直接等同修复质量、诚意或关系结果。</x:v>
      </x:c>
      <x:c r="R3" s="20" t="str">
        <x:v>喜忌只修正功能摩擦、平衡与承载，不直接等同道德、成熟、善恶或是否值得原谅。</x:v>
      </x:c>
      <x:c r="S3" s="20" t="str">
        <x:v>原十神功能有效；真合化成立时按化神功能替换，合化争议时停止定性。</x:v>
      </x:c>
      <x:c r="T3" s="20" t="str">
        <x:v>近位提高修复议题与亲密关系的直接相关性；远位仅保留背景、阶段或低置信修正。</x:v>
      </x:c>
      <x:c r="U3" s="20" t="str">
        <x:v>99</x:v>
      </x:c>
      <x:c r="V3" s="20" t="str">
        <x:v>核心门控</x:v>
      </x:c>
      <x:c r="W3" s="20" t="str">
        <x:v>repair_level</x:v>
      </x:c>
      <x:c r="X3" s="20" t="str">
        <x:v>问题结案关注事件和任务；关系修复关注影响、参与权、责任、行为改变、反馈和持续性。</x:v>
      </x:c>
      <x:c r="Y3" s="20" t="str">
        <x:v>事情可以已经结束，但关系是否修复，还要看影响有没有被看见、责任有没有承担、改变有没有持续。</x:v>
      </x:c>
      <x:c r="Z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" s="20" t="str">
        <x:v>高</x:v>
      </x:c>
      <x:c r="AB3" s="20" t="str">
        <x:v>待验证</x:v>
      </x:c>
      <x:c r="AC3" s="20" t="str"/>
      <x:c r="AD3" s="20" t="str">
        <x:v>provisional=true；M3-REPAIR尚未完成，完成条件为暂定功能模型。</x:v>
      </x:c>
      <x:c r="AE3" s="52" t="str">
        <x:v>0.7</x:v>
      </x:c>
    </x:row>
    <x:row r="4">
      <x:c r="A4" s="51" t="str">
        <x:v>M4-REPAIR-003</x:v>
      </x:c>
      <x:c r="B4" s="20" t="str">
        <x:v>修复尝试不等于修复完成｜一次动作只能证明启动</x:v>
      </x:c>
      <x:c r="C4" s="20" t="str">
        <x:v>L0 定义、边界与证据合同</x:v>
      </x:c>
      <x:c r="D4" s="20" t="str">
        <x:v>REPAIR-定义边界</x:v>
      </x:c>
      <x:c r="E4" s="20" t="str">
        <x:v>通用</x:v>
      </x:c>
      <x:c r="F4" s="20" t="str">
        <x:v>边界</x:v>
      </x:c>
      <x:c r="G4" s="20" t="str">
        <x:v>尝试与完成</x:v>
      </x:c>
      <x:c r="H4" s="20" t="str"/>
      <x:c r="I4" s="20" t="str">
        <x:v>存在道歉、解释、安抚、补偿、方案或重新联系等动作。</x:v>
      </x:c>
      <x:c r="J4" s="20" t="str">
        <x:v>只出现一次修复动作就发布“已经修复”。</x:v>
      </x:c>
      <x:c r="K4" s="20" t="str">
        <x:v>由共享基础引擎提供；仅修正修复功能的承载、持续与压力占位，不直接等同是否愿意认错或能否修复。</x:v>
      </x:c>
      <x:c r="L4" s="20" t="str">
        <x:v>由M1／M2提供；夫妻星只说明伴侣原型与关系资格，不单独证明修复能力、修复意愿或修复结果。</x:v>
      </x:c>
      <x:c r="M4" s="20" t="str">
        <x:v>由M3-BASE提供；日支底盘说明亲密关系中自然调用的功能，但不能单独证明修复闭环。</x:v>
      </x:c>
      <x:c r="N4" s="20" t="str">
        <x:v>由M3-CONFLICT、M4-LOOP及现实事件提供；必须区分问题停止、责任承担、影响确认、行动改变、反馈整合与后续回访。</x:v>
      </x:c>
      <x:c r="O4" s="20" t="str">
        <x:v>由共享基础引擎判定；近位提高相关功能进入亲密关系核心的概率，远位只作背景或阶段修正。</x:v>
      </x:c>
      <x:c r="P4" s="20" t="str">
        <x:v>根气只修正某修复功能是否容易重复调用，不等于现实中已经持续改变。</x:v>
      </x:c>
      <x:c r="Q4" s="20" t="str">
        <x:v>旺弱只修正功能调用强度与占位，不直接等同修复质量、诚意或关系结果。</x:v>
      </x:c>
      <x:c r="R4" s="20" t="str">
        <x:v>喜忌只修正功能摩擦、平衡与承载，不直接等同道德、成熟、善恶或是否值得原谅。</x:v>
      </x:c>
      <x:c r="S4" s="20" t="str">
        <x:v>原十神功能有效；真合化成立时按化神功能替换，合化争议时停止定性。</x:v>
      </x:c>
      <x:c r="T4" s="20" t="str">
        <x:v>近位提高修复议题与亲密关系的直接相关性；远位仅保留背景、阶段或低置信修正。</x:v>
      </x:c>
      <x:c r="U4" s="20" t="str">
        <x:v>98</x:v>
      </x:c>
      <x:c r="V4" s="20" t="str">
        <x:v>完成度降级</x:v>
      </x:c>
      <x:c r="W4" s="20" t="str">
        <x:v>repair_status</x:v>
      </x:c>
      <x:c r="X4" s="20" t="str">
        <x:v>任何单一动作都只能证明修复尝试或某个节点出现，不能替代完整闭环。</x:v>
      </x:c>
      <x:c r="Y4" s="20" t="str">
        <x:v>一次道歉、一次解释或一次补救，说明修复已经开始，但还不能单独证明关系已经恢复。</x:v>
      </x:c>
      <x:c r="Z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" s="20" t="str">
        <x:v>高</x:v>
      </x:c>
      <x:c r="AB4" s="20" t="str">
        <x:v>待验证</x:v>
      </x:c>
      <x:c r="AC4" s="20" t="str"/>
      <x:c r="AD4" s="20" t="str">
        <x:v>provisional=true；M3-REPAIR尚未完成，完成条件为暂定功能模型。</x:v>
      </x:c>
      <x:c r="AE4" s="52" t="str">
        <x:v>0.7</x:v>
      </x:c>
    </x:row>
    <x:row r="5">
      <x:c r="A5" s="51" t="str">
        <x:v>M4-REPAIR-004</x:v>
      </x:c>
      <x:c r="B5" s="20" t="str">
        <x:v>一方可以启动修复，但不能单独完成双方闭环</x:v>
      </x:c>
      <x:c r="C5" s="20" t="str">
        <x:v>L0 定义、边界与证据合同</x:v>
      </x:c>
      <x:c r="D5" s="20" t="str">
        <x:v>REPAIR-定义边界</x:v>
      </x:c>
      <x:c r="E5" s="20" t="str">
        <x:v>通用</x:v>
      </x:c>
      <x:c r="F5" s="20" t="str">
        <x:v>边界</x:v>
      </x:c>
      <x:c r="G5" s="20" t="str">
        <x:v>双向闭环</x:v>
      </x:c>
      <x:c r="H5" s="20" t="str"/>
      <x:c r="I5" s="20" t="str">
        <x:v>区分发起者行动、接收者反馈、二次调整和后续回访。</x:v>
      </x:c>
      <x:c r="J5" s="20" t="str">
        <x:v>只有一方不断道歉或补救，却写成双方已经完成修复。</x:v>
      </x:c>
      <x:c r="K5" s="20" t="str">
        <x:v>由共享基础引擎提供；仅修正修复功能的承载、持续与压力占位，不直接等同是否愿意认错或能否修复。</x:v>
      </x:c>
      <x:c r="L5" s="20" t="str">
        <x:v>由M1／M2提供；夫妻星只说明伴侣原型与关系资格，不单独证明修复能力、修复意愿或修复结果。</x:v>
      </x:c>
      <x:c r="M5" s="20" t="str">
        <x:v>由M3-BASE提供；日支底盘说明亲密关系中自然调用的功能，但不能单独证明修复闭环。</x:v>
      </x:c>
      <x:c r="N5" s="20" t="str">
        <x:v>由M3-CONFLICT、M4-LOOP及现实事件提供；必须区分问题停止、责任承担、影响确认、行动改变、反馈整合与后续回访。</x:v>
      </x:c>
      <x:c r="O5" s="20" t="str">
        <x:v>由共享基础引擎判定；近位提高相关功能进入亲密关系核心的概率，远位只作背景或阶段修正。</x:v>
      </x:c>
      <x:c r="P5" s="20" t="str">
        <x:v>根气只修正某修复功能是否容易重复调用，不等于现实中已经持续改变。</x:v>
      </x:c>
      <x:c r="Q5" s="20" t="str">
        <x:v>旺弱只修正功能调用强度与占位，不直接等同修复质量、诚意或关系结果。</x:v>
      </x:c>
      <x:c r="R5" s="20" t="str">
        <x:v>喜忌只修正功能摩擦、平衡与承载，不直接等同道德、成熟、善恶或是否值得原谅。</x:v>
      </x:c>
      <x:c r="S5" s="20" t="str">
        <x:v>原十神功能有效；真合化成立时按化神功能替换，合化争议时停止定性。</x:v>
      </x:c>
      <x:c r="T5" s="20" t="str">
        <x:v>近位提高修复议题与亲密关系的直接相关性；远位仅保留背景、阶段或低置信修正。</x:v>
      </x:c>
      <x:c r="U5" s="20" t="str">
        <x:v>98</x:v>
      </x:c>
      <x:c r="V5" s="20" t="str">
        <x:v>单方闭环降级</x:v>
      </x:c>
      <x:c r="W5" s="20" t="str">
        <x:v>repair_status</x:v>
      </x:c>
      <x:c r="X5" s="20" t="str">
        <x:v>关系修复至少需要接收方能够表达影响与反馈；不要求接受复合，但需要区分单方责任行动和双向闭环。</x:v>
      </x:c>
      <x:c r="Y5" s="20" t="str">
        <x:v>你可以完成自己的责任和补救，但双方是否重新建立理解，需要对方有真实反馈和选择。</x:v>
      </x:c>
      <x:c r="Z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" s="20" t="str">
        <x:v>高</x:v>
      </x:c>
      <x:c r="AB5" s="20" t="str">
        <x:v>待验证</x:v>
      </x:c>
      <x:c r="AC5" s="20" t="str"/>
      <x:c r="AD5" s="20" t="str">
        <x:v>provisional=true；M3-REPAIR尚未完成，完成条件为暂定功能模型。</x:v>
      </x:c>
      <x:c r="AE5" s="52" t="str">
        <x:v>0.7</x:v>
      </x:c>
    </x:row>
    <x:row r="6">
      <x:c r="A6" s="51" t="str">
        <x:v>M4-REPAIR-005</x:v>
      </x:c>
      <x:c r="B6" s="20" t="str">
        <x:v>修复不等于必须原谅、复合或继续关系</x:v>
      </x:c>
      <x:c r="C6" s="20" t="str">
        <x:v>L0 定义、边界与证据合同</x:v>
      </x:c>
      <x:c r="D6" s="20" t="str">
        <x:v>REPAIR-定义边界</x:v>
      </x:c>
      <x:c r="E6" s="20" t="str">
        <x:v>通用</x:v>
      </x:c>
      <x:c r="F6" s="20" t="str">
        <x:v>伦理</x:v>
      </x:c>
      <x:c r="G6" s="20" t="str">
        <x:v>原谅与复合边界</x:v>
      </x:c>
      <x:c r="H6" s="20" t="str"/>
      <x:c r="I6" s="20" t="str">
        <x:v>区分修复行为、责任承担、原谅、信任和是否继续关系。</x:v>
      </x:c>
      <x:c r="J6" s="20" t="str">
        <x:v>用“修复”要求受影响者接受道歉、恢复联系或继续关系。</x:v>
      </x:c>
      <x:c r="K6" s="20" t="str">
        <x:v>由共享基础引擎提供；仅修正修复功能的承载、持续与压力占位，不直接等同是否愿意认错或能否修复。</x:v>
      </x:c>
      <x:c r="L6" s="20" t="str">
        <x:v>由M1／M2提供；夫妻星只说明伴侣原型与关系资格，不单独证明修复能力、修复意愿或修复结果。</x:v>
      </x:c>
      <x:c r="M6" s="20" t="str">
        <x:v>由M3-BASE提供；日支底盘说明亲密关系中自然调用的功能，但不能单独证明修复闭环。</x:v>
      </x:c>
      <x:c r="N6" s="20" t="str">
        <x:v>由M3-CONFLICT、M4-LOOP及现实事件提供；必须区分问题停止、责任承担、影响确认、行动改变、反馈整合与后续回访。</x:v>
      </x:c>
      <x:c r="O6" s="20" t="str">
        <x:v>由共享基础引擎判定；近位提高相关功能进入亲密关系核心的概率，远位只作背景或阶段修正。</x:v>
      </x:c>
      <x:c r="P6" s="20" t="str">
        <x:v>根气只修正某修复功能是否容易重复调用，不等于现实中已经持续改变。</x:v>
      </x:c>
      <x:c r="Q6" s="20" t="str">
        <x:v>旺弱只修正功能调用强度与占位，不直接等同修复质量、诚意或关系结果。</x:v>
      </x:c>
      <x:c r="R6" s="20" t="str">
        <x:v>喜忌只修正功能摩擦、平衡与承载，不直接等同道德、成熟、善恶或是否值得原谅。</x:v>
      </x:c>
      <x:c r="S6" s="20" t="str">
        <x:v>原十神功能有效；真合化成立时按化神功能替换，合化争议时停止定性。</x:v>
      </x:c>
      <x:c r="T6" s="20" t="str">
        <x:v>近位提高修复议题与亲密关系的直接相关性；远位仅保留背景、阶段或低置信修正。</x:v>
      </x:c>
      <x:c r="U6" s="20" t="str">
        <x:v>100</x:v>
      </x:c>
      <x:c r="V6" s="20" t="str">
        <x:v>伦理停止</x:v>
      </x:c>
      <x:c r="W6" s="20" t="str">
        <x:v>boundary_note</x:v>
      </x:c>
      <x:c r="X6" s="20" t="str">
        <x:v>有效修复不创造原谅义务；受影响者可选择不恢复关系。</x:v>
      </x:c>
      <x:c r="Y6" s="20" t="str">
        <x:v>即使对方做出补救，你仍有权决定是否原谅、是否恢复信任以及是否继续这段关系。</x:v>
      </x:c>
      <x:c r="Z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" s="20" t="str">
        <x:v>高</x:v>
      </x:c>
      <x:c r="AB6" s="20" t="str">
        <x:v>待验证</x:v>
      </x:c>
      <x:c r="AC6" s="20" t="str"/>
      <x:c r="AD6" s="20" t="str">
        <x:v>provisional=true；M3-REPAIR尚未完成，完成条件为暂定功能模型。</x:v>
      </x:c>
      <x:c r="AE6" s="52" t="str">
        <x:v>0.7</x:v>
      </x:c>
    </x:row>
    <x:row r="7">
      <x:c r="A7" s="51" t="str">
        <x:v>M4-REPAIR-006</x:v>
      </x:c>
      <x:c r="B7" s="20" t="str">
        <x:v>现实安全停止｜伤害和强迫不进入普通修复协商</x:v>
      </x:c>
      <x:c r="C7" s="20" t="str">
        <x:v>L0 定义、边界与证据合同</x:v>
      </x:c>
      <x:c r="D7" s="20" t="str">
        <x:v>REPAIR-定义边界</x:v>
      </x:c>
      <x:c r="E7" s="20" t="str">
        <x:v>通用</x:v>
      </x:c>
      <x:c r="F7" s="20" t="str">
        <x:v>安全</x:v>
      </x:c>
      <x:c r="G7" s="20" t="str">
        <x:v>现实安全门控</x:v>
      </x:c>
      <x:c r="H7" s="20" t="str"/>
      <x:c r="I7" s="20" t="str">
        <x:v>现实中不存在暴力、威胁、强迫、跟踪、经济控制、报复风险或明显权力压迫。</x:v>
      </x:c>
      <x:c r="J7" s="20" t="str">
        <x:v>存在安全风险却建议双方坐下来沟通、平均责任或快速和好。</x:v>
      </x:c>
      <x:c r="K7" s="20" t="str">
        <x:v>由共享基础引擎提供；仅修正修复功能的承载、持续与压力占位，不直接等同是否愿意认错或能否修复。</x:v>
      </x:c>
      <x:c r="L7" s="20" t="str">
        <x:v>由M1／M2提供；夫妻星只说明伴侣原型与关系资格，不单独证明修复能力、修复意愿或修复结果。</x:v>
      </x:c>
      <x:c r="M7" s="20" t="str">
        <x:v>由M3-BASE提供；日支底盘说明亲密关系中自然调用的功能，但不能单独证明修复闭环。</x:v>
      </x:c>
      <x:c r="N7" s="20" t="str">
        <x:v>由M3-CONFLICT、M4-LOOP及现实事件提供；必须区分问题停止、责任承担、影响确认、行动改变、反馈整合与后续回访。</x:v>
      </x:c>
      <x:c r="O7" s="20" t="str">
        <x:v>由共享基础引擎判定；近位提高相关功能进入亲密关系核心的概率，远位只作背景或阶段修正。</x:v>
      </x:c>
      <x:c r="P7" s="20" t="str">
        <x:v>根气只修正某修复功能是否容易重复调用，不等于现实中已经持续改变。</x:v>
      </x:c>
      <x:c r="Q7" s="20" t="str">
        <x:v>旺弱只修正功能调用强度与占位，不直接等同修复质量、诚意或关系结果。</x:v>
      </x:c>
      <x:c r="R7" s="20" t="str">
        <x:v>喜忌只修正功能摩擦、平衡与承载，不直接等同道德、成熟、善恶或是否值得原谅。</x:v>
      </x:c>
      <x:c r="S7" s="20" t="str">
        <x:v>原十神功能有效；真合化成立时按化神功能替换，合化争议时停止定性。</x:v>
      </x:c>
      <x:c r="T7" s="20" t="str">
        <x:v>近位提高修复议题与亲密关系的直接相关性；远位仅保留背景、阶段或低置信修正。</x:v>
      </x:c>
      <x:c r="U7" s="20" t="str">
        <x:v>100</x:v>
      </x:c>
      <x:c r="V7" s="20" t="str">
        <x:v>安全停止／不评分</x:v>
      </x:c>
      <x:c r="W7" s="20" t="str">
        <x:v>report_status</x:v>
      </x:c>
      <x:c r="X7" s="20" t="str">
        <x:v>安全和停止伤害优先于普通关系修复；必要时转向现实支持和专业资源。</x:v>
      </x:c>
      <x:c r="Y7" s="20" t="str">
        <x:v>若存在威胁、强迫或人身安全风险，首要任务是安全和责任，不应把重点放在如何和好。</x:v>
      </x:c>
      <x:c r="Z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" s="20" t="str">
        <x:v>高</x:v>
      </x:c>
      <x:c r="AB7" s="20" t="str">
        <x:v>待验证</x:v>
      </x:c>
      <x:c r="AC7" s="20" t="str"/>
      <x:c r="AD7" s="20" t="str">
        <x:v>provisional=true；M3-REPAIR尚未完成，完成条件为暂定功能模型。</x:v>
      </x:c>
      <x:c r="AE7" s="52" t="str">
        <x:v>0.7</x:v>
      </x:c>
    </x:row>
    <x:row r="8">
      <x:c r="A8" s="51" t="str">
        <x:v>M4-REPAIR-007</x:v>
      </x:c>
      <x:c r="B8" s="20" t="str">
        <x:v>道歉标签不是证据｜必须拆成内容与后续</x:v>
      </x:c>
      <x:c r="C8" s="20" t="str">
        <x:v>L0 定义、边界与证据合同</x:v>
      </x:c>
      <x:c r="D8" s="20" t="str">
        <x:v>REPAIR-定义边界</x:v>
      </x:c>
      <x:c r="E8" s="20" t="str">
        <x:v>通用</x:v>
      </x:c>
      <x:c r="F8" s="20" t="str">
        <x:v>证据</x:v>
      </x:c>
      <x:c r="G8" s="20" t="str">
        <x:v>道歉证据边界</x:v>
      </x:c>
      <x:c r="H8" s="20" t="str"/>
      <x:c r="I8" s="20" t="str">
        <x:v>记录是否承认事实、影响、责任，是否提出可执行改变并接收反馈。</x:v>
      </x:c>
      <x:c r="J8" s="20" t="str">
        <x:v>只记录“他道歉了”“我认错了”。</x:v>
      </x:c>
      <x:c r="K8" s="20" t="str">
        <x:v>由共享基础引擎提供；仅修正修复功能的承载、持续与压力占位，不直接等同是否愿意认错或能否修复。</x:v>
      </x:c>
      <x:c r="L8" s="20" t="str">
        <x:v>由M1／M2提供；夫妻星只说明伴侣原型与关系资格，不单独证明修复能力、修复意愿或修复结果。</x:v>
      </x:c>
      <x:c r="M8" s="20" t="str">
        <x:v>由M3-BASE提供；日支底盘说明亲密关系中自然调用的功能，但不能单独证明修复闭环。</x:v>
      </x:c>
      <x:c r="N8" s="20" t="str">
        <x:v>由M3-CONFLICT、M4-LOOP及现实事件提供；必须区分问题停止、责任承担、影响确认、行动改变、反馈整合与后续回访。</x:v>
      </x:c>
      <x:c r="O8" s="20" t="str">
        <x:v>由共享基础引擎判定；近位提高相关功能进入亲密关系核心的概率，远位只作背景或阶段修正。</x:v>
      </x:c>
      <x:c r="P8" s="20" t="str">
        <x:v>根气只修正某修复功能是否容易重复调用，不等于现实中已经持续改变。</x:v>
      </x:c>
      <x:c r="Q8" s="20" t="str">
        <x:v>旺弱只修正功能调用强度与占位，不直接等同修复质量、诚意或关系结果。</x:v>
      </x:c>
      <x:c r="R8" s="20" t="str">
        <x:v>喜忌只修正功能摩擦、平衡与承载，不直接等同道德、成熟、善恶或是否值得原谅。</x:v>
      </x:c>
      <x:c r="S8" s="20" t="str">
        <x:v>原十神功能有效；真合化成立时按化神功能替换，合化争议时停止定性。</x:v>
      </x:c>
      <x:c r="T8" s="20" t="str">
        <x:v>近位提高修复议题与亲密关系的直接相关性；远位仅保留背景、阶段或低置信修正。</x:v>
      </x:c>
      <x:c r="U8" s="20" t="str">
        <x:v>97</x:v>
      </x:c>
      <x:c r="V8" s="20" t="str">
        <x:v>标签不加完成分</x:v>
      </x:c>
      <x:c r="W8" s="20" t="str">
        <x:v>repair_evidence</x:v>
      </x:c>
      <x:c r="X8" s="20" t="str">
        <x:v>“道歉”是概括标签；有效信息来自道歉包含了哪些节点以及后续是否兑现。</x:v>
      </x:c>
      <x:c r="Y8" s="20" t="str">
        <x:v>需要继续看这次道歉具体承认了什么、准备怎样改变，以及后续有没有落实。</x:v>
      </x:c>
      <x:c r="Z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" s="20" t="str">
        <x:v>高</x:v>
      </x:c>
      <x:c r="AB8" s="20" t="str">
        <x:v>待验证</x:v>
      </x:c>
      <x:c r="AC8" s="20" t="str"/>
      <x:c r="AD8" s="20" t="str">
        <x:v>provisional=true；M3-REPAIR尚未完成，完成条件为暂定功能模型。</x:v>
      </x:c>
      <x:c r="AE8" s="52" t="str">
        <x:v>0.7</x:v>
      </x:c>
    </x:row>
    <x:row r="9">
      <x:c r="A9" s="51" t="str">
        <x:v>M4-REPAIR-008</x:v>
      </x:c>
      <x:c r="B9" s="20" t="str">
        <x:v>解释原因不等于承担责任</x:v>
      </x:c>
      <x:c r="C9" s="20" t="str">
        <x:v>L0 定义、边界与证据合同</x:v>
      </x:c>
      <x:c r="D9" s="20" t="str">
        <x:v>REPAIR-定义边界</x:v>
      </x:c>
      <x:c r="E9" s="20" t="str">
        <x:v>通用</x:v>
      </x:c>
      <x:c r="F9" s="20" t="str">
        <x:v>边界</x:v>
      </x:c>
      <x:c r="G9" s="20" t="str">
        <x:v>解释与责任</x:v>
      </x:c>
      <x:c r="H9" s="20" t="str"/>
      <x:c r="I9" s="20" t="str">
        <x:v>能够区分说明原因、承认影响、承担责任和提出改变。</x:v>
      </x:c>
      <x:c r="J9" s="20" t="str">
        <x:v>用压力、原生家庭、工作或误会解释行为后，直接判定责任已经完成。</x:v>
      </x:c>
      <x:c r="K9" s="20" t="str">
        <x:v>由共享基础引擎提供；仅修正修复功能的承载、持续与压力占位，不直接等同是否愿意认错或能否修复。</x:v>
      </x:c>
      <x:c r="L9" s="20" t="str">
        <x:v>由M1／M2提供；夫妻星只说明伴侣原型与关系资格，不单独证明修复能力、修复意愿或修复结果。</x:v>
      </x:c>
      <x:c r="M9" s="20" t="str">
        <x:v>由M3-BASE提供；日支底盘说明亲密关系中自然调用的功能，但不能单独证明修复闭环。</x:v>
      </x:c>
      <x:c r="N9" s="20" t="str">
        <x:v>由M3-CONFLICT、M4-LOOP及现实事件提供；必须区分问题停止、责任承担、影响确认、行动改变、反馈整合与后续回访。</x:v>
      </x:c>
      <x:c r="O9" s="20" t="str">
        <x:v>由共享基础引擎判定；近位提高相关功能进入亲密关系核心的概率，远位只作背景或阶段修正。</x:v>
      </x:c>
      <x:c r="P9" s="20" t="str">
        <x:v>根气只修正某修复功能是否容易重复调用，不等于现实中已经持续改变。</x:v>
      </x:c>
      <x:c r="Q9" s="20" t="str">
        <x:v>旺弱只修正功能调用强度与占位，不直接等同修复质量、诚意或关系结果。</x:v>
      </x:c>
      <x:c r="R9" s="20" t="str">
        <x:v>喜忌只修正功能摩擦、平衡与承载，不直接等同道德、成熟、善恶或是否值得原谅。</x:v>
      </x:c>
      <x:c r="S9" s="20" t="str">
        <x:v>原十神功能有效；真合化成立时按化神功能替换，合化争议时停止定性。</x:v>
      </x:c>
      <x:c r="T9" s="20" t="str">
        <x:v>近位提高修复议题与亲密关系的直接相关性；远位仅保留背景、阶段或低置信修正。</x:v>
      </x:c>
      <x:c r="U9" s="20" t="str">
        <x:v>97</x:v>
      </x:c>
      <x:c r="V9" s="20" t="str">
        <x:v>替代识别</x:v>
      </x:c>
      <x:c r="W9" s="20" t="str">
        <x:v>repair_break_candidate</x:v>
      </x:c>
      <x:c r="X9" s="20" t="str">
        <x:v>原因解释可增加理解，但不能替代责任承担和行为改变。</x:v>
      </x:c>
      <x:c r="Y9" s="20" t="str">
        <x:v>解释为什么会发生有助于理解，但关系修复还需要明确承担影响并提出改变。</x:v>
      </x:c>
      <x:c r="Z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" s="20" t="str">
        <x:v>高</x:v>
      </x:c>
      <x:c r="AB9" s="20" t="str">
        <x:v>待验证</x:v>
      </x:c>
      <x:c r="AC9" s="20" t="str"/>
      <x:c r="AD9" s="20" t="str">
        <x:v>provisional=true；M3-REPAIR尚未完成，完成条件为暂定功能模型。</x:v>
      </x:c>
      <x:c r="AE9" s="52" t="str">
        <x:v>0.7</x:v>
      </x:c>
    </x:row>
    <x:row r="10">
      <x:c r="A10" s="51" t="str">
        <x:v>M4-REPAIR-009</x:v>
      </x:c>
      <x:c r="B10" s="20" t="str">
        <x:v>补偿与礼物不等于关系修复</x:v>
      </x:c>
      <x:c r="C10" s="20" t="str">
        <x:v>L0 定义、边界与证据合同</x:v>
      </x:c>
      <x:c r="D10" s="20" t="str">
        <x:v>REPAIR-定义边界</x:v>
      </x:c>
      <x:c r="E10" s="20" t="str">
        <x:v>通用</x:v>
      </x:c>
      <x:c r="F10" s="20" t="str">
        <x:v>边界</x:v>
      </x:c>
      <x:c r="G10" s="20" t="str">
        <x:v>补偿边界</x:v>
      </x:c>
      <x:c r="H10" s="20" t="str"/>
      <x:c r="I10" s="20" t="str">
        <x:v>现实补偿与影响确认、责任承担、反馈整合分别记录。</x:v>
      </x:c>
      <x:c r="J10" s="20" t="str">
        <x:v>用礼物、金钱、旅行或一次付出替代边界重订与持续改变。</x:v>
      </x:c>
      <x:c r="K10" s="20" t="str">
        <x:v>由共享基础引擎提供；仅修正修复功能的承载、持续与压力占位，不直接等同是否愿意认错或能否修复。</x:v>
      </x:c>
      <x:c r="L10" s="20" t="str">
        <x:v>由M1／M2提供；夫妻星只说明伴侣原型与关系资格，不单独证明修复能力、修复意愿或修复结果。</x:v>
      </x:c>
      <x:c r="M10" s="20" t="str">
        <x:v>由M3-BASE提供；日支底盘说明亲密关系中自然调用的功能，但不能单独证明修复闭环。</x:v>
      </x:c>
      <x:c r="N10" s="20" t="str">
        <x:v>由M3-CONFLICT、M4-LOOP及现实事件提供；必须区分问题停止、责任承担、影响确认、行动改变、反馈整合与后续回访。</x:v>
      </x:c>
      <x:c r="O10" s="20" t="str">
        <x:v>由共享基础引擎判定；近位提高相关功能进入亲密关系核心的概率，远位只作背景或阶段修正。</x:v>
      </x:c>
      <x:c r="P10" s="20" t="str">
        <x:v>根气只修正某修复功能是否容易重复调用，不等于现实中已经持续改变。</x:v>
      </x:c>
      <x:c r="Q10" s="20" t="str">
        <x:v>旺弱只修正功能调用强度与占位，不直接等同修复质量、诚意或关系结果。</x:v>
      </x:c>
      <x:c r="R10" s="20" t="str">
        <x:v>喜忌只修正功能摩擦、平衡与承载，不直接等同道德、成熟、善恶或是否值得原谅。</x:v>
      </x:c>
      <x:c r="S10" s="20" t="str">
        <x:v>原十神功能有效；真合化成立时按化神功能替换，合化争议时停止定性。</x:v>
      </x:c>
      <x:c r="T10" s="20" t="str">
        <x:v>近位提高修复议题与亲密关系的直接相关性；远位仅保留背景、阶段或低置信修正。</x:v>
      </x:c>
      <x:c r="U10" s="20" t="str">
        <x:v>97</x:v>
      </x:c>
      <x:c r="V10" s="20" t="str">
        <x:v>替代识别</x:v>
      </x:c>
      <x:c r="W10" s="20" t="str">
        <x:v>repair_break_candidate</x:v>
      </x:c>
      <x:c r="X10" s="20" t="str">
        <x:v>补偿可以是修复的一部分，但它不能自动回答发生了什么、影响了什么和以后怎样不同。</x:v>
      </x:c>
      <x:c r="Y10" s="20" t="str">
        <x:v>补偿可以表达重视，但还要看问题本身有没有被承认、边界有没有调整、行为有没有改变。</x:v>
      </x:c>
      <x:c r="Z1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" s="20" t="str">
        <x:v>高</x:v>
      </x:c>
      <x:c r="AB10" s="20" t="str">
        <x:v>待验证</x:v>
      </x:c>
      <x:c r="AC10" s="20" t="str"/>
      <x:c r="AD10" s="20" t="str">
        <x:v>provisional=true；M3-REPAIR尚未完成，完成条件为暂定功能模型。</x:v>
      </x:c>
      <x:c r="AE10" s="52" t="str">
        <x:v>0.7</x:v>
      </x:c>
    </x:row>
    <x:row r="11">
      <x:c r="A11" s="51" t="str">
        <x:v>M4-REPAIR-010</x:v>
      </x:c>
      <x:c r="B11" s="20" t="str">
        <x:v>解决方案不等于影响被看见</x:v>
      </x:c>
      <x:c r="C11" s="20" t="str">
        <x:v>L0 定义、边界与证据合同</x:v>
      </x:c>
      <x:c r="D11" s="20" t="str">
        <x:v>REPAIR-定义边界</x:v>
      </x:c>
      <x:c r="E11" s="20" t="str">
        <x:v>通用</x:v>
      </x:c>
      <x:c r="F11" s="20" t="str">
        <x:v>边界</x:v>
      </x:c>
      <x:c r="G11" s="20" t="str">
        <x:v>方案与影响</x:v>
      </x:c>
      <x:c r="H11" s="20" t="str"/>
      <x:c r="I11" s="20" t="str">
        <x:v>同时检查现实方案与情绪／关系影响。</x:v>
      </x:c>
      <x:c r="J11" s="20" t="str">
        <x:v>问题一有方案就结束讨论，不再确认对方受到的影响。</x:v>
      </x:c>
      <x:c r="K11" s="20" t="str">
        <x:v>由共享基础引擎提供；仅修正修复功能的承载、持续与压力占位，不直接等同是否愿意认错或能否修复。</x:v>
      </x:c>
      <x:c r="L11" s="20" t="str">
        <x:v>由M1／M2提供；夫妻星只说明伴侣原型与关系资格，不单独证明修复能力、修复意愿或修复结果。</x:v>
      </x:c>
      <x:c r="M11" s="20" t="str">
        <x:v>由M3-BASE提供；日支底盘说明亲密关系中自然调用的功能，但不能单独证明修复闭环。</x:v>
      </x:c>
      <x:c r="N11" s="20" t="str">
        <x:v>由M3-CONFLICT、M4-LOOP及现实事件提供；必须区分问题停止、责任承担、影响确认、行动改变、反馈整合与后续回访。</x:v>
      </x:c>
      <x:c r="O11" s="20" t="str">
        <x:v>由共享基础引擎判定；近位提高相关功能进入亲密关系核心的概率，远位只作背景或阶段修正。</x:v>
      </x:c>
      <x:c r="P11" s="20" t="str">
        <x:v>根气只修正某修复功能是否容易重复调用，不等于现实中已经持续改变。</x:v>
      </x:c>
      <x:c r="Q11" s="20" t="str">
        <x:v>旺弱只修正功能调用强度与占位，不直接等同修复质量、诚意或关系结果。</x:v>
      </x:c>
      <x:c r="R11" s="20" t="str">
        <x:v>喜忌只修正功能摩擦、平衡与承载，不直接等同道德、成熟、善恶或是否值得原谅。</x:v>
      </x:c>
      <x:c r="S11" s="20" t="str">
        <x:v>原十神功能有效；真合化成立时按化神功能替换，合化争议时停止定性。</x:v>
      </x:c>
      <x:c r="T11" s="20" t="str">
        <x:v>近位提高修复议题与亲密关系的直接相关性；远位仅保留背景、阶段或低置信修正。</x:v>
      </x:c>
      <x:c r="U11" s="20" t="str">
        <x:v>97</x:v>
      </x:c>
      <x:c r="V11" s="20" t="str">
        <x:v>双轨门控</x:v>
      </x:c>
      <x:c r="W11" s="20" t="str">
        <x:v>missing_repair_node</x:v>
      </x:c>
      <x:c r="X11" s="20" t="str">
        <x:v>任务解决与关系影响是两条不同线路；必要时需要双轨完成。</x:v>
      </x:c>
      <x:c r="Y11" s="20" t="str">
        <x:v>方案解决的是“接下来怎么做”，但对方受到的影响是否被理解，需要另外确认。</x:v>
      </x:c>
      <x:c r="Z1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" s="20" t="str">
        <x:v>高</x:v>
      </x:c>
      <x:c r="AB11" s="20" t="str">
        <x:v>待验证</x:v>
      </x:c>
      <x:c r="AC11" s="20" t="str"/>
      <x:c r="AD11" s="20" t="str">
        <x:v>provisional=true；M3-REPAIR尚未完成，完成条件为暂定功能模型。</x:v>
      </x:c>
      <x:c r="AE11" s="52" t="str">
        <x:v>0.7</x:v>
      </x:c>
    </x:row>
    <x:row r="12">
      <x:c r="A12" s="51" t="str">
        <x:v>M4-REPAIR-011</x:v>
      </x:c>
      <x:c r="B12" s="20" t="str">
        <x:v>安抚情绪不等于现实问题已改变</x:v>
      </x:c>
      <x:c r="C12" s="20" t="str">
        <x:v>L0 定义、边界与证据合同</x:v>
      </x:c>
      <x:c r="D12" s="20" t="str">
        <x:v>REPAIR-定义边界</x:v>
      </x:c>
      <x:c r="E12" s="20" t="str">
        <x:v>通用</x:v>
      </x:c>
      <x:c r="F12" s="20" t="str">
        <x:v>边界</x:v>
      </x:c>
      <x:c r="G12" s="20" t="str">
        <x:v>安抚与改变</x:v>
      </x:c>
      <x:c r="H12" s="20" t="str"/>
      <x:c r="I12" s="20" t="str">
        <x:v>同时检查情绪承接、责任和现实行为调整。</x:v>
      </x:c>
      <x:c r="J12" s="20" t="str">
        <x:v>气氛缓和后，不再处理导致问题的现实安排。</x:v>
      </x:c>
      <x:c r="K12" s="20" t="str">
        <x:v>由共享基础引擎提供；仅修正修复功能的承载、持续与压力占位，不直接等同是否愿意认错或能否修复。</x:v>
      </x:c>
      <x:c r="L12" s="20" t="str">
        <x:v>由M1／M2提供；夫妻星只说明伴侣原型与关系资格，不单独证明修复能力、修复意愿或修复结果。</x:v>
      </x:c>
      <x:c r="M12" s="20" t="str">
        <x:v>由M3-BASE提供；日支底盘说明亲密关系中自然调用的功能，但不能单独证明修复闭环。</x:v>
      </x:c>
      <x:c r="N12" s="20" t="str">
        <x:v>由M3-CONFLICT、M4-LOOP及现实事件提供；必须区分问题停止、责任承担、影响确认、行动改变、反馈整合与后续回访。</x:v>
      </x:c>
      <x:c r="O12" s="20" t="str">
        <x:v>由共享基础引擎判定；近位提高相关功能进入亲密关系核心的概率，远位只作背景或阶段修正。</x:v>
      </x:c>
      <x:c r="P12" s="20" t="str">
        <x:v>根气只修正某修复功能是否容易重复调用，不等于现实中已经持续改变。</x:v>
      </x:c>
      <x:c r="Q12" s="20" t="str">
        <x:v>旺弱只修正功能调用强度与占位，不直接等同修复质量、诚意或关系结果。</x:v>
      </x:c>
      <x:c r="R12" s="20" t="str">
        <x:v>喜忌只修正功能摩擦、平衡与承载，不直接等同道德、成熟、善恶或是否值得原谅。</x:v>
      </x:c>
      <x:c r="S12" s="20" t="str">
        <x:v>原十神功能有效；真合化成立时按化神功能替换，合化争议时停止定性。</x:v>
      </x:c>
      <x:c r="T12" s="20" t="str">
        <x:v>近位提高修复议题与亲密关系的直接相关性；远位仅保留背景、阶段或低置信修正。</x:v>
      </x:c>
      <x:c r="U12" s="20" t="str">
        <x:v>97</x:v>
      </x:c>
      <x:c r="V12" s="20" t="str">
        <x:v>双轨门控</x:v>
      </x:c>
      <x:c r="W12" s="20" t="str">
        <x:v>missing_repair_node</x:v>
      </x:c>
      <x:c r="X12" s="20" t="str">
        <x:v>安抚恢复可沟通状态，但不能替代现实改变。</x:v>
      </x:c>
      <x:c r="Y12" s="20" t="str">
        <x:v>被安抚以后关系可能暂时好转，但导致问题的现实行为是否改变，仍要继续观察。</x:v>
      </x:c>
      <x:c r="Z1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" s="20" t="str">
        <x:v>高</x:v>
      </x:c>
      <x:c r="AB12" s="20" t="str">
        <x:v>待验证</x:v>
      </x:c>
      <x:c r="AC12" s="20" t="str"/>
      <x:c r="AD12" s="20" t="str">
        <x:v>provisional=true；M3-REPAIR尚未完成，完成条件为暂定功能模型。</x:v>
      </x:c>
      <x:c r="AE12" s="52" t="str">
        <x:v>0.7</x:v>
      </x:c>
    </x:row>
    <x:row r="13">
      <x:c r="A13" s="51" t="str">
        <x:v>M4-REPAIR-012</x:v>
      </x:c>
      <x:c r="B13" s="20" t="str">
        <x:v>暂停和降温不等于自动回归</x:v>
      </x:c>
      <x:c r="C13" s="20" t="str">
        <x:v>L0 定义、边界与证据合同</x:v>
      </x:c>
      <x:c r="D13" s="20" t="str">
        <x:v>REPAIR-定义边界</x:v>
      </x:c>
      <x:c r="E13" s="20" t="str">
        <x:v>通用</x:v>
      </x:c>
      <x:c r="F13" s="20" t="str">
        <x:v>边界</x:v>
      </x:c>
      <x:c r="G13" s="20" t="str">
        <x:v>暂停回归门控</x:v>
      </x:c>
      <x:c r="H13" s="20" t="str"/>
      <x:c r="I13" s="20" t="str">
        <x:v>暂停具有目的、范围、最低连接、返回时间或重新启动条件。</x:v>
      </x:c>
      <x:c r="J13" s="20" t="str">
        <x:v>只说先冷静，却没有任何回归点。</x:v>
      </x:c>
      <x:c r="K13" s="20" t="str">
        <x:v>由共享基础引擎提供；仅修正修复功能的承载、持续与压力占位，不直接等同是否愿意认错或能否修复。</x:v>
      </x:c>
      <x:c r="L13" s="20" t="str">
        <x:v>由M1／M2提供；夫妻星只说明伴侣原型与关系资格，不单独证明修复能力、修复意愿或修复结果。</x:v>
      </x:c>
      <x:c r="M13" s="20" t="str">
        <x:v>由M3-BASE提供；日支底盘说明亲密关系中自然调用的功能，但不能单独证明修复闭环。</x:v>
      </x:c>
      <x:c r="N13" s="20" t="str">
        <x:v>由M3-CONFLICT、M4-LOOP及现实事件提供；必须区分问题停止、责任承担、影响确认、行动改变、反馈整合与后续回访。</x:v>
      </x:c>
      <x:c r="O13" s="20" t="str">
        <x:v>由共享基础引擎判定；近位提高相关功能进入亲密关系核心的概率，远位只作背景或阶段修正。</x:v>
      </x:c>
      <x:c r="P13" s="20" t="str">
        <x:v>根气只修正某修复功能是否容易重复调用，不等于现实中已经持续改变。</x:v>
      </x:c>
      <x:c r="Q13" s="20" t="str">
        <x:v>旺弱只修正功能调用强度与占位，不直接等同修复质量、诚意或关系结果。</x:v>
      </x:c>
      <x:c r="R13" s="20" t="str">
        <x:v>喜忌只修正功能摩擦、平衡与承载，不直接等同道德、成熟、善恶或是否值得原谅。</x:v>
      </x:c>
      <x:c r="S13" s="20" t="str">
        <x:v>原十神功能有效；真合化成立时按化神功能替换，合化争议时停止定性。</x:v>
      </x:c>
      <x:c r="T13" s="20" t="str">
        <x:v>近位提高修复议题与亲密关系的直接相关性；远位仅保留背景、阶段或低置信修正。</x:v>
      </x:c>
      <x:c r="U13" s="20" t="str">
        <x:v>98</x:v>
      </x:c>
      <x:c r="V13" s="20" t="str">
        <x:v>无回归则断链</x:v>
      </x:c>
      <x:c r="W13" s="20" t="str">
        <x:v>repair_break_candidate</x:v>
      </x:c>
      <x:c r="X13" s="20" t="str">
        <x:v>暂停只有在存在回归路径时才可能成为修复工具；否则只能记录为修复断链候选。</x:v>
      </x:c>
      <x:c r="Y13" s="20" t="str">
        <x:v>暂停本身没有问题，关键是双方是否知道什么时候、以什么方式重新回来处理。</x:v>
      </x:c>
      <x:c r="Z1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" s="20" t="str">
        <x:v>高</x:v>
      </x:c>
      <x:c r="AB13" s="20" t="str">
        <x:v>待验证</x:v>
      </x:c>
      <x:c r="AC13" s="20" t="str"/>
      <x:c r="AD13" s="20" t="str">
        <x:v>provisional=true；M3-REPAIR尚未完成，完成条件为暂定功能模型。</x:v>
      </x:c>
      <x:c r="AE13" s="52" t="str">
        <x:v>0.7</x:v>
      </x:c>
    </x:row>
    <x:row r="14">
      <x:c r="A14" s="51" t="str">
        <x:v>M4-REPAIR-013</x:v>
      </x:c>
      <x:c r="B14" s="20" t="str">
        <x:v>一次改善不等于稳定改变</x:v>
      </x:c>
      <x:c r="C14" s="20" t="str">
        <x:v>L0 定义、边界与证据合同</x:v>
      </x:c>
      <x:c r="D14" s="20" t="str">
        <x:v>REPAIR-定义边界</x:v>
      </x:c>
      <x:c r="E14" s="20" t="str">
        <x:v>通用</x:v>
      </x:c>
      <x:c r="F14" s="20" t="str">
        <x:v>证据</x:v>
      </x:c>
      <x:c r="G14" s="20" t="str">
        <x:v>持续性门控</x:v>
      </x:c>
      <x:c r="H14" s="20" t="str"/>
      <x:c r="I14" s="20" t="str">
        <x:v>至少观察同类情境中的重复兑现、跨时间回访或压力下表现。</x:v>
      </x:c>
      <x:c r="J14" s="20" t="str">
        <x:v>一次配合或短期改善就升级为稳定修复。</x:v>
      </x:c>
      <x:c r="K14" s="20" t="str">
        <x:v>由共享基础引擎提供；仅修正修复功能的承载、持续与压力占位，不直接等同是否愿意认错或能否修复。</x:v>
      </x:c>
      <x:c r="L14" s="20" t="str">
        <x:v>由M1／M2提供；夫妻星只说明伴侣原型与关系资格，不单独证明修复能力、修复意愿或修复结果。</x:v>
      </x:c>
      <x:c r="M14" s="20" t="str">
        <x:v>由M3-BASE提供；日支底盘说明亲密关系中自然调用的功能，但不能单独证明修复闭环。</x:v>
      </x:c>
      <x:c r="N14" s="20" t="str">
        <x:v>由M3-CONFLICT、M4-LOOP及现实事件提供；必须区分问题停止、责任承担、影响确认、行动改变、反馈整合与后续回访。</x:v>
      </x:c>
      <x:c r="O14" s="20" t="str">
        <x:v>由共享基础引擎判定；近位提高相关功能进入亲密关系核心的概率，远位只作背景或阶段修正。</x:v>
      </x:c>
      <x:c r="P14" s="20" t="str">
        <x:v>根气只修正某修复功能是否容易重复调用，不等于现实中已经持续改变。</x:v>
      </x:c>
      <x:c r="Q14" s="20" t="str">
        <x:v>旺弱只修正功能调用强度与占位，不直接等同修复质量、诚意或关系结果。</x:v>
      </x:c>
      <x:c r="R14" s="20" t="str">
        <x:v>喜忌只修正功能摩擦、平衡与承载，不直接等同道德、成熟、善恶或是否值得原谅。</x:v>
      </x:c>
      <x:c r="S14" s="20" t="str">
        <x:v>原十神功能有效；真合化成立时按化神功能替换，合化争议时停止定性。</x:v>
      </x:c>
      <x:c r="T14" s="20" t="str">
        <x:v>近位提高修复议题与亲密关系的直接相关性；远位仅保留背景、阶段或低置信修正。</x:v>
      </x:c>
      <x:c r="U14" s="20" t="str">
        <x:v>98</x:v>
      </x:c>
      <x:c r="V14" s="20" t="str">
        <x:v>持续性降级</x:v>
      </x:c>
      <x:c r="W14" s="20" t="str">
        <x:v>repair_level</x:v>
      </x:c>
      <x:c r="X14" s="20" t="str">
        <x:v>持续改变需要时间与重复情境；一次改善只能证明开始。</x:v>
      </x:c>
      <x:c r="Y14" s="20" t="str">
        <x:v>这次改变是积极信号，但是否稳定，需要看相似情境再次出现时能否继续做到。</x:v>
      </x:c>
      <x:c r="Z1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" s="20" t="str">
        <x:v>高</x:v>
      </x:c>
      <x:c r="AB14" s="20" t="str">
        <x:v>待验证</x:v>
      </x:c>
      <x:c r="AC14" s="20" t="str"/>
      <x:c r="AD14" s="20" t="str">
        <x:v>provisional=true；M3-REPAIR尚未完成，完成条件为暂定功能模型。</x:v>
      </x:c>
      <x:c r="AE14" s="52" t="str">
        <x:v>0.7</x:v>
      </x:c>
    </x:row>
    <x:row r="15">
      <x:c r="A15" s="51" t="str">
        <x:v>M4-REPAIR-014</x:v>
      </x:c>
      <x:c r="B15" s="20" t="str">
        <x:v>接收方反馈必须可观察｜禁止替对方判断是否被修复</x:v>
      </x:c>
      <x:c r="C15" s="20" t="str">
        <x:v>L0 定义、边界与证据合同</x:v>
      </x:c>
      <x:c r="D15" s="20" t="str">
        <x:v>REPAIR-定义边界</x:v>
      </x:c>
      <x:c r="E15" s="20" t="str">
        <x:v>通用</x:v>
      </x:c>
      <x:c r="F15" s="20" t="str">
        <x:v>边界</x:v>
      </x:c>
      <x:c r="G15" s="20" t="str">
        <x:v>接收反馈门控</x:v>
      </x:c>
      <x:c r="H15" s="20" t="str"/>
      <x:c r="I15" s="20" t="str">
        <x:v>接收方以言语、行为、边界、需要、接受、拒绝或保留意见提供现实反馈。</x:v>
      </x:c>
      <x:c r="J15" s="20" t="str">
        <x:v>只凭发起方的意图判断对方已经释怀。</x:v>
      </x:c>
      <x:c r="K15" s="20" t="str">
        <x:v>由共享基础引擎提供；仅修正修复功能的承载、持续与压力占位，不直接等同是否愿意认错或能否修复。</x:v>
      </x:c>
      <x:c r="L15" s="20" t="str">
        <x:v>由M1／M2提供；夫妻星只说明伴侣原型与关系资格，不单独证明修复能力、修复意愿或修复结果。</x:v>
      </x:c>
      <x:c r="M15" s="20" t="str">
        <x:v>由M3-BASE提供；日支底盘说明亲密关系中自然调用的功能，但不能单独证明修复闭环。</x:v>
      </x:c>
      <x:c r="N15" s="20" t="str">
        <x:v>由M3-CONFLICT、M4-LOOP及现实事件提供；必须区分问题停止、责任承担、影响确认、行动改变、反馈整合与后续回访。</x:v>
      </x:c>
      <x:c r="O15" s="20" t="str">
        <x:v>由共享基础引擎判定；近位提高相关功能进入亲密关系核心的概率，远位只作背景或阶段修正。</x:v>
      </x:c>
      <x:c r="P15" s="20" t="str">
        <x:v>根气只修正某修复功能是否容易重复调用，不等于现实中已经持续改变。</x:v>
      </x:c>
      <x:c r="Q15" s="20" t="str">
        <x:v>旺弱只修正功能调用强度与占位，不直接等同修复质量、诚意或关系结果。</x:v>
      </x:c>
      <x:c r="R15" s="20" t="str">
        <x:v>喜忌只修正功能摩擦、平衡与承载，不直接等同道德、成熟、善恶或是否值得原谅。</x:v>
      </x:c>
      <x:c r="S15" s="20" t="str">
        <x:v>原十神功能有效；真合化成立时按化神功能替换，合化争议时停止定性。</x:v>
      </x:c>
      <x:c r="T15" s="20" t="str">
        <x:v>近位提高修复议题与亲密关系的直接相关性；远位仅保留背景、阶段或低置信修正。</x:v>
      </x:c>
      <x:c r="U15" s="20" t="str">
        <x:v>98</x:v>
      </x:c>
      <x:c r="V15" s="20" t="str">
        <x:v>未知则降级</x:v>
      </x:c>
      <x:c r="W15" s="20" t="str">
        <x:v>receiver_feedback</x:v>
      </x:c>
      <x:c r="X15" s="20" t="str">
        <x:v>修复是否触及影响，需要接收方现实反馈；沉默不能自动等同接受。</x:v>
      </x:c>
      <x:c r="Y15" s="20" t="str">
        <x:v>不能只看发起修复的人做了什么，还要看受到影响的一方是否真正被听见，并保留接受或拒绝的权利。</x:v>
      </x:c>
      <x:c r="Z1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" s="20" t="str">
        <x:v>高</x:v>
      </x:c>
      <x:c r="AB15" s="20" t="str">
        <x:v>待验证</x:v>
      </x:c>
      <x:c r="AC15" s="20" t="str"/>
      <x:c r="AD15" s="20" t="str">
        <x:v>provisional=true；M3-REPAIR尚未完成，完成条件为暂定功能模型。</x:v>
      </x:c>
      <x:c r="AE15" s="52" t="str">
        <x:v>0.7</x:v>
      </x:c>
    </x:row>
    <x:row r="16">
      <x:c r="A16" s="51" t="str">
        <x:v>M4-REPAIR-015</x:v>
      </x:c>
      <x:c r="B16" s="20" t="str">
        <x:v>不判断修复诚意｜只判断可观察结构与兑现</x:v>
      </x:c>
      <x:c r="C16" s="20" t="str">
        <x:v>L0 定义、边界与证据合同</x:v>
      </x:c>
      <x:c r="D16" s="20" t="str">
        <x:v>REPAIR-定义边界</x:v>
      </x:c>
      <x:c r="E16" s="20" t="str">
        <x:v>通用</x:v>
      </x:c>
      <x:c r="F16" s="20" t="str">
        <x:v>边界</x:v>
      </x:c>
      <x:c r="G16" s="20" t="str">
        <x:v>诚意边界</x:v>
      </x:c>
      <x:c r="H16" s="20" t="str"/>
      <x:c r="I16" s="20" t="str">
        <x:v>只记录言语内容、行动、持续性、反馈和反例。</x:v>
      </x:c>
      <x:c r="J16" s="20" t="str">
        <x:v>从八字、一次情绪表现或一句道歉判断真心、虚假、操控或悔意。</x:v>
      </x:c>
      <x:c r="K16" s="20" t="str">
        <x:v>由共享基础引擎提供；仅修正修复功能的承载、持续与压力占位，不直接等同是否愿意认错或能否修复。</x:v>
      </x:c>
      <x:c r="L16" s="20" t="str">
        <x:v>由M1／M2提供；夫妻星只说明伴侣原型与关系资格，不单独证明修复能力、修复意愿或修复结果。</x:v>
      </x:c>
      <x:c r="M16" s="20" t="str">
        <x:v>由M3-BASE提供；日支底盘说明亲密关系中自然调用的功能，但不能单独证明修复闭环。</x:v>
      </x:c>
      <x:c r="N16" s="20" t="str">
        <x:v>由M3-CONFLICT、M4-LOOP及现实事件提供；必须区分问题停止、责任承担、影响确认、行动改变、反馈整合与后续回访。</x:v>
      </x:c>
      <x:c r="O16" s="20" t="str">
        <x:v>由共享基础引擎判定；近位提高相关功能进入亲密关系核心的概率，远位只作背景或阶段修正。</x:v>
      </x:c>
      <x:c r="P16" s="20" t="str">
        <x:v>根气只修正某修复功能是否容易重复调用，不等于现实中已经持续改变。</x:v>
      </x:c>
      <x:c r="Q16" s="20" t="str">
        <x:v>旺弱只修正功能调用强度与占位，不直接等同修复质量、诚意或关系结果。</x:v>
      </x:c>
      <x:c r="R16" s="20" t="str">
        <x:v>喜忌只修正功能摩擦、平衡与承载，不直接等同道德、成熟、善恶或是否值得原谅。</x:v>
      </x:c>
      <x:c r="S16" s="20" t="str">
        <x:v>原十神功能有效；真合化成立时按化神功能替换，合化争议时停止定性。</x:v>
      </x:c>
      <x:c r="T16" s="20" t="str">
        <x:v>近位提高修复议题与亲密关系的直接相关性；远位仅保留背景、阶段或低置信修正。</x:v>
      </x:c>
      <x:c r="U16" s="20" t="str">
        <x:v>97</x:v>
      </x:c>
      <x:c r="V16" s="20" t="str">
        <x:v>停止诚意推断</x:v>
      </x:c>
      <x:c r="W16" s="20" t="str">
        <x:v>boundary_note</x:v>
      </x:c>
      <x:c r="X16" s="20" t="str">
        <x:v>诚意是复杂现实判断；本模块只评估修复结构是否完整、行为是否兑现。</x:v>
      </x:c>
      <x:c r="Y16" s="20" t="str">
        <x:v>这里能判断的是修复步骤和后续行为，不能仅凭八字断定对方是否真心。</x:v>
      </x:c>
      <x:c r="Z1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" s="20" t="str">
        <x:v>高</x:v>
      </x:c>
      <x:c r="AB16" s="20" t="str">
        <x:v>待验证</x:v>
      </x:c>
      <x:c r="AC16" s="20" t="str"/>
      <x:c r="AD16" s="20" t="str">
        <x:v>provisional=true；M3-REPAIR尚未完成，完成条件为暂定功能模型。</x:v>
      </x:c>
      <x:c r="AE16" s="52" t="str">
        <x:v>0.7</x:v>
      </x:c>
    </x:row>
    <x:row r="17">
      <x:c r="A17" s="51" t="str">
        <x:v>M4-REPAIR-016</x:v>
      </x:c>
      <x:c r="B17" s="20" t="str">
        <x:v>命盘不能单独证明修复完成或失败</x:v>
      </x:c>
      <x:c r="C17" s="20" t="str">
        <x:v>L0 定义、边界与证据合同</x:v>
      </x:c>
      <x:c r="D17" s="20" t="str">
        <x:v>REPAIR-定义边界</x:v>
      </x:c>
      <x:c r="E17" s="20" t="str">
        <x:v>通用</x:v>
      </x:c>
      <x:c r="F17" s="20" t="str">
        <x:v>证据</x:v>
      </x:c>
      <x:c r="G17" s="20" t="str">
        <x:v>现实证据门控</x:v>
      </x:c>
      <x:c r="H17" s="20" t="str"/>
      <x:c r="I17" s="20" t="str">
        <x:v>命理结构只用于建立功能候选，并有现实事件资料校验。</x:v>
      </x:c>
      <x:c r="J17" s="20" t="str">
        <x:v>仅凭十神组合、喜忌或合冲刑害破发布修复结果。</x:v>
      </x:c>
      <x:c r="K17" s="20" t="str">
        <x:v>由共享基础引擎提供；仅修正修复功能的承载、持续与压力占位，不直接等同是否愿意认错或能否修复。</x:v>
      </x:c>
      <x:c r="L17" s="20" t="str">
        <x:v>由M1／M2提供；夫妻星只说明伴侣原型与关系资格，不单独证明修复能力、修复意愿或修复结果。</x:v>
      </x:c>
      <x:c r="M17" s="20" t="str">
        <x:v>由M3-BASE提供；日支底盘说明亲密关系中自然调用的功能，但不能单独证明修复闭环。</x:v>
      </x:c>
      <x:c r="N17" s="20" t="str">
        <x:v>由M3-CONFLICT、M4-LOOP及现实事件提供；必须区分问题停止、责任承担、影响确认、行动改变、反馈整合与后续回访。</x:v>
      </x:c>
      <x:c r="O17" s="20" t="str">
        <x:v>由共享基础引擎判定；近位提高相关功能进入亲密关系核心的概率，远位只作背景或阶段修正。</x:v>
      </x:c>
      <x:c r="P17" s="20" t="str">
        <x:v>根气只修正某修复功能是否容易重复调用，不等于现实中已经持续改变。</x:v>
      </x:c>
      <x:c r="Q17" s="20" t="str">
        <x:v>旺弱只修正功能调用强度与占位，不直接等同修复质量、诚意或关系结果。</x:v>
      </x:c>
      <x:c r="R17" s="20" t="str">
        <x:v>喜忌只修正功能摩擦、平衡与承载，不直接等同道德、成熟、善恶或是否值得原谅。</x:v>
      </x:c>
      <x:c r="S17" s="20" t="str">
        <x:v>原十神功能有效；真合化成立时按化神功能替换，合化争议时停止定性。</x:v>
      </x:c>
      <x:c r="T17" s="20" t="str">
        <x:v>近位提高修复议题与亲密关系的直接相关性；远位仅保留背景、阶段或低置信修正。</x:v>
      </x:c>
      <x:c r="U17" s="20" t="str">
        <x:v>99</x:v>
      </x:c>
      <x:c r="V17" s="20" t="str">
        <x:v>命盘上限E1</x:v>
      </x:c>
      <x:c r="W17" s="20" t="str">
        <x:v>evidence_level</x:v>
      </x:c>
      <x:c r="X17" s="20" t="str">
        <x:v>修复是现实行为过程；命盘最多提示哪类功能容易进入或缺位。</x:v>
      </x:c>
      <x:c r="Y17" s="20" t="str">
        <x:v>八字可以帮助观察修复时常用什么方式，但修复有没有完成，必须看现实行为和后续反馈。</x:v>
      </x:c>
      <x:c r="Z1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" s="20" t="str">
        <x:v>高</x:v>
      </x:c>
      <x:c r="AB17" s="20" t="str">
        <x:v>待验证</x:v>
      </x:c>
      <x:c r="AC17" s="20" t="str"/>
      <x:c r="AD17" s="20" t="str">
        <x:v>provisional=true；M3-REPAIR尚未完成，完成条件为暂定功能模型。</x:v>
      </x:c>
      <x:c r="AE17" s="52" t="str">
        <x:v>0.7</x:v>
      </x:c>
    </x:row>
    <x:row r="18">
      <x:c r="A18" s="51" t="str">
        <x:v>M4-REPAIR-017</x:v>
      </x:c>
      <x:c r="B18" s="20" t="str">
        <x:v>M3-REPAIR依赖暂定｜完成标准尚未最终锁定</x:v>
      </x:c>
      <x:c r="C18" s="20" t="str">
        <x:v>L0 定义、边界与证据合同</x:v>
      </x:c>
      <x:c r="D18" s="20" t="str">
        <x:v>REPAIR-定义边界</x:v>
      </x:c>
      <x:c r="E18" s="20" t="str">
        <x:v>通用</x:v>
      </x:c>
      <x:c r="F18" s="20" t="str">
        <x:v>接口</x:v>
      </x:c>
      <x:c r="G18" s="20" t="str">
        <x:v>M3-REPAIR依赖</x:v>
      </x:c>
      <x:c r="H18" s="20" t="str"/>
      <x:c r="I18" s="20" t="str">
        <x:v>当前使用功能性修复节点作为暂定接口。</x:v>
      </x:c>
      <x:c r="J18" s="20" t="str">
        <x:v>把本模块当成最终M3修复风格模型。</x:v>
      </x:c>
      <x:c r="K18" s="20" t="str">
        <x:v>由共享基础引擎提供；仅修正修复功能的承载、持续与压力占位，不直接等同是否愿意认错或能否修复。</x:v>
      </x:c>
      <x:c r="L18" s="20" t="str">
        <x:v>由M1／M2提供；夫妻星只说明伴侣原型与关系资格，不单独证明修复能力、修复意愿或修复结果。</x:v>
      </x:c>
      <x:c r="M18" s="20" t="str">
        <x:v>由M3-BASE提供；日支底盘说明亲密关系中自然调用的功能，但不能单独证明修复闭环。</x:v>
      </x:c>
      <x:c r="N18" s="20" t="str">
        <x:v>由M3-CONFLICT、M4-LOOP及现实事件提供；必须区分问题停止、责任承担、影响确认、行动改变、反馈整合与后续回访。</x:v>
      </x:c>
      <x:c r="O18" s="20" t="str">
        <x:v>由共享基础引擎判定；近位提高相关功能进入亲密关系核心的概率，远位只作背景或阶段修正。</x:v>
      </x:c>
      <x:c r="P18" s="20" t="str">
        <x:v>根气只修正某修复功能是否容易重复调用，不等于现实中已经持续改变。</x:v>
      </x:c>
      <x:c r="Q18" s="20" t="str">
        <x:v>旺弱只修正功能调用强度与占位，不直接等同修复质量、诚意或关系结果。</x:v>
      </x:c>
      <x:c r="R18" s="20" t="str">
        <x:v>喜忌只修正功能摩擦、平衡与承载，不直接等同道德、成熟、善恶或是否值得原谅。</x:v>
      </x:c>
      <x:c r="S18" s="20" t="str">
        <x:v>原十神功能有效；真合化成立时按化神功能替换，合化争议时停止定性。</x:v>
      </x:c>
      <x:c r="T18" s="20" t="str">
        <x:v>近位提高修复议题与亲密关系的直接相关性；远位仅保留背景、阶段或低置信修正。</x:v>
      </x:c>
      <x:c r="U18" s="20" t="str">
        <x:v>94</x:v>
      </x:c>
      <x:c r="V18" s="20" t="str">
        <x:v>接口暂定</x:v>
      </x:c>
      <x:c r="W18" s="20" t="str">
        <x:v>boundary_note</x:v>
      </x:c>
      <x:c r="X18" s="20" t="str">
        <x:v>M4-REPAIR识别卡点，未来M3-REPAIR将提供更完整的正常修复路径和状态差异。</x:v>
      </x:c>
      <x:c r="Y18" s="20" t="str">
        <x:v>当前可以判断修复链在哪里可能中断，但完整的个人修复风格仍需后续M3模块校准。</x:v>
      </x:c>
      <x:c r="Z1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" s="20" t="str">
        <x:v>中高</x:v>
      </x:c>
      <x:c r="AB18" s="20" t="str">
        <x:v>待验证</x:v>
      </x:c>
      <x:c r="AC18" s="20" t="str"/>
      <x:c r="AD18" s="20" t="str">
        <x:v>provisional=true；M3-REPAIR尚未完成，完成条件为暂定功能模型。</x:v>
      </x:c>
      <x:c r="AE18" s="52" t="str">
        <x:v>0.7</x:v>
      </x:c>
    </x:row>
    <x:row r="19">
      <x:c r="A19" s="51" t="str">
        <x:v>M4-REPAIR-018</x:v>
      </x:c>
      <x:c r="B19" s="20" t="str">
        <x:v>同一事件与同一source_id只计一次</x:v>
      </x:c>
      <x:c r="C19" s="20" t="str">
        <x:v>L0 定义、边界与证据合同</x:v>
      </x:c>
      <x:c r="D19" s="20" t="str">
        <x:v>REPAIR-定义边界</x:v>
      </x:c>
      <x:c r="E19" s="20" t="str">
        <x:v>通用</x:v>
      </x:c>
      <x:c r="F19" s="20" t="str">
        <x:v>去重</x:v>
      </x:c>
      <x:c r="G19" s="20" t="str">
        <x:v>事件与来源去重</x:v>
      </x:c>
      <x:c r="H19" s="20" t="str"/>
      <x:c r="I19" s="20" t="str">
        <x:v>M3-CONFLICT、M4-LOOP和M4-REPAIR引用同一事件或同一命理事实。</x:v>
      </x:c>
      <x:c r="J19" s="20" t="str">
        <x:v>把同一段道歉、同一行为或同一日支事实在多个模块重复算独立证据。</x:v>
      </x:c>
      <x:c r="K19" s="20" t="str">
        <x:v>由共享基础引擎提供；仅修正修复功能的承载、持续与压力占位，不直接等同是否愿意认错或能否修复。</x:v>
      </x:c>
      <x:c r="L19" s="20" t="str">
        <x:v>由M1／M2提供；夫妻星只说明伴侣原型与关系资格，不单独证明修复能力、修复意愿或修复结果。</x:v>
      </x:c>
      <x:c r="M19" s="20" t="str">
        <x:v>由M3-BASE提供；日支底盘说明亲密关系中自然调用的功能，但不能单独证明修复闭环。</x:v>
      </x:c>
      <x:c r="N19" s="20" t="str">
        <x:v>由M3-CONFLICT、M4-LOOP及现实事件提供；必须区分问题停止、责任承担、影响确认、行动改变、反馈整合与后续回访。</x:v>
      </x:c>
      <x:c r="O19" s="20" t="str">
        <x:v>由共享基础引擎判定；近位提高相关功能进入亲密关系核心的概率，远位只作背景或阶段修正。</x:v>
      </x:c>
      <x:c r="P19" s="20" t="str">
        <x:v>根气只修正某修复功能是否容易重复调用，不等于现实中已经持续改变。</x:v>
      </x:c>
      <x:c r="Q19" s="20" t="str">
        <x:v>旺弱只修正功能调用强度与占位，不直接等同修复质量、诚意或关系结果。</x:v>
      </x:c>
      <x:c r="R19" s="20" t="str">
        <x:v>喜忌只修正功能摩擦、平衡与承载，不直接等同道德、成熟、善恶或是否值得原谅。</x:v>
      </x:c>
      <x:c r="S19" s="20" t="str">
        <x:v>原十神功能有效；真合化成立时按化神功能替换，合化争议时停止定性。</x:v>
      </x:c>
      <x:c r="T19" s="20" t="str">
        <x:v>近位提高修复议题与亲密关系的直接相关性；远位仅保留背景、阶段或低置信修正。</x:v>
      </x:c>
      <x:c r="U19" s="20" t="str">
        <x:v>97</x:v>
      </x:c>
      <x:c r="V19" s="20" t="str">
        <x:v>同源去重</x:v>
      </x:c>
      <x:c r="W19" s="20" t="str">
        <x:v>dedup_log</x:v>
      </x:c>
      <x:c r="X19" s="20" t="str">
        <x:v>同一事实可承担不同解释功能，但基础权重和独立证据数只计算一次。</x:v>
      </x:c>
      <x:c r="Y19" s="20" t="str">
        <x:v>同一件事即使被多个模块引用，也只能算一份基础证据。</x:v>
      </x:c>
      <x:c r="Z1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" s="20" t="str">
        <x:v>高</x:v>
      </x:c>
      <x:c r="AB19" s="20" t="str">
        <x:v>待验证</x:v>
      </x:c>
      <x:c r="AC19" s="20" t="str"/>
      <x:c r="AD19" s="20" t="str">
        <x:v>provisional=true；M3-REPAIR尚未完成，完成条件为暂定功能模型。</x:v>
      </x:c>
      <x:c r="AE19" s="52" t="str">
        <x:v>0.7</x:v>
      </x:c>
    </x:row>
    <x:row r="20">
      <x:c r="A20" s="51" t="str">
        <x:v>M4-REPAIR-019</x:v>
      </x:c>
      <x:c r="B20" s="20" t="str">
        <x:v>现实反例必须进入裁决</x:v>
      </x:c>
      <x:c r="C20" s="20" t="str">
        <x:v>L0 定义、边界与证据合同</x:v>
      </x:c>
      <x:c r="D20" s="20" t="str">
        <x:v>REPAIR-定义边界</x:v>
      </x:c>
      <x:c r="E20" s="20" t="str">
        <x:v>通用</x:v>
      </x:c>
      <x:c r="F20" s="20" t="str">
        <x:v>证据</x:v>
      </x:c>
      <x:c r="G20" s="20" t="str">
        <x:v>反例门控</x:v>
      </x:c>
      <x:c r="H20" s="20" t="str"/>
      <x:c r="I20" s="20" t="str">
        <x:v>存在相似事件中成功完成修复、稳定改变或没有出现所假设卡点的资料。</x:v>
      </x:c>
      <x:c r="J20" s="20" t="str">
        <x:v>只收集失败事件，不记录有效修复。</x:v>
      </x:c>
      <x:c r="K20" s="20" t="str">
        <x:v>由共享基础引擎提供；仅修正修复功能的承载、持续与压力占位，不直接等同是否愿意认错或能否修复。</x:v>
      </x:c>
      <x:c r="L20" s="20" t="str">
        <x:v>由M1／M2提供；夫妻星只说明伴侣原型与关系资格，不单独证明修复能力、修复意愿或修复结果。</x:v>
      </x:c>
      <x:c r="M20" s="20" t="str">
        <x:v>由M3-BASE提供；日支底盘说明亲密关系中自然调用的功能，但不能单独证明修复闭环。</x:v>
      </x:c>
      <x:c r="N20" s="20" t="str">
        <x:v>由M3-CONFLICT、M4-LOOP及现实事件提供；必须区分问题停止、责任承担、影响确认、行动改变、反馈整合与后续回访。</x:v>
      </x:c>
      <x:c r="O20" s="20" t="str">
        <x:v>由共享基础引擎判定；近位提高相关功能进入亲密关系核心的概率，远位只作背景或阶段修正。</x:v>
      </x:c>
      <x:c r="P20" s="20" t="str">
        <x:v>根气只修正某修复功能是否容易重复调用，不等于现实中已经持续改变。</x:v>
      </x:c>
      <x:c r="Q20" s="20" t="str">
        <x:v>旺弱只修正功能调用强度与占位，不直接等同修复质量、诚意或关系结果。</x:v>
      </x:c>
      <x:c r="R20" s="20" t="str">
        <x:v>喜忌只修正功能摩擦、平衡与承载，不直接等同道德、成熟、善恶或是否值得原谅。</x:v>
      </x:c>
      <x:c r="S20" s="20" t="str">
        <x:v>原十神功能有效；真合化成立时按化神功能替换，合化争议时停止定性。</x:v>
      </x:c>
      <x:c r="T20" s="20" t="str">
        <x:v>近位提高修复议题与亲密关系的直接相关性；远位仅保留背景、阶段或低置信修正。</x:v>
      </x:c>
      <x:c r="U20" s="20" t="str">
        <x:v>97</x:v>
      </x:c>
      <x:c r="V20" s="20" t="str">
        <x:v>反例扣分／停止</x:v>
      </x:c>
      <x:c r="W20" s="20" t="str">
        <x:v>counterevidence</x:v>
      </x:c>
      <x:c r="X20" s="20" t="str">
        <x:v>反例用于判断卡点是否仅在特定情境出现，以及保护因素是否有效。</x:v>
      </x:c>
      <x:c r="Y20" s="20" t="str">
        <x:v>若现实中多次能够完整修复，应降低“稳定卡点”的判断，而不是把成功都当成例外。</x:v>
      </x:c>
      <x:c r="Z2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" s="20" t="str">
        <x:v>高</x:v>
      </x:c>
      <x:c r="AB20" s="20" t="str">
        <x:v>待验证</x:v>
      </x:c>
      <x:c r="AC20" s="20" t="str"/>
      <x:c r="AD20" s="20" t="str">
        <x:v>provisional=true；M3-REPAIR尚未完成，完成条件为暂定功能模型。</x:v>
      </x:c>
      <x:c r="AE20" s="52" t="str">
        <x:v>0.7</x:v>
      </x:c>
    </x:row>
    <x:row r="21">
      <x:c r="A21" s="51" t="str">
        <x:v>M4-REPAIR-020</x:v>
      </x:c>
      <x:c r="B21" s="20" t="str">
        <x:v>输出数量限制｜正文最多一个主卡点和一个次卡点</x:v>
      </x:c>
      <x:c r="C21" s="20" t="str">
        <x:v>L0 定义、边界与证据合同</x:v>
      </x:c>
      <x:c r="D21" s="20" t="str">
        <x:v>REPAIR-定义边界</x:v>
      </x:c>
      <x:c r="E21" s="20" t="str">
        <x:v>通用</x:v>
      </x:c>
      <x:c r="F21" s="20" t="str">
        <x:v>输出</x:v>
      </x:c>
      <x:c r="G21" s="20" t="str">
        <x:v>输出上限</x:v>
      </x:c>
      <x:c r="H21" s="20" t="str"/>
      <x:c r="I21" s="20" t="str">
        <x:v>完成去重、节点检查、反例、安全和置信度裁决。</x:v>
      </x:c>
      <x:c r="J21" s="20" t="str">
        <x:v>把所有十神、所有修复节点和所有盲点堆进用户正文。</x:v>
      </x:c>
      <x:c r="K21" s="20" t="str">
        <x:v>由共享基础引擎提供；仅修正修复功能的承载、持续与压力占位，不直接等同是否愿意认错或能否修复。</x:v>
      </x:c>
      <x:c r="L21" s="20" t="str">
        <x:v>由M1／M2提供；夫妻星只说明伴侣原型与关系资格，不单独证明修复能力、修复意愿或修复结果。</x:v>
      </x:c>
      <x:c r="M21" s="20" t="str">
        <x:v>由M3-BASE提供；日支底盘说明亲密关系中自然调用的功能，但不能单独证明修复闭环。</x:v>
      </x:c>
      <x:c r="N21" s="20" t="str">
        <x:v>由M3-CONFLICT、M4-LOOP及现实事件提供；必须区分问题停止、责任承担、影响确认、行动改变、反馈整合与后续回访。</x:v>
      </x:c>
      <x:c r="O21" s="20" t="str">
        <x:v>由共享基础引擎判定；近位提高相关功能进入亲密关系核心的概率，远位只作背景或阶段修正。</x:v>
      </x:c>
      <x:c r="P21" s="20" t="str">
        <x:v>根气只修正某修复功能是否容易重复调用，不等于现实中已经持续改变。</x:v>
      </x:c>
      <x:c r="Q21" s="20" t="str">
        <x:v>旺弱只修正功能调用强度与占位，不直接等同修复质量、诚意或关系结果。</x:v>
      </x:c>
      <x:c r="R21" s="20" t="str">
        <x:v>喜忌只修正功能摩擦、平衡与承载，不直接等同道德、成熟、善恶或是否值得原谅。</x:v>
      </x:c>
      <x:c r="S21" s="20" t="str">
        <x:v>原十神功能有效；真合化成立时按化神功能替换，合化争议时停止定性。</x:v>
      </x:c>
      <x:c r="T21" s="20" t="str">
        <x:v>近位提高修复议题与亲密关系的直接相关性；远位仅保留背景、阶段或低置信修正。</x:v>
      </x:c>
      <x:c r="U21" s="20" t="str">
        <x:v>92</x:v>
      </x:c>
      <x:c r="V21" s="20" t="str">
        <x:v>输出封顶</x:v>
      </x:c>
      <x:c r="W21" s="20" t="str">
        <x:v>report_status</x:v>
      </x:c>
      <x:c r="X21" s="20" t="str">
        <x:v>报告应保留最能解释现实事件的主要修复断点，次卡点仅在功能独立时保留。</x:v>
      </x:c>
      <x:c r="Y21" s="20" t="str">
        <x:v>最终正文只保留一个最关键的修复卡点；必要时再补一个功能不同的次卡点。</x:v>
      </x:c>
      <x:c r="Z2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" s="20" t="str">
        <x:v>高</x:v>
      </x:c>
      <x:c r="AB21" s="20" t="str">
        <x:v>待验证</x:v>
      </x:c>
      <x:c r="AC21" s="20" t="str"/>
      <x:c r="AD21" s="20" t="str">
        <x:v>provisional=true；M3-REPAIR尚未完成，完成条件为暂定功能模型。</x:v>
      </x:c>
      <x:c r="AE21" s="52" t="str">
        <x:v>0.7</x:v>
      </x:c>
    </x:row>
    <x:row r="22">
      <x:c r="A22" s="51" t="str">
        <x:v>M4-REPAIR-021</x:v>
      </x:c>
      <x:c r="B22" s="20" t="str">
        <x:v>RN01 停止伤害与恢复基本安全｜节点定义</x:v>
      </x:c>
      <x:c r="C22" s="20" t="str">
        <x:v>L1 修复节点与完成任务</x:v>
      </x:c>
      <x:c r="D22" s="20" t="str">
        <x:v>REPAIR-修复节点</x:v>
      </x:c>
      <x:c r="E22" s="20" t="str">
        <x:v>通用</x:v>
      </x:c>
      <x:c r="F22" s="20" t="str">
        <x:v>定义</x:v>
      </x:c>
      <x:c r="G22" s="20" t="str">
        <x:v>RN01</x:v>
      </x:c>
      <x:c r="H22" s="20" t="str"/>
      <x:c r="I22" s="20" t="str">
        <x:v>先让正在继续的伤害、越界、风险或高强度互动停止，并恢复基本可选择状态。</x:v>
      </x:c>
      <x:c r="J22" s="20" t="str"/>
      <x:c r="K22" s="20" t="str">
        <x:v>由共享基础引擎提供；仅修正修复功能的承载、持续与压力占位，不直接等同是否愿意认错或能否修复。</x:v>
      </x:c>
      <x:c r="L22" s="20" t="str">
        <x:v>由M1／M2提供；夫妻星只说明伴侣原型与关系资格，不单独证明修复能力、修复意愿或修复结果。</x:v>
      </x:c>
      <x:c r="M22" s="20" t="str">
        <x:v>由M3-BASE提供；日支底盘说明亲密关系中自然调用的功能，但不能单独证明修复闭环。</x:v>
      </x:c>
      <x:c r="N22" s="20" t="str">
        <x:v>由M3-CONFLICT、M4-LOOP及现实事件提供；必须区分问题停止、责任承担、影响确认、行动改变、反馈整合与后续回访。</x:v>
      </x:c>
      <x:c r="O22" s="20" t="str">
        <x:v>由共享基础引擎判定；近位提高相关功能进入亲密关系核心的概率，远位只作背景或阶段修正。</x:v>
      </x:c>
      <x:c r="P22" s="20" t="str">
        <x:v>根气只修正某修复功能是否容易重复调用，不等于现实中已经持续改变。</x:v>
      </x:c>
      <x:c r="Q22" s="20" t="str">
        <x:v>旺弱只修正功能调用强度与占位，不直接等同修复质量、诚意或关系结果。</x:v>
      </x:c>
      <x:c r="R22" s="20" t="str">
        <x:v>喜忌只修正功能摩擦、平衡与承载，不直接等同道德、成熟、善恶或是否值得原谅。</x:v>
      </x:c>
      <x:c r="S22" s="20" t="str">
        <x:v>原十神功能有效；真合化成立时按化神功能替换，合化争议时停止定性。</x:v>
      </x:c>
      <x:c r="T22" s="20" t="str">
        <x:v>近位提高修复议题与亲密关系的直接相关性；远位仅保留背景、阶段或低置信修正。</x:v>
      </x:c>
      <x:c r="U22" s="20" t="str">
        <x:v>72</x:v>
      </x:c>
      <x:c r="V22" s="20" t="str">
        <x:v>节点有效＋4；关键节点未知则降级</x:v>
      </x:c>
      <x:c r="W22" s="20" t="str">
        <x:v>repair_nodes</x:v>
      </x:c>
      <x:c r="X22" s="20" t="str">
        <x:v>该节点解决修复链中的一个独立任务，不能被相邻节点自动替代。</x:v>
      </x:c>
      <x:c r="Y22" s="20" t="str">
        <x:v>修复的第一步是先让问题不再继续扩大，并确认双方有真实的选择空间。</x:v>
      </x:c>
      <x:c r="Z2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" s="20" t="str">
        <x:v>中高</x:v>
      </x:c>
      <x:c r="AB22" s="20" t="str">
        <x:v>待验证</x:v>
      </x:c>
      <x:c r="AC22" s="20" t="str"/>
      <x:c r="AD22" s="20" t="str">
        <x:v>provisional=true；M3-REPAIR尚未完成，完成条件为暂定功能模型。</x:v>
      </x:c>
      <x:c r="AE22" s="52" t="str">
        <x:v>0.7</x:v>
      </x:c>
    </x:row>
    <x:row r="23">
      <x:c r="A23" s="51" t="str">
        <x:v>M4-REPAIR-022</x:v>
      </x:c>
      <x:c r="B23" s="20" t="str">
        <x:v>RN01 停止伤害与恢复基本安全｜最低证据</x:v>
      </x:c>
      <x:c r="C23" s="20" t="str">
        <x:v>L1 修复节点与完成任务</x:v>
      </x:c>
      <x:c r="D23" s="20" t="str">
        <x:v>REPAIR-修复节点</x:v>
      </x:c>
      <x:c r="E23" s="20" t="str">
        <x:v>通用</x:v>
      </x:c>
      <x:c r="F23" s="20" t="str">
        <x:v>证据</x:v>
      </x:c>
      <x:c r="G23" s="20" t="str">
        <x:v>RN01</x:v>
      </x:c>
      <x:c r="H23" s="20" t="str"/>
      <x:c r="I23" s="20" t="str">
        <x:v>现实中有停止、离开、保护、暂停升级、停止重复行为或安全安排。</x:v>
      </x:c>
      <x:c r="J23" s="20" t="str">
        <x:v>把暂时沉默、被迫配合或问题自然消失当成安全已经恢复。</x:v>
      </x:c>
      <x:c r="K23" s="20" t="str">
        <x:v>由共享基础引擎提供；仅修正修复功能的承载、持续与压力占位，不直接等同是否愿意认错或能否修复。</x:v>
      </x:c>
      <x:c r="L23" s="20" t="str">
        <x:v>由M1／M2提供；夫妻星只说明伴侣原型与关系资格，不单独证明修复能力、修复意愿或修复结果。</x:v>
      </x:c>
      <x:c r="M23" s="20" t="str">
        <x:v>由M3-BASE提供；日支底盘说明亲密关系中自然调用的功能，但不能单独证明修复闭环。</x:v>
      </x:c>
      <x:c r="N23" s="20" t="str">
        <x:v>由M3-CONFLICT、M4-LOOP及现实事件提供；必须区分问题停止、责任承担、影响确认、行动改变、反馈整合与后续回访。</x:v>
      </x:c>
      <x:c r="O23" s="20" t="str">
        <x:v>由共享基础引擎判定；近位提高相关功能进入亲密关系核心的概率，远位只作背景或阶段修正。</x:v>
      </x:c>
      <x:c r="P23" s="20" t="str">
        <x:v>根气只修正某修复功能是否容易重复调用，不等于现实中已经持续改变。</x:v>
      </x:c>
      <x:c r="Q23" s="20" t="str">
        <x:v>旺弱只修正功能调用强度与占位，不直接等同修复质量、诚意或关系结果。</x:v>
      </x:c>
      <x:c r="R23" s="20" t="str">
        <x:v>喜忌只修正功能摩擦、平衡与承载，不直接等同道德、成熟、善恶或是否值得原谅。</x:v>
      </x:c>
      <x:c r="S23" s="20" t="str">
        <x:v>原十神功能有效；真合化成立时按化神功能替换，合化争议时停止定性。</x:v>
      </x:c>
      <x:c r="T23" s="20" t="str">
        <x:v>近位提高修复议题与亲密关系的直接相关性；远位仅保留背景、阶段或低置信修正。</x:v>
      </x:c>
      <x:c r="U23" s="20" t="str">
        <x:v>88</x:v>
      </x:c>
      <x:c r="V23" s="20" t="str">
        <x:v>节点有效＋4；关键节点未知则降级</x:v>
      </x:c>
      <x:c r="W23" s="20" t="str">
        <x:v>repair_nodes</x:v>
      </x:c>
      <x:c r="X23" s="20" t="str">
        <x:v>最低证据决定该节点能否被标记为有效；资料不足时应写未知。</x:v>
      </x:c>
      <x:c r="Y23" s="20" t="str">
        <x:v>判断这一节点需要具体言语、行动或后续记录，不能只用抽象评价。</x:v>
      </x:c>
      <x:c r="Z2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" s="20" t="str">
        <x:v>中高</x:v>
      </x:c>
      <x:c r="AB23" s="20" t="str">
        <x:v>待验证</x:v>
      </x:c>
      <x:c r="AC23" s="20" t="str"/>
      <x:c r="AD23" s="20" t="str">
        <x:v>provisional=true；M3-REPAIR尚未完成，完成条件为暂定功能模型。</x:v>
      </x:c>
      <x:c r="AE23" s="52" t="str">
        <x:v>0.7</x:v>
      </x:c>
    </x:row>
    <x:row r="24">
      <x:c r="A24" s="51" t="str">
        <x:v>M4-REPAIR-023</x:v>
      </x:c>
      <x:c r="B24" s="20" t="str">
        <x:v>RN01 停止伤害与恢复基本安全｜功能位置</x:v>
      </x:c>
      <x:c r="C24" s="20" t="str">
        <x:v>L1 修复节点与完成任务</x:v>
      </x:c>
      <x:c r="D24" s="20" t="str">
        <x:v>REPAIR-修复节点</x:v>
      </x:c>
      <x:c r="E24" s="20" t="str">
        <x:v>通用</x:v>
      </x:c>
      <x:c r="F24" s="20" t="str">
        <x:v>路由</x:v>
      </x:c>
      <x:c r="G24" s="20" t="str">
        <x:v>RN01</x:v>
      </x:c>
      <x:c r="H24" s="20" t="str"/>
      <x:c r="I24" s="20" t="str">
        <x:v>该节点与当前事件类型及前后修复任务相匹配。</x:v>
      </x:c>
      <x:c r="J24" s="20" t="str">
        <x:v>节点出现，但与当前核心影响无关。</x:v>
      </x:c>
      <x:c r="K24" s="20" t="str">
        <x:v>由共享基础引擎提供；仅修正修复功能的承载、持续与压力占位，不直接等同是否愿意认错或能否修复。</x:v>
      </x:c>
      <x:c r="L24" s="20" t="str">
        <x:v>由M1／M2提供；夫妻星只说明伴侣原型与关系资格，不单独证明修复能力、修复意愿或修复结果。</x:v>
      </x:c>
      <x:c r="M24" s="20" t="str">
        <x:v>由M3-BASE提供；日支底盘说明亲密关系中自然调用的功能，但不能单独证明修复闭环。</x:v>
      </x:c>
      <x:c r="N24" s="20" t="str">
        <x:v>由M3-CONFLICT、M4-LOOP及现实事件提供；必须区分问题停止、责任承担、影响确认、行动改变、反馈整合与后续回访。</x:v>
      </x:c>
      <x:c r="O24" s="20" t="str">
        <x:v>由共享基础引擎判定；近位提高相关功能进入亲密关系核心的概率，远位只作背景或阶段修正。</x:v>
      </x:c>
      <x:c r="P24" s="20" t="str">
        <x:v>根气只修正某修复功能是否容易重复调用，不等于现实中已经持续改变。</x:v>
      </x:c>
      <x:c r="Q24" s="20" t="str">
        <x:v>旺弱只修正功能调用强度与占位，不直接等同修复质量、诚意或关系结果。</x:v>
      </x:c>
      <x:c r="R24" s="20" t="str">
        <x:v>喜忌只修正功能摩擦、平衡与承载，不直接等同道德、成熟、善恶或是否值得原谅。</x:v>
      </x:c>
      <x:c r="S24" s="20" t="str">
        <x:v>原十神功能有效；真合化成立时按化神功能替换，合化争议时停止定性。</x:v>
      </x:c>
      <x:c r="T24" s="20" t="str">
        <x:v>近位提高修复议题与亲密关系的直接相关性；远位仅保留背景、阶段或低置信修正。</x:v>
      </x:c>
      <x:c r="U24" s="20" t="str">
        <x:v>72</x:v>
      </x:c>
      <x:c r="V24" s="20" t="str">
        <x:v>节点有效＋4；关键节点未知则降级</x:v>
      </x:c>
      <x:c r="W24" s="20" t="str">
        <x:v>repair_nodes</x:v>
      </x:c>
      <x:c r="X24" s="20" t="str">
        <x:v>同一动作在不同事件中可能承担不同功能，需按任务匹配。</x:v>
      </x:c>
      <x:c r="Y24" s="20" t="str">
        <x:v>要看这一步是否真正回应了当前问题，而不只是形式上做了某件事。</x:v>
      </x:c>
      <x:c r="Z2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" s="20" t="str">
        <x:v>中高</x:v>
      </x:c>
      <x:c r="AB24" s="20" t="str">
        <x:v>待验证</x:v>
      </x:c>
      <x:c r="AC24" s="20" t="str"/>
      <x:c r="AD24" s="20" t="str">
        <x:v>provisional=true；M3-REPAIR尚未完成，完成条件为暂定功能模型。</x:v>
      </x:c>
      <x:c r="AE24" s="52" t="str">
        <x:v>0.7</x:v>
      </x:c>
    </x:row>
    <x:row r="25">
      <x:c r="A25" s="51" t="str">
        <x:v>M4-REPAIR-024</x:v>
      </x:c>
      <x:c r="B25" s="20" t="str">
        <x:v>RN01 停止伤害与恢复基本安全｜常见假完成</x:v>
      </x:c>
      <x:c r="C25" s="20" t="str">
        <x:v>L1 修复节点与完成任务</x:v>
      </x:c>
      <x:c r="D25" s="20" t="str">
        <x:v>REPAIR-修复节点</x:v>
      </x:c>
      <x:c r="E25" s="20" t="str">
        <x:v>通用</x:v>
      </x:c>
      <x:c r="F25" s="20" t="str">
        <x:v>边界</x:v>
      </x:c>
      <x:c r="G25" s="20" t="str">
        <x:v>RN01</x:v>
      </x:c>
      <x:c r="H25" s="20" t="str"/>
      <x:c r="I25" s="20" t="str">
        <x:v>能够区分该节点本身与“修复全部完成”。</x:v>
      </x:c>
      <x:c r="J25" s="20" t="str">
        <x:v>把暂时沉默、被迫配合或问题自然消失当成安全已经恢复。</x:v>
      </x:c>
      <x:c r="K25" s="20" t="str">
        <x:v>由共享基础引擎提供；仅修正修复功能的承载、持续与压力占位，不直接等同是否愿意认错或能否修复。</x:v>
      </x:c>
      <x:c r="L25" s="20" t="str">
        <x:v>由M1／M2提供；夫妻星只说明伴侣原型与关系资格，不单独证明修复能力、修复意愿或修复结果。</x:v>
      </x:c>
      <x:c r="M25" s="20" t="str">
        <x:v>由M3-BASE提供；日支底盘说明亲密关系中自然调用的功能，但不能单独证明修复闭环。</x:v>
      </x:c>
      <x:c r="N25" s="20" t="str">
        <x:v>由M3-CONFLICT、M4-LOOP及现实事件提供；必须区分问题停止、责任承担、影响确认、行动改变、反馈整合与后续回访。</x:v>
      </x:c>
      <x:c r="O25" s="20" t="str">
        <x:v>由共享基础引擎判定；近位提高相关功能进入亲密关系核心的概率，远位只作背景或阶段修正。</x:v>
      </x:c>
      <x:c r="P25" s="20" t="str">
        <x:v>根气只修正某修复功能是否容易重复调用，不等于现实中已经持续改变。</x:v>
      </x:c>
      <x:c r="Q25" s="20" t="str">
        <x:v>旺弱只修正功能调用强度与占位，不直接等同修复质量、诚意或关系结果。</x:v>
      </x:c>
      <x:c r="R25" s="20" t="str">
        <x:v>喜忌只修正功能摩擦、平衡与承载，不直接等同道德、成熟、善恶或是否值得原谅。</x:v>
      </x:c>
      <x:c r="S25" s="20" t="str">
        <x:v>原十神功能有效；真合化成立时按化神功能替换，合化争议时停止定性。</x:v>
      </x:c>
      <x:c r="T25" s="20" t="str">
        <x:v>近位提高修复议题与亲密关系的直接相关性；远位仅保留背景、阶段或低置信修正。</x:v>
      </x:c>
      <x:c r="U25" s="20" t="str">
        <x:v>72</x:v>
      </x:c>
      <x:c r="V25" s="20" t="str">
        <x:v>节点有效＋4；关键节点未知则降级</x:v>
      </x:c>
      <x:c r="W25" s="20" t="str">
        <x:v>repair_nodes</x:v>
      </x:c>
      <x:c r="X25" s="20" t="str">
        <x:v>任何一个节点出现，都不能单独代表完整修复。</x:v>
      </x:c>
      <x:c r="Y25" s="20" t="str">
        <x:v>这一部分完成了，不代表其他修复步骤也已经自动完成。</x:v>
      </x:c>
      <x:c r="Z2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" s="20" t="str">
        <x:v>中高</x:v>
      </x:c>
      <x:c r="AB25" s="20" t="str">
        <x:v>待验证</x:v>
      </x:c>
      <x:c r="AC25" s="20" t="str"/>
      <x:c r="AD25" s="20" t="str">
        <x:v>provisional=true；M3-REPAIR尚未完成，完成条件为暂定功能模型。</x:v>
      </x:c>
      <x:c r="AE25" s="52" t="str">
        <x:v>0.7</x:v>
      </x:c>
    </x:row>
    <x:row r="26">
      <x:c r="A26" s="51" t="str">
        <x:v>M4-REPAIR-025</x:v>
      </x:c>
      <x:c r="B26" s="20" t="str">
        <x:v>RN01 停止伤害与恢复基本安全｜用户解释</x:v>
      </x:c>
      <x:c r="C26" s="20" t="str">
        <x:v>L1 修复节点与完成任务</x:v>
      </x:c>
      <x:c r="D26" s="20" t="str">
        <x:v>REPAIR-修复节点</x:v>
      </x:c>
      <x:c r="E26" s="20" t="str">
        <x:v>通用</x:v>
      </x:c>
      <x:c r="F26" s="20" t="str">
        <x:v>输出</x:v>
      </x:c>
      <x:c r="G26" s="20" t="str">
        <x:v>RN01</x:v>
      </x:c>
      <x:c r="H26" s="20" t="str"/>
      <x:c r="I26" s="20" t="str">
        <x:v>该节点在现实事件中有明确证据。</x:v>
      </x:c>
      <x:c r="J26" s="20" t="str">
        <x:v>资料只来自推测或命盘标签。</x:v>
      </x:c>
      <x:c r="K26" s="20" t="str">
        <x:v>由共享基础引擎提供；仅修正修复功能的承载、持续与压力占位，不直接等同是否愿意认错或能否修复。</x:v>
      </x:c>
      <x:c r="L26" s="20" t="str">
        <x:v>由M1／M2提供；夫妻星只说明伴侣原型与关系资格，不单独证明修复能力、修复意愿或修复结果。</x:v>
      </x:c>
      <x:c r="M26" s="20" t="str">
        <x:v>由M3-BASE提供；日支底盘说明亲密关系中自然调用的功能，但不能单独证明修复闭环。</x:v>
      </x:c>
      <x:c r="N26" s="20" t="str">
        <x:v>由M3-CONFLICT、M4-LOOP及现实事件提供；必须区分问题停止、责任承担、影响确认、行动改变、反馈整合与后续回访。</x:v>
      </x:c>
      <x:c r="O26" s="20" t="str">
        <x:v>由共享基础引擎判定；近位提高相关功能进入亲密关系核心的概率，远位只作背景或阶段修正。</x:v>
      </x:c>
      <x:c r="P26" s="20" t="str">
        <x:v>根气只修正某修复功能是否容易重复调用，不等于现实中已经持续改变。</x:v>
      </x:c>
      <x:c r="Q26" s="20" t="str">
        <x:v>旺弱只修正功能调用强度与占位，不直接等同修复质量、诚意或关系结果。</x:v>
      </x:c>
      <x:c r="R26" s="20" t="str">
        <x:v>喜忌只修正功能摩擦、平衡与承载，不直接等同道德、成熟、善恶或是否值得原谅。</x:v>
      </x:c>
      <x:c r="S26" s="20" t="str">
        <x:v>原十神功能有效；真合化成立时按化神功能替换，合化争议时停止定性。</x:v>
      </x:c>
      <x:c r="T26" s="20" t="str">
        <x:v>近位提高修复议题与亲密关系的直接相关性；远位仅保留背景、阶段或低置信修正。</x:v>
      </x:c>
      <x:c r="U26" s="20" t="str">
        <x:v>72</x:v>
      </x:c>
      <x:c r="V26" s="20" t="str">
        <x:v>节点有效＋4；关键节点未知则降级</x:v>
      </x:c>
      <x:c r="W26" s="20" t="str">
        <x:v>repair_nodes</x:v>
      </x:c>
      <x:c r="X26" s="20" t="str">
        <x:v>用户语言应说明已完成什么和仍需确认什么。</x:v>
      </x:c>
      <x:c r="Y26" s="20" t="str">
        <x:v>修复的第一步是先让问题不再继续扩大，并确认双方有真实的选择空间。</x:v>
      </x:c>
      <x:c r="Z2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" s="20" t="str">
        <x:v>中高</x:v>
      </x:c>
      <x:c r="AB26" s="20" t="str">
        <x:v>待验证</x:v>
      </x:c>
      <x:c r="AC26" s="20" t="str"/>
      <x:c r="AD26" s="20" t="str">
        <x:v>provisional=true；M3-REPAIR尚未完成，完成条件为暂定功能模型。</x:v>
      </x:c>
      <x:c r="AE26" s="52" t="str">
        <x:v>0.7</x:v>
      </x:c>
    </x:row>
    <x:row r="27">
      <x:c r="A27" s="51" t="str">
        <x:v>M4-REPAIR-026</x:v>
      </x:c>
      <x:c r="B27" s="20" t="str">
        <x:v>RN01 停止伤害与恢复基本安全｜停止与升级</x:v>
      </x:c>
      <x:c r="C27" s="20" t="str">
        <x:v>L1 修复节点与完成任务</x:v>
      </x:c>
      <x:c r="D27" s="20" t="str">
        <x:v>REPAIR-修复节点</x:v>
      </x:c>
      <x:c r="E27" s="20" t="str">
        <x:v>通用</x:v>
      </x:c>
      <x:c r="F27" s="20" t="str">
        <x:v>门控</x:v>
      </x:c>
      <x:c r="G27" s="20" t="str">
        <x:v>RN01</x:v>
      </x:c>
      <x:c r="H27" s="20" t="str"/>
      <x:c r="I27" s="20" t="str">
        <x:v>节点有效并完成source_id／event_id去重；或按规则标记未知。</x:v>
      </x:c>
      <x:c r="J27" s="20" t="str">
        <x:v>关键节点未知却继续发布完整闭环。</x:v>
      </x:c>
      <x:c r="K27" s="20" t="str">
        <x:v>由共享基础引擎提供；仅修正修复功能的承载、持续与压力占位，不直接等同是否愿意认错或能否修复。</x:v>
      </x:c>
      <x:c r="L27" s="20" t="str">
        <x:v>由M1／M2提供；夫妻星只说明伴侣原型与关系资格，不单独证明修复能力、修复意愿或修复结果。</x:v>
      </x:c>
      <x:c r="M27" s="20" t="str">
        <x:v>由M3-BASE提供；日支底盘说明亲密关系中自然调用的功能，但不能单独证明修复闭环。</x:v>
      </x:c>
      <x:c r="N27" s="20" t="str">
        <x:v>由M3-CONFLICT、M4-LOOP及现实事件提供；必须区分问题停止、责任承担、影响确认、行动改变、反馈整合与后续回访。</x:v>
      </x:c>
      <x:c r="O27" s="20" t="str">
        <x:v>由共享基础引擎判定；近位提高相关功能进入亲密关系核心的概率，远位只作背景或阶段修正。</x:v>
      </x:c>
      <x:c r="P27" s="20" t="str">
        <x:v>根气只修正某修复功能是否容易重复调用，不等于现实中已经持续改变。</x:v>
      </x:c>
      <x:c r="Q27" s="20" t="str">
        <x:v>旺弱只修正功能调用强度与占位，不直接等同修复质量、诚意或关系结果。</x:v>
      </x:c>
      <x:c r="R27" s="20" t="str">
        <x:v>喜忌只修正功能摩擦、平衡与承载，不直接等同道德、成熟、善恶或是否值得原谅。</x:v>
      </x:c>
      <x:c r="S27" s="20" t="str">
        <x:v>原十神功能有效；真合化成立时按化神功能替换，合化争议时停止定性。</x:v>
      </x:c>
      <x:c r="T27" s="20" t="str">
        <x:v>近位提高修复议题与亲密关系的直接相关性；远位仅保留背景、阶段或低置信修正。</x:v>
      </x:c>
      <x:c r="U27" s="20" t="str">
        <x:v>88</x:v>
      </x:c>
      <x:c r="V27" s="20" t="str">
        <x:v>节点有效＋4；关键节点未知则降级</x:v>
      </x:c>
      <x:c r="W27" s="20" t="str">
        <x:v>repair_nodes</x:v>
      </x:c>
      <x:c r="X27" s="20" t="str">
        <x:v>RN01、RN03、RN04、RN06、RN07、RN08的必要性取决于事件类型和影响强度；缺失时应降级。</x:v>
      </x:c>
      <x:c r="Y27" s="20" t="str">
        <x:v>关键步骤资料不足时，应停在部分修复或问题结案，而不是补写成完整修复。</x:v>
      </x:c>
      <x:c r="Z2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" s="20" t="str">
        <x:v>中高</x:v>
      </x:c>
      <x:c r="AB27" s="20" t="str">
        <x:v>待验证</x:v>
      </x:c>
      <x:c r="AC27" s="20" t="str"/>
      <x:c r="AD27" s="20" t="str">
        <x:v>provisional=true；M3-REPAIR尚未完成，完成条件为暂定功能模型。</x:v>
      </x:c>
      <x:c r="AE27" s="52" t="str">
        <x:v>0.7</x:v>
      </x:c>
    </x:row>
    <x:row r="28">
      <x:c r="A28" s="51" t="str">
        <x:v>M4-REPAIR-027</x:v>
      </x:c>
      <x:c r="B28" s="20" t="str">
        <x:v>RN02 事实与事件范围确认｜节点定义</x:v>
      </x:c>
      <x:c r="C28" s="20" t="str">
        <x:v>L1 修复节点与完成任务</x:v>
      </x:c>
      <x:c r="D28" s="20" t="str">
        <x:v>REPAIR-修复节点</x:v>
      </x:c>
      <x:c r="E28" s="20" t="str">
        <x:v>通用</x:v>
      </x:c>
      <x:c r="F28" s="20" t="str">
        <x:v>定义</x:v>
      </x:c>
      <x:c r="G28" s="20" t="str">
        <x:v>RN02</x:v>
      </x:c>
      <x:c r="H28" s="20" t="str"/>
      <x:c r="I28" s="20" t="str">
        <x:v>对发生了什么、时间顺序、涉及范围和争议点形成足够清楚的共同基础。</x:v>
      </x:c>
      <x:c r="J28" s="20" t="str"/>
      <x:c r="K28" s="20" t="str">
        <x:v>由共享基础引擎提供；仅修正修复功能的承载、持续与压力占位，不直接等同是否愿意认错或能否修复。</x:v>
      </x:c>
      <x:c r="L28" s="20" t="str">
        <x:v>由M1／M2提供；夫妻星只说明伴侣原型与关系资格，不单独证明修复能力、修复意愿或修复结果。</x:v>
      </x:c>
      <x:c r="M28" s="20" t="str">
        <x:v>由M3-BASE提供；日支底盘说明亲密关系中自然调用的功能，但不能单独证明修复闭环。</x:v>
      </x:c>
      <x:c r="N28" s="20" t="str">
        <x:v>由M3-CONFLICT、M4-LOOP及现实事件提供；必须区分问题停止、责任承担、影响确认、行动改变、反馈整合与后续回访。</x:v>
      </x:c>
      <x:c r="O28" s="20" t="str">
        <x:v>由共享基础引擎判定；近位提高相关功能进入亲密关系核心的概率，远位只作背景或阶段修正。</x:v>
      </x:c>
      <x:c r="P28" s="20" t="str">
        <x:v>根气只修正某修复功能是否容易重复调用，不等于现实中已经持续改变。</x:v>
      </x:c>
      <x:c r="Q28" s="20" t="str">
        <x:v>旺弱只修正功能调用强度与占位，不直接等同修复质量、诚意或关系结果。</x:v>
      </x:c>
      <x:c r="R28" s="20" t="str">
        <x:v>喜忌只修正功能摩擦、平衡与承载，不直接等同道德、成熟、善恶或是否值得原谅。</x:v>
      </x:c>
      <x:c r="S28" s="20" t="str">
        <x:v>原十神功能有效；真合化成立时按化神功能替换，合化争议时停止定性。</x:v>
      </x:c>
      <x:c r="T28" s="20" t="str">
        <x:v>近位提高修复议题与亲密关系的直接相关性；远位仅保留背景、阶段或低置信修正。</x:v>
      </x:c>
      <x:c r="U28" s="20" t="str">
        <x:v>72</x:v>
      </x:c>
      <x:c r="V28" s="20" t="str">
        <x:v>节点有效＋4；关键节点未知则降级</x:v>
      </x:c>
      <x:c r="W28" s="20" t="str">
        <x:v>repair_nodes</x:v>
      </x:c>
      <x:c r="X28" s="20" t="str">
        <x:v>该节点解决修复链中的一个独立任务，不能被相邻节点自动替代。</x:v>
      </x:c>
      <x:c r="Y28" s="20" t="str">
        <x:v>需要先把发生了什么和哪些部分仍有分歧说清，避免修复建立在不同版本上。</x:v>
      </x:c>
      <x:c r="Z2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" s="20" t="str">
        <x:v>中高</x:v>
      </x:c>
      <x:c r="AB28" s="20" t="str">
        <x:v>待验证</x:v>
      </x:c>
      <x:c r="AC28" s="20" t="str"/>
      <x:c r="AD28" s="20" t="str">
        <x:v>provisional=true；M3-REPAIR尚未完成，完成条件为暂定功能模型。</x:v>
      </x:c>
      <x:c r="AE28" s="52" t="str">
        <x:v>0.7</x:v>
      </x:c>
    </x:row>
    <x:row r="29">
      <x:c r="A29" s="51" t="str">
        <x:v>M4-REPAIR-028</x:v>
      </x:c>
      <x:c r="B29" s="20" t="str">
        <x:v>RN02 事实与事件范围确认｜最低证据</x:v>
      </x:c>
      <x:c r="C29" s="20" t="str">
        <x:v>L1 修复节点与完成任务</x:v>
      </x:c>
      <x:c r="D29" s="20" t="str">
        <x:v>REPAIR-修复节点</x:v>
      </x:c>
      <x:c r="E29" s="20" t="str">
        <x:v>通用</x:v>
      </x:c>
      <x:c r="F29" s="20" t="str">
        <x:v>证据</x:v>
      </x:c>
      <x:c r="G29" s="20" t="str">
        <x:v>RN02</x:v>
      </x:c>
      <x:c r="H29" s="20" t="str"/>
      <x:c r="I29" s="20" t="str">
        <x:v>至少能够区分已确认事实、双方理解差异和仍未知部分。</x:v>
      </x:c>
      <x:c r="J29" s="20" t="str">
        <x:v>要求双方所有细节完全一致，或用一方版本覆盖另一方。</x:v>
      </x:c>
      <x:c r="K29" s="20" t="str">
        <x:v>由共享基础引擎提供；仅修正修复功能的承载、持续与压力占位，不直接等同是否愿意认错或能否修复。</x:v>
      </x:c>
      <x:c r="L29" s="20" t="str">
        <x:v>由M1／M2提供；夫妻星只说明伴侣原型与关系资格，不单独证明修复能力、修复意愿或修复结果。</x:v>
      </x:c>
      <x:c r="M29" s="20" t="str">
        <x:v>由M3-BASE提供；日支底盘说明亲密关系中自然调用的功能，但不能单独证明修复闭环。</x:v>
      </x:c>
      <x:c r="N29" s="20" t="str">
        <x:v>由M3-CONFLICT、M4-LOOP及现实事件提供；必须区分问题停止、责任承担、影响确认、行动改变、反馈整合与后续回访。</x:v>
      </x:c>
      <x:c r="O29" s="20" t="str">
        <x:v>由共享基础引擎判定；近位提高相关功能进入亲密关系核心的概率，远位只作背景或阶段修正。</x:v>
      </x:c>
      <x:c r="P29" s="20" t="str">
        <x:v>根气只修正某修复功能是否容易重复调用，不等于现实中已经持续改变。</x:v>
      </x:c>
      <x:c r="Q29" s="20" t="str">
        <x:v>旺弱只修正功能调用强度与占位，不直接等同修复质量、诚意或关系结果。</x:v>
      </x:c>
      <x:c r="R29" s="20" t="str">
        <x:v>喜忌只修正功能摩擦、平衡与承载，不直接等同道德、成熟、善恶或是否值得原谅。</x:v>
      </x:c>
      <x:c r="S29" s="20" t="str">
        <x:v>原十神功能有效；真合化成立时按化神功能替换，合化争议时停止定性。</x:v>
      </x:c>
      <x:c r="T29" s="20" t="str">
        <x:v>近位提高修复议题与亲密关系的直接相关性；远位仅保留背景、阶段或低置信修正。</x:v>
      </x:c>
      <x:c r="U29" s="20" t="str">
        <x:v>88</x:v>
      </x:c>
      <x:c r="V29" s="20" t="str">
        <x:v>节点有效＋4；关键节点未知则降级</x:v>
      </x:c>
      <x:c r="W29" s="20" t="str">
        <x:v>repair_nodes</x:v>
      </x:c>
      <x:c r="X29" s="20" t="str">
        <x:v>最低证据决定该节点能否被标记为有效；资料不足时应写未知。</x:v>
      </x:c>
      <x:c r="Y29" s="20" t="str">
        <x:v>判断这一节点需要具体言语、行动或后续记录，不能只用抽象评价。</x:v>
      </x:c>
      <x:c r="Z2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" s="20" t="str">
        <x:v>中高</x:v>
      </x:c>
      <x:c r="AB29" s="20" t="str">
        <x:v>待验证</x:v>
      </x:c>
      <x:c r="AC29" s="20" t="str"/>
      <x:c r="AD29" s="20" t="str">
        <x:v>provisional=true；M3-REPAIR尚未完成，完成条件为暂定功能模型。</x:v>
      </x:c>
      <x:c r="AE29" s="52" t="str">
        <x:v>0.7</x:v>
      </x:c>
    </x:row>
    <x:row r="30">
      <x:c r="A30" s="51" t="str">
        <x:v>M4-REPAIR-029</x:v>
      </x:c>
      <x:c r="B30" s="20" t="str">
        <x:v>RN02 事实与事件范围确认｜功能位置</x:v>
      </x:c>
      <x:c r="C30" s="20" t="str">
        <x:v>L1 修复节点与完成任务</x:v>
      </x:c>
      <x:c r="D30" s="20" t="str">
        <x:v>REPAIR-修复节点</x:v>
      </x:c>
      <x:c r="E30" s="20" t="str">
        <x:v>通用</x:v>
      </x:c>
      <x:c r="F30" s="20" t="str">
        <x:v>路由</x:v>
      </x:c>
      <x:c r="G30" s="20" t="str">
        <x:v>RN02</x:v>
      </x:c>
      <x:c r="H30" s="20" t="str"/>
      <x:c r="I30" s="20" t="str">
        <x:v>该节点与当前事件类型及前后修复任务相匹配。</x:v>
      </x:c>
      <x:c r="J30" s="20" t="str">
        <x:v>节点出现，但与当前核心影响无关。</x:v>
      </x:c>
      <x:c r="K30" s="20" t="str">
        <x:v>由共享基础引擎提供；仅修正修复功能的承载、持续与压力占位，不直接等同是否愿意认错或能否修复。</x:v>
      </x:c>
      <x:c r="L30" s="20" t="str">
        <x:v>由M1／M2提供；夫妻星只说明伴侣原型与关系资格，不单独证明修复能力、修复意愿或修复结果。</x:v>
      </x:c>
      <x:c r="M30" s="20" t="str">
        <x:v>由M3-BASE提供；日支底盘说明亲密关系中自然调用的功能，但不能单独证明修复闭环。</x:v>
      </x:c>
      <x:c r="N30" s="20" t="str">
        <x:v>由M3-CONFLICT、M4-LOOP及现实事件提供；必须区分问题停止、责任承担、影响确认、行动改变、反馈整合与后续回访。</x:v>
      </x:c>
      <x:c r="O30" s="20" t="str">
        <x:v>由共享基础引擎判定；近位提高相关功能进入亲密关系核心的概率，远位只作背景或阶段修正。</x:v>
      </x:c>
      <x:c r="P30" s="20" t="str">
        <x:v>根气只修正某修复功能是否容易重复调用，不等于现实中已经持续改变。</x:v>
      </x:c>
      <x:c r="Q30" s="20" t="str">
        <x:v>旺弱只修正功能调用强度与占位，不直接等同修复质量、诚意或关系结果。</x:v>
      </x:c>
      <x:c r="R30" s="20" t="str">
        <x:v>喜忌只修正功能摩擦、平衡与承载，不直接等同道德、成熟、善恶或是否值得原谅。</x:v>
      </x:c>
      <x:c r="S30" s="20" t="str">
        <x:v>原十神功能有效；真合化成立时按化神功能替换，合化争议时停止定性。</x:v>
      </x:c>
      <x:c r="T30" s="20" t="str">
        <x:v>近位提高修复议题与亲密关系的直接相关性；远位仅保留背景、阶段或低置信修正。</x:v>
      </x:c>
      <x:c r="U30" s="20" t="str">
        <x:v>72</x:v>
      </x:c>
      <x:c r="V30" s="20" t="str">
        <x:v>节点有效＋4；关键节点未知则降级</x:v>
      </x:c>
      <x:c r="W30" s="20" t="str">
        <x:v>repair_nodes</x:v>
      </x:c>
      <x:c r="X30" s="20" t="str">
        <x:v>同一动作在不同事件中可能承担不同功能，需按任务匹配。</x:v>
      </x:c>
      <x:c r="Y30" s="20" t="str">
        <x:v>要看这一步是否真正回应了当前问题，而不只是形式上做了某件事。</x:v>
      </x:c>
      <x:c r="Z3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" s="20" t="str">
        <x:v>中高</x:v>
      </x:c>
      <x:c r="AB30" s="20" t="str">
        <x:v>待验证</x:v>
      </x:c>
      <x:c r="AC30" s="20" t="str"/>
      <x:c r="AD30" s="20" t="str">
        <x:v>provisional=true；M3-REPAIR尚未完成，完成条件为暂定功能模型。</x:v>
      </x:c>
      <x:c r="AE30" s="52" t="str">
        <x:v>0.7</x:v>
      </x:c>
    </x:row>
    <x:row r="31">
      <x:c r="A31" s="51" t="str">
        <x:v>M4-REPAIR-030</x:v>
      </x:c>
      <x:c r="B31" s="20" t="str">
        <x:v>RN02 事实与事件范围确认｜常见假完成</x:v>
      </x:c>
      <x:c r="C31" s="20" t="str">
        <x:v>L1 修复节点与完成任务</x:v>
      </x:c>
      <x:c r="D31" s="20" t="str">
        <x:v>REPAIR-修复节点</x:v>
      </x:c>
      <x:c r="E31" s="20" t="str">
        <x:v>通用</x:v>
      </x:c>
      <x:c r="F31" s="20" t="str">
        <x:v>边界</x:v>
      </x:c>
      <x:c r="G31" s="20" t="str">
        <x:v>RN02</x:v>
      </x:c>
      <x:c r="H31" s="20" t="str"/>
      <x:c r="I31" s="20" t="str">
        <x:v>能够区分该节点本身与“修复全部完成”。</x:v>
      </x:c>
      <x:c r="J31" s="20" t="str">
        <x:v>要求双方所有细节完全一致，或用一方版本覆盖另一方。</x:v>
      </x:c>
      <x:c r="K31" s="20" t="str">
        <x:v>由共享基础引擎提供；仅修正修复功能的承载、持续与压力占位，不直接等同是否愿意认错或能否修复。</x:v>
      </x:c>
      <x:c r="L31" s="20" t="str">
        <x:v>由M1／M2提供；夫妻星只说明伴侣原型与关系资格，不单独证明修复能力、修复意愿或修复结果。</x:v>
      </x:c>
      <x:c r="M31" s="20" t="str">
        <x:v>由M3-BASE提供；日支底盘说明亲密关系中自然调用的功能，但不能单独证明修复闭环。</x:v>
      </x:c>
      <x:c r="N31" s="20" t="str">
        <x:v>由M3-CONFLICT、M4-LOOP及现实事件提供；必须区分问题停止、责任承担、影响确认、行动改变、反馈整合与后续回访。</x:v>
      </x:c>
      <x:c r="O31" s="20" t="str">
        <x:v>由共享基础引擎判定；近位提高相关功能进入亲密关系核心的概率，远位只作背景或阶段修正。</x:v>
      </x:c>
      <x:c r="P31" s="20" t="str">
        <x:v>根气只修正某修复功能是否容易重复调用，不等于现实中已经持续改变。</x:v>
      </x:c>
      <x:c r="Q31" s="20" t="str">
        <x:v>旺弱只修正功能调用强度与占位，不直接等同修复质量、诚意或关系结果。</x:v>
      </x:c>
      <x:c r="R31" s="20" t="str">
        <x:v>喜忌只修正功能摩擦、平衡与承载，不直接等同道德、成熟、善恶或是否值得原谅。</x:v>
      </x:c>
      <x:c r="S31" s="20" t="str">
        <x:v>原十神功能有效；真合化成立时按化神功能替换，合化争议时停止定性。</x:v>
      </x:c>
      <x:c r="T31" s="20" t="str">
        <x:v>近位提高修复议题与亲密关系的直接相关性；远位仅保留背景、阶段或低置信修正。</x:v>
      </x:c>
      <x:c r="U31" s="20" t="str">
        <x:v>72</x:v>
      </x:c>
      <x:c r="V31" s="20" t="str">
        <x:v>节点有效＋4；关键节点未知则降级</x:v>
      </x:c>
      <x:c r="W31" s="20" t="str">
        <x:v>repair_nodes</x:v>
      </x:c>
      <x:c r="X31" s="20" t="str">
        <x:v>任何一个节点出现，都不能单独代表完整修复。</x:v>
      </x:c>
      <x:c r="Y31" s="20" t="str">
        <x:v>这一部分完成了，不代表其他修复步骤也已经自动完成。</x:v>
      </x:c>
      <x:c r="Z3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" s="20" t="str">
        <x:v>中高</x:v>
      </x:c>
      <x:c r="AB31" s="20" t="str">
        <x:v>待验证</x:v>
      </x:c>
      <x:c r="AC31" s="20" t="str"/>
      <x:c r="AD31" s="20" t="str">
        <x:v>provisional=true；M3-REPAIR尚未完成，完成条件为暂定功能模型。</x:v>
      </x:c>
      <x:c r="AE31" s="52" t="str">
        <x:v>0.7</x:v>
      </x:c>
    </x:row>
    <x:row r="32">
      <x:c r="A32" s="51" t="str">
        <x:v>M4-REPAIR-031</x:v>
      </x:c>
      <x:c r="B32" s="20" t="str">
        <x:v>RN02 事实与事件范围确认｜用户解释</x:v>
      </x:c>
      <x:c r="C32" s="20" t="str">
        <x:v>L1 修复节点与完成任务</x:v>
      </x:c>
      <x:c r="D32" s="20" t="str">
        <x:v>REPAIR-修复节点</x:v>
      </x:c>
      <x:c r="E32" s="20" t="str">
        <x:v>通用</x:v>
      </x:c>
      <x:c r="F32" s="20" t="str">
        <x:v>输出</x:v>
      </x:c>
      <x:c r="G32" s="20" t="str">
        <x:v>RN02</x:v>
      </x:c>
      <x:c r="H32" s="20" t="str"/>
      <x:c r="I32" s="20" t="str">
        <x:v>该节点在现实事件中有明确证据。</x:v>
      </x:c>
      <x:c r="J32" s="20" t="str">
        <x:v>资料只来自推测或命盘标签。</x:v>
      </x:c>
      <x:c r="K32" s="20" t="str">
        <x:v>由共享基础引擎提供；仅修正修复功能的承载、持续与压力占位，不直接等同是否愿意认错或能否修复。</x:v>
      </x:c>
      <x:c r="L32" s="20" t="str">
        <x:v>由M1／M2提供；夫妻星只说明伴侣原型与关系资格，不单独证明修复能力、修复意愿或修复结果。</x:v>
      </x:c>
      <x:c r="M32" s="20" t="str">
        <x:v>由M3-BASE提供；日支底盘说明亲密关系中自然调用的功能，但不能单独证明修复闭环。</x:v>
      </x:c>
      <x:c r="N32" s="20" t="str">
        <x:v>由M3-CONFLICT、M4-LOOP及现实事件提供；必须区分问题停止、责任承担、影响确认、行动改变、反馈整合与后续回访。</x:v>
      </x:c>
      <x:c r="O32" s="20" t="str">
        <x:v>由共享基础引擎判定；近位提高相关功能进入亲密关系核心的概率，远位只作背景或阶段修正。</x:v>
      </x:c>
      <x:c r="P32" s="20" t="str">
        <x:v>根气只修正某修复功能是否容易重复调用，不等于现实中已经持续改变。</x:v>
      </x:c>
      <x:c r="Q32" s="20" t="str">
        <x:v>旺弱只修正功能调用强度与占位，不直接等同修复质量、诚意或关系结果。</x:v>
      </x:c>
      <x:c r="R32" s="20" t="str">
        <x:v>喜忌只修正功能摩擦、平衡与承载，不直接等同道德、成熟、善恶或是否值得原谅。</x:v>
      </x:c>
      <x:c r="S32" s="20" t="str">
        <x:v>原十神功能有效；真合化成立时按化神功能替换，合化争议时停止定性。</x:v>
      </x:c>
      <x:c r="T32" s="20" t="str">
        <x:v>近位提高修复议题与亲密关系的直接相关性；远位仅保留背景、阶段或低置信修正。</x:v>
      </x:c>
      <x:c r="U32" s="20" t="str">
        <x:v>72</x:v>
      </x:c>
      <x:c r="V32" s="20" t="str">
        <x:v>节点有效＋4；关键节点未知则降级</x:v>
      </x:c>
      <x:c r="W32" s="20" t="str">
        <x:v>repair_nodes</x:v>
      </x:c>
      <x:c r="X32" s="20" t="str">
        <x:v>用户语言应说明已完成什么和仍需确认什么。</x:v>
      </x:c>
      <x:c r="Y32" s="20" t="str">
        <x:v>需要先把发生了什么和哪些部分仍有分歧说清，避免修复建立在不同版本上。</x:v>
      </x:c>
      <x:c r="Z3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" s="20" t="str">
        <x:v>中高</x:v>
      </x:c>
      <x:c r="AB32" s="20" t="str">
        <x:v>待验证</x:v>
      </x:c>
      <x:c r="AC32" s="20" t="str"/>
      <x:c r="AD32" s="20" t="str">
        <x:v>provisional=true；M3-REPAIR尚未完成，完成条件为暂定功能模型。</x:v>
      </x:c>
      <x:c r="AE32" s="52" t="str">
        <x:v>0.7</x:v>
      </x:c>
    </x:row>
    <x:row r="33">
      <x:c r="A33" s="51" t="str">
        <x:v>M4-REPAIR-032</x:v>
      </x:c>
      <x:c r="B33" s="20" t="str">
        <x:v>RN02 事实与事件范围确认｜停止与升级</x:v>
      </x:c>
      <x:c r="C33" s="20" t="str">
        <x:v>L1 修复节点与完成任务</x:v>
      </x:c>
      <x:c r="D33" s="20" t="str">
        <x:v>REPAIR-修复节点</x:v>
      </x:c>
      <x:c r="E33" s="20" t="str">
        <x:v>通用</x:v>
      </x:c>
      <x:c r="F33" s="20" t="str">
        <x:v>门控</x:v>
      </x:c>
      <x:c r="G33" s="20" t="str">
        <x:v>RN02</x:v>
      </x:c>
      <x:c r="H33" s="20" t="str"/>
      <x:c r="I33" s="20" t="str">
        <x:v>节点有效并完成source_id／event_id去重；或按规则标记未知。</x:v>
      </x:c>
      <x:c r="J33" s="20" t="str">
        <x:v>关键节点未知却继续发布完整闭环。</x:v>
      </x:c>
      <x:c r="K33" s="20" t="str">
        <x:v>由共享基础引擎提供；仅修正修复功能的承载、持续与压力占位，不直接等同是否愿意认错或能否修复。</x:v>
      </x:c>
      <x:c r="L33" s="20" t="str">
        <x:v>由M1／M2提供；夫妻星只说明伴侣原型与关系资格，不单独证明修复能力、修复意愿或修复结果。</x:v>
      </x:c>
      <x:c r="M33" s="20" t="str">
        <x:v>由M3-BASE提供；日支底盘说明亲密关系中自然调用的功能，但不能单独证明修复闭环。</x:v>
      </x:c>
      <x:c r="N33" s="20" t="str">
        <x:v>由M3-CONFLICT、M4-LOOP及现实事件提供；必须区分问题停止、责任承担、影响确认、行动改变、反馈整合与后续回访。</x:v>
      </x:c>
      <x:c r="O33" s="20" t="str">
        <x:v>由共享基础引擎判定；近位提高相关功能进入亲密关系核心的概率，远位只作背景或阶段修正。</x:v>
      </x:c>
      <x:c r="P33" s="20" t="str">
        <x:v>根气只修正某修复功能是否容易重复调用，不等于现实中已经持续改变。</x:v>
      </x:c>
      <x:c r="Q33" s="20" t="str">
        <x:v>旺弱只修正功能调用强度与占位，不直接等同修复质量、诚意或关系结果。</x:v>
      </x:c>
      <x:c r="R33" s="20" t="str">
        <x:v>喜忌只修正功能摩擦、平衡与承载，不直接等同道德、成熟、善恶或是否值得原谅。</x:v>
      </x:c>
      <x:c r="S33" s="20" t="str">
        <x:v>原十神功能有效；真合化成立时按化神功能替换，合化争议时停止定性。</x:v>
      </x:c>
      <x:c r="T33" s="20" t="str">
        <x:v>近位提高修复议题与亲密关系的直接相关性；远位仅保留背景、阶段或低置信修正。</x:v>
      </x:c>
      <x:c r="U33" s="20" t="str">
        <x:v>88</x:v>
      </x:c>
      <x:c r="V33" s="20" t="str">
        <x:v>节点有效＋4；关键节点未知则降级</x:v>
      </x:c>
      <x:c r="W33" s="20" t="str">
        <x:v>repair_nodes</x:v>
      </x:c>
      <x:c r="X33" s="20" t="str">
        <x:v>RN01、RN03、RN04、RN06、RN07、RN08的必要性取决于事件类型和影响强度；缺失时应降级。</x:v>
      </x:c>
      <x:c r="Y33" s="20" t="str">
        <x:v>关键步骤资料不足时，应停在部分修复或问题结案，而不是补写成完整修复。</x:v>
      </x:c>
      <x:c r="Z3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" s="20" t="str">
        <x:v>中高</x:v>
      </x:c>
      <x:c r="AB33" s="20" t="str">
        <x:v>待验证</x:v>
      </x:c>
      <x:c r="AC33" s="20" t="str"/>
      <x:c r="AD33" s="20" t="str">
        <x:v>provisional=true；M3-REPAIR尚未完成，完成条件为暂定功能模型。</x:v>
      </x:c>
      <x:c r="AE33" s="52" t="str">
        <x:v>0.7</x:v>
      </x:c>
    </x:row>
    <x:row r="34">
      <x:c r="A34" s="51" t="str">
        <x:v>M4-REPAIR-033</x:v>
      </x:c>
      <x:c r="B34" s="20" t="str">
        <x:v>RN03 影响、感受与意义确认｜节点定义</x:v>
      </x:c>
      <x:c r="C34" s="20" t="str">
        <x:v>L1 修复节点与完成任务</x:v>
      </x:c>
      <x:c r="D34" s="20" t="str">
        <x:v>REPAIR-修复节点</x:v>
      </x:c>
      <x:c r="E34" s="20" t="str">
        <x:v>通用</x:v>
      </x:c>
      <x:c r="F34" s="20" t="str">
        <x:v>定义</x:v>
      </x:c>
      <x:c r="G34" s="20" t="str">
        <x:v>RN03</x:v>
      </x:c>
      <x:c r="H34" s="20" t="str"/>
      <x:c r="I34" s="20" t="str">
        <x:v>确认事件对接收方造成的情绪、信任、参与权、生活或边界影响。</x:v>
      </x:c>
      <x:c r="J34" s="20" t="str"/>
      <x:c r="K34" s="20" t="str">
        <x:v>由共享基础引擎提供；仅修正修复功能的承载、持续与压力占位，不直接等同是否愿意认错或能否修复。</x:v>
      </x:c>
      <x:c r="L34" s="20" t="str">
        <x:v>由M1／M2提供；夫妻星只说明伴侣原型与关系资格，不单独证明修复能力、修复意愿或修复结果。</x:v>
      </x:c>
      <x:c r="M34" s="20" t="str">
        <x:v>由M3-BASE提供；日支底盘说明亲密关系中自然调用的功能，但不能单独证明修复闭环。</x:v>
      </x:c>
      <x:c r="N34" s="20" t="str">
        <x:v>由M3-CONFLICT、M4-LOOP及现实事件提供；必须区分问题停止、责任承担、影响确认、行动改变、反馈整合与后续回访。</x:v>
      </x:c>
      <x:c r="O34" s="20" t="str">
        <x:v>由共享基础引擎判定；近位提高相关功能进入亲密关系核心的概率，远位只作背景或阶段修正。</x:v>
      </x:c>
      <x:c r="P34" s="20" t="str">
        <x:v>根气只修正某修复功能是否容易重复调用，不等于现实中已经持续改变。</x:v>
      </x:c>
      <x:c r="Q34" s="20" t="str">
        <x:v>旺弱只修正功能调用强度与占位，不直接等同修复质量、诚意或关系结果。</x:v>
      </x:c>
      <x:c r="R34" s="20" t="str">
        <x:v>喜忌只修正功能摩擦、平衡与承载，不直接等同道德、成熟、善恶或是否值得原谅。</x:v>
      </x:c>
      <x:c r="S34" s="20" t="str">
        <x:v>原十神功能有效；真合化成立时按化神功能替换，合化争议时停止定性。</x:v>
      </x:c>
      <x:c r="T34" s="20" t="str">
        <x:v>近位提高修复议题与亲密关系的直接相关性；远位仅保留背景、阶段或低置信修正。</x:v>
      </x:c>
      <x:c r="U34" s="20" t="str">
        <x:v>72</x:v>
      </x:c>
      <x:c r="V34" s="20" t="str">
        <x:v>节点有效＋4；关键节点未知则降级</x:v>
      </x:c>
      <x:c r="W34" s="20" t="str">
        <x:v>repair_nodes</x:v>
      </x:c>
      <x:c r="X34" s="20" t="str">
        <x:v>该节点解决修复链中的一个独立任务，不能被相邻节点自动替代。</x:v>
      </x:c>
      <x:c r="Y34" s="20" t="str">
        <x:v>除了发生了什么，还要确认这件事对你造成了什么影响，以及对方是否真正听懂。</x:v>
      </x:c>
      <x:c r="Z3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" s="20" t="str">
        <x:v>中高</x:v>
      </x:c>
      <x:c r="AB34" s="20" t="str">
        <x:v>待验证</x:v>
      </x:c>
      <x:c r="AC34" s="20" t="str"/>
      <x:c r="AD34" s="20" t="str">
        <x:v>provisional=true；M3-REPAIR尚未完成，完成条件为暂定功能模型。</x:v>
      </x:c>
      <x:c r="AE34" s="52" t="str">
        <x:v>0.7</x:v>
      </x:c>
    </x:row>
    <x:row r="35">
      <x:c r="A35" s="51" t="str">
        <x:v>M4-REPAIR-034</x:v>
      </x:c>
      <x:c r="B35" s="20" t="str">
        <x:v>RN03 影响、感受与意义确认｜最低证据</x:v>
      </x:c>
      <x:c r="C35" s="20" t="str">
        <x:v>L1 修复节点与完成任务</x:v>
      </x:c>
      <x:c r="D35" s="20" t="str">
        <x:v>REPAIR-修复节点</x:v>
      </x:c>
      <x:c r="E35" s="20" t="str">
        <x:v>通用</x:v>
      </x:c>
      <x:c r="F35" s="20" t="str">
        <x:v>证据</x:v>
      </x:c>
      <x:c r="G35" s="20" t="str">
        <x:v>RN03</x:v>
      </x:c>
      <x:c r="H35" s="20" t="str"/>
      <x:c r="I35" s="20" t="str">
        <x:v>接收方能够表达影响，发起方能够复述或承认，而非只解释自己的意图。</x:v>
      </x:c>
      <x:c r="J35" s="20" t="str">
        <x:v>只听到情绪标签，没有确认具体影响；或用“我不是故意的”取消影响。</x:v>
      </x:c>
      <x:c r="K35" s="20" t="str">
        <x:v>由共享基础引擎提供；仅修正修复功能的承载、持续与压力占位，不直接等同是否愿意认错或能否修复。</x:v>
      </x:c>
      <x:c r="L35" s="20" t="str">
        <x:v>由M1／M2提供；夫妻星只说明伴侣原型与关系资格，不单独证明修复能力、修复意愿或修复结果。</x:v>
      </x:c>
      <x:c r="M35" s="20" t="str">
        <x:v>由M3-BASE提供；日支底盘说明亲密关系中自然调用的功能，但不能单独证明修复闭环。</x:v>
      </x:c>
      <x:c r="N35" s="20" t="str">
        <x:v>由M3-CONFLICT、M4-LOOP及现实事件提供；必须区分问题停止、责任承担、影响确认、行动改变、反馈整合与后续回访。</x:v>
      </x:c>
      <x:c r="O35" s="20" t="str">
        <x:v>由共享基础引擎判定；近位提高相关功能进入亲密关系核心的概率，远位只作背景或阶段修正。</x:v>
      </x:c>
      <x:c r="P35" s="20" t="str">
        <x:v>根气只修正某修复功能是否容易重复调用，不等于现实中已经持续改变。</x:v>
      </x:c>
      <x:c r="Q35" s="20" t="str">
        <x:v>旺弱只修正功能调用强度与占位，不直接等同修复质量、诚意或关系结果。</x:v>
      </x:c>
      <x:c r="R35" s="20" t="str">
        <x:v>喜忌只修正功能摩擦、平衡与承载，不直接等同道德、成熟、善恶或是否值得原谅。</x:v>
      </x:c>
      <x:c r="S35" s="20" t="str">
        <x:v>原十神功能有效；真合化成立时按化神功能替换，合化争议时停止定性。</x:v>
      </x:c>
      <x:c r="T35" s="20" t="str">
        <x:v>近位提高修复议题与亲密关系的直接相关性；远位仅保留背景、阶段或低置信修正。</x:v>
      </x:c>
      <x:c r="U35" s="20" t="str">
        <x:v>88</x:v>
      </x:c>
      <x:c r="V35" s="20" t="str">
        <x:v>节点有效＋4；关键节点未知则降级</x:v>
      </x:c>
      <x:c r="W35" s="20" t="str">
        <x:v>repair_nodes</x:v>
      </x:c>
      <x:c r="X35" s="20" t="str">
        <x:v>最低证据决定该节点能否被标记为有效；资料不足时应写未知。</x:v>
      </x:c>
      <x:c r="Y35" s="20" t="str">
        <x:v>判断这一节点需要具体言语、行动或后续记录，不能只用抽象评价。</x:v>
      </x:c>
      <x:c r="Z3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" s="20" t="str">
        <x:v>中高</x:v>
      </x:c>
      <x:c r="AB35" s="20" t="str">
        <x:v>待验证</x:v>
      </x:c>
      <x:c r="AC35" s="20" t="str"/>
      <x:c r="AD35" s="20" t="str">
        <x:v>provisional=true；M3-REPAIR尚未完成，完成条件为暂定功能模型。</x:v>
      </x:c>
      <x:c r="AE35" s="52" t="str">
        <x:v>0.7</x:v>
      </x:c>
    </x:row>
    <x:row r="36">
      <x:c r="A36" s="51" t="str">
        <x:v>M4-REPAIR-035</x:v>
      </x:c>
      <x:c r="B36" s="20" t="str">
        <x:v>RN03 影响、感受与意义确认｜功能位置</x:v>
      </x:c>
      <x:c r="C36" s="20" t="str">
        <x:v>L1 修复节点与完成任务</x:v>
      </x:c>
      <x:c r="D36" s="20" t="str">
        <x:v>REPAIR-修复节点</x:v>
      </x:c>
      <x:c r="E36" s="20" t="str">
        <x:v>通用</x:v>
      </x:c>
      <x:c r="F36" s="20" t="str">
        <x:v>路由</x:v>
      </x:c>
      <x:c r="G36" s="20" t="str">
        <x:v>RN03</x:v>
      </x:c>
      <x:c r="H36" s="20" t="str"/>
      <x:c r="I36" s="20" t="str">
        <x:v>该节点与当前事件类型及前后修复任务相匹配。</x:v>
      </x:c>
      <x:c r="J36" s="20" t="str">
        <x:v>节点出现，但与当前核心影响无关。</x:v>
      </x:c>
      <x:c r="K36" s="20" t="str">
        <x:v>由共享基础引擎提供；仅修正修复功能的承载、持续与压力占位，不直接等同是否愿意认错或能否修复。</x:v>
      </x:c>
      <x:c r="L36" s="20" t="str">
        <x:v>由M1／M2提供；夫妻星只说明伴侣原型与关系资格，不单独证明修复能力、修复意愿或修复结果。</x:v>
      </x:c>
      <x:c r="M36" s="20" t="str">
        <x:v>由M3-BASE提供；日支底盘说明亲密关系中自然调用的功能，但不能单独证明修复闭环。</x:v>
      </x:c>
      <x:c r="N36" s="20" t="str">
        <x:v>由M3-CONFLICT、M4-LOOP及现实事件提供；必须区分问题停止、责任承担、影响确认、行动改变、反馈整合与后续回访。</x:v>
      </x:c>
      <x:c r="O36" s="20" t="str">
        <x:v>由共享基础引擎判定；近位提高相关功能进入亲密关系核心的概率，远位只作背景或阶段修正。</x:v>
      </x:c>
      <x:c r="P36" s="20" t="str">
        <x:v>根气只修正某修复功能是否容易重复调用，不等于现实中已经持续改变。</x:v>
      </x:c>
      <x:c r="Q36" s="20" t="str">
        <x:v>旺弱只修正功能调用强度与占位，不直接等同修复质量、诚意或关系结果。</x:v>
      </x:c>
      <x:c r="R36" s="20" t="str">
        <x:v>喜忌只修正功能摩擦、平衡与承载，不直接等同道德、成熟、善恶或是否值得原谅。</x:v>
      </x:c>
      <x:c r="S36" s="20" t="str">
        <x:v>原十神功能有效；真合化成立时按化神功能替换，合化争议时停止定性。</x:v>
      </x:c>
      <x:c r="T36" s="20" t="str">
        <x:v>近位提高修复议题与亲密关系的直接相关性；远位仅保留背景、阶段或低置信修正。</x:v>
      </x:c>
      <x:c r="U36" s="20" t="str">
        <x:v>72</x:v>
      </x:c>
      <x:c r="V36" s="20" t="str">
        <x:v>节点有效＋4；关键节点未知则降级</x:v>
      </x:c>
      <x:c r="W36" s="20" t="str">
        <x:v>repair_nodes</x:v>
      </x:c>
      <x:c r="X36" s="20" t="str">
        <x:v>同一动作在不同事件中可能承担不同功能，需按任务匹配。</x:v>
      </x:c>
      <x:c r="Y36" s="20" t="str">
        <x:v>要看这一步是否真正回应了当前问题，而不只是形式上做了某件事。</x:v>
      </x:c>
      <x:c r="Z3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" s="20" t="str">
        <x:v>中高</x:v>
      </x:c>
      <x:c r="AB36" s="20" t="str">
        <x:v>待验证</x:v>
      </x:c>
      <x:c r="AC36" s="20" t="str"/>
      <x:c r="AD36" s="20" t="str">
        <x:v>provisional=true；M3-REPAIR尚未完成，完成条件为暂定功能模型。</x:v>
      </x:c>
      <x:c r="AE36" s="52" t="str">
        <x:v>0.7</x:v>
      </x:c>
    </x:row>
    <x:row r="37">
      <x:c r="A37" s="51" t="str">
        <x:v>M4-REPAIR-036</x:v>
      </x:c>
      <x:c r="B37" s="20" t="str">
        <x:v>RN03 影响、感受与意义确认｜常见假完成</x:v>
      </x:c>
      <x:c r="C37" s="20" t="str">
        <x:v>L1 修复节点与完成任务</x:v>
      </x:c>
      <x:c r="D37" s="20" t="str">
        <x:v>REPAIR-修复节点</x:v>
      </x:c>
      <x:c r="E37" s="20" t="str">
        <x:v>通用</x:v>
      </x:c>
      <x:c r="F37" s="20" t="str">
        <x:v>边界</x:v>
      </x:c>
      <x:c r="G37" s="20" t="str">
        <x:v>RN03</x:v>
      </x:c>
      <x:c r="H37" s="20" t="str"/>
      <x:c r="I37" s="20" t="str">
        <x:v>能够区分该节点本身与“修复全部完成”。</x:v>
      </x:c>
      <x:c r="J37" s="20" t="str">
        <x:v>只听到情绪标签，没有确认具体影响；或用“我不是故意的”取消影响。</x:v>
      </x:c>
      <x:c r="K37" s="20" t="str">
        <x:v>由共享基础引擎提供；仅修正修复功能的承载、持续与压力占位，不直接等同是否愿意认错或能否修复。</x:v>
      </x:c>
      <x:c r="L37" s="20" t="str">
        <x:v>由M1／M2提供；夫妻星只说明伴侣原型与关系资格，不单独证明修复能力、修复意愿或修复结果。</x:v>
      </x:c>
      <x:c r="M37" s="20" t="str">
        <x:v>由M3-BASE提供；日支底盘说明亲密关系中自然调用的功能，但不能单独证明修复闭环。</x:v>
      </x:c>
      <x:c r="N37" s="20" t="str">
        <x:v>由M3-CONFLICT、M4-LOOP及现实事件提供；必须区分问题停止、责任承担、影响确认、行动改变、反馈整合与后续回访。</x:v>
      </x:c>
      <x:c r="O37" s="20" t="str">
        <x:v>由共享基础引擎判定；近位提高相关功能进入亲密关系核心的概率，远位只作背景或阶段修正。</x:v>
      </x:c>
      <x:c r="P37" s="20" t="str">
        <x:v>根气只修正某修复功能是否容易重复调用，不等于现实中已经持续改变。</x:v>
      </x:c>
      <x:c r="Q37" s="20" t="str">
        <x:v>旺弱只修正功能调用强度与占位，不直接等同修复质量、诚意或关系结果。</x:v>
      </x:c>
      <x:c r="R37" s="20" t="str">
        <x:v>喜忌只修正功能摩擦、平衡与承载，不直接等同道德、成熟、善恶或是否值得原谅。</x:v>
      </x:c>
      <x:c r="S37" s="20" t="str">
        <x:v>原十神功能有效；真合化成立时按化神功能替换，合化争议时停止定性。</x:v>
      </x:c>
      <x:c r="T37" s="20" t="str">
        <x:v>近位提高修复议题与亲密关系的直接相关性；远位仅保留背景、阶段或低置信修正。</x:v>
      </x:c>
      <x:c r="U37" s="20" t="str">
        <x:v>72</x:v>
      </x:c>
      <x:c r="V37" s="20" t="str">
        <x:v>节点有效＋4；关键节点未知则降级</x:v>
      </x:c>
      <x:c r="W37" s="20" t="str">
        <x:v>repair_nodes</x:v>
      </x:c>
      <x:c r="X37" s="20" t="str">
        <x:v>任何一个节点出现，都不能单独代表完整修复。</x:v>
      </x:c>
      <x:c r="Y37" s="20" t="str">
        <x:v>这一部分完成了，不代表其他修复步骤也已经自动完成。</x:v>
      </x:c>
      <x:c r="Z3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" s="20" t="str">
        <x:v>中高</x:v>
      </x:c>
      <x:c r="AB37" s="20" t="str">
        <x:v>待验证</x:v>
      </x:c>
      <x:c r="AC37" s="20" t="str"/>
      <x:c r="AD37" s="20" t="str">
        <x:v>provisional=true；M3-REPAIR尚未完成，完成条件为暂定功能模型。</x:v>
      </x:c>
      <x:c r="AE37" s="52" t="str">
        <x:v>0.7</x:v>
      </x:c>
    </x:row>
    <x:row r="38">
      <x:c r="A38" s="51" t="str">
        <x:v>M4-REPAIR-037</x:v>
      </x:c>
      <x:c r="B38" s="20" t="str">
        <x:v>RN03 影响、感受与意义确认｜用户解释</x:v>
      </x:c>
      <x:c r="C38" s="20" t="str">
        <x:v>L1 修复节点与完成任务</x:v>
      </x:c>
      <x:c r="D38" s="20" t="str">
        <x:v>REPAIR-修复节点</x:v>
      </x:c>
      <x:c r="E38" s="20" t="str">
        <x:v>通用</x:v>
      </x:c>
      <x:c r="F38" s="20" t="str">
        <x:v>输出</x:v>
      </x:c>
      <x:c r="G38" s="20" t="str">
        <x:v>RN03</x:v>
      </x:c>
      <x:c r="H38" s="20" t="str"/>
      <x:c r="I38" s="20" t="str">
        <x:v>该节点在现实事件中有明确证据。</x:v>
      </x:c>
      <x:c r="J38" s="20" t="str">
        <x:v>资料只来自推测或命盘标签。</x:v>
      </x:c>
      <x:c r="K38" s="20" t="str">
        <x:v>由共享基础引擎提供；仅修正修复功能的承载、持续与压力占位，不直接等同是否愿意认错或能否修复。</x:v>
      </x:c>
      <x:c r="L38" s="20" t="str">
        <x:v>由M1／M2提供；夫妻星只说明伴侣原型与关系资格，不单独证明修复能力、修复意愿或修复结果。</x:v>
      </x:c>
      <x:c r="M38" s="20" t="str">
        <x:v>由M3-BASE提供；日支底盘说明亲密关系中自然调用的功能，但不能单独证明修复闭环。</x:v>
      </x:c>
      <x:c r="N38" s="20" t="str">
        <x:v>由M3-CONFLICT、M4-LOOP及现实事件提供；必须区分问题停止、责任承担、影响确认、行动改变、反馈整合与后续回访。</x:v>
      </x:c>
      <x:c r="O38" s="20" t="str">
        <x:v>由共享基础引擎判定；近位提高相关功能进入亲密关系核心的概率，远位只作背景或阶段修正。</x:v>
      </x:c>
      <x:c r="P38" s="20" t="str">
        <x:v>根气只修正某修复功能是否容易重复调用，不等于现实中已经持续改变。</x:v>
      </x:c>
      <x:c r="Q38" s="20" t="str">
        <x:v>旺弱只修正功能调用强度与占位，不直接等同修复质量、诚意或关系结果。</x:v>
      </x:c>
      <x:c r="R38" s="20" t="str">
        <x:v>喜忌只修正功能摩擦、平衡与承载，不直接等同道德、成熟、善恶或是否值得原谅。</x:v>
      </x:c>
      <x:c r="S38" s="20" t="str">
        <x:v>原十神功能有效；真合化成立时按化神功能替换，合化争议时停止定性。</x:v>
      </x:c>
      <x:c r="T38" s="20" t="str">
        <x:v>近位提高修复议题与亲密关系的直接相关性；远位仅保留背景、阶段或低置信修正。</x:v>
      </x:c>
      <x:c r="U38" s="20" t="str">
        <x:v>72</x:v>
      </x:c>
      <x:c r="V38" s="20" t="str">
        <x:v>节点有效＋4；关键节点未知则降级</x:v>
      </x:c>
      <x:c r="W38" s="20" t="str">
        <x:v>repair_nodes</x:v>
      </x:c>
      <x:c r="X38" s="20" t="str">
        <x:v>用户语言应说明已完成什么和仍需确认什么。</x:v>
      </x:c>
      <x:c r="Y38" s="20" t="str">
        <x:v>除了发生了什么，还要确认这件事对你造成了什么影响，以及对方是否真正听懂。</x:v>
      </x:c>
      <x:c r="Z3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" s="20" t="str">
        <x:v>中高</x:v>
      </x:c>
      <x:c r="AB38" s="20" t="str">
        <x:v>待验证</x:v>
      </x:c>
      <x:c r="AC38" s="20" t="str"/>
      <x:c r="AD38" s="20" t="str">
        <x:v>provisional=true；M3-REPAIR尚未完成，完成条件为暂定功能模型。</x:v>
      </x:c>
      <x:c r="AE38" s="52" t="str">
        <x:v>0.7</x:v>
      </x:c>
    </x:row>
    <x:row r="39">
      <x:c r="A39" s="51" t="str">
        <x:v>M4-REPAIR-038</x:v>
      </x:c>
      <x:c r="B39" s="20" t="str">
        <x:v>RN03 影响、感受与意义确认｜停止与升级</x:v>
      </x:c>
      <x:c r="C39" s="20" t="str">
        <x:v>L1 修复节点与完成任务</x:v>
      </x:c>
      <x:c r="D39" s="20" t="str">
        <x:v>REPAIR-修复节点</x:v>
      </x:c>
      <x:c r="E39" s="20" t="str">
        <x:v>通用</x:v>
      </x:c>
      <x:c r="F39" s="20" t="str">
        <x:v>门控</x:v>
      </x:c>
      <x:c r="G39" s="20" t="str">
        <x:v>RN03</x:v>
      </x:c>
      <x:c r="H39" s="20" t="str"/>
      <x:c r="I39" s="20" t="str">
        <x:v>节点有效并完成source_id／event_id去重；或按规则标记未知。</x:v>
      </x:c>
      <x:c r="J39" s="20" t="str">
        <x:v>关键节点未知却继续发布完整闭环。</x:v>
      </x:c>
      <x:c r="K39" s="20" t="str">
        <x:v>由共享基础引擎提供；仅修正修复功能的承载、持续与压力占位，不直接等同是否愿意认错或能否修复。</x:v>
      </x:c>
      <x:c r="L39" s="20" t="str">
        <x:v>由M1／M2提供；夫妻星只说明伴侣原型与关系资格，不单独证明修复能力、修复意愿或修复结果。</x:v>
      </x:c>
      <x:c r="M39" s="20" t="str">
        <x:v>由M3-BASE提供；日支底盘说明亲密关系中自然调用的功能，但不能单独证明修复闭环。</x:v>
      </x:c>
      <x:c r="N39" s="20" t="str">
        <x:v>由M3-CONFLICT、M4-LOOP及现实事件提供；必须区分问题停止、责任承担、影响确认、行动改变、反馈整合与后续回访。</x:v>
      </x:c>
      <x:c r="O39" s="20" t="str">
        <x:v>由共享基础引擎判定；近位提高相关功能进入亲密关系核心的概率，远位只作背景或阶段修正。</x:v>
      </x:c>
      <x:c r="P39" s="20" t="str">
        <x:v>根气只修正某修复功能是否容易重复调用，不等于现实中已经持续改变。</x:v>
      </x:c>
      <x:c r="Q39" s="20" t="str">
        <x:v>旺弱只修正功能调用强度与占位，不直接等同修复质量、诚意或关系结果。</x:v>
      </x:c>
      <x:c r="R39" s="20" t="str">
        <x:v>喜忌只修正功能摩擦、平衡与承载，不直接等同道德、成熟、善恶或是否值得原谅。</x:v>
      </x:c>
      <x:c r="S39" s="20" t="str">
        <x:v>原十神功能有效；真合化成立时按化神功能替换，合化争议时停止定性。</x:v>
      </x:c>
      <x:c r="T39" s="20" t="str">
        <x:v>近位提高修复议题与亲密关系的直接相关性；远位仅保留背景、阶段或低置信修正。</x:v>
      </x:c>
      <x:c r="U39" s="20" t="str">
        <x:v>88</x:v>
      </x:c>
      <x:c r="V39" s="20" t="str">
        <x:v>节点有效＋4；关键节点未知则降级</x:v>
      </x:c>
      <x:c r="W39" s="20" t="str">
        <x:v>repair_nodes</x:v>
      </x:c>
      <x:c r="X39" s="20" t="str">
        <x:v>RN01、RN03、RN04、RN06、RN07、RN08的必要性取决于事件类型和影响强度；缺失时应降级。</x:v>
      </x:c>
      <x:c r="Y39" s="20" t="str">
        <x:v>关键步骤资料不足时，应停在部分修复或问题结案，而不是补写成完整修复。</x:v>
      </x:c>
      <x:c r="Z3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" s="20" t="str">
        <x:v>中高</x:v>
      </x:c>
      <x:c r="AB39" s="20" t="str">
        <x:v>待验证</x:v>
      </x:c>
      <x:c r="AC39" s="20" t="str"/>
      <x:c r="AD39" s="20" t="str">
        <x:v>provisional=true；M3-REPAIR尚未完成，完成条件为暂定功能模型。</x:v>
      </x:c>
      <x:c r="AE39" s="52" t="str">
        <x:v>0.7</x:v>
      </x:c>
    </x:row>
    <x:row r="40">
      <x:c r="A40" s="51" t="str">
        <x:v>M4-REPAIR-039</x:v>
      </x:c>
      <x:c r="B40" s="20" t="str">
        <x:v>RN04 责任与角色承担｜节点定义</x:v>
      </x:c>
      <x:c r="C40" s="20" t="str">
        <x:v>L1 修复节点与完成任务</x:v>
      </x:c>
      <x:c r="D40" s="20" t="str">
        <x:v>REPAIR-修复节点</x:v>
      </x:c>
      <x:c r="E40" s="20" t="str">
        <x:v>通用</x:v>
      </x:c>
      <x:c r="F40" s="20" t="str">
        <x:v>定义</x:v>
      </x:c>
      <x:c r="G40" s="20" t="str">
        <x:v>RN04</x:v>
      </x:c>
      <x:c r="H40" s="20" t="str"/>
      <x:c r="I40" s="20" t="str">
        <x:v>明确谁对哪些行为、决定、失约、遗漏或后果承担什么责任。</x:v>
      </x:c>
      <x:c r="J40" s="20" t="str"/>
      <x:c r="K40" s="20" t="str">
        <x:v>由共享基础引擎提供；仅修正修复功能的承载、持续与压力占位，不直接等同是否愿意认错或能否修复。</x:v>
      </x:c>
      <x:c r="L40" s="20" t="str">
        <x:v>由M1／M2提供；夫妻星只说明伴侣原型与关系资格，不单独证明修复能力、修复意愿或修复结果。</x:v>
      </x:c>
      <x:c r="M40" s="20" t="str">
        <x:v>由M3-BASE提供；日支底盘说明亲密关系中自然调用的功能，但不能单独证明修复闭环。</x:v>
      </x:c>
      <x:c r="N40" s="20" t="str">
        <x:v>由M3-CONFLICT、M4-LOOP及现实事件提供；必须区分问题停止、责任承担、影响确认、行动改变、反馈整合与后续回访。</x:v>
      </x:c>
      <x:c r="O40" s="20" t="str">
        <x:v>由共享基础引擎判定；近位提高相关功能进入亲密关系核心的概率，远位只作背景或阶段修正。</x:v>
      </x:c>
      <x:c r="P40" s="20" t="str">
        <x:v>根气只修正某修复功能是否容易重复调用，不等于现实中已经持续改变。</x:v>
      </x:c>
      <x:c r="Q40" s="20" t="str">
        <x:v>旺弱只修正功能调用强度与占位，不直接等同修复质量、诚意或关系结果。</x:v>
      </x:c>
      <x:c r="R40" s="20" t="str">
        <x:v>喜忌只修正功能摩擦、平衡与承载，不直接等同道德、成熟、善恶或是否值得原谅。</x:v>
      </x:c>
      <x:c r="S40" s="20" t="str">
        <x:v>原十神功能有效；真合化成立时按化神功能替换，合化争议时停止定性。</x:v>
      </x:c>
      <x:c r="T40" s="20" t="str">
        <x:v>近位提高修复议题与亲密关系的直接相关性；远位仅保留背景、阶段或低置信修正。</x:v>
      </x:c>
      <x:c r="U40" s="20" t="str">
        <x:v>72</x:v>
      </x:c>
      <x:c r="V40" s="20" t="str">
        <x:v>节点有效＋4；关键节点未知则降级</x:v>
      </x:c>
      <x:c r="W40" s="20" t="str">
        <x:v>repair_nodes</x:v>
      </x:c>
      <x:c r="X40" s="20" t="str">
        <x:v>该节点解决修复链中的一个独立任务，不能被相邻节点自动替代。</x:v>
      </x:c>
      <x:c r="Y40" s="20" t="str">
        <x:v>有效修复需要明确：谁对哪一部分负责，不能只停在“都不容易”或“都是误会”。</x:v>
      </x:c>
      <x:c r="Z4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" s="20" t="str">
        <x:v>中高</x:v>
      </x:c>
      <x:c r="AB40" s="20" t="str">
        <x:v>待验证</x:v>
      </x:c>
      <x:c r="AC40" s="20" t="str"/>
      <x:c r="AD40" s="20" t="str">
        <x:v>provisional=true；M3-REPAIR尚未完成，完成条件为暂定功能模型。</x:v>
      </x:c>
      <x:c r="AE40" s="52" t="str">
        <x:v>0.7</x:v>
      </x:c>
    </x:row>
    <x:row r="41">
      <x:c r="A41" s="51" t="str">
        <x:v>M4-REPAIR-040</x:v>
      </x:c>
      <x:c r="B41" s="20" t="str">
        <x:v>RN04 责任与角色承担｜最低证据</x:v>
      </x:c>
      <x:c r="C41" s="20" t="str">
        <x:v>L1 修复节点与完成任务</x:v>
      </x:c>
      <x:c r="D41" s="20" t="str">
        <x:v>REPAIR-修复节点</x:v>
      </x:c>
      <x:c r="E41" s="20" t="str">
        <x:v>通用</x:v>
      </x:c>
      <x:c r="F41" s="20" t="str">
        <x:v>证据</x:v>
      </x:c>
      <x:c r="G41" s="20" t="str">
        <x:v>RN04</x:v>
      </x:c>
      <x:c r="H41" s="20" t="str"/>
      <x:c r="I41" s="20" t="str">
        <x:v>责任对象、范围和下一步可被说清，不使用模糊的“大家都有问题”遮蔽具体行为。</x:v>
      </x:c>
      <x:c r="J41" s="20" t="str">
        <x:v>在明显不对等伤害中平均责任；或只承认情绪、不承认行为责任。</x:v>
      </x:c>
      <x:c r="K41" s="20" t="str">
        <x:v>由共享基础引擎提供；仅修正修复功能的承载、持续与压力占位，不直接等同是否愿意认错或能否修复。</x:v>
      </x:c>
      <x:c r="L41" s="20" t="str">
        <x:v>由M1／M2提供；夫妻星只说明伴侣原型与关系资格，不单独证明修复能力、修复意愿或修复结果。</x:v>
      </x:c>
      <x:c r="M41" s="20" t="str">
        <x:v>由M3-BASE提供；日支底盘说明亲密关系中自然调用的功能，但不能单独证明修复闭环。</x:v>
      </x:c>
      <x:c r="N41" s="20" t="str">
        <x:v>由M3-CONFLICT、M4-LOOP及现实事件提供；必须区分问题停止、责任承担、影响确认、行动改变、反馈整合与后续回访。</x:v>
      </x:c>
      <x:c r="O41" s="20" t="str">
        <x:v>由共享基础引擎判定；近位提高相关功能进入亲密关系核心的概率，远位只作背景或阶段修正。</x:v>
      </x:c>
      <x:c r="P41" s="20" t="str">
        <x:v>根气只修正某修复功能是否容易重复调用，不等于现实中已经持续改变。</x:v>
      </x:c>
      <x:c r="Q41" s="20" t="str">
        <x:v>旺弱只修正功能调用强度与占位，不直接等同修复质量、诚意或关系结果。</x:v>
      </x:c>
      <x:c r="R41" s="20" t="str">
        <x:v>喜忌只修正功能摩擦、平衡与承载，不直接等同道德、成熟、善恶或是否值得原谅。</x:v>
      </x:c>
      <x:c r="S41" s="20" t="str">
        <x:v>原十神功能有效；真合化成立时按化神功能替换，合化争议时停止定性。</x:v>
      </x:c>
      <x:c r="T41" s="20" t="str">
        <x:v>近位提高修复议题与亲密关系的直接相关性；远位仅保留背景、阶段或低置信修正。</x:v>
      </x:c>
      <x:c r="U41" s="20" t="str">
        <x:v>88</x:v>
      </x:c>
      <x:c r="V41" s="20" t="str">
        <x:v>节点有效＋4；关键节点未知则降级</x:v>
      </x:c>
      <x:c r="W41" s="20" t="str">
        <x:v>repair_nodes</x:v>
      </x:c>
      <x:c r="X41" s="20" t="str">
        <x:v>最低证据决定该节点能否被标记为有效；资料不足时应写未知。</x:v>
      </x:c>
      <x:c r="Y41" s="20" t="str">
        <x:v>判断这一节点需要具体言语、行动或后续记录，不能只用抽象评价。</x:v>
      </x:c>
      <x:c r="Z4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" s="20" t="str">
        <x:v>中高</x:v>
      </x:c>
      <x:c r="AB41" s="20" t="str">
        <x:v>待验证</x:v>
      </x:c>
      <x:c r="AC41" s="20" t="str"/>
      <x:c r="AD41" s="20" t="str">
        <x:v>provisional=true；M3-REPAIR尚未完成，完成条件为暂定功能模型。</x:v>
      </x:c>
      <x:c r="AE41" s="52" t="str">
        <x:v>0.7</x:v>
      </x:c>
    </x:row>
    <x:row r="42">
      <x:c r="A42" s="51" t="str">
        <x:v>M4-REPAIR-041</x:v>
      </x:c>
      <x:c r="B42" s="20" t="str">
        <x:v>RN04 责任与角色承担｜功能位置</x:v>
      </x:c>
      <x:c r="C42" s="20" t="str">
        <x:v>L1 修复节点与完成任务</x:v>
      </x:c>
      <x:c r="D42" s="20" t="str">
        <x:v>REPAIR-修复节点</x:v>
      </x:c>
      <x:c r="E42" s="20" t="str">
        <x:v>通用</x:v>
      </x:c>
      <x:c r="F42" s="20" t="str">
        <x:v>路由</x:v>
      </x:c>
      <x:c r="G42" s="20" t="str">
        <x:v>RN04</x:v>
      </x:c>
      <x:c r="H42" s="20" t="str"/>
      <x:c r="I42" s="20" t="str">
        <x:v>该节点与当前事件类型及前后修复任务相匹配。</x:v>
      </x:c>
      <x:c r="J42" s="20" t="str">
        <x:v>节点出现，但与当前核心影响无关。</x:v>
      </x:c>
      <x:c r="K42" s="20" t="str">
        <x:v>由共享基础引擎提供；仅修正修复功能的承载、持续与压力占位，不直接等同是否愿意认错或能否修复。</x:v>
      </x:c>
      <x:c r="L42" s="20" t="str">
        <x:v>由M1／M2提供；夫妻星只说明伴侣原型与关系资格，不单独证明修复能力、修复意愿或修复结果。</x:v>
      </x:c>
      <x:c r="M42" s="20" t="str">
        <x:v>由M3-BASE提供；日支底盘说明亲密关系中自然调用的功能，但不能单独证明修复闭环。</x:v>
      </x:c>
      <x:c r="N42" s="20" t="str">
        <x:v>由M3-CONFLICT、M4-LOOP及现实事件提供；必须区分问题停止、责任承担、影响确认、行动改变、反馈整合与后续回访。</x:v>
      </x:c>
      <x:c r="O42" s="20" t="str">
        <x:v>由共享基础引擎判定；近位提高相关功能进入亲密关系核心的概率，远位只作背景或阶段修正。</x:v>
      </x:c>
      <x:c r="P42" s="20" t="str">
        <x:v>根气只修正某修复功能是否容易重复调用，不等于现实中已经持续改变。</x:v>
      </x:c>
      <x:c r="Q42" s="20" t="str">
        <x:v>旺弱只修正功能调用强度与占位，不直接等同修复质量、诚意或关系结果。</x:v>
      </x:c>
      <x:c r="R42" s="20" t="str">
        <x:v>喜忌只修正功能摩擦、平衡与承载，不直接等同道德、成熟、善恶或是否值得原谅。</x:v>
      </x:c>
      <x:c r="S42" s="20" t="str">
        <x:v>原十神功能有效；真合化成立时按化神功能替换，合化争议时停止定性。</x:v>
      </x:c>
      <x:c r="T42" s="20" t="str">
        <x:v>近位提高修复议题与亲密关系的直接相关性；远位仅保留背景、阶段或低置信修正。</x:v>
      </x:c>
      <x:c r="U42" s="20" t="str">
        <x:v>72</x:v>
      </x:c>
      <x:c r="V42" s="20" t="str">
        <x:v>节点有效＋4；关键节点未知则降级</x:v>
      </x:c>
      <x:c r="W42" s="20" t="str">
        <x:v>repair_nodes</x:v>
      </x:c>
      <x:c r="X42" s="20" t="str">
        <x:v>同一动作在不同事件中可能承担不同功能，需按任务匹配。</x:v>
      </x:c>
      <x:c r="Y42" s="20" t="str">
        <x:v>要看这一步是否真正回应了当前问题，而不只是形式上做了某件事。</x:v>
      </x:c>
      <x:c r="Z4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" s="20" t="str">
        <x:v>中高</x:v>
      </x:c>
      <x:c r="AB42" s="20" t="str">
        <x:v>待验证</x:v>
      </x:c>
      <x:c r="AC42" s="20" t="str"/>
      <x:c r="AD42" s="20" t="str">
        <x:v>provisional=true；M3-REPAIR尚未完成，完成条件为暂定功能模型。</x:v>
      </x:c>
      <x:c r="AE42" s="52" t="str">
        <x:v>0.7</x:v>
      </x:c>
    </x:row>
    <x:row r="43">
      <x:c r="A43" s="51" t="str">
        <x:v>M4-REPAIR-042</x:v>
      </x:c>
      <x:c r="B43" s="20" t="str">
        <x:v>RN04 责任与角色承担｜常见假完成</x:v>
      </x:c>
      <x:c r="C43" s="20" t="str">
        <x:v>L1 修复节点与完成任务</x:v>
      </x:c>
      <x:c r="D43" s="20" t="str">
        <x:v>REPAIR-修复节点</x:v>
      </x:c>
      <x:c r="E43" s="20" t="str">
        <x:v>通用</x:v>
      </x:c>
      <x:c r="F43" s="20" t="str">
        <x:v>边界</x:v>
      </x:c>
      <x:c r="G43" s="20" t="str">
        <x:v>RN04</x:v>
      </x:c>
      <x:c r="H43" s="20" t="str"/>
      <x:c r="I43" s="20" t="str">
        <x:v>能够区分该节点本身与“修复全部完成”。</x:v>
      </x:c>
      <x:c r="J43" s="20" t="str">
        <x:v>在明显不对等伤害中平均责任；或只承认情绪、不承认行为责任。</x:v>
      </x:c>
      <x:c r="K43" s="20" t="str">
        <x:v>由共享基础引擎提供；仅修正修复功能的承载、持续与压力占位，不直接等同是否愿意认错或能否修复。</x:v>
      </x:c>
      <x:c r="L43" s="20" t="str">
        <x:v>由M1／M2提供；夫妻星只说明伴侣原型与关系资格，不单独证明修复能力、修复意愿或修复结果。</x:v>
      </x:c>
      <x:c r="M43" s="20" t="str">
        <x:v>由M3-BASE提供；日支底盘说明亲密关系中自然调用的功能，但不能单独证明修复闭环。</x:v>
      </x:c>
      <x:c r="N43" s="20" t="str">
        <x:v>由M3-CONFLICT、M4-LOOP及现实事件提供；必须区分问题停止、责任承担、影响确认、行动改变、反馈整合与后续回访。</x:v>
      </x:c>
      <x:c r="O43" s="20" t="str">
        <x:v>由共享基础引擎判定；近位提高相关功能进入亲密关系核心的概率，远位只作背景或阶段修正。</x:v>
      </x:c>
      <x:c r="P43" s="20" t="str">
        <x:v>根气只修正某修复功能是否容易重复调用，不等于现实中已经持续改变。</x:v>
      </x:c>
      <x:c r="Q43" s="20" t="str">
        <x:v>旺弱只修正功能调用强度与占位，不直接等同修复质量、诚意或关系结果。</x:v>
      </x:c>
      <x:c r="R43" s="20" t="str">
        <x:v>喜忌只修正功能摩擦、平衡与承载，不直接等同道德、成熟、善恶或是否值得原谅。</x:v>
      </x:c>
      <x:c r="S43" s="20" t="str">
        <x:v>原十神功能有效；真合化成立时按化神功能替换，合化争议时停止定性。</x:v>
      </x:c>
      <x:c r="T43" s="20" t="str">
        <x:v>近位提高修复议题与亲密关系的直接相关性；远位仅保留背景、阶段或低置信修正。</x:v>
      </x:c>
      <x:c r="U43" s="20" t="str">
        <x:v>72</x:v>
      </x:c>
      <x:c r="V43" s="20" t="str">
        <x:v>节点有效＋4；关键节点未知则降级</x:v>
      </x:c>
      <x:c r="W43" s="20" t="str">
        <x:v>repair_nodes</x:v>
      </x:c>
      <x:c r="X43" s="20" t="str">
        <x:v>任何一个节点出现，都不能单独代表完整修复。</x:v>
      </x:c>
      <x:c r="Y43" s="20" t="str">
        <x:v>这一部分完成了，不代表其他修复步骤也已经自动完成。</x:v>
      </x:c>
      <x:c r="Z4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" s="20" t="str">
        <x:v>中高</x:v>
      </x:c>
      <x:c r="AB43" s="20" t="str">
        <x:v>待验证</x:v>
      </x:c>
      <x:c r="AC43" s="20" t="str"/>
      <x:c r="AD43" s="20" t="str">
        <x:v>provisional=true；M3-REPAIR尚未完成，完成条件为暂定功能模型。</x:v>
      </x:c>
      <x:c r="AE43" s="52" t="str">
        <x:v>0.7</x:v>
      </x:c>
    </x:row>
    <x:row r="44">
      <x:c r="A44" s="51" t="str">
        <x:v>M4-REPAIR-043</x:v>
      </x:c>
      <x:c r="B44" s="20" t="str">
        <x:v>RN04 责任与角色承担｜用户解释</x:v>
      </x:c>
      <x:c r="C44" s="20" t="str">
        <x:v>L1 修复节点与完成任务</x:v>
      </x:c>
      <x:c r="D44" s="20" t="str">
        <x:v>REPAIR-修复节点</x:v>
      </x:c>
      <x:c r="E44" s="20" t="str">
        <x:v>通用</x:v>
      </x:c>
      <x:c r="F44" s="20" t="str">
        <x:v>输出</x:v>
      </x:c>
      <x:c r="G44" s="20" t="str">
        <x:v>RN04</x:v>
      </x:c>
      <x:c r="H44" s="20" t="str"/>
      <x:c r="I44" s="20" t="str">
        <x:v>该节点在现实事件中有明确证据。</x:v>
      </x:c>
      <x:c r="J44" s="20" t="str">
        <x:v>资料只来自推测或命盘标签。</x:v>
      </x:c>
      <x:c r="K44" s="20" t="str">
        <x:v>由共享基础引擎提供；仅修正修复功能的承载、持续与压力占位，不直接等同是否愿意认错或能否修复。</x:v>
      </x:c>
      <x:c r="L44" s="20" t="str">
        <x:v>由M1／M2提供；夫妻星只说明伴侣原型与关系资格，不单独证明修复能力、修复意愿或修复结果。</x:v>
      </x:c>
      <x:c r="M44" s="20" t="str">
        <x:v>由M3-BASE提供；日支底盘说明亲密关系中自然调用的功能，但不能单独证明修复闭环。</x:v>
      </x:c>
      <x:c r="N44" s="20" t="str">
        <x:v>由M3-CONFLICT、M4-LOOP及现实事件提供；必须区分问题停止、责任承担、影响确认、行动改变、反馈整合与后续回访。</x:v>
      </x:c>
      <x:c r="O44" s="20" t="str">
        <x:v>由共享基础引擎判定；近位提高相关功能进入亲密关系核心的概率，远位只作背景或阶段修正。</x:v>
      </x:c>
      <x:c r="P44" s="20" t="str">
        <x:v>根气只修正某修复功能是否容易重复调用，不等于现实中已经持续改变。</x:v>
      </x:c>
      <x:c r="Q44" s="20" t="str">
        <x:v>旺弱只修正功能调用强度与占位，不直接等同修复质量、诚意或关系结果。</x:v>
      </x:c>
      <x:c r="R44" s="20" t="str">
        <x:v>喜忌只修正功能摩擦、平衡与承载，不直接等同道德、成熟、善恶或是否值得原谅。</x:v>
      </x:c>
      <x:c r="S44" s="20" t="str">
        <x:v>原十神功能有效；真合化成立时按化神功能替换，合化争议时停止定性。</x:v>
      </x:c>
      <x:c r="T44" s="20" t="str">
        <x:v>近位提高修复议题与亲密关系的直接相关性；远位仅保留背景、阶段或低置信修正。</x:v>
      </x:c>
      <x:c r="U44" s="20" t="str">
        <x:v>72</x:v>
      </x:c>
      <x:c r="V44" s="20" t="str">
        <x:v>节点有效＋4；关键节点未知则降级</x:v>
      </x:c>
      <x:c r="W44" s="20" t="str">
        <x:v>repair_nodes</x:v>
      </x:c>
      <x:c r="X44" s="20" t="str">
        <x:v>用户语言应说明已完成什么和仍需确认什么。</x:v>
      </x:c>
      <x:c r="Y44" s="20" t="str">
        <x:v>有效修复需要明确：谁对哪一部分负责，不能只停在“都不容易”或“都是误会”。</x:v>
      </x:c>
      <x:c r="Z4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" s="20" t="str">
        <x:v>中高</x:v>
      </x:c>
      <x:c r="AB44" s="20" t="str">
        <x:v>待验证</x:v>
      </x:c>
      <x:c r="AC44" s="20" t="str"/>
      <x:c r="AD44" s="20" t="str">
        <x:v>provisional=true；M3-REPAIR尚未完成，完成条件为暂定功能模型。</x:v>
      </x:c>
      <x:c r="AE44" s="52" t="str">
        <x:v>0.7</x:v>
      </x:c>
    </x:row>
    <x:row r="45">
      <x:c r="A45" s="51" t="str">
        <x:v>M4-REPAIR-044</x:v>
      </x:c>
      <x:c r="B45" s="20" t="str">
        <x:v>RN04 责任与角色承担｜停止与升级</x:v>
      </x:c>
      <x:c r="C45" s="20" t="str">
        <x:v>L1 修复节点与完成任务</x:v>
      </x:c>
      <x:c r="D45" s="20" t="str">
        <x:v>REPAIR-修复节点</x:v>
      </x:c>
      <x:c r="E45" s="20" t="str">
        <x:v>通用</x:v>
      </x:c>
      <x:c r="F45" s="20" t="str">
        <x:v>门控</x:v>
      </x:c>
      <x:c r="G45" s="20" t="str">
        <x:v>RN04</x:v>
      </x:c>
      <x:c r="H45" s="20" t="str"/>
      <x:c r="I45" s="20" t="str">
        <x:v>节点有效并完成source_id／event_id去重；或按规则标记未知。</x:v>
      </x:c>
      <x:c r="J45" s="20" t="str">
        <x:v>关键节点未知却继续发布完整闭环。</x:v>
      </x:c>
      <x:c r="K45" s="20" t="str">
        <x:v>由共享基础引擎提供；仅修正修复功能的承载、持续与压力占位，不直接等同是否愿意认错或能否修复。</x:v>
      </x:c>
      <x:c r="L45" s="20" t="str">
        <x:v>由M1／M2提供；夫妻星只说明伴侣原型与关系资格，不单独证明修复能力、修复意愿或修复结果。</x:v>
      </x:c>
      <x:c r="M45" s="20" t="str">
        <x:v>由M3-BASE提供；日支底盘说明亲密关系中自然调用的功能，但不能单独证明修复闭环。</x:v>
      </x:c>
      <x:c r="N45" s="20" t="str">
        <x:v>由M3-CONFLICT、M4-LOOP及现实事件提供；必须区分问题停止、责任承担、影响确认、行动改变、反馈整合与后续回访。</x:v>
      </x:c>
      <x:c r="O45" s="20" t="str">
        <x:v>由共享基础引擎判定；近位提高相关功能进入亲密关系核心的概率，远位只作背景或阶段修正。</x:v>
      </x:c>
      <x:c r="P45" s="20" t="str">
        <x:v>根气只修正某修复功能是否容易重复调用，不等于现实中已经持续改变。</x:v>
      </x:c>
      <x:c r="Q45" s="20" t="str">
        <x:v>旺弱只修正功能调用强度与占位，不直接等同修复质量、诚意或关系结果。</x:v>
      </x:c>
      <x:c r="R45" s="20" t="str">
        <x:v>喜忌只修正功能摩擦、平衡与承载，不直接等同道德、成熟、善恶或是否值得原谅。</x:v>
      </x:c>
      <x:c r="S45" s="20" t="str">
        <x:v>原十神功能有效；真合化成立时按化神功能替换，合化争议时停止定性。</x:v>
      </x:c>
      <x:c r="T45" s="20" t="str">
        <x:v>近位提高修复议题与亲密关系的直接相关性；远位仅保留背景、阶段或低置信修正。</x:v>
      </x:c>
      <x:c r="U45" s="20" t="str">
        <x:v>88</x:v>
      </x:c>
      <x:c r="V45" s="20" t="str">
        <x:v>节点有效＋4；关键节点未知则降级</x:v>
      </x:c>
      <x:c r="W45" s="20" t="str">
        <x:v>repair_nodes</x:v>
      </x:c>
      <x:c r="X45" s="20" t="str">
        <x:v>RN01、RN03、RN04、RN06、RN07、RN08的必要性取决于事件类型和影响强度；缺失时应降级。</x:v>
      </x:c>
      <x:c r="Y45" s="20" t="str">
        <x:v>关键步骤资料不足时，应停在部分修复或问题结案，而不是补写成完整修复。</x:v>
      </x:c>
      <x:c r="Z4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" s="20" t="str">
        <x:v>中高</x:v>
      </x:c>
      <x:c r="AB45" s="20" t="str">
        <x:v>待验证</x:v>
      </x:c>
      <x:c r="AC45" s="20" t="str"/>
      <x:c r="AD45" s="20" t="str">
        <x:v>provisional=true；M3-REPAIR尚未完成，完成条件为暂定功能模型。</x:v>
      </x:c>
      <x:c r="AE45" s="52" t="str">
        <x:v>0.7</x:v>
      </x:c>
    </x:row>
    <x:row r="46">
      <x:c r="A46" s="51" t="str">
        <x:v>M4-REPAIR-045</x:v>
      </x:c>
      <x:c r="B46" s="20" t="str">
        <x:v>RN05 需要、边界与参与权重订｜节点定义</x:v>
      </x:c>
      <x:c r="C46" s="20" t="str">
        <x:v>L1 修复节点与完成任务</x:v>
      </x:c>
      <x:c r="D46" s="20" t="str">
        <x:v>REPAIR-修复节点</x:v>
      </x:c>
      <x:c r="E46" s="20" t="str">
        <x:v>通用</x:v>
      </x:c>
      <x:c r="F46" s="20" t="str">
        <x:v>定义</x:v>
      </x:c>
      <x:c r="G46" s="20" t="str">
        <x:v>RN05</x:v>
      </x:c>
      <x:c r="H46" s="20" t="str"/>
      <x:c r="I46" s="20" t="str">
        <x:v>把接收方接下来需要什么、哪些边界要恢复、哪些决定需要共同参与说清楚。</x:v>
      </x:c>
      <x:c r="J46" s="20" t="str"/>
      <x:c r="K46" s="20" t="str">
        <x:v>由共享基础引擎提供；仅修正修复功能的承载、持续与压力占位，不直接等同是否愿意认错或能否修复。</x:v>
      </x:c>
      <x:c r="L46" s="20" t="str">
        <x:v>由M1／M2提供；夫妻星只说明伴侣原型与关系资格，不单独证明修复能力、修复意愿或修复结果。</x:v>
      </x:c>
      <x:c r="M46" s="20" t="str">
        <x:v>由M3-BASE提供；日支底盘说明亲密关系中自然调用的功能，但不能单独证明修复闭环。</x:v>
      </x:c>
      <x:c r="N46" s="20" t="str">
        <x:v>由M3-CONFLICT、M4-LOOP及现实事件提供；必须区分问题停止、责任承担、影响确认、行动改变、反馈整合与后续回访。</x:v>
      </x:c>
      <x:c r="O46" s="20" t="str">
        <x:v>由共享基础引擎判定；近位提高相关功能进入亲密关系核心的概率，远位只作背景或阶段修正。</x:v>
      </x:c>
      <x:c r="P46" s="20" t="str">
        <x:v>根气只修正某修复功能是否容易重复调用，不等于现实中已经持续改变。</x:v>
      </x:c>
      <x:c r="Q46" s="20" t="str">
        <x:v>旺弱只修正功能调用强度与占位，不直接等同修复质量、诚意或关系结果。</x:v>
      </x:c>
      <x:c r="R46" s="20" t="str">
        <x:v>喜忌只修正功能摩擦、平衡与承载，不直接等同道德、成熟、善恶或是否值得原谅。</x:v>
      </x:c>
      <x:c r="S46" s="20" t="str">
        <x:v>原十神功能有效；真合化成立时按化神功能替换，合化争议时停止定性。</x:v>
      </x:c>
      <x:c r="T46" s="20" t="str">
        <x:v>近位提高修复议题与亲密关系的直接相关性；远位仅保留背景、阶段或低置信修正。</x:v>
      </x:c>
      <x:c r="U46" s="20" t="str">
        <x:v>72</x:v>
      </x:c>
      <x:c r="V46" s="20" t="str">
        <x:v>节点有效＋4；关键节点未知则降级</x:v>
      </x:c>
      <x:c r="W46" s="20" t="str">
        <x:v>repair_nodes</x:v>
      </x:c>
      <x:c r="X46" s="20" t="str">
        <x:v>该节点解决修复链中的一个独立任务，不能被相邻节点自动替代。</x:v>
      </x:c>
      <x:c r="Y46" s="20" t="str">
        <x:v>需要把接下来怎样相处、哪些事情必须商量、哪些边界不能再越过说清楚。</x:v>
      </x:c>
      <x:c r="Z4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" s="20" t="str">
        <x:v>中高</x:v>
      </x:c>
      <x:c r="AB46" s="20" t="str">
        <x:v>待验证</x:v>
      </x:c>
      <x:c r="AC46" s="20" t="str"/>
      <x:c r="AD46" s="20" t="str">
        <x:v>provisional=true；M3-REPAIR尚未完成，完成条件为暂定功能模型。</x:v>
      </x:c>
      <x:c r="AE46" s="52" t="str">
        <x:v>0.7</x:v>
      </x:c>
    </x:row>
    <x:row r="47">
      <x:c r="A47" s="51" t="str">
        <x:v>M4-REPAIR-046</x:v>
      </x:c>
      <x:c r="B47" s="20" t="str">
        <x:v>RN05 需要、边界与参与权重订｜最低证据</x:v>
      </x:c>
      <x:c r="C47" s="20" t="str">
        <x:v>L1 修复节点与完成任务</x:v>
      </x:c>
      <x:c r="D47" s="20" t="str">
        <x:v>REPAIR-修复节点</x:v>
      </x:c>
      <x:c r="E47" s="20" t="str">
        <x:v>通用</x:v>
      </x:c>
      <x:c r="F47" s="20" t="str">
        <x:v>证据</x:v>
      </x:c>
      <x:c r="G47" s="20" t="str">
        <x:v>RN05</x:v>
      </x:c>
      <x:c r="H47" s="20" t="str"/>
      <x:c r="I47" s="20" t="str">
        <x:v>有具体需要、拒绝范围、协商事项、最低标准或选择权安排。</x:v>
      </x:c>
      <x:c r="J47" s="20" t="str">
        <x:v>把单方要求包装成共同边界，或要求接收方立即开放、原谅。</x:v>
      </x:c>
      <x:c r="K47" s="20" t="str">
        <x:v>由共享基础引擎提供；仅修正修复功能的承载、持续与压力占位，不直接等同是否愿意认错或能否修复。</x:v>
      </x:c>
      <x:c r="L47" s="20" t="str">
        <x:v>由M1／M2提供；夫妻星只说明伴侣原型与关系资格，不单独证明修复能力、修复意愿或修复结果。</x:v>
      </x:c>
      <x:c r="M47" s="20" t="str">
        <x:v>由M3-BASE提供；日支底盘说明亲密关系中自然调用的功能，但不能单独证明修复闭环。</x:v>
      </x:c>
      <x:c r="N47" s="20" t="str">
        <x:v>由M3-CONFLICT、M4-LOOP及现实事件提供；必须区分问题停止、责任承担、影响确认、行动改变、反馈整合与后续回访。</x:v>
      </x:c>
      <x:c r="O47" s="20" t="str">
        <x:v>由共享基础引擎判定；近位提高相关功能进入亲密关系核心的概率，远位只作背景或阶段修正。</x:v>
      </x:c>
      <x:c r="P47" s="20" t="str">
        <x:v>根气只修正某修复功能是否容易重复调用，不等于现实中已经持续改变。</x:v>
      </x:c>
      <x:c r="Q47" s="20" t="str">
        <x:v>旺弱只修正功能调用强度与占位，不直接等同修复质量、诚意或关系结果。</x:v>
      </x:c>
      <x:c r="R47" s="20" t="str">
        <x:v>喜忌只修正功能摩擦、平衡与承载，不直接等同道德、成熟、善恶或是否值得原谅。</x:v>
      </x:c>
      <x:c r="S47" s="20" t="str">
        <x:v>原十神功能有效；真合化成立时按化神功能替换，合化争议时停止定性。</x:v>
      </x:c>
      <x:c r="T47" s="20" t="str">
        <x:v>近位提高修复议题与亲密关系的直接相关性；远位仅保留背景、阶段或低置信修正。</x:v>
      </x:c>
      <x:c r="U47" s="20" t="str">
        <x:v>88</x:v>
      </x:c>
      <x:c r="V47" s="20" t="str">
        <x:v>节点有效＋4；关键节点未知则降级</x:v>
      </x:c>
      <x:c r="W47" s="20" t="str">
        <x:v>repair_nodes</x:v>
      </x:c>
      <x:c r="X47" s="20" t="str">
        <x:v>最低证据决定该节点能否被标记为有效；资料不足时应写未知。</x:v>
      </x:c>
      <x:c r="Y47" s="20" t="str">
        <x:v>判断这一节点需要具体言语、行动或后续记录，不能只用抽象评价。</x:v>
      </x:c>
      <x:c r="Z4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" s="20" t="str">
        <x:v>中高</x:v>
      </x:c>
      <x:c r="AB47" s="20" t="str">
        <x:v>待验证</x:v>
      </x:c>
      <x:c r="AC47" s="20" t="str"/>
      <x:c r="AD47" s="20" t="str">
        <x:v>provisional=true；M3-REPAIR尚未完成，完成条件为暂定功能模型。</x:v>
      </x:c>
      <x:c r="AE47" s="52" t="str">
        <x:v>0.7</x:v>
      </x:c>
    </x:row>
    <x:row r="48">
      <x:c r="A48" s="51" t="str">
        <x:v>M4-REPAIR-047</x:v>
      </x:c>
      <x:c r="B48" s="20" t="str">
        <x:v>RN05 需要、边界与参与权重订｜功能位置</x:v>
      </x:c>
      <x:c r="C48" s="20" t="str">
        <x:v>L1 修复节点与完成任务</x:v>
      </x:c>
      <x:c r="D48" s="20" t="str">
        <x:v>REPAIR-修复节点</x:v>
      </x:c>
      <x:c r="E48" s="20" t="str">
        <x:v>通用</x:v>
      </x:c>
      <x:c r="F48" s="20" t="str">
        <x:v>路由</x:v>
      </x:c>
      <x:c r="G48" s="20" t="str">
        <x:v>RN05</x:v>
      </x:c>
      <x:c r="H48" s="20" t="str"/>
      <x:c r="I48" s="20" t="str">
        <x:v>该节点与当前事件类型及前后修复任务相匹配。</x:v>
      </x:c>
      <x:c r="J48" s="20" t="str">
        <x:v>节点出现，但与当前核心影响无关。</x:v>
      </x:c>
      <x:c r="K48" s="20" t="str">
        <x:v>由共享基础引擎提供；仅修正修复功能的承载、持续与压力占位，不直接等同是否愿意认错或能否修复。</x:v>
      </x:c>
      <x:c r="L48" s="20" t="str">
        <x:v>由M1／M2提供；夫妻星只说明伴侣原型与关系资格，不单独证明修复能力、修复意愿或修复结果。</x:v>
      </x:c>
      <x:c r="M48" s="20" t="str">
        <x:v>由M3-BASE提供；日支底盘说明亲密关系中自然调用的功能，但不能单独证明修复闭环。</x:v>
      </x:c>
      <x:c r="N48" s="20" t="str">
        <x:v>由M3-CONFLICT、M4-LOOP及现实事件提供；必须区分问题停止、责任承担、影响确认、行动改变、反馈整合与后续回访。</x:v>
      </x:c>
      <x:c r="O48" s="20" t="str">
        <x:v>由共享基础引擎判定；近位提高相关功能进入亲密关系核心的概率，远位只作背景或阶段修正。</x:v>
      </x:c>
      <x:c r="P48" s="20" t="str">
        <x:v>根气只修正某修复功能是否容易重复调用，不等于现实中已经持续改变。</x:v>
      </x:c>
      <x:c r="Q48" s="20" t="str">
        <x:v>旺弱只修正功能调用强度与占位，不直接等同修复质量、诚意或关系结果。</x:v>
      </x:c>
      <x:c r="R48" s="20" t="str">
        <x:v>喜忌只修正功能摩擦、平衡与承载，不直接等同道德、成熟、善恶或是否值得原谅。</x:v>
      </x:c>
      <x:c r="S48" s="20" t="str">
        <x:v>原十神功能有效；真合化成立时按化神功能替换，合化争议时停止定性。</x:v>
      </x:c>
      <x:c r="T48" s="20" t="str">
        <x:v>近位提高修复议题与亲密关系的直接相关性；远位仅保留背景、阶段或低置信修正。</x:v>
      </x:c>
      <x:c r="U48" s="20" t="str">
        <x:v>72</x:v>
      </x:c>
      <x:c r="V48" s="20" t="str">
        <x:v>节点有效＋4；关键节点未知则降级</x:v>
      </x:c>
      <x:c r="W48" s="20" t="str">
        <x:v>repair_nodes</x:v>
      </x:c>
      <x:c r="X48" s="20" t="str">
        <x:v>同一动作在不同事件中可能承担不同功能，需按任务匹配。</x:v>
      </x:c>
      <x:c r="Y48" s="20" t="str">
        <x:v>要看这一步是否真正回应了当前问题，而不只是形式上做了某件事。</x:v>
      </x:c>
      <x:c r="Z4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8" s="20" t="str">
        <x:v>中高</x:v>
      </x:c>
      <x:c r="AB48" s="20" t="str">
        <x:v>待验证</x:v>
      </x:c>
      <x:c r="AC48" s="20" t="str"/>
      <x:c r="AD48" s="20" t="str">
        <x:v>provisional=true；M3-REPAIR尚未完成，完成条件为暂定功能模型。</x:v>
      </x:c>
      <x:c r="AE48" s="52" t="str">
        <x:v>0.7</x:v>
      </x:c>
    </x:row>
    <x:row r="49">
      <x:c r="A49" s="51" t="str">
        <x:v>M4-REPAIR-048</x:v>
      </x:c>
      <x:c r="B49" s="20" t="str">
        <x:v>RN05 需要、边界与参与权重订｜常见假完成</x:v>
      </x:c>
      <x:c r="C49" s="20" t="str">
        <x:v>L1 修复节点与完成任务</x:v>
      </x:c>
      <x:c r="D49" s="20" t="str">
        <x:v>REPAIR-修复节点</x:v>
      </x:c>
      <x:c r="E49" s="20" t="str">
        <x:v>通用</x:v>
      </x:c>
      <x:c r="F49" s="20" t="str">
        <x:v>边界</x:v>
      </x:c>
      <x:c r="G49" s="20" t="str">
        <x:v>RN05</x:v>
      </x:c>
      <x:c r="H49" s="20" t="str"/>
      <x:c r="I49" s="20" t="str">
        <x:v>能够区分该节点本身与“修复全部完成”。</x:v>
      </x:c>
      <x:c r="J49" s="20" t="str">
        <x:v>把单方要求包装成共同边界，或要求接收方立即开放、原谅。</x:v>
      </x:c>
      <x:c r="K49" s="20" t="str">
        <x:v>由共享基础引擎提供；仅修正修复功能的承载、持续与压力占位，不直接等同是否愿意认错或能否修复。</x:v>
      </x:c>
      <x:c r="L49" s="20" t="str">
        <x:v>由M1／M2提供；夫妻星只说明伴侣原型与关系资格，不单独证明修复能力、修复意愿或修复结果。</x:v>
      </x:c>
      <x:c r="M49" s="20" t="str">
        <x:v>由M3-BASE提供；日支底盘说明亲密关系中自然调用的功能，但不能单独证明修复闭环。</x:v>
      </x:c>
      <x:c r="N49" s="20" t="str">
        <x:v>由M3-CONFLICT、M4-LOOP及现实事件提供；必须区分问题停止、责任承担、影响确认、行动改变、反馈整合与后续回访。</x:v>
      </x:c>
      <x:c r="O49" s="20" t="str">
        <x:v>由共享基础引擎判定；近位提高相关功能进入亲密关系核心的概率，远位只作背景或阶段修正。</x:v>
      </x:c>
      <x:c r="P49" s="20" t="str">
        <x:v>根气只修正某修复功能是否容易重复调用，不等于现实中已经持续改变。</x:v>
      </x:c>
      <x:c r="Q49" s="20" t="str">
        <x:v>旺弱只修正功能调用强度与占位，不直接等同修复质量、诚意或关系结果。</x:v>
      </x:c>
      <x:c r="R49" s="20" t="str">
        <x:v>喜忌只修正功能摩擦、平衡与承载，不直接等同道德、成熟、善恶或是否值得原谅。</x:v>
      </x:c>
      <x:c r="S49" s="20" t="str">
        <x:v>原十神功能有效；真合化成立时按化神功能替换，合化争议时停止定性。</x:v>
      </x:c>
      <x:c r="T49" s="20" t="str">
        <x:v>近位提高修复议题与亲密关系的直接相关性；远位仅保留背景、阶段或低置信修正。</x:v>
      </x:c>
      <x:c r="U49" s="20" t="str">
        <x:v>72</x:v>
      </x:c>
      <x:c r="V49" s="20" t="str">
        <x:v>节点有效＋4；关键节点未知则降级</x:v>
      </x:c>
      <x:c r="W49" s="20" t="str">
        <x:v>repair_nodes</x:v>
      </x:c>
      <x:c r="X49" s="20" t="str">
        <x:v>任何一个节点出现，都不能单独代表完整修复。</x:v>
      </x:c>
      <x:c r="Y49" s="20" t="str">
        <x:v>这一部分完成了，不代表其他修复步骤也已经自动完成。</x:v>
      </x:c>
      <x:c r="Z4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9" s="20" t="str">
        <x:v>中高</x:v>
      </x:c>
      <x:c r="AB49" s="20" t="str">
        <x:v>待验证</x:v>
      </x:c>
      <x:c r="AC49" s="20" t="str"/>
      <x:c r="AD49" s="20" t="str">
        <x:v>provisional=true；M3-REPAIR尚未完成，完成条件为暂定功能模型。</x:v>
      </x:c>
      <x:c r="AE49" s="52" t="str">
        <x:v>0.7</x:v>
      </x:c>
    </x:row>
    <x:row r="50">
      <x:c r="A50" s="51" t="str">
        <x:v>M4-REPAIR-049</x:v>
      </x:c>
      <x:c r="B50" s="20" t="str">
        <x:v>RN05 需要、边界与参与权重订｜用户解释</x:v>
      </x:c>
      <x:c r="C50" s="20" t="str">
        <x:v>L1 修复节点与完成任务</x:v>
      </x:c>
      <x:c r="D50" s="20" t="str">
        <x:v>REPAIR-修复节点</x:v>
      </x:c>
      <x:c r="E50" s="20" t="str">
        <x:v>通用</x:v>
      </x:c>
      <x:c r="F50" s="20" t="str">
        <x:v>输出</x:v>
      </x:c>
      <x:c r="G50" s="20" t="str">
        <x:v>RN05</x:v>
      </x:c>
      <x:c r="H50" s="20" t="str"/>
      <x:c r="I50" s="20" t="str">
        <x:v>该节点在现实事件中有明确证据。</x:v>
      </x:c>
      <x:c r="J50" s="20" t="str">
        <x:v>资料只来自推测或命盘标签。</x:v>
      </x:c>
      <x:c r="K50" s="20" t="str">
        <x:v>由共享基础引擎提供；仅修正修复功能的承载、持续与压力占位，不直接等同是否愿意认错或能否修复。</x:v>
      </x:c>
      <x:c r="L50" s="20" t="str">
        <x:v>由M1／M2提供；夫妻星只说明伴侣原型与关系资格，不单独证明修复能力、修复意愿或修复结果。</x:v>
      </x:c>
      <x:c r="M50" s="20" t="str">
        <x:v>由M3-BASE提供；日支底盘说明亲密关系中自然调用的功能，但不能单独证明修复闭环。</x:v>
      </x:c>
      <x:c r="N50" s="20" t="str">
        <x:v>由M3-CONFLICT、M4-LOOP及现实事件提供；必须区分问题停止、责任承担、影响确认、行动改变、反馈整合与后续回访。</x:v>
      </x:c>
      <x:c r="O50" s="20" t="str">
        <x:v>由共享基础引擎判定；近位提高相关功能进入亲密关系核心的概率，远位只作背景或阶段修正。</x:v>
      </x:c>
      <x:c r="P50" s="20" t="str">
        <x:v>根气只修正某修复功能是否容易重复调用，不等于现实中已经持续改变。</x:v>
      </x:c>
      <x:c r="Q50" s="20" t="str">
        <x:v>旺弱只修正功能调用强度与占位，不直接等同修复质量、诚意或关系结果。</x:v>
      </x:c>
      <x:c r="R50" s="20" t="str">
        <x:v>喜忌只修正功能摩擦、平衡与承载，不直接等同道德、成熟、善恶或是否值得原谅。</x:v>
      </x:c>
      <x:c r="S50" s="20" t="str">
        <x:v>原十神功能有效；真合化成立时按化神功能替换，合化争议时停止定性。</x:v>
      </x:c>
      <x:c r="T50" s="20" t="str">
        <x:v>近位提高修复议题与亲密关系的直接相关性；远位仅保留背景、阶段或低置信修正。</x:v>
      </x:c>
      <x:c r="U50" s="20" t="str">
        <x:v>72</x:v>
      </x:c>
      <x:c r="V50" s="20" t="str">
        <x:v>节点有效＋4；关键节点未知则降级</x:v>
      </x:c>
      <x:c r="W50" s="20" t="str">
        <x:v>repair_nodes</x:v>
      </x:c>
      <x:c r="X50" s="20" t="str">
        <x:v>用户语言应说明已完成什么和仍需确认什么。</x:v>
      </x:c>
      <x:c r="Y50" s="20" t="str">
        <x:v>需要把接下来怎样相处、哪些事情必须商量、哪些边界不能再越过说清楚。</x:v>
      </x:c>
      <x:c r="Z5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0" s="20" t="str">
        <x:v>中高</x:v>
      </x:c>
      <x:c r="AB50" s="20" t="str">
        <x:v>待验证</x:v>
      </x:c>
      <x:c r="AC50" s="20" t="str"/>
      <x:c r="AD50" s="20" t="str">
        <x:v>provisional=true；M3-REPAIR尚未完成，完成条件为暂定功能模型。</x:v>
      </x:c>
      <x:c r="AE50" s="52" t="str">
        <x:v>0.7</x:v>
      </x:c>
    </x:row>
    <x:row r="51">
      <x:c r="A51" s="51" t="str">
        <x:v>M4-REPAIR-050</x:v>
      </x:c>
      <x:c r="B51" s="20" t="str">
        <x:v>RN05 需要、边界与参与权重订｜停止与升级</x:v>
      </x:c>
      <x:c r="C51" s="20" t="str">
        <x:v>L1 修复节点与完成任务</x:v>
      </x:c>
      <x:c r="D51" s="20" t="str">
        <x:v>REPAIR-修复节点</x:v>
      </x:c>
      <x:c r="E51" s="20" t="str">
        <x:v>通用</x:v>
      </x:c>
      <x:c r="F51" s="20" t="str">
        <x:v>门控</x:v>
      </x:c>
      <x:c r="G51" s="20" t="str">
        <x:v>RN05</x:v>
      </x:c>
      <x:c r="H51" s="20" t="str"/>
      <x:c r="I51" s="20" t="str">
        <x:v>节点有效并完成source_id／event_id去重；或按规则标记未知。</x:v>
      </x:c>
      <x:c r="J51" s="20" t="str">
        <x:v>关键节点未知却继续发布完整闭环。</x:v>
      </x:c>
      <x:c r="K51" s="20" t="str">
        <x:v>由共享基础引擎提供；仅修正修复功能的承载、持续与压力占位，不直接等同是否愿意认错或能否修复。</x:v>
      </x:c>
      <x:c r="L51" s="20" t="str">
        <x:v>由M1／M2提供；夫妻星只说明伴侣原型与关系资格，不单独证明修复能力、修复意愿或修复结果。</x:v>
      </x:c>
      <x:c r="M51" s="20" t="str">
        <x:v>由M3-BASE提供；日支底盘说明亲密关系中自然调用的功能，但不能单独证明修复闭环。</x:v>
      </x:c>
      <x:c r="N51" s="20" t="str">
        <x:v>由M3-CONFLICT、M4-LOOP及现实事件提供；必须区分问题停止、责任承担、影响确认、行动改变、反馈整合与后续回访。</x:v>
      </x:c>
      <x:c r="O51" s="20" t="str">
        <x:v>由共享基础引擎判定；近位提高相关功能进入亲密关系核心的概率，远位只作背景或阶段修正。</x:v>
      </x:c>
      <x:c r="P51" s="20" t="str">
        <x:v>根气只修正某修复功能是否容易重复调用，不等于现实中已经持续改变。</x:v>
      </x:c>
      <x:c r="Q51" s="20" t="str">
        <x:v>旺弱只修正功能调用强度与占位，不直接等同修复质量、诚意或关系结果。</x:v>
      </x:c>
      <x:c r="R51" s="20" t="str">
        <x:v>喜忌只修正功能摩擦、平衡与承载，不直接等同道德、成熟、善恶或是否值得原谅。</x:v>
      </x:c>
      <x:c r="S51" s="20" t="str">
        <x:v>原十神功能有效；真合化成立时按化神功能替换，合化争议时停止定性。</x:v>
      </x:c>
      <x:c r="T51" s="20" t="str">
        <x:v>近位提高修复议题与亲密关系的直接相关性；远位仅保留背景、阶段或低置信修正。</x:v>
      </x:c>
      <x:c r="U51" s="20" t="str">
        <x:v>88</x:v>
      </x:c>
      <x:c r="V51" s="20" t="str">
        <x:v>节点有效＋4；关键节点未知则降级</x:v>
      </x:c>
      <x:c r="W51" s="20" t="str">
        <x:v>repair_nodes</x:v>
      </x:c>
      <x:c r="X51" s="20" t="str">
        <x:v>RN01、RN03、RN04、RN06、RN07、RN08的必要性取决于事件类型和影响强度；缺失时应降级。</x:v>
      </x:c>
      <x:c r="Y51" s="20" t="str">
        <x:v>关键步骤资料不足时，应停在部分修复或问题结案，而不是补写成完整修复。</x:v>
      </x:c>
      <x:c r="Z5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1" s="20" t="str">
        <x:v>中高</x:v>
      </x:c>
      <x:c r="AB51" s="20" t="str">
        <x:v>待验证</x:v>
      </x:c>
      <x:c r="AC51" s="20" t="str"/>
      <x:c r="AD51" s="20" t="str">
        <x:v>provisional=true；M3-REPAIR尚未完成，完成条件为暂定功能模型。</x:v>
      </x:c>
      <x:c r="AE51" s="52" t="str">
        <x:v>0.7</x:v>
      </x:c>
    </x:row>
    <x:row r="52">
      <x:c r="A52" s="51" t="str">
        <x:v>M4-REPAIR-051</x:v>
      </x:c>
      <x:c r="B52" s="20" t="str">
        <x:v>RN06 补救行动与现实调整｜节点定义</x:v>
      </x:c>
      <x:c r="C52" s="20" t="str">
        <x:v>L1 修复节点与完成任务</x:v>
      </x:c>
      <x:c r="D52" s="20" t="str">
        <x:v>REPAIR-修复节点</x:v>
      </x:c>
      <x:c r="E52" s="20" t="str">
        <x:v>通用</x:v>
      </x:c>
      <x:c r="F52" s="20" t="str">
        <x:v>定义</x:v>
      </x:c>
      <x:c r="G52" s="20" t="str">
        <x:v>RN06</x:v>
      </x:c>
      <x:c r="H52" s="20" t="str"/>
      <x:c r="I52" s="20" t="str">
        <x:v>把责任和需要转成可观察、可执行、可追踪的行动、补偿、安排或行为调整。</x:v>
      </x:c>
      <x:c r="J52" s="20" t="str"/>
      <x:c r="K52" s="20" t="str">
        <x:v>由共享基础引擎提供；仅修正修复功能的承载、持续与压力占位，不直接等同是否愿意认错或能否修复。</x:v>
      </x:c>
      <x:c r="L52" s="20" t="str">
        <x:v>由M1／M2提供；夫妻星只说明伴侣原型与关系资格，不单独证明修复能力、修复意愿或修复结果。</x:v>
      </x:c>
      <x:c r="M52" s="20" t="str">
        <x:v>由M3-BASE提供；日支底盘说明亲密关系中自然调用的功能，但不能单独证明修复闭环。</x:v>
      </x:c>
      <x:c r="N52" s="20" t="str">
        <x:v>由M3-CONFLICT、M4-LOOP及现实事件提供；必须区分问题停止、责任承担、影响确认、行动改变、反馈整合与后续回访。</x:v>
      </x:c>
      <x:c r="O52" s="20" t="str">
        <x:v>由共享基础引擎判定；近位提高相关功能进入亲密关系核心的概率，远位只作背景或阶段修正。</x:v>
      </x:c>
      <x:c r="P52" s="20" t="str">
        <x:v>根气只修正某修复功能是否容易重复调用，不等于现实中已经持续改变。</x:v>
      </x:c>
      <x:c r="Q52" s="20" t="str">
        <x:v>旺弱只修正功能调用强度与占位，不直接等同修复质量、诚意或关系结果。</x:v>
      </x:c>
      <x:c r="R52" s="20" t="str">
        <x:v>喜忌只修正功能摩擦、平衡与承载，不直接等同道德、成熟、善恶或是否值得原谅。</x:v>
      </x:c>
      <x:c r="S52" s="20" t="str">
        <x:v>原十神功能有效；真合化成立时按化神功能替换，合化争议时停止定性。</x:v>
      </x:c>
      <x:c r="T52" s="20" t="str">
        <x:v>近位提高修复议题与亲密关系的直接相关性；远位仅保留背景、阶段或低置信修正。</x:v>
      </x:c>
      <x:c r="U52" s="20" t="str">
        <x:v>72</x:v>
      </x:c>
      <x:c r="V52" s="20" t="str">
        <x:v>节点有效＋4；关键节点未知则降级</x:v>
      </x:c>
      <x:c r="W52" s="20" t="str">
        <x:v>repair_nodes</x:v>
      </x:c>
      <x:c r="X52" s="20" t="str">
        <x:v>该节点解决修复链中的一个独立任务，不能被相邻节点自动替代。</x:v>
      </x:c>
      <x:c r="Y52" s="20" t="str">
        <x:v>修复需要落到具体改变：接下来做什么、怎样做，以及如何看见它真的发生。</x:v>
      </x:c>
      <x:c r="Z5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2" s="20" t="str">
        <x:v>中高</x:v>
      </x:c>
      <x:c r="AB52" s="20" t="str">
        <x:v>待验证</x:v>
      </x:c>
      <x:c r="AC52" s="20" t="str"/>
      <x:c r="AD52" s="20" t="str">
        <x:v>provisional=true；M3-REPAIR尚未完成，完成条件为暂定功能模型。</x:v>
      </x:c>
      <x:c r="AE52" s="52" t="str">
        <x:v>0.7</x:v>
      </x:c>
    </x:row>
    <x:row r="53">
      <x:c r="A53" s="51" t="str">
        <x:v>M4-REPAIR-052</x:v>
      </x:c>
      <x:c r="B53" s="20" t="str">
        <x:v>RN06 补救行动与现实调整｜最低证据</x:v>
      </x:c>
      <x:c r="C53" s="20" t="str">
        <x:v>L1 修复节点与完成任务</x:v>
      </x:c>
      <x:c r="D53" s="20" t="str">
        <x:v>REPAIR-修复节点</x:v>
      </x:c>
      <x:c r="E53" s="20" t="str">
        <x:v>通用</x:v>
      </x:c>
      <x:c r="F53" s="20" t="str">
        <x:v>证据</x:v>
      </x:c>
      <x:c r="G53" s="20" t="str">
        <x:v>RN06</x:v>
      </x:c>
      <x:c r="H53" s="20" t="str"/>
      <x:c r="I53" s="20" t="str">
        <x:v>行动与问题类型匹配，执行责任、时间或观察点基本清楚。</x:v>
      </x:c>
      <x:c r="J53" s="20" t="str">
        <x:v>只给模糊承诺、象征动作，或补偿与实际影响无关。</x:v>
      </x:c>
      <x:c r="K53" s="20" t="str">
        <x:v>由共享基础引擎提供；仅修正修复功能的承载、持续与压力占位，不直接等同是否愿意认错或能否修复。</x:v>
      </x:c>
      <x:c r="L53" s="20" t="str">
        <x:v>由M1／M2提供；夫妻星只说明伴侣原型与关系资格，不单独证明修复能力、修复意愿或修复结果。</x:v>
      </x:c>
      <x:c r="M53" s="20" t="str">
        <x:v>由M3-BASE提供；日支底盘说明亲密关系中自然调用的功能，但不能单独证明修复闭环。</x:v>
      </x:c>
      <x:c r="N53" s="20" t="str">
        <x:v>由M3-CONFLICT、M4-LOOP及现实事件提供；必须区分问题停止、责任承担、影响确认、行动改变、反馈整合与后续回访。</x:v>
      </x:c>
      <x:c r="O53" s="20" t="str">
        <x:v>由共享基础引擎判定；近位提高相关功能进入亲密关系核心的概率，远位只作背景或阶段修正。</x:v>
      </x:c>
      <x:c r="P53" s="20" t="str">
        <x:v>根气只修正某修复功能是否容易重复调用，不等于现实中已经持续改变。</x:v>
      </x:c>
      <x:c r="Q53" s="20" t="str">
        <x:v>旺弱只修正功能调用强度与占位，不直接等同修复质量、诚意或关系结果。</x:v>
      </x:c>
      <x:c r="R53" s="20" t="str">
        <x:v>喜忌只修正功能摩擦、平衡与承载，不直接等同道德、成熟、善恶或是否值得原谅。</x:v>
      </x:c>
      <x:c r="S53" s="20" t="str">
        <x:v>原十神功能有效；真合化成立时按化神功能替换，合化争议时停止定性。</x:v>
      </x:c>
      <x:c r="T53" s="20" t="str">
        <x:v>近位提高修复议题与亲密关系的直接相关性；远位仅保留背景、阶段或低置信修正。</x:v>
      </x:c>
      <x:c r="U53" s="20" t="str">
        <x:v>88</x:v>
      </x:c>
      <x:c r="V53" s="20" t="str">
        <x:v>节点有效＋4；关键节点未知则降级</x:v>
      </x:c>
      <x:c r="W53" s="20" t="str">
        <x:v>repair_nodes</x:v>
      </x:c>
      <x:c r="X53" s="20" t="str">
        <x:v>最低证据决定该节点能否被标记为有效；资料不足时应写未知。</x:v>
      </x:c>
      <x:c r="Y53" s="20" t="str">
        <x:v>判断这一节点需要具体言语、行动或后续记录，不能只用抽象评价。</x:v>
      </x:c>
      <x:c r="Z5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3" s="20" t="str">
        <x:v>中高</x:v>
      </x:c>
      <x:c r="AB53" s="20" t="str">
        <x:v>待验证</x:v>
      </x:c>
      <x:c r="AC53" s="20" t="str"/>
      <x:c r="AD53" s="20" t="str">
        <x:v>provisional=true；M3-REPAIR尚未完成，完成条件为暂定功能模型。</x:v>
      </x:c>
      <x:c r="AE53" s="52" t="str">
        <x:v>0.7</x:v>
      </x:c>
    </x:row>
    <x:row r="54">
      <x:c r="A54" s="51" t="str">
        <x:v>M4-REPAIR-053</x:v>
      </x:c>
      <x:c r="B54" s="20" t="str">
        <x:v>RN06 补救行动与现实调整｜功能位置</x:v>
      </x:c>
      <x:c r="C54" s="20" t="str">
        <x:v>L1 修复节点与完成任务</x:v>
      </x:c>
      <x:c r="D54" s="20" t="str">
        <x:v>REPAIR-修复节点</x:v>
      </x:c>
      <x:c r="E54" s="20" t="str">
        <x:v>通用</x:v>
      </x:c>
      <x:c r="F54" s="20" t="str">
        <x:v>路由</x:v>
      </x:c>
      <x:c r="G54" s="20" t="str">
        <x:v>RN06</x:v>
      </x:c>
      <x:c r="H54" s="20" t="str"/>
      <x:c r="I54" s="20" t="str">
        <x:v>该节点与当前事件类型及前后修复任务相匹配。</x:v>
      </x:c>
      <x:c r="J54" s="20" t="str">
        <x:v>节点出现，但与当前核心影响无关。</x:v>
      </x:c>
      <x:c r="K54" s="20" t="str">
        <x:v>由共享基础引擎提供；仅修正修复功能的承载、持续与压力占位，不直接等同是否愿意认错或能否修复。</x:v>
      </x:c>
      <x:c r="L54" s="20" t="str">
        <x:v>由M1／M2提供；夫妻星只说明伴侣原型与关系资格，不单独证明修复能力、修复意愿或修复结果。</x:v>
      </x:c>
      <x:c r="M54" s="20" t="str">
        <x:v>由M3-BASE提供；日支底盘说明亲密关系中自然调用的功能，但不能单独证明修复闭环。</x:v>
      </x:c>
      <x:c r="N54" s="20" t="str">
        <x:v>由M3-CONFLICT、M4-LOOP及现实事件提供；必须区分问题停止、责任承担、影响确认、行动改变、反馈整合与后续回访。</x:v>
      </x:c>
      <x:c r="O54" s="20" t="str">
        <x:v>由共享基础引擎判定；近位提高相关功能进入亲密关系核心的概率，远位只作背景或阶段修正。</x:v>
      </x:c>
      <x:c r="P54" s="20" t="str">
        <x:v>根气只修正某修复功能是否容易重复调用，不等于现实中已经持续改变。</x:v>
      </x:c>
      <x:c r="Q54" s="20" t="str">
        <x:v>旺弱只修正功能调用强度与占位，不直接等同修复质量、诚意或关系结果。</x:v>
      </x:c>
      <x:c r="R54" s="20" t="str">
        <x:v>喜忌只修正功能摩擦、平衡与承载，不直接等同道德、成熟、善恶或是否值得原谅。</x:v>
      </x:c>
      <x:c r="S54" s="20" t="str">
        <x:v>原十神功能有效；真合化成立时按化神功能替换，合化争议时停止定性。</x:v>
      </x:c>
      <x:c r="T54" s="20" t="str">
        <x:v>近位提高修复议题与亲密关系的直接相关性；远位仅保留背景、阶段或低置信修正。</x:v>
      </x:c>
      <x:c r="U54" s="20" t="str">
        <x:v>72</x:v>
      </x:c>
      <x:c r="V54" s="20" t="str">
        <x:v>节点有效＋4；关键节点未知则降级</x:v>
      </x:c>
      <x:c r="W54" s="20" t="str">
        <x:v>repair_nodes</x:v>
      </x:c>
      <x:c r="X54" s="20" t="str">
        <x:v>同一动作在不同事件中可能承担不同功能，需按任务匹配。</x:v>
      </x:c>
      <x:c r="Y54" s="20" t="str">
        <x:v>要看这一步是否真正回应了当前问题，而不只是形式上做了某件事。</x:v>
      </x:c>
      <x:c r="Z5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4" s="20" t="str">
        <x:v>中高</x:v>
      </x:c>
      <x:c r="AB54" s="20" t="str">
        <x:v>待验证</x:v>
      </x:c>
      <x:c r="AC54" s="20" t="str"/>
      <x:c r="AD54" s="20" t="str">
        <x:v>provisional=true；M3-REPAIR尚未完成，完成条件为暂定功能模型。</x:v>
      </x:c>
      <x:c r="AE54" s="52" t="str">
        <x:v>0.7</x:v>
      </x:c>
    </x:row>
    <x:row r="55">
      <x:c r="A55" s="51" t="str">
        <x:v>M4-REPAIR-054</x:v>
      </x:c>
      <x:c r="B55" s="20" t="str">
        <x:v>RN06 补救行动与现实调整｜常见假完成</x:v>
      </x:c>
      <x:c r="C55" s="20" t="str">
        <x:v>L1 修复节点与完成任务</x:v>
      </x:c>
      <x:c r="D55" s="20" t="str">
        <x:v>REPAIR-修复节点</x:v>
      </x:c>
      <x:c r="E55" s="20" t="str">
        <x:v>通用</x:v>
      </x:c>
      <x:c r="F55" s="20" t="str">
        <x:v>边界</x:v>
      </x:c>
      <x:c r="G55" s="20" t="str">
        <x:v>RN06</x:v>
      </x:c>
      <x:c r="H55" s="20" t="str"/>
      <x:c r="I55" s="20" t="str">
        <x:v>能够区分该节点本身与“修复全部完成”。</x:v>
      </x:c>
      <x:c r="J55" s="20" t="str">
        <x:v>只给模糊承诺、象征动作，或补偿与实际影响无关。</x:v>
      </x:c>
      <x:c r="K55" s="20" t="str">
        <x:v>由共享基础引擎提供；仅修正修复功能的承载、持续与压力占位，不直接等同是否愿意认错或能否修复。</x:v>
      </x:c>
      <x:c r="L55" s="20" t="str">
        <x:v>由M1／M2提供；夫妻星只说明伴侣原型与关系资格，不单独证明修复能力、修复意愿或修复结果。</x:v>
      </x:c>
      <x:c r="M55" s="20" t="str">
        <x:v>由M3-BASE提供；日支底盘说明亲密关系中自然调用的功能，但不能单独证明修复闭环。</x:v>
      </x:c>
      <x:c r="N55" s="20" t="str">
        <x:v>由M3-CONFLICT、M4-LOOP及现实事件提供；必须区分问题停止、责任承担、影响确认、行动改变、反馈整合与后续回访。</x:v>
      </x:c>
      <x:c r="O55" s="20" t="str">
        <x:v>由共享基础引擎判定；近位提高相关功能进入亲密关系核心的概率，远位只作背景或阶段修正。</x:v>
      </x:c>
      <x:c r="P55" s="20" t="str">
        <x:v>根气只修正某修复功能是否容易重复调用，不等于现实中已经持续改变。</x:v>
      </x:c>
      <x:c r="Q55" s="20" t="str">
        <x:v>旺弱只修正功能调用强度与占位，不直接等同修复质量、诚意或关系结果。</x:v>
      </x:c>
      <x:c r="R55" s="20" t="str">
        <x:v>喜忌只修正功能摩擦、平衡与承载，不直接等同道德、成熟、善恶或是否值得原谅。</x:v>
      </x:c>
      <x:c r="S55" s="20" t="str">
        <x:v>原十神功能有效；真合化成立时按化神功能替换，合化争议时停止定性。</x:v>
      </x:c>
      <x:c r="T55" s="20" t="str">
        <x:v>近位提高修复议题与亲密关系的直接相关性；远位仅保留背景、阶段或低置信修正。</x:v>
      </x:c>
      <x:c r="U55" s="20" t="str">
        <x:v>72</x:v>
      </x:c>
      <x:c r="V55" s="20" t="str">
        <x:v>节点有效＋4；关键节点未知则降级</x:v>
      </x:c>
      <x:c r="W55" s="20" t="str">
        <x:v>repair_nodes</x:v>
      </x:c>
      <x:c r="X55" s="20" t="str">
        <x:v>任何一个节点出现，都不能单独代表完整修复。</x:v>
      </x:c>
      <x:c r="Y55" s="20" t="str">
        <x:v>这一部分完成了，不代表其他修复步骤也已经自动完成。</x:v>
      </x:c>
      <x:c r="Z5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5" s="20" t="str">
        <x:v>中高</x:v>
      </x:c>
      <x:c r="AB55" s="20" t="str">
        <x:v>待验证</x:v>
      </x:c>
      <x:c r="AC55" s="20" t="str"/>
      <x:c r="AD55" s="20" t="str">
        <x:v>provisional=true；M3-REPAIR尚未完成，完成条件为暂定功能模型。</x:v>
      </x:c>
      <x:c r="AE55" s="52" t="str">
        <x:v>0.7</x:v>
      </x:c>
    </x:row>
    <x:row r="56">
      <x:c r="A56" s="51" t="str">
        <x:v>M4-REPAIR-055</x:v>
      </x:c>
      <x:c r="B56" s="20" t="str">
        <x:v>RN06 补救行动与现实调整｜用户解释</x:v>
      </x:c>
      <x:c r="C56" s="20" t="str">
        <x:v>L1 修复节点与完成任务</x:v>
      </x:c>
      <x:c r="D56" s="20" t="str">
        <x:v>REPAIR-修复节点</x:v>
      </x:c>
      <x:c r="E56" s="20" t="str">
        <x:v>通用</x:v>
      </x:c>
      <x:c r="F56" s="20" t="str">
        <x:v>输出</x:v>
      </x:c>
      <x:c r="G56" s="20" t="str">
        <x:v>RN06</x:v>
      </x:c>
      <x:c r="H56" s="20" t="str"/>
      <x:c r="I56" s="20" t="str">
        <x:v>该节点在现实事件中有明确证据。</x:v>
      </x:c>
      <x:c r="J56" s="20" t="str">
        <x:v>资料只来自推测或命盘标签。</x:v>
      </x:c>
      <x:c r="K56" s="20" t="str">
        <x:v>由共享基础引擎提供；仅修正修复功能的承载、持续与压力占位，不直接等同是否愿意认错或能否修复。</x:v>
      </x:c>
      <x:c r="L56" s="20" t="str">
        <x:v>由M1／M2提供；夫妻星只说明伴侣原型与关系资格，不单独证明修复能力、修复意愿或修复结果。</x:v>
      </x:c>
      <x:c r="M56" s="20" t="str">
        <x:v>由M3-BASE提供；日支底盘说明亲密关系中自然调用的功能，但不能单独证明修复闭环。</x:v>
      </x:c>
      <x:c r="N56" s="20" t="str">
        <x:v>由M3-CONFLICT、M4-LOOP及现实事件提供；必须区分问题停止、责任承担、影响确认、行动改变、反馈整合与后续回访。</x:v>
      </x:c>
      <x:c r="O56" s="20" t="str">
        <x:v>由共享基础引擎判定；近位提高相关功能进入亲密关系核心的概率，远位只作背景或阶段修正。</x:v>
      </x:c>
      <x:c r="P56" s="20" t="str">
        <x:v>根气只修正某修复功能是否容易重复调用，不等于现实中已经持续改变。</x:v>
      </x:c>
      <x:c r="Q56" s="20" t="str">
        <x:v>旺弱只修正功能调用强度与占位，不直接等同修复质量、诚意或关系结果。</x:v>
      </x:c>
      <x:c r="R56" s="20" t="str">
        <x:v>喜忌只修正功能摩擦、平衡与承载，不直接等同道德、成熟、善恶或是否值得原谅。</x:v>
      </x:c>
      <x:c r="S56" s="20" t="str">
        <x:v>原十神功能有效；真合化成立时按化神功能替换，合化争议时停止定性。</x:v>
      </x:c>
      <x:c r="T56" s="20" t="str">
        <x:v>近位提高修复议题与亲密关系的直接相关性；远位仅保留背景、阶段或低置信修正。</x:v>
      </x:c>
      <x:c r="U56" s="20" t="str">
        <x:v>72</x:v>
      </x:c>
      <x:c r="V56" s="20" t="str">
        <x:v>节点有效＋4；关键节点未知则降级</x:v>
      </x:c>
      <x:c r="W56" s="20" t="str">
        <x:v>repair_nodes</x:v>
      </x:c>
      <x:c r="X56" s="20" t="str">
        <x:v>用户语言应说明已完成什么和仍需确认什么。</x:v>
      </x:c>
      <x:c r="Y56" s="20" t="str">
        <x:v>修复需要落到具体改变：接下来做什么、怎样做，以及如何看见它真的发生。</x:v>
      </x:c>
      <x:c r="Z5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6" s="20" t="str">
        <x:v>中高</x:v>
      </x:c>
      <x:c r="AB56" s="20" t="str">
        <x:v>待验证</x:v>
      </x:c>
      <x:c r="AC56" s="20" t="str"/>
      <x:c r="AD56" s="20" t="str">
        <x:v>provisional=true；M3-REPAIR尚未完成，完成条件为暂定功能模型。</x:v>
      </x:c>
      <x:c r="AE56" s="52" t="str">
        <x:v>0.7</x:v>
      </x:c>
    </x:row>
    <x:row r="57">
      <x:c r="A57" s="51" t="str">
        <x:v>M4-REPAIR-056</x:v>
      </x:c>
      <x:c r="B57" s="20" t="str">
        <x:v>RN06 补救行动与现实调整｜停止与升级</x:v>
      </x:c>
      <x:c r="C57" s="20" t="str">
        <x:v>L1 修复节点与完成任务</x:v>
      </x:c>
      <x:c r="D57" s="20" t="str">
        <x:v>REPAIR-修复节点</x:v>
      </x:c>
      <x:c r="E57" s="20" t="str">
        <x:v>通用</x:v>
      </x:c>
      <x:c r="F57" s="20" t="str">
        <x:v>门控</x:v>
      </x:c>
      <x:c r="G57" s="20" t="str">
        <x:v>RN06</x:v>
      </x:c>
      <x:c r="H57" s="20" t="str"/>
      <x:c r="I57" s="20" t="str">
        <x:v>节点有效并完成source_id／event_id去重；或按规则标记未知。</x:v>
      </x:c>
      <x:c r="J57" s="20" t="str">
        <x:v>关键节点未知却继续发布完整闭环。</x:v>
      </x:c>
      <x:c r="K57" s="20" t="str">
        <x:v>由共享基础引擎提供；仅修正修复功能的承载、持续与压力占位，不直接等同是否愿意认错或能否修复。</x:v>
      </x:c>
      <x:c r="L57" s="20" t="str">
        <x:v>由M1／M2提供；夫妻星只说明伴侣原型与关系资格，不单独证明修复能力、修复意愿或修复结果。</x:v>
      </x:c>
      <x:c r="M57" s="20" t="str">
        <x:v>由M3-BASE提供；日支底盘说明亲密关系中自然调用的功能，但不能单独证明修复闭环。</x:v>
      </x:c>
      <x:c r="N57" s="20" t="str">
        <x:v>由M3-CONFLICT、M4-LOOP及现实事件提供；必须区分问题停止、责任承担、影响确认、行动改变、反馈整合与后续回访。</x:v>
      </x:c>
      <x:c r="O57" s="20" t="str">
        <x:v>由共享基础引擎判定；近位提高相关功能进入亲密关系核心的概率，远位只作背景或阶段修正。</x:v>
      </x:c>
      <x:c r="P57" s="20" t="str">
        <x:v>根气只修正某修复功能是否容易重复调用，不等于现实中已经持续改变。</x:v>
      </x:c>
      <x:c r="Q57" s="20" t="str">
        <x:v>旺弱只修正功能调用强度与占位，不直接等同修复质量、诚意或关系结果。</x:v>
      </x:c>
      <x:c r="R57" s="20" t="str">
        <x:v>喜忌只修正功能摩擦、平衡与承载，不直接等同道德、成熟、善恶或是否值得原谅。</x:v>
      </x:c>
      <x:c r="S57" s="20" t="str">
        <x:v>原十神功能有效；真合化成立时按化神功能替换，合化争议时停止定性。</x:v>
      </x:c>
      <x:c r="T57" s="20" t="str">
        <x:v>近位提高修复议题与亲密关系的直接相关性；远位仅保留背景、阶段或低置信修正。</x:v>
      </x:c>
      <x:c r="U57" s="20" t="str">
        <x:v>88</x:v>
      </x:c>
      <x:c r="V57" s="20" t="str">
        <x:v>节点有效＋4；关键节点未知则降级</x:v>
      </x:c>
      <x:c r="W57" s="20" t="str">
        <x:v>repair_nodes</x:v>
      </x:c>
      <x:c r="X57" s="20" t="str">
        <x:v>RN01、RN03、RN04、RN06、RN07、RN08的必要性取决于事件类型和影响强度；缺失时应降级。</x:v>
      </x:c>
      <x:c r="Y57" s="20" t="str">
        <x:v>关键步骤资料不足时，应停在部分修复或问题结案，而不是补写成完整修复。</x:v>
      </x:c>
      <x:c r="Z5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7" s="20" t="str">
        <x:v>中高</x:v>
      </x:c>
      <x:c r="AB57" s="20" t="str">
        <x:v>待验证</x:v>
      </x:c>
      <x:c r="AC57" s="20" t="str"/>
      <x:c r="AD57" s="20" t="str">
        <x:v>provisional=true；M3-REPAIR尚未完成，完成条件为暂定功能模型。</x:v>
      </x:c>
      <x:c r="AE57" s="52" t="str">
        <x:v>0.7</x:v>
      </x:c>
    </x:row>
    <x:row r="58">
      <x:c r="A58" s="51" t="str">
        <x:v>M4-REPAIR-057</x:v>
      </x:c>
      <x:c r="B58" s="20" t="str">
        <x:v>RN07 接收反馈与二次修正｜节点定义</x:v>
      </x:c>
      <x:c r="C58" s="20" t="str">
        <x:v>L1 修复节点与完成任务</x:v>
      </x:c>
      <x:c r="D58" s="20" t="str">
        <x:v>REPAIR-修复节点</x:v>
      </x:c>
      <x:c r="E58" s="20" t="str">
        <x:v>通用</x:v>
      </x:c>
      <x:c r="F58" s="20" t="str">
        <x:v>定义</x:v>
      </x:c>
      <x:c r="G58" s="20" t="str">
        <x:v>RN07</x:v>
      </x:c>
      <x:c r="H58" s="20" t="str"/>
      <x:c r="I58" s="20" t="str">
        <x:v>接收方对道歉、方案和改变提供反馈，发起方能够据此调整而非要求立即认可。</x:v>
      </x:c>
      <x:c r="J58" s="20" t="str"/>
      <x:c r="K58" s="20" t="str">
        <x:v>由共享基础引擎提供；仅修正修复功能的承载、持续与压力占位，不直接等同是否愿意认错或能否修复。</x:v>
      </x:c>
      <x:c r="L58" s="20" t="str">
        <x:v>由M1／M2提供；夫妻星只说明伴侣原型与关系资格，不单独证明修复能力、修复意愿或修复结果。</x:v>
      </x:c>
      <x:c r="M58" s="20" t="str">
        <x:v>由M3-BASE提供；日支底盘说明亲密关系中自然调用的功能，但不能单独证明修复闭环。</x:v>
      </x:c>
      <x:c r="N58" s="20" t="str">
        <x:v>由M3-CONFLICT、M4-LOOP及现实事件提供；必须区分问题停止、责任承担、影响确认、行动改变、反馈整合与后续回访。</x:v>
      </x:c>
      <x:c r="O58" s="20" t="str">
        <x:v>由共享基础引擎判定；近位提高相关功能进入亲密关系核心的概率，远位只作背景或阶段修正。</x:v>
      </x:c>
      <x:c r="P58" s="20" t="str">
        <x:v>根气只修正某修复功能是否容易重复调用，不等于现实中已经持续改变。</x:v>
      </x:c>
      <x:c r="Q58" s="20" t="str">
        <x:v>旺弱只修正功能调用强度与占位，不直接等同修复质量、诚意或关系结果。</x:v>
      </x:c>
      <x:c r="R58" s="20" t="str">
        <x:v>喜忌只修正功能摩擦、平衡与承载，不直接等同道德、成熟、善恶或是否值得原谅。</x:v>
      </x:c>
      <x:c r="S58" s="20" t="str">
        <x:v>原十神功能有效；真合化成立时按化神功能替换，合化争议时停止定性。</x:v>
      </x:c>
      <x:c r="T58" s="20" t="str">
        <x:v>近位提高修复议题与亲密关系的直接相关性；远位仅保留背景、阶段或低置信修正。</x:v>
      </x:c>
      <x:c r="U58" s="20" t="str">
        <x:v>72</x:v>
      </x:c>
      <x:c r="V58" s="20" t="str">
        <x:v>节点有效＋4；关键节点未知则降级</x:v>
      </x:c>
      <x:c r="W58" s="20" t="str">
        <x:v>repair_nodes</x:v>
      </x:c>
      <x:c r="X58" s="20" t="str">
        <x:v>该节点解决修复链中的一个独立任务，不能被相邻节点自动替代。</x:v>
      </x:c>
      <x:c r="Y58" s="20" t="str">
        <x:v>对方做出补救以后，还要允许你说出哪些部分有效、哪些仍不足，并据此调整。</x:v>
      </x:c>
      <x:c r="Z5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8" s="20" t="str">
        <x:v>中高</x:v>
      </x:c>
      <x:c r="AB58" s="20" t="str">
        <x:v>待验证</x:v>
      </x:c>
      <x:c r="AC58" s="20" t="str"/>
      <x:c r="AD58" s="20" t="str">
        <x:v>provisional=true；M3-REPAIR尚未完成，完成条件为暂定功能模型。</x:v>
      </x:c>
      <x:c r="AE58" s="52" t="str">
        <x:v>0.7</x:v>
      </x:c>
    </x:row>
    <x:row r="59">
      <x:c r="A59" s="51" t="str">
        <x:v>M4-REPAIR-058</x:v>
      </x:c>
      <x:c r="B59" s="20" t="str">
        <x:v>RN07 接收反馈与二次修正｜最低证据</x:v>
      </x:c>
      <x:c r="C59" s="20" t="str">
        <x:v>L1 修复节点与完成任务</x:v>
      </x:c>
      <x:c r="D59" s="20" t="str">
        <x:v>REPAIR-修复节点</x:v>
      </x:c>
      <x:c r="E59" s="20" t="str">
        <x:v>通用</x:v>
      </x:c>
      <x:c r="F59" s="20" t="str">
        <x:v>证据</x:v>
      </x:c>
      <x:c r="G59" s="20" t="str">
        <x:v>RN07</x:v>
      </x:c>
      <x:c r="H59" s="20" t="str"/>
      <x:c r="I59" s="20" t="str">
        <x:v>存在真实反馈、异议、保留意见、接受或拒绝，以及相应的二次调整。</x:v>
      </x:c>
      <x:c r="J59" s="20" t="str">
        <x:v>把沉默当同意，或认为“我已经做了”就无需再听反馈。</x:v>
      </x:c>
      <x:c r="K59" s="20" t="str">
        <x:v>由共享基础引擎提供；仅修正修复功能的承载、持续与压力占位，不直接等同是否愿意认错或能否修复。</x:v>
      </x:c>
      <x:c r="L59" s="20" t="str">
        <x:v>由M1／M2提供；夫妻星只说明伴侣原型与关系资格，不单独证明修复能力、修复意愿或修复结果。</x:v>
      </x:c>
      <x:c r="M59" s="20" t="str">
        <x:v>由M3-BASE提供；日支底盘说明亲密关系中自然调用的功能，但不能单独证明修复闭环。</x:v>
      </x:c>
      <x:c r="N59" s="20" t="str">
        <x:v>由M3-CONFLICT、M4-LOOP及现实事件提供；必须区分问题停止、责任承担、影响确认、行动改变、反馈整合与后续回访。</x:v>
      </x:c>
      <x:c r="O59" s="20" t="str">
        <x:v>由共享基础引擎判定；近位提高相关功能进入亲密关系核心的概率，远位只作背景或阶段修正。</x:v>
      </x:c>
      <x:c r="P59" s="20" t="str">
        <x:v>根气只修正某修复功能是否容易重复调用，不等于现实中已经持续改变。</x:v>
      </x:c>
      <x:c r="Q59" s="20" t="str">
        <x:v>旺弱只修正功能调用强度与占位，不直接等同修复质量、诚意或关系结果。</x:v>
      </x:c>
      <x:c r="R59" s="20" t="str">
        <x:v>喜忌只修正功能摩擦、平衡与承载，不直接等同道德、成熟、善恶或是否值得原谅。</x:v>
      </x:c>
      <x:c r="S59" s="20" t="str">
        <x:v>原十神功能有效；真合化成立时按化神功能替换，合化争议时停止定性。</x:v>
      </x:c>
      <x:c r="T59" s="20" t="str">
        <x:v>近位提高修复议题与亲密关系的直接相关性；远位仅保留背景、阶段或低置信修正。</x:v>
      </x:c>
      <x:c r="U59" s="20" t="str">
        <x:v>88</x:v>
      </x:c>
      <x:c r="V59" s="20" t="str">
        <x:v>节点有效＋4；关键节点未知则降级</x:v>
      </x:c>
      <x:c r="W59" s="20" t="str">
        <x:v>repair_nodes</x:v>
      </x:c>
      <x:c r="X59" s="20" t="str">
        <x:v>最低证据决定该节点能否被标记为有效；资料不足时应写未知。</x:v>
      </x:c>
      <x:c r="Y59" s="20" t="str">
        <x:v>判断这一节点需要具体言语、行动或后续记录，不能只用抽象评价。</x:v>
      </x:c>
      <x:c r="Z5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59" s="20" t="str">
        <x:v>中高</x:v>
      </x:c>
      <x:c r="AB59" s="20" t="str">
        <x:v>待验证</x:v>
      </x:c>
      <x:c r="AC59" s="20" t="str"/>
      <x:c r="AD59" s="20" t="str">
        <x:v>provisional=true；M3-REPAIR尚未完成，完成条件为暂定功能模型。</x:v>
      </x:c>
      <x:c r="AE59" s="52" t="str">
        <x:v>0.7</x:v>
      </x:c>
    </x:row>
    <x:row r="60">
      <x:c r="A60" s="51" t="str">
        <x:v>M4-REPAIR-059</x:v>
      </x:c>
      <x:c r="B60" s="20" t="str">
        <x:v>RN07 接收反馈与二次修正｜功能位置</x:v>
      </x:c>
      <x:c r="C60" s="20" t="str">
        <x:v>L1 修复节点与完成任务</x:v>
      </x:c>
      <x:c r="D60" s="20" t="str">
        <x:v>REPAIR-修复节点</x:v>
      </x:c>
      <x:c r="E60" s="20" t="str">
        <x:v>通用</x:v>
      </x:c>
      <x:c r="F60" s="20" t="str">
        <x:v>路由</x:v>
      </x:c>
      <x:c r="G60" s="20" t="str">
        <x:v>RN07</x:v>
      </x:c>
      <x:c r="H60" s="20" t="str"/>
      <x:c r="I60" s="20" t="str">
        <x:v>该节点与当前事件类型及前后修复任务相匹配。</x:v>
      </x:c>
      <x:c r="J60" s="20" t="str">
        <x:v>节点出现，但与当前核心影响无关。</x:v>
      </x:c>
      <x:c r="K60" s="20" t="str">
        <x:v>由共享基础引擎提供；仅修正修复功能的承载、持续与压力占位，不直接等同是否愿意认错或能否修复。</x:v>
      </x:c>
      <x:c r="L60" s="20" t="str">
        <x:v>由M1／M2提供；夫妻星只说明伴侣原型与关系资格，不单独证明修复能力、修复意愿或修复结果。</x:v>
      </x:c>
      <x:c r="M60" s="20" t="str">
        <x:v>由M3-BASE提供；日支底盘说明亲密关系中自然调用的功能，但不能单独证明修复闭环。</x:v>
      </x:c>
      <x:c r="N60" s="20" t="str">
        <x:v>由M3-CONFLICT、M4-LOOP及现实事件提供；必须区分问题停止、责任承担、影响确认、行动改变、反馈整合与后续回访。</x:v>
      </x:c>
      <x:c r="O60" s="20" t="str">
        <x:v>由共享基础引擎判定；近位提高相关功能进入亲密关系核心的概率，远位只作背景或阶段修正。</x:v>
      </x:c>
      <x:c r="P60" s="20" t="str">
        <x:v>根气只修正某修复功能是否容易重复调用，不等于现实中已经持续改变。</x:v>
      </x:c>
      <x:c r="Q60" s="20" t="str">
        <x:v>旺弱只修正功能调用强度与占位，不直接等同修复质量、诚意或关系结果。</x:v>
      </x:c>
      <x:c r="R60" s="20" t="str">
        <x:v>喜忌只修正功能摩擦、平衡与承载，不直接等同道德、成熟、善恶或是否值得原谅。</x:v>
      </x:c>
      <x:c r="S60" s="20" t="str">
        <x:v>原十神功能有效；真合化成立时按化神功能替换，合化争议时停止定性。</x:v>
      </x:c>
      <x:c r="T60" s="20" t="str">
        <x:v>近位提高修复议题与亲密关系的直接相关性；远位仅保留背景、阶段或低置信修正。</x:v>
      </x:c>
      <x:c r="U60" s="20" t="str">
        <x:v>72</x:v>
      </x:c>
      <x:c r="V60" s="20" t="str">
        <x:v>节点有效＋4；关键节点未知则降级</x:v>
      </x:c>
      <x:c r="W60" s="20" t="str">
        <x:v>repair_nodes</x:v>
      </x:c>
      <x:c r="X60" s="20" t="str">
        <x:v>同一动作在不同事件中可能承担不同功能，需按任务匹配。</x:v>
      </x:c>
      <x:c r="Y60" s="20" t="str">
        <x:v>要看这一步是否真正回应了当前问题，而不只是形式上做了某件事。</x:v>
      </x:c>
      <x:c r="Z6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0" s="20" t="str">
        <x:v>中高</x:v>
      </x:c>
      <x:c r="AB60" s="20" t="str">
        <x:v>待验证</x:v>
      </x:c>
      <x:c r="AC60" s="20" t="str"/>
      <x:c r="AD60" s="20" t="str">
        <x:v>provisional=true；M3-REPAIR尚未完成，完成条件为暂定功能模型。</x:v>
      </x:c>
      <x:c r="AE60" s="52" t="str">
        <x:v>0.7</x:v>
      </x:c>
    </x:row>
    <x:row r="61">
      <x:c r="A61" s="51" t="str">
        <x:v>M4-REPAIR-060</x:v>
      </x:c>
      <x:c r="B61" s="20" t="str">
        <x:v>RN07 接收反馈与二次修正｜常见假完成</x:v>
      </x:c>
      <x:c r="C61" s="20" t="str">
        <x:v>L1 修复节点与完成任务</x:v>
      </x:c>
      <x:c r="D61" s="20" t="str">
        <x:v>REPAIR-修复节点</x:v>
      </x:c>
      <x:c r="E61" s="20" t="str">
        <x:v>通用</x:v>
      </x:c>
      <x:c r="F61" s="20" t="str">
        <x:v>边界</x:v>
      </x:c>
      <x:c r="G61" s="20" t="str">
        <x:v>RN07</x:v>
      </x:c>
      <x:c r="H61" s="20" t="str"/>
      <x:c r="I61" s="20" t="str">
        <x:v>能够区分该节点本身与“修复全部完成”。</x:v>
      </x:c>
      <x:c r="J61" s="20" t="str">
        <x:v>把沉默当同意，或认为“我已经做了”就无需再听反馈。</x:v>
      </x:c>
      <x:c r="K61" s="20" t="str">
        <x:v>由共享基础引擎提供；仅修正修复功能的承载、持续与压力占位，不直接等同是否愿意认错或能否修复。</x:v>
      </x:c>
      <x:c r="L61" s="20" t="str">
        <x:v>由M1／M2提供；夫妻星只说明伴侣原型与关系资格，不单独证明修复能力、修复意愿或修复结果。</x:v>
      </x:c>
      <x:c r="M61" s="20" t="str">
        <x:v>由M3-BASE提供；日支底盘说明亲密关系中自然调用的功能，但不能单独证明修复闭环。</x:v>
      </x:c>
      <x:c r="N61" s="20" t="str">
        <x:v>由M3-CONFLICT、M4-LOOP及现实事件提供；必须区分问题停止、责任承担、影响确认、行动改变、反馈整合与后续回访。</x:v>
      </x:c>
      <x:c r="O61" s="20" t="str">
        <x:v>由共享基础引擎判定；近位提高相关功能进入亲密关系核心的概率，远位只作背景或阶段修正。</x:v>
      </x:c>
      <x:c r="P61" s="20" t="str">
        <x:v>根气只修正某修复功能是否容易重复调用，不等于现实中已经持续改变。</x:v>
      </x:c>
      <x:c r="Q61" s="20" t="str">
        <x:v>旺弱只修正功能调用强度与占位，不直接等同修复质量、诚意或关系结果。</x:v>
      </x:c>
      <x:c r="R61" s="20" t="str">
        <x:v>喜忌只修正功能摩擦、平衡与承载，不直接等同道德、成熟、善恶或是否值得原谅。</x:v>
      </x:c>
      <x:c r="S61" s="20" t="str">
        <x:v>原十神功能有效；真合化成立时按化神功能替换，合化争议时停止定性。</x:v>
      </x:c>
      <x:c r="T61" s="20" t="str">
        <x:v>近位提高修复议题与亲密关系的直接相关性；远位仅保留背景、阶段或低置信修正。</x:v>
      </x:c>
      <x:c r="U61" s="20" t="str">
        <x:v>72</x:v>
      </x:c>
      <x:c r="V61" s="20" t="str">
        <x:v>节点有效＋4；关键节点未知则降级</x:v>
      </x:c>
      <x:c r="W61" s="20" t="str">
        <x:v>repair_nodes</x:v>
      </x:c>
      <x:c r="X61" s="20" t="str">
        <x:v>任何一个节点出现，都不能单独代表完整修复。</x:v>
      </x:c>
      <x:c r="Y61" s="20" t="str">
        <x:v>这一部分完成了，不代表其他修复步骤也已经自动完成。</x:v>
      </x:c>
      <x:c r="Z6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1" s="20" t="str">
        <x:v>中高</x:v>
      </x:c>
      <x:c r="AB61" s="20" t="str">
        <x:v>待验证</x:v>
      </x:c>
      <x:c r="AC61" s="20" t="str"/>
      <x:c r="AD61" s="20" t="str">
        <x:v>provisional=true；M3-REPAIR尚未完成，完成条件为暂定功能模型。</x:v>
      </x:c>
      <x:c r="AE61" s="52" t="str">
        <x:v>0.7</x:v>
      </x:c>
    </x:row>
    <x:row r="62">
      <x:c r="A62" s="51" t="str">
        <x:v>M4-REPAIR-061</x:v>
      </x:c>
      <x:c r="B62" s="20" t="str">
        <x:v>RN07 接收反馈与二次修正｜用户解释</x:v>
      </x:c>
      <x:c r="C62" s="20" t="str">
        <x:v>L1 修复节点与完成任务</x:v>
      </x:c>
      <x:c r="D62" s="20" t="str">
        <x:v>REPAIR-修复节点</x:v>
      </x:c>
      <x:c r="E62" s="20" t="str">
        <x:v>通用</x:v>
      </x:c>
      <x:c r="F62" s="20" t="str">
        <x:v>输出</x:v>
      </x:c>
      <x:c r="G62" s="20" t="str">
        <x:v>RN07</x:v>
      </x:c>
      <x:c r="H62" s="20" t="str"/>
      <x:c r="I62" s="20" t="str">
        <x:v>该节点在现实事件中有明确证据。</x:v>
      </x:c>
      <x:c r="J62" s="20" t="str">
        <x:v>资料只来自推测或命盘标签。</x:v>
      </x:c>
      <x:c r="K62" s="20" t="str">
        <x:v>由共享基础引擎提供；仅修正修复功能的承载、持续与压力占位，不直接等同是否愿意认错或能否修复。</x:v>
      </x:c>
      <x:c r="L62" s="20" t="str">
        <x:v>由M1／M2提供；夫妻星只说明伴侣原型与关系资格，不单独证明修复能力、修复意愿或修复结果。</x:v>
      </x:c>
      <x:c r="M62" s="20" t="str">
        <x:v>由M3-BASE提供；日支底盘说明亲密关系中自然调用的功能，但不能单独证明修复闭环。</x:v>
      </x:c>
      <x:c r="N62" s="20" t="str">
        <x:v>由M3-CONFLICT、M4-LOOP及现实事件提供；必须区分问题停止、责任承担、影响确认、行动改变、反馈整合与后续回访。</x:v>
      </x:c>
      <x:c r="O62" s="20" t="str">
        <x:v>由共享基础引擎判定；近位提高相关功能进入亲密关系核心的概率，远位只作背景或阶段修正。</x:v>
      </x:c>
      <x:c r="P62" s="20" t="str">
        <x:v>根气只修正某修复功能是否容易重复调用，不等于现实中已经持续改变。</x:v>
      </x:c>
      <x:c r="Q62" s="20" t="str">
        <x:v>旺弱只修正功能调用强度与占位，不直接等同修复质量、诚意或关系结果。</x:v>
      </x:c>
      <x:c r="R62" s="20" t="str">
        <x:v>喜忌只修正功能摩擦、平衡与承载，不直接等同道德、成熟、善恶或是否值得原谅。</x:v>
      </x:c>
      <x:c r="S62" s="20" t="str">
        <x:v>原十神功能有效；真合化成立时按化神功能替换，合化争议时停止定性。</x:v>
      </x:c>
      <x:c r="T62" s="20" t="str">
        <x:v>近位提高修复议题与亲密关系的直接相关性；远位仅保留背景、阶段或低置信修正。</x:v>
      </x:c>
      <x:c r="U62" s="20" t="str">
        <x:v>72</x:v>
      </x:c>
      <x:c r="V62" s="20" t="str">
        <x:v>节点有效＋4；关键节点未知则降级</x:v>
      </x:c>
      <x:c r="W62" s="20" t="str">
        <x:v>repair_nodes</x:v>
      </x:c>
      <x:c r="X62" s="20" t="str">
        <x:v>用户语言应说明已完成什么和仍需确认什么。</x:v>
      </x:c>
      <x:c r="Y62" s="20" t="str">
        <x:v>对方做出补救以后，还要允许你说出哪些部分有效、哪些仍不足，并据此调整。</x:v>
      </x:c>
      <x:c r="Z6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2" s="20" t="str">
        <x:v>中高</x:v>
      </x:c>
      <x:c r="AB62" s="20" t="str">
        <x:v>待验证</x:v>
      </x:c>
      <x:c r="AC62" s="20" t="str"/>
      <x:c r="AD62" s="20" t="str">
        <x:v>provisional=true；M3-REPAIR尚未完成，完成条件为暂定功能模型。</x:v>
      </x:c>
      <x:c r="AE62" s="52" t="str">
        <x:v>0.7</x:v>
      </x:c>
    </x:row>
    <x:row r="63">
      <x:c r="A63" s="51" t="str">
        <x:v>M4-REPAIR-062</x:v>
      </x:c>
      <x:c r="B63" s="20" t="str">
        <x:v>RN07 接收反馈与二次修正｜停止与升级</x:v>
      </x:c>
      <x:c r="C63" s="20" t="str">
        <x:v>L1 修复节点与完成任务</x:v>
      </x:c>
      <x:c r="D63" s="20" t="str">
        <x:v>REPAIR-修复节点</x:v>
      </x:c>
      <x:c r="E63" s="20" t="str">
        <x:v>通用</x:v>
      </x:c>
      <x:c r="F63" s="20" t="str">
        <x:v>门控</x:v>
      </x:c>
      <x:c r="G63" s="20" t="str">
        <x:v>RN07</x:v>
      </x:c>
      <x:c r="H63" s="20" t="str"/>
      <x:c r="I63" s="20" t="str">
        <x:v>节点有效并完成source_id／event_id去重；或按规则标记未知。</x:v>
      </x:c>
      <x:c r="J63" s="20" t="str">
        <x:v>关键节点未知却继续发布完整闭环。</x:v>
      </x:c>
      <x:c r="K63" s="20" t="str">
        <x:v>由共享基础引擎提供；仅修正修复功能的承载、持续与压力占位，不直接等同是否愿意认错或能否修复。</x:v>
      </x:c>
      <x:c r="L63" s="20" t="str">
        <x:v>由M1／M2提供；夫妻星只说明伴侣原型与关系资格，不单独证明修复能力、修复意愿或修复结果。</x:v>
      </x:c>
      <x:c r="M63" s="20" t="str">
        <x:v>由M3-BASE提供；日支底盘说明亲密关系中自然调用的功能，但不能单独证明修复闭环。</x:v>
      </x:c>
      <x:c r="N63" s="20" t="str">
        <x:v>由M3-CONFLICT、M4-LOOP及现实事件提供；必须区分问题停止、责任承担、影响确认、行动改变、反馈整合与后续回访。</x:v>
      </x:c>
      <x:c r="O63" s="20" t="str">
        <x:v>由共享基础引擎判定；近位提高相关功能进入亲密关系核心的概率，远位只作背景或阶段修正。</x:v>
      </x:c>
      <x:c r="P63" s="20" t="str">
        <x:v>根气只修正某修复功能是否容易重复调用，不等于现实中已经持续改变。</x:v>
      </x:c>
      <x:c r="Q63" s="20" t="str">
        <x:v>旺弱只修正功能调用强度与占位，不直接等同修复质量、诚意或关系结果。</x:v>
      </x:c>
      <x:c r="R63" s="20" t="str">
        <x:v>喜忌只修正功能摩擦、平衡与承载，不直接等同道德、成熟、善恶或是否值得原谅。</x:v>
      </x:c>
      <x:c r="S63" s="20" t="str">
        <x:v>原十神功能有效；真合化成立时按化神功能替换，合化争议时停止定性。</x:v>
      </x:c>
      <x:c r="T63" s="20" t="str">
        <x:v>近位提高修复议题与亲密关系的直接相关性；远位仅保留背景、阶段或低置信修正。</x:v>
      </x:c>
      <x:c r="U63" s="20" t="str">
        <x:v>88</x:v>
      </x:c>
      <x:c r="V63" s="20" t="str">
        <x:v>节点有效＋4；关键节点未知则降级</x:v>
      </x:c>
      <x:c r="W63" s="20" t="str">
        <x:v>repair_nodes</x:v>
      </x:c>
      <x:c r="X63" s="20" t="str">
        <x:v>RN01、RN03、RN04、RN06、RN07、RN08的必要性取决于事件类型和影响强度；缺失时应降级。</x:v>
      </x:c>
      <x:c r="Y63" s="20" t="str">
        <x:v>关键步骤资料不足时，应停在部分修复或问题结案，而不是补写成完整修复。</x:v>
      </x:c>
      <x:c r="Z6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3" s="20" t="str">
        <x:v>中高</x:v>
      </x:c>
      <x:c r="AB63" s="20" t="str">
        <x:v>待验证</x:v>
      </x:c>
      <x:c r="AC63" s="20" t="str"/>
      <x:c r="AD63" s="20" t="str">
        <x:v>provisional=true；M3-REPAIR尚未完成，完成条件为暂定功能模型。</x:v>
      </x:c>
      <x:c r="AE63" s="52" t="str">
        <x:v>0.7</x:v>
      </x:c>
    </x:row>
    <x:row r="64">
      <x:c r="A64" s="51" t="str">
        <x:v>M4-REPAIR-063</x:v>
      </x:c>
      <x:c r="B64" s="20" t="str">
        <x:v>RN08 持续兑现、回访与重新开放｜节点定义</x:v>
      </x:c>
      <x:c r="C64" s="20" t="str">
        <x:v>L1 修复节点与完成任务</x:v>
      </x:c>
      <x:c r="D64" s="20" t="str">
        <x:v>REPAIR-修复节点</x:v>
      </x:c>
      <x:c r="E64" s="20" t="str">
        <x:v>通用</x:v>
      </x:c>
      <x:c r="F64" s="20" t="str">
        <x:v>定义</x:v>
      </x:c>
      <x:c r="G64" s="20" t="str">
        <x:v>RN08</x:v>
      </x:c>
      <x:c r="H64" s="20" t="str"/>
      <x:c r="I64" s="20" t="str">
        <x:v>在时间和相似情境中观察改变是否持续，并在适当时回访信任、合作或亲密是否恢复。</x:v>
      </x:c>
      <x:c r="J64" s="20" t="str"/>
      <x:c r="K64" s="20" t="str">
        <x:v>由共享基础引擎提供；仅修正修复功能的承载、持续与压力占位，不直接等同是否愿意认错或能否修复。</x:v>
      </x:c>
      <x:c r="L64" s="20" t="str">
        <x:v>由M1／M2提供；夫妻星只说明伴侣原型与关系资格，不单独证明修复能力、修复意愿或修复结果。</x:v>
      </x:c>
      <x:c r="M64" s="20" t="str">
        <x:v>由M3-BASE提供；日支底盘说明亲密关系中自然调用的功能，但不能单独证明修复闭环。</x:v>
      </x:c>
      <x:c r="N64" s="20" t="str">
        <x:v>由M3-CONFLICT、M4-LOOP及现实事件提供；必须区分问题停止、责任承担、影响确认、行动改变、反馈整合与后续回访。</x:v>
      </x:c>
      <x:c r="O64" s="20" t="str">
        <x:v>由共享基础引擎判定；近位提高相关功能进入亲密关系核心的概率，远位只作背景或阶段修正。</x:v>
      </x:c>
      <x:c r="P64" s="20" t="str">
        <x:v>根气只修正某修复功能是否容易重复调用，不等于现实中已经持续改变。</x:v>
      </x:c>
      <x:c r="Q64" s="20" t="str">
        <x:v>旺弱只修正功能调用强度与占位，不直接等同修复质量、诚意或关系结果。</x:v>
      </x:c>
      <x:c r="R64" s="20" t="str">
        <x:v>喜忌只修正功能摩擦、平衡与承载，不直接等同道德、成熟、善恶或是否值得原谅。</x:v>
      </x:c>
      <x:c r="S64" s="20" t="str">
        <x:v>原十神功能有效；真合化成立时按化神功能替换，合化争议时停止定性。</x:v>
      </x:c>
      <x:c r="T64" s="20" t="str">
        <x:v>近位提高修复议题与亲密关系的直接相关性；远位仅保留背景、阶段或低置信修正。</x:v>
      </x:c>
      <x:c r="U64" s="20" t="str">
        <x:v>72</x:v>
      </x:c>
      <x:c r="V64" s="20" t="str">
        <x:v>节点有效＋4；关键节点未知则降级</x:v>
      </x:c>
      <x:c r="W64" s="20" t="str">
        <x:v>repair_nodes</x:v>
      </x:c>
      <x:c r="X64" s="20" t="str">
        <x:v>该节点解决修复链中的一个独立任务，不能被相邻节点自动替代。</x:v>
      </x:c>
      <x:c r="Y64" s="20" t="str">
        <x:v>真正完成修复需要时间：改变要持续，双方还要回访这件事是否真的不同了。</x:v>
      </x:c>
      <x:c r="Z6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4" s="20" t="str">
        <x:v>中高</x:v>
      </x:c>
      <x:c r="AB64" s="20" t="str">
        <x:v>待验证</x:v>
      </x:c>
      <x:c r="AC64" s="20" t="str"/>
      <x:c r="AD64" s="20" t="str">
        <x:v>provisional=true；M3-REPAIR尚未完成，完成条件为暂定功能模型。</x:v>
      </x:c>
      <x:c r="AE64" s="52" t="str">
        <x:v>0.7</x:v>
      </x:c>
    </x:row>
    <x:row r="65">
      <x:c r="A65" s="51" t="str">
        <x:v>M4-REPAIR-064</x:v>
      </x:c>
      <x:c r="B65" s="20" t="str">
        <x:v>RN08 持续兑现、回访与重新开放｜最低证据</x:v>
      </x:c>
      <x:c r="C65" s="20" t="str">
        <x:v>L1 修复节点与完成任务</x:v>
      </x:c>
      <x:c r="D65" s="20" t="str">
        <x:v>REPAIR-修复节点</x:v>
      </x:c>
      <x:c r="E65" s="20" t="str">
        <x:v>通用</x:v>
      </x:c>
      <x:c r="F65" s="20" t="str">
        <x:v>证据</x:v>
      </x:c>
      <x:c r="G65" s="20" t="str">
        <x:v>RN08</x:v>
      </x:c>
      <x:c r="H65" s="20" t="str"/>
      <x:c r="I65" s="20" t="str">
        <x:v>至少有后续回访、重复兑现、跨情境表现或对复发的复盘。</x:v>
      </x:c>
      <x:c r="J65" s="20" t="str">
        <x:v>一次好转后不再确认，或要求关系立即恢复原状。</x:v>
      </x:c>
      <x:c r="K65" s="20" t="str">
        <x:v>由共享基础引擎提供；仅修正修复功能的承载、持续与压力占位，不直接等同是否愿意认错或能否修复。</x:v>
      </x:c>
      <x:c r="L65" s="20" t="str">
        <x:v>由M1／M2提供；夫妻星只说明伴侣原型与关系资格，不单独证明修复能力、修复意愿或修复结果。</x:v>
      </x:c>
      <x:c r="M65" s="20" t="str">
        <x:v>由M3-BASE提供；日支底盘说明亲密关系中自然调用的功能，但不能单独证明修复闭环。</x:v>
      </x:c>
      <x:c r="N65" s="20" t="str">
        <x:v>由M3-CONFLICT、M4-LOOP及现实事件提供；必须区分问题停止、责任承担、影响确认、行动改变、反馈整合与后续回访。</x:v>
      </x:c>
      <x:c r="O65" s="20" t="str">
        <x:v>由共享基础引擎判定；近位提高相关功能进入亲密关系核心的概率，远位只作背景或阶段修正。</x:v>
      </x:c>
      <x:c r="P65" s="20" t="str">
        <x:v>根气只修正某修复功能是否容易重复调用，不等于现实中已经持续改变。</x:v>
      </x:c>
      <x:c r="Q65" s="20" t="str">
        <x:v>旺弱只修正功能调用强度与占位，不直接等同修复质量、诚意或关系结果。</x:v>
      </x:c>
      <x:c r="R65" s="20" t="str">
        <x:v>喜忌只修正功能摩擦、平衡与承载，不直接等同道德、成熟、善恶或是否值得原谅。</x:v>
      </x:c>
      <x:c r="S65" s="20" t="str">
        <x:v>原十神功能有效；真合化成立时按化神功能替换，合化争议时停止定性。</x:v>
      </x:c>
      <x:c r="T65" s="20" t="str">
        <x:v>近位提高修复议题与亲密关系的直接相关性；远位仅保留背景、阶段或低置信修正。</x:v>
      </x:c>
      <x:c r="U65" s="20" t="str">
        <x:v>88</x:v>
      </x:c>
      <x:c r="V65" s="20" t="str">
        <x:v>节点有效＋4；关键节点未知则降级</x:v>
      </x:c>
      <x:c r="W65" s="20" t="str">
        <x:v>repair_nodes</x:v>
      </x:c>
      <x:c r="X65" s="20" t="str">
        <x:v>最低证据决定该节点能否被标记为有效；资料不足时应写未知。</x:v>
      </x:c>
      <x:c r="Y65" s="20" t="str">
        <x:v>判断这一节点需要具体言语、行动或后续记录，不能只用抽象评价。</x:v>
      </x:c>
      <x:c r="Z6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5" s="20" t="str">
        <x:v>中高</x:v>
      </x:c>
      <x:c r="AB65" s="20" t="str">
        <x:v>待验证</x:v>
      </x:c>
      <x:c r="AC65" s="20" t="str"/>
      <x:c r="AD65" s="20" t="str">
        <x:v>provisional=true；M3-REPAIR尚未完成，完成条件为暂定功能模型。</x:v>
      </x:c>
      <x:c r="AE65" s="52" t="str">
        <x:v>0.7</x:v>
      </x:c>
    </x:row>
    <x:row r="66">
      <x:c r="A66" s="51" t="str">
        <x:v>M4-REPAIR-065</x:v>
      </x:c>
      <x:c r="B66" s="20" t="str">
        <x:v>RN08 持续兑现、回访与重新开放｜功能位置</x:v>
      </x:c>
      <x:c r="C66" s="20" t="str">
        <x:v>L1 修复节点与完成任务</x:v>
      </x:c>
      <x:c r="D66" s="20" t="str">
        <x:v>REPAIR-修复节点</x:v>
      </x:c>
      <x:c r="E66" s="20" t="str">
        <x:v>通用</x:v>
      </x:c>
      <x:c r="F66" s="20" t="str">
        <x:v>路由</x:v>
      </x:c>
      <x:c r="G66" s="20" t="str">
        <x:v>RN08</x:v>
      </x:c>
      <x:c r="H66" s="20" t="str"/>
      <x:c r="I66" s="20" t="str">
        <x:v>该节点与当前事件类型及前后修复任务相匹配。</x:v>
      </x:c>
      <x:c r="J66" s="20" t="str">
        <x:v>节点出现，但与当前核心影响无关。</x:v>
      </x:c>
      <x:c r="K66" s="20" t="str">
        <x:v>由共享基础引擎提供；仅修正修复功能的承载、持续与压力占位，不直接等同是否愿意认错或能否修复。</x:v>
      </x:c>
      <x:c r="L66" s="20" t="str">
        <x:v>由M1／M2提供；夫妻星只说明伴侣原型与关系资格，不单独证明修复能力、修复意愿或修复结果。</x:v>
      </x:c>
      <x:c r="M66" s="20" t="str">
        <x:v>由M3-BASE提供；日支底盘说明亲密关系中自然调用的功能，但不能单独证明修复闭环。</x:v>
      </x:c>
      <x:c r="N66" s="20" t="str">
        <x:v>由M3-CONFLICT、M4-LOOP及现实事件提供；必须区分问题停止、责任承担、影响确认、行动改变、反馈整合与后续回访。</x:v>
      </x:c>
      <x:c r="O66" s="20" t="str">
        <x:v>由共享基础引擎判定；近位提高相关功能进入亲密关系核心的概率，远位只作背景或阶段修正。</x:v>
      </x:c>
      <x:c r="P66" s="20" t="str">
        <x:v>根气只修正某修复功能是否容易重复调用，不等于现实中已经持续改变。</x:v>
      </x:c>
      <x:c r="Q66" s="20" t="str">
        <x:v>旺弱只修正功能调用强度与占位，不直接等同修复质量、诚意或关系结果。</x:v>
      </x:c>
      <x:c r="R66" s="20" t="str">
        <x:v>喜忌只修正功能摩擦、平衡与承载，不直接等同道德、成熟、善恶或是否值得原谅。</x:v>
      </x:c>
      <x:c r="S66" s="20" t="str">
        <x:v>原十神功能有效；真合化成立时按化神功能替换，合化争议时停止定性。</x:v>
      </x:c>
      <x:c r="T66" s="20" t="str">
        <x:v>近位提高修复议题与亲密关系的直接相关性；远位仅保留背景、阶段或低置信修正。</x:v>
      </x:c>
      <x:c r="U66" s="20" t="str">
        <x:v>72</x:v>
      </x:c>
      <x:c r="V66" s="20" t="str">
        <x:v>节点有效＋4；关键节点未知则降级</x:v>
      </x:c>
      <x:c r="W66" s="20" t="str">
        <x:v>repair_nodes</x:v>
      </x:c>
      <x:c r="X66" s="20" t="str">
        <x:v>同一动作在不同事件中可能承担不同功能，需按任务匹配。</x:v>
      </x:c>
      <x:c r="Y66" s="20" t="str">
        <x:v>要看这一步是否真正回应了当前问题，而不只是形式上做了某件事。</x:v>
      </x:c>
      <x:c r="Z6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6" s="20" t="str">
        <x:v>中高</x:v>
      </x:c>
      <x:c r="AB66" s="20" t="str">
        <x:v>待验证</x:v>
      </x:c>
      <x:c r="AC66" s="20" t="str"/>
      <x:c r="AD66" s="20" t="str">
        <x:v>provisional=true；M3-REPAIR尚未完成，完成条件为暂定功能模型。</x:v>
      </x:c>
      <x:c r="AE66" s="52" t="str">
        <x:v>0.7</x:v>
      </x:c>
    </x:row>
    <x:row r="67">
      <x:c r="A67" s="51" t="str">
        <x:v>M4-REPAIR-066</x:v>
      </x:c>
      <x:c r="B67" s="20" t="str">
        <x:v>RN08 持续兑现、回访与重新开放｜常见假完成</x:v>
      </x:c>
      <x:c r="C67" s="20" t="str">
        <x:v>L1 修复节点与完成任务</x:v>
      </x:c>
      <x:c r="D67" s="20" t="str">
        <x:v>REPAIR-修复节点</x:v>
      </x:c>
      <x:c r="E67" s="20" t="str">
        <x:v>通用</x:v>
      </x:c>
      <x:c r="F67" s="20" t="str">
        <x:v>边界</x:v>
      </x:c>
      <x:c r="G67" s="20" t="str">
        <x:v>RN08</x:v>
      </x:c>
      <x:c r="H67" s="20" t="str"/>
      <x:c r="I67" s="20" t="str">
        <x:v>能够区分该节点本身与“修复全部完成”。</x:v>
      </x:c>
      <x:c r="J67" s="20" t="str">
        <x:v>一次好转后不再确认，或要求关系立即恢复原状。</x:v>
      </x:c>
      <x:c r="K67" s="20" t="str">
        <x:v>由共享基础引擎提供；仅修正修复功能的承载、持续与压力占位，不直接等同是否愿意认错或能否修复。</x:v>
      </x:c>
      <x:c r="L67" s="20" t="str">
        <x:v>由M1／M2提供；夫妻星只说明伴侣原型与关系资格，不单独证明修复能力、修复意愿或修复结果。</x:v>
      </x:c>
      <x:c r="M67" s="20" t="str">
        <x:v>由M3-BASE提供；日支底盘说明亲密关系中自然调用的功能，但不能单独证明修复闭环。</x:v>
      </x:c>
      <x:c r="N67" s="20" t="str">
        <x:v>由M3-CONFLICT、M4-LOOP及现实事件提供；必须区分问题停止、责任承担、影响确认、行动改变、反馈整合与后续回访。</x:v>
      </x:c>
      <x:c r="O67" s="20" t="str">
        <x:v>由共享基础引擎判定；近位提高相关功能进入亲密关系核心的概率，远位只作背景或阶段修正。</x:v>
      </x:c>
      <x:c r="P67" s="20" t="str">
        <x:v>根气只修正某修复功能是否容易重复调用，不等于现实中已经持续改变。</x:v>
      </x:c>
      <x:c r="Q67" s="20" t="str">
        <x:v>旺弱只修正功能调用强度与占位，不直接等同修复质量、诚意或关系结果。</x:v>
      </x:c>
      <x:c r="R67" s="20" t="str">
        <x:v>喜忌只修正功能摩擦、平衡与承载，不直接等同道德、成熟、善恶或是否值得原谅。</x:v>
      </x:c>
      <x:c r="S67" s="20" t="str">
        <x:v>原十神功能有效；真合化成立时按化神功能替换，合化争议时停止定性。</x:v>
      </x:c>
      <x:c r="T67" s="20" t="str">
        <x:v>近位提高修复议题与亲密关系的直接相关性；远位仅保留背景、阶段或低置信修正。</x:v>
      </x:c>
      <x:c r="U67" s="20" t="str">
        <x:v>72</x:v>
      </x:c>
      <x:c r="V67" s="20" t="str">
        <x:v>节点有效＋4；关键节点未知则降级</x:v>
      </x:c>
      <x:c r="W67" s="20" t="str">
        <x:v>repair_nodes</x:v>
      </x:c>
      <x:c r="X67" s="20" t="str">
        <x:v>任何一个节点出现，都不能单独代表完整修复。</x:v>
      </x:c>
      <x:c r="Y67" s="20" t="str">
        <x:v>这一部分完成了，不代表其他修复步骤也已经自动完成。</x:v>
      </x:c>
      <x:c r="Z6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7" s="20" t="str">
        <x:v>中高</x:v>
      </x:c>
      <x:c r="AB67" s="20" t="str">
        <x:v>待验证</x:v>
      </x:c>
      <x:c r="AC67" s="20" t="str"/>
      <x:c r="AD67" s="20" t="str">
        <x:v>provisional=true；M3-REPAIR尚未完成，完成条件为暂定功能模型。</x:v>
      </x:c>
      <x:c r="AE67" s="52" t="str">
        <x:v>0.7</x:v>
      </x:c>
    </x:row>
    <x:row r="68">
      <x:c r="A68" s="51" t="str">
        <x:v>M4-REPAIR-067</x:v>
      </x:c>
      <x:c r="B68" s="20" t="str">
        <x:v>RN08 持续兑现、回访与重新开放｜用户解释</x:v>
      </x:c>
      <x:c r="C68" s="20" t="str">
        <x:v>L1 修复节点与完成任务</x:v>
      </x:c>
      <x:c r="D68" s="20" t="str">
        <x:v>REPAIR-修复节点</x:v>
      </x:c>
      <x:c r="E68" s="20" t="str">
        <x:v>通用</x:v>
      </x:c>
      <x:c r="F68" s="20" t="str">
        <x:v>输出</x:v>
      </x:c>
      <x:c r="G68" s="20" t="str">
        <x:v>RN08</x:v>
      </x:c>
      <x:c r="H68" s="20" t="str"/>
      <x:c r="I68" s="20" t="str">
        <x:v>该节点在现实事件中有明确证据。</x:v>
      </x:c>
      <x:c r="J68" s="20" t="str">
        <x:v>资料只来自推测或命盘标签。</x:v>
      </x:c>
      <x:c r="K68" s="20" t="str">
        <x:v>由共享基础引擎提供；仅修正修复功能的承载、持续与压力占位，不直接等同是否愿意认错或能否修复。</x:v>
      </x:c>
      <x:c r="L68" s="20" t="str">
        <x:v>由M1／M2提供；夫妻星只说明伴侣原型与关系资格，不单独证明修复能力、修复意愿或修复结果。</x:v>
      </x:c>
      <x:c r="M68" s="20" t="str">
        <x:v>由M3-BASE提供；日支底盘说明亲密关系中自然调用的功能，但不能单独证明修复闭环。</x:v>
      </x:c>
      <x:c r="N68" s="20" t="str">
        <x:v>由M3-CONFLICT、M4-LOOP及现实事件提供；必须区分问题停止、责任承担、影响确认、行动改变、反馈整合与后续回访。</x:v>
      </x:c>
      <x:c r="O68" s="20" t="str">
        <x:v>由共享基础引擎判定；近位提高相关功能进入亲密关系核心的概率，远位只作背景或阶段修正。</x:v>
      </x:c>
      <x:c r="P68" s="20" t="str">
        <x:v>根气只修正某修复功能是否容易重复调用，不等于现实中已经持续改变。</x:v>
      </x:c>
      <x:c r="Q68" s="20" t="str">
        <x:v>旺弱只修正功能调用强度与占位，不直接等同修复质量、诚意或关系结果。</x:v>
      </x:c>
      <x:c r="R68" s="20" t="str">
        <x:v>喜忌只修正功能摩擦、平衡与承载，不直接等同道德、成熟、善恶或是否值得原谅。</x:v>
      </x:c>
      <x:c r="S68" s="20" t="str">
        <x:v>原十神功能有效；真合化成立时按化神功能替换，合化争议时停止定性。</x:v>
      </x:c>
      <x:c r="T68" s="20" t="str">
        <x:v>近位提高修复议题与亲密关系的直接相关性；远位仅保留背景、阶段或低置信修正。</x:v>
      </x:c>
      <x:c r="U68" s="20" t="str">
        <x:v>72</x:v>
      </x:c>
      <x:c r="V68" s="20" t="str">
        <x:v>节点有效＋4；关键节点未知则降级</x:v>
      </x:c>
      <x:c r="W68" s="20" t="str">
        <x:v>repair_nodes</x:v>
      </x:c>
      <x:c r="X68" s="20" t="str">
        <x:v>用户语言应说明已完成什么和仍需确认什么。</x:v>
      </x:c>
      <x:c r="Y68" s="20" t="str">
        <x:v>真正完成修复需要时间：改变要持续，双方还要回访这件事是否真的不同了。</x:v>
      </x:c>
      <x:c r="Z6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8" s="20" t="str">
        <x:v>中高</x:v>
      </x:c>
      <x:c r="AB68" s="20" t="str">
        <x:v>待验证</x:v>
      </x:c>
      <x:c r="AC68" s="20" t="str"/>
      <x:c r="AD68" s="20" t="str">
        <x:v>provisional=true；M3-REPAIR尚未完成，完成条件为暂定功能模型。</x:v>
      </x:c>
      <x:c r="AE68" s="52" t="str">
        <x:v>0.7</x:v>
      </x:c>
    </x:row>
    <x:row r="69">
      <x:c r="A69" s="51" t="str">
        <x:v>M4-REPAIR-068</x:v>
      </x:c>
      <x:c r="B69" s="20" t="str">
        <x:v>RN08 持续兑现、回访与重新开放｜停止与升级</x:v>
      </x:c>
      <x:c r="C69" s="20" t="str">
        <x:v>L1 修复节点与完成任务</x:v>
      </x:c>
      <x:c r="D69" s="20" t="str">
        <x:v>REPAIR-修复节点</x:v>
      </x:c>
      <x:c r="E69" s="20" t="str">
        <x:v>通用</x:v>
      </x:c>
      <x:c r="F69" s="20" t="str">
        <x:v>门控</x:v>
      </x:c>
      <x:c r="G69" s="20" t="str">
        <x:v>RN08</x:v>
      </x:c>
      <x:c r="H69" s="20" t="str"/>
      <x:c r="I69" s="20" t="str">
        <x:v>节点有效并完成source_id／event_id去重；或按规则标记未知。</x:v>
      </x:c>
      <x:c r="J69" s="20" t="str">
        <x:v>关键节点未知却继续发布完整闭环。</x:v>
      </x:c>
      <x:c r="K69" s="20" t="str">
        <x:v>由共享基础引擎提供；仅修正修复功能的承载、持续与压力占位，不直接等同是否愿意认错或能否修复。</x:v>
      </x:c>
      <x:c r="L69" s="20" t="str">
        <x:v>由M1／M2提供；夫妻星只说明伴侣原型与关系资格，不单独证明修复能力、修复意愿或修复结果。</x:v>
      </x:c>
      <x:c r="M69" s="20" t="str">
        <x:v>由M3-BASE提供；日支底盘说明亲密关系中自然调用的功能，但不能单独证明修复闭环。</x:v>
      </x:c>
      <x:c r="N69" s="20" t="str">
        <x:v>由M3-CONFLICT、M4-LOOP及现实事件提供；必须区分问题停止、责任承担、影响确认、行动改变、反馈整合与后续回访。</x:v>
      </x:c>
      <x:c r="O69" s="20" t="str">
        <x:v>由共享基础引擎判定；近位提高相关功能进入亲密关系核心的概率，远位只作背景或阶段修正。</x:v>
      </x:c>
      <x:c r="P69" s="20" t="str">
        <x:v>根气只修正某修复功能是否容易重复调用，不等于现实中已经持续改变。</x:v>
      </x:c>
      <x:c r="Q69" s="20" t="str">
        <x:v>旺弱只修正功能调用强度与占位，不直接等同修复质量、诚意或关系结果。</x:v>
      </x:c>
      <x:c r="R69" s="20" t="str">
        <x:v>喜忌只修正功能摩擦、平衡与承载，不直接等同道德、成熟、善恶或是否值得原谅。</x:v>
      </x:c>
      <x:c r="S69" s="20" t="str">
        <x:v>原十神功能有效；真合化成立时按化神功能替换，合化争议时停止定性。</x:v>
      </x:c>
      <x:c r="T69" s="20" t="str">
        <x:v>近位提高修复议题与亲密关系的直接相关性；远位仅保留背景、阶段或低置信修正。</x:v>
      </x:c>
      <x:c r="U69" s="20" t="str">
        <x:v>88</x:v>
      </x:c>
      <x:c r="V69" s="20" t="str">
        <x:v>节点有效＋4；关键节点未知则降级</x:v>
      </x:c>
      <x:c r="W69" s="20" t="str">
        <x:v>repair_nodes</x:v>
      </x:c>
      <x:c r="X69" s="20" t="str">
        <x:v>RN01、RN03、RN04、RN06、RN07、RN08的必要性取决于事件类型和影响强度；缺失时应降级。</x:v>
      </x:c>
      <x:c r="Y69" s="20" t="str">
        <x:v>关键步骤资料不足时，应停在部分修复或问题结案，而不是补写成完整修复。</x:v>
      </x:c>
      <x:c r="Z6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69" s="20" t="str">
        <x:v>中高</x:v>
      </x:c>
      <x:c r="AB69" s="20" t="str">
        <x:v>待验证</x:v>
      </x:c>
      <x:c r="AC69" s="20" t="str"/>
      <x:c r="AD69" s="20" t="str">
        <x:v>provisional=true；M3-REPAIR尚未完成，完成条件为暂定功能模型。</x:v>
      </x:c>
      <x:c r="AE69" s="52" t="str">
        <x:v>0.7</x:v>
      </x:c>
    </x:row>
    <x:row r="70">
      <x:c r="A70" s="51" t="str">
        <x:v>M4-REPAIR-069</x:v>
      </x:c>
      <x:c r="B70" s="20" t="str">
        <x:v>RC01 比肩｜平等参与修复｜正常修复功能</x:v>
      </x:c>
      <x:c r="C70" s="20" t="str">
        <x:v>L2 十神修复功能通道</x:v>
      </x:c>
      <x:c r="D70" s="20" t="str">
        <x:v>REPAIR-十神通道</x:v>
      </x:c>
      <x:c r="E70" s="20" t="str">
        <x:v>通用</x:v>
      </x:c>
      <x:c r="F70" s="20" t="str">
        <x:v>定义</x:v>
      </x:c>
      <x:c r="G70" s="20" t="str">
        <x:v>RC01</x:v>
      </x:c>
      <x:c r="H70" s="20" t="str">
        <x:v>比肩</x:v>
      </x:c>
      <x:c r="I70" s="20" t="str">
        <x:v>恢复双方表达、决定和承担的平等位置。</x:v>
      </x:c>
      <x:c r="J70" s="20" t="str">
        <x:v>仅凭十神名称或旺弱直接判断修复能力。</x:v>
      </x:c>
      <x:c r="K70" s="20" t="str">
        <x:v>由共享基础引擎提供；仅修正修复功能的承载、持续与压力占位，不直接等同是否愿意认错或能否修复。</x:v>
      </x:c>
      <x:c r="L70" s="20" t="str">
        <x:v>由M1／M2提供；夫妻星只说明伴侣原型与关系资格，不单独证明修复能力、修复意愿或修复结果。</x:v>
      </x:c>
      <x:c r="M70" s="20" t="str">
        <x:v>由M3-BASE提供；日支底盘说明亲密关系中自然调用的功能，但不能单独证明修复闭环。</x:v>
      </x:c>
      <x:c r="N70" s="20" t="str">
        <x:v>由M3-CONFLICT、M4-LOOP及现实事件提供；必须区分问题停止、责任承担、影响确认、行动改变、反馈整合与后续回访。</x:v>
      </x:c>
      <x:c r="O70" s="20" t="str">
        <x:v>由共享基础引擎判定；近位提高相关功能进入亲密关系核心的概率，远位只作背景或阶段修正。</x:v>
      </x:c>
      <x:c r="P70" s="20" t="str">
        <x:v>根气只修正某修复功能是否容易重复调用，不等于现实中已经持续改变。</x:v>
      </x:c>
      <x:c r="Q70" s="20" t="str">
        <x:v>旺弱只修正功能调用强度与占位，不直接等同修复质量、诚意或关系结果。</x:v>
      </x:c>
      <x:c r="R70" s="20" t="str">
        <x:v>喜忌只修正功能摩擦、平衡与承载，不直接等同道德、成熟、善恶或是否值得原谅。</x:v>
      </x:c>
      <x:c r="S70" s="20" t="str">
        <x:v>原十神功能有效；真合化成立时按化神功能替换，合化争议时停止定性。</x:v>
      </x:c>
      <x:c r="T70" s="20" t="str">
        <x:v>近位提高修复议题与亲密关系的直接相关性；远位仅保留背景、阶段或低置信修正。</x:v>
      </x:c>
      <x:c r="U70" s="20" t="str">
        <x:v>68</x:v>
      </x:c>
      <x:c r="V70" s="20" t="str">
        <x:v>有效通道＋3；替代盲点另行路由</x:v>
      </x:c>
      <x:c r="W70" s="20" t="str">
        <x:v>repair_channel</x:v>
      </x:c>
      <x:c r="X70" s="20" t="str">
        <x:v>十神提供一种可用修复功能，首先保留其正常价值。</x:v>
      </x:c>
      <x:c r="Y70" s="20" t="str">
        <x:v>修复时你更重视双方都能表达、参与决定，并把各自责任说清。</x:v>
      </x:c>
      <x:c r="Z7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0" s="20" t="str">
        <x:v>中高</x:v>
      </x:c>
      <x:c r="AB70" s="20" t="str">
        <x:v>待验证</x:v>
      </x:c>
      <x:c r="AC70" s="20" t="str"/>
      <x:c r="AD70" s="20" t="str">
        <x:v>provisional=true；M3-REPAIR尚未完成，完成条件为暂定功能模型。</x:v>
      </x:c>
      <x:c r="AE70" s="52" t="str">
        <x:v>0.7</x:v>
      </x:c>
    </x:row>
    <x:row r="71">
      <x:c r="A71" s="51" t="str">
        <x:v>M4-REPAIR-070</x:v>
      </x:c>
      <x:c r="B71" s="20" t="str">
        <x:v>RC01 比肩｜平等参与修复｜启动表现</x:v>
      </x:c>
      <x:c r="C71" s="20" t="str">
        <x:v>L2 十神修复功能通道</x:v>
      </x:c>
      <x:c r="D71" s="20" t="str">
        <x:v>REPAIR-十神通道</x:v>
      </x:c>
      <x:c r="E71" s="20" t="str">
        <x:v>通用</x:v>
      </x:c>
      <x:c r="F71" s="20" t="str">
        <x:v>行为</x:v>
      </x:c>
      <x:c r="G71" s="20" t="str">
        <x:v>RC01</x:v>
      </x:c>
      <x:c r="H71" s="20" t="str">
        <x:v>比肩</x:v>
      </x:c>
      <x:c r="I71" s="20" t="str">
        <x:v>现实中出现：共同讨论责任、边界、分工和选择；保留接收方拒绝权。</x:v>
      </x:c>
      <x:c r="J71" s="20" t="str">
        <x:v>只有自我评价，没有具体行为。</x:v>
      </x:c>
      <x:c r="K71" s="20" t="str">
        <x:v>由共享基础引擎提供；仅修正修复功能的承载、持续与压力占位，不直接等同是否愿意认错或能否修复。</x:v>
      </x:c>
      <x:c r="L71" s="20" t="str">
        <x:v>由M1／M2提供；夫妻星只说明伴侣原型与关系资格，不单独证明修复能力、修复意愿或修复结果。</x:v>
      </x:c>
      <x:c r="M71" s="20" t="str">
        <x:v>由M3-BASE提供；日支底盘说明亲密关系中自然调用的功能，但不能单独证明修复闭环。</x:v>
      </x:c>
      <x:c r="N71" s="20" t="str">
        <x:v>由M3-CONFLICT、M4-LOOP及现实事件提供；必须区分问题停止、责任承担、影响确认、行动改变、反馈整合与后续回访。</x:v>
      </x:c>
      <x:c r="O71" s="20" t="str">
        <x:v>由共享基础引擎判定；近位提高相关功能进入亲密关系核心的概率，远位只作背景或阶段修正。</x:v>
      </x:c>
      <x:c r="P71" s="20" t="str">
        <x:v>根气只修正某修复功能是否容易重复调用，不等于现实中已经持续改变。</x:v>
      </x:c>
      <x:c r="Q71" s="20" t="str">
        <x:v>旺弱只修正功能调用强度与占位，不直接等同修复质量、诚意或关系结果。</x:v>
      </x:c>
      <x:c r="R71" s="20" t="str">
        <x:v>喜忌只修正功能摩擦、平衡与承载，不直接等同道德、成熟、善恶或是否值得原谅。</x:v>
      </x:c>
      <x:c r="S71" s="20" t="str">
        <x:v>原十神功能有效；真合化成立时按化神功能替换，合化争议时停止定性。</x:v>
      </x:c>
      <x:c r="T71" s="20" t="str">
        <x:v>近位提高修复议题与亲密关系的直接相关性；远位仅保留背景、阶段或低置信修正。</x:v>
      </x:c>
      <x:c r="U71" s="20" t="str">
        <x:v>68</x:v>
      </x:c>
      <x:c r="V71" s="20" t="str">
        <x:v>有效通道＋3；替代盲点另行路由</x:v>
      </x:c>
      <x:c r="W71" s="20" t="str">
        <x:v>repair_channel</x:v>
      </x:c>
      <x:c r="X71" s="20" t="str">
        <x:v>启动表现说明通道已出现，但不等于闭环。</x:v>
      </x:c>
      <x:c r="Y71" s="20" t="str">
        <x:v>当你使用这一通道时，常见表现是：共同讨论责任、边界、分工和选择；保留接收方拒绝权。</x:v>
      </x:c>
      <x:c r="Z7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1" s="20" t="str">
        <x:v>中高</x:v>
      </x:c>
      <x:c r="AB71" s="20" t="str">
        <x:v>待验证</x:v>
      </x:c>
      <x:c r="AC71" s="20" t="str"/>
      <x:c r="AD71" s="20" t="str">
        <x:v>provisional=true；M3-REPAIR尚未完成，完成条件为暂定功能模型。</x:v>
      </x:c>
      <x:c r="AE71" s="52" t="str">
        <x:v>0.7</x:v>
      </x:c>
    </x:row>
    <x:row r="72">
      <x:c r="A72" s="51" t="str">
        <x:v>M4-REPAIR-071</x:v>
      </x:c>
      <x:c r="B72" s="20" t="str">
        <x:v>RC01 比肩｜平等参与修复｜接收方反馈检查</x:v>
      </x:c>
      <x:c r="C72" s="20" t="str">
        <x:v>L2 十神修复功能通道</x:v>
      </x:c>
      <x:c r="D72" s="20" t="str">
        <x:v>REPAIR-十神通道</x:v>
      </x:c>
      <x:c r="E72" s="20" t="str">
        <x:v>通用</x:v>
      </x:c>
      <x:c r="F72" s="20" t="str">
        <x:v>证据</x:v>
      </x:c>
      <x:c r="G72" s="20" t="str">
        <x:v>RC01</x:v>
      </x:c>
      <x:c r="H72" s="20" t="str">
        <x:v>比肩</x:v>
      </x:c>
      <x:c r="I72" s="20" t="str">
        <x:v>接收方能够对该通道提供接受、拒绝、保留或调整反馈。</x:v>
      </x:c>
      <x:c r="J72" s="20" t="str">
        <x:v>只看发起者意图，不记录接收者反馈。</x:v>
      </x:c>
      <x:c r="K72" s="20" t="str">
        <x:v>由共享基础引擎提供；仅修正修复功能的承载、持续与压力占位，不直接等同是否愿意认错或能否修复。</x:v>
      </x:c>
      <x:c r="L72" s="20" t="str">
        <x:v>由M1／M2提供；夫妻星只说明伴侣原型与关系资格，不单独证明修复能力、修复意愿或修复结果。</x:v>
      </x:c>
      <x:c r="M72" s="20" t="str">
        <x:v>由M3-BASE提供；日支底盘说明亲密关系中自然调用的功能，但不能单独证明修复闭环。</x:v>
      </x:c>
      <x:c r="N72" s="20" t="str">
        <x:v>由M3-CONFLICT、M4-LOOP及现实事件提供；必须区分问题停止、责任承担、影响确认、行动改变、反馈整合与后续回访。</x:v>
      </x:c>
      <x:c r="O72" s="20" t="str">
        <x:v>由共享基础引擎判定；近位提高相关功能进入亲密关系核心的概率，远位只作背景或阶段修正。</x:v>
      </x:c>
      <x:c r="P72" s="20" t="str">
        <x:v>根气只修正某修复功能是否容易重复调用，不等于现实中已经持续改变。</x:v>
      </x:c>
      <x:c r="Q72" s="20" t="str">
        <x:v>旺弱只修正功能调用强度与占位，不直接等同修复质量、诚意或关系结果。</x:v>
      </x:c>
      <x:c r="R72" s="20" t="str">
        <x:v>喜忌只修正功能摩擦、平衡与承载，不直接等同道德、成熟、善恶或是否值得原谅。</x:v>
      </x:c>
      <x:c r="S72" s="20" t="str">
        <x:v>原十神功能有效；真合化成立时按化神功能替换，合化争议时停止定性。</x:v>
      </x:c>
      <x:c r="T72" s="20" t="str">
        <x:v>近位提高修复议题与亲密关系的直接相关性；远位仅保留背景、阶段或低置信修正。</x:v>
      </x:c>
      <x:c r="U72" s="20" t="str">
        <x:v>82</x:v>
      </x:c>
      <x:c r="V72" s="20" t="str">
        <x:v>有效通道＋3；替代盲点另行路由</x:v>
      </x:c>
      <x:c r="W72" s="20" t="str">
        <x:v>repair_channel</x:v>
      </x:c>
      <x:c r="X72" s="20" t="str">
        <x:v>修复通道是否有效必须看它是否回应真实影响。</x:v>
      </x:c>
      <x:c r="Y72" s="20" t="str">
        <x:v>还要看对方怎样接收这一步，以及是否需要进一步调整。</x:v>
      </x:c>
      <x:c r="Z7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2" s="20" t="str">
        <x:v>中高</x:v>
      </x:c>
      <x:c r="AB72" s="20" t="str">
        <x:v>待验证</x:v>
      </x:c>
      <x:c r="AC72" s="20" t="str"/>
      <x:c r="AD72" s="20" t="str">
        <x:v>provisional=true；M3-REPAIR尚未完成，完成条件为暂定功能模型。</x:v>
      </x:c>
      <x:c r="AE72" s="52" t="str">
        <x:v>0.7</x:v>
      </x:c>
    </x:row>
    <x:row r="73">
      <x:c r="A73" s="51" t="str">
        <x:v>M4-REPAIR-072</x:v>
      </x:c>
      <x:c r="B73" s="20" t="str">
        <x:v>RC01 比肩｜平等参与修复｜常见替代盲点</x:v>
      </x:c>
      <x:c r="C73" s="20" t="str">
        <x:v>L2 十神修复功能通道</x:v>
      </x:c>
      <x:c r="D73" s="20" t="str">
        <x:v>REPAIR-十神通道</x:v>
      </x:c>
      <x:c r="E73" s="20" t="str">
        <x:v>通用</x:v>
      </x:c>
      <x:c r="F73" s="20" t="str">
        <x:v>盲点</x:v>
      </x:c>
      <x:c r="G73" s="20" t="str">
        <x:v>RC01</x:v>
      </x:c>
      <x:c r="H73" s="20" t="str">
        <x:v>比肩</x:v>
      </x:c>
      <x:c r="I73" s="20" t="str">
        <x:v>该通道出现并承担修复任务。</x:v>
      </x:c>
      <x:c r="J73" s="20" t="str">
        <x:v>容易把修复变成逐项对等、平均责任或谁也不让谁。</x:v>
      </x:c>
      <x:c r="K73" s="20" t="str">
        <x:v>由共享基础引擎提供；仅修正修复功能的承载、持续与压力占位，不直接等同是否愿意认错或能否修复。</x:v>
      </x:c>
      <x:c r="L73" s="20" t="str">
        <x:v>由M1／M2提供；夫妻星只说明伴侣原型与关系资格，不单独证明修复能力、修复意愿或修复结果。</x:v>
      </x:c>
      <x:c r="M73" s="20" t="str">
        <x:v>由M3-BASE提供；日支底盘说明亲密关系中自然调用的功能，但不能单独证明修复闭环。</x:v>
      </x:c>
      <x:c r="N73" s="20" t="str">
        <x:v>由M3-CONFLICT、M4-LOOP及现实事件提供；必须区分问题停止、责任承担、影响确认、行动改变、反馈整合与后续回访。</x:v>
      </x:c>
      <x:c r="O73" s="20" t="str">
        <x:v>由共享基础引擎判定；近位提高相关功能进入亲密关系核心的概率，远位只作背景或阶段修正。</x:v>
      </x:c>
      <x:c r="P73" s="20" t="str">
        <x:v>根气只修正某修复功能是否容易重复调用，不等于现实中已经持续改变。</x:v>
      </x:c>
      <x:c r="Q73" s="20" t="str">
        <x:v>旺弱只修正功能调用强度与占位，不直接等同修复质量、诚意或关系结果。</x:v>
      </x:c>
      <x:c r="R73" s="20" t="str">
        <x:v>喜忌只修正功能摩擦、平衡与承载，不直接等同道德、成熟、善恶或是否值得原谅。</x:v>
      </x:c>
      <x:c r="S73" s="20" t="str">
        <x:v>原十神功能有效；真合化成立时按化神功能替换，合化争议时停止定性。</x:v>
      </x:c>
      <x:c r="T73" s="20" t="str">
        <x:v>近位提高修复议题与亲密关系的直接相关性；远位仅保留背景、阶段或低置信修正。</x:v>
      </x:c>
      <x:c r="U73" s="20" t="str">
        <x:v>68</x:v>
      </x:c>
      <x:c r="V73" s="20" t="str">
        <x:v>有效通道＋3；替代盲点另行路由</x:v>
      </x:c>
      <x:c r="W73" s="20" t="str">
        <x:v>repair_channel</x:v>
      </x:c>
      <x:c r="X73" s="20" t="str">
        <x:v>熟悉通道容易替代另一项不同修复任务。</x:v>
      </x:c>
      <x:c r="Y73" s="20" t="str">
        <x:v>需要留意：容易把修复变成逐项对等、平均责任或谁也不让谁。</x:v>
      </x:c>
      <x:c r="Z7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3" s="20" t="str">
        <x:v>中高</x:v>
      </x:c>
      <x:c r="AB73" s="20" t="str">
        <x:v>待验证</x:v>
      </x:c>
      <x:c r="AC73" s="20" t="str"/>
      <x:c r="AD73" s="20" t="str">
        <x:v>provisional=true；M3-REPAIR尚未完成，完成条件为暂定功能模型。</x:v>
      </x:c>
      <x:c r="AE73" s="52" t="str">
        <x:v>0.7</x:v>
      </x:c>
    </x:row>
    <x:row r="74">
      <x:c r="A74" s="51" t="str">
        <x:v>M4-REPAIR-073</x:v>
      </x:c>
      <x:c r="B74" s="20" t="str">
        <x:v>RC01 比肩｜平等参与修复｜闭环所需第二功能</x:v>
      </x:c>
      <x:c r="C74" s="20" t="str">
        <x:v>L2 十神修复功能通道</x:v>
      </x:c>
      <x:c r="D74" s="20" t="str">
        <x:v>REPAIR-十神通道</x:v>
      </x:c>
      <x:c r="E74" s="20" t="str">
        <x:v>通用</x:v>
      </x:c>
      <x:c r="F74" s="20" t="str">
        <x:v>通关</x:v>
      </x:c>
      <x:c r="G74" s="20" t="str">
        <x:v>RC01</x:v>
      </x:c>
      <x:c r="H74" s="20" t="str">
        <x:v>比肩</x:v>
      </x:c>
      <x:c r="I74" s="20" t="str">
        <x:v>需要印星影响承接、食伤沟通或官财现实责任配合。</x:v>
      </x:c>
      <x:c r="J74" s="20" t="str">
        <x:v>假设单一通道能完成所有修复任务。</x:v>
      </x:c>
      <x:c r="K74" s="20" t="str">
        <x:v>由共享基础引擎提供；仅修正修复功能的承载、持续与压力占位，不直接等同是否愿意认错或能否修复。</x:v>
      </x:c>
      <x:c r="L74" s="20" t="str">
        <x:v>由M1／M2提供；夫妻星只说明伴侣原型与关系资格，不单独证明修复能力、修复意愿或修复结果。</x:v>
      </x:c>
      <x:c r="M74" s="20" t="str">
        <x:v>由M3-BASE提供；日支底盘说明亲密关系中自然调用的功能，但不能单独证明修复闭环。</x:v>
      </x:c>
      <x:c r="N74" s="20" t="str">
        <x:v>由M3-CONFLICT、M4-LOOP及现实事件提供；必须区分问题停止、责任承担、影响确认、行动改变、反馈整合与后续回访。</x:v>
      </x:c>
      <x:c r="O74" s="20" t="str">
        <x:v>由共享基础引擎判定；近位提高相关功能进入亲密关系核心的概率，远位只作背景或阶段修正。</x:v>
      </x:c>
      <x:c r="P74" s="20" t="str">
        <x:v>根气只修正某修复功能是否容易重复调用，不等于现实中已经持续改变。</x:v>
      </x:c>
      <x:c r="Q74" s="20" t="str">
        <x:v>旺弱只修正功能调用强度与占位，不直接等同修复质量、诚意或关系结果。</x:v>
      </x:c>
      <x:c r="R74" s="20" t="str">
        <x:v>喜忌只修正功能摩擦、平衡与承载，不直接等同道德、成熟、善恶或是否值得原谅。</x:v>
      </x:c>
      <x:c r="S74" s="20" t="str">
        <x:v>原十神功能有效；真合化成立时按化神功能替换，合化争议时停止定性。</x:v>
      </x:c>
      <x:c r="T74" s="20" t="str">
        <x:v>近位提高修复议题与亲密关系的直接相关性；远位仅保留背景、阶段或低置信修正。</x:v>
      </x:c>
      <x:c r="U74" s="20" t="str">
        <x:v>68</x:v>
      </x:c>
      <x:c r="V74" s="20" t="str">
        <x:v>有效通道＋3；替代盲点另行路由</x:v>
      </x:c>
      <x:c r="W74" s="20" t="str">
        <x:v>repair_channel</x:v>
      </x:c>
      <x:c r="X74" s="20" t="str">
        <x:v>第二功能负责把本通道转成更完整的修复链。</x:v>
      </x:c>
      <x:c r="Y74" s="20" t="str">
        <x:v>要让修复更完整，还需要：需要印星影响承接、食伤沟通或官财现实责任配合。</x:v>
      </x:c>
      <x:c r="Z7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4" s="20" t="str">
        <x:v>中高</x:v>
      </x:c>
      <x:c r="AB74" s="20" t="str">
        <x:v>待验证</x:v>
      </x:c>
      <x:c r="AC74" s="20" t="str"/>
      <x:c r="AD74" s="20" t="str">
        <x:v>provisional=true；M3-REPAIR尚未完成，完成条件为暂定功能模型。</x:v>
      </x:c>
      <x:c r="AE74" s="52" t="str">
        <x:v>0.7</x:v>
      </x:c>
    </x:row>
    <x:row r="75">
      <x:c r="A75" s="51" t="str">
        <x:v>M4-REPAIR-074</x:v>
      </x:c>
      <x:c r="B75" s="20" t="str">
        <x:v>RC01 比肩｜平等参与修复｜状态修正</x:v>
      </x:c>
      <x:c r="C75" s="20" t="str">
        <x:v>L2 十神修复功能通道</x:v>
      </x:c>
      <x:c r="D75" s="20" t="str">
        <x:v>REPAIR-十神通道</x:v>
      </x:c>
      <x:c r="E75" s="20" t="str">
        <x:v>通用</x:v>
      </x:c>
      <x:c r="F75" s="20" t="str">
        <x:v>状态</x:v>
      </x:c>
      <x:c r="G75" s="20" t="str">
        <x:v>RC01</x:v>
      </x:c>
      <x:c r="H75" s="20" t="str">
        <x:v>比肩</x:v>
      </x:c>
      <x:c r="I75" s="20" t="str">
        <x:v>结合透藏、根气、旺弱、制化、位置和现实重复行为。</x:v>
      </x:c>
      <x:c r="J75" s="20" t="str">
        <x:v>强即有效、弱即没有、喜即成熟、忌即恶意。</x:v>
      </x:c>
      <x:c r="K75" s="20" t="str">
        <x:v>由共享基础引擎提供；仅修正修复功能的承载、持续与压力占位，不直接等同是否愿意认错或能否修复。</x:v>
      </x:c>
      <x:c r="L75" s="20" t="str">
        <x:v>由M1／M2提供；夫妻星只说明伴侣原型与关系资格，不单独证明修复能力、修复意愿或修复结果。</x:v>
      </x:c>
      <x:c r="M75" s="20" t="str">
        <x:v>由M3-BASE提供；日支底盘说明亲密关系中自然调用的功能，但不能单独证明修复闭环。</x:v>
      </x:c>
      <x:c r="N75" s="20" t="str">
        <x:v>由M3-CONFLICT、M4-LOOP及现实事件提供；必须区分问题停止、责任承担、影响确认、行动改变、反馈整合与后续回访。</x:v>
      </x:c>
      <x:c r="O75" s="20" t="str">
        <x:v>由共享基础引擎判定；近位提高相关功能进入亲密关系核心的概率，远位只作背景或阶段修正。</x:v>
      </x:c>
      <x:c r="P75" s="20" t="str">
        <x:v>根气只修正某修复功能是否容易重复调用，不等于现实中已经持续改变。</x:v>
      </x:c>
      <x:c r="Q75" s="20" t="str">
        <x:v>旺弱只修正功能调用强度与占位，不直接等同修复质量、诚意或关系结果。</x:v>
      </x:c>
      <x:c r="R75" s="20" t="str">
        <x:v>喜忌只修正功能摩擦、平衡与承载，不直接等同道德、成熟、善恶或是否值得原谅。</x:v>
      </x:c>
      <x:c r="S75" s="20" t="str">
        <x:v>原十神功能有效；真合化成立时按化神功能替换，合化争议时停止定性。</x:v>
      </x:c>
      <x:c r="T75" s="20" t="str">
        <x:v>近位提高修复议题与亲密关系的直接相关性；远位仅保留背景、阶段或低置信修正。</x:v>
      </x:c>
      <x:c r="U75" s="20" t="str">
        <x:v>68</x:v>
      </x:c>
      <x:c r="V75" s="20" t="str">
        <x:v>有效通道＋3；替代盲点另行路由</x:v>
      </x:c>
      <x:c r="W75" s="20" t="str">
        <x:v>repair_channel</x:v>
      </x:c>
      <x:c r="X75" s="20" t="str">
        <x:v>状态只修正调用方式和持续性。</x:v>
      </x:c>
      <x:c r="Y75" s="20" t="str">
        <x:v>这项方式是否稳定，需要继续看它能否重复、是否受另一功能调节。</x:v>
      </x:c>
      <x:c r="Z7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5" s="20" t="str">
        <x:v>中高</x:v>
      </x:c>
      <x:c r="AB75" s="20" t="str">
        <x:v>待验证</x:v>
      </x:c>
      <x:c r="AC75" s="20" t="str"/>
      <x:c r="AD75" s="20" t="str">
        <x:v>provisional=true；M3-REPAIR尚未完成，完成条件为暂定功能模型。</x:v>
      </x:c>
      <x:c r="AE75" s="52" t="str">
        <x:v>0.7</x:v>
      </x:c>
    </x:row>
    <x:row r="76">
      <x:c r="A76" s="51" t="str">
        <x:v>M4-REPAIR-075</x:v>
      </x:c>
      <x:c r="B76" s="20" t="str">
        <x:v>RC01 比肩｜平等参与修复｜用户标准文案</x:v>
      </x:c>
      <x:c r="C76" s="20" t="str">
        <x:v>L2 十神修复功能通道</x:v>
      </x:c>
      <x:c r="D76" s="20" t="str">
        <x:v>REPAIR-十神通道</x:v>
      </x:c>
      <x:c r="E76" s="20" t="str">
        <x:v>通用</x:v>
      </x:c>
      <x:c r="F76" s="20" t="str">
        <x:v>输出</x:v>
      </x:c>
      <x:c r="G76" s="20" t="str">
        <x:v>RC01</x:v>
      </x:c>
      <x:c r="H76" s="20" t="str">
        <x:v>比肩</x:v>
      </x:c>
      <x:c r="I76" s="20" t="str">
        <x:v>该通道为主修复方式候选，并有第二类独立证据。</x:v>
      </x:c>
      <x:c r="J76" s="20" t="str">
        <x:v>证据不足或真合化争议。</x:v>
      </x:c>
      <x:c r="K76" s="20" t="str">
        <x:v>由共享基础引擎提供；仅修正修复功能的承载、持续与压力占位，不直接等同是否愿意认错或能否修复。</x:v>
      </x:c>
      <x:c r="L76" s="20" t="str">
        <x:v>由M1／M2提供；夫妻星只说明伴侣原型与关系资格，不单独证明修复能力、修复意愿或修复结果。</x:v>
      </x:c>
      <x:c r="M76" s="20" t="str">
        <x:v>由M3-BASE提供；日支底盘说明亲密关系中自然调用的功能，但不能单独证明修复闭环。</x:v>
      </x:c>
      <x:c r="N76" s="20" t="str">
        <x:v>由M3-CONFLICT、M4-LOOP及现实事件提供；必须区分问题停止、责任承担、影响确认、行动改变、反馈整合与后续回访。</x:v>
      </x:c>
      <x:c r="O76" s="20" t="str">
        <x:v>由共享基础引擎判定；近位提高相关功能进入亲密关系核心的概率，远位只作背景或阶段修正。</x:v>
      </x:c>
      <x:c r="P76" s="20" t="str">
        <x:v>根气只修正某修复功能是否容易重复调用，不等于现实中已经持续改变。</x:v>
      </x:c>
      <x:c r="Q76" s="20" t="str">
        <x:v>旺弱只修正功能调用强度与占位，不直接等同修复质量、诚意或关系结果。</x:v>
      </x:c>
      <x:c r="R76" s="20" t="str">
        <x:v>喜忌只修正功能摩擦、平衡与承载，不直接等同道德、成熟、善恶或是否值得原谅。</x:v>
      </x:c>
      <x:c r="S76" s="20" t="str">
        <x:v>原十神功能有效；真合化成立时按化神功能替换，合化争议时停止定性。</x:v>
      </x:c>
      <x:c r="T76" s="20" t="str">
        <x:v>近位提高修复议题与亲密关系的直接相关性；远位仅保留背景、阶段或低置信修正。</x:v>
      </x:c>
      <x:c r="U76" s="20" t="str">
        <x:v>68</x:v>
      </x:c>
      <x:c r="V76" s="20" t="str">
        <x:v>有效通道＋3；替代盲点另行路由</x:v>
      </x:c>
      <x:c r="W76" s="20" t="str">
        <x:v>repair_channel</x:v>
      </x:c>
      <x:c r="X76" s="20" t="str">
        <x:v>输出先描述功能，再描述缺口，不贴人格标签。</x:v>
      </x:c>
      <x:c r="Y76" s="20" t="str">
        <x:v>修复时你更重视双方都能表达、参与决定，并把各自责任说清。</x:v>
      </x:c>
      <x:c r="Z7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6" s="20" t="str">
        <x:v>中高</x:v>
      </x:c>
      <x:c r="AB76" s="20" t="str">
        <x:v>待验证</x:v>
      </x:c>
      <x:c r="AC76" s="20" t="str"/>
      <x:c r="AD76" s="20" t="str">
        <x:v>provisional=true；M3-REPAIR尚未完成，完成条件为暂定功能模型。</x:v>
      </x:c>
      <x:c r="AE76" s="52" t="str">
        <x:v>0.7</x:v>
      </x:c>
    </x:row>
    <x:row r="77">
      <x:c r="A77" s="51" t="str">
        <x:v>M4-REPAIR-076</x:v>
      </x:c>
      <x:c r="B77" s="20" t="str">
        <x:v>RC01 比肩｜平等参与修复｜禁止推断</x:v>
      </x:c>
      <x:c r="C77" s="20" t="str">
        <x:v>L2 十神修复功能通道</x:v>
      </x:c>
      <x:c r="D77" s="20" t="str">
        <x:v>REPAIR-十神通道</x:v>
      </x:c>
      <x:c r="E77" s="20" t="str">
        <x:v>通用</x:v>
      </x:c>
      <x:c r="F77" s="20" t="str">
        <x:v>边界</x:v>
      </x:c>
      <x:c r="G77" s="20" t="str">
        <x:v>RC01</x:v>
      </x:c>
      <x:c r="H77" s="20" t="str">
        <x:v>比肩</x:v>
      </x:c>
      <x:c r="I77" s="20" t="str">
        <x:v>完成现实安全、责任和反例检查。</x:v>
      </x:c>
      <x:c r="J77" s="20" t="str">
        <x:v>不得把平等修复写成双方责任永远相等；明显伤害不得平均责任。。</x:v>
      </x:c>
      <x:c r="K77" s="20" t="str">
        <x:v>由共享基础引擎提供；仅修正修复功能的承载、持续与压力占位，不直接等同是否愿意认错或能否修复。</x:v>
      </x:c>
      <x:c r="L77" s="20" t="str">
        <x:v>由M1／M2提供；夫妻星只说明伴侣原型与关系资格，不单独证明修复能力、修复意愿或修复结果。</x:v>
      </x:c>
      <x:c r="M77" s="20" t="str">
        <x:v>由M3-BASE提供；日支底盘说明亲密关系中自然调用的功能，但不能单独证明修复闭环。</x:v>
      </x:c>
      <x:c r="N77" s="20" t="str">
        <x:v>由M3-CONFLICT、M4-LOOP及现实事件提供；必须区分问题停止、责任承担、影响确认、行动改变、反馈整合与后续回访。</x:v>
      </x:c>
      <x:c r="O77" s="20" t="str">
        <x:v>由共享基础引擎判定；近位提高相关功能进入亲密关系核心的概率，远位只作背景或阶段修正。</x:v>
      </x:c>
      <x:c r="P77" s="20" t="str">
        <x:v>根气只修正某修复功能是否容易重复调用，不等于现实中已经持续改变。</x:v>
      </x:c>
      <x:c r="Q77" s="20" t="str">
        <x:v>旺弱只修正功能调用强度与占位，不直接等同修复质量、诚意或关系结果。</x:v>
      </x:c>
      <x:c r="R77" s="20" t="str">
        <x:v>喜忌只修正功能摩擦、平衡与承载，不直接等同道德、成熟、善恶或是否值得原谅。</x:v>
      </x:c>
      <x:c r="S77" s="20" t="str">
        <x:v>原十神功能有效；真合化成立时按化神功能替换，合化争议时停止定性。</x:v>
      </x:c>
      <x:c r="T77" s="20" t="str">
        <x:v>近位提高修复议题与亲密关系的直接相关性；远位仅保留背景、阶段或低置信修正。</x:v>
      </x:c>
      <x:c r="U77" s="20" t="str">
        <x:v>82</x:v>
      </x:c>
      <x:c r="V77" s="20" t="str">
        <x:v>有效通道＋3；替代盲点另行路由</x:v>
      </x:c>
      <x:c r="W77" s="20" t="str">
        <x:v>repair_channel</x:v>
      </x:c>
      <x:c r="X77" s="20" t="str">
        <x:v>十神修复通道不能推断诚意、道德和关系结果。</x:v>
      </x:c>
      <x:c r="Y77" s="20" t="str">
        <x:v>边界提示：不得把平等修复写成双方责任永远相等；明显伤害不得平均责任。</x:v>
      </x:c>
      <x:c r="Z7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7" s="20" t="str">
        <x:v>中高</x:v>
      </x:c>
      <x:c r="AB77" s="20" t="str">
        <x:v>待验证</x:v>
      </x:c>
      <x:c r="AC77" s="20" t="str"/>
      <x:c r="AD77" s="20" t="str">
        <x:v>provisional=true；M3-REPAIR尚未完成，完成条件为暂定功能模型。</x:v>
      </x:c>
      <x:c r="AE77" s="52" t="str">
        <x:v>0.7</x:v>
      </x:c>
    </x:row>
    <x:row r="78">
      <x:c r="A78" s="51" t="str">
        <x:v>M4-REPAIR-077</x:v>
      </x:c>
      <x:c r="B78" s="20" t="str">
        <x:v>RC02 劫财｜即时协作修复｜正常修复功能</x:v>
      </x:c>
      <x:c r="C78" s="20" t="str">
        <x:v>L2 十神修复功能通道</x:v>
      </x:c>
      <x:c r="D78" s="20" t="str">
        <x:v>REPAIR-十神通道</x:v>
      </x:c>
      <x:c r="E78" s="20" t="str">
        <x:v>通用</x:v>
      </x:c>
      <x:c r="F78" s="20" t="str">
        <x:v>定义</x:v>
      </x:c>
      <x:c r="G78" s="20" t="str">
        <x:v>RC02</x:v>
      </x:c>
      <x:c r="H78" s="20" t="str">
        <x:v>劫财</x:v>
      </x:c>
      <x:c r="I78" s="20" t="str">
        <x:v>快速回到现场、一起处理现实问题或补位。</x:v>
      </x:c>
      <x:c r="J78" s="20" t="str">
        <x:v>仅凭十神名称或旺弱直接判断修复能力。</x:v>
      </x:c>
      <x:c r="K78" s="20" t="str">
        <x:v>由共享基础引擎提供；仅修正修复功能的承载、持续与压力占位，不直接等同是否愿意认错或能否修复。</x:v>
      </x:c>
      <x:c r="L78" s="20" t="str">
        <x:v>由M1／M2提供；夫妻星只说明伴侣原型与关系资格，不单独证明修复能力、修复意愿或修复结果。</x:v>
      </x:c>
      <x:c r="M78" s="20" t="str">
        <x:v>由M3-BASE提供；日支底盘说明亲密关系中自然调用的功能，但不能单独证明修复闭环。</x:v>
      </x:c>
      <x:c r="N78" s="20" t="str">
        <x:v>由M3-CONFLICT、M4-LOOP及现实事件提供；必须区分问题停止、责任承担、影响确认、行动改变、反馈整合与后续回访。</x:v>
      </x:c>
      <x:c r="O78" s="20" t="str">
        <x:v>由共享基础引擎判定；近位提高相关功能进入亲密关系核心的概率，远位只作背景或阶段修正。</x:v>
      </x:c>
      <x:c r="P78" s="20" t="str">
        <x:v>根气只修正某修复功能是否容易重复调用，不等于现实中已经持续改变。</x:v>
      </x:c>
      <x:c r="Q78" s="20" t="str">
        <x:v>旺弱只修正功能调用强度与占位，不直接等同修复质量、诚意或关系结果。</x:v>
      </x:c>
      <x:c r="R78" s="20" t="str">
        <x:v>喜忌只修正功能摩擦、平衡与承载，不直接等同道德、成熟、善恶或是否值得原谅。</x:v>
      </x:c>
      <x:c r="S78" s="20" t="str">
        <x:v>原十神功能有效；真合化成立时按化神功能替换，合化争议时停止定性。</x:v>
      </x:c>
      <x:c r="T78" s="20" t="str">
        <x:v>近位提高修复议题与亲密关系的直接相关性；远位仅保留背景、阶段或低置信修正。</x:v>
      </x:c>
      <x:c r="U78" s="20" t="str">
        <x:v>68</x:v>
      </x:c>
      <x:c r="V78" s="20" t="str">
        <x:v>有效通道＋3；替代盲点另行路由</x:v>
      </x:c>
      <x:c r="W78" s="20" t="str">
        <x:v>repair_channel</x:v>
      </x:c>
      <x:c r="X78" s="20" t="str">
        <x:v>十神提供一种可用修复功能，首先保留其正常价值。</x:v>
      </x:c>
      <x:c r="Y78" s="20" t="str">
        <x:v>你可能更习惯先加入处理、迅速补位，再在过程中调整方案。</x:v>
      </x:c>
      <x:c r="Z7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8" s="20" t="str">
        <x:v>中高</x:v>
      </x:c>
      <x:c r="AB78" s="20" t="str">
        <x:v>待验证</x:v>
      </x:c>
      <x:c r="AC78" s="20" t="str"/>
      <x:c r="AD78" s="20" t="str">
        <x:v>provisional=true；M3-REPAIR尚未完成，完成条件为暂定功能模型。</x:v>
      </x:c>
      <x:c r="AE78" s="52" t="str">
        <x:v>0.7</x:v>
      </x:c>
    </x:row>
    <x:row r="79">
      <x:c r="A79" s="51" t="str">
        <x:v>M4-REPAIR-078</x:v>
      </x:c>
      <x:c r="B79" s="20" t="str">
        <x:v>RC02 劫财｜即时协作修复｜启动表现</x:v>
      </x:c>
      <x:c r="C79" s="20" t="str">
        <x:v>L2 十神修复功能通道</x:v>
      </x:c>
      <x:c r="D79" s="20" t="str">
        <x:v>REPAIR-十神通道</x:v>
      </x:c>
      <x:c r="E79" s="20" t="str">
        <x:v>通用</x:v>
      </x:c>
      <x:c r="F79" s="20" t="str">
        <x:v>行为</x:v>
      </x:c>
      <x:c r="G79" s="20" t="str">
        <x:v>RC02</x:v>
      </x:c>
      <x:c r="H79" s="20" t="str">
        <x:v>劫财</x:v>
      </x:c>
      <x:c r="I79" s="20" t="str">
        <x:v>现实中出现：及时参与、协助执行、共同完成补救。</x:v>
      </x:c>
      <x:c r="J79" s="20" t="str">
        <x:v>只有自我评价，没有具体行为。</x:v>
      </x:c>
      <x:c r="K79" s="20" t="str">
        <x:v>由共享基础引擎提供；仅修正修复功能的承载、持续与压力占位，不直接等同是否愿意认错或能否修复。</x:v>
      </x:c>
      <x:c r="L79" s="20" t="str">
        <x:v>由M1／M2提供；夫妻星只说明伴侣原型与关系资格，不单独证明修复能力、修复意愿或修复结果。</x:v>
      </x:c>
      <x:c r="M79" s="20" t="str">
        <x:v>由M3-BASE提供；日支底盘说明亲密关系中自然调用的功能，但不能单独证明修复闭环。</x:v>
      </x:c>
      <x:c r="N79" s="20" t="str">
        <x:v>由M3-CONFLICT、M4-LOOP及现实事件提供；必须区分问题停止、责任承担、影响确认、行动改变、反馈整合与后续回访。</x:v>
      </x:c>
      <x:c r="O79" s="20" t="str">
        <x:v>由共享基础引擎判定；近位提高相关功能进入亲密关系核心的概率，远位只作背景或阶段修正。</x:v>
      </x:c>
      <x:c r="P79" s="20" t="str">
        <x:v>根气只修正某修复功能是否容易重复调用，不等于现实中已经持续改变。</x:v>
      </x:c>
      <x:c r="Q79" s="20" t="str">
        <x:v>旺弱只修正功能调用强度与占位，不直接等同修复质量、诚意或关系结果。</x:v>
      </x:c>
      <x:c r="R79" s="20" t="str">
        <x:v>喜忌只修正功能摩擦、平衡与承载，不直接等同道德、成熟、善恶或是否值得原谅。</x:v>
      </x:c>
      <x:c r="S79" s="20" t="str">
        <x:v>原十神功能有效；真合化成立时按化神功能替换，合化争议时停止定性。</x:v>
      </x:c>
      <x:c r="T79" s="20" t="str">
        <x:v>近位提高修复议题与亲密关系的直接相关性；远位仅保留背景、阶段或低置信修正。</x:v>
      </x:c>
      <x:c r="U79" s="20" t="str">
        <x:v>68</x:v>
      </x:c>
      <x:c r="V79" s="20" t="str">
        <x:v>有效通道＋3；替代盲点另行路由</x:v>
      </x:c>
      <x:c r="W79" s="20" t="str">
        <x:v>repair_channel</x:v>
      </x:c>
      <x:c r="X79" s="20" t="str">
        <x:v>启动表现说明通道已出现，但不等于闭环。</x:v>
      </x:c>
      <x:c r="Y79" s="20" t="str">
        <x:v>当你使用这一通道时，常见表现是：及时参与、协助执行、共同完成补救。</x:v>
      </x:c>
      <x:c r="Z7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79" s="20" t="str">
        <x:v>中高</x:v>
      </x:c>
      <x:c r="AB79" s="20" t="str">
        <x:v>待验证</x:v>
      </x:c>
      <x:c r="AC79" s="20" t="str"/>
      <x:c r="AD79" s="20" t="str">
        <x:v>provisional=true；M3-REPAIR尚未完成，完成条件为暂定功能模型。</x:v>
      </x:c>
      <x:c r="AE79" s="52" t="str">
        <x:v>0.7</x:v>
      </x:c>
    </x:row>
    <x:row r="80">
      <x:c r="A80" s="51" t="str">
        <x:v>M4-REPAIR-079</x:v>
      </x:c>
      <x:c r="B80" s="20" t="str">
        <x:v>RC02 劫财｜即时协作修复｜接收方反馈检查</x:v>
      </x:c>
      <x:c r="C80" s="20" t="str">
        <x:v>L2 十神修复功能通道</x:v>
      </x:c>
      <x:c r="D80" s="20" t="str">
        <x:v>REPAIR-十神通道</x:v>
      </x:c>
      <x:c r="E80" s="20" t="str">
        <x:v>通用</x:v>
      </x:c>
      <x:c r="F80" s="20" t="str">
        <x:v>证据</x:v>
      </x:c>
      <x:c r="G80" s="20" t="str">
        <x:v>RC02</x:v>
      </x:c>
      <x:c r="H80" s="20" t="str">
        <x:v>劫财</x:v>
      </x:c>
      <x:c r="I80" s="20" t="str">
        <x:v>接收方能够对该通道提供接受、拒绝、保留或调整反馈。</x:v>
      </x:c>
      <x:c r="J80" s="20" t="str">
        <x:v>只看发起者意图，不记录接收者反馈。</x:v>
      </x:c>
      <x:c r="K80" s="20" t="str">
        <x:v>由共享基础引擎提供；仅修正修复功能的承载、持续与压力占位，不直接等同是否愿意认错或能否修复。</x:v>
      </x:c>
      <x:c r="L80" s="20" t="str">
        <x:v>由M1／M2提供；夫妻星只说明伴侣原型与关系资格，不单独证明修复能力、修复意愿或修复结果。</x:v>
      </x:c>
      <x:c r="M80" s="20" t="str">
        <x:v>由M3-BASE提供；日支底盘说明亲密关系中自然调用的功能，但不能单独证明修复闭环。</x:v>
      </x:c>
      <x:c r="N80" s="20" t="str">
        <x:v>由M3-CONFLICT、M4-LOOP及现实事件提供；必须区分问题停止、责任承担、影响确认、行动改变、反馈整合与后续回访。</x:v>
      </x:c>
      <x:c r="O80" s="20" t="str">
        <x:v>由共享基础引擎判定；近位提高相关功能进入亲密关系核心的概率，远位只作背景或阶段修正。</x:v>
      </x:c>
      <x:c r="P80" s="20" t="str">
        <x:v>根气只修正某修复功能是否容易重复调用，不等于现实中已经持续改变。</x:v>
      </x:c>
      <x:c r="Q80" s="20" t="str">
        <x:v>旺弱只修正功能调用强度与占位，不直接等同修复质量、诚意或关系结果。</x:v>
      </x:c>
      <x:c r="R80" s="20" t="str">
        <x:v>喜忌只修正功能摩擦、平衡与承载，不直接等同道德、成熟、善恶或是否值得原谅。</x:v>
      </x:c>
      <x:c r="S80" s="20" t="str">
        <x:v>原十神功能有效；真合化成立时按化神功能替换，合化争议时停止定性。</x:v>
      </x:c>
      <x:c r="T80" s="20" t="str">
        <x:v>近位提高修复议题与亲密关系的直接相关性；远位仅保留背景、阶段或低置信修正。</x:v>
      </x:c>
      <x:c r="U80" s="20" t="str">
        <x:v>82</x:v>
      </x:c>
      <x:c r="V80" s="20" t="str">
        <x:v>有效通道＋3；替代盲点另行路由</x:v>
      </x:c>
      <x:c r="W80" s="20" t="str">
        <x:v>repair_channel</x:v>
      </x:c>
      <x:c r="X80" s="20" t="str">
        <x:v>修复通道是否有效必须看它是否回应真实影响。</x:v>
      </x:c>
      <x:c r="Y80" s="20" t="str">
        <x:v>还要看对方怎样接收这一步，以及是否需要进一步调整。</x:v>
      </x:c>
      <x:c r="Z8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0" s="20" t="str">
        <x:v>中高</x:v>
      </x:c>
      <x:c r="AB80" s="20" t="str">
        <x:v>待验证</x:v>
      </x:c>
      <x:c r="AC80" s="20" t="str"/>
      <x:c r="AD80" s="20" t="str">
        <x:v>provisional=true；M3-REPAIR尚未完成，完成条件为暂定功能模型。</x:v>
      </x:c>
      <x:c r="AE80" s="52" t="str">
        <x:v>0.7</x:v>
      </x:c>
    </x:row>
    <x:row r="81">
      <x:c r="A81" s="51" t="str">
        <x:v>M4-REPAIR-080</x:v>
      </x:c>
      <x:c r="B81" s="20" t="str">
        <x:v>RC02 劫财｜即时协作修复｜常见替代盲点</x:v>
      </x:c>
      <x:c r="C81" s="20" t="str">
        <x:v>L2 十神修复功能通道</x:v>
      </x:c>
      <x:c r="D81" s="20" t="str">
        <x:v>REPAIR-十神通道</x:v>
      </x:c>
      <x:c r="E81" s="20" t="str">
        <x:v>通用</x:v>
      </x:c>
      <x:c r="F81" s="20" t="str">
        <x:v>盲点</x:v>
      </x:c>
      <x:c r="G81" s="20" t="str">
        <x:v>RC02</x:v>
      </x:c>
      <x:c r="H81" s="20" t="str">
        <x:v>劫财</x:v>
      </x:c>
      <x:c r="I81" s="20" t="str">
        <x:v>该通道出现并承担修复任务。</x:v>
      </x:c>
      <x:c r="J81" s="20" t="str">
        <x:v>可能先行动后确认范围，使接收方参与权进入较晚。</x:v>
      </x:c>
      <x:c r="K81" s="20" t="str">
        <x:v>由共享基础引擎提供；仅修正修复功能的承载、持续与压力占位，不直接等同是否愿意认错或能否修复。</x:v>
      </x:c>
      <x:c r="L81" s="20" t="str">
        <x:v>由M1／M2提供；夫妻星只说明伴侣原型与关系资格，不单独证明修复能力、修复意愿或修复结果。</x:v>
      </x:c>
      <x:c r="M81" s="20" t="str">
        <x:v>由M3-BASE提供；日支底盘说明亲密关系中自然调用的功能，但不能单独证明修复闭环。</x:v>
      </x:c>
      <x:c r="N81" s="20" t="str">
        <x:v>由M3-CONFLICT、M4-LOOP及现实事件提供；必须区分问题停止、责任承担、影响确认、行动改变、反馈整合与后续回访。</x:v>
      </x:c>
      <x:c r="O81" s="20" t="str">
        <x:v>由共享基础引擎判定；近位提高相关功能进入亲密关系核心的概率，远位只作背景或阶段修正。</x:v>
      </x:c>
      <x:c r="P81" s="20" t="str">
        <x:v>根气只修正某修复功能是否容易重复调用，不等于现实中已经持续改变。</x:v>
      </x:c>
      <x:c r="Q81" s="20" t="str">
        <x:v>旺弱只修正功能调用强度与占位，不直接等同修复质量、诚意或关系结果。</x:v>
      </x:c>
      <x:c r="R81" s="20" t="str">
        <x:v>喜忌只修正功能摩擦、平衡与承载，不直接等同道德、成熟、善恶或是否值得原谅。</x:v>
      </x:c>
      <x:c r="S81" s="20" t="str">
        <x:v>原十神功能有效；真合化成立时按化神功能替换，合化争议时停止定性。</x:v>
      </x:c>
      <x:c r="T81" s="20" t="str">
        <x:v>近位提高修复议题与亲密关系的直接相关性；远位仅保留背景、阶段或低置信修正。</x:v>
      </x:c>
      <x:c r="U81" s="20" t="str">
        <x:v>68</x:v>
      </x:c>
      <x:c r="V81" s="20" t="str">
        <x:v>有效通道＋3；替代盲点另行路由</x:v>
      </x:c>
      <x:c r="W81" s="20" t="str">
        <x:v>repair_channel</x:v>
      </x:c>
      <x:c r="X81" s="20" t="str">
        <x:v>熟悉通道容易替代另一项不同修复任务。</x:v>
      </x:c>
      <x:c r="Y81" s="20" t="str">
        <x:v>需要留意：可能先行动后确认范围，使接收方参与权进入较晚。</x:v>
      </x:c>
      <x:c r="Z8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1" s="20" t="str">
        <x:v>中高</x:v>
      </x:c>
      <x:c r="AB81" s="20" t="str">
        <x:v>待验证</x:v>
      </x:c>
      <x:c r="AC81" s="20" t="str"/>
      <x:c r="AD81" s="20" t="str">
        <x:v>provisional=true；M3-REPAIR尚未完成，完成条件为暂定功能模型。</x:v>
      </x:c>
      <x:c r="AE81" s="52" t="str">
        <x:v>0.7</x:v>
      </x:c>
    </x:row>
    <x:row r="82">
      <x:c r="A82" s="51" t="str">
        <x:v>M4-REPAIR-081</x:v>
      </x:c>
      <x:c r="B82" s="20" t="str">
        <x:v>RC02 劫财｜即时协作修复｜闭环所需第二功能</x:v>
      </x:c>
      <x:c r="C82" s="20" t="str">
        <x:v>L2 十神修复功能通道</x:v>
      </x:c>
      <x:c r="D82" s="20" t="str">
        <x:v>REPAIR-十神通道</x:v>
      </x:c>
      <x:c r="E82" s="20" t="str">
        <x:v>通用</x:v>
      </x:c>
      <x:c r="F82" s="20" t="str">
        <x:v>通关</x:v>
      </x:c>
      <x:c r="G82" s="20" t="str">
        <x:v>RC02</x:v>
      </x:c>
      <x:c r="H82" s="20" t="str">
        <x:v>劫财</x:v>
      </x:c>
      <x:c r="I82" s="20" t="str">
        <x:v>需要比肩／食伤确认范围，正财／正官稳定后续。</x:v>
      </x:c>
      <x:c r="J82" s="20" t="str">
        <x:v>假设单一通道能完成所有修复任务。</x:v>
      </x:c>
      <x:c r="K82" s="20" t="str">
        <x:v>由共享基础引擎提供；仅修正修复功能的承载、持续与压力占位，不直接等同是否愿意认错或能否修复。</x:v>
      </x:c>
      <x:c r="L82" s="20" t="str">
        <x:v>由M1／M2提供；夫妻星只说明伴侣原型与关系资格，不单独证明修复能力、修复意愿或修复结果。</x:v>
      </x:c>
      <x:c r="M82" s="20" t="str">
        <x:v>由M3-BASE提供；日支底盘说明亲密关系中自然调用的功能，但不能单独证明修复闭环。</x:v>
      </x:c>
      <x:c r="N82" s="20" t="str">
        <x:v>由M3-CONFLICT、M4-LOOP及现实事件提供；必须区分问题停止、责任承担、影响确认、行动改变、反馈整合与后续回访。</x:v>
      </x:c>
      <x:c r="O82" s="20" t="str">
        <x:v>由共享基础引擎判定；近位提高相关功能进入亲密关系核心的概率，远位只作背景或阶段修正。</x:v>
      </x:c>
      <x:c r="P82" s="20" t="str">
        <x:v>根气只修正某修复功能是否容易重复调用，不等于现实中已经持续改变。</x:v>
      </x:c>
      <x:c r="Q82" s="20" t="str">
        <x:v>旺弱只修正功能调用强度与占位，不直接等同修复质量、诚意或关系结果。</x:v>
      </x:c>
      <x:c r="R82" s="20" t="str">
        <x:v>喜忌只修正功能摩擦、平衡与承载，不直接等同道德、成熟、善恶或是否值得原谅。</x:v>
      </x:c>
      <x:c r="S82" s="20" t="str">
        <x:v>原十神功能有效；真合化成立时按化神功能替换，合化争议时停止定性。</x:v>
      </x:c>
      <x:c r="T82" s="20" t="str">
        <x:v>近位提高修复议题与亲密关系的直接相关性；远位仅保留背景、阶段或低置信修正。</x:v>
      </x:c>
      <x:c r="U82" s="20" t="str">
        <x:v>68</x:v>
      </x:c>
      <x:c r="V82" s="20" t="str">
        <x:v>有效通道＋3；替代盲点另行路由</x:v>
      </x:c>
      <x:c r="W82" s="20" t="str">
        <x:v>repair_channel</x:v>
      </x:c>
      <x:c r="X82" s="20" t="str">
        <x:v>第二功能负责把本通道转成更完整的修复链。</x:v>
      </x:c>
      <x:c r="Y82" s="20" t="str">
        <x:v>要让修复更完整，还需要：需要比肩／食伤确认范围，正财／正官稳定后续。</x:v>
      </x:c>
      <x:c r="Z8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2" s="20" t="str">
        <x:v>中高</x:v>
      </x:c>
      <x:c r="AB82" s="20" t="str">
        <x:v>待验证</x:v>
      </x:c>
      <x:c r="AC82" s="20" t="str"/>
      <x:c r="AD82" s="20" t="str">
        <x:v>provisional=true；M3-REPAIR尚未完成，完成条件为暂定功能模型。</x:v>
      </x:c>
      <x:c r="AE82" s="52" t="str">
        <x:v>0.7</x:v>
      </x:c>
    </x:row>
    <x:row r="83">
      <x:c r="A83" s="51" t="str">
        <x:v>M4-REPAIR-082</x:v>
      </x:c>
      <x:c r="B83" s="20" t="str">
        <x:v>RC02 劫财｜即时协作修复｜状态修正</x:v>
      </x:c>
      <x:c r="C83" s="20" t="str">
        <x:v>L2 十神修复功能通道</x:v>
      </x:c>
      <x:c r="D83" s="20" t="str">
        <x:v>REPAIR-十神通道</x:v>
      </x:c>
      <x:c r="E83" s="20" t="str">
        <x:v>通用</x:v>
      </x:c>
      <x:c r="F83" s="20" t="str">
        <x:v>状态</x:v>
      </x:c>
      <x:c r="G83" s="20" t="str">
        <x:v>RC02</x:v>
      </x:c>
      <x:c r="H83" s="20" t="str">
        <x:v>劫财</x:v>
      </x:c>
      <x:c r="I83" s="20" t="str">
        <x:v>结合透藏、根气、旺弱、制化、位置和现实重复行为。</x:v>
      </x:c>
      <x:c r="J83" s="20" t="str">
        <x:v>强即有效、弱即没有、喜即成熟、忌即恶意。</x:v>
      </x:c>
      <x:c r="K83" s="20" t="str">
        <x:v>由共享基础引擎提供；仅修正修复功能的承载、持续与压力占位，不直接等同是否愿意认错或能否修复。</x:v>
      </x:c>
      <x:c r="L83" s="20" t="str">
        <x:v>由M1／M2提供；夫妻星只说明伴侣原型与关系资格，不单独证明修复能力、修复意愿或修复结果。</x:v>
      </x:c>
      <x:c r="M83" s="20" t="str">
        <x:v>由M3-BASE提供；日支底盘说明亲密关系中自然调用的功能，但不能单独证明修复闭环。</x:v>
      </x:c>
      <x:c r="N83" s="20" t="str">
        <x:v>由M3-CONFLICT、M4-LOOP及现实事件提供；必须区分问题停止、责任承担、影响确认、行动改变、反馈整合与后续回访。</x:v>
      </x:c>
      <x:c r="O83" s="20" t="str">
        <x:v>由共享基础引擎判定；近位提高相关功能进入亲密关系核心的概率，远位只作背景或阶段修正。</x:v>
      </x:c>
      <x:c r="P83" s="20" t="str">
        <x:v>根气只修正某修复功能是否容易重复调用，不等于现实中已经持续改变。</x:v>
      </x:c>
      <x:c r="Q83" s="20" t="str">
        <x:v>旺弱只修正功能调用强度与占位，不直接等同修复质量、诚意或关系结果。</x:v>
      </x:c>
      <x:c r="R83" s="20" t="str">
        <x:v>喜忌只修正功能摩擦、平衡与承载，不直接等同道德、成熟、善恶或是否值得原谅。</x:v>
      </x:c>
      <x:c r="S83" s="20" t="str">
        <x:v>原十神功能有效；真合化成立时按化神功能替换，合化争议时停止定性。</x:v>
      </x:c>
      <x:c r="T83" s="20" t="str">
        <x:v>近位提高修复议题与亲密关系的直接相关性；远位仅保留背景、阶段或低置信修正。</x:v>
      </x:c>
      <x:c r="U83" s="20" t="str">
        <x:v>68</x:v>
      </x:c>
      <x:c r="V83" s="20" t="str">
        <x:v>有效通道＋3；替代盲点另行路由</x:v>
      </x:c>
      <x:c r="W83" s="20" t="str">
        <x:v>repair_channel</x:v>
      </x:c>
      <x:c r="X83" s="20" t="str">
        <x:v>状态只修正调用方式和持续性。</x:v>
      </x:c>
      <x:c r="Y83" s="20" t="str">
        <x:v>这项方式是否稳定，需要继续看它能否重复、是否受另一功能调节。</x:v>
      </x:c>
      <x:c r="Z8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3" s="20" t="str">
        <x:v>中高</x:v>
      </x:c>
      <x:c r="AB83" s="20" t="str">
        <x:v>待验证</x:v>
      </x:c>
      <x:c r="AC83" s="20" t="str"/>
      <x:c r="AD83" s="20" t="str">
        <x:v>provisional=true；M3-REPAIR尚未完成，完成条件为暂定功能模型。</x:v>
      </x:c>
      <x:c r="AE83" s="52" t="str">
        <x:v>0.7</x:v>
      </x:c>
    </x:row>
    <x:row r="84">
      <x:c r="A84" s="51" t="str">
        <x:v>M4-REPAIR-083</x:v>
      </x:c>
      <x:c r="B84" s="20" t="str">
        <x:v>RC02 劫财｜即时协作修复｜用户标准文案</x:v>
      </x:c>
      <x:c r="C84" s="20" t="str">
        <x:v>L2 十神修复功能通道</x:v>
      </x:c>
      <x:c r="D84" s="20" t="str">
        <x:v>REPAIR-十神通道</x:v>
      </x:c>
      <x:c r="E84" s="20" t="str">
        <x:v>通用</x:v>
      </x:c>
      <x:c r="F84" s="20" t="str">
        <x:v>输出</x:v>
      </x:c>
      <x:c r="G84" s="20" t="str">
        <x:v>RC02</x:v>
      </x:c>
      <x:c r="H84" s="20" t="str">
        <x:v>劫财</x:v>
      </x:c>
      <x:c r="I84" s="20" t="str">
        <x:v>该通道为主修复方式候选，并有第二类独立证据。</x:v>
      </x:c>
      <x:c r="J84" s="20" t="str">
        <x:v>证据不足或真合化争议。</x:v>
      </x:c>
      <x:c r="K84" s="20" t="str">
        <x:v>由共享基础引擎提供；仅修正修复功能的承载、持续与压力占位，不直接等同是否愿意认错或能否修复。</x:v>
      </x:c>
      <x:c r="L84" s="20" t="str">
        <x:v>由M1／M2提供；夫妻星只说明伴侣原型与关系资格，不单独证明修复能力、修复意愿或修复结果。</x:v>
      </x:c>
      <x:c r="M84" s="20" t="str">
        <x:v>由M3-BASE提供；日支底盘说明亲密关系中自然调用的功能，但不能单独证明修复闭环。</x:v>
      </x:c>
      <x:c r="N84" s="20" t="str">
        <x:v>由M3-CONFLICT、M4-LOOP及现实事件提供；必须区分问题停止、责任承担、影响确认、行动改变、反馈整合与后续回访。</x:v>
      </x:c>
      <x:c r="O84" s="20" t="str">
        <x:v>由共享基础引擎判定；近位提高相关功能进入亲密关系核心的概率，远位只作背景或阶段修正。</x:v>
      </x:c>
      <x:c r="P84" s="20" t="str">
        <x:v>根气只修正某修复功能是否容易重复调用，不等于现实中已经持续改变。</x:v>
      </x:c>
      <x:c r="Q84" s="20" t="str">
        <x:v>旺弱只修正功能调用强度与占位，不直接等同修复质量、诚意或关系结果。</x:v>
      </x:c>
      <x:c r="R84" s="20" t="str">
        <x:v>喜忌只修正功能摩擦、平衡与承载，不直接等同道德、成熟、善恶或是否值得原谅。</x:v>
      </x:c>
      <x:c r="S84" s="20" t="str">
        <x:v>原十神功能有效；真合化成立时按化神功能替换，合化争议时停止定性。</x:v>
      </x:c>
      <x:c r="T84" s="20" t="str">
        <x:v>近位提高修复议题与亲密关系的直接相关性；远位仅保留背景、阶段或低置信修正。</x:v>
      </x:c>
      <x:c r="U84" s="20" t="str">
        <x:v>68</x:v>
      </x:c>
      <x:c r="V84" s="20" t="str">
        <x:v>有效通道＋3；替代盲点另行路由</x:v>
      </x:c>
      <x:c r="W84" s="20" t="str">
        <x:v>repair_channel</x:v>
      </x:c>
      <x:c r="X84" s="20" t="str">
        <x:v>输出先描述功能，再描述缺口，不贴人格标签。</x:v>
      </x:c>
      <x:c r="Y84" s="20" t="str">
        <x:v>你可能更习惯先加入处理、迅速补位，再在过程中调整方案。</x:v>
      </x:c>
      <x:c r="Z8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4" s="20" t="str">
        <x:v>中高</x:v>
      </x:c>
      <x:c r="AB84" s="20" t="str">
        <x:v>待验证</x:v>
      </x:c>
      <x:c r="AC84" s="20" t="str"/>
      <x:c r="AD84" s="20" t="str">
        <x:v>provisional=true；M3-REPAIR尚未完成，完成条件为暂定功能模型。</x:v>
      </x:c>
      <x:c r="AE84" s="52" t="str">
        <x:v>0.7</x:v>
      </x:c>
    </x:row>
    <x:row r="85">
      <x:c r="A85" s="51" t="str">
        <x:v>M4-REPAIR-084</x:v>
      </x:c>
      <x:c r="B85" s="20" t="str">
        <x:v>RC02 劫财｜即时协作修复｜禁止推断</x:v>
      </x:c>
      <x:c r="C85" s="20" t="str">
        <x:v>L2 十神修复功能通道</x:v>
      </x:c>
      <x:c r="D85" s="20" t="str">
        <x:v>REPAIR-十神通道</x:v>
      </x:c>
      <x:c r="E85" s="20" t="str">
        <x:v>通用</x:v>
      </x:c>
      <x:c r="F85" s="20" t="str">
        <x:v>边界</x:v>
      </x:c>
      <x:c r="G85" s="20" t="str">
        <x:v>RC02</x:v>
      </x:c>
      <x:c r="H85" s="20" t="str">
        <x:v>劫财</x:v>
      </x:c>
      <x:c r="I85" s="20" t="str">
        <x:v>完成现实安全、责任和反例检查。</x:v>
      </x:c>
      <x:c r="J85" s="20" t="str">
        <x:v>不得由即时行动推出冲动、抢夺或修复一定有效。。</x:v>
      </x:c>
      <x:c r="K85" s="20" t="str">
        <x:v>由共享基础引擎提供；仅修正修复功能的承载、持续与压力占位，不直接等同是否愿意认错或能否修复。</x:v>
      </x:c>
      <x:c r="L85" s="20" t="str">
        <x:v>由M1／M2提供；夫妻星只说明伴侣原型与关系资格，不单独证明修复能力、修复意愿或修复结果。</x:v>
      </x:c>
      <x:c r="M85" s="20" t="str">
        <x:v>由M3-BASE提供；日支底盘说明亲密关系中自然调用的功能，但不能单独证明修复闭环。</x:v>
      </x:c>
      <x:c r="N85" s="20" t="str">
        <x:v>由M3-CONFLICT、M4-LOOP及现实事件提供；必须区分问题停止、责任承担、影响确认、行动改变、反馈整合与后续回访。</x:v>
      </x:c>
      <x:c r="O85" s="20" t="str">
        <x:v>由共享基础引擎判定；近位提高相关功能进入亲密关系核心的概率，远位只作背景或阶段修正。</x:v>
      </x:c>
      <x:c r="P85" s="20" t="str">
        <x:v>根气只修正某修复功能是否容易重复调用，不等于现实中已经持续改变。</x:v>
      </x:c>
      <x:c r="Q85" s="20" t="str">
        <x:v>旺弱只修正功能调用强度与占位，不直接等同修复质量、诚意或关系结果。</x:v>
      </x:c>
      <x:c r="R85" s="20" t="str">
        <x:v>喜忌只修正功能摩擦、平衡与承载，不直接等同道德、成熟、善恶或是否值得原谅。</x:v>
      </x:c>
      <x:c r="S85" s="20" t="str">
        <x:v>原十神功能有效；真合化成立时按化神功能替换，合化争议时停止定性。</x:v>
      </x:c>
      <x:c r="T85" s="20" t="str">
        <x:v>近位提高修复议题与亲密关系的直接相关性；远位仅保留背景、阶段或低置信修正。</x:v>
      </x:c>
      <x:c r="U85" s="20" t="str">
        <x:v>82</x:v>
      </x:c>
      <x:c r="V85" s="20" t="str">
        <x:v>有效通道＋3；替代盲点另行路由</x:v>
      </x:c>
      <x:c r="W85" s="20" t="str">
        <x:v>repair_channel</x:v>
      </x:c>
      <x:c r="X85" s="20" t="str">
        <x:v>十神修复通道不能推断诚意、道德和关系结果。</x:v>
      </x:c>
      <x:c r="Y85" s="20" t="str">
        <x:v>边界提示：不得由即时行动推出冲动、抢夺或修复一定有效。</x:v>
      </x:c>
      <x:c r="Z8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5" s="20" t="str">
        <x:v>中高</x:v>
      </x:c>
      <x:c r="AB85" s="20" t="str">
        <x:v>待验证</x:v>
      </x:c>
      <x:c r="AC85" s="20" t="str"/>
      <x:c r="AD85" s="20" t="str">
        <x:v>provisional=true；M3-REPAIR尚未完成，完成条件为暂定功能模型。</x:v>
      </x:c>
      <x:c r="AE85" s="52" t="str">
        <x:v>0.7</x:v>
      </x:c>
    </x:row>
    <x:row r="86">
      <x:c r="A86" s="51" t="str">
        <x:v>M4-REPAIR-085</x:v>
      </x:c>
      <x:c r="B86" s="20" t="str">
        <x:v>RC03 食神｜舒缓重连修复｜正常修复功能</x:v>
      </x:c>
      <x:c r="C86" s="20" t="str">
        <x:v>L2 十神修复功能通道</x:v>
      </x:c>
      <x:c r="D86" s="20" t="str">
        <x:v>REPAIR-十神通道</x:v>
      </x:c>
      <x:c r="E86" s="20" t="str">
        <x:v>通用</x:v>
      </x:c>
      <x:c r="F86" s="20" t="str">
        <x:v>定义</x:v>
      </x:c>
      <x:c r="G86" s="20" t="str">
        <x:v>RC03</x:v>
      </x:c>
      <x:c r="H86" s="20" t="str">
        <x:v>食神</x:v>
      </x:c>
      <x:c r="I86" s="20" t="str">
        <x:v>降低紧张、恢复可说话状态和日常温度。</x:v>
      </x:c>
      <x:c r="J86" s="20" t="str">
        <x:v>仅凭十神名称或旺弱直接判断修复能力。</x:v>
      </x:c>
      <x:c r="K86" s="20" t="str">
        <x:v>由共享基础引擎提供；仅修正修复功能的承载、持续与压力占位，不直接等同是否愿意认错或能否修复。</x:v>
      </x:c>
      <x:c r="L86" s="20" t="str">
        <x:v>由M1／M2提供；夫妻星只说明伴侣原型与关系资格，不单独证明修复能力、修复意愿或修复结果。</x:v>
      </x:c>
      <x:c r="M86" s="20" t="str">
        <x:v>由M3-BASE提供；日支底盘说明亲密关系中自然调用的功能，但不能单独证明修复闭环。</x:v>
      </x:c>
      <x:c r="N86" s="20" t="str">
        <x:v>由M3-CONFLICT、M4-LOOP及现实事件提供；必须区分问题停止、责任承担、影响确认、行动改变、反馈整合与后续回访。</x:v>
      </x:c>
      <x:c r="O86" s="20" t="str">
        <x:v>由共享基础引擎判定；近位提高相关功能进入亲密关系核心的概率，远位只作背景或阶段修正。</x:v>
      </x:c>
      <x:c r="P86" s="20" t="str">
        <x:v>根气只修正某修复功能是否容易重复调用，不等于现实中已经持续改变。</x:v>
      </x:c>
      <x:c r="Q86" s="20" t="str">
        <x:v>旺弱只修正功能调用强度与占位，不直接等同修复质量、诚意或关系结果。</x:v>
      </x:c>
      <x:c r="R86" s="20" t="str">
        <x:v>喜忌只修正功能摩擦、平衡与承载，不直接等同道德、成熟、善恶或是否值得原谅。</x:v>
      </x:c>
      <x:c r="S86" s="20" t="str">
        <x:v>原十神功能有效；真合化成立时按化神功能替换，合化争议时停止定性。</x:v>
      </x:c>
      <x:c r="T86" s="20" t="str">
        <x:v>近位提高修复议题与亲密关系的直接相关性；远位仅保留背景、阶段或低置信修正。</x:v>
      </x:c>
      <x:c r="U86" s="20" t="str">
        <x:v>68</x:v>
      </x:c>
      <x:c r="V86" s="20" t="str">
        <x:v>有效通道＋3；替代盲点另行路由</x:v>
      </x:c>
      <x:c r="W86" s="20" t="str">
        <x:v>repair_channel</x:v>
      </x:c>
      <x:c r="X86" s="20" t="str">
        <x:v>十神提供一种可用修复功能，首先保留其正常价值。</x:v>
      </x:c>
      <x:c r="Y86" s="20" t="str">
        <x:v>你常会先让关系回到比较安全、舒服的状态，再继续处理问题。</x:v>
      </x:c>
      <x:c r="Z8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6" s="20" t="str">
        <x:v>中高</x:v>
      </x:c>
      <x:c r="AB86" s="20" t="str">
        <x:v>待验证</x:v>
      </x:c>
      <x:c r="AC86" s="20" t="str"/>
      <x:c r="AD86" s="20" t="str">
        <x:v>provisional=true；M3-REPAIR尚未完成，完成条件为暂定功能模型。</x:v>
      </x:c>
      <x:c r="AE86" s="52" t="str">
        <x:v>0.7</x:v>
      </x:c>
    </x:row>
    <x:row r="87">
      <x:c r="A87" s="51" t="str">
        <x:v>M4-REPAIR-086</x:v>
      </x:c>
      <x:c r="B87" s="20" t="str">
        <x:v>RC03 食神｜舒缓重连修复｜启动表现</x:v>
      </x:c>
      <x:c r="C87" s="20" t="str">
        <x:v>L2 十神修复功能通道</x:v>
      </x:c>
      <x:c r="D87" s="20" t="str">
        <x:v>REPAIR-十神通道</x:v>
      </x:c>
      <x:c r="E87" s="20" t="str">
        <x:v>通用</x:v>
      </x:c>
      <x:c r="F87" s="20" t="str">
        <x:v>行为</x:v>
      </x:c>
      <x:c r="G87" s="20" t="str">
        <x:v>RC03</x:v>
      </x:c>
      <x:c r="H87" s="20" t="str">
        <x:v>食神</x:v>
      </x:c>
      <x:c r="I87" s="20" t="str">
        <x:v>现实中出现：陪伴、柔和表达、生活照顾、恢复低压力接触。</x:v>
      </x:c>
      <x:c r="J87" s="20" t="str">
        <x:v>只有自我评价，没有具体行为。</x:v>
      </x:c>
      <x:c r="K87" s="20" t="str">
        <x:v>由共享基础引擎提供；仅修正修复功能的承载、持续与压力占位，不直接等同是否愿意认错或能否修复。</x:v>
      </x:c>
      <x:c r="L87" s="20" t="str">
        <x:v>由M1／M2提供；夫妻星只说明伴侣原型与关系资格，不单独证明修复能力、修复意愿或修复结果。</x:v>
      </x:c>
      <x:c r="M87" s="20" t="str">
        <x:v>由M3-BASE提供；日支底盘说明亲密关系中自然调用的功能，但不能单独证明修复闭环。</x:v>
      </x:c>
      <x:c r="N87" s="20" t="str">
        <x:v>由M3-CONFLICT、M4-LOOP及现实事件提供；必须区分问题停止、责任承担、影响确认、行动改变、反馈整合与后续回访。</x:v>
      </x:c>
      <x:c r="O87" s="20" t="str">
        <x:v>由共享基础引擎判定；近位提高相关功能进入亲密关系核心的概率，远位只作背景或阶段修正。</x:v>
      </x:c>
      <x:c r="P87" s="20" t="str">
        <x:v>根气只修正某修复功能是否容易重复调用，不等于现实中已经持续改变。</x:v>
      </x:c>
      <x:c r="Q87" s="20" t="str">
        <x:v>旺弱只修正功能调用强度与占位，不直接等同修复质量、诚意或关系结果。</x:v>
      </x:c>
      <x:c r="R87" s="20" t="str">
        <x:v>喜忌只修正功能摩擦、平衡与承载，不直接等同道德、成熟、善恶或是否值得原谅。</x:v>
      </x:c>
      <x:c r="S87" s="20" t="str">
        <x:v>原十神功能有效；真合化成立时按化神功能替换，合化争议时停止定性。</x:v>
      </x:c>
      <x:c r="T87" s="20" t="str">
        <x:v>近位提高修复议题与亲密关系的直接相关性；远位仅保留背景、阶段或低置信修正。</x:v>
      </x:c>
      <x:c r="U87" s="20" t="str">
        <x:v>68</x:v>
      </x:c>
      <x:c r="V87" s="20" t="str">
        <x:v>有效通道＋3；替代盲点另行路由</x:v>
      </x:c>
      <x:c r="W87" s="20" t="str">
        <x:v>repair_channel</x:v>
      </x:c>
      <x:c r="X87" s="20" t="str">
        <x:v>启动表现说明通道已出现，但不等于闭环。</x:v>
      </x:c>
      <x:c r="Y87" s="20" t="str">
        <x:v>当你使用这一通道时，常见表现是：陪伴、柔和表达、生活照顾、恢复低压力接触。</x:v>
      </x:c>
      <x:c r="Z8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7" s="20" t="str">
        <x:v>中高</x:v>
      </x:c>
      <x:c r="AB87" s="20" t="str">
        <x:v>待验证</x:v>
      </x:c>
      <x:c r="AC87" s="20" t="str"/>
      <x:c r="AD87" s="20" t="str">
        <x:v>provisional=true；M3-REPAIR尚未完成，完成条件为暂定功能模型。</x:v>
      </x:c>
      <x:c r="AE87" s="52" t="str">
        <x:v>0.7</x:v>
      </x:c>
    </x:row>
    <x:row r="88">
      <x:c r="A88" s="51" t="str">
        <x:v>M4-REPAIR-087</x:v>
      </x:c>
      <x:c r="B88" s="20" t="str">
        <x:v>RC03 食神｜舒缓重连修复｜接收方反馈检查</x:v>
      </x:c>
      <x:c r="C88" s="20" t="str">
        <x:v>L2 十神修复功能通道</x:v>
      </x:c>
      <x:c r="D88" s="20" t="str">
        <x:v>REPAIR-十神通道</x:v>
      </x:c>
      <x:c r="E88" s="20" t="str">
        <x:v>通用</x:v>
      </x:c>
      <x:c r="F88" s="20" t="str">
        <x:v>证据</x:v>
      </x:c>
      <x:c r="G88" s="20" t="str">
        <x:v>RC03</x:v>
      </x:c>
      <x:c r="H88" s="20" t="str">
        <x:v>食神</x:v>
      </x:c>
      <x:c r="I88" s="20" t="str">
        <x:v>接收方能够对该通道提供接受、拒绝、保留或调整反馈。</x:v>
      </x:c>
      <x:c r="J88" s="20" t="str">
        <x:v>只看发起者意图，不记录接收者反馈。</x:v>
      </x:c>
      <x:c r="K88" s="20" t="str">
        <x:v>由共享基础引擎提供；仅修正修复功能的承载、持续与压力占位，不直接等同是否愿意认错或能否修复。</x:v>
      </x:c>
      <x:c r="L88" s="20" t="str">
        <x:v>由M1／M2提供；夫妻星只说明伴侣原型与关系资格，不单独证明修复能力、修复意愿或修复结果。</x:v>
      </x:c>
      <x:c r="M88" s="20" t="str">
        <x:v>由M3-BASE提供；日支底盘说明亲密关系中自然调用的功能，但不能单独证明修复闭环。</x:v>
      </x:c>
      <x:c r="N88" s="20" t="str">
        <x:v>由M3-CONFLICT、M4-LOOP及现实事件提供；必须区分问题停止、责任承担、影响确认、行动改变、反馈整合与后续回访。</x:v>
      </x:c>
      <x:c r="O88" s="20" t="str">
        <x:v>由共享基础引擎判定；近位提高相关功能进入亲密关系核心的概率，远位只作背景或阶段修正。</x:v>
      </x:c>
      <x:c r="P88" s="20" t="str">
        <x:v>根气只修正某修复功能是否容易重复调用，不等于现实中已经持续改变。</x:v>
      </x:c>
      <x:c r="Q88" s="20" t="str">
        <x:v>旺弱只修正功能调用强度与占位，不直接等同修复质量、诚意或关系结果。</x:v>
      </x:c>
      <x:c r="R88" s="20" t="str">
        <x:v>喜忌只修正功能摩擦、平衡与承载，不直接等同道德、成熟、善恶或是否值得原谅。</x:v>
      </x:c>
      <x:c r="S88" s="20" t="str">
        <x:v>原十神功能有效；真合化成立时按化神功能替换，合化争议时停止定性。</x:v>
      </x:c>
      <x:c r="T88" s="20" t="str">
        <x:v>近位提高修复议题与亲密关系的直接相关性；远位仅保留背景、阶段或低置信修正。</x:v>
      </x:c>
      <x:c r="U88" s="20" t="str">
        <x:v>82</x:v>
      </x:c>
      <x:c r="V88" s="20" t="str">
        <x:v>有效通道＋3；替代盲点另行路由</x:v>
      </x:c>
      <x:c r="W88" s="20" t="str">
        <x:v>repair_channel</x:v>
      </x:c>
      <x:c r="X88" s="20" t="str">
        <x:v>修复通道是否有效必须看它是否回应真实影响。</x:v>
      </x:c>
      <x:c r="Y88" s="20" t="str">
        <x:v>还要看对方怎样接收这一步，以及是否需要进一步调整。</x:v>
      </x:c>
      <x:c r="Z8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8" s="20" t="str">
        <x:v>中高</x:v>
      </x:c>
      <x:c r="AB88" s="20" t="str">
        <x:v>待验证</x:v>
      </x:c>
      <x:c r="AC88" s="20" t="str"/>
      <x:c r="AD88" s="20" t="str">
        <x:v>provisional=true；M3-REPAIR尚未完成，完成条件为暂定功能模型。</x:v>
      </x:c>
      <x:c r="AE88" s="52" t="str">
        <x:v>0.7</x:v>
      </x:c>
    </x:row>
    <x:row r="89">
      <x:c r="A89" s="51" t="str">
        <x:v>M4-REPAIR-088</x:v>
      </x:c>
      <x:c r="B89" s="20" t="str">
        <x:v>RC03 食神｜舒缓重连修复｜常见替代盲点</x:v>
      </x:c>
      <x:c r="C89" s="20" t="str">
        <x:v>L2 十神修复功能通道</x:v>
      </x:c>
      <x:c r="D89" s="20" t="str">
        <x:v>REPAIR-十神通道</x:v>
      </x:c>
      <x:c r="E89" s="20" t="str">
        <x:v>通用</x:v>
      </x:c>
      <x:c r="F89" s="20" t="str">
        <x:v>盲点</x:v>
      </x:c>
      <x:c r="G89" s="20" t="str">
        <x:v>RC03</x:v>
      </x:c>
      <x:c r="H89" s="20" t="str">
        <x:v>食神</x:v>
      </x:c>
      <x:c r="I89" s="20" t="str">
        <x:v>该通道出现并承担修复任务。</x:v>
      </x:c>
      <x:c r="J89" s="20" t="str">
        <x:v>可能把气氛恢复当成问题已经完成。</x:v>
      </x:c>
      <x:c r="K89" s="20" t="str">
        <x:v>由共享基础引擎提供；仅修正修复功能的承载、持续与压力占位，不直接等同是否愿意认错或能否修复。</x:v>
      </x:c>
      <x:c r="L89" s="20" t="str">
        <x:v>由M1／M2提供；夫妻星只说明伴侣原型与关系资格，不单独证明修复能力、修复意愿或修复结果。</x:v>
      </x:c>
      <x:c r="M89" s="20" t="str">
        <x:v>由M3-BASE提供；日支底盘说明亲密关系中自然调用的功能，但不能单独证明修复闭环。</x:v>
      </x:c>
      <x:c r="N89" s="20" t="str">
        <x:v>由M3-CONFLICT、M4-LOOP及现实事件提供；必须区分问题停止、责任承担、影响确认、行动改变、反馈整合与后续回访。</x:v>
      </x:c>
      <x:c r="O89" s="20" t="str">
        <x:v>由共享基础引擎判定；近位提高相关功能进入亲密关系核心的概率，远位只作背景或阶段修正。</x:v>
      </x:c>
      <x:c r="P89" s="20" t="str">
        <x:v>根气只修正某修复功能是否容易重复调用，不等于现实中已经持续改变。</x:v>
      </x:c>
      <x:c r="Q89" s="20" t="str">
        <x:v>旺弱只修正功能调用强度与占位，不直接等同修复质量、诚意或关系结果。</x:v>
      </x:c>
      <x:c r="R89" s="20" t="str">
        <x:v>喜忌只修正功能摩擦、平衡与承载，不直接等同道德、成熟、善恶或是否值得原谅。</x:v>
      </x:c>
      <x:c r="S89" s="20" t="str">
        <x:v>原十神功能有效；真合化成立时按化神功能替换，合化争议时停止定性。</x:v>
      </x:c>
      <x:c r="T89" s="20" t="str">
        <x:v>近位提高修复议题与亲密关系的直接相关性；远位仅保留背景、阶段或低置信修正。</x:v>
      </x:c>
      <x:c r="U89" s="20" t="str">
        <x:v>68</x:v>
      </x:c>
      <x:c r="V89" s="20" t="str">
        <x:v>有效通道＋3；替代盲点另行路由</x:v>
      </x:c>
      <x:c r="W89" s="20" t="str">
        <x:v>repair_channel</x:v>
      </x:c>
      <x:c r="X89" s="20" t="str">
        <x:v>熟悉通道容易替代另一项不同修复任务。</x:v>
      </x:c>
      <x:c r="Y89" s="20" t="str">
        <x:v>需要留意：可能把气氛恢复当成问题已经完成。</x:v>
      </x:c>
      <x:c r="Z8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89" s="20" t="str">
        <x:v>中高</x:v>
      </x:c>
      <x:c r="AB89" s="20" t="str">
        <x:v>待验证</x:v>
      </x:c>
      <x:c r="AC89" s="20" t="str"/>
      <x:c r="AD89" s="20" t="str">
        <x:v>provisional=true；M3-REPAIR尚未完成，完成条件为暂定功能模型。</x:v>
      </x:c>
      <x:c r="AE89" s="52" t="str">
        <x:v>0.7</x:v>
      </x:c>
    </x:row>
    <x:row r="90">
      <x:c r="A90" s="51" t="str">
        <x:v>M4-REPAIR-089</x:v>
      </x:c>
      <x:c r="B90" s="20" t="str">
        <x:v>RC03 食神｜舒缓重连修复｜闭环所需第二功能</x:v>
      </x:c>
      <x:c r="C90" s="20" t="str">
        <x:v>L2 十神修复功能通道</x:v>
      </x:c>
      <x:c r="D90" s="20" t="str">
        <x:v>REPAIR-十神通道</x:v>
      </x:c>
      <x:c r="E90" s="20" t="str">
        <x:v>通用</x:v>
      </x:c>
      <x:c r="F90" s="20" t="str">
        <x:v>通关</x:v>
      </x:c>
      <x:c r="G90" s="20" t="str">
        <x:v>RC03</x:v>
      </x:c>
      <x:c r="H90" s="20" t="str">
        <x:v>食神</x:v>
      </x:c>
      <x:c r="I90" s="20" t="str">
        <x:v>需要伤官澄清、财官行动或明确回访点。</x:v>
      </x:c>
      <x:c r="J90" s="20" t="str">
        <x:v>假设单一通道能完成所有修复任务。</x:v>
      </x:c>
      <x:c r="K90" s="20" t="str">
        <x:v>由共享基础引擎提供；仅修正修复功能的承载、持续与压力占位，不直接等同是否愿意认错或能否修复。</x:v>
      </x:c>
      <x:c r="L90" s="20" t="str">
        <x:v>由M1／M2提供；夫妻星只说明伴侣原型与关系资格，不单独证明修复能力、修复意愿或修复结果。</x:v>
      </x:c>
      <x:c r="M90" s="20" t="str">
        <x:v>由M3-BASE提供；日支底盘说明亲密关系中自然调用的功能，但不能单独证明修复闭环。</x:v>
      </x:c>
      <x:c r="N90" s="20" t="str">
        <x:v>由M3-CONFLICT、M4-LOOP及现实事件提供；必须区分问题停止、责任承担、影响确认、行动改变、反馈整合与后续回访。</x:v>
      </x:c>
      <x:c r="O90" s="20" t="str">
        <x:v>由共享基础引擎判定；近位提高相关功能进入亲密关系核心的概率，远位只作背景或阶段修正。</x:v>
      </x:c>
      <x:c r="P90" s="20" t="str">
        <x:v>根气只修正某修复功能是否容易重复调用，不等于现实中已经持续改变。</x:v>
      </x:c>
      <x:c r="Q90" s="20" t="str">
        <x:v>旺弱只修正功能调用强度与占位，不直接等同修复质量、诚意或关系结果。</x:v>
      </x:c>
      <x:c r="R90" s="20" t="str">
        <x:v>喜忌只修正功能摩擦、平衡与承载，不直接等同道德、成熟、善恶或是否值得原谅。</x:v>
      </x:c>
      <x:c r="S90" s="20" t="str">
        <x:v>原十神功能有效；真合化成立时按化神功能替换，合化争议时停止定性。</x:v>
      </x:c>
      <x:c r="T90" s="20" t="str">
        <x:v>近位提高修复议题与亲密关系的直接相关性；远位仅保留背景、阶段或低置信修正。</x:v>
      </x:c>
      <x:c r="U90" s="20" t="str">
        <x:v>68</x:v>
      </x:c>
      <x:c r="V90" s="20" t="str">
        <x:v>有效通道＋3；替代盲点另行路由</x:v>
      </x:c>
      <x:c r="W90" s="20" t="str">
        <x:v>repair_channel</x:v>
      </x:c>
      <x:c r="X90" s="20" t="str">
        <x:v>第二功能负责把本通道转成更完整的修复链。</x:v>
      </x:c>
      <x:c r="Y90" s="20" t="str">
        <x:v>要让修复更完整，还需要：需要伤官澄清、财官行动或明确回访点。</x:v>
      </x:c>
      <x:c r="Z9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0" s="20" t="str">
        <x:v>中高</x:v>
      </x:c>
      <x:c r="AB90" s="20" t="str">
        <x:v>待验证</x:v>
      </x:c>
      <x:c r="AC90" s="20" t="str"/>
      <x:c r="AD90" s="20" t="str">
        <x:v>provisional=true；M3-REPAIR尚未完成，完成条件为暂定功能模型。</x:v>
      </x:c>
      <x:c r="AE90" s="52" t="str">
        <x:v>0.7</x:v>
      </x:c>
    </x:row>
    <x:row r="91">
      <x:c r="A91" s="51" t="str">
        <x:v>M4-REPAIR-090</x:v>
      </x:c>
      <x:c r="B91" s="20" t="str">
        <x:v>RC03 食神｜舒缓重连修复｜状态修正</x:v>
      </x:c>
      <x:c r="C91" s="20" t="str">
        <x:v>L2 十神修复功能通道</x:v>
      </x:c>
      <x:c r="D91" s="20" t="str">
        <x:v>REPAIR-十神通道</x:v>
      </x:c>
      <x:c r="E91" s="20" t="str">
        <x:v>通用</x:v>
      </x:c>
      <x:c r="F91" s="20" t="str">
        <x:v>状态</x:v>
      </x:c>
      <x:c r="G91" s="20" t="str">
        <x:v>RC03</x:v>
      </x:c>
      <x:c r="H91" s="20" t="str">
        <x:v>食神</x:v>
      </x:c>
      <x:c r="I91" s="20" t="str">
        <x:v>结合透藏、根气、旺弱、制化、位置和现实重复行为。</x:v>
      </x:c>
      <x:c r="J91" s="20" t="str">
        <x:v>强即有效、弱即没有、喜即成熟、忌即恶意。</x:v>
      </x:c>
      <x:c r="K91" s="20" t="str">
        <x:v>由共享基础引擎提供；仅修正修复功能的承载、持续与压力占位，不直接等同是否愿意认错或能否修复。</x:v>
      </x:c>
      <x:c r="L91" s="20" t="str">
        <x:v>由M1／M2提供；夫妻星只说明伴侣原型与关系资格，不单独证明修复能力、修复意愿或修复结果。</x:v>
      </x:c>
      <x:c r="M91" s="20" t="str">
        <x:v>由M3-BASE提供；日支底盘说明亲密关系中自然调用的功能，但不能单独证明修复闭环。</x:v>
      </x:c>
      <x:c r="N91" s="20" t="str">
        <x:v>由M3-CONFLICT、M4-LOOP及现实事件提供；必须区分问题停止、责任承担、影响确认、行动改变、反馈整合与后续回访。</x:v>
      </x:c>
      <x:c r="O91" s="20" t="str">
        <x:v>由共享基础引擎判定；近位提高相关功能进入亲密关系核心的概率，远位只作背景或阶段修正。</x:v>
      </x:c>
      <x:c r="P91" s="20" t="str">
        <x:v>根气只修正某修复功能是否容易重复调用，不等于现实中已经持续改变。</x:v>
      </x:c>
      <x:c r="Q91" s="20" t="str">
        <x:v>旺弱只修正功能调用强度与占位，不直接等同修复质量、诚意或关系结果。</x:v>
      </x:c>
      <x:c r="R91" s="20" t="str">
        <x:v>喜忌只修正功能摩擦、平衡与承载，不直接等同道德、成熟、善恶或是否值得原谅。</x:v>
      </x:c>
      <x:c r="S91" s="20" t="str">
        <x:v>原十神功能有效；真合化成立时按化神功能替换，合化争议时停止定性。</x:v>
      </x:c>
      <x:c r="T91" s="20" t="str">
        <x:v>近位提高修复议题与亲密关系的直接相关性；远位仅保留背景、阶段或低置信修正。</x:v>
      </x:c>
      <x:c r="U91" s="20" t="str">
        <x:v>68</x:v>
      </x:c>
      <x:c r="V91" s="20" t="str">
        <x:v>有效通道＋3；替代盲点另行路由</x:v>
      </x:c>
      <x:c r="W91" s="20" t="str">
        <x:v>repair_channel</x:v>
      </x:c>
      <x:c r="X91" s="20" t="str">
        <x:v>状态只修正调用方式和持续性。</x:v>
      </x:c>
      <x:c r="Y91" s="20" t="str">
        <x:v>这项方式是否稳定，需要继续看它能否重复、是否受另一功能调节。</x:v>
      </x:c>
      <x:c r="Z9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1" s="20" t="str">
        <x:v>中高</x:v>
      </x:c>
      <x:c r="AB91" s="20" t="str">
        <x:v>待验证</x:v>
      </x:c>
      <x:c r="AC91" s="20" t="str"/>
      <x:c r="AD91" s="20" t="str">
        <x:v>provisional=true；M3-REPAIR尚未完成，完成条件为暂定功能模型。</x:v>
      </x:c>
      <x:c r="AE91" s="52" t="str">
        <x:v>0.7</x:v>
      </x:c>
    </x:row>
    <x:row r="92">
      <x:c r="A92" s="51" t="str">
        <x:v>M4-REPAIR-091</x:v>
      </x:c>
      <x:c r="B92" s="20" t="str">
        <x:v>RC03 食神｜舒缓重连修复｜用户标准文案</x:v>
      </x:c>
      <x:c r="C92" s="20" t="str">
        <x:v>L2 十神修复功能通道</x:v>
      </x:c>
      <x:c r="D92" s="20" t="str">
        <x:v>REPAIR-十神通道</x:v>
      </x:c>
      <x:c r="E92" s="20" t="str">
        <x:v>通用</x:v>
      </x:c>
      <x:c r="F92" s="20" t="str">
        <x:v>输出</x:v>
      </x:c>
      <x:c r="G92" s="20" t="str">
        <x:v>RC03</x:v>
      </x:c>
      <x:c r="H92" s="20" t="str">
        <x:v>食神</x:v>
      </x:c>
      <x:c r="I92" s="20" t="str">
        <x:v>该通道为主修复方式候选，并有第二类独立证据。</x:v>
      </x:c>
      <x:c r="J92" s="20" t="str">
        <x:v>证据不足或真合化争议。</x:v>
      </x:c>
      <x:c r="K92" s="20" t="str">
        <x:v>由共享基础引擎提供；仅修正修复功能的承载、持续与压力占位，不直接等同是否愿意认错或能否修复。</x:v>
      </x:c>
      <x:c r="L92" s="20" t="str">
        <x:v>由M1／M2提供；夫妻星只说明伴侣原型与关系资格，不单独证明修复能力、修复意愿或修复结果。</x:v>
      </x:c>
      <x:c r="M92" s="20" t="str">
        <x:v>由M3-BASE提供；日支底盘说明亲密关系中自然调用的功能，但不能单独证明修复闭环。</x:v>
      </x:c>
      <x:c r="N92" s="20" t="str">
        <x:v>由M3-CONFLICT、M4-LOOP及现实事件提供；必须区分问题停止、责任承担、影响确认、行动改变、反馈整合与后续回访。</x:v>
      </x:c>
      <x:c r="O92" s="20" t="str">
        <x:v>由共享基础引擎判定；近位提高相关功能进入亲密关系核心的概率，远位只作背景或阶段修正。</x:v>
      </x:c>
      <x:c r="P92" s="20" t="str">
        <x:v>根气只修正某修复功能是否容易重复调用，不等于现实中已经持续改变。</x:v>
      </x:c>
      <x:c r="Q92" s="20" t="str">
        <x:v>旺弱只修正功能调用强度与占位，不直接等同修复质量、诚意或关系结果。</x:v>
      </x:c>
      <x:c r="R92" s="20" t="str">
        <x:v>喜忌只修正功能摩擦、平衡与承载，不直接等同道德、成熟、善恶或是否值得原谅。</x:v>
      </x:c>
      <x:c r="S92" s="20" t="str">
        <x:v>原十神功能有效；真合化成立时按化神功能替换，合化争议时停止定性。</x:v>
      </x:c>
      <x:c r="T92" s="20" t="str">
        <x:v>近位提高修复议题与亲密关系的直接相关性；远位仅保留背景、阶段或低置信修正。</x:v>
      </x:c>
      <x:c r="U92" s="20" t="str">
        <x:v>68</x:v>
      </x:c>
      <x:c r="V92" s="20" t="str">
        <x:v>有效通道＋3；替代盲点另行路由</x:v>
      </x:c>
      <x:c r="W92" s="20" t="str">
        <x:v>repair_channel</x:v>
      </x:c>
      <x:c r="X92" s="20" t="str">
        <x:v>输出先描述功能，再描述缺口，不贴人格标签。</x:v>
      </x:c>
      <x:c r="Y92" s="20" t="str">
        <x:v>你常会先让关系回到比较安全、舒服的状态，再继续处理问题。</x:v>
      </x:c>
      <x:c r="Z9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2" s="20" t="str">
        <x:v>中高</x:v>
      </x:c>
      <x:c r="AB92" s="20" t="str">
        <x:v>待验证</x:v>
      </x:c>
      <x:c r="AC92" s="20" t="str"/>
      <x:c r="AD92" s="20" t="str">
        <x:v>provisional=true；M3-REPAIR尚未完成，完成条件为暂定功能模型。</x:v>
      </x:c>
      <x:c r="AE92" s="52" t="str">
        <x:v>0.7</x:v>
      </x:c>
    </x:row>
    <x:row r="93">
      <x:c r="A93" s="51" t="str">
        <x:v>M4-REPAIR-092</x:v>
      </x:c>
      <x:c r="B93" s="20" t="str">
        <x:v>RC03 食神｜舒缓重连修复｜禁止推断</x:v>
      </x:c>
      <x:c r="C93" s="20" t="str">
        <x:v>L2 十神修复功能通道</x:v>
      </x:c>
      <x:c r="D93" s="20" t="str">
        <x:v>REPAIR-十神通道</x:v>
      </x:c>
      <x:c r="E93" s="20" t="str">
        <x:v>通用</x:v>
      </x:c>
      <x:c r="F93" s="20" t="str">
        <x:v>边界</x:v>
      </x:c>
      <x:c r="G93" s="20" t="str">
        <x:v>RC03</x:v>
      </x:c>
      <x:c r="H93" s="20" t="str">
        <x:v>食神</x:v>
      </x:c>
      <x:c r="I93" s="20" t="str">
        <x:v>完成现实安全、责任和反例检查。</x:v>
      </x:c>
      <x:c r="J93" s="20" t="str">
        <x:v>不得把舒缓写成逃避，也不得把气氛好转等同全部修复。。</x:v>
      </x:c>
      <x:c r="K93" s="20" t="str">
        <x:v>由共享基础引擎提供；仅修正修复功能的承载、持续与压力占位，不直接等同是否愿意认错或能否修复。</x:v>
      </x:c>
      <x:c r="L93" s="20" t="str">
        <x:v>由M1／M2提供；夫妻星只说明伴侣原型与关系资格，不单独证明修复能力、修复意愿或修复结果。</x:v>
      </x:c>
      <x:c r="M93" s="20" t="str">
        <x:v>由M3-BASE提供；日支底盘说明亲密关系中自然调用的功能，但不能单独证明修复闭环。</x:v>
      </x:c>
      <x:c r="N93" s="20" t="str">
        <x:v>由M3-CONFLICT、M4-LOOP及现实事件提供；必须区分问题停止、责任承担、影响确认、行动改变、反馈整合与后续回访。</x:v>
      </x:c>
      <x:c r="O93" s="20" t="str">
        <x:v>由共享基础引擎判定；近位提高相关功能进入亲密关系核心的概率，远位只作背景或阶段修正。</x:v>
      </x:c>
      <x:c r="P93" s="20" t="str">
        <x:v>根气只修正某修复功能是否容易重复调用，不等于现实中已经持续改变。</x:v>
      </x:c>
      <x:c r="Q93" s="20" t="str">
        <x:v>旺弱只修正功能调用强度与占位，不直接等同修复质量、诚意或关系结果。</x:v>
      </x:c>
      <x:c r="R93" s="20" t="str">
        <x:v>喜忌只修正功能摩擦、平衡与承载，不直接等同道德、成熟、善恶或是否值得原谅。</x:v>
      </x:c>
      <x:c r="S93" s="20" t="str">
        <x:v>原十神功能有效；真合化成立时按化神功能替换，合化争议时停止定性。</x:v>
      </x:c>
      <x:c r="T93" s="20" t="str">
        <x:v>近位提高修复议题与亲密关系的直接相关性；远位仅保留背景、阶段或低置信修正。</x:v>
      </x:c>
      <x:c r="U93" s="20" t="str">
        <x:v>82</x:v>
      </x:c>
      <x:c r="V93" s="20" t="str">
        <x:v>有效通道＋3；替代盲点另行路由</x:v>
      </x:c>
      <x:c r="W93" s="20" t="str">
        <x:v>repair_channel</x:v>
      </x:c>
      <x:c r="X93" s="20" t="str">
        <x:v>十神修复通道不能推断诚意、道德和关系结果。</x:v>
      </x:c>
      <x:c r="Y93" s="20" t="str">
        <x:v>边界提示：不得把舒缓写成逃避，也不得把气氛好转等同全部修复。</x:v>
      </x:c>
      <x:c r="Z9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3" s="20" t="str">
        <x:v>中高</x:v>
      </x:c>
      <x:c r="AB93" s="20" t="str">
        <x:v>待验证</x:v>
      </x:c>
      <x:c r="AC93" s="20" t="str"/>
      <x:c r="AD93" s="20" t="str">
        <x:v>provisional=true；M3-REPAIR尚未完成，完成条件为暂定功能模型。</x:v>
      </x:c>
      <x:c r="AE93" s="52" t="str">
        <x:v>0.7</x:v>
      </x:c>
    </x:row>
    <x:row r="94">
      <x:c r="A94" s="51" t="str">
        <x:v>M4-REPAIR-093</x:v>
      </x:c>
      <x:c r="B94" s="20" t="str">
        <x:v>RC04 伤官｜澄清命名修复｜正常修复功能</x:v>
      </x:c>
      <x:c r="C94" s="20" t="str">
        <x:v>L2 十神修复功能通道</x:v>
      </x:c>
      <x:c r="D94" s="20" t="str">
        <x:v>REPAIR-十神通道</x:v>
      </x:c>
      <x:c r="E94" s="20" t="str">
        <x:v>通用</x:v>
      </x:c>
      <x:c r="F94" s="20" t="str">
        <x:v>定义</x:v>
      </x:c>
      <x:c r="G94" s="20" t="str">
        <x:v>RC04</x:v>
      </x:c>
      <x:c r="H94" s="20" t="str">
        <x:v>伤官</x:v>
      </x:c>
      <x:c r="I94" s="20" t="str">
        <x:v>把事件、影响、误解和需要说清楚。</x:v>
      </x:c>
      <x:c r="J94" s="20" t="str">
        <x:v>仅凭十神名称或旺弱直接判断修复能力。</x:v>
      </x:c>
      <x:c r="K94" s="20" t="str">
        <x:v>由共享基础引擎提供；仅修正修复功能的承载、持续与压力占位，不直接等同是否愿意认错或能否修复。</x:v>
      </x:c>
      <x:c r="L94" s="20" t="str">
        <x:v>由M1／M2提供；夫妻星只说明伴侣原型与关系资格，不单独证明修复能力、修复意愿或修复结果。</x:v>
      </x:c>
      <x:c r="M94" s="20" t="str">
        <x:v>由M3-BASE提供；日支底盘说明亲密关系中自然调用的功能，但不能单独证明修复闭环。</x:v>
      </x:c>
      <x:c r="N94" s="20" t="str">
        <x:v>由M3-CONFLICT、M4-LOOP及现实事件提供；必须区分问题停止、责任承担、影响确认、行动改变、反馈整合与后续回访。</x:v>
      </x:c>
      <x:c r="O94" s="20" t="str">
        <x:v>由共享基础引擎判定；近位提高相关功能进入亲密关系核心的概率，远位只作背景或阶段修正。</x:v>
      </x:c>
      <x:c r="P94" s="20" t="str">
        <x:v>根气只修正某修复功能是否容易重复调用，不等于现实中已经持续改变。</x:v>
      </x:c>
      <x:c r="Q94" s="20" t="str">
        <x:v>旺弱只修正功能调用强度与占位，不直接等同修复质量、诚意或关系结果。</x:v>
      </x:c>
      <x:c r="R94" s="20" t="str">
        <x:v>喜忌只修正功能摩擦、平衡与承载，不直接等同道德、成熟、善恶或是否值得原谅。</x:v>
      </x:c>
      <x:c r="S94" s="20" t="str">
        <x:v>原十神功能有效；真合化成立时按化神功能替换，合化争议时停止定性。</x:v>
      </x:c>
      <x:c r="T94" s="20" t="str">
        <x:v>近位提高修复议题与亲密关系的直接相关性；远位仅保留背景、阶段或低置信修正。</x:v>
      </x:c>
      <x:c r="U94" s="20" t="str">
        <x:v>68</x:v>
      </x:c>
      <x:c r="V94" s="20" t="str">
        <x:v>有效通道＋3；替代盲点另行路由</x:v>
      </x:c>
      <x:c r="W94" s="20" t="str">
        <x:v>repair_channel</x:v>
      </x:c>
      <x:c r="X94" s="20" t="str">
        <x:v>十神提供一种可用修复功能，首先保留其正常价值。</x:v>
      </x:c>
      <x:c r="Y94" s="20" t="str">
        <x:v>你倾向通过把问题讲明白、核对理解来推进修复。</x:v>
      </x:c>
      <x:c r="Z9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4" s="20" t="str">
        <x:v>中高</x:v>
      </x:c>
      <x:c r="AB94" s="20" t="str">
        <x:v>待验证</x:v>
      </x:c>
      <x:c r="AC94" s="20" t="str"/>
      <x:c r="AD94" s="20" t="str">
        <x:v>provisional=true；M3-REPAIR尚未完成，完成条件为暂定功能模型。</x:v>
      </x:c>
      <x:c r="AE94" s="52" t="str">
        <x:v>0.7</x:v>
      </x:c>
    </x:row>
    <x:row r="95">
      <x:c r="A95" s="51" t="str">
        <x:v>M4-REPAIR-094</x:v>
      </x:c>
      <x:c r="B95" s="20" t="str">
        <x:v>RC04 伤官｜澄清命名修复｜启动表现</x:v>
      </x:c>
      <x:c r="C95" s="20" t="str">
        <x:v>L2 十神修复功能通道</x:v>
      </x:c>
      <x:c r="D95" s="20" t="str">
        <x:v>REPAIR-十神通道</x:v>
      </x:c>
      <x:c r="E95" s="20" t="str">
        <x:v>通用</x:v>
      </x:c>
      <x:c r="F95" s="20" t="str">
        <x:v>行为</x:v>
      </x:c>
      <x:c r="G95" s="20" t="str">
        <x:v>RC04</x:v>
      </x:c>
      <x:c r="H95" s="20" t="str">
        <x:v>伤官</x:v>
      </x:c>
      <x:c r="I95" s="20" t="str">
        <x:v>现实中出现：解释、提问、复述、命名问题、核对彼此理解。</x:v>
      </x:c>
      <x:c r="J95" s="20" t="str">
        <x:v>只有自我评价，没有具体行为。</x:v>
      </x:c>
      <x:c r="K95" s="20" t="str">
        <x:v>由共享基础引擎提供；仅修正修复功能的承载、持续与压力占位，不直接等同是否愿意认错或能否修复。</x:v>
      </x:c>
      <x:c r="L95" s="20" t="str">
        <x:v>由M1／M2提供；夫妻星只说明伴侣原型与关系资格，不单独证明修复能力、修复意愿或修复结果。</x:v>
      </x:c>
      <x:c r="M95" s="20" t="str">
        <x:v>由M3-BASE提供；日支底盘说明亲密关系中自然调用的功能，但不能单独证明修复闭环。</x:v>
      </x:c>
      <x:c r="N95" s="20" t="str">
        <x:v>由M3-CONFLICT、M4-LOOP及现实事件提供；必须区分问题停止、责任承担、影响确认、行动改变、反馈整合与后续回访。</x:v>
      </x:c>
      <x:c r="O95" s="20" t="str">
        <x:v>由共享基础引擎判定；近位提高相关功能进入亲密关系核心的概率，远位只作背景或阶段修正。</x:v>
      </x:c>
      <x:c r="P95" s="20" t="str">
        <x:v>根气只修正某修复功能是否容易重复调用，不等于现实中已经持续改变。</x:v>
      </x:c>
      <x:c r="Q95" s="20" t="str">
        <x:v>旺弱只修正功能调用强度与占位，不直接等同修复质量、诚意或关系结果。</x:v>
      </x:c>
      <x:c r="R95" s="20" t="str">
        <x:v>喜忌只修正功能摩擦、平衡与承载，不直接等同道德、成熟、善恶或是否值得原谅。</x:v>
      </x:c>
      <x:c r="S95" s="20" t="str">
        <x:v>原十神功能有效；真合化成立时按化神功能替换，合化争议时停止定性。</x:v>
      </x:c>
      <x:c r="T95" s="20" t="str">
        <x:v>近位提高修复议题与亲密关系的直接相关性；远位仅保留背景、阶段或低置信修正。</x:v>
      </x:c>
      <x:c r="U95" s="20" t="str">
        <x:v>68</x:v>
      </x:c>
      <x:c r="V95" s="20" t="str">
        <x:v>有效通道＋3；替代盲点另行路由</x:v>
      </x:c>
      <x:c r="W95" s="20" t="str">
        <x:v>repair_channel</x:v>
      </x:c>
      <x:c r="X95" s="20" t="str">
        <x:v>启动表现说明通道已出现，但不等于闭环。</x:v>
      </x:c>
      <x:c r="Y95" s="20" t="str">
        <x:v>当你使用这一通道时，常见表现是：解释、提问、复述、命名问题、核对彼此理解。</x:v>
      </x:c>
      <x:c r="Z9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5" s="20" t="str">
        <x:v>中高</x:v>
      </x:c>
      <x:c r="AB95" s="20" t="str">
        <x:v>待验证</x:v>
      </x:c>
      <x:c r="AC95" s="20" t="str"/>
      <x:c r="AD95" s="20" t="str">
        <x:v>provisional=true；M3-REPAIR尚未完成，完成条件为暂定功能模型。</x:v>
      </x:c>
      <x:c r="AE95" s="52" t="str">
        <x:v>0.7</x:v>
      </x:c>
    </x:row>
    <x:row r="96">
      <x:c r="A96" s="51" t="str">
        <x:v>M4-REPAIR-095</x:v>
      </x:c>
      <x:c r="B96" s="20" t="str">
        <x:v>RC04 伤官｜澄清命名修复｜接收方反馈检查</x:v>
      </x:c>
      <x:c r="C96" s="20" t="str">
        <x:v>L2 十神修复功能通道</x:v>
      </x:c>
      <x:c r="D96" s="20" t="str">
        <x:v>REPAIR-十神通道</x:v>
      </x:c>
      <x:c r="E96" s="20" t="str">
        <x:v>通用</x:v>
      </x:c>
      <x:c r="F96" s="20" t="str">
        <x:v>证据</x:v>
      </x:c>
      <x:c r="G96" s="20" t="str">
        <x:v>RC04</x:v>
      </x:c>
      <x:c r="H96" s="20" t="str">
        <x:v>伤官</x:v>
      </x:c>
      <x:c r="I96" s="20" t="str">
        <x:v>接收方能够对该通道提供接受、拒绝、保留或调整反馈。</x:v>
      </x:c>
      <x:c r="J96" s="20" t="str">
        <x:v>只看发起者意图，不记录接收者反馈。</x:v>
      </x:c>
      <x:c r="K96" s="20" t="str">
        <x:v>由共享基础引擎提供；仅修正修复功能的承载、持续与压力占位，不直接等同是否愿意认错或能否修复。</x:v>
      </x:c>
      <x:c r="L96" s="20" t="str">
        <x:v>由M1／M2提供；夫妻星只说明伴侣原型与关系资格，不单独证明修复能力、修复意愿或修复结果。</x:v>
      </x:c>
      <x:c r="M96" s="20" t="str">
        <x:v>由M3-BASE提供；日支底盘说明亲密关系中自然调用的功能，但不能单独证明修复闭环。</x:v>
      </x:c>
      <x:c r="N96" s="20" t="str">
        <x:v>由M3-CONFLICT、M4-LOOP及现实事件提供；必须区分问题停止、责任承担、影响确认、行动改变、反馈整合与后续回访。</x:v>
      </x:c>
      <x:c r="O96" s="20" t="str">
        <x:v>由共享基础引擎判定；近位提高相关功能进入亲密关系核心的概率，远位只作背景或阶段修正。</x:v>
      </x:c>
      <x:c r="P96" s="20" t="str">
        <x:v>根气只修正某修复功能是否容易重复调用，不等于现实中已经持续改变。</x:v>
      </x:c>
      <x:c r="Q96" s="20" t="str">
        <x:v>旺弱只修正功能调用强度与占位，不直接等同修复质量、诚意或关系结果。</x:v>
      </x:c>
      <x:c r="R96" s="20" t="str">
        <x:v>喜忌只修正功能摩擦、平衡与承载，不直接等同道德、成熟、善恶或是否值得原谅。</x:v>
      </x:c>
      <x:c r="S96" s="20" t="str">
        <x:v>原十神功能有效；真合化成立时按化神功能替换，合化争议时停止定性。</x:v>
      </x:c>
      <x:c r="T96" s="20" t="str">
        <x:v>近位提高修复议题与亲密关系的直接相关性；远位仅保留背景、阶段或低置信修正。</x:v>
      </x:c>
      <x:c r="U96" s="20" t="str">
        <x:v>82</x:v>
      </x:c>
      <x:c r="V96" s="20" t="str">
        <x:v>有效通道＋3；替代盲点另行路由</x:v>
      </x:c>
      <x:c r="W96" s="20" t="str">
        <x:v>repair_channel</x:v>
      </x:c>
      <x:c r="X96" s="20" t="str">
        <x:v>修复通道是否有效必须看它是否回应真实影响。</x:v>
      </x:c>
      <x:c r="Y96" s="20" t="str">
        <x:v>还要看对方怎样接收这一步，以及是否需要进一步调整。</x:v>
      </x:c>
      <x:c r="Z9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6" s="20" t="str">
        <x:v>中高</x:v>
      </x:c>
      <x:c r="AB96" s="20" t="str">
        <x:v>待验证</x:v>
      </x:c>
      <x:c r="AC96" s="20" t="str"/>
      <x:c r="AD96" s="20" t="str">
        <x:v>provisional=true；M3-REPAIR尚未完成，完成条件为暂定功能模型。</x:v>
      </x:c>
      <x:c r="AE96" s="52" t="str">
        <x:v>0.7</x:v>
      </x:c>
    </x:row>
    <x:row r="97">
      <x:c r="A97" s="51" t="str">
        <x:v>M4-REPAIR-096</x:v>
      </x:c>
      <x:c r="B97" s="20" t="str">
        <x:v>RC04 伤官｜澄清命名修复｜常见替代盲点</x:v>
      </x:c>
      <x:c r="C97" s="20" t="str">
        <x:v>L2 十神修复功能通道</x:v>
      </x:c>
      <x:c r="D97" s="20" t="str">
        <x:v>REPAIR-十神通道</x:v>
      </x:c>
      <x:c r="E97" s="20" t="str">
        <x:v>通用</x:v>
      </x:c>
      <x:c r="F97" s="20" t="str">
        <x:v>盲点</x:v>
      </x:c>
      <x:c r="G97" s="20" t="str">
        <x:v>RC04</x:v>
      </x:c>
      <x:c r="H97" s="20" t="str">
        <x:v>伤官</x:v>
      </x:c>
      <x:c r="I97" s="20" t="str">
        <x:v>该通道出现并承担修复任务。</x:v>
      </x:c>
      <x:c r="J97" s="20" t="str">
        <x:v>可能用更完整的解释替代倾听、责任或现实改变。</x:v>
      </x:c>
      <x:c r="K97" s="20" t="str">
        <x:v>由共享基础引擎提供；仅修正修复功能的承载、持续与压力占位，不直接等同是否愿意认错或能否修复。</x:v>
      </x:c>
      <x:c r="L97" s="20" t="str">
        <x:v>由M1／M2提供；夫妻星只说明伴侣原型与关系资格，不单独证明修复能力、修复意愿或修复结果。</x:v>
      </x:c>
      <x:c r="M97" s="20" t="str">
        <x:v>由M3-BASE提供；日支底盘说明亲密关系中自然调用的功能，但不能单独证明修复闭环。</x:v>
      </x:c>
      <x:c r="N97" s="20" t="str">
        <x:v>由M3-CONFLICT、M4-LOOP及现实事件提供；必须区分问题停止、责任承担、影响确认、行动改变、反馈整合与后续回访。</x:v>
      </x:c>
      <x:c r="O97" s="20" t="str">
        <x:v>由共享基础引擎判定；近位提高相关功能进入亲密关系核心的概率，远位只作背景或阶段修正。</x:v>
      </x:c>
      <x:c r="P97" s="20" t="str">
        <x:v>根气只修正某修复功能是否容易重复调用，不等于现实中已经持续改变。</x:v>
      </x:c>
      <x:c r="Q97" s="20" t="str">
        <x:v>旺弱只修正功能调用强度与占位，不直接等同修复质量、诚意或关系结果。</x:v>
      </x:c>
      <x:c r="R97" s="20" t="str">
        <x:v>喜忌只修正功能摩擦、平衡与承载，不直接等同道德、成熟、善恶或是否值得原谅。</x:v>
      </x:c>
      <x:c r="S97" s="20" t="str">
        <x:v>原十神功能有效；真合化成立时按化神功能替换，合化争议时停止定性。</x:v>
      </x:c>
      <x:c r="T97" s="20" t="str">
        <x:v>近位提高修复议题与亲密关系的直接相关性；远位仅保留背景、阶段或低置信修正。</x:v>
      </x:c>
      <x:c r="U97" s="20" t="str">
        <x:v>68</x:v>
      </x:c>
      <x:c r="V97" s="20" t="str">
        <x:v>有效通道＋3；替代盲点另行路由</x:v>
      </x:c>
      <x:c r="W97" s="20" t="str">
        <x:v>repair_channel</x:v>
      </x:c>
      <x:c r="X97" s="20" t="str">
        <x:v>熟悉通道容易替代另一项不同修复任务。</x:v>
      </x:c>
      <x:c r="Y97" s="20" t="str">
        <x:v>需要留意：可能用更完整的解释替代倾听、责任或现实改变。</x:v>
      </x:c>
      <x:c r="Z9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7" s="20" t="str">
        <x:v>中高</x:v>
      </x:c>
      <x:c r="AB97" s="20" t="str">
        <x:v>待验证</x:v>
      </x:c>
      <x:c r="AC97" s="20" t="str"/>
      <x:c r="AD97" s="20" t="str">
        <x:v>provisional=true；M3-REPAIR尚未完成，完成条件为暂定功能模型。</x:v>
      </x:c>
      <x:c r="AE97" s="52" t="str">
        <x:v>0.7</x:v>
      </x:c>
    </x:row>
    <x:row r="98">
      <x:c r="A98" s="51" t="str">
        <x:v>M4-REPAIR-097</x:v>
      </x:c>
      <x:c r="B98" s="20" t="str">
        <x:v>RC04 伤官｜澄清命名修复｜闭环所需第二功能</x:v>
      </x:c>
      <x:c r="C98" s="20" t="str">
        <x:v>L2 十神修复功能通道</x:v>
      </x:c>
      <x:c r="D98" s="20" t="str">
        <x:v>REPAIR-十神通道</x:v>
      </x:c>
      <x:c r="E98" s="20" t="str">
        <x:v>通用</x:v>
      </x:c>
      <x:c r="F98" s="20" t="str">
        <x:v>通关</x:v>
      </x:c>
      <x:c r="G98" s="20" t="str">
        <x:v>RC04</x:v>
      </x:c>
      <x:c r="H98" s="20" t="str">
        <x:v>伤官</x:v>
      </x:c>
      <x:c r="I98" s="20" t="str">
        <x:v>需要正印反馈承接、财星落实或官杀承担。</x:v>
      </x:c>
      <x:c r="J98" s="20" t="str">
        <x:v>假设单一通道能完成所有修复任务。</x:v>
      </x:c>
      <x:c r="K98" s="20" t="str">
        <x:v>由共享基础引擎提供；仅修正修复功能的承载、持续与压力占位，不直接等同是否愿意认错或能否修复。</x:v>
      </x:c>
      <x:c r="L98" s="20" t="str">
        <x:v>由M1／M2提供；夫妻星只说明伴侣原型与关系资格，不单独证明修复能力、修复意愿或修复结果。</x:v>
      </x:c>
      <x:c r="M98" s="20" t="str">
        <x:v>由M3-BASE提供；日支底盘说明亲密关系中自然调用的功能，但不能单独证明修复闭环。</x:v>
      </x:c>
      <x:c r="N98" s="20" t="str">
        <x:v>由M3-CONFLICT、M4-LOOP及现实事件提供；必须区分问题停止、责任承担、影响确认、行动改变、反馈整合与后续回访。</x:v>
      </x:c>
      <x:c r="O98" s="20" t="str">
        <x:v>由共享基础引擎判定；近位提高相关功能进入亲密关系核心的概率，远位只作背景或阶段修正。</x:v>
      </x:c>
      <x:c r="P98" s="20" t="str">
        <x:v>根气只修正某修复功能是否容易重复调用，不等于现实中已经持续改变。</x:v>
      </x:c>
      <x:c r="Q98" s="20" t="str">
        <x:v>旺弱只修正功能调用强度与占位，不直接等同修复质量、诚意或关系结果。</x:v>
      </x:c>
      <x:c r="R98" s="20" t="str">
        <x:v>喜忌只修正功能摩擦、平衡与承载，不直接等同道德、成熟、善恶或是否值得原谅。</x:v>
      </x:c>
      <x:c r="S98" s="20" t="str">
        <x:v>原十神功能有效；真合化成立时按化神功能替换，合化争议时停止定性。</x:v>
      </x:c>
      <x:c r="T98" s="20" t="str">
        <x:v>近位提高修复议题与亲密关系的直接相关性；远位仅保留背景、阶段或低置信修正。</x:v>
      </x:c>
      <x:c r="U98" s="20" t="str">
        <x:v>68</x:v>
      </x:c>
      <x:c r="V98" s="20" t="str">
        <x:v>有效通道＋3；替代盲点另行路由</x:v>
      </x:c>
      <x:c r="W98" s="20" t="str">
        <x:v>repair_channel</x:v>
      </x:c>
      <x:c r="X98" s="20" t="str">
        <x:v>第二功能负责把本通道转成更完整的修复链。</x:v>
      </x:c>
      <x:c r="Y98" s="20" t="str">
        <x:v>要让修复更完整，还需要：需要正印反馈承接、财星落实或官杀承担。</x:v>
      </x:c>
      <x:c r="Z9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8" s="20" t="str">
        <x:v>中高</x:v>
      </x:c>
      <x:c r="AB98" s="20" t="str">
        <x:v>待验证</x:v>
      </x:c>
      <x:c r="AC98" s="20" t="str"/>
      <x:c r="AD98" s="20" t="str">
        <x:v>provisional=true；M3-REPAIR尚未完成，完成条件为暂定功能模型。</x:v>
      </x:c>
      <x:c r="AE98" s="52" t="str">
        <x:v>0.7</x:v>
      </x:c>
    </x:row>
    <x:row r="99">
      <x:c r="A99" s="51" t="str">
        <x:v>M4-REPAIR-098</x:v>
      </x:c>
      <x:c r="B99" s="20" t="str">
        <x:v>RC04 伤官｜澄清命名修复｜状态修正</x:v>
      </x:c>
      <x:c r="C99" s="20" t="str">
        <x:v>L2 十神修复功能通道</x:v>
      </x:c>
      <x:c r="D99" s="20" t="str">
        <x:v>REPAIR-十神通道</x:v>
      </x:c>
      <x:c r="E99" s="20" t="str">
        <x:v>通用</x:v>
      </x:c>
      <x:c r="F99" s="20" t="str">
        <x:v>状态</x:v>
      </x:c>
      <x:c r="G99" s="20" t="str">
        <x:v>RC04</x:v>
      </x:c>
      <x:c r="H99" s="20" t="str">
        <x:v>伤官</x:v>
      </x:c>
      <x:c r="I99" s="20" t="str">
        <x:v>结合透藏、根气、旺弱、制化、位置和现实重复行为。</x:v>
      </x:c>
      <x:c r="J99" s="20" t="str">
        <x:v>强即有效、弱即没有、喜即成熟、忌即恶意。</x:v>
      </x:c>
      <x:c r="K99" s="20" t="str">
        <x:v>由共享基础引擎提供；仅修正修复功能的承载、持续与压力占位，不直接等同是否愿意认错或能否修复。</x:v>
      </x:c>
      <x:c r="L99" s="20" t="str">
        <x:v>由M1／M2提供；夫妻星只说明伴侣原型与关系资格，不单独证明修复能力、修复意愿或修复结果。</x:v>
      </x:c>
      <x:c r="M99" s="20" t="str">
        <x:v>由M3-BASE提供；日支底盘说明亲密关系中自然调用的功能，但不能单独证明修复闭环。</x:v>
      </x:c>
      <x:c r="N99" s="20" t="str">
        <x:v>由M3-CONFLICT、M4-LOOP及现实事件提供；必须区分问题停止、责任承担、影响确认、行动改变、反馈整合与后续回访。</x:v>
      </x:c>
      <x:c r="O99" s="20" t="str">
        <x:v>由共享基础引擎判定；近位提高相关功能进入亲密关系核心的概率，远位只作背景或阶段修正。</x:v>
      </x:c>
      <x:c r="P99" s="20" t="str">
        <x:v>根气只修正某修复功能是否容易重复调用，不等于现实中已经持续改变。</x:v>
      </x:c>
      <x:c r="Q99" s="20" t="str">
        <x:v>旺弱只修正功能调用强度与占位，不直接等同修复质量、诚意或关系结果。</x:v>
      </x:c>
      <x:c r="R99" s="20" t="str">
        <x:v>喜忌只修正功能摩擦、平衡与承载，不直接等同道德、成熟、善恶或是否值得原谅。</x:v>
      </x:c>
      <x:c r="S99" s="20" t="str">
        <x:v>原十神功能有效；真合化成立时按化神功能替换，合化争议时停止定性。</x:v>
      </x:c>
      <x:c r="T99" s="20" t="str">
        <x:v>近位提高修复议题与亲密关系的直接相关性；远位仅保留背景、阶段或低置信修正。</x:v>
      </x:c>
      <x:c r="U99" s="20" t="str">
        <x:v>68</x:v>
      </x:c>
      <x:c r="V99" s="20" t="str">
        <x:v>有效通道＋3；替代盲点另行路由</x:v>
      </x:c>
      <x:c r="W99" s="20" t="str">
        <x:v>repair_channel</x:v>
      </x:c>
      <x:c r="X99" s="20" t="str">
        <x:v>状态只修正调用方式和持续性。</x:v>
      </x:c>
      <x:c r="Y99" s="20" t="str">
        <x:v>这项方式是否稳定，需要继续看它能否重复、是否受另一功能调节。</x:v>
      </x:c>
      <x:c r="Z9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99" s="20" t="str">
        <x:v>中高</x:v>
      </x:c>
      <x:c r="AB99" s="20" t="str">
        <x:v>待验证</x:v>
      </x:c>
      <x:c r="AC99" s="20" t="str"/>
      <x:c r="AD99" s="20" t="str">
        <x:v>provisional=true；M3-REPAIR尚未完成，完成条件为暂定功能模型。</x:v>
      </x:c>
      <x:c r="AE99" s="52" t="str">
        <x:v>0.7</x:v>
      </x:c>
    </x:row>
    <x:row r="100">
      <x:c r="A100" s="51" t="str">
        <x:v>M4-REPAIR-099</x:v>
      </x:c>
      <x:c r="B100" s="20" t="str">
        <x:v>RC04 伤官｜澄清命名修复｜用户标准文案</x:v>
      </x:c>
      <x:c r="C100" s="20" t="str">
        <x:v>L2 十神修复功能通道</x:v>
      </x:c>
      <x:c r="D100" s="20" t="str">
        <x:v>REPAIR-十神通道</x:v>
      </x:c>
      <x:c r="E100" s="20" t="str">
        <x:v>通用</x:v>
      </x:c>
      <x:c r="F100" s="20" t="str">
        <x:v>输出</x:v>
      </x:c>
      <x:c r="G100" s="20" t="str">
        <x:v>RC04</x:v>
      </x:c>
      <x:c r="H100" s="20" t="str">
        <x:v>伤官</x:v>
      </x:c>
      <x:c r="I100" s="20" t="str">
        <x:v>该通道为主修复方式候选，并有第二类独立证据。</x:v>
      </x:c>
      <x:c r="J100" s="20" t="str">
        <x:v>证据不足或真合化争议。</x:v>
      </x:c>
      <x:c r="K100" s="20" t="str">
        <x:v>由共享基础引擎提供；仅修正修复功能的承载、持续与压力占位，不直接等同是否愿意认错或能否修复。</x:v>
      </x:c>
      <x:c r="L100" s="20" t="str">
        <x:v>由M1／M2提供；夫妻星只说明伴侣原型与关系资格，不单独证明修复能力、修复意愿或修复结果。</x:v>
      </x:c>
      <x:c r="M100" s="20" t="str">
        <x:v>由M3-BASE提供；日支底盘说明亲密关系中自然调用的功能，但不能单独证明修复闭环。</x:v>
      </x:c>
      <x:c r="N100" s="20" t="str">
        <x:v>由M3-CONFLICT、M4-LOOP及现实事件提供；必须区分问题停止、责任承担、影响确认、行动改变、反馈整合与后续回访。</x:v>
      </x:c>
      <x:c r="O100" s="20" t="str">
        <x:v>由共享基础引擎判定；近位提高相关功能进入亲密关系核心的概率，远位只作背景或阶段修正。</x:v>
      </x:c>
      <x:c r="P100" s="20" t="str">
        <x:v>根气只修正某修复功能是否容易重复调用，不等于现实中已经持续改变。</x:v>
      </x:c>
      <x:c r="Q100" s="20" t="str">
        <x:v>旺弱只修正功能调用强度与占位，不直接等同修复质量、诚意或关系结果。</x:v>
      </x:c>
      <x:c r="R100" s="20" t="str">
        <x:v>喜忌只修正功能摩擦、平衡与承载，不直接等同道德、成熟、善恶或是否值得原谅。</x:v>
      </x:c>
      <x:c r="S100" s="20" t="str">
        <x:v>原十神功能有效；真合化成立时按化神功能替换，合化争议时停止定性。</x:v>
      </x:c>
      <x:c r="T100" s="20" t="str">
        <x:v>近位提高修复议题与亲密关系的直接相关性；远位仅保留背景、阶段或低置信修正。</x:v>
      </x:c>
      <x:c r="U100" s="20" t="str">
        <x:v>68</x:v>
      </x:c>
      <x:c r="V100" s="20" t="str">
        <x:v>有效通道＋3；替代盲点另行路由</x:v>
      </x:c>
      <x:c r="W100" s="20" t="str">
        <x:v>repair_channel</x:v>
      </x:c>
      <x:c r="X100" s="20" t="str">
        <x:v>输出先描述功能，再描述缺口，不贴人格标签。</x:v>
      </x:c>
      <x:c r="Y100" s="20" t="str">
        <x:v>你倾向通过把问题讲明白、核对理解来推进修复。</x:v>
      </x:c>
      <x:c r="Z10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0" s="20" t="str">
        <x:v>中高</x:v>
      </x:c>
      <x:c r="AB100" s="20" t="str">
        <x:v>待验证</x:v>
      </x:c>
      <x:c r="AC100" s="20" t="str"/>
      <x:c r="AD100" s="20" t="str">
        <x:v>provisional=true；M3-REPAIR尚未完成，完成条件为暂定功能模型。</x:v>
      </x:c>
      <x:c r="AE100" s="52" t="str">
        <x:v>0.7</x:v>
      </x:c>
    </x:row>
    <x:row r="101">
      <x:c r="A101" s="51" t="str">
        <x:v>M4-REPAIR-100</x:v>
      </x:c>
      <x:c r="B101" s="20" t="str">
        <x:v>RC04 伤官｜澄清命名修复｜禁止推断</x:v>
      </x:c>
      <x:c r="C101" s="20" t="str">
        <x:v>L2 十神修复功能通道</x:v>
      </x:c>
      <x:c r="D101" s="20" t="str">
        <x:v>REPAIR-十神通道</x:v>
      </x:c>
      <x:c r="E101" s="20" t="str">
        <x:v>通用</x:v>
      </x:c>
      <x:c r="F101" s="20" t="str">
        <x:v>边界</x:v>
      </x:c>
      <x:c r="G101" s="20" t="str">
        <x:v>RC04</x:v>
      </x:c>
      <x:c r="H101" s="20" t="str">
        <x:v>伤官</x:v>
      </x:c>
      <x:c r="I101" s="20" t="str">
        <x:v>完成现实安全、责任和反例检查。</x:v>
      </x:c>
      <x:c r="J101" s="20" t="str">
        <x:v>不得把表达直接写成攻击；解释多不等于已承担责任。。</x:v>
      </x:c>
      <x:c r="K101" s="20" t="str">
        <x:v>由共享基础引擎提供；仅修正修复功能的承载、持续与压力占位，不直接等同是否愿意认错或能否修复。</x:v>
      </x:c>
      <x:c r="L101" s="20" t="str">
        <x:v>由M1／M2提供；夫妻星只说明伴侣原型与关系资格，不单独证明修复能力、修复意愿或修复结果。</x:v>
      </x:c>
      <x:c r="M101" s="20" t="str">
        <x:v>由M3-BASE提供；日支底盘说明亲密关系中自然调用的功能，但不能单独证明修复闭环。</x:v>
      </x:c>
      <x:c r="N101" s="20" t="str">
        <x:v>由M3-CONFLICT、M4-LOOP及现实事件提供；必须区分问题停止、责任承担、影响确认、行动改变、反馈整合与后续回访。</x:v>
      </x:c>
      <x:c r="O101" s="20" t="str">
        <x:v>由共享基础引擎判定；近位提高相关功能进入亲密关系核心的概率，远位只作背景或阶段修正。</x:v>
      </x:c>
      <x:c r="P101" s="20" t="str">
        <x:v>根气只修正某修复功能是否容易重复调用，不等于现实中已经持续改变。</x:v>
      </x:c>
      <x:c r="Q101" s="20" t="str">
        <x:v>旺弱只修正功能调用强度与占位，不直接等同修复质量、诚意或关系结果。</x:v>
      </x:c>
      <x:c r="R101" s="20" t="str">
        <x:v>喜忌只修正功能摩擦、平衡与承载，不直接等同道德、成熟、善恶或是否值得原谅。</x:v>
      </x:c>
      <x:c r="S101" s="20" t="str">
        <x:v>原十神功能有效；真合化成立时按化神功能替换，合化争议时停止定性。</x:v>
      </x:c>
      <x:c r="T101" s="20" t="str">
        <x:v>近位提高修复议题与亲密关系的直接相关性；远位仅保留背景、阶段或低置信修正。</x:v>
      </x:c>
      <x:c r="U101" s="20" t="str">
        <x:v>82</x:v>
      </x:c>
      <x:c r="V101" s="20" t="str">
        <x:v>有效通道＋3；替代盲点另行路由</x:v>
      </x:c>
      <x:c r="W101" s="20" t="str">
        <x:v>repair_channel</x:v>
      </x:c>
      <x:c r="X101" s="20" t="str">
        <x:v>十神修复通道不能推断诚意、道德和关系结果。</x:v>
      </x:c>
      <x:c r="Y101" s="20" t="str">
        <x:v>边界提示：不得把表达直接写成攻击；解释多不等于已承担责任。</x:v>
      </x:c>
      <x:c r="Z10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1" s="20" t="str">
        <x:v>中高</x:v>
      </x:c>
      <x:c r="AB101" s="20" t="str">
        <x:v>待验证</x:v>
      </x:c>
      <x:c r="AC101" s="20" t="str"/>
      <x:c r="AD101" s="20" t="str">
        <x:v>provisional=true；M3-REPAIR尚未完成，完成条件为暂定功能模型。</x:v>
      </x:c>
      <x:c r="AE101" s="52" t="str">
        <x:v>0.7</x:v>
      </x:c>
    </x:row>
    <x:row r="102">
      <x:c r="A102" s="51" t="str">
        <x:v>M4-REPAIR-101</x:v>
      </x:c>
      <x:c r="B102" s="20" t="str">
        <x:v>RC05 正财｜稳定补救修复｜正常修复功能</x:v>
      </x:c>
      <x:c r="C102" s="20" t="str">
        <x:v>L2 十神修复功能通道</x:v>
      </x:c>
      <x:c r="D102" s="20" t="str">
        <x:v>REPAIR-十神通道</x:v>
      </x:c>
      <x:c r="E102" s="20" t="str">
        <x:v>通用</x:v>
      </x:c>
      <x:c r="F102" s="20" t="str">
        <x:v>定义</x:v>
      </x:c>
      <x:c r="G102" s="20" t="str">
        <x:v>RC05</x:v>
      </x:c>
      <x:c r="H102" s="20" t="str">
        <x:v>正财</x:v>
      </x:c>
      <x:c r="I102" s="20" t="str">
        <x:v>以持续现实调整、资源安排和重复兑现修复。</x:v>
      </x:c>
      <x:c r="J102" s="20" t="str">
        <x:v>仅凭十神名称或旺弱直接判断修复能力。</x:v>
      </x:c>
      <x:c r="K102" s="20" t="str">
        <x:v>由共享基础引擎提供；仅修正修复功能的承载、持续与压力占位，不直接等同是否愿意认错或能否修复。</x:v>
      </x:c>
      <x:c r="L102" s="20" t="str">
        <x:v>由M1／M2提供；夫妻星只说明伴侣原型与关系资格，不单独证明修复能力、修复意愿或修复结果。</x:v>
      </x:c>
      <x:c r="M102" s="20" t="str">
        <x:v>由M3-BASE提供；日支底盘说明亲密关系中自然调用的功能，但不能单独证明修复闭环。</x:v>
      </x:c>
      <x:c r="N102" s="20" t="str">
        <x:v>由M3-CONFLICT、M4-LOOP及现实事件提供；必须区分问题停止、责任承担、影响确认、行动改变、反馈整合与后续回访。</x:v>
      </x:c>
      <x:c r="O102" s="20" t="str">
        <x:v>由共享基础引擎判定；近位提高相关功能进入亲密关系核心的概率，远位只作背景或阶段修正。</x:v>
      </x:c>
      <x:c r="P102" s="20" t="str">
        <x:v>根气只修正某修复功能是否容易重复调用，不等于现实中已经持续改变。</x:v>
      </x:c>
      <x:c r="Q102" s="20" t="str">
        <x:v>旺弱只修正功能调用强度与占位，不直接等同修复质量、诚意或关系结果。</x:v>
      </x:c>
      <x:c r="R102" s="20" t="str">
        <x:v>喜忌只修正功能摩擦、平衡与承载，不直接等同道德、成熟、善恶或是否值得原谅。</x:v>
      </x:c>
      <x:c r="S102" s="20" t="str">
        <x:v>原十神功能有效；真合化成立时按化神功能替换，合化争议时停止定性。</x:v>
      </x:c>
      <x:c r="T102" s="20" t="str">
        <x:v>近位提高修复议题与亲密关系的直接相关性；远位仅保留背景、阶段或低置信修正。</x:v>
      </x:c>
      <x:c r="U102" s="20" t="str">
        <x:v>68</x:v>
      </x:c>
      <x:c r="V102" s="20" t="str">
        <x:v>有效通道＋3；替代盲点另行路由</x:v>
      </x:c>
      <x:c r="W102" s="20" t="str">
        <x:v>repair_channel</x:v>
      </x:c>
      <x:c r="X102" s="20" t="str">
        <x:v>十神提供一种可用修复功能，首先保留其正常价值。</x:v>
      </x:c>
      <x:c r="Y102" s="20" t="str">
        <x:v>你更容易用持续做事和现实调整证明自己会改变。</x:v>
      </x:c>
      <x:c r="Z10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2" s="20" t="str">
        <x:v>中高</x:v>
      </x:c>
      <x:c r="AB102" s="20" t="str">
        <x:v>待验证</x:v>
      </x:c>
      <x:c r="AC102" s="20" t="str"/>
      <x:c r="AD102" s="20" t="str">
        <x:v>provisional=true；M3-REPAIR尚未完成，完成条件为暂定功能模型。</x:v>
      </x:c>
      <x:c r="AE102" s="52" t="str">
        <x:v>0.7</x:v>
      </x:c>
    </x:row>
    <x:row r="103">
      <x:c r="A103" s="51" t="str">
        <x:v>M4-REPAIR-102</x:v>
      </x:c>
      <x:c r="B103" s="20" t="str">
        <x:v>RC05 正财｜稳定补救修复｜启动表现</x:v>
      </x:c>
      <x:c r="C103" s="20" t="str">
        <x:v>L2 十神修复功能通道</x:v>
      </x:c>
      <x:c r="D103" s="20" t="str">
        <x:v>REPAIR-十神通道</x:v>
      </x:c>
      <x:c r="E103" s="20" t="str">
        <x:v>通用</x:v>
      </x:c>
      <x:c r="F103" s="20" t="str">
        <x:v>行为</x:v>
      </x:c>
      <x:c r="G103" s="20" t="str">
        <x:v>RC05</x:v>
      </x:c>
      <x:c r="H103" s="20" t="str">
        <x:v>正财</x:v>
      </x:c>
      <x:c r="I103" s="20" t="str">
        <x:v>现实中出现：具体补偿、生活安排、时间投入、稳定执行。</x:v>
      </x:c>
      <x:c r="J103" s="20" t="str">
        <x:v>只有自我评价，没有具体行为。</x:v>
      </x:c>
      <x:c r="K103" s="20" t="str">
        <x:v>由共享基础引擎提供；仅修正修复功能的承载、持续与压力占位，不直接等同是否愿意认错或能否修复。</x:v>
      </x:c>
      <x:c r="L103" s="20" t="str">
        <x:v>由M1／M2提供；夫妻星只说明伴侣原型与关系资格，不单独证明修复能力、修复意愿或修复结果。</x:v>
      </x:c>
      <x:c r="M103" s="20" t="str">
        <x:v>由M3-BASE提供；日支底盘说明亲密关系中自然调用的功能，但不能单独证明修复闭环。</x:v>
      </x:c>
      <x:c r="N103" s="20" t="str">
        <x:v>由M3-CONFLICT、M4-LOOP及现实事件提供；必须区分问题停止、责任承担、影响确认、行动改变、反馈整合与后续回访。</x:v>
      </x:c>
      <x:c r="O103" s="20" t="str">
        <x:v>由共享基础引擎判定；近位提高相关功能进入亲密关系核心的概率，远位只作背景或阶段修正。</x:v>
      </x:c>
      <x:c r="P103" s="20" t="str">
        <x:v>根气只修正某修复功能是否容易重复调用，不等于现实中已经持续改变。</x:v>
      </x:c>
      <x:c r="Q103" s="20" t="str">
        <x:v>旺弱只修正功能调用强度与占位，不直接等同修复质量、诚意或关系结果。</x:v>
      </x:c>
      <x:c r="R103" s="20" t="str">
        <x:v>喜忌只修正功能摩擦、平衡与承载，不直接等同道德、成熟、善恶或是否值得原谅。</x:v>
      </x:c>
      <x:c r="S103" s="20" t="str">
        <x:v>原十神功能有效；真合化成立时按化神功能替换，合化争议时停止定性。</x:v>
      </x:c>
      <x:c r="T103" s="20" t="str">
        <x:v>近位提高修复议题与亲密关系的直接相关性；远位仅保留背景、阶段或低置信修正。</x:v>
      </x:c>
      <x:c r="U103" s="20" t="str">
        <x:v>68</x:v>
      </x:c>
      <x:c r="V103" s="20" t="str">
        <x:v>有效通道＋3；替代盲点另行路由</x:v>
      </x:c>
      <x:c r="W103" s="20" t="str">
        <x:v>repair_channel</x:v>
      </x:c>
      <x:c r="X103" s="20" t="str">
        <x:v>启动表现说明通道已出现，但不等于闭环。</x:v>
      </x:c>
      <x:c r="Y103" s="20" t="str">
        <x:v>当你使用这一通道时，常见表现是：具体补偿、生活安排、时间投入、稳定执行。</x:v>
      </x:c>
      <x:c r="Z10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3" s="20" t="str">
        <x:v>中高</x:v>
      </x:c>
      <x:c r="AB103" s="20" t="str">
        <x:v>待验证</x:v>
      </x:c>
      <x:c r="AC103" s="20" t="str"/>
      <x:c r="AD103" s="20" t="str">
        <x:v>provisional=true；M3-REPAIR尚未完成，完成条件为暂定功能模型。</x:v>
      </x:c>
      <x:c r="AE103" s="52" t="str">
        <x:v>0.7</x:v>
      </x:c>
    </x:row>
    <x:row r="104">
      <x:c r="A104" s="51" t="str">
        <x:v>M4-REPAIR-103</x:v>
      </x:c>
      <x:c r="B104" s="20" t="str">
        <x:v>RC05 正财｜稳定补救修复｜接收方反馈检查</x:v>
      </x:c>
      <x:c r="C104" s="20" t="str">
        <x:v>L2 十神修复功能通道</x:v>
      </x:c>
      <x:c r="D104" s="20" t="str">
        <x:v>REPAIR-十神通道</x:v>
      </x:c>
      <x:c r="E104" s="20" t="str">
        <x:v>通用</x:v>
      </x:c>
      <x:c r="F104" s="20" t="str">
        <x:v>证据</x:v>
      </x:c>
      <x:c r="G104" s="20" t="str">
        <x:v>RC05</x:v>
      </x:c>
      <x:c r="H104" s="20" t="str">
        <x:v>正财</x:v>
      </x:c>
      <x:c r="I104" s="20" t="str">
        <x:v>接收方能够对该通道提供接受、拒绝、保留或调整反馈。</x:v>
      </x:c>
      <x:c r="J104" s="20" t="str">
        <x:v>只看发起者意图，不记录接收者反馈。</x:v>
      </x:c>
      <x:c r="K104" s="20" t="str">
        <x:v>由共享基础引擎提供；仅修正修复功能的承载、持续与压力占位，不直接等同是否愿意认错或能否修复。</x:v>
      </x:c>
      <x:c r="L104" s="20" t="str">
        <x:v>由M1／M2提供；夫妻星只说明伴侣原型与关系资格，不单独证明修复能力、修复意愿或修复结果。</x:v>
      </x:c>
      <x:c r="M104" s="20" t="str">
        <x:v>由M3-BASE提供；日支底盘说明亲密关系中自然调用的功能，但不能单独证明修复闭环。</x:v>
      </x:c>
      <x:c r="N104" s="20" t="str">
        <x:v>由M3-CONFLICT、M4-LOOP及现实事件提供；必须区分问题停止、责任承担、影响确认、行动改变、反馈整合与后续回访。</x:v>
      </x:c>
      <x:c r="O104" s="20" t="str">
        <x:v>由共享基础引擎判定；近位提高相关功能进入亲密关系核心的概率，远位只作背景或阶段修正。</x:v>
      </x:c>
      <x:c r="P104" s="20" t="str">
        <x:v>根气只修正某修复功能是否容易重复调用，不等于现实中已经持续改变。</x:v>
      </x:c>
      <x:c r="Q104" s="20" t="str">
        <x:v>旺弱只修正功能调用强度与占位，不直接等同修复质量、诚意或关系结果。</x:v>
      </x:c>
      <x:c r="R104" s="20" t="str">
        <x:v>喜忌只修正功能摩擦、平衡与承载，不直接等同道德、成熟、善恶或是否值得原谅。</x:v>
      </x:c>
      <x:c r="S104" s="20" t="str">
        <x:v>原十神功能有效；真合化成立时按化神功能替换，合化争议时停止定性。</x:v>
      </x:c>
      <x:c r="T104" s="20" t="str">
        <x:v>近位提高修复议题与亲密关系的直接相关性；远位仅保留背景、阶段或低置信修正。</x:v>
      </x:c>
      <x:c r="U104" s="20" t="str">
        <x:v>82</x:v>
      </x:c>
      <x:c r="V104" s="20" t="str">
        <x:v>有效通道＋3；替代盲点另行路由</x:v>
      </x:c>
      <x:c r="W104" s="20" t="str">
        <x:v>repair_channel</x:v>
      </x:c>
      <x:c r="X104" s="20" t="str">
        <x:v>修复通道是否有效必须看它是否回应真实影响。</x:v>
      </x:c>
      <x:c r="Y104" s="20" t="str">
        <x:v>还要看对方怎样接收这一步，以及是否需要进一步调整。</x:v>
      </x:c>
      <x:c r="Z10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4" s="20" t="str">
        <x:v>中高</x:v>
      </x:c>
      <x:c r="AB104" s="20" t="str">
        <x:v>待验证</x:v>
      </x:c>
      <x:c r="AC104" s="20" t="str"/>
      <x:c r="AD104" s="20" t="str">
        <x:v>provisional=true；M3-REPAIR尚未完成，完成条件为暂定功能模型。</x:v>
      </x:c>
      <x:c r="AE104" s="52" t="str">
        <x:v>0.7</x:v>
      </x:c>
    </x:row>
    <x:row r="105">
      <x:c r="A105" s="51" t="str">
        <x:v>M4-REPAIR-104</x:v>
      </x:c>
      <x:c r="B105" s="20" t="str">
        <x:v>RC05 正财｜稳定补救修复｜常见替代盲点</x:v>
      </x:c>
      <x:c r="C105" s="20" t="str">
        <x:v>L2 十神修复功能通道</x:v>
      </x:c>
      <x:c r="D105" s="20" t="str">
        <x:v>REPAIR-十神通道</x:v>
      </x:c>
      <x:c r="E105" s="20" t="str">
        <x:v>通用</x:v>
      </x:c>
      <x:c r="F105" s="20" t="str">
        <x:v>盲点</x:v>
      </x:c>
      <x:c r="G105" s="20" t="str">
        <x:v>RC05</x:v>
      </x:c>
      <x:c r="H105" s="20" t="str">
        <x:v>正财</x:v>
      </x:c>
      <x:c r="I105" s="20" t="str">
        <x:v>该通道出现并承担修复任务。</x:v>
      </x:c>
      <x:c r="J105" s="20" t="str">
        <x:v>可能用投入替代影响确认、责任说明或关系反馈。</x:v>
      </x:c>
      <x:c r="K105" s="20" t="str">
        <x:v>由共享基础引擎提供；仅修正修复功能的承载、持续与压力占位，不直接等同是否愿意认错或能否修复。</x:v>
      </x:c>
      <x:c r="L105" s="20" t="str">
        <x:v>由M1／M2提供；夫妻星只说明伴侣原型与关系资格，不单独证明修复能力、修复意愿或修复结果。</x:v>
      </x:c>
      <x:c r="M105" s="20" t="str">
        <x:v>由M3-BASE提供；日支底盘说明亲密关系中自然调用的功能，但不能单独证明修复闭环。</x:v>
      </x:c>
      <x:c r="N105" s="20" t="str">
        <x:v>由M3-CONFLICT、M4-LOOP及现实事件提供；必须区分问题停止、责任承担、影响确认、行动改变、反馈整合与后续回访。</x:v>
      </x:c>
      <x:c r="O105" s="20" t="str">
        <x:v>由共享基础引擎判定；近位提高相关功能进入亲密关系核心的概率，远位只作背景或阶段修正。</x:v>
      </x:c>
      <x:c r="P105" s="20" t="str">
        <x:v>根气只修正某修复功能是否容易重复调用，不等于现实中已经持续改变。</x:v>
      </x:c>
      <x:c r="Q105" s="20" t="str">
        <x:v>旺弱只修正功能调用强度与占位，不直接等同修复质量、诚意或关系结果。</x:v>
      </x:c>
      <x:c r="R105" s="20" t="str">
        <x:v>喜忌只修正功能摩擦、平衡与承载，不直接等同道德、成熟、善恶或是否值得原谅。</x:v>
      </x:c>
      <x:c r="S105" s="20" t="str">
        <x:v>原十神功能有效；真合化成立时按化神功能替换，合化争议时停止定性。</x:v>
      </x:c>
      <x:c r="T105" s="20" t="str">
        <x:v>近位提高修复议题与亲密关系的直接相关性；远位仅保留背景、阶段或低置信修正。</x:v>
      </x:c>
      <x:c r="U105" s="20" t="str">
        <x:v>68</x:v>
      </x:c>
      <x:c r="V105" s="20" t="str">
        <x:v>有效通道＋3；替代盲点另行路由</x:v>
      </x:c>
      <x:c r="W105" s="20" t="str">
        <x:v>repair_channel</x:v>
      </x:c>
      <x:c r="X105" s="20" t="str">
        <x:v>熟悉通道容易替代另一项不同修复任务。</x:v>
      </x:c>
      <x:c r="Y105" s="20" t="str">
        <x:v>需要留意：可能用投入替代影响确认、责任说明或关系反馈。</x:v>
      </x:c>
      <x:c r="Z10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5" s="20" t="str">
        <x:v>中高</x:v>
      </x:c>
      <x:c r="AB105" s="20" t="str">
        <x:v>待验证</x:v>
      </x:c>
      <x:c r="AC105" s="20" t="str"/>
      <x:c r="AD105" s="20" t="str">
        <x:v>provisional=true；M3-REPAIR尚未完成，完成条件为暂定功能模型。</x:v>
      </x:c>
      <x:c r="AE105" s="52" t="str">
        <x:v>0.7</x:v>
      </x:c>
    </x:row>
    <x:row r="106">
      <x:c r="A106" s="51" t="str">
        <x:v>M4-REPAIR-105</x:v>
      </x:c>
      <x:c r="B106" s="20" t="str">
        <x:v>RC05 正财｜稳定补救修复｜闭环所需第二功能</x:v>
      </x:c>
      <x:c r="C106" s="20" t="str">
        <x:v>L2 十神修复功能通道</x:v>
      </x:c>
      <x:c r="D106" s="20" t="str">
        <x:v>REPAIR-十神通道</x:v>
      </x:c>
      <x:c r="E106" s="20" t="str">
        <x:v>通用</x:v>
      </x:c>
      <x:c r="F106" s="20" t="str">
        <x:v>通关</x:v>
      </x:c>
      <x:c r="G106" s="20" t="str">
        <x:v>RC05</x:v>
      </x:c>
      <x:c r="H106" s="20" t="str">
        <x:v>正财</x:v>
      </x:c>
      <x:c r="I106" s="20" t="str">
        <x:v>需要印星确认影响、官杀责任和RN07反馈。</x:v>
      </x:c>
      <x:c r="J106" s="20" t="str">
        <x:v>假设单一通道能完成所有修复任务。</x:v>
      </x:c>
      <x:c r="K106" s="20" t="str">
        <x:v>由共享基础引擎提供；仅修正修复功能的承载、持续与压力占位，不直接等同是否愿意认错或能否修复。</x:v>
      </x:c>
      <x:c r="L106" s="20" t="str">
        <x:v>由M1／M2提供；夫妻星只说明伴侣原型与关系资格，不单独证明修复能力、修复意愿或修复结果。</x:v>
      </x:c>
      <x:c r="M106" s="20" t="str">
        <x:v>由M3-BASE提供；日支底盘说明亲密关系中自然调用的功能，但不能单独证明修复闭环。</x:v>
      </x:c>
      <x:c r="N106" s="20" t="str">
        <x:v>由M3-CONFLICT、M4-LOOP及现实事件提供；必须区分问题停止、责任承担、影响确认、行动改变、反馈整合与后续回访。</x:v>
      </x:c>
      <x:c r="O106" s="20" t="str">
        <x:v>由共享基础引擎判定；近位提高相关功能进入亲密关系核心的概率，远位只作背景或阶段修正。</x:v>
      </x:c>
      <x:c r="P106" s="20" t="str">
        <x:v>根气只修正某修复功能是否容易重复调用，不等于现实中已经持续改变。</x:v>
      </x:c>
      <x:c r="Q106" s="20" t="str">
        <x:v>旺弱只修正功能调用强度与占位，不直接等同修复质量、诚意或关系结果。</x:v>
      </x:c>
      <x:c r="R106" s="20" t="str">
        <x:v>喜忌只修正功能摩擦、平衡与承载，不直接等同道德、成熟、善恶或是否值得原谅。</x:v>
      </x:c>
      <x:c r="S106" s="20" t="str">
        <x:v>原十神功能有效；真合化成立时按化神功能替换，合化争议时停止定性。</x:v>
      </x:c>
      <x:c r="T106" s="20" t="str">
        <x:v>近位提高修复议题与亲密关系的直接相关性；远位仅保留背景、阶段或低置信修正。</x:v>
      </x:c>
      <x:c r="U106" s="20" t="str">
        <x:v>68</x:v>
      </x:c>
      <x:c r="V106" s="20" t="str">
        <x:v>有效通道＋3；替代盲点另行路由</x:v>
      </x:c>
      <x:c r="W106" s="20" t="str">
        <x:v>repair_channel</x:v>
      </x:c>
      <x:c r="X106" s="20" t="str">
        <x:v>第二功能负责把本通道转成更完整的修复链。</x:v>
      </x:c>
      <x:c r="Y106" s="20" t="str">
        <x:v>要让修复更完整，还需要：需要印星确认影响、官杀责任和RN07反馈。</x:v>
      </x:c>
      <x:c r="Z10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6" s="20" t="str">
        <x:v>中高</x:v>
      </x:c>
      <x:c r="AB106" s="20" t="str">
        <x:v>待验证</x:v>
      </x:c>
      <x:c r="AC106" s="20" t="str"/>
      <x:c r="AD106" s="20" t="str">
        <x:v>provisional=true；M3-REPAIR尚未完成，完成条件为暂定功能模型。</x:v>
      </x:c>
      <x:c r="AE106" s="52" t="str">
        <x:v>0.7</x:v>
      </x:c>
    </x:row>
    <x:row r="107">
      <x:c r="A107" s="51" t="str">
        <x:v>M4-REPAIR-106</x:v>
      </x:c>
      <x:c r="B107" s="20" t="str">
        <x:v>RC05 正财｜稳定补救修复｜状态修正</x:v>
      </x:c>
      <x:c r="C107" s="20" t="str">
        <x:v>L2 十神修复功能通道</x:v>
      </x:c>
      <x:c r="D107" s="20" t="str">
        <x:v>REPAIR-十神通道</x:v>
      </x:c>
      <x:c r="E107" s="20" t="str">
        <x:v>通用</x:v>
      </x:c>
      <x:c r="F107" s="20" t="str">
        <x:v>状态</x:v>
      </x:c>
      <x:c r="G107" s="20" t="str">
        <x:v>RC05</x:v>
      </x:c>
      <x:c r="H107" s="20" t="str">
        <x:v>正财</x:v>
      </x:c>
      <x:c r="I107" s="20" t="str">
        <x:v>结合透藏、根气、旺弱、制化、位置和现实重复行为。</x:v>
      </x:c>
      <x:c r="J107" s="20" t="str">
        <x:v>强即有效、弱即没有、喜即成熟、忌即恶意。</x:v>
      </x:c>
      <x:c r="K107" s="20" t="str">
        <x:v>由共享基础引擎提供；仅修正修复功能的承载、持续与压力占位，不直接等同是否愿意认错或能否修复。</x:v>
      </x:c>
      <x:c r="L107" s="20" t="str">
        <x:v>由M1／M2提供；夫妻星只说明伴侣原型与关系资格，不单独证明修复能力、修复意愿或修复结果。</x:v>
      </x:c>
      <x:c r="M107" s="20" t="str">
        <x:v>由M3-BASE提供；日支底盘说明亲密关系中自然调用的功能，但不能单独证明修复闭环。</x:v>
      </x:c>
      <x:c r="N107" s="20" t="str">
        <x:v>由M3-CONFLICT、M4-LOOP及现实事件提供；必须区分问题停止、责任承担、影响确认、行动改变、反馈整合与后续回访。</x:v>
      </x:c>
      <x:c r="O107" s="20" t="str">
        <x:v>由共享基础引擎判定；近位提高相关功能进入亲密关系核心的概率，远位只作背景或阶段修正。</x:v>
      </x:c>
      <x:c r="P107" s="20" t="str">
        <x:v>根气只修正某修复功能是否容易重复调用，不等于现实中已经持续改变。</x:v>
      </x:c>
      <x:c r="Q107" s="20" t="str">
        <x:v>旺弱只修正功能调用强度与占位，不直接等同修复质量、诚意或关系结果。</x:v>
      </x:c>
      <x:c r="R107" s="20" t="str">
        <x:v>喜忌只修正功能摩擦、平衡与承载，不直接等同道德、成熟、善恶或是否值得原谅。</x:v>
      </x:c>
      <x:c r="S107" s="20" t="str">
        <x:v>原十神功能有效；真合化成立时按化神功能替换，合化争议时停止定性。</x:v>
      </x:c>
      <x:c r="T107" s="20" t="str">
        <x:v>近位提高修复议题与亲密关系的直接相关性；远位仅保留背景、阶段或低置信修正。</x:v>
      </x:c>
      <x:c r="U107" s="20" t="str">
        <x:v>68</x:v>
      </x:c>
      <x:c r="V107" s="20" t="str">
        <x:v>有效通道＋3；替代盲点另行路由</x:v>
      </x:c>
      <x:c r="W107" s="20" t="str">
        <x:v>repair_channel</x:v>
      </x:c>
      <x:c r="X107" s="20" t="str">
        <x:v>状态只修正调用方式和持续性。</x:v>
      </x:c>
      <x:c r="Y107" s="20" t="str">
        <x:v>这项方式是否稳定，需要继续看它能否重复、是否受另一功能调节。</x:v>
      </x:c>
      <x:c r="Z10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7" s="20" t="str">
        <x:v>中高</x:v>
      </x:c>
      <x:c r="AB107" s="20" t="str">
        <x:v>待验证</x:v>
      </x:c>
      <x:c r="AC107" s="20" t="str"/>
      <x:c r="AD107" s="20" t="str">
        <x:v>provisional=true；M3-REPAIR尚未完成，完成条件为暂定功能模型。</x:v>
      </x:c>
      <x:c r="AE107" s="52" t="str">
        <x:v>0.7</x:v>
      </x:c>
    </x:row>
    <x:row r="108">
      <x:c r="A108" s="51" t="str">
        <x:v>M4-REPAIR-107</x:v>
      </x:c>
      <x:c r="B108" s="20" t="str">
        <x:v>RC05 正财｜稳定补救修复｜用户标准文案</x:v>
      </x:c>
      <x:c r="C108" s="20" t="str">
        <x:v>L2 十神修复功能通道</x:v>
      </x:c>
      <x:c r="D108" s="20" t="str">
        <x:v>REPAIR-十神通道</x:v>
      </x:c>
      <x:c r="E108" s="20" t="str">
        <x:v>通用</x:v>
      </x:c>
      <x:c r="F108" s="20" t="str">
        <x:v>输出</x:v>
      </x:c>
      <x:c r="G108" s="20" t="str">
        <x:v>RC05</x:v>
      </x:c>
      <x:c r="H108" s="20" t="str">
        <x:v>正财</x:v>
      </x:c>
      <x:c r="I108" s="20" t="str">
        <x:v>该通道为主修复方式候选，并有第二类独立证据。</x:v>
      </x:c>
      <x:c r="J108" s="20" t="str">
        <x:v>证据不足或真合化争议。</x:v>
      </x:c>
      <x:c r="K108" s="20" t="str">
        <x:v>由共享基础引擎提供；仅修正修复功能的承载、持续与压力占位，不直接等同是否愿意认错或能否修复。</x:v>
      </x:c>
      <x:c r="L108" s="20" t="str">
        <x:v>由M1／M2提供；夫妻星只说明伴侣原型与关系资格，不单独证明修复能力、修复意愿或修复结果。</x:v>
      </x:c>
      <x:c r="M108" s="20" t="str">
        <x:v>由M3-BASE提供；日支底盘说明亲密关系中自然调用的功能，但不能单独证明修复闭环。</x:v>
      </x:c>
      <x:c r="N108" s="20" t="str">
        <x:v>由M3-CONFLICT、M4-LOOP及现实事件提供；必须区分问题停止、责任承担、影响确认、行动改变、反馈整合与后续回访。</x:v>
      </x:c>
      <x:c r="O108" s="20" t="str">
        <x:v>由共享基础引擎判定；近位提高相关功能进入亲密关系核心的概率，远位只作背景或阶段修正。</x:v>
      </x:c>
      <x:c r="P108" s="20" t="str">
        <x:v>根气只修正某修复功能是否容易重复调用，不等于现实中已经持续改变。</x:v>
      </x:c>
      <x:c r="Q108" s="20" t="str">
        <x:v>旺弱只修正功能调用强度与占位，不直接等同修复质量、诚意或关系结果。</x:v>
      </x:c>
      <x:c r="R108" s="20" t="str">
        <x:v>喜忌只修正功能摩擦、平衡与承载，不直接等同道德、成熟、善恶或是否值得原谅。</x:v>
      </x:c>
      <x:c r="S108" s="20" t="str">
        <x:v>原十神功能有效；真合化成立时按化神功能替换，合化争议时停止定性。</x:v>
      </x:c>
      <x:c r="T108" s="20" t="str">
        <x:v>近位提高修复议题与亲密关系的直接相关性；远位仅保留背景、阶段或低置信修正。</x:v>
      </x:c>
      <x:c r="U108" s="20" t="str">
        <x:v>68</x:v>
      </x:c>
      <x:c r="V108" s="20" t="str">
        <x:v>有效通道＋3；替代盲点另行路由</x:v>
      </x:c>
      <x:c r="W108" s="20" t="str">
        <x:v>repair_channel</x:v>
      </x:c>
      <x:c r="X108" s="20" t="str">
        <x:v>输出先描述功能，再描述缺口，不贴人格标签。</x:v>
      </x:c>
      <x:c r="Y108" s="20" t="str">
        <x:v>你更容易用持续做事和现实调整证明自己会改变。</x:v>
      </x:c>
      <x:c r="Z10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8" s="20" t="str">
        <x:v>中高</x:v>
      </x:c>
      <x:c r="AB108" s="20" t="str">
        <x:v>待验证</x:v>
      </x:c>
      <x:c r="AC108" s="20" t="str"/>
      <x:c r="AD108" s="20" t="str">
        <x:v>provisional=true；M3-REPAIR尚未完成，完成条件为暂定功能模型。</x:v>
      </x:c>
      <x:c r="AE108" s="52" t="str">
        <x:v>0.7</x:v>
      </x:c>
    </x:row>
    <x:row r="109">
      <x:c r="A109" s="51" t="str">
        <x:v>M4-REPAIR-108</x:v>
      </x:c>
      <x:c r="B109" s="20" t="str">
        <x:v>RC05 正财｜稳定补救修复｜禁止推断</x:v>
      </x:c>
      <x:c r="C109" s="20" t="str">
        <x:v>L2 十神修复功能通道</x:v>
      </x:c>
      <x:c r="D109" s="20" t="str">
        <x:v>REPAIR-十神通道</x:v>
      </x:c>
      <x:c r="E109" s="20" t="str">
        <x:v>通用</x:v>
      </x:c>
      <x:c r="F109" s="20" t="str">
        <x:v>边界</x:v>
      </x:c>
      <x:c r="G109" s="20" t="str">
        <x:v>RC05</x:v>
      </x:c>
      <x:c r="H109" s="20" t="str">
        <x:v>正财</x:v>
      </x:c>
      <x:c r="I109" s="20" t="str">
        <x:v>完成现实安全、责任和反例检查。</x:v>
      </x:c>
      <x:c r="J109" s="20" t="str">
        <x:v>不得把现实投入写成物质化、算计或自动完成关系修复。。</x:v>
      </x:c>
      <x:c r="K109" s="20" t="str">
        <x:v>由共享基础引擎提供；仅修正修复功能的承载、持续与压力占位，不直接等同是否愿意认错或能否修复。</x:v>
      </x:c>
      <x:c r="L109" s="20" t="str">
        <x:v>由M1／M2提供；夫妻星只说明伴侣原型与关系资格，不单独证明修复能力、修复意愿或修复结果。</x:v>
      </x:c>
      <x:c r="M109" s="20" t="str">
        <x:v>由M3-BASE提供；日支底盘说明亲密关系中自然调用的功能，但不能单独证明修复闭环。</x:v>
      </x:c>
      <x:c r="N109" s="20" t="str">
        <x:v>由M3-CONFLICT、M4-LOOP及现实事件提供；必须区分问题停止、责任承担、影响确认、行动改变、反馈整合与后续回访。</x:v>
      </x:c>
      <x:c r="O109" s="20" t="str">
        <x:v>由共享基础引擎判定；近位提高相关功能进入亲密关系核心的概率，远位只作背景或阶段修正。</x:v>
      </x:c>
      <x:c r="P109" s="20" t="str">
        <x:v>根气只修正某修复功能是否容易重复调用，不等于现实中已经持续改变。</x:v>
      </x:c>
      <x:c r="Q109" s="20" t="str">
        <x:v>旺弱只修正功能调用强度与占位，不直接等同修复质量、诚意或关系结果。</x:v>
      </x:c>
      <x:c r="R109" s="20" t="str">
        <x:v>喜忌只修正功能摩擦、平衡与承载，不直接等同道德、成熟、善恶或是否值得原谅。</x:v>
      </x:c>
      <x:c r="S109" s="20" t="str">
        <x:v>原十神功能有效；真合化成立时按化神功能替换，合化争议时停止定性。</x:v>
      </x:c>
      <x:c r="T109" s="20" t="str">
        <x:v>近位提高修复议题与亲密关系的直接相关性；远位仅保留背景、阶段或低置信修正。</x:v>
      </x:c>
      <x:c r="U109" s="20" t="str">
        <x:v>82</x:v>
      </x:c>
      <x:c r="V109" s="20" t="str">
        <x:v>有效通道＋3；替代盲点另行路由</x:v>
      </x:c>
      <x:c r="W109" s="20" t="str">
        <x:v>repair_channel</x:v>
      </x:c>
      <x:c r="X109" s="20" t="str">
        <x:v>十神修复通道不能推断诚意、道德和关系结果。</x:v>
      </x:c>
      <x:c r="Y109" s="20" t="str">
        <x:v>边界提示：不得把现实投入写成物质化、算计或自动完成关系修复。</x:v>
      </x:c>
      <x:c r="Z10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09" s="20" t="str">
        <x:v>中高</x:v>
      </x:c>
      <x:c r="AB109" s="20" t="str">
        <x:v>待验证</x:v>
      </x:c>
      <x:c r="AC109" s="20" t="str"/>
      <x:c r="AD109" s="20" t="str">
        <x:v>provisional=true；M3-REPAIR尚未完成，完成条件为暂定功能模型。</x:v>
      </x:c>
      <x:c r="AE109" s="52" t="str">
        <x:v>0.7</x:v>
      </x:c>
    </x:row>
    <x:row r="110">
      <x:c r="A110" s="51" t="str">
        <x:v>M4-REPAIR-109</x:v>
      </x:c>
      <x:c r="B110" s="20" t="str">
        <x:v>RC06 偏财｜灵活重启修复｜正常修复功能</x:v>
      </x:c>
      <x:c r="C110" s="20" t="str">
        <x:v>L2 十神修复功能通道</x:v>
      </x:c>
      <x:c r="D110" s="20" t="str">
        <x:v>REPAIR-十神通道</x:v>
      </x:c>
      <x:c r="E110" s="20" t="str">
        <x:v>通用</x:v>
      </x:c>
      <x:c r="F110" s="20" t="str">
        <x:v>定义</x:v>
      </x:c>
      <x:c r="G110" s="20" t="str">
        <x:v>RC06</x:v>
      </x:c>
      <x:c r="H110" s="20" t="str">
        <x:v>偏财</x:v>
      </x:c>
      <x:c r="I110" s="20" t="str">
        <x:v>通过灵活资源、共同体验和情境调整重新建立连接。</x:v>
      </x:c>
      <x:c r="J110" s="20" t="str">
        <x:v>仅凭十神名称或旺弱直接判断修复能力。</x:v>
      </x:c>
      <x:c r="K110" s="20" t="str">
        <x:v>由共享基础引擎提供；仅修正修复功能的承载、持续与压力占位，不直接等同是否愿意认错或能否修复。</x:v>
      </x:c>
      <x:c r="L110" s="20" t="str">
        <x:v>由M1／M2提供；夫妻星只说明伴侣原型与关系资格，不单独证明修复能力、修复意愿或修复结果。</x:v>
      </x:c>
      <x:c r="M110" s="20" t="str">
        <x:v>由M3-BASE提供；日支底盘说明亲密关系中自然调用的功能，但不能单独证明修复闭环。</x:v>
      </x:c>
      <x:c r="N110" s="20" t="str">
        <x:v>由M3-CONFLICT、M4-LOOP及现实事件提供；必须区分问题停止、责任承担、影响确认、行动改变、反馈整合与后续回访。</x:v>
      </x:c>
      <x:c r="O110" s="20" t="str">
        <x:v>由共享基础引擎判定；近位提高相关功能进入亲密关系核心的概率，远位只作背景或阶段修正。</x:v>
      </x:c>
      <x:c r="P110" s="20" t="str">
        <x:v>根气只修正某修复功能是否容易重复调用，不等于现实中已经持续改变。</x:v>
      </x:c>
      <x:c r="Q110" s="20" t="str">
        <x:v>旺弱只修正功能调用强度与占位，不直接等同修复质量、诚意或关系结果。</x:v>
      </x:c>
      <x:c r="R110" s="20" t="str">
        <x:v>喜忌只修正功能摩擦、平衡与承载，不直接等同道德、成熟、善恶或是否值得原谅。</x:v>
      </x:c>
      <x:c r="S110" s="20" t="str">
        <x:v>原十神功能有效；真合化成立时按化神功能替换，合化争议时停止定性。</x:v>
      </x:c>
      <x:c r="T110" s="20" t="str">
        <x:v>近位提高修复议题与亲密关系的直接相关性；远位仅保留背景、阶段或低置信修正。</x:v>
      </x:c>
      <x:c r="U110" s="20" t="str">
        <x:v>68</x:v>
      </x:c>
      <x:c r="V110" s="20" t="str">
        <x:v>有效通道＋3；替代盲点另行路由</x:v>
      </x:c>
      <x:c r="W110" s="20" t="str">
        <x:v>repair_channel</x:v>
      </x:c>
      <x:c r="X110" s="20" t="str">
        <x:v>十神提供一种可用修复功能，首先保留其正常价值。</x:v>
      </x:c>
      <x:c r="Y110" s="20" t="str">
        <x:v>你可能通过灵活调整和共同体验让关系重新有流动感。</x:v>
      </x:c>
      <x:c r="Z11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0" s="20" t="str">
        <x:v>中高</x:v>
      </x:c>
      <x:c r="AB110" s="20" t="str">
        <x:v>待验证</x:v>
      </x:c>
      <x:c r="AC110" s="20" t="str"/>
      <x:c r="AD110" s="20" t="str">
        <x:v>provisional=true；M3-REPAIR尚未完成，完成条件为暂定功能模型。</x:v>
      </x:c>
      <x:c r="AE110" s="52" t="str">
        <x:v>0.7</x:v>
      </x:c>
    </x:row>
    <x:row r="111">
      <x:c r="A111" s="51" t="str">
        <x:v>M4-REPAIR-110</x:v>
      </x:c>
      <x:c r="B111" s="20" t="str">
        <x:v>RC06 偏财｜灵活重启修复｜启动表现</x:v>
      </x:c>
      <x:c r="C111" s="20" t="str">
        <x:v>L2 十神修复功能通道</x:v>
      </x:c>
      <x:c r="D111" s="20" t="str">
        <x:v>REPAIR-十神通道</x:v>
      </x:c>
      <x:c r="E111" s="20" t="str">
        <x:v>通用</x:v>
      </x:c>
      <x:c r="F111" s="20" t="str">
        <x:v>行为</x:v>
      </x:c>
      <x:c r="G111" s="20" t="str">
        <x:v>RC06</x:v>
      </x:c>
      <x:c r="H111" s="20" t="str">
        <x:v>偏财</x:v>
      </x:c>
      <x:c r="I111" s="20" t="str">
        <x:v>现实中出现：换场景、示好、创造体验、即时便利、灵活补偿。</x:v>
      </x:c>
      <x:c r="J111" s="20" t="str">
        <x:v>只有自我评价，没有具体行为。</x:v>
      </x:c>
      <x:c r="K111" s="20" t="str">
        <x:v>由共享基础引擎提供；仅修正修复功能的承载、持续与压力占位，不直接等同是否愿意认错或能否修复。</x:v>
      </x:c>
      <x:c r="L111" s="20" t="str">
        <x:v>由M1／M2提供；夫妻星只说明伴侣原型与关系资格，不单独证明修复能力、修复意愿或修复结果。</x:v>
      </x:c>
      <x:c r="M111" s="20" t="str">
        <x:v>由M3-BASE提供；日支底盘说明亲密关系中自然调用的功能，但不能单独证明修复闭环。</x:v>
      </x:c>
      <x:c r="N111" s="20" t="str">
        <x:v>由M3-CONFLICT、M4-LOOP及现实事件提供；必须区分问题停止、责任承担、影响确认、行动改变、反馈整合与后续回访。</x:v>
      </x:c>
      <x:c r="O111" s="20" t="str">
        <x:v>由共享基础引擎判定；近位提高相关功能进入亲密关系核心的概率，远位只作背景或阶段修正。</x:v>
      </x:c>
      <x:c r="P111" s="20" t="str">
        <x:v>根气只修正某修复功能是否容易重复调用，不等于现实中已经持续改变。</x:v>
      </x:c>
      <x:c r="Q111" s="20" t="str">
        <x:v>旺弱只修正功能调用强度与占位，不直接等同修复质量、诚意或关系结果。</x:v>
      </x:c>
      <x:c r="R111" s="20" t="str">
        <x:v>喜忌只修正功能摩擦、平衡与承载，不直接等同道德、成熟、善恶或是否值得原谅。</x:v>
      </x:c>
      <x:c r="S111" s="20" t="str">
        <x:v>原十神功能有效；真合化成立时按化神功能替换，合化争议时停止定性。</x:v>
      </x:c>
      <x:c r="T111" s="20" t="str">
        <x:v>近位提高修复议题与亲密关系的直接相关性；远位仅保留背景、阶段或低置信修正。</x:v>
      </x:c>
      <x:c r="U111" s="20" t="str">
        <x:v>68</x:v>
      </x:c>
      <x:c r="V111" s="20" t="str">
        <x:v>有效通道＋3；替代盲点另行路由</x:v>
      </x:c>
      <x:c r="W111" s="20" t="str">
        <x:v>repair_channel</x:v>
      </x:c>
      <x:c r="X111" s="20" t="str">
        <x:v>启动表现说明通道已出现，但不等于闭环。</x:v>
      </x:c>
      <x:c r="Y111" s="20" t="str">
        <x:v>当你使用这一通道时，常见表现是：换场景、示好、创造体验、即时便利、灵活补偿。</x:v>
      </x:c>
      <x:c r="Z11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1" s="20" t="str">
        <x:v>中高</x:v>
      </x:c>
      <x:c r="AB111" s="20" t="str">
        <x:v>待验证</x:v>
      </x:c>
      <x:c r="AC111" s="20" t="str"/>
      <x:c r="AD111" s="20" t="str">
        <x:v>provisional=true；M3-REPAIR尚未完成，完成条件为暂定功能模型。</x:v>
      </x:c>
      <x:c r="AE111" s="52" t="str">
        <x:v>0.7</x:v>
      </x:c>
    </x:row>
    <x:row r="112">
      <x:c r="A112" s="51" t="str">
        <x:v>M4-REPAIR-111</x:v>
      </x:c>
      <x:c r="B112" s="20" t="str">
        <x:v>RC06 偏财｜灵活重启修复｜接收方反馈检查</x:v>
      </x:c>
      <x:c r="C112" s="20" t="str">
        <x:v>L2 十神修复功能通道</x:v>
      </x:c>
      <x:c r="D112" s="20" t="str">
        <x:v>REPAIR-十神通道</x:v>
      </x:c>
      <x:c r="E112" s="20" t="str">
        <x:v>通用</x:v>
      </x:c>
      <x:c r="F112" s="20" t="str">
        <x:v>证据</x:v>
      </x:c>
      <x:c r="G112" s="20" t="str">
        <x:v>RC06</x:v>
      </x:c>
      <x:c r="H112" s="20" t="str">
        <x:v>偏财</x:v>
      </x:c>
      <x:c r="I112" s="20" t="str">
        <x:v>接收方能够对该通道提供接受、拒绝、保留或调整反馈。</x:v>
      </x:c>
      <x:c r="J112" s="20" t="str">
        <x:v>只看发起者意图，不记录接收者反馈。</x:v>
      </x:c>
      <x:c r="K112" s="20" t="str">
        <x:v>由共享基础引擎提供；仅修正修复功能的承载、持续与压力占位，不直接等同是否愿意认错或能否修复。</x:v>
      </x:c>
      <x:c r="L112" s="20" t="str">
        <x:v>由M1／M2提供；夫妻星只说明伴侣原型与关系资格，不单独证明修复能力、修复意愿或修复结果。</x:v>
      </x:c>
      <x:c r="M112" s="20" t="str">
        <x:v>由M3-BASE提供；日支底盘说明亲密关系中自然调用的功能，但不能单独证明修复闭环。</x:v>
      </x:c>
      <x:c r="N112" s="20" t="str">
        <x:v>由M3-CONFLICT、M4-LOOP及现实事件提供；必须区分问题停止、责任承担、影响确认、行动改变、反馈整合与后续回访。</x:v>
      </x:c>
      <x:c r="O112" s="20" t="str">
        <x:v>由共享基础引擎判定；近位提高相关功能进入亲密关系核心的概率，远位只作背景或阶段修正。</x:v>
      </x:c>
      <x:c r="P112" s="20" t="str">
        <x:v>根气只修正某修复功能是否容易重复调用，不等于现实中已经持续改变。</x:v>
      </x:c>
      <x:c r="Q112" s="20" t="str">
        <x:v>旺弱只修正功能调用强度与占位，不直接等同修复质量、诚意或关系结果。</x:v>
      </x:c>
      <x:c r="R112" s="20" t="str">
        <x:v>喜忌只修正功能摩擦、平衡与承载，不直接等同道德、成熟、善恶或是否值得原谅。</x:v>
      </x:c>
      <x:c r="S112" s="20" t="str">
        <x:v>原十神功能有效；真合化成立时按化神功能替换，合化争议时停止定性。</x:v>
      </x:c>
      <x:c r="T112" s="20" t="str">
        <x:v>近位提高修复议题与亲密关系的直接相关性；远位仅保留背景、阶段或低置信修正。</x:v>
      </x:c>
      <x:c r="U112" s="20" t="str">
        <x:v>82</x:v>
      </x:c>
      <x:c r="V112" s="20" t="str">
        <x:v>有效通道＋3；替代盲点另行路由</x:v>
      </x:c>
      <x:c r="W112" s="20" t="str">
        <x:v>repair_channel</x:v>
      </x:c>
      <x:c r="X112" s="20" t="str">
        <x:v>修复通道是否有效必须看它是否回应真实影响。</x:v>
      </x:c>
      <x:c r="Y112" s="20" t="str">
        <x:v>还要看对方怎样接收这一步，以及是否需要进一步调整。</x:v>
      </x:c>
      <x:c r="Z11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2" s="20" t="str">
        <x:v>中高</x:v>
      </x:c>
      <x:c r="AB112" s="20" t="str">
        <x:v>待验证</x:v>
      </x:c>
      <x:c r="AC112" s="20" t="str"/>
      <x:c r="AD112" s="20" t="str">
        <x:v>provisional=true；M3-REPAIR尚未完成，完成条件为暂定功能模型。</x:v>
      </x:c>
      <x:c r="AE112" s="52" t="str">
        <x:v>0.7</x:v>
      </x:c>
    </x:row>
    <x:row r="113">
      <x:c r="A113" s="51" t="str">
        <x:v>M4-REPAIR-112</x:v>
      </x:c>
      <x:c r="B113" s="20" t="str">
        <x:v>RC06 偏财｜灵活重启修复｜常见替代盲点</x:v>
      </x:c>
      <x:c r="C113" s="20" t="str">
        <x:v>L2 十神修复功能通道</x:v>
      </x:c>
      <x:c r="D113" s="20" t="str">
        <x:v>REPAIR-十神通道</x:v>
      </x:c>
      <x:c r="E113" s="20" t="str">
        <x:v>通用</x:v>
      </x:c>
      <x:c r="F113" s="20" t="str">
        <x:v>盲点</x:v>
      </x:c>
      <x:c r="G113" s="20" t="str">
        <x:v>RC06</x:v>
      </x:c>
      <x:c r="H113" s="20" t="str">
        <x:v>偏财</x:v>
      </x:c>
      <x:c r="I113" s="20" t="str">
        <x:v>该通道出现并承担修复任务。</x:v>
      </x:c>
      <x:c r="J113" s="20" t="str">
        <x:v>可能用一次高光体验覆盖未完成的核心问题。</x:v>
      </x:c>
      <x:c r="K113" s="20" t="str">
        <x:v>由共享基础引擎提供；仅修正修复功能的承载、持续与压力占位，不直接等同是否愿意认错或能否修复。</x:v>
      </x:c>
      <x:c r="L113" s="20" t="str">
        <x:v>由M1／M2提供；夫妻星只说明伴侣原型与关系资格，不单独证明修复能力、修复意愿或修复结果。</x:v>
      </x:c>
      <x:c r="M113" s="20" t="str">
        <x:v>由M3-BASE提供；日支底盘说明亲密关系中自然调用的功能，但不能单独证明修复闭环。</x:v>
      </x:c>
      <x:c r="N113" s="20" t="str">
        <x:v>由M3-CONFLICT、M4-LOOP及现实事件提供；必须区分问题停止、责任承担、影响确认、行动改变、反馈整合与后续回访。</x:v>
      </x:c>
      <x:c r="O113" s="20" t="str">
        <x:v>由共享基础引擎判定；近位提高相关功能进入亲密关系核心的概率，远位只作背景或阶段修正。</x:v>
      </x:c>
      <x:c r="P113" s="20" t="str">
        <x:v>根气只修正某修复功能是否容易重复调用，不等于现实中已经持续改变。</x:v>
      </x:c>
      <x:c r="Q113" s="20" t="str">
        <x:v>旺弱只修正功能调用强度与占位，不直接等同修复质量、诚意或关系结果。</x:v>
      </x:c>
      <x:c r="R113" s="20" t="str">
        <x:v>喜忌只修正功能摩擦、平衡与承载，不直接等同道德、成熟、善恶或是否值得原谅。</x:v>
      </x:c>
      <x:c r="S113" s="20" t="str">
        <x:v>原十神功能有效；真合化成立时按化神功能替换，合化争议时停止定性。</x:v>
      </x:c>
      <x:c r="T113" s="20" t="str">
        <x:v>近位提高修复议题与亲密关系的直接相关性；远位仅保留背景、阶段或低置信修正。</x:v>
      </x:c>
      <x:c r="U113" s="20" t="str">
        <x:v>68</x:v>
      </x:c>
      <x:c r="V113" s="20" t="str">
        <x:v>有效通道＋3；替代盲点另行路由</x:v>
      </x:c>
      <x:c r="W113" s="20" t="str">
        <x:v>repair_channel</x:v>
      </x:c>
      <x:c r="X113" s="20" t="str">
        <x:v>熟悉通道容易替代另一项不同修复任务。</x:v>
      </x:c>
      <x:c r="Y113" s="20" t="str">
        <x:v>需要留意：可能用一次高光体验覆盖未完成的核心问题。</x:v>
      </x:c>
      <x:c r="Z11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3" s="20" t="str">
        <x:v>中高</x:v>
      </x:c>
      <x:c r="AB113" s="20" t="str">
        <x:v>待验证</x:v>
      </x:c>
      <x:c r="AC113" s="20" t="str"/>
      <x:c r="AD113" s="20" t="str">
        <x:v>provisional=true；M3-REPAIR尚未完成，完成条件为暂定功能模型。</x:v>
      </x:c>
      <x:c r="AE113" s="52" t="str">
        <x:v>0.7</x:v>
      </x:c>
    </x:row>
    <x:row r="114">
      <x:c r="A114" s="51" t="str">
        <x:v>M4-REPAIR-113</x:v>
      </x:c>
      <x:c r="B114" s="20" t="str">
        <x:v>RC06 偏财｜灵活重启修复｜闭环所需第二功能</x:v>
      </x:c>
      <x:c r="C114" s="20" t="str">
        <x:v>L2 十神修复功能通道</x:v>
      </x:c>
      <x:c r="D114" s="20" t="str">
        <x:v>REPAIR-十神通道</x:v>
      </x:c>
      <x:c r="E114" s="20" t="str">
        <x:v>通用</x:v>
      </x:c>
      <x:c r="F114" s="20" t="str">
        <x:v>通关</x:v>
      </x:c>
      <x:c r="G114" s="20" t="str">
        <x:v>RC06</x:v>
      </x:c>
      <x:c r="H114" s="20" t="str">
        <x:v>偏财</x:v>
      </x:c>
      <x:c r="I114" s="20" t="str">
        <x:v>需要正财持续、官杀承诺和RN08回访。</x:v>
      </x:c>
      <x:c r="J114" s="20" t="str">
        <x:v>假设单一通道能完成所有修复任务。</x:v>
      </x:c>
      <x:c r="K114" s="20" t="str">
        <x:v>由共享基础引擎提供；仅修正修复功能的承载、持续与压力占位，不直接等同是否愿意认错或能否修复。</x:v>
      </x:c>
      <x:c r="L114" s="20" t="str">
        <x:v>由M1／M2提供；夫妻星只说明伴侣原型与关系资格，不单独证明修复能力、修复意愿或修复结果。</x:v>
      </x:c>
      <x:c r="M114" s="20" t="str">
        <x:v>由M3-BASE提供；日支底盘说明亲密关系中自然调用的功能，但不能单独证明修复闭环。</x:v>
      </x:c>
      <x:c r="N114" s="20" t="str">
        <x:v>由M3-CONFLICT、M4-LOOP及现实事件提供；必须区分问题停止、责任承担、影响确认、行动改变、反馈整合与后续回访。</x:v>
      </x:c>
      <x:c r="O114" s="20" t="str">
        <x:v>由共享基础引擎判定；近位提高相关功能进入亲密关系核心的概率，远位只作背景或阶段修正。</x:v>
      </x:c>
      <x:c r="P114" s="20" t="str">
        <x:v>根气只修正某修复功能是否容易重复调用，不等于现实中已经持续改变。</x:v>
      </x:c>
      <x:c r="Q114" s="20" t="str">
        <x:v>旺弱只修正功能调用强度与占位，不直接等同修复质量、诚意或关系结果。</x:v>
      </x:c>
      <x:c r="R114" s="20" t="str">
        <x:v>喜忌只修正功能摩擦、平衡与承载，不直接等同道德、成熟、善恶或是否值得原谅。</x:v>
      </x:c>
      <x:c r="S114" s="20" t="str">
        <x:v>原十神功能有效；真合化成立时按化神功能替换，合化争议时停止定性。</x:v>
      </x:c>
      <x:c r="T114" s="20" t="str">
        <x:v>近位提高修复议题与亲密关系的直接相关性；远位仅保留背景、阶段或低置信修正。</x:v>
      </x:c>
      <x:c r="U114" s="20" t="str">
        <x:v>68</x:v>
      </x:c>
      <x:c r="V114" s="20" t="str">
        <x:v>有效通道＋3；替代盲点另行路由</x:v>
      </x:c>
      <x:c r="W114" s="20" t="str">
        <x:v>repair_channel</x:v>
      </x:c>
      <x:c r="X114" s="20" t="str">
        <x:v>第二功能负责把本通道转成更完整的修复链。</x:v>
      </x:c>
      <x:c r="Y114" s="20" t="str">
        <x:v>要让修复更完整，还需要：需要正财持续、官杀承诺和RN08回访。</x:v>
      </x:c>
      <x:c r="Z11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4" s="20" t="str">
        <x:v>中高</x:v>
      </x:c>
      <x:c r="AB114" s="20" t="str">
        <x:v>待验证</x:v>
      </x:c>
      <x:c r="AC114" s="20" t="str"/>
      <x:c r="AD114" s="20" t="str">
        <x:v>provisional=true；M3-REPAIR尚未完成，完成条件为暂定功能模型。</x:v>
      </x:c>
      <x:c r="AE114" s="52" t="str">
        <x:v>0.7</x:v>
      </x:c>
    </x:row>
    <x:row r="115">
      <x:c r="A115" s="51" t="str">
        <x:v>M4-REPAIR-114</x:v>
      </x:c>
      <x:c r="B115" s="20" t="str">
        <x:v>RC06 偏财｜灵活重启修复｜状态修正</x:v>
      </x:c>
      <x:c r="C115" s="20" t="str">
        <x:v>L2 十神修复功能通道</x:v>
      </x:c>
      <x:c r="D115" s="20" t="str">
        <x:v>REPAIR-十神通道</x:v>
      </x:c>
      <x:c r="E115" s="20" t="str">
        <x:v>通用</x:v>
      </x:c>
      <x:c r="F115" s="20" t="str">
        <x:v>状态</x:v>
      </x:c>
      <x:c r="G115" s="20" t="str">
        <x:v>RC06</x:v>
      </x:c>
      <x:c r="H115" s="20" t="str">
        <x:v>偏财</x:v>
      </x:c>
      <x:c r="I115" s="20" t="str">
        <x:v>结合透藏、根气、旺弱、制化、位置和现实重复行为。</x:v>
      </x:c>
      <x:c r="J115" s="20" t="str">
        <x:v>强即有效、弱即没有、喜即成熟、忌即恶意。</x:v>
      </x:c>
      <x:c r="K115" s="20" t="str">
        <x:v>由共享基础引擎提供；仅修正修复功能的承载、持续与压力占位，不直接等同是否愿意认错或能否修复。</x:v>
      </x:c>
      <x:c r="L115" s="20" t="str">
        <x:v>由M1／M2提供；夫妻星只说明伴侣原型与关系资格，不单独证明修复能力、修复意愿或修复结果。</x:v>
      </x:c>
      <x:c r="M115" s="20" t="str">
        <x:v>由M3-BASE提供；日支底盘说明亲密关系中自然调用的功能，但不能单独证明修复闭环。</x:v>
      </x:c>
      <x:c r="N115" s="20" t="str">
        <x:v>由M3-CONFLICT、M4-LOOP及现实事件提供；必须区分问题停止、责任承担、影响确认、行动改变、反馈整合与后续回访。</x:v>
      </x:c>
      <x:c r="O115" s="20" t="str">
        <x:v>由共享基础引擎判定；近位提高相关功能进入亲密关系核心的概率，远位只作背景或阶段修正。</x:v>
      </x:c>
      <x:c r="P115" s="20" t="str">
        <x:v>根气只修正某修复功能是否容易重复调用，不等于现实中已经持续改变。</x:v>
      </x:c>
      <x:c r="Q115" s="20" t="str">
        <x:v>旺弱只修正功能调用强度与占位，不直接等同修复质量、诚意或关系结果。</x:v>
      </x:c>
      <x:c r="R115" s="20" t="str">
        <x:v>喜忌只修正功能摩擦、平衡与承载，不直接等同道德、成熟、善恶或是否值得原谅。</x:v>
      </x:c>
      <x:c r="S115" s="20" t="str">
        <x:v>原十神功能有效；真合化成立时按化神功能替换，合化争议时停止定性。</x:v>
      </x:c>
      <x:c r="T115" s="20" t="str">
        <x:v>近位提高修复议题与亲密关系的直接相关性；远位仅保留背景、阶段或低置信修正。</x:v>
      </x:c>
      <x:c r="U115" s="20" t="str">
        <x:v>68</x:v>
      </x:c>
      <x:c r="V115" s="20" t="str">
        <x:v>有效通道＋3；替代盲点另行路由</x:v>
      </x:c>
      <x:c r="W115" s="20" t="str">
        <x:v>repair_channel</x:v>
      </x:c>
      <x:c r="X115" s="20" t="str">
        <x:v>状态只修正调用方式和持续性。</x:v>
      </x:c>
      <x:c r="Y115" s="20" t="str">
        <x:v>这项方式是否稳定，需要继续看它能否重复、是否受另一功能调节。</x:v>
      </x:c>
      <x:c r="Z11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5" s="20" t="str">
        <x:v>中高</x:v>
      </x:c>
      <x:c r="AB115" s="20" t="str">
        <x:v>待验证</x:v>
      </x:c>
      <x:c r="AC115" s="20" t="str"/>
      <x:c r="AD115" s="20" t="str">
        <x:v>provisional=true；M3-REPAIR尚未完成，完成条件为暂定功能模型。</x:v>
      </x:c>
      <x:c r="AE115" s="52" t="str">
        <x:v>0.7</x:v>
      </x:c>
    </x:row>
    <x:row r="116">
      <x:c r="A116" s="51" t="str">
        <x:v>M4-REPAIR-115</x:v>
      </x:c>
      <x:c r="B116" s="20" t="str">
        <x:v>RC06 偏财｜灵活重启修复｜用户标准文案</x:v>
      </x:c>
      <x:c r="C116" s="20" t="str">
        <x:v>L2 十神修复功能通道</x:v>
      </x:c>
      <x:c r="D116" s="20" t="str">
        <x:v>REPAIR-十神通道</x:v>
      </x:c>
      <x:c r="E116" s="20" t="str">
        <x:v>通用</x:v>
      </x:c>
      <x:c r="F116" s="20" t="str">
        <x:v>输出</x:v>
      </x:c>
      <x:c r="G116" s="20" t="str">
        <x:v>RC06</x:v>
      </x:c>
      <x:c r="H116" s="20" t="str">
        <x:v>偏财</x:v>
      </x:c>
      <x:c r="I116" s="20" t="str">
        <x:v>该通道为主修复方式候选，并有第二类独立证据。</x:v>
      </x:c>
      <x:c r="J116" s="20" t="str">
        <x:v>证据不足或真合化争议。</x:v>
      </x:c>
      <x:c r="K116" s="20" t="str">
        <x:v>由共享基础引擎提供；仅修正修复功能的承载、持续与压力占位，不直接等同是否愿意认错或能否修复。</x:v>
      </x:c>
      <x:c r="L116" s="20" t="str">
        <x:v>由M1／M2提供；夫妻星只说明伴侣原型与关系资格，不单独证明修复能力、修复意愿或修复结果。</x:v>
      </x:c>
      <x:c r="M116" s="20" t="str">
        <x:v>由M3-BASE提供；日支底盘说明亲密关系中自然调用的功能，但不能单独证明修复闭环。</x:v>
      </x:c>
      <x:c r="N116" s="20" t="str">
        <x:v>由M3-CONFLICT、M4-LOOP及现实事件提供；必须区分问题停止、责任承担、影响确认、行动改变、反馈整合与后续回访。</x:v>
      </x:c>
      <x:c r="O116" s="20" t="str">
        <x:v>由共享基础引擎判定；近位提高相关功能进入亲密关系核心的概率，远位只作背景或阶段修正。</x:v>
      </x:c>
      <x:c r="P116" s="20" t="str">
        <x:v>根气只修正某修复功能是否容易重复调用，不等于现实中已经持续改变。</x:v>
      </x:c>
      <x:c r="Q116" s="20" t="str">
        <x:v>旺弱只修正功能调用强度与占位，不直接等同修复质量、诚意或关系结果。</x:v>
      </x:c>
      <x:c r="R116" s="20" t="str">
        <x:v>喜忌只修正功能摩擦、平衡与承载，不直接等同道德、成熟、善恶或是否值得原谅。</x:v>
      </x:c>
      <x:c r="S116" s="20" t="str">
        <x:v>原十神功能有效；真合化成立时按化神功能替换，合化争议时停止定性。</x:v>
      </x:c>
      <x:c r="T116" s="20" t="str">
        <x:v>近位提高修复议题与亲密关系的直接相关性；远位仅保留背景、阶段或低置信修正。</x:v>
      </x:c>
      <x:c r="U116" s="20" t="str">
        <x:v>68</x:v>
      </x:c>
      <x:c r="V116" s="20" t="str">
        <x:v>有效通道＋3；替代盲点另行路由</x:v>
      </x:c>
      <x:c r="W116" s="20" t="str">
        <x:v>repair_channel</x:v>
      </x:c>
      <x:c r="X116" s="20" t="str">
        <x:v>输出先描述功能，再描述缺口，不贴人格标签。</x:v>
      </x:c>
      <x:c r="Y116" s="20" t="str">
        <x:v>你可能通过灵活调整和共同体验让关系重新有流动感。</x:v>
      </x:c>
      <x:c r="Z11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6" s="20" t="str">
        <x:v>中高</x:v>
      </x:c>
      <x:c r="AB116" s="20" t="str">
        <x:v>待验证</x:v>
      </x:c>
      <x:c r="AC116" s="20" t="str"/>
      <x:c r="AD116" s="20" t="str">
        <x:v>provisional=true；M3-REPAIR尚未完成，完成条件为暂定功能模型。</x:v>
      </x:c>
      <x:c r="AE116" s="52" t="str">
        <x:v>0.7</x:v>
      </x:c>
    </x:row>
    <x:row r="117">
      <x:c r="A117" s="51" t="str">
        <x:v>M4-REPAIR-116</x:v>
      </x:c>
      <x:c r="B117" s="20" t="str">
        <x:v>RC06 偏财｜灵活重启修复｜禁止推断</x:v>
      </x:c>
      <x:c r="C117" s="20" t="str">
        <x:v>L2 十神修复功能通道</x:v>
      </x:c>
      <x:c r="D117" s="20" t="str">
        <x:v>REPAIR-十神通道</x:v>
      </x:c>
      <x:c r="E117" s="20" t="str">
        <x:v>通用</x:v>
      </x:c>
      <x:c r="F117" s="20" t="str">
        <x:v>边界</x:v>
      </x:c>
      <x:c r="G117" s="20" t="str">
        <x:v>RC06</x:v>
      </x:c>
      <x:c r="H117" s="20" t="str">
        <x:v>偏财</x:v>
      </x:c>
      <x:c r="I117" s="20" t="str">
        <x:v>完成现实安全、责任和反例检查。</x:v>
      </x:c>
      <x:c r="J117" s="20" t="str">
        <x:v>不得由示好、礼物或体验推出花心、操控或修复完成。。</x:v>
      </x:c>
      <x:c r="K117" s="20" t="str">
        <x:v>由共享基础引擎提供；仅修正修复功能的承载、持续与压力占位，不直接等同是否愿意认错或能否修复。</x:v>
      </x:c>
      <x:c r="L117" s="20" t="str">
        <x:v>由M1／M2提供；夫妻星只说明伴侣原型与关系资格，不单独证明修复能力、修复意愿或修复结果。</x:v>
      </x:c>
      <x:c r="M117" s="20" t="str">
        <x:v>由M3-BASE提供；日支底盘说明亲密关系中自然调用的功能，但不能单独证明修复闭环。</x:v>
      </x:c>
      <x:c r="N117" s="20" t="str">
        <x:v>由M3-CONFLICT、M4-LOOP及现实事件提供；必须区分问题停止、责任承担、影响确认、行动改变、反馈整合与后续回访。</x:v>
      </x:c>
      <x:c r="O117" s="20" t="str">
        <x:v>由共享基础引擎判定；近位提高相关功能进入亲密关系核心的概率，远位只作背景或阶段修正。</x:v>
      </x:c>
      <x:c r="P117" s="20" t="str">
        <x:v>根气只修正某修复功能是否容易重复调用，不等于现实中已经持续改变。</x:v>
      </x:c>
      <x:c r="Q117" s="20" t="str">
        <x:v>旺弱只修正功能调用强度与占位，不直接等同修复质量、诚意或关系结果。</x:v>
      </x:c>
      <x:c r="R117" s="20" t="str">
        <x:v>喜忌只修正功能摩擦、平衡与承载，不直接等同道德、成熟、善恶或是否值得原谅。</x:v>
      </x:c>
      <x:c r="S117" s="20" t="str">
        <x:v>原十神功能有效；真合化成立时按化神功能替换，合化争议时停止定性。</x:v>
      </x:c>
      <x:c r="T117" s="20" t="str">
        <x:v>近位提高修复议题与亲密关系的直接相关性；远位仅保留背景、阶段或低置信修正。</x:v>
      </x:c>
      <x:c r="U117" s="20" t="str">
        <x:v>82</x:v>
      </x:c>
      <x:c r="V117" s="20" t="str">
        <x:v>有效通道＋3；替代盲点另行路由</x:v>
      </x:c>
      <x:c r="W117" s="20" t="str">
        <x:v>repair_channel</x:v>
      </x:c>
      <x:c r="X117" s="20" t="str">
        <x:v>十神修复通道不能推断诚意、道德和关系结果。</x:v>
      </x:c>
      <x:c r="Y117" s="20" t="str">
        <x:v>边界提示：不得由示好、礼物或体验推出花心、操控或修复完成。</x:v>
      </x:c>
      <x:c r="Z11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7" s="20" t="str">
        <x:v>中高</x:v>
      </x:c>
      <x:c r="AB117" s="20" t="str">
        <x:v>待验证</x:v>
      </x:c>
      <x:c r="AC117" s="20" t="str"/>
      <x:c r="AD117" s="20" t="str">
        <x:v>provisional=true；M3-REPAIR尚未完成，完成条件为暂定功能模型。</x:v>
      </x:c>
      <x:c r="AE117" s="52" t="str">
        <x:v>0.7</x:v>
      </x:c>
    </x:row>
    <x:row r="118">
      <x:c r="A118" s="51" t="str">
        <x:v>M4-REPAIR-117</x:v>
      </x:c>
      <x:c r="B118" s="20" t="str">
        <x:v>RC07 正官｜责任承诺修复｜正常修复功能</x:v>
      </x:c>
      <x:c r="C118" s="20" t="str">
        <x:v>L2 十神修复功能通道</x:v>
      </x:c>
      <x:c r="D118" s="20" t="str">
        <x:v>REPAIR-十神通道</x:v>
      </x:c>
      <x:c r="E118" s="20" t="str">
        <x:v>通用</x:v>
      </x:c>
      <x:c r="F118" s="20" t="str">
        <x:v>定义</x:v>
      </x:c>
      <x:c r="G118" s="20" t="str">
        <x:v>RC07</x:v>
      </x:c>
      <x:c r="H118" s="20" t="str">
        <x:v>正官</x:v>
      </x:c>
      <x:c r="I118" s="20" t="str">
        <x:v>明确责任、规则、承诺和以后怎样避免复发。</x:v>
      </x:c>
      <x:c r="J118" s="20" t="str">
        <x:v>仅凭十神名称或旺弱直接判断修复能力。</x:v>
      </x:c>
      <x:c r="K118" s="20" t="str">
        <x:v>由共享基础引擎提供；仅修正修复功能的承载、持续与压力占位，不直接等同是否愿意认错或能否修复。</x:v>
      </x:c>
      <x:c r="L118" s="20" t="str">
        <x:v>由M1／M2提供；夫妻星只说明伴侣原型与关系资格，不单独证明修复能力、修复意愿或修复结果。</x:v>
      </x:c>
      <x:c r="M118" s="20" t="str">
        <x:v>由M3-BASE提供；日支底盘说明亲密关系中自然调用的功能，但不能单独证明修复闭环。</x:v>
      </x:c>
      <x:c r="N118" s="20" t="str">
        <x:v>由M3-CONFLICT、M4-LOOP及现实事件提供；必须区分问题停止、责任承担、影响确认、行动改变、反馈整合与后续回访。</x:v>
      </x:c>
      <x:c r="O118" s="20" t="str">
        <x:v>由共享基础引擎判定；近位提高相关功能进入亲密关系核心的概率，远位只作背景或阶段修正。</x:v>
      </x:c>
      <x:c r="P118" s="20" t="str">
        <x:v>根气只修正某修复功能是否容易重复调用，不等于现实中已经持续改变。</x:v>
      </x:c>
      <x:c r="Q118" s="20" t="str">
        <x:v>旺弱只修正功能调用强度与占位，不直接等同修复质量、诚意或关系结果。</x:v>
      </x:c>
      <x:c r="R118" s="20" t="str">
        <x:v>喜忌只修正功能摩擦、平衡与承载，不直接等同道德、成熟、善恶或是否值得原谅。</x:v>
      </x:c>
      <x:c r="S118" s="20" t="str">
        <x:v>原十神功能有效；真合化成立时按化神功能替换，合化争议时停止定性。</x:v>
      </x:c>
      <x:c r="T118" s="20" t="str">
        <x:v>近位提高修复议题与亲密关系的直接相关性；远位仅保留背景、阶段或低置信修正。</x:v>
      </x:c>
      <x:c r="U118" s="20" t="str">
        <x:v>68</x:v>
      </x:c>
      <x:c r="V118" s="20" t="str">
        <x:v>有效通道＋3；替代盲点另行路由</x:v>
      </x:c>
      <x:c r="W118" s="20" t="str">
        <x:v>repair_channel</x:v>
      </x:c>
      <x:c r="X118" s="20" t="str">
        <x:v>十神提供一种可用修复功能，首先保留其正常价值。</x:v>
      </x:c>
      <x:c r="Y118" s="20" t="str">
        <x:v>你更倾向通过承担责任、说清规则和持续守约来修复。</x:v>
      </x:c>
      <x:c r="Z11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8" s="20" t="str">
        <x:v>中高</x:v>
      </x:c>
      <x:c r="AB118" s="20" t="str">
        <x:v>待验证</x:v>
      </x:c>
      <x:c r="AC118" s="20" t="str"/>
      <x:c r="AD118" s="20" t="str">
        <x:v>provisional=true；M3-REPAIR尚未完成，完成条件为暂定功能模型。</x:v>
      </x:c>
      <x:c r="AE118" s="52" t="str">
        <x:v>0.7</x:v>
      </x:c>
    </x:row>
    <x:row r="119">
      <x:c r="A119" s="51" t="str">
        <x:v>M4-REPAIR-118</x:v>
      </x:c>
      <x:c r="B119" s="20" t="str">
        <x:v>RC07 正官｜责任承诺修复｜启动表现</x:v>
      </x:c>
      <x:c r="C119" s="20" t="str">
        <x:v>L2 十神修复功能通道</x:v>
      </x:c>
      <x:c r="D119" s="20" t="str">
        <x:v>REPAIR-十神通道</x:v>
      </x:c>
      <x:c r="E119" s="20" t="str">
        <x:v>通用</x:v>
      </x:c>
      <x:c r="F119" s="20" t="str">
        <x:v>行为</x:v>
      </x:c>
      <x:c r="G119" s="20" t="str">
        <x:v>RC07</x:v>
      </x:c>
      <x:c r="H119" s="20" t="str">
        <x:v>正官</x:v>
      </x:c>
      <x:c r="I119" s="20" t="str">
        <x:v>现实中出现：承认角色责任、重订规则、明确承诺、持续守约。</x:v>
      </x:c>
      <x:c r="J119" s="20" t="str">
        <x:v>只有自我评价，没有具体行为。</x:v>
      </x:c>
      <x:c r="K119" s="20" t="str">
        <x:v>由共享基础引擎提供；仅修正修复功能的承载、持续与压力占位，不直接等同是否愿意认错或能否修复。</x:v>
      </x:c>
      <x:c r="L119" s="20" t="str">
        <x:v>由M1／M2提供；夫妻星只说明伴侣原型与关系资格，不单独证明修复能力、修复意愿或修复结果。</x:v>
      </x:c>
      <x:c r="M119" s="20" t="str">
        <x:v>由M3-BASE提供；日支底盘说明亲密关系中自然调用的功能，但不能单独证明修复闭环。</x:v>
      </x:c>
      <x:c r="N119" s="20" t="str">
        <x:v>由M3-CONFLICT、M4-LOOP及现实事件提供；必须区分问题停止、责任承担、影响确认、行动改变、反馈整合与后续回访。</x:v>
      </x:c>
      <x:c r="O119" s="20" t="str">
        <x:v>由共享基础引擎判定；近位提高相关功能进入亲密关系核心的概率，远位只作背景或阶段修正。</x:v>
      </x:c>
      <x:c r="P119" s="20" t="str">
        <x:v>根气只修正某修复功能是否容易重复调用，不等于现实中已经持续改变。</x:v>
      </x:c>
      <x:c r="Q119" s="20" t="str">
        <x:v>旺弱只修正功能调用强度与占位，不直接等同修复质量、诚意或关系结果。</x:v>
      </x:c>
      <x:c r="R119" s="20" t="str">
        <x:v>喜忌只修正功能摩擦、平衡与承载，不直接等同道德、成熟、善恶或是否值得原谅。</x:v>
      </x:c>
      <x:c r="S119" s="20" t="str">
        <x:v>原十神功能有效；真合化成立时按化神功能替换，合化争议时停止定性。</x:v>
      </x:c>
      <x:c r="T119" s="20" t="str">
        <x:v>近位提高修复议题与亲密关系的直接相关性；远位仅保留背景、阶段或低置信修正。</x:v>
      </x:c>
      <x:c r="U119" s="20" t="str">
        <x:v>68</x:v>
      </x:c>
      <x:c r="V119" s="20" t="str">
        <x:v>有效通道＋3；替代盲点另行路由</x:v>
      </x:c>
      <x:c r="W119" s="20" t="str">
        <x:v>repair_channel</x:v>
      </x:c>
      <x:c r="X119" s="20" t="str">
        <x:v>启动表现说明通道已出现，但不等于闭环。</x:v>
      </x:c>
      <x:c r="Y119" s="20" t="str">
        <x:v>当你使用这一通道时，常见表现是：承认角色责任、重订规则、明确承诺、持续守约。</x:v>
      </x:c>
      <x:c r="Z11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19" s="20" t="str">
        <x:v>中高</x:v>
      </x:c>
      <x:c r="AB119" s="20" t="str">
        <x:v>待验证</x:v>
      </x:c>
      <x:c r="AC119" s="20" t="str"/>
      <x:c r="AD119" s="20" t="str">
        <x:v>provisional=true；M3-REPAIR尚未完成，完成条件为暂定功能模型。</x:v>
      </x:c>
      <x:c r="AE119" s="52" t="str">
        <x:v>0.7</x:v>
      </x:c>
    </x:row>
    <x:row r="120">
      <x:c r="A120" s="51" t="str">
        <x:v>M4-REPAIR-119</x:v>
      </x:c>
      <x:c r="B120" s="20" t="str">
        <x:v>RC07 正官｜责任承诺修复｜接收方反馈检查</x:v>
      </x:c>
      <x:c r="C120" s="20" t="str">
        <x:v>L2 十神修复功能通道</x:v>
      </x:c>
      <x:c r="D120" s="20" t="str">
        <x:v>REPAIR-十神通道</x:v>
      </x:c>
      <x:c r="E120" s="20" t="str">
        <x:v>通用</x:v>
      </x:c>
      <x:c r="F120" s="20" t="str">
        <x:v>证据</x:v>
      </x:c>
      <x:c r="G120" s="20" t="str">
        <x:v>RC07</x:v>
      </x:c>
      <x:c r="H120" s="20" t="str">
        <x:v>正官</x:v>
      </x:c>
      <x:c r="I120" s="20" t="str">
        <x:v>接收方能够对该通道提供接受、拒绝、保留或调整反馈。</x:v>
      </x:c>
      <x:c r="J120" s="20" t="str">
        <x:v>只看发起者意图，不记录接收者反馈。</x:v>
      </x:c>
      <x:c r="K120" s="20" t="str">
        <x:v>由共享基础引擎提供；仅修正修复功能的承载、持续与压力占位，不直接等同是否愿意认错或能否修复。</x:v>
      </x:c>
      <x:c r="L120" s="20" t="str">
        <x:v>由M1／M2提供；夫妻星只说明伴侣原型与关系资格，不单独证明修复能力、修复意愿或修复结果。</x:v>
      </x:c>
      <x:c r="M120" s="20" t="str">
        <x:v>由M3-BASE提供；日支底盘说明亲密关系中自然调用的功能，但不能单独证明修复闭环。</x:v>
      </x:c>
      <x:c r="N120" s="20" t="str">
        <x:v>由M3-CONFLICT、M4-LOOP及现实事件提供；必须区分问题停止、责任承担、影响确认、行动改变、反馈整合与后续回访。</x:v>
      </x:c>
      <x:c r="O120" s="20" t="str">
        <x:v>由共享基础引擎判定；近位提高相关功能进入亲密关系核心的概率，远位只作背景或阶段修正。</x:v>
      </x:c>
      <x:c r="P120" s="20" t="str">
        <x:v>根气只修正某修复功能是否容易重复调用，不等于现实中已经持续改变。</x:v>
      </x:c>
      <x:c r="Q120" s="20" t="str">
        <x:v>旺弱只修正功能调用强度与占位，不直接等同修复质量、诚意或关系结果。</x:v>
      </x:c>
      <x:c r="R120" s="20" t="str">
        <x:v>喜忌只修正功能摩擦、平衡与承载，不直接等同道德、成熟、善恶或是否值得原谅。</x:v>
      </x:c>
      <x:c r="S120" s="20" t="str">
        <x:v>原十神功能有效；真合化成立时按化神功能替换，合化争议时停止定性。</x:v>
      </x:c>
      <x:c r="T120" s="20" t="str">
        <x:v>近位提高修复议题与亲密关系的直接相关性；远位仅保留背景、阶段或低置信修正。</x:v>
      </x:c>
      <x:c r="U120" s="20" t="str">
        <x:v>82</x:v>
      </x:c>
      <x:c r="V120" s="20" t="str">
        <x:v>有效通道＋3；替代盲点另行路由</x:v>
      </x:c>
      <x:c r="W120" s="20" t="str">
        <x:v>repair_channel</x:v>
      </x:c>
      <x:c r="X120" s="20" t="str">
        <x:v>修复通道是否有效必须看它是否回应真实影响。</x:v>
      </x:c>
      <x:c r="Y120" s="20" t="str">
        <x:v>还要看对方怎样接收这一步，以及是否需要进一步调整。</x:v>
      </x:c>
      <x:c r="Z12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0" s="20" t="str">
        <x:v>中高</x:v>
      </x:c>
      <x:c r="AB120" s="20" t="str">
        <x:v>待验证</x:v>
      </x:c>
      <x:c r="AC120" s="20" t="str"/>
      <x:c r="AD120" s="20" t="str">
        <x:v>provisional=true；M3-REPAIR尚未完成，完成条件为暂定功能模型。</x:v>
      </x:c>
      <x:c r="AE120" s="52" t="str">
        <x:v>0.7</x:v>
      </x:c>
    </x:row>
    <x:row r="121">
      <x:c r="A121" s="51" t="str">
        <x:v>M4-REPAIR-120</x:v>
      </x:c>
      <x:c r="B121" s="20" t="str">
        <x:v>RC07 正官｜责任承诺修复｜常见替代盲点</x:v>
      </x:c>
      <x:c r="C121" s="20" t="str">
        <x:v>L2 十神修复功能通道</x:v>
      </x:c>
      <x:c r="D121" s="20" t="str">
        <x:v>REPAIR-十神通道</x:v>
      </x:c>
      <x:c r="E121" s="20" t="str">
        <x:v>通用</x:v>
      </x:c>
      <x:c r="F121" s="20" t="str">
        <x:v>盲点</x:v>
      </x:c>
      <x:c r="G121" s="20" t="str">
        <x:v>RC07</x:v>
      </x:c>
      <x:c r="H121" s="20" t="str">
        <x:v>正官</x:v>
      </x:c>
      <x:c r="I121" s="20" t="str">
        <x:v>该通道出现并承担修复任务。</x:v>
      </x:c>
      <x:c r="J121" s="20" t="str">
        <x:v>可能把新规则或郑重表态当成已经恢复信任。</x:v>
      </x:c>
      <x:c r="K121" s="20" t="str">
        <x:v>由共享基础引擎提供；仅修正修复功能的承载、持续与压力占位，不直接等同是否愿意认错或能否修复。</x:v>
      </x:c>
      <x:c r="L121" s="20" t="str">
        <x:v>由M1／M2提供；夫妻星只说明伴侣原型与关系资格，不单独证明修复能力、修复意愿或修复结果。</x:v>
      </x:c>
      <x:c r="M121" s="20" t="str">
        <x:v>由M3-BASE提供；日支底盘说明亲密关系中自然调用的功能，但不能单独证明修复闭环。</x:v>
      </x:c>
      <x:c r="N121" s="20" t="str">
        <x:v>由M3-CONFLICT、M4-LOOP及现实事件提供；必须区分问题停止、责任承担、影响确认、行动改变、反馈整合与后续回访。</x:v>
      </x:c>
      <x:c r="O121" s="20" t="str">
        <x:v>由共享基础引擎判定；近位提高相关功能进入亲密关系核心的概率，远位只作背景或阶段修正。</x:v>
      </x:c>
      <x:c r="P121" s="20" t="str">
        <x:v>根气只修正某修复功能是否容易重复调用，不等于现实中已经持续改变。</x:v>
      </x:c>
      <x:c r="Q121" s="20" t="str">
        <x:v>旺弱只修正功能调用强度与占位，不直接等同修复质量、诚意或关系结果。</x:v>
      </x:c>
      <x:c r="R121" s="20" t="str">
        <x:v>喜忌只修正功能摩擦、平衡与承载，不直接等同道德、成熟、善恶或是否值得原谅。</x:v>
      </x:c>
      <x:c r="S121" s="20" t="str">
        <x:v>原十神功能有效；真合化成立时按化神功能替换，合化争议时停止定性。</x:v>
      </x:c>
      <x:c r="T121" s="20" t="str">
        <x:v>近位提高修复议题与亲密关系的直接相关性；远位仅保留背景、阶段或低置信修正。</x:v>
      </x:c>
      <x:c r="U121" s="20" t="str">
        <x:v>68</x:v>
      </x:c>
      <x:c r="V121" s="20" t="str">
        <x:v>有效通道＋3；替代盲点另行路由</x:v>
      </x:c>
      <x:c r="W121" s="20" t="str">
        <x:v>repair_channel</x:v>
      </x:c>
      <x:c r="X121" s="20" t="str">
        <x:v>熟悉通道容易替代另一项不同修复任务。</x:v>
      </x:c>
      <x:c r="Y121" s="20" t="str">
        <x:v>需要留意：可能把新规则或郑重表态当成已经恢复信任。</x:v>
      </x:c>
      <x:c r="Z12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1" s="20" t="str">
        <x:v>中高</x:v>
      </x:c>
      <x:c r="AB121" s="20" t="str">
        <x:v>待验证</x:v>
      </x:c>
      <x:c r="AC121" s="20" t="str"/>
      <x:c r="AD121" s="20" t="str">
        <x:v>provisional=true；M3-REPAIR尚未完成，完成条件为暂定功能模型。</x:v>
      </x:c>
      <x:c r="AE121" s="52" t="str">
        <x:v>0.7</x:v>
      </x:c>
    </x:row>
    <x:row r="122">
      <x:c r="A122" s="51" t="str">
        <x:v>M4-REPAIR-121</x:v>
      </x:c>
      <x:c r="B122" s="20" t="str">
        <x:v>RC07 正官｜责任承诺修复｜闭环所需第二功能</x:v>
      </x:c>
      <x:c r="C122" s="20" t="str">
        <x:v>L2 十神修复功能通道</x:v>
      </x:c>
      <x:c r="D122" s="20" t="str">
        <x:v>REPAIR-十神通道</x:v>
      </x:c>
      <x:c r="E122" s="20" t="str">
        <x:v>通用</x:v>
      </x:c>
      <x:c r="F122" s="20" t="str">
        <x:v>通关</x:v>
      </x:c>
      <x:c r="G122" s="20" t="str">
        <x:v>RC07</x:v>
      </x:c>
      <x:c r="H122" s="20" t="str">
        <x:v>正官</x:v>
      </x:c>
      <x:c r="I122" s="20" t="str">
        <x:v>需要比劫共同参与、印星影响确认、财星执行。</x:v>
      </x:c>
      <x:c r="J122" s="20" t="str">
        <x:v>假设单一通道能完成所有修复任务。</x:v>
      </x:c>
      <x:c r="K122" s="20" t="str">
        <x:v>由共享基础引擎提供；仅修正修复功能的承载、持续与压力占位，不直接等同是否愿意认错或能否修复。</x:v>
      </x:c>
      <x:c r="L122" s="20" t="str">
        <x:v>由M1／M2提供；夫妻星只说明伴侣原型与关系资格，不单独证明修复能力、修复意愿或修复结果。</x:v>
      </x:c>
      <x:c r="M122" s="20" t="str">
        <x:v>由M3-BASE提供；日支底盘说明亲密关系中自然调用的功能，但不能单独证明修复闭环。</x:v>
      </x:c>
      <x:c r="N122" s="20" t="str">
        <x:v>由M3-CONFLICT、M4-LOOP及现实事件提供；必须区分问题停止、责任承担、影响确认、行动改变、反馈整合与后续回访。</x:v>
      </x:c>
      <x:c r="O122" s="20" t="str">
        <x:v>由共享基础引擎判定；近位提高相关功能进入亲密关系核心的概率，远位只作背景或阶段修正。</x:v>
      </x:c>
      <x:c r="P122" s="20" t="str">
        <x:v>根气只修正某修复功能是否容易重复调用，不等于现实中已经持续改变。</x:v>
      </x:c>
      <x:c r="Q122" s="20" t="str">
        <x:v>旺弱只修正功能调用强度与占位，不直接等同修复质量、诚意或关系结果。</x:v>
      </x:c>
      <x:c r="R122" s="20" t="str">
        <x:v>喜忌只修正功能摩擦、平衡与承载，不直接等同道德、成熟、善恶或是否值得原谅。</x:v>
      </x:c>
      <x:c r="S122" s="20" t="str">
        <x:v>原十神功能有效；真合化成立时按化神功能替换，合化争议时停止定性。</x:v>
      </x:c>
      <x:c r="T122" s="20" t="str">
        <x:v>近位提高修复议题与亲密关系的直接相关性；远位仅保留背景、阶段或低置信修正。</x:v>
      </x:c>
      <x:c r="U122" s="20" t="str">
        <x:v>68</x:v>
      </x:c>
      <x:c r="V122" s="20" t="str">
        <x:v>有效通道＋3；替代盲点另行路由</x:v>
      </x:c>
      <x:c r="W122" s="20" t="str">
        <x:v>repair_channel</x:v>
      </x:c>
      <x:c r="X122" s="20" t="str">
        <x:v>第二功能负责把本通道转成更完整的修复链。</x:v>
      </x:c>
      <x:c r="Y122" s="20" t="str">
        <x:v>要让修复更完整，还需要：需要比劫共同参与、印星影响确认、财星执行。</x:v>
      </x:c>
      <x:c r="Z12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2" s="20" t="str">
        <x:v>中高</x:v>
      </x:c>
      <x:c r="AB122" s="20" t="str">
        <x:v>待验证</x:v>
      </x:c>
      <x:c r="AC122" s="20" t="str"/>
      <x:c r="AD122" s="20" t="str">
        <x:v>provisional=true；M3-REPAIR尚未完成，完成条件为暂定功能模型。</x:v>
      </x:c>
      <x:c r="AE122" s="52" t="str">
        <x:v>0.7</x:v>
      </x:c>
    </x:row>
    <x:row r="123">
      <x:c r="A123" s="51" t="str">
        <x:v>M4-REPAIR-122</x:v>
      </x:c>
      <x:c r="B123" s="20" t="str">
        <x:v>RC07 正官｜责任承诺修复｜状态修正</x:v>
      </x:c>
      <x:c r="C123" s="20" t="str">
        <x:v>L2 十神修复功能通道</x:v>
      </x:c>
      <x:c r="D123" s="20" t="str">
        <x:v>REPAIR-十神通道</x:v>
      </x:c>
      <x:c r="E123" s="20" t="str">
        <x:v>通用</x:v>
      </x:c>
      <x:c r="F123" s="20" t="str">
        <x:v>状态</x:v>
      </x:c>
      <x:c r="G123" s="20" t="str">
        <x:v>RC07</x:v>
      </x:c>
      <x:c r="H123" s="20" t="str">
        <x:v>正官</x:v>
      </x:c>
      <x:c r="I123" s="20" t="str">
        <x:v>结合透藏、根气、旺弱、制化、位置和现实重复行为。</x:v>
      </x:c>
      <x:c r="J123" s="20" t="str">
        <x:v>强即有效、弱即没有、喜即成熟、忌即恶意。</x:v>
      </x:c>
      <x:c r="K123" s="20" t="str">
        <x:v>由共享基础引擎提供；仅修正修复功能的承载、持续与压力占位，不直接等同是否愿意认错或能否修复。</x:v>
      </x:c>
      <x:c r="L123" s="20" t="str">
        <x:v>由M1／M2提供；夫妻星只说明伴侣原型与关系资格，不单独证明修复能力、修复意愿或修复结果。</x:v>
      </x:c>
      <x:c r="M123" s="20" t="str">
        <x:v>由M3-BASE提供；日支底盘说明亲密关系中自然调用的功能，但不能单独证明修复闭环。</x:v>
      </x:c>
      <x:c r="N123" s="20" t="str">
        <x:v>由M3-CONFLICT、M4-LOOP及现实事件提供；必须区分问题停止、责任承担、影响确认、行动改变、反馈整合与后续回访。</x:v>
      </x:c>
      <x:c r="O123" s="20" t="str">
        <x:v>由共享基础引擎判定；近位提高相关功能进入亲密关系核心的概率，远位只作背景或阶段修正。</x:v>
      </x:c>
      <x:c r="P123" s="20" t="str">
        <x:v>根气只修正某修复功能是否容易重复调用，不等于现实中已经持续改变。</x:v>
      </x:c>
      <x:c r="Q123" s="20" t="str">
        <x:v>旺弱只修正功能调用强度与占位，不直接等同修复质量、诚意或关系结果。</x:v>
      </x:c>
      <x:c r="R123" s="20" t="str">
        <x:v>喜忌只修正功能摩擦、平衡与承载，不直接等同道德、成熟、善恶或是否值得原谅。</x:v>
      </x:c>
      <x:c r="S123" s="20" t="str">
        <x:v>原十神功能有效；真合化成立时按化神功能替换，合化争议时停止定性。</x:v>
      </x:c>
      <x:c r="T123" s="20" t="str">
        <x:v>近位提高修复议题与亲密关系的直接相关性；远位仅保留背景、阶段或低置信修正。</x:v>
      </x:c>
      <x:c r="U123" s="20" t="str">
        <x:v>68</x:v>
      </x:c>
      <x:c r="V123" s="20" t="str">
        <x:v>有效通道＋3；替代盲点另行路由</x:v>
      </x:c>
      <x:c r="W123" s="20" t="str">
        <x:v>repair_channel</x:v>
      </x:c>
      <x:c r="X123" s="20" t="str">
        <x:v>状态只修正调用方式和持续性。</x:v>
      </x:c>
      <x:c r="Y123" s="20" t="str">
        <x:v>这项方式是否稳定，需要继续看它能否重复、是否受另一功能调节。</x:v>
      </x:c>
      <x:c r="Z12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3" s="20" t="str">
        <x:v>中高</x:v>
      </x:c>
      <x:c r="AB123" s="20" t="str">
        <x:v>待验证</x:v>
      </x:c>
      <x:c r="AC123" s="20" t="str"/>
      <x:c r="AD123" s="20" t="str">
        <x:v>provisional=true；M3-REPAIR尚未完成，完成条件为暂定功能模型。</x:v>
      </x:c>
      <x:c r="AE123" s="52" t="str">
        <x:v>0.7</x:v>
      </x:c>
    </x:row>
    <x:row r="124">
      <x:c r="A124" s="51" t="str">
        <x:v>M4-REPAIR-123</x:v>
      </x:c>
      <x:c r="B124" s="20" t="str">
        <x:v>RC07 正官｜责任承诺修复｜用户标准文案</x:v>
      </x:c>
      <x:c r="C124" s="20" t="str">
        <x:v>L2 十神修复功能通道</x:v>
      </x:c>
      <x:c r="D124" s="20" t="str">
        <x:v>REPAIR-十神通道</x:v>
      </x:c>
      <x:c r="E124" s="20" t="str">
        <x:v>通用</x:v>
      </x:c>
      <x:c r="F124" s="20" t="str">
        <x:v>输出</x:v>
      </x:c>
      <x:c r="G124" s="20" t="str">
        <x:v>RC07</x:v>
      </x:c>
      <x:c r="H124" s="20" t="str">
        <x:v>正官</x:v>
      </x:c>
      <x:c r="I124" s="20" t="str">
        <x:v>该通道为主修复方式候选，并有第二类独立证据。</x:v>
      </x:c>
      <x:c r="J124" s="20" t="str">
        <x:v>证据不足或真合化争议。</x:v>
      </x:c>
      <x:c r="K124" s="20" t="str">
        <x:v>由共享基础引擎提供；仅修正修复功能的承载、持续与压力占位，不直接等同是否愿意认错或能否修复。</x:v>
      </x:c>
      <x:c r="L124" s="20" t="str">
        <x:v>由M1／M2提供；夫妻星只说明伴侣原型与关系资格，不单独证明修复能力、修复意愿或修复结果。</x:v>
      </x:c>
      <x:c r="M124" s="20" t="str">
        <x:v>由M3-BASE提供；日支底盘说明亲密关系中自然调用的功能，但不能单独证明修复闭环。</x:v>
      </x:c>
      <x:c r="N124" s="20" t="str">
        <x:v>由M3-CONFLICT、M4-LOOP及现实事件提供；必须区分问题停止、责任承担、影响确认、行动改变、反馈整合与后续回访。</x:v>
      </x:c>
      <x:c r="O124" s="20" t="str">
        <x:v>由共享基础引擎判定；近位提高相关功能进入亲密关系核心的概率，远位只作背景或阶段修正。</x:v>
      </x:c>
      <x:c r="P124" s="20" t="str">
        <x:v>根气只修正某修复功能是否容易重复调用，不等于现实中已经持续改变。</x:v>
      </x:c>
      <x:c r="Q124" s="20" t="str">
        <x:v>旺弱只修正功能调用强度与占位，不直接等同修复质量、诚意或关系结果。</x:v>
      </x:c>
      <x:c r="R124" s="20" t="str">
        <x:v>喜忌只修正功能摩擦、平衡与承载，不直接等同道德、成熟、善恶或是否值得原谅。</x:v>
      </x:c>
      <x:c r="S124" s="20" t="str">
        <x:v>原十神功能有效；真合化成立时按化神功能替换，合化争议时停止定性。</x:v>
      </x:c>
      <x:c r="T124" s="20" t="str">
        <x:v>近位提高修复议题与亲密关系的直接相关性；远位仅保留背景、阶段或低置信修正。</x:v>
      </x:c>
      <x:c r="U124" s="20" t="str">
        <x:v>68</x:v>
      </x:c>
      <x:c r="V124" s="20" t="str">
        <x:v>有效通道＋3；替代盲点另行路由</x:v>
      </x:c>
      <x:c r="W124" s="20" t="str">
        <x:v>repair_channel</x:v>
      </x:c>
      <x:c r="X124" s="20" t="str">
        <x:v>输出先描述功能，再描述缺口，不贴人格标签。</x:v>
      </x:c>
      <x:c r="Y124" s="20" t="str">
        <x:v>你更倾向通过承担责任、说清规则和持续守约来修复。</x:v>
      </x:c>
      <x:c r="Z12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4" s="20" t="str">
        <x:v>中高</x:v>
      </x:c>
      <x:c r="AB124" s="20" t="str">
        <x:v>待验证</x:v>
      </x:c>
      <x:c r="AC124" s="20" t="str"/>
      <x:c r="AD124" s="20" t="str">
        <x:v>provisional=true；M3-REPAIR尚未完成，完成条件为暂定功能模型。</x:v>
      </x:c>
      <x:c r="AE124" s="52" t="str">
        <x:v>0.7</x:v>
      </x:c>
    </x:row>
    <x:row r="125">
      <x:c r="A125" s="51" t="str">
        <x:v>M4-REPAIR-124</x:v>
      </x:c>
      <x:c r="B125" s="20" t="str">
        <x:v>RC07 正官｜责任承诺修复｜禁止推断</x:v>
      </x:c>
      <x:c r="C125" s="20" t="str">
        <x:v>L2 十神修复功能通道</x:v>
      </x:c>
      <x:c r="D125" s="20" t="str">
        <x:v>REPAIR-十神通道</x:v>
      </x:c>
      <x:c r="E125" s="20" t="str">
        <x:v>通用</x:v>
      </x:c>
      <x:c r="F125" s="20" t="str">
        <x:v>边界</x:v>
      </x:c>
      <x:c r="G125" s="20" t="str">
        <x:v>RC07</x:v>
      </x:c>
      <x:c r="H125" s="20" t="str">
        <x:v>正官</x:v>
      </x:c>
      <x:c r="I125" s="20" t="str">
        <x:v>完成现实安全、责任和反例检查。</x:v>
      </x:c>
      <x:c r="J125" s="20" t="str">
        <x:v>不得把责任规则写成控制；承诺标签不等于现实兑现。。</x:v>
      </x:c>
      <x:c r="K125" s="20" t="str">
        <x:v>由共享基础引擎提供；仅修正修复功能的承载、持续与压力占位，不直接等同是否愿意认错或能否修复。</x:v>
      </x:c>
      <x:c r="L125" s="20" t="str">
        <x:v>由M1／M2提供；夫妻星只说明伴侣原型与关系资格，不单独证明修复能力、修复意愿或修复结果。</x:v>
      </x:c>
      <x:c r="M125" s="20" t="str">
        <x:v>由M3-BASE提供；日支底盘说明亲密关系中自然调用的功能，但不能单独证明修复闭环。</x:v>
      </x:c>
      <x:c r="N125" s="20" t="str">
        <x:v>由M3-CONFLICT、M4-LOOP及现实事件提供；必须区分问题停止、责任承担、影响确认、行动改变、反馈整合与后续回访。</x:v>
      </x:c>
      <x:c r="O125" s="20" t="str">
        <x:v>由共享基础引擎判定；近位提高相关功能进入亲密关系核心的概率，远位只作背景或阶段修正。</x:v>
      </x:c>
      <x:c r="P125" s="20" t="str">
        <x:v>根气只修正某修复功能是否容易重复调用，不等于现实中已经持续改变。</x:v>
      </x:c>
      <x:c r="Q125" s="20" t="str">
        <x:v>旺弱只修正功能调用强度与占位，不直接等同修复质量、诚意或关系结果。</x:v>
      </x:c>
      <x:c r="R125" s="20" t="str">
        <x:v>喜忌只修正功能摩擦、平衡与承载，不直接等同道德、成熟、善恶或是否值得原谅。</x:v>
      </x:c>
      <x:c r="S125" s="20" t="str">
        <x:v>原十神功能有效；真合化成立时按化神功能替换，合化争议时停止定性。</x:v>
      </x:c>
      <x:c r="T125" s="20" t="str">
        <x:v>近位提高修复议题与亲密关系的直接相关性；远位仅保留背景、阶段或低置信修正。</x:v>
      </x:c>
      <x:c r="U125" s="20" t="str">
        <x:v>82</x:v>
      </x:c>
      <x:c r="V125" s="20" t="str">
        <x:v>有效通道＋3；替代盲点另行路由</x:v>
      </x:c>
      <x:c r="W125" s="20" t="str">
        <x:v>repair_channel</x:v>
      </x:c>
      <x:c r="X125" s="20" t="str">
        <x:v>十神修复通道不能推断诚意、道德和关系结果。</x:v>
      </x:c>
      <x:c r="Y125" s="20" t="str">
        <x:v>边界提示：不得把责任规则写成控制；承诺标签不等于现实兑现。</x:v>
      </x:c>
      <x:c r="Z12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5" s="20" t="str">
        <x:v>中高</x:v>
      </x:c>
      <x:c r="AB125" s="20" t="str">
        <x:v>待验证</x:v>
      </x:c>
      <x:c r="AC125" s="20" t="str"/>
      <x:c r="AD125" s="20" t="str">
        <x:v>provisional=true；M3-REPAIR尚未完成，完成条件为暂定功能模型。</x:v>
      </x:c>
      <x:c r="AE125" s="52" t="str">
        <x:v>0.7</x:v>
      </x:c>
    </x:row>
    <x:row r="126">
      <x:c r="A126" s="51" t="str">
        <x:v>M4-REPAIR-125</x:v>
      </x:c>
      <x:c r="B126" s="20" t="str">
        <x:v>RC08 七杀｜止损改正修复｜正常修复功能</x:v>
      </x:c>
      <x:c r="C126" s="20" t="str">
        <x:v>L2 十神修复功能通道</x:v>
      </x:c>
      <x:c r="D126" s="20" t="str">
        <x:v>REPAIR-十神通道</x:v>
      </x:c>
      <x:c r="E126" s="20" t="str">
        <x:v>通用</x:v>
      </x:c>
      <x:c r="F126" s="20" t="str">
        <x:v>定义</x:v>
      </x:c>
      <x:c r="G126" s="20" t="str">
        <x:v>RC08</x:v>
      </x:c>
      <x:c r="H126" s="20" t="str">
        <x:v>七杀</x:v>
      </x:c>
      <x:c r="I126" s="20" t="str">
        <x:v>快速停止伤害、处理风险并立即纠正关键行为。</x:v>
      </x:c>
      <x:c r="J126" s="20" t="str">
        <x:v>仅凭十神名称或旺弱直接判断修复能力。</x:v>
      </x:c>
      <x:c r="K126" s="20" t="str">
        <x:v>由共享基础引擎提供；仅修正修复功能的承载、持续与压力占位，不直接等同是否愿意认错或能否修复。</x:v>
      </x:c>
      <x:c r="L126" s="20" t="str">
        <x:v>由M1／M2提供；夫妻星只说明伴侣原型与关系资格，不单独证明修复能力、修复意愿或修复结果。</x:v>
      </x:c>
      <x:c r="M126" s="20" t="str">
        <x:v>由M3-BASE提供；日支底盘说明亲密关系中自然调用的功能，但不能单独证明修复闭环。</x:v>
      </x:c>
      <x:c r="N126" s="20" t="str">
        <x:v>由M3-CONFLICT、M4-LOOP及现实事件提供；必须区分问题停止、责任承担、影响确认、行动改变、反馈整合与后续回访。</x:v>
      </x:c>
      <x:c r="O126" s="20" t="str">
        <x:v>由共享基础引擎判定；近位提高相关功能进入亲密关系核心的概率，远位只作背景或阶段修正。</x:v>
      </x:c>
      <x:c r="P126" s="20" t="str">
        <x:v>根气只修正某修复功能是否容易重复调用，不等于现实中已经持续改变。</x:v>
      </x:c>
      <x:c r="Q126" s="20" t="str">
        <x:v>旺弱只修正功能调用强度与占位，不直接等同修复质量、诚意或关系结果。</x:v>
      </x:c>
      <x:c r="R126" s="20" t="str">
        <x:v>喜忌只修正功能摩擦、平衡与承载，不直接等同道德、成熟、善恶或是否值得原谅。</x:v>
      </x:c>
      <x:c r="S126" s="20" t="str">
        <x:v>原十神功能有效；真合化成立时按化神功能替换，合化争议时停止定性。</x:v>
      </x:c>
      <x:c r="T126" s="20" t="str">
        <x:v>近位提高修复议题与亲密关系的直接相关性；远位仅保留背景、阶段或低置信修正。</x:v>
      </x:c>
      <x:c r="U126" s="20" t="str">
        <x:v>68</x:v>
      </x:c>
      <x:c r="V126" s="20" t="str">
        <x:v>有效通道＋3；替代盲点另行路由</x:v>
      </x:c>
      <x:c r="W126" s="20" t="str">
        <x:v>repair_channel</x:v>
      </x:c>
      <x:c r="X126" s="20" t="str">
        <x:v>十神提供一种可用修复功能，首先保留其正常价值。</x:v>
      </x:c>
      <x:c r="Y126" s="20" t="str">
        <x:v>高压力下你可能先停止问题、快速改正，再决定怎样回到沟通。</x:v>
      </x:c>
      <x:c r="Z12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6" s="20" t="str">
        <x:v>中高</x:v>
      </x:c>
      <x:c r="AB126" s="20" t="str">
        <x:v>待验证</x:v>
      </x:c>
      <x:c r="AC126" s="20" t="str"/>
      <x:c r="AD126" s="20" t="str">
        <x:v>provisional=true；M3-REPAIR尚未完成，完成条件为暂定功能模型。</x:v>
      </x:c>
      <x:c r="AE126" s="52" t="str">
        <x:v>0.7</x:v>
      </x:c>
    </x:row>
    <x:row r="127">
      <x:c r="A127" s="51" t="str">
        <x:v>M4-REPAIR-126</x:v>
      </x:c>
      <x:c r="B127" s="20" t="str">
        <x:v>RC08 七杀｜止损改正修复｜启动表现</x:v>
      </x:c>
      <x:c r="C127" s="20" t="str">
        <x:v>L2 十神修复功能通道</x:v>
      </x:c>
      <x:c r="D127" s="20" t="str">
        <x:v>REPAIR-十神通道</x:v>
      </x:c>
      <x:c r="E127" s="20" t="str">
        <x:v>通用</x:v>
      </x:c>
      <x:c r="F127" s="20" t="str">
        <x:v>行为</x:v>
      </x:c>
      <x:c r="G127" s="20" t="str">
        <x:v>RC08</x:v>
      </x:c>
      <x:c r="H127" s="20" t="str">
        <x:v>七杀</x:v>
      </x:c>
      <x:c r="I127" s="20" t="str">
        <x:v>现实中出现：制止继续升级、保护、撤销错误决定、落实关键改动。</x:v>
      </x:c>
      <x:c r="J127" s="20" t="str">
        <x:v>只有自我评价，没有具体行为。</x:v>
      </x:c>
      <x:c r="K127" s="20" t="str">
        <x:v>由共享基础引擎提供；仅修正修复功能的承载、持续与压力占位，不直接等同是否愿意认错或能否修复。</x:v>
      </x:c>
      <x:c r="L127" s="20" t="str">
        <x:v>由M1／M2提供；夫妻星只说明伴侣原型与关系资格，不单独证明修复能力、修复意愿或修复结果。</x:v>
      </x:c>
      <x:c r="M127" s="20" t="str">
        <x:v>由M3-BASE提供；日支底盘说明亲密关系中自然调用的功能，但不能单独证明修复闭环。</x:v>
      </x:c>
      <x:c r="N127" s="20" t="str">
        <x:v>由M3-CONFLICT、M4-LOOP及现实事件提供；必须区分问题停止、责任承担、影响确认、行动改变、反馈整合与后续回访。</x:v>
      </x:c>
      <x:c r="O127" s="20" t="str">
        <x:v>由共享基础引擎判定；近位提高相关功能进入亲密关系核心的概率，远位只作背景或阶段修正。</x:v>
      </x:c>
      <x:c r="P127" s="20" t="str">
        <x:v>根气只修正某修复功能是否容易重复调用，不等于现实中已经持续改变。</x:v>
      </x:c>
      <x:c r="Q127" s="20" t="str">
        <x:v>旺弱只修正功能调用强度与占位，不直接等同修复质量、诚意或关系结果。</x:v>
      </x:c>
      <x:c r="R127" s="20" t="str">
        <x:v>喜忌只修正功能摩擦、平衡与承载，不直接等同道德、成熟、善恶或是否值得原谅。</x:v>
      </x:c>
      <x:c r="S127" s="20" t="str">
        <x:v>原十神功能有效；真合化成立时按化神功能替换，合化争议时停止定性。</x:v>
      </x:c>
      <x:c r="T127" s="20" t="str">
        <x:v>近位提高修复议题与亲密关系的直接相关性；远位仅保留背景、阶段或低置信修正。</x:v>
      </x:c>
      <x:c r="U127" s="20" t="str">
        <x:v>68</x:v>
      </x:c>
      <x:c r="V127" s="20" t="str">
        <x:v>有效通道＋3；替代盲点另行路由</x:v>
      </x:c>
      <x:c r="W127" s="20" t="str">
        <x:v>repair_channel</x:v>
      </x:c>
      <x:c r="X127" s="20" t="str">
        <x:v>启动表现说明通道已出现，但不等于闭环。</x:v>
      </x:c>
      <x:c r="Y127" s="20" t="str">
        <x:v>当你使用这一通道时，常见表现是：制止继续升级、保护、撤销错误决定、落实关键改动。</x:v>
      </x:c>
      <x:c r="Z12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7" s="20" t="str">
        <x:v>中高</x:v>
      </x:c>
      <x:c r="AB127" s="20" t="str">
        <x:v>待验证</x:v>
      </x:c>
      <x:c r="AC127" s="20" t="str"/>
      <x:c r="AD127" s="20" t="str">
        <x:v>provisional=true；M3-REPAIR尚未完成，完成条件为暂定功能模型。</x:v>
      </x:c>
      <x:c r="AE127" s="52" t="str">
        <x:v>0.7</x:v>
      </x:c>
    </x:row>
    <x:row r="128">
      <x:c r="A128" s="51" t="str">
        <x:v>M4-REPAIR-127</x:v>
      </x:c>
      <x:c r="B128" s="20" t="str">
        <x:v>RC08 七杀｜止损改正修复｜接收方反馈检查</x:v>
      </x:c>
      <x:c r="C128" s="20" t="str">
        <x:v>L2 十神修复功能通道</x:v>
      </x:c>
      <x:c r="D128" s="20" t="str">
        <x:v>REPAIR-十神通道</x:v>
      </x:c>
      <x:c r="E128" s="20" t="str">
        <x:v>通用</x:v>
      </x:c>
      <x:c r="F128" s="20" t="str">
        <x:v>证据</x:v>
      </x:c>
      <x:c r="G128" s="20" t="str">
        <x:v>RC08</x:v>
      </x:c>
      <x:c r="H128" s="20" t="str">
        <x:v>七杀</x:v>
      </x:c>
      <x:c r="I128" s="20" t="str">
        <x:v>接收方能够对该通道提供接受、拒绝、保留或调整反馈。</x:v>
      </x:c>
      <x:c r="J128" s="20" t="str">
        <x:v>只看发起者意图，不记录接收者反馈。</x:v>
      </x:c>
      <x:c r="K128" s="20" t="str">
        <x:v>由共享基础引擎提供；仅修正修复功能的承载、持续与压力占位，不直接等同是否愿意认错或能否修复。</x:v>
      </x:c>
      <x:c r="L128" s="20" t="str">
        <x:v>由M1／M2提供；夫妻星只说明伴侣原型与关系资格，不单独证明修复能力、修复意愿或修复结果。</x:v>
      </x:c>
      <x:c r="M128" s="20" t="str">
        <x:v>由M3-BASE提供；日支底盘说明亲密关系中自然调用的功能，但不能单独证明修复闭环。</x:v>
      </x:c>
      <x:c r="N128" s="20" t="str">
        <x:v>由M3-CONFLICT、M4-LOOP及现实事件提供；必须区分问题停止、责任承担、影响确认、行动改变、反馈整合与后续回访。</x:v>
      </x:c>
      <x:c r="O128" s="20" t="str">
        <x:v>由共享基础引擎判定；近位提高相关功能进入亲密关系核心的概率，远位只作背景或阶段修正。</x:v>
      </x:c>
      <x:c r="P128" s="20" t="str">
        <x:v>根气只修正某修复功能是否容易重复调用，不等于现实中已经持续改变。</x:v>
      </x:c>
      <x:c r="Q128" s="20" t="str">
        <x:v>旺弱只修正功能调用强度与占位，不直接等同修复质量、诚意或关系结果。</x:v>
      </x:c>
      <x:c r="R128" s="20" t="str">
        <x:v>喜忌只修正功能摩擦、平衡与承载，不直接等同道德、成熟、善恶或是否值得原谅。</x:v>
      </x:c>
      <x:c r="S128" s="20" t="str">
        <x:v>原十神功能有效；真合化成立时按化神功能替换，合化争议时停止定性。</x:v>
      </x:c>
      <x:c r="T128" s="20" t="str">
        <x:v>近位提高修复议题与亲密关系的直接相关性；远位仅保留背景、阶段或低置信修正。</x:v>
      </x:c>
      <x:c r="U128" s="20" t="str">
        <x:v>82</x:v>
      </x:c>
      <x:c r="V128" s="20" t="str">
        <x:v>有效通道＋3；替代盲点另行路由</x:v>
      </x:c>
      <x:c r="W128" s="20" t="str">
        <x:v>repair_channel</x:v>
      </x:c>
      <x:c r="X128" s="20" t="str">
        <x:v>修复通道是否有效必须看它是否回应真实影响。</x:v>
      </x:c>
      <x:c r="Y128" s="20" t="str">
        <x:v>还要看对方怎样接收这一步，以及是否需要进一步调整。</x:v>
      </x:c>
      <x:c r="Z12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8" s="20" t="str">
        <x:v>中高</x:v>
      </x:c>
      <x:c r="AB128" s="20" t="str">
        <x:v>待验证</x:v>
      </x:c>
      <x:c r="AC128" s="20" t="str"/>
      <x:c r="AD128" s="20" t="str">
        <x:v>provisional=true；M3-REPAIR尚未完成，完成条件为暂定功能模型。</x:v>
      </x:c>
      <x:c r="AE128" s="52" t="str">
        <x:v>0.7</x:v>
      </x:c>
    </x:row>
    <x:row r="129">
      <x:c r="A129" s="51" t="str">
        <x:v>M4-REPAIR-128</x:v>
      </x:c>
      <x:c r="B129" s="20" t="str">
        <x:v>RC08 七杀｜止损改正修复｜常见替代盲点</x:v>
      </x:c>
      <x:c r="C129" s="20" t="str">
        <x:v>L2 十神修复功能通道</x:v>
      </x:c>
      <x:c r="D129" s="20" t="str">
        <x:v>REPAIR-十神通道</x:v>
      </x:c>
      <x:c r="E129" s="20" t="str">
        <x:v>通用</x:v>
      </x:c>
      <x:c r="F129" s="20" t="str">
        <x:v>盲点</x:v>
      </x:c>
      <x:c r="G129" s="20" t="str">
        <x:v>RC08</x:v>
      </x:c>
      <x:c r="H129" s="20" t="str">
        <x:v>七杀</x:v>
      </x:c>
      <x:c r="I129" s="20" t="str">
        <x:v>该通道出现并承担修复任务。</x:v>
      </x:c>
      <x:c r="J129" s="20" t="str">
        <x:v>可能把危机处理完成当成关系影响已经修复。</x:v>
      </x:c>
      <x:c r="K129" s="20" t="str">
        <x:v>由共享基础引擎提供；仅修正修复功能的承载、持续与压力占位，不直接等同是否愿意认错或能否修复。</x:v>
      </x:c>
      <x:c r="L129" s="20" t="str">
        <x:v>由M1／M2提供；夫妻星只说明伴侣原型与关系资格，不单独证明修复能力、修复意愿或修复结果。</x:v>
      </x:c>
      <x:c r="M129" s="20" t="str">
        <x:v>由M3-BASE提供；日支底盘说明亲密关系中自然调用的功能，但不能单独证明修复闭环。</x:v>
      </x:c>
      <x:c r="N129" s="20" t="str">
        <x:v>由M3-CONFLICT、M4-LOOP及现实事件提供；必须区分问题停止、责任承担、影响确认、行动改变、反馈整合与后续回访。</x:v>
      </x:c>
      <x:c r="O129" s="20" t="str">
        <x:v>由共享基础引擎判定；近位提高相关功能进入亲密关系核心的概率，远位只作背景或阶段修正。</x:v>
      </x:c>
      <x:c r="P129" s="20" t="str">
        <x:v>根气只修正某修复功能是否容易重复调用，不等于现实中已经持续改变。</x:v>
      </x:c>
      <x:c r="Q129" s="20" t="str">
        <x:v>旺弱只修正功能调用强度与占位，不直接等同修复质量、诚意或关系结果。</x:v>
      </x:c>
      <x:c r="R129" s="20" t="str">
        <x:v>喜忌只修正功能摩擦、平衡与承载，不直接等同道德、成熟、善恶或是否值得原谅。</x:v>
      </x:c>
      <x:c r="S129" s="20" t="str">
        <x:v>原十神功能有效；真合化成立时按化神功能替换，合化争议时停止定性。</x:v>
      </x:c>
      <x:c r="T129" s="20" t="str">
        <x:v>近位提高修复议题与亲密关系的直接相关性；远位仅保留背景、阶段或低置信修正。</x:v>
      </x:c>
      <x:c r="U129" s="20" t="str">
        <x:v>68</x:v>
      </x:c>
      <x:c r="V129" s="20" t="str">
        <x:v>有效通道＋3；替代盲点另行路由</x:v>
      </x:c>
      <x:c r="W129" s="20" t="str">
        <x:v>repair_channel</x:v>
      </x:c>
      <x:c r="X129" s="20" t="str">
        <x:v>熟悉通道容易替代另一项不同修复任务。</x:v>
      </x:c>
      <x:c r="Y129" s="20" t="str">
        <x:v>需要留意：可能把危机处理完成当成关系影响已经修复。</x:v>
      </x:c>
      <x:c r="Z12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29" s="20" t="str">
        <x:v>中高</x:v>
      </x:c>
      <x:c r="AB129" s="20" t="str">
        <x:v>待验证</x:v>
      </x:c>
      <x:c r="AC129" s="20" t="str"/>
      <x:c r="AD129" s="20" t="str">
        <x:v>provisional=true；M3-REPAIR尚未完成，完成条件为暂定功能模型。</x:v>
      </x:c>
      <x:c r="AE129" s="52" t="str">
        <x:v>0.7</x:v>
      </x:c>
    </x:row>
    <x:row r="130">
      <x:c r="A130" s="51" t="str">
        <x:v>M4-REPAIR-129</x:v>
      </x:c>
      <x:c r="B130" s="20" t="str">
        <x:v>RC08 七杀｜止损改正修复｜闭环所需第二功能</x:v>
      </x:c>
      <x:c r="C130" s="20" t="str">
        <x:v>L2 十神修复功能通道</x:v>
      </x:c>
      <x:c r="D130" s="20" t="str">
        <x:v>REPAIR-十神通道</x:v>
      </x:c>
      <x:c r="E130" s="20" t="str">
        <x:v>通用</x:v>
      </x:c>
      <x:c r="F130" s="20" t="str">
        <x:v>通关</x:v>
      </x:c>
      <x:c r="G130" s="20" t="str">
        <x:v>RC08</x:v>
      </x:c>
      <x:c r="H130" s="20" t="str">
        <x:v>七杀</x:v>
      </x:c>
      <x:c r="I130" s="20" t="str">
        <x:v>需要正印承接影响、食伤反馈和RN08持续回访。</x:v>
      </x:c>
      <x:c r="J130" s="20" t="str">
        <x:v>假设单一通道能完成所有修复任务。</x:v>
      </x:c>
      <x:c r="K130" s="20" t="str">
        <x:v>由共享基础引擎提供；仅修正修复功能的承载、持续与压力占位，不直接等同是否愿意认错或能否修复。</x:v>
      </x:c>
      <x:c r="L130" s="20" t="str">
        <x:v>由M1／M2提供；夫妻星只说明伴侣原型与关系资格，不单独证明修复能力、修复意愿或修复结果。</x:v>
      </x:c>
      <x:c r="M130" s="20" t="str">
        <x:v>由M3-BASE提供；日支底盘说明亲密关系中自然调用的功能，但不能单独证明修复闭环。</x:v>
      </x:c>
      <x:c r="N130" s="20" t="str">
        <x:v>由M3-CONFLICT、M4-LOOP及现实事件提供；必须区分问题停止、责任承担、影响确认、行动改变、反馈整合与后续回访。</x:v>
      </x:c>
      <x:c r="O130" s="20" t="str">
        <x:v>由共享基础引擎判定；近位提高相关功能进入亲密关系核心的概率，远位只作背景或阶段修正。</x:v>
      </x:c>
      <x:c r="P130" s="20" t="str">
        <x:v>根气只修正某修复功能是否容易重复调用，不等于现实中已经持续改变。</x:v>
      </x:c>
      <x:c r="Q130" s="20" t="str">
        <x:v>旺弱只修正功能调用强度与占位，不直接等同修复质量、诚意或关系结果。</x:v>
      </x:c>
      <x:c r="R130" s="20" t="str">
        <x:v>喜忌只修正功能摩擦、平衡与承载，不直接等同道德、成熟、善恶或是否值得原谅。</x:v>
      </x:c>
      <x:c r="S130" s="20" t="str">
        <x:v>原十神功能有效；真合化成立时按化神功能替换，合化争议时停止定性。</x:v>
      </x:c>
      <x:c r="T130" s="20" t="str">
        <x:v>近位提高修复议题与亲密关系的直接相关性；远位仅保留背景、阶段或低置信修正。</x:v>
      </x:c>
      <x:c r="U130" s="20" t="str">
        <x:v>68</x:v>
      </x:c>
      <x:c r="V130" s="20" t="str">
        <x:v>有效通道＋3；替代盲点另行路由</x:v>
      </x:c>
      <x:c r="W130" s="20" t="str">
        <x:v>repair_channel</x:v>
      </x:c>
      <x:c r="X130" s="20" t="str">
        <x:v>第二功能负责把本通道转成更完整的修复链。</x:v>
      </x:c>
      <x:c r="Y130" s="20" t="str">
        <x:v>要让修复更完整，还需要：需要正印承接影响、食伤反馈和RN08持续回访。</x:v>
      </x:c>
      <x:c r="Z13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0" s="20" t="str">
        <x:v>中高</x:v>
      </x:c>
      <x:c r="AB130" s="20" t="str">
        <x:v>待验证</x:v>
      </x:c>
      <x:c r="AC130" s="20" t="str"/>
      <x:c r="AD130" s="20" t="str">
        <x:v>provisional=true；M3-REPAIR尚未完成，完成条件为暂定功能模型。</x:v>
      </x:c>
      <x:c r="AE130" s="52" t="str">
        <x:v>0.7</x:v>
      </x:c>
    </x:row>
    <x:row r="131">
      <x:c r="A131" s="51" t="str">
        <x:v>M4-REPAIR-130</x:v>
      </x:c>
      <x:c r="B131" s="20" t="str">
        <x:v>RC08 七杀｜止损改正修复｜状态修正</x:v>
      </x:c>
      <x:c r="C131" s="20" t="str">
        <x:v>L2 十神修复功能通道</x:v>
      </x:c>
      <x:c r="D131" s="20" t="str">
        <x:v>REPAIR-十神通道</x:v>
      </x:c>
      <x:c r="E131" s="20" t="str">
        <x:v>通用</x:v>
      </x:c>
      <x:c r="F131" s="20" t="str">
        <x:v>状态</x:v>
      </x:c>
      <x:c r="G131" s="20" t="str">
        <x:v>RC08</x:v>
      </x:c>
      <x:c r="H131" s="20" t="str">
        <x:v>七杀</x:v>
      </x:c>
      <x:c r="I131" s="20" t="str">
        <x:v>结合透藏、根气、旺弱、制化、位置和现实重复行为。</x:v>
      </x:c>
      <x:c r="J131" s="20" t="str">
        <x:v>强即有效、弱即没有、喜即成熟、忌即恶意。</x:v>
      </x:c>
      <x:c r="K131" s="20" t="str">
        <x:v>由共享基础引擎提供；仅修正修复功能的承载、持续与压力占位，不直接等同是否愿意认错或能否修复。</x:v>
      </x:c>
      <x:c r="L131" s="20" t="str">
        <x:v>由M1／M2提供；夫妻星只说明伴侣原型与关系资格，不单独证明修复能力、修复意愿或修复结果。</x:v>
      </x:c>
      <x:c r="M131" s="20" t="str">
        <x:v>由M3-BASE提供；日支底盘说明亲密关系中自然调用的功能，但不能单独证明修复闭环。</x:v>
      </x:c>
      <x:c r="N131" s="20" t="str">
        <x:v>由M3-CONFLICT、M4-LOOP及现实事件提供；必须区分问题停止、责任承担、影响确认、行动改变、反馈整合与后续回访。</x:v>
      </x:c>
      <x:c r="O131" s="20" t="str">
        <x:v>由共享基础引擎判定；近位提高相关功能进入亲密关系核心的概率，远位只作背景或阶段修正。</x:v>
      </x:c>
      <x:c r="P131" s="20" t="str">
        <x:v>根气只修正某修复功能是否容易重复调用，不等于现实中已经持续改变。</x:v>
      </x:c>
      <x:c r="Q131" s="20" t="str">
        <x:v>旺弱只修正功能调用强度与占位，不直接等同修复质量、诚意或关系结果。</x:v>
      </x:c>
      <x:c r="R131" s="20" t="str">
        <x:v>喜忌只修正功能摩擦、平衡与承载，不直接等同道德、成熟、善恶或是否值得原谅。</x:v>
      </x:c>
      <x:c r="S131" s="20" t="str">
        <x:v>原十神功能有效；真合化成立时按化神功能替换，合化争议时停止定性。</x:v>
      </x:c>
      <x:c r="T131" s="20" t="str">
        <x:v>近位提高修复议题与亲密关系的直接相关性；远位仅保留背景、阶段或低置信修正。</x:v>
      </x:c>
      <x:c r="U131" s="20" t="str">
        <x:v>68</x:v>
      </x:c>
      <x:c r="V131" s="20" t="str">
        <x:v>有效通道＋3；替代盲点另行路由</x:v>
      </x:c>
      <x:c r="W131" s="20" t="str">
        <x:v>repair_channel</x:v>
      </x:c>
      <x:c r="X131" s="20" t="str">
        <x:v>状态只修正调用方式和持续性。</x:v>
      </x:c>
      <x:c r="Y131" s="20" t="str">
        <x:v>这项方式是否稳定，需要继续看它能否重复、是否受另一功能调节。</x:v>
      </x:c>
      <x:c r="Z13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1" s="20" t="str">
        <x:v>中高</x:v>
      </x:c>
      <x:c r="AB131" s="20" t="str">
        <x:v>待验证</x:v>
      </x:c>
      <x:c r="AC131" s="20" t="str"/>
      <x:c r="AD131" s="20" t="str">
        <x:v>provisional=true；M3-REPAIR尚未完成，完成条件为暂定功能模型。</x:v>
      </x:c>
      <x:c r="AE131" s="52" t="str">
        <x:v>0.7</x:v>
      </x:c>
    </x:row>
    <x:row r="132">
      <x:c r="A132" s="51" t="str">
        <x:v>M4-REPAIR-131</x:v>
      </x:c>
      <x:c r="B132" s="20" t="str">
        <x:v>RC08 七杀｜止损改正修复｜用户标准文案</x:v>
      </x:c>
      <x:c r="C132" s="20" t="str">
        <x:v>L2 十神修复功能通道</x:v>
      </x:c>
      <x:c r="D132" s="20" t="str">
        <x:v>REPAIR-十神通道</x:v>
      </x:c>
      <x:c r="E132" s="20" t="str">
        <x:v>通用</x:v>
      </x:c>
      <x:c r="F132" s="20" t="str">
        <x:v>输出</x:v>
      </x:c>
      <x:c r="G132" s="20" t="str">
        <x:v>RC08</x:v>
      </x:c>
      <x:c r="H132" s="20" t="str">
        <x:v>七杀</x:v>
      </x:c>
      <x:c r="I132" s="20" t="str">
        <x:v>该通道为主修复方式候选，并有第二类独立证据。</x:v>
      </x:c>
      <x:c r="J132" s="20" t="str">
        <x:v>证据不足或真合化争议。</x:v>
      </x:c>
      <x:c r="K132" s="20" t="str">
        <x:v>由共享基础引擎提供；仅修正修复功能的承载、持续与压力占位，不直接等同是否愿意认错或能否修复。</x:v>
      </x:c>
      <x:c r="L132" s="20" t="str">
        <x:v>由M1／M2提供；夫妻星只说明伴侣原型与关系资格，不单独证明修复能力、修复意愿或修复结果。</x:v>
      </x:c>
      <x:c r="M132" s="20" t="str">
        <x:v>由M3-BASE提供；日支底盘说明亲密关系中自然调用的功能，但不能单独证明修复闭环。</x:v>
      </x:c>
      <x:c r="N132" s="20" t="str">
        <x:v>由M3-CONFLICT、M4-LOOP及现实事件提供；必须区分问题停止、责任承担、影响确认、行动改变、反馈整合与后续回访。</x:v>
      </x:c>
      <x:c r="O132" s="20" t="str">
        <x:v>由共享基础引擎判定；近位提高相关功能进入亲密关系核心的概率，远位只作背景或阶段修正。</x:v>
      </x:c>
      <x:c r="P132" s="20" t="str">
        <x:v>根气只修正某修复功能是否容易重复调用，不等于现实中已经持续改变。</x:v>
      </x:c>
      <x:c r="Q132" s="20" t="str">
        <x:v>旺弱只修正功能调用强度与占位，不直接等同修复质量、诚意或关系结果。</x:v>
      </x:c>
      <x:c r="R132" s="20" t="str">
        <x:v>喜忌只修正功能摩擦、平衡与承载，不直接等同道德、成熟、善恶或是否值得原谅。</x:v>
      </x:c>
      <x:c r="S132" s="20" t="str">
        <x:v>原十神功能有效；真合化成立时按化神功能替换，合化争议时停止定性。</x:v>
      </x:c>
      <x:c r="T132" s="20" t="str">
        <x:v>近位提高修复议题与亲密关系的直接相关性；远位仅保留背景、阶段或低置信修正。</x:v>
      </x:c>
      <x:c r="U132" s="20" t="str">
        <x:v>68</x:v>
      </x:c>
      <x:c r="V132" s="20" t="str">
        <x:v>有效通道＋3；替代盲点另行路由</x:v>
      </x:c>
      <x:c r="W132" s="20" t="str">
        <x:v>repair_channel</x:v>
      </x:c>
      <x:c r="X132" s="20" t="str">
        <x:v>输出先描述功能，再描述缺口，不贴人格标签。</x:v>
      </x:c>
      <x:c r="Y132" s="20" t="str">
        <x:v>高压力下你可能先停止问题、快速改正，再决定怎样回到沟通。</x:v>
      </x:c>
      <x:c r="Z13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2" s="20" t="str">
        <x:v>中高</x:v>
      </x:c>
      <x:c r="AB132" s="20" t="str">
        <x:v>待验证</x:v>
      </x:c>
      <x:c r="AC132" s="20" t="str"/>
      <x:c r="AD132" s="20" t="str">
        <x:v>provisional=true；M3-REPAIR尚未完成，完成条件为暂定功能模型。</x:v>
      </x:c>
      <x:c r="AE132" s="52" t="str">
        <x:v>0.7</x:v>
      </x:c>
    </x:row>
    <x:row r="133">
      <x:c r="A133" s="51" t="str">
        <x:v>M4-REPAIR-132</x:v>
      </x:c>
      <x:c r="B133" s="20" t="str">
        <x:v>RC08 七杀｜止损改正修复｜禁止推断</x:v>
      </x:c>
      <x:c r="C133" s="20" t="str">
        <x:v>L2 十神修复功能通道</x:v>
      </x:c>
      <x:c r="D133" s="20" t="str">
        <x:v>REPAIR-十神通道</x:v>
      </x:c>
      <x:c r="E133" s="20" t="str">
        <x:v>通用</x:v>
      </x:c>
      <x:c r="F133" s="20" t="str">
        <x:v>边界</x:v>
      </x:c>
      <x:c r="G133" s="20" t="str">
        <x:v>RC08</x:v>
      </x:c>
      <x:c r="H133" s="20" t="str">
        <x:v>七杀</x:v>
      </x:c>
      <x:c r="I133" s="20" t="str">
        <x:v>完成现实安全、责任和反例检查。</x:v>
      </x:c>
      <x:c r="J133" s="20" t="str">
        <x:v>不得由七杀推断暴力、压迫或控制；止损不等于修复全部完成。。</x:v>
      </x:c>
      <x:c r="K133" s="20" t="str">
        <x:v>由共享基础引擎提供；仅修正修复功能的承载、持续与压力占位，不直接等同是否愿意认错或能否修复。</x:v>
      </x:c>
      <x:c r="L133" s="20" t="str">
        <x:v>由M1／M2提供；夫妻星只说明伴侣原型与关系资格，不单独证明修复能力、修复意愿或修复结果。</x:v>
      </x:c>
      <x:c r="M133" s="20" t="str">
        <x:v>由M3-BASE提供；日支底盘说明亲密关系中自然调用的功能，但不能单独证明修复闭环。</x:v>
      </x:c>
      <x:c r="N133" s="20" t="str">
        <x:v>由M3-CONFLICT、M4-LOOP及现实事件提供；必须区分问题停止、责任承担、影响确认、行动改变、反馈整合与后续回访。</x:v>
      </x:c>
      <x:c r="O133" s="20" t="str">
        <x:v>由共享基础引擎判定；近位提高相关功能进入亲密关系核心的概率，远位只作背景或阶段修正。</x:v>
      </x:c>
      <x:c r="P133" s="20" t="str">
        <x:v>根气只修正某修复功能是否容易重复调用，不等于现实中已经持续改变。</x:v>
      </x:c>
      <x:c r="Q133" s="20" t="str">
        <x:v>旺弱只修正功能调用强度与占位，不直接等同修复质量、诚意或关系结果。</x:v>
      </x:c>
      <x:c r="R133" s="20" t="str">
        <x:v>喜忌只修正功能摩擦、平衡与承载，不直接等同道德、成熟、善恶或是否值得原谅。</x:v>
      </x:c>
      <x:c r="S133" s="20" t="str">
        <x:v>原十神功能有效；真合化成立时按化神功能替换，合化争议时停止定性。</x:v>
      </x:c>
      <x:c r="T133" s="20" t="str">
        <x:v>近位提高修复议题与亲密关系的直接相关性；远位仅保留背景、阶段或低置信修正。</x:v>
      </x:c>
      <x:c r="U133" s="20" t="str">
        <x:v>82</x:v>
      </x:c>
      <x:c r="V133" s="20" t="str">
        <x:v>有效通道＋3；替代盲点另行路由</x:v>
      </x:c>
      <x:c r="W133" s="20" t="str">
        <x:v>repair_channel</x:v>
      </x:c>
      <x:c r="X133" s="20" t="str">
        <x:v>十神修复通道不能推断诚意、道德和关系结果。</x:v>
      </x:c>
      <x:c r="Y133" s="20" t="str">
        <x:v>边界提示：不得由七杀推断暴力、压迫或控制；止损不等于修复全部完成。</x:v>
      </x:c>
      <x:c r="Z13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3" s="20" t="str">
        <x:v>中高</x:v>
      </x:c>
      <x:c r="AB133" s="20" t="str">
        <x:v>待验证</x:v>
      </x:c>
      <x:c r="AC133" s="20" t="str"/>
      <x:c r="AD133" s="20" t="str">
        <x:v>provisional=true；M3-REPAIR尚未完成，完成条件为暂定功能模型。</x:v>
      </x:c>
      <x:c r="AE133" s="52" t="str">
        <x:v>0.7</x:v>
      </x:c>
    </x:row>
    <x:row r="134">
      <x:c r="A134" s="51" t="str">
        <x:v>M4-REPAIR-133</x:v>
      </x:c>
      <x:c r="B134" s="20" t="str">
        <x:v>RC09 正印｜影响承接修复｜正常修复功能</x:v>
      </x:c>
      <x:c r="C134" s="20" t="str">
        <x:v>L2 十神修复功能通道</x:v>
      </x:c>
      <x:c r="D134" s="20" t="str">
        <x:v>REPAIR-十神通道</x:v>
      </x:c>
      <x:c r="E134" s="20" t="str">
        <x:v>通用</x:v>
      </x:c>
      <x:c r="F134" s="20" t="str">
        <x:v>定义</x:v>
      </x:c>
      <x:c r="G134" s="20" t="str">
        <x:v>RC09</x:v>
      </x:c>
      <x:c r="H134" s="20" t="str">
        <x:v>正印</x:v>
      </x:c>
      <x:c r="I134" s="20" t="str">
        <x:v>倾听、理解并确认对方受到的影响和安全需要。</x:v>
      </x:c>
      <x:c r="J134" s="20" t="str">
        <x:v>仅凭十神名称或旺弱直接判断修复能力。</x:v>
      </x:c>
      <x:c r="K134" s="20" t="str">
        <x:v>由共享基础引擎提供；仅修正修复功能的承载、持续与压力占位，不直接等同是否愿意认错或能否修复。</x:v>
      </x:c>
      <x:c r="L134" s="20" t="str">
        <x:v>由M1／M2提供；夫妻星只说明伴侣原型与关系资格，不单独证明修复能力、修复意愿或修复结果。</x:v>
      </x:c>
      <x:c r="M134" s="20" t="str">
        <x:v>由M3-BASE提供；日支底盘说明亲密关系中自然调用的功能，但不能单独证明修复闭环。</x:v>
      </x:c>
      <x:c r="N134" s="20" t="str">
        <x:v>由M3-CONFLICT、M4-LOOP及现实事件提供；必须区分问题停止、责任承担、影响确认、行动改变、反馈整合与后续回访。</x:v>
      </x:c>
      <x:c r="O134" s="20" t="str">
        <x:v>由共享基础引擎判定；近位提高相关功能进入亲密关系核心的概率，远位只作背景或阶段修正。</x:v>
      </x:c>
      <x:c r="P134" s="20" t="str">
        <x:v>根气只修正某修复功能是否容易重复调用，不等于现实中已经持续改变。</x:v>
      </x:c>
      <x:c r="Q134" s="20" t="str">
        <x:v>旺弱只修正功能调用强度与占位，不直接等同修复质量、诚意或关系结果。</x:v>
      </x:c>
      <x:c r="R134" s="20" t="str">
        <x:v>喜忌只修正功能摩擦、平衡与承载，不直接等同道德、成熟、善恶或是否值得原谅。</x:v>
      </x:c>
      <x:c r="S134" s="20" t="str">
        <x:v>原十神功能有效；真合化成立时按化神功能替换，合化争议时停止定性。</x:v>
      </x:c>
      <x:c r="T134" s="20" t="str">
        <x:v>近位提高修复议题与亲密关系的直接相关性；远位仅保留背景、阶段或低置信修正。</x:v>
      </x:c>
      <x:c r="U134" s="20" t="str">
        <x:v>68</x:v>
      </x:c>
      <x:c r="V134" s="20" t="str">
        <x:v>有效通道＋3；替代盲点另行路由</x:v>
      </x:c>
      <x:c r="W134" s="20" t="str">
        <x:v>repair_channel</x:v>
      </x:c>
      <x:c r="X134" s="20" t="str">
        <x:v>十神提供一种可用修复功能，首先保留其正常价值。</x:v>
      </x:c>
      <x:c r="Y134" s="20" t="str">
        <x:v>你更重视先让对方感到被听见和被理解，再推进后续。</x:v>
      </x:c>
      <x:c r="Z13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4" s="20" t="str">
        <x:v>中高</x:v>
      </x:c>
      <x:c r="AB134" s="20" t="str">
        <x:v>待验证</x:v>
      </x:c>
      <x:c r="AC134" s="20" t="str"/>
      <x:c r="AD134" s="20" t="str">
        <x:v>provisional=true；M3-REPAIR尚未完成，完成条件为暂定功能模型。</x:v>
      </x:c>
      <x:c r="AE134" s="52" t="str">
        <x:v>0.7</x:v>
      </x:c>
    </x:row>
    <x:row r="135">
      <x:c r="A135" s="51" t="str">
        <x:v>M4-REPAIR-134</x:v>
      </x:c>
      <x:c r="B135" s="20" t="str">
        <x:v>RC09 正印｜影响承接修复｜启动表现</x:v>
      </x:c>
      <x:c r="C135" s="20" t="str">
        <x:v>L2 十神修复功能通道</x:v>
      </x:c>
      <x:c r="D135" s="20" t="str">
        <x:v>REPAIR-十神通道</x:v>
      </x:c>
      <x:c r="E135" s="20" t="str">
        <x:v>通用</x:v>
      </x:c>
      <x:c r="F135" s="20" t="str">
        <x:v>行为</x:v>
      </x:c>
      <x:c r="G135" s="20" t="str">
        <x:v>RC09</x:v>
      </x:c>
      <x:c r="H135" s="20" t="str">
        <x:v>正印</x:v>
      </x:c>
      <x:c r="I135" s="20" t="str">
        <x:v>现实中出现：耐心听、复述、安抚、承认感受、提供稳定支持。</x:v>
      </x:c>
      <x:c r="J135" s="20" t="str">
        <x:v>只有自我评价，没有具体行为。</x:v>
      </x:c>
      <x:c r="K135" s="20" t="str">
        <x:v>由共享基础引擎提供；仅修正修复功能的承载、持续与压力占位，不直接等同是否愿意认错或能否修复。</x:v>
      </x:c>
      <x:c r="L135" s="20" t="str">
        <x:v>由M1／M2提供；夫妻星只说明伴侣原型与关系资格，不单独证明修复能力、修复意愿或修复结果。</x:v>
      </x:c>
      <x:c r="M135" s="20" t="str">
        <x:v>由M3-BASE提供；日支底盘说明亲密关系中自然调用的功能，但不能单独证明修复闭环。</x:v>
      </x:c>
      <x:c r="N135" s="20" t="str">
        <x:v>由M3-CONFLICT、M4-LOOP及现实事件提供；必须区分问题停止、责任承担、影响确认、行动改变、反馈整合与后续回访。</x:v>
      </x:c>
      <x:c r="O135" s="20" t="str">
        <x:v>由共享基础引擎判定；近位提高相关功能进入亲密关系核心的概率，远位只作背景或阶段修正。</x:v>
      </x:c>
      <x:c r="P135" s="20" t="str">
        <x:v>根气只修正某修复功能是否容易重复调用，不等于现实中已经持续改变。</x:v>
      </x:c>
      <x:c r="Q135" s="20" t="str">
        <x:v>旺弱只修正功能调用强度与占位，不直接等同修复质量、诚意或关系结果。</x:v>
      </x:c>
      <x:c r="R135" s="20" t="str">
        <x:v>喜忌只修正功能摩擦、平衡与承载，不直接等同道德、成熟、善恶或是否值得原谅。</x:v>
      </x:c>
      <x:c r="S135" s="20" t="str">
        <x:v>原十神功能有效；真合化成立时按化神功能替换，合化争议时停止定性。</x:v>
      </x:c>
      <x:c r="T135" s="20" t="str">
        <x:v>近位提高修复议题与亲密关系的直接相关性；远位仅保留背景、阶段或低置信修正。</x:v>
      </x:c>
      <x:c r="U135" s="20" t="str">
        <x:v>68</x:v>
      </x:c>
      <x:c r="V135" s="20" t="str">
        <x:v>有效通道＋3；替代盲点另行路由</x:v>
      </x:c>
      <x:c r="W135" s="20" t="str">
        <x:v>repair_channel</x:v>
      </x:c>
      <x:c r="X135" s="20" t="str">
        <x:v>启动表现说明通道已出现，但不等于闭环。</x:v>
      </x:c>
      <x:c r="Y135" s="20" t="str">
        <x:v>当你使用这一通道时，常见表现是：耐心听、复述、安抚、承认感受、提供稳定支持。</x:v>
      </x:c>
      <x:c r="Z13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5" s="20" t="str">
        <x:v>中高</x:v>
      </x:c>
      <x:c r="AB135" s="20" t="str">
        <x:v>待验证</x:v>
      </x:c>
      <x:c r="AC135" s="20" t="str"/>
      <x:c r="AD135" s="20" t="str">
        <x:v>provisional=true；M3-REPAIR尚未完成，完成条件为暂定功能模型。</x:v>
      </x:c>
      <x:c r="AE135" s="52" t="str">
        <x:v>0.7</x:v>
      </x:c>
    </x:row>
    <x:row r="136">
      <x:c r="A136" s="51" t="str">
        <x:v>M4-REPAIR-135</x:v>
      </x:c>
      <x:c r="B136" s="20" t="str">
        <x:v>RC09 正印｜影响承接修复｜接收方反馈检查</x:v>
      </x:c>
      <x:c r="C136" s="20" t="str">
        <x:v>L2 十神修复功能通道</x:v>
      </x:c>
      <x:c r="D136" s="20" t="str">
        <x:v>REPAIR-十神通道</x:v>
      </x:c>
      <x:c r="E136" s="20" t="str">
        <x:v>通用</x:v>
      </x:c>
      <x:c r="F136" s="20" t="str">
        <x:v>证据</x:v>
      </x:c>
      <x:c r="G136" s="20" t="str">
        <x:v>RC09</x:v>
      </x:c>
      <x:c r="H136" s="20" t="str">
        <x:v>正印</x:v>
      </x:c>
      <x:c r="I136" s="20" t="str">
        <x:v>接收方能够对该通道提供接受、拒绝、保留或调整反馈。</x:v>
      </x:c>
      <x:c r="J136" s="20" t="str">
        <x:v>只看发起者意图，不记录接收者反馈。</x:v>
      </x:c>
      <x:c r="K136" s="20" t="str">
        <x:v>由共享基础引擎提供；仅修正修复功能的承载、持续与压力占位，不直接等同是否愿意认错或能否修复。</x:v>
      </x:c>
      <x:c r="L136" s="20" t="str">
        <x:v>由M1／M2提供；夫妻星只说明伴侣原型与关系资格，不单独证明修复能力、修复意愿或修复结果。</x:v>
      </x:c>
      <x:c r="M136" s="20" t="str">
        <x:v>由M3-BASE提供；日支底盘说明亲密关系中自然调用的功能，但不能单独证明修复闭环。</x:v>
      </x:c>
      <x:c r="N136" s="20" t="str">
        <x:v>由M3-CONFLICT、M4-LOOP及现实事件提供；必须区分问题停止、责任承担、影响确认、行动改变、反馈整合与后续回访。</x:v>
      </x:c>
      <x:c r="O136" s="20" t="str">
        <x:v>由共享基础引擎判定；近位提高相关功能进入亲密关系核心的概率，远位只作背景或阶段修正。</x:v>
      </x:c>
      <x:c r="P136" s="20" t="str">
        <x:v>根气只修正某修复功能是否容易重复调用，不等于现实中已经持续改变。</x:v>
      </x:c>
      <x:c r="Q136" s="20" t="str">
        <x:v>旺弱只修正功能调用强度与占位，不直接等同修复质量、诚意或关系结果。</x:v>
      </x:c>
      <x:c r="R136" s="20" t="str">
        <x:v>喜忌只修正功能摩擦、平衡与承载，不直接等同道德、成熟、善恶或是否值得原谅。</x:v>
      </x:c>
      <x:c r="S136" s="20" t="str">
        <x:v>原十神功能有效；真合化成立时按化神功能替换，合化争议时停止定性。</x:v>
      </x:c>
      <x:c r="T136" s="20" t="str">
        <x:v>近位提高修复议题与亲密关系的直接相关性；远位仅保留背景、阶段或低置信修正。</x:v>
      </x:c>
      <x:c r="U136" s="20" t="str">
        <x:v>82</x:v>
      </x:c>
      <x:c r="V136" s="20" t="str">
        <x:v>有效通道＋3；替代盲点另行路由</x:v>
      </x:c>
      <x:c r="W136" s="20" t="str">
        <x:v>repair_channel</x:v>
      </x:c>
      <x:c r="X136" s="20" t="str">
        <x:v>修复通道是否有效必须看它是否回应真实影响。</x:v>
      </x:c>
      <x:c r="Y136" s="20" t="str">
        <x:v>还要看对方怎样接收这一步，以及是否需要进一步调整。</x:v>
      </x:c>
      <x:c r="Z13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6" s="20" t="str">
        <x:v>中高</x:v>
      </x:c>
      <x:c r="AB136" s="20" t="str">
        <x:v>待验证</x:v>
      </x:c>
      <x:c r="AC136" s="20" t="str"/>
      <x:c r="AD136" s="20" t="str">
        <x:v>provisional=true；M3-REPAIR尚未完成，完成条件为暂定功能模型。</x:v>
      </x:c>
      <x:c r="AE136" s="52" t="str">
        <x:v>0.7</x:v>
      </x:c>
    </x:row>
    <x:row r="137">
      <x:c r="A137" s="51" t="str">
        <x:v>M4-REPAIR-136</x:v>
      </x:c>
      <x:c r="B137" s="20" t="str">
        <x:v>RC09 正印｜影响承接修复｜常见替代盲点</x:v>
      </x:c>
      <x:c r="C137" s="20" t="str">
        <x:v>L2 十神修复功能通道</x:v>
      </x:c>
      <x:c r="D137" s="20" t="str">
        <x:v>REPAIR-十神通道</x:v>
      </x:c>
      <x:c r="E137" s="20" t="str">
        <x:v>通用</x:v>
      </x:c>
      <x:c r="F137" s="20" t="str">
        <x:v>盲点</x:v>
      </x:c>
      <x:c r="G137" s="20" t="str">
        <x:v>RC09</x:v>
      </x:c>
      <x:c r="H137" s="20" t="str">
        <x:v>正印</x:v>
      </x:c>
      <x:c r="I137" s="20" t="str">
        <x:v>该通道出现并承担修复任务。</x:v>
      </x:c>
      <x:c r="J137" s="20" t="str">
        <x:v>可能理解很多，但现实责任和行为改变进入较晚。</x:v>
      </x:c>
      <x:c r="K137" s="20" t="str">
        <x:v>由共享基础引擎提供；仅修正修复功能的承载、持续与压力占位，不直接等同是否愿意认错或能否修复。</x:v>
      </x:c>
      <x:c r="L137" s="20" t="str">
        <x:v>由M1／M2提供；夫妻星只说明伴侣原型与关系资格，不单独证明修复能力、修复意愿或修复结果。</x:v>
      </x:c>
      <x:c r="M137" s="20" t="str">
        <x:v>由M3-BASE提供；日支底盘说明亲密关系中自然调用的功能，但不能单独证明修复闭环。</x:v>
      </x:c>
      <x:c r="N137" s="20" t="str">
        <x:v>由M3-CONFLICT、M4-LOOP及现实事件提供；必须区分问题停止、责任承担、影响确认、行动改变、反馈整合与后续回访。</x:v>
      </x:c>
      <x:c r="O137" s="20" t="str">
        <x:v>由共享基础引擎判定；近位提高相关功能进入亲密关系核心的概率，远位只作背景或阶段修正。</x:v>
      </x:c>
      <x:c r="P137" s="20" t="str">
        <x:v>根气只修正某修复功能是否容易重复调用，不等于现实中已经持续改变。</x:v>
      </x:c>
      <x:c r="Q137" s="20" t="str">
        <x:v>旺弱只修正功能调用强度与占位，不直接等同修复质量、诚意或关系结果。</x:v>
      </x:c>
      <x:c r="R137" s="20" t="str">
        <x:v>喜忌只修正功能摩擦、平衡与承载，不直接等同道德、成熟、善恶或是否值得原谅。</x:v>
      </x:c>
      <x:c r="S137" s="20" t="str">
        <x:v>原十神功能有效；真合化成立时按化神功能替换，合化争议时停止定性。</x:v>
      </x:c>
      <x:c r="T137" s="20" t="str">
        <x:v>近位提高修复议题与亲密关系的直接相关性；远位仅保留背景、阶段或低置信修正。</x:v>
      </x:c>
      <x:c r="U137" s="20" t="str">
        <x:v>68</x:v>
      </x:c>
      <x:c r="V137" s="20" t="str">
        <x:v>有效通道＋3；替代盲点另行路由</x:v>
      </x:c>
      <x:c r="W137" s="20" t="str">
        <x:v>repair_channel</x:v>
      </x:c>
      <x:c r="X137" s="20" t="str">
        <x:v>熟悉通道容易替代另一项不同修复任务。</x:v>
      </x:c>
      <x:c r="Y137" s="20" t="str">
        <x:v>需要留意：可能理解很多，但现实责任和行为改变进入较晚。</x:v>
      </x:c>
      <x:c r="Z13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7" s="20" t="str">
        <x:v>中高</x:v>
      </x:c>
      <x:c r="AB137" s="20" t="str">
        <x:v>待验证</x:v>
      </x:c>
      <x:c r="AC137" s="20" t="str"/>
      <x:c r="AD137" s="20" t="str">
        <x:v>provisional=true；M3-REPAIR尚未完成，完成条件为暂定功能模型。</x:v>
      </x:c>
      <x:c r="AE137" s="52" t="str">
        <x:v>0.7</x:v>
      </x:c>
    </x:row>
    <x:row r="138">
      <x:c r="A138" s="51" t="str">
        <x:v>M4-REPAIR-137</x:v>
      </x:c>
      <x:c r="B138" s="20" t="str">
        <x:v>RC09 正印｜影响承接修复｜闭环所需第二功能</x:v>
      </x:c>
      <x:c r="C138" s="20" t="str">
        <x:v>L2 十神修复功能通道</x:v>
      </x:c>
      <x:c r="D138" s="20" t="str">
        <x:v>REPAIR-十神通道</x:v>
      </x:c>
      <x:c r="E138" s="20" t="str">
        <x:v>通用</x:v>
      </x:c>
      <x:c r="F138" s="20" t="str">
        <x:v>通关</x:v>
      </x:c>
      <x:c r="G138" s="20" t="str">
        <x:v>RC09</x:v>
      </x:c>
      <x:c r="H138" s="20" t="str">
        <x:v>正印</x:v>
      </x:c>
      <x:c r="I138" s="20" t="str">
        <x:v>需要比劫边界、财官行动与RN06兑现。</x:v>
      </x:c>
      <x:c r="J138" s="20" t="str">
        <x:v>假设单一通道能完成所有修复任务。</x:v>
      </x:c>
      <x:c r="K138" s="20" t="str">
        <x:v>由共享基础引擎提供；仅修正修复功能的承载、持续与压力占位，不直接等同是否愿意认错或能否修复。</x:v>
      </x:c>
      <x:c r="L138" s="20" t="str">
        <x:v>由M1／M2提供；夫妻星只说明伴侣原型与关系资格，不单独证明修复能力、修复意愿或修复结果。</x:v>
      </x:c>
      <x:c r="M138" s="20" t="str">
        <x:v>由M3-BASE提供；日支底盘说明亲密关系中自然调用的功能，但不能单独证明修复闭环。</x:v>
      </x:c>
      <x:c r="N138" s="20" t="str">
        <x:v>由M3-CONFLICT、M4-LOOP及现实事件提供；必须区分问题停止、责任承担、影响确认、行动改变、反馈整合与后续回访。</x:v>
      </x:c>
      <x:c r="O138" s="20" t="str">
        <x:v>由共享基础引擎判定；近位提高相关功能进入亲密关系核心的概率，远位只作背景或阶段修正。</x:v>
      </x:c>
      <x:c r="P138" s="20" t="str">
        <x:v>根气只修正某修复功能是否容易重复调用，不等于现实中已经持续改变。</x:v>
      </x:c>
      <x:c r="Q138" s="20" t="str">
        <x:v>旺弱只修正功能调用强度与占位，不直接等同修复质量、诚意或关系结果。</x:v>
      </x:c>
      <x:c r="R138" s="20" t="str">
        <x:v>喜忌只修正功能摩擦、平衡与承载，不直接等同道德、成熟、善恶或是否值得原谅。</x:v>
      </x:c>
      <x:c r="S138" s="20" t="str">
        <x:v>原十神功能有效；真合化成立时按化神功能替换，合化争议时停止定性。</x:v>
      </x:c>
      <x:c r="T138" s="20" t="str">
        <x:v>近位提高修复议题与亲密关系的直接相关性；远位仅保留背景、阶段或低置信修正。</x:v>
      </x:c>
      <x:c r="U138" s="20" t="str">
        <x:v>68</x:v>
      </x:c>
      <x:c r="V138" s="20" t="str">
        <x:v>有效通道＋3；替代盲点另行路由</x:v>
      </x:c>
      <x:c r="W138" s="20" t="str">
        <x:v>repair_channel</x:v>
      </x:c>
      <x:c r="X138" s="20" t="str">
        <x:v>第二功能负责把本通道转成更完整的修复链。</x:v>
      </x:c>
      <x:c r="Y138" s="20" t="str">
        <x:v>要让修复更完整，还需要：需要比劫边界、财官行动与RN06兑现。</x:v>
      </x:c>
      <x:c r="Z13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8" s="20" t="str">
        <x:v>中高</x:v>
      </x:c>
      <x:c r="AB138" s="20" t="str">
        <x:v>待验证</x:v>
      </x:c>
      <x:c r="AC138" s="20" t="str"/>
      <x:c r="AD138" s="20" t="str">
        <x:v>provisional=true；M3-REPAIR尚未完成，完成条件为暂定功能模型。</x:v>
      </x:c>
      <x:c r="AE138" s="52" t="str">
        <x:v>0.7</x:v>
      </x:c>
    </x:row>
    <x:row r="139">
      <x:c r="A139" s="51" t="str">
        <x:v>M4-REPAIR-138</x:v>
      </x:c>
      <x:c r="B139" s="20" t="str">
        <x:v>RC09 正印｜影响承接修复｜状态修正</x:v>
      </x:c>
      <x:c r="C139" s="20" t="str">
        <x:v>L2 十神修复功能通道</x:v>
      </x:c>
      <x:c r="D139" s="20" t="str">
        <x:v>REPAIR-十神通道</x:v>
      </x:c>
      <x:c r="E139" s="20" t="str">
        <x:v>通用</x:v>
      </x:c>
      <x:c r="F139" s="20" t="str">
        <x:v>状态</x:v>
      </x:c>
      <x:c r="G139" s="20" t="str">
        <x:v>RC09</x:v>
      </x:c>
      <x:c r="H139" s="20" t="str">
        <x:v>正印</x:v>
      </x:c>
      <x:c r="I139" s="20" t="str">
        <x:v>结合透藏、根气、旺弱、制化、位置和现实重复行为。</x:v>
      </x:c>
      <x:c r="J139" s="20" t="str">
        <x:v>强即有效、弱即没有、喜即成熟、忌即恶意。</x:v>
      </x:c>
      <x:c r="K139" s="20" t="str">
        <x:v>由共享基础引擎提供；仅修正修复功能的承载、持续与压力占位，不直接等同是否愿意认错或能否修复。</x:v>
      </x:c>
      <x:c r="L139" s="20" t="str">
        <x:v>由M1／M2提供；夫妻星只说明伴侣原型与关系资格，不单独证明修复能力、修复意愿或修复结果。</x:v>
      </x:c>
      <x:c r="M139" s="20" t="str">
        <x:v>由M3-BASE提供；日支底盘说明亲密关系中自然调用的功能，但不能单独证明修复闭环。</x:v>
      </x:c>
      <x:c r="N139" s="20" t="str">
        <x:v>由M3-CONFLICT、M4-LOOP及现实事件提供；必须区分问题停止、责任承担、影响确认、行动改变、反馈整合与后续回访。</x:v>
      </x:c>
      <x:c r="O139" s="20" t="str">
        <x:v>由共享基础引擎判定；近位提高相关功能进入亲密关系核心的概率，远位只作背景或阶段修正。</x:v>
      </x:c>
      <x:c r="P139" s="20" t="str">
        <x:v>根气只修正某修复功能是否容易重复调用，不等于现实中已经持续改变。</x:v>
      </x:c>
      <x:c r="Q139" s="20" t="str">
        <x:v>旺弱只修正功能调用强度与占位，不直接等同修复质量、诚意或关系结果。</x:v>
      </x:c>
      <x:c r="R139" s="20" t="str">
        <x:v>喜忌只修正功能摩擦、平衡与承载，不直接等同道德、成熟、善恶或是否值得原谅。</x:v>
      </x:c>
      <x:c r="S139" s="20" t="str">
        <x:v>原十神功能有效；真合化成立时按化神功能替换，合化争议时停止定性。</x:v>
      </x:c>
      <x:c r="T139" s="20" t="str">
        <x:v>近位提高修复议题与亲密关系的直接相关性；远位仅保留背景、阶段或低置信修正。</x:v>
      </x:c>
      <x:c r="U139" s="20" t="str">
        <x:v>68</x:v>
      </x:c>
      <x:c r="V139" s="20" t="str">
        <x:v>有效通道＋3；替代盲点另行路由</x:v>
      </x:c>
      <x:c r="W139" s="20" t="str">
        <x:v>repair_channel</x:v>
      </x:c>
      <x:c r="X139" s="20" t="str">
        <x:v>状态只修正调用方式和持续性。</x:v>
      </x:c>
      <x:c r="Y139" s="20" t="str">
        <x:v>这项方式是否稳定，需要继续看它能否重复、是否受另一功能调节。</x:v>
      </x:c>
      <x:c r="Z13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39" s="20" t="str">
        <x:v>中高</x:v>
      </x:c>
      <x:c r="AB139" s="20" t="str">
        <x:v>待验证</x:v>
      </x:c>
      <x:c r="AC139" s="20" t="str"/>
      <x:c r="AD139" s="20" t="str">
        <x:v>provisional=true；M3-REPAIR尚未完成，完成条件为暂定功能模型。</x:v>
      </x:c>
      <x:c r="AE139" s="52" t="str">
        <x:v>0.7</x:v>
      </x:c>
    </x:row>
    <x:row r="140">
      <x:c r="A140" s="51" t="str">
        <x:v>M4-REPAIR-139</x:v>
      </x:c>
      <x:c r="B140" s="20" t="str">
        <x:v>RC09 正印｜影响承接修复｜用户标准文案</x:v>
      </x:c>
      <x:c r="C140" s="20" t="str">
        <x:v>L2 十神修复功能通道</x:v>
      </x:c>
      <x:c r="D140" s="20" t="str">
        <x:v>REPAIR-十神通道</x:v>
      </x:c>
      <x:c r="E140" s="20" t="str">
        <x:v>通用</x:v>
      </x:c>
      <x:c r="F140" s="20" t="str">
        <x:v>输出</x:v>
      </x:c>
      <x:c r="G140" s="20" t="str">
        <x:v>RC09</x:v>
      </x:c>
      <x:c r="H140" s="20" t="str">
        <x:v>正印</x:v>
      </x:c>
      <x:c r="I140" s="20" t="str">
        <x:v>该通道为主修复方式候选，并有第二类独立证据。</x:v>
      </x:c>
      <x:c r="J140" s="20" t="str">
        <x:v>证据不足或真合化争议。</x:v>
      </x:c>
      <x:c r="K140" s="20" t="str">
        <x:v>由共享基础引擎提供；仅修正修复功能的承载、持续与压力占位，不直接等同是否愿意认错或能否修复。</x:v>
      </x:c>
      <x:c r="L140" s="20" t="str">
        <x:v>由M1／M2提供；夫妻星只说明伴侣原型与关系资格，不单独证明修复能力、修复意愿或修复结果。</x:v>
      </x:c>
      <x:c r="M140" s="20" t="str">
        <x:v>由M3-BASE提供；日支底盘说明亲密关系中自然调用的功能，但不能单独证明修复闭环。</x:v>
      </x:c>
      <x:c r="N140" s="20" t="str">
        <x:v>由M3-CONFLICT、M4-LOOP及现实事件提供；必须区分问题停止、责任承担、影响确认、行动改变、反馈整合与后续回访。</x:v>
      </x:c>
      <x:c r="O140" s="20" t="str">
        <x:v>由共享基础引擎判定；近位提高相关功能进入亲密关系核心的概率，远位只作背景或阶段修正。</x:v>
      </x:c>
      <x:c r="P140" s="20" t="str">
        <x:v>根气只修正某修复功能是否容易重复调用，不等于现实中已经持续改变。</x:v>
      </x:c>
      <x:c r="Q140" s="20" t="str">
        <x:v>旺弱只修正功能调用强度与占位，不直接等同修复质量、诚意或关系结果。</x:v>
      </x:c>
      <x:c r="R140" s="20" t="str">
        <x:v>喜忌只修正功能摩擦、平衡与承载，不直接等同道德、成熟、善恶或是否值得原谅。</x:v>
      </x:c>
      <x:c r="S140" s="20" t="str">
        <x:v>原十神功能有效；真合化成立时按化神功能替换，合化争议时停止定性。</x:v>
      </x:c>
      <x:c r="T140" s="20" t="str">
        <x:v>近位提高修复议题与亲密关系的直接相关性；远位仅保留背景、阶段或低置信修正。</x:v>
      </x:c>
      <x:c r="U140" s="20" t="str">
        <x:v>68</x:v>
      </x:c>
      <x:c r="V140" s="20" t="str">
        <x:v>有效通道＋3；替代盲点另行路由</x:v>
      </x:c>
      <x:c r="W140" s="20" t="str">
        <x:v>repair_channel</x:v>
      </x:c>
      <x:c r="X140" s="20" t="str">
        <x:v>输出先描述功能，再描述缺口，不贴人格标签。</x:v>
      </x:c>
      <x:c r="Y140" s="20" t="str">
        <x:v>你更重视先让对方感到被听见和被理解，再推进后续。</x:v>
      </x:c>
      <x:c r="Z14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0" s="20" t="str">
        <x:v>中高</x:v>
      </x:c>
      <x:c r="AB140" s="20" t="str">
        <x:v>待验证</x:v>
      </x:c>
      <x:c r="AC140" s="20" t="str"/>
      <x:c r="AD140" s="20" t="str">
        <x:v>provisional=true；M3-REPAIR尚未完成，完成条件为暂定功能模型。</x:v>
      </x:c>
      <x:c r="AE140" s="52" t="str">
        <x:v>0.7</x:v>
      </x:c>
    </x:row>
    <x:row r="141">
      <x:c r="A141" s="51" t="str">
        <x:v>M4-REPAIR-140</x:v>
      </x:c>
      <x:c r="B141" s="20" t="str">
        <x:v>RC09 正印｜影响承接修复｜禁止推断</x:v>
      </x:c>
      <x:c r="C141" s="20" t="str">
        <x:v>L2 十神修复功能通道</x:v>
      </x:c>
      <x:c r="D141" s="20" t="str">
        <x:v>REPAIR-十神通道</x:v>
      </x:c>
      <x:c r="E141" s="20" t="str">
        <x:v>通用</x:v>
      </x:c>
      <x:c r="F141" s="20" t="str">
        <x:v>边界</x:v>
      </x:c>
      <x:c r="G141" s="20" t="str">
        <x:v>RC09</x:v>
      </x:c>
      <x:c r="H141" s="20" t="str">
        <x:v>正印</x:v>
      </x:c>
      <x:c r="I141" s="20" t="str">
        <x:v>完成现实安全、责任和反例检查。</x:v>
      </x:c>
      <x:c r="J141" s="20" t="str">
        <x:v>不得把理解写成牺牲、软弱或自动原谅。。</x:v>
      </x:c>
      <x:c r="K141" s="20" t="str">
        <x:v>由共享基础引擎提供；仅修正修复功能的承载、持续与压力占位，不直接等同是否愿意认错或能否修复。</x:v>
      </x:c>
      <x:c r="L141" s="20" t="str">
        <x:v>由M1／M2提供；夫妻星只说明伴侣原型与关系资格，不单独证明修复能力、修复意愿或修复结果。</x:v>
      </x:c>
      <x:c r="M141" s="20" t="str">
        <x:v>由M3-BASE提供；日支底盘说明亲密关系中自然调用的功能，但不能单独证明修复闭环。</x:v>
      </x:c>
      <x:c r="N141" s="20" t="str">
        <x:v>由M3-CONFLICT、M4-LOOP及现实事件提供；必须区分问题停止、责任承担、影响确认、行动改变、反馈整合与后续回访。</x:v>
      </x:c>
      <x:c r="O141" s="20" t="str">
        <x:v>由共享基础引擎判定；近位提高相关功能进入亲密关系核心的概率，远位只作背景或阶段修正。</x:v>
      </x:c>
      <x:c r="P141" s="20" t="str">
        <x:v>根气只修正某修复功能是否容易重复调用，不等于现实中已经持续改变。</x:v>
      </x:c>
      <x:c r="Q141" s="20" t="str">
        <x:v>旺弱只修正功能调用强度与占位，不直接等同修复质量、诚意或关系结果。</x:v>
      </x:c>
      <x:c r="R141" s="20" t="str">
        <x:v>喜忌只修正功能摩擦、平衡与承载，不直接等同道德、成熟、善恶或是否值得原谅。</x:v>
      </x:c>
      <x:c r="S141" s="20" t="str">
        <x:v>原十神功能有效；真合化成立时按化神功能替换，合化争议时停止定性。</x:v>
      </x:c>
      <x:c r="T141" s="20" t="str">
        <x:v>近位提高修复议题与亲密关系的直接相关性；远位仅保留背景、阶段或低置信修正。</x:v>
      </x:c>
      <x:c r="U141" s="20" t="str">
        <x:v>82</x:v>
      </x:c>
      <x:c r="V141" s="20" t="str">
        <x:v>有效通道＋3；替代盲点另行路由</x:v>
      </x:c>
      <x:c r="W141" s="20" t="str">
        <x:v>repair_channel</x:v>
      </x:c>
      <x:c r="X141" s="20" t="str">
        <x:v>十神修复通道不能推断诚意、道德和关系结果。</x:v>
      </x:c>
      <x:c r="Y141" s="20" t="str">
        <x:v>边界提示：不得把理解写成牺牲、软弱或自动原谅。</x:v>
      </x:c>
      <x:c r="Z14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1" s="20" t="str">
        <x:v>中高</x:v>
      </x:c>
      <x:c r="AB141" s="20" t="str">
        <x:v>待验证</x:v>
      </x:c>
      <x:c r="AC141" s="20" t="str"/>
      <x:c r="AD141" s="20" t="str">
        <x:v>provisional=true；M3-REPAIR尚未完成，完成条件为暂定功能模型。</x:v>
      </x:c>
      <x:c r="AE141" s="52" t="str">
        <x:v>0.7</x:v>
      </x:c>
    </x:row>
    <x:row r="142">
      <x:c r="A142" s="51" t="str">
        <x:v>M4-REPAIR-141</x:v>
      </x:c>
      <x:c r="B142" s="20" t="str">
        <x:v>RC10 偏印｜反思精确修复｜正常修复功能</x:v>
      </x:c>
      <x:c r="C142" s="20" t="str">
        <x:v>L2 十神修复功能通道</x:v>
      </x:c>
      <x:c r="D142" s="20" t="str">
        <x:v>REPAIR-十神通道</x:v>
      </x:c>
      <x:c r="E142" s="20" t="str">
        <x:v>通用</x:v>
      </x:c>
      <x:c r="F142" s="20" t="str">
        <x:v>定义</x:v>
      </x:c>
      <x:c r="G142" s="20" t="str">
        <x:v>RC10</x:v>
      </x:c>
      <x:c r="H142" s="20" t="str">
        <x:v>偏印</x:v>
      </x:c>
      <x:c r="I142" s="20" t="str">
        <x:v>先内部整理，再形成较精准的理解、说明和空间安排。</x:v>
      </x:c>
      <x:c r="J142" s="20" t="str">
        <x:v>仅凭十神名称或旺弱直接判断修复能力。</x:v>
      </x:c>
      <x:c r="K142" s="20" t="str">
        <x:v>由共享基础引擎提供；仅修正修复功能的承载、持续与压力占位，不直接等同是否愿意认错或能否修复。</x:v>
      </x:c>
      <x:c r="L142" s="20" t="str">
        <x:v>由M1／M2提供；夫妻星只说明伴侣原型与关系资格，不单独证明修复能力、修复意愿或修复结果。</x:v>
      </x:c>
      <x:c r="M142" s="20" t="str">
        <x:v>由M3-BASE提供；日支底盘说明亲密关系中自然调用的功能，但不能单独证明修复闭环。</x:v>
      </x:c>
      <x:c r="N142" s="20" t="str">
        <x:v>由M3-CONFLICT、M4-LOOP及现实事件提供；必须区分问题停止、责任承担、影响确认、行动改变、反馈整合与后续回访。</x:v>
      </x:c>
      <x:c r="O142" s="20" t="str">
        <x:v>由共享基础引擎判定；近位提高相关功能进入亲密关系核心的概率，远位只作背景或阶段修正。</x:v>
      </x:c>
      <x:c r="P142" s="20" t="str">
        <x:v>根气只修正某修复功能是否容易重复调用，不等于现实中已经持续改变。</x:v>
      </x:c>
      <x:c r="Q142" s="20" t="str">
        <x:v>旺弱只修正功能调用强度与占位，不直接等同修复质量、诚意或关系结果。</x:v>
      </x:c>
      <x:c r="R142" s="20" t="str">
        <x:v>喜忌只修正功能摩擦、平衡与承载，不直接等同道德、成熟、善恶或是否值得原谅。</x:v>
      </x:c>
      <x:c r="S142" s="20" t="str">
        <x:v>原十神功能有效；真合化成立时按化神功能替换，合化争议时停止定性。</x:v>
      </x:c>
      <x:c r="T142" s="20" t="str">
        <x:v>近位提高修复议题与亲密关系的直接相关性；远位仅保留背景、阶段或低置信修正。</x:v>
      </x:c>
      <x:c r="U142" s="20" t="str">
        <x:v>68</x:v>
      </x:c>
      <x:c r="V142" s="20" t="str">
        <x:v>有效通道＋3；替代盲点另行路由</x:v>
      </x:c>
      <x:c r="W142" s="20" t="str">
        <x:v>repair_channel</x:v>
      </x:c>
      <x:c r="X142" s="20" t="str">
        <x:v>十神提供一种可用修复功能，首先保留其正常价值。</x:v>
      </x:c>
      <x:c r="Y142" s="20" t="str">
        <x:v>你可能需要先整理复杂感受，形成清楚理解后再回来回应。</x:v>
      </x:c>
      <x:c r="Z14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2" s="20" t="str">
        <x:v>中高</x:v>
      </x:c>
      <x:c r="AB142" s="20" t="str">
        <x:v>待验证</x:v>
      </x:c>
      <x:c r="AC142" s="20" t="str"/>
      <x:c r="AD142" s="20" t="str">
        <x:v>provisional=true；M3-REPAIR尚未完成，完成条件为暂定功能模型。</x:v>
      </x:c>
      <x:c r="AE142" s="52" t="str">
        <x:v>0.7</x:v>
      </x:c>
    </x:row>
    <x:row r="143">
      <x:c r="A143" s="51" t="str">
        <x:v>M4-REPAIR-142</x:v>
      </x:c>
      <x:c r="B143" s="20" t="str">
        <x:v>RC10 偏印｜反思精确修复｜启动表现</x:v>
      </x:c>
      <x:c r="C143" s="20" t="str">
        <x:v>L2 十神修复功能通道</x:v>
      </x:c>
      <x:c r="D143" s="20" t="str">
        <x:v>REPAIR-十神通道</x:v>
      </x:c>
      <x:c r="E143" s="20" t="str">
        <x:v>通用</x:v>
      </x:c>
      <x:c r="F143" s="20" t="str">
        <x:v>行为</x:v>
      </x:c>
      <x:c r="G143" s="20" t="str">
        <x:v>RC10</x:v>
      </x:c>
      <x:c r="H143" s="20" t="str">
        <x:v>偏印</x:v>
      </x:c>
      <x:c r="I143" s="20" t="str">
        <x:v>现实中出现：独立反思、书面表达、专业帮助、选择性开放、给出空间。</x:v>
      </x:c>
      <x:c r="J143" s="20" t="str">
        <x:v>只有自我评价，没有具体行为。</x:v>
      </x:c>
      <x:c r="K143" s="20" t="str">
        <x:v>由共享基础引擎提供；仅修正修复功能的承载、持续与压力占位，不直接等同是否愿意认错或能否修复。</x:v>
      </x:c>
      <x:c r="L143" s="20" t="str">
        <x:v>由M1／M2提供；夫妻星只说明伴侣原型与关系资格，不单独证明修复能力、修复意愿或修复结果。</x:v>
      </x:c>
      <x:c r="M143" s="20" t="str">
        <x:v>由M3-BASE提供；日支底盘说明亲密关系中自然调用的功能，但不能单独证明修复闭环。</x:v>
      </x:c>
      <x:c r="N143" s="20" t="str">
        <x:v>由M3-CONFLICT、M4-LOOP及现实事件提供；必须区分问题停止、责任承担、影响确认、行动改变、反馈整合与后续回访。</x:v>
      </x:c>
      <x:c r="O143" s="20" t="str">
        <x:v>由共享基础引擎判定；近位提高相关功能进入亲密关系核心的概率，远位只作背景或阶段修正。</x:v>
      </x:c>
      <x:c r="P143" s="20" t="str">
        <x:v>根气只修正某修复功能是否容易重复调用，不等于现实中已经持续改变。</x:v>
      </x:c>
      <x:c r="Q143" s="20" t="str">
        <x:v>旺弱只修正功能调用强度与占位，不直接等同修复质量、诚意或关系结果。</x:v>
      </x:c>
      <x:c r="R143" s="20" t="str">
        <x:v>喜忌只修正功能摩擦、平衡与承载，不直接等同道德、成熟、善恶或是否值得原谅。</x:v>
      </x:c>
      <x:c r="S143" s="20" t="str">
        <x:v>原十神功能有效；真合化成立时按化神功能替换，合化争议时停止定性。</x:v>
      </x:c>
      <x:c r="T143" s="20" t="str">
        <x:v>近位提高修复议题与亲密关系的直接相关性；远位仅保留背景、阶段或低置信修正。</x:v>
      </x:c>
      <x:c r="U143" s="20" t="str">
        <x:v>68</x:v>
      </x:c>
      <x:c r="V143" s="20" t="str">
        <x:v>有效通道＋3；替代盲点另行路由</x:v>
      </x:c>
      <x:c r="W143" s="20" t="str">
        <x:v>repair_channel</x:v>
      </x:c>
      <x:c r="X143" s="20" t="str">
        <x:v>启动表现说明通道已出现，但不等于闭环。</x:v>
      </x:c>
      <x:c r="Y143" s="20" t="str">
        <x:v>当你使用这一通道时，常见表现是：独立反思、书面表达、专业帮助、选择性开放、给出空间。</x:v>
      </x:c>
      <x:c r="Z14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3" s="20" t="str">
        <x:v>中高</x:v>
      </x:c>
      <x:c r="AB143" s="20" t="str">
        <x:v>待验证</x:v>
      </x:c>
      <x:c r="AC143" s="20" t="str"/>
      <x:c r="AD143" s="20" t="str">
        <x:v>provisional=true；M3-REPAIR尚未完成，完成条件为暂定功能模型。</x:v>
      </x:c>
      <x:c r="AE143" s="52" t="str">
        <x:v>0.7</x:v>
      </x:c>
    </x:row>
    <x:row r="144">
      <x:c r="A144" s="51" t="str">
        <x:v>M4-REPAIR-143</x:v>
      </x:c>
      <x:c r="B144" s="20" t="str">
        <x:v>RC10 偏印｜反思精确修复｜接收方反馈检查</x:v>
      </x:c>
      <x:c r="C144" s="20" t="str">
        <x:v>L2 十神修复功能通道</x:v>
      </x:c>
      <x:c r="D144" s="20" t="str">
        <x:v>REPAIR-十神通道</x:v>
      </x:c>
      <x:c r="E144" s="20" t="str">
        <x:v>通用</x:v>
      </x:c>
      <x:c r="F144" s="20" t="str">
        <x:v>证据</x:v>
      </x:c>
      <x:c r="G144" s="20" t="str">
        <x:v>RC10</x:v>
      </x:c>
      <x:c r="H144" s="20" t="str">
        <x:v>偏印</x:v>
      </x:c>
      <x:c r="I144" s="20" t="str">
        <x:v>接收方能够对该通道提供接受、拒绝、保留或调整反馈。</x:v>
      </x:c>
      <x:c r="J144" s="20" t="str">
        <x:v>只看发起者意图，不记录接收者反馈。</x:v>
      </x:c>
      <x:c r="K144" s="20" t="str">
        <x:v>由共享基础引擎提供；仅修正修复功能的承载、持续与压力占位，不直接等同是否愿意认错或能否修复。</x:v>
      </x:c>
      <x:c r="L144" s="20" t="str">
        <x:v>由M1／M2提供；夫妻星只说明伴侣原型与关系资格，不单独证明修复能力、修复意愿或修复结果。</x:v>
      </x:c>
      <x:c r="M144" s="20" t="str">
        <x:v>由M3-BASE提供；日支底盘说明亲密关系中自然调用的功能，但不能单独证明修复闭环。</x:v>
      </x:c>
      <x:c r="N144" s="20" t="str">
        <x:v>由M3-CONFLICT、M4-LOOP及现实事件提供；必须区分问题停止、责任承担、影响确认、行动改变、反馈整合与后续回访。</x:v>
      </x:c>
      <x:c r="O144" s="20" t="str">
        <x:v>由共享基础引擎判定；近位提高相关功能进入亲密关系核心的概率，远位只作背景或阶段修正。</x:v>
      </x:c>
      <x:c r="P144" s="20" t="str">
        <x:v>根气只修正某修复功能是否容易重复调用，不等于现实中已经持续改变。</x:v>
      </x:c>
      <x:c r="Q144" s="20" t="str">
        <x:v>旺弱只修正功能调用强度与占位，不直接等同修复质量、诚意或关系结果。</x:v>
      </x:c>
      <x:c r="R144" s="20" t="str">
        <x:v>喜忌只修正功能摩擦、平衡与承载，不直接等同道德、成熟、善恶或是否值得原谅。</x:v>
      </x:c>
      <x:c r="S144" s="20" t="str">
        <x:v>原十神功能有效；真合化成立时按化神功能替换，合化争议时停止定性。</x:v>
      </x:c>
      <x:c r="T144" s="20" t="str">
        <x:v>近位提高修复议题与亲密关系的直接相关性；远位仅保留背景、阶段或低置信修正。</x:v>
      </x:c>
      <x:c r="U144" s="20" t="str">
        <x:v>82</x:v>
      </x:c>
      <x:c r="V144" s="20" t="str">
        <x:v>有效通道＋3；替代盲点另行路由</x:v>
      </x:c>
      <x:c r="W144" s="20" t="str">
        <x:v>repair_channel</x:v>
      </x:c>
      <x:c r="X144" s="20" t="str">
        <x:v>修复通道是否有效必须看它是否回应真实影响。</x:v>
      </x:c>
      <x:c r="Y144" s="20" t="str">
        <x:v>还要看对方怎样接收这一步，以及是否需要进一步调整。</x:v>
      </x:c>
      <x:c r="Z14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4" s="20" t="str">
        <x:v>中高</x:v>
      </x:c>
      <x:c r="AB144" s="20" t="str">
        <x:v>待验证</x:v>
      </x:c>
      <x:c r="AC144" s="20" t="str"/>
      <x:c r="AD144" s="20" t="str">
        <x:v>provisional=true；M3-REPAIR尚未完成，完成条件为暂定功能模型。</x:v>
      </x:c>
      <x:c r="AE144" s="52" t="str">
        <x:v>0.7</x:v>
      </x:c>
    </x:row>
    <x:row r="145">
      <x:c r="A145" s="51" t="str">
        <x:v>M4-REPAIR-144</x:v>
      </x:c>
      <x:c r="B145" s="20" t="str">
        <x:v>RC10 偏印｜反思精确修复｜常见替代盲点</x:v>
      </x:c>
      <x:c r="C145" s="20" t="str">
        <x:v>L2 十神修复功能通道</x:v>
      </x:c>
      <x:c r="D145" s="20" t="str">
        <x:v>REPAIR-十神通道</x:v>
      </x:c>
      <x:c r="E145" s="20" t="str">
        <x:v>通用</x:v>
      </x:c>
      <x:c r="F145" s="20" t="str">
        <x:v>盲点</x:v>
      </x:c>
      <x:c r="G145" s="20" t="str">
        <x:v>RC10</x:v>
      </x:c>
      <x:c r="H145" s="20" t="str">
        <x:v>偏印</x:v>
      </x:c>
      <x:c r="I145" s="20" t="str">
        <x:v>该通道出现并承担修复任务。</x:v>
      </x:c>
      <x:c r="J145" s="20" t="str">
        <x:v>可能延迟回应或把内部理解当成双方已经完成沟通。</x:v>
      </x:c>
      <x:c r="K145" s="20" t="str">
        <x:v>由共享基础引擎提供；仅修正修复功能的承载、持续与压力占位，不直接等同是否愿意认错或能否修复。</x:v>
      </x:c>
      <x:c r="L145" s="20" t="str">
        <x:v>由M1／M2提供；夫妻星只说明伴侣原型与关系资格，不单独证明修复能力、修复意愿或修复结果。</x:v>
      </x:c>
      <x:c r="M145" s="20" t="str">
        <x:v>由M3-BASE提供；日支底盘说明亲密关系中自然调用的功能，但不能单独证明修复闭环。</x:v>
      </x:c>
      <x:c r="N145" s="20" t="str">
        <x:v>由M3-CONFLICT、M4-LOOP及现实事件提供；必须区分问题停止、责任承担、影响确认、行动改变、反馈整合与后续回访。</x:v>
      </x:c>
      <x:c r="O145" s="20" t="str">
        <x:v>由共享基础引擎判定；近位提高相关功能进入亲密关系核心的概率，远位只作背景或阶段修正。</x:v>
      </x:c>
      <x:c r="P145" s="20" t="str">
        <x:v>根气只修正某修复功能是否容易重复调用，不等于现实中已经持续改变。</x:v>
      </x:c>
      <x:c r="Q145" s="20" t="str">
        <x:v>旺弱只修正功能调用强度与占位，不直接等同修复质量、诚意或关系结果。</x:v>
      </x:c>
      <x:c r="R145" s="20" t="str">
        <x:v>喜忌只修正功能摩擦、平衡与承载，不直接等同道德、成熟、善恶或是否值得原谅。</x:v>
      </x:c>
      <x:c r="S145" s="20" t="str">
        <x:v>原十神功能有效；真合化成立时按化神功能替换，合化争议时停止定性。</x:v>
      </x:c>
      <x:c r="T145" s="20" t="str">
        <x:v>近位提高修复议题与亲密关系的直接相关性；远位仅保留背景、阶段或低置信修正。</x:v>
      </x:c>
      <x:c r="U145" s="20" t="str">
        <x:v>68</x:v>
      </x:c>
      <x:c r="V145" s="20" t="str">
        <x:v>有效通道＋3；替代盲点另行路由</x:v>
      </x:c>
      <x:c r="W145" s="20" t="str">
        <x:v>repair_channel</x:v>
      </x:c>
      <x:c r="X145" s="20" t="str">
        <x:v>熟悉通道容易替代另一项不同修复任务。</x:v>
      </x:c>
      <x:c r="Y145" s="20" t="str">
        <x:v>需要留意：可能延迟回应或把内部理解当成双方已经完成沟通。</x:v>
      </x:c>
      <x:c r="Z14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5" s="20" t="str">
        <x:v>中高</x:v>
      </x:c>
      <x:c r="AB145" s="20" t="str">
        <x:v>待验证</x:v>
      </x:c>
      <x:c r="AC145" s="20" t="str"/>
      <x:c r="AD145" s="20" t="str">
        <x:v>provisional=true；M3-REPAIR尚未完成，完成条件为暂定功能模型。</x:v>
      </x:c>
      <x:c r="AE145" s="52" t="str">
        <x:v>0.7</x:v>
      </x:c>
    </x:row>
    <x:row r="146">
      <x:c r="A146" s="51" t="str">
        <x:v>M4-REPAIR-145</x:v>
      </x:c>
      <x:c r="B146" s="20" t="str">
        <x:v>RC10 偏印｜反思精确修复｜闭环所需第二功能</x:v>
      </x:c>
      <x:c r="C146" s="20" t="str">
        <x:v>L2 十神修复功能通道</x:v>
      </x:c>
      <x:c r="D146" s="20" t="str">
        <x:v>REPAIR-十神通道</x:v>
      </x:c>
      <x:c r="E146" s="20" t="str">
        <x:v>通用</x:v>
      </x:c>
      <x:c r="F146" s="20" t="str">
        <x:v>通关</x:v>
      </x:c>
      <x:c r="G146" s="20" t="str">
        <x:v>RC10</x:v>
      </x:c>
      <x:c r="H146" s="20" t="str">
        <x:v>偏印</x:v>
      </x:c>
      <x:c r="I146" s="20" t="str">
        <x:v>需要明确回归点、食伤表达和RN07反馈。</x:v>
      </x:c>
      <x:c r="J146" s="20" t="str">
        <x:v>假设单一通道能完成所有修复任务。</x:v>
      </x:c>
      <x:c r="K146" s="20" t="str">
        <x:v>由共享基础引擎提供；仅修正修复功能的承载、持续与压力占位，不直接等同是否愿意认错或能否修复。</x:v>
      </x:c>
      <x:c r="L146" s="20" t="str">
        <x:v>由M1／M2提供；夫妻星只说明伴侣原型与关系资格，不单独证明修复能力、修复意愿或修复结果。</x:v>
      </x:c>
      <x:c r="M146" s="20" t="str">
        <x:v>由M3-BASE提供；日支底盘说明亲密关系中自然调用的功能，但不能单独证明修复闭环。</x:v>
      </x:c>
      <x:c r="N146" s="20" t="str">
        <x:v>由M3-CONFLICT、M4-LOOP及现实事件提供；必须区分问题停止、责任承担、影响确认、行动改变、反馈整合与后续回访。</x:v>
      </x:c>
      <x:c r="O146" s="20" t="str">
        <x:v>由共享基础引擎判定；近位提高相关功能进入亲密关系核心的概率，远位只作背景或阶段修正。</x:v>
      </x:c>
      <x:c r="P146" s="20" t="str">
        <x:v>根气只修正某修复功能是否容易重复调用，不等于现实中已经持续改变。</x:v>
      </x:c>
      <x:c r="Q146" s="20" t="str">
        <x:v>旺弱只修正功能调用强度与占位，不直接等同修复质量、诚意或关系结果。</x:v>
      </x:c>
      <x:c r="R146" s="20" t="str">
        <x:v>喜忌只修正功能摩擦、平衡与承载，不直接等同道德、成熟、善恶或是否值得原谅。</x:v>
      </x:c>
      <x:c r="S146" s="20" t="str">
        <x:v>原十神功能有效；真合化成立时按化神功能替换，合化争议时停止定性。</x:v>
      </x:c>
      <x:c r="T146" s="20" t="str">
        <x:v>近位提高修复议题与亲密关系的直接相关性；远位仅保留背景、阶段或低置信修正。</x:v>
      </x:c>
      <x:c r="U146" s="20" t="str">
        <x:v>68</x:v>
      </x:c>
      <x:c r="V146" s="20" t="str">
        <x:v>有效通道＋3；替代盲点另行路由</x:v>
      </x:c>
      <x:c r="W146" s="20" t="str">
        <x:v>repair_channel</x:v>
      </x:c>
      <x:c r="X146" s="20" t="str">
        <x:v>第二功能负责把本通道转成更完整的修复链。</x:v>
      </x:c>
      <x:c r="Y146" s="20" t="str">
        <x:v>要让修复更完整，还需要：需要明确回归点、食伤表达和RN07反馈。</x:v>
      </x:c>
      <x:c r="Z14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6" s="20" t="str">
        <x:v>中高</x:v>
      </x:c>
      <x:c r="AB146" s="20" t="str">
        <x:v>待验证</x:v>
      </x:c>
      <x:c r="AC146" s="20" t="str"/>
      <x:c r="AD146" s="20" t="str">
        <x:v>provisional=true；M3-REPAIR尚未完成，完成条件为暂定功能模型。</x:v>
      </x:c>
      <x:c r="AE146" s="52" t="str">
        <x:v>0.7</x:v>
      </x:c>
    </x:row>
    <x:row r="147">
      <x:c r="A147" s="51" t="str">
        <x:v>M4-REPAIR-146</x:v>
      </x:c>
      <x:c r="B147" s="20" t="str">
        <x:v>RC10 偏印｜反思精确修复｜状态修正</x:v>
      </x:c>
      <x:c r="C147" s="20" t="str">
        <x:v>L2 十神修复功能通道</x:v>
      </x:c>
      <x:c r="D147" s="20" t="str">
        <x:v>REPAIR-十神通道</x:v>
      </x:c>
      <x:c r="E147" s="20" t="str">
        <x:v>通用</x:v>
      </x:c>
      <x:c r="F147" s="20" t="str">
        <x:v>状态</x:v>
      </x:c>
      <x:c r="G147" s="20" t="str">
        <x:v>RC10</x:v>
      </x:c>
      <x:c r="H147" s="20" t="str">
        <x:v>偏印</x:v>
      </x:c>
      <x:c r="I147" s="20" t="str">
        <x:v>结合透藏、根气、旺弱、制化、位置和现实重复行为。</x:v>
      </x:c>
      <x:c r="J147" s="20" t="str">
        <x:v>强即有效、弱即没有、喜即成熟、忌即恶意。</x:v>
      </x:c>
      <x:c r="K147" s="20" t="str">
        <x:v>由共享基础引擎提供；仅修正修复功能的承载、持续与压力占位，不直接等同是否愿意认错或能否修复。</x:v>
      </x:c>
      <x:c r="L147" s="20" t="str">
        <x:v>由M1／M2提供；夫妻星只说明伴侣原型与关系资格，不单独证明修复能力、修复意愿或修复结果。</x:v>
      </x:c>
      <x:c r="M147" s="20" t="str">
        <x:v>由M3-BASE提供；日支底盘说明亲密关系中自然调用的功能，但不能单独证明修复闭环。</x:v>
      </x:c>
      <x:c r="N147" s="20" t="str">
        <x:v>由M3-CONFLICT、M4-LOOP及现实事件提供；必须区分问题停止、责任承担、影响确认、行动改变、反馈整合与后续回访。</x:v>
      </x:c>
      <x:c r="O147" s="20" t="str">
        <x:v>由共享基础引擎判定；近位提高相关功能进入亲密关系核心的概率，远位只作背景或阶段修正。</x:v>
      </x:c>
      <x:c r="P147" s="20" t="str">
        <x:v>根气只修正某修复功能是否容易重复调用，不等于现实中已经持续改变。</x:v>
      </x:c>
      <x:c r="Q147" s="20" t="str">
        <x:v>旺弱只修正功能调用强度与占位，不直接等同修复质量、诚意或关系结果。</x:v>
      </x:c>
      <x:c r="R147" s="20" t="str">
        <x:v>喜忌只修正功能摩擦、平衡与承载，不直接等同道德、成熟、善恶或是否值得原谅。</x:v>
      </x:c>
      <x:c r="S147" s="20" t="str">
        <x:v>原十神功能有效；真合化成立时按化神功能替换，合化争议时停止定性。</x:v>
      </x:c>
      <x:c r="T147" s="20" t="str">
        <x:v>近位提高修复议题与亲密关系的直接相关性；远位仅保留背景、阶段或低置信修正。</x:v>
      </x:c>
      <x:c r="U147" s="20" t="str">
        <x:v>68</x:v>
      </x:c>
      <x:c r="V147" s="20" t="str">
        <x:v>有效通道＋3；替代盲点另行路由</x:v>
      </x:c>
      <x:c r="W147" s="20" t="str">
        <x:v>repair_channel</x:v>
      </x:c>
      <x:c r="X147" s="20" t="str">
        <x:v>状态只修正调用方式和持续性。</x:v>
      </x:c>
      <x:c r="Y147" s="20" t="str">
        <x:v>这项方式是否稳定，需要继续看它能否重复、是否受另一功能调节。</x:v>
      </x:c>
      <x:c r="Z14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7" s="20" t="str">
        <x:v>中高</x:v>
      </x:c>
      <x:c r="AB147" s="20" t="str">
        <x:v>待验证</x:v>
      </x:c>
      <x:c r="AC147" s="20" t="str"/>
      <x:c r="AD147" s="20" t="str">
        <x:v>provisional=true；M3-REPAIR尚未完成，完成条件为暂定功能模型。</x:v>
      </x:c>
      <x:c r="AE147" s="52" t="str">
        <x:v>0.7</x:v>
      </x:c>
    </x:row>
    <x:row r="148">
      <x:c r="A148" s="51" t="str">
        <x:v>M4-REPAIR-147</x:v>
      </x:c>
      <x:c r="B148" s="20" t="str">
        <x:v>RC10 偏印｜反思精确修复｜用户标准文案</x:v>
      </x:c>
      <x:c r="C148" s="20" t="str">
        <x:v>L2 十神修复功能通道</x:v>
      </x:c>
      <x:c r="D148" s="20" t="str">
        <x:v>REPAIR-十神通道</x:v>
      </x:c>
      <x:c r="E148" s="20" t="str">
        <x:v>通用</x:v>
      </x:c>
      <x:c r="F148" s="20" t="str">
        <x:v>输出</x:v>
      </x:c>
      <x:c r="G148" s="20" t="str">
        <x:v>RC10</x:v>
      </x:c>
      <x:c r="H148" s="20" t="str">
        <x:v>偏印</x:v>
      </x:c>
      <x:c r="I148" s="20" t="str">
        <x:v>该通道为主修复方式候选，并有第二类独立证据。</x:v>
      </x:c>
      <x:c r="J148" s="20" t="str">
        <x:v>证据不足或真合化争议。</x:v>
      </x:c>
      <x:c r="K148" s="20" t="str">
        <x:v>由共享基础引擎提供；仅修正修复功能的承载、持续与压力占位，不直接等同是否愿意认错或能否修复。</x:v>
      </x:c>
      <x:c r="L148" s="20" t="str">
        <x:v>由M1／M2提供；夫妻星只说明伴侣原型与关系资格，不单独证明修复能力、修复意愿或修复结果。</x:v>
      </x:c>
      <x:c r="M148" s="20" t="str">
        <x:v>由M3-BASE提供；日支底盘说明亲密关系中自然调用的功能，但不能单独证明修复闭环。</x:v>
      </x:c>
      <x:c r="N148" s="20" t="str">
        <x:v>由M3-CONFLICT、M4-LOOP及现实事件提供；必须区分问题停止、责任承担、影响确认、行动改变、反馈整合与后续回访。</x:v>
      </x:c>
      <x:c r="O148" s="20" t="str">
        <x:v>由共享基础引擎判定；近位提高相关功能进入亲密关系核心的概率，远位只作背景或阶段修正。</x:v>
      </x:c>
      <x:c r="P148" s="20" t="str">
        <x:v>根气只修正某修复功能是否容易重复调用，不等于现实中已经持续改变。</x:v>
      </x:c>
      <x:c r="Q148" s="20" t="str">
        <x:v>旺弱只修正功能调用强度与占位，不直接等同修复质量、诚意或关系结果。</x:v>
      </x:c>
      <x:c r="R148" s="20" t="str">
        <x:v>喜忌只修正功能摩擦、平衡与承载，不直接等同道德、成熟、善恶或是否值得原谅。</x:v>
      </x:c>
      <x:c r="S148" s="20" t="str">
        <x:v>原十神功能有效；真合化成立时按化神功能替换，合化争议时停止定性。</x:v>
      </x:c>
      <x:c r="T148" s="20" t="str">
        <x:v>近位提高修复议题与亲密关系的直接相关性；远位仅保留背景、阶段或低置信修正。</x:v>
      </x:c>
      <x:c r="U148" s="20" t="str">
        <x:v>68</x:v>
      </x:c>
      <x:c r="V148" s="20" t="str">
        <x:v>有效通道＋3；替代盲点另行路由</x:v>
      </x:c>
      <x:c r="W148" s="20" t="str">
        <x:v>repair_channel</x:v>
      </x:c>
      <x:c r="X148" s="20" t="str">
        <x:v>输出先描述功能，再描述缺口，不贴人格标签。</x:v>
      </x:c>
      <x:c r="Y148" s="20" t="str">
        <x:v>你可能需要先整理复杂感受，形成清楚理解后再回来回应。</x:v>
      </x:c>
      <x:c r="Z14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8" s="20" t="str">
        <x:v>中高</x:v>
      </x:c>
      <x:c r="AB148" s="20" t="str">
        <x:v>待验证</x:v>
      </x:c>
      <x:c r="AC148" s="20" t="str"/>
      <x:c r="AD148" s="20" t="str">
        <x:v>provisional=true；M3-REPAIR尚未完成，完成条件为暂定功能模型。</x:v>
      </x:c>
      <x:c r="AE148" s="52" t="str">
        <x:v>0.7</x:v>
      </x:c>
    </x:row>
    <x:row r="149">
      <x:c r="A149" s="51" t="str">
        <x:v>M4-REPAIR-148</x:v>
      </x:c>
      <x:c r="B149" s="20" t="str">
        <x:v>RC10 偏印｜反思精确修复｜禁止推断</x:v>
      </x:c>
      <x:c r="C149" s="20" t="str">
        <x:v>L2 十神修复功能通道</x:v>
      </x:c>
      <x:c r="D149" s="20" t="str">
        <x:v>REPAIR-十神通道</x:v>
      </x:c>
      <x:c r="E149" s="20" t="str">
        <x:v>通用</x:v>
      </x:c>
      <x:c r="F149" s="20" t="str">
        <x:v>边界</x:v>
      </x:c>
      <x:c r="G149" s="20" t="str">
        <x:v>RC10</x:v>
      </x:c>
      <x:c r="H149" s="20" t="str">
        <x:v>偏印</x:v>
      </x:c>
      <x:c r="I149" s="20" t="str">
        <x:v>完成现实安全、责任和反例检查。</x:v>
      </x:c>
      <x:c r="J149" s="20" t="str">
        <x:v>不得把需要空间写成冷漠、回避或故意惩罚。。</x:v>
      </x:c>
      <x:c r="K149" s="20" t="str">
        <x:v>由共享基础引擎提供；仅修正修复功能的承载、持续与压力占位，不直接等同是否愿意认错或能否修复。</x:v>
      </x:c>
      <x:c r="L149" s="20" t="str">
        <x:v>由M1／M2提供；夫妻星只说明伴侣原型与关系资格，不单独证明修复能力、修复意愿或修复结果。</x:v>
      </x:c>
      <x:c r="M149" s="20" t="str">
        <x:v>由M3-BASE提供；日支底盘说明亲密关系中自然调用的功能，但不能单独证明修复闭环。</x:v>
      </x:c>
      <x:c r="N149" s="20" t="str">
        <x:v>由M3-CONFLICT、M4-LOOP及现实事件提供；必须区分问题停止、责任承担、影响确认、行动改变、反馈整合与后续回访。</x:v>
      </x:c>
      <x:c r="O149" s="20" t="str">
        <x:v>由共享基础引擎判定；近位提高相关功能进入亲密关系核心的概率，远位只作背景或阶段修正。</x:v>
      </x:c>
      <x:c r="P149" s="20" t="str">
        <x:v>根气只修正某修复功能是否容易重复调用，不等于现实中已经持续改变。</x:v>
      </x:c>
      <x:c r="Q149" s="20" t="str">
        <x:v>旺弱只修正功能调用强度与占位，不直接等同修复质量、诚意或关系结果。</x:v>
      </x:c>
      <x:c r="R149" s="20" t="str">
        <x:v>喜忌只修正功能摩擦、平衡与承载，不直接等同道德、成熟、善恶或是否值得原谅。</x:v>
      </x:c>
      <x:c r="S149" s="20" t="str">
        <x:v>原十神功能有效；真合化成立时按化神功能替换，合化争议时停止定性。</x:v>
      </x:c>
      <x:c r="T149" s="20" t="str">
        <x:v>近位提高修复议题与亲密关系的直接相关性；远位仅保留背景、阶段或低置信修正。</x:v>
      </x:c>
      <x:c r="U149" s="20" t="str">
        <x:v>82</x:v>
      </x:c>
      <x:c r="V149" s="20" t="str">
        <x:v>有效通道＋3；替代盲点另行路由</x:v>
      </x:c>
      <x:c r="W149" s="20" t="str">
        <x:v>repair_channel</x:v>
      </x:c>
      <x:c r="X149" s="20" t="str">
        <x:v>十神修复通道不能推断诚意、道德和关系结果。</x:v>
      </x:c>
      <x:c r="Y149" s="20" t="str">
        <x:v>边界提示：不得把需要空间写成冷漠、回避或故意惩罚。</x:v>
      </x:c>
      <x:c r="Z14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49" s="20" t="str">
        <x:v>中高</x:v>
      </x:c>
      <x:c r="AB149" s="20" t="str">
        <x:v>待验证</x:v>
      </x:c>
      <x:c r="AC149" s="20" t="str"/>
      <x:c r="AD149" s="20" t="str">
        <x:v>provisional=true；M3-REPAIR尚未完成，完成条件为暂定功能模型。</x:v>
      </x:c>
      <x:c r="AE149" s="52" t="str">
        <x:v>0.7</x:v>
      </x:c>
    </x:row>
    <x:row r="150">
      <x:c r="A150" s="51" t="str">
        <x:v>M4-REPAIR-149</x:v>
      </x:c>
      <x:c r="B150" s="20" t="str">
        <x:v>RB01 事件停止等同修复完成｜机制定义</x:v>
      </x:c>
      <x:c r="C150" s="20" t="str">
        <x:v>L3 修复盲点与过早关闭</x:v>
      </x:c>
      <x:c r="D150" s="20" t="str">
        <x:v>REPAIR-修复盲点</x:v>
      </x:c>
      <x:c r="E150" s="20" t="str">
        <x:v>通用</x:v>
      </x:c>
      <x:c r="F150" s="20" t="str">
        <x:v>定义</x:v>
      </x:c>
      <x:c r="G150" s="20" t="str">
        <x:v>RB01</x:v>
      </x:c>
      <x:c r="H150" s="20" t="str"/>
      <x:c r="I150" s="20" t="str">
        <x:v>存在“事件停止等同修复完成”的候选顺序。</x:v>
      </x:c>
      <x:c r="J150" s="20" t="str">
        <x:v>只凭十神标签或一次模糊事件。</x:v>
      </x:c>
      <x:c r="K150" s="20" t="str">
        <x:v>由共享基础引擎提供；仅修正修复功能的承载、持续与压力占位，不直接等同是否愿意认错或能否修复。</x:v>
      </x:c>
      <x:c r="L150" s="20" t="str">
        <x:v>由M1／M2提供；夫妻星只说明伴侣原型与关系资格，不单独证明修复能力、修复意愿或修复结果。</x:v>
      </x:c>
      <x:c r="M150" s="20" t="str">
        <x:v>由M3-BASE提供；日支底盘说明亲密关系中自然调用的功能，但不能单独证明修复闭环。</x:v>
      </x:c>
      <x:c r="N150" s="20" t="str">
        <x:v>由M3-CONFLICT、M4-LOOP及现实事件提供；必须区分问题停止、责任承担、影响确认、行动改变、反馈整合与后续回访。</x:v>
      </x:c>
      <x:c r="O150" s="20" t="str">
        <x:v>由共享基础引擎判定；近位提高相关功能进入亲密关系核心的概率，远位只作背景或阶段修正。</x:v>
      </x:c>
      <x:c r="P150" s="20" t="str">
        <x:v>根气只修正某修复功能是否容易重复调用，不等于现实中已经持续改变。</x:v>
      </x:c>
      <x:c r="Q150" s="20" t="str">
        <x:v>旺弱只修正功能调用强度与占位，不直接等同修复质量、诚意或关系结果。</x:v>
      </x:c>
      <x:c r="R150" s="20" t="str">
        <x:v>喜忌只修正功能摩擦、平衡与承载，不直接等同道德、成熟、善恶或是否值得原谅。</x:v>
      </x:c>
      <x:c r="S150" s="20" t="str">
        <x:v>原十神功能有效；真合化成立时按化神功能替换，合化争议时停止定性。</x:v>
      </x:c>
      <x:c r="T150" s="20" t="str">
        <x:v>近位提高修复议题与亲密关系的直接相关性；远位仅保留背景、阶段或低置信修正。</x:v>
      </x:c>
      <x:c r="U150" s="20" t="str">
        <x:v>72</x:v>
      </x:c>
      <x:c r="V150" s="20" t="str">
        <x:v>结构＋4；现实事件＋4；反例－4至停止</x:v>
      </x:c>
      <x:c r="W150" s="20" t="str">
        <x:v>repair_blindspot</x:v>
      </x:c>
      <x:c r="X150" s="20" t="str">
        <x:v>该盲点描述过早关闭或功能替代，不等同人格缺陷。</x:v>
      </x:c>
      <x:c r="Y150" s="20" t="str">
        <x:v>事情已经停下，但关系影响是否被理解、是否能重新信任，仍需要后续确认。</x:v>
      </x:c>
      <x:c r="Z15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0" s="20" t="str">
        <x:v>中高</x:v>
      </x:c>
      <x:c r="AB150" s="20" t="str">
        <x:v>待验证</x:v>
      </x:c>
      <x:c r="AC150" s="20" t="str"/>
      <x:c r="AD150" s="20" t="str">
        <x:v>provisional=true；M3-REPAIR尚未完成，完成条件为暂定功能模型。</x:v>
      </x:c>
      <x:c r="AE150" s="52" t="str">
        <x:v>0.7</x:v>
      </x:c>
    </x:row>
    <x:row r="151">
      <x:c r="A151" s="51" t="str">
        <x:v>M4-REPAIR-150</x:v>
      </x:c>
      <x:c r="B151" s="20" t="str">
        <x:v>RB01 事件停止等同修复完成｜成立证据</x:v>
      </x:c>
      <x:c r="C151" s="20" t="str">
        <x:v>L3 修复盲点与过早关闭</x:v>
      </x:c>
      <x:c r="D151" s="20" t="str">
        <x:v>REPAIR-修复盲点</x:v>
      </x:c>
      <x:c r="E151" s="20" t="str">
        <x:v>通用</x:v>
      </x:c>
      <x:c r="F151" s="20" t="str">
        <x:v>证据</x:v>
      </x:c>
      <x:c r="G151" s="20" t="str">
        <x:v>RB01</x:v>
      </x:c>
      <x:c r="H151" s="20" t="str"/>
      <x:c r="I151" s="20" t="str">
        <x:v>RN03影响确认、RN07反馈或RN08持续回访未完成，并有具体事件顺序。</x:v>
      </x:c>
      <x:c r="J151" s="20" t="str">
        <x:v>相应节点已有稳定现实证据。</x:v>
      </x:c>
      <x:c r="K151" s="20" t="str">
        <x:v>由共享基础引擎提供；仅修正修复功能的承载、持续与压力占位，不直接等同是否愿意认错或能否修复。</x:v>
      </x:c>
      <x:c r="L151" s="20" t="str">
        <x:v>由M1／M2提供；夫妻星只说明伴侣原型与关系资格，不单独证明修复能力、修复意愿或修复结果。</x:v>
      </x:c>
      <x:c r="M151" s="20" t="str">
        <x:v>由M3-BASE提供；日支底盘说明亲密关系中自然调用的功能，但不能单独证明修复闭环。</x:v>
      </x:c>
      <x:c r="N151" s="20" t="str">
        <x:v>由M3-CONFLICT、M4-LOOP及现实事件提供；必须区分问题停止、责任承担、影响确认、行动改变、反馈整合与后续回访。</x:v>
      </x:c>
      <x:c r="O151" s="20" t="str">
        <x:v>由共享基础引擎判定；近位提高相关功能进入亲密关系核心的概率，远位只作背景或阶段修正。</x:v>
      </x:c>
      <x:c r="P151" s="20" t="str">
        <x:v>根气只修正某修复功能是否容易重复调用，不等于现实中已经持续改变。</x:v>
      </x:c>
      <x:c r="Q151" s="20" t="str">
        <x:v>旺弱只修正功能调用强度与占位，不直接等同修复质量、诚意或关系结果。</x:v>
      </x:c>
      <x:c r="R151" s="20" t="str">
        <x:v>喜忌只修正功能摩擦、平衡与承载，不直接等同道德、成熟、善恶或是否值得原谅。</x:v>
      </x:c>
      <x:c r="S151" s="20" t="str">
        <x:v>原十神功能有效；真合化成立时按化神功能替换，合化争议时停止定性。</x:v>
      </x:c>
      <x:c r="T151" s="20" t="str">
        <x:v>近位提高修复议题与亲密关系的直接相关性；远位仅保留背景、阶段或低置信修正。</x:v>
      </x:c>
      <x:c r="U151" s="20" t="str">
        <x:v>86</x:v>
      </x:c>
      <x:c r="V151" s="20" t="str">
        <x:v>结构＋4；现实事件＋4；反例－4至停止</x:v>
      </x:c>
      <x:c r="W151" s="20" t="str">
        <x:v>repair_blindspot</x:v>
      </x:c>
      <x:c r="X151" s="20" t="str">
        <x:v>缺失节点必须由现实资料确认，不能只凭结构推测。</x:v>
      </x:c>
      <x:c r="Y151" s="20" t="str">
        <x:v>需要继续检查：RN03影响确认、RN07反馈或RN08持续回访未完成。</x:v>
      </x:c>
      <x:c r="Z15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1" s="20" t="str">
        <x:v>中高</x:v>
      </x:c>
      <x:c r="AB151" s="20" t="str">
        <x:v>待验证</x:v>
      </x:c>
      <x:c r="AC151" s="20" t="str"/>
      <x:c r="AD151" s="20" t="str">
        <x:v>provisional=true；M3-REPAIR尚未完成，完成条件为暂定功能模型。</x:v>
      </x:c>
      <x:c r="AE151" s="52" t="str">
        <x:v>0.7</x:v>
      </x:c>
    </x:row>
    <x:row r="152">
      <x:c r="A152" s="51" t="str">
        <x:v>M4-REPAIR-151</x:v>
      </x:c>
      <x:c r="B152" s="20" t="str">
        <x:v>RB01 事件停止等同修复完成｜典型路由</x:v>
      </x:c>
      <x:c r="C152" s="20" t="str">
        <x:v>L3 修复盲点与过早关闭</x:v>
      </x:c>
      <x:c r="D152" s="20" t="str">
        <x:v>REPAIR-修复盲点</x:v>
      </x:c>
      <x:c r="E152" s="20" t="str">
        <x:v>通用</x:v>
      </x:c>
      <x:c r="F152" s="20" t="str">
        <x:v>路由</x:v>
      </x:c>
      <x:c r="G152" s="20" t="str">
        <x:v>RB01</x:v>
      </x:c>
      <x:c r="H152" s="20" t="str"/>
      <x:c r="I152" s="20" t="str">
        <x:v>前一步修复动作已经出现，但下一项必要任务没有进入。</x:v>
      </x:c>
      <x:c r="J152" s="20" t="str">
        <x:v>前后顺序完整且接收方反馈有效。</x:v>
      </x:c>
      <x:c r="K152" s="20" t="str">
        <x:v>由共享基础引擎提供；仅修正修复功能的承载、持续与压力占位，不直接等同是否愿意认错或能否修复。</x:v>
      </x:c>
      <x:c r="L152" s="20" t="str">
        <x:v>由M1／M2提供；夫妻星只说明伴侣原型与关系资格，不单独证明修复能力、修复意愿或修复结果。</x:v>
      </x:c>
      <x:c r="M152" s="20" t="str">
        <x:v>由M3-BASE提供；日支底盘说明亲密关系中自然调用的功能，但不能单独证明修复闭环。</x:v>
      </x:c>
      <x:c r="N152" s="20" t="str">
        <x:v>由M3-CONFLICT、M4-LOOP及现实事件提供；必须区分问题停止、责任承担、影响确认、行动改变、反馈整合与后续回访。</x:v>
      </x:c>
      <x:c r="O152" s="20" t="str">
        <x:v>由共享基础引擎判定；近位提高相关功能进入亲密关系核心的概率，远位只作背景或阶段修正。</x:v>
      </x:c>
      <x:c r="P152" s="20" t="str">
        <x:v>根气只修正某修复功能是否容易重复调用，不等于现实中已经持续改变。</x:v>
      </x:c>
      <x:c r="Q152" s="20" t="str">
        <x:v>旺弱只修正功能调用强度与占位，不直接等同修复质量、诚意或关系结果。</x:v>
      </x:c>
      <x:c r="R152" s="20" t="str">
        <x:v>喜忌只修正功能摩擦、平衡与承载，不直接等同道德、成熟、善恶或是否值得原谅。</x:v>
      </x:c>
      <x:c r="S152" s="20" t="str">
        <x:v>原十神功能有效；真合化成立时按化神功能替换，合化争议时停止定性。</x:v>
      </x:c>
      <x:c r="T152" s="20" t="str">
        <x:v>近位提高修复议题与亲密关系的直接相关性；远位仅保留背景、阶段或低置信修正。</x:v>
      </x:c>
      <x:c r="U152" s="20" t="str">
        <x:v>72</x:v>
      </x:c>
      <x:c r="V152" s="20" t="str">
        <x:v>结构＋4；现实事件＋4；反例－4至停止</x:v>
      </x:c>
      <x:c r="W152" s="20" t="str">
        <x:v>repair_blindspot</x:v>
      </x:c>
      <x:c r="X152" s="20" t="str">
        <x:v>路由说明卡点发生在哪里。</x:v>
      </x:c>
      <x:c r="Y152" s="20" t="str">
        <x:v>目前更像是前一步完成后，下一步没有顺利接上。</x:v>
      </x:c>
      <x:c r="Z15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2" s="20" t="str">
        <x:v>中高</x:v>
      </x:c>
      <x:c r="AB152" s="20" t="str">
        <x:v>待验证</x:v>
      </x:c>
      <x:c r="AC152" s="20" t="str"/>
      <x:c r="AD152" s="20" t="str">
        <x:v>provisional=true；M3-REPAIR尚未完成，完成条件为暂定功能模型。</x:v>
      </x:c>
      <x:c r="AE152" s="52" t="str">
        <x:v>0.7</x:v>
      </x:c>
    </x:row>
    <x:row r="153">
      <x:c r="A153" s="51" t="str">
        <x:v>M4-REPAIR-152</x:v>
      </x:c>
      <x:c r="B153" s="20" t="str">
        <x:v>RB01 事件停止等同修复完成｜反例与替代解释</x:v>
      </x:c>
      <x:c r="C153" s="20" t="str">
        <x:v>L3 修复盲点与过早关闭</x:v>
      </x:c>
      <x:c r="D153" s="20" t="str">
        <x:v>REPAIR-修复盲点</x:v>
      </x:c>
      <x:c r="E153" s="20" t="str">
        <x:v>通用</x:v>
      </x:c>
      <x:c r="F153" s="20" t="str">
        <x:v>反例</x:v>
      </x:c>
      <x:c r="G153" s="20" t="str">
        <x:v>RB01</x:v>
      </x:c>
      <x:c r="H153" s="20" t="str"/>
      <x:c r="I153" s="20" t="str">
        <x:v>检查事件强度、双方意愿、时间不足、合理拒绝和安全因素。</x:v>
      </x:c>
      <x:c r="J153" s="20" t="str">
        <x:v>忽略成功修复或把合理边界当卡点。</x:v>
      </x:c>
      <x:c r="K153" s="20" t="str">
        <x:v>由共享基础引擎提供；仅修正修复功能的承载、持续与压力占位，不直接等同是否愿意认错或能否修复。</x:v>
      </x:c>
      <x:c r="L153" s="20" t="str">
        <x:v>由M1／M2提供；夫妻星只说明伴侣原型与关系资格，不单独证明修复能力、修复意愿或修复结果。</x:v>
      </x:c>
      <x:c r="M153" s="20" t="str">
        <x:v>由M3-BASE提供；日支底盘说明亲密关系中自然调用的功能，但不能单独证明修复闭环。</x:v>
      </x:c>
      <x:c r="N153" s="20" t="str">
        <x:v>由M3-CONFLICT、M4-LOOP及现实事件提供；必须区分问题停止、责任承担、影响确认、行动改变、反馈整合与后续回访。</x:v>
      </x:c>
      <x:c r="O153" s="20" t="str">
        <x:v>由共享基础引擎判定；近位提高相关功能进入亲密关系核心的概率，远位只作背景或阶段修正。</x:v>
      </x:c>
      <x:c r="P153" s="20" t="str">
        <x:v>根气只修正某修复功能是否容易重复调用，不等于现实中已经持续改变。</x:v>
      </x:c>
      <x:c r="Q153" s="20" t="str">
        <x:v>旺弱只修正功能调用强度与占位，不直接等同修复质量、诚意或关系结果。</x:v>
      </x:c>
      <x:c r="R153" s="20" t="str">
        <x:v>喜忌只修正功能摩擦、平衡与承载，不直接等同道德、成熟、善恶或是否值得原谅。</x:v>
      </x:c>
      <x:c r="S153" s="20" t="str">
        <x:v>原十神功能有效；真合化成立时按化神功能替换，合化争议时停止定性。</x:v>
      </x:c>
      <x:c r="T153" s="20" t="str">
        <x:v>近位提高修复议题与亲密关系的直接相关性；远位仅保留背景、阶段或低置信修正。</x:v>
      </x:c>
      <x:c r="U153" s="20" t="str">
        <x:v>86</x:v>
      </x:c>
      <x:c r="V153" s="20" t="str">
        <x:v>结构＋4；现实事件＋4；反例－4至停止</x:v>
      </x:c>
      <x:c r="W153" s="20" t="str">
        <x:v>repair_blindspot</x:v>
      </x:c>
      <x:c r="X153" s="20" t="str">
        <x:v>同一表面结果可能来自合理暂停、信息不足或不愿继续关系。</x:v>
      </x:c>
      <x:c r="Y153" s="20" t="str">
        <x:v>也要检查这是否只是合理暂停、资料不足，或对方选择不继续，而不是修复能力问题。</x:v>
      </x:c>
      <x:c r="Z15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3" s="20" t="str">
        <x:v>中高</x:v>
      </x:c>
      <x:c r="AB153" s="20" t="str">
        <x:v>待验证</x:v>
      </x:c>
      <x:c r="AC153" s="20" t="str"/>
      <x:c r="AD153" s="20" t="str">
        <x:v>provisional=true；M3-REPAIR尚未完成，完成条件为暂定功能模型。</x:v>
      </x:c>
      <x:c r="AE153" s="52" t="str">
        <x:v>0.7</x:v>
      </x:c>
    </x:row>
    <x:row r="154">
      <x:c r="A154" s="51" t="str">
        <x:v>M4-REPAIR-153</x:v>
      </x:c>
      <x:c r="B154" s="20" t="str">
        <x:v>RB01 事件停止等同修复完成｜用户输出</x:v>
      </x:c>
      <x:c r="C154" s="20" t="str">
        <x:v>L3 修复盲点与过早关闭</x:v>
      </x:c>
      <x:c r="D154" s="20" t="str">
        <x:v>REPAIR-修复盲点</x:v>
      </x:c>
      <x:c r="E154" s="20" t="str">
        <x:v>通用</x:v>
      </x:c>
      <x:c r="F154" s="20" t="str">
        <x:v>输出</x:v>
      </x:c>
      <x:c r="G154" s="20" t="str">
        <x:v>RB01</x:v>
      </x:c>
      <x:c r="H154" s="20" t="str"/>
      <x:c r="I154" s="20" t="str">
        <x:v>该盲点达到E2或以上，并完成反例检查。</x:v>
      </x:c>
      <x:c r="J154" s="20" t="str">
        <x:v>资料不足或安全停止。</x:v>
      </x:c>
      <x:c r="K154" s="20" t="str">
        <x:v>由共享基础引擎提供；仅修正修复功能的承载、持续与压力占位，不直接等同是否愿意认错或能否修复。</x:v>
      </x:c>
      <x:c r="L154" s="20" t="str">
        <x:v>由M1／M2提供；夫妻星只说明伴侣原型与关系资格，不单独证明修复能力、修复意愿或修复结果。</x:v>
      </x:c>
      <x:c r="M154" s="20" t="str">
        <x:v>由M3-BASE提供；日支底盘说明亲密关系中自然调用的功能，但不能单独证明修复闭环。</x:v>
      </x:c>
      <x:c r="N154" s="20" t="str">
        <x:v>由M3-CONFLICT、M4-LOOP及现实事件提供；必须区分问题停止、责任承担、影响确认、行动改变、反馈整合与后续回访。</x:v>
      </x:c>
      <x:c r="O154" s="20" t="str">
        <x:v>由共享基础引擎判定；近位提高相关功能进入亲密关系核心的概率，远位只作背景或阶段修正。</x:v>
      </x:c>
      <x:c r="P154" s="20" t="str">
        <x:v>根气只修正某修复功能是否容易重复调用，不等于现实中已经持续改变。</x:v>
      </x:c>
      <x:c r="Q154" s="20" t="str">
        <x:v>旺弱只修正功能调用强度与占位，不直接等同修复质量、诚意或关系结果。</x:v>
      </x:c>
      <x:c r="R154" s="20" t="str">
        <x:v>喜忌只修正功能摩擦、平衡与承载，不直接等同道德、成熟、善恶或是否值得原谅。</x:v>
      </x:c>
      <x:c r="S154" s="20" t="str">
        <x:v>原十神功能有效；真合化成立时按化神功能替换，合化争议时停止定性。</x:v>
      </x:c>
      <x:c r="T154" s="20" t="str">
        <x:v>近位提高修复议题与亲密关系的直接相关性；远位仅保留背景、阶段或低置信修正。</x:v>
      </x:c>
      <x:c r="U154" s="20" t="str">
        <x:v>72</x:v>
      </x:c>
      <x:c r="V154" s="20" t="str">
        <x:v>结构＋4；现实事件＋4；反例－4至停止</x:v>
      </x:c>
      <x:c r="W154" s="20" t="str">
        <x:v>repair_blindspot</x:v>
      </x:c>
      <x:c r="X154" s="20" t="str">
        <x:v>语言应说明“已完成什么、缺什么、如何验证”。</x:v>
      </x:c>
      <x:c r="Y154" s="20" t="str">
        <x:v>事情已经停下，但关系影响是否被理解、是否能重新信任，仍需要后续确认。</x:v>
      </x:c>
      <x:c r="Z15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4" s="20" t="str">
        <x:v>中高</x:v>
      </x:c>
      <x:c r="AB154" s="20" t="str">
        <x:v>待验证</x:v>
      </x:c>
      <x:c r="AC154" s="20" t="str"/>
      <x:c r="AD154" s="20" t="str">
        <x:v>provisional=true；M3-REPAIR尚未完成，完成条件为暂定功能模型。</x:v>
      </x:c>
      <x:c r="AE154" s="52" t="str">
        <x:v>0.7</x:v>
      </x:c>
    </x:row>
    <x:row r="155">
      <x:c r="A155" s="51" t="str">
        <x:v>M4-REPAIR-154</x:v>
      </x:c>
      <x:c r="B155" s="20" t="str">
        <x:v>RB01 事件停止等同修复完成｜退出条件</x:v>
      </x:c>
      <x:c r="C155" s="20" t="str">
        <x:v>L3 修复盲点与过早关闭</x:v>
      </x:c>
      <x:c r="D155" s="20" t="str">
        <x:v>REPAIR-修复盲点</x:v>
      </x:c>
      <x:c r="E155" s="20" t="str">
        <x:v>通用</x:v>
      </x:c>
      <x:c r="F155" s="20" t="str">
        <x:v>保护</x:v>
      </x:c>
      <x:c r="G155" s="20" t="str">
        <x:v>RB01</x:v>
      </x:c>
      <x:c r="H155" s="20" t="str"/>
      <x:c r="I155" s="20" t="str">
        <x:v>区分“没有继续发生”和“关系重新安全”。</x:v>
      </x:c>
      <x:c r="J155" s="20" t="str">
        <x:v>只给抽象建议，没有可观察节点。</x:v>
      </x:c>
      <x:c r="K155" s="20" t="str">
        <x:v>由共享基础引擎提供；仅修正修复功能的承载、持续与压力占位，不直接等同是否愿意认错或能否修复。</x:v>
      </x:c>
      <x:c r="L155" s="20" t="str">
        <x:v>由M1／M2提供；夫妻星只说明伴侣原型与关系资格，不单独证明修复能力、修复意愿或修复结果。</x:v>
      </x:c>
      <x:c r="M155" s="20" t="str">
        <x:v>由M3-BASE提供；日支底盘说明亲密关系中自然调用的功能，但不能单独证明修复闭环。</x:v>
      </x:c>
      <x:c r="N155" s="20" t="str">
        <x:v>由M3-CONFLICT、M4-LOOP及现实事件提供；必须区分问题停止、责任承担、影响确认、行动改变、反馈整合与后续回访。</x:v>
      </x:c>
      <x:c r="O155" s="20" t="str">
        <x:v>由共享基础引擎判定；近位提高相关功能进入亲密关系核心的概率，远位只作背景或阶段修正。</x:v>
      </x:c>
      <x:c r="P155" s="20" t="str">
        <x:v>根气只修正某修复功能是否容易重复调用，不等于现实中已经持续改变。</x:v>
      </x:c>
      <x:c r="Q155" s="20" t="str">
        <x:v>旺弱只修正功能调用强度与占位，不直接等同修复质量、诚意或关系结果。</x:v>
      </x:c>
      <x:c r="R155" s="20" t="str">
        <x:v>喜忌只修正功能摩擦、平衡与承载，不直接等同道德、成熟、善恶或是否值得原谅。</x:v>
      </x:c>
      <x:c r="S155" s="20" t="str">
        <x:v>原十神功能有效；真合化成立时按化神功能替换，合化争议时停止定性。</x:v>
      </x:c>
      <x:c r="T155" s="20" t="str">
        <x:v>近位提高修复议题与亲密关系的直接相关性；远位仅保留背景、阶段或低置信修正。</x:v>
      </x:c>
      <x:c r="U155" s="20" t="str">
        <x:v>72</x:v>
      </x:c>
      <x:c r="V155" s="20" t="str">
        <x:v>结构＋4；现实事件＋4；反例－4至停止</x:v>
      </x:c>
      <x:c r="W155" s="20" t="str">
        <x:v>repair_blindspot</x:v>
      </x:c>
      <x:c r="X155" s="20" t="str">
        <x:v>退出条件必须能改变具体修复链，而不是要求人格改变。</x:v>
      </x:c>
      <x:c r="Y155" s="20" t="str">
        <x:v>中断这个卡点的关键是：区分“没有继续发生”和“关系重新安全”。</x:v>
      </x:c>
      <x:c r="Z15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5" s="20" t="str">
        <x:v>中高</x:v>
      </x:c>
      <x:c r="AB155" s="20" t="str">
        <x:v>待验证</x:v>
      </x:c>
      <x:c r="AC155" s="20" t="str"/>
      <x:c r="AD155" s="20" t="str">
        <x:v>provisional=true；M3-REPAIR尚未完成，完成条件为暂定功能模型。</x:v>
      </x:c>
      <x:c r="AE155" s="52" t="str">
        <x:v>0.7</x:v>
      </x:c>
    </x:row>
    <x:row r="156">
      <x:c r="A156" s="51" t="str">
        <x:v>M4-REPAIR-155</x:v>
      </x:c>
      <x:c r="B156" s="20" t="str">
        <x:v>RB02 事实说清等同影响被理解｜机制定义</x:v>
      </x:c>
      <x:c r="C156" s="20" t="str">
        <x:v>L3 修复盲点与过早关闭</x:v>
      </x:c>
      <x:c r="D156" s="20" t="str">
        <x:v>REPAIR-修复盲点</x:v>
      </x:c>
      <x:c r="E156" s="20" t="str">
        <x:v>通用</x:v>
      </x:c>
      <x:c r="F156" s="20" t="str">
        <x:v>定义</x:v>
      </x:c>
      <x:c r="G156" s="20" t="str">
        <x:v>RB02</x:v>
      </x:c>
      <x:c r="H156" s="20" t="str"/>
      <x:c r="I156" s="20" t="str">
        <x:v>存在“事实说清等同影响被理解”的候选顺序。</x:v>
      </x:c>
      <x:c r="J156" s="20" t="str">
        <x:v>只凭十神标签或一次模糊事件。</x:v>
      </x:c>
      <x:c r="K156" s="20" t="str">
        <x:v>由共享基础引擎提供；仅修正修复功能的承载、持续与压力占位，不直接等同是否愿意认错或能否修复。</x:v>
      </x:c>
      <x:c r="L156" s="20" t="str">
        <x:v>由M1／M2提供；夫妻星只说明伴侣原型与关系资格，不单独证明修复能力、修复意愿或修复结果。</x:v>
      </x:c>
      <x:c r="M156" s="20" t="str">
        <x:v>由M3-BASE提供；日支底盘说明亲密关系中自然调用的功能，但不能单独证明修复闭环。</x:v>
      </x:c>
      <x:c r="N156" s="20" t="str">
        <x:v>由M3-CONFLICT、M4-LOOP及现实事件提供；必须区分问题停止、责任承担、影响确认、行动改变、反馈整合与后续回访。</x:v>
      </x:c>
      <x:c r="O156" s="20" t="str">
        <x:v>由共享基础引擎判定；近位提高相关功能进入亲密关系核心的概率，远位只作背景或阶段修正。</x:v>
      </x:c>
      <x:c r="P156" s="20" t="str">
        <x:v>根气只修正某修复功能是否容易重复调用，不等于现实中已经持续改变。</x:v>
      </x:c>
      <x:c r="Q156" s="20" t="str">
        <x:v>旺弱只修正功能调用强度与占位，不直接等同修复质量、诚意或关系结果。</x:v>
      </x:c>
      <x:c r="R156" s="20" t="str">
        <x:v>喜忌只修正功能摩擦、平衡与承载，不直接等同道德、成熟、善恶或是否值得原谅。</x:v>
      </x:c>
      <x:c r="S156" s="20" t="str">
        <x:v>原十神功能有效；真合化成立时按化神功能替换，合化争议时停止定性。</x:v>
      </x:c>
      <x:c r="T156" s="20" t="str">
        <x:v>近位提高修复议题与亲密关系的直接相关性；远位仅保留背景、阶段或低置信修正。</x:v>
      </x:c>
      <x:c r="U156" s="20" t="str">
        <x:v>72</x:v>
      </x:c>
      <x:c r="V156" s="20" t="str">
        <x:v>结构＋4；现实事件＋4；反例－4至停止</x:v>
      </x:c>
      <x:c r="W156" s="20" t="str">
        <x:v>repair_blindspot</x:v>
      </x:c>
      <x:c r="X156" s="20" t="str">
        <x:v>该盲点描述过早关闭或功能替代，不等同人格缺陷。</x:v>
      </x:c>
      <x:c r="Y156" s="20" t="str">
        <x:v>把事情说清是重要一步，但还要确认这件事对你造成了什么影响。</x:v>
      </x:c>
      <x:c r="Z15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6" s="20" t="str">
        <x:v>中高</x:v>
      </x:c>
      <x:c r="AB156" s="20" t="str">
        <x:v>待验证</x:v>
      </x:c>
      <x:c r="AC156" s="20" t="str"/>
      <x:c r="AD156" s="20" t="str">
        <x:v>provisional=true；M3-REPAIR尚未完成，完成条件为暂定功能模型。</x:v>
      </x:c>
      <x:c r="AE156" s="52" t="str">
        <x:v>0.7</x:v>
      </x:c>
    </x:row>
    <x:row r="157">
      <x:c r="A157" s="51" t="str">
        <x:v>M4-REPAIR-156</x:v>
      </x:c>
      <x:c r="B157" s="20" t="str">
        <x:v>RB02 事实说清等同影响被理解｜成立证据</x:v>
      </x:c>
      <x:c r="C157" s="20" t="str">
        <x:v>L3 修复盲点与过早关闭</x:v>
      </x:c>
      <x:c r="D157" s="20" t="str">
        <x:v>REPAIR-修复盲点</x:v>
      </x:c>
      <x:c r="E157" s="20" t="str">
        <x:v>通用</x:v>
      </x:c>
      <x:c r="F157" s="20" t="str">
        <x:v>证据</x:v>
      </x:c>
      <x:c r="G157" s="20" t="str">
        <x:v>RB02</x:v>
      </x:c>
      <x:c r="H157" s="20" t="str"/>
      <x:c r="I157" s="20" t="str">
        <x:v>RN02有效但RN03不足，并有具体事件顺序。</x:v>
      </x:c>
      <x:c r="J157" s="20" t="str">
        <x:v>相应节点已有稳定现实证据。</x:v>
      </x:c>
      <x:c r="K157" s="20" t="str">
        <x:v>由共享基础引擎提供；仅修正修复功能的承载、持续与压力占位，不直接等同是否愿意认错或能否修复。</x:v>
      </x:c>
      <x:c r="L157" s="20" t="str">
        <x:v>由M1／M2提供；夫妻星只说明伴侣原型与关系资格，不单独证明修复能力、修复意愿或修复结果。</x:v>
      </x:c>
      <x:c r="M157" s="20" t="str">
        <x:v>由M3-BASE提供；日支底盘说明亲密关系中自然调用的功能，但不能单独证明修复闭环。</x:v>
      </x:c>
      <x:c r="N157" s="20" t="str">
        <x:v>由M3-CONFLICT、M4-LOOP及现实事件提供；必须区分问题停止、责任承担、影响确认、行动改变、反馈整合与后续回访。</x:v>
      </x:c>
      <x:c r="O157" s="20" t="str">
        <x:v>由共享基础引擎判定；近位提高相关功能进入亲密关系核心的概率，远位只作背景或阶段修正。</x:v>
      </x:c>
      <x:c r="P157" s="20" t="str">
        <x:v>根气只修正某修复功能是否容易重复调用，不等于现实中已经持续改变。</x:v>
      </x:c>
      <x:c r="Q157" s="20" t="str">
        <x:v>旺弱只修正功能调用强度与占位，不直接等同修复质量、诚意或关系结果。</x:v>
      </x:c>
      <x:c r="R157" s="20" t="str">
        <x:v>喜忌只修正功能摩擦、平衡与承载，不直接等同道德、成熟、善恶或是否值得原谅。</x:v>
      </x:c>
      <x:c r="S157" s="20" t="str">
        <x:v>原十神功能有效；真合化成立时按化神功能替换，合化争议时停止定性。</x:v>
      </x:c>
      <x:c r="T157" s="20" t="str">
        <x:v>近位提高修复议题与亲密关系的直接相关性；远位仅保留背景、阶段或低置信修正。</x:v>
      </x:c>
      <x:c r="U157" s="20" t="str">
        <x:v>86</x:v>
      </x:c>
      <x:c r="V157" s="20" t="str">
        <x:v>结构＋4；现实事件＋4；反例－4至停止</x:v>
      </x:c>
      <x:c r="W157" s="20" t="str">
        <x:v>repair_blindspot</x:v>
      </x:c>
      <x:c r="X157" s="20" t="str">
        <x:v>缺失节点必须由现实资料确认，不能只凭结构推测。</x:v>
      </x:c>
      <x:c r="Y157" s="20" t="str">
        <x:v>需要继续检查：RN02有效但RN03不足。</x:v>
      </x:c>
      <x:c r="Z15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7" s="20" t="str">
        <x:v>中高</x:v>
      </x:c>
      <x:c r="AB157" s="20" t="str">
        <x:v>待验证</x:v>
      </x:c>
      <x:c r="AC157" s="20" t="str"/>
      <x:c r="AD157" s="20" t="str">
        <x:v>provisional=true；M3-REPAIR尚未完成，完成条件为暂定功能模型。</x:v>
      </x:c>
      <x:c r="AE157" s="52" t="str">
        <x:v>0.7</x:v>
      </x:c>
    </x:row>
    <x:row r="158">
      <x:c r="A158" s="51" t="str">
        <x:v>M4-REPAIR-157</x:v>
      </x:c>
      <x:c r="B158" s="20" t="str">
        <x:v>RB02 事实说清等同影响被理解｜典型路由</x:v>
      </x:c>
      <x:c r="C158" s="20" t="str">
        <x:v>L3 修复盲点与过早关闭</x:v>
      </x:c>
      <x:c r="D158" s="20" t="str">
        <x:v>REPAIR-修复盲点</x:v>
      </x:c>
      <x:c r="E158" s="20" t="str">
        <x:v>通用</x:v>
      </x:c>
      <x:c r="F158" s="20" t="str">
        <x:v>路由</x:v>
      </x:c>
      <x:c r="G158" s="20" t="str">
        <x:v>RB02</x:v>
      </x:c>
      <x:c r="H158" s="20" t="str"/>
      <x:c r="I158" s="20" t="str">
        <x:v>前一步修复动作已经出现，但下一项必要任务没有进入。</x:v>
      </x:c>
      <x:c r="J158" s="20" t="str">
        <x:v>前后顺序完整且接收方反馈有效。</x:v>
      </x:c>
      <x:c r="K158" s="20" t="str">
        <x:v>由共享基础引擎提供；仅修正修复功能的承载、持续与压力占位，不直接等同是否愿意认错或能否修复。</x:v>
      </x:c>
      <x:c r="L158" s="20" t="str">
        <x:v>由M1／M2提供；夫妻星只说明伴侣原型与关系资格，不单独证明修复能力、修复意愿或修复结果。</x:v>
      </x:c>
      <x:c r="M158" s="20" t="str">
        <x:v>由M3-BASE提供；日支底盘说明亲密关系中自然调用的功能，但不能单独证明修复闭环。</x:v>
      </x:c>
      <x:c r="N158" s="20" t="str">
        <x:v>由M3-CONFLICT、M4-LOOP及现实事件提供；必须区分问题停止、责任承担、影响确认、行动改变、反馈整合与后续回访。</x:v>
      </x:c>
      <x:c r="O158" s="20" t="str">
        <x:v>由共享基础引擎判定；近位提高相关功能进入亲密关系核心的概率，远位只作背景或阶段修正。</x:v>
      </x:c>
      <x:c r="P158" s="20" t="str">
        <x:v>根气只修正某修复功能是否容易重复调用，不等于现实中已经持续改变。</x:v>
      </x:c>
      <x:c r="Q158" s="20" t="str">
        <x:v>旺弱只修正功能调用强度与占位，不直接等同修复质量、诚意或关系结果。</x:v>
      </x:c>
      <x:c r="R158" s="20" t="str">
        <x:v>喜忌只修正功能摩擦、平衡与承载，不直接等同道德、成熟、善恶或是否值得原谅。</x:v>
      </x:c>
      <x:c r="S158" s="20" t="str">
        <x:v>原十神功能有效；真合化成立时按化神功能替换，合化争议时停止定性。</x:v>
      </x:c>
      <x:c r="T158" s="20" t="str">
        <x:v>近位提高修复议题与亲密关系的直接相关性；远位仅保留背景、阶段或低置信修正。</x:v>
      </x:c>
      <x:c r="U158" s="20" t="str">
        <x:v>72</x:v>
      </x:c>
      <x:c r="V158" s="20" t="str">
        <x:v>结构＋4；现实事件＋4；反例－4至停止</x:v>
      </x:c>
      <x:c r="W158" s="20" t="str">
        <x:v>repair_blindspot</x:v>
      </x:c>
      <x:c r="X158" s="20" t="str">
        <x:v>路由说明卡点发生在哪里。</x:v>
      </x:c>
      <x:c r="Y158" s="20" t="str">
        <x:v>目前更像是前一步完成后，下一步没有顺利接上。</x:v>
      </x:c>
      <x:c r="Z15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8" s="20" t="str">
        <x:v>中高</x:v>
      </x:c>
      <x:c r="AB158" s="20" t="str">
        <x:v>待验证</x:v>
      </x:c>
      <x:c r="AC158" s="20" t="str"/>
      <x:c r="AD158" s="20" t="str">
        <x:v>provisional=true；M3-REPAIR尚未完成，完成条件为暂定功能模型。</x:v>
      </x:c>
      <x:c r="AE158" s="52" t="str">
        <x:v>0.7</x:v>
      </x:c>
    </x:row>
    <x:row r="159">
      <x:c r="A159" s="51" t="str">
        <x:v>M4-REPAIR-158</x:v>
      </x:c>
      <x:c r="B159" s="20" t="str">
        <x:v>RB02 事实说清等同影响被理解｜反例与替代解释</x:v>
      </x:c>
      <x:c r="C159" s="20" t="str">
        <x:v>L3 修复盲点与过早关闭</x:v>
      </x:c>
      <x:c r="D159" s="20" t="str">
        <x:v>REPAIR-修复盲点</x:v>
      </x:c>
      <x:c r="E159" s="20" t="str">
        <x:v>通用</x:v>
      </x:c>
      <x:c r="F159" s="20" t="str">
        <x:v>反例</x:v>
      </x:c>
      <x:c r="G159" s="20" t="str">
        <x:v>RB02</x:v>
      </x:c>
      <x:c r="H159" s="20" t="str"/>
      <x:c r="I159" s="20" t="str">
        <x:v>检查事件强度、双方意愿、时间不足、合理拒绝和安全因素。</x:v>
      </x:c>
      <x:c r="J159" s="20" t="str">
        <x:v>忽略成功修复或把合理边界当卡点。</x:v>
      </x:c>
      <x:c r="K159" s="20" t="str">
        <x:v>由共享基础引擎提供；仅修正修复功能的承载、持续与压力占位，不直接等同是否愿意认错或能否修复。</x:v>
      </x:c>
      <x:c r="L159" s="20" t="str">
        <x:v>由M1／M2提供；夫妻星只说明伴侣原型与关系资格，不单独证明修复能力、修复意愿或修复结果。</x:v>
      </x:c>
      <x:c r="M159" s="20" t="str">
        <x:v>由M3-BASE提供；日支底盘说明亲密关系中自然调用的功能，但不能单独证明修复闭环。</x:v>
      </x:c>
      <x:c r="N159" s="20" t="str">
        <x:v>由M3-CONFLICT、M4-LOOP及现实事件提供；必须区分问题停止、责任承担、影响确认、行动改变、反馈整合与后续回访。</x:v>
      </x:c>
      <x:c r="O159" s="20" t="str">
        <x:v>由共享基础引擎判定；近位提高相关功能进入亲密关系核心的概率，远位只作背景或阶段修正。</x:v>
      </x:c>
      <x:c r="P159" s="20" t="str">
        <x:v>根气只修正某修复功能是否容易重复调用，不等于现实中已经持续改变。</x:v>
      </x:c>
      <x:c r="Q159" s="20" t="str">
        <x:v>旺弱只修正功能调用强度与占位，不直接等同修复质量、诚意或关系结果。</x:v>
      </x:c>
      <x:c r="R159" s="20" t="str">
        <x:v>喜忌只修正功能摩擦、平衡与承载，不直接等同道德、成熟、善恶或是否值得原谅。</x:v>
      </x:c>
      <x:c r="S159" s="20" t="str">
        <x:v>原十神功能有效；真合化成立时按化神功能替换，合化争议时停止定性。</x:v>
      </x:c>
      <x:c r="T159" s="20" t="str">
        <x:v>近位提高修复议题与亲密关系的直接相关性；远位仅保留背景、阶段或低置信修正。</x:v>
      </x:c>
      <x:c r="U159" s="20" t="str">
        <x:v>86</x:v>
      </x:c>
      <x:c r="V159" s="20" t="str">
        <x:v>结构＋4；现实事件＋4；反例－4至停止</x:v>
      </x:c>
      <x:c r="W159" s="20" t="str">
        <x:v>repair_blindspot</x:v>
      </x:c>
      <x:c r="X159" s="20" t="str">
        <x:v>同一表面结果可能来自合理暂停、信息不足或不愿继续关系。</x:v>
      </x:c>
      <x:c r="Y159" s="20" t="str">
        <x:v>也要检查这是否只是合理暂停、资料不足，或对方选择不继续，而不是修复能力问题。</x:v>
      </x:c>
      <x:c r="Z15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59" s="20" t="str">
        <x:v>中高</x:v>
      </x:c>
      <x:c r="AB159" s="20" t="str">
        <x:v>待验证</x:v>
      </x:c>
      <x:c r="AC159" s="20" t="str"/>
      <x:c r="AD159" s="20" t="str">
        <x:v>provisional=true；M3-REPAIR尚未完成，完成条件为暂定功能模型。</x:v>
      </x:c>
      <x:c r="AE159" s="52" t="str">
        <x:v>0.7</x:v>
      </x:c>
    </x:row>
    <x:row r="160">
      <x:c r="A160" s="51" t="str">
        <x:v>M4-REPAIR-159</x:v>
      </x:c>
      <x:c r="B160" s="20" t="str">
        <x:v>RB02 事实说清等同影响被理解｜用户输出</x:v>
      </x:c>
      <x:c r="C160" s="20" t="str">
        <x:v>L3 修复盲点与过早关闭</x:v>
      </x:c>
      <x:c r="D160" s="20" t="str">
        <x:v>REPAIR-修复盲点</x:v>
      </x:c>
      <x:c r="E160" s="20" t="str">
        <x:v>通用</x:v>
      </x:c>
      <x:c r="F160" s="20" t="str">
        <x:v>输出</x:v>
      </x:c>
      <x:c r="G160" s="20" t="str">
        <x:v>RB02</x:v>
      </x:c>
      <x:c r="H160" s="20" t="str"/>
      <x:c r="I160" s="20" t="str">
        <x:v>该盲点达到E2或以上，并完成反例检查。</x:v>
      </x:c>
      <x:c r="J160" s="20" t="str">
        <x:v>资料不足或安全停止。</x:v>
      </x:c>
      <x:c r="K160" s="20" t="str">
        <x:v>由共享基础引擎提供；仅修正修复功能的承载、持续与压力占位，不直接等同是否愿意认错或能否修复。</x:v>
      </x:c>
      <x:c r="L160" s="20" t="str">
        <x:v>由M1／M2提供；夫妻星只说明伴侣原型与关系资格，不单独证明修复能力、修复意愿或修复结果。</x:v>
      </x:c>
      <x:c r="M160" s="20" t="str">
        <x:v>由M3-BASE提供；日支底盘说明亲密关系中自然调用的功能，但不能单独证明修复闭环。</x:v>
      </x:c>
      <x:c r="N160" s="20" t="str">
        <x:v>由M3-CONFLICT、M4-LOOP及现实事件提供；必须区分问题停止、责任承担、影响确认、行动改变、反馈整合与后续回访。</x:v>
      </x:c>
      <x:c r="O160" s="20" t="str">
        <x:v>由共享基础引擎判定；近位提高相关功能进入亲密关系核心的概率，远位只作背景或阶段修正。</x:v>
      </x:c>
      <x:c r="P160" s="20" t="str">
        <x:v>根气只修正某修复功能是否容易重复调用，不等于现实中已经持续改变。</x:v>
      </x:c>
      <x:c r="Q160" s="20" t="str">
        <x:v>旺弱只修正功能调用强度与占位，不直接等同修复质量、诚意或关系结果。</x:v>
      </x:c>
      <x:c r="R160" s="20" t="str">
        <x:v>喜忌只修正功能摩擦、平衡与承载，不直接等同道德、成熟、善恶或是否值得原谅。</x:v>
      </x:c>
      <x:c r="S160" s="20" t="str">
        <x:v>原十神功能有效；真合化成立时按化神功能替换，合化争议时停止定性。</x:v>
      </x:c>
      <x:c r="T160" s="20" t="str">
        <x:v>近位提高修复议题与亲密关系的直接相关性；远位仅保留背景、阶段或低置信修正。</x:v>
      </x:c>
      <x:c r="U160" s="20" t="str">
        <x:v>72</x:v>
      </x:c>
      <x:c r="V160" s="20" t="str">
        <x:v>结构＋4；现实事件＋4；反例－4至停止</x:v>
      </x:c>
      <x:c r="W160" s="20" t="str">
        <x:v>repair_blindspot</x:v>
      </x:c>
      <x:c r="X160" s="20" t="str">
        <x:v>语言应说明“已完成什么、缺什么、如何验证”。</x:v>
      </x:c>
      <x:c r="Y160" s="20" t="str">
        <x:v>把事情说清是重要一步，但还要确认这件事对你造成了什么影响。</x:v>
      </x:c>
      <x:c r="Z16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0" s="20" t="str">
        <x:v>中高</x:v>
      </x:c>
      <x:c r="AB160" s="20" t="str">
        <x:v>待验证</x:v>
      </x:c>
      <x:c r="AC160" s="20" t="str"/>
      <x:c r="AD160" s="20" t="str">
        <x:v>provisional=true；M3-REPAIR尚未完成，完成条件为暂定功能模型。</x:v>
      </x:c>
      <x:c r="AE160" s="52" t="str">
        <x:v>0.7</x:v>
      </x:c>
    </x:row>
    <x:row r="161">
      <x:c r="A161" s="51" t="str">
        <x:v>M4-REPAIR-160</x:v>
      </x:c>
      <x:c r="B161" s="20" t="str">
        <x:v>RB02 事实说清等同影响被理解｜退出条件</x:v>
      </x:c>
      <x:c r="C161" s="20" t="str">
        <x:v>L3 修复盲点与过早关闭</x:v>
      </x:c>
      <x:c r="D161" s="20" t="str">
        <x:v>REPAIR-修复盲点</x:v>
      </x:c>
      <x:c r="E161" s="20" t="str">
        <x:v>通用</x:v>
      </x:c>
      <x:c r="F161" s="20" t="str">
        <x:v>保护</x:v>
      </x:c>
      <x:c r="G161" s="20" t="str">
        <x:v>RB02</x:v>
      </x:c>
      <x:c r="H161" s="20" t="str"/>
      <x:c r="I161" s="20" t="str">
        <x:v>在事实之后增加影响复述和接收方校验。</x:v>
      </x:c>
      <x:c r="J161" s="20" t="str">
        <x:v>只给抽象建议，没有可观察节点。</x:v>
      </x:c>
      <x:c r="K161" s="20" t="str">
        <x:v>由共享基础引擎提供；仅修正修复功能的承载、持续与压力占位，不直接等同是否愿意认错或能否修复。</x:v>
      </x:c>
      <x:c r="L161" s="20" t="str">
        <x:v>由M1／M2提供；夫妻星只说明伴侣原型与关系资格，不单独证明修复能力、修复意愿或修复结果。</x:v>
      </x:c>
      <x:c r="M161" s="20" t="str">
        <x:v>由M3-BASE提供；日支底盘说明亲密关系中自然调用的功能，但不能单独证明修复闭环。</x:v>
      </x:c>
      <x:c r="N161" s="20" t="str">
        <x:v>由M3-CONFLICT、M4-LOOP及现实事件提供；必须区分问题停止、责任承担、影响确认、行动改变、反馈整合与后续回访。</x:v>
      </x:c>
      <x:c r="O161" s="20" t="str">
        <x:v>由共享基础引擎判定；近位提高相关功能进入亲密关系核心的概率，远位只作背景或阶段修正。</x:v>
      </x:c>
      <x:c r="P161" s="20" t="str">
        <x:v>根气只修正某修复功能是否容易重复调用，不等于现实中已经持续改变。</x:v>
      </x:c>
      <x:c r="Q161" s="20" t="str">
        <x:v>旺弱只修正功能调用强度与占位，不直接等同修复质量、诚意或关系结果。</x:v>
      </x:c>
      <x:c r="R161" s="20" t="str">
        <x:v>喜忌只修正功能摩擦、平衡与承载，不直接等同道德、成熟、善恶或是否值得原谅。</x:v>
      </x:c>
      <x:c r="S161" s="20" t="str">
        <x:v>原十神功能有效；真合化成立时按化神功能替换，合化争议时停止定性。</x:v>
      </x:c>
      <x:c r="T161" s="20" t="str">
        <x:v>近位提高修复议题与亲密关系的直接相关性；远位仅保留背景、阶段或低置信修正。</x:v>
      </x:c>
      <x:c r="U161" s="20" t="str">
        <x:v>72</x:v>
      </x:c>
      <x:c r="V161" s="20" t="str">
        <x:v>结构＋4；现实事件＋4；反例－4至停止</x:v>
      </x:c>
      <x:c r="W161" s="20" t="str">
        <x:v>repair_blindspot</x:v>
      </x:c>
      <x:c r="X161" s="20" t="str">
        <x:v>退出条件必须能改变具体修复链，而不是要求人格改变。</x:v>
      </x:c>
      <x:c r="Y161" s="20" t="str">
        <x:v>中断这个卡点的关键是：在事实之后增加影响复述和接收方校验。</x:v>
      </x:c>
      <x:c r="Z16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1" s="20" t="str">
        <x:v>中高</x:v>
      </x:c>
      <x:c r="AB161" s="20" t="str">
        <x:v>待验证</x:v>
      </x:c>
      <x:c r="AC161" s="20" t="str"/>
      <x:c r="AD161" s="20" t="str">
        <x:v>provisional=true；M3-REPAIR尚未完成，完成条件为暂定功能模型。</x:v>
      </x:c>
      <x:c r="AE161" s="52" t="str">
        <x:v>0.7</x:v>
      </x:c>
    </x:row>
    <x:row r="162">
      <x:c r="A162" s="51" t="str">
        <x:v>M4-REPAIR-161</x:v>
      </x:c>
      <x:c r="B162" s="20" t="str">
        <x:v>RB03 解释原因等同责任承担｜机制定义</x:v>
      </x:c>
      <x:c r="C162" s="20" t="str">
        <x:v>L3 修复盲点与过早关闭</x:v>
      </x:c>
      <x:c r="D162" s="20" t="str">
        <x:v>REPAIR-修复盲点</x:v>
      </x:c>
      <x:c r="E162" s="20" t="str">
        <x:v>通用</x:v>
      </x:c>
      <x:c r="F162" s="20" t="str">
        <x:v>定义</x:v>
      </x:c>
      <x:c r="G162" s="20" t="str">
        <x:v>RB03</x:v>
      </x:c>
      <x:c r="H162" s="20" t="str"/>
      <x:c r="I162" s="20" t="str">
        <x:v>存在“解释原因等同责任承担”的候选顺序。</x:v>
      </x:c>
      <x:c r="J162" s="20" t="str">
        <x:v>只凭十神标签或一次模糊事件。</x:v>
      </x:c>
      <x:c r="K162" s="20" t="str">
        <x:v>由共享基础引擎提供；仅修正修复功能的承载、持续与压力占位，不直接等同是否愿意认错或能否修复。</x:v>
      </x:c>
      <x:c r="L162" s="20" t="str">
        <x:v>由M1／M2提供；夫妻星只说明伴侣原型与关系资格，不单独证明修复能力、修复意愿或修复结果。</x:v>
      </x:c>
      <x:c r="M162" s="20" t="str">
        <x:v>由M3-BASE提供；日支底盘说明亲密关系中自然调用的功能，但不能单独证明修复闭环。</x:v>
      </x:c>
      <x:c r="N162" s="20" t="str">
        <x:v>由M3-CONFLICT、M4-LOOP及现实事件提供；必须区分问题停止、责任承担、影响确认、行动改变、反馈整合与后续回访。</x:v>
      </x:c>
      <x:c r="O162" s="20" t="str">
        <x:v>由共享基础引擎判定；近位提高相关功能进入亲密关系核心的概率，远位只作背景或阶段修正。</x:v>
      </x:c>
      <x:c r="P162" s="20" t="str">
        <x:v>根气只修正某修复功能是否容易重复调用，不等于现实中已经持续改变。</x:v>
      </x:c>
      <x:c r="Q162" s="20" t="str">
        <x:v>旺弱只修正功能调用强度与占位，不直接等同修复质量、诚意或关系结果。</x:v>
      </x:c>
      <x:c r="R162" s="20" t="str">
        <x:v>喜忌只修正功能摩擦、平衡与承载，不直接等同道德、成熟、善恶或是否值得原谅。</x:v>
      </x:c>
      <x:c r="S162" s="20" t="str">
        <x:v>原十神功能有效；真合化成立时按化神功能替换，合化争议时停止定性。</x:v>
      </x:c>
      <x:c r="T162" s="20" t="str">
        <x:v>近位提高修复议题与亲密关系的直接相关性；远位仅保留背景、阶段或低置信修正。</x:v>
      </x:c>
      <x:c r="U162" s="20" t="str">
        <x:v>72</x:v>
      </x:c>
      <x:c r="V162" s="20" t="str">
        <x:v>结构＋4；现实事件＋4；反例－4至停止</x:v>
      </x:c>
      <x:c r="W162" s="20" t="str">
        <x:v>repair_blindspot</x:v>
      </x:c>
      <x:c r="X162" s="20" t="str">
        <x:v>该盲点描述过早关闭或功能替代，不等同人格缺陷。</x:v>
      </x:c>
      <x:c r="Y162" s="20" t="str">
        <x:v>解释为什么发生有助于理解，但还要明确谁对什么负责，以及接下来怎样不同。</x:v>
      </x:c>
      <x:c r="Z16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2" s="20" t="str">
        <x:v>中高</x:v>
      </x:c>
      <x:c r="AB162" s="20" t="str">
        <x:v>待验证</x:v>
      </x:c>
      <x:c r="AC162" s="20" t="str"/>
      <x:c r="AD162" s="20" t="str">
        <x:v>provisional=true；M3-REPAIR尚未完成，完成条件为暂定功能模型。</x:v>
      </x:c>
      <x:c r="AE162" s="52" t="str">
        <x:v>0.7</x:v>
      </x:c>
    </x:row>
    <x:row r="163">
      <x:c r="A163" s="51" t="str">
        <x:v>M4-REPAIR-162</x:v>
      </x:c>
      <x:c r="B163" s="20" t="str">
        <x:v>RB03 解释原因等同责任承担｜成立证据</x:v>
      </x:c>
      <x:c r="C163" s="20" t="str">
        <x:v>L3 修复盲点与过早关闭</x:v>
      </x:c>
      <x:c r="D163" s="20" t="str">
        <x:v>REPAIR-修复盲点</x:v>
      </x:c>
      <x:c r="E163" s="20" t="str">
        <x:v>通用</x:v>
      </x:c>
      <x:c r="F163" s="20" t="str">
        <x:v>证据</x:v>
      </x:c>
      <x:c r="G163" s="20" t="str">
        <x:v>RB03</x:v>
      </x:c>
      <x:c r="H163" s="20" t="str"/>
      <x:c r="I163" s="20" t="str">
        <x:v>RN04责任范围和RN06改变不足，并有具体事件顺序。</x:v>
      </x:c>
      <x:c r="J163" s="20" t="str">
        <x:v>相应节点已有稳定现实证据。</x:v>
      </x:c>
      <x:c r="K163" s="20" t="str">
        <x:v>由共享基础引擎提供；仅修正修复功能的承载、持续与压力占位，不直接等同是否愿意认错或能否修复。</x:v>
      </x:c>
      <x:c r="L163" s="20" t="str">
        <x:v>由M1／M2提供；夫妻星只说明伴侣原型与关系资格，不单独证明修复能力、修复意愿或修复结果。</x:v>
      </x:c>
      <x:c r="M163" s="20" t="str">
        <x:v>由M3-BASE提供；日支底盘说明亲密关系中自然调用的功能，但不能单独证明修复闭环。</x:v>
      </x:c>
      <x:c r="N163" s="20" t="str">
        <x:v>由M3-CONFLICT、M4-LOOP及现实事件提供；必须区分问题停止、责任承担、影响确认、行动改变、反馈整合与后续回访。</x:v>
      </x:c>
      <x:c r="O163" s="20" t="str">
        <x:v>由共享基础引擎判定；近位提高相关功能进入亲密关系核心的概率，远位只作背景或阶段修正。</x:v>
      </x:c>
      <x:c r="P163" s="20" t="str">
        <x:v>根气只修正某修复功能是否容易重复调用，不等于现实中已经持续改变。</x:v>
      </x:c>
      <x:c r="Q163" s="20" t="str">
        <x:v>旺弱只修正功能调用强度与占位，不直接等同修复质量、诚意或关系结果。</x:v>
      </x:c>
      <x:c r="R163" s="20" t="str">
        <x:v>喜忌只修正功能摩擦、平衡与承载，不直接等同道德、成熟、善恶或是否值得原谅。</x:v>
      </x:c>
      <x:c r="S163" s="20" t="str">
        <x:v>原十神功能有效；真合化成立时按化神功能替换，合化争议时停止定性。</x:v>
      </x:c>
      <x:c r="T163" s="20" t="str">
        <x:v>近位提高修复议题与亲密关系的直接相关性；远位仅保留背景、阶段或低置信修正。</x:v>
      </x:c>
      <x:c r="U163" s="20" t="str">
        <x:v>86</x:v>
      </x:c>
      <x:c r="V163" s="20" t="str">
        <x:v>结构＋4；现实事件＋4；反例－4至停止</x:v>
      </x:c>
      <x:c r="W163" s="20" t="str">
        <x:v>repair_blindspot</x:v>
      </x:c>
      <x:c r="X163" s="20" t="str">
        <x:v>缺失节点必须由现实资料确认，不能只凭结构推测。</x:v>
      </x:c>
      <x:c r="Y163" s="20" t="str">
        <x:v>需要继续检查：RN04责任范围和RN06改变不足。</x:v>
      </x:c>
      <x:c r="Z16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3" s="20" t="str">
        <x:v>中高</x:v>
      </x:c>
      <x:c r="AB163" s="20" t="str">
        <x:v>待验证</x:v>
      </x:c>
      <x:c r="AC163" s="20" t="str"/>
      <x:c r="AD163" s="20" t="str">
        <x:v>provisional=true；M3-REPAIR尚未完成，完成条件为暂定功能模型。</x:v>
      </x:c>
      <x:c r="AE163" s="52" t="str">
        <x:v>0.7</x:v>
      </x:c>
    </x:row>
    <x:row r="164">
      <x:c r="A164" s="51" t="str">
        <x:v>M4-REPAIR-163</x:v>
      </x:c>
      <x:c r="B164" s="20" t="str">
        <x:v>RB03 解释原因等同责任承担｜典型路由</x:v>
      </x:c>
      <x:c r="C164" s="20" t="str">
        <x:v>L3 修复盲点与过早关闭</x:v>
      </x:c>
      <x:c r="D164" s="20" t="str">
        <x:v>REPAIR-修复盲点</x:v>
      </x:c>
      <x:c r="E164" s="20" t="str">
        <x:v>通用</x:v>
      </x:c>
      <x:c r="F164" s="20" t="str">
        <x:v>路由</x:v>
      </x:c>
      <x:c r="G164" s="20" t="str">
        <x:v>RB03</x:v>
      </x:c>
      <x:c r="H164" s="20" t="str"/>
      <x:c r="I164" s="20" t="str">
        <x:v>前一步修复动作已经出现，但下一项必要任务没有进入。</x:v>
      </x:c>
      <x:c r="J164" s="20" t="str">
        <x:v>前后顺序完整且接收方反馈有效。</x:v>
      </x:c>
      <x:c r="K164" s="20" t="str">
        <x:v>由共享基础引擎提供；仅修正修复功能的承载、持续与压力占位，不直接等同是否愿意认错或能否修复。</x:v>
      </x:c>
      <x:c r="L164" s="20" t="str">
        <x:v>由M1／M2提供；夫妻星只说明伴侣原型与关系资格，不单独证明修复能力、修复意愿或修复结果。</x:v>
      </x:c>
      <x:c r="M164" s="20" t="str">
        <x:v>由M3-BASE提供；日支底盘说明亲密关系中自然调用的功能，但不能单独证明修复闭环。</x:v>
      </x:c>
      <x:c r="N164" s="20" t="str">
        <x:v>由M3-CONFLICT、M4-LOOP及现实事件提供；必须区分问题停止、责任承担、影响确认、行动改变、反馈整合与后续回访。</x:v>
      </x:c>
      <x:c r="O164" s="20" t="str">
        <x:v>由共享基础引擎判定；近位提高相关功能进入亲密关系核心的概率，远位只作背景或阶段修正。</x:v>
      </x:c>
      <x:c r="P164" s="20" t="str">
        <x:v>根气只修正某修复功能是否容易重复调用，不等于现实中已经持续改变。</x:v>
      </x:c>
      <x:c r="Q164" s="20" t="str">
        <x:v>旺弱只修正功能调用强度与占位，不直接等同修复质量、诚意或关系结果。</x:v>
      </x:c>
      <x:c r="R164" s="20" t="str">
        <x:v>喜忌只修正功能摩擦、平衡与承载，不直接等同道德、成熟、善恶或是否值得原谅。</x:v>
      </x:c>
      <x:c r="S164" s="20" t="str">
        <x:v>原十神功能有效；真合化成立时按化神功能替换，合化争议时停止定性。</x:v>
      </x:c>
      <x:c r="T164" s="20" t="str">
        <x:v>近位提高修复议题与亲密关系的直接相关性；远位仅保留背景、阶段或低置信修正。</x:v>
      </x:c>
      <x:c r="U164" s="20" t="str">
        <x:v>72</x:v>
      </x:c>
      <x:c r="V164" s="20" t="str">
        <x:v>结构＋4；现实事件＋4；反例－4至停止</x:v>
      </x:c>
      <x:c r="W164" s="20" t="str">
        <x:v>repair_blindspot</x:v>
      </x:c>
      <x:c r="X164" s="20" t="str">
        <x:v>路由说明卡点发生在哪里。</x:v>
      </x:c>
      <x:c r="Y164" s="20" t="str">
        <x:v>目前更像是前一步完成后，下一步没有顺利接上。</x:v>
      </x:c>
      <x:c r="Z16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4" s="20" t="str">
        <x:v>中高</x:v>
      </x:c>
      <x:c r="AB164" s="20" t="str">
        <x:v>待验证</x:v>
      </x:c>
      <x:c r="AC164" s="20" t="str"/>
      <x:c r="AD164" s="20" t="str">
        <x:v>provisional=true；M3-REPAIR尚未完成，完成条件为暂定功能模型。</x:v>
      </x:c>
      <x:c r="AE164" s="52" t="str">
        <x:v>0.7</x:v>
      </x:c>
    </x:row>
    <x:row r="165">
      <x:c r="A165" s="51" t="str">
        <x:v>M4-REPAIR-164</x:v>
      </x:c>
      <x:c r="B165" s="20" t="str">
        <x:v>RB03 解释原因等同责任承担｜反例与替代解释</x:v>
      </x:c>
      <x:c r="C165" s="20" t="str">
        <x:v>L3 修复盲点与过早关闭</x:v>
      </x:c>
      <x:c r="D165" s="20" t="str">
        <x:v>REPAIR-修复盲点</x:v>
      </x:c>
      <x:c r="E165" s="20" t="str">
        <x:v>通用</x:v>
      </x:c>
      <x:c r="F165" s="20" t="str">
        <x:v>反例</x:v>
      </x:c>
      <x:c r="G165" s="20" t="str">
        <x:v>RB03</x:v>
      </x:c>
      <x:c r="H165" s="20" t="str"/>
      <x:c r="I165" s="20" t="str">
        <x:v>检查事件强度、双方意愿、时间不足、合理拒绝和安全因素。</x:v>
      </x:c>
      <x:c r="J165" s="20" t="str">
        <x:v>忽略成功修复或把合理边界当卡点。</x:v>
      </x:c>
      <x:c r="K165" s="20" t="str">
        <x:v>由共享基础引擎提供；仅修正修复功能的承载、持续与压力占位，不直接等同是否愿意认错或能否修复。</x:v>
      </x:c>
      <x:c r="L165" s="20" t="str">
        <x:v>由M1／M2提供；夫妻星只说明伴侣原型与关系资格，不单独证明修复能力、修复意愿或修复结果。</x:v>
      </x:c>
      <x:c r="M165" s="20" t="str">
        <x:v>由M3-BASE提供；日支底盘说明亲密关系中自然调用的功能，但不能单独证明修复闭环。</x:v>
      </x:c>
      <x:c r="N165" s="20" t="str">
        <x:v>由M3-CONFLICT、M4-LOOP及现实事件提供；必须区分问题停止、责任承担、影响确认、行动改变、反馈整合与后续回访。</x:v>
      </x:c>
      <x:c r="O165" s="20" t="str">
        <x:v>由共享基础引擎判定；近位提高相关功能进入亲密关系核心的概率，远位只作背景或阶段修正。</x:v>
      </x:c>
      <x:c r="P165" s="20" t="str">
        <x:v>根气只修正某修复功能是否容易重复调用，不等于现实中已经持续改变。</x:v>
      </x:c>
      <x:c r="Q165" s="20" t="str">
        <x:v>旺弱只修正功能调用强度与占位，不直接等同修复质量、诚意或关系结果。</x:v>
      </x:c>
      <x:c r="R165" s="20" t="str">
        <x:v>喜忌只修正功能摩擦、平衡与承载，不直接等同道德、成熟、善恶或是否值得原谅。</x:v>
      </x:c>
      <x:c r="S165" s="20" t="str">
        <x:v>原十神功能有效；真合化成立时按化神功能替换，合化争议时停止定性。</x:v>
      </x:c>
      <x:c r="T165" s="20" t="str">
        <x:v>近位提高修复议题与亲密关系的直接相关性；远位仅保留背景、阶段或低置信修正。</x:v>
      </x:c>
      <x:c r="U165" s="20" t="str">
        <x:v>86</x:v>
      </x:c>
      <x:c r="V165" s="20" t="str">
        <x:v>结构＋4；现实事件＋4；反例－4至停止</x:v>
      </x:c>
      <x:c r="W165" s="20" t="str">
        <x:v>repair_blindspot</x:v>
      </x:c>
      <x:c r="X165" s="20" t="str">
        <x:v>同一表面结果可能来自合理暂停、信息不足或不愿继续关系。</x:v>
      </x:c>
      <x:c r="Y165" s="20" t="str">
        <x:v>也要检查这是否只是合理暂停、资料不足，或对方选择不继续，而不是修复能力问题。</x:v>
      </x:c>
      <x:c r="Z16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5" s="20" t="str">
        <x:v>中高</x:v>
      </x:c>
      <x:c r="AB165" s="20" t="str">
        <x:v>待验证</x:v>
      </x:c>
      <x:c r="AC165" s="20" t="str"/>
      <x:c r="AD165" s="20" t="str">
        <x:v>provisional=true；M3-REPAIR尚未完成，完成条件为暂定功能模型。</x:v>
      </x:c>
      <x:c r="AE165" s="52" t="str">
        <x:v>0.7</x:v>
      </x:c>
    </x:row>
    <x:row r="166">
      <x:c r="A166" s="51" t="str">
        <x:v>M4-REPAIR-165</x:v>
      </x:c>
      <x:c r="B166" s="20" t="str">
        <x:v>RB03 解释原因等同责任承担｜用户输出</x:v>
      </x:c>
      <x:c r="C166" s="20" t="str">
        <x:v>L3 修复盲点与过早关闭</x:v>
      </x:c>
      <x:c r="D166" s="20" t="str">
        <x:v>REPAIR-修复盲点</x:v>
      </x:c>
      <x:c r="E166" s="20" t="str">
        <x:v>通用</x:v>
      </x:c>
      <x:c r="F166" s="20" t="str">
        <x:v>输出</x:v>
      </x:c>
      <x:c r="G166" s="20" t="str">
        <x:v>RB03</x:v>
      </x:c>
      <x:c r="H166" s="20" t="str"/>
      <x:c r="I166" s="20" t="str">
        <x:v>该盲点达到E2或以上，并完成反例检查。</x:v>
      </x:c>
      <x:c r="J166" s="20" t="str">
        <x:v>资料不足或安全停止。</x:v>
      </x:c>
      <x:c r="K166" s="20" t="str">
        <x:v>由共享基础引擎提供；仅修正修复功能的承载、持续与压力占位，不直接等同是否愿意认错或能否修复。</x:v>
      </x:c>
      <x:c r="L166" s="20" t="str">
        <x:v>由M1／M2提供；夫妻星只说明伴侣原型与关系资格，不单独证明修复能力、修复意愿或修复结果。</x:v>
      </x:c>
      <x:c r="M166" s="20" t="str">
        <x:v>由M3-BASE提供；日支底盘说明亲密关系中自然调用的功能，但不能单独证明修复闭环。</x:v>
      </x:c>
      <x:c r="N166" s="20" t="str">
        <x:v>由M3-CONFLICT、M4-LOOP及现实事件提供；必须区分问题停止、责任承担、影响确认、行动改变、反馈整合与后续回访。</x:v>
      </x:c>
      <x:c r="O166" s="20" t="str">
        <x:v>由共享基础引擎判定；近位提高相关功能进入亲密关系核心的概率，远位只作背景或阶段修正。</x:v>
      </x:c>
      <x:c r="P166" s="20" t="str">
        <x:v>根气只修正某修复功能是否容易重复调用，不等于现实中已经持续改变。</x:v>
      </x:c>
      <x:c r="Q166" s="20" t="str">
        <x:v>旺弱只修正功能调用强度与占位，不直接等同修复质量、诚意或关系结果。</x:v>
      </x:c>
      <x:c r="R166" s="20" t="str">
        <x:v>喜忌只修正功能摩擦、平衡与承载，不直接等同道德、成熟、善恶或是否值得原谅。</x:v>
      </x:c>
      <x:c r="S166" s="20" t="str">
        <x:v>原十神功能有效；真合化成立时按化神功能替换，合化争议时停止定性。</x:v>
      </x:c>
      <x:c r="T166" s="20" t="str">
        <x:v>近位提高修复议题与亲密关系的直接相关性；远位仅保留背景、阶段或低置信修正。</x:v>
      </x:c>
      <x:c r="U166" s="20" t="str">
        <x:v>72</x:v>
      </x:c>
      <x:c r="V166" s="20" t="str">
        <x:v>结构＋4；现实事件＋4；反例－4至停止</x:v>
      </x:c>
      <x:c r="W166" s="20" t="str">
        <x:v>repair_blindspot</x:v>
      </x:c>
      <x:c r="X166" s="20" t="str">
        <x:v>语言应说明“已完成什么、缺什么、如何验证”。</x:v>
      </x:c>
      <x:c r="Y166" s="20" t="str">
        <x:v>解释为什么发生有助于理解，但还要明确谁对什么负责，以及接下来怎样不同。</x:v>
      </x:c>
      <x:c r="Z16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6" s="20" t="str">
        <x:v>中高</x:v>
      </x:c>
      <x:c r="AB166" s="20" t="str">
        <x:v>待验证</x:v>
      </x:c>
      <x:c r="AC166" s="20" t="str"/>
      <x:c r="AD166" s="20" t="str">
        <x:v>provisional=true；M3-REPAIR尚未完成，完成条件为暂定功能模型。</x:v>
      </x:c>
      <x:c r="AE166" s="52" t="str">
        <x:v>0.7</x:v>
      </x:c>
    </x:row>
    <x:row r="167">
      <x:c r="A167" s="51" t="str">
        <x:v>M4-REPAIR-166</x:v>
      </x:c>
      <x:c r="B167" s="20" t="str">
        <x:v>RB03 解释原因等同责任承担｜退出条件</x:v>
      </x:c>
      <x:c r="C167" s="20" t="str">
        <x:v>L3 修复盲点与过早关闭</x:v>
      </x:c>
      <x:c r="D167" s="20" t="str">
        <x:v>REPAIR-修复盲点</x:v>
      </x:c>
      <x:c r="E167" s="20" t="str">
        <x:v>通用</x:v>
      </x:c>
      <x:c r="F167" s="20" t="str">
        <x:v>保护</x:v>
      </x:c>
      <x:c r="G167" s="20" t="str">
        <x:v>RB03</x:v>
      </x:c>
      <x:c r="H167" s="20" t="str"/>
      <x:c r="I167" s="20" t="str">
        <x:v>原因说明与责任承担分栏记录。</x:v>
      </x:c>
      <x:c r="J167" s="20" t="str">
        <x:v>只给抽象建议，没有可观察节点。</x:v>
      </x:c>
      <x:c r="K167" s="20" t="str">
        <x:v>由共享基础引擎提供；仅修正修复功能的承载、持续与压力占位，不直接等同是否愿意认错或能否修复。</x:v>
      </x:c>
      <x:c r="L167" s="20" t="str">
        <x:v>由M1／M2提供；夫妻星只说明伴侣原型与关系资格，不单独证明修复能力、修复意愿或修复结果。</x:v>
      </x:c>
      <x:c r="M167" s="20" t="str">
        <x:v>由M3-BASE提供；日支底盘说明亲密关系中自然调用的功能，但不能单独证明修复闭环。</x:v>
      </x:c>
      <x:c r="N167" s="20" t="str">
        <x:v>由M3-CONFLICT、M4-LOOP及现实事件提供；必须区分问题停止、责任承担、影响确认、行动改变、反馈整合与后续回访。</x:v>
      </x:c>
      <x:c r="O167" s="20" t="str">
        <x:v>由共享基础引擎判定；近位提高相关功能进入亲密关系核心的概率，远位只作背景或阶段修正。</x:v>
      </x:c>
      <x:c r="P167" s="20" t="str">
        <x:v>根气只修正某修复功能是否容易重复调用，不等于现实中已经持续改变。</x:v>
      </x:c>
      <x:c r="Q167" s="20" t="str">
        <x:v>旺弱只修正功能调用强度与占位，不直接等同修复质量、诚意或关系结果。</x:v>
      </x:c>
      <x:c r="R167" s="20" t="str">
        <x:v>喜忌只修正功能摩擦、平衡与承载，不直接等同道德、成熟、善恶或是否值得原谅。</x:v>
      </x:c>
      <x:c r="S167" s="20" t="str">
        <x:v>原十神功能有效；真合化成立时按化神功能替换，合化争议时停止定性。</x:v>
      </x:c>
      <x:c r="T167" s="20" t="str">
        <x:v>近位提高修复议题与亲密关系的直接相关性；远位仅保留背景、阶段或低置信修正。</x:v>
      </x:c>
      <x:c r="U167" s="20" t="str">
        <x:v>72</x:v>
      </x:c>
      <x:c r="V167" s="20" t="str">
        <x:v>结构＋4；现实事件＋4；反例－4至停止</x:v>
      </x:c>
      <x:c r="W167" s="20" t="str">
        <x:v>repair_blindspot</x:v>
      </x:c>
      <x:c r="X167" s="20" t="str">
        <x:v>退出条件必须能改变具体修复链，而不是要求人格改变。</x:v>
      </x:c>
      <x:c r="Y167" s="20" t="str">
        <x:v>中断这个卡点的关键是：原因说明与责任承担分栏记录。</x:v>
      </x:c>
      <x:c r="Z16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7" s="20" t="str">
        <x:v>中高</x:v>
      </x:c>
      <x:c r="AB167" s="20" t="str">
        <x:v>待验证</x:v>
      </x:c>
      <x:c r="AC167" s="20" t="str"/>
      <x:c r="AD167" s="20" t="str">
        <x:v>provisional=true；M3-REPAIR尚未完成，完成条件为暂定功能模型。</x:v>
      </x:c>
      <x:c r="AE167" s="52" t="str">
        <x:v>0.7</x:v>
      </x:c>
    </x:row>
    <x:row r="168">
      <x:c r="A168" s="51" t="str">
        <x:v>M4-REPAIR-167</x:v>
      </x:c>
      <x:c r="B168" s="20" t="str">
        <x:v>RB04 道歉表达等同行为改变｜机制定义</x:v>
      </x:c>
      <x:c r="C168" s="20" t="str">
        <x:v>L3 修复盲点与过早关闭</x:v>
      </x:c>
      <x:c r="D168" s="20" t="str">
        <x:v>REPAIR-修复盲点</x:v>
      </x:c>
      <x:c r="E168" s="20" t="str">
        <x:v>通用</x:v>
      </x:c>
      <x:c r="F168" s="20" t="str">
        <x:v>定义</x:v>
      </x:c>
      <x:c r="G168" s="20" t="str">
        <x:v>RB04</x:v>
      </x:c>
      <x:c r="H168" s="20" t="str"/>
      <x:c r="I168" s="20" t="str">
        <x:v>存在“道歉表达等同行为改变”的候选顺序。</x:v>
      </x:c>
      <x:c r="J168" s="20" t="str">
        <x:v>只凭十神标签或一次模糊事件。</x:v>
      </x:c>
      <x:c r="K168" s="20" t="str">
        <x:v>由共享基础引擎提供；仅修正修复功能的承载、持续与压力占位，不直接等同是否愿意认错或能否修复。</x:v>
      </x:c>
      <x:c r="L168" s="20" t="str">
        <x:v>由M1／M2提供；夫妻星只说明伴侣原型与关系资格，不单独证明修复能力、修复意愿或修复结果。</x:v>
      </x:c>
      <x:c r="M168" s="20" t="str">
        <x:v>由M3-BASE提供；日支底盘说明亲密关系中自然调用的功能，但不能单独证明修复闭环。</x:v>
      </x:c>
      <x:c r="N168" s="20" t="str">
        <x:v>由M3-CONFLICT、M4-LOOP及现实事件提供；必须区分问题停止、责任承担、影响确认、行动改变、反馈整合与后续回访。</x:v>
      </x:c>
      <x:c r="O168" s="20" t="str">
        <x:v>由共享基础引擎判定；近位提高相关功能进入亲密关系核心的概率，远位只作背景或阶段修正。</x:v>
      </x:c>
      <x:c r="P168" s="20" t="str">
        <x:v>根气只修正某修复功能是否容易重复调用，不等于现实中已经持续改变。</x:v>
      </x:c>
      <x:c r="Q168" s="20" t="str">
        <x:v>旺弱只修正功能调用强度与占位，不直接等同修复质量、诚意或关系结果。</x:v>
      </x:c>
      <x:c r="R168" s="20" t="str">
        <x:v>喜忌只修正功能摩擦、平衡与承载，不直接等同道德、成熟、善恶或是否值得原谅。</x:v>
      </x:c>
      <x:c r="S168" s="20" t="str">
        <x:v>原十神功能有效；真合化成立时按化神功能替换，合化争议时停止定性。</x:v>
      </x:c>
      <x:c r="T168" s="20" t="str">
        <x:v>近位提高修复议题与亲密关系的直接相关性；远位仅保留背景、阶段或低置信修正。</x:v>
      </x:c>
      <x:c r="U168" s="20" t="str">
        <x:v>72</x:v>
      </x:c>
      <x:c r="V168" s="20" t="str">
        <x:v>结构＋4；现实事件＋4；反例－4至停止</x:v>
      </x:c>
      <x:c r="W168" s="20" t="str">
        <x:v>repair_blindspot</x:v>
      </x:c>
      <x:c r="X168" s="20" t="str">
        <x:v>该盲点描述过早关闭或功能替代，不等同人格缺陷。</x:v>
      </x:c>
      <x:c r="Y168" s="20" t="str">
        <x:v>道歉说明修复已经启动，但真正的改变要看之后相似情境中的行为。</x:v>
      </x:c>
      <x:c r="Z16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8" s="20" t="str">
        <x:v>中高</x:v>
      </x:c>
      <x:c r="AB168" s="20" t="str">
        <x:v>待验证</x:v>
      </x:c>
      <x:c r="AC168" s="20" t="str"/>
      <x:c r="AD168" s="20" t="str">
        <x:v>provisional=true；M3-REPAIR尚未完成，完成条件为暂定功能模型。</x:v>
      </x:c>
      <x:c r="AE168" s="52" t="str">
        <x:v>0.7</x:v>
      </x:c>
    </x:row>
    <x:row r="169">
      <x:c r="A169" s="51" t="str">
        <x:v>M4-REPAIR-168</x:v>
      </x:c>
      <x:c r="B169" s="20" t="str">
        <x:v>RB04 道歉表达等同行为改变｜成立证据</x:v>
      </x:c>
      <x:c r="C169" s="20" t="str">
        <x:v>L3 修复盲点与过早关闭</x:v>
      </x:c>
      <x:c r="D169" s="20" t="str">
        <x:v>REPAIR-修复盲点</x:v>
      </x:c>
      <x:c r="E169" s="20" t="str">
        <x:v>通用</x:v>
      </x:c>
      <x:c r="F169" s="20" t="str">
        <x:v>证据</x:v>
      </x:c>
      <x:c r="G169" s="20" t="str">
        <x:v>RB04</x:v>
      </x:c>
      <x:c r="H169" s="20" t="str"/>
      <x:c r="I169" s="20" t="str">
        <x:v>RN06执行和RN08持续性不足，并有具体事件顺序。</x:v>
      </x:c>
      <x:c r="J169" s="20" t="str">
        <x:v>相应节点已有稳定现实证据。</x:v>
      </x:c>
      <x:c r="K169" s="20" t="str">
        <x:v>由共享基础引擎提供；仅修正修复功能的承载、持续与压力占位，不直接等同是否愿意认错或能否修复。</x:v>
      </x:c>
      <x:c r="L169" s="20" t="str">
        <x:v>由M1／M2提供；夫妻星只说明伴侣原型与关系资格，不单独证明修复能力、修复意愿或修复结果。</x:v>
      </x:c>
      <x:c r="M169" s="20" t="str">
        <x:v>由M3-BASE提供；日支底盘说明亲密关系中自然调用的功能，但不能单独证明修复闭环。</x:v>
      </x:c>
      <x:c r="N169" s="20" t="str">
        <x:v>由M3-CONFLICT、M4-LOOP及现实事件提供；必须区分问题停止、责任承担、影响确认、行动改变、反馈整合与后续回访。</x:v>
      </x:c>
      <x:c r="O169" s="20" t="str">
        <x:v>由共享基础引擎判定；近位提高相关功能进入亲密关系核心的概率，远位只作背景或阶段修正。</x:v>
      </x:c>
      <x:c r="P169" s="20" t="str">
        <x:v>根气只修正某修复功能是否容易重复调用，不等于现实中已经持续改变。</x:v>
      </x:c>
      <x:c r="Q169" s="20" t="str">
        <x:v>旺弱只修正功能调用强度与占位，不直接等同修复质量、诚意或关系结果。</x:v>
      </x:c>
      <x:c r="R169" s="20" t="str">
        <x:v>喜忌只修正功能摩擦、平衡与承载，不直接等同道德、成熟、善恶或是否值得原谅。</x:v>
      </x:c>
      <x:c r="S169" s="20" t="str">
        <x:v>原十神功能有效；真合化成立时按化神功能替换，合化争议时停止定性。</x:v>
      </x:c>
      <x:c r="T169" s="20" t="str">
        <x:v>近位提高修复议题与亲密关系的直接相关性；远位仅保留背景、阶段或低置信修正。</x:v>
      </x:c>
      <x:c r="U169" s="20" t="str">
        <x:v>86</x:v>
      </x:c>
      <x:c r="V169" s="20" t="str">
        <x:v>结构＋4；现实事件＋4；反例－4至停止</x:v>
      </x:c>
      <x:c r="W169" s="20" t="str">
        <x:v>repair_blindspot</x:v>
      </x:c>
      <x:c r="X169" s="20" t="str">
        <x:v>缺失节点必须由现实资料确认，不能只凭结构推测。</x:v>
      </x:c>
      <x:c r="Y169" s="20" t="str">
        <x:v>需要继续检查：RN06执行和RN08持续性不足。</x:v>
      </x:c>
      <x:c r="Z16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69" s="20" t="str">
        <x:v>中高</x:v>
      </x:c>
      <x:c r="AB169" s="20" t="str">
        <x:v>待验证</x:v>
      </x:c>
      <x:c r="AC169" s="20" t="str"/>
      <x:c r="AD169" s="20" t="str">
        <x:v>provisional=true；M3-REPAIR尚未完成，完成条件为暂定功能模型。</x:v>
      </x:c>
      <x:c r="AE169" s="52" t="str">
        <x:v>0.7</x:v>
      </x:c>
    </x:row>
    <x:row r="170">
      <x:c r="A170" s="51" t="str">
        <x:v>M4-REPAIR-169</x:v>
      </x:c>
      <x:c r="B170" s="20" t="str">
        <x:v>RB04 道歉表达等同行为改变｜典型路由</x:v>
      </x:c>
      <x:c r="C170" s="20" t="str">
        <x:v>L3 修复盲点与过早关闭</x:v>
      </x:c>
      <x:c r="D170" s="20" t="str">
        <x:v>REPAIR-修复盲点</x:v>
      </x:c>
      <x:c r="E170" s="20" t="str">
        <x:v>通用</x:v>
      </x:c>
      <x:c r="F170" s="20" t="str">
        <x:v>路由</x:v>
      </x:c>
      <x:c r="G170" s="20" t="str">
        <x:v>RB04</x:v>
      </x:c>
      <x:c r="H170" s="20" t="str"/>
      <x:c r="I170" s="20" t="str">
        <x:v>前一步修复动作已经出现，但下一项必要任务没有进入。</x:v>
      </x:c>
      <x:c r="J170" s="20" t="str">
        <x:v>前后顺序完整且接收方反馈有效。</x:v>
      </x:c>
      <x:c r="K170" s="20" t="str">
        <x:v>由共享基础引擎提供；仅修正修复功能的承载、持续与压力占位，不直接等同是否愿意认错或能否修复。</x:v>
      </x:c>
      <x:c r="L170" s="20" t="str">
        <x:v>由M1／M2提供；夫妻星只说明伴侣原型与关系资格，不单独证明修复能力、修复意愿或修复结果。</x:v>
      </x:c>
      <x:c r="M170" s="20" t="str">
        <x:v>由M3-BASE提供；日支底盘说明亲密关系中自然调用的功能，但不能单独证明修复闭环。</x:v>
      </x:c>
      <x:c r="N170" s="20" t="str">
        <x:v>由M3-CONFLICT、M4-LOOP及现实事件提供；必须区分问题停止、责任承担、影响确认、行动改变、反馈整合与后续回访。</x:v>
      </x:c>
      <x:c r="O170" s="20" t="str">
        <x:v>由共享基础引擎判定；近位提高相关功能进入亲密关系核心的概率，远位只作背景或阶段修正。</x:v>
      </x:c>
      <x:c r="P170" s="20" t="str">
        <x:v>根气只修正某修复功能是否容易重复调用，不等于现实中已经持续改变。</x:v>
      </x:c>
      <x:c r="Q170" s="20" t="str">
        <x:v>旺弱只修正功能调用强度与占位，不直接等同修复质量、诚意或关系结果。</x:v>
      </x:c>
      <x:c r="R170" s="20" t="str">
        <x:v>喜忌只修正功能摩擦、平衡与承载，不直接等同道德、成熟、善恶或是否值得原谅。</x:v>
      </x:c>
      <x:c r="S170" s="20" t="str">
        <x:v>原十神功能有效；真合化成立时按化神功能替换，合化争议时停止定性。</x:v>
      </x:c>
      <x:c r="T170" s="20" t="str">
        <x:v>近位提高修复议题与亲密关系的直接相关性；远位仅保留背景、阶段或低置信修正。</x:v>
      </x:c>
      <x:c r="U170" s="20" t="str">
        <x:v>72</x:v>
      </x:c>
      <x:c r="V170" s="20" t="str">
        <x:v>结构＋4；现实事件＋4；反例－4至停止</x:v>
      </x:c>
      <x:c r="W170" s="20" t="str">
        <x:v>repair_blindspot</x:v>
      </x:c>
      <x:c r="X170" s="20" t="str">
        <x:v>路由说明卡点发生在哪里。</x:v>
      </x:c>
      <x:c r="Y170" s="20" t="str">
        <x:v>目前更像是前一步完成后，下一步没有顺利接上。</x:v>
      </x:c>
      <x:c r="Z17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0" s="20" t="str">
        <x:v>中高</x:v>
      </x:c>
      <x:c r="AB170" s="20" t="str">
        <x:v>待验证</x:v>
      </x:c>
      <x:c r="AC170" s="20" t="str"/>
      <x:c r="AD170" s="20" t="str">
        <x:v>provisional=true；M3-REPAIR尚未完成，完成条件为暂定功能模型。</x:v>
      </x:c>
      <x:c r="AE170" s="52" t="str">
        <x:v>0.7</x:v>
      </x:c>
    </x:row>
    <x:row r="171">
      <x:c r="A171" s="51" t="str">
        <x:v>M4-REPAIR-170</x:v>
      </x:c>
      <x:c r="B171" s="20" t="str">
        <x:v>RB04 道歉表达等同行为改变｜反例与替代解释</x:v>
      </x:c>
      <x:c r="C171" s="20" t="str">
        <x:v>L3 修复盲点与过早关闭</x:v>
      </x:c>
      <x:c r="D171" s="20" t="str">
        <x:v>REPAIR-修复盲点</x:v>
      </x:c>
      <x:c r="E171" s="20" t="str">
        <x:v>通用</x:v>
      </x:c>
      <x:c r="F171" s="20" t="str">
        <x:v>反例</x:v>
      </x:c>
      <x:c r="G171" s="20" t="str">
        <x:v>RB04</x:v>
      </x:c>
      <x:c r="H171" s="20" t="str"/>
      <x:c r="I171" s="20" t="str">
        <x:v>检查事件强度、双方意愿、时间不足、合理拒绝和安全因素。</x:v>
      </x:c>
      <x:c r="J171" s="20" t="str">
        <x:v>忽略成功修复或把合理边界当卡点。</x:v>
      </x:c>
      <x:c r="K171" s="20" t="str">
        <x:v>由共享基础引擎提供；仅修正修复功能的承载、持续与压力占位，不直接等同是否愿意认错或能否修复。</x:v>
      </x:c>
      <x:c r="L171" s="20" t="str">
        <x:v>由M1／M2提供；夫妻星只说明伴侣原型与关系资格，不单独证明修复能力、修复意愿或修复结果。</x:v>
      </x:c>
      <x:c r="M171" s="20" t="str">
        <x:v>由M3-BASE提供；日支底盘说明亲密关系中自然调用的功能，但不能单独证明修复闭环。</x:v>
      </x:c>
      <x:c r="N171" s="20" t="str">
        <x:v>由M3-CONFLICT、M4-LOOP及现实事件提供；必须区分问题停止、责任承担、影响确认、行动改变、反馈整合与后续回访。</x:v>
      </x:c>
      <x:c r="O171" s="20" t="str">
        <x:v>由共享基础引擎判定；近位提高相关功能进入亲密关系核心的概率，远位只作背景或阶段修正。</x:v>
      </x:c>
      <x:c r="P171" s="20" t="str">
        <x:v>根气只修正某修复功能是否容易重复调用，不等于现实中已经持续改变。</x:v>
      </x:c>
      <x:c r="Q171" s="20" t="str">
        <x:v>旺弱只修正功能调用强度与占位，不直接等同修复质量、诚意或关系结果。</x:v>
      </x:c>
      <x:c r="R171" s="20" t="str">
        <x:v>喜忌只修正功能摩擦、平衡与承载，不直接等同道德、成熟、善恶或是否值得原谅。</x:v>
      </x:c>
      <x:c r="S171" s="20" t="str">
        <x:v>原十神功能有效；真合化成立时按化神功能替换，合化争议时停止定性。</x:v>
      </x:c>
      <x:c r="T171" s="20" t="str">
        <x:v>近位提高修复议题与亲密关系的直接相关性；远位仅保留背景、阶段或低置信修正。</x:v>
      </x:c>
      <x:c r="U171" s="20" t="str">
        <x:v>86</x:v>
      </x:c>
      <x:c r="V171" s="20" t="str">
        <x:v>结构＋4；现实事件＋4；反例－4至停止</x:v>
      </x:c>
      <x:c r="W171" s="20" t="str">
        <x:v>repair_blindspot</x:v>
      </x:c>
      <x:c r="X171" s="20" t="str">
        <x:v>同一表面结果可能来自合理暂停、信息不足或不愿继续关系。</x:v>
      </x:c>
      <x:c r="Y171" s="20" t="str">
        <x:v>也要检查这是否只是合理暂停、资料不足，或对方选择不继续，而不是修复能力问题。</x:v>
      </x:c>
      <x:c r="Z17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1" s="20" t="str">
        <x:v>中高</x:v>
      </x:c>
      <x:c r="AB171" s="20" t="str">
        <x:v>待验证</x:v>
      </x:c>
      <x:c r="AC171" s="20" t="str"/>
      <x:c r="AD171" s="20" t="str">
        <x:v>provisional=true；M3-REPAIR尚未完成，完成条件为暂定功能模型。</x:v>
      </x:c>
      <x:c r="AE171" s="52" t="str">
        <x:v>0.7</x:v>
      </x:c>
    </x:row>
    <x:row r="172">
      <x:c r="A172" s="51" t="str">
        <x:v>M4-REPAIR-171</x:v>
      </x:c>
      <x:c r="B172" s="20" t="str">
        <x:v>RB04 道歉表达等同行为改变｜用户输出</x:v>
      </x:c>
      <x:c r="C172" s="20" t="str">
        <x:v>L3 修复盲点与过早关闭</x:v>
      </x:c>
      <x:c r="D172" s="20" t="str">
        <x:v>REPAIR-修复盲点</x:v>
      </x:c>
      <x:c r="E172" s="20" t="str">
        <x:v>通用</x:v>
      </x:c>
      <x:c r="F172" s="20" t="str">
        <x:v>输出</x:v>
      </x:c>
      <x:c r="G172" s="20" t="str">
        <x:v>RB04</x:v>
      </x:c>
      <x:c r="H172" s="20" t="str"/>
      <x:c r="I172" s="20" t="str">
        <x:v>该盲点达到E2或以上，并完成反例检查。</x:v>
      </x:c>
      <x:c r="J172" s="20" t="str">
        <x:v>资料不足或安全停止。</x:v>
      </x:c>
      <x:c r="K172" s="20" t="str">
        <x:v>由共享基础引擎提供；仅修正修复功能的承载、持续与压力占位，不直接等同是否愿意认错或能否修复。</x:v>
      </x:c>
      <x:c r="L172" s="20" t="str">
        <x:v>由M1／M2提供；夫妻星只说明伴侣原型与关系资格，不单独证明修复能力、修复意愿或修复结果。</x:v>
      </x:c>
      <x:c r="M172" s="20" t="str">
        <x:v>由M3-BASE提供；日支底盘说明亲密关系中自然调用的功能，但不能单独证明修复闭环。</x:v>
      </x:c>
      <x:c r="N172" s="20" t="str">
        <x:v>由M3-CONFLICT、M4-LOOP及现实事件提供；必须区分问题停止、责任承担、影响确认、行动改变、反馈整合与后续回访。</x:v>
      </x:c>
      <x:c r="O172" s="20" t="str">
        <x:v>由共享基础引擎判定；近位提高相关功能进入亲密关系核心的概率，远位只作背景或阶段修正。</x:v>
      </x:c>
      <x:c r="P172" s="20" t="str">
        <x:v>根气只修正某修复功能是否容易重复调用，不等于现实中已经持续改变。</x:v>
      </x:c>
      <x:c r="Q172" s="20" t="str">
        <x:v>旺弱只修正功能调用强度与占位，不直接等同修复质量、诚意或关系结果。</x:v>
      </x:c>
      <x:c r="R172" s="20" t="str">
        <x:v>喜忌只修正功能摩擦、平衡与承载，不直接等同道德、成熟、善恶或是否值得原谅。</x:v>
      </x:c>
      <x:c r="S172" s="20" t="str">
        <x:v>原十神功能有效；真合化成立时按化神功能替换，合化争议时停止定性。</x:v>
      </x:c>
      <x:c r="T172" s="20" t="str">
        <x:v>近位提高修复议题与亲密关系的直接相关性；远位仅保留背景、阶段或低置信修正。</x:v>
      </x:c>
      <x:c r="U172" s="20" t="str">
        <x:v>72</x:v>
      </x:c>
      <x:c r="V172" s="20" t="str">
        <x:v>结构＋4；现实事件＋4；反例－4至停止</x:v>
      </x:c>
      <x:c r="W172" s="20" t="str">
        <x:v>repair_blindspot</x:v>
      </x:c>
      <x:c r="X172" s="20" t="str">
        <x:v>语言应说明“已完成什么、缺什么、如何验证”。</x:v>
      </x:c>
      <x:c r="Y172" s="20" t="str">
        <x:v>道歉说明修复已经启动，但真正的改变要看之后相似情境中的行为。</x:v>
      </x:c>
      <x:c r="Z17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2" s="20" t="str">
        <x:v>中高</x:v>
      </x:c>
      <x:c r="AB172" s="20" t="str">
        <x:v>待验证</x:v>
      </x:c>
      <x:c r="AC172" s="20" t="str"/>
      <x:c r="AD172" s="20" t="str">
        <x:v>provisional=true；M3-REPAIR尚未完成，完成条件为暂定功能模型。</x:v>
      </x:c>
      <x:c r="AE172" s="52" t="str">
        <x:v>0.7</x:v>
      </x:c>
    </x:row>
    <x:row r="173">
      <x:c r="A173" s="51" t="str">
        <x:v>M4-REPAIR-172</x:v>
      </x:c>
      <x:c r="B173" s="20" t="str">
        <x:v>RB04 道歉表达等同行为改变｜退出条件</x:v>
      </x:c>
      <x:c r="C173" s="20" t="str">
        <x:v>L3 修复盲点与过早关闭</x:v>
      </x:c>
      <x:c r="D173" s="20" t="str">
        <x:v>REPAIR-修复盲点</x:v>
      </x:c>
      <x:c r="E173" s="20" t="str">
        <x:v>通用</x:v>
      </x:c>
      <x:c r="F173" s="20" t="str">
        <x:v>保护</x:v>
      </x:c>
      <x:c r="G173" s="20" t="str">
        <x:v>RB04</x:v>
      </x:c>
      <x:c r="H173" s="20" t="str"/>
      <x:c r="I173" s="20" t="str">
        <x:v>将道歉内容、现实行动和持续兑现分别验证。</x:v>
      </x:c>
      <x:c r="J173" s="20" t="str">
        <x:v>只给抽象建议，没有可观察节点。</x:v>
      </x:c>
      <x:c r="K173" s="20" t="str">
        <x:v>由共享基础引擎提供；仅修正修复功能的承载、持续与压力占位，不直接等同是否愿意认错或能否修复。</x:v>
      </x:c>
      <x:c r="L173" s="20" t="str">
        <x:v>由M1／M2提供；夫妻星只说明伴侣原型与关系资格，不单独证明修复能力、修复意愿或修复结果。</x:v>
      </x:c>
      <x:c r="M173" s="20" t="str">
        <x:v>由M3-BASE提供；日支底盘说明亲密关系中自然调用的功能，但不能单独证明修复闭环。</x:v>
      </x:c>
      <x:c r="N173" s="20" t="str">
        <x:v>由M3-CONFLICT、M4-LOOP及现实事件提供；必须区分问题停止、责任承担、影响确认、行动改变、反馈整合与后续回访。</x:v>
      </x:c>
      <x:c r="O173" s="20" t="str">
        <x:v>由共享基础引擎判定；近位提高相关功能进入亲密关系核心的概率，远位只作背景或阶段修正。</x:v>
      </x:c>
      <x:c r="P173" s="20" t="str">
        <x:v>根气只修正某修复功能是否容易重复调用，不等于现实中已经持续改变。</x:v>
      </x:c>
      <x:c r="Q173" s="20" t="str">
        <x:v>旺弱只修正功能调用强度与占位，不直接等同修复质量、诚意或关系结果。</x:v>
      </x:c>
      <x:c r="R173" s="20" t="str">
        <x:v>喜忌只修正功能摩擦、平衡与承载，不直接等同道德、成熟、善恶或是否值得原谅。</x:v>
      </x:c>
      <x:c r="S173" s="20" t="str">
        <x:v>原十神功能有效；真合化成立时按化神功能替换，合化争议时停止定性。</x:v>
      </x:c>
      <x:c r="T173" s="20" t="str">
        <x:v>近位提高修复议题与亲密关系的直接相关性；远位仅保留背景、阶段或低置信修正。</x:v>
      </x:c>
      <x:c r="U173" s="20" t="str">
        <x:v>72</x:v>
      </x:c>
      <x:c r="V173" s="20" t="str">
        <x:v>结构＋4；现实事件＋4；反例－4至停止</x:v>
      </x:c>
      <x:c r="W173" s="20" t="str">
        <x:v>repair_blindspot</x:v>
      </x:c>
      <x:c r="X173" s="20" t="str">
        <x:v>退出条件必须能改变具体修复链，而不是要求人格改变。</x:v>
      </x:c>
      <x:c r="Y173" s="20" t="str">
        <x:v>中断这个卡点的关键是：将道歉内容、现实行动和持续兑现分别验证。</x:v>
      </x:c>
      <x:c r="Z17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3" s="20" t="str">
        <x:v>中高</x:v>
      </x:c>
      <x:c r="AB173" s="20" t="str">
        <x:v>待验证</x:v>
      </x:c>
      <x:c r="AC173" s="20" t="str"/>
      <x:c r="AD173" s="20" t="str">
        <x:v>provisional=true；M3-REPAIR尚未完成，完成条件为暂定功能模型。</x:v>
      </x:c>
      <x:c r="AE173" s="52" t="str">
        <x:v>0.7</x:v>
      </x:c>
    </x:row>
    <x:row r="174">
      <x:c r="A174" s="51" t="str">
        <x:v>M4-REPAIR-173</x:v>
      </x:c>
      <x:c r="B174" s="20" t="str">
        <x:v>RB05 情绪安抚等同现实问题解决｜机制定义</x:v>
      </x:c>
      <x:c r="C174" s="20" t="str">
        <x:v>L3 修复盲点与过早关闭</x:v>
      </x:c>
      <x:c r="D174" s="20" t="str">
        <x:v>REPAIR-修复盲点</x:v>
      </x:c>
      <x:c r="E174" s="20" t="str">
        <x:v>通用</x:v>
      </x:c>
      <x:c r="F174" s="20" t="str">
        <x:v>定义</x:v>
      </x:c>
      <x:c r="G174" s="20" t="str">
        <x:v>RB05</x:v>
      </x:c>
      <x:c r="H174" s="20" t="str"/>
      <x:c r="I174" s="20" t="str">
        <x:v>存在“情绪安抚等同现实问题解决”的候选顺序。</x:v>
      </x:c>
      <x:c r="J174" s="20" t="str">
        <x:v>只凭十神标签或一次模糊事件。</x:v>
      </x:c>
      <x:c r="K174" s="20" t="str">
        <x:v>由共享基础引擎提供；仅修正修复功能的承载、持续与压力占位，不直接等同是否愿意认错或能否修复。</x:v>
      </x:c>
      <x:c r="L174" s="20" t="str">
        <x:v>由M1／M2提供；夫妻星只说明伴侣原型与关系资格，不单独证明修复能力、修复意愿或修复结果。</x:v>
      </x:c>
      <x:c r="M174" s="20" t="str">
        <x:v>由M3-BASE提供；日支底盘说明亲密关系中自然调用的功能，但不能单独证明修复闭环。</x:v>
      </x:c>
      <x:c r="N174" s="20" t="str">
        <x:v>由M3-CONFLICT、M4-LOOP及现实事件提供；必须区分问题停止、责任承担、影响确认、行动改变、反馈整合与后续回访。</x:v>
      </x:c>
      <x:c r="O174" s="20" t="str">
        <x:v>由共享基础引擎判定；近位提高相关功能进入亲密关系核心的概率，远位只作背景或阶段修正。</x:v>
      </x:c>
      <x:c r="P174" s="20" t="str">
        <x:v>根气只修正某修复功能是否容易重复调用，不等于现实中已经持续改变。</x:v>
      </x:c>
      <x:c r="Q174" s="20" t="str">
        <x:v>旺弱只修正功能调用强度与占位，不直接等同修复质量、诚意或关系结果。</x:v>
      </x:c>
      <x:c r="R174" s="20" t="str">
        <x:v>喜忌只修正功能摩擦、平衡与承载，不直接等同道德、成熟、善恶或是否值得原谅。</x:v>
      </x:c>
      <x:c r="S174" s="20" t="str">
        <x:v>原十神功能有效；真合化成立时按化神功能替换，合化争议时停止定性。</x:v>
      </x:c>
      <x:c r="T174" s="20" t="str">
        <x:v>近位提高修复议题与亲密关系的直接相关性；远位仅保留背景、阶段或低置信修正。</x:v>
      </x:c>
      <x:c r="U174" s="20" t="str">
        <x:v>72</x:v>
      </x:c>
      <x:c r="V174" s="20" t="str">
        <x:v>结构＋4；现实事件＋4；反例－4至停止</x:v>
      </x:c>
      <x:c r="W174" s="20" t="str">
        <x:v>repair_blindspot</x:v>
      </x:c>
      <x:c r="X174" s="20" t="str">
        <x:v>该盲点描述过早关闭或功能替代，不等同人格缺陷。</x:v>
      </x:c>
      <x:c r="Y174" s="20" t="str">
        <x:v>气氛好转让双方能继续谈，但现实安排仍需要单独落实。</x:v>
      </x:c>
      <x:c r="Z17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4" s="20" t="str">
        <x:v>中高</x:v>
      </x:c>
      <x:c r="AB174" s="20" t="str">
        <x:v>待验证</x:v>
      </x:c>
      <x:c r="AC174" s="20" t="str"/>
      <x:c r="AD174" s="20" t="str">
        <x:v>provisional=true；M3-REPAIR尚未完成，完成条件为暂定功能模型。</x:v>
      </x:c>
      <x:c r="AE174" s="52" t="str">
        <x:v>0.7</x:v>
      </x:c>
    </x:row>
    <x:row r="175">
      <x:c r="A175" s="51" t="str">
        <x:v>M4-REPAIR-174</x:v>
      </x:c>
      <x:c r="B175" s="20" t="str">
        <x:v>RB05 情绪安抚等同现实问题解决｜成立证据</x:v>
      </x:c>
      <x:c r="C175" s="20" t="str">
        <x:v>L3 修复盲点与过早关闭</x:v>
      </x:c>
      <x:c r="D175" s="20" t="str">
        <x:v>REPAIR-修复盲点</x:v>
      </x:c>
      <x:c r="E175" s="20" t="str">
        <x:v>通用</x:v>
      </x:c>
      <x:c r="F175" s="20" t="str">
        <x:v>证据</x:v>
      </x:c>
      <x:c r="G175" s="20" t="str">
        <x:v>RB05</x:v>
      </x:c>
      <x:c r="H175" s="20" t="str"/>
      <x:c r="I175" s="20" t="str">
        <x:v>RN06现实改变不足，并有具体事件顺序。</x:v>
      </x:c>
      <x:c r="J175" s="20" t="str">
        <x:v>相应节点已有稳定现实证据。</x:v>
      </x:c>
      <x:c r="K175" s="20" t="str">
        <x:v>由共享基础引擎提供；仅修正修复功能的承载、持续与压力占位，不直接等同是否愿意认错或能否修复。</x:v>
      </x:c>
      <x:c r="L175" s="20" t="str">
        <x:v>由M1／M2提供；夫妻星只说明伴侣原型与关系资格，不单独证明修复能力、修复意愿或修复结果。</x:v>
      </x:c>
      <x:c r="M175" s="20" t="str">
        <x:v>由M3-BASE提供；日支底盘说明亲密关系中自然调用的功能，但不能单独证明修复闭环。</x:v>
      </x:c>
      <x:c r="N175" s="20" t="str">
        <x:v>由M3-CONFLICT、M4-LOOP及现实事件提供；必须区分问题停止、责任承担、影响确认、行动改变、反馈整合与后续回访。</x:v>
      </x:c>
      <x:c r="O175" s="20" t="str">
        <x:v>由共享基础引擎判定；近位提高相关功能进入亲密关系核心的概率，远位只作背景或阶段修正。</x:v>
      </x:c>
      <x:c r="P175" s="20" t="str">
        <x:v>根气只修正某修复功能是否容易重复调用，不等于现实中已经持续改变。</x:v>
      </x:c>
      <x:c r="Q175" s="20" t="str">
        <x:v>旺弱只修正功能调用强度与占位，不直接等同修复质量、诚意或关系结果。</x:v>
      </x:c>
      <x:c r="R175" s="20" t="str">
        <x:v>喜忌只修正功能摩擦、平衡与承载，不直接等同道德、成熟、善恶或是否值得原谅。</x:v>
      </x:c>
      <x:c r="S175" s="20" t="str">
        <x:v>原十神功能有效；真合化成立时按化神功能替换，合化争议时停止定性。</x:v>
      </x:c>
      <x:c r="T175" s="20" t="str">
        <x:v>近位提高修复议题与亲密关系的直接相关性；远位仅保留背景、阶段或低置信修正。</x:v>
      </x:c>
      <x:c r="U175" s="20" t="str">
        <x:v>86</x:v>
      </x:c>
      <x:c r="V175" s="20" t="str">
        <x:v>结构＋4；现实事件＋4；反例－4至停止</x:v>
      </x:c>
      <x:c r="W175" s="20" t="str">
        <x:v>repair_blindspot</x:v>
      </x:c>
      <x:c r="X175" s="20" t="str">
        <x:v>缺失节点必须由现实资料确认，不能只凭结构推测。</x:v>
      </x:c>
      <x:c r="Y175" s="20" t="str">
        <x:v>需要继续检查：RN06现实改变不足。</x:v>
      </x:c>
      <x:c r="Z17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5" s="20" t="str">
        <x:v>中高</x:v>
      </x:c>
      <x:c r="AB175" s="20" t="str">
        <x:v>待验证</x:v>
      </x:c>
      <x:c r="AC175" s="20" t="str"/>
      <x:c r="AD175" s="20" t="str">
        <x:v>provisional=true；M3-REPAIR尚未完成，完成条件为暂定功能模型。</x:v>
      </x:c>
      <x:c r="AE175" s="52" t="str">
        <x:v>0.7</x:v>
      </x:c>
    </x:row>
    <x:row r="176">
      <x:c r="A176" s="51" t="str">
        <x:v>M4-REPAIR-175</x:v>
      </x:c>
      <x:c r="B176" s="20" t="str">
        <x:v>RB05 情绪安抚等同现实问题解决｜典型路由</x:v>
      </x:c>
      <x:c r="C176" s="20" t="str">
        <x:v>L3 修复盲点与过早关闭</x:v>
      </x:c>
      <x:c r="D176" s="20" t="str">
        <x:v>REPAIR-修复盲点</x:v>
      </x:c>
      <x:c r="E176" s="20" t="str">
        <x:v>通用</x:v>
      </x:c>
      <x:c r="F176" s="20" t="str">
        <x:v>路由</x:v>
      </x:c>
      <x:c r="G176" s="20" t="str">
        <x:v>RB05</x:v>
      </x:c>
      <x:c r="H176" s="20" t="str"/>
      <x:c r="I176" s="20" t="str">
        <x:v>前一步修复动作已经出现，但下一项必要任务没有进入。</x:v>
      </x:c>
      <x:c r="J176" s="20" t="str">
        <x:v>前后顺序完整且接收方反馈有效。</x:v>
      </x:c>
      <x:c r="K176" s="20" t="str">
        <x:v>由共享基础引擎提供；仅修正修复功能的承载、持续与压力占位，不直接等同是否愿意认错或能否修复。</x:v>
      </x:c>
      <x:c r="L176" s="20" t="str">
        <x:v>由M1／M2提供；夫妻星只说明伴侣原型与关系资格，不单独证明修复能力、修复意愿或修复结果。</x:v>
      </x:c>
      <x:c r="M176" s="20" t="str">
        <x:v>由M3-BASE提供；日支底盘说明亲密关系中自然调用的功能，但不能单独证明修复闭环。</x:v>
      </x:c>
      <x:c r="N176" s="20" t="str">
        <x:v>由M3-CONFLICT、M4-LOOP及现实事件提供；必须区分问题停止、责任承担、影响确认、行动改变、反馈整合与后续回访。</x:v>
      </x:c>
      <x:c r="O176" s="20" t="str">
        <x:v>由共享基础引擎判定；近位提高相关功能进入亲密关系核心的概率，远位只作背景或阶段修正。</x:v>
      </x:c>
      <x:c r="P176" s="20" t="str">
        <x:v>根气只修正某修复功能是否容易重复调用，不等于现实中已经持续改变。</x:v>
      </x:c>
      <x:c r="Q176" s="20" t="str">
        <x:v>旺弱只修正功能调用强度与占位，不直接等同修复质量、诚意或关系结果。</x:v>
      </x:c>
      <x:c r="R176" s="20" t="str">
        <x:v>喜忌只修正功能摩擦、平衡与承载，不直接等同道德、成熟、善恶或是否值得原谅。</x:v>
      </x:c>
      <x:c r="S176" s="20" t="str">
        <x:v>原十神功能有效；真合化成立时按化神功能替换，合化争议时停止定性。</x:v>
      </x:c>
      <x:c r="T176" s="20" t="str">
        <x:v>近位提高修复议题与亲密关系的直接相关性；远位仅保留背景、阶段或低置信修正。</x:v>
      </x:c>
      <x:c r="U176" s="20" t="str">
        <x:v>72</x:v>
      </x:c>
      <x:c r="V176" s="20" t="str">
        <x:v>结构＋4；现实事件＋4；反例－4至停止</x:v>
      </x:c>
      <x:c r="W176" s="20" t="str">
        <x:v>repair_blindspot</x:v>
      </x:c>
      <x:c r="X176" s="20" t="str">
        <x:v>路由说明卡点发生在哪里。</x:v>
      </x:c>
      <x:c r="Y176" s="20" t="str">
        <x:v>目前更像是前一步完成后，下一步没有顺利接上。</x:v>
      </x:c>
      <x:c r="Z17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6" s="20" t="str">
        <x:v>中高</x:v>
      </x:c>
      <x:c r="AB176" s="20" t="str">
        <x:v>待验证</x:v>
      </x:c>
      <x:c r="AC176" s="20" t="str"/>
      <x:c r="AD176" s="20" t="str">
        <x:v>provisional=true；M3-REPAIR尚未完成，完成条件为暂定功能模型。</x:v>
      </x:c>
      <x:c r="AE176" s="52" t="str">
        <x:v>0.7</x:v>
      </x:c>
    </x:row>
    <x:row r="177">
      <x:c r="A177" s="51" t="str">
        <x:v>M4-REPAIR-176</x:v>
      </x:c>
      <x:c r="B177" s="20" t="str">
        <x:v>RB05 情绪安抚等同现实问题解决｜反例与替代解释</x:v>
      </x:c>
      <x:c r="C177" s="20" t="str">
        <x:v>L3 修复盲点与过早关闭</x:v>
      </x:c>
      <x:c r="D177" s="20" t="str">
        <x:v>REPAIR-修复盲点</x:v>
      </x:c>
      <x:c r="E177" s="20" t="str">
        <x:v>通用</x:v>
      </x:c>
      <x:c r="F177" s="20" t="str">
        <x:v>反例</x:v>
      </x:c>
      <x:c r="G177" s="20" t="str">
        <x:v>RB05</x:v>
      </x:c>
      <x:c r="H177" s="20" t="str"/>
      <x:c r="I177" s="20" t="str">
        <x:v>检查事件强度、双方意愿、时间不足、合理拒绝和安全因素。</x:v>
      </x:c>
      <x:c r="J177" s="20" t="str">
        <x:v>忽略成功修复或把合理边界当卡点。</x:v>
      </x:c>
      <x:c r="K177" s="20" t="str">
        <x:v>由共享基础引擎提供；仅修正修复功能的承载、持续与压力占位，不直接等同是否愿意认错或能否修复。</x:v>
      </x:c>
      <x:c r="L177" s="20" t="str">
        <x:v>由M1／M2提供；夫妻星只说明伴侣原型与关系资格，不单独证明修复能力、修复意愿或修复结果。</x:v>
      </x:c>
      <x:c r="M177" s="20" t="str">
        <x:v>由M3-BASE提供；日支底盘说明亲密关系中自然调用的功能，但不能单独证明修复闭环。</x:v>
      </x:c>
      <x:c r="N177" s="20" t="str">
        <x:v>由M3-CONFLICT、M4-LOOP及现实事件提供；必须区分问题停止、责任承担、影响确认、行动改变、反馈整合与后续回访。</x:v>
      </x:c>
      <x:c r="O177" s="20" t="str">
        <x:v>由共享基础引擎判定；近位提高相关功能进入亲密关系核心的概率，远位只作背景或阶段修正。</x:v>
      </x:c>
      <x:c r="P177" s="20" t="str">
        <x:v>根气只修正某修复功能是否容易重复调用，不等于现实中已经持续改变。</x:v>
      </x:c>
      <x:c r="Q177" s="20" t="str">
        <x:v>旺弱只修正功能调用强度与占位，不直接等同修复质量、诚意或关系结果。</x:v>
      </x:c>
      <x:c r="R177" s="20" t="str">
        <x:v>喜忌只修正功能摩擦、平衡与承载，不直接等同道德、成熟、善恶或是否值得原谅。</x:v>
      </x:c>
      <x:c r="S177" s="20" t="str">
        <x:v>原十神功能有效；真合化成立时按化神功能替换，合化争议时停止定性。</x:v>
      </x:c>
      <x:c r="T177" s="20" t="str">
        <x:v>近位提高修复议题与亲密关系的直接相关性；远位仅保留背景、阶段或低置信修正。</x:v>
      </x:c>
      <x:c r="U177" s="20" t="str">
        <x:v>86</x:v>
      </x:c>
      <x:c r="V177" s="20" t="str">
        <x:v>结构＋4；现实事件＋4；反例－4至停止</x:v>
      </x:c>
      <x:c r="W177" s="20" t="str">
        <x:v>repair_blindspot</x:v>
      </x:c>
      <x:c r="X177" s="20" t="str">
        <x:v>同一表面结果可能来自合理暂停、信息不足或不愿继续关系。</x:v>
      </x:c>
      <x:c r="Y177" s="20" t="str">
        <x:v>也要检查这是否只是合理暂停、资料不足，或对方选择不继续，而不是修复能力问题。</x:v>
      </x:c>
      <x:c r="Z17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7" s="20" t="str">
        <x:v>中高</x:v>
      </x:c>
      <x:c r="AB177" s="20" t="str">
        <x:v>待验证</x:v>
      </x:c>
      <x:c r="AC177" s="20" t="str"/>
      <x:c r="AD177" s="20" t="str">
        <x:v>provisional=true；M3-REPAIR尚未完成，完成条件为暂定功能模型。</x:v>
      </x:c>
      <x:c r="AE177" s="52" t="str">
        <x:v>0.7</x:v>
      </x:c>
    </x:row>
    <x:row r="178">
      <x:c r="A178" s="51" t="str">
        <x:v>M4-REPAIR-177</x:v>
      </x:c>
      <x:c r="B178" s="20" t="str">
        <x:v>RB05 情绪安抚等同现实问题解决｜用户输出</x:v>
      </x:c>
      <x:c r="C178" s="20" t="str">
        <x:v>L3 修复盲点与过早关闭</x:v>
      </x:c>
      <x:c r="D178" s="20" t="str">
        <x:v>REPAIR-修复盲点</x:v>
      </x:c>
      <x:c r="E178" s="20" t="str">
        <x:v>通用</x:v>
      </x:c>
      <x:c r="F178" s="20" t="str">
        <x:v>输出</x:v>
      </x:c>
      <x:c r="G178" s="20" t="str">
        <x:v>RB05</x:v>
      </x:c>
      <x:c r="H178" s="20" t="str"/>
      <x:c r="I178" s="20" t="str">
        <x:v>该盲点达到E2或以上，并完成反例检查。</x:v>
      </x:c>
      <x:c r="J178" s="20" t="str">
        <x:v>资料不足或安全停止。</x:v>
      </x:c>
      <x:c r="K178" s="20" t="str">
        <x:v>由共享基础引擎提供；仅修正修复功能的承载、持续与压力占位，不直接等同是否愿意认错或能否修复。</x:v>
      </x:c>
      <x:c r="L178" s="20" t="str">
        <x:v>由M1／M2提供；夫妻星只说明伴侣原型与关系资格，不单独证明修复能力、修复意愿或修复结果。</x:v>
      </x:c>
      <x:c r="M178" s="20" t="str">
        <x:v>由M3-BASE提供；日支底盘说明亲密关系中自然调用的功能，但不能单独证明修复闭环。</x:v>
      </x:c>
      <x:c r="N178" s="20" t="str">
        <x:v>由M3-CONFLICT、M4-LOOP及现实事件提供；必须区分问题停止、责任承担、影响确认、行动改变、反馈整合与后续回访。</x:v>
      </x:c>
      <x:c r="O178" s="20" t="str">
        <x:v>由共享基础引擎判定；近位提高相关功能进入亲密关系核心的概率，远位只作背景或阶段修正。</x:v>
      </x:c>
      <x:c r="P178" s="20" t="str">
        <x:v>根气只修正某修复功能是否容易重复调用，不等于现实中已经持续改变。</x:v>
      </x:c>
      <x:c r="Q178" s="20" t="str">
        <x:v>旺弱只修正功能调用强度与占位，不直接等同修复质量、诚意或关系结果。</x:v>
      </x:c>
      <x:c r="R178" s="20" t="str">
        <x:v>喜忌只修正功能摩擦、平衡与承载，不直接等同道德、成熟、善恶或是否值得原谅。</x:v>
      </x:c>
      <x:c r="S178" s="20" t="str">
        <x:v>原十神功能有效；真合化成立时按化神功能替换，合化争议时停止定性。</x:v>
      </x:c>
      <x:c r="T178" s="20" t="str">
        <x:v>近位提高修复议题与亲密关系的直接相关性；远位仅保留背景、阶段或低置信修正。</x:v>
      </x:c>
      <x:c r="U178" s="20" t="str">
        <x:v>72</x:v>
      </x:c>
      <x:c r="V178" s="20" t="str">
        <x:v>结构＋4；现实事件＋4；反例－4至停止</x:v>
      </x:c>
      <x:c r="W178" s="20" t="str">
        <x:v>repair_blindspot</x:v>
      </x:c>
      <x:c r="X178" s="20" t="str">
        <x:v>语言应说明“已完成什么、缺什么、如何验证”。</x:v>
      </x:c>
      <x:c r="Y178" s="20" t="str">
        <x:v>气氛好转让双方能继续谈，但现实安排仍需要单独落实。</x:v>
      </x:c>
      <x:c r="Z17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8" s="20" t="str">
        <x:v>中高</x:v>
      </x:c>
      <x:c r="AB178" s="20" t="str">
        <x:v>待验证</x:v>
      </x:c>
      <x:c r="AC178" s="20" t="str"/>
      <x:c r="AD178" s="20" t="str">
        <x:v>provisional=true；M3-REPAIR尚未完成，完成条件为暂定功能模型。</x:v>
      </x:c>
      <x:c r="AE178" s="52" t="str">
        <x:v>0.7</x:v>
      </x:c>
    </x:row>
    <x:row r="179">
      <x:c r="A179" s="51" t="str">
        <x:v>M4-REPAIR-178</x:v>
      </x:c>
      <x:c r="B179" s="20" t="str">
        <x:v>RB05 情绪安抚等同现实问题解决｜退出条件</x:v>
      </x:c>
      <x:c r="C179" s="20" t="str">
        <x:v>L3 修复盲点与过早关闭</x:v>
      </x:c>
      <x:c r="D179" s="20" t="str">
        <x:v>REPAIR-修复盲点</x:v>
      </x:c>
      <x:c r="E179" s="20" t="str">
        <x:v>通用</x:v>
      </x:c>
      <x:c r="F179" s="20" t="str">
        <x:v>保护</x:v>
      </x:c>
      <x:c r="G179" s="20" t="str">
        <x:v>RB05</x:v>
      </x:c>
      <x:c r="H179" s="20" t="str"/>
      <x:c r="I179" s="20" t="str">
        <x:v>情绪线和任务线双轨处理。</x:v>
      </x:c>
      <x:c r="J179" s="20" t="str">
        <x:v>只给抽象建议，没有可观察节点。</x:v>
      </x:c>
      <x:c r="K179" s="20" t="str">
        <x:v>由共享基础引擎提供；仅修正修复功能的承载、持续与压力占位，不直接等同是否愿意认错或能否修复。</x:v>
      </x:c>
      <x:c r="L179" s="20" t="str">
        <x:v>由M1／M2提供；夫妻星只说明伴侣原型与关系资格，不单独证明修复能力、修复意愿或修复结果。</x:v>
      </x:c>
      <x:c r="M179" s="20" t="str">
        <x:v>由M3-BASE提供；日支底盘说明亲密关系中自然调用的功能，但不能单独证明修复闭环。</x:v>
      </x:c>
      <x:c r="N179" s="20" t="str">
        <x:v>由M3-CONFLICT、M4-LOOP及现实事件提供；必须区分问题停止、责任承担、影响确认、行动改变、反馈整合与后续回访。</x:v>
      </x:c>
      <x:c r="O179" s="20" t="str">
        <x:v>由共享基础引擎判定；近位提高相关功能进入亲密关系核心的概率，远位只作背景或阶段修正。</x:v>
      </x:c>
      <x:c r="P179" s="20" t="str">
        <x:v>根气只修正某修复功能是否容易重复调用，不等于现实中已经持续改变。</x:v>
      </x:c>
      <x:c r="Q179" s="20" t="str">
        <x:v>旺弱只修正功能调用强度与占位，不直接等同修复质量、诚意或关系结果。</x:v>
      </x:c>
      <x:c r="R179" s="20" t="str">
        <x:v>喜忌只修正功能摩擦、平衡与承载，不直接等同道德、成熟、善恶或是否值得原谅。</x:v>
      </x:c>
      <x:c r="S179" s="20" t="str">
        <x:v>原十神功能有效；真合化成立时按化神功能替换，合化争议时停止定性。</x:v>
      </x:c>
      <x:c r="T179" s="20" t="str">
        <x:v>近位提高修复议题与亲密关系的直接相关性；远位仅保留背景、阶段或低置信修正。</x:v>
      </x:c>
      <x:c r="U179" s="20" t="str">
        <x:v>72</x:v>
      </x:c>
      <x:c r="V179" s="20" t="str">
        <x:v>结构＋4；现实事件＋4；反例－4至停止</x:v>
      </x:c>
      <x:c r="W179" s="20" t="str">
        <x:v>repair_blindspot</x:v>
      </x:c>
      <x:c r="X179" s="20" t="str">
        <x:v>退出条件必须能改变具体修复链，而不是要求人格改变。</x:v>
      </x:c>
      <x:c r="Y179" s="20" t="str">
        <x:v>中断这个卡点的关键是：情绪线和任务线双轨处理。</x:v>
      </x:c>
      <x:c r="Z17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79" s="20" t="str">
        <x:v>中高</x:v>
      </x:c>
      <x:c r="AB179" s="20" t="str">
        <x:v>待验证</x:v>
      </x:c>
      <x:c r="AC179" s="20" t="str"/>
      <x:c r="AD179" s="20" t="str">
        <x:v>provisional=true；M3-REPAIR尚未完成，完成条件为暂定功能模型。</x:v>
      </x:c>
      <x:c r="AE179" s="52" t="str">
        <x:v>0.7</x:v>
      </x:c>
    </x:row>
    <x:row r="180">
      <x:c r="A180" s="51" t="str">
        <x:v>M4-REPAIR-179</x:v>
      </x:c>
      <x:c r="B180" s="20" t="str">
        <x:v>RB06 现实补偿等同关系修复｜机制定义</x:v>
      </x:c>
      <x:c r="C180" s="20" t="str">
        <x:v>L3 修复盲点与过早关闭</x:v>
      </x:c>
      <x:c r="D180" s="20" t="str">
        <x:v>REPAIR-修复盲点</x:v>
      </x:c>
      <x:c r="E180" s="20" t="str">
        <x:v>通用</x:v>
      </x:c>
      <x:c r="F180" s="20" t="str">
        <x:v>定义</x:v>
      </x:c>
      <x:c r="G180" s="20" t="str">
        <x:v>RB06</x:v>
      </x:c>
      <x:c r="H180" s="20" t="str"/>
      <x:c r="I180" s="20" t="str">
        <x:v>存在“现实补偿等同关系修复”的候选顺序。</x:v>
      </x:c>
      <x:c r="J180" s="20" t="str">
        <x:v>只凭十神标签或一次模糊事件。</x:v>
      </x:c>
      <x:c r="K180" s="20" t="str">
        <x:v>由共享基础引擎提供；仅修正修复功能的承载、持续与压力占位，不直接等同是否愿意认错或能否修复。</x:v>
      </x:c>
      <x:c r="L180" s="20" t="str">
        <x:v>由M1／M2提供；夫妻星只说明伴侣原型与关系资格，不单独证明修复能力、修复意愿或修复结果。</x:v>
      </x:c>
      <x:c r="M180" s="20" t="str">
        <x:v>由M3-BASE提供；日支底盘说明亲密关系中自然调用的功能，但不能单独证明修复闭环。</x:v>
      </x:c>
      <x:c r="N180" s="20" t="str">
        <x:v>由M3-CONFLICT、M4-LOOP及现实事件提供；必须区分问题停止、责任承担、影响确认、行动改变、反馈整合与后续回访。</x:v>
      </x:c>
      <x:c r="O180" s="20" t="str">
        <x:v>由共享基础引擎判定；近位提高相关功能进入亲密关系核心的概率，远位只作背景或阶段修正。</x:v>
      </x:c>
      <x:c r="P180" s="20" t="str">
        <x:v>根气只修正某修复功能是否容易重复调用，不等于现实中已经持续改变。</x:v>
      </x:c>
      <x:c r="Q180" s="20" t="str">
        <x:v>旺弱只修正功能调用强度与占位，不直接等同修复质量、诚意或关系结果。</x:v>
      </x:c>
      <x:c r="R180" s="20" t="str">
        <x:v>喜忌只修正功能摩擦、平衡与承载，不直接等同道德、成熟、善恶或是否值得原谅。</x:v>
      </x:c>
      <x:c r="S180" s="20" t="str">
        <x:v>原十神功能有效；真合化成立时按化神功能替换，合化争议时停止定性。</x:v>
      </x:c>
      <x:c r="T180" s="20" t="str">
        <x:v>近位提高修复议题与亲密关系的直接相关性；远位仅保留背景、阶段或低置信修正。</x:v>
      </x:c>
      <x:c r="U180" s="20" t="str">
        <x:v>72</x:v>
      </x:c>
      <x:c r="V180" s="20" t="str">
        <x:v>结构＋4；现实事件＋4；反例－4至停止</x:v>
      </x:c>
      <x:c r="W180" s="20" t="str">
        <x:v>repair_blindspot</x:v>
      </x:c>
      <x:c r="X180" s="20" t="str">
        <x:v>该盲点描述过早关闭或功能替代，不等同人格缺陷。</x:v>
      </x:c>
      <x:c r="Y180" s="20" t="str">
        <x:v>补偿可以是修复的一部分，但不能代替对问题和影响的正面回应。</x:v>
      </x:c>
      <x:c r="Z18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0" s="20" t="str">
        <x:v>中高</x:v>
      </x:c>
      <x:c r="AB180" s="20" t="str">
        <x:v>待验证</x:v>
      </x:c>
      <x:c r="AC180" s="20" t="str"/>
      <x:c r="AD180" s="20" t="str">
        <x:v>provisional=true；M3-REPAIR尚未完成，完成条件为暂定功能模型。</x:v>
      </x:c>
      <x:c r="AE180" s="52" t="str">
        <x:v>0.7</x:v>
      </x:c>
    </x:row>
    <x:row r="181">
      <x:c r="A181" s="51" t="str">
        <x:v>M4-REPAIR-180</x:v>
      </x:c>
      <x:c r="B181" s="20" t="str">
        <x:v>RB06 现实补偿等同关系修复｜成立证据</x:v>
      </x:c>
      <x:c r="C181" s="20" t="str">
        <x:v>L3 修复盲点与过早关闭</x:v>
      </x:c>
      <x:c r="D181" s="20" t="str">
        <x:v>REPAIR-修复盲点</x:v>
      </x:c>
      <x:c r="E181" s="20" t="str">
        <x:v>通用</x:v>
      </x:c>
      <x:c r="F181" s="20" t="str">
        <x:v>证据</x:v>
      </x:c>
      <x:c r="G181" s="20" t="str">
        <x:v>RB06</x:v>
      </x:c>
      <x:c r="H181" s="20" t="str"/>
      <x:c r="I181" s="20" t="str">
        <x:v>RN03、RN04或RN07不足，并有具体事件顺序。</x:v>
      </x:c>
      <x:c r="J181" s="20" t="str">
        <x:v>相应节点已有稳定现实证据。</x:v>
      </x:c>
      <x:c r="K181" s="20" t="str">
        <x:v>由共享基础引擎提供；仅修正修复功能的承载、持续与压力占位，不直接等同是否愿意认错或能否修复。</x:v>
      </x:c>
      <x:c r="L181" s="20" t="str">
        <x:v>由M1／M2提供；夫妻星只说明伴侣原型与关系资格，不单独证明修复能力、修复意愿或修复结果。</x:v>
      </x:c>
      <x:c r="M181" s="20" t="str">
        <x:v>由M3-BASE提供；日支底盘说明亲密关系中自然调用的功能，但不能单独证明修复闭环。</x:v>
      </x:c>
      <x:c r="N181" s="20" t="str">
        <x:v>由M3-CONFLICT、M4-LOOP及现实事件提供；必须区分问题停止、责任承担、影响确认、行动改变、反馈整合与后续回访。</x:v>
      </x:c>
      <x:c r="O181" s="20" t="str">
        <x:v>由共享基础引擎判定；近位提高相关功能进入亲密关系核心的概率，远位只作背景或阶段修正。</x:v>
      </x:c>
      <x:c r="P181" s="20" t="str">
        <x:v>根气只修正某修复功能是否容易重复调用，不等于现实中已经持续改变。</x:v>
      </x:c>
      <x:c r="Q181" s="20" t="str">
        <x:v>旺弱只修正功能调用强度与占位，不直接等同修复质量、诚意或关系结果。</x:v>
      </x:c>
      <x:c r="R181" s="20" t="str">
        <x:v>喜忌只修正功能摩擦、平衡与承载，不直接等同道德、成熟、善恶或是否值得原谅。</x:v>
      </x:c>
      <x:c r="S181" s="20" t="str">
        <x:v>原十神功能有效；真合化成立时按化神功能替换，合化争议时停止定性。</x:v>
      </x:c>
      <x:c r="T181" s="20" t="str">
        <x:v>近位提高修复议题与亲密关系的直接相关性；远位仅保留背景、阶段或低置信修正。</x:v>
      </x:c>
      <x:c r="U181" s="20" t="str">
        <x:v>86</x:v>
      </x:c>
      <x:c r="V181" s="20" t="str">
        <x:v>结构＋4；现实事件＋4；反例－4至停止</x:v>
      </x:c>
      <x:c r="W181" s="20" t="str">
        <x:v>repair_blindspot</x:v>
      </x:c>
      <x:c r="X181" s="20" t="str">
        <x:v>缺失节点必须由现实资料确认，不能只凭结构推测。</x:v>
      </x:c>
      <x:c r="Y181" s="20" t="str">
        <x:v>需要继续检查：RN03、RN04或RN07不足。</x:v>
      </x:c>
      <x:c r="Z18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1" s="20" t="str">
        <x:v>中高</x:v>
      </x:c>
      <x:c r="AB181" s="20" t="str">
        <x:v>待验证</x:v>
      </x:c>
      <x:c r="AC181" s="20" t="str"/>
      <x:c r="AD181" s="20" t="str">
        <x:v>provisional=true；M3-REPAIR尚未完成，完成条件为暂定功能模型。</x:v>
      </x:c>
      <x:c r="AE181" s="52" t="str">
        <x:v>0.7</x:v>
      </x:c>
    </x:row>
    <x:row r="182">
      <x:c r="A182" s="51" t="str">
        <x:v>M4-REPAIR-181</x:v>
      </x:c>
      <x:c r="B182" s="20" t="str">
        <x:v>RB06 现实补偿等同关系修复｜典型路由</x:v>
      </x:c>
      <x:c r="C182" s="20" t="str">
        <x:v>L3 修复盲点与过早关闭</x:v>
      </x:c>
      <x:c r="D182" s="20" t="str">
        <x:v>REPAIR-修复盲点</x:v>
      </x:c>
      <x:c r="E182" s="20" t="str">
        <x:v>通用</x:v>
      </x:c>
      <x:c r="F182" s="20" t="str">
        <x:v>路由</x:v>
      </x:c>
      <x:c r="G182" s="20" t="str">
        <x:v>RB06</x:v>
      </x:c>
      <x:c r="H182" s="20" t="str"/>
      <x:c r="I182" s="20" t="str">
        <x:v>前一步修复动作已经出现，但下一项必要任务没有进入。</x:v>
      </x:c>
      <x:c r="J182" s="20" t="str">
        <x:v>前后顺序完整且接收方反馈有效。</x:v>
      </x:c>
      <x:c r="K182" s="20" t="str">
        <x:v>由共享基础引擎提供；仅修正修复功能的承载、持续与压力占位，不直接等同是否愿意认错或能否修复。</x:v>
      </x:c>
      <x:c r="L182" s="20" t="str">
        <x:v>由M1／M2提供；夫妻星只说明伴侣原型与关系资格，不单独证明修复能力、修复意愿或修复结果。</x:v>
      </x:c>
      <x:c r="M182" s="20" t="str">
        <x:v>由M3-BASE提供；日支底盘说明亲密关系中自然调用的功能，但不能单独证明修复闭环。</x:v>
      </x:c>
      <x:c r="N182" s="20" t="str">
        <x:v>由M3-CONFLICT、M4-LOOP及现实事件提供；必须区分问题停止、责任承担、影响确认、行动改变、反馈整合与后续回访。</x:v>
      </x:c>
      <x:c r="O182" s="20" t="str">
        <x:v>由共享基础引擎判定；近位提高相关功能进入亲密关系核心的概率，远位只作背景或阶段修正。</x:v>
      </x:c>
      <x:c r="P182" s="20" t="str">
        <x:v>根气只修正某修复功能是否容易重复调用，不等于现实中已经持续改变。</x:v>
      </x:c>
      <x:c r="Q182" s="20" t="str">
        <x:v>旺弱只修正功能调用强度与占位，不直接等同修复质量、诚意或关系结果。</x:v>
      </x:c>
      <x:c r="R182" s="20" t="str">
        <x:v>喜忌只修正功能摩擦、平衡与承载，不直接等同道德、成熟、善恶或是否值得原谅。</x:v>
      </x:c>
      <x:c r="S182" s="20" t="str">
        <x:v>原十神功能有效；真合化成立时按化神功能替换，合化争议时停止定性。</x:v>
      </x:c>
      <x:c r="T182" s="20" t="str">
        <x:v>近位提高修复议题与亲密关系的直接相关性；远位仅保留背景、阶段或低置信修正。</x:v>
      </x:c>
      <x:c r="U182" s="20" t="str">
        <x:v>72</x:v>
      </x:c>
      <x:c r="V182" s="20" t="str">
        <x:v>结构＋4；现实事件＋4；反例－4至停止</x:v>
      </x:c>
      <x:c r="W182" s="20" t="str">
        <x:v>repair_blindspot</x:v>
      </x:c>
      <x:c r="X182" s="20" t="str">
        <x:v>路由说明卡点发生在哪里。</x:v>
      </x:c>
      <x:c r="Y182" s="20" t="str">
        <x:v>目前更像是前一步完成后，下一步没有顺利接上。</x:v>
      </x:c>
      <x:c r="Z18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2" s="20" t="str">
        <x:v>中高</x:v>
      </x:c>
      <x:c r="AB182" s="20" t="str">
        <x:v>待验证</x:v>
      </x:c>
      <x:c r="AC182" s="20" t="str"/>
      <x:c r="AD182" s="20" t="str">
        <x:v>provisional=true；M3-REPAIR尚未完成，完成条件为暂定功能模型。</x:v>
      </x:c>
      <x:c r="AE182" s="52" t="str">
        <x:v>0.7</x:v>
      </x:c>
    </x:row>
    <x:row r="183">
      <x:c r="A183" s="51" t="str">
        <x:v>M4-REPAIR-182</x:v>
      </x:c>
      <x:c r="B183" s="20" t="str">
        <x:v>RB06 现实补偿等同关系修复｜反例与替代解释</x:v>
      </x:c>
      <x:c r="C183" s="20" t="str">
        <x:v>L3 修复盲点与过早关闭</x:v>
      </x:c>
      <x:c r="D183" s="20" t="str">
        <x:v>REPAIR-修复盲点</x:v>
      </x:c>
      <x:c r="E183" s="20" t="str">
        <x:v>通用</x:v>
      </x:c>
      <x:c r="F183" s="20" t="str">
        <x:v>反例</x:v>
      </x:c>
      <x:c r="G183" s="20" t="str">
        <x:v>RB06</x:v>
      </x:c>
      <x:c r="H183" s="20" t="str"/>
      <x:c r="I183" s="20" t="str">
        <x:v>检查事件强度、双方意愿、时间不足、合理拒绝和安全因素。</x:v>
      </x:c>
      <x:c r="J183" s="20" t="str">
        <x:v>忽略成功修复或把合理边界当卡点。</x:v>
      </x:c>
      <x:c r="K183" s="20" t="str">
        <x:v>由共享基础引擎提供；仅修正修复功能的承载、持续与压力占位，不直接等同是否愿意认错或能否修复。</x:v>
      </x:c>
      <x:c r="L183" s="20" t="str">
        <x:v>由M1／M2提供；夫妻星只说明伴侣原型与关系资格，不单独证明修复能力、修复意愿或修复结果。</x:v>
      </x:c>
      <x:c r="M183" s="20" t="str">
        <x:v>由M3-BASE提供；日支底盘说明亲密关系中自然调用的功能，但不能单独证明修复闭环。</x:v>
      </x:c>
      <x:c r="N183" s="20" t="str">
        <x:v>由M3-CONFLICT、M4-LOOP及现实事件提供；必须区分问题停止、责任承担、影响确认、行动改变、反馈整合与后续回访。</x:v>
      </x:c>
      <x:c r="O183" s="20" t="str">
        <x:v>由共享基础引擎判定；近位提高相关功能进入亲密关系核心的概率，远位只作背景或阶段修正。</x:v>
      </x:c>
      <x:c r="P183" s="20" t="str">
        <x:v>根气只修正某修复功能是否容易重复调用，不等于现实中已经持续改变。</x:v>
      </x:c>
      <x:c r="Q183" s="20" t="str">
        <x:v>旺弱只修正功能调用强度与占位，不直接等同修复质量、诚意或关系结果。</x:v>
      </x:c>
      <x:c r="R183" s="20" t="str">
        <x:v>喜忌只修正功能摩擦、平衡与承载，不直接等同道德、成熟、善恶或是否值得原谅。</x:v>
      </x:c>
      <x:c r="S183" s="20" t="str">
        <x:v>原十神功能有效；真合化成立时按化神功能替换，合化争议时停止定性。</x:v>
      </x:c>
      <x:c r="T183" s="20" t="str">
        <x:v>近位提高修复议题与亲密关系的直接相关性；远位仅保留背景、阶段或低置信修正。</x:v>
      </x:c>
      <x:c r="U183" s="20" t="str">
        <x:v>86</x:v>
      </x:c>
      <x:c r="V183" s="20" t="str">
        <x:v>结构＋4；现实事件＋4；反例－4至停止</x:v>
      </x:c>
      <x:c r="W183" s="20" t="str">
        <x:v>repair_blindspot</x:v>
      </x:c>
      <x:c r="X183" s="20" t="str">
        <x:v>同一表面结果可能来自合理暂停、信息不足或不愿继续关系。</x:v>
      </x:c>
      <x:c r="Y183" s="20" t="str">
        <x:v>也要检查这是否只是合理暂停、资料不足，或对方选择不继续，而不是修复能力问题。</x:v>
      </x:c>
      <x:c r="Z18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3" s="20" t="str">
        <x:v>中高</x:v>
      </x:c>
      <x:c r="AB183" s="20" t="str">
        <x:v>待验证</x:v>
      </x:c>
      <x:c r="AC183" s="20" t="str"/>
      <x:c r="AD183" s="20" t="str">
        <x:v>provisional=true；M3-REPAIR尚未完成，完成条件为暂定功能模型。</x:v>
      </x:c>
      <x:c r="AE183" s="52" t="str">
        <x:v>0.7</x:v>
      </x:c>
    </x:row>
    <x:row r="184">
      <x:c r="A184" s="51" t="str">
        <x:v>M4-REPAIR-183</x:v>
      </x:c>
      <x:c r="B184" s="20" t="str">
        <x:v>RB06 现实补偿等同关系修复｜用户输出</x:v>
      </x:c>
      <x:c r="C184" s="20" t="str">
        <x:v>L3 修复盲点与过早关闭</x:v>
      </x:c>
      <x:c r="D184" s="20" t="str">
        <x:v>REPAIR-修复盲点</x:v>
      </x:c>
      <x:c r="E184" s="20" t="str">
        <x:v>通用</x:v>
      </x:c>
      <x:c r="F184" s="20" t="str">
        <x:v>输出</x:v>
      </x:c>
      <x:c r="G184" s="20" t="str">
        <x:v>RB06</x:v>
      </x:c>
      <x:c r="H184" s="20" t="str"/>
      <x:c r="I184" s="20" t="str">
        <x:v>该盲点达到E2或以上，并完成反例检查。</x:v>
      </x:c>
      <x:c r="J184" s="20" t="str">
        <x:v>资料不足或安全停止。</x:v>
      </x:c>
      <x:c r="K184" s="20" t="str">
        <x:v>由共享基础引擎提供；仅修正修复功能的承载、持续与压力占位，不直接等同是否愿意认错或能否修复。</x:v>
      </x:c>
      <x:c r="L184" s="20" t="str">
        <x:v>由M1／M2提供；夫妻星只说明伴侣原型与关系资格，不单独证明修复能力、修复意愿或修复结果。</x:v>
      </x:c>
      <x:c r="M184" s="20" t="str">
        <x:v>由M3-BASE提供；日支底盘说明亲密关系中自然调用的功能，但不能单独证明修复闭环。</x:v>
      </x:c>
      <x:c r="N184" s="20" t="str">
        <x:v>由M3-CONFLICT、M4-LOOP及现实事件提供；必须区分问题停止、责任承担、影响确认、行动改变、反馈整合与后续回访。</x:v>
      </x:c>
      <x:c r="O184" s="20" t="str">
        <x:v>由共享基础引擎判定；近位提高相关功能进入亲密关系核心的概率，远位只作背景或阶段修正。</x:v>
      </x:c>
      <x:c r="P184" s="20" t="str">
        <x:v>根气只修正某修复功能是否容易重复调用，不等于现实中已经持续改变。</x:v>
      </x:c>
      <x:c r="Q184" s="20" t="str">
        <x:v>旺弱只修正功能调用强度与占位，不直接等同修复质量、诚意或关系结果。</x:v>
      </x:c>
      <x:c r="R184" s="20" t="str">
        <x:v>喜忌只修正功能摩擦、平衡与承载，不直接等同道德、成熟、善恶或是否值得原谅。</x:v>
      </x:c>
      <x:c r="S184" s="20" t="str">
        <x:v>原十神功能有效；真合化成立时按化神功能替换，合化争议时停止定性。</x:v>
      </x:c>
      <x:c r="T184" s="20" t="str">
        <x:v>近位提高修复议题与亲密关系的直接相关性；远位仅保留背景、阶段或低置信修正。</x:v>
      </x:c>
      <x:c r="U184" s="20" t="str">
        <x:v>72</x:v>
      </x:c>
      <x:c r="V184" s="20" t="str">
        <x:v>结构＋4；现实事件＋4；反例－4至停止</x:v>
      </x:c>
      <x:c r="W184" s="20" t="str">
        <x:v>repair_blindspot</x:v>
      </x:c>
      <x:c r="X184" s="20" t="str">
        <x:v>语言应说明“已完成什么、缺什么、如何验证”。</x:v>
      </x:c>
      <x:c r="Y184" s="20" t="str">
        <x:v>补偿可以是修复的一部分，但不能代替对问题和影响的正面回应。</x:v>
      </x:c>
      <x:c r="Z18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4" s="20" t="str">
        <x:v>中高</x:v>
      </x:c>
      <x:c r="AB184" s="20" t="str">
        <x:v>待验证</x:v>
      </x:c>
      <x:c r="AC184" s="20" t="str"/>
      <x:c r="AD184" s="20" t="str">
        <x:v>provisional=true；M3-REPAIR尚未完成，完成条件为暂定功能模型。</x:v>
      </x:c>
      <x:c r="AE184" s="52" t="str">
        <x:v>0.7</x:v>
      </x:c>
    </x:row>
    <x:row r="185">
      <x:c r="A185" s="51" t="str">
        <x:v>M4-REPAIR-184</x:v>
      </x:c>
      <x:c r="B185" s="20" t="str">
        <x:v>RB06 现实补偿等同关系修复｜退出条件</x:v>
      </x:c>
      <x:c r="C185" s="20" t="str">
        <x:v>L3 修复盲点与过早关闭</x:v>
      </x:c>
      <x:c r="D185" s="20" t="str">
        <x:v>REPAIR-修复盲点</x:v>
      </x:c>
      <x:c r="E185" s="20" t="str">
        <x:v>通用</x:v>
      </x:c>
      <x:c r="F185" s="20" t="str">
        <x:v>保护</x:v>
      </x:c>
      <x:c r="G185" s="20" t="str">
        <x:v>RB06</x:v>
      </x:c>
      <x:c r="H185" s="20" t="str"/>
      <x:c r="I185" s="20" t="str">
        <x:v>补偿与责任、影响、反馈分开核对。</x:v>
      </x:c>
      <x:c r="J185" s="20" t="str">
        <x:v>只给抽象建议，没有可观察节点。</x:v>
      </x:c>
      <x:c r="K185" s="20" t="str">
        <x:v>由共享基础引擎提供；仅修正修复功能的承载、持续与压力占位，不直接等同是否愿意认错或能否修复。</x:v>
      </x:c>
      <x:c r="L185" s="20" t="str">
        <x:v>由M1／M2提供；夫妻星只说明伴侣原型与关系资格，不单独证明修复能力、修复意愿或修复结果。</x:v>
      </x:c>
      <x:c r="M185" s="20" t="str">
        <x:v>由M3-BASE提供；日支底盘说明亲密关系中自然调用的功能，但不能单独证明修复闭环。</x:v>
      </x:c>
      <x:c r="N185" s="20" t="str">
        <x:v>由M3-CONFLICT、M4-LOOP及现实事件提供；必须区分问题停止、责任承担、影响确认、行动改变、反馈整合与后续回访。</x:v>
      </x:c>
      <x:c r="O185" s="20" t="str">
        <x:v>由共享基础引擎判定；近位提高相关功能进入亲密关系核心的概率，远位只作背景或阶段修正。</x:v>
      </x:c>
      <x:c r="P185" s="20" t="str">
        <x:v>根气只修正某修复功能是否容易重复调用，不等于现实中已经持续改变。</x:v>
      </x:c>
      <x:c r="Q185" s="20" t="str">
        <x:v>旺弱只修正功能调用强度与占位，不直接等同修复质量、诚意或关系结果。</x:v>
      </x:c>
      <x:c r="R185" s="20" t="str">
        <x:v>喜忌只修正功能摩擦、平衡与承载，不直接等同道德、成熟、善恶或是否值得原谅。</x:v>
      </x:c>
      <x:c r="S185" s="20" t="str">
        <x:v>原十神功能有效；真合化成立时按化神功能替换，合化争议时停止定性。</x:v>
      </x:c>
      <x:c r="T185" s="20" t="str">
        <x:v>近位提高修复议题与亲密关系的直接相关性；远位仅保留背景、阶段或低置信修正。</x:v>
      </x:c>
      <x:c r="U185" s="20" t="str">
        <x:v>72</x:v>
      </x:c>
      <x:c r="V185" s="20" t="str">
        <x:v>结构＋4；现实事件＋4；反例－4至停止</x:v>
      </x:c>
      <x:c r="W185" s="20" t="str">
        <x:v>repair_blindspot</x:v>
      </x:c>
      <x:c r="X185" s="20" t="str">
        <x:v>退出条件必须能改变具体修复链，而不是要求人格改变。</x:v>
      </x:c>
      <x:c r="Y185" s="20" t="str">
        <x:v>中断这个卡点的关键是：补偿与责任、影响、反馈分开核对。</x:v>
      </x:c>
      <x:c r="Z18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5" s="20" t="str">
        <x:v>中高</x:v>
      </x:c>
      <x:c r="AB185" s="20" t="str">
        <x:v>待验证</x:v>
      </x:c>
      <x:c r="AC185" s="20" t="str"/>
      <x:c r="AD185" s="20" t="str">
        <x:v>provisional=true；M3-REPAIR尚未完成，完成条件为暂定功能模型。</x:v>
      </x:c>
      <x:c r="AE185" s="52" t="str">
        <x:v>0.7</x:v>
      </x:c>
    </x:row>
    <x:row r="186">
      <x:c r="A186" s="51" t="str">
        <x:v>M4-REPAIR-185</x:v>
      </x:c>
      <x:c r="B186" s="20" t="str">
        <x:v>RB07 承诺规则等同共同协商｜机制定义</x:v>
      </x:c>
      <x:c r="C186" s="20" t="str">
        <x:v>L3 修复盲点与过早关闭</x:v>
      </x:c>
      <x:c r="D186" s="20" t="str">
        <x:v>REPAIR-修复盲点</x:v>
      </x:c>
      <x:c r="E186" s="20" t="str">
        <x:v>通用</x:v>
      </x:c>
      <x:c r="F186" s="20" t="str">
        <x:v>定义</x:v>
      </x:c>
      <x:c r="G186" s="20" t="str">
        <x:v>RB07</x:v>
      </x:c>
      <x:c r="H186" s="20" t="str"/>
      <x:c r="I186" s="20" t="str">
        <x:v>存在“承诺规则等同共同协商”的候选顺序。</x:v>
      </x:c>
      <x:c r="J186" s="20" t="str">
        <x:v>只凭十神标签或一次模糊事件。</x:v>
      </x:c>
      <x:c r="K186" s="20" t="str">
        <x:v>由共享基础引擎提供；仅修正修复功能的承载、持续与压力占位，不直接等同是否愿意认错或能否修复。</x:v>
      </x:c>
      <x:c r="L186" s="20" t="str">
        <x:v>由M1／M2提供；夫妻星只说明伴侣原型与关系资格，不单独证明修复能力、修复意愿或修复结果。</x:v>
      </x:c>
      <x:c r="M186" s="20" t="str">
        <x:v>由M3-BASE提供；日支底盘说明亲密关系中自然调用的功能，但不能单独证明修复闭环。</x:v>
      </x:c>
      <x:c r="N186" s="20" t="str">
        <x:v>由M3-CONFLICT、M4-LOOP及现实事件提供；必须区分问题停止、责任承担、影响确认、行动改变、反馈整合与后续回访。</x:v>
      </x:c>
      <x:c r="O186" s="20" t="str">
        <x:v>由共享基础引擎判定；近位提高相关功能进入亲密关系核心的概率，远位只作背景或阶段修正。</x:v>
      </x:c>
      <x:c r="P186" s="20" t="str">
        <x:v>根气只修正某修复功能是否容易重复调用，不等于现实中已经持续改变。</x:v>
      </x:c>
      <x:c r="Q186" s="20" t="str">
        <x:v>旺弱只修正功能调用强度与占位，不直接等同修复质量、诚意或关系结果。</x:v>
      </x:c>
      <x:c r="R186" s="20" t="str">
        <x:v>喜忌只修正功能摩擦、平衡与承载，不直接等同道德、成熟、善恶或是否值得原谅。</x:v>
      </x:c>
      <x:c r="S186" s="20" t="str">
        <x:v>原十神功能有效；真合化成立时按化神功能替换，合化争议时停止定性。</x:v>
      </x:c>
      <x:c r="T186" s="20" t="str">
        <x:v>近位提高修复议题与亲密关系的直接相关性；远位仅保留背景、阶段或低置信修正。</x:v>
      </x:c>
      <x:c r="U186" s="20" t="str">
        <x:v>72</x:v>
      </x:c>
      <x:c r="V186" s="20" t="str">
        <x:v>结构＋4；现实事件＋4；反例－4至停止</x:v>
      </x:c>
      <x:c r="W186" s="20" t="str">
        <x:v>repair_blindspot</x:v>
      </x:c>
      <x:c r="X186" s="20" t="str">
        <x:v>该盲点描述过早关闭或功能替代，不等同人格缺陷。</x:v>
      </x:c>
      <x:c r="Y186" s="20" t="str">
        <x:v>新的规则只有在双方都能参与、理解和调整时，才真正有修复作用。</x:v>
      </x:c>
      <x:c r="Z18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6" s="20" t="str">
        <x:v>中高</x:v>
      </x:c>
      <x:c r="AB186" s="20" t="str">
        <x:v>待验证</x:v>
      </x:c>
      <x:c r="AC186" s="20" t="str"/>
      <x:c r="AD186" s="20" t="str">
        <x:v>provisional=true；M3-REPAIR尚未完成，完成条件为暂定功能模型。</x:v>
      </x:c>
      <x:c r="AE186" s="52" t="str">
        <x:v>0.7</x:v>
      </x:c>
    </x:row>
    <x:row r="187">
      <x:c r="A187" s="51" t="str">
        <x:v>M4-REPAIR-186</x:v>
      </x:c>
      <x:c r="B187" s="20" t="str">
        <x:v>RB07 承诺规则等同共同协商｜成立证据</x:v>
      </x:c>
      <x:c r="C187" s="20" t="str">
        <x:v>L3 修复盲点与过早关闭</x:v>
      </x:c>
      <x:c r="D187" s="20" t="str">
        <x:v>REPAIR-修复盲点</x:v>
      </x:c>
      <x:c r="E187" s="20" t="str">
        <x:v>通用</x:v>
      </x:c>
      <x:c r="F187" s="20" t="str">
        <x:v>证据</x:v>
      </x:c>
      <x:c r="G187" s="20" t="str">
        <x:v>RB07</x:v>
      </x:c>
      <x:c r="H187" s="20" t="str"/>
      <x:c r="I187" s="20" t="str">
        <x:v>RN05共同决定不足，并有具体事件顺序。</x:v>
      </x:c>
      <x:c r="J187" s="20" t="str">
        <x:v>相应节点已有稳定现实证据。</x:v>
      </x:c>
      <x:c r="K187" s="20" t="str">
        <x:v>由共享基础引擎提供；仅修正修复功能的承载、持续与压力占位，不直接等同是否愿意认错或能否修复。</x:v>
      </x:c>
      <x:c r="L187" s="20" t="str">
        <x:v>由M1／M2提供；夫妻星只说明伴侣原型与关系资格，不单独证明修复能力、修复意愿或修复结果。</x:v>
      </x:c>
      <x:c r="M187" s="20" t="str">
        <x:v>由M3-BASE提供；日支底盘说明亲密关系中自然调用的功能，但不能单独证明修复闭环。</x:v>
      </x:c>
      <x:c r="N187" s="20" t="str">
        <x:v>由M3-CONFLICT、M4-LOOP及现实事件提供；必须区分问题停止、责任承担、影响确认、行动改变、反馈整合与后续回访。</x:v>
      </x:c>
      <x:c r="O187" s="20" t="str">
        <x:v>由共享基础引擎判定；近位提高相关功能进入亲密关系核心的概率，远位只作背景或阶段修正。</x:v>
      </x:c>
      <x:c r="P187" s="20" t="str">
        <x:v>根气只修正某修复功能是否容易重复调用，不等于现实中已经持续改变。</x:v>
      </x:c>
      <x:c r="Q187" s="20" t="str">
        <x:v>旺弱只修正功能调用强度与占位，不直接等同修复质量、诚意或关系结果。</x:v>
      </x:c>
      <x:c r="R187" s="20" t="str">
        <x:v>喜忌只修正功能摩擦、平衡与承载，不直接等同道德、成熟、善恶或是否值得原谅。</x:v>
      </x:c>
      <x:c r="S187" s="20" t="str">
        <x:v>原十神功能有效；真合化成立时按化神功能替换，合化争议时停止定性。</x:v>
      </x:c>
      <x:c r="T187" s="20" t="str">
        <x:v>近位提高修复议题与亲密关系的直接相关性；远位仅保留背景、阶段或低置信修正。</x:v>
      </x:c>
      <x:c r="U187" s="20" t="str">
        <x:v>86</x:v>
      </x:c>
      <x:c r="V187" s="20" t="str">
        <x:v>结构＋4；现实事件＋4；反例－4至停止</x:v>
      </x:c>
      <x:c r="W187" s="20" t="str">
        <x:v>repair_blindspot</x:v>
      </x:c>
      <x:c r="X187" s="20" t="str">
        <x:v>缺失节点必须由现实资料确认，不能只凭结构推测。</x:v>
      </x:c>
      <x:c r="Y187" s="20" t="str">
        <x:v>需要继续检查：RN05共同决定不足。</x:v>
      </x:c>
      <x:c r="Z18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7" s="20" t="str">
        <x:v>中高</x:v>
      </x:c>
      <x:c r="AB187" s="20" t="str">
        <x:v>待验证</x:v>
      </x:c>
      <x:c r="AC187" s="20" t="str"/>
      <x:c r="AD187" s="20" t="str">
        <x:v>provisional=true；M3-REPAIR尚未完成，完成条件为暂定功能模型。</x:v>
      </x:c>
      <x:c r="AE187" s="52" t="str">
        <x:v>0.7</x:v>
      </x:c>
    </x:row>
    <x:row r="188">
      <x:c r="A188" s="51" t="str">
        <x:v>M4-REPAIR-187</x:v>
      </x:c>
      <x:c r="B188" s="20" t="str">
        <x:v>RB07 承诺规则等同共同协商｜典型路由</x:v>
      </x:c>
      <x:c r="C188" s="20" t="str">
        <x:v>L3 修复盲点与过早关闭</x:v>
      </x:c>
      <x:c r="D188" s="20" t="str">
        <x:v>REPAIR-修复盲点</x:v>
      </x:c>
      <x:c r="E188" s="20" t="str">
        <x:v>通用</x:v>
      </x:c>
      <x:c r="F188" s="20" t="str">
        <x:v>路由</x:v>
      </x:c>
      <x:c r="G188" s="20" t="str">
        <x:v>RB07</x:v>
      </x:c>
      <x:c r="H188" s="20" t="str"/>
      <x:c r="I188" s="20" t="str">
        <x:v>前一步修复动作已经出现，但下一项必要任务没有进入。</x:v>
      </x:c>
      <x:c r="J188" s="20" t="str">
        <x:v>前后顺序完整且接收方反馈有效。</x:v>
      </x:c>
      <x:c r="K188" s="20" t="str">
        <x:v>由共享基础引擎提供；仅修正修复功能的承载、持续与压力占位，不直接等同是否愿意认错或能否修复。</x:v>
      </x:c>
      <x:c r="L188" s="20" t="str">
        <x:v>由M1／M2提供；夫妻星只说明伴侣原型与关系资格，不单独证明修复能力、修复意愿或修复结果。</x:v>
      </x:c>
      <x:c r="M188" s="20" t="str">
        <x:v>由M3-BASE提供；日支底盘说明亲密关系中自然调用的功能，但不能单独证明修复闭环。</x:v>
      </x:c>
      <x:c r="N188" s="20" t="str">
        <x:v>由M3-CONFLICT、M4-LOOP及现实事件提供；必须区分问题停止、责任承担、影响确认、行动改变、反馈整合与后续回访。</x:v>
      </x:c>
      <x:c r="O188" s="20" t="str">
        <x:v>由共享基础引擎判定；近位提高相关功能进入亲密关系核心的概率，远位只作背景或阶段修正。</x:v>
      </x:c>
      <x:c r="P188" s="20" t="str">
        <x:v>根气只修正某修复功能是否容易重复调用，不等于现实中已经持续改变。</x:v>
      </x:c>
      <x:c r="Q188" s="20" t="str">
        <x:v>旺弱只修正功能调用强度与占位，不直接等同修复质量、诚意或关系结果。</x:v>
      </x:c>
      <x:c r="R188" s="20" t="str">
        <x:v>喜忌只修正功能摩擦、平衡与承载，不直接等同道德、成熟、善恶或是否值得原谅。</x:v>
      </x:c>
      <x:c r="S188" s="20" t="str">
        <x:v>原十神功能有效；真合化成立时按化神功能替换，合化争议时停止定性。</x:v>
      </x:c>
      <x:c r="T188" s="20" t="str">
        <x:v>近位提高修复议题与亲密关系的直接相关性；远位仅保留背景、阶段或低置信修正。</x:v>
      </x:c>
      <x:c r="U188" s="20" t="str">
        <x:v>72</x:v>
      </x:c>
      <x:c r="V188" s="20" t="str">
        <x:v>结构＋4；现实事件＋4；反例－4至停止</x:v>
      </x:c>
      <x:c r="W188" s="20" t="str">
        <x:v>repair_blindspot</x:v>
      </x:c>
      <x:c r="X188" s="20" t="str">
        <x:v>路由说明卡点发生在哪里。</x:v>
      </x:c>
      <x:c r="Y188" s="20" t="str">
        <x:v>目前更像是前一步完成后，下一步没有顺利接上。</x:v>
      </x:c>
      <x:c r="Z18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8" s="20" t="str">
        <x:v>中高</x:v>
      </x:c>
      <x:c r="AB188" s="20" t="str">
        <x:v>待验证</x:v>
      </x:c>
      <x:c r="AC188" s="20" t="str"/>
      <x:c r="AD188" s="20" t="str">
        <x:v>provisional=true；M3-REPAIR尚未完成，完成条件为暂定功能模型。</x:v>
      </x:c>
      <x:c r="AE188" s="52" t="str">
        <x:v>0.7</x:v>
      </x:c>
    </x:row>
    <x:row r="189">
      <x:c r="A189" s="51" t="str">
        <x:v>M4-REPAIR-188</x:v>
      </x:c>
      <x:c r="B189" s="20" t="str">
        <x:v>RB07 承诺规则等同共同协商｜反例与替代解释</x:v>
      </x:c>
      <x:c r="C189" s="20" t="str">
        <x:v>L3 修复盲点与过早关闭</x:v>
      </x:c>
      <x:c r="D189" s="20" t="str">
        <x:v>REPAIR-修复盲点</x:v>
      </x:c>
      <x:c r="E189" s="20" t="str">
        <x:v>通用</x:v>
      </x:c>
      <x:c r="F189" s="20" t="str">
        <x:v>反例</x:v>
      </x:c>
      <x:c r="G189" s="20" t="str">
        <x:v>RB07</x:v>
      </x:c>
      <x:c r="H189" s="20" t="str"/>
      <x:c r="I189" s="20" t="str">
        <x:v>检查事件强度、双方意愿、时间不足、合理拒绝和安全因素。</x:v>
      </x:c>
      <x:c r="J189" s="20" t="str">
        <x:v>忽略成功修复或把合理边界当卡点。</x:v>
      </x:c>
      <x:c r="K189" s="20" t="str">
        <x:v>由共享基础引擎提供；仅修正修复功能的承载、持续与压力占位，不直接等同是否愿意认错或能否修复。</x:v>
      </x:c>
      <x:c r="L189" s="20" t="str">
        <x:v>由M1／M2提供；夫妻星只说明伴侣原型与关系资格，不单独证明修复能力、修复意愿或修复结果。</x:v>
      </x:c>
      <x:c r="M189" s="20" t="str">
        <x:v>由M3-BASE提供；日支底盘说明亲密关系中自然调用的功能，但不能单独证明修复闭环。</x:v>
      </x:c>
      <x:c r="N189" s="20" t="str">
        <x:v>由M3-CONFLICT、M4-LOOP及现实事件提供；必须区分问题停止、责任承担、影响确认、行动改变、反馈整合与后续回访。</x:v>
      </x:c>
      <x:c r="O189" s="20" t="str">
        <x:v>由共享基础引擎判定；近位提高相关功能进入亲密关系核心的概率，远位只作背景或阶段修正。</x:v>
      </x:c>
      <x:c r="P189" s="20" t="str">
        <x:v>根气只修正某修复功能是否容易重复调用，不等于现实中已经持续改变。</x:v>
      </x:c>
      <x:c r="Q189" s="20" t="str">
        <x:v>旺弱只修正功能调用强度与占位，不直接等同修复质量、诚意或关系结果。</x:v>
      </x:c>
      <x:c r="R189" s="20" t="str">
        <x:v>喜忌只修正功能摩擦、平衡与承载，不直接等同道德、成熟、善恶或是否值得原谅。</x:v>
      </x:c>
      <x:c r="S189" s="20" t="str">
        <x:v>原十神功能有效；真合化成立时按化神功能替换，合化争议时停止定性。</x:v>
      </x:c>
      <x:c r="T189" s="20" t="str">
        <x:v>近位提高修复议题与亲密关系的直接相关性；远位仅保留背景、阶段或低置信修正。</x:v>
      </x:c>
      <x:c r="U189" s="20" t="str">
        <x:v>86</x:v>
      </x:c>
      <x:c r="V189" s="20" t="str">
        <x:v>结构＋4；现实事件＋4；反例－4至停止</x:v>
      </x:c>
      <x:c r="W189" s="20" t="str">
        <x:v>repair_blindspot</x:v>
      </x:c>
      <x:c r="X189" s="20" t="str">
        <x:v>同一表面结果可能来自合理暂停、信息不足或不愿继续关系。</x:v>
      </x:c>
      <x:c r="Y189" s="20" t="str">
        <x:v>也要检查这是否只是合理暂停、资料不足，或对方选择不继续，而不是修复能力问题。</x:v>
      </x:c>
      <x:c r="Z18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89" s="20" t="str">
        <x:v>中高</x:v>
      </x:c>
      <x:c r="AB189" s="20" t="str">
        <x:v>待验证</x:v>
      </x:c>
      <x:c r="AC189" s="20" t="str"/>
      <x:c r="AD189" s="20" t="str">
        <x:v>provisional=true；M3-REPAIR尚未完成，完成条件为暂定功能模型。</x:v>
      </x:c>
      <x:c r="AE189" s="52" t="str">
        <x:v>0.7</x:v>
      </x:c>
    </x:row>
    <x:row r="190">
      <x:c r="A190" s="51" t="str">
        <x:v>M4-REPAIR-189</x:v>
      </x:c>
      <x:c r="B190" s="20" t="str">
        <x:v>RB07 承诺规则等同共同协商｜用户输出</x:v>
      </x:c>
      <x:c r="C190" s="20" t="str">
        <x:v>L3 修复盲点与过早关闭</x:v>
      </x:c>
      <x:c r="D190" s="20" t="str">
        <x:v>REPAIR-修复盲点</x:v>
      </x:c>
      <x:c r="E190" s="20" t="str">
        <x:v>通用</x:v>
      </x:c>
      <x:c r="F190" s="20" t="str">
        <x:v>输出</x:v>
      </x:c>
      <x:c r="G190" s="20" t="str">
        <x:v>RB07</x:v>
      </x:c>
      <x:c r="H190" s="20" t="str"/>
      <x:c r="I190" s="20" t="str">
        <x:v>该盲点达到E2或以上，并完成反例检查。</x:v>
      </x:c>
      <x:c r="J190" s="20" t="str">
        <x:v>资料不足或安全停止。</x:v>
      </x:c>
      <x:c r="K190" s="20" t="str">
        <x:v>由共享基础引擎提供；仅修正修复功能的承载、持续与压力占位，不直接等同是否愿意认错或能否修复。</x:v>
      </x:c>
      <x:c r="L190" s="20" t="str">
        <x:v>由M1／M2提供；夫妻星只说明伴侣原型与关系资格，不单独证明修复能力、修复意愿或修复结果。</x:v>
      </x:c>
      <x:c r="M190" s="20" t="str">
        <x:v>由M3-BASE提供；日支底盘说明亲密关系中自然调用的功能，但不能单独证明修复闭环。</x:v>
      </x:c>
      <x:c r="N190" s="20" t="str">
        <x:v>由M3-CONFLICT、M4-LOOP及现实事件提供；必须区分问题停止、责任承担、影响确认、行动改变、反馈整合与后续回访。</x:v>
      </x:c>
      <x:c r="O190" s="20" t="str">
        <x:v>由共享基础引擎判定；近位提高相关功能进入亲密关系核心的概率，远位只作背景或阶段修正。</x:v>
      </x:c>
      <x:c r="P190" s="20" t="str">
        <x:v>根气只修正某修复功能是否容易重复调用，不等于现实中已经持续改变。</x:v>
      </x:c>
      <x:c r="Q190" s="20" t="str">
        <x:v>旺弱只修正功能调用强度与占位，不直接等同修复质量、诚意或关系结果。</x:v>
      </x:c>
      <x:c r="R190" s="20" t="str">
        <x:v>喜忌只修正功能摩擦、平衡与承载，不直接等同道德、成熟、善恶或是否值得原谅。</x:v>
      </x:c>
      <x:c r="S190" s="20" t="str">
        <x:v>原十神功能有效；真合化成立时按化神功能替换，合化争议时停止定性。</x:v>
      </x:c>
      <x:c r="T190" s="20" t="str">
        <x:v>近位提高修复议题与亲密关系的直接相关性；远位仅保留背景、阶段或低置信修正。</x:v>
      </x:c>
      <x:c r="U190" s="20" t="str">
        <x:v>72</x:v>
      </x:c>
      <x:c r="V190" s="20" t="str">
        <x:v>结构＋4；现实事件＋4；反例－4至停止</x:v>
      </x:c>
      <x:c r="W190" s="20" t="str">
        <x:v>repair_blindspot</x:v>
      </x:c>
      <x:c r="X190" s="20" t="str">
        <x:v>语言应说明“已完成什么、缺什么、如何验证”。</x:v>
      </x:c>
      <x:c r="Y190" s="20" t="str">
        <x:v>新的规则只有在双方都能参与、理解和调整时，才真正有修复作用。</x:v>
      </x:c>
      <x:c r="Z19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0" s="20" t="str">
        <x:v>中高</x:v>
      </x:c>
      <x:c r="AB190" s="20" t="str">
        <x:v>待验证</x:v>
      </x:c>
      <x:c r="AC190" s="20" t="str"/>
      <x:c r="AD190" s="20" t="str">
        <x:v>provisional=true；M3-REPAIR尚未完成，完成条件为暂定功能模型。</x:v>
      </x:c>
      <x:c r="AE190" s="52" t="str">
        <x:v>0.7</x:v>
      </x:c>
    </x:row>
    <x:row r="191">
      <x:c r="A191" s="51" t="str">
        <x:v>M4-REPAIR-190</x:v>
      </x:c>
      <x:c r="B191" s="20" t="str">
        <x:v>RB07 承诺规则等同共同协商｜退出条件</x:v>
      </x:c>
      <x:c r="C191" s="20" t="str">
        <x:v>L3 修复盲点与过早关闭</x:v>
      </x:c>
      <x:c r="D191" s="20" t="str">
        <x:v>REPAIR-修复盲点</x:v>
      </x:c>
      <x:c r="E191" s="20" t="str">
        <x:v>通用</x:v>
      </x:c>
      <x:c r="F191" s="20" t="str">
        <x:v>保护</x:v>
      </x:c>
      <x:c r="G191" s="20" t="str">
        <x:v>RB07</x:v>
      </x:c>
      <x:c r="H191" s="20" t="str"/>
      <x:c r="I191" s="20" t="str">
        <x:v>规则必须共同制定、可执行并允许复盘。</x:v>
      </x:c>
      <x:c r="J191" s="20" t="str">
        <x:v>只给抽象建议，没有可观察节点。</x:v>
      </x:c>
      <x:c r="K191" s="20" t="str">
        <x:v>由共享基础引擎提供；仅修正修复功能的承载、持续与压力占位，不直接等同是否愿意认错或能否修复。</x:v>
      </x:c>
      <x:c r="L191" s="20" t="str">
        <x:v>由M1／M2提供；夫妻星只说明伴侣原型与关系资格，不单独证明修复能力、修复意愿或修复结果。</x:v>
      </x:c>
      <x:c r="M191" s="20" t="str">
        <x:v>由M3-BASE提供；日支底盘说明亲密关系中自然调用的功能，但不能单独证明修复闭环。</x:v>
      </x:c>
      <x:c r="N191" s="20" t="str">
        <x:v>由M3-CONFLICT、M4-LOOP及现实事件提供；必须区分问题停止、责任承担、影响确认、行动改变、反馈整合与后续回访。</x:v>
      </x:c>
      <x:c r="O191" s="20" t="str">
        <x:v>由共享基础引擎判定；近位提高相关功能进入亲密关系核心的概率，远位只作背景或阶段修正。</x:v>
      </x:c>
      <x:c r="P191" s="20" t="str">
        <x:v>根气只修正某修复功能是否容易重复调用，不等于现实中已经持续改变。</x:v>
      </x:c>
      <x:c r="Q191" s="20" t="str">
        <x:v>旺弱只修正功能调用强度与占位，不直接等同修复质量、诚意或关系结果。</x:v>
      </x:c>
      <x:c r="R191" s="20" t="str">
        <x:v>喜忌只修正功能摩擦、平衡与承载，不直接等同道德、成熟、善恶或是否值得原谅。</x:v>
      </x:c>
      <x:c r="S191" s="20" t="str">
        <x:v>原十神功能有效；真合化成立时按化神功能替换，合化争议时停止定性。</x:v>
      </x:c>
      <x:c r="T191" s="20" t="str">
        <x:v>近位提高修复议题与亲密关系的直接相关性；远位仅保留背景、阶段或低置信修正。</x:v>
      </x:c>
      <x:c r="U191" s="20" t="str">
        <x:v>72</x:v>
      </x:c>
      <x:c r="V191" s="20" t="str">
        <x:v>结构＋4；现实事件＋4；反例－4至停止</x:v>
      </x:c>
      <x:c r="W191" s="20" t="str">
        <x:v>repair_blindspot</x:v>
      </x:c>
      <x:c r="X191" s="20" t="str">
        <x:v>退出条件必须能改变具体修复链，而不是要求人格改变。</x:v>
      </x:c>
      <x:c r="Y191" s="20" t="str">
        <x:v>中断这个卡点的关键是：规则必须共同制定、可执行并允许复盘。</x:v>
      </x:c>
      <x:c r="Z19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1" s="20" t="str">
        <x:v>中高</x:v>
      </x:c>
      <x:c r="AB191" s="20" t="str">
        <x:v>待验证</x:v>
      </x:c>
      <x:c r="AC191" s="20" t="str"/>
      <x:c r="AD191" s="20" t="str">
        <x:v>provisional=true；M3-REPAIR尚未完成，完成条件为暂定功能模型。</x:v>
      </x:c>
      <x:c r="AE191" s="52" t="str">
        <x:v>0.7</x:v>
      </x:c>
    </x:row>
    <x:row r="192">
      <x:c r="A192" s="51" t="str">
        <x:v>M4-REPAIR-191</x:v>
      </x:c>
      <x:c r="B192" s="20" t="str">
        <x:v>RB08 方案形成等同执行完成｜机制定义</x:v>
      </x:c>
      <x:c r="C192" s="20" t="str">
        <x:v>L3 修复盲点与过早关闭</x:v>
      </x:c>
      <x:c r="D192" s="20" t="str">
        <x:v>REPAIR-修复盲点</x:v>
      </x:c>
      <x:c r="E192" s="20" t="str">
        <x:v>通用</x:v>
      </x:c>
      <x:c r="F192" s="20" t="str">
        <x:v>定义</x:v>
      </x:c>
      <x:c r="G192" s="20" t="str">
        <x:v>RB08</x:v>
      </x:c>
      <x:c r="H192" s="20" t="str"/>
      <x:c r="I192" s="20" t="str">
        <x:v>存在“方案形成等同执行完成”的候选顺序。</x:v>
      </x:c>
      <x:c r="J192" s="20" t="str">
        <x:v>只凭十神标签或一次模糊事件。</x:v>
      </x:c>
      <x:c r="K192" s="20" t="str">
        <x:v>由共享基础引擎提供；仅修正修复功能的承载、持续与压力占位，不直接等同是否愿意认错或能否修复。</x:v>
      </x:c>
      <x:c r="L192" s="20" t="str">
        <x:v>由M1／M2提供；夫妻星只说明伴侣原型与关系资格，不单独证明修复能力、修复意愿或修复结果。</x:v>
      </x:c>
      <x:c r="M192" s="20" t="str">
        <x:v>由M3-BASE提供；日支底盘说明亲密关系中自然调用的功能，但不能单独证明修复闭环。</x:v>
      </x:c>
      <x:c r="N192" s="20" t="str">
        <x:v>由M3-CONFLICT、M4-LOOP及现实事件提供；必须区分问题停止、责任承担、影响确认、行动改变、反馈整合与后续回访。</x:v>
      </x:c>
      <x:c r="O192" s="20" t="str">
        <x:v>由共享基础引擎判定；近位提高相关功能进入亲密关系核心的概率，远位只作背景或阶段修正。</x:v>
      </x:c>
      <x:c r="P192" s="20" t="str">
        <x:v>根气只修正某修复功能是否容易重复调用，不等于现实中已经持续改变。</x:v>
      </x:c>
      <x:c r="Q192" s="20" t="str">
        <x:v>旺弱只修正功能调用强度与占位，不直接等同修复质量、诚意或关系结果。</x:v>
      </x:c>
      <x:c r="R192" s="20" t="str">
        <x:v>喜忌只修正功能摩擦、平衡与承载，不直接等同道德、成熟、善恶或是否值得原谅。</x:v>
      </x:c>
      <x:c r="S192" s="20" t="str">
        <x:v>原十神功能有效；真合化成立时按化神功能替换，合化争议时停止定性。</x:v>
      </x:c>
      <x:c r="T192" s="20" t="str">
        <x:v>近位提高修复议题与亲密关系的直接相关性；远位仅保留背景、阶段或低置信修正。</x:v>
      </x:c>
      <x:c r="U192" s="20" t="str">
        <x:v>72</x:v>
      </x:c>
      <x:c r="V192" s="20" t="str">
        <x:v>结构＋4；现实事件＋4；反例－4至停止</x:v>
      </x:c>
      <x:c r="W192" s="20" t="str">
        <x:v>repair_blindspot</x:v>
      </x:c>
      <x:c r="X192" s="20" t="str">
        <x:v>该盲点描述过早关闭或功能替代，不等同人格缺陷。</x:v>
      </x:c>
      <x:c r="Y192" s="20" t="str">
        <x:v>有了方案只是开始，还要看是否执行、是否有效，以及对方怎样反馈。</x:v>
      </x:c>
      <x:c r="Z19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2" s="20" t="str">
        <x:v>中高</x:v>
      </x:c>
      <x:c r="AB192" s="20" t="str">
        <x:v>待验证</x:v>
      </x:c>
      <x:c r="AC192" s="20" t="str"/>
      <x:c r="AD192" s="20" t="str">
        <x:v>provisional=true；M3-REPAIR尚未完成，完成条件为暂定功能模型。</x:v>
      </x:c>
      <x:c r="AE192" s="52" t="str">
        <x:v>0.7</x:v>
      </x:c>
    </x:row>
    <x:row r="193">
      <x:c r="A193" s="51" t="str">
        <x:v>M4-REPAIR-192</x:v>
      </x:c>
      <x:c r="B193" s="20" t="str">
        <x:v>RB08 方案形成等同执行完成｜成立证据</x:v>
      </x:c>
      <x:c r="C193" s="20" t="str">
        <x:v>L3 修复盲点与过早关闭</x:v>
      </x:c>
      <x:c r="D193" s="20" t="str">
        <x:v>REPAIR-修复盲点</x:v>
      </x:c>
      <x:c r="E193" s="20" t="str">
        <x:v>通用</x:v>
      </x:c>
      <x:c r="F193" s="20" t="str">
        <x:v>证据</x:v>
      </x:c>
      <x:c r="G193" s="20" t="str">
        <x:v>RB08</x:v>
      </x:c>
      <x:c r="H193" s="20" t="str"/>
      <x:c r="I193" s="20" t="str">
        <x:v>RN06执行、RN07反馈或RN08回访不足，并有具体事件顺序。</x:v>
      </x:c>
      <x:c r="J193" s="20" t="str">
        <x:v>相应节点已有稳定现实证据。</x:v>
      </x:c>
      <x:c r="K193" s="20" t="str">
        <x:v>由共享基础引擎提供；仅修正修复功能的承载、持续与压力占位，不直接等同是否愿意认错或能否修复。</x:v>
      </x:c>
      <x:c r="L193" s="20" t="str">
        <x:v>由M1／M2提供；夫妻星只说明伴侣原型与关系资格，不单独证明修复能力、修复意愿或修复结果。</x:v>
      </x:c>
      <x:c r="M193" s="20" t="str">
        <x:v>由M3-BASE提供；日支底盘说明亲密关系中自然调用的功能，但不能单独证明修复闭环。</x:v>
      </x:c>
      <x:c r="N193" s="20" t="str">
        <x:v>由M3-CONFLICT、M4-LOOP及现实事件提供；必须区分问题停止、责任承担、影响确认、行动改变、反馈整合与后续回访。</x:v>
      </x:c>
      <x:c r="O193" s="20" t="str">
        <x:v>由共享基础引擎判定；近位提高相关功能进入亲密关系核心的概率，远位只作背景或阶段修正。</x:v>
      </x:c>
      <x:c r="P193" s="20" t="str">
        <x:v>根气只修正某修复功能是否容易重复调用，不等于现实中已经持续改变。</x:v>
      </x:c>
      <x:c r="Q193" s="20" t="str">
        <x:v>旺弱只修正功能调用强度与占位，不直接等同修复质量、诚意或关系结果。</x:v>
      </x:c>
      <x:c r="R193" s="20" t="str">
        <x:v>喜忌只修正功能摩擦、平衡与承载，不直接等同道德、成熟、善恶或是否值得原谅。</x:v>
      </x:c>
      <x:c r="S193" s="20" t="str">
        <x:v>原十神功能有效；真合化成立时按化神功能替换，合化争议时停止定性。</x:v>
      </x:c>
      <x:c r="T193" s="20" t="str">
        <x:v>近位提高修复议题与亲密关系的直接相关性；远位仅保留背景、阶段或低置信修正。</x:v>
      </x:c>
      <x:c r="U193" s="20" t="str">
        <x:v>86</x:v>
      </x:c>
      <x:c r="V193" s="20" t="str">
        <x:v>结构＋4；现实事件＋4；反例－4至停止</x:v>
      </x:c>
      <x:c r="W193" s="20" t="str">
        <x:v>repair_blindspot</x:v>
      </x:c>
      <x:c r="X193" s="20" t="str">
        <x:v>缺失节点必须由现实资料确认，不能只凭结构推测。</x:v>
      </x:c>
      <x:c r="Y193" s="20" t="str">
        <x:v>需要继续检查：RN06执行、RN07反馈或RN08回访不足。</x:v>
      </x:c>
      <x:c r="Z19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3" s="20" t="str">
        <x:v>中高</x:v>
      </x:c>
      <x:c r="AB193" s="20" t="str">
        <x:v>待验证</x:v>
      </x:c>
      <x:c r="AC193" s="20" t="str"/>
      <x:c r="AD193" s="20" t="str">
        <x:v>provisional=true；M3-REPAIR尚未完成，完成条件为暂定功能模型。</x:v>
      </x:c>
      <x:c r="AE193" s="52" t="str">
        <x:v>0.7</x:v>
      </x:c>
    </x:row>
    <x:row r="194">
      <x:c r="A194" s="51" t="str">
        <x:v>M4-REPAIR-193</x:v>
      </x:c>
      <x:c r="B194" s="20" t="str">
        <x:v>RB08 方案形成等同执行完成｜典型路由</x:v>
      </x:c>
      <x:c r="C194" s="20" t="str">
        <x:v>L3 修复盲点与过早关闭</x:v>
      </x:c>
      <x:c r="D194" s="20" t="str">
        <x:v>REPAIR-修复盲点</x:v>
      </x:c>
      <x:c r="E194" s="20" t="str">
        <x:v>通用</x:v>
      </x:c>
      <x:c r="F194" s="20" t="str">
        <x:v>路由</x:v>
      </x:c>
      <x:c r="G194" s="20" t="str">
        <x:v>RB08</x:v>
      </x:c>
      <x:c r="H194" s="20" t="str"/>
      <x:c r="I194" s="20" t="str">
        <x:v>前一步修复动作已经出现，但下一项必要任务没有进入。</x:v>
      </x:c>
      <x:c r="J194" s="20" t="str">
        <x:v>前后顺序完整且接收方反馈有效。</x:v>
      </x:c>
      <x:c r="K194" s="20" t="str">
        <x:v>由共享基础引擎提供；仅修正修复功能的承载、持续与压力占位，不直接等同是否愿意认错或能否修复。</x:v>
      </x:c>
      <x:c r="L194" s="20" t="str">
        <x:v>由M1／M2提供；夫妻星只说明伴侣原型与关系资格，不单独证明修复能力、修复意愿或修复结果。</x:v>
      </x:c>
      <x:c r="M194" s="20" t="str">
        <x:v>由M3-BASE提供；日支底盘说明亲密关系中自然调用的功能，但不能单独证明修复闭环。</x:v>
      </x:c>
      <x:c r="N194" s="20" t="str">
        <x:v>由M3-CONFLICT、M4-LOOP及现实事件提供；必须区分问题停止、责任承担、影响确认、行动改变、反馈整合与后续回访。</x:v>
      </x:c>
      <x:c r="O194" s="20" t="str">
        <x:v>由共享基础引擎判定；近位提高相关功能进入亲密关系核心的概率，远位只作背景或阶段修正。</x:v>
      </x:c>
      <x:c r="P194" s="20" t="str">
        <x:v>根气只修正某修复功能是否容易重复调用，不等于现实中已经持续改变。</x:v>
      </x:c>
      <x:c r="Q194" s="20" t="str">
        <x:v>旺弱只修正功能调用强度与占位，不直接等同修复质量、诚意或关系结果。</x:v>
      </x:c>
      <x:c r="R194" s="20" t="str">
        <x:v>喜忌只修正功能摩擦、平衡与承载，不直接等同道德、成熟、善恶或是否值得原谅。</x:v>
      </x:c>
      <x:c r="S194" s="20" t="str">
        <x:v>原十神功能有效；真合化成立时按化神功能替换，合化争议时停止定性。</x:v>
      </x:c>
      <x:c r="T194" s="20" t="str">
        <x:v>近位提高修复议题与亲密关系的直接相关性；远位仅保留背景、阶段或低置信修正。</x:v>
      </x:c>
      <x:c r="U194" s="20" t="str">
        <x:v>72</x:v>
      </x:c>
      <x:c r="V194" s="20" t="str">
        <x:v>结构＋4；现实事件＋4；反例－4至停止</x:v>
      </x:c>
      <x:c r="W194" s="20" t="str">
        <x:v>repair_blindspot</x:v>
      </x:c>
      <x:c r="X194" s="20" t="str">
        <x:v>路由说明卡点发生在哪里。</x:v>
      </x:c>
      <x:c r="Y194" s="20" t="str">
        <x:v>目前更像是前一步完成后，下一步没有顺利接上。</x:v>
      </x:c>
      <x:c r="Z19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4" s="20" t="str">
        <x:v>中高</x:v>
      </x:c>
      <x:c r="AB194" s="20" t="str">
        <x:v>待验证</x:v>
      </x:c>
      <x:c r="AC194" s="20" t="str"/>
      <x:c r="AD194" s="20" t="str">
        <x:v>provisional=true；M3-REPAIR尚未完成，完成条件为暂定功能模型。</x:v>
      </x:c>
      <x:c r="AE194" s="52" t="str">
        <x:v>0.7</x:v>
      </x:c>
    </x:row>
    <x:row r="195">
      <x:c r="A195" s="51" t="str">
        <x:v>M4-REPAIR-194</x:v>
      </x:c>
      <x:c r="B195" s="20" t="str">
        <x:v>RB08 方案形成等同执行完成｜反例与替代解释</x:v>
      </x:c>
      <x:c r="C195" s="20" t="str">
        <x:v>L3 修复盲点与过早关闭</x:v>
      </x:c>
      <x:c r="D195" s="20" t="str">
        <x:v>REPAIR-修复盲点</x:v>
      </x:c>
      <x:c r="E195" s="20" t="str">
        <x:v>通用</x:v>
      </x:c>
      <x:c r="F195" s="20" t="str">
        <x:v>反例</x:v>
      </x:c>
      <x:c r="G195" s="20" t="str">
        <x:v>RB08</x:v>
      </x:c>
      <x:c r="H195" s="20" t="str"/>
      <x:c r="I195" s="20" t="str">
        <x:v>检查事件强度、双方意愿、时间不足、合理拒绝和安全因素。</x:v>
      </x:c>
      <x:c r="J195" s="20" t="str">
        <x:v>忽略成功修复或把合理边界当卡点。</x:v>
      </x:c>
      <x:c r="K195" s="20" t="str">
        <x:v>由共享基础引擎提供；仅修正修复功能的承载、持续与压力占位，不直接等同是否愿意认错或能否修复。</x:v>
      </x:c>
      <x:c r="L195" s="20" t="str">
        <x:v>由M1／M2提供；夫妻星只说明伴侣原型与关系资格，不单独证明修复能力、修复意愿或修复结果。</x:v>
      </x:c>
      <x:c r="M195" s="20" t="str">
        <x:v>由M3-BASE提供；日支底盘说明亲密关系中自然调用的功能，但不能单独证明修复闭环。</x:v>
      </x:c>
      <x:c r="N195" s="20" t="str">
        <x:v>由M3-CONFLICT、M4-LOOP及现实事件提供；必须区分问题停止、责任承担、影响确认、行动改变、反馈整合与后续回访。</x:v>
      </x:c>
      <x:c r="O195" s="20" t="str">
        <x:v>由共享基础引擎判定；近位提高相关功能进入亲密关系核心的概率，远位只作背景或阶段修正。</x:v>
      </x:c>
      <x:c r="P195" s="20" t="str">
        <x:v>根气只修正某修复功能是否容易重复调用，不等于现实中已经持续改变。</x:v>
      </x:c>
      <x:c r="Q195" s="20" t="str">
        <x:v>旺弱只修正功能调用强度与占位，不直接等同修复质量、诚意或关系结果。</x:v>
      </x:c>
      <x:c r="R195" s="20" t="str">
        <x:v>喜忌只修正功能摩擦、平衡与承载，不直接等同道德、成熟、善恶或是否值得原谅。</x:v>
      </x:c>
      <x:c r="S195" s="20" t="str">
        <x:v>原十神功能有效；真合化成立时按化神功能替换，合化争议时停止定性。</x:v>
      </x:c>
      <x:c r="T195" s="20" t="str">
        <x:v>近位提高修复议题与亲密关系的直接相关性；远位仅保留背景、阶段或低置信修正。</x:v>
      </x:c>
      <x:c r="U195" s="20" t="str">
        <x:v>86</x:v>
      </x:c>
      <x:c r="V195" s="20" t="str">
        <x:v>结构＋4；现实事件＋4；反例－4至停止</x:v>
      </x:c>
      <x:c r="W195" s="20" t="str">
        <x:v>repair_blindspot</x:v>
      </x:c>
      <x:c r="X195" s="20" t="str">
        <x:v>同一表面结果可能来自合理暂停、信息不足或不愿继续关系。</x:v>
      </x:c>
      <x:c r="Y195" s="20" t="str">
        <x:v>也要检查这是否只是合理暂停、资料不足，或对方选择不继续，而不是修复能力问题。</x:v>
      </x:c>
      <x:c r="Z19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5" s="20" t="str">
        <x:v>中高</x:v>
      </x:c>
      <x:c r="AB195" s="20" t="str">
        <x:v>待验证</x:v>
      </x:c>
      <x:c r="AC195" s="20" t="str"/>
      <x:c r="AD195" s="20" t="str">
        <x:v>provisional=true；M3-REPAIR尚未完成，完成条件为暂定功能模型。</x:v>
      </x:c>
      <x:c r="AE195" s="52" t="str">
        <x:v>0.7</x:v>
      </x:c>
    </x:row>
    <x:row r="196">
      <x:c r="A196" s="51" t="str">
        <x:v>M4-REPAIR-195</x:v>
      </x:c>
      <x:c r="B196" s="20" t="str">
        <x:v>RB08 方案形成等同执行完成｜用户输出</x:v>
      </x:c>
      <x:c r="C196" s="20" t="str">
        <x:v>L3 修复盲点与过早关闭</x:v>
      </x:c>
      <x:c r="D196" s="20" t="str">
        <x:v>REPAIR-修复盲点</x:v>
      </x:c>
      <x:c r="E196" s="20" t="str">
        <x:v>通用</x:v>
      </x:c>
      <x:c r="F196" s="20" t="str">
        <x:v>输出</x:v>
      </x:c>
      <x:c r="G196" s="20" t="str">
        <x:v>RB08</x:v>
      </x:c>
      <x:c r="H196" s="20" t="str"/>
      <x:c r="I196" s="20" t="str">
        <x:v>该盲点达到E2或以上，并完成反例检查。</x:v>
      </x:c>
      <x:c r="J196" s="20" t="str">
        <x:v>资料不足或安全停止。</x:v>
      </x:c>
      <x:c r="K196" s="20" t="str">
        <x:v>由共享基础引擎提供；仅修正修复功能的承载、持续与压力占位，不直接等同是否愿意认错或能否修复。</x:v>
      </x:c>
      <x:c r="L196" s="20" t="str">
        <x:v>由M1／M2提供；夫妻星只说明伴侣原型与关系资格，不单独证明修复能力、修复意愿或修复结果。</x:v>
      </x:c>
      <x:c r="M196" s="20" t="str">
        <x:v>由M3-BASE提供；日支底盘说明亲密关系中自然调用的功能，但不能单独证明修复闭环。</x:v>
      </x:c>
      <x:c r="N196" s="20" t="str">
        <x:v>由M3-CONFLICT、M4-LOOP及现实事件提供；必须区分问题停止、责任承担、影响确认、行动改变、反馈整合与后续回访。</x:v>
      </x:c>
      <x:c r="O196" s="20" t="str">
        <x:v>由共享基础引擎判定；近位提高相关功能进入亲密关系核心的概率，远位只作背景或阶段修正。</x:v>
      </x:c>
      <x:c r="P196" s="20" t="str">
        <x:v>根气只修正某修复功能是否容易重复调用，不等于现实中已经持续改变。</x:v>
      </x:c>
      <x:c r="Q196" s="20" t="str">
        <x:v>旺弱只修正功能调用强度与占位，不直接等同修复质量、诚意或关系结果。</x:v>
      </x:c>
      <x:c r="R196" s="20" t="str">
        <x:v>喜忌只修正功能摩擦、平衡与承载，不直接等同道德、成熟、善恶或是否值得原谅。</x:v>
      </x:c>
      <x:c r="S196" s="20" t="str">
        <x:v>原十神功能有效；真合化成立时按化神功能替换，合化争议时停止定性。</x:v>
      </x:c>
      <x:c r="T196" s="20" t="str">
        <x:v>近位提高修复议题与亲密关系的直接相关性；远位仅保留背景、阶段或低置信修正。</x:v>
      </x:c>
      <x:c r="U196" s="20" t="str">
        <x:v>72</x:v>
      </x:c>
      <x:c r="V196" s="20" t="str">
        <x:v>结构＋4；现实事件＋4；反例－4至停止</x:v>
      </x:c>
      <x:c r="W196" s="20" t="str">
        <x:v>repair_blindspot</x:v>
      </x:c>
      <x:c r="X196" s="20" t="str">
        <x:v>语言应说明“已完成什么、缺什么、如何验证”。</x:v>
      </x:c>
      <x:c r="Y196" s="20" t="str">
        <x:v>有了方案只是开始，还要看是否执行、是否有效，以及对方怎样反馈。</x:v>
      </x:c>
      <x:c r="Z19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6" s="20" t="str">
        <x:v>中高</x:v>
      </x:c>
      <x:c r="AB196" s="20" t="str">
        <x:v>待验证</x:v>
      </x:c>
      <x:c r="AC196" s="20" t="str"/>
      <x:c r="AD196" s="20" t="str">
        <x:v>provisional=true；M3-REPAIR尚未完成，完成条件为暂定功能模型。</x:v>
      </x:c>
      <x:c r="AE196" s="52" t="str">
        <x:v>0.7</x:v>
      </x:c>
    </x:row>
    <x:row r="197">
      <x:c r="A197" s="51" t="str">
        <x:v>M4-REPAIR-196</x:v>
      </x:c>
      <x:c r="B197" s="20" t="str">
        <x:v>RB08 方案形成等同执行完成｜退出条件</x:v>
      </x:c>
      <x:c r="C197" s="20" t="str">
        <x:v>L3 修复盲点与过早关闭</x:v>
      </x:c>
      <x:c r="D197" s="20" t="str">
        <x:v>REPAIR-修复盲点</x:v>
      </x:c>
      <x:c r="E197" s="20" t="str">
        <x:v>通用</x:v>
      </x:c>
      <x:c r="F197" s="20" t="str">
        <x:v>保护</x:v>
      </x:c>
      <x:c r="G197" s="20" t="str">
        <x:v>RB08</x:v>
      </x:c>
      <x:c r="H197" s="20" t="str"/>
      <x:c r="I197" s="20" t="str">
        <x:v>给方案增加责任人、观察点和回访。</x:v>
      </x:c>
      <x:c r="J197" s="20" t="str">
        <x:v>只给抽象建议，没有可观察节点。</x:v>
      </x:c>
      <x:c r="K197" s="20" t="str">
        <x:v>由共享基础引擎提供；仅修正修复功能的承载、持续与压力占位，不直接等同是否愿意认错或能否修复。</x:v>
      </x:c>
      <x:c r="L197" s="20" t="str">
        <x:v>由M1／M2提供；夫妻星只说明伴侣原型与关系资格，不单独证明修复能力、修复意愿或修复结果。</x:v>
      </x:c>
      <x:c r="M197" s="20" t="str">
        <x:v>由M3-BASE提供；日支底盘说明亲密关系中自然调用的功能，但不能单独证明修复闭环。</x:v>
      </x:c>
      <x:c r="N197" s="20" t="str">
        <x:v>由M3-CONFLICT、M4-LOOP及现实事件提供；必须区分问题停止、责任承担、影响确认、行动改变、反馈整合与后续回访。</x:v>
      </x:c>
      <x:c r="O197" s="20" t="str">
        <x:v>由共享基础引擎判定；近位提高相关功能进入亲密关系核心的概率，远位只作背景或阶段修正。</x:v>
      </x:c>
      <x:c r="P197" s="20" t="str">
        <x:v>根气只修正某修复功能是否容易重复调用，不等于现实中已经持续改变。</x:v>
      </x:c>
      <x:c r="Q197" s="20" t="str">
        <x:v>旺弱只修正功能调用强度与占位，不直接等同修复质量、诚意或关系结果。</x:v>
      </x:c>
      <x:c r="R197" s="20" t="str">
        <x:v>喜忌只修正功能摩擦、平衡与承载，不直接等同道德、成熟、善恶或是否值得原谅。</x:v>
      </x:c>
      <x:c r="S197" s="20" t="str">
        <x:v>原十神功能有效；真合化成立时按化神功能替换，合化争议时停止定性。</x:v>
      </x:c>
      <x:c r="T197" s="20" t="str">
        <x:v>近位提高修复议题与亲密关系的直接相关性；远位仅保留背景、阶段或低置信修正。</x:v>
      </x:c>
      <x:c r="U197" s="20" t="str">
        <x:v>72</x:v>
      </x:c>
      <x:c r="V197" s="20" t="str">
        <x:v>结构＋4；现实事件＋4；反例－4至停止</x:v>
      </x:c>
      <x:c r="W197" s="20" t="str">
        <x:v>repair_blindspot</x:v>
      </x:c>
      <x:c r="X197" s="20" t="str">
        <x:v>退出条件必须能改变具体修复链，而不是要求人格改变。</x:v>
      </x:c>
      <x:c r="Y197" s="20" t="str">
        <x:v>中断这个卡点的关键是：给方案增加责任人、观察点和回访。</x:v>
      </x:c>
      <x:c r="Z19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7" s="20" t="str">
        <x:v>中高</x:v>
      </x:c>
      <x:c r="AB197" s="20" t="str">
        <x:v>待验证</x:v>
      </x:c>
      <x:c r="AC197" s="20" t="str"/>
      <x:c r="AD197" s="20" t="str">
        <x:v>provisional=true；M3-REPAIR尚未完成，完成条件为暂定功能模型。</x:v>
      </x:c>
      <x:c r="AE197" s="52" t="str">
        <x:v>0.7</x:v>
      </x:c>
    </x:row>
    <x:row r="198">
      <x:c r="A198" s="51" t="str">
        <x:v>M4-REPAIR-197</x:v>
      </x:c>
      <x:c r="B198" s="20" t="str">
        <x:v>RB09 暂停降温等同自动回归｜机制定义</x:v>
      </x:c>
      <x:c r="C198" s="20" t="str">
        <x:v>L3 修复盲点与过早关闭</x:v>
      </x:c>
      <x:c r="D198" s="20" t="str">
        <x:v>REPAIR-修复盲点</x:v>
      </x:c>
      <x:c r="E198" s="20" t="str">
        <x:v>通用</x:v>
      </x:c>
      <x:c r="F198" s="20" t="str">
        <x:v>定义</x:v>
      </x:c>
      <x:c r="G198" s="20" t="str">
        <x:v>RB09</x:v>
      </x:c>
      <x:c r="H198" s="20" t="str"/>
      <x:c r="I198" s="20" t="str">
        <x:v>存在“暂停降温等同自动回归”的候选顺序。</x:v>
      </x:c>
      <x:c r="J198" s="20" t="str">
        <x:v>只凭十神标签或一次模糊事件。</x:v>
      </x:c>
      <x:c r="K198" s="20" t="str">
        <x:v>由共享基础引擎提供；仅修正修复功能的承载、持续与压力占位，不直接等同是否愿意认错或能否修复。</x:v>
      </x:c>
      <x:c r="L198" s="20" t="str">
        <x:v>由M1／M2提供；夫妻星只说明伴侣原型与关系资格，不单独证明修复能力、修复意愿或修复结果。</x:v>
      </x:c>
      <x:c r="M198" s="20" t="str">
        <x:v>由M3-BASE提供；日支底盘说明亲密关系中自然调用的功能，但不能单独证明修复闭环。</x:v>
      </x:c>
      <x:c r="N198" s="20" t="str">
        <x:v>由M3-CONFLICT、M4-LOOP及现实事件提供；必须区分问题停止、责任承担、影响确认、行动改变、反馈整合与后续回访。</x:v>
      </x:c>
      <x:c r="O198" s="20" t="str">
        <x:v>由共享基础引擎判定；近位提高相关功能进入亲密关系核心的概率，远位只作背景或阶段修正。</x:v>
      </x:c>
      <x:c r="P198" s="20" t="str">
        <x:v>根气只修正某修复功能是否容易重复调用，不等于现实中已经持续改变。</x:v>
      </x:c>
      <x:c r="Q198" s="20" t="str">
        <x:v>旺弱只修正功能调用强度与占位，不直接等同修复质量、诚意或关系结果。</x:v>
      </x:c>
      <x:c r="R198" s="20" t="str">
        <x:v>喜忌只修正功能摩擦、平衡与承载，不直接等同道德、成熟、善恶或是否值得原谅。</x:v>
      </x:c>
      <x:c r="S198" s="20" t="str">
        <x:v>原十神功能有效；真合化成立时按化神功能替换，合化争议时停止定性。</x:v>
      </x:c>
      <x:c r="T198" s="20" t="str">
        <x:v>近位提高修复议题与亲密关系的直接相关性；远位仅保留背景、阶段或低置信修正。</x:v>
      </x:c>
      <x:c r="U198" s="20" t="str">
        <x:v>72</x:v>
      </x:c>
      <x:c r="V198" s="20" t="str">
        <x:v>结构＋4；现实事件＋4；反例－4至停止</x:v>
      </x:c>
      <x:c r="W198" s="20" t="str">
        <x:v>repair_blindspot</x:v>
      </x:c>
      <x:c r="X198" s="20" t="str">
        <x:v>该盲点描述过早关闭或功能替代，不等同人格缺陷。</x:v>
      </x:c>
      <x:c r="Y198" s="20" t="str">
        <x:v>暂停可以保护关系，但需要明确什么时候、怎样重新回来处理。</x:v>
      </x:c>
      <x:c r="Z19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8" s="20" t="str">
        <x:v>中高</x:v>
      </x:c>
      <x:c r="AB198" s="20" t="str">
        <x:v>待验证</x:v>
      </x:c>
      <x:c r="AC198" s="20" t="str"/>
      <x:c r="AD198" s="20" t="str">
        <x:v>provisional=true；M3-REPAIR尚未完成，完成条件为暂定功能模型。</x:v>
      </x:c>
      <x:c r="AE198" s="52" t="str">
        <x:v>0.7</x:v>
      </x:c>
    </x:row>
    <x:row r="199">
      <x:c r="A199" s="51" t="str">
        <x:v>M4-REPAIR-198</x:v>
      </x:c>
      <x:c r="B199" s="20" t="str">
        <x:v>RB09 暂停降温等同自动回归｜成立证据</x:v>
      </x:c>
      <x:c r="C199" s="20" t="str">
        <x:v>L3 修复盲点与过早关闭</x:v>
      </x:c>
      <x:c r="D199" s="20" t="str">
        <x:v>REPAIR-修复盲点</x:v>
      </x:c>
      <x:c r="E199" s="20" t="str">
        <x:v>通用</x:v>
      </x:c>
      <x:c r="F199" s="20" t="str">
        <x:v>证据</x:v>
      </x:c>
      <x:c r="G199" s="20" t="str">
        <x:v>RB09</x:v>
      </x:c>
      <x:c r="H199" s="20" t="str"/>
      <x:c r="I199" s="20" t="str">
        <x:v>RN07／RN08回归路径不足，并有具体事件顺序。</x:v>
      </x:c>
      <x:c r="J199" s="20" t="str">
        <x:v>相应节点已有稳定现实证据。</x:v>
      </x:c>
      <x:c r="K199" s="20" t="str">
        <x:v>由共享基础引擎提供；仅修正修复功能的承载、持续与压力占位，不直接等同是否愿意认错或能否修复。</x:v>
      </x:c>
      <x:c r="L199" s="20" t="str">
        <x:v>由M1／M2提供；夫妻星只说明伴侣原型与关系资格，不单独证明修复能力、修复意愿或修复结果。</x:v>
      </x:c>
      <x:c r="M199" s="20" t="str">
        <x:v>由M3-BASE提供；日支底盘说明亲密关系中自然调用的功能，但不能单独证明修复闭环。</x:v>
      </x:c>
      <x:c r="N199" s="20" t="str">
        <x:v>由M3-CONFLICT、M4-LOOP及现实事件提供；必须区分问题停止、责任承担、影响确认、行动改变、反馈整合与后续回访。</x:v>
      </x:c>
      <x:c r="O199" s="20" t="str">
        <x:v>由共享基础引擎判定；近位提高相关功能进入亲密关系核心的概率，远位只作背景或阶段修正。</x:v>
      </x:c>
      <x:c r="P199" s="20" t="str">
        <x:v>根气只修正某修复功能是否容易重复调用，不等于现实中已经持续改变。</x:v>
      </x:c>
      <x:c r="Q199" s="20" t="str">
        <x:v>旺弱只修正功能调用强度与占位，不直接等同修复质量、诚意或关系结果。</x:v>
      </x:c>
      <x:c r="R199" s="20" t="str">
        <x:v>喜忌只修正功能摩擦、平衡与承载，不直接等同道德、成熟、善恶或是否值得原谅。</x:v>
      </x:c>
      <x:c r="S199" s="20" t="str">
        <x:v>原十神功能有效；真合化成立时按化神功能替换，合化争议时停止定性。</x:v>
      </x:c>
      <x:c r="T199" s="20" t="str">
        <x:v>近位提高修复议题与亲密关系的直接相关性；远位仅保留背景、阶段或低置信修正。</x:v>
      </x:c>
      <x:c r="U199" s="20" t="str">
        <x:v>86</x:v>
      </x:c>
      <x:c r="V199" s="20" t="str">
        <x:v>结构＋4；现实事件＋4；反例－4至停止</x:v>
      </x:c>
      <x:c r="W199" s="20" t="str">
        <x:v>repair_blindspot</x:v>
      </x:c>
      <x:c r="X199" s="20" t="str">
        <x:v>缺失节点必须由现实资料确认，不能只凭结构推测。</x:v>
      </x:c>
      <x:c r="Y199" s="20" t="str">
        <x:v>需要继续检查：RN07／RN08回归路径不足。</x:v>
      </x:c>
      <x:c r="Z19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199" s="20" t="str">
        <x:v>中高</x:v>
      </x:c>
      <x:c r="AB199" s="20" t="str">
        <x:v>待验证</x:v>
      </x:c>
      <x:c r="AC199" s="20" t="str"/>
      <x:c r="AD199" s="20" t="str">
        <x:v>provisional=true；M3-REPAIR尚未完成，完成条件为暂定功能模型。</x:v>
      </x:c>
      <x:c r="AE199" s="52" t="str">
        <x:v>0.7</x:v>
      </x:c>
    </x:row>
    <x:row r="200">
      <x:c r="A200" s="51" t="str">
        <x:v>M4-REPAIR-199</x:v>
      </x:c>
      <x:c r="B200" s="20" t="str">
        <x:v>RB09 暂停降温等同自动回归｜典型路由</x:v>
      </x:c>
      <x:c r="C200" s="20" t="str">
        <x:v>L3 修复盲点与过早关闭</x:v>
      </x:c>
      <x:c r="D200" s="20" t="str">
        <x:v>REPAIR-修复盲点</x:v>
      </x:c>
      <x:c r="E200" s="20" t="str">
        <x:v>通用</x:v>
      </x:c>
      <x:c r="F200" s="20" t="str">
        <x:v>路由</x:v>
      </x:c>
      <x:c r="G200" s="20" t="str">
        <x:v>RB09</x:v>
      </x:c>
      <x:c r="H200" s="20" t="str"/>
      <x:c r="I200" s="20" t="str">
        <x:v>前一步修复动作已经出现，但下一项必要任务没有进入。</x:v>
      </x:c>
      <x:c r="J200" s="20" t="str">
        <x:v>前后顺序完整且接收方反馈有效。</x:v>
      </x:c>
      <x:c r="K200" s="20" t="str">
        <x:v>由共享基础引擎提供；仅修正修复功能的承载、持续与压力占位，不直接等同是否愿意认错或能否修复。</x:v>
      </x:c>
      <x:c r="L200" s="20" t="str">
        <x:v>由M1／M2提供；夫妻星只说明伴侣原型与关系资格，不单独证明修复能力、修复意愿或修复结果。</x:v>
      </x:c>
      <x:c r="M200" s="20" t="str">
        <x:v>由M3-BASE提供；日支底盘说明亲密关系中自然调用的功能，但不能单独证明修复闭环。</x:v>
      </x:c>
      <x:c r="N200" s="20" t="str">
        <x:v>由M3-CONFLICT、M4-LOOP及现实事件提供；必须区分问题停止、责任承担、影响确认、行动改变、反馈整合与后续回访。</x:v>
      </x:c>
      <x:c r="O200" s="20" t="str">
        <x:v>由共享基础引擎判定；近位提高相关功能进入亲密关系核心的概率，远位只作背景或阶段修正。</x:v>
      </x:c>
      <x:c r="P200" s="20" t="str">
        <x:v>根气只修正某修复功能是否容易重复调用，不等于现实中已经持续改变。</x:v>
      </x:c>
      <x:c r="Q200" s="20" t="str">
        <x:v>旺弱只修正功能调用强度与占位，不直接等同修复质量、诚意或关系结果。</x:v>
      </x:c>
      <x:c r="R200" s="20" t="str">
        <x:v>喜忌只修正功能摩擦、平衡与承载，不直接等同道德、成熟、善恶或是否值得原谅。</x:v>
      </x:c>
      <x:c r="S200" s="20" t="str">
        <x:v>原十神功能有效；真合化成立时按化神功能替换，合化争议时停止定性。</x:v>
      </x:c>
      <x:c r="T200" s="20" t="str">
        <x:v>近位提高修复议题与亲密关系的直接相关性；远位仅保留背景、阶段或低置信修正。</x:v>
      </x:c>
      <x:c r="U200" s="20" t="str">
        <x:v>72</x:v>
      </x:c>
      <x:c r="V200" s="20" t="str">
        <x:v>结构＋4；现实事件＋4；反例－4至停止</x:v>
      </x:c>
      <x:c r="W200" s="20" t="str">
        <x:v>repair_blindspot</x:v>
      </x:c>
      <x:c r="X200" s="20" t="str">
        <x:v>路由说明卡点发生在哪里。</x:v>
      </x:c>
      <x:c r="Y200" s="20" t="str">
        <x:v>目前更像是前一步完成后，下一步没有顺利接上。</x:v>
      </x:c>
      <x:c r="Z20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0" s="20" t="str">
        <x:v>中高</x:v>
      </x:c>
      <x:c r="AB200" s="20" t="str">
        <x:v>待验证</x:v>
      </x:c>
      <x:c r="AC200" s="20" t="str"/>
      <x:c r="AD200" s="20" t="str">
        <x:v>provisional=true；M3-REPAIR尚未完成，完成条件为暂定功能模型。</x:v>
      </x:c>
      <x:c r="AE200" s="52" t="str">
        <x:v>0.7</x:v>
      </x:c>
    </x:row>
    <x:row r="201">
      <x:c r="A201" s="51" t="str">
        <x:v>M4-REPAIR-200</x:v>
      </x:c>
      <x:c r="B201" s="20" t="str">
        <x:v>RB09 暂停降温等同自动回归｜反例与替代解释</x:v>
      </x:c>
      <x:c r="C201" s="20" t="str">
        <x:v>L3 修复盲点与过早关闭</x:v>
      </x:c>
      <x:c r="D201" s="20" t="str">
        <x:v>REPAIR-修复盲点</x:v>
      </x:c>
      <x:c r="E201" s="20" t="str">
        <x:v>通用</x:v>
      </x:c>
      <x:c r="F201" s="20" t="str">
        <x:v>反例</x:v>
      </x:c>
      <x:c r="G201" s="20" t="str">
        <x:v>RB09</x:v>
      </x:c>
      <x:c r="H201" s="20" t="str"/>
      <x:c r="I201" s="20" t="str">
        <x:v>检查事件强度、双方意愿、时间不足、合理拒绝和安全因素。</x:v>
      </x:c>
      <x:c r="J201" s="20" t="str">
        <x:v>忽略成功修复或把合理边界当卡点。</x:v>
      </x:c>
      <x:c r="K201" s="20" t="str">
        <x:v>由共享基础引擎提供；仅修正修复功能的承载、持续与压力占位，不直接等同是否愿意认错或能否修复。</x:v>
      </x:c>
      <x:c r="L201" s="20" t="str">
        <x:v>由M1／M2提供；夫妻星只说明伴侣原型与关系资格，不单独证明修复能力、修复意愿或修复结果。</x:v>
      </x:c>
      <x:c r="M201" s="20" t="str">
        <x:v>由M3-BASE提供；日支底盘说明亲密关系中自然调用的功能，但不能单独证明修复闭环。</x:v>
      </x:c>
      <x:c r="N201" s="20" t="str">
        <x:v>由M3-CONFLICT、M4-LOOP及现实事件提供；必须区分问题停止、责任承担、影响确认、行动改变、反馈整合与后续回访。</x:v>
      </x:c>
      <x:c r="O201" s="20" t="str">
        <x:v>由共享基础引擎判定；近位提高相关功能进入亲密关系核心的概率，远位只作背景或阶段修正。</x:v>
      </x:c>
      <x:c r="P201" s="20" t="str">
        <x:v>根气只修正某修复功能是否容易重复调用，不等于现实中已经持续改变。</x:v>
      </x:c>
      <x:c r="Q201" s="20" t="str">
        <x:v>旺弱只修正功能调用强度与占位，不直接等同修复质量、诚意或关系结果。</x:v>
      </x:c>
      <x:c r="R201" s="20" t="str">
        <x:v>喜忌只修正功能摩擦、平衡与承载，不直接等同道德、成熟、善恶或是否值得原谅。</x:v>
      </x:c>
      <x:c r="S201" s="20" t="str">
        <x:v>原十神功能有效；真合化成立时按化神功能替换，合化争议时停止定性。</x:v>
      </x:c>
      <x:c r="T201" s="20" t="str">
        <x:v>近位提高修复议题与亲密关系的直接相关性；远位仅保留背景、阶段或低置信修正。</x:v>
      </x:c>
      <x:c r="U201" s="20" t="str">
        <x:v>86</x:v>
      </x:c>
      <x:c r="V201" s="20" t="str">
        <x:v>结构＋4；现实事件＋4；反例－4至停止</x:v>
      </x:c>
      <x:c r="W201" s="20" t="str">
        <x:v>repair_blindspot</x:v>
      </x:c>
      <x:c r="X201" s="20" t="str">
        <x:v>同一表面结果可能来自合理暂停、信息不足或不愿继续关系。</x:v>
      </x:c>
      <x:c r="Y201" s="20" t="str">
        <x:v>也要检查这是否只是合理暂停、资料不足，或对方选择不继续，而不是修复能力问题。</x:v>
      </x:c>
      <x:c r="Z20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1" s="20" t="str">
        <x:v>中高</x:v>
      </x:c>
      <x:c r="AB201" s="20" t="str">
        <x:v>待验证</x:v>
      </x:c>
      <x:c r="AC201" s="20" t="str"/>
      <x:c r="AD201" s="20" t="str">
        <x:v>provisional=true；M3-REPAIR尚未完成，完成条件为暂定功能模型。</x:v>
      </x:c>
      <x:c r="AE201" s="52" t="str">
        <x:v>0.7</x:v>
      </x:c>
    </x:row>
    <x:row r="202">
      <x:c r="A202" s="51" t="str">
        <x:v>M4-REPAIR-201</x:v>
      </x:c>
      <x:c r="B202" s="20" t="str">
        <x:v>RB09 暂停降温等同自动回归｜用户输出</x:v>
      </x:c>
      <x:c r="C202" s="20" t="str">
        <x:v>L3 修复盲点与过早关闭</x:v>
      </x:c>
      <x:c r="D202" s="20" t="str">
        <x:v>REPAIR-修复盲点</x:v>
      </x:c>
      <x:c r="E202" s="20" t="str">
        <x:v>通用</x:v>
      </x:c>
      <x:c r="F202" s="20" t="str">
        <x:v>输出</x:v>
      </x:c>
      <x:c r="G202" s="20" t="str">
        <x:v>RB09</x:v>
      </x:c>
      <x:c r="H202" s="20" t="str"/>
      <x:c r="I202" s="20" t="str">
        <x:v>该盲点达到E2或以上，并完成反例检查。</x:v>
      </x:c>
      <x:c r="J202" s="20" t="str">
        <x:v>资料不足或安全停止。</x:v>
      </x:c>
      <x:c r="K202" s="20" t="str">
        <x:v>由共享基础引擎提供；仅修正修复功能的承载、持续与压力占位，不直接等同是否愿意认错或能否修复。</x:v>
      </x:c>
      <x:c r="L202" s="20" t="str">
        <x:v>由M1／M2提供；夫妻星只说明伴侣原型与关系资格，不单独证明修复能力、修复意愿或修复结果。</x:v>
      </x:c>
      <x:c r="M202" s="20" t="str">
        <x:v>由M3-BASE提供；日支底盘说明亲密关系中自然调用的功能，但不能单独证明修复闭环。</x:v>
      </x:c>
      <x:c r="N202" s="20" t="str">
        <x:v>由M3-CONFLICT、M4-LOOP及现实事件提供；必须区分问题停止、责任承担、影响确认、行动改变、反馈整合与后续回访。</x:v>
      </x:c>
      <x:c r="O202" s="20" t="str">
        <x:v>由共享基础引擎判定；近位提高相关功能进入亲密关系核心的概率，远位只作背景或阶段修正。</x:v>
      </x:c>
      <x:c r="P202" s="20" t="str">
        <x:v>根气只修正某修复功能是否容易重复调用，不等于现实中已经持续改变。</x:v>
      </x:c>
      <x:c r="Q202" s="20" t="str">
        <x:v>旺弱只修正功能调用强度与占位，不直接等同修复质量、诚意或关系结果。</x:v>
      </x:c>
      <x:c r="R202" s="20" t="str">
        <x:v>喜忌只修正功能摩擦、平衡与承载，不直接等同道德、成熟、善恶或是否值得原谅。</x:v>
      </x:c>
      <x:c r="S202" s="20" t="str">
        <x:v>原十神功能有效；真合化成立时按化神功能替换，合化争议时停止定性。</x:v>
      </x:c>
      <x:c r="T202" s="20" t="str">
        <x:v>近位提高修复议题与亲密关系的直接相关性；远位仅保留背景、阶段或低置信修正。</x:v>
      </x:c>
      <x:c r="U202" s="20" t="str">
        <x:v>72</x:v>
      </x:c>
      <x:c r="V202" s="20" t="str">
        <x:v>结构＋4；现实事件＋4；反例－4至停止</x:v>
      </x:c>
      <x:c r="W202" s="20" t="str">
        <x:v>repair_blindspot</x:v>
      </x:c>
      <x:c r="X202" s="20" t="str">
        <x:v>语言应说明“已完成什么、缺什么、如何验证”。</x:v>
      </x:c>
      <x:c r="Y202" s="20" t="str">
        <x:v>暂停可以保护关系，但需要明确什么时候、怎样重新回来处理。</x:v>
      </x:c>
      <x:c r="Z20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2" s="20" t="str">
        <x:v>中高</x:v>
      </x:c>
      <x:c r="AB202" s="20" t="str">
        <x:v>待验证</x:v>
      </x:c>
      <x:c r="AC202" s="20" t="str"/>
      <x:c r="AD202" s="20" t="str">
        <x:v>provisional=true；M3-REPAIR尚未完成，完成条件为暂定功能模型。</x:v>
      </x:c>
      <x:c r="AE202" s="52" t="str">
        <x:v>0.7</x:v>
      </x:c>
    </x:row>
    <x:row r="203">
      <x:c r="A203" s="51" t="str">
        <x:v>M4-REPAIR-202</x:v>
      </x:c>
      <x:c r="B203" s="20" t="str">
        <x:v>RB09 暂停降温等同自动回归｜退出条件</x:v>
      </x:c>
      <x:c r="C203" s="20" t="str">
        <x:v>L3 修复盲点与过早关闭</x:v>
      </x:c>
      <x:c r="D203" s="20" t="str">
        <x:v>REPAIR-修复盲点</x:v>
      </x:c>
      <x:c r="E203" s="20" t="str">
        <x:v>通用</x:v>
      </x:c>
      <x:c r="F203" s="20" t="str">
        <x:v>保护</x:v>
      </x:c>
      <x:c r="G203" s="20" t="str">
        <x:v>RB09</x:v>
      </x:c>
      <x:c r="H203" s="20" t="str"/>
      <x:c r="I203" s="20" t="str">
        <x:v>暂停前说明目的、范围和返回点。</x:v>
      </x:c>
      <x:c r="J203" s="20" t="str">
        <x:v>只给抽象建议，没有可观察节点。</x:v>
      </x:c>
      <x:c r="K203" s="20" t="str">
        <x:v>由共享基础引擎提供；仅修正修复功能的承载、持续与压力占位，不直接等同是否愿意认错或能否修复。</x:v>
      </x:c>
      <x:c r="L203" s="20" t="str">
        <x:v>由M1／M2提供；夫妻星只说明伴侣原型与关系资格，不单独证明修复能力、修复意愿或修复结果。</x:v>
      </x:c>
      <x:c r="M203" s="20" t="str">
        <x:v>由M3-BASE提供；日支底盘说明亲密关系中自然调用的功能，但不能单独证明修复闭环。</x:v>
      </x:c>
      <x:c r="N203" s="20" t="str">
        <x:v>由M3-CONFLICT、M4-LOOP及现实事件提供；必须区分问题停止、责任承担、影响确认、行动改变、反馈整合与后续回访。</x:v>
      </x:c>
      <x:c r="O203" s="20" t="str">
        <x:v>由共享基础引擎判定；近位提高相关功能进入亲密关系核心的概率，远位只作背景或阶段修正。</x:v>
      </x:c>
      <x:c r="P203" s="20" t="str">
        <x:v>根气只修正某修复功能是否容易重复调用，不等于现实中已经持续改变。</x:v>
      </x:c>
      <x:c r="Q203" s="20" t="str">
        <x:v>旺弱只修正功能调用强度与占位，不直接等同修复质量、诚意或关系结果。</x:v>
      </x:c>
      <x:c r="R203" s="20" t="str">
        <x:v>喜忌只修正功能摩擦、平衡与承载，不直接等同道德、成熟、善恶或是否值得原谅。</x:v>
      </x:c>
      <x:c r="S203" s="20" t="str">
        <x:v>原十神功能有效；真合化成立时按化神功能替换，合化争议时停止定性。</x:v>
      </x:c>
      <x:c r="T203" s="20" t="str">
        <x:v>近位提高修复议题与亲密关系的直接相关性；远位仅保留背景、阶段或低置信修正。</x:v>
      </x:c>
      <x:c r="U203" s="20" t="str">
        <x:v>72</x:v>
      </x:c>
      <x:c r="V203" s="20" t="str">
        <x:v>结构＋4；现实事件＋4；反例－4至停止</x:v>
      </x:c>
      <x:c r="W203" s="20" t="str">
        <x:v>repair_blindspot</x:v>
      </x:c>
      <x:c r="X203" s="20" t="str">
        <x:v>退出条件必须能改变具体修复链，而不是要求人格改变。</x:v>
      </x:c>
      <x:c r="Y203" s="20" t="str">
        <x:v>中断这个卡点的关键是：暂停前说明目的、范围和返回点。</x:v>
      </x:c>
      <x:c r="Z20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3" s="20" t="str">
        <x:v>中高</x:v>
      </x:c>
      <x:c r="AB203" s="20" t="str">
        <x:v>待验证</x:v>
      </x:c>
      <x:c r="AC203" s="20" t="str"/>
      <x:c r="AD203" s="20" t="str">
        <x:v>provisional=true；M3-REPAIR尚未完成，完成条件为暂定功能模型。</x:v>
      </x:c>
      <x:c r="AE203" s="52" t="str">
        <x:v>0.7</x:v>
      </x:c>
    </x:row>
    <x:row r="204">
      <x:c r="A204" s="51" t="str">
        <x:v>M4-REPAIR-203</x:v>
      </x:c>
      <x:c r="B204" s="20" t="str">
        <x:v>RB10 快速和好等同边界已重订｜机制定义</x:v>
      </x:c>
      <x:c r="C204" s="20" t="str">
        <x:v>L3 修复盲点与过早关闭</x:v>
      </x:c>
      <x:c r="D204" s="20" t="str">
        <x:v>REPAIR-修复盲点</x:v>
      </x:c>
      <x:c r="E204" s="20" t="str">
        <x:v>通用</x:v>
      </x:c>
      <x:c r="F204" s="20" t="str">
        <x:v>定义</x:v>
      </x:c>
      <x:c r="G204" s="20" t="str">
        <x:v>RB10</x:v>
      </x:c>
      <x:c r="H204" s="20" t="str"/>
      <x:c r="I204" s="20" t="str">
        <x:v>存在“快速和好等同边界已重订”的候选顺序。</x:v>
      </x:c>
      <x:c r="J204" s="20" t="str">
        <x:v>只凭十神标签或一次模糊事件。</x:v>
      </x:c>
      <x:c r="K204" s="20" t="str">
        <x:v>由共享基础引擎提供；仅修正修复功能的承载、持续与压力占位，不直接等同是否愿意认错或能否修复。</x:v>
      </x:c>
      <x:c r="L204" s="20" t="str">
        <x:v>由M1／M2提供；夫妻星只说明伴侣原型与关系资格，不单独证明修复能力、修复意愿或修复结果。</x:v>
      </x:c>
      <x:c r="M204" s="20" t="str">
        <x:v>由M3-BASE提供；日支底盘说明亲密关系中自然调用的功能，但不能单独证明修复闭环。</x:v>
      </x:c>
      <x:c r="N204" s="20" t="str">
        <x:v>由M3-CONFLICT、M4-LOOP及现实事件提供；必须区分问题停止、责任承担、影响确认、行动改变、反馈整合与后续回访。</x:v>
      </x:c>
      <x:c r="O204" s="20" t="str">
        <x:v>由共享基础引擎判定；近位提高相关功能进入亲密关系核心的概率，远位只作背景或阶段修正。</x:v>
      </x:c>
      <x:c r="P204" s="20" t="str">
        <x:v>根气只修正某修复功能是否容易重复调用，不等于现实中已经持续改变。</x:v>
      </x:c>
      <x:c r="Q204" s="20" t="str">
        <x:v>旺弱只修正功能调用强度与占位，不直接等同修复质量、诚意或关系结果。</x:v>
      </x:c>
      <x:c r="R204" s="20" t="str">
        <x:v>喜忌只修正功能摩擦、平衡与承载，不直接等同道德、成熟、善恶或是否值得原谅。</x:v>
      </x:c>
      <x:c r="S204" s="20" t="str">
        <x:v>原十神功能有效；真合化成立时按化神功能替换，合化争议时停止定性。</x:v>
      </x:c>
      <x:c r="T204" s="20" t="str">
        <x:v>近位提高修复议题与亲密关系的直接相关性；远位仅保留背景、阶段或低置信修正。</x:v>
      </x:c>
      <x:c r="U204" s="20" t="str">
        <x:v>72</x:v>
      </x:c>
      <x:c r="V204" s="20" t="str">
        <x:v>结构＋4；现实事件＋4；反例－4至停止</x:v>
      </x:c>
      <x:c r="W204" s="20" t="str">
        <x:v>repair_blindspot</x:v>
      </x:c>
      <x:c r="X204" s="20" t="str">
        <x:v>该盲点描述过早关闭或功能替代，不等同人格缺陷。</x:v>
      </x:c>
      <x:c r="Y204" s="20" t="str">
        <x:v>重新靠近不代表旧问题自动消失，仍要确认以后哪些做法需要改变。</x:v>
      </x:c>
      <x:c r="Z20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4" s="20" t="str">
        <x:v>中高</x:v>
      </x:c>
      <x:c r="AB204" s="20" t="str">
        <x:v>待验证</x:v>
      </x:c>
      <x:c r="AC204" s="20" t="str"/>
      <x:c r="AD204" s="20" t="str">
        <x:v>provisional=true；M3-REPAIR尚未完成，完成条件为暂定功能模型。</x:v>
      </x:c>
      <x:c r="AE204" s="52" t="str">
        <x:v>0.7</x:v>
      </x:c>
    </x:row>
    <x:row r="205">
      <x:c r="A205" s="51" t="str">
        <x:v>M4-REPAIR-204</x:v>
      </x:c>
      <x:c r="B205" s="20" t="str">
        <x:v>RB10 快速和好等同边界已重订｜成立证据</x:v>
      </x:c>
      <x:c r="C205" s="20" t="str">
        <x:v>L3 修复盲点与过早关闭</x:v>
      </x:c>
      <x:c r="D205" s="20" t="str">
        <x:v>REPAIR-修复盲点</x:v>
      </x:c>
      <x:c r="E205" s="20" t="str">
        <x:v>通用</x:v>
      </x:c>
      <x:c r="F205" s="20" t="str">
        <x:v>证据</x:v>
      </x:c>
      <x:c r="G205" s="20" t="str">
        <x:v>RB10</x:v>
      </x:c>
      <x:c r="H205" s="20" t="str"/>
      <x:c r="I205" s="20" t="str">
        <x:v>RN05不足，并有具体事件顺序。</x:v>
      </x:c>
      <x:c r="J205" s="20" t="str">
        <x:v>相应节点已有稳定现实证据。</x:v>
      </x:c>
      <x:c r="K205" s="20" t="str">
        <x:v>由共享基础引擎提供；仅修正修复功能的承载、持续与压力占位，不直接等同是否愿意认错或能否修复。</x:v>
      </x:c>
      <x:c r="L205" s="20" t="str">
        <x:v>由M1／M2提供；夫妻星只说明伴侣原型与关系资格，不单独证明修复能力、修复意愿或修复结果。</x:v>
      </x:c>
      <x:c r="M205" s="20" t="str">
        <x:v>由M3-BASE提供；日支底盘说明亲密关系中自然调用的功能，但不能单独证明修复闭环。</x:v>
      </x:c>
      <x:c r="N205" s="20" t="str">
        <x:v>由M3-CONFLICT、M4-LOOP及现实事件提供；必须区分问题停止、责任承担、影响确认、行动改变、反馈整合与后续回访。</x:v>
      </x:c>
      <x:c r="O205" s="20" t="str">
        <x:v>由共享基础引擎判定；近位提高相关功能进入亲密关系核心的概率，远位只作背景或阶段修正。</x:v>
      </x:c>
      <x:c r="P205" s="20" t="str">
        <x:v>根气只修正某修复功能是否容易重复调用，不等于现实中已经持续改变。</x:v>
      </x:c>
      <x:c r="Q205" s="20" t="str">
        <x:v>旺弱只修正功能调用强度与占位，不直接等同修复质量、诚意或关系结果。</x:v>
      </x:c>
      <x:c r="R205" s="20" t="str">
        <x:v>喜忌只修正功能摩擦、平衡与承载，不直接等同道德、成熟、善恶或是否值得原谅。</x:v>
      </x:c>
      <x:c r="S205" s="20" t="str">
        <x:v>原十神功能有效；真合化成立时按化神功能替换，合化争议时停止定性。</x:v>
      </x:c>
      <x:c r="T205" s="20" t="str">
        <x:v>近位提高修复议题与亲密关系的直接相关性；远位仅保留背景、阶段或低置信修正。</x:v>
      </x:c>
      <x:c r="U205" s="20" t="str">
        <x:v>86</x:v>
      </x:c>
      <x:c r="V205" s="20" t="str">
        <x:v>结构＋4；现实事件＋4；反例－4至停止</x:v>
      </x:c>
      <x:c r="W205" s="20" t="str">
        <x:v>repair_blindspot</x:v>
      </x:c>
      <x:c r="X205" s="20" t="str">
        <x:v>缺失节点必须由现实资料确认，不能只凭结构推测。</x:v>
      </x:c>
      <x:c r="Y205" s="20" t="str">
        <x:v>需要继续检查：RN05不足。</x:v>
      </x:c>
      <x:c r="Z20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5" s="20" t="str">
        <x:v>中高</x:v>
      </x:c>
      <x:c r="AB205" s="20" t="str">
        <x:v>待验证</x:v>
      </x:c>
      <x:c r="AC205" s="20" t="str"/>
      <x:c r="AD205" s="20" t="str">
        <x:v>provisional=true；M3-REPAIR尚未完成，完成条件为暂定功能模型。</x:v>
      </x:c>
      <x:c r="AE205" s="52" t="str">
        <x:v>0.7</x:v>
      </x:c>
    </x:row>
    <x:row r="206">
      <x:c r="A206" s="51" t="str">
        <x:v>M4-REPAIR-205</x:v>
      </x:c>
      <x:c r="B206" s="20" t="str">
        <x:v>RB10 快速和好等同边界已重订｜典型路由</x:v>
      </x:c>
      <x:c r="C206" s="20" t="str">
        <x:v>L3 修复盲点与过早关闭</x:v>
      </x:c>
      <x:c r="D206" s="20" t="str">
        <x:v>REPAIR-修复盲点</x:v>
      </x:c>
      <x:c r="E206" s="20" t="str">
        <x:v>通用</x:v>
      </x:c>
      <x:c r="F206" s="20" t="str">
        <x:v>路由</x:v>
      </x:c>
      <x:c r="G206" s="20" t="str">
        <x:v>RB10</x:v>
      </x:c>
      <x:c r="H206" s="20" t="str"/>
      <x:c r="I206" s="20" t="str">
        <x:v>前一步修复动作已经出现，但下一项必要任务没有进入。</x:v>
      </x:c>
      <x:c r="J206" s="20" t="str">
        <x:v>前后顺序完整且接收方反馈有效。</x:v>
      </x:c>
      <x:c r="K206" s="20" t="str">
        <x:v>由共享基础引擎提供；仅修正修复功能的承载、持续与压力占位，不直接等同是否愿意认错或能否修复。</x:v>
      </x:c>
      <x:c r="L206" s="20" t="str">
        <x:v>由M1／M2提供；夫妻星只说明伴侣原型与关系资格，不单独证明修复能力、修复意愿或修复结果。</x:v>
      </x:c>
      <x:c r="M206" s="20" t="str">
        <x:v>由M3-BASE提供；日支底盘说明亲密关系中自然调用的功能，但不能单独证明修复闭环。</x:v>
      </x:c>
      <x:c r="N206" s="20" t="str">
        <x:v>由M3-CONFLICT、M4-LOOP及现实事件提供；必须区分问题停止、责任承担、影响确认、行动改变、反馈整合与后续回访。</x:v>
      </x:c>
      <x:c r="O206" s="20" t="str">
        <x:v>由共享基础引擎判定；近位提高相关功能进入亲密关系核心的概率，远位只作背景或阶段修正。</x:v>
      </x:c>
      <x:c r="P206" s="20" t="str">
        <x:v>根气只修正某修复功能是否容易重复调用，不等于现实中已经持续改变。</x:v>
      </x:c>
      <x:c r="Q206" s="20" t="str">
        <x:v>旺弱只修正功能调用强度与占位，不直接等同修复质量、诚意或关系结果。</x:v>
      </x:c>
      <x:c r="R206" s="20" t="str">
        <x:v>喜忌只修正功能摩擦、平衡与承载，不直接等同道德、成熟、善恶或是否值得原谅。</x:v>
      </x:c>
      <x:c r="S206" s="20" t="str">
        <x:v>原十神功能有效；真合化成立时按化神功能替换，合化争议时停止定性。</x:v>
      </x:c>
      <x:c r="T206" s="20" t="str">
        <x:v>近位提高修复议题与亲密关系的直接相关性；远位仅保留背景、阶段或低置信修正。</x:v>
      </x:c>
      <x:c r="U206" s="20" t="str">
        <x:v>72</x:v>
      </x:c>
      <x:c r="V206" s="20" t="str">
        <x:v>结构＋4；现实事件＋4；反例－4至停止</x:v>
      </x:c>
      <x:c r="W206" s="20" t="str">
        <x:v>repair_blindspot</x:v>
      </x:c>
      <x:c r="X206" s="20" t="str">
        <x:v>路由说明卡点发生在哪里。</x:v>
      </x:c>
      <x:c r="Y206" s="20" t="str">
        <x:v>目前更像是前一步完成后，下一步没有顺利接上。</x:v>
      </x:c>
      <x:c r="Z20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6" s="20" t="str">
        <x:v>中高</x:v>
      </x:c>
      <x:c r="AB206" s="20" t="str">
        <x:v>待验证</x:v>
      </x:c>
      <x:c r="AC206" s="20" t="str"/>
      <x:c r="AD206" s="20" t="str">
        <x:v>provisional=true；M3-REPAIR尚未完成，完成条件为暂定功能模型。</x:v>
      </x:c>
      <x:c r="AE206" s="52" t="str">
        <x:v>0.7</x:v>
      </x:c>
    </x:row>
    <x:row r="207">
      <x:c r="A207" s="51" t="str">
        <x:v>M4-REPAIR-206</x:v>
      </x:c>
      <x:c r="B207" s="20" t="str">
        <x:v>RB10 快速和好等同边界已重订｜反例与替代解释</x:v>
      </x:c>
      <x:c r="C207" s="20" t="str">
        <x:v>L3 修复盲点与过早关闭</x:v>
      </x:c>
      <x:c r="D207" s="20" t="str">
        <x:v>REPAIR-修复盲点</x:v>
      </x:c>
      <x:c r="E207" s="20" t="str">
        <x:v>通用</x:v>
      </x:c>
      <x:c r="F207" s="20" t="str">
        <x:v>反例</x:v>
      </x:c>
      <x:c r="G207" s="20" t="str">
        <x:v>RB10</x:v>
      </x:c>
      <x:c r="H207" s="20" t="str"/>
      <x:c r="I207" s="20" t="str">
        <x:v>检查事件强度、双方意愿、时间不足、合理拒绝和安全因素。</x:v>
      </x:c>
      <x:c r="J207" s="20" t="str">
        <x:v>忽略成功修复或把合理边界当卡点。</x:v>
      </x:c>
      <x:c r="K207" s="20" t="str">
        <x:v>由共享基础引擎提供；仅修正修复功能的承载、持续与压力占位，不直接等同是否愿意认错或能否修复。</x:v>
      </x:c>
      <x:c r="L207" s="20" t="str">
        <x:v>由M1／M2提供；夫妻星只说明伴侣原型与关系资格，不单独证明修复能力、修复意愿或修复结果。</x:v>
      </x:c>
      <x:c r="M207" s="20" t="str">
        <x:v>由M3-BASE提供；日支底盘说明亲密关系中自然调用的功能，但不能单独证明修复闭环。</x:v>
      </x:c>
      <x:c r="N207" s="20" t="str">
        <x:v>由M3-CONFLICT、M4-LOOP及现实事件提供；必须区分问题停止、责任承担、影响确认、行动改变、反馈整合与后续回访。</x:v>
      </x:c>
      <x:c r="O207" s="20" t="str">
        <x:v>由共享基础引擎判定；近位提高相关功能进入亲密关系核心的概率，远位只作背景或阶段修正。</x:v>
      </x:c>
      <x:c r="P207" s="20" t="str">
        <x:v>根气只修正某修复功能是否容易重复调用，不等于现实中已经持续改变。</x:v>
      </x:c>
      <x:c r="Q207" s="20" t="str">
        <x:v>旺弱只修正功能调用强度与占位，不直接等同修复质量、诚意或关系结果。</x:v>
      </x:c>
      <x:c r="R207" s="20" t="str">
        <x:v>喜忌只修正功能摩擦、平衡与承载，不直接等同道德、成熟、善恶或是否值得原谅。</x:v>
      </x:c>
      <x:c r="S207" s="20" t="str">
        <x:v>原十神功能有效；真合化成立时按化神功能替换，合化争议时停止定性。</x:v>
      </x:c>
      <x:c r="T207" s="20" t="str">
        <x:v>近位提高修复议题与亲密关系的直接相关性；远位仅保留背景、阶段或低置信修正。</x:v>
      </x:c>
      <x:c r="U207" s="20" t="str">
        <x:v>86</x:v>
      </x:c>
      <x:c r="V207" s="20" t="str">
        <x:v>结构＋4；现实事件＋4；反例－4至停止</x:v>
      </x:c>
      <x:c r="W207" s="20" t="str">
        <x:v>repair_blindspot</x:v>
      </x:c>
      <x:c r="X207" s="20" t="str">
        <x:v>同一表面结果可能来自合理暂停、信息不足或不愿继续关系。</x:v>
      </x:c>
      <x:c r="Y207" s="20" t="str">
        <x:v>也要检查这是否只是合理暂停、资料不足，或对方选择不继续，而不是修复能力问题。</x:v>
      </x:c>
      <x:c r="Z20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7" s="20" t="str">
        <x:v>中高</x:v>
      </x:c>
      <x:c r="AB207" s="20" t="str">
        <x:v>待验证</x:v>
      </x:c>
      <x:c r="AC207" s="20" t="str"/>
      <x:c r="AD207" s="20" t="str">
        <x:v>provisional=true；M3-REPAIR尚未完成，完成条件为暂定功能模型。</x:v>
      </x:c>
      <x:c r="AE207" s="52" t="str">
        <x:v>0.7</x:v>
      </x:c>
    </x:row>
    <x:row r="208">
      <x:c r="A208" s="51" t="str">
        <x:v>M4-REPAIR-207</x:v>
      </x:c>
      <x:c r="B208" s="20" t="str">
        <x:v>RB10 快速和好等同边界已重订｜用户输出</x:v>
      </x:c>
      <x:c r="C208" s="20" t="str">
        <x:v>L3 修复盲点与过早关闭</x:v>
      </x:c>
      <x:c r="D208" s="20" t="str">
        <x:v>REPAIR-修复盲点</x:v>
      </x:c>
      <x:c r="E208" s="20" t="str">
        <x:v>通用</x:v>
      </x:c>
      <x:c r="F208" s="20" t="str">
        <x:v>输出</x:v>
      </x:c>
      <x:c r="G208" s="20" t="str">
        <x:v>RB10</x:v>
      </x:c>
      <x:c r="H208" s="20" t="str"/>
      <x:c r="I208" s="20" t="str">
        <x:v>该盲点达到E2或以上，并完成反例检查。</x:v>
      </x:c>
      <x:c r="J208" s="20" t="str">
        <x:v>资料不足或安全停止。</x:v>
      </x:c>
      <x:c r="K208" s="20" t="str">
        <x:v>由共享基础引擎提供；仅修正修复功能的承载、持续与压力占位，不直接等同是否愿意认错或能否修复。</x:v>
      </x:c>
      <x:c r="L208" s="20" t="str">
        <x:v>由M1／M2提供；夫妻星只说明伴侣原型与关系资格，不单独证明修复能力、修复意愿或修复结果。</x:v>
      </x:c>
      <x:c r="M208" s="20" t="str">
        <x:v>由M3-BASE提供；日支底盘说明亲密关系中自然调用的功能，但不能单独证明修复闭环。</x:v>
      </x:c>
      <x:c r="N208" s="20" t="str">
        <x:v>由M3-CONFLICT、M4-LOOP及现实事件提供；必须区分问题停止、责任承担、影响确认、行动改变、反馈整合与后续回访。</x:v>
      </x:c>
      <x:c r="O208" s="20" t="str">
        <x:v>由共享基础引擎判定；近位提高相关功能进入亲密关系核心的概率，远位只作背景或阶段修正。</x:v>
      </x:c>
      <x:c r="P208" s="20" t="str">
        <x:v>根气只修正某修复功能是否容易重复调用，不等于现实中已经持续改变。</x:v>
      </x:c>
      <x:c r="Q208" s="20" t="str">
        <x:v>旺弱只修正功能调用强度与占位，不直接等同修复质量、诚意或关系结果。</x:v>
      </x:c>
      <x:c r="R208" s="20" t="str">
        <x:v>喜忌只修正功能摩擦、平衡与承载，不直接等同道德、成熟、善恶或是否值得原谅。</x:v>
      </x:c>
      <x:c r="S208" s="20" t="str">
        <x:v>原十神功能有效；真合化成立时按化神功能替换，合化争议时停止定性。</x:v>
      </x:c>
      <x:c r="T208" s="20" t="str">
        <x:v>近位提高修复议题与亲密关系的直接相关性；远位仅保留背景、阶段或低置信修正。</x:v>
      </x:c>
      <x:c r="U208" s="20" t="str">
        <x:v>72</x:v>
      </x:c>
      <x:c r="V208" s="20" t="str">
        <x:v>结构＋4；现实事件＋4；反例－4至停止</x:v>
      </x:c>
      <x:c r="W208" s="20" t="str">
        <x:v>repair_blindspot</x:v>
      </x:c>
      <x:c r="X208" s="20" t="str">
        <x:v>语言应说明“已完成什么、缺什么、如何验证”。</x:v>
      </x:c>
      <x:c r="Y208" s="20" t="str">
        <x:v>重新靠近不代表旧问题自动消失，仍要确认以后哪些做法需要改变。</x:v>
      </x:c>
      <x:c r="Z20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8" s="20" t="str">
        <x:v>中高</x:v>
      </x:c>
      <x:c r="AB208" s="20" t="str">
        <x:v>待验证</x:v>
      </x:c>
      <x:c r="AC208" s="20" t="str"/>
      <x:c r="AD208" s="20" t="str">
        <x:v>provisional=true；M3-REPAIR尚未完成，完成条件为暂定功能模型。</x:v>
      </x:c>
      <x:c r="AE208" s="52" t="str">
        <x:v>0.7</x:v>
      </x:c>
    </x:row>
    <x:row r="209">
      <x:c r="A209" s="51" t="str">
        <x:v>M4-REPAIR-208</x:v>
      </x:c>
      <x:c r="B209" s="20" t="str">
        <x:v>RB10 快速和好等同边界已重订｜退出条件</x:v>
      </x:c>
      <x:c r="C209" s="20" t="str">
        <x:v>L3 修复盲点与过早关闭</x:v>
      </x:c>
      <x:c r="D209" s="20" t="str">
        <x:v>REPAIR-修复盲点</x:v>
      </x:c>
      <x:c r="E209" s="20" t="str">
        <x:v>通用</x:v>
      </x:c>
      <x:c r="F209" s="20" t="str">
        <x:v>保护</x:v>
      </x:c>
      <x:c r="G209" s="20" t="str">
        <x:v>RB10</x:v>
      </x:c>
      <x:c r="H209" s="20" t="str"/>
      <x:c r="I209" s="20" t="str">
        <x:v>和好后补做边界与决定权重订。</x:v>
      </x:c>
      <x:c r="J209" s="20" t="str">
        <x:v>只给抽象建议，没有可观察节点。</x:v>
      </x:c>
      <x:c r="K209" s="20" t="str">
        <x:v>由共享基础引擎提供；仅修正修复功能的承载、持续与压力占位，不直接等同是否愿意认错或能否修复。</x:v>
      </x:c>
      <x:c r="L209" s="20" t="str">
        <x:v>由M1／M2提供；夫妻星只说明伴侣原型与关系资格，不单独证明修复能力、修复意愿或修复结果。</x:v>
      </x:c>
      <x:c r="M209" s="20" t="str">
        <x:v>由M3-BASE提供；日支底盘说明亲密关系中自然调用的功能，但不能单独证明修复闭环。</x:v>
      </x:c>
      <x:c r="N209" s="20" t="str">
        <x:v>由M3-CONFLICT、M4-LOOP及现实事件提供；必须区分问题停止、责任承担、影响确认、行动改变、反馈整合与后续回访。</x:v>
      </x:c>
      <x:c r="O209" s="20" t="str">
        <x:v>由共享基础引擎判定；近位提高相关功能进入亲密关系核心的概率，远位只作背景或阶段修正。</x:v>
      </x:c>
      <x:c r="P209" s="20" t="str">
        <x:v>根气只修正某修复功能是否容易重复调用，不等于现实中已经持续改变。</x:v>
      </x:c>
      <x:c r="Q209" s="20" t="str">
        <x:v>旺弱只修正功能调用强度与占位，不直接等同修复质量、诚意或关系结果。</x:v>
      </x:c>
      <x:c r="R209" s="20" t="str">
        <x:v>喜忌只修正功能摩擦、平衡与承载，不直接等同道德、成熟、善恶或是否值得原谅。</x:v>
      </x:c>
      <x:c r="S209" s="20" t="str">
        <x:v>原十神功能有效；真合化成立时按化神功能替换，合化争议时停止定性。</x:v>
      </x:c>
      <x:c r="T209" s="20" t="str">
        <x:v>近位提高修复议题与亲密关系的直接相关性；远位仅保留背景、阶段或低置信修正。</x:v>
      </x:c>
      <x:c r="U209" s="20" t="str">
        <x:v>72</x:v>
      </x:c>
      <x:c r="V209" s="20" t="str">
        <x:v>结构＋4；现实事件＋4；反例－4至停止</x:v>
      </x:c>
      <x:c r="W209" s="20" t="str">
        <x:v>repair_blindspot</x:v>
      </x:c>
      <x:c r="X209" s="20" t="str">
        <x:v>退出条件必须能改变具体修复链，而不是要求人格改变。</x:v>
      </x:c>
      <x:c r="Y209" s="20" t="str">
        <x:v>中断这个卡点的关键是：和好后补做边界与决定权重订。</x:v>
      </x:c>
      <x:c r="Z20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09" s="20" t="str">
        <x:v>中高</x:v>
      </x:c>
      <x:c r="AB209" s="20" t="str">
        <x:v>待验证</x:v>
      </x:c>
      <x:c r="AC209" s="20" t="str"/>
      <x:c r="AD209" s="20" t="str">
        <x:v>provisional=true；M3-REPAIR尚未完成，完成条件为暂定功能模型。</x:v>
      </x:c>
      <x:c r="AE209" s="52" t="str">
        <x:v>0.7</x:v>
      </x:c>
    </x:row>
    <x:row r="210">
      <x:c r="A210" s="51" t="str">
        <x:v>M4-REPAIR-209</x:v>
      </x:c>
      <x:c r="B210" s="20" t="str">
        <x:v>RB11 单方修复投入等同双方闭环｜机制定义</x:v>
      </x:c>
      <x:c r="C210" s="20" t="str">
        <x:v>L3 修复盲点与过早关闭</x:v>
      </x:c>
      <x:c r="D210" s="20" t="str">
        <x:v>REPAIR-修复盲点</x:v>
      </x:c>
      <x:c r="E210" s="20" t="str">
        <x:v>通用</x:v>
      </x:c>
      <x:c r="F210" s="20" t="str">
        <x:v>定义</x:v>
      </x:c>
      <x:c r="G210" s="20" t="str">
        <x:v>RB11</x:v>
      </x:c>
      <x:c r="H210" s="20" t="str"/>
      <x:c r="I210" s="20" t="str">
        <x:v>存在“单方修复投入等同双方闭环”的候选顺序。</x:v>
      </x:c>
      <x:c r="J210" s="20" t="str">
        <x:v>只凭十神标签或一次模糊事件。</x:v>
      </x:c>
      <x:c r="K210" s="20" t="str">
        <x:v>由共享基础引擎提供；仅修正修复功能的承载、持续与压力占位，不直接等同是否愿意认错或能否修复。</x:v>
      </x:c>
      <x:c r="L210" s="20" t="str">
        <x:v>由M1／M2提供；夫妻星只说明伴侣原型与关系资格，不单独证明修复能力、修复意愿或修复结果。</x:v>
      </x:c>
      <x:c r="M210" s="20" t="str">
        <x:v>由M3-BASE提供；日支底盘说明亲密关系中自然调用的功能，但不能单独证明修复闭环。</x:v>
      </x:c>
      <x:c r="N210" s="20" t="str">
        <x:v>由M3-CONFLICT、M4-LOOP及现实事件提供；必须区分问题停止、责任承担、影响确认、行动改变、反馈整合与后续回访。</x:v>
      </x:c>
      <x:c r="O210" s="20" t="str">
        <x:v>由共享基础引擎判定；近位提高相关功能进入亲密关系核心的概率，远位只作背景或阶段修正。</x:v>
      </x:c>
      <x:c r="P210" s="20" t="str">
        <x:v>根气只修正某修复功能是否容易重复调用，不等于现实中已经持续改变。</x:v>
      </x:c>
      <x:c r="Q210" s="20" t="str">
        <x:v>旺弱只修正功能调用强度与占位，不直接等同修复质量、诚意或关系结果。</x:v>
      </x:c>
      <x:c r="R210" s="20" t="str">
        <x:v>喜忌只修正功能摩擦、平衡与承载，不直接等同道德、成熟、善恶或是否值得原谅。</x:v>
      </x:c>
      <x:c r="S210" s="20" t="str">
        <x:v>原十神功能有效；真合化成立时按化神功能替换，合化争议时停止定性。</x:v>
      </x:c>
      <x:c r="T210" s="20" t="str">
        <x:v>近位提高修复议题与亲密关系的直接相关性；远位仅保留背景、阶段或低置信修正。</x:v>
      </x:c>
      <x:c r="U210" s="20" t="str">
        <x:v>72</x:v>
      </x:c>
      <x:c r="V210" s="20" t="str">
        <x:v>结构＋4；现实事件＋4；反例－4至停止</x:v>
      </x:c>
      <x:c r="W210" s="20" t="str">
        <x:v>repair_blindspot</x:v>
      </x:c>
      <x:c r="X210" s="20" t="str">
        <x:v>该盲点描述过早关闭或功能替代，不等同人格缺陷。</x:v>
      </x:c>
      <x:c r="Y210" s="20" t="str">
        <x:v>你可以完成自己的责任，但不能替对方决定是否已经修复或是否愿意继续。</x:v>
      </x:c>
      <x:c r="Z21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0" s="20" t="str">
        <x:v>中高</x:v>
      </x:c>
      <x:c r="AB210" s="20" t="str">
        <x:v>待验证</x:v>
      </x:c>
      <x:c r="AC210" s="20" t="str"/>
      <x:c r="AD210" s="20" t="str">
        <x:v>provisional=true；M3-REPAIR尚未完成，完成条件为暂定功能模型。</x:v>
      </x:c>
      <x:c r="AE210" s="52" t="str">
        <x:v>0.7</x:v>
      </x:c>
    </x:row>
    <x:row r="211">
      <x:c r="A211" s="51" t="str">
        <x:v>M4-REPAIR-210</x:v>
      </x:c>
      <x:c r="B211" s="20" t="str">
        <x:v>RB11 单方修复投入等同双方闭环｜成立证据</x:v>
      </x:c>
      <x:c r="C211" s="20" t="str">
        <x:v>L3 修复盲点与过早关闭</x:v>
      </x:c>
      <x:c r="D211" s="20" t="str">
        <x:v>REPAIR-修复盲点</x:v>
      </x:c>
      <x:c r="E211" s="20" t="str">
        <x:v>通用</x:v>
      </x:c>
      <x:c r="F211" s="20" t="str">
        <x:v>证据</x:v>
      </x:c>
      <x:c r="G211" s="20" t="str">
        <x:v>RB11</x:v>
      </x:c>
      <x:c r="H211" s="20" t="str"/>
      <x:c r="I211" s="20" t="str">
        <x:v>RN07不足，或接收方明确拒绝继续，并有具体事件顺序。</x:v>
      </x:c>
      <x:c r="J211" s="20" t="str">
        <x:v>相应节点已有稳定现实证据。</x:v>
      </x:c>
      <x:c r="K211" s="20" t="str">
        <x:v>由共享基础引擎提供；仅修正修复功能的承载、持续与压力占位，不直接等同是否愿意认错或能否修复。</x:v>
      </x:c>
      <x:c r="L211" s="20" t="str">
        <x:v>由M1／M2提供；夫妻星只说明伴侣原型与关系资格，不单独证明修复能力、修复意愿或修复结果。</x:v>
      </x:c>
      <x:c r="M211" s="20" t="str">
        <x:v>由M3-BASE提供；日支底盘说明亲密关系中自然调用的功能，但不能单独证明修复闭环。</x:v>
      </x:c>
      <x:c r="N211" s="20" t="str">
        <x:v>由M3-CONFLICT、M4-LOOP及现实事件提供；必须区分问题停止、责任承担、影响确认、行动改变、反馈整合与后续回访。</x:v>
      </x:c>
      <x:c r="O211" s="20" t="str">
        <x:v>由共享基础引擎判定；近位提高相关功能进入亲密关系核心的概率，远位只作背景或阶段修正。</x:v>
      </x:c>
      <x:c r="P211" s="20" t="str">
        <x:v>根气只修正某修复功能是否容易重复调用，不等于现实中已经持续改变。</x:v>
      </x:c>
      <x:c r="Q211" s="20" t="str">
        <x:v>旺弱只修正功能调用强度与占位，不直接等同修复质量、诚意或关系结果。</x:v>
      </x:c>
      <x:c r="R211" s="20" t="str">
        <x:v>喜忌只修正功能摩擦、平衡与承载，不直接等同道德、成熟、善恶或是否值得原谅。</x:v>
      </x:c>
      <x:c r="S211" s="20" t="str">
        <x:v>原十神功能有效；真合化成立时按化神功能替换，合化争议时停止定性。</x:v>
      </x:c>
      <x:c r="T211" s="20" t="str">
        <x:v>近位提高修复议题与亲密关系的直接相关性；远位仅保留背景、阶段或低置信修正。</x:v>
      </x:c>
      <x:c r="U211" s="20" t="str">
        <x:v>86</x:v>
      </x:c>
      <x:c r="V211" s="20" t="str">
        <x:v>结构＋4；现实事件＋4；反例－4至停止</x:v>
      </x:c>
      <x:c r="W211" s="20" t="str">
        <x:v>repair_blindspot</x:v>
      </x:c>
      <x:c r="X211" s="20" t="str">
        <x:v>缺失节点必须由现实资料确认，不能只凭结构推测。</x:v>
      </x:c>
      <x:c r="Y211" s="20" t="str">
        <x:v>需要继续检查：RN07不足，或接收方明确拒绝继续。</x:v>
      </x:c>
      <x:c r="Z21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1" s="20" t="str">
        <x:v>中高</x:v>
      </x:c>
      <x:c r="AB211" s="20" t="str">
        <x:v>待验证</x:v>
      </x:c>
      <x:c r="AC211" s="20" t="str"/>
      <x:c r="AD211" s="20" t="str">
        <x:v>provisional=true；M3-REPAIR尚未完成，完成条件为暂定功能模型。</x:v>
      </x:c>
      <x:c r="AE211" s="52" t="str">
        <x:v>0.7</x:v>
      </x:c>
    </x:row>
    <x:row r="212">
      <x:c r="A212" s="51" t="str">
        <x:v>M4-REPAIR-211</x:v>
      </x:c>
      <x:c r="B212" s="20" t="str">
        <x:v>RB11 单方修复投入等同双方闭环｜典型路由</x:v>
      </x:c>
      <x:c r="C212" s="20" t="str">
        <x:v>L3 修复盲点与过早关闭</x:v>
      </x:c>
      <x:c r="D212" s="20" t="str">
        <x:v>REPAIR-修复盲点</x:v>
      </x:c>
      <x:c r="E212" s="20" t="str">
        <x:v>通用</x:v>
      </x:c>
      <x:c r="F212" s="20" t="str">
        <x:v>路由</x:v>
      </x:c>
      <x:c r="G212" s="20" t="str">
        <x:v>RB11</x:v>
      </x:c>
      <x:c r="H212" s="20" t="str"/>
      <x:c r="I212" s="20" t="str">
        <x:v>前一步修复动作已经出现，但下一项必要任务没有进入。</x:v>
      </x:c>
      <x:c r="J212" s="20" t="str">
        <x:v>前后顺序完整且接收方反馈有效。</x:v>
      </x:c>
      <x:c r="K212" s="20" t="str">
        <x:v>由共享基础引擎提供；仅修正修复功能的承载、持续与压力占位，不直接等同是否愿意认错或能否修复。</x:v>
      </x:c>
      <x:c r="L212" s="20" t="str">
        <x:v>由M1／M2提供；夫妻星只说明伴侣原型与关系资格，不单独证明修复能力、修复意愿或修复结果。</x:v>
      </x:c>
      <x:c r="M212" s="20" t="str">
        <x:v>由M3-BASE提供；日支底盘说明亲密关系中自然调用的功能，但不能单独证明修复闭环。</x:v>
      </x:c>
      <x:c r="N212" s="20" t="str">
        <x:v>由M3-CONFLICT、M4-LOOP及现实事件提供；必须区分问题停止、责任承担、影响确认、行动改变、反馈整合与后续回访。</x:v>
      </x:c>
      <x:c r="O212" s="20" t="str">
        <x:v>由共享基础引擎判定；近位提高相关功能进入亲密关系核心的概率，远位只作背景或阶段修正。</x:v>
      </x:c>
      <x:c r="P212" s="20" t="str">
        <x:v>根气只修正某修复功能是否容易重复调用，不等于现实中已经持续改变。</x:v>
      </x:c>
      <x:c r="Q212" s="20" t="str">
        <x:v>旺弱只修正功能调用强度与占位，不直接等同修复质量、诚意或关系结果。</x:v>
      </x:c>
      <x:c r="R212" s="20" t="str">
        <x:v>喜忌只修正功能摩擦、平衡与承载，不直接等同道德、成熟、善恶或是否值得原谅。</x:v>
      </x:c>
      <x:c r="S212" s="20" t="str">
        <x:v>原十神功能有效；真合化成立时按化神功能替换，合化争议时停止定性。</x:v>
      </x:c>
      <x:c r="T212" s="20" t="str">
        <x:v>近位提高修复议题与亲密关系的直接相关性；远位仅保留背景、阶段或低置信修正。</x:v>
      </x:c>
      <x:c r="U212" s="20" t="str">
        <x:v>72</x:v>
      </x:c>
      <x:c r="V212" s="20" t="str">
        <x:v>结构＋4；现实事件＋4；反例－4至停止</x:v>
      </x:c>
      <x:c r="W212" s="20" t="str">
        <x:v>repair_blindspot</x:v>
      </x:c>
      <x:c r="X212" s="20" t="str">
        <x:v>路由说明卡点发生在哪里。</x:v>
      </x:c>
      <x:c r="Y212" s="20" t="str">
        <x:v>目前更像是前一步完成后，下一步没有顺利接上。</x:v>
      </x:c>
      <x:c r="Z21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2" s="20" t="str">
        <x:v>中高</x:v>
      </x:c>
      <x:c r="AB212" s="20" t="str">
        <x:v>待验证</x:v>
      </x:c>
      <x:c r="AC212" s="20" t="str"/>
      <x:c r="AD212" s="20" t="str">
        <x:v>provisional=true；M3-REPAIR尚未完成，完成条件为暂定功能模型。</x:v>
      </x:c>
      <x:c r="AE212" s="52" t="str">
        <x:v>0.7</x:v>
      </x:c>
    </x:row>
    <x:row r="213">
      <x:c r="A213" s="51" t="str">
        <x:v>M4-REPAIR-212</x:v>
      </x:c>
      <x:c r="B213" s="20" t="str">
        <x:v>RB11 单方修复投入等同双方闭环｜反例与替代解释</x:v>
      </x:c>
      <x:c r="C213" s="20" t="str">
        <x:v>L3 修复盲点与过早关闭</x:v>
      </x:c>
      <x:c r="D213" s="20" t="str">
        <x:v>REPAIR-修复盲点</x:v>
      </x:c>
      <x:c r="E213" s="20" t="str">
        <x:v>通用</x:v>
      </x:c>
      <x:c r="F213" s="20" t="str">
        <x:v>反例</x:v>
      </x:c>
      <x:c r="G213" s="20" t="str">
        <x:v>RB11</x:v>
      </x:c>
      <x:c r="H213" s="20" t="str"/>
      <x:c r="I213" s="20" t="str">
        <x:v>检查事件强度、双方意愿、时间不足、合理拒绝和安全因素。</x:v>
      </x:c>
      <x:c r="J213" s="20" t="str">
        <x:v>忽略成功修复或把合理边界当卡点。</x:v>
      </x:c>
      <x:c r="K213" s="20" t="str">
        <x:v>由共享基础引擎提供；仅修正修复功能的承载、持续与压力占位，不直接等同是否愿意认错或能否修复。</x:v>
      </x:c>
      <x:c r="L213" s="20" t="str">
        <x:v>由M1／M2提供；夫妻星只说明伴侣原型与关系资格，不单独证明修复能力、修复意愿或修复结果。</x:v>
      </x:c>
      <x:c r="M213" s="20" t="str">
        <x:v>由M3-BASE提供；日支底盘说明亲密关系中自然调用的功能，但不能单独证明修复闭环。</x:v>
      </x:c>
      <x:c r="N213" s="20" t="str">
        <x:v>由M3-CONFLICT、M4-LOOP及现实事件提供；必须区分问题停止、责任承担、影响确认、行动改变、反馈整合与后续回访。</x:v>
      </x:c>
      <x:c r="O213" s="20" t="str">
        <x:v>由共享基础引擎判定；近位提高相关功能进入亲密关系核心的概率，远位只作背景或阶段修正。</x:v>
      </x:c>
      <x:c r="P213" s="20" t="str">
        <x:v>根气只修正某修复功能是否容易重复调用，不等于现实中已经持续改变。</x:v>
      </x:c>
      <x:c r="Q213" s="20" t="str">
        <x:v>旺弱只修正功能调用强度与占位，不直接等同修复质量、诚意或关系结果。</x:v>
      </x:c>
      <x:c r="R213" s="20" t="str">
        <x:v>喜忌只修正功能摩擦、平衡与承载，不直接等同道德、成熟、善恶或是否值得原谅。</x:v>
      </x:c>
      <x:c r="S213" s="20" t="str">
        <x:v>原十神功能有效；真合化成立时按化神功能替换，合化争议时停止定性。</x:v>
      </x:c>
      <x:c r="T213" s="20" t="str">
        <x:v>近位提高修复议题与亲密关系的直接相关性；远位仅保留背景、阶段或低置信修正。</x:v>
      </x:c>
      <x:c r="U213" s="20" t="str">
        <x:v>86</x:v>
      </x:c>
      <x:c r="V213" s="20" t="str">
        <x:v>结构＋4；现实事件＋4；反例－4至停止</x:v>
      </x:c>
      <x:c r="W213" s="20" t="str">
        <x:v>repair_blindspot</x:v>
      </x:c>
      <x:c r="X213" s="20" t="str">
        <x:v>同一表面结果可能来自合理暂停、信息不足或不愿继续关系。</x:v>
      </x:c>
      <x:c r="Y213" s="20" t="str">
        <x:v>也要检查这是否只是合理暂停、资料不足，或对方选择不继续，而不是修复能力问题。</x:v>
      </x:c>
      <x:c r="Z21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3" s="20" t="str">
        <x:v>中高</x:v>
      </x:c>
      <x:c r="AB213" s="20" t="str">
        <x:v>待验证</x:v>
      </x:c>
      <x:c r="AC213" s="20" t="str"/>
      <x:c r="AD213" s="20" t="str">
        <x:v>provisional=true；M3-REPAIR尚未完成，完成条件为暂定功能模型。</x:v>
      </x:c>
      <x:c r="AE213" s="52" t="str">
        <x:v>0.7</x:v>
      </x:c>
    </x:row>
    <x:row r="214">
      <x:c r="A214" s="51" t="str">
        <x:v>M4-REPAIR-213</x:v>
      </x:c>
      <x:c r="B214" s="20" t="str">
        <x:v>RB11 单方修复投入等同双方闭环｜用户输出</x:v>
      </x:c>
      <x:c r="C214" s="20" t="str">
        <x:v>L3 修复盲点与过早关闭</x:v>
      </x:c>
      <x:c r="D214" s="20" t="str">
        <x:v>REPAIR-修复盲点</x:v>
      </x:c>
      <x:c r="E214" s="20" t="str">
        <x:v>通用</x:v>
      </x:c>
      <x:c r="F214" s="20" t="str">
        <x:v>输出</x:v>
      </x:c>
      <x:c r="G214" s="20" t="str">
        <x:v>RB11</x:v>
      </x:c>
      <x:c r="H214" s="20" t="str"/>
      <x:c r="I214" s="20" t="str">
        <x:v>该盲点达到E2或以上，并完成反例检查。</x:v>
      </x:c>
      <x:c r="J214" s="20" t="str">
        <x:v>资料不足或安全停止。</x:v>
      </x:c>
      <x:c r="K214" s="20" t="str">
        <x:v>由共享基础引擎提供；仅修正修复功能的承载、持续与压力占位，不直接等同是否愿意认错或能否修复。</x:v>
      </x:c>
      <x:c r="L214" s="20" t="str">
        <x:v>由M1／M2提供；夫妻星只说明伴侣原型与关系资格，不单独证明修复能力、修复意愿或修复结果。</x:v>
      </x:c>
      <x:c r="M214" s="20" t="str">
        <x:v>由M3-BASE提供；日支底盘说明亲密关系中自然调用的功能，但不能单独证明修复闭环。</x:v>
      </x:c>
      <x:c r="N214" s="20" t="str">
        <x:v>由M3-CONFLICT、M4-LOOP及现实事件提供；必须区分问题停止、责任承担、影响确认、行动改变、反馈整合与后续回访。</x:v>
      </x:c>
      <x:c r="O214" s="20" t="str">
        <x:v>由共享基础引擎判定；近位提高相关功能进入亲密关系核心的概率，远位只作背景或阶段修正。</x:v>
      </x:c>
      <x:c r="P214" s="20" t="str">
        <x:v>根气只修正某修复功能是否容易重复调用，不等于现实中已经持续改变。</x:v>
      </x:c>
      <x:c r="Q214" s="20" t="str">
        <x:v>旺弱只修正功能调用强度与占位，不直接等同修复质量、诚意或关系结果。</x:v>
      </x:c>
      <x:c r="R214" s="20" t="str">
        <x:v>喜忌只修正功能摩擦、平衡与承载，不直接等同道德、成熟、善恶或是否值得原谅。</x:v>
      </x:c>
      <x:c r="S214" s="20" t="str">
        <x:v>原十神功能有效；真合化成立时按化神功能替换，合化争议时停止定性。</x:v>
      </x:c>
      <x:c r="T214" s="20" t="str">
        <x:v>近位提高修复议题与亲密关系的直接相关性；远位仅保留背景、阶段或低置信修正。</x:v>
      </x:c>
      <x:c r="U214" s="20" t="str">
        <x:v>72</x:v>
      </x:c>
      <x:c r="V214" s="20" t="str">
        <x:v>结构＋4；现实事件＋4；反例－4至停止</x:v>
      </x:c>
      <x:c r="W214" s="20" t="str">
        <x:v>repair_blindspot</x:v>
      </x:c>
      <x:c r="X214" s="20" t="str">
        <x:v>语言应说明“已完成什么、缺什么、如何验证”。</x:v>
      </x:c>
      <x:c r="Y214" s="20" t="str">
        <x:v>你可以完成自己的责任，但不能替对方决定是否已经修复或是否愿意继续。</x:v>
      </x:c>
      <x:c r="Z21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4" s="20" t="str">
        <x:v>中高</x:v>
      </x:c>
      <x:c r="AB214" s="20" t="str">
        <x:v>待验证</x:v>
      </x:c>
      <x:c r="AC214" s="20" t="str"/>
      <x:c r="AD214" s="20" t="str">
        <x:v>provisional=true；M3-REPAIR尚未完成，完成条件为暂定功能模型。</x:v>
      </x:c>
      <x:c r="AE214" s="52" t="str">
        <x:v>0.7</x:v>
      </x:c>
    </x:row>
    <x:row r="215">
      <x:c r="A215" s="51" t="str">
        <x:v>M4-REPAIR-214</x:v>
      </x:c>
      <x:c r="B215" s="20" t="str">
        <x:v>RB11 单方修复投入等同双方闭环｜退出条件</x:v>
      </x:c>
      <x:c r="C215" s="20" t="str">
        <x:v>L3 修复盲点与过早关闭</x:v>
      </x:c>
      <x:c r="D215" s="20" t="str">
        <x:v>REPAIR-修复盲点</x:v>
      </x:c>
      <x:c r="E215" s="20" t="str">
        <x:v>通用</x:v>
      </x:c>
      <x:c r="F215" s="20" t="str">
        <x:v>保护</x:v>
      </x:c>
      <x:c r="G215" s="20" t="str">
        <x:v>RB11</x:v>
      </x:c>
      <x:c r="H215" s="20" t="str"/>
      <x:c r="I215" s="20" t="str">
        <x:v>区分个人责任行动、修复邀请和双方闭环。</x:v>
      </x:c>
      <x:c r="J215" s="20" t="str">
        <x:v>只给抽象建议，没有可观察节点。</x:v>
      </x:c>
      <x:c r="K215" s="20" t="str">
        <x:v>由共享基础引擎提供；仅修正修复功能的承载、持续与压力占位，不直接等同是否愿意认错或能否修复。</x:v>
      </x:c>
      <x:c r="L215" s="20" t="str">
        <x:v>由M1／M2提供；夫妻星只说明伴侣原型与关系资格，不单独证明修复能力、修复意愿或修复结果。</x:v>
      </x:c>
      <x:c r="M215" s="20" t="str">
        <x:v>由M3-BASE提供；日支底盘说明亲密关系中自然调用的功能，但不能单独证明修复闭环。</x:v>
      </x:c>
      <x:c r="N215" s="20" t="str">
        <x:v>由M3-CONFLICT、M4-LOOP及现实事件提供；必须区分问题停止、责任承担、影响确认、行动改变、反馈整合与后续回访。</x:v>
      </x:c>
      <x:c r="O215" s="20" t="str">
        <x:v>由共享基础引擎判定；近位提高相关功能进入亲密关系核心的概率，远位只作背景或阶段修正。</x:v>
      </x:c>
      <x:c r="P215" s="20" t="str">
        <x:v>根气只修正某修复功能是否容易重复调用，不等于现实中已经持续改变。</x:v>
      </x:c>
      <x:c r="Q215" s="20" t="str">
        <x:v>旺弱只修正功能调用强度与占位，不直接等同修复质量、诚意或关系结果。</x:v>
      </x:c>
      <x:c r="R215" s="20" t="str">
        <x:v>喜忌只修正功能摩擦、平衡与承载，不直接等同道德、成熟、善恶或是否值得原谅。</x:v>
      </x:c>
      <x:c r="S215" s="20" t="str">
        <x:v>原十神功能有效；真合化成立时按化神功能替换，合化争议时停止定性。</x:v>
      </x:c>
      <x:c r="T215" s="20" t="str">
        <x:v>近位提高修复议题与亲密关系的直接相关性；远位仅保留背景、阶段或低置信修正。</x:v>
      </x:c>
      <x:c r="U215" s="20" t="str">
        <x:v>72</x:v>
      </x:c>
      <x:c r="V215" s="20" t="str">
        <x:v>结构＋4；现实事件＋4；反例－4至停止</x:v>
      </x:c>
      <x:c r="W215" s="20" t="str">
        <x:v>repair_blindspot</x:v>
      </x:c>
      <x:c r="X215" s="20" t="str">
        <x:v>退出条件必须能改变具体修复链，而不是要求人格改变。</x:v>
      </x:c>
      <x:c r="Y215" s="20" t="str">
        <x:v>中断这个卡点的关键是：区分个人责任行动、修复邀请和双方闭环。</x:v>
      </x:c>
      <x:c r="Z21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5" s="20" t="str">
        <x:v>中高</x:v>
      </x:c>
      <x:c r="AB215" s="20" t="str">
        <x:v>待验证</x:v>
      </x:c>
      <x:c r="AC215" s="20" t="str"/>
      <x:c r="AD215" s="20" t="str">
        <x:v>provisional=true；M3-REPAIR尚未完成，完成条件为暂定功能模型。</x:v>
      </x:c>
      <x:c r="AE215" s="52" t="str">
        <x:v>0.7</x:v>
      </x:c>
    </x:row>
    <x:row r="216">
      <x:c r="A216" s="51" t="str">
        <x:v>M4-REPAIR-215</x:v>
      </x:c>
      <x:c r="B216" s="20" t="str">
        <x:v>RB12 一次改善等同稳定改变｜机制定义</x:v>
      </x:c>
      <x:c r="C216" s="20" t="str">
        <x:v>L3 修复盲点与过早关闭</x:v>
      </x:c>
      <x:c r="D216" s="20" t="str">
        <x:v>REPAIR-修复盲点</x:v>
      </x:c>
      <x:c r="E216" s="20" t="str">
        <x:v>通用</x:v>
      </x:c>
      <x:c r="F216" s="20" t="str">
        <x:v>定义</x:v>
      </x:c>
      <x:c r="G216" s="20" t="str">
        <x:v>RB12</x:v>
      </x:c>
      <x:c r="H216" s="20" t="str"/>
      <x:c r="I216" s="20" t="str">
        <x:v>存在“一次改善等同稳定改变”的候选顺序。</x:v>
      </x:c>
      <x:c r="J216" s="20" t="str">
        <x:v>只凭十神标签或一次模糊事件。</x:v>
      </x:c>
      <x:c r="K216" s="20" t="str">
        <x:v>由共享基础引擎提供；仅修正修复功能的承载、持续与压力占位，不直接等同是否愿意认错或能否修复。</x:v>
      </x:c>
      <x:c r="L216" s="20" t="str">
        <x:v>由M1／M2提供；夫妻星只说明伴侣原型与关系资格，不单独证明修复能力、修复意愿或修复结果。</x:v>
      </x:c>
      <x:c r="M216" s="20" t="str">
        <x:v>由M3-BASE提供；日支底盘说明亲密关系中自然调用的功能，但不能单独证明修复闭环。</x:v>
      </x:c>
      <x:c r="N216" s="20" t="str">
        <x:v>由M3-CONFLICT、M4-LOOP及现实事件提供；必须区分问题停止、责任承担、影响确认、行动改变、反馈整合与后续回访。</x:v>
      </x:c>
      <x:c r="O216" s="20" t="str">
        <x:v>由共享基础引擎判定；近位提高相关功能进入亲密关系核心的概率，远位只作背景或阶段修正。</x:v>
      </x:c>
      <x:c r="P216" s="20" t="str">
        <x:v>根气只修正某修复功能是否容易重复调用，不等于现实中已经持续改变。</x:v>
      </x:c>
      <x:c r="Q216" s="20" t="str">
        <x:v>旺弱只修正功能调用强度与占位，不直接等同修复质量、诚意或关系结果。</x:v>
      </x:c>
      <x:c r="R216" s="20" t="str">
        <x:v>喜忌只修正功能摩擦、平衡与承载，不直接等同道德、成熟、善恶或是否值得原谅。</x:v>
      </x:c>
      <x:c r="S216" s="20" t="str">
        <x:v>原十神功能有效；真合化成立时按化神功能替换，合化争议时停止定性。</x:v>
      </x:c>
      <x:c r="T216" s="20" t="str">
        <x:v>近位提高修复议题与亲密关系的直接相关性；远位仅保留背景、阶段或低置信修正。</x:v>
      </x:c>
      <x:c r="U216" s="20" t="str">
        <x:v>72</x:v>
      </x:c>
      <x:c r="V216" s="20" t="str">
        <x:v>结构＋4；现实事件＋4；反例－4至停止</x:v>
      </x:c>
      <x:c r="W216" s="20" t="str">
        <x:v>repair_blindspot</x:v>
      </x:c>
      <x:c r="X216" s="20" t="str">
        <x:v>该盲点描述过早关闭或功能替代，不等同人格缺陷。</x:v>
      </x:c>
      <x:c r="Y216" s="20" t="str">
        <x:v>这次改善值得肯定，但是否成为新模式，要看以后相似情境能否继续做到。</x:v>
      </x:c>
      <x:c r="Z21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6" s="20" t="str">
        <x:v>中高</x:v>
      </x:c>
      <x:c r="AB216" s="20" t="str">
        <x:v>待验证</x:v>
      </x:c>
      <x:c r="AC216" s="20" t="str"/>
      <x:c r="AD216" s="20" t="str">
        <x:v>provisional=true；M3-REPAIR尚未完成，完成条件为暂定功能模型。</x:v>
      </x:c>
      <x:c r="AE216" s="52" t="str">
        <x:v>0.7</x:v>
      </x:c>
    </x:row>
    <x:row r="217">
      <x:c r="A217" s="51" t="str">
        <x:v>M4-REPAIR-216</x:v>
      </x:c>
      <x:c r="B217" s="20" t="str">
        <x:v>RB12 一次改善等同稳定改变｜成立证据</x:v>
      </x:c>
      <x:c r="C217" s="20" t="str">
        <x:v>L3 修复盲点与过早关闭</x:v>
      </x:c>
      <x:c r="D217" s="20" t="str">
        <x:v>REPAIR-修复盲点</x:v>
      </x:c>
      <x:c r="E217" s="20" t="str">
        <x:v>通用</x:v>
      </x:c>
      <x:c r="F217" s="20" t="str">
        <x:v>证据</x:v>
      </x:c>
      <x:c r="G217" s="20" t="str">
        <x:v>RB12</x:v>
      </x:c>
      <x:c r="H217" s="20" t="str"/>
      <x:c r="I217" s="20" t="str">
        <x:v>RN08跨时间与相似情境证据不足，并有具体事件顺序。</x:v>
      </x:c>
      <x:c r="J217" s="20" t="str">
        <x:v>相应节点已有稳定现实证据。</x:v>
      </x:c>
      <x:c r="K217" s="20" t="str">
        <x:v>由共享基础引擎提供；仅修正修复功能的承载、持续与压力占位，不直接等同是否愿意认错或能否修复。</x:v>
      </x:c>
      <x:c r="L217" s="20" t="str">
        <x:v>由M1／M2提供；夫妻星只说明伴侣原型与关系资格，不单独证明修复能力、修复意愿或修复结果。</x:v>
      </x:c>
      <x:c r="M217" s="20" t="str">
        <x:v>由M3-BASE提供；日支底盘说明亲密关系中自然调用的功能，但不能单独证明修复闭环。</x:v>
      </x:c>
      <x:c r="N217" s="20" t="str">
        <x:v>由M3-CONFLICT、M4-LOOP及现实事件提供；必须区分问题停止、责任承担、影响确认、行动改变、反馈整合与后续回访。</x:v>
      </x:c>
      <x:c r="O217" s="20" t="str">
        <x:v>由共享基础引擎判定；近位提高相关功能进入亲密关系核心的概率，远位只作背景或阶段修正。</x:v>
      </x:c>
      <x:c r="P217" s="20" t="str">
        <x:v>根气只修正某修复功能是否容易重复调用，不等于现实中已经持续改变。</x:v>
      </x:c>
      <x:c r="Q217" s="20" t="str">
        <x:v>旺弱只修正功能调用强度与占位，不直接等同修复质量、诚意或关系结果。</x:v>
      </x:c>
      <x:c r="R217" s="20" t="str">
        <x:v>喜忌只修正功能摩擦、平衡与承载，不直接等同道德、成熟、善恶或是否值得原谅。</x:v>
      </x:c>
      <x:c r="S217" s="20" t="str">
        <x:v>原十神功能有效；真合化成立时按化神功能替换，合化争议时停止定性。</x:v>
      </x:c>
      <x:c r="T217" s="20" t="str">
        <x:v>近位提高修复议题与亲密关系的直接相关性；远位仅保留背景、阶段或低置信修正。</x:v>
      </x:c>
      <x:c r="U217" s="20" t="str">
        <x:v>86</x:v>
      </x:c>
      <x:c r="V217" s="20" t="str">
        <x:v>结构＋4；现实事件＋4；反例－4至停止</x:v>
      </x:c>
      <x:c r="W217" s="20" t="str">
        <x:v>repair_blindspot</x:v>
      </x:c>
      <x:c r="X217" s="20" t="str">
        <x:v>缺失节点必须由现实资料确认，不能只凭结构推测。</x:v>
      </x:c>
      <x:c r="Y217" s="20" t="str">
        <x:v>需要继续检查：RN08跨时间与相似情境证据不足。</x:v>
      </x:c>
      <x:c r="Z21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7" s="20" t="str">
        <x:v>中高</x:v>
      </x:c>
      <x:c r="AB217" s="20" t="str">
        <x:v>待验证</x:v>
      </x:c>
      <x:c r="AC217" s="20" t="str"/>
      <x:c r="AD217" s="20" t="str">
        <x:v>provisional=true；M3-REPAIR尚未完成，完成条件为暂定功能模型。</x:v>
      </x:c>
      <x:c r="AE217" s="52" t="str">
        <x:v>0.7</x:v>
      </x:c>
    </x:row>
    <x:row r="218">
      <x:c r="A218" s="51" t="str">
        <x:v>M4-REPAIR-217</x:v>
      </x:c>
      <x:c r="B218" s="20" t="str">
        <x:v>RB12 一次改善等同稳定改变｜典型路由</x:v>
      </x:c>
      <x:c r="C218" s="20" t="str">
        <x:v>L3 修复盲点与过早关闭</x:v>
      </x:c>
      <x:c r="D218" s="20" t="str">
        <x:v>REPAIR-修复盲点</x:v>
      </x:c>
      <x:c r="E218" s="20" t="str">
        <x:v>通用</x:v>
      </x:c>
      <x:c r="F218" s="20" t="str">
        <x:v>路由</x:v>
      </x:c>
      <x:c r="G218" s="20" t="str">
        <x:v>RB12</x:v>
      </x:c>
      <x:c r="H218" s="20" t="str"/>
      <x:c r="I218" s="20" t="str">
        <x:v>前一步修复动作已经出现，但下一项必要任务没有进入。</x:v>
      </x:c>
      <x:c r="J218" s="20" t="str">
        <x:v>前后顺序完整且接收方反馈有效。</x:v>
      </x:c>
      <x:c r="K218" s="20" t="str">
        <x:v>由共享基础引擎提供；仅修正修复功能的承载、持续与压力占位，不直接等同是否愿意认错或能否修复。</x:v>
      </x:c>
      <x:c r="L218" s="20" t="str">
        <x:v>由M1／M2提供；夫妻星只说明伴侣原型与关系资格，不单独证明修复能力、修复意愿或修复结果。</x:v>
      </x:c>
      <x:c r="M218" s="20" t="str">
        <x:v>由M3-BASE提供；日支底盘说明亲密关系中自然调用的功能，但不能单独证明修复闭环。</x:v>
      </x:c>
      <x:c r="N218" s="20" t="str">
        <x:v>由M3-CONFLICT、M4-LOOP及现实事件提供；必须区分问题停止、责任承担、影响确认、行动改变、反馈整合与后续回访。</x:v>
      </x:c>
      <x:c r="O218" s="20" t="str">
        <x:v>由共享基础引擎判定；近位提高相关功能进入亲密关系核心的概率，远位只作背景或阶段修正。</x:v>
      </x:c>
      <x:c r="P218" s="20" t="str">
        <x:v>根气只修正某修复功能是否容易重复调用，不等于现实中已经持续改变。</x:v>
      </x:c>
      <x:c r="Q218" s="20" t="str">
        <x:v>旺弱只修正功能调用强度与占位，不直接等同修复质量、诚意或关系结果。</x:v>
      </x:c>
      <x:c r="R218" s="20" t="str">
        <x:v>喜忌只修正功能摩擦、平衡与承载，不直接等同道德、成熟、善恶或是否值得原谅。</x:v>
      </x:c>
      <x:c r="S218" s="20" t="str">
        <x:v>原十神功能有效；真合化成立时按化神功能替换，合化争议时停止定性。</x:v>
      </x:c>
      <x:c r="T218" s="20" t="str">
        <x:v>近位提高修复议题与亲密关系的直接相关性；远位仅保留背景、阶段或低置信修正。</x:v>
      </x:c>
      <x:c r="U218" s="20" t="str">
        <x:v>72</x:v>
      </x:c>
      <x:c r="V218" s="20" t="str">
        <x:v>结构＋4；现实事件＋4；反例－4至停止</x:v>
      </x:c>
      <x:c r="W218" s="20" t="str">
        <x:v>repair_blindspot</x:v>
      </x:c>
      <x:c r="X218" s="20" t="str">
        <x:v>路由说明卡点发生在哪里。</x:v>
      </x:c>
      <x:c r="Y218" s="20" t="str">
        <x:v>目前更像是前一步完成后，下一步没有顺利接上。</x:v>
      </x:c>
      <x:c r="Z21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8" s="20" t="str">
        <x:v>中高</x:v>
      </x:c>
      <x:c r="AB218" s="20" t="str">
        <x:v>待验证</x:v>
      </x:c>
      <x:c r="AC218" s="20" t="str"/>
      <x:c r="AD218" s="20" t="str">
        <x:v>provisional=true；M3-REPAIR尚未完成，完成条件为暂定功能模型。</x:v>
      </x:c>
      <x:c r="AE218" s="52" t="str">
        <x:v>0.7</x:v>
      </x:c>
    </x:row>
    <x:row r="219">
      <x:c r="A219" s="51" t="str">
        <x:v>M4-REPAIR-218</x:v>
      </x:c>
      <x:c r="B219" s="20" t="str">
        <x:v>RB12 一次改善等同稳定改变｜反例与替代解释</x:v>
      </x:c>
      <x:c r="C219" s="20" t="str">
        <x:v>L3 修复盲点与过早关闭</x:v>
      </x:c>
      <x:c r="D219" s="20" t="str">
        <x:v>REPAIR-修复盲点</x:v>
      </x:c>
      <x:c r="E219" s="20" t="str">
        <x:v>通用</x:v>
      </x:c>
      <x:c r="F219" s="20" t="str">
        <x:v>反例</x:v>
      </x:c>
      <x:c r="G219" s="20" t="str">
        <x:v>RB12</x:v>
      </x:c>
      <x:c r="H219" s="20" t="str"/>
      <x:c r="I219" s="20" t="str">
        <x:v>检查事件强度、双方意愿、时间不足、合理拒绝和安全因素。</x:v>
      </x:c>
      <x:c r="J219" s="20" t="str">
        <x:v>忽略成功修复或把合理边界当卡点。</x:v>
      </x:c>
      <x:c r="K219" s="20" t="str">
        <x:v>由共享基础引擎提供；仅修正修复功能的承载、持续与压力占位，不直接等同是否愿意认错或能否修复。</x:v>
      </x:c>
      <x:c r="L219" s="20" t="str">
        <x:v>由M1／M2提供；夫妻星只说明伴侣原型与关系资格，不单独证明修复能力、修复意愿或修复结果。</x:v>
      </x:c>
      <x:c r="M219" s="20" t="str">
        <x:v>由M3-BASE提供；日支底盘说明亲密关系中自然调用的功能，但不能单独证明修复闭环。</x:v>
      </x:c>
      <x:c r="N219" s="20" t="str">
        <x:v>由M3-CONFLICT、M4-LOOP及现实事件提供；必须区分问题停止、责任承担、影响确认、行动改变、反馈整合与后续回访。</x:v>
      </x:c>
      <x:c r="O219" s="20" t="str">
        <x:v>由共享基础引擎判定；近位提高相关功能进入亲密关系核心的概率，远位只作背景或阶段修正。</x:v>
      </x:c>
      <x:c r="P219" s="20" t="str">
        <x:v>根气只修正某修复功能是否容易重复调用，不等于现实中已经持续改变。</x:v>
      </x:c>
      <x:c r="Q219" s="20" t="str">
        <x:v>旺弱只修正功能调用强度与占位，不直接等同修复质量、诚意或关系结果。</x:v>
      </x:c>
      <x:c r="R219" s="20" t="str">
        <x:v>喜忌只修正功能摩擦、平衡与承载，不直接等同道德、成熟、善恶或是否值得原谅。</x:v>
      </x:c>
      <x:c r="S219" s="20" t="str">
        <x:v>原十神功能有效；真合化成立时按化神功能替换，合化争议时停止定性。</x:v>
      </x:c>
      <x:c r="T219" s="20" t="str">
        <x:v>近位提高修复议题与亲密关系的直接相关性；远位仅保留背景、阶段或低置信修正。</x:v>
      </x:c>
      <x:c r="U219" s="20" t="str">
        <x:v>86</x:v>
      </x:c>
      <x:c r="V219" s="20" t="str">
        <x:v>结构＋4；现实事件＋4；反例－4至停止</x:v>
      </x:c>
      <x:c r="W219" s="20" t="str">
        <x:v>repair_blindspot</x:v>
      </x:c>
      <x:c r="X219" s="20" t="str">
        <x:v>同一表面结果可能来自合理暂停、信息不足或不愿继续关系。</x:v>
      </x:c>
      <x:c r="Y219" s="20" t="str">
        <x:v>也要检查这是否只是合理暂停、资料不足，或对方选择不继续，而不是修复能力问题。</x:v>
      </x:c>
      <x:c r="Z21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19" s="20" t="str">
        <x:v>中高</x:v>
      </x:c>
      <x:c r="AB219" s="20" t="str">
        <x:v>待验证</x:v>
      </x:c>
      <x:c r="AC219" s="20" t="str"/>
      <x:c r="AD219" s="20" t="str">
        <x:v>provisional=true；M3-REPAIR尚未完成，完成条件为暂定功能模型。</x:v>
      </x:c>
      <x:c r="AE219" s="52" t="str">
        <x:v>0.7</x:v>
      </x:c>
    </x:row>
    <x:row r="220">
      <x:c r="A220" s="51" t="str">
        <x:v>M4-REPAIR-219</x:v>
      </x:c>
      <x:c r="B220" s="20" t="str">
        <x:v>RB12 一次改善等同稳定改变｜用户输出</x:v>
      </x:c>
      <x:c r="C220" s="20" t="str">
        <x:v>L3 修复盲点与过早关闭</x:v>
      </x:c>
      <x:c r="D220" s="20" t="str">
        <x:v>REPAIR-修复盲点</x:v>
      </x:c>
      <x:c r="E220" s="20" t="str">
        <x:v>通用</x:v>
      </x:c>
      <x:c r="F220" s="20" t="str">
        <x:v>输出</x:v>
      </x:c>
      <x:c r="G220" s="20" t="str">
        <x:v>RB12</x:v>
      </x:c>
      <x:c r="H220" s="20" t="str"/>
      <x:c r="I220" s="20" t="str">
        <x:v>该盲点达到E2或以上，并完成反例检查。</x:v>
      </x:c>
      <x:c r="J220" s="20" t="str">
        <x:v>资料不足或安全停止。</x:v>
      </x:c>
      <x:c r="K220" s="20" t="str">
        <x:v>由共享基础引擎提供；仅修正修复功能的承载、持续与压力占位，不直接等同是否愿意认错或能否修复。</x:v>
      </x:c>
      <x:c r="L220" s="20" t="str">
        <x:v>由M1／M2提供；夫妻星只说明伴侣原型与关系资格，不单独证明修复能力、修复意愿或修复结果。</x:v>
      </x:c>
      <x:c r="M220" s="20" t="str">
        <x:v>由M3-BASE提供；日支底盘说明亲密关系中自然调用的功能，但不能单独证明修复闭环。</x:v>
      </x:c>
      <x:c r="N220" s="20" t="str">
        <x:v>由M3-CONFLICT、M4-LOOP及现实事件提供；必须区分问题停止、责任承担、影响确认、行动改变、反馈整合与后续回访。</x:v>
      </x:c>
      <x:c r="O220" s="20" t="str">
        <x:v>由共享基础引擎判定；近位提高相关功能进入亲密关系核心的概率，远位只作背景或阶段修正。</x:v>
      </x:c>
      <x:c r="P220" s="20" t="str">
        <x:v>根气只修正某修复功能是否容易重复调用，不等于现实中已经持续改变。</x:v>
      </x:c>
      <x:c r="Q220" s="20" t="str">
        <x:v>旺弱只修正功能调用强度与占位，不直接等同修复质量、诚意或关系结果。</x:v>
      </x:c>
      <x:c r="R220" s="20" t="str">
        <x:v>喜忌只修正功能摩擦、平衡与承载，不直接等同道德、成熟、善恶或是否值得原谅。</x:v>
      </x:c>
      <x:c r="S220" s="20" t="str">
        <x:v>原十神功能有效；真合化成立时按化神功能替换，合化争议时停止定性。</x:v>
      </x:c>
      <x:c r="T220" s="20" t="str">
        <x:v>近位提高修复议题与亲密关系的直接相关性；远位仅保留背景、阶段或低置信修正。</x:v>
      </x:c>
      <x:c r="U220" s="20" t="str">
        <x:v>72</x:v>
      </x:c>
      <x:c r="V220" s="20" t="str">
        <x:v>结构＋4；现实事件＋4；反例－4至停止</x:v>
      </x:c>
      <x:c r="W220" s="20" t="str">
        <x:v>repair_blindspot</x:v>
      </x:c>
      <x:c r="X220" s="20" t="str">
        <x:v>语言应说明“已完成什么、缺什么、如何验证”。</x:v>
      </x:c>
      <x:c r="Y220" s="20" t="str">
        <x:v>这次改善值得肯定，但是否成为新模式，要看以后相似情境能否继续做到。</x:v>
      </x:c>
      <x:c r="Z22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0" s="20" t="str">
        <x:v>中高</x:v>
      </x:c>
      <x:c r="AB220" s="20" t="str">
        <x:v>待验证</x:v>
      </x:c>
      <x:c r="AC220" s="20" t="str"/>
      <x:c r="AD220" s="20" t="str">
        <x:v>provisional=true；M3-REPAIR尚未完成，完成条件为暂定功能模型。</x:v>
      </x:c>
      <x:c r="AE220" s="52" t="str">
        <x:v>0.7</x:v>
      </x:c>
    </x:row>
    <x:row r="221">
      <x:c r="A221" s="51" t="str">
        <x:v>M4-REPAIR-220</x:v>
      </x:c>
      <x:c r="B221" s="20" t="str">
        <x:v>RB12 一次改善等同稳定改变｜退出条件</x:v>
      </x:c>
      <x:c r="C221" s="20" t="str">
        <x:v>L3 修复盲点与过早关闭</x:v>
      </x:c>
      <x:c r="D221" s="20" t="str">
        <x:v>REPAIR-修复盲点</x:v>
      </x:c>
      <x:c r="E221" s="20" t="str">
        <x:v>通用</x:v>
      </x:c>
      <x:c r="F221" s="20" t="str">
        <x:v>保护</x:v>
      </x:c>
      <x:c r="G221" s="20" t="str">
        <x:v>RB12</x:v>
      </x:c>
      <x:c r="H221" s="20" t="str"/>
      <x:c r="I221" s="20" t="str">
        <x:v>观察复发情境、持续兑现和反例。</x:v>
      </x:c>
      <x:c r="J221" s="20" t="str">
        <x:v>只给抽象建议，没有可观察节点。</x:v>
      </x:c>
      <x:c r="K221" s="20" t="str">
        <x:v>由共享基础引擎提供；仅修正修复功能的承载、持续与压力占位，不直接等同是否愿意认错或能否修复。</x:v>
      </x:c>
      <x:c r="L221" s="20" t="str">
        <x:v>由M1／M2提供；夫妻星只说明伴侣原型与关系资格，不单独证明修复能力、修复意愿或修复结果。</x:v>
      </x:c>
      <x:c r="M221" s="20" t="str">
        <x:v>由M3-BASE提供；日支底盘说明亲密关系中自然调用的功能，但不能单独证明修复闭环。</x:v>
      </x:c>
      <x:c r="N221" s="20" t="str">
        <x:v>由M3-CONFLICT、M4-LOOP及现实事件提供；必须区分问题停止、责任承担、影响确认、行动改变、反馈整合与后续回访。</x:v>
      </x:c>
      <x:c r="O221" s="20" t="str">
        <x:v>由共享基础引擎判定；近位提高相关功能进入亲密关系核心的概率，远位只作背景或阶段修正。</x:v>
      </x:c>
      <x:c r="P221" s="20" t="str">
        <x:v>根气只修正某修复功能是否容易重复调用，不等于现实中已经持续改变。</x:v>
      </x:c>
      <x:c r="Q221" s="20" t="str">
        <x:v>旺弱只修正功能调用强度与占位，不直接等同修复质量、诚意或关系结果。</x:v>
      </x:c>
      <x:c r="R221" s="20" t="str">
        <x:v>喜忌只修正功能摩擦、平衡与承载，不直接等同道德、成熟、善恶或是否值得原谅。</x:v>
      </x:c>
      <x:c r="S221" s="20" t="str">
        <x:v>原十神功能有效；真合化成立时按化神功能替换，合化争议时停止定性。</x:v>
      </x:c>
      <x:c r="T221" s="20" t="str">
        <x:v>近位提高修复议题与亲密关系的直接相关性；远位仅保留背景、阶段或低置信修正。</x:v>
      </x:c>
      <x:c r="U221" s="20" t="str">
        <x:v>72</x:v>
      </x:c>
      <x:c r="V221" s="20" t="str">
        <x:v>结构＋4；现实事件＋4；反例－4至停止</x:v>
      </x:c>
      <x:c r="W221" s="20" t="str">
        <x:v>repair_blindspot</x:v>
      </x:c>
      <x:c r="X221" s="20" t="str">
        <x:v>退出条件必须能改变具体修复链，而不是要求人格改变。</x:v>
      </x:c>
      <x:c r="Y221" s="20" t="str">
        <x:v>中断这个卡点的关键是：观察复发情境、持续兑现和反例。</x:v>
      </x:c>
      <x:c r="Z22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1" s="20" t="str">
        <x:v>中高</x:v>
      </x:c>
      <x:c r="AB221" s="20" t="str">
        <x:v>待验证</x:v>
      </x:c>
      <x:c r="AC221" s="20" t="str"/>
      <x:c r="AD221" s="20" t="str">
        <x:v>provisional=true；M3-REPAIR尚未完成，完成条件为暂定功能模型。</x:v>
      </x:c>
      <x:c r="AE221" s="52" t="str">
        <x:v>0.7</x:v>
      </x:c>
    </x:row>
    <x:row r="222">
      <x:c r="A222" s="51" t="str">
        <x:v>M4-REPAIR-221</x:v>
      </x:c>
      <x:c r="B222" s="20" t="str">
        <x:v>RI01 信息误解与表达失真｜事件定义</x:v>
      </x:c>
      <x:c r="C222" s="20" t="str">
        <x:v>L4 事件类型与最低修复节点</x:v>
      </x:c>
      <x:c r="D222" s="20" t="str">
        <x:v>REPAIR-事件类型</x:v>
      </x:c>
      <x:c r="E222" s="20" t="str">
        <x:v>通用</x:v>
      </x:c>
      <x:c r="F222" s="20" t="str">
        <x:v>定义</x:v>
      </x:c>
      <x:c r="G222" s="20" t="str">
        <x:v>RI01</x:v>
      </x:c>
      <x:c r="H222" s="20" t="str"/>
      <x:c r="I222" s="20" t="str">
        <x:v>双方对信息、意图或表达内容理解不同，未见明显伤害或越界。</x:v>
      </x:c>
      <x:c r="J222" s="20" t="str">
        <x:v>事件类型不清或多个类型混在一起。</x:v>
      </x:c>
      <x:c r="K222" s="20" t="str">
        <x:v>由共享基础引擎提供；仅修正修复功能的承载、持续与压力占位，不直接等同是否愿意认错或能否修复。</x:v>
      </x:c>
      <x:c r="L222" s="20" t="str">
        <x:v>由M1／M2提供；夫妻星只说明伴侣原型与关系资格，不单独证明修复能力、修复意愿或修复结果。</x:v>
      </x:c>
      <x:c r="M222" s="20" t="str">
        <x:v>由M3-BASE提供；日支底盘说明亲密关系中自然调用的功能，但不能单独证明修复闭环。</x:v>
      </x:c>
      <x:c r="N222" s="20" t="str">
        <x:v>由M3-CONFLICT、M4-LOOP及现实事件提供；必须区分问题停止、责任承担、影响确认、行动改变、反馈整合与后续回访。</x:v>
      </x:c>
      <x:c r="O222" s="20" t="str">
        <x:v>由共享基础引擎判定；近位提高相关功能进入亲密关系核心的概率，远位只作背景或阶段修正。</x:v>
      </x:c>
      <x:c r="P222" s="20" t="str">
        <x:v>根气只修正某修复功能是否容易重复调用，不等于现实中已经持续改变。</x:v>
      </x:c>
      <x:c r="Q222" s="20" t="str">
        <x:v>旺弱只修正功能调用强度与占位，不直接等同修复质量、诚意或关系结果。</x:v>
      </x:c>
      <x:c r="R222" s="20" t="str">
        <x:v>喜忌只修正功能摩擦、平衡与承载，不直接等同道德、成熟、善恶或是否值得原谅。</x:v>
      </x:c>
      <x:c r="S222" s="20" t="str">
        <x:v>原十神功能有效；真合化成立时按化神功能替换，合化争议时停止定性。</x:v>
      </x:c>
      <x:c r="T222" s="20" t="str">
        <x:v>近位提高修复议题与亲密关系的直接相关性；远位仅保留背景、阶段或低置信修正。</x:v>
      </x:c>
      <x:c r="U222" s="20" t="str">
        <x:v>72</x:v>
      </x:c>
      <x:c r="V222" s="20" t="str">
        <x:v>满足最低节点＋6；缺关键节点则降级</x:v>
      </x:c>
      <x:c r="W222" s="20" t="str">
        <x:v>repair_issue_type</x:v>
      </x:c>
      <x:c r="X222" s="20" t="str">
        <x:v>事件类型决定最低必要节点，避免用同一修复清单处理所有问题。</x:v>
      </x:c>
      <x:c r="Y222" s="20" t="str">
        <x:v>这类事件首先需要确认它影响的是信息、责任、现实安排、情绪、边界还是安全。</x:v>
      </x:c>
      <x:c r="Z22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2" s="20" t="str">
        <x:v>中高</x:v>
      </x:c>
      <x:c r="AB222" s="20" t="str">
        <x:v>待验证</x:v>
      </x:c>
      <x:c r="AC222" s="20" t="str"/>
      <x:c r="AD222" s="20" t="str">
        <x:v>provisional=true；M3-REPAIR尚未完成，完成条件为暂定功能模型。</x:v>
      </x:c>
      <x:c r="AE222" s="52" t="str">
        <x:v>0.7</x:v>
      </x:c>
    </x:row>
    <x:row r="223">
      <x:c r="A223" s="51" t="str">
        <x:v>M4-REPAIR-222</x:v>
      </x:c>
      <x:c r="B223" s="20" t="str">
        <x:v>RI01 信息误解与表达失真｜最低必要节点</x:v>
      </x:c>
      <x:c r="C223" s="20" t="str">
        <x:v>L4 事件类型与最低修复节点</x:v>
      </x:c>
      <x:c r="D223" s="20" t="str">
        <x:v>REPAIR-事件类型</x:v>
      </x:c>
      <x:c r="E223" s="20" t="str">
        <x:v>通用</x:v>
      </x:c>
      <x:c r="F223" s="20" t="str">
        <x:v>门槛</x:v>
      </x:c>
      <x:c r="G223" s="20" t="str">
        <x:v>RI01</x:v>
      </x:c>
      <x:c r="H223" s="20" t="str"/>
      <x:c r="I223" s="20" t="str">
        <x:v>最低节点：RN02事实、RN03影响、RN07反馈。</x:v>
      </x:c>
      <x:c r="J223" s="20" t="str">
        <x:v>最低节点未出现却发布修复闭环。</x:v>
      </x:c>
      <x:c r="K223" s="20" t="str">
        <x:v>由共享基础引擎提供；仅修正修复功能的承载、持续与压力占位，不直接等同是否愿意认错或能否修复。</x:v>
      </x:c>
      <x:c r="L223" s="20" t="str">
        <x:v>由M1／M2提供；夫妻星只说明伴侣原型与关系资格，不单独证明修复能力、修复意愿或修复结果。</x:v>
      </x:c>
      <x:c r="M223" s="20" t="str">
        <x:v>由M3-BASE提供；日支底盘说明亲密关系中自然调用的功能，但不能单独证明修复闭环。</x:v>
      </x:c>
      <x:c r="N223" s="20" t="str">
        <x:v>由M3-CONFLICT、M4-LOOP及现实事件提供；必须区分问题停止、责任承担、影响确认、行动改变、反馈整合与后续回访。</x:v>
      </x:c>
      <x:c r="O223" s="20" t="str">
        <x:v>由共享基础引擎判定；近位提高相关功能进入亲密关系核心的概率，远位只作背景或阶段修正。</x:v>
      </x:c>
      <x:c r="P223" s="20" t="str">
        <x:v>根气只修正某修复功能是否容易重复调用，不等于现实中已经持续改变。</x:v>
      </x:c>
      <x:c r="Q223" s="20" t="str">
        <x:v>旺弱只修正功能调用强度与占位，不直接等同修复质量、诚意或关系结果。</x:v>
      </x:c>
      <x:c r="R223" s="20" t="str">
        <x:v>喜忌只修正功能摩擦、平衡与承载，不直接等同道德、成熟、善恶或是否值得原谅。</x:v>
      </x:c>
      <x:c r="S223" s="20" t="str">
        <x:v>原十神功能有效；真合化成立时按化神功能替换，合化争议时停止定性。</x:v>
      </x:c>
      <x:c r="T223" s="20" t="str">
        <x:v>近位提高修复议题与亲密关系的直接相关性；远位仅保留背景、阶段或低置信修正。</x:v>
      </x:c>
      <x:c r="U223" s="20" t="str">
        <x:v>90</x:v>
      </x:c>
      <x:c r="V223" s="20" t="str">
        <x:v>满足最低节点＋6；缺关键节点则降级</x:v>
      </x:c>
      <x:c r="W223" s="20" t="str">
        <x:v>repair_issue_type</x:v>
      </x:c>
      <x:c r="X223" s="20" t="str">
        <x:v>最低节点是此类事件的修复骨架。</x:v>
      </x:c>
      <x:c r="Y223" s="20" t="str">
        <x:v>这类问题至少需要完成：RN02事实、RN03影响、RN07反馈。</x:v>
      </x:c>
      <x:c r="Z22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3" s="20" t="str">
        <x:v>中高</x:v>
      </x:c>
      <x:c r="AB223" s="20" t="str">
        <x:v>待验证</x:v>
      </x:c>
      <x:c r="AC223" s="20" t="str"/>
      <x:c r="AD223" s="20" t="str">
        <x:v>provisional=true；M3-REPAIR尚未完成，完成条件为暂定功能模型。</x:v>
      </x:c>
      <x:c r="AE223" s="52" t="str">
        <x:v>0.7</x:v>
      </x:c>
    </x:row>
    <x:row r="224">
      <x:c r="A224" s="51" t="str">
        <x:v>M4-REPAIR-223</x:v>
      </x:c>
      <x:c r="B224" s="20" t="str">
        <x:v>RI01 信息误解与表达失真｜条件节点</x:v>
      </x:c>
      <x:c r="C224" s="20" t="str">
        <x:v>L4 事件类型与最低修复节点</x:v>
      </x:c>
      <x:c r="D224" s="20" t="str">
        <x:v>REPAIR-事件类型</x:v>
      </x:c>
      <x:c r="E224" s="20" t="str">
        <x:v>通用</x:v>
      </x:c>
      <x:c r="F224" s="20" t="str">
        <x:v>路由</x:v>
      </x:c>
      <x:c r="G224" s="20" t="str">
        <x:v>RI01</x:v>
      </x:c>
      <x:c r="H224" s="20" t="str"/>
      <x:c r="I224" s="20" t="str">
        <x:v>视事件影响加入：RN04视责任而定；RN06用于调整沟通方式。</x:v>
      </x:c>
      <x:c r="J224" s="20" t="str">
        <x:v>把条件节点当成所有事件必需。</x:v>
      </x:c>
      <x:c r="K224" s="20" t="str">
        <x:v>由共享基础引擎提供；仅修正修复功能的承载、持续与压力占位，不直接等同是否愿意认错或能否修复。</x:v>
      </x:c>
      <x:c r="L224" s="20" t="str">
        <x:v>由M1／M2提供；夫妻星只说明伴侣原型与关系资格，不单独证明修复能力、修复意愿或修复结果。</x:v>
      </x:c>
      <x:c r="M224" s="20" t="str">
        <x:v>由M3-BASE提供；日支底盘说明亲密关系中自然调用的功能，但不能单独证明修复闭环。</x:v>
      </x:c>
      <x:c r="N224" s="20" t="str">
        <x:v>由M3-CONFLICT、M4-LOOP及现实事件提供；必须区分问题停止、责任承担、影响确认、行动改变、反馈整合与后续回访。</x:v>
      </x:c>
      <x:c r="O224" s="20" t="str">
        <x:v>由共享基础引擎判定；近位提高相关功能进入亲密关系核心的概率，远位只作背景或阶段修正。</x:v>
      </x:c>
      <x:c r="P224" s="20" t="str">
        <x:v>根气只修正某修复功能是否容易重复调用，不等于现实中已经持续改变。</x:v>
      </x:c>
      <x:c r="Q224" s="20" t="str">
        <x:v>旺弱只修正功能调用强度与占位，不直接等同修复质量、诚意或关系结果。</x:v>
      </x:c>
      <x:c r="R224" s="20" t="str">
        <x:v>喜忌只修正功能摩擦、平衡与承载，不直接等同道德、成熟、善恶或是否值得原谅。</x:v>
      </x:c>
      <x:c r="S224" s="20" t="str">
        <x:v>原十神功能有效；真合化成立时按化神功能替换，合化争议时停止定性。</x:v>
      </x:c>
      <x:c r="T224" s="20" t="str">
        <x:v>近位提高修复议题与亲密关系的直接相关性；远位仅保留背景、阶段或低置信修正。</x:v>
      </x:c>
      <x:c r="U224" s="20" t="str">
        <x:v>72</x:v>
      </x:c>
      <x:c r="V224" s="20" t="str">
        <x:v>满足最低节点＋6；缺关键节点则降级</x:v>
      </x:c>
      <x:c r="W224" s="20" t="str">
        <x:v>repair_issue_type</x:v>
      </x:c>
      <x:c r="X224" s="20" t="str">
        <x:v>不同严重度与影响范围需要不同节点组合。</x:v>
      </x:c>
      <x:c r="Y224" s="20" t="str">
        <x:v>根据实际影响，还需要继续看：RN04视责任而定；RN06用于调整沟通方式。</x:v>
      </x:c>
      <x:c r="Z22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4" s="20" t="str">
        <x:v>中高</x:v>
      </x:c>
      <x:c r="AB224" s="20" t="str">
        <x:v>待验证</x:v>
      </x:c>
      <x:c r="AC224" s="20" t="str"/>
      <x:c r="AD224" s="20" t="str">
        <x:v>provisional=true；M3-REPAIR尚未完成，完成条件为暂定功能模型。</x:v>
      </x:c>
      <x:c r="AE224" s="52" t="str">
        <x:v>0.7</x:v>
      </x:c>
    </x:row>
    <x:row r="225">
      <x:c r="A225" s="51" t="str">
        <x:v>M4-REPAIR-224</x:v>
      </x:c>
      <x:c r="B225" s="20" t="str">
        <x:v>RI01 信息误解与表达失真｜常见假完成</x:v>
      </x:c>
      <x:c r="C225" s="20" t="str">
        <x:v>L4 事件类型与最低修复节点</x:v>
      </x:c>
      <x:c r="D225" s="20" t="str">
        <x:v>REPAIR-事件类型</x:v>
      </x:c>
      <x:c r="E225" s="20" t="str">
        <x:v>通用</x:v>
      </x:c>
      <x:c r="F225" s="20" t="str">
        <x:v>盲点</x:v>
      </x:c>
      <x:c r="G225" s="20" t="str">
        <x:v>RI01</x:v>
      </x:c>
      <x:c r="H225" s="20" t="str"/>
      <x:c r="I225" s="20" t="str">
        <x:v>出现：只重复解释自己的意思，没有确认对方实际收到什么。</x:v>
      </x:c>
      <x:c r="J225" s="20" t="str">
        <x:v>现实中最低节点已经完整且持续。</x:v>
      </x:c>
      <x:c r="K225" s="20" t="str">
        <x:v>由共享基础引擎提供；仅修正修复功能的承载、持续与压力占位，不直接等同是否愿意认错或能否修复。</x:v>
      </x:c>
      <x:c r="L225" s="20" t="str">
        <x:v>由M1／M2提供；夫妻星只说明伴侣原型与关系资格，不单独证明修复能力、修复意愿或修复结果。</x:v>
      </x:c>
      <x:c r="M225" s="20" t="str">
        <x:v>由M3-BASE提供；日支底盘说明亲密关系中自然调用的功能，但不能单独证明修复闭环。</x:v>
      </x:c>
      <x:c r="N225" s="20" t="str">
        <x:v>由M3-CONFLICT、M4-LOOP及现实事件提供；必须区分问题停止、责任承担、影响确认、行动改变、反馈整合与后续回访。</x:v>
      </x:c>
      <x:c r="O225" s="20" t="str">
        <x:v>由共享基础引擎判定；近位提高相关功能进入亲密关系核心的概率，远位只作背景或阶段修正。</x:v>
      </x:c>
      <x:c r="P225" s="20" t="str">
        <x:v>根气只修正某修复功能是否容易重复调用，不等于现实中已经持续改变。</x:v>
      </x:c>
      <x:c r="Q225" s="20" t="str">
        <x:v>旺弱只修正功能调用强度与占位，不直接等同修复质量、诚意或关系结果。</x:v>
      </x:c>
      <x:c r="R225" s="20" t="str">
        <x:v>喜忌只修正功能摩擦、平衡与承载，不直接等同道德、成熟、善恶或是否值得原谅。</x:v>
      </x:c>
      <x:c r="S225" s="20" t="str">
        <x:v>原十神功能有效；真合化成立时按化神功能替换，合化争议时停止定性。</x:v>
      </x:c>
      <x:c r="T225" s="20" t="str">
        <x:v>近位提高修复议题与亲密关系的直接相关性；远位仅保留背景、阶段或低置信修正。</x:v>
      </x:c>
      <x:c r="U225" s="20" t="str">
        <x:v>72</x:v>
      </x:c>
      <x:c r="V225" s="20" t="str">
        <x:v>满足最低节点＋6；缺关键节点则降级</x:v>
      </x:c>
      <x:c r="W225" s="20" t="str">
        <x:v>repair_issue_type</x:v>
      </x:c>
      <x:c r="X225" s="20" t="str">
        <x:v>假完成说明一个熟悉动作替代了事件真正需要的任务。</x:v>
      </x:c>
      <x:c r="Y225" s="20" t="str">
        <x:v>常见卡点是：只重复解释自己的意思，没有确认对方实际收到什么。</x:v>
      </x:c>
      <x:c r="Z22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5" s="20" t="str">
        <x:v>中高</x:v>
      </x:c>
      <x:c r="AB225" s="20" t="str">
        <x:v>待验证</x:v>
      </x:c>
      <x:c r="AC225" s="20" t="str"/>
      <x:c r="AD225" s="20" t="str">
        <x:v>provisional=true；M3-REPAIR尚未完成，完成条件为暂定功能模型。</x:v>
      </x:c>
      <x:c r="AE225" s="52" t="str">
        <x:v>0.7</x:v>
      </x:c>
    </x:row>
    <x:row r="226">
      <x:c r="A226" s="51" t="str">
        <x:v>M4-REPAIR-225</x:v>
      </x:c>
      <x:c r="B226" s="20" t="str">
        <x:v>RI01 信息误解与表达失真｜证据与升级</x:v>
      </x:c>
      <x:c r="C226" s="20" t="str">
        <x:v>L4 事件类型与最低修复节点</x:v>
      </x:c>
      <x:c r="D226" s="20" t="str">
        <x:v>REPAIR-事件类型</x:v>
      </x:c>
      <x:c r="E226" s="20" t="str">
        <x:v>通用</x:v>
      </x:c>
      <x:c r="F226" s="20" t="str">
        <x:v>证据</x:v>
      </x:c>
      <x:c r="G226" s="20" t="str">
        <x:v>RI01</x:v>
      </x:c>
      <x:c r="H226" s="20" t="str"/>
      <x:c r="I226" s="20" t="str">
        <x:v>有具体事件、接收方反馈和后续行动资料。</x:v>
      </x:c>
      <x:c r="J226" s="20" t="str">
        <x:v>只有抽象概括或命盘结构。</x:v>
      </x:c>
      <x:c r="K226" s="20" t="str">
        <x:v>由共享基础引擎提供；仅修正修复功能的承载、持续与压力占位，不直接等同是否愿意认错或能否修复。</x:v>
      </x:c>
      <x:c r="L226" s="20" t="str">
        <x:v>由M1／M2提供；夫妻星只说明伴侣原型与关系资格，不单独证明修复能力、修复意愿或修复结果。</x:v>
      </x:c>
      <x:c r="M226" s="20" t="str">
        <x:v>由M3-BASE提供；日支底盘说明亲密关系中自然调用的功能，但不能单独证明修复闭环。</x:v>
      </x:c>
      <x:c r="N226" s="20" t="str">
        <x:v>由M3-CONFLICT、M4-LOOP及现实事件提供；必须区分问题停止、责任承担、影响确认、行动改变、反馈整合与后续回访。</x:v>
      </x:c>
      <x:c r="O226" s="20" t="str">
        <x:v>由共享基础引擎判定；近位提高相关功能进入亲密关系核心的概率，远位只作背景或阶段修正。</x:v>
      </x:c>
      <x:c r="P226" s="20" t="str">
        <x:v>根气只修正某修复功能是否容易重复调用，不等于现实中已经持续改变。</x:v>
      </x:c>
      <x:c r="Q226" s="20" t="str">
        <x:v>旺弱只修正功能调用强度与占位，不直接等同修复质量、诚意或关系结果。</x:v>
      </x:c>
      <x:c r="R226" s="20" t="str">
        <x:v>喜忌只修正功能摩擦、平衡与承载，不直接等同道德、成熟、善恶或是否值得原谅。</x:v>
      </x:c>
      <x:c r="S226" s="20" t="str">
        <x:v>原十神功能有效；真合化成立时按化神功能替换，合化争议时停止定性。</x:v>
      </x:c>
      <x:c r="T226" s="20" t="str">
        <x:v>近位提高修复议题与亲密关系的直接相关性；远位仅保留背景、阶段或低置信修正。</x:v>
      </x:c>
      <x:c r="U226" s="20" t="str">
        <x:v>72</x:v>
      </x:c>
      <x:c r="V226" s="20" t="str">
        <x:v>满足最低节点＋6；缺关键节点则降级</x:v>
      </x:c>
      <x:c r="W226" s="20" t="str">
        <x:v>repair_issue_type</x:v>
      </x:c>
      <x:c r="X226" s="20" t="str">
        <x:v>事件类型与节点必须由现实资料支持。</x:v>
      </x:c>
      <x:c r="Y226" s="20" t="str">
        <x:v>需要用具体事件确认这些步骤是否真正发生。</x:v>
      </x:c>
      <x:c r="Z22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6" s="20" t="str">
        <x:v>中高</x:v>
      </x:c>
      <x:c r="AB226" s="20" t="str">
        <x:v>待验证</x:v>
      </x:c>
      <x:c r="AC226" s="20" t="str"/>
      <x:c r="AD226" s="20" t="str">
        <x:v>provisional=true；M3-REPAIR尚未完成，完成条件为暂定功能模型。</x:v>
      </x:c>
      <x:c r="AE226" s="52" t="str">
        <x:v>0.7</x:v>
      </x:c>
    </x:row>
    <x:row r="227">
      <x:c r="A227" s="51" t="str">
        <x:v>M4-REPAIR-226</x:v>
      </x:c>
      <x:c r="B227" s="20" t="str">
        <x:v>RI01 信息误解与表达失真｜用户输出与边界</x:v>
      </x:c>
      <x:c r="C227" s="20" t="str">
        <x:v>L4 事件类型与最低修复节点</x:v>
      </x:c>
      <x:c r="D227" s="20" t="str">
        <x:v>REPAIR-事件类型</x:v>
      </x:c>
      <x:c r="E227" s="20" t="str">
        <x:v>通用</x:v>
      </x:c>
      <x:c r="F227" s="20" t="str">
        <x:v>输出</x:v>
      </x:c>
      <x:c r="G227" s="20" t="str">
        <x:v>RI01</x:v>
      </x:c>
      <x:c r="H227" s="20" t="str"/>
      <x:c r="I227" s="20" t="str">
        <x:v>完成现实安全、反例和节点检查。</x:v>
      </x:c>
      <x:c r="J227" s="20" t="str">
        <x:v>安全风险被普通修复语言淡化。</x:v>
      </x:c>
      <x:c r="K227" s="20" t="str">
        <x:v>由共享基础引擎提供；仅修正修复功能的承载、持续与压力占位，不直接等同是否愿意认错或能否修复。</x:v>
      </x:c>
      <x:c r="L227" s="20" t="str">
        <x:v>由M1／M2提供；夫妻星只说明伴侣原型与关系资格，不单独证明修复能力、修复意愿或修复结果。</x:v>
      </x:c>
      <x:c r="M227" s="20" t="str">
        <x:v>由M3-BASE提供；日支底盘说明亲密关系中自然调用的功能，但不能单独证明修复闭环。</x:v>
      </x:c>
      <x:c r="N227" s="20" t="str">
        <x:v>由M3-CONFLICT、M4-LOOP及现实事件提供；必须区分问题停止、责任承担、影响确认、行动改变、反馈整合与后续回访。</x:v>
      </x:c>
      <x:c r="O227" s="20" t="str">
        <x:v>由共享基础引擎判定；近位提高相关功能进入亲密关系核心的概率，远位只作背景或阶段修正。</x:v>
      </x:c>
      <x:c r="P227" s="20" t="str">
        <x:v>根气只修正某修复功能是否容易重复调用，不等于现实中已经持续改变。</x:v>
      </x:c>
      <x:c r="Q227" s="20" t="str">
        <x:v>旺弱只修正功能调用强度与占位，不直接等同修复质量、诚意或关系结果。</x:v>
      </x:c>
      <x:c r="R227" s="20" t="str">
        <x:v>喜忌只修正功能摩擦、平衡与承载，不直接等同道德、成熟、善恶或是否值得原谅。</x:v>
      </x:c>
      <x:c r="S227" s="20" t="str">
        <x:v>原十神功能有效；真合化成立时按化神功能替换，合化争议时停止定性。</x:v>
      </x:c>
      <x:c r="T227" s="20" t="str">
        <x:v>近位提高修复议题与亲密关系的直接相关性；远位仅保留背景、阶段或低置信修正。</x:v>
      </x:c>
      <x:c r="U227" s="20" t="str">
        <x:v>90</x:v>
      </x:c>
      <x:c r="V227" s="20" t="str">
        <x:v>满足最低节点＋6；缺关键节点则降级</x:v>
      </x:c>
      <x:c r="W227" s="20" t="str">
        <x:v>repair_issue_type</x:v>
      </x:c>
      <x:c r="X227" s="20" t="str">
        <x:v>输出强调最低任务，不要求原谅或复合。</x:v>
      </x:c>
      <x:c r="Y227" s="20" t="str">
        <x:v>先把事实和双方理解的差异说清，再确认对方实际受到的影响。</x:v>
      </x:c>
      <x:c r="Z22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7" s="20" t="str">
        <x:v>中高</x:v>
      </x:c>
      <x:c r="AB227" s="20" t="str">
        <x:v>待验证</x:v>
      </x:c>
      <x:c r="AC227" s="20" t="str"/>
      <x:c r="AD227" s="20" t="str">
        <x:v>provisional=true；M3-REPAIR尚未完成，完成条件为暂定功能模型。</x:v>
      </x:c>
      <x:c r="AE227" s="52" t="str">
        <x:v>0.7</x:v>
      </x:c>
    </x:row>
    <x:row r="228">
      <x:c r="A228" s="51" t="str">
        <x:v>M4-REPAIR-227</x:v>
      </x:c>
      <x:c r="B228" s="20" t="str">
        <x:v>RI02 承诺失约与责任变化｜事件定义</x:v>
      </x:c>
      <x:c r="C228" s="20" t="str">
        <x:v>L4 事件类型与最低修复节点</x:v>
      </x:c>
      <x:c r="D228" s="20" t="str">
        <x:v>REPAIR-事件类型</x:v>
      </x:c>
      <x:c r="E228" s="20" t="str">
        <x:v>通用</x:v>
      </x:c>
      <x:c r="F228" s="20" t="str">
        <x:v>定义</x:v>
      </x:c>
      <x:c r="G228" s="20" t="str">
        <x:v>RI02</x:v>
      </x:c>
      <x:c r="H228" s="20" t="str"/>
      <x:c r="I228" s="20" t="str">
        <x:v>承诺、计划、角色或责任没有按约定兑现。</x:v>
      </x:c>
      <x:c r="J228" s="20" t="str">
        <x:v>事件类型不清或多个类型混在一起。</x:v>
      </x:c>
      <x:c r="K228" s="20" t="str">
        <x:v>由共享基础引擎提供；仅修正修复功能的承载、持续与压力占位，不直接等同是否愿意认错或能否修复。</x:v>
      </x:c>
      <x:c r="L228" s="20" t="str">
        <x:v>由M1／M2提供；夫妻星只说明伴侣原型与关系资格，不单独证明修复能力、修复意愿或修复结果。</x:v>
      </x:c>
      <x:c r="M228" s="20" t="str">
        <x:v>由M3-BASE提供；日支底盘说明亲密关系中自然调用的功能，但不能单独证明修复闭环。</x:v>
      </x:c>
      <x:c r="N228" s="20" t="str">
        <x:v>由M3-CONFLICT、M4-LOOP及现实事件提供；必须区分问题停止、责任承担、影响确认、行动改变、反馈整合与后续回访。</x:v>
      </x:c>
      <x:c r="O228" s="20" t="str">
        <x:v>由共享基础引擎判定；近位提高相关功能进入亲密关系核心的概率，远位只作背景或阶段修正。</x:v>
      </x:c>
      <x:c r="P228" s="20" t="str">
        <x:v>根气只修正某修复功能是否容易重复调用，不等于现实中已经持续改变。</x:v>
      </x:c>
      <x:c r="Q228" s="20" t="str">
        <x:v>旺弱只修正功能调用强度与占位，不直接等同修复质量、诚意或关系结果。</x:v>
      </x:c>
      <x:c r="R228" s="20" t="str">
        <x:v>喜忌只修正功能摩擦、平衡与承载，不直接等同道德、成熟、善恶或是否值得原谅。</x:v>
      </x:c>
      <x:c r="S228" s="20" t="str">
        <x:v>原十神功能有效；真合化成立时按化神功能替换，合化争议时停止定性。</x:v>
      </x:c>
      <x:c r="T228" s="20" t="str">
        <x:v>近位提高修复议题与亲密关系的直接相关性；远位仅保留背景、阶段或低置信修正。</x:v>
      </x:c>
      <x:c r="U228" s="20" t="str">
        <x:v>72</x:v>
      </x:c>
      <x:c r="V228" s="20" t="str">
        <x:v>满足最低节点＋6；缺关键节点则降级</x:v>
      </x:c>
      <x:c r="W228" s="20" t="str">
        <x:v>repair_issue_type</x:v>
      </x:c>
      <x:c r="X228" s="20" t="str">
        <x:v>事件类型决定最低必要节点，避免用同一修复清单处理所有问题。</x:v>
      </x:c>
      <x:c r="Y228" s="20" t="str">
        <x:v>这类事件首先需要确认它影响的是信息、责任、现实安排、情绪、边界还是安全。</x:v>
      </x:c>
      <x:c r="Z22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8" s="20" t="str">
        <x:v>中高</x:v>
      </x:c>
      <x:c r="AB228" s="20" t="str">
        <x:v>待验证</x:v>
      </x:c>
      <x:c r="AC228" s="20" t="str"/>
      <x:c r="AD228" s="20" t="str">
        <x:v>provisional=true；M3-REPAIR尚未完成，完成条件为暂定功能模型。</x:v>
      </x:c>
      <x:c r="AE228" s="52" t="str">
        <x:v>0.7</x:v>
      </x:c>
    </x:row>
    <x:row r="229">
      <x:c r="A229" s="51" t="str">
        <x:v>M4-REPAIR-228</x:v>
      </x:c>
      <x:c r="B229" s="20" t="str">
        <x:v>RI02 承诺失约与责任变化｜最低必要节点</x:v>
      </x:c>
      <x:c r="C229" s="20" t="str">
        <x:v>L4 事件类型与最低修复节点</x:v>
      </x:c>
      <x:c r="D229" s="20" t="str">
        <x:v>REPAIR-事件类型</x:v>
      </x:c>
      <x:c r="E229" s="20" t="str">
        <x:v>通用</x:v>
      </x:c>
      <x:c r="F229" s="20" t="str">
        <x:v>门槛</x:v>
      </x:c>
      <x:c r="G229" s="20" t="str">
        <x:v>RI02</x:v>
      </x:c>
      <x:c r="H229" s="20" t="str"/>
      <x:c r="I229" s="20" t="str">
        <x:v>最低节点：RN02事实、RN04责任、RN06补救、RN08持续兑现。</x:v>
      </x:c>
      <x:c r="J229" s="20" t="str">
        <x:v>最低节点未出现却发布修复闭环。</x:v>
      </x:c>
      <x:c r="K229" s="20" t="str">
        <x:v>由共享基础引擎提供；仅修正修复功能的承载、持续与压力占位，不直接等同是否愿意认错或能否修复。</x:v>
      </x:c>
      <x:c r="L229" s="20" t="str">
        <x:v>由M1／M2提供；夫妻星只说明伴侣原型与关系资格，不单独证明修复能力、修复意愿或修复结果。</x:v>
      </x:c>
      <x:c r="M229" s="20" t="str">
        <x:v>由M3-BASE提供；日支底盘说明亲密关系中自然调用的功能，但不能单独证明修复闭环。</x:v>
      </x:c>
      <x:c r="N229" s="20" t="str">
        <x:v>由M3-CONFLICT、M4-LOOP及现实事件提供；必须区分问题停止、责任承担、影响确认、行动改变、反馈整合与后续回访。</x:v>
      </x:c>
      <x:c r="O229" s="20" t="str">
        <x:v>由共享基础引擎判定；近位提高相关功能进入亲密关系核心的概率，远位只作背景或阶段修正。</x:v>
      </x:c>
      <x:c r="P229" s="20" t="str">
        <x:v>根气只修正某修复功能是否容易重复调用，不等于现实中已经持续改变。</x:v>
      </x:c>
      <x:c r="Q229" s="20" t="str">
        <x:v>旺弱只修正功能调用强度与占位，不直接等同修复质量、诚意或关系结果。</x:v>
      </x:c>
      <x:c r="R229" s="20" t="str">
        <x:v>喜忌只修正功能摩擦、平衡与承载，不直接等同道德、成熟、善恶或是否值得原谅。</x:v>
      </x:c>
      <x:c r="S229" s="20" t="str">
        <x:v>原十神功能有效；真合化成立时按化神功能替换，合化争议时停止定性。</x:v>
      </x:c>
      <x:c r="T229" s="20" t="str">
        <x:v>近位提高修复议题与亲密关系的直接相关性；远位仅保留背景、阶段或低置信修正。</x:v>
      </x:c>
      <x:c r="U229" s="20" t="str">
        <x:v>90</x:v>
      </x:c>
      <x:c r="V229" s="20" t="str">
        <x:v>满足最低节点＋6；缺关键节点则降级</x:v>
      </x:c>
      <x:c r="W229" s="20" t="str">
        <x:v>repair_issue_type</x:v>
      </x:c>
      <x:c r="X229" s="20" t="str">
        <x:v>最低节点是此类事件的修复骨架。</x:v>
      </x:c>
      <x:c r="Y229" s="20" t="str">
        <x:v>这类问题至少需要完成：RN02事实、RN04责任、RN06补救、RN08持续兑现。</x:v>
      </x:c>
      <x:c r="Z22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29" s="20" t="str">
        <x:v>中高</x:v>
      </x:c>
      <x:c r="AB229" s="20" t="str">
        <x:v>待验证</x:v>
      </x:c>
      <x:c r="AC229" s="20" t="str"/>
      <x:c r="AD229" s="20" t="str">
        <x:v>provisional=true；M3-REPAIR尚未完成，完成条件为暂定功能模型。</x:v>
      </x:c>
      <x:c r="AE229" s="52" t="str">
        <x:v>0.7</x:v>
      </x:c>
    </x:row>
    <x:row r="230">
      <x:c r="A230" s="51" t="str">
        <x:v>M4-REPAIR-229</x:v>
      </x:c>
      <x:c r="B230" s="20" t="str">
        <x:v>RI02 承诺失约与责任变化｜条件节点</x:v>
      </x:c>
      <x:c r="C230" s="20" t="str">
        <x:v>L4 事件类型与最低修复节点</x:v>
      </x:c>
      <x:c r="D230" s="20" t="str">
        <x:v>REPAIR-事件类型</x:v>
      </x:c>
      <x:c r="E230" s="20" t="str">
        <x:v>通用</x:v>
      </x:c>
      <x:c r="F230" s="20" t="str">
        <x:v>路由</x:v>
      </x:c>
      <x:c r="G230" s="20" t="str">
        <x:v>RI02</x:v>
      </x:c>
      <x:c r="H230" s="20" t="str"/>
      <x:c r="I230" s="20" t="str">
        <x:v>视事件影响加入：RN03影响、RN05规则重订、RN07反馈。</x:v>
      </x:c>
      <x:c r="J230" s="20" t="str">
        <x:v>把条件节点当成所有事件必需。</x:v>
      </x:c>
      <x:c r="K230" s="20" t="str">
        <x:v>由共享基础引擎提供；仅修正修复功能的承载、持续与压力占位，不直接等同是否愿意认错或能否修复。</x:v>
      </x:c>
      <x:c r="L230" s="20" t="str">
        <x:v>由M1／M2提供；夫妻星只说明伴侣原型与关系资格，不单独证明修复能力、修复意愿或修复结果。</x:v>
      </x:c>
      <x:c r="M230" s="20" t="str">
        <x:v>由M3-BASE提供；日支底盘说明亲密关系中自然调用的功能，但不能单独证明修复闭环。</x:v>
      </x:c>
      <x:c r="N230" s="20" t="str">
        <x:v>由M3-CONFLICT、M4-LOOP及现实事件提供；必须区分问题停止、责任承担、影响确认、行动改变、反馈整合与后续回访。</x:v>
      </x:c>
      <x:c r="O230" s="20" t="str">
        <x:v>由共享基础引擎判定；近位提高相关功能进入亲密关系核心的概率，远位只作背景或阶段修正。</x:v>
      </x:c>
      <x:c r="P230" s="20" t="str">
        <x:v>根气只修正某修复功能是否容易重复调用，不等于现实中已经持续改变。</x:v>
      </x:c>
      <x:c r="Q230" s="20" t="str">
        <x:v>旺弱只修正功能调用强度与占位，不直接等同修复质量、诚意或关系结果。</x:v>
      </x:c>
      <x:c r="R230" s="20" t="str">
        <x:v>喜忌只修正功能摩擦、平衡与承载，不直接等同道德、成熟、善恶或是否值得原谅。</x:v>
      </x:c>
      <x:c r="S230" s="20" t="str">
        <x:v>原十神功能有效；真合化成立时按化神功能替换，合化争议时停止定性。</x:v>
      </x:c>
      <x:c r="T230" s="20" t="str">
        <x:v>近位提高修复议题与亲密关系的直接相关性；远位仅保留背景、阶段或低置信修正。</x:v>
      </x:c>
      <x:c r="U230" s="20" t="str">
        <x:v>72</x:v>
      </x:c>
      <x:c r="V230" s="20" t="str">
        <x:v>满足最低节点＋6；缺关键节点则降级</x:v>
      </x:c>
      <x:c r="W230" s="20" t="str">
        <x:v>repair_issue_type</x:v>
      </x:c>
      <x:c r="X230" s="20" t="str">
        <x:v>不同严重度与影响范围需要不同节点组合。</x:v>
      </x:c>
      <x:c r="Y230" s="20" t="str">
        <x:v>根据实际影响，还需要继续看：RN03影响、RN05规则重订、RN07反馈。</x:v>
      </x:c>
      <x:c r="Z23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0" s="20" t="str">
        <x:v>中高</x:v>
      </x:c>
      <x:c r="AB230" s="20" t="str">
        <x:v>待验证</x:v>
      </x:c>
      <x:c r="AC230" s="20" t="str"/>
      <x:c r="AD230" s="20" t="str">
        <x:v>provisional=true；M3-REPAIR尚未完成，完成条件为暂定功能模型。</x:v>
      </x:c>
      <x:c r="AE230" s="52" t="str">
        <x:v>0.7</x:v>
      </x:c>
    </x:row>
    <x:row r="231">
      <x:c r="A231" s="51" t="str">
        <x:v>M4-REPAIR-230</x:v>
      </x:c>
      <x:c r="B231" s="20" t="str">
        <x:v>RI02 承诺失约与责任变化｜常见假完成</x:v>
      </x:c>
      <x:c r="C231" s="20" t="str">
        <x:v>L4 事件类型与最低修复节点</x:v>
      </x:c>
      <x:c r="D231" s="20" t="str">
        <x:v>REPAIR-事件类型</x:v>
      </x:c>
      <x:c r="E231" s="20" t="str">
        <x:v>通用</x:v>
      </x:c>
      <x:c r="F231" s="20" t="str">
        <x:v>盲点</x:v>
      </x:c>
      <x:c r="G231" s="20" t="str">
        <x:v>RI02</x:v>
      </x:c>
      <x:c r="H231" s="20" t="str"/>
      <x:c r="I231" s="20" t="str">
        <x:v>出现：只有再次承诺，没有责任范围和持续兑现。</x:v>
      </x:c>
      <x:c r="J231" s="20" t="str">
        <x:v>现实中最低节点已经完整且持续。</x:v>
      </x:c>
      <x:c r="K231" s="20" t="str">
        <x:v>由共享基础引擎提供；仅修正修复功能的承载、持续与压力占位，不直接等同是否愿意认错或能否修复。</x:v>
      </x:c>
      <x:c r="L231" s="20" t="str">
        <x:v>由M1／M2提供；夫妻星只说明伴侣原型与关系资格，不单独证明修复能力、修复意愿或修复结果。</x:v>
      </x:c>
      <x:c r="M231" s="20" t="str">
        <x:v>由M3-BASE提供；日支底盘说明亲密关系中自然调用的功能，但不能单独证明修复闭环。</x:v>
      </x:c>
      <x:c r="N231" s="20" t="str">
        <x:v>由M3-CONFLICT、M4-LOOP及现实事件提供；必须区分问题停止、责任承担、影响确认、行动改变、反馈整合与后续回访。</x:v>
      </x:c>
      <x:c r="O231" s="20" t="str">
        <x:v>由共享基础引擎判定；近位提高相关功能进入亲密关系核心的概率，远位只作背景或阶段修正。</x:v>
      </x:c>
      <x:c r="P231" s="20" t="str">
        <x:v>根气只修正某修复功能是否容易重复调用，不等于现实中已经持续改变。</x:v>
      </x:c>
      <x:c r="Q231" s="20" t="str">
        <x:v>旺弱只修正功能调用强度与占位，不直接等同修复质量、诚意或关系结果。</x:v>
      </x:c>
      <x:c r="R231" s="20" t="str">
        <x:v>喜忌只修正功能摩擦、平衡与承载，不直接等同道德、成熟、善恶或是否值得原谅。</x:v>
      </x:c>
      <x:c r="S231" s="20" t="str">
        <x:v>原十神功能有效；真合化成立时按化神功能替换，合化争议时停止定性。</x:v>
      </x:c>
      <x:c r="T231" s="20" t="str">
        <x:v>近位提高修复议题与亲密关系的直接相关性；远位仅保留背景、阶段或低置信修正。</x:v>
      </x:c>
      <x:c r="U231" s="20" t="str">
        <x:v>72</x:v>
      </x:c>
      <x:c r="V231" s="20" t="str">
        <x:v>满足最低节点＋6；缺关键节点则降级</x:v>
      </x:c>
      <x:c r="W231" s="20" t="str">
        <x:v>repair_issue_type</x:v>
      </x:c>
      <x:c r="X231" s="20" t="str">
        <x:v>假完成说明一个熟悉动作替代了事件真正需要的任务。</x:v>
      </x:c>
      <x:c r="Y231" s="20" t="str">
        <x:v>常见卡点是：只有再次承诺，没有责任范围和持续兑现。</x:v>
      </x:c>
      <x:c r="Z23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1" s="20" t="str">
        <x:v>中高</x:v>
      </x:c>
      <x:c r="AB231" s="20" t="str">
        <x:v>待验证</x:v>
      </x:c>
      <x:c r="AC231" s="20" t="str"/>
      <x:c r="AD231" s="20" t="str">
        <x:v>provisional=true；M3-REPAIR尚未完成，完成条件为暂定功能模型。</x:v>
      </x:c>
      <x:c r="AE231" s="52" t="str">
        <x:v>0.7</x:v>
      </x:c>
    </x:row>
    <x:row r="232">
      <x:c r="A232" s="51" t="str">
        <x:v>M4-REPAIR-231</x:v>
      </x:c>
      <x:c r="B232" s="20" t="str">
        <x:v>RI02 承诺失约与责任变化｜证据与升级</x:v>
      </x:c>
      <x:c r="C232" s="20" t="str">
        <x:v>L4 事件类型与最低修复节点</x:v>
      </x:c>
      <x:c r="D232" s="20" t="str">
        <x:v>REPAIR-事件类型</x:v>
      </x:c>
      <x:c r="E232" s="20" t="str">
        <x:v>通用</x:v>
      </x:c>
      <x:c r="F232" s="20" t="str">
        <x:v>证据</x:v>
      </x:c>
      <x:c r="G232" s="20" t="str">
        <x:v>RI02</x:v>
      </x:c>
      <x:c r="H232" s="20" t="str"/>
      <x:c r="I232" s="20" t="str">
        <x:v>有具体事件、接收方反馈和后续行动资料。</x:v>
      </x:c>
      <x:c r="J232" s="20" t="str">
        <x:v>只有抽象概括或命盘结构。</x:v>
      </x:c>
      <x:c r="K232" s="20" t="str">
        <x:v>由共享基础引擎提供；仅修正修复功能的承载、持续与压力占位，不直接等同是否愿意认错或能否修复。</x:v>
      </x:c>
      <x:c r="L232" s="20" t="str">
        <x:v>由M1／M2提供；夫妻星只说明伴侣原型与关系资格，不单独证明修复能力、修复意愿或修复结果。</x:v>
      </x:c>
      <x:c r="M232" s="20" t="str">
        <x:v>由M3-BASE提供；日支底盘说明亲密关系中自然调用的功能，但不能单独证明修复闭环。</x:v>
      </x:c>
      <x:c r="N232" s="20" t="str">
        <x:v>由M3-CONFLICT、M4-LOOP及现实事件提供；必须区分问题停止、责任承担、影响确认、行动改变、反馈整合与后续回访。</x:v>
      </x:c>
      <x:c r="O232" s="20" t="str">
        <x:v>由共享基础引擎判定；近位提高相关功能进入亲密关系核心的概率，远位只作背景或阶段修正。</x:v>
      </x:c>
      <x:c r="P232" s="20" t="str">
        <x:v>根气只修正某修复功能是否容易重复调用，不等于现实中已经持续改变。</x:v>
      </x:c>
      <x:c r="Q232" s="20" t="str">
        <x:v>旺弱只修正功能调用强度与占位，不直接等同修复质量、诚意或关系结果。</x:v>
      </x:c>
      <x:c r="R232" s="20" t="str">
        <x:v>喜忌只修正功能摩擦、平衡与承载，不直接等同道德、成熟、善恶或是否值得原谅。</x:v>
      </x:c>
      <x:c r="S232" s="20" t="str">
        <x:v>原十神功能有效；真合化成立时按化神功能替换，合化争议时停止定性。</x:v>
      </x:c>
      <x:c r="T232" s="20" t="str">
        <x:v>近位提高修复议题与亲密关系的直接相关性；远位仅保留背景、阶段或低置信修正。</x:v>
      </x:c>
      <x:c r="U232" s="20" t="str">
        <x:v>72</x:v>
      </x:c>
      <x:c r="V232" s="20" t="str">
        <x:v>满足最低节点＋6；缺关键节点则降级</x:v>
      </x:c>
      <x:c r="W232" s="20" t="str">
        <x:v>repair_issue_type</x:v>
      </x:c>
      <x:c r="X232" s="20" t="str">
        <x:v>事件类型与节点必须由现实资料支持。</x:v>
      </x:c>
      <x:c r="Y232" s="20" t="str">
        <x:v>需要用具体事件确认这些步骤是否真正发生。</x:v>
      </x:c>
      <x:c r="Z23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2" s="20" t="str">
        <x:v>中高</x:v>
      </x:c>
      <x:c r="AB232" s="20" t="str">
        <x:v>待验证</x:v>
      </x:c>
      <x:c r="AC232" s="20" t="str"/>
      <x:c r="AD232" s="20" t="str">
        <x:v>provisional=true；M3-REPAIR尚未完成，完成条件为暂定功能模型。</x:v>
      </x:c>
      <x:c r="AE232" s="52" t="str">
        <x:v>0.7</x:v>
      </x:c>
    </x:row>
    <x:row r="233">
      <x:c r="A233" s="51" t="str">
        <x:v>M4-REPAIR-232</x:v>
      </x:c>
      <x:c r="B233" s="20" t="str">
        <x:v>RI02 承诺失约与责任变化｜用户输出与边界</x:v>
      </x:c>
      <x:c r="C233" s="20" t="str">
        <x:v>L4 事件类型与最低修复节点</x:v>
      </x:c>
      <x:c r="D233" s="20" t="str">
        <x:v>REPAIR-事件类型</x:v>
      </x:c>
      <x:c r="E233" s="20" t="str">
        <x:v>通用</x:v>
      </x:c>
      <x:c r="F233" s="20" t="str">
        <x:v>输出</x:v>
      </x:c>
      <x:c r="G233" s="20" t="str">
        <x:v>RI02</x:v>
      </x:c>
      <x:c r="H233" s="20" t="str"/>
      <x:c r="I233" s="20" t="str">
        <x:v>完成现实安全、反例和节点检查。</x:v>
      </x:c>
      <x:c r="J233" s="20" t="str">
        <x:v>安全风险被普通修复语言淡化。</x:v>
      </x:c>
      <x:c r="K233" s="20" t="str">
        <x:v>由共享基础引擎提供；仅修正修复功能的承载、持续与压力占位，不直接等同是否愿意认错或能否修复。</x:v>
      </x:c>
      <x:c r="L233" s="20" t="str">
        <x:v>由M1／M2提供；夫妻星只说明伴侣原型与关系资格，不单独证明修复能力、修复意愿或修复结果。</x:v>
      </x:c>
      <x:c r="M233" s="20" t="str">
        <x:v>由M3-BASE提供；日支底盘说明亲密关系中自然调用的功能，但不能单独证明修复闭环。</x:v>
      </x:c>
      <x:c r="N233" s="20" t="str">
        <x:v>由M3-CONFLICT、M4-LOOP及现实事件提供；必须区分问题停止、责任承担、影响确认、行动改变、反馈整合与后续回访。</x:v>
      </x:c>
      <x:c r="O233" s="20" t="str">
        <x:v>由共享基础引擎判定；近位提高相关功能进入亲密关系核心的概率，远位只作背景或阶段修正。</x:v>
      </x:c>
      <x:c r="P233" s="20" t="str">
        <x:v>根气只修正某修复功能是否容易重复调用，不等于现实中已经持续改变。</x:v>
      </x:c>
      <x:c r="Q233" s="20" t="str">
        <x:v>旺弱只修正功能调用强度与占位，不直接等同修复质量、诚意或关系结果。</x:v>
      </x:c>
      <x:c r="R233" s="20" t="str">
        <x:v>喜忌只修正功能摩擦、平衡与承载，不直接等同道德、成熟、善恶或是否值得原谅。</x:v>
      </x:c>
      <x:c r="S233" s="20" t="str">
        <x:v>原十神功能有效；真合化成立时按化神功能替换，合化争议时停止定性。</x:v>
      </x:c>
      <x:c r="T233" s="20" t="str">
        <x:v>近位提高修复议题与亲密关系的直接相关性；远位仅保留背景、阶段或低置信修正。</x:v>
      </x:c>
      <x:c r="U233" s="20" t="str">
        <x:v>90</x:v>
      </x:c>
      <x:c r="V233" s="20" t="str">
        <x:v>满足最低节点＋6；缺关键节点则降级</x:v>
      </x:c>
      <x:c r="W233" s="20" t="str">
        <x:v>repair_issue_type</x:v>
      </x:c>
      <x:c r="X233" s="20" t="str">
        <x:v>输出强调最低任务，不要求原谅或复合。</x:v>
      </x:c>
      <x:c r="Y233" s="20" t="str">
        <x:v>失约类修复的关键不是再说一次会做到，而是明确责任、补救和后续持续兑现。</x:v>
      </x:c>
      <x:c r="Z23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3" s="20" t="str">
        <x:v>中高</x:v>
      </x:c>
      <x:c r="AB233" s="20" t="str">
        <x:v>待验证</x:v>
      </x:c>
      <x:c r="AC233" s="20" t="str"/>
      <x:c r="AD233" s="20" t="str">
        <x:v>provisional=true；M3-REPAIR尚未完成，完成条件为暂定功能模型。</x:v>
      </x:c>
      <x:c r="AE233" s="52" t="str">
        <x:v>0.7</x:v>
      </x:c>
    </x:row>
    <x:row r="234">
      <x:c r="A234" s="51" t="str">
        <x:v>M4-REPAIR-233</x:v>
      </x:c>
      <x:c r="B234" s="20" t="str">
        <x:v>RI03 现实任务、资源与分工问题｜事件定义</x:v>
      </x:c>
      <x:c r="C234" s="20" t="str">
        <x:v>L4 事件类型与最低修复节点</x:v>
      </x:c>
      <x:c r="D234" s="20" t="str">
        <x:v>REPAIR-事件类型</x:v>
      </x:c>
      <x:c r="E234" s="20" t="str">
        <x:v>通用</x:v>
      </x:c>
      <x:c r="F234" s="20" t="str">
        <x:v>定义</x:v>
      </x:c>
      <x:c r="G234" s="20" t="str">
        <x:v>RI03</x:v>
      </x:c>
      <x:c r="H234" s="20" t="str"/>
      <x:c r="I234" s="20" t="str">
        <x:v>时间、金钱、家务、工作或家庭事务安排失衡。</x:v>
      </x:c>
      <x:c r="J234" s="20" t="str">
        <x:v>事件类型不清或多个类型混在一起。</x:v>
      </x:c>
      <x:c r="K234" s="20" t="str">
        <x:v>由共享基础引擎提供；仅修正修复功能的承载、持续与压力占位，不直接等同是否愿意认错或能否修复。</x:v>
      </x:c>
      <x:c r="L234" s="20" t="str">
        <x:v>由M1／M2提供；夫妻星只说明伴侣原型与关系资格，不单独证明修复能力、修复意愿或修复结果。</x:v>
      </x:c>
      <x:c r="M234" s="20" t="str">
        <x:v>由M3-BASE提供；日支底盘说明亲密关系中自然调用的功能，但不能单独证明修复闭环。</x:v>
      </x:c>
      <x:c r="N234" s="20" t="str">
        <x:v>由M3-CONFLICT、M4-LOOP及现实事件提供；必须区分问题停止、责任承担、影响确认、行动改变、反馈整合与后续回访。</x:v>
      </x:c>
      <x:c r="O234" s="20" t="str">
        <x:v>由共享基础引擎判定；近位提高相关功能进入亲密关系核心的概率，远位只作背景或阶段修正。</x:v>
      </x:c>
      <x:c r="P234" s="20" t="str">
        <x:v>根气只修正某修复功能是否容易重复调用，不等于现实中已经持续改变。</x:v>
      </x:c>
      <x:c r="Q234" s="20" t="str">
        <x:v>旺弱只修正功能调用强度与占位，不直接等同修复质量、诚意或关系结果。</x:v>
      </x:c>
      <x:c r="R234" s="20" t="str">
        <x:v>喜忌只修正功能摩擦、平衡与承载，不直接等同道德、成熟、善恶或是否值得原谅。</x:v>
      </x:c>
      <x:c r="S234" s="20" t="str">
        <x:v>原十神功能有效；真合化成立时按化神功能替换，合化争议时停止定性。</x:v>
      </x:c>
      <x:c r="T234" s="20" t="str">
        <x:v>近位提高修复议题与亲密关系的直接相关性；远位仅保留背景、阶段或低置信修正。</x:v>
      </x:c>
      <x:c r="U234" s="20" t="str">
        <x:v>72</x:v>
      </x:c>
      <x:c r="V234" s="20" t="str">
        <x:v>满足最低节点＋6；缺关键节点则降级</x:v>
      </x:c>
      <x:c r="W234" s="20" t="str">
        <x:v>repair_issue_type</x:v>
      </x:c>
      <x:c r="X234" s="20" t="str">
        <x:v>事件类型决定最低必要节点，避免用同一修复清单处理所有问题。</x:v>
      </x:c>
      <x:c r="Y234" s="20" t="str">
        <x:v>这类事件首先需要确认它影响的是信息、责任、现实安排、情绪、边界还是安全。</x:v>
      </x:c>
      <x:c r="Z23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4" s="20" t="str">
        <x:v>中高</x:v>
      </x:c>
      <x:c r="AB234" s="20" t="str">
        <x:v>待验证</x:v>
      </x:c>
      <x:c r="AC234" s="20" t="str"/>
      <x:c r="AD234" s="20" t="str">
        <x:v>provisional=true；M3-REPAIR尚未完成，完成条件为暂定功能模型。</x:v>
      </x:c>
      <x:c r="AE234" s="52" t="str">
        <x:v>0.7</x:v>
      </x:c>
    </x:row>
    <x:row r="235">
      <x:c r="A235" s="51" t="str">
        <x:v>M4-REPAIR-234</x:v>
      </x:c>
      <x:c r="B235" s="20" t="str">
        <x:v>RI03 现实任务、资源与分工问题｜最低必要节点</x:v>
      </x:c>
      <x:c r="C235" s="20" t="str">
        <x:v>L4 事件类型与最低修复节点</x:v>
      </x:c>
      <x:c r="D235" s="20" t="str">
        <x:v>REPAIR-事件类型</x:v>
      </x:c>
      <x:c r="E235" s="20" t="str">
        <x:v>通用</x:v>
      </x:c>
      <x:c r="F235" s="20" t="str">
        <x:v>门槛</x:v>
      </x:c>
      <x:c r="G235" s="20" t="str">
        <x:v>RI03</x:v>
      </x:c>
      <x:c r="H235" s="20" t="str"/>
      <x:c r="I235" s="20" t="str">
        <x:v>最低节点：RN02事实、RN05分工边界、RN06现实调整、RN07反馈。</x:v>
      </x:c>
      <x:c r="J235" s="20" t="str">
        <x:v>最低节点未出现却发布修复闭环。</x:v>
      </x:c>
      <x:c r="K235" s="20" t="str">
        <x:v>由共享基础引擎提供；仅修正修复功能的承载、持续与压力占位，不直接等同是否愿意认错或能否修复。</x:v>
      </x:c>
      <x:c r="L235" s="20" t="str">
        <x:v>由M1／M2提供；夫妻星只说明伴侣原型与关系资格，不单独证明修复能力、修复意愿或修复结果。</x:v>
      </x:c>
      <x:c r="M235" s="20" t="str">
        <x:v>由M3-BASE提供；日支底盘说明亲密关系中自然调用的功能，但不能单独证明修复闭环。</x:v>
      </x:c>
      <x:c r="N235" s="20" t="str">
        <x:v>由M3-CONFLICT、M4-LOOP及现实事件提供；必须区分问题停止、责任承担、影响确认、行动改变、反馈整合与后续回访。</x:v>
      </x:c>
      <x:c r="O235" s="20" t="str">
        <x:v>由共享基础引擎判定；近位提高相关功能进入亲密关系核心的概率，远位只作背景或阶段修正。</x:v>
      </x:c>
      <x:c r="P235" s="20" t="str">
        <x:v>根气只修正某修复功能是否容易重复调用，不等于现实中已经持续改变。</x:v>
      </x:c>
      <x:c r="Q235" s="20" t="str">
        <x:v>旺弱只修正功能调用强度与占位，不直接等同修复质量、诚意或关系结果。</x:v>
      </x:c>
      <x:c r="R235" s="20" t="str">
        <x:v>喜忌只修正功能摩擦、平衡与承载，不直接等同道德、成熟、善恶或是否值得原谅。</x:v>
      </x:c>
      <x:c r="S235" s="20" t="str">
        <x:v>原十神功能有效；真合化成立时按化神功能替换，合化争议时停止定性。</x:v>
      </x:c>
      <x:c r="T235" s="20" t="str">
        <x:v>近位提高修复议题与亲密关系的直接相关性；远位仅保留背景、阶段或低置信修正。</x:v>
      </x:c>
      <x:c r="U235" s="20" t="str">
        <x:v>90</x:v>
      </x:c>
      <x:c r="V235" s="20" t="str">
        <x:v>满足最低节点＋6；缺关键节点则降级</x:v>
      </x:c>
      <x:c r="W235" s="20" t="str">
        <x:v>repair_issue_type</x:v>
      </x:c>
      <x:c r="X235" s="20" t="str">
        <x:v>最低节点是此类事件的修复骨架。</x:v>
      </x:c>
      <x:c r="Y235" s="20" t="str">
        <x:v>这类问题至少需要完成：RN02事实、RN05分工边界、RN06现实调整、RN07反馈。</x:v>
      </x:c>
      <x:c r="Z23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5" s="20" t="str">
        <x:v>中高</x:v>
      </x:c>
      <x:c r="AB235" s="20" t="str">
        <x:v>待验证</x:v>
      </x:c>
      <x:c r="AC235" s="20" t="str"/>
      <x:c r="AD235" s="20" t="str">
        <x:v>provisional=true；M3-REPAIR尚未完成，完成条件为暂定功能模型。</x:v>
      </x:c>
      <x:c r="AE235" s="52" t="str">
        <x:v>0.7</x:v>
      </x:c>
    </x:row>
    <x:row r="236">
      <x:c r="A236" s="51" t="str">
        <x:v>M4-REPAIR-235</x:v>
      </x:c>
      <x:c r="B236" s="20" t="str">
        <x:v>RI03 现实任务、资源与分工问题｜条件节点</x:v>
      </x:c>
      <x:c r="C236" s="20" t="str">
        <x:v>L4 事件类型与最低修复节点</x:v>
      </x:c>
      <x:c r="D236" s="20" t="str">
        <x:v>REPAIR-事件类型</x:v>
      </x:c>
      <x:c r="E236" s="20" t="str">
        <x:v>通用</x:v>
      </x:c>
      <x:c r="F236" s="20" t="str">
        <x:v>路由</x:v>
      </x:c>
      <x:c r="G236" s="20" t="str">
        <x:v>RI03</x:v>
      </x:c>
      <x:c r="H236" s="20" t="str"/>
      <x:c r="I236" s="20" t="str">
        <x:v>视事件影响加入：RN03在影响明显时必要；RN08用于检验新安排。</x:v>
      </x:c>
      <x:c r="J236" s="20" t="str">
        <x:v>把条件节点当成所有事件必需。</x:v>
      </x:c>
      <x:c r="K236" s="20" t="str">
        <x:v>由共享基础引擎提供；仅修正修复功能的承载、持续与压力占位，不直接等同是否愿意认错或能否修复。</x:v>
      </x:c>
      <x:c r="L236" s="20" t="str">
        <x:v>由M1／M2提供；夫妻星只说明伴侣原型与关系资格，不单独证明修复能力、修复意愿或修复结果。</x:v>
      </x:c>
      <x:c r="M236" s="20" t="str">
        <x:v>由M3-BASE提供；日支底盘说明亲密关系中自然调用的功能，但不能单独证明修复闭环。</x:v>
      </x:c>
      <x:c r="N236" s="20" t="str">
        <x:v>由M3-CONFLICT、M4-LOOP及现实事件提供；必须区分问题停止、责任承担、影响确认、行动改变、反馈整合与后续回访。</x:v>
      </x:c>
      <x:c r="O236" s="20" t="str">
        <x:v>由共享基础引擎判定；近位提高相关功能进入亲密关系核心的概率，远位只作背景或阶段修正。</x:v>
      </x:c>
      <x:c r="P236" s="20" t="str">
        <x:v>根气只修正某修复功能是否容易重复调用，不等于现实中已经持续改变。</x:v>
      </x:c>
      <x:c r="Q236" s="20" t="str">
        <x:v>旺弱只修正功能调用强度与占位，不直接等同修复质量、诚意或关系结果。</x:v>
      </x:c>
      <x:c r="R236" s="20" t="str">
        <x:v>喜忌只修正功能摩擦、平衡与承载，不直接等同道德、成熟、善恶或是否值得原谅。</x:v>
      </x:c>
      <x:c r="S236" s="20" t="str">
        <x:v>原十神功能有效；真合化成立时按化神功能替换，合化争议时停止定性。</x:v>
      </x:c>
      <x:c r="T236" s="20" t="str">
        <x:v>近位提高修复议题与亲密关系的直接相关性；远位仅保留背景、阶段或低置信修正。</x:v>
      </x:c>
      <x:c r="U236" s="20" t="str">
        <x:v>72</x:v>
      </x:c>
      <x:c r="V236" s="20" t="str">
        <x:v>满足最低节点＋6；缺关键节点则降级</x:v>
      </x:c>
      <x:c r="W236" s="20" t="str">
        <x:v>repair_issue_type</x:v>
      </x:c>
      <x:c r="X236" s="20" t="str">
        <x:v>不同严重度与影响范围需要不同节点组合。</x:v>
      </x:c>
      <x:c r="Y236" s="20" t="str">
        <x:v>根据实际影响，还需要继续看：RN03在影响明显时必要；RN08用于检验新安排。</x:v>
      </x:c>
      <x:c r="Z23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6" s="20" t="str">
        <x:v>中高</x:v>
      </x:c>
      <x:c r="AB236" s="20" t="str">
        <x:v>待验证</x:v>
      </x:c>
      <x:c r="AC236" s="20" t="str"/>
      <x:c r="AD236" s="20" t="str">
        <x:v>provisional=true；M3-REPAIR尚未完成，完成条件为暂定功能模型。</x:v>
      </x:c>
      <x:c r="AE236" s="52" t="str">
        <x:v>0.7</x:v>
      </x:c>
    </x:row>
    <x:row r="237">
      <x:c r="A237" s="51" t="str">
        <x:v>M4-REPAIR-236</x:v>
      </x:c>
      <x:c r="B237" s="20" t="str">
        <x:v>RI03 现实任务、资源与分工问题｜常见假完成</x:v>
      </x:c>
      <x:c r="C237" s="20" t="str">
        <x:v>L4 事件类型与最低修复节点</x:v>
      </x:c>
      <x:c r="D237" s="20" t="str">
        <x:v>REPAIR-事件类型</x:v>
      </x:c>
      <x:c r="E237" s="20" t="str">
        <x:v>通用</x:v>
      </x:c>
      <x:c r="F237" s="20" t="str">
        <x:v>盲点</x:v>
      </x:c>
      <x:c r="G237" s="20" t="str">
        <x:v>RI03</x:v>
      </x:c>
      <x:c r="H237" s="20" t="str"/>
      <x:c r="I237" s="20" t="str">
        <x:v>出现：只安抚或道歉，没有调整现实分工。</x:v>
      </x:c>
      <x:c r="J237" s="20" t="str">
        <x:v>现实中最低节点已经完整且持续。</x:v>
      </x:c>
      <x:c r="K237" s="20" t="str">
        <x:v>由共享基础引擎提供；仅修正修复功能的承载、持续与压力占位，不直接等同是否愿意认错或能否修复。</x:v>
      </x:c>
      <x:c r="L237" s="20" t="str">
        <x:v>由M1／M2提供；夫妻星只说明伴侣原型与关系资格，不单独证明修复能力、修复意愿或修复结果。</x:v>
      </x:c>
      <x:c r="M237" s="20" t="str">
        <x:v>由M3-BASE提供；日支底盘说明亲密关系中自然调用的功能，但不能单独证明修复闭环。</x:v>
      </x:c>
      <x:c r="N237" s="20" t="str">
        <x:v>由M3-CONFLICT、M4-LOOP及现实事件提供；必须区分问题停止、责任承担、影响确认、行动改变、反馈整合与后续回访。</x:v>
      </x:c>
      <x:c r="O237" s="20" t="str">
        <x:v>由共享基础引擎判定；近位提高相关功能进入亲密关系核心的概率，远位只作背景或阶段修正。</x:v>
      </x:c>
      <x:c r="P237" s="20" t="str">
        <x:v>根气只修正某修复功能是否容易重复调用，不等于现实中已经持续改变。</x:v>
      </x:c>
      <x:c r="Q237" s="20" t="str">
        <x:v>旺弱只修正功能调用强度与占位，不直接等同修复质量、诚意或关系结果。</x:v>
      </x:c>
      <x:c r="R237" s="20" t="str">
        <x:v>喜忌只修正功能摩擦、平衡与承载，不直接等同道德、成熟、善恶或是否值得原谅。</x:v>
      </x:c>
      <x:c r="S237" s="20" t="str">
        <x:v>原十神功能有效；真合化成立时按化神功能替换，合化争议时停止定性。</x:v>
      </x:c>
      <x:c r="T237" s="20" t="str">
        <x:v>近位提高修复议题与亲密关系的直接相关性；远位仅保留背景、阶段或低置信修正。</x:v>
      </x:c>
      <x:c r="U237" s="20" t="str">
        <x:v>72</x:v>
      </x:c>
      <x:c r="V237" s="20" t="str">
        <x:v>满足最低节点＋6；缺关键节点则降级</x:v>
      </x:c>
      <x:c r="W237" s="20" t="str">
        <x:v>repair_issue_type</x:v>
      </x:c>
      <x:c r="X237" s="20" t="str">
        <x:v>假完成说明一个熟悉动作替代了事件真正需要的任务。</x:v>
      </x:c>
      <x:c r="Y237" s="20" t="str">
        <x:v>常见卡点是：只安抚或道歉，没有调整现实分工。</x:v>
      </x:c>
      <x:c r="Z23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7" s="20" t="str">
        <x:v>中高</x:v>
      </x:c>
      <x:c r="AB237" s="20" t="str">
        <x:v>待验证</x:v>
      </x:c>
      <x:c r="AC237" s="20" t="str"/>
      <x:c r="AD237" s="20" t="str">
        <x:v>provisional=true；M3-REPAIR尚未完成，完成条件为暂定功能模型。</x:v>
      </x:c>
      <x:c r="AE237" s="52" t="str">
        <x:v>0.7</x:v>
      </x:c>
    </x:row>
    <x:row r="238">
      <x:c r="A238" s="51" t="str">
        <x:v>M4-REPAIR-237</x:v>
      </x:c>
      <x:c r="B238" s="20" t="str">
        <x:v>RI03 现实任务、资源与分工问题｜证据与升级</x:v>
      </x:c>
      <x:c r="C238" s="20" t="str">
        <x:v>L4 事件类型与最低修复节点</x:v>
      </x:c>
      <x:c r="D238" s="20" t="str">
        <x:v>REPAIR-事件类型</x:v>
      </x:c>
      <x:c r="E238" s="20" t="str">
        <x:v>通用</x:v>
      </x:c>
      <x:c r="F238" s="20" t="str">
        <x:v>证据</x:v>
      </x:c>
      <x:c r="G238" s="20" t="str">
        <x:v>RI03</x:v>
      </x:c>
      <x:c r="H238" s="20" t="str"/>
      <x:c r="I238" s="20" t="str">
        <x:v>有具体事件、接收方反馈和后续行动资料。</x:v>
      </x:c>
      <x:c r="J238" s="20" t="str">
        <x:v>只有抽象概括或命盘结构。</x:v>
      </x:c>
      <x:c r="K238" s="20" t="str">
        <x:v>由共享基础引擎提供；仅修正修复功能的承载、持续与压力占位，不直接等同是否愿意认错或能否修复。</x:v>
      </x:c>
      <x:c r="L238" s="20" t="str">
        <x:v>由M1／M2提供；夫妻星只说明伴侣原型与关系资格，不单独证明修复能力、修复意愿或修复结果。</x:v>
      </x:c>
      <x:c r="M238" s="20" t="str">
        <x:v>由M3-BASE提供；日支底盘说明亲密关系中自然调用的功能，但不能单独证明修复闭环。</x:v>
      </x:c>
      <x:c r="N238" s="20" t="str">
        <x:v>由M3-CONFLICT、M4-LOOP及现实事件提供；必须区分问题停止、责任承担、影响确认、行动改变、反馈整合与后续回访。</x:v>
      </x:c>
      <x:c r="O238" s="20" t="str">
        <x:v>由共享基础引擎判定；近位提高相关功能进入亲密关系核心的概率，远位只作背景或阶段修正。</x:v>
      </x:c>
      <x:c r="P238" s="20" t="str">
        <x:v>根气只修正某修复功能是否容易重复调用，不等于现实中已经持续改变。</x:v>
      </x:c>
      <x:c r="Q238" s="20" t="str">
        <x:v>旺弱只修正功能调用强度与占位，不直接等同修复质量、诚意或关系结果。</x:v>
      </x:c>
      <x:c r="R238" s="20" t="str">
        <x:v>喜忌只修正功能摩擦、平衡与承载，不直接等同道德、成熟、善恶或是否值得原谅。</x:v>
      </x:c>
      <x:c r="S238" s="20" t="str">
        <x:v>原十神功能有效；真合化成立时按化神功能替换，合化争议时停止定性。</x:v>
      </x:c>
      <x:c r="T238" s="20" t="str">
        <x:v>近位提高修复议题与亲密关系的直接相关性；远位仅保留背景、阶段或低置信修正。</x:v>
      </x:c>
      <x:c r="U238" s="20" t="str">
        <x:v>72</x:v>
      </x:c>
      <x:c r="V238" s="20" t="str">
        <x:v>满足最低节点＋6；缺关键节点则降级</x:v>
      </x:c>
      <x:c r="W238" s="20" t="str">
        <x:v>repair_issue_type</x:v>
      </x:c>
      <x:c r="X238" s="20" t="str">
        <x:v>事件类型与节点必须由现实资料支持。</x:v>
      </x:c>
      <x:c r="Y238" s="20" t="str">
        <x:v>需要用具体事件确认这些步骤是否真正发生。</x:v>
      </x:c>
      <x:c r="Z23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8" s="20" t="str">
        <x:v>中高</x:v>
      </x:c>
      <x:c r="AB238" s="20" t="str">
        <x:v>待验证</x:v>
      </x:c>
      <x:c r="AC238" s="20" t="str"/>
      <x:c r="AD238" s="20" t="str">
        <x:v>provisional=true；M3-REPAIR尚未完成，完成条件为暂定功能模型。</x:v>
      </x:c>
      <x:c r="AE238" s="52" t="str">
        <x:v>0.7</x:v>
      </x:c>
    </x:row>
    <x:row r="239">
      <x:c r="A239" s="51" t="str">
        <x:v>M4-REPAIR-238</x:v>
      </x:c>
      <x:c r="B239" s="20" t="str">
        <x:v>RI03 现实任务、资源与分工问题｜用户输出与边界</x:v>
      </x:c>
      <x:c r="C239" s="20" t="str">
        <x:v>L4 事件类型与最低修复节点</x:v>
      </x:c>
      <x:c r="D239" s="20" t="str">
        <x:v>REPAIR-事件类型</x:v>
      </x:c>
      <x:c r="E239" s="20" t="str">
        <x:v>通用</x:v>
      </x:c>
      <x:c r="F239" s="20" t="str">
        <x:v>输出</x:v>
      </x:c>
      <x:c r="G239" s="20" t="str">
        <x:v>RI03</x:v>
      </x:c>
      <x:c r="H239" s="20" t="str"/>
      <x:c r="I239" s="20" t="str">
        <x:v>完成现实安全、反例和节点检查。</x:v>
      </x:c>
      <x:c r="J239" s="20" t="str">
        <x:v>安全风险被普通修复语言淡化。</x:v>
      </x:c>
      <x:c r="K239" s="20" t="str">
        <x:v>由共享基础引擎提供；仅修正修复功能的承载、持续与压力占位，不直接等同是否愿意认错或能否修复。</x:v>
      </x:c>
      <x:c r="L239" s="20" t="str">
        <x:v>由M1／M2提供；夫妻星只说明伴侣原型与关系资格，不单独证明修复能力、修复意愿或修复结果。</x:v>
      </x:c>
      <x:c r="M239" s="20" t="str">
        <x:v>由M3-BASE提供；日支底盘说明亲密关系中自然调用的功能，但不能单独证明修复闭环。</x:v>
      </x:c>
      <x:c r="N239" s="20" t="str">
        <x:v>由M3-CONFLICT、M4-LOOP及现实事件提供；必须区分问题停止、责任承担、影响确认、行动改变、反馈整合与后续回访。</x:v>
      </x:c>
      <x:c r="O239" s="20" t="str">
        <x:v>由共享基础引擎判定；近位提高相关功能进入亲密关系核心的概率，远位只作背景或阶段修正。</x:v>
      </x:c>
      <x:c r="P239" s="20" t="str">
        <x:v>根气只修正某修复功能是否容易重复调用，不等于现实中已经持续改变。</x:v>
      </x:c>
      <x:c r="Q239" s="20" t="str">
        <x:v>旺弱只修正功能调用强度与占位，不直接等同修复质量、诚意或关系结果。</x:v>
      </x:c>
      <x:c r="R239" s="20" t="str">
        <x:v>喜忌只修正功能摩擦、平衡与承载，不直接等同道德、成熟、善恶或是否值得原谅。</x:v>
      </x:c>
      <x:c r="S239" s="20" t="str">
        <x:v>原十神功能有效；真合化成立时按化神功能替换，合化争议时停止定性。</x:v>
      </x:c>
      <x:c r="T239" s="20" t="str">
        <x:v>近位提高修复议题与亲密关系的直接相关性；远位仅保留背景、阶段或低置信修正。</x:v>
      </x:c>
      <x:c r="U239" s="20" t="str">
        <x:v>90</x:v>
      </x:c>
      <x:c r="V239" s="20" t="str">
        <x:v>满足最低节点＋6；缺关键节点则降级</x:v>
      </x:c>
      <x:c r="W239" s="20" t="str">
        <x:v>repair_issue_type</x:v>
      </x:c>
      <x:c r="X239" s="20" t="str">
        <x:v>输出强调最低任务，不要求原谅或复合。</x:v>
      </x:c>
      <x:c r="Y239" s="20" t="str">
        <x:v>需要把分工、资源和执行方式重新安排，并允许双方反馈是否可行。</x:v>
      </x:c>
      <x:c r="Z23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39" s="20" t="str">
        <x:v>中高</x:v>
      </x:c>
      <x:c r="AB239" s="20" t="str">
        <x:v>待验证</x:v>
      </x:c>
      <x:c r="AC239" s="20" t="str"/>
      <x:c r="AD239" s="20" t="str">
        <x:v>provisional=true；M3-REPAIR尚未完成，完成条件为暂定功能模型。</x:v>
      </x:c>
      <x:c r="AE239" s="52" t="str">
        <x:v>0.7</x:v>
      </x:c>
    </x:row>
    <x:row r="240">
      <x:c r="A240" s="51" t="str">
        <x:v>M4-REPAIR-239</x:v>
      </x:c>
      <x:c r="B240" s="20" t="str">
        <x:v>RI04 情绪受伤与影响未被看见｜事件定义</x:v>
      </x:c>
      <x:c r="C240" s="20" t="str">
        <x:v>L4 事件类型与最低修复节点</x:v>
      </x:c>
      <x:c r="D240" s="20" t="str">
        <x:v>REPAIR-事件类型</x:v>
      </x:c>
      <x:c r="E240" s="20" t="str">
        <x:v>通用</x:v>
      </x:c>
      <x:c r="F240" s="20" t="str">
        <x:v>定义</x:v>
      </x:c>
      <x:c r="G240" s="20" t="str">
        <x:v>RI04</x:v>
      </x:c>
      <x:c r="H240" s="20" t="str"/>
      <x:c r="I240" s="20" t="str">
        <x:v>言语、忽视、失望或关系事件造成明显情绪和信任影响。</x:v>
      </x:c>
      <x:c r="J240" s="20" t="str">
        <x:v>事件类型不清或多个类型混在一起。</x:v>
      </x:c>
      <x:c r="K240" s="20" t="str">
        <x:v>由共享基础引擎提供；仅修正修复功能的承载、持续与压力占位，不直接等同是否愿意认错或能否修复。</x:v>
      </x:c>
      <x:c r="L240" s="20" t="str">
        <x:v>由M1／M2提供；夫妻星只说明伴侣原型与关系资格，不单独证明修复能力、修复意愿或修复结果。</x:v>
      </x:c>
      <x:c r="M240" s="20" t="str">
        <x:v>由M3-BASE提供；日支底盘说明亲密关系中自然调用的功能，但不能单独证明修复闭环。</x:v>
      </x:c>
      <x:c r="N240" s="20" t="str">
        <x:v>由M3-CONFLICT、M4-LOOP及现实事件提供；必须区分问题停止、责任承担、影响确认、行动改变、反馈整合与后续回访。</x:v>
      </x:c>
      <x:c r="O240" s="20" t="str">
        <x:v>由共享基础引擎判定；近位提高相关功能进入亲密关系核心的概率，远位只作背景或阶段修正。</x:v>
      </x:c>
      <x:c r="P240" s="20" t="str">
        <x:v>根气只修正某修复功能是否容易重复调用，不等于现实中已经持续改变。</x:v>
      </x:c>
      <x:c r="Q240" s="20" t="str">
        <x:v>旺弱只修正功能调用强度与占位，不直接等同修复质量、诚意或关系结果。</x:v>
      </x:c>
      <x:c r="R240" s="20" t="str">
        <x:v>喜忌只修正功能摩擦、平衡与承载，不直接等同道德、成熟、善恶或是否值得原谅。</x:v>
      </x:c>
      <x:c r="S240" s="20" t="str">
        <x:v>原十神功能有效；真合化成立时按化神功能替换，合化争议时停止定性。</x:v>
      </x:c>
      <x:c r="T240" s="20" t="str">
        <x:v>近位提高修复议题与亲密关系的直接相关性；远位仅保留背景、阶段或低置信修正。</x:v>
      </x:c>
      <x:c r="U240" s="20" t="str">
        <x:v>72</x:v>
      </x:c>
      <x:c r="V240" s="20" t="str">
        <x:v>满足最低节点＋6；缺关键节点则降级</x:v>
      </x:c>
      <x:c r="W240" s="20" t="str">
        <x:v>repair_issue_type</x:v>
      </x:c>
      <x:c r="X240" s="20" t="str">
        <x:v>事件类型决定最低必要节点，避免用同一修复清单处理所有问题。</x:v>
      </x:c>
      <x:c r="Y240" s="20" t="str">
        <x:v>这类事件首先需要确认它影响的是信息、责任、现实安排、情绪、边界还是安全。</x:v>
      </x:c>
      <x:c r="Z24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0" s="20" t="str">
        <x:v>中高</x:v>
      </x:c>
      <x:c r="AB240" s="20" t="str">
        <x:v>待验证</x:v>
      </x:c>
      <x:c r="AC240" s="20" t="str"/>
      <x:c r="AD240" s="20" t="str">
        <x:v>provisional=true；M3-REPAIR尚未完成，完成条件为暂定功能模型。</x:v>
      </x:c>
      <x:c r="AE240" s="52" t="str">
        <x:v>0.7</x:v>
      </x:c>
    </x:row>
    <x:row r="241">
      <x:c r="A241" s="51" t="str">
        <x:v>M4-REPAIR-240</x:v>
      </x:c>
      <x:c r="B241" s="20" t="str">
        <x:v>RI04 情绪受伤与影响未被看见｜最低必要节点</x:v>
      </x:c>
      <x:c r="C241" s="20" t="str">
        <x:v>L4 事件类型与最低修复节点</x:v>
      </x:c>
      <x:c r="D241" s="20" t="str">
        <x:v>REPAIR-事件类型</x:v>
      </x:c>
      <x:c r="E241" s="20" t="str">
        <x:v>通用</x:v>
      </x:c>
      <x:c r="F241" s="20" t="str">
        <x:v>门槛</x:v>
      </x:c>
      <x:c r="G241" s="20" t="str">
        <x:v>RI04</x:v>
      </x:c>
      <x:c r="H241" s="20" t="str"/>
      <x:c r="I241" s="20" t="str">
        <x:v>最低节点：RN03影响、RN04责任、RN07反馈。</x:v>
      </x:c>
      <x:c r="J241" s="20" t="str">
        <x:v>最低节点未出现却发布修复闭环。</x:v>
      </x:c>
      <x:c r="K241" s="20" t="str">
        <x:v>由共享基础引擎提供；仅修正修复功能的承载、持续与压力占位，不直接等同是否愿意认错或能否修复。</x:v>
      </x:c>
      <x:c r="L241" s="20" t="str">
        <x:v>由M1／M2提供；夫妻星只说明伴侣原型与关系资格，不单独证明修复能力、修复意愿或修复结果。</x:v>
      </x:c>
      <x:c r="M241" s="20" t="str">
        <x:v>由M3-BASE提供；日支底盘说明亲密关系中自然调用的功能，但不能单独证明修复闭环。</x:v>
      </x:c>
      <x:c r="N241" s="20" t="str">
        <x:v>由M3-CONFLICT、M4-LOOP及现实事件提供；必须区分问题停止、责任承担、影响确认、行动改变、反馈整合与后续回访。</x:v>
      </x:c>
      <x:c r="O241" s="20" t="str">
        <x:v>由共享基础引擎判定；近位提高相关功能进入亲密关系核心的概率，远位只作背景或阶段修正。</x:v>
      </x:c>
      <x:c r="P241" s="20" t="str">
        <x:v>根气只修正某修复功能是否容易重复调用，不等于现实中已经持续改变。</x:v>
      </x:c>
      <x:c r="Q241" s="20" t="str">
        <x:v>旺弱只修正功能调用强度与占位，不直接等同修复质量、诚意或关系结果。</x:v>
      </x:c>
      <x:c r="R241" s="20" t="str">
        <x:v>喜忌只修正功能摩擦、平衡与承载，不直接等同道德、成熟、善恶或是否值得原谅。</x:v>
      </x:c>
      <x:c r="S241" s="20" t="str">
        <x:v>原十神功能有效；真合化成立时按化神功能替换，合化争议时停止定性。</x:v>
      </x:c>
      <x:c r="T241" s="20" t="str">
        <x:v>近位提高修复议题与亲密关系的直接相关性；远位仅保留背景、阶段或低置信修正。</x:v>
      </x:c>
      <x:c r="U241" s="20" t="str">
        <x:v>90</x:v>
      </x:c>
      <x:c r="V241" s="20" t="str">
        <x:v>满足最低节点＋6；缺关键节点则降级</x:v>
      </x:c>
      <x:c r="W241" s="20" t="str">
        <x:v>repair_issue_type</x:v>
      </x:c>
      <x:c r="X241" s="20" t="str">
        <x:v>最低节点是此类事件的修复骨架。</x:v>
      </x:c>
      <x:c r="Y241" s="20" t="str">
        <x:v>这类问题至少需要完成：RN03影响、RN04责任、RN07反馈。</x:v>
      </x:c>
      <x:c r="Z24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1" s="20" t="str">
        <x:v>中高</x:v>
      </x:c>
      <x:c r="AB241" s="20" t="str">
        <x:v>待验证</x:v>
      </x:c>
      <x:c r="AC241" s="20" t="str"/>
      <x:c r="AD241" s="20" t="str">
        <x:v>provisional=true；M3-REPAIR尚未完成，完成条件为暂定功能模型。</x:v>
      </x:c>
      <x:c r="AE241" s="52" t="str">
        <x:v>0.7</x:v>
      </x:c>
    </x:row>
    <x:row r="242">
      <x:c r="A242" s="51" t="str">
        <x:v>M4-REPAIR-241</x:v>
      </x:c>
      <x:c r="B242" s="20" t="str">
        <x:v>RI04 情绪受伤与影响未被看见｜条件节点</x:v>
      </x:c>
      <x:c r="C242" s="20" t="str">
        <x:v>L4 事件类型与最低修复节点</x:v>
      </x:c>
      <x:c r="D242" s="20" t="str">
        <x:v>REPAIR-事件类型</x:v>
      </x:c>
      <x:c r="E242" s="20" t="str">
        <x:v>通用</x:v>
      </x:c>
      <x:c r="F242" s="20" t="str">
        <x:v>路由</x:v>
      </x:c>
      <x:c r="G242" s="20" t="str">
        <x:v>RI04</x:v>
      </x:c>
      <x:c r="H242" s="20" t="str"/>
      <x:c r="I242" s="20" t="str">
        <x:v>视事件影响加入：RN02事实、RN05需要、RN06补救、RN08持续。</x:v>
      </x:c>
      <x:c r="J242" s="20" t="str">
        <x:v>把条件节点当成所有事件必需。</x:v>
      </x:c>
      <x:c r="K242" s="20" t="str">
        <x:v>由共享基础引擎提供；仅修正修复功能的承载、持续与压力占位，不直接等同是否愿意认错或能否修复。</x:v>
      </x:c>
      <x:c r="L242" s="20" t="str">
        <x:v>由M1／M2提供；夫妻星只说明伴侣原型与关系资格，不单独证明修复能力、修复意愿或修复结果。</x:v>
      </x:c>
      <x:c r="M242" s="20" t="str">
        <x:v>由M3-BASE提供；日支底盘说明亲密关系中自然调用的功能，但不能单独证明修复闭环。</x:v>
      </x:c>
      <x:c r="N242" s="20" t="str">
        <x:v>由M3-CONFLICT、M4-LOOP及现实事件提供；必须区分问题停止、责任承担、影响确认、行动改变、反馈整合与后续回访。</x:v>
      </x:c>
      <x:c r="O242" s="20" t="str">
        <x:v>由共享基础引擎判定；近位提高相关功能进入亲密关系核心的概率，远位只作背景或阶段修正。</x:v>
      </x:c>
      <x:c r="P242" s="20" t="str">
        <x:v>根气只修正某修复功能是否容易重复调用，不等于现实中已经持续改变。</x:v>
      </x:c>
      <x:c r="Q242" s="20" t="str">
        <x:v>旺弱只修正功能调用强度与占位，不直接等同修复质量、诚意或关系结果。</x:v>
      </x:c>
      <x:c r="R242" s="20" t="str">
        <x:v>喜忌只修正功能摩擦、平衡与承载，不直接等同道德、成熟、善恶或是否值得原谅。</x:v>
      </x:c>
      <x:c r="S242" s="20" t="str">
        <x:v>原十神功能有效；真合化成立时按化神功能替换，合化争议时停止定性。</x:v>
      </x:c>
      <x:c r="T242" s="20" t="str">
        <x:v>近位提高修复议题与亲密关系的直接相关性；远位仅保留背景、阶段或低置信修正。</x:v>
      </x:c>
      <x:c r="U242" s="20" t="str">
        <x:v>72</x:v>
      </x:c>
      <x:c r="V242" s="20" t="str">
        <x:v>满足最低节点＋6；缺关键节点则降级</x:v>
      </x:c>
      <x:c r="W242" s="20" t="str">
        <x:v>repair_issue_type</x:v>
      </x:c>
      <x:c r="X242" s="20" t="str">
        <x:v>不同严重度与影响范围需要不同节点组合。</x:v>
      </x:c>
      <x:c r="Y242" s="20" t="str">
        <x:v>根据实际影响，还需要继续看：RN02事实、RN05需要、RN06补救、RN08持续。</x:v>
      </x:c>
      <x:c r="Z24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2" s="20" t="str">
        <x:v>中高</x:v>
      </x:c>
      <x:c r="AB242" s="20" t="str">
        <x:v>待验证</x:v>
      </x:c>
      <x:c r="AC242" s="20" t="str"/>
      <x:c r="AD242" s="20" t="str">
        <x:v>provisional=true；M3-REPAIR尚未完成，完成条件为暂定功能模型。</x:v>
      </x:c>
      <x:c r="AE242" s="52" t="str">
        <x:v>0.7</x:v>
      </x:c>
    </x:row>
    <x:row r="243">
      <x:c r="A243" s="51" t="str">
        <x:v>M4-REPAIR-242</x:v>
      </x:c>
      <x:c r="B243" s="20" t="str">
        <x:v>RI04 情绪受伤与影响未被看见｜常见假完成</x:v>
      </x:c>
      <x:c r="C243" s="20" t="str">
        <x:v>L4 事件类型与最低修复节点</x:v>
      </x:c>
      <x:c r="D243" s="20" t="str">
        <x:v>REPAIR-事件类型</x:v>
      </x:c>
      <x:c r="E243" s="20" t="str">
        <x:v>通用</x:v>
      </x:c>
      <x:c r="F243" s="20" t="str">
        <x:v>盲点</x:v>
      </x:c>
      <x:c r="G243" s="20" t="str">
        <x:v>RI04</x:v>
      </x:c>
      <x:c r="H243" s="20" t="str"/>
      <x:c r="I243" s="20" t="str">
        <x:v>出现：只解释意图或只让情绪平静。</x:v>
      </x:c>
      <x:c r="J243" s="20" t="str">
        <x:v>现实中最低节点已经完整且持续。</x:v>
      </x:c>
      <x:c r="K243" s="20" t="str">
        <x:v>由共享基础引擎提供；仅修正修复功能的承载、持续与压力占位，不直接等同是否愿意认错或能否修复。</x:v>
      </x:c>
      <x:c r="L243" s="20" t="str">
        <x:v>由M1／M2提供；夫妻星只说明伴侣原型与关系资格，不单独证明修复能力、修复意愿或修复结果。</x:v>
      </x:c>
      <x:c r="M243" s="20" t="str">
        <x:v>由M3-BASE提供；日支底盘说明亲密关系中自然调用的功能，但不能单独证明修复闭环。</x:v>
      </x:c>
      <x:c r="N243" s="20" t="str">
        <x:v>由M3-CONFLICT、M4-LOOP及现实事件提供；必须区分问题停止、责任承担、影响确认、行动改变、反馈整合与后续回访。</x:v>
      </x:c>
      <x:c r="O243" s="20" t="str">
        <x:v>由共享基础引擎判定；近位提高相关功能进入亲密关系核心的概率，远位只作背景或阶段修正。</x:v>
      </x:c>
      <x:c r="P243" s="20" t="str">
        <x:v>根气只修正某修复功能是否容易重复调用，不等于现实中已经持续改变。</x:v>
      </x:c>
      <x:c r="Q243" s="20" t="str">
        <x:v>旺弱只修正功能调用强度与占位，不直接等同修复质量、诚意或关系结果。</x:v>
      </x:c>
      <x:c r="R243" s="20" t="str">
        <x:v>喜忌只修正功能摩擦、平衡与承载，不直接等同道德、成熟、善恶或是否值得原谅。</x:v>
      </x:c>
      <x:c r="S243" s="20" t="str">
        <x:v>原十神功能有效；真合化成立时按化神功能替换，合化争议时停止定性。</x:v>
      </x:c>
      <x:c r="T243" s="20" t="str">
        <x:v>近位提高修复议题与亲密关系的直接相关性；远位仅保留背景、阶段或低置信修正。</x:v>
      </x:c>
      <x:c r="U243" s="20" t="str">
        <x:v>72</x:v>
      </x:c>
      <x:c r="V243" s="20" t="str">
        <x:v>满足最低节点＋6；缺关键节点则降级</x:v>
      </x:c>
      <x:c r="W243" s="20" t="str">
        <x:v>repair_issue_type</x:v>
      </x:c>
      <x:c r="X243" s="20" t="str">
        <x:v>假完成说明一个熟悉动作替代了事件真正需要的任务。</x:v>
      </x:c>
      <x:c r="Y243" s="20" t="str">
        <x:v>常见卡点是：只解释意图或只让情绪平静。</x:v>
      </x:c>
      <x:c r="Z24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3" s="20" t="str">
        <x:v>中高</x:v>
      </x:c>
      <x:c r="AB243" s="20" t="str">
        <x:v>待验证</x:v>
      </x:c>
      <x:c r="AC243" s="20" t="str"/>
      <x:c r="AD243" s="20" t="str">
        <x:v>provisional=true；M3-REPAIR尚未完成，完成条件为暂定功能模型。</x:v>
      </x:c>
      <x:c r="AE243" s="52" t="str">
        <x:v>0.7</x:v>
      </x:c>
    </x:row>
    <x:row r="244">
      <x:c r="A244" s="51" t="str">
        <x:v>M4-REPAIR-243</x:v>
      </x:c>
      <x:c r="B244" s="20" t="str">
        <x:v>RI04 情绪受伤与影响未被看见｜证据与升级</x:v>
      </x:c>
      <x:c r="C244" s="20" t="str">
        <x:v>L4 事件类型与最低修复节点</x:v>
      </x:c>
      <x:c r="D244" s="20" t="str">
        <x:v>REPAIR-事件类型</x:v>
      </x:c>
      <x:c r="E244" s="20" t="str">
        <x:v>通用</x:v>
      </x:c>
      <x:c r="F244" s="20" t="str">
        <x:v>证据</x:v>
      </x:c>
      <x:c r="G244" s="20" t="str">
        <x:v>RI04</x:v>
      </x:c>
      <x:c r="H244" s="20" t="str"/>
      <x:c r="I244" s="20" t="str">
        <x:v>有具体事件、接收方反馈和后续行动资料。</x:v>
      </x:c>
      <x:c r="J244" s="20" t="str">
        <x:v>只有抽象概括或命盘结构。</x:v>
      </x:c>
      <x:c r="K244" s="20" t="str">
        <x:v>由共享基础引擎提供；仅修正修复功能的承载、持续与压力占位，不直接等同是否愿意认错或能否修复。</x:v>
      </x:c>
      <x:c r="L244" s="20" t="str">
        <x:v>由M1／M2提供；夫妻星只说明伴侣原型与关系资格，不单独证明修复能力、修复意愿或修复结果。</x:v>
      </x:c>
      <x:c r="M244" s="20" t="str">
        <x:v>由M3-BASE提供；日支底盘说明亲密关系中自然调用的功能，但不能单独证明修复闭环。</x:v>
      </x:c>
      <x:c r="N244" s="20" t="str">
        <x:v>由M3-CONFLICT、M4-LOOP及现实事件提供；必须区分问题停止、责任承担、影响确认、行动改变、反馈整合与后续回访。</x:v>
      </x:c>
      <x:c r="O244" s="20" t="str">
        <x:v>由共享基础引擎判定；近位提高相关功能进入亲密关系核心的概率，远位只作背景或阶段修正。</x:v>
      </x:c>
      <x:c r="P244" s="20" t="str">
        <x:v>根气只修正某修复功能是否容易重复调用，不等于现实中已经持续改变。</x:v>
      </x:c>
      <x:c r="Q244" s="20" t="str">
        <x:v>旺弱只修正功能调用强度与占位，不直接等同修复质量、诚意或关系结果。</x:v>
      </x:c>
      <x:c r="R244" s="20" t="str">
        <x:v>喜忌只修正功能摩擦、平衡与承载，不直接等同道德、成熟、善恶或是否值得原谅。</x:v>
      </x:c>
      <x:c r="S244" s="20" t="str">
        <x:v>原十神功能有效；真合化成立时按化神功能替换，合化争议时停止定性。</x:v>
      </x:c>
      <x:c r="T244" s="20" t="str">
        <x:v>近位提高修复议题与亲密关系的直接相关性；远位仅保留背景、阶段或低置信修正。</x:v>
      </x:c>
      <x:c r="U244" s="20" t="str">
        <x:v>72</x:v>
      </x:c>
      <x:c r="V244" s="20" t="str">
        <x:v>满足最低节点＋6；缺关键节点则降级</x:v>
      </x:c>
      <x:c r="W244" s="20" t="str">
        <x:v>repair_issue_type</x:v>
      </x:c>
      <x:c r="X244" s="20" t="str">
        <x:v>事件类型与节点必须由现实资料支持。</x:v>
      </x:c>
      <x:c r="Y244" s="20" t="str">
        <x:v>需要用具体事件确认这些步骤是否真正发生。</x:v>
      </x:c>
      <x:c r="Z24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4" s="20" t="str">
        <x:v>中高</x:v>
      </x:c>
      <x:c r="AB244" s="20" t="str">
        <x:v>待验证</x:v>
      </x:c>
      <x:c r="AC244" s="20" t="str"/>
      <x:c r="AD244" s="20" t="str">
        <x:v>provisional=true；M3-REPAIR尚未完成，完成条件为暂定功能模型。</x:v>
      </x:c>
      <x:c r="AE244" s="52" t="str">
        <x:v>0.7</x:v>
      </x:c>
    </x:row>
    <x:row r="245">
      <x:c r="A245" s="51" t="str">
        <x:v>M4-REPAIR-244</x:v>
      </x:c>
      <x:c r="B245" s="20" t="str">
        <x:v>RI04 情绪受伤与影响未被看见｜用户输出与边界</x:v>
      </x:c>
      <x:c r="C245" s="20" t="str">
        <x:v>L4 事件类型与最低修复节点</x:v>
      </x:c>
      <x:c r="D245" s="20" t="str">
        <x:v>REPAIR-事件类型</x:v>
      </x:c>
      <x:c r="E245" s="20" t="str">
        <x:v>通用</x:v>
      </x:c>
      <x:c r="F245" s="20" t="str">
        <x:v>输出</x:v>
      </x:c>
      <x:c r="G245" s="20" t="str">
        <x:v>RI04</x:v>
      </x:c>
      <x:c r="H245" s="20" t="str"/>
      <x:c r="I245" s="20" t="str">
        <x:v>完成现实安全、反例和节点检查。</x:v>
      </x:c>
      <x:c r="J245" s="20" t="str">
        <x:v>安全风险被普通修复语言淡化。</x:v>
      </x:c>
      <x:c r="K245" s="20" t="str">
        <x:v>由共享基础引擎提供；仅修正修复功能的承载、持续与压力占位，不直接等同是否愿意认错或能否修复。</x:v>
      </x:c>
      <x:c r="L245" s="20" t="str">
        <x:v>由M1／M2提供；夫妻星只说明伴侣原型与关系资格，不单独证明修复能力、修复意愿或修复结果。</x:v>
      </x:c>
      <x:c r="M245" s="20" t="str">
        <x:v>由M3-BASE提供；日支底盘说明亲密关系中自然调用的功能，但不能单独证明修复闭环。</x:v>
      </x:c>
      <x:c r="N245" s="20" t="str">
        <x:v>由M3-CONFLICT、M4-LOOP及现实事件提供；必须区分问题停止、责任承担、影响确认、行动改变、反馈整合与后续回访。</x:v>
      </x:c>
      <x:c r="O245" s="20" t="str">
        <x:v>由共享基础引擎判定；近位提高相关功能进入亲密关系核心的概率，远位只作背景或阶段修正。</x:v>
      </x:c>
      <x:c r="P245" s="20" t="str">
        <x:v>根气只修正某修复功能是否容易重复调用，不等于现实中已经持续改变。</x:v>
      </x:c>
      <x:c r="Q245" s="20" t="str">
        <x:v>旺弱只修正功能调用强度与占位，不直接等同修复质量、诚意或关系结果。</x:v>
      </x:c>
      <x:c r="R245" s="20" t="str">
        <x:v>喜忌只修正功能摩擦、平衡与承载，不直接等同道德、成熟、善恶或是否值得原谅。</x:v>
      </x:c>
      <x:c r="S245" s="20" t="str">
        <x:v>原十神功能有效；真合化成立时按化神功能替换，合化争议时停止定性。</x:v>
      </x:c>
      <x:c r="T245" s="20" t="str">
        <x:v>近位提高修复议题与亲密关系的直接相关性；远位仅保留背景、阶段或低置信修正。</x:v>
      </x:c>
      <x:c r="U245" s="20" t="str">
        <x:v>90</x:v>
      </x:c>
      <x:c r="V245" s="20" t="str">
        <x:v>满足最低节点＋6；缺关键节点则降级</x:v>
      </x:c>
      <x:c r="W245" s="20" t="str">
        <x:v>repair_issue_type</x:v>
      </x:c>
      <x:c r="X245" s="20" t="str">
        <x:v>输出强调最低任务，不要求原谅或复合。</x:v>
      </x:c>
      <x:c r="Y245" s="20" t="str">
        <x:v>重点不是证明自己没有恶意，而是承认实际影响，并让对方参与决定怎样修复。</x:v>
      </x:c>
      <x:c r="Z24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5" s="20" t="str">
        <x:v>中高</x:v>
      </x:c>
      <x:c r="AB245" s="20" t="str">
        <x:v>待验证</x:v>
      </x:c>
      <x:c r="AC245" s="20" t="str"/>
      <x:c r="AD245" s="20" t="str">
        <x:v>provisional=true；M3-REPAIR尚未完成，完成条件为暂定功能模型。</x:v>
      </x:c>
      <x:c r="AE245" s="52" t="str">
        <x:v>0.7</x:v>
      </x:c>
    </x:row>
    <x:row r="246">
      <x:c r="A246" s="51" t="str">
        <x:v>M4-REPAIR-245</x:v>
      </x:c>
      <x:c r="B246" s="20" t="str">
        <x:v>RI05 边界、权限与决定权越界｜事件定义</x:v>
      </x:c>
      <x:c r="C246" s="20" t="str">
        <x:v>L4 事件类型与最低修复节点</x:v>
      </x:c>
      <x:c r="D246" s="20" t="str">
        <x:v>REPAIR-事件类型</x:v>
      </x:c>
      <x:c r="E246" s="20" t="str">
        <x:v>通用</x:v>
      </x:c>
      <x:c r="F246" s="20" t="str">
        <x:v>定义</x:v>
      </x:c>
      <x:c r="G246" s="20" t="str">
        <x:v>RI05</x:v>
      </x:c>
      <x:c r="H246" s="20" t="str"/>
      <x:c r="I246" s="20" t="str">
        <x:v>一方未经协商替另一方决定、侵犯隐私、限制选择或越过明确边界。</x:v>
      </x:c>
      <x:c r="J246" s="20" t="str">
        <x:v>事件类型不清或多个类型混在一起。</x:v>
      </x:c>
      <x:c r="K246" s="20" t="str">
        <x:v>由共享基础引擎提供；仅修正修复功能的承载、持续与压力占位，不直接等同是否愿意认错或能否修复。</x:v>
      </x:c>
      <x:c r="L246" s="20" t="str">
        <x:v>由M1／M2提供；夫妻星只说明伴侣原型与关系资格，不单独证明修复能力、修复意愿或修复结果。</x:v>
      </x:c>
      <x:c r="M246" s="20" t="str">
        <x:v>由M3-BASE提供；日支底盘说明亲密关系中自然调用的功能，但不能单独证明修复闭环。</x:v>
      </x:c>
      <x:c r="N246" s="20" t="str">
        <x:v>由M3-CONFLICT、M4-LOOP及现实事件提供；必须区分问题停止、责任承担、影响确认、行动改变、反馈整合与后续回访。</x:v>
      </x:c>
      <x:c r="O246" s="20" t="str">
        <x:v>由共享基础引擎判定；近位提高相关功能进入亲密关系核心的概率，远位只作背景或阶段修正。</x:v>
      </x:c>
      <x:c r="P246" s="20" t="str">
        <x:v>根气只修正某修复功能是否容易重复调用，不等于现实中已经持续改变。</x:v>
      </x:c>
      <x:c r="Q246" s="20" t="str">
        <x:v>旺弱只修正功能调用强度与占位，不直接等同修复质量、诚意或关系结果。</x:v>
      </x:c>
      <x:c r="R246" s="20" t="str">
        <x:v>喜忌只修正功能摩擦、平衡与承载，不直接等同道德、成熟、善恶或是否值得原谅。</x:v>
      </x:c>
      <x:c r="S246" s="20" t="str">
        <x:v>原十神功能有效；真合化成立时按化神功能替换，合化争议时停止定性。</x:v>
      </x:c>
      <x:c r="T246" s="20" t="str">
        <x:v>近位提高修复议题与亲密关系的直接相关性；远位仅保留背景、阶段或低置信修正。</x:v>
      </x:c>
      <x:c r="U246" s="20" t="str">
        <x:v>72</x:v>
      </x:c>
      <x:c r="V246" s="20" t="str">
        <x:v>满足最低节点＋6；缺关键节点则降级</x:v>
      </x:c>
      <x:c r="W246" s="20" t="str">
        <x:v>repair_issue_type</x:v>
      </x:c>
      <x:c r="X246" s="20" t="str">
        <x:v>事件类型决定最低必要节点，避免用同一修复清单处理所有问题。</x:v>
      </x:c>
      <x:c r="Y246" s="20" t="str">
        <x:v>这类事件首先需要确认它影响的是信息、责任、现实安排、情绪、边界还是安全。</x:v>
      </x:c>
      <x:c r="Z24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6" s="20" t="str">
        <x:v>中高</x:v>
      </x:c>
      <x:c r="AB246" s="20" t="str">
        <x:v>待验证</x:v>
      </x:c>
      <x:c r="AC246" s="20" t="str"/>
      <x:c r="AD246" s="20" t="str">
        <x:v>provisional=true；M3-REPAIR尚未完成，完成条件为暂定功能模型。</x:v>
      </x:c>
      <x:c r="AE246" s="52" t="str">
        <x:v>0.7</x:v>
      </x:c>
    </x:row>
    <x:row r="247">
      <x:c r="A247" s="51" t="str">
        <x:v>M4-REPAIR-246</x:v>
      </x:c>
      <x:c r="B247" s="20" t="str">
        <x:v>RI05 边界、权限与决定权越界｜最低必要节点</x:v>
      </x:c>
      <x:c r="C247" s="20" t="str">
        <x:v>L4 事件类型与最低修复节点</x:v>
      </x:c>
      <x:c r="D247" s="20" t="str">
        <x:v>REPAIR-事件类型</x:v>
      </x:c>
      <x:c r="E247" s="20" t="str">
        <x:v>通用</x:v>
      </x:c>
      <x:c r="F247" s="20" t="str">
        <x:v>门槛</x:v>
      </x:c>
      <x:c r="G247" s="20" t="str">
        <x:v>RI05</x:v>
      </x:c>
      <x:c r="H247" s="20" t="str"/>
      <x:c r="I247" s="20" t="str">
        <x:v>最低节点：RN01停止、RN03影响、RN04责任、RN05边界、RN06改变、RN08持续。</x:v>
      </x:c>
      <x:c r="J247" s="20" t="str">
        <x:v>最低节点未出现却发布修复闭环。</x:v>
      </x:c>
      <x:c r="K247" s="20" t="str">
        <x:v>由共享基础引擎提供；仅修正修复功能的承载、持续与压力占位，不直接等同是否愿意认错或能否修复。</x:v>
      </x:c>
      <x:c r="L247" s="20" t="str">
        <x:v>由M1／M2提供；夫妻星只说明伴侣原型与关系资格，不单独证明修复能力、修复意愿或修复结果。</x:v>
      </x:c>
      <x:c r="M247" s="20" t="str">
        <x:v>由M3-BASE提供；日支底盘说明亲密关系中自然调用的功能，但不能单独证明修复闭环。</x:v>
      </x:c>
      <x:c r="N247" s="20" t="str">
        <x:v>由M3-CONFLICT、M4-LOOP及现实事件提供；必须区分问题停止、责任承担、影响确认、行动改变、反馈整合与后续回访。</x:v>
      </x:c>
      <x:c r="O247" s="20" t="str">
        <x:v>由共享基础引擎判定；近位提高相关功能进入亲密关系核心的概率，远位只作背景或阶段修正。</x:v>
      </x:c>
      <x:c r="P247" s="20" t="str">
        <x:v>根气只修正某修复功能是否容易重复调用，不等于现实中已经持续改变。</x:v>
      </x:c>
      <x:c r="Q247" s="20" t="str">
        <x:v>旺弱只修正功能调用强度与占位，不直接等同修复质量、诚意或关系结果。</x:v>
      </x:c>
      <x:c r="R247" s="20" t="str">
        <x:v>喜忌只修正功能摩擦、平衡与承载，不直接等同道德、成熟、善恶或是否值得原谅。</x:v>
      </x:c>
      <x:c r="S247" s="20" t="str">
        <x:v>原十神功能有效；真合化成立时按化神功能替换，合化争议时停止定性。</x:v>
      </x:c>
      <x:c r="T247" s="20" t="str">
        <x:v>近位提高修复议题与亲密关系的直接相关性；远位仅保留背景、阶段或低置信修正。</x:v>
      </x:c>
      <x:c r="U247" s="20" t="str">
        <x:v>90</x:v>
      </x:c>
      <x:c r="V247" s="20" t="str">
        <x:v>满足最低节点＋6；缺关键节点则降级</x:v>
      </x:c>
      <x:c r="W247" s="20" t="str">
        <x:v>repair_issue_type</x:v>
      </x:c>
      <x:c r="X247" s="20" t="str">
        <x:v>最低节点是此类事件的修复骨架。</x:v>
      </x:c>
      <x:c r="Y247" s="20" t="str">
        <x:v>这类问题至少需要完成：RN01停止、RN03影响、RN04责任、RN05边界、RN06改变、RN08持续。</x:v>
      </x:c>
      <x:c r="Z24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7" s="20" t="str">
        <x:v>中高</x:v>
      </x:c>
      <x:c r="AB247" s="20" t="str">
        <x:v>待验证</x:v>
      </x:c>
      <x:c r="AC247" s="20" t="str"/>
      <x:c r="AD247" s="20" t="str">
        <x:v>provisional=true；M3-REPAIR尚未完成，完成条件为暂定功能模型。</x:v>
      </x:c>
      <x:c r="AE247" s="52" t="str">
        <x:v>0.7</x:v>
      </x:c>
    </x:row>
    <x:row r="248">
      <x:c r="A248" s="51" t="str">
        <x:v>M4-REPAIR-247</x:v>
      </x:c>
      <x:c r="B248" s="20" t="str">
        <x:v>RI05 边界、权限与决定权越界｜条件节点</x:v>
      </x:c>
      <x:c r="C248" s="20" t="str">
        <x:v>L4 事件类型与最低修复节点</x:v>
      </x:c>
      <x:c r="D248" s="20" t="str">
        <x:v>REPAIR-事件类型</x:v>
      </x:c>
      <x:c r="E248" s="20" t="str">
        <x:v>通用</x:v>
      </x:c>
      <x:c r="F248" s="20" t="str">
        <x:v>路由</x:v>
      </x:c>
      <x:c r="G248" s="20" t="str">
        <x:v>RI05</x:v>
      </x:c>
      <x:c r="H248" s="20" t="str"/>
      <x:c r="I248" s="20" t="str">
        <x:v>视事件影响加入：RN02事实、RN07反馈；严重情境进入安全门控。</x:v>
      </x:c>
      <x:c r="J248" s="20" t="str">
        <x:v>把条件节点当成所有事件必需。</x:v>
      </x:c>
      <x:c r="K248" s="20" t="str">
        <x:v>由共享基础引擎提供；仅修正修复功能的承载、持续与压力占位，不直接等同是否愿意认错或能否修复。</x:v>
      </x:c>
      <x:c r="L248" s="20" t="str">
        <x:v>由M1／M2提供；夫妻星只说明伴侣原型与关系资格，不单独证明修复能力、修复意愿或修复结果。</x:v>
      </x:c>
      <x:c r="M248" s="20" t="str">
        <x:v>由M3-BASE提供；日支底盘说明亲密关系中自然调用的功能，但不能单独证明修复闭环。</x:v>
      </x:c>
      <x:c r="N248" s="20" t="str">
        <x:v>由M3-CONFLICT、M4-LOOP及现实事件提供；必须区分问题停止、责任承担、影响确认、行动改变、反馈整合与后续回访。</x:v>
      </x:c>
      <x:c r="O248" s="20" t="str">
        <x:v>由共享基础引擎判定；近位提高相关功能进入亲密关系核心的概率，远位只作背景或阶段修正。</x:v>
      </x:c>
      <x:c r="P248" s="20" t="str">
        <x:v>根气只修正某修复功能是否容易重复调用，不等于现实中已经持续改变。</x:v>
      </x:c>
      <x:c r="Q248" s="20" t="str">
        <x:v>旺弱只修正功能调用强度与占位，不直接等同修复质量、诚意或关系结果。</x:v>
      </x:c>
      <x:c r="R248" s="20" t="str">
        <x:v>喜忌只修正功能摩擦、平衡与承载，不直接等同道德、成熟、善恶或是否值得原谅。</x:v>
      </x:c>
      <x:c r="S248" s="20" t="str">
        <x:v>原十神功能有效；真合化成立时按化神功能替换，合化争议时停止定性。</x:v>
      </x:c>
      <x:c r="T248" s="20" t="str">
        <x:v>近位提高修复议题与亲密关系的直接相关性；远位仅保留背景、阶段或低置信修正。</x:v>
      </x:c>
      <x:c r="U248" s="20" t="str">
        <x:v>72</x:v>
      </x:c>
      <x:c r="V248" s="20" t="str">
        <x:v>满足最低节点＋6；缺关键节点则降级</x:v>
      </x:c>
      <x:c r="W248" s="20" t="str">
        <x:v>repair_issue_type</x:v>
      </x:c>
      <x:c r="X248" s="20" t="str">
        <x:v>不同严重度与影响范围需要不同节点组合。</x:v>
      </x:c>
      <x:c r="Y248" s="20" t="str">
        <x:v>根据实际影响，还需要继续看：RN02事实、RN07反馈；严重情境进入安全门控。</x:v>
      </x:c>
      <x:c r="Z24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8" s="20" t="str">
        <x:v>中高</x:v>
      </x:c>
      <x:c r="AB248" s="20" t="str">
        <x:v>待验证</x:v>
      </x:c>
      <x:c r="AC248" s="20" t="str"/>
      <x:c r="AD248" s="20" t="str">
        <x:v>provisional=true；M3-REPAIR尚未完成，完成条件为暂定功能模型。</x:v>
      </x:c>
      <x:c r="AE248" s="52" t="str">
        <x:v>0.7</x:v>
      </x:c>
    </x:row>
    <x:row r="249">
      <x:c r="A249" s="51" t="str">
        <x:v>M4-REPAIR-248</x:v>
      </x:c>
      <x:c r="B249" s="20" t="str">
        <x:v>RI05 边界、权限与决定权越界｜常见假完成</x:v>
      </x:c>
      <x:c r="C249" s="20" t="str">
        <x:v>L4 事件类型与最低修复节点</x:v>
      </x:c>
      <x:c r="D249" s="20" t="str">
        <x:v>REPAIR-事件类型</x:v>
      </x:c>
      <x:c r="E249" s="20" t="str">
        <x:v>通用</x:v>
      </x:c>
      <x:c r="F249" s="20" t="str">
        <x:v>盲点</x:v>
      </x:c>
      <x:c r="G249" s="20" t="str">
        <x:v>RI05</x:v>
      </x:c>
      <x:c r="H249" s="20" t="str"/>
      <x:c r="I249" s="20" t="str">
        <x:v>出现：只说以后注意，却没有恢复决定权和持续改变。</x:v>
      </x:c>
      <x:c r="J249" s="20" t="str">
        <x:v>现实中最低节点已经完整且持续。</x:v>
      </x:c>
      <x:c r="K249" s="20" t="str">
        <x:v>由共享基础引擎提供；仅修正修复功能的承载、持续与压力占位，不直接等同是否愿意认错或能否修复。</x:v>
      </x:c>
      <x:c r="L249" s="20" t="str">
        <x:v>由M1／M2提供；夫妻星只说明伴侣原型与关系资格，不单独证明修复能力、修复意愿或修复结果。</x:v>
      </x:c>
      <x:c r="M249" s="20" t="str">
        <x:v>由M3-BASE提供；日支底盘说明亲密关系中自然调用的功能，但不能单独证明修复闭环。</x:v>
      </x:c>
      <x:c r="N249" s="20" t="str">
        <x:v>由M3-CONFLICT、M4-LOOP及现实事件提供；必须区分问题停止、责任承担、影响确认、行动改变、反馈整合与后续回访。</x:v>
      </x:c>
      <x:c r="O249" s="20" t="str">
        <x:v>由共享基础引擎判定；近位提高相关功能进入亲密关系核心的概率，远位只作背景或阶段修正。</x:v>
      </x:c>
      <x:c r="P249" s="20" t="str">
        <x:v>根气只修正某修复功能是否容易重复调用，不等于现实中已经持续改变。</x:v>
      </x:c>
      <x:c r="Q249" s="20" t="str">
        <x:v>旺弱只修正功能调用强度与占位，不直接等同修复质量、诚意或关系结果。</x:v>
      </x:c>
      <x:c r="R249" s="20" t="str">
        <x:v>喜忌只修正功能摩擦、平衡与承载，不直接等同道德、成熟、善恶或是否值得原谅。</x:v>
      </x:c>
      <x:c r="S249" s="20" t="str">
        <x:v>原十神功能有效；真合化成立时按化神功能替换，合化争议时停止定性。</x:v>
      </x:c>
      <x:c r="T249" s="20" t="str">
        <x:v>近位提高修复议题与亲密关系的直接相关性；远位仅保留背景、阶段或低置信修正。</x:v>
      </x:c>
      <x:c r="U249" s="20" t="str">
        <x:v>72</x:v>
      </x:c>
      <x:c r="V249" s="20" t="str">
        <x:v>满足最低节点＋6；缺关键节点则降级</x:v>
      </x:c>
      <x:c r="W249" s="20" t="str">
        <x:v>repair_issue_type</x:v>
      </x:c>
      <x:c r="X249" s="20" t="str">
        <x:v>假完成说明一个熟悉动作替代了事件真正需要的任务。</x:v>
      </x:c>
      <x:c r="Y249" s="20" t="str">
        <x:v>常见卡点是：只说以后注意，却没有恢复决定权和持续改变。</x:v>
      </x:c>
      <x:c r="Z24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49" s="20" t="str">
        <x:v>中高</x:v>
      </x:c>
      <x:c r="AB249" s="20" t="str">
        <x:v>待验证</x:v>
      </x:c>
      <x:c r="AC249" s="20" t="str"/>
      <x:c r="AD249" s="20" t="str">
        <x:v>provisional=true；M3-REPAIR尚未完成，完成条件为暂定功能模型。</x:v>
      </x:c>
      <x:c r="AE249" s="52" t="str">
        <x:v>0.7</x:v>
      </x:c>
    </x:row>
    <x:row r="250">
      <x:c r="A250" s="51" t="str">
        <x:v>M4-REPAIR-249</x:v>
      </x:c>
      <x:c r="B250" s="20" t="str">
        <x:v>RI05 边界、权限与决定权越界｜证据与升级</x:v>
      </x:c>
      <x:c r="C250" s="20" t="str">
        <x:v>L4 事件类型与最低修复节点</x:v>
      </x:c>
      <x:c r="D250" s="20" t="str">
        <x:v>REPAIR-事件类型</x:v>
      </x:c>
      <x:c r="E250" s="20" t="str">
        <x:v>通用</x:v>
      </x:c>
      <x:c r="F250" s="20" t="str">
        <x:v>证据</x:v>
      </x:c>
      <x:c r="G250" s="20" t="str">
        <x:v>RI05</x:v>
      </x:c>
      <x:c r="H250" s="20" t="str"/>
      <x:c r="I250" s="20" t="str">
        <x:v>有具体事件、接收方反馈和后续行动资料。</x:v>
      </x:c>
      <x:c r="J250" s="20" t="str">
        <x:v>只有抽象概括或命盘结构。</x:v>
      </x:c>
      <x:c r="K250" s="20" t="str">
        <x:v>由共享基础引擎提供；仅修正修复功能的承载、持续与压力占位，不直接等同是否愿意认错或能否修复。</x:v>
      </x:c>
      <x:c r="L250" s="20" t="str">
        <x:v>由M1／M2提供；夫妻星只说明伴侣原型与关系资格，不单独证明修复能力、修复意愿或修复结果。</x:v>
      </x:c>
      <x:c r="M250" s="20" t="str">
        <x:v>由M3-BASE提供；日支底盘说明亲密关系中自然调用的功能，但不能单独证明修复闭环。</x:v>
      </x:c>
      <x:c r="N250" s="20" t="str">
        <x:v>由M3-CONFLICT、M4-LOOP及现实事件提供；必须区分问题停止、责任承担、影响确认、行动改变、反馈整合与后续回访。</x:v>
      </x:c>
      <x:c r="O250" s="20" t="str">
        <x:v>由共享基础引擎判定；近位提高相关功能进入亲密关系核心的概率，远位只作背景或阶段修正。</x:v>
      </x:c>
      <x:c r="P250" s="20" t="str">
        <x:v>根气只修正某修复功能是否容易重复调用，不等于现实中已经持续改变。</x:v>
      </x:c>
      <x:c r="Q250" s="20" t="str">
        <x:v>旺弱只修正功能调用强度与占位，不直接等同修复质量、诚意或关系结果。</x:v>
      </x:c>
      <x:c r="R250" s="20" t="str">
        <x:v>喜忌只修正功能摩擦、平衡与承载，不直接等同道德、成熟、善恶或是否值得原谅。</x:v>
      </x:c>
      <x:c r="S250" s="20" t="str">
        <x:v>原十神功能有效；真合化成立时按化神功能替换，合化争议时停止定性。</x:v>
      </x:c>
      <x:c r="T250" s="20" t="str">
        <x:v>近位提高修复议题与亲密关系的直接相关性；远位仅保留背景、阶段或低置信修正。</x:v>
      </x:c>
      <x:c r="U250" s="20" t="str">
        <x:v>72</x:v>
      </x:c>
      <x:c r="V250" s="20" t="str">
        <x:v>满足最低节点＋6；缺关键节点则降级</x:v>
      </x:c>
      <x:c r="W250" s="20" t="str">
        <x:v>repair_issue_type</x:v>
      </x:c>
      <x:c r="X250" s="20" t="str">
        <x:v>事件类型与节点必须由现实资料支持。</x:v>
      </x:c>
      <x:c r="Y250" s="20" t="str">
        <x:v>需要用具体事件确认这些步骤是否真正发生。</x:v>
      </x:c>
      <x:c r="Z25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0" s="20" t="str">
        <x:v>中高</x:v>
      </x:c>
      <x:c r="AB250" s="20" t="str">
        <x:v>待验证</x:v>
      </x:c>
      <x:c r="AC250" s="20" t="str"/>
      <x:c r="AD250" s="20" t="str">
        <x:v>provisional=true；M3-REPAIR尚未完成，完成条件为暂定功能模型。</x:v>
      </x:c>
      <x:c r="AE250" s="52" t="str">
        <x:v>0.7</x:v>
      </x:c>
    </x:row>
    <x:row r="251">
      <x:c r="A251" s="51" t="str">
        <x:v>M4-REPAIR-250</x:v>
      </x:c>
      <x:c r="B251" s="20" t="str">
        <x:v>RI05 边界、权限与决定权越界｜用户输出与边界</x:v>
      </x:c>
      <x:c r="C251" s="20" t="str">
        <x:v>L4 事件类型与最低修复节点</x:v>
      </x:c>
      <x:c r="D251" s="20" t="str">
        <x:v>REPAIR-事件类型</x:v>
      </x:c>
      <x:c r="E251" s="20" t="str">
        <x:v>通用</x:v>
      </x:c>
      <x:c r="F251" s="20" t="str">
        <x:v>输出</x:v>
      </x:c>
      <x:c r="G251" s="20" t="str">
        <x:v>RI05</x:v>
      </x:c>
      <x:c r="H251" s="20" t="str"/>
      <x:c r="I251" s="20" t="str">
        <x:v>完成现实安全、反例和节点检查。</x:v>
      </x:c>
      <x:c r="J251" s="20" t="str">
        <x:v>安全风险被普通修复语言淡化。</x:v>
      </x:c>
      <x:c r="K251" s="20" t="str">
        <x:v>由共享基础引擎提供；仅修正修复功能的承载、持续与压力占位，不直接等同是否愿意认错或能否修复。</x:v>
      </x:c>
      <x:c r="L251" s="20" t="str">
        <x:v>由M1／M2提供；夫妻星只说明伴侣原型与关系资格，不单独证明修复能力、修复意愿或修复结果。</x:v>
      </x:c>
      <x:c r="M251" s="20" t="str">
        <x:v>由M3-BASE提供；日支底盘说明亲密关系中自然调用的功能，但不能单独证明修复闭环。</x:v>
      </x:c>
      <x:c r="N251" s="20" t="str">
        <x:v>由M3-CONFLICT、M4-LOOP及现实事件提供；必须区分问题停止、责任承担、影响确认、行动改变、反馈整合与后续回访。</x:v>
      </x:c>
      <x:c r="O251" s="20" t="str">
        <x:v>由共享基础引擎判定；近位提高相关功能进入亲密关系核心的概率，远位只作背景或阶段修正。</x:v>
      </x:c>
      <x:c r="P251" s="20" t="str">
        <x:v>根气只修正某修复功能是否容易重复调用，不等于现实中已经持续改变。</x:v>
      </x:c>
      <x:c r="Q251" s="20" t="str">
        <x:v>旺弱只修正功能调用强度与占位，不直接等同修复质量、诚意或关系结果。</x:v>
      </x:c>
      <x:c r="R251" s="20" t="str">
        <x:v>喜忌只修正功能摩擦、平衡与承载，不直接等同道德、成熟、善恶或是否值得原谅。</x:v>
      </x:c>
      <x:c r="S251" s="20" t="str">
        <x:v>原十神功能有效；真合化成立时按化神功能替换，合化争议时停止定性。</x:v>
      </x:c>
      <x:c r="T251" s="20" t="str">
        <x:v>近位提高修复议题与亲密关系的直接相关性；远位仅保留背景、阶段或低置信修正。</x:v>
      </x:c>
      <x:c r="U251" s="20" t="str">
        <x:v>90</x:v>
      </x:c>
      <x:c r="V251" s="20" t="str">
        <x:v>满足最低节点＋6；缺关键节点则降级</x:v>
      </x:c>
      <x:c r="W251" s="20" t="str">
        <x:v>repair_issue_type</x:v>
      </x:c>
      <x:c r="X251" s="20" t="str">
        <x:v>输出强调最低任务，不要求原谅或复合。</x:v>
      </x:c>
      <x:c r="Y251" s="20" t="str">
        <x:v>边界类修复要先停止越界、恢复选择权，再通过持续行为证明边界会被尊重。</x:v>
      </x:c>
      <x:c r="Z25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1" s="20" t="str">
        <x:v>中高</x:v>
      </x:c>
      <x:c r="AB251" s="20" t="str">
        <x:v>待验证</x:v>
      </x:c>
      <x:c r="AC251" s="20" t="str"/>
      <x:c r="AD251" s="20" t="str">
        <x:v>provisional=true；M3-REPAIR尚未完成，完成条件为暂定功能模型。</x:v>
      </x:c>
      <x:c r="AE251" s="52" t="str">
        <x:v>0.7</x:v>
      </x:c>
    </x:row>
    <x:row r="252">
      <x:c r="A252" s="51" t="str">
        <x:v>M4-REPAIR-251</x:v>
      </x:c>
      <x:c r="B252" s="20" t="str">
        <x:v>RI06 亲密距离与连接中断｜事件定义</x:v>
      </x:c>
      <x:c r="C252" s="20" t="str">
        <x:v>L4 事件类型与最低修复节点</x:v>
      </x:c>
      <x:c r="D252" s="20" t="str">
        <x:v>REPAIR-事件类型</x:v>
      </x:c>
      <x:c r="E252" s="20" t="str">
        <x:v>通用</x:v>
      </x:c>
      <x:c r="F252" s="20" t="str">
        <x:v>定义</x:v>
      </x:c>
      <x:c r="G252" s="20" t="str">
        <x:v>RI06</x:v>
      </x:c>
      <x:c r="H252" s="20" t="str"/>
      <x:c r="I252" s="20" t="str">
        <x:v>靠近、撤回、联系、空间或依赖节奏造成关系中断。</x:v>
      </x:c>
      <x:c r="J252" s="20" t="str">
        <x:v>事件类型不清或多个类型混在一起。</x:v>
      </x:c>
      <x:c r="K252" s="20" t="str">
        <x:v>由共享基础引擎提供；仅修正修复功能的承载、持续与压力占位，不直接等同是否愿意认错或能否修复。</x:v>
      </x:c>
      <x:c r="L252" s="20" t="str">
        <x:v>由M1／M2提供；夫妻星只说明伴侣原型与关系资格，不单独证明修复能力、修复意愿或修复结果。</x:v>
      </x:c>
      <x:c r="M252" s="20" t="str">
        <x:v>由M3-BASE提供；日支底盘说明亲密关系中自然调用的功能，但不能单独证明修复闭环。</x:v>
      </x:c>
      <x:c r="N252" s="20" t="str">
        <x:v>由M3-CONFLICT、M4-LOOP及现实事件提供；必须区分问题停止、责任承担、影响确认、行动改变、反馈整合与后续回访。</x:v>
      </x:c>
      <x:c r="O252" s="20" t="str">
        <x:v>由共享基础引擎判定；近位提高相关功能进入亲密关系核心的概率，远位只作背景或阶段修正。</x:v>
      </x:c>
      <x:c r="P252" s="20" t="str">
        <x:v>根气只修正某修复功能是否容易重复调用，不等于现实中已经持续改变。</x:v>
      </x:c>
      <x:c r="Q252" s="20" t="str">
        <x:v>旺弱只修正功能调用强度与占位，不直接等同修复质量、诚意或关系结果。</x:v>
      </x:c>
      <x:c r="R252" s="20" t="str">
        <x:v>喜忌只修正功能摩擦、平衡与承载，不直接等同道德、成熟、善恶或是否值得原谅。</x:v>
      </x:c>
      <x:c r="S252" s="20" t="str">
        <x:v>原十神功能有效；真合化成立时按化神功能替换，合化争议时停止定性。</x:v>
      </x:c>
      <x:c r="T252" s="20" t="str">
        <x:v>近位提高修复议题与亲密关系的直接相关性；远位仅保留背景、阶段或低置信修正。</x:v>
      </x:c>
      <x:c r="U252" s="20" t="str">
        <x:v>72</x:v>
      </x:c>
      <x:c r="V252" s="20" t="str">
        <x:v>满足最低节点＋6；缺关键节点则降级</x:v>
      </x:c>
      <x:c r="W252" s="20" t="str">
        <x:v>repair_issue_type</x:v>
      </x:c>
      <x:c r="X252" s="20" t="str">
        <x:v>事件类型决定最低必要节点，避免用同一修复清单处理所有问题。</x:v>
      </x:c>
      <x:c r="Y252" s="20" t="str">
        <x:v>这类事件首先需要确认它影响的是信息、责任、现实安排、情绪、边界还是安全。</x:v>
      </x:c>
      <x:c r="Z25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2" s="20" t="str">
        <x:v>中高</x:v>
      </x:c>
      <x:c r="AB252" s="20" t="str">
        <x:v>待验证</x:v>
      </x:c>
      <x:c r="AC252" s="20" t="str"/>
      <x:c r="AD252" s="20" t="str">
        <x:v>provisional=true；M3-REPAIR尚未完成，完成条件为暂定功能模型。</x:v>
      </x:c>
      <x:c r="AE252" s="52" t="str">
        <x:v>0.7</x:v>
      </x:c>
    </x:row>
    <x:row r="253">
      <x:c r="A253" s="51" t="str">
        <x:v>M4-REPAIR-252</x:v>
      </x:c>
      <x:c r="B253" s="20" t="str">
        <x:v>RI06 亲密距离与连接中断｜最低必要节点</x:v>
      </x:c>
      <x:c r="C253" s="20" t="str">
        <x:v>L4 事件类型与最低修复节点</x:v>
      </x:c>
      <x:c r="D253" s="20" t="str">
        <x:v>REPAIR-事件类型</x:v>
      </x:c>
      <x:c r="E253" s="20" t="str">
        <x:v>通用</x:v>
      </x:c>
      <x:c r="F253" s="20" t="str">
        <x:v>门槛</x:v>
      </x:c>
      <x:c r="G253" s="20" t="str">
        <x:v>RI06</x:v>
      </x:c>
      <x:c r="H253" s="20" t="str"/>
      <x:c r="I253" s="20" t="str">
        <x:v>最低节点：RN03影响、RN05空间协议、RN07反馈、RN08回归。</x:v>
      </x:c>
      <x:c r="J253" s="20" t="str">
        <x:v>最低节点未出现却发布修复闭环。</x:v>
      </x:c>
      <x:c r="K253" s="20" t="str">
        <x:v>由共享基础引擎提供；仅修正修复功能的承载、持续与压力占位，不直接等同是否愿意认错或能否修复。</x:v>
      </x:c>
      <x:c r="L253" s="20" t="str">
        <x:v>由M1／M2提供；夫妻星只说明伴侣原型与关系资格，不单独证明修复能力、修复意愿或修复结果。</x:v>
      </x:c>
      <x:c r="M253" s="20" t="str">
        <x:v>由M3-BASE提供；日支底盘说明亲密关系中自然调用的功能，但不能单独证明修复闭环。</x:v>
      </x:c>
      <x:c r="N253" s="20" t="str">
        <x:v>由M3-CONFLICT、M4-LOOP及现实事件提供；必须区分问题停止、责任承担、影响确认、行动改变、反馈整合与后续回访。</x:v>
      </x:c>
      <x:c r="O253" s="20" t="str">
        <x:v>由共享基础引擎判定；近位提高相关功能进入亲密关系核心的概率，远位只作背景或阶段修正。</x:v>
      </x:c>
      <x:c r="P253" s="20" t="str">
        <x:v>根气只修正某修复功能是否容易重复调用，不等于现实中已经持续改变。</x:v>
      </x:c>
      <x:c r="Q253" s="20" t="str">
        <x:v>旺弱只修正功能调用强度与占位，不直接等同修复质量、诚意或关系结果。</x:v>
      </x:c>
      <x:c r="R253" s="20" t="str">
        <x:v>喜忌只修正功能摩擦、平衡与承载，不直接等同道德、成熟、善恶或是否值得原谅。</x:v>
      </x:c>
      <x:c r="S253" s="20" t="str">
        <x:v>原十神功能有效；真合化成立时按化神功能替换，合化争议时停止定性。</x:v>
      </x:c>
      <x:c r="T253" s="20" t="str">
        <x:v>近位提高修复议题与亲密关系的直接相关性；远位仅保留背景、阶段或低置信修正。</x:v>
      </x:c>
      <x:c r="U253" s="20" t="str">
        <x:v>90</x:v>
      </x:c>
      <x:c r="V253" s="20" t="str">
        <x:v>满足最低节点＋6；缺关键节点则降级</x:v>
      </x:c>
      <x:c r="W253" s="20" t="str">
        <x:v>repair_issue_type</x:v>
      </x:c>
      <x:c r="X253" s="20" t="str">
        <x:v>最低节点是此类事件的修复骨架。</x:v>
      </x:c>
      <x:c r="Y253" s="20" t="str">
        <x:v>这类问题至少需要完成：RN03影响、RN05空间协议、RN07反馈、RN08回归。</x:v>
      </x:c>
      <x:c r="Z25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3" s="20" t="str">
        <x:v>中高</x:v>
      </x:c>
      <x:c r="AB253" s="20" t="str">
        <x:v>待验证</x:v>
      </x:c>
      <x:c r="AC253" s="20" t="str"/>
      <x:c r="AD253" s="20" t="str">
        <x:v>provisional=true；M3-REPAIR尚未完成，完成条件为暂定功能模型。</x:v>
      </x:c>
      <x:c r="AE253" s="52" t="str">
        <x:v>0.7</x:v>
      </x:c>
    </x:row>
    <x:row r="254">
      <x:c r="A254" s="51" t="str">
        <x:v>M4-REPAIR-253</x:v>
      </x:c>
      <x:c r="B254" s="20" t="str">
        <x:v>RI06 亲密距离与连接中断｜条件节点</x:v>
      </x:c>
      <x:c r="C254" s="20" t="str">
        <x:v>L4 事件类型与最低修复节点</x:v>
      </x:c>
      <x:c r="D254" s="20" t="str">
        <x:v>REPAIR-事件类型</x:v>
      </x:c>
      <x:c r="E254" s="20" t="str">
        <x:v>通用</x:v>
      </x:c>
      <x:c r="F254" s="20" t="str">
        <x:v>路由</x:v>
      </x:c>
      <x:c r="G254" s="20" t="str">
        <x:v>RI06</x:v>
      </x:c>
      <x:c r="H254" s="20" t="str"/>
      <x:c r="I254" s="20" t="str">
        <x:v>视事件影响加入：RN02事实、RN06最低连接安排。</x:v>
      </x:c>
      <x:c r="J254" s="20" t="str">
        <x:v>把条件节点当成所有事件必需。</x:v>
      </x:c>
      <x:c r="K254" s="20" t="str">
        <x:v>由共享基础引擎提供；仅修正修复功能的承载、持续与压力占位，不直接等同是否愿意认错或能否修复。</x:v>
      </x:c>
      <x:c r="L254" s="20" t="str">
        <x:v>由M1／M2提供；夫妻星只说明伴侣原型与关系资格，不单独证明修复能力、修复意愿或修复结果。</x:v>
      </x:c>
      <x:c r="M254" s="20" t="str">
        <x:v>由M3-BASE提供；日支底盘说明亲密关系中自然调用的功能，但不能单独证明修复闭环。</x:v>
      </x:c>
      <x:c r="N254" s="20" t="str">
        <x:v>由M3-CONFLICT、M4-LOOP及现实事件提供；必须区分问题停止、责任承担、影响确认、行动改变、反馈整合与后续回访。</x:v>
      </x:c>
      <x:c r="O254" s="20" t="str">
        <x:v>由共享基础引擎判定；近位提高相关功能进入亲密关系核心的概率，远位只作背景或阶段修正。</x:v>
      </x:c>
      <x:c r="P254" s="20" t="str">
        <x:v>根气只修正某修复功能是否容易重复调用，不等于现实中已经持续改变。</x:v>
      </x:c>
      <x:c r="Q254" s="20" t="str">
        <x:v>旺弱只修正功能调用强度与占位，不直接等同修复质量、诚意或关系结果。</x:v>
      </x:c>
      <x:c r="R254" s="20" t="str">
        <x:v>喜忌只修正功能摩擦、平衡与承载，不直接等同道德、成熟、善恶或是否值得原谅。</x:v>
      </x:c>
      <x:c r="S254" s="20" t="str">
        <x:v>原十神功能有效；真合化成立时按化神功能替换，合化争议时停止定性。</x:v>
      </x:c>
      <x:c r="T254" s="20" t="str">
        <x:v>近位提高修复议题与亲密关系的直接相关性；远位仅保留背景、阶段或低置信修正。</x:v>
      </x:c>
      <x:c r="U254" s="20" t="str">
        <x:v>72</x:v>
      </x:c>
      <x:c r="V254" s="20" t="str">
        <x:v>满足最低节点＋6；缺关键节点则降级</x:v>
      </x:c>
      <x:c r="W254" s="20" t="str">
        <x:v>repair_issue_type</x:v>
      </x:c>
      <x:c r="X254" s="20" t="str">
        <x:v>不同严重度与影响范围需要不同节点组合。</x:v>
      </x:c>
      <x:c r="Y254" s="20" t="str">
        <x:v>根据实际影响，还需要继续看：RN02事实、RN06最低连接安排。</x:v>
      </x:c>
      <x:c r="Z25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4" s="20" t="str">
        <x:v>中高</x:v>
      </x:c>
      <x:c r="AB254" s="20" t="str">
        <x:v>待验证</x:v>
      </x:c>
      <x:c r="AC254" s="20" t="str"/>
      <x:c r="AD254" s="20" t="str">
        <x:v>provisional=true；M3-REPAIR尚未完成，完成条件为暂定功能模型。</x:v>
      </x:c>
      <x:c r="AE254" s="52" t="str">
        <x:v>0.7</x:v>
      </x:c>
    </x:row>
    <x:row r="255">
      <x:c r="A255" s="51" t="str">
        <x:v>M4-REPAIR-254</x:v>
      </x:c>
      <x:c r="B255" s="20" t="str">
        <x:v>RI06 亲密距离与连接中断｜常见假完成</x:v>
      </x:c>
      <x:c r="C255" s="20" t="str">
        <x:v>L4 事件类型与最低修复节点</x:v>
      </x:c>
      <x:c r="D255" s="20" t="str">
        <x:v>REPAIR-事件类型</x:v>
      </x:c>
      <x:c r="E255" s="20" t="str">
        <x:v>通用</x:v>
      </x:c>
      <x:c r="F255" s="20" t="str">
        <x:v>盲点</x:v>
      </x:c>
      <x:c r="G255" s="20" t="str">
        <x:v>RI06</x:v>
      </x:c>
      <x:c r="H255" s="20" t="str"/>
      <x:c r="I255" s="20" t="str">
        <x:v>出现：只说需要空间或只要求立即靠近，没有回归协议。</x:v>
      </x:c>
      <x:c r="J255" s="20" t="str">
        <x:v>现实中最低节点已经完整且持续。</x:v>
      </x:c>
      <x:c r="K255" s="20" t="str">
        <x:v>由共享基础引擎提供；仅修正修复功能的承载、持续与压力占位，不直接等同是否愿意认错或能否修复。</x:v>
      </x:c>
      <x:c r="L255" s="20" t="str">
        <x:v>由M1／M2提供；夫妻星只说明伴侣原型与关系资格，不单独证明修复能力、修复意愿或修复结果。</x:v>
      </x:c>
      <x:c r="M255" s="20" t="str">
        <x:v>由M3-BASE提供；日支底盘说明亲密关系中自然调用的功能，但不能单独证明修复闭环。</x:v>
      </x:c>
      <x:c r="N255" s="20" t="str">
        <x:v>由M3-CONFLICT、M4-LOOP及现实事件提供；必须区分问题停止、责任承担、影响确认、行动改变、反馈整合与后续回访。</x:v>
      </x:c>
      <x:c r="O255" s="20" t="str">
        <x:v>由共享基础引擎判定；近位提高相关功能进入亲密关系核心的概率，远位只作背景或阶段修正。</x:v>
      </x:c>
      <x:c r="P255" s="20" t="str">
        <x:v>根气只修正某修复功能是否容易重复调用，不等于现实中已经持续改变。</x:v>
      </x:c>
      <x:c r="Q255" s="20" t="str">
        <x:v>旺弱只修正功能调用强度与占位，不直接等同修复质量、诚意或关系结果。</x:v>
      </x:c>
      <x:c r="R255" s="20" t="str">
        <x:v>喜忌只修正功能摩擦、平衡与承载，不直接等同道德、成熟、善恶或是否值得原谅。</x:v>
      </x:c>
      <x:c r="S255" s="20" t="str">
        <x:v>原十神功能有效；真合化成立时按化神功能替换，合化争议时停止定性。</x:v>
      </x:c>
      <x:c r="T255" s="20" t="str">
        <x:v>近位提高修复议题与亲密关系的直接相关性；远位仅保留背景、阶段或低置信修正。</x:v>
      </x:c>
      <x:c r="U255" s="20" t="str">
        <x:v>72</x:v>
      </x:c>
      <x:c r="V255" s="20" t="str">
        <x:v>满足最低节点＋6；缺关键节点则降级</x:v>
      </x:c>
      <x:c r="W255" s="20" t="str">
        <x:v>repair_issue_type</x:v>
      </x:c>
      <x:c r="X255" s="20" t="str">
        <x:v>假完成说明一个熟悉动作替代了事件真正需要的任务。</x:v>
      </x:c>
      <x:c r="Y255" s="20" t="str">
        <x:v>常见卡点是：只说需要空间或只要求立即靠近，没有回归协议。</x:v>
      </x:c>
      <x:c r="Z25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5" s="20" t="str">
        <x:v>中高</x:v>
      </x:c>
      <x:c r="AB255" s="20" t="str">
        <x:v>待验证</x:v>
      </x:c>
      <x:c r="AC255" s="20" t="str"/>
      <x:c r="AD255" s="20" t="str">
        <x:v>provisional=true；M3-REPAIR尚未完成，完成条件为暂定功能模型。</x:v>
      </x:c>
      <x:c r="AE255" s="52" t="str">
        <x:v>0.7</x:v>
      </x:c>
    </x:row>
    <x:row r="256">
      <x:c r="A256" s="51" t="str">
        <x:v>M4-REPAIR-255</x:v>
      </x:c>
      <x:c r="B256" s="20" t="str">
        <x:v>RI06 亲密距离与连接中断｜证据与升级</x:v>
      </x:c>
      <x:c r="C256" s="20" t="str">
        <x:v>L4 事件类型与最低修复节点</x:v>
      </x:c>
      <x:c r="D256" s="20" t="str">
        <x:v>REPAIR-事件类型</x:v>
      </x:c>
      <x:c r="E256" s="20" t="str">
        <x:v>通用</x:v>
      </x:c>
      <x:c r="F256" s="20" t="str">
        <x:v>证据</x:v>
      </x:c>
      <x:c r="G256" s="20" t="str">
        <x:v>RI06</x:v>
      </x:c>
      <x:c r="H256" s="20" t="str"/>
      <x:c r="I256" s="20" t="str">
        <x:v>有具体事件、接收方反馈和后续行动资料。</x:v>
      </x:c>
      <x:c r="J256" s="20" t="str">
        <x:v>只有抽象概括或命盘结构。</x:v>
      </x:c>
      <x:c r="K256" s="20" t="str">
        <x:v>由共享基础引擎提供；仅修正修复功能的承载、持续与压力占位，不直接等同是否愿意认错或能否修复。</x:v>
      </x:c>
      <x:c r="L256" s="20" t="str">
        <x:v>由M1／M2提供；夫妻星只说明伴侣原型与关系资格，不单独证明修复能力、修复意愿或修复结果。</x:v>
      </x:c>
      <x:c r="M256" s="20" t="str">
        <x:v>由M3-BASE提供；日支底盘说明亲密关系中自然调用的功能，但不能单独证明修复闭环。</x:v>
      </x:c>
      <x:c r="N256" s="20" t="str">
        <x:v>由M3-CONFLICT、M4-LOOP及现实事件提供；必须区分问题停止、责任承担、影响确认、行动改变、反馈整合与后续回访。</x:v>
      </x:c>
      <x:c r="O256" s="20" t="str">
        <x:v>由共享基础引擎判定；近位提高相关功能进入亲密关系核心的概率，远位只作背景或阶段修正。</x:v>
      </x:c>
      <x:c r="P256" s="20" t="str">
        <x:v>根气只修正某修复功能是否容易重复调用，不等于现实中已经持续改变。</x:v>
      </x:c>
      <x:c r="Q256" s="20" t="str">
        <x:v>旺弱只修正功能调用强度与占位，不直接等同修复质量、诚意或关系结果。</x:v>
      </x:c>
      <x:c r="R256" s="20" t="str">
        <x:v>喜忌只修正功能摩擦、平衡与承载，不直接等同道德、成熟、善恶或是否值得原谅。</x:v>
      </x:c>
      <x:c r="S256" s="20" t="str">
        <x:v>原十神功能有效；真合化成立时按化神功能替换，合化争议时停止定性。</x:v>
      </x:c>
      <x:c r="T256" s="20" t="str">
        <x:v>近位提高修复议题与亲密关系的直接相关性；远位仅保留背景、阶段或低置信修正。</x:v>
      </x:c>
      <x:c r="U256" s="20" t="str">
        <x:v>72</x:v>
      </x:c>
      <x:c r="V256" s="20" t="str">
        <x:v>满足最低节点＋6；缺关键节点则降级</x:v>
      </x:c>
      <x:c r="W256" s="20" t="str">
        <x:v>repair_issue_type</x:v>
      </x:c>
      <x:c r="X256" s="20" t="str">
        <x:v>事件类型与节点必须由现实资料支持。</x:v>
      </x:c>
      <x:c r="Y256" s="20" t="str">
        <x:v>需要用具体事件确认这些步骤是否真正发生。</x:v>
      </x:c>
      <x:c r="Z25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6" s="20" t="str">
        <x:v>中高</x:v>
      </x:c>
      <x:c r="AB256" s="20" t="str">
        <x:v>待验证</x:v>
      </x:c>
      <x:c r="AC256" s="20" t="str"/>
      <x:c r="AD256" s="20" t="str">
        <x:v>provisional=true；M3-REPAIR尚未完成，完成条件为暂定功能模型。</x:v>
      </x:c>
      <x:c r="AE256" s="52" t="str">
        <x:v>0.7</x:v>
      </x:c>
    </x:row>
    <x:row r="257">
      <x:c r="A257" s="51" t="str">
        <x:v>M4-REPAIR-256</x:v>
      </x:c>
      <x:c r="B257" s="20" t="str">
        <x:v>RI06 亲密距离与连接中断｜用户输出与边界</x:v>
      </x:c>
      <x:c r="C257" s="20" t="str">
        <x:v>L4 事件类型与最低修复节点</x:v>
      </x:c>
      <x:c r="D257" s="20" t="str">
        <x:v>REPAIR-事件类型</x:v>
      </x:c>
      <x:c r="E257" s="20" t="str">
        <x:v>通用</x:v>
      </x:c>
      <x:c r="F257" s="20" t="str">
        <x:v>输出</x:v>
      </x:c>
      <x:c r="G257" s="20" t="str">
        <x:v>RI06</x:v>
      </x:c>
      <x:c r="H257" s="20" t="str"/>
      <x:c r="I257" s="20" t="str">
        <x:v>完成现实安全、反例和节点检查。</x:v>
      </x:c>
      <x:c r="J257" s="20" t="str">
        <x:v>安全风险被普通修复语言淡化。</x:v>
      </x:c>
      <x:c r="K257" s="20" t="str">
        <x:v>由共享基础引擎提供；仅修正修复功能的承载、持续与压力占位，不直接等同是否愿意认错或能否修复。</x:v>
      </x:c>
      <x:c r="L257" s="20" t="str">
        <x:v>由M1／M2提供；夫妻星只说明伴侣原型与关系资格，不单独证明修复能力、修复意愿或修复结果。</x:v>
      </x:c>
      <x:c r="M257" s="20" t="str">
        <x:v>由M3-BASE提供；日支底盘说明亲密关系中自然调用的功能，但不能单独证明修复闭环。</x:v>
      </x:c>
      <x:c r="N257" s="20" t="str">
        <x:v>由M3-CONFLICT、M4-LOOP及现实事件提供；必须区分问题停止、责任承担、影响确认、行动改变、反馈整合与后续回访。</x:v>
      </x:c>
      <x:c r="O257" s="20" t="str">
        <x:v>由共享基础引擎判定；近位提高相关功能进入亲密关系核心的概率，远位只作背景或阶段修正。</x:v>
      </x:c>
      <x:c r="P257" s="20" t="str">
        <x:v>根气只修正某修复功能是否容易重复调用，不等于现实中已经持续改变。</x:v>
      </x:c>
      <x:c r="Q257" s="20" t="str">
        <x:v>旺弱只修正功能调用强度与占位，不直接等同修复质量、诚意或关系结果。</x:v>
      </x:c>
      <x:c r="R257" s="20" t="str">
        <x:v>喜忌只修正功能摩擦、平衡与承载，不直接等同道德、成熟、善恶或是否值得原谅。</x:v>
      </x:c>
      <x:c r="S257" s="20" t="str">
        <x:v>原十神功能有效；真合化成立时按化神功能替换，合化争议时停止定性。</x:v>
      </x:c>
      <x:c r="T257" s="20" t="str">
        <x:v>近位提高修复议题与亲密关系的直接相关性；远位仅保留背景、阶段或低置信修正。</x:v>
      </x:c>
      <x:c r="U257" s="20" t="str">
        <x:v>90</x:v>
      </x:c>
      <x:c r="V257" s="20" t="str">
        <x:v>满足最低节点＋6；缺关键节点则降级</x:v>
      </x:c>
      <x:c r="W257" s="20" t="str">
        <x:v>repair_issue_type</x:v>
      </x:c>
      <x:c r="X257" s="20" t="str">
        <x:v>输出强调最低任务，不要求原谅或复合。</x:v>
      </x:c>
      <x:c r="Y257" s="20" t="str">
        <x:v>空间和连接需要被具体协商：暂停多久、最低联系是什么、怎样重新回来。</x:v>
      </x:c>
      <x:c r="Z25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7" s="20" t="str">
        <x:v>中高</x:v>
      </x:c>
      <x:c r="AB257" s="20" t="str">
        <x:v>待验证</x:v>
      </x:c>
      <x:c r="AC257" s="20" t="str"/>
      <x:c r="AD257" s="20" t="str">
        <x:v>provisional=true；M3-REPAIR尚未完成，完成条件为暂定功能模型。</x:v>
      </x:c>
      <x:c r="AE257" s="52" t="str">
        <x:v>0.7</x:v>
      </x:c>
    </x:row>
    <x:row r="258">
      <x:c r="A258" s="51" t="str">
        <x:v>M4-REPAIR-257</x:v>
      </x:c>
      <x:c r="B258" s="20" t="str">
        <x:v>RI07 重复循环复发｜事件定义</x:v>
      </x:c>
      <x:c r="C258" s="20" t="str">
        <x:v>L4 事件类型与最低修复节点</x:v>
      </x:c>
      <x:c r="D258" s="20" t="str">
        <x:v>REPAIR-事件类型</x:v>
      </x:c>
      <x:c r="E258" s="20" t="str">
        <x:v>通用</x:v>
      </x:c>
      <x:c r="F258" s="20" t="str">
        <x:v>定义</x:v>
      </x:c>
      <x:c r="G258" s="20" t="str">
        <x:v>RI07</x:v>
      </x:c>
      <x:c r="H258" s="20" t="str"/>
      <x:c r="I258" s="20" t="str">
        <x:v>相似触发—反应—反馈顺序再次出现，原修复未阻止复发。</x:v>
      </x:c>
      <x:c r="J258" s="20" t="str">
        <x:v>事件类型不清或多个类型混在一起。</x:v>
      </x:c>
      <x:c r="K258" s="20" t="str">
        <x:v>由共享基础引擎提供；仅修正修复功能的承载、持续与压力占位，不直接等同是否愿意认错或能否修复。</x:v>
      </x:c>
      <x:c r="L258" s="20" t="str">
        <x:v>由M1／M2提供；夫妻星只说明伴侣原型与关系资格，不单独证明修复能力、修复意愿或修复结果。</x:v>
      </x:c>
      <x:c r="M258" s="20" t="str">
        <x:v>由M3-BASE提供；日支底盘说明亲密关系中自然调用的功能，但不能单独证明修复闭环。</x:v>
      </x:c>
      <x:c r="N258" s="20" t="str">
        <x:v>由M3-CONFLICT、M4-LOOP及现实事件提供；必须区分问题停止、责任承担、影响确认、行动改变、反馈整合与后续回访。</x:v>
      </x:c>
      <x:c r="O258" s="20" t="str">
        <x:v>由共享基础引擎判定；近位提高相关功能进入亲密关系核心的概率，远位只作背景或阶段修正。</x:v>
      </x:c>
      <x:c r="P258" s="20" t="str">
        <x:v>根气只修正某修复功能是否容易重复调用，不等于现实中已经持续改变。</x:v>
      </x:c>
      <x:c r="Q258" s="20" t="str">
        <x:v>旺弱只修正功能调用强度与占位，不直接等同修复质量、诚意或关系结果。</x:v>
      </x:c>
      <x:c r="R258" s="20" t="str">
        <x:v>喜忌只修正功能摩擦、平衡与承载，不直接等同道德、成熟、善恶或是否值得原谅。</x:v>
      </x:c>
      <x:c r="S258" s="20" t="str">
        <x:v>原十神功能有效；真合化成立时按化神功能替换，合化争议时停止定性。</x:v>
      </x:c>
      <x:c r="T258" s="20" t="str">
        <x:v>近位提高修复议题与亲密关系的直接相关性；远位仅保留背景、阶段或低置信修正。</x:v>
      </x:c>
      <x:c r="U258" s="20" t="str">
        <x:v>72</x:v>
      </x:c>
      <x:c r="V258" s="20" t="str">
        <x:v>满足最低节点＋6；缺关键节点则降级</x:v>
      </x:c>
      <x:c r="W258" s="20" t="str">
        <x:v>repair_issue_type</x:v>
      </x:c>
      <x:c r="X258" s="20" t="str">
        <x:v>事件类型决定最低必要节点，避免用同一修复清单处理所有问题。</x:v>
      </x:c>
      <x:c r="Y258" s="20" t="str">
        <x:v>这类事件首先需要确认它影响的是信息、责任、现实安排、情绪、边界还是安全。</x:v>
      </x:c>
      <x:c r="Z25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8" s="20" t="str">
        <x:v>中高</x:v>
      </x:c>
      <x:c r="AB258" s="20" t="str">
        <x:v>待验证</x:v>
      </x:c>
      <x:c r="AC258" s="20" t="str"/>
      <x:c r="AD258" s="20" t="str">
        <x:v>provisional=true；M3-REPAIR尚未完成，完成条件为暂定功能模型。</x:v>
      </x:c>
      <x:c r="AE258" s="52" t="str">
        <x:v>0.7</x:v>
      </x:c>
    </x:row>
    <x:row r="259">
      <x:c r="A259" s="51" t="str">
        <x:v>M4-REPAIR-258</x:v>
      </x:c>
      <x:c r="B259" s="20" t="str">
        <x:v>RI07 重复循环复发｜最低必要节点</x:v>
      </x:c>
      <x:c r="C259" s="20" t="str">
        <x:v>L4 事件类型与最低修复节点</x:v>
      </x:c>
      <x:c r="D259" s="20" t="str">
        <x:v>REPAIR-事件类型</x:v>
      </x:c>
      <x:c r="E259" s="20" t="str">
        <x:v>通用</x:v>
      </x:c>
      <x:c r="F259" s="20" t="str">
        <x:v>门槛</x:v>
      </x:c>
      <x:c r="G259" s="20" t="str">
        <x:v>RI07</x:v>
      </x:c>
      <x:c r="H259" s="20" t="str"/>
      <x:c r="I259" s="20" t="str">
        <x:v>最低节点：RN02复盘、RN03影响、RN04责任、RN05重订、RN06改变、RN07反馈、RN08跟踪。</x:v>
      </x:c>
      <x:c r="J259" s="20" t="str">
        <x:v>最低节点未出现却发布修复闭环。</x:v>
      </x:c>
      <x:c r="K259" s="20" t="str">
        <x:v>由共享基础引擎提供；仅修正修复功能的承载、持续与压力占位，不直接等同是否愿意认错或能否修复。</x:v>
      </x:c>
      <x:c r="L259" s="20" t="str">
        <x:v>由M1／M2提供；夫妻星只说明伴侣原型与关系资格，不单独证明修复能力、修复意愿或修复结果。</x:v>
      </x:c>
      <x:c r="M259" s="20" t="str">
        <x:v>由M3-BASE提供；日支底盘说明亲密关系中自然调用的功能，但不能单独证明修复闭环。</x:v>
      </x:c>
      <x:c r="N259" s="20" t="str">
        <x:v>由M3-CONFLICT、M4-LOOP及现实事件提供；必须区分问题停止、责任承担、影响确认、行动改变、反馈整合与后续回访。</x:v>
      </x:c>
      <x:c r="O259" s="20" t="str">
        <x:v>由共享基础引擎判定；近位提高相关功能进入亲密关系核心的概率，远位只作背景或阶段修正。</x:v>
      </x:c>
      <x:c r="P259" s="20" t="str">
        <x:v>根气只修正某修复功能是否容易重复调用，不等于现实中已经持续改变。</x:v>
      </x:c>
      <x:c r="Q259" s="20" t="str">
        <x:v>旺弱只修正功能调用强度与占位，不直接等同修复质量、诚意或关系结果。</x:v>
      </x:c>
      <x:c r="R259" s="20" t="str">
        <x:v>喜忌只修正功能摩擦、平衡与承载，不直接等同道德、成熟、善恶或是否值得原谅。</x:v>
      </x:c>
      <x:c r="S259" s="20" t="str">
        <x:v>原十神功能有效；真合化成立时按化神功能替换，合化争议时停止定性。</x:v>
      </x:c>
      <x:c r="T259" s="20" t="str">
        <x:v>近位提高修复议题与亲密关系的直接相关性；远位仅保留背景、阶段或低置信修正。</x:v>
      </x:c>
      <x:c r="U259" s="20" t="str">
        <x:v>90</x:v>
      </x:c>
      <x:c r="V259" s="20" t="str">
        <x:v>满足最低节点＋6；缺关键节点则降级</x:v>
      </x:c>
      <x:c r="W259" s="20" t="str">
        <x:v>repair_issue_type</x:v>
      </x:c>
      <x:c r="X259" s="20" t="str">
        <x:v>最低节点是此类事件的修复骨架。</x:v>
      </x:c>
      <x:c r="Y259" s="20" t="str">
        <x:v>这类问题至少需要完成：RN02复盘、RN03影响、RN04责任、RN05重订、RN06改变、RN07反馈、RN08跟踪。</x:v>
      </x:c>
      <x:c r="Z25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59" s="20" t="str">
        <x:v>中高</x:v>
      </x:c>
      <x:c r="AB259" s="20" t="str">
        <x:v>待验证</x:v>
      </x:c>
      <x:c r="AC259" s="20" t="str"/>
      <x:c r="AD259" s="20" t="str">
        <x:v>provisional=true；M3-REPAIR尚未完成，完成条件为暂定功能模型。</x:v>
      </x:c>
      <x:c r="AE259" s="52" t="str">
        <x:v>0.7</x:v>
      </x:c>
    </x:row>
    <x:row r="260">
      <x:c r="A260" s="51" t="str">
        <x:v>M4-REPAIR-259</x:v>
      </x:c>
      <x:c r="B260" s="20" t="str">
        <x:v>RI07 重复循环复发｜条件节点</x:v>
      </x:c>
      <x:c r="C260" s="20" t="str">
        <x:v>L4 事件类型与最低修复节点</x:v>
      </x:c>
      <x:c r="D260" s="20" t="str">
        <x:v>REPAIR-事件类型</x:v>
      </x:c>
      <x:c r="E260" s="20" t="str">
        <x:v>通用</x:v>
      </x:c>
      <x:c r="F260" s="20" t="str">
        <x:v>路由</x:v>
      </x:c>
      <x:c r="G260" s="20" t="str">
        <x:v>RI07</x:v>
      </x:c>
      <x:c r="H260" s="20" t="str"/>
      <x:c r="I260" s="20" t="str">
        <x:v>视事件影响加入：RN01在升级时必要。</x:v>
      </x:c>
      <x:c r="J260" s="20" t="str">
        <x:v>把条件节点当成所有事件必需。</x:v>
      </x:c>
      <x:c r="K260" s="20" t="str">
        <x:v>由共享基础引擎提供；仅修正修复功能的承载、持续与压力占位，不直接等同是否愿意认错或能否修复。</x:v>
      </x:c>
      <x:c r="L260" s="20" t="str">
        <x:v>由M1／M2提供；夫妻星只说明伴侣原型与关系资格，不单独证明修复能力、修复意愿或修复结果。</x:v>
      </x:c>
      <x:c r="M260" s="20" t="str">
        <x:v>由M3-BASE提供；日支底盘说明亲密关系中自然调用的功能，但不能单独证明修复闭环。</x:v>
      </x:c>
      <x:c r="N260" s="20" t="str">
        <x:v>由M3-CONFLICT、M4-LOOP及现实事件提供；必须区分问题停止、责任承担、影响确认、行动改变、反馈整合与后续回访。</x:v>
      </x:c>
      <x:c r="O260" s="20" t="str">
        <x:v>由共享基础引擎判定；近位提高相关功能进入亲密关系核心的概率，远位只作背景或阶段修正。</x:v>
      </x:c>
      <x:c r="P260" s="20" t="str">
        <x:v>根气只修正某修复功能是否容易重复调用，不等于现实中已经持续改变。</x:v>
      </x:c>
      <x:c r="Q260" s="20" t="str">
        <x:v>旺弱只修正功能调用强度与占位，不直接等同修复质量、诚意或关系结果。</x:v>
      </x:c>
      <x:c r="R260" s="20" t="str">
        <x:v>喜忌只修正功能摩擦、平衡与承载，不直接等同道德、成熟、善恶或是否值得原谅。</x:v>
      </x:c>
      <x:c r="S260" s="20" t="str">
        <x:v>原十神功能有效；真合化成立时按化神功能替换，合化争议时停止定性。</x:v>
      </x:c>
      <x:c r="T260" s="20" t="str">
        <x:v>近位提高修复议题与亲密关系的直接相关性；远位仅保留背景、阶段或低置信修正。</x:v>
      </x:c>
      <x:c r="U260" s="20" t="str">
        <x:v>72</x:v>
      </x:c>
      <x:c r="V260" s="20" t="str">
        <x:v>满足最低节点＋6；缺关键节点则降级</x:v>
      </x:c>
      <x:c r="W260" s="20" t="str">
        <x:v>repair_issue_type</x:v>
      </x:c>
      <x:c r="X260" s="20" t="str">
        <x:v>不同严重度与影响范围需要不同节点组合。</x:v>
      </x:c>
      <x:c r="Y260" s="20" t="str">
        <x:v>根据实际影响，还需要继续看：RN01在升级时必要。</x:v>
      </x:c>
      <x:c r="Z26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0" s="20" t="str">
        <x:v>中高</x:v>
      </x:c>
      <x:c r="AB260" s="20" t="str">
        <x:v>待验证</x:v>
      </x:c>
      <x:c r="AC260" s="20" t="str"/>
      <x:c r="AD260" s="20" t="str">
        <x:v>provisional=true；M3-REPAIR尚未完成，完成条件为暂定功能模型。</x:v>
      </x:c>
      <x:c r="AE260" s="52" t="str">
        <x:v>0.7</x:v>
      </x:c>
    </x:row>
    <x:row r="261">
      <x:c r="A261" s="51" t="str">
        <x:v>M4-REPAIR-260</x:v>
      </x:c>
      <x:c r="B261" s="20" t="str">
        <x:v>RI07 重复循环复发｜常见假完成</x:v>
      </x:c>
      <x:c r="C261" s="20" t="str">
        <x:v>L4 事件类型与最低修复节点</x:v>
      </x:c>
      <x:c r="D261" s="20" t="str">
        <x:v>REPAIR-事件类型</x:v>
      </x:c>
      <x:c r="E261" s="20" t="str">
        <x:v>通用</x:v>
      </x:c>
      <x:c r="F261" s="20" t="str">
        <x:v>盲点</x:v>
      </x:c>
      <x:c r="G261" s="20" t="str">
        <x:v>RI07</x:v>
      </x:c>
      <x:c r="H261" s="20" t="str"/>
      <x:c r="I261" s="20" t="str">
        <x:v>出现：重复使用同一种道歉或补救，却不检查旧修复为何失效。</x:v>
      </x:c>
      <x:c r="J261" s="20" t="str">
        <x:v>现实中最低节点已经完整且持续。</x:v>
      </x:c>
      <x:c r="K261" s="20" t="str">
        <x:v>由共享基础引擎提供；仅修正修复功能的承载、持续与压力占位，不直接等同是否愿意认错或能否修复。</x:v>
      </x:c>
      <x:c r="L261" s="20" t="str">
        <x:v>由M1／M2提供；夫妻星只说明伴侣原型与关系资格，不单独证明修复能力、修复意愿或修复结果。</x:v>
      </x:c>
      <x:c r="M261" s="20" t="str">
        <x:v>由M3-BASE提供；日支底盘说明亲密关系中自然调用的功能，但不能单独证明修复闭环。</x:v>
      </x:c>
      <x:c r="N261" s="20" t="str">
        <x:v>由M3-CONFLICT、M4-LOOP及现实事件提供；必须区分问题停止、责任承担、影响确认、行动改变、反馈整合与后续回访。</x:v>
      </x:c>
      <x:c r="O261" s="20" t="str">
        <x:v>由共享基础引擎判定；近位提高相关功能进入亲密关系核心的概率，远位只作背景或阶段修正。</x:v>
      </x:c>
      <x:c r="P261" s="20" t="str">
        <x:v>根气只修正某修复功能是否容易重复调用，不等于现实中已经持续改变。</x:v>
      </x:c>
      <x:c r="Q261" s="20" t="str">
        <x:v>旺弱只修正功能调用强度与占位，不直接等同修复质量、诚意或关系结果。</x:v>
      </x:c>
      <x:c r="R261" s="20" t="str">
        <x:v>喜忌只修正功能摩擦、平衡与承载，不直接等同道德、成熟、善恶或是否值得原谅。</x:v>
      </x:c>
      <x:c r="S261" s="20" t="str">
        <x:v>原十神功能有效；真合化成立时按化神功能替换，合化争议时停止定性。</x:v>
      </x:c>
      <x:c r="T261" s="20" t="str">
        <x:v>近位提高修复议题与亲密关系的直接相关性；远位仅保留背景、阶段或低置信修正。</x:v>
      </x:c>
      <x:c r="U261" s="20" t="str">
        <x:v>72</x:v>
      </x:c>
      <x:c r="V261" s="20" t="str">
        <x:v>满足最低节点＋6；缺关键节点则降级</x:v>
      </x:c>
      <x:c r="W261" s="20" t="str">
        <x:v>repair_issue_type</x:v>
      </x:c>
      <x:c r="X261" s="20" t="str">
        <x:v>假完成说明一个熟悉动作替代了事件真正需要的任务。</x:v>
      </x:c>
      <x:c r="Y261" s="20" t="str">
        <x:v>常见卡点是：重复使用同一种道歉或补救，却不检查旧修复为何失效。</x:v>
      </x:c>
      <x:c r="Z26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1" s="20" t="str">
        <x:v>中高</x:v>
      </x:c>
      <x:c r="AB261" s="20" t="str">
        <x:v>待验证</x:v>
      </x:c>
      <x:c r="AC261" s="20" t="str"/>
      <x:c r="AD261" s="20" t="str">
        <x:v>provisional=true；M3-REPAIR尚未完成，完成条件为暂定功能模型。</x:v>
      </x:c>
      <x:c r="AE261" s="52" t="str">
        <x:v>0.7</x:v>
      </x:c>
    </x:row>
    <x:row r="262">
      <x:c r="A262" s="51" t="str">
        <x:v>M4-REPAIR-261</x:v>
      </x:c>
      <x:c r="B262" s="20" t="str">
        <x:v>RI07 重复循环复发｜证据与升级</x:v>
      </x:c>
      <x:c r="C262" s="20" t="str">
        <x:v>L4 事件类型与最低修复节点</x:v>
      </x:c>
      <x:c r="D262" s="20" t="str">
        <x:v>REPAIR-事件类型</x:v>
      </x:c>
      <x:c r="E262" s="20" t="str">
        <x:v>通用</x:v>
      </x:c>
      <x:c r="F262" s="20" t="str">
        <x:v>证据</x:v>
      </x:c>
      <x:c r="G262" s="20" t="str">
        <x:v>RI07</x:v>
      </x:c>
      <x:c r="H262" s="20" t="str"/>
      <x:c r="I262" s="20" t="str">
        <x:v>有具体事件、接收方反馈和后续行动资料。</x:v>
      </x:c>
      <x:c r="J262" s="20" t="str">
        <x:v>只有抽象概括或命盘结构。</x:v>
      </x:c>
      <x:c r="K262" s="20" t="str">
        <x:v>由共享基础引擎提供；仅修正修复功能的承载、持续与压力占位，不直接等同是否愿意认错或能否修复。</x:v>
      </x:c>
      <x:c r="L262" s="20" t="str">
        <x:v>由M1／M2提供；夫妻星只说明伴侣原型与关系资格，不单独证明修复能力、修复意愿或修复结果。</x:v>
      </x:c>
      <x:c r="M262" s="20" t="str">
        <x:v>由M3-BASE提供；日支底盘说明亲密关系中自然调用的功能，但不能单独证明修复闭环。</x:v>
      </x:c>
      <x:c r="N262" s="20" t="str">
        <x:v>由M3-CONFLICT、M4-LOOP及现实事件提供；必须区分问题停止、责任承担、影响确认、行动改变、反馈整合与后续回访。</x:v>
      </x:c>
      <x:c r="O262" s="20" t="str">
        <x:v>由共享基础引擎判定；近位提高相关功能进入亲密关系核心的概率，远位只作背景或阶段修正。</x:v>
      </x:c>
      <x:c r="P262" s="20" t="str">
        <x:v>根气只修正某修复功能是否容易重复调用，不等于现实中已经持续改变。</x:v>
      </x:c>
      <x:c r="Q262" s="20" t="str">
        <x:v>旺弱只修正功能调用强度与占位，不直接等同修复质量、诚意或关系结果。</x:v>
      </x:c>
      <x:c r="R262" s="20" t="str">
        <x:v>喜忌只修正功能摩擦、平衡与承载，不直接等同道德、成熟、善恶或是否值得原谅。</x:v>
      </x:c>
      <x:c r="S262" s="20" t="str">
        <x:v>原十神功能有效；真合化成立时按化神功能替换，合化争议时停止定性。</x:v>
      </x:c>
      <x:c r="T262" s="20" t="str">
        <x:v>近位提高修复议题与亲密关系的直接相关性；远位仅保留背景、阶段或低置信修正。</x:v>
      </x:c>
      <x:c r="U262" s="20" t="str">
        <x:v>72</x:v>
      </x:c>
      <x:c r="V262" s="20" t="str">
        <x:v>满足最低节点＋6；缺关键节点则降级</x:v>
      </x:c>
      <x:c r="W262" s="20" t="str">
        <x:v>repair_issue_type</x:v>
      </x:c>
      <x:c r="X262" s="20" t="str">
        <x:v>事件类型与节点必须由现实资料支持。</x:v>
      </x:c>
      <x:c r="Y262" s="20" t="str">
        <x:v>需要用具体事件确认这些步骤是否真正发生。</x:v>
      </x:c>
      <x:c r="Z26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2" s="20" t="str">
        <x:v>中高</x:v>
      </x:c>
      <x:c r="AB262" s="20" t="str">
        <x:v>待验证</x:v>
      </x:c>
      <x:c r="AC262" s="20" t="str"/>
      <x:c r="AD262" s="20" t="str">
        <x:v>provisional=true；M3-REPAIR尚未完成，完成条件为暂定功能模型。</x:v>
      </x:c>
      <x:c r="AE262" s="52" t="str">
        <x:v>0.7</x:v>
      </x:c>
    </x:row>
    <x:row r="263">
      <x:c r="A263" s="51" t="str">
        <x:v>M4-REPAIR-262</x:v>
      </x:c>
      <x:c r="B263" s="20" t="str">
        <x:v>RI07 重复循环复发｜用户输出与边界</x:v>
      </x:c>
      <x:c r="C263" s="20" t="str">
        <x:v>L4 事件类型与最低修复节点</x:v>
      </x:c>
      <x:c r="D263" s="20" t="str">
        <x:v>REPAIR-事件类型</x:v>
      </x:c>
      <x:c r="E263" s="20" t="str">
        <x:v>通用</x:v>
      </x:c>
      <x:c r="F263" s="20" t="str">
        <x:v>输出</x:v>
      </x:c>
      <x:c r="G263" s="20" t="str">
        <x:v>RI07</x:v>
      </x:c>
      <x:c r="H263" s="20" t="str"/>
      <x:c r="I263" s="20" t="str">
        <x:v>完成现实安全、反例和节点检查。</x:v>
      </x:c>
      <x:c r="J263" s="20" t="str">
        <x:v>安全风险被普通修复语言淡化。</x:v>
      </x:c>
      <x:c r="K263" s="20" t="str">
        <x:v>由共享基础引擎提供；仅修正修复功能的承载、持续与压力占位，不直接等同是否愿意认错或能否修复。</x:v>
      </x:c>
      <x:c r="L263" s="20" t="str">
        <x:v>由M1／M2提供；夫妻星只说明伴侣原型与关系资格，不单独证明修复能力、修复意愿或修复结果。</x:v>
      </x:c>
      <x:c r="M263" s="20" t="str">
        <x:v>由M3-BASE提供；日支底盘说明亲密关系中自然调用的功能，但不能单独证明修复闭环。</x:v>
      </x:c>
      <x:c r="N263" s="20" t="str">
        <x:v>由M3-CONFLICT、M4-LOOP及现实事件提供；必须区分问题停止、责任承担、影响确认、行动改变、反馈整合与后续回访。</x:v>
      </x:c>
      <x:c r="O263" s="20" t="str">
        <x:v>由共享基础引擎判定；近位提高相关功能进入亲密关系核心的概率，远位只作背景或阶段修正。</x:v>
      </x:c>
      <x:c r="P263" s="20" t="str">
        <x:v>根气只修正某修复功能是否容易重复调用，不等于现实中已经持续改变。</x:v>
      </x:c>
      <x:c r="Q263" s="20" t="str">
        <x:v>旺弱只修正功能调用强度与占位，不直接等同修复质量、诚意或关系结果。</x:v>
      </x:c>
      <x:c r="R263" s="20" t="str">
        <x:v>喜忌只修正功能摩擦、平衡与承载，不直接等同道德、成熟、善恶或是否值得原谅。</x:v>
      </x:c>
      <x:c r="S263" s="20" t="str">
        <x:v>原十神功能有效；真合化成立时按化神功能替换，合化争议时停止定性。</x:v>
      </x:c>
      <x:c r="T263" s="20" t="str">
        <x:v>近位提高修复议题与亲密关系的直接相关性；远位仅保留背景、阶段或低置信修正。</x:v>
      </x:c>
      <x:c r="U263" s="20" t="str">
        <x:v>90</x:v>
      </x:c>
      <x:c r="V263" s="20" t="str">
        <x:v>满足最低节点＋6；缺关键节点则降级</x:v>
      </x:c>
      <x:c r="W263" s="20" t="str">
        <x:v>repair_issue_type</x:v>
      </x:c>
      <x:c r="X263" s="20" t="str">
        <x:v>输出强调最低任务，不要求原谅或复合。</x:v>
      </x:c>
      <x:c r="Y263" s="20" t="str">
        <x:v>修复重点不只是处理这一次，还要复盘上一次为什么没有阻止同样顺序再次发生。</x:v>
      </x:c>
      <x:c r="Z26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3" s="20" t="str">
        <x:v>中高</x:v>
      </x:c>
      <x:c r="AB263" s="20" t="str">
        <x:v>待验证</x:v>
      </x:c>
      <x:c r="AC263" s="20" t="str"/>
      <x:c r="AD263" s="20" t="str">
        <x:v>provisional=true；M3-REPAIR尚未完成，完成条件为暂定功能模型。</x:v>
      </x:c>
      <x:c r="AE263" s="52" t="str">
        <x:v>0.7</x:v>
      </x:c>
    </x:row>
    <x:row r="264">
      <x:c r="A264" s="51" t="str">
        <x:v>M4-REPAIR-263</x:v>
      </x:c>
      <x:c r="B264" s="20" t="str">
        <x:v>RI08 安全、强迫与权力伤害｜事件定义</x:v>
      </x:c>
      <x:c r="C264" s="20" t="str">
        <x:v>L4 事件类型与最低修复节点</x:v>
      </x:c>
      <x:c r="D264" s="20" t="str">
        <x:v>REPAIR-事件类型</x:v>
      </x:c>
      <x:c r="E264" s="20" t="str">
        <x:v>通用</x:v>
      </x:c>
      <x:c r="F264" s="20" t="str">
        <x:v>定义</x:v>
      </x:c>
      <x:c r="G264" s="20" t="str">
        <x:v>RI08</x:v>
      </x:c>
      <x:c r="H264" s="20" t="str"/>
      <x:c r="I264" s="20" t="str">
        <x:v>存在暴力、威胁、强迫、跟踪、经济控制、报复或明显权力压迫。</x:v>
      </x:c>
      <x:c r="J264" s="20" t="str">
        <x:v>事件类型不清或多个类型混在一起。</x:v>
      </x:c>
      <x:c r="K264" s="20" t="str">
        <x:v>由共享基础引擎提供；仅修正修复功能的承载、持续与压力占位，不直接等同是否愿意认错或能否修复。</x:v>
      </x:c>
      <x:c r="L264" s="20" t="str">
        <x:v>由M1／M2提供；夫妻星只说明伴侣原型与关系资格，不单独证明修复能力、修复意愿或修复结果。</x:v>
      </x:c>
      <x:c r="M264" s="20" t="str">
        <x:v>由M3-BASE提供；日支底盘说明亲密关系中自然调用的功能，但不能单独证明修复闭环。</x:v>
      </x:c>
      <x:c r="N264" s="20" t="str">
        <x:v>由M3-CONFLICT、M4-LOOP及现实事件提供；必须区分问题停止、责任承担、影响确认、行动改变、反馈整合与后续回访。</x:v>
      </x:c>
      <x:c r="O264" s="20" t="str">
        <x:v>由共享基础引擎判定；近位提高相关功能进入亲密关系核心的概率，远位只作背景或阶段修正。</x:v>
      </x:c>
      <x:c r="P264" s="20" t="str">
        <x:v>根气只修正某修复功能是否容易重复调用，不等于现实中已经持续改变。</x:v>
      </x:c>
      <x:c r="Q264" s="20" t="str">
        <x:v>旺弱只修正功能调用强度与占位，不直接等同修复质量、诚意或关系结果。</x:v>
      </x:c>
      <x:c r="R264" s="20" t="str">
        <x:v>喜忌只修正功能摩擦、平衡与承载，不直接等同道德、成熟、善恶或是否值得原谅。</x:v>
      </x:c>
      <x:c r="S264" s="20" t="str">
        <x:v>原十神功能有效；真合化成立时按化神功能替换，合化争议时停止定性。</x:v>
      </x:c>
      <x:c r="T264" s="20" t="str">
        <x:v>近位提高修复议题与亲密关系的直接相关性；远位仅保留背景、阶段或低置信修正。</x:v>
      </x:c>
      <x:c r="U264" s="20" t="str">
        <x:v>72</x:v>
      </x:c>
      <x:c r="V264" s="20" t="str">
        <x:v>满足最低节点＋6；缺关键节点则降级</x:v>
      </x:c>
      <x:c r="W264" s="20" t="str">
        <x:v>repair_issue_type</x:v>
      </x:c>
      <x:c r="X264" s="20" t="str">
        <x:v>事件类型决定最低必要节点，避免用同一修复清单处理所有问题。</x:v>
      </x:c>
      <x:c r="Y264" s="20" t="str">
        <x:v>这类事件首先需要确认它影响的是信息、责任、现实安排、情绪、边界还是安全。</x:v>
      </x:c>
      <x:c r="Z26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4" s="20" t="str">
        <x:v>中高</x:v>
      </x:c>
      <x:c r="AB264" s="20" t="str">
        <x:v>待验证</x:v>
      </x:c>
      <x:c r="AC264" s="20" t="str"/>
      <x:c r="AD264" s="20" t="str">
        <x:v>provisional=true；M3-REPAIR尚未完成，完成条件为暂定功能模型。</x:v>
      </x:c>
      <x:c r="AE264" s="52" t="str">
        <x:v>0.7</x:v>
      </x:c>
    </x:row>
    <x:row r="265">
      <x:c r="A265" s="51" t="str">
        <x:v>M4-REPAIR-264</x:v>
      </x:c>
      <x:c r="B265" s="20" t="str">
        <x:v>RI08 安全、强迫与权力伤害｜最低必要节点</x:v>
      </x:c>
      <x:c r="C265" s="20" t="str">
        <x:v>L4 事件类型与最低修复节点</x:v>
      </x:c>
      <x:c r="D265" s="20" t="str">
        <x:v>REPAIR-事件类型</x:v>
      </x:c>
      <x:c r="E265" s="20" t="str">
        <x:v>通用</x:v>
      </x:c>
      <x:c r="F265" s="20" t="str">
        <x:v>门槛</x:v>
      </x:c>
      <x:c r="G265" s="20" t="str">
        <x:v>RI08</x:v>
      </x:c>
      <x:c r="H265" s="20" t="str"/>
      <x:c r="I265" s="20" t="str">
        <x:v>最低节点：RN01安全与停止伤害；现实责任、专业与法律支持优先。</x:v>
      </x:c>
      <x:c r="J265" s="20" t="str">
        <x:v>最低节点未出现却发布修复闭环。</x:v>
      </x:c>
      <x:c r="K265" s="20" t="str">
        <x:v>由共享基础引擎提供；仅修正修复功能的承载、持续与压力占位，不直接等同是否愿意认错或能否修复。</x:v>
      </x:c>
      <x:c r="L265" s="20" t="str">
        <x:v>由M1／M2提供；夫妻星只说明伴侣原型与关系资格，不单独证明修复能力、修复意愿或修复结果。</x:v>
      </x:c>
      <x:c r="M265" s="20" t="str">
        <x:v>由M3-BASE提供；日支底盘说明亲密关系中自然调用的功能，但不能单独证明修复闭环。</x:v>
      </x:c>
      <x:c r="N265" s="20" t="str">
        <x:v>由M3-CONFLICT、M4-LOOP及现实事件提供；必须区分问题停止、责任承担、影响确认、行动改变、反馈整合与后续回访。</x:v>
      </x:c>
      <x:c r="O265" s="20" t="str">
        <x:v>由共享基础引擎判定；近位提高相关功能进入亲密关系核心的概率，远位只作背景或阶段修正。</x:v>
      </x:c>
      <x:c r="P265" s="20" t="str">
        <x:v>根气只修正某修复功能是否容易重复调用，不等于现实中已经持续改变。</x:v>
      </x:c>
      <x:c r="Q265" s="20" t="str">
        <x:v>旺弱只修正功能调用强度与占位，不直接等同修复质量、诚意或关系结果。</x:v>
      </x:c>
      <x:c r="R265" s="20" t="str">
        <x:v>喜忌只修正功能摩擦、平衡与承载，不直接等同道德、成熟、善恶或是否值得原谅。</x:v>
      </x:c>
      <x:c r="S265" s="20" t="str">
        <x:v>原十神功能有效；真合化成立时按化神功能替换，合化争议时停止定性。</x:v>
      </x:c>
      <x:c r="T265" s="20" t="str">
        <x:v>近位提高修复议题与亲密关系的直接相关性；远位仅保留背景、阶段或低置信修正。</x:v>
      </x:c>
      <x:c r="U265" s="20" t="str">
        <x:v>90</x:v>
      </x:c>
      <x:c r="V265" s="20" t="str">
        <x:v>满足最低节点＋6；缺关键节点则降级</x:v>
      </x:c>
      <x:c r="W265" s="20" t="str">
        <x:v>repair_issue_type</x:v>
      </x:c>
      <x:c r="X265" s="20" t="str">
        <x:v>最低节点是此类事件的修复骨架。</x:v>
      </x:c>
      <x:c r="Y265" s="20" t="str">
        <x:v>这类问题至少需要完成：RN01安全与停止伤害；现实责任、专业与法律支持优先。</x:v>
      </x:c>
      <x:c r="Z26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5" s="20" t="str">
        <x:v>中高</x:v>
      </x:c>
      <x:c r="AB265" s="20" t="str">
        <x:v>待验证</x:v>
      </x:c>
      <x:c r="AC265" s="20" t="str"/>
      <x:c r="AD265" s="20" t="str">
        <x:v>provisional=true；M3-REPAIR尚未完成，完成条件为暂定功能模型。</x:v>
      </x:c>
      <x:c r="AE265" s="52" t="str">
        <x:v>0.7</x:v>
      </x:c>
    </x:row>
    <x:row r="266">
      <x:c r="A266" s="51" t="str">
        <x:v>M4-REPAIR-265</x:v>
      </x:c>
      <x:c r="B266" s="20" t="str">
        <x:v>RI08 安全、强迫与权力伤害｜条件节点</x:v>
      </x:c>
      <x:c r="C266" s="20" t="str">
        <x:v>L4 事件类型与最低修复节点</x:v>
      </x:c>
      <x:c r="D266" s="20" t="str">
        <x:v>REPAIR-事件类型</x:v>
      </x:c>
      <x:c r="E266" s="20" t="str">
        <x:v>通用</x:v>
      </x:c>
      <x:c r="F266" s="20" t="str">
        <x:v>路由</x:v>
      </x:c>
      <x:c r="G266" s="20" t="str">
        <x:v>RI08</x:v>
      </x:c>
      <x:c r="H266" s="20" t="str"/>
      <x:c r="I266" s="20" t="str">
        <x:v>视事件影响加入：普通关系修复节点不能替代安全、问责和外部支持。</x:v>
      </x:c>
      <x:c r="J266" s="20" t="str">
        <x:v>把条件节点当成所有事件必需。</x:v>
      </x:c>
      <x:c r="K266" s="20" t="str">
        <x:v>由共享基础引擎提供；仅修正修复功能的承载、持续与压力占位，不直接等同是否愿意认错或能否修复。</x:v>
      </x:c>
      <x:c r="L266" s="20" t="str">
        <x:v>由M1／M2提供；夫妻星只说明伴侣原型与关系资格，不单独证明修复能力、修复意愿或修复结果。</x:v>
      </x:c>
      <x:c r="M266" s="20" t="str">
        <x:v>由M3-BASE提供；日支底盘说明亲密关系中自然调用的功能，但不能单独证明修复闭环。</x:v>
      </x:c>
      <x:c r="N266" s="20" t="str">
        <x:v>由M3-CONFLICT、M4-LOOP及现实事件提供；必须区分问题停止、责任承担、影响确认、行动改变、反馈整合与后续回访。</x:v>
      </x:c>
      <x:c r="O266" s="20" t="str">
        <x:v>由共享基础引擎判定；近位提高相关功能进入亲密关系核心的概率，远位只作背景或阶段修正。</x:v>
      </x:c>
      <x:c r="P266" s="20" t="str">
        <x:v>根气只修正某修复功能是否容易重复调用，不等于现实中已经持续改变。</x:v>
      </x:c>
      <x:c r="Q266" s="20" t="str">
        <x:v>旺弱只修正功能调用强度与占位，不直接等同修复质量、诚意或关系结果。</x:v>
      </x:c>
      <x:c r="R266" s="20" t="str">
        <x:v>喜忌只修正功能摩擦、平衡与承载，不直接等同道德、成熟、善恶或是否值得原谅。</x:v>
      </x:c>
      <x:c r="S266" s="20" t="str">
        <x:v>原十神功能有效；真合化成立时按化神功能替换，合化争议时停止定性。</x:v>
      </x:c>
      <x:c r="T266" s="20" t="str">
        <x:v>近位提高修复议题与亲密关系的直接相关性；远位仅保留背景、阶段或低置信修正。</x:v>
      </x:c>
      <x:c r="U266" s="20" t="str">
        <x:v>72</x:v>
      </x:c>
      <x:c r="V266" s="20" t="str">
        <x:v>满足最低节点＋6；缺关键节点则降级</x:v>
      </x:c>
      <x:c r="W266" s="20" t="str">
        <x:v>repair_issue_type</x:v>
      </x:c>
      <x:c r="X266" s="20" t="str">
        <x:v>不同严重度与影响范围需要不同节点组合。</x:v>
      </x:c>
      <x:c r="Y266" s="20" t="str">
        <x:v>根据实际影响，还需要继续看：普通关系修复节点不能替代安全、问责和外部支持。</x:v>
      </x:c>
      <x:c r="Z26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6" s="20" t="str">
        <x:v>中高</x:v>
      </x:c>
      <x:c r="AB266" s="20" t="str">
        <x:v>待验证</x:v>
      </x:c>
      <x:c r="AC266" s="20" t="str"/>
      <x:c r="AD266" s="20" t="str">
        <x:v>provisional=true；M3-REPAIR尚未完成，完成条件为暂定功能模型。</x:v>
      </x:c>
      <x:c r="AE266" s="52" t="str">
        <x:v>0.7</x:v>
      </x:c>
    </x:row>
    <x:row r="267">
      <x:c r="A267" s="51" t="str">
        <x:v>M4-REPAIR-266</x:v>
      </x:c>
      <x:c r="B267" s="20" t="str">
        <x:v>RI08 安全、强迫与权力伤害｜常见假完成</x:v>
      </x:c>
      <x:c r="C267" s="20" t="str">
        <x:v>L4 事件类型与最低修复节点</x:v>
      </x:c>
      <x:c r="D267" s="20" t="str">
        <x:v>REPAIR-事件类型</x:v>
      </x:c>
      <x:c r="E267" s="20" t="str">
        <x:v>通用</x:v>
      </x:c>
      <x:c r="F267" s="20" t="str">
        <x:v>盲点</x:v>
      </x:c>
      <x:c r="G267" s="20" t="str">
        <x:v>RI08</x:v>
      </x:c>
      <x:c r="H267" s="20" t="str"/>
      <x:c r="I267" s="20" t="str">
        <x:v>出现：要求双方平等协商、快速原谅或恢复关系。</x:v>
      </x:c>
      <x:c r="J267" s="20" t="str">
        <x:v>现实中最低节点已经完整且持续。</x:v>
      </x:c>
      <x:c r="K267" s="20" t="str">
        <x:v>由共享基础引擎提供；仅修正修复功能的承载、持续与压力占位，不直接等同是否愿意认错或能否修复。</x:v>
      </x:c>
      <x:c r="L267" s="20" t="str">
        <x:v>由M1／M2提供；夫妻星只说明伴侣原型与关系资格，不单独证明修复能力、修复意愿或修复结果。</x:v>
      </x:c>
      <x:c r="M267" s="20" t="str">
        <x:v>由M3-BASE提供；日支底盘说明亲密关系中自然调用的功能，但不能单独证明修复闭环。</x:v>
      </x:c>
      <x:c r="N267" s="20" t="str">
        <x:v>由M3-CONFLICT、M4-LOOP及现实事件提供；必须区分问题停止、责任承担、影响确认、行动改变、反馈整合与后续回访。</x:v>
      </x:c>
      <x:c r="O267" s="20" t="str">
        <x:v>由共享基础引擎判定；近位提高相关功能进入亲密关系核心的概率，远位只作背景或阶段修正。</x:v>
      </x:c>
      <x:c r="P267" s="20" t="str">
        <x:v>根气只修正某修复功能是否容易重复调用，不等于现实中已经持续改变。</x:v>
      </x:c>
      <x:c r="Q267" s="20" t="str">
        <x:v>旺弱只修正功能调用强度与占位，不直接等同修复质量、诚意或关系结果。</x:v>
      </x:c>
      <x:c r="R267" s="20" t="str">
        <x:v>喜忌只修正功能摩擦、平衡与承载，不直接等同道德、成熟、善恶或是否值得原谅。</x:v>
      </x:c>
      <x:c r="S267" s="20" t="str">
        <x:v>原十神功能有效；真合化成立时按化神功能替换，合化争议时停止定性。</x:v>
      </x:c>
      <x:c r="T267" s="20" t="str">
        <x:v>近位提高修复议题与亲密关系的直接相关性；远位仅保留背景、阶段或低置信修正。</x:v>
      </x:c>
      <x:c r="U267" s="20" t="str">
        <x:v>72</x:v>
      </x:c>
      <x:c r="V267" s="20" t="str">
        <x:v>满足最低节点＋6；缺关键节点则降级</x:v>
      </x:c>
      <x:c r="W267" s="20" t="str">
        <x:v>repair_issue_type</x:v>
      </x:c>
      <x:c r="X267" s="20" t="str">
        <x:v>假完成说明一个熟悉动作替代了事件真正需要的任务。</x:v>
      </x:c>
      <x:c r="Y267" s="20" t="str">
        <x:v>常见卡点是：要求双方平等协商、快速原谅或恢复关系。</x:v>
      </x:c>
      <x:c r="Z26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7" s="20" t="str">
        <x:v>中高</x:v>
      </x:c>
      <x:c r="AB267" s="20" t="str">
        <x:v>待验证</x:v>
      </x:c>
      <x:c r="AC267" s="20" t="str"/>
      <x:c r="AD267" s="20" t="str">
        <x:v>provisional=true；M3-REPAIR尚未完成，完成条件为暂定功能模型。</x:v>
      </x:c>
      <x:c r="AE267" s="52" t="str">
        <x:v>0.7</x:v>
      </x:c>
    </x:row>
    <x:row r="268">
      <x:c r="A268" s="51" t="str">
        <x:v>M4-REPAIR-267</x:v>
      </x:c>
      <x:c r="B268" s="20" t="str">
        <x:v>RI08 安全、强迫与权力伤害｜证据与升级</x:v>
      </x:c>
      <x:c r="C268" s="20" t="str">
        <x:v>L4 事件类型与最低修复节点</x:v>
      </x:c>
      <x:c r="D268" s="20" t="str">
        <x:v>REPAIR-事件类型</x:v>
      </x:c>
      <x:c r="E268" s="20" t="str">
        <x:v>通用</x:v>
      </x:c>
      <x:c r="F268" s="20" t="str">
        <x:v>证据</x:v>
      </x:c>
      <x:c r="G268" s="20" t="str">
        <x:v>RI08</x:v>
      </x:c>
      <x:c r="H268" s="20" t="str"/>
      <x:c r="I268" s="20" t="str">
        <x:v>有具体事件、接收方反馈和后续行动资料。</x:v>
      </x:c>
      <x:c r="J268" s="20" t="str">
        <x:v>只有抽象概括或命盘结构。</x:v>
      </x:c>
      <x:c r="K268" s="20" t="str">
        <x:v>由共享基础引擎提供；仅修正修复功能的承载、持续与压力占位，不直接等同是否愿意认错或能否修复。</x:v>
      </x:c>
      <x:c r="L268" s="20" t="str">
        <x:v>由M1／M2提供；夫妻星只说明伴侣原型与关系资格，不单独证明修复能力、修复意愿或修复结果。</x:v>
      </x:c>
      <x:c r="M268" s="20" t="str">
        <x:v>由M3-BASE提供；日支底盘说明亲密关系中自然调用的功能，但不能单独证明修复闭环。</x:v>
      </x:c>
      <x:c r="N268" s="20" t="str">
        <x:v>由M3-CONFLICT、M4-LOOP及现实事件提供；必须区分问题停止、责任承担、影响确认、行动改变、反馈整合与后续回访。</x:v>
      </x:c>
      <x:c r="O268" s="20" t="str">
        <x:v>由共享基础引擎判定；近位提高相关功能进入亲密关系核心的概率，远位只作背景或阶段修正。</x:v>
      </x:c>
      <x:c r="P268" s="20" t="str">
        <x:v>根气只修正某修复功能是否容易重复调用，不等于现实中已经持续改变。</x:v>
      </x:c>
      <x:c r="Q268" s="20" t="str">
        <x:v>旺弱只修正功能调用强度与占位，不直接等同修复质量、诚意或关系结果。</x:v>
      </x:c>
      <x:c r="R268" s="20" t="str">
        <x:v>喜忌只修正功能摩擦、平衡与承载，不直接等同道德、成熟、善恶或是否值得原谅。</x:v>
      </x:c>
      <x:c r="S268" s="20" t="str">
        <x:v>原十神功能有效；真合化成立时按化神功能替换，合化争议时停止定性。</x:v>
      </x:c>
      <x:c r="T268" s="20" t="str">
        <x:v>近位提高修复议题与亲密关系的直接相关性；远位仅保留背景、阶段或低置信修正。</x:v>
      </x:c>
      <x:c r="U268" s="20" t="str">
        <x:v>72</x:v>
      </x:c>
      <x:c r="V268" s="20" t="str">
        <x:v>满足最低节点＋6；缺关键节点则降级</x:v>
      </x:c>
      <x:c r="W268" s="20" t="str">
        <x:v>repair_issue_type</x:v>
      </x:c>
      <x:c r="X268" s="20" t="str">
        <x:v>事件类型与节点必须由现实资料支持。</x:v>
      </x:c>
      <x:c r="Y268" s="20" t="str">
        <x:v>需要用具体事件确认这些步骤是否真正发生。</x:v>
      </x:c>
      <x:c r="Z26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8" s="20" t="str">
        <x:v>中高</x:v>
      </x:c>
      <x:c r="AB268" s="20" t="str">
        <x:v>待验证</x:v>
      </x:c>
      <x:c r="AC268" s="20" t="str"/>
      <x:c r="AD268" s="20" t="str">
        <x:v>provisional=true；M3-REPAIR尚未完成，完成条件为暂定功能模型。</x:v>
      </x:c>
      <x:c r="AE268" s="52" t="str">
        <x:v>0.7</x:v>
      </x:c>
    </x:row>
    <x:row r="269">
      <x:c r="A269" s="51" t="str">
        <x:v>M4-REPAIR-268</x:v>
      </x:c>
      <x:c r="B269" s="20" t="str">
        <x:v>RI08 安全、强迫与权力伤害｜用户输出与边界</x:v>
      </x:c>
      <x:c r="C269" s="20" t="str">
        <x:v>L4 事件类型与最低修复节点</x:v>
      </x:c>
      <x:c r="D269" s="20" t="str">
        <x:v>REPAIR-事件类型</x:v>
      </x:c>
      <x:c r="E269" s="20" t="str">
        <x:v>通用</x:v>
      </x:c>
      <x:c r="F269" s="20" t="str">
        <x:v>输出</x:v>
      </x:c>
      <x:c r="G269" s="20" t="str">
        <x:v>RI08</x:v>
      </x:c>
      <x:c r="H269" s="20" t="str"/>
      <x:c r="I269" s="20" t="str">
        <x:v>完成现实安全、反例和节点检查。</x:v>
      </x:c>
      <x:c r="J269" s="20" t="str">
        <x:v>安全风险被普通修复语言淡化。</x:v>
      </x:c>
      <x:c r="K269" s="20" t="str">
        <x:v>由共享基础引擎提供；仅修正修复功能的承载、持续与压力占位，不直接等同是否愿意认错或能否修复。</x:v>
      </x:c>
      <x:c r="L269" s="20" t="str">
        <x:v>由M1／M2提供；夫妻星只说明伴侣原型与关系资格，不单独证明修复能力、修复意愿或修复结果。</x:v>
      </x:c>
      <x:c r="M269" s="20" t="str">
        <x:v>由M3-BASE提供；日支底盘说明亲密关系中自然调用的功能，但不能单独证明修复闭环。</x:v>
      </x:c>
      <x:c r="N269" s="20" t="str">
        <x:v>由M3-CONFLICT、M4-LOOP及现实事件提供；必须区分问题停止、责任承担、影响确认、行动改变、反馈整合与后续回访。</x:v>
      </x:c>
      <x:c r="O269" s="20" t="str">
        <x:v>由共享基础引擎判定；近位提高相关功能进入亲密关系核心的概率，远位只作背景或阶段修正。</x:v>
      </x:c>
      <x:c r="P269" s="20" t="str">
        <x:v>根气只修正某修复功能是否容易重复调用，不等于现实中已经持续改变。</x:v>
      </x:c>
      <x:c r="Q269" s="20" t="str">
        <x:v>旺弱只修正功能调用强度与占位，不直接等同修复质量、诚意或关系结果。</x:v>
      </x:c>
      <x:c r="R269" s="20" t="str">
        <x:v>喜忌只修正功能摩擦、平衡与承载，不直接等同道德、成熟、善恶或是否值得原谅。</x:v>
      </x:c>
      <x:c r="S269" s="20" t="str">
        <x:v>原十神功能有效；真合化成立时按化神功能替换，合化争议时停止定性。</x:v>
      </x:c>
      <x:c r="T269" s="20" t="str">
        <x:v>近位提高修复议题与亲密关系的直接相关性；远位仅保留背景、阶段或低置信修正。</x:v>
      </x:c>
      <x:c r="U269" s="20" t="str">
        <x:v>90</x:v>
      </x:c>
      <x:c r="V269" s="20" t="str">
        <x:v>满足最低节点＋6；缺关键节点则降级</x:v>
      </x:c>
      <x:c r="W269" s="20" t="str">
        <x:v>repair_issue_type</x:v>
      </x:c>
      <x:c r="X269" s="20" t="str">
        <x:v>输出强调最低任务，不要求原谅或复合。</x:v>
      </x:c>
      <x:c r="Y269" s="20" t="str">
        <x:v>此类情境首先处理安全和现实责任，不应把目标设为尽快和好。</x:v>
      </x:c>
      <x:c r="Z26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69" s="20" t="str">
        <x:v>中高</x:v>
      </x:c>
      <x:c r="AB269" s="20" t="str">
        <x:v>待验证</x:v>
      </x:c>
      <x:c r="AC269" s="20" t="str"/>
      <x:c r="AD269" s="20" t="str">
        <x:v>provisional=true；M3-REPAIR尚未完成，完成条件为暂定功能模型。</x:v>
      </x:c>
      <x:c r="AE269" s="52" t="str">
        <x:v>0.7</x:v>
      </x:c>
    </x:row>
    <x:row r="270">
      <x:c r="A270" s="51" t="str">
        <x:v>M4-REPAIR-269</x:v>
      </x:c>
      <x:c r="B270" s="20" t="str">
        <x:v>RF01 关键节点缺失｜机制定义</x:v>
      </x:c>
      <x:c r="C270" s="20" t="str">
        <x:v>L5 修复断链机制</x:v>
      </x:c>
      <x:c r="D270" s="20" t="str">
        <x:v>REPAIR-断链机制</x:v>
      </x:c>
      <x:c r="E270" s="20" t="str">
        <x:v>通用</x:v>
      </x:c>
      <x:c r="F270" s="20" t="str">
        <x:v>定义</x:v>
      </x:c>
      <x:c r="G270" s="20" t="str">
        <x:v>RF01</x:v>
      </x:c>
      <x:c r="H270" s="20" t="str"/>
      <x:c r="I270" s="20" t="str">
        <x:v>事件所需的一个或多个最低修复节点从未进入。</x:v>
      </x:c>
      <x:c r="J270" s="20" t="str">
        <x:v>只凭十神或一次模糊印象。</x:v>
      </x:c>
      <x:c r="K270" s="20" t="str">
        <x:v>由共享基础引擎提供；仅修正修复功能的承载、持续与压力占位，不直接等同是否愿意认错或能否修复。</x:v>
      </x:c>
      <x:c r="L270" s="20" t="str">
        <x:v>由M1／M2提供；夫妻星只说明伴侣原型与关系资格，不单独证明修复能力、修复意愿或修复结果。</x:v>
      </x:c>
      <x:c r="M270" s="20" t="str">
        <x:v>由M3-BASE提供；日支底盘说明亲密关系中自然调用的功能，但不能单独证明修复闭环。</x:v>
      </x:c>
      <x:c r="N270" s="20" t="str">
        <x:v>由M3-CONFLICT、M4-LOOP及现实事件提供；必须区分问题停止、责任承担、影响确认、行动改变、反馈整合与后续回访。</x:v>
      </x:c>
      <x:c r="O270" s="20" t="str">
        <x:v>由共享基础引擎判定；近位提高相关功能进入亲密关系核心的概率，远位只作背景或阶段修正。</x:v>
      </x:c>
      <x:c r="P270" s="20" t="str">
        <x:v>根气只修正某修复功能是否容易重复调用，不等于现实中已经持续改变。</x:v>
      </x:c>
      <x:c r="Q270" s="20" t="str">
        <x:v>旺弱只修正功能调用强度与占位，不直接等同修复质量、诚意或关系结果。</x:v>
      </x:c>
      <x:c r="R270" s="20" t="str">
        <x:v>喜忌只修正功能摩擦、平衡与承载，不直接等同道德、成熟、善恶或是否值得原谅。</x:v>
      </x:c>
      <x:c r="S270" s="20" t="str">
        <x:v>原十神功能有效；真合化成立时按化神功能替换，合化争议时停止定性。</x:v>
      </x:c>
      <x:c r="T270" s="20" t="str">
        <x:v>近位提高修复议题与亲密关系的直接相关性；远位仅保留背景、阶段或低置信修正。</x:v>
      </x:c>
      <x:c r="U270" s="20" t="str">
        <x:v>72</x:v>
      </x:c>
      <x:c r="V270" s="20" t="str">
        <x:v>机制证据＋5；反例－4至停止</x:v>
      </x:c>
      <x:c r="W270" s="20" t="str">
        <x:v>repair_failure_mechanism</x:v>
      </x:c>
      <x:c r="X270" s="20" t="str">
        <x:v>RF机制描述修复链怎样断开，不等同人格标签。</x:v>
      </x:c>
      <x:c r="Y270" s="20" t="str">
        <x:v>不是所有步骤都缺，而是某个必要任务始终没有被处理。</x:v>
      </x:c>
      <x:c r="Z27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0" s="20" t="str">
        <x:v>中高</x:v>
      </x:c>
      <x:c r="AB270" s="20" t="str">
        <x:v>待验证</x:v>
      </x:c>
      <x:c r="AC270" s="20" t="str"/>
      <x:c r="AD270" s="20" t="str">
        <x:v>provisional=true；M3-REPAIR尚未完成，完成条件为暂定功能模型。</x:v>
      </x:c>
      <x:c r="AE270" s="52" t="str">
        <x:v>0.7</x:v>
      </x:c>
    </x:row>
    <x:row r="271">
      <x:c r="A271" s="51" t="str">
        <x:v>M4-REPAIR-270</x:v>
      </x:c>
      <x:c r="B271" s="20" t="str">
        <x:v>RF01 关键节点缺失｜识别条件</x:v>
      </x:c>
      <x:c r="C271" s="20" t="str">
        <x:v>L5 修复断链机制</x:v>
      </x:c>
      <x:c r="D271" s="20" t="str">
        <x:v>REPAIR-断链机制</x:v>
      </x:c>
      <x:c r="E271" s="20" t="str">
        <x:v>通用</x:v>
      </x:c>
      <x:c r="F271" s="20" t="str">
        <x:v>证据</x:v>
      </x:c>
      <x:c r="G271" s="20" t="str">
        <x:v>RF01</x:v>
      </x:c>
      <x:c r="H271" s="20" t="str"/>
      <x:c r="I271" s="20" t="str">
        <x:v>对照RI事件类型最低节点，至少一项关键节点长期为空。</x:v>
      </x:c>
      <x:c r="J271" s="20" t="str">
        <x:v>相应节点由其他等价功能真实完成。</x:v>
      </x:c>
      <x:c r="K271" s="20" t="str">
        <x:v>由共享基础引擎提供；仅修正修复功能的承载、持续与压力占位，不直接等同是否愿意认错或能否修复。</x:v>
      </x:c>
      <x:c r="L271" s="20" t="str">
        <x:v>由M1／M2提供；夫妻星只说明伴侣原型与关系资格，不单独证明修复能力、修复意愿或修复结果。</x:v>
      </x:c>
      <x:c r="M271" s="20" t="str">
        <x:v>由M3-BASE提供；日支底盘说明亲密关系中自然调用的功能，但不能单独证明修复闭环。</x:v>
      </x:c>
      <x:c r="N271" s="20" t="str">
        <x:v>由M3-CONFLICT、M4-LOOP及现实事件提供；必须区分问题停止、责任承担、影响确认、行动改变、反馈整合与后续回访。</x:v>
      </x:c>
      <x:c r="O271" s="20" t="str">
        <x:v>由共享基础引擎判定；近位提高相关功能进入亲密关系核心的概率，远位只作背景或阶段修正。</x:v>
      </x:c>
      <x:c r="P271" s="20" t="str">
        <x:v>根气只修正某修复功能是否容易重复调用，不等于现实中已经持续改变。</x:v>
      </x:c>
      <x:c r="Q271" s="20" t="str">
        <x:v>旺弱只修正功能调用强度与占位，不直接等同修复质量、诚意或关系结果。</x:v>
      </x:c>
      <x:c r="R271" s="20" t="str">
        <x:v>喜忌只修正功能摩擦、平衡与承载，不直接等同道德、成熟、善恶或是否值得原谅。</x:v>
      </x:c>
      <x:c r="S271" s="20" t="str">
        <x:v>原十神功能有效；真合化成立时按化神功能替换，合化争议时停止定性。</x:v>
      </x:c>
      <x:c r="T271" s="20" t="str">
        <x:v>近位提高修复议题与亲密关系的直接相关性；远位仅保留背景、阶段或低置信修正。</x:v>
      </x:c>
      <x:c r="U271" s="20" t="str">
        <x:v>88</x:v>
      </x:c>
      <x:c r="V271" s="20" t="str">
        <x:v>机制证据＋5；反例－4至停止</x:v>
      </x:c>
      <x:c r="W271" s="20" t="str">
        <x:v>repair_failure_mechanism</x:v>
      </x:c>
      <x:c r="X271" s="20" t="str">
        <x:v>必须有现实事件顺序和节点证据。</x:v>
      </x:c>
      <x:c r="Y271" s="20" t="str">
        <x:v>需要检查：对照RI事件类型最低节点，至少一项关键节点长期为空。</x:v>
      </x:c>
      <x:c r="Z27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1" s="20" t="str">
        <x:v>中高</x:v>
      </x:c>
      <x:c r="AB271" s="20" t="str">
        <x:v>待验证</x:v>
      </x:c>
      <x:c r="AC271" s="20" t="str"/>
      <x:c r="AD271" s="20" t="str">
        <x:v>provisional=true；M3-REPAIR尚未完成，完成条件为暂定功能模型。</x:v>
      </x:c>
      <x:c r="AE271" s="52" t="str">
        <x:v>0.7</x:v>
      </x:c>
    </x:row>
    <x:row r="272">
      <x:c r="A272" s="51" t="str">
        <x:v>M4-REPAIR-271</x:v>
      </x:c>
      <x:c r="B272" s="20" t="str">
        <x:v>RF01 关键节点缺失｜功能路由</x:v>
      </x:c>
      <x:c r="C272" s="20" t="str">
        <x:v>L5 修复断链机制</x:v>
      </x:c>
      <x:c r="D272" s="20" t="str">
        <x:v>REPAIR-断链机制</x:v>
      </x:c>
      <x:c r="E272" s="20" t="str">
        <x:v>通用</x:v>
      </x:c>
      <x:c r="F272" s="20" t="str">
        <x:v>路由</x:v>
      </x:c>
      <x:c r="G272" s="20" t="str">
        <x:v>RF01</x:v>
      </x:c>
      <x:c r="H272" s="20" t="str"/>
      <x:c r="I272" s="20" t="str">
        <x:v>该机制与一个明确RB盲点、RI事件类型或LP循环相连。</x:v>
      </x:c>
      <x:c r="J272" s="20" t="str">
        <x:v>只有共现，没有功能关系。</x:v>
      </x:c>
      <x:c r="K272" s="20" t="str">
        <x:v>由共享基础引擎提供；仅修正修复功能的承载、持续与压力占位，不直接等同是否愿意认错或能否修复。</x:v>
      </x:c>
      <x:c r="L272" s="20" t="str">
        <x:v>由M1／M2提供；夫妻星只说明伴侣原型与关系资格，不单独证明修复能力、修复意愿或修复结果。</x:v>
      </x:c>
      <x:c r="M272" s="20" t="str">
        <x:v>由M3-BASE提供；日支底盘说明亲密关系中自然调用的功能，但不能单独证明修复闭环。</x:v>
      </x:c>
      <x:c r="N272" s="20" t="str">
        <x:v>由M3-CONFLICT、M4-LOOP及现实事件提供；必须区分问题停止、责任承担、影响确认、行动改变、反馈整合与后续回访。</x:v>
      </x:c>
      <x:c r="O272" s="20" t="str">
        <x:v>由共享基础引擎判定；近位提高相关功能进入亲密关系核心的概率，远位只作背景或阶段修正。</x:v>
      </x:c>
      <x:c r="P272" s="20" t="str">
        <x:v>根气只修正某修复功能是否容易重复调用，不等于现实中已经持续改变。</x:v>
      </x:c>
      <x:c r="Q272" s="20" t="str">
        <x:v>旺弱只修正功能调用强度与占位，不直接等同修复质量、诚意或关系结果。</x:v>
      </x:c>
      <x:c r="R272" s="20" t="str">
        <x:v>喜忌只修正功能摩擦、平衡与承载，不直接等同道德、成熟、善恶或是否值得原谅。</x:v>
      </x:c>
      <x:c r="S272" s="20" t="str">
        <x:v>原十神功能有效；真合化成立时按化神功能替换，合化争议时停止定性。</x:v>
      </x:c>
      <x:c r="T272" s="20" t="str">
        <x:v>近位提高修复议题与亲密关系的直接相关性；远位仅保留背景、阶段或低置信修正。</x:v>
      </x:c>
      <x:c r="U272" s="20" t="str">
        <x:v>72</x:v>
      </x:c>
      <x:c r="V272" s="20" t="str">
        <x:v>机制证据＋5；反例－4至停止</x:v>
      </x:c>
      <x:c r="W272" s="20" t="str">
        <x:v>repair_failure_mechanism</x:v>
      </x:c>
      <x:c r="X272" s="20" t="str">
        <x:v>路由用于说明卡点发生在哪一步。</x:v>
      </x:c>
      <x:c r="Y272" s="20" t="str">
        <x:v>这项卡点要连接到具体事件和缺失节点，而不是单独贴标签。</x:v>
      </x:c>
      <x:c r="Z27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2" s="20" t="str">
        <x:v>中高</x:v>
      </x:c>
      <x:c r="AB272" s="20" t="str">
        <x:v>待验证</x:v>
      </x:c>
      <x:c r="AC272" s="20" t="str"/>
      <x:c r="AD272" s="20" t="str">
        <x:v>provisional=true；M3-REPAIR尚未完成，完成条件为暂定功能模型。</x:v>
      </x:c>
      <x:c r="AE272" s="52" t="str">
        <x:v>0.7</x:v>
      </x:c>
    </x:row>
    <x:row r="273">
      <x:c r="A273" s="51" t="str">
        <x:v>M4-REPAIR-272</x:v>
      </x:c>
      <x:c r="B273" s="20" t="str">
        <x:v>RF01 关键节点缺失｜反例门控</x:v>
      </x:c>
      <x:c r="C273" s="20" t="str">
        <x:v>L5 修复断链机制</x:v>
      </x:c>
      <x:c r="D273" s="20" t="str">
        <x:v>REPAIR-断链机制</x:v>
      </x:c>
      <x:c r="E273" s="20" t="str">
        <x:v>通用</x:v>
      </x:c>
      <x:c r="F273" s="20" t="str">
        <x:v>反例</x:v>
      </x:c>
      <x:c r="G273" s="20" t="str">
        <x:v>RF01</x:v>
      </x:c>
      <x:c r="H273" s="20" t="str"/>
      <x:c r="I273" s="20" t="str">
        <x:v>检查：相应节点由其他等价功能真实完成。</x:v>
      </x:c>
      <x:c r="J273" s="20" t="str">
        <x:v>忽略现实中成功修复或合理边界。</x:v>
      </x:c>
      <x:c r="K273" s="20" t="str">
        <x:v>由共享基础引擎提供；仅修正修复功能的承载、持续与压力占位，不直接等同是否愿意认错或能否修复。</x:v>
      </x:c>
      <x:c r="L273" s="20" t="str">
        <x:v>由M1／M2提供；夫妻星只说明伴侣原型与关系资格，不单独证明修复能力、修复意愿或修复结果。</x:v>
      </x:c>
      <x:c r="M273" s="20" t="str">
        <x:v>由M3-BASE提供；日支底盘说明亲密关系中自然调用的功能，但不能单独证明修复闭环。</x:v>
      </x:c>
      <x:c r="N273" s="20" t="str">
        <x:v>由M3-CONFLICT、M4-LOOP及现实事件提供；必须区分问题停止、责任承担、影响确认、行动改变、反馈整合与后续回访。</x:v>
      </x:c>
      <x:c r="O273" s="20" t="str">
        <x:v>由共享基础引擎判定；近位提高相关功能进入亲密关系核心的概率，远位只作背景或阶段修正。</x:v>
      </x:c>
      <x:c r="P273" s="20" t="str">
        <x:v>根气只修正某修复功能是否容易重复调用，不等于现实中已经持续改变。</x:v>
      </x:c>
      <x:c r="Q273" s="20" t="str">
        <x:v>旺弱只修正功能调用强度与占位，不直接等同修复质量、诚意或关系结果。</x:v>
      </x:c>
      <x:c r="R273" s="20" t="str">
        <x:v>喜忌只修正功能摩擦、平衡与承载，不直接等同道德、成熟、善恶或是否值得原谅。</x:v>
      </x:c>
      <x:c r="S273" s="20" t="str">
        <x:v>原十神功能有效；真合化成立时按化神功能替换，合化争议时停止定性。</x:v>
      </x:c>
      <x:c r="T273" s="20" t="str">
        <x:v>近位提高修复议题与亲密关系的直接相关性；远位仅保留背景、阶段或低置信修正。</x:v>
      </x:c>
      <x:c r="U273" s="20" t="str">
        <x:v>88</x:v>
      </x:c>
      <x:c r="V273" s="20" t="str">
        <x:v>机制证据＋5；反例－4至停止</x:v>
      </x:c>
      <x:c r="W273" s="20" t="str">
        <x:v>repair_failure_mechanism</x:v>
      </x:c>
      <x:c r="X273" s="20" t="str">
        <x:v>反例可能使RF候选降级或停止。</x:v>
      </x:c>
      <x:c r="Y273" s="20" t="str">
        <x:v>若现实中已经通过其他方式完成同一任务，应降低这项判断。</x:v>
      </x:c>
      <x:c r="Z27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3" s="20" t="str">
        <x:v>中高</x:v>
      </x:c>
      <x:c r="AB273" s="20" t="str">
        <x:v>待验证</x:v>
      </x:c>
      <x:c r="AC273" s="20" t="str"/>
      <x:c r="AD273" s="20" t="str">
        <x:v>provisional=true；M3-REPAIR尚未完成，完成条件为暂定功能模型。</x:v>
      </x:c>
      <x:c r="AE273" s="52" t="str">
        <x:v>0.7</x:v>
      </x:c>
    </x:row>
    <x:row r="274">
      <x:c r="A274" s="51" t="str">
        <x:v>M4-REPAIR-273</x:v>
      </x:c>
      <x:c r="B274" s="20" t="str">
        <x:v>RF01 关键节点缺失｜用户输出</x:v>
      </x:c>
      <x:c r="C274" s="20" t="str">
        <x:v>L5 修复断链机制</x:v>
      </x:c>
      <x:c r="D274" s="20" t="str">
        <x:v>REPAIR-断链机制</x:v>
      </x:c>
      <x:c r="E274" s="20" t="str">
        <x:v>通用</x:v>
      </x:c>
      <x:c r="F274" s="20" t="str">
        <x:v>输出</x:v>
      </x:c>
      <x:c r="G274" s="20" t="str">
        <x:v>RF01</x:v>
      </x:c>
      <x:c r="H274" s="20" t="str"/>
      <x:c r="I274" s="20" t="str">
        <x:v>RF达到E2以上，并完成接收方反馈与安全检查。</x:v>
      </x:c>
      <x:c r="J274" s="20" t="str">
        <x:v>资料不足或安全停止。</x:v>
      </x:c>
      <x:c r="K274" s="20" t="str">
        <x:v>由共享基础引擎提供；仅修正修复功能的承载、持续与压力占位，不直接等同是否愿意认错或能否修复。</x:v>
      </x:c>
      <x:c r="L274" s="20" t="str">
        <x:v>由M1／M2提供；夫妻星只说明伴侣原型与关系资格，不单独证明修复能力、修复意愿或修复结果。</x:v>
      </x:c>
      <x:c r="M274" s="20" t="str">
        <x:v>由M3-BASE提供；日支底盘说明亲密关系中自然调用的功能，但不能单独证明修复闭环。</x:v>
      </x:c>
      <x:c r="N274" s="20" t="str">
        <x:v>由M3-CONFLICT、M4-LOOP及现实事件提供；必须区分问题停止、责任承担、影响确认、行动改变、反馈整合与后续回访。</x:v>
      </x:c>
      <x:c r="O274" s="20" t="str">
        <x:v>由共享基础引擎判定；近位提高相关功能进入亲密关系核心的概率，远位只作背景或阶段修正。</x:v>
      </x:c>
      <x:c r="P274" s="20" t="str">
        <x:v>根气只修正某修复功能是否容易重复调用，不等于现实中已经持续改变。</x:v>
      </x:c>
      <x:c r="Q274" s="20" t="str">
        <x:v>旺弱只修正功能调用强度与占位，不直接等同修复质量、诚意或关系结果。</x:v>
      </x:c>
      <x:c r="R274" s="20" t="str">
        <x:v>喜忌只修正功能摩擦、平衡与承载，不直接等同道德、成熟、善恶或是否值得原谅。</x:v>
      </x:c>
      <x:c r="S274" s="20" t="str">
        <x:v>原十神功能有效；真合化成立时按化神功能替换，合化争议时停止定性。</x:v>
      </x:c>
      <x:c r="T274" s="20" t="str">
        <x:v>近位提高修复议题与亲密关系的直接相关性；远位仅保留背景、阶段或低置信修正。</x:v>
      </x:c>
      <x:c r="U274" s="20" t="str">
        <x:v>72</x:v>
      </x:c>
      <x:c r="V274" s="20" t="str">
        <x:v>机制证据＋5；反例－4至停止</x:v>
      </x:c>
      <x:c r="W274" s="20" t="str">
        <x:v>repair_failure_mechanism</x:v>
      </x:c>
      <x:c r="X274" s="20" t="str">
        <x:v>输出说明功能仍有价值，卡点在转换或持续。</x:v>
      </x:c>
      <x:c r="Y274" s="20" t="str">
        <x:v>不是所有步骤都缺，而是某个必要任务始终没有被处理。</x:v>
      </x:c>
      <x:c r="Z27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4" s="20" t="str">
        <x:v>中高</x:v>
      </x:c>
      <x:c r="AB274" s="20" t="str">
        <x:v>待验证</x:v>
      </x:c>
      <x:c r="AC274" s="20" t="str"/>
      <x:c r="AD274" s="20" t="str">
        <x:v>provisional=true；M3-REPAIR尚未完成，完成条件为暂定功能模型。</x:v>
      </x:c>
      <x:c r="AE274" s="52" t="str">
        <x:v>0.7</x:v>
      </x:c>
    </x:row>
    <x:row r="275">
      <x:c r="A275" s="51" t="str">
        <x:v>M4-REPAIR-274</x:v>
      </x:c>
      <x:c r="B275" s="20" t="str">
        <x:v>RF01 关键节点缺失｜退出条件</x:v>
      </x:c>
      <x:c r="C275" s="20" t="str">
        <x:v>L5 修复断链机制</x:v>
      </x:c>
      <x:c r="D275" s="20" t="str">
        <x:v>REPAIR-断链机制</x:v>
      </x:c>
      <x:c r="E275" s="20" t="str">
        <x:v>通用</x:v>
      </x:c>
      <x:c r="F275" s="20" t="str">
        <x:v>保护</x:v>
      </x:c>
      <x:c r="G275" s="20" t="str">
        <x:v>RF01</x:v>
      </x:c>
      <x:c r="H275" s="20" t="str"/>
      <x:c r="I275" s="20" t="str">
        <x:v>补入缺失节点并让接收方验证。</x:v>
      </x:c>
      <x:c r="J275" s="20" t="str">
        <x:v>只给抽象建议，没有可观察步骤。</x:v>
      </x:c>
      <x:c r="K275" s="20" t="str">
        <x:v>由共享基础引擎提供；仅修正修复功能的承载、持续与压力占位，不直接等同是否愿意认错或能否修复。</x:v>
      </x:c>
      <x:c r="L275" s="20" t="str">
        <x:v>由M1／M2提供；夫妻星只说明伴侣原型与关系资格，不单独证明修复能力、修复意愿或修复结果。</x:v>
      </x:c>
      <x:c r="M275" s="20" t="str">
        <x:v>由M3-BASE提供；日支底盘说明亲密关系中自然调用的功能，但不能单独证明修复闭环。</x:v>
      </x:c>
      <x:c r="N275" s="20" t="str">
        <x:v>由M3-CONFLICT、M4-LOOP及现实事件提供；必须区分问题停止、责任承担、影响确认、行动改变、反馈整合与后续回访。</x:v>
      </x:c>
      <x:c r="O275" s="20" t="str">
        <x:v>由共享基础引擎判定；近位提高相关功能进入亲密关系核心的概率，远位只作背景或阶段修正。</x:v>
      </x:c>
      <x:c r="P275" s="20" t="str">
        <x:v>根气只修正某修复功能是否容易重复调用，不等于现实中已经持续改变。</x:v>
      </x:c>
      <x:c r="Q275" s="20" t="str">
        <x:v>旺弱只修正功能调用强度与占位，不直接等同修复质量、诚意或关系结果。</x:v>
      </x:c>
      <x:c r="R275" s="20" t="str">
        <x:v>喜忌只修正功能摩擦、平衡与承载，不直接等同道德、成熟、善恶或是否值得原谅。</x:v>
      </x:c>
      <x:c r="S275" s="20" t="str">
        <x:v>原十神功能有效；真合化成立时按化神功能替换，合化争议时停止定性。</x:v>
      </x:c>
      <x:c r="T275" s="20" t="str">
        <x:v>近位提高修复议题与亲密关系的直接相关性；远位仅保留背景、阶段或低置信修正。</x:v>
      </x:c>
      <x:c r="U275" s="20" t="str">
        <x:v>72</x:v>
      </x:c>
      <x:c r="V275" s="20" t="str">
        <x:v>机制证据＋5；反例－4至停止</x:v>
      </x:c>
      <x:c r="W275" s="20" t="str">
        <x:v>repair_failure_mechanism</x:v>
      </x:c>
      <x:c r="X275" s="20" t="str">
        <x:v>退出条件要直接恢复缺失节点或转换。</x:v>
      </x:c>
      <x:c r="Y275" s="20" t="str">
        <x:v>关键中断点是：补入缺失节点并让接收方验证。</x:v>
      </x:c>
      <x:c r="Z27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5" s="20" t="str">
        <x:v>中高</x:v>
      </x:c>
      <x:c r="AB275" s="20" t="str">
        <x:v>待验证</x:v>
      </x:c>
      <x:c r="AC275" s="20" t="str"/>
      <x:c r="AD275" s="20" t="str">
        <x:v>provisional=true；M3-REPAIR尚未完成，完成条件为暂定功能模型。</x:v>
      </x:c>
      <x:c r="AE275" s="52" t="str">
        <x:v>0.7</x:v>
      </x:c>
    </x:row>
    <x:row r="276">
      <x:c r="A276" s="51" t="str">
        <x:v>M4-REPAIR-275</x:v>
      </x:c>
      <x:c r="B276" s="20" t="str">
        <x:v>RF02 单通道替代完整修复｜机制定义</x:v>
      </x:c>
      <x:c r="C276" s="20" t="str">
        <x:v>L5 修复断链机制</x:v>
      </x:c>
      <x:c r="D276" s="20" t="str">
        <x:v>REPAIR-断链机制</x:v>
      </x:c>
      <x:c r="E276" s="20" t="str">
        <x:v>通用</x:v>
      </x:c>
      <x:c r="F276" s="20" t="str">
        <x:v>定义</x:v>
      </x:c>
      <x:c r="G276" s="20" t="str">
        <x:v>RF02</x:v>
      </x:c>
      <x:c r="H276" s="20" t="str"/>
      <x:c r="I276" s="20" t="str">
        <x:v>解释、安抚、行动、补偿、规则或反思承担了全部修复任务。</x:v>
      </x:c>
      <x:c r="J276" s="20" t="str">
        <x:v>只凭十神或一次模糊印象。</x:v>
      </x:c>
      <x:c r="K276" s="20" t="str">
        <x:v>由共享基础引擎提供；仅修正修复功能的承载、持续与压力占位，不直接等同是否愿意认错或能否修复。</x:v>
      </x:c>
      <x:c r="L276" s="20" t="str">
        <x:v>由M1／M2提供；夫妻星只说明伴侣原型与关系资格，不单独证明修复能力、修复意愿或修复结果。</x:v>
      </x:c>
      <x:c r="M276" s="20" t="str">
        <x:v>由M3-BASE提供；日支底盘说明亲密关系中自然调用的功能，但不能单独证明修复闭环。</x:v>
      </x:c>
      <x:c r="N276" s="20" t="str">
        <x:v>由M3-CONFLICT、M4-LOOP及现实事件提供；必须区分问题停止、责任承担、影响确认、行动改变、反馈整合与后续回访。</x:v>
      </x:c>
      <x:c r="O276" s="20" t="str">
        <x:v>由共享基础引擎判定；近位提高相关功能进入亲密关系核心的概率，远位只作背景或阶段修正。</x:v>
      </x:c>
      <x:c r="P276" s="20" t="str">
        <x:v>根气只修正某修复功能是否容易重复调用，不等于现实中已经持续改变。</x:v>
      </x:c>
      <x:c r="Q276" s="20" t="str">
        <x:v>旺弱只修正功能调用强度与占位，不直接等同修复质量、诚意或关系结果。</x:v>
      </x:c>
      <x:c r="R276" s="20" t="str">
        <x:v>喜忌只修正功能摩擦、平衡与承载，不直接等同道德、成熟、善恶或是否值得原谅。</x:v>
      </x:c>
      <x:c r="S276" s="20" t="str">
        <x:v>原十神功能有效；真合化成立时按化神功能替换，合化争议时停止定性。</x:v>
      </x:c>
      <x:c r="T276" s="20" t="str">
        <x:v>近位提高修复议题与亲密关系的直接相关性；远位仅保留背景、阶段或低置信修正。</x:v>
      </x:c>
      <x:c r="U276" s="20" t="str">
        <x:v>72</x:v>
      </x:c>
      <x:c r="V276" s="20" t="str">
        <x:v>机制证据＋5；反例－4至停止</x:v>
      </x:c>
      <x:c r="W276" s="20" t="str">
        <x:v>repair_failure_mechanism</x:v>
      </x:c>
      <x:c r="X276" s="20" t="str">
        <x:v>RF机制描述修复链怎样断开，不等同人格标签。</x:v>
      </x:c>
      <x:c r="Y276" s="20" t="str">
        <x:v>修复卡点不在你没有行动，而在同一种方式承担了太多不同任务。</x:v>
      </x:c>
      <x:c r="Z27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6" s="20" t="str">
        <x:v>中高</x:v>
      </x:c>
      <x:c r="AB276" s="20" t="str">
        <x:v>待验证</x:v>
      </x:c>
      <x:c r="AC276" s="20" t="str"/>
      <x:c r="AD276" s="20" t="str">
        <x:v>provisional=true；M3-REPAIR尚未完成，完成条件为暂定功能模型。</x:v>
      </x:c>
      <x:c r="AE276" s="52" t="str">
        <x:v>0.7</x:v>
      </x:c>
    </x:row>
    <x:row r="277">
      <x:c r="A277" s="51" t="str">
        <x:v>M4-REPAIR-276</x:v>
      </x:c>
      <x:c r="B277" s="20" t="str">
        <x:v>RF02 单通道替代完整修复｜识别条件</x:v>
      </x:c>
      <x:c r="C277" s="20" t="str">
        <x:v>L5 修复断链机制</x:v>
      </x:c>
      <x:c r="D277" s="20" t="str">
        <x:v>REPAIR-断链机制</x:v>
      </x:c>
      <x:c r="E277" s="20" t="str">
        <x:v>通用</x:v>
      </x:c>
      <x:c r="F277" s="20" t="str">
        <x:v>证据</x:v>
      </x:c>
      <x:c r="G277" s="20" t="str">
        <x:v>RF02</x:v>
      </x:c>
      <x:c r="H277" s="20" t="str"/>
      <x:c r="I277" s="20" t="str">
        <x:v>一个通道反复出现，其他不同任务长期没有进入。</x:v>
      </x:c>
      <x:c r="J277" s="20" t="str">
        <x:v>单通道确实同时完成多个任务且有接收方反馈。</x:v>
      </x:c>
      <x:c r="K277" s="20" t="str">
        <x:v>由共享基础引擎提供；仅修正修复功能的承载、持续与压力占位，不直接等同是否愿意认错或能否修复。</x:v>
      </x:c>
      <x:c r="L277" s="20" t="str">
        <x:v>由M1／M2提供；夫妻星只说明伴侣原型与关系资格，不单独证明修复能力、修复意愿或修复结果。</x:v>
      </x:c>
      <x:c r="M277" s="20" t="str">
        <x:v>由M3-BASE提供；日支底盘说明亲密关系中自然调用的功能，但不能单独证明修复闭环。</x:v>
      </x:c>
      <x:c r="N277" s="20" t="str">
        <x:v>由M3-CONFLICT、M4-LOOP及现实事件提供；必须区分问题停止、责任承担、影响确认、行动改变、反馈整合与后续回访。</x:v>
      </x:c>
      <x:c r="O277" s="20" t="str">
        <x:v>由共享基础引擎判定；近位提高相关功能进入亲密关系核心的概率，远位只作背景或阶段修正。</x:v>
      </x:c>
      <x:c r="P277" s="20" t="str">
        <x:v>根气只修正某修复功能是否容易重复调用，不等于现实中已经持续改变。</x:v>
      </x:c>
      <x:c r="Q277" s="20" t="str">
        <x:v>旺弱只修正功能调用强度与占位，不直接等同修复质量、诚意或关系结果。</x:v>
      </x:c>
      <x:c r="R277" s="20" t="str">
        <x:v>喜忌只修正功能摩擦、平衡与承载，不直接等同道德、成熟、善恶或是否值得原谅。</x:v>
      </x:c>
      <x:c r="S277" s="20" t="str">
        <x:v>原十神功能有效；真合化成立时按化神功能替换，合化争议时停止定性。</x:v>
      </x:c>
      <x:c r="T277" s="20" t="str">
        <x:v>近位提高修复议题与亲密关系的直接相关性；远位仅保留背景、阶段或低置信修正。</x:v>
      </x:c>
      <x:c r="U277" s="20" t="str">
        <x:v>88</x:v>
      </x:c>
      <x:c r="V277" s="20" t="str">
        <x:v>机制证据＋5；反例－4至停止</x:v>
      </x:c>
      <x:c r="W277" s="20" t="str">
        <x:v>repair_failure_mechanism</x:v>
      </x:c>
      <x:c r="X277" s="20" t="str">
        <x:v>必须有现实事件顺序和节点证据。</x:v>
      </x:c>
      <x:c r="Y277" s="20" t="str">
        <x:v>需要检查：一个通道反复出现，其他不同任务长期没有进入。</x:v>
      </x:c>
      <x:c r="Z27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7" s="20" t="str">
        <x:v>中高</x:v>
      </x:c>
      <x:c r="AB277" s="20" t="str">
        <x:v>待验证</x:v>
      </x:c>
      <x:c r="AC277" s="20" t="str"/>
      <x:c r="AD277" s="20" t="str">
        <x:v>provisional=true；M3-REPAIR尚未完成，完成条件为暂定功能模型。</x:v>
      </x:c>
      <x:c r="AE277" s="52" t="str">
        <x:v>0.7</x:v>
      </x:c>
    </x:row>
    <x:row r="278">
      <x:c r="A278" s="51" t="str">
        <x:v>M4-REPAIR-277</x:v>
      </x:c>
      <x:c r="B278" s="20" t="str">
        <x:v>RF02 单通道替代完整修复｜功能路由</x:v>
      </x:c>
      <x:c r="C278" s="20" t="str">
        <x:v>L5 修复断链机制</x:v>
      </x:c>
      <x:c r="D278" s="20" t="str">
        <x:v>REPAIR-断链机制</x:v>
      </x:c>
      <x:c r="E278" s="20" t="str">
        <x:v>通用</x:v>
      </x:c>
      <x:c r="F278" s="20" t="str">
        <x:v>路由</x:v>
      </x:c>
      <x:c r="G278" s="20" t="str">
        <x:v>RF02</x:v>
      </x:c>
      <x:c r="H278" s="20" t="str"/>
      <x:c r="I278" s="20" t="str">
        <x:v>该机制与一个明确RB盲点、RI事件类型或LP循环相连。</x:v>
      </x:c>
      <x:c r="J278" s="20" t="str">
        <x:v>只有共现，没有功能关系。</x:v>
      </x:c>
      <x:c r="K278" s="20" t="str">
        <x:v>由共享基础引擎提供；仅修正修复功能的承载、持续与压力占位，不直接等同是否愿意认错或能否修复。</x:v>
      </x:c>
      <x:c r="L278" s="20" t="str">
        <x:v>由M1／M2提供；夫妻星只说明伴侣原型与关系资格，不单独证明修复能力、修复意愿或修复结果。</x:v>
      </x:c>
      <x:c r="M278" s="20" t="str">
        <x:v>由M3-BASE提供；日支底盘说明亲密关系中自然调用的功能，但不能单独证明修复闭环。</x:v>
      </x:c>
      <x:c r="N278" s="20" t="str">
        <x:v>由M3-CONFLICT、M4-LOOP及现实事件提供；必须区分问题停止、责任承担、影响确认、行动改变、反馈整合与后续回访。</x:v>
      </x:c>
      <x:c r="O278" s="20" t="str">
        <x:v>由共享基础引擎判定；近位提高相关功能进入亲密关系核心的概率，远位只作背景或阶段修正。</x:v>
      </x:c>
      <x:c r="P278" s="20" t="str">
        <x:v>根气只修正某修复功能是否容易重复调用，不等于现实中已经持续改变。</x:v>
      </x:c>
      <x:c r="Q278" s="20" t="str">
        <x:v>旺弱只修正功能调用强度与占位，不直接等同修复质量、诚意或关系结果。</x:v>
      </x:c>
      <x:c r="R278" s="20" t="str">
        <x:v>喜忌只修正功能摩擦、平衡与承载，不直接等同道德、成熟、善恶或是否值得原谅。</x:v>
      </x:c>
      <x:c r="S278" s="20" t="str">
        <x:v>原十神功能有效；真合化成立时按化神功能替换，合化争议时停止定性。</x:v>
      </x:c>
      <x:c r="T278" s="20" t="str">
        <x:v>近位提高修复议题与亲密关系的直接相关性；远位仅保留背景、阶段或低置信修正。</x:v>
      </x:c>
      <x:c r="U278" s="20" t="str">
        <x:v>72</x:v>
      </x:c>
      <x:c r="V278" s="20" t="str">
        <x:v>机制证据＋5；反例－4至停止</x:v>
      </x:c>
      <x:c r="W278" s="20" t="str">
        <x:v>repair_failure_mechanism</x:v>
      </x:c>
      <x:c r="X278" s="20" t="str">
        <x:v>路由用于说明卡点发生在哪一步。</x:v>
      </x:c>
      <x:c r="Y278" s="20" t="str">
        <x:v>这项卡点要连接到具体事件和缺失节点，而不是单独贴标签。</x:v>
      </x:c>
      <x:c r="Z27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8" s="20" t="str">
        <x:v>中高</x:v>
      </x:c>
      <x:c r="AB278" s="20" t="str">
        <x:v>待验证</x:v>
      </x:c>
      <x:c r="AC278" s="20" t="str"/>
      <x:c r="AD278" s="20" t="str">
        <x:v>provisional=true；M3-REPAIR尚未完成，完成条件为暂定功能模型。</x:v>
      </x:c>
      <x:c r="AE278" s="52" t="str">
        <x:v>0.7</x:v>
      </x:c>
    </x:row>
    <x:row r="279">
      <x:c r="A279" s="51" t="str">
        <x:v>M4-REPAIR-278</x:v>
      </x:c>
      <x:c r="B279" s="20" t="str">
        <x:v>RF02 单通道替代完整修复｜反例门控</x:v>
      </x:c>
      <x:c r="C279" s="20" t="str">
        <x:v>L5 修复断链机制</x:v>
      </x:c>
      <x:c r="D279" s="20" t="str">
        <x:v>REPAIR-断链机制</x:v>
      </x:c>
      <x:c r="E279" s="20" t="str">
        <x:v>通用</x:v>
      </x:c>
      <x:c r="F279" s="20" t="str">
        <x:v>反例</x:v>
      </x:c>
      <x:c r="G279" s="20" t="str">
        <x:v>RF02</x:v>
      </x:c>
      <x:c r="H279" s="20" t="str"/>
      <x:c r="I279" s="20" t="str">
        <x:v>检查：单通道确实同时完成多个任务且有接收方反馈。</x:v>
      </x:c>
      <x:c r="J279" s="20" t="str">
        <x:v>忽略现实中成功修复或合理边界。</x:v>
      </x:c>
      <x:c r="K279" s="20" t="str">
        <x:v>由共享基础引擎提供；仅修正修复功能的承载、持续与压力占位，不直接等同是否愿意认错或能否修复。</x:v>
      </x:c>
      <x:c r="L279" s="20" t="str">
        <x:v>由M1／M2提供；夫妻星只说明伴侣原型与关系资格，不单独证明修复能力、修复意愿或修复结果。</x:v>
      </x:c>
      <x:c r="M279" s="20" t="str">
        <x:v>由M3-BASE提供；日支底盘说明亲密关系中自然调用的功能，但不能单独证明修复闭环。</x:v>
      </x:c>
      <x:c r="N279" s="20" t="str">
        <x:v>由M3-CONFLICT、M4-LOOP及现实事件提供；必须区分问题停止、责任承担、影响确认、行动改变、反馈整合与后续回访。</x:v>
      </x:c>
      <x:c r="O279" s="20" t="str">
        <x:v>由共享基础引擎判定；近位提高相关功能进入亲密关系核心的概率，远位只作背景或阶段修正。</x:v>
      </x:c>
      <x:c r="P279" s="20" t="str">
        <x:v>根气只修正某修复功能是否容易重复调用，不等于现实中已经持续改变。</x:v>
      </x:c>
      <x:c r="Q279" s="20" t="str">
        <x:v>旺弱只修正功能调用强度与占位，不直接等同修复质量、诚意或关系结果。</x:v>
      </x:c>
      <x:c r="R279" s="20" t="str">
        <x:v>喜忌只修正功能摩擦、平衡与承载，不直接等同道德、成熟、善恶或是否值得原谅。</x:v>
      </x:c>
      <x:c r="S279" s="20" t="str">
        <x:v>原十神功能有效；真合化成立时按化神功能替换，合化争议时停止定性。</x:v>
      </x:c>
      <x:c r="T279" s="20" t="str">
        <x:v>近位提高修复议题与亲密关系的直接相关性；远位仅保留背景、阶段或低置信修正。</x:v>
      </x:c>
      <x:c r="U279" s="20" t="str">
        <x:v>88</x:v>
      </x:c>
      <x:c r="V279" s="20" t="str">
        <x:v>机制证据＋5；反例－4至停止</x:v>
      </x:c>
      <x:c r="W279" s="20" t="str">
        <x:v>repair_failure_mechanism</x:v>
      </x:c>
      <x:c r="X279" s="20" t="str">
        <x:v>反例可能使RF候选降级或停止。</x:v>
      </x:c>
      <x:c r="Y279" s="20" t="str">
        <x:v>若现实中已经通过其他方式完成同一任务，应降低这项判断。</x:v>
      </x:c>
      <x:c r="Z27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79" s="20" t="str">
        <x:v>中高</x:v>
      </x:c>
      <x:c r="AB279" s="20" t="str">
        <x:v>待验证</x:v>
      </x:c>
      <x:c r="AC279" s="20" t="str"/>
      <x:c r="AD279" s="20" t="str">
        <x:v>provisional=true；M3-REPAIR尚未完成，完成条件为暂定功能模型。</x:v>
      </x:c>
      <x:c r="AE279" s="52" t="str">
        <x:v>0.7</x:v>
      </x:c>
    </x:row>
    <x:row r="280">
      <x:c r="A280" s="51" t="str">
        <x:v>M4-REPAIR-279</x:v>
      </x:c>
      <x:c r="B280" s="20" t="str">
        <x:v>RF02 单通道替代完整修复｜用户输出</x:v>
      </x:c>
      <x:c r="C280" s="20" t="str">
        <x:v>L5 修复断链机制</x:v>
      </x:c>
      <x:c r="D280" s="20" t="str">
        <x:v>REPAIR-断链机制</x:v>
      </x:c>
      <x:c r="E280" s="20" t="str">
        <x:v>通用</x:v>
      </x:c>
      <x:c r="F280" s="20" t="str">
        <x:v>输出</x:v>
      </x:c>
      <x:c r="G280" s="20" t="str">
        <x:v>RF02</x:v>
      </x:c>
      <x:c r="H280" s="20" t="str"/>
      <x:c r="I280" s="20" t="str">
        <x:v>RF达到E2以上，并完成接收方反馈与安全检查。</x:v>
      </x:c>
      <x:c r="J280" s="20" t="str">
        <x:v>资料不足或安全停止。</x:v>
      </x:c>
      <x:c r="K280" s="20" t="str">
        <x:v>由共享基础引擎提供；仅修正修复功能的承载、持续与压力占位，不直接等同是否愿意认错或能否修复。</x:v>
      </x:c>
      <x:c r="L280" s="20" t="str">
        <x:v>由M1／M2提供；夫妻星只说明伴侣原型与关系资格，不单独证明修复能力、修复意愿或修复结果。</x:v>
      </x:c>
      <x:c r="M280" s="20" t="str">
        <x:v>由M3-BASE提供；日支底盘说明亲密关系中自然调用的功能，但不能单独证明修复闭环。</x:v>
      </x:c>
      <x:c r="N280" s="20" t="str">
        <x:v>由M3-CONFLICT、M4-LOOP及现实事件提供；必须区分问题停止、责任承担、影响确认、行动改变、反馈整合与后续回访。</x:v>
      </x:c>
      <x:c r="O280" s="20" t="str">
        <x:v>由共享基础引擎判定；近位提高相关功能进入亲密关系核心的概率，远位只作背景或阶段修正。</x:v>
      </x:c>
      <x:c r="P280" s="20" t="str">
        <x:v>根气只修正某修复功能是否容易重复调用，不等于现实中已经持续改变。</x:v>
      </x:c>
      <x:c r="Q280" s="20" t="str">
        <x:v>旺弱只修正功能调用强度与占位，不直接等同修复质量、诚意或关系结果。</x:v>
      </x:c>
      <x:c r="R280" s="20" t="str">
        <x:v>喜忌只修正功能摩擦、平衡与承载，不直接等同道德、成熟、善恶或是否值得原谅。</x:v>
      </x:c>
      <x:c r="S280" s="20" t="str">
        <x:v>原十神功能有效；真合化成立时按化神功能替换，合化争议时停止定性。</x:v>
      </x:c>
      <x:c r="T280" s="20" t="str">
        <x:v>近位提高修复议题与亲密关系的直接相关性；远位仅保留背景、阶段或低置信修正。</x:v>
      </x:c>
      <x:c r="U280" s="20" t="str">
        <x:v>72</x:v>
      </x:c>
      <x:c r="V280" s="20" t="str">
        <x:v>机制证据＋5；反例－4至停止</x:v>
      </x:c>
      <x:c r="W280" s="20" t="str">
        <x:v>repair_failure_mechanism</x:v>
      </x:c>
      <x:c r="X280" s="20" t="str">
        <x:v>输出说明功能仍有价值，卡点在转换或持续。</x:v>
      </x:c>
      <x:c r="Y280" s="20" t="str">
        <x:v>修复卡点不在你没有行动，而在同一种方式承担了太多不同任务。</x:v>
      </x:c>
      <x:c r="Z28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0" s="20" t="str">
        <x:v>中高</x:v>
      </x:c>
      <x:c r="AB280" s="20" t="str">
        <x:v>待验证</x:v>
      </x:c>
      <x:c r="AC280" s="20" t="str"/>
      <x:c r="AD280" s="20" t="str">
        <x:v>provisional=true；M3-REPAIR尚未完成，完成条件为暂定功能模型。</x:v>
      </x:c>
      <x:c r="AE280" s="52" t="str">
        <x:v>0.7</x:v>
      </x:c>
    </x:row>
    <x:row r="281">
      <x:c r="A281" s="51" t="str">
        <x:v>M4-REPAIR-280</x:v>
      </x:c>
      <x:c r="B281" s="20" t="str">
        <x:v>RF02 单通道替代完整修复｜退出条件</x:v>
      </x:c>
      <x:c r="C281" s="20" t="str">
        <x:v>L5 修复断链机制</x:v>
      </x:c>
      <x:c r="D281" s="20" t="str">
        <x:v>REPAIR-断链机制</x:v>
      </x:c>
      <x:c r="E281" s="20" t="str">
        <x:v>通用</x:v>
      </x:c>
      <x:c r="F281" s="20" t="str">
        <x:v>保护</x:v>
      </x:c>
      <x:c r="G281" s="20" t="str">
        <x:v>RF02</x:v>
      </x:c>
      <x:c r="H281" s="20" t="str"/>
      <x:c r="I281" s="20" t="str">
        <x:v>把熟悉通道与被替代任务分开处理。</x:v>
      </x:c>
      <x:c r="J281" s="20" t="str">
        <x:v>只给抽象建议，没有可观察步骤。</x:v>
      </x:c>
      <x:c r="K281" s="20" t="str">
        <x:v>由共享基础引擎提供；仅修正修复功能的承载、持续与压力占位，不直接等同是否愿意认错或能否修复。</x:v>
      </x:c>
      <x:c r="L281" s="20" t="str">
        <x:v>由M1／M2提供；夫妻星只说明伴侣原型与关系资格，不单独证明修复能力、修复意愿或修复结果。</x:v>
      </x:c>
      <x:c r="M281" s="20" t="str">
        <x:v>由M3-BASE提供；日支底盘说明亲密关系中自然调用的功能，但不能单独证明修复闭环。</x:v>
      </x:c>
      <x:c r="N281" s="20" t="str">
        <x:v>由M3-CONFLICT、M4-LOOP及现实事件提供；必须区分问题停止、责任承担、影响确认、行动改变、反馈整合与后续回访。</x:v>
      </x:c>
      <x:c r="O281" s="20" t="str">
        <x:v>由共享基础引擎判定；近位提高相关功能进入亲密关系核心的概率，远位只作背景或阶段修正。</x:v>
      </x:c>
      <x:c r="P281" s="20" t="str">
        <x:v>根气只修正某修复功能是否容易重复调用，不等于现实中已经持续改变。</x:v>
      </x:c>
      <x:c r="Q281" s="20" t="str">
        <x:v>旺弱只修正功能调用强度与占位，不直接等同修复质量、诚意或关系结果。</x:v>
      </x:c>
      <x:c r="R281" s="20" t="str">
        <x:v>喜忌只修正功能摩擦、平衡与承载，不直接等同道德、成熟、善恶或是否值得原谅。</x:v>
      </x:c>
      <x:c r="S281" s="20" t="str">
        <x:v>原十神功能有效；真合化成立时按化神功能替换，合化争议时停止定性。</x:v>
      </x:c>
      <x:c r="T281" s="20" t="str">
        <x:v>近位提高修复议题与亲密关系的直接相关性；远位仅保留背景、阶段或低置信修正。</x:v>
      </x:c>
      <x:c r="U281" s="20" t="str">
        <x:v>72</x:v>
      </x:c>
      <x:c r="V281" s="20" t="str">
        <x:v>机制证据＋5；反例－4至停止</x:v>
      </x:c>
      <x:c r="W281" s="20" t="str">
        <x:v>repair_failure_mechanism</x:v>
      </x:c>
      <x:c r="X281" s="20" t="str">
        <x:v>退出条件要直接恢复缺失节点或转换。</x:v>
      </x:c>
      <x:c r="Y281" s="20" t="str">
        <x:v>关键中断点是：把熟悉通道与被替代任务分开处理。</x:v>
      </x:c>
      <x:c r="Z28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1" s="20" t="str">
        <x:v>中高</x:v>
      </x:c>
      <x:c r="AB281" s="20" t="str">
        <x:v>待验证</x:v>
      </x:c>
      <x:c r="AC281" s="20" t="str"/>
      <x:c r="AD281" s="20" t="str">
        <x:v>provisional=true；M3-REPAIR尚未完成，完成条件为暂定功能模型。</x:v>
      </x:c>
      <x:c r="AE281" s="52" t="str">
        <x:v>0.7</x:v>
      </x:c>
    </x:row>
    <x:row r="282">
      <x:c r="A282" s="51" t="str">
        <x:v>M4-REPAIR-281</x:v>
      </x:c>
      <x:c r="B282" s="20" t="str">
        <x:v>RF03 过早结案｜机制定义</x:v>
      </x:c>
      <x:c r="C282" s="20" t="str">
        <x:v>L5 修复断链机制</x:v>
      </x:c>
      <x:c r="D282" s="20" t="str">
        <x:v>REPAIR-断链机制</x:v>
      </x:c>
      <x:c r="E282" s="20" t="str">
        <x:v>通用</x:v>
      </x:c>
      <x:c r="F282" s="20" t="str">
        <x:v>定义</x:v>
      </x:c>
      <x:c r="G282" s="20" t="str">
        <x:v>RF03</x:v>
      </x:c>
      <x:c r="H282" s="20" t="str"/>
      <x:c r="I282" s="20" t="str">
        <x:v>某个中间节点出现后，双方或一方宣布事情已经结束。</x:v>
      </x:c>
      <x:c r="J282" s="20" t="str">
        <x:v>只凭十神或一次模糊印象。</x:v>
      </x:c>
      <x:c r="K282" s="20" t="str">
        <x:v>由共享基础引擎提供；仅修正修复功能的承载、持续与压力占位，不直接等同是否愿意认错或能否修复。</x:v>
      </x:c>
      <x:c r="L282" s="20" t="str">
        <x:v>由M1／M2提供；夫妻星只说明伴侣原型与关系资格，不单独证明修复能力、修复意愿或修复结果。</x:v>
      </x:c>
      <x:c r="M282" s="20" t="str">
        <x:v>由M3-BASE提供；日支底盘说明亲密关系中自然调用的功能，但不能单独证明修复闭环。</x:v>
      </x:c>
      <x:c r="N282" s="20" t="str">
        <x:v>由M3-CONFLICT、M4-LOOP及现实事件提供；必须区分问题停止、责任承担、影响确认、行动改变、反馈整合与后续回访。</x:v>
      </x:c>
      <x:c r="O282" s="20" t="str">
        <x:v>由共享基础引擎判定；近位提高相关功能进入亲密关系核心的概率，远位只作背景或阶段修正。</x:v>
      </x:c>
      <x:c r="P282" s="20" t="str">
        <x:v>根气只修正某修复功能是否容易重复调用，不等于现实中已经持续改变。</x:v>
      </x:c>
      <x:c r="Q282" s="20" t="str">
        <x:v>旺弱只修正功能调用强度与占位，不直接等同修复质量、诚意或关系结果。</x:v>
      </x:c>
      <x:c r="R282" s="20" t="str">
        <x:v>喜忌只修正功能摩擦、平衡与承载，不直接等同道德、成熟、善恶或是否值得原谅。</x:v>
      </x:c>
      <x:c r="S282" s="20" t="str">
        <x:v>原十神功能有效；真合化成立时按化神功能替换，合化争议时停止定性。</x:v>
      </x:c>
      <x:c r="T282" s="20" t="str">
        <x:v>近位提高修复议题与亲密关系的直接相关性；远位仅保留背景、阶段或低置信修正。</x:v>
      </x:c>
      <x:c r="U282" s="20" t="str">
        <x:v>72</x:v>
      </x:c>
      <x:c r="V282" s="20" t="str">
        <x:v>机制证据＋5；反例－4至停止</x:v>
      </x:c>
      <x:c r="W282" s="20" t="str">
        <x:v>repair_failure_mechanism</x:v>
      </x:c>
      <x:c r="X282" s="20" t="str">
        <x:v>RF机制描述修复链怎样断开，不等同人格标签。</x:v>
      </x:c>
      <x:c r="Y282" s="20" t="str">
        <x:v>现在更像是某一步完成后过早关闭了修复，而不是所有任务都已完成。</x:v>
      </x:c>
      <x:c r="Z28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2" s="20" t="str">
        <x:v>中高</x:v>
      </x:c>
      <x:c r="AB282" s="20" t="str">
        <x:v>待验证</x:v>
      </x:c>
      <x:c r="AC282" s="20" t="str"/>
      <x:c r="AD282" s="20" t="str">
        <x:v>provisional=true；M3-REPAIR尚未完成，完成条件为暂定功能模型。</x:v>
      </x:c>
      <x:c r="AE282" s="52" t="str">
        <x:v>0.7</x:v>
      </x:c>
    </x:row>
    <x:row r="283">
      <x:c r="A283" s="51" t="str">
        <x:v>M4-REPAIR-282</x:v>
      </x:c>
      <x:c r="B283" s="20" t="str">
        <x:v>RF03 过早结案｜识别条件</x:v>
      </x:c>
      <x:c r="C283" s="20" t="str">
        <x:v>L5 修复断链机制</x:v>
      </x:c>
      <x:c r="D283" s="20" t="str">
        <x:v>REPAIR-断链机制</x:v>
      </x:c>
      <x:c r="E283" s="20" t="str">
        <x:v>通用</x:v>
      </x:c>
      <x:c r="F283" s="20" t="str">
        <x:v>证据</x:v>
      </x:c>
      <x:c r="G283" s="20" t="str">
        <x:v>RF03</x:v>
      </x:c>
      <x:c r="H283" s="20" t="str"/>
      <x:c r="I283" s="20" t="str">
        <x:v>RN02／RN03／RN06等单点出现后停止后续。</x:v>
      </x:c>
      <x:c r="J283" s="20" t="str">
        <x:v>事件本身轻微且最低节点确已完成。</x:v>
      </x:c>
      <x:c r="K283" s="20" t="str">
        <x:v>由共享基础引擎提供；仅修正修复功能的承载、持续与压力占位，不直接等同是否愿意认错或能否修复。</x:v>
      </x:c>
      <x:c r="L283" s="20" t="str">
        <x:v>由M1／M2提供；夫妻星只说明伴侣原型与关系资格，不单独证明修复能力、修复意愿或修复结果。</x:v>
      </x:c>
      <x:c r="M283" s="20" t="str">
        <x:v>由M3-BASE提供；日支底盘说明亲密关系中自然调用的功能，但不能单独证明修复闭环。</x:v>
      </x:c>
      <x:c r="N283" s="20" t="str">
        <x:v>由M3-CONFLICT、M4-LOOP及现实事件提供；必须区分问题停止、责任承担、影响确认、行动改变、反馈整合与后续回访。</x:v>
      </x:c>
      <x:c r="O283" s="20" t="str">
        <x:v>由共享基础引擎判定；近位提高相关功能进入亲密关系核心的概率，远位只作背景或阶段修正。</x:v>
      </x:c>
      <x:c r="P283" s="20" t="str">
        <x:v>根气只修正某修复功能是否容易重复调用，不等于现实中已经持续改变。</x:v>
      </x:c>
      <x:c r="Q283" s="20" t="str">
        <x:v>旺弱只修正功能调用强度与占位，不直接等同修复质量、诚意或关系结果。</x:v>
      </x:c>
      <x:c r="R283" s="20" t="str">
        <x:v>喜忌只修正功能摩擦、平衡与承载，不直接等同道德、成熟、善恶或是否值得原谅。</x:v>
      </x:c>
      <x:c r="S283" s="20" t="str">
        <x:v>原十神功能有效；真合化成立时按化神功能替换，合化争议时停止定性。</x:v>
      </x:c>
      <x:c r="T283" s="20" t="str">
        <x:v>近位提高修复议题与亲密关系的直接相关性；远位仅保留背景、阶段或低置信修正。</x:v>
      </x:c>
      <x:c r="U283" s="20" t="str">
        <x:v>88</x:v>
      </x:c>
      <x:c r="V283" s="20" t="str">
        <x:v>机制证据＋5；反例－4至停止</x:v>
      </x:c>
      <x:c r="W283" s="20" t="str">
        <x:v>repair_failure_mechanism</x:v>
      </x:c>
      <x:c r="X283" s="20" t="str">
        <x:v>必须有现实事件顺序和节点证据。</x:v>
      </x:c>
      <x:c r="Y283" s="20" t="str">
        <x:v>需要检查：RN02／RN03／RN06等单点出现后停止后续。</x:v>
      </x:c>
      <x:c r="Z28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3" s="20" t="str">
        <x:v>中高</x:v>
      </x:c>
      <x:c r="AB283" s="20" t="str">
        <x:v>待验证</x:v>
      </x:c>
      <x:c r="AC283" s="20" t="str"/>
      <x:c r="AD283" s="20" t="str">
        <x:v>provisional=true；M3-REPAIR尚未完成，完成条件为暂定功能模型。</x:v>
      </x:c>
      <x:c r="AE283" s="52" t="str">
        <x:v>0.7</x:v>
      </x:c>
    </x:row>
    <x:row r="284">
      <x:c r="A284" s="51" t="str">
        <x:v>M4-REPAIR-283</x:v>
      </x:c>
      <x:c r="B284" s="20" t="str">
        <x:v>RF03 过早结案｜功能路由</x:v>
      </x:c>
      <x:c r="C284" s="20" t="str">
        <x:v>L5 修复断链机制</x:v>
      </x:c>
      <x:c r="D284" s="20" t="str">
        <x:v>REPAIR-断链机制</x:v>
      </x:c>
      <x:c r="E284" s="20" t="str">
        <x:v>通用</x:v>
      </x:c>
      <x:c r="F284" s="20" t="str">
        <x:v>路由</x:v>
      </x:c>
      <x:c r="G284" s="20" t="str">
        <x:v>RF03</x:v>
      </x:c>
      <x:c r="H284" s="20" t="str"/>
      <x:c r="I284" s="20" t="str">
        <x:v>该机制与一个明确RB盲点、RI事件类型或LP循环相连。</x:v>
      </x:c>
      <x:c r="J284" s="20" t="str">
        <x:v>只有共现，没有功能关系。</x:v>
      </x:c>
      <x:c r="K284" s="20" t="str">
        <x:v>由共享基础引擎提供；仅修正修复功能的承载、持续与压力占位，不直接等同是否愿意认错或能否修复。</x:v>
      </x:c>
      <x:c r="L284" s="20" t="str">
        <x:v>由M1／M2提供；夫妻星只说明伴侣原型与关系资格，不单独证明修复能力、修复意愿或修复结果。</x:v>
      </x:c>
      <x:c r="M284" s="20" t="str">
        <x:v>由M3-BASE提供；日支底盘说明亲密关系中自然调用的功能，但不能单独证明修复闭环。</x:v>
      </x:c>
      <x:c r="N284" s="20" t="str">
        <x:v>由M3-CONFLICT、M4-LOOP及现实事件提供；必须区分问题停止、责任承担、影响确认、行动改变、反馈整合与后续回访。</x:v>
      </x:c>
      <x:c r="O284" s="20" t="str">
        <x:v>由共享基础引擎判定；近位提高相关功能进入亲密关系核心的概率，远位只作背景或阶段修正。</x:v>
      </x:c>
      <x:c r="P284" s="20" t="str">
        <x:v>根气只修正某修复功能是否容易重复调用，不等于现实中已经持续改变。</x:v>
      </x:c>
      <x:c r="Q284" s="20" t="str">
        <x:v>旺弱只修正功能调用强度与占位，不直接等同修复质量、诚意或关系结果。</x:v>
      </x:c>
      <x:c r="R284" s="20" t="str">
        <x:v>喜忌只修正功能摩擦、平衡与承载，不直接等同道德、成熟、善恶或是否值得原谅。</x:v>
      </x:c>
      <x:c r="S284" s="20" t="str">
        <x:v>原十神功能有效；真合化成立时按化神功能替换，合化争议时停止定性。</x:v>
      </x:c>
      <x:c r="T284" s="20" t="str">
        <x:v>近位提高修复议题与亲密关系的直接相关性；远位仅保留背景、阶段或低置信修正。</x:v>
      </x:c>
      <x:c r="U284" s="20" t="str">
        <x:v>72</x:v>
      </x:c>
      <x:c r="V284" s="20" t="str">
        <x:v>机制证据＋5；反例－4至停止</x:v>
      </x:c>
      <x:c r="W284" s="20" t="str">
        <x:v>repair_failure_mechanism</x:v>
      </x:c>
      <x:c r="X284" s="20" t="str">
        <x:v>路由用于说明卡点发生在哪一步。</x:v>
      </x:c>
      <x:c r="Y284" s="20" t="str">
        <x:v>这项卡点要连接到具体事件和缺失节点，而不是单独贴标签。</x:v>
      </x:c>
      <x:c r="Z28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4" s="20" t="str">
        <x:v>中高</x:v>
      </x:c>
      <x:c r="AB284" s="20" t="str">
        <x:v>待验证</x:v>
      </x:c>
      <x:c r="AC284" s="20" t="str"/>
      <x:c r="AD284" s="20" t="str">
        <x:v>provisional=true；M3-REPAIR尚未完成，完成条件为暂定功能模型。</x:v>
      </x:c>
      <x:c r="AE284" s="52" t="str">
        <x:v>0.7</x:v>
      </x:c>
    </x:row>
    <x:row r="285">
      <x:c r="A285" s="51" t="str">
        <x:v>M4-REPAIR-284</x:v>
      </x:c>
      <x:c r="B285" s="20" t="str">
        <x:v>RF03 过早结案｜反例门控</x:v>
      </x:c>
      <x:c r="C285" s="20" t="str">
        <x:v>L5 修复断链机制</x:v>
      </x:c>
      <x:c r="D285" s="20" t="str">
        <x:v>REPAIR-断链机制</x:v>
      </x:c>
      <x:c r="E285" s="20" t="str">
        <x:v>通用</x:v>
      </x:c>
      <x:c r="F285" s="20" t="str">
        <x:v>反例</x:v>
      </x:c>
      <x:c r="G285" s="20" t="str">
        <x:v>RF03</x:v>
      </x:c>
      <x:c r="H285" s="20" t="str"/>
      <x:c r="I285" s="20" t="str">
        <x:v>检查：事件本身轻微且最低节点确已完成。</x:v>
      </x:c>
      <x:c r="J285" s="20" t="str">
        <x:v>忽略现实中成功修复或合理边界。</x:v>
      </x:c>
      <x:c r="K285" s="20" t="str">
        <x:v>由共享基础引擎提供；仅修正修复功能的承载、持续与压力占位，不直接等同是否愿意认错或能否修复。</x:v>
      </x:c>
      <x:c r="L285" s="20" t="str">
        <x:v>由M1／M2提供；夫妻星只说明伴侣原型与关系资格，不单独证明修复能力、修复意愿或修复结果。</x:v>
      </x:c>
      <x:c r="M285" s="20" t="str">
        <x:v>由M3-BASE提供；日支底盘说明亲密关系中自然调用的功能，但不能单独证明修复闭环。</x:v>
      </x:c>
      <x:c r="N285" s="20" t="str">
        <x:v>由M3-CONFLICT、M4-LOOP及现实事件提供；必须区分问题停止、责任承担、影响确认、行动改变、反馈整合与后续回访。</x:v>
      </x:c>
      <x:c r="O285" s="20" t="str">
        <x:v>由共享基础引擎判定；近位提高相关功能进入亲密关系核心的概率，远位只作背景或阶段修正。</x:v>
      </x:c>
      <x:c r="P285" s="20" t="str">
        <x:v>根气只修正某修复功能是否容易重复调用，不等于现实中已经持续改变。</x:v>
      </x:c>
      <x:c r="Q285" s="20" t="str">
        <x:v>旺弱只修正功能调用强度与占位，不直接等同修复质量、诚意或关系结果。</x:v>
      </x:c>
      <x:c r="R285" s="20" t="str">
        <x:v>喜忌只修正功能摩擦、平衡与承载，不直接等同道德、成熟、善恶或是否值得原谅。</x:v>
      </x:c>
      <x:c r="S285" s="20" t="str">
        <x:v>原十神功能有效；真合化成立时按化神功能替换，合化争议时停止定性。</x:v>
      </x:c>
      <x:c r="T285" s="20" t="str">
        <x:v>近位提高修复议题与亲密关系的直接相关性；远位仅保留背景、阶段或低置信修正。</x:v>
      </x:c>
      <x:c r="U285" s="20" t="str">
        <x:v>88</x:v>
      </x:c>
      <x:c r="V285" s="20" t="str">
        <x:v>机制证据＋5；反例－4至停止</x:v>
      </x:c>
      <x:c r="W285" s="20" t="str">
        <x:v>repair_failure_mechanism</x:v>
      </x:c>
      <x:c r="X285" s="20" t="str">
        <x:v>反例可能使RF候选降级或停止。</x:v>
      </x:c>
      <x:c r="Y285" s="20" t="str">
        <x:v>若现实中已经通过其他方式完成同一任务，应降低这项判断。</x:v>
      </x:c>
      <x:c r="Z28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5" s="20" t="str">
        <x:v>中高</x:v>
      </x:c>
      <x:c r="AB285" s="20" t="str">
        <x:v>待验证</x:v>
      </x:c>
      <x:c r="AC285" s="20" t="str"/>
      <x:c r="AD285" s="20" t="str">
        <x:v>provisional=true；M3-REPAIR尚未完成，完成条件为暂定功能模型。</x:v>
      </x:c>
      <x:c r="AE285" s="52" t="str">
        <x:v>0.7</x:v>
      </x:c>
    </x:row>
    <x:row r="286">
      <x:c r="A286" s="51" t="str">
        <x:v>M4-REPAIR-285</x:v>
      </x:c>
      <x:c r="B286" s="20" t="str">
        <x:v>RF03 过早结案｜用户输出</x:v>
      </x:c>
      <x:c r="C286" s="20" t="str">
        <x:v>L5 修复断链机制</x:v>
      </x:c>
      <x:c r="D286" s="20" t="str">
        <x:v>REPAIR-断链机制</x:v>
      </x:c>
      <x:c r="E286" s="20" t="str">
        <x:v>通用</x:v>
      </x:c>
      <x:c r="F286" s="20" t="str">
        <x:v>输出</x:v>
      </x:c>
      <x:c r="G286" s="20" t="str">
        <x:v>RF03</x:v>
      </x:c>
      <x:c r="H286" s="20" t="str"/>
      <x:c r="I286" s="20" t="str">
        <x:v>RF达到E2以上，并完成接收方反馈与安全检查。</x:v>
      </x:c>
      <x:c r="J286" s="20" t="str">
        <x:v>资料不足或安全停止。</x:v>
      </x:c>
      <x:c r="K286" s="20" t="str">
        <x:v>由共享基础引擎提供；仅修正修复功能的承载、持续与压力占位，不直接等同是否愿意认错或能否修复。</x:v>
      </x:c>
      <x:c r="L286" s="20" t="str">
        <x:v>由M1／M2提供；夫妻星只说明伴侣原型与关系资格，不单独证明修复能力、修复意愿或修复结果。</x:v>
      </x:c>
      <x:c r="M286" s="20" t="str">
        <x:v>由M3-BASE提供；日支底盘说明亲密关系中自然调用的功能，但不能单独证明修复闭环。</x:v>
      </x:c>
      <x:c r="N286" s="20" t="str">
        <x:v>由M3-CONFLICT、M4-LOOP及现实事件提供；必须区分问题停止、责任承担、影响确认、行动改变、反馈整合与后续回访。</x:v>
      </x:c>
      <x:c r="O286" s="20" t="str">
        <x:v>由共享基础引擎判定；近位提高相关功能进入亲密关系核心的概率，远位只作背景或阶段修正。</x:v>
      </x:c>
      <x:c r="P286" s="20" t="str">
        <x:v>根气只修正某修复功能是否容易重复调用，不等于现实中已经持续改变。</x:v>
      </x:c>
      <x:c r="Q286" s="20" t="str">
        <x:v>旺弱只修正功能调用强度与占位，不直接等同修复质量、诚意或关系结果。</x:v>
      </x:c>
      <x:c r="R286" s="20" t="str">
        <x:v>喜忌只修正功能摩擦、平衡与承载，不直接等同道德、成熟、善恶或是否值得原谅。</x:v>
      </x:c>
      <x:c r="S286" s="20" t="str">
        <x:v>原十神功能有效；真合化成立时按化神功能替换，合化争议时停止定性。</x:v>
      </x:c>
      <x:c r="T286" s="20" t="str">
        <x:v>近位提高修复议题与亲密关系的直接相关性；远位仅保留背景、阶段或低置信修正。</x:v>
      </x:c>
      <x:c r="U286" s="20" t="str">
        <x:v>72</x:v>
      </x:c>
      <x:c r="V286" s="20" t="str">
        <x:v>机制证据＋5；反例－4至停止</x:v>
      </x:c>
      <x:c r="W286" s="20" t="str">
        <x:v>repair_failure_mechanism</x:v>
      </x:c>
      <x:c r="X286" s="20" t="str">
        <x:v>输出说明功能仍有价值，卡点在转换或持续。</x:v>
      </x:c>
      <x:c r="Y286" s="20" t="str">
        <x:v>现在更像是某一步完成后过早关闭了修复，而不是所有任务都已完成。</x:v>
      </x:c>
      <x:c r="Z28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6" s="20" t="str">
        <x:v>中高</x:v>
      </x:c>
      <x:c r="AB286" s="20" t="str">
        <x:v>待验证</x:v>
      </x:c>
      <x:c r="AC286" s="20" t="str"/>
      <x:c r="AD286" s="20" t="str">
        <x:v>provisional=true；M3-REPAIR尚未完成，完成条件为暂定功能模型。</x:v>
      </x:c>
      <x:c r="AE286" s="52" t="str">
        <x:v>0.7</x:v>
      </x:c>
    </x:row>
    <x:row r="287">
      <x:c r="A287" s="51" t="str">
        <x:v>M4-REPAIR-286</x:v>
      </x:c>
      <x:c r="B287" s="20" t="str">
        <x:v>RF03 过早结案｜退出条件</x:v>
      </x:c>
      <x:c r="C287" s="20" t="str">
        <x:v>L5 修复断链机制</x:v>
      </x:c>
      <x:c r="D287" s="20" t="str">
        <x:v>REPAIR-断链机制</x:v>
      </x:c>
      <x:c r="E287" s="20" t="str">
        <x:v>通用</x:v>
      </x:c>
      <x:c r="F287" s="20" t="str">
        <x:v>保护</x:v>
      </x:c>
      <x:c r="G287" s="20" t="str">
        <x:v>RF03</x:v>
      </x:c>
      <x:c r="H287" s="20" t="str"/>
      <x:c r="I287" s="20" t="str">
        <x:v>明确当前只是止损、问题结案还是关系闭环。</x:v>
      </x:c>
      <x:c r="J287" s="20" t="str">
        <x:v>只给抽象建议，没有可观察步骤。</x:v>
      </x:c>
      <x:c r="K287" s="20" t="str">
        <x:v>由共享基础引擎提供；仅修正修复功能的承载、持续与压力占位，不直接等同是否愿意认错或能否修复。</x:v>
      </x:c>
      <x:c r="L287" s="20" t="str">
        <x:v>由M1／M2提供；夫妻星只说明伴侣原型与关系资格，不单独证明修复能力、修复意愿或修复结果。</x:v>
      </x:c>
      <x:c r="M287" s="20" t="str">
        <x:v>由M3-BASE提供；日支底盘说明亲密关系中自然调用的功能，但不能单独证明修复闭环。</x:v>
      </x:c>
      <x:c r="N287" s="20" t="str">
        <x:v>由M3-CONFLICT、M4-LOOP及现实事件提供；必须区分问题停止、责任承担、影响确认、行动改变、反馈整合与后续回访。</x:v>
      </x:c>
      <x:c r="O287" s="20" t="str">
        <x:v>由共享基础引擎判定；近位提高相关功能进入亲密关系核心的概率，远位只作背景或阶段修正。</x:v>
      </x:c>
      <x:c r="P287" s="20" t="str">
        <x:v>根气只修正某修复功能是否容易重复调用，不等于现实中已经持续改变。</x:v>
      </x:c>
      <x:c r="Q287" s="20" t="str">
        <x:v>旺弱只修正功能调用强度与占位，不直接等同修复质量、诚意或关系结果。</x:v>
      </x:c>
      <x:c r="R287" s="20" t="str">
        <x:v>喜忌只修正功能摩擦、平衡与承载，不直接等同道德、成熟、善恶或是否值得原谅。</x:v>
      </x:c>
      <x:c r="S287" s="20" t="str">
        <x:v>原十神功能有效；真合化成立时按化神功能替换，合化争议时停止定性。</x:v>
      </x:c>
      <x:c r="T287" s="20" t="str">
        <x:v>近位提高修复议题与亲密关系的直接相关性；远位仅保留背景、阶段或低置信修正。</x:v>
      </x:c>
      <x:c r="U287" s="20" t="str">
        <x:v>72</x:v>
      </x:c>
      <x:c r="V287" s="20" t="str">
        <x:v>机制证据＋5；反例－4至停止</x:v>
      </x:c>
      <x:c r="W287" s="20" t="str">
        <x:v>repair_failure_mechanism</x:v>
      </x:c>
      <x:c r="X287" s="20" t="str">
        <x:v>退出条件要直接恢复缺失节点或转换。</x:v>
      </x:c>
      <x:c r="Y287" s="20" t="str">
        <x:v>关键中断点是：明确当前只是止损、问题结案还是关系闭环。</x:v>
      </x:c>
      <x:c r="Z28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7" s="20" t="str">
        <x:v>中高</x:v>
      </x:c>
      <x:c r="AB287" s="20" t="str">
        <x:v>待验证</x:v>
      </x:c>
      <x:c r="AC287" s="20" t="str"/>
      <x:c r="AD287" s="20" t="str">
        <x:v>provisional=true；M3-REPAIR尚未完成，完成条件为暂定功能模型。</x:v>
      </x:c>
      <x:c r="AE287" s="52" t="str">
        <x:v>0.7</x:v>
      </x:c>
    </x:row>
    <x:row r="288">
      <x:c r="A288" s="51" t="str">
        <x:v>M4-REPAIR-287</x:v>
      </x:c>
      <x:c r="B288" s="20" t="str">
        <x:v>RF04 修复时钟不同步｜机制定义</x:v>
      </x:c>
      <x:c r="C288" s="20" t="str">
        <x:v>L5 修复断链机制</x:v>
      </x:c>
      <x:c r="D288" s="20" t="str">
        <x:v>REPAIR-断链机制</x:v>
      </x:c>
      <x:c r="E288" s="20" t="str">
        <x:v>通用</x:v>
      </x:c>
      <x:c r="F288" s="20" t="str">
        <x:v>定义</x:v>
      </x:c>
      <x:c r="G288" s="20" t="str">
        <x:v>RF04</x:v>
      </x:c>
      <x:c r="H288" s="20" t="str"/>
      <x:c r="I288" s="20" t="str">
        <x:v>一方准备解释、靠近或和好时，另一方仍在安全、影响或边界阶段。</x:v>
      </x:c>
      <x:c r="J288" s="20" t="str">
        <x:v>只凭十神或一次模糊印象。</x:v>
      </x:c>
      <x:c r="K288" s="20" t="str">
        <x:v>由共享基础引擎提供；仅修正修复功能的承载、持续与压力占位，不直接等同是否愿意认错或能否修复。</x:v>
      </x:c>
      <x:c r="L288" s="20" t="str">
        <x:v>由M1／M2提供；夫妻星只说明伴侣原型与关系资格，不单独证明修复能力、修复意愿或修复结果。</x:v>
      </x:c>
      <x:c r="M288" s="20" t="str">
        <x:v>由M3-BASE提供；日支底盘说明亲密关系中自然调用的功能，但不能单独证明修复闭环。</x:v>
      </x:c>
      <x:c r="N288" s="20" t="str">
        <x:v>由M3-CONFLICT、M4-LOOP及现实事件提供；必须区分问题停止、责任承担、影响确认、行动改变、反馈整合与后续回访。</x:v>
      </x:c>
      <x:c r="O288" s="20" t="str">
        <x:v>由共享基础引擎判定；近位提高相关功能进入亲密关系核心的概率，远位只作背景或阶段修正。</x:v>
      </x:c>
      <x:c r="P288" s="20" t="str">
        <x:v>根气只修正某修复功能是否容易重复调用，不等于现实中已经持续改变。</x:v>
      </x:c>
      <x:c r="Q288" s="20" t="str">
        <x:v>旺弱只修正功能调用强度与占位，不直接等同修复质量、诚意或关系结果。</x:v>
      </x:c>
      <x:c r="R288" s="20" t="str">
        <x:v>喜忌只修正功能摩擦、平衡与承载，不直接等同道德、成熟、善恶或是否值得原谅。</x:v>
      </x:c>
      <x:c r="S288" s="20" t="str">
        <x:v>原十神功能有效；真合化成立时按化神功能替换，合化争议时停止定性。</x:v>
      </x:c>
      <x:c r="T288" s="20" t="str">
        <x:v>近位提高修复议题与亲密关系的直接相关性；远位仅保留背景、阶段或低置信修正。</x:v>
      </x:c>
      <x:c r="U288" s="20" t="str">
        <x:v>72</x:v>
      </x:c>
      <x:c r="V288" s="20" t="str">
        <x:v>机制证据＋5；反例－4至停止</x:v>
      </x:c>
      <x:c r="W288" s="20" t="str">
        <x:v>repair_failure_mechanism</x:v>
      </x:c>
      <x:c r="X288" s="20" t="str">
        <x:v>RF机制描述修复链怎样断开，不等同人格标签。</x:v>
      </x:c>
      <x:c r="Y288" s="20" t="str">
        <x:v>双方可能不是不愿修复，而是当前处在不同修复阶段。</x:v>
      </x:c>
      <x:c r="Z28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8" s="20" t="str">
        <x:v>中高</x:v>
      </x:c>
      <x:c r="AB288" s="20" t="str">
        <x:v>待验证</x:v>
      </x:c>
      <x:c r="AC288" s="20" t="str"/>
      <x:c r="AD288" s="20" t="str">
        <x:v>provisional=true；M3-REPAIR尚未完成，完成条件为暂定功能模型。</x:v>
      </x:c>
      <x:c r="AE288" s="52" t="str">
        <x:v>0.7</x:v>
      </x:c>
    </x:row>
    <x:row r="289">
      <x:c r="A289" s="51" t="str">
        <x:v>M4-REPAIR-288</x:v>
      </x:c>
      <x:c r="B289" s="20" t="str">
        <x:v>RF04 修复时钟不同步｜识别条件</x:v>
      </x:c>
      <x:c r="C289" s="20" t="str">
        <x:v>L5 修复断链机制</x:v>
      </x:c>
      <x:c r="D289" s="20" t="str">
        <x:v>REPAIR-断链机制</x:v>
      </x:c>
      <x:c r="E289" s="20" t="str">
        <x:v>通用</x:v>
      </x:c>
      <x:c r="F289" s="20" t="str">
        <x:v>证据</x:v>
      </x:c>
      <x:c r="G289" s="20" t="str">
        <x:v>RF04</x:v>
      </x:c>
      <x:c r="H289" s="20" t="str"/>
      <x:c r="I289" s="20" t="str">
        <x:v>双方需要的节点和节奏不同，出现催促或撤回。</x:v>
      </x:c>
      <x:c r="J289" s="20" t="str">
        <x:v>双方明确协商节奏且保留拒绝权。</x:v>
      </x:c>
      <x:c r="K289" s="20" t="str">
        <x:v>由共享基础引擎提供；仅修正修复功能的承载、持续与压力占位，不直接等同是否愿意认错或能否修复。</x:v>
      </x:c>
      <x:c r="L289" s="20" t="str">
        <x:v>由M1／M2提供；夫妻星只说明伴侣原型与关系资格，不单独证明修复能力、修复意愿或修复结果。</x:v>
      </x:c>
      <x:c r="M289" s="20" t="str">
        <x:v>由M3-BASE提供；日支底盘说明亲密关系中自然调用的功能，但不能单独证明修复闭环。</x:v>
      </x:c>
      <x:c r="N289" s="20" t="str">
        <x:v>由M3-CONFLICT、M4-LOOP及现实事件提供；必须区分问题停止、责任承担、影响确认、行动改变、反馈整合与后续回访。</x:v>
      </x:c>
      <x:c r="O289" s="20" t="str">
        <x:v>由共享基础引擎判定；近位提高相关功能进入亲密关系核心的概率，远位只作背景或阶段修正。</x:v>
      </x:c>
      <x:c r="P289" s="20" t="str">
        <x:v>根气只修正某修复功能是否容易重复调用，不等于现实中已经持续改变。</x:v>
      </x:c>
      <x:c r="Q289" s="20" t="str">
        <x:v>旺弱只修正功能调用强度与占位，不直接等同修复质量、诚意或关系结果。</x:v>
      </x:c>
      <x:c r="R289" s="20" t="str">
        <x:v>喜忌只修正功能摩擦、平衡与承载，不直接等同道德、成熟、善恶或是否值得原谅。</x:v>
      </x:c>
      <x:c r="S289" s="20" t="str">
        <x:v>原十神功能有效；真合化成立时按化神功能替换，合化争议时停止定性。</x:v>
      </x:c>
      <x:c r="T289" s="20" t="str">
        <x:v>近位提高修复议题与亲密关系的直接相关性；远位仅保留背景、阶段或低置信修正。</x:v>
      </x:c>
      <x:c r="U289" s="20" t="str">
        <x:v>88</x:v>
      </x:c>
      <x:c r="V289" s="20" t="str">
        <x:v>机制证据＋5；反例－4至停止</x:v>
      </x:c>
      <x:c r="W289" s="20" t="str">
        <x:v>repair_failure_mechanism</x:v>
      </x:c>
      <x:c r="X289" s="20" t="str">
        <x:v>必须有现实事件顺序和节点证据。</x:v>
      </x:c>
      <x:c r="Y289" s="20" t="str">
        <x:v>需要检查：双方需要的节点和节奏不同，出现催促或撤回。</x:v>
      </x:c>
      <x:c r="Z28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89" s="20" t="str">
        <x:v>中高</x:v>
      </x:c>
      <x:c r="AB289" s="20" t="str">
        <x:v>待验证</x:v>
      </x:c>
      <x:c r="AC289" s="20" t="str"/>
      <x:c r="AD289" s="20" t="str">
        <x:v>provisional=true；M3-REPAIR尚未完成，完成条件为暂定功能模型。</x:v>
      </x:c>
      <x:c r="AE289" s="52" t="str">
        <x:v>0.7</x:v>
      </x:c>
    </x:row>
    <x:row r="290">
      <x:c r="A290" s="51" t="str">
        <x:v>M4-REPAIR-289</x:v>
      </x:c>
      <x:c r="B290" s="20" t="str">
        <x:v>RF04 修复时钟不同步｜功能路由</x:v>
      </x:c>
      <x:c r="C290" s="20" t="str">
        <x:v>L5 修复断链机制</x:v>
      </x:c>
      <x:c r="D290" s="20" t="str">
        <x:v>REPAIR-断链机制</x:v>
      </x:c>
      <x:c r="E290" s="20" t="str">
        <x:v>通用</x:v>
      </x:c>
      <x:c r="F290" s="20" t="str">
        <x:v>路由</x:v>
      </x:c>
      <x:c r="G290" s="20" t="str">
        <x:v>RF04</x:v>
      </x:c>
      <x:c r="H290" s="20" t="str"/>
      <x:c r="I290" s="20" t="str">
        <x:v>该机制与一个明确RB盲点、RI事件类型或LP循环相连。</x:v>
      </x:c>
      <x:c r="J290" s="20" t="str">
        <x:v>只有共现，没有功能关系。</x:v>
      </x:c>
      <x:c r="K290" s="20" t="str">
        <x:v>由共享基础引擎提供；仅修正修复功能的承载、持续与压力占位，不直接等同是否愿意认错或能否修复。</x:v>
      </x:c>
      <x:c r="L290" s="20" t="str">
        <x:v>由M1／M2提供；夫妻星只说明伴侣原型与关系资格，不单独证明修复能力、修复意愿或修复结果。</x:v>
      </x:c>
      <x:c r="M290" s="20" t="str">
        <x:v>由M3-BASE提供；日支底盘说明亲密关系中自然调用的功能，但不能单独证明修复闭环。</x:v>
      </x:c>
      <x:c r="N290" s="20" t="str">
        <x:v>由M3-CONFLICT、M4-LOOP及现实事件提供；必须区分问题停止、责任承担、影响确认、行动改变、反馈整合与后续回访。</x:v>
      </x:c>
      <x:c r="O290" s="20" t="str">
        <x:v>由共享基础引擎判定；近位提高相关功能进入亲密关系核心的概率，远位只作背景或阶段修正。</x:v>
      </x:c>
      <x:c r="P290" s="20" t="str">
        <x:v>根气只修正某修复功能是否容易重复调用，不等于现实中已经持续改变。</x:v>
      </x:c>
      <x:c r="Q290" s="20" t="str">
        <x:v>旺弱只修正功能调用强度与占位，不直接等同修复质量、诚意或关系结果。</x:v>
      </x:c>
      <x:c r="R290" s="20" t="str">
        <x:v>喜忌只修正功能摩擦、平衡与承载，不直接等同道德、成熟、善恶或是否值得原谅。</x:v>
      </x:c>
      <x:c r="S290" s="20" t="str">
        <x:v>原十神功能有效；真合化成立时按化神功能替换，合化争议时停止定性。</x:v>
      </x:c>
      <x:c r="T290" s="20" t="str">
        <x:v>近位提高修复议题与亲密关系的直接相关性；远位仅保留背景、阶段或低置信修正。</x:v>
      </x:c>
      <x:c r="U290" s="20" t="str">
        <x:v>72</x:v>
      </x:c>
      <x:c r="V290" s="20" t="str">
        <x:v>机制证据＋5；反例－4至停止</x:v>
      </x:c>
      <x:c r="W290" s="20" t="str">
        <x:v>repair_failure_mechanism</x:v>
      </x:c>
      <x:c r="X290" s="20" t="str">
        <x:v>路由用于说明卡点发生在哪一步。</x:v>
      </x:c>
      <x:c r="Y290" s="20" t="str">
        <x:v>这项卡点要连接到具体事件和缺失节点，而不是单独贴标签。</x:v>
      </x:c>
      <x:c r="Z29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0" s="20" t="str">
        <x:v>中高</x:v>
      </x:c>
      <x:c r="AB290" s="20" t="str">
        <x:v>待验证</x:v>
      </x:c>
      <x:c r="AC290" s="20" t="str"/>
      <x:c r="AD290" s="20" t="str">
        <x:v>provisional=true；M3-REPAIR尚未完成，完成条件为暂定功能模型。</x:v>
      </x:c>
      <x:c r="AE290" s="52" t="str">
        <x:v>0.7</x:v>
      </x:c>
    </x:row>
    <x:row r="291">
      <x:c r="A291" s="51" t="str">
        <x:v>M4-REPAIR-290</x:v>
      </x:c>
      <x:c r="B291" s="20" t="str">
        <x:v>RF04 修复时钟不同步｜反例门控</x:v>
      </x:c>
      <x:c r="C291" s="20" t="str">
        <x:v>L5 修复断链机制</x:v>
      </x:c>
      <x:c r="D291" s="20" t="str">
        <x:v>REPAIR-断链机制</x:v>
      </x:c>
      <x:c r="E291" s="20" t="str">
        <x:v>通用</x:v>
      </x:c>
      <x:c r="F291" s="20" t="str">
        <x:v>反例</x:v>
      </x:c>
      <x:c r="G291" s="20" t="str">
        <x:v>RF04</x:v>
      </x:c>
      <x:c r="H291" s="20" t="str"/>
      <x:c r="I291" s="20" t="str">
        <x:v>检查：双方明确协商节奏且保留拒绝权。</x:v>
      </x:c>
      <x:c r="J291" s="20" t="str">
        <x:v>忽略现实中成功修复或合理边界。</x:v>
      </x:c>
      <x:c r="K291" s="20" t="str">
        <x:v>由共享基础引擎提供；仅修正修复功能的承载、持续与压力占位，不直接等同是否愿意认错或能否修复。</x:v>
      </x:c>
      <x:c r="L291" s="20" t="str">
        <x:v>由M1／M2提供；夫妻星只说明伴侣原型与关系资格，不单独证明修复能力、修复意愿或修复结果。</x:v>
      </x:c>
      <x:c r="M291" s="20" t="str">
        <x:v>由M3-BASE提供；日支底盘说明亲密关系中自然调用的功能，但不能单独证明修复闭环。</x:v>
      </x:c>
      <x:c r="N291" s="20" t="str">
        <x:v>由M3-CONFLICT、M4-LOOP及现实事件提供；必须区分问题停止、责任承担、影响确认、行动改变、反馈整合与后续回访。</x:v>
      </x:c>
      <x:c r="O291" s="20" t="str">
        <x:v>由共享基础引擎判定；近位提高相关功能进入亲密关系核心的概率，远位只作背景或阶段修正。</x:v>
      </x:c>
      <x:c r="P291" s="20" t="str">
        <x:v>根气只修正某修复功能是否容易重复调用，不等于现实中已经持续改变。</x:v>
      </x:c>
      <x:c r="Q291" s="20" t="str">
        <x:v>旺弱只修正功能调用强度与占位，不直接等同修复质量、诚意或关系结果。</x:v>
      </x:c>
      <x:c r="R291" s="20" t="str">
        <x:v>喜忌只修正功能摩擦、平衡与承载，不直接等同道德、成熟、善恶或是否值得原谅。</x:v>
      </x:c>
      <x:c r="S291" s="20" t="str">
        <x:v>原十神功能有效；真合化成立时按化神功能替换，合化争议时停止定性。</x:v>
      </x:c>
      <x:c r="T291" s="20" t="str">
        <x:v>近位提高修复议题与亲密关系的直接相关性；远位仅保留背景、阶段或低置信修正。</x:v>
      </x:c>
      <x:c r="U291" s="20" t="str">
        <x:v>88</x:v>
      </x:c>
      <x:c r="V291" s="20" t="str">
        <x:v>机制证据＋5；反例－4至停止</x:v>
      </x:c>
      <x:c r="W291" s="20" t="str">
        <x:v>repair_failure_mechanism</x:v>
      </x:c>
      <x:c r="X291" s="20" t="str">
        <x:v>反例可能使RF候选降级或停止。</x:v>
      </x:c>
      <x:c r="Y291" s="20" t="str">
        <x:v>若现实中已经通过其他方式完成同一任务，应降低这项判断。</x:v>
      </x:c>
      <x:c r="Z29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1" s="20" t="str">
        <x:v>中高</x:v>
      </x:c>
      <x:c r="AB291" s="20" t="str">
        <x:v>待验证</x:v>
      </x:c>
      <x:c r="AC291" s="20" t="str"/>
      <x:c r="AD291" s="20" t="str">
        <x:v>provisional=true；M3-REPAIR尚未完成，完成条件为暂定功能模型。</x:v>
      </x:c>
      <x:c r="AE291" s="52" t="str">
        <x:v>0.7</x:v>
      </x:c>
    </x:row>
    <x:row r="292">
      <x:c r="A292" s="51" t="str">
        <x:v>M4-REPAIR-291</x:v>
      </x:c>
      <x:c r="B292" s="20" t="str">
        <x:v>RF04 修复时钟不同步｜用户输出</x:v>
      </x:c>
      <x:c r="C292" s="20" t="str">
        <x:v>L5 修复断链机制</x:v>
      </x:c>
      <x:c r="D292" s="20" t="str">
        <x:v>REPAIR-断链机制</x:v>
      </x:c>
      <x:c r="E292" s="20" t="str">
        <x:v>通用</x:v>
      </x:c>
      <x:c r="F292" s="20" t="str">
        <x:v>输出</x:v>
      </x:c>
      <x:c r="G292" s="20" t="str">
        <x:v>RF04</x:v>
      </x:c>
      <x:c r="H292" s="20" t="str"/>
      <x:c r="I292" s="20" t="str">
        <x:v>RF达到E2以上，并完成接收方反馈与安全检查。</x:v>
      </x:c>
      <x:c r="J292" s="20" t="str">
        <x:v>资料不足或安全停止。</x:v>
      </x:c>
      <x:c r="K292" s="20" t="str">
        <x:v>由共享基础引擎提供；仅修正修复功能的承载、持续与压力占位，不直接等同是否愿意认错或能否修复。</x:v>
      </x:c>
      <x:c r="L292" s="20" t="str">
        <x:v>由M1／M2提供；夫妻星只说明伴侣原型与关系资格，不单独证明修复能力、修复意愿或修复结果。</x:v>
      </x:c>
      <x:c r="M292" s="20" t="str">
        <x:v>由M3-BASE提供；日支底盘说明亲密关系中自然调用的功能，但不能单独证明修复闭环。</x:v>
      </x:c>
      <x:c r="N292" s="20" t="str">
        <x:v>由M3-CONFLICT、M4-LOOP及现实事件提供；必须区分问题停止、责任承担、影响确认、行动改变、反馈整合与后续回访。</x:v>
      </x:c>
      <x:c r="O292" s="20" t="str">
        <x:v>由共享基础引擎判定；近位提高相关功能进入亲密关系核心的概率，远位只作背景或阶段修正。</x:v>
      </x:c>
      <x:c r="P292" s="20" t="str">
        <x:v>根气只修正某修复功能是否容易重复调用，不等于现实中已经持续改变。</x:v>
      </x:c>
      <x:c r="Q292" s="20" t="str">
        <x:v>旺弱只修正功能调用强度与占位，不直接等同修复质量、诚意或关系结果。</x:v>
      </x:c>
      <x:c r="R292" s="20" t="str">
        <x:v>喜忌只修正功能摩擦、平衡与承载，不直接等同道德、成熟、善恶或是否值得原谅。</x:v>
      </x:c>
      <x:c r="S292" s="20" t="str">
        <x:v>原十神功能有效；真合化成立时按化神功能替换，合化争议时停止定性。</x:v>
      </x:c>
      <x:c r="T292" s="20" t="str">
        <x:v>近位提高修复议题与亲密关系的直接相关性；远位仅保留背景、阶段或低置信修正。</x:v>
      </x:c>
      <x:c r="U292" s="20" t="str">
        <x:v>72</x:v>
      </x:c>
      <x:c r="V292" s="20" t="str">
        <x:v>机制证据＋5；反例－4至停止</x:v>
      </x:c>
      <x:c r="W292" s="20" t="str">
        <x:v>repair_failure_mechanism</x:v>
      </x:c>
      <x:c r="X292" s="20" t="str">
        <x:v>输出说明功能仍有价值，卡点在转换或持续。</x:v>
      </x:c>
      <x:c r="Y292" s="20" t="str">
        <x:v>双方可能不是不愿修复，而是当前处在不同修复阶段。</x:v>
      </x:c>
      <x:c r="Z29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2" s="20" t="str">
        <x:v>中高</x:v>
      </x:c>
      <x:c r="AB292" s="20" t="str">
        <x:v>待验证</x:v>
      </x:c>
      <x:c r="AC292" s="20" t="str"/>
      <x:c r="AD292" s="20" t="str">
        <x:v>provisional=true；M3-REPAIR尚未完成，完成条件为暂定功能模型。</x:v>
      </x:c>
      <x:c r="AE292" s="52" t="str">
        <x:v>0.7</x:v>
      </x:c>
    </x:row>
    <x:row r="293">
      <x:c r="A293" s="51" t="str">
        <x:v>M4-REPAIR-292</x:v>
      </x:c>
      <x:c r="B293" s="20" t="str">
        <x:v>RF04 修复时钟不同步｜退出条件</x:v>
      </x:c>
      <x:c r="C293" s="20" t="str">
        <x:v>L5 修复断链机制</x:v>
      </x:c>
      <x:c r="D293" s="20" t="str">
        <x:v>REPAIR-断链机制</x:v>
      </x:c>
      <x:c r="E293" s="20" t="str">
        <x:v>通用</x:v>
      </x:c>
      <x:c r="F293" s="20" t="str">
        <x:v>保护</x:v>
      </x:c>
      <x:c r="G293" s="20" t="str">
        <x:v>RF04</x:v>
      </x:c>
      <x:c r="H293" s="20" t="str"/>
      <x:c r="I293" s="20" t="str">
        <x:v>区分修复邀请、接收准备度和回归时间。</x:v>
      </x:c>
      <x:c r="J293" s="20" t="str">
        <x:v>只给抽象建议，没有可观察步骤。</x:v>
      </x:c>
      <x:c r="K293" s="20" t="str">
        <x:v>由共享基础引擎提供；仅修正修复功能的承载、持续与压力占位，不直接等同是否愿意认错或能否修复。</x:v>
      </x:c>
      <x:c r="L293" s="20" t="str">
        <x:v>由M1／M2提供；夫妻星只说明伴侣原型与关系资格，不单独证明修复能力、修复意愿或修复结果。</x:v>
      </x:c>
      <x:c r="M293" s="20" t="str">
        <x:v>由M3-BASE提供；日支底盘说明亲密关系中自然调用的功能，但不能单独证明修复闭环。</x:v>
      </x:c>
      <x:c r="N293" s="20" t="str">
        <x:v>由M3-CONFLICT、M4-LOOP及现实事件提供；必须区分问题停止、责任承担、影响确认、行动改变、反馈整合与后续回访。</x:v>
      </x:c>
      <x:c r="O293" s="20" t="str">
        <x:v>由共享基础引擎判定；近位提高相关功能进入亲密关系核心的概率，远位只作背景或阶段修正。</x:v>
      </x:c>
      <x:c r="P293" s="20" t="str">
        <x:v>根气只修正某修复功能是否容易重复调用，不等于现实中已经持续改变。</x:v>
      </x:c>
      <x:c r="Q293" s="20" t="str">
        <x:v>旺弱只修正功能调用强度与占位，不直接等同修复质量、诚意或关系结果。</x:v>
      </x:c>
      <x:c r="R293" s="20" t="str">
        <x:v>喜忌只修正功能摩擦、平衡与承载，不直接等同道德、成熟、善恶或是否值得原谅。</x:v>
      </x:c>
      <x:c r="S293" s="20" t="str">
        <x:v>原十神功能有效；真合化成立时按化神功能替换，合化争议时停止定性。</x:v>
      </x:c>
      <x:c r="T293" s="20" t="str">
        <x:v>近位提高修复议题与亲密关系的直接相关性；远位仅保留背景、阶段或低置信修正。</x:v>
      </x:c>
      <x:c r="U293" s="20" t="str">
        <x:v>72</x:v>
      </x:c>
      <x:c r="V293" s="20" t="str">
        <x:v>机制证据＋5；反例－4至停止</x:v>
      </x:c>
      <x:c r="W293" s="20" t="str">
        <x:v>repair_failure_mechanism</x:v>
      </x:c>
      <x:c r="X293" s="20" t="str">
        <x:v>退出条件要直接恢复缺失节点或转换。</x:v>
      </x:c>
      <x:c r="Y293" s="20" t="str">
        <x:v>关键中断点是：区分修复邀请、接收准备度和回归时间。</x:v>
      </x:c>
      <x:c r="Z29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3" s="20" t="str">
        <x:v>中高</x:v>
      </x:c>
      <x:c r="AB293" s="20" t="str">
        <x:v>待验证</x:v>
      </x:c>
      <x:c r="AC293" s="20" t="str"/>
      <x:c r="AD293" s="20" t="str">
        <x:v>provisional=true；M3-REPAIR尚未完成，完成条件为暂定功能模型。</x:v>
      </x:c>
      <x:c r="AE293" s="52" t="str">
        <x:v>0.7</x:v>
      </x:c>
    </x:row>
    <x:row r="294">
      <x:c r="A294" s="51" t="str">
        <x:v>M4-REPAIR-293</x:v>
      </x:c>
      <x:c r="B294" s="20" t="str">
        <x:v>RF05 反馈未整合｜机制定义</x:v>
      </x:c>
      <x:c r="C294" s="20" t="str">
        <x:v>L5 修复断链机制</x:v>
      </x:c>
      <x:c r="D294" s="20" t="str">
        <x:v>REPAIR-断链机制</x:v>
      </x:c>
      <x:c r="E294" s="20" t="str">
        <x:v>通用</x:v>
      </x:c>
      <x:c r="F294" s="20" t="str">
        <x:v>定义</x:v>
      </x:c>
      <x:c r="G294" s="20" t="str">
        <x:v>RF05</x:v>
      </x:c>
      <x:c r="H294" s="20" t="str"/>
      <x:c r="I294" s="20" t="str">
        <x:v>发起方做出道歉或方案后，没有真正接收接收方的异议和反馈。</x:v>
      </x:c>
      <x:c r="J294" s="20" t="str">
        <x:v>只凭十神或一次模糊印象。</x:v>
      </x:c>
      <x:c r="K294" s="20" t="str">
        <x:v>由共享基础引擎提供；仅修正修复功能的承载、持续与压力占位，不直接等同是否愿意认错或能否修复。</x:v>
      </x:c>
      <x:c r="L294" s="20" t="str">
        <x:v>由M1／M2提供；夫妻星只说明伴侣原型与关系资格，不单独证明修复能力、修复意愿或修复结果。</x:v>
      </x:c>
      <x:c r="M294" s="20" t="str">
        <x:v>由M3-BASE提供；日支底盘说明亲密关系中自然调用的功能，但不能单独证明修复闭环。</x:v>
      </x:c>
      <x:c r="N294" s="20" t="str">
        <x:v>由M3-CONFLICT、M4-LOOP及现实事件提供；必须区分问题停止、责任承担、影响确认、行动改变、反馈整合与后续回访。</x:v>
      </x:c>
      <x:c r="O294" s="20" t="str">
        <x:v>由共享基础引擎判定；近位提高相关功能进入亲密关系核心的概率，远位只作背景或阶段修正。</x:v>
      </x:c>
      <x:c r="P294" s="20" t="str">
        <x:v>根气只修正某修复功能是否容易重复调用，不等于现实中已经持续改变。</x:v>
      </x:c>
      <x:c r="Q294" s="20" t="str">
        <x:v>旺弱只修正功能调用强度与占位，不直接等同修复质量、诚意或关系结果。</x:v>
      </x:c>
      <x:c r="R294" s="20" t="str">
        <x:v>喜忌只修正功能摩擦、平衡与承载，不直接等同道德、成熟、善恶或是否值得原谅。</x:v>
      </x:c>
      <x:c r="S294" s="20" t="str">
        <x:v>原十神功能有效；真合化成立时按化神功能替换，合化争议时停止定性。</x:v>
      </x:c>
      <x:c r="T294" s="20" t="str">
        <x:v>近位提高修复议题与亲密关系的直接相关性；远位仅保留背景、阶段或低置信修正。</x:v>
      </x:c>
      <x:c r="U294" s="20" t="str">
        <x:v>72</x:v>
      </x:c>
      <x:c r="V294" s="20" t="str">
        <x:v>机制证据＋5；反例－4至停止</x:v>
      </x:c>
      <x:c r="W294" s="20" t="str">
        <x:v>repair_failure_mechanism</x:v>
      </x:c>
      <x:c r="X294" s="20" t="str">
        <x:v>RF机制描述修复链怎样断开，不等同人格标签。</x:v>
      </x:c>
      <x:c r="Y294" s="20" t="str">
        <x:v>修复不是“我已经做了”，而是还要看这一步是否真正回应了对方。</x:v>
      </x:c>
      <x:c r="Z29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4" s="20" t="str">
        <x:v>中高</x:v>
      </x:c>
      <x:c r="AB294" s="20" t="str">
        <x:v>待验证</x:v>
      </x:c>
      <x:c r="AC294" s="20" t="str"/>
      <x:c r="AD294" s="20" t="str">
        <x:v>provisional=true；M3-REPAIR尚未完成，完成条件为暂定功能模型。</x:v>
      </x:c>
      <x:c r="AE294" s="52" t="str">
        <x:v>0.7</x:v>
      </x:c>
    </x:row>
    <x:row r="295">
      <x:c r="A295" s="51" t="str">
        <x:v>M4-REPAIR-294</x:v>
      </x:c>
      <x:c r="B295" s="20" t="str">
        <x:v>RF05 反馈未整合｜识别条件</x:v>
      </x:c>
      <x:c r="C295" s="20" t="str">
        <x:v>L5 修复断链机制</x:v>
      </x:c>
      <x:c r="D295" s="20" t="str">
        <x:v>REPAIR-断链机制</x:v>
      </x:c>
      <x:c r="E295" s="20" t="str">
        <x:v>通用</x:v>
      </x:c>
      <x:c r="F295" s="20" t="str">
        <x:v>证据</x:v>
      </x:c>
      <x:c r="G295" s="20" t="str">
        <x:v>RF05</x:v>
      </x:c>
      <x:c r="H295" s="20" t="str"/>
      <x:c r="I295" s="20" t="str">
        <x:v>RN07缺失，或反馈被解释为不知足、挑剔、拒绝修复。</x:v>
      </x:c>
      <x:c r="J295" s="20" t="str">
        <x:v>反馈已被复述并转成二次调整。</x:v>
      </x:c>
      <x:c r="K295" s="20" t="str">
        <x:v>由共享基础引擎提供；仅修正修复功能的承载、持续与压力占位，不直接等同是否愿意认错或能否修复。</x:v>
      </x:c>
      <x:c r="L295" s="20" t="str">
        <x:v>由M1／M2提供；夫妻星只说明伴侣原型与关系资格，不单独证明修复能力、修复意愿或修复结果。</x:v>
      </x:c>
      <x:c r="M295" s="20" t="str">
        <x:v>由M3-BASE提供；日支底盘说明亲密关系中自然调用的功能，但不能单独证明修复闭环。</x:v>
      </x:c>
      <x:c r="N295" s="20" t="str">
        <x:v>由M3-CONFLICT、M4-LOOP及现实事件提供；必须区分问题停止、责任承担、影响确认、行动改变、反馈整合与后续回访。</x:v>
      </x:c>
      <x:c r="O295" s="20" t="str">
        <x:v>由共享基础引擎判定；近位提高相关功能进入亲密关系核心的概率，远位只作背景或阶段修正。</x:v>
      </x:c>
      <x:c r="P295" s="20" t="str">
        <x:v>根气只修正某修复功能是否容易重复调用，不等于现实中已经持续改变。</x:v>
      </x:c>
      <x:c r="Q295" s="20" t="str">
        <x:v>旺弱只修正功能调用强度与占位，不直接等同修复质量、诚意或关系结果。</x:v>
      </x:c>
      <x:c r="R295" s="20" t="str">
        <x:v>喜忌只修正功能摩擦、平衡与承载，不直接等同道德、成熟、善恶或是否值得原谅。</x:v>
      </x:c>
      <x:c r="S295" s="20" t="str">
        <x:v>原十神功能有效；真合化成立时按化神功能替换，合化争议时停止定性。</x:v>
      </x:c>
      <x:c r="T295" s="20" t="str">
        <x:v>近位提高修复议题与亲密关系的直接相关性；远位仅保留背景、阶段或低置信修正。</x:v>
      </x:c>
      <x:c r="U295" s="20" t="str">
        <x:v>88</x:v>
      </x:c>
      <x:c r="V295" s="20" t="str">
        <x:v>机制证据＋5；反例－4至停止</x:v>
      </x:c>
      <x:c r="W295" s="20" t="str">
        <x:v>repair_failure_mechanism</x:v>
      </x:c>
      <x:c r="X295" s="20" t="str">
        <x:v>必须有现实事件顺序和节点证据。</x:v>
      </x:c>
      <x:c r="Y295" s="20" t="str">
        <x:v>需要检查：RN07缺失，或反馈被解释为不知足、挑剔、拒绝修复。</x:v>
      </x:c>
      <x:c r="Z29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5" s="20" t="str">
        <x:v>中高</x:v>
      </x:c>
      <x:c r="AB295" s="20" t="str">
        <x:v>待验证</x:v>
      </x:c>
      <x:c r="AC295" s="20" t="str"/>
      <x:c r="AD295" s="20" t="str">
        <x:v>provisional=true；M3-REPAIR尚未完成，完成条件为暂定功能模型。</x:v>
      </x:c>
      <x:c r="AE295" s="52" t="str">
        <x:v>0.7</x:v>
      </x:c>
    </x:row>
    <x:row r="296">
      <x:c r="A296" s="51" t="str">
        <x:v>M4-REPAIR-295</x:v>
      </x:c>
      <x:c r="B296" s="20" t="str">
        <x:v>RF05 反馈未整合｜功能路由</x:v>
      </x:c>
      <x:c r="C296" s="20" t="str">
        <x:v>L5 修复断链机制</x:v>
      </x:c>
      <x:c r="D296" s="20" t="str">
        <x:v>REPAIR-断链机制</x:v>
      </x:c>
      <x:c r="E296" s="20" t="str">
        <x:v>通用</x:v>
      </x:c>
      <x:c r="F296" s="20" t="str">
        <x:v>路由</x:v>
      </x:c>
      <x:c r="G296" s="20" t="str">
        <x:v>RF05</x:v>
      </x:c>
      <x:c r="H296" s="20" t="str"/>
      <x:c r="I296" s="20" t="str">
        <x:v>该机制与一个明确RB盲点、RI事件类型或LP循环相连。</x:v>
      </x:c>
      <x:c r="J296" s="20" t="str">
        <x:v>只有共现，没有功能关系。</x:v>
      </x:c>
      <x:c r="K296" s="20" t="str">
        <x:v>由共享基础引擎提供；仅修正修复功能的承载、持续与压力占位，不直接等同是否愿意认错或能否修复。</x:v>
      </x:c>
      <x:c r="L296" s="20" t="str">
        <x:v>由M1／M2提供；夫妻星只说明伴侣原型与关系资格，不单独证明修复能力、修复意愿或修复结果。</x:v>
      </x:c>
      <x:c r="M296" s="20" t="str">
        <x:v>由M3-BASE提供；日支底盘说明亲密关系中自然调用的功能，但不能单独证明修复闭环。</x:v>
      </x:c>
      <x:c r="N296" s="20" t="str">
        <x:v>由M3-CONFLICT、M4-LOOP及现实事件提供；必须区分问题停止、责任承担、影响确认、行动改变、反馈整合与后续回访。</x:v>
      </x:c>
      <x:c r="O296" s="20" t="str">
        <x:v>由共享基础引擎判定；近位提高相关功能进入亲密关系核心的概率，远位只作背景或阶段修正。</x:v>
      </x:c>
      <x:c r="P296" s="20" t="str">
        <x:v>根气只修正某修复功能是否容易重复调用，不等于现实中已经持续改变。</x:v>
      </x:c>
      <x:c r="Q296" s="20" t="str">
        <x:v>旺弱只修正功能调用强度与占位，不直接等同修复质量、诚意或关系结果。</x:v>
      </x:c>
      <x:c r="R296" s="20" t="str">
        <x:v>喜忌只修正功能摩擦、平衡与承载，不直接等同道德、成熟、善恶或是否值得原谅。</x:v>
      </x:c>
      <x:c r="S296" s="20" t="str">
        <x:v>原十神功能有效；真合化成立时按化神功能替换，合化争议时停止定性。</x:v>
      </x:c>
      <x:c r="T296" s="20" t="str">
        <x:v>近位提高修复议题与亲密关系的直接相关性；远位仅保留背景、阶段或低置信修正。</x:v>
      </x:c>
      <x:c r="U296" s="20" t="str">
        <x:v>72</x:v>
      </x:c>
      <x:c r="V296" s="20" t="str">
        <x:v>机制证据＋5；反例－4至停止</x:v>
      </x:c>
      <x:c r="W296" s="20" t="str">
        <x:v>repair_failure_mechanism</x:v>
      </x:c>
      <x:c r="X296" s="20" t="str">
        <x:v>路由用于说明卡点发生在哪一步。</x:v>
      </x:c>
      <x:c r="Y296" s="20" t="str">
        <x:v>这项卡点要连接到具体事件和缺失节点，而不是单独贴标签。</x:v>
      </x:c>
      <x:c r="Z29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6" s="20" t="str">
        <x:v>中高</x:v>
      </x:c>
      <x:c r="AB296" s="20" t="str">
        <x:v>待验证</x:v>
      </x:c>
      <x:c r="AC296" s="20" t="str"/>
      <x:c r="AD296" s="20" t="str">
        <x:v>provisional=true；M3-REPAIR尚未完成，完成条件为暂定功能模型。</x:v>
      </x:c>
      <x:c r="AE296" s="52" t="str">
        <x:v>0.7</x:v>
      </x:c>
    </x:row>
    <x:row r="297">
      <x:c r="A297" s="51" t="str">
        <x:v>M4-REPAIR-296</x:v>
      </x:c>
      <x:c r="B297" s="20" t="str">
        <x:v>RF05 反馈未整合｜反例门控</x:v>
      </x:c>
      <x:c r="C297" s="20" t="str">
        <x:v>L5 修复断链机制</x:v>
      </x:c>
      <x:c r="D297" s="20" t="str">
        <x:v>REPAIR-断链机制</x:v>
      </x:c>
      <x:c r="E297" s="20" t="str">
        <x:v>通用</x:v>
      </x:c>
      <x:c r="F297" s="20" t="str">
        <x:v>反例</x:v>
      </x:c>
      <x:c r="G297" s="20" t="str">
        <x:v>RF05</x:v>
      </x:c>
      <x:c r="H297" s="20" t="str"/>
      <x:c r="I297" s="20" t="str">
        <x:v>检查：反馈已被复述并转成二次调整。</x:v>
      </x:c>
      <x:c r="J297" s="20" t="str">
        <x:v>忽略现实中成功修复或合理边界。</x:v>
      </x:c>
      <x:c r="K297" s="20" t="str">
        <x:v>由共享基础引擎提供；仅修正修复功能的承载、持续与压力占位，不直接等同是否愿意认错或能否修复。</x:v>
      </x:c>
      <x:c r="L297" s="20" t="str">
        <x:v>由M1／M2提供；夫妻星只说明伴侣原型与关系资格，不单独证明修复能力、修复意愿或修复结果。</x:v>
      </x:c>
      <x:c r="M297" s="20" t="str">
        <x:v>由M3-BASE提供；日支底盘说明亲密关系中自然调用的功能，但不能单独证明修复闭环。</x:v>
      </x:c>
      <x:c r="N297" s="20" t="str">
        <x:v>由M3-CONFLICT、M4-LOOP及现实事件提供；必须区分问题停止、责任承担、影响确认、行动改变、反馈整合与后续回访。</x:v>
      </x:c>
      <x:c r="O297" s="20" t="str">
        <x:v>由共享基础引擎判定；近位提高相关功能进入亲密关系核心的概率，远位只作背景或阶段修正。</x:v>
      </x:c>
      <x:c r="P297" s="20" t="str">
        <x:v>根气只修正某修复功能是否容易重复调用，不等于现实中已经持续改变。</x:v>
      </x:c>
      <x:c r="Q297" s="20" t="str">
        <x:v>旺弱只修正功能调用强度与占位，不直接等同修复质量、诚意或关系结果。</x:v>
      </x:c>
      <x:c r="R297" s="20" t="str">
        <x:v>喜忌只修正功能摩擦、平衡与承载，不直接等同道德、成熟、善恶或是否值得原谅。</x:v>
      </x:c>
      <x:c r="S297" s="20" t="str">
        <x:v>原十神功能有效；真合化成立时按化神功能替换，合化争议时停止定性。</x:v>
      </x:c>
      <x:c r="T297" s="20" t="str">
        <x:v>近位提高修复议题与亲密关系的直接相关性；远位仅保留背景、阶段或低置信修正。</x:v>
      </x:c>
      <x:c r="U297" s="20" t="str">
        <x:v>88</x:v>
      </x:c>
      <x:c r="V297" s="20" t="str">
        <x:v>机制证据＋5；反例－4至停止</x:v>
      </x:c>
      <x:c r="W297" s="20" t="str">
        <x:v>repair_failure_mechanism</x:v>
      </x:c>
      <x:c r="X297" s="20" t="str">
        <x:v>反例可能使RF候选降级或停止。</x:v>
      </x:c>
      <x:c r="Y297" s="20" t="str">
        <x:v>若现实中已经通过其他方式完成同一任务，应降低这项判断。</x:v>
      </x:c>
      <x:c r="Z29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7" s="20" t="str">
        <x:v>中高</x:v>
      </x:c>
      <x:c r="AB297" s="20" t="str">
        <x:v>待验证</x:v>
      </x:c>
      <x:c r="AC297" s="20" t="str"/>
      <x:c r="AD297" s="20" t="str">
        <x:v>provisional=true；M3-REPAIR尚未完成，完成条件为暂定功能模型。</x:v>
      </x:c>
      <x:c r="AE297" s="52" t="str">
        <x:v>0.7</x:v>
      </x:c>
    </x:row>
    <x:row r="298">
      <x:c r="A298" s="51" t="str">
        <x:v>M4-REPAIR-297</x:v>
      </x:c>
      <x:c r="B298" s="20" t="str">
        <x:v>RF05 反馈未整合｜用户输出</x:v>
      </x:c>
      <x:c r="C298" s="20" t="str">
        <x:v>L5 修复断链机制</x:v>
      </x:c>
      <x:c r="D298" s="20" t="str">
        <x:v>REPAIR-断链机制</x:v>
      </x:c>
      <x:c r="E298" s="20" t="str">
        <x:v>通用</x:v>
      </x:c>
      <x:c r="F298" s="20" t="str">
        <x:v>输出</x:v>
      </x:c>
      <x:c r="G298" s="20" t="str">
        <x:v>RF05</x:v>
      </x:c>
      <x:c r="H298" s="20" t="str"/>
      <x:c r="I298" s="20" t="str">
        <x:v>RF达到E2以上，并完成接收方反馈与安全检查。</x:v>
      </x:c>
      <x:c r="J298" s="20" t="str">
        <x:v>资料不足或安全停止。</x:v>
      </x:c>
      <x:c r="K298" s="20" t="str">
        <x:v>由共享基础引擎提供；仅修正修复功能的承载、持续与压力占位，不直接等同是否愿意认错或能否修复。</x:v>
      </x:c>
      <x:c r="L298" s="20" t="str">
        <x:v>由M1／M2提供；夫妻星只说明伴侣原型与关系资格，不单独证明修复能力、修复意愿或修复结果。</x:v>
      </x:c>
      <x:c r="M298" s="20" t="str">
        <x:v>由M3-BASE提供；日支底盘说明亲密关系中自然调用的功能，但不能单独证明修复闭环。</x:v>
      </x:c>
      <x:c r="N298" s="20" t="str">
        <x:v>由M3-CONFLICT、M4-LOOP及现实事件提供；必须区分问题停止、责任承担、影响确认、行动改变、反馈整合与后续回访。</x:v>
      </x:c>
      <x:c r="O298" s="20" t="str">
        <x:v>由共享基础引擎判定；近位提高相关功能进入亲密关系核心的概率，远位只作背景或阶段修正。</x:v>
      </x:c>
      <x:c r="P298" s="20" t="str">
        <x:v>根气只修正某修复功能是否容易重复调用，不等于现实中已经持续改变。</x:v>
      </x:c>
      <x:c r="Q298" s="20" t="str">
        <x:v>旺弱只修正功能调用强度与占位，不直接等同修复质量、诚意或关系结果。</x:v>
      </x:c>
      <x:c r="R298" s="20" t="str">
        <x:v>喜忌只修正功能摩擦、平衡与承载，不直接等同道德、成熟、善恶或是否值得原谅。</x:v>
      </x:c>
      <x:c r="S298" s="20" t="str">
        <x:v>原十神功能有效；真合化成立时按化神功能替换，合化争议时停止定性。</x:v>
      </x:c>
      <x:c r="T298" s="20" t="str">
        <x:v>近位提高修复议题与亲密关系的直接相关性；远位仅保留背景、阶段或低置信修正。</x:v>
      </x:c>
      <x:c r="U298" s="20" t="str">
        <x:v>72</x:v>
      </x:c>
      <x:c r="V298" s="20" t="str">
        <x:v>机制证据＋5；反例－4至停止</x:v>
      </x:c>
      <x:c r="W298" s="20" t="str">
        <x:v>repair_failure_mechanism</x:v>
      </x:c>
      <x:c r="X298" s="20" t="str">
        <x:v>输出说明功能仍有价值，卡点在转换或持续。</x:v>
      </x:c>
      <x:c r="Y298" s="20" t="str">
        <x:v>修复不是“我已经做了”，而是还要看这一步是否真正回应了对方。</x:v>
      </x:c>
      <x:c r="Z29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8" s="20" t="str">
        <x:v>中高</x:v>
      </x:c>
      <x:c r="AB298" s="20" t="str">
        <x:v>待验证</x:v>
      </x:c>
      <x:c r="AC298" s="20" t="str"/>
      <x:c r="AD298" s="20" t="str">
        <x:v>provisional=true；M3-REPAIR尚未完成，完成条件为暂定功能模型。</x:v>
      </x:c>
      <x:c r="AE298" s="52" t="str">
        <x:v>0.7</x:v>
      </x:c>
    </x:row>
    <x:row r="299">
      <x:c r="A299" s="51" t="str">
        <x:v>M4-REPAIR-298</x:v>
      </x:c>
      <x:c r="B299" s="20" t="str">
        <x:v>RF05 反馈未整合｜退出条件</x:v>
      </x:c>
      <x:c r="C299" s="20" t="str">
        <x:v>L5 修复断链机制</x:v>
      </x:c>
      <x:c r="D299" s="20" t="str">
        <x:v>REPAIR-断链机制</x:v>
      </x:c>
      <x:c r="E299" s="20" t="str">
        <x:v>通用</x:v>
      </x:c>
      <x:c r="F299" s="20" t="str">
        <x:v>保护</x:v>
      </x:c>
      <x:c r="G299" s="20" t="str">
        <x:v>RF05</x:v>
      </x:c>
      <x:c r="H299" s="20" t="str"/>
      <x:c r="I299" s="20" t="str">
        <x:v>建立反馈—调整—再次确认。</x:v>
      </x:c>
      <x:c r="J299" s="20" t="str">
        <x:v>只给抽象建议，没有可观察步骤。</x:v>
      </x:c>
      <x:c r="K299" s="20" t="str">
        <x:v>由共享基础引擎提供；仅修正修复功能的承载、持续与压力占位，不直接等同是否愿意认错或能否修复。</x:v>
      </x:c>
      <x:c r="L299" s="20" t="str">
        <x:v>由M1／M2提供；夫妻星只说明伴侣原型与关系资格，不单独证明修复能力、修复意愿或修复结果。</x:v>
      </x:c>
      <x:c r="M299" s="20" t="str">
        <x:v>由M3-BASE提供；日支底盘说明亲密关系中自然调用的功能，但不能单独证明修复闭环。</x:v>
      </x:c>
      <x:c r="N299" s="20" t="str">
        <x:v>由M3-CONFLICT、M4-LOOP及现实事件提供；必须区分问题停止、责任承担、影响确认、行动改变、反馈整合与后续回访。</x:v>
      </x:c>
      <x:c r="O299" s="20" t="str">
        <x:v>由共享基础引擎判定；近位提高相关功能进入亲密关系核心的概率，远位只作背景或阶段修正。</x:v>
      </x:c>
      <x:c r="P299" s="20" t="str">
        <x:v>根气只修正某修复功能是否容易重复调用，不等于现实中已经持续改变。</x:v>
      </x:c>
      <x:c r="Q299" s="20" t="str">
        <x:v>旺弱只修正功能调用强度与占位，不直接等同修复质量、诚意或关系结果。</x:v>
      </x:c>
      <x:c r="R299" s="20" t="str">
        <x:v>喜忌只修正功能摩擦、平衡与承载，不直接等同道德、成熟、善恶或是否值得原谅。</x:v>
      </x:c>
      <x:c r="S299" s="20" t="str">
        <x:v>原十神功能有效；真合化成立时按化神功能替换，合化争议时停止定性。</x:v>
      </x:c>
      <x:c r="T299" s="20" t="str">
        <x:v>近位提高修复议题与亲密关系的直接相关性；远位仅保留背景、阶段或低置信修正。</x:v>
      </x:c>
      <x:c r="U299" s="20" t="str">
        <x:v>72</x:v>
      </x:c>
      <x:c r="V299" s="20" t="str">
        <x:v>机制证据＋5；反例－4至停止</x:v>
      </x:c>
      <x:c r="W299" s="20" t="str">
        <x:v>repair_failure_mechanism</x:v>
      </x:c>
      <x:c r="X299" s="20" t="str">
        <x:v>退出条件要直接恢复缺失节点或转换。</x:v>
      </x:c>
      <x:c r="Y299" s="20" t="str">
        <x:v>关键中断点是：建立反馈—调整—再次确认。</x:v>
      </x:c>
      <x:c r="Z29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299" s="20" t="str">
        <x:v>中高</x:v>
      </x:c>
      <x:c r="AB299" s="20" t="str">
        <x:v>待验证</x:v>
      </x:c>
      <x:c r="AC299" s="20" t="str"/>
      <x:c r="AD299" s="20" t="str">
        <x:v>provisional=true；M3-REPAIR尚未完成，完成条件为暂定功能模型。</x:v>
      </x:c>
      <x:c r="AE299" s="52" t="str">
        <x:v>0.7</x:v>
      </x:c>
    </x:row>
    <x:row r="300">
      <x:c r="A300" s="51" t="str">
        <x:v>M4-REPAIR-299</x:v>
      </x:c>
      <x:c r="B300" s="20" t="str">
        <x:v>RF06 行动未持续｜机制定义</x:v>
      </x:c>
      <x:c r="C300" s="20" t="str">
        <x:v>L5 修复断链机制</x:v>
      </x:c>
      <x:c r="D300" s="20" t="str">
        <x:v>REPAIR-断链机制</x:v>
      </x:c>
      <x:c r="E300" s="20" t="str">
        <x:v>通用</x:v>
      </x:c>
      <x:c r="F300" s="20" t="str">
        <x:v>定义</x:v>
      </x:c>
      <x:c r="G300" s="20" t="str">
        <x:v>RF06</x:v>
      </x:c>
      <x:c r="H300" s="20" t="str"/>
      <x:c r="I300" s="20" t="str">
        <x:v>短期改变出现，但在相似情境中无法保持。</x:v>
      </x:c>
      <x:c r="J300" s="20" t="str">
        <x:v>只凭十神或一次模糊印象。</x:v>
      </x:c>
      <x:c r="K300" s="20" t="str">
        <x:v>由共享基础引擎提供；仅修正修复功能的承载、持续与压力占位，不直接等同是否愿意认错或能否修复。</x:v>
      </x:c>
      <x:c r="L300" s="20" t="str">
        <x:v>由M1／M2提供；夫妻星只说明伴侣原型与关系资格，不单独证明修复能力、修复意愿或修复结果。</x:v>
      </x:c>
      <x:c r="M300" s="20" t="str">
        <x:v>由M3-BASE提供；日支底盘说明亲密关系中自然调用的功能，但不能单独证明修复闭环。</x:v>
      </x:c>
      <x:c r="N300" s="20" t="str">
        <x:v>由M3-CONFLICT、M4-LOOP及现实事件提供；必须区分问题停止、责任承担、影响确认、行动改变、反馈整合与后续回访。</x:v>
      </x:c>
      <x:c r="O300" s="20" t="str">
        <x:v>由共享基础引擎判定；近位提高相关功能进入亲密关系核心的概率，远位只作背景或阶段修正。</x:v>
      </x:c>
      <x:c r="P300" s="20" t="str">
        <x:v>根气只修正某修复功能是否容易重复调用，不等于现实中已经持续改变。</x:v>
      </x:c>
      <x:c r="Q300" s="20" t="str">
        <x:v>旺弱只修正功能调用强度与占位，不直接等同修复质量、诚意或关系结果。</x:v>
      </x:c>
      <x:c r="R300" s="20" t="str">
        <x:v>喜忌只修正功能摩擦、平衡与承载，不直接等同道德、成熟、善恶或是否值得原谅。</x:v>
      </x:c>
      <x:c r="S300" s="20" t="str">
        <x:v>原十神功能有效；真合化成立时按化神功能替换，合化争议时停止定性。</x:v>
      </x:c>
      <x:c r="T300" s="20" t="str">
        <x:v>近位提高修复议题与亲密关系的直接相关性；远位仅保留背景、阶段或低置信修正。</x:v>
      </x:c>
      <x:c r="U300" s="20" t="str">
        <x:v>72</x:v>
      </x:c>
      <x:c r="V300" s="20" t="str">
        <x:v>机制证据＋5；反例－4至停止</x:v>
      </x:c>
      <x:c r="W300" s="20" t="str">
        <x:v>repair_failure_mechanism</x:v>
      </x:c>
      <x:c r="X300" s="20" t="str">
        <x:v>RF机制描述修复链怎样断开，不等同人格标签。</x:v>
      </x:c>
      <x:c r="Y300" s="20" t="str">
        <x:v>真正的卡点可能不是没有改变，而是改变没有稳定到足以重新建立信任。</x:v>
      </x:c>
      <x:c r="Z30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0" s="20" t="str">
        <x:v>中高</x:v>
      </x:c>
      <x:c r="AB300" s="20" t="str">
        <x:v>待验证</x:v>
      </x:c>
      <x:c r="AC300" s="20" t="str"/>
      <x:c r="AD300" s="20" t="str">
        <x:v>provisional=true；M3-REPAIR尚未完成，完成条件为暂定功能模型。</x:v>
      </x:c>
      <x:c r="AE300" s="52" t="str">
        <x:v>0.7</x:v>
      </x:c>
    </x:row>
    <x:row r="301">
      <x:c r="A301" s="51" t="str">
        <x:v>M4-REPAIR-300</x:v>
      </x:c>
      <x:c r="B301" s="20" t="str">
        <x:v>RF06 行动未持续｜识别条件</x:v>
      </x:c>
      <x:c r="C301" s="20" t="str">
        <x:v>L5 修复断链机制</x:v>
      </x:c>
      <x:c r="D301" s="20" t="str">
        <x:v>REPAIR-断链机制</x:v>
      </x:c>
      <x:c r="E301" s="20" t="str">
        <x:v>通用</x:v>
      </x:c>
      <x:c r="F301" s="20" t="str">
        <x:v>证据</x:v>
      </x:c>
      <x:c r="G301" s="20" t="str">
        <x:v>RF06</x:v>
      </x:c>
      <x:c r="H301" s="20" t="str"/>
      <x:c r="I301" s="20" t="str">
        <x:v>RN08持续性不足或反复回到旧做法。</x:v>
      </x:c>
      <x:c r="J301" s="20" t="str">
        <x:v>现实资源变化合理且有重新协商。</x:v>
      </x:c>
      <x:c r="K301" s="20" t="str">
        <x:v>由共享基础引擎提供；仅修正修复功能的承载、持续与压力占位，不直接等同是否愿意认错或能否修复。</x:v>
      </x:c>
      <x:c r="L301" s="20" t="str">
        <x:v>由M1／M2提供；夫妻星只说明伴侣原型与关系资格，不单独证明修复能力、修复意愿或修复结果。</x:v>
      </x:c>
      <x:c r="M301" s="20" t="str">
        <x:v>由M3-BASE提供；日支底盘说明亲密关系中自然调用的功能，但不能单独证明修复闭环。</x:v>
      </x:c>
      <x:c r="N301" s="20" t="str">
        <x:v>由M3-CONFLICT、M4-LOOP及现实事件提供；必须区分问题停止、责任承担、影响确认、行动改变、反馈整合与后续回访。</x:v>
      </x:c>
      <x:c r="O301" s="20" t="str">
        <x:v>由共享基础引擎判定；近位提高相关功能进入亲密关系核心的概率，远位只作背景或阶段修正。</x:v>
      </x:c>
      <x:c r="P301" s="20" t="str">
        <x:v>根气只修正某修复功能是否容易重复调用，不等于现实中已经持续改变。</x:v>
      </x:c>
      <x:c r="Q301" s="20" t="str">
        <x:v>旺弱只修正功能调用强度与占位，不直接等同修复质量、诚意或关系结果。</x:v>
      </x:c>
      <x:c r="R301" s="20" t="str">
        <x:v>喜忌只修正功能摩擦、平衡与承载，不直接等同道德、成熟、善恶或是否值得原谅。</x:v>
      </x:c>
      <x:c r="S301" s="20" t="str">
        <x:v>原十神功能有效；真合化成立时按化神功能替换，合化争议时停止定性。</x:v>
      </x:c>
      <x:c r="T301" s="20" t="str">
        <x:v>近位提高修复议题与亲密关系的直接相关性；远位仅保留背景、阶段或低置信修正。</x:v>
      </x:c>
      <x:c r="U301" s="20" t="str">
        <x:v>88</x:v>
      </x:c>
      <x:c r="V301" s="20" t="str">
        <x:v>机制证据＋5；反例－4至停止</x:v>
      </x:c>
      <x:c r="W301" s="20" t="str">
        <x:v>repair_failure_mechanism</x:v>
      </x:c>
      <x:c r="X301" s="20" t="str">
        <x:v>必须有现实事件顺序和节点证据。</x:v>
      </x:c>
      <x:c r="Y301" s="20" t="str">
        <x:v>需要检查：RN08持续性不足或反复回到旧做法。</x:v>
      </x:c>
      <x:c r="Z30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1" s="20" t="str">
        <x:v>中高</x:v>
      </x:c>
      <x:c r="AB301" s="20" t="str">
        <x:v>待验证</x:v>
      </x:c>
      <x:c r="AC301" s="20" t="str"/>
      <x:c r="AD301" s="20" t="str">
        <x:v>provisional=true；M3-REPAIR尚未完成，完成条件为暂定功能模型。</x:v>
      </x:c>
      <x:c r="AE301" s="52" t="str">
        <x:v>0.7</x:v>
      </x:c>
    </x:row>
    <x:row r="302">
      <x:c r="A302" s="51" t="str">
        <x:v>M4-REPAIR-301</x:v>
      </x:c>
      <x:c r="B302" s="20" t="str">
        <x:v>RF06 行动未持续｜功能路由</x:v>
      </x:c>
      <x:c r="C302" s="20" t="str">
        <x:v>L5 修复断链机制</x:v>
      </x:c>
      <x:c r="D302" s="20" t="str">
        <x:v>REPAIR-断链机制</x:v>
      </x:c>
      <x:c r="E302" s="20" t="str">
        <x:v>通用</x:v>
      </x:c>
      <x:c r="F302" s="20" t="str">
        <x:v>路由</x:v>
      </x:c>
      <x:c r="G302" s="20" t="str">
        <x:v>RF06</x:v>
      </x:c>
      <x:c r="H302" s="20" t="str"/>
      <x:c r="I302" s="20" t="str">
        <x:v>该机制与一个明确RB盲点、RI事件类型或LP循环相连。</x:v>
      </x:c>
      <x:c r="J302" s="20" t="str">
        <x:v>只有共现，没有功能关系。</x:v>
      </x:c>
      <x:c r="K302" s="20" t="str">
        <x:v>由共享基础引擎提供；仅修正修复功能的承载、持续与压力占位，不直接等同是否愿意认错或能否修复。</x:v>
      </x:c>
      <x:c r="L302" s="20" t="str">
        <x:v>由M1／M2提供；夫妻星只说明伴侣原型与关系资格，不单独证明修复能力、修复意愿或修复结果。</x:v>
      </x:c>
      <x:c r="M302" s="20" t="str">
        <x:v>由M3-BASE提供；日支底盘说明亲密关系中自然调用的功能，但不能单独证明修复闭环。</x:v>
      </x:c>
      <x:c r="N302" s="20" t="str">
        <x:v>由M3-CONFLICT、M4-LOOP及现实事件提供；必须区分问题停止、责任承担、影响确认、行动改变、反馈整合与后续回访。</x:v>
      </x:c>
      <x:c r="O302" s="20" t="str">
        <x:v>由共享基础引擎判定；近位提高相关功能进入亲密关系核心的概率，远位只作背景或阶段修正。</x:v>
      </x:c>
      <x:c r="P302" s="20" t="str">
        <x:v>根气只修正某修复功能是否容易重复调用，不等于现实中已经持续改变。</x:v>
      </x:c>
      <x:c r="Q302" s="20" t="str">
        <x:v>旺弱只修正功能调用强度与占位，不直接等同修复质量、诚意或关系结果。</x:v>
      </x:c>
      <x:c r="R302" s="20" t="str">
        <x:v>喜忌只修正功能摩擦、平衡与承载，不直接等同道德、成熟、善恶或是否值得原谅。</x:v>
      </x:c>
      <x:c r="S302" s="20" t="str">
        <x:v>原十神功能有效；真合化成立时按化神功能替换，合化争议时停止定性。</x:v>
      </x:c>
      <x:c r="T302" s="20" t="str">
        <x:v>近位提高修复议题与亲密关系的直接相关性；远位仅保留背景、阶段或低置信修正。</x:v>
      </x:c>
      <x:c r="U302" s="20" t="str">
        <x:v>72</x:v>
      </x:c>
      <x:c r="V302" s="20" t="str">
        <x:v>机制证据＋5；反例－4至停止</x:v>
      </x:c>
      <x:c r="W302" s="20" t="str">
        <x:v>repair_failure_mechanism</x:v>
      </x:c>
      <x:c r="X302" s="20" t="str">
        <x:v>路由用于说明卡点发生在哪一步。</x:v>
      </x:c>
      <x:c r="Y302" s="20" t="str">
        <x:v>这项卡点要连接到具体事件和缺失节点，而不是单独贴标签。</x:v>
      </x:c>
      <x:c r="Z30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2" s="20" t="str">
        <x:v>中高</x:v>
      </x:c>
      <x:c r="AB302" s="20" t="str">
        <x:v>待验证</x:v>
      </x:c>
      <x:c r="AC302" s="20" t="str"/>
      <x:c r="AD302" s="20" t="str">
        <x:v>provisional=true；M3-REPAIR尚未完成，完成条件为暂定功能模型。</x:v>
      </x:c>
      <x:c r="AE302" s="52" t="str">
        <x:v>0.7</x:v>
      </x:c>
    </x:row>
    <x:row r="303">
      <x:c r="A303" s="51" t="str">
        <x:v>M4-REPAIR-302</x:v>
      </x:c>
      <x:c r="B303" s="20" t="str">
        <x:v>RF06 行动未持续｜反例门控</x:v>
      </x:c>
      <x:c r="C303" s="20" t="str">
        <x:v>L5 修复断链机制</x:v>
      </x:c>
      <x:c r="D303" s="20" t="str">
        <x:v>REPAIR-断链机制</x:v>
      </x:c>
      <x:c r="E303" s="20" t="str">
        <x:v>通用</x:v>
      </x:c>
      <x:c r="F303" s="20" t="str">
        <x:v>反例</x:v>
      </x:c>
      <x:c r="G303" s="20" t="str">
        <x:v>RF06</x:v>
      </x:c>
      <x:c r="H303" s="20" t="str"/>
      <x:c r="I303" s="20" t="str">
        <x:v>检查：现实资源变化合理且有重新协商。</x:v>
      </x:c>
      <x:c r="J303" s="20" t="str">
        <x:v>忽略现实中成功修复或合理边界。</x:v>
      </x:c>
      <x:c r="K303" s="20" t="str">
        <x:v>由共享基础引擎提供；仅修正修复功能的承载、持续与压力占位，不直接等同是否愿意认错或能否修复。</x:v>
      </x:c>
      <x:c r="L303" s="20" t="str">
        <x:v>由M1／M2提供；夫妻星只说明伴侣原型与关系资格，不单独证明修复能力、修复意愿或修复结果。</x:v>
      </x:c>
      <x:c r="M303" s="20" t="str">
        <x:v>由M3-BASE提供；日支底盘说明亲密关系中自然调用的功能，但不能单独证明修复闭环。</x:v>
      </x:c>
      <x:c r="N303" s="20" t="str">
        <x:v>由M3-CONFLICT、M4-LOOP及现实事件提供；必须区分问题停止、责任承担、影响确认、行动改变、反馈整合与后续回访。</x:v>
      </x:c>
      <x:c r="O303" s="20" t="str">
        <x:v>由共享基础引擎判定；近位提高相关功能进入亲密关系核心的概率，远位只作背景或阶段修正。</x:v>
      </x:c>
      <x:c r="P303" s="20" t="str">
        <x:v>根气只修正某修复功能是否容易重复调用，不等于现实中已经持续改变。</x:v>
      </x:c>
      <x:c r="Q303" s="20" t="str">
        <x:v>旺弱只修正功能调用强度与占位，不直接等同修复质量、诚意或关系结果。</x:v>
      </x:c>
      <x:c r="R303" s="20" t="str">
        <x:v>喜忌只修正功能摩擦、平衡与承载，不直接等同道德、成熟、善恶或是否值得原谅。</x:v>
      </x:c>
      <x:c r="S303" s="20" t="str">
        <x:v>原十神功能有效；真合化成立时按化神功能替换，合化争议时停止定性。</x:v>
      </x:c>
      <x:c r="T303" s="20" t="str">
        <x:v>近位提高修复议题与亲密关系的直接相关性；远位仅保留背景、阶段或低置信修正。</x:v>
      </x:c>
      <x:c r="U303" s="20" t="str">
        <x:v>88</x:v>
      </x:c>
      <x:c r="V303" s="20" t="str">
        <x:v>机制证据＋5；反例－4至停止</x:v>
      </x:c>
      <x:c r="W303" s="20" t="str">
        <x:v>repair_failure_mechanism</x:v>
      </x:c>
      <x:c r="X303" s="20" t="str">
        <x:v>反例可能使RF候选降级或停止。</x:v>
      </x:c>
      <x:c r="Y303" s="20" t="str">
        <x:v>若现实中已经通过其他方式完成同一任务，应降低这项判断。</x:v>
      </x:c>
      <x:c r="Z30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3" s="20" t="str">
        <x:v>中高</x:v>
      </x:c>
      <x:c r="AB303" s="20" t="str">
        <x:v>待验证</x:v>
      </x:c>
      <x:c r="AC303" s="20" t="str"/>
      <x:c r="AD303" s="20" t="str">
        <x:v>provisional=true；M3-REPAIR尚未完成，完成条件为暂定功能模型。</x:v>
      </x:c>
      <x:c r="AE303" s="52" t="str">
        <x:v>0.7</x:v>
      </x:c>
    </x:row>
    <x:row r="304">
      <x:c r="A304" s="51" t="str">
        <x:v>M4-REPAIR-303</x:v>
      </x:c>
      <x:c r="B304" s="20" t="str">
        <x:v>RF06 行动未持续｜用户输出</x:v>
      </x:c>
      <x:c r="C304" s="20" t="str">
        <x:v>L5 修复断链机制</x:v>
      </x:c>
      <x:c r="D304" s="20" t="str">
        <x:v>REPAIR-断链机制</x:v>
      </x:c>
      <x:c r="E304" s="20" t="str">
        <x:v>通用</x:v>
      </x:c>
      <x:c r="F304" s="20" t="str">
        <x:v>输出</x:v>
      </x:c>
      <x:c r="G304" s="20" t="str">
        <x:v>RF06</x:v>
      </x:c>
      <x:c r="H304" s="20" t="str"/>
      <x:c r="I304" s="20" t="str">
        <x:v>RF达到E2以上，并完成接收方反馈与安全检查。</x:v>
      </x:c>
      <x:c r="J304" s="20" t="str">
        <x:v>资料不足或安全停止。</x:v>
      </x:c>
      <x:c r="K304" s="20" t="str">
        <x:v>由共享基础引擎提供；仅修正修复功能的承载、持续与压力占位，不直接等同是否愿意认错或能否修复。</x:v>
      </x:c>
      <x:c r="L304" s="20" t="str">
        <x:v>由M1／M2提供；夫妻星只说明伴侣原型与关系资格，不单独证明修复能力、修复意愿或修复结果。</x:v>
      </x:c>
      <x:c r="M304" s="20" t="str">
        <x:v>由M3-BASE提供；日支底盘说明亲密关系中自然调用的功能，但不能单独证明修复闭环。</x:v>
      </x:c>
      <x:c r="N304" s="20" t="str">
        <x:v>由M3-CONFLICT、M4-LOOP及现实事件提供；必须区分问题停止、责任承担、影响确认、行动改变、反馈整合与后续回访。</x:v>
      </x:c>
      <x:c r="O304" s="20" t="str">
        <x:v>由共享基础引擎判定；近位提高相关功能进入亲密关系核心的概率，远位只作背景或阶段修正。</x:v>
      </x:c>
      <x:c r="P304" s="20" t="str">
        <x:v>根气只修正某修复功能是否容易重复调用，不等于现实中已经持续改变。</x:v>
      </x:c>
      <x:c r="Q304" s="20" t="str">
        <x:v>旺弱只修正功能调用强度与占位，不直接等同修复质量、诚意或关系结果。</x:v>
      </x:c>
      <x:c r="R304" s="20" t="str">
        <x:v>喜忌只修正功能摩擦、平衡与承载，不直接等同道德、成熟、善恶或是否值得原谅。</x:v>
      </x:c>
      <x:c r="S304" s="20" t="str">
        <x:v>原十神功能有效；真合化成立时按化神功能替换，合化争议时停止定性。</x:v>
      </x:c>
      <x:c r="T304" s="20" t="str">
        <x:v>近位提高修复议题与亲密关系的直接相关性；远位仅保留背景、阶段或低置信修正。</x:v>
      </x:c>
      <x:c r="U304" s="20" t="str">
        <x:v>72</x:v>
      </x:c>
      <x:c r="V304" s="20" t="str">
        <x:v>机制证据＋5；反例－4至停止</x:v>
      </x:c>
      <x:c r="W304" s="20" t="str">
        <x:v>repair_failure_mechanism</x:v>
      </x:c>
      <x:c r="X304" s="20" t="str">
        <x:v>输出说明功能仍有价值，卡点在转换或持续。</x:v>
      </x:c>
      <x:c r="Y304" s="20" t="str">
        <x:v>真正的卡点可能不是没有改变，而是改变没有稳定到足以重新建立信任。</x:v>
      </x:c>
      <x:c r="Z30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4" s="20" t="str">
        <x:v>中高</x:v>
      </x:c>
      <x:c r="AB304" s="20" t="str">
        <x:v>待验证</x:v>
      </x:c>
      <x:c r="AC304" s="20" t="str"/>
      <x:c r="AD304" s="20" t="str">
        <x:v>provisional=true；M3-REPAIR尚未完成，完成条件为暂定功能模型。</x:v>
      </x:c>
      <x:c r="AE304" s="52" t="str">
        <x:v>0.7</x:v>
      </x:c>
    </x:row>
    <x:row r="305">
      <x:c r="A305" s="51" t="str">
        <x:v>M4-REPAIR-304</x:v>
      </x:c>
      <x:c r="B305" s="20" t="str">
        <x:v>RF06 行动未持续｜退出条件</x:v>
      </x:c>
      <x:c r="C305" s="20" t="str">
        <x:v>L5 修复断链机制</x:v>
      </x:c>
      <x:c r="D305" s="20" t="str">
        <x:v>REPAIR-断链机制</x:v>
      </x:c>
      <x:c r="E305" s="20" t="str">
        <x:v>通用</x:v>
      </x:c>
      <x:c r="F305" s="20" t="str">
        <x:v>保护</x:v>
      </x:c>
      <x:c r="G305" s="20" t="str">
        <x:v>RF06</x:v>
      </x:c>
      <x:c r="H305" s="20" t="str"/>
      <x:c r="I305" s="20" t="str">
        <x:v>设置跨时间观察、相似情境和回访点。</x:v>
      </x:c>
      <x:c r="J305" s="20" t="str">
        <x:v>只给抽象建议，没有可观察步骤。</x:v>
      </x:c>
      <x:c r="K305" s="20" t="str">
        <x:v>由共享基础引擎提供；仅修正修复功能的承载、持续与压力占位，不直接等同是否愿意认错或能否修复。</x:v>
      </x:c>
      <x:c r="L305" s="20" t="str">
        <x:v>由M1／M2提供；夫妻星只说明伴侣原型与关系资格，不单独证明修复能力、修复意愿或修复结果。</x:v>
      </x:c>
      <x:c r="M305" s="20" t="str">
        <x:v>由M3-BASE提供；日支底盘说明亲密关系中自然调用的功能，但不能单独证明修复闭环。</x:v>
      </x:c>
      <x:c r="N305" s="20" t="str">
        <x:v>由M3-CONFLICT、M4-LOOP及现实事件提供；必须区分问题停止、责任承担、影响确认、行动改变、反馈整合与后续回访。</x:v>
      </x:c>
      <x:c r="O305" s="20" t="str">
        <x:v>由共享基础引擎判定；近位提高相关功能进入亲密关系核心的概率，远位只作背景或阶段修正。</x:v>
      </x:c>
      <x:c r="P305" s="20" t="str">
        <x:v>根气只修正某修复功能是否容易重复调用，不等于现实中已经持续改变。</x:v>
      </x:c>
      <x:c r="Q305" s="20" t="str">
        <x:v>旺弱只修正功能调用强度与占位，不直接等同修复质量、诚意或关系结果。</x:v>
      </x:c>
      <x:c r="R305" s="20" t="str">
        <x:v>喜忌只修正功能摩擦、平衡与承载，不直接等同道德、成熟、善恶或是否值得原谅。</x:v>
      </x:c>
      <x:c r="S305" s="20" t="str">
        <x:v>原十神功能有效；真合化成立时按化神功能替换，合化争议时停止定性。</x:v>
      </x:c>
      <x:c r="T305" s="20" t="str">
        <x:v>近位提高修复议题与亲密关系的直接相关性；远位仅保留背景、阶段或低置信修正。</x:v>
      </x:c>
      <x:c r="U305" s="20" t="str">
        <x:v>72</x:v>
      </x:c>
      <x:c r="V305" s="20" t="str">
        <x:v>机制证据＋5；反例－4至停止</x:v>
      </x:c>
      <x:c r="W305" s="20" t="str">
        <x:v>repair_failure_mechanism</x:v>
      </x:c>
      <x:c r="X305" s="20" t="str">
        <x:v>退出条件要直接恢复缺失节点或转换。</x:v>
      </x:c>
      <x:c r="Y305" s="20" t="str">
        <x:v>关键中断点是：设置跨时间观察、相似情境和回访点。</x:v>
      </x:c>
      <x:c r="Z30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5" s="20" t="str">
        <x:v>中高</x:v>
      </x:c>
      <x:c r="AB305" s="20" t="str">
        <x:v>待验证</x:v>
      </x:c>
      <x:c r="AC305" s="20" t="str"/>
      <x:c r="AD305" s="20" t="str">
        <x:v>provisional=true；M3-REPAIR尚未完成，完成条件为暂定功能模型。</x:v>
      </x:c>
      <x:c r="AE305" s="52" t="str">
        <x:v>0.7</x:v>
      </x:c>
    </x:row>
    <x:row r="306">
      <x:c r="A306" s="51" t="str">
        <x:v>M4-REPAIR-305</x:v>
      </x:c>
      <x:c r="B306" s="20" t="str">
        <x:v>RF07 复发未复盘｜机制定义</x:v>
      </x:c>
      <x:c r="C306" s="20" t="str">
        <x:v>L5 修复断链机制</x:v>
      </x:c>
      <x:c r="D306" s="20" t="str">
        <x:v>REPAIR-断链机制</x:v>
      </x:c>
      <x:c r="E306" s="20" t="str">
        <x:v>通用</x:v>
      </x:c>
      <x:c r="F306" s="20" t="str">
        <x:v>定义</x:v>
      </x:c>
      <x:c r="G306" s="20" t="str">
        <x:v>RF07</x:v>
      </x:c>
      <x:c r="H306" s="20" t="str"/>
      <x:c r="I306" s="20" t="str">
        <x:v>同一循环再次出现，却重复上一次的道歉、解释或补救。</x:v>
      </x:c>
      <x:c r="J306" s="20" t="str">
        <x:v>只凭十神或一次模糊印象。</x:v>
      </x:c>
      <x:c r="K306" s="20" t="str">
        <x:v>由共享基础引擎提供；仅修正修复功能的承载、持续与压力占位，不直接等同是否愿意认错或能否修复。</x:v>
      </x:c>
      <x:c r="L306" s="20" t="str">
        <x:v>由M1／M2提供；夫妻星只说明伴侣原型与关系资格，不单独证明修复能力、修复意愿或修复结果。</x:v>
      </x:c>
      <x:c r="M306" s="20" t="str">
        <x:v>由M3-BASE提供；日支底盘说明亲密关系中自然调用的功能，但不能单独证明修复闭环。</x:v>
      </x:c>
      <x:c r="N306" s="20" t="str">
        <x:v>由M3-CONFLICT、M4-LOOP及现实事件提供；必须区分问题停止、责任承担、影响确认、行动改变、反馈整合与后续回访。</x:v>
      </x:c>
      <x:c r="O306" s="20" t="str">
        <x:v>由共享基础引擎判定；近位提高相关功能进入亲密关系核心的概率，远位只作背景或阶段修正。</x:v>
      </x:c>
      <x:c r="P306" s="20" t="str">
        <x:v>根气只修正某修复功能是否容易重复调用，不等于现实中已经持续改变。</x:v>
      </x:c>
      <x:c r="Q306" s="20" t="str">
        <x:v>旺弱只修正功能调用强度与占位，不直接等同修复质量、诚意或关系结果。</x:v>
      </x:c>
      <x:c r="R306" s="20" t="str">
        <x:v>喜忌只修正功能摩擦、平衡与承载，不直接等同道德、成熟、善恶或是否值得原谅。</x:v>
      </x:c>
      <x:c r="S306" s="20" t="str">
        <x:v>原十神功能有效；真合化成立时按化神功能替换，合化争议时停止定性。</x:v>
      </x:c>
      <x:c r="T306" s="20" t="str">
        <x:v>近位提高修复议题与亲密关系的直接相关性；远位仅保留背景、阶段或低置信修正。</x:v>
      </x:c>
      <x:c r="U306" s="20" t="str">
        <x:v>72</x:v>
      </x:c>
      <x:c r="V306" s="20" t="str">
        <x:v>机制证据＋5；反例－4至停止</x:v>
      </x:c>
      <x:c r="W306" s="20" t="str">
        <x:v>repair_failure_mechanism</x:v>
      </x:c>
      <x:c r="X306" s="20" t="str">
        <x:v>RF机制描述修复链怎样断开，不等同人格标签。</x:v>
      </x:c>
      <x:c r="Y306" s="20" t="str">
        <x:v>重复问题需要修复“为什么上次修复没有生效”，而不只是再次处理表面事件。</x:v>
      </x:c>
      <x:c r="Z30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6" s="20" t="str">
        <x:v>中高</x:v>
      </x:c>
      <x:c r="AB306" s="20" t="str">
        <x:v>待验证</x:v>
      </x:c>
      <x:c r="AC306" s="20" t="str"/>
      <x:c r="AD306" s="20" t="str">
        <x:v>provisional=true；M3-REPAIR尚未完成，完成条件为暂定功能模型。</x:v>
      </x:c>
      <x:c r="AE306" s="52" t="str">
        <x:v>0.7</x:v>
      </x:c>
    </x:row>
    <x:row r="307">
      <x:c r="A307" s="51" t="str">
        <x:v>M4-REPAIR-306</x:v>
      </x:c>
      <x:c r="B307" s="20" t="str">
        <x:v>RF07 复发未复盘｜识别条件</x:v>
      </x:c>
      <x:c r="C307" s="20" t="str">
        <x:v>L5 修复断链机制</x:v>
      </x:c>
      <x:c r="D307" s="20" t="str">
        <x:v>REPAIR-断链机制</x:v>
      </x:c>
      <x:c r="E307" s="20" t="str">
        <x:v>通用</x:v>
      </x:c>
      <x:c r="F307" s="20" t="str">
        <x:v>证据</x:v>
      </x:c>
      <x:c r="G307" s="20" t="str">
        <x:v>RF07</x:v>
      </x:c>
      <x:c r="H307" s="20" t="str"/>
      <x:c r="I307" s="20" t="str">
        <x:v>LP复发后没有分析旧修复在哪一步失效。</x:v>
      </x:c>
      <x:c r="J307" s="20" t="str">
        <x:v>每次复发后都有结构复盘和新方案。</x:v>
      </x:c>
      <x:c r="K307" s="20" t="str">
        <x:v>由共享基础引擎提供；仅修正修复功能的承载、持续与压力占位，不直接等同是否愿意认错或能否修复。</x:v>
      </x:c>
      <x:c r="L307" s="20" t="str">
        <x:v>由M1／M2提供；夫妻星只说明伴侣原型与关系资格，不单独证明修复能力、修复意愿或修复结果。</x:v>
      </x:c>
      <x:c r="M307" s="20" t="str">
        <x:v>由M3-BASE提供；日支底盘说明亲密关系中自然调用的功能，但不能单独证明修复闭环。</x:v>
      </x:c>
      <x:c r="N307" s="20" t="str">
        <x:v>由M3-CONFLICT、M4-LOOP及现实事件提供；必须区分问题停止、责任承担、影响确认、行动改变、反馈整合与后续回访。</x:v>
      </x:c>
      <x:c r="O307" s="20" t="str">
        <x:v>由共享基础引擎判定；近位提高相关功能进入亲密关系核心的概率，远位只作背景或阶段修正。</x:v>
      </x:c>
      <x:c r="P307" s="20" t="str">
        <x:v>根气只修正某修复功能是否容易重复调用，不等于现实中已经持续改变。</x:v>
      </x:c>
      <x:c r="Q307" s="20" t="str">
        <x:v>旺弱只修正功能调用强度与占位，不直接等同修复质量、诚意或关系结果。</x:v>
      </x:c>
      <x:c r="R307" s="20" t="str">
        <x:v>喜忌只修正功能摩擦、平衡与承载，不直接等同道德、成熟、善恶或是否值得原谅。</x:v>
      </x:c>
      <x:c r="S307" s="20" t="str">
        <x:v>原十神功能有效；真合化成立时按化神功能替换，合化争议时停止定性。</x:v>
      </x:c>
      <x:c r="T307" s="20" t="str">
        <x:v>近位提高修复议题与亲密关系的直接相关性；远位仅保留背景、阶段或低置信修正。</x:v>
      </x:c>
      <x:c r="U307" s="20" t="str">
        <x:v>88</x:v>
      </x:c>
      <x:c r="V307" s="20" t="str">
        <x:v>机制证据＋5；反例－4至停止</x:v>
      </x:c>
      <x:c r="W307" s="20" t="str">
        <x:v>repair_failure_mechanism</x:v>
      </x:c>
      <x:c r="X307" s="20" t="str">
        <x:v>必须有现实事件顺序和节点证据。</x:v>
      </x:c>
      <x:c r="Y307" s="20" t="str">
        <x:v>需要检查：LP复发后没有分析旧修复在哪一步失效。</x:v>
      </x:c>
      <x:c r="Z30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7" s="20" t="str">
        <x:v>中高</x:v>
      </x:c>
      <x:c r="AB307" s="20" t="str">
        <x:v>待验证</x:v>
      </x:c>
      <x:c r="AC307" s="20" t="str"/>
      <x:c r="AD307" s="20" t="str">
        <x:v>provisional=true；M3-REPAIR尚未完成，完成条件为暂定功能模型。</x:v>
      </x:c>
      <x:c r="AE307" s="52" t="str">
        <x:v>0.7</x:v>
      </x:c>
    </x:row>
    <x:row r="308">
      <x:c r="A308" s="51" t="str">
        <x:v>M4-REPAIR-307</x:v>
      </x:c>
      <x:c r="B308" s="20" t="str">
        <x:v>RF07 复发未复盘｜功能路由</x:v>
      </x:c>
      <x:c r="C308" s="20" t="str">
        <x:v>L5 修复断链机制</x:v>
      </x:c>
      <x:c r="D308" s="20" t="str">
        <x:v>REPAIR-断链机制</x:v>
      </x:c>
      <x:c r="E308" s="20" t="str">
        <x:v>通用</x:v>
      </x:c>
      <x:c r="F308" s="20" t="str">
        <x:v>路由</x:v>
      </x:c>
      <x:c r="G308" s="20" t="str">
        <x:v>RF07</x:v>
      </x:c>
      <x:c r="H308" s="20" t="str"/>
      <x:c r="I308" s="20" t="str">
        <x:v>该机制与一个明确RB盲点、RI事件类型或LP循环相连。</x:v>
      </x:c>
      <x:c r="J308" s="20" t="str">
        <x:v>只有共现，没有功能关系。</x:v>
      </x:c>
      <x:c r="K308" s="20" t="str">
        <x:v>由共享基础引擎提供；仅修正修复功能的承载、持续与压力占位，不直接等同是否愿意认错或能否修复。</x:v>
      </x:c>
      <x:c r="L308" s="20" t="str">
        <x:v>由M1／M2提供；夫妻星只说明伴侣原型与关系资格，不单独证明修复能力、修复意愿或修复结果。</x:v>
      </x:c>
      <x:c r="M308" s="20" t="str">
        <x:v>由M3-BASE提供；日支底盘说明亲密关系中自然调用的功能，但不能单独证明修复闭环。</x:v>
      </x:c>
      <x:c r="N308" s="20" t="str">
        <x:v>由M3-CONFLICT、M4-LOOP及现实事件提供；必须区分问题停止、责任承担、影响确认、行动改变、反馈整合与后续回访。</x:v>
      </x:c>
      <x:c r="O308" s="20" t="str">
        <x:v>由共享基础引擎判定；近位提高相关功能进入亲密关系核心的概率，远位只作背景或阶段修正。</x:v>
      </x:c>
      <x:c r="P308" s="20" t="str">
        <x:v>根气只修正某修复功能是否容易重复调用，不等于现实中已经持续改变。</x:v>
      </x:c>
      <x:c r="Q308" s="20" t="str">
        <x:v>旺弱只修正功能调用强度与占位，不直接等同修复质量、诚意或关系结果。</x:v>
      </x:c>
      <x:c r="R308" s="20" t="str">
        <x:v>喜忌只修正功能摩擦、平衡与承载，不直接等同道德、成熟、善恶或是否值得原谅。</x:v>
      </x:c>
      <x:c r="S308" s="20" t="str">
        <x:v>原十神功能有效；真合化成立时按化神功能替换，合化争议时停止定性。</x:v>
      </x:c>
      <x:c r="T308" s="20" t="str">
        <x:v>近位提高修复议题与亲密关系的直接相关性；远位仅保留背景、阶段或低置信修正。</x:v>
      </x:c>
      <x:c r="U308" s="20" t="str">
        <x:v>72</x:v>
      </x:c>
      <x:c r="V308" s="20" t="str">
        <x:v>机制证据＋5；反例－4至停止</x:v>
      </x:c>
      <x:c r="W308" s="20" t="str">
        <x:v>repair_failure_mechanism</x:v>
      </x:c>
      <x:c r="X308" s="20" t="str">
        <x:v>路由用于说明卡点发生在哪一步。</x:v>
      </x:c>
      <x:c r="Y308" s="20" t="str">
        <x:v>这项卡点要连接到具体事件和缺失节点，而不是单独贴标签。</x:v>
      </x:c>
      <x:c r="Z30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8" s="20" t="str">
        <x:v>中高</x:v>
      </x:c>
      <x:c r="AB308" s="20" t="str">
        <x:v>待验证</x:v>
      </x:c>
      <x:c r="AC308" s="20" t="str"/>
      <x:c r="AD308" s="20" t="str">
        <x:v>provisional=true；M3-REPAIR尚未完成，完成条件为暂定功能模型。</x:v>
      </x:c>
      <x:c r="AE308" s="52" t="str">
        <x:v>0.7</x:v>
      </x:c>
    </x:row>
    <x:row r="309">
      <x:c r="A309" s="51" t="str">
        <x:v>M4-REPAIR-308</x:v>
      </x:c>
      <x:c r="B309" s="20" t="str">
        <x:v>RF07 复发未复盘｜反例门控</x:v>
      </x:c>
      <x:c r="C309" s="20" t="str">
        <x:v>L5 修复断链机制</x:v>
      </x:c>
      <x:c r="D309" s="20" t="str">
        <x:v>REPAIR-断链机制</x:v>
      </x:c>
      <x:c r="E309" s="20" t="str">
        <x:v>通用</x:v>
      </x:c>
      <x:c r="F309" s="20" t="str">
        <x:v>反例</x:v>
      </x:c>
      <x:c r="G309" s="20" t="str">
        <x:v>RF07</x:v>
      </x:c>
      <x:c r="H309" s="20" t="str"/>
      <x:c r="I309" s="20" t="str">
        <x:v>检查：每次复发后都有结构复盘和新方案。</x:v>
      </x:c>
      <x:c r="J309" s="20" t="str">
        <x:v>忽略现实中成功修复或合理边界。</x:v>
      </x:c>
      <x:c r="K309" s="20" t="str">
        <x:v>由共享基础引擎提供；仅修正修复功能的承载、持续与压力占位，不直接等同是否愿意认错或能否修复。</x:v>
      </x:c>
      <x:c r="L309" s="20" t="str">
        <x:v>由M1／M2提供；夫妻星只说明伴侣原型与关系资格，不单独证明修复能力、修复意愿或修复结果。</x:v>
      </x:c>
      <x:c r="M309" s="20" t="str">
        <x:v>由M3-BASE提供；日支底盘说明亲密关系中自然调用的功能，但不能单独证明修复闭环。</x:v>
      </x:c>
      <x:c r="N309" s="20" t="str">
        <x:v>由M3-CONFLICT、M4-LOOP及现实事件提供；必须区分问题停止、责任承担、影响确认、行动改变、反馈整合与后续回访。</x:v>
      </x:c>
      <x:c r="O309" s="20" t="str">
        <x:v>由共享基础引擎判定；近位提高相关功能进入亲密关系核心的概率，远位只作背景或阶段修正。</x:v>
      </x:c>
      <x:c r="P309" s="20" t="str">
        <x:v>根气只修正某修复功能是否容易重复调用，不等于现实中已经持续改变。</x:v>
      </x:c>
      <x:c r="Q309" s="20" t="str">
        <x:v>旺弱只修正功能调用强度与占位，不直接等同修复质量、诚意或关系结果。</x:v>
      </x:c>
      <x:c r="R309" s="20" t="str">
        <x:v>喜忌只修正功能摩擦、平衡与承载，不直接等同道德、成熟、善恶或是否值得原谅。</x:v>
      </x:c>
      <x:c r="S309" s="20" t="str">
        <x:v>原十神功能有效；真合化成立时按化神功能替换，合化争议时停止定性。</x:v>
      </x:c>
      <x:c r="T309" s="20" t="str">
        <x:v>近位提高修复议题与亲密关系的直接相关性；远位仅保留背景、阶段或低置信修正。</x:v>
      </x:c>
      <x:c r="U309" s="20" t="str">
        <x:v>88</x:v>
      </x:c>
      <x:c r="V309" s="20" t="str">
        <x:v>机制证据＋5；反例－4至停止</x:v>
      </x:c>
      <x:c r="W309" s="20" t="str">
        <x:v>repair_failure_mechanism</x:v>
      </x:c>
      <x:c r="X309" s="20" t="str">
        <x:v>反例可能使RF候选降级或停止。</x:v>
      </x:c>
      <x:c r="Y309" s="20" t="str">
        <x:v>若现实中已经通过其他方式完成同一任务，应降低这项判断。</x:v>
      </x:c>
      <x:c r="Z30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09" s="20" t="str">
        <x:v>中高</x:v>
      </x:c>
      <x:c r="AB309" s="20" t="str">
        <x:v>待验证</x:v>
      </x:c>
      <x:c r="AC309" s="20" t="str"/>
      <x:c r="AD309" s="20" t="str">
        <x:v>provisional=true；M3-REPAIR尚未完成，完成条件为暂定功能模型。</x:v>
      </x:c>
      <x:c r="AE309" s="52" t="str">
        <x:v>0.7</x:v>
      </x:c>
    </x:row>
    <x:row r="310">
      <x:c r="A310" s="51" t="str">
        <x:v>M4-REPAIR-309</x:v>
      </x:c>
      <x:c r="B310" s="20" t="str">
        <x:v>RF07 复发未复盘｜用户输出</x:v>
      </x:c>
      <x:c r="C310" s="20" t="str">
        <x:v>L5 修复断链机制</x:v>
      </x:c>
      <x:c r="D310" s="20" t="str">
        <x:v>REPAIR-断链机制</x:v>
      </x:c>
      <x:c r="E310" s="20" t="str">
        <x:v>通用</x:v>
      </x:c>
      <x:c r="F310" s="20" t="str">
        <x:v>输出</x:v>
      </x:c>
      <x:c r="G310" s="20" t="str">
        <x:v>RF07</x:v>
      </x:c>
      <x:c r="H310" s="20" t="str"/>
      <x:c r="I310" s="20" t="str">
        <x:v>RF达到E2以上，并完成接收方反馈与安全检查。</x:v>
      </x:c>
      <x:c r="J310" s="20" t="str">
        <x:v>资料不足或安全停止。</x:v>
      </x:c>
      <x:c r="K310" s="20" t="str">
        <x:v>由共享基础引擎提供；仅修正修复功能的承载、持续与压力占位，不直接等同是否愿意认错或能否修复。</x:v>
      </x:c>
      <x:c r="L310" s="20" t="str">
        <x:v>由M1／M2提供；夫妻星只说明伴侣原型与关系资格，不单独证明修复能力、修复意愿或修复结果。</x:v>
      </x:c>
      <x:c r="M310" s="20" t="str">
        <x:v>由M3-BASE提供；日支底盘说明亲密关系中自然调用的功能，但不能单独证明修复闭环。</x:v>
      </x:c>
      <x:c r="N310" s="20" t="str">
        <x:v>由M3-CONFLICT、M4-LOOP及现实事件提供；必须区分问题停止、责任承担、影响确认、行动改变、反馈整合与后续回访。</x:v>
      </x:c>
      <x:c r="O310" s="20" t="str">
        <x:v>由共享基础引擎判定；近位提高相关功能进入亲密关系核心的概率，远位只作背景或阶段修正。</x:v>
      </x:c>
      <x:c r="P310" s="20" t="str">
        <x:v>根气只修正某修复功能是否容易重复调用，不等于现实中已经持续改变。</x:v>
      </x:c>
      <x:c r="Q310" s="20" t="str">
        <x:v>旺弱只修正功能调用强度与占位，不直接等同修复质量、诚意或关系结果。</x:v>
      </x:c>
      <x:c r="R310" s="20" t="str">
        <x:v>喜忌只修正功能摩擦、平衡与承载，不直接等同道德、成熟、善恶或是否值得原谅。</x:v>
      </x:c>
      <x:c r="S310" s="20" t="str">
        <x:v>原十神功能有效；真合化成立时按化神功能替换，合化争议时停止定性。</x:v>
      </x:c>
      <x:c r="T310" s="20" t="str">
        <x:v>近位提高修复议题与亲密关系的直接相关性；远位仅保留背景、阶段或低置信修正。</x:v>
      </x:c>
      <x:c r="U310" s="20" t="str">
        <x:v>72</x:v>
      </x:c>
      <x:c r="V310" s="20" t="str">
        <x:v>机制证据＋5；反例－4至停止</x:v>
      </x:c>
      <x:c r="W310" s="20" t="str">
        <x:v>repair_failure_mechanism</x:v>
      </x:c>
      <x:c r="X310" s="20" t="str">
        <x:v>输出说明功能仍有价值，卡点在转换或持续。</x:v>
      </x:c>
      <x:c r="Y310" s="20" t="str">
        <x:v>重复问题需要修复“为什么上次修复没有生效”，而不只是再次处理表面事件。</x:v>
      </x:c>
      <x:c r="Z31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0" s="20" t="str">
        <x:v>中高</x:v>
      </x:c>
      <x:c r="AB310" s="20" t="str">
        <x:v>待验证</x:v>
      </x:c>
      <x:c r="AC310" s="20" t="str"/>
      <x:c r="AD310" s="20" t="str">
        <x:v>provisional=true；M3-REPAIR尚未完成，完成条件为暂定功能模型。</x:v>
      </x:c>
      <x:c r="AE310" s="52" t="str">
        <x:v>0.7</x:v>
      </x:c>
    </x:row>
    <x:row r="311">
      <x:c r="A311" s="51" t="str">
        <x:v>M4-REPAIR-310</x:v>
      </x:c>
      <x:c r="B311" s="20" t="str">
        <x:v>RF07 复发未复盘｜退出条件</x:v>
      </x:c>
      <x:c r="C311" s="20" t="str">
        <x:v>L5 修复断链机制</x:v>
      </x:c>
      <x:c r="D311" s="20" t="str">
        <x:v>REPAIR-断链机制</x:v>
      </x:c>
      <x:c r="E311" s="20" t="str">
        <x:v>通用</x:v>
      </x:c>
      <x:c r="F311" s="20" t="str">
        <x:v>保护</x:v>
      </x:c>
      <x:c r="G311" s="20" t="str">
        <x:v>RF07</x:v>
      </x:c>
      <x:c r="H311" s="20" t="str"/>
      <x:c r="I311" s="20" t="str">
        <x:v>对照上次修复链，找出未完成节点。</x:v>
      </x:c>
      <x:c r="J311" s="20" t="str">
        <x:v>只给抽象建议，没有可观察步骤。</x:v>
      </x:c>
      <x:c r="K311" s="20" t="str">
        <x:v>由共享基础引擎提供；仅修正修复功能的承载、持续与压力占位，不直接等同是否愿意认错或能否修复。</x:v>
      </x:c>
      <x:c r="L311" s="20" t="str">
        <x:v>由M1／M2提供；夫妻星只说明伴侣原型与关系资格，不单独证明修复能力、修复意愿或修复结果。</x:v>
      </x:c>
      <x:c r="M311" s="20" t="str">
        <x:v>由M3-BASE提供；日支底盘说明亲密关系中自然调用的功能，但不能单独证明修复闭环。</x:v>
      </x:c>
      <x:c r="N311" s="20" t="str">
        <x:v>由M3-CONFLICT、M4-LOOP及现实事件提供；必须区分问题停止、责任承担、影响确认、行动改变、反馈整合与后续回访。</x:v>
      </x:c>
      <x:c r="O311" s="20" t="str">
        <x:v>由共享基础引擎判定；近位提高相关功能进入亲密关系核心的概率，远位只作背景或阶段修正。</x:v>
      </x:c>
      <x:c r="P311" s="20" t="str">
        <x:v>根气只修正某修复功能是否容易重复调用，不等于现实中已经持续改变。</x:v>
      </x:c>
      <x:c r="Q311" s="20" t="str">
        <x:v>旺弱只修正功能调用强度与占位，不直接等同修复质量、诚意或关系结果。</x:v>
      </x:c>
      <x:c r="R311" s="20" t="str">
        <x:v>喜忌只修正功能摩擦、平衡与承载，不直接等同道德、成熟、善恶或是否值得原谅。</x:v>
      </x:c>
      <x:c r="S311" s="20" t="str">
        <x:v>原十神功能有效；真合化成立时按化神功能替换，合化争议时停止定性。</x:v>
      </x:c>
      <x:c r="T311" s="20" t="str">
        <x:v>近位提高修复议题与亲密关系的直接相关性；远位仅保留背景、阶段或低置信修正。</x:v>
      </x:c>
      <x:c r="U311" s="20" t="str">
        <x:v>72</x:v>
      </x:c>
      <x:c r="V311" s="20" t="str">
        <x:v>机制证据＋5；反例－4至停止</x:v>
      </x:c>
      <x:c r="W311" s="20" t="str">
        <x:v>repair_failure_mechanism</x:v>
      </x:c>
      <x:c r="X311" s="20" t="str">
        <x:v>退出条件要直接恢复缺失节点或转换。</x:v>
      </x:c>
      <x:c r="Y311" s="20" t="str">
        <x:v>关键中断点是：对照上次修复链，找出未完成节点。</x:v>
      </x:c>
      <x:c r="Z31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1" s="20" t="str">
        <x:v>中高</x:v>
      </x:c>
      <x:c r="AB311" s="20" t="str">
        <x:v>待验证</x:v>
      </x:c>
      <x:c r="AC311" s="20" t="str"/>
      <x:c r="AD311" s="20" t="str">
        <x:v>provisional=true；M3-REPAIR尚未完成，完成条件为暂定功能模型。</x:v>
      </x:c>
      <x:c r="AE311" s="52" t="str">
        <x:v>0.7</x:v>
      </x:c>
    </x:row>
    <x:row r="312">
      <x:c r="A312" s="51" t="str">
        <x:v>M4-REPAIR-311</x:v>
      </x:c>
      <x:c r="B312" s="20" t="str">
        <x:v>RF08 安全与责任门控失效｜机制定义</x:v>
      </x:c>
      <x:c r="C312" s="20" t="str">
        <x:v>L5 修复断链机制</x:v>
      </x:c>
      <x:c r="D312" s="20" t="str">
        <x:v>REPAIR-断链机制</x:v>
      </x:c>
      <x:c r="E312" s="20" t="str">
        <x:v>通用</x:v>
      </x:c>
      <x:c r="F312" s="20" t="str">
        <x:v>定义</x:v>
      </x:c>
      <x:c r="G312" s="20" t="str">
        <x:v>RF08</x:v>
      </x:c>
      <x:c r="H312" s="20" t="str"/>
      <x:c r="I312" s="20" t="str">
        <x:v>在明显伤害、强迫或权力不对等中使用普通互相理解和双方负责框架。</x:v>
      </x:c>
      <x:c r="J312" s="20" t="str">
        <x:v>只凭十神或一次模糊印象。</x:v>
      </x:c>
      <x:c r="K312" s="20" t="str">
        <x:v>由共享基础引擎提供；仅修正修复功能的承载、持续与压力占位，不直接等同是否愿意认错或能否修复。</x:v>
      </x:c>
      <x:c r="L312" s="20" t="str">
        <x:v>由M1／M2提供；夫妻星只说明伴侣原型与关系资格，不单独证明修复能力、修复意愿或修复结果。</x:v>
      </x:c>
      <x:c r="M312" s="20" t="str">
        <x:v>由M3-BASE提供；日支底盘说明亲密关系中自然调用的功能，但不能单独证明修复闭环。</x:v>
      </x:c>
      <x:c r="N312" s="20" t="str">
        <x:v>由M3-CONFLICT、M4-LOOP及现实事件提供；必须区分问题停止、责任承担、影响确认、行动改变、反馈整合与后续回访。</x:v>
      </x:c>
      <x:c r="O312" s="20" t="str">
        <x:v>由共享基础引擎判定；近位提高相关功能进入亲密关系核心的概率，远位只作背景或阶段修正。</x:v>
      </x:c>
      <x:c r="P312" s="20" t="str">
        <x:v>根气只修正某修复功能是否容易重复调用，不等于现实中已经持续改变。</x:v>
      </x:c>
      <x:c r="Q312" s="20" t="str">
        <x:v>旺弱只修正功能调用强度与占位，不直接等同修复质量、诚意或关系结果。</x:v>
      </x:c>
      <x:c r="R312" s="20" t="str">
        <x:v>喜忌只修正功能摩擦、平衡与承载，不直接等同道德、成熟、善恶或是否值得原谅。</x:v>
      </x:c>
      <x:c r="S312" s="20" t="str">
        <x:v>原十神功能有效；真合化成立时按化神功能替换，合化争议时停止定性。</x:v>
      </x:c>
      <x:c r="T312" s="20" t="str">
        <x:v>近位提高修复议题与亲密关系的直接相关性；远位仅保留背景、阶段或低置信修正。</x:v>
      </x:c>
      <x:c r="U312" s="20" t="str">
        <x:v>72</x:v>
      </x:c>
      <x:c r="V312" s="20" t="str">
        <x:v>机制证据＋5；反例－4至停止</x:v>
      </x:c>
      <x:c r="W312" s="20" t="str">
        <x:v>repair_failure_mechanism</x:v>
      </x:c>
      <x:c r="X312" s="20" t="str">
        <x:v>RF机制描述修复链怎样断开，不等同人格标签。</x:v>
      </x:c>
      <x:c r="Y312" s="20" t="str">
        <x:v>此时的重点不是提高沟通技巧，而是停止伤害、明确责任和保护选择权。</x:v>
      </x:c>
      <x:c r="Z31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2" s="20" t="str">
        <x:v>中高</x:v>
      </x:c>
      <x:c r="AB312" s="20" t="str">
        <x:v>待验证</x:v>
      </x:c>
      <x:c r="AC312" s="20" t="str"/>
      <x:c r="AD312" s="20" t="str">
        <x:v>provisional=true；M3-REPAIR尚未完成，完成条件为暂定功能模型。</x:v>
      </x:c>
      <x:c r="AE312" s="52" t="str">
        <x:v>0.7</x:v>
      </x:c>
    </x:row>
    <x:row r="313">
      <x:c r="A313" s="51" t="str">
        <x:v>M4-REPAIR-312</x:v>
      </x:c>
      <x:c r="B313" s="20" t="str">
        <x:v>RF08 安全与责任门控失效｜识别条件</x:v>
      </x:c>
      <x:c r="C313" s="20" t="str">
        <x:v>L5 修复断链机制</x:v>
      </x:c>
      <x:c r="D313" s="20" t="str">
        <x:v>REPAIR-断链机制</x:v>
      </x:c>
      <x:c r="E313" s="20" t="str">
        <x:v>通用</x:v>
      </x:c>
      <x:c r="F313" s="20" t="str">
        <x:v>证据</x:v>
      </x:c>
      <x:c r="G313" s="20" t="str">
        <x:v>RF08</x:v>
      </x:c>
      <x:c r="H313" s="20" t="str"/>
      <x:c r="I313" s="20" t="str">
        <x:v>安全事实存在，责任却被平均，接收方被要求配合修复。</x:v>
      </x:c>
      <x:c r="J313" s="20" t="str">
        <x:v>不存在安全风险且双方有真实平等选择。</x:v>
      </x:c>
      <x:c r="K313" s="20" t="str">
        <x:v>由共享基础引擎提供；仅修正修复功能的承载、持续与压力占位，不直接等同是否愿意认错或能否修复。</x:v>
      </x:c>
      <x:c r="L313" s="20" t="str">
        <x:v>由M1／M2提供；夫妻星只说明伴侣原型与关系资格，不单独证明修复能力、修复意愿或修复结果。</x:v>
      </x:c>
      <x:c r="M313" s="20" t="str">
        <x:v>由M3-BASE提供；日支底盘说明亲密关系中自然调用的功能，但不能单独证明修复闭环。</x:v>
      </x:c>
      <x:c r="N313" s="20" t="str">
        <x:v>由M3-CONFLICT、M4-LOOP及现实事件提供；必须区分问题停止、责任承担、影响确认、行动改变、反馈整合与后续回访。</x:v>
      </x:c>
      <x:c r="O313" s="20" t="str">
        <x:v>由共享基础引擎判定；近位提高相关功能进入亲密关系核心的概率，远位只作背景或阶段修正。</x:v>
      </x:c>
      <x:c r="P313" s="20" t="str">
        <x:v>根气只修正某修复功能是否容易重复调用，不等于现实中已经持续改变。</x:v>
      </x:c>
      <x:c r="Q313" s="20" t="str">
        <x:v>旺弱只修正功能调用强度与占位，不直接等同修复质量、诚意或关系结果。</x:v>
      </x:c>
      <x:c r="R313" s="20" t="str">
        <x:v>喜忌只修正功能摩擦、平衡与承载，不直接等同道德、成熟、善恶或是否值得原谅。</x:v>
      </x:c>
      <x:c r="S313" s="20" t="str">
        <x:v>原十神功能有效；真合化成立时按化神功能替换，合化争议时停止定性。</x:v>
      </x:c>
      <x:c r="T313" s="20" t="str">
        <x:v>近位提高修复议题与亲密关系的直接相关性；远位仅保留背景、阶段或低置信修正。</x:v>
      </x:c>
      <x:c r="U313" s="20" t="str">
        <x:v>88</x:v>
      </x:c>
      <x:c r="V313" s="20" t="str">
        <x:v>机制证据＋5；反例－4至停止</x:v>
      </x:c>
      <x:c r="W313" s="20" t="str">
        <x:v>repair_failure_mechanism</x:v>
      </x:c>
      <x:c r="X313" s="20" t="str">
        <x:v>必须有现实事件顺序和节点证据。</x:v>
      </x:c>
      <x:c r="Y313" s="20" t="str">
        <x:v>需要检查：安全事实存在，责任却被平均，接收方被要求配合修复。</x:v>
      </x:c>
      <x:c r="Z31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3" s="20" t="str">
        <x:v>中高</x:v>
      </x:c>
      <x:c r="AB313" s="20" t="str">
        <x:v>待验证</x:v>
      </x:c>
      <x:c r="AC313" s="20" t="str"/>
      <x:c r="AD313" s="20" t="str">
        <x:v>provisional=true；M3-REPAIR尚未完成，完成条件为暂定功能模型。</x:v>
      </x:c>
      <x:c r="AE313" s="52" t="str">
        <x:v>0.7</x:v>
      </x:c>
    </x:row>
    <x:row r="314">
      <x:c r="A314" s="51" t="str">
        <x:v>M4-REPAIR-313</x:v>
      </x:c>
      <x:c r="B314" s="20" t="str">
        <x:v>RF08 安全与责任门控失效｜功能路由</x:v>
      </x:c>
      <x:c r="C314" s="20" t="str">
        <x:v>L5 修复断链机制</x:v>
      </x:c>
      <x:c r="D314" s="20" t="str">
        <x:v>REPAIR-断链机制</x:v>
      </x:c>
      <x:c r="E314" s="20" t="str">
        <x:v>通用</x:v>
      </x:c>
      <x:c r="F314" s="20" t="str">
        <x:v>路由</x:v>
      </x:c>
      <x:c r="G314" s="20" t="str">
        <x:v>RF08</x:v>
      </x:c>
      <x:c r="H314" s="20" t="str"/>
      <x:c r="I314" s="20" t="str">
        <x:v>该机制与一个明确RB盲点、RI事件类型或LP循环相连。</x:v>
      </x:c>
      <x:c r="J314" s="20" t="str">
        <x:v>只有共现，没有功能关系。</x:v>
      </x:c>
      <x:c r="K314" s="20" t="str">
        <x:v>由共享基础引擎提供；仅修正修复功能的承载、持续与压力占位，不直接等同是否愿意认错或能否修复。</x:v>
      </x:c>
      <x:c r="L314" s="20" t="str">
        <x:v>由M1／M2提供；夫妻星只说明伴侣原型与关系资格，不单独证明修复能力、修复意愿或修复结果。</x:v>
      </x:c>
      <x:c r="M314" s="20" t="str">
        <x:v>由M3-BASE提供；日支底盘说明亲密关系中自然调用的功能，但不能单独证明修复闭环。</x:v>
      </x:c>
      <x:c r="N314" s="20" t="str">
        <x:v>由M3-CONFLICT、M4-LOOP及现实事件提供；必须区分问题停止、责任承担、影响确认、行动改变、反馈整合与后续回访。</x:v>
      </x:c>
      <x:c r="O314" s="20" t="str">
        <x:v>由共享基础引擎判定；近位提高相关功能进入亲密关系核心的概率，远位只作背景或阶段修正。</x:v>
      </x:c>
      <x:c r="P314" s="20" t="str">
        <x:v>根气只修正某修复功能是否容易重复调用，不等于现实中已经持续改变。</x:v>
      </x:c>
      <x:c r="Q314" s="20" t="str">
        <x:v>旺弱只修正功能调用强度与占位，不直接等同修复质量、诚意或关系结果。</x:v>
      </x:c>
      <x:c r="R314" s="20" t="str">
        <x:v>喜忌只修正功能摩擦、平衡与承载，不直接等同道德、成熟、善恶或是否值得原谅。</x:v>
      </x:c>
      <x:c r="S314" s="20" t="str">
        <x:v>原十神功能有效；真合化成立时按化神功能替换，合化争议时停止定性。</x:v>
      </x:c>
      <x:c r="T314" s="20" t="str">
        <x:v>近位提高修复议题与亲密关系的直接相关性；远位仅保留背景、阶段或低置信修正。</x:v>
      </x:c>
      <x:c r="U314" s="20" t="str">
        <x:v>72</x:v>
      </x:c>
      <x:c r="V314" s="20" t="str">
        <x:v>机制证据＋5；反例－4至停止</x:v>
      </x:c>
      <x:c r="W314" s="20" t="str">
        <x:v>repair_failure_mechanism</x:v>
      </x:c>
      <x:c r="X314" s="20" t="str">
        <x:v>路由用于说明卡点发生在哪一步。</x:v>
      </x:c>
      <x:c r="Y314" s="20" t="str">
        <x:v>这项卡点要连接到具体事件和缺失节点，而不是单独贴标签。</x:v>
      </x:c>
      <x:c r="Z31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4" s="20" t="str">
        <x:v>中高</x:v>
      </x:c>
      <x:c r="AB314" s="20" t="str">
        <x:v>待验证</x:v>
      </x:c>
      <x:c r="AC314" s="20" t="str"/>
      <x:c r="AD314" s="20" t="str">
        <x:v>provisional=true；M3-REPAIR尚未完成，完成条件为暂定功能模型。</x:v>
      </x:c>
      <x:c r="AE314" s="52" t="str">
        <x:v>0.7</x:v>
      </x:c>
    </x:row>
    <x:row r="315">
      <x:c r="A315" s="51" t="str">
        <x:v>M4-REPAIR-314</x:v>
      </x:c>
      <x:c r="B315" s="20" t="str">
        <x:v>RF08 安全与责任门控失效｜反例门控</x:v>
      </x:c>
      <x:c r="C315" s="20" t="str">
        <x:v>L5 修复断链机制</x:v>
      </x:c>
      <x:c r="D315" s="20" t="str">
        <x:v>REPAIR-断链机制</x:v>
      </x:c>
      <x:c r="E315" s="20" t="str">
        <x:v>通用</x:v>
      </x:c>
      <x:c r="F315" s="20" t="str">
        <x:v>反例</x:v>
      </x:c>
      <x:c r="G315" s="20" t="str">
        <x:v>RF08</x:v>
      </x:c>
      <x:c r="H315" s="20" t="str"/>
      <x:c r="I315" s="20" t="str">
        <x:v>检查：不存在安全风险且双方有真实平等选择。</x:v>
      </x:c>
      <x:c r="J315" s="20" t="str">
        <x:v>忽略现实中成功修复或合理边界。</x:v>
      </x:c>
      <x:c r="K315" s="20" t="str">
        <x:v>由共享基础引擎提供；仅修正修复功能的承载、持续与压力占位，不直接等同是否愿意认错或能否修复。</x:v>
      </x:c>
      <x:c r="L315" s="20" t="str">
        <x:v>由M1／M2提供；夫妻星只说明伴侣原型与关系资格，不单独证明修复能力、修复意愿或修复结果。</x:v>
      </x:c>
      <x:c r="M315" s="20" t="str">
        <x:v>由M3-BASE提供；日支底盘说明亲密关系中自然调用的功能，但不能单独证明修复闭环。</x:v>
      </x:c>
      <x:c r="N315" s="20" t="str">
        <x:v>由M3-CONFLICT、M4-LOOP及现实事件提供；必须区分问题停止、责任承担、影响确认、行动改变、反馈整合与后续回访。</x:v>
      </x:c>
      <x:c r="O315" s="20" t="str">
        <x:v>由共享基础引擎判定；近位提高相关功能进入亲密关系核心的概率，远位只作背景或阶段修正。</x:v>
      </x:c>
      <x:c r="P315" s="20" t="str">
        <x:v>根气只修正某修复功能是否容易重复调用，不等于现实中已经持续改变。</x:v>
      </x:c>
      <x:c r="Q315" s="20" t="str">
        <x:v>旺弱只修正功能调用强度与占位，不直接等同修复质量、诚意或关系结果。</x:v>
      </x:c>
      <x:c r="R315" s="20" t="str">
        <x:v>喜忌只修正功能摩擦、平衡与承载，不直接等同道德、成熟、善恶或是否值得原谅。</x:v>
      </x:c>
      <x:c r="S315" s="20" t="str">
        <x:v>原十神功能有效；真合化成立时按化神功能替换，合化争议时停止定性。</x:v>
      </x:c>
      <x:c r="T315" s="20" t="str">
        <x:v>近位提高修复议题与亲密关系的直接相关性；远位仅保留背景、阶段或低置信修正。</x:v>
      </x:c>
      <x:c r="U315" s="20" t="str">
        <x:v>88</x:v>
      </x:c>
      <x:c r="V315" s="20" t="str">
        <x:v>机制证据＋5；反例－4至停止</x:v>
      </x:c>
      <x:c r="W315" s="20" t="str">
        <x:v>repair_failure_mechanism</x:v>
      </x:c>
      <x:c r="X315" s="20" t="str">
        <x:v>反例可能使RF候选降级或停止。</x:v>
      </x:c>
      <x:c r="Y315" s="20" t="str">
        <x:v>若现实中已经通过其他方式完成同一任务，应降低这项判断。</x:v>
      </x:c>
      <x:c r="Z31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5" s="20" t="str">
        <x:v>中高</x:v>
      </x:c>
      <x:c r="AB315" s="20" t="str">
        <x:v>待验证</x:v>
      </x:c>
      <x:c r="AC315" s="20" t="str"/>
      <x:c r="AD315" s="20" t="str">
        <x:v>provisional=true；M3-REPAIR尚未完成，完成条件为暂定功能模型。</x:v>
      </x:c>
      <x:c r="AE315" s="52" t="str">
        <x:v>0.7</x:v>
      </x:c>
    </x:row>
    <x:row r="316">
      <x:c r="A316" s="51" t="str">
        <x:v>M4-REPAIR-315</x:v>
      </x:c>
      <x:c r="B316" s="20" t="str">
        <x:v>RF08 安全与责任门控失效｜用户输出</x:v>
      </x:c>
      <x:c r="C316" s="20" t="str">
        <x:v>L5 修复断链机制</x:v>
      </x:c>
      <x:c r="D316" s="20" t="str">
        <x:v>REPAIR-断链机制</x:v>
      </x:c>
      <x:c r="E316" s="20" t="str">
        <x:v>通用</x:v>
      </x:c>
      <x:c r="F316" s="20" t="str">
        <x:v>输出</x:v>
      </x:c>
      <x:c r="G316" s="20" t="str">
        <x:v>RF08</x:v>
      </x:c>
      <x:c r="H316" s="20" t="str"/>
      <x:c r="I316" s="20" t="str">
        <x:v>RF达到E2以上，并完成接收方反馈与安全检查。</x:v>
      </x:c>
      <x:c r="J316" s="20" t="str">
        <x:v>资料不足或安全停止。</x:v>
      </x:c>
      <x:c r="K316" s="20" t="str">
        <x:v>由共享基础引擎提供；仅修正修复功能的承载、持续与压力占位，不直接等同是否愿意认错或能否修复。</x:v>
      </x:c>
      <x:c r="L316" s="20" t="str">
        <x:v>由M1／M2提供；夫妻星只说明伴侣原型与关系资格，不单独证明修复能力、修复意愿或修复结果。</x:v>
      </x:c>
      <x:c r="M316" s="20" t="str">
        <x:v>由M3-BASE提供；日支底盘说明亲密关系中自然调用的功能，但不能单独证明修复闭环。</x:v>
      </x:c>
      <x:c r="N316" s="20" t="str">
        <x:v>由M3-CONFLICT、M4-LOOP及现实事件提供；必须区分问题停止、责任承担、影响确认、行动改变、反馈整合与后续回访。</x:v>
      </x:c>
      <x:c r="O316" s="20" t="str">
        <x:v>由共享基础引擎判定；近位提高相关功能进入亲密关系核心的概率，远位只作背景或阶段修正。</x:v>
      </x:c>
      <x:c r="P316" s="20" t="str">
        <x:v>根气只修正某修复功能是否容易重复调用，不等于现实中已经持续改变。</x:v>
      </x:c>
      <x:c r="Q316" s="20" t="str">
        <x:v>旺弱只修正功能调用强度与占位，不直接等同修复质量、诚意或关系结果。</x:v>
      </x:c>
      <x:c r="R316" s="20" t="str">
        <x:v>喜忌只修正功能摩擦、平衡与承载，不直接等同道德、成熟、善恶或是否值得原谅。</x:v>
      </x:c>
      <x:c r="S316" s="20" t="str">
        <x:v>原十神功能有效；真合化成立时按化神功能替换，合化争议时停止定性。</x:v>
      </x:c>
      <x:c r="T316" s="20" t="str">
        <x:v>近位提高修复议题与亲密关系的直接相关性；远位仅保留背景、阶段或低置信修正。</x:v>
      </x:c>
      <x:c r="U316" s="20" t="str">
        <x:v>72</x:v>
      </x:c>
      <x:c r="V316" s="20" t="str">
        <x:v>机制证据＋5；反例－4至停止</x:v>
      </x:c>
      <x:c r="W316" s="20" t="str">
        <x:v>repair_failure_mechanism</x:v>
      </x:c>
      <x:c r="X316" s="20" t="str">
        <x:v>输出说明功能仍有价值，卡点在转换或持续。</x:v>
      </x:c>
      <x:c r="Y316" s="20" t="str">
        <x:v>此时的重点不是提高沟通技巧，而是停止伤害、明确责任和保护选择权。</x:v>
      </x:c>
      <x:c r="Z31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6" s="20" t="str">
        <x:v>中高</x:v>
      </x:c>
      <x:c r="AB316" s="20" t="str">
        <x:v>待验证</x:v>
      </x:c>
      <x:c r="AC316" s="20" t="str"/>
      <x:c r="AD316" s="20" t="str">
        <x:v>provisional=true；M3-REPAIR尚未完成，完成条件为暂定功能模型。</x:v>
      </x:c>
      <x:c r="AE316" s="52" t="str">
        <x:v>0.7</x:v>
      </x:c>
    </x:row>
    <x:row r="317">
      <x:c r="A317" s="51" t="str">
        <x:v>M4-REPAIR-316</x:v>
      </x:c>
      <x:c r="B317" s="20" t="str">
        <x:v>RF08 安全与责任门控失效｜退出条件</x:v>
      </x:c>
      <x:c r="C317" s="20" t="str">
        <x:v>L5 修复断链机制</x:v>
      </x:c>
      <x:c r="D317" s="20" t="str">
        <x:v>REPAIR-断链机制</x:v>
      </x:c>
      <x:c r="E317" s="20" t="str">
        <x:v>通用</x:v>
      </x:c>
      <x:c r="F317" s="20" t="str">
        <x:v>保护</x:v>
      </x:c>
      <x:c r="G317" s="20" t="str">
        <x:v>RF08</x:v>
      </x:c>
      <x:c r="H317" s="20" t="str"/>
      <x:c r="I317" s="20" t="str">
        <x:v>停止普通修复路由，优先安全、问责和外部支持。</x:v>
      </x:c>
      <x:c r="J317" s="20" t="str">
        <x:v>只给抽象建议，没有可观察步骤。</x:v>
      </x:c>
      <x:c r="K317" s="20" t="str">
        <x:v>由共享基础引擎提供；仅修正修复功能的承载、持续与压力占位，不直接等同是否愿意认错或能否修复。</x:v>
      </x:c>
      <x:c r="L317" s="20" t="str">
        <x:v>由M1／M2提供；夫妻星只说明伴侣原型与关系资格，不单独证明修复能力、修复意愿或修复结果。</x:v>
      </x:c>
      <x:c r="M317" s="20" t="str">
        <x:v>由M3-BASE提供；日支底盘说明亲密关系中自然调用的功能，但不能单独证明修复闭环。</x:v>
      </x:c>
      <x:c r="N317" s="20" t="str">
        <x:v>由M3-CONFLICT、M4-LOOP及现实事件提供；必须区分问题停止、责任承担、影响确认、行动改变、反馈整合与后续回访。</x:v>
      </x:c>
      <x:c r="O317" s="20" t="str">
        <x:v>由共享基础引擎判定；近位提高相关功能进入亲密关系核心的概率，远位只作背景或阶段修正。</x:v>
      </x:c>
      <x:c r="P317" s="20" t="str">
        <x:v>根气只修正某修复功能是否容易重复调用，不等于现实中已经持续改变。</x:v>
      </x:c>
      <x:c r="Q317" s="20" t="str">
        <x:v>旺弱只修正功能调用强度与占位，不直接等同修复质量、诚意或关系结果。</x:v>
      </x:c>
      <x:c r="R317" s="20" t="str">
        <x:v>喜忌只修正功能摩擦、平衡与承载，不直接等同道德、成熟、善恶或是否值得原谅。</x:v>
      </x:c>
      <x:c r="S317" s="20" t="str">
        <x:v>原十神功能有效；真合化成立时按化神功能替换，合化争议时停止定性。</x:v>
      </x:c>
      <x:c r="T317" s="20" t="str">
        <x:v>近位提高修复议题与亲密关系的直接相关性；远位仅保留背景、阶段或低置信修正。</x:v>
      </x:c>
      <x:c r="U317" s="20" t="str">
        <x:v>72</x:v>
      </x:c>
      <x:c r="V317" s="20" t="str">
        <x:v>机制证据＋5；反例－4至停止</x:v>
      </x:c>
      <x:c r="W317" s="20" t="str">
        <x:v>repair_failure_mechanism</x:v>
      </x:c>
      <x:c r="X317" s="20" t="str">
        <x:v>退出条件要直接恢复缺失节点或转换。</x:v>
      </x:c>
      <x:c r="Y317" s="20" t="str">
        <x:v>关键中断点是：停止普通修复路由，优先安全、问责和外部支持。</x:v>
      </x:c>
      <x:c r="Z31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7" s="20" t="str">
        <x:v>中高</x:v>
      </x:c>
      <x:c r="AB317" s="20" t="str">
        <x:v>待验证</x:v>
      </x:c>
      <x:c r="AC317" s="20" t="str"/>
      <x:c r="AD317" s="20" t="str">
        <x:v>provisional=true；M3-REPAIR尚未完成，完成条件为暂定功能模型。</x:v>
      </x:c>
      <x:c r="AE317" s="52" t="str">
        <x:v>0.7</x:v>
      </x:c>
    </x:row>
    <x:row r="318">
      <x:c r="A318" s="51" t="str">
        <x:v>M4-REPAIR-317</x:v>
      </x:c>
      <x:c r="B318" s="20" t="str">
        <x:v>RV0 无修复资料｜证据定义</x:v>
      </x:c>
      <x:c r="C318" s="20" t="str">
        <x:v>L6 现实证据深度</x:v>
      </x:c>
      <x:c r="D318" s="20" t="str">
        <x:v>REPAIR-证据深度</x:v>
      </x:c>
      <x:c r="E318" s="20" t="str">
        <x:v>通用</x:v>
      </x:c>
      <x:c r="F318" s="20" t="str">
        <x:v>定义</x:v>
      </x:c>
      <x:c r="G318" s="20" t="str">
        <x:v>RV0</x:v>
      </x:c>
      <x:c r="H318" s="20" t="str"/>
      <x:c r="I318" s="20" t="str">
        <x:v>没有具体修复言语、行动、反馈或后续资料。</x:v>
      </x:c>
      <x:c r="J318" s="20" t="str">
        <x:v>把同一事件重复叙述当独立资料。</x:v>
      </x:c>
      <x:c r="K318" s="20" t="str">
        <x:v>由共享基础引擎提供；仅修正修复功能的承载、持续与压力占位，不直接等同是否愿意认错或能否修复。</x:v>
      </x:c>
      <x:c r="L318" s="20" t="str">
        <x:v>由M1／M2提供；夫妻星只说明伴侣原型与关系资格，不单独证明修复能力、修复意愿或修复结果。</x:v>
      </x:c>
      <x:c r="M318" s="20" t="str">
        <x:v>由M3-BASE提供；日支底盘说明亲密关系中自然调用的功能，但不能单独证明修复闭环。</x:v>
      </x:c>
      <x:c r="N318" s="20" t="str">
        <x:v>由M3-CONFLICT、M4-LOOP及现实事件提供；必须区分问题停止、责任承担、影响确认、行动改变、反馈整合与后续回访。</x:v>
      </x:c>
      <x:c r="O318" s="20" t="str">
        <x:v>由共享基础引擎判定；近位提高相关功能进入亲密关系核心的概率，远位只作背景或阶段修正。</x:v>
      </x:c>
      <x:c r="P318" s="20" t="str">
        <x:v>根气只修正某修复功能是否容易重复调用，不等于现实中已经持续改变。</x:v>
      </x:c>
      <x:c r="Q318" s="20" t="str">
        <x:v>旺弱只修正功能调用强度与占位，不直接等同修复质量、诚意或关系结果。</x:v>
      </x:c>
      <x:c r="R318" s="20" t="str">
        <x:v>喜忌只修正功能摩擦、平衡与承载，不直接等同道德、成熟、善恶或是否值得原谅。</x:v>
      </x:c>
      <x:c r="S318" s="20" t="str">
        <x:v>原十神功能有效；真合化成立时按化神功能替换，合化争议时停止定性。</x:v>
      </x:c>
      <x:c r="T318" s="20" t="str">
        <x:v>近位提高修复议题与亲密关系的直接相关性；远位仅保留背景、阶段或低置信修正。</x:v>
      </x:c>
      <x:c r="U318" s="20" t="str">
        <x:v>74</x:v>
      </x:c>
      <x:c r="V318" s="20" t="str">
        <x:v>只能停止或描述未知</x:v>
      </x:c>
      <x:c r="W318" s="20" t="str">
        <x:v>repair_evidence_depth</x:v>
      </x:c>
      <x:c r="X318" s="20" t="str">
        <x:v>RV描述现实修复资料深度，不是统计概率。</x:v>
      </x:c>
      <x:c r="Y318" s="20" t="str">
        <x:v>无修复资料：没有具体修复言语、行动、反馈或后续资料。</x:v>
      </x:c>
      <x:c r="Z31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8" s="20" t="str">
        <x:v>中高</x:v>
      </x:c>
      <x:c r="AB318" s="20" t="str">
        <x:v>待验证</x:v>
      </x:c>
      <x:c r="AC318" s="20" t="str"/>
      <x:c r="AD318" s="20" t="str">
        <x:v>provisional=true；M3-REPAIR尚未完成，完成条件为暂定功能模型。</x:v>
      </x:c>
      <x:c r="AE318" s="52" t="str">
        <x:v>0.7</x:v>
      </x:c>
    </x:row>
    <x:row r="319">
      <x:c r="A319" s="51" t="str">
        <x:v>M4-REPAIR-318</x:v>
      </x:c>
      <x:c r="B319" s="20" t="str">
        <x:v>RV0 无修复资料｜发布上限</x:v>
      </x:c>
      <x:c r="C319" s="20" t="str">
        <x:v>L6 现实证据深度</x:v>
      </x:c>
      <x:c r="D319" s="20" t="str">
        <x:v>REPAIR-证据深度</x:v>
      </x:c>
      <x:c r="E319" s="20" t="str">
        <x:v>通用</x:v>
      </x:c>
      <x:c r="F319" s="20" t="str">
        <x:v>门控</x:v>
      </x:c>
      <x:c r="G319" s="20" t="str">
        <x:v>RV0</x:v>
      </x:c>
      <x:c r="H319" s="20" t="str"/>
      <x:c r="I319" s="20" t="str">
        <x:v>按该层级限制输出：只能停止或描述未知。</x:v>
      </x:c>
      <x:c r="J319" s="20" t="str">
        <x:v>由低证据层级越级写修复完成。</x:v>
      </x:c>
      <x:c r="K319" s="20" t="str">
        <x:v>由共享基础引擎提供；仅修正修复功能的承载、持续与压力占位，不直接等同是否愿意认错或能否修复。</x:v>
      </x:c>
      <x:c r="L319" s="20" t="str">
        <x:v>由M1／M2提供；夫妻星只说明伴侣原型与关系资格，不单独证明修复能力、修复意愿或修复结果。</x:v>
      </x:c>
      <x:c r="M319" s="20" t="str">
        <x:v>由M3-BASE提供；日支底盘说明亲密关系中自然调用的功能，但不能单独证明修复闭环。</x:v>
      </x:c>
      <x:c r="N319" s="20" t="str">
        <x:v>由M3-CONFLICT、M4-LOOP及现实事件提供；必须区分问题停止、责任承担、影响确认、行动改变、反馈整合与后续回访。</x:v>
      </x:c>
      <x:c r="O319" s="20" t="str">
        <x:v>由共享基础引擎判定；近位提高相关功能进入亲密关系核心的概率，远位只作背景或阶段修正。</x:v>
      </x:c>
      <x:c r="P319" s="20" t="str">
        <x:v>根气只修正某修复功能是否容易重复调用，不等于现实中已经持续改变。</x:v>
      </x:c>
      <x:c r="Q319" s="20" t="str">
        <x:v>旺弱只修正功能调用强度与占位，不直接等同修复质量、诚意或关系结果。</x:v>
      </x:c>
      <x:c r="R319" s="20" t="str">
        <x:v>喜忌只修正功能摩擦、平衡与承载，不直接等同道德、成熟、善恶或是否值得原谅。</x:v>
      </x:c>
      <x:c r="S319" s="20" t="str">
        <x:v>原十神功能有效；真合化成立时按化神功能替换，合化争议时停止定性。</x:v>
      </x:c>
      <x:c r="T319" s="20" t="str">
        <x:v>近位提高修复议题与亲密关系的直接相关性；远位仅保留背景、阶段或低置信修正。</x:v>
      </x:c>
      <x:c r="U319" s="20" t="str">
        <x:v>90</x:v>
      </x:c>
      <x:c r="V319" s="20" t="str">
        <x:v>只能停止或描述未知</x:v>
      </x:c>
      <x:c r="W319" s="20" t="str">
        <x:v>repair_evidence_depth</x:v>
      </x:c>
      <x:c r="X319" s="20" t="str">
        <x:v>发布强度必须与资料深度一致。</x:v>
      </x:c>
      <x:c r="Y319" s="20" t="str">
        <x:v>当前最多可以：只能停止或描述未知。</x:v>
      </x:c>
      <x:c r="Z31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19" s="20" t="str">
        <x:v>中高</x:v>
      </x:c>
      <x:c r="AB319" s="20" t="str">
        <x:v>待验证</x:v>
      </x:c>
      <x:c r="AC319" s="20" t="str"/>
      <x:c r="AD319" s="20" t="str">
        <x:v>provisional=true；M3-REPAIR尚未完成，完成条件为暂定功能模型。</x:v>
      </x:c>
      <x:c r="AE319" s="52" t="str">
        <x:v>0.7</x:v>
      </x:c>
    </x:row>
    <x:row r="320">
      <x:c r="A320" s="51" t="str">
        <x:v>M4-REPAIR-319</x:v>
      </x:c>
      <x:c r="B320" s="20" t="str">
        <x:v>RV0 无修复资料｜升级条件</x:v>
      </x:c>
      <x:c r="C320" s="20" t="str">
        <x:v>L6 现实证据深度</x:v>
      </x:c>
      <x:c r="D320" s="20" t="str">
        <x:v>REPAIR-证据深度</x:v>
      </x:c>
      <x:c r="E320" s="20" t="str">
        <x:v>通用</x:v>
      </x:c>
      <x:c r="F320" s="20" t="str">
        <x:v>证据</x:v>
      </x:c>
      <x:c r="G320" s="20" t="str">
        <x:v>RV0</x:v>
      </x:c>
      <x:c r="H320" s="20" t="str"/>
      <x:c r="I320" s="20" t="str">
        <x:v>升级需要：补充一件可还原的修复事件。</x:v>
      </x:c>
      <x:c r="J320" s="20" t="str">
        <x:v>只有命盘分数或研究者推测。</x:v>
      </x:c>
      <x:c r="K320" s="20" t="str">
        <x:v>由共享基础引擎提供；仅修正修复功能的承载、持续与压力占位，不直接等同是否愿意认错或能否修复。</x:v>
      </x:c>
      <x:c r="L320" s="20" t="str">
        <x:v>由M1／M2提供；夫妻星只说明伴侣原型与关系资格，不单独证明修复能力、修复意愿或修复结果。</x:v>
      </x:c>
      <x:c r="M320" s="20" t="str">
        <x:v>由M3-BASE提供；日支底盘说明亲密关系中自然调用的功能，但不能单独证明修复闭环。</x:v>
      </x:c>
      <x:c r="N320" s="20" t="str">
        <x:v>由M3-CONFLICT、M4-LOOP及现实事件提供；必须区分问题停止、责任承担、影响确认、行动改变、反馈整合与后续回访。</x:v>
      </x:c>
      <x:c r="O320" s="20" t="str">
        <x:v>由共享基础引擎判定；近位提高相关功能进入亲密关系核心的概率，远位只作背景或阶段修正。</x:v>
      </x:c>
      <x:c r="P320" s="20" t="str">
        <x:v>根气只修正某修复功能是否容易重复调用，不等于现实中已经持续改变。</x:v>
      </x:c>
      <x:c r="Q320" s="20" t="str">
        <x:v>旺弱只修正功能调用强度与占位，不直接等同修复质量、诚意或关系结果。</x:v>
      </x:c>
      <x:c r="R320" s="20" t="str">
        <x:v>喜忌只修正功能摩擦、平衡与承载，不直接等同道德、成熟、善恶或是否值得原谅。</x:v>
      </x:c>
      <x:c r="S320" s="20" t="str">
        <x:v>原十神功能有效；真合化成立时按化神功能替换，合化争议时停止定性。</x:v>
      </x:c>
      <x:c r="T320" s="20" t="str">
        <x:v>近位提高修复议题与亲密关系的直接相关性；远位仅保留背景、阶段或低置信修正。</x:v>
      </x:c>
      <x:c r="U320" s="20" t="str">
        <x:v>74</x:v>
      </x:c>
      <x:c r="V320" s="20" t="str">
        <x:v>只能停止或描述未知</x:v>
      </x:c>
      <x:c r="W320" s="20" t="str">
        <x:v>repair_evidence_depth</x:v>
      </x:c>
      <x:c r="X320" s="20" t="str">
        <x:v>升级必须增加新的现实信息，不是重复加权。</x:v>
      </x:c>
      <x:c r="Y320" s="20" t="str">
        <x:v>下一步需要：补充一件可还原的修复事件。</x:v>
      </x:c>
      <x:c r="Z32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0" s="20" t="str">
        <x:v>中高</x:v>
      </x:c>
      <x:c r="AB320" s="20" t="str">
        <x:v>待验证</x:v>
      </x:c>
      <x:c r="AC320" s="20" t="str"/>
      <x:c r="AD320" s="20" t="str">
        <x:v>provisional=true；M3-REPAIR尚未完成，完成条件为暂定功能模型。</x:v>
      </x:c>
      <x:c r="AE320" s="52" t="str">
        <x:v>0.7</x:v>
      </x:c>
    </x:row>
    <x:row r="321">
      <x:c r="A321" s="51" t="str">
        <x:v>M4-REPAIR-320</x:v>
      </x:c>
      <x:c r="B321" s="20" t="str">
        <x:v>RV0 无修复资料｜边界与去重</x:v>
      </x:c>
      <x:c r="C321" s="20" t="str">
        <x:v>L6 现实证据深度</x:v>
      </x:c>
      <x:c r="D321" s="20" t="str">
        <x:v>REPAIR-证据深度</x:v>
      </x:c>
      <x:c r="E321" s="20" t="str">
        <x:v>通用</x:v>
      </x:c>
      <x:c r="F321" s="20" t="str">
        <x:v>边界</x:v>
      </x:c>
      <x:c r="G321" s="20" t="str">
        <x:v>RV0</x:v>
      </x:c>
      <x:c r="H321" s="20" t="str"/>
      <x:c r="I321" s="20" t="str">
        <x:v>完成event_id、source_id和反例检查。</x:v>
      </x:c>
      <x:c r="J321" s="20" t="str">
        <x:v>忽略接收方拒绝、安全事实或相反结果。</x:v>
      </x:c>
      <x:c r="K321" s="20" t="str">
        <x:v>由共享基础引擎提供；仅修正修复功能的承载、持续与压力占位，不直接等同是否愿意认错或能否修复。</x:v>
      </x:c>
      <x:c r="L321" s="20" t="str">
        <x:v>由M1／M2提供；夫妻星只说明伴侣原型与关系资格，不单独证明修复能力、修复意愿或修复结果。</x:v>
      </x:c>
      <x:c r="M321" s="20" t="str">
        <x:v>由M3-BASE提供；日支底盘说明亲密关系中自然调用的功能，但不能单独证明修复闭环。</x:v>
      </x:c>
      <x:c r="N321" s="20" t="str">
        <x:v>由M3-CONFLICT、M4-LOOP及现实事件提供；必须区分问题停止、责任承担、影响确认、行动改变、反馈整合与后续回访。</x:v>
      </x:c>
      <x:c r="O321" s="20" t="str">
        <x:v>由共享基础引擎判定；近位提高相关功能进入亲密关系核心的概率，远位只作背景或阶段修正。</x:v>
      </x:c>
      <x:c r="P321" s="20" t="str">
        <x:v>根气只修正某修复功能是否容易重复调用，不等于现实中已经持续改变。</x:v>
      </x:c>
      <x:c r="Q321" s="20" t="str">
        <x:v>旺弱只修正功能调用强度与占位，不直接等同修复质量、诚意或关系结果。</x:v>
      </x:c>
      <x:c r="R321" s="20" t="str">
        <x:v>喜忌只修正功能摩擦、平衡与承载，不直接等同道德、成熟、善恶或是否值得原谅。</x:v>
      </x:c>
      <x:c r="S321" s="20" t="str">
        <x:v>原十神功能有效；真合化成立时按化神功能替换，合化争议时停止定性。</x:v>
      </x:c>
      <x:c r="T321" s="20" t="str">
        <x:v>近位提高修复议题与亲密关系的直接相关性；远位仅保留背景、阶段或低置信修正。</x:v>
      </x:c>
      <x:c r="U321" s="20" t="str">
        <x:v>90</x:v>
      </x:c>
      <x:c r="V321" s="20" t="str">
        <x:v>只能停止或描述未知</x:v>
      </x:c>
      <x:c r="W321" s="20" t="str">
        <x:v>repair_evidence_depth</x:v>
      </x:c>
      <x:c r="X321" s="20" t="str">
        <x:v>同一动作只能计一次基础证据。</x:v>
      </x:c>
      <x:c r="Y321" s="20" t="str">
        <x:v>同一件事即使在多个模块出现，也不能重复算成多份证据。</x:v>
      </x:c>
      <x:c r="Z32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1" s="20" t="str">
        <x:v>中高</x:v>
      </x:c>
      <x:c r="AB321" s="20" t="str">
        <x:v>待验证</x:v>
      </x:c>
      <x:c r="AC321" s="20" t="str"/>
      <x:c r="AD321" s="20" t="str">
        <x:v>provisional=true；M3-REPAIR尚未完成，完成条件为暂定功能模型。</x:v>
      </x:c>
      <x:c r="AE321" s="52" t="str">
        <x:v>0.7</x:v>
      </x:c>
    </x:row>
    <x:row r="322">
      <x:c r="A322" s="51" t="str">
        <x:v>M4-REPAIR-321</x:v>
      </x:c>
      <x:c r="B322" s="20" t="str">
        <x:v>RV1 修复标签／自述｜证据定义</x:v>
      </x:c>
      <x:c r="C322" s="20" t="str">
        <x:v>L6 现实证据深度</x:v>
      </x:c>
      <x:c r="D322" s="20" t="str">
        <x:v>REPAIR-证据深度</x:v>
      </x:c>
      <x:c r="E322" s="20" t="str">
        <x:v>通用</x:v>
      </x:c>
      <x:c r="F322" s="20" t="str">
        <x:v>定义</x:v>
      </x:c>
      <x:c r="G322" s="20" t="str">
        <x:v>RV1</x:v>
      </x:c>
      <x:c r="H322" s="20" t="str"/>
      <x:c r="I322" s="20" t="str">
        <x:v>只有“道歉了”“和好了”“改了”等概括。</x:v>
      </x:c>
      <x:c r="J322" s="20" t="str">
        <x:v>把同一事件重复叙述当独立资料。</x:v>
      </x:c>
      <x:c r="K322" s="20" t="str">
        <x:v>由共享基础引擎提供；仅修正修复功能的承载、持续与压力占位，不直接等同是否愿意认错或能否修复。</x:v>
      </x:c>
      <x:c r="L322" s="20" t="str">
        <x:v>由M1／M2提供；夫妻星只说明伴侣原型与关系资格，不单独证明修复能力、修复意愿或修复结果。</x:v>
      </x:c>
      <x:c r="M322" s="20" t="str">
        <x:v>由M3-BASE提供；日支底盘说明亲密关系中自然调用的功能，但不能单独证明修复闭环。</x:v>
      </x:c>
      <x:c r="N322" s="20" t="str">
        <x:v>由M3-CONFLICT、M4-LOOP及现实事件提供；必须区分问题停止、责任承担、影响确认、行动改变、反馈整合与后续回访。</x:v>
      </x:c>
      <x:c r="O322" s="20" t="str">
        <x:v>由共享基础引擎判定；近位提高相关功能进入亲密关系核心的概率，远位只作背景或阶段修正。</x:v>
      </x:c>
      <x:c r="P322" s="20" t="str">
        <x:v>根气只修正某修复功能是否容易重复调用，不等于现实中已经持续改变。</x:v>
      </x:c>
      <x:c r="Q322" s="20" t="str">
        <x:v>旺弱只修正功能调用强度与占位，不直接等同修复质量、诚意或关系结果。</x:v>
      </x:c>
      <x:c r="R322" s="20" t="str">
        <x:v>喜忌只修正功能摩擦、平衡与承载，不直接等同道德、成熟、善恶或是否值得原谅。</x:v>
      </x:c>
      <x:c r="S322" s="20" t="str">
        <x:v>原十神功能有效；真合化成立时按化神功能替换，合化争议时停止定性。</x:v>
      </x:c>
      <x:c r="T322" s="20" t="str">
        <x:v>近位提高修复议题与亲密关系的直接相关性；远位仅保留背景、阶段或低置信修正。</x:v>
      </x:c>
      <x:c r="U322" s="20" t="str">
        <x:v>74</x:v>
      </x:c>
      <x:c r="V322" s="20" t="str">
        <x:v>最高只能识别修复尝试标签</x:v>
      </x:c>
      <x:c r="W322" s="20" t="str">
        <x:v>repair_evidence_depth</x:v>
      </x:c>
      <x:c r="X322" s="20" t="str">
        <x:v>RV描述现实修复资料深度，不是统计概率。</x:v>
      </x:c>
      <x:c r="Y322" s="20" t="str">
        <x:v>修复标签／自述：只有“道歉了”“和好了”“改了”等概括。</x:v>
      </x:c>
      <x:c r="Z32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2" s="20" t="str">
        <x:v>中高</x:v>
      </x:c>
      <x:c r="AB322" s="20" t="str">
        <x:v>待验证</x:v>
      </x:c>
      <x:c r="AC322" s="20" t="str"/>
      <x:c r="AD322" s="20" t="str">
        <x:v>provisional=true；M3-REPAIR尚未完成，完成条件为暂定功能模型。</x:v>
      </x:c>
      <x:c r="AE322" s="52" t="str">
        <x:v>0.7</x:v>
      </x:c>
    </x:row>
    <x:row r="323">
      <x:c r="A323" s="51" t="str">
        <x:v>M4-REPAIR-322</x:v>
      </x:c>
      <x:c r="B323" s="20" t="str">
        <x:v>RV1 修复标签／自述｜发布上限</x:v>
      </x:c>
      <x:c r="C323" s="20" t="str">
        <x:v>L6 现实证据深度</x:v>
      </x:c>
      <x:c r="D323" s="20" t="str">
        <x:v>REPAIR-证据深度</x:v>
      </x:c>
      <x:c r="E323" s="20" t="str">
        <x:v>通用</x:v>
      </x:c>
      <x:c r="F323" s="20" t="str">
        <x:v>门控</x:v>
      </x:c>
      <x:c r="G323" s="20" t="str">
        <x:v>RV1</x:v>
      </x:c>
      <x:c r="H323" s="20" t="str"/>
      <x:c r="I323" s="20" t="str">
        <x:v>按该层级限制输出：最高只能识别修复尝试标签。</x:v>
      </x:c>
      <x:c r="J323" s="20" t="str">
        <x:v>由低证据层级越级写修复完成。</x:v>
      </x:c>
      <x:c r="K323" s="20" t="str">
        <x:v>由共享基础引擎提供；仅修正修复功能的承载、持续与压力占位，不直接等同是否愿意认错或能否修复。</x:v>
      </x:c>
      <x:c r="L323" s="20" t="str">
        <x:v>由M1／M2提供；夫妻星只说明伴侣原型与关系资格，不单独证明修复能力、修复意愿或修复结果。</x:v>
      </x:c>
      <x:c r="M323" s="20" t="str">
        <x:v>由M3-BASE提供；日支底盘说明亲密关系中自然调用的功能，但不能单独证明修复闭环。</x:v>
      </x:c>
      <x:c r="N323" s="20" t="str">
        <x:v>由M3-CONFLICT、M4-LOOP及现实事件提供；必须区分问题停止、责任承担、影响确认、行动改变、反馈整合与后续回访。</x:v>
      </x:c>
      <x:c r="O323" s="20" t="str">
        <x:v>由共享基础引擎判定；近位提高相关功能进入亲密关系核心的概率，远位只作背景或阶段修正。</x:v>
      </x:c>
      <x:c r="P323" s="20" t="str">
        <x:v>根气只修正某修复功能是否容易重复调用，不等于现实中已经持续改变。</x:v>
      </x:c>
      <x:c r="Q323" s="20" t="str">
        <x:v>旺弱只修正功能调用强度与占位，不直接等同修复质量、诚意或关系结果。</x:v>
      </x:c>
      <x:c r="R323" s="20" t="str">
        <x:v>喜忌只修正功能摩擦、平衡与承载，不直接等同道德、成熟、善恶或是否值得原谅。</x:v>
      </x:c>
      <x:c r="S323" s="20" t="str">
        <x:v>原十神功能有效；真合化成立时按化神功能替换，合化争议时停止定性。</x:v>
      </x:c>
      <x:c r="T323" s="20" t="str">
        <x:v>近位提高修复议题与亲密关系的直接相关性；远位仅保留背景、阶段或低置信修正。</x:v>
      </x:c>
      <x:c r="U323" s="20" t="str">
        <x:v>90</x:v>
      </x:c>
      <x:c r="V323" s="20" t="str">
        <x:v>最高只能识别修复尝试标签</x:v>
      </x:c>
      <x:c r="W323" s="20" t="str">
        <x:v>repair_evidence_depth</x:v>
      </x:c>
      <x:c r="X323" s="20" t="str">
        <x:v>发布强度必须与资料深度一致。</x:v>
      </x:c>
      <x:c r="Y323" s="20" t="str">
        <x:v>当前最多可以：最高只能识别修复尝试标签。</x:v>
      </x:c>
      <x:c r="Z32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3" s="20" t="str">
        <x:v>中高</x:v>
      </x:c>
      <x:c r="AB323" s="20" t="str">
        <x:v>待验证</x:v>
      </x:c>
      <x:c r="AC323" s="20" t="str"/>
      <x:c r="AD323" s="20" t="str">
        <x:v>provisional=true；M3-REPAIR尚未完成，完成条件为暂定功能模型。</x:v>
      </x:c>
      <x:c r="AE323" s="52" t="str">
        <x:v>0.7</x:v>
      </x:c>
    </x:row>
    <x:row r="324">
      <x:c r="A324" s="51" t="str">
        <x:v>M4-REPAIR-323</x:v>
      </x:c>
      <x:c r="B324" s="20" t="str">
        <x:v>RV1 修复标签／自述｜升级条件</x:v>
      </x:c>
      <x:c r="C324" s="20" t="str">
        <x:v>L6 现实证据深度</x:v>
      </x:c>
      <x:c r="D324" s="20" t="str">
        <x:v>REPAIR-证据深度</x:v>
      </x:c>
      <x:c r="E324" s="20" t="str">
        <x:v>通用</x:v>
      </x:c>
      <x:c r="F324" s="20" t="str">
        <x:v>证据</x:v>
      </x:c>
      <x:c r="G324" s="20" t="str">
        <x:v>RV1</x:v>
      </x:c>
      <x:c r="H324" s="20" t="str"/>
      <x:c r="I324" s="20" t="str">
        <x:v>升级需要：补充具体说了什么、做了什么。</x:v>
      </x:c>
      <x:c r="J324" s="20" t="str">
        <x:v>只有命盘分数或研究者推测。</x:v>
      </x:c>
      <x:c r="K324" s="20" t="str">
        <x:v>由共享基础引擎提供；仅修正修复功能的承载、持续与压力占位，不直接等同是否愿意认错或能否修复。</x:v>
      </x:c>
      <x:c r="L324" s="20" t="str">
        <x:v>由M1／M2提供；夫妻星只说明伴侣原型与关系资格，不单独证明修复能力、修复意愿或修复结果。</x:v>
      </x:c>
      <x:c r="M324" s="20" t="str">
        <x:v>由M3-BASE提供；日支底盘说明亲密关系中自然调用的功能，但不能单独证明修复闭环。</x:v>
      </x:c>
      <x:c r="N324" s="20" t="str">
        <x:v>由M3-CONFLICT、M4-LOOP及现实事件提供；必须区分问题停止、责任承担、影响确认、行动改变、反馈整合与后续回访。</x:v>
      </x:c>
      <x:c r="O324" s="20" t="str">
        <x:v>由共享基础引擎判定；近位提高相关功能进入亲密关系核心的概率，远位只作背景或阶段修正。</x:v>
      </x:c>
      <x:c r="P324" s="20" t="str">
        <x:v>根气只修正某修复功能是否容易重复调用，不等于现实中已经持续改变。</x:v>
      </x:c>
      <x:c r="Q324" s="20" t="str">
        <x:v>旺弱只修正功能调用强度与占位，不直接等同修复质量、诚意或关系结果。</x:v>
      </x:c>
      <x:c r="R324" s="20" t="str">
        <x:v>喜忌只修正功能摩擦、平衡与承载，不直接等同道德、成熟、善恶或是否值得原谅。</x:v>
      </x:c>
      <x:c r="S324" s="20" t="str">
        <x:v>原十神功能有效；真合化成立时按化神功能替换，合化争议时停止定性。</x:v>
      </x:c>
      <x:c r="T324" s="20" t="str">
        <x:v>近位提高修复议题与亲密关系的直接相关性；远位仅保留背景、阶段或低置信修正。</x:v>
      </x:c>
      <x:c r="U324" s="20" t="str">
        <x:v>74</x:v>
      </x:c>
      <x:c r="V324" s="20" t="str">
        <x:v>最高只能识别修复尝试标签</x:v>
      </x:c>
      <x:c r="W324" s="20" t="str">
        <x:v>repair_evidence_depth</x:v>
      </x:c>
      <x:c r="X324" s="20" t="str">
        <x:v>升级必须增加新的现实信息，不是重复加权。</x:v>
      </x:c>
      <x:c r="Y324" s="20" t="str">
        <x:v>下一步需要：补充具体说了什么、做了什么。</x:v>
      </x:c>
      <x:c r="Z32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4" s="20" t="str">
        <x:v>中高</x:v>
      </x:c>
      <x:c r="AB324" s="20" t="str">
        <x:v>待验证</x:v>
      </x:c>
      <x:c r="AC324" s="20" t="str"/>
      <x:c r="AD324" s="20" t="str">
        <x:v>provisional=true；M3-REPAIR尚未完成，完成条件为暂定功能模型。</x:v>
      </x:c>
      <x:c r="AE324" s="52" t="str">
        <x:v>0.7</x:v>
      </x:c>
    </x:row>
    <x:row r="325">
      <x:c r="A325" s="51" t="str">
        <x:v>M4-REPAIR-324</x:v>
      </x:c>
      <x:c r="B325" s="20" t="str">
        <x:v>RV1 修复标签／自述｜边界与去重</x:v>
      </x:c>
      <x:c r="C325" s="20" t="str">
        <x:v>L6 现实证据深度</x:v>
      </x:c>
      <x:c r="D325" s="20" t="str">
        <x:v>REPAIR-证据深度</x:v>
      </x:c>
      <x:c r="E325" s="20" t="str">
        <x:v>通用</x:v>
      </x:c>
      <x:c r="F325" s="20" t="str">
        <x:v>边界</x:v>
      </x:c>
      <x:c r="G325" s="20" t="str">
        <x:v>RV1</x:v>
      </x:c>
      <x:c r="H325" s="20" t="str"/>
      <x:c r="I325" s="20" t="str">
        <x:v>完成event_id、source_id和反例检查。</x:v>
      </x:c>
      <x:c r="J325" s="20" t="str">
        <x:v>忽略接收方拒绝、安全事实或相反结果。</x:v>
      </x:c>
      <x:c r="K325" s="20" t="str">
        <x:v>由共享基础引擎提供；仅修正修复功能的承载、持续与压力占位，不直接等同是否愿意认错或能否修复。</x:v>
      </x:c>
      <x:c r="L325" s="20" t="str">
        <x:v>由M1／M2提供；夫妻星只说明伴侣原型与关系资格，不单独证明修复能力、修复意愿或修复结果。</x:v>
      </x:c>
      <x:c r="M325" s="20" t="str">
        <x:v>由M3-BASE提供；日支底盘说明亲密关系中自然调用的功能，但不能单独证明修复闭环。</x:v>
      </x:c>
      <x:c r="N325" s="20" t="str">
        <x:v>由M3-CONFLICT、M4-LOOP及现实事件提供；必须区分问题停止、责任承担、影响确认、行动改变、反馈整合与后续回访。</x:v>
      </x:c>
      <x:c r="O325" s="20" t="str">
        <x:v>由共享基础引擎判定；近位提高相关功能进入亲密关系核心的概率，远位只作背景或阶段修正。</x:v>
      </x:c>
      <x:c r="P325" s="20" t="str">
        <x:v>根气只修正某修复功能是否容易重复调用，不等于现实中已经持续改变。</x:v>
      </x:c>
      <x:c r="Q325" s="20" t="str">
        <x:v>旺弱只修正功能调用强度与占位，不直接等同修复质量、诚意或关系结果。</x:v>
      </x:c>
      <x:c r="R325" s="20" t="str">
        <x:v>喜忌只修正功能摩擦、平衡与承载，不直接等同道德、成熟、善恶或是否值得原谅。</x:v>
      </x:c>
      <x:c r="S325" s="20" t="str">
        <x:v>原十神功能有效；真合化成立时按化神功能替换，合化争议时停止定性。</x:v>
      </x:c>
      <x:c r="T325" s="20" t="str">
        <x:v>近位提高修复议题与亲密关系的直接相关性；远位仅保留背景、阶段或低置信修正。</x:v>
      </x:c>
      <x:c r="U325" s="20" t="str">
        <x:v>90</x:v>
      </x:c>
      <x:c r="V325" s="20" t="str">
        <x:v>最高只能识别修复尝试标签</x:v>
      </x:c>
      <x:c r="W325" s="20" t="str">
        <x:v>repair_evidence_depth</x:v>
      </x:c>
      <x:c r="X325" s="20" t="str">
        <x:v>同一动作只能计一次基础证据。</x:v>
      </x:c>
      <x:c r="Y325" s="20" t="str">
        <x:v>同一件事即使在多个模块出现，也不能重复算成多份证据。</x:v>
      </x:c>
      <x:c r="Z32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5" s="20" t="str">
        <x:v>中高</x:v>
      </x:c>
      <x:c r="AB325" s="20" t="str">
        <x:v>待验证</x:v>
      </x:c>
      <x:c r="AC325" s="20" t="str"/>
      <x:c r="AD325" s="20" t="str">
        <x:v>provisional=true；M3-REPAIR尚未完成，完成条件为暂定功能模型。</x:v>
      </x:c>
      <x:c r="AE325" s="52" t="str">
        <x:v>0.7</x:v>
      </x:c>
    </x:row>
    <x:row r="326">
      <x:c r="A326" s="51" t="str">
        <x:v>M4-REPAIR-325</x:v>
      </x:c>
      <x:c r="B326" s="20" t="str">
        <x:v>RV2 单一修复动作｜证据定义</x:v>
      </x:c>
      <x:c r="C326" s="20" t="str">
        <x:v>L6 现实证据深度</x:v>
      </x:c>
      <x:c r="D326" s="20" t="str">
        <x:v>REPAIR-证据深度</x:v>
      </x:c>
      <x:c r="E326" s="20" t="str">
        <x:v>通用</x:v>
      </x:c>
      <x:c r="F326" s="20" t="str">
        <x:v>定义</x:v>
      </x:c>
      <x:c r="G326" s="20" t="str">
        <x:v>RV2</x:v>
      </x:c>
      <x:c r="H326" s="20" t="str"/>
      <x:c r="I326" s="20" t="str">
        <x:v>有一次道歉、解释、安抚、补偿、方案或重联动作。</x:v>
      </x:c>
      <x:c r="J326" s="20" t="str">
        <x:v>把同一事件重复叙述当独立资料。</x:v>
      </x:c>
      <x:c r="K326" s="20" t="str">
        <x:v>由共享基础引擎提供；仅修正修复功能的承载、持续与压力占位，不直接等同是否愿意认错或能否修复。</x:v>
      </x:c>
      <x:c r="L326" s="20" t="str">
        <x:v>由M1／M2提供；夫妻星只说明伴侣原型与关系资格，不单独证明修复能力、修复意愿或修复结果。</x:v>
      </x:c>
      <x:c r="M326" s="20" t="str">
        <x:v>由M3-BASE提供；日支底盘说明亲密关系中自然调用的功能，但不能单独证明修复闭环。</x:v>
      </x:c>
      <x:c r="N326" s="20" t="str">
        <x:v>由M3-CONFLICT、M4-LOOP及现实事件提供；必须区分问题停止、责任承担、影响确认、行动改变、反馈整合与后续回访。</x:v>
      </x:c>
      <x:c r="O326" s="20" t="str">
        <x:v>由共享基础引擎判定；近位提高相关功能进入亲密关系核心的概率，远位只作背景或阶段修正。</x:v>
      </x:c>
      <x:c r="P326" s="20" t="str">
        <x:v>根气只修正某修复功能是否容易重复调用，不等于现实中已经持续改变。</x:v>
      </x:c>
      <x:c r="Q326" s="20" t="str">
        <x:v>旺弱只修正功能调用强度与占位，不直接等同修复质量、诚意或关系结果。</x:v>
      </x:c>
      <x:c r="R326" s="20" t="str">
        <x:v>喜忌只修正功能摩擦、平衡与承载，不直接等同道德、成熟、善恶或是否值得原谅。</x:v>
      </x:c>
      <x:c r="S326" s="20" t="str">
        <x:v>原十神功能有效；真合化成立时按化神功能替换，合化争议时停止定性。</x:v>
      </x:c>
      <x:c r="T326" s="20" t="str">
        <x:v>近位提高修复议题与亲密关系的直接相关性；远位仅保留背景、阶段或低置信修正。</x:v>
      </x:c>
      <x:c r="U326" s="20" t="str">
        <x:v>74</x:v>
      </x:c>
      <x:c r="V326" s="20" t="str">
        <x:v>可确认单节点，不得写闭环</x:v>
      </x:c>
      <x:c r="W326" s="20" t="str">
        <x:v>repair_evidence_depth</x:v>
      </x:c>
      <x:c r="X326" s="20" t="str">
        <x:v>RV描述现实修复资料深度，不是统计概率。</x:v>
      </x:c>
      <x:c r="Y326" s="20" t="str">
        <x:v>单一修复动作：有一次道歉、解释、安抚、补偿、方案或重联动作。</x:v>
      </x:c>
      <x:c r="Z32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6" s="20" t="str">
        <x:v>中高</x:v>
      </x:c>
      <x:c r="AB326" s="20" t="str">
        <x:v>待验证</x:v>
      </x:c>
      <x:c r="AC326" s="20" t="str"/>
      <x:c r="AD326" s="20" t="str">
        <x:v>provisional=true；M3-REPAIR尚未完成，完成条件为暂定功能模型。</x:v>
      </x:c>
      <x:c r="AE326" s="52" t="str">
        <x:v>0.7</x:v>
      </x:c>
    </x:row>
    <x:row r="327">
      <x:c r="A327" s="51" t="str">
        <x:v>M4-REPAIR-326</x:v>
      </x:c>
      <x:c r="B327" s="20" t="str">
        <x:v>RV2 单一修复动作｜发布上限</x:v>
      </x:c>
      <x:c r="C327" s="20" t="str">
        <x:v>L6 现实证据深度</x:v>
      </x:c>
      <x:c r="D327" s="20" t="str">
        <x:v>REPAIR-证据深度</x:v>
      </x:c>
      <x:c r="E327" s="20" t="str">
        <x:v>通用</x:v>
      </x:c>
      <x:c r="F327" s="20" t="str">
        <x:v>门控</x:v>
      </x:c>
      <x:c r="G327" s="20" t="str">
        <x:v>RV2</x:v>
      </x:c>
      <x:c r="H327" s="20" t="str"/>
      <x:c r="I327" s="20" t="str">
        <x:v>按该层级限制输出：可确认单节点，不得写闭环。</x:v>
      </x:c>
      <x:c r="J327" s="20" t="str">
        <x:v>由低证据层级越级写修复完成。</x:v>
      </x:c>
      <x:c r="K327" s="20" t="str">
        <x:v>由共享基础引擎提供；仅修正修复功能的承载、持续与压力占位，不直接等同是否愿意认错或能否修复。</x:v>
      </x:c>
      <x:c r="L327" s="20" t="str">
        <x:v>由M1／M2提供；夫妻星只说明伴侣原型与关系资格，不单独证明修复能力、修复意愿或修复结果。</x:v>
      </x:c>
      <x:c r="M327" s="20" t="str">
        <x:v>由M3-BASE提供；日支底盘说明亲密关系中自然调用的功能，但不能单独证明修复闭环。</x:v>
      </x:c>
      <x:c r="N327" s="20" t="str">
        <x:v>由M3-CONFLICT、M4-LOOP及现实事件提供；必须区分问题停止、责任承担、影响确认、行动改变、反馈整合与后续回访。</x:v>
      </x:c>
      <x:c r="O327" s="20" t="str">
        <x:v>由共享基础引擎判定；近位提高相关功能进入亲密关系核心的概率，远位只作背景或阶段修正。</x:v>
      </x:c>
      <x:c r="P327" s="20" t="str">
        <x:v>根气只修正某修复功能是否容易重复调用，不等于现实中已经持续改变。</x:v>
      </x:c>
      <x:c r="Q327" s="20" t="str">
        <x:v>旺弱只修正功能调用强度与占位，不直接等同修复质量、诚意或关系结果。</x:v>
      </x:c>
      <x:c r="R327" s="20" t="str">
        <x:v>喜忌只修正功能摩擦、平衡与承载，不直接等同道德、成熟、善恶或是否值得原谅。</x:v>
      </x:c>
      <x:c r="S327" s="20" t="str">
        <x:v>原十神功能有效；真合化成立时按化神功能替换，合化争议时停止定性。</x:v>
      </x:c>
      <x:c r="T327" s="20" t="str">
        <x:v>近位提高修复议题与亲密关系的直接相关性；远位仅保留背景、阶段或低置信修正。</x:v>
      </x:c>
      <x:c r="U327" s="20" t="str">
        <x:v>90</x:v>
      </x:c>
      <x:c r="V327" s="20" t="str">
        <x:v>可确认单节点，不得写闭环</x:v>
      </x:c>
      <x:c r="W327" s="20" t="str">
        <x:v>repair_evidence_depth</x:v>
      </x:c>
      <x:c r="X327" s="20" t="str">
        <x:v>发布强度必须与资料深度一致。</x:v>
      </x:c>
      <x:c r="Y327" s="20" t="str">
        <x:v>当前最多可以：可确认单节点，不得写闭环。</x:v>
      </x:c>
      <x:c r="Z32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7" s="20" t="str">
        <x:v>中高</x:v>
      </x:c>
      <x:c r="AB327" s="20" t="str">
        <x:v>待验证</x:v>
      </x:c>
      <x:c r="AC327" s="20" t="str"/>
      <x:c r="AD327" s="20" t="str">
        <x:v>provisional=true；M3-REPAIR尚未完成，完成条件为暂定功能模型。</x:v>
      </x:c>
      <x:c r="AE327" s="52" t="str">
        <x:v>0.7</x:v>
      </x:c>
    </x:row>
    <x:row r="328">
      <x:c r="A328" s="51" t="str">
        <x:v>M4-REPAIR-327</x:v>
      </x:c>
      <x:c r="B328" s="20" t="str">
        <x:v>RV2 单一修复动作｜升级条件</x:v>
      </x:c>
      <x:c r="C328" s="20" t="str">
        <x:v>L6 现实证据深度</x:v>
      </x:c>
      <x:c r="D328" s="20" t="str">
        <x:v>REPAIR-证据深度</x:v>
      </x:c>
      <x:c r="E328" s="20" t="str">
        <x:v>通用</x:v>
      </x:c>
      <x:c r="F328" s="20" t="str">
        <x:v>证据</x:v>
      </x:c>
      <x:c r="G328" s="20" t="str">
        <x:v>RV2</x:v>
      </x:c>
      <x:c r="H328" s="20" t="str"/>
      <x:c r="I328" s="20" t="str">
        <x:v>升级需要：补充接收方反馈与后续行动。</x:v>
      </x:c>
      <x:c r="J328" s="20" t="str">
        <x:v>只有命盘分数或研究者推测。</x:v>
      </x:c>
      <x:c r="K328" s="20" t="str">
        <x:v>由共享基础引擎提供；仅修正修复功能的承载、持续与压力占位，不直接等同是否愿意认错或能否修复。</x:v>
      </x:c>
      <x:c r="L328" s="20" t="str">
        <x:v>由M1／M2提供；夫妻星只说明伴侣原型与关系资格，不单独证明修复能力、修复意愿或修复结果。</x:v>
      </x:c>
      <x:c r="M328" s="20" t="str">
        <x:v>由M3-BASE提供；日支底盘说明亲密关系中自然调用的功能，但不能单独证明修复闭环。</x:v>
      </x:c>
      <x:c r="N328" s="20" t="str">
        <x:v>由M3-CONFLICT、M4-LOOP及现实事件提供；必须区分问题停止、责任承担、影响确认、行动改变、反馈整合与后续回访。</x:v>
      </x:c>
      <x:c r="O328" s="20" t="str">
        <x:v>由共享基础引擎判定；近位提高相关功能进入亲密关系核心的概率，远位只作背景或阶段修正。</x:v>
      </x:c>
      <x:c r="P328" s="20" t="str">
        <x:v>根气只修正某修复功能是否容易重复调用，不等于现实中已经持续改变。</x:v>
      </x:c>
      <x:c r="Q328" s="20" t="str">
        <x:v>旺弱只修正功能调用强度与占位，不直接等同修复质量、诚意或关系结果。</x:v>
      </x:c>
      <x:c r="R328" s="20" t="str">
        <x:v>喜忌只修正功能摩擦、平衡与承载，不直接等同道德、成熟、善恶或是否值得原谅。</x:v>
      </x:c>
      <x:c r="S328" s="20" t="str">
        <x:v>原十神功能有效；真合化成立时按化神功能替换，合化争议时停止定性。</x:v>
      </x:c>
      <x:c r="T328" s="20" t="str">
        <x:v>近位提高修复议题与亲密关系的直接相关性；远位仅保留背景、阶段或低置信修正。</x:v>
      </x:c>
      <x:c r="U328" s="20" t="str">
        <x:v>74</x:v>
      </x:c>
      <x:c r="V328" s="20" t="str">
        <x:v>可确认单节点，不得写闭环</x:v>
      </x:c>
      <x:c r="W328" s="20" t="str">
        <x:v>repair_evidence_depth</x:v>
      </x:c>
      <x:c r="X328" s="20" t="str">
        <x:v>升级必须增加新的现实信息，不是重复加权。</x:v>
      </x:c>
      <x:c r="Y328" s="20" t="str">
        <x:v>下一步需要：补充接收方反馈与后续行动。</x:v>
      </x:c>
      <x:c r="Z32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8" s="20" t="str">
        <x:v>中高</x:v>
      </x:c>
      <x:c r="AB328" s="20" t="str">
        <x:v>待验证</x:v>
      </x:c>
      <x:c r="AC328" s="20" t="str"/>
      <x:c r="AD328" s="20" t="str">
        <x:v>provisional=true；M3-REPAIR尚未完成，完成条件为暂定功能模型。</x:v>
      </x:c>
      <x:c r="AE328" s="52" t="str">
        <x:v>0.7</x:v>
      </x:c>
    </x:row>
    <x:row r="329">
      <x:c r="A329" s="51" t="str">
        <x:v>M4-REPAIR-328</x:v>
      </x:c>
      <x:c r="B329" s="20" t="str">
        <x:v>RV2 单一修复动作｜边界与去重</x:v>
      </x:c>
      <x:c r="C329" s="20" t="str">
        <x:v>L6 现实证据深度</x:v>
      </x:c>
      <x:c r="D329" s="20" t="str">
        <x:v>REPAIR-证据深度</x:v>
      </x:c>
      <x:c r="E329" s="20" t="str">
        <x:v>通用</x:v>
      </x:c>
      <x:c r="F329" s="20" t="str">
        <x:v>边界</x:v>
      </x:c>
      <x:c r="G329" s="20" t="str">
        <x:v>RV2</x:v>
      </x:c>
      <x:c r="H329" s="20" t="str"/>
      <x:c r="I329" s="20" t="str">
        <x:v>完成event_id、source_id和反例检查。</x:v>
      </x:c>
      <x:c r="J329" s="20" t="str">
        <x:v>忽略接收方拒绝、安全事实或相反结果。</x:v>
      </x:c>
      <x:c r="K329" s="20" t="str">
        <x:v>由共享基础引擎提供；仅修正修复功能的承载、持续与压力占位，不直接等同是否愿意认错或能否修复。</x:v>
      </x:c>
      <x:c r="L329" s="20" t="str">
        <x:v>由M1／M2提供；夫妻星只说明伴侣原型与关系资格，不单独证明修复能力、修复意愿或修复结果。</x:v>
      </x:c>
      <x:c r="M329" s="20" t="str">
        <x:v>由M3-BASE提供；日支底盘说明亲密关系中自然调用的功能，但不能单独证明修复闭环。</x:v>
      </x:c>
      <x:c r="N329" s="20" t="str">
        <x:v>由M3-CONFLICT、M4-LOOP及现实事件提供；必须区分问题停止、责任承担、影响确认、行动改变、反馈整合与后续回访。</x:v>
      </x:c>
      <x:c r="O329" s="20" t="str">
        <x:v>由共享基础引擎判定；近位提高相关功能进入亲密关系核心的概率，远位只作背景或阶段修正。</x:v>
      </x:c>
      <x:c r="P329" s="20" t="str">
        <x:v>根气只修正某修复功能是否容易重复调用，不等于现实中已经持续改变。</x:v>
      </x:c>
      <x:c r="Q329" s="20" t="str">
        <x:v>旺弱只修正功能调用强度与占位，不直接等同修复质量、诚意或关系结果。</x:v>
      </x:c>
      <x:c r="R329" s="20" t="str">
        <x:v>喜忌只修正功能摩擦、平衡与承载，不直接等同道德、成熟、善恶或是否值得原谅。</x:v>
      </x:c>
      <x:c r="S329" s="20" t="str">
        <x:v>原十神功能有效；真合化成立时按化神功能替换，合化争议时停止定性。</x:v>
      </x:c>
      <x:c r="T329" s="20" t="str">
        <x:v>近位提高修复议题与亲密关系的直接相关性；远位仅保留背景、阶段或低置信修正。</x:v>
      </x:c>
      <x:c r="U329" s="20" t="str">
        <x:v>90</x:v>
      </x:c>
      <x:c r="V329" s="20" t="str">
        <x:v>可确认单节点，不得写闭环</x:v>
      </x:c>
      <x:c r="W329" s="20" t="str">
        <x:v>repair_evidence_depth</x:v>
      </x:c>
      <x:c r="X329" s="20" t="str">
        <x:v>同一动作只能计一次基础证据。</x:v>
      </x:c>
      <x:c r="Y329" s="20" t="str">
        <x:v>同一件事即使在多个模块出现，也不能重复算成多份证据。</x:v>
      </x:c>
      <x:c r="Z32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29" s="20" t="str">
        <x:v>中高</x:v>
      </x:c>
      <x:c r="AB329" s="20" t="str">
        <x:v>待验证</x:v>
      </x:c>
      <x:c r="AC329" s="20" t="str"/>
      <x:c r="AD329" s="20" t="str">
        <x:v>provisional=true；M3-REPAIR尚未完成，完成条件为暂定功能模型。</x:v>
      </x:c>
      <x:c r="AE329" s="52" t="str">
        <x:v>0.7</x:v>
      </x:c>
    </x:row>
    <x:row r="330">
      <x:c r="A330" s="51" t="str">
        <x:v>M4-REPAIR-329</x:v>
      </x:c>
      <x:c r="B330" s="20" t="str">
        <x:v>RV3 多节点事件链｜证据定义</x:v>
      </x:c>
      <x:c r="C330" s="20" t="str">
        <x:v>L6 现实证据深度</x:v>
      </x:c>
      <x:c r="D330" s="20" t="str">
        <x:v>REPAIR-证据深度</x:v>
      </x:c>
      <x:c r="E330" s="20" t="str">
        <x:v>通用</x:v>
      </x:c>
      <x:c r="F330" s="20" t="str">
        <x:v>定义</x:v>
      </x:c>
      <x:c r="G330" s="20" t="str">
        <x:v>RV3</x:v>
      </x:c>
      <x:c r="H330" s="20" t="str"/>
      <x:c r="I330" s="20" t="str">
        <x:v>同一事件中至少三个修复节点及顺序清楚。</x:v>
      </x:c>
      <x:c r="J330" s="20" t="str">
        <x:v>把同一事件重复叙述当独立资料。</x:v>
      </x:c>
      <x:c r="K330" s="20" t="str">
        <x:v>由共享基础引擎提供；仅修正修复功能的承载、持续与压力占位，不直接等同是否愿意认错或能否修复。</x:v>
      </x:c>
      <x:c r="L330" s="20" t="str">
        <x:v>由M1／M2提供；夫妻星只说明伴侣原型与关系资格，不单独证明修复能力、修复意愿或修复结果。</x:v>
      </x:c>
      <x:c r="M330" s="20" t="str">
        <x:v>由M3-BASE提供；日支底盘说明亲密关系中自然调用的功能，但不能单独证明修复闭环。</x:v>
      </x:c>
      <x:c r="N330" s="20" t="str">
        <x:v>由M3-CONFLICT、M4-LOOP及现实事件提供；必须区分问题停止、责任承担、影响确认、行动改变、反馈整合与后续回访。</x:v>
      </x:c>
      <x:c r="O330" s="20" t="str">
        <x:v>由共享基础引擎判定；近位提高相关功能进入亲密关系核心的概率，远位只作背景或阶段修正。</x:v>
      </x:c>
      <x:c r="P330" s="20" t="str">
        <x:v>根气只修正某修复功能是否容易重复调用，不等于现实中已经持续改变。</x:v>
      </x:c>
      <x:c r="Q330" s="20" t="str">
        <x:v>旺弱只修正功能调用强度与占位，不直接等同修复质量、诚意或关系结果。</x:v>
      </x:c>
      <x:c r="R330" s="20" t="str">
        <x:v>喜忌只修正功能摩擦、平衡与承载，不直接等同道德、成熟、善恶或是否值得原谅。</x:v>
      </x:c>
      <x:c r="S330" s="20" t="str">
        <x:v>原十神功能有效；真合化成立时按化神功能替换，合化争议时停止定性。</x:v>
      </x:c>
      <x:c r="T330" s="20" t="str">
        <x:v>近位提高修复议题与亲密关系的直接相关性；远位仅保留背景、阶段或低置信修正。</x:v>
      </x:c>
      <x:c r="U330" s="20" t="str">
        <x:v>74</x:v>
      </x:c>
      <x:c r="V330" s="20" t="str">
        <x:v>可判断部分修复和初步卡点</x:v>
      </x:c>
      <x:c r="W330" s="20" t="str">
        <x:v>repair_evidence_depth</x:v>
      </x:c>
      <x:c r="X330" s="20" t="str">
        <x:v>RV描述现实修复资料深度，不是统计概率。</x:v>
      </x:c>
      <x:c r="Y330" s="20" t="str">
        <x:v>多节点事件链：同一事件中至少三个修复节点及顺序清楚。</x:v>
      </x:c>
      <x:c r="Z33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0" s="20" t="str">
        <x:v>中高</x:v>
      </x:c>
      <x:c r="AB330" s="20" t="str">
        <x:v>待验证</x:v>
      </x:c>
      <x:c r="AC330" s="20" t="str"/>
      <x:c r="AD330" s="20" t="str">
        <x:v>provisional=true；M3-REPAIR尚未完成，完成条件为暂定功能模型。</x:v>
      </x:c>
      <x:c r="AE330" s="52" t="str">
        <x:v>0.7</x:v>
      </x:c>
    </x:row>
    <x:row r="331">
      <x:c r="A331" s="51" t="str">
        <x:v>M4-REPAIR-330</x:v>
      </x:c>
      <x:c r="B331" s="20" t="str">
        <x:v>RV3 多节点事件链｜发布上限</x:v>
      </x:c>
      <x:c r="C331" s="20" t="str">
        <x:v>L6 现实证据深度</x:v>
      </x:c>
      <x:c r="D331" s="20" t="str">
        <x:v>REPAIR-证据深度</x:v>
      </x:c>
      <x:c r="E331" s="20" t="str">
        <x:v>通用</x:v>
      </x:c>
      <x:c r="F331" s="20" t="str">
        <x:v>门控</x:v>
      </x:c>
      <x:c r="G331" s="20" t="str">
        <x:v>RV3</x:v>
      </x:c>
      <x:c r="H331" s="20" t="str"/>
      <x:c r="I331" s="20" t="str">
        <x:v>按该层级限制输出：可判断部分修复和初步卡点。</x:v>
      </x:c>
      <x:c r="J331" s="20" t="str">
        <x:v>由低证据层级越级写修复完成。</x:v>
      </x:c>
      <x:c r="K331" s="20" t="str">
        <x:v>由共享基础引擎提供；仅修正修复功能的承载、持续与压力占位，不直接等同是否愿意认错或能否修复。</x:v>
      </x:c>
      <x:c r="L331" s="20" t="str">
        <x:v>由M1／M2提供；夫妻星只说明伴侣原型与关系资格，不单独证明修复能力、修复意愿或修复结果。</x:v>
      </x:c>
      <x:c r="M331" s="20" t="str">
        <x:v>由M3-BASE提供；日支底盘说明亲密关系中自然调用的功能，但不能单独证明修复闭环。</x:v>
      </x:c>
      <x:c r="N331" s="20" t="str">
        <x:v>由M3-CONFLICT、M4-LOOP及现实事件提供；必须区分问题停止、责任承担、影响确认、行动改变、反馈整合与后续回访。</x:v>
      </x:c>
      <x:c r="O331" s="20" t="str">
        <x:v>由共享基础引擎判定；近位提高相关功能进入亲密关系核心的概率，远位只作背景或阶段修正。</x:v>
      </x:c>
      <x:c r="P331" s="20" t="str">
        <x:v>根气只修正某修复功能是否容易重复调用，不等于现实中已经持续改变。</x:v>
      </x:c>
      <x:c r="Q331" s="20" t="str">
        <x:v>旺弱只修正功能调用强度与占位，不直接等同修复质量、诚意或关系结果。</x:v>
      </x:c>
      <x:c r="R331" s="20" t="str">
        <x:v>喜忌只修正功能摩擦、平衡与承载，不直接等同道德、成熟、善恶或是否值得原谅。</x:v>
      </x:c>
      <x:c r="S331" s="20" t="str">
        <x:v>原十神功能有效；真合化成立时按化神功能替换，合化争议时停止定性。</x:v>
      </x:c>
      <x:c r="T331" s="20" t="str">
        <x:v>近位提高修复议题与亲密关系的直接相关性；远位仅保留背景、阶段或低置信修正。</x:v>
      </x:c>
      <x:c r="U331" s="20" t="str">
        <x:v>90</x:v>
      </x:c>
      <x:c r="V331" s="20" t="str">
        <x:v>可判断部分修复和初步卡点</x:v>
      </x:c>
      <x:c r="W331" s="20" t="str">
        <x:v>repair_evidence_depth</x:v>
      </x:c>
      <x:c r="X331" s="20" t="str">
        <x:v>发布强度必须与资料深度一致。</x:v>
      </x:c>
      <x:c r="Y331" s="20" t="str">
        <x:v>当前最多可以：可判断部分修复和初步卡点。</x:v>
      </x:c>
      <x:c r="Z33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1" s="20" t="str">
        <x:v>中高</x:v>
      </x:c>
      <x:c r="AB331" s="20" t="str">
        <x:v>待验证</x:v>
      </x:c>
      <x:c r="AC331" s="20" t="str"/>
      <x:c r="AD331" s="20" t="str">
        <x:v>provisional=true；M3-REPAIR尚未完成，完成条件为暂定功能模型。</x:v>
      </x:c>
      <x:c r="AE331" s="52" t="str">
        <x:v>0.7</x:v>
      </x:c>
    </x:row>
    <x:row r="332">
      <x:c r="A332" s="51" t="str">
        <x:v>M4-REPAIR-331</x:v>
      </x:c>
      <x:c r="B332" s="20" t="str">
        <x:v>RV3 多节点事件链｜升级条件</x:v>
      </x:c>
      <x:c r="C332" s="20" t="str">
        <x:v>L6 现实证据深度</x:v>
      </x:c>
      <x:c r="D332" s="20" t="str">
        <x:v>REPAIR-证据深度</x:v>
      </x:c>
      <x:c r="E332" s="20" t="str">
        <x:v>通用</x:v>
      </x:c>
      <x:c r="F332" s="20" t="str">
        <x:v>证据</x:v>
      </x:c>
      <x:c r="G332" s="20" t="str">
        <x:v>RV3</x:v>
      </x:c>
      <x:c r="H332" s="20" t="str"/>
      <x:c r="I332" s="20" t="str">
        <x:v>升级需要：补充反馈、执行和回访。</x:v>
      </x:c>
      <x:c r="J332" s="20" t="str">
        <x:v>只有命盘分数或研究者推测。</x:v>
      </x:c>
      <x:c r="K332" s="20" t="str">
        <x:v>由共享基础引擎提供；仅修正修复功能的承载、持续与压力占位，不直接等同是否愿意认错或能否修复。</x:v>
      </x:c>
      <x:c r="L332" s="20" t="str">
        <x:v>由M1／M2提供；夫妻星只说明伴侣原型与关系资格，不单独证明修复能力、修复意愿或修复结果。</x:v>
      </x:c>
      <x:c r="M332" s="20" t="str">
        <x:v>由M3-BASE提供；日支底盘说明亲密关系中自然调用的功能，但不能单独证明修复闭环。</x:v>
      </x:c>
      <x:c r="N332" s="20" t="str">
        <x:v>由M3-CONFLICT、M4-LOOP及现实事件提供；必须区分问题停止、责任承担、影响确认、行动改变、反馈整合与后续回访。</x:v>
      </x:c>
      <x:c r="O332" s="20" t="str">
        <x:v>由共享基础引擎判定；近位提高相关功能进入亲密关系核心的概率，远位只作背景或阶段修正。</x:v>
      </x:c>
      <x:c r="P332" s="20" t="str">
        <x:v>根气只修正某修复功能是否容易重复调用，不等于现实中已经持续改变。</x:v>
      </x:c>
      <x:c r="Q332" s="20" t="str">
        <x:v>旺弱只修正功能调用强度与占位，不直接等同修复质量、诚意或关系结果。</x:v>
      </x:c>
      <x:c r="R332" s="20" t="str">
        <x:v>喜忌只修正功能摩擦、平衡与承载，不直接等同道德、成熟、善恶或是否值得原谅。</x:v>
      </x:c>
      <x:c r="S332" s="20" t="str">
        <x:v>原十神功能有效；真合化成立时按化神功能替换，合化争议时停止定性。</x:v>
      </x:c>
      <x:c r="T332" s="20" t="str">
        <x:v>近位提高修复议题与亲密关系的直接相关性；远位仅保留背景、阶段或低置信修正。</x:v>
      </x:c>
      <x:c r="U332" s="20" t="str">
        <x:v>74</x:v>
      </x:c>
      <x:c r="V332" s="20" t="str">
        <x:v>可判断部分修复和初步卡点</x:v>
      </x:c>
      <x:c r="W332" s="20" t="str">
        <x:v>repair_evidence_depth</x:v>
      </x:c>
      <x:c r="X332" s="20" t="str">
        <x:v>升级必须增加新的现实信息，不是重复加权。</x:v>
      </x:c>
      <x:c r="Y332" s="20" t="str">
        <x:v>下一步需要：补充反馈、执行和回访。</x:v>
      </x:c>
      <x:c r="Z33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2" s="20" t="str">
        <x:v>中高</x:v>
      </x:c>
      <x:c r="AB332" s="20" t="str">
        <x:v>待验证</x:v>
      </x:c>
      <x:c r="AC332" s="20" t="str"/>
      <x:c r="AD332" s="20" t="str">
        <x:v>provisional=true；M3-REPAIR尚未完成，完成条件为暂定功能模型。</x:v>
      </x:c>
      <x:c r="AE332" s="52" t="str">
        <x:v>0.7</x:v>
      </x:c>
    </x:row>
    <x:row r="333">
      <x:c r="A333" s="51" t="str">
        <x:v>M4-REPAIR-332</x:v>
      </x:c>
      <x:c r="B333" s="20" t="str">
        <x:v>RV3 多节点事件链｜边界与去重</x:v>
      </x:c>
      <x:c r="C333" s="20" t="str">
        <x:v>L6 现实证据深度</x:v>
      </x:c>
      <x:c r="D333" s="20" t="str">
        <x:v>REPAIR-证据深度</x:v>
      </x:c>
      <x:c r="E333" s="20" t="str">
        <x:v>通用</x:v>
      </x:c>
      <x:c r="F333" s="20" t="str">
        <x:v>边界</x:v>
      </x:c>
      <x:c r="G333" s="20" t="str">
        <x:v>RV3</x:v>
      </x:c>
      <x:c r="H333" s="20" t="str"/>
      <x:c r="I333" s="20" t="str">
        <x:v>完成event_id、source_id和反例检查。</x:v>
      </x:c>
      <x:c r="J333" s="20" t="str">
        <x:v>忽略接收方拒绝、安全事实或相反结果。</x:v>
      </x:c>
      <x:c r="K333" s="20" t="str">
        <x:v>由共享基础引擎提供；仅修正修复功能的承载、持续与压力占位，不直接等同是否愿意认错或能否修复。</x:v>
      </x:c>
      <x:c r="L333" s="20" t="str">
        <x:v>由M1／M2提供；夫妻星只说明伴侣原型与关系资格，不单独证明修复能力、修复意愿或修复结果。</x:v>
      </x:c>
      <x:c r="M333" s="20" t="str">
        <x:v>由M3-BASE提供；日支底盘说明亲密关系中自然调用的功能，但不能单独证明修复闭环。</x:v>
      </x:c>
      <x:c r="N333" s="20" t="str">
        <x:v>由M3-CONFLICT、M4-LOOP及现实事件提供；必须区分问题停止、责任承担、影响确认、行动改变、反馈整合与后续回访。</x:v>
      </x:c>
      <x:c r="O333" s="20" t="str">
        <x:v>由共享基础引擎判定；近位提高相关功能进入亲密关系核心的概率，远位只作背景或阶段修正。</x:v>
      </x:c>
      <x:c r="P333" s="20" t="str">
        <x:v>根气只修正某修复功能是否容易重复调用，不等于现实中已经持续改变。</x:v>
      </x:c>
      <x:c r="Q333" s="20" t="str">
        <x:v>旺弱只修正功能调用强度与占位，不直接等同修复质量、诚意或关系结果。</x:v>
      </x:c>
      <x:c r="R333" s="20" t="str">
        <x:v>喜忌只修正功能摩擦、平衡与承载，不直接等同道德、成熟、善恶或是否值得原谅。</x:v>
      </x:c>
      <x:c r="S333" s="20" t="str">
        <x:v>原十神功能有效；真合化成立时按化神功能替换，合化争议时停止定性。</x:v>
      </x:c>
      <x:c r="T333" s="20" t="str">
        <x:v>近位提高修复议题与亲密关系的直接相关性；远位仅保留背景、阶段或低置信修正。</x:v>
      </x:c>
      <x:c r="U333" s="20" t="str">
        <x:v>90</x:v>
      </x:c>
      <x:c r="V333" s="20" t="str">
        <x:v>可判断部分修复和初步卡点</x:v>
      </x:c>
      <x:c r="W333" s="20" t="str">
        <x:v>repair_evidence_depth</x:v>
      </x:c>
      <x:c r="X333" s="20" t="str">
        <x:v>同一动作只能计一次基础证据。</x:v>
      </x:c>
      <x:c r="Y333" s="20" t="str">
        <x:v>同一件事即使在多个模块出现，也不能重复算成多份证据。</x:v>
      </x:c>
      <x:c r="Z33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3" s="20" t="str">
        <x:v>中高</x:v>
      </x:c>
      <x:c r="AB333" s="20" t="str">
        <x:v>待验证</x:v>
      </x:c>
      <x:c r="AC333" s="20" t="str"/>
      <x:c r="AD333" s="20" t="str">
        <x:v>provisional=true；M3-REPAIR尚未完成，完成条件为暂定功能模型。</x:v>
      </x:c>
      <x:c r="AE333" s="52" t="str">
        <x:v>0.7</x:v>
      </x:c>
    </x:row>
    <x:row r="334">
      <x:c r="A334" s="51" t="str">
        <x:v>M4-REPAIR-333</x:v>
      </x:c>
      <x:c r="B334" s="20" t="str">
        <x:v>RV4 接收反馈已记录｜证据定义</x:v>
      </x:c>
      <x:c r="C334" s="20" t="str">
        <x:v>L6 现实证据深度</x:v>
      </x:c>
      <x:c r="D334" s="20" t="str">
        <x:v>REPAIR-证据深度</x:v>
      </x:c>
      <x:c r="E334" s="20" t="str">
        <x:v>通用</x:v>
      </x:c>
      <x:c r="F334" s="20" t="str">
        <x:v>定义</x:v>
      </x:c>
      <x:c r="G334" s="20" t="str">
        <x:v>RV4</x:v>
      </x:c>
      <x:c r="H334" s="20" t="str"/>
      <x:c r="I334" s="20" t="str">
        <x:v>接收方对修复动作有具体接受、拒绝、异议或调整反馈。</x:v>
      </x:c>
      <x:c r="J334" s="20" t="str">
        <x:v>把同一事件重复叙述当独立资料。</x:v>
      </x:c>
      <x:c r="K334" s="20" t="str">
        <x:v>由共享基础引擎提供；仅修正修复功能的承载、持续与压力占位，不直接等同是否愿意认错或能否修复。</x:v>
      </x:c>
      <x:c r="L334" s="20" t="str">
        <x:v>由M1／M2提供；夫妻星只说明伴侣原型与关系资格，不单独证明修复能力、修复意愿或修复结果。</x:v>
      </x:c>
      <x:c r="M334" s="20" t="str">
        <x:v>由M3-BASE提供；日支底盘说明亲密关系中自然调用的功能，但不能单独证明修复闭环。</x:v>
      </x:c>
      <x:c r="N334" s="20" t="str">
        <x:v>由M3-CONFLICT、M4-LOOP及现实事件提供；必须区分问题停止、责任承担、影响确认、行动改变、反馈整合与后续回访。</x:v>
      </x:c>
      <x:c r="O334" s="20" t="str">
        <x:v>由共享基础引擎判定；近位提高相关功能进入亲密关系核心的概率，远位只作背景或阶段修正。</x:v>
      </x:c>
      <x:c r="P334" s="20" t="str">
        <x:v>根气只修正某修复功能是否容易重复调用，不等于现实中已经持续改变。</x:v>
      </x:c>
      <x:c r="Q334" s="20" t="str">
        <x:v>旺弱只修正功能调用强度与占位，不直接等同修复质量、诚意或关系结果。</x:v>
      </x:c>
      <x:c r="R334" s="20" t="str">
        <x:v>喜忌只修正功能摩擦、平衡与承载，不直接等同道德、成熟、善恶或是否值得原谅。</x:v>
      </x:c>
      <x:c r="S334" s="20" t="str">
        <x:v>原十神功能有效；真合化成立时按化神功能替换，合化争议时停止定性。</x:v>
      </x:c>
      <x:c r="T334" s="20" t="str">
        <x:v>近位提高修复议题与亲密关系的直接相关性；远位仅保留背景、阶段或低置信修正。</x:v>
      </x:c>
      <x:c r="U334" s="20" t="str">
        <x:v>74</x:v>
      </x:c>
      <x:c r="V334" s="20" t="str">
        <x:v>可判断RN07与修复是否命中影响</x:v>
      </x:c>
      <x:c r="W334" s="20" t="str">
        <x:v>repair_evidence_depth</x:v>
      </x:c>
      <x:c r="X334" s="20" t="str">
        <x:v>RV描述现实修复资料深度，不是统计概率。</x:v>
      </x:c>
      <x:c r="Y334" s="20" t="str">
        <x:v>接收反馈已记录：接收方对修复动作有具体接受、拒绝、异议或调整反馈。</x:v>
      </x:c>
      <x:c r="Z33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4" s="20" t="str">
        <x:v>中高</x:v>
      </x:c>
      <x:c r="AB334" s="20" t="str">
        <x:v>待验证</x:v>
      </x:c>
      <x:c r="AC334" s="20" t="str"/>
      <x:c r="AD334" s="20" t="str">
        <x:v>provisional=true；M3-REPAIR尚未完成，完成条件为暂定功能模型。</x:v>
      </x:c>
      <x:c r="AE334" s="52" t="str">
        <x:v>0.7</x:v>
      </x:c>
    </x:row>
    <x:row r="335">
      <x:c r="A335" s="51" t="str">
        <x:v>M4-REPAIR-334</x:v>
      </x:c>
      <x:c r="B335" s="20" t="str">
        <x:v>RV4 接收反馈已记录｜发布上限</x:v>
      </x:c>
      <x:c r="C335" s="20" t="str">
        <x:v>L6 现实证据深度</x:v>
      </x:c>
      <x:c r="D335" s="20" t="str">
        <x:v>REPAIR-证据深度</x:v>
      </x:c>
      <x:c r="E335" s="20" t="str">
        <x:v>通用</x:v>
      </x:c>
      <x:c r="F335" s="20" t="str">
        <x:v>门控</x:v>
      </x:c>
      <x:c r="G335" s="20" t="str">
        <x:v>RV4</x:v>
      </x:c>
      <x:c r="H335" s="20" t="str"/>
      <x:c r="I335" s="20" t="str">
        <x:v>按该层级限制输出：可判断RN07与修复是否命中影响。</x:v>
      </x:c>
      <x:c r="J335" s="20" t="str">
        <x:v>由低证据层级越级写修复完成。</x:v>
      </x:c>
      <x:c r="K335" s="20" t="str">
        <x:v>由共享基础引擎提供；仅修正修复功能的承载、持续与压力占位，不直接等同是否愿意认错或能否修复。</x:v>
      </x:c>
      <x:c r="L335" s="20" t="str">
        <x:v>由M1／M2提供；夫妻星只说明伴侣原型与关系资格，不单独证明修复能力、修复意愿或修复结果。</x:v>
      </x:c>
      <x:c r="M335" s="20" t="str">
        <x:v>由M3-BASE提供；日支底盘说明亲密关系中自然调用的功能，但不能单独证明修复闭环。</x:v>
      </x:c>
      <x:c r="N335" s="20" t="str">
        <x:v>由M3-CONFLICT、M4-LOOP及现实事件提供；必须区分问题停止、责任承担、影响确认、行动改变、反馈整合与后续回访。</x:v>
      </x:c>
      <x:c r="O335" s="20" t="str">
        <x:v>由共享基础引擎判定；近位提高相关功能进入亲密关系核心的概率，远位只作背景或阶段修正。</x:v>
      </x:c>
      <x:c r="P335" s="20" t="str">
        <x:v>根气只修正某修复功能是否容易重复调用，不等于现实中已经持续改变。</x:v>
      </x:c>
      <x:c r="Q335" s="20" t="str">
        <x:v>旺弱只修正功能调用强度与占位，不直接等同修复质量、诚意或关系结果。</x:v>
      </x:c>
      <x:c r="R335" s="20" t="str">
        <x:v>喜忌只修正功能摩擦、平衡与承载，不直接等同道德、成熟、善恶或是否值得原谅。</x:v>
      </x:c>
      <x:c r="S335" s="20" t="str">
        <x:v>原十神功能有效；真合化成立时按化神功能替换，合化争议时停止定性。</x:v>
      </x:c>
      <x:c r="T335" s="20" t="str">
        <x:v>近位提高修复议题与亲密关系的直接相关性；远位仅保留背景、阶段或低置信修正。</x:v>
      </x:c>
      <x:c r="U335" s="20" t="str">
        <x:v>90</x:v>
      </x:c>
      <x:c r="V335" s="20" t="str">
        <x:v>可判断RN07与修复是否命中影响</x:v>
      </x:c>
      <x:c r="W335" s="20" t="str">
        <x:v>repair_evidence_depth</x:v>
      </x:c>
      <x:c r="X335" s="20" t="str">
        <x:v>发布强度必须与资料深度一致。</x:v>
      </x:c>
      <x:c r="Y335" s="20" t="str">
        <x:v>当前最多可以：可判断RN07与修复是否命中影响。</x:v>
      </x:c>
      <x:c r="Z33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5" s="20" t="str">
        <x:v>中高</x:v>
      </x:c>
      <x:c r="AB335" s="20" t="str">
        <x:v>待验证</x:v>
      </x:c>
      <x:c r="AC335" s="20" t="str"/>
      <x:c r="AD335" s="20" t="str">
        <x:v>provisional=true；M3-REPAIR尚未完成，完成条件为暂定功能模型。</x:v>
      </x:c>
      <x:c r="AE335" s="52" t="str">
        <x:v>0.7</x:v>
      </x:c>
    </x:row>
    <x:row r="336">
      <x:c r="A336" s="51" t="str">
        <x:v>M4-REPAIR-335</x:v>
      </x:c>
      <x:c r="B336" s="20" t="str">
        <x:v>RV4 接收反馈已记录｜升级条件</x:v>
      </x:c>
      <x:c r="C336" s="20" t="str">
        <x:v>L6 现实证据深度</x:v>
      </x:c>
      <x:c r="D336" s="20" t="str">
        <x:v>REPAIR-证据深度</x:v>
      </x:c>
      <x:c r="E336" s="20" t="str">
        <x:v>通用</x:v>
      </x:c>
      <x:c r="F336" s="20" t="str">
        <x:v>证据</x:v>
      </x:c>
      <x:c r="G336" s="20" t="str">
        <x:v>RV4</x:v>
      </x:c>
      <x:c r="H336" s="20" t="str"/>
      <x:c r="I336" s="20" t="str">
        <x:v>升级需要：补充二次调整和持续性。</x:v>
      </x:c>
      <x:c r="J336" s="20" t="str">
        <x:v>只有命盘分数或研究者推测。</x:v>
      </x:c>
      <x:c r="K336" s="20" t="str">
        <x:v>由共享基础引擎提供；仅修正修复功能的承载、持续与压力占位，不直接等同是否愿意认错或能否修复。</x:v>
      </x:c>
      <x:c r="L336" s="20" t="str">
        <x:v>由M1／M2提供；夫妻星只说明伴侣原型与关系资格，不单独证明修复能力、修复意愿或修复结果。</x:v>
      </x:c>
      <x:c r="M336" s="20" t="str">
        <x:v>由M3-BASE提供；日支底盘说明亲密关系中自然调用的功能，但不能单独证明修复闭环。</x:v>
      </x:c>
      <x:c r="N336" s="20" t="str">
        <x:v>由M3-CONFLICT、M4-LOOP及现实事件提供；必须区分问题停止、责任承担、影响确认、行动改变、反馈整合与后续回访。</x:v>
      </x:c>
      <x:c r="O336" s="20" t="str">
        <x:v>由共享基础引擎判定；近位提高相关功能进入亲密关系核心的概率，远位只作背景或阶段修正。</x:v>
      </x:c>
      <x:c r="P336" s="20" t="str">
        <x:v>根气只修正某修复功能是否容易重复调用，不等于现实中已经持续改变。</x:v>
      </x:c>
      <x:c r="Q336" s="20" t="str">
        <x:v>旺弱只修正功能调用强度与占位，不直接等同修复质量、诚意或关系结果。</x:v>
      </x:c>
      <x:c r="R336" s="20" t="str">
        <x:v>喜忌只修正功能摩擦、平衡与承载，不直接等同道德、成熟、善恶或是否值得原谅。</x:v>
      </x:c>
      <x:c r="S336" s="20" t="str">
        <x:v>原十神功能有效；真合化成立时按化神功能替换，合化争议时停止定性。</x:v>
      </x:c>
      <x:c r="T336" s="20" t="str">
        <x:v>近位提高修复议题与亲密关系的直接相关性；远位仅保留背景、阶段或低置信修正。</x:v>
      </x:c>
      <x:c r="U336" s="20" t="str">
        <x:v>74</x:v>
      </x:c>
      <x:c r="V336" s="20" t="str">
        <x:v>可判断RN07与修复是否命中影响</x:v>
      </x:c>
      <x:c r="W336" s="20" t="str">
        <x:v>repair_evidence_depth</x:v>
      </x:c>
      <x:c r="X336" s="20" t="str">
        <x:v>升级必须增加新的现实信息，不是重复加权。</x:v>
      </x:c>
      <x:c r="Y336" s="20" t="str">
        <x:v>下一步需要：补充二次调整和持续性。</x:v>
      </x:c>
      <x:c r="Z33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6" s="20" t="str">
        <x:v>中高</x:v>
      </x:c>
      <x:c r="AB336" s="20" t="str">
        <x:v>待验证</x:v>
      </x:c>
      <x:c r="AC336" s="20" t="str"/>
      <x:c r="AD336" s="20" t="str">
        <x:v>provisional=true；M3-REPAIR尚未完成，完成条件为暂定功能模型。</x:v>
      </x:c>
      <x:c r="AE336" s="52" t="str">
        <x:v>0.7</x:v>
      </x:c>
    </x:row>
    <x:row r="337">
      <x:c r="A337" s="51" t="str">
        <x:v>M4-REPAIR-336</x:v>
      </x:c>
      <x:c r="B337" s="20" t="str">
        <x:v>RV4 接收反馈已记录｜边界与去重</x:v>
      </x:c>
      <x:c r="C337" s="20" t="str">
        <x:v>L6 现实证据深度</x:v>
      </x:c>
      <x:c r="D337" s="20" t="str">
        <x:v>REPAIR-证据深度</x:v>
      </x:c>
      <x:c r="E337" s="20" t="str">
        <x:v>通用</x:v>
      </x:c>
      <x:c r="F337" s="20" t="str">
        <x:v>边界</x:v>
      </x:c>
      <x:c r="G337" s="20" t="str">
        <x:v>RV4</x:v>
      </x:c>
      <x:c r="H337" s="20" t="str"/>
      <x:c r="I337" s="20" t="str">
        <x:v>完成event_id、source_id和反例检查。</x:v>
      </x:c>
      <x:c r="J337" s="20" t="str">
        <x:v>忽略接收方拒绝、安全事实或相反结果。</x:v>
      </x:c>
      <x:c r="K337" s="20" t="str">
        <x:v>由共享基础引擎提供；仅修正修复功能的承载、持续与压力占位，不直接等同是否愿意认错或能否修复。</x:v>
      </x:c>
      <x:c r="L337" s="20" t="str">
        <x:v>由M1／M2提供；夫妻星只说明伴侣原型与关系资格，不单独证明修复能力、修复意愿或修复结果。</x:v>
      </x:c>
      <x:c r="M337" s="20" t="str">
        <x:v>由M3-BASE提供；日支底盘说明亲密关系中自然调用的功能，但不能单独证明修复闭环。</x:v>
      </x:c>
      <x:c r="N337" s="20" t="str">
        <x:v>由M3-CONFLICT、M4-LOOP及现实事件提供；必须区分问题停止、责任承担、影响确认、行动改变、反馈整合与后续回访。</x:v>
      </x:c>
      <x:c r="O337" s="20" t="str">
        <x:v>由共享基础引擎判定；近位提高相关功能进入亲密关系核心的概率，远位只作背景或阶段修正。</x:v>
      </x:c>
      <x:c r="P337" s="20" t="str">
        <x:v>根气只修正某修复功能是否容易重复调用，不等于现实中已经持续改变。</x:v>
      </x:c>
      <x:c r="Q337" s="20" t="str">
        <x:v>旺弱只修正功能调用强度与占位，不直接等同修复质量、诚意或关系结果。</x:v>
      </x:c>
      <x:c r="R337" s="20" t="str">
        <x:v>喜忌只修正功能摩擦、平衡与承载，不直接等同道德、成熟、善恶或是否值得原谅。</x:v>
      </x:c>
      <x:c r="S337" s="20" t="str">
        <x:v>原十神功能有效；真合化成立时按化神功能替换，合化争议时停止定性。</x:v>
      </x:c>
      <x:c r="T337" s="20" t="str">
        <x:v>近位提高修复议题与亲密关系的直接相关性；远位仅保留背景、阶段或低置信修正。</x:v>
      </x:c>
      <x:c r="U337" s="20" t="str">
        <x:v>90</x:v>
      </x:c>
      <x:c r="V337" s="20" t="str">
        <x:v>可判断RN07与修复是否命中影响</x:v>
      </x:c>
      <x:c r="W337" s="20" t="str">
        <x:v>repair_evidence_depth</x:v>
      </x:c>
      <x:c r="X337" s="20" t="str">
        <x:v>同一动作只能计一次基础证据。</x:v>
      </x:c>
      <x:c r="Y337" s="20" t="str">
        <x:v>同一件事即使在多个模块出现，也不能重复算成多份证据。</x:v>
      </x:c>
      <x:c r="Z33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7" s="20" t="str">
        <x:v>中高</x:v>
      </x:c>
      <x:c r="AB337" s="20" t="str">
        <x:v>待验证</x:v>
      </x:c>
      <x:c r="AC337" s="20" t="str"/>
      <x:c r="AD337" s="20" t="str">
        <x:v>provisional=true；M3-REPAIR尚未完成，完成条件为暂定功能模型。</x:v>
      </x:c>
      <x:c r="AE337" s="52" t="str">
        <x:v>0.7</x:v>
      </x:c>
    </x:row>
    <x:row r="338">
      <x:c r="A338" s="51" t="str">
        <x:v>M4-REPAIR-337</x:v>
      </x:c>
      <x:c r="B338" s="20" t="str">
        <x:v>RV5 行为改变已持续｜证据定义</x:v>
      </x:c>
      <x:c r="C338" s="20" t="str">
        <x:v>L6 现实证据深度</x:v>
      </x:c>
      <x:c r="D338" s="20" t="str">
        <x:v>REPAIR-证据深度</x:v>
      </x:c>
      <x:c r="E338" s="20" t="str">
        <x:v>通用</x:v>
      </x:c>
      <x:c r="F338" s="20" t="str">
        <x:v>定义</x:v>
      </x:c>
      <x:c r="G338" s="20" t="str">
        <x:v>RV5</x:v>
      </x:c>
      <x:c r="H338" s="20" t="str"/>
      <x:c r="I338" s="20" t="str">
        <x:v>相关行动在一段时间或相似情境中重复兑现。</x:v>
      </x:c>
      <x:c r="J338" s="20" t="str">
        <x:v>把同一事件重复叙述当独立资料。</x:v>
      </x:c>
      <x:c r="K338" s="20" t="str">
        <x:v>由共享基础引擎提供；仅修正修复功能的承载、持续与压力占位，不直接等同是否愿意认错或能否修复。</x:v>
      </x:c>
      <x:c r="L338" s="20" t="str">
        <x:v>由M1／M2提供；夫妻星只说明伴侣原型与关系资格，不单独证明修复能力、修复意愿或修复结果。</x:v>
      </x:c>
      <x:c r="M338" s="20" t="str">
        <x:v>由M3-BASE提供；日支底盘说明亲密关系中自然调用的功能，但不能单独证明修复闭环。</x:v>
      </x:c>
      <x:c r="N338" s="20" t="str">
        <x:v>由M3-CONFLICT、M4-LOOP及现实事件提供；必须区分问题停止、责任承担、影响确认、行动改变、反馈整合与后续回访。</x:v>
      </x:c>
      <x:c r="O338" s="20" t="str">
        <x:v>由共享基础引擎判定；近位提高相关功能进入亲密关系核心的概率，远位只作背景或阶段修正。</x:v>
      </x:c>
      <x:c r="P338" s="20" t="str">
        <x:v>根气只修正某修复功能是否容易重复调用，不等于现实中已经持续改变。</x:v>
      </x:c>
      <x:c r="Q338" s="20" t="str">
        <x:v>旺弱只修正功能调用强度与占位，不直接等同修复质量、诚意或关系结果。</x:v>
      </x:c>
      <x:c r="R338" s="20" t="str">
        <x:v>喜忌只修正功能摩擦、平衡与承载，不直接等同道德、成熟、善恶或是否值得原谅。</x:v>
      </x:c>
      <x:c r="S338" s="20" t="str">
        <x:v>原十神功能有效；真合化成立时按化神功能替换，合化争议时停止定性。</x:v>
      </x:c>
      <x:c r="T338" s="20" t="str">
        <x:v>近位提高修复议题与亲密关系的直接相关性；远位仅保留背景、阶段或低置信修正。</x:v>
      </x:c>
      <x:c r="U338" s="20" t="str">
        <x:v>74</x:v>
      </x:c>
      <x:c r="V338" s="20" t="str">
        <x:v>可建立闭环候选</x:v>
      </x:c>
      <x:c r="W338" s="20" t="str">
        <x:v>repair_evidence_depth</x:v>
      </x:c>
      <x:c r="X338" s="20" t="str">
        <x:v>RV描述现实修复资料深度，不是统计概率。</x:v>
      </x:c>
      <x:c r="Y338" s="20" t="str">
        <x:v>行为改变已持续：相关行动在一段时间或相似情境中重复兑现。</x:v>
      </x:c>
      <x:c r="Z33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8" s="20" t="str">
        <x:v>中高</x:v>
      </x:c>
      <x:c r="AB338" s="20" t="str">
        <x:v>待验证</x:v>
      </x:c>
      <x:c r="AC338" s="20" t="str"/>
      <x:c r="AD338" s="20" t="str">
        <x:v>provisional=true；M3-REPAIR尚未完成，完成条件为暂定功能模型。</x:v>
      </x:c>
      <x:c r="AE338" s="52" t="str">
        <x:v>0.7</x:v>
      </x:c>
    </x:row>
    <x:row r="339">
      <x:c r="A339" s="51" t="str">
        <x:v>M4-REPAIR-338</x:v>
      </x:c>
      <x:c r="B339" s="20" t="str">
        <x:v>RV5 行为改变已持续｜发布上限</x:v>
      </x:c>
      <x:c r="C339" s="20" t="str">
        <x:v>L6 现实证据深度</x:v>
      </x:c>
      <x:c r="D339" s="20" t="str">
        <x:v>REPAIR-证据深度</x:v>
      </x:c>
      <x:c r="E339" s="20" t="str">
        <x:v>通用</x:v>
      </x:c>
      <x:c r="F339" s="20" t="str">
        <x:v>门控</x:v>
      </x:c>
      <x:c r="G339" s="20" t="str">
        <x:v>RV5</x:v>
      </x:c>
      <x:c r="H339" s="20" t="str"/>
      <x:c r="I339" s="20" t="str">
        <x:v>按该层级限制输出：可建立闭环候选。</x:v>
      </x:c>
      <x:c r="J339" s="20" t="str">
        <x:v>由低证据层级越级写修复完成。</x:v>
      </x:c>
      <x:c r="K339" s="20" t="str">
        <x:v>由共享基础引擎提供；仅修正修复功能的承载、持续与压力占位，不直接等同是否愿意认错或能否修复。</x:v>
      </x:c>
      <x:c r="L339" s="20" t="str">
        <x:v>由M1／M2提供；夫妻星只说明伴侣原型与关系资格，不单独证明修复能力、修复意愿或修复结果。</x:v>
      </x:c>
      <x:c r="M339" s="20" t="str">
        <x:v>由M3-BASE提供；日支底盘说明亲密关系中自然调用的功能，但不能单独证明修复闭环。</x:v>
      </x:c>
      <x:c r="N339" s="20" t="str">
        <x:v>由M3-CONFLICT、M4-LOOP及现实事件提供；必须区分问题停止、责任承担、影响确认、行动改变、反馈整合与后续回访。</x:v>
      </x:c>
      <x:c r="O339" s="20" t="str">
        <x:v>由共享基础引擎判定；近位提高相关功能进入亲密关系核心的概率，远位只作背景或阶段修正。</x:v>
      </x:c>
      <x:c r="P339" s="20" t="str">
        <x:v>根气只修正某修复功能是否容易重复调用，不等于现实中已经持续改变。</x:v>
      </x:c>
      <x:c r="Q339" s="20" t="str">
        <x:v>旺弱只修正功能调用强度与占位，不直接等同修复质量、诚意或关系结果。</x:v>
      </x:c>
      <x:c r="R339" s="20" t="str">
        <x:v>喜忌只修正功能摩擦、平衡与承载，不直接等同道德、成熟、善恶或是否值得原谅。</x:v>
      </x:c>
      <x:c r="S339" s="20" t="str">
        <x:v>原十神功能有效；真合化成立时按化神功能替换，合化争议时停止定性。</x:v>
      </x:c>
      <x:c r="T339" s="20" t="str">
        <x:v>近位提高修复议题与亲密关系的直接相关性；远位仅保留背景、阶段或低置信修正。</x:v>
      </x:c>
      <x:c r="U339" s="20" t="str">
        <x:v>90</x:v>
      </x:c>
      <x:c r="V339" s="20" t="str">
        <x:v>可建立闭环候选</x:v>
      </x:c>
      <x:c r="W339" s="20" t="str">
        <x:v>repair_evidence_depth</x:v>
      </x:c>
      <x:c r="X339" s="20" t="str">
        <x:v>发布强度必须与资料深度一致。</x:v>
      </x:c>
      <x:c r="Y339" s="20" t="str">
        <x:v>当前最多可以：可建立闭环候选。</x:v>
      </x:c>
      <x:c r="Z33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39" s="20" t="str">
        <x:v>中高</x:v>
      </x:c>
      <x:c r="AB339" s="20" t="str">
        <x:v>待验证</x:v>
      </x:c>
      <x:c r="AC339" s="20" t="str"/>
      <x:c r="AD339" s="20" t="str">
        <x:v>provisional=true；M3-REPAIR尚未完成，完成条件为暂定功能模型。</x:v>
      </x:c>
      <x:c r="AE339" s="52" t="str">
        <x:v>0.7</x:v>
      </x:c>
    </x:row>
    <x:row r="340">
      <x:c r="A340" s="51" t="str">
        <x:v>M4-REPAIR-339</x:v>
      </x:c>
      <x:c r="B340" s="20" t="str">
        <x:v>RV5 行为改变已持续｜升级条件</x:v>
      </x:c>
      <x:c r="C340" s="20" t="str">
        <x:v>L6 现实证据深度</x:v>
      </x:c>
      <x:c r="D340" s="20" t="str">
        <x:v>REPAIR-证据深度</x:v>
      </x:c>
      <x:c r="E340" s="20" t="str">
        <x:v>通用</x:v>
      </x:c>
      <x:c r="F340" s="20" t="str">
        <x:v>证据</x:v>
      </x:c>
      <x:c r="G340" s="20" t="str">
        <x:v>RV5</x:v>
      </x:c>
      <x:c r="H340" s="20" t="str"/>
      <x:c r="I340" s="20" t="str">
        <x:v>升级需要：补充复发检验与后续回访。</x:v>
      </x:c>
      <x:c r="J340" s="20" t="str">
        <x:v>只有命盘分数或研究者推测。</x:v>
      </x:c>
      <x:c r="K340" s="20" t="str">
        <x:v>由共享基础引擎提供；仅修正修复功能的承载、持续与压力占位，不直接等同是否愿意认错或能否修复。</x:v>
      </x:c>
      <x:c r="L340" s="20" t="str">
        <x:v>由M1／M2提供；夫妻星只说明伴侣原型与关系资格，不单独证明修复能力、修复意愿或修复结果。</x:v>
      </x:c>
      <x:c r="M340" s="20" t="str">
        <x:v>由M3-BASE提供；日支底盘说明亲密关系中自然调用的功能，但不能单独证明修复闭环。</x:v>
      </x:c>
      <x:c r="N340" s="20" t="str">
        <x:v>由M3-CONFLICT、M4-LOOP及现实事件提供；必须区分问题停止、责任承担、影响确认、行动改变、反馈整合与后续回访。</x:v>
      </x:c>
      <x:c r="O340" s="20" t="str">
        <x:v>由共享基础引擎判定；近位提高相关功能进入亲密关系核心的概率，远位只作背景或阶段修正。</x:v>
      </x:c>
      <x:c r="P340" s="20" t="str">
        <x:v>根气只修正某修复功能是否容易重复调用，不等于现实中已经持续改变。</x:v>
      </x:c>
      <x:c r="Q340" s="20" t="str">
        <x:v>旺弱只修正功能调用强度与占位，不直接等同修复质量、诚意或关系结果。</x:v>
      </x:c>
      <x:c r="R340" s="20" t="str">
        <x:v>喜忌只修正功能摩擦、平衡与承载，不直接等同道德、成熟、善恶或是否值得原谅。</x:v>
      </x:c>
      <x:c r="S340" s="20" t="str">
        <x:v>原十神功能有效；真合化成立时按化神功能替换，合化争议时停止定性。</x:v>
      </x:c>
      <x:c r="T340" s="20" t="str">
        <x:v>近位提高修复议题与亲密关系的直接相关性；远位仅保留背景、阶段或低置信修正。</x:v>
      </x:c>
      <x:c r="U340" s="20" t="str">
        <x:v>74</x:v>
      </x:c>
      <x:c r="V340" s="20" t="str">
        <x:v>可建立闭环候选</x:v>
      </x:c>
      <x:c r="W340" s="20" t="str">
        <x:v>repair_evidence_depth</x:v>
      </x:c>
      <x:c r="X340" s="20" t="str">
        <x:v>升级必须增加新的现实信息，不是重复加权。</x:v>
      </x:c>
      <x:c r="Y340" s="20" t="str">
        <x:v>下一步需要：补充复发检验与后续回访。</x:v>
      </x:c>
      <x:c r="Z34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0" s="20" t="str">
        <x:v>中高</x:v>
      </x:c>
      <x:c r="AB340" s="20" t="str">
        <x:v>待验证</x:v>
      </x:c>
      <x:c r="AC340" s="20" t="str"/>
      <x:c r="AD340" s="20" t="str">
        <x:v>provisional=true；M3-REPAIR尚未完成，完成条件为暂定功能模型。</x:v>
      </x:c>
      <x:c r="AE340" s="52" t="str">
        <x:v>0.7</x:v>
      </x:c>
    </x:row>
    <x:row r="341">
      <x:c r="A341" s="51" t="str">
        <x:v>M4-REPAIR-340</x:v>
      </x:c>
      <x:c r="B341" s="20" t="str">
        <x:v>RV5 行为改变已持续｜边界与去重</x:v>
      </x:c>
      <x:c r="C341" s="20" t="str">
        <x:v>L6 现实证据深度</x:v>
      </x:c>
      <x:c r="D341" s="20" t="str">
        <x:v>REPAIR-证据深度</x:v>
      </x:c>
      <x:c r="E341" s="20" t="str">
        <x:v>通用</x:v>
      </x:c>
      <x:c r="F341" s="20" t="str">
        <x:v>边界</x:v>
      </x:c>
      <x:c r="G341" s="20" t="str">
        <x:v>RV5</x:v>
      </x:c>
      <x:c r="H341" s="20" t="str"/>
      <x:c r="I341" s="20" t="str">
        <x:v>完成event_id、source_id和反例检查。</x:v>
      </x:c>
      <x:c r="J341" s="20" t="str">
        <x:v>忽略接收方拒绝、安全事实或相反结果。</x:v>
      </x:c>
      <x:c r="K341" s="20" t="str">
        <x:v>由共享基础引擎提供；仅修正修复功能的承载、持续与压力占位，不直接等同是否愿意认错或能否修复。</x:v>
      </x:c>
      <x:c r="L341" s="20" t="str">
        <x:v>由M1／M2提供；夫妻星只说明伴侣原型与关系资格，不单独证明修复能力、修复意愿或修复结果。</x:v>
      </x:c>
      <x:c r="M341" s="20" t="str">
        <x:v>由M3-BASE提供；日支底盘说明亲密关系中自然调用的功能，但不能单独证明修复闭环。</x:v>
      </x:c>
      <x:c r="N341" s="20" t="str">
        <x:v>由M3-CONFLICT、M4-LOOP及现实事件提供；必须区分问题停止、责任承担、影响确认、行动改变、反馈整合与后续回访。</x:v>
      </x:c>
      <x:c r="O341" s="20" t="str">
        <x:v>由共享基础引擎判定；近位提高相关功能进入亲密关系核心的概率，远位只作背景或阶段修正。</x:v>
      </x:c>
      <x:c r="P341" s="20" t="str">
        <x:v>根气只修正某修复功能是否容易重复调用，不等于现实中已经持续改变。</x:v>
      </x:c>
      <x:c r="Q341" s="20" t="str">
        <x:v>旺弱只修正功能调用强度与占位，不直接等同修复质量、诚意或关系结果。</x:v>
      </x:c>
      <x:c r="R341" s="20" t="str">
        <x:v>喜忌只修正功能摩擦、平衡与承载，不直接等同道德、成熟、善恶或是否值得原谅。</x:v>
      </x:c>
      <x:c r="S341" s="20" t="str">
        <x:v>原十神功能有效；真合化成立时按化神功能替换，合化争议时停止定性。</x:v>
      </x:c>
      <x:c r="T341" s="20" t="str">
        <x:v>近位提高修复议题与亲密关系的直接相关性；远位仅保留背景、阶段或低置信修正。</x:v>
      </x:c>
      <x:c r="U341" s="20" t="str">
        <x:v>90</x:v>
      </x:c>
      <x:c r="V341" s="20" t="str">
        <x:v>可建立闭环候选</x:v>
      </x:c>
      <x:c r="W341" s="20" t="str">
        <x:v>repair_evidence_depth</x:v>
      </x:c>
      <x:c r="X341" s="20" t="str">
        <x:v>同一动作只能计一次基础证据。</x:v>
      </x:c>
      <x:c r="Y341" s="20" t="str">
        <x:v>同一件事即使在多个模块出现，也不能重复算成多份证据。</x:v>
      </x:c>
      <x:c r="Z34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1" s="20" t="str">
        <x:v>中高</x:v>
      </x:c>
      <x:c r="AB341" s="20" t="str">
        <x:v>待验证</x:v>
      </x:c>
      <x:c r="AC341" s="20" t="str"/>
      <x:c r="AD341" s="20" t="str">
        <x:v>provisional=true；M3-REPAIR尚未完成，完成条件为暂定功能模型。</x:v>
      </x:c>
      <x:c r="AE341" s="52" t="str">
        <x:v>0.7</x:v>
      </x:c>
    </x:row>
    <x:row r="342">
      <x:c r="A342" s="51" t="str">
        <x:v>M4-REPAIR-341</x:v>
      </x:c>
      <x:c r="B342" s="20" t="str">
        <x:v>RV6 跨时间回访与复发检验｜证据定义</x:v>
      </x:c>
      <x:c r="C342" s="20" t="str">
        <x:v>L6 现实证据深度</x:v>
      </x:c>
      <x:c r="D342" s="20" t="str">
        <x:v>REPAIR-证据深度</x:v>
      </x:c>
      <x:c r="E342" s="20" t="str">
        <x:v>通用</x:v>
      </x:c>
      <x:c r="F342" s="20" t="str">
        <x:v>定义</x:v>
      </x:c>
      <x:c r="G342" s="20" t="str">
        <x:v>RV6</x:v>
      </x:c>
      <x:c r="H342" s="20" t="str"/>
      <x:c r="I342" s="20" t="str">
        <x:v>修复后经历时间、相似触发或关系阶段变化仍能保持。</x:v>
      </x:c>
      <x:c r="J342" s="20" t="str">
        <x:v>把同一事件重复叙述当独立资料。</x:v>
      </x:c>
      <x:c r="K342" s="20" t="str">
        <x:v>由共享基础引擎提供；仅修正修复功能的承载、持续与压力占位，不直接等同是否愿意认错或能否修复。</x:v>
      </x:c>
      <x:c r="L342" s="20" t="str">
        <x:v>由M1／M2提供；夫妻星只说明伴侣原型与关系资格，不单独证明修复能力、修复意愿或修复结果。</x:v>
      </x:c>
      <x:c r="M342" s="20" t="str">
        <x:v>由M3-BASE提供；日支底盘说明亲密关系中自然调用的功能，但不能单独证明修复闭环。</x:v>
      </x:c>
      <x:c r="N342" s="20" t="str">
        <x:v>由M3-CONFLICT、M4-LOOP及现实事件提供；必须区分问题停止、责任承担、影响确认、行动改变、反馈整合与后续回访。</x:v>
      </x:c>
      <x:c r="O342" s="20" t="str">
        <x:v>由共享基础引擎判定；近位提高相关功能进入亲密关系核心的概率，远位只作背景或阶段修正。</x:v>
      </x:c>
      <x:c r="P342" s="20" t="str">
        <x:v>根气只修正某修复功能是否容易重复调用，不等于现实中已经持续改变。</x:v>
      </x:c>
      <x:c r="Q342" s="20" t="str">
        <x:v>旺弱只修正功能调用强度与占位，不直接等同修复质量、诚意或关系结果。</x:v>
      </x:c>
      <x:c r="R342" s="20" t="str">
        <x:v>喜忌只修正功能摩擦、平衡与承载，不直接等同道德、成熟、善恶或是否值得原谅。</x:v>
      </x:c>
      <x:c r="S342" s="20" t="str">
        <x:v>原十神功能有效；真合化成立时按化神功能替换，合化争议时停止定性。</x:v>
      </x:c>
      <x:c r="T342" s="20" t="str">
        <x:v>近位提高修复议题与亲密关系的直接相关性；远位仅保留背景、阶段或低置信修正。</x:v>
      </x:c>
      <x:c r="U342" s="20" t="str">
        <x:v>74</x:v>
      </x:c>
      <x:c r="V342" s="20" t="str">
        <x:v>支持较高置信修复闭环</x:v>
      </x:c>
      <x:c r="W342" s="20" t="str">
        <x:v>repair_evidence_depth</x:v>
      </x:c>
      <x:c r="X342" s="20" t="str">
        <x:v>RV描述现实修复资料深度，不是统计概率。</x:v>
      </x:c>
      <x:c r="Y342" s="20" t="str">
        <x:v>跨时间回访与复发检验：修复后经历时间、相似触发或关系阶段变化仍能保持。</x:v>
      </x:c>
      <x:c r="Z34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2" s="20" t="str">
        <x:v>中高</x:v>
      </x:c>
      <x:c r="AB342" s="20" t="str">
        <x:v>待验证</x:v>
      </x:c>
      <x:c r="AC342" s="20" t="str"/>
      <x:c r="AD342" s="20" t="str">
        <x:v>provisional=true；M3-REPAIR尚未完成，完成条件为暂定功能模型。</x:v>
      </x:c>
      <x:c r="AE342" s="52" t="str">
        <x:v>0.7</x:v>
      </x:c>
    </x:row>
    <x:row r="343">
      <x:c r="A343" s="51" t="str">
        <x:v>M4-REPAIR-342</x:v>
      </x:c>
      <x:c r="B343" s="20" t="str">
        <x:v>RV6 跨时间回访与复发检验｜发布上限</x:v>
      </x:c>
      <x:c r="C343" s="20" t="str">
        <x:v>L6 现实证据深度</x:v>
      </x:c>
      <x:c r="D343" s="20" t="str">
        <x:v>REPAIR-证据深度</x:v>
      </x:c>
      <x:c r="E343" s="20" t="str">
        <x:v>通用</x:v>
      </x:c>
      <x:c r="F343" s="20" t="str">
        <x:v>门控</x:v>
      </x:c>
      <x:c r="G343" s="20" t="str">
        <x:v>RV6</x:v>
      </x:c>
      <x:c r="H343" s="20" t="str"/>
      <x:c r="I343" s="20" t="str">
        <x:v>按该层级限制输出：支持较高置信修复闭环。</x:v>
      </x:c>
      <x:c r="J343" s="20" t="str">
        <x:v>由低证据层级越级写修复完成。</x:v>
      </x:c>
      <x:c r="K343" s="20" t="str">
        <x:v>由共享基础引擎提供；仅修正修复功能的承载、持续与压力占位，不直接等同是否愿意认错或能否修复。</x:v>
      </x:c>
      <x:c r="L343" s="20" t="str">
        <x:v>由M1／M2提供；夫妻星只说明伴侣原型与关系资格，不单独证明修复能力、修复意愿或修复结果。</x:v>
      </x:c>
      <x:c r="M343" s="20" t="str">
        <x:v>由M3-BASE提供；日支底盘说明亲密关系中自然调用的功能，但不能单独证明修复闭环。</x:v>
      </x:c>
      <x:c r="N343" s="20" t="str">
        <x:v>由M3-CONFLICT、M4-LOOP及现实事件提供；必须区分问题停止、责任承担、影响确认、行动改变、反馈整合与后续回访。</x:v>
      </x:c>
      <x:c r="O343" s="20" t="str">
        <x:v>由共享基础引擎判定；近位提高相关功能进入亲密关系核心的概率，远位只作背景或阶段修正。</x:v>
      </x:c>
      <x:c r="P343" s="20" t="str">
        <x:v>根气只修正某修复功能是否容易重复调用，不等于现实中已经持续改变。</x:v>
      </x:c>
      <x:c r="Q343" s="20" t="str">
        <x:v>旺弱只修正功能调用强度与占位，不直接等同修复质量、诚意或关系结果。</x:v>
      </x:c>
      <x:c r="R343" s="20" t="str">
        <x:v>喜忌只修正功能摩擦、平衡与承载，不直接等同道德、成熟、善恶或是否值得原谅。</x:v>
      </x:c>
      <x:c r="S343" s="20" t="str">
        <x:v>原十神功能有效；真合化成立时按化神功能替换，合化争议时停止定性。</x:v>
      </x:c>
      <x:c r="T343" s="20" t="str">
        <x:v>近位提高修复议题与亲密关系的直接相关性；远位仅保留背景、阶段或低置信修正。</x:v>
      </x:c>
      <x:c r="U343" s="20" t="str">
        <x:v>90</x:v>
      </x:c>
      <x:c r="V343" s="20" t="str">
        <x:v>支持较高置信修复闭环</x:v>
      </x:c>
      <x:c r="W343" s="20" t="str">
        <x:v>repair_evidence_depth</x:v>
      </x:c>
      <x:c r="X343" s="20" t="str">
        <x:v>发布强度必须与资料深度一致。</x:v>
      </x:c>
      <x:c r="Y343" s="20" t="str">
        <x:v>当前最多可以：支持较高置信修复闭环。</x:v>
      </x:c>
      <x:c r="Z34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3" s="20" t="str">
        <x:v>中高</x:v>
      </x:c>
      <x:c r="AB343" s="20" t="str">
        <x:v>待验证</x:v>
      </x:c>
      <x:c r="AC343" s="20" t="str"/>
      <x:c r="AD343" s="20" t="str">
        <x:v>provisional=true；M3-REPAIR尚未完成，完成条件为暂定功能模型。</x:v>
      </x:c>
      <x:c r="AE343" s="52" t="str">
        <x:v>0.7</x:v>
      </x:c>
    </x:row>
    <x:row r="344">
      <x:c r="A344" s="51" t="str">
        <x:v>M4-REPAIR-343</x:v>
      </x:c>
      <x:c r="B344" s="20" t="str">
        <x:v>RV6 跨时间回访与复发检验｜升级条件</x:v>
      </x:c>
      <x:c r="C344" s="20" t="str">
        <x:v>L6 现实证据深度</x:v>
      </x:c>
      <x:c r="D344" s="20" t="str">
        <x:v>REPAIR-证据深度</x:v>
      </x:c>
      <x:c r="E344" s="20" t="str">
        <x:v>通用</x:v>
      </x:c>
      <x:c r="F344" s="20" t="str">
        <x:v>证据</x:v>
      </x:c>
      <x:c r="G344" s="20" t="str">
        <x:v>RV6</x:v>
      </x:c>
      <x:c r="H344" s="20" t="str"/>
      <x:c r="I344" s="20" t="str">
        <x:v>升级需要：补充独立资料和反例。</x:v>
      </x:c>
      <x:c r="J344" s="20" t="str">
        <x:v>只有命盘分数或研究者推测。</x:v>
      </x:c>
      <x:c r="K344" s="20" t="str">
        <x:v>由共享基础引擎提供；仅修正修复功能的承载、持续与压力占位，不直接等同是否愿意认错或能否修复。</x:v>
      </x:c>
      <x:c r="L344" s="20" t="str">
        <x:v>由M1／M2提供；夫妻星只说明伴侣原型与关系资格，不单独证明修复能力、修复意愿或修复结果。</x:v>
      </x:c>
      <x:c r="M344" s="20" t="str">
        <x:v>由M3-BASE提供；日支底盘说明亲密关系中自然调用的功能，但不能单独证明修复闭环。</x:v>
      </x:c>
      <x:c r="N344" s="20" t="str">
        <x:v>由M3-CONFLICT、M4-LOOP及现实事件提供；必须区分问题停止、责任承担、影响确认、行动改变、反馈整合与后续回访。</x:v>
      </x:c>
      <x:c r="O344" s="20" t="str">
        <x:v>由共享基础引擎判定；近位提高相关功能进入亲密关系核心的概率，远位只作背景或阶段修正。</x:v>
      </x:c>
      <x:c r="P344" s="20" t="str">
        <x:v>根气只修正某修复功能是否容易重复调用，不等于现实中已经持续改变。</x:v>
      </x:c>
      <x:c r="Q344" s="20" t="str">
        <x:v>旺弱只修正功能调用强度与占位，不直接等同修复质量、诚意或关系结果。</x:v>
      </x:c>
      <x:c r="R344" s="20" t="str">
        <x:v>喜忌只修正功能摩擦、平衡与承载，不直接等同道德、成熟、善恶或是否值得原谅。</x:v>
      </x:c>
      <x:c r="S344" s="20" t="str">
        <x:v>原十神功能有效；真合化成立时按化神功能替换，合化争议时停止定性。</x:v>
      </x:c>
      <x:c r="T344" s="20" t="str">
        <x:v>近位提高修复议题与亲密关系的直接相关性；远位仅保留背景、阶段或低置信修正。</x:v>
      </x:c>
      <x:c r="U344" s="20" t="str">
        <x:v>74</x:v>
      </x:c>
      <x:c r="V344" s="20" t="str">
        <x:v>支持较高置信修复闭环</x:v>
      </x:c>
      <x:c r="W344" s="20" t="str">
        <x:v>repair_evidence_depth</x:v>
      </x:c>
      <x:c r="X344" s="20" t="str">
        <x:v>升级必须增加新的现实信息，不是重复加权。</x:v>
      </x:c>
      <x:c r="Y344" s="20" t="str">
        <x:v>下一步需要：补充独立资料和反例。</x:v>
      </x:c>
      <x:c r="Z34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4" s="20" t="str">
        <x:v>中高</x:v>
      </x:c>
      <x:c r="AB344" s="20" t="str">
        <x:v>待验证</x:v>
      </x:c>
      <x:c r="AC344" s="20" t="str"/>
      <x:c r="AD344" s="20" t="str">
        <x:v>provisional=true；M3-REPAIR尚未完成，完成条件为暂定功能模型。</x:v>
      </x:c>
      <x:c r="AE344" s="52" t="str">
        <x:v>0.7</x:v>
      </x:c>
    </x:row>
    <x:row r="345">
      <x:c r="A345" s="51" t="str">
        <x:v>M4-REPAIR-344</x:v>
      </x:c>
      <x:c r="B345" s="20" t="str">
        <x:v>RV6 跨时间回访与复发检验｜边界与去重</x:v>
      </x:c>
      <x:c r="C345" s="20" t="str">
        <x:v>L6 现实证据深度</x:v>
      </x:c>
      <x:c r="D345" s="20" t="str">
        <x:v>REPAIR-证据深度</x:v>
      </x:c>
      <x:c r="E345" s="20" t="str">
        <x:v>通用</x:v>
      </x:c>
      <x:c r="F345" s="20" t="str">
        <x:v>边界</x:v>
      </x:c>
      <x:c r="G345" s="20" t="str">
        <x:v>RV6</x:v>
      </x:c>
      <x:c r="H345" s="20" t="str"/>
      <x:c r="I345" s="20" t="str">
        <x:v>完成event_id、source_id和反例检查。</x:v>
      </x:c>
      <x:c r="J345" s="20" t="str">
        <x:v>忽略接收方拒绝、安全事实或相反结果。</x:v>
      </x:c>
      <x:c r="K345" s="20" t="str">
        <x:v>由共享基础引擎提供；仅修正修复功能的承载、持续与压力占位，不直接等同是否愿意认错或能否修复。</x:v>
      </x:c>
      <x:c r="L345" s="20" t="str">
        <x:v>由M1／M2提供；夫妻星只说明伴侣原型与关系资格，不单独证明修复能力、修复意愿或修复结果。</x:v>
      </x:c>
      <x:c r="M345" s="20" t="str">
        <x:v>由M3-BASE提供；日支底盘说明亲密关系中自然调用的功能，但不能单独证明修复闭环。</x:v>
      </x:c>
      <x:c r="N345" s="20" t="str">
        <x:v>由M3-CONFLICT、M4-LOOP及现实事件提供；必须区分问题停止、责任承担、影响确认、行动改变、反馈整合与后续回访。</x:v>
      </x:c>
      <x:c r="O345" s="20" t="str">
        <x:v>由共享基础引擎判定；近位提高相关功能进入亲密关系核心的概率，远位只作背景或阶段修正。</x:v>
      </x:c>
      <x:c r="P345" s="20" t="str">
        <x:v>根气只修正某修复功能是否容易重复调用，不等于现实中已经持续改变。</x:v>
      </x:c>
      <x:c r="Q345" s="20" t="str">
        <x:v>旺弱只修正功能调用强度与占位，不直接等同修复质量、诚意或关系结果。</x:v>
      </x:c>
      <x:c r="R345" s="20" t="str">
        <x:v>喜忌只修正功能摩擦、平衡与承载，不直接等同道德、成熟、善恶或是否值得原谅。</x:v>
      </x:c>
      <x:c r="S345" s="20" t="str">
        <x:v>原十神功能有效；真合化成立时按化神功能替换，合化争议时停止定性。</x:v>
      </x:c>
      <x:c r="T345" s="20" t="str">
        <x:v>近位提高修复议题与亲密关系的直接相关性；远位仅保留背景、阶段或低置信修正。</x:v>
      </x:c>
      <x:c r="U345" s="20" t="str">
        <x:v>90</x:v>
      </x:c>
      <x:c r="V345" s="20" t="str">
        <x:v>支持较高置信修复闭环</x:v>
      </x:c>
      <x:c r="W345" s="20" t="str">
        <x:v>repair_evidence_depth</x:v>
      </x:c>
      <x:c r="X345" s="20" t="str">
        <x:v>同一动作只能计一次基础证据。</x:v>
      </x:c>
      <x:c r="Y345" s="20" t="str">
        <x:v>同一件事即使在多个模块出现，也不能重复算成多份证据。</x:v>
      </x:c>
      <x:c r="Z34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5" s="20" t="str">
        <x:v>中高</x:v>
      </x:c>
      <x:c r="AB345" s="20" t="str">
        <x:v>待验证</x:v>
      </x:c>
      <x:c r="AC345" s="20" t="str"/>
      <x:c r="AD345" s="20" t="str">
        <x:v>provisional=true；M3-REPAIR尚未完成，完成条件为暂定功能模型。</x:v>
      </x:c>
      <x:c r="AE345" s="52" t="str">
        <x:v>0.7</x:v>
      </x:c>
    </x:row>
    <x:row r="346">
      <x:c r="A346" s="51" t="str">
        <x:v>M4-REPAIR-345</x:v>
      </x:c>
      <x:c r="B346" s="20" t="str">
        <x:v>RV7 独立佐证与反例审查｜证据定义</x:v>
      </x:c>
      <x:c r="C346" s="20" t="str">
        <x:v>L6 现实证据深度</x:v>
      </x:c>
      <x:c r="D346" s="20" t="str">
        <x:v>REPAIR-证据深度</x:v>
      </x:c>
      <x:c r="E346" s="20" t="str">
        <x:v>通用</x:v>
      </x:c>
      <x:c r="F346" s="20" t="str">
        <x:v>定义</x:v>
      </x:c>
      <x:c r="G346" s="20" t="str">
        <x:v>RV7</x:v>
      </x:c>
      <x:c r="H346" s="20" t="str"/>
      <x:c r="I346" s="20" t="str">
        <x:v>有伴侣反馈、记录或咨询资料，并主动检查失败和成功反例。</x:v>
      </x:c>
      <x:c r="J346" s="20" t="str">
        <x:v>把同一事件重复叙述当独立资料。</x:v>
      </x:c>
      <x:c r="K346" s="20" t="str">
        <x:v>由共享基础引擎提供；仅修正修复功能的承载、持续与压力占位，不直接等同是否愿意认错或能否修复。</x:v>
      </x:c>
      <x:c r="L346" s="20" t="str">
        <x:v>由M1／M2提供；夫妻星只说明伴侣原型与关系资格，不单独证明修复能力、修复意愿或修复结果。</x:v>
      </x:c>
      <x:c r="M346" s="20" t="str">
        <x:v>由M3-BASE提供；日支底盘说明亲密关系中自然调用的功能，但不能单独证明修复闭环。</x:v>
      </x:c>
      <x:c r="N346" s="20" t="str">
        <x:v>由M3-CONFLICT、M4-LOOP及现实事件提供；必须区分问题停止、责任承担、影响确认、行动改变、反馈整合与后续回访。</x:v>
      </x:c>
      <x:c r="O346" s="20" t="str">
        <x:v>由共享基础引擎判定；近位提高相关功能进入亲密关系核心的概率，远位只作背景或阶段修正。</x:v>
      </x:c>
      <x:c r="P346" s="20" t="str">
        <x:v>根气只修正某修复功能是否容易重复调用，不等于现实中已经持续改变。</x:v>
      </x:c>
      <x:c r="Q346" s="20" t="str">
        <x:v>旺弱只修正功能调用强度与占位，不直接等同修复质量、诚意或关系结果。</x:v>
      </x:c>
      <x:c r="R346" s="20" t="str">
        <x:v>喜忌只修正功能摩擦、平衡与承载，不直接等同道德、成熟、善恶或是否值得原谅。</x:v>
      </x:c>
      <x:c r="S346" s="20" t="str">
        <x:v>原十神功能有效；真合化成立时按化神功能替换，合化争议时停止定性。</x:v>
      </x:c>
      <x:c r="T346" s="20" t="str">
        <x:v>近位提高修复议题与亲密关系的直接相关性；远位仅保留背景、阶段或低置信修正。</x:v>
      </x:c>
      <x:c r="U346" s="20" t="str">
        <x:v>74</x:v>
      </x:c>
      <x:c r="V346" s="20" t="str">
        <x:v>可进入E4／持续修复审查</x:v>
      </x:c>
      <x:c r="W346" s="20" t="str">
        <x:v>repair_evidence_depth</x:v>
      </x:c>
      <x:c r="X346" s="20" t="str">
        <x:v>RV描述现实修复资料深度，不是统计概率。</x:v>
      </x:c>
      <x:c r="Y346" s="20" t="str">
        <x:v>独立佐证与反例审查：有伴侣反馈、记录或咨询资料，并主动检查失败和成功反例。</x:v>
      </x:c>
      <x:c r="Z34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6" s="20" t="str">
        <x:v>中高</x:v>
      </x:c>
      <x:c r="AB346" s="20" t="str">
        <x:v>待验证</x:v>
      </x:c>
      <x:c r="AC346" s="20" t="str"/>
      <x:c r="AD346" s="20" t="str">
        <x:v>provisional=true；M3-REPAIR尚未完成，完成条件为暂定功能模型。</x:v>
      </x:c>
      <x:c r="AE346" s="52" t="str">
        <x:v>0.7</x:v>
      </x:c>
    </x:row>
    <x:row r="347">
      <x:c r="A347" s="51" t="str">
        <x:v>M4-REPAIR-346</x:v>
      </x:c>
      <x:c r="B347" s="20" t="str">
        <x:v>RV7 独立佐证与反例审查｜发布上限</x:v>
      </x:c>
      <x:c r="C347" s="20" t="str">
        <x:v>L6 现实证据深度</x:v>
      </x:c>
      <x:c r="D347" s="20" t="str">
        <x:v>REPAIR-证据深度</x:v>
      </x:c>
      <x:c r="E347" s="20" t="str">
        <x:v>通用</x:v>
      </x:c>
      <x:c r="F347" s="20" t="str">
        <x:v>门控</x:v>
      </x:c>
      <x:c r="G347" s="20" t="str">
        <x:v>RV7</x:v>
      </x:c>
      <x:c r="H347" s="20" t="str"/>
      <x:c r="I347" s="20" t="str">
        <x:v>按该层级限制输出：可进入E4／持续修复审查。</x:v>
      </x:c>
      <x:c r="J347" s="20" t="str">
        <x:v>由低证据层级越级写修复完成。</x:v>
      </x:c>
      <x:c r="K347" s="20" t="str">
        <x:v>由共享基础引擎提供；仅修正修复功能的承载、持续与压力占位，不直接等同是否愿意认错或能否修复。</x:v>
      </x:c>
      <x:c r="L347" s="20" t="str">
        <x:v>由M1／M2提供；夫妻星只说明伴侣原型与关系资格，不单独证明修复能力、修复意愿或修复结果。</x:v>
      </x:c>
      <x:c r="M347" s="20" t="str">
        <x:v>由M3-BASE提供；日支底盘说明亲密关系中自然调用的功能，但不能单独证明修复闭环。</x:v>
      </x:c>
      <x:c r="N347" s="20" t="str">
        <x:v>由M3-CONFLICT、M4-LOOP及现实事件提供；必须区分问题停止、责任承担、影响确认、行动改变、反馈整合与后续回访。</x:v>
      </x:c>
      <x:c r="O347" s="20" t="str">
        <x:v>由共享基础引擎判定；近位提高相关功能进入亲密关系核心的概率，远位只作背景或阶段修正。</x:v>
      </x:c>
      <x:c r="P347" s="20" t="str">
        <x:v>根气只修正某修复功能是否容易重复调用，不等于现实中已经持续改变。</x:v>
      </x:c>
      <x:c r="Q347" s="20" t="str">
        <x:v>旺弱只修正功能调用强度与占位，不直接等同修复质量、诚意或关系结果。</x:v>
      </x:c>
      <x:c r="R347" s="20" t="str">
        <x:v>喜忌只修正功能摩擦、平衡与承载，不直接等同道德、成熟、善恶或是否值得原谅。</x:v>
      </x:c>
      <x:c r="S347" s="20" t="str">
        <x:v>原十神功能有效；真合化成立时按化神功能替换，合化争议时停止定性。</x:v>
      </x:c>
      <x:c r="T347" s="20" t="str">
        <x:v>近位提高修复议题与亲密关系的直接相关性；远位仅保留背景、阶段或低置信修正。</x:v>
      </x:c>
      <x:c r="U347" s="20" t="str">
        <x:v>90</x:v>
      </x:c>
      <x:c r="V347" s="20" t="str">
        <x:v>可进入E4／持续修复审查</x:v>
      </x:c>
      <x:c r="W347" s="20" t="str">
        <x:v>repair_evidence_depth</x:v>
      </x:c>
      <x:c r="X347" s="20" t="str">
        <x:v>发布强度必须与资料深度一致。</x:v>
      </x:c>
      <x:c r="Y347" s="20" t="str">
        <x:v>当前最多可以：可进入E4／持续修复审查。</x:v>
      </x:c>
      <x:c r="Z34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7" s="20" t="str">
        <x:v>中高</x:v>
      </x:c>
      <x:c r="AB347" s="20" t="str">
        <x:v>待验证</x:v>
      </x:c>
      <x:c r="AC347" s="20" t="str"/>
      <x:c r="AD347" s="20" t="str">
        <x:v>provisional=true；M3-REPAIR尚未完成，完成条件为暂定功能模型。</x:v>
      </x:c>
      <x:c r="AE347" s="52" t="str">
        <x:v>0.7</x:v>
      </x:c>
    </x:row>
    <x:row r="348">
      <x:c r="A348" s="51" t="str">
        <x:v>M4-REPAIR-347</x:v>
      </x:c>
      <x:c r="B348" s="20" t="str">
        <x:v>RV7 独立佐证与反例审查｜升级条件</x:v>
      </x:c>
      <x:c r="C348" s="20" t="str">
        <x:v>L6 现实证据深度</x:v>
      </x:c>
      <x:c r="D348" s="20" t="str">
        <x:v>REPAIR-证据深度</x:v>
      </x:c>
      <x:c r="E348" s="20" t="str">
        <x:v>通用</x:v>
      </x:c>
      <x:c r="F348" s="20" t="str">
        <x:v>证据</x:v>
      </x:c>
      <x:c r="G348" s="20" t="str">
        <x:v>RV7</x:v>
      </x:c>
      <x:c r="H348" s="20" t="str"/>
      <x:c r="I348" s="20" t="str">
        <x:v>升级需要：仍不得推断必须原谅或关系结果。</x:v>
      </x:c>
      <x:c r="J348" s="20" t="str">
        <x:v>只有命盘分数或研究者推测。</x:v>
      </x:c>
      <x:c r="K348" s="20" t="str">
        <x:v>由共享基础引擎提供；仅修正修复功能的承载、持续与压力占位，不直接等同是否愿意认错或能否修复。</x:v>
      </x:c>
      <x:c r="L348" s="20" t="str">
        <x:v>由M1／M2提供；夫妻星只说明伴侣原型与关系资格，不单独证明修复能力、修复意愿或修复结果。</x:v>
      </x:c>
      <x:c r="M348" s="20" t="str">
        <x:v>由M3-BASE提供；日支底盘说明亲密关系中自然调用的功能，但不能单独证明修复闭环。</x:v>
      </x:c>
      <x:c r="N348" s="20" t="str">
        <x:v>由M3-CONFLICT、M4-LOOP及现实事件提供；必须区分问题停止、责任承担、影响确认、行动改变、反馈整合与后续回访。</x:v>
      </x:c>
      <x:c r="O348" s="20" t="str">
        <x:v>由共享基础引擎判定；近位提高相关功能进入亲密关系核心的概率，远位只作背景或阶段修正。</x:v>
      </x:c>
      <x:c r="P348" s="20" t="str">
        <x:v>根气只修正某修复功能是否容易重复调用，不等于现实中已经持续改变。</x:v>
      </x:c>
      <x:c r="Q348" s="20" t="str">
        <x:v>旺弱只修正功能调用强度与占位，不直接等同修复质量、诚意或关系结果。</x:v>
      </x:c>
      <x:c r="R348" s="20" t="str">
        <x:v>喜忌只修正功能摩擦、平衡与承载，不直接等同道德、成熟、善恶或是否值得原谅。</x:v>
      </x:c>
      <x:c r="S348" s="20" t="str">
        <x:v>原十神功能有效；真合化成立时按化神功能替换，合化争议时停止定性。</x:v>
      </x:c>
      <x:c r="T348" s="20" t="str">
        <x:v>近位提高修复议题与亲密关系的直接相关性；远位仅保留背景、阶段或低置信修正。</x:v>
      </x:c>
      <x:c r="U348" s="20" t="str">
        <x:v>74</x:v>
      </x:c>
      <x:c r="V348" s="20" t="str">
        <x:v>可进入E4／持续修复审查</x:v>
      </x:c>
      <x:c r="W348" s="20" t="str">
        <x:v>repair_evidence_depth</x:v>
      </x:c>
      <x:c r="X348" s="20" t="str">
        <x:v>升级必须增加新的现实信息，不是重复加权。</x:v>
      </x:c>
      <x:c r="Y348" s="20" t="str">
        <x:v>下一步需要：仍不得推断必须原谅或关系结果。</x:v>
      </x:c>
      <x:c r="Z34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8" s="20" t="str">
        <x:v>中高</x:v>
      </x:c>
      <x:c r="AB348" s="20" t="str">
        <x:v>待验证</x:v>
      </x:c>
      <x:c r="AC348" s="20" t="str"/>
      <x:c r="AD348" s="20" t="str">
        <x:v>provisional=true；M3-REPAIR尚未完成，完成条件为暂定功能模型。</x:v>
      </x:c>
      <x:c r="AE348" s="52" t="str">
        <x:v>0.7</x:v>
      </x:c>
    </x:row>
    <x:row r="349">
      <x:c r="A349" s="51" t="str">
        <x:v>M4-REPAIR-348</x:v>
      </x:c>
      <x:c r="B349" s="20" t="str">
        <x:v>RV7 独立佐证与反例审查｜边界与去重</x:v>
      </x:c>
      <x:c r="C349" s="20" t="str">
        <x:v>L6 现实证据深度</x:v>
      </x:c>
      <x:c r="D349" s="20" t="str">
        <x:v>REPAIR-证据深度</x:v>
      </x:c>
      <x:c r="E349" s="20" t="str">
        <x:v>通用</x:v>
      </x:c>
      <x:c r="F349" s="20" t="str">
        <x:v>边界</x:v>
      </x:c>
      <x:c r="G349" s="20" t="str">
        <x:v>RV7</x:v>
      </x:c>
      <x:c r="H349" s="20" t="str"/>
      <x:c r="I349" s="20" t="str">
        <x:v>完成event_id、source_id和反例检查。</x:v>
      </x:c>
      <x:c r="J349" s="20" t="str">
        <x:v>忽略接收方拒绝、安全事实或相反结果。</x:v>
      </x:c>
      <x:c r="K349" s="20" t="str">
        <x:v>由共享基础引擎提供；仅修正修复功能的承载、持续与压力占位，不直接等同是否愿意认错或能否修复。</x:v>
      </x:c>
      <x:c r="L349" s="20" t="str">
        <x:v>由M1／M2提供；夫妻星只说明伴侣原型与关系资格，不单独证明修复能力、修复意愿或修复结果。</x:v>
      </x:c>
      <x:c r="M349" s="20" t="str">
        <x:v>由M3-BASE提供；日支底盘说明亲密关系中自然调用的功能，但不能单独证明修复闭环。</x:v>
      </x:c>
      <x:c r="N349" s="20" t="str">
        <x:v>由M3-CONFLICT、M4-LOOP及现实事件提供；必须区分问题停止、责任承担、影响确认、行动改变、反馈整合与后续回访。</x:v>
      </x:c>
      <x:c r="O349" s="20" t="str">
        <x:v>由共享基础引擎判定；近位提高相关功能进入亲密关系核心的概率，远位只作背景或阶段修正。</x:v>
      </x:c>
      <x:c r="P349" s="20" t="str">
        <x:v>根气只修正某修复功能是否容易重复调用，不等于现实中已经持续改变。</x:v>
      </x:c>
      <x:c r="Q349" s="20" t="str">
        <x:v>旺弱只修正功能调用强度与占位，不直接等同修复质量、诚意或关系结果。</x:v>
      </x:c>
      <x:c r="R349" s="20" t="str">
        <x:v>喜忌只修正功能摩擦、平衡与承载，不直接等同道德、成熟、善恶或是否值得原谅。</x:v>
      </x:c>
      <x:c r="S349" s="20" t="str">
        <x:v>原十神功能有效；真合化成立时按化神功能替换，合化争议时停止定性。</x:v>
      </x:c>
      <x:c r="T349" s="20" t="str">
        <x:v>近位提高修复议题与亲密关系的直接相关性；远位仅保留背景、阶段或低置信修正。</x:v>
      </x:c>
      <x:c r="U349" s="20" t="str">
        <x:v>90</x:v>
      </x:c>
      <x:c r="V349" s="20" t="str">
        <x:v>可进入E4／持续修复审查</x:v>
      </x:c>
      <x:c r="W349" s="20" t="str">
        <x:v>repair_evidence_depth</x:v>
      </x:c>
      <x:c r="X349" s="20" t="str">
        <x:v>同一动作只能计一次基础证据。</x:v>
      </x:c>
      <x:c r="Y349" s="20" t="str">
        <x:v>同一件事即使在多个模块出现，也不能重复算成多份证据。</x:v>
      </x:c>
      <x:c r="Z34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49" s="20" t="str">
        <x:v>中高</x:v>
      </x:c>
      <x:c r="AB349" s="20" t="str">
        <x:v>待验证</x:v>
      </x:c>
      <x:c r="AC349" s="20" t="str"/>
      <x:c r="AD349" s="20" t="str">
        <x:v>provisional=true；M3-REPAIR尚未完成，完成条件为暂定功能模型。</x:v>
      </x:c>
      <x:c r="AE349" s="52" t="str">
        <x:v>0.7</x:v>
      </x:c>
    </x:row>
    <x:row r="350">
      <x:c r="A350" s="51" t="str">
        <x:v>M4-REPAIR-349</x:v>
      </x:c>
      <x:c r="B350" s="20" t="str">
        <x:v>RS0 资料不足／停止｜状态定义</x:v>
      </x:c>
      <x:c r="C350" s="20" t="str">
        <x:v>L7 修复状态与完成层级</x:v>
      </x:c>
      <x:c r="D350" s="20" t="str">
        <x:v>REPAIR-修复状态</x:v>
      </x:c>
      <x:c r="E350" s="20" t="str">
        <x:v>通用</x:v>
      </x:c>
      <x:c r="F350" s="20" t="str">
        <x:v>定义</x:v>
      </x:c>
      <x:c r="G350" s="20" t="str">
        <x:v>RS0</x:v>
      </x:c>
      <x:c r="H350" s="20" t="str"/>
      <x:c r="I350" s="20" t="str">
        <x:v>无法确认修复是否启动，或安全门控要求停止普通分析。</x:v>
      </x:c>
      <x:c r="J350" s="20" t="str">
        <x:v>用命盘或单一动作越级判断。</x:v>
      </x:c>
      <x:c r="K350" s="20" t="str">
        <x:v>由共享基础引擎提供；仅修正修复功能的承载、持续与压力占位，不直接等同是否愿意认错或能否修复。</x:v>
      </x:c>
      <x:c r="L350" s="20" t="str">
        <x:v>由M1／M2提供；夫妻星只说明伴侣原型与关系资格，不单独证明修复能力、修复意愿或修复结果。</x:v>
      </x:c>
      <x:c r="M350" s="20" t="str">
        <x:v>由M3-BASE提供；日支底盘说明亲密关系中自然调用的功能，但不能单独证明修复闭环。</x:v>
      </x:c>
      <x:c r="N350" s="20" t="str">
        <x:v>由M3-CONFLICT、M4-LOOP及现实事件提供；必须区分问题停止、责任承担、影响确认、行动改变、反馈整合与后续回访。</x:v>
      </x:c>
      <x:c r="O350" s="20" t="str">
        <x:v>由共享基础引擎判定；近位提高相关功能进入亲密关系核心的概率，远位只作背景或阶段修正。</x:v>
      </x:c>
      <x:c r="P350" s="20" t="str">
        <x:v>根气只修正某修复功能是否容易重复调用，不等于现实中已经持续改变。</x:v>
      </x:c>
      <x:c r="Q350" s="20" t="str">
        <x:v>旺弱只修正功能调用强度与占位，不直接等同修复质量、诚意或关系结果。</x:v>
      </x:c>
      <x:c r="R350" s="20" t="str">
        <x:v>喜忌只修正功能摩擦、平衡与承载，不直接等同道德、成熟、善恶或是否值得原谅。</x:v>
      </x:c>
      <x:c r="S350" s="20" t="str">
        <x:v>原十神功能有效；真合化成立时按化神功能替换，合化争议时停止定性。</x:v>
      </x:c>
      <x:c r="T350" s="20" t="str">
        <x:v>近位提高修复议题与亲密关系的直接相关性；远位仅保留背景、阶段或低置信修正。</x:v>
      </x:c>
      <x:c r="U350" s="20" t="str">
        <x:v>76</x:v>
      </x:c>
      <x:c r="V350" s="20" t="str">
        <x:v>状态路由，不单独增加命理分</x:v>
      </x:c>
      <x:c r="W350" s="20" t="str">
        <x:v>repair_status</x:v>
      </x:c>
      <x:c r="X350" s="20" t="str">
        <x:v>RS状态描述现实修复进度，不评价关系好坏。</x:v>
      </x:c>
      <x:c r="Y350" s="20" t="str">
        <x:v>当前不能判断修复状态。</x:v>
      </x:c>
      <x:c r="Z35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0" s="20" t="str">
        <x:v>中高</x:v>
      </x:c>
      <x:c r="AB350" s="20" t="str">
        <x:v>待验证</x:v>
      </x:c>
      <x:c r="AC350" s="20" t="str"/>
      <x:c r="AD350" s="20" t="str">
        <x:v>provisional=true；M3-REPAIR尚未完成，完成条件为暂定功能模型。</x:v>
      </x:c>
      <x:c r="AE350" s="52" t="str">
        <x:v>0.7</x:v>
      </x:c>
    </x:row>
    <x:row r="351">
      <x:c r="A351" s="51" t="str">
        <x:v>M4-REPAIR-350</x:v>
      </x:c>
      <x:c r="B351" s="20" t="str">
        <x:v>RS0 资料不足／停止｜进入条件</x:v>
      </x:c>
      <x:c r="C351" s="20" t="str">
        <x:v>L7 修复状态与完成层级</x:v>
      </x:c>
      <x:c r="D351" s="20" t="str">
        <x:v>REPAIR-修复状态</x:v>
      </x:c>
      <x:c r="E351" s="20" t="str">
        <x:v>通用</x:v>
      </x:c>
      <x:c r="F351" s="20" t="str">
        <x:v>门槛</x:v>
      </x:c>
      <x:c r="G351" s="20" t="str">
        <x:v>RS0</x:v>
      </x:c>
      <x:c r="H351" s="20" t="str"/>
      <x:c r="I351" s="20" t="str">
        <x:v>没有具体事件或存在安全风险。</x:v>
      </x:c>
      <x:c r="J351" s="20" t="str">
        <x:v>必要现实证据缺失。</x:v>
      </x:c>
      <x:c r="K351" s="20" t="str">
        <x:v>由共享基础引擎提供；仅修正修复功能的承载、持续与压力占位，不直接等同是否愿意认错或能否修复。</x:v>
      </x:c>
      <x:c r="L351" s="20" t="str">
        <x:v>由M1／M2提供；夫妻星只说明伴侣原型与关系资格，不单独证明修复能力、修复意愿或修复结果。</x:v>
      </x:c>
      <x:c r="M351" s="20" t="str">
        <x:v>由M3-BASE提供；日支底盘说明亲密关系中自然调用的功能，但不能单独证明修复闭环。</x:v>
      </x:c>
      <x:c r="N351" s="20" t="str">
        <x:v>由M3-CONFLICT、M4-LOOP及现实事件提供；必须区分问题停止、责任承担、影响确认、行动改变、反馈整合与后续回访。</x:v>
      </x:c>
      <x:c r="O351" s="20" t="str">
        <x:v>由共享基础引擎判定；近位提高相关功能进入亲密关系核心的概率，远位只作背景或阶段修正。</x:v>
      </x:c>
      <x:c r="P351" s="20" t="str">
        <x:v>根气只修正某修复功能是否容易重复调用，不等于现实中已经持续改变。</x:v>
      </x:c>
      <x:c r="Q351" s="20" t="str">
        <x:v>旺弱只修正功能调用强度与占位，不直接等同修复质量、诚意或关系结果。</x:v>
      </x:c>
      <x:c r="R351" s="20" t="str">
        <x:v>喜忌只修正功能摩擦、平衡与承载，不直接等同道德、成熟、善恶或是否值得原谅。</x:v>
      </x:c>
      <x:c r="S351" s="20" t="str">
        <x:v>原十神功能有效；真合化成立时按化神功能替换，合化争议时停止定性。</x:v>
      </x:c>
      <x:c r="T351" s="20" t="str">
        <x:v>近位提高修复议题与亲密关系的直接相关性；远位仅保留背景、阶段或低置信修正。</x:v>
      </x:c>
      <x:c r="U351" s="20" t="str">
        <x:v>92</x:v>
      </x:c>
      <x:c r="V351" s="20" t="str">
        <x:v>状态路由，不单独增加命理分</x:v>
      </x:c>
      <x:c r="W351" s="20" t="str">
        <x:v>repair_status</x:v>
      </x:c>
      <x:c r="X351" s="20" t="str">
        <x:v>进入条件必须由事件节点和证据深度支持。</x:v>
      </x:c>
      <x:c r="Y351" s="20" t="str">
        <x:v>判断这一状态需要看到：没有具体事件或存在安全风险。</x:v>
      </x:c>
      <x:c r="Z35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1" s="20" t="str">
        <x:v>中高</x:v>
      </x:c>
      <x:c r="AB351" s="20" t="str">
        <x:v>待验证</x:v>
      </x:c>
      <x:c r="AC351" s="20" t="str"/>
      <x:c r="AD351" s="20" t="str">
        <x:v>provisional=true；M3-REPAIR尚未完成，完成条件为暂定功能模型。</x:v>
      </x:c>
      <x:c r="AE351" s="52" t="str">
        <x:v>0.7</x:v>
      </x:c>
    </x:row>
    <x:row r="352">
      <x:c r="A352" s="51" t="str">
        <x:v>M4-REPAIR-351</x:v>
      </x:c>
      <x:c r="B352" s="20" t="str">
        <x:v>RS0 资料不足／停止｜输出语言</x:v>
      </x:c>
      <x:c r="C352" s="20" t="str">
        <x:v>L7 修复状态与完成层级</x:v>
      </x:c>
      <x:c r="D352" s="20" t="str">
        <x:v>REPAIR-修复状态</x:v>
      </x:c>
      <x:c r="E352" s="20" t="str">
        <x:v>通用</x:v>
      </x:c>
      <x:c r="F352" s="20" t="str">
        <x:v>输出</x:v>
      </x:c>
      <x:c r="G352" s="20" t="str">
        <x:v>RS0</x:v>
      </x:c>
      <x:c r="H352" s="20" t="str"/>
      <x:c r="I352" s="20" t="str">
        <x:v>该状态已通过去重、反例和安全检查。</x:v>
      </x:c>
      <x:c r="J352" s="20" t="str">
        <x:v>混淆修复状态与原谅、复合或关系结果。</x:v>
      </x:c>
      <x:c r="K352" s="20" t="str">
        <x:v>由共享基础引擎提供；仅修正修复功能的承载、持续与压力占位，不直接等同是否愿意认错或能否修复。</x:v>
      </x:c>
      <x:c r="L352" s="20" t="str">
        <x:v>由M1／M2提供；夫妻星只说明伴侣原型与关系资格，不单独证明修复能力、修复意愿或修复结果。</x:v>
      </x:c>
      <x:c r="M352" s="20" t="str">
        <x:v>由M3-BASE提供；日支底盘说明亲密关系中自然调用的功能，但不能单独证明修复闭环。</x:v>
      </x:c>
      <x:c r="N352" s="20" t="str">
        <x:v>由M3-CONFLICT、M4-LOOP及现实事件提供；必须区分问题停止、责任承担、影响确认、行动改变、反馈整合与后续回访。</x:v>
      </x:c>
      <x:c r="O352" s="20" t="str">
        <x:v>由共享基础引擎判定；近位提高相关功能进入亲密关系核心的概率，远位只作背景或阶段修正。</x:v>
      </x:c>
      <x:c r="P352" s="20" t="str">
        <x:v>根气只修正某修复功能是否容易重复调用，不等于现实中已经持续改变。</x:v>
      </x:c>
      <x:c r="Q352" s="20" t="str">
        <x:v>旺弱只修正功能调用强度与占位，不直接等同修复质量、诚意或关系结果。</x:v>
      </x:c>
      <x:c r="R352" s="20" t="str">
        <x:v>喜忌只修正功能摩擦、平衡与承载，不直接等同道德、成熟、善恶或是否值得原谅。</x:v>
      </x:c>
      <x:c r="S352" s="20" t="str">
        <x:v>原十神功能有效；真合化成立时按化神功能替换，合化争议时停止定性。</x:v>
      </x:c>
      <x:c r="T352" s="20" t="str">
        <x:v>近位提高修复议题与亲密关系的直接相关性；远位仅保留背景、阶段或低置信修正。</x:v>
      </x:c>
      <x:c r="U352" s="20" t="str">
        <x:v>76</x:v>
      </x:c>
      <x:c r="V352" s="20" t="str">
        <x:v>状态路由，不单独增加命理分</x:v>
      </x:c>
      <x:c r="W352" s="20" t="str">
        <x:v>repair_status</x:v>
      </x:c>
      <x:c r="X352" s="20" t="str">
        <x:v>输出需同时说明完成和未完成部分。</x:v>
      </x:c>
      <x:c r="Y352" s="20" t="str">
        <x:v>当前不能判断修复状态。</x:v>
      </x:c>
      <x:c r="Z35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2" s="20" t="str">
        <x:v>中高</x:v>
      </x:c>
      <x:c r="AB352" s="20" t="str">
        <x:v>待验证</x:v>
      </x:c>
      <x:c r="AC352" s="20" t="str"/>
      <x:c r="AD352" s="20" t="str">
        <x:v>provisional=true；M3-REPAIR尚未完成，完成条件为暂定功能模型。</x:v>
      </x:c>
      <x:c r="AE352" s="52" t="str">
        <x:v>0.7</x:v>
      </x:c>
    </x:row>
    <x:row r="353">
      <x:c r="A353" s="51" t="str">
        <x:v>M4-REPAIR-352</x:v>
      </x:c>
      <x:c r="B353" s="20" t="str">
        <x:v>RS0 资料不足／停止｜升级／停止边界</x:v>
      </x:c>
      <x:c r="C353" s="20" t="str">
        <x:v>L7 修复状态与完成层级</x:v>
      </x:c>
      <x:c r="D353" s="20" t="str">
        <x:v>REPAIR-修复状态</x:v>
      </x:c>
      <x:c r="E353" s="20" t="str">
        <x:v>通用</x:v>
      </x:c>
      <x:c r="F353" s="20" t="str">
        <x:v>边界</x:v>
      </x:c>
      <x:c r="G353" s="20" t="str">
        <x:v>RS0</x:v>
      </x:c>
      <x:c r="H353" s="20" t="str"/>
      <x:c r="I353" s="20" t="str">
        <x:v>只有新增现实节点、持续行为或接收反馈才能升级。</x:v>
      </x:c>
      <x:c r="J353" s="20" t="str">
        <x:v>靠命理分值、一次情绪或道歉标签升级。</x:v>
      </x:c>
      <x:c r="K353" s="20" t="str">
        <x:v>由共享基础引擎提供；仅修正修复功能的承载、持续与压力占位，不直接等同是否愿意认错或能否修复。</x:v>
      </x:c>
      <x:c r="L353" s="20" t="str">
        <x:v>由M1／M2提供；夫妻星只说明伴侣原型与关系资格，不单独证明修复能力、修复意愿或修复结果。</x:v>
      </x:c>
      <x:c r="M353" s="20" t="str">
        <x:v>由M3-BASE提供；日支底盘说明亲密关系中自然调用的功能，但不能单独证明修复闭环。</x:v>
      </x:c>
      <x:c r="N353" s="20" t="str">
        <x:v>由M3-CONFLICT、M4-LOOP及现实事件提供；必须区分问题停止、责任承担、影响确认、行动改变、反馈整合与后续回访。</x:v>
      </x:c>
      <x:c r="O353" s="20" t="str">
        <x:v>由共享基础引擎判定；近位提高相关功能进入亲密关系核心的概率，远位只作背景或阶段修正。</x:v>
      </x:c>
      <x:c r="P353" s="20" t="str">
        <x:v>根气只修正某修复功能是否容易重复调用，不等于现实中已经持续改变。</x:v>
      </x:c>
      <x:c r="Q353" s="20" t="str">
        <x:v>旺弱只修正功能调用强度与占位，不直接等同修复质量、诚意或关系结果。</x:v>
      </x:c>
      <x:c r="R353" s="20" t="str">
        <x:v>喜忌只修正功能摩擦、平衡与承载，不直接等同道德、成熟、善恶或是否值得原谅。</x:v>
      </x:c>
      <x:c r="S353" s="20" t="str">
        <x:v>原十神功能有效；真合化成立时按化神功能替换，合化争议时停止定性。</x:v>
      </x:c>
      <x:c r="T353" s="20" t="str">
        <x:v>近位提高修复议题与亲密关系的直接相关性；远位仅保留背景、阶段或低置信修正。</x:v>
      </x:c>
      <x:c r="U353" s="20" t="str">
        <x:v>92</x:v>
      </x:c>
      <x:c r="V353" s="20" t="str">
        <x:v>状态路由，不单独增加命理分</x:v>
      </x:c>
      <x:c r="W353" s="20" t="str">
        <x:v>repair_status</x:v>
      </x:c>
      <x:c r="X353" s="20" t="str">
        <x:v>RS状态升级依赖现实过程。</x:v>
      </x:c>
      <x:c r="Y353" s="20" t="str">
        <x:v>状态变化要由新的现实证据推动，不能只靠结构推测。</x:v>
      </x:c>
      <x:c r="Z35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3" s="20" t="str">
        <x:v>中高</x:v>
      </x:c>
      <x:c r="AB353" s="20" t="str">
        <x:v>待验证</x:v>
      </x:c>
      <x:c r="AC353" s="20" t="str"/>
      <x:c r="AD353" s="20" t="str">
        <x:v>provisional=true；M3-REPAIR尚未完成，完成条件为暂定功能模型。</x:v>
      </x:c>
      <x:c r="AE353" s="52" t="str">
        <x:v>0.7</x:v>
      </x:c>
    </x:row>
    <x:row r="354">
      <x:c r="A354" s="51" t="str">
        <x:v>M4-REPAIR-353</x:v>
      </x:c>
      <x:c r="B354" s="20" t="str">
        <x:v>RS1 事件止损｜状态定义</x:v>
      </x:c>
      <x:c r="C354" s="20" t="str">
        <x:v>L7 修复状态与完成层级</x:v>
      </x:c>
      <x:c r="D354" s="20" t="str">
        <x:v>REPAIR-修复状态</x:v>
      </x:c>
      <x:c r="E354" s="20" t="str">
        <x:v>通用</x:v>
      </x:c>
      <x:c r="F354" s="20" t="str">
        <x:v>定义</x:v>
      </x:c>
      <x:c r="G354" s="20" t="str">
        <x:v>RS1</x:v>
      </x:c>
      <x:c r="H354" s="20" t="str"/>
      <x:c r="I354" s="20" t="str">
        <x:v>伤害、争论或风险暂时停止，但关系任务尚未展开。</x:v>
      </x:c>
      <x:c r="J354" s="20" t="str">
        <x:v>用命盘或单一动作越级判断。</x:v>
      </x:c>
      <x:c r="K354" s="20" t="str">
        <x:v>由共享基础引擎提供；仅修正修复功能的承载、持续与压力占位，不直接等同是否愿意认错或能否修复。</x:v>
      </x:c>
      <x:c r="L354" s="20" t="str">
        <x:v>由M1／M2提供；夫妻星只说明伴侣原型与关系资格，不单独证明修复能力、修复意愿或修复结果。</x:v>
      </x:c>
      <x:c r="M354" s="20" t="str">
        <x:v>由M3-BASE提供；日支底盘说明亲密关系中自然调用的功能，但不能单独证明修复闭环。</x:v>
      </x:c>
      <x:c r="N354" s="20" t="str">
        <x:v>由M3-CONFLICT、M4-LOOP及现实事件提供；必须区分问题停止、责任承担、影响确认、行动改变、反馈整合与后续回访。</x:v>
      </x:c>
      <x:c r="O354" s="20" t="str">
        <x:v>由共享基础引擎判定；近位提高相关功能进入亲密关系核心的概率，远位只作背景或阶段修正。</x:v>
      </x:c>
      <x:c r="P354" s="20" t="str">
        <x:v>根气只修正某修复功能是否容易重复调用，不等于现实中已经持续改变。</x:v>
      </x:c>
      <x:c r="Q354" s="20" t="str">
        <x:v>旺弱只修正功能调用强度与占位，不直接等同修复质量、诚意或关系结果。</x:v>
      </x:c>
      <x:c r="R354" s="20" t="str">
        <x:v>喜忌只修正功能摩擦、平衡与承载，不直接等同道德、成熟、善恶或是否值得原谅。</x:v>
      </x:c>
      <x:c r="S354" s="20" t="str">
        <x:v>原十神功能有效；真合化成立时按化神功能替换，合化争议时停止定性。</x:v>
      </x:c>
      <x:c r="T354" s="20" t="str">
        <x:v>近位提高修复议题与亲密关系的直接相关性；远位仅保留背景、阶段或低置信修正。</x:v>
      </x:c>
      <x:c r="U354" s="20" t="str">
        <x:v>76</x:v>
      </x:c>
      <x:c r="V354" s="20" t="str">
        <x:v>状态路由，不单独增加命理分</x:v>
      </x:c>
      <x:c r="W354" s="20" t="str">
        <x:v>repair_status</x:v>
      </x:c>
      <x:c r="X354" s="20" t="str">
        <x:v>RS状态描述现实修复进度，不评价关系好坏。</x:v>
      </x:c>
      <x:c r="Y354" s="20" t="str">
        <x:v>事情已经停下，但还不能说关系已经修复。</x:v>
      </x:c>
      <x:c r="Z35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4" s="20" t="str">
        <x:v>中高</x:v>
      </x:c>
      <x:c r="AB354" s="20" t="str">
        <x:v>待验证</x:v>
      </x:c>
      <x:c r="AC354" s="20" t="str"/>
      <x:c r="AD354" s="20" t="str">
        <x:v>provisional=true；M3-REPAIR尚未完成，完成条件为暂定功能模型。</x:v>
      </x:c>
      <x:c r="AE354" s="52" t="str">
        <x:v>0.7</x:v>
      </x:c>
    </x:row>
    <x:row r="355">
      <x:c r="A355" s="51" t="str">
        <x:v>M4-REPAIR-354</x:v>
      </x:c>
      <x:c r="B355" s="20" t="str">
        <x:v>RS1 事件止损｜进入条件</x:v>
      </x:c>
      <x:c r="C355" s="20" t="str">
        <x:v>L7 修复状态与完成层级</x:v>
      </x:c>
      <x:c r="D355" s="20" t="str">
        <x:v>REPAIR-修复状态</x:v>
      </x:c>
      <x:c r="E355" s="20" t="str">
        <x:v>通用</x:v>
      </x:c>
      <x:c r="F355" s="20" t="str">
        <x:v>门槛</x:v>
      </x:c>
      <x:c r="G355" s="20" t="str">
        <x:v>RS1</x:v>
      </x:c>
      <x:c r="H355" s="20" t="str"/>
      <x:c r="I355" s="20" t="str">
        <x:v>RN01有效，其他节点未知或不足。</x:v>
      </x:c>
      <x:c r="J355" s="20" t="str">
        <x:v>必要现实证据缺失。</x:v>
      </x:c>
      <x:c r="K355" s="20" t="str">
        <x:v>由共享基础引擎提供；仅修正修复功能的承载、持续与压力占位，不直接等同是否愿意认错或能否修复。</x:v>
      </x:c>
      <x:c r="L355" s="20" t="str">
        <x:v>由M1／M2提供；夫妻星只说明伴侣原型与关系资格，不单独证明修复能力、修复意愿或修复结果。</x:v>
      </x:c>
      <x:c r="M355" s="20" t="str">
        <x:v>由M3-BASE提供；日支底盘说明亲密关系中自然调用的功能，但不能单独证明修复闭环。</x:v>
      </x:c>
      <x:c r="N355" s="20" t="str">
        <x:v>由M3-CONFLICT、M4-LOOP及现实事件提供；必须区分问题停止、责任承担、影响确认、行动改变、反馈整合与后续回访。</x:v>
      </x:c>
      <x:c r="O355" s="20" t="str">
        <x:v>由共享基础引擎判定；近位提高相关功能进入亲密关系核心的概率，远位只作背景或阶段修正。</x:v>
      </x:c>
      <x:c r="P355" s="20" t="str">
        <x:v>根气只修正某修复功能是否容易重复调用，不等于现实中已经持续改变。</x:v>
      </x:c>
      <x:c r="Q355" s="20" t="str">
        <x:v>旺弱只修正功能调用强度与占位，不直接等同修复质量、诚意或关系结果。</x:v>
      </x:c>
      <x:c r="R355" s="20" t="str">
        <x:v>喜忌只修正功能摩擦、平衡与承载，不直接等同道德、成熟、善恶或是否值得原谅。</x:v>
      </x:c>
      <x:c r="S355" s="20" t="str">
        <x:v>原十神功能有效；真合化成立时按化神功能替换，合化争议时停止定性。</x:v>
      </x:c>
      <x:c r="T355" s="20" t="str">
        <x:v>近位提高修复议题与亲密关系的直接相关性；远位仅保留背景、阶段或低置信修正。</x:v>
      </x:c>
      <x:c r="U355" s="20" t="str">
        <x:v>92</x:v>
      </x:c>
      <x:c r="V355" s="20" t="str">
        <x:v>状态路由，不单独增加命理分</x:v>
      </x:c>
      <x:c r="W355" s="20" t="str">
        <x:v>repair_status</x:v>
      </x:c>
      <x:c r="X355" s="20" t="str">
        <x:v>进入条件必须由事件节点和证据深度支持。</x:v>
      </x:c>
      <x:c r="Y355" s="20" t="str">
        <x:v>判断这一状态需要看到：RN01有效，其他节点未知或不足。</x:v>
      </x:c>
      <x:c r="Z35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5" s="20" t="str">
        <x:v>中高</x:v>
      </x:c>
      <x:c r="AB355" s="20" t="str">
        <x:v>待验证</x:v>
      </x:c>
      <x:c r="AC355" s="20" t="str"/>
      <x:c r="AD355" s="20" t="str">
        <x:v>provisional=true；M3-REPAIR尚未完成，完成条件为暂定功能模型。</x:v>
      </x:c>
      <x:c r="AE355" s="52" t="str">
        <x:v>0.7</x:v>
      </x:c>
    </x:row>
    <x:row r="356">
      <x:c r="A356" s="51" t="str">
        <x:v>M4-REPAIR-355</x:v>
      </x:c>
      <x:c r="B356" s="20" t="str">
        <x:v>RS1 事件止损｜输出语言</x:v>
      </x:c>
      <x:c r="C356" s="20" t="str">
        <x:v>L7 修复状态与完成层级</x:v>
      </x:c>
      <x:c r="D356" s="20" t="str">
        <x:v>REPAIR-修复状态</x:v>
      </x:c>
      <x:c r="E356" s="20" t="str">
        <x:v>通用</x:v>
      </x:c>
      <x:c r="F356" s="20" t="str">
        <x:v>输出</x:v>
      </x:c>
      <x:c r="G356" s="20" t="str">
        <x:v>RS1</x:v>
      </x:c>
      <x:c r="H356" s="20" t="str"/>
      <x:c r="I356" s="20" t="str">
        <x:v>该状态已通过去重、反例和安全检查。</x:v>
      </x:c>
      <x:c r="J356" s="20" t="str">
        <x:v>混淆修复状态与原谅、复合或关系结果。</x:v>
      </x:c>
      <x:c r="K356" s="20" t="str">
        <x:v>由共享基础引擎提供；仅修正修复功能的承载、持续与压力占位，不直接等同是否愿意认错或能否修复。</x:v>
      </x:c>
      <x:c r="L356" s="20" t="str">
        <x:v>由M1／M2提供；夫妻星只说明伴侣原型与关系资格，不单独证明修复能力、修复意愿或修复结果。</x:v>
      </x:c>
      <x:c r="M356" s="20" t="str">
        <x:v>由M3-BASE提供；日支底盘说明亲密关系中自然调用的功能，但不能单独证明修复闭环。</x:v>
      </x:c>
      <x:c r="N356" s="20" t="str">
        <x:v>由M3-CONFLICT、M4-LOOP及现实事件提供；必须区分问题停止、责任承担、影响确认、行动改变、反馈整合与后续回访。</x:v>
      </x:c>
      <x:c r="O356" s="20" t="str">
        <x:v>由共享基础引擎判定；近位提高相关功能进入亲密关系核心的概率，远位只作背景或阶段修正。</x:v>
      </x:c>
      <x:c r="P356" s="20" t="str">
        <x:v>根气只修正某修复功能是否容易重复调用，不等于现实中已经持续改变。</x:v>
      </x:c>
      <x:c r="Q356" s="20" t="str">
        <x:v>旺弱只修正功能调用强度与占位，不直接等同修复质量、诚意或关系结果。</x:v>
      </x:c>
      <x:c r="R356" s="20" t="str">
        <x:v>喜忌只修正功能摩擦、平衡与承载，不直接等同道德、成熟、善恶或是否值得原谅。</x:v>
      </x:c>
      <x:c r="S356" s="20" t="str">
        <x:v>原十神功能有效；真合化成立时按化神功能替换，合化争议时停止定性。</x:v>
      </x:c>
      <x:c r="T356" s="20" t="str">
        <x:v>近位提高修复议题与亲密关系的直接相关性；远位仅保留背景、阶段或低置信修正。</x:v>
      </x:c>
      <x:c r="U356" s="20" t="str">
        <x:v>76</x:v>
      </x:c>
      <x:c r="V356" s="20" t="str">
        <x:v>状态路由，不单独增加命理分</x:v>
      </x:c>
      <x:c r="W356" s="20" t="str">
        <x:v>repair_status</x:v>
      </x:c>
      <x:c r="X356" s="20" t="str">
        <x:v>输出需同时说明完成和未完成部分。</x:v>
      </x:c>
      <x:c r="Y356" s="20" t="str">
        <x:v>事情已经停下，但还不能说关系已经修复。</x:v>
      </x:c>
      <x:c r="Z35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6" s="20" t="str">
        <x:v>中高</x:v>
      </x:c>
      <x:c r="AB356" s="20" t="str">
        <x:v>待验证</x:v>
      </x:c>
      <x:c r="AC356" s="20" t="str"/>
      <x:c r="AD356" s="20" t="str">
        <x:v>provisional=true；M3-REPAIR尚未完成，完成条件为暂定功能模型。</x:v>
      </x:c>
      <x:c r="AE356" s="52" t="str">
        <x:v>0.7</x:v>
      </x:c>
    </x:row>
    <x:row r="357">
      <x:c r="A357" s="51" t="str">
        <x:v>M4-REPAIR-356</x:v>
      </x:c>
      <x:c r="B357" s="20" t="str">
        <x:v>RS1 事件止损｜升级／停止边界</x:v>
      </x:c>
      <x:c r="C357" s="20" t="str">
        <x:v>L7 修复状态与完成层级</x:v>
      </x:c>
      <x:c r="D357" s="20" t="str">
        <x:v>REPAIR-修复状态</x:v>
      </x:c>
      <x:c r="E357" s="20" t="str">
        <x:v>通用</x:v>
      </x:c>
      <x:c r="F357" s="20" t="str">
        <x:v>边界</x:v>
      </x:c>
      <x:c r="G357" s="20" t="str">
        <x:v>RS1</x:v>
      </x:c>
      <x:c r="H357" s="20" t="str"/>
      <x:c r="I357" s="20" t="str">
        <x:v>只有新增现实节点、持续行为或接收反馈才能升级。</x:v>
      </x:c>
      <x:c r="J357" s="20" t="str">
        <x:v>靠命理分值、一次情绪或道歉标签升级。</x:v>
      </x:c>
      <x:c r="K357" s="20" t="str">
        <x:v>由共享基础引擎提供；仅修正修复功能的承载、持续与压力占位，不直接等同是否愿意认错或能否修复。</x:v>
      </x:c>
      <x:c r="L357" s="20" t="str">
        <x:v>由M1／M2提供；夫妻星只说明伴侣原型与关系资格，不单独证明修复能力、修复意愿或修复结果。</x:v>
      </x:c>
      <x:c r="M357" s="20" t="str">
        <x:v>由M3-BASE提供；日支底盘说明亲密关系中自然调用的功能，但不能单独证明修复闭环。</x:v>
      </x:c>
      <x:c r="N357" s="20" t="str">
        <x:v>由M3-CONFLICT、M4-LOOP及现实事件提供；必须区分问题停止、责任承担、影响确认、行动改变、反馈整合与后续回访。</x:v>
      </x:c>
      <x:c r="O357" s="20" t="str">
        <x:v>由共享基础引擎判定；近位提高相关功能进入亲密关系核心的概率，远位只作背景或阶段修正。</x:v>
      </x:c>
      <x:c r="P357" s="20" t="str">
        <x:v>根气只修正某修复功能是否容易重复调用，不等于现实中已经持续改变。</x:v>
      </x:c>
      <x:c r="Q357" s="20" t="str">
        <x:v>旺弱只修正功能调用强度与占位，不直接等同修复质量、诚意或关系结果。</x:v>
      </x:c>
      <x:c r="R357" s="20" t="str">
        <x:v>喜忌只修正功能摩擦、平衡与承载，不直接等同道德、成熟、善恶或是否值得原谅。</x:v>
      </x:c>
      <x:c r="S357" s="20" t="str">
        <x:v>原十神功能有效；真合化成立时按化神功能替换，合化争议时停止定性。</x:v>
      </x:c>
      <x:c r="T357" s="20" t="str">
        <x:v>近位提高修复议题与亲密关系的直接相关性；远位仅保留背景、阶段或低置信修正。</x:v>
      </x:c>
      <x:c r="U357" s="20" t="str">
        <x:v>92</x:v>
      </x:c>
      <x:c r="V357" s="20" t="str">
        <x:v>状态路由，不单独增加命理分</x:v>
      </x:c>
      <x:c r="W357" s="20" t="str">
        <x:v>repair_status</x:v>
      </x:c>
      <x:c r="X357" s="20" t="str">
        <x:v>RS状态升级依赖现实过程。</x:v>
      </x:c>
      <x:c r="Y357" s="20" t="str">
        <x:v>状态变化要由新的现实证据推动，不能只靠结构推测。</x:v>
      </x:c>
      <x:c r="Z35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7" s="20" t="str">
        <x:v>中高</x:v>
      </x:c>
      <x:c r="AB357" s="20" t="str">
        <x:v>待验证</x:v>
      </x:c>
      <x:c r="AC357" s="20" t="str"/>
      <x:c r="AD357" s="20" t="str">
        <x:v>provisional=true；M3-REPAIR尚未完成，完成条件为暂定功能模型。</x:v>
      </x:c>
      <x:c r="AE357" s="52" t="str">
        <x:v>0.7</x:v>
      </x:c>
    </x:row>
    <x:row r="358">
      <x:c r="A358" s="51" t="str">
        <x:v>M4-REPAIR-357</x:v>
      </x:c>
      <x:c r="B358" s="20" t="str">
        <x:v>RS2 问题结案｜状态定义</x:v>
      </x:c>
      <x:c r="C358" s="20" t="str">
        <x:v>L7 修复状态与完成层级</x:v>
      </x:c>
      <x:c r="D358" s="20" t="str">
        <x:v>REPAIR-修复状态</x:v>
      </x:c>
      <x:c r="E358" s="20" t="str">
        <x:v>通用</x:v>
      </x:c>
      <x:c r="F358" s="20" t="str">
        <x:v>定义</x:v>
      </x:c>
      <x:c r="G358" s="20" t="str">
        <x:v>RS2</x:v>
      </x:c>
      <x:c r="H358" s="20" t="str"/>
      <x:c r="I358" s="20" t="str">
        <x:v>事实、任务或现实方案已经处理，但影响、反馈或持续性未完成。</x:v>
      </x:c>
      <x:c r="J358" s="20" t="str">
        <x:v>用命盘或单一动作越级判断。</x:v>
      </x:c>
      <x:c r="K358" s="20" t="str">
        <x:v>由共享基础引擎提供；仅修正修复功能的承载、持续与压力占位，不直接等同是否愿意认错或能否修复。</x:v>
      </x:c>
      <x:c r="L358" s="20" t="str">
        <x:v>由M1／M2提供；夫妻星只说明伴侣原型与关系资格，不单独证明修复能力、修复意愿或修复结果。</x:v>
      </x:c>
      <x:c r="M358" s="20" t="str">
        <x:v>由M3-BASE提供；日支底盘说明亲密关系中自然调用的功能，但不能单独证明修复闭环。</x:v>
      </x:c>
      <x:c r="N358" s="20" t="str">
        <x:v>由M3-CONFLICT、M4-LOOP及现实事件提供；必须区分问题停止、责任承担、影响确认、行动改变、反馈整合与后续回访。</x:v>
      </x:c>
      <x:c r="O358" s="20" t="str">
        <x:v>由共享基础引擎判定；近位提高相关功能进入亲密关系核心的概率，远位只作背景或阶段修正。</x:v>
      </x:c>
      <x:c r="P358" s="20" t="str">
        <x:v>根气只修正某修复功能是否容易重复调用，不等于现实中已经持续改变。</x:v>
      </x:c>
      <x:c r="Q358" s="20" t="str">
        <x:v>旺弱只修正功能调用强度与占位，不直接等同修复质量、诚意或关系结果。</x:v>
      </x:c>
      <x:c r="R358" s="20" t="str">
        <x:v>喜忌只修正功能摩擦、平衡与承载，不直接等同道德、成熟、善恶或是否值得原谅。</x:v>
      </x:c>
      <x:c r="S358" s="20" t="str">
        <x:v>原十神功能有效；真合化成立时按化神功能替换，合化争议时停止定性。</x:v>
      </x:c>
      <x:c r="T358" s="20" t="str">
        <x:v>近位提高修复议题与亲密关系的直接相关性；远位仅保留背景、阶段或低置信修正。</x:v>
      </x:c>
      <x:c r="U358" s="20" t="str">
        <x:v>76</x:v>
      </x:c>
      <x:c r="V358" s="20" t="str">
        <x:v>状态路由，不单独增加命理分</x:v>
      </x:c>
      <x:c r="W358" s="20" t="str">
        <x:v>repair_status</x:v>
      </x:c>
      <x:c r="X358" s="20" t="str">
        <x:v>RS状态描述现实修复进度，不评价关系好坏。</x:v>
      </x:c>
      <x:c r="Y358" s="20" t="str">
        <x:v>现实问题有了处理结果，但关系影响仍需要继续确认。</x:v>
      </x:c>
      <x:c r="Z35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8" s="20" t="str">
        <x:v>中高</x:v>
      </x:c>
      <x:c r="AB358" s="20" t="str">
        <x:v>待验证</x:v>
      </x:c>
      <x:c r="AC358" s="20" t="str"/>
      <x:c r="AD358" s="20" t="str">
        <x:v>provisional=true；M3-REPAIR尚未完成，完成条件为暂定功能模型。</x:v>
      </x:c>
      <x:c r="AE358" s="52" t="str">
        <x:v>0.7</x:v>
      </x:c>
    </x:row>
    <x:row r="359">
      <x:c r="A359" s="51" t="str">
        <x:v>M4-REPAIR-358</x:v>
      </x:c>
      <x:c r="B359" s="20" t="str">
        <x:v>RS2 问题结案｜进入条件</x:v>
      </x:c>
      <x:c r="C359" s="20" t="str">
        <x:v>L7 修复状态与完成层级</x:v>
      </x:c>
      <x:c r="D359" s="20" t="str">
        <x:v>REPAIR-修复状态</x:v>
      </x:c>
      <x:c r="E359" s="20" t="str">
        <x:v>通用</x:v>
      </x:c>
      <x:c r="F359" s="20" t="str">
        <x:v>门槛</x:v>
      </x:c>
      <x:c r="G359" s="20" t="str">
        <x:v>RS2</x:v>
      </x:c>
      <x:c r="H359" s="20" t="str"/>
      <x:c r="I359" s="20" t="str">
        <x:v>RN02／RN06有效，RN03／RN07／RN08不足。</x:v>
      </x:c>
      <x:c r="J359" s="20" t="str">
        <x:v>必要现实证据缺失。</x:v>
      </x:c>
      <x:c r="K359" s="20" t="str">
        <x:v>由共享基础引擎提供；仅修正修复功能的承载、持续与压力占位，不直接等同是否愿意认错或能否修复。</x:v>
      </x:c>
      <x:c r="L359" s="20" t="str">
        <x:v>由M1／M2提供；夫妻星只说明伴侣原型与关系资格，不单独证明修复能力、修复意愿或修复结果。</x:v>
      </x:c>
      <x:c r="M359" s="20" t="str">
        <x:v>由M3-BASE提供；日支底盘说明亲密关系中自然调用的功能，但不能单独证明修复闭环。</x:v>
      </x:c>
      <x:c r="N359" s="20" t="str">
        <x:v>由M3-CONFLICT、M4-LOOP及现实事件提供；必须区分问题停止、责任承担、影响确认、行动改变、反馈整合与后续回访。</x:v>
      </x:c>
      <x:c r="O359" s="20" t="str">
        <x:v>由共享基础引擎判定；近位提高相关功能进入亲密关系核心的概率，远位只作背景或阶段修正。</x:v>
      </x:c>
      <x:c r="P359" s="20" t="str">
        <x:v>根气只修正某修复功能是否容易重复调用，不等于现实中已经持续改变。</x:v>
      </x:c>
      <x:c r="Q359" s="20" t="str">
        <x:v>旺弱只修正功能调用强度与占位，不直接等同修复质量、诚意或关系结果。</x:v>
      </x:c>
      <x:c r="R359" s="20" t="str">
        <x:v>喜忌只修正功能摩擦、平衡与承载，不直接等同道德、成熟、善恶或是否值得原谅。</x:v>
      </x:c>
      <x:c r="S359" s="20" t="str">
        <x:v>原十神功能有效；真合化成立时按化神功能替换，合化争议时停止定性。</x:v>
      </x:c>
      <x:c r="T359" s="20" t="str">
        <x:v>近位提高修复议题与亲密关系的直接相关性；远位仅保留背景、阶段或低置信修正。</x:v>
      </x:c>
      <x:c r="U359" s="20" t="str">
        <x:v>92</x:v>
      </x:c>
      <x:c r="V359" s="20" t="str">
        <x:v>状态路由，不单独增加命理分</x:v>
      </x:c>
      <x:c r="W359" s="20" t="str">
        <x:v>repair_status</x:v>
      </x:c>
      <x:c r="X359" s="20" t="str">
        <x:v>进入条件必须由事件节点和证据深度支持。</x:v>
      </x:c>
      <x:c r="Y359" s="20" t="str">
        <x:v>判断这一状态需要看到：RN02／RN06有效，RN03／RN07／RN08不足。</x:v>
      </x:c>
      <x:c r="Z35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59" s="20" t="str">
        <x:v>中高</x:v>
      </x:c>
      <x:c r="AB359" s="20" t="str">
        <x:v>待验证</x:v>
      </x:c>
      <x:c r="AC359" s="20" t="str"/>
      <x:c r="AD359" s="20" t="str">
        <x:v>provisional=true；M3-REPAIR尚未完成，完成条件为暂定功能模型。</x:v>
      </x:c>
      <x:c r="AE359" s="52" t="str">
        <x:v>0.7</x:v>
      </x:c>
    </x:row>
    <x:row r="360">
      <x:c r="A360" s="51" t="str">
        <x:v>M4-REPAIR-359</x:v>
      </x:c>
      <x:c r="B360" s="20" t="str">
        <x:v>RS2 问题结案｜输出语言</x:v>
      </x:c>
      <x:c r="C360" s="20" t="str">
        <x:v>L7 修复状态与完成层级</x:v>
      </x:c>
      <x:c r="D360" s="20" t="str">
        <x:v>REPAIR-修复状态</x:v>
      </x:c>
      <x:c r="E360" s="20" t="str">
        <x:v>通用</x:v>
      </x:c>
      <x:c r="F360" s="20" t="str">
        <x:v>输出</x:v>
      </x:c>
      <x:c r="G360" s="20" t="str">
        <x:v>RS2</x:v>
      </x:c>
      <x:c r="H360" s="20" t="str"/>
      <x:c r="I360" s="20" t="str">
        <x:v>该状态已通过去重、反例和安全检查。</x:v>
      </x:c>
      <x:c r="J360" s="20" t="str">
        <x:v>混淆修复状态与原谅、复合或关系结果。</x:v>
      </x:c>
      <x:c r="K360" s="20" t="str">
        <x:v>由共享基础引擎提供；仅修正修复功能的承载、持续与压力占位，不直接等同是否愿意认错或能否修复。</x:v>
      </x:c>
      <x:c r="L360" s="20" t="str">
        <x:v>由M1／M2提供；夫妻星只说明伴侣原型与关系资格，不单独证明修复能力、修复意愿或修复结果。</x:v>
      </x:c>
      <x:c r="M360" s="20" t="str">
        <x:v>由M3-BASE提供；日支底盘说明亲密关系中自然调用的功能，但不能单独证明修复闭环。</x:v>
      </x:c>
      <x:c r="N360" s="20" t="str">
        <x:v>由M3-CONFLICT、M4-LOOP及现实事件提供；必须区分问题停止、责任承担、影响确认、行动改变、反馈整合与后续回访。</x:v>
      </x:c>
      <x:c r="O360" s="20" t="str">
        <x:v>由共享基础引擎判定；近位提高相关功能进入亲密关系核心的概率，远位只作背景或阶段修正。</x:v>
      </x:c>
      <x:c r="P360" s="20" t="str">
        <x:v>根气只修正某修复功能是否容易重复调用，不等于现实中已经持续改变。</x:v>
      </x:c>
      <x:c r="Q360" s="20" t="str">
        <x:v>旺弱只修正功能调用强度与占位，不直接等同修复质量、诚意或关系结果。</x:v>
      </x:c>
      <x:c r="R360" s="20" t="str">
        <x:v>喜忌只修正功能摩擦、平衡与承载，不直接等同道德、成熟、善恶或是否值得原谅。</x:v>
      </x:c>
      <x:c r="S360" s="20" t="str">
        <x:v>原十神功能有效；真合化成立时按化神功能替换，合化争议时停止定性。</x:v>
      </x:c>
      <x:c r="T360" s="20" t="str">
        <x:v>近位提高修复议题与亲密关系的直接相关性；远位仅保留背景、阶段或低置信修正。</x:v>
      </x:c>
      <x:c r="U360" s="20" t="str">
        <x:v>76</x:v>
      </x:c>
      <x:c r="V360" s="20" t="str">
        <x:v>状态路由，不单独增加命理分</x:v>
      </x:c>
      <x:c r="W360" s="20" t="str">
        <x:v>repair_status</x:v>
      </x:c>
      <x:c r="X360" s="20" t="str">
        <x:v>输出需同时说明完成和未完成部分。</x:v>
      </x:c>
      <x:c r="Y360" s="20" t="str">
        <x:v>现实问题有了处理结果，但关系影响仍需要继续确认。</x:v>
      </x:c>
      <x:c r="Z36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0" s="20" t="str">
        <x:v>中高</x:v>
      </x:c>
      <x:c r="AB360" s="20" t="str">
        <x:v>待验证</x:v>
      </x:c>
      <x:c r="AC360" s="20" t="str"/>
      <x:c r="AD360" s="20" t="str">
        <x:v>provisional=true；M3-REPAIR尚未完成，完成条件为暂定功能模型。</x:v>
      </x:c>
      <x:c r="AE360" s="52" t="str">
        <x:v>0.7</x:v>
      </x:c>
    </x:row>
    <x:row r="361">
      <x:c r="A361" s="51" t="str">
        <x:v>M4-REPAIR-360</x:v>
      </x:c>
      <x:c r="B361" s="20" t="str">
        <x:v>RS2 问题结案｜升级／停止边界</x:v>
      </x:c>
      <x:c r="C361" s="20" t="str">
        <x:v>L7 修复状态与完成层级</x:v>
      </x:c>
      <x:c r="D361" s="20" t="str">
        <x:v>REPAIR-修复状态</x:v>
      </x:c>
      <x:c r="E361" s="20" t="str">
        <x:v>通用</x:v>
      </x:c>
      <x:c r="F361" s="20" t="str">
        <x:v>边界</x:v>
      </x:c>
      <x:c r="G361" s="20" t="str">
        <x:v>RS2</x:v>
      </x:c>
      <x:c r="H361" s="20" t="str"/>
      <x:c r="I361" s="20" t="str">
        <x:v>只有新增现实节点、持续行为或接收反馈才能升级。</x:v>
      </x:c>
      <x:c r="J361" s="20" t="str">
        <x:v>靠命理分值、一次情绪或道歉标签升级。</x:v>
      </x:c>
      <x:c r="K361" s="20" t="str">
        <x:v>由共享基础引擎提供；仅修正修复功能的承载、持续与压力占位，不直接等同是否愿意认错或能否修复。</x:v>
      </x:c>
      <x:c r="L361" s="20" t="str">
        <x:v>由M1／M2提供；夫妻星只说明伴侣原型与关系资格，不单独证明修复能力、修复意愿或修复结果。</x:v>
      </x:c>
      <x:c r="M361" s="20" t="str">
        <x:v>由M3-BASE提供；日支底盘说明亲密关系中自然调用的功能，但不能单独证明修复闭环。</x:v>
      </x:c>
      <x:c r="N361" s="20" t="str">
        <x:v>由M3-CONFLICT、M4-LOOP及现实事件提供；必须区分问题停止、责任承担、影响确认、行动改变、反馈整合与后续回访。</x:v>
      </x:c>
      <x:c r="O361" s="20" t="str">
        <x:v>由共享基础引擎判定；近位提高相关功能进入亲密关系核心的概率，远位只作背景或阶段修正。</x:v>
      </x:c>
      <x:c r="P361" s="20" t="str">
        <x:v>根气只修正某修复功能是否容易重复调用，不等于现实中已经持续改变。</x:v>
      </x:c>
      <x:c r="Q361" s="20" t="str">
        <x:v>旺弱只修正功能调用强度与占位，不直接等同修复质量、诚意或关系结果。</x:v>
      </x:c>
      <x:c r="R361" s="20" t="str">
        <x:v>喜忌只修正功能摩擦、平衡与承载，不直接等同道德、成熟、善恶或是否值得原谅。</x:v>
      </x:c>
      <x:c r="S361" s="20" t="str">
        <x:v>原十神功能有效；真合化成立时按化神功能替换，合化争议时停止定性。</x:v>
      </x:c>
      <x:c r="T361" s="20" t="str">
        <x:v>近位提高修复议题与亲密关系的直接相关性；远位仅保留背景、阶段或低置信修正。</x:v>
      </x:c>
      <x:c r="U361" s="20" t="str">
        <x:v>92</x:v>
      </x:c>
      <x:c r="V361" s="20" t="str">
        <x:v>状态路由，不单独增加命理分</x:v>
      </x:c>
      <x:c r="W361" s="20" t="str">
        <x:v>repair_status</x:v>
      </x:c>
      <x:c r="X361" s="20" t="str">
        <x:v>RS状态升级依赖现实过程。</x:v>
      </x:c>
      <x:c r="Y361" s="20" t="str">
        <x:v>状态变化要由新的现实证据推动，不能只靠结构推测。</x:v>
      </x:c>
      <x:c r="Z36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1" s="20" t="str">
        <x:v>中高</x:v>
      </x:c>
      <x:c r="AB361" s="20" t="str">
        <x:v>待验证</x:v>
      </x:c>
      <x:c r="AC361" s="20" t="str"/>
      <x:c r="AD361" s="20" t="str">
        <x:v>provisional=true；M3-REPAIR尚未完成，完成条件为暂定功能模型。</x:v>
      </x:c>
      <x:c r="AE361" s="52" t="str">
        <x:v>0.7</x:v>
      </x:c>
    </x:row>
    <x:row r="362">
      <x:c r="A362" s="51" t="str">
        <x:v>M4-REPAIR-361</x:v>
      </x:c>
      <x:c r="B362" s="20" t="str">
        <x:v>RS3 修复启动｜状态定义</x:v>
      </x:c>
      <x:c r="C362" s="20" t="str">
        <x:v>L7 修复状态与完成层级</x:v>
      </x:c>
      <x:c r="D362" s="20" t="str">
        <x:v>REPAIR-修复状态</x:v>
      </x:c>
      <x:c r="E362" s="20" t="str">
        <x:v>通用</x:v>
      </x:c>
      <x:c r="F362" s="20" t="str">
        <x:v>定义</x:v>
      </x:c>
      <x:c r="G362" s="20" t="str">
        <x:v>RS3</x:v>
      </x:c>
      <x:c r="H362" s="20" t="str"/>
      <x:c r="I362" s="20" t="str">
        <x:v>道歉、倾听、责任或补救中的一个或多个节点已经出现。</x:v>
      </x:c>
      <x:c r="J362" s="20" t="str">
        <x:v>用命盘或单一动作越级判断。</x:v>
      </x:c>
      <x:c r="K362" s="20" t="str">
        <x:v>由共享基础引擎提供；仅修正修复功能的承载、持续与压力占位，不直接等同是否愿意认错或能否修复。</x:v>
      </x:c>
      <x:c r="L362" s="20" t="str">
        <x:v>由M1／M2提供；夫妻星只说明伴侣原型与关系资格，不单独证明修复能力、修复意愿或修复结果。</x:v>
      </x:c>
      <x:c r="M362" s="20" t="str">
        <x:v>由M3-BASE提供；日支底盘说明亲密关系中自然调用的功能，但不能单独证明修复闭环。</x:v>
      </x:c>
      <x:c r="N362" s="20" t="str">
        <x:v>由M3-CONFLICT、M4-LOOP及现实事件提供；必须区分问题停止、责任承担、影响确认、行动改变、反馈整合与后续回访。</x:v>
      </x:c>
      <x:c r="O362" s="20" t="str">
        <x:v>由共享基础引擎判定；近位提高相关功能进入亲密关系核心的概率，远位只作背景或阶段修正。</x:v>
      </x:c>
      <x:c r="P362" s="20" t="str">
        <x:v>根气只修正某修复功能是否容易重复调用，不等于现实中已经持续改变。</x:v>
      </x:c>
      <x:c r="Q362" s="20" t="str">
        <x:v>旺弱只修正功能调用强度与占位，不直接等同修复质量、诚意或关系结果。</x:v>
      </x:c>
      <x:c r="R362" s="20" t="str">
        <x:v>喜忌只修正功能摩擦、平衡与承载，不直接等同道德、成熟、善恶或是否值得原谅。</x:v>
      </x:c>
      <x:c r="S362" s="20" t="str">
        <x:v>原十神功能有效；真合化成立时按化神功能替换，合化争议时停止定性。</x:v>
      </x:c>
      <x:c r="T362" s="20" t="str">
        <x:v>近位提高修复议题与亲密关系的直接相关性；远位仅保留背景、阶段或低置信修正。</x:v>
      </x:c>
      <x:c r="U362" s="20" t="str">
        <x:v>76</x:v>
      </x:c>
      <x:c r="V362" s="20" t="str">
        <x:v>状态路由，不单独增加命理分</x:v>
      </x:c>
      <x:c r="W362" s="20" t="str">
        <x:v>repair_status</x:v>
      </x:c>
      <x:c r="X362" s="20" t="str">
        <x:v>RS状态描述现实修复进度，不评价关系好坏。</x:v>
      </x:c>
      <x:c r="Y362" s="20" t="str">
        <x:v>修复已经开始，但仍处于启动阶段。</x:v>
      </x:c>
      <x:c r="Z36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2" s="20" t="str">
        <x:v>中高</x:v>
      </x:c>
      <x:c r="AB362" s="20" t="str">
        <x:v>待验证</x:v>
      </x:c>
      <x:c r="AC362" s="20" t="str"/>
      <x:c r="AD362" s="20" t="str">
        <x:v>provisional=true；M3-REPAIR尚未完成，完成条件为暂定功能模型。</x:v>
      </x:c>
      <x:c r="AE362" s="52" t="str">
        <x:v>0.7</x:v>
      </x:c>
    </x:row>
    <x:row r="363">
      <x:c r="A363" s="51" t="str">
        <x:v>M4-REPAIR-362</x:v>
      </x:c>
      <x:c r="B363" s="20" t="str">
        <x:v>RS3 修复启动｜进入条件</x:v>
      </x:c>
      <x:c r="C363" s="20" t="str">
        <x:v>L7 修复状态与完成层级</x:v>
      </x:c>
      <x:c r="D363" s="20" t="str">
        <x:v>REPAIR-修复状态</x:v>
      </x:c>
      <x:c r="E363" s="20" t="str">
        <x:v>通用</x:v>
      </x:c>
      <x:c r="F363" s="20" t="str">
        <x:v>门槛</x:v>
      </x:c>
      <x:c r="G363" s="20" t="str">
        <x:v>RS3</x:v>
      </x:c>
      <x:c r="H363" s="20" t="str"/>
      <x:c r="I363" s="20" t="str">
        <x:v>至少RV2，且有明确修复邀请或动作。</x:v>
      </x:c>
      <x:c r="J363" s="20" t="str">
        <x:v>必要现实证据缺失。</x:v>
      </x:c>
      <x:c r="K363" s="20" t="str">
        <x:v>由共享基础引擎提供；仅修正修复功能的承载、持续与压力占位，不直接等同是否愿意认错或能否修复。</x:v>
      </x:c>
      <x:c r="L363" s="20" t="str">
        <x:v>由M1／M2提供；夫妻星只说明伴侣原型与关系资格，不单独证明修复能力、修复意愿或修复结果。</x:v>
      </x:c>
      <x:c r="M363" s="20" t="str">
        <x:v>由M3-BASE提供；日支底盘说明亲密关系中自然调用的功能，但不能单独证明修复闭环。</x:v>
      </x:c>
      <x:c r="N363" s="20" t="str">
        <x:v>由M3-CONFLICT、M4-LOOP及现实事件提供；必须区分问题停止、责任承担、影响确认、行动改变、反馈整合与后续回访。</x:v>
      </x:c>
      <x:c r="O363" s="20" t="str">
        <x:v>由共享基础引擎判定；近位提高相关功能进入亲密关系核心的概率，远位只作背景或阶段修正。</x:v>
      </x:c>
      <x:c r="P363" s="20" t="str">
        <x:v>根气只修正某修复功能是否容易重复调用，不等于现实中已经持续改变。</x:v>
      </x:c>
      <x:c r="Q363" s="20" t="str">
        <x:v>旺弱只修正功能调用强度与占位，不直接等同修复质量、诚意或关系结果。</x:v>
      </x:c>
      <x:c r="R363" s="20" t="str">
        <x:v>喜忌只修正功能摩擦、平衡与承载，不直接等同道德、成熟、善恶或是否值得原谅。</x:v>
      </x:c>
      <x:c r="S363" s="20" t="str">
        <x:v>原十神功能有效；真合化成立时按化神功能替换，合化争议时停止定性。</x:v>
      </x:c>
      <x:c r="T363" s="20" t="str">
        <x:v>近位提高修复议题与亲密关系的直接相关性；远位仅保留背景、阶段或低置信修正。</x:v>
      </x:c>
      <x:c r="U363" s="20" t="str">
        <x:v>92</x:v>
      </x:c>
      <x:c r="V363" s="20" t="str">
        <x:v>状态路由，不单独增加命理分</x:v>
      </x:c>
      <x:c r="W363" s="20" t="str">
        <x:v>repair_status</x:v>
      </x:c>
      <x:c r="X363" s="20" t="str">
        <x:v>进入条件必须由事件节点和证据深度支持。</x:v>
      </x:c>
      <x:c r="Y363" s="20" t="str">
        <x:v>判断这一状态需要看到：至少RV2，且有明确修复邀请或动作。</x:v>
      </x:c>
      <x:c r="Z36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3" s="20" t="str">
        <x:v>中高</x:v>
      </x:c>
      <x:c r="AB363" s="20" t="str">
        <x:v>待验证</x:v>
      </x:c>
      <x:c r="AC363" s="20" t="str"/>
      <x:c r="AD363" s="20" t="str">
        <x:v>provisional=true；M3-REPAIR尚未完成，完成条件为暂定功能模型。</x:v>
      </x:c>
      <x:c r="AE363" s="52" t="str">
        <x:v>0.7</x:v>
      </x:c>
    </x:row>
    <x:row r="364">
      <x:c r="A364" s="51" t="str">
        <x:v>M4-REPAIR-363</x:v>
      </x:c>
      <x:c r="B364" s="20" t="str">
        <x:v>RS3 修复启动｜输出语言</x:v>
      </x:c>
      <x:c r="C364" s="20" t="str">
        <x:v>L7 修复状态与完成层级</x:v>
      </x:c>
      <x:c r="D364" s="20" t="str">
        <x:v>REPAIR-修复状态</x:v>
      </x:c>
      <x:c r="E364" s="20" t="str">
        <x:v>通用</x:v>
      </x:c>
      <x:c r="F364" s="20" t="str">
        <x:v>输出</x:v>
      </x:c>
      <x:c r="G364" s="20" t="str">
        <x:v>RS3</x:v>
      </x:c>
      <x:c r="H364" s="20" t="str"/>
      <x:c r="I364" s="20" t="str">
        <x:v>该状态已通过去重、反例和安全检查。</x:v>
      </x:c>
      <x:c r="J364" s="20" t="str">
        <x:v>混淆修复状态与原谅、复合或关系结果。</x:v>
      </x:c>
      <x:c r="K364" s="20" t="str">
        <x:v>由共享基础引擎提供；仅修正修复功能的承载、持续与压力占位，不直接等同是否愿意认错或能否修复。</x:v>
      </x:c>
      <x:c r="L364" s="20" t="str">
        <x:v>由M1／M2提供；夫妻星只说明伴侣原型与关系资格，不单独证明修复能力、修复意愿或修复结果。</x:v>
      </x:c>
      <x:c r="M364" s="20" t="str">
        <x:v>由M3-BASE提供；日支底盘说明亲密关系中自然调用的功能，但不能单独证明修复闭环。</x:v>
      </x:c>
      <x:c r="N364" s="20" t="str">
        <x:v>由M3-CONFLICT、M4-LOOP及现实事件提供；必须区分问题停止、责任承担、影响确认、行动改变、反馈整合与后续回访。</x:v>
      </x:c>
      <x:c r="O364" s="20" t="str">
        <x:v>由共享基础引擎判定；近位提高相关功能进入亲密关系核心的概率，远位只作背景或阶段修正。</x:v>
      </x:c>
      <x:c r="P364" s="20" t="str">
        <x:v>根气只修正某修复功能是否容易重复调用，不等于现实中已经持续改变。</x:v>
      </x:c>
      <x:c r="Q364" s="20" t="str">
        <x:v>旺弱只修正功能调用强度与占位，不直接等同修复质量、诚意或关系结果。</x:v>
      </x:c>
      <x:c r="R364" s="20" t="str">
        <x:v>喜忌只修正功能摩擦、平衡与承载，不直接等同道德、成熟、善恶或是否值得原谅。</x:v>
      </x:c>
      <x:c r="S364" s="20" t="str">
        <x:v>原十神功能有效；真合化成立时按化神功能替换，合化争议时停止定性。</x:v>
      </x:c>
      <x:c r="T364" s="20" t="str">
        <x:v>近位提高修复议题与亲密关系的直接相关性；远位仅保留背景、阶段或低置信修正。</x:v>
      </x:c>
      <x:c r="U364" s="20" t="str">
        <x:v>76</x:v>
      </x:c>
      <x:c r="V364" s="20" t="str">
        <x:v>状态路由，不单独增加命理分</x:v>
      </x:c>
      <x:c r="W364" s="20" t="str">
        <x:v>repair_status</x:v>
      </x:c>
      <x:c r="X364" s="20" t="str">
        <x:v>输出需同时说明完成和未完成部分。</x:v>
      </x:c>
      <x:c r="Y364" s="20" t="str">
        <x:v>修复已经开始，但仍处于启动阶段。</x:v>
      </x:c>
      <x:c r="Z36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4" s="20" t="str">
        <x:v>中高</x:v>
      </x:c>
      <x:c r="AB364" s="20" t="str">
        <x:v>待验证</x:v>
      </x:c>
      <x:c r="AC364" s="20" t="str"/>
      <x:c r="AD364" s="20" t="str">
        <x:v>provisional=true；M3-REPAIR尚未完成，完成条件为暂定功能模型。</x:v>
      </x:c>
      <x:c r="AE364" s="52" t="str">
        <x:v>0.7</x:v>
      </x:c>
    </x:row>
    <x:row r="365">
      <x:c r="A365" s="51" t="str">
        <x:v>M4-REPAIR-364</x:v>
      </x:c>
      <x:c r="B365" s="20" t="str">
        <x:v>RS3 修复启动｜升级／停止边界</x:v>
      </x:c>
      <x:c r="C365" s="20" t="str">
        <x:v>L7 修复状态与完成层级</x:v>
      </x:c>
      <x:c r="D365" s="20" t="str">
        <x:v>REPAIR-修复状态</x:v>
      </x:c>
      <x:c r="E365" s="20" t="str">
        <x:v>通用</x:v>
      </x:c>
      <x:c r="F365" s="20" t="str">
        <x:v>边界</x:v>
      </x:c>
      <x:c r="G365" s="20" t="str">
        <x:v>RS3</x:v>
      </x:c>
      <x:c r="H365" s="20" t="str"/>
      <x:c r="I365" s="20" t="str">
        <x:v>只有新增现实节点、持续行为或接收反馈才能升级。</x:v>
      </x:c>
      <x:c r="J365" s="20" t="str">
        <x:v>靠命理分值、一次情绪或道歉标签升级。</x:v>
      </x:c>
      <x:c r="K365" s="20" t="str">
        <x:v>由共享基础引擎提供；仅修正修复功能的承载、持续与压力占位，不直接等同是否愿意认错或能否修复。</x:v>
      </x:c>
      <x:c r="L365" s="20" t="str">
        <x:v>由M1／M2提供；夫妻星只说明伴侣原型与关系资格，不单独证明修复能力、修复意愿或修复结果。</x:v>
      </x:c>
      <x:c r="M365" s="20" t="str">
        <x:v>由M3-BASE提供；日支底盘说明亲密关系中自然调用的功能，但不能单独证明修复闭环。</x:v>
      </x:c>
      <x:c r="N365" s="20" t="str">
        <x:v>由M3-CONFLICT、M4-LOOP及现实事件提供；必须区分问题停止、责任承担、影响确认、行动改变、反馈整合与后续回访。</x:v>
      </x:c>
      <x:c r="O365" s="20" t="str">
        <x:v>由共享基础引擎判定；近位提高相关功能进入亲密关系核心的概率，远位只作背景或阶段修正。</x:v>
      </x:c>
      <x:c r="P365" s="20" t="str">
        <x:v>根气只修正某修复功能是否容易重复调用，不等于现实中已经持续改变。</x:v>
      </x:c>
      <x:c r="Q365" s="20" t="str">
        <x:v>旺弱只修正功能调用强度与占位，不直接等同修复质量、诚意或关系结果。</x:v>
      </x:c>
      <x:c r="R365" s="20" t="str">
        <x:v>喜忌只修正功能摩擦、平衡与承载，不直接等同道德、成熟、善恶或是否值得原谅。</x:v>
      </x:c>
      <x:c r="S365" s="20" t="str">
        <x:v>原十神功能有效；真合化成立时按化神功能替换，合化争议时停止定性。</x:v>
      </x:c>
      <x:c r="T365" s="20" t="str">
        <x:v>近位提高修复议题与亲密关系的直接相关性；远位仅保留背景、阶段或低置信修正。</x:v>
      </x:c>
      <x:c r="U365" s="20" t="str">
        <x:v>92</x:v>
      </x:c>
      <x:c r="V365" s="20" t="str">
        <x:v>状态路由，不单独增加命理分</x:v>
      </x:c>
      <x:c r="W365" s="20" t="str">
        <x:v>repair_status</x:v>
      </x:c>
      <x:c r="X365" s="20" t="str">
        <x:v>RS状态升级依赖现实过程。</x:v>
      </x:c>
      <x:c r="Y365" s="20" t="str">
        <x:v>状态变化要由新的现实证据推动，不能只靠结构推测。</x:v>
      </x:c>
      <x:c r="Z36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5" s="20" t="str">
        <x:v>中高</x:v>
      </x:c>
      <x:c r="AB365" s="20" t="str">
        <x:v>待验证</x:v>
      </x:c>
      <x:c r="AC365" s="20" t="str"/>
      <x:c r="AD365" s="20" t="str">
        <x:v>provisional=true；M3-REPAIR尚未完成，完成条件为暂定功能模型。</x:v>
      </x:c>
      <x:c r="AE365" s="52" t="str">
        <x:v>0.7</x:v>
      </x:c>
    </x:row>
    <x:row r="366">
      <x:c r="A366" s="51" t="str">
        <x:v>M4-REPAIR-365</x:v>
      </x:c>
      <x:c r="B366" s="20" t="str">
        <x:v>RS4 部分修复｜状态定义</x:v>
      </x:c>
      <x:c r="C366" s="20" t="str">
        <x:v>L7 修复状态与完成层级</x:v>
      </x:c>
      <x:c r="D366" s="20" t="str">
        <x:v>REPAIR-修复状态</x:v>
      </x:c>
      <x:c r="E366" s="20" t="str">
        <x:v>通用</x:v>
      </x:c>
      <x:c r="F366" s="20" t="str">
        <x:v>定义</x:v>
      </x:c>
      <x:c r="G366" s="20" t="str">
        <x:v>RS4</x:v>
      </x:c>
      <x:c r="H366" s="20" t="str"/>
      <x:c r="I366" s="20" t="str">
        <x:v>多个必要节点已完成，但至少一个关键节点仍缺失或未验证。</x:v>
      </x:c>
      <x:c r="J366" s="20" t="str">
        <x:v>用命盘或单一动作越级判断。</x:v>
      </x:c>
      <x:c r="K366" s="20" t="str">
        <x:v>由共享基础引擎提供；仅修正修复功能的承载、持续与压力占位，不直接等同是否愿意认错或能否修复。</x:v>
      </x:c>
      <x:c r="L366" s="20" t="str">
        <x:v>由M1／M2提供；夫妻星只说明伴侣原型与关系资格，不单独证明修复能力、修复意愿或修复结果。</x:v>
      </x:c>
      <x:c r="M366" s="20" t="str">
        <x:v>由M3-BASE提供；日支底盘说明亲密关系中自然调用的功能，但不能单独证明修复闭环。</x:v>
      </x:c>
      <x:c r="N366" s="20" t="str">
        <x:v>由M3-CONFLICT、M4-LOOP及现实事件提供；必须区分问题停止、责任承担、影响确认、行动改变、反馈整合与后续回访。</x:v>
      </x:c>
      <x:c r="O366" s="20" t="str">
        <x:v>由共享基础引擎判定；近位提高相关功能进入亲密关系核心的概率，远位只作背景或阶段修正。</x:v>
      </x:c>
      <x:c r="P366" s="20" t="str">
        <x:v>根气只修正某修复功能是否容易重复调用，不等于现实中已经持续改变。</x:v>
      </x:c>
      <x:c r="Q366" s="20" t="str">
        <x:v>旺弱只修正功能调用强度与占位，不直接等同修复质量、诚意或关系结果。</x:v>
      </x:c>
      <x:c r="R366" s="20" t="str">
        <x:v>喜忌只修正功能摩擦、平衡与承载，不直接等同道德、成熟、善恶或是否值得原谅。</x:v>
      </x:c>
      <x:c r="S366" s="20" t="str">
        <x:v>原十神功能有效；真合化成立时按化神功能替换，合化争议时停止定性。</x:v>
      </x:c>
      <x:c r="T366" s="20" t="str">
        <x:v>近位提高修复议题与亲密关系的直接相关性；远位仅保留背景、阶段或低置信修正。</x:v>
      </x:c>
      <x:c r="U366" s="20" t="str">
        <x:v>76</x:v>
      </x:c>
      <x:c r="V366" s="20" t="str">
        <x:v>状态路由，不单独增加命理分</x:v>
      </x:c>
      <x:c r="W366" s="20" t="str">
        <x:v>repair_status</x:v>
      </x:c>
      <x:c r="X366" s="20" t="str">
        <x:v>RS状态描述现实修复进度，不评价关系好坏。</x:v>
      </x:c>
      <x:c r="Y366" s="20" t="str">
        <x:v>已经完成了一部分修复，当前卡在________。</x:v>
      </x:c>
      <x:c r="Z36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6" s="20" t="str">
        <x:v>中高</x:v>
      </x:c>
      <x:c r="AB366" s="20" t="str">
        <x:v>待验证</x:v>
      </x:c>
      <x:c r="AC366" s="20" t="str"/>
      <x:c r="AD366" s="20" t="str">
        <x:v>provisional=true；M3-REPAIR尚未完成，完成条件为暂定功能模型。</x:v>
      </x:c>
      <x:c r="AE366" s="52" t="str">
        <x:v>0.7</x:v>
      </x:c>
    </x:row>
    <x:row r="367">
      <x:c r="A367" s="51" t="str">
        <x:v>M4-REPAIR-366</x:v>
      </x:c>
      <x:c r="B367" s="20" t="str">
        <x:v>RS4 部分修复｜进入条件</x:v>
      </x:c>
      <x:c r="C367" s="20" t="str">
        <x:v>L7 修复状态与完成层级</x:v>
      </x:c>
      <x:c r="D367" s="20" t="str">
        <x:v>REPAIR-修复状态</x:v>
      </x:c>
      <x:c r="E367" s="20" t="str">
        <x:v>通用</x:v>
      </x:c>
      <x:c r="F367" s="20" t="str">
        <x:v>门槛</x:v>
      </x:c>
      <x:c r="G367" s="20" t="str">
        <x:v>RS4</x:v>
      </x:c>
      <x:c r="H367" s="20" t="str"/>
      <x:c r="I367" s="20" t="str">
        <x:v>至少RV3，且有明确缺口。</x:v>
      </x:c>
      <x:c r="J367" s="20" t="str">
        <x:v>必要现实证据缺失。</x:v>
      </x:c>
      <x:c r="K367" s="20" t="str">
        <x:v>由共享基础引擎提供；仅修正修复功能的承载、持续与压力占位，不直接等同是否愿意认错或能否修复。</x:v>
      </x:c>
      <x:c r="L367" s="20" t="str">
        <x:v>由M1／M2提供；夫妻星只说明伴侣原型与关系资格，不单独证明修复能力、修复意愿或修复结果。</x:v>
      </x:c>
      <x:c r="M367" s="20" t="str">
        <x:v>由M3-BASE提供；日支底盘说明亲密关系中自然调用的功能，但不能单独证明修复闭环。</x:v>
      </x:c>
      <x:c r="N367" s="20" t="str">
        <x:v>由M3-CONFLICT、M4-LOOP及现实事件提供；必须区分问题停止、责任承担、影响确认、行动改变、反馈整合与后续回访。</x:v>
      </x:c>
      <x:c r="O367" s="20" t="str">
        <x:v>由共享基础引擎判定；近位提高相关功能进入亲密关系核心的概率，远位只作背景或阶段修正。</x:v>
      </x:c>
      <x:c r="P367" s="20" t="str">
        <x:v>根气只修正某修复功能是否容易重复调用，不等于现实中已经持续改变。</x:v>
      </x:c>
      <x:c r="Q367" s="20" t="str">
        <x:v>旺弱只修正功能调用强度与占位，不直接等同修复质量、诚意或关系结果。</x:v>
      </x:c>
      <x:c r="R367" s="20" t="str">
        <x:v>喜忌只修正功能摩擦、平衡与承载，不直接等同道德、成熟、善恶或是否值得原谅。</x:v>
      </x:c>
      <x:c r="S367" s="20" t="str">
        <x:v>原十神功能有效；真合化成立时按化神功能替换，合化争议时停止定性。</x:v>
      </x:c>
      <x:c r="T367" s="20" t="str">
        <x:v>近位提高修复议题与亲密关系的直接相关性；远位仅保留背景、阶段或低置信修正。</x:v>
      </x:c>
      <x:c r="U367" s="20" t="str">
        <x:v>92</x:v>
      </x:c>
      <x:c r="V367" s="20" t="str">
        <x:v>状态路由，不单独增加命理分</x:v>
      </x:c>
      <x:c r="W367" s="20" t="str">
        <x:v>repair_status</x:v>
      </x:c>
      <x:c r="X367" s="20" t="str">
        <x:v>进入条件必须由事件节点和证据深度支持。</x:v>
      </x:c>
      <x:c r="Y367" s="20" t="str">
        <x:v>判断这一状态需要看到：至少RV3，且有明确缺口。</x:v>
      </x:c>
      <x:c r="Z36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7" s="20" t="str">
        <x:v>中高</x:v>
      </x:c>
      <x:c r="AB367" s="20" t="str">
        <x:v>待验证</x:v>
      </x:c>
      <x:c r="AC367" s="20" t="str"/>
      <x:c r="AD367" s="20" t="str">
        <x:v>provisional=true；M3-REPAIR尚未完成，完成条件为暂定功能模型。</x:v>
      </x:c>
      <x:c r="AE367" s="52" t="str">
        <x:v>0.7</x:v>
      </x:c>
    </x:row>
    <x:row r="368">
      <x:c r="A368" s="51" t="str">
        <x:v>M4-REPAIR-367</x:v>
      </x:c>
      <x:c r="B368" s="20" t="str">
        <x:v>RS4 部分修复｜输出语言</x:v>
      </x:c>
      <x:c r="C368" s="20" t="str">
        <x:v>L7 修复状态与完成层级</x:v>
      </x:c>
      <x:c r="D368" s="20" t="str">
        <x:v>REPAIR-修复状态</x:v>
      </x:c>
      <x:c r="E368" s="20" t="str">
        <x:v>通用</x:v>
      </x:c>
      <x:c r="F368" s="20" t="str">
        <x:v>输出</x:v>
      </x:c>
      <x:c r="G368" s="20" t="str">
        <x:v>RS4</x:v>
      </x:c>
      <x:c r="H368" s="20" t="str"/>
      <x:c r="I368" s="20" t="str">
        <x:v>该状态已通过去重、反例和安全检查。</x:v>
      </x:c>
      <x:c r="J368" s="20" t="str">
        <x:v>混淆修复状态与原谅、复合或关系结果。</x:v>
      </x:c>
      <x:c r="K368" s="20" t="str">
        <x:v>由共享基础引擎提供；仅修正修复功能的承载、持续与压力占位，不直接等同是否愿意认错或能否修复。</x:v>
      </x:c>
      <x:c r="L368" s="20" t="str">
        <x:v>由M1／M2提供；夫妻星只说明伴侣原型与关系资格，不单独证明修复能力、修复意愿或修复结果。</x:v>
      </x:c>
      <x:c r="M368" s="20" t="str">
        <x:v>由M3-BASE提供；日支底盘说明亲密关系中自然调用的功能，但不能单独证明修复闭环。</x:v>
      </x:c>
      <x:c r="N368" s="20" t="str">
        <x:v>由M3-CONFLICT、M4-LOOP及现实事件提供；必须区分问题停止、责任承担、影响确认、行动改变、反馈整合与后续回访。</x:v>
      </x:c>
      <x:c r="O368" s="20" t="str">
        <x:v>由共享基础引擎判定；近位提高相关功能进入亲密关系核心的概率，远位只作背景或阶段修正。</x:v>
      </x:c>
      <x:c r="P368" s="20" t="str">
        <x:v>根气只修正某修复功能是否容易重复调用，不等于现实中已经持续改变。</x:v>
      </x:c>
      <x:c r="Q368" s="20" t="str">
        <x:v>旺弱只修正功能调用强度与占位，不直接等同修复质量、诚意或关系结果。</x:v>
      </x:c>
      <x:c r="R368" s="20" t="str">
        <x:v>喜忌只修正功能摩擦、平衡与承载，不直接等同道德、成熟、善恶或是否值得原谅。</x:v>
      </x:c>
      <x:c r="S368" s="20" t="str">
        <x:v>原十神功能有效；真合化成立时按化神功能替换，合化争议时停止定性。</x:v>
      </x:c>
      <x:c r="T368" s="20" t="str">
        <x:v>近位提高修复议题与亲密关系的直接相关性；远位仅保留背景、阶段或低置信修正。</x:v>
      </x:c>
      <x:c r="U368" s="20" t="str">
        <x:v>76</x:v>
      </x:c>
      <x:c r="V368" s="20" t="str">
        <x:v>状态路由，不单独增加命理分</x:v>
      </x:c>
      <x:c r="W368" s="20" t="str">
        <x:v>repair_status</x:v>
      </x:c>
      <x:c r="X368" s="20" t="str">
        <x:v>输出需同时说明完成和未完成部分。</x:v>
      </x:c>
      <x:c r="Y368" s="20" t="str">
        <x:v>已经完成了一部分修复，当前卡在________。</x:v>
      </x:c>
      <x:c r="Z36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8" s="20" t="str">
        <x:v>中高</x:v>
      </x:c>
      <x:c r="AB368" s="20" t="str">
        <x:v>待验证</x:v>
      </x:c>
      <x:c r="AC368" s="20" t="str"/>
      <x:c r="AD368" s="20" t="str">
        <x:v>provisional=true；M3-REPAIR尚未完成，完成条件为暂定功能模型。</x:v>
      </x:c>
      <x:c r="AE368" s="52" t="str">
        <x:v>0.7</x:v>
      </x:c>
    </x:row>
    <x:row r="369">
      <x:c r="A369" s="51" t="str">
        <x:v>M4-REPAIR-368</x:v>
      </x:c>
      <x:c r="B369" s="20" t="str">
        <x:v>RS4 部分修复｜升级／停止边界</x:v>
      </x:c>
      <x:c r="C369" s="20" t="str">
        <x:v>L7 修复状态与完成层级</x:v>
      </x:c>
      <x:c r="D369" s="20" t="str">
        <x:v>REPAIR-修复状态</x:v>
      </x:c>
      <x:c r="E369" s="20" t="str">
        <x:v>通用</x:v>
      </x:c>
      <x:c r="F369" s="20" t="str">
        <x:v>边界</x:v>
      </x:c>
      <x:c r="G369" s="20" t="str">
        <x:v>RS4</x:v>
      </x:c>
      <x:c r="H369" s="20" t="str"/>
      <x:c r="I369" s="20" t="str">
        <x:v>只有新增现实节点、持续行为或接收反馈才能升级。</x:v>
      </x:c>
      <x:c r="J369" s="20" t="str">
        <x:v>靠命理分值、一次情绪或道歉标签升级。</x:v>
      </x:c>
      <x:c r="K369" s="20" t="str">
        <x:v>由共享基础引擎提供；仅修正修复功能的承载、持续与压力占位，不直接等同是否愿意认错或能否修复。</x:v>
      </x:c>
      <x:c r="L369" s="20" t="str">
        <x:v>由M1／M2提供；夫妻星只说明伴侣原型与关系资格，不单独证明修复能力、修复意愿或修复结果。</x:v>
      </x:c>
      <x:c r="M369" s="20" t="str">
        <x:v>由M3-BASE提供；日支底盘说明亲密关系中自然调用的功能，但不能单独证明修复闭环。</x:v>
      </x:c>
      <x:c r="N369" s="20" t="str">
        <x:v>由M3-CONFLICT、M4-LOOP及现实事件提供；必须区分问题停止、责任承担、影响确认、行动改变、反馈整合与后续回访。</x:v>
      </x:c>
      <x:c r="O369" s="20" t="str">
        <x:v>由共享基础引擎判定；近位提高相关功能进入亲密关系核心的概率，远位只作背景或阶段修正。</x:v>
      </x:c>
      <x:c r="P369" s="20" t="str">
        <x:v>根气只修正某修复功能是否容易重复调用，不等于现实中已经持续改变。</x:v>
      </x:c>
      <x:c r="Q369" s="20" t="str">
        <x:v>旺弱只修正功能调用强度与占位，不直接等同修复质量、诚意或关系结果。</x:v>
      </x:c>
      <x:c r="R369" s="20" t="str">
        <x:v>喜忌只修正功能摩擦、平衡与承载，不直接等同道德、成熟、善恶或是否值得原谅。</x:v>
      </x:c>
      <x:c r="S369" s="20" t="str">
        <x:v>原十神功能有效；真合化成立时按化神功能替换，合化争议时停止定性。</x:v>
      </x:c>
      <x:c r="T369" s="20" t="str">
        <x:v>近位提高修复议题与亲密关系的直接相关性；远位仅保留背景、阶段或低置信修正。</x:v>
      </x:c>
      <x:c r="U369" s="20" t="str">
        <x:v>92</x:v>
      </x:c>
      <x:c r="V369" s="20" t="str">
        <x:v>状态路由，不单独增加命理分</x:v>
      </x:c>
      <x:c r="W369" s="20" t="str">
        <x:v>repair_status</x:v>
      </x:c>
      <x:c r="X369" s="20" t="str">
        <x:v>RS状态升级依赖现实过程。</x:v>
      </x:c>
      <x:c r="Y369" s="20" t="str">
        <x:v>状态变化要由新的现实证据推动，不能只靠结构推测。</x:v>
      </x:c>
      <x:c r="Z36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69" s="20" t="str">
        <x:v>中高</x:v>
      </x:c>
      <x:c r="AB369" s="20" t="str">
        <x:v>待验证</x:v>
      </x:c>
      <x:c r="AC369" s="20" t="str"/>
      <x:c r="AD369" s="20" t="str">
        <x:v>provisional=true；M3-REPAIR尚未完成，完成条件为暂定功能模型。</x:v>
      </x:c>
      <x:c r="AE369" s="52" t="str">
        <x:v>0.7</x:v>
      </x:c>
    </x:row>
    <x:row r="370">
      <x:c r="A370" s="51" t="str">
        <x:v>M4-REPAIR-369</x:v>
      </x:c>
      <x:c r="B370" s="20" t="str">
        <x:v>RS5 修复闭环候选｜状态定义</x:v>
      </x:c>
      <x:c r="C370" s="20" t="str">
        <x:v>L7 修复状态与完成层级</x:v>
      </x:c>
      <x:c r="D370" s="20" t="str">
        <x:v>REPAIR-修复状态</x:v>
      </x:c>
      <x:c r="E370" s="20" t="str">
        <x:v>通用</x:v>
      </x:c>
      <x:c r="F370" s="20" t="str">
        <x:v>定义</x:v>
      </x:c>
      <x:c r="G370" s="20" t="str">
        <x:v>RS5</x:v>
      </x:c>
      <x:c r="H370" s="20" t="str"/>
      <x:c r="I370" s="20" t="str">
        <x:v>事件类型所需最低节点基本完成，接收反馈和现实改变已进入。</x:v>
      </x:c>
      <x:c r="J370" s="20" t="str">
        <x:v>用命盘或单一动作越级判断。</x:v>
      </x:c>
      <x:c r="K370" s="20" t="str">
        <x:v>由共享基础引擎提供；仅修正修复功能的承载、持续与压力占位，不直接等同是否愿意认错或能否修复。</x:v>
      </x:c>
      <x:c r="L370" s="20" t="str">
        <x:v>由M1／M2提供；夫妻星只说明伴侣原型与关系资格，不单独证明修复能力、修复意愿或修复结果。</x:v>
      </x:c>
      <x:c r="M370" s="20" t="str">
        <x:v>由M3-BASE提供；日支底盘说明亲密关系中自然调用的功能，但不能单独证明修复闭环。</x:v>
      </x:c>
      <x:c r="N370" s="20" t="str">
        <x:v>由M3-CONFLICT、M4-LOOP及现实事件提供；必须区分问题停止、责任承担、影响确认、行动改变、反馈整合与后续回访。</x:v>
      </x:c>
      <x:c r="O370" s="20" t="str">
        <x:v>由共享基础引擎判定；近位提高相关功能进入亲密关系核心的概率，远位只作背景或阶段修正。</x:v>
      </x:c>
      <x:c r="P370" s="20" t="str">
        <x:v>根气只修正某修复功能是否容易重复调用，不等于现实中已经持续改变。</x:v>
      </x:c>
      <x:c r="Q370" s="20" t="str">
        <x:v>旺弱只修正功能调用强度与占位，不直接等同修复质量、诚意或关系结果。</x:v>
      </x:c>
      <x:c r="R370" s="20" t="str">
        <x:v>喜忌只修正功能摩擦、平衡与承载，不直接等同道德、成熟、善恶或是否值得原谅。</x:v>
      </x:c>
      <x:c r="S370" s="20" t="str">
        <x:v>原十神功能有效；真合化成立时按化神功能替换，合化争议时停止定性。</x:v>
      </x:c>
      <x:c r="T370" s="20" t="str">
        <x:v>近位提高修复议题与亲密关系的直接相关性；远位仅保留背景、阶段或低置信修正。</x:v>
      </x:c>
      <x:c r="U370" s="20" t="str">
        <x:v>76</x:v>
      </x:c>
      <x:c r="V370" s="20" t="str">
        <x:v>状态路由，不单独增加命理分</x:v>
      </x:c>
      <x:c r="W370" s="20" t="str">
        <x:v>repair_status</x:v>
      </x:c>
      <x:c r="X370" s="20" t="str">
        <x:v>RS状态描述现实修复进度，不评价关系好坏。</x:v>
      </x:c>
      <x:c r="Y370" s="20" t="str">
        <x:v>目前具备修复闭环的主要条件，但持续性仍需时间验证。</x:v>
      </x:c>
      <x:c r="Z37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0" s="20" t="str">
        <x:v>中高</x:v>
      </x:c>
      <x:c r="AB370" s="20" t="str">
        <x:v>待验证</x:v>
      </x:c>
      <x:c r="AC370" s="20" t="str"/>
      <x:c r="AD370" s="20" t="str">
        <x:v>provisional=true；M3-REPAIR尚未完成，完成条件为暂定功能模型。</x:v>
      </x:c>
      <x:c r="AE370" s="52" t="str">
        <x:v>0.7</x:v>
      </x:c>
    </x:row>
    <x:row r="371">
      <x:c r="A371" s="51" t="str">
        <x:v>M4-REPAIR-370</x:v>
      </x:c>
      <x:c r="B371" s="20" t="str">
        <x:v>RS5 修复闭环候选｜进入条件</x:v>
      </x:c>
      <x:c r="C371" s="20" t="str">
        <x:v>L7 修复状态与完成层级</x:v>
      </x:c>
      <x:c r="D371" s="20" t="str">
        <x:v>REPAIR-修复状态</x:v>
      </x:c>
      <x:c r="E371" s="20" t="str">
        <x:v>通用</x:v>
      </x:c>
      <x:c r="F371" s="20" t="str">
        <x:v>门槛</x:v>
      </x:c>
      <x:c r="G371" s="20" t="str">
        <x:v>RS5</x:v>
      </x:c>
      <x:c r="H371" s="20" t="str"/>
      <x:c r="I371" s="20" t="str">
        <x:v>至少RV4／RV5，反例和安全检查通过。</x:v>
      </x:c>
      <x:c r="J371" s="20" t="str">
        <x:v>必要现实证据缺失。</x:v>
      </x:c>
      <x:c r="K371" s="20" t="str">
        <x:v>由共享基础引擎提供；仅修正修复功能的承载、持续与压力占位，不直接等同是否愿意认错或能否修复。</x:v>
      </x:c>
      <x:c r="L371" s="20" t="str">
        <x:v>由M1／M2提供；夫妻星只说明伴侣原型与关系资格，不单独证明修复能力、修复意愿或修复结果。</x:v>
      </x:c>
      <x:c r="M371" s="20" t="str">
        <x:v>由M3-BASE提供；日支底盘说明亲密关系中自然调用的功能，但不能单独证明修复闭环。</x:v>
      </x:c>
      <x:c r="N371" s="20" t="str">
        <x:v>由M3-CONFLICT、M4-LOOP及现实事件提供；必须区分问题停止、责任承担、影响确认、行动改变、反馈整合与后续回访。</x:v>
      </x:c>
      <x:c r="O371" s="20" t="str">
        <x:v>由共享基础引擎判定；近位提高相关功能进入亲密关系核心的概率，远位只作背景或阶段修正。</x:v>
      </x:c>
      <x:c r="P371" s="20" t="str">
        <x:v>根气只修正某修复功能是否容易重复调用，不等于现实中已经持续改变。</x:v>
      </x:c>
      <x:c r="Q371" s="20" t="str">
        <x:v>旺弱只修正功能调用强度与占位，不直接等同修复质量、诚意或关系结果。</x:v>
      </x:c>
      <x:c r="R371" s="20" t="str">
        <x:v>喜忌只修正功能摩擦、平衡与承载，不直接等同道德、成熟、善恶或是否值得原谅。</x:v>
      </x:c>
      <x:c r="S371" s="20" t="str">
        <x:v>原十神功能有效；真合化成立时按化神功能替换，合化争议时停止定性。</x:v>
      </x:c>
      <x:c r="T371" s="20" t="str">
        <x:v>近位提高修复议题与亲密关系的直接相关性；远位仅保留背景、阶段或低置信修正。</x:v>
      </x:c>
      <x:c r="U371" s="20" t="str">
        <x:v>92</x:v>
      </x:c>
      <x:c r="V371" s="20" t="str">
        <x:v>状态路由，不单独增加命理分</x:v>
      </x:c>
      <x:c r="W371" s="20" t="str">
        <x:v>repair_status</x:v>
      </x:c>
      <x:c r="X371" s="20" t="str">
        <x:v>进入条件必须由事件节点和证据深度支持。</x:v>
      </x:c>
      <x:c r="Y371" s="20" t="str">
        <x:v>判断这一状态需要看到：至少RV4／RV5，反例和安全检查通过。</x:v>
      </x:c>
      <x:c r="Z37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1" s="20" t="str">
        <x:v>中高</x:v>
      </x:c>
      <x:c r="AB371" s="20" t="str">
        <x:v>待验证</x:v>
      </x:c>
      <x:c r="AC371" s="20" t="str"/>
      <x:c r="AD371" s="20" t="str">
        <x:v>provisional=true；M3-REPAIR尚未完成，完成条件为暂定功能模型。</x:v>
      </x:c>
      <x:c r="AE371" s="52" t="str">
        <x:v>0.7</x:v>
      </x:c>
    </x:row>
    <x:row r="372">
      <x:c r="A372" s="51" t="str">
        <x:v>M4-REPAIR-371</x:v>
      </x:c>
      <x:c r="B372" s="20" t="str">
        <x:v>RS5 修复闭环候选｜输出语言</x:v>
      </x:c>
      <x:c r="C372" s="20" t="str">
        <x:v>L7 修复状态与完成层级</x:v>
      </x:c>
      <x:c r="D372" s="20" t="str">
        <x:v>REPAIR-修复状态</x:v>
      </x:c>
      <x:c r="E372" s="20" t="str">
        <x:v>通用</x:v>
      </x:c>
      <x:c r="F372" s="20" t="str">
        <x:v>输出</x:v>
      </x:c>
      <x:c r="G372" s="20" t="str">
        <x:v>RS5</x:v>
      </x:c>
      <x:c r="H372" s="20" t="str"/>
      <x:c r="I372" s="20" t="str">
        <x:v>该状态已通过去重、反例和安全检查。</x:v>
      </x:c>
      <x:c r="J372" s="20" t="str">
        <x:v>混淆修复状态与原谅、复合或关系结果。</x:v>
      </x:c>
      <x:c r="K372" s="20" t="str">
        <x:v>由共享基础引擎提供；仅修正修复功能的承载、持续与压力占位，不直接等同是否愿意认错或能否修复。</x:v>
      </x:c>
      <x:c r="L372" s="20" t="str">
        <x:v>由M1／M2提供；夫妻星只说明伴侣原型与关系资格，不单独证明修复能力、修复意愿或修复结果。</x:v>
      </x:c>
      <x:c r="M372" s="20" t="str">
        <x:v>由M3-BASE提供；日支底盘说明亲密关系中自然调用的功能，但不能单独证明修复闭环。</x:v>
      </x:c>
      <x:c r="N372" s="20" t="str">
        <x:v>由M3-CONFLICT、M4-LOOP及现实事件提供；必须区分问题停止、责任承担、影响确认、行动改变、反馈整合与后续回访。</x:v>
      </x:c>
      <x:c r="O372" s="20" t="str">
        <x:v>由共享基础引擎判定；近位提高相关功能进入亲密关系核心的概率，远位只作背景或阶段修正。</x:v>
      </x:c>
      <x:c r="P372" s="20" t="str">
        <x:v>根气只修正某修复功能是否容易重复调用，不等于现实中已经持续改变。</x:v>
      </x:c>
      <x:c r="Q372" s="20" t="str">
        <x:v>旺弱只修正功能调用强度与占位，不直接等同修复质量、诚意或关系结果。</x:v>
      </x:c>
      <x:c r="R372" s="20" t="str">
        <x:v>喜忌只修正功能摩擦、平衡与承载，不直接等同道德、成熟、善恶或是否值得原谅。</x:v>
      </x:c>
      <x:c r="S372" s="20" t="str">
        <x:v>原十神功能有效；真合化成立时按化神功能替换，合化争议时停止定性。</x:v>
      </x:c>
      <x:c r="T372" s="20" t="str">
        <x:v>近位提高修复议题与亲密关系的直接相关性；远位仅保留背景、阶段或低置信修正。</x:v>
      </x:c>
      <x:c r="U372" s="20" t="str">
        <x:v>76</x:v>
      </x:c>
      <x:c r="V372" s="20" t="str">
        <x:v>状态路由，不单独增加命理分</x:v>
      </x:c>
      <x:c r="W372" s="20" t="str">
        <x:v>repair_status</x:v>
      </x:c>
      <x:c r="X372" s="20" t="str">
        <x:v>输出需同时说明完成和未完成部分。</x:v>
      </x:c>
      <x:c r="Y372" s="20" t="str">
        <x:v>目前具备修复闭环的主要条件，但持续性仍需时间验证。</x:v>
      </x:c>
      <x:c r="Z37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2" s="20" t="str">
        <x:v>中高</x:v>
      </x:c>
      <x:c r="AB372" s="20" t="str">
        <x:v>待验证</x:v>
      </x:c>
      <x:c r="AC372" s="20" t="str"/>
      <x:c r="AD372" s="20" t="str">
        <x:v>provisional=true；M3-REPAIR尚未完成，完成条件为暂定功能模型。</x:v>
      </x:c>
      <x:c r="AE372" s="52" t="str">
        <x:v>0.7</x:v>
      </x:c>
    </x:row>
    <x:row r="373">
      <x:c r="A373" s="51" t="str">
        <x:v>M4-REPAIR-372</x:v>
      </x:c>
      <x:c r="B373" s="20" t="str">
        <x:v>RS5 修复闭环候选｜升级／停止边界</x:v>
      </x:c>
      <x:c r="C373" s="20" t="str">
        <x:v>L7 修复状态与完成层级</x:v>
      </x:c>
      <x:c r="D373" s="20" t="str">
        <x:v>REPAIR-修复状态</x:v>
      </x:c>
      <x:c r="E373" s="20" t="str">
        <x:v>通用</x:v>
      </x:c>
      <x:c r="F373" s="20" t="str">
        <x:v>边界</x:v>
      </x:c>
      <x:c r="G373" s="20" t="str">
        <x:v>RS5</x:v>
      </x:c>
      <x:c r="H373" s="20" t="str"/>
      <x:c r="I373" s="20" t="str">
        <x:v>只有新增现实节点、持续行为或接收反馈才能升级。</x:v>
      </x:c>
      <x:c r="J373" s="20" t="str">
        <x:v>靠命理分值、一次情绪或道歉标签升级。</x:v>
      </x:c>
      <x:c r="K373" s="20" t="str">
        <x:v>由共享基础引擎提供；仅修正修复功能的承载、持续与压力占位，不直接等同是否愿意认错或能否修复。</x:v>
      </x:c>
      <x:c r="L373" s="20" t="str">
        <x:v>由M1／M2提供；夫妻星只说明伴侣原型与关系资格，不单独证明修复能力、修复意愿或修复结果。</x:v>
      </x:c>
      <x:c r="M373" s="20" t="str">
        <x:v>由M3-BASE提供；日支底盘说明亲密关系中自然调用的功能，但不能单独证明修复闭环。</x:v>
      </x:c>
      <x:c r="N373" s="20" t="str">
        <x:v>由M3-CONFLICT、M4-LOOP及现实事件提供；必须区分问题停止、责任承担、影响确认、行动改变、反馈整合与后续回访。</x:v>
      </x:c>
      <x:c r="O373" s="20" t="str">
        <x:v>由共享基础引擎判定；近位提高相关功能进入亲密关系核心的概率，远位只作背景或阶段修正。</x:v>
      </x:c>
      <x:c r="P373" s="20" t="str">
        <x:v>根气只修正某修复功能是否容易重复调用，不等于现实中已经持续改变。</x:v>
      </x:c>
      <x:c r="Q373" s="20" t="str">
        <x:v>旺弱只修正功能调用强度与占位，不直接等同修复质量、诚意或关系结果。</x:v>
      </x:c>
      <x:c r="R373" s="20" t="str">
        <x:v>喜忌只修正功能摩擦、平衡与承载，不直接等同道德、成熟、善恶或是否值得原谅。</x:v>
      </x:c>
      <x:c r="S373" s="20" t="str">
        <x:v>原十神功能有效；真合化成立时按化神功能替换，合化争议时停止定性。</x:v>
      </x:c>
      <x:c r="T373" s="20" t="str">
        <x:v>近位提高修复议题与亲密关系的直接相关性；远位仅保留背景、阶段或低置信修正。</x:v>
      </x:c>
      <x:c r="U373" s="20" t="str">
        <x:v>92</x:v>
      </x:c>
      <x:c r="V373" s="20" t="str">
        <x:v>状态路由，不单独增加命理分</x:v>
      </x:c>
      <x:c r="W373" s="20" t="str">
        <x:v>repair_status</x:v>
      </x:c>
      <x:c r="X373" s="20" t="str">
        <x:v>RS状态升级依赖现实过程。</x:v>
      </x:c>
      <x:c r="Y373" s="20" t="str">
        <x:v>状态变化要由新的现实证据推动，不能只靠结构推测。</x:v>
      </x:c>
      <x:c r="Z37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3" s="20" t="str">
        <x:v>中高</x:v>
      </x:c>
      <x:c r="AB373" s="20" t="str">
        <x:v>待验证</x:v>
      </x:c>
      <x:c r="AC373" s="20" t="str"/>
      <x:c r="AD373" s="20" t="str">
        <x:v>provisional=true；M3-REPAIR尚未完成，完成条件为暂定功能模型。</x:v>
      </x:c>
      <x:c r="AE373" s="52" t="str">
        <x:v>0.7</x:v>
      </x:c>
    </x:row>
    <x:row r="374">
      <x:c r="A374" s="51" t="str">
        <x:v>M4-REPAIR-373</x:v>
      </x:c>
      <x:c r="B374" s="20" t="str">
        <x:v>RS6 持续修复已验证｜状态定义</x:v>
      </x:c>
      <x:c r="C374" s="20" t="str">
        <x:v>L7 修复状态与完成层级</x:v>
      </x:c>
      <x:c r="D374" s="20" t="str">
        <x:v>REPAIR-修复状态</x:v>
      </x:c>
      <x:c r="E374" s="20" t="str">
        <x:v>通用</x:v>
      </x:c>
      <x:c r="F374" s="20" t="str">
        <x:v>定义</x:v>
      </x:c>
      <x:c r="G374" s="20" t="str">
        <x:v>RS6</x:v>
      </x:c>
      <x:c r="H374" s="20" t="str"/>
      <x:c r="I374" s="20" t="str">
        <x:v>相似情境中改变能够保持，并完成回访、反例和独立佐证。</x:v>
      </x:c>
      <x:c r="J374" s="20" t="str">
        <x:v>用命盘或单一动作越级判断。</x:v>
      </x:c>
      <x:c r="K374" s="20" t="str">
        <x:v>由共享基础引擎提供；仅修正修复功能的承载、持续与压力占位，不直接等同是否愿意认错或能否修复。</x:v>
      </x:c>
      <x:c r="L374" s="20" t="str">
        <x:v>由M1／M2提供；夫妻星只说明伴侣原型与关系资格，不单独证明修复能力、修复意愿或修复结果。</x:v>
      </x:c>
      <x:c r="M374" s="20" t="str">
        <x:v>由M3-BASE提供；日支底盘说明亲密关系中自然调用的功能，但不能单独证明修复闭环。</x:v>
      </x:c>
      <x:c r="N374" s="20" t="str">
        <x:v>由M3-CONFLICT、M4-LOOP及现实事件提供；必须区分问题停止、责任承担、影响确认、行动改变、反馈整合与后续回访。</x:v>
      </x:c>
      <x:c r="O374" s="20" t="str">
        <x:v>由共享基础引擎判定；近位提高相关功能进入亲密关系核心的概率，远位只作背景或阶段修正。</x:v>
      </x:c>
      <x:c r="P374" s="20" t="str">
        <x:v>根气只修正某修复功能是否容易重复调用，不等于现实中已经持续改变。</x:v>
      </x:c>
      <x:c r="Q374" s="20" t="str">
        <x:v>旺弱只修正功能调用强度与占位，不直接等同修复质量、诚意或关系结果。</x:v>
      </x:c>
      <x:c r="R374" s="20" t="str">
        <x:v>喜忌只修正功能摩擦、平衡与承载，不直接等同道德、成熟、善恶或是否值得原谅。</x:v>
      </x:c>
      <x:c r="S374" s="20" t="str">
        <x:v>原十神功能有效；真合化成立时按化神功能替换，合化争议时停止定性。</x:v>
      </x:c>
      <x:c r="T374" s="20" t="str">
        <x:v>近位提高修复议题与亲密关系的直接相关性；远位仅保留背景、阶段或低置信修正。</x:v>
      </x:c>
      <x:c r="U374" s="20" t="str">
        <x:v>76</x:v>
      </x:c>
      <x:c r="V374" s="20" t="str">
        <x:v>状态路由，不单独增加命理分</x:v>
      </x:c>
      <x:c r="W374" s="20" t="str">
        <x:v>repair_status</x:v>
      </x:c>
      <x:c r="X374" s="20" t="str">
        <x:v>RS状态描述现实修复进度，不评价关系好坏。</x:v>
      </x:c>
      <x:c r="Y374" s="20" t="str">
        <x:v>从后续表现看，这次修复已经不只是一次动作，而形成了较稳定的新做法。</x:v>
      </x:c>
      <x:c r="Z37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4" s="20" t="str">
        <x:v>中高</x:v>
      </x:c>
      <x:c r="AB374" s="20" t="str">
        <x:v>待验证</x:v>
      </x:c>
      <x:c r="AC374" s="20" t="str"/>
      <x:c r="AD374" s="20" t="str">
        <x:v>provisional=true；M3-REPAIR尚未完成，完成条件为暂定功能模型。</x:v>
      </x:c>
      <x:c r="AE374" s="52" t="str">
        <x:v>0.7</x:v>
      </x:c>
    </x:row>
    <x:row r="375">
      <x:c r="A375" s="51" t="str">
        <x:v>M4-REPAIR-374</x:v>
      </x:c>
      <x:c r="B375" s="20" t="str">
        <x:v>RS6 持续修复已验证｜进入条件</x:v>
      </x:c>
      <x:c r="C375" s="20" t="str">
        <x:v>L7 修复状态与完成层级</x:v>
      </x:c>
      <x:c r="D375" s="20" t="str">
        <x:v>REPAIR-修复状态</x:v>
      </x:c>
      <x:c r="E375" s="20" t="str">
        <x:v>通用</x:v>
      </x:c>
      <x:c r="F375" s="20" t="str">
        <x:v>门槛</x:v>
      </x:c>
      <x:c r="G375" s="20" t="str">
        <x:v>RS6</x:v>
      </x:c>
      <x:c r="H375" s="20" t="str"/>
      <x:c r="I375" s="20" t="str">
        <x:v>RV6／RV7，且无重大反例。</x:v>
      </x:c>
      <x:c r="J375" s="20" t="str">
        <x:v>必要现实证据缺失。</x:v>
      </x:c>
      <x:c r="K375" s="20" t="str">
        <x:v>由共享基础引擎提供；仅修正修复功能的承载、持续与压力占位，不直接等同是否愿意认错或能否修复。</x:v>
      </x:c>
      <x:c r="L375" s="20" t="str">
        <x:v>由M1／M2提供；夫妻星只说明伴侣原型与关系资格，不单独证明修复能力、修复意愿或修复结果。</x:v>
      </x:c>
      <x:c r="M375" s="20" t="str">
        <x:v>由M3-BASE提供；日支底盘说明亲密关系中自然调用的功能，但不能单独证明修复闭环。</x:v>
      </x:c>
      <x:c r="N375" s="20" t="str">
        <x:v>由M3-CONFLICT、M4-LOOP及现实事件提供；必须区分问题停止、责任承担、影响确认、行动改变、反馈整合与后续回访。</x:v>
      </x:c>
      <x:c r="O375" s="20" t="str">
        <x:v>由共享基础引擎判定；近位提高相关功能进入亲密关系核心的概率，远位只作背景或阶段修正。</x:v>
      </x:c>
      <x:c r="P375" s="20" t="str">
        <x:v>根气只修正某修复功能是否容易重复调用，不等于现实中已经持续改变。</x:v>
      </x:c>
      <x:c r="Q375" s="20" t="str">
        <x:v>旺弱只修正功能调用强度与占位，不直接等同修复质量、诚意或关系结果。</x:v>
      </x:c>
      <x:c r="R375" s="20" t="str">
        <x:v>喜忌只修正功能摩擦、平衡与承载，不直接等同道德、成熟、善恶或是否值得原谅。</x:v>
      </x:c>
      <x:c r="S375" s="20" t="str">
        <x:v>原十神功能有效；真合化成立时按化神功能替换，合化争议时停止定性。</x:v>
      </x:c>
      <x:c r="T375" s="20" t="str">
        <x:v>近位提高修复议题与亲密关系的直接相关性；远位仅保留背景、阶段或低置信修正。</x:v>
      </x:c>
      <x:c r="U375" s="20" t="str">
        <x:v>92</x:v>
      </x:c>
      <x:c r="V375" s="20" t="str">
        <x:v>状态路由，不单独增加命理分</x:v>
      </x:c>
      <x:c r="W375" s="20" t="str">
        <x:v>repair_status</x:v>
      </x:c>
      <x:c r="X375" s="20" t="str">
        <x:v>进入条件必须由事件节点和证据深度支持。</x:v>
      </x:c>
      <x:c r="Y375" s="20" t="str">
        <x:v>判断这一状态需要看到：RV6／RV7，且无重大反例。</x:v>
      </x:c>
      <x:c r="Z37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5" s="20" t="str">
        <x:v>中高</x:v>
      </x:c>
      <x:c r="AB375" s="20" t="str">
        <x:v>待验证</x:v>
      </x:c>
      <x:c r="AC375" s="20" t="str"/>
      <x:c r="AD375" s="20" t="str">
        <x:v>provisional=true；M3-REPAIR尚未完成，完成条件为暂定功能模型。</x:v>
      </x:c>
      <x:c r="AE375" s="52" t="str">
        <x:v>0.7</x:v>
      </x:c>
    </x:row>
    <x:row r="376">
      <x:c r="A376" s="51" t="str">
        <x:v>M4-REPAIR-375</x:v>
      </x:c>
      <x:c r="B376" s="20" t="str">
        <x:v>RS6 持续修复已验证｜输出语言</x:v>
      </x:c>
      <x:c r="C376" s="20" t="str">
        <x:v>L7 修复状态与完成层级</x:v>
      </x:c>
      <x:c r="D376" s="20" t="str">
        <x:v>REPAIR-修复状态</x:v>
      </x:c>
      <x:c r="E376" s="20" t="str">
        <x:v>通用</x:v>
      </x:c>
      <x:c r="F376" s="20" t="str">
        <x:v>输出</x:v>
      </x:c>
      <x:c r="G376" s="20" t="str">
        <x:v>RS6</x:v>
      </x:c>
      <x:c r="H376" s="20" t="str"/>
      <x:c r="I376" s="20" t="str">
        <x:v>该状态已通过去重、反例和安全检查。</x:v>
      </x:c>
      <x:c r="J376" s="20" t="str">
        <x:v>混淆修复状态与原谅、复合或关系结果。</x:v>
      </x:c>
      <x:c r="K376" s="20" t="str">
        <x:v>由共享基础引擎提供；仅修正修复功能的承载、持续与压力占位，不直接等同是否愿意认错或能否修复。</x:v>
      </x:c>
      <x:c r="L376" s="20" t="str">
        <x:v>由M1／M2提供；夫妻星只说明伴侣原型与关系资格，不单独证明修复能力、修复意愿或修复结果。</x:v>
      </x:c>
      <x:c r="M376" s="20" t="str">
        <x:v>由M3-BASE提供；日支底盘说明亲密关系中自然调用的功能，但不能单独证明修复闭环。</x:v>
      </x:c>
      <x:c r="N376" s="20" t="str">
        <x:v>由M3-CONFLICT、M4-LOOP及现实事件提供；必须区分问题停止、责任承担、影响确认、行动改变、反馈整合与后续回访。</x:v>
      </x:c>
      <x:c r="O376" s="20" t="str">
        <x:v>由共享基础引擎判定；近位提高相关功能进入亲密关系核心的概率，远位只作背景或阶段修正。</x:v>
      </x:c>
      <x:c r="P376" s="20" t="str">
        <x:v>根气只修正某修复功能是否容易重复调用，不等于现实中已经持续改变。</x:v>
      </x:c>
      <x:c r="Q376" s="20" t="str">
        <x:v>旺弱只修正功能调用强度与占位，不直接等同修复质量、诚意或关系结果。</x:v>
      </x:c>
      <x:c r="R376" s="20" t="str">
        <x:v>喜忌只修正功能摩擦、平衡与承载，不直接等同道德、成熟、善恶或是否值得原谅。</x:v>
      </x:c>
      <x:c r="S376" s="20" t="str">
        <x:v>原十神功能有效；真合化成立时按化神功能替换，合化争议时停止定性。</x:v>
      </x:c>
      <x:c r="T376" s="20" t="str">
        <x:v>近位提高修复议题与亲密关系的直接相关性；远位仅保留背景、阶段或低置信修正。</x:v>
      </x:c>
      <x:c r="U376" s="20" t="str">
        <x:v>76</x:v>
      </x:c>
      <x:c r="V376" s="20" t="str">
        <x:v>状态路由，不单独增加命理分</x:v>
      </x:c>
      <x:c r="W376" s="20" t="str">
        <x:v>repair_status</x:v>
      </x:c>
      <x:c r="X376" s="20" t="str">
        <x:v>输出需同时说明完成和未完成部分。</x:v>
      </x:c>
      <x:c r="Y376" s="20" t="str">
        <x:v>从后续表现看，这次修复已经不只是一次动作，而形成了较稳定的新做法。</x:v>
      </x:c>
      <x:c r="Z37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6" s="20" t="str">
        <x:v>中高</x:v>
      </x:c>
      <x:c r="AB376" s="20" t="str">
        <x:v>待验证</x:v>
      </x:c>
      <x:c r="AC376" s="20" t="str"/>
      <x:c r="AD376" s="20" t="str">
        <x:v>provisional=true；M3-REPAIR尚未完成，完成条件为暂定功能模型。</x:v>
      </x:c>
      <x:c r="AE376" s="52" t="str">
        <x:v>0.7</x:v>
      </x:c>
    </x:row>
    <x:row r="377">
      <x:c r="A377" s="51" t="str">
        <x:v>M4-REPAIR-376</x:v>
      </x:c>
      <x:c r="B377" s="20" t="str">
        <x:v>RS6 持续修复已验证｜升级／停止边界</x:v>
      </x:c>
      <x:c r="C377" s="20" t="str">
        <x:v>L7 修复状态与完成层级</x:v>
      </x:c>
      <x:c r="D377" s="20" t="str">
        <x:v>REPAIR-修复状态</x:v>
      </x:c>
      <x:c r="E377" s="20" t="str">
        <x:v>通用</x:v>
      </x:c>
      <x:c r="F377" s="20" t="str">
        <x:v>边界</x:v>
      </x:c>
      <x:c r="G377" s="20" t="str">
        <x:v>RS6</x:v>
      </x:c>
      <x:c r="H377" s="20" t="str"/>
      <x:c r="I377" s="20" t="str">
        <x:v>只有新增现实节点、持续行为或接收反馈才能升级。</x:v>
      </x:c>
      <x:c r="J377" s="20" t="str">
        <x:v>靠命理分值、一次情绪或道歉标签升级。</x:v>
      </x:c>
      <x:c r="K377" s="20" t="str">
        <x:v>由共享基础引擎提供；仅修正修复功能的承载、持续与压力占位，不直接等同是否愿意认错或能否修复。</x:v>
      </x:c>
      <x:c r="L377" s="20" t="str">
        <x:v>由M1／M2提供；夫妻星只说明伴侣原型与关系资格，不单独证明修复能力、修复意愿或修复结果。</x:v>
      </x:c>
      <x:c r="M377" s="20" t="str">
        <x:v>由M3-BASE提供；日支底盘说明亲密关系中自然调用的功能，但不能单独证明修复闭环。</x:v>
      </x:c>
      <x:c r="N377" s="20" t="str">
        <x:v>由M3-CONFLICT、M4-LOOP及现实事件提供；必须区分问题停止、责任承担、影响确认、行动改变、反馈整合与后续回访。</x:v>
      </x:c>
      <x:c r="O377" s="20" t="str">
        <x:v>由共享基础引擎判定；近位提高相关功能进入亲密关系核心的概率，远位只作背景或阶段修正。</x:v>
      </x:c>
      <x:c r="P377" s="20" t="str">
        <x:v>根气只修正某修复功能是否容易重复调用，不等于现实中已经持续改变。</x:v>
      </x:c>
      <x:c r="Q377" s="20" t="str">
        <x:v>旺弱只修正功能调用强度与占位，不直接等同修复质量、诚意或关系结果。</x:v>
      </x:c>
      <x:c r="R377" s="20" t="str">
        <x:v>喜忌只修正功能摩擦、平衡与承载，不直接等同道德、成熟、善恶或是否值得原谅。</x:v>
      </x:c>
      <x:c r="S377" s="20" t="str">
        <x:v>原十神功能有效；真合化成立时按化神功能替换，合化争议时停止定性。</x:v>
      </x:c>
      <x:c r="T377" s="20" t="str">
        <x:v>近位提高修复议题与亲密关系的直接相关性；远位仅保留背景、阶段或低置信修正。</x:v>
      </x:c>
      <x:c r="U377" s="20" t="str">
        <x:v>92</x:v>
      </x:c>
      <x:c r="V377" s="20" t="str">
        <x:v>状态路由，不单独增加命理分</x:v>
      </x:c>
      <x:c r="W377" s="20" t="str">
        <x:v>repair_status</x:v>
      </x:c>
      <x:c r="X377" s="20" t="str">
        <x:v>RS状态升级依赖现实过程。</x:v>
      </x:c>
      <x:c r="Y377" s="20" t="str">
        <x:v>状态变化要由新的现实证据推动，不能只靠结构推测。</x:v>
      </x:c>
      <x:c r="Z37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7" s="20" t="str">
        <x:v>中高</x:v>
      </x:c>
      <x:c r="AB377" s="20" t="str">
        <x:v>待验证</x:v>
      </x:c>
      <x:c r="AC377" s="20" t="str"/>
      <x:c r="AD377" s="20" t="str">
        <x:v>provisional=true；M3-REPAIR尚未完成，完成条件为暂定功能模型。</x:v>
      </x:c>
      <x:c r="AE377" s="52" t="str">
        <x:v>0.7</x:v>
      </x:c>
    </x:row>
    <x:row r="378">
      <x:c r="A378" s="51" t="str">
        <x:v>M4-REPAIR-377</x:v>
      </x:c>
      <x:c r="B378" s="20" t="str">
        <x:v>RS7 不继续关系／安全路由｜状态定义</x:v>
      </x:c>
      <x:c r="C378" s="20" t="str">
        <x:v>L7 修复状态与完成层级</x:v>
      </x:c>
      <x:c r="D378" s="20" t="str">
        <x:v>REPAIR-修复状态</x:v>
      </x:c>
      <x:c r="E378" s="20" t="str">
        <x:v>通用</x:v>
      </x:c>
      <x:c r="F378" s="20" t="str">
        <x:v>定义</x:v>
      </x:c>
      <x:c r="G378" s="20" t="str">
        <x:v>RS7</x:v>
      </x:c>
      <x:c r="H378" s="20" t="str"/>
      <x:c r="I378" s="20" t="str">
        <x:v>一方选择不原谅、不恢复信任或不继续关系，或现实安全优先。</x:v>
      </x:c>
      <x:c r="J378" s="20" t="str">
        <x:v>用命盘或单一动作越级判断。</x:v>
      </x:c>
      <x:c r="K378" s="20" t="str">
        <x:v>由共享基础引擎提供；仅修正修复功能的承载、持续与压力占位，不直接等同是否愿意认错或能否修复。</x:v>
      </x:c>
      <x:c r="L378" s="20" t="str">
        <x:v>由M1／M2提供；夫妻星只说明伴侣原型与关系资格，不单独证明修复能力、修复意愿或修复结果。</x:v>
      </x:c>
      <x:c r="M378" s="20" t="str">
        <x:v>由M3-BASE提供；日支底盘说明亲密关系中自然调用的功能，但不能单独证明修复闭环。</x:v>
      </x:c>
      <x:c r="N378" s="20" t="str">
        <x:v>由M3-CONFLICT、M4-LOOP及现实事件提供；必须区分问题停止、责任承担、影响确认、行动改变、反馈整合与后续回访。</x:v>
      </x:c>
      <x:c r="O378" s="20" t="str">
        <x:v>由共享基础引擎判定；近位提高相关功能进入亲密关系核心的概率，远位只作背景或阶段修正。</x:v>
      </x:c>
      <x:c r="P378" s="20" t="str">
        <x:v>根气只修正某修复功能是否容易重复调用，不等于现实中已经持续改变。</x:v>
      </x:c>
      <x:c r="Q378" s="20" t="str">
        <x:v>旺弱只修正功能调用强度与占位，不直接等同修复质量、诚意或关系结果。</x:v>
      </x:c>
      <x:c r="R378" s="20" t="str">
        <x:v>喜忌只修正功能摩擦、平衡与承载，不直接等同道德、成熟、善恶或是否值得原谅。</x:v>
      </x:c>
      <x:c r="S378" s="20" t="str">
        <x:v>原十神功能有效；真合化成立时按化神功能替换，合化争议时停止定性。</x:v>
      </x:c>
      <x:c r="T378" s="20" t="str">
        <x:v>近位提高修复议题与亲密关系的直接相关性；远位仅保留背景、阶段或低置信修正。</x:v>
      </x:c>
      <x:c r="U378" s="20" t="str">
        <x:v>76</x:v>
      </x:c>
      <x:c r="V378" s="20" t="str">
        <x:v>状态路由，不单独增加命理分</x:v>
      </x:c>
      <x:c r="W378" s="20" t="str">
        <x:v>repair_status</x:v>
      </x:c>
      <x:c r="X378" s="20" t="str">
        <x:v>RS状态描述现实修复进度，不评价关系好坏。</x:v>
      </x:c>
      <x:c r="Y378" s="20" t="str">
        <x:v>修复责任与是否继续关系是两件事；不继续也可以是合理选择。</x:v>
      </x:c>
      <x:c r="Z37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8" s="20" t="str">
        <x:v>中高</x:v>
      </x:c>
      <x:c r="AB378" s="20" t="str">
        <x:v>待验证</x:v>
      </x:c>
      <x:c r="AC378" s="20" t="str"/>
      <x:c r="AD378" s="20" t="str">
        <x:v>provisional=true；M3-REPAIR尚未完成，完成条件为暂定功能模型。</x:v>
      </x:c>
      <x:c r="AE378" s="52" t="str">
        <x:v>0.7</x:v>
      </x:c>
    </x:row>
    <x:row r="379">
      <x:c r="A379" s="51" t="str">
        <x:v>M4-REPAIR-378</x:v>
      </x:c>
      <x:c r="B379" s="20" t="str">
        <x:v>RS7 不继续关系／安全路由｜进入条件</x:v>
      </x:c>
      <x:c r="C379" s="20" t="str">
        <x:v>L7 修复状态与完成层级</x:v>
      </x:c>
      <x:c r="D379" s="20" t="str">
        <x:v>REPAIR-修复状态</x:v>
      </x:c>
      <x:c r="E379" s="20" t="str">
        <x:v>通用</x:v>
      </x:c>
      <x:c r="F379" s="20" t="str">
        <x:v>门槛</x:v>
      </x:c>
      <x:c r="G379" s="20" t="str">
        <x:v>RS7</x:v>
      </x:c>
      <x:c r="H379" s="20" t="str"/>
      <x:c r="I379" s="20" t="str">
        <x:v>明确拒绝、退出、保护安排或安全事实。</x:v>
      </x:c>
      <x:c r="J379" s="20" t="str">
        <x:v>必要现实证据缺失。</x:v>
      </x:c>
      <x:c r="K379" s="20" t="str">
        <x:v>由共享基础引擎提供；仅修正修复功能的承载、持续与压力占位，不直接等同是否愿意认错或能否修复。</x:v>
      </x:c>
      <x:c r="L379" s="20" t="str">
        <x:v>由M1／M2提供；夫妻星只说明伴侣原型与关系资格，不单独证明修复能力、修复意愿或修复结果。</x:v>
      </x:c>
      <x:c r="M379" s="20" t="str">
        <x:v>由M3-BASE提供；日支底盘说明亲密关系中自然调用的功能，但不能单独证明修复闭环。</x:v>
      </x:c>
      <x:c r="N379" s="20" t="str">
        <x:v>由M3-CONFLICT、M4-LOOP及现实事件提供；必须区分问题停止、责任承担、影响确认、行动改变、反馈整合与后续回访。</x:v>
      </x:c>
      <x:c r="O379" s="20" t="str">
        <x:v>由共享基础引擎判定；近位提高相关功能进入亲密关系核心的概率，远位只作背景或阶段修正。</x:v>
      </x:c>
      <x:c r="P379" s="20" t="str">
        <x:v>根气只修正某修复功能是否容易重复调用，不等于现实中已经持续改变。</x:v>
      </x:c>
      <x:c r="Q379" s="20" t="str">
        <x:v>旺弱只修正功能调用强度与占位，不直接等同修复质量、诚意或关系结果。</x:v>
      </x:c>
      <x:c r="R379" s="20" t="str">
        <x:v>喜忌只修正功能摩擦、平衡与承载，不直接等同道德、成熟、善恶或是否值得原谅。</x:v>
      </x:c>
      <x:c r="S379" s="20" t="str">
        <x:v>原十神功能有效；真合化成立时按化神功能替换，合化争议时停止定性。</x:v>
      </x:c>
      <x:c r="T379" s="20" t="str">
        <x:v>近位提高修复议题与亲密关系的直接相关性；远位仅保留背景、阶段或低置信修正。</x:v>
      </x:c>
      <x:c r="U379" s="20" t="str">
        <x:v>92</x:v>
      </x:c>
      <x:c r="V379" s="20" t="str">
        <x:v>状态路由，不单独增加命理分</x:v>
      </x:c>
      <x:c r="W379" s="20" t="str">
        <x:v>repair_status</x:v>
      </x:c>
      <x:c r="X379" s="20" t="str">
        <x:v>进入条件必须由事件节点和证据深度支持。</x:v>
      </x:c>
      <x:c r="Y379" s="20" t="str">
        <x:v>判断这一状态需要看到：明确拒绝、退出、保护安排或安全事实。</x:v>
      </x:c>
      <x:c r="Z37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79" s="20" t="str">
        <x:v>中高</x:v>
      </x:c>
      <x:c r="AB379" s="20" t="str">
        <x:v>待验证</x:v>
      </x:c>
      <x:c r="AC379" s="20" t="str"/>
      <x:c r="AD379" s="20" t="str">
        <x:v>provisional=true；M3-REPAIR尚未完成，完成条件为暂定功能模型。</x:v>
      </x:c>
      <x:c r="AE379" s="52" t="str">
        <x:v>0.7</x:v>
      </x:c>
    </x:row>
    <x:row r="380">
      <x:c r="A380" s="51" t="str">
        <x:v>M4-REPAIR-379</x:v>
      </x:c>
      <x:c r="B380" s="20" t="str">
        <x:v>RS7 不继续关系／安全路由｜输出语言</x:v>
      </x:c>
      <x:c r="C380" s="20" t="str">
        <x:v>L7 修复状态与完成层级</x:v>
      </x:c>
      <x:c r="D380" s="20" t="str">
        <x:v>REPAIR-修复状态</x:v>
      </x:c>
      <x:c r="E380" s="20" t="str">
        <x:v>通用</x:v>
      </x:c>
      <x:c r="F380" s="20" t="str">
        <x:v>输出</x:v>
      </x:c>
      <x:c r="G380" s="20" t="str">
        <x:v>RS7</x:v>
      </x:c>
      <x:c r="H380" s="20" t="str"/>
      <x:c r="I380" s="20" t="str">
        <x:v>该状态已通过去重、反例和安全检查。</x:v>
      </x:c>
      <x:c r="J380" s="20" t="str">
        <x:v>混淆修复状态与原谅、复合或关系结果。</x:v>
      </x:c>
      <x:c r="K380" s="20" t="str">
        <x:v>由共享基础引擎提供；仅修正修复功能的承载、持续与压力占位，不直接等同是否愿意认错或能否修复。</x:v>
      </x:c>
      <x:c r="L380" s="20" t="str">
        <x:v>由M1／M2提供；夫妻星只说明伴侣原型与关系资格，不单独证明修复能力、修复意愿或修复结果。</x:v>
      </x:c>
      <x:c r="M380" s="20" t="str">
        <x:v>由M3-BASE提供；日支底盘说明亲密关系中自然调用的功能，但不能单独证明修复闭环。</x:v>
      </x:c>
      <x:c r="N380" s="20" t="str">
        <x:v>由M3-CONFLICT、M4-LOOP及现实事件提供；必须区分问题停止、责任承担、影响确认、行动改变、反馈整合与后续回访。</x:v>
      </x:c>
      <x:c r="O380" s="20" t="str">
        <x:v>由共享基础引擎判定；近位提高相关功能进入亲密关系核心的概率，远位只作背景或阶段修正。</x:v>
      </x:c>
      <x:c r="P380" s="20" t="str">
        <x:v>根气只修正某修复功能是否容易重复调用，不等于现实中已经持续改变。</x:v>
      </x:c>
      <x:c r="Q380" s="20" t="str">
        <x:v>旺弱只修正功能调用强度与占位，不直接等同修复质量、诚意或关系结果。</x:v>
      </x:c>
      <x:c r="R380" s="20" t="str">
        <x:v>喜忌只修正功能摩擦、平衡与承载，不直接等同道德、成熟、善恶或是否值得原谅。</x:v>
      </x:c>
      <x:c r="S380" s="20" t="str">
        <x:v>原十神功能有效；真合化成立时按化神功能替换，合化争议时停止定性。</x:v>
      </x:c>
      <x:c r="T380" s="20" t="str">
        <x:v>近位提高修复议题与亲密关系的直接相关性；远位仅保留背景、阶段或低置信修正。</x:v>
      </x:c>
      <x:c r="U380" s="20" t="str">
        <x:v>76</x:v>
      </x:c>
      <x:c r="V380" s="20" t="str">
        <x:v>状态路由，不单独增加命理分</x:v>
      </x:c>
      <x:c r="W380" s="20" t="str">
        <x:v>repair_status</x:v>
      </x:c>
      <x:c r="X380" s="20" t="str">
        <x:v>输出需同时说明完成和未完成部分。</x:v>
      </x:c>
      <x:c r="Y380" s="20" t="str">
        <x:v>修复责任与是否继续关系是两件事；不继续也可以是合理选择。</x:v>
      </x:c>
      <x:c r="Z38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0" s="20" t="str">
        <x:v>中高</x:v>
      </x:c>
      <x:c r="AB380" s="20" t="str">
        <x:v>待验证</x:v>
      </x:c>
      <x:c r="AC380" s="20" t="str"/>
      <x:c r="AD380" s="20" t="str">
        <x:v>provisional=true；M3-REPAIR尚未完成，完成条件为暂定功能模型。</x:v>
      </x:c>
      <x:c r="AE380" s="52" t="str">
        <x:v>0.7</x:v>
      </x:c>
    </x:row>
    <x:row r="381">
      <x:c r="A381" s="51" t="str">
        <x:v>M4-REPAIR-380</x:v>
      </x:c>
      <x:c r="B381" s="20" t="str">
        <x:v>RS7 不继续关系／安全路由｜升级／停止边界</x:v>
      </x:c>
      <x:c r="C381" s="20" t="str">
        <x:v>L7 修复状态与完成层级</x:v>
      </x:c>
      <x:c r="D381" s="20" t="str">
        <x:v>REPAIR-修复状态</x:v>
      </x:c>
      <x:c r="E381" s="20" t="str">
        <x:v>通用</x:v>
      </x:c>
      <x:c r="F381" s="20" t="str">
        <x:v>边界</x:v>
      </x:c>
      <x:c r="G381" s="20" t="str">
        <x:v>RS7</x:v>
      </x:c>
      <x:c r="H381" s="20" t="str"/>
      <x:c r="I381" s="20" t="str">
        <x:v>只有新增现实节点、持续行为或接收反馈才能升级。</x:v>
      </x:c>
      <x:c r="J381" s="20" t="str">
        <x:v>靠命理分值、一次情绪或道歉标签升级。</x:v>
      </x:c>
      <x:c r="K381" s="20" t="str">
        <x:v>由共享基础引擎提供；仅修正修复功能的承载、持续与压力占位，不直接等同是否愿意认错或能否修复。</x:v>
      </x:c>
      <x:c r="L381" s="20" t="str">
        <x:v>由M1／M2提供；夫妻星只说明伴侣原型与关系资格，不单独证明修复能力、修复意愿或修复结果。</x:v>
      </x:c>
      <x:c r="M381" s="20" t="str">
        <x:v>由M3-BASE提供；日支底盘说明亲密关系中自然调用的功能，但不能单独证明修复闭环。</x:v>
      </x:c>
      <x:c r="N381" s="20" t="str">
        <x:v>由M3-CONFLICT、M4-LOOP及现实事件提供；必须区分问题停止、责任承担、影响确认、行动改变、反馈整合与后续回访。</x:v>
      </x:c>
      <x:c r="O381" s="20" t="str">
        <x:v>由共享基础引擎判定；近位提高相关功能进入亲密关系核心的概率，远位只作背景或阶段修正。</x:v>
      </x:c>
      <x:c r="P381" s="20" t="str">
        <x:v>根气只修正某修复功能是否容易重复调用，不等于现实中已经持续改变。</x:v>
      </x:c>
      <x:c r="Q381" s="20" t="str">
        <x:v>旺弱只修正功能调用强度与占位，不直接等同修复质量、诚意或关系结果。</x:v>
      </x:c>
      <x:c r="R381" s="20" t="str">
        <x:v>喜忌只修正功能摩擦、平衡与承载，不直接等同道德、成熟、善恶或是否值得原谅。</x:v>
      </x:c>
      <x:c r="S381" s="20" t="str">
        <x:v>原十神功能有效；真合化成立时按化神功能替换，合化争议时停止定性。</x:v>
      </x:c>
      <x:c r="T381" s="20" t="str">
        <x:v>近位提高修复议题与亲密关系的直接相关性；远位仅保留背景、阶段或低置信修正。</x:v>
      </x:c>
      <x:c r="U381" s="20" t="str">
        <x:v>92</x:v>
      </x:c>
      <x:c r="V381" s="20" t="str">
        <x:v>状态路由，不单独增加命理分</x:v>
      </x:c>
      <x:c r="W381" s="20" t="str">
        <x:v>repair_status</x:v>
      </x:c>
      <x:c r="X381" s="20" t="str">
        <x:v>RS状态升级依赖现实过程。</x:v>
      </x:c>
      <x:c r="Y381" s="20" t="str">
        <x:v>状态变化要由新的现实证据推动，不能只靠结构推测。</x:v>
      </x:c>
      <x:c r="Z38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1" s="20" t="str">
        <x:v>中高</x:v>
      </x:c>
      <x:c r="AB381" s="20" t="str">
        <x:v>待验证</x:v>
      </x:c>
      <x:c r="AC381" s="20" t="str"/>
      <x:c r="AD381" s="20" t="str">
        <x:v>provisional=true；M3-REPAIR尚未完成，完成条件为暂定功能模型。</x:v>
      </x:c>
      <x:c r="AE381" s="52" t="str">
        <x:v>0.7</x:v>
      </x:c>
    </x:row>
    <x:row r="382">
      <x:c r="A382" s="51" t="str">
        <x:v>M4-REPAIR-381</x:v>
      </x:c>
      <x:c r="B382" s="20" t="str">
        <x:v>LP01 证明加码循环｜修复路由</x:v>
      </x:c>
      <x:c r="C382" s="20" t="str">
        <x:v>L8 LOOP与K机制接口</x:v>
      </x:c>
      <x:c r="D382" s="20" t="str">
        <x:v>REPAIR-循环接口</x:v>
      </x:c>
      <x:c r="E382" s="20" t="str">
        <x:v>通用</x:v>
      </x:c>
      <x:c r="F382" s="20" t="str">
        <x:v>接口</x:v>
      </x:c>
      <x:c r="G382" s="20" t="str">
        <x:v>LP01</x:v>
      </x:c>
      <x:c r="H382" s="20" t="str"/>
      <x:c r="I382" s="20" t="str">
        <x:v>LP01已达到E3候选或有明确现实序列；修复路由为：先定义“什么证据已经足够”，再用RN07反馈与RN08持续性替代无限证明。</x:v>
      </x:c>
      <x:c r="J382" s="20" t="str">
        <x:v>循环尚未成立，或只有命盘候选。</x:v>
      </x:c>
      <x:c r="K382" s="20" t="str">
        <x:v>由共享基础引擎提供；仅修正修复功能的承载、持续与压力占位，不直接等同是否愿意认错或能否修复。</x:v>
      </x:c>
      <x:c r="L382" s="20" t="str">
        <x:v>由M1／M2提供；夫妻星只说明伴侣原型与关系资格，不单独证明修复能力、修复意愿或修复结果。</x:v>
      </x:c>
      <x:c r="M382" s="20" t="str">
        <x:v>由M3-BASE提供；日支底盘说明亲密关系中自然调用的功能，但不能单独证明修复闭环。</x:v>
      </x:c>
      <x:c r="N382" s="20" t="str">
        <x:v>由M3-CONFLICT、M4-LOOP及现实事件提供；必须区分问题停止、责任承担、影响确认、行动改变、反馈整合与后续回访。</x:v>
      </x:c>
      <x:c r="O382" s="20" t="str">
        <x:v>由共享基础引擎判定；近位提高相关功能进入亲密关系核心的概率，远位只作背景或阶段修正。</x:v>
      </x:c>
      <x:c r="P382" s="20" t="str">
        <x:v>根气只修正某修复功能是否容易重复调用，不等于现实中已经持续改变。</x:v>
      </x:c>
      <x:c r="Q382" s="20" t="str">
        <x:v>旺弱只修正功能调用强度与占位，不直接等同修复质量、诚意或关系结果。</x:v>
      </x:c>
      <x:c r="R382" s="20" t="str">
        <x:v>喜忌只修正功能摩擦、平衡与承载，不直接等同道德、成熟、善恶或是否值得原谅。</x:v>
      </x:c>
      <x:c r="S382" s="20" t="str">
        <x:v>原十神功能有效；真合化成立时按化神功能替换，合化争议时停止定性。</x:v>
      </x:c>
      <x:c r="T382" s="20" t="str">
        <x:v>近位提高修复议题与亲密关系的直接相关性；远位仅保留背景、阶段或低置信修正。</x:v>
      </x:c>
      <x:c r="U382" s="20" t="str">
        <x:v>88</x:v>
      </x:c>
      <x:c r="V382" s="20" t="str">
        <x:v>路由，不重复加循环分</x:v>
      </x:c>
      <x:c r="W382" s="20" t="str">
        <x:v>repair_route</x:v>
      </x:c>
      <x:c r="X382" s="20" t="str">
        <x:v>每类循环需要不同的修复中断点，不能使用统一道歉模板。</x:v>
      </x:c>
      <x:c r="Y382" s="20" t="str">
        <x:v>这类循环的关键修复点是：先定义“什么证据已经足够”，再用RN07反馈与RN08持续性替代无限证明。</x:v>
      </x:c>
      <x:c r="Z38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2" s="20" t="str">
        <x:v>中高</x:v>
      </x:c>
      <x:c r="AB382" s="20" t="str">
        <x:v>待验证</x:v>
      </x:c>
      <x:c r="AC382" s="20" t="str"/>
      <x:c r="AD382" s="20" t="str">
        <x:v>provisional=true；M3-REPAIR尚未完成，完成条件为暂定功能模型。</x:v>
      </x:c>
      <x:c r="AE382" s="52" t="str">
        <x:v>0.7</x:v>
      </x:c>
    </x:row>
    <x:row r="383">
      <x:c r="A383" s="51" t="str">
        <x:v>M4-REPAIR-382</x:v>
      </x:c>
      <x:c r="B383" s="20" t="str">
        <x:v>LP01 证明加码循环｜边界与验证</x:v>
      </x:c>
      <x:c r="C383" s="20" t="str">
        <x:v>L8 LOOP与K机制接口</x:v>
      </x:c>
      <x:c r="D383" s="20" t="str">
        <x:v>REPAIR-循环接口</x:v>
      </x:c>
      <x:c r="E383" s="20" t="str">
        <x:v>通用</x:v>
      </x:c>
      <x:c r="F383" s="20" t="str">
        <x:v>边界</x:v>
      </x:c>
      <x:c r="G383" s="20" t="str">
        <x:v>LP01</x:v>
      </x:c>
      <x:c r="H383" s="20" t="str"/>
      <x:c r="I383" s="20" t="str">
        <x:v>使用现实反馈、复发、修复节点和反例验证。</x:v>
      </x:c>
      <x:c r="J383" s="20" t="str">
        <x:v>新承诺或一次证明不能自动结束循环</x:v>
      </x:c>
      <x:c r="K383" s="20" t="str">
        <x:v>由共享基础引擎提供；仅修正修复功能的承载、持续与压力占位，不直接等同是否愿意认错或能否修复。</x:v>
      </x:c>
      <x:c r="L383" s="20" t="str">
        <x:v>由M1／M2提供；夫妻星只说明伴侣原型与关系资格，不单独证明修复能力、修复意愿或修复结果。</x:v>
      </x:c>
      <x:c r="M383" s="20" t="str">
        <x:v>由M3-BASE提供；日支底盘说明亲密关系中自然调用的功能，但不能单独证明修复闭环。</x:v>
      </x:c>
      <x:c r="N383" s="20" t="str">
        <x:v>由M3-CONFLICT、M4-LOOP及现实事件提供；必须区分问题停止、责任承担、影响确认、行动改变、反馈整合与后续回访。</x:v>
      </x:c>
      <x:c r="O383" s="20" t="str">
        <x:v>由共享基础引擎判定；近位提高相关功能进入亲密关系核心的概率，远位只作背景或阶段修正。</x:v>
      </x:c>
      <x:c r="P383" s="20" t="str">
        <x:v>根气只修正某修复功能是否容易重复调用，不等于现实中已经持续改变。</x:v>
      </x:c>
      <x:c r="Q383" s="20" t="str">
        <x:v>旺弱只修正功能调用强度与占位，不直接等同修复质量、诚意或关系结果。</x:v>
      </x:c>
      <x:c r="R383" s="20" t="str">
        <x:v>喜忌只修正功能摩擦、平衡与承载，不直接等同道德、成熟、善恶或是否值得原谅。</x:v>
      </x:c>
      <x:c r="S383" s="20" t="str">
        <x:v>原十神功能有效；真合化成立时按化神功能替换，合化争议时停止定性。</x:v>
      </x:c>
      <x:c r="T383" s="20" t="str">
        <x:v>近位提高修复议题与亲密关系的直接相关性；远位仅保留背景、阶段或低置信修正。</x:v>
      </x:c>
      <x:c r="U383" s="20" t="str">
        <x:v>92</x:v>
      </x:c>
      <x:c r="V383" s="20" t="str">
        <x:v>门控／反例检查</x:v>
      </x:c>
      <x:c r="W383" s="20" t="str">
        <x:v>boundary_note</x:v>
      </x:c>
      <x:c r="X383" s="20" t="str">
        <x:v>新承诺或一次证明不能自动结束循环</x:v>
      </x:c>
      <x:c r="Y383" s="20" t="str">
        <x:v>边界提示：新承诺或一次证明不能自动结束循环。</x:v>
      </x:c>
      <x:c r="Z38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3" s="20" t="str">
        <x:v>高</x:v>
      </x:c>
      <x:c r="AB383" s="20" t="str">
        <x:v>待验证</x:v>
      </x:c>
      <x:c r="AC383" s="20" t="str"/>
      <x:c r="AD383" s="20" t="str">
        <x:v>provisional=true；M3-REPAIR尚未完成，完成条件为暂定功能模型。</x:v>
      </x:c>
      <x:c r="AE383" s="52" t="str">
        <x:v>0.7</x:v>
      </x:c>
    </x:row>
    <x:row r="384">
      <x:c r="A384" s="51" t="str">
        <x:v>M4-REPAIR-383</x:v>
      </x:c>
      <x:c r="B384" s="20" t="str">
        <x:v>LP02 解释升级循环｜修复路由</x:v>
      </x:c>
      <x:c r="C384" s="20" t="str">
        <x:v>L8 LOOP与K机制接口</x:v>
      </x:c>
      <x:c r="D384" s="20" t="str">
        <x:v>REPAIR-循环接口</x:v>
      </x:c>
      <x:c r="E384" s="20" t="str">
        <x:v>通用</x:v>
      </x:c>
      <x:c r="F384" s="20" t="str">
        <x:v>接口</x:v>
      </x:c>
      <x:c r="G384" s="20" t="str">
        <x:v>LP02</x:v>
      </x:c>
      <x:c r="H384" s="20" t="str"/>
      <x:c r="I384" s="20" t="str">
        <x:v>LP02已达到E3候选或有明确现实序列；修复路由为：在继续解释前加入RN03影响复述与RN07接收反馈。</x:v>
      </x:c>
      <x:c r="J384" s="20" t="str">
        <x:v>循环尚未成立，或只有命盘候选。</x:v>
      </x:c>
      <x:c r="K384" s="20" t="str">
        <x:v>由共享基础引擎提供；仅修正修复功能的承载、持续与压力占位，不直接等同是否愿意认错或能否修复。</x:v>
      </x:c>
      <x:c r="L384" s="20" t="str">
        <x:v>由M1／M2提供；夫妻星只说明伴侣原型与关系资格，不单独证明修复能力、修复意愿或修复结果。</x:v>
      </x:c>
      <x:c r="M384" s="20" t="str">
        <x:v>由M3-BASE提供；日支底盘说明亲密关系中自然调用的功能，但不能单独证明修复闭环。</x:v>
      </x:c>
      <x:c r="N384" s="20" t="str">
        <x:v>由M3-CONFLICT、M4-LOOP及现实事件提供；必须区分问题停止、责任承担、影响确认、行动改变、反馈整合与后续回访。</x:v>
      </x:c>
      <x:c r="O384" s="20" t="str">
        <x:v>由共享基础引擎判定；近位提高相关功能进入亲密关系核心的概率，远位只作背景或阶段修正。</x:v>
      </x:c>
      <x:c r="P384" s="20" t="str">
        <x:v>根气只修正某修复功能是否容易重复调用，不等于现实中已经持续改变。</x:v>
      </x:c>
      <x:c r="Q384" s="20" t="str">
        <x:v>旺弱只修正功能调用强度与占位，不直接等同修复质量、诚意或关系结果。</x:v>
      </x:c>
      <x:c r="R384" s="20" t="str">
        <x:v>喜忌只修正功能摩擦、平衡与承载，不直接等同道德、成熟、善恶或是否值得原谅。</x:v>
      </x:c>
      <x:c r="S384" s="20" t="str">
        <x:v>原十神功能有效；真合化成立时按化神功能替换，合化争议时停止定性。</x:v>
      </x:c>
      <x:c r="T384" s="20" t="str">
        <x:v>近位提高修复议题与亲密关系的直接相关性；远位仅保留背景、阶段或低置信修正。</x:v>
      </x:c>
      <x:c r="U384" s="20" t="str">
        <x:v>88</x:v>
      </x:c>
      <x:c r="V384" s="20" t="str">
        <x:v>路由，不重复加循环分</x:v>
      </x:c>
      <x:c r="W384" s="20" t="str">
        <x:v>repair_route</x:v>
      </x:c>
      <x:c r="X384" s="20" t="str">
        <x:v>每类循环需要不同的修复中断点，不能使用统一道歉模板。</x:v>
      </x:c>
      <x:c r="Y384" s="20" t="str">
        <x:v>这类循环的关键修复点是：在继续解释前加入RN03影响复述与RN07接收反馈。</x:v>
      </x:c>
      <x:c r="Z38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4" s="20" t="str">
        <x:v>中高</x:v>
      </x:c>
      <x:c r="AB384" s="20" t="str">
        <x:v>待验证</x:v>
      </x:c>
      <x:c r="AC384" s="20" t="str"/>
      <x:c r="AD384" s="20" t="str">
        <x:v>provisional=true；M3-REPAIR尚未完成，完成条件为暂定功能模型。</x:v>
      </x:c>
      <x:c r="AE384" s="52" t="str">
        <x:v>0.7</x:v>
      </x:c>
    </x:row>
    <x:row r="385">
      <x:c r="A385" s="51" t="str">
        <x:v>M4-REPAIR-384</x:v>
      </x:c>
      <x:c r="B385" s="20" t="str">
        <x:v>LP02 解释升级循环｜边界与验证</x:v>
      </x:c>
      <x:c r="C385" s="20" t="str">
        <x:v>L8 LOOP与K机制接口</x:v>
      </x:c>
      <x:c r="D385" s="20" t="str">
        <x:v>REPAIR-循环接口</x:v>
      </x:c>
      <x:c r="E385" s="20" t="str">
        <x:v>通用</x:v>
      </x:c>
      <x:c r="F385" s="20" t="str">
        <x:v>边界</x:v>
      </x:c>
      <x:c r="G385" s="20" t="str">
        <x:v>LP02</x:v>
      </x:c>
      <x:c r="H385" s="20" t="str"/>
      <x:c r="I385" s="20" t="str">
        <x:v>使用现实反馈、复发、修复节点和反例验证。</x:v>
      </x:c>
      <x:c r="J385" s="20" t="str">
        <x:v>更多解释不等于更被理解</x:v>
      </x:c>
      <x:c r="K385" s="20" t="str">
        <x:v>由共享基础引擎提供；仅修正修复功能的承载、持续与压力占位，不直接等同是否愿意认错或能否修复。</x:v>
      </x:c>
      <x:c r="L385" s="20" t="str">
        <x:v>由M1／M2提供；夫妻星只说明伴侣原型与关系资格，不单独证明修复能力、修复意愿或修复结果。</x:v>
      </x:c>
      <x:c r="M385" s="20" t="str">
        <x:v>由M3-BASE提供；日支底盘说明亲密关系中自然调用的功能，但不能单独证明修复闭环。</x:v>
      </x:c>
      <x:c r="N385" s="20" t="str">
        <x:v>由M3-CONFLICT、M4-LOOP及现实事件提供；必须区分问题停止、责任承担、影响确认、行动改变、反馈整合与后续回访。</x:v>
      </x:c>
      <x:c r="O385" s="20" t="str">
        <x:v>由共享基础引擎判定；近位提高相关功能进入亲密关系核心的概率，远位只作背景或阶段修正。</x:v>
      </x:c>
      <x:c r="P385" s="20" t="str">
        <x:v>根气只修正某修复功能是否容易重复调用，不等于现实中已经持续改变。</x:v>
      </x:c>
      <x:c r="Q385" s="20" t="str">
        <x:v>旺弱只修正功能调用强度与占位，不直接等同修复质量、诚意或关系结果。</x:v>
      </x:c>
      <x:c r="R385" s="20" t="str">
        <x:v>喜忌只修正功能摩擦、平衡与承载，不直接等同道德、成熟、善恶或是否值得原谅。</x:v>
      </x:c>
      <x:c r="S385" s="20" t="str">
        <x:v>原十神功能有效；真合化成立时按化神功能替换，合化争议时停止定性。</x:v>
      </x:c>
      <x:c r="T385" s="20" t="str">
        <x:v>近位提高修复议题与亲密关系的直接相关性；远位仅保留背景、阶段或低置信修正。</x:v>
      </x:c>
      <x:c r="U385" s="20" t="str">
        <x:v>92</x:v>
      </x:c>
      <x:c r="V385" s="20" t="str">
        <x:v>门控／反例检查</x:v>
      </x:c>
      <x:c r="W385" s="20" t="str">
        <x:v>boundary_note</x:v>
      </x:c>
      <x:c r="X385" s="20" t="str">
        <x:v>更多解释不等于更被理解</x:v>
      </x:c>
      <x:c r="Y385" s="20" t="str">
        <x:v>边界提示：更多解释不等于更被理解。</x:v>
      </x:c>
      <x:c r="Z38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5" s="20" t="str">
        <x:v>高</x:v>
      </x:c>
      <x:c r="AB385" s="20" t="str">
        <x:v>待验证</x:v>
      </x:c>
      <x:c r="AC385" s="20" t="str"/>
      <x:c r="AD385" s="20" t="str">
        <x:v>provisional=true；M3-REPAIR尚未完成，完成条件为暂定功能模型。</x:v>
      </x:c>
      <x:c r="AE385" s="52" t="str">
        <x:v>0.7</x:v>
      </x:c>
    </x:row>
    <x:row r="386">
      <x:c r="A386" s="51" t="str">
        <x:v>M4-REPAIR-385</x:v>
      </x:c>
      <x:c r="B386" s="20" t="str">
        <x:v>LP03 和谐延后循环｜修复路由</x:v>
      </x:c>
      <x:c r="C386" s="20" t="str">
        <x:v>L8 LOOP与K机制接口</x:v>
      </x:c>
      <x:c r="D386" s="20" t="str">
        <x:v>REPAIR-循环接口</x:v>
      </x:c>
      <x:c r="E386" s="20" t="str">
        <x:v>通用</x:v>
      </x:c>
      <x:c r="F386" s="20" t="str">
        <x:v>接口</x:v>
      </x:c>
      <x:c r="G386" s="20" t="str">
        <x:v>LP03</x:v>
      </x:c>
      <x:c r="H386" s="20" t="str"/>
      <x:c r="I386" s="20" t="str">
        <x:v>LP03已达到E3候选或有明确现实序列；修复路由为：降温后设置明确回访点，补做RN02／RN05／RN06。</x:v>
      </x:c>
      <x:c r="J386" s="20" t="str">
        <x:v>循环尚未成立，或只有命盘候选。</x:v>
      </x:c>
      <x:c r="K386" s="20" t="str">
        <x:v>由共享基础引擎提供；仅修正修复功能的承载、持续与压力占位，不直接等同是否愿意认错或能否修复。</x:v>
      </x:c>
      <x:c r="L386" s="20" t="str">
        <x:v>由M1／M2提供；夫妻星只说明伴侣原型与关系资格，不单独证明修复能力、修复意愿或修复结果。</x:v>
      </x:c>
      <x:c r="M386" s="20" t="str">
        <x:v>由M3-BASE提供；日支底盘说明亲密关系中自然调用的功能，但不能单独证明修复闭环。</x:v>
      </x:c>
      <x:c r="N386" s="20" t="str">
        <x:v>由M3-CONFLICT、M4-LOOP及现实事件提供；必须区分问题停止、责任承担、影响确认、行动改变、反馈整合与后续回访。</x:v>
      </x:c>
      <x:c r="O386" s="20" t="str">
        <x:v>由共享基础引擎判定；近位提高相关功能进入亲密关系核心的概率，远位只作背景或阶段修正。</x:v>
      </x:c>
      <x:c r="P386" s="20" t="str">
        <x:v>根气只修正某修复功能是否容易重复调用，不等于现实中已经持续改变。</x:v>
      </x:c>
      <x:c r="Q386" s="20" t="str">
        <x:v>旺弱只修正功能调用强度与占位，不直接等同修复质量、诚意或关系结果。</x:v>
      </x:c>
      <x:c r="R386" s="20" t="str">
        <x:v>喜忌只修正功能摩擦、平衡与承载，不直接等同道德、成熟、善恶或是否值得原谅。</x:v>
      </x:c>
      <x:c r="S386" s="20" t="str">
        <x:v>原十神功能有效；真合化成立时按化神功能替换，合化争议时停止定性。</x:v>
      </x:c>
      <x:c r="T386" s="20" t="str">
        <x:v>近位提高修复议题与亲密关系的直接相关性；远位仅保留背景、阶段或低置信修正。</x:v>
      </x:c>
      <x:c r="U386" s="20" t="str">
        <x:v>88</x:v>
      </x:c>
      <x:c r="V386" s="20" t="str">
        <x:v>路由，不重复加循环分</x:v>
      </x:c>
      <x:c r="W386" s="20" t="str">
        <x:v>repair_route</x:v>
      </x:c>
      <x:c r="X386" s="20" t="str">
        <x:v>每类循环需要不同的修复中断点，不能使用统一道歉模板。</x:v>
      </x:c>
      <x:c r="Y386" s="20" t="str">
        <x:v>这类循环的关键修复点是：降温后设置明确回访点，补做RN02／RN05／RN06。</x:v>
      </x:c>
      <x:c r="Z38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6" s="20" t="str">
        <x:v>中高</x:v>
      </x:c>
      <x:c r="AB386" s="20" t="str">
        <x:v>待验证</x:v>
      </x:c>
      <x:c r="AC386" s="20" t="str"/>
      <x:c r="AD386" s="20" t="str">
        <x:v>provisional=true；M3-REPAIR尚未完成，完成条件为暂定功能模型。</x:v>
      </x:c>
      <x:c r="AE386" s="52" t="str">
        <x:v>0.7</x:v>
      </x:c>
    </x:row>
    <x:row r="387">
      <x:c r="A387" s="51" t="str">
        <x:v>M4-REPAIR-386</x:v>
      </x:c>
      <x:c r="B387" s="20" t="str">
        <x:v>LP03 和谐延后循环｜边界与验证</x:v>
      </x:c>
      <x:c r="C387" s="20" t="str">
        <x:v>L8 LOOP与K机制接口</x:v>
      </x:c>
      <x:c r="D387" s="20" t="str">
        <x:v>REPAIR-循环接口</x:v>
      </x:c>
      <x:c r="E387" s="20" t="str">
        <x:v>通用</x:v>
      </x:c>
      <x:c r="F387" s="20" t="str">
        <x:v>边界</x:v>
      </x:c>
      <x:c r="G387" s="20" t="str">
        <x:v>LP03</x:v>
      </x:c>
      <x:c r="H387" s="20" t="str"/>
      <x:c r="I387" s="20" t="str">
        <x:v>使用现实反馈、复发、修复节点和反例验证。</x:v>
      </x:c>
      <x:c r="J387" s="20" t="str">
        <x:v>气氛恢复不能替代关键议题</x:v>
      </x:c>
      <x:c r="K387" s="20" t="str">
        <x:v>由共享基础引擎提供；仅修正修复功能的承载、持续与压力占位，不直接等同是否愿意认错或能否修复。</x:v>
      </x:c>
      <x:c r="L387" s="20" t="str">
        <x:v>由M1／M2提供；夫妻星只说明伴侣原型与关系资格，不单独证明修复能力、修复意愿或修复结果。</x:v>
      </x:c>
      <x:c r="M387" s="20" t="str">
        <x:v>由M3-BASE提供；日支底盘说明亲密关系中自然调用的功能，但不能单独证明修复闭环。</x:v>
      </x:c>
      <x:c r="N387" s="20" t="str">
        <x:v>由M3-CONFLICT、M4-LOOP及现实事件提供；必须区分问题停止、责任承担、影响确认、行动改变、反馈整合与后续回访。</x:v>
      </x:c>
      <x:c r="O387" s="20" t="str">
        <x:v>由共享基础引擎判定；近位提高相关功能进入亲密关系核心的概率，远位只作背景或阶段修正。</x:v>
      </x:c>
      <x:c r="P387" s="20" t="str">
        <x:v>根气只修正某修复功能是否容易重复调用，不等于现实中已经持续改变。</x:v>
      </x:c>
      <x:c r="Q387" s="20" t="str">
        <x:v>旺弱只修正功能调用强度与占位，不直接等同修复质量、诚意或关系结果。</x:v>
      </x:c>
      <x:c r="R387" s="20" t="str">
        <x:v>喜忌只修正功能摩擦、平衡与承载，不直接等同道德、成熟、善恶或是否值得原谅。</x:v>
      </x:c>
      <x:c r="S387" s="20" t="str">
        <x:v>原十神功能有效；真合化成立时按化神功能替换，合化争议时停止定性。</x:v>
      </x:c>
      <x:c r="T387" s="20" t="str">
        <x:v>近位提高修复议题与亲密关系的直接相关性；远位仅保留背景、阶段或低置信修正。</x:v>
      </x:c>
      <x:c r="U387" s="20" t="str">
        <x:v>92</x:v>
      </x:c>
      <x:c r="V387" s="20" t="str">
        <x:v>门控／反例检查</x:v>
      </x:c>
      <x:c r="W387" s="20" t="str">
        <x:v>boundary_note</x:v>
      </x:c>
      <x:c r="X387" s="20" t="str">
        <x:v>气氛恢复不能替代关键议题</x:v>
      </x:c>
      <x:c r="Y387" s="20" t="str">
        <x:v>边界提示：气氛恢复不能替代关键议题。</x:v>
      </x:c>
      <x:c r="Z38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7" s="20" t="str">
        <x:v>高</x:v>
      </x:c>
      <x:c r="AB387" s="20" t="str">
        <x:v>待验证</x:v>
      </x:c>
      <x:c r="AC387" s="20" t="str"/>
      <x:c r="AD387" s="20" t="str">
        <x:v>provisional=true；M3-REPAIR尚未完成，完成条件为暂定功能模型。</x:v>
      </x:c>
      <x:c r="AE387" s="52" t="str">
        <x:v>0.7</x:v>
      </x:c>
    </x:row>
    <x:row r="388">
      <x:c r="A388" s="51" t="str">
        <x:v>M4-REPAIR-387</x:v>
      </x:c>
      <x:c r="B388" s="20" t="str">
        <x:v>LP04 解决替代循环｜修复路由</x:v>
      </x:c>
      <x:c r="C388" s="20" t="str">
        <x:v>L8 LOOP与K机制接口</x:v>
      </x:c>
      <x:c r="D388" s="20" t="str">
        <x:v>REPAIR-循环接口</x:v>
      </x:c>
      <x:c r="E388" s="20" t="str">
        <x:v>通用</x:v>
      </x:c>
      <x:c r="F388" s="20" t="str">
        <x:v>接口</x:v>
      </x:c>
      <x:c r="G388" s="20" t="str">
        <x:v>LP04</x:v>
      </x:c>
      <x:c r="H388" s="20" t="str"/>
      <x:c r="I388" s="20" t="str">
        <x:v>LP04已达到E3候选或有明确现实序列；修复路由为：现实方案后加入RN03影响、RN05参与权和RN07反馈。</x:v>
      </x:c>
      <x:c r="J388" s="20" t="str">
        <x:v>循环尚未成立，或只有命盘候选。</x:v>
      </x:c>
      <x:c r="K388" s="20" t="str">
        <x:v>由共享基础引擎提供；仅修正修复功能的承载、持续与压力占位，不直接等同是否愿意认错或能否修复。</x:v>
      </x:c>
      <x:c r="L388" s="20" t="str">
        <x:v>由M1／M2提供；夫妻星只说明伴侣原型与关系资格，不单独证明修复能力、修复意愿或修复结果。</x:v>
      </x:c>
      <x:c r="M388" s="20" t="str">
        <x:v>由M3-BASE提供；日支底盘说明亲密关系中自然调用的功能，但不能单独证明修复闭环。</x:v>
      </x:c>
      <x:c r="N388" s="20" t="str">
        <x:v>由M3-CONFLICT、M4-LOOP及现实事件提供；必须区分问题停止、责任承担、影响确认、行动改变、反馈整合与后续回访。</x:v>
      </x:c>
      <x:c r="O388" s="20" t="str">
        <x:v>由共享基础引擎判定；近位提高相关功能进入亲密关系核心的概率，远位只作背景或阶段修正。</x:v>
      </x:c>
      <x:c r="P388" s="20" t="str">
        <x:v>根气只修正某修复功能是否容易重复调用，不等于现实中已经持续改变。</x:v>
      </x:c>
      <x:c r="Q388" s="20" t="str">
        <x:v>旺弱只修正功能调用强度与占位，不直接等同修复质量、诚意或关系结果。</x:v>
      </x:c>
      <x:c r="R388" s="20" t="str">
        <x:v>喜忌只修正功能摩擦、平衡与承载，不直接等同道德、成熟、善恶或是否值得原谅。</x:v>
      </x:c>
      <x:c r="S388" s="20" t="str">
        <x:v>原十神功能有效；真合化成立时按化神功能替换，合化争议时停止定性。</x:v>
      </x:c>
      <x:c r="T388" s="20" t="str">
        <x:v>近位提高修复议题与亲密关系的直接相关性；远位仅保留背景、阶段或低置信修正。</x:v>
      </x:c>
      <x:c r="U388" s="20" t="str">
        <x:v>88</x:v>
      </x:c>
      <x:c r="V388" s="20" t="str">
        <x:v>路由，不重复加循环分</x:v>
      </x:c>
      <x:c r="W388" s="20" t="str">
        <x:v>repair_route</x:v>
      </x:c>
      <x:c r="X388" s="20" t="str">
        <x:v>每类循环需要不同的修复中断点，不能使用统一道歉模板。</x:v>
      </x:c>
      <x:c r="Y388" s="20" t="str">
        <x:v>这类循环的关键修复点是：现实方案后加入RN03影响、RN05参与权和RN07反馈。</x:v>
      </x:c>
      <x:c r="Z38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8" s="20" t="str">
        <x:v>中高</x:v>
      </x:c>
      <x:c r="AB388" s="20" t="str">
        <x:v>待验证</x:v>
      </x:c>
      <x:c r="AC388" s="20" t="str"/>
      <x:c r="AD388" s="20" t="str">
        <x:v>provisional=true；M3-REPAIR尚未完成，完成条件为暂定功能模型。</x:v>
      </x:c>
      <x:c r="AE388" s="52" t="str">
        <x:v>0.7</x:v>
      </x:c>
    </x:row>
    <x:row r="389">
      <x:c r="A389" s="51" t="str">
        <x:v>M4-REPAIR-388</x:v>
      </x:c>
      <x:c r="B389" s="20" t="str">
        <x:v>LP04 解决替代循环｜边界与验证</x:v>
      </x:c>
      <x:c r="C389" s="20" t="str">
        <x:v>L8 LOOP与K机制接口</x:v>
      </x:c>
      <x:c r="D389" s="20" t="str">
        <x:v>REPAIR-循环接口</x:v>
      </x:c>
      <x:c r="E389" s="20" t="str">
        <x:v>通用</x:v>
      </x:c>
      <x:c r="F389" s="20" t="str">
        <x:v>边界</x:v>
      </x:c>
      <x:c r="G389" s="20" t="str">
        <x:v>LP04</x:v>
      </x:c>
      <x:c r="H389" s="20" t="str"/>
      <x:c r="I389" s="20" t="str">
        <x:v>使用现实反馈、复发、修复节点和反例验证。</x:v>
      </x:c>
      <x:c r="J389" s="20" t="str">
        <x:v>任务完成不等于关系修复</x:v>
      </x:c>
      <x:c r="K389" s="20" t="str">
        <x:v>由共享基础引擎提供；仅修正修复功能的承载、持续与压力占位，不直接等同是否愿意认错或能否修复。</x:v>
      </x:c>
      <x:c r="L389" s="20" t="str">
        <x:v>由M1／M2提供；夫妻星只说明伴侣原型与关系资格，不单独证明修复能力、修复意愿或修复结果。</x:v>
      </x:c>
      <x:c r="M389" s="20" t="str">
        <x:v>由M3-BASE提供；日支底盘说明亲密关系中自然调用的功能，但不能单独证明修复闭环。</x:v>
      </x:c>
      <x:c r="N389" s="20" t="str">
        <x:v>由M3-CONFLICT、M4-LOOP及现实事件提供；必须区分问题停止、责任承担、影响确认、行动改变、反馈整合与后续回访。</x:v>
      </x:c>
      <x:c r="O389" s="20" t="str">
        <x:v>由共享基础引擎判定；近位提高相关功能进入亲密关系核心的概率，远位只作背景或阶段修正。</x:v>
      </x:c>
      <x:c r="P389" s="20" t="str">
        <x:v>根气只修正某修复功能是否容易重复调用，不等于现实中已经持续改变。</x:v>
      </x:c>
      <x:c r="Q389" s="20" t="str">
        <x:v>旺弱只修正功能调用强度与占位，不直接等同修复质量、诚意或关系结果。</x:v>
      </x:c>
      <x:c r="R389" s="20" t="str">
        <x:v>喜忌只修正功能摩擦、平衡与承载，不直接等同道德、成熟、善恶或是否值得原谅。</x:v>
      </x:c>
      <x:c r="S389" s="20" t="str">
        <x:v>原十神功能有效；真合化成立时按化神功能替换，合化争议时停止定性。</x:v>
      </x:c>
      <x:c r="T389" s="20" t="str">
        <x:v>近位提高修复议题与亲密关系的直接相关性；远位仅保留背景、阶段或低置信修正。</x:v>
      </x:c>
      <x:c r="U389" s="20" t="str">
        <x:v>92</x:v>
      </x:c>
      <x:c r="V389" s="20" t="str">
        <x:v>门控／反例检查</x:v>
      </x:c>
      <x:c r="W389" s="20" t="str">
        <x:v>boundary_note</x:v>
      </x:c>
      <x:c r="X389" s="20" t="str">
        <x:v>任务完成不等于关系修复</x:v>
      </x:c>
      <x:c r="Y389" s="20" t="str">
        <x:v>边界提示：任务完成不等于关系修复。</x:v>
      </x:c>
      <x:c r="Z38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89" s="20" t="str">
        <x:v>高</x:v>
      </x:c>
      <x:c r="AB389" s="20" t="str">
        <x:v>待验证</x:v>
      </x:c>
      <x:c r="AC389" s="20" t="str"/>
      <x:c r="AD389" s="20" t="str">
        <x:v>provisional=true；M3-REPAIR尚未完成，完成条件为暂定功能模型。</x:v>
      </x:c>
      <x:c r="AE389" s="52" t="str">
        <x:v>0.7</x:v>
      </x:c>
    </x:row>
    <x:row r="390">
      <x:c r="A390" s="51" t="str">
        <x:v>M4-REPAIR-389</x:v>
      </x:c>
      <x:c r="B390" s="20" t="str">
        <x:v>LP05 承接替代改变循环｜修复路由</x:v>
      </x:c>
      <x:c r="C390" s="20" t="str">
        <x:v>L8 LOOP与K机制接口</x:v>
      </x:c>
      <x:c r="D390" s="20" t="str">
        <x:v>REPAIR-循环接口</x:v>
      </x:c>
      <x:c r="E390" s="20" t="str">
        <x:v>通用</x:v>
      </x:c>
      <x:c r="F390" s="20" t="str">
        <x:v>接口</x:v>
      </x:c>
      <x:c r="G390" s="20" t="str">
        <x:v>LP05</x:v>
      </x:c>
      <x:c r="H390" s="20" t="str"/>
      <x:c r="I390" s="20" t="str">
        <x:v>LP05已达到E3候选或有明确现实序列；修复路由为：理解之后进入RN04责任与RN06现实改变。</x:v>
      </x:c>
      <x:c r="J390" s="20" t="str">
        <x:v>循环尚未成立，或只有命盘候选。</x:v>
      </x:c>
      <x:c r="K390" s="20" t="str">
        <x:v>由共享基础引擎提供；仅修正修复功能的承载、持续与压力占位，不直接等同是否愿意认错或能否修复。</x:v>
      </x:c>
      <x:c r="L390" s="20" t="str">
        <x:v>由M1／M2提供；夫妻星只说明伴侣原型与关系资格，不单独证明修复能力、修复意愿或修复结果。</x:v>
      </x:c>
      <x:c r="M390" s="20" t="str">
        <x:v>由M3-BASE提供；日支底盘说明亲密关系中自然调用的功能，但不能单独证明修复闭环。</x:v>
      </x:c>
      <x:c r="N390" s="20" t="str">
        <x:v>由M3-CONFLICT、M4-LOOP及现实事件提供；必须区分问题停止、责任承担、影响确认、行动改变、反馈整合与后续回访。</x:v>
      </x:c>
      <x:c r="O390" s="20" t="str">
        <x:v>由共享基础引擎判定；近位提高相关功能进入亲密关系核心的概率，远位只作背景或阶段修正。</x:v>
      </x:c>
      <x:c r="P390" s="20" t="str">
        <x:v>根气只修正某修复功能是否容易重复调用，不等于现实中已经持续改变。</x:v>
      </x:c>
      <x:c r="Q390" s="20" t="str">
        <x:v>旺弱只修正功能调用强度与占位，不直接等同修复质量、诚意或关系结果。</x:v>
      </x:c>
      <x:c r="R390" s="20" t="str">
        <x:v>喜忌只修正功能摩擦、平衡与承载，不直接等同道德、成熟、善恶或是否值得原谅。</x:v>
      </x:c>
      <x:c r="S390" s="20" t="str">
        <x:v>原十神功能有效；真合化成立时按化神功能替换，合化争议时停止定性。</x:v>
      </x:c>
      <x:c r="T390" s="20" t="str">
        <x:v>近位提高修复议题与亲密关系的直接相关性；远位仅保留背景、阶段或低置信修正。</x:v>
      </x:c>
      <x:c r="U390" s="20" t="str">
        <x:v>88</x:v>
      </x:c>
      <x:c r="V390" s="20" t="str">
        <x:v>路由，不重复加循环分</x:v>
      </x:c>
      <x:c r="W390" s="20" t="str">
        <x:v>repair_route</x:v>
      </x:c>
      <x:c r="X390" s="20" t="str">
        <x:v>每类循环需要不同的修复中断点，不能使用统一道歉模板。</x:v>
      </x:c>
      <x:c r="Y390" s="20" t="str">
        <x:v>这类循环的关键修复点是：理解之后进入RN04责任与RN06现实改变。</x:v>
      </x:c>
      <x:c r="Z39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0" s="20" t="str">
        <x:v>中高</x:v>
      </x:c>
      <x:c r="AB390" s="20" t="str">
        <x:v>待验证</x:v>
      </x:c>
      <x:c r="AC390" s="20" t="str"/>
      <x:c r="AD390" s="20" t="str">
        <x:v>provisional=true；M3-REPAIR尚未完成，完成条件为暂定功能模型。</x:v>
      </x:c>
      <x:c r="AE390" s="52" t="str">
        <x:v>0.7</x:v>
      </x:c>
    </x:row>
    <x:row r="391">
      <x:c r="A391" s="51" t="str">
        <x:v>M4-REPAIR-390</x:v>
      </x:c>
      <x:c r="B391" s="20" t="str">
        <x:v>LP05 承接替代改变循环｜边界与验证</x:v>
      </x:c>
      <x:c r="C391" s="20" t="str">
        <x:v>L8 LOOP与K机制接口</x:v>
      </x:c>
      <x:c r="D391" s="20" t="str">
        <x:v>REPAIR-循环接口</x:v>
      </x:c>
      <x:c r="E391" s="20" t="str">
        <x:v>通用</x:v>
      </x:c>
      <x:c r="F391" s="20" t="str">
        <x:v>边界</x:v>
      </x:c>
      <x:c r="G391" s="20" t="str">
        <x:v>LP05</x:v>
      </x:c>
      <x:c r="H391" s="20" t="str"/>
      <x:c r="I391" s="20" t="str">
        <x:v>使用现实反馈、复发、修复节点和反例验证。</x:v>
      </x:c>
      <x:c r="J391" s="20" t="str">
        <x:v>被理解不等于行为已改变</x:v>
      </x:c>
      <x:c r="K391" s="20" t="str">
        <x:v>由共享基础引擎提供；仅修正修复功能的承载、持续与压力占位，不直接等同是否愿意认错或能否修复。</x:v>
      </x:c>
      <x:c r="L391" s="20" t="str">
        <x:v>由M1／M2提供；夫妻星只说明伴侣原型与关系资格，不单独证明修复能力、修复意愿或修复结果。</x:v>
      </x:c>
      <x:c r="M391" s="20" t="str">
        <x:v>由M3-BASE提供；日支底盘说明亲密关系中自然调用的功能，但不能单独证明修复闭环。</x:v>
      </x:c>
      <x:c r="N391" s="20" t="str">
        <x:v>由M3-CONFLICT、M4-LOOP及现实事件提供；必须区分问题停止、责任承担、影响确认、行动改变、反馈整合与后续回访。</x:v>
      </x:c>
      <x:c r="O391" s="20" t="str">
        <x:v>由共享基础引擎判定；近位提高相关功能进入亲密关系核心的概率，远位只作背景或阶段修正。</x:v>
      </x:c>
      <x:c r="P391" s="20" t="str">
        <x:v>根气只修正某修复功能是否容易重复调用，不等于现实中已经持续改变。</x:v>
      </x:c>
      <x:c r="Q391" s="20" t="str">
        <x:v>旺弱只修正功能调用强度与占位，不直接等同修复质量、诚意或关系结果。</x:v>
      </x:c>
      <x:c r="R391" s="20" t="str">
        <x:v>喜忌只修正功能摩擦、平衡与承载，不直接等同道德、成熟、善恶或是否值得原谅。</x:v>
      </x:c>
      <x:c r="S391" s="20" t="str">
        <x:v>原十神功能有效；真合化成立时按化神功能替换，合化争议时停止定性。</x:v>
      </x:c>
      <x:c r="T391" s="20" t="str">
        <x:v>近位提高修复议题与亲密关系的直接相关性；远位仅保留背景、阶段或低置信修正。</x:v>
      </x:c>
      <x:c r="U391" s="20" t="str">
        <x:v>92</x:v>
      </x:c>
      <x:c r="V391" s="20" t="str">
        <x:v>门控／反例检查</x:v>
      </x:c>
      <x:c r="W391" s="20" t="str">
        <x:v>boundary_note</x:v>
      </x:c>
      <x:c r="X391" s="20" t="str">
        <x:v>被理解不等于行为已改变</x:v>
      </x:c>
      <x:c r="Y391" s="20" t="str">
        <x:v>边界提示：被理解不等于行为已改变。</x:v>
      </x:c>
      <x:c r="Z39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1" s="20" t="str">
        <x:v>高</x:v>
      </x:c>
      <x:c r="AB391" s="20" t="str">
        <x:v>待验证</x:v>
      </x:c>
      <x:c r="AC391" s="20" t="str"/>
      <x:c r="AD391" s="20" t="str">
        <x:v>provisional=true；M3-REPAIR尚未完成，完成条件为暂定功能模型。</x:v>
      </x:c>
      <x:c r="AE391" s="52" t="str">
        <x:v>0.7</x:v>
      </x:c>
    </x:row>
    <x:row r="392">
      <x:c r="A392" s="51" t="str">
        <x:v>M4-REPAIR-391</x:v>
      </x:c>
      <x:c r="B392" s="20" t="str">
        <x:v>LP06 投入记账循环｜修复路由</x:v>
      </x:c>
      <x:c r="C392" s="20" t="str">
        <x:v>L8 LOOP与K机制接口</x:v>
      </x:c>
      <x:c r="D392" s="20" t="str">
        <x:v>REPAIR-循环接口</x:v>
      </x:c>
      <x:c r="E392" s="20" t="str">
        <x:v>通用</x:v>
      </x:c>
      <x:c r="F392" s="20" t="str">
        <x:v>接口</x:v>
      </x:c>
      <x:c r="G392" s="20" t="str">
        <x:v>LP06</x:v>
      </x:c>
      <x:c r="H392" s="20" t="str"/>
      <x:c r="I392" s="20" t="str">
        <x:v>LP06已达到E3候选或有明确现实序列；修复路由为：明确需要、支持形式与回应方式，使用RN07校验而非项目比较。</x:v>
      </x:c>
      <x:c r="J392" s="20" t="str">
        <x:v>循环尚未成立，或只有命盘候选。</x:v>
      </x:c>
      <x:c r="K392" s="20" t="str">
        <x:v>由共享基础引擎提供；仅修正修复功能的承载、持续与压力占位，不直接等同是否愿意认错或能否修复。</x:v>
      </x:c>
      <x:c r="L392" s="20" t="str">
        <x:v>由M1／M2提供；夫妻星只说明伴侣原型与关系资格，不单独证明修复能力、修复意愿或修复结果。</x:v>
      </x:c>
      <x:c r="M392" s="20" t="str">
        <x:v>由M3-BASE提供；日支底盘说明亲密关系中自然调用的功能，但不能单独证明修复闭环。</x:v>
      </x:c>
      <x:c r="N392" s="20" t="str">
        <x:v>由M3-CONFLICT、M4-LOOP及现实事件提供；必须区分问题停止、责任承担、影响确认、行动改变、反馈整合与后续回访。</x:v>
      </x:c>
      <x:c r="O392" s="20" t="str">
        <x:v>由共享基础引擎判定；近位提高相关功能进入亲密关系核心的概率，远位只作背景或阶段修正。</x:v>
      </x:c>
      <x:c r="P392" s="20" t="str">
        <x:v>根气只修正某修复功能是否容易重复调用，不等于现实中已经持续改变。</x:v>
      </x:c>
      <x:c r="Q392" s="20" t="str">
        <x:v>旺弱只修正功能调用强度与占位，不直接等同修复质量、诚意或关系结果。</x:v>
      </x:c>
      <x:c r="R392" s="20" t="str">
        <x:v>喜忌只修正功能摩擦、平衡与承载，不直接等同道德、成熟、善恶或是否值得原谅。</x:v>
      </x:c>
      <x:c r="S392" s="20" t="str">
        <x:v>原十神功能有效；真合化成立时按化神功能替换，合化争议时停止定性。</x:v>
      </x:c>
      <x:c r="T392" s="20" t="str">
        <x:v>近位提高修复议题与亲密关系的直接相关性；远位仅保留背景、阶段或低置信修正。</x:v>
      </x:c>
      <x:c r="U392" s="20" t="str">
        <x:v>88</x:v>
      </x:c>
      <x:c r="V392" s="20" t="str">
        <x:v>路由，不重复加循环分</x:v>
      </x:c>
      <x:c r="W392" s="20" t="str">
        <x:v>repair_route</x:v>
      </x:c>
      <x:c r="X392" s="20" t="str">
        <x:v>每类循环需要不同的修复中断点，不能使用统一道歉模板。</x:v>
      </x:c>
      <x:c r="Y392" s="20" t="str">
        <x:v>这类循环的关键修复点是：明确需要、支持形式与回应方式，使用RN07校验而非项目比较。</x:v>
      </x:c>
      <x:c r="Z39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2" s="20" t="str">
        <x:v>中高</x:v>
      </x:c>
      <x:c r="AB392" s="20" t="str">
        <x:v>待验证</x:v>
      </x:c>
      <x:c r="AC392" s="20" t="str"/>
      <x:c r="AD392" s="20" t="str">
        <x:v>provisional=true；M3-REPAIR尚未完成，完成条件为暂定功能模型。</x:v>
      </x:c>
      <x:c r="AE392" s="52" t="str">
        <x:v>0.7</x:v>
      </x:c>
    </x:row>
    <x:row r="393">
      <x:c r="A393" s="51" t="str">
        <x:v>M4-REPAIR-392</x:v>
      </x:c>
      <x:c r="B393" s="20" t="str">
        <x:v>LP06 投入记账循环｜边界与验证</x:v>
      </x:c>
      <x:c r="C393" s="20" t="str">
        <x:v>L8 LOOP与K机制接口</x:v>
      </x:c>
      <x:c r="D393" s="20" t="str">
        <x:v>REPAIR-循环接口</x:v>
      </x:c>
      <x:c r="E393" s="20" t="str">
        <x:v>通用</x:v>
      </x:c>
      <x:c r="F393" s="20" t="str">
        <x:v>边界</x:v>
      </x:c>
      <x:c r="G393" s="20" t="str">
        <x:v>LP06</x:v>
      </x:c>
      <x:c r="H393" s="20" t="str"/>
      <x:c r="I393" s="20" t="str">
        <x:v>使用现实反馈、复发、修复节点和反例验证。</x:v>
      </x:c>
      <x:c r="J393" s="20" t="str">
        <x:v>投入数量不能自动代表关系质量</x:v>
      </x:c>
      <x:c r="K393" s="20" t="str">
        <x:v>由共享基础引擎提供；仅修正修复功能的承载、持续与压力占位，不直接等同是否愿意认错或能否修复。</x:v>
      </x:c>
      <x:c r="L393" s="20" t="str">
        <x:v>由M1／M2提供；夫妻星只说明伴侣原型与关系资格，不单独证明修复能力、修复意愿或修复结果。</x:v>
      </x:c>
      <x:c r="M393" s="20" t="str">
        <x:v>由M3-BASE提供；日支底盘说明亲密关系中自然调用的功能，但不能单独证明修复闭环。</x:v>
      </x:c>
      <x:c r="N393" s="20" t="str">
        <x:v>由M3-CONFLICT、M4-LOOP及现实事件提供；必须区分问题停止、责任承担、影响确认、行动改变、反馈整合与后续回访。</x:v>
      </x:c>
      <x:c r="O393" s="20" t="str">
        <x:v>由共享基础引擎判定；近位提高相关功能进入亲密关系核心的概率，远位只作背景或阶段修正。</x:v>
      </x:c>
      <x:c r="P393" s="20" t="str">
        <x:v>根气只修正某修复功能是否容易重复调用，不等于现实中已经持续改变。</x:v>
      </x:c>
      <x:c r="Q393" s="20" t="str">
        <x:v>旺弱只修正功能调用强度与占位，不直接等同修复质量、诚意或关系结果。</x:v>
      </x:c>
      <x:c r="R393" s="20" t="str">
        <x:v>喜忌只修正功能摩擦、平衡与承载，不直接等同道德、成熟、善恶或是否值得原谅。</x:v>
      </x:c>
      <x:c r="S393" s="20" t="str">
        <x:v>原十神功能有效；真合化成立时按化神功能替换，合化争议时停止定性。</x:v>
      </x:c>
      <x:c r="T393" s="20" t="str">
        <x:v>近位提高修复议题与亲密关系的直接相关性；远位仅保留背景、阶段或低置信修正。</x:v>
      </x:c>
      <x:c r="U393" s="20" t="str">
        <x:v>92</x:v>
      </x:c>
      <x:c r="V393" s="20" t="str">
        <x:v>门控／反例检查</x:v>
      </x:c>
      <x:c r="W393" s="20" t="str">
        <x:v>boundary_note</x:v>
      </x:c>
      <x:c r="X393" s="20" t="str">
        <x:v>投入数量不能自动代表关系质量</x:v>
      </x:c>
      <x:c r="Y393" s="20" t="str">
        <x:v>边界提示：投入数量不能自动代表关系质量。</x:v>
      </x:c>
      <x:c r="Z39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3" s="20" t="str">
        <x:v>高</x:v>
      </x:c>
      <x:c r="AB393" s="20" t="str">
        <x:v>待验证</x:v>
      </x:c>
      <x:c r="AC393" s="20" t="str"/>
      <x:c r="AD393" s="20" t="str">
        <x:v>provisional=true；M3-REPAIR尚未完成，完成条件为暂定功能模型。</x:v>
      </x:c>
      <x:c r="AE393" s="52" t="str">
        <x:v>0.7</x:v>
      </x:c>
    </x:row>
    <x:row r="394">
      <x:c r="A394" s="51" t="str">
        <x:v>M4-REPAIR-393</x:v>
      </x:c>
      <x:c r="B394" s="20" t="str">
        <x:v>LP07 亲密撤回循环｜修复路由</x:v>
      </x:c>
      <x:c r="C394" s="20" t="str">
        <x:v>L8 LOOP与K机制接口</x:v>
      </x:c>
      <x:c r="D394" s="20" t="str">
        <x:v>REPAIR-循环接口</x:v>
      </x:c>
      <x:c r="E394" s="20" t="str">
        <x:v>通用</x:v>
      </x:c>
      <x:c r="F394" s="20" t="str">
        <x:v>接口</x:v>
      </x:c>
      <x:c r="G394" s="20" t="str">
        <x:v>LP07</x:v>
      </x:c>
      <x:c r="H394" s="20" t="str"/>
      <x:c r="I394" s="20" t="str">
        <x:v>LP07已达到E3候选或有明确现实序列；修复路由为：用RN05建立空间范围、最低连接与回归点，再由RN08验证。</x:v>
      </x:c>
      <x:c r="J394" s="20" t="str">
        <x:v>循环尚未成立，或只有命盘候选。</x:v>
      </x:c>
      <x:c r="K394" s="20" t="str">
        <x:v>由共享基础引擎提供；仅修正修复功能的承载、持续与压力占位，不直接等同是否愿意认错或能否修复。</x:v>
      </x:c>
      <x:c r="L394" s="20" t="str">
        <x:v>由M1／M2提供；夫妻星只说明伴侣原型与关系资格，不单独证明修复能力、修复意愿或修复结果。</x:v>
      </x:c>
      <x:c r="M394" s="20" t="str">
        <x:v>由M3-BASE提供；日支底盘说明亲密关系中自然调用的功能，但不能单独证明修复闭环。</x:v>
      </x:c>
      <x:c r="N394" s="20" t="str">
        <x:v>由M3-CONFLICT、M4-LOOP及现实事件提供；必须区分问题停止、责任承担、影响确认、行动改变、反馈整合与后续回访。</x:v>
      </x:c>
      <x:c r="O394" s="20" t="str">
        <x:v>由共享基础引擎判定；近位提高相关功能进入亲密关系核心的概率，远位只作背景或阶段修正。</x:v>
      </x:c>
      <x:c r="P394" s="20" t="str">
        <x:v>根气只修正某修复功能是否容易重复调用，不等于现实中已经持续改变。</x:v>
      </x:c>
      <x:c r="Q394" s="20" t="str">
        <x:v>旺弱只修正功能调用强度与占位，不直接等同修复质量、诚意或关系结果。</x:v>
      </x:c>
      <x:c r="R394" s="20" t="str">
        <x:v>喜忌只修正功能摩擦、平衡与承载，不直接等同道德、成熟、善恶或是否值得原谅。</x:v>
      </x:c>
      <x:c r="S394" s="20" t="str">
        <x:v>原十神功能有效；真合化成立时按化神功能替换，合化争议时停止定性。</x:v>
      </x:c>
      <x:c r="T394" s="20" t="str">
        <x:v>近位提高修复议题与亲密关系的直接相关性；远位仅保留背景、阶段或低置信修正。</x:v>
      </x:c>
      <x:c r="U394" s="20" t="str">
        <x:v>88</x:v>
      </x:c>
      <x:c r="V394" s="20" t="str">
        <x:v>路由，不重复加循环分</x:v>
      </x:c>
      <x:c r="W394" s="20" t="str">
        <x:v>repair_route</x:v>
      </x:c>
      <x:c r="X394" s="20" t="str">
        <x:v>每类循环需要不同的修复中断点，不能使用统一道歉模板。</x:v>
      </x:c>
      <x:c r="Y394" s="20" t="str">
        <x:v>这类循环的关键修复点是：用RN05建立空间范围、最低连接与回归点，再由RN08验证。</x:v>
      </x:c>
      <x:c r="Z39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4" s="20" t="str">
        <x:v>中高</x:v>
      </x:c>
      <x:c r="AB394" s="20" t="str">
        <x:v>待验证</x:v>
      </x:c>
      <x:c r="AC394" s="20" t="str"/>
      <x:c r="AD394" s="20" t="str">
        <x:v>provisional=true；M3-REPAIR尚未完成，完成条件为暂定功能模型。</x:v>
      </x:c>
      <x:c r="AE394" s="52" t="str">
        <x:v>0.7</x:v>
      </x:c>
    </x:row>
    <x:row r="395">
      <x:c r="A395" s="51" t="str">
        <x:v>M4-REPAIR-394</x:v>
      </x:c>
      <x:c r="B395" s="20" t="str">
        <x:v>LP07 亲密撤回循环｜边界与验证</x:v>
      </x:c>
      <x:c r="C395" s="20" t="str">
        <x:v>L8 LOOP与K机制接口</x:v>
      </x:c>
      <x:c r="D395" s="20" t="str">
        <x:v>REPAIR-循环接口</x:v>
      </x:c>
      <x:c r="E395" s="20" t="str">
        <x:v>通用</x:v>
      </x:c>
      <x:c r="F395" s="20" t="str">
        <x:v>边界</x:v>
      </x:c>
      <x:c r="G395" s="20" t="str">
        <x:v>LP07</x:v>
      </x:c>
      <x:c r="H395" s="20" t="str"/>
      <x:c r="I395" s="20" t="str">
        <x:v>使用现实反馈、复发、修复节点和反例验证。</x:v>
      </x:c>
      <x:c r="J395" s="20" t="str">
        <x:v>需要空间不等于拒绝关系</x:v>
      </x:c>
      <x:c r="K395" s="20" t="str">
        <x:v>由共享基础引擎提供；仅修正修复功能的承载、持续与压力占位，不直接等同是否愿意认错或能否修复。</x:v>
      </x:c>
      <x:c r="L395" s="20" t="str">
        <x:v>由M1／M2提供；夫妻星只说明伴侣原型与关系资格，不单独证明修复能力、修复意愿或修复结果。</x:v>
      </x:c>
      <x:c r="M395" s="20" t="str">
        <x:v>由M3-BASE提供；日支底盘说明亲密关系中自然调用的功能，但不能单独证明修复闭环。</x:v>
      </x:c>
      <x:c r="N395" s="20" t="str">
        <x:v>由M3-CONFLICT、M4-LOOP及现实事件提供；必须区分问题停止、责任承担、影响确认、行动改变、反馈整合与后续回访。</x:v>
      </x:c>
      <x:c r="O395" s="20" t="str">
        <x:v>由共享基础引擎判定；近位提高相关功能进入亲密关系核心的概率，远位只作背景或阶段修正。</x:v>
      </x:c>
      <x:c r="P395" s="20" t="str">
        <x:v>根气只修正某修复功能是否容易重复调用，不等于现实中已经持续改变。</x:v>
      </x:c>
      <x:c r="Q395" s="20" t="str">
        <x:v>旺弱只修正功能调用强度与占位，不直接等同修复质量、诚意或关系结果。</x:v>
      </x:c>
      <x:c r="R395" s="20" t="str">
        <x:v>喜忌只修正功能摩擦、平衡与承载，不直接等同道德、成熟、善恶或是否值得原谅。</x:v>
      </x:c>
      <x:c r="S395" s="20" t="str">
        <x:v>原十神功能有效；真合化成立时按化神功能替换，合化争议时停止定性。</x:v>
      </x:c>
      <x:c r="T395" s="20" t="str">
        <x:v>近位提高修复议题与亲密关系的直接相关性；远位仅保留背景、阶段或低置信修正。</x:v>
      </x:c>
      <x:c r="U395" s="20" t="str">
        <x:v>92</x:v>
      </x:c>
      <x:c r="V395" s="20" t="str">
        <x:v>门控／反例检查</x:v>
      </x:c>
      <x:c r="W395" s="20" t="str">
        <x:v>boundary_note</x:v>
      </x:c>
      <x:c r="X395" s="20" t="str">
        <x:v>需要空间不等于拒绝关系</x:v>
      </x:c>
      <x:c r="Y395" s="20" t="str">
        <x:v>边界提示：需要空间不等于拒绝关系。</x:v>
      </x:c>
      <x:c r="Z39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5" s="20" t="str">
        <x:v>高</x:v>
      </x:c>
      <x:c r="AB395" s="20" t="str">
        <x:v>待验证</x:v>
      </x:c>
      <x:c r="AC395" s="20" t="str"/>
      <x:c r="AD395" s="20" t="str">
        <x:v>provisional=true；M3-REPAIR尚未完成，完成条件为暂定功能模型。</x:v>
      </x:c>
      <x:c r="AE395" s="52" t="str">
        <x:v>0.7</x:v>
      </x:c>
    </x:row>
    <x:row r="396">
      <x:c r="A396" s="51" t="str">
        <x:v>M4-REPAIR-395</x:v>
      </x:c>
      <x:c r="B396" s="20" t="str">
        <x:v>LP08 平等竞争循环｜修复路由</x:v>
      </x:c>
      <x:c r="C396" s="20" t="str">
        <x:v>L8 LOOP与K机制接口</x:v>
      </x:c>
      <x:c r="D396" s="20" t="str">
        <x:v>REPAIR-循环接口</x:v>
      </x:c>
      <x:c r="E396" s="20" t="str">
        <x:v>通用</x:v>
      </x:c>
      <x:c r="F396" s="20" t="str">
        <x:v>接口</x:v>
      </x:c>
      <x:c r="G396" s="20" t="str">
        <x:v>LP08</x:v>
      </x:c>
      <x:c r="H396" s="20" t="str"/>
      <x:c r="I396" s="20" t="str">
        <x:v>LP08已达到E3候选或有明确现实序列；修复路由为：区分人格平等、责任分工与共同决定领域，避免平均伤害责任。</x:v>
      </x:c>
      <x:c r="J396" s="20" t="str">
        <x:v>循环尚未成立，或只有命盘候选。</x:v>
      </x:c>
      <x:c r="K396" s="20" t="str">
        <x:v>由共享基础引擎提供；仅修正修复功能的承载、持续与压力占位，不直接等同是否愿意认错或能否修复。</x:v>
      </x:c>
      <x:c r="L396" s="20" t="str">
        <x:v>由M1／M2提供；夫妻星只说明伴侣原型与关系资格，不单独证明修复能力、修复意愿或修复结果。</x:v>
      </x:c>
      <x:c r="M396" s="20" t="str">
        <x:v>由M3-BASE提供；日支底盘说明亲密关系中自然调用的功能，但不能单独证明修复闭环。</x:v>
      </x:c>
      <x:c r="N396" s="20" t="str">
        <x:v>由M3-CONFLICT、M4-LOOP及现实事件提供；必须区分问题停止、责任承担、影响确认、行动改变、反馈整合与后续回访。</x:v>
      </x:c>
      <x:c r="O396" s="20" t="str">
        <x:v>由共享基础引擎判定；近位提高相关功能进入亲密关系核心的概率，远位只作背景或阶段修正。</x:v>
      </x:c>
      <x:c r="P396" s="20" t="str">
        <x:v>根气只修正某修复功能是否容易重复调用，不等于现实中已经持续改变。</x:v>
      </x:c>
      <x:c r="Q396" s="20" t="str">
        <x:v>旺弱只修正功能调用强度与占位，不直接等同修复质量、诚意或关系结果。</x:v>
      </x:c>
      <x:c r="R396" s="20" t="str">
        <x:v>喜忌只修正功能摩擦、平衡与承载，不直接等同道德、成熟、善恶或是否值得原谅。</x:v>
      </x:c>
      <x:c r="S396" s="20" t="str">
        <x:v>原十神功能有效；真合化成立时按化神功能替换，合化争议时停止定性。</x:v>
      </x:c>
      <x:c r="T396" s="20" t="str">
        <x:v>近位提高修复议题与亲密关系的直接相关性；远位仅保留背景、阶段或低置信修正。</x:v>
      </x:c>
      <x:c r="U396" s="20" t="str">
        <x:v>88</x:v>
      </x:c>
      <x:c r="V396" s="20" t="str">
        <x:v>路由，不重复加循环分</x:v>
      </x:c>
      <x:c r="W396" s="20" t="str">
        <x:v>repair_route</x:v>
      </x:c>
      <x:c r="X396" s="20" t="str">
        <x:v>每类循环需要不同的修复中断点，不能使用统一道歉模板。</x:v>
      </x:c>
      <x:c r="Y396" s="20" t="str">
        <x:v>这类循环的关键修复点是：区分人格平等、责任分工与共同决定领域，避免平均伤害责任。</x:v>
      </x:c>
      <x:c r="Z39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6" s="20" t="str">
        <x:v>中高</x:v>
      </x:c>
      <x:c r="AB396" s="20" t="str">
        <x:v>待验证</x:v>
      </x:c>
      <x:c r="AC396" s="20" t="str"/>
      <x:c r="AD396" s="20" t="str">
        <x:v>provisional=true；M3-REPAIR尚未完成，完成条件为暂定功能模型。</x:v>
      </x:c>
      <x:c r="AE396" s="52" t="str">
        <x:v>0.7</x:v>
      </x:c>
    </x:row>
    <x:row r="397">
      <x:c r="A397" s="51" t="str">
        <x:v>M4-REPAIR-396</x:v>
      </x:c>
      <x:c r="B397" s="20" t="str">
        <x:v>LP08 平等竞争循环｜边界与验证</x:v>
      </x:c>
      <x:c r="C397" s="20" t="str">
        <x:v>L8 LOOP与K机制接口</x:v>
      </x:c>
      <x:c r="D397" s="20" t="str">
        <x:v>REPAIR-循环接口</x:v>
      </x:c>
      <x:c r="E397" s="20" t="str">
        <x:v>通用</x:v>
      </x:c>
      <x:c r="F397" s="20" t="str">
        <x:v>边界</x:v>
      </x:c>
      <x:c r="G397" s="20" t="str">
        <x:v>LP08</x:v>
      </x:c>
      <x:c r="H397" s="20" t="str"/>
      <x:c r="I397" s="20" t="str">
        <x:v>使用现实反馈、复发、修复节点和反例验证。</x:v>
      </x:c>
      <x:c r="J397" s="20" t="str">
        <x:v>平等不等于每件事逐项对等</x:v>
      </x:c>
      <x:c r="K397" s="20" t="str">
        <x:v>由共享基础引擎提供；仅修正修复功能的承载、持续与压力占位，不直接等同是否愿意认错或能否修复。</x:v>
      </x:c>
      <x:c r="L397" s="20" t="str">
        <x:v>由M1／M2提供；夫妻星只说明伴侣原型与关系资格，不单独证明修复能力、修复意愿或修复结果。</x:v>
      </x:c>
      <x:c r="M397" s="20" t="str">
        <x:v>由M3-BASE提供；日支底盘说明亲密关系中自然调用的功能，但不能单独证明修复闭环。</x:v>
      </x:c>
      <x:c r="N397" s="20" t="str">
        <x:v>由M3-CONFLICT、M4-LOOP及现实事件提供；必须区分问题停止、责任承担、影响确认、行动改变、反馈整合与后续回访。</x:v>
      </x:c>
      <x:c r="O397" s="20" t="str">
        <x:v>由共享基础引擎判定；近位提高相关功能进入亲密关系核心的概率，远位只作背景或阶段修正。</x:v>
      </x:c>
      <x:c r="P397" s="20" t="str">
        <x:v>根气只修正某修复功能是否容易重复调用，不等于现实中已经持续改变。</x:v>
      </x:c>
      <x:c r="Q397" s="20" t="str">
        <x:v>旺弱只修正功能调用强度与占位，不直接等同修复质量、诚意或关系结果。</x:v>
      </x:c>
      <x:c r="R397" s="20" t="str">
        <x:v>喜忌只修正功能摩擦、平衡与承载，不直接等同道德、成熟、善恶或是否值得原谅。</x:v>
      </x:c>
      <x:c r="S397" s="20" t="str">
        <x:v>原十神功能有效；真合化成立时按化神功能替换，合化争议时停止定性。</x:v>
      </x:c>
      <x:c r="T397" s="20" t="str">
        <x:v>近位提高修复议题与亲密关系的直接相关性；远位仅保留背景、阶段或低置信修正。</x:v>
      </x:c>
      <x:c r="U397" s="20" t="str">
        <x:v>92</x:v>
      </x:c>
      <x:c r="V397" s="20" t="str">
        <x:v>门控／反例检查</x:v>
      </x:c>
      <x:c r="W397" s="20" t="str">
        <x:v>boundary_note</x:v>
      </x:c>
      <x:c r="X397" s="20" t="str">
        <x:v>平等不等于每件事逐项对等</x:v>
      </x:c>
      <x:c r="Y397" s="20" t="str">
        <x:v>边界提示：平等不等于每件事逐项对等。</x:v>
      </x:c>
      <x:c r="Z39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7" s="20" t="str">
        <x:v>高</x:v>
      </x:c>
      <x:c r="AB397" s="20" t="str">
        <x:v>待验证</x:v>
      </x:c>
      <x:c r="AC397" s="20" t="str"/>
      <x:c r="AD397" s="20" t="str">
        <x:v>provisional=true；M3-REPAIR尚未完成，完成条件为暂定功能模型。</x:v>
      </x:c>
      <x:c r="AE397" s="52" t="str">
        <x:v>0.7</x:v>
      </x:c>
    </x:row>
    <x:row r="398">
      <x:c r="A398" s="51" t="str">
        <x:v>M4-REPAIR-397</x:v>
      </x:c>
      <x:c r="B398" s="20" t="str">
        <x:v>LP09 规则反弹循环｜修复路由</x:v>
      </x:c>
      <x:c r="C398" s="20" t="str">
        <x:v>L8 LOOP与K机制接口</x:v>
      </x:c>
      <x:c r="D398" s="20" t="str">
        <x:v>REPAIR-循环接口</x:v>
      </x:c>
      <x:c r="E398" s="20" t="str">
        <x:v>通用</x:v>
      </x:c>
      <x:c r="F398" s="20" t="str">
        <x:v>接口</x:v>
      </x:c>
      <x:c r="G398" s="20" t="str">
        <x:v>LP09</x:v>
      </x:c>
      <x:c r="H398" s="20" t="str"/>
      <x:c r="I398" s="20" t="str">
        <x:v>LP09已达到E3候选或有明确现实序列；修复路由为：共同制定最小可执行规则，加入RN07反馈和RN08复盘。</x:v>
      </x:c>
      <x:c r="J398" s="20" t="str">
        <x:v>循环尚未成立，或只有命盘候选。</x:v>
      </x:c>
      <x:c r="K398" s="20" t="str">
        <x:v>由共享基础引擎提供；仅修正修复功能的承载、持续与压力占位，不直接等同是否愿意认错或能否修复。</x:v>
      </x:c>
      <x:c r="L398" s="20" t="str">
        <x:v>由M1／M2提供；夫妻星只说明伴侣原型与关系资格，不单独证明修复能力、修复意愿或修复结果。</x:v>
      </x:c>
      <x:c r="M398" s="20" t="str">
        <x:v>由M3-BASE提供；日支底盘说明亲密关系中自然调用的功能，但不能单独证明修复闭环。</x:v>
      </x:c>
      <x:c r="N398" s="20" t="str">
        <x:v>由M3-CONFLICT、M4-LOOP及现实事件提供；必须区分问题停止、责任承担、影响确认、行动改变、反馈整合与后续回访。</x:v>
      </x:c>
      <x:c r="O398" s="20" t="str">
        <x:v>由共享基础引擎判定；近位提高相关功能进入亲密关系核心的概率，远位只作背景或阶段修正。</x:v>
      </x:c>
      <x:c r="P398" s="20" t="str">
        <x:v>根气只修正某修复功能是否容易重复调用，不等于现实中已经持续改变。</x:v>
      </x:c>
      <x:c r="Q398" s="20" t="str">
        <x:v>旺弱只修正功能调用强度与占位，不直接等同修复质量、诚意或关系结果。</x:v>
      </x:c>
      <x:c r="R398" s="20" t="str">
        <x:v>喜忌只修正功能摩擦、平衡与承载，不直接等同道德、成熟、善恶或是否值得原谅。</x:v>
      </x:c>
      <x:c r="S398" s="20" t="str">
        <x:v>原十神功能有效；真合化成立时按化神功能替换，合化争议时停止定性。</x:v>
      </x:c>
      <x:c r="T398" s="20" t="str">
        <x:v>近位提高修复议题与亲密关系的直接相关性；远位仅保留背景、阶段或低置信修正。</x:v>
      </x:c>
      <x:c r="U398" s="20" t="str">
        <x:v>88</x:v>
      </x:c>
      <x:c r="V398" s="20" t="str">
        <x:v>路由，不重复加循环分</x:v>
      </x:c>
      <x:c r="W398" s="20" t="str">
        <x:v>repair_route</x:v>
      </x:c>
      <x:c r="X398" s="20" t="str">
        <x:v>每类循环需要不同的修复中断点，不能使用统一道歉模板。</x:v>
      </x:c>
      <x:c r="Y398" s="20" t="str">
        <x:v>这类循环的关键修复点是：共同制定最小可执行规则，加入RN07反馈和RN08复盘。</x:v>
      </x:c>
      <x:c r="Z39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8" s="20" t="str">
        <x:v>中高</x:v>
      </x:c>
      <x:c r="AB398" s="20" t="str">
        <x:v>待验证</x:v>
      </x:c>
      <x:c r="AC398" s="20" t="str"/>
      <x:c r="AD398" s="20" t="str">
        <x:v>provisional=true；M3-REPAIR尚未完成，完成条件为暂定功能模型。</x:v>
      </x:c>
      <x:c r="AE398" s="52" t="str">
        <x:v>0.7</x:v>
      </x:c>
    </x:row>
    <x:row r="399">
      <x:c r="A399" s="51" t="str">
        <x:v>M4-REPAIR-398</x:v>
      </x:c>
      <x:c r="B399" s="20" t="str">
        <x:v>LP09 规则反弹循环｜边界与验证</x:v>
      </x:c>
      <x:c r="C399" s="20" t="str">
        <x:v>L8 LOOP与K机制接口</x:v>
      </x:c>
      <x:c r="D399" s="20" t="str">
        <x:v>REPAIR-循环接口</x:v>
      </x:c>
      <x:c r="E399" s="20" t="str">
        <x:v>通用</x:v>
      </x:c>
      <x:c r="F399" s="20" t="str">
        <x:v>边界</x:v>
      </x:c>
      <x:c r="G399" s="20" t="str">
        <x:v>LP09</x:v>
      </x:c>
      <x:c r="H399" s="20" t="str"/>
      <x:c r="I399" s="20" t="str">
        <x:v>使用现实反馈、复发、修复节点和反例验证。</x:v>
      </x:c>
      <x:c r="J399" s="20" t="str">
        <x:v>增加规则数量不等于提高修复质量</x:v>
      </x:c>
      <x:c r="K399" s="20" t="str">
        <x:v>由共享基础引擎提供；仅修正修复功能的承载、持续与压力占位，不直接等同是否愿意认错或能否修复。</x:v>
      </x:c>
      <x:c r="L399" s="20" t="str">
        <x:v>由M1／M2提供；夫妻星只说明伴侣原型与关系资格，不单独证明修复能力、修复意愿或修复结果。</x:v>
      </x:c>
      <x:c r="M399" s="20" t="str">
        <x:v>由M3-BASE提供；日支底盘说明亲密关系中自然调用的功能，但不能单独证明修复闭环。</x:v>
      </x:c>
      <x:c r="N399" s="20" t="str">
        <x:v>由M3-CONFLICT、M4-LOOP及现实事件提供；必须区分问题停止、责任承担、影响确认、行动改变、反馈整合与后续回访。</x:v>
      </x:c>
      <x:c r="O399" s="20" t="str">
        <x:v>由共享基础引擎判定；近位提高相关功能进入亲密关系核心的概率，远位只作背景或阶段修正。</x:v>
      </x:c>
      <x:c r="P399" s="20" t="str">
        <x:v>根气只修正某修复功能是否容易重复调用，不等于现实中已经持续改变。</x:v>
      </x:c>
      <x:c r="Q399" s="20" t="str">
        <x:v>旺弱只修正功能调用强度与占位，不直接等同修复质量、诚意或关系结果。</x:v>
      </x:c>
      <x:c r="R399" s="20" t="str">
        <x:v>喜忌只修正功能摩擦、平衡与承载，不直接等同道德、成熟、善恶或是否值得原谅。</x:v>
      </x:c>
      <x:c r="S399" s="20" t="str">
        <x:v>原十神功能有效；真合化成立时按化神功能替换，合化争议时停止定性。</x:v>
      </x:c>
      <x:c r="T399" s="20" t="str">
        <x:v>近位提高修复议题与亲密关系的直接相关性；远位仅保留背景、阶段或低置信修正。</x:v>
      </x:c>
      <x:c r="U399" s="20" t="str">
        <x:v>92</x:v>
      </x:c>
      <x:c r="V399" s="20" t="str">
        <x:v>门控／反例检查</x:v>
      </x:c>
      <x:c r="W399" s="20" t="str">
        <x:v>boundary_note</x:v>
      </x:c>
      <x:c r="X399" s="20" t="str">
        <x:v>增加规则数量不等于提高修复质量</x:v>
      </x:c>
      <x:c r="Y399" s="20" t="str">
        <x:v>边界提示：增加规则数量不等于提高修复质量。</x:v>
      </x:c>
      <x:c r="Z39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399" s="20" t="str">
        <x:v>高</x:v>
      </x:c>
      <x:c r="AB399" s="20" t="str">
        <x:v>待验证</x:v>
      </x:c>
      <x:c r="AC399" s="20" t="str"/>
      <x:c r="AD399" s="20" t="str">
        <x:v>provisional=true；M3-REPAIR尚未完成，完成条件为暂定功能模型。</x:v>
      </x:c>
      <x:c r="AE399" s="52" t="str">
        <x:v>0.7</x:v>
      </x:c>
    </x:row>
    <x:row r="400">
      <x:c r="A400" s="51" t="str">
        <x:v>M4-REPAIR-399</x:v>
      </x:c>
      <x:c r="B400" s="20" t="str">
        <x:v>LP10 新鲜落地循环｜修复路由</x:v>
      </x:c>
      <x:c r="C400" s="20" t="str">
        <x:v>L8 LOOP与K机制接口</x:v>
      </x:c>
      <x:c r="D400" s="20" t="str">
        <x:v>REPAIR-循环接口</x:v>
      </x:c>
      <x:c r="E400" s="20" t="str">
        <x:v>通用</x:v>
      </x:c>
      <x:c r="F400" s="20" t="str">
        <x:v>接口</x:v>
      </x:c>
      <x:c r="G400" s="20" t="str">
        <x:v>LP10</x:v>
      </x:c>
      <x:c r="H400" s="20" t="str"/>
      <x:c r="I400" s="20" t="str">
        <x:v>LP10已达到E3候选或有明确现实序列；修复路由为：共同体验后转入正财式持续安排和RN08回访。</x:v>
      </x:c>
      <x:c r="J400" s="20" t="str">
        <x:v>循环尚未成立，或只有命盘候选。</x:v>
      </x:c>
      <x:c r="K400" s="20" t="str">
        <x:v>由共享基础引擎提供；仅修正修复功能的承载、持续与压力占位，不直接等同是否愿意认错或能否修复。</x:v>
      </x:c>
      <x:c r="L400" s="20" t="str">
        <x:v>由M1／M2提供；夫妻星只说明伴侣原型与关系资格，不单独证明修复能力、修复意愿或修复结果。</x:v>
      </x:c>
      <x:c r="M400" s="20" t="str">
        <x:v>由M3-BASE提供；日支底盘说明亲密关系中自然调用的功能，但不能单独证明修复闭环。</x:v>
      </x:c>
      <x:c r="N400" s="20" t="str">
        <x:v>由M3-CONFLICT、M4-LOOP及现实事件提供；必须区分问题停止、责任承担、影响确认、行动改变、反馈整合与后续回访。</x:v>
      </x:c>
      <x:c r="O400" s="20" t="str">
        <x:v>由共享基础引擎判定；近位提高相关功能进入亲密关系核心的概率，远位只作背景或阶段修正。</x:v>
      </x:c>
      <x:c r="P400" s="20" t="str">
        <x:v>根气只修正某修复功能是否容易重复调用，不等于现实中已经持续改变。</x:v>
      </x:c>
      <x:c r="Q400" s="20" t="str">
        <x:v>旺弱只修正功能调用强度与占位，不直接等同修复质量、诚意或关系结果。</x:v>
      </x:c>
      <x:c r="R400" s="20" t="str">
        <x:v>喜忌只修正功能摩擦、平衡与承载，不直接等同道德、成熟、善恶或是否值得原谅。</x:v>
      </x:c>
      <x:c r="S400" s="20" t="str">
        <x:v>原十神功能有效；真合化成立时按化神功能替换，合化争议时停止定性。</x:v>
      </x:c>
      <x:c r="T400" s="20" t="str">
        <x:v>近位提高修复议题与亲密关系的直接相关性；远位仅保留背景、阶段或低置信修正。</x:v>
      </x:c>
      <x:c r="U400" s="20" t="str">
        <x:v>88</x:v>
      </x:c>
      <x:c r="V400" s="20" t="str">
        <x:v>路由，不重复加循环分</x:v>
      </x:c>
      <x:c r="W400" s="20" t="str">
        <x:v>repair_route</x:v>
      </x:c>
      <x:c r="X400" s="20" t="str">
        <x:v>每类循环需要不同的修复中断点，不能使用统一道歉模板。</x:v>
      </x:c>
      <x:c r="Y400" s="20" t="str">
        <x:v>这类循环的关键修复点是：共同体验后转入正财式持续安排和RN08回访。</x:v>
      </x:c>
      <x:c r="Z40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0" s="20" t="str">
        <x:v>中高</x:v>
      </x:c>
      <x:c r="AB400" s="20" t="str">
        <x:v>待验证</x:v>
      </x:c>
      <x:c r="AC400" s="20" t="str"/>
      <x:c r="AD400" s="20" t="str">
        <x:v>provisional=true；M3-REPAIR尚未完成，完成条件为暂定功能模型。</x:v>
      </x:c>
      <x:c r="AE400" s="52" t="str">
        <x:v>0.7</x:v>
      </x:c>
    </x:row>
    <x:row r="401">
      <x:c r="A401" s="51" t="str">
        <x:v>M4-REPAIR-400</x:v>
      </x:c>
      <x:c r="B401" s="20" t="str">
        <x:v>LP10 新鲜落地循环｜边界与验证</x:v>
      </x:c>
      <x:c r="C401" s="20" t="str">
        <x:v>L8 LOOP与K机制接口</x:v>
      </x:c>
      <x:c r="D401" s="20" t="str">
        <x:v>REPAIR-循环接口</x:v>
      </x:c>
      <x:c r="E401" s="20" t="str">
        <x:v>通用</x:v>
      </x:c>
      <x:c r="F401" s="20" t="str">
        <x:v>边界</x:v>
      </x:c>
      <x:c r="G401" s="20" t="str">
        <x:v>LP10</x:v>
      </x:c>
      <x:c r="H401" s="20" t="str"/>
      <x:c r="I401" s="20" t="str">
        <x:v>使用现实反馈、复发、修复节点和反例验证。</x:v>
      </x:c>
      <x:c r="J401" s="20" t="str">
        <x:v>一次高光不能替代稳定关系安排</x:v>
      </x:c>
      <x:c r="K401" s="20" t="str">
        <x:v>由共享基础引擎提供；仅修正修复功能的承载、持续与压力占位，不直接等同是否愿意认错或能否修复。</x:v>
      </x:c>
      <x:c r="L401" s="20" t="str">
        <x:v>由M1／M2提供；夫妻星只说明伴侣原型与关系资格，不单独证明修复能力、修复意愿或修复结果。</x:v>
      </x:c>
      <x:c r="M401" s="20" t="str">
        <x:v>由M3-BASE提供；日支底盘说明亲密关系中自然调用的功能，但不能单独证明修复闭环。</x:v>
      </x:c>
      <x:c r="N401" s="20" t="str">
        <x:v>由M3-CONFLICT、M4-LOOP及现实事件提供；必须区分问题停止、责任承担、影响确认、行动改变、反馈整合与后续回访。</x:v>
      </x:c>
      <x:c r="O401" s="20" t="str">
        <x:v>由共享基础引擎判定；近位提高相关功能进入亲密关系核心的概率，远位只作背景或阶段修正。</x:v>
      </x:c>
      <x:c r="P401" s="20" t="str">
        <x:v>根气只修正某修复功能是否容易重复调用，不等于现实中已经持续改变。</x:v>
      </x:c>
      <x:c r="Q401" s="20" t="str">
        <x:v>旺弱只修正功能调用强度与占位，不直接等同修复质量、诚意或关系结果。</x:v>
      </x:c>
      <x:c r="R401" s="20" t="str">
        <x:v>喜忌只修正功能摩擦、平衡与承载，不直接等同道德、成熟、善恶或是否值得原谅。</x:v>
      </x:c>
      <x:c r="S401" s="20" t="str">
        <x:v>原十神功能有效；真合化成立时按化神功能替换，合化争议时停止定性。</x:v>
      </x:c>
      <x:c r="T401" s="20" t="str">
        <x:v>近位提高修复议题与亲密关系的直接相关性；远位仅保留背景、阶段或低置信修正。</x:v>
      </x:c>
      <x:c r="U401" s="20" t="str">
        <x:v>92</x:v>
      </x:c>
      <x:c r="V401" s="20" t="str">
        <x:v>门控／反例检查</x:v>
      </x:c>
      <x:c r="W401" s="20" t="str">
        <x:v>boundary_note</x:v>
      </x:c>
      <x:c r="X401" s="20" t="str">
        <x:v>一次高光不能替代稳定关系安排</x:v>
      </x:c>
      <x:c r="Y401" s="20" t="str">
        <x:v>边界提示：一次高光不能替代稳定关系安排。</x:v>
      </x:c>
      <x:c r="Z40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1" s="20" t="str">
        <x:v>高</x:v>
      </x:c>
      <x:c r="AB401" s="20" t="str">
        <x:v>待验证</x:v>
      </x:c>
      <x:c r="AC401" s="20" t="str"/>
      <x:c r="AD401" s="20" t="str">
        <x:v>provisional=true；M3-REPAIR尚未完成，完成条件为暂定功能模型。</x:v>
      </x:c>
      <x:c r="AE401" s="52" t="str">
        <x:v>0.7</x:v>
      </x:c>
    </x:row>
    <x:row r="402">
      <x:c r="A402" s="51" t="str">
        <x:v>M4-REPAIR-401</x:v>
      </x:c>
      <x:c r="B402" s="20" t="str">
        <x:v>LP11 暂停断链循环｜修复路由</x:v>
      </x:c>
      <x:c r="C402" s="20" t="str">
        <x:v>L8 LOOP与K机制接口</x:v>
      </x:c>
      <x:c r="D402" s="20" t="str">
        <x:v>REPAIR-循环接口</x:v>
      </x:c>
      <x:c r="E402" s="20" t="str">
        <x:v>通用</x:v>
      </x:c>
      <x:c r="F402" s="20" t="str">
        <x:v>接口</x:v>
      </x:c>
      <x:c r="G402" s="20" t="str">
        <x:v>LP11</x:v>
      </x:c>
      <x:c r="H402" s="20" t="str"/>
      <x:c r="I402" s="20" t="str">
        <x:v>LP11已达到E3候选或有明确现实序列；修复路由为：暂停前确定目的、范围、最低联系与返回条件。</x:v>
      </x:c>
      <x:c r="J402" s="20" t="str">
        <x:v>循环尚未成立，或只有命盘候选。</x:v>
      </x:c>
      <x:c r="K402" s="20" t="str">
        <x:v>由共享基础引擎提供；仅修正修复功能的承载、持续与压力占位，不直接等同是否愿意认错或能否修复。</x:v>
      </x:c>
      <x:c r="L402" s="20" t="str">
        <x:v>由M1／M2提供；夫妻星只说明伴侣原型与关系资格，不单独证明修复能力、修复意愿或修复结果。</x:v>
      </x:c>
      <x:c r="M402" s="20" t="str">
        <x:v>由M3-BASE提供；日支底盘说明亲密关系中自然调用的功能，但不能单独证明修复闭环。</x:v>
      </x:c>
      <x:c r="N402" s="20" t="str">
        <x:v>由M3-CONFLICT、M4-LOOP及现实事件提供；必须区分问题停止、责任承担、影响确认、行动改变、反馈整合与后续回访。</x:v>
      </x:c>
      <x:c r="O402" s="20" t="str">
        <x:v>由共享基础引擎判定；近位提高相关功能进入亲密关系核心的概率，远位只作背景或阶段修正。</x:v>
      </x:c>
      <x:c r="P402" s="20" t="str">
        <x:v>根气只修正某修复功能是否容易重复调用，不等于现实中已经持续改变。</x:v>
      </x:c>
      <x:c r="Q402" s="20" t="str">
        <x:v>旺弱只修正功能调用强度与占位，不直接等同修复质量、诚意或关系结果。</x:v>
      </x:c>
      <x:c r="R402" s="20" t="str">
        <x:v>喜忌只修正功能摩擦、平衡与承载，不直接等同道德、成熟、善恶或是否值得原谅。</x:v>
      </x:c>
      <x:c r="S402" s="20" t="str">
        <x:v>原十神功能有效；真合化成立时按化神功能替换，合化争议时停止定性。</x:v>
      </x:c>
      <x:c r="T402" s="20" t="str">
        <x:v>近位提高修复议题与亲密关系的直接相关性；远位仅保留背景、阶段或低置信修正。</x:v>
      </x:c>
      <x:c r="U402" s="20" t="str">
        <x:v>88</x:v>
      </x:c>
      <x:c r="V402" s="20" t="str">
        <x:v>路由，不重复加循环分</x:v>
      </x:c>
      <x:c r="W402" s="20" t="str">
        <x:v>repair_route</x:v>
      </x:c>
      <x:c r="X402" s="20" t="str">
        <x:v>每类循环需要不同的修复中断点，不能使用统一道歉模板。</x:v>
      </x:c>
      <x:c r="Y402" s="20" t="str">
        <x:v>这类循环的关键修复点是：暂停前确定目的、范围、最低联系与返回条件。</x:v>
      </x:c>
      <x:c r="Z40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2" s="20" t="str">
        <x:v>中高</x:v>
      </x:c>
      <x:c r="AB402" s="20" t="str">
        <x:v>待验证</x:v>
      </x:c>
      <x:c r="AC402" s="20" t="str"/>
      <x:c r="AD402" s="20" t="str">
        <x:v>provisional=true；M3-REPAIR尚未完成，完成条件为暂定功能模型。</x:v>
      </x:c>
      <x:c r="AE402" s="52" t="str">
        <x:v>0.7</x:v>
      </x:c>
    </x:row>
    <x:row r="403">
      <x:c r="A403" s="51" t="str">
        <x:v>M4-REPAIR-402</x:v>
      </x:c>
      <x:c r="B403" s="20" t="str">
        <x:v>LP11 暂停断链循环｜边界与验证</x:v>
      </x:c>
      <x:c r="C403" s="20" t="str">
        <x:v>L8 LOOP与K机制接口</x:v>
      </x:c>
      <x:c r="D403" s="20" t="str">
        <x:v>REPAIR-循环接口</x:v>
      </x:c>
      <x:c r="E403" s="20" t="str">
        <x:v>通用</x:v>
      </x:c>
      <x:c r="F403" s="20" t="str">
        <x:v>边界</x:v>
      </x:c>
      <x:c r="G403" s="20" t="str">
        <x:v>LP11</x:v>
      </x:c>
      <x:c r="H403" s="20" t="str"/>
      <x:c r="I403" s="20" t="str">
        <x:v>使用现实反馈、复发、修复节点和反例验证。</x:v>
      </x:c>
      <x:c r="J403" s="20" t="str">
        <x:v>没有回归点的暂停不能写成有效修复</x:v>
      </x:c>
      <x:c r="K403" s="20" t="str">
        <x:v>由共享基础引擎提供；仅修正修复功能的承载、持续与压力占位，不直接等同是否愿意认错或能否修复。</x:v>
      </x:c>
      <x:c r="L403" s="20" t="str">
        <x:v>由M1／M2提供；夫妻星只说明伴侣原型与关系资格，不单独证明修复能力、修复意愿或修复结果。</x:v>
      </x:c>
      <x:c r="M403" s="20" t="str">
        <x:v>由M3-BASE提供；日支底盘说明亲密关系中自然调用的功能，但不能单独证明修复闭环。</x:v>
      </x:c>
      <x:c r="N403" s="20" t="str">
        <x:v>由M3-CONFLICT、M4-LOOP及现实事件提供；必须区分问题停止、责任承担、影响确认、行动改变、反馈整合与后续回访。</x:v>
      </x:c>
      <x:c r="O403" s="20" t="str">
        <x:v>由共享基础引擎判定；近位提高相关功能进入亲密关系核心的概率，远位只作背景或阶段修正。</x:v>
      </x:c>
      <x:c r="P403" s="20" t="str">
        <x:v>根气只修正某修复功能是否容易重复调用，不等于现实中已经持续改变。</x:v>
      </x:c>
      <x:c r="Q403" s="20" t="str">
        <x:v>旺弱只修正功能调用强度与占位，不直接等同修复质量、诚意或关系结果。</x:v>
      </x:c>
      <x:c r="R403" s="20" t="str">
        <x:v>喜忌只修正功能摩擦、平衡与承载，不直接等同道德、成熟、善恶或是否值得原谅。</x:v>
      </x:c>
      <x:c r="S403" s="20" t="str">
        <x:v>原十神功能有效；真合化成立时按化神功能替换，合化争议时停止定性。</x:v>
      </x:c>
      <x:c r="T403" s="20" t="str">
        <x:v>近位提高修复议题与亲密关系的直接相关性；远位仅保留背景、阶段或低置信修正。</x:v>
      </x:c>
      <x:c r="U403" s="20" t="str">
        <x:v>92</x:v>
      </x:c>
      <x:c r="V403" s="20" t="str">
        <x:v>门控／反例检查</x:v>
      </x:c>
      <x:c r="W403" s="20" t="str">
        <x:v>boundary_note</x:v>
      </x:c>
      <x:c r="X403" s="20" t="str">
        <x:v>没有回归点的暂停不能写成有效修复</x:v>
      </x:c>
      <x:c r="Y403" s="20" t="str">
        <x:v>边界提示：没有回归点的暂停不能写成有效修复。</x:v>
      </x:c>
      <x:c r="Z40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3" s="20" t="str">
        <x:v>高</x:v>
      </x:c>
      <x:c r="AB403" s="20" t="str">
        <x:v>待验证</x:v>
      </x:c>
      <x:c r="AC403" s="20" t="str"/>
      <x:c r="AD403" s="20" t="str">
        <x:v>provisional=true；M3-REPAIR尚未完成，完成条件为暂定功能模型。</x:v>
      </x:c>
      <x:c r="AE403" s="52" t="str">
        <x:v>0.7</x:v>
      </x:c>
    </x:row>
    <x:row r="404">
      <x:c r="A404" s="51" t="str">
        <x:v>M4-REPAIR-403</x:v>
      </x:c>
      <x:c r="B404" s="20" t="str">
        <x:v>LP12 修复不闭环循环｜修复路由</x:v>
      </x:c>
      <x:c r="C404" s="20" t="str">
        <x:v>L8 LOOP与K机制接口</x:v>
      </x:c>
      <x:c r="D404" s="20" t="str">
        <x:v>REPAIR-循环接口</x:v>
      </x:c>
      <x:c r="E404" s="20" t="str">
        <x:v>通用</x:v>
      </x:c>
      <x:c r="F404" s="20" t="str">
        <x:v>接口</x:v>
      </x:c>
      <x:c r="G404" s="20" t="str">
        <x:v>LP12</x:v>
      </x:c>
      <x:c r="H404" s="20" t="str"/>
      <x:c r="I404" s="20" t="str">
        <x:v>LP12已达到E3候选或有明确现实序列；修复路由为：按事件类型检查RN01—RN08缺失节点，并优先补反馈、持续性和回访。</x:v>
      </x:c>
      <x:c r="J404" s="20" t="str">
        <x:v>循环尚未成立，或只有命盘候选。</x:v>
      </x:c>
      <x:c r="K404" s="20" t="str">
        <x:v>由共享基础引擎提供；仅修正修复功能的承载、持续与压力占位，不直接等同是否愿意认错或能否修复。</x:v>
      </x:c>
      <x:c r="L404" s="20" t="str">
        <x:v>由M1／M2提供；夫妻星只说明伴侣原型与关系资格，不单独证明修复能力、修复意愿或修复结果。</x:v>
      </x:c>
      <x:c r="M404" s="20" t="str">
        <x:v>由M3-BASE提供；日支底盘说明亲密关系中自然调用的功能，但不能单独证明修复闭环。</x:v>
      </x:c>
      <x:c r="N404" s="20" t="str">
        <x:v>由M3-CONFLICT、M4-LOOP及现实事件提供；必须区分问题停止、责任承担、影响确认、行动改变、反馈整合与后续回访。</x:v>
      </x:c>
      <x:c r="O404" s="20" t="str">
        <x:v>由共享基础引擎判定；近位提高相关功能进入亲密关系核心的概率，远位只作背景或阶段修正。</x:v>
      </x:c>
      <x:c r="P404" s="20" t="str">
        <x:v>根气只修正某修复功能是否容易重复调用，不等于现实中已经持续改变。</x:v>
      </x:c>
      <x:c r="Q404" s="20" t="str">
        <x:v>旺弱只修正功能调用强度与占位，不直接等同修复质量、诚意或关系结果。</x:v>
      </x:c>
      <x:c r="R404" s="20" t="str">
        <x:v>喜忌只修正功能摩擦、平衡与承载，不直接等同道德、成熟、善恶或是否值得原谅。</x:v>
      </x:c>
      <x:c r="S404" s="20" t="str">
        <x:v>原十神功能有效；真合化成立时按化神功能替换，合化争议时停止定性。</x:v>
      </x:c>
      <x:c r="T404" s="20" t="str">
        <x:v>近位提高修复议题与亲密关系的直接相关性；远位仅保留背景、阶段或低置信修正。</x:v>
      </x:c>
      <x:c r="U404" s="20" t="str">
        <x:v>88</x:v>
      </x:c>
      <x:c r="V404" s="20" t="str">
        <x:v>路由，不重复加循环分</x:v>
      </x:c>
      <x:c r="W404" s="20" t="str">
        <x:v>repair_route</x:v>
      </x:c>
      <x:c r="X404" s="20" t="str">
        <x:v>每类循环需要不同的修复中断点，不能使用统一道歉模板。</x:v>
      </x:c>
      <x:c r="Y404" s="20" t="str">
        <x:v>这类循环的关键修复点是：按事件类型检查RN01—RN08缺失节点，并优先补反馈、持续性和回访。</x:v>
      </x:c>
      <x:c r="Z40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4" s="20" t="str">
        <x:v>中高</x:v>
      </x:c>
      <x:c r="AB404" s="20" t="str">
        <x:v>待验证</x:v>
      </x:c>
      <x:c r="AC404" s="20" t="str"/>
      <x:c r="AD404" s="20" t="str">
        <x:v>provisional=true；M3-REPAIR尚未完成，完成条件为暂定功能模型。</x:v>
      </x:c>
      <x:c r="AE404" s="52" t="str">
        <x:v>0.7</x:v>
      </x:c>
    </x:row>
    <x:row r="405">
      <x:c r="A405" s="51" t="str">
        <x:v>M4-REPAIR-404</x:v>
      </x:c>
      <x:c r="B405" s="20" t="str">
        <x:v>LP12 修复不闭环循环｜边界与验证</x:v>
      </x:c>
      <x:c r="C405" s="20" t="str">
        <x:v>L8 LOOP与K机制接口</x:v>
      </x:c>
      <x:c r="D405" s="20" t="str">
        <x:v>REPAIR-循环接口</x:v>
      </x:c>
      <x:c r="E405" s="20" t="str">
        <x:v>通用</x:v>
      </x:c>
      <x:c r="F405" s="20" t="str">
        <x:v>边界</x:v>
      </x:c>
      <x:c r="G405" s="20" t="str">
        <x:v>LP12</x:v>
      </x:c>
      <x:c r="H405" s="20" t="str"/>
      <x:c r="I405" s="20" t="str">
        <x:v>使用现实反馈、复发、修复节点和反例验证。</x:v>
      </x:c>
      <x:c r="J405" s="20" t="str">
        <x:v>道歉、方案或短期缓和不等于闭环</x:v>
      </x:c>
      <x:c r="K405" s="20" t="str">
        <x:v>由共享基础引擎提供；仅修正修复功能的承载、持续与压力占位，不直接等同是否愿意认错或能否修复。</x:v>
      </x:c>
      <x:c r="L405" s="20" t="str">
        <x:v>由M1／M2提供；夫妻星只说明伴侣原型与关系资格，不单独证明修复能力、修复意愿或修复结果。</x:v>
      </x:c>
      <x:c r="M405" s="20" t="str">
        <x:v>由M3-BASE提供；日支底盘说明亲密关系中自然调用的功能，但不能单独证明修复闭环。</x:v>
      </x:c>
      <x:c r="N405" s="20" t="str">
        <x:v>由M3-CONFLICT、M4-LOOP及现实事件提供；必须区分问题停止、责任承担、影响确认、行动改变、反馈整合与后续回访。</x:v>
      </x:c>
      <x:c r="O405" s="20" t="str">
        <x:v>由共享基础引擎判定；近位提高相关功能进入亲密关系核心的概率，远位只作背景或阶段修正。</x:v>
      </x:c>
      <x:c r="P405" s="20" t="str">
        <x:v>根气只修正某修复功能是否容易重复调用，不等于现实中已经持续改变。</x:v>
      </x:c>
      <x:c r="Q405" s="20" t="str">
        <x:v>旺弱只修正功能调用强度与占位，不直接等同修复质量、诚意或关系结果。</x:v>
      </x:c>
      <x:c r="R405" s="20" t="str">
        <x:v>喜忌只修正功能摩擦、平衡与承载，不直接等同道德、成熟、善恶或是否值得原谅。</x:v>
      </x:c>
      <x:c r="S405" s="20" t="str">
        <x:v>原十神功能有效；真合化成立时按化神功能替换，合化争议时停止定性。</x:v>
      </x:c>
      <x:c r="T405" s="20" t="str">
        <x:v>近位提高修复议题与亲密关系的直接相关性；远位仅保留背景、阶段或低置信修正。</x:v>
      </x:c>
      <x:c r="U405" s="20" t="str">
        <x:v>92</x:v>
      </x:c>
      <x:c r="V405" s="20" t="str">
        <x:v>门控／反例检查</x:v>
      </x:c>
      <x:c r="W405" s="20" t="str">
        <x:v>boundary_note</x:v>
      </x:c>
      <x:c r="X405" s="20" t="str">
        <x:v>道歉、方案或短期缓和不等于闭环</x:v>
      </x:c>
      <x:c r="Y405" s="20" t="str">
        <x:v>边界提示：道歉、方案或短期缓和不等于闭环。</x:v>
      </x:c>
      <x:c r="Z40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5" s="20" t="str">
        <x:v>高</x:v>
      </x:c>
      <x:c r="AB405" s="20" t="str">
        <x:v>待验证</x:v>
      </x:c>
      <x:c r="AC405" s="20" t="str"/>
      <x:c r="AD405" s="20" t="str">
        <x:v>provisional=true；M3-REPAIR尚未完成，完成条件为暂定功能模型。</x:v>
      </x:c>
      <x:c r="AE405" s="52" t="str">
        <x:v>0.7</x:v>
      </x:c>
    </x:row>
    <x:row r="406">
      <x:c r="A406" s="51" t="str">
        <x:v>M4-REPAIR-405</x:v>
      </x:c>
      <x:c r="B406" s="20" t="str">
        <x:v>K01 过用放大｜修复功能</x:v>
      </x:c>
      <x:c r="C406" s="20" t="str">
        <x:v>L8 LOOP与K机制接口</x:v>
      </x:c>
      <x:c r="D406" s="20" t="str">
        <x:v>REPAIR-K机制接口</x:v>
      </x:c>
      <x:c r="E406" s="20" t="str">
        <x:v>通用</x:v>
      </x:c>
      <x:c r="F406" s="20" t="str">
        <x:v>接口</x:v>
      </x:c>
      <x:c r="G406" s="20" t="str">
        <x:v>K01</x:v>
      </x:c>
      <x:c r="H406" s="20" t="str"/>
      <x:c r="I406" s="20" t="str">
        <x:v>K01已由前序模块建立；修复重点：减少主通道占位，补入被压缩的必要节点。</x:v>
      </x:c>
      <x:c r="J406" s="20" t="str">
        <x:v>K机制未成立或只有单一结构标签。</x:v>
      </x:c>
      <x:c r="K406" s="20" t="str">
        <x:v>由共享基础引擎提供；仅修正修复功能的承载、持续与压力占位，不直接等同是否愿意认错或能否修复。</x:v>
      </x:c>
      <x:c r="L406" s="20" t="str">
        <x:v>由M1／M2提供；夫妻星只说明伴侣原型与关系资格，不单独证明修复能力、修复意愿或修复结果。</x:v>
      </x:c>
      <x:c r="M406" s="20" t="str">
        <x:v>由M3-BASE提供；日支底盘说明亲密关系中自然调用的功能，但不能单独证明修复闭环。</x:v>
      </x:c>
      <x:c r="N406" s="20" t="str">
        <x:v>由M3-CONFLICT、M4-LOOP及现实事件提供；必须区分问题停止、责任承担、影响确认、行动改变、反馈整合与后续回访。</x:v>
      </x:c>
      <x:c r="O406" s="20" t="str">
        <x:v>由共享基础引擎判定；近位提高相关功能进入亲密关系核心的概率，远位只作背景或阶段修正。</x:v>
      </x:c>
      <x:c r="P406" s="20" t="str">
        <x:v>根气只修正某修复功能是否容易重复调用，不等于现实中已经持续改变。</x:v>
      </x:c>
      <x:c r="Q406" s="20" t="str">
        <x:v>旺弱只修正功能调用强度与占位，不直接等同修复质量、诚意或关系结果。</x:v>
      </x:c>
      <x:c r="R406" s="20" t="str">
        <x:v>喜忌只修正功能摩擦、平衡与承载，不直接等同道德、成熟、善恶或是否值得原谅。</x:v>
      </x:c>
      <x:c r="S406" s="20" t="str">
        <x:v>原十神功能有效；真合化成立时按化神功能替换，合化争议时停止定性。</x:v>
      </x:c>
      <x:c r="T406" s="20" t="str">
        <x:v>近位提高修复议题与亲密关系的直接相关性；远位仅保留背景、阶段或低置信修正。</x:v>
      </x:c>
      <x:c r="U406" s="20" t="str">
        <x:v>86</x:v>
      </x:c>
      <x:c r="V406" s="20" t="str">
        <x:v>修复路由，不重复加K分</x:v>
      </x:c>
      <x:c r="W406" s="20" t="str">
        <x:v>repair_route</x:v>
      </x:c>
      <x:c r="X406" s="20" t="str">
        <x:v>K机制决定修复要补什么功能，不直接决定修复结果。</x:v>
      </x:c>
      <x:c r="Y406" s="20" t="str">
        <x:v>针对过用放大，关键是：减少主通道占位，补入被压缩的必要节点。</x:v>
      </x:c>
      <x:c r="Z40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6" s="20" t="str">
        <x:v>中高</x:v>
      </x:c>
      <x:c r="AB406" s="20" t="str">
        <x:v>待验证</x:v>
      </x:c>
      <x:c r="AC406" s="20" t="str"/>
      <x:c r="AD406" s="20" t="str">
        <x:v>provisional=true；M3-REPAIR尚未完成，完成条件为暂定功能模型。</x:v>
      </x:c>
      <x:c r="AE406" s="52" t="str">
        <x:v>0.7</x:v>
      </x:c>
    </x:row>
    <x:row r="407">
      <x:c r="A407" s="51" t="str">
        <x:v>M4-REPAIR-406</x:v>
      </x:c>
      <x:c r="B407" s="20" t="str">
        <x:v>K01 过用放大｜完成边界</x:v>
      </x:c>
      <x:c r="C407" s="20" t="str">
        <x:v>L8 LOOP与K机制接口</x:v>
      </x:c>
      <x:c r="D407" s="20" t="str">
        <x:v>REPAIR-K机制接口</x:v>
      </x:c>
      <x:c r="E407" s="20" t="str">
        <x:v>通用</x:v>
      </x:c>
      <x:c r="F407" s="20" t="str">
        <x:v>门控</x:v>
      </x:c>
      <x:c r="G407" s="20" t="str">
        <x:v>K01</x:v>
      </x:c>
      <x:c r="H407" s="20" t="str"/>
      <x:c r="I407" s="20" t="str">
        <x:v>新增节点有现实行为、接收反馈和后续验证。</x:v>
      </x:c>
      <x:c r="J407" s="20" t="str">
        <x:v>只用建议或意愿代替实际改变。</x:v>
      </x:c>
      <x:c r="K407" s="20" t="str">
        <x:v>由共享基础引擎提供；仅修正修复功能的承载、持续与压力占位，不直接等同是否愿意认错或能否修复。</x:v>
      </x:c>
      <x:c r="L407" s="20" t="str">
        <x:v>由M1／M2提供；夫妻星只说明伴侣原型与关系资格，不单独证明修复能力、修复意愿或修复结果。</x:v>
      </x:c>
      <x:c r="M407" s="20" t="str">
        <x:v>由M3-BASE提供；日支底盘说明亲密关系中自然调用的功能，但不能单独证明修复闭环。</x:v>
      </x:c>
      <x:c r="N407" s="20" t="str">
        <x:v>由M3-CONFLICT、M4-LOOP及现实事件提供；必须区分问题停止、责任承担、影响确认、行动改变、反馈整合与后续回访。</x:v>
      </x:c>
      <x:c r="O407" s="20" t="str">
        <x:v>由共享基础引擎判定；近位提高相关功能进入亲密关系核心的概率，远位只作背景或阶段修正。</x:v>
      </x:c>
      <x:c r="P407" s="20" t="str">
        <x:v>根气只修正某修复功能是否容易重复调用，不等于现实中已经持续改变。</x:v>
      </x:c>
      <x:c r="Q407" s="20" t="str">
        <x:v>旺弱只修正功能调用强度与占位，不直接等同修复质量、诚意或关系结果。</x:v>
      </x:c>
      <x:c r="R407" s="20" t="str">
        <x:v>喜忌只修正功能摩擦、平衡与承载，不直接等同道德、成熟、善恶或是否值得原谅。</x:v>
      </x:c>
      <x:c r="S407" s="20" t="str">
        <x:v>原十神功能有效；真合化成立时按化神功能替换，合化争议时停止定性。</x:v>
      </x:c>
      <x:c r="T407" s="20" t="str">
        <x:v>近位提高修复议题与亲密关系的直接相关性；远位仅保留背景、阶段或低置信修正。</x:v>
      </x:c>
      <x:c r="U407" s="20" t="str">
        <x:v>90</x:v>
      </x:c>
      <x:c r="V407" s="20" t="str">
        <x:v>完成门控</x:v>
      </x:c>
      <x:c r="W407" s="20" t="str">
        <x:v>repair_level</x:v>
      </x:c>
      <x:c r="X407" s="20" t="str">
        <x:v>修复完成依赖现实兑现，而非知道应该做什么。</x:v>
      </x:c>
      <x:c r="Y407" s="20" t="str">
        <x:v>知道需要补哪一步只是开始，还要看这一步是否真实进入并持续。</x:v>
      </x:c>
      <x:c r="Z40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7" s="20" t="str">
        <x:v>高</x:v>
      </x:c>
      <x:c r="AB407" s="20" t="str">
        <x:v>待验证</x:v>
      </x:c>
      <x:c r="AC407" s="20" t="str"/>
      <x:c r="AD407" s="20" t="str">
        <x:v>provisional=true；M3-REPAIR尚未完成，完成条件为暂定功能模型。</x:v>
      </x:c>
      <x:c r="AE407" s="52" t="str">
        <x:v>0.7</x:v>
      </x:c>
    </x:row>
    <x:row r="408">
      <x:c r="A408" s="51" t="str">
        <x:v>M4-REPAIR-407</x:v>
      </x:c>
      <x:c r="B408" s="20" t="str">
        <x:v>K02 功能不足｜修复功能</x:v>
      </x:c>
      <x:c r="C408" s="20" t="str">
        <x:v>L8 LOOP与K机制接口</x:v>
      </x:c>
      <x:c r="D408" s="20" t="str">
        <x:v>REPAIR-K机制接口</x:v>
      </x:c>
      <x:c r="E408" s="20" t="str">
        <x:v>通用</x:v>
      </x:c>
      <x:c r="F408" s="20" t="str">
        <x:v>接口</x:v>
      </x:c>
      <x:c r="G408" s="20" t="str">
        <x:v>K02</x:v>
      </x:c>
      <x:c r="H408" s="20" t="str"/>
      <x:c r="I408" s="20" t="str">
        <x:v>K02已由前序模块建立；修复重点：寻找同功能替代通道或建立最低可用步骤。</x:v>
      </x:c>
      <x:c r="J408" s="20" t="str">
        <x:v>K机制未成立或只有单一结构标签。</x:v>
      </x:c>
      <x:c r="K408" s="20" t="str">
        <x:v>由共享基础引擎提供；仅修正修复功能的承载、持续与压力占位，不直接等同是否愿意认错或能否修复。</x:v>
      </x:c>
      <x:c r="L408" s="20" t="str">
        <x:v>由M1／M2提供；夫妻星只说明伴侣原型与关系资格，不单独证明修复能力、修复意愿或修复结果。</x:v>
      </x:c>
      <x:c r="M408" s="20" t="str">
        <x:v>由M3-BASE提供；日支底盘说明亲密关系中自然调用的功能，但不能单独证明修复闭环。</x:v>
      </x:c>
      <x:c r="N408" s="20" t="str">
        <x:v>由M3-CONFLICT、M4-LOOP及现实事件提供；必须区分问题停止、责任承担、影响确认、行动改变、反馈整合与后续回访。</x:v>
      </x:c>
      <x:c r="O408" s="20" t="str">
        <x:v>由共享基础引擎判定；近位提高相关功能进入亲密关系核心的概率，远位只作背景或阶段修正。</x:v>
      </x:c>
      <x:c r="P408" s="20" t="str">
        <x:v>根气只修正某修复功能是否容易重复调用，不等于现实中已经持续改变。</x:v>
      </x:c>
      <x:c r="Q408" s="20" t="str">
        <x:v>旺弱只修正功能调用强度与占位，不直接等同修复质量、诚意或关系结果。</x:v>
      </x:c>
      <x:c r="R408" s="20" t="str">
        <x:v>喜忌只修正功能摩擦、平衡与承载，不直接等同道德、成熟、善恶或是否值得原谅。</x:v>
      </x:c>
      <x:c r="S408" s="20" t="str">
        <x:v>原十神功能有效；真合化成立时按化神功能替换，合化争议时停止定性。</x:v>
      </x:c>
      <x:c r="T408" s="20" t="str">
        <x:v>近位提高修复议题与亲密关系的直接相关性；远位仅保留背景、阶段或低置信修正。</x:v>
      </x:c>
      <x:c r="U408" s="20" t="str">
        <x:v>86</x:v>
      </x:c>
      <x:c r="V408" s="20" t="str">
        <x:v>修复路由，不重复加K分</x:v>
      </x:c>
      <x:c r="W408" s="20" t="str">
        <x:v>repair_route</x:v>
      </x:c>
      <x:c r="X408" s="20" t="str">
        <x:v>K机制决定修复要补什么功能，不直接决定修复结果。</x:v>
      </x:c>
      <x:c r="Y408" s="20" t="str">
        <x:v>针对功能不足，关键是：寻找同功能替代通道或建立最低可用步骤。</x:v>
      </x:c>
      <x:c r="Z40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8" s="20" t="str">
        <x:v>中高</x:v>
      </x:c>
      <x:c r="AB408" s="20" t="str">
        <x:v>待验证</x:v>
      </x:c>
      <x:c r="AC408" s="20" t="str"/>
      <x:c r="AD408" s="20" t="str">
        <x:v>provisional=true；M3-REPAIR尚未完成，完成条件为暂定功能模型。</x:v>
      </x:c>
      <x:c r="AE408" s="52" t="str">
        <x:v>0.7</x:v>
      </x:c>
    </x:row>
    <x:row r="409">
      <x:c r="A409" s="51" t="str">
        <x:v>M4-REPAIR-408</x:v>
      </x:c>
      <x:c r="B409" s="20" t="str">
        <x:v>K02 功能不足｜完成边界</x:v>
      </x:c>
      <x:c r="C409" s="20" t="str">
        <x:v>L8 LOOP与K机制接口</x:v>
      </x:c>
      <x:c r="D409" s="20" t="str">
        <x:v>REPAIR-K机制接口</x:v>
      </x:c>
      <x:c r="E409" s="20" t="str">
        <x:v>通用</x:v>
      </x:c>
      <x:c r="F409" s="20" t="str">
        <x:v>门控</x:v>
      </x:c>
      <x:c r="G409" s="20" t="str">
        <x:v>K02</x:v>
      </x:c>
      <x:c r="H409" s="20" t="str"/>
      <x:c r="I409" s="20" t="str">
        <x:v>新增节点有现实行为、接收反馈和后续验证。</x:v>
      </x:c>
      <x:c r="J409" s="20" t="str">
        <x:v>只用建议或意愿代替实际改变。</x:v>
      </x:c>
      <x:c r="K409" s="20" t="str">
        <x:v>由共享基础引擎提供；仅修正修复功能的承载、持续与压力占位，不直接等同是否愿意认错或能否修复。</x:v>
      </x:c>
      <x:c r="L409" s="20" t="str">
        <x:v>由M1／M2提供；夫妻星只说明伴侣原型与关系资格，不单独证明修复能力、修复意愿或修复结果。</x:v>
      </x:c>
      <x:c r="M409" s="20" t="str">
        <x:v>由M3-BASE提供；日支底盘说明亲密关系中自然调用的功能，但不能单独证明修复闭环。</x:v>
      </x:c>
      <x:c r="N409" s="20" t="str">
        <x:v>由M3-CONFLICT、M4-LOOP及现实事件提供；必须区分问题停止、责任承担、影响确认、行动改变、反馈整合与后续回访。</x:v>
      </x:c>
      <x:c r="O409" s="20" t="str">
        <x:v>由共享基础引擎判定；近位提高相关功能进入亲密关系核心的概率，远位只作背景或阶段修正。</x:v>
      </x:c>
      <x:c r="P409" s="20" t="str">
        <x:v>根气只修正某修复功能是否容易重复调用，不等于现实中已经持续改变。</x:v>
      </x:c>
      <x:c r="Q409" s="20" t="str">
        <x:v>旺弱只修正功能调用强度与占位，不直接等同修复质量、诚意或关系结果。</x:v>
      </x:c>
      <x:c r="R409" s="20" t="str">
        <x:v>喜忌只修正功能摩擦、平衡与承载，不直接等同道德、成熟、善恶或是否值得原谅。</x:v>
      </x:c>
      <x:c r="S409" s="20" t="str">
        <x:v>原十神功能有效；真合化成立时按化神功能替换，合化争议时停止定性。</x:v>
      </x:c>
      <x:c r="T409" s="20" t="str">
        <x:v>近位提高修复议题与亲密关系的直接相关性；远位仅保留背景、阶段或低置信修正。</x:v>
      </x:c>
      <x:c r="U409" s="20" t="str">
        <x:v>90</x:v>
      </x:c>
      <x:c r="V409" s="20" t="str">
        <x:v>完成门控</x:v>
      </x:c>
      <x:c r="W409" s="20" t="str">
        <x:v>repair_level</x:v>
      </x:c>
      <x:c r="X409" s="20" t="str">
        <x:v>修复完成依赖现实兑现，而非知道应该做什么。</x:v>
      </x:c>
      <x:c r="Y409" s="20" t="str">
        <x:v>知道需要补哪一步只是开始，还要看这一步是否真实进入并持续。</x:v>
      </x:c>
      <x:c r="Z40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09" s="20" t="str">
        <x:v>高</x:v>
      </x:c>
      <x:c r="AB409" s="20" t="str">
        <x:v>待验证</x:v>
      </x:c>
      <x:c r="AC409" s="20" t="str"/>
      <x:c r="AD409" s="20" t="str">
        <x:v>provisional=true；M3-REPAIR尚未完成，完成条件为暂定功能模型。</x:v>
      </x:c>
      <x:c r="AE409" s="52" t="str">
        <x:v>0.7</x:v>
      </x:c>
    </x:row>
    <x:row r="410">
      <x:c r="A410" s="51" t="str">
        <x:v>M4-REPAIR-409</x:v>
      </x:c>
      <x:c r="B410" s="20" t="str">
        <x:v>K03 单通道替代｜修复功能</x:v>
      </x:c>
      <x:c r="C410" s="20" t="str">
        <x:v>L8 LOOP与K机制接口</x:v>
      </x:c>
      <x:c r="D410" s="20" t="str">
        <x:v>REPAIR-K机制接口</x:v>
      </x:c>
      <x:c r="E410" s="20" t="str">
        <x:v>通用</x:v>
      </x:c>
      <x:c r="F410" s="20" t="str">
        <x:v>接口</x:v>
      </x:c>
      <x:c r="G410" s="20" t="str">
        <x:v>K03</x:v>
      </x:c>
      <x:c r="H410" s="20" t="str"/>
      <x:c r="I410" s="20" t="str">
        <x:v>K03已由前序模块建立；修复重点：把熟悉通道与被替代任务分开完成。</x:v>
      </x:c>
      <x:c r="J410" s="20" t="str">
        <x:v>K机制未成立或只有单一结构标签。</x:v>
      </x:c>
      <x:c r="K410" s="20" t="str">
        <x:v>由共享基础引擎提供；仅修正修复功能的承载、持续与压力占位，不直接等同是否愿意认错或能否修复。</x:v>
      </x:c>
      <x:c r="L410" s="20" t="str">
        <x:v>由M1／M2提供；夫妻星只说明伴侣原型与关系资格，不单独证明修复能力、修复意愿或修复结果。</x:v>
      </x:c>
      <x:c r="M410" s="20" t="str">
        <x:v>由M3-BASE提供；日支底盘说明亲密关系中自然调用的功能，但不能单独证明修复闭环。</x:v>
      </x:c>
      <x:c r="N410" s="20" t="str">
        <x:v>由M3-CONFLICT、M4-LOOP及现实事件提供；必须区分问题停止、责任承担、影响确认、行动改变、反馈整合与后续回访。</x:v>
      </x:c>
      <x:c r="O410" s="20" t="str">
        <x:v>由共享基础引擎判定；近位提高相关功能进入亲密关系核心的概率，远位只作背景或阶段修正。</x:v>
      </x:c>
      <x:c r="P410" s="20" t="str">
        <x:v>根气只修正某修复功能是否容易重复调用，不等于现实中已经持续改变。</x:v>
      </x:c>
      <x:c r="Q410" s="20" t="str">
        <x:v>旺弱只修正功能调用强度与占位，不直接等同修复质量、诚意或关系结果。</x:v>
      </x:c>
      <x:c r="R410" s="20" t="str">
        <x:v>喜忌只修正功能摩擦、平衡与承载，不直接等同道德、成熟、善恶或是否值得原谅。</x:v>
      </x:c>
      <x:c r="S410" s="20" t="str">
        <x:v>原十神功能有效；真合化成立时按化神功能替换，合化争议时停止定性。</x:v>
      </x:c>
      <x:c r="T410" s="20" t="str">
        <x:v>近位提高修复议题与亲密关系的直接相关性；远位仅保留背景、阶段或低置信修正。</x:v>
      </x:c>
      <x:c r="U410" s="20" t="str">
        <x:v>86</x:v>
      </x:c>
      <x:c r="V410" s="20" t="str">
        <x:v>修复路由，不重复加K分</x:v>
      </x:c>
      <x:c r="W410" s="20" t="str">
        <x:v>repair_route</x:v>
      </x:c>
      <x:c r="X410" s="20" t="str">
        <x:v>K机制决定修复要补什么功能，不直接决定修复结果。</x:v>
      </x:c>
      <x:c r="Y410" s="20" t="str">
        <x:v>针对单通道替代，关键是：把熟悉通道与被替代任务分开完成。</x:v>
      </x:c>
      <x:c r="Z41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0" s="20" t="str">
        <x:v>中高</x:v>
      </x:c>
      <x:c r="AB410" s="20" t="str">
        <x:v>待验证</x:v>
      </x:c>
      <x:c r="AC410" s="20" t="str"/>
      <x:c r="AD410" s="20" t="str">
        <x:v>provisional=true；M3-REPAIR尚未完成，完成条件为暂定功能模型。</x:v>
      </x:c>
      <x:c r="AE410" s="52" t="str">
        <x:v>0.7</x:v>
      </x:c>
    </x:row>
    <x:row r="411">
      <x:c r="A411" s="51" t="str">
        <x:v>M4-REPAIR-410</x:v>
      </x:c>
      <x:c r="B411" s="20" t="str">
        <x:v>K03 单通道替代｜完成边界</x:v>
      </x:c>
      <x:c r="C411" s="20" t="str">
        <x:v>L8 LOOP与K机制接口</x:v>
      </x:c>
      <x:c r="D411" s="20" t="str">
        <x:v>REPAIR-K机制接口</x:v>
      </x:c>
      <x:c r="E411" s="20" t="str">
        <x:v>通用</x:v>
      </x:c>
      <x:c r="F411" s="20" t="str">
        <x:v>门控</x:v>
      </x:c>
      <x:c r="G411" s="20" t="str">
        <x:v>K03</x:v>
      </x:c>
      <x:c r="H411" s="20" t="str"/>
      <x:c r="I411" s="20" t="str">
        <x:v>新增节点有现实行为、接收反馈和后续验证。</x:v>
      </x:c>
      <x:c r="J411" s="20" t="str">
        <x:v>只用建议或意愿代替实际改变。</x:v>
      </x:c>
      <x:c r="K411" s="20" t="str">
        <x:v>由共享基础引擎提供；仅修正修复功能的承载、持续与压力占位，不直接等同是否愿意认错或能否修复。</x:v>
      </x:c>
      <x:c r="L411" s="20" t="str">
        <x:v>由M1／M2提供；夫妻星只说明伴侣原型与关系资格，不单独证明修复能力、修复意愿或修复结果。</x:v>
      </x:c>
      <x:c r="M411" s="20" t="str">
        <x:v>由M3-BASE提供；日支底盘说明亲密关系中自然调用的功能，但不能单独证明修复闭环。</x:v>
      </x:c>
      <x:c r="N411" s="20" t="str">
        <x:v>由M3-CONFLICT、M4-LOOP及现实事件提供；必须区分问题停止、责任承担、影响确认、行动改变、反馈整合与后续回访。</x:v>
      </x:c>
      <x:c r="O411" s="20" t="str">
        <x:v>由共享基础引擎判定；近位提高相关功能进入亲密关系核心的概率，远位只作背景或阶段修正。</x:v>
      </x:c>
      <x:c r="P411" s="20" t="str">
        <x:v>根气只修正某修复功能是否容易重复调用，不等于现实中已经持续改变。</x:v>
      </x:c>
      <x:c r="Q411" s="20" t="str">
        <x:v>旺弱只修正功能调用强度与占位，不直接等同修复质量、诚意或关系结果。</x:v>
      </x:c>
      <x:c r="R411" s="20" t="str">
        <x:v>喜忌只修正功能摩擦、平衡与承载，不直接等同道德、成熟、善恶或是否值得原谅。</x:v>
      </x:c>
      <x:c r="S411" s="20" t="str">
        <x:v>原十神功能有效；真合化成立时按化神功能替换，合化争议时停止定性。</x:v>
      </x:c>
      <x:c r="T411" s="20" t="str">
        <x:v>近位提高修复议题与亲密关系的直接相关性；远位仅保留背景、阶段或低置信修正。</x:v>
      </x:c>
      <x:c r="U411" s="20" t="str">
        <x:v>90</x:v>
      </x:c>
      <x:c r="V411" s="20" t="str">
        <x:v>完成门控</x:v>
      </x:c>
      <x:c r="W411" s="20" t="str">
        <x:v>repair_level</x:v>
      </x:c>
      <x:c r="X411" s="20" t="str">
        <x:v>修复完成依赖现实兑现，而非知道应该做什么。</x:v>
      </x:c>
      <x:c r="Y411" s="20" t="str">
        <x:v>知道需要补哪一步只是开始，还要看这一步是否真实进入并持续。</x:v>
      </x:c>
      <x:c r="Z41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1" s="20" t="str">
        <x:v>高</x:v>
      </x:c>
      <x:c r="AB411" s="20" t="str">
        <x:v>待验证</x:v>
      </x:c>
      <x:c r="AC411" s="20" t="str"/>
      <x:c r="AD411" s="20" t="str">
        <x:v>provisional=true；M3-REPAIR尚未完成，完成条件为暂定功能模型。</x:v>
      </x:c>
      <x:c r="AE411" s="52" t="str">
        <x:v>0.7</x:v>
      </x:c>
    </x:row>
    <x:row r="412">
      <x:c r="A412" s="51" t="str">
        <x:v>M4-REPAIR-411</x:v>
      </x:c>
      <x:c r="B412" s="20" t="str">
        <x:v>K04 顺序错位｜修复功能</x:v>
      </x:c>
      <x:c r="C412" s="20" t="str">
        <x:v>L8 LOOP与K机制接口</x:v>
      </x:c>
      <x:c r="D412" s="20" t="str">
        <x:v>REPAIR-K机制接口</x:v>
      </x:c>
      <x:c r="E412" s="20" t="str">
        <x:v>通用</x:v>
      </x:c>
      <x:c r="F412" s="20" t="str">
        <x:v>接口</x:v>
      </x:c>
      <x:c r="G412" s="20" t="str">
        <x:v>K04</x:v>
      </x:c>
      <x:c r="H412" s="20" t="str"/>
      <x:c r="I412" s="20" t="str">
        <x:v>K04已由前序模块建立；修复重点：按事件类型调整节点先后，避免过早结案。</x:v>
      </x:c>
      <x:c r="J412" s="20" t="str">
        <x:v>K机制未成立或只有单一结构标签。</x:v>
      </x:c>
      <x:c r="K412" s="20" t="str">
        <x:v>由共享基础引擎提供；仅修正修复功能的承载、持续与压力占位，不直接等同是否愿意认错或能否修复。</x:v>
      </x:c>
      <x:c r="L412" s="20" t="str">
        <x:v>由M1／M2提供；夫妻星只说明伴侣原型与关系资格，不单独证明修复能力、修复意愿或修复结果。</x:v>
      </x:c>
      <x:c r="M412" s="20" t="str">
        <x:v>由M3-BASE提供；日支底盘说明亲密关系中自然调用的功能，但不能单独证明修复闭环。</x:v>
      </x:c>
      <x:c r="N412" s="20" t="str">
        <x:v>由M3-CONFLICT、M4-LOOP及现实事件提供；必须区分问题停止、责任承担、影响确认、行动改变、反馈整合与后续回访。</x:v>
      </x:c>
      <x:c r="O412" s="20" t="str">
        <x:v>由共享基础引擎判定；近位提高相关功能进入亲密关系核心的概率，远位只作背景或阶段修正。</x:v>
      </x:c>
      <x:c r="P412" s="20" t="str">
        <x:v>根气只修正某修复功能是否容易重复调用，不等于现实中已经持续改变。</x:v>
      </x:c>
      <x:c r="Q412" s="20" t="str">
        <x:v>旺弱只修正功能调用强度与占位，不直接等同修复质量、诚意或关系结果。</x:v>
      </x:c>
      <x:c r="R412" s="20" t="str">
        <x:v>喜忌只修正功能摩擦、平衡与承载，不直接等同道德、成熟、善恶或是否值得原谅。</x:v>
      </x:c>
      <x:c r="S412" s="20" t="str">
        <x:v>原十神功能有效；真合化成立时按化神功能替换，合化争议时停止定性。</x:v>
      </x:c>
      <x:c r="T412" s="20" t="str">
        <x:v>近位提高修复议题与亲密关系的直接相关性；远位仅保留背景、阶段或低置信修正。</x:v>
      </x:c>
      <x:c r="U412" s="20" t="str">
        <x:v>86</x:v>
      </x:c>
      <x:c r="V412" s="20" t="str">
        <x:v>修复路由，不重复加K分</x:v>
      </x:c>
      <x:c r="W412" s="20" t="str">
        <x:v>repair_route</x:v>
      </x:c>
      <x:c r="X412" s="20" t="str">
        <x:v>K机制决定修复要补什么功能，不直接决定修复结果。</x:v>
      </x:c>
      <x:c r="Y412" s="20" t="str">
        <x:v>针对顺序错位，关键是：按事件类型调整节点先后，避免过早结案。</x:v>
      </x:c>
      <x:c r="Z41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2" s="20" t="str">
        <x:v>中高</x:v>
      </x:c>
      <x:c r="AB412" s="20" t="str">
        <x:v>待验证</x:v>
      </x:c>
      <x:c r="AC412" s="20" t="str"/>
      <x:c r="AD412" s="20" t="str">
        <x:v>provisional=true；M3-REPAIR尚未完成，完成条件为暂定功能模型。</x:v>
      </x:c>
      <x:c r="AE412" s="52" t="str">
        <x:v>0.7</x:v>
      </x:c>
    </x:row>
    <x:row r="413">
      <x:c r="A413" s="51" t="str">
        <x:v>M4-REPAIR-412</x:v>
      </x:c>
      <x:c r="B413" s="20" t="str">
        <x:v>K04 顺序错位｜完成边界</x:v>
      </x:c>
      <x:c r="C413" s="20" t="str">
        <x:v>L8 LOOP与K机制接口</x:v>
      </x:c>
      <x:c r="D413" s="20" t="str">
        <x:v>REPAIR-K机制接口</x:v>
      </x:c>
      <x:c r="E413" s="20" t="str">
        <x:v>通用</x:v>
      </x:c>
      <x:c r="F413" s="20" t="str">
        <x:v>门控</x:v>
      </x:c>
      <x:c r="G413" s="20" t="str">
        <x:v>K04</x:v>
      </x:c>
      <x:c r="H413" s="20" t="str"/>
      <x:c r="I413" s="20" t="str">
        <x:v>新增节点有现实行为、接收反馈和后续验证。</x:v>
      </x:c>
      <x:c r="J413" s="20" t="str">
        <x:v>只用建议或意愿代替实际改变。</x:v>
      </x:c>
      <x:c r="K413" s="20" t="str">
        <x:v>由共享基础引擎提供；仅修正修复功能的承载、持续与压力占位，不直接等同是否愿意认错或能否修复。</x:v>
      </x:c>
      <x:c r="L413" s="20" t="str">
        <x:v>由M1／M2提供；夫妻星只说明伴侣原型与关系资格，不单独证明修复能力、修复意愿或修复结果。</x:v>
      </x:c>
      <x:c r="M413" s="20" t="str">
        <x:v>由M3-BASE提供；日支底盘说明亲密关系中自然调用的功能，但不能单独证明修复闭环。</x:v>
      </x:c>
      <x:c r="N413" s="20" t="str">
        <x:v>由M3-CONFLICT、M4-LOOP及现实事件提供；必须区分问题停止、责任承担、影响确认、行动改变、反馈整合与后续回访。</x:v>
      </x:c>
      <x:c r="O413" s="20" t="str">
        <x:v>由共享基础引擎判定；近位提高相关功能进入亲密关系核心的概率，远位只作背景或阶段修正。</x:v>
      </x:c>
      <x:c r="P413" s="20" t="str">
        <x:v>根气只修正某修复功能是否容易重复调用，不等于现实中已经持续改变。</x:v>
      </x:c>
      <x:c r="Q413" s="20" t="str">
        <x:v>旺弱只修正功能调用强度与占位，不直接等同修复质量、诚意或关系结果。</x:v>
      </x:c>
      <x:c r="R413" s="20" t="str">
        <x:v>喜忌只修正功能摩擦、平衡与承载，不直接等同道德、成熟、善恶或是否值得原谅。</x:v>
      </x:c>
      <x:c r="S413" s="20" t="str">
        <x:v>原十神功能有效；真合化成立时按化神功能替换，合化争议时停止定性。</x:v>
      </x:c>
      <x:c r="T413" s="20" t="str">
        <x:v>近位提高修复议题与亲密关系的直接相关性；远位仅保留背景、阶段或低置信修正。</x:v>
      </x:c>
      <x:c r="U413" s="20" t="str">
        <x:v>90</x:v>
      </x:c>
      <x:c r="V413" s="20" t="str">
        <x:v>完成门控</x:v>
      </x:c>
      <x:c r="W413" s="20" t="str">
        <x:v>repair_level</x:v>
      </x:c>
      <x:c r="X413" s="20" t="str">
        <x:v>修复完成依赖现实兑现，而非知道应该做什么。</x:v>
      </x:c>
      <x:c r="Y413" s="20" t="str">
        <x:v>知道需要补哪一步只是开始，还要看这一步是否真实进入并持续。</x:v>
      </x:c>
      <x:c r="Z41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3" s="20" t="str">
        <x:v>高</x:v>
      </x:c>
      <x:c r="AB413" s="20" t="str">
        <x:v>待验证</x:v>
      </x:c>
      <x:c r="AC413" s="20" t="str"/>
      <x:c r="AD413" s="20" t="str">
        <x:v>provisional=true；M3-REPAIR尚未完成，完成条件为暂定功能模型。</x:v>
      </x:c>
      <x:c r="AE413" s="52" t="str">
        <x:v>0.7</x:v>
      </x:c>
    </x:row>
    <x:row r="414">
      <x:c r="A414" s="51" t="str">
        <x:v>M4-REPAIR-413</x:v>
      </x:c>
      <x:c r="B414" s="20" t="str">
        <x:v>K05 双通道竞争｜修复功能</x:v>
      </x:c>
      <x:c r="C414" s="20" t="str">
        <x:v>L8 LOOP与K机制接口</x:v>
      </x:c>
      <x:c r="D414" s="20" t="str">
        <x:v>REPAIR-K机制接口</x:v>
      </x:c>
      <x:c r="E414" s="20" t="str">
        <x:v>通用</x:v>
      </x:c>
      <x:c r="F414" s="20" t="str">
        <x:v>接口</x:v>
      </x:c>
      <x:c r="G414" s="20" t="str">
        <x:v>K05</x:v>
      </x:c>
      <x:c r="H414" s="20" t="str"/>
      <x:c r="I414" s="20" t="str">
        <x:v>K05已由前序模块建立；修复重点：为两项功能分配阶段和职责，恢复双方参与。</x:v>
      </x:c>
      <x:c r="J414" s="20" t="str">
        <x:v>K机制未成立或只有单一结构标签。</x:v>
      </x:c>
      <x:c r="K414" s="20" t="str">
        <x:v>由共享基础引擎提供；仅修正修复功能的承载、持续与压力占位，不直接等同是否愿意认错或能否修复。</x:v>
      </x:c>
      <x:c r="L414" s="20" t="str">
        <x:v>由M1／M2提供；夫妻星只说明伴侣原型与关系资格，不单独证明修复能力、修复意愿或修复结果。</x:v>
      </x:c>
      <x:c r="M414" s="20" t="str">
        <x:v>由M3-BASE提供；日支底盘说明亲密关系中自然调用的功能，但不能单独证明修复闭环。</x:v>
      </x:c>
      <x:c r="N414" s="20" t="str">
        <x:v>由M3-CONFLICT、M4-LOOP及现实事件提供；必须区分问题停止、责任承担、影响确认、行动改变、反馈整合与后续回访。</x:v>
      </x:c>
      <x:c r="O414" s="20" t="str">
        <x:v>由共享基础引擎判定；近位提高相关功能进入亲密关系核心的概率，远位只作背景或阶段修正。</x:v>
      </x:c>
      <x:c r="P414" s="20" t="str">
        <x:v>根气只修正某修复功能是否容易重复调用，不等于现实中已经持续改变。</x:v>
      </x:c>
      <x:c r="Q414" s="20" t="str">
        <x:v>旺弱只修正功能调用强度与占位，不直接等同修复质量、诚意或关系结果。</x:v>
      </x:c>
      <x:c r="R414" s="20" t="str">
        <x:v>喜忌只修正功能摩擦、平衡与承载，不直接等同道德、成熟、善恶或是否值得原谅。</x:v>
      </x:c>
      <x:c r="S414" s="20" t="str">
        <x:v>原十神功能有效；真合化成立时按化神功能替换，合化争议时停止定性。</x:v>
      </x:c>
      <x:c r="T414" s="20" t="str">
        <x:v>近位提高修复议题与亲密关系的直接相关性；远位仅保留背景、阶段或低置信修正。</x:v>
      </x:c>
      <x:c r="U414" s="20" t="str">
        <x:v>86</x:v>
      </x:c>
      <x:c r="V414" s="20" t="str">
        <x:v>修复路由，不重复加K分</x:v>
      </x:c>
      <x:c r="W414" s="20" t="str">
        <x:v>repair_route</x:v>
      </x:c>
      <x:c r="X414" s="20" t="str">
        <x:v>K机制决定修复要补什么功能，不直接决定修复结果。</x:v>
      </x:c>
      <x:c r="Y414" s="20" t="str">
        <x:v>针对双通道竞争，关键是：为两项功能分配阶段和职责，恢复双方参与。</x:v>
      </x:c>
      <x:c r="Z41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4" s="20" t="str">
        <x:v>中高</x:v>
      </x:c>
      <x:c r="AB414" s="20" t="str">
        <x:v>待验证</x:v>
      </x:c>
      <x:c r="AC414" s="20" t="str"/>
      <x:c r="AD414" s="20" t="str">
        <x:v>provisional=true；M3-REPAIR尚未完成，完成条件为暂定功能模型。</x:v>
      </x:c>
      <x:c r="AE414" s="52" t="str">
        <x:v>0.7</x:v>
      </x:c>
    </x:row>
    <x:row r="415">
      <x:c r="A415" s="51" t="str">
        <x:v>M4-REPAIR-414</x:v>
      </x:c>
      <x:c r="B415" s="20" t="str">
        <x:v>K05 双通道竞争｜完成边界</x:v>
      </x:c>
      <x:c r="C415" s="20" t="str">
        <x:v>L8 LOOP与K机制接口</x:v>
      </x:c>
      <x:c r="D415" s="20" t="str">
        <x:v>REPAIR-K机制接口</x:v>
      </x:c>
      <x:c r="E415" s="20" t="str">
        <x:v>通用</x:v>
      </x:c>
      <x:c r="F415" s="20" t="str">
        <x:v>门控</x:v>
      </x:c>
      <x:c r="G415" s="20" t="str">
        <x:v>K05</x:v>
      </x:c>
      <x:c r="H415" s="20" t="str"/>
      <x:c r="I415" s="20" t="str">
        <x:v>新增节点有现实行为、接收反馈和后续验证。</x:v>
      </x:c>
      <x:c r="J415" s="20" t="str">
        <x:v>只用建议或意愿代替实际改变。</x:v>
      </x:c>
      <x:c r="K415" s="20" t="str">
        <x:v>由共享基础引擎提供；仅修正修复功能的承载、持续与压力占位，不直接等同是否愿意认错或能否修复。</x:v>
      </x:c>
      <x:c r="L415" s="20" t="str">
        <x:v>由M1／M2提供；夫妻星只说明伴侣原型与关系资格，不单独证明修复能力、修复意愿或修复结果。</x:v>
      </x:c>
      <x:c r="M415" s="20" t="str">
        <x:v>由M3-BASE提供；日支底盘说明亲密关系中自然调用的功能，但不能单独证明修复闭环。</x:v>
      </x:c>
      <x:c r="N415" s="20" t="str">
        <x:v>由M3-CONFLICT、M4-LOOP及现实事件提供；必须区分问题停止、责任承担、影响确认、行动改变、反馈整合与后续回访。</x:v>
      </x:c>
      <x:c r="O415" s="20" t="str">
        <x:v>由共享基础引擎判定；近位提高相关功能进入亲密关系核心的概率，远位只作背景或阶段修正。</x:v>
      </x:c>
      <x:c r="P415" s="20" t="str">
        <x:v>根气只修正某修复功能是否容易重复调用，不等于现实中已经持续改变。</x:v>
      </x:c>
      <x:c r="Q415" s="20" t="str">
        <x:v>旺弱只修正功能调用强度与占位，不直接等同修复质量、诚意或关系结果。</x:v>
      </x:c>
      <x:c r="R415" s="20" t="str">
        <x:v>喜忌只修正功能摩擦、平衡与承载，不直接等同道德、成熟、善恶或是否值得原谅。</x:v>
      </x:c>
      <x:c r="S415" s="20" t="str">
        <x:v>原十神功能有效；真合化成立时按化神功能替换，合化争议时停止定性。</x:v>
      </x:c>
      <x:c r="T415" s="20" t="str">
        <x:v>近位提高修复议题与亲密关系的直接相关性；远位仅保留背景、阶段或低置信修正。</x:v>
      </x:c>
      <x:c r="U415" s="20" t="str">
        <x:v>90</x:v>
      </x:c>
      <x:c r="V415" s="20" t="str">
        <x:v>完成门控</x:v>
      </x:c>
      <x:c r="W415" s="20" t="str">
        <x:v>repair_level</x:v>
      </x:c>
      <x:c r="X415" s="20" t="str">
        <x:v>修复完成依赖现实兑现，而非知道应该做什么。</x:v>
      </x:c>
      <x:c r="Y415" s="20" t="str">
        <x:v>知道需要补哪一步只是开始，还要看这一步是否真实进入并持续。</x:v>
      </x:c>
      <x:c r="Z41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5" s="20" t="str">
        <x:v>高</x:v>
      </x:c>
      <x:c r="AB415" s="20" t="str">
        <x:v>待验证</x:v>
      </x:c>
      <x:c r="AC415" s="20" t="str"/>
      <x:c r="AD415" s="20" t="str">
        <x:v>provisional=true；M3-REPAIR尚未完成，完成条件为暂定功能模型。</x:v>
      </x:c>
      <x:c r="AE415" s="52" t="str">
        <x:v>0.7</x:v>
      </x:c>
    </x:row>
    <x:row r="416">
      <x:c r="A416" s="51" t="str">
        <x:v>M4-REPAIR-415</x:v>
      </x:c>
      <x:c r="B416" s="20" t="str">
        <x:v>K06 功能转换受阻｜修复功能</x:v>
      </x:c>
      <x:c r="C416" s="20" t="str">
        <x:v>L8 LOOP与K机制接口</x:v>
      </x:c>
      <x:c r="D416" s="20" t="str">
        <x:v>REPAIR-K机制接口</x:v>
      </x:c>
      <x:c r="E416" s="20" t="str">
        <x:v>通用</x:v>
      </x:c>
      <x:c r="F416" s="20" t="str">
        <x:v>接口</x:v>
      </x:c>
      <x:c r="G416" s="20" t="str">
        <x:v>K06</x:v>
      </x:c>
      <x:c r="H416" s="20" t="str"/>
      <x:c r="I416" s="20" t="str">
        <x:v>K06已由前序模块建立；修复重点：明确桥接节点，使理解、表达、行动、责任与安全能够回流。</x:v>
      </x:c>
      <x:c r="J416" s="20" t="str">
        <x:v>K机制未成立或只有单一结构标签。</x:v>
      </x:c>
      <x:c r="K416" s="20" t="str">
        <x:v>由共享基础引擎提供；仅修正修复功能的承载、持续与压力占位，不直接等同是否愿意认错或能否修复。</x:v>
      </x:c>
      <x:c r="L416" s="20" t="str">
        <x:v>由M1／M2提供；夫妻星只说明伴侣原型与关系资格，不单独证明修复能力、修复意愿或修复结果。</x:v>
      </x:c>
      <x:c r="M416" s="20" t="str">
        <x:v>由M3-BASE提供；日支底盘说明亲密关系中自然调用的功能，但不能单独证明修复闭环。</x:v>
      </x:c>
      <x:c r="N416" s="20" t="str">
        <x:v>由M3-CONFLICT、M4-LOOP及现实事件提供；必须区分问题停止、责任承担、影响确认、行动改变、反馈整合与后续回访。</x:v>
      </x:c>
      <x:c r="O416" s="20" t="str">
        <x:v>由共享基础引擎判定；近位提高相关功能进入亲密关系核心的概率，远位只作背景或阶段修正。</x:v>
      </x:c>
      <x:c r="P416" s="20" t="str">
        <x:v>根气只修正某修复功能是否容易重复调用，不等于现实中已经持续改变。</x:v>
      </x:c>
      <x:c r="Q416" s="20" t="str">
        <x:v>旺弱只修正功能调用强度与占位，不直接等同修复质量、诚意或关系结果。</x:v>
      </x:c>
      <x:c r="R416" s="20" t="str">
        <x:v>喜忌只修正功能摩擦、平衡与承载，不直接等同道德、成熟、善恶或是否值得原谅。</x:v>
      </x:c>
      <x:c r="S416" s="20" t="str">
        <x:v>原十神功能有效；真合化成立时按化神功能替换，合化争议时停止定性。</x:v>
      </x:c>
      <x:c r="T416" s="20" t="str">
        <x:v>近位提高修复议题与亲密关系的直接相关性；远位仅保留背景、阶段或低置信修正。</x:v>
      </x:c>
      <x:c r="U416" s="20" t="str">
        <x:v>86</x:v>
      </x:c>
      <x:c r="V416" s="20" t="str">
        <x:v>修复路由，不重复加K分</x:v>
      </x:c>
      <x:c r="W416" s="20" t="str">
        <x:v>repair_route</x:v>
      </x:c>
      <x:c r="X416" s="20" t="str">
        <x:v>K机制决定修复要补什么功能，不直接决定修复结果。</x:v>
      </x:c>
      <x:c r="Y416" s="20" t="str">
        <x:v>针对功能转换受阻，关键是：明确桥接节点，使理解、表达、行动、责任与安全能够回流。</x:v>
      </x:c>
      <x:c r="Z41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6" s="20" t="str">
        <x:v>中高</x:v>
      </x:c>
      <x:c r="AB416" s="20" t="str">
        <x:v>待验证</x:v>
      </x:c>
      <x:c r="AC416" s="20" t="str"/>
      <x:c r="AD416" s="20" t="str">
        <x:v>provisional=true；M3-REPAIR尚未完成，完成条件为暂定功能模型。</x:v>
      </x:c>
      <x:c r="AE416" s="52" t="str">
        <x:v>0.7</x:v>
      </x:c>
    </x:row>
    <x:row r="417">
      <x:c r="A417" s="51" t="str">
        <x:v>M4-REPAIR-416</x:v>
      </x:c>
      <x:c r="B417" s="20" t="str">
        <x:v>K06 功能转换受阻｜完成边界</x:v>
      </x:c>
      <x:c r="C417" s="20" t="str">
        <x:v>L8 LOOP与K机制接口</x:v>
      </x:c>
      <x:c r="D417" s="20" t="str">
        <x:v>REPAIR-K机制接口</x:v>
      </x:c>
      <x:c r="E417" s="20" t="str">
        <x:v>通用</x:v>
      </x:c>
      <x:c r="F417" s="20" t="str">
        <x:v>门控</x:v>
      </x:c>
      <x:c r="G417" s="20" t="str">
        <x:v>K06</x:v>
      </x:c>
      <x:c r="H417" s="20" t="str"/>
      <x:c r="I417" s="20" t="str">
        <x:v>新增节点有现实行为、接收反馈和后续验证。</x:v>
      </x:c>
      <x:c r="J417" s="20" t="str">
        <x:v>只用建议或意愿代替实际改变。</x:v>
      </x:c>
      <x:c r="K417" s="20" t="str">
        <x:v>由共享基础引擎提供；仅修正修复功能的承载、持续与压力占位，不直接等同是否愿意认错或能否修复。</x:v>
      </x:c>
      <x:c r="L417" s="20" t="str">
        <x:v>由M1／M2提供；夫妻星只说明伴侣原型与关系资格，不单独证明修复能力、修复意愿或修复结果。</x:v>
      </x:c>
      <x:c r="M417" s="20" t="str">
        <x:v>由M3-BASE提供；日支底盘说明亲密关系中自然调用的功能，但不能单独证明修复闭环。</x:v>
      </x:c>
      <x:c r="N417" s="20" t="str">
        <x:v>由M3-CONFLICT、M4-LOOP及现实事件提供；必须区分问题停止、责任承担、影响确认、行动改变、反馈整合与后续回访。</x:v>
      </x:c>
      <x:c r="O417" s="20" t="str">
        <x:v>由共享基础引擎判定；近位提高相关功能进入亲密关系核心的概率，远位只作背景或阶段修正。</x:v>
      </x:c>
      <x:c r="P417" s="20" t="str">
        <x:v>根气只修正某修复功能是否容易重复调用，不等于现实中已经持续改变。</x:v>
      </x:c>
      <x:c r="Q417" s="20" t="str">
        <x:v>旺弱只修正功能调用强度与占位，不直接等同修复质量、诚意或关系结果。</x:v>
      </x:c>
      <x:c r="R417" s="20" t="str">
        <x:v>喜忌只修正功能摩擦、平衡与承载，不直接等同道德、成熟、善恶或是否值得原谅。</x:v>
      </x:c>
      <x:c r="S417" s="20" t="str">
        <x:v>原十神功能有效；真合化成立时按化神功能替换，合化争议时停止定性。</x:v>
      </x:c>
      <x:c r="T417" s="20" t="str">
        <x:v>近位提高修复议题与亲密关系的直接相关性；远位仅保留背景、阶段或低置信修正。</x:v>
      </x:c>
      <x:c r="U417" s="20" t="str">
        <x:v>90</x:v>
      </x:c>
      <x:c r="V417" s="20" t="str">
        <x:v>完成门控</x:v>
      </x:c>
      <x:c r="W417" s="20" t="str">
        <x:v>repair_level</x:v>
      </x:c>
      <x:c r="X417" s="20" t="str">
        <x:v>修复完成依赖现实兑现，而非知道应该做什么。</x:v>
      </x:c>
      <x:c r="Y417" s="20" t="str">
        <x:v>知道需要补哪一步只是开始，还要看这一步是否真实进入并持续。</x:v>
      </x:c>
      <x:c r="Z41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7" s="20" t="str">
        <x:v>高</x:v>
      </x:c>
      <x:c r="AB417" s="20" t="str">
        <x:v>待验证</x:v>
      </x:c>
      <x:c r="AC417" s="20" t="str"/>
      <x:c r="AD417" s="20" t="str">
        <x:v>provisional=true；M3-REPAIR尚未完成，完成条件为暂定功能模型。</x:v>
      </x:c>
      <x:c r="AE417" s="52" t="str">
        <x:v>0.7</x:v>
      </x:c>
    </x:row>
    <x:row r="418">
      <x:c r="A418" s="51" t="str">
        <x:v>M4-REPAIR-417</x:v>
      </x:c>
      <x:c r="B418" s="20" t="str">
        <x:v>K07 反馈回路放大｜修复功能</x:v>
      </x:c>
      <x:c r="C418" s="20" t="str">
        <x:v>L8 LOOP与K机制接口</x:v>
      </x:c>
      <x:c r="D418" s="20" t="str">
        <x:v>REPAIR-K机制接口</x:v>
      </x:c>
      <x:c r="E418" s="20" t="str">
        <x:v>通用</x:v>
      </x:c>
      <x:c r="F418" s="20" t="str">
        <x:v>接口</x:v>
      </x:c>
      <x:c r="G418" s="20" t="str">
        <x:v>K07</x:v>
      </x:c>
      <x:c r="H418" s="20" t="str"/>
      <x:c r="I418" s="20" t="str">
        <x:v>K07已由前序模块建立；修复重点：在强化节点前加入接收反馈、反例和退出条件。</x:v>
      </x:c>
      <x:c r="J418" s="20" t="str">
        <x:v>K机制未成立或只有单一结构标签。</x:v>
      </x:c>
      <x:c r="K418" s="20" t="str">
        <x:v>由共享基础引擎提供；仅修正修复功能的承载、持续与压力占位，不直接等同是否愿意认错或能否修复。</x:v>
      </x:c>
      <x:c r="L418" s="20" t="str">
        <x:v>由M1／M2提供；夫妻星只说明伴侣原型与关系资格，不单独证明修复能力、修复意愿或修复结果。</x:v>
      </x:c>
      <x:c r="M418" s="20" t="str">
        <x:v>由M3-BASE提供；日支底盘说明亲密关系中自然调用的功能，但不能单独证明修复闭环。</x:v>
      </x:c>
      <x:c r="N418" s="20" t="str">
        <x:v>由M3-CONFLICT、M4-LOOP及现实事件提供；必须区分问题停止、责任承担、影响确认、行动改变、反馈整合与后续回访。</x:v>
      </x:c>
      <x:c r="O418" s="20" t="str">
        <x:v>由共享基础引擎判定；近位提高相关功能进入亲密关系核心的概率，远位只作背景或阶段修正。</x:v>
      </x:c>
      <x:c r="P418" s="20" t="str">
        <x:v>根气只修正某修复功能是否容易重复调用，不等于现实中已经持续改变。</x:v>
      </x:c>
      <x:c r="Q418" s="20" t="str">
        <x:v>旺弱只修正功能调用强度与占位，不直接等同修复质量、诚意或关系结果。</x:v>
      </x:c>
      <x:c r="R418" s="20" t="str">
        <x:v>喜忌只修正功能摩擦、平衡与承载，不直接等同道德、成熟、善恶或是否值得原谅。</x:v>
      </x:c>
      <x:c r="S418" s="20" t="str">
        <x:v>原十神功能有效；真合化成立时按化神功能替换，合化争议时停止定性。</x:v>
      </x:c>
      <x:c r="T418" s="20" t="str">
        <x:v>近位提高修复议题与亲密关系的直接相关性；远位仅保留背景、阶段或低置信修正。</x:v>
      </x:c>
      <x:c r="U418" s="20" t="str">
        <x:v>86</x:v>
      </x:c>
      <x:c r="V418" s="20" t="str">
        <x:v>修复路由，不重复加K分</x:v>
      </x:c>
      <x:c r="W418" s="20" t="str">
        <x:v>repair_route</x:v>
      </x:c>
      <x:c r="X418" s="20" t="str">
        <x:v>K机制决定修复要补什么功能，不直接决定修复结果。</x:v>
      </x:c>
      <x:c r="Y418" s="20" t="str">
        <x:v>针对反馈回路放大，关键是：在强化节点前加入接收反馈、反例和退出条件。</x:v>
      </x:c>
      <x:c r="Z41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8" s="20" t="str">
        <x:v>中高</x:v>
      </x:c>
      <x:c r="AB418" s="20" t="str">
        <x:v>待验证</x:v>
      </x:c>
      <x:c r="AC418" s="20" t="str"/>
      <x:c r="AD418" s="20" t="str">
        <x:v>provisional=true；M3-REPAIR尚未完成，完成条件为暂定功能模型。</x:v>
      </x:c>
      <x:c r="AE418" s="52" t="str">
        <x:v>0.7</x:v>
      </x:c>
    </x:row>
    <x:row r="419">
      <x:c r="A419" s="51" t="str">
        <x:v>M4-REPAIR-418</x:v>
      </x:c>
      <x:c r="B419" s="20" t="str">
        <x:v>K07 反馈回路放大｜完成边界</x:v>
      </x:c>
      <x:c r="C419" s="20" t="str">
        <x:v>L8 LOOP与K机制接口</x:v>
      </x:c>
      <x:c r="D419" s="20" t="str">
        <x:v>REPAIR-K机制接口</x:v>
      </x:c>
      <x:c r="E419" s="20" t="str">
        <x:v>通用</x:v>
      </x:c>
      <x:c r="F419" s="20" t="str">
        <x:v>门控</x:v>
      </x:c>
      <x:c r="G419" s="20" t="str">
        <x:v>K07</x:v>
      </x:c>
      <x:c r="H419" s="20" t="str"/>
      <x:c r="I419" s="20" t="str">
        <x:v>新增节点有现实行为、接收反馈和后续验证。</x:v>
      </x:c>
      <x:c r="J419" s="20" t="str">
        <x:v>只用建议或意愿代替实际改变。</x:v>
      </x:c>
      <x:c r="K419" s="20" t="str">
        <x:v>由共享基础引擎提供；仅修正修复功能的承载、持续与压力占位，不直接等同是否愿意认错或能否修复。</x:v>
      </x:c>
      <x:c r="L419" s="20" t="str">
        <x:v>由M1／M2提供；夫妻星只说明伴侣原型与关系资格，不单独证明修复能力、修复意愿或修复结果。</x:v>
      </x:c>
      <x:c r="M419" s="20" t="str">
        <x:v>由M3-BASE提供；日支底盘说明亲密关系中自然调用的功能，但不能单独证明修复闭环。</x:v>
      </x:c>
      <x:c r="N419" s="20" t="str">
        <x:v>由M3-CONFLICT、M4-LOOP及现实事件提供；必须区分问题停止、责任承担、影响确认、行动改变、反馈整合与后续回访。</x:v>
      </x:c>
      <x:c r="O419" s="20" t="str">
        <x:v>由共享基础引擎判定；近位提高相关功能进入亲密关系核心的概率，远位只作背景或阶段修正。</x:v>
      </x:c>
      <x:c r="P419" s="20" t="str">
        <x:v>根气只修正某修复功能是否容易重复调用，不等于现实中已经持续改变。</x:v>
      </x:c>
      <x:c r="Q419" s="20" t="str">
        <x:v>旺弱只修正功能调用强度与占位，不直接等同修复质量、诚意或关系结果。</x:v>
      </x:c>
      <x:c r="R419" s="20" t="str">
        <x:v>喜忌只修正功能摩擦、平衡与承载，不直接等同道德、成熟、善恶或是否值得原谅。</x:v>
      </x:c>
      <x:c r="S419" s="20" t="str">
        <x:v>原十神功能有效；真合化成立时按化神功能替换，合化争议时停止定性。</x:v>
      </x:c>
      <x:c r="T419" s="20" t="str">
        <x:v>近位提高修复议题与亲密关系的直接相关性；远位仅保留背景、阶段或低置信修正。</x:v>
      </x:c>
      <x:c r="U419" s="20" t="str">
        <x:v>90</x:v>
      </x:c>
      <x:c r="V419" s="20" t="str">
        <x:v>完成门控</x:v>
      </x:c>
      <x:c r="W419" s="20" t="str">
        <x:v>repair_level</x:v>
      </x:c>
      <x:c r="X419" s="20" t="str">
        <x:v>修复完成依赖现实兑现，而非知道应该做什么。</x:v>
      </x:c>
      <x:c r="Y419" s="20" t="str">
        <x:v>知道需要补哪一步只是开始，还要看这一步是否真实进入并持续。</x:v>
      </x:c>
      <x:c r="Z41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19" s="20" t="str">
        <x:v>高</x:v>
      </x:c>
      <x:c r="AB419" s="20" t="str">
        <x:v>待验证</x:v>
      </x:c>
      <x:c r="AC419" s="20" t="str"/>
      <x:c r="AD419" s="20" t="str">
        <x:v>provisional=true；M3-REPAIR尚未完成，完成条件为暂定功能模型。</x:v>
      </x:c>
      <x:c r="AE419" s="52" t="str">
        <x:v>0.7</x:v>
      </x:c>
    </x:row>
    <x:row r="420">
      <x:c r="A420" s="51" t="str">
        <x:v>M4-REPAIR-419</x:v>
      </x:c>
      <x:c r="B420" s="20" t="str">
        <x:v>K08 修复断链｜修复功能</x:v>
      </x:c>
      <x:c r="C420" s="20" t="str">
        <x:v>L8 LOOP与K机制接口</x:v>
      </x:c>
      <x:c r="D420" s="20" t="str">
        <x:v>REPAIR-K机制接口</x:v>
      </x:c>
      <x:c r="E420" s="20" t="str">
        <x:v>通用</x:v>
      </x:c>
      <x:c r="F420" s="20" t="str">
        <x:v>接口</x:v>
      </x:c>
      <x:c r="G420" s="20" t="str">
        <x:v>K08</x:v>
      </x:c>
      <x:c r="H420" s="20" t="str"/>
      <x:c r="I420" s="20" t="str">
        <x:v>K08已由前序模块建立；修复重点：识别RN01—RN08中缺失、替代或未持续的关键步骤。</x:v>
      </x:c>
      <x:c r="J420" s="20" t="str">
        <x:v>K机制未成立或只有单一结构标签。</x:v>
      </x:c>
      <x:c r="K420" s="20" t="str">
        <x:v>由共享基础引擎提供；仅修正修复功能的承载、持续与压力占位，不直接等同是否愿意认错或能否修复。</x:v>
      </x:c>
      <x:c r="L420" s="20" t="str">
        <x:v>由M1／M2提供；夫妻星只说明伴侣原型与关系资格，不单独证明修复能力、修复意愿或修复结果。</x:v>
      </x:c>
      <x:c r="M420" s="20" t="str">
        <x:v>由M3-BASE提供；日支底盘说明亲密关系中自然调用的功能，但不能单独证明修复闭环。</x:v>
      </x:c>
      <x:c r="N420" s="20" t="str">
        <x:v>由M3-CONFLICT、M4-LOOP及现实事件提供；必须区分问题停止、责任承担、影响确认、行动改变、反馈整合与后续回访。</x:v>
      </x:c>
      <x:c r="O420" s="20" t="str">
        <x:v>由共享基础引擎判定；近位提高相关功能进入亲密关系核心的概率，远位只作背景或阶段修正。</x:v>
      </x:c>
      <x:c r="P420" s="20" t="str">
        <x:v>根气只修正某修复功能是否容易重复调用，不等于现实中已经持续改变。</x:v>
      </x:c>
      <x:c r="Q420" s="20" t="str">
        <x:v>旺弱只修正功能调用强度与占位，不直接等同修复质量、诚意或关系结果。</x:v>
      </x:c>
      <x:c r="R420" s="20" t="str">
        <x:v>喜忌只修正功能摩擦、平衡与承载，不直接等同道德、成熟、善恶或是否值得原谅。</x:v>
      </x:c>
      <x:c r="S420" s="20" t="str">
        <x:v>原十神功能有效；真合化成立时按化神功能替换，合化争议时停止定性。</x:v>
      </x:c>
      <x:c r="T420" s="20" t="str">
        <x:v>近位提高修复议题与亲密关系的直接相关性；远位仅保留背景、阶段或低置信修正。</x:v>
      </x:c>
      <x:c r="U420" s="20" t="str">
        <x:v>86</x:v>
      </x:c>
      <x:c r="V420" s="20" t="str">
        <x:v>修复路由，不重复加K分</x:v>
      </x:c>
      <x:c r="W420" s="20" t="str">
        <x:v>repair_route</x:v>
      </x:c>
      <x:c r="X420" s="20" t="str">
        <x:v>K机制决定修复要补什么功能，不直接决定修复结果。</x:v>
      </x:c>
      <x:c r="Y420" s="20" t="str">
        <x:v>针对修复断链，关键是：识别RN01—RN08中缺失、替代或未持续的关键步骤。</x:v>
      </x:c>
      <x:c r="Z42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0" s="20" t="str">
        <x:v>中高</x:v>
      </x:c>
      <x:c r="AB420" s="20" t="str">
        <x:v>待验证</x:v>
      </x:c>
      <x:c r="AC420" s="20" t="str"/>
      <x:c r="AD420" s="20" t="str">
        <x:v>provisional=true；M3-REPAIR尚未完成，完成条件为暂定功能模型。</x:v>
      </x:c>
      <x:c r="AE420" s="52" t="str">
        <x:v>0.7</x:v>
      </x:c>
    </x:row>
    <x:row r="421">
      <x:c r="A421" s="51" t="str">
        <x:v>M4-REPAIR-420</x:v>
      </x:c>
      <x:c r="B421" s="20" t="str">
        <x:v>K08 修复断链｜完成边界</x:v>
      </x:c>
      <x:c r="C421" s="20" t="str">
        <x:v>L8 LOOP与K机制接口</x:v>
      </x:c>
      <x:c r="D421" s="20" t="str">
        <x:v>REPAIR-K机制接口</x:v>
      </x:c>
      <x:c r="E421" s="20" t="str">
        <x:v>通用</x:v>
      </x:c>
      <x:c r="F421" s="20" t="str">
        <x:v>门控</x:v>
      </x:c>
      <x:c r="G421" s="20" t="str">
        <x:v>K08</x:v>
      </x:c>
      <x:c r="H421" s="20" t="str"/>
      <x:c r="I421" s="20" t="str">
        <x:v>新增节点有现实行为、接收反馈和后续验证。</x:v>
      </x:c>
      <x:c r="J421" s="20" t="str">
        <x:v>只用建议或意愿代替实际改变。</x:v>
      </x:c>
      <x:c r="K421" s="20" t="str">
        <x:v>由共享基础引擎提供；仅修正修复功能的承载、持续与压力占位，不直接等同是否愿意认错或能否修复。</x:v>
      </x:c>
      <x:c r="L421" s="20" t="str">
        <x:v>由M1／M2提供；夫妻星只说明伴侣原型与关系资格，不单独证明修复能力、修复意愿或修复结果。</x:v>
      </x:c>
      <x:c r="M421" s="20" t="str">
        <x:v>由M3-BASE提供；日支底盘说明亲密关系中自然调用的功能，但不能单独证明修复闭环。</x:v>
      </x:c>
      <x:c r="N421" s="20" t="str">
        <x:v>由M3-CONFLICT、M4-LOOP及现实事件提供；必须区分问题停止、责任承担、影响确认、行动改变、反馈整合与后续回访。</x:v>
      </x:c>
      <x:c r="O421" s="20" t="str">
        <x:v>由共享基础引擎判定；近位提高相关功能进入亲密关系核心的概率，远位只作背景或阶段修正。</x:v>
      </x:c>
      <x:c r="P421" s="20" t="str">
        <x:v>根气只修正某修复功能是否容易重复调用，不等于现实中已经持续改变。</x:v>
      </x:c>
      <x:c r="Q421" s="20" t="str">
        <x:v>旺弱只修正功能调用强度与占位，不直接等同修复质量、诚意或关系结果。</x:v>
      </x:c>
      <x:c r="R421" s="20" t="str">
        <x:v>喜忌只修正功能摩擦、平衡与承载，不直接等同道德、成熟、善恶或是否值得原谅。</x:v>
      </x:c>
      <x:c r="S421" s="20" t="str">
        <x:v>原十神功能有效；真合化成立时按化神功能替换，合化争议时停止定性。</x:v>
      </x:c>
      <x:c r="T421" s="20" t="str">
        <x:v>近位提高修复议题与亲密关系的直接相关性；远位仅保留背景、阶段或低置信修正。</x:v>
      </x:c>
      <x:c r="U421" s="20" t="str">
        <x:v>90</x:v>
      </x:c>
      <x:c r="V421" s="20" t="str">
        <x:v>完成门控</x:v>
      </x:c>
      <x:c r="W421" s="20" t="str">
        <x:v>repair_level</x:v>
      </x:c>
      <x:c r="X421" s="20" t="str">
        <x:v>修复完成依赖现实兑现，而非知道应该做什么。</x:v>
      </x:c>
      <x:c r="Y421" s="20" t="str">
        <x:v>知道需要补哪一步只是开始，还要看这一步是否真实进入并持续。</x:v>
      </x:c>
      <x:c r="Z42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1" s="20" t="str">
        <x:v>高</x:v>
      </x:c>
      <x:c r="AB421" s="20" t="str">
        <x:v>待验证</x:v>
      </x:c>
      <x:c r="AC421" s="20" t="str"/>
      <x:c r="AD421" s="20" t="str">
        <x:v>provisional=true；M3-REPAIR尚未完成，完成条件为暂定功能模型。</x:v>
      </x:c>
      <x:c r="AE421" s="52" t="str">
        <x:v>0.7</x:v>
      </x:c>
    </x:row>
    <x:row r="422">
      <x:c r="A422" s="51" t="str">
        <x:v>M4-REPAIR-421</x:v>
      </x:c>
      <x:c r="B422" s="20" t="str">
        <x:v>SM01 透干且有根｜修复修正</x:v>
      </x:c>
      <x:c r="C422" s="20" t="str">
        <x:v>L9 状态、位置与动态修正</x:v>
      </x:c>
      <x:c r="D422" s="20" t="str">
        <x:v>REPAIR-状态修正</x:v>
      </x:c>
      <x:c r="E422" s="20" t="str">
        <x:v>通用</x:v>
      </x:c>
      <x:c r="F422" s="20" t="str">
        <x:v>状态</x:v>
      </x:c>
      <x:c r="G422" s="20" t="str">
        <x:v>SM01</x:v>
      </x:c>
      <x:c r="H422" s="20" t="str"/>
      <x:c r="I422" s="20" t="str">
        <x:v>修复功能较易被看见，也较可能重复调用</x:v>
      </x:c>
      <x:c r="J422" s="20" t="str">
        <x:v>可见与重复不等于完整或有效</x:v>
      </x:c>
      <x:c r="K422" s="20" t="str">
        <x:v>由共享基础引擎提供；仅修正修复功能的承载、持续与压力占位，不直接等同是否愿意认错或能否修复。</x:v>
      </x:c>
      <x:c r="L422" s="20" t="str">
        <x:v>由M1／M2提供；夫妻星只说明伴侣原型与关系资格，不单独证明修复能力、修复意愿或修复结果。</x:v>
      </x:c>
      <x:c r="M422" s="20" t="str">
        <x:v>由M3-BASE提供；日支底盘说明亲密关系中自然调用的功能，但不能单独证明修复闭环。</x:v>
      </x:c>
      <x:c r="N422" s="20" t="str">
        <x:v>由M3-CONFLICT、M4-LOOP及现实事件提供；必须区分问题停止、责任承担、影响确认、行动改变、反馈整合与后续回访。</x:v>
      </x:c>
      <x:c r="O422" s="20" t="str">
        <x:v>由共享基础引擎判定；近位提高相关功能进入亲密关系核心的概率，远位只作背景或阶段修正。</x:v>
      </x:c>
      <x:c r="P422" s="20" t="str">
        <x:v>根气只修正某修复功能是否容易重复调用，不等于现实中已经持续改变。</x:v>
      </x:c>
      <x:c r="Q422" s="20" t="str">
        <x:v>旺弱只修正功能调用强度与占位，不直接等同修复质量、诚意或关系结果。</x:v>
      </x:c>
      <x:c r="R422" s="20" t="str">
        <x:v>喜忌只修正功能摩擦、平衡与承载，不直接等同道德、成熟、善恶或是否值得原谅。</x:v>
      </x:c>
      <x:c r="S422" s="20" t="str">
        <x:v>原十神功能有效；真合化成立时按化神功能替换，合化争议时停止定性。</x:v>
      </x:c>
      <x:c r="T422" s="20" t="str">
        <x:v>近位提高修复议题与亲密关系的直接相关性；远位仅保留背景、阶段或低置信修正。</x:v>
      </x:c>
      <x:c r="U422" s="20" t="str">
        <x:v>70</x:v>
      </x:c>
      <x:c r="V422" s="20" t="str">
        <x:v>±2至±6；单独不得建立E2以上</x:v>
      </x:c>
      <x:c r="W422" s="20" t="str">
        <x:v>state_modifier</x:v>
      </x:c>
      <x:c r="X422" s="20" t="str">
        <x:v>状态只修正功能可见度、持续性和占位，不决定修复完成。</x:v>
      </x:c>
      <x:c r="Y422" s="20" t="str">
        <x:v>透干且有根时：修复功能较易被看见，也较可能重复调用。</x:v>
      </x:c>
      <x:c r="Z42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2" s="20" t="str">
        <x:v>中</x:v>
      </x:c>
      <x:c r="AB422" s="20" t="str">
        <x:v>待验证</x:v>
      </x:c>
      <x:c r="AC422" s="20" t="str"/>
      <x:c r="AD422" s="20" t="str">
        <x:v>provisional=true；M3-REPAIR尚未完成，完成条件为暂定功能模型。</x:v>
      </x:c>
      <x:c r="AE422" s="52" t="str">
        <x:v>0.7</x:v>
      </x:c>
    </x:row>
    <x:row r="423">
      <x:c r="A423" s="51" t="str">
        <x:v>M4-REPAIR-422</x:v>
      </x:c>
      <x:c r="B423" s="20" t="str">
        <x:v>SM01 透干且有根｜使用边界</x:v>
      </x:c>
      <x:c r="C423" s="20" t="str">
        <x:v>L9 状态、位置与动态修正</x:v>
      </x:c>
      <x:c r="D423" s="20" t="str">
        <x:v>REPAIR-状态修正</x:v>
      </x:c>
      <x:c r="E423" s="20" t="str">
        <x:v>通用</x:v>
      </x:c>
      <x:c r="F423" s="20" t="str">
        <x:v>边界</x:v>
      </x:c>
      <x:c r="G423" s="20" t="str">
        <x:v>SM01</x:v>
      </x:c>
      <x:c r="H423" s="20" t="str"/>
      <x:c r="I423" s="20" t="str">
        <x:v>与现实修复事件、节点和反馈共同使用。</x:v>
      </x:c>
      <x:c r="J423" s="20" t="str">
        <x:v>可见与重复不等于完整或有效</x:v>
      </x:c>
      <x:c r="K423" s="20" t="str">
        <x:v>由共享基础引擎提供；仅修正修复功能的承载、持续与压力占位，不直接等同是否愿意认错或能否修复。</x:v>
      </x:c>
      <x:c r="L423" s="20" t="str">
        <x:v>由M1／M2提供；夫妻星只说明伴侣原型与关系资格，不单独证明修复能力、修复意愿或修复结果。</x:v>
      </x:c>
      <x:c r="M423" s="20" t="str">
        <x:v>由M3-BASE提供；日支底盘说明亲密关系中自然调用的功能，但不能单独证明修复闭环。</x:v>
      </x:c>
      <x:c r="N423" s="20" t="str">
        <x:v>由M3-CONFLICT、M4-LOOP及现实事件提供；必须区分问题停止、责任承担、影响确认、行动改变、反馈整合与后续回访。</x:v>
      </x:c>
      <x:c r="O423" s="20" t="str">
        <x:v>由共享基础引擎判定；近位提高相关功能进入亲密关系核心的概率，远位只作背景或阶段修正。</x:v>
      </x:c>
      <x:c r="P423" s="20" t="str">
        <x:v>根气只修正某修复功能是否容易重复调用，不等于现实中已经持续改变。</x:v>
      </x:c>
      <x:c r="Q423" s="20" t="str">
        <x:v>旺弱只修正功能调用强度与占位，不直接等同修复质量、诚意或关系结果。</x:v>
      </x:c>
      <x:c r="R423" s="20" t="str">
        <x:v>喜忌只修正功能摩擦、平衡与承载，不直接等同道德、成熟、善恶或是否值得原谅。</x:v>
      </x:c>
      <x:c r="S423" s="20" t="str">
        <x:v>原十神功能有效；真合化成立时按化神功能替换，合化争议时停止定性。</x:v>
      </x:c>
      <x:c r="T423" s="20" t="str">
        <x:v>近位提高修复议题与亲密关系的直接相关性；远位仅保留背景、阶段或低置信修正。</x:v>
      </x:c>
      <x:c r="U423" s="20" t="str">
        <x:v>90</x:v>
      </x:c>
      <x:c r="V423" s="20" t="str">
        <x:v>边界门控</x:v>
      </x:c>
      <x:c r="W423" s="20" t="str">
        <x:v>boundary_note</x:v>
      </x:c>
      <x:c r="X423" s="20" t="str">
        <x:v>可见与重复不等于完整或有效</x:v>
      </x:c>
      <x:c r="Y423" s="20" t="str">
        <x:v>使用边界：可见与重复不等于完整或有效。</x:v>
      </x:c>
      <x:c r="Z42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3" s="20" t="str">
        <x:v>高</x:v>
      </x:c>
      <x:c r="AB423" s="20" t="str">
        <x:v>待验证</x:v>
      </x:c>
      <x:c r="AC423" s="20" t="str"/>
      <x:c r="AD423" s="20" t="str">
        <x:v>provisional=true；M3-REPAIR尚未完成，完成条件为暂定功能模型。</x:v>
      </x:c>
      <x:c r="AE423" s="52" t="str">
        <x:v>0.7</x:v>
      </x:c>
    </x:row>
    <x:row r="424">
      <x:c r="A424" s="51" t="str">
        <x:v>M4-REPAIR-423</x:v>
      </x:c>
      <x:c r="B424" s="20" t="str">
        <x:v>SM02 透干但无根｜修复修正</x:v>
      </x:c>
      <x:c r="C424" s="20" t="str">
        <x:v>L9 状态、位置与动态修正</x:v>
      </x:c>
      <x:c r="D424" s="20" t="str">
        <x:v>REPAIR-状态修正</x:v>
      </x:c>
      <x:c r="E424" s="20" t="str">
        <x:v>通用</x:v>
      </x:c>
      <x:c r="F424" s="20" t="str">
        <x:v>状态</x:v>
      </x:c>
      <x:c r="G424" s="20" t="str">
        <x:v>SM02</x:v>
      </x:c>
      <x:c r="H424" s="20" t="str"/>
      <x:c r="I424" s="20" t="str">
        <x:v>修复姿态容易早出现，持续性需现实验证</x:v>
      </x:c>
      <x:c r="J424" s="20" t="str">
        <x:v>不能由郑重表态推出长期改变</x:v>
      </x:c>
      <x:c r="K424" s="20" t="str">
        <x:v>由共享基础引擎提供；仅修正修复功能的承载、持续与压力占位，不直接等同是否愿意认错或能否修复。</x:v>
      </x:c>
      <x:c r="L424" s="20" t="str">
        <x:v>由M1／M2提供；夫妻星只说明伴侣原型与关系资格，不单独证明修复能力、修复意愿或修复结果。</x:v>
      </x:c>
      <x:c r="M424" s="20" t="str">
        <x:v>由M3-BASE提供；日支底盘说明亲密关系中自然调用的功能，但不能单独证明修复闭环。</x:v>
      </x:c>
      <x:c r="N424" s="20" t="str">
        <x:v>由M3-CONFLICT、M4-LOOP及现实事件提供；必须区分问题停止、责任承担、影响确认、行动改变、反馈整合与后续回访。</x:v>
      </x:c>
      <x:c r="O424" s="20" t="str">
        <x:v>由共享基础引擎判定；近位提高相关功能进入亲密关系核心的概率，远位只作背景或阶段修正。</x:v>
      </x:c>
      <x:c r="P424" s="20" t="str">
        <x:v>根气只修正某修复功能是否容易重复调用，不等于现实中已经持续改变。</x:v>
      </x:c>
      <x:c r="Q424" s="20" t="str">
        <x:v>旺弱只修正功能调用强度与占位，不直接等同修复质量、诚意或关系结果。</x:v>
      </x:c>
      <x:c r="R424" s="20" t="str">
        <x:v>喜忌只修正功能摩擦、平衡与承载，不直接等同道德、成熟、善恶或是否值得原谅。</x:v>
      </x:c>
      <x:c r="S424" s="20" t="str">
        <x:v>原十神功能有效；真合化成立时按化神功能替换，合化争议时停止定性。</x:v>
      </x:c>
      <x:c r="T424" s="20" t="str">
        <x:v>近位提高修复议题与亲密关系的直接相关性；远位仅保留背景、阶段或低置信修正。</x:v>
      </x:c>
      <x:c r="U424" s="20" t="str">
        <x:v>70</x:v>
      </x:c>
      <x:c r="V424" s="20" t="str">
        <x:v>±2至±6；单独不得建立E2以上</x:v>
      </x:c>
      <x:c r="W424" s="20" t="str">
        <x:v>state_modifier</x:v>
      </x:c>
      <x:c r="X424" s="20" t="str">
        <x:v>状态只修正功能可见度、持续性和占位，不决定修复完成。</x:v>
      </x:c>
      <x:c r="Y424" s="20" t="str">
        <x:v>透干但无根时：修复姿态容易早出现，持续性需现实验证。</x:v>
      </x:c>
      <x:c r="Z42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4" s="20" t="str">
        <x:v>中</x:v>
      </x:c>
      <x:c r="AB424" s="20" t="str">
        <x:v>待验证</x:v>
      </x:c>
      <x:c r="AC424" s="20" t="str"/>
      <x:c r="AD424" s="20" t="str">
        <x:v>provisional=true；M3-REPAIR尚未完成，完成条件为暂定功能模型。</x:v>
      </x:c>
      <x:c r="AE424" s="52" t="str">
        <x:v>0.7</x:v>
      </x:c>
    </x:row>
    <x:row r="425">
      <x:c r="A425" s="51" t="str">
        <x:v>M4-REPAIR-424</x:v>
      </x:c>
      <x:c r="B425" s="20" t="str">
        <x:v>SM02 透干但无根｜使用边界</x:v>
      </x:c>
      <x:c r="C425" s="20" t="str">
        <x:v>L9 状态、位置与动态修正</x:v>
      </x:c>
      <x:c r="D425" s="20" t="str">
        <x:v>REPAIR-状态修正</x:v>
      </x:c>
      <x:c r="E425" s="20" t="str">
        <x:v>通用</x:v>
      </x:c>
      <x:c r="F425" s="20" t="str">
        <x:v>边界</x:v>
      </x:c>
      <x:c r="G425" s="20" t="str">
        <x:v>SM02</x:v>
      </x:c>
      <x:c r="H425" s="20" t="str"/>
      <x:c r="I425" s="20" t="str">
        <x:v>与现实修复事件、节点和反馈共同使用。</x:v>
      </x:c>
      <x:c r="J425" s="20" t="str">
        <x:v>不能由郑重表态推出长期改变</x:v>
      </x:c>
      <x:c r="K425" s="20" t="str">
        <x:v>由共享基础引擎提供；仅修正修复功能的承载、持续与压力占位，不直接等同是否愿意认错或能否修复。</x:v>
      </x:c>
      <x:c r="L425" s="20" t="str">
        <x:v>由M1／M2提供；夫妻星只说明伴侣原型与关系资格，不单独证明修复能力、修复意愿或修复结果。</x:v>
      </x:c>
      <x:c r="M425" s="20" t="str">
        <x:v>由M3-BASE提供；日支底盘说明亲密关系中自然调用的功能，但不能单独证明修复闭环。</x:v>
      </x:c>
      <x:c r="N425" s="20" t="str">
        <x:v>由M3-CONFLICT、M4-LOOP及现实事件提供；必须区分问题停止、责任承担、影响确认、行动改变、反馈整合与后续回访。</x:v>
      </x:c>
      <x:c r="O425" s="20" t="str">
        <x:v>由共享基础引擎判定；近位提高相关功能进入亲密关系核心的概率，远位只作背景或阶段修正。</x:v>
      </x:c>
      <x:c r="P425" s="20" t="str">
        <x:v>根气只修正某修复功能是否容易重复调用，不等于现实中已经持续改变。</x:v>
      </x:c>
      <x:c r="Q425" s="20" t="str">
        <x:v>旺弱只修正功能调用强度与占位，不直接等同修复质量、诚意或关系结果。</x:v>
      </x:c>
      <x:c r="R425" s="20" t="str">
        <x:v>喜忌只修正功能摩擦、平衡与承载，不直接等同道德、成熟、善恶或是否值得原谅。</x:v>
      </x:c>
      <x:c r="S425" s="20" t="str">
        <x:v>原十神功能有效；真合化成立时按化神功能替换，合化争议时停止定性。</x:v>
      </x:c>
      <x:c r="T425" s="20" t="str">
        <x:v>近位提高修复议题与亲密关系的直接相关性；远位仅保留背景、阶段或低置信修正。</x:v>
      </x:c>
      <x:c r="U425" s="20" t="str">
        <x:v>90</x:v>
      </x:c>
      <x:c r="V425" s="20" t="str">
        <x:v>边界门控</x:v>
      </x:c>
      <x:c r="W425" s="20" t="str">
        <x:v>boundary_note</x:v>
      </x:c>
      <x:c r="X425" s="20" t="str">
        <x:v>不能由郑重表态推出长期改变</x:v>
      </x:c>
      <x:c r="Y425" s="20" t="str">
        <x:v>使用边界：不能由郑重表态推出长期改变。</x:v>
      </x:c>
      <x:c r="Z42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5" s="20" t="str">
        <x:v>高</x:v>
      </x:c>
      <x:c r="AB425" s="20" t="str">
        <x:v>待验证</x:v>
      </x:c>
      <x:c r="AC425" s="20" t="str"/>
      <x:c r="AD425" s="20" t="str">
        <x:v>provisional=true；M3-REPAIR尚未完成，完成条件为暂定功能模型。</x:v>
      </x:c>
      <x:c r="AE425" s="52" t="str">
        <x:v>0.7</x:v>
      </x:c>
    </x:row>
    <x:row r="426">
      <x:c r="A426" s="51" t="str">
        <x:v>M4-REPAIR-425</x:v>
      </x:c>
      <x:c r="B426" s="20" t="str">
        <x:v>SM03 藏支且有根｜修复修正</x:v>
      </x:c>
      <x:c r="C426" s="20" t="str">
        <x:v>L9 状态、位置与动态修正</x:v>
      </x:c>
      <x:c r="D426" s="20" t="str">
        <x:v>REPAIR-状态修正</x:v>
      </x:c>
      <x:c r="E426" s="20" t="str">
        <x:v>通用</x:v>
      </x:c>
      <x:c r="F426" s="20" t="str">
        <x:v>状态</x:v>
      </x:c>
      <x:c r="G426" s="20" t="str">
        <x:v>SM03</x:v>
      </x:c>
      <x:c r="H426" s="20" t="str"/>
      <x:c r="I426" s="20" t="str">
        <x:v>修复功能可能较隐性、熟悉后或行动中出现</x:v>
      </x:c>
      <x:c r="J426" s="20" t="str">
        <x:v>不能因语言少判断没有修复意愿</x:v>
      </x:c>
      <x:c r="K426" s="20" t="str">
        <x:v>由共享基础引擎提供；仅修正修复功能的承载、持续与压力占位，不直接等同是否愿意认错或能否修复。</x:v>
      </x:c>
      <x:c r="L426" s="20" t="str">
        <x:v>由M1／M2提供；夫妻星只说明伴侣原型与关系资格，不单独证明修复能力、修复意愿或修复结果。</x:v>
      </x:c>
      <x:c r="M426" s="20" t="str">
        <x:v>由M3-BASE提供；日支底盘说明亲密关系中自然调用的功能，但不能单独证明修复闭环。</x:v>
      </x:c>
      <x:c r="N426" s="20" t="str">
        <x:v>由M3-CONFLICT、M4-LOOP及现实事件提供；必须区分问题停止、责任承担、影响确认、行动改变、反馈整合与后续回访。</x:v>
      </x:c>
      <x:c r="O426" s="20" t="str">
        <x:v>由共享基础引擎判定；近位提高相关功能进入亲密关系核心的概率，远位只作背景或阶段修正。</x:v>
      </x:c>
      <x:c r="P426" s="20" t="str">
        <x:v>根气只修正某修复功能是否容易重复调用，不等于现实中已经持续改变。</x:v>
      </x:c>
      <x:c r="Q426" s="20" t="str">
        <x:v>旺弱只修正功能调用强度与占位，不直接等同修复质量、诚意或关系结果。</x:v>
      </x:c>
      <x:c r="R426" s="20" t="str">
        <x:v>喜忌只修正功能摩擦、平衡与承载，不直接等同道德、成熟、善恶或是否值得原谅。</x:v>
      </x:c>
      <x:c r="S426" s="20" t="str">
        <x:v>原十神功能有效；真合化成立时按化神功能替换，合化争议时停止定性。</x:v>
      </x:c>
      <x:c r="T426" s="20" t="str">
        <x:v>近位提高修复议题与亲密关系的直接相关性；远位仅保留背景、阶段或低置信修正。</x:v>
      </x:c>
      <x:c r="U426" s="20" t="str">
        <x:v>70</x:v>
      </x:c>
      <x:c r="V426" s="20" t="str">
        <x:v>±2至±6；单独不得建立E2以上</x:v>
      </x:c>
      <x:c r="W426" s="20" t="str">
        <x:v>state_modifier</x:v>
      </x:c>
      <x:c r="X426" s="20" t="str">
        <x:v>状态只修正功能可见度、持续性和占位，不决定修复完成。</x:v>
      </x:c>
      <x:c r="Y426" s="20" t="str">
        <x:v>藏支且有根时：修复功能可能较隐性、熟悉后或行动中出现。</x:v>
      </x:c>
      <x:c r="Z42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6" s="20" t="str">
        <x:v>中</x:v>
      </x:c>
      <x:c r="AB426" s="20" t="str">
        <x:v>待验证</x:v>
      </x:c>
      <x:c r="AC426" s="20" t="str"/>
      <x:c r="AD426" s="20" t="str">
        <x:v>provisional=true；M3-REPAIR尚未完成，完成条件为暂定功能模型。</x:v>
      </x:c>
      <x:c r="AE426" s="52" t="str">
        <x:v>0.7</x:v>
      </x:c>
    </x:row>
    <x:row r="427">
      <x:c r="A427" s="51" t="str">
        <x:v>M4-REPAIR-426</x:v>
      </x:c>
      <x:c r="B427" s="20" t="str">
        <x:v>SM03 藏支且有根｜使用边界</x:v>
      </x:c>
      <x:c r="C427" s="20" t="str">
        <x:v>L9 状态、位置与动态修正</x:v>
      </x:c>
      <x:c r="D427" s="20" t="str">
        <x:v>REPAIR-状态修正</x:v>
      </x:c>
      <x:c r="E427" s="20" t="str">
        <x:v>通用</x:v>
      </x:c>
      <x:c r="F427" s="20" t="str">
        <x:v>边界</x:v>
      </x:c>
      <x:c r="G427" s="20" t="str">
        <x:v>SM03</x:v>
      </x:c>
      <x:c r="H427" s="20" t="str"/>
      <x:c r="I427" s="20" t="str">
        <x:v>与现实修复事件、节点和反馈共同使用。</x:v>
      </x:c>
      <x:c r="J427" s="20" t="str">
        <x:v>不能因语言少判断没有修复意愿</x:v>
      </x:c>
      <x:c r="K427" s="20" t="str">
        <x:v>由共享基础引擎提供；仅修正修复功能的承载、持续与压力占位，不直接等同是否愿意认错或能否修复。</x:v>
      </x:c>
      <x:c r="L427" s="20" t="str">
        <x:v>由M1／M2提供；夫妻星只说明伴侣原型与关系资格，不单独证明修复能力、修复意愿或修复结果。</x:v>
      </x:c>
      <x:c r="M427" s="20" t="str">
        <x:v>由M3-BASE提供；日支底盘说明亲密关系中自然调用的功能，但不能单独证明修复闭环。</x:v>
      </x:c>
      <x:c r="N427" s="20" t="str">
        <x:v>由M3-CONFLICT、M4-LOOP及现实事件提供；必须区分问题停止、责任承担、影响确认、行动改变、反馈整合与后续回访。</x:v>
      </x:c>
      <x:c r="O427" s="20" t="str">
        <x:v>由共享基础引擎判定；近位提高相关功能进入亲密关系核心的概率，远位只作背景或阶段修正。</x:v>
      </x:c>
      <x:c r="P427" s="20" t="str">
        <x:v>根气只修正某修复功能是否容易重复调用，不等于现实中已经持续改变。</x:v>
      </x:c>
      <x:c r="Q427" s="20" t="str">
        <x:v>旺弱只修正功能调用强度与占位，不直接等同修复质量、诚意或关系结果。</x:v>
      </x:c>
      <x:c r="R427" s="20" t="str">
        <x:v>喜忌只修正功能摩擦、平衡与承载，不直接等同道德、成熟、善恶或是否值得原谅。</x:v>
      </x:c>
      <x:c r="S427" s="20" t="str">
        <x:v>原十神功能有效；真合化成立时按化神功能替换，合化争议时停止定性。</x:v>
      </x:c>
      <x:c r="T427" s="20" t="str">
        <x:v>近位提高修复议题与亲密关系的直接相关性；远位仅保留背景、阶段或低置信修正。</x:v>
      </x:c>
      <x:c r="U427" s="20" t="str">
        <x:v>90</x:v>
      </x:c>
      <x:c r="V427" s="20" t="str">
        <x:v>边界门控</x:v>
      </x:c>
      <x:c r="W427" s="20" t="str">
        <x:v>boundary_note</x:v>
      </x:c>
      <x:c r="X427" s="20" t="str">
        <x:v>不能因语言少判断没有修复意愿</x:v>
      </x:c>
      <x:c r="Y427" s="20" t="str">
        <x:v>使用边界：不能因语言少判断没有修复意愿。</x:v>
      </x:c>
      <x:c r="Z42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7" s="20" t="str">
        <x:v>高</x:v>
      </x:c>
      <x:c r="AB427" s="20" t="str">
        <x:v>待验证</x:v>
      </x:c>
      <x:c r="AC427" s="20" t="str"/>
      <x:c r="AD427" s="20" t="str">
        <x:v>provisional=true；M3-REPAIR尚未完成，完成条件为暂定功能模型。</x:v>
      </x:c>
      <x:c r="AE427" s="52" t="str">
        <x:v>0.7</x:v>
      </x:c>
    </x:row>
    <x:row r="428">
      <x:c r="A428" s="51" t="str">
        <x:v>M4-REPAIR-427</x:v>
      </x:c>
      <x:c r="B428" s="20" t="str">
        <x:v>SM04 藏而弱远｜修复修正</x:v>
      </x:c>
      <x:c r="C428" s="20" t="str">
        <x:v>L9 状态、位置与动态修正</x:v>
      </x:c>
      <x:c r="D428" s="20" t="str">
        <x:v>REPAIR-状态修正</x:v>
      </x:c>
      <x:c r="E428" s="20" t="str">
        <x:v>通用</x:v>
      </x:c>
      <x:c r="F428" s="20" t="str">
        <x:v>状态</x:v>
      </x:c>
      <x:c r="G428" s="20" t="str">
        <x:v>SM04</x:v>
      </x:c>
      <x:c r="H428" s="20" t="str"/>
      <x:c r="I428" s="20" t="str">
        <x:v>只能保留背景候选，不能作为主修复通道</x:v>
      </x:c>
      <x:c r="J428" s="20" t="str">
        <x:v>需要更强现实行为支持</x:v>
      </x:c>
      <x:c r="K428" s="20" t="str">
        <x:v>由共享基础引擎提供；仅修正修复功能的承载、持续与压力占位，不直接等同是否愿意认错或能否修复。</x:v>
      </x:c>
      <x:c r="L428" s="20" t="str">
        <x:v>由M1／M2提供；夫妻星只说明伴侣原型与关系资格，不单独证明修复能力、修复意愿或修复结果。</x:v>
      </x:c>
      <x:c r="M428" s="20" t="str">
        <x:v>由M3-BASE提供；日支底盘说明亲密关系中自然调用的功能，但不能单独证明修复闭环。</x:v>
      </x:c>
      <x:c r="N428" s="20" t="str">
        <x:v>由M3-CONFLICT、M4-LOOP及现实事件提供；必须区分问题停止、责任承担、影响确认、行动改变、反馈整合与后续回访。</x:v>
      </x:c>
      <x:c r="O428" s="20" t="str">
        <x:v>由共享基础引擎判定；近位提高相关功能进入亲密关系核心的概率，远位只作背景或阶段修正。</x:v>
      </x:c>
      <x:c r="P428" s="20" t="str">
        <x:v>根气只修正某修复功能是否容易重复调用，不等于现实中已经持续改变。</x:v>
      </x:c>
      <x:c r="Q428" s="20" t="str">
        <x:v>旺弱只修正功能调用强度与占位，不直接等同修复质量、诚意或关系结果。</x:v>
      </x:c>
      <x:c r="R428" s="20" t="str">
        <x:v>喜忌只修正功能摩擦、平衡与承载，不直接等同道德、成熟、善恶或是否值得原谅。</x:v>
      </x:c>
      <x:c r="S428" s="20" t="str">
        <x:v>原十神功能有效；真合化成立时按化神功能替换，合化争议时停止定性。</x:v>
      </x:c>
      <x:c r="T428" s="20" t="str">
        <x:v>近位提高修复议题与亲密关系的直接相关性；远位仅保留背景、阶段或低置信修正。</x:v>
      </x:c>
      <x:c r="U428" s="20" t="str">
        <x:v>70</x:v>
      </x:c>
      <x:c r="V428" s="20" t="str">
        <x:v>±2至±6；单独不得建立E2以上</x:v>
      </x:c>
      <x:c r="W428" s="20" t="str">
        <x:v>state_modifier</x:v>
      </x:c>
      <x:c r="X428" s="20" t="str">
        <x:v>状态只修正功能可见度、持续性和占位，不决定修复完成。</x:v>
      </x:c>
      <x:c r="Y428" s="20" t="str">
        <x:v>藏而弱远时：只能保留背景候选，不能作为主修复通道。</x:v>
      </x:c>
      <x:c r="Z42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8" s="20" t="str">
        <x:v>中</x:v>
      </x:c>
      <x:c r="AB428" s="20" t="str">
        <x:v>待验证</x:v>
      </x:c>
      <x:c r="AC428" s="20" t="str"/>
      <x:c r="AD428" s="20" t="str">
        <x:v>provisional=true；M3-REPAIR尚未完成，完成条件为暂定功能模型。</x:v>
      </x:c>
      <x:c r="AE428" s="52" t="str">
        <x:v>0.7</x:v>
      </x:c>
    </x:row>
    <x:row r="429">
      <x:c r="A429" s="51" t="str">
        <x:v>M4-REPAIR-428</x:v>
      </x:c>
      <x:c r="B429" s="20" t="str">
        <x:v>SM04 藏而弱远｜使用边界</x:v>
      </x:c>
      <x:c r="C429" s="20" t="str">
        <x:v>L9 状态、位置与动态修正</x:v>
      </x:c>
      <x:c r="D429" s="20" t="str">
        <x:v>REPAIR-状态修正</x:v>
      </x:c>
      <x:c r="E429" s="20" t="str">
        <x:v>通用</x:v>
      </x:c>
      <x:c r="F429" s="20" t="str">
        <x:v>边界</x:v>
      </x:c>
      <x:c r="G429" s="20" t="str">
        <x:v>SM04</x:v>
      </x:c>
      <x:c r="H429" s="20" t="str"/>
      <x:c r="I429" s="20" t="str">
        <x:v>与现实修复事件、节点和反馈共同使用。</x:v>
      </x:c>
      <x:c r="J429" s="20" t="str">
        <x:v>需要更强现实行为支持</x:v>
      </x:c>
      <x:c r="K429" s="20" t="str">
        <x:v>由共享基础引擎提供；仅修正修复功能的承载、持续与压力占位，不直接等同是否愿意认错或能否修复。</x:v>
      </x:c>
      <x:c r="L429" s="20" t="str">
        <x:v>由M1／M2提供；夫妻星只说明伴侣原型与关系资格，不单独证明修复能力、修复意愿或修复结果。</x:v>
      </x:c>
      <x:c r="M429" s="20" t="str">
        <x:v>由M3-BASE提供；日支底盘说明亲密关系中自然调用的功能，但不能单独证明修复闭环。</x:v>
      </x:c>
      <x:c r="N429" s="20" t="str">
        <x:v>由M3-CONFLICT、M4-LOOP及现实事件提供；必须区分问题停止、责任承担、影响确认、行动改变、反馈整合与后续回访。</x:v>
      </x:c>
      <x:c r="O429" s="20" t="str">
        <x:v>由共享基础引擎判定；近位提高相关功能进入亲密关系核心的概率，远位只作背景或阶段修正。</x:v>
      </x:c>
      <x:c r="P429" s="20" t="str">
        <x:v>根气只修正某修复功能是否容易重复调用，不等于现实中已经持续改变。</x:v>
      </x:c>
      <x:c r="Q429" s="20" t="str">
        <x:v>旺弱只修正功能调用强度与占位，不直接等同修复质量、诚意或关系结果。</x:v>
      </x:c>
      <x:c r="R429" s="20" t="str">
        <x:v>喜忌只修正功能摩擦、平衡与承载，不直接等同道德、成熟、善恶或是否值得原谅。</x:v>
      </x:c>
      <x:c r="S429" s="20" t="str">
        <x:v>原十神功能有效；真合化成立时按化神功能替换，合化争议时停止定性。</x:v>
      </x:c>
      <x:c r="T429" s="20" t="str">
        <x:v>近位提高修复议题与亲密关系的直接相关性；远位仅保留背景、阶段或低置信修正。</x:v>
      </x:c>
      <x:c r="U429" s="20" t="str">
        <x:v>90</x:v>
      </x:c>
      <x:c r="V429" s="20" t="str">
        <x:v>边界门控</x:v>
      </x:c>
      <x:c r="W429" s="20" t="str">
        <x:v>boundary_note</x:v>
      </x:c>
      <x:c r="X429" s="20" t="str">
        <x:v>需要更强现实行为支持</x:v>
      </x:c>
      <x:c r="Y429" s="20" t="str">
        <x:v>使用边界：需要更强现实行为支持。</x:v>
      </x:c>
      <x:c r="Z42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29" s="20" t="str">
        <x:v>高</x:v>
      </x:c>
      <x:c r="AB429" s="20" t="str">
        <x:v>待验证</x:v>
      </x:c>
      <x:c r="AC429" s="20" t="str"/>
      <x:c r="AD429" s="20" t="str">
        <x:v>provisional=true；M3-REPAIR尚未完成，完成条件为暂定功能模型。</x:v>
      </x:c>
      <x:c r="AE429" s="52" t="str">
        <x:v>0.7</x:v>
      </x:c>
    </x:row>
    <x:row r="430">
      <x:c r="A430" s="51" t="str">
        <x:v>M4-REPAIR-429</x:v>
      </x:c>
      <x:c r="B430" s="20" t="str">
        <x:v>SM05 旺而平衡｜修复修正</x:v>
      </x:c>
      <x:c r="C430" s="20" t="str">
        <x:v>L9 状态、位置与动态修正</x:v>
      </x:c>
      <x:c r="D430" s="20" t="str">
        <x:v>REPAIR-状态修正</x:v>
      </x:c>
      <x:c r="E430" s="20" t="str">
        <x:v>通用</x:v>
      </x:c>
      <x:c r="F430" s="20" t="str">
        <x:v>状态</x:v>
      </x:c>
      <x:c r="G430" s="20" t="str">
        <x:v>SM05</x:v>
      </x:c>
      <x:c r="H430" s="20" t="str"/>
      <x:c r="I430" s="20" t="str">
        <x:v>功能调用较熟练，可作为资源</x:v>
      </x:c>
      <x:c r="J430" s="20" t="str">
        <x:v>仍须检查是否承担了不属于它的任务</x:v>
      </x:c>
      <x:c r="K430" s="20" t="str">
        <x:v>由共享基础引擎提供；仅修正修复功能的承载、持续与压力占位，不直接等同是否愿意认错或能否修复。</x:v>
      </x:c>
      <x:c r="L430" s="20" t="str">
        <x:v>由M1／M2提供；夫妻星只说明伴侣原型与关系资格，不单独证明修复能力、修复意愿或修复结果。</x:v>
      </x:c>
      <x:c r="M430" s="20" t="str">
        <x:v>由M3-BASE提供；日支底盘说明亲密关系中自然调用的功能，但不能单独证明修复闭环。</x:v>
      </x:c>
      <x:c r="N430" s="20" t="str">
        <x:v>由M3-CONFLICT、M4-LOOP及现实事件提供；必须区分问题停止、责任承担、影响确认、行动改变、反馈整合与后续回访。</x:v>
      </x:c>
      <x:c r="O430" s="20" t="str">
        <x:v>由共享基础引擎判定；近位提高相关功能进入亲密关系核心的概率，远位只作背景或阶段修正。</x:v>
      </x:c>
      <x:c r="P430" s="20" t="str">
        <x:v>根气只修正某修复功能是否容易重复调用，不等于现实中已经持续改变。</x:v>
      </x:c>
      <x:c r="Q430" s="20" t="str">
        <x:v>旺弱只修正功能调用强度与占位，不直接等同修复质量、诚意或关系结果。</x:v>
      </x:c>
      <x:c r="R430" s="20" t="str">
        <x:v>喜忌只修正功能摩擦、平衡与承载，不直接等同道德、成熟、善恶或是否值得原谅。</x:v>
      </x:c>
      <x:c r="S430" s="20" t="str">
        <x:v>原十神功能有效；真合化成立时按化神功能替换，合化争议时停止定性。</x:v>
      </x:c>
      <x:c r="T430" s="20" t="str">
        <x:v>近位提高修复议题与亲密关系的直接相关性；远位仅保留背景、阶段或低置信修正。</x:v>
      </x:c>
      <x:c r="U430" s="20" t="str">
        <x:v>70</x:v>
      </x:c>
      <x:c r="V430" s="20" t="str">
        <x:v>±2至±6；单独不得建立E2以上</x:v>
      </x:c>
      <x:c r="W430" s="20" t="str">
        <x:v>state_modifier</x:v>
      </x:c>
      <x:c r="X430" s="20" t="str">
        <x:v>状态只修正功能可见度、持续性和占位，不决定修复完成。</x:v>
      </x:c>
      <x:c r="Y430" s="20" t="str">
        <x:v>旺而平衡时：功能调用较熟练，可作为资源。</x:v>
      </x:c>
      <x:c r="Z43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0" s="20" t="str">
        <x:v>中</x:v>
      </x:c>
      <x:c r="AB430" s="20" t="str">
        <x:v>待验证</x:v>
      </x:c>
      <x:c r="AC430" s="20" t="str"/>
      <x:c r="AD430" s="20" t="str">
        <x:v>provisional=true；M3-REPAIR尚未完成，完成条件为暂定功能模型。</x:v>
      </x:c>
      <x:c r="AE430" s="52" t="str">
        <x:v>0.7</x:v>
      </x:c>
    </x:row>
    <x:row r="431">
      <x:c r="A431" s="51" t="str">
        <x:v>M4-REPAIR-430</x:v>
      </x:c>
      <x:c r="B431" s="20" t="str">
        <x:v>SM05 旺而平衡｜使用边界</x:v>
      </x:c>
      <x:c r="C431" s="20" t="str">
        <x:v>L9 状态、位置与动态修正</x:v>
      </x:c>
      <x:c r="D431" s="20" t="str">
        <x:v>REPAIR-状态修正</x:v>
      </x:c>
      <x:c r="E431" s="20" t="str">
        <x:v>通用</x:v>
      </x:c>
      <x:c r="F431" s="20" t="str">
        <x:v>边界</x:v>
      </x:c>
      <x:c r="G431" s="20" t="str">
        <x:v>SM05</x:v>
      </x:c>
      <x:c r="H431" s="20" t="str"/>
      <x:c r="I431" s="20" t="str">
        <x:v>与现实修复事件、节点和反馈共同使用。</x:v>
      </x:c>
      <x:c r="J431" s="20" t="str">
        <x:v>仍须检查是否承担了不属于它的任务</x:v>
      </x:c>
      <x:c r="K431" s="20" t="str">
        <x:v>由共享基础引擎提供；仅修正修复功能的承载、持续与压力占位，不直接等同是否愿意认错或能否修复。</x:v>
      </x:c>
      <x:c r="L431" s="20" t="str">
        <x:v>由M1／M2提供；夫妻星只说明伴侣原型与关系资格，不单独证明修复能力、修复意愿或修复结果。</x:v>
      </x:c>
      <x:c r="M431" s="20" t="str">
        <x:v>由M3-BASE提供；日支底盘说明亲密关系中自然调用的功能，但不能单独证明修复闭环。</x:v>
      </x:c>
      <x:c r="N431" s="20" t="str">
        <x:v>由M3-CONFLICT、M4-LOOP及现实事件提供；必须区分问题停止、责任承担、影响确认、行动改变、反馈整合与后续回访。</x:v>
      </x:c>
      <x:c r="O431" s="20" t="str">
        <x:v>由共享基础引擎判定；近位提高相关功能进入亲密关系核心的概率，远位只作背景或阶段修正。</x:v>
      </x:c>
      <x:c r="P431" s="20" t="str">
        <x:v>根气只修正某修复功能是否容易重复调用，不等于现实中已经持续改变。</x:v>
      </x:c>
      <x:c r="Q431" s="20" t="str">
        <x:v>旺弱只修正功能调用强度与占位，不直接等同修复质量、诚意或关系结果。</x:v>
      </x:c>
      <x:c r="R431" s="20" t="str">
        <x:v>喜忌只修正功能摩擦、平衡与承载，不直接等同道德、成熟、善恶或是否值得原谅。</x:v>
      </x:c>
      <x:c r="S431" s="20" t="str">
        <x:v>原十神功能有效；真合化成立时按化神功能替换，合化争议时停止定性。</x:v>
      </x:c>
      <x:c r="T431" s="20" t="str">
        <x:v>近位提高修复议题与亲密关系的直接相关性；远位仅保留背景、阶段或低置信修正。</x:v>
      </x:c>
      <x:c r="U431" s="20" t="str">
        <x:v>90</x:v>
      </x:c>
      <x:c r="V431" s="20" t="str">
        <x:v>边界门控</x:v>
      </x:c>
      <x:c r="W431" s="20" t="str">
        <x:v>boundary_note</x:v>
      </x:c>
      <x:c r="X431" s="20" t="str">
        <x:v>仍须检查是否承担了不属于它的任务</x:v>
      </x:c>
      <x:c r="Y431" s="20" t="str">
        <x:v>使用边界：仍须检查是否承担了不属于它的任务。</x:v>
      </x:c>
      <x:c r="Z43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1" s="20" t="str">
        <x:v>高</x:v>
      </x:c>
      <x:c r="AB431" s="20" t="str">
        <x:v>待验证</x:v>
      </x:c>
      <x:c r="AC431" s="20" t="str"/>
      <x:c r="AD431" s="20" t="str">
        <x:v>provisional=true；M3-REPAIR尚未完成，完成条件为暂定功能模型。</x:v>
      </x:c>
      <x:c r="AE431" s="52" t="str">
        <x:v>0.7</x:v>
      </x:c>
    </x:row>
    <x:row r="432">
      <x:c r="A432" s="51" t="str">
        <x:v>M4-REPAIR-431</x:v>
      </x:c>
      <x:c r="B432" s="20" t="str">
        <x:v>SM06 旺而失衡｜修复修正</x:v>
      </x:c>
      <x:c r="C432" s="20" t="str">
        <x:v>L9 状态、位置与动态修正</x:v>
      </x:c>
      <x:c r="D432" s="20" t="str">
        <x:v>REPAIR-状态修正</x:v>
      </x:c>
      <x:c r="E432" s="20" t="str">
        <x:v>通用</x:v>
      </x:c>
      <x:c r="F432" s="20" t="str">
        <x:v>状态</x:v>
      </x:c>
      <x:c r="G432" s="20" t="str">
        <x:v>SM06</x:v>
      </x:c>
      <x:c r="H432" s="20" t="str"/>
      <x:c r="I432" s="20" t="str">
        <x:v>熟悉功能可能抢先占位，提高RB／RF候选</x:v>
      </x:c>
      <x:c r="J432" s="20" t="str">
        <x:v>不能直接写成恶意或拒绝修复</x:v>
      </x:c>
      <x:c r="K432" s="20" t="str">
        <x:v>由共享基础引擎提供；仅修正修复功能的承载、持续与压力占位，不直接等同是否愿意认错或能否修复。</x:v>
      </x:c>
      <x:c r="L432" s="20" t="str">
        <x:v>由M1／M2提供；夫妻星只说明伴侣原型与关系资格，不单独证明修复能力、修复意愿或修复结果。</x:v>
      </x:c>
      <x:c r="M432" s="20" t="str">
        <x:v>由M3-BASE提供；日支底盘说明亲密关系中自然调用的功能，但不能单独证明修复闭环。</x:v>
      </x:c>
      <x:c r="N432" s="20" t="str">
        <x:v>由M3-CONFLICT、M4-LOOP及现实事件提供；必须区分问题停止、责任承担、影响确认、行动改变、反馈整合与后续回访。</x:v>
      </x:c>
      <x:c r="O432" s="20" t="str">
        <x:v>由共享基础引擎判定；近位提高相关功能进入亲密关系核心的概率，远位只作背景或阶段修正。</x:v>
      </x:c>
      <x:c r="P432" s="20" t="str">
        <x:v>根气只修正某修复功能是否容易重复调用，不等于现实中已经持续改变。</x:v>
      </x:c>
      <x:c r="Q432" s="20" t="str">
        <x:v>旺弱只修正功能调用强度与占位，不直接等同修复质量、诚意或关系结果。</x:v>
      </x:c>
      <x:c r="R432" s="20" t="str">
        <x:v>喜忌只修正功能摩擦、平衡与承载，不直接等同道德、成熟、善恶或是否值得原谅。</x:v>
      </x:c>
      <x:c r="S432" s="20" t="str">
        <x:v>原十神功能有效；真合化成立时按化神功能替换，合化争议时停止定性。</x:v>
      </x:c>
      <x:c r="T432" s="20" t="str">
        <x:v>近位提高修复议题与亲密关系的直接相关性；远位仅保留背景、阶段或低置信修正。</x:v>
      </x:c>
      <x:c r="U432" s="20" t="str">
        <x:v>70</x:v>
      </x:c>
      <x:c r="V432" s="20" t="str">
        <x:v>±2至±6；单独不得建立E2以上</x:v>
      </x:c>
      <x:c r="W432" s="20" t="str">
        <x:v>state_modifier</x:v>
      </x:c>
      <x:c r="X432" s="20" t="str">
        <x:v>状态只修正功能可见度、持续性和占位，不决定修复完成。</x:v>
      </x:c>
      <x:c r="Y432" s="20" t="str">
        <x:v>旺而失衡时：熟悉功能可能抢先占位，提高RB／RF候选。</x:v>
      </x:c>
      <x:c r="Z43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2" s="20" t="str">
        <x:v>中</x:v>
      </x:c>
      <x:c r="AB432" s="20" t="str">
        <x:v>待验证</x:v>
      </x:c>
      <x:c r="AC432" s="20" t="str"/>
      <x:c r="AD432" s="20" t="str">
        <x:v>provisional=true；M3-REPAIR尚未完成，完成条件为暂定功能模型。</x:v>
      </x:c>
      <x:c r="AE432" s="52" t="str">
        <x:v>0.7</x:v>
      </x:c>
    </x:row>
    <x:row r="433">
      <x:c r="A433" s="51" t="str">
        <x:v>M4-REPAIR-432</x:v>
      </x:c>
      <x:c r="B433" s="20" t="str">
        <x:v>SM06 旺而失衡｜使用边界</x:v>
      </x:c>
      <x:c r="C433" s="20" t="str">
        <x:v>L9 状态、位置与动态修正</x:v>
      </x:c>
      <x:c r="D433" s="20" t="str">
        <x:v>REPAIR-状态修正</x:v>
      </x:c>
      <x:c r="E433" s="20" t="str">
        <x:v>通用</x:v>
      </x:c>
      <x:c r="F433" s="20" t="str">
        <x:v>边界</x:v>
      </x:c>
      <x:c r="G433" s="20" t="str">
        <x:v>SM06</x:v>
      </x:c>
      <x:c r="H433" s="20" t="str"/>
      <x:c r="I433" s="20" t="str">
        <x:v>与现实修复事件、节点和反馈共同使用。</x:v>
      </x:c>
      <x:c r="J433" s="20" t="str">
        <x:v>不能直接写成恶意或拒绝修复</x:v>
      </x:c>
      <x:c r="K433" s="20" t="str">
        <x:v>由共享基础引擎提供；仅修正修复功能的承载、持续与压力占位，不直接等同是否愿意认错或能否修复。</x:v>
      </x:c>
      <x:c r="L433" s="20" t="str">
        <x:v>由M1／M2提供；夫妻星只说明伴侣原型与关系资格，不单独证明修复能力、修复意愿或修复结果。</x:v>
      </x:c>
      <x:c r="M433" s="20" t="str">
        <x:v>由M3-BASE提供；日支底盘说明亲密关系中自然调用的功能，但不能单独证明修复闭环。</x:v>
      </x:c>
      <x:c r="N433" s="20" t="str">
        <x:v>由M3-CONFLICT、M4-LOOP及现实事件提供；必须区分问题停止、责任承担、影响确认、行动改变、反馈整合与后续回访。</x:v>
      </x:c>
      <x:c r="O433" s="20" t="str">
        <x:v>由共享基础引擎判定；近位提高相关功能进入亲密关系核心的概率，远位只作背景或阶段修正。</x:v>
      </x:c>
      <x:c r="P433" s="20" t="str">
        <x:v>根气只修正某修复功能是否容易重复调用，不等于现实中已经持续改变。</x:v>
      </x:c>
      <x:c r="Q433" s="20" t="str">
        <x:v>旺弱只修正功能调用强度与占位，不直接等同修复质量、诚意或关系结果。</x:v>
      </x:c>
      <x:c r="R433" s="20" t="str">
        <x:v>喜忌只修正功能摩擦、平衡与承载，不直接等同道德、成熟、善恶或是否值得原谅。</x:v>
      </x:c>
      <x:c r="S433" s="20" t="str">
        <x:v>原十神功能有效；真合化成立时按化神功能替换，合化争议时停止定性。</x:v>
      </x:c>
      <x:c r="T433" s="20" t="str">
        <x:v>近位提高修复议题与亲密关系的直接相关性；远位仅保留背景、阶段或低置信修正。</x:v>
      </x:c>
      <x:c r="U433" s="20" t="str">
        <x:v>90</x:v>
      </x:c>
      <x:c r="V433" s="20" t="str">
        <x:v>边界门控</x:v>
      </x:c>
      <x:c r="W433" s="20" t="str">
        <x:v>boundary_note</x:v>
      </x:c>
      <x:c r="X433" s="20" t="str">
        <x:v>不能直接写成恶意或拒绝修复</x:v>
      </x:c>
      <x:c r="Y433" s="20" t="str">
        <x:v>使用边界：不能直接写成恶意或拒绝修复。</x:v>
      </x:c>
      <x:c r="Z43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3" s="20" t="str">
        <x:v>高</x:v>
      </x:c>
      <x:c r="AB433" s="20" t="str">
        <x:v>待验证</x:v>
      </x:c>
      <x:c r="AC433" s="20" t="str"/>
      <x:c r="AD433" s="20" t="str">
        <x:v>provisional=true；M3-REPAIR尚未完成，完成条件为暂定功能模型。</x:v>
      </x:c>
      <x:c r="AE433" s="52" t="str">
        <x:v>0.7</x:v>
      </x:c>
    </x:row>
    <x:row r="434">
      <x:c r="A434" s="51" t="str">
        <x:v>M4-REPAIR-433</x:v>
      </x:c>
      <x:c r="B434" s="20" t="str">
        <x:v>SM07 偏弱但有助｜修复修正</x:v>
      </x:c>
      <x:c r="C434" s="20" t="str">
        <x:v>L9 状态、位置与动态修正</x:v>
      </x:c>
      <x:c r="D434" s="20" t="str">
        <x:v>REPAIR-状态修正</x:v>
      </x:c>
      <x:c r="E434" s="20" t="str">
        <x:v>通用</x:v>
      </x:c>
      <x:c r="F434" s="20" t="str">
        <x:v>状态</x:v>
      </x:c>
      <x:c r="G434" s="20" t="str">
        <x:v>SM07</x:v>
      </x:c>
      <x:c r="H434" s="20" t="str"/>
      <x:c r="I434" s="20" t="str">
        <x:v>特定条件下功能仍可进入</x:v>
      </x:c>
      <x:c r="J434" s="20" t="str">
        <x:v>不能机械判断功能不足</x:v>
      </x:c>
      <x:c r="K434" s="20" t="str">
        <x:v>由共享基础引擎提供；仅修正修复功能的承载、持续与压力占位，不直接等同是否愿意认错或能否修复。</x:v>
      </x:c>
      <x:c r="L434" s="20" t="str">
        <x:v>由M1／M2提供；夫妻星只说明伴侣原型与关系资格，不单独证明修复能力、修复意愿或修复结果。</x:v>
      </x:c>
      <x:c r="M434" s="20" t="str">
        <x:v>由M3-BASE提供；日支底盘说明亲密关系中自然调用的功能，但不能单独证明修复闭环。</x:v>
      </x:c>
      <x:c r="N434" s="20" t="str">
        <x:v>由M3-CONFLICT、M4-LOOP及现实事件提供；必须区分问题停止、责任承担、影响确认、行动改变、反馈整合与后续回访。</x:v>
      </x:c>
      <x:c r="O434" s="20" t="str">
        <x:v>由共享基础引擎判定；近位提高相关功能进入亲密关系核心的概率，远位只作背景或阶段修正。</x:v>
      </x:c>
      <x:c r="P434" s="20" t="str">
        <x:v>根气只修正某修复功能是否容易重复调用，不等于现实中已经持续改变。</x:v>
      </x:c>
      <x:c r="Q434" s="20" t="str">
        <x:v>旺弱只修正功能调用强度与占位，不直接等同修复质量、诚意或关系结果。</x:v>
      </x:c>
      <x:c r="R434" s="20" t="str">
        <x:v>喜忌只修正功能摩擦、平衡与承载，不直接等同道德、成熟、善恶或是否值得原谅。</x:v>
      </x:c>
      <x:c r="S434" s="20" t="str">
        <x:v>原十神功能有效；真合化成立时按化神功能替换，合化争议时停止定性。</x:v>
      </x:c>
      <x:c r="T434" s="20" t="str">
        <x:v>近位提高修复议题与亲密关系的直接相关性；远位仅保留背景、阶段或低置信修正。</x:v>
      </x:c>
      <x:c r="U434" s="20" t="str">
        <x:v>70</x:v>
      </x:c>
      <x:c r="V434" s="20" t="str">
        <x:v>±2至±6；单独不得建立E2以上</x:v>
      </x:c>
      <x:c r="W434" s="20" t="str">
        <x:v>state_modifier</x:v>
      </x:c>
      <x:c r="X434" s="20" t="str">
        <x:v>状态只修正功能可见度、持续性和占位，不决定修复完成。</x:v>
      </x:c>
      <x:c r="Y434" s="20" t="str">
        <x:v>偏弱但有助时：特定条件下功能仍可进入。</x:v>
      </x:c>
      <x:c r="Z43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4" s="20" t="str">
        <x:v>中</x:v>
      </x:c>
      <x:c r="AB434" s="20" t="str">
        <x:v>待验证</x:v>
      </x:c>
      <x:c r="AC434" s="20" t="str"/>
      <x:c r="AD434" s="20" t="str">
        <x:v>provisional=true；M3-REPAIR尚未完成，完成条件为暂定功能模型。</x:v>
      </x:c>
      <x:c r="AE434" s="52" t="str">
        <x:v>0.7</x:v>
      </x:c>
    </x:row>
    <x:row r="435">
      <x:c r="A435" s="51" t="str">
        <x:v>M4-REPAIR-434</x:v>
      </x:c>
      <x:c r="B435" s="20" t="str">
        <x:v>SM07 偏弱但有助｜使用边界</x:v>
      </x:c>
      <x:c r="C435" s="20" t="str">
        <x:v>L9 状态、位置与动态修正</x:v>
      </x:c>
      <x:c r="D435" s="20" t="str">
        <x:v>REPAIR-状态修正</x:v>
      </x:c>
      <x:c r="E435" s="20" t="str">
        <x:v>通用</x:v>
      </x:c>
      <x:c r="F435" s="20" t="str">
        <x:v>边界</x:v>
      </x:c>
      <x:c r="G435" s="20" t="str">
        <x:v>SM07</x:v>
      </x:c>
      <x:c r="H435" s="20" t="str"/>
      <x:c r="I435" s="20" t="str">
        <x:v>与现实修复事件、节点和反馈共同使用。</x:v>
      </x:c>
      <x:c r="J435" s="20" t="str">
        <x:v>不能机械判断功能不足</x:v>
      </x:c>
      <x:c r="K435" s="20" t="str">
        <x:v>由共享基础引擎提供；仅修正修复功能的承载、持续与压力占位，不直接等同是否愿意认错或能否修复。</x:v>
      </x:c>
      <x:c r="L435" s="20" t="str">
        <x:v>由M1／M2提供；夫妻星只说明伴侣原型与关系资格，不单独证明修复能力、修复意愿或修复结果。</x:v>
      </x:c>
      <x:c r="M435" s="20" t="str">
        <x:v>由M3-BASE提供；日支底盘说明亲密关系中自然调用的功能，但不能单独证明修复闭环。</x:v>
      </x:c>
      <x:c r="N435" s="20" t="str">
        <x:v>由M3-CONFLICT、M4-LOOP及现实事件提供；必须区分问题停止、责任承担、影响确认、行动改变、反馈整合与后续回访。</x:v>
      </x:c>
      <x:c r="O435" s="20" t="str">
        <x:v>由共享基础引擎判定；近位提高相关功能进入亲密关系核心的概率，远位只作背景或阶段修正。</x:v>
      </x:c>
      <x:c r="P435" s="20" t="str">
        <x:v>根气只修正某修复功能是否容易重复调用，不等于现实中已经持续改变。</x:v>
      </x:c>
      <x:c r="Q435" s="20" t="str">
        <x:v>旺弱只修正功能调用强度与占位，不直接等同修复质量、诚意或关系结果。</x:v>
      </x:c>
      <x:c r="R435" s="20" t="str">
        <x:v>喜忌只修正功能摩擦、平衡与承载，不直接等同道德、成熟、善恶或是否值得原谅。</x:v>
      </x:c>
      <x:c r="S435" s="20" t="str">
        <x:v>原十神功能有效；真合化成立时按化神功能替换，合化争议时停止定性。</x:v>
      </x:c>
      <x:c r="T435" s="20" t="str">
        <x:v>近位提高修复议题与亲密关系的直接相关性；远位仅保留背景、阶段或低置信修正。</x:v>
      </x:c>
      <x:c r="U435" s="20" t="str">
        <x:v>90</x:v>
      </x:c>
      <x:c r="V435" s="20" t="str">
        <x:v>边界门控</x:v>
      </x:c>
      <x:c r="W435" s="20" t="str">
        <x:v>boundary_note</x:v>
      </x:c>
      <x:c r="X435" s="20" t="str">
        <x:v>不能机械判断功能不足</x:v>
      </x:c>
      <x:c r="Y435" s="20" t="str">
        <x:v>使用边界：不能机械判断功能不足。</x:v>
      </x:c>
      <x:c r="Z43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5" s="20" t="str">
        <x:v>高</x:v>
      </x:c>
      <x:c r="AB435" s="20" t="str">
        <x:v>待验证</x:v>
      </x:c>
      <x:c r="AC435" s="20" t="str"/>
      <x:c r="AD435" s="20" t="str">
        <x:v>provisional=true；M3-REPAIR尚未完成，完成条件为暂定功能模型。</x:v>
      </x:c>
      <x:c r="AE435" s="52" t="str">
        <x:v>0.7</x:v>
      </x:c>
    </x:row>
    <x:row r="436">
      <x:c r="A436" s="51" t="str">
        <x:v>M4-REPAIR-435</x:v>
      </x:c>
      <x:c r="B436" s="20" t="str">
        <x:v>SM08 偏弱且无助｜修复修正</x:v>
      </x:c>
      <x:c r="C436" s="20" t="str">
        <x:v>L9 状态、位置与动态修正</x:v>
      </x:c>
      <x:c r="D436" s="20" t="str">
        <x:v>REPAIR-状态修正</x:v>
      </x:c>
      <x:c r="E436" s="20" t="str">
        <x:v>通用</x:v>
      </x:c>
      <x:c r="F436" s="20" t="str">
        <x:v>状态</x:v>
      </x:c>
      <x:c r="G436" s="20" t="str">
        <x:v>SM08</x:v>
      </x:c>
      <x:c r="H436" s="20" t="str"/>
      <x:c r="I436" s="20" t="str">
        <x:v>若当前事件必须依赖该功能，才建立缺失候选</x:v>
      </x:c>
      <x:c r="J436" s="20" t="str">
        <x:v>先检查等价替代通道</x:v>
      </x:c>
      <x:c r="K436" s="20" t="str">
        <x:v>由共享基础引擎提供；仅修正修复功能的承载、持续与压力占位，不直接等同是否愿意认错或能否修复。</x:v>
      </x:c>
      <x:c r="L436" s="20" t="str">
        <x:v>由M1／M2提供；夫妻星只说明伴侣原型与关系资格，不单独证明修复能力、修复意愿或修复结果。</x:v>
      </x:c>
      <x:c r="M436" s="20" t="str">
        <x:v>由M3-BASE提供；日支底盘说明亲密关系中自然调用的功能，但不能单独证明修复闭环。</x:v>
      </x:c>
      <x:c r="N436" s="20" t="str">
        <x:v>由M3-CONFLICT、M4-LOOP及现实事件提供；必须区分问题停止、责任承担、影响确认、行动改变、反馈整合与后续回访。</x:v>
      </x:c>
      <x:c r="O436" s="20" t="str">
        <x:v>由共享基础引擎判定；近位提高相关功能进入亲密关系核心的概率，远位只作背景或阶段修正。</x:v>
      </x:c>
      <x:c r="P436" s="20" t="str">
        <x:v>根气只修正某修复功能是否容易重复调用，不等于现实中已经持续改变。</x:v>
      </x:c>
      <x:c r="Q436" s="20" t="str">
        <x:v>旺弱只修正功能调用强度与占位，不直接等同修复质量、诚意或关系结果。</x:v>
      </x:c>
      <x:c r="R436" s="20" t="str">
        <x:v>喜忌只修正功能摩擦、平衡与承载，不直接等同道德、成熟、善恶或是否值得原谅。</x:v>
      </x:c>
      <x:c r="S436" s="20" t="str">
        <x:v>原十神功能有效；真合化成立时按化神功能替换，合化争议时停止定性。</x:v>
      </x:c>
      <x:c r="T436" s="20" t="str">
        <x:v>近位提高修复议题与亲密关系的直接相关性；远位仅保留背景、阶段或低置信修正。</x:v>
      </x:c>
      <x:c r="U436" s="20" t="str">
        <x:v>70</x:v>
      </x:c>
      <x:c r="V436" s="20" t="str">
        <x:v>±2至±6；单独不得建立E2以上</x:v>
      </x:c>
      <x:c r="W436" s="20" t="str">
        <x:v>state_modifier</x:v>
      </x:c>
      <x:c r="X436" s="20" t="str">
        <x:v>状态只修正功能可见度、持续性和占位，不决定修复完成。</x:v>
      </x:c>
      <x:c r="Y436" s="20" t="str">
        <x:v>偏弱且无助时：若当前事件必须依赖该功能，才建立缺失候选。</x:v>
      </x:c>
      <x:c r="Z43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6" s="20" t="str">
        <x:v>中</x:v>
      </x:c>
      <x:c r="AB436" s="20" t="str">
        <x:v>待验证</x:v>
      </x:c>
      <x:c r="AC436" s="20" t="str"/>
      <x:c r="AD436" s="20" t="str">
        <x:v>provisional=true；M3-REPAIR尚未完成，完成条件为暂定功能模型。</x:v>
      </x:c>
      <x:c r="AE436" s="52" t="str">
        <x:v>0.7</x:v>
      </x:c>
    </x:row>
    <x:row r="437">
      <x:c r="A437" s="51" t="str">
        <x:v>M4-REPAIR-436</x:v>
      </x:c>
      <x:c r="B437" s="20" t="str">
        <x:v>SM08 偏弱且无助｜使用边界</x:v>
      </x:c>
      <x:c r="C437" s="20" t="str">
        <x:v>L9 状态、位置与动态修正</x:v>
      </x:c>
      <x:c r="D437" s="20" t="str">
        <x:v>REPAIR-状态修正</x:v>
      </x:c>
      <x:c r="E437" s="20" t="str">
        <x:v>通用</x:v>
      </x:c>
      <x:c r="F437" s="20" t="str">
        <x:v>边界</x:v>
      </x:c>
      <x:c r="G437" s="20" t="str">
        <x:v>SM08</x:v>
      </x:c>
      <x:c r="H437" s="20" t="str"/>
      <x:c r="I437" s="20" t="str">
        <x:v>与现实修复事件、节点和反馈共同使用。</x:v>
      </x:c>
      <x:c r="J437" s="20" t="str">
        <x:v>先检查等价替代通道</x:v>
      </x:c>
      <x:c r="K437" s="20" t="str">
        <x:v>由共享基础引擎提供；仅修正修复功能的承载、持续与压力占位，不直接等同是否愿意认错或能否修复。</x:v>
      </x:c>
      <x:c r="L437" s="20" t="str">
        <x:v>由M1／M2提供；夫妻星只说明伴侣原型与关系资格，不单独证明修复能力、修复意愿或修复结果。</x:v>
      </x:c>
      <x:c r="M437" s="20" t="str">
        <x:v>由M3-BASE提供；日支底盘说明亲密关系中自然调用的功能，但不能单独证明修复闭环。</x:v>
      </x:c>
      <x:c r="N437" s="20" t="str">
        <x:v>由M3-CONFLICT、M4-LOOP及现实事件提供；必须区分问题停止、责任承担、影响确认、行动改变、反馈整合与后续回访。</x:v>
      </x:c>
      <x:c r="O437" s="20" t="str">
        <x:v>由共享基础引擎判定；近位提高相关功能进入亲密关系核心的概率，远位只作背景或阶段修正。</x:v>
      </x:c>
      <x:c r="P437" s="20" t="str">
        <x:v>根气只修正某修复功能是否容易重复调用，不等于现实中已经持续改变。</x:v>
      </x:c>
      <x:c r="Q437" s="20" t="str">
        <x:v>旺弱只修正功能调用强度与占位，不直接等同修复质量、诚意或关系结果。</x:v>
      </x:c>
      <x:c r="R437" s="20" t="str">
        <x:v>喜忌只修正功能摩擦、平衡与承载，不直接等同道德、成熟、善恶或是否值得原谅。</x:v>
      </x:c>
      <x:c r="S437" s="20" t="str">
        <x:v>原十神功能有效；真合化成立时按化神功能替换，合化争议时停止定性。</x:v>
      </x:c>
      <x:c r="T437" s="20" t="str">
        <x:v>近位提高修复议题与亲密关系的直接相关性；远位仅保留背景、阶段或低置信修正。</x:v>
      </x:c>
      <x:c r="U437" s="20" t="str">
        <x:v>90</x:v>
      </x:c>
      <x:c r="V437" s="20" t="str">
        <x:v>边界门控</x:v>
      </x:c>
      <x:c r="W437" s="20" t="str">
        <x:v>boundary_note</x:v>
      </x:c>
      <x:c r="X437" s="20" t="str">
        <x:v>先检查等价替代通道</x:v>
      </x:c>
      <x:c r="Y437" s="20" t="str">
        <x:v>使用边界：先检查等价替代通道。</x:v>
      </x:c>
      <x:c r="Z43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7" s="20" t="str">
        <x:v>高</x:v>
      </x:c>
      <x:c r="AB437" s="20" t="str">
        <x:v>待验证</x:v>
      </x:c>
      <x:c r="AC437" s="20" t="str"/>
      <x:c r="AD437" s="20" t="str">
        <x:v>provisional=true；M3-REPAIR尚未完成，完成条件为暂定功能模型。</x:v>
      </x:c>
      <x:c r="AE437" s="52" t="str">
        <x:v>0.7</x:v>
      </x:c>
    </x:row>
    <x:row r="438">
      <x:c r="A438" s="51" t="str">
        <x:v>M4-REPAIR-437</x:v>
      </x:c>
      <x:c r="B438" s="20" t="str">
        <x:v>SM09 有制有化／有通关｜修复修正</x:v>
      </x:c>
      <x:c r="C438" s="20" t="str">
        <x:v>L9 状态、位置与动态修正</x:v>
      </x:c>
      <x:c r="D438" s="20" t="str">
        <x:v>REPAIR-状态修正</x:v>
      </x:c>
      <x:c r="E438" s="20" t="str">
        <x:v>通用</x:v>
      </x:c>
      <x:c r="F438" s="20" t="str">
        <x:v>状态</x:v>
      </x:c>
      <x:c r="G438" s="20" t="str">
        <x:v>SM09</x:v>
      </x:c>
      <x:c r="H438" s="20" t="str"/>
      <x:c r="I438" s="20" t="str">
        <x:v>过用受到限制、缺位得到补入或转换较顺畅</x:v>
      </x:c>
      <x:c r="J438" s="20" t="str">
        <x:v>保护因素必须真实降权</x:v>
      </x:c>
      <x:c r="K438" s="20" t="str">
        <x:v>由共享基础引擎提供；仅修正修复功能的承载、持续与压力占位，不直接等同是否愿意认错或能否修复。</x:v>
      </x:c>
      <x:c r="L438" s="20" t="str">
        <x:v>由M1／M2提供；夫妻星只说明伴侣原型与关系资格，不单独证明修复能力、修复意愿或修复结果。</x:v>
      </x:c>
      <x:c r="M438" s="20" t="str">
        <x:v>由M3-BASE提供；日支底盘说明亲密关系中自然调用的功能，但不能单独证明修复闭环。</x:v>
      </x:c>
      <x:c r="N438" s="20" t="str">
        <x:v>由M3-CONFLICT、M4-LOOP及现实事件提供；必须区分问题停止、责任承担、影响确认、行动改变、反馈整合与后续回访。</x:v>
      </x:c>
      <x:c r="O438" s="20" t="str">
        <x:v>由共享基础引擎判定；近位提高相关功能进入亲密关系核心的概率，远位只作背景或阶段修正。</x:v>
      </x:c>
      <x:c r="P438" s="20" t="str">
        <x:v>根气只修正某修复功能是否容易重复调用，不等于现实中已经持续改变。</x:v>
      </x:c>
      <x:c r="Q438" s="20" t="str">
        <x:v>旺弱只修正功能调用强度与占位，不直接等同修复质量、诚意或关系结果。</x:v>
      </x:c>
      <x:c r="R438" s="20" t="str">
        <x:v>喜忌只修正功能摩擦、平衡与承载，不直接等同道德、成熟、善恶或是否值得原谅。</x:v>
      </x:c>
      <x:c r="S438" s="20" t="str">
        <x:v>原十神功能有效；真合化成立时按化神功能替换，合化争议时停止定性。</x:v>
      </x:c>
      <x:c r="T438" s="20" t="str">
        <x:v>近位提高修复议题与亲密关系的直接相关性；远位仅保留背景、阶段或低置信修正。</x:v>
      </x:c>
      <x:c r="U438" s="20" t="str">
        <x:v>70</x:v>
      </x:c>
      <x:c r="V438" s="20" t="str">
        <x:v>±2至±6；单独不得建立E2以上</x:v>
      </x:c>
      <x:c r="W438" s="20" t="str">
        <x:v>state_modifier</x:v>
      </x:c>
      <x:c r="X438" s="20" t="str">
        <x:v>状态只修正功能可见度、持续性和占位，不决定修复完成。</x:v>
      </x:c>
      <x:c r="Y438" s="20" t="str">
        <x:v>有制有化／有通关时：过用受到限制、缺位得到补入或转换较顺畅。</x:v>
      </x:c>
      <x:c r="Z43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8" s="20" t="str">
        <x:v>中</x:v>
      </x:c>
      <x:c r="AB438" s="20" t="str">
        <x:v>待验证</x:v>
      </x:c>
      <x:c r="AC438" s="20" t="str"/>
      <x:c r="AD438" s="20" t="str">
        <x:v>provisional=true；M3-REPAIR尚未完成，完成条件为暂定功能模型。</x:v>
      </x:c>
      <x:c r="AE438" s="52" t="str">
        <x:v>0.7</x:v>
      </x:c>
    </x:row>
    <x:row r="439">
      <x:c r="A439" s="51" t="str">
        <x:v>M4-REPAIR-438</x:v>
      </x:c>
      <x:c r="B439" s="20" t="str">
        <x:v>SM09 有制有化／有通关｜使用边界</x:v>
      </x:c>
      <x:c r="C439" s="20" t="str">
        <x:v>L9 状态、位置与动态修正</x:v>
      </x:c>
      <x:c r="D439" s="20" t="str">
        <x:v>REPAIR-状态修正</x:v>
      </x:c>
      <x:c r="E439" s="20" t="str">
        <x:v>通用</x:v>
      </x:c>
      <x:c r="F439" s="20" t="str">
        <x:v>边界</x:v>
      </x:c>
      <x:c r="G439" s="20" t="str">
        <x:v>SM09</x:v>
      </x:c>
      <x:c r="H439" s="20" t="str"/>
      <x:c r="I439" s="20" t="str">
        <x:v>与现实修复事件、节点和反馈共同使用。</x:v>
      </x:c>
      <x:c r="J439" s="20" t="str">
        <x:v>保护因素必须真实降权</x:v>
      </x:c>
      <x:c r="K439" s="20" t="str">
        <x:v>由共享基础引擎提供；仅修正修复功能的承载、持续与压力占位，不直接等同是否愿意认错或能否修复。</x:v>
      </x:c>
      <x:c r="L439" s="20" t="str">
        <x:v>由M1／M2提供；夫妻星只说明伴侣原型与关系资格，不单独证明修复能力、修复意愿或修复结果。</x:v>
      </x:c>
      <x:c r="M439" s="20" t="str">
        <x:v>由M3-BASE提供；日支底盘说明亲密关系中自然调用的功能，但不能单独证明修复闭环。</x:v>
      </x:c>
      <x:c r="N439" s="20" t="str">
        <x:v>由M3-CONFLICT、M4-LOOP及现实事件提供；必须区分问题停止、责任承担、影响确认、行动改变、反馈整合与后续回访。</x:v>
      </x:c>
      <x:c r="O439" s="20" t="str">
        <x:v>由共享基础引擎判定；近位提高相关功能进入亲密关系核心的概率，远位只作背景或阶段修正。</x:v>
      </x:c>
      <x:c r="P439" s="20" t="str">
        <x:v>根气只修正某修复功能是否容易重复调用，不等于现实中已经持续改变。</x:v>
      </x:c>
      <x:c r="Q439" s="20" t="str">
        <x:v>旺弱只修正功能调用强度与占位，不直接等同修复质量、诚意或关系结果。</x:v>
      </x:c>
      <x:c r="R439" s="20" t="str">
        <x:v>喜忌只修正功能摩擦、平衡与承载，不直接等同道德、成熟、善恶或是否值得原谅。</x:v>
      </x:c>
      <x:c r="S439" s="20" t="str">
        <x:v>原十神功能有效；真合化成立时按化神功能替换，合化争议时停止定性。</x:v>
      </x:c>
      <x:c r="T439" s="20" t="str">
        <x:v>近位提高修复议题与亲密关系的直接相关性；远位仅保留背景、阶段或低置信修正。</x:v>
      </x:c>
      <x:c r="U439" s="20" t="str">
        <x:v>90</x:v>
      </x:c>
      <x:c r="V439" s="20" t="str">
        <x:v>边界门控</x:v>
      </x:c>
      <x:c r="W439" s="20" t="str">
        <x:v>boundary_note</x:v>
      </x:c>
      <x:c r="X439" s="20" t="str">
        <x:v>保护因素必须真实降权</x:v>
      </x:c>
      <x:c r="Y439" s="20" t="str">
        <x:v>使用边界：保护因素必须真实降权。</x:v>
      </x:c>
      <x:c r="Z43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39" s="20" t="str">
        <x:v>高</x:v>
      </x:c>
      <x:c r="AB439" s="20" t="str">
        <x:v>待验证</x:v>
      </x:c>
      <x:c r="AC439" s="20" t="str"/>
      <x:c r="AD439" s="20" t="str">
        <x:v>provisional=true；M3-REPAIR尚未完成，完成条件为暂定功能模型。</x:v>
      </x:c>
      <x:c r="AE439" s="52" t="str">
        <x:v>0.7</x:v>
      </x:c>
    </x:row>
    <x:row r="440">
      <x:c r="A440" s="51" t="str">
        <x:v>M4-REPAIR-439</x:v>
      </x:c>
      <x:c r="B440" s="20" t="str">
        <x:v>SM10 强而无制｜修复修正</x:v>
      </x:c>
      <x:c r="C440" s="20" t="str">
        <x:v>L9 状态、位置与动态修正</x:v>
      </x:c>
      <x:c r="D440" s="20" t="str">
        <x:v>REPAIR-状态修正</x:v>
      </x:c>
      <x:c r="E440" s="20" t="str">
        <x:v>通用</x:v>
      </x:c>
      <x:c r="F440" s="20" t="str">
        <x:v>状态</x:v>
      </x:c>
      <x:c r="G440" s="20" t="str">
        <x:v>SM10</x:v>
      </x:c>
      <x:c r="H440" s="20" t="str"/>
      <x:c r="I440" s="20" t="str">
        <x:v>高压下更易由单一通道占位</x:v>
      </x:c>
      <x:c r="J440" s="20" t="str">
        <x:v>仍需现实事件证明过早结案或替代</x:v>
      </x:c>
      <x:c r="K440" s="20" t="str">
        <x:v>由共享基础引擎提供；仅修正修复功能的承载、持续与压力占位，不直接等同是否愿意认错或能否修复。</x:v>
      </x:c>
      <x:c r="L440" s="20" t="str">
        <x:v>由M1／M2提供；夫妻星只说明伴侣原型与关系资格，不单独证明修复能力、修复意愿或修复结果。</x:v>
      </x:c>
      <x:c r="M440" s="20" t="str">
        <x:v>由M3-BASE提供；日支底盘说明亲密关系中自然调用的功能，但不能单独证明修复闭环。</x:v>
      </x:c>
      <x:c r="N440" s="20" t="str">
        <x:v>由M3-CONFLICT、M4-LOOP及现实事件提供；必须区分问题停止、责任承担、影响确认、行动改变、反馈整合与后续回访。</x:v>
      </x:c>
      <x:c r="O440" s="20" t="str">
        <x:v>由共享基础引擎判定；近位提高相关功能进入亲密关系核心的概率，远位只作背景或阶段修正。</x:v>
      </x:c>
      <x:c r="P440" s="20" t="str">
        <x:v>根气只修正某修复功能是否容易重复调用，不等于现实中已经持续改变。</x:v>
      </x:c>
      <x:c r="Q440" s="20" t="str">
        <x:v>旺弱只修正功能调用强度与占位，不直接等同修复质量、诚意或关系结果。</x:v>
      </x:c>
      <x:c r="R440" s="20" t="str">
        <x:v>喜忌只修正功能摩擦、平衡与承载，不直接等同道德、成熟、善恶或是否值得原谅。</x:v>
      </x:c>
      <x:c r="S440" s="20" t="str">
        <x:v>原十神功能有效；真合化成立时按化神功能替换，合化争议时停止定性。</x:v>
      </x:c>
      <x:c r="T440" s="20" t="str">
        <x:v>近位提高修复议题与亲密关系的直接相关性；远位仅保留背景、阶段或低置信修正。</x:v>
      </x:c>
      <x:c r="U440" s="20" t="str">
        <x:v>70</x:v>
      </x:c>
      <x:c r="V440" s="20" t="str">
        <x:v>±2至±6；单独不得建立E2以上</x:v>
      </x:c>
      <x:c r="W440" s="20" t="str">
        <x:v>state_modifier</x:v>
      </x:c>
      <x:c r="X440" s="20" t="str">
        <x:v>状态只修正功能可见度、持续性和占位，不决定修复完成。</x:v>
      </x:c>
      <x:c r="Y440" s="20" t="str">
        <x:v>强而无制时：高压下更易由单一通道占位。</x:v>
      </x:c>
      <x:c r="Z44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0" s="20" t="str">
        <x:v>中</x:v>
      </x:c>
      <x:c r="AB440" s="20" t="str">
        <x:v>待验证</x:v>
      </x:c>
      <x:c r="AC440" s="20" t="str"/>
      <x:c r="AD440" s="20" t="str">
        <x:v>provisional=true；M3-REPAIR尚未完成，完成条件为暂定功能模型。</x:v>
      </x:c>
      <x:c r="AE440" s="52" t="str">
        <x:v>0.7</x:v>
      </x:c>
    </x:row>
    <x:row r="441">
      <x:c r="A441" s="51" t="str">
        <x:v>M4-REPAIR-440</x:v>
      </x:c>
      <x:c r="B441" s="20" t="str">
        <x:v>SM10 强而无制｜使用边界</x:v>
      </x:c>
      <x:c r="C441" s="20" t="str">
        <x:v>L9 状态、位置与动态修正</x:v>
      </x:c>
      <x:c r="D441" s="20" t="str">
        <x:v>REPAIR-状态修正</x:v>
      </x:c>
      <x:c r="E441" s="20" t="str">
        <x:v>通用</x:v>
      </x:c>
      <x:c r="F441" s="20" t="str">
        <x:v>边界</x:v>
      </x:c>
      <x:c r="G441" s="20" t="str">
        <x:v>SM10</x:v>
      </x:c>
      <x:c r="H441" s="20" t="str"/>
      <x:c r="I441" s="20" t="str">
        <x:v>与现实修复事件、节点和反馈共同使用。</x:v>
      </x:c>
      <x:c r="J441" s="20" t="str">
        <x:v>仍需现实事件证明过早结案或替代</x:v>
      </x:c>
      <x:c r="K441" s="20" t="str">
        <x:v>由共享基础引擎提供；仅修正修复功能的承载、持续与压力占位，不直接等同是否愿意认错或能否修复。</x:v>
      </x:c>
      <x:c r="L441" s="20" t="str">
        <x:v>由M1／M2提供；夫妻星只说明伴侣原型与关系资格，不单独证明修复能力、修复意愿或修复结果。</x:v>
      </x:c>
      <x:c r="M441" s="20" t="str">
        <x:v>由M3-BASE提供；日支底盘说明亲密关系中自然调用的功能，但不能单独证明修复闭环。</x:v>
      </x:c>
      <x:c r="N441" s="20" t="str">
        <x:v>由M3-CONFLICT、M4-LOOP及现实事件提供；必须区分问题停止、责任承担、影响确认、行动改变、反馈整合与后续回访。</x:v>
      </x:c>
      <x:c r="O441" s="20" t="str">
        <x:v>由共享基础引擎判定；近位提高相关功能进入亲密关系核心的概率，远位只作背景或阶段修正。</x:v>
      </x:c>
      <x:c r="P441" s="20" t="str">
        <x:v>根气只修正某修复功能是否容易重复调用，不等于现实中已经持续改变。</x:v>
      </x:c>
      <x:c r="Q441" s="20" t="str">
        <x:v>旺弱只修正功能调用强度与占位，不直接等同修复质量、诚意或关系结果。</x:v>
      </x:c>
      <x:c r="R441" s="20" t="str">
        <x:v>喜忌只修正功能摩擦、平衡与承载，不直接等同道德、成熟、善恶或是否值得原谅。</x:v>
      </x:c>
      <x:c r="S441" s="20" t="str">
        <x:v>原十神功能有效；真合化成立时按化神功能替换，合化争议时停止定性。</x:v>
      </x:c>
      <x:c r="T441" s="20" t="str">
        <x:v>近位提高修复议题与亲密关系的直接相关性；远位仅保留背景、阶段或低置信修正。</x:v>
      </x:c>
      <x:c r="U441" s="20" t="str">
        <x:v>90</x:v>
      </x:c>
      <x:c r="V441" s="20" t="str">
        <x:v>边界门控</x:v>
      </x:c>
      <x:c r="W441" s="20" t="str">
        <x:v>boundary_note</x:v>
      </x:c>
      <x:c r="X441" s="20" t="str">
        <x:v>仍需现实事件证明过早结案或替代</x:v>
      </x:c>
      <x:c r="Y441" s="20" t="str">
        <x:v>使用边界：仍需现实事件证明过早结案或替代。</x:v>
      </x:c>
      <x:c r="Z44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1" s="20" t="str">
        <x:v>高</x:v>
      </x:c>
      <x:c r="AB441" s="20" t="str">
        <x:v>待验证</x:v>
      </x:c>
      <x:c r="AC441" s="20" t="str"/>
      <x:c r="AD441" s="20" t="str">
        <x:v>provisional=true；M3-REPAIR尚未完成，完成条件为暂定功能模型。</x:v>
      </x:c>
      <x:c r="AE441" s="52" t="str">
        <x:v>0.7</x:v>
      </x:c>
    </x:row>
    <x:row r="442">
      <x:c r="A442" s="51" t="str">
        <x:v>M4-REPAIR-441</x:v>
      </x:c>
      <x:c r="B442" s="20" t="str">
        <x:v>SM11 日支主气／日柱近位｜修复修正</x:v>
      </x:c>
      <x:c r="C442" s="20" t="str">
        <x:v>L9 状态、位置与动态修正</x:v>
      </x:c>
      <x:c r="D442" s="20" t="str">
        <x:v>REPAIR-状态修正</x:v>
      </x:c>
      <x:c r="E442" s="20" t="str">
        <x:v>通用</x:v>
      </x:c>
      <x:c r="F442" s="20" t="str">
        <x:v>状态</x:v>
      </x:c>
      <x:c r="G442" s="20" t="str">
        <x:v>SM11</x:v>
      </x:c>
      <x:c r="H442" s="20" t="str"/>
      <x:c r="I442" s="20" t="str">
        <x:v>修复功能更易进入亲密关系核心</x:v>
      </x:c>
      <x:c r="J442" s="20" t="str">
        <x:v>同一日支事实不能跨模块重复计分</x:v>
      </x:c>
      <x:c r="K442" s="20" t="str">
        <x:v>由共享基础引擎提供；仅修正修复功能的承载、持续与压力占位，不直接等同是否愿意认错或能否修复。</x:v>
      </x:c>
      <x:c r="L442" s="20" t="str">
        <x:v>由M1／M2提供；夫妻星只说明伴侣原型与关系资格，不单独证明修复能力、修复意愿或修复结果。</x:v>
      </x:c>
      <x:c r="M442" s="20" t="str">
        <x:v>由M3-BASE提供；日支底盘说明亲密关系中自然调用的功能，但不能单独证明修复闭环。</x:v>
      </x:c>
      <x:c r="N442" s="20" t="str">
        <x:v>由M3-CONFLICT、M4-LOOP及现实事件提供；必须区分问题停止、责任承担、影响确认、行动改变、反馈整合与后续回访。</x:v>
      </x:c>
      <x:c r="O442" s="20" t="str">
        <x:v>由共享基础引擎判定；近位提高相关功能进入亲密关系核心的概率，远位只作背景或阶段修正。</x:v>
      </x:c>
      <x:c r="P442" s="20" t="str">
        <x:v>根气只修正某修复功能是否容易重复调用，不等于现实中已经持续改变。</x:v>
      </x:c>
      <x:c r="Q442" s="20" t="str">
        <x:v>旺弱只修正功能调用强度与占位，不直接等同修复质量、诚意或关系结果。</x:v>
      </x:c>
      <x:c r="R442" s="20" t="str">
        <x:v>喜忌只修正功能摩擦、平衡与承载，不直接等同道德、成熟、善恶或是否值得原谅。</x:v>
      </x:c>
      <x:c r="S442" s="20" t="str">
        <x:v>原十神功能有效；真合化成立时按化神功能替换，合化争议时停止定性。</x:v>
      </x:c>
      <x:c r="T442" s="20" t="str">
        <x:v>近位提高修复议题与亲密关系的直接相关性；远位仅保留背景、阶段或低置信修正。</x:v>
      </x:c>
      <x:c r="U442" s="20" t="str">
        <x:v>70</x:v>
      </x:c>
      <x:c r="V442" s="20" t="str">
        <x:v>±2至±6；单独不得建立E2以上</x:v>
      </x:c>
      <x:c r="W442" s="20" t="str">
        <x:v>state_modifier</x:v>
      </x:c>
      <x:c r="X442" s="20" t="str">
        <x:v>状态只修正功能可见度、持续性和占位，不决定修复完成。</x:v>
      </x:c>
      <x:c r="Y442" s="20" t="str">
        <x:v>日支主气／日柱近位时：修复功能更易进入亲密关系核心。</x:v>
      </x:c>
      <x:c r="Z44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2" s="20" t="str">
        <x:v>中</x:v>
      </x:c>
      <x:c r="AB442" s="20" t="str">
        <x:v>待验证</x:v>
      </x:c>
      <x:c r="AC442" s="20" t="str"/>
      <x:c r="AD442" s="20" t="str">
        <x:v>provisional=true；M3-REPAIR尚未完成，完成条件为暂定功能模型。</x:v>
      </x:c>
      <x:c r="AE442" s="52" t="str">
        <x:v>0.7</x:v>
      </x:c>
    </x:row>
    <x:row r="443">
      <x:c r="A443" s="51" t="str">
        <x:v>M4-REPAIR-442</x:v>
      </x:c>
      <x:c r="B443" s="20" t="str">
        <x:v>SM11 日支主气／日柱近位｜使用边界</x:v>
      </x:c>
      <x:c r="C443" s="20" t="str">
        <x:v>L9 状态、位置与动态修正</x:v>
      </x:c>
      <x:c r="D443" s="20" t="str">
        <x:v>REPAIR-状态修正</x:v>
      </x:c>
      <x:c r="E443" s="20" t="str">
        <x:v>通用</x:v>
      </x:c>
      <x:c r="F443" s="20" t="str">
        <x:v>边界</x:v>
      </x:c>
      <x:c r="G443" s="20" t="str">
        <x:v>SM11</x:v>
      </x:c>
      <x:c r="H443" s="20" t="str"/>
      <x:c r="I443" s="20" t="str">
        <x:v>与现实修复事件、节点和反馈共同使用。</x:v>
      </x:c>
      <x:c r="J443" s="20" t="str">
        <x:v>同一日支事实不能跨模块重复计分</x:v>
      </x:c>
      <x:c r="K443" s="20" t="str">
        <x:v>由共享基础引擎提供；仅修正修复功能的承载、持续与压力占位，不直接等同是否愿意认错或能否修复。</x:v>
      </x:c>
      <x:c r="L443" s="20" t="str">
        <x:v>由M1／M2提供；夫妻星只说明伴侣原型与关系资格，不单独证明修复能力、修复意愿或修复结果。</x:v>
      </x:c>
      <x:c r="M443" s="20" t="str">
        <x:v>由M3-BASE提供；日支底盘说明亲密关系中自然调用的功能，但不能单独证明修复闭环。</x:v>
      </x:c>
      <x:c r="N443" s="20" t="str">
        <x:v>由M3-CONFLICT、M4-LOOP及现实事件提供；必须区分问题停止、责任承担、影响确认、行动改变、反馈整合与后续回访。</x:v>
      </x:c>
      <x:c r="O443" s="20" t="str">
        <x:v>由共享基础引擎判定；近位提高相关功能进入亲密关系核心的概率，远位只作背景或阶段修正。</x:v>
      </x:c>
      <x:c r="P443" s="20" t="str">
        <x:v>根气只修正某修复功能是否容易重复调用，不等于现实中已经持续改变。</x:v>
      </x:c>
      <x:c r="Q443" s="20" t="str">
        <x:v>旺弱只修正功能调用强度与占位，不直接等同修复质量、诚意或关系结果。</x:v>
      </x:c>
      <x:c r="R443" s="20" t="str">
        <x:v>喜忌只修正功能摩擦、平衡与承载，不直接等同道德、成熟、善恶或是否值得原谅。</x:v>
      </x:c>
      <x:c r="S443" s="20" t="str">
        <x:v>原十神功能有效；真合化成立时按化神功能替换，合化争议时停止定性。</x:v>
      </x:c>
      <x:c r="T443" s="20" t="str">
        <x:v>近位提高修复议题与亲密关系的直接相关性；远位仅保留背景、阶段或低置信修正。</x:v>
      </x:c>
      <x:c r="U443" s="20" t="str">
        <x:v>90</x:v>
      </x:c>
      <x:c r="V443" s="20" t="str">
        <x:v>边界门控</x:v>
      </x:c>
      <x:c r="W443" s="20" t="str">
        <x:v>boundary_note</x:v>
      </x:c>
      <x:c r="X443" s="20" t="str">
        <x:v>同一日支事实不能跨模块重复计分</x:v>
      </x:c>
      <x:c r="Y443" s="20" t="str">
        <x:v>使用边界：同一日支事实不能跨模块重复计分。</x:v>
      </x:c>
      <x:c r="Z44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3" s="20" t="str">
        <x:v>高</x:v>
      </x:c>
      <x:c r="AB443" s="20" t="str">
        <x:v>待验证</x:v>
      </x:c>
      <x:c r="AC443" s="20" t="str"/>
      <x:c r="AD443" s="20" t="str">
        <x:v>provisional=true；M3-REPAIR尚未完成，完成条件为暂定功能模型。</x:v>
      </x:c>
      <x:c r="AE443" s="52" t="str">
        <x:v>0.7</x:v>
      </x:c>
    </x:row>
    <x:row r="444">
      <x:c r="A444" s="51" t="str">
        <x:v>M4-REPAIR-443</x:v>
      </x:c>
      <x:c r="B444" s="20" t="str">
        <x:v>SM12 中气有效｜修复修正</x:v>
      </x:c>
      <x:c r="C444" s="20" t="str">
        <x:v>L9 状态、位置与动态修正</x:v>
      </x:c>
      <x:c r="D444" s="20" t="str">
        <x:v>REPAIR-状态修正</x:v>
      </x:c>
      <x:c r="E444" s="20" t="str">
        <x:v>通用</x:v>
      </x:c>
      <x:c r="F444" s="20" t="str">
        <x:v>状态</x:v>
      </x:c>
      <x:c r="G444" s="20" t="str">
        <x:v>SM12</x:v>
      </x:c>
      <x:c r="H444" s="20" t="str"/>
      <x:c r="I444" s="20" t="str">
        <x:v>可作为第二修复通道或调节因素</x:v>
      </x:c>
      <x:c r="J444" s="20" t="str">
        <x:v>不能与主气平铺同权</x:v>
      </x:c>
      <x:c r="K444" s="20" t="str">
        <x:v>由共享基础引擎提供；仅修正修复功能的承载、持续与压力占位，不直接等同是否愿意认错或能否修复。</x:v>
      </x:c>
      <x:c r="L444" s="20" t="str">
        <x:v>由M1／M2提供；夫妻星只说明伴侣原型与关系资格，不单独证明修复能力、修复意愿或修复结果。</x:v>
      </x:c>
      <x:c r="M444" s="20" t="str">
        <x:v>由M3-BASE提供；日支底盘说明亲密关系中自然调用的功能，但不能单独证明修复闭环。</x:v>
      </x:c>
      <x:c r="N444" s="20" t="str">
        <x:v>由M3-CONFLICT、M4-LOOP及现实事件提供；必须区分问题停止、责任承担、影响确认、行动改变、反馈整合与后续回访。</x:v>
      </x:c>
      <x:c r="O444" s="20" t="str">
        <x:v>由共享基础引擎判定；近位提高相关功能进入亲密关系核心的概率，远位只作背景或阶段修正。</x:v>
      </x:c>
      <x:c r="P444" s="20" t="str">
        <x:v>根气只修正某修复功能是否容易重复调用，不等于现实中已经持续改变。</x:v>
      </x:c>
      <x:c r="Q444" s="20" t="str">
        <x:v>旺弱只修正功能调用强度与占位，不直接等同修复质量、诚意或关系结果。</x:v>
      </x:c>
      <x:c r="R444" s="20" t="str">
        <x:v>喜忌只修正功能摩擦、平衡与承载，不直接等同道德、成熟、善恶或是否值得原谅。</x:v>
      </x:c>
      <x:c r="S444" s="20" t="str">
        <x:v>原十神功能有效；真合化成立时按化神功能替换，合化争议时停止定性。</x:v>
      </x:c>
      <x:c r="T444" s="20" t="str">
        <x:v>近位提高修复议题与亲密关系的直接相关性；远位仅保留背景、阶段或低置信修正。</x:v>
      </x:c>
      <x:c r="U444" s="20" t="str">
        <x:v>70</x:v>
      </x:c>
      <x:c r="V444" s="20" t="str">
        <x:v>±2至±6；单独不得建立E2以上</x:v>
      </x:c>
      <x:c r="W444" s="20" t="str">
        <x:v>state_modifier</x:v>
      </x:c>
      <x:c r="X444" s="20" t="str">
        <x:v>状态只修正功能可见度、持续性和占位，不决定修复完成。</x:v>
      </x:c>
      <x:c r="Y444" s="20" t="str">
        <x:v>中气有效时：可作为第二修复通道或调节因素。</x:v>
      </x:c>
      <x:c r="Z44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4" s="20" t="str">
        <x:v>中</x:v>
      </x:c>
      <x:c r="AB444" s="20" t="str">
        <x:v>待验证</x:v>
      </x:c>
      <x:c r="AC444" s="20" t="str"/>
      <x:c r="AD444" s="20" t="str">
        <x:v>provisional=true；M3-REPAIR尚未完成，完成条件为暂定功能模型。</x:v>
      </x:c>
      <x:c r="AE444" s="52" t="str">
        <x:v>0.7</x:v>
      </x:c>
    </x:row>
    <x:row r="445">
      <x:c r="A445" s="51" t="str">
        <x:v>M4-REPAIR-444</x:v>
      </x:c>
      <x:c r="B445" s="20" t="str">
        <x:v>SM12 中气有效｜使用边界</x:v>
      </x:c>
      <x:c r="C445" s="20" t="str">
        <x:v>L9 状态、位置与动态修正</x:v>
      </x:c>
      <x:c r="D445" s="20" t="str">
        <x:v>REPAIR-状态修正</x:v>
      </x:c>
      <x:c r="E445" s="20" t="str">
        <x:v>通用</x:v>
      </x:c>
      <x:c r="F445" s="20" t="str">
        <x:v>边界</x:v>
      </x:c>
      <x:c r="G445" s="20" t="str">
        <x:v>SM12</x:v>
      </x:c>
      <x:c r="H445" s="20" t="str"/>
      <x:c r="I445" s="20" t="str">
        <x:v>与现实修复事件、节点和反馈共同使用。</x:v>
      </x:c>
      <x:c r="J445" s="20" t="str">
        <x:v>不能与主气平铺同权</x:v>
      </x:c>
      <x:c r="K445" s="20" t="str">
        <x:v>由共享基础引擎提供；仅修正修复功能的承载、持续与压力占位，不直接等同是否愿意认错或能否修复。</x:v>
      </x:c>
      <x:c r="L445" s="20" t="str">
        <x:v>由M1／M2提供；夫妻星只说明伴侣原型与关系资格，不单独证明修复能力、修复意愿或修复结果。</x:v>
      </x:c>
      <x:c r="M445" s="20" t="str">
        <x:v>由M3-BASE提供；日支底盘说明亲密关系中自然调用的功能，但不能单独证明修复闭环。</x:v>
      </x:c>
      <x:c r="N445" s="20" t="str">
        <x:v>由M3-CONFLICT、M4-LOOP及现实事件提供；必须区分问题停止、责任承担、影响确认、行动改变、反馈整合与后续回访。</x:v>
      </x:c>
      <x:c r="O445" s="20" t="str">
        <x:v>由共享基础引擎判定；近位提高相关功能进入亲密关系核心的概率，远位只作背景或阶段修正。</x:v>
      </x:c>
      <x:c r="P445" s="20" t="str">
        <x:v>根气只修正某修复功能是否容易重复调用，不等于现实中已经持续改变。</x:v>
      </x:c>
      <x:c r="Q445" s="20" t="str">
        <x:v>旺弱只修正功能调用强度与占位，不直接等同修复质量、诚意或关系结果。</x:v>
      </x:c>
      <x:c r="R445" s="20" t="str">
        <x:v>喜忌只修正功能摩擦、平衡与承载，不直接等同道德、成熟、善恶或是否值得原谅。</x:v>
      </x:c>
      <x:c r="S445" s="20" t="str">
        <x:v>原十神功能有效；真合化成立时按化神功能替换，合化争议时停止定性。</x:v>
      </x:c>
      <x:c r="T445" s="20" t="str">
        <x:v>近位提高修复议题与亲密关系的直接相关性；远位仅保留背景、阶段或低置信修正。</x:v>
      </x:c>
      <x:c r="U445" s="20" t="str">
        <x:v>90</x:v>
      </x:c>
      <x:c r="V445" s="20" t="str">
        <x:v>边界门控</x:v>
      </x:c>
      <x:c r="W445" s="20" t="str">
        <x:v>boundary_note</x:v>
      </x:c>
      <x:c r="X445" s="20" t="str">
        <x:v>不能与主气平铺同权</x:v>
      </x:c>
      <x:c r="Y445" s="20" t="str">
        <x:v>使用边界：不能与主气平铺同权。</x:v>
      </x:c>
      <x:c r="Z44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5" s="20" t="str">
        <x:v>高</x:v>
      </x:c>
      <x:c r="AB445" s="20" t="str">
        <x:v>待验证</x:v>
      </x:c>
      <x:c r="AC445" s="20" t="str"/>
      <x:c r="AD445" s="20" t="str">
        <x:v>provisional=true；M3-REPAIR尚未完成，完成条件为暂定功能模型。</x:v>
      </x:c>
      <x:c r="AE445" s="52" t="str">
        <x:v>0.7</x:v>
      </x:c>
    </x:row>
    <x:row r="446">
      <x:c r="A446" s="51" t="str">
        <x:v>M4-REPAIR-445</x:v>
      </x:c>
      <x:c r="B446" s="20" t="str">
        <x:v>SM13 余气有效｜修复修正</x:v>
      </x:c>
      <x:c r="C446" s="20" t="str">
        <x:v>L9 状态、位置与动态修正</x:v>
      </x:c>
      <x:c r="D446" s="20" t="str">
        <x:v>REPAIR-状态修正</x:v>
      </x:c>
      <x:c r="E446" s="20" t="str">
        <x:v>通用</x:v>
      </x:c>
      <x:c r="F446" s="20" t="str">
        <x:v>状态</x:v>
      </x:c>
      <x:c r="G446" s="20" t="str">
        <x:v>SM13</x:v>
      </x:c>
      <x:c r="H446" s="20" t="str"/>
      <x:c r="I446" s="20" t="str">
        <x:v>只作背景、特定情境或恢复阶段候选</x:v>
      </x:c>
      <x:c r="J446" s="20" t="str">
        <x:v>没有独立证据不得进入正文</x:v>
      </x:c>
      <x:c r="K446" s="20" t="str">
        <x:v>由共享基础引擎提供；仅修正修复功能的承载、持续与压力占位，不直接等同是否愿意认错或能否修复。</x:v>
      </x:c>
      <x:c r="L446" s="20" t="str">
        <x:v>由M1／M2提供；夫妻星只说明伴侣原型与关系资格，不单独证明修复能力、修复意愿或修复结果。</x:v>
      </x:c>
      <x:c r="M446" s="20" t="str">
        <x:v>由M3-BASE提供；日支底盘说明亲密关系中自然调用的功能，但不能单独证明修复闭环。</x:v>
      </x:c>
      <x:c r="N446" s="20" t="str">
        <x:v>由M3-CONFLICT、M4-LOOP及现实事件提供；必须区分问题停止、责任承担、影响确认、行动改变、反馈整合与后续回访。</x:v>
      </x:c>
      <x:c r="O446" s="20" t="str">
        <x:v>由共享基础引擎判定；近位提高相关功能进入亲密关系核心的概率，远位只作背景或阶段修正。</x:v>
      </x:c>
      <x:c r="P446" s="20" t="str">
        <x:v>根气只修正某修复功能是否容易重复调用，不等于现实中已经持续改变。</x:v>
      </x:c>
      <x:c r="Q446" s="20" t="str">
        <x:v>旺弱只修正功能调用强度与占位，不直接等同修复质量、诚意或关系结果。</x:v>
      </x:c>
      <x:c r="R446" s="20" t="str">
        <x:v>喜忌只修正功能摩擦、平衡与承载，不直接等同道德、成熟、善恶或是否值得原谅。</x:v>
      </x:c>
      <x:c r="S446" s="20" t="str">
        <x:v>原十神功能有效；真合化成立时按化神功能替换，合化争议时停止定性。</x:v>
      </x:c>
      <x:c r="T446" s="20" t="str">
        <x:v>近位提高修复议题与亲密关系的直接相关性；远位仅保留背景、阶段或低置信修正。</x:v>
      </x:c>
      <x:c r="U446" s="20" t="str">
        <x:v>70</x:v>
      </x:c>
      <x:c r="V446" s="20" t="str">
        <x:v>±2至±6；单独不得建立E2以上</x:v>
      </x:c>
      <x:c r="W446" s="20" t="str">
        <x:v>state_modifier</x:v>
      </x:c>
      <x:c r="X446" s="20" t="str">
        <x:v>状态只修正功能可见度、持续性和占位，不决定修复完成。</x:v>
      </x:c>
      <x:c r="Y446" s="20" t="str">
        <x:v>余气有效时：只作背景、特定情境或恢复阶段候选。</x:v>
      </x:c>
      <x:c r="Z44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6" s="20" t="str">
        <x:v>中</x:v>
      </x:c>
      <x:c r="AB446" s="20" t="str">
        <x:v>待验证</x:v>
      </x:c>
      <x:c r="AC446" s="20" t="str"/>
      <x:c r="AD446" s="20" t="str">
        <x:v>provisional=true；M3-REPAIR尚未完成，完成条件为暂定功能模型。</x:v>
      </x:c>
      <x:c r="AE446" s="52" t="str">
        <x:v>0.7</x:v>
      </x:c>
    </x:row>
    <x:row r="447">
      <x:c r="A447" s="51" t="str">
        <x:v>M4-REPAIR-446</x:v>
      </x:c>
      <x:c r="B447" s="20" t="str">
        <x:v>SM13 余气有效｜使用边界</x:v>
      </x:c>
      <x:c r="C447" s="20" t="str">
        <x:v>L9 状态、位置与动态修正</x:v>
      </x:c>
      <x:c r="D447" s="20" t="str">
        <x:v>REPAIR-状态修正</x:v>
      </x:c>
      <x:c r="E447" s="20" t="str">
        <x:v>通用</x:v>
      </x:c>
      <x:c r="F447" s="20" t="str">
        <x:v>边界</x:v>
      </x:c>
      <x:c r="G447" s="20" t="str">
        <x:v>SM13</x:v>
      </x:c>
      <x:c r="H447" s="20" t="str"/>
      <x:c r="I447" s="20" t="str">
        <x:v>与现实修复事件、节点和反馈共同使用。</x:v>
      </x:c>
      <x:c r="J447" s="20" t="str">
        <x:v>没有独立证据不得进入正文</x:v>
      </x:c>
      <x:c r="K447" s="20" t="str">
        <x:v>由共享基础引擎提供；仅修正修复功能的承载、持续与压力占位，不直接等同是否愿意认错或能否修复。</x:v>
      </x:c>
      <x:c r="L447" s="20" t="str">
        <x:v>由M1／M2提供；夫妻星只说明伴侣原型与关系资格，不单独证明修复能力、修复意愿或修复结果。</x:v>
      </x:c>
      <x:c r="M447" s="20" t="str">
        <x:v>由M3-BASE提供；日支底盘说明亲密关系中自然调用的功能，但不能单独证明修复闭环。</x:v>
      </x:c>
      <x:c r="N447" s="20" t="str">
        <x:v>由M3-CONFLICT、M4-LOOP及现实事件提供；必须区分问题停止、责任承担、影响确认、行动改变、反馈整合与后续回访。</x:v>
      </x:c>
      <x:c r="O447" s="20" t="str">
        <x:v>由共享基础引擎判定；近位提高相关功能进入亲密关系核心的概率，远位只作背景或阶段修正。</x:v>
      </x:c>
      <x:c r="P447" s="20" t="str">
        <x:v>根气只修正某修复功能是否容易重复调用，不等于现实中已经持续改变。</x:v>
      </x:c>
      <x:c r="Q447" s="20" t="str">
        <x:v>旺弱只修正功能调用强度与占位，不直接等同修复质量、诚意或关系结果。</x:v>
      </x:c>
      <x:c r="R447" s="20" t="str">
        <x:v>喜忌只修正功能摩擦、平衡与承载，不直接等同道德、成熟、善恶或是否值得原谅。</x:v>
      </x:c>
      <x:c r="S447" s="20" t="str">
        <x:v>原十神功能有效；真合化成立时按化神功能替换，合化争议时停止定性。</x:v>
      </x:c>
      <x:c r="T447" s="20" t="str">
        <x:v>近位提高修复议题与亲密关系的直接相关性；远位仅保留背景、阶段或低置信修正。</x:v>
      </x:c>
      <x:c r="U447" s="20" t="str">
        <x:v>90</x:v>
      </x:c>
      <x:c r="V447" s="20" t="str">
        <x:v>边界门控</x:v>
      </x:c>
      <x:c r="W447" s="20" t="str">
        <x:v>boundary_note</x:v>
      </x:c>
      <x:c r="X447" s="20" t="str">
        <x:v>没有独立证据不得进入正文</x:v>
      </x:c>
      <x:c r="Y447" s="20" t="str">
        <x:v>使用边界：没有独立证据不得进入正文。</x:v>
      </x:c>
      <x:c r="Z44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7" s="20" t="str">
        <x:v>高</x:v>
      </x:c>
      <x:c r="AB447" s="20" t="str">
        <x:v>待验证</x:v>
      </x:c>
      <x:c r="AC447" s="20" t="str"/>
      <x:c r="AD447" s="20" t="str">
        <x:v>provisional=true；M3-REPAIR尚未完成，完成条件为暂定功能模型。</x:v>
      </x:c>
      <x:c r="AE447" s="52" t="str">
        <x:v>0.7</x:v>
      </x:c>
    </x:row>
    <x:row r="448">
      <x:c r="A448" s="51" t="str">
        <x:v>M4-REPAIR-447</x:v>
      </x:c>
      <x:c r="B448" s="20" t="str">
        <x:v>SM14 合冲刑害破｜修复修正</x:v>
      </x:c>
      <x:c r="C448" s="20" t="str">
        <x:v>L9 状态、位置与动态修正</x:v>
      </x:c>
      <x:c r="D448" s="20" t="str">
        <x:v>REPAIR-状态修正</x:v>
      </x:c>
      <x:c r="E448" s="20" t="str">
        <x:v>通用</x:v>
      </x:c>
      <x:c r="F448" s="20" t="str">
        <x:v>状态</x:v>
      </x:c>
      <x:c r="G448" s="20" t="str">
        <x:v>SM14</x:v>
      </x:c>
      <x:c r="H448" s="20" t="str"/>
      <x:c r="I448" s="20" t="str">
        <x:v>只修正议题牵连、切换、反复校正、隐性错位或旧方案重组</x:v>
      </x:c>
      <x:c r="J448" s="20" t="str">
        <x:v>不得直接推出修复失败或关系破裂</x:v>
      </x:c>
      <x:c r="K448" s="20" t="str">
        <x:v>由共享基础引擎提供；仅修正修复功能的承载、持续与压力占位，不直接等同是否愿意认错或能否修复。</x:v>
      </x:c>
      <x:c r="L448" s="20" t="str">
        <x:v>由M1／M2提供；夫妻星只说明伴侣原型与关系资格，不单独证明修复能力、修复意愿或修复结果。</x:v>
      </x:c>
      <x:c r="M448" s="20" t="str">
        <x:v>由M3-BASE提供；日支底盘说明亲密关系中自然调用的功能，但不能单独证明修复闭环。</x:v>
      </x:c>
      <x:c r="N448" s="20" t="str">
        <x:v>由M3-CONFLICT、M4-LOOP及现实事件提供；必须区分问题停止、责任承担、影响确认、行动改变、反馈整合与后续回访。</x:v>
      </x:c>
      <x:c r="O448" s="20" t="str">
        <x:v>由共享基础引擎判定；近位提高相关功能进入亲密关系核心的概率，远位只作背景或阶段修正。</x:v>
      </x:c>
      <x:c r="P448" s="20" t="str">
        <x:v>根气只修正某修复功能是否容易重复调用，不等于现实中已经持续改变。</x:v>
      </x:c>
      <x:c r="Q448" s="20" t="str">
        <x:v>旺弱只修正功能调用强度与占位，不直接等同修复质量、诚意或关系结果。</x:v>
      </x:c>
      <x:c r="R448" s="20" t="str">
        <x:v>喜忌只修正功能摩擦、平衡与承载，不直接等同道德、成熟、善恶或是否值得原谅。</x:v>
      </x:c>
      <x:c r="S448" s="20" t="str">
        <x:v>原十神功能有效；真合化成立时按化神功能替换，合化争议时停止定性。</x:v>
      </x:c>
      <x:c r="T448" s="20" t="str">
        <x:v>近位提高修复议题与亲密关系的直接相关性；远位仅保留背景、阶段或低置信修正。</x:v>
      </x:c>
      <x:c r="U448" s="20" t="str">
        <x:v>70</x:v>
      </x:c>
      <x:c r="V448" s="20" t="str">
        <x:v>±2至±6；单独不得建立E2以上</x:v>
      </x:c>
      <x:c r="W448" s="20" t="str">
        <x:v>state_modifier</x:v>
      </x:c>
      <x:c r="X448" s="20" t="str">
        <x:v>状态只修正功能可见度、持续性和占位，不决定修复完成。</x:v>
      </x:c>
      <x:c r="Y448" s="20" t="str">
        <x:v>合冲刑害破时：只修正议题牵连、切换、反复校正、隐性错位或旧方案重组。</x:v>
      </x:c>
      <x:c r="Z44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8" s="20" t="str">
        <x:v>中</x:v>
      </x:c>
      <x:c r="AB448" s="20" t="str">
        <x:v>待验证</x:v>
      </x:c>
      <x:c r="AC448" s="20" t="str"/>
      <x:c r="AD448" s="20" t="str">
        <x:v>provisional=true；M3-REPAIR尚未完成，完成条件为暂定功能模型。</x:v>
      </x:c>
      <x:c r="AE448" s="52" t="str">
        <x:v>0.7</x:v>
      </x:c>
    </x:row>
    <x:row r="449">
      <x:c r="A449" s="51" t="str">
        <x:v>M4-REPAIR-448</x:v>
      </x:c>
      <x:c r="B449" s="20" t="str">
        <x:v>SM14 合冲刑害破｜使用边界</x:v>
      </x:c>
      <x:c r="C449" s="20" t="str">
        <x:v>L9 状态、位置与动态修正</x:v>
      </x:c>
      <x:c r="D449" s="20" t="str">
        <x:v>REPAIR-状态修正</x:v>
      </x:c>
      <x:c r="E449" s="20" t="str">
        <x:v>通用</x:v>
      </x:c>
      <x:c r="F449" s="20" t="str">
        <x:v>边界</x:v>
      </x:c>
      <x:c r="G449" s="20" t="str">
        <x:v>SM14</x:v>
      </x:c>
      <x:c r="H449" s="20" t="str"/>
      <x:c r="I449" s="20" t="str">
        <x:v>与现实修复事件、节点和反馈共同使用。</x:v>
      </x:c>
      <x:c r="J449" s="20" t="str">
        <x:v>不得直接推出修复失败或关系破裂</x:v>
      </x:c>
      <x:c r="K449" s="20" t="str">
        <x:v>由共享基础引擎提供；仅修正修复功能的承载、持续与压力占位，不直接等同是否愿意认错或能否修复。</x:v>
      </x:c>
      <x:c r="L449" s="20" t="str">
        <x:v>由M1／M2提供；夫妻星只说明伴侣原型与关系资格，不单独证明修复能力、修复意愿或修复结果。</x:v>
      </x:c>
      <x:c r="M449" s="20" t="str">
        <x:v>由M3-BASE提供；日支底盘说明亲密关系中自然调用的功能，但不能单独证明修复闭环。</x:v>
      </x:c>
      <x:c r="N449" s="20" t="str">
        <x:v>由M3-CONFLICT、M4-LOOP及现实事件提供；必须区分问题停止、责任承担、影响确认、行动改变、反馈整合与后续回访。</x:v>
      </x:c>
      <x:c r="O449" s="20" t="str">
        <x:v>由共享基础引擎判定；近位提高相关功能进入亲密关系核心的概率，远位只作背景或阶段修正。</x:v>
      </x:c>
      <x:c r="P449" s="20" t="str">
        <x:v>根气只修正某修复功能是否容易重复调用，不等于现实中已经持续改变。</x:v>
      </x:c>
      <x:c r="Q449" s="20" t="str">
        <x:v>旺弱只修正功能调用强度与占位，不直接等同修复质量、诚意或关系结果。</x:v>
      </x:c>
      <x:c r="R449" s="20" t="str">
        <x:v>喜忌只修正功能摩擦、平衡与承载，不直接等同道德、成熟、善恶或是否值得原谅。</x:v>
      </x:c>
      <x:c r="S449" s="20" t="str">
        <x:v>原十神功能有效；真合化成立时按化神功能替换，合化争议时停止定性。</x:v>
      </x:c>
      <x:c r="T449" s="20" t="str">
        <x:v>近位提高修复议题与亲密关系的直接相关性；远位仅保留背景、阶段或低置信修正。</x:v>
      </x:c>
      <x:c r="U449" s="20" t="str">
        <x:v>90</x:v>
      </x:c>
      <x:c r="V449" s="20" t="str">
        <x:v>边界门控</x:v>
      </x:c>
      <x:c r="W449" s="20" t="str">
        <x:v>boundary_note</x:v>
      </x:c>
      <x:c r="X449" s="20" t="str">
        <x:v>不得直接推出修复失败或关系破裂</x:v>
      </x:c>
      <x:c r="Y449" s="20" t="str">
        <x:v>使用边界：不得直接推出修复失败或关系破裂。</x:v>
      </x:c>
      <x:c r="Z44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49" s="20" t="str">
        <x:v>高</x:v>
      </x:c>
      <x:c r="AB449" s="20" t="str">
        <x:v>待验证</x:v>
      </x:c>
      <x:c r="AC449" s="20" t="str"/>
      <x:c r="AD449" s="20" t="str">
        <x:v>provisional=true；M3-REPAIR尚未完成，完成条件为暂定功能模型。</x:v>
      </x:c>
      <x:c r="AE449" s="52" t="str">
        <x:v>0.7</x:v>
      </x:c>
    </x:row>
    <x:row r="450">
      <x:c r="A450" s="51" t="str">
        <x:v>M4-REPAIR-449</x:v>
      </x:c>
      <x:c r="B450" s="20" t="str">
        <x:v>SM15 真合化成立｜修复修正</x:v>
      </x:c>
      <x:c r="C450" s="20" t="str">
        <x:v>L9 状态、位置与动态修正</x:v>
      </x:c>
      <x:c r="D450" s="20" t="str">
        <x:v>REPAIR-状态修正</x:v>
      </x:c>
      <x:c r="E450" s="20" t="str">
        <x:v>通用</x:v>
      </x:c>
      <x:c r="F450" s="20" t="str">
        <x:v>状态</x:v>
      </x:c>
      <x:c r="G450" s="20" t="str">
        <x:v>SM15</x:v>
      </x:c>
      <x:c r="H450" s="20" t="str"/>
      <x:c r="I450" s="20" t="str">
        <x:v>原通道清零，按化神系统重新路由修复功能</x:v>
      </x:c>
      <x:c r="J450" s="20" t="str">
        <x:v>原十神与化神不能并列满分</x:v>
      </x:c>
      <x:c r="K450" s="20" t="str">
        <x:v>由共享基础引擎提供；仅修正修复功能的承载、持续与压力占位，不直接等同是否愿意认错或能否修复。</x:v>
      </x:c>
      <x:c r="L450" s="20" t="str">
        <x:v>由M1／M2提供；夫妻星只说明伴侣原型与关系资格，不单独证明修复能力、修复意愿或修复结果。</x:v>
      </x:c>
      <x:c r="M450" s="20" t="str">
        <x:v>由M3-BASE提供；日支底盘说明亲密关系中自然调用的功能，但不能单独证明修复闭环。</x:v>
      </x:c>
      <x:c r="N450" s="20" t="str">
        <x:v>由M3-CONFLICT、M4-LOOP及现实事件提供；必须区分问题停止、责任承担、影响确认、行动改变、反馈整合与后续回访。</x:v>
      </x:c>
      <x:c r="O450" s="20" t="str">
        <x:v>由共享基础引擎判定；近位提高相关功能进入亲密关系核心的概率，远位只作背景或阶段修正。</x:v>
      </x:c>
      <x:c r="P450" s="20" t="str">
        <x:v>根气只修正某修复功能是否容易重复调用，不等于现实中已经持续改变。</x:v>
      </x:c>
      <x:c r="Q450" s="20" t="str">
        <x:v>旺弱只修正功能调用强度与占位，不直接等同修复质量、诚意或关系结果。</x:v>
      </x:c>
      <x:c r="R450" s="20" t="str">
        <x:v>喜忌只修正功能摩擦、平衡与承载，不直接等同道德、成熟、善恶或是否值得原谅。</x:v>
      </x:c>
      <x:c r="S450" s="20" t="str">
        <x:v>原十神功能有效；真合化成立时按化神功能替换，合化争议时停止定性。</x:v>
      </x:c>
      <x:c r="T450" s="20" t="str">
        <x:v>近位提高修复议题与亲密关系的直接相关性；远位仅保留背景、阶段或低置信修正。</x:v>
      </x:c>
      <x:c r="U450" s="20" t="str">
        <x:v>70</x:v>
      </x:c>
      <x:c r="V450" s="20" t="str">
        <x:v>±2至±6；单独不得建立E2以上</x:v>
      </x:c>
      <x:c r="W450" s="20" t="str">
        <x:v>state_modifier</x:v>
      </x:c>
      <x:c r="X450" s="20" t="str">
        <x:v>状态只修正功能可见度、持续性和占位，不决定修复完成。</x:v>
      </x:c>
      <x:c r="Y450" s="20" t="str">
        <x:v>真合化成立时：原通道清零，按化神系统重新路由修复功能。</x:v>
      </x:c>
      <x:c r="Z45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0" s="20" t="str">
        <x:v>中</x:v>
      </x:c>
      <x:c r="AB450" s="20" t="str">
        <x:v>待验证</x:v>
      </x:c>
      <x:c r="AC450" s="20" t="str"/>
      <x:c r="AD450" s="20" t="str">
        <x:v>provisional=true；M3-REPAIR尚未完成，完成条件为暂定功能模型。</x:v>
      </x:c>
      <x:c r="AE450" s="52" t="str">
        <x:v>0.7</x:v>
      </x:c>
    </x:row>
    <x:row r="451">
      <x:c r="A451" s="51" t="str">
        <x:v>M4-REPAIR-450</x:v>
      </x:c>
      <x:c r="B451" s="20" t="str">
        <x:v>SM15 真合化成立｜使用边界</x:v>
      </x:c>
      <x:c r="C451" s="20" t="str">
        <x:v>L9 状态、位置与动态修正</x:v>
      </x:c>
      <x:c r="D451" s="20" t="str">
        <x:v>REPAIR-状态修正</x:v>
      </x:c>
      <x:c r="E451" s="20" t="str">
        <x:v>通用</x:v>
      </x:c>
      <x:c r="F451" s="20" t="str">
        <x:v>边界</x:v>
      </x:c>
      <x:c r="G451" s="20" t="str">
        <x:v>SM15</x:v>
      </x:c>
      <x:c r="H451" s="20" t="str"/>
      <x:c r="I451" s="20" t="str">
        <x:v>与现实修复事件、节点和反馈共同使用。</x:v>
      </x:c>
      <x:c r="J451" s="20" t="str">
        <x:v>原十神与化神不能并列满分</x:v>
      </x:c>
      <x:c r="K451" s="20" t="str">
        <x:v>由共享基础引擎提供；仅修正修复功能的承载、持续与压力占位，不直接等同是否愿意认错或能否修复。</x:v>
      </x:c>
      <x:c r="L451" s="20" t="str">
        <x:v>由M1／M2提供；夫妻星只说明伴侣原型与关系资格，不单独证明修复能力、修复意愿或修复结果。</x:v>
      </x:c>
      <x:c r="M451" s="20" t="str">
        <x:v>由M3-BASE提供；日支底盘说明亲密关系中自然调用的功能，但不能单独证明修复闭环。</x:v>
      </x:c>
      <x:c r="N451" s="20" t="str">
        <x:v>由M3-CONFLICT、M4-LOOP及现实事件提供；必须区分问题停止、责任承担、影响确认、行动改变、反馈整合与后续回访。</x:v>
      </x:c>
      <x:c r="O451" s="20" t="str">
        <x:v>由共享基础引擎判定；近位提高相关功能进入亲密关系核心的概率，远位只作背景或阶段修正。</x:v>
      </x:c>
      <x:c r="P451" s="20" t="str">
        <x:v>根气只修正某修复功能是否容易重复调用，不等于现实中已经持续改变。</x:v>
      </x:c>
      <x:c r="Q451" s="20" t="str">
        <x:v>旺弱只修正功能调用强度与占位，不直接等同修复质量、诚意或关系结果。</x:v>
      </x:c>
      <x:c r="R451" s="20" t="str">
        <x:v>喜忌只修正功能摩擦、平衡与承载，不直接等同道德、成熟、善恶或是否值得原谅。</x:v>
      </x:c>
      <x:c r="S451" s="20" t="str">
        <x:v>原十神功能有效；真合化成立时按化神功能替换，合化争议时停止定性。</x:v>
      </x:c>
      <x:c r="T451" s="20" t="str">
        <x:v>近位提高修复议题与亲密关系的直接相关性；远位仅保留背景、阶段或低置信修正。</x:v>
      </x:c>
      <x:c r="U451" s="20" t="str">
        <x:v>90</x:v>
      </x:c>
      <x:c r="V451" s="20" t="str">
        <x:v>边界门控</x:v>
      </x:c>
      <x:c r="W451" s="20" t="str">
        <x:v>boundary_note</x:v>
      </x:c>
      <x:c r="X451" s="20" t="str">
        <x:v>原十神与化神不能并列满分</x:v>
      </x:c>
      <x:c r="Y451" s="20" t="str">
        <x:v>使用边界：原十神与化神不能并列满分。</x:v>
      </x:c>
      <x:c r="Z45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1" s="20" t="str">
        <x:v>高</x:v>
      </x:c>
      <x:c r="AB451" s="20" t="str">
        <x:v>待验证</x:v>
      </x:c>
      <x:c r="AC451" s="20" t="str"/>
      <x:c r="AD451" s="20" t="str">
        <x:v>provisional=true；M3-REPAIR尚未完成，完成条件为暂定功能模型。</x:v>
      </x:c>
      <x:c r="AE451" s="52" t="str">
        <x:v>0.7</x:v>
      </x:c>
    </x:row>
    <x:row r="452">
      <x:c r="A452" s="51" t="str">
        <x:v>M4-REPAIR-451</x:v>
      </x:c>
      <x:c r="B452" s="20" t="str">
        <x:v>SM16 阶段覆盖与现实反例｜修复修正</x:v>
      </x:c>
      <x:c r="C452" s="20" t="str">
        <x:v>L9 状态、位置与动态修正</x:v>
      </x:c>
      <x:c r="D452" s="20" t="str">
        <x:v>REPAIR-状态修正</x:v>
      </x:c>
      <x:c r="E452" s="20" t="str">
        <x:v>通用</x:v>
      </x:c>
      <x:c r="F452" s="20" t="str">
        <x:v>状态</x:v>
      </x:c>
      <x:c r="G452" s="20" t="str">
        <x:v>SM16</x:v>
      </x:c>
      <x:c r="H452" s="20" t="str"/>
      <x:c r="I452" s="20" t="str">
        <x:v>阶段提高议题显著度；反例可降低或停止候选</x:v>
      </x:c>
      <x:c r="J452" s="20" t="str">
        <x:v>阶段不能创造修复事件或替代现实资料</x:v>
      </x:c>
      <x:c r="K452" s="20" t="str">
        <x:v>由共享基础引擎提供；仅修正修复功能的承载、持续与压力占位，不直接等同是否愿意认错或能否修复。</x:v>
      </x:c>
      <x:c r="L452" s="20" t="str">
        <x:v>由M1／M2提供；夫妻星只说明伴侣原型与关系资格，不单独证明修复能力、修复意愿或修复结果。</x:v>
      </x:c>
      <x:c r="M452" s="20" t="str">
        <x:v>由M3-BASE提供；日支底盘说明亲密关系中自然调用的功能，但不能单独证明修复闭环。</x:v>
      </x:c>
      <x:c r="N452" s="20" t="str">
        <x:v>由M3-CONFLICT、M4-LOOP及现实事件提供；必须区分问题停止、责任承担、影响确认、行动改变、反馈整合与后续回访。</x:v>
      </x:c>
      <x:c r="O452" s="20" t="str">
        <x:v>由共享基础引擎判定；近位提高相关功能进入亲密关系核心的概率，远位只作背景或阶段修正。</x:v>
      </x:c>
      <x:c r="P452" s="20" t="str">
        <x:v>根气只修正某修复功能是否容易重复调用，不等于现实中已经持续改变。</x:v>
      </x:c>
      <x:c r="Q452" s="20" t="str">
        <x:v>旺弱只修正功能调用强度与占位，不直接等同修复质量、诚意或关系结果。</x:v>
      </x:c>
      <x:c r="R452" s="20" t="str">
        <x:v>喜忌只修正功能摩擦、平衡与承载，不直接等同道德、成熟、善恶或是否值得原谅。</x:v>
      </x:c>
      <x:c r="S452" s="20" t="str">
        <x:v>原十神功能有效；真合化成立时按化神功能替换，合化争议时停止定性。</x:v>
      </x:c>
      <x:c r="T452" s="20" t="str">
        <x:v>近位提高修复议题与亲密关系的直接相关性；远位仅保留背景、阶段或低置信修正。</x:v>
      </x:c>
      <x:c r="U452" s="20" t="str">
        <x:v>70</x:v>
      </x:c>
      <x:c r="V452" s="20" t="str">
        <x:v>±2至±6；单独不得建立E2以上</x:v>
      </x:c>
      <x:c r="W452" s="20" t="str">
        <x:v>state_modifier</x:v>
      </x:c>
      <x:c r="X452" s="20" t="str">
        <x:v>状态只修正功能可见度、持续性和占位，不决定修复完成。</x:v>
      </x:c>
      <x:c r="Y452" s="20" t="str">
        <x:v>阶段覆盖与现实反例时：阶段提高议题显著度；反例可降低或停止候选。</x:v>
      </x:c>
      <x:c r="Z45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2" s="20" t="str">
        <x:v>中</x:v>
      </x:c>
      <x:c r="AB452" s="20" t="str">
        <x:v>待验证</x:v>
      </x:c>
      <x:c r="AC452" s="20" t="str"/>
      <x:c r="AD452" s="20" t="str">
        <x:v>provisional=true；M3-REPAIR尚未完成，完成条件为暂定功能模型。</x:v>
      </x:c>
      <x:c r="AE452" s="52" t="str">
        <x:v>0.7</x:v>
      </x:c>
    </x:row>
    <x:row r="453">
      <x:c r="A453" s="51" t="str">
        <x:v>M4-REPAIR-452</x:v>
      </x:c>
      <x:c r="B453" s="20" t="str">
        <x:v>SM16 阶段覆盖与现实反例｜使用边界</x:v>
      </x:c>
      <x:c r="C453" s="20" t="str">
        <x:v>L9 状态、位置与动态修正</x:v>
      </x:c>
      <x:c r="D453" s="20" t="str">
        <x:v>REPAIR-状态修正</x:v>
      </x:c>
      <x:c r="E453" s="20" t="str">
        <x:v>通用</x:v>
      </x:c>
      <x:c r="F453" s="20" t="str">
        <x:v>边界</x:v>
      </x:c>
      <x:c r="G453" s="20" t="str">
        <x:v>SM16</x:v>
      </x:c>
      <x:c r="H453" s="20" t="str"/>
      <x:c r="I453" s="20" t="str">
        <x:v>与现实修复事件、节点和反馈共同使用。</x:v>
      </x:c>
      <x:c r="J453" s="20" t="str">
        <x:v>阶段不能创造修复事件或替代现实资料</x:v>
      </x:c>
      <x:c r="K453" s="20" t="str">
        <x:v>由共享基础引擎提供；仅修正修复功能的承载、持续与压力占位，不直接等同是否愿意认错或能否修复。</x:v>
      </x:c>
      <x:c r="L453" s="20" t="str">
        <x:v>由M1／M2提供；夫妻星只说明伴侣原型与关系资格，不单独证明修复能力、修复意愿或修复结果。</x:v>
      </x:c>
      <x:c r="M453" s="20" t="str">
        <x:v>由M3-BASE提供；日支底盘说明亲密关系中自然调用的功能，但不能单独证明修复闭环。</x:v>
      </x:c>
      <x:c r="N453" s="20" t="str">
        <x:v>由M3-CONFLICT、M4-LOOP及现实事件提供；必须区分问题停止、责任承担、影响确认、行动改变、反馈整合与后续回访。</x:v>
      </x:c>
      <x:c r="O453" s="20" t="str">
        <x:v>由共享基础引擎判定；近位提高相关功能进入亲密关系核心的概率，远位只作背景或阶段修正。</x:v>
      </x:c>
      <x:c r="P453" s="20" t="str">
        <x:v>根气只修正某修复功能是否容易重复调用，不等于现实中已经持续改变。</x:v>
      </x:c>
      <x:c r="Q453" s="20" t="str">
        <x:v>旺弱只修正功能调用强度与占位，不直接等同修复质量、诚意或关系结果。</x:v>
      </x:c>
      <x:c r="R453" s="20" t="str">
        <x:v>喜忌只修正功能摩擦、平衡与承载，不直接等同道德、成熟、善恶或是否值得原谅。</x:v>
      </x:c>
      <x:c r="S453" s="20" t="str">
        <x:v>原十神功能有效；真合化成立时按化神功能替换，合化争议时停止定性。</x:v>
      </x:c>
      <x:c r="T453" s="20" t="str">
        <x:v>近位提高修复议题与亲密关系的直接相关性；远位仅保留背景、阶段或低置信修正。</x:v>
      </x:c>
      <x:c r="U453" s="20" t="str">
        <x:v>90</x:v>
      </x:c>
      <x:c r="V453" s="20" t="str">
        <x:v>边界门控</x:v>
      </x:c>
      <x:c r="W453" s="20" t="str">
        <x:v>boundary_note</x:v>
      </x:c>
      <x:c r="X453" s="20" t="str">
        <x:v>阶段不能创造修复事件或替代现实资料</x:v>
      </x:c>
      <x:c r="Y453" s="20" t="str">
        <x:v>使用边界：阶段不能创造修复事件或替代现实资料。</x:v>
      </x:c>
      <x:c r="Z45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3" s="20" t="str">
        <x:v>高</x:v>
      </x:c>
      <x:c r="AB453" s="20" t="str">
        <x:v>待验证</x:v>
      </x:c>
      <x:c r="AC453" s="20" t="str"/>
      <x:c r="AD453" s="20" t="str">
        <x:v>provisional=true；M3-REPAIR尚未完成，完成条件为暂定功能模型。</x:v>
      </x:c>
      <x:c r="AE453" s="52" t="str">
        <x:v>0.7</x:v>
      </x:c>
    </x:row>
    <x:row r="454">
      <x:c r="A454" s="51" t="str">
        <x:v>M4-REPAIR-453</x:v>
      </x:c>
      <x:c r="B454" s="20" t="str">
        <x:v>M3-CONFLICT接口｜问题结案字段只作起点</x:v>
      </x:c>
      <x:c r="C454" s="20" t="str">
        <x:v>L10 接口、评分、报告与发布</x:v>
      </x:c>
      <x:c r="D454" s="20" t="str">
        <x:v>REPAIR-合成发布</x:v>
      </x:c>
      <x:c r="E454" s="20" t="str">
        <x:v>通用</x:v>
      </x:c>
      <x:c r="F454" s="20" t="str">
        <x:v>接口</x:v>
      </x:c>
      <x:c r="G454" s="20" t="str">
        <x:v>M3-CONFLICT</x:v>
      </x:c>
      <x:c r="H454" s="20" t="str"/>
      <x:c r="I454" s="20" t="str">
        <x:v>M3-CONFLICT确认一轮问题已告一段落。</x:v>
      </x:c>
      <x:c r="J454" s="20" t="str">
        <x:v>把冲突结束条件直接当关系修复完成。</x:v>
      </x:c>
      <x:c r="K454" s="20" t="str">
        <x:v>由共享基础引擎提供；仅修正修复功能的承载、持续与压力占位，不直接等同是否愿意认错或能否修复。</x:v>
      </x:c>
      <x:c r="L454" s="20" t="str">
        <x:v>由M1／M2提供；夫妻星只说明伴侣原型与关系资格，不单独证明修复能力、修复意愿或修复结果。</x:v>
      </x:c>
      <x:c r="M454" s="20" t="str">
        <x:v>由M3-BASE提供；日支底盘说明亲密关系中自然调用的功能，但不能单独证明修复闭环。</x:v>
      </x:c>
      <x:c r="N454" s="20" t="str">
        <x:v>由M3-CONFLICT、M4-LOOP及现实事件提供；必须区分问题停止、责任承担、影响确认、行动改变、反馈整合与后续回访。</x:v>
      </x:c>
      <x:c r="O454" s="20" t="str">
        <x:v>由共享基础引擎判定；近位提高相关功能进入亲密关系核心的概率，远位只作背景或阶段修正。</x:v>
      </x:c>
      <x:c r="P454" s="20" t="str">
        <x:v>根气只修正某修复功能是否容易重复调用，不等于现实中已经持续改变。</x:v>
      </x:c>
      <x:c r="Q454" s="20" t="str">
        <x:v>旺弱只修正功能调用强度与占位，不直接等同修复质量、诚意或关系结果。</x:v>
      </x:c>
      <x:c r="R454" s="20" t="str">
        <x:v>喜忌只修正功能摩擦、平衡与承载，不直接等同道德、成熟、善恶或是否值得原谅。</x:v>
      </x:c>
      <x:c r="S454" s="20" t="str">
        <x:v>原十神功能有效；真合化成立时按化神功能替换，合化争议时停止定性。</x:v>
      </x:c>
      <x:c r="T454" s="20" t="str">
        <x:v>近位提高修复议题与亲密关系的直接相关性；远位仅保留背景、阶段或低置信修正。</x:v>
      </x:c>
      <x:c r="U454" s="20" t="str">
        <x:v>95</x:v>
      </x:c>
      <x:c r="V454" s="20" t="str">
        <x:v>路由</x:v>
      </x:c>
      <x:c r="W454" s="20" t="str">
        <x:v>repair_status</x:v>
      </x:c>
      <x:c r="X454" s="20" t="str">
        <x:v>M3-CONFLICT回答问题如何停止；M4-REPAIR继续检查影响、责任、改变和回访。</x:v>
      </x:c>
      <x:c r="Y454" s="20" t="str">
        <x:v>问题有了处理结果以后，仍要继续看关系层面的修复是否完成。</x:v>
      </x:c>
      <x:c r="Z45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4" s="20" t="str">
        <x:v>高</x:v>
      </x:c>
      <x:c r="AB454" s="20" t="str">
        <x:v>待验证</x:v>
      </x:c>
      <x:c r="AC454" s="20" t="str"/>
      <x:c r="AD454" s="20" t="str">
        <x:v>provisional=true；M3-REPAIR尚未完成，完成条件为暂定功能模型。</x:v>
      </x:c>
      <x:c r="AE454" s="52" t="str">
        <x:v>0.7</x:v>
      </x:c>
    </x:row>
    <x:row r="455">
      <x:c r="A455" s="51" t="str">
        <x:v>M4-REPAIR-454</x:v>
      </x:c>
      <x:c r="B455" s="20" t="str">
        <x:v>M3-REPAIR依赖｜正常修复风格尚待建设</x:v>
      </x:c>
      <x:c r="C455" s="20" t="str">
        <x:v>L10 接口、评分、报告与发布</x:v>
      </x:c>
      <x:c r="D455" s="20" t="str">
        <x:v>REPAIR-合成发布</x:v>
      </x:c>
      <x:c r="E455" s="20" t="str">
        <x:v>通用</x:v>
      </x:c>
      <x:c r="F455" s="20" t="str">
        <x:v>接口</x:v>
      </x:c>
      <x:c r="G455" s="20" t="str">
        <x:v>M3-REPAIR</x:v>
      </x:c>
      <x:c r="H455" s="20" t="str"/>
      <x:c r="I455" s="20" t="str">
        <x:v>当前仅使用暂定修复节点和功能通道。</x:v>
      </x:c>
      <x:c r="J455" s="20" t="str">
        <x:v>把M4卡点模型当成完整修复能力评价。</x:v>
      </x:c>
      <x:c r="K455" s="20" t="str">
        <x:v>由共享基础引擎提供；仅修正修复功能的承载、持续与压力占位，不直接等同是否愿意认错或能否修复。</x:v>
      </x:c>
      <x:c r="L455" s="20" t="str">
        <x:v>由M1／M2提供；夫妻星只说明伴侣原型与关系资格，不单独证明修复能力、修复意愿或修复结果。</x:v>
      </x:c>
      <x:c r="M455" s="20" t="str">
        <x:v>由M3-BASE提供；日支底盘说明亲密关系中自然调用的功能，但不能单独证明修复闭环。</x:v>
      </x:c>
      <x:c r="N455" s="20" t="str">
        <x:v>由M3-CONFLICT、M4-LOOP及现实事件提供；必须区分问题停止、责任承担、影响确认、行动改变、反馈整合与后续回访。</x:v>
      </x:c>
      <x:c r="O455" s="20" t="str">
        <x:v>由共享基础引擎判定；近位提高相关功能进入亲密关系核心的概率，远位只作背景或阶段修正。</x:v>
      </x:c>
      <x:c r="P455" s="20" t="str">
        <x:v>根气只修正某修复功能是否容易重复调用，不等于现实中已经持续改变。</x:v>
      </x:c>
      <x:c r="Q455" s="20" t="str">
        <x:v>旺弱只修正功能调用强度与占位，不直接等同修复质量、诚意或关系结果。</x:v>
      </x:c>
      <x:c r="R455" s="20" t="str">
        <x:v>喜忌只修正功能摩擦、平衡与承载，不直接等同道德、成熟、善恶或是否值得原谅。</x:v>
      </x:c>
      <x:c r="S455" s="20" t="str">
        <x:v>原十神功能有效；真合化成立时按化神功能替换，合化争议时停止定性。</x:v>
      </x:c>
      <x:c r="T455" s="20" t="str">
        <x:v>近位提高修复议题与亲密关系的直接相关性；远位仅保留背景、阶段或低置信修正。</x:v>
      </x:c>
      <x:c r="U455" s="20" t="str">
        <x:v>94</x:v>
      </x:c>
      <x:c r="V455" s="20" t="str">
        <x:v>接口暂定</x:v>
      </x:c>
      <x:c r="W455" s="20" t="str">
        <x:v>boundary_note</x:v>
      </x:c>
      <x:c r="X455" s="20" t="str">
        <x:v>未来M3-REPAIR负责正常修复路径，M4只负责失衡与断链。</x:v>
      </x:c>
      <x:c r="Y455" s="20" t="str">
        <x:v>当前结论只说明修复链哪里可能卡住，不等同你的完整修复风格。</x:v>
      </x:c>
      <x:c r="Z45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5" s="20" t="str">
        <x:v>中高</x:v>
      </x:c>
      <x:c r="AB455" s="20" t="str">
        <x:v>待验证</x:v>
      </x:c>
      <x:c r="AC455" s="20" t="str"/>
      <x:c r="AD455" s="20" t="str">
        <x:v>provisional=true；M3-REPAIR尚未完成，完成条件为暂定功能模型。</x:v>
      </x:c>
      <x:c r="AE455" s="52" t="str">
        <x:v>0.7</x:v>
      </x:c>
    </x:row>
    <x:row r="456">
      <x:c r="A456" s="51" t="str">
        <x:v>M4-REPAIR-455</x:v>
      </x:c>
      <x:c r="B456" s="20" t="str">
        <x:v>M3-STATE依赖｜平稳、压力与恢复需后续校准</x:v>
      </x:c>
      <x:c r="C456" s="20" t="str">
        <x:v>L10 接口、评分、报告与发布</x:v>
      </x:c>
      <x:c r="D456" s="20" t="str">
        <x:v>REPAIR-合成发布</x:v>
      </x:c>
      <x:c r="E456" s="20" t="str">
        <x:v>通用</x:v>
      </x:c>
      <x:c r="F456" s="20" t="str">
        <x:v>接口</x:v>
      </x:c>
      <x:c r="G456" s="20" t="str">
        <x:v>M3-STATE</x:v>
      </x:c>
      <x:c r="H456" s="20" t="str"/>
      <x:c r="I456" s="20" t="str">
        <x:v>使用TRIGGER的ST0—ST3作为暂定状态路由。</x:v>
      </x:c>
      <x:c r="J456" s="20" t="str">
        <x:v>把高压时一次修复方式当日常固定模式。</x:v>
      </x:c>
      <x:c r="K456" s="20" t="str">
        <x:v>由共享基础引擎提供；仅修正修复功能的承载、持续与压力占位，不直接等同是否愿意认错或能否修复。</x:v>
      </x:c>
      <x:c r="L456" s="20" t="str">
        <x:v>由M1／M2提供；夫妻星只说明伴侣原型与关系资格，不单独证明修复能力、修复意愿或修复结果。</x:v>
      </x:c>
      <x:c r="M456" s="20" t="str">
        <x:v>由M3-BASE提供；日支底盘说明亲密关系中自然调用的功能，但不能单独证明修复闭环。</x:v>
      </x:c>
      <x:c r="N456" s="20" t="str">
        <x:v>由M3-CONFLICT、M4-LOOP及现实事件提供；必须区分问题停止、责任承担、影响确认、行动改变、反馈整合与后续回访。</x:v>
      </x:c>
      <x:c r="O456" s="20" t="str">
        <x:v>由共享基础引擎判定；近位提高相关功能进入亲密关系核心的概率，远位只作背景或阶段修正。</x:v>
      </x:c>
      <x:c r="P456" s="20" t="str">
        <x:v>根气只修正某修复功能是否容易重复调用，不等于现实中已经持续改变。</x:v>
      </x:c>
      <x:c r="Q456" s="20" t="str">
        <x:v>旺弱只修正功能调用强度与占位，不直接等同修复质量、诚意或关系结果。</x:v>
      </x:c>
      <x:c r="R456" s="20" t="str">
        <x:v>喜忌只修正功能摩擦、平衡与承载，不直接等同道德、成熟、善恶或是否值得原谅。</x:v>
      </x:c>
      <x:c r="S456" s="20" t="str">
        <x:v>原十神功能有效；真合化成立时按化神功能替换，合化争议时停止定性。</x:v>
      </x:c>
      <x:c r="T456" s="20" t="str">
        <x:v>近位提高修复议题与亲密关系的直接相关性；远位仅保留背景、阶段或低置信修正。</x:v>
      </x:c>
      <x:c r="U456" s="20" t="str">
        <x:v>94</x:v>
      </x:c>
      <x:c r="V456" s="20" t="str">
        <x:v>接口暂定</x:v>
      </x:c>
      <x:c r="W456" s="20" t="str">
        <x:v>boundary_note</x:v>
      </x:c>
      <x:c r="X456" s="20" t="str">
        <x:v>压力状态可改变修复顺序，最终需M3-STATE校准。</x:v>
      </x:c>
      <x:c r="Y456" s="20" t="str">
        <x:v>要区分这是高压下的临时顺序，还是平稳时也会重复。</x:v>
      </x:c>
      <x:c r="Z45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6" s="20" t="str">
        <x:v>中高</x:v>
      </x:c>
      <x:c r="AB456" s="20" t="str">
        <x:v>待验证</x:v>
      </x:c>
      <x:c r="AC456" s="20" t="str"/>
      <x:c r="AD456" s="20" t="str">
        <x:v>provisional=true；M3-REPAIR尚未完成，完成条件为暂定功能模型。</x:v>
      </x:c>
      <x:c r="AE456" s="52" t="str">
        <x:v>0.7</x:v>
      </x:c>
    </x:row>
    <x:row r="457">
      <x:c r="A457" s="51" t="str">
        <x:v>M4-REPAIR-456</x:v>
      </x:c>
      <x:c r="B457" s="20" t="str">
        <x:v>M3-CARE接口｜补偿与投入只是一类修复行动</x:v>
      </x:c>
      <x:c r="C457" s="20" t="str">
        <x:v>L10 接口、评分、报告与发布</x:v>
      </x:c>
      <x:c r="D457" s="20" t="str">
        <x:v>REPAIR-合成发布</x:v>
      </x:c>
      <x:c r="E457" s="20" t="str">
        <x:v>通用</x:v>
      </x:c>
      <x:c r="F457" s="20" t="str">
        <x:v>接口</x:v>
      </x:c>
      <x:c r="G457" s="20" t="str">
        <x:v>M3-CARE</x:v>
      </x:c>
      <x:c r="H457" s="20" t="str"/>
      <x:c r="I457" s="20" t="str">
        <x:v>现实投入与当前影响、责任和反馈相匹配。</x:v>
      </x:c>
      <x:c r="J457" s="20" t="str">
        <x:v>把CARE投入直接当修复闭环。</x:v>
      </x:c>
      <x:c r="K457" s="20" t="str">
        <x:v>由共享基础引擎提供；仅修正修复功能的承载、持续与压力占位，不直接等同是否愿意认错或能否修复。</x:v>
      </x:c>
      <x:c r="L457" s="20" t="str">
        <x:v>由M1／M2提供；夫妻星只说明伴侣原型与关系资格，不单独证明修复能力、修复意愿或修复结果。</x:v>
      </x:c>
      <x:c r="M457" s="20" t="str">
        <x:v>由M3-BASE提供；日支底盘说明亲密关系中自然调用的功能，但不能单独证明修复闭环。</x:v>
      </x:c>
      <x:c r="N457" s="20" t="str">
        <x:v>由M3-CONFLICT、M4-LOOP及现实事件提供；必须区分问题停止、责任承担、影响确认、行动改变、反馈整合与后续回访。</x:v>
      </x:c>
      <x:c r="O457" s="20" t="str">
        <x:v>由共享基础引擎判定；近位提高相关功能进入亲密关系核心的概率，远位只作背景或阶段修正。</x:v>
      </x:c>
      <x:c r="P457" s="20" t="str">
        <x:v>根气只修正某修复功能是否容易重复调用，不等于现实中已经持续改变。</x:v>
      </x:c>
      <x:c r="Q457" s="20" t="str">
        <x:v>旺弱只修正功能调用强度与占位，不直接等同修复质量、诚意或关系结果。</x:v>
      </x:c>
      <x:c r="R457" s="20" t="str">
        <x:v>喜忌只修正功能摩擦、平衡与承载，不直接等同道德、成熟、善恶或是否值得原谅。</x:v>
      </x:c>
      <x:c r="S457" s="20" t="str">
        <x:v>原十神功能有效；真合化成立时按化神功能替换，合化争议时停止定性。</x:v>
      </x:c>
      <x:c r="T457" s="20" t="str">
        <x:v>近位提高修复议题与亲密关系的直接相关性；远位仅保留背景、阶段或低置信修正。</x:v>
      </x:c>
      <x:c r="U457" s="20" t="str">
        <x:v>90</x:v>
      </x:c>
      <x:c r="V457" s="20" t="str">
        <x:v>同源去重</x:v>
      </x:c>
      <x:c r="W457" s="20" t="str">
        <x:v>dedup_log</x:v>
      </x:c>
      <x:c r="X457" s="20" t="str">
        <x:v>CARE提供补救行动，M4-REPAIR检查它是否替代其他节点。</x:v>
      </x:c>
      <x:c r="Y457" s="20" t="str">
        <x:v>现实投入很重要，但还要看它是否回应了真正的影响和需要。</x:v>
      </x:c>
      <x:c r="Z45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7" s="20" t="str">
        <x:v>高</x:v>
      </x:c>
      <x:c r="AB457" s="20" t="str">
        <x:v>待验证</x:v>
      </x:c>
      <x:c r="AC457" s="20" t="str"/>
      <x:c r="AD457" s="20" t="str">
        <x:v>provisional=true；M3-REPAIR尚未完成，完成条件为暂定功能模型。</x:v>
      </x:c>
      <x:c r="AE457" s="52" t="str">
        <x:v>0.7</x:v>
      </x:c>
    </x:row>
    <x:row r="458">
      <x:c r="A458" s="51" t="str">
        <x:v>M4-REPAIR-457</x:v>
      </x:c>
      <x:c r="B458" s="20" t="str">
        <x:v>M3-BOUND接口｜修复必须恢复选择与边界</x:v>
      </x:c>
      <x:c r="C458" s="20" t="str">
        <x:v>L10 接口、评分、报告与发布</x:v>
      </x:c>
      <x:c r="D458" s="20" t="str">
        <x:v>REPAIR-合成发布</x:v>
      </x:c>
      <x:c r="E458" s="20" t="str">
        <x:v>通用</x:v>
      </x:c>
      <x:c r="F458" s="20" t="str">
        <x:v>接口</x:v>
      </x:c>
      <x:c r="G458" s="20" t="str">
        <x:v>M3-BOUND</x:v>
      </x:c>
      <x:c r="H458" s="20" t="str"/>
      <x:c r="I458" s="20" t="str">
        <x:v>事件涉及边界、权限、空间或决定权。</x:v>
      </x:c>
      <x:c r="J458" s="20" t="str">
        <x:v>只要求重新靠近，不恢复选择权。</x:v>
      </x:c>
      <x:c r="K458" s="20" t="str">
        <x:v>由共享基础引擎提供；仅修正修复功能的承载、持续与压力占位，不直接等同是否愿意认错或能否修复。</x:v>
      </x:c>
      <x:c r="L458" s="20" t="str">
        <x:v>由M1／M2提供；夫妻星只说明伴侣原型与关系资格，不单独证明修复能力、修复意愿或修复结果。</x:v>
      </x:c>
      <x:c r="M458" s="20" t="str">
        <x:v>由M3-BASE提供；日支底盘说明亲密关系中自然调用的功能，但不能单独证明修复闭环。</x:v>
      </x:c>
      <x:c r="N458" s="20" t="str">
        <x:v>由M3-CONFLICT、M4-LOOP及现实事件提供；必须区分问题停止、责任承担、影响确认、行动改变、反馈整合与后续回访。</x:v>
      </x:c>
      <x:c r="O458" s="20" t="str">
        <x:v>由共享基础引擎判定；近位提高相关功能进入亲密关系核心的概率，远位只作背景或阶段修正。</x:v>
      </x:c>
      <x:c r="P458" s="20" t="str">
        <x:v>根气只修正某修复功能是否容易重复调用，不等于现实中已经持续改变。</x:v>
      </x:c>
      <x:c r="Q458" s="20" t="str">
        <x:v>旺弱只修正功能调用强度与占位，不直接等同修复质量、诚意或关系结果。</x:v>
      </x:c>
      <x:c r="R458" s="20" t="str">
        <x:v>喜忌只修正功能摩擦、平衡与承载，不直接等同道德、成熟、善恶或是否值得原谅。</x:v>
      </x:c>
      <x:c r="S458" s="20" t="str">
        <x:v>原十神功能有效；真合化成立时按化神功能替换，合化争议时停止定性。</x:v>
      </x:c>
      <x:c r="T458" s="20" t="str">
        <x:v>近位提高修复议题与亲密关系的直接相关性；远位仅保留背景、阶段或低置信修正。</x:v>
      </x:c>
      <x:c r="U458" s="20" t="str">
        <x:v>92</x:v>
      </x:c>
      <x:c r="V458" s="20" t="str">
        <x:v>路由</x:v>
      </x:c>
      <x:c r="W458" s="20" t="str">
        <x:v>missing_repair_node</x:v>
      </x:c>
      <x:c r="X458" s="20" t="str">
        <x:v>BOUND提供RN05的正常边界功能。</x:v>
      </x:c>
      <x:c r="Y458" s="20" t="str">
        <x:v>修复不能只恢复联系，还要确认双方的决定权和边界是否被重新尊重。</x:v>
      </x:c>
      <x:c r="Z45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8" s="20" t="str">
        <x:v>高</x:v>
      </x:c>
      <x:c r="AB458" s="20" t="str">
        <x:v>待验证</x:v>
      </x:c>
      <x:c r="AC458" s="20" t="str"/>
      <x:c r="AD458" s="20" t="str">
        <x:v>provisional=true；M3-REPAIR尚未完成，完成条件为暂定功能模型。</x:v>
      </x:c>
      <x:c r="AE458" s="52" t="str">
        <x:v>0.7</x:v>
      </x:c>
    </x:row>
    <x:row r="459">
      <x:c r="A459" s="51" t="str">
        <x:v>M4-REPAIR-458</x:v>
      </x:c>
      <x:c r="B459" s="20" t="str">
        <x:v>M3-EXPR接口｜解释表达不能替代接收反馈</x:v>
      </x:c>
      <x:c r="C459" s="20" t="str">
        <x:v>L10 接口、评分、报告与发布</x:v>
      </x:c>
      <x:c r="D459" s="20" t="str">
        <x:v>REPAIR-合成发布</x:v>
      </x:c>
      <x:c r="E459" s="20" t="str">
        <x:v>通用</x:v>
      </x:c>
      <x:c r="F459" s="20" t="str">
        <x:v>接口</x:v>
      </x:c>
      <x:c r="G459" s="20" t="str">
        <x:v>M3-EXPR</x:v>
      </x:c>
      <x:c r="H459" s="20" t="str"/>
      <x:c r="I459" s="20" t="str">
        <x:v>表达通道已进入修复。</x:v>
      </x:c>
      <x:c r="J459" s="20" t="str">
        <x:v>把表达充分当理解完成。</x:v>
      </x:c>
      <x:c r="K459" s="20" t="str">
        <x:v>由共享基础引擎提供；仅修正修复功能的承载、持续与压力占位，不直接等同是否愿意认错或能否修复。</x:v>
      </x:c>
      <x:c r="L459" s="20" t="str">
        <x:v>由M1／M2提供；夫妻星只说明伴侣原型与关系资格，不单独证明修复能力、修复意愿或修复结果。</x:v>
      </x:c>
      <x:c r="M459" s="20" t="str">
        <x:v>由M3-BASE提供；日支底盘说明亲密关系中自然调用的功能，但不能单独证明修复闭环。</x:v>
      </x:c>
      <x:c r="N459" s="20" t="str">
        <x:v>由M3-CONFLICT、M4-LOOP及现实事件提供；必须区分问题停止、责任承担、影响确认、行动改变、反馈整合与后续回访。</x:v>
      </x:c>
      <x:c r="O459" s="20" t="str">
        <x:v>由共享基础引擎判定；近位提高相关功能进入亲密关系核心的概率，远位只作背景或阶段修正。</x:v>
      </x:c>
      <x:c r="P459" s="20" t="str">
        <x:v>根气只修正某修复功能是否容易重复调用，不等于现实中已经持续改变。</x:v>
      </x:c>
      <x:c r="Q459" s="20" t="str">
        <x:v>旺弱只修正功能调用强度与占位，不直接等同修复质量、诚意或关系结果。</x:v>
      </x:c>
      <x:c r="R459" s="20" t="str">
        <x:v>喜忌只修正功能摩擦、平衡与承载，不直接等同道德、成熟、善恶或是否值得原谅。</x:v>
      </x:c>
      <x:c r="S459" s="20" t="str">
        <x:v>原十神功能有效；真合化成立时按化神功能替换，合化争议时停止定性。</x:v>
      </x:c>
      <x:c r="T459" s="20" t="str">
        <x:v>近位提高修复议题与亲密关系的直接相关性；远位仅保留背景、阶段或低置信修正。</x:v>
      </x:c>
      <x:c r="U459" s="20" t="str">
        <x:v>92</x:v>
      </x:c>
      <x:c r="V459" s="20" t="str">
        <x:v>路由</x:v>
      </x:c>
      <x:c r="W459" s="20" t="str">
        <x:v>repair_break_candidate</x:v>
      </x:c>
      <x:c r="X459" s="20" t="str">
        <x:v>EXPR提供澄清功能，RN07负责检验对方实际接收。</x:v>
      </x:c>
      <x:c r="Y459" s="20" t="str">
        <x:v>说清楚以后还要确认对方实际听到了什么，以及是否需要调整。</x:v>
      </x:c>
      <x:c r="Z45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59" s="20" t="str">
        <x:v>高</x:v>
      </x:c>
      <x:c r="AB459" s="20" t="str">
        <x:v>待验证</x:v>
      </x:c>
      <x:c r="AC459" s="20" t="str"/>
      <x:c r="AD459" s="20" t="str">
        <x:v>provisional=true；M3-REPAIR尚未完成，完成条件为暂定功能模型。</x:v>
      </x:c>
      <x:c r="AE459" s="52" t="str">
        <x:v>0.7</x:v>
      </x:c>
    </x:row>
    <x:row r="460">
      <x:c r="A460" s="51" t="str">
        <x:v>M4-REPAIR-459</x:v>
      </x:c>
      <x:c r="B460" s="20" t="str">
        <x:v>M4-BUFFER接口｜保护因素必须真实改变修复链</x:v>
      </x:c>
      <x:c r="C460" s="20" t="str">
        <x:v>L10 接口、评分、报告与发布</x:v>
      </x:c>
      <x:c r="D460" s="20" t="str">
        <x:v>REPAIR-合成发布</x:v>
      </x:c>
      <x:c r="E460" s="20" t="str">
        <x:v>通用</x:v>
      </x:c>
      <x:c r="F460" s="20" t="str">
        <x:v>接口</x:v>
      </x:c>
      <x:c r="G460" s="20" t="str">
        <x:v>M4-BUFFER</x:v>
      </x:c>
      <x:c r="H460" s="20" t="str"/>
      <x:c r="I460" s="20" t="str">
        <x:v>存在制化、通关、现实支持或稳定反例。</x:v>
      </x:c>
      <x:c r="J460" s="20" t="str">
        <x:v>只在文末象征性写“有保护”。</x:v>
      </x:c>
      <x:c r="K460" s="20" t="str">
        <x:v>由共享基础引擎提供；仅修正修复功能的承载、持续与压力占位，不直接等同是否愿意认错或能否修复。</x:v>
      </x:c>
      <x:c r="L460" s="20" t="str">
        <x:v>由M1／M2提供；夫妻星只说明伴侣原型与关系资格，不单独证明修复能力、修复意愿或修复结果。</x:v>
      </x:c>
      <x:c r="M460" s="20" t="str">
        <x:v>由M3-BASE提供；日支底盘说明亲密关系中自然调用的功能，但不能单独证明修复闭环。</x:v>
      </x:c>
      <x:c r="N460" s="20" t="str">
        <x:v>由M3-CONFLICT、M4-LOOP及现实事件提供；必须区分问题停止、责任承担、影响确认、行动改变、反馈整合与后续回访。</x:v>
      </x:c>
      <x:c r="O460" s="20" t="str">
        <x:v>由共享基础引擎判定；近位提高相关功能进入亲密关系核心的概率，远位只作背景或阶段修正。</x:v>
      </x:c>
      <x:c r="P460" s="20" t="str">
        <x:v>根气只修正某修复功能是否容易重复调用，不等于现实中已经持续改变。</x:v>
      </x:c>
      <x:c r="Q460" s="20" t="str">
        <x:v>旺弱只修正功能调用强度与占位，不直接等同修复质量、诚意或关系结果。</x:v>
      </x:c>
      <x:c r="R460" s="20" t="str">
        <x:v>喜忌只修正功能摩擦、平衡与承载，不直接等同道德、成熟、善恶或是否值得原谅。</x:v>
      </x:c>
      <x:c r="S460" s="20" t="str">
        <x:v>原十神功能有效；真合化成立时按化神功能替换，合化争议时停止定性。</x:v>
      </x:c>
      <x:c r="T460" s="20" t="str">
        <x:v>近位提高修复议题与亲密关系的直接相关性；远位仅保留背景、阶段或低置信修正。</x:v>
      </x:c>
      <x:c r="U460" s="20" t="str">
        <x:v>92</x:v>
      </x:c>
      <x:c r="V460" s="20" t="str">
        <x:v>保护因素接口</x:v>
      </x:c>
      <x:c r="W460" s="20" t="str">
        <x:v>buffer_factor</x:v>
      </x:c>
      <x:c r="X460" s="20" t="str">
        <x:v>BUFFER需要对分值、节点或发布等级产生真实影响。</x:v>
      </x:c>
      <x:c r="Y460" s="20" t="str">
        <x:v>若已有稳定的倾听、边界、责任或回访机制，这项卡点应明显降权。</x:v>
      </x:c>
      <x:c r="Z46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0" s="20" t="str">
        <x:v>高</x:v>
      </x:c>
      <x:c r="AB460" s="20" t="str">
        <x:v>待验证</x:v>
      </x:c>
      <x:c r="AC460" s="20" t="str"/>
      <x:c r="AD460" s="20" t="str">
        <x:v>provisional=true；M3-REPAIR尚未完成，完成条件为暂定功能模型。</x:v>
      </x:c>
      <x:c r="AE460" s="52" t="str">
        <x:v>0.7</x:v>
      </x:c>
    </x:row>
    <x:row r="461">
      <x:c r="A461" s="51" t="str">
        <x:v>M4-REPAIR-460</x:v>
      </x:c>
      <x:c r="B461" s="20" t="str">
        <x:v>M5接口｜修复卡点不等于适配结论</x:v>
      </x:c>
      <x:c r="C461" s="20" t="str">
        <x:v>L10 接口、评分、报告与发布</x:v>
      </x:c>
      <x:c r="D461" s="20" t="str">
        <x:v>REPAIR-合成发布</x:v>
      </x:c>
      <x:c r="E461" s="20" t="str">
        <x:v>通用</x:v>
      </x:c>
      <x:c r="F461" s="20" t="str">
        <x:v>边界</x:v>
      </x:c>
      <x:c r="G461" s="20" t="str">
        <x:v>M5</x:v>
      </x:c>
      <x:c r="H461" s="20" t="str"/>
      <x:c r="I461" s="20" t="str">
        <x:v>只描述修复所需结构。</x:v>
      </x:c>
      <x:c r="J461" s="20" t="str">
        <x:v>由修复卡点直接断定某类伴侣一定适合或不适合。</x:v>
      </x:c>
      <x:c r="K461" s="20" t="str">
        <x:v>由共享基础引擎提供；仅修正修复功能的承载、持续与压力占位，不直接等同是否愿意认错或能否修复。</x:v>
      </x:c>
      <x:c r="L461" s="20" t="str">
        <x:v>由M1／M2提供；夫妻星只说明伴侣原型与关系资格，不单独证明修复能力、修复意愿或修复结果。</x:v>
      </x:c>
      <x:c r="M461" s="20" t="str">
        <x:v>由M3-BASE提供；日支底盘说明亲密关系中自然调用的功能，但不能单独证明修复闭环。</x:v>
      </x:c>
      <x:c r="N461" s="20" t="str">
        <x:v>由M3-CONFLICT、M4-LOOP及现实事件提供；必须区分问题停止、责任承担、影响确认、行动改变、反馈整合与后续回访。</x:v>
      </x:c>
      <x:c r="O461" s="20" t="str">
        <x:v>由共享基础引擎判定；近位提高相关功能进入亲密关系核心的概率，远位只作背景或阶段修正。</x:v>
      </x:c>
      <x:c r="P461" s="20" t="str">
        <x:v>根气只修正某修复功能是否容易重复调用，不等于现实中已经持续改变。</x:v>
      </x:c>
      <x:c r="Q461" s="20" t="str">
        <x:v>旺弱只修正功能调用强度与占位，不直接等同修复质量、诚意或关系结果。</x:v>
      </x:c>
      <x:c r="R461" s="20" t="str">
        <x:v>喜忌只修正功能摩擦、平衡与承载，不直接等同道德、成熟、善恶或是否值得原谅。</x:v>
      </x:c>
      <x:c r="S461" s="20" t="str">
        <x:v>原十神功能有效；真合化成立时按化神功能替换，合化争议时停止定性。</x:v>
      </x:c>
      <x:c r="T461" s="20" t="str">
        <x:v>近位提高修复议题与亲密关系的直接相关性；远位仅保留背景、阶段或低置信修正。</x:v>
      </x:c>
      <x:c r="U461" s="20" t="str">
        <x:v>94</x:v>
      </x:c>
      <x:c r="V461" s="20" t="str">
        <x:v>跨模型停止</x:v>
      </x:c>
      <x:c r="W461" s="20" t="str">
        <x:v>boundary_note</x:v>
      </x:c>
      <x:c r="X461" s="20" t="str">
        <x:v>M5才负责把调节功能转成适配关系结构。</x:v>
      </x:c>
      <x:c r="Y461" s="20" t="str">
        <x:v>这里说明的是关系需要什么修复条件，不直接决定谁最适合你。</x:v>
      </x:c>
      <x:c r="Z46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1" s="20" t="str">
        <x:v>高</x:v>
      </x:c>
      <x:c r="AB461" s="20" t="str">
        <x:v>待验证</x:v>
      </x:c>
      <x:c r="AC461" s="20" t="str"/>
      <x:c r="AD461" s="20" t="str">
        <x:v>provisional=true；M3-REPAIR尚未完成，完成条件为暂定功能模型。</x:v>
      </x:c>
      <x:c r="AE461" s="52" t="str">
        <x:v>0.7</x:v>
      </x:c>
    </x:row>
    <x:row r="462">
      <x:c r="A462" s="51" t="str">
        <x:v>M4-REPAIR-461</x:v>
      </x:c>
      <x:c r="B462" s="20" t="str">
        <x:v>source_id去重｜同一命理事实只计一次</x:v>
      </x:c>
      <x:c r="C462" s="20" t="str">
        <x:v>L10 接口、评分、报告与发布</x:v>
      </x:c>
      <x:c r="D462" s="20" t="str">
        <x:v>REPAIR-合成发布</x:v>
      </x:c>
      <x:c r="E462" s="20" t="str">
        <x:v>通用</x:v>
      </x:c>
      <x:c r="F462" s="20" t="str">
        <x:v>去重</x:v>
      </x:c>
      <x:c r="G462" s="20" t="str">
        <x:v>source_id</x:v>
      </x:c>
      <x:c r="H462" s="20" t="str"/>
      <x:c r="I462" s="20" t="str">
        <x:v>同一十神、日支或状态被多个模块使用。</x:v>
      </x:c>
      <x:c r="J462" s="20" t="str">
        <x:v>跨模块重复增加独立证据。</x:v>
      </x:c>
      <x:c r="K462" s="20" t="str">
        <x:v>由共享基础引擎提供；仅修正修复功能的承载、持续与压力占位，不直接等同是否愿意认错或能否修复。</x:v>
      </x:c>
      <x:c r="L462" s="20" t="str">
        <x:v>由M1／M2提供；夫妻星只说明伴侣原型与关系资格，不单独证明修复能力、修复意愿或修复结果。</x:v>
      </x:c>
      <x:c r="M462" s="20" t="str">
        <x:v>由M3-BASE提供；日支底盘说明亲密关系中自然调用的功能，但不能单独证明修复闭环。</x:v>
      </x:c>
      <x:c r="N462" s="20" t="str">
        <x:v>由M3-CONFLICT、M4-LOOP及现实事件提供；必须区分问题停止、责任承担、影响确认、行动改变、反馈整合与后续回访。</x:v>
      </x:c>
      <x:c r="O462" s="20" t="str">
        <x:v>由共享基础引擎判定；近位提高相关功能进入亲密关系核心的概率，远位只作背景或阶段修正。</x:v>
      </x:c>
      <x:c r="P462" s="20" t="str">
        <x:v>根气只修正某修复功能是否容易重复调用，不等于现实中已经持续改变。</x:v>
      </x:c>
      <x:c r="Q462" s="20" t="str">
        <x:v>旺弱只修正功能调用强度与占位，不直接等同修复质量、诚意或关系结果。</x:v>
      </x:c>
      <x:c r="R462" s="20" t="str">
        <x:v>喜忌只修正功能摩擦、平衡与承载，不直接等同道德、成熟、善恶或是否值得原谅。</x:v>
      </x:c>
      <x:c r="S462" s="20" t="str">
        <x:v>原十神功能有效；真合化成立时按化神功能替换，合化争议时停止定性。</x:v>
      </x:c>
      <x:c r="T462" s="20" t="str">
        <x:v>近位提高修复议题与亲密关系的直接相关性；远位仅保留背景、阶段或低置信修正。</x:v>
      </x:c>
      <x:c r="U462" s="20" t="str">
        <x:v>97</x:v>
      </x:c>
      <x:c r="V462" s="20" t="str">
        <x:v>同源去重</x:v>
      </x:c>
      <x:c r="W462" s="20" t="str">
        <x:v>dedup_log</x:v>
      </x:c>
      <x:c r="X462" s="20" t="str">
        <x:v>解释可以多角度，基础来源只能一次计分。</x:v>
      </x:c>
      <x:c r="Y462" s="20" t="str">
        <x:v>同一个命盘事实不能因为出现在多个模块就变成多份证据。</x:v>
      </x:c>
      <x:c r="Z46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2" s="20" t="str">
        <x:v>高</x:v>
      </x:c>
      <x:c r="AB462" s="20" t="str">
        <x:v>待验证</x:v>
      </x:c>
      <x:c r="AC462" s="20" t="str"/>
      <x:c r="AD462" s="20" t="str">
        <x:v>provisional=true；M3-REPAIR尚未完成，完成条件为暂定功能模型。</x:v>
      </x:c>
      <x:c r="AE462" s="52" t="str">
        <x:v>0.7</x:v>
      </x:c>
    </x:row>
    <x:row r="463">
      <x:c r="A463" s="51" t="str">
        <x:v>M4-REPAIR-462</x:v>
      </x:c>
      <x:c r="B463" s="20" t="str">
        <x:v>event_id去重｜同一修复事件只计一次</x:v>
      </x:c>
      <x:c r="C463" s="20" t="str">
        <x:v>L10 接口、评分、报告与发布</x:v>
      </x:c>
      <x:c r="D463" s="20" t="str">
        <x:v>REPAIR-合成发布</x:v>
      </x:c>
      <x:c r="E463" s="20" t="str">
        <x:v>通用</x:v>
      </x:c>
      <x:c r="F463" s="20" t="str">
        <x:v>去重</x:v>
      </x:c>
      <x:c r="G463" s="20" t="str">
        <x:v>event_id</x:v>
      </x:c>
      <x:c r="H463" s="20" t="str"/>
      <x:c r="I463" s="20" t="str">
        <x:v>同一道歉、行动、反馈或回访被多次引用。</x:v>
      </x:c>
      <x:c r="J463" s="20" t="str">
        <x:v>同一事件拆成多条独立现实证据。</x:v>
      </x:c>
      <x:c r="K463" s="20" t="str">
        <x:v>由共享基础引擎提供；仅修正修复功能的承载、持续与压力占位，不直接等同是否愿意认错或能否修复。</x:v>
      </x:c>
      <x:c r="L463" s="20" t="str">
        <x:v>由M1／M2提供；夫妻星只说明伴侣原型与关系资格，不单独证明修复能力、修复意愿或修复结果。</x:v>
      </x:c>
      <x:c r="M463" s="20" t="str">
        <x:v>由M3-BASE提供；日支底盘说明亲密关系中自然调用的功能，但不能单独证明修复闭环。</x:v>
      </x:c>
      <x:c r="N463" s="20" t="str">
        <x:v>由M3-CONFLICT、M4-LOOP及现实事件提供；必须区分问题停止、责任承担、影响确认、行动改变、反馈整合与后续回访。</x:v>
      </x:c>
      <x:c r="O463" s="20" t="str">
        <x:v>由共享基础引擎判定；近位提高相关功能进入亲密关系核心的概率，远位只作背景或阶段修正。</x:v>
      </x:c>
      <x:c r="P463" s="20" t="str">
        <x:v>根气只修正某修复功能是否容易重复调用，不等于现实中已经持续改变。</x:v>
      </x:c>
      <x:c r="Q463" s="20" t="str">
        <x:v>旺弱只修正功能调用强度与占位，不直接等同修复质量、诚意或关系结果。</x:v>
      </x:c>
      <x:c r="R463" s="20" t="str">
        <x:v>喜忌只修正功能摩擦、平衡与承载，不直接等同道德、成熟、善恶或是否值得原谅。</x:v>
      </x:c>
      <x:c r="S463" s="20" t="str">
        <x:v>原十神功能有效；真合化成立时按化神功能替换，合化争议时停止定性。</x:v>
      </x:c>
      <x:c r="T463" s="20" t="str">
        <x:v>近位提高修复议题与亲密关系的直接相关性；远位仅保留背景、阶段或低置信修正。</x:v>
      </x:c>
      <x:c r="U463" s="20" t="str">
        <x:v>97</x:v>
      </x:c>
      <x:c r="V463" s="20" t="str">
        <x:v>事件去重</x:v>
      </x:c>
      <x:c r="W463" s="20" t="str">
        <x:v>dedup_log</x:v>
      </x:c>
      <x:c r="X463" s="20" t="str">
        <x:v>事件节点可分解，但独立事件数量不能重复。</x:v>
      </x:c>
      <x:c r="Y463" s="20" t="str">
        <x:v>同一次修复可以拆解步骤，但不能当成多次独立修复。</x:v>
      </x:c>
      <x:c r="Z46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3" s="20" t="str">
        <x:v>高</x:v>
      </x:c>
      <x:c r="AB463" s="20" t="str">
        <x:v>待验证</x:v>
      </x:c>
      <x:c r="AC463" s="20" t="str"/>
      <x:c r="AD463" s="20" t="str">
        <x:v>provisional=true；M3-REPAIR尚未完成，完成条件为暂定功能模型。</x:v>
      </x:c>
      <x:c r="AE463" s="52" t="str">
        <x:v>0.7</x:v>
      </x:c>
    </x:row>
    <x:row r="464">
      <x:c r="A464" s="51" t="str">
        <x:v>M4-REPAIR-463</x:v>
      </x:c>
      <x:c r="B464" s="20" t="str">
        <x:v>接收方反馈门控｜无RN07不得写双方闭环</x:v>
      </x:c>
      <x:c r="C464" s="20" t="str">
        <x:v>L10 接口、评分、报告与发布</x:v>
      </x:c>
      <x:c r="D464" s="20" t="str">
        <x:v>REPAIR-合成发布</x:v>
      </x:c>
      <x:c r="E464" s="20" t="str">
        <x:v>通用</x:v>
      </x:c>
      <x:c r="F464" s="20" t="str">
        <x:v>门控</x:v>
      </x:c>
      <x:c r="G464" s="20" t="str">
        <x:v>RN07</x:v>
      </x:c>
      <x:c r="H464" s="20" t="str"/>
      <x:c r="I464" s="20" t="str">
        <x:v>接收方有具体反馈并被二次调整。</x:v>
      </x:c>
      <x:c r="J464" s="20" t="str">
        <x:v>只有发起方陈述。</x:v>
      </x:c>
      <x:c r="K464" s="20" t="str">
        <x:v>由共享基础引擎提供；仅修正修复功能的承载、持续与压力占位，不直接等同是否愿意认错或能否修复。</x:v>
      </x:c>
      <x:c r="L464" s="20" t="str">
        <x:v>由M1／M2提供；夫妻星只说明伴侣原型与关系资格，不单独证明修复能力、修复意愿或修复结果。</x:v>
      </x:c>
      <x:c r="M464" s="20" t="str">
        <x:v>由M3-BASE提供；日支底盘说明亲密关系中自然调用的功能，但不能单独证明修复闭环。</x:v>
      </x:c>
      <x:c r="N464" s="20" t="str">
        <x:v>由M3-CONFLICT、M4-LOOP及现实事件提供；必须区分问题停止、责任承担、影响确认、行动改变、反馈整合与后续回访。</x:v>
      </x:c>
      <x:c r="O464" s="20" t="str">
        <x:v>由共享基础引擎判定；近位提高相关功能进入亲密关系核心的概率，远位只作背景或阶段修正。</x:v>
      </x:c>
      <x:c r="P464" s="20" t="str">
        <x:v>根气只修正某修复功能是否容易重复调用，不等于现实中已经持续改变。</x:v>
      </x:c>
      <x:c r="Q464" s="20" t="str">
        <x:v>旺弱只修正功能调用强度与占位，不直接等同修复质量、诚意或关系结果。</x:v>
      </x:c>
      <x:c r="R464" s="20" t="str">
        <x:v>喜忌只修正功能摩擦、平衡与承载，不直接等同道德、成熟、善恶或是否值得原谅。</x:v>
      </x:c>
      <x:c r="S464" s="20" t="str">
        <x:v>原十神功能有效；真合化成立时按化神功能替换，合化争议时停止定性。</x:v>
      </x:c>
      <x:c r="T464" s="20" t="str">
        <x:v>近位提高修复议题与亲密关系的直接相关性；远位仅保留背景、阶段或低置信修正。</x:v>
      </x:c>
      <x:c r="U464" s="20" t="str">
        <x:v>98</x:v>
      </x:c>
      <x:c r="V464" s="20" t="str">
        <x:v>闭环门控</x:v>
      </x:c>
      <x:c r="W464" s="20" t="str">
        <x:v>repair_status</x:v>
      </x:c>
      <x:c r="X464" s="20" t="str">
        <x:v>双向修复必须包含接收方反馈；否则最高RS4。</x:v>
      </x:c>
      <x:c r="Y464" s="20" t="str">
        <x:v>没有接收方真实反馈时，只能说一方完成了部分责任，不能说双方已经闭环。</x:v>
      </x:c>
      <x:c r="Z46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4" s="20" t="str">
        <x:v>高</x:v>
      </x:c>
      <x:c r="AB464" s="20" t="str">
        <x:v>待验证</x:v>
      </x:c>
      <x:c r="AC464" s="20" t="str"/>
      <x:c r="AD464" s="20" t="str">
        <x:v>provisional=true；M3-REPAIR尚未完成，完成条件为暂定功能模型。</x:v>
      </x:c>
      <x:c r="AE464" s="52" t="str">
        <x:v>0.7</x:v>
      </x:c>
    </x:row>
    <x:row r="465">
      <x:c r="A465" s="51" t="str">
        <x:v>M4-REPAIR-464</x:v>
      </x:c>
      <x:c r="B465" s="20" t="str">
        <x:v>安全门控｜RI08／RF08优先停止普通修复</x:v>
      </x:c>
      <x:c r="C465" s="20" t="str">
        <x:v>L10 接口、评分、报告与发布</x:v>
      </x:c>
      <x:c r="D465" s="20" t="str">
        <x:v>REPAIR-合成发布</x:v>
      </x:c>
      <x:c r="E465" s="20" t="str">
        <x:v>通用</x:v>
      </x:c>
      <x:c r="F465" s="20" t="str">
        <x:v>安全</x:v>
      </x:c>
      <x:c r="G465" s="20" t="str">
        <x:v>RI08／RF08</x:v>
      </x:c>
      <x:c r="H465" s="20" t="str"/>
      <x:c r="I465" s="20" t="str">
        <x:v>不存在安全风险，或已由现实支持处理。</x:v>
      </x:c>
      <x:c r="J465" s="20" t="str">
        <x:v>安全风险仍在却继续普通修复建议。</x:v>
      </x:c>
      <x:c r="K465" s="20" t="str">
        <x:v>由共享基础引擎提供；仅修正修复功能的承载、持续与压力占位，不直接等同是否愿意认错或能否修复。</x:v>
      </x:c>
      <x:c r="L465" s="20" t="str">
        <x:v>由M1／M2提供；夫妻星只说明伴侣原型与关系资格，不单独证明修复能力、修复意愿或修复结果。</x:v>
      </x:c>
      <x:c r="M465" s="20" t="str">
        <x:v>由M3-BASE提供；日支底盘说明亲密关系中自然调用的功能，但不能单独证明修复闭环。</x:v>
      </x:c>
      <x:c r="N465" s="20" t="str">
        <x:v>由M3-CONFLICT、M4-LOOP及现实事件提供；必须区分问题停止、责任承担、影响确认、行动改变、反馈整合与后续回访。</x:v>
      </x:c>
      <x:c r="O465" s="20" t="str">
        <x:v>由共享基础引擎判定；近位提高相关功能进入亲密关系核心的概率，远位只作背景或阶段修正。</x:v>
      </x:c>
      <x:c r="P465" s="20" t="str">
        <x:v>根气只修正某修复功能是否容易重复调用，不等于现实中已经持续改变。</x:v>
      </x:c>
      <x:c r="Q465" s="20" t="str">
        <x:v>旺弱只修正功能调用强度与占位，不直接等同修复质量、诚意或关系结果。</x:v>
      </x:c>
      <x:c r="R465" s="20" t="str">
        <x:v>喜忌只修正功能摩擦、平衡与承载，不直接等同道德、成熟、善恶或是否值得原谅。</x:v>
      </x:c>
      <x:c r="S465" s="20" t="str">
        <x:v>原十神功能有效；真合化成立时按化神功能替换，合化争议时停止定性。</x:v>
      </x:c>
      <x:c r="T465" s="20" t="str">
        <x:v>近位提高修复议题与亲密关系的直接相关性；远位仅保留背景、阶段或低置信修正。</x:v>
      </x:c>
      <x:c r="U465" s="20" t="str">
        <x:v>100</x:v>
      </x:c>
      <x:c r="V465" s="20" t="str">
        <x:v>安全停止</x:v>
      </x:c>
      <x:c r="W465" s="20" t="str">
        <x:v>report_status</x:v>
      </x:c>
      <x:c r="X465" s="20" t="str">
        <x:v>安全优先于关系修复目标。</x:v>
      </x:c>
      <x:c r="Y465" s="20" t="str">
        <x:v>若伤害仍在继续，应先处理安全和责任，不以恢复关系为优先。</x:v>
      </x:c>
      <x:c r="Z46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5" s="20" t="str">
        <x:v>高</x:v>
      </x:c>
      <x:c r="AB465" s="20" t="str">
        <x:v>待验证</x:v>
      </x:c>
      <x:c r="AC465" s="20" t="str"/>
      <x:c r="AD465" s="20" t="str">
        <x:v>provisional=true；M3-REPAIR尚未完成，完成条件为暂定功能模型。</x:v>
      </x:c>
      <x:c r="AE465" s="52" t="str">
        <x:v>0.7</x:v>
      </x:c>
    </x:row>
    <x:row r="466">
      <x:c r="A466" s="51" t="str">
        <x:v>M4-REPAIR-465</x:v>
      </x:c>
      <x:c r="B466" s="20" t="str">
        <x:v>E1结构候选评分</x:v>
      </x:c>
      <x:c r="C466" s="20" t="str">
        <x:v>L10 接口、评分、报告与发布</x:v>
      </x:c>
      <x:c r="D466" s="20" t="str">
        <x:v>REPAIR-合成发布</x:v>
      </x:c>
      <x:c r="E466" s="20" t="str">
        <x:v>通用</x:v>
      </x:c>
      <x:c r="F466" s="20" t="str">
        <x:v>评分</x:v>
      </x:c>
      <x:c r="G466" s="20" t="str">
        <x:v>E1</x:v>
      </x:c>
      <x:c r="H466" s="20" t="str"/>
      <x:c r="I466" s="20" t="str">
        <x:v>有效功能＋明确RB／RF候选＋两类独立结构证据。</x:v>
      </x:c>
      <x:c r="J466" s="20" t="str">
        <x:v>只有一个十神或单项旺弱。</x:v>
      </x:c>
      <x:c r="K466" s="20" t="str">
        <x:v>由共享基础引擎提供；仅修正修复功能的承载、持续与压力占位，不直接等同是否愿意认错或能否修复。</x:v>
      </x:c>
      <x:c r="L466" s="20" t="str">
        <x:v>由M1／M2提供；夫妻星只说明伴侣原型与关系资格，不单独证明修复能力、修复意愿或修复结果。</x:v>
      </x:c>
      <x:c r="M466" s="20" t="str">
        <x:v>由M3-BASE提供；日支底盘说明亲密关系中自然调用的功能，但不能单独证明修复闭环。</x:v>
      </x:c>
      <x:c r="N466" s="20" t="str">
        <x:v>由M3-CONFLICT、M4-LOOP及现实事件提供；必须区分问题停止、责任承担、影响确认、行动改变、反馈整合与后续回访。</x:v>
      </x:c>
      <x:c r="O466" s="20" t="str">
        <x:v>由共享基础引擎判定；近位提高相关功能进入亲密关系核心的概率，远位只作背景或阶段修正。</x:v>
      </x:c>
      <x:c r="P466" s="20" t="str">
        <x:v>根气只修正某修复功能是否容易重复调用，不等于现实中已经持续改变。</x:v>
      </x:c>
      <x:c r="Q466" s="20" t="str">
        <x:v>旺弱只修正功能调用强度与占位，不直接等同修复质量、诚意或关系结果。</x:v>
      </x:c>
      <x:c r="R466" s="20" t="str">
        <x:v>喜忌只修正功能摩擦、平衡与承载，不直接等同道德、成熟、善恶或是否值得原谅。</x:v>
      </x:c>
      <x:c r="S466" s="20" t="str">
        <x:v>原十神功能有效；真合化成立时按化神功能替换，合化争议时停止定性。</x:v>
      </x:c>
      <x:c r="T466" s="20" t="str">
        <x:v>近位提高修复议题与亲密关系的直接相关性；远位仅保留背景、阶段或低置信修正。</x:v>
      </x:c>
      <x:c r="U466" s="20" t="str">
        <x:v>80</x:v>
      </x:c>
      <x:c r="V466" s="20" t="str">
        <x:v>暂定阈值≥24</x:v>
      </x:c>
      <x:c r="W466" s="20" t="str">
        <x:v>evidence_level</x:v>
      </x:c>
      <x:c r="X466" s="20" t="str">
        <x:v>净分≥24可发布结构候选，不能写现实修复失败。</x:v>
      </x:c>
      <x:c r="Y466" s="20" t="str">
        <x:v>结构上可能存在某个修复卡点，但仍需现实事件验证。</x:v>
      </x:c>
      <x:c r="Z46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6" s="20" t="str">
        <x:v>中</x:v>
      </x:c>
      <x:c r="AB466" s="20" t="str">
        <x:v>待验证</x:v>
      </x:c>
      <x:c r="AC466" s="20" t="str"/>
      <x:c r="AD466" s="20" t="str">
        <x:v>provisional=true；M3-REPAIR尚未完成，完成条件为暂定功能模型。</x:v>
      </x:c>
      <x:c r="AE466" s="52" t="str">
        <x:v>0.7</x:v>
      </x:c>
    </x:row>
    <x:row r="467">
      <x:c r="A467" s="51" t="str">
        <x:v>M4-REPAIR-466</x:v>
      </x:c>
      <x:c r="B467" s="20" t="str">
        <x:v>E2事件卡点评分</x:v>
      </x:c>
      <x:c r="C467" s="20" t="str">
        <x:v>L10 接口、评分、报告与发布</x:v>
      </x:c>
      <x:c r="D467" s="20" t="str">
        <x:v>REPAIR-合成发布</x:v>
      </x:c>
      <x:c r="E467" s="20" t="str">
        <x:v>通用</x:v>
      </x:c>
      <x:c r="F467" s="20" t="str">
        <x:v>评分</x:v>
      </x:c>
      <x:c r="G467" s="20" t="str">
        <x:v>E2</x:v>
      </x:c>
      <x:c r="H467" s="20" t="str"/>
      <x:c r="I467" s="20" t="str">
        <x:v>E1＋具体事件＋缺失节点／过早结案＋接收方资料或第二独立来源。</x:v>
      </x:c>
      <x:c r="J467" s="20" t="str">
        <x:v>无具体事件或只有标签。</x:v>
      </x:c>
      <x:c r="K467" s="20" t="str">
        <x:v>由共享基础引擎提供；仅修正修复功能的承载、持续与压力占位，不直接等同是否愿意认错或能否修复。</x:v>
      </x:c>
      <x:c r="L467" s="20" t="str">
        <x:v>由M1／M2提供；夫妻星只说明伴侣原型与关系资格，不单独证明修复能力、修复意愿或修复结果。</x:v>
      </x:c>
      <x:c r="M467" s="20" t="str">
        <x:v>由M3-BASE提供；日支底盘说明亲密关系中自然调用的功能，但不能单独证明修复闭环。</x:v>
      </x:c>
      <x:c r="N467" s="20" t="str">
        <x:v>由M3-CONFLICT、M4-LOOP及现实事件提供；必须区分问题停止、责任承担、影响确认、行动改变、反馈整合与后续回访。</x:v>
      </x:c>
      <x:c r="O467" s="20" t="str">
        <x:v>由共享基础引擎判定；近位提高相关功能进入亲密关系核心的概率，远位只作背景或阶段修正。</x:v>
      </x:c>
      <x:c r="P467" s="20" t="str">
        <x:v>根气只修正某修复功能是否容易重复调用，不等于现实中已经持续改变。</x:v>
      </x:c>
      <x:c r="Q467" s="20" t="str">
        <x:v>旺弱只修正功能调用强度与占位，不直接等同修复质量、诚意或关系结果。</x:v>
      </x:c>
      <x:c r="R467" s="20" t="str">
        <x:v>喜忌只修正功能摩擦、平衡与承载，不直接等同道德、成熟、善恶或是否值得原谅。</x:v>
      </x:c>
      <x:c r="S467" s="20" t="str">
        <x:v>原十神功能有效；真合化成立时按化神功能替换，合化争议时停止定性。</x:v>
      </x:c>
      <x:c r="T467" s="20" t="str">
        <x:v>近位提高修复议题与亲密关系的直接相关性；远位仅保留背景、阶段或低置信修正。</x:v>
      </x:c>
      <x:c r="U467" s="20" t="str">
        <x:v>82</x:v>
      </x:c>
      <x:c r="V467" s="20" t="str">
        <x:v>暂定阈值≥38</x:v>
      </x:c>
      <x:c r="W467" s="20" t="str">
        <x:v>evidence_level</x:v>
      </x:c>
      <x:c r="X467" s="20" t="str">
        <x:v>净分≥38可发布事件修复卡点。</x:v>
      </x:c>
      <x:c r="Y467" s="20" t="str">
        <x:v>在这类事件中，某个修复步骤更容易缺失或被另一方式替代。</x:v>
      </x:c>
      <x:c r="Z46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7" s="20" t="str">
        <x:v>中高</x:v>
      </x:c>
      <x:c r="AB467" s="20" t="str">
        <x:v>待验证</x:v>
      </x:c>
      <x:c r="AC467" s="20" t="str"/>
      <x:c r="AD467" s="20" t="str">
        <x:v>provisional=true；M3-REPAIR尚未完成，完成条件为暂定功能模型。</x:v>
      </x:c>
      <x:c r="AE467" s="52" t="str">
        <x:v>0.7</x:v>
      </x:c>
    </x:row>
    <x:row r="468">
      <x:c r="A468" s="51" t="str">
        <x:v>M4-REPAIR-467</x:v>
      </x:c>
      <x:c r="B468" s="20" t="str">
        <x:v>E3重复修复断链评分</x:v>
      </x:c>
      <x:c r="C468" s="20" t="str">
        <x:v>L10 接口、评分、报告与发布</x:v>
      </x:c>
      <x:c r="D468" s="20" t="str">
        <x:v>REPAIR-合成发布</x:v>
      </x:c>
      <x:c r="E468" s="20" t="str">
        <x:v>通用</x:v>
      </x:c>
      <x:c r="F468" s="20" t="str">
        <x:v>评分</x:v>
      </x:c>
      <x:c r="G468" s="20" t="str">
        <x:v>E3</x:v>
      </x:c>
      <x:c r="H468" s="20" t="str"/>
      <x:c r="I468" s="20" t="str">
        <x:v>至少两次相似事件；卡点位置稳定；现实复发和反例检查。</x:v>
      </x:c>
      <x:c r="J468" s="20" t="str">
        <x:v>只有一次修复事件。</x:v>
      </x:c>
      <x:c r="K468" s="20" t="str">
        <x:v>由共享基础引擎提供；仅修正修复功能的承载、持续与压力占位，不直接等同是否愿意认错或能否修复。</x:v>
      </x:c>
      <x:c r="L468" s="20" t="str">
        <x:v>由M1／M2提供；夫妻星只说明伴侣原型与关系资格，不单独证明修复能力、修复意愿或修复结果。</x:v>
      </x:c>
      <x:c r="M468" s="20" t="str">
        <x:v>由M3-BASE提供；日支底盘说明亲密关系中自然调用的功能，但不能单独证明修复闭环。</x:v>
      </x:c>
      <x:c r="N468" s="20" t="str">
        <x:v>由M3-CONFLICT、M4-LOOP及现实事件提供；必须区分问题停止、责任承担、影响确认、行动改变、反馈整合与后续回访。</x:v>
      </x:c>
      <x:c r="O468" s="20" t="str">
        <x:v>由共享基础引擎判定；近位提高相关功能进入亲密关系核心的概率，远位只作背景或阶段修正。</x:v>
      </x:c>
      <x:c r="P468" s="20" t="str">
        <x:v>根气只修正某修复功能是否容易重复调用，不等于现实中已经持续改变。</x:v>
      </x:c>
      <x:c r="Q468" s="20" t="str">
        <x:v>旺弱只修正功能调用强度与占位，不直接等同修复质量、诚意或关系结果。</x:v>
      </x:c>
      <x:c r="R468" s="20" t="str">
        <x:v>喜忌只修正功能摩擦、平衡与承载，不直接等同道德、成熟、善恶或是否值得原谅。</x:v>
      </x:c>
      <x:c r="S468" s="20" t="str">
        <x:v>原十神功能有效；真合化成立时按化神功能替换，合化争议时停止定性。</x:v>
      </x:c>
      <x:c r="T468" s="20" t="str">
        <x:v>近位提高修复议题与亲密关系的直接相关性；远位仅保留背景、阶段或低置信修正。</x:v>
      </x:c>
      <x:c r="U468" s="20" t="str">
        <x:v>84</x:v>
      </x:c>
      <x:c r="V468" s="20" t="str">
        <x:v>暂定阈值≥54</x:v>
      </x:c>
      <x:c r="W468" s="20" t="str">
        <x:v>evidence_level</x:v>
      </x:c>
      <x:c r="X468" s="20" t="str">
        <x:v>净分≥54可进入重复修复断链候选。</x:v>
      </x:c>
      <x:c r="Y468" s="20" t="str">
        <x:v>从多次经历看，相似的修复断点可能反复出现在同一位置。</x:v>
      </x:c>
      <x:c r="Z46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8" s="20" t="str">
        <x:v>中高</x:v>
      </x:c>
      <x:c r="AB468" s="20" t="str">
        <x:v>待验证</x:v>
      </x:c>
      <x:c r="AC468" s="20" t="str"/>
      <x:c r="AD468" s="20" t="str">
        <x:v>provisional=true；M3-REPAIR尚未完成，完成条件为暂定功能模型。</x:v>
      </x:c>
      <x:c r="AE468" s="52" t="str">
        <x:v>0.7</x:v>
      </x:c>
    </x:row>
    <x:row r="469">
      <x:c r="A469" s="51" t="str">
        <x:v>M4-REPAIR-468</x:v>
      </x:c>
      <x:c r="B469" s="20" t="str">
        <x:v>E4已验证修复模式评分</x:v>
      </x:c>
      <x:c r="C469" s="20" t="str">
        <x:v>L10 接口、评分、报告与发布</x:v>
      </x:c>
      <x:c r="D469" s="20" t="str">
        <x:v>REPAIR-合成发布</x:v>
      </x:c>
      <x:c r="E469" s="20" t="str">
        <x:v>通用</x:v>
      </x:c>
      <x:c r="F469" s="20" t="str">
        <x:v>评分</x:v>
      </x:c>
      <x:c r="G469" s="20" t="str">
        <x:v>E4</x:v>
      </x:c>
      <x:c r="H469" s="20" t="str"/>
      <x:c r="I469" s="20" t="str">
        <x:v>多次跨时间／情境资料、独立佐证、反例审查和持续跟踪。</x:v>
      </x:c>
      <x:c r="J469" s="20" t="str">
        <x:v>只凭高分或单方概括。</x:v>
      </x:c>
      <x:c r="K469" s="20" t="str">
        <x:v>由共享基础引擎提供；仅修正修复功能的承载、持续与压力占位，不直接等同是否愿意认错或能否修复。</x:v>
      </x:c>
      <x:c r="L469" s="20" t="str">
        <x:v>由M1／M2提供；夫妻星只说明伴侣原型与关系资格，不单独证明修复能力、修复意愿或修复结果。</x:v>
      </x:c>
      <x:c r="M469" s="20" t="str">
        <x:v>由M3-BASE提供；日支底盘说明亲密关系中自然调用的功能，但不能单独证明修复闭环。</x:v>
      </x:c>
      <x:c r="N469" s="20" t="str">
        <x:v>由M3-CONFLICT、M4-LOOP及现实事件提供；必须区分问题停止、责任承担、影响确认、行动改变、反馈整合与后续回访。</x:v>
      </x:c>
      <x:c r="O469" s="20" t="str">
        <x:v>由共享基础引擎判定；近位提高相关功能进入亲密关系核心的概率，远位只作背景或阶段修正。</x:v>
      </x:c>
      <x:c r="P469" s="20" t="str">
        <x:v>根气只修正某修复功能是否容易重复调用，不等于现实中已经持续改变。</x:v>
      </x:c>
      <x:c r="Q469" s="20" t="str">
        <x:v>旺弱只修正功能调用强度与占位，不直接等同修复质量、诚意或关系结果。</x:v>
      </x:c>
      <x:c r="R469" s="20" t="str">
        <x:v>喜忌只修正功能摩擦、平衡与承载，不直接等同道德、成熟、善恶或是否值得原谅。</x:v>
      </x:c>
      <x:c r="S469" s="20" t="str">
        <x:v>原十神功能有效；真合化成立时按化神功能替换，合化争议时停止定性。</x:v>
      </x:c>
      <x:c r="T469" s="20" t="str">
        <x:v>近位提高修复议题与亲密关系的直接相关性；远位仅保留背景、阶段或低置信修正。</x:v>
      </x:c>
      <x:c r="U469" s="20" t="str">
        <x:v>86</x:v>
      </x:c>
      <x:c r="V469" s="20" t="str">
        <x:v>暂定阈值≥70</x:v>
      </x:c>
      <x:c r="W469" s="20" t="str">
        <x:v>evidence_level</x:v>
      </x:c>
      <x:c r="X469" s="20" t="str">
        <x:v>净分≥70并满足现实门槛才可写已验证模式。</x:v>
      </x:c>
      <x:c r="Y469" s="20" t="str">
        <x:v>只有在多次现实资料都支持时，才能把它写成已验证的修复模式。</x:v>
      </x:c>
      <x:c r="Z46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69" s="20" t="str">
        <x:v>高</x:v>
      </x:c>
      <x:c r="AB469" s="20" t="str">
        <x:v>待验证</x:v>
      </x:c>
      <x:c r="AC469" s="20" t="str"/>
      <x:c r="AD469" s="20" t="str">
        <x:v>provisional=true；M3-REPAIR尚未完成，完成条件为暂定功能模型。</x:v>
      </x:c>
      <x:c r="AE469" s="52" t="str">
        <x:v>0.7</x:v>
      </x:c>
    </x:row>
    <x:row r="470">
      <x:c r="A470" s="51" t="str">
        <x:v>M4-REPAIR-469</x:v>
      </x:c>
      <x:c r="B470" s="20" t="str">
        <x:v>主修复卡点门槛</x:v>
      </x:c>
      <x:c r="C470" s="20" t="str">
        <x:v>L10 接口、评分、报告与发布</x:v>
      </x:c>
      <x:c r="D470" s="20" t="str">
        <x:v>REPAIR-合成发布</x:v>
      </x:c>
      <x:c r="E470" s="20" t="str">
        <x:v>通用</x:v>
      </x:c>
      <x:c r="F470" s="20" t="str">
        <x:v>评分</x:v>
      </x:c>
      <x:c r="G470" s="20" t="str">
        <x:v>primary_break</x:v>
      </x:c>
      <x:c r="H470" s="20" t="str"/>
      <x:c r="I470" s="20" t="str">
        <x:v>净分≥38，至少两类独立证据，并领先第二候选≥8分。</x:v>
      </x:c>
      <x:c r="J470" s="20" t="str">
        <x:v>同源重复、现实反例或安全停止。</x:v>
      </x:c>
      <x:c r="K470" s="20" t="str">
        <x:v>由共享基础引擎提供；仅修正修复功能的承载、持续与压力占位，不直接等同是否愿意认错或能否修复。</x:v>
      </x:c>
      <x:c r="L470" s="20" t="str">
        <x:v>由M1／M2提供；夫妻星只说明伴侣原型与关系资格，不单独证明修复能力、修复意愿或修复结果。</x:v>
      </x:c>
      <x:c r="M470" s="20" t="str">
        <x:v>由M3-BASE提供；日支底盘说明亲密关系中自然调用的功能，但不能单独证明修复闭环。</x:v>
      </x:c>
      <x:c r="N470" s="20" t="str">
        <x:v>由M3-CONFLICT、M4-LOOP及现实事件提供；必须区分问题停止、责任承担、影响确认、行动改变、反馈整合与后续回访。</x:v>
      </x:c>
      <x:c r="O470" s="20" t="str">
        <x:v>由共享基础引擎判定；近位提高相关功能进入亲密关系核心的概率，远位只作背景或阶段修正。</x:v>
      </x:c>
      <x:c r="P470" s="20" t="str">
        <x:v>根气只修正某修复功能是否容易重复调用，不等于现实中已经持续改变。</x:v>
      </x:c>
      <x:c r="Q470" s="20" t="str">
        <x:v>旺弱只修正功能调用强度与占位，不直接等同修复质量、诚意或关系结果。</x:v>
      </x:c>
      <x:c r="R470" s="20" t="str">
        <x:v>喜忌只修正功能摩擦、平衡与承载，不直接等同道德、成熟、善恶或是否值得原谅。</x:v>
      </x:c>
      <x:c r="S470" s="20" t="str">
        <x:v>原十神功能有效；真合化成立时按化神功能替换，合化争议时停止定性。</x:v>
      </x:c>
      <x:c r="T470" s="20" t="str">
        <x:v>近位提高修复议题与亲密关系的直接相关性；远位仅保留背景、阶段或低置信修正。</x:v>
      </x:c>
      <x:c r="U470" s="20" t="str">
        <x:v>82</x:v>
      </x:c>
      <x:c r="V470" s="20" t="str">
        <x:v>主候选门槛</x:v>
      </x:c>
      <x:c r="W470" s="20" t="str">
        <x:v>primary_repair_break</x:v>
      </x:c>
      <x:c r="X470" s="20" t="str">
        <x:v>主卡点需有清晰功能位置和事件证据。</x:v>
      </x:c>
      <x:c r="Y470" s="20" t="str">
        <x:v>最终只保留最能解释现实事件的一个主要修复卡点。</x:v>
      </x:c>
      <x:c r="Z47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0" s="20" t="str">
        <x:v>中高</x:v>
      </x:c>
      <x:c r="AB470" s="20" t="str">
        <x:v>待验证</x:v>
      </x:c>
      <x:c r="AC470" s="20" t="str"/>
      <x:c r="AD470" s="20" t="str">
        <x:v>provisional=true；M3-REPAIR尚未完成，完成条件为暂定功能模型。</x:v>
      </x:c>
      <x:c r="AE470" s="52" t="str">
        <x:v>0.7</x:v>
      </x:c>
    </x:row>
    <x:row r="471">
      <x:c r="A471" s="51" t="str">
        <x:v>M4-REPAIR-470</x:v>
      </x:c>
      <x:c r="B471" s="20" t="str">
        <x:v>次修复卡点门槛</x:v>
      </x:c>
      <x:c r="C471" s="20" t="str">
        <x:v>L10 接口、评分、报告与发布</x:v>
      </x:c>
      <x:c r="D471" s="20" t="str">
        <x:v>REPAIR-合成发布</x:v>
      </x:c>
      <x:c r="E471" s="20" t="str">
        <x:v>通用</x:v>
      </x:c>
      <x:c r="F471" s="20" t="str">
        <x:v>评分</x:v>
      </x:c>
      <x:c r="G471" s="20" t="str">
        <x:v>secondary_break</x:v>
      </x:c>
      <x:c r="H471" s="20" t="str"/>
      <x:c r="I471" s="20" t="str">
        <x:v>净分≥28，来源独立、功能不同且非主卡点同义重复。</x:v>
      </x:c>
      <x:c r="J471" s="20" t="str">
        <x:v>只是主卡点的另一种说法。</x:v>
      </x:c>
      <x:c r="K471" s="20" t="str">
        <x:v>由共享基础引擎提供；仅修正修复功能的承载、持续与压力占位，不直接等同是否愿意认错或能否修复。</x:v>
      </x:c>
      <x:c r="L471" s="20" t="str">
        <x:v>由M1／M2提供；夫妻星只说明伴侣原型与关系资格，不单独证明修复能力、修复意愿或修复结果。</x:v>
      </x:c>
      <x:c r="M471" s="20" t="str">
        <x:v>由M3-BASE提供；日支底盘说明亲密关系中自然调用的功能，但不能单独证明修复闭环。</x:v>
      </x:c>
      <x:c r="N471" s="20" t="str">
        <x:v>由M3-CONFLICT、M4-LOOP及现实事件提供；必须区分问题停止、责任承担、影响确认、行动改变、反馈整合与后续回访。</x:v>
      </x:c>
      <x:c r="O471" s="20" t="str">
        <x:v>由共享基础引擎判定；近位提高相关功能进入亲密关系核心的概率，远位只作背景或阶段修正。</x:v>
      </x:c>
      <x:c r="P471" s="20" t="str">
        <x:v>根气只修正某修复功能是否容易重复调用，不等于现实中已经持续改变。</x:v>
      </x:c>
      <x:c r="Q471" s="20" t="str">
        <x:v>旺弱只修正功能调用强度与占位，不直接等同修复质量、诚意或关系结果。</x:v>
      </x:c>
      <x:c r="R471" s="20" t="str">
        <x:v>喜忌只修正功能摩擦、平衡与承载，不直接等同道德、成熟、善恶或是否值得原谅。</x:v>
      </x:c>
      <x:c r="S471" s="20" t="str">
        <x:v>原十神功能有效；真合化成立时按化神功能替换，合化争议时停止定性。</x:v>
      </x:c>
      <x:c r="T471" s="20" t="str">
        <x:v>近位提高修复议题与亲密关系的直接相关性；远位仅保留背景、阶段或低置信修正。</x:v>
      </x:c>
      <x:c r="U471" s="20" t="str">
        <x:v>78</x:v>
      </x:c>
      <x:c r="V471" s="20" t="str">
        <x:v>次候选门槛</x:v>
      </x:c>
      <x:c r="W471" s="20" t="str">
        <x:v>secondary_repair_break</x:v>
      </x:c>
      <x:c r="X471" s="20" t="str">
        <x:v>次卡点只用于补充不同修复任务。</x:v>
      </x:c>
      <x:c r="Y471" s="20" t="str">
        <x:v>只有在它负责另一项独立任务时，才保留为次级卡点。</x:v>
      </x:c>
      <x:c r="Z471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1" s="20" t="str">
        <x:v>中</x:v>
      </x:c>
      <x:c r="AB471" s="20" t="str">
        <x:v>待验证</x:v>
      </x:c>
      <x:c r="AC471" s="20" t="str"/>
      <x:c r="AD471" s="20" t="str">
        <x:v>provisional=true；M3-REPAIR尚未完成，完成条件为暂定功能模型。</x:v>
      </x:c>
      <x:c r="AE471" s="52" t="str">
        <x:v>0.7</x:v>
      </x:c>
    </x:row>
    <x:row r="472">
      <x:c r="A472" s="51" t="str">
        <x:v>M4-REPAIR-471</x:v>
      </x:c>
      <x:c r="B472" s="20" t="str">
        <x:v>高置信度规则</x:v>
      </x:c>
      <x:c r="C472" s="20" t="str">
        <x:v>L10 接口、评分、报告与发布</x:v>
      </x:c>
      <x:c r="D472" s="20" t="str">
        <x:v>REPAIR-合成发布</x:v>
      </x:c>
      <x:c r="E472" s="20" t="str">
        <x:v>通用</x:v>
      </x:c>
      <x:c r="F472" s="20" t="str">
        <x:v>置信</x:v>
      </x:c>
      <x:c r="G472" s="20" t="str">
        <x:v>高</x:v>
      </x:c>
      <x:c r="H472" s="20" t="str"/>
      <x:c r="I472" s="20" t="str">
        <x:v>RV5以上、关键节点完整、接收反馈存在、反例检查通过。</x:v>
      </x:c>
      <x:c r="J472" s="20" t="str">
        <x:v>资料主要来自命盘或单方概括。</x:v>
      </x:c>
      <x:c r="K472" s="20" t="str">
        <x:v>由共享基础引擎提供；仅修正修复功能的承载、持续与压力占位，不直接等同是否愿意认错或能否修复。</x:v>
      </x:c>
      <x:c r="L472" s="20" t="str">
        <x:v>由M1／M2提供；夫妻星只说明伴侣原型与关系资格，不单独证明修复能力、修复意愿或修复结果。</x:v>
      </x:c>
      <x:c r="M472" s="20" t="str">
        <x:v>由M3-BASE提供；日支底盘说明亲密关系中自然调用的功能，但不能单独证明修复闭环。</x:v>
      </x:c>
      <x:c r="N472" s="20" t="str">
        <x:v>由M3-CONFLICT、M4-LOOP及现实事件提供；必须区分问题停止、责任承担、影响确认、行动改变、反馈整合与后续回访。</x:v>
      </x:c>
      <x:c r="O472" s="20" t="str">
        <x:v>由共享基础引擎判定；近位提高相关功能进入亲密关系核心的概率，远位只作背景或阶段修正。</x:v>
      </x:c>
      <x:c r="P472" s="20" t="str">
        <x:v>根气只修正某修复功能是否容易重复调用，不等于现实中已经持续改变。</x:v>
      </x:c>
      <x:c r="Q472" s="20" t="str">
        <x:v>旺弱只修正功能调用强度与占位，不直接等同修复质量、诚意或关系结果。</x:v>
      </x:c>
      <x:c r="R472" s="20" t="str">
        <x:v>喜忌只修正功能摩擦、平衡与承载，不直接等同道德、成熟、善恶或是否值得原谅。</x:v>
      </x:c>
      <x:c r="S472" s="20" t="str">
        <x:v>原十神功能有效；真合化成立时按化神功能替换，合化争议时停止定性。</x:v>
      </x:c>
      <x:c r="T472" s="20" t="str">
        <x:v>近位提高修复议题与亲密关系的直接相关性；远位仅保留背景、阶段或低置信修正。</x:v>
      </x:c>
      <x:c r="U472" s="20" t="str">
        <x:v>78</x:v>
      </x:c>
      <x:c r="V472" s="20" t="str">
        <x:v>置信路由</x:v>
      </x:c>
      <x:c r="W472" s="20" t="str">
        <x:v>confidence</x:v>
      </x:c>
      <x:c r="X472" s="20" t="str">
        <x:v>高置信表示知识库证据充分，不是统计准确率。</x:v>
      </x:c>
      <x:c r="Y472" s="20" t="str">
        <x:v>当前结论有较完整的现实行为和后续资料支持。</x:v>
      </x:c>
      <x:c r="Z472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2" s="20" t="str">
        <x:v>高</x:v>
      </x:c>
      <x:c r="AB472" s="20" t="str">
        <x:v>待验证</x:v>
      </x:c>
      <x:c r="AC472" s="20" t="str"/>
      <x:c r="AD472" s="20" t="str">
        <x:v>provisional=true；M3-REPAIR尚未完成，完成条件为暂定功能模型。</x:v>
      </x:c>
      <x:c r="AE472" s="52" t="str">
        <x:v>0.7</x:v>
      </x:c>
    </x:row>
    <x:row r="473">
      <x:c r="A473" s="51" t="str">
        <x:v>M4-REPAIR-472</x:v>
      </x:c>
      <x:c r="B473" s="20" t="str">
        <x:v>中置信度规则</x:v>
      </x:c>
      <x:c r="C473" s="20" t="str">
        <x:v>L10 接口、评分、报告与发布</x:v>
      </x:c>
      <x:c r="D473" s="20" t="str">
        <x:v>REPAIR-合成发布</x:v>
      </x:c>
      <x:c r="E473" s="20" t="str">
        <x:v>通用</x:v>
      </x:c>
      <x:c r="F473" s="20" t="str">
        <x:v>置信</x:v>
      </x:c>
      <x:c r="G473" s="20" t="str">
        <x:v>中</x:v>
      </x:c>
      <x:c r="H473" s="20" t="str"/>
      <x:c r="I473" s="20" t="str">
        <x:v>RV3—RV4，有具体事件但持续性或独立资料不足。</x:v>
      </x:c>
      <x:c r="J473" s="20" t="str">
        <x:v>关键节点完全未知。</x:v>
      </x:c>
      <x:c r="K473" s="20" t="str">
        <x:v>由共享基础引擎提供；仅修正修复功能的承载、持续与压力占位，不直接等同是否愿意认错或能否修复。</x:v>
      </x:c>
      <x:c r="L473" s="20" t="str">
        <x:v>由M1／M2提供；夫妻星只说明伴侣原型与关系资格，不单独证明修复能力、修复意愿或修复结果。</x:v>
      </x:c>
      <x:c r="M473" s="20" t="str">
        <x:v>由M3-BASE提供；日支底盘说明亲密关系中自然调用的功能，但不能单独证明修复闭环。</x:v>
      </x:c>
      <x:c r="N473" s="20" t="str">
        <x:v>由M3-CONFLICT、M4-LOOP及现实事件提供；必须区分问题停止、责任承担、影响确认、行动改变、反馈整合与后续回访。</x:v>
      </x:c>
      <x:c r="O473" s="20" t="str">
        <x:v>由共享基础引擎判定；近位提高相关功能进入亲密关系核心的概率，远位只作背景或阶段修正。</x:v>
      </x:c>
      <x:c r="P473" s="20" t="str">
        <x:v>根气只修正某修复功能是否容易重复调用，不等于现实中已经持续改变。</x:v>
      </x:c>
      <x:c r="Q473" s="20" t="str">
        <x:v>旺弱只修正功能调用强度与占位，不直接等同修复质量、诚意或关系结果。</x:v>
      </x:c>
      <x:c r="R473" s="20" t="str">
        <x:v>喜忌只修正功能摩擦、平衡与承载，不直接等同道德、成熟、善恶或是否值得原谅。</x:v>
      </x:c>
      <x:c r="S473" s="20" t="str">
        <x:v>原十神功能有效；真合化成立时按化神功能替换，合化争议时停止定性。</x:v>
      </x:c>
      <x:c r="T473" s="20" t="str">
        <x:v>近位提高修复议题与亲密关系的直接相关性；远位仅保留背景、阶段或低置信修正。</x:v>
      </x:c>
      <x:c r="U473" s="20" t="str">
        <x:v>74</x:v>
      </x:c>
      <x:c r="V473" s="20" t="str">
        <x:v>置信路由</x:v>
      </x:c>
      <x:c r="W473" s="20" t="str">
        <x:v>confidence</x:v>
      </x:c>
      <x:c r="X473" s="20" t="str">
        <x:v>中置信适合条件性表达。</x:v>
      </x:c>
      <x:c r="Y473" s="20" t="str">
        <x:v>当前能够判断主要卡点，但持续性和完整闭环仍需观察。</x:v>
      </x:c>
      <x:c r="Z473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3" s="20" t="str">
        <x:v>中</x:v>
      </x:c>
      <x:c r="AB473" s="20" t="str">
        <x:v>待验证</x:v>
      </x:c>
      <x:c r="AC473" s="20" t="str"/>
      <x:c r="AD473" s="20" t="str">
        <x:v>provisional=true；M3-REPAIR尚未完成，完成条件为暂定功能模型。</x:v>
      </x:c>
      <x:c r="AE473" s="52" t="str">
        <x:v>0.7</x:v>
      </x:c>
    </x:row>
    <x:row r="474">
      <x:c r="A474" s="51" t="str">
        <x:v>M4-REPAIR-473</x:v>
      </x:c>
      <x:c r="B474" s="20" t="str">
        <x:v>低置信与停止规则</x:v>
      </x:c>
      <x:c r="C474" s="20" t="str">
        <x:v>L10 接口、评分、报告与发布</x:v>
      </x:c>
      <x:c r="D474" s="20" t="str">
        <x:v>REPAIR-合成发布</x:v>
      </x:c>
      <x:c r="E474" s="20" t="str">
        <x:v>通用</x:v>
      </x:c>
      <x:c r="F474" s="20" t="str">
        <x:v>置信</x:v>
      </x:c>
      <x:c r="G474" s="20" t="str">
        <x:v>低／停止</x:v>
      </x:c>
      <x:c r="H474" s="20" t="str"/>
      <x:c r="I474" s="20" t="str">
        <x:v>RV0—RV2、合化争议、安全事实、接收反馈未知或现实反例明显。</x:v>
      </x:c>
      <x:c r="J474" s="20" t="str">
        <x:v>强行补写节点。</x:v>
      </x:c>
      <x:c r="K474" s="20" t="str">
        <x:v>由共享基础引擎提供；仅修正修复功能的承载、持续与压力占位，不直接等同是否愿意认错或能否修复。</x:v>
      </x:c>
      <x:c r="L474" s="20" t="str">
        <x:v>由M1／M2提供；夫妻星只说明伴侣原型与关系资格，不单独证明修复能力、修复意愿或修复结果。</x:v>
      </x:c>
      <x:c r="M474" s="20" t="str">
        <x:v>由M3-BASE提供；日支底盘说明亲密关系中自然调用的功能，但不能单独证明修复闭环。</x:v>
      </x:c>
      <x:c r="N474" s="20" t="str">
        <x:v>由M3-CONFLICT、M4-LOOP及现实事件提供；必须区分问题停止、责任承担、影响确认、行动改变、反馈整合与后续回访。</x:v>
      </x:c>
      <x:c r="O474" s="20" t="str">
        <x:v>由共享基础引擎判定；近位提高相关功能进入亲密关系核心的概率，远位只作背景或阶段修正。</x:v>
      </x:c>
      <x:c r="P474" s="20" t="str">
        <x:v>根气只修正某修复功能是否容易重复调用，不等于现实中已经持续改变。</x:v>
      </x:c>
      <x:c r="Q474" s="20" t="str">
        <x:v>旺弱只修正功能调用强度与占位，不直接等同修复质量、诚意或关系结果。</x:v>
      </x:c>
      <x:c r="R474" s="20" t="str">
        <x:v>喜忌只修正功能摩擦、平衡与承载，不直接等同道德、成熟、善恶或是否值得原谅。</x:v>
      </x:c>
      <x:c r="S474" s="20" t="str">
        <x:v>原十神功能有效；真合化成立时按化神功能替换，合化争议时停止定性。</x:v>
      </x:c>
      <x:c r="T474" s="20" t="str">
        <x:v>近位提高修复议题与亲密关系的直接相关性；远位仅保留背景、阶段或低置信修正。</x:v>
      </x:c>
      <x:c r="U474" s="20" t="str">
        <x:v>94</x:v>
      </x:c>
      <x:c r="V474" s="20" t="str">
        <x:v>降级／停止</x:v>
      </x:c>
      <x:c r="W474" s="20" t="str">
        <x:v>report_status</x:v>
      </x:c>
      <x:c r="X474" s="20" t="str">
        <x:v>低证据只能输出未知、假设或停止。</x:v>
      </x:c>
      <x:c r="Y474" s="20" t="str">
        <x:v>目前资料不足以判断修复链是否真正中断，需要更多现实事件。</x:v>
      </x:c>
      <x:c r="Z474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4" s="20" t="str">
        <x:v>高</x:v>
      </x:c>
      <x:c r="AB474" s="20" t="str">
        <x:v>待验证</x:v>
      </x:c>
      <x:c r="AC474" s="20" t="str"/>
      <x:c r="AD474" s="20" t="str">
        <x:v>provisional=true；M3-REPAIR尚未完成，完成条件为暂定功能模型。</x:v>
      </x:c>
      <x:c r="AE474" s="52" t="str">
        <x:v>0.7</x:v>
      </x:c>
    </x:row>
    <x:row r="475">
      <x:c r="A475" s="51" t="str">
        <x:v>M4-REPAIR-474</x:v>
      </x:c>
      <x:c r="B475" s="20" t="str">
        <x:v>反例扣分规则</x:v>
      </x:c>
      <x:c r="C475" s="20" t="str">
        <x:v>L10 接口、评分、报告与发布</x:v>
      </x:c>
      <x:c r="D475" s="20" t="str">
        <x:v>REPAIR-合成发布</x:v>
      </x:c>
      <x:c r="E475" s="20" t="str">
        <x:v>通用</x:v>
      </x:c>
      <x:c r="F475" s="20" t="str">
        <x:v>评分</x:v>
      </x:c>
      <x:c r="G475" s="20" t="str">
        <x:v>counterevidence</x:v>
      </x:c>
      <x:c r="H475" s="20" t="str"/>
      <x:c r="I475" s="20" t="str">
        <x:v>存在成功修复、相反顺序、稳定保护或合理不继续关系。</x:v>
      </x:c>
      <x:c r="J475" s="20" t="str">
        <x:v>忽略反例。</x:v>
      </x:c>
      <x:c r="K475" s="20" t="str">
        <x:v>由共享基础引擎提供；仅修正修复功能的承载、持续与压力占位，不直接等同是否愿意认错或能否修复。</x:v>
      </x:c>
      <x:c r="L475" s="20" t="str">
        <x:v>由M1／M2提供；夫妻星只说明伴侣原型与关系资格，不单独证明修复能力、修复意愿或修复结果。</x:v>
      </x:c>
      <x:c r="M475" s="20" t="str">
        <x:v>由M3-BASE提供；日支底盘说明亲密关系中自然调用的功能，但不能单独证明修复闭环。</x:v>
      </x:c>
      <x:c r="N475" s="20" t="str">
        <x:v>由M3-CONFLICT、M4-LOOP及现实事件提供；必须区分问题停止、责任承担、影响确认、行动改变、反馈整合与后续回访。</x:v>
      </x:c>
      <x:c r="O475" s="20" t="str">
        <x:v>由共享基础引擎判定；近位提高相关功能进入亲密关系核心的概率，远位只作背景或阶段修正。</x:v>
      </x:c>
      <x:c r="P475" s="20" t="str">
        <x:v>根气只修正某修复功能是否容易重复调用，不等于现实中已经持续改变。</x:v>
      </x:c>
      <x:c r="Q475" s="20" t="str">
        <x:v>旺弱只修正功能调用强度与占位，不直接等同修复质量、诚意或关系结果。</x:v>
      </x:c>
      <x:c r="R475" s="20" t="str">
        <x:v>喜忌只修正功能摩擦、平衡与承载，不直接等同道德、成熟、善恶或是否值得原谅。</x:v>
      </x:c>
      <x:c r="S475" s="20" t="str">
        <x:v>原十神功能有效；真合化成立时按化神功能替换，合化争议时停止定性。</x:v>
      </x:c>
      <x:c r="T475" s="20" t="str">
        <x:v>近位提高修复议题与亲密关系的直接相关性；远位仅保留背景、阶段或低置信修正。</x:v>
      </x:c>
      <x:c r="U475" s="20" t="str">
        <x:v>92</x:v>
      </x:c>
      <x:c r="V475" s="20" t="str">
        <x:v>－4至－12／停止</x:v>
      </x:c>
      <x:c r="W475" s="20" t="str">
        <x:v>counterevidence</x:v>
      </x:c>
      <x:c r="X475" s="20" t="str">
        <x:v>强反例可扣4—12分或停止候选。</x:v>
      </x:c>
      <x:c r="Y475" s="20" t="str">
        <x:v>现实中若多次能完整修复，应降低这项卡点判断。</x:v>
      </x:c>
      <x:c r="Z475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5" s="20" t="str">
        <x:v>高</x:v>
      </x:c>
      <x:c r="AB475" s="20" t="str">
        <x:v>待验证</x:v>
      </x:c>
      <x:c r="AC475" s="20" t="str"/>
      <x:c r="AD475" s="20" t="str">
        <x:v>provisional=true；M3-REPAIR尚未完成，完成条件为暂定功能模型。</x:v>
      </x:c>
      <x:c r="AE475" s="52" t="str">
        <x:v>0.7</x:v>
      </x:c>
    </x:row>
    <x:row r="476">
      <x:c r="A476" s="51" t="str">
        <x:v>M4-REPAIR-475</x:v>
      </x:c>
      <x:c r="B476" s="20" t="str">
        <x:v>报告输出上限</x:v>
      </x:c>
      <x:c r="C476" s="20" t="str">
        <x:v>L10 接口、评分、报告与发布</x:v>
      </x:c>
      <x:c r="D476" s="20" t="str">
        <x:v>REPAIR-合成发布</x:v>
      </x:c>
      <x:c r="E476" s="20" t="str">
        <x:v>通用</x:v>
      </x:c>
      <x:c r="F476" s="20" t="str">
        <x:v>输出</x:v>
      </x:c>
      <x:c r="G476" s="20" t="str">
        <x:v>output_limit</x:v>
      </x:c>
      <x:c r="H476" s="20" t="str"/>
      <x:c r="I476" s="20" t="str">
        <x:v>完成主次、状态、证据和安全裁决。</x:v>
      </x:c>
      <x:c r="J476" s="20" t="str">
        <x:v>正文堆积多个卡点与十神标签。</x:v>
      </x:c>
      <x:c r="K476" s="20" t="str">
        <x:v>由共享基础引擎提供；仅修正修复功能的承载、持续与压力占位，不直接等同是否愿意认错或能否修复。</x:v>
      </x:c>
      <x:c r="L476" s="20" t="str">
        <x:v>由M1／M2提供；夫妻星只说明伴侣原型与关系资格，不单独证明修复能力、修复意愿或修复结果。</x:v>
      </x:c>
      <x:c r="M476" s="20" t="str">
        <x:v>由M3-BASE提供；日支底盘说明亲密关系中自然调用的功能，但不能单独证明修复闭环。</x:v>
      </x:c>
      <x:c r="N476" s="20" t="str">
        <x:v>由M3-CONFLICT、M4-LOOP及现实事件提供；必须区分问题停止、责任承担、影响确认、行动改变、反馈整合与后续回访。</x:v>
      </x:c>
      <x:c r="O476" s="20" t="str">
        <x:v>由共享基础引擎判定；近位提高相关功能进入亲密关系核心的概率，远位只作背景或阶段修正。</x:v>
      </x:c>
      <x:c r="P476" s="20" t="str">
        <x:v>根气只修正某修复功能是否容易重复调用，不等于现实中已经持续改变。</x:v>
      </x:c>
      <x:c r="Q476" s="20" t="str">
        <x:v>旺弱只修正功能调用强度与占位，不直接等同修复质量、诚意或关系结果。</x:v>
      </x:c>
      <x:c r="R476" s="20" t="str">
        <x:v>喜忌只修正功能摩擦、平衡与承载，不直接等同道德、成熟、善恶或是否值得原谅。</x:v>
      </x:c>
      <x:c r="S476" s="20" t="str">
        <x:v>原十神功能有效；真合化成立时按化神功能替换，合化争议时停止定性。</x:v>
      </x:c>
      <x:c r="T476" s="20" t="str">
        <x:v>近位提高修复议题与亲密关系的直接相关性；远位仅保留背景、阶段或低置信修正。</x:v>
      </x:c>
      <x:c r="U476" s="20" t="str">
        <x:v>92</x:v>
      </x:c>
      <x:c r="V476" s="20" t="str">
        <x:v>输出封顶</x:v>
      </x:c>
      <x:c r="W476" s="20" t="str">
        <x:v>report_status</x:v>
      </x:c>
      <x:c r="X476" s="20" t="str">
        <x:v>正文最多一个主卡点、一个次卡点、一个缺失节点、一个保护因素。</x:v>
      </x:c>
      <x:c r="Y476" s="20" t="str">
        <x:v>最终只保留最关键的修复断点，并说明如何验证。</x:v>
      </x:c>
      <x:c r="Z476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6" s="20" t="str">
        <x:v>高</x:v>
      </x:c>
      <x:c r="AB476" s="20" t="str">
        <x:v>待验证</x:v>
      </x:c>
      <x:c r="AC476" s="20" t="str"/>
      <x:c r="AD476" s="20" t="str">
        <x:v>provisional=true；M3-REPAIR尚未完成，完成条件为暂定功能模型。</x:v>
      </x:c>
      <x:c r="AE476" s="52" t="str">
        <x:v>0.7</x:v>
      </x:c>
    </x:row>
    <x:row r="477">
      <x:c r="A477" s="51" t="str">
        <x:v>M4-REPAIR-476</x:v>
      </x:c>
      <x:c r="B477" s="20" t="str">
        <x:v>标准四段式报告模板</x:v>
      </x:c>
      <x:c r="C477" s="20" t="str">
        <x:v>L10 接口、评分、报告与发布</x:v>
      </x:c>
      <x:c r="D477" s="20" t="str">
        <x:v>REPAIR-合成发布</x:v>
      </x:c>
      <x:c r="E477" s="20" t="str">
        <x:v>通用</x:v>
      </x:c>
      <x:c r="F477" s="20" t="str">
        <x:v>输出</x:v>
      </x:c>
      <x:c r="G477" s="20" t="str">
        <x:v>template_main</x:v>
      </x:c>
      <x:c r="H477" s="20" t="str"/>
      <x:c r="I477" s="20" t="str">
        <x:v>达到E2以上。</x:v>
      </x:c>
      <x:c r="J477" s="20" t="str">
        <x:v>资料不足或安全停止。</x:v>
      </x:c>
      <x:c r="K477" s="20" t="str">
        <x:v>由共享基础引擎提供；仅修正修复功能的承载、持续与压力占位，不直接等同是否愿意认错或能否修复。</x:v>
      </x:c>
      <x:c r="L477" s="20" t="str">
        <x:v>由M1／M2提供；夫妻星只说明伴侣原型与关系资格，不单独证明修复能力、修复意愿或修复结果。</x:v>
      </x:c>
      <x:c r="M477" s="20" t="str">
        <x:v>由M3-BASE提供；日支底盘说明亲密关系中自然调用的功能，但不能单独证明修复闭环。</x:v>
      </x:c>
      <x:c r="N477" s="20" t="str">
        <x:v>由M3-CONFLICT、M4-LOOP及现实事件提供；必须区分问题停止、责任承担、影响确认、行动改变、反馈整合与后续回访。</x:v>
      </x:c>
      <x:c r="O477" s="20" t="str">
        <x:v>由共享基础引擎判定；近位提高相关功能进入亲密关系核心的概率，远位只作背景或阶段修正。</x:v>
      </x:c>
      <x:c r="P477" s="20" t="str">
        <x:v>根气只修正某修复功能是否容易重复调用，不等于现实中已经持续改变。</x:v>
      </x:c>
      <x:c r="Q477" s="20" t="str">
        <x:v>旺弱只修正功能调用强度与占位，不直接等同修复质量、诚意或关系结果。</x:v>
      </x:c>
      <x:c r="R477" s="20" t="str">
        <x:v>喜忌只修正功能摩擦、平衡与承载，不直接等同道德、成熟、善恶或是否值得原谅。</x:v>
      </x:c>
      <x:c r="S477" s="20" t="str">
        <x:v>原十神功能有效；真合化成立时按化神功能替换，合化争议时停止定性。</x:v>
      </x:c>
      <x:c r="T477" s="20" t="str">
        <x:v>近位提高修复议题与亲密关系的直接相关性；远位仅保留背景、阶段或低置信修正。</x:v>
      </x:c>
      <x:c r="U477" s="20" t="str">
        <x:v>72</x:v>
      </x:c>
      <x:c r="V477" s="20" t="str">
        <x:v>模板</x:v>
      </x:c>
      <x:c r="W477" s="20" t="str">
        <x:v>report_text</x:v>
      </x:c>
      <x:c r="X477" s="20" t="str">
        <x:v>按正常功能—断点—验证—保护组织语言。</x:v>
      </x:c>
      <x:c r="Y477" s="20" t="str">
        <x:v>你本来会通过________启动修复；当前更容易卡在________。已经完成的是________，仍需确认的是________。如果________能够稳定进入，这个卡点会明显减弱。</x:v>
      </x:c>
      <x:c r="Z477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7" s="20" t="str">
        <x:v>中高</x:v>
      </x:c>
      <x:c r="AB477" s="20" t="str">
        <x:v>待验证</x:v>
      </x:c>
      <x:c r="AC477" s="20" t="str"/>
      <x:c r="AD477" s="20" t="str">
        <x:v>provisional=true；M3-REPAIR尚未完成，完成条件为暂定功能模型。</x:v>
      </x:c>
      <x:c r="AE477" s="52" t="str">
        <x:v>0.7</x:v>
      </x:c>
    </x:row>
    <x:row r="478">
      <x:c r="A478" s="51" t="str">
        <x:v>M4-REPAIR-477</x:v>
      </x:c>
      <x:c r="B478" s="20" t="str">
        <x:v>部分修复模板</x:v>
      </x:c>
      <x:c r="C478" s="20" t="str">
        <x:v>L10 接口、评分、报告与发布</x:v>
      </x:c>
      <x:c r="D478" s="20" t="str">
        <x:v>REPAIR-合成发布</x:v>
      </x:c>
      <x:c r="E478" s="20" t="str">
        <x:v>通用</x:v>
      </x:c>
      <x:c r="F478" s="20" t="str">
        <x:v>输出</x:v>
      </x:c>
      <x:c r="G478" s="20" t="str">
        <x:v>template_partial</x:v>
      </x:c>
      <x:c r="H478" s="20" t="str"/>
      <x:c r="I478" s="20" t="str">
        <x:v>RS3／RS4。</x:v>
      </x:c>
      <x:c r="J478" s="20" t="str">
        <x:v>直接写已经修复。</x:v>
      </x:c>
      <x:c r="K478" s="20" t="str">
        <x:v>由共享基础引擎提供；仅修正修复功能的承载、持续与压力占位，不直接等同是否愿意认错或能否修复。</x:v>
      </x:c>
      <x:c r="L478" s="20" t="str">
        <x:v>由M1／M2提供；夫妻星只说明伴侣原型与关系资格，不单独证明修复能力、修复意愿或修复结果。</x:v>
      </x:c>
      <x:c r="M478" s="20" t="str">
        <x:v>由M3-BASE提供；日支底盘说明亲密关系中自然调用的功能，但不能单独证明修复闭环。</x:v>
      </x:c>
      <x:c r="N478" s="20" t="str">
        <x:v>由M3-CONFLICT、M4-LOOP及现实事件提供；必须区分问题停止、责任承担、影响确认、行动改变、反馈整合与后续回访。</x:v>
      </x:c>
      <x:c r="O478" s="20" t="str">
        <x:v>由共享基础引擎判定；近位提高相关功能进入亲密关系核心的概率，远位只作背景或阶段修正。</x:v>
      </x:c>
      <x:c r="P478" s="20" t="str">
        <x:v>根气只修正某修复功能是否容易重复调用，不等于现实中已经持续改变。</x:v>
      </x:c>
      <x:c r="Q478" s="20" t="str">
        <x:v>旺弱只修正功能调用强度与占位，不直接等同修复质量、诚意或关系结果。</x:v>
      </x:c>
      <x:c r="R478" s="20" t="str">
        <x:v>喜忌只修正功能摩擦、平衡与承载，不直接等同道德、成熟、善恶或是否值得原谅。</x:v>
      </x:c>
      <x:c r="S478" s="20" t="str">
        <x:v>原十神功能有效；真合化成立时按化神功能替换，合化争议时停止定性。</x:v>
      </x:c>
      <x:c r="T478" s="20" t="str">
        <x:v>近位提高修复议题与亲密关系的直接相关性；远位仅保留背景、阶段或低置信修正。</x:v>
      </x:c>
      <x:c r="U478" s="20" t="str">
        <x:v>72</x:v>
      </x:c>
      <x:c r="V478" s="20" t="str">
        <x:v>模板</x:v>
      </x:c>
      <x:c r="W478" s="20" t="str">
        <x:v>report_text</x:v>
      </x:c>
      <x:c r="X478" s="20" t="str">
        <x:v>明确已经完成和仍缺失的节点。</x:v>
      </x:c>
      <x:c r="Y478" s="20" t="str">
        <x:v>修复已经开始，并完成了________；但________仍未进入，因此目前更接近部分修复。</x:v>
      </x:c>
      <x:c r="Z478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8" s="20" t="str">
        <x:v>中高</x:v>
      </x:c>
      <x:c r="AB478" s="20" t="str">
        <x:v>待验证</x:v>
      </x:c>
      <x:c r="AC478" s="20" t="str"/>
      <x:c r="AD478" s="20" t="str">
        <x:v>provisional=true；M3-REPAIR尚未完成，完成条件为暂定功能模型。</x:v>
      </x:c>
      <x:c r="AE478" s="52" t="str">
        <x:v>0.7</x:v>
      </x:c>
    </x:row>
    <x:row r="479">
      <x:c r="A479" s="51" t="str">
        <x:v>M4-REPAIR-478</x:v>
      </x:c>
      <x:c r="B479" s="20" t="str">
        <x:v>闭环候选模板</x:v>
      </x:c>
      <x:c r="C479" s="20" t="str">
        <x:v>L10 接口、评分、报告与发布</x:v>
      </x:c>
      <x:c r="D479" s="20" t="str">
        <x:v>REPAIR-合成发布</x:v>
      </x:c>
      <x:c r="E479" s="20" t="str">
        <x:v>通用</x:v>
      </x:c>
      <x:c r="F479" s="20" t="str">
        <x:v>输出</x:v>
      </x:c>
      <x:c r="G479" s="20" t="str">
        <x:v>template_closed</x:v>
      </x:c>
      <x:c r="H479" s="20" t="str"/>
      <x:c r="I479" s="20" t="str">
        <x:v>RS5且至少RV4／RV5。</x:v>
      </x:c>
      <x:c r="J479" s="20" t="str">
        <x:v>缺乏接收反馈或持续行为。</x:v>
      </x:c>
      <x:c r="K479" s="20" t="str">
        <x:v>由共享基础引擎提供；仅修正修复功能的承载、持续与压力占位，不直接等同是否愿意认错或能否修复。</x:v>
      </x:c>
      <x:c r="L479" s="20" t="str">
        <x:v>由M1／M2提供；夫妻星只说明伴侣原型与关系资格，不单独证明修复能力、修复意愿或修复结果。</x:v>
      </x:c>
      <x:c r="M479" s="20" t="str">
        <x:v>由M3-BASE提供；日支底盘说明亲密关系中自然调用的功能，但不能单独证明修复闭环。</x:v>
      </x:c>
      <x:c r="N479" s="20" t="str">
        <x:v>由M3-CONFLICT、M4-LOOP及现实事件提供；必须区分问题停止、责任承担、影响确认、行动改变、反馈整合与后续回访。</x:v>
      </x:c>
      <x:c r="O479" s="20" t="str">
        <x:v>由共享基础引擎判定；近位提高相关功能进入亲密关系核心的概率，远位只作背景或阶段修正。</x:v>
      </x:c>
      <x:c r="P479" s="20" t="str">
        <x:v>根气只修正某修复功能是否容易重复调用，不等于现实中已经持续改变。</x:v>
      </x:c>
      <x:c r="Q479" s="20" t="str">
        <x:v>旺弱只修正功能调用强度与占位，不直接等同修复质量、诚意或关系结果。</x:v>
      </x:c>
      <x:c r="R479" s="20" t="str">
        <x:v>喜忌只修正功能摩擦、平衡与承载，不直接等同道德、成熟、善恶或是否值得原谅。</x:v>
      </x:c>
      <x:c r="S479" s="20" t="str">
        <x:v>原十神功能有效；真合化成立时按化神功能替换，合化争议时停止定性。</x:v>
      </x:c>
      <x:c r="T479" s="20" t="str">
        <x:v>近位提高修复议题与亲密关系的直接相关性；远位仅保留背景、阶段或低置信修正。</x:v>
      </x:c>
      <x:c r="U479" s="20" t="str">
        <x:v>72</x:v>
      </x:c>
      <x:c r="V479" s="20" t="str">
        <x:v>模板</x:v>
      </x:c>
      <x:c r="W479" s="20" t="str">
        <x:v>report_text</x:v>
      </x:c>
      <x:c r="X479" s="20" t="str">
        <x:v>闭环候选必须保留持续性边界。</x:v>
      </x:c>
      <x:c r="Y479" s="20" t="str">
        <x:v>目前主要修复步骤已经进入，也有现实反馈；是否真正稳定，还要看________能否持续。</x:v>
      </x:c>
      <x:c r="Z479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79" s="20" t="str">
        <x:v>中高</x:v>
      </x:c>
      <x:c r="AB479" s="20" t="str">
        <x:v>待验证</x:v>
      </x:c>
      <x:c r="AC479" s="20" t="str"/>
      <x:c r="AD479" s="20" t="str">
        <x:v>provisional=true；M3-REPAIR尚未完成，完成条件为暂定功能模型。</x:v>
      </x:c>
      <x:c r="AE479" s="52" t="str">
        <x:v>0.7</x:v>
      </x:c>
    </x:row>
    <x:row r="480">
      <x:c r="A480" s="51" t="str">
        <x:v>M4-REPAIR-479</x:v>
      </x:c>
      <x:c r="B480" s="20" t="str">
        <x:v>安全／不继续关系模板</x:v>
      </x:c>
      <x:c r="C480" s="20" t="str">
        <x:v>L10 接口、评分、报告与发布</x:v>
      </x:c>
      <x:c r="D480" s="20" t="str">
        <x:v>REPAIR-合成发布</x:v>
      </x:c>
      <x:c r="E480" s="20" t="str">
        <x:v>通用</x:v>
      </x:c>
      <x:c r="F480" s="20" t="str">
        <x:v>输出</x:v>
      </x:c>
      <x:c r="G480" s="20" t="str">
        <x:v>template_safety</x:v>
      </x:c>
      <x:c r="H480" s="20" t="str"/>
      <x:c r="I480" s="20" t="str">
        <x:v>RS7或安全门控成立。</x:v>
      </x:c>
      <x:c r="J480" s="20" t="str">
        <x:v>使用“双方都要改变”淡化责任。</x:v>
      </x:c>
      <x:c r="K480" s="20" t="str">
        <x:v>由共享基础引擎提供；仅修正修复功能的承载、持续与压力占位，不直接等同是否愿意认错或能否修复。</x:v>
      </x:c>
      <x:c r="L480" s="20" t="str">
        <x:v>由M1／M2提供；夫妻星只说明伴侣原型与关系资格，不单独证明修复能力、修复意愿或修复结果。</x:v>
      </x:c>
      <x:c r="M480" s="20" t="str">
        <x:v>由M3-BASE提供；日支底盘说明亲密关系中自然调用的功能，但不能单独证明修复闭环。</x:v>
      </x:c>
      <x:c r="N480" s="20" t="str">
        <x:v>由M3-CONFLICT、M4-LOOP及现实事件提供；必须区分问题停止、责任承担、影响确认、行动改变、反馈整合与后续回访。</x:v>
      </x:c>
      <x:c r="O480" s="20" t="str">
        <x:v>由共享基础引擎判定；近位提高相关功能进入亲密关系核心的概率，远位只作背景或阶段修正。</x:v>
      </x:c>
      <x:c r="P480" s="20" t="str">
        <x:v>根气只修正某修复功能是否容易重复调用，不等于现实中已经持续改变。</x:v>
      </x:c>
      <x:c r="Q480" s="20" t="str">
        <x:v>旺弱只修正功能调用强度与占位，不直接等同修复质量、诚意或关系结果。</x:v>
      </x:c>
      <x:c r="R480" s="20" t="str">
        <x:v>喜忌只修正功能摩擦、平衡与承载，不直接等同道德、成熟、善恶或是否值得原谅。</x:v>
      </x:c>
      <x:c r="S480" s="20" t="str">
        <x:v>原十神功能有效；真合化成立时按化神功能替换，合化争议时停止定性。</x:v>
      </x:c>
      <x:c r="T480" s="20" t="str">
        <x:v>近位提高修复议题与亲密关系的直接相关性；远位仅保留背景、阶段或低置信修正。</x:v>
      </x:c>
      <x:c r="U480" s="20" t="str">
        <x:v>100</x:v>
      </x:c>
      <x:c r="V480" s="20" t="str">
        <x:v>安全模板</x:v>
      </x:c>
      <x:c r="W480" s="20" t="str">
        <x:v>report_text</x:v>
      </x:c>
      <x:c r="X480" s="20" t="str">
        <x:v>安全和选择权优先。</x:v>
      </x:c>
      <x:c r="Y480" s="20" t="str">
        <x:v>这里不以尽快和好为目标。首先应停止伤害、明确责任并保护选择权；是否继续关系由受到影响的一方自主决定。</x:v>
      </x:c>
      <x:c r="Z480" s="20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80" s="20" t="str">
        <x:v>高</x:v>
      </x:c>
      <x:c r="AB480" s="20" t="str">
        <x:v>待验证</x:v>
      </x:c>
      <x:c r="AC480" s="20" t="str"/>
      <x:c r="AD480" s="20" t="str">
        <x:v>provisional=true；M3-REPAIR尚未完成，完成条件为暂定功能模型。</x:v>
      </x:c>
      <x:c r="AE480" s="52" t="str">
        <x:v>0.7</x:v>
      </x:c>
    </x:row>
    <x:row r="481">
      <x:c r="A481" s="53" t="str">
        <x:v>M4-REPAIR-480</x:v>
      </x:c>
      <x:c r="B481" s="54" t="str">
        <x:v>案例验证与发布状态</x:v>
      </x:c>
      <x:c r="C481" s="54" t="str">
        <x:v>L10 接口、评分、报告与发布</x:v>
      </x:c>
      <x:c r="D481" s="54" t="str">
        <x:v>REPAIR-合成发布</x:v>
      </x:c>
      <x:c r="E481" s="54" t="str">
        <x:v>通用</x:v>
      </x:c>
      <x:c r="F481" s="54" t="str">
        <x:v>发布</x:v>
      </x:c>
      <x:c r="G481" s="54" t="str">
        <x:v>validation</x:v>
      </x:c>
      <x:c r="H481" s="54" t="str"/>
      <x:c r="I481" s="54" t="str">
        <x:v>规则进入真实案例测试，并记录支持、反例、偏差和修改。</x:v>
      </x:c>
      <x:c r="J481" s="54" t="str">
        <x:v>把待验证规则当统计结论。</x:v>
      </x:c>
      <x:c r="K481" s="54" t="str">
        <x:v>由共享基础引擎提供；仅修正修复功能的承载、持续与压力占位，不直接等同是否愿意认错或能否修复。</x:v>
      </x:c>
      <x:c r="L481" s="54" t="str">
        <x:v>由M1／M2提供；夫妻星只说明伴侣原型与关系资格，不单独证明修复能力、修复意愿或修复结果。</x:v>
      </x:c>
      <x:c r="M481" s="54" t="str">
        <x:v>由M3-BASE提供；日支底盘说明亲密关系中自然调用的功能，但不能单独证明修复闭环。</x:v>
      </x:c>
      <x:c r="N481" s="54" t="str">
        <x:v>由M3-CONFLICT、M4-LOOP及现实事件提供；必须区分问题停止、责任承担、影响确认、行动改变、反馈整合与后续回访。</x:v>
      </x:c>
      <x:c r="O481" s="54" t="str">
        <x:v>由共享基础引擎判定；近位提高相关功能进入亲密关系核心的概率，远位只作背景或阶段修正。</x:v>
      </x:c>
      <x:c r="P481" s="54" t="str">
        <x:v>根气只修正某修复功能是否容易重复调用，不等于现实中已经持续改变。</x:v>
      </x:c>
      <x:c r="Q481" s="54" t="str">
        <x:v>旺弱只修正功能调用强度与占位，不直接等同修复质量、诚意或关系结果。</x:v>
      </x:c>
      <x:c r="R481" s="54" t="str">
        <x:v>喜忌只修正功能摩擦、平衡与承载，不直接等同道德、成熟、善恶或是否值得原谅。</x:v>
      </x:c>
      <x:c r="S481" s="54" t="str">
        <x:v>原十神功能有效；真合化成立时按化神功能替换，合化争议时停止定性。</x:v>
      </x:c>
      <x:c r="T481" s="54" t="str">
        <x:v>近位提高修复议题与亲密关系的直接相关性；远位仅保留背景、阶段或低置信修正。</x:v>
      </x:c>
      <x:c r="U481" s="54" t="str">
        <x:v>88</x:v>
      </x:c>
      <x:c r="V481" s="54" t="str">
        <x:v>发布门控</x:v>
      </x:c>
      <x:c r="W481" s="54" t="str">
        <x:v>validation_status</x:v>
      </x:c>
      <x:c r="X481" s="54" t="str">
        <x:v>当前全部provisional=true，需经案例校准。</x:v>
      </x:c>
      <x:c r="Y481" s="54" t="str">
        <x:v>这些规则用于结构化观察，分值和门槛仍需要真实案例校准。</x:v>
      </x:c>
      <x:c r="Z481" s="54" t="str">
        <x:v>不得仅凭本规则判断道歉真诚与否、要求对方原谅或复合、推断关系一定修复或失败、淡化暴力强迫与现实伤害、平均分配明显不对等的责任；现实安全、具体行为、反例与专业支持优先。</x:v>
      </x:c>
      <x:c r="AA481" s="54" t="str">
        <x:v>高</x:v>
      </x:c>
      <x:c r="AB481" s="54" t="str">
        <x:v>待验证</x:v>
      </x:c>
      <x:c r="AC481" s="54" t="str"/>
      <x:c r="AD481" s="54" t="str">
        <x:v>provisional=true；M3-REPAIR尚未完成，完成条件为暂定功能模型。</x:v>
      </x:c>
      <x:c r="AE481" s="55" t="str">
        <x:v>0.7</x:v>
      </x:c>
    </x:row>
  </x:sheetData>
  <x:conditionalFormatting sqref="AB2:AB481">
    <x:cfRule type="expression" dxfId="0" priority="1">
      <x:formula>AB2="已验证"</x:formula>
    </x:cfRule>
    <x:cfRule type="expression" dxfId="1" priority="2">
      <x:formula>AB2="需修改"</x:formula>
    </x:cfRule>
    <x:cfRule type="expression" dxfId="2" priority="3">
      <x:formula>AB2="停用"</x:formula>
    </x:cfRule>
  </x:conditionalFormatting>
  <x:dataValidations count="2">
    <x:dataValidation type="list" sqref="AA2:AA481">
      <x:formula1>"高,中高,中,中低,低,停止"</x:formula1>
    </x:dataValidation>
    <x:dataValidation type="list" sqref="AB2:AB481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d397fc29b04e0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40" hidden="0" customWidth="1"/>
    <x:col min="5" max="5" width="40" hidden="0" customWidth="1"/>
    <x:col min="6" max="6" width="36" hidden="0" customWidth="1"/>
  </x:cols>
  <x:sheetData>
    <x:row r="1" ht="28" customHeight="1">
      <x:c r="A1" s="5" t="str">
        <x:v>高优先级边界、安全、去重与停止规则</x:v>
      </x:c>
      <x:c r="B1" s="5"/>
      <x:c r="C1" s="5"/>
      <x:c r="D1" s="5"/>
      <x:c r="E1" s="5"/>
      <x:c r="F1" s="5"/>
    </x:row>
    <x:row r="2" ht="34" customHeight="1">
      <x:c r="A2" s="13" t="str">
        <x:v>发布前逐项检查。</x:v>
      </x:c>
      <x:c r="B2" s="13"/>
      <x:c r="C2" s="13"/>
      <x:c r="D2" s="13"/>
      <x:c r="E2" s="13"/>
      <x:c r="F2" s="13"/>
    </x:row>
    <x:row r="4">
      <x:c r="A4" s="48" t="str">
        <x:v>规则ID</x:v>
      </x:c>
      <x:c r="B4" s="49" t="str">
        <x:v>规则</x:v>
      </x:c>
      <x:c r="C4" s="49" t="str">
        <x:v>类型</x:v>
      </x:c>
      <x:c r="D4" s="49" t="str">
        <x:v>必要条件</x:v>
      </x:c>
      <x:c r="E4" s="49" t="str">
        <x:v>排除／停止</x:v>
      </x:c>
      <x:c r="F4" s="50" t="str">
        <x:v>用户提示</x:v>
      </x:c>
    </x:row>
    <x:row r="5">
      <x:c r="A5" s="51" t="str">
        <x:v>M4-REPAIR-001</x:v>
      </x:c>
      <x:c r="B5" s="20" t="str">
        <x:v>M4-REPAIR正式定义｜修复卡点、回流断点与完成边界</x:v>
      </x:c>
      <x:c r="C5" s="20" t="str">
        <x:v>定义</x:v>
      </x:c>
      <x:c r="D5" s="20" t="str">
        <x:v>已经存在一件可还原的分歧、伤害、失约、边界或循环事件，并准备区分问题结案与关系修复。</x:v>
      </x:c>
      <x:c r="E5" s="20" t="str">
        <x:v>只凭十神、旺弱或宫位动态判断修复成败。</x:v>
      </x:c>
      <x:c r="F5" s="52" t="str">
        <x:v>这一部分看的是：事情结束以后，关系需要的哪些步骤已经完成，哪些步骤仍然没有回流。</x:v>
      </x:c>
    </x:row>
    <x:row r="6">
      <x:c r="A6" s="51" t="str">
        <x:v>M4-REPAIR-002</x:v>
      </x:c>
      <x:c r="B6" s="20" t="str">
        <x:v>问题停止不等于关系修复｜必须分开两套完成条件</x:v>
      </x:c>
      <x:c r="C6" s="20" t="str">
        <x:v>边界</x:v>
      </x:c>
      <x:c r="D6" s="20" t="str">
        <x:v>能够分别记录事件是否停止、任务是否解决、感受是否被看见、责任是否承担和行为是否改变。</x:v>
      </x:c>
      <x:c r="E6" s="20" t="str">
        <x:v>把不再争论、问题解决或情绪平静直接写成关系已经修复。</x:v>
      </x:c>
      <x:c r="F6" s="52" t="str">
        <x:v>事情可以已经结束，但关系是否修复，还要看影响有没有被看见、责任有没有承担、改变有没有持续。</x:v>
      </x:c>
    </x:row>
    <x:row r="7">
      <x:c r="A7" s="51" t="str">
        <x:v>M4-REPAIR-003</x:v>
      </x:c>
      <x:c r="B7" s="20" t="str">
        <x:v>修复尝试不等于修复完成｜一次动作只能证明启动</x:v>
      </x:c>
      <x:c r="C7" s="20" t="str">
        <x:v>边界</x:v>
      </x:c>
      <x:c r="D7" s="20" t="str">
        <x:v>存在道歉、解释、安抚、补偿、方案或重新联系等动作。</x:v>
      </x:c>
      <x:c r="E7" s="20" t="str">
        <x:v>只出现一次修复动作就发布“已经修复”。</x:v>
      </x:c>
      <x:c r="F7" s="52" t="str">
        <x:v>一次道歉、一次解释或一次补救，说明修复已经开始，但还不能单独证明关系已经恢复。</x:v>
      </x:c>
    </x:row>
    <x:row r="8">
      <x:c r="A8" s="51" t="str">
        <x:v>M4-REPAIR-004</x:v>
      </x:c>
      <x:c r="B8" s="20" t="str">
        <x:v>一方可以启动修复，但不能单独完成双方闭环</x:v>
      </x:c>
      <x:c r="C8" s="20" t="str">
        <x:v>边界</x:v>
      </x:c>
      <x:c r="D8" s="20" t="str">
        <x:v>区分发起者行动、接收者反馈、二次调整和后续回访。</x:v>
      </x:c>
      <x:c r="E8" s="20" t="str">
        <x:v>只有一方不断道歉或补救，却写成双方已经完成修复。</x:v>
      </x:c>
      <x:c r="F8" s="52" t="str">
        <x:v>你可以完成自己的责任和补救，但双方是否重新建立理解，需要对方有真实反馈和选择。</x:v>
      </x:c>
    </x:row>
    <x:row r="9">
      <x:c r="A9" s="51" t="str">
        <x:v>M4-REPAIR-005</x:v>
      </x:c>
      <x:c r="B9" s="20" t="str">
        <x:v>修复不等于必须原谅、复合或继续关系</x:v>
      </x:c>
      <x:c r="C9" s="20" t="str">
        <x:v>伦理</x:v>
      </x:c>
      <x:c r="D9" s="20" t="str">
        <x:v>区分修复行为、责任承担、原谅、信任和是否继续关系。</x:v>
      </x:c>
      <x:c r="E9" s="20" t="str">
        <x:v>用“修复”要求受影响者接受道歉、恢复联系或继续关系。</x:v>
      </x:c>
      <x:c r="F9" s="52" t="str">
        <x:v>即使对方做出补救，你仍有权决定是否原谅、是否恢复信任以及是否继续这段关系。</x:v>
      </x:c>
    </x:row>
    <x:row r="10">
      <x:c r="A10" s="51" t="str">
        <x:v>M4-REPAIR-006</x:v>
      </x:c>
      <x:c r="B10" s="20" t="str">
        <x:v>现实安全停止｜伤害和强迫不进入普通修复协商</x:v>
      </x:c>
      <x:c r="C10" s="20" t="str">
        <x:v>安全</x:v>
      </x:c>
      <x:c r="D10" s="20" t="str">
        <x:v>现实中不存在暴力、威胁、强迫、跟踪、经济控制、报复风险或明显权力压迫。</x:v>
      </x:c>
      <x:c r="E10" s="20" t="str">
        <x:v>存在安全风险却建议双方坐下来沟通、平均责任或快速和好。</x:v>
      </x:c>
      <x:c r="F10" s="52" t="str">
        <x:v>若存在威胁、强迫或人身安全风险，首要任务是安全和责任，不应把重点放在如何和好。</x:v>
      </x:c>
    </x:row>
    <x:row r="11">
      <x:c r="A11" s="51" t="str">
        <x:v>M4-REPAIR-007</x:v>
      </x:c>
      <x:c r="B11" s="20" t="str">
        <x:v>道歉标签不是证据｜必须拆成内容与后续</x:v>
      </x:c>
      <x:c r="C11" s="20" t="str">
        <x:v>证据</x:v>
      </x:c>
      <x:c r="D11" s="20" t="str">
        <x:v>记录是否承认事实、影响、责任，是否提出可执行改变并接收反馈。</x:v>
      </x:c>
      <x:c r="E11" s="20" t="str">
        <x:v>只记录“他道歉了”“我认错了”。</x:v>
      </x:c>
      <x:c r="F11" s="52" t="str">
        <x:v>需要继续看这次道歉具体承认了什么、准备怎样改变，以及后续有没有落实。</x:v>
      </x:c>
    </x:row>
    <x:row r="12">
      <x:c r="A12" s="51" t="str">
        <x:v>M4-REPAIR-008</x:v>
      </x:c>
      <x:c r="B12" s="20" t="str">
        <x:v>解释原因不等于承担责任</x:v>
      </x:c>
      <x:c r="C12" s="20" t="str">
        <x:v>边界</x:v>
      </x:c>
      <x:c r="D12" s="20" t="str">
        <x:v>能够区分说明原因、承认影响、承担责任和提出改变。</x:v>
      </x:c>
      <x:c r="E12" s="20" t="str">
        <x:v>用压力、原生家庭、工作或误会解释行为后，直接判定责任已经完成。</x:v>
      </x:c>
      <x:c r="F12" s="52" t="str">
        <x:v>解释为什么会发生有助于理解，但关系修复还需要明确承担影响并提出改变。</x:v>
      </x:c>
    </x:row>
    <x:row r="13">
      <x:c r="A13" s="51" t="str">
        <x:v>M4-REPAIR-009</x:v>
      </x:c>
      <x:c r="B13" s="20" t="str">
        <x:v>补偿与礼物不等于关系修复</x:v>
      </x:c>
      <x:c r="C13" s="20" t="str">
        <x:v>边界</x:v>
      </x:c>
      <x:c r="D13" s="20" t="str">
        <x:v>现实补偿与影响确认、责任承担、反馈整合分别记录。</x:v>
      </x:c>
      <x:c r="E13" s="20" t="str">
        <x:v>用礼物、金钱、旅行或一次付出替代边界重订与持续改变。</x:v>
      </x:c>
      <x:c r="F13" s="52" t="str">
        <x:v>补偿可以表达重视，但还要看问题本身有没有被承认、边界有没有调整、行为有没有改变。</x:v>
      </x:c>
    </x:row>
    <x:row r="14">
      <x:c r="A14" s="51" t="str">
        <x:v>M4-REPAIR-010</x:v>
      </x:c>
      <x:c r="B14" s="20" t="str">
        <x:v>解决方案不等于影响被看见</x:v>
      </x:c>
      <x:c r="C14" s="20" t="str">
        <x:v>边界</x:v>
      </x:c>
      <x:c r="D14" s="20" t="str">
        <x:v>同时检查现实方案与情绪／关系影响。</x:v>
      </x:c>
      <x:c r="E14" s="20" t="str">
        <x:v>问题一有方案就结束讨论，不再确认对方受到的影响。</x:v>
      </x:c>
      <x:c r="F14" s="52" t="str">
        <x:v>方案解决的是“接下来怎么做”，但对方受到的影响是否被理解，需要另外确认。</x:v>
      </x:c>
    </x:row>
    <x:row r="15">
      <x:c r="A15" s="51" t="str">
        <x:v>M4-REPAIR-011</x:v>
      </x:c>
      <x:c r="B15" s="20" t="str">
        <x:v>安抚情绪不等于现实问题已改变</x:v>
      </x:c>
      <x:c r="C15" s="20" t="str">
        <x:v>边界</x:v>
      </x:c>
      <x:c r="D15" s="20" t="str">
        <x:v>同时检查情绪承接、责任和现实行为调整。</x:v>
      </x:c>
      <x:c r="E15" s="20" t="str">
        <x:v>气氛缓和后，不再处理导致问题的现实安排。</x:v>
      </x:c>
      <x:c r="F15" s="52" t="str">
        <x:v>被安抚以后关系可能暂时好转，但导致问题的现实行为是否改变，仍要继续观察。</x:v>
      </x:c>
    </x:row>
    <x:row r="16">
      <x:c r="A16" s="51" t="str">
        <x:v>M4-REPAIR-012</x:v>
      </x:c>
      <x:c r="B16" s="20" t="str">
        <x:v>暂停和降温不等于自动回归</x:v>
      </x:c>
      <x:c r="C16" s="20" t="str">
        <x:v>边界</x:v>
      </x:c>
      <x:c r="D16" s="20" t="str">
        <x:v>暂停具有目的、范围、最低连接、返回时间或重新启动条件。</x:v>
      </x:c>
      <x:c r="E16" s="20" t="str">
        <x:v>只说先冷静，却没有任何回归点。</x:v>
      </x:c>
      <x:c r="F16" s="52" t="str">
        <x:v>暂停本身没有问题，关键是双方是否知道什么时候、以什么方式重新回来处理。</x:v>
      </x:c>
    </x:row>
    <x:row r="17">
      <x:c r="A17" s="51" t="str">
        <x:v>M4-REPAIR-013</x:v>
      </x:c>
      <x:c r="B17" s="20" t="str">
        <x:v>一次改善不等于稳定改变</x:v>
      </x:c>
      <x:c r="C17" s="20" t="str">
        <x:v>证据</x:v>
      </x:c>
      <x:c r="D17" s="20" t="str">
        <x:v>至少观察同类情境中的重复兑现、跨时间回访或压力下表现。</x:v>
      </x:c>
      <x:c r="E17" s="20" t="str">
        <x:v>一次配合或短期改善就升级为稳定修复。</x:v>
      </x:c>
      <x:c r="F17" s="52" t="str">
        <x:v>这次改变是积极信号，但是否稳定，需要看相似情境再次出现时能否继续做到。</x:v>
      </x:c>
    </x:row>
    <x:row r="18">
      <x:c r="A18" s="51" t="str">
        <x:v>M4-REPAIR-014</x:v>
      </x:c>
      <x:c r="B18" s="20" t="str">
        <x:v>接收方反馈必须可观察｜禁止替对方判断是否被修复</x:v>
      </x:c>
      <x:c r="C18" s="20" t="str">
        <x:v>边界</x:v>
      </x:c>
      <x:c r="D18" s="20" t="str">
        <x:v>接收方以言语、行为、边界、需要、接受、拒绝或保留意见提供现实反馈。</x:v>
      </x:c>
      <x:c r="E18" s="20" t="str">
        <x:v>只凭发起方的意图判断对方已经释怀。</x:v>
      </x:c>
      <x:c r="F18" s="52" t="str">
        <x:v>不能只看发起修复的人做了什么，还要看受到影响的一方是否真正被听见，并保留接受或拒绝的权利。</x:v>
      </x:c>
    </x:row>
    <x:row r="19">
      <x:c r="A19" s="51" t="str">
        <x:v>M4-REPAIR-015</x:v>
      </x:c>
      <x:c r="B19" s="20" t="str">
        <x:v>不判断修复诚意｜只判断可观察结构与兑现</x:v>
      </x:c>
      <x:c r="C19" s="20" t="str">
        <x:v>边界</x:v>
      </x:c>
      <x:c r="D19" s="20" t="str">
        <x:v>只记录言语内容、行动、持续性、反馈和反例。</x:v>
      </x:c>
      <x:c r="E19" s="20" t="str">
        <x:v>从八字、一次情绪表现或一句道歉判断真心、虚假、操控或悔意。</x:v>
      </x:c>
      <x:c r="F19" s="52" t="str">
        <x:v>这里能判断的是修复步骤和后续行为，不能仅凭八字断定对方是否真心。</x:v>
      </x:c>
    </x:row>
    <x:row r="20">
      <x:c r="A20" s="51" t="str">
        <x:v>M4-REPAIR-016</x:v>
      </x:c>
      <x:c r="B20" s="20" t="str">
        <x:v>命盘不能单独证明修复完成或失败</x:v>
      </x:c>
      <x:c r="C20" s="20" t="str">
        <x:v>证据</x:v>
      </x:c>
      <x:c r="D20" s="20" t="str">
        <x:v>命理结构只用于建立功能候选，并有现实事件资料校验。</x:v>
      </x:c>
      <x:c r="E20" s="20" t="str">
        <x:v>仅凭十神组合、喜忌或合冲刑害破发布修复结果。</x:v>
      </x:c>
      <x:c r="F20" s="52" t="str">
        <x:v>八字可以帮助观察修复时常用什么方式，但修复有没有完成，必须看现实行为和后续反馈。</x:v>
      </x:c>
    </x:row>
    <x:row r="21">
      <x:c r="A21" s="51" t="str">
        <x:v>M4-REPAIR-018</x:v>
      </x:c>
      <x:c r="B21" s="20" t="str">
        <x:v>同一事件与同一source_id只计一次</x:v>
      </x:c>
      <x:c r="C21" s="20" t="str">
        <x:v>去重</x:v>
      </x:c>
      <x:c r="D21" s="20" t="str">
        <x:v>M3-CONFLICT、M4-LOOP和M4-REPAIR引用同一事件或同一命理事实。</x:v>
      </x:c>
      <x:c r="E21" s="20" t="str">
        <x:v>把同一段道歉、同一行为或同一日支事实在多个模块重复算独立证据。</x:v>
      </x:c>
      <x:c r="F21" s="52" t="str">
        <x:v>同一件事即使被多个模块引用，也只能算一份基础证据。</x:v>
      </x:c>
    </x:row>
    <x:row r="22">
      <x:c r="A22" s="51" t="str">
        <x:v>M4-REPAIR-019</x:v>
      </x:c>
      <x:c r="B22" s="20" t="str">
        <x:v>现实反例必须进入裁决</x:v>
      </x:c>
      <x:c r="C22" s="20" t="str">
        <x:v>证据</x:v>
      </x:c>
      <x:c r="D22" s="20" t="str">
        <x:v>存在相似事件中成功完成修复、稳定改变或没有出现所假设卡点的资料。</x:v>
      </x:c>
      <x:c r="E22" s="20" t="str">
        <x:v>只收集失败事件，不记录有效修复。</x:v>
      </x:c>
      <x:c r="F22" s="52" t="str">
        <x:v>若现实中多次能够完整修复，应降低“稳定卡点”的判断，而不是把成功都当成例外。</x:v>
      </x:c>
    </x:row>
    <x:row r="23">
      <x:c r="A23" s="51" t="str">
        <x:v>M4-REPAIR-461</x:v>
      </x:c>
      <x:c r="B23" s="20" t="str">
        <x:v>source_id去重｜同一命理事实只计一次</x:v>
      </x:c>
      <x:c r="C23" s="20" t="str">
        <x:v>去重</x:v>
      </x:c>
      <x:c r="D23" s="20" t="str">
        <x:v>同一十神、日支或状态被多个模块使用。</x:v>
      </x:c>
      <x:c r="E23" s="20" t="str">
        <x:v>跨模块重复增加独立证据。</x:v>
      </x:c>
      <x:c r="F23" s="52" t="str">
        <x:v>同一个命盘事实不能因为出现在多个模块就变成多份证据。</x:v>
      </x:c>
    </x:row>
    <x:row r="24">
      <x:c r="A24" s="51" t="str">
        <x:v>M4-REPAIR-462</x:v>
      </x:c>
      <x:c r="B24" s="20" t="str">
        <x:v>event_id去重｜同一修复事件只计一次</x:v>
      </x:c>
      <x:c r="C24" s="20" t="str">
        <x:v>去重</x:v>
      </x:c>
      <x:c r="D24" s="20" t="str">
        <x:v>同一道歉、行动、反馈或回访被多次引用。</x:v>
      </x:c>
      <x:c r="E24" s="20" t="str">
        <x:v>同一事件拆成多条独立现实证据。</x:v>
      </x:c>
      <x:c r="F24" s="52" t="str">
        <x:v>同一次修复可以拆解步骤，但不能当成多次独立修复。</x:v>
      </x:c>
    </x:row>
    <x:row r="25">
      <x:c r="A25" s="51" t="str">
        <x:v>M4-REPAIR-463</x:v>
      </x:c>
      <x:c r="B25" s="20" t="str">
        <x:v>接收方反馈门控｜无RN07不得写双方闭环</x:v>
      </x:c>
      <x:c r="C25" s="20" t="str">
        <x:v>门控</x:v>
      </x:c>
      <x:c r="D25" s="20" t="str">
        <x:v>接收方有具体反馈并被二次调整。</x:v>
      </x:c>
      <x:c r="E25" s="20" t="str">
        <x:v>只有发起方陈述。</x:v>
      </x:c>
      <x:c r="F25" s="52" t="str">
        <x:v>没有接收方真实反馈时，只能说一方完成了部分责任，不能说双方已经闭环。</x:v>
      </x:c>
    </x:row>
    <x:row r="26">
      <x:c r="A26" s="51" t="str">
        <x:v>M4-REPAIR-464</x:v>
      </x:c>
      <x:c r="B26" s="20" t="str">
        <x:v>安全门控｜RI08／RF08优先停止普通修复</x:v>
      </x:c>
      <x:c r="C26" s="20" t="str">
        <x:v>安全</x:v>
      </x:c>
      <x:c r="D26" s="20" t="str">
        <x:v>不存在安全风险，或已由现实支持处理。</x:v>
      </x:c>
      <x:c r="E26" s="20" t="str">
        <x:v>安全风险仍在却继续普通修复建议。</x:v>
      </x:c>
      <x:c r="F26" s="52" t="str">
        <x:v>若伤害仍在继续，应先处理安全和责任，不以恢复关系为优先。</x:v>
      </x:c>
    </x:row>
    <x:row r="27">
      <x:c r="A27" s="53" t="str">
        <x:v>M4-REPAIR-479</x:v>
      </x:c>
      <x:c r="B27" s="54" t="str">
        <x:v>安全／不继续关系模板</x:v>
      </x:c>
      <x:c r="C27" s="54" t="str">
        <x:v>输出</x:v>
      </x:c>
      <x:c r="D27" s="54" t="str">
        <x:v>RS7或安全门控成立。</x:v>
      </x:c>
      <x:c r="E27" s="54" t="str">
        <x:v>使用“双方都要改变”淡化责任。</x:v>
      </x:c>
      <x:c r="F27" s="55" t="str">
        <x:v>这里不以尽快和好为目标。首先应停止伤害、明确责任并保护选择权；是否继续关系由受到影响的一方自主决定。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1a826b6752144b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88" hidden="0" customWidth="1"/>
  </x:cols>
  <x:sheetData>
    <x:row r="1" ht="28" customHeight="1">
      <x:c r="A1" s="5" t="str">
        <x:v>部分修复、闭环候选、重复卡点与安全版输出</x:v>
      </x:c>
      <x:c r="B1" s="5"/>
      <x:c r="C1" s="5"/>
    </x:row>
    <x:row r="2" ht="34" customHeight="1">
      <x:c r="A2" s="13" t="str">
        <x:v>先定RS状态和E等级，再使用对应语言。</x:v>
      </x:c>
      <x:c r="B2" s="13"/>
      <x:c r="C2" s="13"/>
    </x:row>
    <x:row r="4">
      <x:c r="A4" s="48" t="str">
        <x:v>类型／编号</x:v>
      </x:c>
      <x:c r="B4" s="49" t="str">
        <x:v>用途</x:v>
      </x:c>
      <x:c r="C4" s="50" t="str">
        <x:v>可直接改写的用户语言</x:v>
      </x:c>
    </x:row>
    <x:row r="5">
      <x:c r="A5" s="51" t="str">
        <x:v>E1结构候选</x:v>
      </x:c>
      <x:c r="B5" s="20" t="str">
        <x:v>结构语言</x:v>
      </x:c>
      <x:c r="C5" s="52" t="str">
        <x:v>你本来会通过________启动修复；结构上需要留意________是否容易被________替代。</x:v>
      </x:c>
    </x:row>
    <x:row r="6">
      <x:c r="A6" s="51" t="str">
        <x:v>E2事件卡点</x:v>
      </x:c>
      <x:c r="B6" s="20" t="str">
        <x:v>条件性语言</x:v>
      </x:c>
      <x:c r="C6" s="52" t="str">
        <x:v>在这类事件中，已经完成的是________，更容易缺少的是________；需要继续看________是否进入。</x:v>
      </x:c>
    </x:row>
    <x:row r="7">
      <x:c r="A7" s="51" t="str">
        <x:v>RS3修复启动</x:v>
      </x:c>
      <x:c r="B7" s="20" t="str">
        <x:v>启动版</x:v>
      </x:c>
      <x:c r="C7" s="52" t="str">
        <x:v>修复已经开始，但目前主要看到________，仍不足以判断关系已经恢复。</x:v>
      </x:c>
    </x:row>
    <x:row r="8">
      <x:c r="A8" s="51" t="str">
        <x:v>RS4部分修复</x:v>
      </x:c>
      <x:c r="B8" s="20" t="str">
        <x:v>部分版</x:v>
      </x:c>
      <x:c r="C8" s="52" t="str">
        <x:v>修复已经完成了________；但________仍未进入，因此目前更接近部分修复。</x:v>
      </x:c>
    </x:row>
    <x:row r="9">
      <x:c r="A9" s="51" t="str">
        <x:v>RS5闭环候选</x:v>
      </x:c>
      <x:c r="B9" s="20" t="str">
        <x:v>候选版</x:v>
      </x:c>
      <x:c r="C9" s="52" t="str">
        <x:v>主要修复步骤已经进入，也有现实反馈；是否稳定，还要看________能否持续。</x:v>
      </x:c>
    </x:row>
    <x:row r="10">
      <x:c r="A10" s="51" t="str">
        <x:v>E3重复断链</x:v>
      </x:c>
      <x:c r="B10" s="20" t="str">
        <x:v>循环版</x:v>
      </x:c>
      <x:c r="C10" s="52" t="str">
        <x:v>从多次经历看，修复常在________这一步中断；前一步会________，但后续________没有稳定进入。</x:v>
      </x:c>
    </x:row>
    <x:row r="11">
      <x:c r="A11" s="51" t="str">
        <x:v>RS7安全／不继续</x:v>
      </x:c>
      <x:c r="B11" s="20" t="str">
        <x:v>安全版</x:v>
      </x:c>
      <x:c r="C11" s="52" t="str">
        <x:v>这里不以尽快和好为目标。首先停止伤害、明确责任并保护选择权；是否继续关系由受到影响的一方决定。</x:v>
      </x:c>
    </x:row>
    <x:row r="12">
      <x:c r="A12" s="51" t="str">
        <x:v>保护因素</x:v>
      </x:c>
      <x:c r="B12" s="20" t="str">
        <x:v>降权版</x:v>
      </x:c>
      <x:c r="C12" s="52" t="str">
        <x:v>如果________能够稳定进入，这个卡点会明显减弱。</x:v>
      </x:c>
    </x:row>
    <x:row r="13">
      <x:c r="A13" s="51" t="str">
        <x:v>RB01</x:v>
      </x:c>
      <x:c r="B13" s="20" t="str">
        <x:v>事件停止等同修复完成</x:v>
      </x:c>
      <x:c r="C13" s="52" t="str">
        <x:v>事情已经停下，但关系影响是否被理解、是否能重新信任，仍需要后续确认。</x:v>
      </x:c>
    </x:row>
    <x:row r="14">
      <x:c r="A14" s="51" t="str">
        <x:v>RB02</x:v>
      </x:c>
      <x:c r="B14" s="20" t="str">
        <x:v>事实说清等同影响被理解</x:v>
      </x:c>
      <x:c r="C14" s="52" t="str">
        <x:v>把事情说清是重要一步，但还要确认这件事对你造成了什么影响。</x:v>
      </x:c>
    </x:row>
    <x:row r="15">
      <x:c r="A15" s="51" t="str">
        <x:v>RB03</x:v>
      </x:c>
      <x:c r="B15" s="20" t="str">
        <x:v>解释原因等同责任承担</x:v>
      </x:c>
      <x:c r="C15" s="52" t="str">
        <x:v>解释为什么发生有助于理解，但还要明确谁对什么负责，以及接下来怎样不同。</x:v>
      </x:c>
    </x:row>
    <x:row r="16">
      <x:c r="A16" s="51" t="str">
        <x:v>RB04</x:v>
      </x:c>
      <x:c r="B16" s="20" t="str">
        <x:v>道歉表达等同行为改变</x:v>
      </x:c>
      <x:c r="C16" s="52" t="str">
        <x:v>道歉说明修复已经启动，但真正的改变要看之后相似情境中的行为。</x:v>
      </x:c>
    </x:row>
    <x:row r="17">
      <x:c r="A17" s="51" t="str">
        <x:v>RB05</x:v>
      </x:c>
      <x:c r="B17" s="20" t="str">
        <x:v>情绪安抚等同现实问题解决</x:v>
      </x:c>
      <x:c r="C17" s="52" t="str">
        <x:v>气氛好转让双方能继续谈，但现实安排仍需要单独落实。</x:v>
      </x:c>
    </x:row>
    <x:row r="18">
      <x:c r="A18" s="51" t="str">
        <x:v>RB06</x:v>
      </x:c>
      <x:c r="B18" s="20" t="str">
        <x:v>现实补偿等同关系修复</x:v>
      </x:c>
      <x:c r="C18" s="52" t="str">
        <x:v>补偿可以是修复的一部分，但不能代替对问题和影响的正面回应。</x:v>
      </x:c>
    </x:row>
    <x:row r="19">
      <x:c r="A19" s="51" t="str">
        <x:v>RB07</x:v>
      </x:c>
      <x:c r="B19" s="20" t="str">
        <x:v>承诺规则等同共同协商</x:v>
      </x:c>
      <x:c r="C19" s="52" t="str">
        <x:v>新的规则只有在双方都能参与、理解和调整时，才真正有修复作用。</x:v>
      </x:c>
    </x:row>
    <x:row r="20">
      <x:c r="A20" s="51" t="str">
        <x:v>RB08</x:v>
      </x:c>
      <x:c r="B20" s="20" t="str">
        <x:v>方案形成等同执行完成</x:v>
      </x:c>
      <x:c r="C20" s="52" t="str">
        <x:v>有了方案只是开始，还要看是否执行、是否有效，以及对方怎样反馈。</x:v>
      </x:c>
    </x:row>
    <x:row r="21">
      <x:c r="A21" s="51" t="str">
        <x:v>RB09</x:v>
      </x:c>
      <x:c r="B21" s="20" t="str">
        <x:v>暂停降温等同自动回归</x:v>
      </x:c>
      <x:c r="C21" s="52" t="str">
        <x:v>暂停可以保护关系，但需要明确什么时候、怎样重新回来处理。</x:v>
      </x:c>
    </x:row>
    <x:row r="22">
      <x:c r="A22" s="51" t="str">
        <x:v>RB10</x:v>
      </x:c>
      <x:c r="B22" s="20" t="str">
        <x:v>快速和好等同边界已重订</x:v>
      </x:c>
      <x:c r="C22" s="52" t="str">
        <x:v>重新靠近不代表旧问题自动消失，仍要确认以后哪些做法需要改变。</x:v>
      </x:c>
    </x:row>
    <x:row r="23">
      <x:c r="A23" s="51" t="str">
        <x:v>RB11</x:v>
      </x:c>
      <x:c r="B23" s="20" t="str">
        <x:v>单方修复投入等同双方闭环</x:v>
      </x:c>
      <x:c r="C23" s="52" t="str">
        <x:v>你可以完成自己的责任，但不能替对方决定是否已经修复或是否愿意继续。</x:v>
      </x:c>
    </x:row>
    <x:row r="24">
      <x:c r="A24" s="53" t="str">
        <x:v>RB12</x:v>
      </x:c>
      <x:c r="B24" s="54" t="str">
        <x:v>一次改善等同稳定改变</x:v>
      </x:c>
      <x:c r="C24" s="55" t="str">
        <x:v>这次改善值得肯定，但是否成为新模式，要看以后相似情境能否继续做到。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131953c083e42a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30" hidden="0" customWidth="1"/>
  </x:cols>
  <x:sheetData>
    <x:row r="1" ht="28" customHeight="1">
      <x:c r="A1" s="5" t="str">
        <x:v>M4-REPAIR真实案例校准表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4" customHeight="1">
      <x:c r="A2" s="13" t="str">
        <x:v>至少记录事件、修复动作、接收反馈和后续持续性。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4">
      <x:c r="A4" s="48" t="str">
        <x:v>case_id</x:v>
      </x:c>
      <x:c r="B4" s="49" t="str">
        <x:v>事件类型</x:v>
      </x:c>
      <x:c r="C4" s="49" t="str">
        <x:v>事件事实</x:v>
      </x:c>
      <x:c r="D4" s="49" t="str">
        <x:v>RN已完成</x:v>
      </x:c>
      <x:c r="E4" s="49" t="str">
        <x:v>RN缺失</x:v>
      </x:c>
      <x:c r="F4" s="49" t="str">
        <x:v>主修复通道</x:v>
      </x:c>
      <x:c r="G4" s="49" t="str">
        <x:v>RB候选</x:v>
      </x:c>
      <x:c r="H4" s="49" t="str">
        <x:v>RF机制</x:v>
      </x:c>
      <x:c r="I4" s="49" t="str">
        <x:v>接收方反馈</x:v>
      </x:c>
      <x:c r="J4" s="49" t="str">
        <x:v>后续行为</x:v>
      </x:c>
      <x:c r="K4" s="49" t="str">
        <x:v>RV层级</x:v>
      </x:c>
      <x:c r="L4" s="49" t="str">
        <x:v>RS状态</x:v>
      </x:c>
      <x:c r="M4" s="49" t="str">
        <x:v>E等级</x:v>
      </x:c>
      <x:c r="N4" s="49" t="str">
        <x:v>匹配程度</x:v>
      </x:c>
      <x:c r="O4" s="49" t="str">
        <x:v>偏差类型</x:v>
      </x:c>
      <x:c r="P4" s="49" t="str">
        <x:v>规则ID</x:v>
      </x:c>
      <x:c r="Q4" s="49" t="str">
        <x:v>反例／安全</x:v>
      </x:c>
      <x:c r="R4" s="50" t="str">
        <x:v>备注</x:v>
      </x:c>
    </x:row>
    <x:row r="5">
      <x:c r="A5" s="51" t="str">
        <x:v>M4R-CASE-001</x:v>
      </x:c>
      <x:c r="B5" s="20" t="str"/>
      <x:c r="C5" s="20" t="str"/>
      <x:c r="D5" s="20" t="str"/>
      <x:c r="E5" s="20" t="str"/>
      <x:c r="F5" s="20" t="str"/>
      <x:c r="G5" s="20" t="str"/>
      <x:c r="H5" s="20" t="str"/>
      <x:c r="I5" s="20" t="str"/>
      <x:c r="J5" s="20" t="str"/>
      <x:c r="K5" s="20" t="str">
        <x:v>RV0</x:v>
      </x:c>
      <x:c r="L5" s="20" t="str">
        <x:v>RS0</x:v>
      </x:c>
      <x:c r="M5" s="20" t="str">
        <x:v>待判断</x:v>
      </x:c>
      <x:c r="N5" s="20" t="str">
        <x:v>未验证</x:v>
      </x:c>
      <x:c r="O5" s="20" t="str">
        <x:v>未填写</x:v>
      </x:c>
      <x:c r="P5" s="20" t="str"/>
      <x:c r="Q5" s="20" t="str"/>
      <x:c r="R5" s="52" t="str"/>
    </x:row>
    <x:row r="6">
      <x:c r="A6" s="51" t="str">
        <x:v>M4R-CASE-002</x:v>
      </x:c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>
        <x:v>RV0</x:v>
      </x:c>
      <x:c r="L6" s="20" t="str">
        <x:v>RS0</x:v>
      </x:c>
      <x:c r="M6" s="20" t="str">
        <x:v>待判断</x:v>
      </x:c>
      <x:c r="N6" s="20" t="str">
        <x:v>未验证</x:v>
      </x:c>
      <x:c r="O6" s="20" t="str">
        <x:v>未填写</x:v>
      </x:c>
      <x:c r="P6" s="20" t="str"/>
      <x:c r="Q6" s="20" t="str"/>
      <x:c r="R6" s="52" t="str"/>
    </x:row>
    <x:row r="7">
      <x:c r="A7" s="51" t="str">
        <x:v>M4R-CASE-003</x:v>
      </x:c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  <x:c r="K7" s="20" t="str">
        <x:v>RV0</x:v>
      </x:c>
      <x:c r="L7" s="20" t="str">
        <x:v>RS0</x:v>
      </x:c>
      <x:c r="M7" s="20" t="str">
        <x:v>待判断</x:v>
      </x:c>
      <x:c r="N7" s="20" t="str">
        <x:v>未验证</x:v>
      </x:c>
      <x:c r="O7" s="20" t="str">
        <x:v>未填写</x:v>
      </x:c>
      <x:c r="P7" s="20" t="str"/>
      <x:c r="Q7" s="20" t="str"/>
      <x:c r="R7" s="52" t="str"/>
    </x:row>
    <x:row r="8">
      <x:c r="A8" s="51" t="str">
        <x:v>M4R-CASE-004</x:v>
      </x:c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  <x:c r="K8" s="20" t="str">
        <x:v>RV0</x:v>
      </x:c>
      <x:c r="L8" s="20" t="str">
        <x:v>RS0</x:v>
      </x:c>
      <x:c r="M8" s="20" t="str">
        <x:v>待判断</x:v>
      </x:c>
      <x:c r="N8" s="20" t="str">
        <x:v>未验证</x:v>
      </x:c>
      <x:c r="O8" s="20" t="str">
        <x:v>未填写</x:v>
      </x:c>
      <x:c r="P8" s="20" t="str"/>
      <x:c r="Q8" s="20" t="str"/>
      <x:c r="R8" s="52" t="str"/>
    </x:row>
    <x:row r="9">
      <x:c r="A9" s="51" t="str">
        <x:v>M4R-CASE-005</x:v>
      </x:c>
      <x:c r="B9" s="20" t="str"/>
      <x:c r="C9" s="20" t="str"/>
      <x:c r="D9" s="20" t="str"/>
      <x:c r="E9" s="20" t="str"/>
      <x:c r="F9" s="20" t="str"/>
      <x:c r="G9" s="20" t="str"/>
      <x:c r="H9" s="20" t="str"/>
      <x:c r="I9" s="20" t="str"/>
      <x:c r="J9" s="20" t="str"/>
      <x:c r="K9" s="20" t="str">
        <x:v>RV0</x:v>
      </x:c>
      <x:c r="L9" s="20" t="str">
        <x:v>RS0</x:v>
      </x:c>
      <x:c r="M9" s="20" t="str">
        <x:v>待判断</x:v>
      </x:c>
      <x:c r="N9" s="20" t="str">
        <x:v>未验证</x:v>
      </x:c>
      <x:c r="O9" s="20" t="str">
        <x:v>未填写</x:v>
      </x:c>
      <x:c r="P9" s="20" t="str"/>
      <x:c r="Q9" s="20" t="str"/>
      <x:c r="R9" s="52" t="str"/>
    </x:row>
    <x:row r="10">
      <x:c r="A10" s="51" t="str">
        <x:v>M4R-CASE-006</x:v>
      </x:c>
      <x:c r="B10" s="20" t="str"/>
      <x:c r="C10" s="20" t="str"/>
      <x:c r="D10" s="20" t="str"/>
      <x:c r="E10" s="20" t="str"/>
      <x:c r="F10" s="20" t="str"/>
      <x:c r="G10" s="20" t="str"/>
      <x:c r="H10" s="20" t="str"/>
      <x:c r="I10" s="20" t="str"/>
      <x:c r="J10" s="20" t="str"/>
      <x:c r="K10" s="20" t="str">
        <x:v>RV0</x:v>
      </x:c>
      <x:c r="L10" s="20" t="str">
        <x:v>RS0</x:v>
      </x:c>
      <x:c r="M10" s="20" t="str">
        <x:v>待判断</x:v>
      </x:c>
      <x:c r="N10" s="20" t="str">
        <x:v>未验证</x:v>
      </x:c>
      <x:c r="O10" s="20" t="str">
        <x:v>未填写</x:v>
      </x:c>
      <x:c r="P10" s="20" t="str"/>
      <x:c r="Q10" s="20" t="str"/>
      <x:c r="R10" s="52" t="str"/>
    </x:row>
    <x:row r="11">
      <x:c r="A11" s="51" t="str">
        <x:v>M4R-CASE-007</x:v>
      </x:c>
      <x:c r="B11" s="20" t="str"/>
      <x:c r="C11" s="20" t="str"/>
      <x:c r="D11" s="20" t="str"/>
      <x:c r="E11" s="20" t="str"/>
      <x:c r="F11" s="20" t="str"/>
      <x:c r="G11" s="20" t="str"/>
      <x:c r="H11" s="20" t="str"/>
      <x:c r="I11" s="20" t="str"/>
      <x:c r="J11" s="20" t="str"/>
      <x:c r="K11" s="20" t="str">
        <x:v>RV0</x:v>
      </x:c>
      <x:c r="L11" s="20" t="str">
        <x:v>RS0</x:v>
      </x:c>
      <x:c r="M11" s="20" t="str">
        <x:v>待判断</x:v>
      </x:c>
      <x:c r="N11" s="20" t="str">
        <x:v>未验证</x:v>
      </x:c>
      <x:c r="O11" s="20" t="str">
        <x:v>未填写</x:v>
      </x:c>
      <x:c r="P11" s="20" t="str"/>
      <x:c r="Q11" s="20" t="str"/>
      <x:c r="R11" s="52" t="str"/>
    </x:row>
    <x:row r="12">
      <x:c r="A12" s="51" t="str">
        <x:v>M4R-CASE-008</x:v>
      </x:c>
      <x:c r="B12" s="20" t="str"/>
      <x:c r="C12" s="20" t="str"/>
      <x:c r="D12" s="20" t="str"/>
      <x:c r="E12" s="20" t="str"/>
      <x:c r="F12" s="20" t="str"/>
      <x:c r="G12" s="20" t="str"/>
      <x:c r="H12" s="20" t="str"/>
      <x:c r="I12" s="20" t="str"/>
      <x:c r="J12" s="20" t="str"/>
      <x:c r="K12" s="20" t="str">
        <x:v>RV0</x:v>
      </x:c>
      <x:c r="L12" s="20" t="str">
        <x:v>RS0</x:v>
      </x:c>
      <x:c r="M12" s="20" t="str">
        <x:v>待判断</x:v>
      </x:c>
      <x:c r="N12" s="20" t="str">
        <x:v>未验证</x:v>
      </x:c>
      <x:c r="O12" s="20" t="str">
        <x:v>未填写</x:v>
      </x:c>
      <x:c r="P12" s="20" t="str"/>
      <x:c r="Q12" s="20" t="str"/>
      <x:c r="R12" s="52" t="str"/>
    </x:row>
    <x:row r="13">
      <x:c r="A13" s="51" t="str">
        <x:v>M4R-CASE-009</x:v>
      </x:c>
      <x:c r="B13" s="20" t="str"/>
      <x:c r="C13" s="20" t="str"/>
      <x:c r="D13" s="20" t="str"/>
      <x:c r="E13" s="20" t="str"/>
      <x:c r="F13" s="20" t="str"/>
      <x:c r="G13" s="20" t="str"/>
      <x:c r="H13" s="20" t="str"/>
      <x:c r="I13" s="20" t="str"/>
      <x:c r="J13" s="20" t="str"/>
      <x:c r="K13" s="20" t="str">
        <x:v>RV0</x:v>
      </x:c>
      <x:c r="L13" s="20" t="str">
        <x:v>RS0</x:v>
      </x:c>
      <x:c r="M13" s="20" t="str">
        <x:v>待判断</x:v>
      </x:c>
      <x:c r="N13" s="20" t="str">
        <x:v>未验证</x:v>
      </x:c>
      <x:c r="O13" s="20" t="str">
        <x:v>未填写</x:v>
      </x:c>
      <x:c r="P13" s="20" t="str"/>
      <x:c r="Q13" s="20" t="str"/>
      <x:c r="R13" s="52" t="str"/>
    </x:row>
    <x:row r="14">
      <x:c r="A14" s="51" t="str">
        <x:v>M4R-CASE-010</x:v>
      </x:c>
      <x:c r="B14" s="20" t="str"/>
      <x:c r="C14" s="20" t="str"/>
      <x:c r="D14" s="20" t="str"/>
      <x:c r="E14" s="20" t="str"/>
      <x:c r="F14" s="20" t="str"/>
      <x:c r="G14" s="20" t="str"/>
      <x:c r="H14" s="20" t="str"/>
      <x:c r="I14" s="20" t="str"/>
      <x:c r="J14" s="20" t="str"/>
      <x:c r="K14" s="20" t="str">
        <x:v>RV0</x:v>
      </x:c>
      <x:c r="L14" s="20" t="str">
        <x:v>RS0</x:v>
      </x:c>
      <x:c r="M14" s="20" t="str">
        <x:v>待判断</x:v>
      </x:c>
      <x:c r="N14" s="20" t="str">
        <x:v>未验证</x:v>
      </x:c>
      <x:c r="O14" s="20" t="str">
        <x:v>未填写</x:v>
      </x:c>
      <x:c r="P14" s="20" t="str"/>
      <x:c r="Q14" s="20" t="str"/>
      <x:c r="R14" s="52" t="str"/>
    </x:row>
    <x:row r="15">
      <x:c r="A15" s="51" t="str">
        <x:v>M4R-CASE-011</x:v>
      </x:c>
      <x:c r="B15" s="20" t="str"/>
      <x:c r="C15" s="20" t="str"/>
      <x:c r="D15" s="20" t="str"/>
      <x:c r="E15" s="20" t="str"/>
      <x:c r="F15" s="20" t="str"/>
      <x:c r="G15" s="20" t="str"/>
      <x:c r="H15" s="20" t="str"/>
      <x:c r="I15" s="20" t="str"/>
      <x:c r="J15" s="20" t="str"/>
      <x:c r="K15" s="20" t="str">
        <x:v>RV0</x:v>
      </x:c>
      <x:c r="L15" s="20" t="str">
        <x:v>RS0</x:v>
      </x:c>
      <x:c r="M15" s="20" t="str">
        <x:v>待判断</x:v>
      </x:c>
      <x:c r="N15" s="20" t="str">
        <x:v>未验证</x:v>
      </x:c>
      <x:c r="O15" s="20" t="str">
        <x:v>未填写</x:v>
      </x:c>
      <x:c r="P15" s="20" t="str"/>
      <x:c r="Q15" s="20" t="str"/>
      <x:c r="R15" s="52" t="str"/>
    </x:row>
    <x:row r="16">
      <x:c r="A16" s="51" t="str">
        <x:v>M4R-CASE-012</x:v>
      </x:c>
      <x:c r="B16" s="20" t="str"/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  <x:c r="K16" s="20" t="str">
        <x:v>RV0</x:v>
      </x:c>
      <x:c r="L16" s="20" t="str">
        <x:v>RS0</x:v>
      </x:c>
      <x:c r="M16" s="20" t="str">
        <x:v>待判断</x:v>
      </x:c>
      <x:c r="N16" s="20" t="str">
        <x:v>未验证</x:v>
      </x:c>
      <x:c r="O16" s="20" t="str">
        <x:v>未填写</x:v>
      </x:c>
      <x:c r="P16" s="20" t="str"/>
      <x:c r="Q16" s="20" t="str"/>
      <x:c r="R16" s="52" t="str"/>
    </x:row>
    <x:row r="17">
      <x:c r="A17" s="51" t="str">
        <x:v>M4R-CASE-013</x:v>
      </x:c>
      <x:c r="B17" s="20" t="str"/>
      <x:c r="C17" s="20" t="str"/>
      <x:c r="D17" s="20" t="str"/>
      <x:c r="E17" s="20" t="str"/>
      <x:c r="F17" s="20" t="str"/>
      <x:c r="G17" s="20" t="str"/>
      <x:c r="H17" s="20" t="str"/>
      <x:c r="I17" s="20" t="str"/>
      <x:c r="J17" s="20" t="str"/>
      <x:c r="K17" s="20" t="str">
        <x:v>RV0</x:v>
      </x:c>
      <x:c r="L17" s="20" t="str">
        <x:v>RS0</x:v>
      </x:c>
      <x:c r="M17" s="20" t="str">
        <x:v>待判断</x:v>
      </x:c>
      <x:c r="N17" s="20" t="str">
        <x:v>未验证</x:v>
      </x:c>
      <x:c r="O17" s="20" t="str">
        <x:v>未填写</x:v>
      </x:c>
      <x:c r="P17" s="20" t="str"/>
      <x:c r="Q17" s="20" t="str"/>
      <x:c r="R17" s="52" t="str"/>
    </x:row>
    <x:row r="18">
      <x:c r="A18" s="51" t="str">
        <x:v>M4R-CASE-014</x:v>
      </x:c>
      <x:c r="B18" s="20" t="str"/>
      <x:c r="C18" s="20" t="str"/>
      <x:c r="D18" s="20" t="str"/>
      <x:c r="E18" s="20" t="str"/>
      <x:c r="F18" s="20" t="str"/>
      <x:c r="G18" s="20" t="str"/>
      <x:c r="H18" s="20" t="str"/>
      <x:c r="I18" s="20" t="str"/>
      <x:c r="J18" s="20" t="str"/>
      <x:c r="K18" s="20" t="str">
        <x:v>RV0</x:v>
      </x:c>
      <x:c r="L18" s="20" t="str">
        <x:v>RS0</x:v>
      </x:c>
      <x:c r="M18" s="20" t="str">
        <x:v>待判断</x:v>
      </x:c>
      <x:c r="N18" s="20" t="str">
        <x:v>未验证</x:v>
      </x:c>
      <x:c r="O18" s="20" t="str">
        <x:v>未填写</x:v>
      </x:c>
      <x:c r="P18" s="20" t="str"/>
      <x:c r="Q18" s="20" t="str"/>
      <x:c r="R18" s="52" t="str"/>
    </x:row>
    <x:row r="19">
      <x:c r="A19" s="51" t="str">
        <x:v>M4R-CASE-015</x:v>
      </x:c>
      <x:c r="B19" s="20" t="str"/>
      <x:c r="C19" s="20" t="str"/>
      <x:c r="D19" s="20" t="str"/>
      <x:c r="E19" s="20" t="str"/>
      <x:c r="F19" s="20" t="str"/>
      <x:c r="G19" s="20" t="str"/>
      <x:c r="H19" s="20" t="str"/>
      <x:c r="I19" s="20" t="str"/>
      <x:c r="J19" s="20" t="str"/>
      <x:c r="K19" s="20" t="str">
        <x:v>RV0</x:v>
      </x:c>
      <x:c r="L19" s="20" t="str">
        <x:v>RS0</x:v>
      </x:c>
      <x:c r="M19" s="20" t="str">
        <x:v>待判断</x:v>
      </x:c>
      <x:c r="N19" s="20" t="str">
        <x:v>未验证</x:v>
      </x:c>
      <x:c r="O19" s="20" t="str">
        <x:v>未填写</x:v>
      </x:c>
      <x:c r="P19" s="20" t="str"/>
      <x:c r="Q19" s="20" t="str"/>
      <x:c r="R19" s="52" t="str"/>
    </x:row>
    <x:row r="20">
      <x:c r="A20" s="51" t="str">
        <x:v>M4R-CASE-016</x:v>
      </x:c>
      <x:c r="B20" s="20" t="str"/>
      <x:c r="C20" s="20" t="str"/>
      <x:c r="D20" s="20" t="str"/>
      <x:c r="E20" s="20" t="str"/>
      <x:c r="F20" s="20" t="str"/>
      <x:c r="G20" s="20" t="str"/>
      <x:c r="H20" s="20" t="str"/>
      <x:c r="I20" s="20" t="str"/>
      <x:c r="J20" s="20" t="str"/>
      <x:c r="K20" s="20" t="str">
        <x:v>RV0</x:v>
      </x:c>
      <x:c r="L20" s="20" t="str">
        <x:v>RS0</x:v>
      </x:c>
      <x:c r="M20" s="20" t="str">
        <x:v>待判断</x:v>
      </x:c>
      <x:c r="N20" s="20" t="str">
        <x:v>未验证</x:v>
      </x:c>
      <x:c r="O20" s="20" t="str">
        <x:v>未填写</x:v>
      </x:c>
      <x:c r="P20" s="20" t="str"/>
      <x:c r="Q20" s="20" t="str"/>
      <x:c r="R20" s="52" t="str"/>
    </x:row>
    <x:row r="21">
      <x:c r="A21" s="51" t="str">
        <x:v>M4R-CASE-017</x:v>
      </x:c>
      <x:c r="B21" s="20" t="str"/>
      <x:c r="C21" s="20" t="str"/>
      <x:c r="D21" s="20" t="str"/>
      <x:c r="E21" s="20" t="str"/>
      <x:c r="F21" s="20" t="str"/>
      <x:c r="G21" s="20" t="str"/>
      <x:c r="H21" s="20" t="str"/>
      <x:c r="I21" s="20" t="str"/>
      <x:c r="J21" s="20" t="str"/>
      <x:c r="K21" s="20" t="str">
        <x:v>RV0</x:v>
      </x:c>
      <x:c r="L21" s="20" t="str">
        <x:v>RS0</x:v>
      </x:c>
      <x:c r="M21" s="20" t="str">
        <x:v>待判断</x:v>
      </x:c>
      <x:c r="N21" s="20" t="str">
        <x:v>未验证</x:v>
      </x:c>
      <x:c r="O21" s="20" t="str">
        <x:v>未填写</x:v>
      </x:c>
      <x:c r="P21" s="20" t="str"/>
      <x:c r="Q21" s="20" t="str"/>
      <x:c r="R21" s="52" t="str"/>
    </x:row>
    <x:row r="22">
      <x:c r="A22" s="51" t="str">
        <x:v>M4R-CASE-018</x:v>
      </x:c>
      <x:c r="B22" s="20" t="str"/>
      <x:c r="C22" s="20" t="str"/>
      <x:c r="D22" s="20" t="str"/>
      <x:c r="E22" s="20" t="str"/>
      <x:c r="F22" s="20" t="str"/>
      <x:c r="G22" s="20" t="str"/>
      <x:c r="H22" s="20" t="str"/>
      <x:c r="I22" s="20" t="str"/>
      <x:c r="J22" s="20" t="str"/>
      <x:c r="K22" s="20" t="str">
        <x:v>RV0</x:v>
      </x:c>
      <x:c r="L22" s="20" t="str">
        <x:v>RS0</x:v>
      </x:c>
      <x:c r="M22" s="20" t="str">
        <x:v>待判断</x:v>
      </x:c>
      <x:c r="N22" s="20" t="str">
        <x:v>未验证</x:v>
      </x:c>
      <x:c r="O22" s="20" t="str">
        <x:v>未填写</x:v>
      </x:c>
      <x:c r="P22" s="20" t="str"/>
      <x:c r="Q22" s="20" t="str"/>
      <x:c r="R22" s="52" t="str"/>
    </x:row>
    <x:row r="23">
      <x:c r="A23" s="51" t="str">
        <x:v>M4R-CASE-019</x:v>
      </x:c>
      <x:c r="B23" s="20" t="str"/>
      <x:c r="C23" s="20" t="str"/>
      <x:c r="D23" s="20" t="str"/>
      <x:c r="E23" s="20" t="str"/>
      <x:c r="F23" s="20" t="str"/>
      <x:c r="G23" s="20" t="str"/>
      <x:c r="H23" s="20" t="str"/>
      <x:c r="I23" s="20" t="str"/>
      <x:c r="J23" s="20" t="str"/>
      <x:c r="K23" s="20" t="str">
        <x:v>RV0</x:v>
      </x:c>
      <x:c r="L23" s="20" t="str">
        <x:v>RS0</x:v>
      </x:c>
      <x:c r="M23" s="20" t="str">
        <x:v>待判断</x:v>
      </x:c>
      <x:c r="N23" s="20" t="str">
        <x:v>未验证</x:v>
      </x:c>
      <x:c r="O23" s="20" t="str">
        <x:v>未填写</x:v>
      </x:c>
      <x:c r="P23" s="20" t="str"/>
      <x:c r="Q23" s="20" t="str"/>
      <x:c r="R23" s="52" t="str"/>
    </x:row>
    <x:row r="24">
      <x:c r="A24" s="53" t="str">
        <x:v>M4R-CASE-020</x:v>
      </x:c>
      <x:c r="B24" s="54" t="str"/>
      <x:c r="C24" s="54" t="str"/>
      <x:c r="D24" s="54" t="str"/>
      <x:c r="E24" s="54" t="str"/>
      <x:c r="F24" s="54" t="str"/>
      <x:c r="G24" s="54" t="str"/>
      <x:c r="H24" s="54" t="str"/>
      <x:c r="I24" s="54" t="str"/>
      <x:c r="J24" s="54" t="str"/>
      <x:c r="K24" s="54" t="str">
        <x:v>RV0</x:v>
      </x:c>
      <x:c r="L24" s="54" t="str">
        <x:v>RS0</x:v>
      </x:c>
      <x:c r="M24" s="54" t="str">
        <x:v>待判断</x:v>
      </x:c>
      <x:c r="N24" s="54" t="str">
        <x:v>未验证</x:v>
      </x:c>
      <x:c r="O24" s="54" t="str">
        <x:v>未填写</x:v>
      </x:c>
      <x:c r="P24" s="54" t="str"/>
      <x:c r="Q24" s="54" t="str"/>
      <x:c r="R24" s="55" t="str"/>
    </x:row>
  </x:sheetData>
  <x:mergeCells>
    <x:mergeCell ref="A1:R1"/>
    <x:mergeCell ref="A2:R2"/>
  </x:mergeCells>
  <x:dataValidations count="5">
    <x:dataValidation type="list" sqref="K5:K24">
      <x:formula1>"RV0,RV1,RV2,RV3,RV4,RV5,RV6,RV7"</x:formula1>
    </x:dataValidation>
    <x:dataValidation type="list" sqref="L5:L24">
      <x:formula1>"RS0,RS1,RS2,RS3,RS4,RS5,RS6,RS7"</x:formula1>
    </x:dataValidation>
    <x:dataValidation type="list" sqref="M5:M24">
      <x:formula1>"E0,E1,E2,E3,E4,待判断"</x:formula1>
    </x:dataValidation>
    <x:dataValidation type="list" sqref="N5:N24">
      <x:formula1>"完全吻合,部分吻合,不吻合,信息不足,未验证"</x:formula1>
    </x:dataValidation>
    <x:dataValidation type="list" sqref="O5:O24">
      <x:formula1>"规则内容,主次错误,节点缺失,证据不足,同源重复,替代解释,安全停止,无,未填写"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82b64a304f488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4" hidden="0" customWidth="1"/>
    <x:col min="4" max="4" width="18" hidden="0" customWidth="1"/>
    <x:col min="5" max="5" width="42" hidden="0" customWidth="1"/>
  </x:cols>
  <x:sheetData>
    <x:row r="1" ht="28" customHeight="1">
      <x:c r="A1" s="5" t="str">
        <x:v>31个原子规则字段与核心编号</x:v>
      </x:c>
      <x:c r="B1" s="5"/>
      <x:c r="C1" s="5"/>
      <x:c r="D1" s="5"/>
      <x:c r="E1" s="5"/>
    </x:row>
    <x:row r="2" ht="34" customHeight="1">
      <x:c r="A2" s="13" t="str">
        <x:v>用于阅读、开发交接、JSON迁移和案例追踪。</x:v>
      </x:c>
      <x:c r="B2" s="13"/>
      <x:c r="C2" s="13"/>
      <x:c r="D2" s="13"/>
      <x:c r="E2" s="13"/>
    </x:row>
    <x:row r="4">
      <x:c r="A4" s="48" t="str">
        <x:v>字段</x:v>
      </x:c>
      <x:c r="B4" s="49" t="str">
        <x:v>说明</x:v>
      </x:c>
      <x:c r="C4" s="49" t="str"/>
      <x:c r="D4" s="49" t="str">
        <x:v>代码组</x:v>
      </x:c>
      <x:c r="E4" s="50" t="str">
        <x:v>内容</x:v>
      </x:c>
    </x:row>
    <x:row r="5">
      <x:c r="A5" s="51" t="str">
        <x:v>rule_id</x:v>
      </x:c>
      <x:c r="B5" s="20" t="str">
        <x:v>唯一规则编号；M4-REPAIR-001—480</x:v>
      </x:c>
      <x:c r="C5" s="20" t="str"/>
      <x:c r="D5" s="20" t="str">
        <x:v>RN01—RN08</x:v>
      </x:c>
      <x:c r="E5" s="52" t="str">
        <x:v>修复节点</x:v>
      </x:c>
    </x:row>
    <x:row r="6">
      <x:c r="A6" s="51" t="str">
        <x:v>rule_name</x:v>
      </x:c>
      <x:c r="B6" s="20" t="str">
        <x:v>规则可读名称</x:v>
      </x:c>
      <x:c r="C6" s="20" t="str"/>
      <x:c r="D6" s="20" t="str">
        <x:v>RC01—RC10</x:v>
      </x:c>
      <x:c r="E6" s="52" t="str">
        <x:v>十神修复通道</x:v>
      </x:c>
    </x:row>
    <x:row r="7">
      <x:c r="A7" s="51" t="str">
        <x:v>layer</x:v>
      </x:c>
      <x:c r="B7" s="20" t="str">
        <x:v>逻辑层</x:v>
      </x:c>
      <x:c r="C7" s="20" t="str"/>
      <x:c r="D7" s="20" t="str">
        <x:v>RB01—RB12</x:v>
      </x:c>
      <x:c r="E7" s="52" t="str">
        <x:v>修复盲点</x:v>
      </x:c>
    </x:row>
    <x:row r="8">
      <x:c r="A8" s="51" t="str">
        <x:v>module</x:v>
      </x:c>
      <x:c r="B8" s="20" t="str">
        <x:v>子模块</x:v>
      </x:c>
      <x:c r="C8" s="20" t="str"/>
      <x:c r="D8" s="20" t="str">
        <x:v>RI01—RI08</x:v>
      </x:c>
      <x:c r="E8" s="52" t="str">
        <x:v>事件类型</x:v>
      </x:c>
    </x:row>
    <x:row r="9">
      <x:c r="A9" s="51" t="str">
        <x:v>applicable_group</x:v>
      </x:c>
      <x:c r="B9" s="20" t="str">
        <x:v>适用对象</x:v>
      </x:c>
      <x:c r="C9" s="20" t="str"/>
      <x:c r="D9" s="20" t="str">
        <x:v>RF01—RF08</x:v>
      </x:c>
      <x:c r="E9" s="52" t="str">
        <x:v>断链机制</x:v>
      </x:c>
    </x:row>
    <x:row r="10">
      <x:c r="A10" s="51" t="str">
        <x:v>rule_type</x:v>
      </x:c>
      <x:c r="B10" s="20" t="str">
        <x:v>定义、节点、盲点、门控等</x:v>
      </x:c>
      <x:c r="C10" s="20" t="str"/>
      <x:c r="D10" s="20" t="str">
        <x:v>RV0—RV7</x:v>
      </x:c>
      <x:c r="E10" s="52" t="str">
        <x:v>现实证据</x:v>
      </x:c>
    </x:row>
    <x:row r="11">
      <x:c r="A11" s="51" t="str">
        <x:v>main_signal</x:v>
      </x:c>
      <x:c r="B11" s="20" t="str">
        <x:v>RN、RC、RB、RI、RF、RV、RS、LP或K</x:v>
      </x:c>
      <x:c r="C11" s="20" t="str"/>
      <x:c r="D11" s="20" t="str">
        <x:v>RS0—RS7</x:v>
      </x:c>
      <x:c r="E11" s="52" t="str">
        <x:v>修复状态</x:v>
      </x:c>
    </x:row>
    <x:row r="12">
      <x:c r="A12" s="51" t="str">
        <x:v>secondary_signal</x:v>
      </x:c>
      <x:c r="B12" s="20" t="str">
        <x:v>次级路由</x:v>
      </x:c>
      <x:c r="C12" s="20" t="str"/>
      <x:c r="D12" s="20" t="str">
        <x:v>E0—E4</x:v>
      </x:c>
      <x:c r="E12" s="52" t="str">
        <x:v>发布等级</x:v>
      </x:c>
    </x:row>
    <x:row r="13">
      <x:c r="A13" s="51" t="str">
        <x:v>required_conditions</x:v>
      </x:c>
      <x:c r="B13" s="20" t="str">
        <x:v>成立条件</x:v>
      </x:c>
      <x:c r="C13" s="20" t="str"/>
      <x:c r="D13" s="20" t="str"/>
      <x:c r="E13" s="52" t="str"/>
    </x:row>
    <x:row r="14">
      <x:c r="A14" s="51" t="str">
        <x:v>excluded_conditions</x:v>
      </x:c>
      <x:c r="B14" s="20" t="str">
        <x:v>排除／停止条件</x:v>
      </x:c>
      <x:c r="C14" s="20" t="str"/>
      <x:c r="D14" s="20" t="str"/>
      <x:c r="E14" s="52" t="str"/>
    </x:row>
    <x:row r="15">
      <x:c r="A15" s="51" t="str">
        <x:v>self_strength_status</x:v>
      </x:c>
      <x:c r="B15" s="20" t="str">
        <x:v>日主承载修正</x:v>
      </x:c>
      <x:c r="C15" s="20" t="str"/>
      <x:c r="D15" s="20" t="str"/>
      <x:c r="E15" s="52" t="str"/>
    </x:row>
    <x:row r="16">
      <x:c r="A16" s="51" t="str">
        <x:v>spouse_star_status</x:v>
      </x:c>
      <x:c r="B16" s="20" t="str">
        <x:v>M1／M2接口</x:v>
      </x:c>
      <x:c r="C16" s="20" t="str"/>
      <x:c r="D16" s="20" t="str"/>
      <x:c r="E16" s="52" t="str"/>
    </x:row>
    <x:row r="17">
      <x:c r="A17" s="51" t="str">
        <x:v>palace_signal</x:v>
      </x:c>
      <x:c r="B17" s="20" t="str">
        <x:v>M3-BASE接口</x:v>
      </x:c>
      <x:c r="C17" s="20" t="str"/>
      <x:c r="D17" s="20" t="str"/>
      <x:c r="E17" s="52" t="str"/>
    </x:row>
    <x:row r="18">
      <x:c r="A18" s="51" t="str">
        <x:v>flow_path</x:v>
      </x:c>
      <x:c r="B18" s="20" t="str">
        <x:v>现实修复顺序</x:v>
      </x:c>
      <x:c r="C18" s="20" t="str"/>
      <x:c r="D18" s="20" t="str"/>
      <x:c r="E18" s="52" t="str"/>
    </x:row>
    <x:row r="19">
      <x:c r="A19" s="51" t="str">
        <x:v>signal_position</x:v>
      </x:c>
      <x:c r="B19" s="20" t="str">
        <x:v>近远位置</x:v>
      </x:c>
      <x:c r="C19" s="20" t="str"/>
      <x:c r="D19" s="20" t="str"/>
      <x:c r="E19" s="52" t="str"/>
    </x:row>
    <x:row r="20">
      <x:c r="A20" s="51" t="str">
        <x:v>root_status</x:v>
      </x:c>
      <x:c r="B20" s="20" t="str">
        <x:v>根气</x:v>
      </x:c>
      <x:c r="C20" s="20" t="str"/>
      <x:c r="D20" s="20" t="str"/>
      <x:c r="E20" s="52" t="str"/>
    </x:row>
    <x:row r="21">
      <x:c r="A21" s="51" t="str">
        <x:v>strength_level</x:v>
      </x:c>
      <x:c r="B21" s="20" t="str">
        <x:v>旺弱</x:v>
      </x:c>
      <x:c r="C21" s="20" t="str"/>
      <x:c r="D21" s="20" t="str"/>
      <x:c r="E21" s="52" t="str"/>
    </x:row>
    <x:row r="22">
      <x:c r="A22" s="51" t="str">
        <x:v>favorability</x:v>
      </x:c>
      <x:c r="B22" s="20" t="str">
        <x:v>喜忌</x:v>
      </x:c>
      <x:c r="C22" s="20" t="str"/>
      <x:c r="D22" s="20" t="str"/>
      <x:c r="E22" s="52" t="str"/>
    </x:row>
    <x:row r="23">
      <x:c r="A23" s="51" t="str">
        <x:v>transformation_status</x:v>
      </x:c>
      <x:c r="B23" s="20" t="str">
        <x:v>合化</x:v>
      </x:c>
      <x:c r="C23" s="20" t="str"/>
      <x:c r="D23" s="20" t="str"/>
      <x:c r="E23" s="52" t="str"/>
    </x:row>
    <x:row r="24">
      <x:c r="A24" s="51" t="str">
        <x:v>distance_level</x:v>
      </x:c>
      <x:c r="B24" s="20" t="str">
        <x:v>关系核心距离</x:v>
      </x:c>
      <x:c r="C24" s="20" t="str"/>
      <x:c r="D24" s="20" t="str"/>
      <x:c r="E24" s="52" t="str"/>
    </x:row>
    <x:row r="25">
      <x:c r="A25" s="51" t="str">
        <x:v>priority</x:v>
      </x:c>
      <x:c r="B25" s="20" t="str">
        <x:v>优先级</x:v>
      </x:c>
      <x:c r="C25" s="20" t="str"/>
      <x:c r="D25" s="20" t="str"/>
      <x:c r="E25" s="52" t="str"/>
    </x:row>
    <x:row r="26">
      <x:c r="A26" s="51" t="str">
        <x:v>score_effect</x:v>
      </x:c>
      <x:c r="B26" s="20" t="str">
        <x:v>暂定加减分／门控</x:v>
      </x:c>
      <x:c r="C26" s="20" t="str"/>
      <x:c r="D26" s="20" t="str"/>
      <x:c r="E26" s="52" t="str"/>
    </x:row>
    <x:row r="27">
      <x:c r="A27" s="51" t="str">
        <x:v>output_slot</x:v>
      </x:c>
      <x:c r="B27" s="20" t="str">
        <x:v>输出字段</x:v>
      </x:c>
      <x:c r="C27" s="20" t="str"/>
      <x:c r="D27" s="20" t="str"/>
      <x:c r="E27" s="52" t="str"/>
    </x:row>
    <x:row r="28">
      <x:c r="A28" s="51" t="str">
        <x:v>internal_logic</x:v>
      </x:c>
      <x:c r="B28" s="20" t="str">
        <x:v>内部专业逻辑</x:v>
      </x:c>
      <x:c r="C28" s="20" t="str"/>
      <x:c r="D28" s="20" t="str"/>
      <x:c r="E28" s="52" t="str"/>
    </x:row>
    <x:row r="29">
      <x:c r="A29" s="51" t="str">
        <x:v>user_explanation</x:v>
      </x:c>
      <x:c r="B29" s="20" t="str">
        <x:v>用户可见解释</x:v>
      </x:c>
      <x:c r="C29" s="20" t="str"/>
      <x:c r="D29" s="20" t="str"/>
      <x:c r="E29" s="52" t="str"/>
    </x:row>
    <x:row r="30">
      <x:c r="A30" s="51" t="str">
        <x:v>forbidden_inference</x:v>
      </x:c>
      <x:c r="B30" s="20" t="str">
        <x:v>禁止推出</x:v>
      </x:c>
      <x:c r="C30" s="20" t="str"/>
      <x:c r="D30" s="20" t="str"/>
      <x:c r="E30" s="52" t="str"/>
    </x:row>
    <x:row r="31">
      <x:c r="A31" s="51" t="str">
        <x:v>confidence_base</x:v>
      </x:c>
      <x:c r="B31" s="20" t="str">
        <x:v>基础置信度</x:v>
      </x:c>
      <x:c r="C31" s="20" t="str"/>
      <x:c r="D31" s="20" t="str"/>
      <x:c r="E31" s="52" t="str"/>
    </x:row>
    <x:row r="32">
      <x:c r="A32" s="51" t="str">
        <x:v>validation_status</x:v>
      </x:c>
      <x:c r="B32" s="20" t="str">
        <x:v>验证状态</x:v>
      </x:c>
      <x:c r="C32" s="20" t="str"/>
      <x:c r="D32" s="20" t="str"/>
      <x:c r="E32" s="52" t="str"/>
    </x:row>
    <x:row r="33">
      <x:c r="A33" s="51" t="str">
        <x:v>case_refs</x:v>
      </x:c>
      <x:c r="B33" s="20" t="str">
        <x:v>案例编号</x:v>
      </x:c>
      <x:c r="C33" s="20" t="str"/>
      <x:c r="D33" s="20" t="str"/>
      <x:c r="E33" s="52" t="str"/>
    </x:row>
    <x:row r="34">
      <x:c r="A34" s="51" t="str">
        <x:v>notes</x:v>
      </x:c>
      <x:c r="B34" s="20" t="str">
        <x:v>备注</x:v>
      </x:c>
      <x:c r="C34" s="20" t="str"/>
      <x:c r="D34" s="20" t="str"/>
      <x:c r="E34" s="52" t="str"/>
    </x:row>
    <x:row r="35">
      <x:c r="A35" s="53" t="str">
        <x:v>version</x:v>
      </x:c>
      <x:c r="B35" s="54" t="str">
        <x:v>版本</x:v>
      </x:c>
      <x:c r="C35" s="54" t="str"/>
      <x:c r="D35" s="54" t="str"/>
      <x:c r="E35" s="55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045b51751d44c6c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" hidden="0" customWidth="1"/>
    <x:col min="4" max="4" width="56" hidden="0" customWidth="1"/>
  </x:cols>
  <x:sheetData>
    <x:row r="1" ht="28" customHeight="1">
      <x:c r="A1" s="5" t="str">
        <x:v>版本、规则统计与发布检查</x:v>
      </x:c>
      <x:c r="B1" s="5"/>
      <x:c r="C1" s="5"/>
      <x:c r="D1" s="5"/>
    </x:row>
    <x:row r="2" ht="34" customHeight="1">
      <x:c r="A2" s="13" t="str">
        <x:v>当前V0.7；全部规则待验证，provisional=true。</x:v>
      </x:c>
      <x:c r="B2" s="13"/>
      <x:c r="C2" s="13"/>
      <x:c r="D2" s="13"/>
    </x:row>
    <x:row r="4">
      <x:c r="A4" s="82" t="str">
        <x:v>版本</x:v>
      </x:c>
      <x:c r="B4" s="83" t="str">
        <x:v>0.7</x:v>
      </x:c>
      <x:c r="C4" s="20" t="str"/>
      <x:c r="D4" s="34" t="str">
        <x:v>发布前检查清单</x:v>
      </x:c>
    </x:row>
    <x:row r="5">
      <x:c r="A5" s="51" t="str">
        <x:v>模块</x:v>
      </x:c>
      <x:c r="B5" s="52" t="str">
        <x:v>M4-REPAIR</x:v>
      </x:c>
      <x:c r="C5" s="20" t="str"/>
      <x:c r="D5" s="34" t="str">
        <x:v>1. 是否先检查现实安全？</x:v>
      </x:c>
    </x:row>
    <x:row r="6">
      <x:c r="A6" s="51" t="str">
        <x:v>正式名称</x:v>
      </x:c>
      <x:c r="B6" s="52" t="str">
        <x:v>修复卡点、回流断点与完成边界</x:v>
      </x:c>
      <x:c r="C6" s="20" t="str"/>
      <x:c r="D6" s="34" t="str">
        <x:v>2. 是否区分问题停止与关系修复？</x:v>
      </x:c>
    </x:row>
    <x:row r="7">
      <x:c r="A7" s="51" t="str">
        <x:v>原子规则数</x:v>
      </x:c>
      <x:c r="B7" s="52" t="n">
        <x:v>480</x:v>
      </x:c>
      <x:c r="C7" s="20" t="str"/>
      <x:c r="D7" s="34" t="str">
        <x:v>3. 是否确定RI事件类型和最低节点？</x:v>
      </x:c>
    </x:row>
    <x:row r="8">
      <x:c r="A8" s="51" t="str">
        <x:v>待验证</x:v>
      </x:c>
      <x:c r="B8" s="52" t="n">
        <x:f>COUNTIF('12_原子规则'!AB2:AB481,"待验证")</x:f>
        <x:v>480</x:v>
      </x:c>
      <x:c r="C8" s="20" t="str"/>
      <x:c r="D8" s="34" t="str">
        <x:v>4. RN01—RN08是否按现实资料填写？</x:v>
      </x:c>
    </x:row>
    <x:row r="9">
      <x:c r="A9" s="51" t="str">
        <x:v>已验证</x:v>
      </x:c>
      <x:c r="B9" s="52" t="n">
        <x:f>COUNTIF('12_原子规则'!AB2:AB481,"已验证")</x:f>
        <x:v>0</x:v>
      </x:c>
      <x:c r="C9" s="20" t="str"/>
      <x:c r="D9" s="34" t="str">
        <x:v>5. 是否有RN07接收反馈？</x:v>
      </x:c>
    </x:row>
    <x:row r="10">
      <x:c r="A10" s="51" t="str">
        <x:v>需修改</x:v>
      </x:c>
      <x:c r="B10" s="52" t="n">
        <x:f>COUNTIF('12_原子规则'!AB2:AB481,"需修改")</x:f>
        <x:v>0</x:v>
      </x:c>
      <x:c r="C10" s="20" t="str"/>
      <x:c r="D10" s="34" t="str">
        <x:v>6. 是否检查RN08持续性？</x:v>
      </x:c>
    </x:row>
    <x:row r="11">
      <x:c r="A11" s="51" t="str">
        <x:v>停用</x:v>
      </x:c>
      <x:c r="B11" s="52" t="n">
        <x:f>COUNTIF('12_原子规则'!AB2:AB481,"停用")</x:f>
        <x:v>0</x:v>
      </x:c>
      <x:c r="C11" s="20" t="str"/>
      <x:c r="D11" s="34" t="str">
        <x:v>7. 是否完成source_id与event_id去重？</x:v>
      </x:c>
    </x:row>
    <x:row r="12">
      <x:c r="A12" s="51" t="str">
        <x:v>案例已验证</x:v>
      </x:c>
      <x:c r="B12" s="52" t="n">
        <x:f>COUNTIF('15_案例验证'!N5:N24,"完全吻合")+COUNTIF('15_案例验证'!N5:N24,"部分吻合")</x:f>
        <x:v>0</x:v>
      </x:c>
      <x:c r="C12" s="20" t="str"/>
      <x:c r="D12" s="34" t="str">
        <x:v>8. 是否检查反例和合理不继续？</x:v>
      </x:c>
    </x:row>
    <x:row r="13">
      <x:c r="A13" s="51" t="str">
        <x:v>发布上限</x:v>
      </x:c>
      <x:c r="B13" s="52" t="str">
        <x:v>E4需多次现实核验</x:v>
      </x:c>
      <x:c r="C13" s="20" t="str"/>
      <x:c r="D13" s="34" t="str">
        <x:v>9. 是否最多一主一次？</x:v>
      </x:c>
    </x:row>
    <x:row r="14">
      <x:c r="A14" s="53" t="str">
        <x:v>下一阶段</x:v>
      </x:c>
      <x:c r="B14" s="55" t="str">
        <x:v>M4-BUFFER V0.8</x:v>
      </x:c>
      <x:c r="C14" s="20" t="str"/>
      <x:c r="D14" s="34" t="str">
        <x:v>10. 是否避免要求原谅／复合？</x:v>
      </x:c>
    </x:row>
  </x:sheetData>
  <x:mergeCells>
    <x:mergeCell ref="A1:D1"/>
    <x:mergeCell ref="A2:D2"/>
  </x:mergeCells>
  <x:pageMargins left="0.7" right="0.7" top="0.75" bottom="0.75" header="0.3" footer="0.3"/>
</x:worksheet>
</file>